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a.chou\Desktop\"/>
    </mc:Choice>
  </mc:AlternateContent>
  <xr:revisionPtr revIDLastSave="0" documentId="13_ncr:1_{1E649AE2-62FA-4754-ADFA-8162603FADCF}" xr6:coauthVersionLast="47" xr6:coauthVersionMax="47" xr10:uidLastSave="{00000000-0000-0000-0000-000000000000}"/>
  <bookViews>
    <workbookView xWindow="28680" yWindow="-120" windowWidth="29040" windowHeight="15840" tabRatio="723" xr2:uid="{00000000-000D-0000-FFFF-FFFF00000000}"/>
  </bookViews>
  <sheets>
    <sheet name="Summary" sheetId="4" r:id="rId1"/>
    <sheet name="站前4樓" sheetId="2" r:id="rId2"/>
    <sheet name="站前11樓" sheetId="1" r:id="rId3"/>
    <sheet name="忠孝國際醫學3樓" sheetId="5" r:id="rId4"/>
    <sheet name="忠孝7樓" sheetId="3" r:id="rId5"/>
    <sheet name="忠孝健康7樓" sheetId="9" r:id="rId6"/>
    <sheet name="領用表" sheetId="8" r:id="rId7"/>
  </sheets>
  <definedNames>
    <definedName name="_xlnm._FilterDatabase" localSheetId="0" hidden="1">Summary!$A$3:$EK$3</definedName>
    <definedName name="_xlnm._FilterDatabase" localSheetId="6" hidden="1">領用表!$A$1:$N$2477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3" l="1"/>
  <c r="G37" i="3"/>
  <c r="F23" i="1"/>
  <c r="F53" i="2"/>
  <c r="F29" i="2"/>
  <c r="F28" i="2"/>
  <c r="F24" i="2"/>
  <c r="F25" i="2"/>
  <c r="F80" i="2"/>
  <c r="F50" i="2"/>
  <c r="F58" i="2"/>
  <c r="F57" i="2"/>
  <c r="F56" i="2"/>
  <c r="F59" i="2"/>
  <c r="F55" i="2"/>
  <c r="F46" i="2"/>
  <c r="F47" i="2"/>
  <c r="F54" i="2"/>
  <c r="F52" i="2"/>
  <c r="F51" i="2"/>
  <c r="F66" i="2"/>
  <c r="F65" i="2"/>
  <c r="F78" i="2"/>
  <c r="F79" i="2"/>
  <c r="G62" i="9"/>
  <c r="G63" i="9"/>
  <c r="G53" i="9"/>
  <c r="G54" i="9"/>
  <c r="G52" i="9"/>
  <c r="G51" i="9"/>
  <c r="G59" i="9"/>
  <c r="G58" i="9"/>
  <c r="G57" i="9"/>
  <c r="G56" i="9"/>
  <c r="G55" i="9"/>
  <c r="G47" i="9"/>
  <c r="G46" i="9"/>
  <c r="G25" i="9"/>
  <c r="G24" i="9"/>
  <c r="G29" i="9"/>
  <c r="G28" i="9"/>
  <c r="G76" i="9"/>
  <c r="G77" i="9"/>
  <c r="G75" i="9"/>
  <c r="G70" i="3"/>
  <c r="G69" i="3"/>
  <c r="G68" i="3"/>
  <c r="G67" i="3"/>
  <c r="B2281" i="8"/>
  <c r="A2281" i="8" s="1"/>
  <c r="B2282" i="8"/>
  <c r="A2282" i="8" s="1"/>
  <c r="B2283" i="8"/>
  <c r="A2283" i="8" s="1"/>
  <c r="B2284" i="8"/>
  <c r="A2284" i="8" s="1"/>
  <c r="B2285" i="8"/>
  <c r="A2285" i="8" s="1"/>
  <c r="B2286" i="8"/>
  <c r="A2286" i="8" s="1"/>
  <c r="B2287" i="8"/>
  <c r="A2287" i="8" s="1"/>
  <c r="B2288" i="8"/>
  <c r="A2288" i="8" s="1"/>
  <c r="B2289" i="8"/>
  <c r="A2289" i="8" s="1"/>
  <c r="B2290" i="8"/>
  <c r="A2290" i="8" s="1"/>
  <c r="B2291" i="8"/>
  <c r="A2291" i="8" s="1"/>
  <c r="B2292" i="8"/>
  <c r="A2292" i="8" s="1"/>
  <c r="G46" i="3"/>
  <c r="G47" i="3"/>
  <c r="G63" i="3"/>
  <c r="G62" i="3"/>
  <c r="G58" i="3"/>
  <c r="G57" i="3"/>
  <c r="G56" i="3"/>
  <c r="G55" i="3"/>
  <c r="G59" i="3"/>
  <c r="G54" i="3"/>
  <c r="G53" i="3"/>
  <c r="G52" i="3"/>
  <c r="G50" i="3"/>
  <c r="G77" i="3"/>
  <c r="G76" i="3"/>
  <c r="G75" i="3"/>
  <c r="G28" i="3"/>
  <c r="G24" i="3"/>
  <c r="G29" i="3"/>
  <c r="G19" i="5" l="1"/>
  <c r="F142" i="2"/>
  <c r="F70" i="2"/>
  <c r="F72" i="2"/>
  <c r="F71" i="2"/>
  <c r="G21" i="5"/>
  <c r="G22" i="5"/>
  <c r="G32" i="5"/>
  <c r="G69" i="9" l="1"/>
  <c r="G68" i="9"/>
  <c r="G67" i="9"/>
  <c r="B2270" i="8"/>
  <c r="A2270" i="8" s="1"/>
  <c r="B2271" i="8"/>
  <c r="A2271" i="8" s="1"/>
  <c r="B2272" i="8"/>
  <c r="A2272" i="8" s="1"/>
  <c r="B2273" i="8"/>
  <c r="A2273" i="8" s="1"/>
  <c r="B2274" i="8"/>
  <c r="A2274" i="8" s="1"/>
  <c r="B2275" i="8"/>
  <c r="A2275" i="8" s="1"/>
  <c r="B2276" i="8"/>
  <c r="A2276" i="8" s="1"/>
  <c r="B2277" i="8"/>
  <c r="A2277" i="8" s="1"/>
  <c r="B2278" i="8"/>
  <c r="A2278" i="8" s="1"/>
  <c r="B2279" i="8"/>
  <c r="A2279" i="8" s="1"/>
  <c r="B2280" i="8"/>
  <c r="A2280" i="8" s="1"/>
  <c r="F48" i="2"/>
  <c r="F73" i="2" l="1"/>
  <c r="G50" i="9"/>
  <c r="G25" i="3" l="1"/>
  <c r="G70" i="9"/>
  <c r="W10" i="3"/>
  <c r="X10" i="3"/>
  <c r="Y10" i="3"/>
  <c r="Z10" i="3"/>
  <c r="AA10" i="3"/>
  <c r="AB10" i="3"/>
  <c r="AC10" i="3"/>
  <c r="AF10" i="3"/>
  <c r="V10" i="3"/>
  <c r="AE10" i="3" s="1"/>
  <c r="B2267" i="8"/>
  <c r="A2267" i="8" s="1"/>
  <c r="B2268" i="8"/>
  <c r="A2268" i="8" s="1"/>
  <c r="B2269" i="8"/>
  <c r="A2269" i="8" s="1"/>
  <c r="B2239" i="8"/>
  <c r="A2239" i="8" s="1"/>
  <c r="B2240" i="8"/>
  <c r="A2240" i="8" s="1"/>
  <c r="B2241" i="8"/>
  <c r="A2241" i="8" s="1"/>
  <c r="B2242" i="8"/>
  <c r="A2242" i="8" s="1"/>
  <c r="B2243" i="8"/>
  <c r="A2243" i="8" s="1"/>
  <c r="B2244" i="8"/>
  <c r="A2244" i="8" s="1"/>
  <c r="B2245" i="8"/>
  <c r="A2245" i="8" s="1"/>
  <c r="B2246" i="8"/>
  <c r="A2246" i="8" s="1"/>
  <c r="B2247" i="8"/>
  <c r="A2247" i="8" s="1"/>
  <c r="B2248" i="8"/>
  <c r="A2248" i="8" s="1"/>
  <c r="B2249" i="8"/>
  <c r="A2249" i="8" s="1"/>
  <c r="B2250" i="8"/>
  <c r="A2250" i="8" s="1"/>
  <c r="B2251" i="8"/>
  <c r="A2251" i="8" s="1"/>
  <c r="B2252" i="8"/>
  <c r="A2252" i="8" s="1"/>
  <c r="B2253" i="8"/>
  <c r="A2253" i="8" s="1"/>
  <c r="B2254" i="8"/>
  <c r="A2254" i="8" s="1"/>
  <c r="B2255" i="8"/>
  <c r="A2255" i="8" s="1"/>
  <c r="B2256" i="8"/>
  <c r="A2256" i="8" s="1"/>
  <c r="B2257" i="8"/>
  <c r="A2257" i="8" s="1"/>
  <c r="B2258" i="8"/>
  <c r="A2258" i="8" s="1"/>
  <c r="B2259" i="8"/>
  <c r="A2259" i="8" s="1"/>
  <c r="B2260" i="8"/>
  <c r="A2260" i="8" s="1"/>
  <c r="B2261" i="8"/>
  <c r="A2261" i="8" s="1"/>
  <c r="B2262" i="8"/>
  <c r="A2262" i="8" s="1"/>
  <c r="B2263" i="8"/>
  <c r="A2263" i="8" s="1"/>
  <c r="B2264" i="8"/>
  <c r="A2264" i="8" s="1"/>
  <c r="B2265" i="8"/>
  <c r="A2265" i="8" s="1"/>
  <c r="B2266" i="8"/>
  <c r="A2266" i="8" s="1"/>
  <c r="BW33" i="2"/>
  <c r="BW34" i="2"/>
  <c r="DL10" i="4"/>
  <c r="DM10" i="4"/>
  <c r="DN10" i="4"/>
  <c r="DO10" i="4"/>
  <c r="DP10" i="4"/>
  <c r="F34" i="4"/>
  <c r="G34" i="4"/>
  <c r="H34" i="4"/>
  <c r="I34" i="4"/>
  <c r="J34" i="4"/>
  <c r="DS10" i="4"/>
  <c r="F10" i="4"/>
  <c r="G10" i="4"/>
  <c r="H10" i="4"/>
  <c r="I10" i="4"/>
  <c r="J10" i="4"/>
  <c r="F11" i="4"/>
  <c r="G11" i="4"/>
  <c r="H11" i="4"/>
  <c r="I11" i="4"/>
  <c r="J11" i="4"/>
  <c r="AD10" i="9"/>
  <c r="T10" i="9"/>
  <c r="BM10" i="2"/>
  <c r="AD33" i="9"/>
  <c r="AD34" i="9"/>
  <c r="AF33" i="3"/>
  <c r="AF34" i="3"/>
  <c r="B2172" i="8"/>
  <c r="A2172" i="8" s="1"/>
  <c r="B2173" i="8"/>
  <c r="A2173" i="8" s="1"/>
  <c r="B2174" i="8"/>
  <c r="A2174" i="8" s="1"/>
  <c r="B2175" i="8"/>
  <c r="A2175" i="8" s="1"/>
  <c r="B2176" i="8"/>
  <c r="A2176" i="8" s="1"/>
  <c r="B2177" i="8"/>
  <c r="A2177" i="8" s="1"/>
  <c r="B2178" i="8"/>
  <c r="A2178" i="8" s="1"/>
  <c r="B2179" i="8"/>
  <c r="A2179" i="8" s="1"/>
  <c r="B2180" i="8"/>
  <c r="A2180" i="8" s="1"/>
  <c r="B2181" i="8"/>
  <c r="A2181" i="8" s="1"/>
  <c r="B2182" i="8"/>
  <c r="A2182" i="8" s="1"/>
  <c r="B2183" i="8"/>
  <c r="A2183" i="8" s="1"/>
  <c r="B2184" i="8"/>
  <c r="A2184" i="8" s="1"/>
  <c r="B2185" i="8"/>
  <c r="A2185" i="8" s="1"/>
  <c r="B2186" i="8"/>
  <c r="A2186" i="8" s="1"/>
  <c r="B2187" i="8"/>
  <c r="A2187" i="8" s="1"/>
  <c r="B2188" i="8"/>
  <c r="A2188" i="8" s="1"/>
  <c r="B2189" i="8"/>
  <c r="A2189" i="8" s="1"/>
  <c r="B2190" i="8"/>
  <c r="A2190" i="8" s="1"/>
  <c r="B2191" i="8"/>
  <c r="A2191" i="8" s="1"/>
  <c r="B2192" i="8"/>
  <c r="A2192" i="8" s="1"/>
  <c r="B2193" i="8"/>
  <c r="A2193" i="8" s="1"/>
  <c r="B2194" i="8"/>
  <c r="A2194" i="8" s="1"/>
  <c r="B2195" i="8"/>
  <c r="A2195" i="8" s="1"/>
  <c r="B2196" i="8"/>
  <c r="A2196" i="8" s="1"/>
  <c r="B2197" i="8"/>
  <c r="A2197" i="8" s="1"/>
  <c r="B2198" i="8"/>
  <c r="A2198" i="8" s="1"/>
  <c r="B2199" i="8"/>
  <c r="A2199" i="8" s="1"/>
  <c r="B2200" i="8"/>
  <c r="A2200" i="8" s="1"/>
  <c r="B2201" i="8"/>
  <c r="A2201" i="8" s="1"/>
  <c r="B2202" i="8"/>
  <c r="A2202" i="8" s="1"/>
  <c r="B2203" i="8"/>
  <c r="A2203" i="8" s="1"/>
  <c r="B2204" i="8"/>
  <c r="A2204" i="8" s="1"/>
  <c r="B2205" i="8"/>
  <c r="A2205" i="8" s="1"/>
  <c r="B2206" i="8"/>
  <c r="A2206" i="8" s="1"/>
  <c r="B2207" i="8"/>
  <c r="A2207" i="8" s="1"/>
  <c r="B2208" i="8"/>
  <c r="A2208" i="8" s="1"/>
  <c r="B2209" i="8"/>
  <c r="A2209" i="8" s="1"/>
  <c r="B2210" i="8"/>
  <c r="A2210" i="8" s="1"/>
  <c r="B2211" i="8"/>
  <c r="A2211" i="8" s="1"/>
  <c r="B2212" i="8"/>
  <c r="A2212" i="8" s="1"/>
  <c r="B2213" i="8"/>
  <c r="A2213" i="8" s="1"/>
  <c r="B2214" i="8"/>
  <c r="A2214" i="8" s="1"/>
  <c r="B2215" i="8"/>
  <c r="A2215" i="8" s="1"/>
  <c r="B2216" i="8"/>
  <c r="A2216" i="8" s="1"/>
  <c r="B2217" i="8"/>
  <c r="A2217" i="8" s="1"/>
  <c r="B2218" i="8"/>
  <c r="A2218" i="8" s="1"/>
  <c r="B2219" i="8"/>
  <c r="A2219" i="8" s="1"/>
  <c r="B2220" i="8"/>
  <c r="A2220" i="8" s="1"/>
  <c r="B2221" i="8"/>
  <c r="A2221" i="8" s="1"/>
  <c r="B2222" i="8"/>
  <c r="A2222" i="8" s="1"/>
  <c r="B2223" i="8"/>
  <c r="A2223" i="8" s="1"/>
  <c r="B2224" i="8"/>
  <c r="A2224" i="8" s="1"/>
  <c r="B2225" i="8"/>
  <c r="A2225" i="8" s="1"/>
  <c r="B2226" i="8"/>
  <c r="A2226" i="8" s="1"/>
  <c r="B2227" i="8"/>
  <c r="A2227" i="8" s="1"/>
  <c r="B2228" i="8"/>
  <c r="A2228" i="8" s="1"/>
  <c r="B2229" i="8"/>
  <c r="A2229" i="8" s="1"/>
  <c r="B2230" i="8"/>
  <c r="A2230" i="8" s="1"/>
  <c r="B2231" i="8"/>
  <c r="A2231" i="8" s="1"/>
  <c r="B2232" i="8"/>
  <c r="A2232" i="8" s="1"/>
  <c r="B2233" i="8"/>
  <c r="A2233" i="8" s="1"/>
  <c r="B2234" i="8"/>
  <c r="A2234" i="8" s="1"/>
  <c r="B2235" i="8"/>
  <c r="A2235" i="8" s="1"/>
  <c r="B2236" i="8"/>
  <c r="A2236" i="8" s="1"/>
  <c r="B2237" i="8"/>
  <c r="A2237" i="8" s="1"/>
  <c r="B2238" i="8"/>
  <c r="A2238" i="8" s="1"/>
  <c r="B2124" i="8"/>
  <c r="A2124" i="8" s="1"/>
  <c r="B2125" i="8"/>
  <c r="A2125" i="8" s="1"/>
  <c r="B2126" i="8"/>
  <c r="A2126" i="8" s="1"/>
  <c r="B2127" i="8"/>
  <c r="A2127" i="8" s="1"/>
  <c r="B2128" i="8"/>
  <c r="A2128" i="8" s="1"/>
  <c r="B2129" i="8"/>
  <c r="A2129" i="8" s="1"/>
  <c r="B2130" i="8"/>
  <c r="A2130" i="8" s="1"/>
  <c r="B2131" i="8"/>
  <c r="A2131" i="8" s="1"/>
  <c r="B2132" i="8"/>
  <c r="A2132" i="8" s="1"/>
  <c r="B2133" i="8"/>
  <c r="A2133" i="8" s="1"/>
  <c r="B2134" i="8"/>
  <c r="A2134" i="8" s="1"/>
  <c r="B2135" i="8"/>
  <c r="A2135" i="8" s="1"/>
  <c r="B2136" i="8"/>
  <c r="A2136" i="8" s="1"/>
  <c r="B2137" i="8"/>
  <c r="A2137" i="8" s="1"/>
  <c r="B2138" i="8"/>
  <c r="A2138" i="8" s="1"/>
  <c r="B2139" i="8"/>
  <c r="A2139" i="8" s="1"/>
  <c r="B2140" i="8"/>
  <c r="A2140" i="8" s="1"/>
  <c r="B2141" i="8"/>
  <c r="A2141" i="8" s="1"/>
  <c r="B2142" i="8"/>
  <c r="A2142" i="8" s="1"/>
  <c r="B2143" i="8"/>
  <c r="A2143" i="8" s="1"/>
  <c r="B2144" i="8"/>
  <c r="A2144" i="8" s="1"/>
  <c r="B2145" i="8"/>
  <c r="A2145" i="8" s="1"/>
  <c r="B2146" i="8"/>
  <c r="A2146" i="8" s="1"/>
  <c r="B2147" i="8"/>
  <c r="A2147" i="8" s="1"/>
  <c r="B2148" i="8"/>
  <c r="A2148" i="8" s="1"/>
  <c r="B2149" i="8"/>
  <c r="A2149" i="8" s="1"/>
  <c r="B2150" i="8"/>
  <c r="A2150" i="8" s="1"/>
  <c r="B2151" i="8"/>
  <c r="A2151" i="8" s="1"/>
  <c r="B2152" i="8"/>
  <c r="A2152" i="8" s="1"/>
  <c r="B2153" i="8"/>
  <c r="A2153" i="8" s="1"/>
  <c r="B2154" i="8"/>
  <c r="A2154" i="8" s="1"/>
  <c r="B2155" i="8"/>
  <c r="A2155" i="8" s="1"/>
  <c r="B2156" i="8"/>
  <c r="A2156" i="8" s="1"/>
  <c r="B2157" i="8"/>
  <c r="A2157" i="8" s="1"/>
  <c r="B2158" i="8"/>
  <c r="A2158" i="8" s="1"/>
  <c r="B2159" i="8"/>
  <c r="A2159" i="8" s="1"/>
  <c r="B2160" i="8"/>
  <c r="A2160" i="8" s="1"/>
  <c r="B2161" i="8"/>
  <c r="A2161" i="8" s="1"/>
  <c r="B2162" i="8"/>
  <c r="A2162" i="8" s="1"/>
  <c r="B2163" i="8"/>
  <c r="A2163" i="8" s="1"/>
  <c r="B2164" i="8"/>
  <c r="A2164" i="8" s="1"/>
  <c r="B2165" i="8"/>
  <c r="A2165" i="8" s="1"/>
  <c r="B2166" i="8"/>
  <c r="A2166" i="8" s="1"/>
  <c r="B2167" i="8"/>
  <c r="A2167" i="8" s="1"/>
  <c r="B2168" i="8"/>
  <c r="A2168" i="8" s="1"/>
  <c r="B2169" i="8"/>
  <c r="A2169" i="8" s="1"/>
  <c r="B2170" i="8"/>
  <c r="A2170" i="8" s="1"/>
  <c r="B2171" i="8"/>
  <c r="A2171" i="8" s="1"/>
  <c r="B2102" i="8"/>
  <c r="A2102" i="8" s="1"/>
  <c r="B2103" i="8"/>
  <c r="A2103" i="8" s="1"/>
  <c r="B2104" i="8"/>
  <c r="A2104" i="8" s="1"/>
  <c r="B2105" i="8"/>
  <c r="A2105" i="8" s="1"/>
  <c r="B2106" i="8"/>
  <c r="A2106" i="8" s="1"/>
  <c r="B2107" i="8"/>
  <c r="A2107" i="8" s="1"/>
  <c r="B2108" i="8"/>
  <c r="A2108" i="8" s="1"/>
  <c r="B2109" i="8"/>
  <c r="A2109" i="8" s="1"/>
  <c r="B2110" i="8"/>
  <c r="A2110" i="8" s="1"/>
  <c r="B2111" i="8"/>
  <c r="A2111" i="8" s="1"/>
  <c r="B2112" i="8"/>
  <c r="A2112" i="8" s="1"/>
  <c r="B2113" i="8"/>
  <c r="A2113" i="8" s="1"/>
  <c r="B2114" i="8"/>
  <c r="A2114" i="8" s="1"/>
  <c r="B2115" i="8"/>
  <c r="A2115" i="8" s="1"/>
  <c r="B2116" i="8"/>
  <c r="A2116" i="8" s="1"/>
  <c r="B2117" i="8"/>
  <c r="A2117" i="8" s="1"/>
  <c r="B2118" i="8"/>
  <c r="A2118" i="8" s="1"/>
  <c r="B2119" i="8"/>
  <c r="A2119" i="8" s="1"/>
  <c r="B2120" i="8"/>
  <c r="A2120" i="8" s="1"/>
  <c r="B2121" i="8"/>
  <c r="A2121" i="8" s="1"/>
  <c r="B2122" i="8"/>
  <c r="A2122" i="8" s="1"/>
  <c r="B2123" i="8"/>
  <c r="A2123" i="8" s="1"/>
  <c r="B2073" i="8"/>
  <c r="A2073" i="8" s="1"/>
  <c r="B2074" i="8"/>
  <c r="A2074" i="8" s="1"/>
  <c r="B2075" i="8"/>
  <c r="A2075" i="8" s="1"/>
  <c r="B2076" i="8"/>
  <c r="A2076" i="8" s="1"/>
  <c r="B2077" i="8"/>
  <c r="A2077" i="8" s="1"/>
  <c r="B2078" i="8"/>
  <c r="A2078" i="8" s="1"/>
  <c r="B2079" i="8"/>
  <c r="A2079" i="8" s="1"/>
  <c r="B2080" i="8"/>
  <c r="A2080" i="8" s="1"/>
  <c r="B2081" i="8"/>
  <c r="A2081" i="8" s="1"/>
  <c r="B2082" i="8"/>
  <c r="A2082" i="8" s="1"/>
  <c r="B2083" i="8"/>
  <c r="A2083" i="8" s="1"/>
  <c r="B2084" i="8"/>
  <c r="A2084" i="8" s="1"/>
  <c r="B2085" i="8"/>
  <c r="A2085" i="8" s="1"/>
  <c r="B2086" i="8"/>
  <c r="A2086" i="8" s="1"/>
  <c r="B2087" i="8"/>
  <c r="A2087" i="8" s="1"/>
  <c r="B2088" i="8"/>
  <c r="A2088" i="8" s="1"/>
  <c r="B2089" i="8"/>
  <c r="A2089" i="8" s="1"/>
  <c r="B2090" i="8"/>
  <c r="A2090" i="8" s="1"/>
  <c r="B2091" i="8"/>
  <c r="A2091" i="8" s="1"/>
  <c r="B2092" i="8"/>
  <c r="A2092" i="8" s="1"/>
  <c r="B2093" i="8"/>
  <c r="A2093" i="8" s="1"/>
  <c r="B2094" i="8"/>
  <c r="A2094" i="8" s="1"/>
  <c r="B2095" i="8"/>
  <c r="A2095" i="8" s="1"/>
  <c r="B2096" i="8"/>
  <c r="A2096" i="8" s="1"/>
  <c r="B2097" i="8"/>
  <c r="A2097" i="8" s="1"/>
  <c r="B2098" i="8"/>
  <c r="A2098" i="8" s="1"/>
  <c r="B2099" i="8"/>
  <c r="A2099" i="8" s="1"/>
  <c r="B2100" i="8"/>
  <c r="A2100" i="8" s="1"/>
  <c r="B2101" i="8"/>
  <c r="A2101" i="8" s="1"/>
  <c r="P20" i="5"/>
  <c r="Q20" i="5"/>
  <c r="R20" i="5"/>
  <c r="S20" i="5"/>
  <c r="DS95" i="4"/>
  <c r="DS96" i="4"/>
  <c r="DL96" i="4"/>
  <c r="DM96" i="4"/>
  <c r="DN96" i="4"/>
  <c r="DO96" i="4"/>
  <c r="DP96" i="4"/>
  <c r="F95" i="4"/>
  <c r="G95" i="4"/>
  <c r="H95" i="4"/>
  <c r="I95" i="4"/>
  <c r="J95" i="4"/>
  <c r="F96" i="4"/>
  <c r="G96" i="4"/>
  <c r="H96" i="4"/>
  <c r="I96" i="4"/>
  <c r="J96" i="4"/>
  <c r="B2053" i="8"/>
  <c r="A2053" i="8" s="1"/>
  <c r="B2054" i="8"/>
  <c r="A2054" i="8" s="1"/>
  <c r="B2055" i="8"/>
  <c r="A2055" i="8" s="1"/>
  <c r="B2056" i="8"/>
  <c r="A2056" i="8" s="1"/>
  <c r="B2057" i="8"/>
  <c r="A2057" i="8" s="1"/>
  <c r="B2058" i="8"/>
  <c r="A2058" i="8" s="1"/>
  <c r="B2059" i="8"/>
  <c r="A2059" i="8" s="1"/>
  <c r="B2060" i="8"/>
  <c r="A2060" i="8" s="1"/>
  <c r="B2061" i="8"/>
  <c r="A2061" i="8" s="1"/>
  <c r="B2062" i="8"/>
  <c r="A2062" i="8" s="1"/>
  <c r="B2063" i="8"/>
  <c r="A2063" i="8" s="1"/>
  <c r="B2064" i="8"/>
  <c r="A2064" i="8" s="1"/>
  <c r="B2065" i="8"/>
  <c r="A2065" i="8" s="1"/>
  <c r="B2066" i="8"/>
  <c r="A2066" i="8" s="1"/>
  <c r="B2067" i="8"/>
  <c r="A2067" i="8" s="1"/>
  <c r="B2068" i="8"/>
  <c r="A2068" i="8" s="1"/>
  <c r="B2069" i="8"/>
  <c r="A2069" i="8" s="1"/>
  <c r="B2070" i="8"/>
  <c r="A2070" i="8" s="1"/>
  <c r="B2071" i="8"/>
  <c r="A2071" i="8" s="1"/>
  <c r="B2072" i="8"/>
  <c r="A2072" i="8" s="1"/>
  <c r="B2046" i="8"/>
  <c r="A2046" i="8" s="1"/>
  <c r="B2047" i="8"/>
  <c r="A2047" i="8" s="1"/>
  <c r="B2048" i="8"/>
  <c r="A2048" i="8" s="1"/>
  <c r="B2049" i="8"/>
  <c r="A2049" i="8" s="1"/>
  <c r="B2050" i="8"/>
  <c r="A2050" i="8" s="1"/>
  <c r="B2051" i="8"/>
  <c r="A2051" i="8" s="1"/>
  <c r="B2052" i="8"/>
  <c r="A2052" i="8" s="1"/>
  <c r="B2036" i="8"/>
  <c r="A2036" i="8" s="1"/>
  <c r="B2037" i="8"/>
  <c r="A2037" i="8" s="1"/>
  <c r="B2038" i="8"/>
  <c r="A2038" i="8" s="1"/>
  <c r="B2039" i="8"/>
  <c r="A2039" i="8" s="1"/>
  <c r="B2040" i="8"/>
  <c r="A2040" i="8" s="1"/>
  <c r="B2041" i="8"/>
  <c r="A2041" i="8" s="1"/>
  <c r="B2042" i="8"/>
  <c r="A2042" i="8" s="1"/>
  <c r="B2043" i="8"/>
  <c r="A2043" i="8" s="1"/>
  <c r="B2044" i="8"/>
  <c r="A2044" i="8" s="1"/>
  <c r="B2045" i="8"/>
  <c r="A2045" i="8" s="1"/>
  <c r="AD19" i="5"/>
  <c r="AD20" i="5"/>
  <c r="T20" i="5"/>
  <c r="DG195" i="4"/>
  <c r="DG194" i="4"/>
  <c r="DG193" i="4"/>
  <c r="DG192" i="4"/>
  <c r="DG191" i="4"/>
  <c r="DG190" i="4"/>
  <c r="DG189" i="4"/>
  <c r="DG188" i="4"/>
  <c r="DG187" i="4"/>
  <c r="DG186" i="4"/>
  <c r="DG185" i="4"/>
  <c r="DG184" i="4"/>
  <c r="DG183" i="4"/>
  <c r="DG182" i="4"/>
  <c r="DG181" i="4"/>
  <c r="DG180" i="4"/>
  <c r="DG179" i="4"/>
  <c r="DG178" i="4"/>
  <c r="DG177" i="4"/>
  <c r="DG176" i="4"/>
  <c r="DG175" i="4"/>
  <c r="DG174" i="4"/>
  <c r="DG173" i="4"/>
  <c r="DG172" i="4"/>
  <c r="DG171" i="4"/>
  <c r="DG170" i="4"/>
  <c r="DG169" i="4"/>
  <c r="DG168" i="4"/>
  <c r="DG167" i="4"/>
  <c r="DG166" i="4"/>
  <c r="DG165" i="4"/>
  <c r="DG163" i="4"/>
  <c r="DG162" i="4"/>
  <c r="DG161" i="4"/>
  <c r="DG160" i="4"/>
  <c r="DG158" i="4"/>
  <c r="DG157" i="4"/>
  <c r="DG156" i="4"/>
  <c r="DG155" i="4"/>
  <c r="DG154" i="4"/>
  <c r="DG153" i="4"/>
  <c r="DG152" i="4"/>
  <c r="DG151" i="4"/>
  <c r="DG150" i="4"/>
  <c r="DG149" i="4"/>
  <c r="DG148" i="4"/>
  <c r="DG147" i="4"/>
  <c r="DG145" i="4"/>
  <c r="DG144" i="4"/>
  <c r="DG143" i="4"/>
  <c r="DG142" i="4"/>
  <c r="DG141" i="4"/>
  <c r="DG140" i="4"/>
  <c r="DG139" i="4"/>
  <c r="DG138" i="4"/>
  <c r="DG137" i="4"/>
  <c r="DG135" i="4"/>
  <c r="DG134" i="4"/>
  <c r="DG133" i="4"/>
  <c r="DG132" i="4"/>
  <c r="DG131" i="4"/>
  <c r="DG130" i="4"/>
  <c r="DG129" i="4"/>
  <c r="DG128" i="4"/>
  <c r="DG127" i="4"/>
  <c r="DG126" i="4"/>
  <c r="DG125" i="4"/>
  <c r="DG123" i="4"/>
  <c r="DG117" i="4"/>
  <c r="DG112" i="4"/>
  <c r="DG81" i="4"/>
  <c r="DG74" i="4"/>
  <c r="DG62" i="4"/>
  <c r="DG61" i="4"/>
  <c r="DG36" i="4"/>
  <c r="DG27" i="4"/>
  <c r="DG26" i="4"/>
  <c r="DG23" i="4"/>
  <c r="DG22" i="4"/>
  <c r="DG11" i="4"/>
  <c r="T11" i="9"/>
  <c r="U11" i="9"/>
  <c r="V11" i="9"/>
  <c r="W11" i="9"/>
  <c r="X11" i="9"/>
  <c r="Y11" i="9"/>
  <c r="Z11" i="9"/>
  <c r="AA11" i="9"/>
  <c r="V186" i="3"/>
  <c r="AD128" i="5"/>
  <c r="AD129" i="5"/>
  <c r="AD130" i="5"/>
  <c r="AE129" i="5"/>
  <c r="AE130" i="5"/>
  <c r="DP195" i="4"/>
  <c r="DP194" i="4"/>
  <c r="DP193" i="4"/>
  <c r="DP192" i="4"/>
  <c r="DP191" i="4"/>
  <c r="DP190" i="4"/>
  <c r="DP189" i="4"/>
  <c r="DP188" i="4"/>
  <c r="DP187" i="4"/>
  <c r="DP186" i="4"/>
  <c r="DP185" i="4"/>
  <c r="DP184" i="4"/>
  <c r="DP183" i="4"/>
  <c r="DP182" i="4"/>
  <c r="DP181" i="4"/>
  <c r="DP180" i="4"/>
  <c r="DP179" i="4"/>
  <c r="DP178" i="4"/>
  <c r="DP177" i="4"/>
  <c r="DP176" i="4"/>
  <c r="DP175" i="4"/>
  <c r="DP174" i="4"/>
  <c r="DP173" i="4"/>
  <c r="DP172" i="4"/>
  <c r="DP171" i="4"/>
  <c r="DP170" i="4"/>
  <c r="DP169" i="4"/>
  <c r="DP168" i="4"/>
  <c r="DP167" i="4"/>
  <c r="DP166" i="4"/>
  <c r="DP165" i="4"/>
  <c r="DP163" i="4"/>
  <c r="DP162" i="4"/>
  <c r="DP161" i="4"/>
  <c r="DP160" i="4"/>
  <c r="DP158" i="4"/>
  <c r="DP157" i="4"/>
  <c r="DP156" i="4"/>
  <c r="DP155" i="4"/>
  <c r="DP154" i="4"/>
  <c r="DP153" i="4"/>
  <c r="DP152" i="4"/>
  <c r="DP151" i="4"/>
  <c r="DP150" i="4"/>
  <c r="DP149" i="4"/>
  <c r="DP148" i="4"/>
  <c r="DP147" i="4"/>
  <c r="DP145" i="4"/>
  <c r="DP144" i="4"/>
  <c r="DP143" i="4"/>
  <c r="DP142" i="4"/>
  <c r="DP141" i="4"/>
  <c r="DP140" i="4"/>
  <c r="DP139" i="4"/>
  <c r="DP138" i="4"/>
  <c r="DP137" i="4"/>
  <c r="DP135" i="4"/>
  <c r="DP134" i="4"/>
  <c r="DP133" i="4"/>
  <c r="DP132" i="4"/>
  <c r="DP131" i="4"/>
  <c r="DP130" i="4"/>
  <c r="DP129" i="4"/>
  <c r="DP128" i="4"/>
  <c r="DP127" i="4"/>
  <c r="DP126" i="4"/>
  <c r="DP125" i="4"/>
  <c r="DP123" i="4"/>
  <c r="DP117" i="4"/>
  <c r="DP112" i="4"/>
  <c r="DP81" i="4"/>
  <c r="DP74" i="4"/>
  <c r="DP62" i="4"/>
  <c r="DP61" i="4"/>
  <c r="DP36" i="4"/>
  <c r="DP27" i="4"/>
  <c r="DP26" i="4"/>
  <c r="DP23" i="4"/>
  <c r="DP22" i="4"/>
  <c r="DP11" i="4"/>
  <c r="DO195" i="4"/>
  <c r="DO194" i="4"/>
  <c r="DO193" i="4"/>
  <c r="DO192" i="4"/>
  <c r="DO191" i="4"/>
  <c r="DO190" i="4"/>
  <c r="DO189" i="4"/>
  <c r="DO188" i="4"/>
  <c r="DO187" i="4"/>
  <c r="DO186" i="4"/>
  <c r="DO185" i="4"/>
  <c r="DO184" i="4"/>
  <c r="DO183" i="4"/>
  <c r="DO182" i="4"/>
  <c r="DO181" i="4"/>
  <c r="DO180" i="4"/>
  <c r="DO179" i="4"/>
  <c r="DO178" i="4"/>
  <c r="DO177" i="4"/>
  <c r="DO176" i="4"/>
  <c r="DO175" i="4"/>
  <c r="DO174" i="4"/>
  <c r="DO173" i="4"/>
  <c r="DO172" i="4"/>
  <c r="DO171" i="4"/>
  <c r="DO170" i="4"/>
  <c r="DO169" i="4"/>
  <c r="DO168" i="4"/>
  <c r="DO167" i="4"/>
  <c r="DO166" i="4"/>
  <c r="DO165" i="4"/>
  <c r="DO163" i="4"/>
  <c r="DO162" i="4"/>
  <c r="DO161" i="4"/>
  <c r="DO160" i="4"/>
  <c r="DO158" i="4"/>
  <c r="DO157" i="4"/>
  <c r="DO156" i="4"/>
  <c r="DO155" i="4"/>
  <c r="DO154" i="4"/>
  <c r="DO153" i="4"/>
  <c r="DO152" i="4"/>
  <c r="DO151" i="4"/>
  <c r="DO150" i="4"/>
  <c r="DO149" i="4"/>
  <c r="DO148" i="4"/>
  <c r="DO147" i="4"/>
  <c r="DO145" i="4"/>
  <c r="DO144" i="4"/>
  <c r="DO143" i="4"/>
  <c r="DO142" i="4"/>
  <c r="DO141" i="4"/>
  <c r="DO140" i="4"/>
  <c r="DO139" i="4"/>
  <c r="DO138" i="4"/>
  <c r="DO137" i="4"/>
  <c r="DO135" i="4"/>
  <c r="DO134" i="4"/>
  <c r="DO133" i="4"/>
  <c r="DO132" i="4"/>
  <c r="DO131" i="4"/>
  <c r="DO130" i="4"/>
  <c r="DO129" i="4"/>
  <c r="DO128" i="4"/>
  <c r="DO127" i="4"/>
  <c r="DO126" i="4"/>
  <c r="DO125" i="4"/>
  <c r="DO123" i="4"/>
  <c r="DO117" i="4"/>
  <c r="DO112" i="4"/>
  <c r="DO81" i="4"/>
  <c r="DO74" i="4"/>
  <c r="DO62" i="4"/>
  <c r="DO61" i="4"/>
  <c r="DO36" i="4"/>
  <c r="DO27" i="4"/>
  <c r="DO26" i="4"/>
  <c r="DO23" i="4"/>
  <c r="DO22" i="4"/>
  <c r="DO11" i="4"/>
  <c r="DM184" i="4"/>
  <c r="DM183" i="4"/>
  <c r="DM182" i="4"/>
  <c r="DM181" i="4"/>
  <c r="DM180" i="4"/>
  <c r="DM179" i="4"/>
  <c r="DM178" i="4"/>
  <c r="DM177" i="4"/>
  <c r="DM176" i="4"/>
  <c r="DM175" i="4"/>
  <c r="DM174" i="4"/>
  <c r="DM173" i="4"/>
  <c r="DM172" i="4"/>
  <c r="DM171" i="4"/>
  <c r="DM170" i="4"/>
  <c r="DM169" i="4"/>
  <c r="DM168" i="4"/>
  <c r="DM167" i="4"/>
  <c r="DM166" i="4"/>
  <c r="DM165" i="4"/>
  <c r="DM163" i="4"/>
  <c r="DM162" i="4"/>
  <c r="DM161" i="4"/>
  <c r="DM160" i="4"/>
  <c r="DM158" i="4"/>
  <c r="DM157" i="4"/>
  <c r="DM156" i="4"/>
  <c r="DM155" i="4"/>
  <c r="DM154" i="4"/>
  <c r="DM153" i="4"/>
  <c r="DM152" i="4"/>
  <c r="DM151" i="4"/>
  <c r="DM150" i="4"/>
  <c r="DM149" i="4"/>
  <c r="DM148" i="4"/>
  <c r="DM147" i="4"/>
  <c r="DM145" i="4"/>
  <c r="DM144" i="4"/>
  <c r="DM143" i="4"/>
  <c r="DM142" i="4"/>
  <c r="DM141" i="4"/>
  <c r="DM140" i="4"/>
  <c r="DM139" i="4"/>
  <c r="DM138" i="4"/>
  <c r="DM137" i="4"/>
  <c r="DM135" i="4"/>
  <c r="DM134" i="4"/>
  <c r="DM133" i="4"/>
  <c r="DM132" i="4"/>
  <c r="DM131" i="4"/>
  <c r="DM130" i="4"/>
  <c r="DM129" i="4"/>
  <c r="DM128" i="4"/>
  <c r="DM127" i="4"/>
  <c r="DM126" i="4"/>
  <c r="DM125" i="4"/>
  <c r="DM123" i="4"/>
  <c r="DM117" i="4"/>
  <c r="DM112" i="4"/>
  <c r="DM81" i="4"/>
  <c r="DN195" i="4"/>
  <c r="DN194" i="4"/>
  <c r="DN193" i="4"/>
  <c r="DN192" i="4"/>
  <c r="DN191" i="4"/>
  <c r="DN190" i="4"/>
  <c r="DN189" i="4"/>
  <c r="DN188" i="4"/>
  <c r="DN187" i="4"/>
  <c r="DN186" i="4"/>
  <c r="DN185" i="4"/>
  <c r="DN184" i="4"/>
  <c r="DN183" i="4"/>
  <c r="DN182" i="4"/>
  <c r="DN181" i="4"/>
  <c r="DN180" i="4"/>
  <c r="DN179" i="4"/>
  <c r="DN178" i="4"/>
  <c r="DN177" i="4"/>
  <c r="DN176" i="4"/>
  <c r="DN175" i="4"/>
  <c r="DN174" i="4"/>
  <c r="DN173" i="4"/>
  <c r="DN172" i="4"/>
  <c r="DN171" i="4"/>
  <c r="DN170" i="4"/>
  <c r="DN169" i="4"/>
  <c r="DN168" i="4"/>
  <c r="DN167" i="4"/>
  <c r="DN166" i="4"/>
  <c r="DN165" i="4"/>
  <c r="DN163" i="4"/>
  <c r="DN162" i="4"/>
  <c r="DN161" i="4"/>
  <c r="DN160" i="4"/>
  <c r="DN158" i="4"/>
  <c r="DN157" i="4"/>
  <c r="DN156" i="4"/>
  <c r="DN155" i="4"/>
  <c r="DN154" i="4"/>
  <c r="DN153" i="4"/>
  <c r="DN152" i="4"/>
  <c r="DN151" i="4"/>
  <c r="DN150" i="4"/>
  <c r="DN149" i="4"/>
  <c r="DN148" i="4"/>
  <c r="DN147" i="4"/>
  <c r="DN145" i="4"/>
  <c r="DN144" i="4"/>
  <c r="DN143" i="4"/>
  <c r="DN142" i="4"/>
  <c r="DN141" i="4"/>
  <c r="DN140" i="4"/>
  <c r="DN139" i="4"/>
  <c r="DN138" i="4"/>
  <c r="DN137" i="4"/>
  <c r="DN135" i="4"/>
  <c r="DN134" i="4"/>
  <c r="DN133" i="4"/>
  <c r="DN132" i="4"/>
  <c r="DN131" i="4"/>
  <c r="DN130" i="4"/>
  <c r="DN129" i="4"/>
  <c r="DN128" i="4"/>
  <c r="DN127" i="4"/>
  <c r="DN126" i="4"/>
  <c r="DN125" i="4"/>
  <c r="DN123" i="4"/>
  <c r="DN117" i="4"/>
  <c r="DN112" i="4"/>
  <c r="DN81" i="4"/>
  <c r="DN74" i="4"/>
  <c r="DN62" i="4"/>
  <c r="DN61" i="4"/>
  <c r="DN36" i="4"/>
  <c r="DN27" i="4"/>
  <c r="DN26" i="4"/>
  <c r="DN23" i="4"/>
  <c r="DN22" i="4"/>
  <c r="DN11" i="4"/>
  <c r="DL195" i="4"/>
  <c r="DL194" i="4"/>
  <c r="DL193" i="4"/>
  <c r="DL192" i="4"/>
  <c r="DL191" i="4"/>
  <c r="DL190" i="4"/>
  <c r="DL189" i="4"/>
  <c r="DL188" i="4"/>
  <c r="DL187" i="4"/>
  <c r="DL186" i="4"/>
  <c r="DL185" i="4"/>
  <c r="DL184" i="4"/>
  <c r="DL183" i="4"/>
  <c r="DL182" i="4"/>
  <c r="DL181" i="4"/>
  <c r="DL180" i="4"/>
  <c r="DL179" i="4"/>
  <c r="DL178" i="4"/>
  <c r="DL177" i="4"/>
  <c r="DL176" i="4"/>
  <c r="DL175" i="4"/>
  <c r="DL174" i="4"/>
  <c r="DL173" i="4"/>
  <c r="DL172" i="4"/>
  <c r="DL171" i="4"/>
  <c r="DL170" i="4"/>
  <c r="DL169" i="4"/>
  <c r="DL168" i="4"/>
  <c r="DL167" i="4"/>
  <c r="DL166" i="4"/>
  <c r="DL165" i="4"/>
  <c r="DL163" i="4"/>
  <c r="DL162" i="4"/>
  <c r="DL161" i="4"/>
  <c r="DL160" i="4"/>
  <c r="DL158" i="4"/>
  <c r="DL157" i="4"/>
  <c r="DL156" i="4"/>
  <c r="DL155" i="4"/>
  <c r="DL154" i="4"/>
  <c r="DL153" i="4"/>
  <c r="DL152" i="4"/>
  <c r="DL151" i="4"/>
  <c r="DL150" i="4"/>
  <c r="DL149" i="4"/>
  <c r="DL148" i="4"/>
  <c r="DL147" i="4"/>
  <c r="DL145" i="4"/>
  <c r="DL144" i="4"/>
  <c r="DL143" i="4"/>
  <c r="DL142" i="4"/>
  <c r="DL141" i="4"/>
  <c r="DL140" i="4"/>
  <c r="DL139" i="4"/>
  <c r="DL138" i="4"/>
  <c r="DL137" i="4"/>
  <c r="DL135" i="4"/>
  <c r="DL134" i="4"/>
  <c r="DL133" i="4"/>
  <c r="DL132" i="4"/>
  <c r="DL131" i="4"/>
  <c r="DL130" i="4"/>
  <c r="DL129" i="4"/>
  <c r="DL128" i="4"/>
  <c r="DL127" i="4"/>
  <c r="DL126" i="4"/>
  <c r="DL125" i="4"/>
  <c r="DL123" i="4"/>
  <c r="DL117" i="4"/>
  <c r="DL112" i="4"/>
  <c r="DL81" i="4"/>
  <c r="DL74" i="4"/>
  <c r="DL62" i="4"/>
  <c r="DL61" i="4"/>
  <c r="DL36" i="4"/>
  <c r="DL27" i="4"/>
  <c r="DL26" i="4"/>
  <c r="DL23" i="4"/>
  <c r="DL22" i="4"/>
  <c r="DL11" i="4"/>
  <c r="DM74" i="4"/>
  <c r="DM62" i="4"/>
  <c r="DM61" i="4"/>
  <c r="DM36" i="4"/>
  <c r="DM27" i="4"/>
  <c r="DM26" i="4"/>
  <c r="DM23" i="4"/>
  <c r="DM22" i="4"/>
  <c r="DM11" i="4"/>
  <c r="DM195" i="4"/>
  <c r="DM194" i="4"/>
  <c r="DM193" i="4"/>
  <c r="DM192" i="4"/>
  <c r="DM191" i="4"/>
  <c r="DM190" i="4"/>
  <c r="DM189" i="4"/>
  <c r="DM188" i="4"/>
  <c r="DM187" i="4"/>
  <c r="DM186" i="4"/>
  <c r="DM185" i="4"/>
  <c r="BW200" i="2"/>
  <c r="BM36" i="2"/>
  <c r="BM11" i="2"/>
  <c r="B2014" i="8"/>
  <c r="A2014" i="8" s="1"/>
  <c r="B2015" i="8"/>
  <c r="A2015" i="8" s="1"/>
  <c r="B2016" i="8"/>
  <c r="A2016" i="8" s="1"/>
  <c r="B2017" i="8"/>
  <c r="A2017" i="8" s="1"/>
  <c r="B2018" i="8"/>
  <c r="A2018" i="8" s="1"/>
  <c r="B2019" i="8"/>
  <c r="A2019" i="8" s="1"/>
  <c r="B2020" i="8"/>
  <c r="A2020" i="8" s="1"/>
  <c r="B2021" i="8"/>
  <c r="A2021" i="8" s="1"/>
  <c r="B2022" i="8"/>
  <c r="A2022" i="8" s="1"/>
  <c r="B2023" i="8"/>
  <c r="A2023" i="8" s="1"/>
  <c r="B2024" i="8"/>
  <c r="A2024" i="8" s="1"/>
  <c r="B2025" i="8"/>
  <c r="A2025" i="8" s="1"/>
  <c r="B2026" i="8"/>
  <c r="A2026" i="8" s="1"/>
  <c r="B2027" i="8"/>
  <c r="A2027" i="8" s="1"/>
  <c r="B2028" i="8"/>
  <c r="A2028" i="8" s="1"/>
  <c r="B2029" i="8"/>
  <c r="A2029" i="8" s="1"/>
  <c r="B2030" i="8"/>
  <c r="A2030" i="8" s="1"/>
  <c r="B2031" i="8"/>
  <c r="A2031" i="8" s="1"/>
  <c r="B2032" i="8"/>
  <c r="A2032" i="8" s="1"/>
  <c r="B2033" i="8"/>
  <c r="A2033" i="8" s="1"/>
  <c r="B2034" i="8"/>
  <c r="A2034" i="8" s="1"/>
  <c r="B2035" i="8"/>
  <c r="A2035" i="8" s="1"/>
  <c r="G48" i="3"/>
  <c r="BM23" i="1" l="1"/>
  <c r="DP95" i="4"/>
  <c r="Q19" i="5"/>
  <c r="DL95" i="4"/>
  <c r="BK23" i="1"/>
  <c r="DN95" i="4"/>
  <c r="BI23" i="1"/>
  <c r="T19" i="5"/>
  <c r="DM95" i="4"/>
  <c r="BL23" i="1"/>
  <c r="S19" i="5"/>
  <c r="DO95" i="4"/>
  <c r="BJ23" i="1"/>
  <c r="P19" i="5"/>
  <c r="R19" i="5"/>
  <c r="T34" i="9"/>
  <c r="AB34" i="9" s="1"/>
  <c r="DP34" i="4"/>
  <c r="DL34" i="4"/>
  <c r="AD10" i="3"/>
  <c r="V34" i="3"/>
  <c r="AD34" i="3" s="1"/>
  <c r="DO34" i="4"/>
  <c r="DN34" i="4"/>
  <c r="BM34" i="2"/>
  <c r="BU34" i="2" s="1"/>
  <c r="DM34" i="4"/>
  <c r="AB10" i="9"/>
  <c r="AC10" i="9"/>
  <c r="DK150" i="4"/>
  <c r="DK152" i="4"/>
  <c r="DK154" i="4"/>
  <c r="DK156" i="4"/>
  <c r="DK157" i="4"/>
  <c r="DK161" i="4"/>
  <c r="DK149" i="4"/>
  <c r="DK151" i="4"/>
  <c r="DK153" i="4"/>
  <c r="DK155" i="4"/>
  <c r="DK158" i="4"/>
  <c r="DK160" i="4"/>
  <c r="DK81" i="4"/>
  <c r="DK95" i="4"/>
  <c r="DK96" i="4"/>
  <c r="DK112" i="4"/>
  <c r="DK117" i="4"/>
  <c r="DK123" i="4"/>
  <c r="DK162" i="4"/>
  <c r="DK163" i="4"/>
  <c r="DK165" i="4"/>
  <c r="DK166" i="4"/>
  <c r="DK167" i="4"/>
  <c r="DK179" i="4"/>
  <c r="DK180" i="4"/>
  <c r="DK181" i="4"/>
  <c r="DK182" i="4"/>
  <c r="DK183" i="4"/>
  <c r="DK184" i="4"/>
  <c r="DK185" i="4"/>
  <c r="DK186" i="4"/>
  <c r="DK187" i="4"/>
  <c r="DK188" i="4"/>
  <c r="DK189" i="4"/>
  <c r="DK190" i="4"/>
  <c r="DK191" i="4"/>
  <c r="DK194" i="4"/>
  <c r="DK195" i="4"/>
  <c r="DK192" i="4"/>
  <c r="DK193" i="4"/>
  <c r="BU23" i="1"/>
  <c r="BV23" i="1"/>
  <c r="AB20" i="5"/>
  <c r="AC20" i="5"/>
  <c r="AC19" i="5"/>
  <c r="F33" i="4"/>
  <c r="G33" i="4"/>
  <c r="H33" i="4"/>
  <c r="I33" i="4"/>
  <c r="J33" i="4"/>
  <c r="B1996" i="8"/>
  <c r="A1996" i="8" s="1"/>
  <c r="B1997" i="8"/>
  <c r="A1997" i="8" s="1"/>
  <c r="B1998" i="8"/>
  <c r="A1998" i="8" s="1"/>
  <c r="B1999" i="8"/>
  <c r="A1999" i="8" s="1"/>
  <c r="B2000" i="8"/>
  <c r="A2000" i="8" s="1"/>
  <c r="B2001" i="8"/>
  <c r="A2001" i="8" s="1"/>
  <c r="B2002" i="8"/>
  <c r="A2002" i="8" s="1"/>
  <c r="B2003" i="8"/>
  <c r="A2003" i="8" s="1"/>
  <c r="B2004" i="8"/>
  <c r="A2004" i="8" s="1"/>
  <c r="B2005" i="8"/>
  <c r="A2005" i="8" s="1"/>
  <c r="B2006" i="8"/>
  <c r="A2006" i="8" s="1"/>
  <c r="B2007" i="8"/>
  <c r="A2007" i="8" s="1"/>
  <c r="B2008" i="8"/>
  <c r="A2008" i="8" s="1"/>
  <c r="B2009" i="8"/>
  <c r="A2009" i="8" s="1"/>
  <c r="B2010" i="8"/>
  <c r="A2010" i="8" s="1"/>
  <c r="B2011" i="8"/>
  <c r="A2011" i="8" s="1"/>
  <c r="B2012" i="8"/>
  <c r="A2012" i="8" s="1"/>
  <c r="B2013" i="8"/>
  <c r="A2013" i="8" s="1"/>
  <c r="AB19" i="5" l="1"/>
  <c r="AC34" i="9"/>
  <c r="AE34" i="3"/>
  <c r="BV34" i="2"/>
  <c r="DQ96" i="4"/>
  <c r="DR96" i="4"/>
  <c r="DQ95" i="4"/>
  <c r="DR95" i="4"/>
  <c r="B1992" i="8"/>
  <c r="A1992" i="8" s="1"/>
  <c r="B1993" i="8"/>
  <c r="A1993" i="8" s="1"/>
  <c r="B1994" i="8"/>
  <c r="A1994" i="8" s="1"/>
  <c r="B1995" i="8"/>
  <c r="A1995" i="8" s="1"/>
  <c r="B1973" i="8"/>
  <c r="AA71" i="5" s="1"/>
  <c r="B1974" i="8"/>
  <c r="A1974" i="8" s="1"/>
  <c r="B1975" i="8"/>
  <c r="A1975" i="8" s="1"/>
  <c r="B1976" i="8"/>
  <c r="A1976" i="8" s="1"/>
  <c r="B1977" i="8"/>
  <c r="A1977" i="8" s="1"/>
  <c r="B1978" i="8"/>
  <c r="A1978" i="8" s="1"/>
  <c r="B1979" i="8"/>
  <c r="A1979" i="8" s="1"/>
  <c r="B1980" i="8"/>
  <c r="A1980" i="8" s="1"/>
  <c r="B1981" i="8"/>
  <c r="A1981" i="8" s="1"/>
  <c r="B1982" i="8"/>
  <c r="A1982" i="8" s="1"/>
  <c r="B1983" i="8"/>
  <c r="A1983" i="8" s="1"/>
  <c r="B1984" i="8"/>
  <c r="A1984" i="8" s="1"/>
  <c r="B1985" i="8"/>
  <c r="A1985" i="8" s="1"/>
  <c r="B1986" i="8"/>
  <c r="A1986" i="8" s="1"/>
  <c r="B1987" i="8"/>
  <c r="A1987" i="8" s="1"/>
  <c r="B1988" i="8"/>
  <c r="A1988" i="8" s="1"/>
  <c r="B1989" i="8"/>
  <c r="A1989" i="8" s="1"/>
  <c r="B1990" i="8"/>
  <c r="B1991" i="8"/>
  <c r="A1991" i="8" s="1"/>
  <c r="CM9" i="4"/>
  <c r="AD131" i="5"/>
  <c r="BW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1921" i="8"/>
  <c r="A1921" i="8" s="1"/>
  <c r="B1922" i="8"/>
  <c r="A1922" i="8" s="1"/>
  <c r="B1923" i="8"/>
  <c r="A1923" i="8" s="1"/>
  <c r="B1924" i="8"/>
  <c r="A1924" i="8" s="1"/>
  <c r="B1925" i="8"/>
  <c r="A1925" i="8" s="1"/>
  <c r="B1926" i="8"/>
  <c r="A1926" i="8" s="1"/>
  <c r="B1927" i="8"/>
  <c r="A1927" i="8" s="1"/>
  <c r="B1928" i="8"/>
  <c r="A1928" i="8" s="1"/>
  <c r="B1929" i="8"/>
  <c r="A1929" i="8" s="1"/>
  <c r="B1930" i="8"/>
  <c r="A1930" i="8" s="1"/>
  <c r="B1931" i="8"/>
  <c r="B1932" i="8"/>
  <c r="A1932" i="8" s="1"/>
  <c r="B1933" i="8"/>
  <c r="A1933" i="8" s="1"/>
  <c r="B1934" i="8"/>
  <c r="A1934" i="8" s="1"/>
  <c r="B1935" i="8"/>
  <c r="A1935" i="8" s="1"/>
  <c r="B1936" i="8"/>
  <c r="A1936" i="8" s="1"/>
  <c r="B1937" i="8"/>
  <c r="A1937" i="8" s="1"/>
  <c r="B1938" i="8"/>
  <c r="A1938" i="8" s="1"/>
  <c r="B1939" i="8"/>
  <c r="A1939" i="8" s="1"/>
  <c r="B1940" i="8"/>
  <c r="A1940" i="8" s="1"/>
  <c r="B1941" i="8"/>
  <c r="A1941" i="8" s="1"/>
  <c r="B1942" i="8"/>
  <c r="A1942" i="8" s="1"/>
  <c r="B1943" i="8"/>
  <c r="A1943" i="8" s="1"/>
  <c r="B1944" i="8"/>
  <c r="A1944" i="8" s="1"/>
  <c r="B1945" i="8"/>
  <c r="A1945" i="8" s="1"/>
  <c r="B1946" i="8"/>
  <c r="A1946" i="8" s="1"/>
  <c r="B1947" i="8"/>
  <c r="A1947" i="8" s="1"/>
  <c r="B1948" i="8"/>
  <c r="A1948" i="8" s="1"/>
  <c r="B1949" i="8"/>
  <c r="A1949" i="8" s="1"/>
  <c r="B1950" i="8"/>
  <c r="A1950" i="8" s="1"/>
  <c r="B1951" i="8"/>
  <c r="A1951" i="8" s="1"/>
  <c r="B1952" i="8"/>
  <c r="A1952" i="8" s="1"/>
  <c r="B1953" i="8"/>
  <c r="A1953" i="8" s="1"/>
  <c r="B1954" i="8"/>
  <c r="A1954" i="8" s="1"/>
  <c r="B1955" i="8"/>
  <c r="A1955" i="8" s="1"/>
  <c r="B1956" i="8"/>
  <c r="A1956" i="8" s="1"/>
  <c r="B1957" i="8"/>
  <c r="A1957" i="8" s="1"/>
  <c r="B1958" i="8"/>
  <c r="A1958" i="8" s="1"/>
  <c r="B1959" i="8"/>
  <c r="A1959" i="8" s="1"/>
  <c r="B1960" i="8"/>
  <c r="A1960" i="8" s="1"/>
  <c r="B1961" i="8"/>
  <c r="A1961" i="8" s="1"/>
  <c r="B1962" i="8"/>
  <c r="A1962" i="8" s="1"/>
  <c r="B1963" i="8"/>
  <c r="A1963" i="8" s="1"/>
  <c r="B1964" i="8"/>
  <c r="A1964" i="8" s="1"/>
  <c r="B1965" i="8"/>
  <c r="A1965" i="8" s="1"/>
  <c r="B1966" i="8"/>
  <c r="A1966" i="8" s="1"/>
  <c r="B1967" i="8"/>
  <c r="A1967" i="8" s="1"/>
  <c r="B1968" i="8"/>
  <c r="A1968" i="8" s="1"/>
  <c r="B1969" i="8"/>
  <c r="A1969" i="8" s="1"/>
  <c r="B1970" i="8"/>
  <c r="A1970" i="8" s="1"/>
  <c r="B1971" i="8"/>
  <c r="B1972" i="8"/>
  <c r="A1972" i="8" s="1"/>
  <c r="B1859" i="8"/>
  <c r="A1859" i="8" s="1"/>
  <c r="B1860" i="8"/>
  <c r="B1861" i="8"/>
  <c r="A1861" i="8" s="1"/>
  <c r="B1862" i="8"/>
  <c r="B1863" i="8"/>
  <c r="A1863" i="8" s="1"/>
  <c r="B1864" i="8"/>
  <c r="A1864" i="8" s="1"/>
  <c r="B1865" i="8"/>
  <c r="B1866" i="8"/>
  <c r="A1866" i="8" s="1"/>
  <c r="B1867" i="8"/>
  <c r="A1867" i="8" s="1"/>
  <c r="B1868" i="8"/>
  <c r="A1868" i="8" s="1"/>
  <c r="B1869" i="8"/>
  <c r="A1869" i="8" s="1"/>
  <c r="B1870" i="8"/>
  <c r="A1870" i="8" s="1"/>
  <c r="B1871" i="8"/>
  <c r="A1871" i="8" s="1"/>
  <c r="B1872" i="8"/>
  <c r="A1872" i="8" s="1"/>
  <c r="B1873" i="8"/>
  <c r="A1873" i="8" s="1"/>
  <c r="B1874" i="8"/>
  <c r="A1874" i="8" s="1"/>
  <c r="B1875" i="8"/>
  <c r="A1875" i="8" s="1"/>
  <c r="B1876" i="8"/>
  <c r="A1876" i="8" s="1"/>
  <c r="B1877" i="8"/>
  <c r="A1877" i="8" s="1"/>
  <c r="B1878" i="8"/>
  <c r="A1878" i="8" s="1"/>
  <c r="B1879" i="8"/>
  <c r="A1879" i="8" s="1"/>
  <c r="B1880" i="8"/>
  <c r="A1880" i="8" s="1"/>
  <c r="B1881" i="8"/>
  <c r="A1881" i="8" s="1"/>
  <c r="B1882" i="8"/>
  <c r="A1882" i="8" s="1"/>
  <c r="B1883" i="8"/>
  <c r="A1883" i="8" s="1"/>
  <c r="B1884" i="8"/>
  <c r="A1884" i="8" s="1"/>
  <c r="B1885" i="8"/>
  <c r="A1885" i="8" s="1"/>
  <c r="B1886" i="8"/>
  <c r="A1886" i="8" s="1"/>
  <c r="B1887" i="8"/>
  <c r="A1887" i="8" s="1"/>
  <c r="B1888" i="8"/>
  <c r="A1888" i="8" s="1"/>
  <c r="B1889" i="8"/>
  <c r="A1889" i="8" s="1"/>
  <c r="B1890" i="8"/>
  <c r="A1890" i="8" s="1"/>
  <c r="B1891" i="8"/>
  <c r="A1891" i="8" s="1"/>
  <c r="B1892" i="8"/>
  <c r="A1892" i="8" s="1"/>
  <c r="B1893" i="8"/>
  <c r="A1893" i="8" s="1"/>
  <c r="B1894" i="8"/>
  <c r="A1894" i="8" s="1"/>
  <c r="B1895" i="8"/>
  <c r="A1895" i="8" s="1"/>
  <c r="B1896" i="8"/>
  <c r="A1896" i="8" s="1"/>
  <c r="B1897" i="8"/>
  <c r="A1897" i="8" s="1"/>
  <c r="B1898" i="8"/>
  <c r="A1898" i="8" s="1"/>
  <c r="B1899" i="8"/>
  <c r="A1899" i="8" s="1"/>
  <c r="B1900" i="8"/>
  <c r="A1900" i="8" s="1"/>
  <c r="B1901" i="8"/>
  <c r="A1901" i="8" s="1"/>
  <c r="B1902" i="8"/>
  <c r="A1902" i="8" s="1"/>
  <c r="B1903" i="8"/>
  <c r="A1903" i="8" s="1"/>
  <c r="B1904" i="8"/>
  <c r="A1904" i="8" s="1"/>
  <c r="B1905" i="8"/>
  <c r="A1905" i="8" s="1"/>
  <c r="B1906" i="8"/>
  <c r="A1906" i="8" s="1"/>
  <c r="B1907" i="8"/>
  <c r="A1907" i="8" s="1"/>
  <c r="B1908" i="8"/>
  <c r="A1908" i="8" s="1"/>
  <c r="B1909" i="8"/>
  <c r="A1909" i="8" s="1"/>
  <c r="B1910" i="8"/>
  <c r="A1910" i="8" s="1"/>
  <c r="B1911" i="8"/>
  <c r="A1911" i="8" s="1"/>
  <c r="B1912" i="8"/>
  <c r="A1912" i="8" s="1"/>
  <c r="B1913" i="8"/>
  <c r="A1913" i="8" s="1"/>
  <c r="B1914" i="8"/>
  <c r="A1914" i="8" s="1"/>
  <c r="B1915" i="8"/>
  <c r="A1915" i="8" s="1"/>
  <c r="B1916" i="8"/>
  <c r="A1916" i="8" s="1"/>
  <c r="B1917" i="8"/>
  <c r="A1917" i="8" s="1"/>
  <c r="B1918" i="8"/>
  <c r="A1918" i="8" s="1"/>
  <c r="B1919" i="8"/>
  <c r="A1919" i="8" s="1"/>
  <c r="B1920" i="8"/>
  <c r="A1920" i="8" s="1"/>
  <c r="B1849" i="8"/>
  <c r="A1849" i="8" s="1"/>
  <c r="B1850" i="8"/>
  <c r="A1850" i="8" s="1"/>
  <c r="B1851" i="8"/>
  <c r="A1851" i="8" s="1"/>
  <c r="B1852" i="8"/>
  <c r="A1852" i="8" s="1"/>
  <c r="B1853" i="8"/>
  <c r="A1853" i="8" s="1"/>
  <c r="B1854" i="8"/>
  <c r="A1854" i="8" s="1"/>
  <c r="B1855" i="8"/>
  <c r="A1855" i="8" s="1"/>
  <c r="B1856" i="8"/>
  <c r="B1857" i="8"/>
  <c r="A1857" i="8" s="1"/>
  <c r="B1858" i="8"/>
  <c r="A1858" i="8" s="1"/>
  <c r="B1785" i="8"/>
  <c r="A1785" i="8" s="1"/>
  <c r="B1786" i="8"/>
  <c r="A1786" i="8" s="1"/>
  <c r="B1787" i="8"/>
  <c r="A1787" i="8" s="1"/>
  <c r="B1788" i="8"/>
  <c r="A1788" i="8" s="1"/>
  <c r="B1789" i="8"/>
  <c r="A1789" i="8" s="1"/>
  <c r="B1790" i="8"/>
  <c r="A1790" i="8" s="1"/>
  <c r="B1791" i="8"/>
  <c r="A1791" i="8" s="1"/>
  <c r="B1792" i="8"/>
  <c r="A1792" i="8" s="1"/>
  <c r="B1793" i="8"/>
  <c r="A1793" i="8" s="1"/>
  <c r="B1794" i="8"/>
  <c r="A1794" i="8" s="1"/>
  <c r="B1795" i="8"/>
  <c r="A1795" i="8" s="1"/>
  <c r="B1796" i="8"/>
  <c r="A1796" i="8" s="1"/>
  <c r="B1797" i="8"/>
  <c r="A1797" i="8" s="1"/>
  <c r="B1798" i="8"/>
  <c r="A1798" i="8" s="1"/>
  <c r="B1799" i="8"/>
  <c r="A1799" i="8" s="1"/>
  <c r="B1800" i="8"/>
  <c r="A1800" i="8" s="1"/>
  <c r="B1801" i="8"/>
  <c r="A1801" i="8" s="1"/>
  <c r="B1802" i="8"/>
  <c r="A1802" i="8" s="1"/>
  <c r="B1803" i="8"/>
  <c r="A1803" i="8" s="1"/>
  <c r="B1804" i="8"/>
  <c r="S9" i="3" s="1"/>
  <c r="B1805" i="8"/>
  <c r="A1805" i="8" s="1"/>
  <c r="B1806" i="8"/>
  <c r="A1806" i="8" s="1"/>
  <c r="B1807" i="8"/>
  <c r="A1807" i="8" s="1"/>
  <c r="B1808" i="8"/>
  <c r="A1808" i="8" s="1"/>
  <c r="B1809" i="8"/>
  <c r="A1809" i="8" s="1"/>
  <c r="B1810" i="8"/>
  <c r="A1810" i="8" s="1"/>
  <c r="B1811" i="8"/>
  <c r="A1811" i="8" s="1"/>
  <c r="B1812" i="8"/>
  <c r="A1812" i="8" s="1"/>
  <c r="B1813" i="8"/>
  <c r="A1813" i="8" s="1"/>
  <c r="B1814" i="8"/>
  <c r="A1814" i="8" s="1"/>
  <c r="B1815" i="8"/>
  <c r="A1815" i="8" s="1"/>
  <c r="B1816" i="8"/>
  <c r="A1816" i="8" s="1"/>
  <c r="B1817" i="8"/>
  <c r="A1817" i="8" s="1"/>
  <c r="B1818" i="8"/>
  <c r="A1818" i="8" s="1"/>
  <c r="B1819" i="8"/>
  <c r="A1819" i="8" s="1"/>
  <c r="B1820" i="8"/>
  <c r="A1820" i="8" s="1"/>
  <c r="B1821" i="8"/>
  <c r="A1821" i="8" s="1"/>
  <c r="B1822" i="8"/>
  <c r="A1822" i="8" s="1"/>
  <c r="B1823" i="8"/>
  <c r="A1823" i="8" s="1"/>
  <c r="B1824" i="8"/>
  <c r="A1824" i="8" s="1"/>
  <c r="B1825" i="8"/>
  <c r="A1825" i="8" s="1"/>
  <c r="B1826" i="8"/>
  <c r="B1827" i="8"/>
  <c r="A1827" i="8" s="1"/>
  <c r="B1828" i="8"/>
  <c r="A1828" i="8" s="1"/>
  <c r="B1829" i="8"/>
  <c r="A1829" i="8" s="1"/>
  <c r="B1830" i="8"/>
  <c r="A1830" i="8" s="1"/>
  <c r="B1831" i="8"/>
  <c r="B1832" i="8"/>
  <c r="A1832" i="8" s="1"/>
  <c r="B1833" i="8"/>
  <c r="A1833" i="8" s="1"/>
  <c r="B1834" i="8"/>
  <c r="A1834" i="8" s="1"/>
  <c r="B1835" i="8"/>
  <c r="A1835" i="8" s="1"/>
  <c r="B1836" i="8"/>
  <c r="A1836" i="8" s="1"/>
  <c r="B1837" i="8"/>
  <c r="A1837" i="8" s="1"/>
  <c r="B1838" i="8"/>
  <c r="A1838" i="8" s="1"/>
  <c r="B1839" i="8"/>
  <c r="A1839" i="8" s="1"/>
  <c r="B1840" i="8"/>
  <c r="A1840" i="8" s="1"/>
  <c r="B1841" i="8"/>
  <c r="A1841" i="8" s="1"/>
  <c r="B1842" i="8"/>
  <c r="A1842" i="8" s="1"/>
  <c r="B1843" i="8"/>
  <c r="A1843" i="8" s="1"/>
  <c r="B1844" i="8"/>
  <c r="A1844" i="8" s="1"/>
  <c r="B1845" i="8"/>
  <c r="A1845" i="8" s="1"/>
  <c r="B1846" i="8"/>
  <c r="A1846" i="8" s="1"/>
  <c r="B1847" i="8"/>
  <c r="A1847" i="8" s="1"/>
  <c r="B1848" i="8"/>
  <c r="A1848" i="8" s="1"/>
  <c r="CL9" i="4"/>
  <c r="AF188" i="3"/>
  <c r="AF9" i="3"/>
  <c r="R9" i="3"/>
  <c r="DS9" i="4"/>
  <c r="CR9" i="4"/>
  <c r="CW9" i="4"/>
  <c r="DB9" i="4"/>
  <c r="F9" i="4"/>
  <c r="G9" i="4"/>
  <c r="H9" i="4"/>
  <c r="I9" i="4"/>
  <c r="J9" i="4"/>
  <c r="BW9" i="2"/>
  <c r="BL9" i="2"/>
  <c r="BC9" i="2"/>
  <c r="J76" i="4"/>
  <c r="J46" i="4"/>
  <c r="S11" i="9"/>
  <c r="BW126" i="1"/>
  <c r="BW127" i="1"/>
  <c r="B1772" i="8"/>
  <c r="A1772" i="8" s="1"/>
  <c r="B1773" i="8"/>
  <c r="A1773" i="8" s="1"/>
  <c r="B1774" i="8"/>
  <c r="A1774" i="8" s="1"/>
  <c r="B1775" i="8"/>
  <c r="A1775" i="8" s="1"/>
  <c r="B1776" i="8"/>
  <c r="A1776" i="8" s="1"/>
  <c r="B1777" i="8"/>
  <c r="A1777" i="8" s="1"/>
  <c r="B1778" i="8"/>
  <c r="A1778" i="8" s="1"/>
  <c r="B1779" i="8"/>
  <c r="A1779" i="8" s="1"/>
  <c r="B1780" i="8"/>
  <c r="A1780" i="8" s="1"/>
  <c r="B1781" i="8"/>
  <c r="A1781" i="8" s="1"/>
  <c r="B1782" i="8"/>
  <c r="A1782" i="8" s="1"/>
  <c r="B1783" i="8"/>
  <c r="A1783" i="8" s="1"/>
  <c r="B1784" i="8"/>
  <c r="A1784" i="8" s="1"/>
  <c r="DS196" i="4"/>
  <c r="DS197" i="4"/>
  <c r="F197" i="4"/>
  <c r="G197" i="4"/>
  <c r="H197" i="4"/>
  <c r="I197" i="4"/>
  <c r="J197" i="4"/>
  <c r="G49" i="9"/>
  <c r="J49" i="4" s="1"/>
  <c r="J59" i="4"/>
  <c r="AD9" i="9"/>
  <c r="F196" i="4"/>
  <c r="G196" i="4"/>
  <c r="H196" i="4"/>
  <c r="I196" i="4"/>
  <c r="J196" i="4"/>
  <c r="AF187" i="3"/>
  <c r="B1736" i="8"/>
  <c r="A1736" i="8" s="1"/>
  <c r="B1737" i="8"/>
  <c r="A1737" i="8" s="1"/>
  <c r="B1738" i="8"/>
  <c r="A1738" i="8" s="1"/>
  <c r="B1739" i="8"/>
  <c r="A1739" i="8" s="1"/>
  <c r="B1740" i="8"/>
  <c r="A1740" i="8" s="1"/>
  <c r="B1741" i="8"/>
  <c r="A1741" i="8" s="1"/>
  <c r="B1742" i="8"/>
  <c r="A1742" i="8" s="1"/>
  <c r="B1743" i="8"/>
  <c r="A1743" i="8" s="1"/>
  <c r="B1744" i="8"/>
  <c r="A1744" i="8" s="1"/>
  <c r="B1745" i="8"/>
  <c r="A1745" i="8" s="1"/>
  <c r="B1746" i="8"/>
  <c r="A1746" i="8" s="1"/>
  <c r="B1747" i="8"/>
  <c r="A1747" i="8" s="1"/>
  <c r="B1748" i="8"/>
  <c r="A1748" i="8" s="1"/>
  <c r="B1749" i="8"/>
  <c r="A1749" i="8" s="1"/>
  <c r="B1750" i="8"/>
  <c r="A1750" i="8" s="1"/>
  <c r="B1751" i="8"/>
  <c r="A1751" i="8" s="1"/>
  <c r="B1752" i="8"/>
  <c r="A1752" i="8" s="1"/>
  <c r="B1753" i="8"/>
  <c r="A1753" i="8" s="1"/>
  <c r="B1754" i="8"/>
  <c r="A1754" i="8" s="1"/>
  <c r="B1755" i="8"/>
  <c r="A1755" i="8" s="1"/>
  <c r="B1756" i="8"/>
  <c r="A1756" i="8" s="1"/>
  <c r="B1757" i="8"/>
  <c r="A1757" i="8" s="1"/>
  <c r="B1758" i="8"/>
  <c r="A1758" i="8" s="1"/>
  <c r="B1759" i="8"/>
  <c r="A1759" i="8" s="1"/>
  <c r="B1760" i="8"/>
  <c r="A1760" i="8" s="1"/>
  <c r="B1761" i="8"/>
  <c r="A1761" i="8" s="1"/>
  <c r="B1762" i="8"/>
  <c r="A1762" i="8" s="1"/>
  <c r="B1763" i="8"/>
  <c r="A1763" i="8" s="1"/>
  <c r="B1764" i="8"/>
  <c r="A1764" i="8" s="1"/>
  <c r="B1765" i="8"/>
  <c r="A1765" i="8" s="1"/>
  <c r="B1766" i="8"/>
  <c r="A1766" i="8" s="1"/>
  <c r="B1767" i="8"/>
  <c r="A1767" i="8" s="1"/>
  <c r="B1768" i="8"/>
  <c r="A1768" i="8" s="1"/>
  <c r="B1769" i="8"/>
  <c r="A1769" i="8" s="1"/>
  <c r="B1770" i="8"/>
  <c r="A1770" i="8" s="1"/>
  <c r="B1771" i="8"/>
  <c r="A1771" i="8" s="1"/>
  <c r="G48" i="9"/>
  <c r="J48" i="4" s="1"/>
  <c r="Z129" i="5"/>
  <c r="Z128" i="5"/>
  <c r="Z127" i="5"/>
  <c r="Z126" i="5"/>
  <c r="Z125" i="5"/>
  <c r="Z124" i="5"/>
  <c r="Z123" i="5"/>
  <c r="Z122" i="5"/>
  <c r="Z121" i="5"/>
  <c r="Z120" i="5"/>
  <c r="Z119" i="5"/>
  <c r="Z118" i="5"/>
  <c r="Z117" i="5"/>
  <c r="Z116" i="5"/>
  <c r="Z115" i="5"/>
  <c r="Z114" i="5"/>
  <c r="Z113" i="5"/>
  <c r="Z112" i="5"/>
  <c r="Z111" i="5"/>
  <c r="Z110" i="5"/>
  <c r="Z109" i="5"/>
  <c r="Z108" i="5"/>
  <c r="Z107" i="5"/>
  <c r="Z106" i="5"/>
  <c r="Z105" i="5"/>
  <c r="Z104" i="5"/>
  <c r="Z103" i="5"/>
  <c r="Z102" i="5"/>
  <c r="Z101" i="5"/>
  <c r="Z100" i="5"/>
  <c r="Z99" i="5"/>
  <c r="Z98" i="5"/>
  <c r="Z97" i="5"/>
  <c r="Z96" i="5"/>
  <c r="Z95" i="5"/>
  <c r="Z94" i="5"/>
  <c r="Z93" i="5"/>
  <c r="Z92" i="5"/>
  <c r="Z91" i="5"/>
  <c r="Z90" i="5"/>
  <c r="Z88" i="5"/>
  <c r="Z87" i="5"/>
  <c r="Z86" i="5"/>
  <c r="Z85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2" i="5"/>
  <c r="Z49" i="5"/>
  <c r="Z45" i="5"/>
  <c r="Z44" i="5"/>
  <c r="Z43" i="5"/>
  <c r="Z41" i="5"/>
  <c r="Z40" i="5"/>
  <c r="Z37" i="5"/>
  <c r="Z36" i="5"/>
  <c r="Z6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8" i="5"/>
  <c r="AA87" i="5"/>
  <c r="AA86" i="5"/>
  <c r="AA85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2" i="5"/>
  <c r="AA49" i="5"/>
  <c r="AA45" i="5"/>
  <c r="AA44" i="5"/>
  <c r="AA43" i="5"/>
  <c r="AA41" i="5"/>
  <c r="AA40" i="5"/>
  <c r="AA37" i="5"/>
  <c r="AA36" i="5"/>
  <c r="AA6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8" i="5"/>
  <c r="X87" i="5"/>
  <c r="X86" i="5"/>
  <c r="X85" i="5"/>
  <c r="X83" i="5"/>
  <c r="X82" i="5"/>
  <c r="X81" i="5"/>
  <c r="X80" i="5"/>
  <c r="X79" i="5"/>
  <c r="X78" i="5"/>
  <c r="X77" i="5"/>
  <c r="X76" i="5"/>
  <c r="X75" i="5"/>
  <c r="X74" i="5"/>
  <c r="X73" i="5"/>
  <c r="X72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2" i="5"/>
  <c r="X49" i="5"/>
  <c r="X45" i="5"/>
  <c r="X44" i="5"/>
  <c r="X43" i="5"/>
  <c r="X41" i="5"/>
  <c r="X40" i="5"/>
  <c r="X37" i="5"/>
  <c r="X36" i="5"/>
  <c r="X6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8" i="5"/>
  <c r="Y87" i="5"/>
  <c r="Y86" i="5"/>
  <c r="Y85" i="5"/>
  <c r="Y83" i="5"/>
  <c r="Y82" i="5"/>
  <c r="Y81" i="5"/>
  <c r="Y80" i="5"/>
  <c r="Y79" i="5"/>
  <c r="Y78" i="5"/>
  <c r="Y77" i="5"/>
  <c r="Y76" i="5"/>
  <c r="Y75" i="5"/>
  <c r="Y74" i="5"/>
  <c r="Y73" i="5"/>
  <c r="Y72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2" i="5"/>
  <c r="Y49" i="5"/>
  <c r="Y45" i="5"/>
  <c r="Y44" i="5"/>
  <c r="Y43" i="5"/>
  <c r="Y41" i="5"/>
  <c r="Y40" i="5"/>
  <c r="Y37" i="5"/>
  <c r="Y36" i="5"/>
  <c r="Y6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6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1" i="5"/>
  <c r="V90" i="5"/>
  <c r="V88" i="5"/>
  <c r="V87" i="5"/>
  <c r="V86" i="5"/>
  <c r="V85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2" i="5"/>
  <c r="V49" i="5"/>
  <c r="V45" i="5"/>
  <c r="V44" i="5"/>
  <c r="V43" i="5"/>
  <c r="V41" i="5"/>
  <c r="V40" i="5"/>
  <c r="V37" i="5"/>
  <c r="V36" i="5"/>
  <c r="V6" i="5"/>
  <c r="W129" i="5"/>
  <c r="W128" i="5"/>
  <c r="W127" i="5"/>
  <c r="W126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92" i="5"/>
  <c r="W91" i="5"/>
  <c r="W90" i="5"/>
  <c r="W88" i="5"/>
  <c r="W87" i="5"/>
  <c r="W86" i="5"/>
  <c r="W85" i="5"/>
  <c r="W83" i="5"/>
  <c r="W82" i="5"/>
  <c r="W81" i="5"/>
  <c r="W80" i="5"/>
  <c r="W79" i="5"/>
  <c r="W78" i="5"/>
  <c r="W77" i="5"/>
  <c r="W76" i="5"/>
  <c r="W75" i="5"/>
  <c r="W74" i="5"/>
  <c r="W73" i="5"/>
  <c r="W72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2" i="5"/>
  <c r="W49" i="5"/>
  <c r="W45" i="5"/>
  <c r="W44" i="5"/>
  <c r="W43" i="5"/>
  <c r="W41" i="5"/>
  <c r="W40" i="5"/>
  <c r="W37" i="5"/>
  <c r="W36" i="5"/>
  <c r="W6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8" i="5"/>
  <c r="U87" i="5"/>
  <c r="U86" i="5"/>
  <c r="U85" i="5"/>
  <c r="U83" i="5"/>
  <c r="U82" i="5"/>
  <c r="U81" i="5"/>
  <c r="U80" i="5"/>
  <c r="U79" i="5"/>
  <c r="U78" i="5"/>
  <c r="U77" i="5"/>
  <c r="U76" i="5"/>
  <c r="U75" i="5"/>
  <c r="U74" i="5"/>
  <c r="U73" i="5"/>
  <c r="U72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2" i="5"/>
  <c r="U49" i="5"/>
  <c r="U45" i="5"/>
  <c r="U44" i="5"/>
  <c r="U43" i="5"/>
  <c r="U41" i="5"/>
  <c r="U40" i="5"/>
  <c r="U37" i="5"/>
  <c r="U36" i="5"/>
  <c r="U6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8" i="5"/>
  <c r="T87" i="5"/>
  <c r="T86" i="5"/>
  <c r="T85" i="5"/>
  <c r="T83" i="5"/>
  <c r="T82" i="5"/>
  <c r="T81" i="5"/>
  <c r="T80" i="5"/>
  <c r="T79" i="5"/>
  <c r="T78" i="5"/>
  <c r="T77" i="5"/>
  <c r="T76" i="5"/>
  <c r="T75" i="5"/>
  <c r="T74" i="5"/>
  <c r="T73" i="5"/>
  <c r="T72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2" i="5"/>
  <c r="T49" i="5"/>
  <c r="T45" i="5"/>
  <c r="T44" i="5"/>
  <c r="T43" i="5"/>
  <c r="T41" i="5"/>
  <c r="T40" i="5"/>
  <c r="T37" i="5"/>
  <c r="T36" i="5"/>
  <c r="T6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8" i="5"/>
  <c r="S87" i="5"/>
  <c r="S86" i="5"/>
  <c r="S85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2" i="5"/>
  <c r="S49" i="5"/>
  <c r="S45" i="5"/>
  <c r="S44" i="5"/>
  <c r="S43" i="5"/>
  <c r="S41" i="5"/>
  <c r="S40" i="5"/>
  <c r="S37" i="5"/>
  <c r="S36" i="5"/>
  <c r="S6" i="5"/>
  <c r="G37" i="9"/>
  <c r="G60" i="9"/>
  <c r="G61" i="9"/>
  <c r="J25" i="4"/>
  <c r="G26" i="9"/>
  <c r="G27" i="9"/>
  <c r="DJ195" i="4"/>
  <c r="DJ194" i="4"/>
  <c r="DJ193" i="4"/>
  <c r="DJ192" i="4"/>
  <c r="DJ191" i="4"/>
  <c r="DJ190" i="4"/>
  <c r="DJ189" i="4"/>
  <c r="DJ188" i="4"/>
  <c r="DJ187" i="4"/>
  <c r="DJ186" i="4"/>
  <c r="DJ185" i="4"/>
  <c r="DJ184" i="4"/>
  <c r="DJ183" i="4"/>
  <c r="DJ182" i="4"/>
  <c r="DJ181" i="4"/>
  <c r="DJ180" i="4"/>
  <c r="DJ179" i="4"/>
  <c r="DJ178" i="4"/>
  <c r="DJ177" i="4"/>
  <c r="DJ176" i="4"/>
  <c r="DJ175" i="4"/>
  <c r="DJ174" i="4"/>
  <c r="DJ173" i="4"/>
  <c r="DJ172" i="4"/>
  <c r="DJ171" i="4"/>
  <c r="DJ170" i="4"/>
  <c r="DJ169" i="4"/>
  <c r="DJ168" i="4"/>
  <c r="DJ167" i="4"/>
  <c r="DJ166" i="4"/>
  <c r="DJ165" i="4"/>
  <c r="DJ163" i="4"/>
  <c r="DJ162" i="4"/>
  <c r="DJ161" i="4"/>
  <c r="DJ160" i="4"/>
  <c r="DJ158" i="4"/>
  <c r="DJ157" i="4"/>
  <c r="DJ156" i="4"/>
  <c r="DJ155" i="4"/>
  <c r="DJ154" i="4"/>
  <c r="DJ153" i="4"/>
  <c r="DJ152" i="4"/>
  <c r="DJ151" i="4"/>
  <c r="DJ150" i="4"/>
  <c r="DJ149" i="4"/>
  <c r="DJ148" i="4"/>
  <c r="DJ147" i="4"/>
  <c r="DJ146" i="4"/>
  <c r="DJ145" i="4"/>
  <c r="DJ144" i="4"/>
  <c r="DJ143" i="4"/>
  <c r="DJ142" i="4"/>
  <c r="DJ141" i="4"/>
  <c r="DJ140" i="4"/>
  <c r="DJ139" i="4"/>
  <c r="DJ138" i="4"/>
  <c r="DJ137" i="4"/>
  <c r="DJ136" i="4"/>
  <c r="DJ135" i="4"/>
  <c r="DJ134" i="4"/>
  <c r="DJ133" i="4"/>
  <c r="DJ132" i="4"/>
  <c r="DJ131" i="4"/>
  <c r="DJ130" i="4"/>
  <c r="DJ129" i="4"/>
  <c r="DJ128" i="4"/>
  <c r="DJ127" i="4"/>
  <c r="DJ126" i="4"/>
  <c r="DJ125" i="4"/>
  <c r="DJ123" i="4"/>
  <c r="DJ117" i="4"/>
  <c r="DJ113" i="4"/>
  <c r="DJ112" i="4"/>
  <c r="DJ81" i="4"/>
  <c r="DJ74" i="4"/>
  <c r="DJ62" i="4"/>
  <c r="DJ61" i="4"/>
  <c r="DJ36" i="4"/>
  <c r="DJ27" i="4"/>
  <c r="DJ26" i="4"/>
  <c r="DJ23" i="4"/>
  <c r="DJ22" i="4"/>
  <c r="DJ11" i="4"/>
  <c r="DI195" i="4"/>
  <c r="DI194" i="4"/>
  <c r="DI193" i="4"/>
  <c r="DI192" i="4"/>
  <c r="DI191" i="4"/>
  <c r="DI190" i="4"/>
  <c r="DI189" i="4"/>
  <c r="DI188" i="4"/>
  <c r="DI187" i="4"/>
  <c r="DI186" i="4"/>
  <c r="DI185" i="4"/>
  <c r="DI184" i="4"/>
  <c r="DI183" i="4"/>
  <c r="DI182" i="4"/>
  <c r="DI181" i="4"/>
  <c r="DI180" i="4"/>
  <c r="DI179" i="4"/>
  <c r="DI178" i="4"/>
  <c r="DI177" i="4"/>
  <c r="DI176" i="4"/>
  <c r="DI175" i="4"/>
  <c r="DI174" i="4"/>
  <c r="DI173" i="4"/>
  <c r="DI172" i="4"/>
  <c r="DI171" i="4"/>
  <c r="DI170" i="4"/>
  <c r="DI169" i="4"/>
  <c r="DI168" i="4"/>
  <c r="DI167" i="4"/>
  <c r="DI166" i="4"/>
  <c r="DI165" i="4"/>
  <c r="DI163" i="4"/>
  <c r="DI162" i="4"/>
  <c r="DI161" i="4"/>
  <c r="DI160" i="4"/>
  <c r="DI158" i="4"/>
  <c r="DI157" i="4"/>
  <c r="DI156" i="4"/>
  <c r="DI155" i="4"/>
  <c r="DI154" i="4"/>
  <c r="DI153" i="4"/>
  <c r="DI152" i="4"/>
  <c r="DI151" i="4"/>
  <c r="DI150" i="4"/>
  <c r="DI149" i="4"/>
  <c r="DI148" i="4"/>
  <c r="DI147" i="4"/>
  <c r="DI146" i="4"/>
  <c r="DI145" i="4"/>
  <c r="DI144" i="4"/>
  <c r="DI143" i="4"/>
  <c r="DI142" i="4"/>
  <c r="DI141" i="4"/>
  <c r="DI140" i="4"/>
  <c r="DI139" i="4"/>
  <c r="DI138" i="4"/>
  <c r="DI137" i="4"/>
  <c r="DI136" i="4"/>
  <c r="DI135" i="4"/>
  <c r="DI134" i="4"/>
  <c r="DI133" i="4"/>
  <c r="DI132" i="4"/>
  <c r="DI131" i="4"/>
  <c r="DI130" i="4"/>
  <c r="DI129" i="4"/>
  <c r="DI128" i="4"/>
  <c r="DI127" i="4"/>
  <c r="DI126" i="4"/>
  <c r="DI125" i="4"/>
  <c r="DI123" i="4"/>
  <c r="DI117" i="4"/>
  <c r="DI113" i="4"/>
  <c r="DI112" i="4"/>
  <c r="DI81" i="4"/>
  <c r="DI74" i="4"/>
  <c r="DI62" i="4"/>
  <c r="DI61" i="4"/>
  <c r="DI36" i="4"/>
  <c r="DI27" i="4"/>
  <c r="DI26" i="4"/>
  <c r="DI23" i="4"/>
  <c r="DI22" i="4"/>
  <c r="DI11" i="4"/>
  <c r="DH195" i="4"/>
  <c r="DH194" i="4"/>
  <c r="DH193" i="4"/>
  <c r="DH192" i="4"/>
  <c r="DH191" i="4"/>
  <c r="DH190" i="4"/>
  <c r="DH189" i="4"/>
  <c r="DH188" i="4"/>
  <c r="DH187" i="4"/>
  <c r="DH186" i="4"/>
  <c r="DH185" i="4"/>
  <c r="DH184" i="4"/>
  <c r="DH183" i="4"/>
  <c r="DH182" i="4"/>
  <c r="DH181" i="4"/>
  <c r="DH180" i="4"/>
  <c r="DH179" i="4"/>
  <c r="DH178" i="4"/>
  <c r="DH177" i="4"/>
  <c r="DH176" i="4"/>
  <c r="DH175" i="4"/>
  <c r="DH174" i="4"/>
  <c r="DH173" i="4"/>
  <c r="DH172" i="4"/>
  <c r="DH171" i="4"/>
  <c r="DH170" i="4"/>
  <c r="DH169" i="4"/>
  <c r="DH168" i="4"/>
  <c r="DH167" i="4"/>
  <c r="DH166" i="4"/>
  <c r="DH165" i="4"/>
  <c r="DH163" i="4"/>
  <c r="DH162" i="4"/>
  <c r="DH161" i="4"/>
  <c r="DH160" i="4"/>
  <c r="DH158" i="4"/>
  <c r="DH157" i="4"/>
  <c r="DH156" i="4"/>
  <c r="DH155" i="4"/>
  <c r="DH154" i="4"/>
  <c r="DH153" i="4"/>
  <c r="DH152" i="4"/>
  <c r="DH151" i="4"/>
  <c r="DH150" i="4"/>
  <c r="DH149" i="4"/>
  <c r="DH148" i="4"/>
  <c r="DH147" i="4"/>
  <c r="DH145" i="4"/>
  <c r="DH144" i="4"/>
  <c r="DH143" i="4"/>
  <c r="DH142" i="4"/>
  <c r="DH141" i="4"/>
  <c r="DH140" i="4"/>
  <c r="DH139" i="4"/>
  <c r="DH138" i="4"/>
  <c r="DH137" i="4"/>
  <c r="DH136" i="4"/>
  <c r="DH135" i="4"/>
  <c r="DH134" i="4"/>
  <c r="DH133" i="4"/>
  <c r="DH132" i="4"/>
  <c r="DH131" i="4"/>
  <c r="DH130" i="4"/>
  <c r="DH129" i="4"/>
  <c r="DH128" i="4"/>
  <c r="DH127" i="4"/>
  <c r="DH126" i="4"/>
  <c r="DH125" i="4"/>
  <c r="DH123" i="4"/>
  <c r="DH117" i="4"/>
  <c r="DH113" i="4"/>
  <c r="DH112" i="4"/>
  <c r="DH81" i="4"/>
  <c r="DH74" i="4"/>
  <c r="DH62" i="4"/>
  <c r="DH61" i="4"/>
  <c r="DH36" i="4"/>
  <c r="DH27" i="4"/>
  <c r="DH26" i="4"/>
  <c r="DH23" i="4"/>
  <c r="DH22" i="4"/>
  <c r="DH11" i="4"/>
  <c r="DF195" i="4"/>
  <c r="DF194" i="4"/>
  <c r="DF193" i="4"/>
  <c r="DF192" i="4"/>
  <c r="DF191" i="4"/>
  <c r="DF190" i="4"/>
  <c r="DF189" i="4"/>
  <c r="DF188" i="4"/>
  <c r="DF187" i="4"/>
  <c r="DF186" i="4"/>
  <c r="DF185" i="4"/>
  <c r="DF184" i="4"/>
  <c r="DF183" i="4"/>
  <c r="DF182" i="4"/>
  <c r="DF181" i="4"/>
  <c r="DF180" i="4"/>
  <c r="DF179" i="4"/>
  <c r="DF178" i="4"/>
  <c r="DF177" i="4"/>
  <c r="DF176" i="4"/>
  <c r="DF175" i="4"/>
  <c r="DF174" i="4"/>
  <c r="DF173" i="4"/>
  <c r="DF172" i="4"/>
  <c r="DF171" i="4"/>
  <c r="DF170" i="4"/>
  <c r="DF169" i="4"/>
  <c r="DF168" i="4"/>
  <c r="DF167" i="4"/>
  <c r="DF166" i="4"/>
  <c r="DF165" i="4"/>
  <c r="DF163" i="4"/>
  <c r="DF162" i="4"/>
  <c r="DF161" i="4"/>
  <c r="DF160" i="4"/>
  <c r="DF158" i="4"/>
  <c r="DF157" i="4"/>
  <c r="DF156" i="4"/>
  <c r="DF155" i="4"/>
  <c r="DF154" i="4"/>
  <c r="DF153" i="4"/>
  <c r="DF152" i="4"/>
  <c r="DF151" i="4"/>
  <c r="DF150" i="4"/>
  <c r="DF149" i="4"/>
  <c r="DF148" i="4"/>
  <c r="DF147" i="4"/>
  <c r="DF146" i="4"/>
  <c r="DF145" i="4"/>
  <c r="DF144" i="4"/>
  <c r="DF143" i="4"/>
  <c r="DF142" i="4"/>
  <c r="DF141" i="4"/>
  <c r="DF140" i="4"/>
  <c r="DF139" i="4"/>
  <c r="DF138" i="4"/>
  <c r="DF137" i="4"/>
  <c r="DF136" i="4"/>
  <c r="DF135" i="4"/>
  <c r="DF134" i="4"/>
  <c r="DF133" i="4"/>
  <c r="DF132" i="4"/>
  <c r="DF131" i="4"/>
  <c r="DF130" i="4"/>
  <c r="DF129" i="4"/>
  <c r="DF128" i="4"/>
  <c r="DF127" i="4"/>
  <c r="DF126" i="4"/>
  <c r="DF125" i="4"/>
  <c r="DF123" i="4"/>
  <c r="DF117" i="4"/>
  <c r="DF113" i="4"/>
  <c r="DF112" i="4"/>
  <c r="DF81" i="4"/>
  <c r="DF74" i="4"/>
  <c r="DF62" i="4"/>
  <c r="DF61" i="4"/>
  <c r="DF36" i="4"/>
  <c r="DF27" i="4"/>
  <c r="DF26" i="4"/>
  <c r="DF23" i="4"/>
  <c r="DF22" i="4"/>
  <c r="DF11" i="4"/>
  <c r="BT199" i="2"/>
  <c r="BT198" i="2"/>
  <c r="BT197" i="2"/>
  <c r="BT196" i="2"/>
  <c r="BT195" i="2"/>
  <c r="BT194" i="2"/>
  <c r="BT193" i="2"/>
  <c r="BT192" i="2"/>
  <c r="BT191" i="2"/>
  <c r="BT190" i="2"/>
  <c r="BT189" i="2"/>
  <c r="BT188" i="2"/>
  <c r="BT187" i="2"/>
  <c r="BT186" i="2"/>
  <c r="BT185" i="2"/>
  <c r="BT184" i="2"/>
  <c r="BT183" i="2"/>
  <c r="BT182" i="2"/>
  <c r="BT181" i="2"/>
  <c r="BT180" i="2"/>
  <c r="BT179" i="2"/>
  <c r="BT178" i="2"/>
  <c r="BT177" i="2"/>
  <c r="BT176" i="2"/>
  <c r="BT175" i="2"/>
  <c r="BT174" i="2"/>
  <c r="BT173" i="2"/>
  <c r="BT172" i="2"/>
  <c r="BT171" i="2"/>
  <c r="BT170" i="2"/>
  <c r="BT169" i="2"/>
  <c r="BT168" i="2"/>
  <c r="BT167" i="2"/>
  <c r="BT166" i="2"/>
  <c r="BT165" i="2"/>
  <c r="BT164" i="2"/>
  <c r="BT163" i="2"/>
  <c r="BT162" i="2"/>
  <c r="BT161" i="2"/>
  <c r="BT160" i="2"/>
  <c r="BT158" i="2"/>
  <c r="BT157" i="2"/>
  <c r="BT156" i="2"/>
  <c r="BT155" i="2"/>
  <c r="BT153" i="2"/>
  <c r="BT152" i="2"/>
  <c r="BT151" i="2"/>
  <c r="BT150" i="2"/>
  <c r="BT149" i="2"/>
  <c r="BT148" i="2"/>
  <c r="BT147" i="2"/>
  <c r="BT146" i="2"/>
  <c r="BT145" i="2"/>
  <c r="BT144" i="2"/>
  <c r="BT143" i="2"/>
  <c r="BT142" i="2"/>
  <c r="BT139" i="2"/>
  <c r="BT138" i="2"/>
  <c r="BT137" i="2"/>
  <c r="BT136" i="2"/>
  <c r="BT135" i="2"/>
  <c r="BT134" i="2"/>
  <c r="BT133" i="2"/>
  <c r="BT131" i="2"/>
  <c r="BT130" i="2"/>
  <c r="BT129" i="2"/>
  <c r="BT128" i="2"/>
  <c r="BT127" i="2"/>
  <c r="BT126" i="2"/>
  <c r="BT125" i="2"/>
  <c r="BT124" i="2"/>
  <c r="BT123" i="2"/>
  <c r="BT121" i="2"/>
  <c r="BT120" i="2"/>
  <c r="BT119" i="2"/>
  <c r="BT117" i="2"/>
  <c r="BT116" i="2"/>
  <c r="BT115" i="2"/>
  <c r="BT114" i="2"/>
  <c r="BT112" i="2"/>
  <c r="BT108" i="2"/>
  <c r="BT82" i="2"/>
  <c r="BT81" i="2"/>
  <c r="BT77" i="2"/>
  <c r="BT64" i="2"/>
  <c r="BT63" i="2"/>
  <c r="BT36" i="2"/>
  <c r="BT27" i="2"/>
  <c r="BT26" i="2"/>
  <c r="BT23" i="2"/>
  <c r="BT22" i="2"/>
  <c r="BT11" i="2"/>
  <c r="BO199" i="2"/>
  <c r="BN199" i="2"/>
  <c r="BM199" i="2"/>
  <c r="BL199" i="2"/>
  <c r="BO198" i="2"/>
  <c r="BN198" i="2"/>
  <c r="BM198" i="2"/>
  <c r="BL198" i="2"/>
  <c r="BO197" i="2"/>
  <c r="BN197" i="2"/>
  <c r="BM197" i="2"/>
  <c r="BL197" i="2"/>
  <c r="BO196" i="2"/>
  <c r="BN196" i="2"/>
  <c r="BM196" i="2"/>
  <c r="BL196" i="2"/>
  <c r="BO195" i="2"/>
  <c r="BN195" i="2"/>
  <c r="BM195" i="2"/>
  <c r="BL195" i="2"/>
  <c r="BO194" i="2"/>
  <c r="BN194" i="2"/>
  <c r="BM194" i="2"/>
  <c r="BL194" i="2"/>
  <c r="BO193" i="2"/>
  <c r="BN193" i="2"/>
  <c r="BM193" i="2"/>
  <c r="BL193" i="2"/>
  <c r="BO192" i="2"/>
  <c r="BN192" i="2"/>
  <c r="BM192" i="2"/>
  <c r="BL192" i="2"/>
  <c r="BO191" i="2"/>
  <c r="BN191" i="2"/>
  <c r="BM191" i="2"/>
  <c r="BL191" i="2"/>
  <c r="BO190" i="2"/>
  <c r="BN190" i="2"/>
  <c r="BM190" i="2"/>
  <c r="BL190" i="2"/>
  <c r="BO189" i="2"/>
  <c r="BN189" i="2"/>
  <c r="BM189" i="2"/>
  <c r="BL189" i="2"/>
  <c r="BO188" i="2"/>
  <c r="BN188" i="2"/>
  <c r="BM188" i="2"/>
  <c r="BL188" i="2"/>
  <c r="BO187" i="2"/>
  <c r="BN187" i="2"/>
  <c r="BM187" i="2"/>
  <c r="BL187" i="2"/>
  <c r="BO186" i="2"/>
  <c r="BN186" i="2"/>
  <c r="BM186" i="2"/>
  <c r="BL186" i="2"/>
  <c r="BO185" i="2"/>
  <c r="BN185" i="2"/>
  <c r="BM185" i="2"/>
  <c r="BL185" i="2"/>
  <c r="BO184" i="2"/>
  <c r="BN184" i="2"/>
  <c r="BM184" i="2"/>
  <c r="BL184" i="2"/>
  <c r="BO183" i="2"/>
  <c r="BN183" i="2"/>
  <c r="BM183" i="2"/>
  <c r="BL183" i="2"/>
  <c r="BO182" i="2"/>
  <c r="BN182" i="2"/>
  <c r="BM182" i="2"/>
  <c r="BL182" i="2"/>
  <c r="BO181" i="2"/>
  <c r="BN181" i="2"/>
  <c r="BM181" i="2"/>
  <c r="BL181" i="2"/>
  <c r="BO180" i="2"/>
  <c r="BN180" i="2"/>
  <c r="BM180" i="2"/>
  <c r="BL180" i="2"/>
  <c r="BO179" i="2"/>
  <c r="BN179" i="2"/>
  <c r="BM179" i="2"/>
  <c r="BL179" i="2"/>
  <c r="BO178" i="2"/>
  <c r="BN178" i="2"/>
  <c r="BM178" i="2"/>
  <c r="BL178" i="2"/>
  <c r="BO177" i="2"/>
  <c r="BN177" i="2"/>
  <c r="BM177" i="2"/>
  <c r="BL177" i="2"/>
  <c r="BO176" i="2"/>
  <c r="BN176" i="2"/>
  <c r="BM176" i="2"/>
  <c r="BL176" i="2"/>
  <c r="BO175" i="2"/>
  <c r="BN175" i="2"/>
  <c r="BM175" i="2"/>
  <c r="BL175" i="2"/>
  <c r="BO174" i="2"/>
  <c r="BN174" i="2"/>
  <c r="BM174" i="2"/>
  <c r="BL174" i="2"/>
  <c r="BO173" i="2"/>
  <c r="BN173" i="2"/>
  <c r="BM173" i="2"/>
  <c r="BL173" i="2"/>
  <c r="BO172" i="2"/>
  <c r="BN172" i="2"/>
  <c r="BM172" i="2"/>
  <c r="BL172" i="2"/>
  <c r="BO171" i="2"/>
  <c r="BN171" i="2"/>
  <c r="BM171" i="2"/>
  <c r="BL171" i="2"/>
  <c r="BO170" i="2"/>
  <c r="BN170" i="2"/>
  <c r="BM170" i="2"/>
  <c r="BL170" i="2"/>
  <c r="BO169" i="2"/>
  <c r="BN169" i="2"/>
  <c r="BM169" i="2"/>
  <c r="BL169" i="2"/>
  <c r="BO168" i="2"/>
  <c r="BN168" i="2"/>
  <c r="BM168" i="2"/>
  <c r="BL168" i="2"/>
  <c r="BO167" i="2"/>
  <c r="BN167" i="2"/>
  <c r="BM167" i="2"/>
  <c r="BL167" i="2"/>
  <c r="BO166" i="2"/>
  <c r="BN166" i="2"/>
  <c r="BM166" i="2"/>
  <c r="BL166" i="2"/>
  <c r="BO165" i="2"/>
  <c r="BN165" i="2"/>
  <c r="BM165" i="2"/>
  <c r="BL165" i="2"/>
  <c r="BO164" i="2"/>
  <c r="BN164" i="2"/>
  <c r="BM164" i="2"/>
  <c r="BL164" i="2"/>
  <c r="BO163" i="2"/>
  <c r="BN163" i="2"/>
  <c r="BM163" i="2"/>
  <c r="BL163" i="2"/>
  <c r="BO162" i="2"/>
  <c r="BN162" i="2"/>
  <c r="BM162" i="2"/>
  <c r="BL162" i="2"/>
  <c r="BO161" i="2"/>
  <c r="BN161" i="2"/>
  <c r="BM161" i="2"/>
  <c r="BL161" i="2"/>
  <c r="BO160" i="2"/>
  <c r="BN160" i="2"/>
  <c r="BM160" i="2"/>
  <c r="BL160" i="2"/>
  <c r="BO158" i="2"/>
  <c r="BN158" i="2"/>
  <c r="BM158" i="2"/>
  <c r="BL158" i="2"/>
  <c r="BO157" i="2"/>
  <c r="BN157" i="2"/>
  <c r="BM157" i="2"/>
  <c r="BL157" i="2"/>
  <c r="BO156" i="2"/>
  <c r="BN156" i="2"/>
  <c r="BM156" i="2"/>
  <c r="BL156" i="2"/>
  <c r="BO155" i="2"/>
  <c r="BN155" i="2"/>
  <c r="BM155" i="2"/>
  <c r="BL155" i="2"/>
  <c r="BO153" i="2"/>
  <c r="BN153" i="2"/>
  <c r="BM153" i="2"/>
  <c r="BL153" i="2"/>
  <c r="BO152" i="2"/>
  <c r="BN152" i="2"/>
  <c r="BM152" i="2"/>
  <c r="BL152" i="2"/>
  <c r="BO151" i="2"/>
  <c r="BN151" i="2"/>
  <c r="BM151" i="2"/>
  <c r="BL151" i="2"/>
  <c r="BO150" i="2"/>
  <c r="BN150" i="2"/>
  <c r="BM150" i="2"/>
  <c r="BL150" i="2"/>
  <c r="BO149" i="2"/>
  <c r="BN149" i="2"/>
  <c r="BM149" i="2"/>
  <c r="BL149" i="2"/>
  <c r="BO148" i="2"/>
  <c r="BN148" i="2"/>
  <c r="BM148" i="2"/>
  <c r="BL148" i="2"/>
  <c r="BO147" i="2"/>
  <c r="BN147" i="2"/>
  <c r="BM147" i="2"/>
  <c r="BL147" i="2"/>
  <c r="BO146" i="2"/>
  <c r="BN146" i="2"/>
  <c r="BM146" i="2"/>
  <c r="BL146" i="2"/>
  <c r="BO145" i="2"/>
  <c r="BN145" i="2"/>
  <c r="BM145" i="2"/>
  <c r="BL145" i="2"/>
  <c r="BO144" i="2"/>
  <c r="BN144" i="2"/>
  <c r="BM144" i="2"/>
  <c r="BL144" i="2"/>
  <c r="BO143" i="2"/>
  <c r="BN143" i="2"/>
  <c r="BM143" i="2"/>
  <c r="BL143" i="2"/>
  <c r="BO142" i="2"/>
  <c r="BN142" i="2"/>
  <c r="BM142" i="2"/>
  <c r="BL142" i="2"/>
  <c r="BO139" i="2"/>
  <c r="BN139" i="2"/>
  <c r="BM139" i="2"/>
  <c r="BL139" i="2"/>
  <c r="BO138" i="2"/>
  <c r="BN138" i="2"/>
  <c r="BM138" i="2"/>
  <c r="BL138" i="2"/>
  <c r="BO137" i="2"/>
  <c r="BN137" i="2"/>
  <c r="BM137" i="2"/>
  <c r="BL137" i="2"/>
  <c r="BO136" i="2"/>
  <c r="BN136" i="2"/>
  <c r="BM136" i="2"/>
  <c r="BL136" i="2"/>
  <c r="BO135" i="2"/>
  <c r="BN135" i="2"/>
  <c r="BM135" i="2"/>
  <c r="BL135" i="2"/>
  <c r="BO134" i="2"/>
  <c r="BN134" i="2"/>
  <c r="BM134" i="2"/>
  <c r="BL134" i="2"/>
  <c r="BO133" i="2"/>
  <c r="BN133" i="2"/>
  <c r="BM133" i="2"/>
  <c r="BL133" i="2"/>
  <c r="BO131" i="2"/>
  <c r="BN131" i="2"/>
  <c r="BM131" i="2"/>
  <c r="BL131" i="2"/>
  <c r="BO130" i="2"/>
  <c r="BN130" i="2"/>
  <c r="BM130" i="2"/>
  <c r="BL130" i="2"/>
  <c r="BO129" i="2"/>
  <c r="BN129" i="2"/>
  <c r="BM129" i="2"/>
  <c r="BL129" i="2"/>
  <c r="BO128" i="2"/>
  <c r="BN128" i="2"/>
  <c r="BM128" i="2"/>
  <c r="BL128" i="2"/>
  <c r="BO127" i="2"/>
  <c r="BN127" i="2"/>
  <c r="BM127" i="2"/>
  <c r="BL127" i="2"/>
  <c r="BO126" i="2"/>
  <c r="BN126" i="2"/>
  <c r="BM126" i="2"/>
  <c r="BL126" i="2"/>
  <c r="BO125" i="2"/>
  <c r="BN125" i="2"/>
  <c r="BM125" i="2"/>
  <c r="BL125" i="2"/>
  <c r="BO124" i="2"/>
  <c r="BN124" i="2"/>
  <c r="BM124" i="2"/>
  <c r="BL124" i="2"/>
  <c r="BO123" i="2"/>
  <c r="BN123" i="2"/>
  <c r="BM123" i="2"/>
  <c r="BL123" i="2"/>
  <c r="BO121" i="2"/>
  <c r="BN121" i="2"/>
  <c r="BM121" i="2"/>
  <c r="BL121" i="2"/>
  <c r="BO120" i="2"/>
  <c r="BN120" i="2"/>
  <c r="BM120" i="2"/>
  <c r="BL120" i="2"/>
  <c r="BO119" i="2"/>
  <c r="BN119" i="2"/>
  <c r="BM119" i="2"/>
  <c r="BL119" i="2"/>
  <c r="BO117" i="2"/>
  <c r="BN117" i="2"/>
  <c r="BM117" i="2"/>
  <c r="BL117" i="2"/>
  <c r="BO116" i="2"/>
  <c r="BN116" i="2"/>
  <c r="BM116" i="2"/>
  <c r="BL116" i="2"/>
  <c r="BO115" i="2"/>
  <c r="BN115" i="2"/>
  <c r="BM115" i="2"/>
  <c r="BL115" i="2"/>
  <c r="BO114" i="2"/>
  <c r="BN114" i="2"/>
  <c r="BM114" i="2"/>
  <c r="BL114" i="2"/>
  <c r="BO112" i="2"/>
  <c r="BN112" i="2"/>
  <c r="BM112" i="2"/>
  <c r="BL112" i="2"/>
  <c r="BO108" i="2"/>
  <c r="BN108" i="2"/>
  <c r="BM108" i="2"/>
  <c r="BL108" i="2"/>
  <c r="BO82" i="2"/>
  <c r="BN82" i="2"/>
  <c r="BM82" i="2"/>
  <c r="BL82" i="2"/>
  <c r="BO81" i="2"/>
  <c r="BN81" i="2"/>
  <c r="BM81" i="2"/>
  <c r="BL81" i="2"/>
  <c r="BO77" i="2"/>
  <c r="BN77" i="2"/>
  <c r="BM77" i="2"/>
  <c r="BL77" i="2"/>
  <c r="BO64" i="2"/>
  <c r="BN64" i="2"/>
  <c r="BM64" i="2"/>
  <c r="BL64" i="2"/>
  <c r="BO63" i="2"/>
  <c r="BN63" i="2"/>
  <c r="BM63" i="2"/>
  <c r="BL63" i="2"/>
  <c r="BO36" i="2"/>
  <c r="BN36" i="2"/>
  <c r="BL36" i="2"/>
  <c r="BO27" i="2"/>
  <c r="BN27" i="2"/>
  <c r="BM27" i="2"/>
  <c r="BL27" i="2"/>
  <c r="BO26" i="2"/>
  <c r="BN26" i="2"/>
  <c r="BM26" i="2"/>
  <c r="BL26" i="2"/>
  <c r="BO23" i="2"/>
  <c r="BN23" i="2"/>
  <c r="BM23" i="2"/>
  <c r="BL23" i="2"/>
  <c r="BO22" i="2"/>
  <c r="BN22" i="2"/>
  <c r="BM22" i="2"/>
  <c r="BL22" i="2"/>
  <c r="BO11" i="2"/>
  <c r="BN11" i="2"/>
  <c r="BL11" i="2"/>
  <c r="BQ199" i="2"/>
  <c r="BP199" i="2"/>
  <c r="BQ198" i="2"/>
  <c r="BP198" i="2"/>
  <c r="BQ197" i="2"/>
  <c r="BP197" i="2"/>
  <c r="BQ196" i="2"/>
  <c r="BP196" i="2"/>
  <c r="BQ195" i="2"/>
  <c r="BP195" i="2"/>
  <c r="BQ194" i="2"/>
  <c r="BP194" i="2"/>
  <c r="BQ193" i="2"/>
  <c r="BP193" i="2"/>
  <c r="BQ192" i="2"/>
  <c r="BP192" i="2"/>
  <c r="BQ191" i="2"/>
  <c r="BP191" i="2"/>
  <c r="BQ190" i="2"/>
  <c r="BP190" i="2"/>
  <c r="BQ189" i="2"/>
  <c r="BP189" i="2"/>
  <c r="BQ188" i="2"/>
  <c r="BP188" i="2"/>
  <c r="BQ187" i="2"/>
  <c r="BP187" i="2"/>
  <c r="BQ186" i="2"/>
  <c r="BP186" i="2"/>
  <c r="BQ185" i="2"/>
  <c r="BP185" i="2"/>
  <c r="BQ184" i="2"/>
  <c r="BP184" i="2"/>
  <c r="BQ183" i="2"/>
  <c r="BP183" i="2"/>
  <c r="BQ182" i="2"/>
  <c r="BP182" i="2"/>
  <c r="BQ181" i="2"/>
  <c r="BP181" i="2"/>
  <c r="BQ180" i="2"/>
  <c r="BP180" i="2"/>
  <c r="BQ179" i="2"/>
  <c r="BP179" i="2"/>
  <c r="BQ178" i="2"/>
  <c r="BP178" i="2"/>
  <c r="BQ177" i="2"/>
  <c r="BP177" i="2"/>
  <c r="BQ176" i="2"/>
  <c r="BP176" i="2"/>
  <c r="BQ175" i="2"/>
  <c r="BP175" i="2"/>
  <c r="BQ174" i="2"/>
  <c r="BP174" i="2"/>
  <c r="BQ173" i="2"/>
  <c r="BP173" i="2"/>
  <c r="BQ172" i="2"/>
  <c r="BP172" i="2"/>
  <c r="BQ171" i="2"/>
  <c r="BP171" i="2"/>
  <c r="BQ170" i="2"/>
  <c r="BP170" i="2"/>
  <c r="BQ169" i="2"/>
  <c r="BP169" i="2"/>
  <c r="BQ168" i="2"/>
  <c r="BP168" i="2"/>
  <c r="BQ167" i="2"/>
  <c r="BP167" i="2"/>
  <c r="BQ166" i="2"/>
  <c r="BP166" i="2"/>
  <c r="BQ165" i="2"/>
  <c r="BP165" i="2"/>
  <c r="BQ164" i="2"/>
  <c r="BP164" i="2"/>
  <c r="BQ163" i="2"/>
  <c r="BP163" i="2"/>
  <c r="BQ162" i="2"/>
  <c r="BP162" i="2"/>
  <c r="BQ161" i="2"/>
  <c r="BP161" i="2"/>
  <c r="BQ160" i="2"/>
  <c r="BP160" i="2"/>
  <c r="BQ158" i="2"/>
  <c r="BP158" i="2"/>
  <c r="BQ157" i="2"/>
  <c r="BP157" i="2"/>
  <c r="BQ156" i="2"/>
  <c r="BP156" i="2"/>
  <c r="BQ155" i="2"/>
  <c r="BP155" i="2"/>
  <c r="BQ153" i="2"/>
  <c r="BP153" i="2"/>
  <c r="BQ152" i="2"/>
  <c r="BP152" i="2"/>
  <c r="BQ151" i="2"/>
  <c r="BP151" i="2"/>
  <c r="BQ150" i="2"/>
  <c r="BP150" i="2"/>
  <c r="BQ149" i="2"/>
  <c r="BP149" i="2"/>
  <c r="BQ148" i="2"/>
  <c r="BP148" i="2"/>
  <c r="BQ147" i="2"/>
  <c r="BP147" i="2"/>
  <c r="BQ146" i="2"/>
  <c r="BP146" i="2"/>
  <c r="BQ145" i="2"/>
  <c r="BP145" i="2"/>
  <c r="BQ144" i="2"/>
  <c r="BP144" i="2"/>
  <c r="BQ143" i="2"/>
  <c r="BP143" i="2"/>
  <c r="BQ142" i="2"/>
  <c r="BP142" i="2"/>
  <c r="BQ139" i="2"/>
  <c r="BP139" i="2"/>
  <c r="BQ138" i="2"/>
  <c r="BP138" i="2"/>
  <c r="BQ137" i="2"/>
  <c r="BP137" i="2"/>
  <c r="BQ136" i="2"/>
  <c r="BP136" i="2"/>
  <c r="BQ135" i="2"/>
  <c r="BP135" i="2"/>
  <c r="BQ134" i="2"/>
  <c r="BP134" i="2"/>
  <c r="BQ133" i="2"/>
  <c r="BP133" i="2"/>
  <c r="BQ131" i="2"/>
  <c r="BP131" i="2"/>
  <c r="BQ130" i="2"/>
  <c r="BP130" i="2"/>
  <c r="BQ129" i="2"/>
  <c r="BP129" i="2"/>
  <c r="BQ128" i="2"/>
  <c r="BP128" i="2"/>
  <c r="BQ127" i="2"/>
  <c r="BP127" i="2"/>
  <c r="BQ126" i="2"/>
  <c r="BP126" i="2"/>
  <c r="BQ125" i="2"/>
  <c r="BP125" i="2"/>
  <c r="BQ124" i="2"/>
  <c r="BP124" i="2"/>
  <c r="BQ123" i="2"/>
  <c r="BP123" i="2"/>
  <c r="BQ121" i="2"/>
  <c r="BP121" i="2"/>
  <c r="BQ120" i="2"/>
  <c r="BP120" i="2"/>
  <c r="BQ119" i="2"/>
  <c r="BP119" i="2"/>
  <c r="BQ117" i="2"/>
  <c r="BP117" i="2"/>
  <c r="BQ116" i="2"/>
  <c r="BP116" i="2"/>
  <c r="BQ115" i="2"/>
  <c r="BP115" i="2"/>
  <c r="BQ114" i="2"/>
  <c r="BP114" i="2"/>
  <c r="BQ112" i="2"/>
  <c r="BP112" i="2"/>
  <c r="BQ108" i="2"/>
  <c r="BP108" i="2"/>
  <c r="BQ82" i="2"/>
  <c r="BP82" i="2"/>
  <c r="BQ81" i="2"/>
  <c r="BP81" i="2"/>
  <c r="BQ77" i="2"/>
  <c r="BP77" i="2"/>
  <c r="BQ64" i="2"/>
  <c r="BP64" i="2"/>
  <c r="BQ63" i="2"/>
  <c r="BP63" i="2"/>
  <c r="BQ36" i="2"/>
  <c r="BP36" i="2"/>
  <c r="BQ27" i="2"/>
  <c r="BP27" i="2"/>
  <c r="BQ26" i="2"/>
  <c r="BP26" i="2"/>
  <c r="BQ23" i="2"/>
  <c r="BP23" i="2"/>
  <c r="BQ22" i="2"/>
  <c r="BP22" i="2"/>
  <c r="BQ11" i="2"/>
  <c r="BP11" i="2"/>
  <c r="BR199" i="2"/>
  <c r="BR198" i="2"/>
  <c r="BR197" i="2"/>
  <c r="BR196" i="2"/>
  <c r="BR195" i="2"/>
  <c r="BR194" i="2"/>
  <c r="BR193" i="2"/>
  <c r="BR192" i="2"/>
  <c r="BR191" i="2"/>
  <c r="BR190" i="2"/>
  <c r="BR189" i="2"/>
  <c r="BR188" i="2"/>
  <c r="BR187" i="2"/>
  <c r="BR186" i="2"/>
  <c r="BR185" i="2"/>
  <c r="BR184" i="2"/>
  <c r="BR183" i="2"/>
  <c r="BR182" i="2"/>
  <c r="BR181" i="2"/>
  <c r="BR180" i="2"/>
  <c r="BR179" i="2"/>
  <c r="BR178" i="2"/>
  <c r="BR177" i="2"/>
  <c r="BR176" i="2"/>
  <c r="BR175" i="2"/>
  <c r="BR174" i="2"/>
  <c r="BR173" i="2"/>
  <c r="BR172" i="2"/>
  <c r="BR171" i="2"/>
  <c r="BR170" i="2"/>
  <c r="BR169" i="2"/>
  <c r="BR168" i="2"/>
  <c r="BR167" i="2"/>
  <c r="BR166" i="2"/>
  <c r="BR165" i="2"/>
  <c r="BR164" i="2"/>
  <c r="BR163" i="2"/>
  <c r="BR162" i="2"/>
  <c r="BR161" i="2"/>
  <c r="BR160" i="2"/>
  <c r="BR158" i="2"/>
  <c r="BR157" i="2"/>
  <c r="BR156" i="2"/>
  <c r="BR155" i="2"/>
  <c r="BR153" i="2"/>
  <c r="BR152" i="2"/>
  <c r="BR151" i="2"/>
  <c r="BR150" i="2"/>
  <c r="BR149" i="2"/>
  <c r="BR148" i="2"/>
  <c r="BR147" i="2"/>
  <c r="BR146" i="2"/>
  <c r="BR145" i="2"/>
  <c r="BR144" i="2"/>
  <c r="BR143" i="2"/>
  <c r="BR142" i="2"/>
  <c r="BR139" i="2"/>
  <c r="BR138" i="2"/>
  <c r="BR137" i="2"/>
  <c r="BR136" i="2"/>
  <c r="BR135" i="2"/>
  <c r="BR134" i="2"/>
  <c r="BR133" i="2"/>
  <c r="BR131" i="2"/>
  <c r="BR130" i="2"/>
  <c r="BR129" i="2"/>
  <c r="BR128" i="2"/>
  <c r="BR127" i="2"/>
  <c r="BR126" i="2"/>
  <c r="BR125" i="2"/>
  <c r="BR124" i="2"/>
  <c r="BR123" i="2"/>
  <c r="BR121" i="2"/>
  <c r="BR120" i="2"/>
  <c r="BR119" i="2"/>
  <c r="BR117" i="2"/>
  <c r="BR116" i="2"/>
  <c r="BR115" i="2"/>
  <c r="BR114" i="2"/>
  <c r="BR112" i="2"/>
  <c r="BR108" i="2"/>
  <c r="BR82" i="2"/>
  <c r="BR81" i="2"/>
  <c r="BR77" i="2"/>
  <c r="BR64" i="2"/>
  <c r="BR63" i="2"/>
  <c r="BR36" i="2"/>
  <c r="BR27" i="2"/>
  <c r="BR26" i="2"/>
  <c r="BR23" i="2"/>
  <c r="BR22" i="2"/>
  <c r="BR11" i="2"/>
  <c r="BS199" i="2"/>
  <c r="BS198" i="2"/>
  <c r="BS197" i="2"/>
  <c r="BS196" i="2"/>
  <c r="BS195" i="2"/>
  <c r="BS194" i="2"/>
  <c r="BS193" i="2"/>
  <c r="BS192" i="2"/>
  <c r="BS191" i="2"/>
  <c r="BS190" i="2"/>
  <c r="BS189" i="2"/>
  <c r="BS188" i="2"/>
  <c r="BS187" i="2"/>
  <c r="BS186" i="2"/>
  <c r="BS185" i="2"/>
  <c r="BS184" i="2"/>
  <c r="BS183" i="2"/>
  <c r="BS182" i="2"/>
  <c r="BS181" i="2"/>
  <c r="BS180" i="2"/>
  <c r="BS179" i="2"/>
  <c r="BS178" i="2"/>
  <c r="BS177" i="2"/>
  <c r="BS176" i="2"/>
  <c r="BS175" i="2"/>
  <c r="BS174" i="2"/>
  <c r="BS173" i="2"/>
  <c r="BS172" i="2"/>
  <c r="BS171" i="2"/>
  <c r="BS170" i="2"/>
  <c r="BS169" i="2"/>
  <c r="BS168" i="2"/>
  <c r="BS167" i="2"/>
  <c r="BS166" i="2"/>
  <c r="BS165" i="2"/>
  <c r="BS164" i="2"/>
  <c r="BS163" i="2"/>
  <c r="BS162" i="2"/>
  <c r="BS161" i="2"/>
  <c r="BS160" i="2"/>
  <c r="BS158" i="2"/>
  <c r="BS157" i="2"/>
  <c r="BS156" i="2"/>
  <c r="BS155" i="2"/>
  <c r="BS153" i="2"/>
  <c r="BS152" i="2"/>
  <c r="BS151" i="2"/>
  <c r="BS150" i="2"/>
  <c r="BS149" i="2"/>
  <c r="BS148" i="2"/>
  <c r="BS147" i="2"/>
  <c r="BS146" i="2"/>
  <c r="BS145" i="2"/>
  <c r="BS144" i="2"/>
  <c r="BS143" i="2"/>
  <c r="BS142" i="2"/>
  <c r="BS139" i="2"/>
  <c r="BS138" i="2"/>
  <c r="BS137" i="2"/>
  <c r="BS136" i="2"/>
  <c r="BS135" i="2"/>
  <c r="BS134" i="2"/>
  <c r="BS133" i="2"/>
  <c r="BS131" i="2"/>
  <c r="BS130" i="2"/>
  <c r="BS129" i="2"/>
  <c r="BS128" i="2"/>
  <c r="BS127" i="2"/>
  <c r="BS126" i="2"/>
  <c r="BS125" i="2"/>
  <c r="BS124" i="2"/>
  <c r="BS123" i="2"/>
  <c r="BS121" i="2"/>
  <c r="BS120" i="2"/>
  <c r="BS119" i="2"/>
  <c r="BS117" i="2"/>
  <c r="BS116" i="2"/>
  <c r="BS115" i="2"/>
  <c r="BS114" i="2"/>
  <c r="BS112" i="2"/>
  <c r="BS108" i="2"/>
  <c r="BS82" i="2"/>
  <c r="BS81" i="2"/>
  <c r="BS77" i="2"/>
  <c r="BS64" i="2"/>
  <c r="BS63" i="2"/>
  <c r="BS36" i="2"/>
  <c r="BS27" i="2"/>
  <c r="BS26" i="2"/>
  <c r="BS23" i="2"/>
  <c r="BS22" i="2"/>
  <c r="BS11" i="2"/>
  <c r="BT125" i="1"/>
  <c r="BS125" i="1"/>
  <c r="BR125" i="1"/>
  <c r="BT124" i="1"/>
  <c r="BS124" i="1"/>
  <c r="BR124" i="1"/>
  <c r="BT123" i="1"/>
  <c r="BS123" i="1"/>
  <c r="BR123" i="1"/>
  <c r="BT122" i="1"/>
  <c r="BS122" i="1"/>
  <c r="BR122" i="1"/>
  <c r="BT121" i="1"/>
  <c r="BS121" i="1"/>
  <c r="BR121" i="1"/>
  <c r="BT120" i="1"/>
  <c r="BS120" i="1"/>
  <c r="BR120" i="1"/>
  <c r="BT119" i="1"/>
  <c r="BS119" i="1"/>
  <c r="BR119" i="1"/>
  <c r="BT118" i="1"/>
  <c r="BS118" i="1"/>
  <c r="BR118" i="1"/>
  <c r="BT117" i="1"/>
  <c r="BS117" i="1"/>
  <c r="BR117" i="1"/>
  <c r="BT116" i="1"/>
  <c r="BS116" i="1"/>
  <c r="BR116" i="1"/>
  <c r="BT115" i="1"/>
  <c r="BS115" i="1"/>
  <c r="BR115" i="1"/>
  <c r="BT114" i="1"/>
  <c r="BS114" i="1"/>
  <c r="BR114" i="1"/>
  <c r="BT113" i="1"/>
  <c r="BS113" i="1"/>
  <c r="BR113" i="1"/>
  <c r="BT112" i="1"/>
  <c r="BS112" i="1"/>
  <c r="BR112" i="1"/>
  <c r="BT111" i="1"/>
  <c r="BS111" i="1"/>
  <c r="BR111" i="1"/>
  <c r="BT110" i="1"/>
  <c r="BS110" i="1"/>
  <c r="BR110" i="1"/>
  <c r="BT109" i="1"/>
  <c r="BS109" i="1"/>
  <c r="BR109" i="1"/>
  <c r="BT108" i="1"/>
  <c r="BS108" i="1"/>
  <c r="BR108" i="1"/>
  <c r="BT107" i="1"/>
  <c r="BS107" i="1"/>
  <c r="BR107" i="1"/>
  <c r="BT106" i="1"/>
  <c r="BS106" i="1"/>
  <c r="BR106" i="1"/>
  <c r="BT105" i="1"/>
  <c r="BS105" i="1"/>
  <c r="BR105" i="1"/>
  <c r="BT104" i="1"/>
  <c r="BS104" i="1"/>
  <c r="BR104" i="1"/>
  <c r="BT103" i="1"/>
  <c r="BS103" i="1"/>
  <c r="BR103" i="1"/>
  <c r="BT102" i="1"/>
  <c r="BS102" i="1"/>
  <c r="BR102" i="1"/>
  <c r="BT101" i="1"/>
  <c r="BS101" i="1"/>
  <c r="BR101" i="1"/>
  <c r="BT100" i="1"/>
  <c r="BS100" i="1"/>
  <c r="BR100" i="1"/>
  <c r="BT99" i="1"/>
  <c r="BS99" i="1"/>
  <c r="BR99" i="1"/>
  <c r="BT98" i="1"/>
  <c r="BS98" i="1"/>
  <c r="BR98" i="1"/>
  <c r="BT97" i="1"/>
  <c r="BS97" i="1"/>
  <c r="BR97" i="1"/>
  <c r="BT96" i="1"/>
  <c r="BS96" i="1"/>
  <c r="BR96" i="1"/>
  <c r="BT95" i="1"/>
  <c r="BS95" i="1"/>
  <c r="BR95" i="1"/>
  <c r="BT94" i="1"/>
  <c r="BS94" i="1"/>
  <c r="BR94" i="1"/>
  <c r="BT93" i="1"/>
  <c r="BS93" i="1"/>
  <c r="BR93" i="1"/>
  <c r="BT92" i="1"/>
  <c r="BS92" i="1"/>
  <c r="BR92" i="1"/>
  <c r="BT91" i="1"/>
  <c r="BS91" i="1"/>
  <c r="BR91" i="1"/>
  <c r="BT90" i="1"/>
  <c r="BS90" i="1"/>
  <c r="BR90" i="1"/>
  <c r="BT89" i="1"/>
  <c r="BS89" i="1"/>
  <c r="BR89" i="1"/>
  <c r="BT88" i="1"/>
  <c r="BS88" i="1"/>
  <c r="BR88" i="1"/>
  <c r="BT87" i="1"/>
  <c r="BS87" i="1"/>
  <c r="BR87" i="1"/>
  <c r="BT86" i="1"/>
  <c r="BS86" i="1"/>
  <c r="BR86" i="1"/>
  <c r="BT84" i="1"/>
  <c r="BS84" i="1"/>
  <c r="BR84" i="1"/>
  <c r="BT83" i="1"/>
  <c r="BS83" i="1"/>
  <c r="BR83" i="1"/>
  <c r="BT82" i="1"/>
  <c r="BS82" i="1"/>
  <c r="BR82" i="1"/>
  <c r="BT81" i="1"/>
  <c r="BS81" i="1"/>
  <c r="BR81" i="1"/>
  <c r="BT79" i="1"/>
  <c r="BS79" i="1"/>
  <c r="BR79" i="1"/>
  <c r="BT78" i="1"/>
  <c r="BS78" i="1"/>
  <c r="BR78" i="1"/>
  <c r="BT77" i="1"/>
  <c r="BS77" i="1"/>
  <c r="BR77" i="1"/>
  <c r="BT76" i="1"/>
  <c r="BS76" i="1"/>
  <c r="BR76" i="1"/>
  <c r="BT75" i="1"/>
  <c r="BS75" i="1"/>
  <c r="BR75" i="1"/>
  <c r="BT74" i="1"/>
  <c r="BS74" i="1"/>
  <c r="BR74" i="1"/>
  <c r="BT73" i="1"/>
  <c r="BS73" i="1"/>
  <c r="BR73" i="1"/>
  <c r="BT72" i="1"/>
  <c r="BS72" i="1"/>
  <c r="BR72" i="1"/>
  <c r="BT71" i="1"/>
  <c r="BS71" i="1"/>
  <c r="BR71" i="1"/>
  <c r="BT70" i="1"/>
  <c r="BS70" i="1"/>
  <c r="BR70" i="1"/>
  <c r="BT69" i="1"/>
  <c r="BS69" i="1"/>
  <c r="BR69" i="1"/>
  <c r="BT68" i="1"/>
  <c r="BS68" i="1"/>
  <c r="BR68" i="1"/>
  <c r="BT64" i="1"/>
  <c r="BS64" i="1"/>
  <c r="BR64" i="1"/>
  <c r="BT63" i="1"/>
  <c r="BS63" i="1"/>
  <c r="BR63" i="1"/>
  <c r="BT62" i="1"/>
  <c r="BS62" i="1"/>
  <c r="BR62" i="1"/>
  <c r="BT61" i="1"/>
  <c r="BS61" i="1"/>
  <c r="BR61" i="1"/>
  <c r="BT60" i="1"/>
  <c r="BS60" i="1"/>
  <c r="BR60" i="1"/>
  <c r="BT59" i="1"/>
  <c r="BS59" i="1"/>
  <c r="BR59" i="1"/>
  <c r="BT58" i="1"/>
  <c r="BS58" i="1"/>
  <c r="BR58" i="1"/>
  <c r="BT57" i="1"/>
  <c r="BS57" i="1"/>
  <c r="BR57" i="1"/>
  <c r="BT55" i="1"/>
  <c r="BS55" i="1"/>
  <c r="BR55" i="1"/>
  <c r="BT54" i="1"/>
  <c r="BS54" i="1"/>
  <c r="BR54" i="1"/>
  <c r="BT53" i="1"/>
  <c r="BS53" i="1"/>
  <c r="BR53" i="1"/>
  <c r="BT52" i="1"/>
  <c r="BS52" i="1"/>
  <c r="BR52" i="1"/>
  <c r="BT51" i="1"/>
  <c r="BS51" i="1"/>
  <c r="BR51" i="1"/>
  <c r="BT49" i="1"/>
  <c r="BS49" i="1"/>
  <c r="BR49" i="1"/>
  <c r="BT48" i="1"/>
  <c r="BS48" i="1"/>
  <c r="BR48" i="1"/>
  <c r="BT38" i="1"/>
  <c r="BS38" i="1"/>
  <c r="BR38" i="1"/>
  <c r="BQ125" i="1"/>
  <c r="BP125" i="1"/>
  <c r="BO125" i="1"/>
  <c r="BQ124" i="1"/>
  <c r="BP124" i="1"/>
  <c r="BO124" i="1"/>
  <c r="BQ123" i="1"/>
  <c r="BP123" i="1"/>
  <c r="BO123" i="1"/>
  <c r="BQ122" i="1"/>
  <c r="BP122" i="1"/>
  <c r="BO122" i="1"/>
  <c r="BQ121" i="1"/>
  <c r="BP121" i="1"/>
  <c r="BO121" i="1"/>
  <c r="BQ120" i="1"/>
  <c r="BP120" i="1"/>
  <c r="BO120" i="1"/>
  <c r="BQ119" i="1"/>
  <c r="BP119" i="1"/>
  <c r="BO119" i="1"/>
  <c r="BQ118" i="1"/>
  <c r="BP118" i="1"/>
  <c r="BO118" i="1"/>
  <c r="BQ117" i="1"/>
  <c r="BP117" i="1"/>
  <c r="BO117" i="1"/>
  <c r="BQ116" i="1"/>
  <c r="BP116" i="1"/>
  <c r="BO116" i="1"/>
  <c r="BQ115" i="1"/>
  <c r="BP115" i="1"/>
  <c r="BO115" i="1"/>
  <c r="BQ114" i="1"/>
  <c r="BP114" i="1"/>
  <c r="BO114" i="1"/>
  <c r="BQ113" i="1"/>
  <c r="BP113" i="1"/>
  <c r="BO113" i="1"/>
  <c r="BQ112" i="1"/>
  <c r="BP112" i="1"/>
  <c r="BO112" i="1"/>
  <c r="BQ111" i="1"/>
  <c r="BP111" i="1"/>
  <c r="BO111" i="1"/>
  <c r="BQ110" i="1"/>
  <c r="BP110" i="1"/>
  <c r="BO110" i="1"/>
  <c r="BQ109" i="1"/>
  <c r="BP109" i="1"/>
  <c r="BO109" i="1"/>
  <c r="BQ108" i="1"/>
  <c r="BP108" i="1"/>
  <c r="BO108" i="1"/>
  <c r="BQ107" i="1"/>
  <c r="BP107" i="1"/>
  <c r="BO107" i="1"/>
  <c r="BQ106" i="1"/>
  <c r="BP106" i="1"/>
  <c r="BO106" i="1"/>
  <c r="BQ105" i="1"/>
  <c r="BP105" i="1"/>
  <c r="BO105" i="1"/>
  <c r="BQ104" i="1"/>
  <c r="BP104" i="1"/>
  <c r="BO104" i="1"/>
  <c r="BQ103" i="1"/>
  <c r="BP103" i="1"/>
  <c r="BO103" i="1"/>
  <c r="BQ102" i="1"/>
  <c r="BP102" i="1"/>
  <c r="BO102" i="1"/>
  <c r="BQ101" i="1"/>
  <c r="BP101" i="1"/>
  <c r="BO101" i="1"/>
  <c r="BQ100" i="1"/>
  <c r="BP100" i="1"/>
  <c r="BO100" i="1"/>
  <c r="BQ99" i="1"/>
  <c r="BP99" i="1"/>
  <c r="BO99" i="1"/>
  <c r="BQ98" i="1"/>
  <c r="BP98" i="1"/>
  <c r="BO98" i="1"/>
  <c r="BQ97" i="1"/>
  <c r="BP97" i="1"/>
  <c r="BO97" i="1"/>
  <c r="BQ96" i="1"/>
  <c r="BP96" i="1"/>
  <c r="BO96" i="1"/>
  <c r="BQ95" i="1"/>
  <c r="BP95" i="1"/>
  <c r="BO95" i="1"/>
  <c r="BQ94" i="1"/>
  <c r="BP94" i="1"/>
  <c r="BO94" i="1"/>
  <c r="BQ93" i="1"/>
  <c r="BP93" i="1"/>
  <c r="BO93" i="1"/>
  <c r="BQ92" i="1"/>
  <c r="BP92" i="1"/>
  <c r="BO92" i="1"/>
  <c r="BQ91" i="1"/>
  <c r="BP91" i="1"/>
  <c r="BO91" i="1"/>
  <c r="BQ90" i="1"/>
  <c r="BP90" i="1"/>
  <c r="BO90" i="1"/>
  <c r="BQ89" i="1"/>
  <c r="BP89" i="1"/>
  <c r="BO89" i="1"/>
  <c r="BQ88" i="1"/>
  <c r="BP88" i="1"/>
  <c r="BO88" i="1"/>
  <c r="BQ87" i="1"/>
  <c r="BP87" i="1"/>
  <c r="BO87" i="1"/>
  <c r="BQ86" i="1"/>
  <c r="BP86" i="1"/>
  <c r="BO86" i="1"/>
  <c r="BQ84" i="1"/>
  <c r="BP84" i="1"/>
  <c r="BO84" i="1"/>
  <c r="BQ83" i="1"/>
  <c r="BP83" i="1"/>
  <c r="BO83" i="1"/>
  <c r="BQ82" i="1"/>
  <c r="BP82" i="1"/>
  <c r="BO82" i="1"/>
  <c r="BQ81" i="1"/>
  <c r="BP81" i="1"/>
  <c r="BO81" i="1"/>
  <c r="BQ79" i="1"/>
  <c r="BP79" i="1"/>
  <c r="BO79" i="1"/>
  <c r="BQ78" i="1"/>
  <c r="BP78" i="1"/>
  <c r="BO78" i="1"/>
  <c r="BQ77" i="1"/>
  <c r="BP77" i="1"/>
  <c r="BO77" i="1"/>
  <c r="BQ76" i="1"/>
  <c r="BP76" i="1"/>
  <c r="BO76" i="1"/>
  <c r="BQ75" i="1"/>
  <c r="BP75" i="1"/>
  <c r="BO75" i="1"/>
  <c r="BQ74" i="1"/>
  <c r="BP74" i="1"/>
  <c r="BO74" i="1"/>
  <c r="BQ73" i="1"/>
  <c r="BP73" i="1"/>
  <c r="BO73" i="1"/>
  <c r="BQ72" i="1"/>
  <c r="BP72" i="1"/>
  <c r="BO72" i="1"/>
  <c r="BQ71" i="1"/>
  <c r="BP71" i="1"/>
  <c r="BO71" i="1"/>
  <c r="BQ70" i="1"/>
  <c r="BP70" i="1"/>
  <c r="BO70" i="1"/>
  <c r="BQ69" i="1"/>
  <c r="BP69" i="1"/>
  <c r="BO69" i="1"/>
  <c r="BQ68" i="1"/>
  <c r="BP68" i="1"/>
  <c r="BO68" i="1"/>
  <c r="BQ64" i="1"/>
  <c r="BP64" i="1"/>
  <c r="BO64" i="1"/>
  <c r="BQ63" i="1"/>
  <c r="BP63" i="1"/>
  <c r="BO63" i="1"/>
  <c r="BQ62" i="1"/>
  <c r="BP62" i="1"/>
  <c r="BO62" i="1"/>
  <c r="BQ61" i="1"/>
  <c r="BP61" i="1"/>
  <c r="BO61" i="1"/>
  <c r="BQ60" i="1"/>
  <c r="BP60" i="1"/>
  <c r="BO60" i="1"/>
  <c r="BQ59" i="1"/>
  <c r="BP59" i="1"/>
  <c r="BO59" i="1"/>
  <c r="BQ58" i="1"/>
  <c r="BP58" i="1"/>
  <c r="BO58" i="1"/>
  <c r="BQ57" i="1"/>
  <c r="BP57" i="1"/>
  <c r="BO57" i="1"/>
  <c r="BQ55" i="1"/>
  <c r="BP55" i="1"/>
  <c r="BO55" i="1"/>
  <c r="BQ54" i="1"/>
  <c r="BP54" i="1"/>
  <c r="BO54" i="1"/>
  <c r="BQ53" i="1"/>
  <c r="BP53" i="1"/>
  <c r="BO53" i="1"/>
  <c r="BQ52" i="1"/>
  <c r="BP52" i="1"/>
  <c r="BO52" i="1"/>
  <c r="BQ51" i="1"/>
  <c r="BP51" i="1"/>
  <c r="BO51" i="1"/>
  <c r="BQ49" i="1"/>
  <c r="BP49" i="1"/>
  <c r="BO49" i="1"/>
  <c r="BQ48" i="1"/>
  <c r="BP48" i="1"/>
  <c r="BO48" i="1"/>
  <c r="BQ38" i="1"/>
  <c r="BP38" i="1"/>
  <c r="BO38" i="1"/>
  <c r="BL125" i="1"/>
  <c r="BL124" i="1"/>
  <c r="BL123" i="1"/>
  <c r="BL122" i="1"/>
  <c r="BL121" i="1"/>
  <c r="BL120" i="1"/>
  <c r="BL119" i="1"/>
  <c r="BL118" i="1"/>
  <c r="BL117" i="1"/>
  <c r="BL116" i="1"/>
  <c r="BL115" i="1"/>
  <c r="BL114" i="1"/>
  <c r="BL113" i="1"/>
  <c r="BL112" i="1"/>
  <c r="BL111" i="1"/>
  <c r="BL110" i="1"/>
  <c r="BL109" i="1"/>
  <c r="BL108" i="1"/>
  <c r="BL107" i="1"/>
  <c r="BL106" i="1"/>
  <c r="BL105" i="1"/>
  <c r="BL104" i="1"/>
  <c r="BL103" i="1"/>
  <c r="BL102" i="1"/>
  <c r="BL101" i="1"/>
  <c r="BL100" i="1"/>
  <c r="BL99" i="1"/>
  <c r="BL98" i="1"/>
  <c r="BL97" i="1"/>
  <c r="BL96" i="1"/>
  <c r="BL95" i="1"/>
  <c r="BL94" i="1"/>
  <c r="BL93" i="1"/>
  <c r="BL92" i="1"/>
  <c r="BL91" i="1"/>
  <c r="BL90" i="1"/>
  <c r="BL89" i="1"/>
  <c r="BL88" i="1"/>
  <c r="BL87" i="1"/>
  <c r="BL86" i="1"/>
  <c r="BL84" i="1"/>
  <c r="BL83" i="1"/>
  <c r="BL82" i="1"/>
  <c r="BL81" i="1"/>
  <c r="BL79" i="1"/>
  <c r="BL78" i="1"/>
  <c r="BL77" i="1"/>
  <c r="BL76" i="1"/>
  <c r="BL75" i="1"/>
  <c r="BL74" i="1"/>
  <c r="BL73" i="1"/>
  <c r="BL72" i="1"/>
  <c r="BL71" i="1"/>
  <c r="BL70" i="1"/>
  <c r="BL69" i="1"/>
  <c r="BL68" i="1"/>
  <c r="BL64" i="1"/>
  <c r="BL63" i="1"/>
  <c r="BL62" i="1"/>
  <c r="BL61" i="1"/>
  <c r="BL60" i="1"/>
  <c r="BL59" i="1"/>
  <c r="BL58" i="1"/>
  <c r="BL57" i="1"/>
  <c r="BL55" i="1"/>
  <c r="BL54" i="1"/>
  <c r="BL53" i="1"/>
  <c r="BL52" i="1"/>
  <c r="BL51" i="1"/>
  <c r="BL49" i="1"/>
  <c r="BL48" i="1"/>
  <c r="BL38" i="1"/>
  <c r="BM125" i="1"/>
  <c r="BM124" i="1"/>
  <c r="BM123" i="1"/>
  <c r="BM122" i="1"/>
  <c r="BM121" i="1"/>
  <c r="BM120" i="1"/>
  <c r="BM119" i="1"/>
  <c r="BM118" i="1"/>
  <c r="BM117" i="1"/>
  <c r="BM116" i="1"/>
  <c r="BM115" i="1"/>
  <c r="BM114" i="1"/>
  <c r="BM113" i="1"/>
  <c r="BM112" i="1"/>
  <c r="BM111" i="1"/>
  <c r="BM110" i="1"/>
  <c r="BM109" i="1"/>
  <c r="BM108" i="1"/>
  <c r="BM107" i="1"/>
  <c r="BM106" i="1"/>
  <c r="BM105" i="1"/>
  <c r="BM104" i="1"/>
  <c r="BM103" i="1"/>
  <c r="BM102" i="1"/>
  <c r="BM101" i="1"/>
  <c r="BM100" i="1"/>
  <c r="BM99" i="1"/>
  <c r="BM98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4" i="1"/>
  <c r="BM83" i="1"/>
  <c r="BM82" i="1"/>
  <c r="BM81" i="1"/>
  <c r="BM79" i="1"/>
  <c r="BM78" i="1"/>
  <c r="BM77" i="1"/>
  <c r="BM76" i="1"/>
  <c r="BM75" i="1"/>
  <c r="BM74" i="1"/>
  <c r="BM73" i="1"/>
  <c r="BM72" i="1"/>
  <c r="BM71" i="1"/>
  <c r="BM70" i="1"/>
  <c r="BM69" i="1"/>
  <c r="BM68" i="1"/>
  <c r="BM64" i="1"/>
  <c r="BM63" i="1"/>
  <c r="BM62" i="1"/>
  <c r="BM61" i="1"/>
  <c r="BM60" i="1"/>
  <c r="BM59" i="1"/>
  <c r="BM58" i="1"/>
  <c r="BM57" i="1"/>
  <c r="BM55" i="1"/>
  <c r="BM54" i="1"/>
  <c r="BM53" i="1"/>
  <c r="BM52" i="1"/>
  <c r="BM51" i="1"/>
  <c r="BM49" i="1"/>
  <c r="BM48" i="1"/>
  <c r="BM38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10" i="1"/>
  <c r="BN109" i="1"/>
  <c r="BN108" i="1"/>
  <c r="BN107" i="1"/>
  <c r="BN106" i="1"/>
  <c r="BN105" i="1"/>
  <c r="BN104" i="1"/>
  <c r="BN103" i="1"/>
  <c r="BN102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4" i="1"/>
  <c r="BN83" i="1"/>
  <c r="BN82" i="1"/>
  <c r="BN81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4" i="1"/>
  <c r="BN63" i="1"/>
  <c r="BN62" i="1"/>
  <c r="BN61" i="1"/>
  <c r="BN60" i="1"/>
  <c r="BN59" i="1"/>
  <c r="BN58" i="1"/>
  <c r="BN57" i="1"/>
  <c r="BN55" i="1"/>
  <c r="BN54" i="1"/>
  <c r="BN53" i="1"/>
  <c r="BN52" i="1"/>
  <c r="BN51" i="1"/>
  <c r="BN49" i="1"/>
  <c r="BN48" i="1"/>
  <c r="BN38" i="1"/>
  <c r="X187" i="3"/>
  <c r="X185" i="3"/>
  <c r="X184" i="3"/>
  <c r="X183" i="3"/>
  <c r="X182" i="3"/>
  <c r="X181" i="3"/>
  <c r="X180" i="3"/>
  <c r="X179" i="3"/>
  <c r="X178" i="3"/>
  <c r="X177" i="3"/>
  <c r="X176" i="3"/>
  <c r="X175" i="3"/>
  <c r="X174" i="3"/>
  <c r="X173" i="3"/>
  <c r="X172" i="3"/>
  <c r="X171" i="3"/>
  <c r="X170" i="3"/>
  <c r="X169" i="3"/>
  <c r="X168" i="3"/>
  <c r="X167" i="3"/>
  <c r="X166" i="3"/>
  <c r="X165" i="3"/>
  <c r="X164" i="3"/>
  <c r="X163" i="3"/>
  <c r="X162" i="3"/>
  <c r="X161" i="3"/>
  <c r="X160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5" i="3"/>
  <c r="X144" i="3"/>
  <c r="X143" i="3"/>
  <c r="X142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6" i="3"/>
  <c r="X125" i="3"/>
  <c r="X124" i="3"/>
  <c r="X123" i="3"/>
  <c r="X122" i="3"/>
  <c r="X121" i="3"/>
  <c r="X120" i="3"/>
  <c r="X118" i="3"/>
  <c r="X117" i="3"/>
  <c r="X116" i="3"/>
  <c r="X115" i="3"/>
  <c r="X114" i="3"/>
  <c r="X113" i="3"/>
  <c r="X112" i="3"/>
  <c r="X111" i="3"/>
  <c r="X109" i="3"/>
  <c r="X108" i="3"/>
  <c r="X107" i="3"/>
  <c r="X106" i="3"/>
  <c r="X105" i="3"/>
  <c r="X103" i="3"/>
  <c r="X102" i="3"/>
  <c r="X101" i="3"/>
  <c r="X100" i="3"/>
  <c r="X74" i="3"/>
  <c r="X61" i="3"/>
  <c r="X60" i="3"/>
  <c r="X36" i="3"/>
  <c r="X27" i="3"/>
  <c r="X26" i="3"/>
  <c r="X23" i="3"/>
  <c r="X22" i="3"/>
  <c r="X11" i="3"/>
  <c r="Y187" i="3"/>
  <c r="Y185" i="3"/>
  <c r="Y184" i="3"/>
  <c r="Y183" i="3"/>
  <c r="Y182" i="3"/>
  <c r="Y181" i="3"/>
  <c r="Y180" i="3"/>
  <c r="Y179" i="3"/>
  <c r="Y178" i="3"/>
  <c r="Y177" i="3"/>
  <c r="Y176" i="3"/>
  <c r="Y175" i="3"/>
  <c r="Y174" i="3"/>
  <c r="Y173" i="3"/>
  <c r="Y172" i="3"/>
  <c r="Y171" i="3"/>
  <c r="Y170" i="3"/>
  <c r="Y169" i="3"/>
  <c r="Y168" i="3"/>
  <c r="Y167" i="3"/>
  <c r="Y166" i="3"/>
  <c r="Y165" i="3"/>
  <c r="Y164" i="3"/>
  <c r="Y163" i="3"/>
  <c r="Y162" i="3"/>
  <c r="Y161" i="3"/>
  <c r="Y160" i="3"/>
  <c r="Y159" i="3"/>
  <c r="Y158" i="3"/>
  <c r="Y157" i="3"/>
  <c r="Y156" i="3"/>
  <c r="Y155" i="3"/>
  <c r="Y154" i="3"/>
  <c r="Y153" i="3"/>
  <c r="Y152" i="3"/>
  <c r="Y151" i="3"/>
  <c r="Y150" i="3"/>
  <c r="Y149" i="3"/>
  <c r="Y148" i="3"/>
  <c r="Y147" i="3"/>
  <c r="Y145" i="3"/>
  <c r="Y144" i="3"/>
  <c r="Y143" i="3"/>
  <c r="Y142" i="3"/>
  <c r="Y140" i="3"/>
  <c r="Y139" i="3"/>
  <c r="Y138" i="3"/>
  <c r="Y137" i="3"/>
  <c r="Y136" i="3"/>
  <c r="Y135" i="3"/>
  <c r="Y134" i="3"/>
  <c r="Y133" i="3"/>
  <c r="Y132" i="3"/>
  <c r="Y131" i="3"/>
  <c r="Y130" i="3"/>
  <c r="Y129" i="3"/>
  <c r="Y128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09" i="3"/>
  <c r="Y108" i="3"/>
  <c r="Y107" i="3"/>
  <c r="Y106" i="3"/>
  <c r="Y105" i="3"/>
  <c r="Y104" i="3"/>
  <c r="Y103" i="3"/>
  <c r="Y102" i="3"/>
  <c r="Y101" i="3"/>
  <c r="Y100" i="3"/>
  <c r="Y74" i="3"/>
  <c r="Y61" i="3"/>
  <c r="Y60" i="3"/>
  <c r="Y36" i="3"/>
  <c r="Y27" i="3"/>
  <c r="Y26" i="3"/>
  <c r="Y23" i="3"/>
  <c r="Y22" i="3"/>
  <c r="Y11" i="3"/>
  <c r="Z187" i="3"/>
  <c r="Z185" i="3"/>
  <c r="Z184" i="3"/>
  <c r="Z183" i="3"/>
  <c r="Z182" i="3"/>
  <c r="Z181" i="3"/>
  <c r="Z180" i="3"/>
  <c r="Z179" i="3"/>
  <c r="Z178" i="3"/>
  <c r="Z177" i="3"/>
  <c r="Z176" i="3"/>
  <c r="Z175" i="3"/>
  <c r="Z174" i="3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5" i="3"/>
  <c r="Z144" i="3"/>
  <c r="Z143" i="3"/>
  <c r="Z142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09" i="3"/>
  <c r="Z108" i="3"/>
  <c r="Z107" i="3"/>
  <c r="Z106" i="3"/>
  <c r="Z105" i="3"/>
  <c r="Z104" i="3"/>
  <c r="Z103" i="3"/>
  <c r="Z102" i="3"/>
  <c r="Z101" i="3"/>
  <c r="Z100" i="3"/>
  <c r="Z74" i="3"/>
  <c r="Z61" i="3"/>
  <c r="Z60" i="3"/>
  <c r="Z36" i="3"/>
  <c r="Z27" i="3"/>
  <c r="Z26" i="3"/>
  <c r="Z23" i="3"/>
  <c r="Z22" i="3"/>
  <c r="Z11" i="3"/>
  <c r="W187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5" i="3"/>
  <c r="W144" i="3"/>
  <c r="W143" i="3"/>
  <c r="W142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09" i="3"/>
  <c r="W108" i="3"/>
  <c r="W107" i="3"/>
  <c r="W106" i="3"/>
  <c r="W105" i="3"/>
  <c r="W103" i="3"/>
  <c r="W102" i="3"/>
  <c r="W101" i="3"/>
  <c r="W100" i="3"/>
  <c r="W74" i="3"/>
  <c r="W61" i="3"/>
  <c r="W60" i="3"/>
  <c r="W36" i="3"/>
  <c r="W27" i="3"/>
  <c r="W26" i="3"/>
  <c r="W23" i="3"/>
  <c r="W22" i="3"/>
  <c r="W11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5" i="3"/>
  <c r="V144" i="3"/>
  <c r="V143" i="3"/>
  <c r="V142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6" i="3"/>
  <c r="V125" i="3"/>
  <c r="V124" i="3"/>
  <c r="V123" i="3"/>
  <c r="V122" i="3"/>
  <c r="V121" i="3"/>
  <c r="V120" i="3"/>
  <c r="V118" i="3"/>
  <c r="V117" i="3"/>
  <c r="V116" i="3"/>
  <c r="V115" i="3"/>
  <c r="V114" i="3"/>
  <c r="V113" i="3"/>
  <c r="V112" i="3"/>
  <c r="V111" i="3"/>
  <c r="V109" i="3"/>
  <c r="V108" i="3"/>
  <c r="V107" i="3"/>
  <c r="V106" i="3"/>
  <c r="V105" i="3"/>
  <c r="V103" i="3"/>
  <c r="V102" i="3"/>
  <c r="V101" i="3"/>
  <c r="V100" i="3"/>
  <c r="V74" i="3"/>
  <c r="V61" i="3"/>
  <c r="V60" i="3"/>
  <c r="V36" i="3"/>
  <c r="V27" i="3"/>
  <c r="V26" i="3"/>
  <c r="V23" i="3"/>
  <c r="V22" i="3"/>
  <c r="V11" i="3"/>
  <c r="AA187" i="3"/>
  <c r="U186" i="3"/>
  <c r="AA185" i="3"/>
  <c r="U185" i="3"/>
  <c r="AA184" i="3"/>
  <c r="U184" i="3"/>
  <c r="AA183" i="3"/>
  <c r="U183" i="3"/>
  <c r="AA182" i="3"/>
  <c r="U182" i="3"/>
  <c r="AA181" i="3"/>
  <c r="U181" i="3"/>
  <c r="AA180" i="3"/>
  <c r="U180" i="3"/>
  <c r="AA179" i="3"/>
  <c r="U179" i="3"/>
  <c r="AA178" i="3"/>
  <c r="U178" i="3"/>
  <c r="AA177" i="3"/>
  <c r="U177" i="3"/>
  <c r="AA176" i="3"/>
  <c r="U176" i="3"/>
  <c r="AA175" i="3"/>
  <c r="U175" i="3"/>
  <c r="AA174" i="3"/>
  <c r="U174" i="3"/>
  <c r="AA173" i="3"/>
  <c r="U173" i="3"/>
  <c r="AA172" i="3"/>
  <c r="U172" i="3"/>
  <c r="AA171" i="3"/>
  <c r="U171" i="3"/>
  <c r="AA170" i="3"/>
  <c r="U170" i="3"/>
  <c r="AA169" i="3"/>
  <c r="U169" i="3"/>
  <c r="AA168" i="3"/>
  <c r="U168" i="3"/>
  <c r="AA167" i="3"/>
  <c r="U167" i="3"/>
  <c r="AA166" i="3"/>
  <c r="U166" i="3"/>
  <c r="AA165" i="3"/>
  <c r="U165" i="3"/>
  <c r="AA164" i="3"/>
  <c r="U164" i="3"/>
  <c r="AA163" i="3"/>
  <c r="U163" i="3"/>
  <c r="AA162" i="3"/>
  <c r="U162" i="3"/>
  <c r="AA161" i="3"/>
  <c r="U161" i="3"/>
  <c r="AA160" i="3"/>
  <c r="U160" i="3"/>
  <c r="AA159" i="3"/>
  <c r="U159" i="3"/>
  <c r="AA158" i="3"/>
  <c r="U158" i="3"/>
  <c r="AA157" i="3"/>
  <c r="U157" i="3"/>
  <c r="AA156" i="3"/>
  <c r="U156" i="3"/>
  <c r="AA155" i="3"/>
  <c r="U155" i="3"/>
  <c r="AA154" i="3"/>
  <c r="U154" i="3"/>
  <c r="AA153" i="3"/>
  <c r="U153" i="3"/>
  <c r="AA152" i="3"/>
  <c r="U152" i="3"/>
  <c r="AA151" i="3"/>
  <c r="U151" i="3"/>
  <c r="AA150" i="3"/>
  <c r="U150" i="3"/>
  <c r="AA149" i="3"/>
  <c r="U149" i="3"/>
  <c r="AA148" i="3"/>
  <c r="U148" i="3"/>
  <c r="AA147" i="3"/>
  <c r="U147" i="3"/>
  <c r="AA145" i="3"/>
  <c r="U145" i="3"/>
  <c r="AA144" i="3"/>
  <c r="U144" i="3"/>
  <c r="AA143" i="3"/>
  <c r="U143" i="3"/>
  <c r="AA142" i="3"/>
  <c r="U142" i="3"/>
  <c r="AA140" i="3"/>
  <c r="U140" i="3"/>
  <c r="AA139" i="3"/>
  <c r="U139" i="3"/>
  <c r="AA138" i="3"/>
  <c r="U138" i="3"/>
  <c r="AA137" i="3"/>
  <c r="U137" i="3"/>
  <c r="AA136" i="3"/>
  <c r="U136" i="3"/>
  <c r="AA135" i="3"/>
  <c r="U135" i="3"/>
  <c r="AA134" i="3"/>
  <c r="U134" i="3"/>
  <c r="AA133" i="3"/>
  <c r="U133" i="3"/>
  <c r="AA132" i="3"/>
  <c r="U132" i="3"/>
  <c r="AA131" i="3"/>
  <c r="U131" i="3"/>
  <c r="AA130" i="3"/>
  <c r="U130" i="3"/>
  <c r="AA129" i="3"/>
  <c r="U129" i="3"/>
  <c r="AA126" i="3"/>
  <c r="U126" i="3"/>
  <c r="AA125" i="3"/>
  <c r="U125" i="3"/>
  <c r="AA124" i="3"/>
  <c r="U124" i="3"/>
  <c r="AA123" i="3"/>
  <c r="U123" i="3"/>
  <c r="AA122" i="3"/>
  <c r="U122" i="3"/>
  <c r="AA121" i="3"/>
  <c r="U121" i="3"/>
  <c r="AA120" i="3"/>
  <c r="U120" i="3"/>
  <c r="AA118" i="3"/>
  <c r="U118" i="3"/>
  <c r="AA117" i="3"/>
  <c r="U117" i="3"/>
  <c r="AA116" i="3"/>
  <c r="U116" i="3"/>
  <c r="AA115" i="3"/>
  <c r="U115" i="3"/>
  <c r="AA114" i="3"/>
  <c r="U114" i="3"/>
  <c r="AA113" i="3"/>
  <c r="U113" i="3"/>
  <c r="AA112" i="3"/>
  <c r="U112" i="3"/>
  <c r="AA111" i="3"/>
  <c r="U111" i="3"/>
  <c r="AA109" i="3"/>
  <c r="U109" i="3"/>
  <c r="AA108" i="3"/>
  <c r="U108" i="3"/>
  <c r="AA107" i="3"/>
  <c r="U107" i="3"/>
  <c r="AA106" i="3"/>
  <c r="U106" i="3"/>
  <c r="AA105" i="3"/>
  <c r="U105" i="3"/>
  <c r="AA103" i="3"/>
  <c r="U103" i="3"/>
  <c r="AA102" i="3"/>
  <c r="U102" i="3"/>
  <c r="AA101" i="3"/>
  <c r="U101" i="3"/>
  <c r="AA100" i="3"/>
  <c r="U100" i="3"/>
  <c r="AA74" i="3"/>
  <c r="U74" i="3"/>
  <c r="AA61" i="3"/>
  <c r="U61" i="3"/>
  <c r="AA60" i="3"/>
  <c r="U60" i="3"/>
  <c r="AA36" i="3"/>
  <c r="U36" i="3"/>
  <c r="AA27" i="3"/>
  <c r="U27" i="3"/>
  <c r="AA26" i="3"/>
  <c r="U26" i="3"/>
  <c r="AA23" i="3"/>
  <c r="U23" i="3"/>
  <c r="AA22" i="3"/>
  <c r="U22" i="3"/>
  <c r="AA11" i="3"/>
  <c r="U11" i="3"/>
  <c r="AB187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5" i="3"/>
  <c r="AB144" i="3"/>
  <c r="AB143" i="3"/>
  <c r="AB142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6" i="3"/>
  <c r="AB125" i="3"/>
  <c r="AB124" i="3"/>
  <c r="AB123" i="3"/>
  <c r="AB122" i="3"/>
  <c r="AB121" i="3"/>
  <c r="AB120" i="3"/>
  <c r="AB118" i="3"/>
  <c r="AB117" i="3"/>
  <c r="AB116" i="3"/>
  <c r="AB115" i="3"/>
  <c r="AB114" i="3"/>
  <c r="AB113" i="3"/>
  <c r="AB112" i="3"/>
  <c r="AB111" i="3"/>
  <c r="AB109" i="3"/>
  <c r="AB108" i="3"/>
  <c r="AB107" i="3"/>
  <c r="AB106" i="3"/>
  <c r="AB105" i="3"/>
  <c r="AB103" i="3"/>
  <c r="AB102" i="3"/>
  <c r="AB101" i="3"/>
  <c r="AB100" i="3"/>
  <c r="AB74" i="3"/>
  <c r="AB61" i="3"/>
  <c r="AB60" i="3"/>
  <c r="AB36" i="3"/>
  <c r="AB27" i="3"/>
  <c r="AB26" i="3"/>
  <c r="AB23" i="3"/>
  <c r="AB22" i="3"/>
  <c r="AB11" i="3"/>
  <c r="AC187" i="3"/>
  <c r="AC185" i="3"/>
  <c r="AC184" i="3"/>
  <c r="AC183" i="3"/>
  <c r="AC182" i="3"/>
  <c r="AC181" i="3"/>
  <c r="AC180" i="3"/>
  <c r="AC179" i="3"/>
  <c r="AC178" i="3"/>
  <c r="AC177" i="3"/>
  <c r="AC176" i="3"/>
  <c r="AC175" i="3"/>
  <c r="AC174" i="3"/>
  <c r="AC173" i="3"/>
  <c r="AC172" i="3"/>
  <c r="AC171" i="3"/>
  <c r="AC170" i="3"/>
  <c r="AC169" i="3"/>
  <c r="AC168" i="3"/>
  <c r="AC167" i="3"/>
  <c r="AC166" i="3"/>
  <c r="AC165" i="3"/>
  <c r="AC164" i="3"/>
  <c r="AC163" i="3"/>
  <c r="AC162" i="3"/>
  <c r="AC161" i="3"/>
  <c r="AC160" i="3"/>
  <c r="AC159" i="3"/>
  <c r="AC158" i="3"/>
  <c r="AC157" i="3"/>
  <c r="AC156" i="3"/>
  <c r="AC155" i="3"/>
  <c r="AC154" i="3"/>
  <c r="AC153" i="3"/>
  <c r="AC152" i="3"/>
  <c r="AC151" i="3"/>
  <c r="AC150" i="3"/>
  <c r="AC149" i="3"/>
  <c r="AC148" i="3"/>
  <c r="AC147" i="3"/>
  <c r="AC145" i="3"/>
  <c r="AC144" i="3"/>
  <c r="AC143" i="3"/>
  <c r="AC142" i="3"/>
  <c r="AC140" i="3"/>
  <c r="AC139" i="3"/>
  <c r="AC138" i="3"/>
  <c r="AC137" i="3"/>
  <c r="AC136" i="3"/>
  <c r="AC135" i="3"/>
  <c r="AC134" i="3"/>
  <c r="AC133" i="3"/>
  <c r="AC132" i="3"/>
  <c r="AC131" i="3"/>
  <c r="AC130" i="3"/>
  <c r="AC129" i="3"/>
  <c r="AC126" i="3"/>
  <c r="AC125" i="3"/>
  <c r="AC124" i="3"/>
  <c r="AC123" i="3"/>
  <c r="AC122" i="3"/>
  <c r="AC121" i="3"/>
  <c r="AC120" i="3"/>
  <c r="AC118" i="3"/>
  <c r="AC117" i="3"/>
  <c r="AC116" i="3"/>
  <c r="AC115" i="3"/>
  <c r="AC114" i="3"/>
  <c r="AC113" i="3"/>
  <c r="AC112" i="3"/>
  <c r="AC111" i="3"/>
  <c r="AC109" i="3"/>
  <c r="AC108" i="3"/>
  <c r="AC107" i="3"/>
  <c r="AC106" i="3"/>
  <c r="AC105" i="3"/>
  <c r="AC103" i="3"/>
  <c r="AC102" i="3"/>
  <c r="AC101" i="3"/>
  <c r="AC100" i="3"/>
  <c r="AC74" i="3"/>
  <c r="AC61" i="3"/>
  <c r="AC60" i="3"/>
  <c r="AC36" i="3"/>
  <c r="AC27" i="3"/>
  <c r="AC26" i="3"/>
  <c r="AC23" i="3"/>
  <c r="AC22" i="3"/>
  <c r="AC11" i="3"/>
  <c r="AA186" i="9"/>
  <c r="Z186" i="9"/>
  <c r="Y186" i="9"/>
  <c r="AA185" i="9"/>
  <c r="Z185" i="9"/>
  <c r="Y185" i="9"/>
  <c r="AA184" i="9"/>
  <c r="Z184" i="9"/>
  <c r="Y184" i="9"/>
  <c r="AA183" i="9"/>
  <c r="Z183" i="9"/>
  <c r="Y183" i="9"/>
  <c r="AA182" i="9"/>
  <c r="Z182" i="9"/>
  <c r="Y182" i="9"/>
  <c r="AA178" i="9"/>
  <c r="Z178" i="9"/>
  <c r="Y178" i="9"/>
  <c r="AA177" i="9"/>
  <c r="Z177" i="9"/>
  <c r="Y177" i="9"/>
  <c r="AA176" i="9"/>
  <c r="Z176" i="9"/>
  <c r="Y176" i="9"/>
  <c r="AA175" i="9"/>
  <c r="Z175" i="9"/>
  <c r="Y175" i="9"/>
  <c r="AA174" i="9"/>
  <c r="Z174" i="9"/>
  <c r="Y174" i="9"/>
  <c r="AA173" i="9"/>
  <c r="Z173" i="9"/>
  <c r="Y173" i="9"/>
  <c r="AA172" i="9"/>
  <c r="Z172" i="9"/>
  <c r="Y172" i="9"/>
  <c r="AA171" i="9"/>
  <c r="Z171" i="9"/>
  <c r="Y171" i="9"/>
  <c r="AA170" i="9"/>
  <c r="Z170" i="9"/>
  <c r="Y170" i="9"/>
  <c r="AA169" i="9"/>
  <c r="Z169" i="9"/>
  <c r="Y169" i="9"/>
  <c r="AA168" i="9"/>
  <c r="Z168" i="9"/>
  <c r="Y168" i="9"/>
  <c r="AA167" i="9"/>
  <c r="Z167" i="9"/>
  <c r="Y167" i="9"/>
  <c r="AA166" i="9"/>
  <c r="Z166" i="9"/>
  <c r="Y166" i="9"/>
  <c r="AA165" i="9"/>
  <c r="Z165" i="9"/>
  <c r="Y165" i="9"/>
  <c r="AA164" i="9"/>
  <c r="Z164" i="9"/>
  <c r="Y164" i="9"/>
  <c r="AA163" i="9"/>
  <c r="Z163" i="9"/>
  <c r="Y163" i="9"/>
  <c r="AA162" i="9"/>
  <c r="Z162" i="9"/>
  <c r="Y162" i="9"/>
  <c r="AA161" i="9"/>
  <c r="Z161" i="9"/>
  <c r="Y161" i="9"/>
  <c r="AA160" i="9"/>
  <c r="Z160" i="9"/>
  <c r="Y160" i="9"/>
  <c r="AA159" i="9"/>
  <c r="Z159" i="9"/>
  <c r="Y159" i="9"/>
  <c r="AA158" i="9"/>
  <c r="Z158" i="9"/>
  <c r="Y158" i="9"/>
  <c r="AA157" i="9"/>
  <c r="Z157" i="9"/>
  <c r="Y157" i="9"/>
  <c r="AA156" i="9"/>
  <c r="Z156" i="9"/>
  <c r="Y156" i="9"/>
  <c r="AA155" i="9"/>
  <c r="Z155" i="9"/>
  <c r="Y155" i="9"/>
  <c r="AA154" i="9"/>
  <c r="Z154" i="9"/>
  <c r="Y154" i="9"/>
  <c r="AA153" i="9"/>
  <c r="Z153" i="9"/>
  <c r="Y153" i="9"/>
  <c r="AA152" i="9"/>
  <c r="Z152" i="9"/>
  <c r="Y152" i="9"/>
  <c r="AA151" i="9"/>
  <c r="Z151" i="9"/>
  <c r="Y151" i="9"/>
  <c r="AA150" i="9"/>
  <c r="Z150" i="9"/>
  <c r="Y150" i="9"/>
  <c r="AA149" i="9"/>
  <c r="Z149" i="9"/>
  <c r="Y149" i="9"/>
  <c r="AA148" i="9"/>
  <c r="Z148" i="9"/>
  <c r="Y148" i="9"/>
  <c r="AA147" i="9"/>
  <c r="Z147" i="9"/>
  <c r="Y147" i="9"/>
  <c r="AA145" i="9"/>
  <c r="Z145" i="9"/>
  <c r="Y145" i="9"/>
  <c r="AA144" i="9"/>
  <c r="Z144" i="9"/>
  <c r="Y144" i="9"/>
  <c r="AA143" i="9"/>
  <c r="Z143" i="9"/>
  <c r="Y143" i="9"/>
  <c r="AA142" i="9"/>
  <c r="Z142" i="9"/>
  <c r="Y142" i="9"/>
  <c r="AA140" i="9"/>
  <c r="Z140" i="9"/>
  <c r="Y140" i="9"/>
  <c r="AA139" i="9"/>
  <c r="Z139" i="9"/>
  <c r="Y139" i="9"/>
  <c r="AA138" i="9"/>
  <c r="Z138" i="9"/>
  <c r="Y138" i="9"/>
  <c r="AA137" i="9"/>
  <c r="Z137" i="9"/>
  <c r="Y137" i="9"/>
  <c r="AA136" i="9"/>
  <c r="Z136" i="9"/>
  <c r="Y136" i="9"/>
  <c r="AA135" i="9"/>
  <c r="Z135" i="9"/>
  <c r="Y135" i="9"/>
  <c r="AA134" i="9"/>
  <c r="Z134" i="9"/>
  <c r="Y134" i="9"/>
  <c r="AA133" i="9"/>
  <c r="Z133" i="9"/>
  <c r="Y133" i="9"/>
  <c r="AA132" i="9"/>
  <c r="Z132" i="9"/>
  <c r="Y132" i="9"/>
  <c r="AA131" i="9"/>
  <c r="Z131" i="9"/>
  <c r="Y131" i="9"/>
  <c r="AA130" i="9"/>
  <c r="Z130" i="9"/>
  <c r="Y130" i="9"/>
  <c r="AA129" i="9"/>
  <c r="Z129" i="9"/>
  <c r="Y129" i="9"/>
  <c r="AA126" i="9"/>
  <c r="Z126" i="9"/>
  <c r="Y126" i="9"/>
  <c r="AA125" i="9"/>
  <c r="Z125" i="9"/>
  <c r="Y125" i="9"/>
  <c r="AA124" i="9"/>
  <c r="Z124" i="9"/>
  <c r="Y124" i="9"/>
  <c r="AA123" i="9"/>
  <c r="Z123" i="9"/>
  <c r="Y123" i="9"/>
  <c r="AA122" i="9"/>
  <c r="Z122" i="9"/>
  <c r="Y122" i="9"/>
  <c r="AA121" i="9"/>
  <c r="Z121" i="9"/>
  <c r="Y121" i="9"/>
  <c r="AA120" i="9"/>
  <c r="Z120" i="9"/>
  <c r="Y120" i="9"/>
  <c r="AA118" i="9"/>
  <c r="Z118" i="9"/>
  <c r="Y118" i="9"/>
  <c r="AA117" i="9"/>
  <c r="Z117" i="9"/>
  <c r="Y117" i="9"/>
  <c r="AA116" i="9"/>
  <c r="Z116" i="9"/>
  <c r="Y116" i="9"/>
  <c r="AA115" i="9"/>
  <c r="Z115" i="9"/>
  <c r="Y115" i="9"/>
  <c r="AA114" i="9"/>
  <c r="Z114" i="9"/>
  <c r="Y114" i="9"/>
  <c r="AA113" i="9"/>
  <c r="Z113" i="9"/>
  <c r="Y113" i="9"/>
  <c r="AA112" i="9"/>
  <c r="Z112" i="9"/>
  <c r="Y112" i="9"/>
  <c r="AA111" i="9"/>
  <c r="Z111" i="9"/>
  <c r="Y111" i="9"/>
  <c r="AA109" i="9"/>
  <c r="Z109" i="9"/>
  <c r="Y109" i="9"/>
  <c r="AA105" i="9"/>
  <c r="Z105" i="9"/>
  <c r="Y105" i="9"/>
  <c r="AA102" i="9"/>
  <c r="Z102" i="9"/>
  <c r="Y102" i="9"/>
  <c r="AA101" i="9"/>
  <c r="Z101" i="9"/>
  <c r="Y101" i="9"/>
  <c r="AA100" i="9"/>
  <c r="Z100" i="9"/>
  <c r="Y100" i="9"/>
  <c r="AA98" i="9"/>
  <c r="Z98" i="9"/>
  <c r="Y98" i="9"/>
  <c r="AA97" i="9"/>
  <c r="Z97" i="9"/>
  <c r="Y97" i="9"/>
  <c r="AA94" i="9"/>
  <c r="Z94" i="9"/>
  <c r="Y94" i="9"/>
  <c r="AA93" i="9"/>
  <c r="Z93" i="9"/>
  <c r="Y93" i="9"/>
  <c r="AA74" i="9"/>
  <c r="Z74" i="9"/>
  <c r="Y74" i="9"/>
  <c r="AA61" i="9"/>
  <c r="Z61" i="9"/>
  <c r="Y61" i="9"/>
  <c r="AA60" i="9"/>
  <c r="Z60" i="9"/>
  <c r="Y60" i="9"/>
  <c r="AA36" i="9"/>
  <c r="Z36" i="9"/>
  <c r="Y36" i="9"/>
  <c r="AA27" i="9"/>
  <c r="Z27" i="9"/>
  <c r="Y27" i="9"/>
  <c r="AA26" i="9"/>
  <c r="Z26" i="9"/>
  <c r="Y26" i="9"/>
  <c r="AA23" i="9"/>
  <c r="Z23" i="9"/>
  <c r="Y23" i="9"/>
  <c r="AA22" i="9"/>
  <c r="Z22" i="9"/>
  <c r="Y22" i="9"/>
  <c r="X186" i="9"/>
  <c r="W186" i="9"/>
  <c r="X185" i="9"/>
  <c r="W185" i="9"/>
  <c r="X184" i="9"/>
  <c r="W184" i="9"/>
  <c r="X183" i="9"/>
  <c r="W183" i="9"/>
  <c r="X182" i="9"/>
  <c r="W182" i="9"/>
  <c r="X178" i="9"/>
  <c r="W178" i="9"/>
  <c r="X177" i="9"/>
  <c r="W177" i="9"/>
  <c r="X176" i="9"/>
  <c r="W176" i="9"/>
  <c r="X175" i="9"/>
  <c r="W175" i="9"/>
  <c r="X174" i="9"/>
  <c r="W174" i="9"/>
  <c r="X173" i="9"/>
  <c r="W173" i="9"/>
  <c r="X172" i="9"/>
  <c r="W172" i="9"/>
  <c r="X171" i="9"/>
  <c r="W171" i="9"/>
  <c r="X170" i="9"/>
  <c r="W170" i="9"/>
  <c r="X169" i="9"/>
  <c r="W169" i="9"/>
  <c r="X168" i="9"/>
  <c r="W168" i="9"/>
  <c r="X167" i="9"/>
  <c r="W167" i="9"/>
  <c r="X166" i="9"/>
  <c r="W166" i="9"/>
  <c r="X165" i="9"/>
  <c r="W165" i="9"/>
  <c r="X164" i="9"/>
  <c r="W164" i="9"/>
  <c r="X163" i="9"/>
  <c r="W163" i="9"/>
  <c r="X162" i="9"/>
  <c r="W162" i="9"/>
  <c r="X161" i="9"/>
  <c r="W161" i="9"/>
  <c r="X160" i="9"/>
  <c r="W160" i="9"/>
  <c r="X159" i="9"/>
  <c r="W159" i="9"/>
  <c r="X158" i="9"/>
  <c r="W158" i="9"/>
  <c r="X157" i="9"/>
  <c r="W157" i="9"/>
  <c r="X156" i="9"/>
  <c r="W156" i="9"/>
  <c r="X155" i="9"/>
  <c r="W155" i="9"/>
  <c r="X154" i="9"/>
  <c r="W154" i="9"/>
  <c r="X153" i="9"/>
  <c r="W153" i="9"/>
  <c r="X152" i="9"/>
  <c r="W152" i="9"/>
  <c r="X151" i="9"/>
  <c r="W151" i="9"/>
  <c r="X150" i="9"/>
  <c r="W150" i="9"/>
  <c r="X149" i="9"/>
  <c r="W149" i="9"/>
  <c r="X148" i="9"/>
  <c r="W148" i="9"/>
  <c r="X147" i="9"/>
  <c r="W147" i="9"/>
  <c r="X145" i="9"/>
  <c r="W145" i="9"/>
  <c r="X144" i="9"/>
  <c r="W144" i="9"/>
  <c r="X143" i="9"/>
  <c r="W143" i="9"/>
  <c r="X142" i="9"/>
  <c r="W142" i="9"/>
  <c r="X140" i="9"/>
  <c r="W140" i="9"/>
  <c r="X139" i="9"/>
  <c r="W139" i="9"/>
  <c r="X138" i="9"/>
  <c r="W138" i="9"/>
  <c r="X137" i="9"/>
  <c r="W137" i="9"/>
  <c r="X136" i="9"/>
  <c r="W136" i="9"/>
  <c r="X135" i="9"/>
  <c r="W135" i="9"/>
  <c r="X134" i="9"/>
  <c r="W134" i="9"/>
  <c r="X133" i="9"/>
  <c r="W133" i="9"/>
  <c r="X132" i="9"/>
  <c r="W132" i="9"/>
  <c r="X131" i="9"/>
  <c r="W131" i="9"/>
  <c r="X130" i="9"/>
  <c r="W130" i="9"/>
  <c r="X129" i="9"/>
  <c r="W129" i="9"/>
  <c r="X126" i="9"/>
  <c r="W126" i="9"/>
  <c r="X125" i="9"/>
  <c r="W125" i="9"/>
  <c r="X124" i="9"/>
  <c r="W124" i="9"/>
  <c r="X123" i="9"/>
  <c r="W123" i="9"/>
  <c r="X122" i="9"/>
  <c r="W122" i="9"/>
  <c r="X121" i="9"/>
  <c r="W121" i="9"/>
  <c r="X120" i="9"/>
  <c r="W120" i="9"/>
  <c r="X118" i="9"/>
  <c r="W118" i="9"/>
  <c r="X117" i="9"/>
  <c r="W117" i="9"/>
  <c r="X116" i="9"/>
  <c r="W116" i="9"/>
  <c r="X115" i="9"/>
  <c r="W115" i="9"/>
  <c r="X114" i="9"/>
  <c r="W114" i="9"/>
  <c r="X113" i="9"/>
  <c r="W113" i="9"/>
  <c r="X112" i="9"/>
  <c r="W112" i="9"/>
  <c r="X111" i="9"/>
  <c r="W111" i="9"/>
  <c r="X109" i="9"/>
  <c r="W109" i="9"/>
  <c r="X105" i="9"/>
  <c r="W105" i="9"/>
  <c r="X102" i="9"/>
  <c r="W102" i="9"/>
  <c r="X101" i="9"/>
  <c r="W101" i="9"/>
  <c r="X100" i="9"/>
  <c r="W100" i="9"/>
  <c r="X98" i="9"/>
  <c r="W98" i="9"/>
  <c r="X97" i="9"/>
  <c r="W97" i="9"/>
  <c r="X94" i="9"/>
  <c r="W94" i="9"/>
  <c r="X93" i="9"/>
  <c r="W93" i="9"/>
  <c r="X74" i="9"/>
  <c r="W74" i="9"/>
  <c r="X61" i="9"/>
  <c r="W61" i="9"/>
  <c r="X60" i="9"/>
  <c r="W60" i="9"/>
  <c r="X36" i="9"/>
  <c r="W36" i="9"/>
  <c r="X27" i="9"/>
  <c r="W27" i="9"/>
  <c r="X26" i="9"/>
  <c r="W26" i="9"/>
  <c r="X23" i="9"/>
  <c r="W23" i="9"/>
  <c r="X22" i="9"/>
  <c r="W22" i="9"/>
  <c r="V186" i="9"/>
  <c r="U186" i="9"/>
  <c r="V185" i="9"/>
  <c r="U185" i="9"/>
  <c r="V184" i="9"/>
  <c r="U184" i="9"/>
  <c r="V183" i="9"/>
  <c r="U183" i="9"/>
  <c r="V182" i="9"/>
  <c r="U182" i="9"/>
  <c r="V178" i="9"/>
  <c r="U178" i="9"/>
  <c r="V177" i="9"/>
  <c r="U177" i="9"/>
  <c r="V176" i="9"/>
  <c r="U176" i="9"/>
  <c r="V175" i="9"/>
  <c r="U175" i="9"/>
  <c r="V174" i="9"/>
  <c r="U174" i="9"/>
  <c r="V173" i="9"/>
  <c r="U173" i="9"/>
  <c r="V172" i="9"/>
  <c r="U172" i="9"/>
  <c r="V171" i="9"/>
  <c r="U171" i="9"/>
  <c r="V170" i="9"/>
  <c r="U170" i="9"/>
  <c r="V169" i="9"/>
  <c r="U169" i="9"/>
  <c r="V168" i="9"/>
  <c r="U168" i="9"/>
  <c r="V167" i="9"/>
  <c r="U167" i="9"/>
  <c r="V166" i="9"/>
  <c r="U166" i="9"/>
  <c r="V165" i="9"/>
  <c r="U165" i="9"/>
  <c r="V164" i="9"/>
  <c r="U164" i="9"/>
  <c r="V163" i="9"/>
  <c r="U163" i="9"/>
  <c r="V162" i="9"/>
  <c r="U162" i="9"/>
  <c r="V161" i="9"/>
  <c r="U161" i="9"/>
  <c r="V160" i="9"/>
  <c r="U160" i="9"/>
  <c r="V159" i="9"/>
  <c r="U159" i="9"/>
  <c r="V158" i="9"/>
  <c r="U158" i="9"/>
  <c r="V157" i="9"/>
  <c r="U157" i="9"/>
  <c r="V156" i="9"/>
  <c r="U156" i="9"/>
  <c r="V155" i="9"/>
  <c r="U155" i="9"/>
  <c r="V154" i="9"/>
  <c r="U154" i="9"/>
  <c r="V153" i="9"/>
  <c r="U153" i="9"/>
  <c r="V152" i="9"/>
  <c r="U152" i="9"/>
  <c r="V151" i="9"/>
  <c r="U151" i="9"/>
  <c r="V150" i="9"/>
  <c r="U150" i="9"/>
  <c r="V149" i="9"/>
  <c r="U149" i="9"/>
  <c r="V148" i="9"/>
  <c r="U148" i="9"/>
  <c r="V147" i="9"/>
  <c r="U147" i="9"/>
  <c r="V145" i="9"/>
  <c r="U145" i="9"/>
  <c r="V144" i="9"/>
  <c r="U144" i="9"/>
  <c r="V143" i="9"/>
  <c r="U143" i="9"/>
  <c r="V142" i="9"/>
  <c r="U142" i="9"/>
  <c r="V140" i="9"/>
  <c r="U140" i="9"/>
  <c r="V139" i="9"/>
  <c r="U139" i="9"/>
  <c r="V138" i="9"/>
  <c r="U138" i="9"/>
  <c r="V137" i="9"/>
  <c r="U137" i="9"/>
  <c r="V136" i="9"/>
  <c r="U136" i="9"/>
  <c r="V135" i="9"/>
  <c r="U135" i="9"/>
  <c r="V134" i="9"/>
  <c r="U134" i="9"/>
  <c r="V133" i="9"/>
  <c r="U133" i="9"/>
  <c r="V132" i="9"/>
  <c r="U132" i="9"/>
  <c r="V131" i="9"/>
  <c r="U131" i="9"/>
  <c r="V130" i="9"/>
  <c r="U130" i="9"/>
  <c r="V129" i="9"/>
  <c r="U129" i="9"/>
  <c r="V126" i="9"/>
  <c r="U126" i="9"/>
  <c r="V125" i="9"/>
  <c r="U125" i="9"/>
  <c r="V124" i="9"/>
  <c r="U124" i="9"/>
  <c r="V123" i="9"/>
  <c r="U123" i="9"/>
  <c r="V122" i="9"/>
  <c r="U122" i="9"/>
  <c r="V121" i="9"/>
  <c r="U121" i="9"/>
  <c r="V120" i="9"/>
  <c r="U120" i="9"/>
  <c r="V118" i="9"/>
  <c r="U118" i="9"/>
  <c r="V117" i="9"/>
  <c r="U117" i="9"/>
  <c r="V116" i="9"/>
  <c r="U116" i="9"/>
  <c r="V115" i="9"/>
  <c r="U115" i="9"/>
  <c r="V114" i="9"/>
  <c r="U114" i="9"/>
  <c r="V113" i="9"/>
  <c r="U113" i="9"/>
  <c r="V112" i="9"/>
  <c r="U112" i="9"/>
  <c r="V111" i="9"/>
  <c r="U111" i="9"/>
  <c r="V109" i="9"/>
  <c r="U109" i="9"/>
  <c r="V105" i="9"/>
  <c r="U105" i="9"/>
  <c r="V102" i="9"/>
  <c r="U102" i="9"/>
  <c r="V101" i="9"/>
  <c r="U101" i="9"/>
  <c r="V100" i="9"/>
  <c r="U100" i="9"/>
  <c r="V98" i="9"/>
  <c r="U98" i="9"/>
  <c r="V97" i="9"/>
  <c r="U97" i="9"/>
  <c r="V94" i="9"/>
  <c r="U94" i="9"/>
  <c r="V93" i="9"/>
  <c r="U93" i="9"/>
  <c r="V74" i="9"/>
  <c r="U74" i="9"/>
  <c r="V61" i="9"/>
  <c r="U61" i="9"/>
  <c r="V60" i="9"/>
  <c r="U60" i="9"/>
  <c r="V36" i="9"/>
  <c r="U36" i="9"/>
  <c r="V27" i="9"/>
  <c r="U27" i="9"/>
  <c r="V26" i="9"/>
  <c r="U26" i="9"/>
  <c r="V23" i="9"/>
  <c r="U23" i="9"/>
  <c r="V22" i="9"/>
  <c r="U22" i="9"/>
  <c r="T186" i="9"/>
  <c r="T185" i="9"/>
  <c r="T184" i="9"/>
  <c r="T183" i="9"/>
  <c r="T182" i="9"/>
  <c r="T178" i="9"/>
  <c r="T177" i="9"/>
  <c r="T176" i="9"/>
  <c r="T175" i="9"/>
  <c r="T174" i="9"/>
  <c r="T173" i="9"/>
  <c r="T172" i="9"/>
  <c r="T171" i="9"/>
  <c r="T170" i="9"/>
  <c r="T169" i="9"/>
  <c r="T168" i="9"/>
  <c r="T167" i="9"/>
  <c r="T166" i="9"/>
  <c r="T165" i="9"/>
  <c r="T164" i="9"/>
  <c r="T163" i="9"/>
  <c r="T162" i="9"/>
  <c r="T161" i="9"/>
  <c r="T160" i="9"/>
  <c r="T159" i="9"/>
  <c r="T158" i="9"/>
  <c r="T157" i="9"/>
  <c r="T156" i="9"/>
  <c r="T155" i="9"/>
  <c r="T154" i="9"/>
  <c r="T153" i="9"/>
  <c r="T152" i="9"/>
  <c r="T151" i="9"/>
  <c r="T150" i="9"/>
  <c r="T149" i="9"/>
  <c r="T148" i="9"/>
  <c r="T147" i="9"/>
  <c r="T145" i="9"/>
  <c r="T144" i="9"/>
  <c r="T143" i="9"/>
  <c r="T142" i="9"/>
  <c r="T140" i="9"/>
  <c r="T139" i="9"/>
  <c r="T138" i="9"/>
  <c r="T137" i="9"/>
  <c r="T136" i="9"/>
  <c r="T135" i="9"/>
  <c r="T134" i="9"/>
  <c r="T133" i="9"/>
  <c r="T132" i="9"/>
  <c r="T131" i="9"/>
  <c r="T130" i="9"/>
  <c r="T129" i="9"/>
  <c r="T126" i="9"/>
  <c r="T125" i="9"/>
  <c r="T124" i="9"/>
  <c r="T123" i="9"/>
  <c r="T122" i="9"/>
  <c r="T121" i="9"/>
  <c r="T120" i="9"/>
  <c r="T118" i="9"/>
  <c r="T117" i="9"/>
  <c r="T116" i="9"/>
  <c r="T115" i="9"/>
  <c r="T114" i="9"/>
  <c r="T113" i="9"/>
  <c r="T112" i="9"/>
  <c r="T111" i="9"/>
  <c r="T109" i="9"/>
  <c r="T105" i="9"/>
  <c r="T102" i="9"/>
  <c r="T101" i="9"/>
  <c r="T100" i="9"/>
  <c r="T98" i="9"/>
  <c r="T97" i="9"/>
  <c r="T94" i="9"/>
  <c r="T93" i="9"/>
  <c r="T74" i="9"/>
  <c r="T61" i="9"/>
  <c r="T60" i="9"/>
  <c r="T36" i="9"/>
  <c r="T27" i="9"/>
  <c r="T26" i="9"/>
  <c r="T23" i="9"/>
  <c r="T22" i="9"/>
  <c r="S186" i="9"/>
  <c r="S185" i="9"/>
  <c r="S184" i="9"/>
  <c r="S183" i="9"/>
  <c r="S182" i="9"/>
  <c r="S178" i="9"/>
  <c r="S177" i="9"/>
  <c r="S176" i="9"/>
  <c r="S175" i="9"/>
  <c r="S174" i="9"/>
  <c r="S173" i="9"/>
  <c r="S172" i="9"/>
  <c r="S171" i="9"/>
  <c r="S170" i="9"/>
  <c r="S169" i="9"/>
  <c r="S168" i="9"/>
  <c r="S167" i="9"/>
  <c r="S166" i="9"/>
  <c r="S165" i="9"/>
  <c r="S164" i="9"/>
  <c r="S163" i="9"/>
  <c r="S162" i="9"/>
  <c r="S161" i="9"/>
  <c r="S160" i="9"/>
  <c r="S159" i="9"/>
  <c r="S158" i="9"/>
  <c r="S157" i="9"/>
  <c r="S156" i="9"/>
  <c r="S155" i="9"/>
  <c r="S154" i="9"/>
  <c r="S153" i="9"/>
  <c r="S152" i="9"/>
  <c r="S151" i="9"/>
  <c r="S150" i="9"/>
  <c r="S149" i="9"/>
  <c r="S148" i="9"/>
  <c r="S147" i="9"/>
  <c r="S145" i="9"/>
  <c r="S144" i="9"/>
  <c r="S143" i="9"/>
  <c r="S142" i="9"/>
  <c r="S140" i="9"/>
  <c r="S139" i="9"/>
  <c r="S138" i="9"/>
  <c r="S137" i="9"/>
  <c r="S136" i="9"/>
  <c r="S135" i="9"/>
  <c r="S134" i="9"/>
  <c r="S133" i="9"/>
  <c r="S132" i="9"/>
  <c r="S131" i="9"/>
  <c r="S130" i="9"/>
  <c r="S129" i="9"/>
  <c r="S126" i="9"/>
  <c r="S125" i="9"/>
  <c r="S124" i="9"/>
  <c r="S123" i="9"/>
  <c r="S122" i="9"/>
  <c r="S121" i="9"/>
  <c r="S120" i="9"/>
  <c r="S118" i="9"/>
  <c r="S117" i="9"/>
  <c r="S116" i="9"/>
  <c r="S115" i="9"/>
  <c r="S114" i="9"/>
  <c r="S113" i="9"/>
  <c r="S112" i="9"/>
  <c r="S111" i="9"/>
  <c r="S109" i="9"/>
  <c r="S105" i="9"/>
  <c r="S102" i="9"/>
  <c r="S101" i="9"/>
  <c r="S100" i="9"/>
  <c r="S98" i="9"/>
  <c r="S97" i="9"/>
  <c r="S94" i="9"/>
  <c r="S93" i="9"/>
  <c r="S74" i="9"/>
  <c r="S61" i="9"/>
  <c r="S60" i="9"/>
  <c r="S36" i="9"/>
  <c r="S27" i="9"/>
  <c r="S26" i="9"/>
  <c r="S23" i="9"/>
  <c r="S22" i="9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A1602" i="8" s="1"/>
  <c r="B1603" i="8"/>
  <c r="B1604" i="8"/>
  <c r="B1605" i="8"/>
  <c r="B1606" i="8"/>
  <c r="B1607" i="8"/>
  <c r="B1608" i="8"/>
  <c r="B1609" i="8"/>
  <c r="B1610" i="8"/>
  <c r="A1610" i="8" s="1"/>
  <c r="B1611" i="8"/>
  <c r="A1611" i="8" s="1"/>
  <c r="B1612" i="8"/>
  <c r="B1613" i="8"/>
  <c r="B1614" i="8"/>
  <c r="B1615" i="8"/>
  <c r="A1615" i="8" s="1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A1629" i="8" s="1"/>
  <c r="B1630" i="8"/>
  <c r="A1630" i="8" s="1"/>
  <c r="B1631" i="8"/>
  <c r="A1631" i="8" s="1"/>
  <c r="B1632" i="8"/>
  <c r="A1632" i="8" s="1"/>
  <c r="B1633" i="8"/>
  <c r="A1633" i="8" s="1"/>
  <c r="B1634" i="8"/>
  <c r="A1634" i="8" s="1"/>
  <c r="B1635" i="8"/>
  <c r="A1635" i="8" s="1"/>
  <c r="B1636" i="8"/>
  <c r="B1637" i="8"/>
  <c r="A1637" i="8" s="1"/>
  <c r="B1638" i="8"/>
  <c r="A1638" i="8" s="1"/>
  <c r="B1639" i="8"/>
  <c r="A1639" i="8" s="1"/>
  <c r="B1640" i="8"/>
  <c r="A1640" i="8" s="1"/>
  <c r="B1641" i="8"/>
  <c r="A1641" i="8" s="1"/>
  <c r="B1642" i="8"/>
  <c r="A1642" i="8" s="1"/>
  <c r="B1643" i="8"/>
  <c r="A1643" i="8" s="1"/>
  <c r="B1644" i="8"/>
  <c r="A1644" i="8" s="1"/>
  <c r="B1645" i="8"/>
  <c r="A1645" i="8" s="1"/>
  <c r="B1646" i="8"/>
  <c r="A1646" i="8" s="1"/>
  <c r="B1647" i="8"/>
  <c r="A1647" i="8" s="1"/>
  <c r="B1648" i="8"/>
  <c r="A1648" i="8" s="1"/>
  <c r="B1649" i="8"/>
  <c r="A1649" i="8" s="1"/>
  <c r="B1650" i="8"/>
  <c r="A1650" i="8" s="1"/>
  <c r="B1651" i="8"/>
  <c r="A1651" i="8" s="1"/>
  <c r="B1652" i="8"/>
  <c r="A1652" i="8" s="1"/>
  <c r="B1653" i="8"/>
  <c r="A1653" i="8" s="1"/>
  <c r="B1654" i="8"/>
  <c r="A1654" i="8" s="1"/>
  <c r="B1655" i="8"/>
  <c r="A1655" i="8" s="1"/>
  <c r="B1656" i="8"/>
  <c r="A1656" i="8" s="1"/>
  <c r="B1657" i="8"/>
  <c r="A1657" i="8" s="1"/>
  <c r="B1658" i="8"/>
  <c r="A1658" i="8" s="1"/>
  <c r="B1659" i="8"/>
  <c r="A1659" i="8" s="1"/>
  <c r="B1660" i="8"/>
  <c r="A1660" i="8" s="1"/>
  <c r="B1661" i="8"/>
  <c r="A1661" i="8" s="1"/>
  <c r="B1662" i="8"/>
  <c r="A1662" i="8" s="1"/>
  <c r="B1663" i="8"/>
  <c r="A1663" i="8" s="1"/>
  <c r="B1664" i="8"/>
  <c r="A1664" i="8" s="1"/>
  <c r="B1665" i="8"/>
  <c r="A1665" i="8" s="1"/>
  <c r="B1666" i="8"/>
  <c r="A1666" i="8" s="1"/>
  <c r="B1667" i="8"/>
  <c r="A1667" i="8" s="1"/>
  <c r="B1668" i="8"/>
  <c r="A1668" i="8" s="1"/>
  <c r="B1669" i="8"/>
  <c r="A1669" i="8" s="1"/>
  <c r="B1670" i="8"/>
  <c r="A1670" i="8" s="1"/>
  <c r="B1671" i="8"/>
  <c r="A1671" i="8" s="1"/>
  <c r="B1672" i="8"/>
  <c r="A1672" i="8" s="1"/>
  <c r="B1673" i="8"/>
  <c r="A1673" i="8" s="1"/>
  <c r="B1674" i="8"/>
  <c r="A1674" i="8" s="1"/>
  <c r="B1675" i="8"/>
  <c r="A1675" i="8" s="1"/>
  <c r="B1676" i="8"/>
  <c r="A1676" i="8" s="1"/>
  <c r="B1677" i="8"/>
  <c r="A1677" i="8" s="1"/>
  <c r="B1678" i="8"/>
  <c r="A1678" i="8" s="1"/>
  <c r="B1679" i="8"/>
  <c r="A1679" i="8" s="1"/>
  <c r="B1680" i="8"/>
  <c r="A1680" i="8" s="1"/>
  <c r="B1681" i="8"/>
  <c r="A1681" i="8" s="1"/>
  <c r="B1682" i="8"/>
  <c r="A1682" i="8" s="1"/>
  <c r="B1683" i="8"/>
  <c r="A1683" i="8" s="1"/>
  <c r="B1684" i="8"/>
  <c r="A1684" i="8" s="1"/>
  <c r="B1685" i="8"/>
  <c r="A1685" i="8" s="1"/>
  <c r="B1686" i="8"/>
  <c r="A1686" i="8" s="1"/>
  <c r="B1687" i="8"/>
  <c r="A1687" i="8" s="1"/>
  <c r="B1688" i="8"/>
  <c r="A1688" i="8" s="1"/>
  <c r="B1689" i="8"/>
  <c r="A1689" i="8" s="1"/>
  <c r="B1690" i="8"/>
  <c r="A1690" i="8" s="1"/>
  <c r="B1691" i="8"/>
  <c r="A1691" i="8" s="1"/>
  <c r="B1692" i="8"/>
  <c r="A1692" i="8" s="1"/>
  <c r="B1693" i="8"/>
  <c r="A1693" i="8" s="1"/>
  <c r="B1694" i="8"/>
  <c r="A1694" i="8" s="1"/>
  <c r="B1695" i="8"/>
  <c r="A1695" i="8" s="1"/>
  <c r="B1696" i="8"/>
  <c r="A1696" i="8" s="1"/>
  <c r="B1697" i="8"/>
  <c r="A1697" i="8" s="1"/>
  <c r="B1698" i="8"/>
  <c r="A1698" i="8" s="1"/>
  <c r="B1699" i="8"/>
  <c r="A1699" i="8" s="1"/>
  <c r="B1700" i="8"/>
  <c r="A1700" i="8" s="1"/>
  <c r="B1701" i="8"/>
  <c r="A1701" i="8" s="1"/>
  <c r="B1702" i="8"/>
  <c r="A1702" i="8" s="1"/>
  <c r="B1703" i="8"/>
  <c r="A1703" i="8" s="1"/>
  <c r="B1704" i="8"/>
  <c r="A1704" i="8" s="1"/>
  <c r="B1705" i="8"/>
  <c r="A1705" i="8" s="1"/>
  <c r="B1706" i="8"/>
  <c r="A1706" i="8" s="1"/>
  <c r="B1707" i="8"/>
  <c r="A1707" i="8" s="1"/>
  <c r="B1708" i="8"/>
  <c r="A1708" i="8" s="1"/>
  <c r="B1709" i="8"/>
  <c r="A1709" i="8" s="1"/>
  <c r="B1710" i="8"/>
  <c r="A1710" i="8" s="1"/>
  <c r="B1711" i="8"/>
  <c r="A1711" i="8" s="1"/>
  <c r="B1712" i="8"/>
  <c r="A1712" i="8" s="1"/>
  <c r="B1713" i="8"/>
  <c r="A1713" i="8" s="1"/>
  <c r="B1714" i="8"/>
  <c r="A1714" i="8" s="1"/>
  <c r="B1715" i="8"/>
  <c r="A1715" i="8" s="1"/>
  <c r="B1716" i="8"/>
  <c r="A1716" i="8" s="1"/>
  <c r="B1717" i="8"/>
  <c r="A1717" i="8" s="1"/>
  <c r="B1718" i="8"/>
  <c r="A1718" i="8" s="1"/>
  <c r="B1719" i="8"/>
  <c r="A1719" i="8" s="1"/>
  <c r="B1720" i="8"/>
  <c r="A1720" i="8" s="1"/>
  <c r="B1721" i="8"/>
  <c r="A1721" i="8" s="1"/>
  <c r="B1722" i="8"/>
  <c r="A1722" i="8" s="1"/>
  <c r="B1723" i="8"/>
  <c r="A1723" i="8" s="1"/>
  <c r="B1724" i="8"/>
  <c r="A1724" i="8" s="1"/>
  <c r="B1725" i="8"/>
  <c r="A1725" i="8" s="1"/>
  <c r="B1726" i="8"/>
  <c r="A1726" i="8" s="1"/>
  <c r="B1727" i="8"/>
  <c r="A1727" i="8" s="1"/>
  <c r="B1728" i="8"/>
  <c r="A1728" i="8" s="1"/>
  <c r="B1729" i="8"/>
  <c r="A1729" i="8" s="1"/>
  <c r="B1730" i="8"/>
  <c r="A1730" i="8" s="1"/>
  <c r="B1731" i="8"/>
  <c r="A1731" i="8" s="1"/>
  <c r="B1732" i="8"/>
  <c r="A1732" i="8" s="1"/>
  <c r="B1733" i="8"/>
  <c r="A1733" i="8" s="1"/>
  <c r="B1734" i="8"/>
  <c r="A1734" i="8" s="1"/>
  <c r="B1735" i="8"/>
  <c r="A1735" i="8" s="1"/>
  <c r="B1537" i="8"/>
  <c r="A1537" i="8" s="1"/>
  <c r="DS137" i="4"/>
  <c r="DS138" i="4"/>
  <c r="DS139" i="4"/>
  <c r="DS140" i="4"/>
  <c r="DS141" i="4"/>
  <c r="DS142" i="4"/>
  <c r="DS143" i="4"/>
  <c r="F189" i="4"/>
  <c r="DD195" i="4"/>
  <c r="DC195" i="4"/>
  <c r="DB195" i="4"/>
  <c r="DA195" i="4"/>
  <c r="CZ195" i="4"/>
  <c r="DD194" i="4"/>
  <c r="DC194" i="4"/>
  <c r="DB194" i="4"/>
  <c r="DA194" i="4"/>
  <c r="CZ194" i="4"/>
  <c r="DD193" i="4"/>
  <c r="DC193" i="4"/>
  <c r="DB193" i="4"/>
  <c r="DA193" i="4"/>
  <c r="CZ193" i="4"/>
  <c r="DD192" i="4"/>
  <c r="DC192" i="4"/>
  <c r="DB192" i="4"/>
  <c r="DA192" i="4"/>
  <c r="CZ192" i="4"/>
  <c r="DD191" i="4"/>
  <c r="DC191" i="4"/>
  <c r="DB191" i="4"/>
  <c r="DA191" i="4"/>
  <c r="CZ191" i="4"/>
  <c r="DD190" i="4"/>
  <c r="DC190" i="4"/>
  <c r="DB190" i="4"/>
  <c r="DA190" i="4"/>
  <c r="CZ190" i="4"/>
  <c r="DD189" i="4"/>
  <c r="DC189" i="4"/>
  <c r="DB189" i="4"/>
  <c r="DA189" i="4"/>
  <c r="CZ189" i="4"/>
  <c r="DD188" i="4"/>
  <c r="DC188" i="4"/>
  <c r="DB188" i="4"/>
  <c r="DA188" i="4"/>
  <c r="CZ188" i="4"/>
  <c r="DD187" i="4"/>
  <c r="DC187" i="4"/>
  <c r="DB187" i="4"/>
  <c r="DA187" i="4"/>
  <c r="CZ187" i="4"/>
  <c r="DD186" i="4"/>
  <c r="DC186" i="4"/>
  <c r="DB186" i="4"/>
  <c r="DA186" i="4"/>
  <c r="CZ186" i="4"/>
  <c r="DD185" i="4"/>
  <c r="DC185" i="4"/>
  <c r="DB185" i="4"/>
  <c r="DA185" i="4"/>
  <c r="CZ185" i="4"/>
  <c r="DD184" i="4"/>
  <c r="DC184" i="4"/>
  <c r="DB184" i="4"/>
  <c r="DA184" i="4"/>
  <c r="CZ184" i="4"/>
  <c r="DD183" i="4"/>
  <c r="DC183" i="4"/>
  <c r="DB183" i="4"/>
  <c r="DA183" i="4"/>
  <c r="CZ183" i="4"/>
  <c r="DD182" i="4"/>
  <c r="DC182" i="4"/>
  <c r="DB182" i="4"/>
  <c r="DA182" i="4"/>
  <c r="CZ182" i="4"/>
  <c r="DD181" i="4"/>
  <c r="DC181" i="4"/>
  <c r="DB181" i="4"/>
  <c r="DA181" i="4"/>
  <c r="CZ181" i="4"/>
  <c r="DD180" i="4"/>
  <c r="DC180" i="4"/>
  <c r="DB180" i="4"/>
  <c r="DA180" i="4"/>
  <c r="CZ180" i="4"/>
  <c r="DD179" i="4"/>
  <c r="DC179" i="4"/>
  <c r="DB179" i="4"/>
  <c r="DA179" i="4"/>
  <c r="CZ179" i="4"/>
  <c r="DD178" i="4"/>
  <c r="DC178" i="4"/>
  <c r="DB178" i="4"/>
  <c r="DA178" i="4"/>
  <c r="CZ178" i="4"/>
  <c r="DD177" i="4"/>
  <c r="DC177" i="4"/>
  <c r="DB177" i="4"/>
  <c r="DA177" i="4"/>
  <c r="CZ177" i="4"/>
  <c r="DD176" i="4"/>
  <c r="DC176" i="4"/>
  <c r="DB176" i="4"/>
  <c r="DA176" i="4"/>
  <c r="CZ176" i="4"/>
  <c r="DD175" i="4"/>
  <c r="DC175" i="4"/>
  <c r="DB175" i="4"/>
  <c r="DA175" i="4"/>
  <c r="CZ175" i="4"/>
  <c r="DD174" i="4"/>
  <c r="DC174" i="4"/>
  <c r="DB174" i="4"/>
  <c r="DA174" i="4"/>
  <c r="CZ174" i="4"/>
  <c r="DD173" i="4"/>
  <c r="DC173" i="4"/>
  <c r="DB173" i="4"/>
  <c r="DA173" i="4"/>
  <c r="CZ173" i="4"/>
  <c r="DD172" i="4"/>
  <c r="DC172" i="4"/>
  <c r="DB172" i="4"/>
  <c r="DA172" i="4"/>
  <c r="CZ172" i="4"/>
  <c r="DD171" i="4"/>
  <c r="DC171" i="4"/>
  <c r="DB171" i="4"/>
  <c r="DA171" i="4"/>
  <c r="CZ171" i="4"/>
  <c r="DD170" i="4"/>
  <c r="DC170" i="4"/>
  <c r="DB170" i="4"/>
  <c r="DA170" i="4"/>
  <c r="CZ170" i="4"/>
  <c r="DD169" i="4"/>
  <c r="DC169" i="4"/>
  <c r="DB169" i="4"/>
  <c r="DA169" i="4"/>
  <c r="CZ169" i="4"/>
  <c r="DD168" i="4"/>
  <c r="DC168" i="4"/>
  <c r="DB168" i="4"/>
  <c r="DA168" i="4"/>
  <c r="CZ168" i="4"/>
  <c r="DD167" i="4"/>
  <c r="DC167" i="4"/>
  <c r="DB167" i="4"/>
  <c r="DA167" i="4"/>
  <c r="CZ167" i="4"/>
  <c r="DD166" i="4"/>
  <c r="DC166" i="4"/>
  <c r="DB166" i="4"/>
  <c r="DA166" i="4"/>
  <c r="CZ166" i="4"/>
  <c r="DD165" i="4"/>
  <c r="DC165" i="4"/>
  <c r="DB165" i="4"/>
  <c r="DA165" i="4"/>
  <c r="CZ165" i="4"/>
  <c r="DD163" i="4"/>
  <c r="DC163" i="4"/>
  <c r="DB163" i="4"/>
  <c r="DA163" i="4"/>
  <c r="CZ163" i="4"/>
  <c r="DD162" i="4"/>
  <c r="DC162" i="4"/>
  <c r="DB162" i="4"/>
  <c r="DA162" i="4"/>
  <c r="CZ162" i="4"/>
  <c r="DD161" i="4"/>
  <c r="DC161" i="4"/>
  <c r="DB161" i="4"/>
  <c r="DA161" i="4"/>
  <c r="CZ161" i="4"/>
  <c r="DD160" i="4"/>
  <c r="DC160" i="4"/>
  <c r="DB160" i="4"/>
  <c r="DA160" i="4"/>
  <c r="CZ160" i="4"/>
  <c r="DD158" i="4"/>
  <c r="DC158" i="4"/>
  <c r="DB158" i="4"/>
  <c r="DA158" i="4"/>
  <c r="CZ158" i="4"/>
  <c r="DD157" i="4"/>
  <c r="DC157" i="4"/>
  <c r="DB157" i="4"/>
  <c r="DA157" i="4"/>
  <c r="CZ157" i="4"/>
  <c r="DD156" i="4"/>
  <c r="DC156" i="4"/>
  <c r="DB156" i="4"/>
  <c r="DA156" i="4"/>
  <c r="CZ156" i="4"/>
  <c r="DD155" i="4"/>
  <c r="DC155" i="4"/>
  <c r="DB155" i="4"/>
  <c r="DA155" i="4"/>
  <c r="CZ155" i="4"/>
  <c r="DD154" i="4"/>
  <c r="DC154" i="4"/>
  <c r="DB154" i="4"/>
  <c r="DA154" i="4"/>
  <c r="CZ154" i="4"/>
  <c r="DD153" i="4"/>
  <c r="DC153" i="4"/>
  <c r="DB153" i="4"/>
  <c r="DA153" i="4"/>
  <c r="CZ153" i="4"/>
  <c r="DD152" i="4"/>
  <c r="DC152" i="4"/>
  <c r="DB152" i="4"/>
  <c r="DA152" i="4"/>
  <c r="CZ152" i="4"/>
  <c r="DD151" i="4"/>
  <c r="DC151" i="4"/>
  <c r="DB151" i="4"/>
  <c r="DA151" i="4"/>
  <c r="CZ151" i="4"/>
  <c r="DD150" i="4"/>
  <c r="DC150" i="4"/>
  <c r="DB150" i="4"/>
  <c r="DA150" i="4"/>
  <c r="CZ150" i="4"/>
  <c r="DD149" i="4"/>
  <c r="DC149" i="4"/>
  <c r="DB149" i="4"/>
  <c r="DA149" i="4"/>
  <c r="CZ149" i="4"/>
  <c r="DD148" i="4"/>
  <c r="DC148" i="4"/>
  <c r="DB148" i="4"/>
  <c r="DA148" i="4"/>
  <c r="CZ148" i="4"/>
  <c r="DD147" i="4"/>
  <c r="DC147" i="4"/>
  <c r="DB147" i="4"/>
  <c r="DA147" i="4"/>
  <c r="CZ147" i="4"/>
  <c r="DA146" i="4"/>
  <c r="CZ146" i="4"/>
  <c r="DD145" i="4"/>
  <c r="DC145" i="4"/>
  <c r="DB145" i="4"/>
  <c r="DA145" i="4"/>
  <c r="CZ145" i="4"/>
  <c r="DD144" i="4"/>
  <c r="DC144" i="4"/>
  <c r="DB144" i="4"/>
  <c r="DA144" i="4"/>
  <c r="CZ144" i="4"/>
  <c r="DD143" i="4"/>
  <c r="DC143" i="4"/>
  <c r="DB143" i="4"/>
  <c r="DA143" i="4"/>
  <c r="CZ143" i="4"/>
  <c r="DD142" i="4"/>
  <c r="DC142" i="4"/>
  <c r="DB142" i="4"/>
  <c r="DA142" i="4"/>
  <c r="CZ142" i="4"/>
  <c r="DD141" i="4"/>
  <c r="DC141" i="4"/>
  <c r="DB141" i="4"/>
  <c r="DA141" i="4"/>
  <c r="CZ141" i="4"/>
  <c r="DD140" i="4"/>
  <c r="DC140" i="4"/>
  <c r="DB140" i="4"/>
  <c r="DA140" i="4"/>
  <c r="CZ140" i="4"/>
  <c r="DD139" i="4"/>
  <c r="DC139" i="4"/>
  <c r="DB139" i="4"/>
  <c r="DA139" i="4"/>
  <c r="CZ139" i="4"/>
  <c r="DD138" i="4"/>
  <c r="DC138" i="4"/>
  <c r="DB138" i="4"/>
  <c r="DA138" i="4"/>
  <c r="CZ138" i="4"/>
  <c r="DD137" i="4"/>
  <c r="DC137" i="4"/>
  <c r="DB137" i="4"/>
  <c r="DA137" i="4"/>
  <c r="CZ137" i="4"/>
  <c r="DD135" i="4"/>
  <c r="DC135" i="4"/>
  <c r="DB135" i="4"/>
  <c r="DA135" i="4"/>
  <c r="CZ135" i="4"/>
  <c r="DD134" i="4"/>
  <c r="DC134" i="4"/>
  <c r="DB134" i="4"/>
  <c r="DA134" i="4"/>
  <c r="CZ134" i="4"/>
  <c r="DD133" i="4"/>
  <c r="DC133" i="4"/>
  <c r="DB133" i="4"/>
  <c r="DA133" i="4"/>
  <c r="CZ133" i="4"/>
  <c r="DD132" i="4"/>
  <c r="DC132" i="4"/>
  <c r="DB132" i="4"/>
  <c r="DA132" i="4"/>
  <c r="CZ132" i="4"/>
  <c r="DD131" i="4"/>
  <c r="DC131" i="4"/>
  <c r="DB131" i="4"/>
  <c r="DA131" i="4"/>
  <c r="CZ131" i="4"/>
  <c r="DD130" i="4"/>
  <c r="DC130" i="4"/>
  <c r="DB130" i="4"/>
  <c r="DA130" i="4"/>
  <c r="CZ130" i="4"/>
  <c r="DD129" i="4"/>
  <c r="DC129" i="4"/>
  <c r="DB129" i="4"/>
  <c r="DA129" i="4"/>
  <c r="CZ129" i="4"/>
  <c r="DD128" i="4"/>
  <c r="DC128" i="4"/>
  <c r="DB128" i="4"/>
  <c r="DA128" i="4"/>
  <c r="CZ128" i="4"/>
  <c r="DD127" i="4"/>
  <c r="DC127" i="4"/>
  <c r="DB127" i="4"/>
  <c r="DA127" i="4"/>
  <c r="CZ127" i="4"/>
  <c r="DD126" i="4"/>
  <c r="DC126" i="4"/>
  <c r="DB126" i="4"/>
  <c r="DA126" i="4"/>
  <c r="CZ126" i="4"/>
  <c r="DD125" i="4"/>
  <c r="DC125" i="4"/>
  <c r="DB125" i="4"/>
  <c r="DA125" i="4"/>
  <c r="CZ125" i="4"/>
  <c r="DD123" i="4"/>
  <c r="DC123" i="4"/>
  <c r="DB123" i="4"/>
  <c r="DA123" i="4"/>
  <c r="CZ123" i="4"/>
  <c r="DD117" i="4"/>
  <c r="DC117" i="4"/>
  <c r="DB117" i="4"/>
  <c r="DA117" i="4"/>
  <c r="CZ117" i="4"/>
  <c r="DD112" i="4"/>
  <c r="DC112" i="4"/>
  <c r="DB112" i="4"/>
  <c r="DA112" i="4"/>
  <c r="CZ112" i="4"/>
  <c r="DD81" i="4"/>
  <c r="DC81" i="4"/>
  <c r="DB81" i="4"/>
  <c r="DA81" i="4"/>
  <c r="CZ81" i="4"/>
  <c r="DD74" i="4"/>
  <c r="DC74" i="4"/>
  <c r="DB74" i="4"/>
  <c r="DA74" i="4"/>
  <c r="CZ74" i="4"/>
  <c r="DD62" i="4"/>
  <c r="DC62" i="4"/>
  <c r="DB62" i="4"/>
  <c r="DA62" i="4"/>
  <c r="CZ62" i="4"/>
  <c r="DD61" i="4"/>
  <c r="DC61" i="4"/>
  <c r="DB61" i="4"/>
  <c r="DA61" i="4"/>
  <c r="CZ61" i="4"/>
  <c r="DD36" i="4"/>
  <c r="DC36" i="4"/>
  <c r="DB36" i="4"/>
  <c r="DA36" i="4"/>
  <c r="CZ36" i="4"/>
  <c r="DD27" i="4"/>
  <c r="DC27" i="4"/>
  <c r="DB27" i="4"/>
  <c r="DA27" i="4"/>
  <c r="CZ27" i="4"/>
  <c r="DD26" i="4"/>
  <c r="DC26" i="4"/>
  <c r="DB26" i="4"/>
  <c r="DA26" i="4"/>
  <c r="CZ26" i="4"/>
  <c r="DD23" i="4"/>
  <c r="DC23" i="4"/>
  <c r="DB23" i="4"/>
  <c r="DA23" i="4"/>
  <c r="CZ23" i="4"/>
  <c r="DD22" i="4"/>
  <c r="DC22" i="4"/>
  <c r="DB22" i="4"/>
  <c r="DA22" i="4"/>
  <c r="CZ22" i="4"/>
  <c r="DD11" i="4"/>
  <c r="DC11" i="4"/>
  <c r="DB11" i="4"/>
  <c r="DA11" i="4"/>
  <c r="CZ11" i="4"/>
  <c r="B1511" i="8"/>
  <c r="A1511" i="8" s="1"/>
  <c r="B1512" i="8"/>
  <c r="A1512" i="8" s="1"/>
  <c r="B1513" i="8"/>
  <c r="A1513" i="8" s="1"/>
  <c r="B1514" i="8"/>
  <c r="A1514" i="8" s="1"/>
  <c r="B1515" i="8"/>
  <c r="A1515" i="8" s="1"/>
  <c r="B1516" i="8"/>
  <c r="A1516" i="8" s="1"/>
  <c r="B1517" i="8"/>
  <c r="A1517" i="8" s="1"/>
  <c r="B1518" i="8"/>
  <c r="A1518" i="8" s="1"/>
  <c r="B1519" i="8"/>
  <c r="A1519" i="8" s="1"/>
  <c r="B1520" i="8"/>
  <c r="A1520" i="8" s="1"/>
  <c r="B1521" i="8"/>
  <c r="A1521" i="8" s="1"/>
  <c r="B1522" i="8"/>
  <c r="A1522" i="8" s="1"/>
  <c r="B1523" i="8"/>
  <c r="A1523" i="8" s="1"/>
  <c r="B1524" i="8"/>
  <c r="A1524" i="8" s="1"/>
  <c r="B1525" i="8"/>
  <c r="A1525" i="8" s="1"/>
  <c r="B1526" i="8"/>
  <c r="A1526" i="8" s="1"/>
  <c r="B1527" i="8"/>
  <c r="A1527" i="8" s="1"/>
  <c r="B1528" i="8"/>
  <c r="A1528" i="8" s="1"/>
  <c r="B1529" i="8"/>
  <c r="A1529" i="8" s="1"/>
  <c r="B1530" i="8"/>
  <c r="A1530" i="8" s="1"/>
  <c r="B1531" i="8"/>
  <c r="A1531" i="8" s="1"/>
  <c r="B1532" i="8"/>
  <c r="A1532" i="8" s="1"/>
  <c r="B1533" i="8"/>
  <c r="A1533" i="8" s="1"/>
  <c r="B1534" i="8"/>
  <c r="A1534" i="8" s="1"/>
  <c r="B1535" i="8"/>
  <c r="A1535" i="8" s="1"/>
  <c r="B1536" i="8"/>
  <c r="A1536" i="8" s="1"/>
  <c r="R186" i="9"/>
  <c r="R185" i="9"/>
  <c r="R184" i="9"/>
  <c r="R183" i="9"/>
  <c r="R182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5" i="9"/>
  <c r="R144" i="9"/>
  <c r="R143" i="9"/>
  <c r="R142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6" i="9"/>
  <c r="R125" i="9"/>
  <c r="R124" i="9"/>
  <c r="R123" i="9"/>
  <c r="R122" i="9"/>
  <c r="R121" i="9"/>
  <c r="R120" i="9"/>
  <c r="R118" i="9"/>
  <c r="R117" i="9"/>
  <c r="R116" i="9"/>
  <c r="R115" i="9"/>
  <c r="R114" i="9"/>
  <c r="R113" i="9"/>
  <c r="R112" i="9"/>
  <c r="R111" i="9"/>
  <c r="R109" i="9"/>
  <c r="R105" i="9"/>
  <c r="R102" i="9"/>
  <c r="R101" i="9"/>
  <c r="R100" i="9"/>
  <c r="R98" i="9"/>
  <c r="R97" i="9"/>
  <c r="R94" i="9"/>
  <c r="R93" i="9"/>
  <c r="R74" i="9"/>
  <c r="R61" i="9"/>
  <c r="R60" i="9"/>
  <c r="R36" i="9"/>
  <c r="R27" i="9"/>
  <c r="R26" i="9"/>
  <c r="R23" i="9"/>
  <c r="R22" i="9"/>
  <c r="R11" i="9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8" i="5"/>
  <c r="R87" i="5"/>
  <c r="R86" i="5"/>
  <c r="R85" i="5"/>
  <c r="R83" i="5"/>
  <c r="R82" i="5"/>
  <c r="R81" i="5"/>
  <c r="R80" i="5"/>
  <c r="R79" i="5"/>
  <c r="R78" i="5"/>
  <c r="R77" i="5"/>
  <c r="R76" i="5"/>
  <c r="R75" i="5"/>
  <c r="R74" i="5"/>
  <c r="R73" i="5"/>
  <c r="R72" i="5"/>
  <c r="R69" i="5"/>
  <c r="R68" i="5"/>
  <c r="R67" i="5"/>
  <c r="R66" i="5"/>
  <c r="R65" i="5"/>
  <c r="R64" i="5"/>
  <c r="R63" i="5"/>
  <c r="R61" i="5"/>
  <c r="R60" i="5"/>
  <c r="R59" i="5"/>
  <c r="R58" i="5"/>
  <c r="R57" i="5"/>
  <c r="R56" i="5"/>
  <c r="R55" i="5"/>
  <c r="R54" i="5"/>
  <c r="R52" i="5"/>
  <c r="R49" i="5"/>
  <c r="R45" i="5"/>
  <c r="R44" i="5"/>
  <c r="R43" i="5"/>
  <c r="R41" i="5"/>
  <c r="R40" i="5"/>
  <c r="R36" i="5"/>
  <c r="R6" i="5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5" i="3"/>
  <c r="T144" i="3"/>
  <c r="T143" i="3"/>
  <c r="T142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6" i="3"/>
  <c r="T125" i="3"/>
  <c r="T124" i="3"/>
  <c r="T123" i="3"/>
  <c r="T122" i="3"/>
  <c r="T121" i="3"/>
  <c r="T120" i="3"/>
  <c r="T118" i="3"/>
  <c r="T117" i="3"/>
  <c r="T116" i="3"/>
  <c r="T115" i="3"/>
  <c r="T114" i="3"/>
  <c r="T113" i="3"/>
  <c r="T112" i="3"/>
  <c r="T111" i="3"/>
  <c r="T109" i="3"/>
  <c r="T108" i="3"/>
  <c r="T107" i="3"/>
  <c r="T106" i="3"/>
  <c r="T105" i="3"/>
  <c r="T103" i="3"/>
  <c r="T102" i="3"/>
  <c r="T101" i="3"/>
  <c r="T100" i="3"/>
  <c r="T74" i="3"/>
  <c r="T61" i="3"/>
  <c r="T60" i="3"/>
  <c r="T36" i="3"/>
  <c r="T27" i="3"/>
  <c r="T26" i="3"/>
  <c r="T23" i="3"/>
  <c r="T22" i="3"/>
  <c r="T11" i="3"/>
  <c r="BK125" i="1"/>
  <c r="BK124" i="1"/>
  <c r="BK123" i="1"/>
  <c r="BK122" i="1"/>
  <c r="BK121" i="1"/>
  <c r="BK120" i="1"/>
  <c r="BK119" i="1"/>
  <c r="BK118" i="1"/>
  <c r="BK117" i="1"/>
  <c r="BK116" i="1"/>
  <c r="BK115" i="1"/>
  <c r="BK114" i="1"/>
  <c r="BK113" i="1"/>
  <c r="BK112" i="1"/>
  <c r="BK111" i="1"/>
  <c r="BK110" i="1"/>
  <c r="BK109" i="1"/>
  <c r="BK108" i="1"/>
  <c r="BK107" i="1"/>
  <c r="BK106" i="1"/>
  <c r="BK105" i="1"/>
  <c r="BK104" i="1"/>
  <c r="BK103" i="1"/>
  <c r="BK102" i="1"/>
  <c r="BK101" i="1"/>
  <c r="BK100" i="1"/>
  <c r="BK99" i="1"/>
  <c r="BK98" i="1"/>
  <c r="BK97" i="1"/>
  <c r="BK96" i="1"/>
  <c r="BK95" i="1"/>
  <c r="BK94" i="1"/>
  <c r="BK93" i="1"/>
  <c r="BK92" i="1"/>
  <c r="BK91" i="1"/>
  <c r="BK90" i="1"/>
  <c r="BK89" i="1"/>
  <c r="BK88" i="1"/>
  <c r="BK87" i="1"/>
  <c r="BK86" i="1"/>
  <c r="BK84" i="1"/>
  <c r="BK83" i="1"/>
  <c r="BK82" i="1"/>
  <c r="BK81" i="1"/>
  <c r="BK79" i="1"/>
  <c r="BK78" i="1"/>
  <c r="BK77" i="1"/>
  <c r="BK76" i="1"/>
  <c r="BK75" i="1"/>
  <c r="BK74" i="1"/>
  <c r="BK73" i="1"/>
  <c r="BK72" i="1"/>
  <c r="BK71" i="1"/>
  <c r="BK70" i="1"/>
  <c r="BK69" i="1"/>
  <c r="BK68" i="1"/>
  <c r="BK64" i="1"/>
  <c r="BK63" i="1"/>
  <c r="BK62" i="1"/>
  <c r="BK61" i="1"/>
  <c r="BK60" i="1"/>
  <c r="BK59" i="1"/>
  <c r="BK58" i="1"/>
  <c r="BK57" i="1"/>
  <c r="BK55" i="1"/>
  <c r="BK54" i="1"/>
  <c r="BK53" i="1"/>
  <c r="BK52" i="1"/>
  <c r="BK51" i="1"/>
  <c r="BK49" i="1"/>
  <c r="BK48" i="1"/>
  <c r="BK38" i="1"/>
  <c r="BK199" i="2"/>
  <c r="BK198" i="2"/>
  <c r="BK197" i="2"/>
  <c r="BK196" i="2"/>
  <c r="BK195" i="2"/>
  <c r="BK194" i="2"/>
  <c r="BK193" i="2"/>
  <c r="BK192" i="2"/>
  <c r="BK191" i="2"/>
  <c r="BK190" i="2"/>
  <c r="BK189" i="2"/>
  <c r="BK188" i="2"/>
  <c r="BK187" i="2"/>
  <c r="BK186" i="2"/>
  <c r="BK185" i="2"/>
  <c r="BK184" i="2"/>
  <c r="BK183" i="2"/>
  <c r="BK182" i="2"/>
  <c r="BK181" i="2"/>
  <c r="BK180" i="2"/>
  <c r="BK179" i="2"/>
  <c r="BK178" i="2"/>
  <c r="BK177" i="2"/>
  <c r="BK176" i="2"/>
  <c r="BK175" i="2"/>
  <c r="BK174" i="2"/>
  <c r="BK173" i="2"/>
  <c r="BK172" i="2"/>
  <c r="BK171" i="2"/>
  <c r="BK170" i="2"/>
  <c r="BK169" i="2"/>
  <c r="BK168" i="2"/>
  <c r="BK167" i="2"/>
  <c r="BK166" i="2"/>
  <c r="BK165" i="2"/>
  <c r="BK164" i="2"/>
  <c r="BK163" i="2"/>
  <c r="BK162" i="2"/>
  <c r="BK161" i="2"/>
  <c r="BK160" i="2"/>
  <c r="BK158" i="2"/>
  <c r="BK157" i="2"/>
  <c r="BK156" i="2"/>
  <c r="BK155" i="2"/>
  <c r="BK153" i="2"/>
  <c r="BK152" i="2"/>
  <c r="BK151" i="2"/>
  <c r="BK150" i="2"/>
  <c r="BK149" i="2"/>
  <c r="BK148" i="2"/>
  <c r="BK147" i="2"/>
  <c r="BK146" i="2"/>
  <c r="BK145" i="2"/>
  <c r="BK144" i="2"/>
  <c r="BK143" i="2"/>
  <c r="BK142" i="2"/>
  <c r="BK139" i="2"/>
  <c r="BK138" i="2"/>
  <c r="BK137" i="2"/>
  <c r="BK136" i="2"/>
  <c r="BK135" i="2"/>
  <c r="BK134" i="2"/>
  <c r="BK133" i="2"/>
  <c r="BK131" i="2"/>
  <c r="BK130" i="2"/>
  <c r="BK129" i="2"/>
  <c r="BK128" i="2"/>
  <c r="BK127" i="2"/>
  <c r="BK126" i="2"/>
  <c r="BK125" i="2"/>
  <c r="BK124" i="2"/>
  <c r="BK123" i="2"/>
  <c r="BK121" i="2"/>
  <c r="BK120" i="2"/>
  <c r="BK119" i="2"/>
  <c r="BK117" i="2"/>
  <c r="BK116" i="2"/>
  <c r="BK115" i="2"/>
  <c r="BK114" i="2"/>
  <c r="BK112" i="2"/>
  <c r="BK108" i="2"/>
  <c r="BK82" i="2"/>
  <c r="BK81" i="2"/>
  <c r="BK77" i="2"/>
  <c r="BK64" i="2"/>
  <c r="BK63" i="2"/>
  <c r="BK36" i="2"/>
  <c r="BK27" i="2"/>
  <c r="BK26" i="2"/>
  <c r="BK23" i="2"/>
  <c r="BK22" i="2"/>
  <c r="BK11" i="2"/>
  <c r="B1488" i="8"/>
  <c r="A1488" i="8" s="1"/>
  <c r="B1489" i="8"/>
  <c r="A1489" i="8" s="1"/>
  <c r="B1490" i="8"/>
  <c r="A1490" i="8" s="1"/>
  <c r="B1491" i="8"/>
  <c r="A1491" i="8" s="1"/>
  <c r="B1492" i="8"/>
  <c r="A1492" i="8" s="1"/>
  <c r="B1493" i="8"/>
  <c r="A1493" i="8" s="1"/>
  <c r="B1494" i="8"/>
  <c r="A1494" i="8" s="1"/>
  <c r="B1495" i="8"/>
  <c r="A1495" i="8" s="1"/>
  <c r="B1496" i="8"/>
  <c r="A1496" i="8" s="1"/>
  <c r="B1497" i="8"/>
  <c r="A1497" i="8" s="1"/>
  <c r="B1498" i="8"/>
  <c r="A1498" i="8" s="1"/>
  <c r="B1499" i="8"/>
  <c r="A1499" i="8" s="1"/>
  <c r="B1500" i="8"/>
  <c r="A1500" i="8" s="1"/>
  <c r="B1501" i="8"/>
  <c r="A1501" i="8" s="1"/>
  <c r="B1502" i="8"/>
  <c r="A1502" i="8" s="1"/>
  <c r="B1503" i="8"/>
  <c r="A1503" i="8" s="1"/>
  <c r="B1504" i="8"/>
  <c r="A1504" i="8" s="1"/>
  <c r="B1505" i="8"/>
  <c r="A1505" i="8" s="1"/>
  <c r="B1506" i="8"/>
  <c r="A1506" i="8" s="1"/>
  <c r="B1507" i="8"/>
  <c r="A1507" i="8" s="1"/>
  <c r="B1508" i="8"/>
  <c r="A1508" i="8" s="1"/>
  <c r="B1509" i="8"/>
  <c r="A1509" i="8" s="1"/>
  <c r="B1510" i="8"/>
  <c r="A1510" i="8" s="1"/>
  <c r="BW5" i="1"/>
  <c r="CX195" i="4"/>
  <c r="CX194" i="4"/>
  <c r="CX193" i="4"/>
  <c r="CX192" i="4"/>
  <c r="CX191" i="4"/>
  <c r="CX190" i="4"/>
  <c r="CX189" i="4"/>
  <c r="CX188" i="4"/>
  <c r="CX187" i="4"/>
  <c r="CX186" i="4"/>
  <c r="CX185" i="4"/>
  <c r="CX184" i="4"/>
  <c r="CX183" i="4"/>
  <c r="CX182" i="4"/>
  <c r="CX181" i="4"/>
  <c r="CX180" i="4"/>
  <c r="CX179" i="4"/>
  <c r="CX178" i="4"/>
  <c r="CX177" i="4"/>
  <c r="CX176" i="4"/>
  <c r="CX175" i="4"/>
  <c r="CX174" i="4"/>
  <c r="CX173" i="4"/>
  <c r="CX172" i="4"/>
  <c r="CX171" i="4"/>
  <c r="CX170" i="4"/>
  <c r="CX169" i="4"/>
  <c r="CX168" i="4"/>
  <c r="CX167" i="4"/>
  <c r="CX166" i="4"/>
  <c r="CX165" i="4"/>
  <c r="CX163" i="4"/>
  <c r="CX162" i="4"/>
  <c r="CX161" i="4"/>
  <c r="CX160" i="4"/>
  <c r="CX158" i="4"/>
  <c r="CX157" i="4"/>
  <c r="CX156" i="4"/>
  <c r="CX155" i="4"/>
  <c r="CX154" i="4"/>
  <c r="CX153" i="4"/>
  <c r="CX152" i="4"/>
  <c r="CX151" i="4"/>
  <c r="CX150" i="4"/>
  <c r="CX149" i="4"/>
  <c r="CX148" i="4"/>
  <c r="CX147" i="4"/>
  <c r="CX145" i="4"/>
  <c r="CX144" i="4"/>
  <c r="CX143" i="4"/>
  <c r="CX142" i="4"/>
  <c r="CX141" i="4"/>
  <c r="CX140" i="4"/>
  <c r="CX139" i="4"/>
  <c r="CX138" i="4"/>
  <c r="CX137" i="4"/>
  <c r="CX135" i="4"/>
  <c r="CX134" i="4"/>
  <c r="CX133" i="4"/>
  <c r="CX132" i="4"/>
  <c r="CX131" i="4"/>
  <c r="CX130" i="4"/>
  <c r="CX129" i="4"/>
  <c r="CX128" i="4"/>
  <c r="CX127" i="4"/>
  <c r="CX126" i="4"/>
  <c r="CX125" i="4"/>
  <c r="CX123" i="4"/>
  <c r="CX117" i="4"/>
  <c r="CX112" i="4"/>
  <c r="CX81" i="4"/>
  <c r="CX74" i="4"/>
  <c r="CX62" i="4"/>
  <c r="CX61" i="4"/>
  <c r="CX36" i="4"/>
  <c r="CX27" i="4"/>
  <c r="CX26" i="4"/>
  <c r="CX23" i="4"/>
  <c r="CX22" i="4"/>
  <c r="CX11" i="4"/>
  <c r="I37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7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8" i="4"/>
  <c r="J57" i="4"/>
  <c r="J56" i="4"/>
  <c r="J55" i="4"/>
  <c r="J54" i="4"/>
  <c r="J53" i="4"/>
  <c r="J52" i="4"/>
  <c r="J51" i="4"/>
  <c r="J50" i="4"/>
  <c r="J47" i="4"/>
  <c r="J45" i="4"/>
  <c r="J44" i="4"/>
  <c r="J43" i="4"/>
  <c r="J42" i="4"/>
  <c r="J41" i="4"/>
  <c r="J40" i="4"/>
  <c r="J39" i="4"/>
  <c r="J38" i="4"/>
  <c r="J36" i="4"/>
  <c r="J35" i="4"/>
  <c r="J32" i="4"/>
  <c r="J31" i="4"/>
  <c r="J30" i="4"/>
  <c r="J29" i="4"/>
  <c r="J28" i="4"/>
  <c r="J27" i="4"/>
  <c r="J26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8" i="4"/>
  <c r="J7" i="4"/>
  <c r="J6" i="4"/>
  <c r="J5" i="4"/>
  <c r="J4" i="4"/>
  <c r="I4" i="4"/>
  <c r="AD186" i="9"/>
  <c r="Q186" i="9"/>
  <c r="P186" i="9"/>
  <c r="M186" i="9"/>
  <c r="L186" i="9"/>
  <c r="K186" i="9"/>
  <c r="J186" i="9"/>
  <c r="I186" i="9"/>
  <c r="H186" i="9"/>
  <c r="AD185" i="9"/>
  <c r="Q185" i="9"/>
  <c r="P185" i="9"/>
  <c r="M185" i="9"/>
  <c r="L185" i="9"/>
  <c r="K185" i="9"/>
  <c r="J185" i="9"/>
  <c r="I185" i="9"/>
  <c r="H185" i="9"/>
  <c r="AD184" i="9"/>
  <c r="Q184" i="9"/>
  <c r="P184" i="9"/>
  <c r="M184" i="9"/>
  <c r="L184" i="9"/>
  <c r="K184" i="9"/>
  <c r="J184" i="9"/>
  <c r="I184" i="9"/>
  <c r="H184" i="9"/>
  <c r="AD183" i="9"/>
  <c r="Q183" i="9"/>
  <c r="P183" i="9"/>
  <c r="M183" i="9"/>
  <c r="L183" i="9"/>
  <c r="K183" i="9"/>
  <c r="J183" i="9"/>
  <c r="I183" i="9"/>
  <c r="H183" i="9"/>
  <c r="AD182" i="9"/>
  <c r="Q182" i="9"/>
  <c r="P182" i="9"/>
  <c r="M182" i="9"/>
  <c r="L182" i="9"/>
  <c r="K182" i="9"/>
  <c r="J182" i="9"/>
  <c r="I182" i="9"/>
  <c r="H182" i="9"/>
  <c r="AD181" i="9"/>
  <c r="Q181" i="9"/>
  <c r="AC181" i="9" s="1"/>
  <c r="P181" i="9"/>
  <c r="M181" i="9"/>
  <c r="L181" i="9"/>
  <c r="K181" i="9"/>
  <c r="J181" i="9"/>
  <c r="I181" i="9"/>
  <c r="H181" i="9"/>
  <c r="AD180" i="9"/>
  <c r="Q180" i="9"/>
  <c r="AC180" i="9" s="1"/>
  <c r="P180" i="9"/>
  <c r="M180" i="9"/>
  <c r="L180" i="9"/>
  <c r="K180" i="9"/>
  <c r="J180" i="9"/>
  <c r="I180" i="9"/>
  <c r="H180" i="9"/>
  <c r="AD179" i="9"/>
  <c r="Q179" i="9"/>
  <c r="AC179" i="9" s="1"/>
  <c r="P179" i="9"/>
  <c r="M179" i="9"/>
  <c r="L179" i="9"/>
  <c r="K179" i="9"/>
  <c r="J179" i="9"/>
  <c r="I179" i="9"/>
  <c r="H179" i="9"/>
  <c r="AD178" i="9"/>
  <c r="Q178" i="9"/>
  <c r="P178" i="9"/>
  <c r="M178" i="9"/>
  <c r="L178" i="9"/>
  <c r="K178" i="9"/>
  <c r="J178" i="9"/>
  <c r="I178" i="9"/>
  <c r="H178" i="9"/>
  <c r="AD177" i="9"/>
  <c r="Q177" i="9"/>
  <c r="P177" i="9"/>
  <c r="M177" i="9"/>
  <c r="L177" i="9"/>
  <c r="K177" i="9"/>
  <c r="J177" i="9"/>
  <c r="I177" i="9"/>
  <c r="H177" i="9"/>
  <c r="AD176" i="9"/>
  <c r="Q176" i="9"/>
  <c r="P176" i="9"/>
  <c r="M176" i="9"/>
  <c r="L176" i="9"/>
  <c r="K176" i="9"/>
  <c r="J176" i="9"/>
  <c r="I176" i="9"/>
  <c r="H176" i="9"/>
  <c r="AD175" i="9"/>
  <c r="Q175" i="9"/>
  <c r="P175" i="9"/>
  <c r="M175" i="9"/>
  <c r="L175" i="9"/>
  <c r="K175" i="9"/>
  <c r="J175" i="9"/>
  <c r="I175" i="9"/>
  <c r="H175" i="9"/>
  <c r="AD174" i="9"/>
  <c r="Q174" i="9"/>
  <c r="P174" i="9"/>
  <c r="M174" i="9"/>
  <c r="L174" i="9"/>
  <c r="K174" i="9"/>
  <c r="J174" i="9"/>
  <c r="I174" i="9"/>
  <c r="H174" i="9"/>
  <c r="AD173" i="9"/>
  <c r="Q173" i="9"/>
  <c r="P173" i="9"/>
  <c r="M173" i="9"/>
  <c r="L173" i="9"/>
  <c r="K173" i="9"/>
  <c r="J173" i="9"/>
  <c r="I173" i="9"/>
  <c r="H173" i="9"/>
  <c r="AD172" i="9"/>
  <c r="Q172" i="9"/>
  <c r="P172" i="9"/>
  <c r="M172" i="9"/>
  <c r="L172" i="9"/>
  <c r="K172" i="9"/>
  <c r="J172" i="9"/>
  <c r="I172" i="9"/>
  <c r="H172" i="9"/>
  <c r="AD171" i="9"/>
  <c r="Q171" i="9"/>
  <c r="P171" i="9"/>
  <c r="M171" i="9"/>
  <c r="L171" i="9"/>
  <c r="K171" i="9"/>
  <c r="J171" i="9"/>
  <c r="I171" i="9"/>
  <c r="H171" i="9"/>
  <c r="AD170" i="9"/>
  <c r="Q170" i="9"/>
  <c r="P170" i="9"/>
  <c r="M170" i="9"/>
  <c r="L170" i="9"/>
  <c r="K170" i="9"/>
  <c r="J170" i="9"/>
  <c r="I170" i="9"/>
  <c r="H170" i="9"/>
  <c r="AD169" i="9"/>
  <c r="Q169" i="9"/>
  <c r="P169" i="9"/>
  <c r="M169" i="9"/>
  <c r="L169" i="9"/>
  <c r="K169" i="9"/>
  <c r="J169" i="9"/>
  <c r="I169" i="9"/>
  <c r="H169" i="9"/>
  <c r="AD168" i="9"/>
  <c r="Q168" i="9"/>
  <c r="P168" i="9"/>
  <c r="M168" i="9"/>
  <c r="L168" i="9"/>
  <c r="K168" i="9"/>
  <c r="J168" i="9"/>
  <c r="I168" i="9"/>
  <c r="H168" i="9"/>
  <c r="AD167" i="9"/>
  <c r="Q167" i="9"/>
  <c r="P167" i="9"/>
  <c r="M167" i="9"/>
  <c r="L167" i="9"/>
  <c r="K167" i="9"/>
  <c r="J167" i="9"/>
  <c r="I167" i="9"/>
  <c r="H167" i="9"/>
  <c r="AD166" i="9"/>
  <c r="Q166" i="9"/>
  <c r="P166" i="9"/>
  <c r="M166" i="9"/>
  <c r="L166" i="9"/>
  <c r="K166" i="9"/>
  <c r="J166" i="9"/>
  <c r="I166" i="9"/>
  <c r="H166" i="9"/>
  <c r="AD165" i="9"/>
  <c r="Q165" i="9"/>
  <c r="P165" i="9"/>
  <c r="M165" i="9"/>
  <c r="L165" i="9"/>
  <c r="K165" i="9"/>
  <c r="J165" i="9"/>
  <c r="I165" i="9"/>
  <c r="H165" i="9"/>
  <c r="AD164" i="9"/>
  <c r="Q164" i="9"/>
  <c r="P164" i="9"/>
  <c r="M164" i="9"/>
  <c r="L164" i="9"/>
  <c r="K164" i="9"/>
  <c r="J164" i="9"/>
  <c r="I164" i="9"/>
  <c r="H164" i="9"/>
  <c r="AD163" i="9"/>
  <c r="Q163" i="9"/>
  <c r="P163" i="9"/>
  <c r="M163" i="9"/>
  <c r="L163" i="9"/>
  <c r="K163" i="9"/>
  <c r="J163" i="9"/>
  <c r="I163" i="9"/>
  <c r="H163" i="9"/>
  <c r="AD162" i="9"/>
  <c r="Q162" i="9"/>
  <c r="P162" i="9"/>
  <c r="M162" i="9"/>
  <c r="L162" i="9"/>
  <c r="K162" i="9"/>
  <c r="J162" i="9"/>
  <c r="I162" i="9"/>
  <c r="H162" i="9"/>
  <c r="AD161" i="9"/>
  <c r="Q161" i="9"/>
  <c r="P161" i="9"/>
  <c r="M161" i="9"/>
  <c r="L161" i="9"/>
  <c r="K161" i="9"/>
  <c r="J161" i="9"/>
  <c r="I161" i="9"/>
  <c r="H161" i="9"/>
  <c r="AD160" i="9"/>
  <c r="Q160" i="9"/>
  <c r="P160" i="9"/>
  <c r="M160" i="9"/>
  <c r="L160" i="9"/>
  <c r="K160" i="9"/>
  <c r="J160" i="9"/>
  <c r="I160" i="9"/>
  <c r="H160" i="9"/>
  <c r="AD159" i="9"/>
  <c r="Q159" i="9"/>
  <c r="P159" i="9"/>
  <c r="M159" i="9"/>
  <c r="L159" i="9"/>
  <c r="K159" i="9"/>
  <c r="J159" i="9"/>
  <c r="I159" i="9"/>
  <c r="H159" i="9"/>
  <c r="AD158" i="9"/>
  <c r="Q158" i="9"/>
  <c r="P158" i="9"/>
  <c r="M158" i="9"/>
  <c r="L158" i="9"/>
  <c r="K158" i="9"/>
  <c r="J158" i="9"/>
  <c r="I158" i="9"/>
  <c r="H158" i="9"/>
  <c r="AD157" i="9"/>
  <c r="Q157" i="9"/>
  <c r="P157" i="9"/>
  <c r="M157" i="9"/>
  <c r="L157" i="9"/>
  <c r="K157" i="9"/>
  <c r="J157" i="9"/>
  <c r="I157" i="9"/>
  <c r="H157" i="9"/>
  <c r="AD156" i="9"/>
  <c r="Q156" i="9"/>
  <c r="P156" i="9"/>
  <c r="M156" i="9"/>
  <c r="L156" i="9"/>
  <c r="K156" i="9"/>
  <c r="J156" i="9"/>
  <c r="I156" i="9"/>
  <c r="H156" i="9"/>
  <c r="AD155" i="9"/>
  <c r="Q155" i="9"/>
  <c r="P155" i="9"/>
  <c r="M155" i="9"/>
  <c r="L155" i="9"/>
  <c r="K155" i="9"/>
  <c r="J155" i="9"/>
  <c r="I155" i="9"/>
  <c r="H155" i="9"/>
  <c r="AD154" i="9"/>
  <c r="Q154" i="9"/>
  <c r="P154" i="9"/>
  <c r="M154" i="9"/>
  <c r="L154" i="9"/>
  <c r="K154" i="9"/>
  <c r="J154" i="9"/>
  <c r="I154" i="9"/>
  <c r="H154" i="9"/>
  <c r="AD153" i="9"/>
  <c r="Q153" i="9"/>
  <c r="P153" i="9"/>
  <c r="M153" i="9"/>
  <c r="L153" i="9"/>
  <c r="K153" i="9"/>
  <c r="J153" i="9"/>
  <c r="I153" i="9"/>
  <c r="H153" i="9"/>
  <c r="AD152" i="9"/>
  <c r="Q152" i="9"/>
  <c r="P152" i="9"/>
  <c r="M152" i="9"/>
  <c r="L152" i="9"/>
  <c r="K152" i="9"/>
  <c r="J152" i="9"/>
  <c r="I152" i="9"/>
  <c r="H152" i="9"/>
  <c r="AD151" i="9"/>
  <c r="Q151" i="9"/>
  <c r="P151" i="9"/>
  <c r="M151" i="9"/>
  <c r="L151" i="9"/>
  <c r="K151" i="9"/>
  <c r="J151" i="9"/>
  <c r="I151" i="9"/>
  <c r="H151" i="9"/>
  <c r="AD150" i="9"/>
  <c r="Q150" i="9"/>
  <c r="P150" i="9"/>
  <c r="M150" i="9"/>
  <c r="L150" i="9"/>
  <c r="K150" i="9"/>
  <c r="J150" i="9"/>
  <c r="I150" i="9"/>
  <c r="H150" i="9"/>
  <c r="AD149" i="9"/>
  <c r="Q149" i="9"/>
  <c r="P149" i="9"/>
  <c r="M149" i="9"/>
  <c r="L149" i="9"/>
  <c r="K149" i="9"/>
  <c r="J149" i="9"/>
  <c r="I149" i="9"/>
  <c r="H149" i="9"/>
  <c r="AD148" i="9"/>
  <c r="Q148" i="9"/>
  <c r="P148" i="9"/>
  <c r="M148" i="9"/>
  <c r="L148" i="9"/>
  <c r="K148" i="9"/>
  <c r="J148" i="9"/>
  <c r="I148" i="9"/>
  <c r="H148" i="9"/>
  <c r="AD147" i="9"/>
  <c r="Q147" i="9"/>
  <c r="P147" i="9"/>
  <c r="M147" i="9"/>
  <c r="L147" i="9"/>
  <c r="K147" i="9"/>
  <c r="J147" i="9"/>
  <c r="I147" i="9"/>
  <c r="H147" i="9"/>
  <c r="AD146" i="9"/>
  <c r="AD145" i="9"/>
  <c r="Q145" i="9"/>
  <c r="P145" i="9"/>
  <c r="M145" i="9"/>
  <c r="L145" i="9"/>
  <c r="K145" i="9"/>
  <c r="J145" i="9"/>
  <c r="I145" i="9"/>
  <c r="H145" i="9"/>
  <c r="AD144" i="9"/>
  <c r="Q144" i="9"/>
  <c r="P144" i="9"/>
  <c r="M144" i="9"/>
  <c r="L144" i="9"/>
  <c r="K144" i="9"/>
  <c r="J144" i="9"/>
  <c r="I144" i="9"/>
  <c r="H144" i="9"/>
  <c r="AD143" i="9"/>
  <c r="Q143" i="9"/>
  <c r="P143" i="9"/>
  <c r="M143" i="9"/>
  <c r="L143" i="9"/>
  <c r="K143" i="9"/>
  <c r="J143" i="9"/>
  <c r="I143" i="9"/>
  <c r="H143" i="9"/>
  <c r="AD142" i="9"/>
  <c r="Q142" i="9"/>
  <c r="P142" i="9"/>
  <c r="M142" i="9"/>
  <c r="L142" i="9"/>
  <c r="K142" i="9"/>
  <c r="J142" i="9"/>
  <c r="I142" i="9"/>
  <c r="H142" i="9"/>
  <c r="AD141" i="9"/>
  <c r="AD140" i="9"/>
  <c r="Q140" i="9"/>
  <c r="P140" i="9"/>
  <c r="M140" i="9"/>
  <c r="L140" i="9"/>
  <c r="K140" i="9"/>
  <c r="J140" i="9"/>
  <c r="I140" i="9"/>
  <c r="H140" i="9"/>
  <c r="AD139" i="9"/>
  <c r="Q139" i="9"/>
  <c r="P139" i="9"/>
  <c r="M139" i="9"/>
  <c r="L139" i="9"/>
  <c r="K139" i="9"/>
  <c r="J139" i="9"/>
  <c r="I139" i="9"/>
  <c r="H139" i="9"/>
  <c r="AD138" i="9"/>
  <c r="Q138" i="9"/>
  <c r="P138" i="9"/>
  <c r="M138" i="9"/>
  <c r="L138" i="9"/>
  <c r="K138" i="9"/>
  <c r="J138" i="9"/>
  <c r="I138" i="9"/>
  <c r="H138" i="9"/>
  <c r="AD137" i="9"/>
  <c r="Q137" i="9"/>
  <c r="P137" i="9"/>
  <c r="M137" i="9"/>
  <c r="L137" i="9"/>
  <c r="K137" i="9"/>
  <c r="J137" i="9"/>
  <c r="I137" i="9"/>
  <c r="H137" i="9"/>
  <c r="AD136" i="9"/>
  <c r="Q136" i="9"/>
  <c r="P136" i="9"/>
  <c r="M136" i="9"/>
  <c r="L136" i="9"/>
  <c r="K136" i="9"/>
  <c r="J136" i="9"/>
  <c r="I136" i="9"/>
  <c r="H136" i="9"/>
  <c r="AD135" i="9"/>
  <c r="Q135" i="9"/>
  <c r="P135" i="9"/>
  <c r="M135" i="9"/>
  <c r="L135" i="9"/>
  <c r="K135" i="9"/>
  <c r="J135" i="9"/>
  <c r="I135" i="9"/>
  <c r="H135" i="9"/>
  <c r="AD134" i="9"/>
  <c r="Q134" i="9"/>
  <c r="P134" i="9"/>
  <c r="M134" i="9"/>
  <c r="L134" i="9"/>
  <c r="K134" i="9"/>
  <c r="J134" i="9"/>
  <c r="I134" i="9"/>
  <c r="H134" i="9"/>
  <c r="AD133" i="9"/>
  <c r="Q133" i="9"/>
  <c r="P133" i="9"/>
  <c r="M133" i="9"/>
  <c r="L133" i="9"/>
  <c r="K133" i="9"/>
  <c r="J133" i="9"/>
  <c r="I133" i="9"/>
  <c r="H133" i="9"/>
  <c r="AD132" i="9"/>
  <c r="Q132" i="9"/>
  <c r="P132" i="9"/>
  <c r="M132" i="9"/>
  <c r="L132" i="9"/>
  <c r="K132" i="9"/>
  <c r="J132" i="9"/>
  <c r="I132" i="9"/>
  <c r="H132" i="9"/>
  <c r="AD131" i="9"/>
  <c r="Q131" i="9"/>
  <c r="P131" i="9"/>
  <c r="M131" i="9"/>
  <c r="L131" i="9"/>
  <c r="K131" i="9"/>
  <c r="J131" i="9"/>
  <c r="I131" i="9"/>
  <c r="H131" i="9"/>
  <c r="AD130" i="9"/>
  <c r="Q130" i="9"/>
  <c r="P130" i="9"/>
  <c r="M130" i="9"/>
  <c r="L130" i="9"/>
  <c r="K130" i="9"/>
  <c r="J130" i="9"/>
  <c r="I130" i="9"/>
  <c r="H130" i="9"/>
  <c r="AD129" i="9"/>
  <c r="Q129" i="9"/>
  <c r="P129" i="9"/>
  <c r="M129" i="9"/>
  <c r="L129" i="9"/>
  <c r="K129" i="9"/>
  <c r="J129" i="9"/>
  <c r="I129" i="9"/>
  <c r="H129" i="9"/>
  <c r="AD128" i="9"/>
  <c r="AD126" i="9"/>
  <c r="Q126" i="9"/>
  <c r="P126" i="9"/>
  <c r="M126" i="9"/>
  <c r="L126" i="9"/>
  <c r="K126" i="9"/>
  <c r="J126" i="9"/>
  <c r="I126" i="9"/>
  <c r="H126" i="9"/>
  <c r="AD125" i="9"/>
  <c r="Q125" i="9"/>
  <c r="P125" i="9"/>
  <c r="M125" i="9"/>
  <c r="L125" i="9"/>
  <c r="K125" i="9"/>
  <c r="J125" i="9"/>
  <c r="I125" i="9"/>
  <c r="H125" i="9"/>
  <c r="AD124" i="9"/>
  <c r="Q124" i="9"/>
  <c r="P124" i="9"/>
  <c r="M124" i="9"/>
  <c r="L124" i="9"/>
  <c r="K124" i="9"/>
  <c r="J124" i="9"/>
  <c r="I124" i="9"/>
  <c r="H124" i="9"/>
  <c r="AD123" i="9"/>
  <c r="Q123" i="9"/>
  <c r="P123" i="9"/>
  <c r="M123" i="9"/>
  <c r="L123" i="9"/>
  <c r="K123" i="9"/>
  <c r="J123" i="9"/>
  <c r="I123" i="9"/>
  <c r="H123" i="9"/>
  <c r="AD122" i="9"/>
  <c r="Q122" i="9"/>
  <c r="P122" i="9"/>
  <c r="M122" i="9"/>
  <c r="L122" i="9"/>
  <c r="K122" i="9"/>
  <c r="J122" i="9"/>
  <c r="I122" i="9"/>
  <c r="H122" i="9"/>
  <c r="AD121" i="9"/>
  <c r="Q121" i="9"/>
  <c r="P121" i="9"/>
  <c r="M121" i="9"/>
  <c r="L121" i="9"/>
  <c r="K121" i="9"/>
  <c r="J121" i="9"/>
  <c r="I121" i="9"/>
  <c r="H121" i="9"/>
  <c r="AD120" i="9"/>
  <c r="Q120" i="9"/>
  <c r="P120" i="9"/>
  <c r="M120" i="9"/>
  <c r="L120" i="9"/>
  <c r="K120" i="9"/>
  <c r="J120" i="9"/>
  <c r="I120" i="9"/>
  <c r="H120" i="9"/>
  <c r="AD119" i="9"/>
  <c r="AD118" i="9"/>
  <c r="Q118" i="9"/>
  <c r="P118" i="9"/>
  <c r="M118" i="9"/>
  <c r="L118" i="9"/>
  <c r="K118" i="9"/>
  <c r="J118" i="9"/>
  <c r="I118" i="9"/>
  <c r="H118" i="9"/>
  <c r="AD117" i="9"/>
  <c r="Q117" i="9"/>
  <c r="P117" i="9"/>
  <c r="M117" i="9"/>
  <c r="L117" i="9"/>
  <c r="K117" i="9"/>
  <c r="J117" i="9"/>
  <c r="I117" i="9"/>
  <c r="H117" i="9"/>
  <c r="AD116" i="9"/>
  <c r="Q116" i="9"/>
  <c r="P116" i="9"/>
  <c r="M116" i="9"/>
  <c r="L116" i="9"/>
  <c r="K116" i="9"/>
  <c r="J116" i="9"/>
  <c r="I116" i="9"/>
  <c r="H116" i="9"/>
  <c r="AD115" i="9"/>
  <c r="Q115" i="9"/>
  <c r="P115" i="9"/>
  <c r="M115" i="9"/>
  <c r="L115" i="9"/>
  <c r="K115" i="9"/>
  <c r="J115" i="9"/>
  <c r="I115" i="9"/>
  <c r="H115" i="9"/>
  <c r="AD114" i="9"/>
  <c r="Q114" i="9"/>
  <c r="P114" i="9"/>
  <c r="M114" i="9"/>
  <c r="L114" i="9"/>
  <c r="K114" i="9"/>
  <c r="J114" i="9"/>
  <c r="I114" i="9"/>
  <c r="H114" i="9"/>
  <c r="AD113" i="9"/>
  <c r="Q113" i="9"/>
  <c r="P113" i="9"/>
  <c r="M113" i="9"/>
  <c r="L113" i="9"/>
  <c r="K113" i="9"/>
  <c r="J113" i="9"/>
  <c r="I113" i="9"/>
  <c r="H113" i="9"/>
  <c r="AD112" i="9"/>
  <c r="Q112" i="9"/>
  <c r="P112" i="9"/>
  <c r="M112" i="9"/>
  <c r="L112" i="9"/>
  <c r="K112" i="9"/>
  <c r="J112" i="9"/>
  <c r="I112" i="9"/>
  <c r="H112" i="9"/>
  <c r="AD111" i="9"/>
  <c r="Q111" i="9"/>
  <c r="P111" i="9"/>
  <c r="M111" i="9"/>
  <c r="L111" i="9"/>
  <c r="K111" i="9"/>
  <c r="J111" i="9"/>
  <c r="I111" i="9"/>
  <c r="H111" i="9"/>
  <c r="AD110" i="9"/>
  <c r="AD109" i="9"/>
  <c r="Q109" i="9"/>
  <c r="P109" i="9"/>
  <c r="M109" i="9"/>
  <c r="L109" i="9"/>
  <c r="K109" i="9"/>
  <c r="J109" i="9"/>
  <c r="I109" i="9"/>
  <c r="H109" i="9"/>
  <c r="AD108" i="9"/>
  <c r="AD107" i="9"/>
  <c r="AD106" i="9"/>
  <c r="AD105" i="9"/>
  <c r="Q105" i="9"/>
  <c r="P105" i="9"/>
  <c r="M105" i="9"/>
  <c r="L105" i="9"/>
  <c r="K105" i="9"/>
  <c r="J105" i="9"/>
  <c r="I105" i="9"/>
  <c r="H105" i="9"/>
  <c r="AD104" i="9"/>
  <c r="AD103" i="9"/>
  <c r="AD102" i="9"/>
  <c r="Q102" i="9"/>
  <c r="P102" i="9"/>
  <c r="M102" i="9"/>
  <c r="L102" i="9"/>
  <c r="K102" i="9"/>
  <c r="J102" i="9"/>
  <c r="I102" i="9"/>
  <c r="H102" i="9"/>
  <c r="AD101" i="9"/>
  <c r="Q101" i="9"/>
  <c r="P101" i="9"/>
  <c r="M101" i="9"/>
  <c r="L101" i="9"/>
  <c r="K101" i="9"/>
  <c r="J101" i="9"/>
  <c r="I101" i="9"/>
  <c r="H101" i="9"/>
  <c r="AD100" i="9"/>
  <c r="Q100" i="9"/>
  <c r="P100" i="9"/>
  <c r="M100" i="9"/>
  <c r="L100" i="9"/>
  <c r="K100" i="9"/>
  <c r="J100" i="9"/>
  <c r="I100" i="9"/>
  <c r="H100" i="9"/>
  <c r="AD99" i="9"/>
  <c r="AD98" i="9"/>
  <c r="Q98" i="9"/>
  <c r="P98" i="9"/>
  <c r="M98" i="9"/>
  <c r="L98" i="9"/>
  <c r="K98" i="9"/>
  <c r="J98" i="9"/>
  <c r="I98" i="9"/>
  <c r="H98" i="9"/>
  <c r="AD97" i="9"/>
  <c r="Q97" i="9"/>
  <c r="P97" i="9"/>
  <c r="M97" i="9"/>
  <c r="L97" i="9"/>
  <c r="K97" i="9"/>
  <c r="J97" i="9"/>
  <c r="I97" i="9"/>
  <c r="H97" i="9"/>
  <c r="AD96" i="9"/>
  <c r="AD89" i="9"/>
  <c r="AD95" i="9"/>
  <c r="AD94" i="9"/>
  <c r="Q94" i="9"/>
  <c r="P94" i="9"/>
  <c r="M94" i="9"/>
  <c r="L94" i="9"/>
  <c r="K94" i="9"/>
  <c r="J94" i="9"/>
  <c r="I94" i="9"/>
  <c r="H94" i="9"/>
  <c r="AD88" i="9"/>
  <c r="AD93" i="9"/>
  <c r="Q93" i="9"/>
  <c r="P93" i="9"/>
  <c r="M93" i="9"/>
  <c r="L93" i="9"/>
  <c r="K93" i="9"/>
  <c r="J93" i="9"/>
  <c r="I93" i="9"/>
  <c r="H93" i="9"/>
  <c r="AD92" i="9"/>
  <c r="AD85" i="9"/>
  <c r="AD91" i="9"/>
  <c r="AD90" i="9"/>
  <c r="AD86" i="9"/>
  <c r="AD87" i="9"/>
  <c r="AD84" i="9"/>
  <c r="AD83" i="9"/>
  <c r="AD82" i="9"/>
  <c r="AD81" i="9"/>
  <c r="AD80" i="9"/>
  <c r="AD79" i="9"/>
  <c r="AD78" i="9"/>
  <c r="AD77" i="9"/>
  <c r="AD76" i="9"/>
  <c r="AD75" i="9"/>
  <c r="AD74" i="9"/>
  <c r="Q74" i="9"/>
  <c r="P74" i="9"/>
  <c r="M74" i="9"/>
  <c r="L74" i="9"/>
  <c r="K74" i="9"/>
  <c r="J74" i="9"/>
  <c r="I74" i="9"/>
  <c r="H74" i="9"/>
  <c r="AD73" i="9"/>
  <c r="AD72" i="9"/>
  <c r="M71" i="9"/>
  <c r="L71" i="9"/>
  <c r="K71" i="9"/>
  <c r="AD70" i="9"/>
  <c r="AD69" i="9"/>
  <c r="AD68" i="9"/>
  <c r="AD67" i="9"/>
  <c r="AD66" i="9"/>
  <c r="AD65" i="9"/>
  <c r="AD64" i="9"/>
  <c r="AD63" i="9"/>
  <c r="AD62" i="9"/>
  <c r="AD61" i="9"/>
  <c r="Q61" i="9"/>
  <c r="P61" i="9"/>
  <c r="M61" i="9"/>
  <c r="L61" i="9"/>
  <c r="K61" i="9"/>
  <c r="J61" i="9"/>
  <c r="I61" i="9"/>
  <c r="H61" i="9"/>
  <c r="AD60" i="9"/>
  <c r="Q60" i="9"/>
  <c r="P60" i="9"/>
  <c r="M60" i="9"/>
  <c r="L60" i="9"/>
  <c r="K60" i="9"/>
  <c r="J60" i="9"/>
  <c r="I60" i="9"/>
  <c r="H60" i="9"/>
  <c r="AD59" i="9"/>
  <c r="AD58" i="9"/>
  <c r="AD57" i="9"/>
  <c r="AD56" i="9"/>
  <c r="AD55" i="9"/>
  <c r="AD54" i="9"/>
  <c r="AD53" i="9"/>
  <c r="AD52" i="9"/>
  <c r="AD51" i="9"/>
  <c r="AD50" i="9"/>
  <c r="AD49" i="9"/>
  <c r="AD48" i="9"/>
  <c r="AD47" i="9"/>
  <c r="AD46" i="9"/>
  <c r="AD45" i="9"/>
  <c r="AD44" i="9"/>
  <c r="AD43" i="9"/>
  <c r="AD42" i="9"/>
  <c r="AD41" i="9"/>
  <c r="AD40" i="9"/>
  <c r="AD39" i="9"/>
  <c r="AD38" i="9"/>
  <c r="AD37" i="9"/>
  <c r="AD36" i="9"/>
  <c r="Q36" i="9"/>
  <c r="P36" i="9"/>
  <c r="M36" i="9"/>
  <c r="L36" i="9"/>
  <c r="K36" i="9"/>
  <c r="J36" i="9"/>
  <c r="I36" i="9"/>
  <c r="H36" i="9"/>
  <c r="AD35" i="9"/>
  <c r="AD32" i="9"/>
  <c r="AD31" i="9"/>
  <c r="AD30" i="9"/>
  <c r="AD29" i="9"/>
  <c r="AD28" i="9"/>
  <c r="AD27" i="9"/>
  <c r="Q27" i="9"/>
  <c r="P27" i="9"/>
  <c r="M27" i="9"/>
  <c r="L27" i="9"/>
  <c r="K27" i="9"/>
  <c r="J27" i="9"/>
  <c r="I27" i="9"/>
  <c r="H27" i="9"/>
  <c r="AD26" i="9"/>
  <c r="Q26" i="9"/>
  <c r="P26" i="9"/>
  <c r="M26" i="9"/>
  <c r="L26" i="9"/>
  <c r="K26" i="9"/>
  <c r="J26" i="9"/>
  <c r="I26" i="9"/>
  <c r="H26" i="9"/>
  <c r="AD25" i="9"/>
  <c r="AD24" i="9"/>
  <c r="AD23" i="9"/>
  <c r="Q23" i="9"/>
  <c r="P23" i="9"/>
  <c r="M23" i="9"/>
  <c r="L23" i="9"/>
  <c r="K23" i="9"/>
  <c r="J23" i="9"/>
  <c r="I23" i="9"/>
  <c r="H23" i="9"/>
  <c r="AD22" i="9"/>
  <c r="Q22" i="9"/>
  <c r="P22" i="9"/>
  <c r="M22" i="9"/>
  <c r="L22" i="9"/>
  <c r="K22" i="9"/>
  <c r="J22" i="9"/>
  <c r="I22" i="9"/>
  <c r="H22" i="9"/>
  <c r="AD21" i="9"/>
  <c r="AD20" i="9"/>
  <c r="AD19" i="9"/>
  <c r="AD18" i="9"/>
  <c r="AD17" i="9"/>
  <c r="AD16" i="9"/>
  <c r="AD15" i="9"/>
  <c r="AD14" i="9"/>
  <c r="AD13" i="9"/>
  <c r="AD12" i="9"/>
  <c r="AD11" i="9"/>
  <c r="Q11" i="9"/>
  <c r="AC11" i="9" s="1"/>
  <c r="P11" i="9"/>
  <c r="M11" i="9"/>
  <c r="L11" i="9"/>
  <c r="K11" i="9"/>
  <c r="J11" i="9"/>
  <c r="I11" i="9"/>
  <c r="H11" i="9"/>
  <c r="AD8" i="9"/>
  <c r="AD7" i="9"/>
  <c r="AD6" i="9"/>
  <c r="AD5" i="9"/>
  <c r="AD4" i="9"/>
  <c r="R9" i="9" l="1"/>
  <c r="BF9" i="2"/>
  <c r="BB9" i="2"/>
  <c r="BK9" i="2"/>
  <c r="DA9" i="4"/>
  <c r="CV9" i="4"/>
  <c r="CQ9" i="4"/>
  <c r="U9" i="3"/>
  <c r="Q9" i="9"/>
  <c r="S9" i="9"/>
  <c r="BE9" i="2"/>
  <c r="BA9" i="2"/>
  <c r="BG9" i="2" s="1"/>
  <c r="BJ9" i="2"/>
  <c r="DD9" i="4"/>
  <c r="CZ9" i="4"/>
  <c r="CU9" i="4"/>
  <c r="CP9" i="4"/>
  <c r="T9" i="3"/>
  <c r="P9" i="9"/>
  <c r="BD9" i="2"/>
  <c r="AZ9" i="2"/>
  <c r="BI9" i="2"/>
  <c r="DC9" i="4"/>
  <c r="CX9" i="4"/>
  <c r="CT9" i="4"/>
  <c r="CO9" i="4"/>
  <c r="DH146" i="4"/>
  <c r="U71" i="5"/>
  <c r="X71" i="5"/>
  <c r="T71" i="5"/>
  <c r="Y71" i="5"/>
  <c r="W71" i="5"/>
  <c r="AC93" i="9"/>
  <c r="AC74" i="9"/>
  <c r="AC61" i="9"/>
  <c r="AC60" i="9"/>
  <c r="AC36" i="9"/>
  <c r="AC27" i="9"/>
  <c r="AC26" i="9"/>
  <c r="AC23" i="9"/>
  <c r="AC22" i="9"/>
  <c r="AC186" i="9"/>
  <c r="AC185" i="9"/>
  <c r="AC184" i="9"/>
  <c r="AC183" i="9"/>
  <c r="AC182" i="9"/>
  <c r="AC178" i="9"/>
  <c r="AC177" i="9"/>
  <c r="AC176" i="9"/>
  <c r="AC175" i="9"/>
  <c r="AC174" i="9"/>
  <c r="AC173" i="9"/>
  <c r="AC172" i="9"/>
  <c r="AC171" i="9"/>
  <c r="AC170" i="9"/>
  <c r="AC169" i="9"/>
  <c r="AC168" i="9"/>
  <c r="AC167" i="9"/>
  <c r="AC166" i="9"/>
  <c r="AC165" i="9"/>
  <c r="AC164" i="9"/>
  <c r="AC163" i="9"/>
  <c r="AC162" i="9"/>
  <c r="AC161" i="9"/>
  <c r="AC160" i="9"/>
  <c r="AC159" i="9"/>
  <c r="AC158" i="9"/>
  <c r="AC157" i="9"/>
  <c r="AC156" i="9"/>
  <c r="AC155" i="9"/>
  <c r="AC154" i="9"/>
  <c r="AC153" i="9"/>
  <c r="AC152" i="9"/>
  <c r="AC151" i="9"/>
  <c r="AC150" i="9"/>
  <c r="AC149" i="9"/>
  <c r="AC148" i="9"/>
  <c r="AC147" i="9"/>
  <c r="AC145" i="9"/>
  <c r="AC144" i="9"/>
  <c r="AC143" i="9"/>
  <c r="AC142" i="9"/>
  <c r="AC140" i="9"/>
  <c r="AC139" i="9"/>
  <c r="AC138" i="9"/>
  <c r="AC137" i="9"/>
  <c r="AC136" i="9"/>
  <c r="AC135" i="9"/>
  <c r="AC134" i="9"/>
  <c r="AC133" i="9"/>
  <c r="AC132" i="9"/>
  <c r="AC131" i="9"/>
  <c r="AC130" i="9"/>
  <c r="AC129" i="9"/>
  <c r="AC126" i="9"/>
  <c r="AC125" i="9"/>
  <c r="AC124" i="9"/>
  <c r="AC123" i="9"/>
  <c r="AC122" i="9"/>
  <c r="AC121" i="9"/>
  <c r="AC120" i="9"/>
  <c r="AC118" i="9"/>
  <c r="AC117" i="9"/>
  <c r="AC116" i="9"/>
  <c r="AC115" i="9"/>
  <c r="AC114" i="9"/>
  <c r="AC113" i="9"/>
  <c r="AC112" i="9"/>
  <c r="AC111" i="9"/>
  <c r="AC109" i="9"/>
  <c r="AC105" i="9"/>
  <c r="AC102" i="9"/>
  <c r="AC101" i="9"/>
  <c r="AC100" i="9"/>
  <c r="AC98" i="9"/>
  <c r="AC97" i="9"/>
  <c r="AC94" i="9"/>
  <c r="DO146" i="4"/>
  <c r="DG146" i="4"/>
  <c r="DP146" i="4"/>
  <c r="DL146" i="4"/>
  <c r="DM146" i="4"/>
  <c r="DN146" i="4"/>
  <c r="DG136" i="4"/>
  <c r="DL136" i="4"/>
  <c r="DP136" i="4"/>
  <c r="DM136" i="4"/>
  <c r="DO136" i="4"/>
  <c r="DN136" i="4"/>
  <c r="BU128" i="1"/>
  <c r="BV128" i="1"/>
  <c r="DM113" i="4"/>
  <c r="DG113" i="4"/>
  <c r="DO113" i="4"/>
  <c r="DL113" i="4"/>
  <c r="DP113" i="4"/>
  <c r="DN113" i="4"/>
  <c r="A1804" i="8"/>
  <c r="DK9" i="4" s="1"/>
  <c r="U9" i="9"/>
  <c r="W9" i="9"/>
  <c r="AB9" i="9" s="1"/>
  <c r="DI9" i="4"/>
  <c r="DH9" i="4"/>
  <c r="DF9" i="4"/>
  <c r="DG9" i="4"/>
  <c r="AA9" i="9"/>
  <c r="DM9" i="4"/>
  <c r="DL9" i="4"/>
  <c r="DP9" i="4"/>
  <c r="DO9" i="4"/>
  <c r="DN9" i="4"/>
  <c r="W9" i="3"/>
  <c r="Y9" i="3"/>
  <c r="AA9" i="3"/>
  <c r="AC9" i="3"/>
  <c r="Y9" i="9"/>
  <c r="AB9" i="3"/>
  <c r="Z9" i="3"/>
  <c r="X9" i="3"/>
  <c r="V9" i="3"/>
  <c r="Z9" i="9"/>
  <c r="X9" i="9"/>
  <c r="V9" i="9"/>
  <c r="T9" i="9"/>
  <c r="AC9" i="9" s="1"/>
  <c r="BM9" i="2"/>
  <c r="BV9" i="2" s="1"/>
  <c r="DJ9" i="4"/>
  <c r="A1831" i="8"/>
  <c r="V33" i="3"/>
  <c r="BM33" i="2"/>
  <c r="DG33" i="4"/>
  <c r="X33" i="3"/>
  <c r="DP33" i="4"/>
  <c r="AA33" i="9"/>
  <c r="DO33" i="4"/>
  <c r="W33" i="3"/>
  <c r="X33" i="9"/>
  <c r="V33" i="9"/>
  <c r="T33" i="9"/>
  <c r="U33" i="9"/>
  <c r="W33" i="9"/>
  <c r="DM33" i="4"/>
  <c r="Z33" i="9"/>
  <c r="DL33" i="4"/>
  <c r="Y33" i="9"/>
  <c r="Z33" i="3"/>
  <c r="AB33" i="3"/>
  <c r="DN33" i="4"/>
  <c r="AC33" i="3"/>
  <c r="AA33" i="3"/>
  <c r="Y33" i="3"/>
  <c r="DG159" i="4"/>
  <c r="DP159" i="4"/>
  <c r="DN159" i="4"/>
  <c r="DO159" i="4"/>
  <c r="DL159" i="4"/>
  <c r="DM159" i="4"/>
  <c r="R146" i="9"/>
  <c r="DP164" i="4"/>
  <c r="DO164" i="4"/>
  <c r="DM164" i="4"/>
  <c r="DN164" i="4"/>
  <c r="DG164" i="4"/>
  <c r="DL164" i="4"/>
  <c r="DP196" i="4"/>
  <c r="DG196" i="4"/>
  <c r="P187" i="9"/>
  <c r="R187" i="9"/>
  <c r="W187" i="9"/>
  <c r="DN196" i="4"/>
  <c r="DO196" i="4"/>
  <c r="DL196" i="4"/>
  <c r="DM196" i="4"/>
  <c r="DF196" i="4"/>
  <c r="DH196" i="4"/>
  <c r="DI196" i="4"/>
  <c r="DJ196" i="4"/>
  <c r="BM200" i="2"/>
  <c r="Q187" i="9"/>
  <c r="U187" i="9"/>
  <c r="Y187" i="9"/>
  <c r="W188" i="3"/>
  <c r="Y188" i="3"/>
  <c r="AA188" i="3"/>
  <c r="AC188" i="3"/>
  <c r="T187" i="9"/>
  <c r="V187" i="9"/>
  <c r="X187" i="9"/>
  <c r="Z187" i="9"/>
  <c r="AA187" i="9"/>
  <c r="V187" i="3"/>
  <c r="X188" i="3"/>
  <c r="Z188" i="3"/>
  <c r="AB188" i="3"/>
  <c r="DG197" i="4"/>
  <c r="Q188" i="9"/>
  <c r="DL197" i="4"/>
  <c r="P188" i="9"/>
  <c r="R188" i="9"/>
  <c r="DM197" i="4"/>
  <c r="Y189" i="3"/>
  <c r="W189" i="3"/>
  <c r="V188" i="3"/>
  <c r="AA188" i="9"/>
  <c r="DP197" i="4"/>
  <c r="DF197" i="4"/>
  <c r="DH197" i="4"/>
  <c r="DI197" i="4"/>
  <c r="X189" i="3"/>
  <c r="DJ197" i="4"/>
  <c r="AC189" i="3"/>
  <c r="DO197" i="4"/>
  <c r="U188" i="9"/>
  <c r="T188" i="9"/>
  <c r="W188" i="9"/>
  <c r="X188" i="9"/>
  <c r="Y188" i="9"/>
  <c r="DN197" i="4"/>
  <c r="AA189" i="3"/>
  <c r="Z188" i="9"/>
  <c r="AB189" i="3"/>
  <c r="Z189" i="3"/>
  <c r="V188" i="9"/>
  <c r="R141" i="9"/>
  <c r="S188" i="9"/>
  <c r="BT141" i="2"/>
  <c r="BT67" i="1"/>
  <c r="BS67" i="1"/>
  <c r="BR67" i="1"/>
  <c r="BQ67" i="1"/>
  <c r="BP67" i="1"/>
  <c r="BO67" i="1"/>
  <c r="BL67" i="1"/>
  <c r="BM67" i="1"/>
  <c r="BN67" i="1"/>
  <c r="X128" i="3"/>
  <c r="S128" i="9"/>
  <c r="BT65" i="1"/>
  <c r="BS65" i="1"/>
  <c r="BR65" i="1"/>
  <c r="BQ65" i="1"/>
  <c r="BP65" i="1"/>
  <c r="BO65" i="1"/>
  <c r="BL65" i="1"/>
  <c r="BM65" i="1"/>
  <c r="BN65" i="1"/>
  <c r="X119" i="3"/>
  <c r="S119" i="9"/>
  <c r="BQ39" i="1"/>
  <c r="BM39" i="1"/>
  <c r="BP39" i="1"/>
  <c r="BO39" i="1"/>
  <c r="BN39" i="1"/>
  <c r="BT39" i="1"/>
  <c r="BS39" i="1"/>
  <c r="X104" i="3"/>
  <c r="W104" i="3"/>
  <c r="BL39" i="1"/>
  <c r="BR39" i="1"/>
  <c r="S95" i="9"/>
  <c r="A1973" i="8"/>
  <c r="DK146" i="4" s="1"/>
  <c r="BO141" i="2"/>
  <c r="BN141" i="2"/>
  <c r="BM141" i="2"/>
  <c r="BL141" i="2"/>
  <c r="T128" i="3"/>
  <c r="AC128" i="3"/>
  <c r="BK67" i="1"/>
  <c r="BK141" i="2"/>
  <c r="AA128" i="9"/>
  <c r="Z128" i="9"/>
  <c r="Y128" i="9"/>
  <c r="U128" i="9"/>
  <c r="BQ141" i="2"/>
  <c r="BP141" i="2"/>
  <c r="CX146" i="4"/>
  <c r="Q128" i="9"/>
  <c r="P128" i="9"/>
  <c r="M128" i="9"/>
  <c r="BR141" i="2"/>
  <c r="L128" i="9"/>
  <c r="X128" i="9"/>
  <c r="BS141" i="2"/>
  <c r="W128" i="9"/>
  <c r="K128" i="9"/>
  <c r="V128" i="3"/>
  <c r="J128" i="9"/>
  <c r="I128" i="9"/>
  <c r="AA128" i="3"/>
  <c r="U128" i="3"/>
  <c r="H128" i="9"/>
  <c r="V128" i="9"/>
  <c r="R128" i="9"/>
  <c r="T128" i="9"/>
  <c r="AB128" i="3"/>
  <c r="R71" i="5"/>
  <c r="A1990" i="8"/>
  <c r="DK136" i="4" s="1"/>
  <c r="BO132" i="2"/>
  <c r="BN132" i="2"/>
  <c r="BM132" i="2"/>
  <c r="BL132" i="2"/>
  <c r="H119" i="9"/>
  <c r="U119" i="9"/>
  <c r="BK132" i="2"/>
  <c r="T119" i="3"/>
  <c r="BQ132" i="2"/>
  <c r="BP132" i="2"/>
  <c r="BK65" i="1"/>
  <c r="V119" i="9"/>
  <c r="BR132" i="2"/>
  <c r="T119" i="9"/>
  <c r="BS132" i="2"/>
  <c r="CX136" i="4"/>
  <c r="V119" i="3"/>
  <c r="I119" i="9"/>
  <c r="AA119" i="3"/>
  <c r="U119" i="3"/>
  <c r="AA119" i="9"/>
  <c r="R119" i="9"/>
  <c r="AB119" i="3"/>
  <c r="Q119" i="9"/>
  <c r="AC119" i="3"/>
  <c r="P119" i="9"/>
  <c r="Z119" i="9"/>
  <c r="Y119" i="9"/>
  <c r="R62" i="5"/>
  <c r="M119" i="9"/>
  <c r="L119" i="9"/>
  <c r="X119" i="9"/>
  <c r="W119" i="9"/>
  <c r="K119" i="9"/>
  <c r="J119" i="9"/>
  <c r="A1862" i="8"/>
  <c r="DK113" i="4" s="1"/>
  <c r="BO122" i="2"/>
  <c r="BN122" i="2"/>
  <c r="BM122" i="2"/>
  <c r="BL122" i="2"/>
  <c r="BQ122" i="2"/>
  <c r="BP122" i="2"/>
  <c r="BR122" i="2"/>
  <c r="BS122" i="2"/>
  <c r="V104" i="3"/>
  <c r="AA104" i="3"/>
  <c r="U104" i="3"/>
  <c r="AB104" i="3"/>
  <c r="AC104" i="3"/>
  <c r="Z95" i="9"/>
  <c r="Y95" i="9"/>
  <c r="X95" i="9"/>
  <c r="W95" i="9"/>
  <c r="R95" i="9"/>
  <c r="DC113" i="4"/>
  <c r="DB113" i="4"/>
  <c r="DA113" i="4"/>
  <c r="V95" i="9"/>
  <c r="BK39" i="1"/>
  <c r="R37" i="5"/>
  <c r="AA95" i="9"/>
  <c r="BK122" i="2"/>
  <c r="T104" i="3"/>
  <c r="U95" i="9"/>
  <c r="CX113" i="4"/>
  <c r="T95" i="9"/>
  <c r="CZ113" i="4"/>
  <c r="DD113" i="4"/>
  <c r="Q95" i="9"/>
  <c r="P95" i="9"/>
  <c r="M95" i="9"/>
  <c r="L95" i="9"/>
  <c r="K95" i="9"/>
  <c r="J95" i="9"/>
  <c r="I95" i="9"/>
  <c r="H95" i="9"/>
  <c r="A1856" i="8"/>
  <c r="BT122" i="2"/>
  <c r="A1971" i="8"/>
  <c r="BT132" i="2"/>
  <c r="DD136" i="4"/>
  <c r="DC136" i="4"/>
  <c r="DB136" i="4"/>
  <c r="DA136" i="4"/>
  <c r="CZ136" i="4"/>
  <c r="BI33" i="2"/>
  <c r="S33" i="3"/>
  <c r="R33" i="9"/>
  <c r="T33" i="3"/>
  <c r="BJ33" i="2"/>
  <c r="BK33" i="2"/>
  <c r="P33" i="9"/>
  <c r="R33" i="3"/>
  <c r="Q33" i="9"/>
  <c r="A1826" i="8"/>
  <c r="DI33" i="4"/>
  <c r="S33" i="9"/>
  <c r="DF33" i="4"/>
  <c r="DJ33" i="4"/>
  <c r="DH33" i="4"/>
  <c r="U33" i="3"/>
  <c r="BL33" i="2"/>
  <c r="DD159" i="4"/>
  <c r="DB164" i="4"/>
  <c r="DA164" i="4"/>
  <c r="DC164" i="4"/>
  <c r="CZ164" i="4"/>
  <c r="DD164" i="4"/>
  <c r="AB179" i="9"/>
  <c r="AB181" i="9"/>
  <c r="CZ159" i="4"/>
  <c r="N173" i="9"/>
  <c r="O185" i="9"/>
  <c r="DB159" i="4"/>
  <c r="AB180" i="9"/>
  <c r="DC159" i="4"/>
  <c r="DA159" i="4"/>
  <c r="O98" i="9"/>
  <c r="A1865" i="8"/>
  <c r="S187" i="9"/>
  <c r="N97" i="9"/>
  <c r="O158" i="9"/>
  <c r="BM127" i="1"/>
  <c r="BN127" i="1"/>
  <c r="BO127" i="1"/>
  <c r="BP127" i="1"/>
  <c r="BQ127" i="1"/>
  <c r="BR127" i="1"/>
  <c r="BS127" i="1"/>
  <c r="BT127" i="1"/>
  <c r="A1860" i="8"/>
  <c r="BL200" i="2"/>
  <c r="A1931" i="8"/>
  <c r="DD146" i="4"/>
  <c r="DC146" i="4"/>
  <c r="DB146" i="4"/>
  <c r="J187" i="3"/>
  <c r="K187" i="3"/>
  <c r="L187" i="3"/>
  <c r="M187" i="3"/>
  <c r="N187" i="3"/>
  <c r="O187" i="3"/>
  <c r="CZ196" i="4"/>
  <c r="DA196" i="4"/>
  <c r="DB196" i="4"/>
  <c r="DC196" i="4"/>
  <c r="DD196" i="4"/>
  <c r="U187" i="3"/>
  <c r="P131" i="5"/>
  <c r="Q131" i="5"/>
  <c r="R131" i="5"/>
  <c r="S131" i="5"/>
  <c r="T131" i="5"/>
  <c r="U131" i="5"/>
  <c r="V131" i="5"/>
  <c r="W131" i="5"/>
  <c r="X131" i="5"/>
  <c r="Y131" i="5"/>
  <c r="Z131" i="5"/>
  <c r="AA131" i="5"/>
  <c r="J188" i="3"/>
  <c r="K188" i="3"/>
  <c r="L188" i="3"/>
  <c r="M188" i="3"/>
  <c r="N188" i="3"/>
  <c r="CZ197" i="4"/>
  <c r="DA197" i="4"/>
  <c r="DB197" i="4"/>
  <c r="DC197" i="4"/>
  <c r="DD197" i="4"/>
  <c r="O188" i="3"/>
  <c r="U188" i="3"/>
  <c r="BL127" i="1"/>
  <c r="Y141" i="3"/>
  <c r="DJ159" i="4"/>
  <c r="BL154" i="2"/>
  <c r="DI159" i="4"/>
  <c r="Z141" i="3"/>
  <c r="DH159" i="4"/>
  <c r="W141" i="3"/>
  <c r="V141" i="3"/>
  <c r="DF159" i="4"/>
  <c r="BT154" i="2"/>
  <c r="AA141" i="3"/>
  <c r="BL80" i="1"/>
  <c r="U141" i="3"/>
  <c r="BM80" i="1"/>
  <c r="BO154" i="2"/>
  <c r="BN80" i="1"/>
  <c r="BN154" i="2"/>
  <c r="X141" i="3"/>
  <c r="BM154" i="2"/>
  <c r="DI164" i="4"/>
  <c r="DH164" i="4"/>
  <c r="DF164" i="4"/>
  <c r="BL85" i="1"/>
  <c r="BM85" i="1"/>
  <c r="BN85" i="1"/>
  <c r="X146" i="3"/>
  <c r="Y146" i="3"/>
  <c r="Z146" i="3"/>
  <c r="V146" i="3"/>
  <c r="BT159" i="2"/>
  <c r="BO159" i="2"/>
  <c r="BN159" i="2"/>
  <c r="BM159" i="2"/>
  <c r="BL159" i="2"/>
  <c r="W146" i="3"/>
  <c r="AA146" i="3"/>
  <c r="U146" i="3"/>
  <c r="DJ164" i="4"/>
  <c r="A1625" i="8"/>
  <c r="DK159" i="4" s="1"/>
  <c r="T141" i="9"/>
  <c r="S141" i="9"/>
  <c r="R84" i="5"/>
  <c r="T141" i="3"/>
  <c r="Z84" i="5"/>
  <c r="BK80" i="1"/>
  <c r="AA84" i="5"/>
  <c r="BK154" i="2"/>
  <c r="X84" i="5"/>
  <c r="Q141" i="9"/>
  <c r="Y84" i="5"/>
  <c r="P141" i="9"/>
  <c r="V84" i="5"/>
  <c r="M141" i="9"/>
  <c r="W84" i="5"/>
  <c r="L141" i="9"/>
  <c r="BQ80" i="1"/>
  <c r="U84" i="5"/>
  <c r="K141" i="9"/>
  <c r="T84" i="5"/>
  <c r="J141" i="9"/>
  <c r="S84" i="5"/>
  <c r="I141" i="9"/>
  <c r="H141" i="9"/>
  <c r="BQ154" i="2"/>
  <c r="BP154" i="2"/>
  <c r="BR154" i="2"/>
  <c r="BS154" i="2"/>
  <c r="BT80" i="1"/>
  <c r="BS80" i="1"/>
  <c r="BR80" i="1"/>
  <c r="BP80" i="1"/>
  <c r="BO80" i="1"/>
  <c r="AB141" i="3"/>
  <c r="AC141" i="3"/>
  <c r="AA141" i="9"/>
  <c r="Z141" i="9"/>
  <c r="Y141" i="9"/>
  <c r="X141" i="9"/>
  <c r="W141" i="9"/>
  <c r="CX159" i="4"/>
  <c r="V141" i="9"/>
  <c r="U141" i="9"/>
  <c r="A1626" i="8"/>
  <c r="DK164" i="4" s="1"/>
  <c r="Y89" i="5"/>
  <c r="X89" i="5"/>
  <c r="V146" i="9"/>
  <c r="AA89" i="5"/>
  <c r="Z89" i="5"/>
  <c r="T146" i="9"/>
  <c r="AB146" i="3"/>
  <c r="BR85" i="1"/>
  <c r="BS85" i="1"/>
  <c r="BQ159" i="2"/>
  <c r="S89" i="5"/>
  <c r="K146" i="9"/>
  <c r="T89" i="5"/>
  <c r="U89" i="5"/>
  <c r="W89" i="5"/>
  <c r="V89" i="5"/>
  <c r="BS159" i="2"/>
  <c r="S146" i="9"/>
  <c r="AC146" i="3"/>
  <c r="R89" i="5"/>
  <c r="BR159" i="2"/>
  <c r="T146" i="3"/>
  <c r="AA146" i="9"/>
  <c r="BK85" i="1"/>
  <c r="Z146" i="9"/>
  <c r="BK159" i="2"/>
  <c r="Y146" i="9"/>
  <c r="CX164" i="4"/>
  <c r="Q146" i="9"/>
  <c r="P146" i="9"/>
  <c r="M146" i="9"/>
  <c r="L146" i="9"/>
  <c r="J146" i="9"/>
  <c r="I146" i="9"/>
  <c r="H146" i="9"/>
  <c r="BT85" i="1"/>
  <c r="BQ85" i="1"/>
  <c r="BP85" i="1"/>
  <c r="X146" i="9"/>
  <c r="W146" i="9"/>
  <c r="BO85" i="1"/>
  <c r="BP159" i="2"/>
  <c r="U146" i="9"/>
  <c r="A1627" i="8"/>
  <c r="DK196" i="4" s="1"/>
  <c r="BJ200" i="2"/>
  <c r="T130" i="5"/>
  <c r="BK200" i="2"/>
  <c r="AA130" i="5"/>
  <c r="CO196" i="4"/>
  <c r="CP196" i="4"/>
  <c r="CQ196" i="4"/>
  <c r="CR196" i="4"/>
  <c r="P130" i="5"/>
  <c r="Q130" i="5"/>
  <c r="R130" i="5"/>
  <c r="S130" i="5"/>
  <c r="U130" i="5"/>
  <c r="V130" i="5"/>
  <c r="W130" i="5"/>
  <c r="X130" i="5"/>
  <c r="Y130" i="5"/>
  <c r="Z130" i="5"/>
  <c r="BI126" i="1"/>
  <c r="BL126" i="1"/>
  <c r="BJ126" i="1"/>
  <c r="BK126" i="1"/>
  <c r="BM126" i="1"/>
  <c r="BN126" i="1"/>
  <c r="BO126" i="1"/>
  <c r="BP126" i="1"/>
  <c r="BQ126" i="1"/>
  <c r="BR126" i="1"/>
  <c r="BS126" i="1"/>
  <c r="BT126" i="1"/>
  <c r="BI200" i="2"/>
  <c r="A1628" i="8"/>
  <c r="DK197" i="4" s="1"/>
  <c r="BK127" i="1"/>
  <c r="BJ127" i="1"/>
  <c r="T188" i="3"/>
  <c r="S188" i="3"/>
  <c r="R188" i="3"/>
  <c r="CR197" i="4"/>
  <c r="CQ197" i="4"/>
  <c r="CP197" i="4"/>
  <c r="CO197" i="4"/>
  <c r="BI127" i="1"/>
  <c r="A1624" i="8"/>
  <c r="R187" i="3"/>
  <c r="S187" i="3"/>
  <c r="T187" i="3"/>
  <c r="A1538" i="8"/>
  <c r="A1539" i="8"/>
  <c r="A1540" i="8"/>
  <c r="A1541" i="8"/>
  <c r="A1542" i="8"/>
  <c r="A1543" i="8"/>
  <c r="A1544" i="8"/>
  <c r="A1545" i="8"/>
  <c r="A1546" i="8"/>
  <c r="A1547" i="8"/>
  <c r="A1548" i="8"/>
  <c r="A1549" i="8"/>
  <c r="A1550" i="8"/>
  <c r="A1551" i="8"/>
  <c r="A1552" i="8"/>
  <c r="A1553" i="8"/>
  <c r="A1554" i="8"/>
  <c r="A1555" i="8"/>
  <c r="A1556" i="8"/>
  <c r="A1557" i="8"/>
  <c r="A1558" i="8"/>
  <c r="A1559" i="8"/>
  <c r="A1560" i="8"/>
  <c r="A1561" i="8"/>
  <c r="A1562" i="8"/>
  <c r="A1563" i="8"/>
  <c r="A1564" i="8"/>
  <c r="A1565" i="8"/>
  <c r="A1566" i="8"/>
  <c r="A1567" i="8"/>
  <c r="A1568" i="8"/>
  <c r="A1569" i="8"/>
  <c r="A1570" i="8"/>
  <c r="A1571" i="8"/>
  <c r="A1572" i="8"/>
  <c r="A1573" i="8"/>
  <c r="A1574" i="8"/>
  <c r="A1575" i="8"/>
  <c r="A1576" i="8"/>
  <c r="A1577" i="8"/>
  <c r="A1578" i="8"/>
  <c r="A1579" i="8"/>
  <c r="A1580" i="8"/>
  <c r="A1581" i="8"/>
  <c r="A1582" i="8"/>
  <c r="A1583" i="8"/>
  <c r="A1584" i="8"/>
  <c r="A1585" i="8"/>
  <c r="A1586" i="8"/>
  <c r="A1587" i="8"/>
  <c r="A1588" i="8"/>
  <c r="A1589" i="8"/>
  <c r="A1590" i="8"/>
  <c r="A1591" i="8"/>
  <c r="A1592" i="8"/>
  <c r="A1593" i="8"/>
  <c r="A1594" i="8"/>
  <c r="A1595" i="8"/>
  <c r="A1596" i="8"/>
  <c r="A1597" i="8"/>
  <c r="A1598" i="8"/>
  <c r="A1599" i="8"/>
  <c r="A1600" i="8"/>
  <c r="A1601" i="8"/>
  <c r="A1603" i="8"/>
  <c r="A1604" i="8"/>
  <c r="A1605" i="8"/>
  <c r="A1606" i="8"/>
  <c r="A1607" i="8"/>
  <c r="A1608" i="8"/>
  <c r="A1609" i="8"/>
  <c r="A1612" i="8"/>
  <c r="A1613" i="8"/>
  <c r="A1614" i="8"/>
  <c r="A1616" i="8"/>
  <c r="A1617" i="8"/>
  <c r="A1618" i="8"/>
  <c r="A1619" i="8"/>
  <c r="A1620" i="8"/>
  <c r="A1621" i="8"/>
  <c r="A1622" i="8"/>
  <c r="A1623" i="8"/>
  <c r="A1636" i="8"/>
  <c r="AB186" i="9"/>
  <c r="AB185" i="9"/>
  <c r="AB184" i="9"/>
  <c r="AB183" i="9"/>
  <c r="AB182" i="9"/>
  <c r="AB178" i="9"/>
  <c r="AB177" i="9"/>
  <c r="AB176" i="9"/>
  <c r="AB175" i="9"/>
  <c r="AB174" i="9"/>
  <c r="AB173" i="9"/>
  <c r="AB172" i="9"/>
  <c r="AB171" i="9"/>
  <c r="AB170" i="9"/>
  <c r="AB169" i="9"/>
  <c r="AB168" i="9"/>
  <c r="AB167" i="9"/>
  <c r="AB166" i="9"/>
  <c r="AB165" i="9"/>
  <c r="AB164" i="9"/>
  <c r="AB163" i="9"/>
  <c r="AB162" i="9"/>
  <c r="AB161" i="9"/>
  <c r="AB160" i="9"/>
  <c r="AB159" i="9"/>
  <c r="AB27" i="9"/>
  <c r="AB26" i="9"/>
  <c r="AB23" i="9"/>
  <c r="AB22" i="9"/>
  <c r="AB11" i="9"/>
  <c r="AB158" i="9"/>
  <c r="AB157" i="9"/>
  <c r="AB156" i="9"/>
  <c r="AB155" i="9"/>
  <c r="AB154" i="9"/>
  <c r="AB153" i="9"/>
  <c r="AB152" i="9"/>
  <c r="AB151" i="9"/>
  <c r="AB150" i="9"/>
  <c r="AB149" i="9"/>
  <c r="AB148" i="9"/>
  <c r="AB147" i="9"/>
  <c r="AB145" i="9"/>
  <c r="AB144" i="9"/>
  <c r="AB143" i="9"/>
  <c r="AB142" i="9"/>
  <c r="AB140" i="9"/>
  <c r="AB139" i="9"/>
  <c r="AB138" i="9"/>
  <c r="AB137" i="9"/>
  <c r="AB136" i="9"/>
  <c r="AB135" i="9"/>
  <c r="AB134" i="9"/>
  <c r="AB133" i="9"/>
  <c r="AB132" i="9"/>
  <c r="AB131" i="9"/>
  <c r="AB130" i="9"/>
  <c r="AB129" i="9"/>
  <c r="AB126" i="9"/>
  <c r="AB125" i="9"/>
  <c r="AB124" i="9"/>
  <c r="AB123" i="9"/>
  <c r="AB122" i="9"/>
  <c r="AB121" i="9"/>
  <c r="AB120" i="9"/>
  <c r="AB118" i="9"/>
  <c r="AB117" i="9"/>
  <c r="AB116" i="9"/>
  <c r="AB115" i="9"/>
  <c r="AB114" i="9"/>
  <c r="AB113" i="9"/>
  <c r="AB112" i="9"/>
  <c r="AB111" i="9"/>
  <c r="AB109" i="9"/>
  <c r="AB105" i="9"/>
  <c r="AB102" i="9"/>
  <c r="AB101" i="9"/>
  <c r="AB100" i="9"/>
  <c r="AB98" i="9"/>
  <c r="AB97" i="9"/>
  <c r="AB94" i="9"/>
  <c r="AB93" i="9"/>
  <c r="AB74" i="9"/>
  <c r="AB61" i="9"/>
  <c r="AB60" i="9"/>
  <c r="AB36" i="9"/>
  <c r="N184" i="9"/>
  <c r="O153" i="9"/>
  <c r="O183" i="9"/>
  <c r="N177" i="9"/>
  <c r="N26" i="9"/>
  <c r="O175" i="9"/>
  <c r="O140" i="9"/>
  <c r="O137" i="9"/>
  <c r="O125" i="9"/>
  <c r="O124" i="9"/>
  <c r="N160" i="9"/>
  <c r="N159" i="9"/>
  <c r="N123" i="9"/>
  <c r="O121" i="9"/>
  <c r="O26" i="9"/>
  <c r="N60" i="9"/>
  <c r="O61" i="9"/>
  <c r="N11" i="9"/>
  <c r="N23" i="9"/>
  <c r="N27" i="9"/>
  <c r="O36" i="9"/>
  <c r="O71" i="9"/>
  <c r="O74" i="9"/>
  <c r="N22" i="9"/>
  <c r="O23" i="9"/>
  <c r="O27" i="9"/>
  <c r="N71" i="9"/>
  <c r="N93" i="9"/>
  <c r="O118" i="9"/>
  <c r="N125" i="9"/>
  <c r="N142" i="9"/>
  <c r="O143" i="9"/>
  <c r="N144" i="9"/>
  <c r="O145" i="9"/>
  <c r="O147" i="9"/>
  <c r="O148" i="9"/>
  <c r="O149" i="9"/>
  <c r="O151" i="9"/>
  <c r="O152" i="9"/>
  <c r="N153" i="9"/>
  <c r="O155" i="9"/>
  <c r="O156" i="9"/>
  <c r="O160" i="9"/>
  <c r="N161" i="9"/>
  <c r="O162" i="9"/>
  <c r="N163" i="9"/>
  <c r="O167" i="9"/>
  <c r="O170" i="9"/>
  <c r="O171" i="9"/>
  <c r="N175" i="9"/>
  <c r="N180" i="9"/>
  <c r="O181" i="9"/>
  <c r="O182" i="9"/>
  <c r="N183" i="9"/>
  <c r="O100" i="9"/>
  <c r="O101" i="9"/>
  <c r="N102" i="9"/>
  <c r="N105" i="9"/>
  <c r="N109" i="9"/>
  <c r="O111" i="9"/>
  <c r="O112" i="9"/>
  <c r="N113" i="9"/>
  <c r="O114" i="9"/>
  <c r="O115" i="9"/>
  <c r="O116" i="9"/>
  <c r="N117" i="9"/>
  <c r="N120" i="9"/>
  <c r="N122" i="9"/>
  <c r="N124" i="9"/>
  <c r="N130" i="9"/>
  <c r="O134" i="9"/>
  <c r="N148" i="9"/>
  <c r="N150" i="9"/>
  <c r="N152" i="9"/>
  <c r="N154" i="9"/>
  <c r="N156" i="9"/>
  <c r="O166" i="9"/>
  <c r="N167" i="9"/>
  <c r="O168" i="9"/>
  <c r="N169" i="9"/>
  <c r="N171" i="9"/>
  <c r="O172" i="9"/>
  <c r="O173" i="9"/>
  <c r="N174" i="9"/>
  <c r="O178" i="9"/>
  <c r="O184" i="9"/>
  <c r="N186" i="9"/>
  <c r="O93" i="9"/>
  <c r="O94" i="9"/>
  <c r="O97" i="9"/>
  <c r="N101" i="9"/>
  <c r="O102" i="9"/>
  <c r="O105" i="9"/>
  <c r="O109" i="9"/>
  <c r="N112" i="9"/>
  <c r="O113" i="9"/>
  <c r="O120" i="9"/>
  <c r="O129" i="9"/>
  <c r="O132" i="9"/>
  <c r="O133" i="9"/>
  <c r="O142" i="9"/>
  <c r="N157" i="9"/>
  <c r="O161" i="9"/>
  <c r="O164" i="9"/>
  <c r="N165" i="9"/>
  <c r="N166" i="9"/>
  <c r="O174" i="9"/>
  <c r="O176" i="9"/>
  <c r="O177" i="9"/>
  <c r="N178" i="9"/>
  <c r="O179" i="9"/>
  <c r="O180" i="9"/>
  <c r="N182" i="9"/>
  <c r="O22" i="9"/>
  <c r="O11" i="9"/>
  <c r="N36" i="9"/>
  <c r="O60" i="9"/>
  <c r="N94" i="9"/>
  <c r="O117" i="9"/>
  <c r="O135" i="9"/>
  <c r="N135" i="9"/>
  <c r="N136" i="9"/>
  <c r="O136" i="9"/>
  <c r="N137" i="9"/>
  <c r="N61" i="9"/>
  <c r="N74" i="9"/>
  <c r="N114" i="9"/>
  <c r="N121" i="9"/>
  <c r="O123" i="9"/>
  <c r="O126" i="9"/>
  <c r="N126" i="9"/>
  <c r="O130" i="9"/>
  <c r="O139" i="9"/>
  <c r="N139" i="9"/>
  <c r="N98" i="9"/>
  <c r="N100" i="9"/>
  <c r="N111" i="9"/>
  <c r="N115" i="9"/>
  <c r="N116" i="9"/>
  <c r="N118" i="9"/>
  <c r="N129" i="9"/>
  <c r="O131" i="9"/>
  <c r="N131" i="9"/>
  <c r="N138" i="9"/>
  <c r="O138" i="9"/>
  <c r="N140" i="9"/>
  <c r="O122" i="9"/>
  <c r="N132" i="9"/>
  <c r="N133" i="9"/>
  <c r="N134" i="9"/>
  <c r="N143" i="9"/>
  <c r="O144" i="9"/>
  <c r="N147" i="9"/>
  <c r="O150" i="9"/>
  <c r="N151" i="9"/>
  <c r="O154" i="9"/>
  <c r="N155" i="9"/>
  <c r="O157" i="9"/>
  <c r="N158" i="9"/>
  <c r="O159" i="9"/>
  <c r="N162" i="9"/>
  <c r="O163" i="9"/>
  <c r="N164" i="9"/>
  <c r="O165" i="9"/>
  <c r="N168" i="9"/>
  <c r="O169" i="9"/>
  <c r="N170" i="9"/>
  <c r="N172" i="9"/>
  <c r="N176" i="9"/>
  <c r="N179" i="9"/>
  <c r="N181" i="9"/>
  <c r="N185" i="9"/>
  <c r="O186" i="9"/>
  <c r="N145" i="9"/>
  <c r="N149" i="9"/>
  <c r="BH9" i="2" l="1"/>
  <c r="BU9" i="2"/>
  <c r="AC119" i="9"/>
  <c r="AB188" i="9"/>
  <c r="AE9" i="3"/>
  <c r="AC95" i="9"/>
  <c r="AC146" i="9"/>
  <c r="AD9" i="3"/>
  <c r="BV200" i="2"/>
  <c r="AC33" i="9"/>
  <c r="AC128" i="9"/>
  <c r="AC141" i="9"/>
  <c r="AE33" i="3"/>
  <c r="BU200" i="2"/>
  <c r="AE187" i="3"/>
  <c r="AC188" i="9"/>
  <c r="AB95" i="9"/>
  <c r="AC187" i="9"/>
  <c r="AE188" i="3"/>
  <c r="BV33" i="2"/>
  <c r="BU33" i="2"/>
  <c r="AC131" i="5"/>
  <c r="AB131" i="5"/>
  <c r="AC130" i="5"/>
  <c r="AB130" i="5"/>
  <c r="BV126" i="1"/>
  <c r="BU126" i="1"/>
  <c r="BV127" i="1"/>
  <c r="BU127" i="1"/>
  <c r="AB128" i="9"/>
  <c r="AB119" i="9"/>
  <c r="O128" i="9"/>
  <c r="N128" i="9"/>
  <c r="O119" i="9"/>
  <c r="N119" i="9"/>
  <c r="O95" i="9"/>
  <c r="N95" i="9"/>
  <c r="AD33" i="3"/>
  <c r="AB33" i="9"/>
  <c r="AB187" i="9"/>
  <c r="P188" i="3"/>
  <c r="Q188" i="3"/>
  <c r="AD188" i="3"/>
  <c r="Q187" i="3"/>
  <c r="P187" i="3"/>
  <c r="AB146" i="9"/>
  <c r="AB141" i="9"/>
  <c r="O141" i="9"/>
  <c r="N141" i="9"/>
  <c r="O146" i="9"/>
  <c r="N146" i="9"/>
  <c r="AD187" i="3"/>
  <c r="B1475" i="8"/>
  <c r="A1475" i="8" s="1"/>
  <c r="B1476" i="8"/>
  <c r="A1476" i="8" s="1"/>
  <c r="B1477" i="8"/>
  <c r="A1477" i="8" s="1"/>
  <c r="B1478" i="8"/>
  <c r="A1478" i="8" s="1"/>
  <c r="B1479" i="8"/>
  <c r="A1479" i="8" s="1"/>
  <c r="B1480" i="8"/>
  <c r="A1480" i="8" s="1"/>
  <c r="B1481" i="8"/>
  <c r="A1481" i="8" s="1"/>
  <c r="B1482" i="8"/>
  <c r="A1482" i="8" s="1"/>
  <c r="B1483" i="8"/>
  <c r="B1484" i="8"/>
  <c r="B1485" i="8"/>
  <c r="A1485" i="8" s="1"/>
  <c r="B1486" i="8"/>
  <c r="B1487" i="8"/>
  <c r="B1452" i="8"/>
  <c r="A1452" i="8" s="1"/>
  <c r="B1453" i="8"/>
  <c r="A1453" i="8" s="1"/>
  <c r="B1454" i="8"/>
  <c r="A1454" i="8" s="1"/>
  <c r="B1455" i="8"/>
  <c r="A1455" i="8" s="1"/>
  <c r="B1456" i="8"/>
  <c r="A1456" i="8" s="1"/>
  <c r="B1457" i="8"/>
  <c r="A1457" i="8" s="1"/>
  <c r="B1458" i="8"/>
  <c r="A1458" i="8" s="1"/>
  <c r="B1459" i="8"/>
  <c r="A1459" i="8" s="1"/>
  <c r="B1460" i="8"/>
  <c r="A1460" i="8" s="1"/>
  <c r="B1461" i="8"/>
  <c r="A1461" i="8" s="1"/>
  <c r="B1462" i="8"/>
  <c r="A1462" i="8" s="1"/>
  <c r="B1463" i="8"/>
  <c r="A1463" i="8" s="1"/>
  <c r="B1464" i="8"/>
  <c r="A1464" i="8" s="1"/>
  <c r="B1465" i="8"/>
  <c r="A1465" i="8" s="1"/>
  <c r="B1466" i="8"/>
  <c r="A1466" i="8" s="1"/>
  <c r="B1467" i="8"/>
  <c r="A1467" i="8" s="1"/>
  <c r="B1468" i="8"/>
  <c r="A1468" i="8" s="1"/>
  <c r="B1469" i="8"/>
  <c r="A1469" i="8" s="1"/>
  <c r="B1470" i="8"/>
  <c r="A1470" i="8" s="1"/>
  <c r="B1471" i="8"/>
  <c r="A1471" i="8" s="1"/>
  <c r="B1472" i="8"/>
  <c r="A1472" i="8" s="1"/>
  <c r="B1473" i="8"/>
  <c r="A1473" i="8" s="1"/>
  <c r="B1474" i="8"/>
  <c r="A1474" i="8" s="1"/>
  <c r="B1391" i="8"/>
  <c r="A1391" i="8" s="1"/>
  <c r="B1392" i="8"/>
  <c r="A1392" i="8" s="1"/>
  <c r="B1393" i="8"/>
  <c r="B1394" i="8"/>
  <c r="B1395" i="8"/>
  <c r="B1396" i="8"/>
  <c r="B1397" i="8"/>
  <c r="B1398" i="8"/>
  <c r="B1399" i="8"/>
  <c r="A1399" i="8" s="1"/>
  <c r="B1400" i="8"/>
  <c r="A1400" i="8" s="1"/>
  <c r="B1401" i="8"/>
  <c r="A1401" i="8" s="1"/>
  <c r="B1402" i="8"/>
  <c r="A1402" i="8" s="1"/>
  <c r="B1403" i="8"/>
  <c r="A1403" i="8" s="1"/>
  <c r="B1404" i="8"/>
  <c r="A1404" i="8" s="1"/>
  <c r="B1405" i="8"/>
  <c r="A1405" i="8" s="1"/>
  <c r="B1406" i="8"/>
  <c r="A1406" i="8" s="1"/>
  <c r="B1407" i="8"/>
  <c r="A1407" i="8" s="1"/>
  <c r="B1408" i="8"/>
  <c r="A1408" i="8" s="1"/>
  <c r="B1409" i="8"/>
  <c r="A1409" i="8" s="1"/>
  <c r="B1410" i="8"/>
  <c r="A1410" i="8" s="1"/>
  <c r="B1411" i="8"/>
  <c r="A1411" i="8" s="1"/>
  <c r="B1412" i="8"/>
  <c r="A1412" i="8" s="1"/>
  <c r="B1413" i="8"/>
  <c r="A1413" i="8" s="1"/>
  <c r="B1414" i="8"/>
  <c r="A1414" i="8" s="1"/>
  <c r="B1415" i="8"/>
  <c r="A1415" i="8" s="1"/>
  <c r="B1416" i="8"/>
  <c r="A1416" i="8" s="1"/>
  <c r="B1417" i="8"/>
  <c r="A1417" i="8" s="1"/>
  <c r="B1418" i="8"/>
  <c r="A1418" i="8" s="1"/>
  <c r="B1419" i="8"/>
  <c r="A1419" i="8" s="1"/>
  <c r="B1420" i="8"/>
  <c r="A1420" i="8" s="1"/>
  <c r="B1421" i="8"/>
  <c r="A1421" i="8" s="1"/>
  <c r="B1422" i="8"/>
  <c r="A1422" i="8" s="1"/>
  <c r="B1423" i="8"/>
  <c r="A1423" i="8" s="1"/>
  <c r="B1424" i="8"/>
  <c r="A1424" i="8" s="1"/>
  <c r="B1425" i="8"/>
  <c r="A1425" i="8" s="1"/>
  <c r="B1426" i="8"/>
  <c r="A1426" i="8" s="1"/>
  <c r="B1427" i="8"/>
  <c r="A1427" i="8" s="1"/>
  <c r="B1428" i="8"/>
  <c r="A1428" i="8" s="1"/>
  <c r="B1429" i="8"/>
  <c r="A1429" i="8" s="1"/>
  <c r="B1430" i="8"/>
  <c r="A1430" i="8" s="1"/>
  <c r="B1431" i="8"/>
  <c r="A1431" i="8" s="1"/>
  <c r="B1432" i="8"/>
  <c r="A1432" i="8" s="1"/>
  <c r="B1433" i="8"/>
  <c r="B1434" i="8"/>
  <c r="B1435" i="8"/>
  <c r="A1435" i="8" s="1"/>
  <c r="B1436" i="8"/>
  <c r="A1436" i="8" s="1"/>
  <c r="B1437" i="8"/>
  <c r="A1437" i="8" s="1"/>
  <c r="B1438" i="8"/>
  <c r="A1438" i="8" s="1"/>
  <c r="B1439" i="8"/>
  <c r="B1440" i="8"/>
  <c r="A1440" i="8" s="1"/>
  <c r="B1441" i="8"/>
  <c r="A1441" i="8" s="1"/>
  <c r="B1442" i="8"/>
  <c r="A1442" i="8" s="1"/>
  <c r="B1443" i="8"/>
  <c r="A1443" i="8" s="1"/>
  <c r="B1444" i="8"/>
  <c r="A1444" i="8" s="1"/>
  <c r="B1445" i="8"/>
  <c r="A1445" i="8" s="1"/>
  <c r="B1446" i="8"/>
  <c r="A1446" i="8" s="1"/>
  <c r="B1447" i="8"/>
  <c r="B1448" i="8"/>
  <c r="A1448" i="8" s="1"/>
  <c r="B1449" i="8"/>
  <c r="A1449" i="8" s="1"/>
  <c r="B1450" i="8"/>
  <c r="A1450" i="8" s="1"/>
  <c r="B1451" i="8"/>
  <c r="B1372" i="8"/>
  <c r="B1373" i="8"/>
  <c r="B1374" i="8"/>
  <c r="B1375" i="8"/>
  <c r="B1376" i="8"/>
  <c r="B1377" i="8"/>
  <c r="B1378" i="8"/>
  <c r="B1379" i="8"/>
  <c r="B1380" i="8"/>
  <c r="A1380" i="8" s="1"/>
  <c r="B1381" i="8"/>
  <c r="A1381" i="8" s="1"/>
  <c r="B1382" i="8"/>
  <c r="A1382" i="8" s="1"/>
  <c r="B1383" i="8"/>
  <c r="B1384" i="8"/>
  <c r="B1385" i="8"/>
  <c r="B1386" i="8"/>
  <c r="B1387" i="8"/>
  <c r="A1387" i="8" s="1"/>
  <c r="B1388" i="8"/>
  <c r="B1389" i="8"/>
  <c r="A1389" i="8" s="1"/>
  <c r="B1390" i="8"/>
  <c r="A1390" i="8" s="1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A1359" i="8" s="1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09" i="8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2" i="5"/>
  <c r="Q49" i="5"/>
  <c r="Q45" i="5"/>
  <c r="Q44" i="5"/>
  <c r="Q43" i="5"/>
  <c r="Q41" i="5"/>
  <c r="Q40" i="5"/>
  <c r="Q37" i="5"/>
  <c r="Q36" i="5"/>
  <c r="Q6" i="5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09" i="3"/>
  <c r="S101" i="3"/>
  <c r="S108" i="3"/>
  <c r="S107" i="3"/>
  <c r="S100" i="3"/>
  <c r="S106" i="3"/>
  <c r="S105" i="3"/>
  <c r="S104" i="3"/>
  <c r="S103" i="3"/>
  <c r="S102" i="3"/>
  <c r="S74" i="3"/>
  <c r="S61" i="3"/>
  <c r="S60" i="3"/>
  <c r="S36" i="3"/>
  <c r="S27" i="3"/>
  <c r="S26" i="3"/>
  <c r="S23" i="3"/>
  <c r="S22" i="3"/>
  <c r="S11" i="3"/>
  <c r="BJ125" i="1"/>
  <c r="BJ124" i="1"/>
  <c r="BJ123" i="1"/>
  <c r="BJ122" i="1"/>
  <c r="BJ121" i="1"/>
  <c r="BJ120" i="1"/>
  <c r="BJ119" i="1"/>
  <c r="BJ118" i="1"/>
  <c r="BJ117" i="1"/>
  <c r="BJ116" i="1"/>
  <c r="BJ115" i="1"/>
  <c r="BJ114" i="1"/>
  <c r="BJ113" i="1"/>
  <c r="BJ112" i="1"/>
  <c r="BJ111" i="1"/>
  <c r="BJ110" i="1"/>
  <c r="BJ109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5" i="1"/>
  <c r="BJ64" i="1"/>
  <c r="BJ63" i="1"/>
  <c r="BJ62" i="1"/>
  <c r="BJ61" i="1"/>
  <c r="BJ60" i="1"/>
  <c r="BJ59" i="1"/>
  <c r="BJ58" i="1"/>
  <c r="BJ57" i="1"/>
  <c r="BJ55" i="1"/>
  <c r="BJ54" i="1"/>
  <c r="BJ53" i="1"/>
  <c r="BJ52" i="1"/>
  <c r="BJ51" i="1"/>
  <c r="BJ49" i="1"/>
  <c r="BJ48" i="1"/>
  <c r="BJ39" i="1"/>
  <c r="BJ38" i="1"/>
  <c r="A1483" i="8" l="1"/>
  <c r="A1484" i="8"/>
  <c r="A1486" i="8"/>
  <c r="A1487" i="8"/>
  <c r="A1393" i="8"/>
  <c r="A1394" i="8"/>
  <c r="A1395" i="8"/>
  <c r="A1396" i="8"/>
  <c r="A1397" i="8"/>
  <c r="A1398" i="8"/>
  <c r="A1433" i="8"/>
  <c r="A1434" i="8"/>
  <c r="A1439" i="8"/>
  <c r="A1447" i="8"/>
  <c r="A1451" i="8"/>
  <c r="A1372" i="8"/>
  <c r="A1373" i="8"/>
  <c r="A1374" i="8"/>
  <c r="A1375" i="8"/>
  <c r="A1376" i="8"/>
  <c r="A1377" i="8"/>
  <c r="A1378" i="8"/>
  <c r="A1379" i="8"/>
  <c r="A1383" i="8"/>
  <c r="A1384" i="8"/>
  <c r="A1385" i="8"/>
  <c r="A1386" i="8"/>
  <c r="A1388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09" i="8"/>
  <c r="BJ199" i="2"/>
  <c r="BJ198" i="2"/>
  <c r="BJ197" i="2"/>
  <c r="BJ196" i="2"/>
  <c r="BJ195" i="2"/>
  <c r="BJ194" i="2"/>
  <c r="BJ193" i="2"/>
  <c r="BJ192" i="2"/>
  <c r="BJ191" i="2"/>
  <c r="BJ190" i="2"/>
  <c r="BJ189" i="2"/>
  <c r="BJ188" i="2"/>
  <c r="BJ187" i="2"/>
  <c r="BJ186" i="2"/>
  <c r="BJ185" i="2"/>
  <c r="BJ184" i="2"/>
  <c r="BJ183" i="2"/>
  <c r="BJ182" i="2"/>
  <c r="BJ181" i="2"/>
  <c r="BJ180" i="2"/>
  <c r="BJ179" i="2"/>
  <c r="BJ178" i="2"/>
  <c r="BJ177" i="2"/>
  <c r="BJ176" i="2"/>
  <c r="BJ175" i="2"/>
  <c r="BJ174" i="2"/>
  <c r="BJ173" i="2"/>
  <c r="BJ172" i="2"/>
  <c r="BJ171" i="2"/>
  <c r="BJ170" i="2"/>
  <c r="BJ169" i="2"/>
  <c r="BJ168" i="2"/>
  <c r="BJ167" i="2"/>
  <c r="BJ166" i="2"/>
  <c r="BJ165" i="2"/>
  <c r="BJ164" i="2"/>
  <c r="BJ163" i="2"/>
  <c r="BJ162" i="2"/>
  <c r="BJ161" i="2"/>
  <c r="BJ160" i="2"/>
  <c r="BJ159" i="2"/>
  <c r="BJ158" i="2"/>
  <c r="BJ157" i="2"/>
  <c r="BJ156" i="2"/>
  <c r="BJ155" i="2"/>
  <c r="BJ154" i="2"/>
  <c r="BJ153" i="2"/>
  <c r="BJ152" i="2"/>
  <c r="BJ151" i="2"/>
  <c r="BJ150" i="2"/>
  <c r="BJ149" i="2"/>
  <c r="BJ148" i="2"/>
  <c r="BJ147" i="2"/>
  <c r="BJ146" i="2"/>
  <c r="BJ145" i="2"/>
  <c r="BJ144" i="2"/>
  <c r="BJ143" i="2"/>
  <c r="BJ142" i="2"/>
  <c r="BJ141" i="2"/>
  <c r="BJ139" i="2"/>
  <c r="BJ138" i="2"/>
  <c r="BJ137" i="2"/>
  <c r="BJ136" i="2"/>
  <c r="BJ135" i="2"/>
  <c r="BJ134" i="2"/>
  <c r="BJ133" i="2"/>
  <c r="BJ132" i="2"/>
  <c r="BJ131" i="2"/>
  <c r="BJ130" i="2"/>
  <c r="BJ129" i="2"/>
  <c r="BJ128" i="2"/>
  <c r="BJ127" i="2"/>
  <c r="BJ126" i="2"/>
  <c r="BJ125" i="2"/>
  <c r="BJ124" i="2"/>
  <c r="BJ123" i="2"/>
  <c r="BJ108" i="2"/>
  <c r="BJ120" i="2"/>
  <c r="BJ119" i="2"/>
  <c r="BJ117" i="2"/>
  <c r="BJ116" i="2"/>
  <c r="BJ115" i="2"/>
  <c r="BJ114" i="2"/>
  <c r="BJ112" i="2"/>
  <c r="BJ122" i="2"/>
  <c r="BJ121" i="2"/>
  <c r="BJ82" i="2"/>
  <c r="BJ81" i="2"/>
  <c r="BJ77" i="2"/>
  <c r="BJ64" i="2"/>
  <c r="BJ63" i="2"/>
  <c r="BJ36" i="2"/>
  <c r="BJ27" i="2"/>
  <c r="BJ26" i="2"/>
  <c r="BJ23" i="2"/>
  <c r="BJ22" i="2"/>
  <c r="BJ11" i="2"/>
  <c r="CW195" i="4"/>
  <c r="CW194" i="4"/>
  <c r="CW193" i="4"/>
  <c r="CW192" i="4"/>
  <c r="CW191" i="4"/>
  <c r="CW190" i="4"/>
  <c r="CW189" i="4"/>
  <c r="CW188" i="4"/>
  <c r="CW187" i="4"/>
  <c r="CW186" i="4"/>
  <c r="CW185" i="4"/>
  <c r="CW184" i="4"/>
  <c r="CW183" i="4"/>
  <c r="CW182" i="4"/>
  <c r="CW181" i="4"/>
  <c r="CW180" i="4"/>
  <c r="CW179" i="4"/>
  <c r="CW178" i="4"/>
  <c r="CW177" i="4"/>
  <c r="CW176" i="4"/>
  <c r="CW175" i="4"/>
  <c r="CW174" i="4"/>
  <c r="CW173" i="4"/>
  <c r="CW172" i="4"/>
  <c r="CW171" i="4"/>
  <c r="CW170" i="4"/>
  <c r="CW169" i="4"/>
  <c r="CW168" i="4"/>
  <c r="CW167" i="4"/>
  <c r="CW166" i="4"/>
  <c r="CW165" i="4"/>
  <c r="CW164" i="4"/>
  <c r="CW163" i="4"/>
  <c r="CW162" i="4"/>
  <c r="CW161" i="4"/>
  <c r="CW160" i="4"/>
  <c r="CW159" i="4"/>
  <c r="CW158" i="4"/>
  <c r="CW157" i="4"/>
  <c r="CW156" i="4"/>
  <c r="CW155" i="4"/>
  <c r="CW154" i="4"/>
  <c r="CW153" i="4"/>
  <c r="CW152" i="4"/>
  <c r="CW151" i="4"/>
  <c r="CW150" i="4"/>
  <c r="CW149" i="4"/>
  <c r="CW148" i="4"/>
  <c r="CW147" i="4"/>
  <c r="CW146" i="4"/>
  <c r="CW145" i="4"/>
  <c r="CW144" i="4"/>
  <c r="CW143" i="4"/>
  <c r="CW142" i="4"/>
  <c r="CW141" i="4"/>
  <c r="CW140" i="4"/>
  <c r="CW139" i="4"/>
  <c r="CW138" i="4"/>
  <c r="CW137" i="4"/>
  <c r="CW136" i="4"/>
  <c r="CW135" i="4"/>
  <c r="CW134" i="4"/>
  <c r="CW133" i="4"/>
  <c r="CW132" i="4"/>
  <c r="CW131" i="4"/>
  <c r="CW130" i="4"/>
  <c r="CW129" i="4"/>
  <c r="CW128" i="4"/>
  <c r="CW127" i="4"/>
  <c r="CW126" i="4"/>
  <c r="CW125" i="4"/>
  <c r="CW123" i="4"/>
  <c r="CW117" i="4"/>
  <c r="CW113" i="4"/>
  <c r="CW112" i="4"/>
  <c r="CW81" i="4"/>
  <c r="CW74" i="4"/>
  <c r="CW62" i="4"/>
  <c r="CW61" i="4"/>
  <c r="CW36" i="4"/>
  <c r="CW27" i="4"/>
  <c r="CW26" i="4"/>
  <c r="CW23" i="4"/>
  <c r="CW22" i="4"/>
  <c r="CW11" i="4"/>
  <c r="CV195" i="4"/>
  <c r="CV194" i="4"/>
  <c r="CV193" i="4"/>
  <c r="CV192" i="4"/>
  <c r="CV191" i="4"/>
  <c r="CV190" i="4"/>
  <c r="CV189" i="4"/>
  <c r="CV188" i="4"/>
  <c r="CV187" i="4"/>
  <c r="CV186" i="4"/>
  <c r="CV185" i="4"/>
  <c r="CV184" i="4"/>
  <c r="CV183" i="4"/>
  <c r="CV182" i="4"/>
  <c r="CV181" i="4"/>
  <c r="CV180" i="4"/>
  <c r="CV179" i="4"/>
  <c r="CV178" i="4"/>
  <c r="CV177" i="4"/>
  <c r="CV176" i="4"/>
  <c r="CV175" i="4"/>
  <c r="CV174" i="4"/>
  <c r="CV173" i="4"/>
  <c r="CV172" i="4"/>
  <c r="CV171" i="4"/>
  <c r="CV170" i="4"/>
  <c r="CV169" i="4"/>
  <c r="CV168" i="4"/>
  <c r="CV167" i="4"/>
  <c r="CV166" i="4"/>
  <c r="CV165" i="4"/>
  <c r="CV164" i="4"/>
  <c r="CV163" i="4"/>
  <c r="CV162" i="4"/>
  <c r="CV161" i="4"/>
  <c r="CV160" i="4"/>
  <c r="CV159" i="4"/>
  <c r="CV158" i="4"/>
  <c r="CV157" i="4"/>
  <c r="CV156" i="4"/>
  <c r="CV155" i="4"/>
  <c r="CV154" i="4"/>
  <c r="CV153" i="4"/>
  <c r="CV152" i="4"/>
  <c r="CV151" i="4"/>
  <c r="CV150" i="4"/>
  <c r="CV149" i="4"/>
  <c r="CV148" i="4"/>
  <c r="CV147" i="4"/>
  <c r="CV146" i="4"/>
  <c r="CV145" i="4"/>
  <c r="CV144" i="4"/>
  <c r="CV143" i="4"/>
  <c r="CV142" i="4"/>
  <c r="CV141" i="4"/>
  <c r="CV140" i="4"/>
  <c r="CV139" i="4"/>
  <c r="CV138" i="4"/>
  <c r="CV137" i="4"/>
  <c r="CV136" i="4"/>
  <c r="CV135" i="4"/>
  <c r="CV134" i="4"/>
  <c r="CV133" i="4"/>
  <c r="CV132" i="4"/>
  <c r="CV131" i="4"/>
  <c r="CV130" i="4"/>
  <c r="CV129" i="4"/>
  <c r="CV128" i="4"/>
  <c r="CV127" i="4"/>
  <c r="CV126" i="4"/>
  <c r="CV125" i="4"/>
  <c r="CV123" i="4"/>
  <c r="CV117" i="4"/>
  <c r="CV113" i="4"/>
  <c r="CV112" i="4"/>
  <c r="CV81" i="4"/>
  <c r="CV74" i="4"/>
  <c r="CV62" i="4"/>
  <c r="CV61" i="4"/>
  <c r="CV36" i="4"/>
  <c r="CV27" i="4"/>
  <c r="CV26" i="4"/>
  <c r="CV23" i="4"/>
  <c r="CV22" i="4"/>
  <c r="CV11" i="4"/>
  <c r="CU195" i="4"/>
  <c r="CU194" i="4"/>
  <c r="CU193" i="4"/>
  <c r="CU192" i="4"/>
  <c r="CU191" i="4"/>
  <c r="CU190" i="4"/>
  <c r="CU189" i="4"/>
  <c r="CU188" i="4"/>
  <c r="CU187" i="4"/>
  <c r="CU186" i="4"/>
  <c r="CU185" i="4"/>
  <c r="CU184" i="4"/>
  <c r="CU183" i="4"/>
  <c r="CU182" i="4"/>
  <c r="CU181" i="4"/>
  <c r="CU180" i="4"/>
  <c r="CU179" i="4"/>
  <c r="CU178" i="4"/>
  <c r="CU177" i="4"/>
  <c r="CU176" i="4"/>
  <c r="CU175" i="4"/>
  <c r="CU174" i="4"/>
  <c r="CU173" i="4"/>
  <c r="CU172" i="4"/>
  <c r="CU171" i="4"/>
  <c r="CU170" i="4"/>
  <c r="CU169" i="4"/>
  <c r="CU168" i="4"/>
  <c r="CU167" i="4"/>
  <c r="CU166" i="4"/>
  <c r="CU165" i="4"/>
  <c r="CU164" i="4"/>
  <c r="CU163" i="4"/>
  <c r="CU162" i="4"/>
  <c r="CU161" i="4"/>
  <c r="CU160" i="4"/>
  <c r="CU159" i="4"/>
  <c r="CU158" i="4"/>
  <c r="CU157" i="4"/>
  <c r="CU156" i="4"/>
  <c r="CU155" i="4"/>
  <c r="CU154" i="4"/>
  <c r="CU153" i="4"/>
  <c r="CU152" i="4"/>
  <c r="CU151" i="4"/>
  <c r="CU150" i="4"/>
  <c r="CU149" i="4"/>
  <c r="CU148" i="4"/>
  <c r="CU147" i="4"/>
  <c r="CU146" i="4"/>
  <c r="CU145" i="4"/>
  <c r="CU144" i="4"/>
  <c r="CU143" i="4"/>
  <c r="CU142" i="4"/>
  <c r="CU141" i="4"/>
  <c r="CU140" i="4"/>
  <c r="CU139" i="4"/>
  <c r="CU138" i="4"/>
  <c r="CU137" i="4"/>
  <c r="CU136" i="4"/>
  <c r="CU135" i="4"/>
  <c r="CU134" i="4"/>
  <c r="CU133" i="4"/>
  <c r="CU132" i="4"/>
  <c r="CU131" i="4"/>
  <c r="CU130" i="4"/>
  <c r="CU129" i="4"/>
  <c r="CU128" i="4"/>
  <c r="CU127" i="4"/>
  <c r="CU126" i="4"/>
  <c r="CU125" i="4"/>
  <c r="CU123" i="4"/>
  <c r="CU117" i="4"/>
  <c r="CU113" i="4"/>
  <c r="CU112" i="4"/>
  <c r="CU81" i="4"/>
  <c r="CU74" i="4"/>
  <c r="CU62" i="4"/>
  <c r="CU61" i="4"/>
  <c r="CU36" i="4"/>
  <c r="CU27" i="4"/>
  <c r="CU26" i="4"/>
  <c r="CU23" i="4"/>
  <c r="CU22" i="4"/>
  <c r="CU11" i="4"/>
  <c r="CT195" i="4"/>
  <c r="CT194" i="4"/>
  <c r="CT193" i="4"/>
  <c r="CT192" i="4"/>
  <c r="CT191" i="4"/>
  <c r="CT190" i="4"/>
  <c r="CT189" i="4"/>
  <c r="CT188" i="4"/>
  <c r="CT187" i="4"/>
  <c r="CT186" i="4"/>
  <c r="CT185" i="4"/>
  <c r="CT184" i="4"/>
  <c r="CT183" i="4"/>
  <c r="CT182" i="4"/>
  <c r="CT181" i="4"/>
  <c r="CT180" i="4"/>
  <c r="CT179" i="4"/>
  <c r="CT178" i="4"/>
  <c r="CT177" i="4"/>
  <c r="CT176" i="4"/>
  <c r="CT175" i="4"/>
  <c r="CT174" i="4"/>
  <c r="CT173" i="4"/>
  <c r="CT172" i="4"/>
  <c r="CT171" i="4"/>
  <c r="CT170" i="4"/>
  <c r="CT169" i="4"/>
  <c r="CT168" i="4"/>
  <c r="CT167" i="4"/>
  <c r="CT166" i="4"/>
  <c r="CT165" i="4"/>
  <c r="CT164" i="4"/>
  <c r="CT163" i="4"/>
  <c r="CT162" i="4"/>
  <c r="CT161" i="4"/>
  <c r="CT160" i="4"/>
  <c r="CT159" i="4"/>
  <c r="CT158" i="4"/>
  <c r="CT157" i="4"/>
  <c r="CT156" i="4"/>
  <c r="CT155" i="4"/>
  <c r="CT154" i="4"/>
  <c r="CT153" i="4"/>
  <c r="CT152" i="4"/>
  <c r="CT151" i="4"/>
  <c r="CT150" i="4"/>
  <c r="CT149" i="4"/>
  <c r="CT148" i="4"/>
  <c r="CT147" i="4"/>
  <c r="CT146" i="4"/>
  <c r="CT145" i="4"/>
  <c r="CT144" i="4"/>
  <c r="CT143" i="4"/>
  <c r="CT142" i="4"/>
  <c r="CT141" i="4"/>
  <c r="CT140" i="4"/>
  <c r="CT139" i="4"/>
  <c r="CT138" i="4"/>
  <c r="CT137" i="4"/>
  <c r="CT136" i="4"/>
  <c r="CT135" i="4"/>
  <c r="CT134" i="4"/>
  <c r="CT133" i="4"/>
  <c r="CT132" i="4"/>
  <c r="CT131" i="4"/>
  <c r="CT130" i="4"/>
  <c r="CT129" i="4"/>
  <c r="CT128" i="4"/>
  <c r="CT127" i="4"/>
  <c r="CT126" i="4"/>
  <c r="CT125" i="4"/>
  <c r="CT123" i="4"/>
  <c r="CT117" i="4"/>
  <c r="CT113" i="4"/>
  <c r="CT112" i="4"/>
  <c r="CT81" i="4"/>
  <c r="CT74" i="4"/>
  <c r="CT62" i="4"/>
  <c r="CT61" i="4"/>
  <c r="CT36" i="4"/>
  <c r="CT27" i="4"/>
  <c r="CT26" i="4"/>
  <c r="CT23" i="4"/>
  <c r="CT22" i="4"/>
  <c r="CT11" i="4"/>
  <c r="AE128" i="5"/>
  <c r="AD127" i="5"/>
  <c r="AD126" i="5"/>
  <c r="AD125" i="5"/>
  <c r="AD124" i="5"/>
  <c r="AD123" i="5"/>
  <c r="AD122" i="5"/>
  <c r="AD121" i="5"/>
  <c r="AD120" i="5"/>
  <c r="AD119" i="5"/>
  <c r="AD118" i="5"/>
  <c r="AD117" i="5"/>
  <c r="AD116" i="5"/>
  <c r="AD115" i="5"/>
  <c r="AD114" i="5"/>
  <c r="AD113" i="5"/>
  <c r="AD112" i="5"/>
  <c r="AD111" i="5"/>
  <c r="AD110" i="5"/>
  <c r="AD109" i="5"/>
  <c r="AD108" i="5"/>
  <c r="AD107" i="5"/>
  <c r="AD106" i="5"/>
  <c r="AD105" i="5"/>
  <c r="AD104" i="5"/>
  <c r="AD103" i="5"/>
  <c r="AD102" i="5"/>
  <c r="AD101" i="5"/>
  <c r="AD100" i="5"/>
  <c r="AD99" i="5"/>
  <c r="AD98" i="5"/>
  <c r="AD97" i="5"/>
  <c r="AD96" i="5"/>
  <c r="AD95" i="5"/>
  <c r="AD94" i="5"/>
  <c r="AD93" i="5"/>
  <c r="AD92" i="5"/>
  <c r="AD91" i="5"/>
  <c r="AD90" i="5"/>
  <c r="AD89" i="5"/>
  <c r="AD88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4" i="5"/>
  <c r="AD73" i="5"/>
  <c r="AD72" i="5"/>
  <c r="AD71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4" i="5"/>
  <c r="AF186" i="3"/>
  <c r="AF185" i="3"/>
  <c r="AF184" i="3"/>
  <c r="AF183" i="3"/>
  <c r="AF182" i="3"/>
  <c r="AF181" i="3"/>
  <c r="AF180" i="3"/>
  <c r="AF179" i="3"/>
  <c r="AF178" i="3"/>
  <c r="AF177" i="3"/>
  <c r="AF176" i="3"/>
  <c r="AF175" i="3"/>
  <c r="AF174" i="3"/>
  <c r="AF173" i="3"/>
  <c r="AF172" i="3"/>
  <c r="AF171" i="3"/>
  <c r="AF170" i="3"/>
  <c r="AF169" i="3"/>
  <c r="AF168" i="3"/>
  <c r="AF167" i="3"/>
  <c r="AF166" i="3"/>
  <c r="AF165" i="3"/>
  <c r="AF164" i="3"/>
  <c r="AF163" i="3"/>
  <c r="AF162" i="3"/>
  <c r="AF161" i="3"/>
  <c r="AF160" i="3"/>
  <c r="AF159" i="3"/>
  <c r="AF158" i="3"/>
  <c r="AF157" i="3"/>
  <c r="AF156" i="3"/>
  <c r="AF155" i="3"/>
  <c r="AF154" i="3"/>
  <c r="AF153" i="3"/>
  <c r="AF152" i="3"/>
  <c r="AF151" i="3"/>
  <c r="AF150" i="3"/>
  <c r="AF149" i="3"/>
  <c r="AF148" i="3"/>
  <c r="AF147" i="3"/>
  <c r="AF146" i="3"/>
  <c r="AF145" i="3"/>
  <c r="AF144" i="3"/>
  <c r="AF143" i="3"/>
  <c r="AF142" i="3"/>
  <c r="AF141" i="3"/>
  <c r="AF140" i="3"/>
  <c r="AF139" i="3"/>
  <c r="AF138" i="3"/>
  <c r="AF137" i="3"/>
  <c r="AF136" i="3"/>
  <c r="AF135" i="3"/>
  <c r="AF134" i="3"/>
  <c r="AF133" i="3"/>
  <c r="AF132" i="3"/>
  <c r="AF131" i="3"/>
  <c r="AF130" i="3"/>
  <c r="AF129" i="3"/>
  <c r="AF128" i="3"/>
  <c r="AF126" i="3"/>
  <c r="AF125" i="3"/>
  <c r="AF124" i="3"/>
  <c r="AF123" i="3"/>
  <c r="AF122" i="3"/>
  <c r="AF121" i="3"/>
  <c r="AF120" i="3"/>
  <c r="AF119" i="3"/>
  <c r="AF118" i="3"/>
  <c r="AF117" i="3"/>
  <c r="AF116" i="3"/>
  <c r="AF115" i="3"/>
  <c r="AF114" i="3"/>
  <c r="AF113" i="3"/>
  <c r="AF112" i="3"/>
  <c r="AF111" i="3"/>
  <c r="AF110" i="3"/>
  <c r="AF109" i="3"/>
  <c r="AF87" i="3"/>
  <c r="AF86" i="3"/>
  <c r="AF94" i="3"/>
  <c r="AF101" i="3"/>
  <c r="AF89" i="3"/>
  <c r="AF95" i="3"/>
  <c r="AF108" i="3"/>
  <c r="AF107" i="3"/>
  <c r="AF100" i="3"/>
  <c r="AF99" i="3"/>
  <c r="AF106" i="3"/>
  <c r="AF105" i="3"/>
  <c r="AF98" i="3"/>
  <c r="AF93" i="3"/>
  <c r="AF104" i="3"/>
  <c r="AF103" i="3"/>
  <c r="AF92" i="3"/>
  <c r="AF102" i="3"/>
  <c r="AF88" i="3"/>
  <c r="AF85" i="3"/>
  <c r="AF97" i="3"/>
  <c r="AF96" i="3"/>
  <c r="AF90" i="3"/>
  <c r="AF91" i="3"/>
  <c r="AF84" i="3"/>
  <c r="AF83" i="3"/>
  <c r="AF82" i="3"/>
  <c r="AF81" i="3"/>
  <c r="AF80" i="3"/>
  <c r="AF79" i="3"/>
  <c r="AF78" i="3"/>
  <c r="AF77" i="3"/>
  <c r="AF76" i="3"/>
  <c r="AF75" i="3"/>
  <c r="AF74" i="3"/>
  <c r="AF73" i="3"/>
  <c r="AF72" i="3"/>
  <c r="AF70" i="3"/>
  <c r="AF69" i="3"/>
  <c r="AF68" i="3"/>
  <c r="AF67" i="3"/>
  <c r="AF66" i="3"/>
  <c r="AF65" i="3"/>
  <c r="AF64" i="3"/>
  <c r="AF63" i="3"/>
  <c r="AF62" i="3"/>
  <c r="AF61" i="3"/>
  <c r="AF60" i="3"/>
  <c r="AF59" i="3"/>
  <c r="AF58" i="3"/>
  <c r="AF57" i="3"/>
  <c r="AF56" i="3"/>
  <c r="AF55" i="3"/>
  <c r="AF54" i="3"/>
  <c r="AF53" i="3"/>
  <c r="AF52" i="3"/>
  <c r="AF51" i="3"/>
  <c r="AF50" i="3"/>
  <c r="AF49" i="3"/>
  <c r="AF48" i="3"/>
  <c r="AF47" i="3"/>
  <c r="AF46" i="3"/>
  <c r="AF45" i="3"/>
  <c r="AF44" i="3"/>
  <c r="AF43" i="3"/>
  <c r="AF42" i="3"/>
  <c r="AF41" i="3"/>
  <c r="AF40" i="3"/>
  <c r="AF39" i="3"/>
  <c r="AF38" i="3"/>
  <c r="AF37" i="3"/>
  <c r="AF36" i="3"/>
  <c r="AF35" i="3"/>
  <c r="AF32" i="3"/>
  <c r="AF31" i="3"/>
  <c r="AF30" i="3"/>
  <c r="AF29" i="3"/>
  <c r="AF28" i="3"/>
  <c r="AF27" i="3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AF12" i="3"/>
  <c r="AF11" i="3"/>
  <c r="AF8" i="3"/>
  <c r="AF7" i="3"/>
  <c r="AF6" i="3"/>
  <c r="AF5" i="3"/>
  <c r="AF4" i="3"/>
  <c r="BW199" i="2"/>
  <c r="BW198" i="2"/>
  <c r="BW197" i="2"/>
  <c r="BW196" i="2"/>
  <c r="BW195" i="2"/>
  <c r="BW194" i="2"/>
  <c r="BW193" i="2"/>
  <c r="BW192" i="2"/>
  <c r="BW191" i="2"/>
  <c r="BW190" i="2"/>
  <c r="BW189" i="2"/>
  <c r="BW188" i="2"/>
  <c r="BW187" i="2"/>
  <c r="BW186" i="2"/>
  <c r="BW185" i="2"/>
  <c r="BW184" i="2"/>
  <c r="BW183" i="2"/>
  <c r="BW182" i="2"/>
  <c r="BW181" i="2"/>
  <c r="BW180" i="2"/>
  <c r="BW179" i="2"/>
  <c r="BW178" i="2"/>
  <c r="BW177" i="2"/>
  <c r="BW176" i="2"/>
  <c r="BW175" i="2"/>
  <c r="BW174" i="2"/>
  <c r="BW173" i="2"/>
  <c r="BW172" i="2"/>
  <c r="BW171" i="2"/>
  <c r="BW170" i="2"/>
  <c r="BW169" i="2"/>
  <c r="BW168" i="2"/>
  <c r="BW167" i="2"/>
  <c r="BW166" i="2"/>
  <c r="BW165" i="2"/>
  <c r="BW164" i="2"/>
  <c r="BW163" i="2"/>
  <c r="BW162" i="2"/>
  <c r="BW161" i="2"/>
  <c r="BW160" i="2"/>
  <c r="BW159" i="2"/>
  <c r="BW158" i="2"/>
  <c r="BW157" i="2"/>
  <c r="BW156" i="2"/>
  <c r="BW155" i="2"/>
  <c r="BW154" i="2"/>
  <c r="BW153" i="2"/>
  <c r="BW152" i="2"/>
  <c r="BW151" i="2"/>
  <c r="BW150" i="2"/>
  <c r="BW149" i="2"/>
  <c r="BW148" i="2"/>
  <c r="BW147" i="2"/>
  <c r="BW146" i="2"/>
  <c r="BW145" i="2"/>
  <c r="BW144" i="2"/>
  <c r="BW143" i="2"/>
  <c r="BW142" i="2"/>
  <c r="BW141" i="2"/>
  <c r="BW139" i="2"/>
  <c r="BW138" i="2"/>
  <c r="BW137" i="2"/>
  <c r="BW136" i="2"/>
  <c r="BW135" i="2"/>
  <c r="BW134" i="2"/>
  <c r="BW133" i="2"/>
  <c r="BW132" i="2"/>
  <c r="BW131" i="2"/>
  <c r="BW130" i="2"/>
  <c r="BW129" i="2"/>
  <c r="BW128" i="2"/>
  <c r="BW127" i="2"/>
  <c r="BW126" i="2"/>
  <c r="BW125" i="2"/>
  <c r="BW124" i="2"/>
  <c r="BW102" i="2"/>
  <c r="BW103" i="2"/>
  <c r="BW106" i="2"/>
  <c r="BW123" i="2"/>
  <c r="BW108" i="2"/>
  <c r="BW120" i="2"/>
  <c r="BW119" i="2"/>
  <c r="BW118" i="2"/>
  <c r="BW117" i="2"/>
  <c r="BW99" i="2"/>
  <c r="BW98" i="2"/>
  <c r="BW116" i="2"/>
  <c r="BW101" i="2"/>
  <c r="BW107" i="2"/>
  <c r="BW115" i="2"/>
  <c r="BW114" i="2"/>
  <c r="BW113" i="2"/>
  <c r="BW112" i="2"/>
  <c r="BW111" i="2"/>
  <c r="BW105" i="2"/>
  <c r="BW122" i="2"/>
  <c r="BW121" i="2"/>
  <c r="BW104" i="2"/>
  <c r="BW100" i="2"/>
  <c r="BW97" i="2"/>
  <c r="BW110" i="2"/>
  <c r="BW109" i="2"/>
  <c r="BW96" i="2"/>
  <c r="BW95" i="2"/>
  <c r="BW94" i="2"/>
  <c r="BW93" i="2"/>
  <c r="BW92" i="2"/>
  <c r="BW91" i="2"/>
  <c r="BW90" i="2"/>
  <c r="BW89" i="2"/>
  <c r="BW88" i="2"/>
  <c r="BW87" i="2"/>
  <c r="BW86" i="2"/>
  <c r="BW85" i="2"/>
  <c r="BW84" i="2"/>
  <c r="BW83" i="2"/>
  <c r="BW82" i="2"/>
  <c r="BW81" i="2"/>
  <c r="BW80" i="2"/>
  <c r="BW79" i="2"/>
  <c r="BW78" i="2"/>
  <c r="BW77" i="2"/>
  <c r="BW76" i="2"/>
  <c r="BW75" i="2"/>
  <c r="BW73" i="2"/>
  <c r="BW72" i="2"/>
  <c r="BW71" i="2"/>
  <c r="BW70" i="2"/>
  <c r="BW69" i="2"/>
  <c r="BW68" i="2"/>
  <c r="BW67" i="2"/>
  <c r="BW66" i="2"/>
  <c r="BW65" i="2"/>
  <c r="BW64" i="2"/>
  <c r="BW63" i="2"/>
  <c r="BW62" i="2"/>
  <c r="BW61" i="2"/>
  <c r="BW60" i="2"/>
  <c r="BW59" i="2"/>
  <c r="BW58" i="2"/>
  <c r="BW57" i="2"/>
  <c r="BW56" i="2"/>
  <c r="BW55" i="2"/>
  <c r="BW54" i="2"/>
  <c r="BW53" i="2"/>
  <c r="BW52" i="2"/>
  <c r="BW51" i="2"/>
  <c r="BW50" i="2"/>
  <c r="BW49" i="2"/>
  <c r="BW48" i="2"/>
  <c r="BW47" i="2"/>
  <c r="BW46" i="2"/>
  <c r="BW45" i="2"/>
  <c r="BW44" i="2"/>
  <c r="BW43" i="2"/>
  <c r="BW42" i="2"/>
  <c r="BW41" i="2"/>
  <c r="BW40" i="2"/>
  <c r="BW39" i="2"/>
  <c r="BW38" i="2"/>
  <c r="BW37" i="2"/>
  <c r="BW36" i="2"/>
  <c r="BW35" i="2"/>
  <c r="BW32" i="2"/>
  <c r="BW31" i="2"/>
  <c r="BW30" i="2"/>
  <c r="BW29" i="2"/>
  <c r="BW28" i="2"/>
  <c r="BW27" i="2"/>
  <c r="BW26" i="2"/>
  <c r="BW25" i="2"/>
  <c r="BW24" i="2"/>
  <c r="BW23" i="2"/>
  <c r="BW22" i="2"/>
  <c r="BW21" i="2"/>
  <c r="BW20" i="2"/>
  <c r="BW19" i="2"/>
  <c r="BW18" i="2"/>
  <c r="BW17" i="2"/>
  <c r="BW16" i="2"/>
  <c r="BW15" i="2"/>
  <c r="BW14" i="2"/>
  <c r="BW13" i="2"/>
  <c r="BW12" i="2"/>
  <c r="BW11" i="2"/>
  <c r="BW8" i="2"/>
  <c r="BW7" i="2"/>
  <c r="BW6" i="2"/>
  <c r="BW5" i="2"/>
  <c r="BW4" i="2"/>
  <c r="BW30" i="1"/>
  <c r="BW125" i="1"/>
  <c r="BW124" i="1"/>
  <c r="BW123" i="1"/>
  <c r="BW122" i="1"/>
  <c r="BW121" i="1"/>
  <c r="BW120" i="1"/>
  <c r="BW119" i="1"/>
  <c r="BW118" i="1"/>
  <c r="BW117" i="1"/>
  <c r="BW116" i="1"/>
  <c r="BW115" i="1"/>
  <c r="BW114" i="1"/>
  <c r="BW113" i="1"/>
  <c r="BW112" i="1"/>
  <c r="BW111" i="1"/>
  <c r="BW110" i="1"/>
  <c r="BW109" i="1"/>
  <c r="BW108" i="1"/>
  <c r="BW107" i="1"/>
  <c r="BW106" i="1"/>
  <c r="BW105" i="1"/>
  <c r="BW104" i="1"/>
  <c r="BW103" i="1"/>
  <c r="BW102" i="1"/>
  <c r="BW101" i="1"/>
  <c r="BW100" i="1"/>
  <c r="BW99" i="1"/>
  <c r="BW98" i="1"/>
  <c r="BW97" i="1"/>
  <c r="BW96" i="1"/>
  <c r="BW95" i="1"/>
  <c r="BW94" i="1"/>
  <c r="BW93" i="1"/>
  <c r="BW92" i="1"/>
  <c r="BW91" i="1"/>
  <c r="BW90" i="1"/>
  <c r="BW89" i="1"/>
  <c r="BW88" i="1"/>
  <c r="BW87" i="1"/>
  <c r="BW86" i="1"/>
  <c r="BW85" i="1"/>
  <c r="BW84" i="1"/>
  <c r="BW83" i="1"/>
  <c r="BW82" i="1"/>
  <c r="BW81" i="1"/>
  <c r="BW80" i="1"/>
  <c r="BW79" i="1"/>
  <c r="BW78" i="1"/>
  <c r="BW77" i="1"/>
  <c r="BW76" i="1"/>
  <c r="BW75" i="1"/>
  <c r="BW74" i="1"/>
  <c r="BW73" i="1"/>
  <c r="BW72" i="1"/>
  <c r="BW71" i="1"/>
  <c r="BW70" i="1"/>
  <c r="BW69" i="1"/>
  <c r="BW68" i="1"/>
  <c r="BW67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29" i="1"/>
  <c r="BW28" i="1"/>
  <c r="BW27" i="1"/>
  <c r="BW26" i="1"/>
  <c r="BW25" i="1"/>
  <c r="BW24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4" i="1"/>
  <c r="DV198" i="4"/>
  <c r="DS195" i="4"/>
  <c r="DS194" i="4"/>
  <c r="DS193" i="4"/>
  <c r="DS192" i="4"/>
  <c r="DS191" i="4"/>
  <c r="DS190" i="4"/>
  <c r="DS189" i="4"/>
  <c r="DS188" i="4"/>
  <c r="DS187" i="4"/>
  <c r="DS186" i="4"/>
  <c r="DS185" i="4"/>
  <c r="DS184" i="4"/>
  <c r="DS183" i="4"/>
  <c r="DS182" i="4"/>
  <c r="DS181" i="4"/>
  <c r="DS180" i="4"/>
  <c r="DS179" i="4"/>
  <c r="DS178" i="4"/>
  <c r="DS177" i="4"/>
  <c r="DS176" i="4"/>
  <c r="DS175" i="4"/>
  <c r="DS174" i="4"/>
  <c r="DS173" i="4"/>
  <c r="DS172" i="4"/>
  <c r="DS171" i="4"/>
  <c r="DS170" i="4"/>
  <c r="DS169" i="4"/>
  <c r="DS168" i="4"/>
  <c r="DS167" i="4"/>
  <c r="DS166" i="4"/>
  <c r="DS165" i="4"/>
  <c r="DS164" i="4"/>
  <c r="DS163" i="4"/>
  <c r="DS162" i="4"/>
  <c r="DS161" i="4"/>
  <c r="DS160" i="4"/>
  <c r="DS159" i="4"/>
  <c r="DS158" i="4"/>
  <c r="DS157" i="4"/>
  <c r="DS156" i="4"/>
  <c r="DS155" i="4"/>
  <c r="DS154" i="4"/>
  <c r="DS153" i="4"/>
  <c r="DS152" i="4"/>
  <c r="DS151" i="4"/>
  <c r="DS150" i="4"/>
  <c r="DS149" i="4"/>
  <c r="DS148" i="4"/>
  <c r="DS147" i="4"/>
  <c r="DS146" i="4"/>
  <c r="DS145" i="4"/>
  <c r="DS144" i="4"/>
  <c r="DS136" i="4"/>
  <c r="DS135" i="4"/>
  <c r="DS134" i="4"/>
  <c r="DS133" i="4"/>
  <c r="DS132" i="4"/>
  <c r="DS131" i="4"/>
  <c r="DS130" i="4"/>
  <c r="DS129" i="4"/>
  <c r="DS128" i="4"/>
  <c r="DS127" i="4"/>
  <c r="DS126" i="4"/>
  <c r="DS125" i="4"/>
  <c r="DS124" i="4"/>
  <c r="DS123" i="4"/>
  <c r="DS122" i="4"/>
  <c r="DS121" i="4"/>
  <c r="DS120" i="4"/>
  <c r="DS119" i="4"/>
  <c r="DS118" i="4"/>
  <c r="DS117" i="4"/>
  <c r="DS116" i="4"/>
  <c r="DS115" i="4"/>
  <c r="DS114" i="4"/>
  <c r="DS113" i="4"/>
  <c r="DS112" i="4"/>
  <c r="DS111" i="4"/>
  <c r="DS110" i="4"/>
  <c r="DS109" i="4"/>
  <c r="DS108" i="4"/>
  <c r="DS107" i="4"/>
  <c r="DS106" i="4"/>
  <c r="DS105" i="4"/>
  <c r="DS104" i="4"/>
  <c r="DS103" i="4"/>
  <c r="DS102" i="4"/>
  <c r="DS101" i="4"/>
  <c r="DS100" i="4"/>
  <c r="DS99" i="4"/>
  <c r="DS98" i="4"/>
  <c r="DS97" i="4"/>
  <c r="DS94" i="4"/>
  <c r="DS93" i="4"/>
  <c r="DS92" i="4"/>
  <c r="DS91" i="4"/>
  <c r="DS90" i="4"/>
  <c r="DS89" i="4"/>
  <c r="DS88" i="4"/>
  <c r="DS87" i="4"/>
  <c r="DS86" i="4"/>
  <c r="DS85" i="4"/>
  <c r="DS84" i="4"/>
  <c r="DS83" i="4"/>
  <c r="DS82" i="4"/>
  <c r="DS81" i="4"/>
  <c r="DS80" i="4"/>
  <c r="DS79" i="4"/>
  <c r="DS77" i="4"/>
  <c r="DS76" i="4"/>
  <c r="DS75" i="4"/>
  <c r="DS74" i="4"/>
  <c r="DS73" i="4"/>
  <c r="DS72" i="4"/>
  <c r="DS71" i="4"/>
  <c r="DS70" i="4"/>
  <c r="DS69" i="4"/>
  <c r="DS68" i="4"/>
  <c r="DS67" i="4"/>
  <c r="DS66" i="4"/>
  <c r="DS65" i="4"/>
  <c r="DS64" i="4"/>
  <c r="DS63" i="4"/>
  <c r="DS62" i="4"/>
  <c r="DS61" i="4"/>
  <c r="DS60" i="4"/>
  <c r="DS59" i="4"/>
  <c r="DS58" i="4"/>
  <c r="DS57" i="4"/>
  <c r="DS56" i="4"/>
  <c r="DS55" i="4"/>
  <c r="DS54" i="4"/>
  <c r="DS53" i="4"/>
  <c r="DS52" i="4"/>
  <c r="DS51" i="4"/>
  <c r="DS50" i="4"/>
  <c r="DS49" i="4"/>
  <c r="DS48" i="4"/>
  <c r="DS47" i="4"/>
  <c r="DS46" i="4"/>
  <c r="DS45" i="4"/>
  <c r="DS44" i="4"/>
  <c r="DS43" i="4"/>
  <c r="DS42" i="4"/>
  <c r="DS41" i="4"/>
  <c r="DS40" i="4"/>
  <c r="DS39" i="4"/>
  <c r="DS38" i="4"/>
  <c r="DS37" i="4"/>
  <c r="DS36" i="4"/>
  <c r="DS35" i="4"/>
  <c r="DS32" i="4"/>
  <c r="DS31" i="4"/>
  <c r="DS30" i="4"/>
  <c r="DS29" i="4"/>
  <c r="DS28" i="4"/>
  <c r="DS27" i="4"/>
  <c r="DS26" i="4"/>
  <c r="DS25" i="4"/>
  <c r="DS24" i="4"/>
  <c r="DS23" i="4"/>
  <c r="DS22" i="4"/>
  <c r="DS21" i="4"/>
  <c r="DS20" i="4"/>
  <c r="DS19" i="4"/>
  <c r="DS18" i="4"/>
  <c r="DS17" i="4"/>
  <c r="DS16" i="4"/>
  <c r="DS15" i="4"/>
  <c r="DS14" i="4"/>
  <c r="DS13" i="4"/>
  <c r="DS12" i="4"/>
  <c r="DS11" i="4"/>
  <c r="DS8" i="4"/>
  <c r="DS7" i="4"/>
  <c r="DS6" i="4"/>
  <c r="DS5" i="4"/>
  <c r="DW198" i="4"/>
  <c r="DU198" i="4"/>
  <c r="DT198" i="4"/>
  <c r="DS4" i="4" l="1"/>
  <c r="F37" i="2" l="1"/>
  <c r="B1298" i="8"/>
  <c r="A1298" i="8" s="1"/>
  <c r="B1299" i="8"/>
  <c r="A1299" i="8" s="1"/>
  <c r="B1300" i="8"/>
  <c r="A1300" i="8" s="1"/>
  <c r="B1301" i="8"/>
  <c r="A1301" i="8" s="1"/>
  <c r="B1302" i="8"/>
  <c r="A1302" i="8" s="1"/>
  <c r="B1303" i="8"/>
  <c r="A1303" i="8" s="1"/>
  <c r="B1304" i="8"/>
  <c r="A1304" i="8" s="1"/>
  <c r="B1305" i="8"/>
  <c r="A1305" i="8" s="1"/>
  <c r="B1306" i="8"/>
  <c r="A1306" i="8" s="1"/>
  <c r="B1307" i="8"/>
  <c r="A1307" i="8" s="1"/>
  <c r="B1308" i="8"/>
  <c r="A1308" i="8" s="1"/>
  <c r="H60" i="5"/>
  <c r="I60" i="5"/>
  <c r="J60" i="5"/>
  <c r="K60" i="5"/>
  <c r="L60" i="5"/>
  <c r="M60" i="5"/>
  <c r="P60" i="5"/>
  <c r="H61" i="5"/>
  <c r="I61" i="5"/>
  <c r="J61" i="5"/>
  <c r="K61" i="5"/>
  <c r="L61" i="5"/>
  <c r="M61" i="5"/>
  <c r="P61" i="5"/>
  <c r="H62" i="5"/>
  <c r="I62" i="5"/>
  <c r="J62" i="5"/>
  <c r="K62" i="5"/>
  <c r="L62" i="5"/>
  <c r="M62" i="5"/>
  <c r="P62" i="5"/>
  <c r="J117" i="3"/>
  <c r="K117" i="3"/>
  <c r="L117" i="3"/>
  <c r="M117" i="3"/>
  <c r="N117" i="3"/>
  <c r="O117" i="3"/>
  <c r="R117" i="3"/>
  <c r="AE117" i="3" s="1"/>
  <c r="J118" i="3"/>
  <c r="K118" i="3"/>
  <c r="L118" i="3"/>
  <c r="M118" i="3"/>
  <c r="N118" i="3"/>
  <c r="O118" i="3"/>
  <c r="R118" i="3"/>
  <c r="AE118" i="3" s="1"/>
  <c r="J119" i="3"/>
  <c r="K119" i="3"/>
  <c r="L119" i="3"/>
  <c r="M119" i="3"/>
  <c r="N119" i="3"/>
  <c r="O119" i="3"/>
  <c r="R119" i="3"/>
  <c r="AE119" i="3" s="1"/>
  <c r="BD63" i="1"/>
  <c r="BE63" i="1"/>
  <c r="BF63" i="1"/>
  <c r="BI63" i="1"/>
  <c r="BD64" i="1"/>
  <c r="BE64" i="1"/>
  <c r="BF64" i="1"/>
  <c r="BI64" i="1"/>
  <c r="BD65" i="1"/>
  <c r="BE65" i="1"/>
  <c r="BF65" i="1"/>
  <c r="BI65" i="1"/>
  <c r="BC130" i="2"/>
  <c r="BD130" i="2"/>
  <c r="BE130" i="2"/>
  <c r="BF130" i="2"/>
  <c r="BI130" i="2"/>
  <c r="BC131" i="2"/>
  <c r="BD131" i="2"/>
  <c r="BE131" i="2"/>
  <c r="BF131" i="2"/>
  <c r="BI131" i="2"/>
  <c r="BC132" i="2"/>
  <c r="BD132" i="2"/>
  <c r="BE132" i="2"/>
  <c r="BF132" i="2"/>
  <c r="BI132" i="2"/>
  <c r="BL136" i="4"/>
  <c r="BK136" i="4"/>
  <c r="BJ136" i="4"/>
  <c r="BI136" i="4"/>
  <c r="BL135" i="4"/>
  <c r="BK135" i="4"/>
  <c r="BJ135" i="4"/>
  <c r="BI135" i="4"/>
  <c r="BL134" i="4"/>
  <c r="BK134" i="4"/>
  <c r="BJ134" i="4"/>
  <c r="BI134" i="4"/>
  <c r="CA113" i="4"/>
  <c r="BZ113" i="4"/>
  <c r="BY113" i="4"/>
  <c r="BX113" i="4"/>
  <c r="BV113" i="4"/>
  <c r="BU113" i="4"/>
  <c r="BT113" i="4"/>
  <c r="BS113" i="4"/>
  <c r="BQ113" i="4"/>
  <c r="BP113" i="4"/>
  <c r="BO113" i="4"/>
  <c r="BN113" i="4"/>
  <c r="BL113" i="4"/>
  <c r="BK113" i="4"/>
  <c r="BJ113" i="4"/>
  <c r="BI113" i="4"/>
  <c r="CA112" i="4"/>
  <c r="BZ112" i="4"/>
  <c r="BY112" i="4"/>
  <c r="BX112" i="4"/>
  <c r="BV112" i="4"/>
  <c r="BU112" i="4"/>
  <c r="BT112" i="4"/>
  <c r="BS112" i="4"/>
  <c r="BQ112" i="4"/>
  <c r="BP112" i="4"/>
  <c r="BO112" i="4"/>
  <c r="BN112" i="4"/>
  <c r="BL112" i="4"/>
  <c r="BK112" i="4"/>
  <c r="BJ112" i="4"/>
  <c r="BI112" i="4"/>
  <c r="H36" i="5"/>
  <c r="I36" i="5"/>
  <c r="J36" i="5"/>
  <c r="K36" i="5"/>
  <c r="L36" i="5"/>
  <c r="M36" i="5"/>
  <c r="P36" i="5"/>
  <c r="H37" i="5"/>
  <c r="I37" i="5"/>
  <c r="J37" i="5"/>
  <c r="K37" i="5"/>
  <c r="L37" i="5"/>
  <c r="M37" i="5"/>
  <c r="P37" i="5"/>
  <c r="H103" i="3"/>
  <c r="I103" i="3" s="1"/>
  <c r="H104" i="3"/>
  <c r="I104" i="3" s="1"/>
  <c r="J103" i="3"/>
  <c r="K103" i="3"/>
  <c r="L103" i="3"/>
  <c r="M103" i="3"/>
  <c r="N103" i="3"/>
  <c r="O103" i="3"/>
  <c r="R103" i="3"/>
  <c r="AE103" i="3" s="1"/>
  <c r="J104" i="3"/>
  <c r="K104" i="3"/>
  <c r="L104" i="3"/>
  <c r="M104" i="3"/>
  <c r="N104" i="3"/>
  <c r="O104" i="3"/>
  <c r="R104" i="3"/>
  <c r="AE104" i="3" s="1"/>
  <c r="BI39" i="1"/>
  <c r="BF39" i="1"/>
  <c r="BE39" i="1"/>
  <c r="BD39" i="1"/>
  <c r="BC39" i="1"/>
  <c r="BB39" i="1"/>
  <c r="BA39" i="1"/>
  <c r="AZ39" i="1"/>
  <c r="BI38" i="1"/>
  <c r="BF38" i="1"/>
  <c r="BE38" i="1"/>
  <c r="BD38" i="1"/>
  <c r="BC38" i="1"/>
  <c r="BB38" i="1"/>
  <c r="BA38" i="1"/>
  <c r="AZ38" i="1"/>
  <c r="AZ121" i="2"/>
  <c r="BI122" i="2"/>
  <c r="BF122" i="2"/>
  <c r="BE122" i="2"/>
  <c r="BD122" i="2"/>
  <c r="BC122" i="2"/>
  <c r="BB122" i="2"/>
  <c r="BA122" i="2"/>
  <c r="AZ122" i="2"/>
  <c r="BI121" i="2"/>
  <c r="BF121" i="2"/>
  <c r="BE121" i="2"/>
  <c r="BD121" i="2"/>
  <c r="BC121" i="2"/>
  <c r="BB121" i="2"/>
  <c r="BA121" i="2"/>
  <c r="I136" i="4"/>
  <c r="H136" i="4"/>
  <c r="G136" i="4"/>
  <c r="F136" i="4"/>
  <c r="I135" i="4"/>
  <c r="H135" i="4"/>
  <c r="G135" i="4"/>
  <c r="F135" i="4"/>
  <c r="I134" i="4"/>
  <c r="H134" i="4"/>
  <c r="G134" i="4"/>
  <c r="F134" i="4"/>
  <c r="BS134" i="4"/>
  <c r="BT134" i="4"/>
  <c r="BU134" i="4"/>
  <c r="BV134" i="4"/>
  <c r="BX134" i="4"/>
  <c r="BY134" i="4"/>
  <c r="BZ134" i="4"/>
  <c r="CA134" i="4"/>
  <c r="CC134" i="4"/>
  <c r="CD134" i="4"/>
  <c r="CE134" i="4"/>
  <c r="CF134" i="4"/>
  <c r="BS135" i="4"/>
  <c r="BT135" i="4"/>
  <c r="BU135" i="4"/>
  <c r="BV135" i="4"/>
  <c r="BX135" i="4"/>
  <c r="BY135" i="4"/>
  <c r="BZ135" i="4"/>
  <c r="CA135" i="4"/>
  <c r="CC135" i="4"/>
  <c r="CD135" i="4"/>
  <c r="CE135" i="4"/>
  <c r="CF135" i="4"/>
  <c r="BS136" i="4"/>
  <c r="BT136" i="4"/>
  <c r="BU136" i="4"/>
  <c r="BV136" i="4"/>
  <c r="BX136" i="4"/>
  <c r="BY136" i="4"/>
  <c r="BZ136" i="4"/>
  <c r="CA136" i="4"/>
  <c r="CC136" i="4"/>
  <c r="CD136" i="4"/>
  <c r="CE136" i="4"/>
  <c r="CF136" i="4"/>
  <c r="CO134" i="4"/>
  <c r="CP134" i="4"/>
  <c r="CQ134" i="4"/>
  <c r="CR134" i="4"/>
  <c r="CO135" i="4"/>
  <c r="CP135" i="4"/>
  <c r="CQ135" i="4"/>
  <c r="CR135" i="4"/>
  <c r="CO136" i="4"/>
  <c r="CP136" i="4"/>
  <c r="CQ136" i="4"/>
  <c r="CR136" i="4"/>
  <c r="CO137" i="4"/>
  <c r="CP137" i="4"/>
  <c r="CQ137" i="4"/>
  <c r="CR137" i="4"/>
  <c r="CH112" i="4"/>
  <c r="CI112" i="4"/>
  <c r="CJ112" i="4"/>
  <c r="CK112" i="4"/>
  <c r="CH113" i="4"/>
  <c r="CI113" i="4"/>
  <c r="CJ113" i="4"/>
  <c r="CK113" i="4"/>
  <c r="CO112" i="4"/>
  <c r="CP112" i="4"/>
  <c r="CQ112" i="4"/>
  <c r="CR112" i="4"/>
  <c r="CO113" i="4"/>
  <c r="CP113" i="4"/>
  <c r="CQ113" i="4"/>
  <c r="CR113" i="4"/>
  <c r="G37" i="4"/>
  <c r="CO128" i="4"/>
  <c r="CP128" i="4"/>
  <c r="CQ128" i="4"/>
  <c r="CO129" i="4"/>
  <c r="CP129" i="4"/>
  <c r="CQ129" i="4"/>
  <c r="CO130" i="4"/>
  <c r="CP130" i="4"/>
  <c r="CQ130" i="4"/>
  <c r="CO131" i="4"/>
  <c r="CP131" i="4"/>
  <c r="CQ131" i="4"/>
  <c r="CO132" i="4"/>
  <c r="CP132" i="4"/>
  <c r="CQ132" i="4"/>
  <c r="CO133" i="4"/>
  <c r="CP133" i="4"/>
  <c r="CQ133" i="4"/>
  <c r="CO138" i="4"/>
  <c r="CP138" i="4"/>
  <c r="CQ138" i="4"/>
  <c r="CO139" i="4"/>
  <c r="CP139" i="4"/>
  <c r="CQ139" i="4"/>
  <c r="CO140" i="4"/>
  <c r="CP140" i="4"/>
  <c r="CQ140" i="4"/>
  <c r="CO141" i="4"/>
  <c r="CP141" i="4"/>
  <c r="CQ141" i="4"/>
  <c r="CO142" i="4"/>
  <c r="CP142" i="4"/>
  <c r="CQ142" i="4"/>
  <c r="CO143" i="4"/>
  <c r="CP143" i="4"/>
  <c r="CQ143" i="4"/>
  <c r="CO144" i="4"/>
  <c r="CP144" i="4"/>
  <c r="CQ144" i="4"/>
  <c r="CO145" i="4"/>
  <c r="CP145" i="4"/>
  <c r="CQ145" i="4"/>
  <c r="CO146" i="4"/>
  <c r="CP146" i="4"/>
  <c r="CQ146" i="4"/>
  <c r="CO147" i="4"/>
  <c r="CP147" i="4"/>
  <c r="CQ147" i="4"/>
  <c r="CO148" i="4"/>
  <c r="CP148" i="4"/>
  <c r="CQ148" i="4"/>
  <c r="CO149" i="4"/>
  <c r="CP149" i="4"/>
  <c r="CQ149" i="4"/>
  <c r="CO150" i="4"/>
  <c r="CP150" i="4"/>
  <c r="CQ150" i="4"/>
  <c r="CO151" i="4"/>
  <c r="CP151" i="4"/>
  <c r="CQ151" i="4"/>
  <c r="CO152" i="4"/>
  <c r="CP152" i="4"/>
  <c r="CQ152" i="4"/>
  <c r="CO153" i="4"/>
  <c r="CP153" i="4"/>
  <c r="CQ153" i="4"/>
  <c r="CO154" i="4"/>
  <c r="CP154" i="4"/>
  <c r="CQ154" i="4"/>
  <c r="CO155" i="4"/>
  <c r="CP155" i="4"/>
  <c r="CQ155" i="4"/>
  <c r="CO156" i="4"/>
  <c r="CP156" i="4"/>
  <c r="CQ156" i="4"/>
  <c r="CO157" i="4"/>
  <c r="CP157" i="4"/>
  <c r="CQ157" i="4"/>
  <c r="CO158" i="4"/>
  <c r="CP158" i="4"/>
  <c r="CQ158" i="4"/>
  <c r="CO159" i="4"/>
  <c r="CP159" i="4"/>
  <c r="CQ159" i="4"/>
  <c r="CO160" i="4"/>
  <c r="CP160" i="4"/>
  <c r="CQ160" i="4"/>
  <c r="CO161" i="4"/>
  <c r="CP161" i="4"/>
  <c r="CQ161" i="4"/>
  <c r="CO162" i="4"/>
  <c r="CP162" i="4"/>
  <c r="CQ162" i="4"/>
  <c r="CO163" i="4"/>
  <c r="CP163" i="4"/>
  <c r="CQ163" i="4"/>
  <c r="CO164" i="4"/>
  <c r="CP164" i="4"/>
  <c r="CQ164" i="4"/>
  <c r="CO165" i="4"/>
  <c r="CP165" i="4"/>
  <c r="CQ165" i="4"/>
  <c r="CO166" i="4"/>
  <c r="CP166" i="4"/>
  <c r="CQ166" i="4"/>
  <c r="CO167" i="4"/>
  <c r="CP167" i="4"/>
  <c r="CQ167" i="4"/>
  <c r="CO168" i="4"/>
  <c r="CP168" i="4"/>
  <c r="CQ168" i="4"/>
  <c r="CO169" i="4"/>
  <c r="CP169" i="4"/>
  <c r="CQ169" i="4"/>
  <c r="CO170" i="4"/>
  <c r="CP170" i="4"/>
  <c r="CQ170" i="4"/>
  <c r="CO171" i="4"/>
  <c r="CP171" i="4"/>
  <c r="CQ171" i="4"/>
  <c r="CO172" i="4"/>
  <c r="CP172" i="4"/>
  <c r="CQ172" i="4"/>
  <c r="CO173" i="4"/>
  <c r="CP173" i="4"/>
  <c r="CQ173" i="4"/>
  <c r="CO174" i="4"/>
  <c r="CP174" i="4"/>
  <c r="CQ174" i="4"/>
  <c r="CO175" i="4"/>
  <c r="CP175" i="4"/>
  <c r="CQ175" i="4"/>
  <c r="CO176" i="4"/>
  <c r="CP176" i="4"/>
  <c r="CQ176" i="4"/>
  <c r="CO177" i="4"/>
  <c r="CP177" i="4"/>
  <c r="CQ177" i="4"/>
  <c r="CO178" i="4"/>
  <c r="CP178" i="4"/>
  <c r="CQ178" i="4"/>
  <c r="CO179" i="4"/>
  <c r="CP179" i="4"/>
  <c r="CQ179" i="4"/>
  <c r="CO180" i="4"/>
  <c r="CP180" i="4"/>
  <c r="CQ180" i="4"/>
  <c r="CO181" i="4"/>
  <c r="CP181" i="4"/>
  <c r="CQ181" i="4"/>
  <c r="CO182" i="4"/>
  <c r="CP182" i="4"/>
  <c r="CQ182" i="4"/>
  <c r="CO183" i="4"/>
  <c r="CP183" i="4"/>
  <c r="CQ183" i="4"/>
  <c r="CO184" i="4"/>
  <c r="CP184" i="4"/>
  <c r="CQ184" i="4"/>
  <c r="CO185" i="4"/>
  <c r="CP185" i="4"/>
  <c r="CQ185" i="4"/>
  <c r="CO186" i="4"/>
  <c r="CP186" i="4"/>
  <c r="CQ186" i="4"/>
  <c r="CO187" i="4"/>
  <c r="CP187" i="4"/>
  <c r="CQ187" i="4"/>
  <c r="CO188" i="4"/>
  <c r="CP188" i="4"/>
  <c r="CQ188" i="4"/>
  <c r="CO189" i="4"/>
  <c r="CP189" i="4"/>
  <c r="CQ189" i="4"/>
  <c r="CO190" i="4"/>
  <c r="CP190" i="4"/>
  <c r="CQ190" i="4"/>
  <c r="CO191" i="4"/>
  <c r="CP191" i="4"/>
  <c r="CQ191" i="4"/>
  <c r="CO192" i="4"/>
  <c r="CP192" i="4"/>
  <c r="CQ192" i="4"/>
  <c r="CO193" i="4"/>
  <c r="CP193" i="4"/>
  <c r="CQ193" i="4"/>
  <c r="CO194" i="4"/>
  <c r="CP194" i="4"/>
  <c r="CQ194" i="4"/>
  <c r="CO195" i="4"/>
  <c r="CP195" i="4"/>
  <c r="CQ195" i="4"/>
  <c r="CO123" i="4"/>
  <c r="CP123" i="4"/>
  <c r="CQ123" i="4"/>
  <c r="CO125" i="4"/>
  <c r="CP125" i="4"/>
  <c r="CQ125" i="4"/>
  <c r="CO126" i="4"/>
  <c r="CP126" i="4"/>
  <c r="CQ126" i="4"/>
  <c r="CO117" i="4"/>
  <c r="CP117" i="4"/>
  <c r="CQ117" i="4"/>
  <c r="CO127" i="4"/>
  <c r="CP127" i="4"/>
  <c r="CQ127" i="4"/>
  <c r="G82" i="4"/>
  <c r="F188" i="4"/>
  <c r="B1297" i="8"/>
  <c r="A1297" i="8" s="1"/>
  <c r="B1296" i="8"/>
  <c r="A1296" i="8" s="1"/>
  <c r="B1295" i="8"/>
  <c r="A1295" i="8" s="1"/>
  <c r="B1294" i="8"/>
  <c r="A1294" i="8" s="1"/>
  <c r="B1293" i="8"/>
  <c r="A1293" i="8" s="1"/>
  <c r="B1292" i="8"/>
  <c r="A1292" i="8" s="1"/>
  <c r="B1291" i="8"/>
  <c r="A1291" i="8" s="1"/>
  <c r="B1290" i="8"/>
  <c r="A1290" i="8" s="1"/>
  <c r="B1289" i="8"/>
  <c r="A1289" i="8" s="1"/>
  <c r="B1288" i="8"/>
  <c r="A1288" i="8" s="1"/>
  <c r="B1287" i="8"/>
  <c r="A1287" i="8" s="1"/>
  <c r="AC60" i="5" l="1"/>
  <c r="AB60" i="5"/>
  <c r="AC61" i="5"/>
  <c r="AB61" i="5"/>
  <c r="AC62" i="5"/>
  <c r="AB62" i="5"/>
  <c r="BV63" i="1"/>
  <c r="BU63" i="1"/>
  <c r="BV64" i="1"/>
  <c r="BU64" i="1"/>
  <c r="BU65" i="1"/>
  <c r="BV65" i="1"/>
  <c r="BV130" i="2"/>
  <c r="BU130" i="2"/>
  <c r="BV131" i="2"/>
  <c r="BU131" i="2"/>
  <c r="BV132" i="2"/>
  <c r="BU132" i="2"/>
  <c r="AC36" i="5"/>
  <c r="AB36" i="5"/>
  <c r="AC37" i="5"/>
  <c r="AB37" i="5"/>
  <c r="BV39" i="1"/>
  <c r="BU39" i="1"/>
  <c r="BV38" i="1"/>
  <c r="BU38" i="1"/>
  <c r="BV122" i="2"/>
  <c r="BU122" i="2"/>
  <c r="BV121" i="2"/>
  <c r="BU121" i="2"/>
  <c r="AD117" i="3"/>
  <c r="AD118" i="3"/>
  <c r="AD119" i="3"/>
  <c r="AD103" i="3"/>
  <c r="AD104" i="3"/>
  <c r="BG65" i="1"/>
  <c r="BG63" i="1"/>
  <c r="P118" i="3"/>
  <c r="BH63" i="1"/>
  <c r="BG132" i="2"/>
  <c r="Q117" i="3"/>
  <c r="BH132" i="2"/>
  <c r="BG130" i="2"/>
  <c r="P119" i="3"/>
  <c r="O61" i="5"/>
  <c r="O60" i="5"/>
  <c r="BH131" i="2"/>
  <c r="P117" i="3"/>
  <c r="BH65" i="1"/>
  <c r="BG64" i="1"/>
  <c r="Q118" i="3"/>
  <c r="N62" i="5"/>
  <c r="N61" i="5"/>
  <c r="N60" i="5"/>
  <c r="O62" i="5"/>
  <c r="O37" i="5"/>
  <c r="O36" i="5"/>
  <c r="Q119" i="3"/>
  <c r="Q103" i="3"/>
  <c r="Q104" i="3"/>
  <c r="BH64" i="1"/>
  <c r="BH39" i="1"/>
  <c r="BG131" i="2"/>
  <c r="BH130" i="2"/>
  <c r="BH122" i="2"/>
  <c r="BG121" i="2"/>
  <c r="N37" i="5"/>
  <c r="N36" i="5"/>
  <c r="P104" i="3"/>
  <c r="P103" i="3"/>
  <c r="BG39" i="1"/>
  <c r="BG38" i="1"/>
  <c r="BH38" i="1"/>
  <c r="BH121" i="2"/>
  <c r="BG122" i="2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3" i="4"/>
  <c r="I132" i="4"/>
  <c r="I131" i="4"/>
  <c r="I137" i="4"/>
  <c r="I130" i="4"/>
  <c r="I129" i="4"/>
  <c r="I122" i="4"/>
  <c r="I128" i="4"/>
  <c r="I120" i="4"/>
  <c r="I119" i="4"/>
  <c r="I127" i="4"/>
  <c r="I118" i="4"/>
  <c r="I121" i="4"/>
  <c r="I116" i="4"/>
  <c r="I117" i="4"/>
  <c r="I126" i="4"/>
  <c r="I125" i="4"/>
  <c r="I124" i="4"/>
  <c r="I123" i="4"/>
  <c r="I114" i="4"/>
  <c r="I111" i="4"/>
  <c r="I110" i="4"/>
  <c r="I109" i="4"/>
  <c r="I108" i="4"/>
  <c r="I113" i="4"/>
  <c r="I112" i="4"/>
  <c r="I107" i="4"/>
  <c r="I106" i="4"/>
  <c r="I100" i="4"/>
  <c r="I99" i="4"/>
  <c r="I101" i="4"/>
  <c r="I105" i="4"/>
  <c r="I104" i="4"/>
  <c r="I103" i="4"/>
  <c r="I102" i="4"/>
  <c r="I98" i="4"/>
  <c r="I97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80" i="4"/>
  <c r="I79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6" i="4"/>
  <c r="I35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8" i="4"/>
  <c r="I7" i="4"/>
  <c r="I6" i="4"/>
  <c r="I5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3" i="4"/>
  <c r="H132" i="4"/>
  <c r="H131" i="4"/>
  <c r="H137" i="4"/>
  <c r="H130" i="4"/>
  <c r="H129" i="4"/>
  <c r="H122" i="4"/>
  <c r="H128" i="4"/>
  <c r="H120" i="4"/>
  <c r="H119" i="4"/>
  <c r="H127" i="4"/>
  <c r="H118" i="4"/>
  <c r="H121" i="4"/>
  <c r="H116" i="4"/>
  <c r="H117" i="4"/>
  <c r="H126" i="4"/>
  <c r="H125" i="4"/>
  <c r="H124" i="4"/>
  <c r="H123" i="4"/>
  <c r="H115" i="4"/>
  <c r="H114" i="4"/>
  <c r="H111" i="4"/>
  <c r="H110" i="4"/>
  <c r="H109" i="4"/>
  <c r="H108" i="4"/>
  <c r="H113" i="4"/>
  <c r="H112" i="4"/>
  <c r="H107" i="4"/>
  <c r="H106" i="4"/>
  <c r="H100" i="4"/>
  <c r="H99" i="4"/>
  <c r="H101" i="4"/>
  <c r="H105" i="4"/>
  <c r="H104" i="4"/>
  <c r="H103" i="4"/>
  <c r="H102" i="4"/>
  <c r="H98" i="4"/>
  <c r="H97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80" i="4"/>
  <c r="H79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6" i="4"/>
  <c r="H35" i="4"/>
  <c r="H32" i="4"/>
  <c r="H31" i="4"/>
  <c r="H30" i="4"/>
  <c r="H29" i="4"/>
  <c r="H28" i="4"/>
  <c r="H27" i="4"/>
  <c r="H26" i="4"/>
  <c r="H25" i="4"/>
  <c r="H23" i="4"/>
  <c r="H22" i="4"/>
  <c r="H21" i="4"/>
  <c r="H20" i="4"/>
  <c r="H19" i="4"/>
  <c r="H18" i="4"/>
  <c r="H17" i="4"/>
  <c r="H16" i="4"/>
  <c r="H15" i="4"/>
  <c r="H14" i="4"/>
  <c r="H13" i="4"/>
  <c r="H12" i="4"/>
  <c r="H8" i="4"/>
  <c r="H7" i="4"/>
  <c r="H6" i="4"/>
  <c r="H5" i="4"/>
  <c r="H4" i="4"/>
  <c r="F195" i="4"/>
  <c r="F194" i="4"/>
  <c r="F193" i="4"/>
  <c r="F192" i="4"/>
  <c r="F191" i="4"/>
  <c r="F190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3" i="4"/>
  <c r="F132" i="4"/>
  <c r="F131" i="4"/>
  <c r="F137" i="4"/>
  <c r="F130" i="4"/>
  <c r="F129" i="4"/>
  <c r="F122" i="4"/>
  <c r="F128" i="4"/>
  <c r="F120" i="4"/>
  <c r="F119" i="4"/>
  <c r="F127" i="4"/>
  <c r="F118" i="4"/>
  <c r="F121" i="4"/>
  <c r="F116" i="4"/>
  <c r="F117" i="4"/>
  <c r="F126" i="4"/>
  <c r="F125" i="4"/>
  <c r="F124" i="4"/>
  <c r="F123" i="4"/>
  <c r="F115" i="4"/>
  <c r="F114" i="4"/>
  <c r="F111" i="4"/>
  <c r="F110" i="4"/>
  <c r="F109" i="4"/>
  <c r="F108" i="4"/>
  <c r="F113" i="4"/>
  <c r="F112" i="4"/>
  <c r="F107" i="4"/>
  <c r="F106" i="4"/>
  <c r="F100" i="4"/>
  <c r="F99" i="4"/>
  <c r="F101" i="4"/>
  <c r="F105" i="4"/>
  <c r="F104" i="4"/>
  <c r="F103" i="4"/>
  <c r="F102" i="4"/>
  <c r="F98" i="4"/>
  <c r="F97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74" i="4"/>
  <c r="F73" i="4"/>
  <c r="F72" i="4"/>
  <c r="F71" i="4"/>
  <c r="F70" i="4"/>
  <c r="F69" i="4"/>
  <c r="F68" i="4"/>
  <c r="F67" i="4"/>
  <c r="F66" i="4"/>
  <c r="F65" i="4"/>
  <c r="F62" i="4"/>
  <c r="F61" i="4"/>
  <c r="F80" i="4"/>
  <c r="F79" i="4"/>
  <c r="F49" i="4"/>
  <c r="F45" i="4"/>
  <c r="F44" i="4"/>
  <c r="F43" i="4"/>
  <c r="F42" i="4"/>
  <c r="F41" i="4"/>
  <c r="F40" i="4"/>
  <c r="F39" i="4"/>
  <c r="F38" i="4"/>
  <c r="F36" i="4"/>
  <c r="F37" i="4" s="1"/>
  <c r="J37" i="4" s="1"/>
  <c r="F35" i="4"/>
  <c r="F32" i="4"/>
  <c r="F31" i="4"/>
  <c r="F30" i="4"/>
  <c r="F29" i="4"/>
  <c r="F28" i="4"/>
  <c r="F27" i="4"/>
  <c r="F26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8" i="4"/>
  <c r="F7" i="4"/>
  <c r="F6" i="4"/>
  <c r="F5" i="4"/>
  <c r="F4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3" i="4"/>
  <c r="G132" i="4"/>
  <c r="G131" i="4"/>
  <c r="G137" i="4"/>
  <c r="G130" i="4"/>
  <c r="G129" i="4"/>
  <c r="G122" i="4"/>
  <c r="G128" i="4"/>
  <c r="G120" i="4"/>
  <c r="G119" i="4"/>
  <c r="G127" i="4"/>
  <c r="G118" i="4"/>
  <c r="G121" i="4"/>
  <c r="G116" i="4"/>
  <c r="G117" i="4"/>
  <c r="G126" i="4"/>
  <c r="G125" i="4"/>
  <c r="G124" i="4"/>
  <c r="G123" i="4"/>
  <c r="G115" i="4"/>
  <c r="G114" i="4"/>
  <c r="G111" i="4"/>
  <c r="G110" i="4"/>
  <c r="G109" i="4"/>
  <c r="G108" i="4"/>
  <c r="G113" i="4"/>
  <c r="G112" i="4"/>
  <c r="G107" i="4"/>
  <c r="G106" i="4"/>
  <c r="G100" i="4"/>
  <c r="G99" i="4"/>
  <c r="G101" i="4"/>
  <c r="G105" i="4"/>
  <c r="G104" i="4"/>
  <c r="G103" i="4"/>
  <c r="G102" i="4"/>
  <c r="G98" i="4"/>
  <c r="G97" i="4"/>
  <c r="G94" i="4"/>
  <c r="G93" i="4"/>
  <c r="G92" i="4"/>
  <c r="G91" i="4"/>
  <c r="G90" i="4"/>
  <c r="G89" i="4"/>
  <c r="G88" i="4"/>
  <c r="G87" i="4"/>
  <c r="G86" i="4"/>
  <c r="G85" i="4"/>
  <c r="G84" i="4"/>
  <c r="G83" i="4"/>
  <c r="G81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80" i="4"/>
  <c r="G79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6" i="4"/>
  <c r="G35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8" i="4"/>
  <c r="G7" i="4"/>
  <c r="G6" i="4"/>
  <c r="G5" i="4"/>
  <c r="G4" i="4"/>
  <c r="I115" i="4"/>
  <c r="F75" i="4"/>
  <c r="F76" i="4"/>
  <c r="F77" i="4"/>
  <c r="F25" i="4"/>
  <c r="F54" i="4"/>
  <c r="F53" i="4"/>
  <c r="F52" i="4"/>
  <c r="F51" i="4"/>
  <c r="F50" i="4"/>
  <c r="F48" i="4"/>
  <c r="F47" i="4"/>
  <c r="F46" i="4"/>
  <c r="F64" i="4"/>
  <c r="F63" i="4"/>
  <c r="F59" i="4"/>
  <c r="F58" i="4"/>
  <c r="F57" i="4"/>
  <c r="F56" i="4"/>
  <c r="F55" i="4"/>
  <c r="R11" i="3"/>
  <c r="AE11" i="3" s="1"/>
  <c r="R22" i="3"/>
  <c r="AE22" i="3" s="1"/>
  <c r="R23" i="3"/>
  <c r="AE23" i="3" s="1"/>
  <c r="R26" i="3"/>
  <c r="AE26" i="3" s="1"/>
  <c r="R27" i="3"/>
  <c r="AE27" i="3" s="1"/>
  <c r="R36" i="3"/>
  <c r="AE36" i="3" s="1"/>
  <c r="R60" i="3"/>
  <c r="AE60" i="3" s="1"/>
  <c r="R61" i="3"/>
  <c r="AE61" i="3" s="1"/>
  <c r="R74" i="3"/>
  <c r="AE74" i="3" s="1"/>
  <c r="R102" i="3"/>
  <c r="AE102" i="3" s="1"/>
  <c r="R105" i="3"/>
  <c r="AE105" i="3" s="1"/>
  <c r="R106" i="3"/>
  <c r="AE106" i="3" s="1"/>
  <c r="R100" i="3"/>
  <c r="AE100" i="3" s="1"/>
  <c r="R107" i="3"/>
  <c r="AE107" i="3" s="1"/>
  <c r="R108" i="3"/>
  <c r="AE108" i="3" s="1"/>
  <c r="R101" i="3"/>
  <c r="AE101" i="3" s="1"/>
  <c r="R109" i="3"/>
  <c r="AE109" i="3" s="1"/>
  <c r="R111" i="3"/>
  <c r="AE111" i="3" s="1"/>
  <c r="R112" i="3"/>
  <c r="AE112" i="3" s="1"/>
  <c r="R113" i="3"/>
  <c r="AE113" i="3" s="1"/>
  <c r="R114" i="3"/>
  <c r="AE114" i="3" s="1"/>
  <c r="R115" i="3"/>
  <c r="AE115" i="3" s="1"/>
  <c r="R116" i="3"/>
  <c r="AE116" i="3" s="1"/>
  <c r="R120" i="3"/>
  <c r="AE120" i="3" s="1"/>
  <c r="R121" i="3"/>
  <c r="AE121" i="3" s="1"/>
  <c r="R122" i="3"/>
  <c r="AE122" i="3" s="1"/>
  <c r="R123" i="3"/>
  <c r="AE123" i="3" s="1"/>
  <c r="R124" i="3"/>
  <c r="AE124" i="3" s="1"/>
  <c r="R125" i="3"/>
  <c r="AE125" i="3" s="1"/>
  <c r="R126" i="3"/>
  <c r="AE126" i="3" s="1"/>
  <c r="R128" i="3"/>
  <c r="AE128" i="3" s="1"/>
  <c r="R129" i="3"/>
  <c r="AE129" i="3" s="1"/>
  <c r="R130" i="3"/>
  <c r="AE130" i="3" s="1"/>
  <c r="R131" i="3"/>
  <c r="AE131" i="3" s="1"/>
  <c r="R132" i="3"/>
  <c r="AE132" i="3" s="1"/>
  <c r="R133" i="3"/>
  <c r="AE133" i="3" s="1"/>
  <c r="R134" i="3"/>
  <c r="AE134" i="3" s="1"/>
  <c r="R135" i="3"/>
  <c r="AE135" i="3" s="1"/>
  <c r="R136" i="3"/>
  <c r="AE136" i="3" s="1"/>
  <c r="R137" i="3"/>
  <c r="AE137" i="3" s="1"/>
  <c r="R138" i="3"/>
  <c r="AE138" i="3" s="1"/>
  <c r="R139" i="3"/>
  <c r="AE139" i="3" s="1"/>
  <c r="R140" i="3"/>
  <c r="AE140" i="3" s="1"/>
  <c r="R141" i="3"/>
  <c r="AE141" i="3" s="1"/>
  <c r="R142" i="3"/>
  <c r="AE142" i="3" s="1"/>
  <c r="R143" i="3"/>
  <c r="AE143" i="3" s="1"/>
  <c r="R144" i="3"/>
  <c r="AE144" i="3" s="1"/>
  <c r="R145" i="3"/>
  <c r="AE145" i="3" s="1"/>
  <c r="R146" i="3"/>
  <c r="AE146" i="3" s="1"/>
  <c r="R147" i="3"/>
  <c r="AE147" i="3" s="1"/>
  <c r="R148" i="3"/>
  <c r="AE148" i="3" s="1"/>
  <c r="R149" i="3"/>
  <c r="AE149" i="3" s="1"/>
  <c r="R150" i="3"/>
  <c r="AE150" i="3" s="1"/>
  <c r="R151" i="3"/>
  <c r="AE151" i="3" s="1"/>
  <c r="R152" i="3"/>
  <c r="AE152" i="3" s="1"/>
  <c r="R153" i="3"/>
  <c r="AE153" i="3" s="1"/>
  <c r="R154" i="3"/>
  <c r="AE154" i="3" s="1"/>
  <c r="R155" i="3"/>
  <c r="AE155" i="3" s="1"/>
  <c r="R156" i="3"/>
  <c r="AE156" i="3" s="1"/>
  <c r="R157" i="3"/>
  <c r="AE157" i="3" s="1"/>
  <c r="R158" i="3"/>
  <c r="AE158" i="3" s="1"/>
  <c r="R159" i="3"/>
  <c r="AE159" i="3" s="1"/>
  <c r="R160" i="3"/>
  <c r="AE160" i="3" s="1"/>
  <c r="R161" i="3"/>
  <c r="AE161" i="3" s="1"/>
  <c r="R162" i="3"/>
  <c r="AE162" i="3" s="1"/>
  <c r="R163" i="3"/>
  <c r="AE163" i="3" s="1"/>
  <c r="R164" i="3"/>
  <c r="AE164" i="3" s="1"/>
  <c r="R165" i="3"/>
  <c r="AE165" i="3" s="1"/>
  <c r="R166" i="3"/>
  <c r="AE166" i="3" s="1"/>
  <c r="R167" i="3"/>
  <c r="AE167" i="3" s="1"/>
  <c r="R168" i="3"/>
  <c r="AE168" i="3" s="1"/>
  <c r="R169" i="3"/>
  <c r="AE169" i="3" s="1"/>
  <c r="R170" i="3"/>
  <c r="AE170" i="3" s="1"/>
  <c r="R171" i="3"/>
  <c r="AE171" i="3" s="1"/>
  <c r="R172" i="3"/>
  <c r="AE172" i="3" s="1"/>
  <c r="R173" i="3"/>
  <c r="AE173" i="3" s="1"/>
  <c r="R174" i="3"/>
  <c r="AE174" i="3" s="1"/>
  <c r="R175" i="3"/>
  <c r="AE175" i="3" s="1"/>
  <c r="R176" i="3"/>
  <c r="AE176" i="3" s="1"/>
  <c r="R177" i="3"/>
  <c r="AE177" i="3" s="1"/>
  <c r="R178" i="3"/>
  <c r="AE178" i="3" s="1"/>
  <c r="R179" i="3"/>
  <c r="AE179" i="3" s="1"/>
  <c r="R180" i="3"/>
  <c r="AE180" i="3" s="1"/>
  <c r="R181" i="3"/>
  <c r="AE181" i="3" s="1"/>
  <c r="R182" i="3"/>
  <c r="AE182" i="3" s="1"/>
  <c r="R183" i="3"/>
  <c r="AE183" i="3" s="1"/>
  <c r="R184" i="3"/>
  <c r="AE184" i="3" s="1"/>
  <c r="R185" i="3"/>
  <c r="AE185" i="3" s="1"/>
  <c r="R186" i="3"/>
  <c r="AE186" i="3" s="1"/>
  <c r="BI48" i="1"/>
  <c r="BI49" i="1"/>
  <c r="BI51" i="1"/>
  <c r="BI52" i="1"/>
  <c r="BI53" i="1"/>
  <c r="BI54" i="1"/>
  <c r="BI55" i="1"/>
  <c r="BI57" i="1"/>
  <c r="BI58" i="1"/>
  <c r="BI59" i="1"/>
  <c r="BI60" i="1"/>
  <c r="BI61" i="1"/>
  <c r="BI62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1" i="2"/>
  <c r="BI22" i="2"/>
  <c r="BI23" i="2"/>
  <c r="BI26" i="2"/>
  <c r="BI27" i="2"/>
  <c r="BI36" i="2"/>
  <c r="BI63" i="2"/>
  <c r="BI64" i="2"/>
  <c r="BI77" i="2"/>
  <c r="BI81" i="2"/>
  <c r="BI82" i="2"/>
  <c r="BI123" i="2"/>
  <c r="BI124" i="2"/>
  <c r="BI125" i="2"/>
  <c r="BI112" i="2"/>
  <c r="BI114" i="2"/>
  <c r="BI126" i="2"/>
  <c r="BI115" i="2"/>
  <c r="BI116" i="2"/>
  <c r="BI117" i="2"/>
  <c r="BI119" i="2"/>
  <c r="BI120" i="2"/>
  <c r="BI127" i="2"/>
  <c r="BI108" i="2"/>
  <c r="BI128" i="2"/>
  <c r="BI129" i="2"/>
  <c r="BI133" i="2"/>
  <c r="BI134" i="2"/>
  <c r="BI135" i="2"/>
  <c r="BI136" i="2"/>
  <c r="BI137" i="2"/>
  <c r="BI138" i="2"/>
  <c r="BI139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P6" i="5"/>
  <c r="P40" i="5"/>
  <c r="P41" i="5"/>
  <c r="P43" i="5"/>
  <c r="P44" i="5"/>
  <c r="P45" i="5"/>
  <c r="P49" i="5"/>
  <c r="P52" i="5"/>
  <c r="P54" i="5"/>
  <c r="P55" i="5"/>
  <c r="P56" i="5"/>
  <c r="P57" i="5"/>
  <c r="P58" i="5"/>
  <c r="P59" i="5"/>
  <c r="P63" i="5"/>
  <c r="P64" i="5"/>
  <c r="P65" i="5"/>
  <c r="P66" i="5"/>
  <c r="P67" i="5"/>
  <c r="P68" i="5"/>
  <c r="P69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B1286" i="8"/>
  <c r="A1286" i="8" s="1"/>
  <c r="B1285" i="8"/>
  <c r="A1285" i="8" s="1"/>
  <c r="B1284" i="8"/>
  <c r="A1284" i="8" s="1"/>
  <c r="B1283" i="8"/>
  <c r="A1283" i="8" s="1"/>
  <c r="B1282" i="8"/>
  <c r="A1282" i="8" s="1"/>
  <c r="B1281" i="8"/>
  <c r="A1281" i="8" s="1"/>
  <c r="B1280" i="8"/>
  <c r="A1280" i="8" s="1"/>
  <c r="B1279" i="8"/>
  <c r="A1279" i="8" s="1"/>
  <c r="B1278" i="8"/>
  <c r="A1278" i="8" s="1"/>
  <c r="B1277" i="8"/>
  <c r="A1277" i="8" s="1"/>
  <c r="B1276" i="8"/>
  <c r="A1276" i="8" s="1"/>
  <c r="B1275" i="8"/>
  <c r="A1275" i="8" s="1"/>
  <c r="B1274" i="8"/>
  <c r="A1274" i="8" s="1"/>
  <c r="B1273" i="8"/>
  <c r="A1273" i="8" s="1"/>
  <c r="B1272" i="8"/>
  <c r="A1272" i="8" s="1"/>
  <c r="B1271" i="8"/>
  <c r="A1271" i="8" s="1"/>
  <c r="B1270" i="8"/>
  <c r="A1270" i="8" s="1"/>
  <c r="B1269" i="8"/>
  <c r="A1269" i="8" s="1"/>
  <c r="B1268" i="8"/>
  <c r="A1268" i="8" s="1"/>
  <c r="B1267" i="8"/>
  <c r="A1267" i="8" s="1"/>
  <c r="B1266" i="8"/>
  <c r="A1266" i="8" s="1"/>
  <c r="B1265" i="8"/>
  <c r="A1265" i="8" s="1"/>
  <c r="B1264" i="8"/>
  <c r="A1264" i="8" s="1"/>
  <c r="B1263" i="8"/>
  <c r="A1263" i="8" s="1"/>
  <c r="B1262" i="8"/>
  <c r="A1262" i="8" s="1"/>
  <c r="B1261" i="8"/>
  <c r="A1261" i="8" s="1"/>
  <c r="B1260" i="8"/>
  <c r="A1260" i="8" s="1"/>
  <c r="B1259" i="8"/>
  <c r="A1259" i="8" s="1"/>
  <c r="B1258" i="8"/>
  <c r="A1258" i="8" s="1"/>
  <c r="B1257" i="8"/>
  <c r="A1257" i="8" s="1"/>
  <c r="B1256" i="8"/>
  <c r="A1256" i="8" s="1"/>
  <c r="B1255" i="8"/>
  <c r="A1255" i="8" s="1"/>
  <c r="B1254" i="8"/>
  <c r="A1254" i="8" s="1"/>
  <c r="B1253" i="8"/>
  <c r="A1253" i="8" s="1"/>
  <c r="B1252" i="8"/>
  <c r="A1252" i="8" s="1"/>
  <c r="B1251" i="8"/>
  <c r="A1251" i="8" s="1"/>
  <c r="B1250" i="8"/>
  <c r="A1250" i="8" s="1"/>
  <c r="B1249" i="8"/>
  <c r="A1249" i="8" s="1"/>
  <c r="B1248" i="8"/>
  <c r="A1248" i="8" s="1"/>
  <c r="B1247" i="8"/>
  <c r="A1247" i="8" s="1"/>
  <c r="B1246" i="8"/>
  <c r="A1246" i="8" s="1"/>
  <c r="B1245" i="8"/>
  <c r="A1245" i="8" s="1"/>
  <c r="B1244" i="8"/>
  <c r="A1244" i="8" s="1"/>
  <c r="B1243" i="8"/>
  <c r="A1243" i="8" s="1"/>
  <c r="B1242" i="8"/>
  <c r="A1242" i="8" s="1"/>
  <c r="B1241" i="8"/>
  <c r="A1241" i="8" s="1"/>
  <c r="B1240" i="8"/>
  <c r="A1240" i="8" s="1"/>
  <c r="B1239" i="8"/>
  <c r="A1239" i="8" s="1"/>
  <c r="B1238" i="8"/>
  <c r="A1238" i="8" s="1"/>
  <c r="B1237" i="8"/>
  <c r="A1237" i="8" s="1"/>
  <c r="B1236" i="8"/>
  <c r="A1236" i="8" s="1"/>
  <c r="B1235" i="8"/>
  <c r="A1235" i="8" s="1"/>
  <c r="B1234" i="8"/>
  <c r="A1234" i="8" s="1"/>
  <c r="B1233" i="8"/>
  <c r="A1233" i="8" s="1"/>
  <c r="B1232" i="8"/>
  <c r="A1232" i="8" s="1"/>
  <c r="B1231" i="8"/>
  <c r="A1231" i="8" s="1"/>
  <c r="B1230" i="8"/>
  <c r="A1230" i="8" s="1"/>
  <c r="B1229" i="8"/>
  <c r="A1229" i="8" s="1"/>
  <c r="B1228" i="8"/>
  <c r="A1228" i="8" s="1"/>
  <c r="B1227" i="8"/>
  <c r="A1227" i="8" s="1"/>
  <c r="B1226" i="8"/>
  <c r="A1226" i="8" s="1"/>
  <c r="B1225" i="8"/>
  <c r="A1225" i="8" s="1"/>
  <c r="B1224" i="8"/>
  <c r="A1224" i="8" s="1"/>
  <c r="B1223" i="8"/>
  <c r="A1223" i="8" s="1"/>
  <c r="B1222" i="8"/>
  <c r="A1222" i="8" s="1"/>
  <c r="B1221" i="8"/>
  <c r="A1221" i="8" s="1"/>
  <c r="B1220" i="8"/>
  <c r="A1220" i="8" s="1"/>
  <c r="B1219" i="8"/>
  <c r="A1219" i="8" s="1"/>
  <c r="B1218" i="8"/>
  <c r="A1218" i="8" s="1"/>
  <c r="B1217" i="8"/>
  <c r="A1217" i="8" s="1"/>
  <c r="B1216" i="8"/>
  <c r="A1216" i="8" s="1"/>
  <c r="B1215" i="8"/>
  <c r="A1215" i="8" s="1"/>
  <c r="B1214" i="8"/>
  <c r="A1214" i="8" s="1"/>
  <c r="B1213" i="8"/>
  <c r="A1213" i="8" s="1"/>
  <c r="B1212" i="8"/>
  <c r="A1212" i="8" s="1"/>
  <c r="B1211" i="8"/>
  <c r="A1211" i="8" s="1"/>
  <c r="B1210" i="8"/>
  <c r="A1210" i="8" s="1"/>
  <c r="B1209" i="8"/>
  <c r="A1209" i="8" s="1"/>
  <c r="B1208" i="8"/>
  <c r="A1208" i="8" s="1"/>
  <c r="B1207" i="8"/>
  <c r="A1207" i="8" s="1"/>
  <c r="B1206" i="8"/>
  <c r="A1206" i="8" s="1"/>
  <c r="B1205" i="8"/>
  <c r="A1205" i="8" s="1"/>
  <c r="B1204" i="8"/>
  <c r="A1204" i="8" s="1"/>
  <c r="B1203" i="8"/>
  <c r="A1203" i="8" s="1"/>
  <c r="B1202" i="8"/>
  <c r="A1202" i="8" s="1"/>
  <c r="B1201" i="8"/>
  <c r="A1201" i="8" s="1"/>
  <c r="B1200" i="8"/>
  <c r="A1200" i="8" s="1"/>
  <c r="B1199" i="8"/>
  <c r="A1199" i="8" s="1"/>
  <c r="B1198" i="8"/>
  <c r="A1198" i="8" s="1"/>
  <c r="B1197" i="8"/>
  <c r="A1197" i="8" s="1"/>
  <c r="B1196" i="8"/>
  <c r="A1196" i="8" s="1"/>
  <c r="B1195" i="8"/>
  <c r="A1195" i="8" s="1"/>
  <c r="B1194" i="8"/>
  <c r="A1194" i="8" s="1"/>
  <c r="B1193" i="8"/>
  <c r="A1193" i="8" s="1"/>
  <c r="B1192" i="8"/>
  <c r="A1192" i="8" s="1"/>
  <c r="B1191" i="8"/>
  <c r="A1191" i="8" s="1"/>
  <c r="B1190" i="8"/>
  <c r="A1190" i="8" s="1"/>
  <c r="B1189" i="8"/>
  <c r="A1189" i="8" s="1"/>
  <c r="B1188" i="8"/>
  <c r="A1188" i="8" s="1"/>
  <c r="B1187" i="8"/>
  <c r="A1187" i="8" s="1"/>
  <c r="B1186" i="8"/>
  <c r="A1186" i="8" s="1"/>
  <c r="B1185" i="8"/>
  <c r="A1185" i="8" s="1"/>
  <c r="B1184" i="8"/>
  <c r="A1184" i="8" s="1"/>
  <c r="B1183" i="8"/>
  <c r="A1183" i="8" s="1"/>
  <c r="B1182" i="8"/>
  <c r="A1182" i="8" s="1"/>
  <c r="B1181" i="8"/>
  <c r="A1181" i="8" s="1"/>
  <c r="B1180" i="8"/>
  <c r="A1180" i="8" s="1"/>
  <c r="B1179" i="8"/>
  <c r="A1179" i="8" s="1"/>
  <c r="B1178" i="8"/>
  <c r="A1178" i="8" s="1"/>
  <c r="B1177" i="8"/>
  <c r="A1177" i="8" s="1"/>
  <c r="B1176" i="8"/>
  <c r="A1176" i="8" s="1"/>
  <c r="B1175" i="8"/>
  <c r="A1175" i="8" s="1"/>
  <c r="B1174" i="8"/>
  <c r="A1174" i="8" s="1"/>
  <c r="B1173" i="8"/>
  <c r="A1173" i="8" s="1"/>
  <c r="B1172" i="8"/>
  <c r="A1172" i="8" s="1"/>
  <c r="B1171" i="8"/>
  <c r="A1171" i="8" s="1"/>
  <c r="B1170" i="8"/>
  <c r="A1170" i="8" s="1"/>
  <c r="B1169" i="8"/>
  <c r="A1169" i="8" s="1"/>
  <c r="B1168" i="8"/>
  <c r="A1168" i="8" s="1"/>
  <c r="B1167" i="8"/>
  <c r="A1167" i="8" s="1"/>
  <c r="B1166" i="8"/>
  <c r="A1166" i="8" s="1"/>
  <c r="B1165" i="8"/>
  <c r="A1165" i="8" s="1"/>
  <c r="B1164" i="8"/>
  <c r="A1164" i="8" s="1"/>
  <c r="B1163" i="8"/>
  <c r="A1163" i="8" s="1"/>
  <c r="B1162" i="8"/>
  <c r="A1162" i="8" s="1"/>
  <c r="B1161" i="8"/>
  <c r="A1161" i="8" s="1"/>
  <c r="B1160" i="8"/>
  <c r="A1160" i="8" s="1"/>
  <c r="B1159" i="8"/>
  <c r="A1159" i="8" s="1"/>
  <c r="B1158" i="8"/>
  <c r="A1158" i="8" s="1"/>
  <c r="B1157" i="8"/>
  <c r="A1157" i="8" s="1"/>
  <c r="B1156" i="8"/>
  <c r="A1156" i="8" s="1"/>
  <c r="B1155" i="8"/>
  <c r="A1155" i="8" s="1"/>
  <c r="B1154" i="8"/>
  <c r="A1154" i="8" s="1"/>
  <c r="B1153" i="8"/>
  <c r="A1153" i="8" s="1"/>
  <c r="B1152" i="8"/>
  <c r="A1152" i="8" s="1"/>
  <c r="B1151" i="8"/>
  <c r="A1151" i="8" s="1"/>
  <c r="B1150" i="8"/>
  <c r="A1150" i="8" s="1"/>
  <c r="B1149" i="8"/>
  <c r="A1149" i="8" s="1"/>
  <c r="B1148" i="8"/>
  <c r="A1148" i="8" s="1"/>
  <c r="B1147" i="8"/>
  <c r="A1147" i="8" s="1"/>
  <c r="B1146" i="8"/>
  <c r="A1146" i="8" s="1"/>
  <c r="B1145" i="8"/>
  <c r="A1145" i="8" s="1"/>
  <c r="B1144" i="8"/>
  <c r="A1144" i="8" s="1"/>
  <c r="B1143" i="8"/>
  <c r="A1143" i="8" s="1"/>
  <c r="B1142" i="8"/>
  <c r="A1142" i="8" s="1"/>
  <c r="B1141" i="8"/>
  <c r="A1141" i="8" s="1"/>
  <c r="B1140" i="8"/>
  <c r="A1140" i="8" s="1"/>
  <c r="B1139" i="8"/>
  <c r="A1139" i="8" s="1"/>
  <c r="B1138" i="8"/>
  <c r="A1138" i="8" s="1"/>
  <c r="B1137" i="8"/>
  <c r="A1137" i="8" s="1"/>
  <c r="B1136" i="8"/>
  <c r="A1136" i="8" s="1"/>
  <c r="B1135" i="8"/>
  <c r="A1135" i="8" s="1"/>
  <c r="B1134" i="8"/>
  <c r="A1134" i="8" s="1"/>
  <c r="B1133" i="8"/>
  <c r="A1133" i="8" s="1"/>
  <c r="B1132" i="8"/>
  <c r="A1132" i="8" s="1"/>
  <c r="B1131" i="8"/>
  <c r="A1131" i="8" s="1"/>
  <c r="B1130" i="8"/>
  <c r="A1130" i="8" s="1"/>
  <c r="B1129" i="8"/>
  <c r="A1129" i="8" s="1"/>
  <c r="B1128" i="8"/>
  <c r="A1128" i="8" s="1"/>
  <c r="B1127" i="8"/>
  <c r="A1127" i="8" s="1"/>
  <c r="B1126" i="8"/>
  <c r="A1126" i="8" s="1"/>
  <c r="B1125" i="8"/>
  <c r="A1125" i="8" s="1"/>
  <c r="B1124" i="8"/>
  <c r="B1123" i="8"/>
  <c r="A1123" i="8" s="1"/>
  <c r="B1122" i="8"/>
  <c r="A1122" i="8" s="1"/>
  <c r="B1121" i="8"/>
  <c r="A1121" i="8" s="1"/>
  <c r="B1120" i="8"/>
  <c r="A1120" i="8" s="1"/>
  <c r="B1119" i="8"/>
  <c r="A1119" i="8" s="1"/>
  <c r="B1118" i="8"/>
  <c r="A1118" i="8" s="1"/>
  <c r="B1117" i="8"/>
  <c r="A1117" i="8" s="1"/>
  <c r="B1116" i="8"/>
  <c r="A1116" i="8" s="1"/>
  <c r="B1115" i="8"/>
  <c r="A1115" i="8" s="1"/>
  <c r="H37" i="4" l="1"/>
  <c r="BU48" i="1"/>
  <c r="BV48" i="1"/>
  <c r="BU49" i="1"/>
  <c r="BV49" i="1"/>
  <c r="BV51" i="1"/>
  <c r="BU51" i="1"/>
  <c r="BV52" i="1"/>
  <c r="BU52" i="1"/>
  <c r="BV53" i="1"/>
  <c r="BU53" i="1"/>
  <c r="BV54" i="1"/>
  <c r="BU54" i="1"/>
  <c r="BV55" i="1"/>
  <c r="BU55" i="1"/>
  <c r="BV57" i="1"/>
  <c r="BU57" i="1"/>
  <c r="BV58" i="1"/>
  <c r="BU58" i="1"/>
  <c r="BV59" i="1"/>
  <c r="BU59" i="1"/>
  <c r="BV60" i="1"/>
  <c r="BU60" i="1"/>
  <c r="BV61" i="1"/>
  <c r="BU61" i="1"/>
  <c r="BV62" i="1"/>
  <c r="BU62" i="1"/>
  <c r="BU67" i="1"/>
  <c r="BV67" i="1"/>
  <c r="BV68" i="1"/>
  <c r="BU68" i="1"/>
  <c r="BU69" i="1"/>
  <c r="BV69" i="1"/>
  <c r="BV70" i="1"/>
  <c r="BU70" i="1"/>
  <c r="BU71" i="1"/>
  <c r="BV71" i="1"/>
  <c r="BU72" i="1"/>
  <c r="BV72" i="1"/>
  <c r="BV73" i="1"/>
  <c r="BU73" i="1"/>
  <c r="BU74" i="1"/>
  <c r="BV74" i="1"/>
  <c r="BV75" i="1"/>
  <c r="BU75" i="1"/>
  <c r="BV76" i="1"/>
  <c r="BU76" i="1"/>
  <c r="BU77" i="1"/>
  <c r="BV77" i="1"/>
  <c r="BU78" i="1"/>
  <c r="BV78" i="1"/>
  <c r="BU79" i="1"/>
  <c r="BV79" i="1"/>
  <c r="BU80" i="1"/>
  <c r="BV80" i="1"/>
  <c r="BV81" i="1"/>
  <c r="BU81" i="1"/>
  <c r="BU82" i="1"/>
  <c r="BV82" i="1"/>
  <c r="BU83" i="1"/>
  <c r="BV83" i="1"/>
  <c r="BU84" i="1"/>
  <c r="BV84" i="1"/>
  <c r="BV85" i="1"/>
  <c r="BU85" i="1"/>
  <c r="BU86" i="1"/>
  <c r="BV86" i="1"/>
  <c r="BU87" i="1"/>
  <c r="BV87" i="1"/>
  <c r="BU88" i="1"/>
  <c r="BV88" i="1"/>
  <c r="BV89" i="1"/>
  <c r="BU89" i="1"/>
  <c r="BV90" i="1"/>
  <c r="BU90" i="1"/>
  <c r="BV91" i="1"/>
  <c r="BU91" i="1"/>
  <c r="BV92" i="1"/>
  <c r="BU92" i="1"/>
  <c r="BU93" i="1"/>
  <c r="BV93" i="1"/>
  <c r="BV94" i="1"/>
  <c r="BU94" i="1"/>
  <c r="BU95" i="1"/>
  <c r="BV95" i="1"/>
  <c r="BU96" i="1"/>
  <c r="BV96" i="1"/>
  <c r="BU97" i="1"/>
  <c r="BV97" i="1"/>
  <c r="BU98" i="1"/>
  <c r="BV98" i="1"/>
  <c r="BU99" i="1"/>
  <c r="BV99" i="1"/>
  <c r="BV100" i="1"/>
  <c r="BU100" i="1"/>
  <c r="BV101" i="1"/>
  <c r="BU101" i="1"/>
  <c r="BV102" i="1"/>
  <c r="BU102" i="1"/>
  <c r="BV103" i="1"/>
  <c r="BU103" i="1"/>
  <c r="BU104" i="1"/>
  <c r="BV104" i="1"/>
  <c r="BU105" i="1"/>
  <c r="BV105" i="1"/>
  <c r="BU106" i="1"/>
  <c r="BV106" i="1"/>
  <c r="BV107" i="1"/>
  <c r="BU107" i="1"/>
  <c r="BV108" i="1"/>
  <c r="BU108" i="1"/>
  <c r="BV109" i="1"/>
  <c r="BU109" i="1"/>
  <c r="BU110" i="1"/>
  <c r="BV110" i="1"/>
  <c r="BU111" i="1"/>
  <c r="BV111" i="1"/>
  <c r="BU112" i="1"/>
  <c r="BV112" i="1"/>
  <c r="BU113" i="1"/>
  <c r="BV113" i="1"/>
  <c r="BU114" i="1"/>
  <c r="BV114" i="1"/>
  <c r="BU115" i="1"/>
  <c r="BV115" i="1"/>
  <c r="BU116" i="1"/>
  <c r="BV116" i="1"/>
  <c r="BU117" i="1"/>
  <c r="BV117" i="1"/>
  <c r="BU118" i="1"/>
  <c r="BV118" i="1"/>
  <c r="BU119" i="1"/>
  <c r="BV119" i="1"/>
  <c r="BU120" i="1"/>
  <c r="BV120" i="1"/>
  <c r="BU121" i="1"/>
  <c r="BV121" i="1"/>
  <c r="BU122" i="1"/>
  <c r="BV122" i="1"/>
  <c r="BV123" i="1"/>
  <c r="BU123" i="1"/>
  <c r="BU124" i="1"/>
  <c r="BV124" i="1"/>
  <c r="BV125" i="1"/>
  <c r="BU125" i="1"/>
  <c r="BV11" i="2"/>
  <c r="BU11" i="2"/>
  <c r="BV22" i="2"/>
  <c r="BU22" i="2"/>
  <c r="BV23" i="2"/>
  <c r="BU23" i="2"/>
  <c r="BU26" i="2"/>
  <c r="BV26" i="2"/>
  <c r="BV27" i="2"/>
  <c r="BU27" i="2"/>
  <c r="BV36" i="2"/>
  <c r="BU36" i="2"/>
  <c r="BV63" i="2"/>
  <c r="BU63" i="2"/>
  <c r="BV64" i="2"/>
  <c r="BU64" i="2"/>
  <c r="BV77" i="2"/>
  <c r="BU77" i="2"/>
  <c r="BV81" i="2"/>
  <c r="BU81" i="2"/>
  <c r="BV82" i="2"/>
  <c r="BU82" i="2"/>
  <c r="BV123" i="2"/>
  <c r="BU123" i="2"/>
  <c r="BU124" i="2"/>
  <c r="BV124" i="2"/>
  <c r="BU125" i="2"/>
  <c r="BV125" i="2"/>
  <c r="BU112" i="2"/>
  <c r="BV112" i="2"/>
  <c r="BV114" i="2"/>
  <c r="BU114" i="2"/>
  <c r="BU126" i="2"/>
  <c r="BV126" i="2"/>
  <c r="BV115" i="2"/>
  <c r="BU115" i="2"/>
  <c r="BV116" i="2"/>
  <c r="BU116" i="2"/>
  <c r="BU117" i="2"/>
  <c r="BV117" i="2"/>
  <c r="BU119" i="2"/>
  <c r="BV119" i="2"/>
  <c r="BU120" i="2"/>
  <c r="BV120" i="2"/>
  <c r="BU127" i="2"/>
  <c r="BV127" i="2"/>
  <c r="BV108" i="2"/>
  <c r="BU108" i="2"/>
  <c r="BV128" i="2"/>
  <c r="BU128" i="2"/>
  <c r="BU129" i="2"/>
  <c r="BV129" i="2"/>
  <c r="BV133" i="2"/>
  <c r="BU133" i="2"/>
  <c r="BV134" i="2"/>
  <c r="BU134" i="2"/>
  <c r="BU135" i="2"/>
  <c r="BV135" i="2"/>
  <c r="BU136" i="2"/>
  <c r="BV136" i="2"/>
  <c r="BU137" i="2"/>
  <c r="BV137" i="2"/>
  <c r="BU138" i="2"/>
  <c r="BV138" i="2"/>
  <c r="BV139" i="2"/>
  <c r="BU139" i="2"/>
  <c r="BV141" i="2"/>
  <c r="BU141" i="2"/>
  <c r="BV142" i="2"/>
  <c r="BU142" i="2"/>
  <c r="BV143" i="2"/>
  <c r="BU143" i="2"/>
  <c r="BU144" i="2"/>
  <c r="BV144" i="2"/>
  <c r="BV145" i="2"/>
  <c r="BU145" i="2"/>
  <c r="BV146" i="2"/>
  <c r="BU146" i="2"/>
  <c r="BV147" i="2"/>
  <c r="BU147" i="2"/>
  <c r="BV148" i="2"/>
  <c r="BU148" i="2"/>
  <c r="BV149" i="2"/>
  <c r="BU149" i="2"/>
  <c r="BU150" i="2"/>
  <c r="BV150" i="2"/>
  <c r="BV151" i="2"/>
  <c r="BU151" i="2"/>
  <c r="BV152" i="2"/>
  <c r="BU152" i="2"/>
  <c r="BV153" i="2"/>
  <c r="BU153" i="2"/>
  <c r="BV154" i="2"/>
  <c r="BU154" i="2"/>
  <c r="BV155" i="2"/>
  <c r="BU155" i="2"/>
  <c r="BV156" i="2"/>
  <c r="BU156" i="2"/>
  <c r="BU157" i="2"/>
  <c r="BV157" i="2"/>
  <c r="BU158" i="2"/>
  <c r="BV158" i="2"/>
  <c r="BU159" i="2"/>
  <c r="BV159" i="2"/>
  <c r="BU160" i="2"/>
  <c r="BV160" i="2"/>
  <c r="BU161" i="2"/>
  <c r="BV161" i="2"/>
  <c r="BU162" i="2"/>
  <c r="BV162" i="2"/>
  <c r="BU163" i="2"/>
  <c r="BV163" i="2"/>
  <c r="BU164" i="2"/>
  <c r="BV164" i="2"/>
  <c r="BU165" i="2"/>
  <c r="BV165" i="2"/>
  <c r="BV166" i="2"/>
  <c r="BU166" i="2"/>
  <c r="BV167" i="2"/>
  <c r="BU167" i="2"/>
  <c r="BV168" i="2"/>
  <c r="BU168" i="2"/>
  <c r="BV169" i="2"/>
  <c r="BU169" i="2"/>
  <c r="BV170" i="2"/>
  <c r="BU170" i="2"/>
  <c r="BU171" i="2"/>
  <c r="BV171" i="2"/>
  <c r="BU172" i="2"/>
  <c r="BV172" i="2"/>
  <c r="BV173" i="2"/>
  <c r="BU173" i="2"/>
  <c r="BU174" i="2"/>
  <c r="BV174" i="2"/>
  <c r="BU175" i="2"/>
  <c r="BV175" i="2"/>
  <c r="BV176" i="2"/>
  <c r="BU176" i="2"/>
  <c r="BU177" i="2"/>
  <c r="BV177" i="2"/>
  <c r="BU178" i="2"/>
  <c r="BV178" i="2"/>
  <c r="BU179" i="2"/>
  <c r="BV179" i="2"/>
  <c r="BV180" i="2"/>
  <c r="BU180" i="2"/>
  <c r="BV181" i="2"/>
  <c r="BU181" i="2"/>
  <c r="BV182" i="2"/>
  <c r="BU182" i="2"/>
  <c r="BV183" i="2"/>
  <c r="BU183" i="2"/>
  <c r="BV184" i="2"/>
  <c r="BU184" i="2"/>
  <c r="BU185" i="2"/>
  <c r="BV185" i="2"/>
  <c r="BV186" i="2"/>
  <c r="BU186" i="2"/>
  <c r="BU187" i="2"/>
  <c r="BV187" i="2"/>
  <c r="BV188" i="2"/>
  <c r="BU188" i="2"/>
  <c r="BV189" i="2"/>
  <c r="BU189" i="2"/>
  <c r="BU190" i="2"/>
  <c r="BV190" i="2"/>
  <c r="BU191" i="2"/>
  <c r="BV191" i="2"/>
  <c r="BV192" i="2"/>
  <c r="BU192" i="2"/>
  <c r="BV193" i="2"/>
  <c r="BU193" i="2"/>
  <c r="BU194" i="2"/>
  <c r="BV194" i="2"/>
  <c r="BU195" i="2"/>
  <c r="BV195" i="2"/>
  <c r="BU196" i="2"/>
  <c r="BV196" i="2"/>
  <c r="BU197" i="2"/>
  <c r="BV197" i="2"/>
  <c r="BU198" i="2"/>
  <c r="BV198" i="2"/>
  <c r="BV199" i="2"/>
  <c r="BU199" i="2"/>
  <c r="AC6" i="5"/>
  <c r="AB6" i="5"/>
  <c r="AC40" i="5"/>
  <c r="AB40" i="5"/>
  <c r="AC41" i="5"/>
  <c r="AB41" i="5"/>
  <c r="AC43" i="5"/>
  <c r="AB43" i="5"/>
  <c r="AC44" i="5"/>
  <c r="AB44" i="5"/>
  <c r="AC45" i="5"/>
  <c r="AB45" i="5"/>
  <c r="AB49" i="5"/>
  <c r="AC49" i="5"/>
  <c r="AC52" i="5"/>
  <c r="AB52" i="5"/>
  <c r="AB54" i="5"/>
  <c r="AC54" i="5"/>
  <c r="AB55" i="5"/>
  <c r="AC55" i="5"/>
  <c r="AC56" i="5"/>
  <c r="AB56" i="5"/>
  <c r="AB57" i="5"/>
  <c r="AC57" i="5"/>
  <c r="AC58" i="5"/>
  <c r="AB58" i="5"/>
  <c r="AC59" i="5"/>
  <c r="AB59" i="5"/>
  <c r="AC63" i="5"/>
  <c r="AB63" i="5"/>
  <c r="AB64" i="5"/>
  <c r="AC64" i="5"/>
  <c r="AB65" i="5"/>
  <c r="AC65" i="5"/>
  <c r="AB66" i="5"/>
  <c r="AC66" i="5"/>
  <c r="AB67" i="5"/>
  <c r="AC67" i="5"/>
  <c r="AB68" i="5"/>
  <c r="AC68" i="5"/>
  <c r="AC69" i="5"/>
  <c r="AB69" i="5"/>
  <c r="AC71" i="5"/>
  <c r="AB71" i="5"/>
  <c r="AC72" i="5"/>
  <c r="AB72" i="5"/>
  <c r="AC73" i="5"/>
  <c r="AB73" i="5"/>
  <c r="AB74" i="5"/>
  <c r="AC74" i="5"/>
  <c r="AB75" i="5"/>
  <c r="AC75" i="5"/>
  <c r="AB76" i="5"/>
  <c r="AC76" i="5"/>
  <c r="AB77" i="5"/>
  <c r="AC77" i="5"/>
  <c r="AB78" i="5"/>
  <c r="AC78" i="5"/>
  <c r="AB79" i="5"/>
  <c r="AC79" i="5"/>
  <c r="AC80" i="5"/>
  <c r="AB80" i="5"/>
  <c r="AC81" i="5"/>
  <c r="AB81" i="5"/>
  <c r="AB82" i="5"/>
  <c r="AC82" i="5"/>
  <c r="AB83" i="5"/>
  <c r="AC83" i="5"/>
  <c r="AB84" i="5"/>
  <c r="AC84" i="5"/>
  <c r="AB85" i="5"/>
  <c r="AC85" i="5"/>
  <c r="AC86" i="5"/>
  <c r="AB86" i="5"/>
  <c r="AC87" i="5"/>
  <c r="AB87" i="5"/>
  <c r="AC88" i="5"/>
  <c r="AB88" i="5"/>
  <c r="AC89" i="5"/>
  <c r="AB89" i="5"/>
  <c r="AB90" i="5"/>
  <c r="AC90" i="5"/>
  <c r="AB91" i="5"/>
  <c r="AC91" i="5"/>
  <c r="AC92" i="5"/>
  <c r="AB92" i="5"/>
  <c r="AB93" i="5"/>
  <c r="AC93" i="5"/>
  <c r="AB94" i="5"/>
  <c r="AC94" i="5"/>
  <c r="AB95" i="5"/>
  <c r="AC95" i="5"/>
  <c r="AB96" i="5"/>
  <c r="AC96" i="5"/>
  <c r="AC97" i="5"/>
  <c r="AB97" i="5"/>
  <c r="AB98" i="5"/>
  <c r="AC98" i="5"/>
  <c r="AB99" i="5"/>
  <c r="AC99" i="5"/>
  <c r="AB100" i="5"/>
  <c r="AC100" i="5"/>
  <c r="AB101" i="5"/>
  <c r="AC101" i="5"/>
  <c r="AB102" i="5"/>
  <c r="AC102" i="5"/>
  <c r="AB103" i="5"/>
  <c r="AC103" i="5"/>
  <c r="AB104" i="5"/>
  <c r="AC104" i="5"/>
  <c r="AB105" i="5"/>
  <c r="AC105" i="5"/>
  <c r="AB106" i="5"/>
  <c r="AC106" i="5"/>
  <c r="AB107" i="5"/>
  <c r="AC107" i="5"/>
  <c r="AB108" i="5"/>
  <c r="AC108" i="5"/>
  <c r="AC109" i="5"/>
  <c r="AB109" i="5"/>
  <c r="AC110" i="5"/>
  <c r="AB110" i="5"/>
  <c r="AC111" i="5"/>
  <c r="AB111" i="5"/>
  <c r="AB112" i="5"/>
  <c r="AC112" i="5"/>
  <c r="AB113" i="5"/>
  <c r="AC113" i="5"/>
  <c r="AB114" i="5"/>
  <c r="AC114" i="5"/>
  <c r="AC115" i="5"/>
  <c r="AB115" i="5"/>
  <c r="AB116" i="5"/>
  <c r="AC116" i="5"/>
  <c r="AC117" i="5"/>
  <c r="AB117" i="5"/>
  <c r="AB118" i="5"/>
  <c r="AC118" i="5"/>
  <c r="AC119" i="5"/>
  <c r="AB119" i="5"/>
  <c r="AC120" i="5"/>
  <c r="AB120" i="5"/>
  <c r="AC121" i="5"/>
  <c r="AB121" i="5"/>
  <c r="AB122" i="5"/>
  <c r="AC122" i="5"/>
  <c r="AB123" i="5"/>
  <c r="AC123" i="5"/>
  <c r="AB124" i="5"/>
  <c r="AC124" i="5"/>
  <c r="AB125" i="5"/>
  <c r="AC125" i="5"/>
  <c r="AB126" i="5"/>
  <c r="AC126" i="5"/>
  <c r="AC127" i="5"/>
  <c r="AB127" i="5"/>
  <c r="AC128" i="5"/>
  <c r="AB128" i="5"/>
  <c r="AB129" i="5"/>
  <c r="AC129" i="5"/>
  <c r="AD11" i="3"/>
  <c r="AD22" i="3"/>
  <c r="AD23" i="3"/>
  <c r="AD26" i="3"/>
  <c r="AD27" i="3"/>
  <c r="AD36" i="3"/>
  <c r="AD60" i="3"/>
  <c r="AD61" i="3"/>
  <c r="AD74" i="3"/>
  <c r="AD102" i="3"/>
  <c r="AD105" i="3"/>
  <c r="AD106" i="3"/>
  <c r="AD100" i="3"/>
  <c r="AD107" i="3"/>
  <c r="AD108" i="3"/>
  <c r="AD101" i="3"/>
  <c r="AD109" i="3"/>
  <c r="AD111" i="3"/>
  <c r="AD112" i="3"/>
  <c r="AD113" i="3"/>
  <c r="AD114" i="3"/>
  <c r="AD115" i="3"/>
  <c r="AD116" i="3"/>
  <c r="AD120" i="3"/>
  <c r="AD121" i="3"/>
  <c r="AD122" i="3"/>
  <c r="AD123" i="3"/>
  <c r="AD124" i="3"/>
  <c r="AD125" i="3"/>
  <c r="AD126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1124" i="8"/>
  <c r="F60" i="4"/>
  <c r="H24" i="4"/>
  <c r="G26" i="3"/>
  <c r="G27" i="3"/>
  <c r="F2" i="2"/>
  <c r="F2" i="9" s="1"/>
  <c r="CK195" i="4"/>
  <c r="CK194" i="4"/>
  <c r="CK193" i="4"/>
  <c r="CK192" i="4"/>
  <c r="CK191" i="4"/>
  <c r="CK190" i="4"/>
  <c r="CK189" i="4"/>
  <c r="CK188" i="4"/>
  <c r="CK187" i="4"/>
  <c r="CK186" i="4"/>
  <c r="CK185" i="4"/>
  <c r="CK184" i="4"/>
  <c r="CK183" i="4"/>
  <c r="CK182" i="4"/>
  <c r="CK181" i="4"/>
  <c r="CK180" i="4"/>
  <c r="CK179" i="4"/>
  <c r="CK178" i="4"/>
  <c r="CK177" i="4"/>
  <c r="CK176" i="4"/>
  <c r="CK175" i="4"/>
  <c r="CK174" i="4"/>
  <c r="CK173" i="4"/>
  <c r="CK172" i="4"/>
  <c r="CK171" i="4"/>
  <c r="CK170" i="4"/>
  <c r="CK169" i="4"/>
  <c r="CK168" i="4"/>
  <c r="CK167" i="4"/>
  <c r="CK166" i="4"/>
  <c r="CK165" i="4"/>
  <c r="CK164" i="4"/>
  <c r="CK163" i="4"/>
  <c r="CK162" i="4"/>
  <c r="CK161" i="4"/>
  <c r="CK160" i="4"/>
  <c r="CK159" i="4"/>
  <c r="CK158" i="4"/>
  <c r="CK157" i="4"/>
  <c r="CK156" i="4"/>
  <c r="CK155" i="4"/>
  <c r="CK154" i="4"/>
  <c r="CK153" i="4"/>
  <c r="CK152" i="4"/>
  <c r="CK151" i="4"/>
  <c r="CK150" i="4"/>
  <c r="CK149" i="4"/>
  <c r="CK148" i="4"/>
  <c r="CK147" i="4"/>
  <c r="CK146" i="4"/>
  <c r="CK145" i="4"/>
  <c r="CK144" i="4"/>
  <c r="CK143" i="4"/>
  <c r="CK142" i="4"/>
  <c r="CK141" i="4"/>
  <c r="CK140" i="4"/>
  <c r="CK139" i="4"/>
  <c r="CK138" i="4"/>
  <c r="CK133" i="4"/>
  <c r="CK132" i="4"/>
  <c r="CK131" i="4"/>
  <c r="CK137" i="4"/>
  <c r="CK130" i="4"/>
  <c r="CK129" i="4"/>
  <c r="CK128" i="4"/>
  <c r="CK127" i="4"/>
  <c r="CK117" i="4"/>
  <c r="CK126" i="4"/>
  <c r="CK125" i="4"/>
  <c r="CK123" i="4"/>
  <c r="CK81" i="4"/>
  <c r="CK74" i="4"/>
  <c r="CK62" i="4"/>
  <c r="CK61" i="4"/>
  <c r="CK36" i="4"/>
  <c r="CK27" i="4"/>
  <c r="CK26" i="4"/>
  <c r="CK23" i="4"/>
  <c r="CK22" i="4"/>
  <c r="CK11" i="4"/>
  <c r="CJ195" i="4"/>
  <c r="CJ194" i="4"/>
  <c r="CJ193" i="4"/>
  <c r="CJ192" i="4"/>
  <c r="CJ191" i="4"/>
  <c r="CJ190" i="4"/>
  <c r="CJ189" i="4"/>
  <c r="CJ188" i="4"/>
  <c r="CJ187" i="4"/>
  <c r="CJ186" i="4"/>
  <c r="CJ185" i="4"/>
  <c r="CJ184" i="4"/>
  <c r="CJ183" i="4"/>
  <c r="CJ182" i="4"/>
  <c r="CJ181" i="4"/>
  <c r="CJ180" i="4"/>
  <c r="CJ179" i="4"/>
  <c r="CJ178" i="4"/>
  <c r="CJ177" i="4"/>
  <c r="CJ176" i="4"/>
  <c r="CJ175" i="4"/>
  <c r="CJ174" i="4"/>
  <c r="CJ173" i="4"/>
  <c r="CJ172" i="4"/>
  <c r="CJ171" i="4"/>
  <c r="CJ170" i="4"/>
  <c r="CJ169" i="4"/>
  <c r="CJ168" i="4"/>
  <c r="CJ167" i="4"/>
  <c r="CJ166" i="4"/>
  <c r="CJ165" i="4"/>
  <c r="CJ164" i="4"/>
  <c r="CJ163" i="4"/>
  <c r="CJ162" i="4"/>
  <c r="CJ161" i="4"/>
  <c r="CJ160" i="4"/>
  <c r="CJ159" i="4"/>
  <c r="CJ158" i="4"/>
  <c r="CJ157" i="4"/>
  <c r="CJ156" i="4"/>
  <c r="CJ155" i="4"/>
  <c r="CJ154" i="4"/>
  <c r="CJ153" i="4"/>
  <c r="CJ152" i="4"/>
  <c r="CJ151" i="4"/>
  <c r="CJ150" i="4"/>
  <c r="CJ149" i="4"/>
  <c r="CJ148" i="4"/>
  <c r="CJ147" i="4"/>
  <c r="CJ146" i="4"/>
  <c r="CJ145" i="4"/>
  <c r="CJ144" i="4"/>
  <c r="CJ143" i="4"/>
  <c r="CJ142" i="4"/>
  <c r="CJ141" i="4"/>
  <c r="CJ140" i="4"/>
  <c r="CJ139" i="4"/>
  <c r="CJ138" i="4"/>
  <c r="CJ133" i="4"/>
  <c r="CJ132" i="4"/>
  <c r="CJ131" i="4"/>
  <c r="CJ137" i="4"/>
  <c r="CJ130" i="4"/>
  <c r="CJ129" i="4"/>
  <c r="CJ128" i="4"/>
  <c r="CJ127" i="4"/>
  <c r="CJ117" i="4"/>
  <c r="CJ126" i="4"/>
  <c r="CJ125" i="4"/>
  <c r="CJ123" i="4"/>
  <c r="CJ81" i="4"/>
  <c r="CJ74" i="4"/>
  <c r="CJ62" i="4"/>
  <c r="CJ61" i="4"/>
  <c r="CJ36" i="4"/>
  <c r="CJ27" i="4"/>
  <c r="CJ26" i="4"/>
  <c r="CJ23" i="4"/>
  <c r="CJ22" i="4"/>
  <c r="CJ11" i="4"/>
  <c r="CI195" i="4"/>
  <c r="CI194" i="4"/>
  <c r="CI193" i="4"/>
  <c r="CI192" i="4"/>
  <c r="CI191" i="4"/>
  <c r="CI190" i="4"/>
  <c r="CI189" i="4"/>
  <c r="CI188" i="4"/>
  <c r="CI187" i="4"/>
  <c r="CI186" i="4"/>
  <c r="CI185" i="4"/>
  <c r="CI184" i="4"/>
  <c r="CI183" i="4"/>
  <c r="CI182" i="4"/>
  <c r="CI181" i="4"/>
  <c r="CI180" i="4"/>
  <c r="CI179" i="4"/>
  <c r="CI178" i="4"/>
  <c r="CI177" i="4"/>
  <c r="CI176" i="4"/>
  <c r="CI175" i="4"/>
  <c r="CI174" i="4"/>
  <c r="CI173" i="4"/>
  <c r="CI172" i="4"/>
  <c r="CI171" i="4"/>
  <c r="CI170" i="4"/>
  <c r="CI169" i="4"/>
  <c r="CI168" i="4"/>
  <c r="CI167" i="4"/>
  <c r="CI166" i="4"/>
  <c r="CI165" i="4"/>
  <c r="CI164" i="4"/>
  <c r="CI163" i="4"/>
  <c r="CI162" i="4"/>
  <c r="CI161" i="4"/>
  <c r="CI160" i="4"/>
  <c r="CI159" i="4"/>
  <c r="CI158" i="4"/>
  <c r="CI157" i="4"/>
  <c r="CI156" i="4"/>
  <c r="CI155" i="4"/>
  <c r="CI154" i="4"/>
  <c r="CI153" i="4"/>
  <c r="CI152" i="4"/>
  <c r="CI151" i="4"/>
  <c r="CI150" i="4"/>
  <c r="CI149" i="4"/>
  <c r="CI148" i="4"/>
  <c r="CI147" i="4"/>
  <c r="CI146" i="4"/>
  <c r="CI145" i="4"/>
  <c r="CI144" i="4"/>
  <c r="CI143" i="4"/>
  <c r="CI142" i="4"/>
  <c r="CI141" i="4"/>
  <c r="CI140" i="4"/>
  <c r="CI139" i="4"/>
  <c r="CI138" i="4"/>
  <c r="CI133" i="4"/>
  <c r="CI132" i="4"/>
  <c r="CI131" i="4"/>
  <c r="CI137" i="4"/>
  <c r="CI130" i="4"/>
  <c r="CI129" i="4"/>
  <c r="CI128" i="4"/>
  <c r="CI127" i="4"/>
  <c r="CI117" i="4"/>
  <c r="CI126" i="4"/>
  <c r="CI125" i="4"/>
  <c r="CI123" i="4"/>
  <c r="CI81" i="4"/>
  <c r="CI74" i="4"/>
  <c r="CI62" i="4"/>
  <c r="CI61" i="4"/>
  <c r="CI36" i="4"/>
  <c r="CI27" i="4"/>
  <c r="CI26" i="4"/>
  <c r="CI23" i="4"/>
  <c r="CI22" i="4"/>
  <c r="CI11" i="4"/>
  <c r="M6" i="5"/>
  <c r="M40" i="5"/>
  <c r="M41" i="5"/>
  <c r="M43" i="5"/>
  <c r="M44" i="5"/>
  <c r="M45" i="5"/>
  <c r="M49" i="5"/>
  <c r="M52" i="5"/>
  <c r="M54" i="5"/>
  <c r="M55" i="5"/>
  <c r="M56" i="5"/>
  <c r="M57" i="5"/>
  <c r="M58" i="5"/>
  <c r="M59" i="5"/>
  <c r="M63" i="5"/>
  <c r="M64" i="5"/>
  <c r="M65" i="5"/>
  <c r="M66" i="5"/>
  <c r="M67" i="5"/>
  <c r="M68" i="5"/>
  <c r="M69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O11" i="3"/>
  <c r="O22" i="3"/>
  <c r="O23" i="3"/>
  <c r="O26" i="3"/>
  <c r="O27" i="3"/>
  <c r="O36" i="3"/>
  <c r="O60" i="3"/>
  <c r="O61" i="3"/>
  <c r="O74" i="3"/>
  <c r="O102" i="3"/>
  <c r="O105" i="3"/>
  <c r="O106" i="3"/>
  <c r="O100" i="3"/>
  <c r="O107" i="3"/>
  <c r="O108" i="3"/>
  <c r="O101" i="3"/>
  <c r="O109" i="3"/>
  <c r="O111" i="3"/>
  <c r="O112" i="3"/>
  <c r="O113" i="3"/>
  <c r="O114" i="3"/>
  <c r="O115" i="3"/>
  <c r="O116" i="3"/>
  <c r="O120" i="3"/>
  <c r="O121" i="3"/>
  <c r="O122" i="3"/>
  <c r="O123" i="3"/>
  <c r="O124" i="3"/>
  <c r="O125" i="3"/>
  <c r="O126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BF48" i="1"/>
  <c r="BF49" i="1"/>
  <c r="BF51" i="1"/>
  <c r="BF52" i="1"/>
  <c r="BF53" i="1"/>
  <c r="BF54" i="1"/>
  <c r="BF55" i="1"/>
  <c r="BF57" i="1"/>
  <c r="BF58" i="1"/>
  <c r="BF59" i="1"/>
  <c r="BF60" i="1"/>
  <c r="BF61" i="1"/>
  <c r="BF62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1" i="2"/>
  <c r="BF22" i="2"/>
  <c r="BF23" i="2"/>
  <c r="BF26" i="2"/>
  <c r="BF27" i="2"/>
  <c r="BF36" i="2"/>
  <c r="BF63" i="2"/>
  <c r="BF64" i="2"/>
  <c r="BF77" i="2"/>
  <c r="BF81" i="2"/>
  <c r="BF82" i="2"/>
  <c r="BF123" i="2"/>
  <c r="BF124" i="2"/>
  <c r="BF125" i="2"/>
  <c r="BF112" i="2"/>
  <c r="BF114" i="2"/>
  <c r="BF126" i="2"/>
  <c r="BF115" i="2"/>
  <c r="BF116" i="2"/>
  <c r="BF117" i="2"/>
  <c r="BF119" i="2"/>
  <c r="BF120" i="2"/>
  <c r="BF127" i="2"/>
  <c r="BF108" i="2"/>
  <c r="BF128" i="2"/>
  <c r="BF129" i="2"/>
  <c r="BF133" i="2"/>
  <c r="BF134" i="2"/>
  <c r="BF135" i="2"/>
  <c r="BF136" i="2"/>
  <c r="BF137" i="2"/>
  <c r="BF138" i="2"/>
  <c r="BF139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1114" i="8"/>
  <c r="A1114" i="8" s="1"/>
  <c r="B1113" i="8"/>
  <c r="A1113" i="8" s="1"/>
  <c r="B1112" i="8"/>
  <c r="A1112" i="8" s="1"/>
  <c r="B1111" i="8"/>
  <c r="A1111" i="8" s="1"/>
  <c r="B1110" i="8"/>
  <c r="A1110" i="8" s="1"/>
  <c r="B1109" i="8"/>
  <c r="A1109" i="8" s="1"/>
  <c r="B1108" i="8"/>
  <c r="A1108" i="8" s="1"/>
  <c r="B1107" i="8"/>
  <c r="A1107" i="8" s="1"/>
  <c r="B1106" i="8"/>
  <c r="A1106" i="8" s="1"/>
  <c r="B1105" i="8"/>
  <c r="A1105" i="8" s="1"/>
  <c r="B1104" i="8"/>
  <c r="A1104" i="8" s="1"/>
  <c r="B1103" i="8"/>
  <c r="B1102" i="8"/>
  <c r="A1102" i="8" s="1"/>
  <c r="B1101" i="8"/>
  <c r="A1101" i="8" s="1"/>
  <c r="B1100" i="8"/>
  <c r="A1100" i="8" s="1"/>
  <c r="B1099" i="8"/>
  <c r="A1099" i="8" s="1"/>
  <c r="B1098" i="8"/>
  <c r="A1098" i="8" s="1"/>
  <c r="B1097" i="8"/>
  <c r="A1097" i="8" s="1"/>
  <c r="B1096" i="8"/>
  <c r="A1096" i="8" s="1"/>
  <c r="B1095" i="8"/>
  <c r="A1095" i="8" s="1"/>
  <c r="B1094" i="8"/>
  <c r="A1094" i="8" s="1"/>
  <c r="B1093" i="8"/>
  <c r="A1093" i="8" s="1"/>
  <c r="B1092" i="8"/>
  <c r="A1092" i="8" s="1"/>
  <c r="B1091" i="8"/>
  <c r="A1091" i="8" s="1"/>
  <c r="B1090" i="8"/>
  <c r="A1090" i="8" s="1"/>
  <c r="B1089" i="8"/>
  <c r="A1089" i="8" s="1"/>
  <c r="B1088" i="8"/>
  <c r="A1088" i="8" s="1"/>
  <c r="B1087" i="8"/>
  <c r="A1087" i="8" s="1"/>
  <c r="B1086" i="8"/>
  <c r="A1086" i="8" s="1"/>
  <c r="B1085" i="8"/>
  <c r="A1085" i="8" s="1"/>
  <c r="B1084" i="8"/>
  <c r="A1084" i="8" s="1"/>
  <c r="B1083" i="8"/>
  <c r="A1083" i="8" s="1"/>
  <c r="B1082" i="8"/>
  <c r="A1082" i="8" s="1"/>
  <c r="B1081" i="8"/>
  <c r="A1081" i="8" s="1"/>
  <c r="B1080" i="8"/>
  <c r="A1080" i="8" s="1"/>
  <c r="B1079" i="8"/>
  <c r="A1079" i="8" s="1"/>
  <c r="B1078" i="8"/>
  <c r="A1078" i="8" s="1"/>
  <c r="B1077" i="8"/>
  <c r="A1077" i="8" s="1"/>
  <c r="B1076" i="8"/>
  <c r="A1076" i="8" s="1"/>
  <c r="B1075" i="8"/>
  <c r="A1075" i="8" s="1"/>
  <c r="B1074" i="8"/>
  <c r="A1074" i="8" s="1"/>
  <c r="B1073" i="8"/>
  <c r="A1073" i="8" s="1"/>
  <c r="B1072" i="8"/>
  <c r="A1072" i="8" s="1"/>
  <c r="B1071" i="8"/>
  <c r="A1071" i="8" s="1"/>
  <c r="B1070" i="8"/>
  <c r="A1070" i="8" s="1"/>
  <c r="B1069" i="8"/>
  <c r="A1069" i="8" s="1"/>
  <c r="B1068" i="8"/>
  <c r="A1068" i="8" s="1"/>
  <c r="B1067" i="8"/>
  <c r="A1067" i="8" s="1"/>
  <c r="B1066" i="8"/>
  <c r="A1066" i="8" s="1"/>
  <c r="B1065" i="8"/>
  <c r="A1065" i="8" s="1"/>
  <c r="B1064" i="8"/>
  <c r="A1064" i="8" s="1"/>
  <c r="B1063" i="8"/>
  <c r="A1063" i="8" s="1"/>
  <c r="B1062" i="8"/>
  <c r="A1062" i="8" s="1"/>
  <c r="B1061" i="8"/>
  <c r="A1061" i="8" s="1"/>
  <c r="B1060" i="8"/>
  <c r="A1060" i="8" s="1"/>
  <c r="B1059" i="8"/>
  <c r="A1059" i="8" s="1"/>
  <c r="B1058" i="8"/>
  <c r="B1057" i="8"/>
  <c r="A1057" i="8" s="1"/>
  <c r="B1056" i="8"/>
  <c r="A1056" i="8" s="1"/>
  <c r="B1055" i="8"/>
  <c r="A1055" i="8" s="1"/>
  <c r="B1054" i="8"/>
  <c r="A1054" i="8" s="1"/>
  <c r="B1053" i="8"/>
  <c r="A1053" i="8" s="1"/>
  <c r="B1052" i="8"/>
  <c r="A1052" i="8" s="1"/>
  <c r="B1051" i="8"/>
  <c r="A1051" i="8" s="1"/>
  <c r="B1050" i="8"/>
  <c r="A1050" i="8" s="1"/>
  <c r="B1049" i="8"/>
  <c r="A1049" i="8" s="1"/>
  <c r="B1048" i="8"/>
  <c r="A1048" i="8" s="1"/>
  <c r="B1047" i="8"/>
  <c r="A1047" i="8" s="1"/>
  <c r="B1046" i="8"/>
  <c r="A1046" i="8" s="1"/>
  <c r="B1045" i="8"/>
  <c r="A1045" i="8" s="1"/>
  <c r="B1044" i="8"/>
  <c r="A1044" i="8" s="1"/>
  <c r="B1043" i="8"/>
  <c r="A1043" i="8" s="1"/>
  <c r="B1042" i="8"/>
  <c r="A1042" i="8" s="1"/>
  <c r="B1041" i="8"/>
  <c r="A1041" i="8" s="1"/>
  <c r="B1040" i="8"/>
  <c r="A1040" i="8" s="1"/>
  <c r="B1039" i="8"/>
  <c r="A1039" i="8" s="1"/>
  <c r="B1038" i="8"/>
  <c r="A1038" i="8" s="1"/>
  <c r="B1037" i="8"/>
  <c r="A1037" i="8" s="1"/>
  <c r="B1036" i="8"/>
  <c r="A1036" i="8" s="1"/>
  <c r="B1035" i="8"/>
  <c r="A1035" i="8" s="1"/>
  <c r="B1034" i="8"/>
  <c r="A1034" i="8" s="1"/>
  <c r="B1033" i="8"/>
  <c r="A1033" i="8" s="1"/>
  <c r="B1032" i="8"/>
  <c r="A1032" i="8" s="1"/>
  <c r="B1031" i="8"/>
  <c r="A1031" i="8" s="1"/>
  <c r="B1030" i="8"/>
  <c r="A1030" i="8" s="1"/>
  <c r="B1029" i="8"/>
  <c r="A1029" i="8" s="1"/>
  <c r="B1028" i="8"/>
  <c r="A1028" i="8" s="1"/>
  <c r="B1027" i="8"/>
  <c r="A1027" i="8" s="1"/>
  <c r="B1026" i="8"/>
  <c r="A1026" i="8" s="1"/>
  <c r="B1025" i="8"/>
  <c r="A1025" i="8" s="1"/>
  <c r="B1024" i="8"/>
  <c r="A1024" i="8" s="1"/>
  <c r="B1023" i="8"/>
  <c r="A1023" i="8" s="1"/>
  <c r="B1022" i="8"/>
  <c r="A1022" i="8" s="1"/>
  <c r="B1021" i="8"/>
  <c r="A1021" i="8" s="1"/>
  <c r="B1020" i="8"/>
  <c r="A1020" i="8" s="1"/>
  <c r="B1019" i="8"/>
  <c r="A1019" i="8" s="1"/>
  <c r="B1018" i="8"/>
  <c r="A1018" i="8" s="1"/>
  <c r="B1017" i="8"/>
  <c r="A1017" i="8" s="1"/>
  <c r="B1016" i="8"/>
  <c r="A1016" i="8" s="1"/>
  <c r="B1015" i="8"/>
  <c r="A1015" i="8" s="1"/>
  <c r="B1014" i="8"/>
  <c r="A1014" i="8" s="1"/>
  <c r="B1013" i="8"/>
  <c r="A1013" i="8" s="1"/>
  <c r="B1012" i="8"/>
  <c r="A1012" i="8" s="1"/>
  <c r="B1011" i="8"/>
  <c r="A1011" i="8" s="1"/>
  <c r="B1010" i="8"/>
  <c r="A1010" i="8" s="1"/>
  <c r="B1009" i="8"/>
  <c r="A1009" i="8" s="1"/>
  <c r="B1008" i="8"/>
  <c r="A1008" i="8" s="1"/>
  <c r="B1007" i="8"/>
  <c r="A1007" i="8" s="1"/>
  <c r="B1006" i="8"/>
  <c r="A1006" i="8" s="1"/>
  <c r="B1005" i="8"/>
  <c r="A1005" i="8" s="1"/>
  <c r="B1004" i="8"/>
  <c r="A1004" i="8" s="1"/>
  <c r="B1003" i="8"/>
  <c r="A1003" i="8" s="1"/>
  <c r="B1002" i="8"/>
  <c r="A1002" i="8" s="1"/>
  <c r="B1001" i="8"/>
  <c r="A1001" i="8" s="1"/>
  <c r="B1000" i="8"/>
  <c r="A1000" i="8" s="1"/>
  <c r="B999" i="8"/>
  <c r="A999" i="8" s="1"/>
  <c r="B998" i="8"/>
  <c r="A998" i="8" s="1"/>
  <c r="B997" i="8"/>
  <c r="A997" i="8" s="1"/>
  <c r="B996" i="8"/>
  <c r="A996" i="8" s="1"/>
  <c r="B995" i="8"/>
  <c r="A995" i="8" s="1"/>
  <c r="B994" i="8"/>
  <c r="A994" i="8" s="1"/>
  <c r="B993" i="8"/>
  <c r="A993" i="8" s="1"/>
  <c r="B992" i="8"/>
  <c r="A992" i="8" s="1"/>
  <c r="B991" i="8"/>
  <c r="A991" i="8" s="1"/>
  <c r="B990" i="8"/>
  <c r="A990" i="8" s="1"/>
  <c r="B989" i="8"/>
  <c r="A989" i="8" s="1"/>
  <c r="B988" i="8"/>
  <c r="A988" i="8" s="1"/>
  <c r="B987" i="8"/>
  <c r="A987" i="8" s="1"/>
  <c r="B986" i="8"/>
  <c r="A986" i="8" s="1"/>
  <c r="B985" i="8"/>
  <c r="A985" i="8" s="1"/>
  <c r="B984" i="8"/>
  <c r="A984" i="8" s="1"/>
  <c r="B983" i="8"/>
  <c r="A983" i="8" s="1"/>
  <c r="B982" i="8"/>
  <c r="B981" i="8"/>
  <c r="A981" i="8" s="1"/>
  <c r="B980" i="8"/>
  <c r="A980" i="8" s="1"/>
  <c r="B979" i="8"/>
  <c r="A979" i="8" s="1"/>
  <c r="B978" i="8"/>
  <c r="A978" i="8" s="1"/>
  <c r="B977" i="8"/>
  <c r="A977" i="8" s="1"/>
  <c r="B976" i="8"/>
  <c r="A976" i="8" s="1"/>
  <c r="B975" i="8"/>
  <c r="A975" i="8" s="1"/>
  <c r="B974" i="8"/>
  <c r="A974" i="8" s="1"/>
  <c r="B973" i="8"/>
  <c r="A973" i="8" s="1"/>
  <c r="B972" i="8"/>
  <c r="A972" i="8" s="1"/>
  <c r="B971" i="8"/>
  <c r="A971" i="8" s="1"/>
  <c r="B970" i="8"/>
  <c r="A970" i="8" s="1"/>
  <c r="B969" i="8"/>
  <c r="A969" i="8" s="1"/>
  <c r="B968" i="8"/>
  <c r="A968" i="8" s="1"/>
  <c r="B967" i="8"/>
  <c r="A967" i="8" s="1"/>
  <c r="B966" i="8"/>
  <c r="A966" i="8" s="1"/>
  <c r="B965" i="8"/>
  <c r="A965" i="8" s="1"/>
  <c r="B964" i="8"/>
  <c r="A964" i="8" s="1"/>
  <c r="B963" i="8"/>
  <c r="A963" i="8" s="1"/>
  <c r="B962" i="8"/>
  <c r="A962" i="8" s="1"/>
  <c r="B961" i="8"/>
  <c r="A961" i="8" s="1"/>
  <c r="B960" i="8"/>
  <c r="A960" i="8" s="1"/>
  <c r="B959" i="8"/>
  <c r="A959" i="8" s="1"/>
  <c r="B958" i="8"/>
  <c r="A958" i="8" s="1"/>
  <c r="B957" i="8"/>
  <c r="A957" i="8" s="1"/>
  <c r="B956" i="8"/>
  <c r="A956" i="8" s="1"/>
  <c r="B955" i="8"/>
  <c r="A955" i="8" s="1"/>
  <c r="B954" i="8"/>
  <c r="A954" i="8" s="1"/>
  <c r="B953" i="8"/>
  <c r="A953" i="8" s="1"/>
  <c r="B952" i="8"/>
  <c r="A952" i="8" s="1"/>
  <c r="B951" i="8"/>
  <c r="A951" i="8" s="1"/>
  <c r="B950" i="8"/>
  <c r="A950" i="8" s="1"/>
  <c r="B949" i="8"/>
  <c r="B948" i="8"/>
  <c r="A948" i="8" s="1"/>
  <c r="B947" i="8"/>
  <c r="A947" i="8" s="1"/>
  <c r="B946" i="8"/>
  <c r="A946" i="8" s="1"/>
  <c r="B945" i="8"/>
  <c r="A945" i="8" s="1"/>
  <c r="B944" i="8"/>
  <c r="A944" i="8" s="1"/>
  <c r="B943" i="8"/>
  <c r="A943" i="8" s="1"/>
  <c r="B942" i="8"/>
  <c r="A942" i="8" s="1"/>
  <c r="B941" i="8"/>
  <c r="A941" i="8" s="1"/>
  <c r="B940" i="8"/>
  <c r="A940" i="8" s="1"/>
  <c r="B939" i="8"/>
  <c r="A939" i="8" s="1"/>
  <c r="B938" i="8"/>
  <c r="A938" i="8" s="1"/>
  <c r="B937" i="8"/>
  <c r="A937" i="8" s="1"/>
  <c r="B936" i="8"/>
  <c r="A936" i="8" s="1"/>
  <c r="B935" i="8"/>
  <c r="A935" i="8" s="1"/>
  <c r="B934" i="8"/>
  <c r="A934" i="8" s="1"/>
  <c r="B933" i="8"/>
  <c r="A933" i="8" s="1"/>
  <c r="B932" i="8"/>
  <c r="A932" i="8" s="1"/>
  <c r="B931" i="8"/>
  <c r="A931" i="8" s="1"/>
  <c r="B930" i="8"/>
  <c r="A930" i="8" s="1"/>
  <c r="B929" i="8"/>
  <c r="A929" i="8" s="1"/>
  <c r="B928" i="8"/>
  <c r="A928" i="8" s="1"/>
  <c r="A1103" i="8"/>
  <c r="B927" i="8"/>
  <c r="V21" i="3" l="1"/>
  <c r="DG59" i="4"/>
  <c r="DP59" i="4"/>
  <c r="DO59" i="4"/>
  <c r="DN59" i="4"/>
  <c r="DL59" i="4"/>
  <c r="DM59" i="4"/>
  <c r="DN21" i="4"/>
  <c r="DO21" i="4"/>
  <c r="DP21" i="4"/>
  <c r="DL21" i="4"/>
  <c r="DM21" i="4"/>
  <c r="DG21" i="4"/>
  <c r="DG35" i="4"/>
  <c r="U35" i="9"/>
  <c r="W35" i="9"/>
  <c r="Y35" i="9"/>
  <c r="AA35" i="9"/>
  <c r="DP35" i="4"/>
  <c r="DO35" i="4"/>
  <c r="DN35" i="4"/>
  <c r="DL35" i="4"/>
  <c r="DM35" i="4"/>
  <c r="BM35" i="2"/>
  <c r="T35" i="9"/>
  <c r="V35" i="9"/>
  <c r="X35" i="9"/>
  <c r="Z35" i="9"/>
  <c r="DJ59" i="4"/>
  <c r="DI59" i="4"/>
  <c r="BO59" i="2"/>
  <c r="BN59" i="2"/>
  <c r="BM59" i="2"/>
  <c r="BL59" i="2"/>
  <c r="BQ59" i="2"/>
  <c r="BP59" i="2"/>
  <c r="BR59" i="2"/>
  <c r="BS59" i="2"/>
  <c r="X59" i="3"/>
  <c r="Y59" i="3"/>
  <c r="Z59" i="3"/>
  <c r="W59" i="3"/>
  <c r="V59" i="3"/>
  <c r="AA59" i="3"/>
  <c r="U59" i="3"/>
  <c r="AB59" i="3"/>
  <c r="AC59" i="3"/>
  <c r="DH59" i="4"/>
  <c r="DF59" i="4"/>
  <c r="BT59" i="2"/>
  <c r="BO21" i="2"/>
  <c r="Z21" i="3"/>
  <c r="DH21" i="4"/>
  <c r="X21" i="3"/>
  <c r="Y21" i="3"/>
  <c r="BP21" i="2"/>
  <c r="U21" i="3"/>
  <c r="AC21" i="3"/>
  <c r="DJ21" i="4"/>
  <c r="AA21" i="3"/>
  <c r="AB21" i="3"/>
  <c r="BT21" i="2"/>
  <c r="DF21" i="4"/>
  <c r="W21" i="3"/>
  <c r="BN21" i="2"/>
  <c r="BS21" i="2"/>
  <c r="BM21" i="2"/>
  <c r="BL21" i="2"/>
  <c r="BR21" i="2"/>
  <c r="BQ21" i="2"/>
  <c r="DI21" i="4"/>
  <c r="BO35" i="2"/>
  <c r="BR35" i="2"/>
  <c r="AC35" i="3"/>
  <c r="AB35" i="3"/>
  <c r="DI35" i="4"/>
  <c r="BT35" i="2"/>
  <c r="DJ35" i="4"/>
  <c r="AA35" i="3"/>
  <c r="U35" i="3"/>
  <c r="Y35" i="3"/>
  <c r="Z35" i="3"/>
  <c r="DF35" i="4"/>
  <c r="BP35" i="2"/>
  <c r="X35" i="3"/>
  <c r="BS35" i="2"/>
  <c r="W35" i="3"/>
  <c r="DH35" i="4"/>
  <c r="V35" i="3"/>
  <c r="BQ35" i="2"/>
  <c r="BL35" i="2"/>
  <c r="BN35" i="2"/>
  <c r="AA59" i="9"/>
  <c r="Z59" i="9"/>
  <c r="Y59" i="9"/>
  <c r="X59" i="9"/>
  <c r="W59" i="9"/>
  <c r="V59" i="9"/>
  <c r="U59" i="9"/>
  <c r="T59" i="9"/>
  <c r="S59" i="9"/>
  <c r="AA21" i="9"/>
  <c r="Z21" i="9"/>
  <c r="Y21" i="9"/>
  <c r="X21" i="9"/>
  <c r="W21" i="9"/>
  <c r="V21" i="9"/>
  <c r="U21" i="9"/>
  <c r="T21" i="9"/>
  <c r="S21" i="9"/>
  <c r="S35" i="9"/>
  <c r="DD59" i="4"/>
  <c r="DC59" i="4"/>
  <c r="DB59" i="4"/>
  <c r="DA59" i="4"/>
  <c r="CZ59" i="4"/>
  <c r="DD21" i="4"/>
  <c r="DB21" i="4"/>
  <c r="CZ21" i="4"/>
  <c r="DC21" i="4"/>
  <c r="DA21" i="4"/>
  <c r="DC35" i="4"/>
  <c r="DB35" i="4"/>
  <c r="CZ35" i="4"/>
  <c r="DD35" i="4"/>
  <c r="DA35" i="4"/>
  <c r="R59" i="9"/>
  <c r="T59" i="3"/>
  <c r="BK59" i="2"/>
  <c r="R21" i="9"/>
  <c r="T21" i="3"/>
  <c r="BK21" i="2"/>
  <c r="R35" i="9"/>
  <c r="T35" i="3"/>
  <c r="BK35" i="2"/>
  <c r="I59" i="9"/>
  <c r="Q59" i="9"/>
  <c r="CX59" i="4"/>
  <c r="L59" i="9"/>
  <c r="J59" i="9"/>
  <c r="H59" i="9"/>
  <c r="P59" i="9"/>
  <c r="M59" i="9"/>
  <c r="K59" i="9"/>
  <c r="P21" i="9"/>
  <c r="I21" i="9"/>
  <c r="L21" i="9"/>
  <c r="M21" i="9"/>
  <c r="J21" i="9"/>
  <c r="CX21" i="4"/>
  <c r="Q21" i="9"/>
  <c r="H21" i="9"/>
  <c r="K21" i="9"/>
  <c r="M35" i="9"/>
  <c r="P35" i="9"/>
  <c r="Q35" i="9"/>
  <c r="CX35" i="4"/>
  <c r="H35" i="9"/>
  <c r="I35" i="9"/>
  <c r="J35" i="9"/>
  <c r="K35" i="9"/>
  <c r="L35" i="9"/>
  <c r="S21" i="3"/>
  <c r="BJ21" i="2"/>
  <c r="CW21" i="4"/>
  <c r="CV21" i="4"/>
  <c r="CU21" i="4"/>
  <c r="CT21" i="4"/>
  <c r="R59" i="3"/>
  <c r="S59" i="3"/>
  <c r="BJ59" i="2"/>
  <c r="CW59" i="4"/>
  <c r="CV59" i="4"/>
  <c r="CU59" i="4"/>
  <c r="CT59" i="4"/>
  <c r="S35" i="3"/>
  <c r="BJ35" i="2"/>
  <c r="CW35" i="4"/>
  <c r="CV35" i="4"/>
  <c r="CU35" i="4"/>
  <c r="CT35" i="4"/>
  <c r="BI35" i="2"/>
  <c r="R35" i="3"/>
  <c r="R21" i="3"/>
  <c r="A1058" i="8"/>
  <c r="DK59" i="4" s="1"/>
  <c r="BI59" i="2"/>
  <c r="A982" i="8"/>
  <c r="DK21" i="4" s="1"/>
  <c r="BI21" i="2"/>
  <c r="CK35" i="4"/>
  <c r="CI21" i="4"/>
  <c r="CI35" i="4"/>
  <c r="CJ59" i="4"/>
  <c r="CK59" i="4"/>
  <c r="CJ21" i="4"/>
  <c r="CJ35" i="4"/>
  <c r="CK21" i="4"/>
  <c r="CI59" i="4"/>
  <c r="O35" i="3"/>
  <c r="O21" i="3"/>
  <c r="A949" i="8"/>
  <c r="DK35" i="4" s="1"/>
  <c r="O59" i="3"/>
  <c r="BF21" i="2"/>
  <c r="BF35" i="2"/>
  <c r="BF59" i="2"/>
  <c r="F2" i="5"/>
  <c r="F2" i="3"/>
  <c r="F2" i="1"/>
  <c r="AV108" i="4"/>
  <c r="AW108" i="4" s="1"/>
  <c r="BB108" i="4"/>
  <c r="ED108" i="4"/>
  <c r="EE108" i="4"/>
  <c r="EF108" i="4"/>
  <c r="EG108" i="4"/>
  <c r="L6" i="5"/>
  <c r="L40" i="5"/>
  <c r="L41" i="5"/>
  <c r="L43" i="5"/>
  <c r="L44" i="5"/>
  <c r="L45" i="5"/>
  <c r="L49" i="5"/>
  <c r="L52" i="5"/>
  <c r="L54" i="5"/>
  <c r="L55" i="5"/>
  <c r="L56" i="5"/>
  <c r="L57" i="5"/>
  <c r="L58" i="5"/>
  <c r="L59" i="5"/>
  <c r="L63" i="5"/>
  <c r="L64" i="5"/>
  <c r="L65" i="5"/>
  <c r="L66" i="5"/>
  <c r="L67" i="5"/>
  <c r="L68" i="5"/>
  <c r="L69" i="5"/>
  <c r="L71" i="5"/>
  <c r="EG146" i="4" s="1"/>
  <c r="L72" i="5"/>
  <c r="L73" i="5"/>
  <c r="EG148" i="4" s="1"/>
  <c r="L74" i="5"/>
  <c r="L75" i="5"/>
  <c r="EG150" i="4" s="1"/>
  <c r="L76" i="5"/>
  <c r="EG151" i="4" s="1"/>
  <c r="L77" i="5"/>
  <c r="EG152" i="4" s="1"/>
  <c r="L78" i="5"/>
  <c r="EG153" i="4" s="1"/>
  <c r="L79" i="5"/>
  <c r="EG154" i="4" s="1"/>
  <c r="L80" i="5"/>
  <c r="EG155" i="4" s="1"/>
  <c r="L81" i="5"/>
  <c r="EG156" i="4" s="1"/>
  <c r="L82" i="5"/>
  <c r="EG157" i="4" s="1"/>
  <c r="L83" i="5"/>
  <c r="L84" i="5"/>
  <c r="EG159" i="4" s="1"/>
  <c r="L85" i="5"/>
  <c r="EG160" i="4" s="1"/>
  <c r="L86" i="5"/>
  <c r="L87" i="5"/>
  <c r="L88" i="5"/>
  <c r="L89" i="5"/>
  <c r="L90" i="5"/>
  <c r="EG165" i="4" s="1"/>
  <c r="L91" i="5"/>
  <c r="EG166" i="4" s="1"/>
  <c r="L92" i="5"/>
  <c r="EG167" i="4" s="1"/>
  <c r="L93" i="5"/>
  <c r="EG168" i="4" s="1"/>
  <c r="L94" i="5"/>
  <c r="EG169" i="4" s="1"/>
  <c r="L95" i="5"/>
  <c r="EG170" i="4" s="1"/>
  <c r="L96" i="5"/>
  <c r="EG171" i="4" s="1"/>
  <c r="L97" i="5"/>
  <c r="EG172" i="4" s="1"/>
  <c r="L98" i="5"/>
  <c r="EG173" i="4" s="1"/>
  <c r="L99" i="5"/>
  <c r="L100" i="5"/>
  <c r="EG175" i="4" s="1"/>
  <c r="L101" i="5"/>
  <c r="EG176" i="4" s="1"/>
  <c r="L102" i="5"/>
  <c r="EG177" i="4" s="1"/>
  <c r="L103" i="5"/>
  <c r="EG178" i="4" s="1"/>
  <c r="L104" i="5"/>
  <c r="L105" i="5"/>
  <c r="L106" i="5"/>
  <c r="EG181" i="4" s="1"/>
  <c r="L107" i="5"/>
  <c r="EG182" i="4" s="1"/>
  <c r="L108" i="5"/>
  <c r="EG183" i="4" s="1"/>
  <c r="L109" i="5"/>
  <c r="EG184" i="4" s="1"/>
  <c r="L110" i="5"/>
  <c r="EG185" i="4" s="1"/>
  <c r="L111" i="5"/>
  <c r="EG186" i="4" s="1"/>
  <c r="L112" i="5"/>
  <c r="EG187" i="4" s="1"/>
  <c r="L113" i="5"/>
  <c r="L114" i="5"/>
  <c r="L115" i="5"/>
  <c r="L116" i="5"/>
  <c r="L117" i="5"/>
  <c r="EG188" i="4" s="1"/>
  <c r="L118" i="5"/>
  <c r="L119" i="5"/>
  <c r="L120" i="5"/>
  <c r="EG189" i="4" s="1"/>
  <c r="L121" i="5"/>
  <c r="L122" i="5"/>
  <c r="L123" i="5"/>
  <c r="L124" i="5"/>
  <c r="L125" i="5"/>
  <c r="EG191" i="4" s="1"/>
  <c r="L126" i="5"/>
  <c r="EG192" i="4" s="1"/>
  <c r="L127" i="5"/>
  <c r="EG193" i="4" s="1"/>
  <c r="L128" i="5"/>
  <c r="EG194" i="4" s="1"/>
  <c r="L129" i="5"/>
  <c r="EG195" i="4" s="1"/>
  <c r="A927" i="8"/>
  <c r="B926" i="8"/>
  <c r="A926" i="8" s="1"/>
  <c r="B925" i="8"/>
  <c r="A925" i="8" s="1"/>
  <c r="B924" i="8"/>
  <c r="B923" i="8"/>
  <c r="A923" i="8" s="1"/>
  <c r="B922" i="8"/>
  <c r="A922" i="8" s="1"/>
  <c r="B921" i="8"/>
  <c r="A921" i="8" s="1"/>
  <c r="B920" i="8"/>
  <c r="A920" i="8" s="1"/>
  <c r="B919" i="8"/>
  <c r="A919" i="8" s="1"/>
  <c r="B918" i="8"/>
  <c r="A918" i="8" s="1"/>
  <c r="B917" i="8"/>
  <c r="A917" i="8" s="1"/>
  <c r="B916" i="8"/>
  <c r="B915" i="8"/>
  <c r="A915" i="8" s="1"/>
  <c r="B914" i="8"/>
  <c r="A914" i="8" s="1"/>
  <c r="B913" i="8"/>
  <c r="A913" i="8" s="1"/>
  <c r="B912" i="8"/>
  <c r="B911" i="8"/>
  <c r="A911" i="8" s="1"/>
  <c r="B910" i="8"/>
  <c r="A910" i="8" s="1"/>
  <c r="B909" i="8"/>
  <c r="A909" i="8" s="1"/>
  <c r="B908" i="8"/>
  <c r="B907" i="8"/>
  <c r="A907" i="8" s="1"/>
  <c r="B906" i="8"/>
  <c r="A906" i="8" s="1"/>
  <c r="B905" i="8"/>
  <c r="A905" i="8" s="1"/>
  <c r="B904" i="8"/>
  <c r="B903" i="8"/>
  <c r="A903" i="8" s="1"/>
  <c r="B902" i="8"/>
  <c r="A902" i="8" s="1"/>
  <c r="N11" i="3"/>
  <c r="N21" i="3"/>
  <c r="EF21" i="4" s="1"/>
  <c r="N22" i="3"/>
  <c r="EF22" i="4" s="1"/>
  <c r="N23" i="3"/>
  <c r="EF23" i="4" s="1"/>
  <c r="N26" i="3"/>
  <c r="EF26" i="4" s="1"/>
  <c r="N27" i="3"/>
  <c r="EF27" i="4" s="1"/>
  <c r="N35" i="3"/>
  <c r="EF35" i="4" s="1"/>
  <c r="N36" i="3"/>
  <c r="EF36" i="4" s="1"/>
  <c r="N59" i="3"/>
  <c r="EF59" i="4" s="1"/>
  <c r="N60" i="3"/>
  <c r="N61" i="3"/>
  <c r="EF62" i="4" s="1"/>
  <c r="N74" i="3"/>
  <c r="EF74" i="4" s="1"/>
  <c r="N102" i="3"/>
  <c r="N105" i="3"/>
  <c r="N106" i="3"/>
  <c r="N100" i="3"/>
  <c r="N107" i="3"/>
  <c r="N108" i="3"/>
  <c r="N101" i="3"/>
  <c r="N109" i="3"/>
  <c r="N111" i="3"/>
  <c r="N112" i="3"/>
  <c r="N113" i="3"/>
  <c r="N114" i="3"/>
  <c r="N115" i="3"/>
  <c r="N116" i="3"/>
  <c r="N120" i="3"/>
  <c r="N121" i="3"/>
  <c r="N122" i="3"/>
  <c r="N123" i="3"/>
  <c r="N124" i="3"/>
  <c r="N125" i="3"/>
  <c r="N126" i="3"/>
  <c r="N128" i="3"/>
  <c r="N129" i="3"/>
  <c r="N130" i="3"/>
  <c r="EF148" i="4" s="1"/>
  <c r="N131" i="3"/>
  <c r="EF149" i="4" s="1"/>
  <c r="N132" i="3"/>
  <c r="N133" i="3"/>
  <c r="EF151" i="4" s="1"/>
  <c r="N134" i="3"/>
  <c r="EF152" i="4" s="1"/>
  <c r="N135" i="3"/>
  <c r="EF153" i="4" s="1"/>
  <c r="N136" i="3"/>
  <c r="EF154" i="4" s="1"/>
  <c r="N137" i="3"/>
  <c r="N138" i="3"/>
  <c r="EF156" i="4" s="1"/>
  <c r="N139" i="3"/>
  <c r="EF157" i="4" s="1"/>
  <c r="N140" i="3"/>
  <c r="EF158" i="4" s="1"/>
  <c r="N141" i="3"/>
  <c r="EF159" i="4" s="1"/>
  <c r="N142" i="3"/>
  <c r="EF160" i="4" s="1"/>
  <c r="N143" i="3"/>
  <c r="EF161" i="4" s="1"/>
  <c r="N144" i="3"/>
  <c r="N145" i="3"/>
  <c r="N146" i="3"/>
  <c r="EF164" i="4" s="1"/>
  <c r="N147" i="3"/>
  <c r="EF165" i="4" s="1"/>
  <c r="N148" i="3"/>
  <c r="EF166" i="4" s="1"/>
  <c r="N149" i="3"/>
  <c r="EF167" i="4" s="1"/>
  <c r="N150" i="3"/>
  <c r="EF168" i="4" s="1"/>
  <c r="N151" i="3"/>
  <c r="EF169" i="4" s="1"/>
  <c r="N152" i="3"/>
  <c r="EF170" i="4" s="1"/>
  <c r="N153" i="3"/>
  <c r="EF171" i="4" s="1"/>
  <c r="N154" i="3"/>
  <c r="EF172" i="4" s="1"/>
  <c r="N155" i="3"/>
  <c r="EF173" i="4" s="1"/>
  <c r="N156" i="3"/>
  <c r="EF174" i="4" s="1"/>
  <c r="N157" i="3"/>
  <c r="EF175" i="4" s="1"/>
  <c r="N158" i="3"/>
  <c r="EF176" i="4" s="1"/>
  <c r="N159" i="3"/>
  <c r="EF177" i="4" s="1"/>
  <c r="N160" i="3"/>
  <c r="N161" i="3"/>
  <c r="EF179" i="4" s="1"/>
  <c r="N162" i="3"/>
  <c r="EF180" i="4" s="1"/>
  <c r="N163" i="3"/>
  <c r="EF181" i="4" s="1"/>
  <c r="N164" i="3"/>
  <c r="EF182" i="4" s="1"/>
  <c r="N165" i="3"/>
  <c r="N166" i="3"/>
  <c r="EF184" i="4" s="1"/>
  <c r="N167" i="3"/>
  <c r="EF185" i="4" s="1"/>
  <c r="N168" i="3"/>
  <c r="EF186" i="4" s="1"/>
  <c r="N169" i="3"/>
  <c r="N170" i="3"/>
  <c r="N171" i="3"/>
  <c r="N172" i="3"/>
  <c r="N173" i="3"/>
  <c r="N174" i="3"/>
  <c r="EF188" i="4" s="1"/>
  <c r="N175" i="3"/>
  <c r="N176" i="3"/>
  <c r="N177" i="3"/>
  <c r="N178" i="3"/>
  <c r="EF190" i="4" s="1"/>
  <c r="N179" i="3"/>
  <c r="N180" i="3"/>
  <c r="N181" i="3"/>
  <c r="N182" i="3"/>
  <c r="EF191" i="4" s="1"/>
  <c r="N183" i="3"/>
  <c r="EF192" i="4" s="1"/>
  <c r="N184" i="3"/>
  <c r="EF193" i="4" s="1"/>
  <c r="N185" i="3"/>
  <c r="N186" i="3"/>
  <c r="B901" i="8"/>
  <c r="A901" i="8" s="1"/>
  <c r="B900" i="8"/>
  <c r="A900" i="8" s="1"/>
  <c r="B899" i="8"/>
  <c r="A899" i="8" s="1"/>
  <c r="B898" i="8"/>
  <c r="A898" i="8" s="1"/>
  <c r="B897" i="8"/>
  <c r="A897" i="8" s="1"/>
  <c r="B896" i="8"/>
  <c r="A896" i="8" s="1"/>
  <c r="B895" i="8"/>
  <c r="A895" i="8" s="1"/>
  <c r="B894" i="8"/>
  <c r="A894" i="8" s="1"/>
  <c r="B893" i="8"/>
  <c r="A893" i="8" s="1"/>
  <c r="B892" i="8"/>
  <c r="A892" i="8" s="1"/>
  <c r="B891" i="8"/>
  <c r="A891" i="8" s="1"/>
  <c r="B890" i="8"/>
  <c r="A890" i="8" s="1"/>
  <c r="B889" i="8"/>
  <c r="A889" i="8" s="1"/>
  <c r="B888" i="8"/>
  <c r="A888" i="8" s="1"/>
  <c r="B887" i="8"/>
  <c r="A887" i="8" s="1"/>
  <c r="B886" i="8"/>
  <c r="A886" i="8" s="1"/>
  <c r="B885" i="8"/>
  <c r="A885" i="8" s="1"/>
  <c r="B884" i="8"/>
  <c r="A884" i="8" s="1"/>
  <c r="B883" i="8"/>
  <c r="A883" i="8" s="1"/>
  <c r="B882" i="8"/>
  <c r="A882" i="8" s="1"/>
  <c r="B881" i="8"/>
  <c r="A881" i="8" s="1"/>
  <c r="B880" i="8"/>
  <c r="A880" i="8" s="1"/>
  <c r="B879" i="8"/>
  <c r="A879" i="8" s="1"/>
  <c r="B878" i="8"/>
  <c r="A878" i="8" s="1"/>
  <c r="B877" i="8"/>
  <c r="A877" i="8" s="1"/>
  <c r="B876" i="8"/>
  <c r="A876" i="8" s="1"/>
  <c r="B875" i="8"/>
  <c r="A875" i="8" s="1"/>
  <c r="B874" i="8"/>
  <c r="A874" i="8" s="1"/>
  <c r="B873" i="8"/>
  <c r="A873" i="8" s="1"/>
  <c r="B872" i="8"/>
  <c r="A872" i="8" s="1"/>
  <c r="B871" i="8"/>
  <c r="A871" i="8" s="1"/>
  <c r="B870" i="8"/>
  <c r="A870" i="8" s="1"/>
  <c r="B869" i="8"/>
  <c r="A869" i="8" s="1"/>
  <c r="B868" i="8"/>
  <c r="A868" i="8" s="1"/>
  <c r="B867" i="8"/>
  <c r="A867" i="8" s="1"/>
  <c r="B866" i="8"/>
  <c r="A866" i="8" s="1"/>
  <c r="B865" i="8"/>
  <c r="A865" i="8" s="1"/>
  <c r="B864" i="8"/>
  <c r="A864" i="8" s="1"/>
  <c r="B863" i="8"/>
  <c r="A863" i="8" s="1"/>
  <c r="B862" i="8"/>
  <c r="A862" i="8" s="1"/>
  <c r="B861" i="8"/>
  <c r="A861" i="8" s="1"/>
  <c r="B860" i="8"/>
  <c r="A860" i="8" s="1"/>
  <c r="B859" i="8"/>
  <c r="A859" i="8" s="1"/>
  <c r="B858" i="8"/>
  <c r="A858" i="8" s="1"/>
  <c r="B857" i="8"/>
  <c r="A857" i="8" s="1"/>
  <c r="B856" i="8"/>
  <c r="A856" i="8" s="1"/>
  <c r="B855" i="8"/>
  <c r="A855" i="8" s="1"/>
  <c r="B854" i="8"/>
  <c r="A854" i="8" s="1"/>
  <c r="B853" i="8"/>
  <c r="A853" i="8" s="1"/>
  <c r="B852" i="8"/>
  <c r="A852" i="8" s="1"/>
  <c r="B851" i="8"/>
  <c r="A851" i="8" s="1"/>
  <c r="B850" i="8"/>
  <c r="A850" i="8" s="1"/>
  <c r="B849" i="8"/>
  <c r="A849" i="8" s="1"/>
  <c r="B848" i="8"/>
  <c r="A848" i="8" s="1"/>
  <c r="B847" i="8"/>
  <c r="A847" i="8" s="1"/>
  <c r="B846" i="8"/>
  <c r="A846" i="8" s="1"/>
  <c r="B845" i="8"/>
  <c r="A845" i="8" s="1"/>
  <c r="B844" i="8"/>
  <c r="A844" i="8" s="1"/>
  <c r="B843" i="8"/>
  <c r="A843" i="8" s="1"/>
  <c r="B842" i="8"/>
  <c r="A842" i="8" s="1"/>
  <c r="B841" i="8"/>
  <c r="A841" i="8" s="1"/>
  <c r="B840" i="8"/>
  <c r="A840" i="8" s="1"/>
  <c r="B839" i="8"/>
  <c r="A839" i="8" s="1"/>
  <c r="B838" i="8"/>
  <c r="A838" i="8" s="1"/>
  <c r="B837" i="8"/>
  <c r="A837" i="8" s="1"/>
  <c r="B836" i="8"/>
  <c r="A836" i="8" s="1"/>
  <c r="B835" i="8"/>
  <c r="A835" i="8" s="1"/>
  <c r="B834" i="8"/>
  <c r="A834" i="8" s="1"/>
  <c r="B833" i="8"/>
  <c r="A833" i="8" s="1"/>
  <c r="BE48" i="1"/>
  <c r="BE49" i="1"/>
  <c r="BE51" i="1"/>
  <c r="BE52" i="1"/>
  <c r="BE53" i="1"/>
  <c r="BE54" i="1"/>
  <c r="BE55" i="1"/>
  <c r="BE57" i="1"/>
  <c r="BE58" i="1"/>
  <c r="BE59" i="1"/>
  <c r="BE60" i="1"/>
  <c r="BE61" i="1"/>
  <c r="BE62" i="1"/>
  <c r="BE67" i="1"/>
  <c r="EE146" i="4" s="1"/>
  <c r="BE68" i="1"/>
  <c r="EE147" i="4" s="1"/>
  <c r="BE69" i="1"/>
  <c r="EE148" i="4" s="1"/>
  <c r="BE70" i="1"/>
  <c r="EE149" i="4" s="1"/>
  <c r="BE71" i="1"/>
  <c r="EE150" i="4" s="1"/>
  <c r="BE72" i="1"/>
  <c r="EE151" i="4" s="1"/>
  <c r="BE73" i="1"/>
  <c r="EE152" i="4" s="1"/>
  <c r="BE74" i="1"/>
  <c r="EE153" i="4" s="1"/>
  <c r="BE75" i="1"/>
  <c r="EE154" i="4" s="1"/>
  <c r="BE76" i="1"/>
  <c r="EE155" i="4" s="1"/>
  <c r="BE77" i="1"/>
  <c r="EE156" i="4" s="1"/>
  <c r="BE78" i="1"/>
  <c r="EE157" i="4" s="1"/>
  <c r="BE79" i="1"/>
  <c r="EE158" i="4" s="1"/>
  <c r="BE80" i="1"/>
  <c r="EE159" i="4" s="1"/>
  <c r="BE81" i="1"/>
  <c r="EE160" i="4" s="1"/>
  <c r="BE82" i="1"/>
  <c r="EE161" i="4" s="1"/>
  <c r="BE83" i="1"/>
  <c r="EE162" i="4" s="1"/>
  <c r="BE84" i="1"/>
  <c r="EE163" i="4" s="1"/>
  <c r="BE85" i="1"/>
  <c r="EE164" i="4" s="1"/>
  <c r="BE86" i="1"/>
  <c r="EE165" i="4" s="1"/>
  <c r="BE87" i="1"/>
  <c r="EE166" i="4" s="1"/>
  <c r="BE88" i="1"/>
  <c r="EE167" i="4" s="1"/>
  <c r="BE89" i="1"/>
  <c r="EE168" i="4" s="1"/>
  <c r="BE90" i="1"/>
  <c r="EE169" i="4" s="1"/>
  <c r="BE91" i="1"/>
  <c r="EE170" i="4" s="1"/>
  <c r="BE92" i="1"/>
  <c r="EE171" i="4" s="1"/>
  <c r="BE93" i="1"/>
  <c r="EE172" i="4" s="1"/>
  <c r="BE94" i="1"/>
  <c r="EE173" i="4" s="1"/>
  <c r="BE95" i="1"/>
  <c r="EE174" i="4" s="1"/>
  <c r="BE96" i="1"/>
  <c r="EE175" i="4" s="1"/>
  <c r="BE97" i="1"/>
  <c r="EE176" i="4" s="1"/>
  <c r="BE98" i="1"/>
  <c r="EE177" i="4" s="1"/>
  <c r="BE99" i="1"/>
  <c r="EE178" i="4" s="1"/>
  <c r="BE100" i="1"/>
  <c r="EE179" i="4" s="1"/>
  <c r="BE101" i="1"/>
  <c r="EE180" i="4" s="1"/>
  <c r="BE102" i="1"/>
  <c r="EE181" i="4" s="1"/>
  <c r="BE103" i="1"/>
  <c r="EE182" i="4" s="1"/>
  <c r="BE104" i="1"/>
  <c r="EE183" i="4" s="1"/>
  <c r="BE105" i="1"/>
  <c r="EE184" i="4" s="1"/>
  <c r="BE106" i="1"/>
  <c r="BE107" i="1"/>
  <c r="EE186" i="4" s="1"/>
  <c r="BE108" i="1"/>
  <c r="EE187" i="4" s="1"/>
  <c r="BE109" i="1"/>
  <c r="BE110" i="1"/>
  <c r="BE111" i="1"/>
  <c r="BE112" i="1"/>
  <c r="BE113" i="1"/>
  <c r="EE188" i="4" s="1"/>
  <c r="BE114" i="1"/>
  <c r="BE115" i="1"/>
  <c r="BE116" i="1"/>
  <c r="EE189" i="4" s="1"/>
  <c r="BE117" i="1"/>
  <c r="BE118" i="1"/>
  <c r="BE119" i="1"/>
  <c r="BE120" i="1"/>
  <c r="BE121" i="1"/>
  <c r="EE191" i="4" s="1"/>
  <c r="BE122" i="1"/>
  <c r="EE192" i="4" s="1"/>
  <c r="BE123" i="1"/>
  <c r="EE193" i="4" s="1"/>
  <c r="BE124" i="1"/>
  <c r="EE194" i="4" s="1"/>
  <c r="BE125" i="1"/>
  <c r="EE195" i="4" s="1"/>
  <c r="B832" i="8"/>
  <c r="A832" i="8" s="1"/>
  <c r="B831" i="8"/>
  <c r="A831" i="8" s="1"/>
  <c r="B830" i="8"/>
  <c r="A830" i="8" s="1"/>
  <c r="B829" i="8"/>
  <c r="A829" i="8" s="1"/>
  <c r="B828" i="8"/>
  <c r="A828" i="8" s="1"/>
  <c r="B827" i="8"/>
  <c r="A827" i="8" s="1"/>
  <c r="B826" i="8"/>
  <c r="A826" i="8" s="1"/>
  <c r="B825" i="8"/>
  <c r="A825" i="8" s="1"/>
  <c r="B824" i="8"/>
  <c r="A824" i="8" s="1"/>
  <c r="B823" i="8"/>
  <c r="A823" i="8" s="1"/>
  <c r="B822" i="8"/>
  <c r="A822" i="8" s="1"/>
  <c r="B821" i="8"/>
  <c r="A821" i="8" s="1"/>
  <c r="B820" i="8"/>
  <c r="A820" i="8" s="1"/>
  <c r="B819" i="8"/>
  <c r="A819" i="8" s="1"/>
  <c r="B818" i="8"/>
  <c r="A818" i="8" s="1"/>
  <c r="B817" i="8"/>
  <c r="A817" i="8" s="1"/>
  <c r="B816" i="8"/>
  <c r="A816" i="8" s="1"/>
  <c r="B815" i="8"/>
  <c r="A815" i="8" s="1"/>
  <c r="B814" i="8"/>
  <c r="A814" i="8" s="1"/>
  <c r="B813" i="8"/>
  <c r="A813" i="8" s="1"/>
  <c r="B812" i="8"/>
  <c r="A812" i="8" s="1"/>
  <c r="B811" i="8"/>
  <c r="A811" i="8" s="1"/>
  <c r="B810" i="8"/>
  <c r="A810" i="8" s="1"/>
  <c r="B809" i="8"/>
  <c r="A809" i="8" s="1"/>
  <c r="B808" i="8"/>
  <c r="A808" i="8" s="1"/>
  <c r="B807" i="8"/>
  <c r="A807" i="8" s="1"/>
  <c r="BE11" i="2"/>
  <c r="ED11" i="4" s="1"/>
  <c r="BE21" i="2"/>
  <c r="ED21" i="4" s="1"/>
  <c r="BE22" i="2"/>
  <c r="ED22" i="4" s="1"/>
  <c r="BE23" i="2"/>
  <c r="BE26" i="2"/>
  <c r="ED26" i="4" s="1"/>
  <c r="BE27" i="2"/>
  <c r="ED27" i="4" s="1"/>
  <c r="BE35" i="2"/>
  <c r="ED35" i="4" s="1"/>
  <c r="BE36" i="2"/>
  <c r="ED36" i="4" s="1"/>
  <c r="BE59" i="2"/>
  <c r="ED59" i="4" s="1"/>
  <c r="BE63" i="2"/>
  <c r="ED61" i="4" s="1"/>
  <c r="BE64" i="2"/>
  <c r="ED62" i="4" s="1"/>
  <c r="BE77" i="2"/>
  <c r="BE81" i="2"/>
  <c r="BE82" i="2"/>
  <c r="BE123" i="2"/>
  <c r="BE124" i="2"/>
  <c r="BE125" i="2"/>
  <c r="BE112" i="2"/>
  <c r="BE114" i="2"/>
  <c r="BE126" i="2"/>
  <c r="BE115" i="2"/>
  <c r="BE116" i="2"/>
  <c r="BE117" i="2"/>
  <c r="BE119" i="2"/>
  <c r="BE120" i="2"/>
  <c r="BE127" i="2"/>
  <c r="BE108" i="2"/>
  <c r="BE128" i="2"/>
  <c r="BE129" i="2"/>
  <c r="BE133" i="2"/>
  <c r="BE134" i="2"/>
  <c r="BE135" i="2"/>
  <c r="BE136" i="2"/>
  <c r="BE137" i="2"/>
  <c r="BE138" i="2"/>
  <c r="BE139" i="2"/>
  <c r="BE141" i="2"/>
  <c r="ED146" i="4" s="1"/>
  <c r="BE142" i="2"/>
  <c r="ED147" i="4" s="1"/>
  <c r="BE143" i="2"/>
  <c r="ED148" i="4" s="1"/>
  <c r="BE144" i="2"/>
  <c r="ED149" i="4" s="1"/>
  <c r="BE145" i="2"/>
  <c r="ED150" i="4" s="1"/>
  <c r="BE146" i="2"/>
  <c r="ED151" i="4" s="1"/>
  <c r="BE147" i="2"/>
  <c r="ED152" i="4" s="1"/>
  <c r="BE148" i="2"/>
  <c r="ED153" i="4" s="1"/>
  <c r="BE149" i="2"/>
  <c r="ED154" i="4" s="1"/>
  <c r="BE150" i="2"/>
  <c r="ED155" i="4" s="1"/>
  <c r="BE151" i="2"/>
  <c r="ED156" i="4" s="1"/>
  <c r="BE152" i="2"/>
  <c r="ED157" i="4" s="1"/>
  <c r="BE153" i="2"/>
  <c r="ED158" i="4" s="1"/>
  <c r="BE154" i="2"/>
  <c r="BE155" i="2"/>
  <c r="ED160" i="4" s="1"/>
  <c r="BE156" i="2"/>
  <c r="BE157" i="2"/>
  <c r="ED162" i="4" s="1"/>
  <c r="BE158" i="2"/>
  <c r="ED163" i="4" s="1"/>
  <c r="BE159" i="2"/>
  <c r="ED164" i="4" s="1"/>
  <c r="BE160" i="2"/>
  <c r="ED165" i="4" s="1"/>
  <c r="BE161" i="2"/>
  <c r="ED166" i="4" s="1"/>
  <c r="BE162" i="2"/>
  <c r="BE163" i="2"/>
  <c r="ED168" i="4" s="1"/>
  <c r="BE164" i="2"/>
  <c r="BE165" i="2"/>
  <c r="ED170" i="4" s="1"/>
  <c r="BE166" i="2"/>
  <c r="ED171" i="4" s="1"/>
  <c r="BE167" i="2"/>
  <c r="ED172" i="4" s="1"/>
  <c r="BE168" i="2"/>
  <c r="ED173" i="4" s="1"/>
  <c r="BE169" i="2"/>
  <c r="ED174" i="4" s="1"/>
  <c r="BE170" i="2"/>
  <c r="ED175" i="4" s="1"/>
  <c r="BE171" i="2"/>
  <c r="ED176" i="4" s="1"/>
  <c r="BE172" i="2"/>
  <c r="ED177" i="4" s="1"/>
  <c r="BE173" i="2"/>
  <c r="BE174" i="2"/>
  <c r="ED179" i="4" s="1"/>
  <c r="BE175" i="2"/>
  <c r="ED180" i="4" s="1"/>
  <c r="BE176" i="2"/>
  <c r="ED181" i="4" s="1"/>
  <c r="BE177" i="2"/>
  <c r="ED182" i="4" s="1"/>
  <c r="BE178" i="2"/>
  <c r="ED183" i="4" s="1"/>
  <c r="BE179" i="2"/>
  <c r="ED184" i="4" s="1"/>
  <c r="BE180" i="2"/>
  <c r="BE181" i="2"/>
  <c r="ED186" i="4" s="1"/>
  <c r="BE182" i="2"/>
  <c r="ED187" i="4" s="1"/>
  <c r="BE183" i="2"/>
  <c r="BE184" i="2"/>
  <c r="BE185" i="2"/>
  <c r="BE186" i="2"/>
  <c r="BE187" i="2"/>
  <c r="ED188" i="4" s="1"/>
  <c r="BE188" i="2"/>
  <c r="BE189" i="2"/>
  <c r="BE190" i="2"/>
  <c r="ED189" i="4" s="1"/>
  <c r="BE191" i="2"/>
  <c r="ED190" i="4" s="1"/>
  <c r="BE192" i="2"/>
  <c r="BE193" i="2"/>
  <c r="BE194" i="2"/>
  <c r="BE195" i="2"/>
  <c r="ED191" i="4" s="1"/>
  <c r="BE196" i="2"/>
  <c r="BE197" i="2"/>
  <c r="ED193" i="4" s="1"/>
  <c r="BE198" i="2"/>
  <c r="ED194" i="4" s="1"/>
  <c r="BE199" i="2"/>
  <c r="ED195" i="4" s="1"/>
  <c r="B806" i="8"/>
  <c r="A806" i="8" s="1"/>
  <c r="B805" i="8"/>
  <c r="A805" i="8" s="1"/>
  <c r="B804" i="8"/>
  <c r="A804" i="8" s="1"/>
  <c r="B803" i="8"/>
  <c r="A803" i="8" s="1"/>
  <c r="B802" i="8"/>
  <c r="A802" i="8" s="1"/>
  <c r="B801" i="8"/>
  <c r="A801" i="8" s="1"/>
  <c r="B800" i="8"/>
  <c r="A800" i="8" s="1"/>
  <c r="B799" i="8"/>
  <c r="A799" i="8" s="1"/>
  <c r="B798" i="8"/>
  <c r="A798" i="8" s="1"/>
  <c r="B797" i="8"/>
  <c r="A797" i="8" s="1"/>
  <c r="B796" i="8"/>
  <c r="A796" i="8" s="1"/>
  <c r="B795" i="8"/>
  <c r="A795" i="8" s="1"/>
  <c r="B794" i="8"/>
  <c r="A794" i="8" s="1"/>
  <c r="B793" i="8"/>
  <c r="A793" i="8" s="1"/>
  <c r="B792" i="8"/>
  <c r="A792" i="8" s="1"/>
  <c r="B791" i="8"/>
  <c r="A791" i="8" s="1"/>
  <c r="B790" i="8"/>
  <c r="A790" i="8" s="1"/>
  <c r="B789" i="8"/>
  <c r="A789" i="8" s="1"/>
  <c r="B788" i="8"/>
  <c r="A788" i="8" s="1"/>
  <c r="B787" i="8"/>
  <c r="A787" i="8" s="1"/>
  <c r="B786" i="8"/>
  <c r="A786" i="8" s="1"/>
  <c r="B785" i="8"/>
  <c r="A785" i="8" s="1"/>
  <c r="B784" i="8"/>
  <c r="A784" i="8" s="1"/>
  <c r="B783" i="8"/>
  <c r="A783" i="8" s="1"/>
  <c r="B782" i="8"/>
  <c r="A782" i="8" s="1"/>
  <c r="B781" i="8"/>
  <c r="A781" i="8" s="1"/>
  <c r="B780" i="8"/>
  <c r="A780" i="8" s="1"/>
  <c r="B779" i="8"/>
  <c r="A779" i="8" s="1"/>
  <c r="B778" i="8"/>
  <c r="A778" i="8" s="1"/>
  <c r="B777" i="8"/>
  <c r="A777" i="8" s="1"/>
  <c r="B776" i="8"/>
  <c r="A776" i="8" s="1"/>
  <c r="B775" i="8"/>
  <c r="B774" i="8"/>
  <c r="A774" i="8" s="1"/>
  <c r="B773" i="8"/>
  <c r="A773" i="8" s="1"/>
  <c r="B772" i="8"/>
  <c r="A772" i="8" s="1"/>
  <c r="B771" i="8"/>
  <c r="A771" i="8" s="1"/>
  <c r="B770" i="8"/>
  <c r="A770" i="8" s="1"/>
  <c r="B769" i="8"/>
  <c r="A769" i="8" s="1"/>
  <c r="B768" i="8"/>
  <c r="A768" i="8" s="1"/>
  <c r="B767" i="8"/>
  <c r="A767" i="8" s="1"/>
  <c r="B766" i="8"/>
  <c r="A766" i="8" s="1"/>
  <c r="B765" i="8"/>
  <c r="A765" i="8" s="1"/>
  <c r="B764" i="8"/>
  <c r="A764" i="8" s="1"/>
  <c r="B763" i="8"/>
  <c r="A763" i="8" s="1"/>
  <c r="B762" i="8"/>
  <c r="A762" i="8" s="1"/>
  <c r="B761" i="8"/>
  <c r="A761" i="8" s="1"/>
  <c r="B760" i="8"/>
  <c r="A760" i="8" s="1"/>
  <c r="B759" i="8"/>
  <c r="A759" i="8" s="1"/>
  <c r="B758" i="8"/>
  <c r="A758" i="8" s="1"/>
  <c r="B757" i="8"/>
  <c r="A757" i="8" s="1"/>
  <c r="B756" i="8"/>
  <c r="A756" i="8" s="1"/>
  <c r="B755" i="8"/>
  <c r="A755" i="8" s="1"/>
  <c r="B754" i="8"/>
  <c r="A754" i="8" s="1"/>
  <c r="B753" i="8"/>
  <c r="A753" i="8" s="1"/>
  <c r="B752" i="8"/>
  <c r="A752" i="8" s="1"/>
  <c r="B751" i="8"/>
  <c r="A751" i="8" s="1"/>
  <c r="B750" i="8"/>
  <c r="A750" i="8" s="1"/>
  <c r="B749" i="8"/>
  <c r="A749" i="8" s="1"/>
  <c r="B748" i="8"/>
  <c r="A748" i="8" s="1"/>
  <c r="B747" i="8"/>
  <c r="A747" i="8" s="1"/>
  <c r="B746" i="8"/>
  <c r="A746" i="8" s="1"/>
  <c r="B745" i="8"/>
  <c r="A745" i="8" s="1"/>
  <c r="B744" i="8"/>
  <c r="A744" i="8" s="1"/>
  <c r="B743" i="8"/>
  <c r="A743" i="8" s="1"/>
  <c r="B742" i="8"/>
  <c r="EE5" i="4"/>
  <c r="EG5" i="4"/>
  <c r="EE6" i="4"/>
  <c r="EG6" i="4"/>
  <c r="EE7" i="4"/>
  <c r="EG7" i="4"/>
  <c r="EE8" i="4"/>
  <c r="EG8" i="4"/>
  <c r="EE11" i="4"/>
  <c r="EG11" i="4"/>
  <c r="EE12" i="4"/>
  <c r="EG12" i="4"/>
  <c r="EE13" i="4"/>
  <c r="EG13" i="4"/>
  <c r="EE14" i="4"/>
  <c r="EG14" i="4"/>
  <c r="EE15" i="4"/>
  <c r="EG15" i="4"/>
  <c r="EE16" i="4"/>
  <c r="EG16" i="4"/>
  <c r="EE17" i="4"/>
  <c r="EG17" i="4"/>
  <c r="EE18" i="4"/>
  <c r="EG18" i="4"/>
  <c r="EE19" i="4"/>
  <c r="EG19" i="4"/>
  <c r="EE20" i="4"/>
  <c r="EG20" i="4"/>
  <c r="EE21" i="4"/>
  <c r="EG21" i="4"/>
  <c r="EE22" i="4"/>
  <c r="EG22" i="4"/>
  <c r="EE23" i="4"/>
  <c r="EG23" i="4"/>
  <c r="EE24" i="4"/>
  <c r="EG24" i="4"/>
  <c r="EE25" i="4"/>
  <c r="EG25" i="4"/>
  <c r="EE26" i="4"/>
  <c r="EG26" i="4"/>
  <c r="EE27" i="4"/>
  <c r="EG27" i="4"/>
  <c r="EE28" i="4"/>
  <c r="EG28" i="4"/>
  <c r="EE29" i="4"/>
  <c r="EG29" i="4"/>
  <c r="EE30" i="4"/>
  <c r="EG30" i="4"/>
  <c r="EE31" i="4"/>
  <c r="EG31" i="4"/>
  <c r="EE32" i="4"/>
  <c r="EG32" i="4"/>
  <c r="EE35" i="4"/>
  <c r="EG35" i="4"/>
  <c r="EE36" i="4"/>
  <c r="EG36" i="4"/>
  <c r="EE38" i="4"/>
  <c r="EG38" i="4"/>
  <c r="EE39" i="4"/>
  <c r="EG39" i="4"/>
  <c r="EE40" i="4"/>
  <c r="EG40" i="4"/>
  <c r="EE41" i="4"/>
  <c r="EG41" i="4"/>
  <c r="EE42" i="4"/>
  <c r="EG42" i="4"/>
  <c r="EE43" i="4"/>
  <c r="EG43" i="4"/>
  <c r="EE44" i="4"/>
  <c r="EG44" i="4"/>
  <c r="EE45" i="4"/>
  <c r="EG45" i="4"/>
  <c r="EE46" i="4"/>
  <c r="EG46" i="4"/>
  <c r="EE47" i="4"/>
  <c r="EG47" i="4"/>
  <c r="EE48" i="4"/>
  <c r="EG48" i="4"/>
  <c r="EE49" i="4"/>
  <c r="EG49" i="4"/>
  <c r="EE50" i="4"/>
  <c r="EG50" i="4"/>
  <c r="EE51" i="4"/>
  <c r="EG51" i="4"/>
  <c r="EE52" i="4"/>
  <c r="EG52" i="4"/>
  <c r="EE53" i="4"/>
  <c r="EG53" i="4"/>
  <c r="EE54" i="4"/>
  <c r="EG54" i="4"/>
  <c r="EE55" i="4"/>
  <c r="EG55" i="4"/>
  <c r="EE56" i="4"/>
  <c r="EG56" i="4"/>
  <c r="EE57" i="4"/>
  <c r="EG57" i="4"/>
  <c r="EE58" i="4"/>
  <c r="EG58" i="4"/>
  <c r="EE59" i="4"/>
  <c r="EG59" i="4"/>
  <c r="EF79" i="4"/>
  <c r="EF80" i="4"/>
  <c r="EG80" i="4"/>
  <c r="EE60" i="4"/>
  <c r="EF60" i="4"/>
  <c r="EG60" i="4"/>
  <c r="EE61" i="4"/>
  <c r="EG61" i="4"/>
  <c r="EE62" i="4"/>
  <c r="EG62" i="4"/>
  <c r="EE63" i="4"/>
  <c r="EG63" i="4"/>
  <c r="EE64" i="4"/>
  <c r="EG64" i="4"/>
  <c r="EE65" i="4"/>
  <c r="EG65" i="4"/>
  <c r="EE66" i="4"/>
  <c r="EG66" i="4"/>
  <c r="EE67" i="4"/>
  <c r="EG67" i="4"/>
  <c r="EE68" i="4"/>
  <c r="EG68" i="4"/>
  <c r="EE69" i="4"/>
  <c r="EG69" i="4"/>
  <c r="EE70" i="4"/>
  <c r="EG70" i="4"/>
  <c r="EE71" i="4"/>
  <c r="EG71" i="4"/>
  <c r="ED78" i="4"/>
  <c r="EE78" i="4"/>
  <c r="EF78" i="4"/>
  <c r="EG78" i="4"/>
  <c r="EE72" i="4"/>
  <c r="EG72" i="4"/>
  <c r="EE73" i="4"/>
  <c r="EG73" i="4"/>
  <c r="EE74" i="4"/>
  <c r="EG74" i="4"/>
  <c r="EG75" i="4"/>
  <c r="EG76" i="4"/>
  <c r="EG77" i="4"/>
  <c r="ED81" i="4"/>
  <c r="EE81" i="4"/>
  <c r="EF81" i="4"/>
  <c r="EG81" i="4"/>
  <c r="ED83" i="4"/>
  <c r="EE83" i="4"/>
  <c r="EF83" i="4"/>
  <c r="EG83" i="4"/>
  <c r="EF84" i="4"/>
  <c r="EF85" i="4"/>
  <c r="EF86" i="4"/>
  <c r="EF87" i="4"/>
  <c r="EF88" i="4"/>
  <c r="EF89" i="4"/>
  <c r="EF90" i="4"/>
  <c r="ED91" i="4"/>
  <c r="EE91" i="4"/>
  <c r="EF91" i="4"/>
  <c r="EG91" i="4"/>
  <c r="ED101" i="4"/>
  <c r="EE101" i="4"/>
  <c r="EF101" i="4"/>
  <c r="EG101" i="4"/>
  <c r="ED99" i="4"/>
  <c r="EE99" i="4"/>
  <c r="EF99" i="4"/>
  <c r="EG99" i="4"/>
  <c r="ED100" i="4"/>
  <c r="EE100" i="4"/>
  <c r="EF100" i="4"/>
  <c r="EG100" i="4"/>
  <c r="ED106" i="4"/>
  <c r="EE106" i="4"/>
  <c r="EF106" i="4"/>
  <c r="EG106" i="4"/>
  <c r="ED107" i="4"/>
  <c r="EE107" i="4"/>
  <c r="EF107" i="4"/>
  <c r="EG107" i="4"/>
  <c r="ED109" i="4"/>
  <c r="EE109" i="4"/>
  <c r="EF109" i="4"/>
  <c r="EG109" i="4"/>
  <c r="ED110" i="4"/>
  <c r="EE110" i="4"/>
  <c r="EF110" i="4"/>
  <c r="EG110" i="4"/>
  <c r="ED111" i="4"/>
  <c r="EE111" i="4"/>
  <c r="EF111" i="4"/>
  <c r="EG111" i="4"/>
  <c r="ED114" i="4"/>
  <c r="EE114" i="4"/>
  <c r="EF114" i="4"/>
  <c r="EG114" i="4"/>
  <c r="ED115" i="4"/>
  <c r="EE115" i="4"/>
  <c r="EF115" i="4"/>
  <c r="EG115" i="4"/>
  <c r="ED123" i="4"/>
  <c r="EE123" i="4"/>
  <c r="EF123" i="4"/>
  <c r="EG123" i="4"/>
  <c r="ED124" i="4"/>
  <c r="EE124" i="4"/>
  <c r="EF124" i="4"/>
  <c r="EG124" i="4"/>
  <c r="ED125" i="4"/>
  <c r="EE125" i="4"/>
  <c r="EF125" i="4"/>
  <c r="EG125" i="4"/>
  <c r="ED126" i="4"/>
  <c r="EE126" i="4"/>
  <c r="EF126" i="4"/>
  <c r="EG126" i="4"/>
  <c r="ED117" i="4"/>
  <c r="EE117" i="4"/>
  <c r="EF117" i="4"/>
  <c r="EG117" i="4"/>
  <c r="ED116" i="4"/>
  <c r="EE116" i="4"/>
  <c r="EF116" i="4"/>
  <c r="EG116" i="4"/>
  <c r="ED121" i="4"/>
  <c r="EE121" i="4"/>
  <c r="EF121" i="4"/>
  <c r="EG121" i="4"/>
  <c r="ED118" i="4"/>
  <c r="EE118" i="4"/>
  <c r="EF118" i="4"/>
  <c r="EG118" i="4"/>
  <c r="ED127" i="4"/>
  <c r="EE127" i="4"/>
  <c r="EF127" i="4"/>
  <c r="EG127" i="4"/>
  <c r="ED119" i="4"/>
  <c r="EE119" i="4"/>
  <c r="EF119" i="4"/>
  <c r="EG119" i="4"/>
  <c r="ED120" i="4"/>
  <c r="EE120" i="4"/>
  <c r="EF120" i="4"/>
  <c r="EG120" i="4"/>
  <c r="ED128" i="4"/>
  <c r="EE128" i="4"/>
  <c r="EF128" i="4"/>
  <c r="EG128" i="4"/>
  <c r="ED122" i="4"/>
  <c r="EE122" i="4"/>
  <c r="EF122" i="4"/>
  <c r="EG122" i="4"/>
  <c r="ED129" i="4"/>
  <c r="EE129" i="4"/>
  <c r="EF129" i="4"/>
  <c r="EG129" i="4"/>
  <c r="ED130" i="4"/>
  <c r="EE130" i="4"/>
  <c r="EF130" i="4"/>
  <c r="EG130" i="4"/>
  <c r="ED137" i="4"/>
  <c r="EE137" i="4"/>
  <c r="EF137" i="4"/>
  <c r="EG137" i="4"/>
  <c r="ED131" i="4"/>
  <c r="EE131" i="4"/>
  <c r="EF131" i="4"/>
  <c r="EG131" i="4"/>
  <c r="ED132" i="4"/>
  <c r="EE132" i="4"/>
  <c r="EF132" i="4"/>
  <c r="EG132" i="4"/>
  <c r="ED133" i="4"/>
  <c r="EE133" i="4"/>
  <c r="EF133" i="4"/>
  <c r="EG133" i="4"/>
  <c r="ED138" i="4"/>
  <c r="EE138" i="4"/>
  <c r="EF138" i="4"/>
  <c r="EG138" i="4"/>
  <c r="ED139" i="4"/>
  <c r="EE139" i="4"/>
  <c r="EF139" i="4"/>
  <c r="EG139" i="4"/>
  <c r="ED140" i="4"/>
  <c r="EE140" i="4"/>
  <c r="EF140" i="4"/>
  <c r="EG140" i="4"/>
  <c r="ED141" i="4"/>
  <c r="EE141" i="4"/>
  <c r="EF141" i="4"/>
  <c r="EG141" i="4"/>
  <c r="ED142" i="4"/>
  <c r="EE142" i="4"/>
  <c r="EF142" i="4"/>
  <c r="EG142" i="4"/>
  <c r="ED143" i="4"/>
  <c r="EE143" i="4"/>
  <c r="EF143" i="4"/>
  <c r="EG143" i="4"/>
  <c r="ED144" i="4"/>
  <c r="EE144" i="4"/>
  <c r="EF144" i="4"/>
  <c r="EG144" i="4"/>
  <c r="ED145" i="4"/>
  <c r="EE145" i="4"/>
  <c r="EF145" i="4"/>
  <c r="EG145" i="4"/>
  <c r="EF146" i="4"/>
  <c r="EF147" i="4"/>
  <c r="EG147" i="4"/>
  <c r="EG149" i="4"/>
  <c r="EF150" i="4"/>
  <c r="EF155" i="4"/>
  <c r="EG158" i="4"/>
  <c r="EG161" i="4"/>
  <c r="EF162" i="4"/>
  <c r="EG162" i="4"/>
  <c r="EF163" i="4"/>
  <c r="EG163" i="4"/>
  <c r="EG164" i="4"/>
  <c r="EG174" i="4"/>
  <c r="ED178" i="4"/>
  <c r="EF178" i="4"/>
  <c r="EG179" i="4"/>
  <c r="EG180" i="4"/>
  <c r="EF183" i="4"/>
  <c r="EE185" i="4"/>
  <c r="EF187" i="4"/>
  <c r="EF189" i="4"/>
  <c r="EE190" i="4"/>
  <c r="EG190" i="4"/>
  <c r="EF194" i="4"/>
  <c r="EF195" i="4"/>
  <c r="EG4" i="4"/>
  <c r="EE4" i="4"/>
  <c r="AC35" i="9" l="1"/>
  <c r="AC21" i="9"/>
  <c r="AE35" i="3"/>
  <c r="AC59" i="9"/>
  <c r="AE21" i="3"/>
  <c r="AB35" i="9"/>
  <c r="AE59" i="3"/>
  <c r="BV35" i="2"/>
  <c r="BU35" i="2"/>
  <c r="BV59" i="2"/>
  <c r="BU59" i="2"/>
  <c r="BV21" i="2"/>
  <c r="BU21" i="2"/>
  <c r="DG60" i="4"/>
  <c r="DP60" i="4"/>
  <c r="DO60" i="4"/>
  <c r="DM60" i="4"/>
  <c r="DN60" i="4"/>
  <c r="DL60" i="4"/>
  <c r="DG92" i="4"/>
  <c r="DP92" i="4"/>
  <c r="DO92" i="4"/>
  <c r="DM92" i="4"/>
  <c r="DN92" i="4"/>
  <c r="DL92" i="4"/>
  <c r="AB59" i="9"/>
  <c r="AD35" i="3"/>
  <c r="AD21" i="3"/>
  <c r="AD59" i="3"/>
  <c r="DJ60" i="4"/>
  <c r="DI60" i="4"/>
  <c r="DH60" i="4"/>
  <c r="DF60" i="4"/>
  <c r="BO62" i="2"/>
  <c r="BN62" i="2"/>
  <c r="BM62" i="2"/>
  <c r="BL62" i="2"/>
  <c r="BQ62" i="2"/>
  <c r="BP62" i="2"/>
  <c r="BR62" i="2"/>
  <c r="BS62" i="2"/>
  <c r="BT62" i="2"/>
  <c r="BM21" i="1"/>
  <c r="BN21" i="1"/>
  <c r="BL21" i="1"/>
  <c r="X17" i="5"/>
  <c r="BQ21" i="1"/>
  <c r="Z17" i="5"/>
  <c r="W17" i="5"/>
  <c r="Y17" i="5"/>
  <c r="U17" i="5"/>
  <c r="T17" i="5"/>
  <c r="S17" i="5"/>
  <c r="BT21" i="1"/>
  <c r="DH92" i="4"/>
  <c r="DJ92" i="4"/>
  <c r="V17" i="5"/>
  <c r="AA17" i="5"/>
  <c r="DF92" i="4"/>
  <c r="DI92" i="4"/>
  <c r="BR21" i="1"/>
  <c r="BP21" i="1"/>
  <c r="BS21" i="1"/>
  <c r="BO21" i="1"/>
  <c r="AB21" i="9"/>
  <c r="DD60" i="4"/>
  <c r="DC60" i="4"/>
  <c r="DB60" i="4"/>
  <c r="DA60" i="4"/>
  <c r="CZ60" i="4"/>
  <c r="DD92" i="4"/>
  <c r="DC92" i="4"/>
  <c r="DB92" i="4"/>
  <c r="DA92" i="4"/>
  <c r="CZ92" i="4"/>
  <c r="CX60" i="4"/>
  <c r="BK62" i="2"/>
  <c r="CX92" i="4"/>
  <c r="R17" i="5"/>
  <c r="BK21" i="1"/>
  <c r="O59" i="9"/>
  <c r="N59" i="9"/>
  <c r="O21" i="9"/>
  <c r="N21" i="9"/>
  <c r="N35" i="9"/>
  <c r="O35" i="9"/>
  <c r="BJ21" i="1"/>
  <c r="Q17" i="5"/>
  <c r="CW92" i="4"/>
  <c r="CU92" i="4"/>
  <c r="CV92" i="4"/>
  <c r="CT92" i="4"/>
  <c r="BI62" i="2"/>
  <c r="BJ62" i="2"/>
  <c r="CW60" i="4"/>
  <c r="CU60" i="4"/>
  <c r="CV60" i="4"/>
  <c r="CT60" i="4"/>
  <c r="BI21" i="1"/>
  <c r="CP92" i="4"/>
  <c r="CR92" i="4"/>
  <c r="CQ92" i="4"/>
  <c r="CO92" i="4"/>
  <c r="CH92" i="4"/>
  <c r="P17" i="5"/>
  <c r="CK60" i="4"/>
  <c r="CJ60" i="4"/>
  <c r="CI60" i="4"/>
  <c r="M17" i="5"/>
  <c r="CK92" i="4"/>
  <c r="CJ92" i="4"/>
  <c r="CI92" i="4"/>
  <c r="I17" i="5"/>
  <c r="BF21" i="1"/>
  <c r="BE62" i="2"/>
  <c r="ED60" i="4" s="1"/>
  <c r="EH60" i="4" s="1"/>
  <c r="BF62" i="2"/>
  <c r="EH108" i="4"/>
  <c r="BS92" i="4"/>
  <c r="BE92" i="4"/>
  <c r="BF92" i="4"/>
  <c r="BD92" i="4"/>
  <c r="BJ92" i="4"/>
  <c r="BI92" i="4"/>
  <c r="CF92" i="4"/>
  <c r="CD92" i="4"/>
  <c r="CC92" i="4"/>
  <c r="BZ92" i="4"/>
  <c r="BY92" i="4"/>
  <c r="BX92" i="4"/>
  <c r="BV92" i="4"/>
  <c r="BU92" i="4"/>
  <c r="BT92" i="4"/>
  <c r="CE92" i="4"/>
  <c r="BG92" i="4"/>
  <c r="BQ92" i="4"/>
  <c r="BP92" i="4"/>
  <c r="BO92" i="4"/>
  <c r="BN92" i="4"/>
  <c r="BL92" i="4"/>
  <c r="CA92" i="4"/>
  <c r="BK92" i="4"/>
  <c r="A775" i="8"/>
  <c r="DK60" i="4" s="1"/>
  <c r="EF61" i="4"/>
  <c r="EH61" i="4" s="1"/>
  <c r="BE21" i="1"/>
  <c r="L17" i="5"/>
  <c r="K17" i="5"/>
  <c r="AZ21" i="1"/>
  <c r="A904" i="8"/>
  <c r="A908" i="8"/>
  <c r="A912" i="8"/>
  <c r="A916" i="8"/>
  <c r="A924" i="8"/>
  <c r="EF11" i="4"/>
  <c r="EH11" i="4" s="1"/>
  <c r="ED23" i="4"/>
  <c r="EH23" i="4" s="1"/>
  <c r="ED159" i="4"/>
  <c r="EH159" i="4" s="1"/>
  <c r="ED167" i="4"/>
  <c r="EH167" i="4" s="1"/>
  <c r="ED74" i="4"/>
  <c r="EH74" i="4" s="1"/>
  <c r="ED192" i="4"/>
  <c r="EH192" i="4" s="1"/>
  <c r="ED185" i="4"/>
  <c r="EH185" i="4" s="1"/>
  <c r="ED169" i="4"/>
  <c r="EH169" i="4" s="1"/>
  <c r="ED161" i="4"/>
  <c r="EH161" i="4" s="1"/>
  <c r="J17" i="5"/>
  <c r="BA21" i="1"/>
  <c r="BB21" i="1"/>
  <c r="BC21" i="1"/>
  <c r="A742" i="8"/>
  <c r="DK92" i="4" s="1"/>
  <c r="BD21" i="1"/>
  <c r="H17" i="5"/>
  <c r="EH114" i="4"/>
  <c r="EH188" i="4"/>
  <c r="EH189" i="4"/>
  <c r="EH187" i="4"/>
  <c r="EH183" i="4"/>
  <c r="EH181" i="4"/>
  <c r="EH179" i="4"/>
  <c r="EH175" i="4"/>
  <c r="EH173" i="4"/>
  <c r="EH171" i="4"/>
  <c r="EH165" i="4"/>
  <c r="EH157" i="4"/>
  <c r="EH155" i="4"/>
  <c r="EH153" i="4"/>
  <c r="EH151" i="4"/>
  <c r="EH147" i="4"/>
  <c r="EH145" i="4"/>
  <c r="EH143" i="4"/>
  <c r="EH141" i="4"/>
  <c r="EH139" i="4"/>
  <c r="EH133" i="4"/>
  <c r="EH131" i="4"/>
  <c r="EH130" i="4"/>
  <c r="EH122" i="4"/>
  <c r="EH120" i="4"/>
  <c r="EH127" i="4"/>
  <c r="EH121" i="4"/>
  <c r="EH117" i="4"/>
  <c r="EH125" i="4"/>
  <c r="EH123" i="4"/>
  <c r="EH78" i="4"/>
  <c r="EH110" i="4"/>
  <c r="EH106" i="4"/>
  <c r="EH99" i="4"/>
  <c r="EH83" i="4"/>
  <c r="EH177" i="4"/>
  <c r="EH163" i="4"/>
  <c r="EH149" i="4"/>
  <c r="EH36" i="4"/>
  <c r="EH26" i="4"/>
  <c r="EH22" i="4"/>
  <c r="EH195" i="4"/>
  <c r="EH193" i="4"/>
  <c r="EH115" i="4"/>
  <c r="EH191" i="4"/>
  <c r="EH190" i="4"/>
  <c r="EH59" i="4"/>
  <c r="EH186" i="4"/>
  <c r="EH184" i="4"/>
  <c r="EH182" i="4"/>
  <c r="EH180" i="4"/>
  <c r="EH178" i="4"/>
  <c r="EH176" i="4"/>
  <c r="EH174" i="4"/>
  <c r="EH172" i="4"/>
  <c r="EH170" i="4"/>
  <c r="EH168" i="4"/>
  <c r="EH166" i="4"/>
  <c r="EH164" i="4"/>
  <c r="EH162" i="4"/>
  <c r="EH160" i="4"/>
  <c r="EH158" i="4"/>
  <c r="EH156" i="4"/>
  <c r="EH154" i="4"/>
  <c r="EH152" i="4"/>
  <c r="EH150" i="4"/>
  <c r="EH148" i="4"/>
  <c r="EH146" i="4"/>
  <c r="EH144" i="4"/>
  <c r="EH142" i="4"/>
  <c r="EH140" i="4"/>
  <c r="EH138" i="4"/>
  <c r="EH132" i="4"/>
  <c r="EH137" i="4"/>
  <c r="EH129" i="4"/>
  <c r="EH128" i="4"/>
  <c r="EH119" i="4"/>
  <c r="EH118" i="4"/>
  <c r="EH116" i="4"/>
  <c r="EH126" i="4"/>
  <c r="EH124" i="4"/>
  <c r="EH111" i="4"/>
  <c r="EH109" i="4"/>
  <c r="EH107" i="4"/>
  <c r="EH100" i="4"/>
  <c r="EH101" i="4"/>
  <c r="EH81" i="4"/>
  <c r="EH194" i="4"/>
  <c r="EH91" i="4"/>
  <c r="EH62" i="4"/>
  <c r="EH35" i="4"/>
  <c r="EH27" i="4"/>
  <c r="EH21" i="4"/>
  <c r="K6" i="5"/>
  <c r="K40" i="5"/>
  <c r="K41" i="5"/>
  <c r="K43" i="5"/>
  <c r="K44" i="5"/>
  <c r="K45" i="5"/>
  <c r="K49" i="5"/>
  <c r="K52" i="5"/>
  <c r="K54" i="5"/>
  <c r="K55" i="5"/>
  <c r="K56" i="5"/>
  <c r="K57" i="5"/>
  <c r="K58" i="5"/>
  <c r="K59" i="5"/>
  <c r="K63" i="5"/>
  <c r="K64" i="5"/>
  <c r="K65" i="5"/>
  <c r="K66" i="5"/>
  <c r="K67" i="5"/>
  <c r="K68" i="5"/>
  <c r="K69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M11" i="3"/>
  <c r="M21" i="3"/>
  <c r="M22" i="3"/>
  <c r="M23" i="3"/>
  <c r="M26" i="3"/>
  <c r="M27" i="3"/>
  <c r="M35" i="3"/>
  <c r="M36" i="3"/>
  <c r="M59" i="3"/>
  <c r="M60" i="3"/>
  <c r="M61" i="3"/>
  <c r="M74" i="3"/>
  <c r="M102" i="3"/>
  <c r="M105" i="3"/>
  <c r="M106" i="3"/>
  <c r="M100" i="3"/>
  <c r="M107" i="3"/>
  <c r="M108" i="3"/>
  <c r="M101" i="3"/>
  <c r="M109" i="3"/>
  <c r="M111" i="3"/>
  <c r="M112" i="3"/>
  <c r="M113" i="3"/>
  <c r="M114" i="3"/>
  <c r="M115" i="3"/>
  <c r="M116" i="3"/>
  <c r="M120" i="3"/>
  <c r="M121" i="3"/>
  <c r="M122" i="3"/>
  <c r="M123" i="3"/>
  <c r="M124" i="3"/>
  <c r="M125" i="3"/>
  <c r="M126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BD48" i="1"/>
  <c r="BD49" i="1"/>
  <c r="BD51" i="1"/>
  <c r="BD52" i="1"/>
  <c r="BD53" i="1"/>
  <c r="BD54" i="1"/>
  <c r="BD55" i="1"/>
  <c r="BD57" i="1"/>
  <c r="BD58" i="1"/>
  <c r="BD59" i="1"/>
  <c r="BD60" i="1"/>
  <c r="BD61" i="1"/>
  <c r="BD62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1" i="2"/>
  <c r="BD21" i="2"/>
  <c r="BD22" i="2"/>
  <c r="BD23" i="2"/>
  <c r="BD26" i="2"/>
  <c r="BD27" i="2"/>
  <c r="BD35" i="2"/>
  <c r="BD36" i="2"/>
  <c r="BD59" i="2"/>
  <c r="BD62" i="2"/>
  <c r="BD63" i="2"/>
  <c r="BD64" i="2"/>
  <c r="BD77" i="2"/>
  <c r="BD81" i="2"/>
  <c r="BD82" i="2"/>
  <c r="BD123" i="2"/>
  <c r="BD124" i="2"/>
  <c r="BD125" i="2"/>
  <c r="BD112" i="2"/>
  <c r="BD114" i="2"/>
  <c r="BD126" i="2"/>
  <c r="BD115" i="2"/>
  <c r="BD116" i="2"/>
  <c r="BD117" i="2"/>
  <c r="BD119" i="2"/>
  <c r="BD120" i="2"/>
  <c r="BD127" i="2"/>
  <c r="BD108" i="2"/>
  <c r="BD128" i="2"/>
  <c r="BD129" i="2"/>
  <c r="BD133" i="2"/>
  <c r="BD134" i="2"/>
  <c r="BD135" i="2"/>
  <c r="BD136" i="2"/>
  <c r="BD137" i="2"/>
  <c r="BD138" i="2"/>
  <c r="BD139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171" i="2"/>
  <c r="BD172" i="2"/>
  <c r="BD173" i="2"/>
  <c r="BD174" i="2"/>
  <c r="BD175" i="2"/>
  <c r="BD176" i="2"/>
  <c r="BD177" i="2"/>
  <c r="BD178" i="2"/>
  <c r="BD179" i="2"/>
  <c r="BD180" i="2"/>
  <c r="BD181" i="2"/>
  <c r="BD182" i="2"/>
  <c r="BD183" i="2"/>
  <c r="BD184" i="2"/>
  <c r="BD185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556" i="8"/>
  <c r="A556" i="8" s="1"/>
  <c r="CH195" i="4"/>
  <c r="CH194" i="4"/>
  <c r="CH193" i="4"/>
  <c r="CH192" i="4"/>
  <c r="CH191" i="4"/>
  <c r="CH190" i="4"/>
  <c r="CH189" i="4"/>
  <c r="CH188" i="4"/>
  <c r="CH187" i="4"/>
  <c r="CH186" i="4"/>
  <c r="CH185" i="4"/>
  <c r="CH184" i="4"/>
  <c r="CH183" i="4"/>
  <c r="CH182" i="4"/>
  <c r="CH181" i="4"/>
  <c r="CH180" i="4"/>
  <c r="CH179" i="4"/>
  <c r="CH178" i="4"/>
  <c r="CH177" i="4"/>
  <c r="CH176" i="4"/>
  <c r="CH175" i="4"/>
  <c r="CH174" i="4"/>
  <c r="CH173" i="4"/>
  <c r="CH172" i="4"/>
  <c r="CH171" i="4"/>
  <c r="CH170" i="4"/>
  <c r="CH169" i="4"/>
  <c r="CH168" i="4"/>
  <c r="CH167" i="4"/>
  <c r="CH166" i="4"/>
  <c r="CH165" i="4"/>
  <c r="CH164" i="4"/>
  <c r="CH163" i="4"/>
  <c r="CH162" i="4"/>
  <c r="CH161" i="4"/>
  <c r="CH160" i="4"/>
  <c r="CH159" i="4"/>
  <c r="CH158" i="4"/>
  <c r="CH157" i="4"/>
  <c r="CH156" i="4"/>
  <c r="CH155" i="4"/>
  <c r="CH154" i="4"/>
  <c r="CH153" i="4"/>
  <c r="CH152" i="4"/>
  <c r="CH151" i="4"/>
  <c r="CH150" i="4"/>
  <c r="CH149" i="4"/>
  <c r="CH148" i="4"/>
  <c r="CH147" i="4"/>
  <c r="CH146" i="4"/>
  <c r="CH145" i="4"/>
  <c r="CH144" i="4"/>
  <c r="CH143" i="4"/>
  <c r="CH142" i="4"/>
  <c r="CH141" i="4"/>
  <c r="CH140" i="4"/>
  <c r="CH139" i="4"/>
  <c r="CH138" i="4"/>
  <c r="CH133" i="4"/>
  <c r="CH132" i="4"/>
  <c r="CH131" i="4"/>
  <c r="CH137" i="4"/>
  <c r="CH130" i="4"/>
  <c r="CH129" i="4"/>
  <c r="CH128" i="4"/>
  <c r="CH127" i="4"/>
  <c r="CH117" i="4"/>
  <c r="CH126" i="4"/>
  <c r="CH125" i="4"/>
  <c r="CH123" i="4"/>
  <c r="CH81" i="4"/>
  <c r="CH74" i="4"/>
  <c r="CH62" i="4"/>
  <c r="CH61" i="4"/>
  <c r="CH60" i="4"/>
  <c r="CH59" i="4"/>
  <c r="CH36" i="4"/>
  <c r="CH35" i="4"/>
  <c r="CH27" i="4"/>
  <c r="CH26" i="4"/>
  <c r="CH23" i="4"/>
  <c r="CH22" i="4"/>
  <c r="CH21" i="4"/>
  <c r="CH11" i="4"/>
  <c r="H60" i="3"/>
  <c r="I60" i="3" s="1"/>
  <c r="J60" i="3"/>
  <c r="K60" i="3"/>
  <c r="L60" i="3"/>
  <c r="H61" i="3"/>
  <c r="I61" i="3" s="1"/>
  <c r="J61" i="3"/>
  <c r="K61" i="3"/>
  <c r="L61" i="3"/>
  <c r="AZ196" i="2"/>
  <c r="BA196" i="2"/>
  <c r="BB196" i="2"/>
  <c r="BC196" i="2"/>
  <c r="AZ197" i="2"/>
  <c r="BA197" i="2"/>
  <c r="BB197" i="2"/>
  <c r="BC197" i="2"/>
  <c r="AZ198" i="2"/>
  <c r="BA198" i="2"/>
  <c r="BB198" i="2"/>
  <c r="BC198" i="2"/>
  <c r="AZ199" i="2"/>
  <c r="BA199" i="2"/>
  <c r="BB199" i="2"/>
  <c r="BC199" i="2"/>
  <c r="J183" i="3"/>
  <c r="K183" i="3"/>
  <c r="L183" i="3"/>
  <c r="J184" i="3"/>
  <c r="K184" i="3"/>
  <c r="L184" i="3"/>
  <c r="J185" i="3"/>
  <c r="K185" i="3"/>
  <c r="L185" i="3"/>
  <c r="J186" i="3"/>
  <c r="K186" i="3"/>
  <c r="L186" i="3"/>
  <c r="BA122" i="1"/>
  <c r="BB122" i="1"/>
  <c r="BC122" i="1"/>
  <c r="BA123" i="1"/>
  <c r="BB123" i="1"/>
  <c r="BC123" i="1"/>
  <c r="BA124" i="1"/>
  <c r="BB124" i="1"/>
  <c r="BC124" i="1"/>
  <c r="BA125" i="1"/>
  <c r="BB125" i="1"/>
  <c r="BC125" i="1"/>
  <c r="AZ122" i="1"/>
  <c r="AZ123" i="1"/>
  <c r="AZ124" i="1"/>
  <c r="AZ125" i="1"/>
  <c r="BV62" i="2" l="1"/>
  <c r="BU62" i="2"/>
  <c r="BV21" i="1"/>
  <c r="BU21" i="1"/>
  <c r="AC17" i="5"/>
  <c r="AB17" i="5"/>
  <c r="DP37" i="4"/>
  <c r="DO37" i="4"/>
  <c r="DN37" i="4"/>
  <c r="DM37" i="4"/>
  <c r="DL37" i="4"/>
  <c r="DH37" i="4"/>
  <c r="DG37" i="4"/>
  <c r="BM37" i="2"/>
  <c r="DN31" i="4"/>
  <c r="DP31" i="4"/>
  <c r="DO31" i="4"/>
  <c r="DG31" i="4"/>
  <c r="DM31" i="4"/>
  <c r="DL31" i="4"/>
  <c r="DN32" i="4"/>
  <c r="DL32" i="4"/>
  <c r="DP32" i="4"/>
  <c r="DO32" i="4"/>
  <c r="DM32" i="4"/>
  <c r="DG32" i="4"/>
  <c r="DG103" i="4"/>
  <c r="DO103" i="4"/>
  <c r="DP103" i="4"/>
  <c r="DL103" i="4"/>
  <c r="DM103" i="4"/>
  <c r="DN103" i="4"/>
  <c r="DG94" i="4"/>
  <c r="DP94" i="4"/>
  <c r="DM94" i="4"/>
  <c r="DL94" i="4"/>
  <c r="DN94" i="4"/>
  <c r="DO94" i="4"/>
  <c r="DG115" i="4"/>
  <c r="DP115" i="4"/>
  <c r="DO115" i="4"/>
  <c r="DL115" i="4"/>
  <c r="DM115" i="4"/>
  <c r="DN115" i="4"/>
  <c r="DG50" i="4"/>
  <c r="DM50" i="4"/>
  <c r="DL50" i="4"/>
  <c r="DP50" i="4"/>
  <c r="DO50" i="4"/>
  <c r="DN50" i="4"/>
  <c r="DL30" i="4"/>
  <c r="DN30" i="4"/>
  <c r="DO30" i="4"/>
  <c r="DM30" i="4"/>
  <c r="DP30" i="4"/>
  <c r="DG30" i="4"/>
  <c r="DG91" i="4"/>
  <c r="DN91" i="4"/>
  <c r="DP91" i="4"/>
  <c r="DO91" i="4"/>
  <c r="DL91" i="4"/>
  <c r="DM91" i="4"/>
  <c r="BT37" i="2"/>
  <c r="BR37" i="2"/>
  <c r="BS37" i="2"/>
  <c r="U37" i="3"/>
  <c r="W37" i="3"/>
  <c r="AA37" i="3"/>
  <c r="V37" i="3"/>
  <c r="Z37" i="3"/>
  <c r="Y37" i="3"/>
  <c r="X37" i="3"/>
  <c r="DJ37" i="4"/>
  <c r="DF37" i="4"/>
  <c r="DI37" i="4"/>
  <c r="AC37" i="3"/>
  <c r="AB37" i="3"/>
  <c r="BO37" i="2"/>
  <c r="BN37" i="2"/>
  <c r="BL37" i="2"/>
  <c r="BQ37" i="2"/>
  <c r="BP37" i="2"/>
  <c r="BR31" i="2"/>
  <c r="DH31" i="4"/>
  <c r="BQ31" i="2"/>
  <c r="W31" i="3"/>
  <c r="Y31" i="3"/>
  <c r="BT31" i="2"/>
  <c r="DJ31" i="4"/>
  <c r="BL31" i="2"/>
  <c r="BM31" i="2"/>
  <c r="V31" i="3"/>
  <c r="X31" i="3"/>
  <c r="BN31" i="2"/>
  <c r="AC31" i="3"/>
  <c r="AB31" i="3"/>
  <c r="BP31" i="2"/>
  <c r="DI31" i="4"/>
  <c r="Z31" i="3"/>
  <c r="U31" i="3"/>
  <c r="AA31" i="3"/>
  <c r="BS31" i="2"/>
  <c r="BO31" i="2"/>
  <c r="DF31" i="4"/>
  <c r="DI32" i="4"/>
  <c r="BP32" i="2"/>
  <c r="DJ32" i="4"/>
  <c r="DF32" i="4"/>
  <c r="BR32" i="2"/>
  <c r="AB32" i="3"/>
  <c r="AA32" i="3"/>
  <c r="V32" i="3"/>
  <c r="BM32" i="2"/>
  <c r="U32" i="3"/>
  <c r="BL32" i="2"/>
  <c r="BS32" i="2"/>
  <c r="DH32" i="4"/>
  <c r="Y32" i="3"/>
  <c r="BN32" i="2"/>
  <c r="BQ32" i="2"/>
  <c r="Z32" i="3"/>
  <c r="AC32" i="3"/>
  <c r="X32" i="3"/>
  <c r="W32" i="3"/>
  <c r="BT32" i="2"/>
  <c r="BO32" i="2"/>
  <c r="AB81" i="3"/>
  <c r="AA81" i="3"/>
  <c r="BR93" i="2"/>
  <c r="U81" i="3"/>
  <c r="BS27" i="1"/>
  <c r="BP27" i="1"/>
  <c r="Y24" i="5"/>
  <c r="BO93" i="2"/>
  <c r="BM93" i="2"/>
  <c r="DF103" i="4"/>
  <c r="V24" i="5"/>
  <c r="T24" i="5"/>
  <c r="V81" i="3"/>
  <c r="BL27" i="1"/>
  <c r="DI103" i="4"/>
  <c r="BN93" i="2"/>
  <c r="BL93" i="2"/>
  <c r="BO27" i="1"/>
  <c r="Z81" i="3"/>
  <c r="DJ103" i="4"/>
  <c r="BM27" i="1"/>
  <c r="BN27" i="1"/>
  <c r="BQ27" i="1"/>
  <c r="Y81" i="3"/>
  <c r="X81" i="3"/>
  <c r="DH103" i="4"/>
  <c r="S24" i="5"/>
  <c r="AA24" i="5"/>
  <c r="Z24" i="5"/>
  <c r="BS93" i="2"/>
  <c r="BR27" i="1"/>
  <c r="U24" i="5"/>
  <c r="X24" i="5"/>
  <c r="BT93" i="2"/>
  <c r="W81" i="3"/>
  <c r="W24" i="5"/>
  <c r="BQ93" i="2"/>
  <c r="BT27" i="1"/>
  <c r="BP93" i="2"/>
  <c r="AC81" i="3"/>
  <c r="U18" i="5"/>
  <c r="W18" i="5"/>
  <c r="BQ22" i="1"/>
  <c r="DF94" i="4"/>
  <c r="BP22" i="1"/>
  <c r="DI94" i="4"/>
  <c r="S18" i="5"/>
  <c r="X18" i="5"/>
  <c r="BR22" i="1"/>
  <c r="BO22" i="1"/>
  <c r="T18" i="5"/>
  <c r="DH94" i="4"/>
  <c r="BT22" i="1"/>
  <c r="BS22" i="1"/>
  <c r="BL22" i="1"/>
  <c r="AA18" i="5"/>
  <c r="DJ94" i="4"/>
  <c r="BN22" i="1"/>
  <c r="BM22" i="1"/>
  <c r="V18" i="5"/>
  <c r="Y18" i="5"/>
  <c r="Z18" i="5"/>
  <c r="Y39" i="5"/>
  <c r="DJ115" i="4"/>
  <c r="BQ111" i="2"/>
  <c r="V39" i="5"/>
  <c r="U98" i="3"/>
  <c r="T39" i="5"/>
  <c r="BR111" i="2"/>
  <c r="BL111" i="2"/>
  <c r="Z98" i="3"/>
  <c r="Y98" i="3"/>
  <c r="BM111" i="2"/>
  <c r="BQ41" i="1"/>
  <c r="AC98" i="3"/>
  <c r="BN111" i="2"/>
  <c r="BO111" i="2"/>
  <c r="DH115" i="4"/>
  <c r="BS111" i="2"/>
  <c r="BP111" i="2"/>
  <c r="S39" i="5"/>
  <c r="W98" i="3"/>
  <c r="DI115" i="4"/>
  <c r="BO41" i="1"/>
  <c r="BM41" i="1"/>
  <c r="BS41" i="1"/>
  <c r="BT111" i="2"/>
  <c r="BP41" i="1"/>
  <c r="Z39" i="5"/>
  <c r="BN41" i="1"/>
  <c r="AA98" i="3"/>
  <c r="DF115" i="4"/>
  <c r="X98" i="3"/>
  <c r="U39" i="5"/>
  <c r="V98" i="3"/>
  <c r="AA39" i="5"/>
  <c r="BR41" i="1"/>
  <c r="BT41" i="1"/>
  <c r="X39" i="5"/>
  <c r="BL41" i="1"/>
  <c r="AB98" i="3"/>
  <c r="W39" i="5"/>
  <c r="AC50" i="3"/>
  <c r="V50" i="3"/>
  <c r="DH50" i="4"/>
  <c r="BR50" i="2"/>
  <c r="BP50" i="2"/>
  <c r="DI50" i="4"/>
  <c r="Y50" i="3"/>
  <c r="BT50" i="2"/>
  <c r="AA50" i="3"/>
  <c r="Z50" i="3"/>
  <c r="DJ50" i="4"/>
  <c r="W50" i="3"/>
  <c r="DF50" i="4"/>
  <c r="AB50" i="3"/>
  <c r="U50" i="3"/>
  <c r="BN50" i="2"/>
  <c r="BL50" i="2"/>
  <c r="BS50" i="2"/>
  <c r="X50" i="3"/>
  <c r="BM50" i="2"/>
  <c r="BQ50" i="2"/>
  <c r="BO50" i="2"/>
  <c r="Z30" i="3"/>
  <c r="DJ30" i="4"/>
  <c r="X30" i="3"/>
  <c r="DI30" i="4"/>
  <c r="DF30" i="4"/>
  <c r="Y30" i="3"/>
  <c r="BN30" i="2"/>
  <c r="W30" i="3"/>
  <c r="BL30" i="2"/>
  <c r="BO30" i="2"/>
  <c r="DH30" i="4"/>
  <c r="V30" i="3"/>
  <c r="BR30" i="2"/>
  <c r="BS30" i="2"/>
  <c r="BQ30" i="2"/>
  <c r="AC30" i="3"/>
  <c r="BT30" i="2"/>
  <c r="BM30" i="2"/>
  <c r="U30" i="3"/>
  <c r="AA30" i="3"/>
  <c r="AB30" i="3"/>
  <c r="BP30" i="2"/>
  <c r="DJ91" i="4"/>
  <c r="S16" i="5"/>
  <c r="T16" i="5"/>
  <c r="U16" i="5"/>
  <c r="W16" i="5"/>
  <c r="V16" i="5"/>
  <c r="Z16" i="5"/>
  <c r="X16" i="5"/>
  <c r="AA16" i="5"/>
  <c r="BQ20" i="1"/>
  <c r="BR20" i="1"/>
  <c r="BP20" i="1"/>
  <c r="BS20" i="1"/>
  <c r="BT20" i="1"/>
  <c r="Y16" i="5"/>
  <c r="DI91" i="4"/>
  <c r="BO20" i="1"/>
  <c r="DF91" i="4"/>
  <c r="DH91" i="4"/>
  <c r="BN20" i="1"/>
  <c r="BM20" i="1"/>
  <c r="BL20" i="1"/>
  <c r="X37" i="9"/>
  <c r="V37" i="9"/>
  <c r="U37" i="9"/>
  <c r="AA37" i="9"/>
  <c r="Z37" i="9"/>
  <c r="Y37" i="9"/>
  <c r="W37" i="9"/>
  <c r="T37" i="9"/>
  <c r="S37" i="9"/>
  <c r="Z31" i="9"/>
  <c r="Y31" i="9"/>
  <c r="X31" i="9"/>
  <c r="W31" i="9"/>
  <c r="U31" i="9"/>
  <c r="V31" i="9"/>
  <c r="AA31" i="9"/>
  <c r="T31" i="9"/>
  <c r="S31" i="9"/>
  <c r="V32" i="9"/>
  <c r="Y32" i="9"/>
  <c r="X32" i="9"/>
  <c r="W32" i="9"/>
  <c r="T32" i="9"/>
  <c r="AA32" i="9"/>
  <c r="Z32" i="9"/>
  <c r="S32" i="9"/>
  <c r="U32" i="9"/>
  <c r="Y81" i="9"/>
  <c r="T81" i="9"/>
  <c r="Z81" i="9"/>
  <c r="W81" i="9"/>
  <c r="U81" i="9"/>
  <c r="V81" i="9"/>
  <c r="AA81" i="9"/>
  <c r="S81" i="9"/>
  <c r="X81" i="9"/>
  <c r="Y96" i="9"/>
  <c r="W96" i="9"/>
  <c r="AA96" i="9"/>
  <c r="S96" i="9"/>
  <c r="V96" i="9"/>
  <c r="U96" i="9"/>
  <c r="T96" i="9"/>
  <c r="X96" i="9"/>
  <c r="Z96" i="9"/>
  <c r="W50" i="9"/>
  <c r="T50" i="9"/>
  <c r="X50" i="9"/>
  <c r="V50" i="9"/>
  <c r="U50" i="9"/>
  <c r="S50" i="9"/>
  <c r="Z50" i="9"/>
  <c r="Y50" i="9"/>
  <c r="AA50" i="9"/>
  <c r="V30" i="9"/>
  <c r="U30" i="9"/>
  <c r="W30" i="9"/>
  <c r="X30" i="9"/>
  <c r="T30" i="9"/>
  <c r="Y30" i="9"/>
  <c r="Z30" i="9"/>
  <c r="AA30" i="9"/>
  <c r="S30" i="9"/>
  <c r="DD37" i="4"/>
  <c r="DB37" i="4"/>
  <c r="CZ37" i="4"/>
  <c r="DA37" i="4"/>
  <c r="DC37" i="4"/>
  <c r="DD31" i="4"/>
  <c r="DB31" i="4"/>
  <c r="CZ31" i="4"/>
  <c r="DA31" i="4"/>
  <c r="DC31" i="4"/>
  <c r="DC32" i="4"/>
  <c r="DA32" i="4"/>
  <c r="DB32" i="4"/>
  <c r="DD32" i="4"/>
  <c r="CZ32" i="4"/>
  <c r="CZ103" i="4"/>
  <c r="DD103" i="4"/>
  <c r="DC103" i="4"/>
  <c r="DB103" i="4"/>
  <c r="DA103" i="4"/>
  <c r="CZ94" i="4"/>
  <c r="DD94" i="4"/>
  <c r="DC94" i="4"/>
  <c r="DB94" i="4"/>
  <c r="DA94" i="4"/>
  <c r="CZ115" i="4"/>
  <c r="DA115" i="4"/>
  <c r="DB115" i="4"/>
  <c r="DC115" i="4"/>
  <c r="DD115" i="4"/>
  <c r="CZ50" i="4"/>
  <c r="DD50" i="4"/>
  <c r="DC50" i="4"/>
  <c r="DB50" i="4"/>
  <c r="DA50" i="4"/>
  <c r="DA30" i="4"/>
  <c r="DC30" i="4"/>
  <c r="DD30" i="4"/>
  <c r="DB30" i="4"/>
  <c r="CZ30" i="4"/>
  <c r="DD91" i="4"/>
  <c r="DC91" i="4"/>
  <c r="DB91" i="4"/>
  <c r="DA91" i="4"/>
  <c r="CZ91" i="4"/>
  <c r="R37" i="9"/>
  <c r="T37" i="3"/>
  <c r="BK37" i="2"/>
  <c r="R31" i="9"/>
  <c r="T31" i="3"/>
  <c r="BK31" i="2"/>
  <c r="R32" i="9"/>
  <c r="T32" i="3"/>
  <c r="BK32" i="2"/>
  <c r="R81" i="9"/>
  <c r="R24" i="5"/>
  <c r="T81" i="3"/>
  <c r="BK27" i="1"/>
  <c r="BK93" i="2"/>
  <c r="CX94" i="4"/>
  <c r="R18" i="5"/>
  <c r="BK22" i="1"/>
  <c r="R96" i="9"/>
  <c r="R39" i="5"/>
  <c r="T98" i="3"/>
  <c r="BK41" i="1"/>
  <c r="BK111" i="2"/>
  <c r="R50" i="9"/>
  <c r="T50" i="3"/>
  <c r="BK50" i="2"/>
  <c r="R30" i="9"/>
  <c r="T30" i="3"/>
  <c r="BK30" i="2"/>
  <c r="CX91" i="4"/>
  <c r="R16" i="5"/>
  <c r="BK20" i="1"/>
  <c r="CX37" i="4"/>
  <c r="CW37" i="4"/>
  <c r="CV37" i="4"/>
  <c r="CU37" i="4"/>
  <c r="CT37" i="4"/>
  <c r="Q37" i="9"/>
  <c r="AC37" i="9" s="1"/>
  <c r="P37" i="9"/>
  <c r="M37" i="9"/>
  <c r="L37" i="9"/>
  <c r="K37" i="9"/>
  <c r="J37" i="9"/>
  <c r="I37" i="9"/>
  <c r="H37" i="9"/>
  <c r="I31" i="9"/>
  <c r="J31" i="9"/>
  <c r="K31" i="9"/>
  <c r="L31" i="9"/>
  <c r="H31" i="9"/>
  <c r="M31" i="9"/>
  <c r="Q31" i="9"/>
  <c r="CX31" i="4"/>
  <c r="P31" i="9"/>
  <c r="I32" i="9"/>
  <c r="P32" i="9"/>
  <c r="CX32" i="4"/>
  <c r="K32" i="9"/>
  <c r="M32" i="9"/>
  <c r="J32" i="9"/>
  <c r="H32" i="9"/>
  <c r="Q32" i="9"/>
  <c r="L32" i="9"/>
  <c r="P81" i="9"/>
  <c r="M81" i="9"/>
  <c r="Q81" i="9"/>
  <c r="CX103" i="4"/>
  <c r="K81" i="9"/>
  <c r="L81" i="9"/>
  <c r="J81" i="9"/>
  <c r="H81" i="9"/>
  <c r="I81" i="9"/>
  <c r="K96" i="9"/>
  <c r="J96" i="9"/>
  <c r="H96" i="9"/>
  <c r="CX115" i="4"/>
  <c r="Q96" i="9"/>
  <c r="P96" i="9"/>
  <c r="L96" i="9"/>
  <c r="I96" i="9"/>
  <c r="M96" i="9"/>
  <c r="K50" i="9"/>
  <c r="M50" i="9"/>
  <c r="H50" i="9"/>
  <c r="CX50" i="4"/>
  <c r="P50" i="9"/>
  <c r="Q50" i="9"/>
  <c r="AC50" i="9" s="1"/>
  <c r="L50" i="9"/>
  <c r="J50" i="9"/>
  <c r="I50" i="9"/>
  <c r="L30" i="9"/>
  <c r="M30" i="9"/>
  <c r="I30" i="9"/>
  <c r="J30" i="9"/>
  <c r="P30" i="9"/>
  <c r="Q30" i="9"/>
  <c r="CX30" i="4"/>
  <c r="K30" i="9"/>
  <c r="H30" i="9"/>
  <c r="BJ20" i="1"/>
  <c r="Q16" i="5"/>
  <c r="CW91" i="4"/>
  <c r="CV91" i="4"/>
  <c r="CU91" i="4"/>
  <c r="CT91" i="4"/>
  <c r="S30" i="3"/>
  <c r="CW30" i="4"/>
  <c r="BJ30" i="2"/>
  <c r="CU30" i="4"/>
  <c r="CV30" i="4"/>
  <c r="CT30" i="4"/>
  <c r="S50" i="3"/>
  <c r="BJ50" i="2"/>
  <c r="CV50" i="4"/>
  <c r="CW50" i="4"/>
  <c r="CU50" i="4"/>
  <c r="CT50" i="4"/>
  <c r="BJ41" i="1"/>
  <c r="Q39" i="5"/>
  <c r="S98" i="3"/>
  <c r="CW115" i="4"/>
  <c r="BJ111" i="2"/>
  <c r="CV115" i="4"/>
  <c r="CT115" i="4"/>
  <c r="CU115" i="4"/>
  <c r="Q18" i="5"/>
  <c r="BJ22" i="1"/>
  <c r="CV94" i="4"/>
  <c r="CW94" i="4"/>
  <c r="CU94" i="4"/>
  <c r="CT94" i="4"/>
  <c r="Q24" i="5"/>
  <c r="S81" i="3"/>
  <c r="BJ27" i="1"/>
  <c r="CW103" i="4"/>
  <c r="BJ93" i="2"/>
  <c r="CV103" i="4"/>
  <c r="CU103" i="4"/>
  <c r="CT103" i="4"/>
  <c r="S32" i="3"/>
  <c r="BJ32" i="2"/>
  <c r="CV32" i="4"/>
  <c r="CW32" i="4"/>
  <c r="CU32" i="4"/>
  <c r="CT32" i="4"/>
  <c r="S31" i="3"/>
  <c r="CW31" i="4"/>
  <c r="BJ31" i="2"/>
  <c r="CV31" i="4"/>
  <c r="CT31" i="4"/>
  <c r="CU31" i="4"/>
  <c r="S37" i="3"/>
  <c r="BJ37" i="2"/>
  <c r="M37" i="3"/>
  <c r="J37" i="3"/>
  <c r="N37" i="3"/>
  <c r="K37" i="3"/>
  <c r="O37" i="3"/>
  <c r="L37" i="3"/>
  <c r="R37" i="3"/>
  <c r="CR103" i="4"/>
  <c r="BI37" i="2"/>
  <c r="CC37" i="4"/>
  <c r="BY37" i="4"/>
  <c r="BU37" i="4"/>
  <c r="BQ37" i="4"/>
  <c r="BI37" i="4"/>
  <c r="BE37" i="4"/>
  <c r="CF37" i="4"/>
  <c r="BX37" i="4"/>
  <c r="BT37" i="4"/>
  <c r="BP37" i="4"/>
  <c r="BL37" i="4"/>
  <c r="BD37" i="4"/>
  <c r="CE37" i="4"/>
  <c r="CA37" i="4"/>
  <c r="BS37" i="4"/>
  <c r="BO37" i="4"/>
  <c r="BK37" i="4"/>
  <c r="BG37" i="4"/>
  <c r="CD37" i="4"/>
  <c r="BZ37" i="4"/>
  <c r="BV37" i="4"/>
  <c r="BN37" i="4"/>
  <c r="BJ37" i="4"/>
  <c r="BF37" i="4"/>
  <c r="CP103" i="4"/>
  <c r="CO103" i="4"/>
  <c r="CQ103" i="4"/>
  <c r="BI22" i="1"/>
  <c r="CP94" i="4"/>
  <c r="CR94" i="4"/>
  <c r="CO94" i="4"/>
  <c r="CQ94" i="4"/>
  <c r="BI20" i="1"/>
  <c r="CP91" i="4"/>
  <c r="CO91" i="4"/>
  <c r="CQ91" i="4"/>
  <c r="CR91" i="4"/>
  <c r="BC37" i="2"/>
  <c r="CR37" i="4"/>
  <c r="AZ37" i="2"/>
  <c r="BD37" i="2"/>
  <c r="CO37" i="4"/>
  <c r="BA37" i="2"/>
  <c r="BE37" i="2"/>
  <c r="CP37" i="4"/>
  <c r="BB37" i="2"/>
  <c r="BF37" i="2"/>
  <c r="CQ37" i="4"/>
  <c r="R98" i="3"/>
  <c r="AE98" i="3" s="1"/>
  <c r="CQ115" i="4"/>
  <c r="CP115" i="4"/>
  <c r="CO115" i="4"/>
  <c r="Q183" i="3"/>
  <c r="P183" i="3"/>
  <c r="Q184" i="3"/>
  <c r="P184" i="3"/>
  <c r="O17" i="5"/>
  <c r="N17" i="5"/>
  <c r="Q185" i="3"/>
  <c r="P185" i="3"/>
  <c r="Q186" i="3"/>
  <c r="P186" i="3"/>
  <c r="P61" i="3"/>
  <c r="Q61" i="3"/>
  <c r="Q60" i="3"/>
  <c r="P60" i="3"/>
  <c r="R81" i="3"/>
  <c r="AE81" i="3" s="1"/>
  <c r="BI31" i="2"/>
  <c r="R31" i="3"/>
  <c r="BI32" i="2"/>
  <c r="R32" i="3"/>
  <c r="AE32" i="3" s="1"/>
  <c r="BI50" i="2"/>
  <c r="R50" i="3"/>
  <c r="AE50" i="3" s="1"/>
  <c r="BI30" i="2"/>
  <c r="R30" i="3"/>
  <c r="P39" i="5"/>
  <c r="BI41" i="1"/>
  <c r="BI111" i="2"/>
  <c r="P24" i="5"/>
  <c r="BI27" i="1"/>
  <c r="BI93" i="2"/>
  <c r="CH94" i="4"/>
  <c r="P18" i="5"/>
  <c r="CH91" i="4"/>
  <c r="P16" i="5"/>
  <c r="CH103" i="4"/>
  <c r="BH199" i="2"/>
  <c r="BG199" i="2"/>
  <c r="BH197" i="2"/>
  <c r="BG197" i="2"/>
  <c r="BH198" i="2"/>
  <c r="BG198" i="2"/>
  <c r="BH196" i="2"/>
  <c r="BG196" i="2"/>
  <c r="BH124" i="1"/>
  <c r="BG124" i="1"/>
  <c r="BG123" i="1"/>
  <c r="BH123" i="1"/>
  <c r="BG21" i="1"/>
  <c r="BH21" i="1"/>
  <c r="BG122" i="1"/>
  <c r="BH122" i="1"/>
  <c r="BG125" i="1"/>
  <c r="BH125" i="1"/>
  <c r="CK103" i="4"/>
  <c r="CJ103" i="4"/>
  <c r="CI103" i="4"/>
  <c r="O30" i="3"/>
  <c r="CK30" i="4"/>
  <c r="CJ30" i="4"/>
  <c r="CI30" i="4"/>
  <c r="M39" i="5"/>
  <c r="CK115" i="4"/>
  <c r="CJ115" i="4"/>
  <c r="CI115" i="4"/>
  <c r="CI32" i="4"/>
  <c r="CK32" i="4"/>
  <c r="CJ32" i="4"/>
  <c r="CK94" i="4"/>
  <c r="CJ94" i="4"/>
  <c r="CI94" i="4"/>
  <c r="O31" i="3"/>
  <c r="CK31" i="4"/>
  <c r="CJ31" i="4"/>
  <c r="CI31" i="4"/>
  <c r="CI91" i="4"/>
  <c r="CK91" i="4"/>
  <c r="CJ91" i="4"/>
  <c r="CK50" i="4"/>
  <c r="CJ50" i="4"/>
  <c r="CI50" i="4"/>
  <c r="M24" i="5"/>
  <c r="O32" i="3"/>
  <c r="BF22" i="1"/>
  <c r="M18" i="5"/>
  <c r="BF20" i="1"/>
  <c r="M16" i="5"/>
  <c r="BF27" i="1"/>
  <c r="O81" i="3"/>
  <c r="BF41" i="1"/>
  <c r="O98" i="3"/>
  <c r="BF50" i="2"/>
  <c r="O50" i="3"/>
  <c r="CH50" i="4"/>
  <c r="BF32" i="2"/>
  <c r="BD41" i="1"/>
  <c r="BF111" i="2"/>
  <c r="BF93" i="2"/>
  <c r="N31" i="3"/>
  <c r="EF31" i="4" s="1"/>
  <c r="BF31" i="2"/>
  <c r="N30" i="3"/>
  <c r="EF30" i="4" s="1"/>
  <c r="BF30" i="2"/>
  <c r="N98" i="3"/>
  <c r="BE111" i="2"/>
  <c r="BE41" i="1"/>
  <c r="BD111" i="2"/>
  <c r="M98" i="3"/>
  <c r="CH30" i="4"/>
  <c r="N32" i="3"/>
  <c r="EF32" i="4" s="1"/>
  <c r="CC103" i="4"/>
  <c r="CD103" i="4"/>
  <c r="CE103" i="4"/>
  <c r="CF103" i="4"/>
  <c r="BG94" i="4"/>
  <c r="BX94" i="4"/>
  <c r="BI94" i="4"/>
  <c r="BY94" i="4"/>
  <c r="CC94" i="4"/>
  <c r="BJ94" i="4"/>
  <c r="BZ94" i="4"/>
  <c r="CD94" i="4"/>
  <c r="BK94" i="4"/>
  <c r="CA94" i="4"/>
  <c r="CE94" i="4"/>
  <c r="BL94" i="4"/>
  <c r="CF94" i="4"/>
  <c r="BN94" i="4"/>
  <c r="BO94" i="4"/>
  <c r="BP94" i="4"/>
  <c r="BQ94" i="4"/>
  <c r="BU94" i="4"/>
  <c r="BE94" i="4"/>
  <c r="BS94" i="4"/>
  <c r="BD94" i="4"/>
  <c r="BT94" i="4"/>
  <c r="BF94" i="4"/>
  <c r="BV94" i="4"/>
  <c r="CC91" i="4"/>
  <c r="CD91" i="4"/>
  <c r="CE91" i="4"/>
  <c r="CF91" i="4"/>
  <c r="L18" i="5"/>
  <c r="BE22" i="1"/>
  <c r="L16" i="5"/>
  <c r="BE20" i="1"/>
  <c r="BE50" i="2"/>
  <c r="ED50" i="4" s="1"/>
  <c r="N50" i="3"/>
  <c r="EF50" i="4" s="1"/>
  <c r="L39" i="5"/>
  <c r="L24" i="5"/>
  <c r="EG103" i="4" s="1"/>
  <c r="BE27" i="1"/>
  <c r="EE103" i="4" s="1"/>
  <c r="N81" i="3"/>
  <c r="EF103" i="4" s="1"/>
  <c r="BD27" i="1"/>
  <c r="BE93" i="2"/>
  <c r="BE31" i="2"/>
  <c r="BC27" i="1"/>
  <c r="BD30" i="2"/>
  <c r="BE30" i="2"/>
  <c r="BE32" i="2"/>
  <c r="BC22" i="1"/>
  <c r="BB22" i="1"/>
  <c r="BA22" i="1"/>
  <c r="AZ22" i="1"/>
  <c r="K18" i="5"/>
  <c r="J18" i="5"/>
  <c r="I18" i="5"/>
  <c r="H18" i="5"/>
  <c r="BD22" i="1"/>
  <c r="K39" i="5"/>
  <c r="CH32" i="4"/>
  <c r="BD20" i="1"/>
  <c r="BC20" i="1"/>
  <c r="BB20" i="1"/>
  <c r="BA20" i="1"/>
  <c r="AZ20" i="1"/>
  <c r="K16" i="5"/>
  <c r="J16" i="5"/>
  <c r="I16" i="5"/>
  <c r="H16" i="5"/>
  <c r="J81" i="3"/>
  <c r="H24" i="5"/>
  <c r="M30" i="3"/>
  <c r="BY91" i="4"/>
  <c r="BP91" i="4"/>
  <c r="BZ91" i="4"/>
  <c r="BI91" i="4"/>
  <c r="BQ91" i="4"/>
  <c r="BG91" i="4"/>
  <c r="CA91" i="4"/>
  <c r="BJ91" i="4"/>
  <c r="BO91" i="4"/>
  <c r="BK91" i="4"/>
  <c r="BS91" i="4"/>
  <c r="BD91" i="4"/>
  <c r="BL91" i="4"/>
  <c r="BT91" i="4"/>
  <c r="BX91" i="4"/>
  <c r="BE91" i="4"/>
  <c r="BU91" i="4"/>
  <c r="BF91" i="4"/>
  <c r="BN91" i="4"/>
  <c r="BV91" i="4"/>
  <c r="BD50" i="2"/>
  <c r="BB50" i="2"/>
  <c r="BC50" i="2"/>
  <c r="M50" i="3"/>
  <c r="AZ27" i="1"/>
  <c r="BD93" i="2"/>
  <c r="M32" i="3"/>
  <c r="K24" i="5"/>
  <c r="M31" i="3"/>
  <c r="M81" i="3"/>
  <c r="BD32" i="2"/>
  <c r="BD31" i="2"/>
  <c r="CH115" i="4"/>
  <c r="L81" i="3"/>
  <c r="K81" i="3"/>
  <c r="BB27" i="1"/>
  <c r="BA27" i="1"/>
  <c r="J24" i="5"/>
  <c r="I24" i="5"/>
  <c r="CH31" i="4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DK37" i="4" s="1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DK31" i="4" s="1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DK94" i="4" s="1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DK115" i="4" s="1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DK50" i="4" s="1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DK91" i="4" s="1"/>
  <c r="CR195" i="4"/>
  <c r="CR194" i="4"/>
  <c r="CR193" i="4"/>
  <c r="CR192" i="4"/>
  <c r="CR191" i="4"/>
  <c r="CR190" i="4"/>
  <c r="CR189" i="4"/>
  <c r="CR188" i="4"/>
  <c r="CR187" i="4"/>
  <c r="CR186" i="4"/>
  <c r="CR185" i="4"/>
  <c r="CR184" i="4"/>
  <c r="CR183" i="4"/>
  <c r="CR182" i="4"/>
  <c r="CR181" i="4"/>
  <c r="CR180" i="4"/>
  <c r="CR179" i="4"/>
  <c r="CR178" i="4"/>
  <c r="CR177" i="4"/>
  <c r="CR176" i="4"/>
  <c r="CR175" i="4"/>
  <c r="CR174" i="4"/>
  <c r="CR173" i="4"/>
  <c r="CR172" i="4"/>
  <c r="CR171" i="4"/>
  <c r="CR170" i="4"/>
  <c r="CR169" i="4"/>
  <c r="CR168" i="4"/>
  <c r="CR167" i="4"/>
  <c r="CR166" i="4"/>
  <c r="CR165" i="4"/>
  <c r="CR164" i="4"/>
  <c r="CR163" i="4"/>
  <c r="CR162" i="4"/>
  <c r="CR161" i="4"/>
  <c r="CR160" i="4"/>
  <c r="CR159" i="4"/>
  <c r="CR158" i="4"/>
  <c r="CR157" i="4"/>
  <c r="CR156" i="4"/>
  <c r="CR155" i="4"/>
  <c r="CR154" i="4"/>
  <c r="CR153" i="4"/>
  <c r="CR152" i="4"/>
  <c r="CR151" i="4"/>
  <c r="CR150" i="4"/>
  <c r="CR149" i="4"/>
  <c r="CR148" i="4"/>
  <c r="CR147" i="4"/>
  <c r="CR146" i="4"/>
  <c r="CR145" i="4"/>
  <c r="CR144" i="4"/>
  <c r="CR143" i="4"/>
  <c r="CR142" i="4"/>
  <c r="CR141" i="4"/>
  <c r="CR140" i="4"/>
  <c r="CR139" i="4"/>
  <c r="CR138" i="4"/>
  <c r="CR133" i="4"/>
  <c r="CR132" i="4"/>
  <c r="CR131" i="4"/>
  <c r="CR130" i="4"/>
  <c r="CR129" i="4"/>
  <c r="CR128" i="4"/>
  <c r="CR127" i="4"/>
  <c r="CR117" i="4"/>
  <c r="CR126" i="4"/>
  <c r="CR125" i="4"/>
  <c r="CR123" i="4"/>
  <c r="CR115" i="4"/>
  <c r="CR81" i="4"/>
  <c r="CQ81" i="4"/>
  <c r="CP81" i="4"/>
  <c r="CO81" i="4"/>
  <c r="CR74" i="4"/>
  <c r="CQ74" i="4"/>
  <c r="CP74" i="4"/>
  <c r="CO74" i="4"/>
  <c r="CR62" i="4"/>
  <c r="CQ62" i="4"/>
  <c r="CP62" i="4"/>
  <c r="CO62" i="4"/>
  <c r="CR61" i="4"/>
  <c r="CQ61" i="4"/>
  <c r="CP61" i="4"/>
  <c r="CO61" i="4"/>
  <c r="CR60" i="4"/>
  <c r="CQ60" i="4"/>
  <c r="CP60" i="4"/>
  <c r="CO60" i="4"/>
  <c r="CR59" i="4"/>
  <c r="CQ59" i="4"/>
  <c r="CP59" i="4"/>
  <c r="CO59" i="4"/>
  <c r="CR50" i="4"/>
  <c r="CQ50" i="4"/>
  <c r="CP50" i="4"/>
  <c r="CO50" i="4"/>
  <c r="CR36" i="4"/>
  <c r="CQ36" i="4"/>
  <c r="CP36" i="4"/>
  <c r="CO36" i="4"/>
  <c r="CR35" i="4"/>
  <c r="CQ35" i="4"/>
  <c r="CP35" i="4"/>
  <c r="CO35" i="4"/>
  <c r="CR32" i="4"/>
  <c r="CQ32" i="4"/>
  <c r="CP32" i="4"/>
  <c r="CO32" i="4"/>
  <c r="CR31" i="4"/>
  <c r="CQ31" i="4"/>
  <c r="CP31" i="4"/>
  <c r="CO31" i="4"/>
  <c r="CR30" i="4"/>
  <c r="CQ30" i="4"/>
  <c r="CP30" i="4"/>
  <c r="CO30" i="4"/>
  <c r="CR27" i="4"/>
  <c r="CQ27" i="4"/>
  <c r="CP27" i="4"/>
  <c r="CO27" i="4"/>
  <c r="CR26" i="4"/>
  <c r="CQ26" i="4"/>
  <c r="CP26" i="4"/>
  <c r="CO26" i="4"/>
  <c r="CR23" i="4"/>
  <c r="CQ23" i="4"/>
  <c r="CP23" i="4"/>
  <c r="CO23" i="4"/>
  <c r="CR22" i="4"/>
  <c r="CQ22" i="4"/>
  <c r="CP22" i="4"/>
  <c r="CO22" i="4"/>
  <c r="CR21" i="4"/>
  <c r="CQ21" i="4"/>
  <c r="CP21" i="4"/>
  <c r="CO21" i="4"/>
  <c r="CR11" i="4"/>
  <c r="CQ11" i="4"/>
  <c r="CP11" i="4"/>
  <c r="CO11" i="4"/>
  <c r="CF195" i="4"/>
  <c r="CE195" i="4"/>
  <c r="CD195" i="4"/>
  <c r="CC195" i="4"/>
  <c r="CF194" i="4"/>
  <c r="CE194" i="4"/>
  <c r="CD194" i="4"/>
  <c r="CC194" i="4"/>
  <c r="CF193" i="4"/>
  <c r="CE193" i="4"/>
  <c r="CD193" i="4"/>
  <c r="CC193" i="4"/>
  <c r="CF192" i="4"/>
  <c r="CE192" i="4"/>
  <c r="CD192" i="4"/>
  <c r="CC192" i="4"/>
  <c r="CF191" i="4"/>
  <c r="CE191" i="4"/>
  <c r="CD191" i="4"/>
  <c r="CC191" i="4"/>
  <c r="CF190" i="4"/>
  <c r="CE190" i="4"/>
  <c r="CD190" i="4"/>
  <c r="CC190" i="4"/>
  <c r="CF189" i="4"/>
  <c r="CE189" i="4"/>
  <c r="CD189" i="4"/>
  <c r="CC189" i="4"/>
  <c r="CF188" i="4"/>
  <c r="CE188" i="4"/>
  <c r="CD188" i="4"/>
  <c r="CC188" i="4"/>
  <c r="CF187" i="4"/>
  <c r="CE187" i="4"/>
  <c r="CD187" i="4"/>
  <c r="CC187" i="4"/>
  <c r="CF186" i="4"/>
  <c r="CE186" i="4"/>
  <c r="CD186" i="4"/>
  <c r="CC186" i="4"/>
  <c r="CF185" i="4"/>
  <c r="CE185" i="4"/>
  <c r="CD185" i="4"/>
  <c r="CC185" i="4"/>
  <c r="CF184" i="4"/>
  <c r="CE184" i="4"/>
  <c r="CD184" i="4"/>
  <c r="CC184" i="4"/>
  <c r="CF183" i="4"/>
  <c r="CE183" i="4"/>
  <c r="CD183" i="4"/>
  <c r="CC183" i="4"/>
  <c r="CF182" i="4"/>
  <c r="CE182" i="4"/>
  <c r="CD182" i="4"/>
  <c r="CC182" i="4"/>
  <c r="CF181" i="4"/>
  <c r="CE181" i="4"/>
  <c r="CD181" i="4"/>
  <c r="CC181" i="4"/>
  <c r="CF180" i="4"/>
  <c r="CE180" i="4"/>
  <c r="CD180" i="4"/>
  <c r="CC180" i="4"/>
  <c r="CF179" i="4"/>
  <c r="CE179" i="4"/>
  <c r="CD179" i="4"/>
  <c r="CC179" i="4"/>
  <c r="CF178" i="4"/>
  <c r="CE178" i="4"/>
  <c r="CD178" i="4"/>
  <c r="CC178" i="4"/>
  <c r="CF177" i="4"/>
  <c r="CE177" i="4"/>
  <c r="CD177" i="4"/>
  <c r="CC177" i="4"/>
  <c r="CF176" i="4"/>
  <c r="CE176" i="4"/>
  <c r="CD176" i="4"/>
  <c r="CC176" i="4"/>
  <c r="CF175" i="4"/>
  <c r="CE175" i="4"/>
  <c r="CD175" i="4"/>
  <c r="CC175" i="4"/>
  <c r="CF174" i="4"/>
  <c r="CE174" i="4"/>
  <c r="CD174" i="4"/>
  <c r="CC174" i="4"/>
  <c r="CF173" i="4"/>
  <c r="CE173" i="4"/>
  <c r="CD173" i="4"/>
  <c r="CC173" i="4"/>
  <c r="CF172" i="4"/>
  <c r="CE172" i="4"/>
  <c r="CD172" i="4"/>
  <c r="CC172" i="4"/>
  <c r="CF171" i="4"/>
  <c r="CE171" i="4"/>
  <c r="CD171" i="4"/>
  <c r="CC171" i="4"/>
  <c r="CF170" i="4"/>
  <c r="CE170" i="4"/>
  <c r="CD170" i="4"/>
  <c r="CC170" i="4"/>
  <c r="CF169" i="4"/>
  <c r="CE169" i="4"/>
  <c r="CD169" i="4"/>
  <c r="CC169" i="4"/>
  <c r="CF168" i="4"/>
  <c r="CE168" i="4"/>
  <c r="CD168" i="4"/>
  <c r="CC168" i="4"/>
  <c r="CF167" i="4"/>
  <c r="CE167" i="4"/>
  <c r="CD167" i="4"/>
  <c r="CC167" i="4"/>
  <c r="CF166" i="4"/>
  <c r="CE166" i="4"/>
  <c r="CD166" i="4"/>
  <c r="CC166" i="4"/>
  <c r="CF165" i="4"/>
  <c r="CE165" i="4"/>
  <c r="CD165" i="4"/>
  <c r="CC165" i="4"/>
  <c r="CF164" i="4"/>
  <c r="CE164" i="4"/>
  <c r="CD164" i="4"/>
  <c r="CC164" i="4"/>
  <c r="CF163" i="4"/>
  <c r="CE163" i="4"/>
  <c r="CD163" i="4"/>
  <c r="CC163" i="4"/>
  <c r="CF162" i="4"/>
  <c r="CE162" i="4"/>
  <c r="CD162" i="4"/>
  <c r="CC162" i="4"/>
  <c r="CF161" i="4"/>
  <c r="CE161" i="4"/>
  <c r="CD161" i="4"/>
  <c r="CC161" i="4"/>
  <c r="CF160" i="4"/>
  <c r="CE160" i="4"/>
  <c r="CD160" i="4"/>
  <c r="CC160" i="4"/>
  <c r="CF159" i="4"/>
  <c r="CE159" i="4"/>
  <c r="CD159" i="4"/>
  <c r="CC159" i="4"/>
  <c r="CF158" i="4"/>
  <c r="CE158" i="4"/>
  <c r="CD158" i="4"/>
  <c r="CC158" i="4"/>
  <c r="CF157" i="4"/>
  <c r="CE157" i="4"/>
  <c r="CD157" i="4"/>
  <c r="CC157" i="4"/>
  <c r="CF156" i="4"/>
  <c r="CE156" i="4"/>
  <c r="CD156" i="4"/>
  <c r="CC156" i="4"/>
  <c r="CF155" i="4"/>
  <c r="CE155" i="4"/>
  <c r="CD155" i="4"/>
  <c r="CC155" i="4"/>
  <c r="CF154" i="4"/>
  <c r="CE154" i="4"/>
  <c r="CD154" i="4"/>
  <c r="CC154" i="4"/>
  <c r="CF153" i="4"/>
  <c r="CE153" i="4"/>
  <c r="CD153" i="4"/>
  <c r="CC153" i="4"/>
  <c r="CF152" i="4"/>
  <c r="CE152" i="4"/>
  <c r="CD152" i="4"/>
  <c r="CC152" i="4"/>
  <c r="CF151" i="4"/>
  <c r="CE151" i="4"/>
  <c r="CD151" i="4"/>
  <c r="CC151" i="4"/>
  <c r="CF150" i="4"/>
  <c r="CE150" i="4"/>
  <c r="CD150" i="4"/>
  <c r="CC150" i="4"/>
  <c r="CF149" i="4"/>
  <c r="CE149" i="4"/>
  <c r="CD149" i="4"/>
  <c r="CC149" i="4"/>
  <c r="CF148" i="4"/>
  <c r="CE148" i="4"/>
  <c r="CD148" i="4"/>
  <c r="CC148" i="4"/>
  <c r="CF147" i="4"/>
  <c r="CE147" i="4"/>
  <c r="CD147" i="4"/>
  <c r="CC147" i="4"/>
  <c r="CF146" i="4"/>
  <c r="CE146" i="4"/>
  <c r="CD146" i="4"/>
  <c r="CC146" i="4"/>
  <c r="CF145" i="4"/>
  <c r="CE145" i="4"/>
  <c r="CD145" i="4"/>
  <c r="CC145" i="4"/>
  <c r="CF144" i="4"/>
  <c r="CE144" i="4"/>
  <c r="CD144" i="4"/>
  <c r="CC144" i="4"/>
  <c r="CF143" i="4"/>
  <c r="CE143" i="4"/>
  <c r="CD143" i="4"/>
  <c r="CC143" i="4"/>
  <c r="CF142" i="4"/>
  <c r="CE142" i="4"/>
  <c r="CD142" i="4"/>
  <c r="CC142" i="4"/>
  <c r="CF141" i="4"/>
  <c r="CE141" i="4"/>
  <c r="CD141" i="4"/>
  <c r="CC141" i="4"/>
  <c r="CF140" i="4"/>
  <c r="CE140" i="4"/>
  <c r="CD140" i="4"/>
  <c r="CC140" i="4"/>
  <c r="CF139" i="4"/>
  <c r="CE139" i="4"/>
  <c r="CD139" i="4"/>
  <c r="CC139" i="4"/>
  <c r="CF138" i="4"/>
  <c r="CE138" i="4"/>
  <c r="CD138" i="4"/>
  <c r="CC138" i="4"/>
  <c r="CF133" i="4"/>
  <c r="CE133" i="4"/>
  <c r="CD133" i="4"/>
  <c r="CC133" i="4"/>
  <c r="CF132" i="4"/>
  <c r="CE132" i="4"/>
  <c r="CD132" i="4"/>
  <c r="CC132" i="4"/>
  <c r="CF131" i="4"/>
  <c r="CE131" i="4"/>
  <c r="CD131" i="4"/>
  <c r="CC131" i="4"/>
  <c r="CF137" i="4"/>
  <c r="CE137" i="4"/>
  <c r="CD137" i="4"/>
  <c r="CC137" i="4"/>
  <c r="CF130" i="4"/>
  <c r="CE130" i="4"/>
  <c r="CD130" i="4"/>
  <c r="CC130" i="4"/>
  <c r="CF129" i="4"/>
  <c r="CE129" i="4"/>
  <c r="CD129" i="4"/>
  <c r="CC129" i="4"/>
  <c r="CF128" i="4"/>
  <c r="CE128" i="4"/>
  <c r="CD128" i="4"/>
  <c r="CC128" i="4"/>
  <c r="CF127" i="4"/>
  <c r="CE127" i="4"/>
  <c r="CD127" i="4"/>
  <c r="CC127" i="4"/>
  <c r="CF117" i="4"/>
  <c r="CE117" i="4"/>
  <c r="CD117" i="4"/>
  <c r="CC117" i="4"/>
  <c r="CF126" i="4"/>
  <c r="CE126" i="4"/>
  <c r="CD126" i="4"/>
  <c r="CC126" i="4"/>
  <c r="CF125" i="4"/>
  <c r="CE125" i="4"/>
  <c r="CD125" i="4"/>
  <c r="CC125" i="4"/>
  <c r="CF123" i="4"/>
  <c r="CE123" i="4"/>
  <c r="CD123" i="4"/>
  <c r="CC123" i="4"/>
  <c r="CF115" i="4"/>
  <c r="CE115" i="4"/>
  <c r="CD115" i="4"/>
  <c r="CC115" i="4"/>
  <c r="CF81" i="4"/>
  <c r="CE81" i="4"/>
  <c r="CD81" i="4"/>
  <c r="CC81" i="4"/>
  <c r="CF74" i="4"/>
  <c r="CE74" i="4"/>
  <c r="CD74" i="4"/>
  <c r="CC74" i="4"/>
  <c r="CF62" i="4"/>
  <c r="CE62" i="4"/>
  <c r="CD62" i="4"/>
  <c r="CC62" i="4"/>
  <c r="CF61" i="4"/>
  <c r="CE61" i="4"/>
  <c r="CD61" i="4"/>
  <c r="CC61" i="4"/>
  <c r="CF60" i="4"/>
  <c r="CE60" i="4"/>
  <c r="CD60" i="4"/>
  <c r="CC60" i="4"/>
  <c r="CF59" i="4"/>
  <c r="CE59" i="4"/>
  <c r="CD59" i="4"/>
  <c r="CC59" i="4"/>
  <c r="CF50" i="4"/>
  <c r="CE50" i="4"/>
  <c r="CD50" i="4"/>
  <c r="CC50" i="4"/>
  <c r="CF36" i="4"/>
  <c r="CE36" i="4"/>
  <c r="CD36" i="4"/>
  <c r="CC36" i="4"/>
  <c r="CF35" i="4"/>
  <c r="CE35" i="4"/>
  <c r="CD35" i="4"/>
  <c r="CC35" i="4"/>
  <c r="CF32" i="4"/>
  <c r="CE32" i="4"/>
  <c r="CD32" i="4"/>
  <c r="CC32" i="4"/>
  <c r="CF31" i="4"/>
  <c r="CE31" i="4"/>
  <c r="CD31" i="4"/>
  <c r="CC31" i="4"/>
  <c r="CF30" i="4"/>
  <c r="CE30" i="4"/>
  <c r="CD30" i="4"/>
  <c r="CC30" i="4"/>
  <c r="CF27" i="4"/>
  <c r="CE27" i="4"/>
  <c r="CD27" i="4"/>
  <c r="CC27" i="4"/>
  <c r="CF26" i="4"/>
  <c r="CE26" i="4"/>
  <c r="CD26" i="4"/>
  <c r="CC26" i="4"/>
  <c r="CF23" i="4"/>
  <c r="CE23" i="4"/>
  <c r="CD23" i="4"/>
  <c r="CC23" i="4"/>
  <c r="CF22" i="4"/>
  <c r="CE22" i="4"/>
  <c r="CD22" i="4"/>
  <c r="CC22" i="4"/>
  <c r="CF21" i="4"/>
  <c r="CE21" i="4"/>
  <c r="CD21" i="4"/>
  <c r="CC21" i="4"/>
  <c r="CF11" i="4"/>
  <c r="CE11" i="4"/>
  <c r="CD11" i="4"/>
  <c r="CC11" i="4"/>
  <c r="CA195" i="4"/>
  <c r="BZ195" i="4"/>
  <c r="BY195" i="4"/>
  <c r="BX195" i="4"/>
  <c r="CA194" i="4"/>
  <c r="BZ194" i="4"/>
  <c r="BY194" i="4"/>
  <c r="BX194" i="4"/>
  <c r="CA193" i="4"/>
  <c r="BZ193" i="4"/>
  <c r="BY193" i="4"/>
  <c r="BX193" i="4"/>
  <c r="CA192" i="4"/>
  <c r="BZ192" i="4"/>
  <c r="BY192" i="4"/>
  <c r="BX192" i="4"/>
  <c r="CA191" i="4"/>
  <c r="BZ191" i="4"/>
  <c r="BY191" i="4"/>
  <c r="BX191" i="4"/>
  <c r="CA190" i="4"/>
  <c r="BZ190" i="4"/>
  <c r="BY190" i="4"/>
  <c r="BX190" i="4"/>
  <c r="CA189" i="4"/>
  <c r="BZ189" i="4"/>
  <c r="BY189" i="4"/>
  <c r="BX189" i="4"/>
  <c r="CA188" i="4"/>
  <c r="BZ188" i="4"/>
  <c r="BY188" i="4"/>
  <c r="BX188" i="4"/>
  <c r="CA187" i="4"/>
  <c r="BZ187" i="4"/>
  <c r="BY187" i="4"/>
  <c r="BX187" i="4"/>
  <c r="CA186" i="4"/>
  <c r="BZ186" i="4"/>
  <c r="BY186" i="4"/>
  <c r="BX186" i="4"/>
  <c r="CA185" i="4"/>
  <c r="BZ185" i="4"/>
  <c r="BY185" i="4"/>
  <c r="BX185" i="4"/>
  <c r="CA184" i="4"/>
  <c r="BZ184" i="4"/>
  <c r="BY184" i="4"/>
  <c r="BX184" i="4"/>
  <c r="CA183" i="4"/>
  <c r="BZ183" i="4"/>
  <c r="BY183" i="4"/>
  <c r="BX183" i="4"/>
  <c r="CA182" i="4"/>
  <c r="BZ182" i="4"/>
  <c r="BY182" i="4"/>
  <c r="BX182" i="4"/>
  <c r="CA181" i="4"/>
  <c r="BZ181" i="4"/>
  <c r="BY181" i="4"/>
  <c r="BX181" i="4"/>
  <c r="CA180" i="4"/>
  <c r="BZ180" i="4"/>
  <c r="BY180" i="4"/>
  <c r="BX180" i="4"/>
  <c r="CA179" i="4"/>
  <c r="BZ179" i="4"/>
  <c r="BY179" i="4"/>
  <c r="BX179" i="4"/>
  <c r="CA178" i="4"/>
  <c r="BZ178" i="4"/>
  <c r="BY178" i="4"/>
  <c r="BX178" i="4"/>
  <c r="CA177" i="4"/>
  <c r="BZ177" i="4"/>
  <c r="BY177" i="4"/>
  <c r="BX177" i="4"/>
  <c r="CA176" i="4"/>
  <c r="BZ176" i="4"/>
  <c r="BY176" i="4"/>
  <c r="BX176" i="4"/>
  <c r="CA175" i="4"/>
  <c r="BZ175" i="4"/>
  <c r="BY175" i="4"/>
  <c r="BX175" i="4"/>
  <c r="CA174" i="4"/>
  <c r="BZ174" i="4"/>
  <c r="BY174" i="4"/>
  <c r="BX174" i="4"/>
  <c r="CA173" i="4"/>
  <c r="BZ173" i="4"/>
  <c r="BY173" i="4"/>
  <c r="BX173" i="4"/>
  <c r="CA172" i="4"/>
  <c r="BZ172" i="4"/>
  <c r="BY172" i="4"/>
  <c r="BX172" i="4"/>
  <c r="CA171" i="4"/>
  <c r="BZ171" i="4"/>
  <c r="BY171" i="4"/>
  <c r="BX171" i="4"/>
  <c r="CA170" i="4"/>
  <c r="BZ170" i="4"/>
  <c r="BY170" i="4"/>
  <c r="BX170" i="4"/>
  <c r="CA169" i="4"/>
  <c r="BZ169" i="4"/>
  <c r="BY169" i="4"/>
  <c r="BX169" i="4"/>
  <c r="CA168" i="4"/>
  <c r="BZ168" i="4"/>
  <c r="BY168" i="4"/>
  <c r="BX168" i="4"/>
  <c r="CA167" i="4"/>
  <c r="BZ167" i="4"/>
  <c r="BY167" i="4"/>
  <c r="BX167" i="4"/>
  <c r="CA166" i="4"/>
  <c r="BZ166" i="4"/>
  <c r="BY166" i="4"/>
  <c r="BX166" i="4"/>
  <c r="CA165" i="4"/>
  <c r="BZ165" i="4"/>
  <c r="BY165" i="4"/>
  <c r="BX165" i="4"/>
  <c r="CA164" i="4"/>
  <c r="BZ164" i="4"/>
  <c r="BY164" i="4"/>
  <c r="BX164" i="4"/>
  <c r="CA163" i="4"/>
  <c r="BZ163" i="4"/>
  <c r="BY163" i="4"/>
  <c r="BX163" i="4"/>
  <c r="CA162" i="4"/>
  <c r="BZ162" i="4"/>
  <c r="BY162" i="4"/>
  <c r="BX162" i="4"/>
  <c r="CA161" i="4"/>
  <c r="BZ161" i="4"/>
  <c r="BY161" i="4"/>
  <c r="BX161" i="4"/>
  <c r="CA160" i="4"/>
  <c r="BZ160" i="4"/>
  <c r="BY160" i="4"/>
  <c r="BX160" i="4"/>
  <c r="CA159" i="4"/>
  <c r="BZ159" i="4"/>
  <c r="BY159" i="4"/>
  <c r="BX159" i="4"/>
  <c r="CA158" i="4"/>
  <c r="BZ158" i="4"/>
  <c r="BY158" i="4"/>
  <c r="BX158" i="4"/>
  <c r="CA157" i="4"/>
  <c r="BZ157" i="4"/>
  <c r="BY157" i="4"/>
  <c r="BX157" i="4"/>
  <c r="CA156" i="4"/>
  <c r="BZ156" i="4"/>
  <c r="BY156" i="4"/>
  <c r="BX156" i="4"/>
  <c r="CA155" i="4"/>
  <c r="BZ155" i="4"/>
  <c r="BY155" i="4"/>
  <c r="BX155" i="4"/>
  <c r="CA154" i="4"/>
  <c r="BZ154" i="4"/>
  <c r="BY154" i="4"/>
  <c r="BX154" i="4"/>
  <c r="CA153" i="4"/>
  <c r="BZ153" i="4"/>
  <c r="BY153" i="4"/>
  <c r="BX153" i="4"/>
  <c r="CA152" i="4"/>
  <c r="BZ152" i="4"/>
  <c r="BY152" i="4"/>
  <c r="BX152" i="4"/>
  <c r="CA151" i="4"/>
  <c r="BZ151" i="4"/>
  <c r="BY151" i="4"/>
  <c r="BX151" i="4"/>
  <c r="CA150" i="4"/>
  <c r="BZ150" i="4"/>
  <c r="BY150" i="4"/>
  <c r="BX150" i="4"/>
  <c r="CA149" i="4"/>
  <c r="BZ149" i="4"/>
  <c r="BY149" i="4"/>
  <c r="BX149" i="4"/>
  <c r="CA148" i="4"/>
  <c r="BZ148" i="4"/>
  <c r="BY148" i="4"/>
  <c r="BX148" i="4"/>
  <c r="CA147" i="4"/>
  <c r="BZ147" i="4"/>
  <c r="BY147" i="4"/>
  <c r="BX147" i="4"/>
  <c r="CA146" i="4"/>
  <c r="BZ146" i="4"/>
  <c r="BY146" i="4"/>
  <c r="BX146" i="4"/>
  <c r="CA145" i="4"/>
  <c r="BZ145" i="4"/>
  <c r="BY145" i="4"/>
  <c r="BX145" i="4"/>
  <c r="CA144" i="4"/>
  <c r="BZ144" i="4"/>
  <c r="BY144" i="4"/>
  <c r="BX144" i="4"/>
  <c r="CA143" i="4"/>
  <c r="BZ143" i="4"/>
  <c r="BY143" i="4"/>
  <c r="BX143" i="4"/>
  <c r="CA142" i="4"/>
  <c r="BZ142" i="4"/>
  <c r="BY142" i="4"/>
  <c r="BX142" i="4"/>
  <c r="CA141" i="4"/>
  <c r="BZ141" i="4"/>
  <c r="BY141" i="4"/>
  <c r="BX141" i="4"/>
  <c r="CA140" i="4"/>
  <c r="BZ140" i="4"/>
  <c r="BY140" i="4"/>
  <c r="BX140" i="4"/>
  <c r="CA139" i="4"/>
  <c r="BZ139" i="4"/>
  <c r="BY139" i="4"/>
  <c r="BX139" i="4"/>
  <c r="CA138" i="4"/>
  <c r="BZ138" i="4"/>
  <c r="BY138" i="4"/>
  <c r="BX138" i="4"/>
  <c r="CA133" i="4"/>
  <c r="BZ133" i="4"/>
  <c r="BY133" i="4"/>
  <c r="BX133" i="4"/>
  <c r="CA132" i="4"/>
  <c r="BZ132" i="4"/>
  <c r="BY132" i="4"/>
  <c r="BX132" i="4"/>
  <c r="CA131" i="4"/>
  <c r="BZ131" i="4"/>
  <c r="BY131" i="4"/>
  <c r="BX131" i="4"/>
  <c r="CA137" i="4"/>
  <c r="BZ137" i="4"/>
  <c r="BY137" i="4"/>
  <c r="BX137" i="4"/>
  <c r="CA130" i="4"/>
  <c r="BZ130" i="4"/>
  <c r="BY130" i="4"/>
  <c r="BX130" i="4"/>
  <c r="CA129" i="4"/>
  <c r="BZ129" i="4"/>
  <c r="BY129" i="4"/>
  <c r="BX129" i="4"/>
  <c r="CA128" i="4"/>
  <c r="BZ128" i="4"/>
  <c r="BY128" i="4"/>
  <c r="BX128" i="4"/>
  <c r="CA127" i="4"/>
  <c r="BZ127" i="4"/>
  <c r="BY127" i="4"/>
  <c r="BX127" i="4"/>
  <c r="CA117" i="4"/>
  <c r="BZ117" i="4"/>
  <c r="BY117" i="4"/>
  <c r="BX117" i="4"/>
  <c r="CA126" i="4"/>
  <c r="BZ126" i="4"/>
  <c r="BY126" i="4"/>
  <c r="BX126" i="4"/>
  <c r="CA125" i="4"/>
  <c r="BZ125" i="4"/>
  <c r="BY125" i="4"/>
  <c r="BX125" i="4"/>
  <c r="CA123" i="4"/>
  <c r="BZ123" i="4"/>
  <c r="BY123" i="4"/>
  <c r="BX123" i="4"/>
  <c r="CA115" i="4"/>
  <c r="BZ115" i="4"/>
  <c r="BY115" i="4"/>
  <c r="BX115" i="4"/>
  <c r="CA81" i="4"/>
  <c r="BZ81" i="4"/>
  <c r="BY81" i="4"/>
  <c r="BX81" i="4"/>
  <c r="CA74" i="4"/>
  <c r="BZ74" i="4"/>
  <c r="BY74" i="4"/>
  <c r="BX74" i="4"/>
  <c r="CA62" i="4"/>
  <c r="BZ62" i="4"/>
  <c r="BY62" i="4"/>
  <c r="BX62" i="4"/>
  <c r="CA61" i="4"/>
  <c r="BZ61" i="4"/>
  <c r="BY61" i="4"/>
  <c r="BX61" i="4"/>
  <c r="CA60" i="4"/>
  <c r="BZ60" i="4"/>
  <c r="BY60" i="4"/>
  <c r="BX60" i="4"/>
  <c r="CA59" i="4"/>
  <c r="BZ59" i="4"/>
  <c r="BY59" i="4"/>
  <c r="BX59" i="4"/>
  <c r="CA50" i="4"/>
  <c r="BZ50" i="4"/>
  <c r="BY50" i="4"/>
  <c r="BX50" i="4"/>
  <c r="CA36" i="4"/>
  <c r="BZ36" i="4"/>
  <c r="BY36" i="4"/>
  <c r="BX36" i="4"/>
  <c r="CA35" i="4"/>
  <c r="BZ35" i="4"/>
  <c r="BY35" i="4"/>
  <c r="BX35" i="4"/>
  <c r="CA32" i="4"/>
  <c r="BZ32" i="4"/>
  <c r="BY32" i="4"/>
  <c r="BX32" i="4"/>
  <c r="CA31" i="4"/>
  <c r="BZ31" i="4"/>
  <c r="BY31" i="4"/>
  <c r="BX31" i="4"/>
  <c r="CA30" i="4"/>
  <c r="BZ30" i="4"/>
  <c r="BY30" i="4"/>
  <c r="BX30" i="4"/>
  <c r="CA27" i="4"/>
  <c r="BZ27" i="4"/>
  <c r="BY27" i="4"/>
  <c r="BX27" i="4"/>
  <c r="CA26" i="4"/>
  <c r="BZ26" i="4"/>
  <c r="BY26" i="4"/>
  <c r="BX26" i="4"/>
  <c r="CA23" i="4"/>
  <c r="BZ23" i="4"/>
  <c r="BY23" i="4"/>
  <c r="BX23" i="4"/>
  <c r="CA22" i="4"/>
  <c r="BZ22" i="4"/>
  <c r="BY22" i="4"/>
  <c r="BX22" i="4"/>
  <c r="CA21" i="4"/>
  <c r="BZ21" i="4"/>
  <c r="BY21" i="4"/>
  <c r="BX21" i="4"/>
  <c r="CA11" i="4"/>
  <c r="BZ11" i="4"/>
  <c r="BY11" i="4"/>
  <c r="BX11" i="4"/>
  <c r="BG195" i="4"/>
  <c r="BF195" i="4"/>
  <c r="BE195" i="4"/>
  <c r="BD195" i="4"/>
  <c r="BG194" i="4"/>
  <c r="BF194" i="4"/>
  <c r="BE194" i="4"/>
  <c r="BD194" i="4"/>
  <c r="BG193" i="4"/>
  <c r="BF193" i="4"/>
  <c r="BE193" i="4"/>
  <c r="BD193" i="4"/>
  <c r="BG192" i="4"/>
  <c r="BF192" i="4"/>
  <c r="BE192" i="4"/>
  <c r="BD192" i="4"/>
  <c r="BG191" i="4"/>
  <c r="BF191" i="4"/>
  <c r="BE191" i="4"/>
  <c r="BD191" i="4"/>
  <c r="BG190" i="4"/>
  <c r="BF190" i="4"/>
  <c r="BE190" i="4"/>
  <c r="BD190" i="4"/>
  <c r="BG189" i="4"/>
  <c r="BF189" i="4"/>
  <c r="BE189" i="4"/>
  <c r="BD189" i="4"/>
  <c r="BG188" i="4"/>
  <c r="BF188" i="4"/>
  <c r="BE188" i="4"/>
  <c r="BD188" i="4"/>
  <c r="BG187" i="4"/>
  <c r="BF187" i="4"/>
  <c r="BE187" i="4"/>
  <c r="BD187" i="4"/>
  <c r="BG186" i="4"/>
  <c r="BF186" i="4"/>
  <c r="BE186" i="4"/>
  <c r="BD186" i="4"/>
  <c r="BG185" i="4"/>
  <c r="BF185" i="4"/>
  <c r="BE185" i="4"/>
  <c r="BD185" i="4"/>
  <c r="BG184" i="4"/>
  <c r="BF184" i="4"/>
  <c r="BE184" i="4"/>
  <c r="BD184" i="4"/>
  <c r="BG183" i="4"/>
  <c r="BF183" i="4"/>
  <c r="BE183" i="4"/>
  <c r="BD183" i="4"/>
  <c r="BG182" i="4"/>
  <c r="BF182" i="4"/>
  <c r="BE182" i="4"/>
  <c r="BD182" i="4"/>
  <c r="BG181" i="4"/>
  <c r="BF181" i="4"/>
  <c r="BE181" i="4"/>
  <c r="BD181" i="4"/>
  <c r="BG180" i="4"/>
  <c r="BF180" i="4"/>
  <c r="BE180" i="4"/>
  <c r="BD180" i="4"/>
  <c r="BG179" i="4"/>
  <c r="BF179" i="4"/>
  <c r="BE179" i="4"/>
  <c r="BD179" i="4"/>
  <c r="BG178" i="4"/>
  <c r="BF178" i="4"/>
  <c r="BE178" i="4"/>
  <c r="BD178" i="4"/>
  <c r="BG177" i="4"/>
  <c r="BF177" i="4"/>
  <c r="BE177" i="4"/>
  <c r="BD177" i="4"/>
  <c r="BG176" i="4"/>
  <c r="BF176" i="4"/>
  <c r="BE176" i="4"/>
  <c r="BD176" i="4"/>
  <c r="BG175" i="4"/>
  <c r="BF175" i="4"/>
  <c r="BE175" i="4"/>
  <c r="BD175" i="4"/>
  <c r="BG174" i="4"/>
  <c r="BF174" i="4"/>
  <c r="BE174" i="4"/>
  <c r="BD174" i="4"/>
  <c r="BG173" i="4"/>
  <c r="BF173" i="4"/>
  <c r="BE173" i="4"/>
  <c r="BD173" i="4"/>
  <c r="BG172" i="4"/>
  <c r="BF172" i="4"/>
  <c r="BE172" i="4"/>
  <c r="BD172" i="4"/>
  <c r="BG171" i="4"/>
  <c r="BF171" i="4"/>
  <c r="BE171" i="4"/>
  <c r="BD171" i="4"/>
  <c r="BG170" i="4"/>
  <c r="BF170" i="4"/>
  <c r="BE170" i="4"/>
  <c r="BD170" i="4"/>
  <c r="BG169" i="4"/>
  <c r="BF169" i="4"/>
  <c r="BE169" i="4"/>
  <c r="BD169" i="4"/>
  <c r="BG168" i="4"/>
  <c r="BF168" i="4"/>
  <c r="BE168" i="4"/>
  <c r="BD168" i="4"/>
  <c r="BG167" i="4"/>
  <c r="BF167" i="4"/>
  <c r="BE167" i="4"/>
  <c r="BD167" i="4"/>
  <c r="BG166" i="4"/>
  <c r="BF166" i="4"/>
  <c r="BE166" i="4"/>
  <c r="BD166" i="4"/>
  <c r="BG165" i="4"/>
  <c r="BF165" i="4"/>
  <c r="BE165" i="4"/>
  <c r="BD165" i="4"/>
  <c r="BG164" i="4"/>
  <c r="BF164" i="4"/>
  <c r="BE164" i="4"/>
  <c r="BD164" i="4"/>
  <c r="BG163" i="4"/>
  <c r="BF163" i="4"/>
  <c r="BE163" i="4"/>
  <c r="BD163" i="4"/>
  <c r="BG162" i="4"/>
  <c r="BF162" i="4"/>
  <c r="BE162" i="4"/>
  <c r="BD162" i="4"/>
  <c r="BG161" i="4"/>
  <c r="BF161" i="4"/>
  <c r="BE161" i="4"/>
  <c r="BD161" i="4"/>
  <c r="BG160" i="4"/>
  <c r="BF160" i="4"/>
  <c r="BE160" i="4"/>
  <c r="BD160" i="4"/>
  <c r="BG159" i="4"/>
  <c r="BF159" i="4"/>
  <c r="BE159" i="4"/>
  <c r="BD159" i="4"/>
  <c r="BG158" i="4"/>
  <c r="BF158" i="4"/>
  <c r="BE158" i="4"/>
  <c r="BD158" i="4"/>
  <c r="BG157" i="4"/>
  <c r="BF157" i="4"/>
  <c r="BE157" i="4"/>
  <c r="BD157" i="4"/>
  <c r="BG156" i="4"/>
  <c r="BF156" i="4"/>
  <c r="BE156" i="4"/>
  <c r="BD156" i="4"/>
  <c r="BG155" i="4"/>
  <c r="BF155" i="4"/>
  <c r="BE155" i="4"/>
  <c r="BD155" i="4"/>
  <c r="BG154" i="4"/>
  <c r="BF154" i="4"/>
  <c r="BE154" i="4"/>
  <c r="BD154" i="4"/>
  <c r="BG153" i="4"/>
  <c r="BF153" i="4"/>
  <c r="BE153" i="4"/>
  <c r="BD153" i="4"/>
  <c r="BG152" i="4"/>
  <c r="BF152" i="4"/>
  <c r="BE152" i="4"/>
  <c r="BD152" i="4"/>
  <c r="BG151" i="4"/>
  <c r="BF151" i="4"/>
  <c r="BE151" i="4"/>
  <c r="BD151" i="4"/>
  <c r="BG150" i="4"/>
  <c r="BF150" i="4"/>
  <c r="BE150" i="4"/>
  <c r="BD150" i="4"/>
  <c r="BG149" i="4"/>
  <c r="BF149" i="4"/>
  <c r="BE149" i="4"/>
  <c r="BD149" i="4"/>
  <c r="BG148" i="4"/>
  <c r="BF148" i="4"/>
  <c r="BE148" i="4"/>
  <c r="BD148" i="4"/>
  <c r="BG147" i="4"/>
  <c r="BF147" i="4"/>
  <c r="BE147" i="4"/>
  <c r="BD147" i="4"/>
  <c r="BG146" i="4"/>
  <c r="BF146" i="4"/>
  <c r="BE146" i="4"/>
  <c r="BD146" i="4"/>
  <c r="BG145" i="4"/>
  <c r="BF145" i="4"/>
  <c r="BE145" i="4"/>
  <c r="BD145" i="4"/>
  <c r="BG144" i="4"/>
  <c r="BF144" i="4"/>
  <c r="BE144" i="4"/>
  <c r="BD144" i="4"/>
  <c r="BG143" i="4"/>
  <c r="BF143" i="4"/>
  <c r="BE143" i="4"/>
  <c r="BD143" i="4"/>
  <c r="BG142" i="4"/>
  <c r="BF142" i="4"/>
  <c r="BE142" i="4"/>
  <c r="BD142" i="4"/>
  <c r="BG141" i="4"/>
  <c r="BF141" i="4"/>
  <c r="BE141" i="4"/>
  <c r="BD141" i="4"/>
  <c r="BG140" i="4"/>
  <c r="BF140" i="4"/>
  <c r="BE140" i="4"/>
  <c r="BD140" i="4"/>
  <c r="BG139" i="4"/>
  <c r="BF139" i="4"/>
  <c r="BE139" i="4"/>
  <c r="BD139" i="4"/>
  <c r="BG138" i="4"/>
  <c r="BF138" i="4"/>
  <c r="BE138" i="4"/>
  <c r="BD138" i="4"/>
  <c r="BG133" i="4"/>
  <c r="BF133" i="4"/>
  <c r="BE133" i="4"/>
  <c r="BD133" i="4"/>
  <c r="BG132" i="4"/>
  <c r="BF132" i="4"/>
  <c r="BE132" i="4"/>
  <c r="BD132" i="4"/>
  <c r="BG131" i="4"/>
  <c r="BF131" i="4"/>
  <c r="BE131" i="4"/>
  <c r="BD131" i="4"/>
  <c r="BG137" i="4"/>
  <c r="BF137" i="4"/>
  <c r="BE137" i="4"/>
  <c r="BD137" i="4"/>
  <c r="BG130" i="4"/>
  <c r="BF130" i="4"/>
  <c r="BE130" i="4"/>
  <c r="BD130" i="4"/>
  <c r="BG129" i="4"/>
  <c r="BF129" i="4"/>
  <c r="BE129" i="4"/>
  <c r="BD129" i="4"/>
  <c r="BG128" i="4"/>
  <c r="BF128" i="4"/>
  <c r="BE128" i="4"/>
  <c r="BD128" i="4"/>
  <c r="BG127" i="4"/>
  <c r="BF127" i="4"/>
  <c r="BE127" i="4"/>
  <c r="BD127" i="4"/>
  <c r="BG117" i="4"/>
  <c r="BF117" i="4"/>
  <c r="BE117" i="4"/>
  <c r="BD117" i="4"/>
  <c r="BG126" i="4"/>
  <c r="BF126" i="4"/>
  <c r="BE126" i="4"/>
  <c r="BD126" i="4"/>
  <c r="BG125" i="4"/>
  <c r="BF125" i="4"/>
  <c r="BE125" i="4"/>
  <c r="BD125" i="4"/>
  <c r="BG123" i="4"/>
  <c r="BF123" i="4"/>
  <c r="BE123" i="4"/>
  <c r="BD123" i="4"/>
  <c r="BG115" i="4"/>
  <c r="BF115" i="4"/>
  <c r="BE115" i="4"/>
  <c r="BD115" i="4"/>
  <c r="BG81" i="4"/>
  <c r="BF81" i="4"/>
  <c r="BE81" i="4"/>
  <c r="BD81" i="4"/>
  <c r="BG74" i="4"/>
  <c r="BF74" i="4"/>
  <c r="BE74" i="4"/>
  <c r="BD74" i="4"/>
  <c r="BG62" i="4"/>
  <c r="BF62" i="4"/>
  <c r="BE62" i="4"/>
  <c r="BD62" i="4"/>
  <c r="BG61" i="4"/>
  <c r="BF61" i="4"/>
  <c r="BE61" i="4"/>
  <c r="BD61" i="4"/>
  <c r="BG60" i="4"/>
  <c r="BF60" i="4"/>
  <c r="BE60" i="4"/>
  <c r="BD60" i="4"/>
  <c r="BG59" i="4"/>
  <c r="BF59" i="4"/>
  <c r="BE59" i="4"/>
  <c r="BD59" i="4"/>
  <c r="BG50" i="4"/>
  <c r="BF50" i="4"/>
  <c r="BE50" i="4"/>
  <c r="BD50" i="4"/>
  <c r="BG36" i="4"/>
  <c r="BF36" i="4"/>
  <c r="BE36" i="4"/>
  <c r="BD36" i="4"/>
  <c r="BG35" i="4"/>
  <c r="BF35" i="4"/>
  <c r="BE35" i="4"/>
  <c r="BD35" i="4"/>
  <c r="BG32" i="4"/>
  <c r="BF32" i="4"/>
  <c r="BE32" i="4"/>
  <c r="BD32" i="4"/>
  <c r="BG31" i="4"/>
  <c r="BF31" i="4"/>
  <c r="BE31" i="4"/>
  <c r="BD31" i="4"/>
  <c r="BG30" i="4"/>
  <c r="BF30" i="4"/>
  <c r="BE30" i="4"/>
  <c r="BD30" i="4"/>
  <c r="BG27" i="4"/>
  <c r="BF27" i="4"/>
  <c r="BE27" i="4"/>
  <c r="BD27" i="4"/>
  <c r="BG26" i="4"/>
  <c r="BF26" i="4"/>
  <c r="BE26" i="4"/>
  <c r="BD26" i="4"/>
  <c r="BG23" i="4"/>
  <c r="BF23" i="4"/>
  <c r="BE23" i="4"/>
  <c r="BD23" i="4"/>
  <c r="BG22" i="4"/>
  <c r="BF22" i="4"/>
  <c r="BE22" i="4"/>
  <c r="BD22" i="4"/>
  <c r="BG21" i="4"/>
  <c r="BF21" i="4"/>
  <c r="BE21" i="4"/>
  <c r="BD21" i="4"/>
  <c r="BG11" i="4"/>
  <c r="BF11" i="4"/>
  <c r="BE11" i="4"/>
  <c r="BD11" i="4"/>
  <c r="BL195" i="4"/>
  <c r="BK195" i="4"/>
  <c r="BJ195" i="4"/>
  <c r="BI195" i="4"/>
  <c r="BL194" i="4"/>
  <c r="BK194" i="4"/>
  <c r="BJ194" i="4"/>
  <c r="BI194" i="4"/>
  <c r="BL193" i="4"/>
  <c r="BK193" i="4"/>
  <c r="BJ193" i="4"/>
  <c r="BI193" i="4"/>
  <c r="BL192" i="4"/>
  <c r="BK192" i="4"/>
  <c r="BJ192" i="4"/>
  <c r="BI192" i="4"/>
  <c r="BL191" i="4"/>
  <c r="BK191" i="4"/>
  <c r="BJ191" i="4"/>
  <c r="BI191" i="4"/>
  <c r="BL190" i="4"/>
  <c r="BK190" i="4"/>
  <c r="BJ190" i="4"/>
  <c r="BI190" i="4"/>
  <c r="BL189" i="4"/>
  <c r="BK189" i="4"/>
  <c r="BJ189" i="4"/>
  <c r="BI189" i="4"/>
  <c r="BL188" i="4"/>
  <c r="BK188" i="4"/>
  <c r="BJ188" i="4"/>
  <c r="BI188" i="4"/>
  <c r="BL187" i="4"/>
  <c r="BK187" i="4"/>
  <c r="BJ187" i="4"/>
  <c r="BI187" i="4"/>
  <c r="BL186" i="4"/>
  <c r="BK186" i="4"/>
  <c r="BJ186" i="4"/>
  <c r="BI186" i="4"/>
  <c r="BL185" i="4"/>
  <c r="BK185" i="4"/>
  <c r="BJ185" i="4"/>
  <c r="BI185" i="4"/>
  <c r="BL184" i="4"/>
  <c r="BK184" i="4"/>
  <c r="BJ184" i="4"/>
  <c r="BI184" i="4"/>
  <c r="BL183" i="4"/>
  <c r="BK183" i="4"/>
  <c r="BJ183" i="4"/>
  <c r="BI183" i="4"/>
  <c r="BL182" i="4"/>
  <c r="BK182" i="4"/>
  <c r="BJ182" i="4"/>
  <c r="BI182" i="4"/>
  <c r="BL181" i="4"/>
  <c r="BK181" i="4"/>
  <c r="BJ181" i="4"/>
  <c r="BI181" i="4"/>
  <c r="BL180" i="4"/>
  <c r="BK180" i="4"/>
  <c r="BJ180" i="4"/>
  <c r="BI180" i="4"/>
  <c r="BL179" i="4"/>
  <c r="BK179" i="4"/>
  <c r="BJ179" i="4"/>
  <c r="BI179" i="4"/>
  <c r="BL178" i="4"/>
  <c r="BK178" i="4"/>
  <c r="BJ178" i="4"/>
  <c r="BI178" i="4"/>
  <c r="BL177" i="4"/>
  <c r="BK177" i="4"/>
  <c r="BJ177" i="4"/>
  <c r="BI177" i="4"/>
  <c r="BL176" i="4"/>
  <c r="BK176" i="4"/>
  <c r="BJ176" i="4"/>
  <c r="BI176" i="4"/>
  <c r="BL175" i="4"/>
  <c r="BK175" i="4"/>
  <c r="BJ175" i="4"/>
  <c r="BI175" i="4"/>
  <c r="BL174" i="4"/>
  <c r="BK174" i="4"/>
  <c r="BJ174" i="4"/>
  <c r="BI174" i="4"/>
  <c r="BL173" i="4"/>
  <c r="BK173" i="4"/>
  <c r="BJ173" i="4"/>
  <c r="BI173" i="4"/>
  <c r="BL172" i="4"/>
  <c r="BK172" i="4"/>
  <c r="BJ172" i="4"/>
  <c r="BI172" i="4"/>
  <c r="BL171" i="4"/>
  <c r="BK171" i="4"/>
  <c r="BJ171" i="4"/>
  <c r="BI171" i="4"/>
  <c r="BL170" i="4"/>
  <c r="BK170" i="4"/>
  <c r="BJ170" i="4"/>
  <c r="BI170" i="4"/>
  <c r="BL169" i="4"/>
  <c r="BK169" i="4"/>
  <c r="BJ169" i="4"/>
  <c r="BI169" i="4"/>
  <c r="BL168" i="4"/>
  <c r="BK168" i="4"/>
  <c r="BJ168" i="4"/>
  <c r="BI168" i="4"/>
  <c r="BL167" i="4"/>
  <c r="BK167" i="4"/>
  <c r="BJ167" i="4"/>
  <c r="BI167" i="4"/>
  <c r="BL166" i="4"/>
  <c r="BK166" i="4"/>
  <c r="BJ166" i="4"/>
  <c r="BI166" i="4"/>
  <c r="BL165" i="4"/>
  <c r="BK165" i="4"/>
  <c r="BJ165" i="4"/>
  <c r="BI165" i="4"/>
  <c r="BL164" i="4"/>
  <c r="BK164" i="4"/>
  <c r="BJ164" i="4"/>
  <c r="BI164" i="4"/>
  <c r="BL163" i="4"/>
  <c r="BK163" i="4"/>
  <c r="BJ163" i="4"/>
  <c r="BI163" i="4"/>
  <c r="BL162" i="4"/>
  <c r="BK162" i="4"/>
  <c r="BJ162" i="4"/>
  <c r="BI162" i="4"/>
  <c r="BL161" i="4"/>
  <c r="BK161" i="4"/>
  <c r="BJ161" i="4"/>
  <c r="BI161" i="4"/>
  <c r="BL160" i="4"/>
  <c r="BK160" i="4"/>
  <c r="BJ160" i="4"/>
  <c r="BI160" i="4"/>
  <c r="BL159" i="4"/>
  <c r="BK159" i="4"/>
  <c r="BJ159" i="4"/>
  <c r="BI159" i="4"/>
  <c r="BL158" i="4"/>
  <c r="BK158" i="4"/>
  <c r="BJ158" i="4"/>
  <c r="BI158" i="4"/>
  <c r="BL157" i="4"/>
  <c r="BK157" i="4"/>
  <c r="BJ157" i="4"/>
  <c r="BI157" i="4"/>
  <c r="BL156" i="4"/>
  <c r="BK156" i="4"/>
  <c r="BJ156" i="4"/>
  <c r="BI156" i="4"/>
  <c r="BL155" i="4"/>
  <c r="BK155" i="4"/>
  <c r="BJ155" i="4"/>
  <c r="BI155" i="4"/>
  <c r="BL154" i="4"/>
  <c r="BK154" i="4"/>
  <c r="BJ154" i="4"/>
  <c r="BI154" i="4"/>
  <c r="BL153" i="4"/>
  <c r="BK153" i="4"/>
  <c r="BJ153" i="4"/>
  <c r="BI153" i="4"/>
  <c r="BL152" i="4"/>
  <c r="BK152" i="4"/>
  <c r="BJ152" i="4"/>
  <c r="BI152" i="4"/>
  <c r="BL151" i="4"/>
  <c r="BK151" i="4"/>
  <c r="BJ151" i="4"/>
  <c r="BI151" i="4"/>
  <c r="BL150" i="4"/>
  <c r="BK150" i="4"/>
  <c r="BJ150" i="4"/>
  <c r="BI150" i="4"/>
  <c r="BL149" i="4"/>
  <c r="BK149" i="4"/>
  <c r="BJ149" i="4"/>
  <c r="BI149" i="4"/>
  <c r="BL148" i="4"/>
  <c r="BK148" i="4"/>
  <c r="BJ148" i="4"/>
  <c r="BI148" i="4"/>
  <c r="BL147" i="4"/>
  <c r="BK147" i="4"/>
  <c r="BJ147" i="4"/>
  <c r="BI147" i="4"/>
  <c r="BL146" i="4"/>
  <c r="BK146" i="4"/>
  <c r="BJ146" i="4"/>
  <c r="BI146" i="4"/>
  <c r="BL145" i="4"/>
  <c r="BK145" i="4"/>
  <c r="BJ145" i="4"/>
  <c r="BI145" i="4"/>
  <c r="BL144" i="4"/>
  <c r="BK144" i="4"/>
  <c r="BJ144" i="4"/>
  <c r="BI144" i="4"/>
  <c r="BL143" i="4"/>
  <c r="BK143" i="4"/>
  <c r="BJ143" i="4"/>
  <c r="BI143" i="4"/>
  <c r="BL142" i="4"/>
  <c r="BK142" i="4"/>
  <c r="BJ142" i="4"/>
  <c r="BI142" i="4"/>
  <c r="BL141" i="4"/>
  <c r="BK141" i="4"/>
  <c r="BJ141" i="4"/>
  <c r="BI141" i="4"/>
  <c r="BL140" i="4"/>
  <c r="BK140" i="4"/>
  <c r="BJ140" i="4"/>
  <c r="BI140" i="4"/>
  <c r="BL139" i="4"/>
  <c r="BK139" i="4"/>
  <c r="BJ139" i="4"/>
  <c r="BI139" i="4"/>
  <c r="BL138" i="4"/>
  <c r="BK138" i="4"/>
  <c r="BJ138" i="4"/>
  <c r="BI138" i="4"/>
  <c r="BL133" i="4"/>
  <c r="BK133" i="4"/>
  <c r="BJ133" i="4"/>
  <c r="BI133" i="4"/>
  <c r="BL132" i="4"/>
  <c r="BK132" i="4"/>
  <c r="BJ132" i="4"/>
  <c r="BI132" i="4"/>
  <c r="BL131" i="4"/>
  <c r="BK131" i="4"/>
  <c r="BJ131" i="4"/>
  <c r="BI131" i="4"/>
  <c r="BL137" i="4"/>
  <c r="BK137" i="4"/>
  <c r="BJ137" i="4"/>
  <c r="BI137" i="4"/>
  <c r="BL130" i="4"/>
  <c r="BK130" i="4"/>
  <c r="BJ130" i="4"/>
  <c r="BI130" i="4"/>
  <c r="BL129" i="4"/>
  <c r="BK129" i="4"/>
  <c r="BJ129" i="4"/>
  <c r="BI129" i="4"/>
  <c r="BL128" i="4"/>
  <c r="BK128" i="4"/>
  <c r="BJ128" i="4"/>
  <c r="BI128" i="4"/>
  <c r="BL127" i="4"/>
  <c r="BK127" i="4"/>
  <c r="BJ127" i="4"/>
  <c r="BI127" i="4"/>
  <c r="BL117" i="4"/>
  <c r="BK117" i="4"/>
  <c r="BJ117" i="4"/>
  <c r="BI117" i="4"/>
  <c r="BL126" i="4"/>
  <c r="BK126" i="4"/>
  <c r="BJ126" i="4"/>
  <c r="BI126" i="4"/>
  <c r="BL125" i="4"/>
  <c r="BK125" i="4"/>
  <c r="BJ125" i="4"/>
  <c r="BI125" i="4"/>
  <c r="BL123" i="4"/>
  <c r="BK123" i="4"/>
  <c r="BJ123" i="4"/>
  <c r="BI123" i="4"/>
  <c r="BL115" i="4"/>
  <c r="BK115" i="4"/>
  <c r="BJ115" i="4"/>
  <c r="BI115" i="4"/>
  <c r="BL81" i="4"/>
  <c r="BK81" i="4"/>
  <c r="BJ81" i="4"/>
  <c r="BI81" i="4"/>
  <c r="BL74" i="4"/>
  <c r="BK74" i="4"/>
  <c r="BJ74" i="4"/>
  <c r="BI74" i="4"/>
  <c r="BL62" i="4"/>
  <c r="BK62" i="4"/>
  <c r="BJ62" i="4"/>
  <c r="BI62" i="4"/>
  <c r="BL61" i="4"/>
  <c r="BK61" i="4"/>
  <c r="BJ61" i="4"/>
  <c r="BI61" i="4"/>
  <c r="BL60" i="4"/>
  <c r="BK60" i="4"/>
  <c r="BJ60" i="4"/>
  <c r="BI60" i="4"/>
  <c r="BL59" i="4"/>
  <c r="BK59" i="4"/>
  <c r="BJ59" i="4"/>
  <c r="BI59" i="4"/>
  <c r="BL50" i="4"/>
  <c r="BK50" i="4"/>
  <c r="BJ50" i="4"/>
  <c r="BI50" i="4"/>
  <c r="BL36" i="4"/>
  <c r="BK36" i="4"/>
  <c r="BJ36" i="4"/>
  <c r="BI36" i="4"/>
  <c r="BL35" i="4"/>
  <c r="BK35" i="4"/>
  <c r="BJ35" i="4"/>
  <c r="BI35" i="4"/>
  <c r="BL32" i="4"/>
  <c r="BK32" i="4"/>
  <c r="BJ32" i="4"/>
  <c r="BI32" i="4"/>
  <c r="BL31" i="4"/>
  <c r="BK31" i="4"/>
  <c r="BJ31" i="4"/>
  <c r="BI31" i="4"/>
  <c r="BL30" i="4"/>
  <c r="BK30" i="4"/>
  <c r="BJ30" i="4"/>
  <c r="BI30" i="4"/>
  <c r="BL27" i="4"/>
  <c r="BK27" i="4"/>
  <c r="BJ27" i="4"/>
  <c r="BI27" i="4"/>
  <c r="BL26" i="4"/>
  <c r="BK26" i="4"/>
  <c r="BJ26" i="4"/>
  <c r="BI26" i="4"/>
  <c r="BL23" i="4"/>
  <c r="BK23" i="4"/>
  <c r="BJ23" i="4"/>
  <c r="BI23" i="4"/>
  <c r="BL22" i="4"/>
  <c r="BK22" i="4"/>
  <c r="BJ22" i="4"/>
  <c r="BI22" i="4"/>
  <c r="BL21" i="4"/>
  <c r="BK21" i="4"/>
  <c r="BJ21" i="4"/>
  <c r="BI21" i="4"/>
  <c r="BL11" i="4"/>
  <c r="BK11" i="4"/>
  <c r="BJ11" i="4"/>
  <c r="BI11" i="4"/>
  <c r="BQ195" i="4"/>
  <c r="BP195" i="4"/>
  <c r="BO195" i="4"/>
  <c r="BN195" i="4"/>
  <c r="BQ194" i="4"/>
  <c r="BP194" i="4"/>
  <c r="BO194" i="4"/>
  <c r="BN194" i="4"/>
  <c r="BQ193" i="4"/>
  <c r="BP193" i="4"/>
  <c r="BO193" i="4"/>
  <c r="BN193" i="4"/>
  <c r="BQ192" i="4"/>
  <c r="BP192" i="4"/>
  <c r="BO192" i="4"/>
  <c r="BN192" i="4"/>
  <c r="BQ191" i="4"/>
  <c r="BP191" i="4"/>
  <c r="BO191" i="4"/>
  <c r="BN191" i="4"/>
  <c r="BQ190" i="4"/>
  <c r="BP190" i="4"/>
  <c r="BO190" i="4"/>
  <c r="BN190" i="4"/>
  <c r="BQ189" i="4"/>
  <c r="BP189" i="4"/>
  <c r="BO189" i="4"/>
  <c r="BN189" i="4"/>
  <c r="BQ188" i="4"/>
  <c r="BP188" i="4"/>
  <c r="BO188" i="4"/>
  <c r="BN188" i="4"/>
  <c r="BQ187" i="4"/>
  <c r="BP187" i="4"/>
  <c r="BO187" i="4"/>
  <c r="BN187" i="4"/>
  <c r="BQ186" i="4"/>
  <c r="BP186" i="4"/>
  <c r="BO186" i="4"/>
  <c r="BN186" i="4"/>
  <c r="BQ185" i="4"/>
  <c r="BP185" i="4"/>
  <c r="BO185" i="4"/>
  <c r="BN185" i="4"/>
  <c r="BQ184" i="4"/>
  <c r="BP184" i="4"/>
  <c r="BO184" i="4"/>
  <c r="BN184" i="4"/>
  <c r="BQ183" i="4"/>
  <c r="BP183" i="4"/>
  <c r="BO183" i="4"/>
  <c r="BN183" i="4"/>
  <c r="BQ182" i="4"/>
  <c r="BP182" i="4"/>
  <c r="BO182" i="4"/>
  <c r="BN182" i="4"/>
  <c r="BQ181" i="4"/>
  <c r="BP181" i="4"/>
  <c r="BO181" i="4"/>
  <c r="BN181" i="4"/>
  <c r="BQ180" i="4"/>
  <c r="BP180" i="4"/>
  <c r="BO180" i="4"/>
  <c r="BN180" i="4"/>
  <c r="BQ179" i="4"/>
  <c r="BP179" i="4"/>
  <c r="BO179" i="4"/>
  <c r="BN179" i="4"/>
  <c r="BQ178" i="4"/>
  <c r="BP178" i="4"/>
  <c r="BO178" i="4"/>
  <c r="BN178" i="4"/>
  <c r="BQ177" i="4"/>
  <c r="BP177" i="4"/>
  <c r="BO177" i="4"/>
  <c r="BN177" i="4"/>
  <c r="BQ176" i="4"/>
  <c r="BP176" i="4"/>
  <c r="BO176" i="4"/>
  <c r="BN176" i="4"/>
  <c r="BQ175" i="4"/>
  <c r="BP175" i="4"/>
  <c r="BO175" i="4"/>
  <c r="BN175" i="4"/>
  <c r="BQ174" i="4"/>
  <c r="BP174" i="4"/>
  <c r="BO174" i="4"/>
  <c r="BN174" i="4"/>
  <c r="BQ173" i="4"/>
  <c r="BP173" i="4"/>
  <c r="BO173" i="4"/>
  <c r="BN173" i="4"/>
  <c r="BQ172" i="4"/>
  <c r="BP172" i="4"/>
  <c r="BO172" i="4"/>
  <c r="BN172" i="4"/>
  <c r="BQ171" i="4"/>
  <c r="BP171" i="4"/>
  <c r="BO171" i="4"/>
  <c r="BN171" i="4"/>
  <c r="BQ170" i="4"/>
  <c r="BP170" i="4"/>
  <c r="BO170" i="4"/>
  <c r="BN170" i="4"/>
  <c r="BQ169" i="4"/>
  <c r="BP169" i="4"/>
  <c r="BO169" i="4"/>
  <c r="BN169" i="4"/>
  <c r="BQ168" i="4"/>
  <c r="BP168" i="4"/>
  <c r="BO168" i="4"/>
  <c r="BN168" i="4"/>
  <c r="BQ167" i="4"/>
  <c r="BP167" i="4"/>
  <c r="BO167" i="4"/>
  <c r="BN167" i="4"/>
  <c r="BQ166" i="4"/>
  <c r="BP166" i="4"/>
  <c r="BO166" i="4"/>
  <c r="BN166" i="4"/>
  <c r="BQ165" i="4"/>
  <c r="BP165" i="4"/>
  <c r="BO165" i="4"/>
  <c r="BN165" i="4"/>
  <c r="BQ164" i="4"/>
  <c r="BP164" i="4"/>
  <c r="BO164" i="4"/>
  <c r="BN164" i="4"/>
  <c r="BQ163" i="4"/>
  <c r="BP163" i="4"/>
  <c r="BO163" i="4"/>
  <c r="BN163" i="4"/>
  <c r="BQ162" i="4"/>
  <c r="BP162" i="4"/>
  <c r="BO162" i="4"/>
  <c r="BN162" i="4"/>
  <c r="BQ161" i="4"/>
  <c r="BP161" i="4"/>
  <c r="BO161" i="4"/>
  <c r="BN161" i="4"/>
  <c r="BQ160" i="4"/>
  <c r="BP160" i="4"/>
  <c r="BO160" i="4"/>
  <c r="BN160" i="4"/>
  <c r="BQ159" i="4"/>
  <c r="BP159" i="4"/>
  <c r="BO159" i="4"/>
  <c r="BN159" i="4"/>
  <c r="BQ158" i="4"/>
  <c r="BP158" i="4"/>
  <c r="BO158" i="4"/>
  <c r="BN158" i="4"/>
  <c r="BQ157" i="4"/>
  <c r="BP157" i="4"/>
  <c r="BO157" i="4"/>
  <c r="BN157" i="4"/>
  <c r="BQ156" i="4"/>
  <c r="BP156" i="4"/>
  <c r="BO156" i="4"/>
  <c r="BN156" i="4"/>
  <c r="BQ155" i="4"/>
  <c r="BP155" i="4"/>
  <c r="BO155" i="4"/>
  <c r="BN155" i="4"/>
  <c r="BQ154" i="4"/>
  <c r="BP154" i="4"/>
  <c r="BO154" i="4"/>
  <c r="BN154" i="4"/>
  <c r="BQ153" i="4"/>
  <c r="BP153" i="4"/>
  <c r="BO153" i="4"/>
  <c r="BN153" i="4"/>
  <c r="BQ152" i="4"/>
  <c r="BP152" i="4"/>
  <c r="BO152" i="4"/>
  <c r="BN152" i="4"/>
  <c r="BQ151" i="4"/>
  <c r="BP151" i="4"/>
  <c r="BO151" i="4"/>
  <c r="BN151" i="4"/>
  <c r="BQ150" i="4"/>
  <c r="BP150" i="4"/>
  <c r="BO150" i="4"/>
  <c r="BN150" i="4"/>
  <c r="BQ149" i="4"/>
  <c r="BP149" i="4"/>
  <c r="BO149" i="4"/>
  <c r="BN149" i="4"/>
  <c r="BQ148" i="4"/>
  <c r="BP148" i="4"/>
  <c r="BO148" i="4"/>
  <c r="BN148" i="4"/>
  <c r="BQ147" i="4"/>
  <c r="BP147" i="4"/>
  <c r="BO147" i="4"/>
  <c r="BN147" i="4"/>
  <c r="BQ146" i="4"/>
  <c r="BP146" i="4"/>
  <c r="BO146" i="4"/>
  <c r="BN146" i="4"/>
  <c r="BQ145" i="4"/>
  <c r="BP145" i="4"/>
  <c r="BO145" i="4"/>
  <c r="BN145" i="4"/>
  <c r="BQ144" i="4"/>
  <c r="BP144" i="4"/>
  <c r="BO144" i="4"/>
  <c r="BN144" i="4"/>
  <c r="BQ143" i="4"/>
  <c r="BP143" i="4"/>
  <c r="BO143" i="4"/>
  <c r="BN143" i="4"/>
  <c r="BQ142" i="4"/>
  <c r="BP142" i="4"/>
  <c r="BO142" i="4"/>
  <c r="BN142" i="4"/>
  <c r="BQ141" i="4"/>
  <c r="BP141" i="4"/>
  <c r="BO141" i="4"/>
  <c r="BN141" i="4"/>
  <c r="BQ140" i="4"/>
  <c r="BP140" i="4"/>
  <c r="BO140" i="4"/>
  <c r="BN140" i="4"/>
  <c r="BQ139" i="4"/>
  <c r="BP139" i="4"/>
  <c r="BO139" i="4"/>
  <c r="BN139" i="4"/>
  <c r="BQ138" i="4"/>
  <c r="BP138" i="4"/>
  <c r="BO138" i="4"/>
  <c r="BN138" i="4"/>
  <c r="BQ133" i="4"/>
  <c r="BP133" i="4"/>
  <c r="BO133" i="4"/>
  <c r="BN133" i="4"/>
  <c r="BQ132" i="4"/>
  <c r="BP132" i="4"/>
  <c r="BO132" i="4"/>
  <c r="BN132" i="4"/>
  <c r="BQ131" i="4"/>
  <c r="BP131" i="4"/>
  <c r="BO131" i="4"/>
  <c r="BN131" i="4"/>
  <c r="BQ137" i="4"/>
  <c r="BP137" i="4"/>
  <c r="BO137" i="4"/>
  <c r="BN137" i="4"/>
  <c r="BQ130" i="4"/>
  <c r="BP130" i="4"/>
  <c r="BO130" i="4"/>
  <c r="BN130" i="4"/>
  <c r="BQ129" i="4"/>
  <c r="BP129" i="4"/>
  <c r="BO129" i="4"/>
  <c r="BN129" i="4"/>
  <c r="BQ128" i="4"/>
  <c r="BP128" i="4"/>
  <c r="BO128" i="4"/>
  <c r="BN128" i="4"/>
  <c r="BQ127" i="4"/>
  <c r="BP127" i="4"/>
  <c r="BO127" i="4"/>
  <c r="BN127" i="4"/>
  <c r="BQ117" i="4"/>
  <c r="BP117" i="4"/>
  <c r="BO117" i="4"/>
  <c r="BN117" i="4"/>
  <c r="BQ126" i="4"/>
  <c r="BP126" i="4"/>
  <c r="BO126" i="4"/>
  <c r="BN126" i="4"/>
  <c r="BQ125" i="4"/>
  <c r="BP125" i="4"/>
  <c r="BO125" i="4"/>
  <c r="BN125" i="4"/>
  <c r="BQ123" i="4"/>
  <c r="BP123" i="4"/>
  <c r="BO123" i="4"/>
  <c r="BN123" i="4"/>
  <c r="BQ115" i="4"/>
  <c r="BP115" i="4"/>
  <c r="BO115" i="4"/>
  <c r="BN115" i="4"/>
  <c r="BQ81" i="4"/>
  <c r="BP81" i="4"/>
  <c r="BO81" i="4"/>
  <c r="BN81" i="4"/>
  <c r="BQ74" i="4"/>
  <c r="BP74" i="4"/>
  <c r="BO74" i="4"/>
  <c r="BN74" i="4"/>
  <c r="BQ62" i="4"/>
  <c r="BP62" i="4"/>
  <c r="BO62" i="4"/>
  <c r="BN62" i="4"/>
  <c r="BQ61" i="4"/>
  <c r="BP61" i="4"/>
  <c r="BO61" i="4"/>
  <c r="BN61" i="4"/>
  <c r="BQ60" i="4"/>
  <c r="BP60" i="4"/>
  <c r="BO60" i="4"/>
  <c r="BN60" i="4"/>
  <c r="BQ59" i="4"/>
  <c r="BP59" i="4"/>
  <c r="BO59" i="4"/>
  <c r="BN59" i="4"/>
  <c r="BQ50" i="4"/>
  <c r="BP50" i="4"/>
  <c r="BO50" i="4"/>
  <c r="BN50" i="4"/>
  <c r="BQ36" i="4"/>
  <c r="BP36" i="4"/>
  <c r="BO36" i="4"/>
  <c r="BN36" i="4"/>
  <c r="BQ35" i="4"/>
  <c r="BP35" i="4"/>
  <c r="BO35" i="4"/>
  <c r="BN35" i="4"/>
  <c r="BQ32" i="4"/>
  <c r="BP32" i="4"/>
  <c r="BO32" i="4"/>
  <c r="BN32" i="4"/>
  <c r="BQ31" i="4"/>
  <c r="BP31" i="4"/>
  <c r="BO31" i="4"/>
  <c r="BN31" i="4"/>
  <c r="BQ30" i="4"/>
  <c r="BP30" i="4"/>
  <c r="BO30" i="4"/>
  <c r="BN30" i="4"/>
  <c r="BQ27" i="4"/>
  <c r="BP27" i="4"/>
  <c r="BO27" i="4"/>
  <c r="BN27" i="4"/>
  <c r="BQ26" i="4"/>
  <c r="BP26" i="4"/>
  <c r="BO26" i="4"/>
  <c r="BN26" i="4"/>
  <c r="BQ23" i="4"/>
  <c r="BP23" i="4"/>
  <c r="BO23" i="4"/>
  <c r="BN23" i="4"/>
  <c r="BQ22" i="4"/>
  <c r="BP22" i="4"/>
  <c r="BO22" i="4"/>
  <c r="BN22" i="4"/>
  <c r="BQ21" i="4"/>
  <c r="BP21" i="4"/>
  <c r="BO21" i="4"/>
  <c r="BN21" i="4"/>
  <c r="BQ11" i="4"/>
  <c r="BP11" i="4"/>
  <c r="BO11" i="4"/>
  <c r="BN11" i="4"/>
  <c r="BV195" i="4"/>
  <c r="BU195" i="4"/>
  <c r="BT195" i="4"/>
  <c r="BS195" i="4"/>
  <c r="BV194" i="4"/>
  <c r="BU194" i="4"/>
  <c r="BT194" i="4"/>
  <c r="BS194" i="4"/>
  <c r="BV193" i="4"/>
  <c r="BU193" i="4"/>
  <c r="BT193" i="4"/>
  <c r="BS193" i="4"/>
  <c r="BV192" i="4"/>
  <c r="BU192" i="4"/>
  <c r="BT192" i="4"/>
  <c r="BS192" i="4"/>
  <c r="BV191" i="4"/>
  <c r="BU191" i="4"/>
  <c r="BT191" i="4"/>
  <c r="BS191" i="4"/>
  <c r="BV190" i="4"/>
  <c r="BU190" i="4"/>
  <c r="BT190" i="4"/>
  <c r="BS190" i="4"/>
  <c r="BV189" i="4"/>
  <c r="BU189" i="4"/>
  <c r="BT189" i="4"/>
  <c r="BS189" i="4"/>
  <c r="BV188" i="4"/>
  <c r="BU188" i="4"/>
  <c r="BT188" i="4"/>
  <c r="BS188" i="4"/>
  <c r="BV187" i="4"/>
  <c r="BU187" i="4"/>
  <c r="BT187" i="4"/>
  <c r="BS187" i="4"/>
  <c r="BV186" i="4"/>
  <c r="BU186" i="4"/>
  <c r="BT186" i="4"/>
  <c r="BS186" i="4"/>
  <c r="BV185" i="4"/>
  <c r="BU185" i="4"/>
  <c r="BT185" i="4"/>
  <c r="BS185" i="4"/>
  <c r="BV184" i="4"/>
  <c r="BU184" i="4"/>
  <c r="BT184" i="4"/>
  <c r="BS184" i="4"/>
  <c r="BV183" i="4"/>
  <c r="BU183" i="4"/>
  <c r="BT183" i="4"/>
  <c r="BS183" i="4"/>
  <c r="BV182" i="4"/>
  <c r="BU182" i="4"/>
  <c r="BT182" i="4"/>
  <c r="BS182" i="4"/>
  <c r="BV181" i="4"/>
  <c r="BU181" i="4"/>
  <c r="BT181" i="4"/>
  <c r="BS181" i="4"/>
  <c r="BV180" i="4"/>
  <c r="BU180" i="4"/>
  <c r="BT180" i="4"/>
  <c r="BS180" i="4"/>
  <c r="BV179" i="4"/>
  <c r="BU179" i="4"/>
  <c r="BT179" i="4"/>
  <c r="BS179" i="4"/>
  <c r="BV178" i="4"/>
  <c r="BU178" i="4"/>
  <c r="BT178" i="4"/>
  <c r="BS178" i="4"/>
  <c r="BV177" i="4"/>
  <c r="BU177" i="4"/>
  <c r="BT177" i="4"/>
  <c r="BS177" i="4"/>
  <c r="BV176" i="4"/>
  <c r="BU176" i="4"/>
  <c r="BT176" i="4"/>
  <c r="BS176" i="4"/>
  <c r="BV175" i="4"/>
  <c r="BU175" i="4"/>
  <c r="BT175" i="4"/>
  <c r="BS175" i="4"/>
  <c r="BV174" i="4"/>
  <c r="BU174" i="4"/>
  <c r="BT174" i="4"/>
  <c r="BS174" i="4"/>
  <c r="BV173" i="4"/>
  <c r="BU173" i="4"/>
  <c r="BT173" i="4"/>
  <c r="BS173" i="4"/>
  <c r="BV172" i="4"/>
  <c r="BU172" i="4"/>
  <c r="BT172" i="4"/>
  <c r="BS172" i="4"/>
  <c r="BV171" i="4"/>
  <c r="BU171" i="4"/>
  <c r="BT171" i="4"/>
  <c r="BS171" i="4"/>
  <c r="BV170" i="4"/>
  <c r="BU170" i="4"/>
  <c r="BT170" i="4"/>
  <c r="BS170" i="4"/>
  <c r="BV169" i="4"/>
  <c r="BU169" i="4"/>
  <c r="BT169" i="4"/>
  <c r="BS169" i="4"/>
  <c r="BV168" i="4"/>
  <c r="BU168" i="4"/>
  <c r="BT168" i="4"/>
  <c r="BS168" i="4"/>
  <c r="BV167" i="4"/>
  <c r="BU167" i="4"/>
  <c r="BT167" i="4"/>
  <c r="BS167" i="4"/>
  <c r="BV166" i="4"/>
  <c r="BU166" i="4"/>
  <c r="BT166" i="4"/>
  <c r="BS166" i="4"/>
  <c r="BV165" i="4"/>
  <c r="BU165" i="4"/>
  <c r="BT165" i="4"/>
  <c r="BS165" i="4"/>
  <c r="BV164" i="4"/>
  <c r="BU164" i="4"/>
  <c r="BT164" i="4"/>
  <c r="BS164" i="4"/>
  <c r="BV163" i="4"/>
  <c r="BU163" i="4"/>
  <c r="BT163" i="4"/>
  <c r="BS163" i="4"/>
  <c r="BV162" i="4"/>
  <c r="BU162" i="4"/>
  <c r="BT162" i="4"/>
  <c r="BS162" i="4"/>
  <c r="BV161" i="4"/>
  <c r="BU161" i="4"/>
  <c r="BT161" i="4"/>
  <c r="BS161" i="4"/>
  <c r="BV160" i="4"/>
  <c r="BU160" i="4"/>
  <c r="BT160" i="4"/>
  <c r="BS160" i="4"/>
  <c r="BV159" i="4"/>
  <c r="BU159" i="4"/>
  <c r="BT159" i="4"/>
  <c r="BS159" i="4"/>
  <c r="BV158" i="4"/>
  <c r="BU158" i="4"/>
  <c r="BT158" i="4"/>
  <c r="BS158" i="4"/>
  <c r="BV157" i="4"/>
  <c r="BU157" i="4"/>
  <c r="BT157" i="4"/>
  <c r="BS157" i="4"/>
  <c r="BV156" i="4"/>
  <c r="BU156" i="4"/>
  <c r="BT156" i="4"/>
  <c r="BS156" i="4"/>
  <c r="BV155" i="4"/>
  <c r="BU155" i="4"/>
  <c r="BT155" i="4"/>
  <c r="BS155" i="4"/>
  <c r="BV154" i="4"/>
  <c r="BU154" i="4"/>
  <c r="BT154" i="4"/>
  <c r="BS154" i="4"/>
  <c r="BV153" i="4"/>
  <c r="BU153" i="4"/>
  <c r="BT153" i="4"/>
  <c r="BS153" i="4"/>
  <c r="BV152" i="4"/>
  <c r="BU152" i="4"/>
  <c r="BT152" i="4"/>
  <c r="BS152" i="4"/>
  <c r="BV151" i="4"/>
  <c r="BU151" i="4"/>
  <c r="BT151" i="4"/>
  <c r="BS151" i="4"/>
  <c r="BV150" i="4"/>
  <c r="BU150" i="4"/>
  <c r="BT150" i="4"/>
  <c r="BS150" i="4"/>
  <c r="BV149" i="4"/>
  <c r="BU149" i="4"/>
  <c r="BT149" i="4"/>
  <c r="BS149" i="4"/>
  <c r="BV148" i="4"/>
  <c r="BU148" i="4"/>
  <c r="BT148" i="4"/>
  <c r="BS148" i="4"/>
  <c r="BV147" i="4"/>
  <c r="BU147" i="4"/>
  <c r="BT147" i="4"/>
  <c r="BS147" i="4"/>
  <c r="BV146" i="4"/>
  <c r="BU146" i="4"/>
  <c r="BT146" i="4"/>
  <c r="BS146" i="4"/>
  <c r="BV145" i="4"/>
  <c r="BU145" i="4"/>
  <c r="BT145" i="4"/>
  <c r="BS145" i="4"/>
  <c r="BV144" i="4"/>
  <c r="BU144" i="4"/>
  <c r="BT144" i="4"/>
  <c r="BS144" i="4"/>
  <c r="BV143" i="4"/>
  <c r="BU143" i="4"/>
  <c r="BT143" i="4"/>
  <c r="BS143" i="4"/>
  <c r="BV142" i="4"/>
  <c r="BU142" i="4"/>
  <c r="BT142" i="4"/>
  <c r="BS142" i="4"/>
  <c r="BV141" i="4"/>
  <c r="BU141" i="4"/>
  <c r="BT141" i="4"/>
  <c r="BS141" i="4"/>
  <c r="BV140" i="4"/>
  <c r="BU140" i="4"/>
  <c r="BT140" i="4"/>
  <c r="BS140" i="4"/>
  <c r="BV139" i="4"/>
  <c r="BU139" i="4"/>
  <c r="BT139" i="4"/>
  <c r="BS139" i="4"/>
  <c r="BV138" i="4"/>
  <c r="BU138" i="4"/>
  <c r="BT138" i="4"/>
  <c r="BS138" i="4"/>
  <c r="BV133" i="4"/>
  <c r="BU133" i="4"/>
  <c r="BT133" i="4"/>
  <c r="BS133" i="4"/>
  <c r="BV132" i="4"/>
  <c r="BU132" i="4"/>
  <c r="BT132" i="4"/>
  <c r="BS132" i="4"/>
  <c r="BV131" i="4"/>
  <c r="BU131" i="4"/>
  <c r="BT131" i="4"/>
  <c r="BS131" i="4"/>
  <c r="BV137" i="4"/>
  <c r="BU137" i="4"/>
  <c r="BT137" i="4"/>
  <c r="BS137" i="4"/>
  <c r="BV130" i="4"/>
  <c r="BU130" i="4"/>
  <c r="BT130" i="4"/>
  <c r="BS130" i="4"/>
  <c r="BV129" i="4"/>
  <c r="BU129" i="4"/>
  <c r="BT129" i="4"/>
  <c r="BS129" i="4"/>
  <c r="BV128" i="4"/>
  <c r="BU128" i="4"/>
  <c r="BT128" i="4"/>
  <c r="BS128" i="4"/>
  <c r="BV127" i="4"/>
  <c r="BU127" i="4"/>
  <c r="BT127" i="4"/>
  <c r="BS127" i="4"/>
  <c r="BV117" i="4"/>
  <c r="BU117" i="4"/>
  <c r="BT117" i="4"/>
  <c r="BS117" i="4"/>
  <c r="BV126" i="4"/>
  <c r="BU126" i="4"/>
  <c r="BT126" i="4"/>
  <c r="BS126" i="4"/>
  <c r="BV125" i="4"/>
  <c r="BU125" i="4"/>
  <c r="BT125" i="4"/>
  <c r="BS125" i="4"/>
  <c r="BV123" i="4"/>
  <c r="BU123" i="4"/>
  <c r="BT123" i="4"/>
  <c r="BS123" i="4"/>
  <c r="BV115" i="4"/>
  <c r="BU115" i="4"/>
  <c r="BT115" i="4"/>
  <c r="BS115" i="4"/>
  <c r="BV81" i="4"/>
  <c r="BU81" i="4"/>
  <c r="BT81" i="4"/>
  <c r="BS81" i="4"/>
  <c r="BV74" i="4"/>
  <c r="BU74" i="4"/>
  <c r="BT74" i="4"/>
  <c r="BS74" i="4"/>
  <c r="BV62" i="4"/>
  <c r="BU62" i="4"/>
  <c r="BT62" i="4"/>
  <c r="BS62" i="4"/>
  <c r="BV61" i="4"/>
  <c r="BU61" i="4"/>
  <c r="BT61" i="4"/>
  <c r="BS61" i="4"/>
  <c r="BV60" i="4"/>
  <c r="BU60" i="4"/>
  <c r="BT60" i="4"/>
  <c r="BS60" i="4"/>
  <c r="BV59" i="4"/>
  <c r="BU59" i="4"/>
  <c r="BT59" i="4"/>
  <c r="BS59" i="4"/>
  <c r="BV50" i="4"/>
  <c r="BU50" i="4"/>
  <c r="BT50" i="4"/>
  <c r="BS50" i="4"/>
  <c r="BV36" i="4"/>
  <c r="BU36" i="4"/>
  <c r="BT36" i="4"/>
  <c r="BS36" i="4"/>
  <c r="BV35" i="4"/>
  <c r="BU35" i="4"/>
  <c r="BT35" i="4"/>
  <c r="BS35" i="4"/>
  <c r="BV32" i="4"/>
  <c r="BU32" i="4"/>
  <c r="BT32" i="4"/>
  <c r="BS32" i="4"/>
  <c r="BV31" i="4"/>
  <c r="BU31" i="4"/>
  <c r="BT31" i="4"/>
  <c r="BS31" i="4"/>
  <c r="BV30" i="4"/>
  <c r="BU30" i="4"/>
  <c r="BT30" i="4"/>
  <c r="BS30" i="4"/>
  <c r="BV27" i="4"/>
  <c r="BU27" i="4"/>
  <c r="BT27" i="4"/>
  <c r="BS27" i="4"/>
  <c r="BV26" i="4"/>
  <c r="BU26" i="4"/>
  <c r="BT26" i="4"/>
  <c r="BS26" i="4"/>
  <c r="BV23" i="4"/>
  <c r="BU23" i="4"/>
  <c r="BT23" i="4"/>
  <c r="BS23" i="4"/>
  <c r="BV22" i="4"/>
  <c r="BU22" i="4"/>
  <c r="BT22" i="4"/>
  <c r="BS22" i="4"/>
  <c r="BV21" i="4"/>
  <c r="BU21" i="4"/>
  <c r="BT21" i="4"/>
  <c r="BS21" i="4"/>
  <c r="BV11" i="4"/>
  <c r="BU11" i="4"/>
  <c r="BT11" i="4"/>
  <c r="BS11" i="4"/>
  <c r="J129" i="5"/>
  <c r="I129" i="5"/>
  <c r="J128" i="5"/>
  <c r="I128" i="5"/>
  <c r="J127" i="5"/>
  <c r="I127" i="5"/>
  <c r="J126" i="5"/>
  <c r="I126" i="5"/>
  <c r="J125" i="5"/>
  <c r="I125" i="5"/>
  <c r="J124" i="5"/>
  <c r="I124" i="5"/>
  <c r="J123" i="5"/>
  <c r="I123" i="5"/>
  <c r="J122" i="5"/>
  <c r="I122" i="5"/>
  <c r="J121" i="5"/>
  <c r="I121" i="5"/>
  <c r="J120" i="5"/>
  <c r="I120" i="5"/>
  <c r="J119" i="5"/>
  <c r="I119" i="5"/>
  <c r="J118" i="5"/>
  <c r="I118" i="5"/>
  <c r="J117" i="5"/>
  <c r="I117" i="5"/>
  <c r="J116" i="5"/>
  <c r="I116" i="5"/>
  <c r="J115" i="5"/>
  <c r="I115" i="5"/>
  <c r="J114" i="5"/>
  <c r="I114" i="5"/>
  <c r="J113" i="5"/>
  <c r="I113" i="5"/>
  <c r="J112" i="5"/>
  <c r="I112" i="5"/>
  <c r="J111" i="5"/>
  <c r="I111" i="5"/>
  <c r="J110" i="5"/>
  <c r="I110" i="5"/>
  <c r="J109" i="5"/>
  <c r="I109" i="5"/>
  <c r="J108" i="5"/>
  <c r="I108" i="5"/>
  <c r="J107" i="5"/>
  <c r="I107" i="5"/>
  <c r="J106" i="5"/>
  <c r="I106" i="5"/>
  <c r="J105" i="5"/>
  <c r="I105" i="5"/>
  <c r="J104" i="5"/>
  <c r="I104" i="5"/>
  <c r="J103" i="5"/>
  <c r="I103" i="5"/>
  <c r="J102" i="5"/>
  <c r="I102" i="5"/>
  <c r="J101" i="5"/>
  <c r="I101" i="5"/>
  <c r="J100" i="5"/>
  <c r="I100" i="5"/>
  <c r="J99" i="5"/>
  <c r="I99" i="5"/>
  <c r="J98" i="5"/>
  <c r="I98" i="5"/>
  <c r="J97" i="5"/>
  <c r="I97" i="5"/>
  <c r="J96" i="5"/>
  <c r="I96" i="5"/>
  <c r="J95" i="5"/>
  <c r="I95" i="5"/>
  <c r="J94" i="5"/>
  <c r="I94" i="5"/>
  <c r="J93" i="5"/>
  <c r="I93" i="5"/>
  <c r="J92" i="5"/>
  <c r="I92" i="5"/>
  <c r="J91" i="5"/>
  <c r="I91" i="5"/>
  <c r="J90" i="5"/>
  <c r="I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J82" i="5"/>
  <c r="I82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I75" i="5"/>
  <c r="J74" i="5"/>
  <c r="I74" i="5"/>
  <c r="J73" i="5"/>
  <c r="I73" i="5"/>
  <c r="J72" i="5"/>
  <c r="I72" i="5"/>
  <c r="J71" i="5"/>
  <c r="I71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59" i="5"/>
  <c r="I59" i="5"/>
  <c r="J58" i="5"/>
  <c r="I58" i="5"/>
  <c r="J57" i="5"/>
  <c r="I57" i="5"/>
  <c r="J56" i="5"/>
  <c r="I56" i="5"/>
  <c r="J55" i="5"/>
  <c r="I55" i="5"/>
  <c r="J54" i="5"/>
  <c r="I54" i="5"/>
  <c r="J52" i="5"/>
  <c r="I52" i="5"/>
  <c r="J49" i="5"/>
  <c r="I49" i="5"/>
  <c r="J45" i="5"/>
  <c r="I45" i="5"/>
  <c r="J44" i="5"/>
  <c r="I44" i="5"/>
  <c r="J43" i="5"/>
  <c r="I43" i="5"/>
  <c r="J41" i="5"/>
  <c r="I41" i="5"/>
  <c r="J40" i="5"/>
  <c r="I40" i="5"/>
  <c r="J39" i="5"/>
  <c r="I39" i="5"/>
  <c r="J6" i="5"/>
  <c r="I6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69" i="5"/>
  <c r="H68" i="5"/>
  <c r="H67" i="5"/>
  <c r="H66" i="5"/>
  <c r="H65" i="5"/>
  <c r="H64" i="5"/>
  <c r="H63" i="5"/>
  <c r="H59" i="5"/>
  <c r="H58" i="5"/>
  <c r="H57" i="5"/>
  <c r="H56" i="5"/>
  <c r="H55" i="5"/>
  <c r="H54" i="5"/>
  <c r="H52" i="5"/>
  <c r="H49" i="5"/>
  <c r="H45" i="5"/>
  <c r="H44" i="5"/>
  <c r="H43" i="5"/>
  <c r="H41" i="5"/>
  <c r="H40" i="5"/>
  <c r="H39" i="5"/>
  <c r="H6" i="5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6" i="3"/>
  <c r="L125" i="3"/>
  <c r="L124" i="3"/>
  <c r="L123" i="3"/>
  <c r="L122" i="3"/>
  <c r="L121" i="3"/>
  <c r="L120" i="3"/>
  <c r="L116" i="3"/>
  <c r="L115" i="3"/>
  <c r="L114" i="3"/>
  <c r="L113" i="3"/>
  <c r="L112" i="3"/>
  <c r="L111" i="3"/>
  <c r="L109" i="3"/>
  <c r="L101" i="3"/>
  <c r="L108" i="3"/>
  <c r="L107" i="3"/>
  <c r="L100" i="3"/>
  <c r="L106" i="3"/>
  <c r="L105" i="3"/>
  <c r="L98" i="3"/>
  <c r="L102" i="3"/>
  <c r="L74" i="3"/>
  <c r="L59" i="3"/>
  <c r="L50" i="3"/>
  <c r="L36" i="3"/>
  <c r="L35" i="3"/>
  <c r="L32" i="3"/>
  <c r="L31" i="3"/>
  <c r="L30" i="3"/>
  <c r="L27" i="3"/>
  <c r="L26" i="3"/>
  <c r="L23" i="3"/>
  <c r="L22" i="3"/>
  <c r="L21" i="3"/>
  <c r="L11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6" i="3"/>
  <c r="K125" i="3"/>
  <c r="K124" i="3"/>
  <c r="K123" i="3"/>
  <c r="K122" i="3"/>
  <c r="K121" i="3"/>
  <c r="K120" i="3"/>
  <c r="K116" i="3"/>
  <c r="K115" i="3"/>
  <c r="K114" i="3"/>
  <c r="K113" i="3"/>
  <c r="K112" i="3"/>
  <c r="K111" i="3"/>
  <c r="K109" i="3"/>
  <c r="K101" i="3"/>
  <c r="K108" i="3"/>
  <c r="K107" i="3"/>
  <c r="K100" i="3"/>
  <c r="K106" i="3"/>
  <c r="K105" i="3"/>
  <c r="K98" i="3"/>
  <c r="K102" i="3"/>
  <c r="K74" i="3"/>
  <c r="K59" i="3"/>
  <c r="K50" i="3"/>
  <c r="K36" i="3"/>
  <c r="K35" i="3"/>
  <c r="K32" i="3"/>
  <c r="K31" i="3"/>
  <c r="K30" i="3"/>
  <c r="K27" i="3"/>
  <c r="K26" i="3"/>
  <c r="K23" i="3"/>
  <c r="K22" i="3"/>
  <c r="K21" i="3"/>
  <c r="K11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6" i="3"/>
  <c r="J125" i="3"/>
  <c r="J124" i="3"/>
  <c r="J123" i="3"/>
  <c r="J122" i="3"/>
  <c r="J121" i="3"/>
  <c r="J120" i="3"/>
  <c r="J116" i="3"/>
  <c r="J115" i="3"/>
  <c r="J114" i="3"/>
  <c r="J113" i="3"/>
  <c r="J112" i="3"/>
  <c r="J111" i="3"/>
  <c r="J109" i="3"/>
  <c r="J101" i="3"/>
  <c r="J108" i="3"/>
  <c r="J107" i="3"/>
  <c r="J100" i="3"/>
  <c r="J106" i="3"/>
  <c r="J105" i="3"/>
  <c r="J98" i="3"/>
  <c r="J102" i="3"/>
  <c r="J74" i="3"/>
  <c r="J59" i="3"/>
  <c r="J50" i="3"/>
  <c r="J36" i="3"/>
  <c r="J35" i="3"/>
  <c r="J32" i="3"/>
  <c r="J31" i="3"/>
  <c r="J30" i="3"/>
  <c r="J27" i="3"/>
  <c r="J26" i="3"/>
  <c r="J23" i="3"/>
  <c r="J22" i="3"/>
  <c r="J21" i="3"/>
  <c r="J11" i="3"/>
  <c r="BC121" i="1"/>
  <c r="BB121" i="1"/>
  <c r="BA121" i="1"/>
  <c r="BC120" i="1"/>
  <c r="BB120" i="1"/>
  <c r="BA120" i="1"/>
  <c r="BC119" i="1"/>
  <c r="BB119" i="1"/>
  <c r="BA119" i="1"/>
  <c r="BC118" i="1"/>
  <c r="BB118" i="1"/>
  <c r="BA118" i="1"/>
  <c r="BC117" i="1"/>
  <c r="BB117" i="1"/>
  <c r="BA117" i="1"/>
  <c r="BC116" i="1"/>
  <c r="BB116" i="1"/>
  <c r="BA116" i="1"/>
  <c r="BC115" i="1"/>
  <c r="BB115" i="1"/>
  <c r="BA115" i="1"/>
  <c r="BC114" i="1"/>
  <c r="BB114" i="1"/>
  <c r="BA114" i="1"/>
  <c r="BC113" i="1"/>
  <c r="BB113" i="1"/>
  <c r="BA113" i="1"/>
  <c r="BC112" i="1"/>
  <c r="BB112" i="1"/>
  <c r="BA112" i="1"/>
  <c r="BC111" i="1"/>
  <c r="BB111" i="1"/>
  <c r="BA111" i="1"/>
  <c r="BC110" i="1"/>
  <c r="BB110" i="1"/>
  <c r="BA110" i="1"/>
  <c r="BC109" i="1"/>
  <c r="BB109" i="1"/>
  <c r="BA109" i="1"/>
  <c r="BC108" i="1"/>
  <c r="BB108" i="1"/>
  <c r="BA108" i="1"/>
  <c r="BC107" i="1"/>
  <c r="BB107" i="1"/>
  <c r="BA107" i="1"/>
  <c r="BC106" i="1"/>
  <c r="BB106" i="1"/>
  <c r="BA106" i="1"/>
  <c r="BC105" i="1"/>
  <c r="BB105" i="1"/>
  <c r="BA105" i="1"/>
  <c r="BC104" i="1"/>
  <c r="BB104" i="1"/>
  <c r="BA104" i="1"/>
  <c r="BC103" i="1"/>
  <c r="BB103" i="1"/>
  <c r="BA103" i="1"/>
  <c r="BC102" i="1"/>
  <c r="BB102" i="1"/>
  <c r="BA102" i="1"/>
  <c r="BC101" i="1"/>
  <c r="BB101" i="1"/>
  <c r="BA101" i="1"/>
  <c r="BC100" i="1"/>
  <c r="BB100" i="1"/>
  <c r="BA100" i="1"/>
  <c r="BC99" i="1"/>
  <c r="BB99" i="1"/>
  <c r="BA99" i="1"/>
  <c r="BC98" i="1"/>
  <c r="BB98" i="1"/>
  <c r="BA98" i="1"/>
  <c r="BC97" i="1"/>
  <c r="BB97" i="1"/>
  <c r="BA97" i="1"/>
  <c r="BC96" i="1"/>
  <c r="BB96" i="1"/>
  <c r="BA96" i="1"/>
  <c r="BC95" i="1"/>
  <c r="BB95" i="1"/>
  <c r="BA95" i="1"/>
  <c r="BC94" i="1"/>
  <c r="BB94" i="1"/>
  <c r="BA94" i="1"/>
  <c r="BC93" i="1"/>
  <c r="BB93" i="1"/>
  <c r="BA93" i="1"/>
  <c r="BC92" i="1"/>
  <c r="BB92" i="1"/>
  <c r="BA92" i="1"/>
  <c r="BC91" i="1"/>
  <c r="BB91" i="1"/>
  <c r="BA91" i="1"/>
  <c r="BC90" i="1"/>
  <c r="BB90" i="1"/>
  <c r="BA90" i="1"/>
  <c r="BC89" i="1"/>
  <c r="BB89" i="1"/>
  <c r="BA89" i="1"/>
  <c r="BC88" i="1"/>
  <c r="BB88" i="1"/>
  <c r="BA88" i="1"/>
  <c r="BC87" i="1"/>
  <c r="BB87" i="1"/>
  <c r="BA87" i="1"/>
  <c r="BC86" i="1"/>
  <c r="BB86" i="1"/>
  <c r="BA86" i="1"/>
  <c r="BC85" i="1"/>
  <c r="BB85" i="1"/>
  <c r="BA85" i="1"/>
  <c r="BC84" i="1"/>
  <c r="BB84" i="1"/>
  <c r="BA84" i="1"/>
  <c r="BC83" i="1"/>
  <c r="BB83" i="1"/>
  <c r="BA83" i="1"/>
  <c r="BC82" i="1"/>
  <c r="BB82" i="1"/>
  <c r="BA82" i="1"/>
  <c r="BC81" i="1"/>
  <c r="BB81" i="1"/>
  <c r="BA81" i="1"/>
  <c r="BC80" i="1"/>
  <c r="BB80" i="1"/>
  <c r="BA80" i="1"/>
  <c r="BC79" i="1"/>
  <c r="BB79" i="1"/>
  <c r="BA79" i="1"/>
  <c r="BC78" i="1"/>
  <c r="BB78" i="1"/>
  <c r="BA78" i="1"/>
  <c r="BC77" i="1"/>
  <c r="BB77" i="1"/>
  <c r="BA77" i="1"/>
  <c r="BC76" i="1"/>
  <c r="BB76" i="1"/>
  <c r="BA76" i="1"/>
  <c r="BC75" i="1"/>
  <c r="BB75" i="1"/>
  <c r="BA75" i="1"/>
  <c r="BC74" i="1"/>
  <c r="BB74" i="1"/>
  <c r="BA74" i="1"/>
  <c r="BC73" i="1"/>
  <c r="BB73" i="1"/>
  <c r="BA73" i="1"/>
  <c r="BC72" i="1"/>
  <c r="BB72" i="1"/>
  <c r="BA72" i="1"/>
  <c r="BC71" i="1"/>
  <c r="BB71" i="1"/>
  <c r="BA71" i="1"/>
  <c r="BC70" i="1"/>
  <c r="BB70" i="1"/>
  <c r="BA70" i="1"/>
  <c r="BC69" i="1"/>
  <c r="BB69" i="1"/>
  <c r="BA69" i="1"/>
  <c r="BC68" i="1"/>
  <c r="BB68" i="1"/>
  <c r="BA68" i="1"/>
  <c r="BC67" i="1"/>
  <c r="BB67" i="1"/>
  <c r="BA67" i="1"/>
  <c r="BC62" i="1"/>
  <c r="BB62" i="1"/>
  <c r="BA62" i="1"/>
  <c r="BC61" i="1"/>
  <c r="BB61" i="1"/>
  <c r="BA61" i="1"/>
  <c r="BC60" i="1"/>
  <c r="BB60" i="1"/>
  <c r="BA60" i="1"/>
  <c r="BC59" i="1"/>
  <c r="BB59" i="1"/>
  <c r="BA59" i="1"/>
  <c r="BC58" i="1"/>
  <c r="BB58" i="1"/>
  <c r="BA58" i="1"/>
  <c r="BC57" i="1"/>
  <c r="BB57" i="1"/>
  <c r="BA57" i="1"/>
  <c r="BC55" i="1"/>
  <c r="BB55" i="1"/>
  <c r="BA55" i="1"/>
  <c r="BC54" i="1"/>
  <c r="BB54" i="1"/>
  <c r="BA54" i="1"/>
  <c r="BC53" i="1"/>
  <c r="BB53" i="1"/>
  <c r="BA53" i="1"/>
  <c r="BC52" i="1"/>
  <c r="BB52" i="1"/>
  <c r="BA52" i="1"/>
  <c r="BC51" i="1"/>
  <c r="BB51" i="1"/>
  <c r="BA51" i="1"/>
  <c r="BC49" i="1"/>
  <c r="BB49" i="1"/>
  <c r="BA49" i="1"/>
  <c r="BC48" i="1"/>
  <c r="BB48" i="1"/>
  <c r="BA48" i="1"/>
  <c r="BC41" i="1"/>
  <c r="BB41" i="1"/>
  <c r="BA41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2" i="1"/>
  <c r="AZ61" i="1"/>
  <c r="AZ60" i="1"/>
  <c r="AZ59" i="1"/>
  <c r="AZ58" i="1"/>
  <c r="AZ57" i="1"/>
  <c r="AZ55" i="1"/>
  <c r="AZ54" i="1"/>
  <c r="AZ53" i="1"/>
  <c r="AZ52" i="1"/>
  <c r="AZ51" i="1"/>
  <c r="AZ49" i="1"/>
  <c r="AZ48" i="1"/>
  <c r="AZ41" i="1"/>
  <c r="AZ6" i="1"/>
  <c r="AZ195" i="2"/>
  <c r="AZ194" i="2"/>
  <c r="AZ193" i="2"/>
  <c r="AZ192" i="2"/>
  <c r="AZ191" i="2"/>
  <c r="AZ190" i="2"/>
  <c r="AZ189" i="2"/>
  <c r="AZ188" i="2"/>
  <c r="AZ187" i="2"/>
  <c r="AZ186" i="2"/>
  <c r="AZ185" i="2"/>
  <c r="AZ184" i="2"/>
  <c r="AZ183" i="2"/>
  <c r="AZ182" i="2"/>
  <c r="AZ181" i="2"/>
  <c r="AZ180" i="2"/>
  <c r="AZ179" i="2"/>
  <c r="AZ178" i="2"/>
  <c r="AZ177" i="2"/>
  <c r="AZ176" i="2"/>
  <c r="AZ175" i="2"/>
  <c r="AZ174" i="2"/>
  <c r="AZ173" i="2"/>
  <c r="AZ172" i="2"/>
  <c r="AZ171" i="2"/>
  <c r="AZ170" i="2"/>
  <c r="AZ169" i="2"/>
  <c r="AZ168" i="2"/>
  <c r="AZ167" i="2"/>
  <c r="AZ166" i="2"/>
  <c r="AZ165" i="2"/>
  <c r="AZ164" i="2"/>
  <c r="AZ163" i="2"/>
  <c r="AZ162" i="2"/>
  <c r="AZ161" i="2"/>
  <c r="AZ160" i="2"/>
  <c r="AZ159" i="2"/>
  <c r="AZ158" i="2"/>
  <c r="AZ157" i="2"/>
  <c r="AZ156" i="2"/>
  <c r="AZ155" i="2"/>
  <c r="AZ154" i="2"/>
  <c r="AZ153" i="2"/>
  <c r="AZ152" i="2"/>
  <c r="AZ151" i="2"/>
  <c r="AZ150" i="2"/>
  <c r="AZ149" i="2"/>
  <c r="AZ148" i="2"/>
  <c r="AZ147" i="2"/>
  <c r="AZ146" i="2"/>
  <c r="AZ145" i="2"/>
  <c r="AZ144" i="2"/>
  <c r="AZ143" i="2"/>
  <c r="AZ142" i="2"/>
  <c r="AZ141" i="2"/>
  <c r="AZ139" i="2"/>
  <c r="AZ138" i="2"/>
  <c r="AZ137" i="2"/>
  <c r="AZ136" i="2"/>
  <c r="AZ135" i="2"/>
  <c r="AZ134" i="2"/>
  <c r="AZ133" i="2"/>
  <c r="AZ129" i="2"/>
  <c r="AZ128" i="2"/>
  <c r="AZ108" i="2"/>
  <c r="AZ127" i="2"/>
  <c r="AZ120" i="2"/>
  <c r="AZ119" i="2"/>
  <c r="AZ117" i="2"/>
  <c r="AZ116" i="2"/>
  <c r="AZ115" i="2"/>
  <c r="AZ126" i="2"/>
  <c r="AZ114" i="2"/>
  <c r="AZ112" i="2"/>
  <c r="AZ125" i="2"/>
  <c r="AZ111" i="2"/>
  <c r="AZ124" i="2"/>
  <c r="AZ123" i="2"/>
  <c r="AZ82" i="2"/>
  <c r="AZ81" i="2"/>
  <c r="AZ77" i="2"/>
  <c r="AZ64" i="2"/>
  <c r="AZ63" i="2"/>
  <c r="AZ62" i="2"/>
  <c r="AZ59" i="2"/>
  <c r="AZ50" i="2"/>
  <c r="AZ36" i="2"/>
  <c r="AZ35" i="2"/>
  <c r="AZ32" i="2"/>
  <c r="AZ31" i="2"/>
  <c r="AZ30" i="2"/>
  <c r="AZ27" i="2"/>
  <c r="AZ26" i="2"/>
  <c r="AZ23" i="2"/>
  <c r="AZ22" i="2"/>
  <c r="AZ21" i="2"/>
  <c r="AZ11" i="2"/>
  <c r="BA195" i="2"/>
  <c r="BA194" i="2"/>
  <c r="BA193" i="2"/>
  <c r="BA192" i="2"/>
  <c r="BA191" i="2"/>
  <c r="BA190" i="2"/>
  <c r="BA189" i="2"/>
  <c r="BA188" i="2"/>
  <c r="BA187" i="2"/>
  <c r="BA186" i="2"/>
  <c r="BA185" i="2"/>
  <c r="BA184" i="2"/>
  <c r="BA183" i="2"/>
  <c r="BA182" i="2"/>
  <c r="BA181" i="2"/>
  <c r="BA180" i="2"/>
  <c r="BA179" i="2"/>
  <c r="BA178" i="2"/>
  <c r="BA177" i="2"/>
  <c r="BA176" i="2"/>
  <c r="BA175" i="2"/>
  <c r="BA174" i="2"/>
  <c r="BA173" i="2"/>
  <c r="BA172" i="2"/>
  <c r="BA171" i="2"/>
  <c r="BA170" i="2"/>
  <c r="BA169" i="2"/>
  <c r="BA168" i="2"/>
  <c r="BA167" i="2"/>
  <c r="BA166" i="2"/>
  <c r="BA165" i="2"/>
  <c r="BA164" i="2"/>
  <c r="BA163" i="2"/>
  <c r="BA162" i="2"/>
  <c r="BA161" i="2"/>
  <c r="BA160" i="2"/>
  <c r="BA159" i="2"/>
  <c r="BA158" i="2"/>
  <c r="BA157" i="2"/>
  <c r="BA156" i="2"/>
  <c r="BA155" i="2"/>
  <c r="BA154" i="2"/>
  <c r="BA153" i="2"/>
  <c r="BA152" i="2"/>
  <c r="BA151" i="2"/>
  <c r="BA150" i="2"/>
  <c r="BA149" i="2"/>
  <c r="BA148" i="2"/>
  <c r="BA147" i="2"/>
  <c r="BA146" i="2"/>
  <c r="BA145" i="2"/>
  <c r="BA144" i="2"/>
  <c r="BA143" i="2"/>
  <c r="BA142" i="2"/>
  <c r="BA141" i="2"/>
  <c r="BA139" i="2"/>
  <c r="BA138" i="2"/>
  <c r="BA137" i="2"/>
  <c r="BA136" i="2"/>
  <c r="BA135" i="2"/>
  <c r="BA134" i="2"/>
  <c r="BA133" i="2"/>
  <c r="BA129" i="2"/>
  <c r="BA128" i="2"/>
  <c r="BA108" i="2"/>
  <c r="BA127" i="2"/>
  <c r="BA120" i="2"/>
  <c r="BA119" i="2"/>
  <c r="BA117" i="2"/>
  <c r="BA116" i="2"/>
  <c r="BA115" i="2"/>
  <c r="BA126" i="2"/>
  <c r="BA114" i="2"/>
  <c r="BA112" i="2"/>
  <c r="BA125" i="2"/>
  <c r="BA111" i="2"/>
  <c r="BA124" i="2"/>
  <c r="BA123" i="2"/>
  <c r="BA82" i="2"/>
  <c r="BA81" i="2"/>
  <c r="BA77" i="2"/>
  <c r="BA64" i="2"/>
  <c r="BA63" i="2"/>
  <c r="BA62" i="2"/>
  <c r="BA59" i="2"/>
  <c r="BA50" i="2"/>
  <c r="BA36" i="2"/>
  <c r="BA35" i="2"/>
  <c r="BA32" i="2"/>
  <c r="BA31" i="2"/>
  <c r="BA30" i="2"/>
  <c r="BA27" i="2"/>
  <c r="BA26" i="2"/>
  <c r="BA23" i="2"/>
  <c r="BA22" i="2"/>
  <c r="BA21" i="2"/>
  <c r="BA11" i="2"/>
  <c r="BC195" i="2"/>
  <c r="BC194" i="2"/>
  <c r="BC193" i="2"/>
  <c r="BC192" i="2"/>
  <c r="BC191" i="2"/>
  <c r="BC190" i="2"/>
  <c r="BC189" i="2"/>
  <c r="BC188" i="2"/>
  <c r="BC187" i="2"/>
  <c r="BC186" i="2"/>
  <c r="BC185" i="2"/>
  <c r="BC184" i="2"/>
  <c r="BC183" i="2"/>
  <c r="BC182" i="2"/>
  <c r="BC181" i="2"/>
  <c r="BC180" i="2"/>
  <c r="BC179" i="2"/>
  <c r="BC178" i="2"/>
  <c r="BC177" i="2"/>
  <c r="BC176" i="2"/>
  <c r="BC175" i="2"/>
  <c r="BC174" i="2"/>
  <c r="BC173" i="2"/>
  <c r="BC172" i="2"/>
  <c r="BC171" i="2"/>
  <c r="BC170" i="2"/>
  <c r="BC169" i="2"/>
  <c r="BC168" i="2"/>
  <c r="BC167" i="2"/>
  <c r="BC166" i="2"/>
  <c r="BC165" i="2"/>
  <c r="BC164" i="2"/>
  <c r="BC163" i="2"/>
  <c r="BC162" i="2"/>
  <c r="BC161" i="2"/>
  <c r="BC160" i="2"/>
  <c r="BC159" i="2"/>
  <c r="BC158" i="2"/>
  <c r="BC157" i="2"/>
  <c r="BC156" i="2"/>
  <c r="BC155" i="2"/>
  <c r="BC154" i="2"/>
  <c r="BC153" i="2"/>
  <c r="BC152" i="2"/>
  <c r="BC151" i="2"/>
  <c r="BC150" i="2"/>
  <c r="BC149" i="2"/>
  <c r="BC148" i="2"/>
  <c r="BC147" i="2"/>
  <c r="BC146" i="2"/>
  <c r="BC145" i="2"/>
  <c r="BC144" i="2"/>
  <c r="BC143" i="2"/>
  <c r="BC142" i="2"/>
  <c r="BC141" i="2"/>
  <c r="BC139" i="2"/>
  <c r="BC138" i="2"/>
  <c r="BC137" i="2"/>
  <c r="BC136" i="2"/>
  <c r="BC135" i="2"/>
  <c r="BC134" i="2"/>
  <c r="BC133" i="2"/>
  <c r="BC129" i="2"/>
  <c r="BC128" i="2"/>
  <c r="BC108" i="2"/>
  <c r="BC127" i="2"/>
  <c r="BC120" i="2"/>
  <c r="BC119" i="2"/>
  <c r="BC117" i="2"/>
  <c r="BC116" i="2"/>
  <c r="BC115" i="2"/>
  <c r="BC126" i="2"/>
  <c r="BC114" i="2"/>
  <c r="BC112" i="2"/>
  <c r="BC125" i="2"/>
  <c r="BC111" i="2"/>
  <c r="BC124" i="2"/>
  <c r="BC123" i="2"/>
  <c r="BC82" i="2"/>
  <c r="BC81" i="2"/>
  <c r="BC77" i="2"/>
  <c r="BC64" i="2"/>
  <c r="BC63" i="2"/>
  <c r="BC62" i="2"/>
  <c r="BC59" i="2"/>
  <c r="BC36" i="2"/>
  <c r="BC35" i="2"/>
  <c r="BC32" i="2"/>
  <c r="BC31" i="2"/>
  <c r="BC30" i="2"/>
  <c r="BC27" i="2"/>
  <c r="BC26" i="2"/>
  <c r="BC23" i="2"/>
  <c r="BC22" i="2"/>
  <c r="BC21" i="2"/>
  <c r="BC11" i="2"/>
  <c r="BB195" i="2"/>
  <c r="BB194" i="2"/>
  <c r="BB193" i="2"/>
  <c r="BB192" i="2"/>
  <c r="BB191" i="2"/>
  <c r="BB190" i="2"/>
  <c r="BB189" i="2"/>
  <c r="BB188" i="2"/>
  <c r="BB187" i="2"/>
  <c r="BB186" i="2"/>
  <c r="BB185" i="2"/>
  <c r="BB184" i="2"/>
  <c r="BB183" i="2"/>
  <c r="BB182" i="2"/>
  <c r="BB181" i="2"/>
  <c r="BB180" i="2"/>
  <c r="BB179" i="2"/>
  <c r="BB178" i="2"/>
  <c r="BB177" i="2"/>
  <c r="BB176" i="2"/>
  <c r="BB175" i="2"/>
  <c r="BB174" i="2"/>
  <c r="BB173" i="2"/>
  <c r="BB172" i="2"/>
  <c r="BB171" i="2"/>
  <c r="BB170" i="2"/>
  <c r="BB169" i="2"/>
  <c r="BB168" i="2"/>
  <c r="BB167" i="2"/>
  <c r="BB166" i="2"/>
  <c r="BB165" i="2"/>
  <c r="BB164" i="2"/>
  <c r="BB163" i="2"/>
  <c r="BB162" i="2"/>
  <c r="BB161" i="2"/>
  <c r="BB160" i="2"/>
  <c r="BB159" i="2"/>
  <c r="BB158" i="2"/>
  <c r="BB157" i="2"/>
  <c r="BB156" i="2"/>
  <c r="BB155" i="2"/>
  <c r="BB154" i="2"/>
  <c r="BB153" i="2"/>
  <c r="BB152" i="2"/>
  <c r="BB151" i="2"/>
  <c r="BB150" i="2"/>
  <c r="BB149" i="2"/>
  <c r="BB148" i="2"/>
  <c r="BB147" i="2"/>
  <c r="BB146" i="2"/>
  <c r="BB145" i="2"/>
  <c r="BB144" i="2"/>
  <c r="BB143" i="2"/>
  <c r="BB142" i="2"/>
  <c r="BB141" i="2"/>
  <c r="BB139" i="2"/>
  <c r="BB138" i="2"/>
  <c r="BB137" i="2"/>
  <c r="BB136" i="2"/>
  <c r="BB135" i="2"/>
  <c r="BB134" i="2"/>
  <c r="BB133" i="2"/>
  <c r="BB129" i="2"/>
  <c r="BB128" i="2"/>
  <c r="BB108" i="2"/>
  <c r="BB127" i="2"/>
  <c r="BB120" i="2"/>
  <c r="BB119" i="2"/>
  <c r="BB117" i="2"/>
  <c r="BB116" i="2"/>
  <c r="BB115" i="2"/>
  <c r="BB126" i="2"/>
  <c r="BB114" i="2"/>
  <c r="BB112" i="2"/>
  <c r="BB125" i="2"/>
  <c r="BB111" i="2"/>
  <c r="BB124" i="2"/>
  <c r="BB123" i="2"/>
  <c r="BB82" i="2"/>
  <c r="BB81" i="2"/>
  <c r="BB77" i="2"/>
  <c r="BB64" i="2"/>
  <c r="BB63" i="2"/>
  <c r="BB62" i="2"/>
  <c r="BB59" i="2"/>
  <c r="BB36" i="2"/>
  <c r="BB35" i="2"/>
  <c r="BB32" i="2"/>
  <c r="BB31" i="2"/>
  <c r="BB30" i="2"/>
  <c r="BB27" i="2"/>
  <c r="BB26" i="2"/>
  <c r="BB23" i="2"/>
  <c r="BB22" i="2"/>
  <c r="BB21" i="2"/>
  <c r="BB11" i="2"/>
  <c r="B555" i="8"/>
  <c r="B554" i="8"/>
  <c r="A554" i="8" s="1"/>
  <c r="B553" i="8"/>
  <c r="A553" i="8" s="1"/>
  <c r="B552" i="8"/>
  <c r="A552" i="8" s="1"/>
  <c r="B551" i="8"/>
  <c r="A551" i="8" s="1"/>
  <c r="B550" i="8"/>
  <c r="A550" i="8" s="1"/>
  <c r="B549" i="8"/>
  <c r="A549" i="8" s="1"/>
  <c r="B548" i="8"/>
  <c r="A548" i="8" s="1"/>
  <c r="B547" i="8"/>
  <c r="A547" i="8" s="1"/>
  <c r="B546" i="8"/>
  <c r="A546" i="8" s="1"/>
  <c r="B545" i="8"/>
  <c r="A545" i="8" s="1"/>
  <c r="B544" i="8"/>
  <c r="A544" i="8" s="1"/>
  <c r="B543" i="8"/>
  <c r="A543" i="8" s="1"/>
  <c r="B542" i="8"/>
  <c r="A542" i="8" s="1"/>
  <c r="B541" i="8"/>
  <c r="A541" i="8" s="1"/>
  <c r="B540" i="8"/>
  <c r="A540" i="8" s="1"/>
  <c r="B539" i="8"/>
  <c r="A539" i="8" s="1"/>
  <c r="B538" i="8"/>
  <c r="A538" i="8" s="1"/>
  <c r="B537" i="8"/>
  <c r="A537" i="8" s="1"/>
  <c r="B536" i="8"/>
  <c r="A536" i="8" s="1"/>
  <c r="B535" i="8"/>
  <c r="A535" i="8" s="1"/>
  <c r="B534" i="8"/>
  <c r="A534" i="8" s="1"/>
  <c r="B533" i="8"/>
  <c r="A533" i="8" s="1"/>
  <c r="B532" i="8"/>
  <c r="A532" i="8" s="1"/>
  <c r="B531" i="8"/>
  <c r="A531" i="8" s="1"/>
  <c r="B530" i="8"/>
  <c r="A530" i="8" s="1"/>
  <c r="B529" i="8"/>
  <c r="A529" i="8" s="1"/>
  <c r="B528" i="8"/>
  <c r="A528" i="8" s="1"/>
  <c r="B527" i="8"/>
  <c r="A527" i="8" s="1"/>
  <c r="B526" i="8"/>
  <c r="A526" i="8" s="1"/>
  <c r="B525" i="8"/>
  <c r="A525" i="8" s="1"/>
  <c r="B524" i="8"/>
  <c r="A524" i="8" s="1"/>
  <c r="B523" i="8"/>
  <c r="A523" i="8" s="1"/>
  <c r="B522" i="8"/>
  <c r="A522" i="8" s="1"/>
  <c r="B521" i="8"/>
  <c r="A521" i="8" s="1"/>
  <c r="B520" i="8"/>
  <c r="A520" i="8" s="1"/>
  <c r="B519" i="8"/>
  <c r="A519" i="8" s="1"/>
  <c r="B518" i="8"/>
  <c r="A518" i="8" s="1"/>
  <c r="B517" i="8"/>
  <c r="A517" i="8" s="1"/>
  <c r="B516" i="8"/>
  <c r="A516" i="8" s="1"/>
  <c r="B515" i="8"/>
  <c r="A515" i="8" s="1"/>
  <c r="B514" i="8"/>
  <c r="A514" i="8" s="1"/>
  <c r="B513" i="8"/>
  <c r="A513" i="8" s="1"/>
  <c r="B512" i="8"/>
  <c r="A512" i="8" s="1"/>
  <c r="B511" i="8"/>
  <c r="A511" i="8" s="1"/>
  <c r="B510" i="8"/>
  <c r="A510" i="8" s="1"/>
  <c r="B509" i="8"/>
  <c r="A509" i="8" s="1"/>
  <c r="B508" i="8"/>
  <c r="A508" i="8" s="1"/>
  <c r="B507" i="8"/>
  <c r="A507" i="8" s="1"/>
  <c r="B506" i="8"/>
  <c r="A506" i="8" s="1"/>
  <c r="B505" i="8"/>
  <c r="A505" i="8" s="1"/>
  <c r="B504" i="8"/>
  <c r="A504" i="8" s="1"/>
  <c r="B503" i="8"/>
  <c r="A503" i="8" s="1"/>
  <c r="B502" i="8"/>
  <c r="A502" i="8" s="1"/>
  <c r="B501" i="8"/>
  <c r="A501" i="8" s="1"/>
  <c r="B500" i="8"/>
  <c r="A500" i="8" s="1"/>
  <c r="B499" i="8"/>
  <c r="A499" i="8" s="1"/>
  <c r="B498" i="8"/>
  <c r="A498" i="8" s="1"/>
  <c r="B497" i="8"/>
  <c r="A497" i="8" s="1"/>
  <c r="B496" i="8"/>
  <c r="A496" i="8" s="1"/>
  <c r="B495" i="8"/>
  <c r="A495" i="8" s="1"/>
  <c r="B494" i="8"/>
  <c r="A494" i="8" s="1"/>
  <c r="B493" i="8"/>
  <c r="A493" i="8" s="1"/>
  <c r="B492" i="8"/>
  <c r="A492" i="8" s="1"/>
  <c r="B491" i="8"/>
  <c r="A491" i="8" s="1"/>
  <c r="B490" i="8"/>
  <c r="A490" i="8" s="1"/>
  <c r="B489" i="8"/>
  <c r="A489" i="8" s="1"/>
  <c r="B488" i="8"/>
  <c r="A488" i="8" s="1"/>
  <c r="B487" i="8"/>
  <c r="A487" i="8" s="1"/>
  <c r="B486" i="8"/>
  <c r="A486" i="8" s="1"/>
  <c r="B485" i="8"/>
  <c r="A485" i="8" s="1"/>
  <c r="B484" i="8"/>
  <c r="A484" i="8" s="1"/>
  <c r="B483" i="8"/>
  <c r="A483" i="8" s="1"/>
  <c r="B482" i="8"/>
  <c r="A482" i="8" s="1"/>
  <c r="B481" i="8"/>
  <c r="A481" i="8" s="1"/>
  <c r="B480" i="8"/>
  <c r="A480" i="8" s="1"/>
  <c r="B479" i="8"/>
  <c r="A479" i="8" s="1"/>
  <c r="B478" i="8"/>
  <c r="A478" i="8" s="1"/>
  <c r="B477" i="8"/>
  <c r="A477" i="8" s="1"/>
  <c r="B476" i="8"/>
  <c r="A476" i="8" s="1"/>
  <c r="B475" i="8"/>
  <c r="A475" i="8" s="1"/>
  <c r="B474" i="8"/>
  <c r="A474" i="8" s="1"/>
  <c r="B473" i="8"/>
  <c r="A473" i="8" s="1"/>
  <c r="B472" i="8"/>
  <c r="A472" i="8" s="1"/>
  <c r="B471" i="8"/>
  <c r="A471" i="8" s="1"/>
  <c r="B470" i="8"/>
  <c r="A470" i="8" s="1"/>
  <c r="B469" i="8"/>
  <c r="A469" i="8" s="1"/>
  <c r="B468" i="8"/>
  <c r="A468" i="8" s="1"/>
  <c r="B467" i="8"/>
  <c r="A467" i="8" s="1"/>
  <c r="B466" i="8"/>
  <c r="A466" i="8" s="1"/>
  <c r="B465" i="8"/>
  <c r="A465" i="8" s="1"/>
  <c r="B464" i="8"/>
  <c r="A464" i="8" s="1"/>
  <c r="B463" i="8"/>
  <c r="A463" i="8" s="1"/>
  <c r="B462" i="8"/>
  <c r="A462" i="8" s="1"/>
  <c r="B461" i="8"/>
  <c r="A461" i="8" s="1"/>
  <c r="B460" i="8"/>
  <c r="A460" i="8" s="1"/>
  <c r="B459" i="8"/>
  <c r="A459" i="8" s="1"/>
  <c r="B458" i="8"/>
  <c r="A458" i="8" s="1"/>
  <c r="B457" i="8"/>
  <c r="A457" i="8" s="1"/>
  <c r="B456" i="8"/>
  <c r="A456" i="8" s="1"/>
  <c r="B455" i="8"/>
  <c r="A455" i="8" s="1"/>
  <c r="B454" i="8"/>
  <c r="B453" i="8"/>
  <c r="A453" i="8" s="1"/>
  <c r="B452" i="8"/>
  <c r="A452" i="8" s="1"/>
  <c r="B451" i="8"/>
  <c r="A451" i="8" s="1"/>
  <c r="B450" i="8"/>
  <c r="A450" i="8" s="1"/>
  <c r="B449" i="8"/>
  <c r="A449" i="8" s="1"/>
  <c r="B448" i="8"/>
  <c r="A448" i="8" s="1"/>
  <c r="B447" i="8"/>
  <c r="A447" i="8" s="1"/>
  <c r="B446" i="8"/>
  <c r="A446" i="8" s="1"/>
  <c r="B445" i="8"/>
  <c r="A445" i="8" s="1"/>
  <c r="B444" i="8"/>
  <c r="A444" i="8" s="1"/>
  <c r="B443" i="8"/>
  <c r="A443" i="8" s="1"/>
  <c r="B442" i="8"/>
  <c r="A442" i="8" s="1"/>
  <c r="B441" i="8"/>
  <c r="A441" i="8" s="1"/>
  <c r="B440" i="8"/>
  <c r="A440" i="8" s="1"/>
  <c r="B439" i="8"/>
  <c r="A439" i="8" s="1"/>
  <c r="B438" i="8"/>
  <c r="A438" i="8" s="1"/>
  <c r="B437" i="8"/>
  <c r="A437" i="8" s="1"/>
  <c r="B436" i="8"/>
  <c r="A436" i="8" s="1"/>
  <c r="B435" i="8"/>
  <c r="A435" i="8" s="1"/>
  <c r="B434" i="8"/>
  <c r="A434" i="8" s="1"/>
  <c r="B433" i="8"/>
  <c r="A433" i="8" s="1"/>
  <c r="B432" i="8"/>
  <c r="A432" i="8" s="1"/>
  <c r="B431" i="8"/>
  <c r="A431" i="8" s="1"/>
  <c r="B430" i="8"/>
  <c r="A430" i="8" s="1"/>
  <c r="B429" i="8"/>
  <c r="A429" i="8" s="1"/>
  <c r="B428" i="8"/>
  <c r="A428" i="8" s="1"/>
  <c r="B427" i="8"/>
  <c r="A427" i="8" s="1"/>
  <c r="B426" i="8"/>
  <c r="A426" i="8" s="1"/>
  <c r="B425" i="8"/>
  <c r="A425" i="8" s="1"/>
  <c r="B424" i="8"/>
  <c r="A424" i="8" s="1"/>
  <c r="B423" i="8"/>
  <c r="A423" i="8" s="1"/>
  <c r="B422" i="8"/>
  <c r="A422" i="8" s="1"/>
  <c r="B421" i="8"/>
  <c r="A421" i="8" s="1"/>
  <c r="B420" i="8"/>
  <c r="A420" i="8" s="1"/>
  <c r="B419" i="8"/>
  <c r="A419" i="8" s="1"/>
  <c r="B418" i="8"/>
  <c r="A418" i="8" s="1"/>
  <c r="B417" i="8"/>
  <c r="A417" i="8" s="1"/>
  <c r="B416" i="8"/>
  <c r="A416" i="8" s="1"/>
  <c r="B415" i="8"/>
  <c r="A415" i="8" s="1"/>
  <c r="B414" i="8"/>
  <c r="A414" i="8" s="1"/>
  <c r="B413" i="8"/>
  <c r="A413" i="8" s="1"/>
  <c r="B412" i="8"/>
  <c r="A412" i="8" s="1"/>
  <c r="B411" i="8"/>
  <c r="A411" i="8" s="1"/>
  <c r="B410" i="8"/>
  <c r="A410" i="8" s="1"/>
  <c r="B409" i="8"/>
  <c r="A409" i="8" s="1"/>
  <c r="B408" i="8"/>
  <c r="A408" i="8" s="1"/>
  <c r="B407" i="8"/>
  <c r="A407" i="8" s="1"/>
  <c r="B406" i="8"/>
  <c r="A406" i="8" s="1"/>
  <c r="B405" i="8"/>
  <c r="A405" i="8" s="1"/>
  <c r="B404" i="8"/>
  <c r="A404" i="8" s="1"/>
  <c r="B403" i="8"/>
  <c r="A403" i="8" s="1"/>
  <c r="B402" i="8"/>
  <c r="A402" i="8" s="1"/>
  <c r="B401" i="8"/>
  <c r="A401" i="8" s="1"/>
  <c r="B400" i="8"/>
  <c r="A400" i="8" s="1"/>
  <c r="B399" i="8"/>
  <c r="A399" i="8" s="1"/>
  <c r="B398" i="8"/>
  <c r="A398" i="8" s="1"/>
  <c r="B397" i="8"/>
  <c r="A397" i="8" s="1"/>
  <c r="B396" i="8"/>
  <c r="A396" i="8" s="1"/>
  <c r="B395" i="8"/>
  <c r="A395" i="8" s="1"/>
  <c r="B394" i="8"/>
  <c r="A394" i="8" s="1"/>
  <c r="B393" i="8"/>
  <c r="A393" i="8" s="1"/>
  <c r="B392" i="8"/>
  <c r="A392" i="8" s="1"/>
  <c r="B391" i="8"/>
  <c r="A391" i="8" s="1"/>
  <c r="B390" i="8"/>
  <c r="A390" i="8" s="1"/>
  <c r="B389" i="8"/>
  <c r="A389" i="8" s="1"/>
  <c r="B388" i="8"/>
  <c r="B387" i="8"/>
  <c r="A387" i="8" s="1"/>
  <c r="B386" i="8"/>
  <c r="A386" i="8" s="1"/>
  <c r="B385" i="8"/>
  <c r="A385" i="8" s="1"/>
  <c r="B384" i="8"/>
  <c r="A384" i="8" s="1"/>
  <c r="B383" i="8"/>
  <c r="A383" i="8" s="1"/>
  <c r="B382" i="8"/>
  <c r="A382" i="8" s="1"/>
  <c r="B381" i="8"/>
  <c r="A381" i="8" s="1"/>
  <c r="B380" i="8"/>
  <c r="A380" i="8" s="1"/>
  <c r="B379" i="8"/>
  <c r="A379" i="8" s="1"/>
  <c r="B378" i="8"/>
  <c r="A378" i="8" s="1"/>
  <c r="B377" i="8"/>
  <c r="A377" i="8" s="1"/>
  <c r="B376" i="8"/>
  <c r="A376" i="8" s="1"/>
  <c r="B375" i="8"/>
  <c r="A375" i="8" s="1"/>
  <c r="B374" i="8"/>
  <c r="A374" i="8" s="1"/>
  <c r="B373" i="8"/>
  <c r="A373" i="8" s="1"/>
  <c r="B372" i="8"/>
  <c r="A372" i="8" s="1"/>
  <c r="B371" i="8"/>
  <c r="A371" i="8" s="1"/>
  <c r="B370" i="8"/>
  <c r="A370" i="8" s="1"/>
  <c r="B369" i="8"/>
  <c r="A369" i="8" s="1"/>
  <c r="B368" i="8"/>
  <c r="A368" i="8" s="1"/>
  <c r="B367" i="8"/>
  <c r="A367" i="8" s="1"/>
  <c r="B366" i="8"/>
  <c r="A366" i="8" s="1"/>
  <c r="B365" i="8"/>
  <c r="A365" i="8" s="1"/>
  <c r="B364" i="8"/>
  <c r="A364" i="8" s="1"/>
  <c r="B363" i="8"/>
  <c r="A363" i="8" s="1"/>
  <c r="B362" i="8"/>
  <c r="A362" i="8" s="1"/>
  <c r="B361" i="8"/>
  <c r="A361" i="8" s="1"/>
  <c r="B360" i="8"/>
  <c r="A360" i="8" s="1"/>
  <c r="B359" i="8"/>
  <c r="A359" i="8" s="1"/>
  <c r="B358" i="8"/>
  <c r="A358" i="8" s="1"/>
  <c r="B357" i="8"/>
  <c r="A357" i="8" s="1"/>
  <c r="B356" i="8"/>
  <c r="A356" i="8" s="1"/>
  <c r="B355" i="8"/>
  <c r="A355" i="8" s="1"/>
  <c r="B354" i="8"/>
  <c r="A354" i="8" s="1"/>
  <c r="B353" i="8"/>
  <c r="A353" i="8" s="1"/>
  <c r="B352" i="8"/>
  <c r="A352" i="8" s="1"/>
  <c r="B351" i="8"/>
  <c r="A351" i="8" s="1"/>
  <c r="B350" i="8"/>
  <c r="A350" i="8" s="1"/>
  <c r="B349" i="8"/>
  <c r="A349" i="8" s="1"/>
  <c r="B348" i="8"/>
  <c r="A348" i="8" s="1"/>
  <c r="B347" i="8"/>
  <c r="A347" i="8" s="1"/>
  <c r="B346" i="8"/>
  <c r="A346" i="8" s="1"/>
  <c r="B345" i="8"/>
  <c r="A345" i="8" s="1"/>
  <c r="B344" i="8"/>
  <c r="A344" i="8" s="1"/>
  <c r="B343" i="8"/>
  <c r="A343" i="8" s="1"/>
  <c r="B342" i="8"/>
  <c r="A342" i="8" s="1"/>
  <c r="B341" i="8"/>
  <c r="A341" i="8" s="1"/>
  <c r="B340" i="8"/>
  <c r="A340" i="8" s="1"/>
  <c r="B339" i="8"/>
  <c r="A339" i="8" s="1"/>
  <c r="B338" i="8"/>
  <c r="A338" i="8" s="1"/>
  <c r="B337" i="8"/>
  <c r="A337" i="8" s="1"/>
  <c r="B336" i="8"/>
  <c r="A336" i="8" s="1"/>
  <c r="B335" i="8"/>
  <c r="A335" i="8" s="1"/>
  <c r="B334" i="8"/>
  <c r="A334" i="8" s="1"/>
  <c r="B333" i="8"/>
  <c r="A333" i="8" s="1"/>
  <c r="B332" i="8"/>
  <c r="A332" i="8" s="1"/>
  <c r="B331" i="8"/>
  <c r="A331" i="8" s="1"/>
  <c r="B330" i="8"/>
  <c r="A330" i="8" s="1"/>
  <c r="B329" i="8"/>
  <c r="A329" i="8" s="1"/>
  <c r="B328" i="8"/>
  <c r="A328" i="8" s="1"/>
  <c r="B327" i="8"/>
  <c r="A327" i="8" s="1"/>
  <c r="B326" i="8"/>
  <c r="A326" i="8" s="1"/>
  <c r="B325" i="8"/>
  <c r="A325" i="8" s="1"/>
  <c r="B324" i="8"/>
  <c r="A324" i="8" s="1"/>
  <c r="B323" i="8"/>
  <c r="A323" i="8" s="1"/>
  <c r="B322" i="8"/>
  <c r="A322" i="8" s="1"/>
  <c r="B321" i="8"/>
  <c r="A321" i="8" s="1"/>
  <c r="B320" i="8"/>
  <c r="A320" i="8" s="1"/>
  <c r="B319" i="8"/>
  <c r="A319" i="8" s="1"/>
  <c r="B318" i="8"/>
  <c r="A318" i="8" s="1"/>
  <c r="B317" i="8"/>
  <c r="A317" i="8" s="1"/>
  <c r="B316" i="8"/>
  <c r="A316" i="8" s="1"/>
  <c r="B315" i="8"/>
  <c r="A315" i="8" s="1"/>
  <c r="B314" i="8"/>
  <c r="A314" i="8" s="1"/>
  <c r="B313" i="8"/>
  <c r="A313" i="8" s="1"/>
  <c r="B312" i="8"/>
  <c r="A312" i="8" s="1"/>
  <c r="B311" i="8"/>
  <c r="A311" i="8" s="1"/>
  <c r="B310" i="8"/>
  <c r="A310" i="8" s="1"/>
  <c r="B309" i="8"/>
  <c r="A309" i="8" s="1"/>
  <c r="B308" i="8"/>
  <c r="A308" i="8" s="1"/>
  <c r="B307" i="8"/>
  <c r="A307" i="8" s="1"/>
  <c r="B306" i="8"/>
  <c r="A306" i="8" s="1"/>
  <c r="B305" i="8"/>
  <c r="A305" i="8" s="1"/>
  <c r="B304" i="8"/>
  <c r="A304" i="8" s="1"/>
  <c r="B303" i="8"/>
  <c r="A303" i="8" s="1"/>
  <c r="B302" i="8"/>
  <c r="A302" i="8" s="1"/>
  <c r="B301" i="8"/>
  <c r="A301" i="8" s="1"/>
  <c r="B300" i="8"/>
  <c r="A300" i="8" s="1"/>
  <c r="B299" i="8"/>
  <c r="A299" i="8" s="1"/>
  <c r="B298" i="8"/>
  <c r="A298" i="8" s="1"/>
  <c r="B297" i="8"/>
  <c r="A297" i="8" s="1"/>
  <c r="B296" i="8"/>
  <c r="A296" i="8" s="1"/>
  <c r="B295" i="8"/>
  <c r="A295" i="8" s="1"/>
  <c r="B294" i="8"/>
  <c r="A294" i="8" s="1"/>
  <c r="B293" i="8"/>
  <c r="A293" i="8" s="1"/>
  <c r="B292" i="8"/>
  <c r="A292" i="8" s="1"/>
  <c r="B291" i="8"/>
  <c r="A291" i="8" s="1"/>
  <c r="B290" i="8"/>
  <c r="A290" i="8" s="1"/>
  <c r="B289" i="8"/>
  <c r="A289" i="8" s="1"/>
  <c r="B288" i="8"/>
  <c r="A288" i="8" s="1"/>
  <c r="B287" i="8"/>
  <c r="A287" i="8" s="1"/>
  <c r="B286" i="8"/>
  <c r="A286" i="8" s="1"/>
  <c r="B285" i="8"/>
  <c r="B284" i="8"/>
  <c r="B283" i="8"/>
  <c r="A283" i="8" s="1"/>
  <c r="B282" i="8"/>
  <c r="A282" i="8" s="1"/>
  <c r="B281" i="8"/>
  <c r="A281" i="8" s="1"/>
  <c r="B280" i="8"/>
  <c r="A280" i="8" s="1"/>
  <c r="B279" i="8"/>
  <c r="A279" i="8" s="1"/>
  <c r="B278" i="8"/>
  <c r="A278" i="8" s="1"/>
  <c r="B277" i="8"/>
  <c r="A277" i="8" s="1"/>
  <c r="B276" i="8"/>
  <c r="A276" i="8" s="1"/>
  <c r="B275" i="8"/>
  <c r="A275" i="8" s="1"/>
  <c r="B274" i="8"/>
  <c r="A274" i="8" s="1"/>
  <c r="B273" i="8"/>
  <c r="A273" i="8" s="1"/>
  <c r="B272" i="8"/>
  <c r="A272" i="8" s="1"/>
  <c r="B271" i="8"/>
  <c r="A271" i="8" s="1"/>
  <c r="B270" i="8"/>
  <c r="A270" i="8" s="1"/>
  <c r="B269" i="8"/>
  <c r="A269" i="8" s="1"/>
  <c r="B268" i="8"/>
  <c r="A268" i="8" s="1"/>
  <c r="B267" i="8"/>
  <c r="A267" i="8" s="1"/>
  <c r="B266" i="8"/>
  <c r="A266" i="8" s="1"/>
  <c r="B265" i="8"/>
  <c r="A265" i="8" s="1"/>
  <c r="B264" i="8"/>
  <c r="A264" i="8" s="1"/>
  <c r="B263" i="8"/>
  <c r="A263" i="8" s="1"/>
  <c r="B262" i="8"/>
  <c r="A262" i="8" s="1"/>
  <c r="B261" i="8"/>
  <c r="A261" i="8" s="1"/>
  <c r="B260" i="8"/>
  <c r="A260" i="8" s="1"/>
  <c r="B259" i="8"/>
  <c r="A259" i="8" s="1"/>
  <c r="B258" i="8"/>
  <c r="A258" i="8" s="1"/>
  <c r="B257" i="8"/>
  <c r="A257" i="8" s="1"/>
  <c r="B256" i="8"/>
  <c r="A256" i="8" s="1"/>
  <c r="B255" i="8"/>
  <c r="A255" i="8" s="1"/>
  <c r="B254" i="8"/>
  <c r="B253" i="8"/>
  <c r="A253" i="8" s="1"/>
  <c r="B252" i="8"/>
  <c r="A252" i="8" s="1"/>
  <c r="B251" i="8"/>
  <c r="A251" i="8" s="1"/>
  <c r="B250" i="8"/>
  <c r="A250" i="8" s="1"/>
  <c r="B249" i="8"/>
  <c r="A249" i="8" s="1"/>
  <c r="B248" i="8"/>
  <c r="A248" i="8" s="1"/>
  <c r="B247" i="8"/>
  <c r="A247" i="8" s="1"/>
  <c r="B246" i="8"/>
  <c r="A246" i="8" s="1"/>
  <c r="B245" i="8"/>
  <c r="A245" i="8" s="1"/>
  <c r="B244" i="8"/>
  <c r="A244" i="8" s="1"/>
  <c r="B243" i="8"/>
  <c r="A243" i="8" s="1"/>
  <c r="B242" i="8"/>
  <c r="B241" i="8"/>
  <c r="A241" i="8" s="1"/>
  <c r="B240" i="8"/>
  <c r="A240" i="8" s="1"/>
  <c r="B239" i="8"/>
  <c r="A239" i="8" s="1"/>
  <c r="B238" i="8"/>
  <c r="A238" i="8" s="1"/>
  <c r="B237" i="8"/>
  <c r="A237" i="8" s="1"/>
  <c r="B236" i="8"/>
  <c r="A236" i="8" s="1"/>
  <c r="B235" i="8"/>
  <c r="A235" i="8" s="1"/>
  <c r="B234" i="8"/>
  <c r="A234" i="8" s="1"/>
  <c r="B233" i="8"/>
  <c r="A233" i="8" s="1"/>
  <c r="B232" i="8"/>
  <c r="A232" i="8" s="1"/>
  <c r="B231" i="8"/>
  <c r="A231" i="8" s="1"/>
  <c r="B230" i="8"/>
  <c r="A230" i="8" s="1"/>
  <c r="B229" i="8"/>
  <c r="A229" i="8" s="1"/>
  <c r="B228" i="8"/>
  <c r="A228" i="8" s="1"/>
  <c r="B227" i="8"/>
  <c r="A227" i="8" s="1"/>
  <c r="B226" i="8"/>
  <c r="A226" i="8" s="1"/>
  <c r="B225" i="8"/>
  <c r="A225" i="8" s="1"/>
  <c r="B224" i="8"/>
  <c r="A224" i="8" s="1"/>
  <c r="B223" i="8"/>
  <c r="A223" i="8" s="1"/>
  <c r="B222" i="8"/>
  <c r="A222" i="8" s="1"/>
  <c r="B221" i="8"/>
  <c r="A221" i="8" s="1"/>
  <c r="B220" i="8"/>
  <c r="A220" i="8" s="1"/>
  <c r="B219" i="8"/>
  <c r="A219" i="8" s="1"/>
  <c r="B218" i="8"/>
  <c r="A218" i="8" s="1"/>
  <c r="B217" i="8"/>
  <c r="A217" i="8" s="1"/>
  <c r="B216" i="8"/>
  <c r="A216" i="8" s="1"/>
  <c r="B215" i="8"/>
  <c r="A215" i="8" s="1"/>
  <c r="B214" i="8"/>
  <c r="A214" i="8" s="1"/>
  <c r="B213" i="8"/>
  <c r="A213" i="8" s="1"/>
  <c r="B212" i="8"/>
  <c r="A212" i="8" s="1"/>
  <c r="B211" i="8"/>
  <c r="A211" i="8" s="1"/>
  <c r="B210" i="8"/>
  <c r="A210" i="8" s="1"/>
  <c r="B209" i="8"/>
  <c r="A209" i="8" s="1"/>
  <c r="B208" i="8"/>
  <c r="A208" i="8" s="1"/>
  <c r="B207" i="8"/>
  <c r="A207" i="8" s="1"/>
  <c r="B206" i="8"/>
  <c r="A206" i="8" s="1"/>
  <c r="B205" i="8"/>
  <c r="A205" i="8" s="1"/>
  <c r="B204" i="8"/>
  <c r="A204" i="8" s="1"/>
  <c r="B203" i="8"/>
  <c r="A203" i="8" s="1"/>
  <c r="B202" i="8"/>
  <c r="A202" i="8" s="1"/>
  <c r="B201" i="8"/>
  <c r="A201" i="8" s="1"/>
  <c r="B200" i="8"/>
  <c r="A200" i="8" s="1"/>
  <c r="B199" i="8"/>
  <c r="A199" i="8" s="1"/>
  <c r="B198" i="8"/>
  <c r="A198" i="8" s="1"/>
  <c r="B197" i="8"/>
  <c r="A197" i="8" s="1"/>
  <c r="B196" i="8"/>
  <c r="A196" i="8" s="1"/>
  <c r="B195" i="8"/>
  <c r="A195" i="8" s="1"/>
  <c r="B194" i="8"/>
  <c r="A194" i="8" s="1"/>
  <c r="B193" i="8"/>
  <c r="A193" i="8" s="1"/>
  <c r="B192" i="8"/>
  <c r="A192" i="8" s="1"/>
  <c r="B191" i="8"/>
  <c r="A191" i="8" s="1"/>
  <c r="B190" i="8"/>
  <c r="A190" i="8" s="1"/>
  <c r="B189" i="8"/>
  <c r="A189" i="8" s="1"/>
  <c r="B188" i="8"/>
  <c r="A188" i="8" s="1"/>
  <c r="B187" i="8"/>
  <c r="A187" i="8" s="1"/>
  <c r="B186" i="8"/>
  <c r="A186" i="8" s="1"/>
  <c r="B185" i="8"/>
  <c r="A185" i="8" s="1"/>
  <c r="B184" i="8"/>
  <c r="A184" i="8" s="1"/>
  <c r="B183" i="8"/>
  <c r="A183" i="8" s="1"/>
  <c r="B182" i="8"/>
  <c r="A182" i="8" s="1"/>
  <c r="B181" i="8"/>
  <c r="A181" i="8" s="1"/>
  <c r="B180" i="8"/>
  <c r="A180" i="8" s="1"/>
  <c r="B179" i="8"/>
  <c r="A179" i="8" s="1"/>
  <c r="B178" i="8"/>
  <c r="A178" i="8" s="1"/>
  <c r="B177" i="8"/>
  <c r="A177" i="8" s="1"/>
  <c r="B176" i="8"/>
  <c r="A176" i="8" s="1"/>
  <c r="B175" i="8"/>
  <c r="A175" i="8" s="1"/>
  <c r="B174" i="8"/>
  <c r="A174" i="8" s="1"/>
  <c r="B173" i="8"/>
  <c r="A173" i="8" s="1"/>
  <c r="B172" i="8"/>
  <c r="A172" i="8" s="1"/>
  <c r="B171" i="8"/>
  <c r="A171" i="8" s="1"/>
  <c r="B170" i="8"/>
  <c r="A170" i="8" s="1"/>
  <c r="B169" i="8"/>
  <c r="A169" i="8" s="1"/>
  <c r="B168" i="8"/>
  <c r="A168" i="8" s="1"/>
  <c r="B167" i="8"/>
  <c r="A167" i="8" s="1"/>
  <c r="B166" i="8"/>
  <c r="A166" i="8" s="1"/>
  <c r="B165" i="8"/>
  <c r="A165" i="8" s="1"/>
  <c r="B164" i="8"/>
  <c r="A164" i="8" s="1"/>
  <c r="B163" i="8"/>
  <c r="A163" i="8" s="1"/>
  <c r="B162" i="8"/>
  <c r="B161" i="8"/>
  <c r="B160" i="8"/>
  <c r="B159" i="8"/>
  <c r="A159" i="8" s="1"/>
  <c r="B158" i="8"/>
  <c r="A158" i="8" s="1"/>
  <c r="B157" i="8"/>
  <c r="B156" i="8"/>
  <c r="A156" i="8" s="1"/>
  <c r="B155" i="8"/>
  <c r="A155" i="8" s="1"/>
  <c r="B154" i="8"/>
  <c r="A154" i="8" s="1"/>
  <c r="B153" i="8"/>
  <c r="A153" i="8" s="1"/>
  <c r="B152" i="8"/>
  <c r="A152" i="8" s="1"/>
  <c r="B151" i="8"/>
  <c r="A151" i="8" s="1"/>
  <c r="B150" i="8"/>
  <c r="A150" i="8" s="1"/>
  <c r="B149" i="8"/>
  <c r="A149" i="8" s="1"/>
  <c r="B148" i="8"/>
  <c r="A148" i="8" s="1"/>
  <c r="B147" i="8"/>
  <c r="A147" i="8" s="1"/>
  <c r="B146" i="8"/>
  <c r="A146" i="8" s="1"/>
  <c r="B145" i="8"/>
  <c r="A145" i="8" s="1"/>
  <c r="B144" i="8"/>
  <c r="A144" i="8" s="1"/>
  <c r="B143" i="8"/>
  <c r="A143" i="8" s="1"/>
  <c r="B142" i="8"/>
  <c r="A142" i="8" s="1"/>
  <c r="B141" i="8"/>
  <c r="B140" i="8"/>
  <c r="A140" i="8" s="1"/>
  <c r="B139" i="8"/>
  <c r="A139" i="8" s="1"/>
  <c r="B138" i="8"/>
  <c r="A138" i="8" s="1"/>
  <c r="B137" i="8"/>
  <c r="A137" i="8" s="1"/>
  <c r="B136" i="8"/>
  <c r="A136" i="8" s="1"/>
  <c r="B135" i="8"/>
  <c r="A135" i="8" s="1"/>
  <c r="B134" i="8"/>
  <c r="A134" i="8" s="1"/>
  <c r="B133" i="8"/>
  <c r="A133" i="8" s="1"/>
  <c r="B132" i="8"/>
  <c r="A132" i="8" s="1"/>
  <c r="B131" i="8"/>
  <c r="A131" i="8" s="1"/>
  <c r="B130" i="8"/>
  <c r="A130" i="8" s="1"/>
  <c r="B129" i="8"/>
  <c r="A129" i="8" s="1"/>
  <c r="B128" i="8"/>
  <c r="A128" i="8" s="1"/>
  <c r="B127" i="8"/>
  <c r="A127" i="8" s="1"/>
  <c r="B126" i="8"/>
  <c r="B125" i="8"/>
  <c r="A125" i="8" s="1"/>
  <c r="B124" i="8"/>
  <c r="A124" i="8" s="1"/>
  <c r="B123" i="8"/>
  <c r="B122" i="8"/>
  <c r="B121" i="8"/>
  <c r="A121" i="8" s="1"/>
  <c r="B120" i="8"/>
  <c r="A120" i="8" s="1"/>
  <c r="B119" i="8"/>
  <c r="A119" i="8" s="1"/>
  <c r="B118" i="8"/>
  <c r="A118" i="8" s="1"/>
  <c r="B117" i="8"/>
  <c r="A117" i="8" s="1"/>
  <c r="B116" i="8"/>
  <c r="A116" i="8" s="1"/>
  <c r="B115" i="8"/>
  <c r="A115" i="8" s="1"/>
  <c r="B114" i="8"/>
  <c r="A114" i="8" s="1"/>
  <c r="B113" i="8"/>
  <c r="A113" i="8" s="1"/>
  <c r="B112" i="8"/>
  <c r="A112" i="8" s="1"/>
  <c r="B111" i="8"/>
  <c r="A111" i="8" s="1"/>
  <c r="B110" i="8"/>
  <c r="A110" i="8" s="1"/>
  <c r="B109" i="8"/>
  <c r="A109" i="8" s="1"/>
  <c r="B108" i="8"/>
  <c r="A108" i="8" s="1"/>
  <c r="B107" i="8"/>
  <c r="A107" i="8" s="1"/>
  <c r="B106" i="8"/>
  <c r="A106" i="8" s="1"/>
  <c r="B105" i="8"/>
  <c r="A105" i="8" s="1"/>
  <c r="B104" i="8"/>
  <c r="A104" i="8" s="1"/>
  <c r="B103" i="8"/>
  <c r="A103" i="8" s="1"/>
  <c r="B102" i="8"/>
  <c r="A102" i="8" s="1"/>
  <c r="B101" i="8"/>
  <c r="A101" i="8" s="1"/>
  <c r="B100" i="8"/>
  <c r="A100" i="8" s="1"/>
  <c r="B99" i="8"/>
  <c r="A99" i="8" s="1"/>
  <c r="B98" i="8"/>
  <c r="B97" i="8"/>
  <c r="A97" i="8" s="1"/>
  <c r="B96" i="8"/>
  <c r="A96" i="8" s="1"/>
  <c r="B95" i="8"/>
  <c r="A95" i="8" s="1"/>
  <c r="B94" i="8"/>
  <c r="A94" i="8" s="1"/>
  <c r="B93" i="8"/>
  <c r="A93" i="8" s="1"/>
  <c r="B92" i="8"/>
  <c r="A92" i="8" s="1"/>
  <c r="B91" i="8"/>
  <c r="A91" i="8" s="1"/>
  <c r="B90" i="8"/>
  <c r="A90" i="8" s="1"/>
  <c r="B89" i="8"/>
  <c r="A89" i="8" s="1"/>
  <c r="B88" i="8"/>
  <c r="A88" i="8" s="1"/>
  <c r="B87" i="8"/>
  <c r="B86" i="8"/>
  <c r="A86" i="8" s="1"/>
  <c r="B85" i="8"/>
  <c r="A85" i="8" s="1"/>
  <c r="B84" i="8"/>
  <c r="A84" i="8" s="1"/>
  <c r="B83" i="8"/>
  <c r="A83" i="8" s="1"/>
  <c r="B82" i="8"/>
  <c r="A82" i="8" s="1"/>
  <c r="B81" i="8"/>
  <c r="B80" i="8"/>
  <c r="B79" i="8"/>
  <c r="B78" i="8"/>
  <c r="B77" i="8"/>
  <c r="B76" i="8"/>
  <c r="B75" i="8"/>
  <c r="A75" i="8" s="1"/>
  <c r="B74" i="8"/>
  <c r="B73" i="8"/>
  <c r="A73" i="8" s="1"/>
  <c r="B72" i="8"/>
  <c r="A72" i="8" s="1"/>
  <c r="B71" i="8"/>
  <c r="B70" i="8"/>
  <c r="A70" i="8" s="1"/>
  <c r="B69" i="8"/>
  <c r="B68" i="8"/>
  <c r="B67" i="8"/>
  <c r="B66" i="8"/>
  <c r="B65" i="8"/>
  <c r="A65" i="8" s="1"/>
  <c r="B64" i="8"/>
  <c r="A64" i="8" s="1"/>
  <c r="B63" i="8"/>
  <c r="A63" i="8" s="1"/>
  <c r="B62" i="8"/>
  <c r="A62" i="8" s="1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A48" i="8" s="1"/>
  <c r="B47" i="8"/>
  <c r="B46" i="8"/>
  <c r="B45" i="8"/>
  <c r="B44" i="8"/>
  <c r="B43" i="8"/>
  <c r="A43" i="8" s="1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AE31" i="3" l="1"/>
  <c r="AE30" i="3"/>
  <c r="DM16" i="4"/>
  <c r="AC32" i="9"/>
  <c r="AC96" i="9"/>
  <c r="AE37" i="3"/>
  <c r="AC30" i="9"/>
  <c r="AC31" i="9"/>
  <c r="DL4" i="4"/>
  <c r="T4" i="9"/>
  <c r="AC81" i="9"/>
  <c r="DK103" i="4"/>
  <c r="DN83" i="4"/>
  <c r="DM83" i="4"/>
  <c r="DP45" i="4"/>
  <c r="DO45" i="4"/>
  <c r="DN45" i="4"/>
  <c r="BV37" i="2"/>
  <c r="BU37" i="2"/>
  <c r="BU22" i="1"/>
  <c r="BV22" i="1"/>
  <c r="BV20" i="1"/>
  <c r="BU20" i="1"/>
  <c r="BU31" i="2"/>
  <c r="BV31" i="2"/>
  <c r="BV32" i="2"/>
  <c r="BU32" i="2"/>
  <c r="BV50" i="2"/>
  <c r="BU50" i="2"/>
  <c r="BV30" i="2"/>
  <c r="BU30" i="2"/>
  <c r="AC39" i="5"/>
  <c r="AB39" i="5"/>
  <c r="BV41" i="1"/>
  <c r="BU41" i="1"/>
  <c r="BV111" i="2"/>
  <c r="BU111" i="2"/>
  <c r="AC24" i="5"/>
  <c r="AB24" i="5"/>
  <c r="BU27" i="1"/>
  <c r="BV27" i="1"/>
  <c r="BU93" i="2"/>
  <c r="BV93" i="2"/>
  <c r="AB18" i="5"/>
  <c r="AC18" i="5"/>
  <c r="AB16" i="5"/>
  <c r="AC16" i="5"/>
  <c r="DE37" i="4"/>
  <c r="DL93" i="4"/>
  <c r="DM93" i="4"/>
  <c r="DP93" i="4"/>
  <c r="DG93" i="4"/>
  <c r="DO93" i="4"/>
  <c r="DN93" i="4"/>
  <c r="DO120" i="4"/>
  <c r="DL120" i="4"/>
  <c r="DN120" i="4"/>
  <c r="DM120" i="4"/>
  <c r="DG120" i="4"/>
  <c r="DP120" i="4"/>
  <c r="DL89" i="4"/>
  <c r="DM89" i="4"/>
  <c r="DP89" i="4"/>
  <c r="DG89" i="4"/>
  <c r="DO89" i="4"/>
  <c r="DN89" i="4"/>
  <c r="DN39" i="4"/>
  <c r="DM39" i="4"/>
  <c r="DG39" i="4"/>
  <c r="DO39" i="4"/>
  <c r="DL39" i="4"/>
  <c r="DP39" i="4"/>
  <c r="DL38" i="4"/>
  <c r="DG38" i="4"/>
  <c r="BM38" i="2"/>
  <c r="DM38" i="4"/>
  <c r="DO38" i="4"/>
  <c r="DN38" i="4"/>
  <c r="DP38" i="4"/>
  <c r="DG44" i="4"/>
  <c r="DM44" i="4"/>
  <c r="DO44" i="4"/>
  <c r="DL44" i="4"/>
  <c r="DP44" i="4"/>
  <c r="DN44" i="4"/>
  <c r="DL124" i="4"/>
  <c r="DP124" i="4"/>
  <c r="DN124" i="4"/>
  <c r="DG124" i="4"/>
  <c r="DO124" i="4"/>
  <c r="DM124" i="4"/>
  <c r="DL90" i="4"/>
  <c r="DG90" i="4"/>
  <c r="DP90" i="4"/>
  <c r="DM90" i="4"/>
  <c r="DN90" i="4"/>
  <c r="DO90" i="4"/>
  <c r="DG88" i="4"/>
  <c r="DO88" i="4"/>
  <c r="DM88" i="4"/>
  <c r="DL88" i="4"/>
  <c r="DN88" i="4"/>
  <c r="DP88" i="4"/>
  <c r="DG87" i="4"/>
  <c r="DO87" i="4"/>
  <c r="DM87" i="4"/>
  <c r="DN87" i="4"/>
  <c r="DL87" i="4"/>
  <c r="DP87" i="4"/>
  <c r="DG83" i="4"/>
  <c r="DO83" i="4"/>
  <c r="DL83" i="4"/>
  <c r="DP83" i="4"/>
  <c r="DP71" i="4"/>
  <c r="DM71" i="4"/>
  <c r="DG71" i="4"/>
  <c r="DN71" i="4"/>
  <c r="DL71" i="4"/>
  <c r="DO71" i="4"/>
  <c r="DN15" i="4"/>
  <c r="DG15" i="4"/>
  <c r="DP15" i="4"/>
  <c r="DM15" i="4"/>
  <c r="DO15" i="4"/>
  <c r="DL15" i="4"/>
  <c r="DN47" i="4"/>
  <c r="DG47" i="4"/>
  <c r="DL47" i="4"/>
  <c r="DM47" i="4"/>
  <c r="DO47" i="4"/>
  <c r="DP47" i="4"/>
  <c r="DP46" i="4"/>
  <c r="DL46" i="4"/>
  <c r="DN46" i="4"/>
  <c r="DG46" i="4"/>
  <c r="DO46" i="4"/>
  <c r="DM46" i="4"/>
  <c r="DM8" i="4"/>
  <c r="DG8" i="4"/>
  <c r="DL8" i="4"/>
  <c r="DP8" i="4"/>
  <c r="DO8" i="4"/>
  <c r="DN8" i="4"/>
  <c r="DL86" i="4"/>
  <c r="DN86" i="4"/>
  <c r="DM86" i="4"/>
  <c r="DG86" i="4"/>
  <c r="DO86" i="4"/>
  <c r="DP86" i="4"/>
  <c r="DP85" i="4"/>
  <c r="DG85" i="4"/>
  <c r="DL85" i="4"/>
  <c r="DO85" i="4"/>
  <c r="DN85" i="4"/>
  <c r="DM85" i="4"/>
  <c r="DL84" i="4"/>
  <c r="DG84" i="4"/>
  <c r="DP84" i="4"/>
  <c r="DM84" i="4"/>
  <c r="DO84" i="4"/>
  <c r="DN84" i="4"/>
  <c r="DN79" i="4"/>
  <c r="BM4" i="1"/>
  <c r="DP79" i="4"/>
  <c r="DG79" i="4"/>
  <c r="T4" i="5"/>
  <c r="DL79" i="4"/>
  <c r="DM79" i="4"/>
  <c r="DO79" i="4"/>
  <c r="DO82" i="4"/>
  <c r="DM82" i="4"/>
  <c r="DN82" i="4"/>
  <c r="DP82" i="4"/>
  <c r="DG82" i="4"/>
  <c r="DL82" i="4"/>
  <c r="DG80" i="4"/>
  <c r="DM80" i="4"/>
  <c r="DP80" i="4"/>
  <c r="DN80" i="4"/>
  <c r="DL80" i="4"/>
  <c r="DO80" i="4"/>
  <c r="DL118" i="4"/>
  <c r="DM118" i="4"/>
  <c r="DO118" i="4"/>
  <c r="DP118" i="4"/>
  <c r="DN118" i="4"/>
  <c r="DG118" i="4"/>
  <c r="DP99" i="4"/>
  <c r="DG99" i="4"/>
  <c r="DN99" i="4"/>
  <c r="DL99" i="4"/>
  <c r="DO99" i="4"/>
  <c r="DM99" i="4"/>
  <c r="DN121" i="4"/>
  <c r="DO121" i="4"/>
  <c r="DM121" i="4"/>
  <c r="DL121" i="4"/>
  <c r="DG121" i="4"/>
  <c r="DP121" i="4"/>
  <c r="DO110" i="4"/>
  <c r="DN110" i="4"/>
  <c r="DG110" i="4"/>
  <c r="DL110" i="4"/>
  <c r="DM110" i="4"/>
  <c r="DP110" i="4"/>
  <c r="DM109" i="4"/>
  <c r="DG109" i="4"/>
  <c r="DL109" i="4"/>
  <c r="DN109" i="4"/>
  <c r="DP109" i="4"/>
  <c r="DO109" i="4"/>
  <c r="DG119" i="4"/>
  <c r="DP119" i="4"/>
  <c r="DO119" i="4"/>
  <c r="DN119" i="4"/>
  <c r="DL119" i="4"/>
  <c r="DM119" i="4"/>
  <c r="DO97" i="4"/>
  <c r="DM97" i="4"/>
  <c r="DG97" i="4"/>
  <c r="DL97" i="4"/>
  <c r="DN97" i="4"/>
  <c r="DP97" i="4"/>
  <c r="DP70" i="4"/>
  <c r="DN70" i="4"/>
  <c r="DM70" i="4"/>
  <c r="DG70" i="4"/>
  <c r="DO70" i="4"/>
  <c r="DL70" i="4"/>
  <c r="DM69" i="4"/>
  <c r="DG69" i="4"/>
  <c r="DN69" i="4"/>
  <c r="DP69" i="4"/>
  <c r="DL69" i="4"/>
  <c r="DO69" i="4"/>
  <c r="DM68" i="4"/>
  <c r="DN68" i="4"/>
  <c r="DG68" i="4"/>
  <c r="DL68" i="4"/>
  <c r="DP68" i="4"/>
  <c r="DO68" i="4"/>
  <c r="DM67" i="4"/>
  <c r="DL67" i="4"/>
  <c r="DG67" i="4"/>
  <c r="DO67" i="4"/>
  <c r="DN67" i="4"/>
  <c r="DP67" i="4"/>
  <c r="DL66" i="4"/>
  <c r="DM66" i="4"/>
  <c r="DP66" i="4"/>
  <c r="DN66" i="4"/>
  <c r="DG66" i="4"/>
  <c r="DO66" i="4"/>
  <c r="DM65" i="4"/>
  <c r="DP65" i="4"/>
  <c r="DN65" i="4"/>
  <c r="DO65" i="4"/>
  <c r="DG65" i="4"/>
  <c r="DL65" i="4"/>
  <c r="DL20" i="4"/>
  <c r="DO20" i="4"/>
  <c r="DM20" i="4"/>
  <c r="DN20" i="4"/>
  <c r="DG20" i="4"/>
  <c r="DP20" i="4"/>
  <c r="DO19" i="4"/>
  <c r="DL19" i="4"/>
  <c r="DM19" i="4"/>
  <c r="DG19" i="4"/>
  <c r="DN19" i="4"/>
  <c r="DP19" i="4"/>
  <c r="DN18" i="4"/>
  <c r="DL18" i="4"/>
  <c r="DM18" i="4"/>
  <c r="DG18" i="4"/>
  <c r="DP18" i="4"/>
  <c r="DO18" i="4"/>
  <c r="DL17" i="4"/>
  <c r="DP17" i="4"/>
  <c r="DG17" i="4"/>
  <c r="DN17" i="4"/>
  <c r="DM17" i="4"/>
  <c r="DO17" i="4"/>
  <c r="DL105" i="4"/>
  <c r="DO105" i="4"/>
  <c r="DP105" i="4"/>
  <c r="DG105" i="4"/>
  <c r="DM105" i="4"/>
  <c r="DN105" i="4"/>
  <c r="DG104" i="4"/>
  <c r="DM104" i="4"/>
  <c r="DP104" i="4"/>
  <c r="DN104" i="4"/>
  <c r="DO104" i="4"/>
  <c r="DL104" i="4"/>
  <c r="DN13" i="4"/>
  <c r="DO13" i="4"/>
  <c r="DP13" i="4"/>
  <c r="DM13" i="4"/>
  <c r="DG13" i="4"/>
  <c r="DL13" i="4"/>
  <c r="DO16" i="4"/>
  <c r="DN16" i="4"/>
  <c r="DP16" i="4"/>
  <c r="DG16" i="4"/>
  <c r="DL16" i="4"/>
  <c r="DO14" i="4"/>
  <c r="DN14" i="4"/>
  <c r="DP14" i="4"/>
  <c r="DG14" i="4"/>
  <c r="DM14" i="4"/>
  <c r="DL14" i="4"/>
  <c r="DO12" i="4"/>
  <c r="DN12" i="4"/>
  <c r="DG12" i="4"/>
  <c r="DP12" i="4"/>
  <c r="DM12" i="4"/>
  <c r="BM12" i="2"/>
  <c r="DL12" i="4"/>
  <c r="DO64" i="4"/>
  <c r="DP64" i="4"/>
  <c r="DG64" i="4"/>
  <c r="DN64" i="4"/>
  <c r="DL64" i="4"/>
  <c r="DM64" i="4"/>
  <c r="DM63" i="4"/>
  <c r="DN63" i="4"/>
  <c r="DL63" i="4"/>
  <c r="DG63" i="4"/>
  <c r="DP63" i="4"/>
  <c r="DO63" i="4"/>
  <c r="DG49" i="4"/>
  <c r="DN49" i="4"/>
  <c r="DL49" i="4"/>
  <c r="DO49" i="4"/>
  <c r="DM49" i="4"/>
  <c r="DP49" i="4"/>
  <c r="DG48" i="4"/>
  <c r="DO48" i="4"/>
  <c r="DM48" i="4"/>
  <c r="DP48" i="4"/>
  <c r="DN48" i="4"/>
  <c r="DL48" i="4"/>
  <c r="DO58" i="4"/>
  <c r="DM58" i="4"/>
  <c r="DN58" i="4"/>
  <c r="DL58" i="4"/>
  <c r="DG58" i="4"/>
  <c r="DP58" i="4"/>
  <c r="DN57" i="4"/>
  <c r="DP57" i="4"/>
  <c r="DG57" i="4"/>
  <c r="DL57" i="4"/>
  <c r="DO57" i="4"/>
  <c r="DM57" i="4"/>
  <c r="DN56" i="4"/>
  <c r="DL56" i="4"/>
  <c r="DG56" i="4"/>
  <c r="DO56" i="4"/>
  <c r="DP56" i="4"/>
  <c r="DM56" i="4"/>
  <c r="DG55" i="4"/>
  <c r="DL55" i="4"/>
  <c r="DO55" i="4"/>
  <c r="DP55" i="4"/>
  <c r="DN55" i="4"/>
  <c r="DM55" i="4"/>
  <c r="DN72" i="4"/>
  <c r="DG72" i="4"/>
  <c r="DL72" i="4"/>
  <c r="DO72" i="4"/>
  <c r="DP72" i="4"/>
  <c r="DM72" i="4"/>
  <c r="DG73" i="4"/>
  <c r="DM73" i="4"/>
  <c r="DL73" i="4"/>
  <c r="DO73" i="4"/>
  <c r="DN73" i="4"/>
  <c r="DP73" i="4"/>
  <c r="DO54" i="4"/>
  <c r="DL54" i="4"/>
  <c r="DP54" i="4"/>
  <c r="DM54" i="4"/>
  <c r="DG54" i="4"/>
  <c r="DN54" i="4"/>
  <c r="DP53" i="4"/>
  <c r="DL53" i="4"/>
  <c r="DO53" i="4"/>
  <c r="DG53" i="4"/>
  <c r="DM53" i="4"/>
  <c r="DN53" i="4"/>
  <c r="DN52" i="4"/>
  <c r="DO52" i="4"/>
  <c r="DL52" i="4"/>
  <c r="DP52" i="4"/>
  <c r="DM52" i="4"/>
  <c r="DG52" i="4"/>
  <c r="DN51" i="4"/>
  <c r="DL51" i="4"/>
  <c r="DO51" i="4"/>
  <c r="DP51" i="4"/>
  <c r="DM51" i="4"/>
  <c r="DG51" i="4"/>
  <c r="DL28" i="4"/>
  <c r="DO28" i="4"/>
  <c r="DN28" i="4"/>
  <c r="DG28" i="4"/>
  <c r="DP28" i="4"/>
  <c r="DM28" i="4"/>
  <c r="DM29" i="4"/>
  <c r="DL29" i="4"/>
  <c r="DO29" i="4"/>
  <c r="DP29" i="4"/>
  <c r="DN29" i="4"/>
  <c r="DG29" i="4"/>
  <c r="DP25" i="4"/>
  <c r="DO25" i="4"/>
  <c r="DN25" i="4"/>
  <c r="DG25" i="4"/>
  <c r="DL25" i="4"/>
  <c r="DM25" i="4"/>
  <c r="DM24" i="4"/>
  <c r="DO24" i="4"/>
  <c r="DL24" i="4"/>
  <c r="DN24" i="4"/>
  <c r="DG24" i="4"/>
  <c r="DP24" i="4"/>
  <c r="DG45" i="4"/>
  <c r="DL45" i="4"/>
  <c r="DM45" i="4"/>
  <c r="DP43" i="4"/>
  <c r="DO43" i="4"/>
  <c r="DN43" i="4"/>
  <c r="DL43" i="4"/>
  <c r="DM43" i="4"/>
  <c r="DG43" i="4"/>
  <c r="DL42" i="4"/>
  <c r="DO42" i="4"/>
  <c r="DM42" i="4"/>
  <c r="DG42" i="4"/>
  <c r="DP42" i="4"/>
  <c r="DN42" i="4"/>
  <c r="DL41" i="4"/>
  <c r="DP41" i="4"/>
  <c r="DM41" i="4"/>
  <c r="DN41" i="4"/>
  <c r="DG41" i="4"/>
  <c r="DO41" i="4"/>
  <c r="DL40" i="4"/>
  <c r="DP40" i="4"/>
  <c r="DO40" i="4"/>
  <c r="DN40" i="4"/>
  <c r="DG40" i="4"/>
  <c r="DM40" i="4"/>
  <c r="DO7" i="4"/>
  <c r="DP7" i="4"/>
  <c r="DL7" i="4"/>
  <c r="DM7" i="4"/>
  <c r="DN7" i="4"/>
  <c r="DG7" i="4"/>
  <c r="DO6" i="4"/>
  <c r="DM6" i="4"/>
  <c r="DN6" i="4"/>
  <c r="DL6" i="4"/>
  <c r="DP6" i="4"/>
  <c r="DG6" i="4"/>
  <c r="DO5" i="4"/>
  <c r="DL5" i="4"/>
  <c r="DP5" i="4"/>
  <c r="DG5" i="4"/>
  <c r="DM5" i="4"/>
  <c r="DN5" i="4"/>
  <c r="DN4" i="4"/>
  <c r="DG4" i="4"/>
  <c r="DP4" i="4"/>
  <c r="DO4" i="4"/>
  <c r="DM4" i="4"/>
  <c r="DG77" i="4"/>
  <c r="DL77" i="4"/>
  <c r="DP77" i="4"/>
  <c r="DN77" i="4"/>
  <c r="DO77" i="4"/>
  <c r="DM77" i="4"/>
  <c r="DO76" i="4"/>
  <c r="DG76" i="4"/>
  <c r="DN76" i="4"/>
  <c r="DP76" i="4"/>
  <c r="DL76" i="4"/>
  <c r="DM76" i="4"/>
  <c r="DG75" i="4"/>
  <c r="DO75" i="4"/>
  <c r="DM75" i="4"/>
  <c r="DL75" i="4"/>
  <c r="DP75" i="4"/>
  <c r="DN75" i="4"/>
  <c r="DO122" i="4"/>
  <c r="DG122" i="4"/>
  <c r="DN122" i="4"/>
  <c r="DL122" i="4"/>
  <c r="DP122" i="4"/>
  <c r="DM122" i="4"/>
  <c r="DO106" i="4"/>
  <c r="DP106" i="4"/>
  <c r="DN106" i="4"/>
  <c r="DM106" i="4"/>
  <c r="DG106" i="4"/>
  <c r="DL106" i="4"/>
  <c r="DP107" i="4"/>
  <c r="DO107" i="4"/>
  <c r="DG107" i="4"/>
  <c r="DM107" i="4"/>
  <c r="DN107" i="4"/>
  <c r="DL107" i="4"/>
  <c r="DO116" i="4"/>
  <c r="DG116" i="4"/>
  <c r="DP116" i="4"/>
  <c r="DM116" i="4"/>
  <c r="DN116" i="4"/>
  <c r="DL116" i="4"/>
  <c r="DL114" i="4"/>
  <c r="DO114" i="4"/>
  <c r="DP114" i="4"/>
  <c r="DM114" i="4"/>
  <c r="DG114" i="4"/>
  <c r="DN114" i="4"/>
  <c r="DP111" i="4"/>
  <c r="DN111" i="4"/>
  <c r="DG111" i="4"/>
  <c r="DO111" i="4"/>
  <c r="DM111" i="4"/>
  <c r="DL111" i="4"/>
  <c r="DP100" i="4"/>
  <c r="DL100" i="4"/>
  <c r="DO100" i="4"/>
  <c r="DN100" i="4"/>
  <c r="DM100" i="4"/>
  <c r="DG100" i="4"/>
  <c r="DM108" i="4"/>
  <c r="DP108" i="4"/>
  <c r="DN108" i="4"/>
  <c r="DG108" i="4"/>
  <c r="DL108" i="4"/>
  <c r="DO108" i="4"/>
  <c r="DO101" i="4"/>
  <c r="DL101" i="4"/>
  <c r="DP101" i="4"/>
  <c r="DN101" i="4"/>
  <c r="DM101" i="4"/>
  <c r="DG101" i="4"/>
  <c r="DG102" i="4"/>
  <c r="DP102" i="4"/>
  <c r="DN102" i="4"/>
  <c r="DM102" i="4"/>
  <c r="DO102" i="4"/>
  <c r="DL102" i="4"/>
  <c r="DL98" i="4"/>
  <c r="DO98" i="4"/>
  <c r="DM98" i="4"/>
  <c r="DG98" i="4"/>
  <c r="DP98" i="4"/>
  <c r="DN98" i="4"/>
  <c r="AD37" i="3"/>
  <c r="AD98" i="3"/>
  <c r="AD81" i="3"/>
  <c r="AD31" i="3"/>
  <c r="AD32" i="3"/>
  <c r="AD50" i="3"/>
  <c r="AD30" i="3"/>
  <c r="AB37" i="9"/>
  <c r="AB96" i="9"/>
  <c r="AB31" i="9"/>
  <c r="DI93" i="4"/>
  <c r="Y15" i="5"/>
  <c r="DF93" i="4"/>
  <c r="T15" i="5"/>
  <c r="BN19" i="1"/>
  <c r="DH93" i="4"/>
  <c r="AA15" i="5"/>
  <c r="BO19" i="1"/>
  <c r="W15" i="5"/>
  <c r="BR19" i="1"/>
  <c r="BT19" i="1"/>
  <c r="X15" i="5"/>
  <c r="BL19" i="1"/>
  <c r="BP19" i="1"/>
  <c r="BS19" i="1"/>
  <c r="V15" i="5"/>
  <c r="DJ93" i="4"/>
  <c r="BM19" i="1"/>
  <c r="BQ19" i="1"/>
  <c r="Z15" i="5"/>
  <c r="U15" i="5"/>
  <c r="S15" i="5"/>
  <c r="AA51" i="5"/>
  <c r="BR46" i="1"/>
  <c r="BT99" i="2"/>
  <c r="BT46" i="1"/>
  <c r="Z51" i="5"/>
  <c r="V87" i="3"/>
  <c r="Z87" i="3"/>
  <c r="AB87" i="3"/>
  <c r="BM46" i="1"/>
  <c r="X87" i="3"/>
  <c r="BP99" i="2"/>
  <c r="BL99" i="2"/>
  <c r="BQ46" i="1"/>
  <c r="DI120" i="4"/>
  <c r="X51" i="5"/>
  <c r="Y51" i="5"/>
  <c r="U87" i="3"/>
  <c r="BR99" i="2"/>
  <c r="BN46" i="1"/>
  <c r="DF120" i="4"/>
  <c r="V51" i="5"/>
  <c r="DJ120" i="4"/>
  <c r="W51" i="5"/>
  <c r="BS99" i="2"/>
  <c r="BQ99" i="2"/>
  <c r="BN99" i="2"/>
  <c r="BO46" i="1"/>
  <c r="AA87" i="3"/>
  <c r="BP46" i="1"/>
  <c r="S51" i="5"/>
  <c r="BL46" i="1"/>
  <c r="U51" i="5"/>
  <c r="AC87" i="3"/>
  <c r="T51" i="5"/>
  <c r="DH120" i="4"/>
  <c r="BM99" i="2"/>
  <c r="BO99" i="2"/>
  <c r="Y87" i="3"/>
  <c r="BS46" i="1"/>
  <c r="W87" i="3"/>
  <c r="AA13" i="5"/>
  <c r="BN17" i="1"/>
  <c r="X13" i="5"/>
  <c r="BQ17" i="1"/>
  <c r="BP17" i="1"/>
  <c r="BO17" i="1"/>
  <c r="Y13" i="5"/>
  <c r="DF89" i="4"/>
  <c r="V13" i="5"/>
  <c r="BL88" i="2"/>
  <c r="BN88" i="2"/>
  <c r="BR88" i="2"/>
  <c r="W13" i="5"/>
  <c r="U13" i="5"/>
  <c r="BM17" i="1"/>
  <c r="BT88" i="2"/>
  <c r="BP88" i="2"/>
  <c r="T13" i="5"/>
  <c r="BL17" i="1"/>
  <c r="BQ88" i="2"/>
  <c r="BO88" i="2"/>
  <c r="BM88" i="2"/>
  <c r="S13" i="5"/>
  <c r="DJ89" i="4"/>
  <c r="DI89" i="4"/>
  <c r="Z13" i="5"/>
  <c r="BS88" i="2"/>
  <c r="BT17" i="1"/>
  <c r="BS17" i="1"/>
  <c r="BR17" i="1"/>
  <c r="DH89" i="4"/>
  <c r="V39" i="3"/>
  <c r="BM39" i="2"/>
  <c r="BL39" i="2"/>
  <c r="BR39" i="2"/>
  <c r="BS39" i="2"/>
  <c r="BP39" i="2"/>
  <c r="DF39" i="4"/>
  <c r="AC39" i="3"/>
  <c r="DH39" i="4"/>
  <c r="AB39" i="3"/>
  <c r="Z39" i="3"/>
  <c r="W39" i="3"/>
  <c r="AA39" i="3"/>
  <c r="U39" i="3"/>
  <c r="X39" i="3"/>
  <c r="BT39" i="2"/>
  <c r="BQ39" i="2"/>
  <c r="BO39" i="2"/>
  <c r="BN39" i="2"/>
  <c r="DI39" i="4"/>
  <c r="Y39" i="3"/>
  <c r="DJ39" i="4"/>
  <c r="BQ38" i="2"/>
  <c r="BL38" i="2"/>
  <c r="DI38" i="4"/>
  <c r="BN38" i="2"/>
  <c r="U38" i="3"/>
  <c r="AB38" i="3"/>
  <c r="BS38" i="2"/>
  <c r="W38" i="3"/>
  <c r="BO38" i="2"/>
  <c r="AA38" i="3"/>
  <c r="Y38" i="3"/>
  <c r="BT38" i="2"/>
  <c r="DF38" i="4"/>
  <c r="BR38" i="2"/>
  <c r="V38" i="3"/>
  <c r="DH38" i="4"/>
  <c r="AC38" i="3"/>
  <c r="X38" i="3"/>
  <c r="DJ38" i="4"/>
  <c r="BP38" i="2"/>
  <c r="Z38" i="3"/>
  <c r="Z44" i="3"/>
  <c r="AC44" i="3"/>
  <c r="DH44" i="4"/>
  <c r="W44" i="3"/>
  <c r="DI44" i="4"/>
  <c r="X44" i="3"/>
  <c r="BR44" i="2"/>
  <c r="Y44" i="3"/>
  <c r="DF44" i="4"/>
  <c r="BO44" i="2"/>
  <c r="DJ44" i="4"/>
  <c r="BS44" i="2"/>
  <c r="BM44" i="2"/>
  <c r="BL44" i="2"/>
  <c r="BT44" i="2"/>
  <c r="U44" i="3"/>
  <c r="AA44" i="3"/>
  <c r="V44" i="3"/>
  <c r="BQ44" i="2"/>
  <c r="AB44" i="3"/>
  <c r="BN44" i="2"/>
  <c r="BP44" i="2"/>
  <c r="Z99" i="3"/>
  <c r="BN50" i="1"/>
  <c r="BL50" i="1"/>
  <c r="DI124" i="4"/>
  <c r="V99" i="3"/>
  <c r="U99" i="3"/>
  <c r="DJ124" i="4"/>
  <c r="BM50" i="1"/>
  <c r="W99" i="3"/>
  <c r="U42" i="5"/>
  <c r="T42" i="5"/>
  <c r="S42" i="5"/>
  <c r="BL113" i="2"/>
  <c r="BT113" i="2"/>
  <c r="BQ113" i="2"/>
  <c r="BP113" i="2"/>
  <c r="BR113" i="2"/>
  <c r="W42" i="5"/>
  <c r="V42" i="5"/>
  <c r="AB99" i="3"/>
  <c r="AC99" i="3"/>
  <c r="Y42" i="5"/>
  <c r="DH124" i="4"/>
  <c r="X42" i="5"/>
  <c r="DF124" i="4"/>
  <c r="BQ50" i="1"/>
  <c r="Z42" i="5"/>
  <c r="BS113" i="2"/>
  <c r="BO113" i="2"/>
  <c r="BN113" i="2"/>
  <c r="X99" i="3"/>
  <c r="BO50" i="1"/>
  <c r="BM113" i="2"/>
  <c r="AA99" i="3"/>
  <c r="AA42" i="5"/>
  <c r="BP50" i="1"/>
  <c r="BT50" i="1"/>
  <c r="BS50" i="1"/>
  <c r="Y99" i="3"/>
  <c r="BR50" i="1"/>
  <c r="BQ18" i="1"/>
  <c r="AA14" i="5"/>
  <c r="BL89" i="2"/>
  <c r="U14" i="5"/>
  <c r="BS89" i="2"/>
  <c r="BP18" i="1"/>
  <c r="BN89" i="2"/>
  <c r="V14" i="5"/>
  <c r="W14" i="5"/>
  <c r="BT89" i="2"/>
  <c r="BR18" i="1"/>
  <c r="BS18" i="1"/>
  <c r="DI90" i="4"/>
  <c r="BM18" i="1"/>
  <c r="Y14" i="5"/>
  <c r="BP89" i="2"/>
  <c r="X14" i="5"/>
  <c r="BR89" i="2"/>
  <c r="BO18" i="1"/>
  <c r="BM89" i="2"/>
  <c r="DF90" i="4"/>
  <c r="BL18" i="1"/>
  <c r="DJ90" i="4"/>
  <c r="BN18" i="1"/>
  <c r="S14" i="5"/>
  <c r="BT18" i="1"/>
  <c r="BQ89" i="2"/>
  <c r="DH90" i="4"/>
  <c r="T14" i="5"/>
  <c r="BO89" i="2"/>
  <c r="Z14" i="5"/>
  <c r="Z12" i="5"/>
  <c r="S12" i="5"/>
  <c r="BR87" i="2"/>
  <c r="BS87" i="2"/>
  <c r="AA12" i="5"/>
  <c r="BT16" i="1"/>
  <c r="DJ88" i="4"/>
  <c r="BS16" i="1"/>
  <c r="X12" i="5"/>
  <c r="BR16" i="1"/>
  <c r="DH88" i="4"/>
  <c r="BQ16" i="1"/>
  <c r="Y12" i="5"/>
  <c r="BP16" i="1"/>
  <c r="BO16" i="1"/>
  <c r="BL16" i="1"/>
  <c r="V12" i="5"/>
  <c r="BN16" i="1"/>
  <c r="BM16" i="1"/>
  <c r="BT87" i="2"/>
  <c r="W12" i="5"/>
  <c r="DF88" i="4"/>
  <c r="DI88" i="4"/>
  <c r="U12" i="5"/>
  <c r="BO87" i="2"/>
  <c r="BL87" i="2"/>
  <c r="BQ87" i="2"/>
  <c r="T12" i="5"/>
  <c r="BN87" i="2"/>
  <c r="BM87" i="2"/>
  <c r="BP87" i="2"/>
  <c r="Z11" i="5"/>
  <c r="BL86" i="2"/>
  <c r="DI87" i="4"/>
  <c r="AA11" i="5"/>
  <c r="BT86" i="2"/>
  <c r="BP86" i="2"/>
  <c r="X11" i="5"/>
  <c r="DF87" i="4"/>
  <c r="Y11" i="5"/>
  <c r="BQ15" i="1"/>
  <c r="DH87" i="4"/>
  <c r="V11" i="5"/>
  <c r="BS86" i="2"/>
  <c r="BR86" i="2"/>
  <c r="W11" i="5"/>
  <c r="BQ86" i="2"/>
  <c r="BN15" i="1"/>
  <c r="U11" i="5"/>
  <c r="BP15" i="1"/>
  <c r="BT15" i="1"/>
  <c r="T11" i="5"/>
  <c r="BN86" i="2"/>
  <c r="BS15" i="1"/>
  <c r="S11" i="5"/>
  <c r="BM86" i="2"/>
  <c r="BR15" i="1"/>
  <c r="DJ87" i="4"/>
  <c r="BO15" i="1"/>
  <c r="BL15" i="1"/>
  <c r="BM15" i="1"/>
  <c r="BO86" i="2"/>
  <c r="BS11" i="1"/>
  <c r="Z7" i="5"/>
  <c r="BR11" i="1"/>
  <c r="AA7" i="5"/>
  <c r="X7" i="5"/>
  <c r="Y7" i="5"/>
  <c r="DF83" i="4"/>
  <c r="V7" i="5"/>
  <c r="BN11" i="1"/>
  <c r="W7" i="5"/>
  <c r="U7" i="5"/>
  <c r="T7" i="5"/>
  <c r="S7" i="5"/>
  <c r="BO11" i="1"/>
  <c r="BM11" i="1"/>
  <c r="DJ83" i="4"/>
  <c r="BL11" i="1"/>
  <c r="DI83" i="4"/>
  <c r="BQ11" i="1"/>
  <c r="BP11" i="1"/>
  <c r="DH83" i="4"/>
  <c r="BT11" i="1"/>
  <c r="BR73" i="2"/>
  <c r="AC70" i="3"/>
  <c r="BP73" i="2"/>
  <c r="DI71" i="4"/>
  <c r="Y70" i="3"/>
  <c r="Z70" i="3"/>
  <c r="BQ73" i="2"/>
  <c r="V70" i="3"/>
  <c r="DH71" i="4"/>
  <c r="U70" i="3"/>
  <c r="AA70" i="3"/>
  <c r="BT73" i="2"/>
  <c r="BO73" i="2"/>
  <c r="BS73" i="2"/>
  <c r="DJ71" i="4"/>
  <c r="W70" i="3"/>
  <c r="DF71" i="4"/>
  <c r="BN73" i="2"/>
  <c r="AB70" i="3"/>
  <c r="X70" i="3"/>
  <c r="BM73" i="2"/>
  <c r="BL73" i="2"/>
  <c r="BQ15" i="2"/>
  <c r="AA15" i="3"/>
  <c r="DF15" i="4"/>
  <c r="AB15" i="3"/>
  <c r="X15" i="3"/>
  <c r="BM15" i="2"/>
  <c r="BO15" i="2"/>
  <c r="U15" i="3"/>
  <c r="Y15" i="3"/>
  <c r="BN15" i="2"/>
  <c r="BS15" i="2"/>
  <c r="BR15" i="2"/>
  <c r="W15" i="3"/>
  <c r="Z15" i="3"/>
  <c r="DI15" i="4"/>
  <c r="BL15" i="2"/>
  <c r="BP15" i="2"/>
  <c r="V15" i="3"/>
  <c r="DH15" i="4"/>
  <c r="AC15" i="3"/>
  <c r="BT15" i="2"/>
  <c r="DJ15" i="4"/>
  <c r="AB47" i="3"/>
  <c r="AA47" i="3"/>
  <c r="BQ47" i="2"/>
  <c r="DJ47" i="4"/>
  <c r="X47" i="3"/>
  <c r="BO47" i="2"/>
  <c r="BP47" i="2"/>
  <c r="BR47" i="2"/>
  <c r="DI47" i="4"/>
  <c r="Y47" i="3"/>
  <c r="DH47" i="4"/>
  <c r="BM47" i="2"/>
  <c r="W47" i="3"/>
  <c r="BN47" i="2"/>
  <c r="V47" i="3"/>
  <c r="BL47" i="2"/>
  <c r="DF47" i="4"/>
  <c r="BS47" i="2"/>
  <c r="AC47" i="3"/>
  <c r="BT47" i="2"/>
  <c r="Z47" i="3"/>
  <c r="U47" i="3"/>
  <c r="BO46" i="2"/>
  <c r="DI46" i="4"/>
  <c r="BR46" i="2"/>
  <c r="X46" i="3"/>
  <c r="DJ46" i="4"/>
  <c r="BL46" i="2"/>
  <c r="BT46" i="2"/>
  <c r="AC46" i="3"/>
  <c r="DF46" i="4"/>
  <c r="BS46" i="2"/>
  <c r="BP46" i="2"/>
  <c r="AA46" i="3"/>
  <c r="AB46" i="3"/>
  <c r="Y46" i="3"/>
  <c r="U46" i="3"/>
  <c r="DH46" i="4"/>
  <c r="W46" i="3"/>
  <c r="V46" i="3"/>
  <c r="BQ46" i="2"/>
  <c r="Z46" i="3"/>
  <c r="BM46" i="2"/>
  <c r="BN46" i="2"/>
  <c r="X8" i="3"/>
  <c r="AB8" i="3"/>
  <c r="V8" i="3"/>
  <c r="DH8" i="4"/>
  <c r="BQ8" i="2"/>
  <c r="BP8" i="2"/>
  <c r="Z8" i="3"/>
  <c r="Y8" i="3"/>
  <c r="BO8" i="2"/>
  <c r="BN8" i="2"/>
  <c r="BM8" i="2"/>
  <c r="AC8" i="3"/>
  <c r="BS8" i="2"/>
  <c r="BR8" i="2"/>
  <c r="DF8" i="4"/>
  <c r="BL8" i="2"/>
  <c r="BT8" i="2"/>
  <c r="DJ8" i="4"/>
  <c r="W8" i="3"/>
  <c r="U8" i="3"/>
  <c r="AA8" i="3"/>
  <c r="DI8" i="4"/>
  <c r="Z10" i="5"/>
  <c r="AA10" i="5"/>
  <c r="X10" i="5"/>
  <c r="Y10" i="5"/>
  <c r="V10" i="5"/>
  <c r="W10" i="5"/>
  <c r="U10" i="5"/>
  <c r="T10" i="5"/>
  <c r="S10" i="5"/>
  <c r="DJ86" i="4"/>
  <c r="BL14" i="1"/>
  <c r="BO85" i="2"/>
  <c r="BL85" i="2"/>
  <c r="DF86" i="4"/>
  <c r="BO14" i="1"/>
  <c r="BP14" i="1"/>
  <c r="BQ14" i="1"/>
  <c r="BR14" i="1"/>
  <c r="BS14" i="1"/>
  <c r="DI86" i="4"/>
  <c r="BT14" i="1"/>
  <c r="BS85" i="2"/>
  <c r="BR85" i="2"/>
  <c r="BP85" i="2"/>
  <c r="BQ85" i="2"/>
  <c r="BT85" i="2"/>
  <c r="BN85" i="2"/>
  <c r="DH86" i="4"/>
  <c r="BM85" i="2"/>
  <c r="BN14" i="1"/>
  <c r="BM14" i="1"/>
  <c r="W9" i="5"/>
  <c r="BT84" i="2"/>
  <c r="DF85" i="4"/>
  <c r="DH85" i="4"/>
  <c r="Z9" i="5"/>
  <c r="BS13" i="1"/>
  <c r="V9" i="5"/>
  <c r="AA9" i="5"/>
  <c r="BS84" i="2"/>
  <c r="BP84" i="2"/>
  <c r="DI85" i="4"/>
  <c r="BL13" i="1"/>
  <c r="X9" i="5"/>
  <c r="DJ85" i="4"/>
  <c r="T9" i="5"/>
  <c r="U9" i="5"/>
  <c r="BP13" i="1"/>
  <c r="BQ84" i="2"/>
  <c r="BT13" i="1"/>
  <c r="BR13" i="1"/>
  <c r="BR84" i="2"/>
  <c r="BQ13" i="1"/>
  <c r="BO13" i="1"/>
  <c r="Y9" i="5"/>
  <c r="S9" i="5"/>
  <c r="BO84" i="2"/>
  <c r="BN84" i="2"/>
  <c r="BM84" i="2"/>
  <c r="BL84" i="2"/>
  <c r="BM13" i="1"/>
  <c r="BN13" i="1"/>
  <c r="BR12" i="1"/>
  <c r="Z8" i="5"/>
  <c r="DI84" i="4"/>
  <c r="BL12" i="1"/>
  <c r="BS12" i="1"/>
  <c r="BO12" i="1"/>
  <c r="AA8" i="5"/>
  <c r="DJ84" i="4"/>
  <c r="DF84" i="4"/>
  <c r="BP12" i="1"/>
  <c r="W8" i="5"/>
  <c r="U8" i="5"/>
  <c r="Y8" i="5"/>
  <c r="V8" i="5"/>
  <c r="DH84" i="4"/>
  <c r="X8" i="5"/>
  <c r="S8" i="5"/>
  <c r="T8" i="5"/>
  <c r="BL83" i="2"/>
  <c r="BS83" i="2"/>
  <c r="BN12" i="1"/>
  <c r="BQ83" i="2"/>
  <c r="BM12" i="1"/>
  <c r="BT83" i="2"/>
  <c r="BO83" i="2"/>
  <c r="BN83" i="2"/>
  <c r="BP83" i="2"/>
  <c r="BT12" i="1"/>
  <c r="BQ12" i="1"/>
  <c r="BM83" i="2"/>
  <c r="BR83" i="2"/>
  <c r="V4" i="5"/>
  <c r="BL60" i="2"/>
  <c r="BN60" i="2"/>
  <c r="BS4" i="1"/>
  <c r="U4" i="5"/>
  <c r="DH79" i="4"/>
  <c r="BR4" i="1"/>
  <c r="BM60" i="2"/>
  <c r="BT4" i="1"/>
  <c r="DF79" i="4"/>
  <c r="BP60" i="2"/>
  <c r="BN4" i="1"/>
  <c r="BQ60" i="2"/>
  <c r="BT60" i="2"/>
  <c r="BR60" i="2"/>
  <c r="Y4" i="5"/>
  <c r="X4" i="5"/>
  <c r="AA4" i="5"/>
  <c r="BP4" i="1"/>
  <c r="BS60" i="2"/>
  <c r="BO4" i="1"/>
  <c r="BQ4" i="1"/>
  <c r="DJ79" i="4"/>
  <c r="Z4" i="5"/>
  <c r="BL4" i="1"/>
  <c r="DI79" i="4"/>
  <c r="S4" i="5"/>
  <c r="W4" i="5"/>
  <c r="BO60" i="2"/>
  <c r="BM10" i="1"/>
  <c r="BO10" i="1"/>
  <c r="BL10" i="1"/>
  <c r="DF82" i="4"/>
  <c r="DJ82" i="4"/>
  <c r="DH82" i="4"/>
  <c r="BP10" i="1"/>
  <c r="DI82" i="4"/>
  <c r="BQ10" i="1"/>
  <c r="BR10" i="1"/>
  <c r="BN10" i="1"/>
  <c r="BS10" i="1"/>
  <c r="BT10" i="1"/>
  <c r="BO61" i="2"/>
  <c r="BQ5" i="1"/>
  <c r="BT61" i="2"/>
  <c r="BN61" i="2"/>
  <c r="BL61" i="2"/>
  <c r="BM5" i="1"/>
  <c r="BR61" i="2"/>
  <c r="BS5" i="1"/>
  <c r="BQ61" i="2"/>
  <c r="DJ80" i="4"/>
  <c r="BN5" i="1"/>
  <c r="BO5" i="1"/>
  <c r="BT5" i="1"/>
  <c r="BP5" i="1"/>
  <c r="DF80" i="4"/>
  <c r="BS61" i="2"/>
  <c r="DH80" i="4"/>
  <c r="BL5" i="1"/>
  <c r="BR5" i="1"/>
  <c r="BP61" i="2"/>
  <c r="DI80" i="4"/>
  <c r="BM61" i="2"/>
  <c r="BS106" i="2"/>
  <c r="U48" i="5"/>
  <c r="T48" i="5"/>
  <c r="S48" i="5"/>
  <c r="AB94" i="3"/>
  <c r="BS44" i="1"/>
  <c r="V94" i="3"/>
  <c r="W48" i="5"/>
  <c r="Z48" i="5"/>
  <c r="Y48" i="5"/>
  <c r="BR44" i="1"/>
  <c r="X48" i="5"/>
  <c r="U94" i="3"/>
  <c r="AC94" i="3"/>
  <c r="BN106" i="2"/>
  <c r="Y94" i="3"/>
  <c r="BO44" i="1"/>
  <c r="BR106" i="2"/>
  <c r="DF118" i="4"/>
  <c r="Z94" i="3"/>
  <c r="DH118" i="4"/>
  <c r="AA48" i="5"/>
  <c r="BT106" i="2"/>
  <c r="BL44" i="1"/>
  <c r="BM44" i="1"/>
  <c r="DJ118" i="4"/>
  <c r="BL106" i="2"/>
  <c r="AA94" i="3"/>
  <c r="BM106" i="2"/>
  <c r="BP106" i="2"/>
  <c r="BQ106" i="2"/>
  <c r="BO106" i="2"/>
  <c r="BP44" i="1"/>
  <c r="BN44" i="1"/>
  <c r="DI118" i="4"/>
  <c r="W94" i="3"/>
  <c r="X94" i="3"/>
  <c r="BT44" i="1"/>
  <c r="BQ44" i="1"/>
  <c r="V48" i="5"/>
  <c r="BQ31" i="1"/>
  <c r="Y28" i="5"/>
  <c r="U91" i="3"/>
  <c r="U28" i="5"/>
  <c r="Y91" i="3"/>
  <c r="DJ99" i="4"/>
  <c r="DH99" i="4"/>
  <c r="BQ103" i="2"/>
  <c r="BP103" i="2"/>
  <c r="V28" i="5"/>
  <c r="S28" i="5"/>
  <c r="BO103" i="2"/>
  <c r="T28" i="5"/>
  <c r="BS31" i="1"/>
  <c r="AB91" i="3"/>
  <c r="BM103" i="2"/>
  <c r="BO31" i="1"/>
  <c r="BT31" i="1"/>
  <c r="AA28" i="5"/>
  <c r="AA91" i="3"/>
  <c r="BP31" i="1"/>
  <c r="BN31" i="1"/>
  <c r="Z28" i="5"/>
  <c r="W28" i="5"/>
  <c r="BT103" i="2"/>
  <c r="W91" i="3"/>
  <c r="DI99" i="4"/>
  <c r="X91" i="3"/>
  <c r="DF99" i="4"/>
  <c r="V91" i="3"/>
  <c r="BR103" i="2"/>
  <c r="BL31" i="1"/>
  <c r="Z91" i="3"/>
  <c r="BM31" i="1"/>
  <c r="BS103" i="2"/>
  <c r="BN103" i="2"/>
  <c r="BL103" i="2"/>
  <c r="BR31" i="1"/>
  <c r="AC91" i="3"/>
  <c r="X28" i="5"/>
  <c r="X47" i="5"/>
  <c r="BP101" i="2"/>
  <c r="BS101" i="2"/>
  <c r="BP43" i="1"/>
  <c r="AA47" i="5"/>
  <c r="BT101" i="2"/>
  <c r="Z47" i="5"/>
  <c r="BQ43" i="1"/>
  <c r="BS43" i="1"/>
  <c r="BQ101" i="2"/>
  <c r="BR43" i="1"/>
  <c r="X89" i="3"/>
  <c r="BO43" i="1"/>
  <c r="W89" i="3"/>
  <c r="BL101" i="2"/>
  <c r="S47" i="5"/>
  <c r="DI121" i="4"/>
  <c r="DF121" i="4"/>
  <c r="V89" i="3"/>
  <c r="DJ121" i="4"/>
  <c r="Z89" i="3"/>
  <c r="BT43" i="1"/>
  <c r="DH121" i="4"/>
  <c r="BO101" i="2"/>
  <c r="BN101" i="2"/>
  <c r="BM101" i="2"/>
  <c r="AC89" i="3"/>
  <c r="BM43" i="1"/>
  <c r="AB89" i="3"/>
  <c r="U47" i="5"/>
  <c r="BL43" i="1"/>
  <c r="BN43" i="1"/>
  <c r="AA89" i="3"/>
  <c r="Y89" i="3"/>
  <c r="U89" i="3"/>
  <c r="W47" i="5"/>
  <c r="V47" i="5"/>
  <c r="Y47" i="5"/>
  <c r="T47" i="5"/>
  <c r="BR101" i="2"/>
  <c r="Y34" i="5"/>
  <c r="X34" i="5"/>
  <c r="BM36" i="1"/>
  <c r="BN36" i="1"/>
  <c r="BR36" i="1"/>
  <c r="BL36" i="1"/>
  <c r="BO36" i="1"/>
  <c r="BQ36" i="1"/>
  <c r="BS36" i="1"/>
  <c r="DH110" i="4"/>
  <c r="AA34" i="5"/>
  <c r="DI110" i="4"/>
  <c r="S34" i="5"/>
  <c r="BT36" i="1"/>
  <c r="DJ110" i="4"/>
  <c r="DF110" i="4"/>
  <c r="V34" i="5"/>
  <c r="U34" i="5"/>
  <c r="BP36" i="1"/>
  <c r="Z34" i="5"/>
  <c r="T34" i="5"/>
  <c r="W34" i="5"/>
  <c r="BO35" i="1"/>
  <c r="AB88" i="3"/>
  <c r="BQ35" i="1"/>
  <c r="BT35" i="1"/>
  <c r="BR35" i="1"/>
  <c r="DI109" i="4"/>
  <c r="BP100" i="2"/>
  <c r="BL35" i="1"/>
  <c r="U88" i="3"/>
  <c r="AA88" i="3"/>
  <c r="S33" i="5"/>
  <c r="X33" i="5"/>
  <c r="BL100" i="2"/>
  <c r="BM100" i="2"/>
  <c r="Z33" i="5"/>
  <c r="X88" i="3"/>
  <c r="U33" i="5"/>
  <c r="BS35" i="1"/>
  <c r="DJ109" i="4"/>
  <c r="DH109" i="4"/>
  <c r="BR100" i="2"/>
  <c r="BN35" i="1"/>
  <c r="BP35" i="1"/>
  <c r="Y33" i="5"/>
  <c r="Y88" i="3"/>
  <c r="BN100" i="2"/>
  <c r="T33" i="5"/>
  <c r="DF109" i="4"/>
  <c r="BQ100" i="2"/>
  <c r="BO100" i="2"/>
  <c r="W33" i="5"/>
  <c r="Z88" i="3"/>
  <c r="V33" i="5"/>
  <c r="BT100" i="2"/>
  <c r="BM35" i="1"/>
  <c r="BS100" i="2"/>
  <c r="V88" i="3"/>
  <c r="W88" i="3"/>
  <c r="AA33" i="5"/>
  <c r="AC88" i="3"/>
  <c r="DF119" i="4"/>
  <c r="BL45" i="1"/>
  <c r="AA86" i="3"/>
  <c r="BM98" i="2"/>
  <c r="BS98" i="2"/>
  <c r="U86" i="3"/>
  <c r="BO45" i="1"/>
  <c r="BQ98" i="2"/>
  <c r="BP98" i="2"/>
  <c r="U50" i="5"/>
  <c r="Z50" i="5"/>
  <c r="BM45" i="1"/>
  <c r="BP45" i="1"/>
  <c r="AA50" i="5"/>
  <c r="DJ119" i="4"/>
  <c r="BT45" i="1"/>
  <c r="BN45" i="1"/>
  <c r="V50" i="5"/>
  <c r="BO98" i="2"/>
  <c r="V86" i="3"/>
  <c r="T50" i="5"/>
  <c r="DH119" i="4"/>
  <c r="Y50" i="5"/>
  <c r="BS45" i="1"/>
  <c r="BQ45" i="1"/>
  <c r="S50" i="5"/>
  <c r="BR45" i="1"/>
  <c r="W86" i="3"/>
  <c r="BT98" i="2"/>
  <c r="Y86" i="3"/>
  <c r="BN98" i="2"/>
  <c r="AB86" i="3"/>
  <c r="BR98" i="2"/>
  <c r="W50" i="5"/>
  <c r="X86" i="3"/>
  <c r="BL98" i="2"/>
  <c r="Z86" i="3"/>
  <c r="DI119" i="4"/>
  <c r="AC86" i="3"/>
  <c r="X50" i="5"/>
  <c r="W21" i="5"/>
  <c r="BS90" i="2"/>
  <c r="AA78" i="3"/>
  <c r="BO24" i="1"/>
  <c r="DJ97" i="4"/>
  <c r="BL24" i="1"/>
  <c r="DH97" i="4"/>
  <c r="Z78" i="3"/>
  <c r="BL90" i="2"/>
  <c r="BM90" i="2"/>
  <c r="Y78" i="3"/>
  <c r="BN90" i="2"/>
  <c r="BO90" i="2"/>
  <c r="Z21" i="5"/>
  <c r="AA21" i="5"/>
  <c r="X78" i="3"/>
  <c r="T21" i="5"/>
  <c r="V21" i="5"/>
  <c r="U78" i="3"/>
  <c r="X21" i="5"/>
  <c r="BP24" i="1"/>
  <c r="BT90" i="2"/>
  <c r="V78" i="3"/>
  <c r="W78" i="3"/>
  <c r="BM24" i="1"/>
  <c r="BN24" i="1"/>
  <c r="AC78" i="3"/>
  <c r="DI97" i="4"/>
  <c r="S21" i="5"/>
  <c r="BR90" i="2"/>
  <c r="BS24" i="1"/>
  <c r="BQ24" i="1"/>
  <c r="BP90" i="2"/>
  <c r="BQ90" i="2"/>
  <c r="AB78" i="3"/>
  <c r="U21" i="5"/>
  <c r="DF97" i="4"/>
  <c r="Y21" i="5"/>
  <c r="BT24" i="1"/>
  <c r="BR24" i="1"/>
  <c r="V69" i="3"/>
  <c r="DH70" i="4"/>
  <c r="BQ72" i="2"/>
  <c r="DJ70" i="4"/>
  <c r="BO72" i="2"/>
  <c r="DF70" i="4"/>
  <c r="BS72" i="2"/>
  <c r="AB69" i="3"/>
  <c r="BN72" i="2"/>
  <c r="DI70" i="4"/>
  <c r="BP72" i="2"/>
  <c r="BL72" i="2"/>
  <c r="BM72" i="2"/>
  <c r="AA69" i="3"/>
  <c r="U69" i="3"/>
  <c r="W69" i="3"/>
  <c r="AC69" i="3"/>
  <c r="Y69" i="3"/>
  <c r="BT72" i="2"/>
  <c r="X69" i="3"/>
  <c r="Z69" i="3"/>
  <c r="BR72" i="2"/>
  <c r="AA68" i="3"/>
  <c r="DF69" i="4"/>
  <c r="W68" i="3"/>
  <c r="Z68" i="3"/>
  <c r="Y68" i="3"/>
  <c r="BQ71" i="2"/>
  <c r="U68" i="3"/>
  <c r="V68" i="3"/>
  <c r="BN71" i="2"/>
  <c r="BM71" i="2"/>
  <c r="BL71" i="2"/>
  <c r="BT71" i="2"/>
  <c r="X68" i="3"/>
  <c r="DH69" i="4"/>
  <c r="DI69" i="4"/>
  <c r="AC68" i="3"/>
  <c r="DJ69" i="4"/>
  <c r="BR71" i="2"/>
  <c r="BO71" i="2"/>
  <c r="BS71" i="2"/>
  <c r="BP71" i="2"/>
  <c r="AB68" i="3"/>
  <c r="AB67" i="3"/>
  <c r="BL70" i="2"/>
  <c r="BP70" i="2"/>
  <c r="BQ70" i="2"/>
  <c r="BR70" i="2"/>
  <c r="BN70" i="2"/>
  <c r="Y67" i="3"/>
  <c r="BT70" i="2"/>
  <c r="Z67" i="3"/>
  <c r="AC67" i="3"/>
  <c r="AA67" i="3"/>
  <c r="DH68" i="4"/>
  <c r="BM70" i="2"/>
  <c r="W67" i="3"/>
  <c r="U67" i="3"/>
  <c r="BS70" i="2"/>
  <c r="DF68" i="4"/>
  <c r="DJ68" i="4"/>
  <c r="DI68" i="4"/>
  <c r="X67" i="3"/>
  <c r="BO70" i="2"/>
  <c r="V67" i="3"/>
  <c r="V66" i="3"/>
  <c r="Y66" i="3"/>
  <c r="BS69" i="2"/>
  <c r="AB66" i="3"/>
  <c r="DH67" i="4"/>
  <c r="BT69" i="2"/>
  <c r="W66" i="3"/>
  <c r="BL69" i="2"/>
  <c r="U66" i="3"/>
  <c r="DI67" i="4"/>
  <c r="BQ69" i="2"/>
  <c r="DF67" i="4"/>
  <c r="X66" i="3"/>
  <c r="BN69" i="2"/>
  <c r="BP69" i="2"/>
  <c r="DJ67" i="4"/>
  <c r="BO69" i="2"/>
  <c r="BM69" i="2"/>
  <c r="Z66" i="3"/>
  <c r="AC66" i="3"/>
  <c r="AA66" i="3"/>
  <c r="BR69" i="2"/>
  <c r="AA65" i="3"/>
  <c r="U65" i="3"/>
  <c r="BP68" i="2"/>
  <c r="BQ68" i="2"/>
  <c r="BS68" i="2"/>
  <c r="Y65" i="3"/>
  <c r="BT68" i="2"/>
  <c r="W65" i="3"/>
  <c r="X65" i="3"/>
  <c r="Z65" i="3"/>
  <c r="BN68" i="2"/>
  <c r="DH66" i="4"/>
  <c r="BO68" i="2"/>
  <c r="DJ66" i="4"/>
  <c r="DF66" i="4"/>
  <c r="BL68" i="2"/>
  <c r="V65" i="3"/>
  <c r="BM68" i="2"/>
  <c r="BR68" i="2"/>
  <c r="AC65" i="3"/>
  <c r="AB65" i="3"/>
  <c r="DI66" i="4"/>
  <c r="AB64" i="3"/>
  <c r="W64" i="3"/>
  <c r="BR67" i="2"/>
  <c r="BP67" i="2"/>
  <c r="V64" i="3"/>
  <c r="DH65" i="4"/>
  <c r="X64" i="3"/>
  <c r="Z64" i="3"/>
  <c r="BL67" i="2"/>
  <c r="U64" i="3"/>
  <c r="AC64" i="3"/>
  <c r="DJ65" i="4"/>
  <c r="AA64" i="3"/>
  <c r="BT67" i="2"/>
  <c r="BN67" i="2"/>
  <c r="DI65" i="4"/>
  <c r="BO67" i="2"/>
  <c r="BM67" i="2"/>
  <c r="BS67" i="2"/>
  <c r="DF65" i="4"/>
  <c r="Y64" i="3"/>
  <c r="BQ67" i="2"/>
  <c r="BS20" i="2"/>
  <c r="Z20" i="3"/>
  <c r="BR20" i="2"/>
  <c r="Y20" i="3"/>
  <c r="U20" i="3"/>
  <c r="BT20" i="2"/>
  <c r="DF20" i="4"/>
  <c r="V20" i="3"/>
  <c r="AB20" i="3"/>
  <c r="X20" i="3"/>
  <c r="BL20" i="2"/>
  <c r="AA20" i="3"/>
  <c r="DH20" i="4"/>
  <c r="W20" i="3"/>
  <c r="AC20" i="3"/>
  <c r="BQ20" i="2"/>
  <c r="BN20" i="2"/>
  <c r="BP20" i="2"/>
  <c r="DJ20" i="4"/>
  <c r="BO20" i="2"/>
  <c r="BM20" i="2"/>
  <c r="DI20" i="4"/>
  <c r="AA19" i="3"/>
  <c r="Y19" i="3"/>
  <c r="BT19" i="2"/>
  <c r="DJ19" i="4"/>
  <c r="BO19" i="2"/>
  <c r="BN19" i="2"/>
  <c r="BM19" i="2"/>
  <c r="DH19" i="4"/>
  <c r="BS19" i="2"/>
  <c r="BL19" i="2"/>
  <c r="V19" i="3"/>
  <c r="W19" i="3"/>
  <c r="X19" i="3"/>
  <c r="AB19" i="3"/>
  <c r="DI19" i="4"/>
  <c r="BQ19" i="2"/>
  <c r="Z19" i="3"/>
  <c r="AC19" i="3"/>
  <c r="BP19" i="2"/>
  <c r="BR19" i="2"/>
  <c r="DF19" i="4"/>
  <c r="U19" i="3"/>
  <c r="BO18" i="2"/>
  <c r="DH18" i="4"/>
  <c r="BM18" i="2"/>
  <c r="AB18" i="3"/>
  <c r="AC18" i="3"/>
  <c r="BN18" i="2"/>
  <c r="U18" i="3"/>
  <c r="W18" i="3"/>
  <c r="BL18" i="2"/>
  <c r="Z18" i="3"/>
  <c r="X18" i="3"/>
  <c r="BS18" i="2"/>
  <c r="BP18" i="2"/>
  <c r="BR18" i="2"/>
  <c r="AA18" i="3"/>
  <c r="BT18" i="2"/>
  <c r="DJ18" i="4"/>
  <c r="Y18" i="3"/>
  <c r="V18" i="3"/>
  <c r="DF18" i="4"/>
  <c r="BQ18" i="2"/>
  <c r="DI18" i="4"/>
  <c r="BP17" i="2"/>
  <c r="DI17" i="4"/>
  <c r="Z17" i="3"/>
  <c r="DJ17" i="4"/>
  <c r="V17" i="3"/>
  <c r="U17" i="3"/>
  <c r="AC17" i="3"/>
  <c r="Y17" i="3"/>
  <c r="W17" i="3"/>
  <c r="AA17" i="3"/>
  <c r="BM17" i="2"/>
  <c r="DH17" i="4"/>
  <c r="BS17" i="2"/>
  <c r="AB17" i="3"/>
  <c r="BQ17" i="2"/>
  <c r="X17" i="3"/>
  <c r="BR17" i="2"/>
  <c r="BL17" i="2"/>
  <c r="BN17" i="2"/>
  <c r="BO17" i="2"/>
  <c r="BT17" i="2"/>
  <c r="DF17" i="4"/>
  <c r="S26" i="5"/>
  <c r="T26" i="5"/>
  <c r="U26" i="5"/>
  <c r="W26" i="5"/>
  <c r="V26" i="5"/>
  <c r="Y26" i="5"/>
  <c r="BL29" i="1"/>
  <c r="BO29" i="1"/>
  <c r="BP29" i="1"/>
  <c r="BQ29" i="1"/>
  <c r="AB83" i="3"/>
  <c r="BR29" i="1"/>
  <c r="BS29" i="1"/>
  <c r="AA26" i="5"/>
  <c r="BT29" i="1"/>
  <c r="BS95" i="2"/>
  <c r="AC83" i="3"/>
  <c r="BR95" i="2"/>
  <c r="BN95" i="2"/>
  <c r="V83" i="3"/>
  <c r="DH105" i="4"/>
  <c r="AA83" i="3"/>
  <c r="U83" i="3"/>
  <c r="W83" i="3"/>
  <c r="Z83" i="3"/>
  <c r="Y83" i="3"/>
  <c r="BT95" i="2"/>
  <c r="BP95" i="2"/>
  <c r="BQ95" i="2"/>
  <c r="X83" i="3"/>
  <c r="BN29" i="1"/>
  <c r="BM29" i="1"/>
  <c r="Z26" i="5"/>
  <c r="BL95" i="2"/>
  <c r="BM95" i="2"/>
  <c r="BO95" i="2"/>
  <c r="X26" i="5"/>
  <c r="DI105" i="4"/>
  <c r="DJ105" i="4"/>
  <c r="DF105" i="4"/>
  <c r="BS94" i="2"/>
  <c r="BO94" i="2"/>
  <c r="AA82" i="3"/>
  <c r="Z82" i="3"/>
  <c r="BN94" i="2"/>
  <c r="BN28" i="1"/>
  <c r="BR28" i="1"/>
  <c r="BT28" i="1"/>
  <c r="BM94" i="2"/>
  <c r="DF104" i="4"/>
  <c r="X25" i="5"/>
  <c r="Y25" i="5"/>
  <c r="S25" i="5"/>
  <c r="BQ28" i="1"/>
  <c r="BO28" i="1"/>
  <c r="U25" i="5"/>
  <c r="BP94" i="2"/>
  <c r="AC82" i="3"/>
  <c r="AA25" i="5"/>
  <c r="AB82" i="3"/>
  <c r="BL28" i="1"/>
  <c r="Z25" i="5"/>
  <c r="W82" i="3"/>
  <c r="BL94" i="2"/>
  <c r="V82" i="3"/>
  <c r="BR94" i="2"/>
  <c r="W25" i="5"/>
  <c r="DH104" i="4"/>
  <c r="BQ94" i="2"/>
  <c r="BT94" i="2"/>
  <c r="DJ104" i="4"/>
  <c r="BM28" i="1"/>
  <c r="BP28" i="1"/>
  <c r="Y82" i="3"/>
  <c r="V25" i="5"/>
  <c r="DI104" i="4"/>
  <c r="BS28" i="1"/>
  <c r="X82" i="3"/>
  <c r="U82" i="3"/>
  <c r="T25" i="5"/>
  <c r="DH13" i="4"/>
  <c r="BT13" i="2"/>
  <c r="U13" i="3"/>
  <c r="AA13" i="3"/>
  <c r="Y13" i="3"/>
  <c r="DJ13" i="4"/>
  <c r="BS13" i="2"/>
  <c r="AB13" i="3"/>
  <c r="X13" i="3"/>
  <c r="BQ13" i="2"/>
  <c r="DI13" i="4"/>
  <c r="W13" i="3"/>
  <c r="DF13" i="4"/>
  <c r="BR13" i="2"/>
  <c r="BP13" i="2"/>
  <c r="Z13" i="3"/>
  <c r="BO13" i="2"/>
  <c r="BN13" i="2"/>
  <c r="V13" i="3"/>
  <c r="BM13" i="2"/>
  <c r="BL13" i="2"/>
  <c r="AC13" i="3"/>
  <c r="X16" i="3"/>
  <c r="W16" i="3"/>
  <c r="DJ16" i="4"/>
  <c r="DI16" i="4"/>
  <c r="DH16" i="4"/>
  <c r="Y16" i="3"/>
  <c r="BN16" i="2"/>
  <c r="BR16" i="2"/>
  <c r="U16" i="3"/>
  <c r="AA16" i="3"/>
  <c r="V16" i="3"/>
  <c r="BO16" i="2"/>
  <c r="BQ16" i="2"/>
  <c r="BL16" i="2"/>
  <c r="AC16" i="3"/>
  <c r="DF16" i="4"/>
  <c r="BT16" i="2"/>
  <c r="Z16" i="3"/>
  <c r="AB16" i="3"/>
  <c r="BS16" i="2"/>
  <c r="BP16" i="2"/>
  <c r="BM16" i="2"/>
  <c r="BS14" i="2"/>
  <c r="DJ14" i="4"/>
  <c r="DI14" i="4"/>
  <c r="DF14" i="4"/>
  <c r="V14" i="3"/>
  <c r="U14" i="3"/>
  <c r="AA14" i="3"/>
  <c r="AB14" i="3"/>
  <c r="BM14" i="2"/>
  <c r="BL14" i="2"/>
  <c r="BQ14" i="2"/>
  <c r="W14" i="3"/>
  <c r="AC14" i="3"/>
  <c r="Z14" i="3"/>
  <c r="X14" i="3"/>
  <c r="DH14" i="4"/>
  <c r="BT14" i="2"/>
  <c r="BO14" i="2"/>
  <c r="BR14" i="2"/>
  <c r="BN14" i="2"/>
  <c r="Y14" i="3"/>
  <c r="BP14" i="2"/>
  <c r="DH12" i="4"/>
  <c r="DJ12" i="4"/>
  <c r="V12" i="3"/>
  <c r="DI12" i="4"/>
  <c r="BT12" i="2"/>
  <c r="DF12" i="4"/>
  <c r="BL12" i="2"/>
  <c r="AB12" i="3"/>
  <c r="AC12" i="3"/>
  <c r="Z12" i="3"/>
  <c r="Y12" i="3"/>
  <c r="U12" i="3"/>
  <c r="BP12" i="2"/>
  <c r="BS12" i="2"/>
  <c r="BQ12" i="2"/>
  <c r="AA12" i="3"/>
  <c r="W12" i="3"/>
  <c r="BO12" i="2"/>
  <c r="BN12" i="2"/>
  <c r="X12" i="3"/>
  <c r="BR12" i="2"/>
  <c r="V63" i="3"/>
  <c r="DH64" i="4"/>
  <c r="U63" i="3"/>
  <c r="AA63" i="3"/>
  <c r="BR66" i="2"/>
  <c r="BT66" i="2"/>
  <c r="X63" i="3"/>
  <c r="BS66" i="2"/>
  <c r="BQ66" i="2"/>
  <c r="BO66" i="2"/>
  <c r="DF64" i="4"/>
  <c r="Y63" i="3"/>
  <c r="Z63" i="3"/>
  <c r="BL66" i="2"/>
  <c r="DJ64" i="4"/>
  <c r="BM66" i="2"/>
  <c r="BP66" i="2"/>
  <c r="W63" i="3"/>
  <c r="AC63" i="3"/>
  <c r="BN66" i="2"/>
  <c r="DI64" i="4"/>
  <c r="AB63" i="3"/>
  <c r="BT65" i="2"/>
  <c r="AA62" i="3"/>
  <c r="X62" i="3"/>
  <c r="V62" i="3"/>
  <c r="DF63" i="4"/>
  <c r="Z62" i="3"/>
  <c r="AC62" i="3"/>
  <c r="BP65" i="2"/>
  <c r="BN65" i="2"/>
  <c r="W62" i="3"/>
  <c r="BL65" i="2"/>
  <c r="BQ65" i="2"/>
  <c r="DH63" i="4"/>
  <c r="Y62" i="3"/>
  <c r="DJ63" i="4"/>
  <c r="DI63" i="4"/>
  <c r="U62" i="3"/>
  <c r="AB62" i="3"/>
  <c r="BM65" i="2"/>
  <c r="BO65" i="2"/>
  <c r="BS65" i="2"/>
  <c r="BR65" i="2"/>
  <c r="DJ49" i="4"/>
  <c r="BP49" i="2"/>
  <c r="DF49" i="4"/>
  <c r="BQ49" i="2"/>
  <c r="Z49" i="3"/>
  <c r="Y49" i="3"/>
  <c r="BL49" i="2"/>
  <c r="BO49" i="2"/>
  <c r="BN49" i="2"/>
  <c r="DI49" i="4"/>
  <c r="BR49" i="2"/>
  <c r="BM49" i="2"/>
  <c r="V49" i="3"/>
  <c r="X49" i="3"/>
  <c r="W49" i="3"/>
  <c r="AC49" i="3"/>
  <c r="BT49" i="2"/>
  <c r="AA49" i="3"/>
  <c r="AB49" i="3"/>
  <c r="BS49" i="2"/>
  <c r="DH49" i="4"/>
  <c r="U49" i="3"/>
  <c r="DJ48" i="4"/>
  <c r="DF48" i="4"/>
  <c r="BT48" i="2"/>
  <c r="DI48" i="4"/>
  <c r="BR48" i="2"/>
  <c r="AC48" i="3"/>
  <c r="X48" i="3"/>
  <c r="Y48" i="3"/>
  <c r="Z48" i="3"/>
  <c r="BO48" i="2"/>
  <c r="BP48" i="2"/>
  <c r="BQ48" i="2"/>
  <c r="BL48" i="2"/>
  <c r="BS48" i="2"/>
  <c r="AA48" i="3"/>
  <c r="U48" i="3"/>
  <c r="BN48" i="2"/>
  <c r="DH48" i="4"/>
  <c r="W48" i="3"/>
  <c r="BM48" i="2"/>
  <c r="V48" i="3"/>
  <c r="AB48" i="3"/>
  <c r="BR58" i="2"/>
  <c r="Z58" i="3"/>
  <c r="BM58" i="2"/>
  <c r="DH58" i="4"/>
  <c r="W58" i="3"/>
  <c r="BQ58" i="2"/>
  <c r="BS58" i="2"/>
  <c r="BO58" i="2"/>
  <c r="AA58" i="3"/>
  <c r="AB58" i="3"/>
  <c r="BP58" i="2"/>
  <c r="BT58" i="2"/>
  <c r="BL58" i="2"/>
  <c r="BN58" i="2"/>
  <c r="DJ58" i="4"/>
  <c r="AC58" i="3"/>
  <c r="U58" i="3"/>
  <c r="DF58" i="4"/>
  <c r="Y58" i="3"/>
  <c r="DI58" i="4"/>
  <c r="V58" i="3"/>
  <c r="X58" i="3"/>
  <c r="BN57" i="2"/>
  <c r="BM57" i="2"/>
  <c r="BR57" i="2"/>
  <c r="W57" i="3"/>
  <c r="DJ57" i="4"/>
  <c r="U57" i="3"/>
  <c r="BO57" i="2"/>
  <c r="AB57" i="3"/>
  <c r="BP57" i="2"/>
  <c r="DI57" i="4"/>
  <c r="Z57" i="3"/>
  <c r="DH57" i="4"/>
  <c r="BL57" i="2"/>
  <c r="BQ57" i="2"/>
  <c r="BS57" i="2"/>
  <c r="DF57" i="4"/>
  <c r="X57" i="3"/>
  <c r="BT57" i="2"/>
  <c r="Y57" i="3"/>
  <c r="V57" i="3"/>
  <c r="AA57" i="3"/>
  <c r="AC57" i="3"/>
  <c r="BL56" i="2"/>
  <c r="U56" i="3"/>
  <c r="BS56" i="2"/>
  <c r="BO56" i="2"/>
  <c r="BR56" i="2"/>
  <c r="V56" i="3"/>
  <c r="Y56" i="3"/>
  <c r="AA56" i="3"/>
  <c r="DH56" i="4"/>
  <c r="Z56" i="3"/>
  <c r="AC56" i="3"/>
  <c r="AB56" i="3"/>
  <c r="BN56" i="2"/>
  <c r="DF56" i="4"/>
  <c r="BQ56" i="2"/>
  <c r="DJ56" i="4"/>
  <c r="X56" i="3"/>
  <c r="BM56" i="2"/>
  <c r="DI56" i="4"/>
  <c r="W56" i="3"/>
  <c r="BP56" i="2"/>
  <c r="BT56" i="2"/>
  <c r="Y55" i="3"/>
  <c r="BS55" i="2"/>
  <c r="Z55" i="3"/>
  <c r="DH55" i="4"/>
  <c r="BO55" i="2"/>
  <c r="X55" i="3"/>
  <c r="U55" i="3"/>
  <c r="V55" i="3"/>
  <c r="AC55" i="3"/>
  <c r="BT55" i="2"/>
  <c r="DI55" i="4"/>
  <c r="BQ55" i="2"/>
  <c r="AA55" i="3"/>
  <c r="DF55" i="4"/>
  <c r="BR55" i="2"/>
  <c r="BN55" i="2"/>
  <c r="DJ55" i="4"/>
  <c r="BM55" i="2"/>
  <c r="BL55" i="2"/>
  <c r="AB55" i="3"/>
  <c r="BP55" i="2"/>
  <c r="W55" i="3"/>
  <c r="DJ72" i="4"/>
  <c r="AC72" i="3"/>
  <c r="Z72" i="3"/>
  <c r="DI72" i="4"/>
  <c r="X72" i="3"/>
  <c r="BT75" i="2"/>
  <c r="DH72" i="4"/>
  <c r="BQ75" i="2"/>
  <c r="DF72" i="4"/>
  <c r="BP75" i="2"/>
  <c r="AB72" i="3"/>
  <c r="AA72" i="3"/>
  <c r="BR75" i="2"/>
  <c r="U72" i="3"/>
  <c r="V72" i="3"/>
  <c r="BO75" i="2"/>
  <c r="BN75" i="2"/>
  <c r="BM75" i="2"/>
  <c r="BL75" i="2"/>
  <c r="Y72" i="3"/>
  <c r="BS75" i="2"/>
  <c r="W72" i="3"/>
  <c r="DI73" i="4"/>
  <c r="Z73" i="3"/>
  <c r="DH73" i="4"/>
  <c r="DF73" i="4"/>
  <c r="DJ73" i="4"/>
  <c r="W73" i="3"/>
  <c r="V73" i="3"/>
  <c r="BO76" i="2"/>
  <c r="BN76" i="2"/>
  <c r="BL76" i="2"/>
  <c r="AA73" i="3"/>
  <c r="U73" i="3"/>
  <c r="AB73" i="3"/>
  <c r="AC73" i="3"/>
  <c r="BQ76" i="2"/>
  <c r="BP76" i="2"/>
  <c r="BT76" i="2"/>
  <c r="BR76" i="2"/>
  <c r="X73" i="3"/>
  <c r="BS76" i="2"/>
  <c r="Y73" i="3"/>
  <c r="BM76" i="2"/>
  <c r="AC54" i="3"/>
  <c r="AA54" i="3"/>
  <c r="BS54" i="2"/>
  <c r="DH54" i="4"/>
  <c r="U54" i="3"/>
  <c r="BP54" i="2"/>
  <c r="BQ54" i="2"/>
  <c r="W54" i="3"/>
  <c r="BL54" i="2"/>
  <c r="BN54" i="2"/>
  <c r="BM54" i="2"/>
  <c r="Z54" i="3"/>
  <c r="DJ54" i="4"/>
  <c r="BO54" i="2"/>
  <c r="DF54" i="4"/>
  <c r="DI54" i="4"/>
  <c r="BT54" i="2"/>
  <c r="AB54" i="3"/>
  <c r="X54" i="3"/>
  <c r="BR54" i="2"/>
  <c r="Y54" i="3"/>
  <c r="V54" i="3"/>
  <c r="BR53" i="2"/>
  <c r="Z53" i="3"/>
  <c r="V53" i="3"/>
  <c r="Y53" i="3"/>
  <c r="W53" i="3"/>
  <c r="BQ53" i="2"/>
  <c r="BL53" i="2"/>
  <c r="BM53" i="2"/>
  <c r="BN53" i="2"/>
  <c r="U53" i="3"/>
  <c r="DF53" i="4"/>
  <c r="AC53" i="3"/>
  <c r="BS53" i="2"/>
  <c r="BO53" i="2"/>
  <c r="AA53" i="3"/>
  <c r="DI53" i="4"/>
  <c r="AB53" i="3"/>
  <c r="BP53" i="2"/>
  <c r="DH53" i="4"/>
  <c r="X53" i="3"/>
  <c r="BT53" i="2"/>
  <c r="DJ53" i="4"/>
  <c r="BP52" i="2"/>
  <c r="BO52" i="2"/>
  <c r="Y52" i="3"/>
  <c r="BR52" i="2"/>
  <c r="X52" i="3"/>
  <c r="DI52" i="4"/>
  <c r="BQ52" i="2"/>
  <c r="BL52" i="2"/>
  <c r="BM52" i="2"/>
  <c r="BN52" i="2"/>
  <c r="BS52" i="2"/>
  <c r="BT52" i="2"/>
  <c r="DF52" i="4"/>
  <c r="DH52" i="4"/>
  <c r="AC52" i="3"/>
  <c r="DJ52" i="4"/>
  <c r="AB52" i="3"/>
  <c r="U52" i="3"/>
  <c r="AA52" i="3"/>
  <c r="V52" i="3"/>
  <c r="W52" i="3"/>
  <c r="Z52" i="3"/>
  <c r="U51" i="3"/>
  <c r="DF51" i="4"/>
  <c r="DH51" i="4"/>
  <c r="BN51" i="2"/>
  <c r="BT51" i="2"/>
  <c r="BO51" i="2"/>
  <c r="BQ51" i="2"/>
  <c r="W51" i="3"/>
  <c r="V51" i="3"/>
  <c r="BP51" i="2"/>
  <c r="Y51" i="3"/>
  <c r="Z51" i="3"/>
  <c r="DI51" i="4"/>
  <c r="AC51" i="3"/>
  <c r="DJ51" i="4"/>
  <c r="AB51" i="3"/>
  <c r="AA51" i="3"/>
  <c r="BL51" i="2"/>
  <c r="X51" i="3"/>
  <c r="BS51" i="2"/>
  <c r="BR51" i="2"/>
  <c r="BM51" i="2"/>
  <c r="AB28" i="3"/>
  <c r="DH28" i="4"/>
  <c r="BS28" i="2"/>
  <c r="Z28" i="3"/>
  <c r="BT28" i="2"/>
  <c r="W28" i="3"/>
  <c r="X28" i="3"/>
  <c r="V28" i="3"/>
  <c r="BL28" i="2"/>
  <c r="BP28" i="2"/>
  <c r="BN28" i="2"/>
  <c r="BO28" i="2"/>
  <c r="DI28" i="4"/>
  <c r="BM28" i="2"/>
  <c r="AA28" i="3"/>
  <c r="U28" i="3"/>
  <c r="DJ28" i="4"/>
  <c r="AC28" i="3"/>
  <c r="BQ28" i="2"/>
  <c r="Y28" i="3"/>
  <c r="DF28" i="4"/>
  <c r="BR28" i="2"/>
  <c r="AA29" i="3"/>
  <c r="U29" i="3"/>
  <c r="Z29" i="3"/>
  <c r="BM29" i="2"/>
  <c r="BL29" i="2"/>
  <c r="V29" i="3"/>
  <c r="DF29" i="4"/>
  <c r="X29" i="3"/>
  <c r="BS29" i="2"/>
  <c r="BR29" i="2"/>
  <c r="BT29" i="2"/>
  <c r="Y29" i="3"/>
  <c r="DJ29" i="4"/>
  <c r="DI29" i="4"/>
  <c r="BP29" i="2"/>
  <c r="BQ29" i="2"/>
  <c r="W29" i="3"/>
  <c r="BO29" i="2"/>
  <c r="DH29" i="4"/>
  <c r="AB29" i="3"/>
  <c r="AC29" i="3"/>
  <c r="BN29" i="2"/>
  <c r="Z25" i="3"/>
  <c r="X25" i="3"/>
  <c r="AA25" i="3"/>
  <c r="BR25" i="2"/>
  <c r="AB25" i="3"/>
  <c r="AC25" i="3"/>
  <c r="DH25" i="4"/>
  <c r="BT25" i="2"/>
  <c r="BQ25" i="2"/>
  <c r="BL25" i="2"/>
  <c r="DI25" i="4"/>
  <c r="DJ25" i="4"/>
  <c r="Y25" i="3"/>
  <c r="BS25" i="2"/>
  <c r="BM25" i="2"/>
  <c r="BP25" i="2"/>
  <c r="U25" i="3"/>
  <c r="V25" i="3"/>
  <c r="W25" i="3"/>
  <c r="DF25" i="4"/>
  <c r="BO25" i="2"/>
  <c r="BN25" i="2"/>
  <c r="DJ24" i="4"/>
  <c r="DI24" i="4"/>
  <c r="DF24" i="4"/>
  <c r="BT24" i="2"/>
  <c r="BO24" i="2"/>
  <c r="BN24" i="2"/>
  <c r="BM24" i="2"/>
  <c r="BL24" i="2"/>
  <c r="BQ24" i="2"/>
  <c r="BP24" i="2"/>
  <c r="BR24" i="2"/>
  <c r="BS24" i="2"/>
  <c r="W24" i="3"/>
  <c r="V24" i="3"/>
  <c r="AA24" i="3"/>
  <c r="U24" i="3"/>
  <c r="AC24" i="3"/>
  <c r="DH24" i="4"/>
  <c r="AB24" i="3"/>
  <c r="X24" i="3"/>
  <c r="Y24" i="3"/>
  <c r="Z24" i="3"/>
  <c r="BM45" i="2"/>
  <c r="W45" i="3"/>
  <c r="BR45" i="2"/>
  <c r="BP45" i="2"/>
  <c r="DF45" i="4"/>
  <c r="X45" i="3"/>
  <c r="U45" i="3"/>
  <c r="BQ45" i="2"/>
  <c r="AC45" i="3"/>
  <c r="DJ45" i="4"/>
  <c r="BS45" i="2"/>
  <c r="BL45" i="2"/>
  <c r="AB45" i="3"/>
  <c r="Y45" i="3"/>
  <c r="BT45" i="2"/>
  <c r="AA45" i="3"/>
  <c r="DH45" i="4"/>
  <c r="Z45" i="3"/>
  <c r="DI45" i="4"/>
  <c r="V45" i="3"/>
  <c r="BN45" i="2"/>
  <c r="BO45" i="2"/>
  <c r="BQ43" i="2"/>
  <c r="AC43" i="3"/>
  <c r="X43" i="3"/>
  <c r="DH43" i="4"/>
  <c r="BO43" i="2"/>
  <c r="V43" i="3"/>
  <c r="U43" i="3"/>
  <c r="W43" i="3"/>
  <c r="BP43" i="2"/>
  <c r="BM43" i="2"/>
  <c r="AA43" i="3"/>
  <c r="BN43" i="2"/>
  <c r="DJ43" i="4"/>
  <c r="DF43" i="4"/>
  <c r="DI43" i="4"/>
  <c r="BT43" i="2"/>
  <c r="Y43" i="3"/>
  <c r="BL43" i="2"/>
  <c r="BS43" i="2"/>
  <c r="Z43" i="3"/>
  <c r="BR43" i="2"/>
  <c r="AB43" i="3"/>
  <c r="BR42" i="2"/>
  <c r="U42" i="3"/>
  <c r="AA42" i="3"/>
  <c r="W42" i="3"/>
  <c r="AC42" i="3"/>
  <c r="BQ42" i="2"/>
  <c r="BM42" i="2"/>
  <c r="X42" i="3"/>
  <c r="AB42" i="3"/>
  <c r="DF42" i="4"/>
  <c r="BO42" i="2"/>
  <c r="BP42" i="2"/>
  <c r="DJ42" i="4"/>
  <c r="DH42" i="4"/>
  <c r="Y42" i="3"/>
  <c r="V42" i="3"/>
  <c r="BN42" i="2"/>
  <c r="BL42" i="2"/>
  <c r="Z42" i="3"/>
  <c r="BS42" i="2"/>
  <c r="DI42" i="4"/>
  <c r="BT42" i="2"/>
  <c r="AB41" i="3"/>
  <c r="DH41" i="4"/>
  <c r="BQ41" i="2"/>
  <c r="Z41" i="3"/>
  <c r="U41" i="3"/>
  <c r="DF41" i="4"/>
  <c r="AC41" i="3"/>
  <c r="BS41" i="2"/>
  <c r="Y41" i="3"/>
  <c r="DI41" i="4"/>
  <c r="W41" i="3"/>
  <c r="BT41" i="2"/>
  <c r="AA41" i="3"/>
  <c r="BM41" i="2"/>
  <c r="DJ41" i="4"/>
  <c r="BL41" i="2"/>
  <c r="X41" i="3"/>
  <c r="BN41" i="2"/>
  <c r="BO41" i="2"/>
  <c r="BR41" i="2"/>
  <c r="BP41" i="2"/>
  <c r="V41" i="3"/>
  <c r="BO40" i="2"/>
  <c r="BM40" i="2"/>
  <c r="BL40" i="2"/>
  <c r="BN40" i="2"/>
  <c r="V40" i="3"/>
  <c r="BP40" i="2"/>
  <c r="BT40" i="2"/>
  <c r="Y40" i="3"/>
  <c r="BR40" i="2"/>
  <c r="Z40" i="3"/>
  <c r="X40" i="3"/>
  <c r="DF40" i="4"/>
  <c r="BS40" i="2"/>
  <c r="AB40" i="3"/>
  <c r="DJ40" i="4"/>
  <c r="U40" i="3"/>
  <c r="DH40" i="4"/>
  <c r="BQ40" i="2"/>
  <c r="AC40" i="3"/>
  <c r="W40" i="3"/>
  <c r="AA40" i="3"/>
  <c r="DI40" i="4"/>
  <c r="DF7" i="4"/>
  <c r="Z7" i="3"/>
  <c r="Y7" i="3"/>
  <c r="BM7" i="2"/>
  <c r="BS7" i="2"/>
  <c r="DJ7" i="4"/>
  <c r="DH7" i="4"/>
  <c r="BR7" i="2"/>
  <c r="W7" i="3"/>
  <c r="V7" i="3"/>
  <c r="BO7" i="2"/>
  <c r="U7" i="3"/>
  <c r="AA7" i="3"/>
  <c r="AB7" i="3"/>
  <c r="BT7" i="2"/>
  <c r="BP7" i="2"/>
  <c r="BN7" i="2"/>
  <c r="X7" i="3"/>
  <c r="BL7" i="2"/>
  <c r="DI7" i="4"/>
  <c r="AC7" i="3"/>
  <c r="BQ7" i="2"/>
  <c r="BN6" i="2"/>
  <c r="W6" i="3"/>
  <c r="DJ6" i="4"/>
  <c r="Z6" i="3"/>
  <c r="BR6" i="2"/>
  <c r="X6" i="3"/>
  <c r="Y6" i="3"/>
  <c r="AB6" i="3"/>
  <c r="DF6" i="4"/>
  <c r="V6" i="3"/>
  <c r="BO6" i="2"/>
  <c r="BQ6" i="2"/>
  <c r="AC6" i="3"/>
  <c r="BL6" i="2"/>
  <c r="BT6" i="2"/>
  <c r="BP6" i="2"/>
  <c r="BS6" i="2"/>
  <c r="DH6" i="4"/>
  <c r="BM6" i="2"/>
  <c r="DI6" i="4"/>
  <c r="AA6" i="3"/>
  <c r="U6" i="3"/>
  <c r="BS5" i="2"/>
  <c r="AA5" i="3"/>
  <c r="DF5" i="4"/>
  <c r="DH5" i="4"/>
  <c r="Y5" i="3"/>
  <c r="BQ5" i="2"/>
  <c r="X5" i="3"/>
  <c r="AB5" i="3"/>
  <c r="BR5" i="2"/>
  <c r="DI5" i="4"/>
  <c r="BL5" i="2"/>
  <c r="V5" i="3"/>
  <c r="BT5" i="2"/>
  <c r="BM5" i="2"/>
  <c r="Z5" i="3"/>
  <c r="AC5" i="3"/>
  <c r="BP5" i="2"/>
  <c r="BN5" i="2"/>
  <c r="W5" i="3"/>
  <c r="BO5" i="2"/>
  <c r="U5" i="3"/>
  <c r="DJ5" i="4"/>
  <c r="BL4" i="2"/>
  <c r="DH4" i="4"/>
  <c r="BR4" i="2"/>
  <c r="BT4" i="2"/>
  <c r="Y4" i="3"/>
  <c r="BP4" i="2"/>
  <c r="DF4" i="4"/>
  <c r="DI4" i="4"/>
  <c r="V4" i="3"/>
  <c r="DJ4" i="4"/>
  <c r="AB4" i="3"/>
  <c r="U4" i="3"/>
  <c r="AA4" i="3"/>
  <c r="BQ4" i="2"/>
  <c r="Z4" i="3"/>
  <c r="AC4" i="3"/>
  <c r="X4" i="3"/>
  <c r="W4" i="3"/>
  <c r="BO4" i="2"/>
  <c r="BN4" i="2"/>
  <c r="BM4" i="2"/>
  <c r="BS4" i="2"/>
  <c r="BR80" i="2"/>
  <c r="BQ9" i="1"/>
  <c r="BP9" i="1"/>
  <c r="BL80" i="2"/>
  <c r="BT80" i="2"/>
  <c r="BO9" i="1"/>
  <c r="BS80" i="2"/>
  <c r="DJ77" i="4"/>
  <c r="DF77" i="4"/>
  <c r="V77" i="3"/>
  <c r="BN9" i="1"/>
  <c r="BP80" i="2"/>
  <c r="W77" i="3"/>
  <c r="BR9" i="1"/>
  <c r="DH77" i="4"/>
  <c r="BL9" i="1"/>
  <c r="U77" i="3"/>
  <c r="AA77" i="3"/>
  <c r="BS9" i="1"/>
  <c r="Y77" i="3"/>
  <c r="BQ80" i="2"/>
  <c r="Z77" i="3"/>
  <c r="BO80" i="2"/>
  <c r="BN80" i="2"/>
  <c r="X77" i="3"/>
  <c r="AB77" i="3"/>
  <c r="DI77" i="4"/>
  <c r="BT9" i="1"/>
  <c r="BM9" i="1"/>
  <c r="BM80" i="2"/>
  <c r="AC77" i="3"/>
  <c r="BR79" i="2"/>
  <c r="BM8" i="1"/>
  <c r="Y76" i="3"/>
  <c r="BL8" i="1"/>
  <c r="W76" i="3"/>
  <c r="AA76" i="3"/>
  <c r="AB76" i="3"/>
  <c r="BO8" i="1"/>
  <c r="BT79" i="2"/>
  <c r="DH76" i="4"/>
  <c r="AC76" i="3"/>
  <c r="BP8" i="1"/>
  <c r="BN8" i="1"/>
  <c r="BQ8" i="1"/>
  <c r="BS79" i="2"/>
  <c r="DJ76" i="4"/>
  <c r="Z76" i="3"/>
  <c r="DF76" i="4"/>
  <c r="BS8" i="1"/>
  <c r="V76" i="3"/>
  <c r="BO79" i="2"/>
  <c r="BN79" i="2"/>
  <c r="BM79" i="2"/>
  <c r="BL79" i="2"/>
  <c r="U76" i="3"/>
  <c r="DI76" i="4"/>
  <c r="BP79" i="2"/>
  <c r="BQ79" i="2"/>
  <c r="X76" i="3"/>
  <c r="BR8" i="1"/>
  <c r="BT8" i="1"/>
  <c r="BM7" i="1"/>
  <c r="BN7" i="1"/>
  <c r="BR78" i="2"/>
  <c r="BO78" i="2"/>
  <c r="BR7" i="1"/>
  <c r="BT7" i="1"/>
  <c r="V75" i="3"/>
  <c r="AB75" i="3"/>
  <c r="DJ75" i="4"/>
  <c r="AC75" i="3"/>
  <c r="BP7" i="1"/>
  <c r="BT78" i="2"/>
  <c r="Z75" i="3"/>
  <c r="BS7" i="1"/>
  <c r="X75" i="3"/>
  <c r="BQ7" i="1"/>
  <c r="BL7" i="1"/>
  <c r="BQ78" i="2"/>
  <c r="BS78" i="2"/>
  <c r="W75" i="3"/>
  <c r="BP78" i="2"/>
  <c r="DI75" i="4"/>
  <c r="U75" i="3"/>
  <c r="DH75" i="4"/>
  <c r="BL78" i="2"/>
  <c r="DF75" i="4"/>
  <c r="BM78" i="2"/>
  <c r="BN78" i="2"/>
  <c r="Y75" i="3"/>
  <c r="BO7" i="1"/>
  <c r="AA75" i="3"/>
  <c r="W110" i="3"/>
  <c r="BL118" i="2"/>
  <c r="BM118" i="2"/>
  <c r="BT56" i="1"/>
  <c r="V53" i="5"/>
  <c r="DF122" i="4"/>
  <c r="Z53" i="5"/>
  <c r="BQ56" i="1"/>
  <c r="BL56" i="1"/>
  <c r="AA53" i="5"/>
  <c r="X110" i="3"/>
  <c r="V110" i="3"/>
  <c r="BS56" i="1"/>
  <c r="BR118" i="2"/>
  <c r="S53" i="5"/>
  <c r="AB110" i="3"/>
  <c r="BT118" i="2"/>
  <c r="AA110" i="3"/>
  <c r="U110" i="3"/>
  <c r="BM56" i="1"/>
  <c r="BP118" i="2"/>
  <c r="BS118" i="2"/>
  <c r="BO118" i="2"/>
  <c r="Y110" i="3"/>
  <c r="BQ118" i="2"/>
  <c r="BO56" i="1"/>
  <c r="DJ122" i="4"/>
  <c r="BN118" i="2"/>
  <c r="AC110" i="3"/>
  <c r="BN56" i="1"/>
  <c r="W53" i="5"/>
  <c r="U53" i="5"/>
  <c r="X53" i="5"/>
  <c r="BR56" i="1"/>
  <c r="Z110" i="3"/>
  <c r="DI122" i="4"/>
  <c r="T53" i="5"/>
  <c r="DH122" i="4"/>
  <c r="BP56" i="1"/>
  <c r="Y53" i="5"/>
  <c r="BR33" i="1"/>
  <c r="BT33" i="1"/>
  <c r="DJ106" i="4"/>
  <c r="BP33" i="1"/>
  <c r="AC97" i="3"/>
  <c r="Y30" i="5"/>
  <c r="BS110" i="2"/>
  <c r="U30" i="5"/>
  <c r="DF106" i="4"/>
  <c r="BR110" i="2"/>
  <c r="S30" i="5"/>
  <c r="BN110" i="2"/>
  <c r="BQ110" i="2"/>
  <c r="BL110" i="2"/>
  <c r="BM110" i="2"/>
  <c r="BO110" i="2"/>
  <c r="BL33" i="1"/>
  <c r="Z97" i="3"/>
  <c r="W97" i="3"/>
  <c r="AB97" i="3"/>
  <c r="U97" i="3"/>
  <c r="BS33" i="1"/>
  <c r="W30" i="5"/>
  <c r="BP110" i="2"/>
  <c r="Y97" i="3"/>
  <c r="AA97" i="3"/>
  <c r="T30" i="5"/>
  <c r="BT110" i="2"/>
  <c r="V30" i="5"/>
  <c r="X30" i="5"/>
  <c r="BQ33" i="1"/>
  <c r="BM33" i="1"/>
  <c r="BN33" i="1"/>
  <c r="DI106" i="4"/>
  <c r="DH106" i="4"/>
  <c r="AA30" i="5"/>
  <c r="V97" i="3"/>
  <c r="X97" i="3"/>
  <c r="Z30" i="5"/>
  <c r="BO33" i="1"/>
  <c r="T31" i="5"/>
  <c r="S31" i="5"/>
  <c r="BQ109" i="2"/>
  <c r="BP109" i="2"/>
  <c r="Y96" i="3"/>
  <c r="BT47" i="1"/>
  <c r="DJ107" i="4"/>
  <c r="BO47" i="1"/>
  <c r="Z96" i="3"/>
  <c r="BT109" i="2"/>
  <c r="W31" i="5"/>
  <c r="BN47" i="1"/>
  <c r="BL109" i="2"/>
  <c r="BM109" i="2"/>
  <c r="BN109" i="2"/>
  <c r="Z31" i="5"/>
  <c r="BM47" i="1"/>
  <c r="BQ47" i="1"/>
  <c r="AC96" i="3"/>
  <c r="BR109" i="2"/>
  <c r="BL47" i="1"/>
  <c r="BS47" i="1"/>
  <c r="BP47" i="1"/>
  <c r="DI107" i="4"/>
  <c r="X96" i="3"/>
  <c r="U31" i="5"/>
  <c r="BS109" i="2"/>
  <c r="V31" i="5"/>
  <c r="W96" i="3"/>
  <c r="BO109" i="2"/>
  <c r="Y31" i="5"/>
  <c r="BR47" i="1"/>
  <c r="X31" i="5"/>
  <c r="DH107" i="4"/>
  <c r="AA31" i="5"/>
  <c r="V96" i="3"/>
  <c r="AA96" i="3"/>
  <c r="U96" i="3"/>
  <c r="AB96" i="3"/>
  <c r="DF107" i="4"/>
  <c r="BP42" i="1"/>
  <c r="BL107" i="2"/>
  <c r="BM42" i="1"/>
  <c r="BM107" i="2"/>
  <c r="Z46" i="5"/>
  <c r="BN107" i="2"/>
  <c r="AA95" i="3"/>
  <c r="W46" i="5"/>
  <c r="U95" i="3"/>
  <c r="Z95" i="3"/>
  <c r="BT42" i="1"/>
  <c r="BR42" i="1"/>
  <c r="AB95" i="3"/>
  <c r="W95" i="3"/>
  <c r="BS107" i="2"/>
  <c r="AC95" i="3"/>
  <c r="BO107" i="2"/>
  <c r="BL42" i="1"/>
  <c r="X95" i="3"/>
  <c r="DJ116" i="4"/>
  <c r="T46" i="5"/>
  <c r="DH116" i="4"/>
  <c r="BR107" i="2"/>
  <c r="X46" i="5"/>
  <c r="BT107" i="2"/>
  <c r="DI116" i="4"/>
  <c r="V95" i="3"/>
  <c r="BN42" i="1"/>
  <c r="Y95" i="3"/>
  <c r="AA46" i="5"/>
  <c r="S46" i="5"/>
  <c r="BO42" i="1"/>
  <c r="BQ42" i="1"/>
  <c r="U46" i="5"/>
  <c r="BQ107" i="2"/>
  <c r="Y46" i="5"/>
  <c r="BP107" i="2"/>
  <c r="BS42" i="1"/>
  <c r="DF116" i="4"/>
  <c r="V46" i="5"/>
  <c r="BO105" i="2"/>
  <c r="Z93" i="3"/>
  <c r="AC93" i="3"/>
  <c r="BP40" i="1"/>
  <c r="U38" i="5"/>
  <c r="BS40" i="1"/>
  <c r="W93" i="3"/>
  <c r="DF114" i="4"/>
  <c r="Y38" i="5"/>
  <c r="V38" i="5"/>
  <c r="BT105" i="2"/>
  <c r="X93" i="3"/>
  <c r="BL105" i="2"/>
  <c r="DH114" i="4"/>
  <c r="BR105" i="2"/>
  <c r="BM105" i="2"/>
  <c r="BN105" i="2"/>
  <c r="BQ105" i="2"/>
  <c r="BM40" i="1"/>
  <c r="BS105" i="2"/>
  <c r="BP105" i="2"/>
  <c r="BL40" i="1"/>
  <c r="W38" i="5"/>
  <c r="BO40" i="1"/>
  <c r="BQ40" i="1"/>
  <c r="DI114" i="4"/>
  <c r="Z38" i="5"/>
  <c r="S38" i="5"/>
  <c r="V93" i="3"/>
  <c r="AA93" i="3"/>
  <c r="U93" i="3"/>
  <c r="DJ114" i="4"/>
  <c r="BT40" i="1"/>
  <c r="BR40" i="1"/>
  <c r="AA38" i="5"/>
  <c r="BN40" i="1"/>
  <c r="Y93" i="3"/>
  <c r="X38" i="5"/>
  <c r="T38" i="5"/>
  <c r="AB93" i="3"/>
  <c r="BN104" i="2"/>
  <c r="V35" i="5"/>
  <c r="DH111" i="4"/>
  <c r="S35" i="5"/>
  <c r="V92" i="3"/>
  <c r="BP37" i="1"/>
  <c r="DF111" i="4"/>
  <c r="BM104" i="2"/>
  <c r="BS37" i="1"/>
  <c r="Y35" i="5"/>
  <c r="AC92" i="3"/>
  <c r="DJ111" i="4"/>
  <c r="T35" i="5"/>
  <c r="BL104" i="2"/>
  <c r="BO104" i="2"/>
  <c r="X92" i="3"/>
  <c r="W92" i="3"/>
  <c r="AB92" i="3"/>
  <c r="BQ104" i="2"/>
  <c r="BR104" i="2"/>
  <c r="BO37" i="1"/>
  <c r="BQ37" i="1"/>
  <c r="X35" i="5"/>
  <c r="U92" i="3"/>
  <c r="BT104" i="2"/>
  <c r="AA35" i="5"/>
  <c r="AA92" i="3"/>
  <c r="BP104" i="2"/>
  <c r="BN37" i="1"/>
  <c r="Z92" i="3"/>
  <c r="W35" i="5"/>
  <c r="U35" i="5"/>
  <c r="BS104" i="2"/>
  <c r="DI111" i="4"/>
  <c r="Y92" i="3"/>
  <c r="Z35" i="5"/>
  <c r="BL37" i="1"/>
  <c r="BM37" i="1"/>
  <c r="BT37" i="1"/>
  <c r="BR37" i="1"/>
  <c r="BO102" i="2"/>
  <c r="BN102" i="2"/>
  <c r="DI100" i="4"/>
  <c r="U29" i="5"/>
  <c r="BL32" i="1"/>
  <c r="BS32" i="1"/>
  <c r="BM102" i="2"/>
  <c r="X29" i="5"/>
  <c r="AB90" i="3"/>
  <c r="W90" i="3"/>
  <c r="BQ32" i="1"/>
  <c r="Y90" i="3"/>
  <c r="BR102" i="2"/>
  <c r="Y29" i="5"/>
  <c r="AC90" i="3"/>
  <c r="W29" i="5"/>
  <c r="V90" i="3"/>
  <c r="DF100" i="4"/>
  <c r="DJ100" i="4"/>
  <c r="S29" i="5"/>
  <c r="BP102" i="2"/>
  <c r="Z29" i="5"/>
  <c r="DH100" i="4"/>
  <c r="BT102" i="2"/>
  <c r="BL102" i="2"/>
  <c r="BO32" i="1"/>
  <c r="V29" i="5"/>
  <c r="BN32" i="1"/>
  <c r="BM32" i="1"/>
  <c r="Z90" i="3"/>
  <c r="BT32" i="1"/>
  <c r="BR32" i="1"/>
  <c r="BS102" i="2"/>
  <c r="X90" i="3"/>
  <c r="AA90" i="3"/>
  <c r="AA29" i="5"/>
  <c r="T29" i="5"/>
  <c r="BQ102" i="2"/>
  <c r="U90" i="3"/>
  <c r="BP32" i="1"/>
  <c r="U85" i="3"/>
  <c r="Z32" i="5"/>
  <c r="BQ97" i="2"/>
  <c r="BN34" i="1"/>
  <c r="S32" i="5"/>
  <c r="BS97" i="2"/>
  <c r="BT34" i="1"/>
  <c r="BT97" i="2"/>
  <c r="Z85" i="3"/>
  <c r="U32" i="5"/>
  <c r="W32" i="5"/>
  <c r="V85" i="3"/>
  <c r="BP34" i="1"/>
  <c r="DI108" i="4"/>
  <c r="BR97" i="2"/>
  <c r="T32" i="5"/>
  <c r="X85" i="3"/>
  <c r="BR34" i="1"/>
  <c r="BQ34" i="1"/>
  <c r="DF108" i="4"/>
  <c r="AA32" i="5"/>
  <c r="DJ108" i="4"/>
  <c r="AA85" i="3"/>
  <c r="DH108" i="4"/>
  <c r="BO34" i="1"/>
  <c r="BL97" i="2"/>
  <c r="BM97" i="2"/>
  <c r="AB85" i="3"/>
  <c r="Y85" i="3"/>
  <c r="BN97" i="2"/>
  <c r="AC85" i="3"/>
  <c r="X32" i="5"/>
  <c r="Y32" i="5"/>
  <c r="BO97" i="2"/>
  <c r="BL34" i="1"/>
  <c r="BM34" i="1"/>
  <c r="BS34" i="1"/>
  <c r="V32" i="5"/>
  <c r="BP97" i="2"/>
  <c r="W85" i="3"/>
  <c r="X27" i="5"/>
  <c r="BO96" i="2"/>
  <c r="AC84" i="3"/>
  <c r="BN30" i="1"/>
  <c r="DH101" i="4"/>
  <c r="DJ101" i="4"/>
  <c r="BN96" i="2"/>
  <c r="Z84" i="3"/>
  <c r="Y27" i="5"/>
  <c r="BO30" i="1"/>
  <c r="T27" i="5"/>
  <c r="BP30" i="1"/>
  <c r="BS96" i="2"/>
  <c r="DI101" i="4"/>
  <c r="AB84" i="3"/>
  <c r="BS30" i="1"/>
  <c r="AA84" i="3"/>
  <c r="AA27" i="5"/>
  <c r="U84" i="3"/>
  <c r="Y84" i="3"/>
  <c r="Z27" i="5"/>
  <c r="U27" i="5"/>
  <c r="BL96" i="2"/>
  <c r="BM96" i="2"/>
  <c r="S27" i="5"/>
  <c r="BR96" i="2"/>
  <c r="V84" i="3"/>
  <c r="BT96" i="2"/>
  <c r="DF101" i="4"/>
  <c r="W27" i="5"/>
  <c r="BT30" i="1"/>
  <c r="BQ96" i="2"/>
  <c r="BQ30" i="1"/>
  <c r="BP96" i="2"/>
  <c r="X84" i="3"/>
  <c r="BL30" i="1"/>
  <c r="BR30" i="1"/>
  <c r="W84" i="3"/>
  <c r="V27" i="5"/>
  <c r="BM30" i="1"/>
  <c r="X23" i="5"/>
  <c r="DI102" i="4"/>
  <c r="V80" i="3"/>
  <c r="W80" i="3"/>
  <c r="Y80" i="3"/>
  <c r="BO26" i="1"/>
  <c r="BQ26" i="1"/>
  <c r="BQ92" i="2"/>
  <c r="BP92" i="2"/>
  <c r="X80" i="3"/>
  <c r="BL26" i="1"/>
  <c r="BP26" i="1"/>
  <c r="BS26" i="1"/>
  <c r="BR92" i="2"/>
  <c r="DJ102" i="4"/>
  <c r="S23" i="5"/>
  <c r="T23" i="5"/>
  <c r="U23" i="5"/>
  <c r="W23" i="5"/>
  <c r="V23" i="5"/>
  <c r="Y23" i="5"/>
  <c r="AA23" i="5"/>
  <c r="Z23" i="5"/>
  <c r="BT26" i="1"/>
  <c r="BT92" i="2"/>
  <c r="BS92" i="2"/>
  <c r="DF102" i="4"/>
  <c r="AA80" i="3"/>
  <c r="BR26" i="1"/>
  <c r="DH102" i="4"/>
  <c r="Z80" i="3"/>
  <c r="AC80" i="3"/>
  <c r="AB80" i="3"/>
  <c r="BM26" i="1"/>
  <c r="BN26" i="1"/>
  <c r="BO92" i="2"/>
  <c r="BN92" i="2"/>
  <c r="BM92" i="2"/>
  <c r="BL92" i="2"/>
  <c r="U80" i="3"/>
  <c r="Y22" i="5"/>
  <c r="BT91" i="2"/>
  <c r="Z79" i="3"/>
  <c r="BQ25" i="1"/>
  <c r="BQ91" i="2"/>
  <c r="BO25" i="1"/>
  <c r="Z22" i="5"/>
  <c r="Y79" i="3"/>
  <c r="BT25" i="1"/>
  <c r="BR91" i="2"/>
  <c r="DH98" i="4"/>
  <c r="DJ98" i="4"/>
  <c r="BL25" i="1"/>
  <c r="V79" i="3"/>
  <c r="BN91" i="2"/>
  <c r="BM91" i="2"/>
  <c r="BS25" i="1"/>
  <c r="BR25" i="1"/>
  <c r="DI98" i="4"/>
  <c r="T22" i="5"/>
  <c r="DF98" i="4"/>
  <c r="X79" i="3"/>
  <c r="W22" i="5"/>
  <c r="W79" i="3"/>
  <c r="U79" i="3"/>
  <c r="BP25" i="1"/>
  <c r="X22" i="5"/>
  <c r="BS91" i="2"/>
  <c r="AA22" i="5"/>
  <c r="AC79" i="3"/>
  <c r="AA79" i="3"/>
  <c r="AB79" i="3"/>
  <c r="V22" i="5"/>
  <c r="S22" i="5"/>
  <c r="U22" i="5"/>
  <c r="BO91" i="2"/>
  <c r="BN25" i="1"/>
  <c r="BM25" i="1"/>
  <c r="BP91" i="2"/>
  <c r="BL91" i="2"/>
  <c r="AB32" i="9"/>
  <c r="AB81" i="9"/>
  <c r="AB50" i="9"/>
  <c r="AB30" i="9"/>
  <c r="S108" i="9"/>
  <c r="T108" i="9"/>
  <c r="X108" i="9"/>
  <c r="AA108" i="9"/>
  <c r="Z108" i="9"/>
  <c r="Y108" i="9"/>
  <c r="W108" i="9"/>
  <c r="V108" i="9"/>
  <c r="U108" i="9"/>
  <c r="T39" i="9"/>
  <c r="X39" i="9"/>
  <c r="W39" i="9"/>
  <c r="Z39" i="9"/>
  <c r="Y39" i="9"/>
  <c r="S39" i="9"/>
  <c r="AA39" i="9"/>
  <c r="U39" i="9"/>
  <c r="V39" i="9"/>
  <c r="S38" i="9"/>
  <c r="U38" i="9"/>
  <c r="V38" i="9"/>
  <c r="W38" i="9"/>
  <c r="X38" i="9"/>
  <c r="AA38" i="9"/>
  <c r="Z38" i="9"/>
  <c r="Y38" i="9"/>
  <c r="T38" i="9"/>
  <c r="T44" i="9"/>
  <c r="X44" i="9"/>
  <c r="W44" i="9"/>
  <c r="AA44" i="9"/>
  <c r="U44" i="9"/>
  <c r="V44" i="9"/>
  <c r="S44" i="9"/>
  <c r="Y44" i="9"/>
  <c r="Z44" i="9"/>
  <c r="W99" i="9"/>
  <c r="T99" i="9"/>
  <c r="X99" i="9"/>
  <c r="U99" i="9"/>
  <c r="V99" i="9"/>
  <c r="AA99" i="9"/>
  <c r="Z99" i="9"/>
  <c r="S99" i="9"/>
  <c r="Y99" i="9"/>
  <c r="X70" i="9"/>
  <c r="W70" i="9"/>
  <c r="AA70" i="9"/>
  <c r="T70" i="9"/>
  <c r="V70" i="9"/>
  <c r="U70" i="9"/>
  <c r="S70" i="9"/>
  <c r="Z70" i="9"/>
  <c r="Y70" i="9"/>
  <c r="AA15" i="9"/>
  <c r="T15" i="9"/>
  <c r="U15" i="9"/>
  <c r="S15" i="9"/>
  <c r="V15" i="9"/>
  <c r="X15" i="9"/>
  <c r="Y15" i="9"/>
  <c r="W15" i="9"/>
  <c r="Z15" i="9"/>
  <c r="S47" i="9"/>
  <c r="V47" i="9"/>
  <c r="Z47" i="9"/>
  <c r="AA47" i="9"/>
  <c r="W47" i="9"/>
  <c r="U47" i="9"/>
  <c r="X47" i="9"/>
  <c r="Y47" i="9"/>
  <c r="T47" i="9"/>
  <c r="W46" i="9"/>
  <c r="Y46" i="9"/>
  <c r="Z46" i="9"/>
  <c r="AA46" i="9"/>
  <c r="U46" i="9"/>
  <c r="V46" i="9"/>
  <c r="X46" i="9"/>
  <c r="T46" i="9"/>
  <c r="S46" i="9"/>
  <c r="X8" i="9"/>
  <c r="W8" i="9"/>
  <c r="Y8" i="9"/>
  <c r="T8" i="9"/>
  <c r="S8" i="9"/>
  <c r="AA8" i="9"/>
  <c r="V8" i="9"/>
  <c r="Z8" i="9"/>
  <c r="U8" i="9"/>
  <c r="W106" i="9"/>
  <c r="T106" i="9"/>
  <c r="S106" i="9"/>
  <c r="U106" i="9"/>
  <c r="Z106" i="9"/>
  <c r="Y106" i="9"/>
  <c r="V106" i="9"/>
  <c r="X106" i="9"/>
  <c r="AA106" i="9"/>
  <c r="V87" i="9"/>
  <c r="W87" i="9"/>
  <c r="U87" i="9"/>
  <c r="S87" i="9"/>
  <c r="T87" i="9"/>
  <c r="X87" i="9"/>
  <c r="AA87" i="9"/>
  <c r="Z87" i="9"/>
  <c r="Y87" i="9"/>
  <c r="X104" i="9"/>
  <c r="S104" i="9"/>
  <c r="AA104" i="9"/>
  <c r="Z104" i="9"/>
  <c r="Y104" i="9"/>
  <c r="T104" i="9"/>
  <c r="W104" i="9"/>
  <c r="U104" i="9"/>
  <c r="V104" i="9"/>
  <c r="T92" i="9"/>
  <c r="U92" i="9"/>
  <c r="X92" i="9"/>
  <c r="V92" i="9"/>
  <c r="W92" i="9"/>
  <c r="AA92" i="9"/>
  <c r="Y92" i="9"/>
  <c r="S92" i="9"/>
  <c r="Z92" i="9"/>
  <c r="AA107" i="9"/>
  <c r="Z107" i="9"/>
  <c r="Y107" i="9"/>
  <c r="T107" i="9"/>
  <c r="S107" i="9"/>
  <c r="U107" i="9"/>
  <c r="V107" i="9"/>
  <c r="X107" i="9"/>
  <c r="W107" i="9"/>
  <c r="W78" i="9"/>
  <c r="T78" i="9"/>
  <c r="V78" i="9"/>
  <c r="S78" i="9"/>
  <c r="Z78" i="9"/>
  <c r="U78" i="9"/>
  <c r="AA78" i="9"/>
  <c r="Y78" i="9"/>
  <c r="X78" i="9"/>
  <c r="U69" i="9"/>
  <c r="S69" i="9"/>
  <c r="T69" i="9"/>
  <c r="V69" i="9"/>
  <c r="Z69" i="9"/>
  <c r="X69" i="9"/>
  <c r="Y69" i="9"/>
  <c r="AA69" i="9"/>
  <c r="W69" i="9"/>
  <c r="Y68" i="9"/>
  <c r="X68" i="9"/>
  <c r="V68" i="9"/>
  <c r="U68" i="9"/>
  <c r="AA68" i="9"/>
  <c r="S68" i="9"/>
  <c r="T68" i="9"/>
  <c r="W68" i="9"/>
  <c r="Z68" i="9"/>
  <c r="Z67" i="9"/>
  <c r="AA67" i="9"/>
  <c r="S67" i="9"/>
  <c r="V67" i="9"/>
  <c r="X67" i="9"/>
  <c r="Y67" i="9"/>
  <c r="U67" i="9"/>
  <c r="W67" i="9"/>
  <c r="T67" i="9"/>
  <c r="U66" i="9"/>
  <c r="V66" i="9"/>
  <c r="T66" i="9"/>
  <c r="AA66" i="9"/>
  <c r="Z66" i="9"/>
  <c r="Y66" i="9"/>
  <c r="W66" i="9"/>
  <c r="X66" i="9"/>
  <c r="S66" i="9"/>
  <c r="V65" i="9"/>
  <c r="S65" i="9"/>
  <c r="T65" i="9"/>
  <c r="U65" i="9"/>
  <c r="AA65" i="9"/>
  <c r="Z65" i="9"/>
  <c r="Y65" i="9"/>
  <c r="X65" i="9"/>
  <c r="W65" i="9"/>
  <c r="X64" i="9"/>
  <c r="W64" i="9"/>
  <c r="U64" i="9"/>
  <c r="AA64" i="9"/>
  <c r="Y64" i="9"/>
  <c r="Z64" i="9"/>
  <c r="T64" i="9"/>
  <c r="V64" i="9"/>
  <c r="S64" i="9"/>
  <c r="W20" i="9"/>
  <c r="T20" i="9"/>
  <c r="Y20" i="9"/>
  <c r="Z20" i="9"/>
  <c r="S20" i="9"/>
  <c r="AA20" i="9"/>
  <c r="U20" i="9"/>
  <c r="X20" i="9"/>
  <c r="V20" i="9"/>
  <c r="Z19" i="9"/>
  <c r="Y19" i="9"/>
  <c r="U19" i="9"/>
  <c r="X19" i="9"/>
  <c r="W19" i="9"/>
  <c r="V19" i="9"/>
  <c r="T19" i="9"/>
  <c r="AA19" i="9"/>
  <c r="S19" i="9"/>
  <c r="AA18" i="9"/>
  <c r="Z18" i="9"/>
  <c r="Y18" i="9"/>
  <c r="V18" i="9"/>
  <c r="U18" i="9"/>
  <c r="T18" i="9"/>
  <c r="X18" i="9"/>
  <c r="W18" i="9"/>
  <c r="S18" i="9"/>
  <c r="Z17" i="9"/>
  <c r="Y17" i="9"/>
  <c r="X17" i="9"/>
  <c r="V17" i="9"/>
  <c r="U17" i="9"/>
  <c r="S17" i="9"/>
  <c r="W17" i="9"/>
  <c r="AA17" i="9"/>
  <c r="T17" i="9"/>
  <c r="W83" i="9"/>
  <c r="S83" i="9"/>
  <c r="X83" i="9"/>
  <c r="V83" i="9"/>
  <c r="U83" i="9"/>
  <c r="T83" i="9"/>
  <c r="Y83" i="9"/>
  <c r="Z83" i="9"/>
  <c r="AA83" i="9"/>
  <c r="U82" i="9"/>
  <c r="V82" i="9"/>
  <c r="AA82" i="9"/>
  <c r="Z82" i="9"/>
  <c r="Y82" i="9"/>
  <c r="X82" i="9"/>
  <c r="T82" i="9"/>
  <c r="W82" i="9"/>
  <c r="S82" i="9"/>
  <c r="W13" i="9"/>
  <c r="V13" i="9"/>
  <c r="T13" i="9"/>
  <c r="AA13" i="9"/>
  <c r="U13" i="9"/>
  <c r="S13" i="9"/>
  <c r="X13" i="9"/>
  <c r="Z13" i="9"/>
  <c r="Y13" i="9"/>
  <c r="AA16" i="9"/>
  <c r="Z16" i="9"/>
  <c r="Y16" i="9"/>
  <c r="X16" i="9"/>
  <c r="W16" i="9"/>
  <c r="U16" i="9"/>
  <c r="T16" i="9"/>
  <c r="V16" i="9"/>
  <c r="S16" i="9"/>
  <c r="AA14" i="9"/>
  <c r="T14" i="9"/>
  <c r="U14" i="9"/>
  <c r="S14" i="9"/>
  <c r="X14" i="9"/>
  <c r="W14" i="9"/>
  <c r="V14" i="9"/>
  <c r="Y14" i="9"/>
  <c r="Z14" i="9"/>
  <c r="V12" i="9"/>
  <c r="U12" i="9"/>
  <c r="S12" i="9"/>
  <c r="Z12" i="9"/>
  <c r="AA12" i="9"/>
  <c r="X12" i="9"/>
  <c r="T12" i="9"/>
  <c r="W12" i="9"/>
  <c r="Y12" i="9"/>
  <c r="W63" i="9"/>
  <c r="T63" i="9"/>
  <c r="X63" i="9"/>
  <c r="Y63" i="9"/>
  <c r="AA63" i="9"/>
  <c r="S63" i="9"/>
  <c r="Z63" i="9"/>
  <c r="V63" i="9"/>
  <c r="U63" i="9"/>
  <c r="T62" i="9"/>
  <c r="U62" i="9"/>
  <c r="S62" i="9"/>
  <c r="V62" i="9"/>
  <c r="X62" i="9"/>
  <c r="W62" i="9"/>
  <c r="AA62" i="9"/>
  <c r="Z62" i="9"/>
  <c r="Y62" i="9"/>
  <c r="AA49" i="9"/>
  <c r="Z49" i="9"/>
  <c r="Y49" i="9"/>
  <c r="U49" i="9"/>
  <c r="X49" i="9"/>
  <c r="W49" i="9"/>
  <c r="T49" i="9"/>
  <c r="S49" i="9"/>
  <c r="V49" i="9"/>
  <c r="Y48" i="9"/>
  <c r="T48" i="9"/>
  <c r="V48" i="9"/>
  <c r="U48" i="9"/>
  <c r="Z48" i="9"/>
  <c r="S48" i="9"/>
  <c r="X48" i="9"/>
  <c r="AA48" i="9"/>
  <c r="W48" i="9"/>
  <c r="U58" i="9"/>
  <c r="AA58" i="9"/>
  <c r="W58" i="9"/>
  <c r="V58" i="9"/>
  <c r="X58" i="9"/>
  <c r="T58" i="9"/>
  <c r="S58" i="9"/>
  <c r="Y58" i="9"/>
  <c r="Z58" i="9"/>
  <c r="AA57" i="9"/>
  <c r="V57" i="9"/>
  <c r="U57" i="9"/>
  <c r="T57" i="9"/>
  <c r="Z57" i="9"/>
  <c r="Y57" i="9"/>
  <c r="X57" i="9"/>
  <c r="W57" i="9"/>
  <c r="S57" i="9"/>
  <c r="S56" i="9"/>
  <c r="Z56" i="9"/>
  <c r="U56" i="9"/>
  <c r="Y56" i="9"/>
  <c r="W56" i="9"/>
  <c r="X56" i="9"/>
  <c r="V56" i="9"/>
  <c r="AA56" i="9"/>
  <c r="T56" i="9"/>
  <c r="Y55" i="9"/>
  <c r="AA55" i="9"/>
  <c r="U55" i="9"/>
  <c r="V55" i="9"/>
  <c r="X55" i="9"/>
  <c r="T55" i="9"/>
  <c r="S55" i="9"/>
  <c r="Z55" i="9"/>
  <c r="W55" i="9"/>
  <c r="X72" i="9"/>
  <c r="W72" i="9"/>
  <c r="S72" i="9"/>
  <c r="U72" i="9"/>
  <c r="T72" i="9"/>
  <c r="V72" i="9"/>
  <c r="Y72" i="9"/>
  <c r="Z72" i="9"/>
  <c r="AA72" i="9"/>
  <c r="Y73" i="9"/>
  <c r="U73" i="9"/>
  <c r="T73" i="9"/>
  <c r="Z73" i="9"/>
  <c r="V73" i="9"/>
  <c r="X73" i="9"/>
  <c r="S73" i="9"/>
  <c r="AA73" i="9"/>
  <c r="W73" i="9"/>
  <c r="Y54" i="9"/>
  <c r="Z54" i="9"/>
  <c r="AA54" i="9"/>
  <c r="U54" i="9"/>
  <c r="V54" i="9"/>
  <c r="S54" i="9"/>
  <c r="W54" i="9"/>
  <c r="X54" i="9"/>
  <c r="T54" i="9"/>
  <c r="W53" i="9"/>
  <c r="X53" i="9"/>
  <c r="V53" i="9"/>
  <c r="AA53" i="9"/>
  <c r="Y53" i="9"/>
  <c r="Z53" i="9"/>
  <c r="U53" i="9"/>
  <c r="T53" i="9"/>
  <c r="S53" i="9"/>
  <c r="Y52" i="9"/>
  <c r="U52" i="9"/>
  <c r="W52" i="9"/>
  <c r="X52" i="9"/>
  <c r="Z52" i="9"/>
  <c r="V52" i="9"/>
  <c r="T52" i="9"/>
  <c r="AA52" i="9"/>
  <c r="S52" i="9"/>
  <c r="AA51" i="9"/>
  <c r="V51" i="9"/>
  <c r="U51" i="9"/>
  <c r="T51" i="9"/>
  <c r="Y51" i="9"/>
  <c r="X51" i="9"/>
  <c r="W51" i="9"/>
  <c r="S51" i="9"/>
  <c r="Z51" i="9"/>
  <c r="T28" i="9"/>
  <c r="S28" i="9"/>
  <c r="W28" i="9"/>
  <c r="Y28" i="9"/>
  <c r="U28" i="9"/>
  <c r="V28" i="9"/>
  <c r="X28" i="9"/>
  <c r="AA28" i="9"/>
  <c r="Z28" i="9"/>
  <c r="X29" i="9"/>
  <c r="Y29" i="9"/>
  <c r="T29" i="9"/>
  <c r="W29" i="9"/>
  <c r="V29" i="9"/>
  <c r="U29" i="9"/>
  <c r="S29" i="9"/>
  <c r="AA29" i="9"/>
  <c r="Z29" i="9"/>
  <c r="Y25" i="9"/>
  <c r="T25" i="9"/>
  <c r="X25" i="9"/>
  <c r="U25" i="9"/>
  <c r="V25" i="9"/>
  <c r="S25" i="9"/>
  <c r="W25" i="9"/>
  <c r="AA25" i="9"/>
  <c r="Z25" i="9"/>
  <c r="U24" i="9"/>
  <c r="W24" i="9"/>
  <c r="AA24" i="9"/>
  <c r="Z24" i="9"/>
  <c r="Y24" i="9"/>
  <c r="T24" i="9"/>
  <c r="V24" i="9"/>
  <c r="S24" i="9"/>
  <c r="X24" i="9"/>
  <c r="AA45" i="9"/>
  <c r="Z45" i="9"/>
  <c r="Y45" i="9"/>
  <c r="U45" i="9"/>
  <c r="V45" i="9"/>
  <c r="T45" i="9"/>
  <c r="S45" i="9"/>
  <c r="X45" i="9"/>
  <c r="W45" i="9"/>
  <c r="AA43" i="9"/>
  <c r="Z43" i="9"/>
  <c r="T43" i="9"/>
  <c r="W43" i="9"/>
  <c r="U43" i="9"/>
  <c r="S43" i="9"/>
  <c r="V43" i="9"/>
  <c r="X43" i="9"/>
  <c r="Y43" i="9"/>
  <c r="U42" i="9"/>
  <c r="AA42" i="9"/>
  <c r="T42" i="9"/>
  <c r="Z42" i="9"/>
  <c r="Y42" i="9"/>
  <c r="V42" i="9"/>
  <c r="X42" i="9"/>
  <c r="W42" i="9"/>
  <c r="S42" i="9"/>
  <c r="Z41" i="9"/>
  <c r="AA41" i="9"/>
  <c r="Y41" i="9"/>
  <c r="T41" i="9"/>
  <c r="X41" i="9"/>
  <c r="W41" i="9"/>
  <c r="V41" i="9"/>
  <c r="U41" i="9"/>
  <c r="S41" i="9"/>
  <c r="S40" i="9"/>
  <c r="Y40" i="9"/>
  <c r="W40" i="9"/>
  <c r="T40" i="9"/>
  <c r="AA40" i="9"/>
  <c r="Z40" i="9"/>
  <c r="X40" i="9"/>
  <c r="V40" i="9"/>
  <c r="U40" i="9"/>
  <c r="Y7" i="9"/>
  <c r="AA7" i="9"/>
  <c r="T7" i="9"/>
  <c r="V7" i="9"/>
  <c r="Z7" i="9"/>
  <c r="U7" i="9"/>
  <c r="S7" i="9"/>
  <c r="X7" i="9"/>
  <c r="W7" i="9"/>
  <c r="U6" i="9"/>
  <c r="V6" i="9"/>
  <c r="S6" i="9"/>
  <c r="T6" i="9"/>
  <c r="AA6" i="9"/>
  <c r="Z6" i="9"/>
  <c r="Y6" i="9"/>
  <c r="W6" i="9"/>
  <c r="X6" i="9"/>
  <c r="S5" i="9"/>
  <c r="X5" i="9"/>
  <c r="W5" i="9"/>
  <c r="T5" i="9"/>
  <c r="V5" i="9"/>
  <c r="U5" i="9"/>
  <c r="Y5" i="9"/>
  <c r="Z5" i="9"/>
  <c r="AA5" i="9"/>
  <c r="S4" i="9"/>
  <c r="Y4" i="9"/>
  <c r="AA4" i="9"/>
  <c r="V4" i="9"/>
  <c r="X4" i="9"/>
  <c r="Z4" i="9"/>
  <c r="U4" i="9"/>
  <c r="W4" i="9"/>
  <c r="S77" i="9"/>
  <c r="W77" i="9"/>
  <c r="T77" i="9"/>
  <c r="V77" i="9"/>
  <c r="U77" i="9"/>
  <c r="Y77" i="9"/>
  <c r="Z77" i="9"/>
  <c r="AA77" i="9"/>
  <c r="X77" i="9"/>
  <c r="V76" i="9"/>
  <c r="U76" i="9"/>
  <c r="W76" i="9"/>
  <c r="T76" i="9"/>
  <c r="X76" i="9"/>
  <c r="AA76" i="9"/>
  <c r="Z76" i="9"/>
  <c r="Y76" i="9"/>
  <c r="S76" i="9"/>
  <c r="V75" i="9"/>
  <c r="W75" i="9"/>
  <c r="AA75" i="9"/>
  <c r="Z75" i="9"/>
  <c r="T75" i="9"/>
  <c r="S75" i="9"/>
  <c r="X75" i="9"/>
  <c r="Y75" i="9"/>
  <c r="U75" i="9"/>
  <c r="V110" i="9"/>
  <c r="Y110" i="9"/>
  <c r="U110" i="9"/>
  <c r="Z110" i="9"/>
  <c r="W110" i="9"/>
  <c r="AA110" i="9"/>
  <c r="S110" i="9"/>
  <c r="T110" i="9"/>
  <c r="X110" i="9"/>
  <c r="X91" i="9"/>
  <c r="W91" i="9"/>
  <c r="S91" i="9"/>
  <c r="Y91" i="9"/>
  <c r="AA91" i="9"/>
  <c r="Z91" i="9"/>
  <c r="T91" i="9"/>
  <c r="V91" i="9"/>
  <c r="U91" i="9"/>
  <c r="S90" i="9"/>
  <c r="AA90" i="9"/>
  <c r="V90" i="9"/>
  <c r="U90" i="9"/>
  <c r="Z90" i="9"/>
  <c r="Y90" i="9"/>
  <c r="X90" i="9"/>
  <c r="T90" i="9"/>
  <c r="W90" i="9"/>
  <c r="Z103" i="9"/>
  <c r="AA103" i="9"/>
  <c r="V103" i="9"/>
  <c r="T103" i="9"/>
  <c r="U103" i="9"/>
  <c r="W103" i="9"/>
  <c r="X103" i="9"/>
  <c r="S103" i="9"/>
  <c r="Y103" i="9"/>
  <c r="W89" i="9"/>
  <c r="AA89" i="9"/>
  <c r="S89" i="9"/>
  <c r="Z89" i="9"/>
  <c r="Y89" i="9"/>
  <c r="T89" i="9"/>
  <c r="X89" i="9"/>
  <c r="U89" i="9"/>
  <c r="V89" i="9"/>
  <c r="AA88" i="9"/>
  <c r="Y88" i="9"/>
  <c r="Z88" i="9"/>
  <c r="W88" i="9"/>
  <c r="T88" i="9"/>
  <c r="S88" i="9"/>
  <c r="X88" i="9"/>
  <c r="U88" i="9"/>
  <c r="V88" i="9"/>
  <c r="S86" i="9"/>
  <c r="Y86" i="9"/>
  <c r="Z86" i="9"/>
  <c r="W86" i="9"/>
  <c r="T86" i="9"/>
  <c r="AA86" i="9"/>
  <c r="X86" i="9"/>
  <c r="V86" i="9"/>
  <c r="U86" i="9"/>
  <c r="AA85" i="9"/>
  <c r="X85" i="9"/>
  <c r="S85" i="9"/>
  <c r="W85" i="9"/>
  <c r="T85" i="9"/>
  <c r="U85" i="9"/>
  <c r="Y85" i="9"/>
  <c r="V85" i="9"/>
  <c r="Z85" i="9"/>
  <c r="S84" i="9"/>
  <c r="W84" i="9"/>
  <c r="V84" i="9"/>
  <c r="Y84" i="9"/>
  <c r="Z84" i="9"/>
  <c r="U84" i="9"/>
  <c r="AA84" i="9"/>
  <c r="T84" i="9"/>
  <c r="X84" i="9"/>
  <c r="AA80" i="9"/>
  <c r="S80" i="9"/>
  <c r="W80" i="9"/>
  <c r="U80" i="9"/>
  <c r="V80" i="9"/>
  <c r="X80" i="9"/>
  <c r="Y80" i="9"/>
  <c r="T80" i="9"/>
  <c r="Z80" i="9"/>
  <c r="W79" i="9"/>
  <c r="Z79" i="9"/>
  <c r="AA79" i="9"/>
  <c r="T79" i="9"/>
  <c r="X79" i="9"/>
  <c r="S79" i="9"/>
  <c r="V79" i="9"/>
  <c r="U79" i="9"/>
  <c r="Y79" i="9"/>
  <c r="CZ93" i="4"/>
  <c r="DA93" i="4"/>
  <c r="DB93" i="4"/>
  <c r="DC93" i="4"/>
  <c r="DD93" i="4"/>
  <c r="DD120" i="4"/>
  <c r="DC120" i="4"/>
  <c r="DB120" i="4"/>
  <c r="DA120" i="4"/>
  <c r="CZ120" i="4"/>
  <c r="DD89" i="4"/>
  <c r="CZ89" i="4"/>
  <c r="DA89" i="4"/>
  <c r="DB89" i="4"/>
  <c r="DC89" i="4"/>
  <c r="DA39" i="4"/>
  <c r="CZ39" i="4"/>
  <c r="DB39" i="4"/>
  <c r="DC39" i="4"/>
  <c r="DD39" i="4"/>
  <c r="DB38" i="4"/>
  <c r="CZ38" i="4"/>
  <c r="DA38" i="4"/>
  <c r="DC38" i="4"/>
  <c r="DD38" i="4"/>
  <c r="DB44" i="4"/>
  <c r="CZ44" i="4"/>
  <c r="DC44" i="4"/>
  <c r="DA44" i="4"/>
  <c r="DD44" i="4"/>
  <c r="CZ124" i="4"/>
  <c r="DA124" i="4"/>
  <c r="DB124" i="4"/>
  <c r="DD124" i="4"/>
  <c r="DC124" i="4"/>
  <c r="DD90" i="4"/>
  <c r="DC90" i="4"/>
  <c r="DB90" i="4"/>
  <c r="DA90" i="4"/>
  <c r="CZ90" i="4"/>
  <c r="DB88" i="4"/>
  <c r="DC88" i="4"/>
  <c r="DA88" i="4"/>
  <c r="DD88" i="4"/>
  <c r="CZ88" i="4"/>
  <c r="DD87" i="4"/>
  <c r="DC87" i="4"/>
  <c r="CZ87" i="4"/>
  <c r="DB87" i="4"/>
  <c r="DA87" i="4"/>
  <c r="DB83" i="4"/>
  <c r="DC83" i="4"/>
  <c r="DD83" i="4"/>
  <c r="CZ83" i="4"/>
  <c r="DA83" i="4"/>
  <c r="DD71" i="4"/>
  <c r="CZ71" i="4"/>
  <c r="DA71" i="4"/>
  <c r="DB71" i="4"/>
  <c r="DC71" i="4"/>
  <c r="DB15" i="4"/>
  <c r="CZ15" i="4"/>
  <c r="DC15" i="4"/>
  <c r="DA15" i="4"/>
  <c r="DD15" i="4"/>
  <c r="DA47" i="4"/>
  <c r="DD47" i="4"/>
  <c r="DB47" i="4"/>
  <c r="CZ47" i="4"/>
  <c r="DC47" i="4"/>
  <c r="DD46" i="4"/>
  <c r="DC46" i="4"/>
  <c r="DA46" i="4"/>
  <c r="CZ46" i="4"/>
  <c r="DB46" i="4"/>
  <c r="DB8" i="4"/>
  <c r="DC8" i="4"/>
  <c r="DD8" i="4"/>
  <c r="DA8" i="4"/>
  <c r="CZ8" i="4"/>
  <c r="DA86" i="4"/>
  <c r="DD86" i="4"/>
  <c r="DC86" i="4"/>
  <c r="DB86" i="4"/>
  <c r="CZ86" i="4"/>
  <c r="DC85" i="4"/>
  <c r="CZ85" i="4"/>
  <c r="DA85" i="4"/>
  <c r="DB85" i="4"/>
  <c r="DD85" i="4"/>
  <c r="DB84" i="4"/>
  <c r="CZ84" i="4"/>
  <c r="DA84" i="4"/>
  <c r="DD84" i="4"/>
  <c r="DC84" i="4"/>
  <c r="DC79" i="4"/>
  <c r="DD79" i="4"/>
  <c r="CZ79" i="4"/>
  <c r="DA79" i="4"/>
  <c r="DB79" i="4"/>
  <c r="CZ82" i="4"/>
  <c r="DD82" i="4"/>
  <c r="DC82" i="4"/>
  <c r="DB82" i="4"/>
  <c r="DA82" i="4"/>
  <c r="DB80" i="4"/>
  <c r="DA80" i="4"/>
  <c r="CZ80" i="4"/>
  <c r="DC80" i="4"/>
  <c r="DD80" i="4"/>
  <c r="CZ118" i="4"/>
  <c r="DA118" i="4"/>
  <c r="DB118" i="4"/>
  <c r="DC118" i="4"/>
  <c r="DD118" i="4"/>
  <c r="DA99" i="4"/>
  <c r="CZ99" i="4"/>
  <c r="DB99" i="4"/>
  <c r="DC99" i="4"/>
  <c r="DD99" i="4"/>
  <c r="DB121" i="4"/>
  <c r="DD121" i="4"/>
  <c r="DC121" i="4"/>
  <c r="DA121" i="4"/>
  <c r="CZ121" i="4"/>
  <c r="DD110" i="4"/>
  <c r="CZ110" i="4"/>
  <c r="DB110" i="4"/>
  <c r="DA110" i="4"/>
  <c r="DC110" i="4"/>
  <c r="CZ109" i="4"/>
  <c r="DB109" i="4"/>
  <c r="DA109" i="4"/>
  <c r="DD109" i="4"/>
  <c r="DC109" i="4"/>
  <c r="DB119" i="4"/>
  <c r="CZ119" i="4"/>
  <c r="DA119" i="4"/>
  <c r="DD119" i="4"/>
  <c r="DC119" i="4"/>
  <c r="CZ97" i="4"/>
  <c r="DA97" i="4"/>
  <c r="DB97" i="4"/>
  <c r="DD97" i="4"/>
  <c r="DC97" i="4"/>
  <c r="CZ70" i="4"/>
  <c r="DB70" i="4"/>
  <c r="DC70" i="4"/>
  <c r="DD70" i="4"/>
  <c r="DA70" i="4"/>
  <c r="DD69" i="4"/>
  <c r="CZ69" i="4"/>
  <c r="DA69" i="4"/>
  <c r="DB69" i="4"/>
  <c r="DC69" i="4"/>
  <c r="DA68" i="4"/>
  <c r="DD68" i="4"/>
  <c r="DC68" i="4"/>
  <c r="DB68" i="4"/>
  <c r="CZ68" i="4"/>
  <c r="CZ67" i="4"/>
  <c r="DD67" i="4"/>
  <c r="DC67" i="4"/>
  <c r="DB67" i="4"/>
  <c r="DA67" i="4"/>
  <c r="DD66" i="4"/>
  <c r="DA66" i="4"/>
  <c r="DB66" i="4"/>
  <c r="CZ66" i="4"/>
  <c r="DC66" i="4"/>
  <c r="DB65" i="4"/>
  <c r="CZ65" i="4"/>
  <c r="DD65" i="4"/>
  <c r="DA65" i="4"/>
  <c r="DC65" i="4"/>
  <c r="DA20" i="4"/>
  <c r="DB20" i="4"/>
  <c r="DC20" i="4"/>
  <c r="DD20" i="4"/>
  <c r="CZ20" i="4"/>
  <c r="CZ19" i="4"/>
  <c r="DC19" i="4"/>
  <c r="DA19" i="4"/>
  <c r="DD19" i="4"/>
  <c r="DB19" i="4"/>
  <c r="DA18" i="4"/>
  <c r="DD18" i="4"/>
  <c r="CZ18" i="4"/>
  <c r="DC18" i="4"/>
  <c r="DB18" i="4"/>
  <c r="DC17" i="4"/>
  <c r="CZ17" i="4"/>
  <c r="DB17" i="4"/>
  <c r="DA17" i="4"/>
  <c r="DD17" i="4"/>
  <c r="DA105" i="4"/>
  <c r="CZ105" i="4"/>
  <c r="DD105" i="4"/>
  <c r="DB105" i="4"/>
  <c r="DC105" i="4"/>
  <c r="DD104" i="4"/>
  <c r="DC104" i="4"/>
  <c r="DB104" i="4"/>
  <c r="CZ104" i="4"/>
  <c r="DA104" i="4"/>
  <c r="DC13" i="4"/>
  <c r="DA13" i="4"/>
  <c r="DD13" i="4"/>
  <c r="DB13" i="4"/>
  <c r="CZ13" i="4"/>
  <c r="DD16" i="4"/>
  <c r="DA16" i="4"/>
  <c r="CZ16" i="4"/>
  <c r="DB16" i="4"/>
  <c r="DC16" i="4"/>
  <c r="CZ14" i="4"/>
  <c r="DC14" i="4"/>
  <c r="DB14" i="4"/>
  <c r="DD14" i="4"/>
  <c r="DA14" i="4"/>
  <c r="DD12" i="4"/>
  <c r="DB12" i="4"/>
  <c r="CZ12" i="4"/>
  <c r="DC12" i="4"/>
  <c r="DA12" i="4"/>
  <c r="DD64" i="4"/>
  <c r="DB64" i="4"/>
  <c r="DA64" i="4"/>
  <c r="CZ64" i="4"/>
  <c r="DC64" i="4"/>
  <c r="DB63" i="4"/>
  <c r="DD63" i="4"/>
  <c r="DC63" i="4"/>
  <c r="DA63" i="4"/>
  <c r="CZ63" i="4"/>
  <c r="CZ49" i="4"/>
  <c r="DA49" i="4"/>
  <c r="DC49" i="4"/>
  <c r="DD49" i="4"/>
  <c r="DB49" i="4"/>
  <c r="DD48" i="4"/>
  <c r="DB48" i="4"/>
  <c r="DA48" i="4"/>
  <c r="CZ48" i="4"/>
  <c r="DC48" i="4"/>
  <c r="CZ58" i="4"/>
  <c r="DB58" i="4"/>
  <c r="DA58" i="4"/>
  <c r="DD58" i="4"/>
  <c r="DC58" i="4"/>
  <c r="DB57" i="4"/>
  <c r="DA57" i="4"/>
  <c r="CZ57" i="4"/>
  <c r="DC57" i="4"/>
  <c r="DD57" i="4"/>
  <c r="CZ56" i="4"/>
  <c r="DD56" i="4"/>
  <c r="DC56" i="4"/>
  <c r="DB56" i="4"/>
  <c r="DA56" i="4"/>
  <c r="DB55" i="4"/>
  <c r="DC55" i="4"/>
  <c r="DD55" i="4"/>
  <c r="CZ55" i="4"/>
  <c r="DA55" i="4"/>
  <c r="DD72" i="4"/>
  <c r="DC72" i="4"/>
  <c r="DB72" i="4"/>
  <c r="DA72" i="4"/>
  <c r="CZ72" i="4"/>
  <c r="CZ73" i="4"/>
  <c r="DA73" i="4"/>
  <c r="DB73" i="4"/>
  <c r="DC73" i="4"/>
  <c r="DD73" i="4"/>
  <c r="CZ54" i="4"/>
  <c r="DA54" i="4"/>
  <c r="DB54" i="4"/>
  <c r="DC54" i="4"/>
  <c r="DD54" i="4"/>
  <c r="DD53" i="4"/>
  <c r="DC53" i="4"/>
  <c r="DB53" i="4"/>
  <c r="DA53" i="4"/>
  <c r="CZ53" i="4"/>
  <c r="DD52" i="4"/>
  <c r="DC52" i="4"/>
  <c r="CZ52" i="4"/>
  <c r="DA52" i="4"/>
  <c r="DB52" i="4"/>
  <c r="DB51" i="4"/>
  <c r="DC51" i="4"/>
  <c r="DD51" i="4"/>
  <c r="CZ51" i="4"/>
  <c r="DA51" i="4"/>
  <c r="CZ28" i="4"/>
  <c r="DB28" i="4"/>
  <c r="DD28" i="4"/>
  <c r="DC28" i="4"/>
  <c r="DA28" i="4"/>
  <c r="DA29" i="4"/>
  <c r="DD29" i="4"/>
  <c r="DC29" i="4"/>
  <c r="DB29" i="4"/>
  <c r="CZ29" i="4"/>
  <c r="CZ25" i="4"/>
  <c r="DB25" i="4"/>
  <c r="DD25" i="4"/>
  <c r="DA25" i="4"/>
  <c r="DC25" i="4"/>
  <c r="CZ24" i="4"/>
  <c r="DB24" i="4"/>
  <c r="DC24" i="4"/>
  <c r="DD24" i="4"/>
  <c r="DA24" i="4"/>
  <c r="DB45" i="4"/>
  <c r="CZ45" i="4"/>
  <c r="DC45" i="4"/>
  <c r="DA45" i="4"/>
  <c r="DD45" i="4"/>
  <c r="CZ43" i="4"/>
  <c r="DD43" i="4"/>
  <c r="DB43" i="4"/>
  <c r="DA43" i="4"/>
  <c r="DC43" i="4"/>
  <c r="DB42" i="4"/>
  <c r="DA42" i="4"/>
  <c r="CZ42" i="4"/>
  <c r="DD42" i="4"/>
  <c r="DC42" i="4"/>
  <c r="DD41" i="4"/>
  <c r="DB41" i="4"/>
  <c r="DC41" i="4"/>
  <c r="DA41" i="4"/>
  <c r="CZ41" i="4"/>
  <c r="DD40" i="4"/>
  <c r="DB40" i="4"/>
  <c r="DA40" i="4"/>
  <c r="CZ40" i="4"/>
  <c r="DC40" i="4"/>
  <c r="CZ7" i="4"/>
  <c r="DD7" i="4"/>
  <c r="DA7" i="4"/>
  <c r="DB7" i="4"/>
  <c r="DC7" i="4"/>
  <c r="DB6" i="4"/>
  <c r="DC6" i="4"/>
  <c r="CZ6" i="4"/>
  <c r="DA6" i="4"/>
  <c r="DD6" i="4"/>
  <c r="DC5" i="4"/>
  <c r="DD5" i="4"/>
  <c r="DA5" i="4"/>
  <c r="DB5" i="4"/>
  <c r="CZ5" i="4"/>
  <c r="CZ4" i="4"/>
  <c r="DC4" i="4"/>
  <c r="DB4" i="4"/>
  <c r="DD4" i="4"/>
  <c r="DA4" i="4"/>
  <c r="DB77" i="4"/>
  <c r="DA77" i="4"/>
  <c r="CZ77" i="4"/>
  <c r="DD77" i="4"/>
  <c r="DC77" i="4"/>
  <c r="DD76" i="4"/>
  <c r="DC76" i="4"/>
  <c r="CZ76" i="4"/>
  <c r="DA76" i="4"/>
  <c r="DB76" i="4"/>
  <c r="DA75" i="4"/>
  <c r="DB75" i="4"/>
  <c r="DC75" i="4"/>
  <c r="DD75" i="4"/>
  <c r="CZ75" i="4"/>
  <c r="CZ122" i="4"/>
  <c r="DD122" i="4"/>
  <c r="DC122" i="4"/>
  <c r="DB122" i="4"/>
  <c r="DA122" i="4"/>
  <c r="DA106" i="4"/>
  <c r="CZ106" i="4"/>
  <c r="DB106" i="4"/>
  <c r="DC106" i="4"/>
  <c r="DD106" i="4"/>
  <c r="DC107" i="4"/>
  <c r="DD107" i="4"/>
  <c r="CZ107" i="4"/>
  <c r="DA107" i="4"/>
  <c r="DB107" i="4"/>
  <c r="DD116" i="4"/>
  <c r="CZ116" i="4"/>
  <c r="DC116" i="4"/>
  <c r="DB116" i="4"/>
  <c r="DA116" i="4"/>
  <c r="DB114" i="4"/>
  <c r="DD114" i="4"/>
  <c r="DC114" i="4"/>
  <c r="CZ114" i="4"/>
  <c r="DA114" i="4"/>
  <c r="DA111" i="4"/>
  <c r="DD111" i="4"/>
  <c r="DC111" i="4"/>
  <c r="DB111" i="4"/>
  <c r="CZ111" i="4"/>
  <c r="DD100" i="4"/>
  <c r="DC100" i="4"/>
  <c r="DB100" i="4"/>
  <c r="DA100" i="4"/>
  <c r="CZ100" i="4"/>
  <c r="DA108" i="4"/>
  <c r="DB108" i="4"/>
  <c r="DC108" i="4"/>
  <c r="DD108" i="4"/>
  <c r="CZ108" i="4"/>
  <c r="DD101" i="4"/>
  <c r="DB101" i="4"/>
  <c r="DA101" i="4"/>
  <c r="CZ101" i="4"/>
  <c r="DC101" i="4"/>
  <c r="DA102" i="4"/>
  <c r="DD102" i="4"/>
  <c r="DC102" i="4"/>
  <c r="DB102" i="4"/>
  <c r="CZ102" i="4"/>
  <c r="DC98" i="4"/>
  <c r="DB98" i="4"/>
  <c r="DD98" i="4"/>
  <c r="CZ98" i="4"/>
  <c r="DA98" i="4"/>
  <c r="CX93" i="4"/>
  <c r="R15" i="5"/>
  <c r="BK19" i="1"/>
  <c r="R108" i="9"/>
  <c r="BK99" i="2"/>
  <c r="BK46" i="1"/>
  <c r="T87" i="3"/>
  <c r="R51" i="5"/>
  <c r="CX89" i="4"/>
  <c r="BK17" i="1"/>
  <c r="BK88" i="2"/>
  <c r="R13" i="5"/>
  <c r="R39" i="9"/>
  <c r="T39" i="3"/>
  <c r="BK39" i="2"/>
  <c r="R38" i="9"/>
  <c r="T38" i="3"/>
  <c r="BK38" i="2"/>
  <c r="BK44" i="2"/>
  <c r="R44" i="9"/>
  <c r="T44" i="3"/>
  <c r="R99" i="9"/>
  <c r="BK113" i="2"/>
  <c r="T99" i="3"/>
  <c r="R42" i="5"/>
  <c r="BK50" i="1"/>
  <c r="CX90" i="4"/>
  <c r="BK18" i="1"/>
  <c r="R14" i="5"/>
  <c r="BK89" i="2"/>
  <c r="CX88" i="4"/>
  <c r="R12" i="5"/>
  <c r="BK87" i="2"/>
  <c r="BK16" i="1"/>
  <c r="CX87" i="4"/>
  <c r="BK15" i="1"/>
  <c r="BK86" i="2"/>
  <c r="R11" i="5"/>
  <c r="CX83" i="4"/>
  <c r="R7" i="5"/>
  <c r="BK11" i="1"/>
  <c r="R70" i="9"/>
  <c r="T70" i="3"/>
  <c r="BK73" i="2"/>
  <c r="R15" i="9"/>
  <c r="T15" i="3"/>
  <c r="BK15" i="2"/>
  <c r="BK47" i="2"/>
  <c r="R47" i="9"/>
  <c r="T47" i="3"/>
  <c r="BK46" i="2"/>
  <c r="T46" i="3"/>
  <c r="R46" i="9"/>
  <c r="R8" i="9"/>
  <c r="BK8" i="2"/>
  <c r="T8" i="3"/>
  <c r="CX86" i="4"/>
  <c r="BK14" i="1"/>
  <c r="R10" i="5"/>
  <c r="BK85" i="2"/>
  <c r="CX85" i="4"/>
  <c r="BK84" i="2"/>
  <c r="R9" i="5"/>
  <c r="BK13" i="1"/>
  <c r="CX84" i="4"/>
  <c r="BK83" i="2"/>
  <c r="R8" i="5"/>
  <c r="BK12" i="1"/>
  <c r="CX79" i="4"/>
  <c r="BK60" i="2"/>
  <c r="Q4" i="5"/>
  <c r="R4" i="5"/>
  <c r="BK4" i="1"/>
  <c r="CX82" i="4"/>
  <c r="BK10" i="1"/>
  <c r="BK61" i="2"/>
  <c r="BK5" i="1"/>
  <c r="R106" i="9"/>
  <c r="BK106" i="2"/>
  <c r="BK44" i="1"/>
  <c r="T94" i="3"/>
  <c r="R48" i="5"/>
  <c r="R87" i="9"/>
  <c r="BK103" i="2"/>
  <c r="R28" i="5"/>
  <c r="BK31" i="1"/>
  <c r="T91" i="3"/>
  <c r="R104" i="9"/>
  <c r="BK43" i="1"/>
  <c r="BK101" i="2"/>
  <c r="T89" i="3"/>
  <c r="R47" i="5"/>
  <c r="CX110" i="4"/>
  <c r="BK36" i="1"/>
  <c r="R34" i="5"/>
  <c r="R92" i="9"/>
  <c r="BK35" i="1"/>
  <c r="BK100" i="2"/>
  <c r="T88" i="3"/>
  <c r="R33" i="5"/>
  <c r="R50" i="5"/>
  <c r="BK98" i="2"/>
  <c r="BK45" i="1"/>
  <c r="T86" i="3"/>
  <c r="R107" i="9"/>
  <c r="R21" i="5"/>
  <c r="BK24" i="1"/>
  <c r="T78" i="3"/>
  <c r="R78" i="9"/>
  <c r="BK90" i="2"/>
  <c r="R69" i="9"/>
  <c r="BK72" i="2"/>
  <c r="T69" i="3"/>
  <c r="R68" i="9"/>
  <c r="BK71" i="2"/>
  <c r="T68" i="3"/>
  <c r="R67" i="9"/>
  <c r="BK70" i="2"/>
  <c r="T67" i="3"/>
  <c r="R66" i="9"/>
  <c r="T66" i="3"/>
  <c r="BK69" i="2"/>
  <c r="BK68" i="2"/>
  <c r="T65" i="3"/>
  <c r="R65" i="9"/>
  <c r="BK67" i="2"/>
  <c r="R64" i="9"/>
  <c r="T64" i="3"/>
  <c r="T20" i="3"/>
  <c r="R20" i="9"/>
  <c r="BK20" i="2"/>
  <c r="R19" i="9"/>
  <c r="T19" i="3"/>
  <c r="BK19" i="2"/>
  <c r="T18" i="3"/>
  <c r="R18" i="9"/>
  <c r="BK18" i="2"/>
  <c r="R17" i="9"/>
  <c r="T17" i="3"/>
  <c r="BK17" i="2"/>
  <c r="T83" i="3"/>
  <c r="BK29" i="1"/>
  <c r="R26" i="5"/>
  <c r="R83" i="9"/>
  <c r="BK95" i="2"/>
  <c r="R82" i="9"/>
  <c r="T82" i="3"/>
  <c r="BK94" i="2"/>
  <c r="R25" i="5"/>
  <c r="BK28" i="1"/>
  <c r="T13" i="3"/>
  <c r="R13" i="9"/>
  <c r="BK13" i="2"/>
  <c r="R16" i="9"/>
  <c r="T16" i="3"/>
  <c r="BK16" i="2"/>
  <c r="T14" i="3"/>
  <c r="R14" i="9"/>
  <c r="BK14" i="2"/>
  <c r="T12" i="3"/>
  <c r="R12" i="9"/>
  <c r="BK12" i="2"/>
  <c r="R63" i="9"/>
  <c r="T63" i="3"/>
  <c r="BK66" i="2"/>
  <c r="R62" i="9"/>
  <c r="T62" i="3"/>
  <c r="BK65" i="2"/>
  <c r="BK49" i="2"/>
  <c r="T49" i="3"/>
  <c r="R49" i="9"/>
  <c r="T48" i="3"/>
  <c r="BK48" i="2"/>
  <c r="R48" i="9"/>
  <c r="R58" i="9"/>
  <c r="T58" i="3"/>
  <c r="BK58" i="2"/>
  <c r="BK57" i="2"/>
  <c r="R57" i="9"/>
  <c r="T57" i="3"/>
  <c r="T56" i="3"/>
  <c r="R56" i="9"/>
  <c r="BK56" i="2"/>
  <c r="BK55" i="2"/>
  <c r="T55" i="3"/>
  <c r="R55" i="9"/>
  <c r="R72" i="9"/>
  <c r="BK75" i="2"/>
  <c r="T72" i="3"/>
  <c r="R73" i="9"/>
  <c r="BK76" i="2"/>
  <c r="T73" i="3"/>
  <c r="BK54" i="2"/>
  <c r="T54" i="3"/>
  <c r="R54" i="9"/>
  <c r="T53" i="3"/>
  <c r="BK53" i="2"/>
  <c r="R53" i="9"/>
  <c r="T52" i="3"/>
  <c r="BK52" i="2"/>
  <c r="R52" i="9"/>
  <c r="T51" i="3"/>
  <c r="BK51" i="2"/>
  <c r="R51" i="9"/>
  <c r="T28" i="3"/>
  <c r="R28" i="9"/>
  <c r="BK28" i="2"/>
  <c r="R29" i="9"/>
  <c r="BK29" i="2"/>
  <c r="T29" i="3"/>
  <c r="R25" i="9"/>
  <c r="BK25" i="2"/>
  <c r="T25" i="3"/>
  <c r="R24" i="9"/>
  <c r="BK24" i="2"/>
  <c r="T24" i="3"/>
  <c r="R45" i="9"/>
  <c r="T45" i="3"/>
  <c r="BK45" i="2"/>
  <c r="T43" i="3"/>
  <c r="BK43" i="2"/>
  <c r="R43" i="9"/>
  <c r="T42" i="3"/>
  <c r="BK42" i="2"/>
  <c r="R42" i="9"/>
  <c r="R41" i="9"/>
  <c r="T41" i="3"/>
  <c r="BK41" i="2"/>
  <c r="R40" i="9"/>
  <c r="T40" i="3"/>
  <c r="BK40" i="2"/>
  <c r="BK7" i="2"/>
  <c r="T7" i="3"/>
  <c r="R7" i="9"/>
  <c r="T6" i="3"/>
  <c r="R6" i="9"/>
  <c r="BK6" i="2"/>
  <c r="R5" i="9"/>
  <c r="T5" i="3"/>
  <c r="BK5" i="2"/>
  <c r="S4" i="3"/>
  <c r="T4" i="3"/>
  <c r="BK4" i="2"/>
  <c r="R4" i="9"/>
  <c r="Q4" i="9"/>
  <c r="BJ4" i="2"/>
  <c r="BK80" i="2"/>
  <c r="BK9" i="1"/>
  <c r="T77" i="3"/>
  <c r="R77" i="9"/>
  <c r="BK79" i="2"/>
  <c r="R76" i="9"/>
  <c r="BK8" i="1"/>
  <c r="T76" i="3"/>
  <c r="T75" i="3"/>
  <c r="BK7" i="1"/>
  <c r="R75" i="9"/>
  <c r="BK78" i="2"/>
  <c r="BK56" i="1"/>
  <c r="BK118" i="2"/>
  <c r="T110" i="3"/>
  <c r="R110" i="9"/>
  <c r="R53" i="5"/>
  <c r="R30" i="5"/>
  <c r="T97" i="3"/>
  <c r="R91" i="9"/>
  <c r="BK110" i="2"/>
  <c r="BK33" i="1"/>
  <c r="R31" i="5"/>
  <c r="BK47" i="1"/>
  <c r="T96" i="3"/>
  <c r="BK109" i="2"/>
  <c r="R90" i="9"/>
  <c r="BK42" i="1"/>
  <c r="R103" i="9"/>
  <c r="BK107" i="2"/>
  <c r="R46" i="5"/>
  <c r="T95" i="3"/>
  <c r="R89" i="9"/>
  <c r="BK40" i="1"/>
  <c r="R38" i="5"/>
  <c r="BK105" i="2"/>
  <c r="T93" i="3"/>
  <c r="R88" i="9"/>
  <c r="BK104" i="2"/>
  <c r="R35" i="5"/>
  <c r="BK37" i="1"/>
  <c r="T92" i="3"/>
  <c r="BK32" i="1"/>
  <c r="R86" i="9"/>
  <c r="BK102" i="2"/>
  <c r="T90" i="3"/>
  <c r="R29" i="5"/>
  <c r="BK34" i="1"/>
  <c r="R85" i="9"/>
  <c r="R32" i="5"/>
  <c r="T85" i="3"/>
  <c r="BK97" i="2"/>
  <c r="R27" i="5"/>
  <c r="BK30" i="1"/>
  <c r="BK96" i="2"/>
  <c r="R84" i="9"/>
  <c r="T84" i="3"/>
  <c r="R23" i="5"/>
  <c r="R80" i="9"/>
  <c r="BK92" i="2"/>
  <c r="T80" i="3"/>
  <c r="BK26" i="1"/>
  <c r="BK91" i="2"/>
  <c r="R79" i="9"/>
  <c r="R22" i="5"/>
  <c r="T79" i="3"/>
  <c r="BK25" i="1"/>
  <c r="N37" i="9"/>
  <c r="O37" i="9"/>
  <c r="O31" i="9"/>
  <c r="N31" i="9"/>
  <c r="O32" i="9"/>
  <c r="N32" i="9"/>
  <c r="O81" i="9"/>
  <c r="N81" i="9"/>
  <c r="N96" i="9"/>
  <c r="O96" i="9"/>
  <c r="O50" i="9"/>
  <c r="N50" i="9"/>
  <c r="N30" i="9"/>
  <c r="O30" i="9"/>
  <c r="P108" i="9"/>
  <c r="Q108" i="9"/>
  <c r="M108" i="9"/>
  <c r="L108" i="9"/>
  <c r="I108" i="9"/>
  <c r="K108" i="9"/>
  <c r="H108" i="9"/>
  <c r="J108" i="9"/>
  <c r="CX120" i="4"/>
  <c r="H39" i="9"/>
  <c r="J39" i="9"/>
  <c r="I39" i="9"/>
  <c r="Q39" i="9"/>
  <c r="L39" i="9"/>
  <c r="P39" i="9"/>
  <c r="CX39" i="4"/>
  <c r="K39" i="9"/>
  <c r="M39" i="9"/>
  <c r="M38" i="9"/>
  <c r="P38" i="9"/>
  <c r="H38" i="9"/>
  <c r="L38" i="9"/>
  <c r="J38" i="9"/>
  <c r="CX38" i="4"/>
  <c r="K38" i="9"/>
  <c r="I38" i="9"/>
  <c r="Q38" i="9"/>
  <c r="I44" i="9"/>
  <c r="CX44" i="4"/>
  <c r="H44" i="9"/>
  <c r="K44" i="9"/>
  <c r="J44" i="9"/>
  <c r="P44" i="9"/>
  <c r="L44" i="9"/>
  <c r="M44" i="9"/>
  <c r="Q44" i="9"/>
  <c r="H99" i="9"/>
  <c r="M99" i="9"/>
  <c r="I99" i="9"/>
  <c r="CX124" i="4"/>
  <c r="P99" i="9"/>
  <c r="J99" i="9"/>
  <c r="Q99" i="9"/>
  <c r="K99" i="9"/>
  <c r="L99" i="9"/>
  <c r="L70" i="9"/>
  <c r="K70" i="9"/>
  <c r="I70" i="9"/>
  <c r="P70" i="9"/>
  <c r="M70" i="9"/>
  <c r="J70" i="9"/>
  <c r="Q70" i="9"/>
  <c r="H70" i="9"/>
  <c r="CX71" i="4"/>
  <c r="P15" i="9"/>
  <c r="L15" i="9"/>
  <c r="M15" i="9"/>
  <c r="Q15" i="9"/>
  <c r="AC15" i="9" s="1"/>
  <c r="I15" i="9"/>
  <c r="K15" i="9"/>
  <c r="J15" i="9"/>
  <c r="CX15" i="4"/>
  <c r="H15" i="9"/>
  <c r="I47" i="9"/>
  <c r="L47" i="9"/>
  <c r="CX47" i="4"/>
  <c r="H47" i="9"/>
  <c r="P47" i="9"/>
  <c r="Q47" i="9"/>
  <c r="J47" i="9"/>
  <c r="M47" i="9"/>
  <c r="K47" i="9"/>
  <c r="Q46" i="9"/>
  <c r="I46" i="9"/>
  <c r="L46" i="9"/>
  <c r="CX46" i="4"/>
  <c r="J46" i="9"/>
  <c r="M46" i="9"/>
  <c r="H46" i="9"/>
  <c r="K46" i="9"/>
  <c r="P46" i="9"/>
  <c r="CX8" i="4"/>
  <c r="I8" i="9"/>
  <c r="H8" i="9"/>
  <c r="L8" i="9"/>
  <c r="P8" i="9"/>
  <c r="Q8" i="9"/>
  <c r="J8" i="9"/>
  <c r="K8" i="9"/>
  <c r="M8" i="9"/>
  <c r="CX80" i="4"/>
  <c r="BI5" i="1"/>
  <c r="BE5" i="1"/>
  <c r="EE80" i="4" s="1"/>
  <c r="BC5" i="1"/>
  <c r="BJ5" i="1"/>
  <c r="BF5" i="1"/>
  <c r="BB5" i="1"/>
  <c r="BA5" i="1"/>
  <c r="BD5" i="1"/>
  <c r="Q106" i="9"/>
  <c r="CX118" i="4"/>
  <c r="P106" i="9"/>
  <c r="J106" i="9"/>
  <c r="M106" i="9"/>
  <c r="H106" i="9"/>
  <c r="K106" i="9"/>
  <c r="I106" i="9"/>
  <c r="L106" i="9"/>
  <c r="J87" i="9"/>
  <c r="I87" i="9"/>
  <c r="H87" i="9"/>
  <c r="CX99" i="4"/>
  <c r="M87" i="9"/>
  <c r="Q87" i="9"/>
  <c r="P87" i="9"/>
  <c r="K87" i="9"/>
  <c r="L87" i="9"/>
  <c r="K104" i="9"/>
  <c r="J104" i="9"/>
  <c r="CX121" i="4"/>
  <c r="I104" i="9"/>
  <c r="H104" i="9"/>
  <c r="P104" i="9"/>
  <c r="M104" i="9"/>
  <c r="L104" i="9"/>
  <c r="Q104" i="9"/>
  <c r="K92" i="9"/>
  <c r="H92" i="9"/>
  <c r="M92" i="9"/>
  <c r="J92" i="9"/>
  <c r="CX109" i="4"/>
  <c r="Q92" i="9"/>
  <c r="P92" i="9"/>
  <c r="L92" i="9"/>
  <c r="I92" i="9"/>
  <c r="L107" i="9"/>
  <c r="H107" i="9"/>
  <c r="I107" i="9"/>
  <c r="J107" i="9"/>
  <c r="CX119" i="4"/>
  <c r="K107" i="9"/>
  <c r="P107" i="9"/>
  <c r="Q107" i="9"/>
  <c r="M107" i="9"/>
  <c r="I78" i="9"/>
  <c r="J78" i="9"/>
  <c r="P78" i="9"/>
  <c r="H78" i="9"/>
  <c r="CX97" i="4"/>
  <c r="Q78" i="9"/>
  <c r="L78" i="9"/>
  <c r="K78" i="9"/>
  <c r="M78" i="9"/>
  <c r="H69" i="9"/>
  <c r="L69" i="9"/>
  <c r="J69" i="9"/>
  <c r="Q69" i="9"/>
  <c r="M69" i="9"/>
  <c r="CX70" i="4"/>
  <c r="K69" i="9"/>
  <c r="P69" i="9"/>
  <c r="I69" i="9"/>
  <c r="CX69" i="4"/>
  <c r="J68" i="9"/>
  <c r="L68" i="9"/>
  <c r="I68" i="9"/>
  <c r="P68" i="9"/>
  <c r="K68" i="9"/>
  <c r="Q68" i="9"/>
  <c r="M68" i="9"/>
  <c r="H68" i="9"/>
  <c r="Q67" i="9"/>
  <c r="K67" i="9"/>
  <c r="I67" i="9"/>
  <c r="CX68" i="4"/>
  <c r="J67" i="9"/>
  <c r="P67" i="9"/>
  <c r="H67" i="9"/>
  <c r="M67" i="9"/>
  <c r="L67" i="9"/>
  <c r="P66" i="9"/>
  <c r="Q66" i="9"/>
  <c r="L66" i="9"/>
  <c r="M66" i="9"/>
  <c r="K66" i="9"/>
  <c r="CX67" i="4"/>
  <c r="I66" i="9"/>
  <c r="J66" i="9"/>
  <c r="H66" i="9"/>
  <c r="L65" i="9"/>
  <c r="H65" i="9"/>
  <c r="Q65" i="9"/>
  <c r="P65" i="9"/>
  <c r="K65" i="9"/>
  <c r="I65" i="9"/>
  <c r="J65" i="9"/>
  <c r="CX66" i="4"/>
  <c r="M65" i="9"/>
  <c r="P64" i="9"/>
  <c r="Q64" i="9"/>
  <c r="H64" i="9"/>
  <c r="J64" i="9"/>
  <c r="L64" i="9"/>
  <c r="K64" i="9"/>
  <c r="CX65" i="4"/>
  <c r="I64" i="9"/>
  <c r="M64" i="9"/>
  <c r="Q20" i="9"/>
  <c r="AC20" i="9" s="1"/>
  <c r="P20" i="9"/>
  <c r="L20" i="9"/>
  <c r="K20" i="9"/>
  <c r="I20" i="9"/>
  <c r="H20" i="9"/>
  <c r="CX20" i="4"/>
  <c r="M20" i="9"/>
  <c r="J20" i="9"/>
  <c r="Q19" i="9"/>
  <c r="AC19" i="9" s="1"/>
  <c r="I19" i="9"/>
  <c r="K19" i="9"/>
  <c r="H19" i="9"/>
  <c r="P19" i="9"/>
  <c r="CX19" i="4"/>
  <c r="L19" i="9"/>
  <c r="J19" i="9"/>
  <c r="M19" i="9"/>
  <c r="L18" i="9"/>
  <c r="P18" i="9"/>
  <c r="I18" i="9"/>
  <c r="K18" i="9"/>
  <c r="M18" i="9"/>
  <c r="H18" i="9"/>
  <c r="J18" i="9"/>
  <c r="Q18" i="9"/>
  <c r="CX18" i="4"/>
  <c r="M17" i="9"/>
  <c r="H17" i="9"/>
  <c r="I17" i="9"/>
  <c r="Q17" i="9"/>
  <c r="P17" i="9"/>
  <c r="L17" i="9"/>
  <c r="J17" i="9"/>
  <c r="K17" i="9"/>
  <c r="CX17" i="4"/>
  <c r="I83" i="9"/>
  <c r="J83" i="9"/>
  <c r="L83" i="9"/>
  <c r="M83" i="9"/>
  <c r="K83" i="9"/>
  <c r="H83" i="9"/>
  <c r="Q83" i="9"/>
  <c r="CX105" i="4"/>
  <c r="P83" i="9"/>
  <c r="P82" i="9"/>
  <c r="J82" i="9"/>
  <c r="Q82" i="9"/>
  <c r="K82" i="9"/>
  <c r="L82" i="9"/>
  <c r="M82" i="9"/>
  <c r="CX104" i="4"/>
  <c r="I82" i="9"/>
  <c r="H82" i="9"/>
  <c r="CX13" i="4"/>
  <c r="Q13" i="9"/>
  <c r="H13" i="9"/>
  <c r="M13" i="9"/>
  <c r="L13" i="9"/>
  <c r="K13" i="9"/>
  <c r="J13" i="9"/>
  <c r="P13" i="9"/>
  <c r="I13" i="9"/>
  <c r="CX16" i="4"/>
  <c r="P16" i="9"/>
  <c r="M16" i="9"/>
  <c r="J16" i="9"/>
  <c r="Q16" i="9"/>
  <c r="I16" i="9"/>
  <c r="H16" i="9"/>
  <c r="K16" i="9"/>
  <c r="L16" i="9"/>
  <c r="H14" i="9"/>
  <c r="Q14" i="9"/>
  <c r="L14" i="9"/>
  <c r="P14" i="9"/>
  <c r="K14" i="9"/>
  <c r="I14" i="9"/>
  <c r="CX14" i="4"/>
  <c r="J14" i="9"/>
  <c r="M14" i="9"/>
  <c r="L12" i="9"/>
  <c r="H12" i="9"/>
  <c r="M12" i="9"/>
  <c r="K12" i="9"/>
  <c r="P12" i="9"/>
  <c r="Q12" i="9"/>
  <c r="AC12" i="9" s="1"/>
  <c r="CX12" i="4"/>
  <c r="J12" i="9"/>
  <c r="I12" i="9"/>
  <c r="J63" i="9"/>
  <c r="P63" i="9"/>
  <c r="Q63" i="9"/>
  <c r="H63" i="9"/>
  <c r="M63" i="9"/>
  <c r="I63" i="9"/>
  <c r="CX64" i="4"/>
  <c r="K63" i="9"/>
  <c r="L63" i="9"/>
  <c r="P62" i="9"/>
  <c r="K62" i="9"/>
  <c r="Q62" i="9"/>
  <c r="CX63" i="4"/>
  <c r="L62" i="9"/>
  <c r="M62" i="9"/>
  <c r="H62" i="9"/>
  <c r="I62" i="9"/>
  <c r="J62" i="9"/>
  <c r="L49" i="9"/>
  <c r="J49" i="9"/>
  <c r="K49" i="9"/>
  <c r="M49" i="9"/>
  <c r="Q49" i="9"/>
  <c r="CX49" i="4"/>
  <c r="P49" i="9"/>
  <c r="H49" i="9"/>
  <c r="I49" i="9"/>
  <c r="J48" i="9"/>
  <c r="L48" i="9"/>
  <c r="I48" i="9"/>
  <c r="CX48" i="4"/>
  <c r="H48" i="9"/>
  <c r="P48" i="9"/>
  <c r="M48" i="9"/>
  <c r="Q48" i="9"/>
  <c r="AC48" i="9" s="1"/>
  <c r="K48" i="9"/>
  <c r="M58" i="9"/>
  <c r="K58" i="9"/>
  <c r="L58" i="9"/>
  <c r="I58" i="9"/>
  <c r="Q58" i="9"/>
  <c r="H58" i="9"/>
  <c r="CX58" i="4"/>
  <c r="J58" i="9"/>
  <c r="P58" i="9"/>
  <c r="K57" i="9"/>
  <c r="I57" i="9"/>
  <c r="H57" i="9"/>
  <c r="Q57" i="9"/>
  <c r="L57" i="9"/>
  <c r="J57" i="9"/>
  <c r="M57" i="9"/>
  <c r="P57" i="9"/>
  <c r="CX57" i="4"/>
  <c r="I56" i="9"/>
  <c r="P56" i="9"/>
  <c r="M56" i="9"/>
  <c r="K56" i="9"/>
  <c r="Q56" i="9"/>
  <c r="AC56" i="9" s="1"/>
  <c r="L56" i="9"/>
  <c r="J56" i="9"/>
  <c r="H56" i="9"/>
  <c r="CX56" i="4"/>
  <c r="CX55" i="4"/>
  <c r="K55" i="9"/>
  <c r="Q55" i="9"/>
  <c r="L55" i="9"/>
  <c r="J55" i="9"/>
  <c r="M55" i="9"/>
  <c r="P55" i="9"/>
  <c r="H55" i="9"/>
  <c r="I55" i="9"/>
  <c r="Q72" i="9"/>
  <c r="H72" i="9"/>
  <c r="J72" i="9"/>
  <c r="CX72" i="4"/>
  <c r="L72" i="9"/>
  <c r="P72" i="9"/>
  <c r="K72" i="9"/>
  <c r="M72" i="9"/>
  <c r="I72" i="9"/>
  <c r="Q73" i="9"/>
  <c r="AC73" i="9" s="1"/>
  <c r="H73" i="9"/>
  <c r="K73" i="9"/>
  <c r="CX73" i="4"/>
  <c r="I73" i="9"/>
  <c r="M73" i="9"/>
  <c r="L73" i="9"/>
  <c r="J73" i="9"/>
  <c r="P73" i="9"/>
  <c r="L54" i="9"/>
  <c r="M54" i="9"/>
  <c r="Q54" i="9"/>
  <c r="CX54" i="4"/>
  <c r="I54" i="9"/>
  <c r="P54" i="9"/>
  <c r="J54" i="9"/>
  <c r="H54" i="9"/>
  <c r="K54" i="9"/>
  <c r="H53" i="9"/>
  <c r="I53" i="9"/>
  <c r="CX53" i="4"/>
  <c r="L53" i="9"/>
  <c r="Q53" i="9"/>
  <c r="J53" i="9"/>
  <c r="K53" i="9"/>
  <c r="M53" i="9"/>
  <c r="P53" i="9"/>
  <c r="L52" i="9"/>
  <c r="J52" i="9"/>
  <c r="H52" i="9"/>
  <c r="CX52" i="4"/>
  <c r="M52" i="9"/>
  <c r="Q52" i="9"/>
  <c r="P52" i="9"/>
  <c r="K52" i="9"/>
  <c r="I52" i="9"/>
  <c r="M51" i="9"/>
  <c r="Q51" i="9"/>
  <c r="H51" i="9"/>
  <c r="I51" i="9"/>
  <c r="J51" i="9"/>
  <c r="CX51" i="4"/>
  <c r="L51" i="9"/>
  <c r="P51" i="9"/>
  <c r="K51" i="9"/>
  <c r="L28" i="9"/>
  <c r="Q28" i="9"/>
  <c r="H28" i="9"/>
  <c r="K28" i="9"/>
  <c r="M28" i="9"/>
  <c r="I28" i="9"/>
  <c r="J28" i="9"/>
  <c r="P28" i="9"/>
  <c r="CX28" i="4"/>
  <c r="M29" i="9"/>
  <c r="J29" i="9"/>
  <c r="P29" i="9"/>
  <c r="I29" i="9"/>
  <c r="K29" i="9"/>
  <c r="H29" i="9"/>
  <c r="Q29" i="9"/>
  <c r="CX29" i="4"/>
  <c r="L29" i="9"/>
  <c r="J25" i="9"/>
  <c r="L25" i="9"/>
  <c r="K25" i="9"/>
  <c r="CX25" i="4"/>
  <c r="H25" i="9"/>
  <c r="I25" i="9"/>
  <c r="P25" i="9"/>
  <c r="Q25" i="9"/>
  <c r="M25" i="9"/>
  <c r="M24" i="9"/>
  <c r="J24" i="9"/>
  <c r="P24" i="9"/>
  <c r="K24" i="9"/>
  <c r="H24" i="9"/>
  <c r="L24" i="9"/>
  <c r="I24" i="9"/>
  <c r="Q24" i="9"/>
  <c r="CX24" i="4"/>
  <c r="P45" i="9"/>
  <c r="Q45" i="9"/>
  <c r="M45" i="9"/>
  <c r="CX45" i="4"/>
  <c r="H45" i="9"/>
  <c r="L45" i="9"/>
  <c r="I45" i="9"/>
  <c r="K45" i="9"/>
  <c r="J45" i="9"/>
  <c r="K43" i="9"/>
  <c r="M43" i="9"/>
  <c r="Q43" i="9"/>
  <c r="I43" i="9"/>
  <c r="H43" i="9"/>
  <c r="J43" i="9"/>
  <c r="L43" i="9"/>
  <c r="P43" i="9"/>
  <c r="CX43" i="4"/>
  <c r="M42" i="9"/>
  <c r="P42" i="9"/>
  <c r="K42" i="9"/>
  <c r="Q42" i="9"/>
  <c r="J42" i="9"/>
  <c r="CX42" i="4"/>
  <c r="I42" i="9"/>
  <c r="H42" i="9"/>
  <c r="L42" i="9"/>
  <c r="M41" i="9"/>
  <c r="I41" i="9"/>
  <c r="K41" i="9"/>
  <c r="L41" i="9"/>
  <c r="H41" i="9"/>
  <c r="Q41" i="9"/>
  <c r="P41" i="9"/>
  <c r="J41" i="9"/>
  <c r="CX41" i="4"/>
  <c r="Q40" i="9"/>
  <c r="J40" i="9"/>
  <c r="CX40" i="4"/>
  <c r="I40" i="9"/>
  <c r="P40" i="9"/>
  <c r="M40" i="9"/>
  <c r="L40" i="9"/>
  <c r="K40" i="9"/>
  <c r="H40" i="9"/>
  <c r="J7" i="9"/>
  <c r="K7" i="9"/>
  <c r="H7" i="9"/>
  <c r="L7" i="9"/>
  <c r="P7" i="9"/>
  <c r="I7" i="9"/>
  <c r="Q7" i="9"/>
  <c r="M7" i="9"/>
  <c r="CX7" i="4"/>
  <c r="J6" i="9"/>
  <c r="M6" i="9"/>
  <c r="H6" i="9"/>
  <c r="L6" i="9"/>
  <c r="Q6" i="9"/>
  <c r="P6" i="9"/>
  <c r="I6" i="9"/>
  <c r="CX6" i="4"/>
  <c r="K6" i="9"/>
  <c r="H5" i="9"/>
  <c r="Q5" i="9"/>
  <c r="I5" i="9"/>
  <c r="P5" i="9"/>
  <c r="K5" i="9"/>
  <c r="J5" i="9"/>
  <c r="M5" i="9"/>
  <c r="L5" i="9"/>
  <c r="CX5" i="4"/>
  <c r="H4" i="9"/>
  <c r="J4" i="9"/>
  <c r="CW4" i="4"/>
  <c r="CX4" i="4"/>
  <c r="M4" i="9"/>
  <c r="L4" i="9"/>
  <c r="K4" i="9"/>
  <c r="I4" i="9"/>
  <c r="P4" i="9"/>
  <c r="L77" i="9"/>
  <c r="P77" i="9"/>
  <c r="H77" i="9"/>
  <c r="CX77" i="4"/>
  <c r="Q77" i="9"/>
  <c r="M77" i="9"/>
  <c r="J77" i="9"/>
  <c r="K77" i="9"/>
  <c r="I77" i="9"/>
  <c r="H76" i="9"/>
  <c r="CX76" i="4"/>
  <c r="M76" i="9"/>
  <c r="J76" i="9"/>
  <c r="Q76" i="9"/>
  <c r="P76" i="9"/>
  <c r="I76" i="9"/>
  <c r="K76" i="9"/>
  <c r="L76" i="9"/>
  <c r="Q75" i="9"/>
  <c r="J75" i="9"/>
  <c r="H75" i="9"/>
  <c r="K75" i="9"/>
  <c r="CX75" i="4"/>
  <c r="M75" i="9"/>
  <c r="L75" i="9"/>
  <c r="P75" i="9"/>
  <c r="I75" i="9"/>
  <c r="L110" i="9"/>
  <c r="P110" i="9"/>
  <c r="M110" i="9"/>
  <c r="K110" i="9"/>
  <c r="J110" i="9"/>
  <c r="Q110" i="9"/>
  <c r="CX122" i="4"/>
  <c r="I110" i="9"/>
  <c r="H110" i="9"/>
  <c r="I91" i="9"/>
  <c r="M91" i="9"/>
  <c r="J91" i="9"/>
  <c r="P91" i="9"/>
  <c r="Q91" i="9"/>
  <c r="H91" i="9"/>
  <c r="CX106" i="4"/>
  <c r="K91" i="9"/>
  <c r="L91" i="9"/>
  <c r="K90" i="9"/>
  <c r="M90" i="9"/>
  <c r="P90" i="9"/>
  <c r="Q90" i="9"/>
  <c r="AC90" i="9" s="1"/>
  <c r="CX107" i="4"/>
  <c r="I90" i="9"/>
  <c r="H90" i="9"/>
  <c r="L90" i="9"/>
  <c r="J90" i="9"/>
  <c r="K103" i="9"/>
  <c r="J103" i="9"/>
  <c r="I103" i="9"/>
  <c r="L103" i="9"/>
  <c r="H103" i="9"/>
  <c r="Q103" i="9"/>
  <c r="AC103" i="9" s="1"/>
  <c r="CX116" i="4"/>
  <c r="P103" i="9"/>
  <c r="M103" i="9"/>
  <c r="P89" i="9"/>
  <c r="L89" i="9"/>
  <c r="K89" i="9"/>
  <c r="M89" i="9"/>
  <c r="I89" i="9"/>
  <c r="J89" i="9"/>
  <c r="Q89" i="9"/>
  <c r="CX114" i="4"/>
  <c r="H89" i="9"/>
  <c r="CX111" i="4"/>
  <c r="K88" i="9"/>
  <c r="J88" i="9"/>
  <c r="P88" i="9"/>
  <c r="H88" i="9"/>
  <c r="M88" i="9"/>
  <c r="L88" i="9"/>
  <c r="Q88" i="9"/>
  <c r="I88" i="9"/>
  <c r="Q86" i="9"/>
  <c r="AC86" i="9" s="1"/>
  <c r="CX100" i="4"/>
  <c r="P86" i="9"/>
  <c r="M86" i="9"/>
  <c r="L86" i="9"/>
  <c r="J86" i="9"/>
  <c r="H86" i="9"/>
  <c r="I86" i="9"/>
  <c r="K86" i="9"/>
  <c r="Q85" i="9"/>
  <c r="P85" i="9"/>
  <c r="M85" i="9"/>
  <c r="CX108" i="4"/>
  <c r="J85" i="9"/>
  <c r="L85" i="9"/>
  <c r="K85" i="9"/>
  <c r="H85" i="9"/>
  <c r="I85" i="9"/>
  <c r="I84" i="9"/>
  <c r="H84" i="9"/>
  <c r="Q84" i="9"/>
  <c r="L84" i="9"/>
  <c r="J84" i="9"/>
  <c r="M84" i="9"/>
  <c r="CX101" i="4"/>
  <c r="P84" i="9"/>
  <c r="K84" i="9"/>
  <c r="J80" i="9"/>
  <c r="L80" i="9"/>
  <c r="P80" i="9"/>
  <c r="CX102" i="4"/>
  <c r="H80" i="9"/>
  <c r="M80" i="9"/>
  <c r="I80" i="9"/>
  <c r="K80" i="9"/>
  <c r="Q80" i="9"/>
  <c r="AC80" i="9" s="1"/>
  <c r="H79" i="9"/>
  <c r="L79" i="9"/>
  <c r="I79" i="9"/>
  <c r="CX98" i="4"/>
  <c r="M79" i="9"/>
  <c r="Q79" i="9"/>
  <c r="P79" i="9"/>
  <c r="K79" i="9"/>
  <c r="J79" i="9"/>
  <c r="S79" i="3"/>
  <c r="BJ25" i="1"/>
  <c r="Q22" i="5"/>
  <c r="BJ91" i="2"/>
  <c r="CW98" i="4"/>
  <c r="CU98" i="4"/>
  <c r="CV98" i="4"/>
  <c r="CT98" i="4"/>
  <c r="BJ26" i="1"/>
  <c r="Q23" i="5"/>
  <c r="S80" i="3"/>
  <c r="CW102" i="4"/>
  <c r="CU102" i="4"/>
  <c r="BJ92" i="2"/>
  <c r="CV102" i="4"/>
  <c r="CT102" i="4"/>
  <c r="BJ30" i="1"/>
  <c r="Q27" i="5"/>
  <c r="S84" i="3"/>
  <c r="CW101" i="4"/>
  <c r="BJ96" i="2"/>
  <c r="CU101" i="4"/>
  <c r="CV101" i="4"/>
  <c r="CT101" i="4"/>
  <c r="BJ34" i="1"/>
  <c r="Q32" i="5"/>
  <c r="S85" i="3"/>
  <c r="BJ97" i="2"/>
  <c r="CV108" i="4"/>
  <c r="CW108" i="4"/>
  <c r="CU108" i="4"/>
  <c r="CT108" i="4"/>
  <c r="Q29" i="5"/>
  <c r="BJ32" i="1"/>
  <c r="S90" i="3"/>
  <c r="BJ102" i="2"/>
  <c r="CV100" i="4"/>
  <c r="CW100" i="4"/>
  <c r="CU100" i="4"/>
  <c r="CT100" i="4"/>
  <c r="BJ37" i="1"/>
  <c r="Q35" i="5"/>
  <c r="S92" i="3"/>
  <c r="CW111" i="4"/>
  <c r="BJ104" i="2"/>
  <c r="CV111" i="4"/>
  <c r="CU111" i="4"/>
  <c r="CT111" i="4"/>
  <c r="S93" i="3"/>
  <c r="BJ40" i="1"/>
  <c r="Q38" i="5"/>
  <c r="CW114" i="4"/>
  <c r="CU114" i="4"/>
  <c r="BJ105" i="2"/>
  <c r="CV114" i="4"/>
  <c r="CT114" i="4"/>
  <c r="S95" i="3"/>
  <c r="Q46" i="5"/>
  <c r="BJ42" i="1"/>
  <c r="BJ107" i="2"/>
  <c r="CV116" i="4"/>
  <c r="CW116" i="4"/>
  <c r="CU116" i="4"/>
  <c r="CT116" i="4"/>
  <c r="S96" i="3"/>
  <c r="Q31" i="5"/>
  <c r="BJ47" i="1"/>
  <c r="CW107" i="4"/>
  <c r="BJ109" i="2"/>
  <c r="CV107" i="4"/>
  <c r="CU107" i="4"/>
  <c r="CT107" i="4"/>
  <c r="BJ33" i="1"/>
  <c r="Q30" i="5"/>
  <c r="S97" i="3"/>
  <c r="BJ110" i="2"/>
  <c r="CW106" i="4"/>
  <c r="CU106" i="4"/>
  <c r="CV106" i="4"/>
  <c r="CT106" i="4"/>
  <c r="Q53" i="5"/>
  <c r="S110" i="3"/>
  <c r="BJ56" i="1"/>
  <c r="CV122" i="4"/>
  <c r="CW122" i="4"/>
  <c r="CU122" i="4"/>
  <c r="BJ118" i="2"/>
  <c r="CT122" i="4"/>
  <c r="S75" i="3"/>
  <c r="BJ7" i="1"/>
  <c r="BJ78" i="2"/>
  <c r="CW75" i="4"/>
  <c r="CV75" i="4"/>
  <c r="CU75" i="4"/>
  <c r="CT75" i="4"/>
  <c r="BJ8" i="1"/>
  <c r="S76" i="3"/>
  <c r="BJ79" i="2"/>
  <c r="CW76" i="4"/>
  <c r="CV76" i="4"/>
  <c r="CU76" i="4"/>
  <c r="CT76" i="4"/>
  <c r="S77" i="3"/>
  <c r="BJ9" i="1"/>
  <c r="CW77" i="4"/>
  <c r="BJ80" i="2"/>
  <c r="CV77" i="4"/>
  <c r="CT77" i="4"/>
  <c r="CU77" i="4"/>
  <c r="R4" i="3"/>
  <c r="BI4" i="2"/>
  <c r="CV4" i="4"/>
  <c r="CU4" i="4"/>
  <c r="CQ4" i="4"/>
  <c r="CO4" i="4"/>
  <c r="BQ4" i="4"/>
  <c r="CT4" i="4"/>
  <c r="S5" i="3"/>
  <c r="CW5" i="4"/>
  <c r="BJ5" i="2"/>
  <c r="CV5" i="4"/>
  <c r="CT5" i="4"/>
  <c r="CU5" i="4"/>
  <c r="S6" i="3"/>
  <c r="BJ6" i="2"/>
  <c r="CV6" i="4"/>
  <c r="CW6" i="4"/>
  <c r="CU6" i="4"/>
  <c r="CT6" i="4"/>
  <c r="S7" i="3"/>
  <c r="BJ7" i="2"/>
  <c r="CW7" i="4"/>
  <c r="CU7" i="4"/>
  <c r="CV7" i="4"/>
  <c r="CT7" i="4"/>
  <c r="S40" i="3"/>
  <c r="CW40" i="4"/>
  <c r="BJ40" i="2"/>
  <c r="CU40" i="4"/>
  <c r="CV40" i="4"/>
  <c r="CT40" i="4"/>
  <c r="S41" i="3"/>
  <c r="CW41" i="4"/>
  <c r="BJ41" i="2"/>
  <c r="CV41" i="4"/>
  <c r="CT41" i="4"/>
  <c r="CU41" i="4"/>
  <c r="S42" i="3"/>
  <c r="BJ42" i="2"/>
  <c r="CV42" i="4"/>
  <c r="CW42" i="4"/>
  <c r="CU42" i="4"/>
  <c r="CT42" i="4"/>
  <c r="S43" i="3"/>
  <c r="BJ43" i="2"/>
  <c r="CW43" i="4"/>
  <c r="CV43" i="4"/>
  <c r="CU43" i="4"/>
  <c r="CT43" i="4"/>
  <c r="S45" i="3"/>
  <c r="CW45" i="4"/>
  <c r="BJ45" i="2"/>
  <c r="CV45" i="4"/>
  <c r="CT45" i="4"/>
  <c r="CU45" i="4"/>
  <c r="S24" i="3"/>
  <c r="BJ24" i="2"/>
  <c r="CV24" i="4"/>
  <c r="CW24" i="4"/>
  <c r="CU24" i="4"/>
  <c r="CT24" i="4"/>
  <c r="S25" i="3"/>
  <c r="BJ25" i="2"/>
  <c r="CW25" i="4"/>
  <c r="CV25" i="4"/>
  <c r="CU25" i="4"/>
  <c r="CT25" i="4"/>
  <c r="S29" i="3"/>
  <c r="BJ29" i="2"/>
  <c r="CW29" i="4"/>
  <c r="CU29" i="4"/>
  <c r="CV29" i="4"/>
  <c r="CT29" i="4"/>
  <c r="S28" i="3"/>
  <c r="BJ28" i="2"/>
  <c r="CV28" i="4"/>
  <c r="CW28" i="4"/>
  <c r="CU28" i="4"/>
  <c r="CT28" i="4"/>
  <c r="S51" i="3"/>
  <c r="BJ51" i="2"/>
  <c r="CW51" i="4"/>
  <c r="CV51" i="4"/>
  <c r="CU51" i="4"/>
  <c r="CT51" i="4"/>
  <c r="S52" i="3"/>
  <c r="CW52" i="4"/>
  <c r="BJ52" i="2"/>
  <c r="CU52" i="4"/>
  <c r="CV52" i="4"/>
  <c r="CT52" i="4"/>
  <c r="S53" i="3"/>
  <c r="CW53" i="4"/>
  <c r="BJ53" i="2"/>
  <c r="CV53" i="4"/>
  <c r="CT53" i="4"/>
  <c r="CU53" i="4"/>
  <c r="S54" i="3"/>
  <c r="BJ54" i="2"/>
  <c r="CV54" i="4"/>
  <c r="CW54" i="4"/>
  <c r="CU54" i="4"/>
  <c r="CT54" i="4"/>
  <c r="S73" i="3"/>
  <c r="CW73" i="4"/>
  <c r="BJ76" i="2"/>
  <c r="CV73" i="4"/>
  <c r="CT73" i="4"/>
  <c r="CU73" i="4"/>
  <c r="S72" i="3"/>
  <c r="BJ75" i="2"/>
  <c r="CW72" i="4"/>
  <c r="CU72" i="4"/>
  <c r="CV72" i="4"/>
  <c r="CT72" i="4"/>
  <c r="S55" i="3"/>
  <c r="BJ55" i="2"/>
  <c r="CW55" i="4"/>
  <c r="CU55" i="4"/>
  <c r="CV55" i="4"/>
  <c r="CT55" i="4"/>
  <c r="S56" i="3"/>
  <c r="CW56" i="4"/>
  <c r="BJ56" i="2"/>
  <c r="CU56" i="4"/>
  <c r="CV56" i="4"/>
  <c r="CT56" i="4"/>
  <c r="S57" i="3"/>
  <c r="CW57" i="4"/>
  <c r="BJ57" i="2"/>
  <c r="CV57" i="4"/>
  <c r="CT57" i="4"/>
  <c r="CU57" i="4"/>
  <c r="S58" i="3"/>
  <c r="BJ58" i="2"/>
  <c r="CV58" i="4"/>
  <c r="CW58" i="4"/>
  <c r="CU58" i="4"/>
  <c r="CT58" i="4"/>
  <c r="S48" i="3"/>
  <c r="CW48" i="4"/>
  <c r="BJ48" i="2"/>
  <c r="CU48" i="4"/>
  <c r="CV48" i="4"/>
  <c r="CT48" i="4"/>
  <c r="S49" i="3"/>
  <c r="CW49" i="4"/>
  <c r="BJ49" i="2"/>
  <c r="CV49" i="4"/>
  <c r="CT49" i="4"/>
  <c r="CU49" i="4"/>
  <c r="S62" i="3"/>
  <c r="BJ65" i="2"/>
  <c r="CW63" i="4"/>
  <c r="CV63" i="4"/>
  <c r="CU63" i="4"/>
  <c r="CT63" i="4"/>
  <c r="S63" i="3"/>
  <c r="BJ66" i="2"/>
  <c r="CW64" i="4"/>
  <c r="CU64" i="4"/>
  <c r="CV64" i="4"/>
  <c r="CT64" i="4"/>
  <c r="S12" i="3"/>
  <c r="BJ12" i="2"/>
  <c r="CV12" i="4"/>
  <c r="CW12" i="4"/>
  <c r="CU12" i="4"/>
  <c r="CT12" i="4"/>
  <c r="S14" i="3"/>
  <c r="CW14" i="4"/>
  <c r="BJ14" i="2"/>
  <c r="CV14" i="4"/>
  <c r="CT14" i="4"/>
  <c r="CU14" i="4"/>
  <c r="S16" i="3"/>
  <c r="BJ16" i="2"/>
  <c r="CV16" i="4"/>
  <c r="CW16" i="4"/>
  <c r="CU16" i="4"/>
  <c r="CT16" i="4"/>
  <c r="S13" i="3"/>
  <c r="BJ13" i="2"/>
  <c r="CW13" i="4"/>
  <c r="CV13" i="4"/>
  <c r="CU13" i="4"/>
  <c r="CT13" i="4"/>
  <c r="Q25" i="5"/>
  <c r="BJ28" i="1"/>
  <c r="S82" i="3"/>
  <c r="BJ94" i="2"/>
  <c r="CV104" i="4"/>
  <c r="CW104" i="4"/>
  <c r="CU104" i="4"/>
  <c r="CT104" i="4"/>
  <c r="S83" i="3"/>
  <c r="BJ29" i="1"/>
  <c r="Q26" i="5"/>
  <c r="BJ95" i="2"/>
  <c r="CW105" i="4"/>
  <c r="CV105" i="4"/>
  <c r="CU105" i="4"/>
  <c r="CT105" i="4"/>
  <c r="S17" i="3"/>
  <c r="BJ17" i="2"/>
  <c r="CW17" i="4"/>
  <c r="CU17" i="4"/>
  <c r="CV17" i="4"/>
  <c r="CT17" i="4"/>
  <c r="S18" i="3"/>
  <c r="CW18" i="4"/>
  <c r="BJ18" i="2"/>
  <c r="CV18" i="4"/>
  <c r="CT18" i="4"/>
  <c r="CU18" i="4"/>
  <c r="S19" i="3"/>
  <c r="CW19" i="4"/>
  <c r="BJ19" i="2"/>
  <c r="CV19" i="4"/>
  <c r="CT19" i="4"/>
  <c r="CU19" i="4"/>
  <c r="S20" i="3"/>
  <c r="BJ20" i="2"/>
  <c r="CV20" i="4"/>
  <c r="CW20" i="4"/>
  <c r="CU20" i="4"/>
  <c r="CT20" i="4"/>
  <c r="S64" i="3"/>
  <c r="BJ67" i="2"/>
  <c r="CW65" i="4"/>
  <c r="CV65" i="4"/>
  <c r="CT65" i="4"/>
  <c r="CU65" i="4"/>
  <c r="S65" i="3"/>
  <c r="CV66" i="4"/>
  <c r="BJ68" i="2"/>
  <c r="CW66" i="4"/>
  <c r="CU66" i="4"/>
  <c r="CT66" i="4"/>
  <c r="S66" i="3"/>
  <c r="BJ69" i="2"/>
  <c r="CW67" i="4"/>
  <c r="CU67" i="4"/>
  <c r="CV67" i="4"/>
  <c r="CT67" i="4"/>
  <c r="S67" i="3"/>
  <c r="BJ70" i="2"/>
  <c r="CW68" i="4"/>
  <c r="CU68" i="4"/>
  <c r="CV68" i="4"/>
  <c r="CT68" i="4"/>
  <c r="S68" i="3"/>
  <c r="BJ71" i="2"/>
  <c r="CW69" i="4"/>
  <c r="CV69" i="4"/>
  <c r="CT69" i="4"/>
  <c r="CU69" i="4"/>
  <c r="S69" i="3"/>
  <c r="CV70" i="4"/>
  <c r="BJ72" i="2"/>
  <c r="CW70" i="4"/>
  <c r="CU70" i="4"/>
  <c r="CT70" i="4"/>
  <c r="Q21" i="5"/>
  <c r="S78" i="3"/>
  <c r="BJ24" i="1"/>
  <c r="BJ90" i="2"/>
  <c r="CW97" i="4"/>
  <c r="CU97" i="4"/>
  <c r="CV97" i="4"/>
  <c r="CT97" i="4"/>
  <c r="S86" i="3"/>
  <c r="BJ45" i="1"/>
  <c r="Q50" i="5"/>
  <c r="CW119" i="4"/>
  <c r="BJ98" i="2"/>
  <c r="CV119" i="4"/>
  <c r="CU119" i="4"/>
  <c r="CT119" i="4"/>
  <c r="Q33" i="5"/>
  <c r="S88" i="3"/>
  <c r="BJ35" i="1"/>
  <c r="CW109" i="4"/>
  <c r="BJ100" i="2"/>
  <c r="CV109" i="4"/>
  <c r="CU109" i="4"/>
  <c r="CT109" i="4"/>
  <c r="BJ36" i="1"/>
  <c r="Q34" i="5"/>
  <c r="CW110" i="4"/>
  <c r="CU110" i="4"/>
  <c r="CV110" i="4"/>
  <c r="CT110" i="4"/>
  <c r="Q47" i="5"/>
  <c r="S89" i="3"/>
  <c r="BJ43" i="1"/>
  <c r="BJ101" i="2"/>
  <c r="CW121" i="4"/>
  <c r="CV121" i="4"/>
  <c r="CU121" i="4"/>
  <c r="CT121" i="4"/>
  <c r="Q28" i="5"/>
  <c r="S91" i="3"/>
  <c r="BJ31" i="1"/>
  <c r="CW99" i="4"/>
  <c r="BJ103" i="2"/>
  <c r="CV99" i="4"/>
  <c r="CT99" i="4"/>
  <c r="CU99" i="4"/>
  <c r="Q48" i="5"/>
  <c r="S94" i="3"/>
  <c r="BJ44" i="1"/>
  <c r="CW118" i="4"/>
  <c r="BJ106" i="2"/>
  <c r="CU118" i="4"/>
  <c r="CV118" i="4"/>
  <c r="CT118" i="4"/>
  <c r="CW80" i="4"/>
  <c r="BJ61" i="2"/>
  <c r="CU80" i="4"/>
  <c r="CV80" i="4"/>
  <c r="CT80" i="4"/>
  <c r="BJ10" i="1"/>
  <c r="CV82" i="4"/>
  <c r="CW82" i="4"/>
  <c r="CU82" i="4"/>
  <c r="CT82" i="4"/>
  <c r="P4" i="5"/>
  <c r="BJ4" i="1"/>
  <c r="BI4" i="1"/>
  <c r="CW79" i="4"/>
  <c r="BJ60" i="2"/>
  <c r="CU79" i="4"/>
  <c r="CV79" i="4"/>
  <c r="CT79" i="4"/>
  <c r="BJ12" i="1"/>
  <c r="Q8" i="5"/>
  <c r="BJ83" i="2"/>
  <c r="CW84" i="4"/>
  <c r="CU84" i="4"/>
  <c r="CV84" i="4"/>
  <c r="CT84" i="4"/>
  <c r="Q9" i="5"/>
  <c r="BJ13" i="1"/>
  <c r="CW85" i="4"/>
  <c r="BJ84" i="2"/>
  <c r="CV85" i="4"/>
  <c r="CU85" i="4"/>
  <c r="CT85" i="4"/>
  <c r="Q10" i="5"/>
  <c r="BJ14" i="1"/>
  <c r="BJ85" i="2"/>
  <c r="CV86" i="4"/>
  <c r="CW86" i="4"/>
  <c r="CU86" i="4"/>
  <c r="CT86" i="4"/>
  <c r="S8" i="3"/>
  <c r="CW8" i="4"/>
  <c r="BJ8" i="2"/>
  <c r="CV8" i="4"/>
  <c r="CT8" i="4"/>
  <c r="CU8" i="4"/>
  <c r="S46" i="3"/>
  <c r="BJ46" i="2"/>
  <c r="CV46" i="4"/>
  <c r="CW46" i="4"/>
  <c r="CU46" i="4"/>
  <c r="CT46" i="4"/>
  <c r="S47" i="3"/>
  <c r="BJ47" i="2"/>
  <c r="CW47" i="4"/>
  <c r="CU47" i="4"/>
  <c r="CV47" i="4"/>
  <c r="CT47" i="4"/>
  <c r="S15" i="3"/>
  <c r="CW15" i="4"/>
  <c r="BJ15" i="2"/>
  <c r="CV15" i="4"/>
  <c r="CT15" i="4"/>
  <c r="CU15" i="4"/>
  <c r="S70" i="3"/>
  <c r="BJ73" i="2"/>
  <c r="CW71" i="4"/>
  <c r="CV71" i="4"/>
  <c r="CU71" i="4"/>
  <c r="CT71" i="4"/>
  <c r="Q7" i="5"/>
  <c r="BJ11" i="1"/>
  <c r="CW83" i="4"/>
  <c r="CU83" i="4"/>
  <c r="CV83" i="4"/>
  <c r="CT83" i="4"/>
  <c r="Q11" i="5"/>
  <c r="BJ15" i="1"/>
  <c r="BJ86" i="2"/>
  <c r="CW87" i="4"/>
  <c r="CV87" i="4"/>
  <c r="CU87" i="4"/>
  <c r="CT87" i="4"/>
  <c r="BJ16" i="1"/>
  <c r="Q12" i="5"/>
  <c r="BJ87" i="2"/>
  <c r="CW88" i="4"/>
  <c r="CU88" i="4"/>
  <c r="CV88" i="4"/>
  <c r="CT88" i="4"/>
  <c r="Q14" i="5"/>
  <c r="BJ18" i="1"/>
  <c r="BJ89" i="2"/>
  <c r="CV90" i="4"/>
  <c r="CW90" i="4"/>
  <c r="CU90" i="4"/>
  <c r="CT90" i="4"/>
  <c r="S99" i="3"/>
  <c r="BJ50" i="1"/>
  <c r="Q42" i="5"/>
  <c r="BJ113" i="2"/>
  <c r="CV124" i="4"/>
  <c r="CW124" i="4"/>
  <c r="CU124" i="4"/>
  <c r="CT124" i="4"/>
  <c r="S44" i="3"/>
  <c r="CW44" i="4"/>
  <c r="BJ44" i="2"/>
  <c r="CU44" i="4"/>
  <c r="CV44" i="4"/>
  <c r="CT44" i="4"/>
  <c r="S38" i="3"/>
  <c r="BJ38" i="2"/>
  <c r="CV38" i="4"/>
  <c r="CW38" i="4"/>
  <c r="CU38" i="4"/>
  <c r="CT38" i="4"/>
  <c r="S39" i="3"/>
  <c r="BJ39" i="2"/>
  <c r="CW39" i="4"/>
  <c r="CU39" i="4"/>
  <c r="CV39" i="4"/>
  <c r="CT39" i="4"/>
  <c r="BJ17" i="1"/>
  <c r="Q13" i="5"/>
  <c r="CW89" i="4"/>
  <c r="BJ88" i="2"/>
  <c r="CV89" i="4"/>
  <c r="CU89" i="4"/>
  <c r="CT89" i="4"/>
  <c r="BJ46" i="1"/>
  <c r="Q51" i="5"/>
  <c r="S87" i="3"/>
  <c r="BJ99" i="2"/>
  <c r="CV120" i="4"/>
  <c r="CW120" i="4"/>
  <c r="CU120" i="4"/>
  <c r="CT120" i="4"/>
  <c r="Q15" i="5"/>
  <c r="BJ19" i="1"/>
  <c r="CW93" i="4"/>
  <c r="CV93" i="4"/>
  <c r="CU93" i="4"/>
  <c r="CT93" i="4"/>
  <c r="H4" i="5"/>
  <c r="R97" i="3"/>
  <c r="O97" i="3"/>
  <c r="N97" i="3"/>
  <c r="M97" i="3"/>
  <c r="J97" i="3"/>
  <c r="K97" i="3"/>
  <c r="L97" i="3"/>
  <c r="P37" i="3"/>
  <c r="Q37" i="3"/>
  <c r="J30" i="5"/>
  <c r="BB11" i="1"/>
  <c r="A157" i="8"/>
  <c r="DK83" i="4" s="1"/>
  <c r="CQ83" i="4"/>
  <c r="CO83" i="4"/>
  <c r="CP83" i="4"/>
  <c r="CR83" i="4"/>
  <c r="BI11" i="1"/>
  <c r="P7" i="5"/>
  <c r="CI83" i="4"/>
  <c r="M7" i="5"/>
  <c r="CJ83" i="4"/>
  <c r="CK83" i="4"/>
  <c r="BF11" i="1"/>
  <c r="BE11" i="1"/>
  <c r="L7" i="5"/>
  <c r="K7" i="5"/>
  <c r="BD11" i="1"/>
  <c r="CH83" i="4"/>
  <c r="BA11" i="1"/>
  <c r="BB33" i="1"/>
  <c r="I30" i="5"/>
  <c r="BU83" i="4"/>
  <c r="BP83" i="4"/>
  <c r="BK83" i="4"/>
  <c r="BF83" i="4"/>
  <c r="BZ83" i="4"/>
  <c r="CE83" i="4"/>
  <c r="BV83" i="4"/>
  <c r="BQ83" i="4"/>
  <c r="BL83" i="4"/>
  <c r="BG83" i="4"/>
  <c r="CA83" i="4"/>
  <c r="CF83" i="4"/>
  <c r="BC33" i="1"/>
  <c r="P30" i="5"/>
  <c r="BF33" i="1"/>
  <c r="M30" i="5"/>
  <c r="BI33" i="1"/>
  <c r="L30" i="5"/>
  <c r="BE33" i="1"/>
  <c r="K30" i="5"/>
  <c r="BD33" i="1"/>
  <c r="AZ11" i="1"/>
  <c r="BC11" i="1"/>
  <c r="H7" i="5"/>
  <c r="I7" i="5"/>
  <c r="BS83" i="4"/>
  <c r="BN83" i="4"/>
  <c r="BI83" i="4"/>
  <c r="BD83" i="4"/>
  <c r="BX83" i="4"/>
  <c r="CC83" i="4"/>
  <c r="AZ33" i="1"/>
  <c r="BA33" i="1"/>
  <c r="H30" i="5"/>
  <c r="J7" i="5"/>
  <c r="BT83" i="4"/>
  <c r="BO83" i="4"/>
  <c r="BJ83" i="4"/>
  <c r="BE83" i="4"/>
  <c r="BY83" i="4"/>
  <c r="CD83" i="4"/>
  <c r="R72" i="3"/>
  <c r="CO98" i="4"/>
  <c r="CP98" i="4"/>
  <c r="CQ98" i="4"/>
  <c r="CQ107" i="4"/>
  <c r="CP107" i="4"/>
  <c r="CO107" i="4"/>
  <c r="CP90" i="4"/>
  <c r="CR90" i="4"/>
  <c r="CQ90" i="4"/>
  <c r="CO90" i="4"/>
  <c r="R99" i="3"/>
  <c r="CQ124" i="4"/>
  <c r="CO124" i="4"/>
  <c r="CP124" i="4"/>
  <c r="CO102" i="4"/>
  <c r="CP102" i="4"/>
  <c r="CQ102" i="4"/>
  <c r="CQ111" i="4"/>
  <c r="CO111" i="4"/>
  <c r="CP111" i="4"/>
  <c r="CQ106" i="4"/>
  <c r="CO106" i="4"/>
  <c r="CP106" i="4"/>
  <c r="CQ109" i="4"/>
  <c r="CO109" i="4"/>
  <c r="CP109" i="4"/>
  <c r="CP99" i="4"/>
  <c r="CO99" i="4"/>
  <c r="CQ99" i="4"/>
  <c r="CO84" i="4"/>
  <c r="CR84" i="4"/>
  <c r="CP84" i="4"/>
  <c r="CQ84" i="4"/>
  <c r="BI19" i="1"/>
  <c r="CP93" i="4"/>
  <c r="CR93" i="4"/>
  <c r="CQ93" i="4"/>
  <c r="CO93" i="4"/>
  <c r="CQ100" i="4"/>
  <c r="CO100" i="4"/>
  <c r="CP100" i="4"/>
  <c r="R94" i="3"/>
  <c r="CQ118" i="4"/>
  <c r="CO118" i="4"/>
  <c r="CP118" i="4"/>
  <c r="R69" i="3"/>
  <c r="CO85" i="4"/>
  <c r="CR85" i="4"/>
  <c r="CP85" i="4"/>
  <c r="CQ85" i="4"/>
  <c r="R83" i="3"/>
  <c r="CO105" i="4"/>
  <c r="CP105" i="4"/>
  <c r="CQ105" i="4"/>
  <c r="CQ119" i="4"/>
  <c r="CO119" i="4"/>
  <c r="CP119" i="4"/>
  <c r="CO120" i="4"/>
  <c r="CP120" i="4"/>
  <c r="CQ120" i="4"/>
  <c r="CQ101" i="4"/>
  <c r="CO101" i="4"/>
  <c r="CP101" i="4"/>
  <c r="CQ114" i="4"/>
  <c r="CO114" i="4"/>
  <c r="CP114" i="4"/>
  <c r="CO122" i="4"/>
  <c r="CP122" i="4"/>
  <c r="CQ122" i="4"/>
  <c r="R40" i="3"/>
  <c r="CQ110" i="4"/>
  <c r="CP110" i="4"/>
  <c r="CO110" i="4"/>
  <c r="CQ87" i="4"/>
  <c r="CP87" i="4"/>
  <c r="CR87" i="4"/>
  <c r="CO87" i="4"/>
  <c r="CO89" i="4"/>
  <c r="CP89" i="4"/>
  <c r="CQ89" i="4"/>
  <c r="CR89" i="4"/>
  <c r="CQ108" i="4"/>
  <c r="CO108" i="4"/>
  <c r="CP108" i="4"/>
  <c r="CQ116" i="4"/>
  <c r="CP116" i="4"/>
  <c r="CO116" i="4"/>
  <c r="CQ104" i="4"/>
  <c r="CO104" i="4"/>
  <c r="CP104" i="4"/>
  <c r="CQ97" i="4"/>
  <c r="CR97" i="4"/>
  <c r="CO97" i="4"/>
  <c r="CP97" i="4"/>
  <c r="CQ121" i="4"/>
  <c r="CO121" i="4"/>
  <c r="CP121" i="4"/>
  <c r="CQ82" i="4"/>
  <c r="CR82" i="4"/>
  <c r="CO82" i="4"/>
  <c r="CP82" i="4"/>
  <c r="CP86" i="4"/>
  <c r="CR86" i="4"/>
  <c r="CQ86" i="4"/>
  <c r="CO86" i="4"/>
  <c r="CO88" i="4"/>
  <c r="CR88" i="4"/>
  <c r="CP88" i="4"/>
  <c r="CQ88" i="4"/>
  <c r="BG37" i="2"/>
  <c r="BH37" i="2"/>
  <c r="Q23" i="3"/>
  <c r="P23" i="3"/>
  <c r="Q31" i="3"/>
  <c r="P31" i="3"/>
  <c r="Q50" i="3"/>
  <c r="P50" i="3"/>
  <c r="P102" i="3"/>
  <c r="Q102" i="3"/>
  <c r="Q100" i="3"/>
  <c r="P100" i="3"/>
  <c r="P109" i="3"/>
  <c r="Q109" i="3"/>
  <c r="Q114" i="3"/>
  <c r="P114" i="3"/>
  <c r="Q121" i="3"/>
  <c r="P121" i="3"/>
  <c r="Q125" i="3"/>
  <c r="P125" i="3"/>
  <c r="Q129" i="3"/>
  <c r="P129" i="3"/>
  <c r="Q133" i="3"/>
  <c r="P133" i="3"/>
  <c r="Q137" i="3"/>
  <c r="P137" i="3"/>
  <c r="Q141" i="3"/>
  <c r="P141" i="3"/>
  <c r="Q145" i="3"/>
  <c r="P145" i="3"/>
  <c r="Q149" i="3"/>
  <c r="P149" i="3"/>
  <c r="Q153" i="3"/>
  <c r="P153" i="3"/>
  <c r="Q157" i="3"/>
  <c r="P157" i="3"/>
  <c r="Q161" i="3"/>
  <c r="P161" i="3"/>
  <c r="Q165" i="3"/>
  <c r="P165" i="3"/>
  <c r="Q169" i="3"/>
  <c r="P169" i="3"/>
  <c r="Q173" i="3"/>
  <c r="P173" i="3"/>
  <c r="Q177" i="3"/>
  <c r="P177" i="3"/>
  <c r="Q181" i="3"/>
  <c r="P181" i="3"/>
  <c r="N6" i="5"/>
  <c r="O6" i="5"/>
  <c r="O40" i="5"/>
  <c r="N40" i="5"/>
  <c r="O45" i="5"/>
  <c r="N45" i="5"/>
  <c r="O55" i="5"/>
  <c r="N55" i="5"/>
  <c r="O59" i="5"/>
  <c r="N59" i="5"/>
  <c r="O66" i="5"/>
  <c r="N66" i="5"/>
  <c r="O74" i="5"/>
  <c r="N74" i="5"/>
  <c r="O78" i="5"/>
  <c r="N78" i="5"/>
  <c r="O82" i="5"/>
  <c r="N82" i="5"/>
  <c r="O86" i="5"/>
  <c r="N86" i="5"/>
  <c r="O90" i="5"/>
  <c r="N90" i="5"/>
  <c r="O94" i="5"/>
  <c r="N94" i="5"/>
  <c r="O98" i="5"/>
  <c r="N98" i="5"/>
  <c r="O102" i="5"/>
  <c r="N102" i="5"/>
  <c r="O106" i="5"/>
  <c r="N106" i="5"/>
  <c r="O110" i="5"/>
  <c r="N110" i="5"/>
  <c r="O114" i="5"/>
  <c r="N114" i="5"/>
  <c r="O118" i="5"/>
  <c r="N118" i="5"/>
  <c r="O122" i="5"/>
  <c r="N122" i="5"/>
  <c r="O126" i="5"/>
  <c r="N126" i="5"/>
  <c r="N24" i="5"/>
  <c r="O24" i="5"/>
  <c r="P11" i="3"/>
  <c r="Q11" i="3"/>
  <c r="P26" i="3"/>
  <c r="Q26" i="3"/>
  <c r="P32" i="3"/>
  <c r="Q32" i="3"/>
  <c r="P59" i="3"/>
  <c r="Q59" i="3"/>
  <c r="P98" i="3"/>
  <c r="Q98" i="3"/>
  <c r="P107" i="3"/>
  <c r="Q107" i="3"/>
  <c r="P111" i="3"/>
  <c r="Q111" i="3"/>
  <c r="P115" i="3"/>
  <c r="Q115" i="3"/>
  <c r="P122" i="3"/>
  <c r="Q122" i="3"/>
  <c r="P126" i="3"/>
  <c r="Q126" i="3"/>
  <c r="P130" i="3"/>
  <c r="Q130" i="3"/>
  <c r="P134" i="3"/>
  <c r="Q134" i="3"/>
  <c r="P138" i="3"/>
  <c r="Q138" i="3"/>
  <c r="Q142" i="3"/>
  <c r="P142" i="3"/>
  <c r="P146" i="3"/>
  <c r="Q146" i="3"/>
  <c r="Q150" i="3"/>
  <c r="P150" i="3"/>
  <c r="Q154" i="3"/>
  <c r="P154" i="3"/>
  <c r="Q158" i="3"/>
  <c r="P158" i="3"/>
  <c r="Q162" i="3"/>
  <c r="P162" i="3"/>
  <c r="Q166" i="3"/>
  <c r="P166" i="3"/>
  <c r="Q170" i="3"/>
  <c r="P170" i="3"/>
  <c r="Q174" i="3"/>
  <c r="P174" i="3"/>
  <c r="P178" i="3"/>
  <c r="Q178" i="3"/>
  <c r="Q182" i="3"/>
  <c r="P182" i="3"/>
  <c r="O41" i="5"/>
  <c r="N41" i="5"/>
  <c r="O49" i="5"/>
  <c r="N49" i="5"/>
  <c r="O56" i="5"/>
  <c r="N56" i="5"/>
  <c r="O63" i="5"/>
  <c r="N63" i="5"/>
  <c r="N67" i="5"/>
  <c r="O67" i="5"/>
  <c r="O71" i="5"/>
  <c r="N71" i="5"/>
  <c r="O75" i="5"/>
  <c r="N75" i="5"/>
  <c r="O79" i="5"/>
  <c r="N79" i="5"/>
  <c r="N83" i="5"/>
  <c r="O83" i="5"/>
  <c r="O87" i="5"/>
  <c r="N87" i="5"/>
  <c r="O91" i="5"/>
  <c r="N91" i="5"/>
  <c r="O95" i="5"/>
  <c r="N95" i="5"/>
  <c r="N99" i="5"/>
  <c r="O99" i="5"/>
  <c r="O103" i="5"/>
  <c r="N103" i="5"/>
  <c r="O107" i="5"/>
  <c r="N107" i="5"/>
  <c r="O111" i="5"/>
  <c r="N111" i="5"/>
  <c r="N115" i="5"/>
  <c r="O115" i="5"/>
  <c r="O119" i="5"/>
  <c r="N119" i="5"/>
  <c r="O123" i="5"/>
  <c r="N123" i="5"/>
  <c r="O127" i="5"/>
  <c r="N127" i="5"/>
  <c r="P81" i="3"/>
  <c r="Q81" i="3"/>
  <c r="Q21" i="3"/>
  <c r="P21" i="3"/>
  <c r="P27" i="3"/>
  <c r="Q27" i="3"/>
  <c r="Q35" i="3"/>
  <c r="P35" i="3"/>
  <c r="Q74" i="3"/>
  <c r="P74" i="3"/>
  <c r="P105" i="3"/>
  <c r="Q105" i="3"/>
  <c r="Q108" i="3"/>
  <c r="P108" i="3"/>
  <c r="P112" i="3"/>
  <c r="Q112" i="3"/>
  <c r="Q116" i="3"/>
  <c r="P116" i="3"/>
  <c r="P123" i="3"/>
  <c r="Q123" i="3"/>
  <c r="P131" i="3"/>
  <c r="Q131" i="3"/>
  <c r="Q135" i="3"/>
  <c r="P135" i="3"/>
  <c r="P139" i="3"/>
  <c r="Q139" i="3"/>
  <c r="Q143" i="3"/>
  <c r="P143" i="3"/>
  <c r="Q147" i="3"/>
  <c r="P147" i="3"/>
  <c r="Q151" i="3"/>
  <c r="P151" i="3"/>
  <c r="Q155" i="3"/>
  <c r="P155" i="3"/>
  <c r="Q159" i="3"/>
  <c r="P159" i="3"/>
  <c r="Q163" i="3"/>
  <c r="P163" i="3"/>
  <c r="Q167" i="3"/>
  <c r="P167" i="3"/>
  <c r="Q171" i="3"/>
  <c r="P171" i="3"/>
  <c r="Q175" i="3"/>
  <c r="P175" i="3"/>
  <c r="Q179" i="3"/>
  <c r="P179" i="3"/>
  <c r="O43" i="5"/>
  <c r="N43" i="5"/>
  <c r="O52" i="5"/>
  <c r="N52" i="5"/>
  <c r="O57" i="5"/>
  <c r="N57" i="5"/>
  <c r="O64" i="5"/>
  <c r="N64" i="5"/>
  <c r="O68" i="5"/>
  <c r="N68" i="5"/>
  <c r="O72" i="5"/>
  <c r="N72" i="5"/>
  <c r="O76" i="5"/>
  <c r="N76" i="5"/>
  <c r="O80" i="5"/>
  <c r="N80" i="5"/>
  <c r="O84" i="5"/>
  <c r="N84" i="5"/>
  <c r="O88" i="5"/>
  <c r="N88" i="5"/>
  <c r="O92" i="5"/>
  <c r="N92" i="5"/>
  <c r="O96" i="5"/>
  <c r="N96" i="5"/>
  <c r="O100" i="5"/>
  <c r="N100" i="5"/>
  <c r="O104" i="5"/>
  <c r="N104" i="5"/>
  <c r="O108" i="5"/>
  <c r="N108" i="5"/>
  <c r="O112" i="5"/>
  <c r="N112" i="5"/>
  <c r="O116" i="5"/>
  <c r="N116" i="5"/>
  <c r="O120" i="5"/>
  <c r="N120" i="5"/>
  <c r="O124" i="5"/>
  <c r="N124" i="5"/>
  <c r="O128" i="5"/>
  <c r="N128" i="5"/>
  <c r="O16" i="5"/>
  <c r="N16" i="5"/>
  <c r="O18" i="5"/>
  <c r="N18" i="5"/>
  <c r="P22" i="3"/>
  <c r="Q22" i="3"/>
  <c r="P30" i="3"/>
  <c r="Q30" i="3"/>
  <c r="P36" i="3"/>
  <c r="Q36" i="3"/>
  <c r="Q106" i="3"/>
  <c r="P106" i="3"/>
  <c r="P101" i="3"/>
  <c r="Q101" i="3"/>
  <c r="P113" i="3"/>
  <c r="Q113" i="3"/>
  <c r="P120" i="3"/>
  <c r="Q120" i="3"/>
  <c r="P124" i="3"/>
  <c r="Q124" i="3"/>
  <c r="P128" i="3"/>
  <c r="Q128" i="3"/>
  <c r="P132" i="3"/>
  <c r="Q132" i="3"/>
  <c r="P136" i="3"/>
  <c r="Q136" i="3"/>
  <c r="P140" i="3"/>
  <c r="Q140" i="3"/>
  <c r="Q144" i="3"/>
  <c r="P144" i="3"/>
  <c r="P148" i="3"/>
  <c r="Q148" i="3"/>
  <c r="Q152" i="3"/>
  <c r="P152" i="3"/>
  <c r="P156" i="3"/>
  <c r="Q156" i="3"/>
  <c r="P160" i="3"/>
  <c r="Q160" i="3"/>
  <c r="P164" i="3"/>
  <c r="Q164" i="3"/>
  <c r="Q168" i="3"/>
  <c r="P168" i="3"/>
  <c r="P172" i="3"/>
  <c r="Q172" i="3"/>
  <c r="Q176" i="3"/>
  <c r="P176" i="3"/>
  <c r="P180" i="3"/>
  <c r="Q180" i="3"/>
  <c r="O39" i="5"/>
  <c r="N39" i="5"/>
  <c r="O44" i="5"/>
  <c r="N44" i="5"/>
  <c r="O54" i="5"/>
  <c r="N54" i="5"/>
  <c r="N58" i="5"/>
  <c r="O58" i="5"/>
  <c r="O65" i="5"/>
  <c r="N65" i="5"/>
  <c r="N69" i="5"/>
  <c r="O69" i="5"/>
  <c r="O73" i="5"/>
  <c r="N73" i="5"/>
  <c r="N77" i="5"/>
  <c r="O77" i="5"/>
  <c r="O81" i="5"/>
  <c r="N81" i="5"/>
  <c r="N85" i="5"/>
  <c r="O85" i="5"/>
  <c r="O89" i="5"/>
  <c r="N89" i="5"/>
  <c r="N93" i="5"/>
  <c r="O93" i="5"/>
  <c r="O97" i="5"/>
  <c r="N97" i="5"/>
  <c r="N101" i="5"/>
  <c r="O101" i="5"/>
  <c r="O105" i="5"/>
  <c r="N105" i="5"/>
  <c r="N109" i="5"/>
  <c r="O109" i="5"/>
  <c r="O113" i="5"/>
  <c r="N113" i="5"/>
  <c r="N117" i="5"/>
  <c r="O117" i="5"/>
  <c r="O121" i="5"/>
  <c r="N121" i="5"/>
  <c r="N125" i="5"/>
  <c r="O125" i="5"/>
  <c r="O129" i="5"/>
  <c r="N129" i="5"/>
  <c r="R8" i="3"/>
  <c r="R28" i="3"/>
  <c r="R56" i="3"/>
  <c r="R38" i="3"/>
  <c r="R93" i="3"/>
  <c r="R45" i="3"/>
  <c r="R54" i="3"/>
  <c r="R49" i="3"/>
  <c r="R65" i="3"/>
  <c r="R63" i="3"/>
  <c r="R96" i="3"/>
  <c r="BI6" i="2"/>
  <c r="R6" i="3"/>
  <c r="R110" i="3"/>
  <c r="R79" i="3"/>
  <c r="R84" i="3"/>
  <c r="BI12" i="2"/>
  <c r="R12" i="3"/>
  <c r="R85" i="3"/>
  <c r="R75" i="3"/>
  <c r="BI41" i="2"/>
  <c r="R41" i="3"/>
  <c r="BI51" i="2"/>
  <c r="R51" i="3"/>
  <c r="BI57" i="2"/>
  <c r="R57" i="3"/>
  <c r="BI14" i="2"/>
  <c r="R14" i="3"/>
  <c r="BI19" i="2"/>
  <c r="R19" i="3"/>
  <c r="R78" i="3"/>
  <c r="R89" i="3"/>
  <c r="BI10" i="1"/>
  <c r="BI73" i="2"/>
  <c r="R70" i="3"/>
  <c r="BI39" i="2"/>
  <c r="R39" i="3"/>
  <c r="BI70" i="2"/>
  <c r="R67" i="3"/>
  <c r="R18" i="3"/>
  <c r="R76" i="3"/>
  <c r="R52" i="3"/>
  <c r="R16" i="3"/>
  <c r="BI15" i="2"/>
  <c r="R15" i="3"/>
  <c r="BI44" i="2"/>
  <c r="R44" i="3"/>
  <c r="R90" i="3"/>
  <c r="R42" i="3"/>
  <c r="R58" i="3"/>
  <c r="R20" i="3"/>
  <c r="R87" i="3"/>
  <c r="R92" i="3"/>
  <c r="R77" i="3"/>
  <c r="R43" i="3"/>
  <c r="R53" i="3"/>
  <c r="R48" i="3"/>
  <c r="BI13" i="2"/>
  <c r="R13" i="3"/>
  <c r="R64" i="3"/>
  <c r="R91" i="3"/>
  <c r="R95" i="3"/>
  <c r="BI5" i="2"/>
  <c r="R5" i="3"/>
  <c r="BI24" i="2"/>
  <c r="R24" i="3"/>
  <c r="BI76" i="2"/>
  <c r="R73" i="3"/>
  <c r="R62" i="3"/>
  <c r="R82" i="3"/>
  <c r="R66" i="3"/>
  <c r="R46" i="3"/>
  <c r="R25" i="3"/>
  <c r="R86" i="3"/>
  <c r="R80" i="3"/>
  <c r="BI110" i="2"/>
  <c r="BI7" i="2"/>
  <c r="R7" i="3"/>
  <c r="BI29" i="2"/>
  <c r="R29" i="3"/>
  <c r="BI55" i="2"/>
  <c r="R55" i="3"/>
  <c r="BI17" i="2"/>
  <c r="R17" i="3"/>
  <c r="R68" i="3"/>
  <c r="R88" i="3"/>
  <c r="BI47" i="2"/>
  <c r="R47" i="3"/>
  <c r="BI71" i="2"/>
  <c r="BI100" i="2"/>
  <c r="BI35" i="1"/>
  <c r="BI30" i="1"/>
  <c r="BI96" i="2"/>
  <c r="BI56" i="1"/>
  <c r="BI118" i="2"/>
  <c r="BI40" i="2"/>
  <c r="BI28" i="2"/>
  <c r="BI56" i="2"/>
  <c r="BI18" i="2"/>
  <c r="BI72" i="2"/>
  <c r="P34" i="5"/>
  <c r="BI36" i="1"/>
  <c r="BI61" i="2"/>
  <c r="BI38" i="2"/>
  <c r="BI88" i="2"/>
  <c r="BI17" i="1"/>
  <c r="BI32" i="1"/>
  <c r="BI102" i="2"/>
  <c r="BI79" i="2"/>
  <c r="BI8" i="1"/>
  <c r="BI58" i="2"/>
  <c r="BI99" i="2"/>
  <c r="BI46" i="1"/>
  <c r="BI24" i="1"/>
  <c r="BI90" i="2"/>
  <c r="BI43" i="1"/>
  <c r="BI101" i="2"/>
  <c r="BI52" i="2"/>
  <c r="BI20" i="2"/>
  <c r="BI60" i="2"/>
  <c r="BI104" i="2"/>
  <c r="BI37" i="1"/>
  <c r="BI80" i="2"/>
  <c r="BI9" i="1"/>
  <c r="BI53" i="2"/>
  <c r="BI48" i="2"/>
  <c r="BI67" i="2"/>
  <c r="BI31" i="1"/>
  <c r="BI103" i="2"/>
  <c r="BI83" i="2"/>
  <c r="BI12" i="1"/>
  <c r="BI42" i="2"/>
  <c r="BI16" i="2"/>
  <c r="BI43" i="2"/>
  <c r="BI40" i="1"/>
  <c r="BI105" i="2"/>
  <c r="BI45" i="2"/>
  <c r="BI54" i="2"/>
  <c r="BI49" i="2"/>
  <c r="BI68" i="2"/>
  <c r="BI13" i="1"/>
  <c r="BI84" i="2"/>
  <c r="BI86" i="2"/>
  <c r="BI15" i="1"/>
  <c r="BI97" i="2"/>
  <c r="BI34" i="1"/>
  <c r="BI78" i="2"/>
  <c r="BI7" i="1"/>
  <c r="BI65" i="2"/>
  <c r="P25" i="5"/>
  <c r="BI94" i="2"/>
  <c r="BI28" i="1"/>
  <c r="BI69" i="2"/>
  <c r="P10" i="5"/>
  <c r="BI14" i="1"/>
  <c r="BI85" i="2"/>
  <c r="P12" i="5"/>
  <c r="BI87" i="2"/>
  <c r="BI16" i="1"/>
  <c r="BI26" i="1"/>
  <c r="BI92" i="2"/>
  <c r="P46" i="5"/>
  <c r="BI42" i="1"/>
  <c r="BI107" i="2"/>
  <c r="BI25" i="1"/>
  <c r="BI91" i="2"/>
  <c r="BI47" i="1"/>
  <c r="BI109" i="2"/>
  <c r="BI25" i="2"/>
  <c r="BI75" i="2"/>
  <c r="BI66" i="2"/>
  <c r="P26" i="5"/>
  <c r="BI95" i="2"/>
  <c r="BI29" i="1"/>
  <c r="P50" i="5"/>
  <c r="BI98" i="2"/>
  <c r="BI45" i="1"/>
  <c r="BI44" i="1"/>
  <c r="BI106" i="2"/>
  <c r="BI8" i="2"/>
  <c r="BI46" i="2"/>
  <c r="BI89" i="2"/>
  <c r="BI18" i="1"/>
  <c r="P42" i="5"/>
  <c r="BI113" i="2"/>
  <c r="BI50" i="1"/>
  <c r="P47" i="5"/>
  <c r="P27" i="5"/>
  <c r="P53" i="5"/>
  <c r="P13" i="5"/>
  <c r="P51" i="5"/>
  <c r="P35" i="5"/>
  <c r="P29" i="5"/>
  <c r="P28" i="5"/>
  <c r="P8" i="5"/>
  <c r="P38" i="5"/>
  <c r="P9" i="5"/>
  <c r="P11" i="5"/>
  <c r="P22" i="5"/>
  <c r="P31" i="5"/>
  <c r="P14" i="5"/>
  <c r="P23" i="5"/>
  <c r="P33" i="5"/>
  <c r="CH93" i="4"/>
  <c r="P15" i="5"/>
  <c r="P48" i="5"/>
  <c r="P32" i="5"/>
  <c r="P21" i="5"/>
  <c r="M34" i="5"/>
  <c r="L34" i="5"/>
  <c r="K34" i="5"/>
  <c r="H34" i="5"/>
  <c r="I34" i="5"/>
  <c r="J34" i="5"/>
  <c r="BG27" i="2"/>
  <c r="BH27" i="2"/>
  <c r="BH166" i="2"/>
  <c r="BG166" i="2"/>
  <c r="BH190" i="2"/>
  <c r="BG190" i="2"/>
  <c r="BG11" i="2"/>
  <c r="BH11" i="2"/>
  <c r="BH32" i="2"/>
  <c r="BG32" i="2"/>
  <c r="BG112" i="2"/>
  <c r="BH112" i="2"/>
  <c r="BH127" i="2"/>
  <c r="BG127" i="2"/>
  <c r="BH137" i="2"/>
  <c r="BG137" i="2"/>
  <c r="BH145" i="2"/>
  <c r="BG145" i="2"/>
  <c r="BH153" i="2"/>
  <c r="BG153" i="2"/>
  <c r="BH161" i="2"/>
  <c r="BG161" i="2"/>
  <c r="BH169" i="2"/>
  <c r="BG169" i="2"/>
  <c r="BH177" i="2"/>
  <c r="BG177" i="2"/>
  <c r="BH185" i="2"/>
  <c r="BG185" i="2"/>
  <c r="BH193" i="2"/>
  <c r="BG193" i="2"/>
  <c r="BH117" i="2"/>
  <c r="BG117" i="2"/>
  <c r="BH21" i="2"/>
  <c r="BG21" i="2"/>
  <c r="BH35" i="2"/>
  <c r="BG35" i="2"/>
  <c r="BG77" i="2"/>
  <c r="BH77" i="2"/>
  <c r="BH114" i="2"/>
  <c r="BG114" i="2"/>
  <c r="BG108" i="2"/>
  <c r="BH108" i="2"/>
  <c r="BG138" i="2"/>
  <c r="BH138" i="2"/>
  <c r="BG146" i="2"/>
  <c r="BH146" i="2"/>
  <c r="BG154" i="2"/>
  <c r="BH154" i="2"/>
  <c r="BG162" i="2"/>
  <c r="BH162" i="2"/>
  <c r="BG170" i="2"/>
  <c r="BH170" i="2"/>
  <c r="BG178" i="2"/>
  <c r="BH178" i="2"/>
  <c r="BG186" i="2"/>
  <c r="BH186" i="2"/>
  <c r="BG194" i="2"/>
  <c r="BH194" i="2"/>
  <c r="BH134" i="2"/>
  <c r="BG134" i="2"/>
  <c r="BH182" i="2"/>
  <c r="BG182" i="2"/>
  <c r="BG36" i="2"/>
  <c r="BH36" i="2"/>
  <c r="BG128" i="2"/>
  <c r="BH128" i="2"/>
  <c r="BG147" i="2"/>
  <c r="BH147" i="2"/>
  <c r="BG163" i="2"/>
  <c r="BH163" i="2"/>
  <c r="BG187" i="2"/>
  <c r="BH187" i="2"/>
  <c r="BG93" i="2"/>
  <c r="BH93" i="2"/>
  <c r="BG62" i="2"/>
  <c r="BH62" i="2"/>
  <c r="BH126" i="2"/>
  <c r="BG126" i="2"/>
  <c r="BG155" i="2"/>
  <c r="BH155" i="2"/>
  <c r="BG171" i="2"/>
  <c r="BH171" i="2"/>
  <c r="BG195" i="2"/>
  <c r="BH195" i="2"/>
  <c r="BH23" i="2"/>
  <c r="BG23" i="2"/>
  <c r="BH50" i="2"/>
  <c r="BG50" i="2"/>
  <c r="BH82" i="2"/>
  <c r="BG82" i="2"/>
  <c r="BH115" i="2"/>
  <c r="BG115" i="2"/>
  <c r="BH129" i="2"/>
  <c r="BG129" i="2"/>
  <c r="BH148" i="2"/>
  <c r="BG148" i="2"/>
  <c r="BH156" i="2"/>
  <c r="BG156" i="2"/>
  <c r="BH164" i="2"/>
  <c r="BG164" i="2"/>
  <c r="BH172" i="2"/>
  <c r="BG172" i="2"/>
  <c r="BH180" i="2"/>
  <c r="BG180" i="2"/>
  <c r="BH188" i="2"/>
  <c r="BG188" i="2"/>
  <c r="BH158" i="2"/>
  <c r="BG158" i="2"/>
  <c r="BH22" i="2"/>
  <c r="BG22" i="2"/>
  <c r="BG139" i="2"/>
  <c r="BH139" i="2"/>
  <c r="BG179" i="2"/>
  <c r="BH179" i="2"/>
  <c r="BG26" i="2"/>
  <c r="BH26" i="2"/>
  <c r="BH59" i="2"/>
  <c r="BG59" i="2"/>
  <c r="BH133" i="2"/>
  <c r="BG133" i="2"/>
  <c r="BH141" i="2"/>
  <c r="BG141" i="2"/>
  <c r="BH149" i="2"/>
  <c r="BG149" i="2"/>
  <c r="BH157" i="2"/>
  <c r="BG157" i="2"/>
  <c r="BH165" i="2"/>
  <c r="BG165" i="2"/>
  <c r="BH173" i="2"/>
  <c r="BG173" i="2"/>
  <c r="BH181" i="2"/>
  <c r="BG181" i="2"/>
  <c r="BH189" i="2"/>
  <c r="BG189" i="2"/>
  <c r="BH142" i="2"/>
  <c r="BG142" i="2"/>
  <c r="BH150" i="2"/>
  <c r="BG150" i="2"/>
  <c r="BH30" i="2"/>
  <c r="BG30" i="2"/>
  <c r="BH63" i="2"/>
  <c r="BG63" i="2"/>
  <c r="BH111" i="2"/>
  <c r="BG111" i="2"/>
  <c r="BH119" i="2"/>
  <c r="BG119" i="2"/>
  <c r="BH135" i="2"/>
  <c r="BG135" i="2"/>
  <c r="BH143" i="2"/>
  <c r="BG143" i="2"/>
  <c r="BH151" i="2"/>
  <c r="BG151" i="2"/>
  <c r="BH159" i="2"/>
  <c r="BG159" i="2"/>
  <c r="BH167" i="2"/>
  <c r="BG167" i="2"/>
  <c r="BH175" i="2"/>
  <c r="BG175" i="2"/>
  <c r="BH183" i="2"/>
  <c r="BG183" i="2"/>
  <c r="BH191" i="2"/>
  <c r="BG191" i="2"/>
  <c r="BH174" i="2"/>
  <c r="BG174" i="2"/>
  <c r="BH31" i="2"/>
  <c r="BG31" i="2"/>
  <c r="BH64" i="2"/>
  <c r="BG64" i="2"/>
  <c r="BH125" i="2"/>
  <c r="BG125" i="2"/>
  <c r="BH120" i="2"/>
  <c r="BG120" i="2"/>
  <c r="BG136" i="2"/>
  <c r="BH136" i="2"/>
  <c r="BH144" i="2"/>
  <c r="BG144" i="2"/>
  <c r="BG152" i="2"/>
  <c r="BH152" i="2"/>
  <c r="BH160" i="2"/>
  <c r="BG160" i="2"/>
  <c r="BG168" i="2"/>
  <c r="BH168" i="2"/>
  <c r="BH176" i="2"/>
  <c r="BG176" i="2"/>
  <c r="BG184" i="2"/>
  <c r="BH184" i="2"/>
  <c r="BH192" i="2"/>
  <c r="BG192" i="2"/>
  <c r="BG59" i="1"/>
  <c r="BH59" i="1"/>
  <c r="BG70" i="1"/>
  <c r="BH70" i="1"/>
  <c r="BG74" i="1"/>
  <c r="BH74" i="1"/>
  <c r="BG78" i="1"/>
  <c r="BH78" i="1"/>
  <c r="BG82" i="1"/>
  <c r="BH82" i="1"/>
  <c r="BG86" i="1"/>
  <c r="BH86" i="1"/>
  <c r="BG90" i="1"/>
  <c r="BH90" i="1"/>
  <c r="BG94" i="1"/>
  <c r="BH94" i="1"/>
  <c r="BG98" i="1"/>
  <c r="BH98" i="1"/>
  <c r="BG102" i="1"/>
  <c r="BH102" i="1"/>
  <c r="BG106" i="1"/>
  <c r="BH106" i="1"/>
  <c r="BG110" i="1"/>
  <c r="BH110" i="1"/>
  <c r="BG114" i="1"/>
  <c r="BH114" i="1"/>
  <c r="BG118" i="1"/>
  <c r="BH118" i="1"/>
  <c r="BG20" i="1"/>
  <c r="BH20" i="1"/>
  <c r="BG51" i="1"/>
  <c r="BH51" i="1"/>
  <c r="BG55" i="1"/>
  <c r="BH55" i="1"/>
  <c r="BG60" i="1"/>
  <c r="BH60" i="1"/>
  <c r="BG67" i="1"/>
  <c r="BH67" i="1"/>
  <c r="BG71" i="1"/>
  <c r="BH71" i="1"/>
  <c r="BG75" i="1"/>
  <c r="BH75" i="1"/>
  <c r="BG79" i="1"/>
  <c r="BH79" i="1"/>
  <c r="BG83" i="1"/>
  <c r="BH83" i="1"/>
  <c r="BG87" i="1"/>
  <c r="BH87" i="1"/>
  <c r="BG91" i="1"/>
  <c r="BH91" i="1"/>
  <c r="BG95" i="1"/>
  <c r="BH95" i="1"/>
  <c r="BG99" i="1"/>
  <c r="BH99" i="1"/>
  <c r="BG103" i="1"/>
  <c r="BH103" i="1"/>
  <c r="BG107" i="1"/>
  <c r="BH107" i="1"/>
  <c r="BG111" i="1"/>
  <c r="BH111" i="1"/>
  <c r="BG115" i="1"/>
  <c r="BH115" i="1"/>
  <c r="BG119" i="1"/>
  <c r="BH119" i="1"/>
  <c r="BG49" i="1"/>
  <c r="BH49" i="1"/>
  <c r="BH41" i="1"/>
  <c r="BG41" i="1"/>
  <c r="BG52" i="1"/>
  <c r="BH52" i="1"/>
  <c r="BH57" i="1"/>
  <c r="BG57" i="1"/>
  <c r="BH61" i="1"/>
  <c r="BG61" i="1"/>
  <c r="BH68" i="1"/>
  <c r="BG68" i="1"/>
  <c r="BH72" i="1"/>
  <c r="BG72" i="1"/>
  <c r="BH76" i="1"/>
  <c r="BG76" i="1"/>
  <c r="BH80" i="1"/>
  <c r="BG80" i="1"/>
  <c r="BH84" i="1"/>
  <c r="BG84" i="1"/>
  <c r="BH88" i="1"/>
  <c r="BG88" i="1"/>
  <c r="BH92" i="1"/>
  <c r="BG92" i="1"/>
  <c r="BH96" i="1"/>
  <c r="BG96" i="1"/>
  <c r="BH100" i="1"/>
  <c r="BG100" i="1"/>
  <c r="BH104" i="1"/>
  <c r="BG104" i="1"/>
  <c r="BH108" i="1"/>
  <c r="BG108" i="1"/>
  <c r="BH112" i="1"/>
  <c r="BG112" i="1"/>
  <c r="BH116" i="1"/>
  <c r="BG116" i="1"/>
  <c r="BH120" i="1"/>
  <c r="BG120" i="1"/>
  <c r="BH22" i="1"/>
  <c r="BG22" i="1"/>
  <c r="BG48" i="1"/>
  <c r="BH48" i="1"/>
  <c r="BG53" i="1"/>
  <c r="BH53" i="1"/>
  <c r="BG58" i="1"/>
  <c r="BH58" i="1"/>
  <c r="BG62" i="1"/>
  <c r="BH62" i="1"/>
  <c r="BG69" i="1"/>
  <c r="BH69" i="1"/>
  <c r="BG73" i="1"/>
  <c r="BH73" i="1"/>
  <c r="BG77" i="1"/>
  <c r="BH77" i="1"/>
  <c r="BG81" i="1"/>
  <c r="BH81" i="1"/>
  <c r="BG85" i="1"/>
  <c r="BH85" i="1"/>
  <c r="BG89" i="1"/>
  <c r="BH89" i="1"/>
  <c r="BG93" i="1"/>
  <c r="BH93" i="1"/>
  <c r="BG97" i="1"/>
  <c r="BH97" i="1"/>
  <c r="BG101" i="1"/>
  <c r="BH101" i="1"/>
  <c r="BG105" i="1"/>
  <c r="BH105" i="1"/>
  <c r="BG109" i="1"/>
  <c r="BH109" i="1"/>
  <c r="BG113" i="1"/>
  <c r="BH113" i="1"/>
  <c r="BG117" i="1"/>
  <c r="BH117" i="1"/>
  <c r="BG121" i="1"/>
  <c r="BH121" i="1"/>
  <c r="BH27" i="1"/>
  <c r="BG27" i="1"/>
  <c r="CH100" i="4"/>
  <c r="CI82" i="4"/>
  <c r="CH82" i="4"/>
  <c r="CR4" i="4"/>
  <c r="CK4" i="4"/>
  <c r="CJ4" i="4"/>
  <c r="CP4" i="4"/>
  <c r="CI4" i="4"/>
  <c r="CK75" i="4"/>
  <c r="CJ75" i="4"/>
  <c r="CI75" i="4"/>
  <c r="CI51" i="4"/>
  <c r="CK51" i="4"/>
  <c r="CJ51" i="4"/>
  <c r="O14" i="3"/>
  <c r="CK14" i="4"/>
  <c r="CJ14" i="4"/>
  <c r="CI14" i="4"/>
  <c r="M10" i="5"/>
  <c r="CK86" i="4"/>
  <c r="CJ86" i="4"/>
  <c r="CI86" i="4"/>
  <c r="CK88" i="4"/>
  <c r="CJ88" i="4"/>
  <c r="CI88" i="4"/>
  <c r="CI39" i="4"/>
  <c r="CK39" i="4"/>
  <c r="CJ39" i="4"/>
  <c r="CK5" i="4"/>
  <c r="CJ5" i="4"/>
  <c r="CI5" i="4"/>
  <c r="CK57" i="4"/>
  <c r="CJ57" i="4"/>
  <c r="CI57" i="4"/>
  <c r="CK19" i="4"/>
  <c r="CJ19" i="4"/>
  <c r="CI19" i="4"/>
  <c r="CK71" i="4"/>
  <c r="CJ71" i="4"/>
  <c r="CI71" i="4"/>
  <c r="CK98" i="4"/>
  <c r="CJ98" i="4"/>
  <c r="CI98" i="4"/>
  <c r="CI76" i="4"/>
  <c r="CK76" i="4"/>
  <c r="CJ76" i="4"/>
  <c r="CK52" i="4"/>
  <c r="CJ52" i="4"/>
  <c r="CI52" i="4"/>
  <c r="CI16" i="4"/>
  <c r="CK16" i="4"/>
  <c r="CJ16" i="4"/>
  <c r="CK68" i="4"/>
  <c r="CJ68" i="4"/>
  <c r="CI68" i="4"/>
  <c r="CI119" i="4"/>
  <c r="CK119" i="4"/>
  <c r="CJ119" i="4"/>
  <c r="CK8" i="4"/>
  <c r="CJ8" i="4"/>
  <c r="CI8" i="4"/>
  <c r="CK90" i="4"/>
  <c r="CJ90" i="4"/>
  <c r="CI90" i="4"/>
  <c r="CK108" i="4"/>
  <c r="CJ108" i="4"/>
  <c r="CI108" i="4"/>
  <c r="CK41" i="4"/>
  <c r="CJ41" i="4"/>
  <c r="CI41" i="4"/>
  <c r="CK73" i="4"/>
  <c r="CJ73" i="4"/>
  <c r="CI73" i="4"/>
  <c r="CI104" i="4"/>
  <c r="CK104" i="4"/>
  <c r="CJ104" i="4"/>
  <c r="CI97" i="4"/>
  <c r="CK97" i="4"/>
  <c r="CJ97" i="4"/>
  <c r="CK82" i="4"/>
  <c r="CJ82" i="4"/>
  <c r="CI100" i="4"/>
  <c r="CK100" i="4"/>
  <c r="CJ100" i="4"/>
  <c r="CI6" i="4"/>
  <c r="CK6" i="4"/>
  <c r="CJ6" i="4"/>
  <c r="CK25" i="4"/>
  <c r="CJ25" i="4"/>
  <c r="CI25" i="4"/>
  <c r="CI72" i="4"/>
  <c r="CK72" i="4"/>
  <c r="CJ72" i="4"/>
  <c r="CK64" i="4"/>
  <c r="CJ64" i="4"/>
  <c r="CI64" i="4"/>
  <c r="CI20" i="4"/>
  <c r="CK20" i="4"/>
  <c r="CJ20" i="4"/>
  <c r="CK79" i="4"/>
  <c r="CJ79" i="4"/>
  <c r="CI79" i="4"/>
  <c r="CK15" i="4"/>
  <c r="CJ15" i="4"/>
  <c r="CI15" i="4"/>
  <c r="CK44" i="4"/>
  <c r="CJ44" i="4"/>
  <c r="CI44" i="4"/>
  <c r="CK102" i="4"/>
  <c r="CJ102" i="4"/>
  <c r="CI102" i="4"/>
  <c r="CI111" i="4"/>
  <c r="CK111" i="4"/>
  <c r="CJ111" i="4"/>
  <c r="CK106" i="4"/>
  <c r="CJ106" i="4"/>
  <c r="CI106" i="4"/>
  <c r="CK77" i="4"/>
  <c r="CJ77" i="4"/>
  <c r="CI77" i="4"/>
  <c r="CK7" i="4"/>
  <c r="CJ7" i="4"/>
  <c r="CI7" i="4"/>
  <c r="CI43" i="4"/>
  <c r="CK43" i="4"/>
  <c r="CJ43" i="4"/>
  <c r="CK29" i="4"/>
  <c r="CJ29" i="4"/>
  <c r="CI29" i="4"/>
  <c r="CK53" i="4"/>
  <c r="CJ53" i="4"/>
  <c r="CI53" i="4"/>
  <c r="CI55" i="4"/>
  <c r="CK55" i="4"/>
  <c r="CJ55" i="4"/>
  <c r="CK48" i="4"/>
  <c r="CJ48" i="4"/>
  <c r="CI48" i="4"/>
  <c r="CK13" i="4"/>
  <c r="CJ13" i="4"/>
  <c r="CI13" i="4"/>
  <c r="CK17" i="4"/>
  <c r="CJ17" i="4"/>
  <c r="CI17" i="4"/>
  <c r="CI65" i="4"/>
  <c r="CK65" i="4"/>
  <c r="CJ65" i="4"/>
  <c r="CI69" i="4"/>
  <c r="CK69" i="4"/>
  <c r="CJ69" i="4"/>
  <c r="CK109" i="4"/>
  <c r="CJ109" i="4"/>
  <c r="CI109" i="4"/>
  <c r="CK99" i="4"/>
  <c r="CJ99" i="4"/>
  <c r="CI99" i="4"/>
  <c r="CK84" i="4"/>
  <c r="CJ84" i="4"/>
  <c r="CI84" i="4"/>
  <c r="CI47" i="4"/>
  <c r="CK47" i="4"/>
  <c r="CJ47" i="4"/>
  <c r="CK93" i="4"/>
  <c r="CJ93" i="4"/>
  <c r="CI93" i="4"/>
  <c r="CI116" i="4"/>
  <c r="CK116" i="4"/>
  <c r="CJ116" i="4"/>
  <c r="CI24" i="4"/>
  <c r="CK24" i="4"/>
  <c r="CJ24" i="4"/>
  <c r="CK63" i="4"/>
  <c r="CJ63" i="4"/>
  <c r="CI63" i="4"/>
  <c r="CK67" i="4"/>
  <c r="CJ67" i="4"/>
  <c r="CI67" i="4"/>
  <c r="CK121" i="4"/>
  <c r="CJ121" i="4"/>
  <c r="CI121" i="4"/>
  <c r="CK107" i="4"/>
  <c r="CJ107" i="4"/>
  <c r="CI107" i="4"/>
  <c r="CK42" i="4"/>
  <c r="CJ42" i="4"/>
  <c r="CI42" i="4"/>
  <c r="CK58" i="4"/>
  <c r="CJ58" i="4"/>
  <c r="CI58" i="4"/>
  <c r="CK105" i="4"/>
  <c r="CJ105" i="4"/>
  <c r="CI105" i="4"/>
  <c r="CK118" i="4"/>
  <c r="CJ118" i="4"/>
  <c r="CI118" i="4"/>
  <c r="CK46" i="4"/>
  <c r="CJ46" i="4"/>
  <c r="CI46" i="4"/>
  <c r="M42" i="5"/>
  <c r="CI124" i="4"/>
  <c r="CK124" i="4"/>
  <c r="CJ124" i="4"/>
  <c r="CK120" i="4"/>
  <c r="CJ120" i="4"/>
  <c r="CI120" i="4"/>
  <c r="CK101" i="4"/>
  <c r="CJ101" i="4"/>
  <c r="CI101" i="4"/>
  <c r="CK114" i="4"/>
  <c r="CJ114" i="4"/>
  <c r="CI114" i="4"/>
  <c r="CK122" i="4"/>
  <c r="CJ122" i="4"/>
  <c r="CI122" i="4"/>
  <c r="CH4" i="4"/>
  <c r="CK40" i="4"/>
  <c r="CJ40" i="4"/>
  <c r="CI40" i="4"/>
  <c r="CK45" i="4"/>
  <c r="CJ45" i="4"/>
  <c r="CI45" i="4"/>
  <c r="CI28" i="4"/>
  <c r="CK28" i="4"/>
  <c r="CJ28" i="4"/>
  <c r="CK54" i="4"/>
  <c r="CJ54" i="4"/>
  <c r="CI54" i="4"/>
  <c r="CK56" i="4"/>
  <c r="CJ56" i="4"/>
  <c r="CI56" i="4"/>
  <c r="CK49" i="4"/>
  <c r="CJ49" i="4"/>
  <c r="CI49" i="4"/>
  <c r="CI12" i="4"/>
  <c r="CK12" i="4"/>
  <c r="CJ12" i="4"/>
  <c r="CK18" i="4"/>
  <c r="CJ18" i="4"/>
  <c r="CI18" i="4"/>
  <c r="CK66" i="4"/>
  <c r="CJ66" i="4"/>
  <c r="CI66" i="4"/>
  <c r="CK70" i="4"/>
  <c r="CJ70" i="4"/>
  <c r="CI70" i="4"/>
  <c r="CK110" i="4"/>
  <c r="CJ110" i="4"/>
  <c r="CI110" i="4"/>
  <c r="CK80" i="4"/>
  <c r="CJ80" i="4"/>
  <c r="CI80" i="4"/>
  <c r="CK85" i="4"/>
  <c r="CJ85" i="4"/>
  <c r="CI85" i="4"/>
  <c r="CI87" i="4"/>
  <c r="CK87" i="4"/>
  <c r="CJ87" i="4"/>
  <c r="CK38" i="4"/>
  <c r="CJ38" i="4"/>
  <c r="CI38" i="4"/>
  <c r="CK89" i="4"/>
  <c r="CJ89" i="4"/>
  <c r="CI89" i="4"/>
  <c r="O7" i="3"/>
  <c r="O17" i="3"/>
  <c r="M21" i="5"/>
  <c r="M27" i="5"/>
  <c r="M53" i="5"/>
  <c r="M29" i="5"/>
  <c r="M4" i="5"/>
  <c r="M51" i="5"/>
  <c r="M28" i="5"/>
  <c r="M8" i="5"/>
  <c r="M11" i="5"/>
  <c r="BF17" i="1"/>
  <c r="M13" i="5"/>
  <c r="M32" i="5"/>
  <c r="M9" i="5"/>
  <c r="M12" i="5"/>
  <c r="M35" i="5"/>
  <c r="M38" i="5"/>
  <c r="CC4" i="4"/>
  <c r="CD4" i="4"/>
  <c r="CE4" i="4"/>
  <c r="CF4" i="4"/>
  <c r="M46" i="5"/>
  <c r="M25" i="5"/>
  <c r="M22" i="5"/>
  <c r="M31" i="5"/>
  <c r="M26" i="5"/>
  <c r="M50" i="5"/>
  <c r="M48" i="5"/>
  <c r="M14" i="5"/>
  <c r="M47" i="5"/>
  <c r="M23" i="5"/>
  <c r="O29" i="3"/>
  <c r="M33" i="5"/>
  <c r="BF19" i="1"/>
  <c r="M15" i="5"/>
  <c r="O41" i="3"/>
  <c r="O57" i="3"/>
  <c r="O19" i="3"/>
  <c r="BF10" i="1"/>
  <c r="O39" i="3"/>
  <c r="O18" i="3"/>
  <c r="O69" i="3"/>
  <c r="O24" i="3"/>
  <c r="O73" i="3"/>
  <c r="O6" i="3"/>
  <c r="O25" i="3"/>
  <c r="O51" i="3"/>
  <c r="O40" i="3"/>
  <c r="O70" i="3"/>
  <c r="O15" i="3"/>
  <c r="O44" i="3"/>
  <c r="O78" i="3"/>
  <c r="BF24" i="1"/>
  <c r="O52" i="3"/>
  <c r="O20" i="3"/>
  <c r="O48" i="3"/>
  <c r="BF13" i="2"/>
  <c r="O13" i="3"/>
  <c r="BF83" i="2"/>
  <c r="BF12" i="1"/>
  <c r="BF34" i="1"/>
  <c r="O85" i="3"/>
  <c r="O75" i="3"/>
  <c r="BF7" i="1"/>
  <c r="O42" i="3"/>
  <c r="O16" i="3"/>
  <c r="O87" i="3"/>
  <c r="BF46" i="1"/>
  <c r="BF104" i="2"/>
  <c r="O92" i="3"/>
  <c r="BF37" i="1"/>
  <c r="BF80" i="2"/>
  <c r="BF9" i="1"/>
  <c r="O77" i="3"/>
  <c r="BF43" i="2"/>
  <c r="O43" i="3"/>
  <c r="BF53" i="2"/>
  <c r="O53" i="3"/>
  <c r="O64" i="3"/>
  <c r="BF103" i="2"/>
  <c r="O91" i="3"/>
  <c r="BF31" i="1"/>
  <c r="O93" i="3"/>
  <c r="BF40" i="1"/>
  <c r="O4" i="3"/>
  <c r="O45" i="3"/>
  <c r="O54" i="3"/>
  <c r="O49" i="3"/>
  <c r="O65" i="3"/>
  <c r="BF13" i="1"/>
  <c r="BF15" i="1"/>
  <c r="O90" i="3"/>
  <c r="BF32" i="1"/>
  <c r="BF8" i="1"/>
  <c r="O76" i="3"/>
  <c r="O58" i="3"/>
  <c r="BF42" i="1"/>
  <c r="O95" i="3"/>
  <c r="O5" i="3"/>
  <c r="O62" i="3"/>
  <c r="O82" i="3"/>
  <c r="BF28" i="1"/>
  <c r="O66" i="3"/>
  <c r="BF85" i="2"/>
  <c r="BF14" i="1"/>
  <c r="BF16" i="1"/>
  <c r="BF25" i="1"/>
  <c r="O79" i="3"/>
  <c r="BF47" i="1"/>
  <c r="O96" i="3"/>
  <c r="BF75" i="2"/>
  <c r="O72" i="3"/>
  <c r="O63" i="3"/>
  <c r="BF95" i="2"/>
  <c r="O83" i="3"/>
  <c r="BF29" i="1"/>
  <c r="O67" i="3"/>
  <c r="BF45" i="1"/>
  <c r="O86" i="3"/>
  <c r="BF106" i="2"/>
  <c r="BF44" i="1"/>
  <c r="O94" i="3"/>
  <c r="BF8" i="2"/>
  <c r="O8" i="3"/>
  <c r="O46" i="3"/>
  <c r="BF18" i="1"/>
  <c r="BF113" i="2"/>
  <c r="BF50" i="1"/>
  <c r="O99" i="3"/>
  <c r="O89" i="3"/>
  <c r="BF43" i="1"/>
  <c r="BF26" i="1"/>
  <c r="O80" i="3"/>
  <c r="O55" i="3"/>
  <c r="O68" i="3"/>
  <c r="O88" i="3"/>
  <c r="BF35" i="1"/>
  <c r="O47" i="3"/>
  <c r="O84" i="3"/>
  <c r="BF30" i="1"/>
  <c r="O110" i="3"/>
  <c r="BF56" i="1"/>
  <c r="O28" i="3"/>
  <c r="O56" i="3"/>
  <c r="BF12" i="2"/>
  <c r="O12" i="3"/>
  <c r="BF36" i="1"/>
  <c r="O38" i="3"/>
  <c r="BF4" i="1"/>
  <c r="BF118" i="2"/>
  <c r="BF28" i="2"/>
  <c r="BF56" i="2"/>
  <c r="BF72" i="2"/>
  <c r="BF40" i="2"/>
  <c r="BF78" i="2"/>
  <c r="BF41" i="2"/>
  <c r="BF14" i="2"/>
  <c r="BF48" i="2"/>
  <c r="BF67" i="2"/>
  <c r="BF84" i="2"/>
  <c r="BF4" i="2"/>
  <c r="BF107" i="2"/>
  <c r="BF5" i="2"/>
  <c r="BF24" i="2"/>
  <c r="BF76" i="2"/>
  <c r="BF65" i="2"/>
  <c r="BF94" i="2"/>
  <c r="BF69" i="2"/>
  <c r="BF87" i="2"/>
  <c r="BF105" i="2"/>
  <c r="BF86" i="2"/>
  <c r="BF6" i="2"/>
  <c r="BF25" i="2"/>
  <c r="BF89" i="2"/>
  <c r="BF68" i="2"/>
  <c r="BF91" i="2"/>
  <c r="BF66" i="2"/>
  <c r="BF70" i="2"/>
  <c r="BF98" i="2"/>
  <c r="BF46" i="2"/>
  <c r="BF92" i="2"/>
  <c r="BF110" i="2"/>
  <c r="BF7" i="2"/>
  <c r="BF29" i="2"/>
  <c r="BF55" i="2"/>
  <c r="BF17" i="2"/>
  <c r="BF71" i="2"/>
  <c r="BF100" i="2"/>
  <c r="BF47" i="2"/>
  <c r="BF54" i="2"/>
  <c r="BF96" i="2"/>
  <c r="BF61" i="2"/>
  <c r="BF38" i="2"/>
  <c r="BF88" i="2"/>
  <c r="BF49" i="2"/>
  <c r="BF97" i="2"/>
  <c r="BF51" i="2"/>
  <c r="BF57" i="2"/>
  <c r="BF90" i="2"/>
  <c r="BF73" i="2"/>
  <c r="BF45" i="2"/>
  <c r="BF109" i="2"/>
  <c r="BF18" i="2"/>
  <c r="BF19" i="2"/>
  <c r="BF101" i="2"/>
  <c r="BF39" i="2"/>
  <c r="BF102" i="2"/>
  <c r="BF79" i="2"/>
  <c r="BF42" i="2"/>
  <c r="BF52" i="2"/>
  <c r="BF58" i="2"/>
  <c r="BF16" i="2"/>
  <c r="BF20" i="2"/>
  <c r="BF60" i="2"/>
  <c r="BF15" i="2"/>
  <c r="BF44" i="2"/>
  <c r="BF99" i="2"/>
  <c r="BA10" i="1"/>
  <c r="A11" i="8"/>
  <c r="DK106" i="4" s="1"/>
  <c r="AZ110" i="2"/>
  <c r="BA110" i="2"/>
  <c r="BB110" i="2"/>
  <c r="BC110" i="2"/>
  <c r="BD110" i="2"/>
  <c r="BE110" i="2"/>
  <c r="BE36" i="1"/>
  <c r="BD36" i="1"/>
  <c r="BP108" i="4"/>
  <c r="BX108" i="4"/>
  <c r="CF108" i="4"/>
  <c r="BI108" i="4"/>
  <c r="BQ108" i="4"/>
  <c r="BY108" i="4"/>
  <c r="BJ108" i="4"/>
  <c r="BZ108" i="4"/>
  <c r="CH108" i="4"/>
  <c r="CR108" i="4"/>
  <c r="BK108" i="4"/>
  <c r="BS108" i="4"/>
  <c r="CA108" i="4"/>
  <c r="BD108" i="4"/>
  <c r="BL108" i="4"/>
  <c r="BT108" i="4"/>
  <c r="BE108" i="4"/>
  <c r="BU108" i="4"/>
  <c r="CC108" i="4"/>
  <c r="BF108" i="4"/>
  <c r="BN108" i="4"/>
  <c r="BV108" i="4"/>
  <c r="CD108" i="4"/>
  <c r="BG108" i="4"/>
  <c r="BO108" i="4"/>
  <c r="CE108" i="4"/>
  <c r="BE10" i="1"/>
  <c r="BD10" i="1"/>
  <c r="BA36" i="1"/>
  <c r="BC47" i="1"/>
  <c r="BD47" i="1"/>
  <c r="BE47" i="1"/>
  <c r="AZ47" i="1"/>
  <c r="BA47" i="1"/>
  <c r="BB47" i="1"/>
  <c r="BB10" i="1"/>
  <c r="BC10" i="1"/>
  <c r="BB36" i="1"/>
  <c r="AZ10" i="1"/>
  <c r="BC36" i="1"/>
  <c r="AZ36" i="1"/>
  <c r="A77" i="8"/>
  <c r="DK82" i="4" s="1"/>
  <c r="BS82" i="4"/>
  <c r="BD82" i="4"/>
  <c r="BT82" i="4"/>
  <c r="BE82" i="4"/>
  <c r="BU82" i="4"/>
  <c r="BF82" i="4"/>
  <c r="BV82" i="4"/>
  <c r="BG82" i="4"/>
  <c r="BX82" i="4"/>
  <c r="BI82" i="4"/>
  <c r="BY82" i="4"/>
  <c r="BJ82" i="4"/>
  <c r="BZ82" i="4"/>
  <c r="BK82" i="4"/>
  <c r="CA82" i="4"/>
  <c r="BL82" i="4"/>
  <c r="CC82" i="4"/>
  <c r="BN82" i="4"/>
  <c r="CD82" i="4"/>
  <c r="BO82" i="4"/>
  <c r="CE82" i="4"/>
  <c r="BP82" i="4"/>
  <c r="CF82" i="4"/>
  <c r="BQ82" i="4"/>
  <c r="CE110" i="4"/>
  <c r="BT110" i="4"/>
  <c r="BU110" i="4"/>
  <c r="BD114" i="4"/>
  <c r="BX110" i="4"/>
  <c r="BV110" i="4"/>
  <c r="BE114" i="4"/>
  <c r="BY110" i="4"/>
  <c r="CR114" i="4"/>
  <c r="BS114" i="4"/>
  <c r="BF114" i="4"/>
  <c r="BZ110" i="4"/>
  <c r="BG110" i="4"/>
  <c r="BT114" i="4"/>
  <c r="BG114" i="4"/>
  <c r="CA110" i="4"/>
  <c r="BU114" i="4"/>
  <c r="BN110" i="4"/>
  <c r="BX114" i="4"/>
  <c r="CC110" i="4"/>
  <c r="BL114" i="4"/>
  <c r="BV114" i="4"/>
  <c r="BO110" i="4"/>
  <c r="BY114" i="4"/>
  <c r="CD110" i="4"/>
  <c r="BX4" i="4"/>
  <c r="BY4" i="4"/>
  <c r="BZ4" i="4"/>
  <c r="CA4" i="4"/>
  <c r="BP110" i="4"/>
  <c r="BZ114" i="4"/>
  <c r="BQ93" i="4"/>
  <c r="CE93" i="4"/>
  <c r="CF93" i="4"/>
  <c r="BS93" i="4"/>
  <c r="BD93" i="4"/>
  <c r="BT93" i="4"/>
  <c r="BE93" i="4"/>
  <c r="BU93" i="4"/>
  <c r="BF93" i="4"/>
  <c r="BV93" i="4"/>
  <c r="BG93" i="4"/>
  <c r="BX93" i="4"/>
  <c r="BI93" i="4"/>
  <c r="BY93" i="4"/>
  <c r="CA93" i="4"/>
  <c r="BJ93" i="4"/>
  <c r="BZ93" i="4"/>
  <c r="BK93" i="4"/>
  <c r="BO93" i="4"/>
  <c r="BL93" i="4"/>
  <c r="CC93" i="4"/>
  <c r="BN93" i="4"/>
  <c r="BP93" i="4"/>
  <c r="CD93" i="4"/>
  <c r="A68" i="8"/>
  <c r="DK110" i="4" s="1"/>
  <c r="CH110" i="4"/>
  <c r="BQ110" i="4"/>
  <c r="CA114" i="4"/>
  <c r="CF110" i="4"/>
  <c r="BN114" i="4"/>
  <c r="BI110" i="4"/>
  <c r="CC114" i="4"/>
  <c r="BO114" i="4"/>
  <c r="BJ110" i="4"/>
  <c r="CD114" i="4"/>
  <c r="AZ31" i="1"/>
  <c r="BP114" i="4"/>
  <c r="BK110" i="4"/>
  <c r="CE114" i="4"/>
  <c r="BQ114" i="4"/>
  <c r="BL110" i="4"/>
  <c r="CF114" i="4"/>
  <c r="CR110" i="4"/>
  <c r="BI114" i="4"/>
  <c r="BD110" i="4"/>
  <c r="CH114" i="4"/>
  <c r="BJ114" i="4"/>
  <c r="BE110" i="4"/>
  <c r="BS110" i="4"/>
  <c r="BK114" i="4"/>
  <c r="BF110" i="4"/>
  <c r="EH50" i="4"/>
  <c r="AZ107" i="2"/>
  <c r="N24" i="3"/>
  <c r="EF24" i="4" s="1"/>
  <c r="N73" i="3"/>
  <c r="EF73" i="4" s="1"/>
  <c r="N6" i="3"/>
  <c r="EF6" i="4" s="1"/>
  <c r="N25" i="3"/>
  <c r="EF25" i="4" s="1"/>
  <c r="N72" i="3"/>
  <c r="EF72" i="4" s="1"/>
  <c r="N63" i="3"/>
  <c r="EF64" i="4" s="1"/>
  <c r="N67" i="3"/>
  <c r="EF68" i="4" s="1"/>
  <c r="BB106" i="2"/>
  <c r="N8" i="3"/>
  <c r="EF8" i="4" s="1"/>
  <c r="N16" i="3"/>
  <c r="EF16" i="4" s="1"/>
  <c r="N20" i="3"/>
  <c r="EF20" i="4" s="1"/>
  <c r="N15" i="3"/>
  <c r="EF15" i="4" s="1"/>
  <c r="N44" i="3"/>
  <c r="EF44" i="4" s="1"/>
  <c r="BE51" i="2"/>
  <c r="ED51" i="4" s="1"/>
  <c r="N51" i="3"/>
  <c r="EF51" i="4" s="1"/>
  <c r="BE78" i="2"/>
  <c r="ED75" i="4" s="1"/>
  <c r="BE7" i="1"/>
  <c r="EE75" i="4" s="1"/>
  <c r="N75" i="3"/>
  <c r="EF75" i="4" s="1"/>
  <c r="BE4" i="1"/>
  <c r="EE79" i="4" s="1"/>
  <c r="L4" i="5"/>
  <c r="EG79" i="4" s="1"/>
  <c r="BE37" i="1"/>
  <c r="L35" i="5"/>
  <c r="N92" i="3"/>
  <c r="N77" i="3"/>
  <c r="EF77" i="4" s="1"/>
  <c r="BE9" i="1"/>
  <c r="EE77" i="4" s="1"/>
  <c r="N43" i="3"/>
  <c r="EF43" i="4" s="1"/>
  <c r="N53" i="3"/>
  <c r="EF53" i="4" s="1"/>
  <c r="N48" i="3"/>
  <c r="EF48" i="4" s="1"/>
  <c r="N13" i="3"/>
  <c r="EF13" i="4" s="1"/>
  <c r="N64" i="3"/>
  <c r="EF65" i="4" s="1"/>
  <c r="L28" i="5"/>
  <c r="BE31" i="1"/>
  <c r="N91" i="3"/>
  <c r="L8" i="5"/>
  <c r="EG84" i="4" s="1"/>
  <c r="BE12" i="1"/>
  <c r="EE84" i="4" s="1"/>
  <c r="N4" i="3"/>
  <c r="EF4" i="4" s="1"/>
  <c r="BE45" i="2"/>
  <c r="ED45" i="4" s="1"/>
  <c r="N45" i="3"/>
  <c r="EF45" i="4" s="1"/>
  <c r="BE54" i="2"/>
  <c r="ED54" i="4" s="1"/>
  <c r="N54" i="3"/>
  <c r="EF54" i="4" s="1"/>
  <c r="N49" i="3"/>
  <c r="EF49" i="4" s="1"/>
  <c r="N65" i="3"/>
  <c r="EF66" i="4" s="1"/>
  <c r="BE84" i="2"/>
  <c r="ED85" i="4" s="1"/>
  <c r="L9" i="5"/>
  <c r="EG85" i="4" s="1"/>
  <c r="BE13" i="1"/>
  <c r="EE85" i="4" s="1"/>
  <c r="BE15" i="1"/>
  <c r="EE87" i="4" s="1"/>
  <c r="L11" i="5"/>
  <c r="EG87" i="4" s="1"/>
  <c r="BE14" i="2"/>
  <c r="ED14" i="4" s="1"/>
  <c r="N14" i="3"/>
  <c r="EF14" i="4" s="1"/>
  <c r="BE73" i="2"/>
  <c r="ED71" i="4" s="1"/>
  <c r="N70" i="3"/>
  <c r="EF71" i="4" s="1"/>
  <c r="BE39" i="2"/>
  <c r="ED39" i="4" s="1"/>
  <c r="N39" i="3"/>
  <c r="EF39" i="4" s="1"/>
  <c r="N58" i="3"/>
  <c r="EF58" i="4" s="1"/>
  <c r="N62" i="3"/>
  <c r="EF63" i="4" s="1"/>
  <c r="L25" i="5"/>
  <c r="EG104" i="4" s="1"/>
  <c r="BE28" i="1"/>
  <c r="EE104" i="4" s="1"/>
  <c r="N82" i="3"/>
  <c r="EF104" i="4" s="1"/>
  <c r="N66" i="3"/>
  <c r="EF67" i="4" s="1"/>
  <c r="BE85" i="2"/>
  <c r="ED86" i="4" s="1"/>
  <c r="L10" i="5"/>
  <c r="EG86" i="4" s="1"/>
  <c r="BE14" i="1"/>
  <c r="EE86" i="4" s="1"/>
  <c r="L12" i="5"/>
  <c r="EG88" i="4" s="1"/>
  <c r="BE16" i="1"/>
  <c r="EE88" i="4" s="1"/>
  <c r="BE34" i="1"/>
  <c r="L32" i="5"/>
  <c r="N85" i="3"/>
  <c r="BE19" i="2"/>
  <c r="ED19" i="4" s="1"/>
  <c r="N19" i="3"/>
  <c r="EF19" i="4" s="1"/>
  <c r="N52" i="3"/>
  <c r="EF52" i="4" s="1"/>
  <c r="BE25" i="1"/>
  <c r="EE98" i="4" s="1"/>
  <c r="N79" i="3"/>
  <c r="EF98" i="4" s="1"/>
  <c r="L22" i="5"/>
  <c r="EG98" i="4" s="1"/>
  <c r="L31" i="5"/>
  <c r="N96" i="3"/>
  <c r="BB45" i="1"/>
  <c r="L50" i="5"/>
  <c r="N86" i="3"/>
  <c r="BE45" i="1"/>
  <c r="L48" i="5"/>
  <c r="N94" i="3"/>
  <c r="BE44" i="1"/>
  <c r="BE57" i="2"/>
  <c r="N57" i="3"/>
  <c r="EF57" i="4" s="1"/>
  <c r="BE101" i="2"/>
  <c r="BE43" i="1"/>
  <c r="L47" i="5"/>
  <c r="N89" i="3"/>
  <c r="L29" i="5"/>
  <c r="BE32" i="1"/>
  <c r="N90" i="3"/>
  <c r="BE8" i="1"/>
  <c r="EE76" i="4" s="1"/>
  <c r="N76" i="3"/>
  <c r="EF76" i="4" s="1"/>
  <c r="N42" i="3"/>
  <c r="EF42" i="4" s="1"/>
  <c r="N5" i="3"/>
  <c r="EF5" i="4" s="1"/>
  <c r="BE113" i="2"/>
  <c r="BE50" i="1"/>
  <c r="L42" i="5"/>
  <c r="N99" i="3"/>
  <c r="N7" i="3"/>
  <c r="EF7" i="4" s="1"/>
  <c r="N29" i="3"/>
  <c r="EF29" i="4" s="1"/>
  <c r="N55" i="3"/>
  <c r="EF55" i="4" s="1"/>
  <c r="BE17" i="2"/>
  <c r="ED17" i="4" s="1"/>
  <c r="N17" i="3"/>
  <c r="EF17" i="4" s="1"/>
  <c r="N68" i="3"/>
  <c r="EF69" i="4" s="1"/>
  <c r="BE35" i="1"/>
  <c r="L33" i="5"/>
  <c r="N88" i="3"/>
  <c r="N47" i="3"/>
  <c r="EF47" i="4" s="1"/>
  <c r="L15" i="5"/>
  <c r="BE19" i="1"/>
  <c r="BE41" i="2"/>
  <c r="ED41" i="4" s="1"/>
  <c r="N41" i="3"/>
  <c r="EF41" i="4" s="1"/>
  <c r="BE90" i="2"/>
  <c r="ED97" i="4" s="1"/>
  <c r="N78" i="3"/>
  <c r="EF97" i="4" s="1"/>
  <c r="L21" i="5"/>
  <c r="EG97" i="4" s="1"/>
  <c r="BE24" i="1"/>
  <c r="EE97" i="4" s="1"/>
  <c r="BE99" i="2"/>
  <c r="BE46" i="1"/>
  <c r="L51" i="5"/>
  <c r="N87" i="3"/>
  <c r="BE40" i="1"/>
  <c r="L38" i="5"/>
  <c r="N93" i="3"/>
  <c r="BE42" i="1"/>
  <c r="L46" i="5"/>
  <c r="N95" i="3"/>
  <c r="L26" i="5"/>
  <c r="EG105" i="4" s="1"/>
  <c r="BE29" i="1"/>
  <c r="EE105" i="4" s="1"/>
  <c r="N83" i="3"/>
  <c r="EF105" i="4" s="1"/>
  <c r="N46" i="3"/>
  <c r="EF46" i="4" s="1"/>
  <c r="L14" i="5"/>
  <c r="EG90" i="4" s="1"/>
  <c r="BE18" i="1"/>
  <c r="EE90" i="4" s="1"/>
  <c r="L23" i="5"/>
  <c r="EG102" i="4" s="1"/>
  <c r="N80" i="3"/>
  <c r="EF102" i="4" s="1"/>
  <c r="BE26" i="1"/>
  <c r="EE102" i="4" s="1"/>
  <c r="L27" i="5"/>
  <c r="BE30" i="1"/>
  <c r="N84" i="3"/>
  <c r="BE118" i="2"/>
  <c r="BE56" i="1"/>
  <c r="N110" i="3"/>
  <c r="L53" i="5"/>
  <c r="BE40" i="2"/>
  <c r="ED40" i="4" s="1"/>
  <c r="N40" i="3"/>
  <c r="EF40" i="4" s="1"/>
  <c r="N28" i="3"/>
  <c r="EF28" i="4" s="1"/>
  <c r="N56" i="3"/>
  <c r="EF56" i="4" s="1"/>
  <c r="BE12" i="2"/>
  <c r="ED12" i="4" s="1"/>
  <c r="N12" i="3"/>
  <c r="EF12" i="4" s="1"/>
  <c r="BE18" i="2"/>
  <c r="ED18" i="4" s="1"/>
  <c r="N18" i="3"/>
  <c r="EF18" i="4" s="1"/>
  <c r="BE72" i="2"/>
  <c r="ED70" i="4" s="1"/>
  <c r="N69" i="3"/>
  <c r="EF70" i="4" s="1"/>
  <c r="BE61" i="2"/>
  <c r="ED80" i="4" s="1"/>
  <c r="N38" i="3"/>
  <c r="EF38" i="4" s="1"/>
  <c r="BE88" i="2"/>
  <c r="ED89" i="4" s="1"/>
  <c r="L13" i="5"/>
  <c r="EG89" i="4" s="1"/>
  <c r="BE17" i="1"/>
  <c r="EE89" i="4" s="1"/>
  <c r="BB113" i="2"/>
  <c r="BC109" i="2"/>
  <c r="BE42" i="2"/>
  <c r="BE58" i="2"/>
  <c r="BE20" i="2"/>
  <c r="BE15" i="2"/>
  <c r="ED30" i="4"/>
  <c r="EH30" i="4" s="1"/>
  <c r="BE102" i="2"/>
  <c r="BE79" i="2"/>
  <c r="BE52" i="2"/>
  <c r="BE16" i="2"/>
  <c r="BE60" i="2"/>
  <c r="BE44" i="2"/>
  <c r="AZ37" i="1"/>
  <c r="BE104" i="2"/>
  <c r="BE80" i="2"/>
  <c r="BE43" i="2"/>
  <c r="BE53" i="2"/>
  <c r="BE48" i="2"/>
  <c r="BE13" i="2"/>
  <c r="BE67" i="2"/>
  <c r="AZ103" i="2"/>
  <c r="BE103" i="2"/>
  <c r="BE83" i="2"/>
  <c r="J95" i="3"/>
  <c r="BC99" i="2"/>
  <c r="BA46" i="1"/>
  <c r="ED32" i="4"/>
  <c r="EH32" i="4" s="1"/>
  <c r="BC34" i="1"/>
  <c r="BE97" i="2"/>
  <c r="BE105" i="2"/>
  <c r="BE49" i="2"/>
  <c r="BE86" i="2"/>
  <c r="BE107" i="2"/>
  <c r="BE5" i="2"/>
  <c r="BE24" i="2"/>
  <c r="BE76" i="2"/>
  <c r="BE65" i="2"/>
  <c r="BE94" i="2"/>
  <c r="BE69" i="2"/>
  <c r="BE87" i="2"/>
  <c r="J91" i="3"/>
  <c r="ED31" i="4"/>
  <c r="EH31" i="4" s="1"/>
  <c r="BE68" i="2"/>
  <c r="BE91" i="2"/>
  <c r="K96" i="3"/>
  <c r="BE109" i="2"/>
  <c r="BE6" i="2"/>
  <c r="BE25" i="2"/>
  <c r="BE75" i="2"/>
  <c r="BE66" i="2"/>
  <c r="BE95" i="2"/>
  <c r="BE70" i="2"/>
  <c r="BS119" i="4"/>
  <c r="BE98" i="2"/>
  <c r="J94" i="3"/>
  <c r="BE106" i="2"/>
  <c r="BE8" i="2"/>
  <c r="BE46" i="2"/>
  <c r="BE89" i="2"/>
  <c r="BB99" i="2"/>
  <c r="BC113" i="2"/>
  <c r="AZ46" i="1"/>
  <c r="BE92" i="2"/>
  <c r="BE7" i="2"/>
  <c r="BE29" i="2"/>
  <c r="BE55" i="2"/>
  <c r="BE71" i="2"/>
  <c r="BA35" i="1"/>
  <c r="BE100" i="2"/>
  <c r="BE47" i="2"/>
  <c r="I48" i="5"/>
  <c r="BT107" i="4"/>
  <c r="ED103" i="4"/>
  <c r="EH103" i="4" s="1"/>
  <c r="BC30" i="1"/>
  <c r="BE96" i="2"/>
  <c r="BE28" i="2"/>
  <c r="BE56" i="2"/>
  <c r="BE38" i="2"/>
  <c r="H31" i="5"/>
  <c r="BT124" i="4"/>
  <c r="A12" i="8"/>
  <c r="DK122" i="4" s="1"/>
  <c r="CH122" i="4"/>
  <c r="M110" i="3"/>
  <c r="BD118" i="2"/>
  <c r="K53" i="5"/>
  <c r="BD56" i="1"/>
  <c r="CD122" i="4"/>
  <c r="BY122" i="4"/>
  <c r="BE122" i="4"/>
  <c r="BJ122" i="4"/>
  <c r="BO122" i="4"/>
  <c r="BV122" i="4"/>
  <c r="CC122" i="4"/>
  <c r="BX122" i="4"/>
  <c r="BD122" i="4"/>
  <c r="BI122" i="4"/>
  <c r="BN122" i="4"/>
  <c r="BU122" i="4"/>
  <c r="BT122" i="4"/>
  <c r="BS122" i="4"/>
  <c r="H53" i="5"/>
  <c r="K110" i="3"/>
  <c r="BC118" i="2"/>
  <c r="J53" i="5"/>
  <c r="I53" i="5"/>
  <c r="BB56" i="1"/>
  <c r="CR122" i="4"/>
  <c r="CF122" i="4"/>
  <c r="CA122" i="4"/>
  <c r="BG122" i="4"/>
  <c r="BL122" i="4"/>
  <c r="BQ122" i="4"/>
  <c r="A69" i="8"/>
  <c r="DK121" i="4" s="1"/>
  <c r="BD43" i="1"/>
  <c r="CH121" i="4"/>
  <c r="M89" i="3"/>
  <c r="BD101" i="2"/>
  <c r="K47" i="5"/>
  <c r="CD121" i="4"/>
  <c r="BY121" i="4"/>
  <c r="BE121" i="4"/>
  <c r="BJ121" i="4"/>
  <c r="BO121" i="4"/>
  <c r="BV121" i="4"/>
  <c r="J47" i="5"/>
  <c r="BA43" i="1"/>
  <c r="CC121" i="4"/>
  <c r="BX121" i="4"/>
  <c r="BD121" i="4"/>
  <c r="BI121" i="4"/>
  <c r="BN121" i="4"/>
  <c r="BU121" i="4"/>
  <c r="I47" i="5"/>
  <c r="H47" i="5"/>
  <c r="K89" i="3"/>
  <c r="BT121" i="4"/>
  <c r="BB101" i="2"/>
  <c r="BS121" i="4"/>
  <c r="L89" i="3"/>
  <c r="J89" i="3"/>
  <c r="CR121" i="4"/>
  <c r="CF121" i="4"/>
  <c r="CA121" i="4"/>
  <c r="BG121" i="4"/>
  <c r="BL121" i="4"/>
  <c r="BQ121" i="4"/>
  <c r="AZ104" i="2"/>
  <c r="BD32" i="1"/>
  <c r="M90" i="3"/>
  <c r="BD102" i="2"/>
  <c r="K29" i="5"/>
  <c r="J29" i="5"/>
  <c r="BA32" i="1"/>
  <c r="I29" i="5"/>
  <c r="H29" i="5"/>
  <c r="K90" i="3"/>
  <c r="BB102" i="2"/>
  <c r="L90" i="3"/>
  <c r="J90" i="3"/>
  <c r="A454" i="8"/>
  <c r="DK120" i="4" s="1"/>
  <c r="K51" i="5"/>
  <c r="CH120" i="4"/>
  <c r="BD46" i="1"/>
  <c r="M87" i="3"/>
  <c r="BD99" i="2"/>
  <c r="CD120" i="4"/>
  <c r="BY120" i="4"/>
  <c r="BE120" i="4"/>
  <c r="BJ120" i="4"/>
  <c r="BO120" i="4"/>
  <c r="BV120" i="4"/>
  <c r="J51" i="5"/>
  <c r="CC120" i="4"/>
  <c r="BX120" i="4"/>
  <c r="BD120" i="4"/>
  <c r="BI120" i="4"/>
  <c r="BN120" i="4"/>
  <c r="BU120" i="4"/>
  <c r="I51" i="5"/>
  <c r="L87" i="3"/>
  <c r="J87" i="3"/>
  <c r="BT120" i="4"/>
  <c r="BC46" i="1"/>
  <c r="BS120" i="4"/>
  <c r="BB46" i="1"/>
  <c r="BA99" i="2"/>
  <c r="H51" i="5"/>
  <c r="K87" i="3"/>
  <c r="CR120" i="4"/>
  <c r="CF120" i="4"/>
  <c r="CA120" i="4"/>
  <c r="BG120" i="4"/>
  <c r="BL120" i="4"/>
  <c r="BQ120" i="4"/>
  <c r="BC97" i="2"/>
  <c r="BA104" i="2"/>
  <c r="AZ105" i="2"/>
  <c r="AZ101" i="2"/>
  <c r="AZ32" i="1"/>
  <c r="BA37" i="1"/>
  <c r="BC43" i="1"/>
  <c r="L84" i="3"/>
  <c r="BP122" i="4"/>
  <c r="BK122" i="4"/>
  <c r="BF122" i="4"/>
  <c r="BZ122" i="4"/>
  <c r="CE122" i="4"/>
  <c r="AZ30" i="1"/>
  <c r="CE121" i="4"/>
  <c r="BB104" i="2"/>
  <c r="BB96" i="2"/>
  <c r="BA105" i="2"/>
  <c r="BA107" i="2"/>
  <c r="AZ96" i="2"/>
  <c r="AZ106" i="2"/>
  <c r="AZ56" i="1"/>
  <c r="BA30" i="1"/>
  <c r="BA34" i="1"/>
  <c r="BB37" i="1"/>
  <c r="BB44" i="1"/>
  <c r="BP109" i="4"/>
  <c r="BK109" i="4"/>
  <c r="BF109" i="4"/>
  <c r="BZ109" i="4"/>
  <c r="CE109" i="4"/>
  <c r="BA97" i="2"/>
  <c r="BF121" i="4"/>
  <c r="BB98" i="2"/>
  <c r="BC101" i="2"/>
  <c r="BA103" i="2"/>
  <c r="BA101" i="2"/>
  <c r="AZ35" i="1"/>
  <c r="BB30" i="1"/>
  <c r="BB34" i="1"/>
  <c r="BC37" i="1"/>
  <c r="J92" i="3"/>
  <c r="L94" i="3"/>
  <c r="J110" i="3"/>
  <c r="BZ121" i="4"/>
  <c r="M91" i="3"/>
  <c r="BD103" i="2"/>
  <c r="K28" i="5"/>
  <c r="BD31" i="1"/>
  <c r="BC31" i="1"/>
  <c r="J28" i="5"/>
  <c r="H28" i="5"/>
  <c r="K91" i="3"/>
  <c r="BB31" i="1"/>
  <c r="BC103" i="2"/>
  <c r="BA31" i="1"/>
  <c r="BB103" i="2"/>
  <c r="I28" i="5"/>
  <c r="L91" i="3"/>
  <c r="A87" i="8"/>
  <c r="BC42" i="1"/>
  <c r="BB107" i="2"/>
  <c r="BA42" i="1"/>
  <c r="BV116" i="4"/>
  <c r="L95" i="3"/>
  <c r="BA96" i="2"/>
  <c r="BC106" i="2"/>
  <c r="BA102" i="2"/>
  <c r="BA106" i="2"/>
  <c r="AZ102" i="2"/>
  <c r="AZ99" i="2"/>
  <c r="BA56" i="1"/>
  <c r="J93" i="3"/>
  <c r="L92" i="3"/>
  <c r="BP120" i="4"/>
  <c r="BK120" i="4"/>
  <c r="BF120" i="4"/>
  <c r="BZ120" i="4"/>
  <c r="CE120" i="4"/>
  <c r="M84" i="3"/>
  <c r="BD96" i="2"/>
  <c r="K27" i="5"/>
  <c r="BD30" i="1"/>
  <c r="H27" i="5"/>
  <c r="K84" i="3"/>
  <c r="BC96" i="2"/>
  <c r="J27" i="5"/>
  <c r="I27" i="5"/>
  <c r="J84" i="3"/>
  <c r="BK121" i="4"/>
  <c r="BB43" i="1"/>
  <c r="BB109" i="2"/>
  <c r="A10" i="8"/>
  <c r="DK107" i="4" s="1"/>
  <c r="CH107" i="4"/>
  <c r="M96" i="3"/>
  <c r="BD109" i="2"/>
  <c r="K31" i="5"/>
  <c r="BS107" i="4"/>
  <c r="CR107" i="4"/>
  <c r="CF107" i="4"/>
  <c r="CA107" i="4"/>
  <c r="BG107" i="4"/>
  <c r="BL107" i="4"/>
  <c r="BQ107" i="4"/>
  <c r="J96" i="3"/>
  <c r="AZ109" i="2"/>
  <c r="CE107" i="4"/>
  <c r="BZ107" i="4"/>
  <c r="BF107" i="4"/>
  <c r="BK107" i="4"/>
  <c r="BP107" i="4"/>
  <c r="L96" i="3"/>
  <c r="J31" i="5"/>
  <c r="CD107" i="4"/>
  <c r="BY107" i="4"/>
  <c r="BE107" i="4"/>
  <c r="BJ107" i="4"/>
  <c r="BO107" i="4"/>
  <c r="CC107" i="4"/>
  <c r="BX107" i="4"/>
  <c r="BD107" i="4"/>
  <c r="BI107" i="4"/>
  <c r="BN107" i="4"/>
  <c r="BV107" i="4"/>
  <c r="I31" i="5"/>
  <c r="BU107" i="4"/>
  <c r="A66" i="8"/>
  <c r="DK119" i="4" s="1"/>
  <c r="BD45" i="1"/>
  <c r="CH119" i="4"/>
  <c r="M86" i="3"/>
  <c r="BD98" i="2"/>
  <c r="K50" i="5"/>
  <c r="AZ45" i="1"/>
  <c r="CR119" i="4"/>
  <c r="CF119" i="4"/>
  <c r="CA119" i="4"/>
  <c r="BG119" i="4"/>
  <c r="BL119" i="4"/>
  <c r="BQ119" i="4"/>
  <c r="J50" i="5"/>
  <c r="L86" i="3"/>
  <c r="J86" i="3"/>
  <c r="AZ98" i="2"/>
  <c r="CE119" i="4"/>
  <c r="BZ119" i="4"/>
  <c r="BF119" i="4"/>
  <c r="BK119" i="4"/>
  <c r="BP119" i="4"/>
  <c r="I50" i="5"/>
  <c r="CD119" i="4"/>
  <c r="BY119" i="4"/>
  <c r="BE119" i="4"/>
  <c r="BJ119" i="4"/>
  <c r="BO119" i="4"/>
  <c r="BV119" i="4"/>
  <c r="CC119" i="4"/>
  <c r="BX119" i="4"/>
  <c r="BD119" i="4"/>
  <c r="BI119" i="4"/>
  <c r="BN119" i="4"/>
  <c r="BU119" i="4"/>
  <c r="BC45" i="1"/>
  <c r="BT119" i="4"/>
  <c r="H50" i="5"/>
  <c r="K86" i="3"/>
  <c r="A242" i="8"/>
  <c r="DK124" i="4" s="1"/>
  <c r="BD50" i="1"/>
  <c r="CH124" i="4"/>
  <c r="M99" i="3"/>
  <c r="BD113" i="2"/>
  <c r="K42" i="5"/>
  <c r="BS124" i="4"/>
  <c r="AZ50" i="1"/>
  <c r="CR124" i="4"/>
  <c r="CF124" i="4"/>
  <c r="CA124" i="4"/>
  <c r="BG124" i="4"/>
  <c r="BL124" i="4"/>
  <c r="BQ124" i="4"/>
  <c r="J42" i="5"/>
  <c r="L99" i="3"/>
  <c r="J99" i="3"/>
  <c r="AZ113" i="2"/>
  <c r="CE124" i="4"/>
  <c r="BZ124" i="4"/>
  <c r="BF124" i="4"/>
  <c r="BK124" i="4"/>
  <c r="BP124" i="4"/>
  <c r="I42" i="5"/>
  <c r="CD124" i="4"/>
  <c r="BY124" i="4"/>
  <c r="BE124" i="4"/>
  <c r="BJ124" i="4"/>
  <c r="BO124" i="4"/>
  <c r="CC124" i="4"/>
  <c r="BX124" i="4"/>
  <c r="BD124" i="4"/>
  <c r="BI124" i="4"/>
  <c r="BN124" i="4"/>
  <c r="BV124" i="4"/>
  <c r="BC50" i="1"/>
  <c r="BU124" i="4"/>
  <c r="H42" i="5"/>
  <c r="K99" i="3"/>
  <c r="AZ42" i="1"/>
  <c r="BB32" i="1"/>
  <c r="BA50" i="1"/>
  <c r="BC56" i="1"/>
  <c r="BS116" i="4"/>
  <c r="BP121" i="4"/>
  <c r="BD34" i="1"/>
  <c r="M85" i="3"/>
  <c r="BD97" i="2"/>
  <c r="K32" i="5"/>
  <c r="AZ34" i="1"/>
  <c r="J32" i="5"/>
  <c r="L85" i="3"/>
  <c r="J85" i="3"/>
  <c r="AZ97" i="2"/>
  <c r="I32" i="5"/>
  <c r="H32" i="5"/>
  <c r="K85" i="3"/>
  <c r="BA118" i="2"/>
  <c r="M92" i="3"/>
  <c r="BD104" i="2"/>
  <c r="K35" i="5"/>
  <c r="BD37" i="1"/>
  <c r="K92" i="3"/>
  <c r="BC104" i="2"/>
  <c r="H35" i="5"/>
  <c r="J35" i="5"/>
  <c r="I35" i="5"/>
  <c r="BC100" i="2"/>
  <c r="A74" i="8"/>
  <c r="DK118" i="4" s="1"/>
  <c r="BD44" i="1"/>
  <c r="M94" i="3"/>
  <c r="BD106" i="2"/>
  <c r="CH118" i="4"/>
  <c r="K48" i="5"/>
  <c r="H48" i="5"/>
  <c r="K94" i="3"/>
  <c r="CR118" i="4"/>
  <c r="CF118" i="4"/>
  <c r="CA118" i="4"/>
  <c r="BG118" i="4"/>
  <c r="BL118" i="4"/>
  <c r="BQ118" i="4"/>
  <c r="BC44" i="1"/>
  <c r="CE118" i="4"/>
  <c r="BZ118" i="4"/>
  <c r="BF118" i="4"/>
  <c r="BK118" i="4"/>
  <c r="BP118" i="4"/>
  <c r="AZ44" i="1"/>
  <c r="CD118" i="4"/>
  <c r="BY118" i="4"/>
  <c r="BE118" i="4"/>
  <c r="BJ118" i="4"/>
  <c r="BO118" i="4"/>
  <c r="BV118" i="4"/>
  <c r="CC118" i="4"/>
  <c r="BX118" i="4"/>
  <c r="BD118" i="4"/>
  <c r="BI118" i="4"/>
  <c r="BN118" i="4"/>
  <c r="BU118" i="4"/>
  <c r="BA44" i="1"/>
  <c r="BT118" i="4"/>
  <c r="J48" i="5"/>
  <c r="BB97" i="2"/>
  <c r="BB118" i="2"/>
  <c r="A67" i="8"/>
  <c r="DK109" i="4" s="1"/>
  <c r="K33" i="5"/>
  <c r="BD35" i="1"/>
  <c r="CH109" i="4"/>
  <c r="M88" i="3"/>
  <c r="BD100" i="2"/>
  <c r="CD109" i="4"/>
  <c r="BY109" i="4"/>
  <c r="BE109" i="4"/>
  <c r="BJ109" i="4"/>
  <c r="BO109" i="4"/>
  <c r="J33" i="5"/>
  <c r="CC109" i="4"/>
  <c r="BX109" i="4"/>
  <c r="BD109" i="4"/>
  <c r="BI109" i="4"/>
  <c r="BN109" i="4"/>
  <c r="BV109" i="4"/>
  <c r="I33" i="5"/>
  <c r="L88" i="3"/>
  <c r="J88" i="3"/>
  <c r="BU109" i="4"/>
  <c r="BC35" i="1"/>
  <c r="BT109" i="4"/>
  <c r="BB35" i="1"/>
  <c r="BA100" i="2"/>
  <c r="BS109" i="4"/>
  <c r="H33" i="5"/>
  <c r="K88" i="3"/>
  <c r="CR109" i="4"/>
  <c r="CF109" i="4"/>
  <c r="CA109" i="4"/>
  <c r="BG109" i="4"/>
  <c r="BL109" i="4"/>
  <c r="BQ109" i="4"/>
  <c r="A555" i="8"/>
  <c r="DK93" i="4" s="1"/>
  <c r="BA19" i="1"/>
  <c r="AZ19" i="1"/>
  <c r="K15" i="5"/>
  <c r="J15" i="5"/>
  <c r="I15" i="5"/>
  <c r="H15" i="5"/>
  <c r="BD19" i="1"/>
  <c r="BC19" i="1"/>
  <c r="BB19" i="1"/>
  <c r="BB100" i="2"/>
  <c r="BC102" i="2"/>
  <c r="BC98" i="2"/>
  <c r="BA109" i="2"/>
  <c r="BA113" i="2"/>
  <c r="BA98" i="2"/>
  <c r="AZ100" i="2"/>
  <c r="AZ118" i="2"/>
  <c r="AZ40" i="1"/>
  <c r="AZ43" i="1"/>
  <c r="BC32" i="1"/>
  <c r="BB50" i="1"/>
  <c r="BA45" i="1"/>
  <c r="L110" i="3"/>
  <c r="BS118" i="4"/>
  <c r="L93" i="3"/>
  <c r="BT116" i="4"/>
  <c r="BU116" i="4"/>
  <c r="BN116" i="4"/>
  <c r="BI116" i="4"/>
  <c r="BD116" i="4"/>
  <c r="BX116" i="4"/>
  <c r="CC116" i="4"/>
  <c r="BO116" i="4"/>
  <c r="BJ116" i="4"/>
  <c r="BE116" i="4"/>
  <c r="BY116" i="4"/>
  <c r="CD116" i="4"/>
  <c r="A8" i="8"/>
  <c r="DK114" i="4" s="1"/>
  <c r="M93" i="3"/>
  <c r="BD105" i="2"/>
  <c r="K38" i="5"/>
  <c r="BD40" i="1"/>
  <c r="BB105" i="2"/>
  <c r="I38" i="5"/>
  <c r="I46" i="5"/>
  <c r="BP116" i="4"/>
  <c r="BK116" i="4"/>
  <c r="BF116" i="4"/>
  <c r="BZ116" i="4"/>
  <c r="CE116" i="4"/>
  <c r="BE4" i="2"/>
  <c r="BA40" i="1"/>
  <c r="A9" i="8"/>
  <c r="DK116" i="4" s="1"/>
  <c r="M95" i="3"/>
  <c r="BD107" i="2"/>
  <c r="K46" i="5"/>
  <c r="CH116" i="4"/>
  <c r="BD42" i="1"/>
  <c r="BC105" i="2"/>
  <c r="BC107" i="2"/>
  <c r="BB40" i="1"/>
  <c r="BB42" i="1"/>
  <c r="K93" i="3"/>
  <c r="K95" i="3"/>
  <c r="H38" i="5"/>
  <c r="H46" i="5"/>
  <c r="J38" i="5"/>
  <c r="J46" i="5"/>
  <c r="BQ116" i="4"/>
  <c r="BL116" i="4"/>
  <c r="BG116" i="4"/>
  <c r="CA116" i="4"/>
  <c r="CF116" i="4"/>
  <c r="CR116" i="4"/>
  <c r="BC40" i="1"/>
  <c r="BD53" i="2"/>
  <c r="M53" i="3"/>
  <c r="BD7" i="1"/>
  <c r="M75" i="3"/>
  <c r="BD78" i="2"/>
  <c r="BD73" i="2"/>
  <c r="M70" i="3"/>
  <c r="M73" i="3"/>
  <c r="BD76" i="2"/>
  <c r="BD28" i="1"/>
  <c r="M82" i="3"/>
  <c r="K25" i="5"/>
  <c r="BD94" i="2"/>
  <c r="K10" i="5"/>
  <c r="BD85" i="2"/>
  <c r="BD14" i="1"/>
  <c r="BD13" i="2"/>
  <c r="M13" i="3"/>
  <c r="M8" i="3"/>
  <c r="BD8" i="2"/>
  <c r="M7" i="3"/>
  <c r="BD7" i="2"/>
  <c r="BD75" i="2"/>
  <c r="M72" i="3"/>
  <c r="M55" i="3"/>
  <c r="BD55" i="2"/>
  <c r="BD17" i="2"/>
  <c r="M17" i="3"/>
  <c r="BD51" i="2"/>
  <c r="M51" i="3"/>
  <c r="M5" i="3"/>
  <c r="BD5" i="2"/>
  <c r="K12" i="5"/>
  <c r="BD87" i="2"/>
  <c r="BD16" i="1"/>
  <c r="BD54" i="2"/>
  <c r="M54" i="3"/>
  <c r="K11" i="5"/>
  <c r="BD86" i="2"/>
  <c r="BD15" i="1"/>
  <c r="BD25" i="1"/>
  <c r="M79" i="3"/>
  <c r="K22" i="5"/>
  <c r="BD91" i="2"/>
  <c r="BD95" i="2"/>
  <c r="BD29" i="1"/>
  <c r="M83" i="3"/>
  <c r="K26" i="5"/>
  <c r="K14" i="5"/>
  <c r="BD89" i="2"/>
  <c r="BD18" i="1"/>
  <c r="A3" i="8"/>
  <c r="DK102" i="4" s="1"/>
  <c r="M80" i="3"/>
  <c r="BD26" i="1"/>
  <c r="K23" i="5"/>
  <c r="BD92" i="2"/>
  <c r="BD40" i="2"/>
  <c r="M40" i="3"/>
  <c r="BD14" i="2"/>
  <c r="M14" i="3"/>
  <c r="M39" i="3"/>
  <c r="BD39" i="2"/>
  <c r="M56" i="3"/>
  <c r="BD56" i="2"/>
  <c r="BD18" i="2"/>
  <c r="M18" i="3"/>
  <c r="K13" i="5"/>
  <c r="BD88" i="2"/>
  <c r="BD17" i="1"/>
  <c r="M42" i="3"/>
  <c r="BD42" i="2"/>
  <c r="M58" i="3"/>
  <c r="BD58" i="2"/>
  <c r="M20" i="3"/>
  <c r="BD20" i="2"/>
  <c r="M43" i="3"/>
  <c r="BD43" i="2"/>
  <c r="BD48" i="2"/>
  <c r="M48" i="3"/>
  <c r="BD67" i="2"/>
  <c r="M64" i="3"/>
  <c r="A15" i="8"/>
  <c r="DK77" i="4" s="1"/>
  <c r="BD9" i="1"/>
  <c r="M77" i="3"/>
  <c r="BD80" i="2"/>
  <c r="K8" i="5"/>
  <c r="BD83" i="2"/>
  <c r="BD12" i="1"/>
  <c r="M41" i="3"/>
  <c r="BD41" i="2"/>
  <c r="BD19" i="2"/>
  <c r="M19" i="3"/>
  <c r="BD52" i="2"/>
  <c r="M52" i="3"/>
  <c r="BD15" i="2"/>
  <c r="M15" i="3"/>
  <c r="L4" i="3"/>
  <c r="BD4" i="2"/>
  <c r="BC4" i="2"/>
  <c r="M4" i="3"/>
  <c r="K9" i="5"/>
  <c r="BD84" i="2"/>
  <c r="BD13" i="1"/>
  <c r="M6" i="3"/>
  <c r="BD6" i="2"/>
  <c r="M45" i="3"/>
  <c r="BD45" i="2"/>
  <c r="BD49" i="2"/>
  <c r="M49" i="3"/>
  <c r="BD68" i="2"/>
  <c r="M65" i="3"/>
  <c r="M25" i="3"/>
  <c r="BD25" i="2"/>
  <c r="BD66" i="2"/>
  <c r="M63" i="3"/>
  <c r="BD70" i="2"/>
  <c r="M67" i="3"/>
  <c r="M46" i="3"/>
  <c r="BD46" i="2"/>
  <c r="M57" i="3"/>
  <c r="BD57" i="2"/>
  <c r="M24" i="3"/>
  <c r="BD24" i="2"/>
  <c r="BD65" i="2"/>
  <c r="M62" i="3"/>
  <c r="BD69" i="2"/>
  <c r="M66" i="3"/>
  <c r="BD29" i="2"/>
  <c r="M29" i="3"/>
  <c r="BD71" i="2"/>
  <c r="M68" i="3"/>
  <c r="BD47" i="2"/>
  <c r="M47" i="3"/>
  <c r="M78" i="3"/>
  <c r="K21" i="5"/>
  <c r="BD90" i="2"/>
  <c r="BD24" i="1"/>
  <c r="BD28" i="2"/>
  <c r="M28" i="3"/>
  <c r="BD12" i="2"/>
  <c r="M12" i="3"/>
  <c r="BD72" i="2"/>
  <c r="M69" i="3"/>
  <c r="BD61" i="2"/>
  <c r="BD38" i="2"/>
  <c r="M38" i="3"/>
  <c r="BD79" i="2"/>
  <c r="BD8" i="1"/>
  <c r="M76" i="3"/>
  <c r="BD16" i="2"/>
  <c r="M16" i="3"/>
  <c r="BD4" i="1"/>
  <c r="J4" i="5"/>
  <c r="BC4" i="1"/>
  <c r="K4" i="5"/>
  <c r="BD60" i="2"/>
  <c r="M44" i="3"/>
  <c r="BD44" i="2"/>
  <c r="BT111" i="4"/>
  <c r="BI99" i="4"/>
  <c r="CH17" i="4"/>
  <c r="CH57" i="4"/>
  <c r="CR100" i="4"/>
  <c r="BT101" i="4"/>
  <c r="BT100" i="4"/>
  <c r="BP99" i="4"/>
  <c r="BP106" i="4"/>
  <c r="BP111" i="4"/>
  <c r="BK99" i="4"/>
  <c r="BK106" i="4"/>
  <c r="BK111" i="4"/>
  <c r="BE99" i="4"/>
  <c r="BE106" i="4"/>
  <c r="BE111" i="4"/>
  <c r="BY99" i="4"/>
  <c r="BY106" i="4"/>
  <c r="BY111" i="4"/>
  <c r="CD99" i="4"/>
  <c r="CD106" i="4"/>
  <c r="CD111" i="4"/>
  <c r="CH86" i="4"/>
  <c r="CH53" i="4"/>
  <c r="CH68" i="4"/>
  <c r="BU101" i="4"/>
  <c r="BU100" i="4"/>
  <c r="BQ99" i="4"/>
  <c r="BQ106" i="4"/>
  <c r="BQ111" i="4"/>
  <c r="BL99" i="4"/>
  <c r="BL106" i="4"/>
  <c r="BL111" i="4"/>
  <c r="BF99" i="4"/>
  <c r="BF106" i="4"/>
  <c r="BF111" i="4"/>
  <c r="BZ99" i="4"/>
  <c r="BZ106" i="4"/>
  <c r="BZ111" i="4"/>
  <c r="CE99" i="4"/>
  <c r="CE106" i="4"/>
  <c r="CE111" i="4"/>
  <c r="CH71" i="4"/>
  <c r="CH51" i="4"/>
  <c r="A14" i="8"/>
  <c r="DK76" i="4" s="1"/>
  <c r="CH76" i="4"/>
  <c r="CH52" i="4"/>
  <c r="CH58" i="4"/>
  <c r="CH20" i="4"/>
  <c r="CH79" i="4"/>
  <c r="CH49" i="4"/>
  <c r="CH66" i="4"/>
  <c r="A160" i="8"/>
  <c r="DK87" i="4" s="1"/>
  <c r="CH87" i="4"/>
  <c r="BV101" i="4"/>
  <c r="BV100" i="4"/>
  <c r="BN101" i="4"/>
  <c r="BN100" i="4"/>
  <c r="BI101" i="4"/>
  <c r="BI100" i="4"/>
  <c r="BG99" i="4"/>
  <c r="BG106" i="4"/>
  <c r="BG111" i="4"/>
  <c r="CA99" i="4"/>
  <c r="CA106" i="4"/>
  <c r="CA111" i="4"/>
  <c r="CF99" i="4"/>
  <c r="CF106" i="4"/>
  <c r="CF111" i="4"/>
  <c r="CR99" i="4"/>
  <c r="CR106" i="4"/>
  <c r="CR111" i="4"/>
  <c r="CH63" i="4"/>
  <c r="CH43" i="4"/>
  <c r="A161" i="8"/>
  <c r="DK88" i="4" s="1"/>
  <c r="BS99" i="4"/>
  <c r="BS106" i="4"/>
  <c r="BS111" i="4"/>
  <c r="BO101" i="4"/>
  <c r="BO100" i="4"/>
  <c r="BJ101" i="4"/>
  <c r="BJ100" i="4"/>
  <c r="BD101" i="4"/>
  <c r="BD100" i="4"/>
  <c r="BX101" i="4"/>
  <c r="BX100" i="4"/>
  <c r="CC101" i="4"/>
  <c r="CC100" i="4"/>
  <c r="CH15" i="4"/>
  <c r="CH44" i="4"/>
  <c r="CH6" i="4"/>
  <c r="CH72" i="4"/>
  <c r="CH8" i="4"/>
  <c r="BT99" i="4"/>
  <c r="BT106" i="4"/>
  <c r="BP101" i="4"/>
  <c r="BP100" i="4"/>
  <c r="BK101" i="4"/>
  <c r="BK100" i="4"/>
  <c r="BE101" i="4"/>
  <c r="BE100" i="4"/>
  <c r="BY101" i="4"/>
  <c r="BY100" i="4"/>
  <c r="CD101" i="4"/>
  <c r="CD100" i="4"/>
  <c r="A7" i="8"/>
  <c r="DK111" i="4" s="1"/>
  <c r="CH48" i="4"/>
  <c r="CH45" i="4"/>
  <c r="CH5" i="4"/>
  <c r="CH24" i="4"/>
  <c r="CH73" i="4"/>
  <c r="A50" i="8"/>
  <c r="DK105" i="4" s="1"/>
  <c r="CH105" i="4"/>
  <c r="A162" i="8"/>
  <c r="DK90" i="4" s="1"/>
  <c r="CH90" i="4"/>
  <c r="CH7" i="4"/>
  <c r="CH29" i="4"/>
  <c r="CH55" i="4"/>
  <c r="CH69" i="4"/>
  <c r="CH47" i="4"/>
  <c r="BU99" i="4"/>
  <c r="BU106" i="4"/>
  <c r="BU111" i="4"/>
  <c r="BQ101" i="4"/>
  <c r="BQ100" i="4"/>
  <c r="BL101" i="4"/>
  <c r="BL100" i="4"/>
  <c r="BF101" i="4"/>
  <c r="BF100" i="4"/>
  <c r="BZ101" i="4"/>
  <c r="BZ100" i="4"/>
  <c r="CE101" i="4"/>
  <c r="CE100" i="4"/>
  <c r="CH111" i="4"/>
  <c r="CH106" i="4"/>
  <c r="CH54" i="4"/>
  <c r="CH85" i="4"/>
  <c r="CH98" i="4"/>
  <c r="CH25" i="4"/>
  <c r="CH64" i="4"/>
  <c r="CH46" i="4"/>
  <c r="A4" i="8"/>
  <c r="DK101" i="4" s="1"/>
  <c r="CH40" i="4"/>
  <c r="CH28" i="4"/>
  <c r="CH56" i="4"/>
  <c r="CE12" i="4"/>
  <c r="CH12" i="4"/>
  <c r="CH18" i="4"/>
  <c r="CH70" i="4"/>
  <c r="CH80" i="4"/>
  <c r="CH38" i="4"/>
  <c r="A388" i="8"/>
  <c r="DK89" i="4" s="1"/>
  <c r="CH89" i="4"/>
  <c r="BV99" i="4"/>
  <c r="BV106" i="4"/>
  <c r="BV111" i="4"/>
  <c r="BN99" i="4"/>
  <c r="BN106" i="4"/>
  <c r="BN111" i="4"/>
  <c r="BI106" i="4"/>
  <c r="BI111" i="4"/>
  <c r="BG101" i="4"/>
  <c r="BG100" i="4"/>
  <c r="CA101" i="4"/>
  <c r="CA100" i="4"/>
  <c r="CF101" i="4"/>
  <c r="CF100" i="4"/>
  <c r="CR101" i="4"/>
  <c r="CH101" i="4"/>
  <c r="CH102" i="4"/>
  <c r="A6" i="8"/>
  <c r="DK100" i="4" s="1"/>
  <c r="CH42" i="4"/>
  <c r="CH16" i="4"/>
  <c r="BY13" i="4"/>
  <c r="CH13" i="4"/>
  <c r="CH65" i="4"/>
  <c r="A71" i="8"/>
  <c r="DK99" i="4" s="1"/>
  <c r="CH99" i="4"/>
  <c r="CH84" i="4"/>
  <c r="A49" i="8"/>
  <c r="DK104" i="4" s="1"/>
  <c r="CH104" i="4"/>
  <c r="CH67" i="4"/>
  <c r="A5" i="8"/>
  <c r="DK108" i="4" s="1"/>
  <c r="A13" i="8"/>
  <c r="DK75" i="4" s="1"/>
  <c r="CH75" i="4"/>
  <c r="CH41" i="4"/>
  <c r="CH14" i="4"/>
  <c r="CH19" i="4"/>
  <c r="CH97" i="4"/>
  <c r="CH39" i="4"/>
  <c r="BS101" i="4"/>
  <c r="BS100" i="4"/>
  <c r="BO99" i="4"/>
  <c r="BO106" i="4"/>
  <c r="BO111" i="4"/>
  <c r="BJ99" i="4"/>
  <c r="BJ106" i="4"/>
  <c r="BJ111" i="4"/>
  <c r="BD99" i="4"/>
  <c r="BD106" i="4"/>
  <c r="BD111" i="4"/>
  <c r="BX99" i="4"/>
  <c r="BX106" i="4"/>
  <c r="BX111" i="4"/>
  <c r="CC99" i="4"/>
  <c r="CC106" i="4"/>
  <c r="CC111" i="4"/>
  <c r="CH88" i="4"/>
  <c r="CH77" i="4"/>
  <c r="BA16" i="1"/>
  <c r="CF90" i="4"/>
  <c r="CF71" i="4"/>
  <c r="BA26" i="1"/>
  <c r="AZ16" i="1"/>
  <c r="BY39" i="4"/>
  <c r="BI87" i="4"/>
  <c r="BX16" i="4"/>
  <c r="BX44" i="4"/>
  <c r="BI102" i="4"/>
  <c r="BG90" i="4"/>
  <c r="CE14" i="4"/>
  <c r="BX79" i="4"/>
  <c r="CF15" i="4"/>
  <c r="BA87" i="2"/>
  <c r="BB29" i="1"/>
  <c r="BB87" i="2"/>
  <c r="CF8" i="4"/>
  <c r="CA90" i="4"/>
  <c r="BX72" i="4"/>
  <c r="BB16" i="1"/>
  <c r="J12" i="5"/>
  <c r="CF6" i="4"/>
  <c r="CE18" i="4"/>
  <c r="BN87" i="4"/>
  <c r="BN102" i="4"/>
  <c r="AZ87" i="2"/>
  <c r="BS88" i="4"/>
  <c r="BX20" i="4"/>
  <c r="BC87" i="2"/>
  <c r="BC78" i="2"/>
  <c r="CA84" i="4"/>
  <c r="BB80" i="2"/>
  <c r="BC80" i="2"/>
  <c r="BX73" i="4"/>
  <c r="BA15" i="1"/>
  <c r="BB28" i="1"/>
  <c r="J14" i="5"/>
  <c r="BS89" i="4"/>
  <c r="BS105" i="4"/>
  <c r="BN77" i="4"/>
  <c r="BN88" i="4"/>
  <c r="BN104" i="4"/>
  <c r="BI77" i="4"/>
  <c r="BI88" i="4"/>
  <c r="BI104" i="4"/>
  <c r="BG76" i="4"/>
  <c r="BG87" i="4"/>
  <c r="BG102" i="4"/>
  <c r="CA76" i="4"/>
  <c r="CA87" i="4"/>
  <c r="CA102" i="4"/>
  <c r="CF76" i="4"/>
  <c r="CF87" i="4"/>
  <c r="CF102" i="4"/>
  <c r="CR76" i="4"/>
  <c r="CR102" i="4"/>
  <c r="AZ7" i="1"/>
  <c r="BB79" i="2"/>
  <c r="BY98" i="4"/>
  <c r="BA7" i="1"/>
  <c r="BB15" i="1"/>
  <c r="BC28" i="1"/>
  <c r="I23" i="5"/>
  <c r="BT89" i="4"/>
  <c r="BT105" i="4"/>
  <c r="BO77" i="4"/>
  <c r="BO88" i="4"/>
  <c r="BO104" i="4"/>
  <c r="BJ77" i="4"/>
  <c r="BJ88" i="4"/>
  <c r="BJ104" i="4"/>
  <c r="BD77" i="4"/>
  <c r="BD88" i="4"/>
  <c r="BD104" i="4"/>
  <c r="BX77" i="4"/>
  <c r="BX88" i="4"/>
  <c r="BX104" i="4"/>
  <c r="CC77" i="4"/>
  <c r="CC88" i="4"/>
  <c r="CC104" i="4"/>
  <c r="CO77" i="4"/>
  <c r="AZ78" i="2"/>
  <c r="CE7" i="4"/>
  <c r="BY55" i="4"/>
  <c r="BY17" i="4"/>
  <c r="BB86" i="2"/>
  <c r="BC86" i="2"/>
  <c r="BA86" i="2"/>
  <c r="AZ86" i="2"/>
  <c r="AZ15" i="1"/>
  <c r="BB7" i="1"/>
  <c r="BC15" i="1"/>
  <c r="BA29" i="1"/>
  <c r="H11" i="5"/>
  <c r="J23" i="5"/>
  <c r="BU89" i="4"/>
  <c r="BU105" i="4"/>
  <c r="BP77" i="4"/>
  <c r="BP88" i="4"/>
  <c r="BP104" i="4"/>
  <c r="BK77" i="4"/>
  <c r="BK88" i="4"/>
  <c r="BK104" i="4"/>
  <c r="BE77" i="4"/>
  <c r="BE88" i="4"/>
  <c r="BE104" i="4"/>
  <c r="BY77" i="4"/>
  <c r="BY88" i="4"/>
  <c r="BY104" i="4"/>
  <c r="CD77" i="4"/>
  <c r="CD88" i="4"/>
  <c r="CD104" i="4"/>
  <c r="CP77" i="4"/>
  <c r="H12" i="5"/>
  <c r="I25" i="5"/>
  <c r="BV89" i="4"/>
  <c r="BV105" i="4"/>
  <c r="BQ77" i="4"/>
  <c r="BQ88" i="4"/>
  <c r="BQ104" i="4"/>
  <c r="BL77" i="4"/>
  <c r="BL88" i="4"/>
  <c r="BL104" i="4"/>
  <c r="BF77" i="4"/>
  <c r="BF88" i="4"/>
  <c r="BF104" i="4"/>
  <c r="BZ77" i="4"/>
  <c r="BZ88" i="4"/>
  <c r="BZ104" i="4"/>
  <c r="CE77" i="4"/>
  <c r="CE88" i="4"/>
  <c r="CE104" i="4"/>
  <c r="CQ77" i="4"/>
  <c r="H13" i="5"/>
  <c r="J25" i="5"/>
  <c r="BS75" i="4"/>
  <c r="BS90" i="4"/>
  <c r="BN89" i="4"/>
  <c r="BN105" i="4"/>
  <c r="BI89" i="4"/>
  <c r="BI105" i="4"/>
  <c r="BG77" i="4"/>
  <c r="BG88" i="4"/>
  <c r="BG104" i="4"/>
  <c r="CA77" i="4"/>
  <c r="CA88" i="4"/>
  <c r="CA104" i="4"/>
  <c r="CF77" i="4"/>
  <c r="CF88" i="4"/>
  <c r="CF104" i="4"/>
  <c r="CR77" i="4"/>
  <c r="CR104" i="4"/>
  <c r="BN76" i="4"/>
  <c r="CF75" i="4"/>
  <c r="BX41" i="4"/>
  <c r="BB8" i="1"/>
  <c r="H14" i="5"/>
  <c r="I26" i="5"/>
  <c r="BT75" i="4"/>
  <c r="BT90" i="4"/>
  <c r="BO89" i="4"/>
  <c r="BO105" i="4"/>
  <c r="BJ89" i="4"/>
  <c r="BJ105" i="4"/>
  <c r="BD89" i="4"/>
  <c r="BD105" i="4"/>
  <c r="BX89" i="4"/>
  <c r="BX105" i="4"/>
  <c r="CC89" i="4"/>
  <c r="CC105" i="4"/>
  <c r="BG75" i="4"/>
  <c r="CA75" i="4"/>
  <c r="AZ89" i="2"/>
  <c r="AZ18" i="1"/>
  <c r="BY43" i="4"/>
  <c r="BA17" i="1"/>
  <c r="J80" i="3"/>
  <c r="K80" i="3"/>
  <c r="L80" i="3"/>
  <c r="H23" i="5"/>
  <c r="J26" i="5"/>
  <c r="BU75" i="4"/>
  <c r="BU90" i="4"/>
  <c r="BP89" i="4"/>
  <c r="BP105" i="4"/>
  <c r="BK89" i="4"/>
  <c r="BK105" i="4"/>
  <c r="BE89" i="4"/>
  <c r="BE105" i="4"/>
  <c r="BY89" i="4"/>
  <c r="BY105" i="4"/>
  <c r="CD89" i="4"/>
  <c r="CD105" i="4"/>
  <c r="BB88" i="2"/>
  <c r="AZ88" i="2"/>
  <c r="BC29" i="1"/>
  <c r="BX58" i="4"/>
  <c r="BY65" i="4"/>
  <c r="BB92" i="2"/>
  <c r="BA92" i="2"/>
  <c r="AZ92" i="2"/>
  <c r="AZ26" i="1"/>
  <c r="BC8" i="1"/>
  <c r="BY45" i="4"/>
  <c r="BX49" i="4"/>
  <c r="BB94" i="2"/>
  <c r="BC94" i="2"/>
  <c r="BA94" i="2"/>
  <c r="AZ94" i="2"/>
  <c r="AZ28" i="1"/>
  <c r="BA9" i="1"/>
  <c r="BB17" i="1"/>
  <c r="J82" i="3"/>
  <c r="K82" i="3"/>
  <c r="L82" i="3"/>
  <c r="H25" i="5"/>
  <c r="BV75" i="4"/>
  <c r="BV90" i="4"/>
  <c r="BQ89" i="4"/>
  <c r="BQ105" i="4"/>
  <c r="BL89" i="4"/>
  <c r="BL105" i="4"/>
  <c r="BF89" i="4"/>
  <c r="BF105" i="4"/>
  <c r="BZ89" i="4"/>
  <c r="BZ105" i="4"/>
  <c r="CE89" i="4"/>
  <c r="CE105" i="4"/>
  <c r="BC88" i="2"/>
  <c r="BX42" i="4"/>
  <c r="BC16" i="1"/>
  <c r="BY24" i="4"/>
  <c r="AZ29" i="1"/>
  <c r="BB9" i="1"/>
  <c r="J83" i="3"/>
  <c r="K83" i="3"/>
  <c r="L83" i="3"/>
  <c r="H26" i="5"/>
  <c r="BS76" i="4"/>
  <c r="BS87" i="4"/>
  <c r="BS102" i="4"/>
  <c r="BN75" i="4"/>
  <c r="BN90" i="4"/>
  <c r="BI75" i="4"/>
  <c r="BI90" i="4"/>
  <c r="BG89" i="4"/>
  <c r="BG105" i="4"/>
  <c r="CA89" i="4"/>
  <c r="CA105" i="4"/>
  <c r="CF89" i="4"/>
  <c r="CF105" i="4"/>
  <c r="CR105" i="4"/>
  <c r="BI76" i="4"/>
  <c r="BC7" i="1"/>
  <c r="BA88" i="2"/>
  <c r="AZ17" i="1"/>
  <c r="BC89" i="2"/>
  <c r="BA89" i="2"/>
  <c r="BC92" i="2"/>
  <c r="BB95" i="2"/>
  <c r="BA95" i="2"/>
  <c r="AZ95" i="2"/>
  <c r="BC17" i="1"/>
  <c r="BX25" i="4"/>
  <c r="BX64" i="4"/>
  <c r="BX68" i="4"/>
  <c r="BX46" i="4"/>
  <c r="BC9" i="1"/>
  <c r="BA18" i="1"/>
  <c r="I11" i="5"/>
  <c r="BT76" i="4"/>
  <c r="BT87" i="4"/>
  <c r="BT102" i="4"/>
  <c r="BO75" i="4"/>
  <c r="BO90" i="4"/>
  <c r="BJ75" i="4"/>
  <c r="BJ90" i="4"/>
  <c r="BD75" i="4"/>
  <c r="BD90" i="4"/>
  <c r="BX75" i="4"/>
  <c r="BX90" i="4"/>
  <c r="CC75" i="4"/>
  <c r="CC90" i="4"/>
  <c r="CO75" i="4"/>
  <c r="CR75" i="4"/>
  <c r="BY56" i="4"/>
  <c r="BA8" i="1"/>
  <c r="BB89" i="2"/>
  <c r="CF48" i="4"/>
  <c r="BX67" i="4"/>
  <c r="BC95" i="2"/>
  <c r="CE29" i="4"/>
  <c r="BY69" i="4"/>
  <c r="BY47" i="4"/>
  <c r="BB18" i="1"/>
  <c r="J11" i="5"/>
  <c r="BU76" i="4"/>
  <c r="BU87" i="4"/>
  <c r="BU102" i="4"/>
  <c r="BP75" i="4"/>
  <c r="BP90" i="4"/>
  <c r="BK75" i="4"/>
  <c r="BK90" i="4"/>
  <c r="BE75" i="4"/>
  <c r="BE90" i="4"/>
  <c r="BY75" i="4"/>
  <c r="BY90" i="4"/>
  <c r="CD75" i="4"/>
  <c r="CD90" i="4"/>
  <c r="CP75" i="4"/>
  <c r="BS77" i="4"/>
  <c r="CF57" i="4"/>
  <c r="CF28" i="4"/>
  <c r="CF70" i="4"/>
  <c r="BY80" i="4"/>
  <c r="BY38" i="4"/>
  <c r="BC18" i="1"/>
  <c r="I12" i="5"/>
  <c r="BV76" i="4"/>
  <c r="BV87" i="4"/>
  <c r="BV102" i="4"/>
  <c r="BQ75" i="4"/>
  <c r="BQ90" i="4"/>
  <c r="BL75" i="4"/>
  <c r="BL90" i="4"/>
  <c r="BF75" i="4"/>
  <c r="BF90" i="4"/>
  <c r="BZ75" i="4"/>
  <c r="BZ90" i="4"/>
  <c r="CE75" i="4"/>
  <c r="CE90" i="4"/>
  <c r="CQ75" i="4"/>
  <c r="BS104" i="4"/>
  <c r="BB78" i="2"/>
  <c r="BA78" i="2"/>
  <c r="BB26" i="1"/>
  <c r="J75" i="3"/>
  <c r="K75" i="3"/>
  <c r="L75" i="3"/>
  <c r="I13" i="5"/>
  <c r="BT77" i="4"/>
  <c r="BT88" i="4"/>
  <c r="BT104" i="4"/>
  <c r="BO76" i="4"/>
  <c r="BO87" i="4"/>
  <c r="BO102" i="4"/>
  <c r="BJ76" i="4"/>
  <c r="BJ87" i="4"/>
  <c r="BJ102" i="4"/>
  <c r="BD76" i="4"/>
  <c r="BD87" i="4"/>
  <c r="BD102" i="4"/>
  <c r="BX76" i="4"/>
  <c r="BX87" i="4"/>
  <c r="BX102" i="4"/>
  <c r="CC76" i="4"/>
  <c r="CC87" i="4"/>
  <c r="CC102" i="4"/>
  <c r="CO76" i="4"/>
  <c r="CF52" i="4"/>
  <c r="BC79" i="2"/>
  <c r="BA79" i="2"/>
  <c r="AZ79" i="2"/>
  <c r="AZ8" i="1"/>
  <c r="BC26" i="1"/>
  <c r="J76" i="3"/>
  <c r="K76" i="3"/>
  <c r="L76" i="3"/>
  <c r="J13" i="5"/>
  <c r="BU77" i="4"/>
  <c r="BU88" i="4"/>
  <c r="BU104" i="4"/>
  <c r="BP76" i="4"/>
  <c r="BP87" i="4"/>
  <c r="BP102" i="4"/>
  <c r="BK76" i="4"/>
  <c r="BK87" i="4"/>
  <c r="BK102" i="4"/>
  <c r="BE76" i="4"/>
  <c r="BE87" i="4"/>
  <c r="BE102" i="4"/>
  <c r="BY76" i="4"/>
  <c r="BY87" i="4"/>
  <c r="BY102" i="4"/>
  <c r="CD76" i="4"/>
  <c r="CD87" i="4"/>
  <c r="CD102" i="4"/>
  <c r="CP76" i="4"/>
  <c r="CF53" i="4"/>
  <c r="BA80" i="2"/>
  <c r="AZ80" i="2"/>
  <c r="AZ9" i="1"/>
  <c r="BA28" i="1"/>
  <c r="J77" i="3"/>
  <c r="K77" i="3"/>
  <c r="L77" i="3"/>
  <c r="I14" i="5"/>
  <c r="BV77" i="4"/>
  <c r="BV88" i="4"/>
  <c r="BV104" i="4"/>
  <c r="BQ76" i="4"/>
  <c r="BQ87" i="4"/>
  <c r="BQ102" i="4"/>
  <c r="BL76" i="4"/>
  <c r="BL87" i="4"/>
  <c r="BL102" i="4"/>
  <c r="BF76" i="4"/>
  <c r="BF87" i="4"/>
  <c r="BF102" i="4"/>
  <c r="BZ76" i="4"/>
  <c r="BZ87" i="4"/>
  <c r="BZ102" i="4"/>
  <c r="CE76" i="4"/>
  <c r="CE87" i="4"/>
  <c r="CE102" i="4"/>
  <c r="CQ76" i="4"/>
  <c r="A20" i="8"/>
  <c r="DK40" i="4" s="1"/>
  <c r="CP40" i="4"/>
  <c r="CO40" i="4"/>
  <c r="CE40" i="4"/>
  <c r="CR40" i="4"/>
  <c r="CD40" i="4"/>
  <c r="CQ40" i="4"/>
  <c r="CC40" i="4"/>
  <c r="A32" i="8"/>
  <c r="DK54" i="4" s="1"/>
  <c r="CP54" i="4"/>
  <c r="CO54" i="4"/>
  <c r="CR54" i="4"/>
  <c r="CQ54" i="4"/>
  <c r="CE54" i="4"/>
  <c r="CD54" i="4"/>
  <c r="CC54" i="4"/>
  <c r="CP66" i="4"/>
  <c r="CO66" i="4"/>
  <c r="A56" i="8"/>
  <c r="DK66" i="4" s="1"/>
  <c r="CQ66" i="4"/>
  <c r="CE66" i="4"/>
  <c r="CD66" i="4"/>
  <c r="CR66" i="4"/>
  <c r="CC66" i="4"/>
  <c r="A80" i="8"/>
  <c r="DK85" i="4" s="1"/>
  <c r="CF85" i="4"/>
  <c r="CE85" i="4"/>
  <c r="CD85" i="4"/>
  <c r="BZ85" i="4"/>
  <c r="CC85" i="4"/>
  <c r="A17" i="8"/>
  <c r="DK5" i="4" s="1"/>
  <c r="CP5" i="4"/>
  <c r="CO5" i="4"/>
  <c r="CR5" i="4"/>
  <c r="CQ5" i="4"/>
  <c r="CD5" i="4"/>
  <c r="CC5" i="4"/>
  <c r="CP51" i="4"/>
  <c r="A29" i="8"/>
  <c r="DK51" i="4" s="1"/>
  <c r="CO51" i="4"/>
  <c r="CE51" i="4"/>
  <c r="CR51" i="4"/>
  <c r="CD51" i="4"/>
  <c r="CQ51" i="4"/>
  <c r="CC51" i="4"/>
  <c r="A41" i="8"/>
  <c r="DK63" i="4" s="1"/>
  <c r="CP63" i="4"/>
  <c r="CO63" i="4"/>
  <c r="CQ63" i="4"/>
  <c r="CE63" i="4"/>
  <c r="CR63" i="4"/>
  <c r="CD63" i="4"/>
  <c r="CC63" i="4"/>
  <c r="A53" i="8"/>
  <c r="CP19" i="4"/>
  <c r="CO19" i="4"/>
  <c r="CR19" i="4"/>
  <c r="CD19" i="4"/>
  <c r="CQ19" i="4"/>
  <c r="CC19" i="4"/>
  <c r="A61" i="8"/>
  <c r="DK97" i="4" s="1"/>
  <c r="CF97" i="4"/>
  <c r="CE97" i="4"/>
  <c r="CD97" i="4"/>
  <c r="BZ97" i="4"/>
  <c r="CC97" i="4"/>
  <c r="BG86" i="4"/>
  <c r="A81" i="8"/>
  <c r="DK86" i="4" s="1"/>
  <c r="CF86" i="4"/>
  <c r="CE86" i="4"/>
  <c r="CD86" i="4"/>
  <c r="BZ86" i="4"/>
  <c r="CC86" i="4"/>
  <c r="BX5" i="4"/>
  <c r="BX6" i="4"/>
  <c r="BX7" i="4"/>
  <c r="BX8" i="4"/>
  <c r="BX12" i="4"/>
  <c r="BX13" i="4"/>
  <c r="BX14" i="4"/>
  <c r="BX15" i="4"/>
  <c r="BX17" i="4"/>
  <c r="BX18" i="4"/>
  <c r="BX19" i="4"/>
  <c r="BX24" i="4"/>
  <c r="BX28" i="4"/>
  <c r="BX29" i="4"/>
  <c r="BX38" i="4"/>
  <c r="BX39" i="4"/>
  <c r="BX40" i="4"/>
  <c r="BX43" i="4"/>
  <c r="BX45" i="4"/>
  <c r="BX47" i="4"/>
  <c r="BX48" i="4"/>
  <c r="BX51" i="4"/>
  <c r="BX52" i="4"/>
  <c r="BX53" i="4"/>
  <c r="BX54" i="4"/>
  <c r="BX55" i="4"/>
  <c r="BX56" i="4"/>
  <c r="BX57" i="4"/>
  <c r="BX80" i="4"/>
  <c r="BX63" i="4"/>
  <c r="BX65" i="4"/>
  <c r="BX66" i="4"/>
  <c r="BX69" i="4"/>
  <c r="BX70" i="4"/>
  <c r="BX71" i="4"/>
  <c r="BY84" i="4"/>
  <c r="CA85" i="4"/>
  <c r="BX97" i="4"/>
  <c r="CF13" i="4"/>
  <c r="CF17" i="4"/>
  <c r="CF19" i="4"/>
  <c r="CF24" i="4"/>
  <c r="CF39" i="4"/>
  <c r="CF43" i="4"/>
  <c r="CF47" i="4"/>
  <c r="CF56" i="4"/>
  <c r="CF80" i="4"/>
  <c r="CF66" i="4"/>
  <c r="A16" i="8"/>
  <c r="DK4" i="4" s="1"/>
  <c r="A28" i="8"/>
  <c r="DK28" i="4" s="1"/>
  <c r="CP28" i="4"/>
  <c r="CO28" i="4"/>
  <c r="CR28" i="4"/>
  <c r="CD28" i="4"/>
  <c r="CQ28" i="4"/>
  <c r="CC28" i="4"/>
  <c r="CP49" i="4"/>
  <c r="A40" i="8"/>
  <c r="DK49" i="4" s="1"/>
  <c r="CO49" i="4"/>
  <c r="CR49" i="4"/>
  <c r="CQ49" i="4"/>
  <c r="CE49" i="4"/>
  <c r="CD49" i="4"/>
  <c r="CC49" i="4"/>
  <c r="A60" i="8"/>
  <c r="DK70" i="4" s="1"/>
  <c r="CP70" i="4"/>
  <c r="CO70" i="4"/>
  <c r="CQ70" i="4"/>
  <c r="CE70" i="4"/>
  <c r="CD70" i="4"/>
  <c r="CR70" i="4"/>
  <c r="CC70" i="4"/>
  <c r="A21" i="8"/>
  <c r="DK41" i="4" s="1"/>
  <c r="CP41" i="4"/>
  <c r="CO41" i="4"/>
  <c r="CR41" i="4"/>
  <c r="CQ41" i="4"/>
  <c r="CE41" i="4"/>
  <c r="CD41" i="4"/>
  <c r="CC41" i="4"/>
  <c r="CP73" i="4"/>
  <c r="CO73" i="4"/>
  <c r="A33" i="8"/>
  <c r="DK73" i="4" s="1"/>
  <c r="CQ73" i="4"/>
  <c r="CR73" i="4"/>
  <c r="CE73" i="4"/>
  <c r="CD73" i="4"/>
  <c r="BZ73" i="4"/>
  <c r="CC73" i="4"/>
  <c r="A57" i="8"/>
  <c r="DK67" i="4" s="1"/>
  <c r="CP67" i="4"/>
  <c r="CO67" i="4"/>
  <c r="CQ67" i="4"/>
  <c r="CE67" i="4"/>
  <c r="CR67" i="4"/>
  <c r="CD67" i="4"/>
  <c r="CC67" i="4"/>
  <c r="A2" i="8"/>
  <c r="CR98" i="4"/>
  <c r="CF98" i="4"/>
  <c r="CE98" i="4"/>
  <c r="CD98" i="4"/>
  <c r="BZ98" i="4"/>
  <c r="CC98" i="4"/>
  <c r="CP6" i="4"/>
  <c r="A18" i="8"/>
  <c r="DK6" i="4" s="1"/>
  <c r="CO6" i="4"/>
  <c r="CR6" i="4"/>
  <c r="CD6" i="4"/>
  <c r="CQ6" i="4"/>
  <c r="CC6" i="4"/>
  <c r="CP42" i="4"/>
  <c r="CO42" i="4"/>
  <c r="A22" i="8"/>
  <c r="DK42" i="4" s="1"/>
  <c r="CE42" i="4"/>
  <c r="CR42" i="4"/>
  <c r="CD42" i="4"/>
  <c r="CQ42" i="4"/>
  <c r="CC42" i="4"/>
  <c r="A26" i="8"/>
  <c r="DK25" i="4" s="1"/>
  <c r="CP25" i="4"/>
  <c r="CO25" i="4"/>
  <c r="CR25" i="4"/>
  <c r="CQ25" i="4"/>
  <c r="CD25" i="4"/>
  <c r="CC25" i="4"/>
  <c r="A30" i="8"/>
  <c r="DK52" i="4" s="1"/>
  <c r="CP52" i="4"/>
  <c r="CO52" i="4"/>
  <c r="CR52" i="4"/>
  <c r="CQ52" i="4"/>
  <c r="CE52" i="4"/>
  <c r="CD52" i="4"/>
  <c r="CC52" i="4"/>
  <c r="CP72" i="4"/>
  <c r="CO72" i="4"/>
  <c r="A34" i="8"/>
  <c r="DK72" i="4" s="1"/>
  <c r="CQ72" i="4"/>
  <c r="CR72" i="4"/>
  <c r="CE72" i="4"/>
  <c r="CD72" i="4"/>
  <c r="CC72" i="4"/>
  <c r="A38" i="8"/>
  <c r="DK58" i="4" s="1"/>
  <c r="CP58" i="4"/>
  <c r="CO58" i="4"/>
  <c r="CQ58" i="4"/>
  <c r="CR58" i="4"/>
  <c r="CE58" i="4"/>
  <c r="CD58" i="4"/>
  <c r="CC58" i="4"/>
  <c r="A42" i="8"/>
  <c r="DK64" i="4" s="1"/>
  <c r="CP64" i="4"/>
  <c r="CO64" i="4"/>
  <c r="CQ64" i="4"/>
  <c r="CR64" i="4"/>
  <c r="CE64" i="4"/>
  <c r="CD64" i="4"/>
  <c r="CC64" i="4"/>
  <c r="A46" i="8"/>
  <c r="DK16" i="4" s="1"/>
  <c r="CP16" i="4"/>
  <c r="CO16" i="4"/>
  <c r="CR16" i="4"/>
  <c r="CQ16" i="4"/>
  <c r="CD16" i="4"/>
  <c r="CC16" i="4"/>
  <c r="CP20" i="4"/>
  <c r="CO20" i="4"/>
  <c r="A54" i="8"/>
  <c r="DK20" i="4" s="1"/>
  <c r="CR20" i="4"/>
  <c r="CQ20" i="4"/>
  <c r="CD20" i="4"/>
  <c r="CC20" i="4"/>
  <c r="A58" i="8"/>
  <c r="DK68" i="4" s="1"/>
  <c r="CP68" i="4"/>
  <c r="CO68" i="4"/>
  <c r="CQ68" i="4"/>
  <c r="CR68" i="4"/>
  <c r="CE68" i="4"/>
  <c r="CD68" i="4"/>
  <c r="CC68" i="4"/>
  <c r="A78" i="8"/>
  <c r="DK79" i="4" s="1"/>
  <c r="CP79" i="4"/>
  <c r="CO79" i="4"/>
  <c r="CQ79" i="4"/>
  <c r="CR79" i="4"/>
  <c r="CE79" i="4"/>
  <c r="CD79" i="4"/>
  <c r="CC79" i="4"/>
  <c r="CP8" i="4"/>
  <c r="CO8" i="4"/>
  <c r="A98" i="8"/>
  <c r="DK8" i="4" s="1"/>
  <c r="CR8" i="4"/>
  <c r="CD8" i="4"/>
  <c r="CQ8" i="4"/>
  <c r="CC8" i="4"/>
  <c r="A122" i="8"/>
  <c r="CP46" i="4"/>
  <c r="CO46" i="4"/>
  <c r="CE46" i="4"/>
  <c r="CR46" i="4"/>
  <c r="CD46" i="4"/>
  <c r="CQ46" i="4"/>
  <c r="CC46" i="4"/>
  <c r="A126" i="8"/>
  <c r="DK15" i="4" s="1"/>
  <c r="CP15" i="4"/>
  <c r="CO15" i="4"/>
  <c r="CR15" i="4"/>
  <c r="CD15" i="4"/>
  <c r="CQ15" i="4"/>
  <c r="CC15" i="4"/>
  <c r="A254" i="8"/>
  <c r="DK44" i="4" s="1"/>
  <c r="CP44" i="4"/>
  <c r="CO44" i="4"/>
  <c r="CE44" i="4"/>
  <c r="CR44" i="4"/>
  <c r="CD44" i="4"/>
  <c r="CQ44" i="4"/>
  <c r="CC44" i="4"/>
  <c r="BY5" i="4"/>
  <c r="BY6" i="4"/>
  <c r="BY7" i="4"/>
  <c r="BY8" i="4"/>
  <c r="BY12" i="4"/>
  <c r="BY14" i="4"/>
  <c r="BY15" i="4"/>
  <c r="BY16" i="4"/>
  <c r="BY18" i="4"/>
  <c r="BY19" i="4"/>
  <c r="BY20" i="4"/>
  <c r="BY25" i="4"/>
  <c r="BY28" i="4"/>
  <c r="BY29" i="4"/>
  <c r="BY40" i="4"/>
  <c r="BY41" i="4"/>
  <c r="BY42" i="4"/>
  <c r="BY44" i="4"/>
  <c r="BY46" i="4"/>
  <c r="BY48" i="4"/>
  <c r="BY49" i="4"/>
  <c r="BY51" i="4"/>
  <c r="BY52" i="4"/>
  <c r="BY53" i="4"/>
  <c r="BY54" i="4"/>
  <c r="BY57" i="4"/>
  <c r="BY58" i="4"/>
  <c r="BY79" i="4"/>
  <c r="BY63" i="4"/>
  <c r="BY64" i="4"/>
  <c r="BY66" i="4"/>
  <c r="BY67" i="4"/>
  <c r="BY68" i="4"/>
  <c r="BY70" i="4"/>
  <c r="BY71" i="4"/>
  <c r="BY72" i="4"/>
  <c r="BY73" i="4"/>
  <c r="BX86" i="4"/>
  <c r="BY97" i="4"/>
  <c r="CA98" i="4"/>
  <c r="CE5" i="4"/>
  <c r="CE16" i="4"/>
  <c r="CE20" i="4"/>
  <c r="CE25" i="4"/>
  <c r="CF40" i="4"/>
  <c r="CF44" i="4"/>
  <c r="CF63" i="4"/>
  <c r="CF67" i="4"/>
  <c r="CP45" i="4"/>
  <c r="CO45" i="4"/>
  <c r="A24" i="8"/>
  <c r="DK45" i="4" s="1"/>
  <c r="CR45" i="4"/>
  <c r="CQ45" i="4"/>
  <c r="CE45" i="4"/>
  <c r="CD45" i="4"/>
  <c r="CC45" i="4"/>
  <c r="A36" i="8"/>
  <c r="DK56" i="4" s="1"/>
  <c r="CP56" i="4"/>
  <c r="CO56" i="4"/>
  <c r="CR56" i="4"/>
  <c r="CQ56" i="4"/>
  <c r="CE56" i="4"/>
  <c r="CD56" i="4"/>
  <c r="CC56" i="4"/>
  <c r="BN12" i="4"/>
  <c r="CP12" i="4"/>
  <c r="CO12" i="4"/>
  <c r="A44" i="8"/>
  <c r="CR12" i="4"/>
  <c r="CQ12" i="4"/>
  <c r="CD12" i="4"/>
  <c r="CC12" i="4"/>
  <c r="A52" i="8"/>
  <c r="CP18" i="4"/>
  <c r="CO18" i="4"/>
  <c r="CR18" i="4"/>
  <c r="CQ18" i="4"/>
  <c r="CD18" i="4"/>
  <c r="CC18" i="4"/>
  <c r="CP80" i="4"/>
  <c r="CO80" i="4"/>
  <c r="A76" i="8"/>
  <c r="DK80" i="4" s="1"/>
  <c r="CQ80" i="4"/>
  <c r="CE80" i="4"/>
  <c r="CD80" i="4"/>
  <c r="CR80" i="4"/>
  <c r="CC80" i="4"/>
  <c r="A284" i="8"/>
  <c r="CP38" i="4"/>
  <c r="CO38" i="4"/>
  <c r="CE38" i="4"/>
  <c r="CR38" i="4"/>
  <c r="CD38" i="4"/>
  <c r="CQ38" i="4"/>
  <c r="CC38" i="4"/>
  <c r="A25" i="8"/>
  <c r="DK24" i="4" s="1"/>
  <c r="CP24" i="4"/>
  <c r="CO24" i="4"/>
  <c r="CR24" i="4"/>
  <c r="CD24" i="4"/>
  <c r="CQ24" i="4"/>
  <c r="CC24" i="4"/>
  <c r="A37" i="8"/>
  <c r="DK57" i="4" s="1"/>
  <c r="CP57" i="4"/>
  <c r="CO57" i="4"/>
  <c r="CE57" i="4"/>
  <c r="CR57" i="4"/>
  <c r="CD57" i="4"/>
  <c r="CQ57" i="4"/>
  <c r="CC57" i="4"/>
  <c r="BP14" i="4"/>
  <c r="CP14" i="4"/>
  <c r="CO14" i="4"/>
  <c r="A45" i="8"/>
  <c r="CR14" i="4"/>
  <c r="CQ14" i="4"/>
  <c r="CD14" i="4"/>
  <c r="CC14" i="4"/>
  <c r="CP71" i="4"/>
  <c r="CO71" i="4"/>
  <c r="A141" i="8"/>
  <c r="DK71" i="4" s="1"/>
  <c r="CQ71" i="4"/>
  <c r="CE71" i="4"/>
  <c r="CR71" i="4"/>
  <c r="CD71" i="4"/>
  <c r="CC71" i="4"/>
  <c r="CP39" i="4"/>
  <c r="A285" i="8"/>
  <c r="CO39" i="4"/>
  <c r="CR39" i="4"/>
  <c r="CQ39" i="4"/>
  <c r="CE39" i="4"/>
  <c r="CD39" i="4"/>
  <c r="CC39" i="4"/>
  <c r="A19" i="8"/>
  <c r="DK7" i="4" s="1"/>
  <c r="CP7" i="4"/>
  <c r="CO7" i="4"/>
  <c r="CR7" i="4"/>
  <c r="CQ7" i="4"/>
  <c r="CD7" i="4"/>
  <c r="CC7" i="4"/>
  <c r="A23" i="8"/>
  <c r="DK43" i="4" s="1"/>
  <c r="CP43" i="4"/>
  <c r="CO43" i="4"/>
  <c r="CR43" i="4"/>
  <c r="CQ43" i="4"/>
  <c r="CE43" i="4"/>
  <c r="CD43" i="4"/>
  <c r="CC43" i="4"/>
  <c r="A27" i="8"/>
  <c r="DK29" i="4" s="1"/>
  <c r="CP29" i="4"/>
  <c r="CO29" i="4"/>
  <c r="CR29" i="4"/>
  <c r="CQ29" i="4"/>
  <c r="CD29" i="4"/>
  <c r="CC29" i="4"/>
  <c r="A31" i="8"/>
  <c r="DK53" i="4" s="1"/>
  <c r="CP53" i="4"/>
  <c r="CO53" i="4"/>
  <c r="CE53" i="4"/>
  <c r="CR53" i="4"/>
  <c r="CD53" i="4"/>
  <c r="CQ53" i="4"/>
  <c r="CC53" i="4"/>
  <c r="A35" i="8"/>
  <c r="DK55" i="4" s="1"/>
  <c r="CP55" i="4"/>
  <c r="CO55" i="4"/>
  <c r="CE55" i="4"/>
  <c r="CR55" i="4"/>
  <c r="CD55" i="4"/>
  <c r="CQ55" i="4"/>
  <c r="CC55" i="4"/>
  <c r="A39" i="8"/>
  <c r="DK48" i="4" s="1"/>
  <c r="CP48" i="4"/>
  <c r="CO48" i="4"/>
  <c r="CE48" i="4"/>
  <c r="CR48" i="4"/>
  <c r="CD48" i="4"/>
  <c r="CQ48" i="4"/>
  <c r="CC48" i="4"/>
  <c r="A47" i="8"/>
  <c r="CP13" i="4"/>
  <c r="CO13" i="4"/>
  <c r="CR13" i="4"/>
  <c r="CD13" i="4"/>
  <c r="CQ13" i="4"/>
  <c r="CC13" i="4"/>
  <c r="A51" i="8"/>
  <c r="DK17" i="4" s="1"/>
  <c r="CP17" i="4"/>
  <c r="CO17" i="4"/>
  <c r="CR17" i="4"/>
  <c r="CD17" i="4"/>
  <c r="CQ17" i="4"/>
  <c r="CC17" i="4"/>
  <c r="A55" i="8"/>
  <c r="DK65" i="4" s="1"/>
  <c r="CP65" i="4"/>
  <c r="CO65" i="4"/>
  <c r="CQ65" i="4"/>
  <c r="CR65" i="4"/>
  <c r="CE65" i="4"/>
  <c r="CD65" i="4"/>
  <c r="CC65" i="4"/>
  <c r="A59" i="8"/>
  <c r="DK69" i="4" s="1"/>
  <c r="CP69" i="4"/>
  <c r="CO69" i="4"/>
  <c r="CQ69" i="4"/>
  <c r="CR69" i="4"/>
  <c r="CE69" i="4"/>
  <c r="CD69" i="4"/>
  <c r="CC69" i="4"/>
  <c r="A79" i="8"/>
  <c r="DK84" i="4" s="1"/>
  <c r="CF84" i="4"/>
  <c r="CE84" i="4"/>
  <c r="CD84" i="4"/>
  <c r="BZ84" i="4"/>
  <c r="CC84" i="4"/>
  <c r="A123" i="8"/>
  <c r="CP47" i="4"/>
  <c r="CO47" i="4"/>
  <c r="CR47" i="4"/>
  <c r="CQ47" i="4"/>
  <c r="CE47" i="4"/>
  <c r="CD47" i="4"/>
  <c r="CC47" i="4"/>
  <c r="BZ5" i="4"/>
  <c r="BZ6" i="4"/>
  <c r="BZ7" i="4"/>
  <c r="BZ8" i="4"/>
  <c r="BZ12" i="4"/>
  <c r="BZ13" i="4"/>
  <c r="BZ14" i="4"/>
  <c r="BZ15" i="4"/>
  <c r="BZ16" i="4"/>
  <c r="BZ17" i="4"/>
  <c r="BZ18" i="4"/>
  <c r="BZ19" i="4"/>
  <c r="BZ20" i="4"/>
  <c r="BZ24" i="4"/>
  <c r="BZ25" i="4"/>
  <c r="BZ28" i="4"/>
  <c r="BZ29" i="4"/>
  <c r="BZ38" i="4"/>
  <c r="BZ39" i="4"/>
  <c r="BZ40" i="4"/>
  <c r="BZ41" i="4"/>
  <c r="BZ42" i="4"/>
  <c r="BZ43" i="4"/>
  <c r="BZ44" i="4"/>
  <c r="BZ45" i="4"/>
  <c r="BZ46" i="4"/>
  <c r="BZ47" i="4"/>
  <c r="BZ48" i="4"/>
  <c r="BZ49" i="4"/>
  <c r="BZ51" i="4"/>
  <c r="BZ52" i="4"/>
  <c r="BZ53" i="4"/>
  <c r="BZ54" i="4"/>
  <c r="BZ55" i="4"/>
  <c r="BZ56" i="4"/>
  <c r="BZ57" i="4"/>
  <c r="BZ58" i="4"/>
  <c r="BZ79" i="4"/>
  <c r="BZ80" i="4"/>
  <c r="BZ63" i="4"/>
  <c r="BZ64" i="4"/>
  <c r="BZ65" i="4"/>
  <c r="BZ66" i="4"/>
  <c r="BZ67" i="4"/>
  <c r="BZ68" i="4"/>
  <c r="BZ69" i="4"/>
  <c r="BZ70" i="4"/>
  <c r="BZ71" i="4"/>
  <c r="BZ72" i="4"/>
  <c r="CA73" i="4"/>
  <c r="BX85" i="4"/>
  <c r="BY86" i="4"/>
  <c r="CA97" i="4"/>
  <c r="CF5" i="4"/>
  <c r="CF7" i="4"/>
  <c r="CF12" i="4"/>
  <c r="CF14" i="4"/>
  <c r="CF16" i="4"/>
  <c r="CF18" i="4"/>
  <c r="CF20" i="4"/>
  <c r="CF25" i="4"/>
  <c r="CF29" i="4"/>
  <c r="CF41" i="4"/>
  <c r="CF45" i="4"/>
  <c r="CF49" i="4"/>
  <c r="CF54" i="4"/>
  <c r="CF58" i="4"/>
  <c r="CF64" i="4"/>
  <c r="CF68" i="4"/>
  <c r="CF72" i="4"/>
  <c r="CA5" i="4"/>
  <c r="CA6" i="4"/>
  <c r="CA7" i="4"/>
  <c r="CA8" i="4"/>
  <c r="CA12" i="4"/>
  <c r="CA13" i="4"/>
  <c r="CA14" i="4"/>
  <c r="CA15" i="4"/>
  <c r="CA16" i="4"/>
  <c r="CA17" i="4"/>
  <c r="CA18" i="4"/>
  <c r="CA19" i="4"/>
  <c r="CA20" i="4"/>
  <c r="CA24" i="4"/>
  <c r="CA25" i="4"/>
  <c r="CA28" i="4"/>
  <c r="CA29" i="4"/>
  <c r="CA38" i="4"/>
  <c r="CA39" i="4"/>
  <c r="CA40" i="4"/>
  <c r="CA41" i="4"/>
  <c r="CA42" i="4"/>
  <c r="CA43" i="4"/>
  <c r="CA44" i="4"/>
  <c r="CA45" i="4"/>
  <c r="CA46" i="4"/>
  <c r="CA47" i="4"/>
  <c r="CA48" i="4"/>
  <c r="CA49" i="4"/>
  <c r="CA51" i="4"/>
  <c r="CA52" i="4"/>
  <c r="CA53" i="4"/>
  <c r="CA54" i="4"/>
  <c r="CA55" i="4"/>
  <c r="CA56" i="4"/>
  <c r="CA57" i="4"/>
  <c r="CA58" i="4"/>
  <c r="CA79" i="4"/>
  <c r="CA80" i="4"/>
  <c r="CA63" i="4"/>
  <c r="CA64" i="4"/>
  <c r="CA65" i="4"/>
  <c r="CA66" i="4"/>
  <c r="CA67" i="4"/>
  <c r="CA68" i="4"/>
  <c r="CA69" i="4"/>
  <c r="CA70" i="4"/>
  <c r="CA71" i="4"/>
  <c r="CA72" i="4"/>
  <c r="BX84" i="4"/>
  <c r="BY85" i="4"/>
  <c r="CA86" i="4"/>
  <c r="BX98" i="4"/>
  <c r="CE6" i="4"/>
  <c r="CE8" i="4"/>
  <c r="CE13" i="4"/>
  <c r="CE15" i="4"/>
  <c r="CE17" i="4"/>
  <c r="CE19" i="4"/>
  <c r="CE24" i="4"/>
  <c r="CE28" i="4"/>
  <c r="CF38" i="4"/>
  <c r="CF42" i="4"/>
  <c r="CF46" i="4"/>
  <c r="CF51" i="4"/>
  <c r="CF55" i="4"/>
  <c r="CF79" i="4"/>
  <c r="CF65" i="4"/>
  <c r="CF69" i="4"/>
  <c r="CF73" i="4"/>
  <c r="BF45" i="4"/>
  <c r="BF54" i="4"/>
  <c r="BF56" i="4"/>
  <c r="BF49" i="4"/>
  <c r="BF66" i="4"/>
  <c r="BF80" i="4"/>
  <c r="BF85" i="4"/>
  <c r="BN5" i="4"/>
  <c r="BP20" i="4"/>
  <c r="BP15" i="4"/>
  <c r="BN40" i="4"/>
  <c r="BF28" i="4"/>
  <c r="BF70" i="4"/>
  <c r="BF38" i="4"/>
  <c r="BP41" i="4"/>
  <c r="BN51" i="4"/>
  <c r="BQ57" i="4"/>
  <c r="BP19" i="4"/>
  <c r="BG98" i="4"/>
  <c r="BD25" i="4"/>
  <c r="BD72" i="4"/>
  <c r="BD64" i="4"/>
  <c r="BD79" i="4"/>
  <c r="BE43" i="4"/>
  <c r="BE29" i="4"/>
  <c r="BE53" i="4"/>
  <c r="BE55" i="4"/>
  <c r="BE48" i="4"/>
  <c r="BE65" i="4"/>
  <c r="BE69" i="4"/>
  <c r="BG84" i="4"/>
  <c r="BE47" i="4"/>
  <c r="BP67" i="4"/>
  <c r="BQ39" i="4"/>
  <c r="BQ24" i="4"/>
  <c r="BG73" i="4"/>
  <c r="BN63" i="4"/>
  <c r="BG97" i="4"/>
  <c r="BP71" i="4"/>
  <c r="BE42" i="4"/>
  <c r="BE52" i="4"/>
  <c r="BE58" i="4"/>
  <c r="BP16" i="4"/>
  <c r="BE68" i="4"/>
  <c r="BD46" i="4"/>
  <c r="BQ44" i="4"/>
  <c r="BD24" i="4"/>
  <c r="BD28" i="4"/>
  <c r="BD29" i="4"/>
  <c r="BD38" i="4"/>
  <c r="BD39" i="4"/>
  <c r="BD40" i="4"/>
  <c r="BD41" i="4"/>
  <c r="BD42" i="4"/>
  <c r="BD43" i="4"/>
  <c r="BD44" i="4"/>
  <c r="BD45" i="4"/>
  <c r="BD47" i="4"/>
  <c r="BD48" i="4"/>
  <c r="BD49" i="4"/>
  <c r="BD51" i="4"/>
  <c r="BD52" i="4"/>
  <c r="BD53" i="4"/>
  <c r="BD54" i="4"/>
  <c r="BD55" i="4"/>
  <c r="BD56" i="4"/>
  <c r="BD57" i="4"/>
  <c r="BD58" i="4"/>
  <c r="BD80" i="4"/>
  <c r="BD63" i="4"/>
  <c r="BD65" i="4"/>
  <c r="BD66" i="4"/>
  <c r="BD67" i="4"/>
  <c r="BD68" i="4"/>
  <c r="BD69" i="4"/>
  <c r="BD70" i="4"/>
  <c r="BD71" i="4"/>
  <c r="BD73" i="4"/>
  <c r="BD84" i="4"/>
  <c r="BD85" i="4"/>
  <c r="BD86" i="4"/>
  <c r="BD97" i="4"/>
  <c r="BD98" i="4"/>
  <c r="BP6" i="4"/>
  <c r="BP25" i="4"/>
  <c r="BQ72" i="4"/>
  <c r="BP64" i="4"/>
  <c r="BP79" i="4"/>
  <c r="BQ46" i="4"/>
  <c r="BE24" i="4"/>
  <c r="BE25" i="4"/>
  <c r="BE28" i="4"/>
  <c r="BE38" i="4"/>
  <c r="BE39" i="4"/>
  <c r="BE40" i="4"/>
  <c r="BE41" i="4"/>
  <c r="BE44" i="4"/>
  <c r="BE45" i="4"/>
  <c r="BE46" i="4"/>
  <c r="BE49" i="4"/>
  <c r="BE51" i="4"/>
  <c r="BE54" i="4"/>
  <c r="BE56" i="4"/>
  <c r="BE57" i="4"/>
  <c r="BE79" i="4"/>
  <c r="BE80" i="4"/>
  <c r="BE63" i="4"/>
  <c r="BE64" i="4"/>
  <c r="BE66" i="4"/>
  <c r="BE67" i="4"/>
  <c r="BE70" i="4"/>
  <c r="BE71" i="4"/>
  <c r="BE72" i="4"/>
  <c r="BE73" i="4"/>
  <c r="BE84" i="4"/>
  <c r="BE85" i="4"/>
  <c r="BE86" i="4"/>
  <c r="BE97" i="4"/>
  <c r="BE98" i="4"/>
  <c r="BQ42" i="4"/>
  <c r="BQ52" i="4"/>
  <c r="BQ58" i="4"/>
  <c r="BQ68" i="4"/>
  <c r="BP8" i="4"/>
  <c r="BQ7" i="4"/>
  <c r="BQ43" i="4"/>
  <c r="BQ29" i="4"/>
  <c r="BQ53" i="4"/>
  <c r="BQ55" i="4"/>
  <c r="BQ48" i="4"/>
  <c r="BQ13" i="4"/>
  <c r="BQ17" i="4"/>
  <c r="BQ65" i="4"/>
  <c r="BQ69" i="4"/>
  <c r="BQ47" i="4"/>
  <c r="BF24" i="4"/>
  <c r="BF25" i="4"/>
  <c r="BF29" i="4"/>
  <c r="BF39" i="4"/>
  <c r="BF40" i="4"/>
  <c r="BF41" i="4"/>
  <c r="BF42" i="4"/>
  <c r="BF43" i="4"/>
  <c r="BF44" i="4"/>
  <c r="BF46" i="4"/>
  <c r="BF47" i="4"/>
  <c r="BF48" i="4"/>
  <c r="BF51" i="4"/>
  <c r="BF52" i="4"/>
  <c r="BF53" i="4"/>
  <c r="BF55" i="4"/>
  <c r="BF57" i="4"/>
  <c r="BF58" i="4"/>
  <c r="BF79" i="4"/>
  <c r="BF63" i="4"/>
  <c r="BF64" i="4"/>
  <c r="BF65" i="4"/>
  <c r="BF67" i="4"/>
  <c r="BF68" i="4"/>
  <c r="BF69" i="4"/>
  <c r="BF71" i="4"/>
  <c r="BF72" i="4"/>
  <c r="BF73" i="4"/>
  <c r="BF84" i="4"/>
  <c r="BF86" i="4"/>
  <c r="BF97" i="4"/>
  <c r="BF98" i="4"/>
  <c r="BP4" i="4"/>
  <c r="BN45" i="4"/>
  <c r="BN28" i="4"/>
  <c r="BN54" i="4"/>
  <c r="BN56" i="4"/>
  <c r="BN49" i="4"/>
  <c r="BN18" i="4"/>
  <c r="BP66" i="4"/>
  <c r="BP70" i="4"/>
  <c r="BN80" i="4"/>
  <c r="BO85" i="4"/>
  <c r="BN38" i="4"/>
  <c r="BG24" i="4"/>
  <c r="BG25" i="4"/>
  <c r="BG28" i="4"/>
  <c r="BG29" i="4"/>
  <c r="BG38" i="4"/>
  <c r="BG39" i="4"/>
  <c r="BG40" i="4"/>
  <c r="BG41" i="4"/>
  <c r="BG42" i="4"/>
  <c r="BG43" i="4"/>
  <c r="BG44" i="4"/>
  <c r="BG45" i="4"/>
  <c r="BG46" i="4"/>
  <c r="BG47" i="4"/>
  <c r="BG48" i="4"/>
  <c r="BG49" i="4"/>
  <c r="BG51" i="4"/>
  <c r="BG52" i="4"/>
  <c r="BG53" i="4"/>
  <c r="BG54" i="4"/>
  <c r="BG55" i="4"/>
  <c r="BG56" i="4"/>
  <c r="BG57" i="4"/>
  <c r="BG58" i="4"/>
  <c r="BG79" i="4"/>
  <c r="BG80" i="4"/>
  <c r="BG63" i="4"/>
  <c r="BG64" i="4"/>
  <c r="BG65" i="4"/>
  <c r="BG66" i="4"/>
  <c r="BG67" i="4"/>
  <c r="BG68" i="4"/>
  <c r="BG69" i="4"/>
  <c r="BG70" i="4"/>
  <c r="BG71" i="4"/>
  <c r="BG72" i="4"/>
  <c r="BG85" i="4"/>
  <c r="BP5" i="4"/>
  <c r="BP7" i="4"/>
  <c r="BP12" i="4"/>
  <c r="BP13" i="4"/>
  <c r="BP17" i="4"/>
  <c r="BP18" i="4"/>
  <c r="BP24" i="4"/>
  <c r="BP28" i="4"/>
  <c r="BP29" i="4"/>
  <c r="BP38" i="4"/>
  <c r="BP39" i="4"/>
  <c r="BP40" i="4"/>
  <c r="BP42" i="4"/>
  <c r="BP43" i="4"/>
  <c r="BP44" i="4"/>
  <c r="BP45" i="4"/>
  <c r="BP46" i="4"/>
  <c r="BP47" i="4"/>
  <c r="BP48" i="4"/>
  <c r="BP49" i="4"/>
  <c r="BP51" i="4"/>
  <c r="BP52" i="4"/>
  <c r="BP53" i="4"/>
  <c r="BP54" i="4"/>
  <c r="BP55" i="4"/>
  <c r="BP56" i="4"/>
  <c r="BP57" i="4"/>
  <c r="BP58" i="4"/>
  <c r="BP80" i="4"/>
  <c r="BP63" i="4"/>
  <c r="BO67" i="4"/>
  <c r="BP68" i="4"/>
  <c r="BO71" i="4"/>
  <c r="BI41" i="4"/>
  <c r="BL41" i="4"/>
  <c r="BK41" i="4"/>
  <c r="BJ41" i="4"/>
  <c r="BI73" i="4"/>
  <c r="BL73" i="4"/>
  <c r="BN73" i="4"/>
  <c r="BK73" i="4"/>
  <c r="BJ73" i="4"/>
  <c r="BP73" i="4"/>
  <c r="AZ14" i="2"/>
  <c r="BD14" i="4"/>
  <c r="BI14" i="4"/>
  <c r="BG14" i="4"/>
  <c r="BL14" i="4"/>
  <c r="BF14" i="4"/>
  <c r="BK14" i="4"/>
  <c r="BE14" i="4"/>
  <c r="BJ14" i="4"/>
  <c r="BC19" i="2"/>
  <c r="BD19" i="4"/>
  <c r="BI19" i="4"/>
  <c r="BG19" i="4"/>
  <c r="BL19" i="4"/>
  <c r="BF19" i="4"/>
  <c r="BK19" i="4"/>
  <c r="BE19" i="4"/>
  <c r="BJ19" i="4"/>
  <c r="BI97" i="4"/>
  <c r="BL97" i="4"/>
  <c r="BN97" i="4"/>
  <c r="BK97" i="4"/>
  <c r="BQ97" i="4"/>
  <c r="BJ97" i="4"/>
  <c r="BP97" i="4"/>
  <c r="BA85" i="2"/>
  <c r="BI86" i="4"/>
  <c r="BL86" i="4"/>
  <c r="BN86" i="4"/>
  <c r="BK86" i="4"/>
  <c r="BQ86" i="4"/>
  <c r="BJ86" i="4"/>
  <c r="BP86" i="4"/>
  <c r="BI98" i="4"/>
  <c r="BL98" i="4"/>
  <c r="BN98" i="4"/>
  <c r="BK98" i="4"/>
  <c r="BQ98" i="4"/>
  <c r="BJ98" i="4"/>
  <c r="BP98" i="4"/>
  <c r="BD6" i="4"/>
  <c r="BG6" i="4"/>
  <c r="BI6" i="4"/>
  <c r="BF6" i="4"/>
  <c r="BL6" i="4"/>
  <c r="BE6" i="4"/>
  <c r="BK6" i="4"/>
  <c r="BJ6" i="4"/>
  <c r="BI25" i="4"/>
  <c r="BL25" i="4"/>
  <c r="BK25" i="4"/>
  <c r="BJ25" i="4"/>
  <c r="BI72" i="4"/>
  <c r="BL72" i="4"/>
  <c r="BN72" i="4"/>
  <c r="BK72" i="4"/>
  <c r="BJ72" i="4"/>
  <c r="BP72" i="4"/>
  <c r="BI64" i="4"/>
  <c r="BL64" i="4"/>
  <c r="BK64" i="4"/>
  <c r="BJ64" i="4"/>
  <c r="BD16" i="4"/>
  <c r="BI16" i="4"/>
  <c r="BG16" i="4"/>
  <c r="BL16" i="4"/>
  <c r="BF16" i="4"/>
  <c r="BK16" i="4"/>
  <c r="BE16" i="4"/>
  <c r="BJ16" i="4"/>
  <c r="BD20" i="4"/>
  <c r="BI20" i="4"/>
  <c r="BG20" i="4"/>
  <c r="BL20" i="4"/>
  <c r="BF20" i="4"/>
  <c r="BK20" i="4"/>
  <c r="BE20" i="4"/>
  <c r="BJ20" i="4"/>
  <c r="BI79" i="4"/>
  <c r="BL79" i="4"/>
  <c r="BK79" i="4"/>
  <c r="BJ79" i="4"/>
  <c r="BD8" i="4"/>
  <c r="BI8" i="4"/>
  <c r="BG8" i="4"/>
  <c r="BL8" i="4"/>
  <c r="BF8" i="4"/>
  <c r="BK8" i="4"/>
  <c r="BE8" i="4"/>
  <c r="BJ8" i="4"/>
  <c r="BD15" i="4"/>
  <c r="BI15" i="4"/>
  <c r="BG15" i="4"/>
  <c r="BL15" i="4"/>
  <c r="BF15" i="4"/>
  <c r="BK15" i="4"/>
  <c r="BE15" i="4"/>
  <c r="BJ15" i="4"/>
  <c r="BQ5" i="4"/>
  <c r="BQ6" i="4"/>
  <c r="BQ8" i="4"/>
  <c r="BQ12" i="4"/>
  <c r="BQ14" i="4"/>
  <c r="BQ15" i="4"/>
  <c r="BQ16" i="4"/>
  <c r="BQ18" i="4"/>
  <c r="BQ19" i="4"/>
  <c r="BQ20" i="4"/>
  <c r="BQ25" i="4"/>
  <c r="BQ28" i="4"/>
  <c r="BQ38" i="4"/>
  <c r="BQ40" i="4"/>
  <c r="BQ41" i="4"/>
  <c r="BQ45" i="4"/>
  <c r="BQ49" i="4"/>
  <c r="BQ51" i="4"/>
  <c r="BQ54" i="4"/>
  <c r="BQ56" i="4"/>
  <c r="BQ79" i="4"/>
  <c r="BQ80" i="4"/>
  <c r="BQ63" i="4"/>
  <c r="BQ64" i="4"/>
  <c r="BO66" i="4"/>
  <c r="BO70" i="4"/>
  <c r="BO73" i="4"/>
  <c r="BO86" i="4"/>
  <c r="BI24" i="4"/>
  <c r="BL24" i="4"/>
  <c r="BK24" i="4"/>
  <c r="BJ24" i="4"/>
  <c r="BI57" i="4"/>
  <c r="BL57" i="4"/>
  <c r="BK57" i="4"/>
  <c r="BJ57" i="4"/>
  <c r="BI67" i="4"/>
  <c r="BL67" i="4"/>
  <c r="BN67" i="4"/>
  <c r="BK67" i="4"/>
  <c r="BJ67" i="4"/>
  <c r="BI71" i="4"/>
  <c r="BL71" i="4"/>
  <c r="BN71" i="4"/>
  <c r="BK71" i="4"/>
  <c r="BJ71" i="4"/>
  <c r="BI39" i="4"/>
  <c r="BL39" i="4"/>
  <c r="BK39" i="4"/>
  <c r="BJ39" i="4"/>
  <c r="BI42" i="4"/>
  <c r="BL42" i="4"/>
  <c r="BK42" i="4"/>
  <c r="BJ42" i="4"/>
  <c r="BI52" i="4"/>
  <c r="BL52" i="4"/>
  <c r="BK52" i="4"/>
  <c r="BJ52" i="4"/>
  <c r="BI58" i="4"/>
  <c r="BL58" i="4"/>
  <c r="BK58" i="4"/>
  <c r="BJ58" i="4"/>
  <c r="BI68" i="4"/>
  <c r="BL68" i="4"/>
  <c r="BN68" i="4"/>
  <c r="BK68" i="4"/>
  <c r="BJ68" i="4"/>
  <c r="BI46" i="4"/>
  <c r="BL46" i="4"/>
  <c r="BK46" i="4"/>
  <c r="BJ46" i="4"/>
  <c r="BI44" i="4"/>
  <c r="BL44" i="4"/>
  <c r="BK44" i="4"/>
  <c r="BJ44" i="4"/>
  <c r="BG7" i="4"/>
  <c r="BI7" i="4"/>
  <c r="BF7" i="4"/>
  <c r="BL7" i="4"/>
  <c r="BE7" i="4"/>
  <c r="BK7" i="4"/>
  <c r="BD7" i="4"/>
  <c r="BJ7" i="4"/>
  <c r="BI43" i="4"/>
  <c r="BL43" i="4"/>
  <c r="BK43" i="4"/>
  <c r="BJ43" i="4"/>
  <c r="BI29" i="4"/>
  <c r="BL29" i="4"/>
  <c r="BK29" i="4"/>
  <c r="BJ29" i="4"/>
  <c r="BI53" i="4"/>
  <c r="BL53" i="4"/>
  <c r="BK53" i="4"/>
  <c r="BJ53" i="4"/>
  <c r="BI55" i="4"/>
  <c r="BL55" i="4"/>
  <c r="BK55" i="4"/>
  <c r="BJ55" i="4"/>
  <c r="BI48" i="4"/>
  <c r="BL48" i="4"/>
  <c r="BK48" i="4"/>
  <c r="BJ48" i="4"/>
  <c r="BD13" i="4"/>
  <c r="BI13" i="4"/>
  <c r="BG13" i="4"/>
  <c r="BL13" i="4"/>
  <c r="BF13" i="4"/>
  <c r="BK13" i="4"/>
  <c r="BE13" i="4"/>
  <c r="BJ13" i="4"/>
  <c r="BD17" i="4"/>
  <c r="BI17" i="4"/>
  <c r="BG17" i="4"/>
  <c r="BL17" i="4"/>
  <c r="BF17" i="4"/>
  <c r="BK17" i="4"/>
  <c r="BE17" i="4"/>
  <c r="BJ17" i="4"/>
  <c r="BI65" i="4"/>
  <c r="BL65" i="4"/>
  <c r="BN65" i="4"/>
  <c r="BK65" i="4"/>
  <c r="BJ65" i="4"/>
  <c r="BI69" i="4"/>
  <c r="BL69" i="4"/>
  <c r="BN69" i="4"/>
  <c r="BK69" i="4"/>
  <c r="BJ69" i="4"/>
  <c r="BI84" i="4"/>
  <c r="BL84" i="4"/>
  <c r="BN84" i="4"/>
  <c r="BK84" i="4"/>
  <c r="BQ84" i="4"/>
  <c r="BJ84" i="4"/>
  <c r="BP84" i="4"/>
  <c r="BI47" i="4"/>
  <c r="BL47" i="4"/>
  <c r="BK47" i="4"/>
  <c r="BJ47" i="4"/>
  <c r="BN6" i="4"/>
  <c r="BN7" i="4"/>
  <c r="BN8" i="4"/>
  <c r="BN13" i="4"/>
  <c r="BN14" i="4"/>
  <c r="BN15" i="4"/>
  <c r="BN16" i="4"/>
  <c r="BN17" i="4"/>
  <c r="BN19" i="4"/>
  <c r="BN20" i="4"/>
  <c r="BN24" i="4"/>
  <c r="BN25" i="4"/>
  <c r="BN29" i="4"/>
  <c r="BN39" i="4"/>
  <c r="BN41" i="4"/>
  <c r="BN42" i="4"/>
  <c r="BN43" i="4"/>
  <c r="BN44" i="4"/>
  <c r="BN46" i="4"/>
  <c r="BN47" i="4"/>
  <c r="BN48" i="4"/>
  <c r="BN52" i="4"/>
  <c r="BN53" i="4"/>
  <c r="BN55" i="4"/>
  <c r="BN57" i="4"/>
  <c r="BN58" i="4"/>
  <c r="BN79" i="4"/>
  <c r="BN64" i="4"/>
  <c r="BO65" i="4"/>
  <c r="BQ67" i="4"/>
  <c r="BO69" i="4"/>
  <c r="BQ71" i="4"/>
  <c r="BQ73" i="4"/>
  <c r="BO97" i="4"/>
  <c r="BF5" i="4"/>
  <c r="BI5" i="4"/>
  <c r="BE5" i="4"/>
  <c r="BL5" i="4"/>
  <c r="BD5" i="4"/>
  <c r="BK5" i="4"/>
  <c r="BG5" i="4"/>
  <c r="BJ5" i="4"/>
  <c r="BI51" i="4"/>
  <c r="BL51" i="4"/>
  <c r="BK51" i="4"/>
  <c r="BJ51" i="4"/>
  <c r="BI63" i="4"/>
  <c r="BL63" i="4"/>
  <c r="BK63" i="4"/>
  <c r="BJ63" i="4"/>
  <c r="BI4" i="4"/>
  <c r="BG4" i="4"/>
  <c r="BL4" i="4"/>
  <c r="BF4" i="4"/>
  <c r="BK4" i="4"/>
  <c r="BE4" i="4"/>
  <c r="BD4" i="4"/>
  <c r="BJ4" i="4"/>
  <c r="BI40" i="4"/>
  <c r="BL40" i="4"/>
  <c r="BK40" i="4"/>
  <c r="BJ40" i="4"/>
  <c r="BI45" i="4"/>
  <c r="BL45" i="4"/>
  <c r="BK45" i="4"/>
  <c r="BJ45" i="4"/>
  <c r="BI28" i="4"/>
  <c r="BL28" i="4"/>
  <c r="BK28" i="4"/>
  <c r="BJ28" i="4"/>
  <c r="BI54" i="4"/>
  <c r="BL54" i="4"/>
  <c r="BK54" i="4"/>
  <c r="BJ54" i="4"/>
  <c r="BI56" i="4"/>
  <c r="BL56" i="4"/>
  <c r="BK56" i="4"/>
  <c r="BJ56" i="4"/>
  <c r="BI49" i="4"/>
  <c r="BL49" i="4"/>
  <c r="BK49" i="4"/>
  <c r="BJ49" i="4"/>
  <c r="BD12" i="4"/>
  <c r="BI12" i="4"/>
  <c r="BG12" i="4"/>
  <c r="BL12" i="4"/>
  <c r="BF12" i="4"/>
  <c r="BK12" i="4"/>
  <c r="BE12" i="4"/>
  <c r="BJ12" i="4"/>
  <c r="BD18" i="4"/>
  <c r="BI18" i="4"/>
  <c r="BG18" i="4"/>
  <c r="BL18" i="4"/>
  <c r="BF18" i="4"/>
  <c r="BK18" i="4"/>
  <c r="BE18" i="4"/>
  <c r="BJ18" i="4"/>
  <c r="BI66" i="4"/>
  <c r="BL66" i="4"/>
  <c r="BN66" i="4"/>
  <c r="BK66" i="4"/>
  <c r="BJ66" i="4"/>
  <c r="BI70" i="4"/>
  <c r="BL70" i="4"/>
  <c r="BN70" i="4"/>
  <c r="BK70" i="4"/>
  <c r="BJ70" i="4"/>
  <c r="BI80" i="4"/>
  <c r="BL80" i="4"/>
  <c r="BK80" i="4"/>
  <c r="BJ80" i="4"/>
  <c r="BI85" i="4"/>
  <c r="BL85" i="4"/>
  <c r="BN85" i="4"/>
  <c r="BK85" i="4"/>
  <c r="BQ85" i="4"/>
  <c r="BJ85" i="4"/>
  <c r="BP85" i="4"/>
  <c r="BI38" i="4"/>
  <c r="BL38" i="4"/>
  <c r="BK38" i="4"/>
  <c r="BJ38" i="4"/>
  <c r="BO5" i="4"/>
  <c r="BO6" i="4"/>
  <c r="BO7" i="4"/>
  <c r="BO8" i="4"/>
  <c r="BO12" i="4"/>
  <c r="BO13" i="4"/>
  <c r="BO14" i="4"/>
  <c r="BO15" i="4"/>
  <c r="BO16" i="4"/>
  <c r="BO17" i="4"/>
  <c r="BO18" i="4"/>
  <c r="BO19" i="4"/>
  <c r="BO20" i="4"/>
  <c r="BO24" i="4"/>
  <c r="BO25" i="4"/>
  <c r="BO28" i="4"/>
  <c r="BO29" i="4"/>
  <c r="BO38" i="4"/>
  <c r="BO39" i="4"/>
  <c r="BO40" i="4"/>
  <c r="BO41" i="4"/>
  <c r="BO42" i="4"/>
  <c r="BO43" i="4"/>
  <c r="BO44" i="4"/>
  <c r="BO45" i="4"/>
  <c r="BO46" i="4"/>
  <c r="BO47" i="4"/>
  <c r="BO48" i="4"/>
  <c r="BO49" i="4"/>
  <c r="BO51" i="4"/>
  <c r="BO52" i="4"/>
  <c r="BO53" i="4"/>
  <c r="BO54" i="4"/>
  <c r="BO55" i="4"/>
  <c r="BO56" i="4"/>
  <c r="BO57" i="4"/>
  <c r="BO58" i="4"/>
  <c r="BO79" i="4"/>
  <c r="BO80" i="4"/>
  <c r="BO63" i="4"/>
  <c r="BO64" i="4"/>
  <c r="BP65" i="4"/>
  <c r="BQ66" i="4"/>
  <c r="BO68" i="4"/>
  <c r="BP69" i="4"/>
  <c r="BQ70" i="4"/>
  <c r="BO72" i="4"/>
  <c r="BO84" i="4"/>
  <c r="BO98" i="4"/>
  <c r="BB14" i="2"/>
  <c r="BA14" i="2"/>
  <c r="BA25" i="1"/>
  <c r="J42" i="3"/>
  <c r="BB4" i="1"/>
  <c r="BC85" i="2"/>
  <c r="AZ85" i="2"/>
  <c r="AZ12" i="1"/>
  <c r="BB85" i="2"/>
  <c r="BB45" i="2"/>
  <c r="BB49" i="2"/>
  <c r="BB53" i="2"/>
  <c r="BC41" i="2"/>
  <c r="BC61" i="2"/>
  <c r="BC73" i="2"/>
  <c r="BA8" i="2"/>
  <c r="BA18" i="2"/>
  <c r="BA41" i="2"/>
  <c r="BA61" i="2"/>
  <c r="BA73" i="2"/>
  <c r="BA4" i="2"/>
  <c r="BO4" i="4"/>
  <c r="BN4" i="4"/>
  <c r="BT4" i="4"/>
  <c r="BS4" i="4"/>
  <c r="BU4" i="4"/>
  <c r="BV4" i="4"/>
  <c r="K4" i="3"/>
  <c r="J4" i="3"/>
  <c r="BU40" i="4"/>
  <c r="BT40" i="4"/>
  <c r="BV40" i="4"/>
  <c r="BS40" i="4"/>
  <c r="L40" i="3"/>
  <c r="J40" i="3"/>
  <c r="K40" i="3"/>
  <c r="BV28" i="4"/>
  <c r="BU28" i="4"/>
  <c r="BS28" i="4"/>
  <c r="BT28" i="4"/>
  <c r="K28" i="3"/>
  <c r="J28" i="3"/>
  <c r="L28" i="3"/>
  <c r="BU56" i="4"/>
  <c r="BT56" i="4"/>
  <c r="BV56" i="4"/>
  <c r="BS56" i="4"/>
  <c r="L56" i="3"/>
  <c r="J56" i="3"/>
  <c r="K56" i="3"/>
  <c r="BT18" i="4"/>
  <c r="BS18" i="4"/>
  <c r="BU18" i="4"/>
  <c r="BV18" i="4"/>
  <c r="K18" i="3"/>
  <c r="J18" i="3"/>
  <c r="L18" i="3"/>
  <c r="BV70" i="4"/>
  <c r="BT70" i="4"/>
  <c r="BS70" i="4"/>
  <c r="BU70" i="4"/>
  <c r="L69" i="3"/>
  <c r="K69" i="3"/>
  <c r="J69" i="3"/>
  <c r="BT80" i="4"/>
  <c r="BS80" i="4"/>
  <c r="BU80" i="4"/>
  <c r="BV80" i="4"/>
  <c r="BB15" i="2"/>
  <c r="BB38" i="2"/>
  <c r="BB90" i="2"/>
  <c r="BC16" i="2"/>
  <c r="BT5" i="4"/>
  <c r="BS5" i="4"/>
  <c r="BU5" i="4"/>
  <c r="BV5" i="4"/>
  <c r="L5" i="3"/>
  <c r="J5" i="3"/>
  <c r="K5" i="3"/>
  <c r="BV24" i="4"/>
  <c r="BU24" i="4"/>
  <c r="BS24" i="4"/>
  <c r="BT24" i="4"/>
  <c r="K24" i="3"/>
  <c r="J24" i="3"/>
  <c r="L24" i="3"/>
  <c r="BV73" i="4"/>
  <c r="BT73" i="4"/>
  <c r="BS73" i="4"/>
  <c r="BU73" i="4"/>
  <c r="L73" i="3"/>
  <c r="J73" i="3"/>
  <c r="K73" i="3"/>
  <c r="BT63" i="4"/>
  <c r="BS63" i="4"/>
  <c r="BU63" i="4"/>
  <c r="BV63" i="4"/>
  <c r="K62" i="3"/>
  <c r="J62" i="3"/>
  <c r="L62" i="3"/>
  <c r="BT14" i="4"/>
  <c r="BS14" i="4"/>
  <c r="BU14" i="4"/>
  <c r="BV14" i="4"/>
  <c r="K14" i="3"/>
  <c r="J14" i="3"/>
  <c r="L14" i="3"/>
  <c r="BS19" i="4"/>
  <c r="BV19" i="4"/>
  <c r="BT19" i="4"/>
  <c r="BU19" i="4"/>
  <c r="L19" i="3"/>
  <c r="K19" i="3"/>
  <c r="J19" i="3"/>
  <c r="BU97" i="4"/>
  <c r="BT97" i="4"/>
  <c r="BS97" i="4"/>
  <c r="BV97" i="4"/>
  <c r="H21" i="5"/>
  <c r="L78" i="3"/>
  <c r="I21" i="5"/>
  <c r="J78" i="3"/>
  <c r="BB24" i="1"/>
  <c r="J21" i="5"/>
  <c r="K78" i="3"/>
  <c r="BA24" i="1"/>
  <c r="BV39" i="4"/>
  <c r="BU39" i="4"/>
  <c r="BS39" i="4"/>
  <c r="BT39" i="4"/>
  <c r="K39" i="3"/>
  <c r="J39" i="3"/>
  <c r="L39" i="3"/>
  <c r="BB6" i="2"/>
  <c r="BB12" i="2"/>
  <c r="BB16" i="2"/>
  <c r="BB39" i="2"/>
  <c r="BB43" i="2"/>
  <c r="BB47" i="2"/>
  <c r="BB51" i="2"/>
  <c r="BB55" i="2"/>
  <c r="BB67" i="2"/>
  <c r="BB71" i="2"/>
  <c r="BB75" i="2"/>
  <c r="BB83" i="2"/>
  <c r="BB91" i="2"/>
  <c r="BC7" i="2"/>
  <c r="BC13" i="2"/>
  <c r="BC17" i="2"/>
  <c r="BC25" i="2"/>
  <c r="BC28" i="2"/>
  <c r="BC39" i="2"/>
  <c r="BC43" i="2"/>
  <c r="BC47" i="2"/>
  <c r="BC51" i="2"/>
  <c r="BC55" i="2"/>
  <c r="BC67" i="2"/>
  <c r="BC71" i="2"/>
  <c r="BC75" i="2"/>
  <c r="BC83" i="2"/>
  <c r="BC91" i="2"/>
  <c r="BA6" i="2"/>
  <c r="BA12" i="2"/>
  <c r="BA16" i="2"/>
  <c r="BA20" i="2"/>
  <c r="BA24" i="2"/>
  <c r="BA28" i="2"/>
  <c r="BA39" i="2"/>
  <c r="BA43" i="2"/>
  <c r="BA47" i="2"/>
  <c r="BA51" i="2"/>
  <c r="BA55" i="2"/>
  <c r="BA67" i="2"/>
  <c r="BA71" i="2"/>
  <c r="BA75" i="2"/>
  <c r="BA83" i="2"/>
  <c r="BA91" i="2"/>
  <c r="AZ6" i="2"/>
  <c r="AZ12" i="2"/>
  <c r="AZ16" i="2"/>
  <c r="AZ20" i="2"/>
  <c r="AZ24" i="2"/>
  <c r="AZ28" i="2"/>
  <c r="AZ39" i="2"/>
  <c r="AZ43" i="2"/>
  <c r="AZ47" i="2"/>
  <c r="AZ51" i="2"/>
  <c r="AZ55" i="2"/>
  <c r="AZ67" i="2"/>
  <c r="AZ71" i="2"/>
  <c r="AZ75" i="2"/>
  <c r="AZ83" i="2"/>
  <c r="AZ91" i="2"/>
  <c r="AZ25" i="1"/>
  <c r="BB13" i="1"/>
  <c r="J17" i="3"/>
  <c r="K38" i="3"/>
  <c r="BT7" i="4"/>
  <c r="BS7" i="4"/>
  <c r="BU7" i="4"/>
  <c r="BV7" i="4"/>
  <c r="L7" i="3"/>
  <c r="K7" i="3"/>
  <c r="BT53" i="4"/>
  <c r="BS53" i="4"/>
  <c r="BU53" i="4"/>
  <c r="BV53" i="4"/>
  <c r="K53" i="3"/>
  <c r="J53" i="3"/>
  <c r="L53" i="3"/>
  <c r="BU48" i="4"/>
  <c r="BT48" i="4"/>
  <c r="BV48" i="4"/>
  <c r="BS48" i="4"/>
  <c r="L48" i="3"/>
  <c r="J48" i="3"/>
  <c r="K48" i="3"/>
  <c r="BT13" i="4"/>
  <c r="BS13" i="4"/>
  <c r="BU13" i="4"/>
  <c r="BV13" i="4"/>
  <c r="L13" i="3"/>
  <c r="J13" i="3"/>
  <c r="BV65" i="4"/>
  <c r="BU65" i="4"/>
  <c r="BS65" i="4"/>
  <c r="BT65" i="4"/>
  <c r="K64" i="3"/>
  <c r="J64" i="3"/>
  <c r="L64" i="3"/>
  <c r="BT84" i="4"/>
  <c r="BS84" i="4"/>
  <c r="BU84" i="4"/>
  <c r="BV84" i="4"/>
  <c r="J8" i="5"/>
  <c r="H8" i="5"/>
  <c r="I8" i="5"/>
  <c r="BC12" i="1"/>
  <c r="BB12" i="1"/>
  <c r="BV47" i="4"/>
  <c r="BU47" i="4"/>
  <c r="BS47" i="4"/>
  <c r="BT47" i="4"/>
  <c r="K47" i="3"/>
  <c r="J47" i="3"/>
  <c r="L47" i="3"/>
  <c r="BB65" i="2"/>
  <c r="BB73" i="2"/>
  <c r="BC15" i="2"/>
  <c r="BC45" i="2"/>
  <c r="BC49" i="2"/>
  <c r="BC53" i="2"/>
  <c r="BA45" i="2"/>
  <c r="BA49" i="2"/>
  <c r="BA53" i="2"/>
  <c r="BB19" i="2"/>
  <c r="BB42" i="2"/>
  <c r="BB46" i="2"/>
  <c r="BB58" i="2"/>
  <c r="BB66" i="2"/>
  <c r="BC6" i="2"/>
  <c r="BC12" i="2"/>
  <c r="BT41" i="4"/>
  <c r="BS41" i="4"/>
  <c r="BU41" i="4"/>
  <c r="BV41" i="4"/>
  <c r="K41" i="3"/>
  <c r="J41" i="3"/>
  <c r="L41" i="3"/>
  <c r="BV51" i="4"/>
  <c r="BU51" i="4"/>
  <c r="BS51" i="4"/>
  <c r="BT51" i="4"/>
  <c r="K51" i="3"/>
  <c r="J51" i="3"/>
  <c r="L51" i="3"/>
  <c r="BT57" i="4"/>
  <c r="BS57" i="4"/>
  <c r="BU57" i="4"/>
  <c r="BV57" i="4"/>
  <c r="K57" i="3"/>
  <c r="J57" i="3"/>
  <c r="L57" i="3"/>
  <c r="BT67" i="4"/>
  <c r="BS67" i="4"/>
  <c r="BU67" i="4"/>
  <c r="BV67" i="4"/>
  <c r="K66" i="3"/>
  <c r="J66" i="3"/>
  <c r="L66" i="3"/>
  <c r="BV86" i="4"/>
  <c r="BU86" i="4"/>
  <c r="BS86" i="4"/>
  <c r="BT86" i="4"/>
  <c r="J10" i="5"/>
  <c r="I10" i="5"/>
  <c r="H10" i="5"/>
  <c r="BA14" i="1"/>
  <c r="BU71" i="4"/>
  <c r="BT71" i="4"/>
  <c r="BS71" i="4"/>
  <c r="BV71" i="4"/>
  <c r="K70" i="3"/>
  <c r="J70" i="3"/>
  <c r="L70" i="3"/>
  <c r="BB20" i="2"/>
  <c r="BB24" i="2"/>
  <c r="BB28" i="2"/>
  <c r="BT98" i="4"/>
  <c r="BS98" i="4"/>
  <c r="BV98" i="4"/>
  <c r="BU98" i="4"/>
  <c r="J22" i="5"/>
  <c r="H22" i="5"/>
  <c r="I22" i="5"/>
  <c r="K79" i="3"/>
  <c r="J79" i="3"/>
  <c r="L79" i="3"/>
  <c r="BC25" i="1"/>
  <c r="BB25" i="1"/>
  <c r="BT6" i="4"/>
  <c r="BS6" i="4"/>
  <c r="BU6" i="4"/>
  <c r="K6" i="3"/>
  <c r="J6" i="3"/>
  <c r="BV6" i="4"/>
  <c r="L6" i="3"/>
  <c r="BS42" i="4"/>
  <c r="BV42" i="4"/>
  <c r="BT42" i="4"/>
  <c r="BU42" i="4"/>
  <c r="L42" i="3"/>
  <c r="K42" i="3"/>
  <c r="BU25" i="4"/>
  <c r="BT25" i="4"/>
  <c r="BV25" i="4"/>
  <c r="BS25" i="4"/>
  <c r="L25" i="3"/>
  <c r="K25" i="3"/>
  <c r="J25" i="3"/>
  <c r="BU52" i="4"/>
  <c r="BT52" i="4"/>
  <c r="BV52" i="4"/>
  <c r="BS52" i="4"/>
  <c r="L52" i="3"/>
  <c r="K52" i="3"/>
  <c r="J52" i="3"/>
  <c r="BS72" i="4"/>
  <c r="BT72" i="4"/>
  <c r="BU72" i="4"/>
  <c r="BV72" i="4"/>
  <c r="K72" i="3"/>
  <c r="J72" i="3"/>
  <c r="L72" i="3"/>
  <c r="BS58" i="4"/>
  <c r="BV58" i="4"/>
  <c r="BT58" i="4"/>
  <c r="BU58" i="4"/>
  <c r="L58" i="3"/>
  <c r="K58" i="3"/>
  <c r="BS64" i="4"/>
  <c r="BV64" i="4"/>
  <c r="BT64" i="4"/>
  <c r="BU64" i="4"/>
  <c r="L63" i="3"/>
  <c r="J63" i="3"/>
  <c r="BT16" i="4"/>
  <c r="BS16" i="4"/>
  <c r="BU16" i="4"/>
  <c r="BV16" i="4"/>
  <c r="K16" i="3"/>
  <c r="J16" i="3"/>
  <c r="L16" i="3"/>
  <c r="BV20" i="4"/>
  <c r="BU20" i="4"/>
  <c r="BS20" i="4"/>
  <c r="BT20" i="4"/>
  <c r="K20" i="3"/>
  <c r="J20" i="3"/>
  <c r="L20" i="3"/>
  <c r="BT68" i="4"/>
  <c r="BS68" i="4"/>
  <c r="BU68" i="4"/>
  <c r="BV68" i="4"/>
  <c r="L67" i="3"/>
  <c r="K67" i="3"/>
  <c r="BU79" i="4"/>
  <c r="BT79" i="4"/>
  <c r="BV79" i="4"/>
  <c r="BS79" i="4"/>
  <c r="I4" i="5"/>
  <c r="BT8" i="4"/>
  <c r="BS8" i="4"/>
  <c r="BU8" i="4"/>
  <c r="BV8" i="4"/>
  <c r="K8" i="3"/>
  <c r="J8" i="3"/>
  <c r="L8" i="3"/>
  <c r="BS46" i="4"/>
  <c r="BV46" i="4"/>
  <c r="BT46" i="4"/>
  <c r="L46" i="3"/>
  <c r="BU46" i="4"/>
  <c r="J46" i="3"/>
  <c r="BT15" i="4"/>
  <c r="BS15" i="4"/>
  <c r="BU15" i="4"/>
  <c r="BV15" i="4"/>
  <c r="L15" i="3"/>
  <c r="J15" i="3"/>
  <c r="K15" i="3"/>
  <c r="BU44" i="4"/>
  <c r="BT44" i="4"/>
  <c r="BV44" i="4"/>
  <c r="BS44" i="4"/>
  <c r="L44" i="3"/>
  <c r="K44" i="3"/>
  <c r="J44" i="3"/>
  <c r="BB7" i="2"/>
  <c r="BB13" i="2"/>
  <c r="BB17" i="2"/>
  <c r="BB25" i="2"/>
  <c r="BB29" i="2"/>
  <c r="BB40" i="2"/>
  <c r="BB44" i="2"/>
  <c r="BB48" i="2"/>
  <c r="BB52" i="2"/>
  <c r="BB56" i="2"/>
  <c r="BB60" i="2"/>
  <c r="BB68" i="2"/>
  <c r="BB72" i="2"/>
  <c r="BB76" i="2"/>
  <c r="BB84" i="2"/>
  <c r="BC8" i="2"/>
  <c r="BC14" i="2"/>
  <c r="BC18" i="2"/>
  <c r="BC29" i="2"/>
  <c r="BC40" i="2"/>
  <c r="BC44" i="2"/>
  <c r="BC48" i="2"/>
  <c r="BC52" i="2"/>
  <c r="BC56" i="2"/>
  <c r="BC60" i="2"/>
  <c r="BC68" i="2"/>
  <c r="BC72" i="2"/>
  <c r="BC76" i="2"/>
  <c r="BC84" i="2"/>
  <c r="BA7" i="2"/>
  <c r="BA13" i="2"/>
  <c r="BA17" i="2"/>
  <c r="BA25" i="2"/>
  <c r="BA29" i="2"/>
  <c r="BA40" i="2"/>
  <c r="BA44" i="2"/>
  <c r="BA48" i="2"/>
  <c r="BA52" i="2"/>
  <c r="BA56" i="2"/>
  <c r="BA60" i="2"/>
  <c r="BA68" i="2"/>
  <c r="BA72" i="2"/>
  <c r="BA76" i="2"/>
  <c r="BA84" i="2"/>
  <c r="AZ7" i="2"/>
  <c r="AZ13" i="2"/>
  <c r="AZ17" i="2"/>
  <c r="AZ25" i="2"/>
  <c r="AZ29" i="2"/>
  <c r="AZ40" i="2"/>
  <c r="AZ44" i="2"/>
  <c r="AZ48" i="2"/>
  <c r="AZ52" i="2"/>
  <c r="AZ56" i="2"/>
  <c r="AZ60" i="2"/>
  <c r="AZ68" i="2"/>
  <c r="AZ72" i="2"/>
  <c r="AZ76" i="2"/>
  <c r="AZ84" i="2"/>
  <c r="AZ4" i="1"/>
  <c r="AZ13" i="1"/>
  <c r="BB14" i="1"/>
  <c r="K13" i="3"/>
  <c r="K46" i="3"/>
  <c r="K63" i="3"/>
  <c r="BU29" i="4"/>
  <c r="BT29" i="4"/>
  <c r="BV29" i="4"/>
  <c r="BS29" i="4"/>
  <c r="L29" i="3"/>
  <c r="K29" i="3"/>
  <c r="BB41" i="2"/>
  <c r="BB61" i="2"/>
  <c r="BB69" i="2"/>
  <c r="BC65" i="2"/>
  <c r="BC69" i="2"/>
  <c r="BB4" i="2"/>
  <c r="BA65" i="2"/>
  <c r="BA69" i="2"/>
  <c r="AZ41" i="2"/>
  <c r="AZ45" i="2"/>
  <c r="AZ49" i="2"/>
  <c r="AZ53" i="2"/>
  <c r="AZ57" i="2"/>
  <c r="AZ61" i="2"/>
  <c r="AZ65" i="2"/>
  <c r="AZ69" i="2"/>
  <c r="AZ73" i="2"/>
  <c r="AZ4" i="2"/>
  <c r="AZ5" i="1"/>
  <c r="AZ14" i="1"/>
  <c r="BA12" i="1"/>
  <c r="BC14" i="1"/>
  <c r="J7" i="3"/>
  <c r="J29" i="3"/>
  <c r="J58" i="3"/>
  <c r="BV43" i="4"/>
  <c r="BU43" i="4"/>
  <c r="BS43" i="4"/>
  <c r="BT43" i="4"/>
  <c r="K43" i="3"/>
  <c r="J43" i="3"/>
  <c r="L43" i="3"/>
  <c r="BV55" i="4"/>
  <c r="BU55" i="4"/>
  <c r="BS55" i="4"/>
  <c r="BT55" i="4"/>
  <c r="K55" i="3"/>
  <c r="J55" i="3"/>
  <c r="L55" i="3"/>
  <c r="BU17" i="4"/>
  <c r="BT17" i="4"/>
  <c r="BV17" i="4"/>
  <c r="BS17" i="4"/>
  <c r="L17" i="3"/>
  <c r="K17" i="3"/>
  <c r="BS69" i="4"/>
  <c r="BT69" i="4"/>
  <c r="BU69" i="4"/>
  <c r="K68" i="3"/>
  <c r="J68" i="3"/>
  <c r="BV69" i="4"/>
  <c r="L68" i="3"/>
  <c r="BB8" i="2"/>
  <c r="BB18" i="2"/>
  <c r="BB57" i="2"/>
  <c r="BC57" i="2"/>
  <c r="BA57" i="2"/>
  <c r="AZ8" i="2"/>
  <c r="AZ18" i="2"/>
  <c r="BT45" i="4"/>
  <c r="BS45" i="4"/>
  <c r="BU45" i="4"/>
  <c r="BV45" i="4"/>
  <c r="K45" i="3"/>
  <c r="J45" i="3"/>
  <c r="L45" i="3"/>
  <c r="BS54" i="4"/>
  <c r="BV54" i="4"/>
  <c r="BT54" i="4"/>
  <c r="BU54" i="4"/>
  <c r="L54" i="3"/>
  <c r="J54" i="3"/>
  <c r="BT49" i="4"/>
  <c r="BS49" i="4"/>
  <c r="BU49" i="4"/>
  <c r="BV49" i="4"/>
  <c r="K49" i="3"/>
  <c r="J49" i="3"/>
  <c r="L49" i="3"/>
  <c r="BT12" i="4"/>
  <c r="BS12" i="4"/>
  <c r="BU12" i="4"/>
  <c r="BV12" i="4"/>
  <c r="K12" i="3"/>
  <c r="J12" i="3"/>
  <c r="L12" i="3"/>
  <c r="BU66" i="4"/>
  <c r="BT66" i="4"/>
  <c r="BV66" i="4"/>
  <c r="BS66" i="4"/>
  <c r="L65" i="3"/>
  <c r="J65" i="3"/>
  <c r="K65" i="3"/>
  <c r="BS85" i="4"/>
  <c r="BV85" i="4"/>
  <c r="BU85" i="4"/>
  <c r="BT85" i="4"/>
  <c r="I9" i="5"/>
  <c r="H9" i="5"/>
  <c r="J9" i="5"/>
  <c r="BC13" i="1"/>
  <c r="BS38" i="4"/>
  <c r="BV38" i="4"/>
  <c r="BT38" i="4"/>
  <c r="BU38" i="4"/>
  <c r="L38" i="3"/>
  <c r="J38" i="3"/>
  <c r="BB5" i="2"/>
  <c r="BB54" i="2"/>
  <c r="BB70" i="2"/>
  <c r="BC20" i="2"/>
  <c r="BC24" i="2"/>
  <c r="BC5" i="2"/>
  <c r="BC38" i="2"/>
  <c r="BC42" i="2"/>
  <c r="BC46" i="2"/>
  <c r="BC54" i="2"/>
  <c r="BC58" i="2"/>
  <c r="BC66" i="2"/>
  <c r="BC70" i="2"/>
  <c r="BC90" i="2"/>
  <c r="BA5" i="2"/>
  <c r="BA15" i="2"/>
  <c r="BA19" i="2"/>
  <c r="BA38" i="2"/>
  <c r="BA42" i="2"/>
  <c r="BA46" i="2"/>
  <c r="BA54" i="2"/>
  <c r="BA58" i="2"/>
  <c r="BA66" i="2"/>
  <c r="BA70" i="2"/>
  <c r="BA90" i="2"/>
  <c r="AZ5" i="2"/>
  <c r="AZ15" i="2"/>
  <c r="AZ19" i="2"/>
  <c r="AZ38" i="2"/>
  <c r="AZ42" i="2"/>
  <c r="AZ46" i="2"/>
  <c r="AZ54" i="2"/>
  <c r="AZ58" i="2"/>
  <c r="AZ66" i="2"/>
  <c r="AZ70" i="2"/>
  <c r="AZ90" i="2"/>
  <c r="AZ24" i="1"/>
  <c r="BA4" i="1"/>
  <c r="BA13" i="1"/>
  <c r="BC24" i="1"/>
  <c r="J67" i="3"/>
  <c r="K54" i="3"/>
  <c r="AB4" i="5" l="1"/>
  <c r="AC88" i="9"/>
  <c r="AC5" i="9"/>
  <c r="AC41" i="9"/>
  <c r="AC49" i="9"/>
  <c r="AC63" i="9"/>
  <c r="AC64" i="9"/>
  <c r="AC7" i="9"/>
  <c r="AC16" i="9"/>
  <c r="AC82" i="9"/>
  <c r="AC99" i="9"/>
  <c r="AC79" i="9"/>
  <c r="AC75" i="9"/>
  <c r="AC43" i="9"/>
  <c r="AC52" i="9"/>
  <c r="AC55" i="9"/>
  <c r="AC8" i="9"/>
  <c r="AC84" i="9"/>
  <c r="AC24" i="9"/>
  <c r="AC78" i="9"/>
  <c r="AC17" i="9"/>
  <c r="AC91" i="9"/>
  <c r="AC110" i="9"/>
  <c r="AC77" i="9"/>
  <c r="AC42" i="9"/>
  <c r="AC45" i="9"/>
  <c r="AC25" i="9"/>
  <c r="AC28" i="9"/>
  <c r="AC53" i="9"/>
  <c r="AC62" i="9"/>
  <c r="AC14" i="9"/>
  <c r="AC18" i="9"/>
  <c r="AC68" i="9"/>
  <c r="AC46" i="9"/>
  <c r="AC47" i="9"/>
  <c r="AC39" i="9"/>
  <c r="AC85" i="9"/>
  <c r="AC89" i="9"/>
  <c r="AC76" i="9"/>
  <c r="AC6" i="9"/>
  <c r="AC83" i="9"/>
  <c r="AC66" i="9"/>
  <c r="AC104" i="9"/>
  <c r="DO199" i="4"/>
  <c r="DP199" i="4"/>
  <c r="DM199" i="4"/>
  <c r="DN199" i="4"/>
  <c r="DL199" i="4"/>
  <c r="AC54" i="9"/>
  <c r="AC72" i="9"/>
  <c r="AC57" i="9"/>
  <c r="AC58" i="9"/>
  <c r="AC87" i="9"/>
  <c r="AC29" i="9"/>
  <c r="AC13" i="9"/>
  <c r="AC38" i="9"/>
  <c r="AC69" i="9"/>
  <c r="AC40" i="9"/>
  <c r="AC51" i="9"/>
  <c r="AC65" i="9"/>
  <c r="AC67" i="9"/>
  <c r="AC106" i="9"/>
  <c r="AC70" i="9"/>
  <c r="AC107" i="9"/>
  <c r="AC108" i="9"/>
  <c r="AC4" i="9"/>
  <c r="AC92" i="9"/>
  <c r="AC44" i="9"/>
  <c r="DK132" i="4"/>
  <c r="DK34" i="4"/>
  <c r="DK10" i="4"/>
  <c r="DK143" i="4"/>
  <c r="DK138" i="4"/>
  <c r="DK135" i="4"/>
  <c r="DK133" i="4"/>
  <c r="DK131" i="4"/>
  <c r="DK130" i="4"/>
  <c r="DK129" i="4"/>
  <c r="DK128" i="4"/>
  <c r="DK127" i="4"/>
  <c r="DK126" i="4"/>
  <c r="DK125" i="4"/>
  <c r="DK74" i="4"/>
  <c r="DK62" i="4"/>
  <c r="DK61" i="4"/>
  <c r="DK36" i="4"/>
  <c r="DK27" i="4"/>
  <c r="DK26" i="4"/>
  <c r="DK23" i="4"/>
  <c r="DK22" i="4"/>
  <c r="DK11" i="4"/>
  <c r="DK148" i="4"/>
  <c r="DK145" i="4"/>
  <c r="DK144" i="4"/>
  <c r="DK142" i="4"/>
  <c r="DK141" i="4"/>
  <c r="DK140" i="4"/>
  <c r="DK139" i="4"/>
  <c r="DK137" i="4"/>
  <c r="DK134" i="4"/>
  <c r="DK147" i="4"/>
  <c r="DK178" i="4"/>
  <c r="DK177" i="4"/>
  <c r="DK176" i="4"/>
  <c r="DK175" i="4"/>
  <c r="DK174" i="4"/>
  <c r="DK173" i="4"/>
  <c r="DK172" i="4"/>
  <c r="DK171" i="4"/>
  <c r="DK170" i="4"/>
  <c r="DK169" i="4"/>
  <c r="DK168" i="4"/>
  <c r="DE33" i="4"/>
  <c r="DK12" i="4"/>
  <c r="DK14" i="4"/>
  <c r="DK13" i="4"/>
  <c r="DK30" i="4"/>
  <c r="DK32" i="4"/>
  <c r="DK33" i="4"/>
  <c r="DR33" i="4" s="1"/>
  <c r="DK18" i="4"/>
  <c r="DK19" i="4"/>
  <c r="DK38" i="4"/>
  <c r="DK98" i="4"/>
  <c r="DK39" i="4"/>
  <c r="DK46" i="4"/>
  <c r="DK47" i="4"/>
  <c r="AE97" i="3"/>
  <c r="AE72" i="3"/>
  <c r="AE99" i="3"/>
  <c r="AE94" i="3"/>
  <c r="AE69" i="3"/>
  <c r="AE83" i="3"/>
  <c r="AE40" i="3"/>
  <c r="AE8" i="3"/>
  <c r="AE28" i="3"/>
  <c r="AE56" i="3"/>
  <c r="AE38" i="3"/>
  <c r="AE93" i="3"/>
  <c r="AE45" i="3"/>
  <c r="AE54" i="3"/>
  <c r="AE49" i="3"/>
  <c r="AE65" i="3"/>
  <c r="AE63" i="3"/>
  <c r="AE96" i="3"/>
  <c r="AE6" i="3"/>
  <c r="AE110" i="3"/>
  <c r="AE79" i="3"/>
  <c r="AE84" i="3"/>
  <c r="AE12" i="3"/>
  <c r="AE85" i="3"/>
  <c r="AE75" i="3"/>
  <c r="AE41" i="3"/>
  <c r="AE51" i="3"/>
  <c r="AE57" i="3"/>
  <c r="AE14" i="3"/>
  <c r="AE19" i="3"/>
  <c r="AE78" i="3"/>
  <c r="AE89" i="3"/>
  <c r="AE70" i="3"/>
  <c r="AE39" i="3"/>
  <c r="AE67" i="3"/>
  <c r="AE18" i="3"/>
  <c r="AE76" i="3"/>
  <c r="AE52" i="3"/>
  <c r="AE16" i="3"/>
  <c r="AE15" i="3"/>
  <c r="AE44" i="3"/>
  <c r="AE90" i="3"/>
  <c r="AE42" i="3"/>
  <c r="AE58" i="3"/>
  <c r="AE20" i="3"/>
  <c r="AE87" i="3"/>
  <c r="AE92" i="3"/>
  <c r="AE77" i="3"/>
  <c r="AE43" i="3"/>
  <c r="AE53" i="3"/>
  <c r="AE48" i="3"/>
  <c r="AE13" i="3"/>
  <c r="AE64" i="3"/>
  <c r="AE91" i="3"/>
  <c r="AE95" i="3"/>
  <c r="AE5" i="3"/>
  <c r="AE24" i="3"/>
  <c r="AE73" i="3"/>
  <c r="AE62" i="3"/>
  <c r="AE82" i="3"/>
  <c r="AE66" i="3"/>
  <c r="AE46" i="3"/>
  <c r="AE25" i="3"/>
  <c r="AE86" i="3"/>
  <c r="AE80" i="3"/>
  <c r="AE7" i="3"/>
  <c r="AE29" i="3"/>
  <c r="AE55" i="3"/>
  <c r="AE17" i="3"/>
  <c r="AE68" i="3"/>
  <c r="AE88" i="3"/>
  <c r="AE47" i="3"/>
  <c r="BV5" i="1"/>
  <c r="BU5" i="1"/>
  <c r="AD4" i="3"/>
  <c r="AE4" i="3"/>
  <c r="BU4" i="2"/>
  <c r="BV4" i="2"/>
  <c r="AC4" i="5"/>
  <c r="BU4" i="1"/>
  <c r="BV4" i="1"/>
  <c r="BU11" i="1"/>
  <c r="BV11" i="1"/>
  <c r="AB7" i="5"/>
  <c r="AC7" i="5"/>
  <c r="AB30" i="5"/>
  <c r="AC30" i="5"/>
  <c r="BU33" i="1"/>
  <c r="BV33" i="1"/>
  <c r="BV19" i="1"/>
  <c r="BU19" i="1"/>
  <c r="BU6" i="2"/>
  <c r="BV6" i="2"/>
  <c r="BU12" i="2"/>
  <c r="BV12" i="2"/>
  <c r="BU41" i="2"/>
  <c r="BV41" i="2"/>
  <c r="BV51" i="2"/>
  <c r="BU51" i="2"/>
  <c r="BV57" i="2"/>
  <c r="BU57" i="2"/>
  <c r="BU14" i="2"/>
  <c r="BV14" i="2"/>
  <c r="BU19" i="2"/>
  <c r="BV19" i="2"/>
  <c r="BU10" i="1"/>
  <c r="BV10" i="1"/>
  <c r="BU73" i="2"/>
  <c r="BV73" i="2"/>
  <c r="BU39" i="2"/>
  <c r="BV39" i="2"/>
  <c r="BV70" i="2"/>
  <c r="BU70" i="2"/>
  <c r="BV15" i="2"/>
  <c r="BU15" i="2"/>
  <c r="BV44" i="2"/>
  <c r="BU44" i="2"/>
  <c r="BV13" i="2"/>
  <c r="BU13" i="2"/>
  <c r="BU5" i="2"/>
  <c r="BV5" i="2"/>
  <c r="BU24" i="2"/>
  <c r="BV24" i="2"/>
  <c r="BV76" i="2"/>
  <c r="BU76" i="2"/>
  <c r="BV110" i="2"/>
  <c r="BU110" i="2"/>
  <c r="BU7" i="2"/>
  <c r="BV7" i="2"/>
  <c r="BV29" i="2"/>
  <c r="BU29" i="2"/>
  <c r="BV55" i="2"/>
  <c r="BU55" i="2"/>
  <c r="BV17" i="2"/>
  <c r="BU17" i="2"/>
  <c r="BV47" i="2"/>
  <c r="BU47" i="2"/>
  <c r="BV71" i="2"/>
  <c r="BU71" i="2"/>
  <c r="BV100" i="2"/>
  <c r="BU100" i="2"/>
  <c r="BU35" i="1"/>
  <c r="BV35" i="1"/>
  <c r="BU30" i="1"/>
  <c r="BV30" i="1"/>
  <c r="BV96" i="2"/>
  <c r="BU96" i="2"/>
  <c r="BV56" i="1"/>
  <c r="BU56" i="1"/>
  <c r="BU118" i="2"/>
  <c r="BV118" i="2"/>
  <c r="BV40" i="2"/>
  <c r="BU40" i="2"/>
  <c r="BV28" i="2"/>
  <c r="BU28" i="2"/>
  <c r="BV56" i="2"/>
  <c r="BU56" i="2"/>
  <c r="BU18" i="2"/>
  <c r="BV18" i="2"/>
  <c r="BV72" i="2"/>
  <c r="BU72" i="2"/>
  <c r="AB34" i="5"/>
  <c r="AC34" i="5"/>
  <c r="BU36" i="1"/>
  <c r="BV36" i="1"/>
  <c r="BV61" i="2"/>
  <c r="BU61" i="2"/>
  <c r="BV38" i="2"/>
  <c r="BU38" i="2"/>
  <c r="BV88" i="2"/>
  <c r="BU88" i="2"/>
  <c r="BU17" i="1"/>
  <c r="BV17" i="1"/>
  <c r="BU32" i="1"/>
  <c r="BV32" i="1"/>
  <c r="BV102" i="2"/>
  <c r="BU102" i="2"/>
  <c r="BU79" i="2"/>
  <c r="BV79" i="2"/>
  <c r="BU8" i="1"/>
  <c r="BV8" i="1"/>
  <c r="BV58" i="2"/>
  <c r="BU58" i="2"/>
  <c r="BU99" i="2"/>
  <c r="BV99" i="2"/>
  <c r="BV46" i="1"/>
  <c r="BU46" i="1"/>
  <c r="BV24" i="1"/>
  <c r="BU24" i="1"/>
  <c r="BV90" i="2"/>
  <c r="BU90" i="2"/>
  <c r="BU43" i="1"/>
  <c r="BV43" i="1"/>
  <c r="BU101" i="2"/>
  <c r="BV101" i="2"/>
  <c r="BU52" i="2"/>
  <c r="BV52" i="2"/>
  <c r="BU20" i="2"/>
  <c r="BV20" i="2"/>
  <c r="BU60" i="2"/>
  <c r="BV60" i="2"/>
  <c r="BV104" i="2"/>
  <c r="BU104" i="2"/>
  <c r="BV37" i="1"/>
  <c r="BU37" i="1"/>
  <c r="BV80" i="2"/>
  <c r="BU80" i="2"/>
  <c r="BU9" i="1"/>
  <c r="BV9" i="1"/>
  <c r="BU53" i="2"/>
  <c r="BV53" i="2"/>
  <c r="BU48" i="2"/>
  <c r="BV48" i="2"/>
  <c r="BU67" i="2"/>
  <c r="BV67" i="2"/>
  <c r="BV31" i="1"/>
  <c r="BU31" i="1"/>
  <c r="BU103" i="2"/>
  <c r="BV103" i="2"/>
  <c r="BU83" i="2"/>
  <c r="BV83" i="2"/>
  <c r="BV12" i="1"/>
  <c r="BU12" i="1"/>
  <c r="BV42" i="2"/>
  <c r="BU42" i="2"/>
  <c r="BU16" i="2"/>
  <c r="BV16" i="2"/>
  <c r="BV43" i="2"/>
  <c r="BU43" i="2"/>
  <c r="BU40" i="1"/>
  <c r="BV40" i="1"/>
  <c r="BV105" i="2"/>
  <c r="BU105" i="2"/>
  <c r="BV45" i="2"/>
  <c r="BU45" i="2"/>
  <c r="BV54" i="2"/>
  <c r="BU54" i="2"/>
  <c r="BV49" i="2"/>
  <c r="BU49" i="2"/>
  <c r="BV68" i="2"/>
  <c r="BU68" i="2"/>
  <c r="BU13" i="1"/>
  <c r="BV13" i="1"/>
  <c r="BU84" i="2"/>
  <c r="BV84" i="2"/>
  <c r="BU86" i="2"/>
  <c r="BV86" i="2"/>
  <c r="BU15" i="1"/>
  <c r="BV15" i="1"/>
  <c r="BU97" i="2"/>
  <c r="BV97" i="2"/>
  <c r="BU34" i="1"/>
  <c r="BV34" i="1"/>
  <c r="BU78" i="2"/>
  <c r="BV78" i="2"/>
  <c r="BU7" i="1"/>
  <c r="BV7" i="1"/>
  <c r="BV65" i="2"/>
  <c r="BU65" i="2"/>
  <c r="AC25" i="5"/>
  <c r="AB25" i="5"/>
  <c r="BV94" i="2"/>
  <c r="BU94" i="2"/>
  <c r="BV28" i="1"/>
  <c r="BU28" i="1"/>
  <c r="BV69" i="2"/>
  <c r="BU69" i="2"/>
  <c r="AC10" i="5"/>
  <c r="AB10" i="5"/>
  <c r="BV14" i="1"/>
  <c r="BU14" i="1"/>
  <c r="BU85" i="2"/>
  <c r="BV85" i="2"/>
  <c r="AB12" i="5"/>
  <c r="AC12" i="5"/>
  <c r="BU87" i="2"/>
  <c r="BV87" i="2"/>
  <c r="BV16" i="1"/>
  <c r="BU16" i="1"/>
  <c r="BV26" i="1"/>
  <c r="BU26" i="1"/>
  <c r="BV92" i="2"/>
  <c r="BU92" i="2"/>
  <c r="AB46" i="5"/>
  <c r="AC46" i="5"/>
  <c r="BV42" i="1"/>
  <c r="BU42" i="1"/>
  <c r="BV107" i="2"/>
  <c r="BU107" i="2"/>
  <c r="BV25" i="1"/>
  <c r="BU25" i="1"/>
  <c r="BU91" i="2"/>
  <c r="BV91" i="2"/>
  <c r="BV47" i="1"/>
  <c r="BU47" i="1"/>
  <c r="BV109" i="2"/>
  <c r="BU109" i="2"/>
  <c r="BU25" i="2"/>
  <c r="BV25" i="2"/>
  <c r="BV75" i="2"/>
  <c r="BU75" i="2"/>
  <c r="BV66" i="2"/>
  <c r="BU66" i="2"/>
  <c r="AC26" i="5"/>
  <c r="AB26" i="5"/>
  <c r="BV95" i="2"/>
  <c r="BU95" i="2"/>
  <c r="BV29" i="1"/>
  <c r="BU29" i="1"/>
  <c r="AC50" i="5"/>
  <c r="AB50" i="5"/>
  <c r="BV98" i="2"/>
  <c r="BU98" i="2"/>
  <c r="BU45" i="1"/>
  <c r="BV45" i="1"/>
  <c r="BU44" i="1"/>
  <c r="BV44" i="1"/>
  <c r="BV106" i="2"/>
  <c r="BU106" i="2"/>
  <c r="BU8" i="2"/>
  <c r="BV8" i="2"/>
  <c r="BU46" i="2"/>
  <c r="BV46" i="2"/>
  <c r="BU89" i="2"/>
  <c r="BV89" i="2"/>
  <c r="BU18" i="1"/>
  <c r="BV18" i="1"/>
  <c r="AC42" i="5"/>
  <c r="AB42" i="5"/>
  <c r="BV113" i="2"/>
  <c r="BU113" i="2"/>
  <c r="BV50" i="1"/>
  <c r="BU50" i="1"/>
  <c r="AB47" i="5"/>
  <c r="AC47" i="5"/>
  <c r="AB27" i="5"/>
  <c r="AC27" i="5"/>
  <c r="AC53" i="5"/>
  <c r="AB53" i="5"/>
  <c r="AB13" i="5"/>
  <c r="AC13" i="5"/>
  <c r="AC51" i="5"/>
  <c r="AB51" i="5"/>
  <c r="AB35" i="5"/>
  <c r="AC35" i="5"/>
  <c r="AB29" i="5"/>
  <c r="AC29" i="5"/>
  <c r="AB28" i="5"/>
  <c r="AC28" i="5"/>
  <c r="AB8" i="5"/>
  <c r="AC8" i="5"/>
  <c r="AC38" i="5"/>
  <c r="AB38" i="5"/>
  <c r="AB9" i="5"/>
  <c r="AC9" i="5"/>
  <c r="AB11" i="5"/>
  <c r="AC11" i="5"/>
  <c r="AC22" i="5"/>
  <c r="AB22" i="5"/>
  <c r="AB31" i="5"/>
  <c r="AC31" i="5"/>
  <c r="AB14" i="5"/>
  <c r="AC14" i="5"/>
  <c r="AB23" i="5"/>
  <c r="AC23" i="5"/>
  <c r="AB33" i="5"/>
  <c r="AC33" i="5"/>
  <c r="AC15" i="5"/>
  <c r="AB15" i="5"/>
  <c r="AB48" i="5"/>
  <c r="AC48" i="5"/>
  <c r="AB32" i="5"/>
  <c r="AC32" i="5"/>
  <c r="AC21" i="5"/>
  <c r="AB21" i="5"/>
  <c r="AB57" i="9"/>
  <c r="AB19" i="9"/>
  <c r="AB4" i="9"/>
  <c r="AB73" i="9"/>
  <c r="AB72" i="9"/>
  <c r="AB55" i="9"/>
  <c r="AB28" i="9"/>
  <c r="AB43" i="9"/>
  <c r="AB53" i="9"/>
  <c r="AB51" i="9"/>
  <c r="AB13" i="9"/>
  <c r="DE197" i="4"/>
  <c r="DE196" i="4"/>
  <c r="DE195" i="4"/>
  <c r="DE194" i="4"/>
  <c r="DE193" i="4"/>
  <c r="DE192" i="4"/>
  <c r="DE191" i="4"/>
  <c r="DE190" i="4"/>
  <c r="DE189" i="4"/>
  <c r="DE188" i="4"/>
  <c r="DE187" i="4"/>
  <c r="DE186" i="4"/>
  <c r="DE185" i="4"/>
  <c r="DE184" i="4"/>
  <c r="DE183" i="4"/>
  <c r="DE182" i="4"/>
  <c r="DE181" i="4"/>
  <c r="DE180" i="4"/>
  <c r="DE179" i="4"/>
  <c r="DE178" i="4"/>
  <c r="DE177" i="4"/>
  <c r="DE176" i="4"/>
  <c r="DE175" i="4"/>
  <c r="DE174" i="4"/>
  <c r="DE173" i="4"/>
  <c r="DE172" i="4"/>
  <c r="DE171" i="4"/>
  <c r="DE170" i="4"/>
  <c r="DE169" i="4"/>
  <c r="DE168" i="4"/>
  <c r="DE167" i="4"/>
  <c r="DE166" i="4"/>
  <c r="DE165" i="4"/>
  <c r="DE164" i="4"/>
  <c r="DE163" i="4"/>
  <c r="DE162" i="4"/>
  <c r="DE161" i="4"/>
  <c r="DE160" i="4"/>
  <c r="DE159" i="4"/>
  <c r="DE158" i="4"/>
  <c r="DE157" i="4"/>
  <c r="DE156" i="4"/>
  <c r="DE155" i="4"/>
  <c r="DE154" i="4"/>
  <c r="DE153" i="4"/>
  <c r="DE152" i="4"/>
  <c r="DE151" i="4"/>
  <c r="DE150" i="4"/>
  <c r="DE149" i="4"/>
  <c r="DE148" i="4"/>
  <c r="DE147" i="4"/>
  <c r="DE146" i="4"/>
  <c r="DE145" i="4"/>
  <c r="DE144" i="4"/>
  <c r="DE143" i="4"/>
  <c r="DE142" i="4"/>
  <c r="DE141" i="4"/>
  <c r="DE140" i="4"/>
  <c r="DE139" i="4"/>
  <c r="DE138" i="4"/>
  <c r="DE137" i="4"/>
  <c r="DE136" i="4"/>
  <c r="DE135" i="4"/>
  <c r="DE134" i="4"/>
  <c r="DE133" i="4"/>
  <c r="DE132" i="4"/>
  <c r="DE131" i="4"/>
  <c r="DE130" i="4"/>
  <c r="DE129" i="4"/>
  <c r="DE128" i="4"/>
  <c r="DE127" i="4"/>
  <c r="DE126" i="4"/>
  <c r="DE125" i="4"/>
  <c r="DE124" i="4"/>
  <c r="DE123" i="4"/>
  <c r="DE122" i="4"/>
  <c r="DE121" i="4"/>
  <c r="DE120" i="4"/>
  <c r="DE119" i="4"/>
  <c r="DE118" i="4"/>
  <c r="DE117" i="4"/>
  <c r="DE116" i="4"/>
  <c r="DE115" i="4"/>
  <c r="DE114" i="4"/>
  <c r="DE113" i="4"/>
  <c r="DE112" i="4"/>
  <c r="DE111" i="4"/>
  <c r="DE110" i="4"/>
  <c r="DE109" i="4"/>
  <c r="DE108" i="4"/>
  <c r="DE107" i="4"/>
  <c r="DE106" i="4"/>
  <c r="DE105" i="4"/>
  <c r="DE104" i="4"/>
  <c r="DE103" i="4"/>
  <c r="DE102" i="4"/>
  <c r="DE101" i="4"/>
  <c r="DE100" i="4"/>
  <c r="DE99" i="4"/>
  <c r="DE98" i="4"/>
  <c r="DE97" i="4"/>
  <c r="DE94" i="4"/>
  <c r="DE93" i="4"/>
  <c r="DE92" i="4"/>
  <c r="DE91" i="4"/>
  <c r="DE90" i="4"/>
  <c r="DE89" i="4"/>
  <c r="DE88" i="4"/>
  <c r="DE87" i="4"/>
  <c r="DE86" i="4"/>
  <c r="DE85" i="4"/>
  <c r="DE84" i="4"/>
  <c r="DE83" i="4"/>
  <c r="DE82" i="4"/>
  <c r="DE81" i="4"/>
  <c r="DE80" i="4"/>
  <c r="DE79" i="4"/>
  <c r="DE77" i="4"/>
  <c r="DE76" i="4"/>
  <c r="DE75" i="4"/>
  <c r="DE74" i="4"/>
  <c r="DE73" i="4"/>
  <c r="DE72" i="4"/>
  <c r="DE71" i="4"/>
  <c r="DE70" i="4"/>
  <c r="DE69" i="4"/>
  <c r="DE68" i="4"/>
  <c r="DE67" i="4"/>
  <c r="DE66" i="4"/>
  <c r="DE65" i="4"/>
  <c r="DE64" i="4"/>
  <c r="DE63" i="4"/>
  <c r="DE62" i="4"/>
  <c r="DE61" i="4"/>
  <c r="DE60" i="4"/>
  <c r="DE59" i="4"/>
  <c r="DE58" i="4"/>
  <c r="DE57" i="4"/>
  <c r="DE56" i="4"/>
  <c r="DE55" i="4"/>
  <c r="DE54" i="4"/>
  <c r="DE53" i="4"/>
  <c r="DE52" i="4"/>
  <c r="DE51" i="4"/>
  <c r="DE50" i="4"/>
  <c r="DE49" i="4"/>
  <c r="DE48" i="4"/>
  <c r="DE47" i="4"/>
  <c r="DE46" i="4"/>
  <c r="DE45" i="4"/>
  <c r="DE44" i="4"/>
  <c r="DE43" i="4"/>
  <c r="DE42" i="4"/>
  <c r="DE41" i="4"/>
  <c r="DE40" i="4"/>
  <c r="DE39" i="4"/>
  <c r="DE38" i="4"/>
  <c r="DE36" i="4"/>
  <c r="DE35" i="4"/>
  <c r="DE32" i="4"/>
  <c r="DE31" i="4"/>
  <c r="DE30" i="4"/>
  <c r="DE29" i="4"/>
  <c r="DE28" i="4"/>
  <c r="DE27" i="4"/>
  <c r="DE26" i="4"/>
  <c r="DE25" i="4"/>
  <c r="DE24" i="4"/>
  <c r="DE23" i="4"/>
  <c r="DE22" i="4"/>
  <c r="DE21" i="4"/>
  <c r="DE20" i="4"/>
  <c r="DE19" i="4"/>
  <c r="DE18" i="4"/>
  <c r="DE17" i="4"/>
  <c r="DE16" i="4"/>
  <c r="DE15" i="4"/>
  <c r="DE14" i="4"/>
  <c r="DE13" i="4"/>
  <c r="DE12" i="4"/>
  <c r="DE11" i="4"/>
  <c r="DE9" i="4"/>
  <c r="DE8" i="4"/>
  <c r="DE7" i="4"/>
  <c r="DE6" i="4"/>
  <c r="DE5" i="4"/>
  <c r="DE4" i="4"/>
  <c r="CY4" i="4"/>
  <c r="CS37" i="4"/>
  <c r="CB37" i="4"/>
  <c r="BW37" i="4"/>
  <c r="CY37" i="4"/>
  <c r="CN37" i="4"/>
  <c r="CY9" i="4"/>
  <c r="CN9" i="4"/>
  <c r="CS9" i="4"/>
  <c r="AD97" i="3"/>
  <c r="CY196" i="4"/>
  <c r="CS197" i="4"/>
  <c r="CY197" i="4"/>
  <c r="CN197" i="4"/>
  <c r="CS196" i="4"/>
  <c r="CN196" i="4"/>
  <c r="AB14" i="9"/>
  <c r="AB20" i="9"/>
  <c r="AB49" i="9"/>
  <c r="AB58" i="9"/>
  <c r="AB52" i="9"/>
  <c r="AB17" i="9"/>
  <c r="AB83" i="9"/>
  <c r="AB54" i="9"/>
  <c r="CY7" i="4"/>
  <c r="CY84" i="4"/>
  <c r="CY47" i="4"/>
  <c r="AD72" i="3"/>
  <c r="AB39" i="9"/>
  <c r="AB46" i="9"/>
  <c r="AB106" i="9"/>
  <c r="AB87" i="9"/>
  <c r="AB92" i="9"/>
  <c r="AB69" i="9"/>
  <c r="AB67" i="9"/>
  <c r="AB65" i="9"/>
  <c r="AD99" i="3"/>
  <c r="AD94" i="3"/>
  <c r="AD69" i="3"/>
  <c r="AD83" i="3"/>
  <c r="AD40" i="3"/>
  <c r="AD8" i="3"/>
  <c r="AD28" i="3"/>
  <c r="AD56" i="3"/>
  <c r="AD38" i="3"/>
  <c r="AD93" i="3"/>
  <c r="AD45" i="3"/>
  <c r="AD54" i="3"/>
  <c r="AD49" i="3"/>
  <c r="AD65" i="3"/>
  <c r="AD63" i="3"/>
  <c r="AD96" i="3"/>
  <c r="AD6" i="3"/>
  <c r="AD110" i="3"/>
  <c r="AD79" i="3"/>
  <c r="AD84" i="3"/>
  <c r="AD12" i="3"/>
  <c r="AD85" i="3"/>
  <c r="AD75" i="3"/>
  <c r="AD41" i="3"/>
  <c r="AD51" i="3"/>
  <c r="AD57" i="3"/>
  <c r="AD14" i="3"/>
  <c r="AD19" i="3"/>
  <c r="AD78" i="3"/>
  <c r="AD89" i="3"/>
  <c r="AD70" i="3"/>
  <c r="AD39" i="3"/>
  <c r="AD67" i="3"/>
  <c r="AD18" i="3"/>
  <c r="AD76" i="3"/>
  <c r="AD52" i="3"/>
  <c r="AD16" i="3"/>
  <c r="AD15" i="3"/>
  <c r="AD44" i="3"/>
  <c r="AD90" i="3"/>
  <c r="AD42" i="3"/>
  <c r="AD58" i="3"/>
  <c r="AD20" i="3"/>
  <c r="AD87" i="3"/>
  <c r="AD92" i="3"/>
  <c r="AD77" i="3"/>
  <c r="AD43" i="3"/>
  <c r="AD53" i="3"/>
  <c r="AD48" i="3"/>
  <c r="AD13" i="3"/>
  <c r="AD64" i="3"/>
  <c r="AD91" i="3"/>
  <c r="AD95" i="3"/>
  <c r="AD5" i="3"/>
  <c r="AD24" i="3"/>
  <c r="AD73" i="3"/>
  <c r="AD62" i="3"/>
  <c r="AD82" i="3"/>
  <c r="AD66" i="3"/>
  <c r="AD46" i="3"/>
  <c r="AD25" i="3"/>
  <c r="AD86" i="3"/>
  <c r="AD80" i="3"/>
  <c r="AD7" i="3"/>
  <c r="AD29" i="3"/>
  <c r="AD55" i="3"/>
  <c r="AD17" i="3"/>
  <c r="AD68" i="3"/>
  <c r="AD88" i="3"/>
  <c r="AD47" i="3"/>
  <c r="AB108" i="9"/>
  <c r="AB38" i="9"/>
  <c r="AB44" i="9"/>
  <c r="AB99" i="9"/>
  <c r="AB70" i="9"/>
  <c r="AB15" i="9"/>
  <c r="AB47" i="9"/>
  <c r="AB8" i="9"/>
  <c r="AB104" i="9"/>
  <c r="AB107" i="9"/>
  <c r="AB78" i="9"/>
  <c r="AB68" i="9"/>
  <c r="AB66" i="9"/>
  <c r="AB64" i="9"/>
  <c r="AB18" i="9"/>
  <c r="AB82" i="9"/>
  <c r="AB16" i="9"/>
  <c r="AB12" i="9"/>
  <c r="AB63" i="9"/>
  <c r="AB62" i="9"/>
  <c r="AB48" i="9"/>
  <c r="AB56" i="9"/>
  <c r="AB29" i="9"/>
  <c r="AB25" i="9"/>
  <c r="AB24" i="9"/>
  <c r="AB45" i="9"/>
  <c r="AB42" i="9"/>
  <c r="CY102" i="4"/>
  <c r="CY87" i="4"/>
  <c r="CY105" i="4"/>
  <c r="CY101" i="4"/>
  <c r="CY104" i="4"/>
  <c r="CY75" i="4"/>
  <c r="CY53" i="4"/>
  <c r="CY55" i="4"/>
  <c r="CY17" i="4"/>
  <c r="AB41" i="9"/>
  <c r="AB40" i="9"/>
  <c r="AB7" i="9"/>
  <c r="AB6" i="9"/>
  <c r="AB5" i="9"/>
  <c r="AB77" i="9"/>
  <c r="AB76" i="9"/>
  <c r="AB75" i="9"/>
  <c r="AB110" i="9"/>
  <c r="AB91" i="9"/>
  <c r="AB90" i="9"/>
  <c r="AB103" i="9"/>
  <c r="AB89" i="9"/>
  <c r="AB88" i="9"/>
  <c r="AB86" i="9"/>
  <c r="AB85" i="9"/>
  <c r="AB84" i="9"/>
  <c r="AB80" i="9"/>
  <c r="AB79" i="9"/>
  <c r="CY83" i="4"/>
  <c r="CY109" i="4"/>
  <c r="CY114" i="4"/>
  <c r="CY116" i="4"/>
  <c r="CY77" i="4"/>
  <c r="CY76" i="4"/>
  <c r="CY88" i="4"/>
  <c r="CY111" i="4"/>
  <c r="CY100" i="4"/>
  <c r="CY108" i="4"/>
  <c r="CY29" i="4"/>
  <c r="CY65" i="4"/>
  <c r="CY106" i="4"/>
  <c r="CY82" i="4"/>
  <c r="CY110" i="4"/>
  <c r="CY122" i="4"/>
  <c r="CY121" i="4"/>
  <c r="CY120" i="4"/>
  <c r="CY107" i="4"/>
  <c r="CY119" i="4"/>
  <c r="CY124" i="4"/>
  <c r="CY118" i="4"/>
  <c r="CY90" i="4"/>
  <c r="CY89" i="4"/>
  <c r="CY99" i="4"/>
  <c r="CY43" i="4"/>
  <c r="CY48" i="4"/>
  <c r="CY13" i="4"/>
  <c r="CY69" i="4"/>
  <c r="CY40" i="4"/>
  <c r="CY54" i="4"/>
  <c r="CY66" i="4"/>
  <c r="CY85" i="4"/>
  <c r="CY5" i="4"/>
  <c r="CY51" i="4"/>
  <c r="CY63" i="4"/>
  <c r="CY19" i="4"/>
  <c r="CY97" i="4"/>
  <c r="CY86" i="4"/>
  <c r="CY28" i="4"/>
  <c r="CY49" i="4"/>
  <c r="CY70" i="4"/>
  <c r="CY41" i="4"/>
  <c r="CY73" i="4"/>
  <c r="CY67" i="4"/>
  <c r="CY42" i="4"/>
  <c r="CY25" i="4"/>
  <c r="CY52" i="4"/>
  <c r="CY72" i="4"/>
  <c r="CY58" i="4"/>
  <c r="CY64" i="4"/>
  <c r="CY16" i="4"/>
  <c r="CY68" i="4"/>
  <c r="CY79" i="4"/>
  <c r="CY46" i="4"/>
  <c r="CY44" i="4"/>
  <c r="CY45" i="4"/>
  <c r="CY56" i="4"/>
  <c r="CY18" i="4"/>
  <c r="CY38" i="4"/>
  <c r="CY57" i="4"/>
  <c r="CY14" i="4"/>
  <c r="CY71" i="4"/>
  <c r="CY39" i="4"/>
  <c r="CY32" i="4"/>
  <c r="CY103" i="4"/>
  <c r="CY131" i="4"/>
  <c r="CY130" i="4"/>
  <c r="CY129" i="4"/>
  <c r="CY128" i="4"/>
  <c r="CY127" i="4"/>
  <c r="CY126" i="4"/>
  <c r="CY125" i="4"/>
  <c r="CY123" i="4"/>
  <c r="CY117" i="4"/>
  <c r="CY113" i="4"/>
  <c r="CY112" i="4"/>
  <c r="CY81" i="4"/>
  <c r="CY195" i="4"/>
  <c r="CY193" i="4"/>
  <c r="CY194" i="4"/>
  <c r="CY59" i="4"/>
  <c r="CY21" i="4"/>
  <c r="CY60" i="4"/>
  <c r="CY31" i="4"/>
  <c r="CY115" i="4"/>
  <c r="CY50" i="4"/>
  <c r="CY30" i="4"/>
  <c r="CY91" i="4"/>
  <c r="CY94" i="4"/>
  <c r="CY74" i="4"/>
  <c r="CY62" i="4"/>
  <c r="CY61" i="4"/>
  <c r="CY36" i="4"/>
  <c r="CY27" i="4"/>
  <c r="CY26" i="4"/>
  <c r="CY23" i="4"/>
  <c r="CY22" i="4"/>
  <c r="CY11" i="4"/>
  <c r="CY141" i="4"/>
  <c r="CY140" i="4"/>
  <c r="CY139" i="4"/>
  <c r="CY138" i="4"/>
  <c r="CY137" i="4"/>
  <c r="CY136" i="4"/>
  <c r="CY135" i="4"/>
  <c r="CY134" i="4"/>
  <c r="CY133" i="4"/>
  <c r="CY132" i="4"/>
  <c r="CY150" i="4"/>
  <c r="CY149" i="4"/>
  <c r="CY148" i="4"/>
  <c r="CY147" i="4"/>
  <c r="CY146" i="4"/>
  <c r="CY145" i="4"/>
  <c r="CY144" i="4"/>
  <c r="CY143" i="4"/>
  <c r="CY142" i="4"/>
  <c r="CY160" i="4"/>
  <c r="CY159" i="4"/>
  <c r="CY158" i="4"/>
  <c r="CY157" i="4"/>
  <c r="CY156" i="4"/>
  <c r="CY155" i="4"/>
  <c r="CY154" i="4"/>
  <c r="CY153" i="4"/>
  <c r="CY152" i="4"/>
  <c r="CY151" i="4"/>
  <c r="CY171" i="4"/>
  <c r="CY170" i="4"/>
  <c r="CY169" i="4"/>
  <c r="CY168" i="4"/>
  <c r="CY167" i="4"/>
  <c r="CY166" i="4"/>
  <c r="CY165" i="4"/>
  <c r="CY164" i="4"/>
  <c r="CY163" i="4"/>
  <c r="CY162" i="4"/>
  <c r="CY161" i="4"/>
  <c r="CY181" i="4"/>
  <c r="CY180" i="4"/>
  <c r="CY179" i="4"/>
  <c r="CY178" i="4"/>
  <c r="CY177" i="4"/>
  <c r="CY176" i="4"/>
  <c r="CY175" i="4"/>
  <c r="CY174" i="4"/>
  <c r="CY173" i="4"/>
  <c r="CY172" i="4"/>
  <c r="CY192" i="4"/>
  <c r="CY191" i="4"/>
  <c r="CY190" i="4"/>
  <c r="CY189" i="4"/>
  <c r="CY188" i="4"/>
  <c r="CY187" i="4"/>
  <c r="CY186" i="4"/>
  <c r="CY185" i="4"/>
  <c r="CY184" i="4"/>
  <c r="CY183" i="4"/>
  <c r="CY182" i="4"/>
  <c r="CS4" i="4"/>
  <c r="CN4" i="4"/>
  <c r="DR4" i="4" s="1"/>
  <c r="CY12" i="4"/>
  <c r="CY20" i="4"/>
  <c r="CY80" i="4"/>
  <c r="CY93" i="4"/>
  <c r="CY92" i="4"/>
  <c r="CY15" i="4"/>
  <c r="CY98" i="4"/>
  <c r="CY8" i="4"/>
  <c r="CY6" i="4"/>
  <c r="CY35" i="4"/>
  <c r="CY24" i="4"/>
  <c r="N108" i="9"/>
  <c r="O108" i="9"/>
  <c r="O39" i="9"/>
  <c r="N39" i="9"/>
  <c r="O38" i="9"/>
  <c r="N38" i="9"/>
  <c r="O44" i="9"/>
  <c r="N44" i="9"/>
  <c r="N99" i="9"/>
  <c r="O99" i="9"/>
  <c r="N70" i="9"/>
  <c r="O70" i="9"/>
  <c r="N15" i="9"/>
  <c r="O15" i="9"/>
  <c r="O47" i="9"/>
  <c r="N47" i="9"/>
  <c r="O46" i="9"/>
  <c r="N46" i="9"/>
  <c r="O8" i="9"/>
  <c r="N8" i="9"/>
  <c r="O106" i="9"/>
  <c r="N106" i="9"/>
  <c r="N87" i="9"/>
  <c r="O87" i="9"/>
  <c r="O104" i="9"/>
  <c r="N104" i="9"/>
  <c r="N92" i="9"/>
  <c r="O92" i="9"/>
  <c r="O107" i="9"/>
  <c r="N107" i="9"/>
  <c r="N78" i="9"/>
  <c r="O78" i="9"/>
  <c r="O69" i="9"/>
  <c r="N69" i="9"/>
  <c r="N68" i="9"/>
  <c r="O68" i="9"/>
  <c r="O67" i="9"/>
  <c r="N67" i="9"/>
  <c r="N66" i="9"/>
  <c r="O66" i="9"/>
  <c r="O65" i="9"/>
  <c r="N65" i="9"/>
  <c r="N64" i="9"/>
  <c r="O64" i="9"/>
  <c r="O20" i="9"/>
  <c r="N20" i="9"/>
  <c r="O19" i="9"/>
  <c r="N19" i="9"/>
  <c r="N18" i="9"/>
  <c r="O18" i="9"/>
  <c r="O17" i="9"/>
  <c r="N17" i="9"/>
  <c r="O83" i="9"/>
  <c r="N83" i="9"/>
  <c r="N82" i="9"/>
  <c r="O82" i="9"/>
  <c r="O13" i="9"/>
  <c r="N13" i="9"/>
  <c r="N16" i="9"/>
  <c r="O16" i="9"/>
  <c r="N14" i="9"/>
  <c r="O14" i="9"/>
  <c r="N12" i="9"/>
  <c r="O12" i="9"/>
  <c r="O63" i="9"/>
  <c r="N63" i="9"/>
  <c r="N62" i="9"/>
  <c r="O62" i="9"/>
  <c r="N49" i="9"/>
  <c r="O49" i="9"/>
  <c r="N48" i="9"/>
  <c r="O48" i="9"/>
  <c r="O58" i="9"/>
  <c r="N58" i="9"/>
  <c r="N57" i="9"/>
  <c r="O57" i="9"/>
  <c r="N56" i="9"/>
  <c r="O56" i="9"/>
  <c r="O55" i="9"/>
  <c r="N55" i="9"/>
  <c r="N72" i="9"/>
  <c r="O72" i="9"/>
  <c r="O73" i="9"/>
  <c r="N73" i="9"/>
  <c r="O54" i="9"/>
  <c r="N54" i="9"/>
  <c r="N53" i="9"/>
  <c r="O53" i="9"/>
  <c r="O52" i="9"/>
  <c r="N52" i="9"/>
  <c r="N51" i="9"/>
  <c r="O51" i="9"/>
  <c r="N28" i="9"/>
  <c r="O28" i="9"/>
  <c r="N29" i="9"/>
  <c r="O29" i="9"/>
  <c r="O25" i="9"/>
  <c r="N25" i="9"/>
  <c r="N24" i="9"/>
  <c r="O24" i="9"/>
  <c r="O45" i="9"/>
  <c r="N45" i="9"/>
  <c r="O43" i="9"/>
  <c r="N43" i="9"/>
  <c r="O42" i="9"/>
  <c r="N42" i="9"/>
  <c r="O41" i="9"/>
  <c r="N41" i="9"/>
  <c r="N40" i="9"/>
  <c r="O40" i="9"/>
  <c r="N7" i="9"/>
  <c r="O7" i="9"/>
  <c r="O6" i="9"/>
  <c r="N6" i="9"/>
  <c r="O5" i="9"/>
  <c r="N5" i="9"/>
  <c r="O4" i="9"/>
  <c r="N4" i="9"/>
  <c r="O77" i="9"/>
  <c r="N77" i="9"/>
  <c r="O76" i="9"/>
  <c r="N76" i="9"/>
  <c r="O75" i="9"/>
  <c r="N75" i="9"/>
  <c r="O110" i="9"/>
  <c r="N110" i="9"/>
  <c r="O91" i="9"/>
  <c r="N91" i="9"/>
  <c r="O90" i="9"/>
  <c r="N90" i="9"/>
  <c r="O103" i="9"/>
  <c r="N103" i="9"/>
  <c r="N89" i="9"/>
  <c r="O89" i="9"/>
  <c r="N88" i="9"/>
  <c r="O88" i="9"/>
  <c r="N86" i="9"/>
  <c r="O86" i="9"/>
  <c r="O85" i="9"/>
  <c r="N85" i="9"/>
  <c r="N84" i="9"/>
  <c r="O84" i="9"/>
  <c r="O80" i="9"/>
  <c r="N80" i="9"/>
  <c r="N79" i="9"/>
  <c r="O79" i="9"/>
  <c r="BH5" i="1"/>
  <c r="BG5" i="1"/>
  <c r="CN103" i="4"/>
  <c r="CN29" i="4"/>
  <c r="CN43" i="4"/>
  <c r="CN14" i="4"/>
  <c r="CN80" i="4"/>
  <c r="CN15" i="4"/>
  <c r="CN46" i="4"/>
  <c r="CN20" i="4"/>
  <c r="CN25" i="4"/>
  <c r="CN97" i="4"/>
  <c r="CN85" i="4"/>
  <c r="CN54" i="4"/>
  <c r="CN40" i="4"/>
  <c r="CN108" i="4"/>
  <c r="CN100" i="4"/>
  <c r="CN88" i="4"/>
  <c r="CN77" i="4"/>
  <c r="CN116" i="4"/>
  <c r="CN109" i="4"/>
  <c r="CN106" i="4"/>
  <c r="BC37" i="4"/>
  <c r="CN32" i="4"/>
  <c r="CN13" i="4"/>
  <c r="CN48" i="4"/>
  <c r="CN55" i="4"/>
  <c r="CN53" i="4"/>
  <c r="CN71" i="4"/>
  <c r="CN18" i="4"/>
  <c r="CN8" i="4"/>
  <c r="CN16" i="4"/>
  <c r="CN64" i="4"/>
  <c r="CN58" i="4"/>
  <c r="CN52" i="4"/>
  <c r="CN73" i="4"/>
  <c r="CN86" i="4"/>
  <c r="CN101" i="4"/>
  <c r="CN90" i="4"/>
  <c r="CN111" i="4"/>
  <c r="CN93" i="4"/>
  <c r="CN119" i="4"/>
  <c r="CN121" i="4"/>
  <c r="CN122" i="4"/>
  <c r="CN47" i="4"/>
  <c r="CN17" i="4"/>
  <c r="CN39" i="4"/>
  <c r="CN24" i="4"/>
  <c r="CN38" i="4"/>
  <c r="CN12" i="4"/>
  <c r="CN42" i="4"/>
  <c r="CN6" i="4"/>
  <c r="CN94" i="4"/>
  <c r="CN67" i="4"/>
  <c r="CN49" i="4"/>
  <c r="CN28" i="4"/>
  <c r="CN51" i="4"/>
  <c r="CN5" i="4"/>
  <c r="CN66" i="4"/>
  <c r="CN99" i="4"/>
  <c r="CN87" i="4"/>
  <c r="CN76" i="4"/>
  <c r="CN102" i="4"/>
  <c r="CN118" i="4"/>
  <c r="CN124" i="4"/>
  <c r="CN120" i="4"/>
  <c r="CN110" i="4"/>
  <c r="CN82" i="4"/>
  <c r="CN83" i="4"/>
  <c r="CN84" i="4"/>
  <c r="CN69" i="4"/>
  <c r="CN65" i="4"/>
  <c r="CN7" i="4"/>
  <c r="CN57" i="4"/>
  <c r="CN45" i="4"/>
  <c r="CN79" i="4"/>
  <c r="CN68" i="4"/>
  <c r="CN72" i="4"/>
  <c r="CN41" i="4"/>
  <c r="CN70" i="4"/>
  <c r="CN19" i="4"/>
  <c r="CN63" i="4"/>
  <c r="CN75" i="4"/>
  <c r="CN104" i="4"/>
  <c r="CN89" i="4"/>
  <c r="CN114" i="4"/>
  <c r="CN107" i="4"/>
  <c r="CN50" i="4"/>
  <c r="CN92" i="4"/>
  <c r="CN60" i="4"/>
  <c r="CN115" i="4"/>
  <c r="CN31" i="4"/>
  <c r="CN30" i="4"/>
  <c r="CN91" i="4"/>
  <c r="CN35" i="4"/>
  <c r="CN59" i="4"/>
  <c r="CN21" i="4"/>
  <c r="BM113" i="4"/>
  <c r="CS193" i="4"/>
  <c r="CS189" i="4"/>
  <c r="CS185" i="4"/>
  <c r="CS181" i="4"/>
  <c r="CS177" i="4"/>
  <c r="CS173" i="4"/>
  <c r="CS169" i="4"/>
  <c r="CS165" i="4"/>
  <c r="CS161" i="4"/>
  <c r="CS157" i="4"/>
  <c r="CS153" i="4"/>
  <c r="CS149" i="4"/>
  <c r="CS145" i="4"/>
  <c r="CS141" i="4"/>
  <c r="CS137" i="4"/>
  <c r="CS133" i="4"/>
  <c r="CS129" i="4"/>
  <c r="CS125" i="4"/>
  <c r="CS121" i="4"/>
  <c r="CS117" i="4"/>
  <c r="CS113" i="4"/>
  <c r="CS109" i="4"/>
  <c r="CS105" i="4"/>
  <c r="CS101" i="4"/>
  <c r="CS97" i="4"/>
  <c r="CS91" i="4"/>
  <c r="CS87" i="4"/>
  <c r="CS83" i="4"/>
  <c r="CS79" i="4"/>
  <c r="CS75" i="4"/>
  <c r="CS71" i="4"/>
  <c r="CS67" i="4"/>
  <c r="CS63" i="4"/>
  <c r="CS59" i="4"/>
  <c r="CS55" i="4"/>
  <c r="CS51" i="4"/>
  <c r="CS47" i="4"/>
  <c r="CS43" i="4"/>
  <c r="CS39" i="4"/>
  <c r="CS35" i="4"/>
  <c r="CS29" i="4"/>
  <c r="CS25" i="4"/>
  <c r="CS21" i="4"/>
  <c r="CS17" i="4"/>
  <c r="CS13" i="4"/>
  <c r="CS7" i="4"/>
  <c r="CS136" i="4"/>
  <c r="CS100" i="4"/>
  <c r="CS86" i="4"/>
  <c r="CS82" i="4"/>
  <c r="CS74" i="4"/>
  <c r="CS192" i="4"/>
  <c r="CS188" i="4"/>
  <c r="CS184" i="4"/>
  <c r="CS180" i="4"/>
  <c r="CS176" i="4"/>
  <c r="CS172" i="4"/>
  <c r="CS168" i="4"/>
  <c r="CS164" i="4"/>
  <c r="CS160" i="4"/>
  <c r="CS156" i="4"/>
  <c r="CS152" i="4"/>
  <c r="CS148" i="4"/>
  <c r="CS144" i="4"/>
  <c r="CS140" i="4"/>
  <c r="CS132" i="4"/>
  <c r="CS128" i="4"/>
  <c r="CS124" i="4"/>
  <c r="CS120" i="4"/>
  <c r="CS116" i="4"/>
  <c r="CS112" i="4"/>
  <c r="CS108" i="4"/>
  <c r="CS104" i="4"/>
  <c r="CS94" i="4"/>
  <c r="CS90" i="4"/>
  <c r="CS70" i="4"/>
  <c r="CS190" i="4"/>
  <c r="CS182" i="4"/>
  <c r="CS174" i="4"/>
  <c r="CS166" i="4"/>
  <c r="CS158" i="4"/>
  <c r="CS150" i="4"/>
  <c r="CS142" i="4"/>
  <c r="CS134" i="4"/>
  <c r="CS126" i="4"/>
  <c r="CS118" i="4"/>
  <c r="CS110" i="4"/>
  <c r="CS102" i="4"/>
  <c r="CS92" i="4"/>
  <c r="CS84" i="4"/>
  <c r="CS76" i="4"/>
  <c r="CS68" i="4"/>
  <c r="CS62" i="4"/>
  <c r="CS57" i="4"/>
  <c r="CS52" i="4"/>
  <c r="CS46" i="4"/>
  <c r="CS41" i="4"/>
  <c r="CS36" i="4"/>
  <c r="CS28" i="4"/>
  <c r="CS23" i="4"/>
  <c r="CS18" i="4"/>
  <c r="CS12" i="4"/>
  <c r="CS5" i="4"/>
  <c r="CS195" i="4"/>
  <c r="CS171" i="4"/>
  <c r="CS163" i="4"/>
  <c r="CS139" i="4"/>
  <c r="CS131" i="4"/>
  <c r="CS115" i="4"/>
  <c r="CS89" i="4"/>
  <c r="CS81" i="4"/>
  <c r="CS61" i="4"/>
  <c r="CS56" i="4"/>
  <c r="CS40" i="4"/>
  <c r="CS32" i="4"/>
  <c r="CS16" i="4"/>
  <c r="CS11" i="4"/>
  <c r="CS122" i="4"/>
  <c r="CS106" i="4"/>
  <c r="CS88" i="4"/>
  <c r="CS72" i="4"/>
  <c r="CS60" i="4"/>
  <c r="CS49" i="4"/>
  <c r="CS38" i="4"/>
  <c r="CS26" i="4"/>
  <c r="CS8" i="4"/>
  <c r="CS119" i="4"/>
  <c r="CS93" i="4"/>
  <c r="CS64" i="4"/>
  <c r="CS53" i="4"/>
  <c r="CS30" i="4"/>
  <c r="CS14" i="4"/>
  <c r="CS187" i="4"/>
  <c r="CS179" i="4"/>
  <c r="CS155" i="4"/>
  <c r="CS147" i="4"/>
  <c r="CS123" i="4"/>
  <c r="CS107" i="4"/>
  <c r="CS99" i="4"/>
  <c r="CS73" i="4"/>
  <c r="CS66" i="4"/>
  <c r="CS50" i="4"/>
  <c r="CS45" i="4"/>
  <c r="CS27" i="4"/>
  <c r="CS22" i="4"/>
  <c r="CS15" i="4"/>
  <c r="CS194" i="4"/>
  <c r="CS186" i="4"/>
  <c r="CS178" i="4"/>
  <c r="CS170" i="4"/>
  <c r="CS162" i="4"/>
  <c r="CS154" i="4"/>
  <c r="CS146" i="4"/>
  <c r="CS138" i="4"/>
  <c r="CS130" i="4"/>
  <c r="CS114" i="4"/>
  <c r="CS98" i="4"/>
  <c r="CS80" i="4"/>
  <c r="CS65" i="4"/>
  <c r="CS54" i="4"/>
  <c r="CS44" i="4"/>
  <c r="CS31" i="4"/>
  <c r="CS20" i="4"/>
  <c r="CS183" i="4"/>
  <c r="CS159" i="4"/>
  <c r="CS151" i="4"/>
  <c r="CS127" i="4"/>
  <c r="CS111" i="4"/>
  <c r="CS85" i="4"/>
  <c r="CS69" i="4"/>
  <c r="CS48" i="4"/>
  <c r="CS24" i="4"/>
  <c r="CS191" i="4"/>
  <c r="CS175" i="4"/>
  <c r="CS167" i="4"/>
  <c r="CS143" i="4"/>
  <c r="CS135" i="4"/>
  <c r="CS103" i="4"/>
  <c r="CS77" i="4"/>
  <c r="CS58" i="4"/>
  <c r="CS42" i="4"/>
  <c r="CS19" i="4"/>
  <c r="CS6" i="4"/>
  <c r="CN195" i="4"/>
  <c r="CN191" i="4"/>
  <c r="CN187" i="4"/>
  <c r="CN183" i="4"/>
  <c r="CN179" i="4"/>
  <c r="CN175" i="4"/>
  <c r="CN171" i="4"/>
  <c r="CN167" i="4"/>
  <c r="CN163" i="4"/>
  <c r="CN159" i="4"/>
  <c r="CN155" i="4"/>
  <c r="CN151" i="4"/>
  <c r="CN147" i="4"/>
  <c r="CN143" i="4"/>
  <c r="CN139" i="4"/>
  <c r="CN135" i="4"/>
  <c r="CN131" i="4"/>
  <c r="CN127" i="4"/>
  <c r="CN117" i="4"/>
  <c r="CN74" i="4"/>
  <c r="CN27" i="4"/>
  <c r="CN11" i="4"/>
  <c r="CN194" i="4"/>
  <c r="CN190" i="4"/>
  <c r="CN186" i="4"/>
  <c r="CN182" i="4"/>
  <c r="CN178" i="4"/>
  <c r="CN174" i="4"/>
  <c r="CN170" i="4"/>
  <c r="CN166" i="4"/>
  <c r="CN162" i="4"/>
  <c r="CN158" i="4"/>
  <c r="CN154" i="4"/>
  <c r="CN150" i="4"/>
  <c r="CN146" i="4"/>
  <c r="CN142" i="4"/>
  <c r="CN138" i="4"/>
  <c r="CN134" i="4"/>
  <c r="CN130" i="4"/>
  <c r="CN126" i="4"/>
  <c r="CN113" i="4"/>
  <c r="CN62" i="4"/>
  <c r="CN26" i="4"/>
  <c r="CN193" i="4"/>
  <c r="CN189" i="4"/>
  <c r="CN185" i="4"/>
  <c r="CN181" i="4"/>
  <c r="CN177" i="4"/>
  <c r="CN173" i="4"/>
  <c r="CN169" i="4"/>
  <c r="CN165" i="4"/>
  <c r="CN161" i="4"/>
  <c r="CN157" i="4"/>
  <c r="CN153" i="4"/>
  <c r="CN149" i="4"/>
  <c r="CN145" i="4"/>
  <c r="CN141" i="4"/>
  <c r="CN137" i="4"/>
  <c r="CN133" i="4"/>
  <c r="CN129" i="4"/>
  <c r="CN125" i="4"/>
  <c r="CN112" i="4"/>
  <c r="CN61" i="4"/>
  <c r="CN23" i="4"/>
  <c r="BR112" i="4"/>
  <c r="CN192" i="4"/>
  <c r="CN188" i="4"/>
  <c r="CN184" i="4"/>
  <c r="CN180" i="4"/>
  <c r="CN176" i="4"/>
  <c r="CN172" i="4"/>
  <c r="CN168" i="4"/>
  <c r="CN164" i="4"/>
  <c r="CN160" i="4"/>
  <c r="CN156" i="4"/>
  <c r="CN152" i="4"/>
  <c r="CN148" i="4"/>
  <c r="CN144" i="4"/>
  <c r="CN140" i="4"/>
  <c r="CN136" i="4"/>
  <c r="CN132" i="4"/>
  <c r="CN128" i="4"/>
  <c r="CN123" i="4"/>
  <c r="CN81" i="4"/>
  <c r="CN36" i="4"/>
  <c r="CN22" i="4"/>
  <c r="BM134" i="4"/>
  <c r="BH136" i="4"/>
  <c r="Q97" i="3"/>
  <c r="P97" i="3"/>
  <c r="BG11" i="1"/>
  <c r="N7" i="5"/>
  <c r="O30" i="5"/>
  <c r="BH134" i="4"/>
  <c r="BM112" i="4"/>
  <c r="BR113" i="4"/>
  <c r="BH112" i="4"/>
  <c r="BH11" i="1"/>
  <c r="O7" i="5"/>
  <c r="N30" i="5"/>
  <c r="BH135" i="4"/>
  <c r="BW112" i="4"/>
  <c r="BM136" i="4"/>
  <c r="CB113" i="4"/>
  <c r="BH113" i="4"/>
  <c r="BM135" i="4"/>
  <c r="BW113" i="4"/>
  <c r="CB112" i="4"/>
  <c r="CN98" i="4"/>
  <c r="CG4" i="4"/>
  <c r="CG105" i="4"/>
  <c r="CN105" i="4"/>
  <c r="CG56" i="4"/>
  <c r="CN56" i="4"/>
  <c r="CG44" i="4"/>
  <c r="CN44" i="4"/>
  <c r="BG4" i="2"/>
  <c r="CG37" i="4"/>
  <c r="BM37" i="4"/>
  <c r="BH37" i="4"/>
  <c r="BR37" i="4"/>
  <c r="CB134" i="4"/>
  <c r="CB135" i="4"/>
  <c r="CB136" i="4"/>
  <c r="BR134" i="4"/>
  <c r="BR135" i="4"/>
  <c r="BR136" i="4"/>
  <c r="CG112" i="4"/>
  <c r="BW134" i="4"/>
  <c r="BW135" i="4"/>
  <c r="BW136" i="4"/>
  <c r="CG113" i="4"/>
  <c r="CG134" i="4"/>
  <c r="CG135" i="4"/>
  <c r="CG136" i="4"/>
  <c r="Q72" i="3"/>
  <c r="P72" i="3"/>
  <c r="O10" i="5"/>
  <c r="N10" i="5"/>
  <c r="Q66" i="3"/>
  <c r="P66" i="3"/>
  <c r="P24" i="3"/>
  <c r="Q24" i="3"/>
  <c r="P67" i="3"/>
  <c r="Q67" i="3"/>
  <c r="P65" i="3"/>
  <c r="Q65" i="3"/>
  <c r="P54" i="3"/>
  <c r="Q54" i="3"/>
  <c r="Q29" i="3"/>
  <c r="P29" i="3"/>
  <c r="O4" i="5"/>
  <c r="N4" i="5"/>
  <c r="P16" i="3"/>
  <c r="Q16" i="3"/>
  <c r="Q25" i="3"/>
  <c r="P25" i="3"/>
  <c r="P70" i="3"/>
  <c r="Q70" i="3"/>
  <c r="P41" i="3"/>
  <c r="Q41" i="3"/>
  <c r="O8" i="5"/>
  <c r="N8" i="5"/>
  <c r="Q48" i="3"/>
  <c r="P48" i="3"/>
  <c r="Q17" i="3"/>
  <c r="P17" i="3"/>
  <c r="P39" i="3"/>
  <c r="Q39" i="3"/>
  <c r="P73" i="3"/>
  <c r="Q73" i="3"/>
  <c r="Q56" i="3"/>
  <c r="P56" i="3"/>
  <c r="P4" i="3"/>
  <c r="Q4" i="3"/>
  <c r="P77" i="3"/>
  <c r="Q77" i="3"/>
  <c r="Q76" i="3"/>
  <c r="P76" i="3"/>
  <c r="O26" i="5"/>
  <c r="N26" i="5"/>
  <c r="O13" i="5"/>
  <c r="N13" i="5"/>
  <c r="N12" i="5"/>
  <c r="O12" i="5"/>
  <c r="O11" i="5"/>
  <c r="N11" i="5"/>
  <c r="O46" i="5"/>
  <c r="N46" i="5"/>
  <c r="O15" i="5"/>
  <c r="N15" i="5"/>
  <c r="N32" i="5"/>
  <c r="O32" i="5"/>
  <c r="P96" i="3"/>
  <c r="Q96" i="3"/>
  <c r="Q84" i="3"/>
  <c r="P84" i="3"/>
  <c r="P93" i="3"/>
  <c r="Q93" i="3"/>
  <c r="O51" i="5"/>
  <c r="N51" i="5"/>
  <c r="P90" i="3"/>
  <c r="Q90" i="3"/>
  <c r="O29" i="5"/>
  <c r="N29" i="5"/>
  <c r="O31" i="5"/>
  <c r="N31" i="5"/>
  <c r="Q94" i="3"/>
  <c r="P94" i="3"/>
  <c r="Q58" i="3"/>
  <c r="P58" i="3"/>
  <c r="P43" i="3"/>
  <c r="Q43" i="3"/>
  <c r="Q7" i="3"/>
  <c r="P7" i="3"/>
  <c r="Q44" i="3"/>
  <c r="P44" i="3"/>
  <c r="Q15" i="3"/>
  <c r="P15" i="3"/>
  <c r="P20" i="3"/>
  <c r="Q20" i="3"/>
  <c r="Q13" i="3"/>
  <c r="P13" i="3"/>
  <c r="P62" i="3"/>
  <c r="Q62" i="3"/>
  <c r="P69" i="3"/>
  <c r="Q69" i="3"/>
  <c r="P18" i="3"/>
  <c r="Q18" i="3"/>
  <c r="P75" i="3"/>
  <c r="Q75" i="3"/>
  <c r="Q82" i="3"/>
  <c r="P82" i="3"/>
  <c r="Q80" i="3"/>
  <c r="P80" i="3"/>
  <c r="N14" i="5"/>
  <c r="O14" i="5"/>
  <c r="O38" i="5"/>
  <c r="N38" i="5"/>
  <c r="Q88" i="3"/>
  <c r="P88" i="3"/>
  <c r="N48" i="5"/>
  <c r="O48" i="5"/>
  <c r="N50" i="5"/>
  <c r="O50" i="5"/>
  <c r="O27" i="5"/>
  <c r="N27" i="5"/>
  <c r="O28" i="5"/>
  <c r="N28" i="5"/>
  <c r="Q110" i="3"/>
  <c r="P110" i="3"/>
  <c r="O47" i="5"/>
  <c r="N47" i="5"/>
  <c r="O34" i="5"/>
  <c r="N34" i="5"/>
  <c r="P12" i="3"/>
  <c r="Q12" i="3"/>
  <c r="P45" i="3"/>
  <c r="Q45" i="3"/>
  <c r="P38" i="3"/>
  <c r="Q38" i="3"/>
  <c r="O9" i="5"/>
  <c r="N9" i="5"/>
  <c r="Q52" i="3"/>
  <c r="P52" i="3"/>
  <c r="P51" i="3"/>
  <c r="Q51" i="3"/>
  <c r="O21" i="5"/>
  <c r="N21" i="5"/>
  <c r="Q42" i="3"/>
  <c r="P42" i="3"/>
  <c r="P49" i="3"/>
  <c r="Q49" i="3"/>
  <c r="Q68" i="3"/>
  <c r="P68" i="3"/>
  <c r="P55" i="3"/>
  <c r="Q55" i="3"/>
  <c r="P8" i="3"/>
  <c r="Q8" i="3"/>
  <c r="P63" i="3"/>
  <c r="Q63" i="3"/>
  <c r="O22" i="5"/>
  <c r="N22" i="5"/>
  <c r="P57" i="3"/>
  <c r="Q57" i="3"/>
  <c r="P78" i="3"/>
  <c r="Q78" i="3"/>
  <c r="P19" i="3"/>
  <c r="Q19" i="3"/>
  <c r="P14" i="3"/>
  <c r="Q14" i="3"/>
  <c r="Q5" i="3"/>
  <c r="P5" i="3"/>
  <c r="Q40" i="3"/>
  <c r="P40" i="3"/>
  <c r="O25" i="5"/>
  <c r="N25" i="5"/>
  <c r="O23" i="5"/>
  <c r="N23" i="5"/>
  <c r="O33" i="5"/>
  <c r="N33" i="5"/>
  <c r="N42" i="5"/>
  <c r="O42" i="5"/>
  <c r="Q87" i="3"/>
  <c r="P87" i="3"/>
  <c r="O53" i="5"/>
  <c r="N53" i="5"/>
  <c r="P91" i="3"/>
  <c r="Q91" i="3"/>
  <c r="P46" i="3"/>
  <c r="Q46" i="3"/>
  <c r="P6" i="3"/>
  <c r="Q6" i="3"/>
  <c r="P79" i="3"/>
  <c r="Q79" i="3"/>
  <c r="P47" i="3"/>
  <c r="Q47" i="3"/>
  <c r="Q64" i="3"/>
  <c r="P64" i="3"/>
  <c r="P53" i="3"/>
  <c r="Q53" i="3"/>
  <c r="P28" i="3"/>
  <c r="Q28" i="3"/>
  <c r="P83" i="3"/>
  <c r="Q83" i="3"/>
  <c r="O35" i="5"/>
  <c r="N35" i="5"/>
  <c r="P85" i="3"/>
  <c r="Q85" i="3"/>
  <c r="P99" i="3"/>
  <c r="Q99" i="3"/>
  <c r="P86" i="3"/>
  <c r="Q86" i="3"/>
  <c r="Q92" i="3"/>
  <c r="P92" i="3"/>
  <c r="P89" i="3"/>
  <c r="Q89" i="3"/>
  <c r="P95" i="3"/>
  <c r="Q95" i="3"/>
  <c r="CG108" i="4"/>
  <c r="CG40" i="4"/>
  <c r="CG77" i="4"/>
  <c r="CG120" i="4"/>
  <c r="CG66" i="4"/>
  <c r="CG29" i="4"/>
  <c r="CG25" i="4"/>
  <c r="CG73" i="4"/>
  <c r="CG114" i="4"/>
  <c r="CG13" i="4"/>
  <c r="CG48" i="4"/>
  <c r="CG52" i="4"/>
  <c r="CG21" i="4"/>
  <c r="CG35" i="4"/>
  <c r="CG92" i="4"/>
  <c r="CG88" i="4"/>
  <c r="CG17" i="4"/>
  <c r="CG70" i="4"/>
  <c r="CG106" i="4"/>
  <c r="CG84" i="4"/>
  <c r="CG79" i="4"/>
  <c r="CG121" i="4"/>
  <c r="CG169" i="4"/>
  <c r="CG157" i="4"/>
  <c r="CG133" i="4"/>
  <c r="CG62" i="4"/>
  <c r="CG185" i="4"/>
  <c r="CG153" i="4"/>
  <c r="CG181" i="4"/>
  <c r="CG149" i="4"/>
  <c r="CG177" i="4"/>
  <c r="CG145" i="4"/>
  <c r="CG173" i="4"/>
  <c r="CG141" i="4"/>
  <c r="CG165" i="4"/>
  <c r="CG130" i="4"/>
  <c r="CG161" i="4"/>
  <c r="CG125" i="4"/>
  <c r="BH88" i="2"/>
  <c r="BG88" i="2"/>
  <c r="BG78" i="2"/>
  <c r="BH78" i="2"/>
  <c r="BG98" i="2"/>
  <c r="BH98" i="2"/>
  <c r="BG18" i="2"/>
  <c r="BH18" i="2"/>
  <c r="BH57" i="2"/>
  <c r="BG57" i="2"/>
  <c r="BG110" i="2"/>
  <c r="BH110" i="2"/>
  <c r="BH17" i="2"/>
  <c r="BG17" i="2"/>
  <c r="BH83" i="2"/>
  <c r="BG83" i="2"/>
  <c r="BH14" i="2"/>
  <c r="BG14" i="2"/>
  <c r="BG86" i="2"/>
  <c r="BH86" i="2"/>
  <c r="BG70" i="2"/>
  <c r="BH70" i="2"/>
  <c r="BH15" i="2"/>
  <c r="BG15" i="2"/>
  <c r="BG8" i="2"/>
  <c r="BH8" i="2"/>
  <c r="BG53" i="2"/>
  <c r="BH53" i="2"/>
  <c r="BH56" i="2"/>
  <c r="BG56" i="2"/>
  <c r="BH13" i="2"/>
  <c r="BG13" i="2"/>
  <c r="BH75" i="2"/>
  <c r="BG75" i="2"/>
  <c r="BH28" i="2"/>
  <c r="BG28" i="2"/>
  <c r="BG94" i="2"/>
  <c r="BH94" i="2"/>
  <c r="BH89" i="2"/>
  <c r="BG89" i="2"/>
  <c r="BH109" i="2"/>
  <c r="BG109" i="2"/>
  <c r="BH42" i="2"/>
  <c r="BG42" i="2"/>
  <c r="BH118" i="2"/>
  <c r="BG118" i="2"/>
  <c r="BG19" i="2"/>
  <c r="BH19" i="2"/>
  <c r="BH60" i="2"/>
  <c r="BG60" i="2"/>
  <c r="BH39" i="2"/>
  <c r="BG39" i="2"/>
  <c r="BH66" i="2"/>
  <c r="BG66" i="2"/>
  <c r="BH5" i="2"/>
  <c r="BG5" i="2"/>
  <c r="BH49" i="2"/>
  <c r="BG49" i="2"/>
  <c r="BH52" i="2"/>
  <c r="BG52" i="2"/>
  <c r="BH7" i="2"/>
  <c r="BG7" i="2"/>
  <c r="BH71" i="2"/>
  <c r="BG71" i="2"/>
  <c r="BH24" i="2"/>
  <c r="BG24" i="2"/>
  <c r="BH79" i="2"/>
  <c r="BG79" i="2"/>
  <c r="BH87" i="2"/>
  <c r="BG87" i="2"/>
  <c r="BH107" i="2"/>
  <c r="BG107" i="2"/>
  <c r="BG61" i="2"/>
  <c r="BH61" i="2"/>
  <c r="BH68" i="2"/>
  <c r="BG68" i="2"/>
  <c r="BG45" i="2"/>
  <c r="BH45" i="2"/>
  <c r="BH48" i="2"/>
  <c r="BG48" i="2"/>
  <c r="BG38" i="2"/>
  <c r="BH38" i="2"/>
  <c r="BH43" i="2"/>
  <c r="BG43" i="2"/>
  <c r="BH73" i="2"/>
  <c r="BG73" i="2"/>
  <c r="BH84" i="2"/>
  <c r="BG84" i="2"/>
  <c r="BH55" i="2"/>
  <c r="BG55" i="2"/>
  <c r="BH16" i="2"/>
  <c r="BG16" i="2"/>
  <c r="BH25" i="2"/>
  <c r="BG25" i="2"/>
  <c r="BH58" i="2"/>
  <c r="BG58" i="2"/>
  <c r="BH4" i="2"/>
  <c r="BH67" i="2"/>
  <c r="BG67" i="2"/>
  <c r="BH20" i="2"/>
  <c r="BG20" i="2"/>
  <c r="BH80" i="2"/>
  <c r="BG80" i="2"/>
  <c r="BG113" i="2"/>
  <c r="BH113" i="2"/>
  <c r="BG54" i="2"/>
  <c r="BH54" i="2"/>
  <c r="BH41" i="2"/>
  <c r="BG41" i="2"/>
  <c r="BH44" i="2"/>
  <c r="BG44" i="2"/>
  <c r="BG46" i="2"/>
  <c r="BH46" i="2"/>
  <c r="BG69" i="2"/>
  <c r="BH69" i="2"/>
  <c r="BH76" i="2"/>
  <c r="BG76" i="2"/>
  <c r="BH40" i="2"/>
  <c r="BG40" i="2"/>
  <c r="BH51" i="2"/>
  <c r="BG51" i="2"/>
  <c r="BH12" i="2"/>
  <c r="BG12" i="2"/>
  <c r="BH95" i="2"/>
  <c r="BG95" i="2"/>
  <c r="BH65" i="2"/>
  <c r="BG65" i="2"/>
  <c r="BH72" i="2"/>
  <c r="BG72" i="2"/>
  <c r="BH29" i="2"/>
  <c r="BG29" i="2"/>
  <c r="BH47" i="2"/>
  <c r="BG47" i="2"/>
  <c r="BH6" i="2"/>
  <c r="BG6" i="2"/>
  <c r="BG85" i="2"/>
  <c r="BH85" i="2"/>
  <c r="BH99" i="2"/>
  <c r="BG99" i="2"/>
  <c r="BH14" i="1"/>
  <c r="BG14" i="1"/>
  <c r="BG8" i="1"/>
  <c r="BH8" i="1"/>
  <c r="BG29" i="1"/>
  <c r="BH29" i="1"/>
  <c r="BG16" i="1"/>
  <c r="BH16" i="1"/>
  <c r="BG47" i="1"/>
  <c r="BH47" i="1"/>
  <c r="BG13" i="1"/>
  <c r="BH13" i="1"/>
  <c r="BG9" i="1"/>
  <c r="BH9" i="1"/>
  <c r="BH7" i="1"/>
  <c r="BG7" i="1"/>
  <c r="BH42" i="1"/>
  <c r="BG42" i="1"/>
  <c r="BH50" i="1"/>
  <c r="BG50" i="1"/>
  <c r="BG45" i="1"/>
  <c r="BH45" i="1"/>
  <c r="BG4" i="1"/>
  <c r="BH4" i="1"/>
  <c r="BG12" i="1"/>
  <c r="BH12" i="1"/>
  <c r="BG17" i="1"/>
  <c r="BH17" i="1"/>
  <c r="BG15" i="1"/>
  <c r="BH15" i="1"/>
  <c r="BG19" i="1"/>
  <c r="BH19" i="1"/>
  <c r="BG56" i="1"/>
  <c r="BH56" i="1"/>
  <c r="BH46" i="1"/>
  <c r="BG46" i="1"/>
  <c r="BG28" i="1"/>
  <c r="BH28" i="1"/>
  <c r="BH18" i="1"/>
  <c r="BG18" i="1"/>
  <c r="BR175" i="4"/>
  <c r="CG7" i="4"/>
  <c r="CG193" i="4"/>
  <c r="CG189" i="4"/>
  <c r="CG98" i="4"/>
  <c r="CG192" i="4"/>
  <c r="CG188" i="4"/>
  <c r="CG184" i="4"/>
  <c r="CG180" i="4"/>
  <c r="CG176" i="4"/>
  <c r="CG172" i="4"/>
  <c r="CG168" i="4"/>
  <c r="CG164" i="4"/>
  <c r="CG160" i="4"/>
  <c r="CG156" i="4"/>
  <c r="CG152" i="4"/>
  <c r="CG148" i="4"/>
  <c r="CG144" i="4"/>
  <c r="CG140" i="4"/>
  <c r="CG132" i="4"/>
  <c r="CG129" i="4"/>
  <c r="CG119" i="4"/>
  <c r="CG116" i="4"/>
  <c r="CG124" i="4"/>
  <c r="CG111" i="4"/>
  <c r="CG100" i="4"/>
  <c r="CG104" i="4"/>
  <c r="CG97" i="4"/>
  <c r="CG91" i="4"/>
  <c r="CG87" i="4"/>
  <c r="CG83" i="4"/>
  <c r="CG76" i="4"/>
  <c r="CG72" i="4"/>
  <c r="CG69" i="4"/>
  <c r="CG65" i="4"/>
  <c r="CG61" i="4"/>
  <c r="CG59" i="4"/>
  <c r="CG55" i="4"/>
  <c r="CG51" i="4"/>
  <c r="CG47" i="4"/>
  <c r="CG43" i="4"/>
  <c r="CG39" i="4"/>
  <c r="CG32" i="4"/>
  <c r="CG28" i="4"/>
  <c r="CG24" i="4"/>
  <c r="CG20" i="4"/>
  <c r="CG16" i="4"/>
  <c r="CG12" i="4"/>
  <c r="CG6" i="4"/>
  <c r="CG195" i="4"/>
  <c r="CG191" i="4"/>
  <c r="CG187" i="4"/>
  <c r="CG183" i="4"/>
  <c r="CG179" i="4"/>
  <c r="CG175" i="4"/>
  <c r="CG171" i="4"/>
  <c r="CG167" i="4"/>
  <c r="CG163" i="4"/>
  <c r="CG159" i="4"/>
  <c r="CG155" i="4"/>
  <c r="CG151" i="4"/>
  <c r="CG147" i="4"/>
  <c r="CG143" i="4"/>
  <c r="CG139" i="4"/>
  <c r="CG131" i="4"/>
  <c r="CG122" i="4"/>
  <c r="CG127" i="4"/>
  <c r="CG117" i="4"/>
  <c r="CG123" i="4"/>
  <c r="CG110" i="4"/>
  <c r="CG99" i="4"/>
  <c r="CG103" i="4"/>
  <c r="CG94" i="4"/>
  <c r="CG90" i="4"/>
  <c r="CG86" i="4"/>
  <c r="CG82" i="4"/>
  <c r="CG75" i="4"/>
  <c r="CG68" i="4"/>
  <c r="CG64" i="4"/>
  <c r="CG60" i="4"/>
  <c r="CG58" i="4"/>
  <c r="CG54" i="4"/>
  <c r="CG50" i="4"/>
  <c r="CG46" i="4"/>
  <c r="CG42" i="4"/>
  <c r="CG38" i="4"/>
  <c r="CG31" i="4"/>
  <c r="CG27" i="4"/>
  <c r="CG23" i="4"/>
  <c r="CG19" i="4"/>
  <c r="CG15" i="4"/>
  <c r="CG11" i="4"/>
  <c r="CG5" i="4"/>
  <c r="CG194" i="4"/>
  <c r="CG190" i="4"/>
  <c r="CG186" i="4"/>
  <c r="CG182" i="4"/>
  <c r="CG178" i="4"/>
  <c r="CG174" i="4"/>
  <c r="CG170" i="4"/>
  <c r="CG166" i="4"/>
  <c r="CG162" i="4"/>
  <c r="CG158" i="4"/>
  <c r="CG154" i="4"/>
  <c r="CG150" i="4"/>
  <c r="CG146" i="4"/>
  <c r="CG142" i="4"/>
  <c r="CG138" i="4"/>
  <c r="CG137" i="4"/>
  <c r="CG128" i="4"/>
  <c r="CG118" i="4"/>
  <c r="CG126" i="4"/>
  <c r="CG115" i="4"/>
  <c r="CG109" i="4"/>
  <c r="CG107" i="4"/>
  <c r="CG101" i="4"/>
  <c r="CG102" i="4"/>
  <c r="CG93" i="4"/>
  <c r="CG89" i="4"/>
  <c r="CG85" i="4"/>
  <c r="CG81" i="4"/>
  <c r="CG74" i="4"/>
  <c r="CG71" i="4"/>
  <c r="CG67" i="4"/>
  <c r="CG63" i="4"/>
  <c r="CG80" i="4"/>
  <c r="CG57" i="4"/>
  <c r="CG53" i="4"/>
  <c r="CG49" i="4"/>
  <c r="CG45" i="4"/>
  <c r="CG41" i="4"/>
  <c r="CG36" i="4"/>
  <c r="CG30" i="4"/>
  <c r="CG26" i="4"/>
  <c r="CG22" i="4"/>
  <c r="CG18" i="4"/>
  <c r="CG14" i="4"/>
  <c r="CG8" i="4"/>
  <c r="CB4" i="4"/>
  <c r="BR152" i="4"/>
  <c r="BC165" i="4"/>
  <c r="BH187" i="4"/>
  <c r="BC180" i="4"/>
  <c r="BC129" i="4"/>
  <c r="BC186" i="4"/>
  <c r="BR185" i="4"/>
  <c r="BH26" i="4"/>
  <c r="CB19" i="4"/>
  <c r="BC148" i="4"/>
  <c r="BC83" i="4"/>
  <c r="BR26" i="4"/>
  <c r="BR22" i="4"/>
  <c r="BR178" i="4"/>
  <c r="BM137" i="4"/>
  <c r="BC142" i="4"/>
  <c r="BC162" i="4"/>
  <c r="BC144" i="4"/>
  <c r="CB29" i="4"/>
  <c r="CB43" i="4"/>
  <c r="BM81" i="4"/>
  <c r="BR126" i="4"/>
  <c r="BR162" i="4"/>
  <c r="BC187" i="4"/>
  <c r="CB30" i="4"/>
  <c r="BR142" i="4"/>
  <c r="BC26" i="4"/>
  <c r="BR133" i="4"/>
  <c r="BC139" i="4"/>
  <c r="BC110" i="4"/>
  <c r="BM22" i="4"/>
  <c r="CB118" i="4"/>
  <c r="BR122" i="4"/>
  <c r="BR163" i="4"/>
  <c r="BC188" i="4"/>
  <c r="BC166" i="4"/>
  <c r="BR167" i="4"/>
  <c r="BR81" i="4"/>
  <c r="BR168" i="4"/>
  <c r="BC143" i="4"/>
  <c r="BR179" i="4"/>
  <c r="BR62" i="4"/>
  <c r="BC126" i="4"/>
  <c r="BR139" i="4"/>
  <c r="BC22" i="4"/>
  <c r="BC175" i="4"/>
  <c r="BH141" i="4"/>
  <c r="CB38" i="4"/>
  <c r="CB6" i="4"/>
  <c r="CB120" i="4"/>
  <c r="CB121" i="4"/>
  <c r="BC94" i="4"/>
  <c r="BR82" i="4"/>
  <c r="BC177" i="4"/>
  <c r="BH175" i="4"/>
  <c r="BR83" i="4"/>
  <c r="BC195" i="4"/>
  <c r="CB44" i="4"/>
  <c r="BR180" i="4"/>
  <c r="BR110" i="4"/>
  <c r="BR177" i="4"/>
  <c r="BC152" i="4"/>
  <c r="BM62" i="4"/>
  <c r="BR141" i="4"/>
  <c r="BC138" i="4"/>
  <c r="BR143" i="4"/>
  <c r="BC61" i="4"/>
  <c r="BC179" i="4"/>
  <c r="BC192" i="4"/>
  <c r="CB7" i="4"/>
  <c r="CB72" i="4"/>
  <c r="BR94" i="4"/>
  <c r="CB25" i="4"/>
  <c r="CB75" i="4"/>
  <c r="CB101" i="4"/>
  <c r="CB76" i="4"/>
  <c r="CB32" i="4"/>
  <c r="BC23" i="4"/>
  <c r="BM140" i="4"/>
  <c r="BR137" i="4"/>
  <c r="BR192" i="4"/>
  <c r="BC171" i="4"/>
  <c r="BC62" i="4"/>
  <c r="BR176" i="4"/>
  <c r="BC168" i="4"/>
  <c r="BR165" i="4"/>
  <c r="BC132" i="4"/>
  <c r="BC189" i="4"/>
  <c r="BH163" i="4"/>
  <c r="CB47" i="4"/>
  <c r="CB13" i="4"/>
  <c r="CB48" i="4"/>
  <c r="CB53" i="4"/>
  <c r="CB8" i="4"/>
  <c r="CB16" i="4"/>
  <c r="CB64" i="4"/>
  <c r="CB74" i="4"/>
  <c r="CB185" i="4"/>
  <c r="CB60" i="4"/>
  <c r="BR61" i="4"/>
  <c r="BM92" i="4"/>
  <c r="BR144" i="4"/>
  <c r="BR92" i="4"/>
  <c r="BR140" i="4"/>
  <c r="BC92" i="4"/>
  <c r="BW92" i="4"/>
  <c r="BH92" i="4"/>
  <c r="CB67" i="4"/>
  <c r="CB49" i="4"/>
  <c r="CB28" i="4"/>
  <c r="CB86" i="4"/>
  <c r="CB31" i="4"/>
  <c r="CB73" i="4"/>
  <c r="BC167" i="4"/>
  <c r="BC137" i="4"/>
  <c r="BR138" i="4"/>
  <c r="BC27" i="4"/>
  <c r="BC178" i="4"/>
  <c r="BC141" i="4"/>
  <c r="BR189" i="4"/>
  <c r="BC185" i="4"/>
  <c r="BR171" i="4"/>
  <c r="BC140" i="4"/>
  <c r="BC194" i="4"/>
  <c r="BR132" i="4"/>
  <c r="CB12" i="4"/>
  <c r="CB51" i="4"/>
  <c r="CB104" i="4"/>
  <c r="CB105" i="4"/>
  <c r="BC114" i="4"/>
  <c r="CB119" i="4"/>
  <c r="CB103" i="4"/>
  <c r="CB63" i="4"/>
  <c r="CB87" i="4"/>
  <c r="CB102" i="4"/>
  <c r="CB107" i="4"/>
  <c r="CB115" i="4"/>
  <c r="CB84" i="4"/>
  <c r="CB65" i="4"/>
  <c r="CB45" i="4"/>
  <c r="CB79" i="4"/>
  <c r="CB68" i="4"/>
  <c r="CB97" i="4"/>
  <c r="BR23" i="4"/>
  <c r="BC163" i="4"/>
  <c r="BR148" i="4"/>
  <c r="BC117" i="4"/>
  <c r="BC193" i="4"/>
  <c r="BC176" i="4"/>
  <c r="BC81" i="4"/>
  <c r="BR27" i="4"/>
  <c r="BR186" i="4"/>
  <c r="BC155" i="4"/>
  <c r="BC191" i="4"/>
  <c r="BR155" i="4"/>
  <c r="CB14" i="4"/>
  <c r="CB80" i="4"/>
  <c r="CB15" i="4"/>
  <c r="CB46" i="4"/>
  <c r="CB54" i="4"/>
  <c r="CB99" i="4"/>
  <c r="CB77" i="4"/>
  <c r="CB124" i="4"/>
  <c r="CB50" i="4"/>
  <c r="BR114" i="4"/>
  <c r="BH108" i="4"/>
  <c r="CB161" i="4"/>
  <c r="BR108" i="4"/>
  <c r="CB108" i="4"/>
  <c r="BC108" i="4"/>
  <c r="BM108" i="4"/>
  <c r="BW108" i="4"/>
  <c r="CB116" i="4"/>
  <c r="EH45" i="4"/>
  <c r="EH54" i="4"/>
  <c r="EH70" i="4"/>
  <c r="BC82" i="4"/>
  <c r="CB166" i="4"/>
  <c r="CB169" i="4"/>
  <c r="CB11" i="4"/>
  <c r="CB170" i="4"/>
  <c r="CB59" i="4"/>
  <c r="CB171" i="4"/>
  <c r="BW82" i="4"/>
  <c r="CB61" i="4"/>
  <c r="CB172" i="4"/>
  <c r="BH82" i="4"/>
  <c r="CB81" i="4"/>
  <c r="CB186" i="4"/>
  <c r="CB132" i="4"/>
  <c r="CB187" i="4"/>
  <c r="CB133" i="4"/>
  <c r="CB188" i="4"/>
  <c r="CB82" i="4"/>
  <c r="CB138" i="4"/>
  <c r="CB189" i="4"/>
  <c r="BM82" i="4"/>
  <c r="CB142" i="4"/>
  <c r="CB193" i="4"/>
  <c r="CB145" i="4"/>
  <c r="CB195" i="4"/>
  <c r="CB150" i="4"/>
  <c r="CB151" i="4"/>
  <c r="CB154" i="4"/>
  <c r="EH19" i="4"/>
  <c r="EH39" i="4"/>
  <c r="EH41" i="4"/>
  <c r="EH89" i="4"/>
  <c r="EH18" i="4"/>
  <c r="CB83" i="4"/>
  <c r="CB152" i="4"/>
  <c r="CB173" i="4"/>
  <c r="CB177" i="4"/>
  <c r="CB123" i="4"/>
  <c r="CB153" i="4"/>
  <c r="CB174" i="4"/>
  <c r="CB125" i="4"/>
  <c r="CB126" i="4"/>
  <c r="CB155" i="4"/>
  <c r="CB182" i="4"/>
  <c r="CB117" i="4"/>
  <c r="CB156" i="4"/>
  <c r="CB183" i="4"/>
  <c r="CB137" i="4"/>
  <c r="CB157" i="4"/>
  <c r="CB184" i="4"/>
  <c r="CB131" i="4"/>
  <c r="CB158" i="4"/>
  <c r="CB160" i="4"/>
  <c r="CB26" i="4"/>
  <c r="CB140" i="4"/>
  <c r="CB167" i="4"/>
  <c r="CB27" i="4"/>
  <c r="CB141" i="4"/>
  <c r="CB168" i="4"/>
  <c r="CB190" i="4"/>
  <c r="EH51" i="4"/>
  <c r="EH17" i="4"/>
  <c r="BM120" i="4"/>
  <c r="BW94" i="4"/>
  <c r="CB17" i="4"/>
  <c r="CB35" i="4"/>
  <c r="CB52" i="4"/>
  <c r="CB66" i="4"/>
  <c r="CB85" i="4"/>
  <c r="CB106" i="4"/>
  <c r="CB127" i="4"/>
  <c r="CB143" i="4"/>
  <c r="CB159" i="4"/>
  <c r="CB175" i="4"/>
  <c r="CB191" i="4"/>
  <c r="CB92" i="4"/>
  <c r="BR93" i="4"/>
  <c r="BH94" i="4"/>
  <c r="CB18" i="4"/>
  <c r="CB36" i="4"/>
  <c r="CB144" i="4"/>
  <c r="CB176" i="4"/>
  <c r="CB192" i="4"/>
  <c r="CB20" i="4"/>
  <c r="CB39" i="4"/>
  <c r="CB55" i="4"/>
  <c r="CB69" i="4"/>
  <c r="CB88" i="4"/>
  <c r="CB109" i="4"/>
  <c r="CB128" i="4"/>
  <c r="CB146" i="4"/>
  <c r="CB162" i="4"/>
  <c r="CB178" i="4"/>
  <c r="CB194" i="4"/>
  <c r="CB21" i="4"/>
  <c r="CB40" i="4"/>
  <c r="CB56" i="4"/>
  <c r="CB70" i="4"/>
  <c r="CB89" i="4"/>
  <c r="CB110" i="4"/>
  <c r="CB122" i="4"/>
  <c r="CB147" i="4"/>
  <c r="CB163" i="4"/>
  <c r="CB179" i="4"/>
  <c r="CB94" i="4"/>
  <c r="CB22" i="4"/>
  <c r="CB41" i="4"/>
  <c r="CB57" i="4"/>
  <c r="CB71" i="4"/>
  <c r="CB90" i="4"/>
  <c r="CB111" i="4"/>
  <c r="CB129" i="4"/>
  <c r="CB148" i="4"/>
  <c r="CB164" i="4"/>
  <c r="CB180" i="4"/>
  <c r="BW93" i="4"/>
  <c r="BM94" i="4"/>
  <c r="CB5" i="4"/>
  <c r="CB23" i="4"/>
  <c r="CB42" i="4"/>
  <c r="CB58" i="4"/>
  <c r="CB91" i="4"/>
  <c r="CB114" i="4"/>
  <c r="CB130" i="4"/>
  <c r="CB149" i="4"/>
  <c r="CB165" i="4"/>
  <c r="CB181" i="4"/>
  <c r="BW4" i="4"/>
  <c r="CB98" i="4"/>
  <c r="CB62" i="4"/>
  <c r="CB139" i="4"/>
  <c r="BC190" i="4"/>
  <c r="CB100" i="4"/>
  <c r="BR107" i="4"/>
  <c r="CB24" i="4"/>
  <c r="BC93" i="4"/>
  <c r="BH93" i="4"/>
  <c r="CB93" i="4"/>
  <c r="BM93" i="4"/>
  <c r="EH40" i="4"/>
  <c r="BR166" i="4"/>
  <c r="EH86" i="4"/>
  <c r="EH12" i="4"/>
  <c r="EH14" i="4"/>
  <c r="BC125" i="4"/>
  <c r="BR120" i="4"/>
  <c r="BC131" i="4"/>
  <c r="BC121" i="4"/>
  <c r="BR130" i="4"/>
  <c r="BH130" i="4"/>
  <c r="BH121" i="4"/>
  <c r="BR119" i="4"/>
  <c r="BC124" i="4"/>
  <c r="EH97" i="4"/>
  <c r="EH75" i="4"/>
  <c r="BC120" i="4"/>
  <c r="BM116" i="4"/>
  <c r="BC130" i="4"/>
  <c r="BC128" i="4"/>
  <c r="BW91" i="4"/>
  <c r="BH91" i="4"/>
  <c r="BC133" i="4"/>
  <c r="BH120" i="4"/>
  <c r="BR123" i="4"/>
  <c r="BR91" i="4"/>
  <c r="EH80" i="4"/>
  <c r="BH109" i="4"/>
  <c r="BR117" i="4"/>
  <c r="BC116" i="4"/>
  <c r="BR124" i="4"/>
  <c r="BC91" i="4"/>
  <c r="BC123" i="4"/>
  <c r="BR127" i="4"/>
  <c r="BC119" i="4"/>
  <c r="BH125" i="4"/>
  <c r="BM91" i="4"/>
  <c r="BC109" i="4"/>
  <c r="BC107" i="4"/>
  <c r="ED57" i="4"/>
  <c r="EH57" i="4" s="1"/>
  <c r="EH85" i="4"/>
  <c r="BR116" i="4"/>
  <c r="BM109" i="4"/>
  <c r="BR109" i="4"/>
  <c r="BC118" i="4"/>
  <c r="BR118" i="4"/>
  <c r="BC127" i="4"/>
  <c r="BR131" i="4"/>
  <c r="BR129" i="4"/>
  <c r="BR125" i="4"/>
  <c r="BR128" i="4"/>
  <c r="BC122" i="4"/>
  <c r="BR121" i="4"/>
  <c r="EH71" i="4"/>
  <c r="ED68" i="4"/>
  <c r="EH68" i="4" s="1"/>
  <c r="ED98" i="4"/>
  <c r="EH98" i="4" s="1"/>
  <c r="ED63" i="4"/>
  <c r="EH63" i="4" s="1"/>
  <c r="ED48" i="4"/>
  <c r="EH48" i="4" s="1"/>
  <c r="ED16" i="4"/>
  <c r="EH16" i="4" s="1"/>
  <c r="ED15" i="4"/>
  <c r="EH15" i="4" s="1"/>
  <c r="ED38" i="4"/>
  <c r="EH38" i="4" s="1"/>
  <c r="ED69" i="4"/>
  <c r="EH69" i="4" s="1"/>
  <c r="ED90" i="4"/>
  <c r="EH90" i="4" s="1"/>
  <c r="ED105" i="4"/>
  <c r="EH105" i="4" s="1"/>
  <c r="ED66" i="4"/>
  <c r="EH66" i="4" s="1"/>
  <c r="ED73" i="4"/>
  <c r="EH73" i="4" s="1"/>
  <c r="ED53" i="4"/>
  <c r="EH53" i="4" s="1"/>
  <c r="ED52" i="4"/>
  <c r="EH52" i="4" s="1"/>
  <c r="ED20" i="4"/>
  <c r="EH20" i="4" s="1"/>
  <c r="ED56" i="4"/>
  <c r="EH56" i="4" s="1"/>
  <c r="ED46" i="4"/>
  <c r="EH46" i="4" s="1"/>
  <c r="ED64" i="4"/>
  <c r="EH64" i="4" s="1"/>
  <c r="ED24" i="4"/>
  <c r="EH24" i="4" s="1"/>
  <c r="ED43" i="4"/>
  <c r="EH43" i="4" s="1"/>
  <c r="ED76" i="4"/>
  <c r="EH76" i="4" s="1"/>
  <c r="ED58" i="4"/>
  <c r="EH58" i="4" s="1"/>
  <c r="ED28" i="4"/>
  <c r="EH28" i="4" s="1"/>
  <c r="ED8" i="4"/>
  <c r="EH8" i="4" s="1"/>
  <c r="ED72" i="4"/>
  <c r="EH72" i="4" s="1"/>
  <c r="ED88" i="4"/>
  <c r="EH88" i="4" s="1"/>
  <c r="ED5" i="4"/>
  <c r="EH5" i="4" s="1"/>
  <c r="ED84" i="4"/>
  <c r="EH84" i="4" s="1"/>
  <c r="ED77" i="4"/>
  <c r="EH77" i="4" s="1"/>
  <c r="ED42" i="4"/>
  <c r="EH42" i="4" s="1"/>
  <c r="ED55" i="4"/>
  <c r="EH55" i="4" s="1"/>
  <c r="ED25" i="4"/>
  <c r="EH25" i="4" s="1"/>
  <c r="ED29" i="4"/>
  <c r="EH29" i="4" s="1"/>
  <c r="ED6" i="4"/>
  <c r="EH6" i="4" s="1"/>
  <c r="ED87" i="4"/>
  <c r="EH87" i="4" s="1"/>
  <c r="ED47" i="4"/>
  <c r="EH47" i="4" s="1"/>
  <c r="ED7" i="4"/>
  <c r="EH7" i="4" s="1"/>
  <c r="ED67" i="4"/>
  <c r="EH67" i="4" s="1"/>
  <c r="ED49" i="4"/>
  <c r="EH49" i="4" s="1"/>
  <c r="ED65" i="4"/>
  <c r="EH65" i="4" s="1"/>
  <c r="ED44" i="4"/>
  <c r="EH44" i="4" s="1"/>
  <c r="ED102" i="4"/>
  <c r="EH102" i="4" s="1"/>
  <c r="ED104" i="4"/>
  <c r="EH104" i="4" s="1"/>
  <c r="ED13" i="4"/>
  <c r="EH13" i="4" s="1"/>
  <c r="ED79" i="4"/>
  <c r="EH79" i="4" s="1"/>
  <c r="ED4" i="4"/>
  <c r="EH4" i="4" s="1"/>
  <c r="BW21" i="4"/>
  <c r="BW40" i="4"/>
  <c r="BW56" i="4"/>
  <c r="BW70" i="4"/>
  <c r="BW89" i="4"/>
  <c r="BW111" i="4"/>
  <c r="BW129" i="4"/>
  <c r="BW148" i="4"/>
  <c r="BW164" i="4"/>
  <c r="BW180" i="4"/>
  <c r="BW190" i="4"/>
  <c r="BW5" i="4"/>
  <c r="BW23" i="4"/>
  <c r="BW42" i="4"/>
  <c r="BW58" i="4"/>
  <c r="BW97" i="4"/>
  <c r="BW115" i="4"/>
  <c r="BW137" i="4"/>
  <c r="BW150" i="4"/>
  <c r="BW166" i="4"/>
  <c r="BW182" i="4"/>
  <c r="BW6" i="4"/>
  <c r="BW24" i="4"/>
  <c r="BW43" i="4"/>
  <c r="BW59" i="4"/>
  <c r="BW72" i="4"/>
  <c r="BW98" i="4"/>
  <c r="BW123" i="4"/>
  <c r="BW131" i="4"/>
  <c r="BW151" i="4"/>
  <c r="BW167" i="4"/>
  <c r="BW183" i="4"/>
  <c r="BW7" i="4"/>
  <c r="BW25" i="4"/>
  <c r="BW44" i="4"/>
  <c r="BW79" i="4"/>
  <c r="BW73" i="4"/>
  <c r="BW102" i="4"/>
  <c r="BW124" i="4"/>
  <c r="BW132" i="4"/>
  <c r="BW152" i="4"/>
  <c r="BW168" i="4"/>
  <c r="BW184" i="4"/>
  <c r="BW191" i="4"/>
  <c r="BW8" i="4"/>
  <c r="BW26" i="4"/>
  <c r="BW45" i="4"/>
  <c r="BW80" i="4"/>
  <c r="BW74" i="4"/>
  <c r="BW103" i="4"/>
  <c r="BW125" i="4"/>
  <c r="BW133" i="4"/>
  <c r="BW153" i="4"/>
  <c r="BW169" i="4"/>
  <c r="BW185" i="4"/>
  <c r="BW192" i="4"/>
  <c r="BW41" i="4"/>
  <c r="BW90" i="4"/>
  <c r="BW149" i="4"/>
  <c r="BW11" i="4"/>
  <c r="BW27" i="4"/>
  <c r="BW46" i="4"/>
  <c r="BW60" i="4"/>
  <c r="BW75" i="4"/>
  <c r="BW104" i="4"/>
  <c r="BW126" i="4"/>
  <c r="BW138" i="4"/>
  <c r="BW154" i="4"/>
  <c r="BW170" i="4"/>
  <c r="BW186" i="4"/>
  <c r="BW193" i="4"/>
  <c r="BW114" i="4"/>
  <c r="BW12" i="4"/>
  <c r="BW28" i="4"/>
  <c r="BW47" i="4"/>
  <c r="BW61" i="4"/>
  <c r="BW76" i="4"/>
  <c r="BW105" i="4"/>
  <c r="BW117" i="4"/>
  <c r="BW139" i="4"/>
  <c r="BW155" i="4"/>
  <c r="BW171" i="4"/>
  <c r="BW187" i="4"/>
  <c r="BW194" i="4"/>
  <c r="BW57" i="4"/>
  <c r="BW165" i="4"/>
  <c r="BW13" i="4"/>
  <c r="BW29" i="4"/>
  <c r="BW48" i="4"/>
  <c r="BW62" i="4"/>
  <c r="BW77" i="4"/>
  <c r="BW101" i="4"/>
  <c r="BW116" i="4"/>
  <c r="BW140" i="4"/>
  <c r="BW156" i="4"/>
  <c r="BW172" i="4"/>
  <c r="BW195" i="4"/>
  <c r="BW14" i="4"/>
  <c r="BW30" i="4"/>
  <c r="BW49" i="4"/>
  <c r="BW63" i="4"/>
  <c r="BW81" i="4"/>
  <c r="BW99" i="4"/>
  <c r="BW121" i="4"/>
  <c r="BW141" i="4"/>
  <c r="BW157" i="4"/>
  <c r="BW173" i="4"/>
  <c r="BW15" i="4"/>
  <c r="BW31" i="4"/>
  <c r="BW50" i="4"/>
  <c r="BW64" i="4"/>
  <c r="BW83" i="4"/>
  <c r="BW100" i="4"/>
  <c r="BW118" i="4"/>
  <c r="BW142" i="4"/>
  <c r="BW158" i="4"/>
  <c r="BW174" i="4"/>
  <c r="BR4" i="4"/>
  <c r="BW16" i="4"/>
  <c r="BW32" i="4"/>
  <c r="BW51" i="4"/>
  <c r="BW65" i="4"/>
  <c r="BW84" i="4"/>
  <c r="BW106" i="4"/>
  <c r="BW127" i="4"/>
  <c r="BW143" i="4"/>
  <c r="BW159" i="4"/>
  <c r="BW175" i="4"/>
  <c r="BW17" i="4"/>
  <c r="BW35" i="4"/>
  <c r="BW52" i="4"/>
  <c r="BW66" i="4"/>
  <c r="BW85" i="4"/>
  <c r="BW107" i="4"/>
  <c r="BW119" i="4"/>
  <c r="BW144" i="4"/>
  <c r="BW160" i="4"/>
  <c r="BW176" i="4"/>
  <c r="BW188" i="4"/>
  <c r="BW18" i="4"/>
  <c r="BW36" i="4"/>
  <c r="BW53" i="4"/>
  <c r="BW67" i="4"/>
  <c r="BW86" i="4"/>
  <c r="BW120" i="4"/>
  <c r="BW145" i="4"/>
  <c r="BW161" i="4"/>
  <c r="BW177" i="4"/>
  <c r="BW19" i="4"/>
  <c r="BW38" i="4"/>
  <c r="BW54" i="4"/>
  <c r="BW68" i="4"/>
  <c r="BW87" i="4"/>
  <c r="BW109" i="4"/>
  <c r="BW128" i="4"/>
  <c r="BW146" i="4"/>
  <c r="BW162" i="4"/>
  <c r="BW178" i="4"/>
  <c r="BW20" i="4"/>
  <c r="BW39" i="4"/>
  <c r="BW55" i="4"/>
  <c r="BW69" i="4"/>
  <c r="BW88" i="4"/>
  <c r="BW110" i="4"/>
  <c r="BW122" i="4"/>
  <c r="BW147" i="4"/>
  <c r="BW163" i="4"/>
  <c r="BW179" i="4"/>
  <c r="BW189" i="4"/>
  <c r="BW22" i="4"/>
  <c r="BW71" i="4"/>
  <c r="BW130" i="4"/>
  <c r="BW181" i="4"/>
  <c r="BR101" i="4"/>
  <c r="BM99" i="4"/>
  <c r="BH100" i="4"/>
  <c r="BR106" i="4"/>
  <c r="BC106" i="4"/>
  <c r="BC101" i="4"/>
  <c r="BR111" i="4"/>
  <c r="BC100" i="4"/>
  <c r="BR99" i="4"/>
  <c r="BC111" i="4"/>
  <c r="BC115" i="4"/>
  <c r="BR100" i="4"/>
  <c r="BC99" i="4"/>
  <c r="BR115" i="4"/>
  <c r="BH115" i="4"/>
  <c r="BC76" i="4"/>
  <c r="BR102" i="4"/>
  <c r="BH76" i="4"/>
  <c r="BR76" i="4"/>
  <c r="BR77" i="4"/>
  <c r="BR104" i="4"/>
  <c r="BC87" i="4"/>
  <c r="BR88" i="4"/>
  <c r="BC102" i="4"/>
  <c r="BH88" i="4"/>
  <c r="BC77" i="4"/>
  <c r="BR145" i="4"/>
  <c r="BR89" i="4"/>
  <c r="BC104" i="4"/>
  <c r="BR105" i="4"/>
  <c r="BM90" i="4"/>
  <c r="BR21" i="4"/>
  <c r="BC88" i="4"/>
  <c r="BC21" i="4"/>
  <c r="BR75" i="4"/>
  <c r="BC75" i="4"/>
  <c r="BR90" i="4"/>
  <c r="BH104" i="4"/>
  <c r="BR87" i="4"/>
  <c r="BC145" i="4"/>
  <c r="BC89" i="4"/>
  <c r="BC90" i="4"/>
  <c r="BC105" i="4"/>
  <c r="BC45" i="4"/>
  <c r="BC46" i="4"/>
  <c r="BC47" i="4"/>
  <c r="BH192" i="4"/>
  <c r="BH185" i="4"/>
  <c r="BH171" i="4"/>
  <c r="BH155" i="4"/>
  <c r="BH139" i="4"/>
  <c r="BH122" i="4"/>
  <c r="BH117" i="4"/>
  <c r="BH111" i="4"/>
  <c r="BH101" i="4"/>
  <c r="BH81" i="4"/>
  <c r="BH22" i="4"/>
  <c r="BH179" i="4"/>
  <c r="BH167" i="4"/>
  <c r="BH145" i="4"/>
  <c r="BH133" i="4"/>
  <c r="BH177" i="4"/>
  <c r="BH165" i="4"/>
  <c r="BH143" i="4"/>
  <c r="BH131" i="4"/>
  <c r="BH127" i="4"/>
  <c r="BH123" i="4"/>
  <c r="BH107" i="4"/>
  <c r="BH90" i="4"/>
  <c r="BH61" i="4"/>
  <c r="BH195" i="4"/>
  <c r="BH191" i="4"/>
  <c r="BH190" i="4"/>
  <c r="BH188" i="4"/>
  <c r="BH184" i="4"/>
  <c r="BH180" i="4"/>
  <c r="BH176" i="4"/>
  <c r="BH172" i="4"/>
  <c r="BH168" i="4"/>
  <c r="BH164" i="4"/>
  <c r="BH160" i="4"/>
  <c r="BH156" i="4"/>
  <c r="BH152" i="4"/>
  <c r="BH148" i="4"/>
  <c r="BH144" i="4"/>
  <c r="BH140" i="4"/>
  <c r="BH132" i="4"/>
  <c r="BH129" i="4"/>
  <c r="BH119" i="4"/>
  <c r="BH116" i="4"/>
  <c r="BH124" i="4"/>
  <c r="BH114" i="4"/>
  <c r="BH99" i="4"/>
  <c r="BH102" i="4"/>
  <c r="BH89" i="4"/>
  <c r="BH85" i="4"/>
  <c r="BH77" i="4"/>
  <c r="BH73" i="4"/>
  <c r="BH70" i="4"/>
  <c r="BH66" i="4"/>
  <c r="BH62" i="4"/>
  <c r="BH79" i="4"/>
  <c r="BH56" i="4"/>
  <c r="BH52" i="4"/>
  <c r="BH48" i="4"/>
  <c r="BH44" i="4"/>
  <c r="BH40" i="4"/>
  <c r="BH35" i="4"/>
  <c r="BH29" i="4"/>
  <c r="BH25" i="4"/>
  <c r="BH21" i="4"/>
  <c r="BH17" i="4"/>
  <c r="BH13" i="4"/>
  <c r="BH7" i="4"/>
  <c r="BH194" i="4"/>
  <c r="BH189" i="4"/>
  <c r="BH183" i="4"/>
  <c r="BH159" i="4"/>
  <c r="BH151" i="4"/>
  <c r="BH147" i="4"/>
  <c r="BH98" i="4"/>
  <c r="BH84" i="4"/>
  <c r="BH72" i="4"/>
  <c r="BH69" i="4"/>
  <c r="BH65" i="4"/>
  <c r="BH59" i="4"/>
  <c r="BH55" i="4"/>
  <c r="BH51" i="4"/>
  <c r="BH47" i="4"/>
  <c r="BH43" i="4"/>
  <c r="BH39" i="4"/>
  <c r="BH32" i="4"/>
  <c r="BH28" i="4"/>
  <c r="BH24" i="4"/>
  <c r="BH20" i="4"/>
  <c r="BH16" i="4"/>
  <c r="BH12" i="4"/>
  <c r="BH6" i="4"/>
  <c r="BH193" i="4"/>
  <c r="BH186" i="4"/>
  <c r="BH182" i="4"/>
  <c r="BH178" i="4"/>
  <c r="BH174" i="4"/>
  <c r="BH170" i="4"/>
  <c r="BH166" i="4"/>
  <c r="BH162" i="4"/>
  <c r="BH158" i="4"/>
  <c r="BH154" i="4"/>
  <c r="BH150" i="4"/>
  <c r="BH146" i="4"/>
  <c r="BH142" i="4"/>
  <c r="BH138" i="4"/>
  <c r="BH137" i="4"/>
  <c r="BH128" i="4"/>
  <c r="BH118" i="4"/>
  <c r="BH126" i="4"/>
  <c r="BH110" i="4"/>
  <c r="BH106" i="4"/>
  <c r="BH105" i="4"/>
  <c r="BH97" i="4"/>
  <c r="BH87" i="4"/>
  <c r="BH83" i="4"/>
  <c r="BH75" i="4"/>
  <c r="BH68" i="4"/>
  <c r="BH64" i="4"/>
  <c r="BH60" i="4"/>
  <c r="BH58" i="4"/>
  <c r="BH54" i="4"/>
  <c r="BH50" i="4"/>
  <c r="BH46" i="4"/>
  <c r="BH42" i="4"/>
  <c r="BH38" i="4"/>
  <c r="BH31" i="4"/>
  <c r="BH27" i="4"/>
  <c r="BH23" i="4"/>
  <c r="BH19" i="4"/>
  <c r="BH15" i="4"/>
  <c r="BH11" i="4"/>
  <c r="BH5" i="4"/>
  <c r="BH181" i="4"/>
  <c r="BH173" i="4"/>
  <c r="BH169" i="4"/>
  <c r="BH161" i="4"/>
  <c r="BH157" i="4"/>
  <c r="BH153" i="4"/>
  <c r="BH149" i="4"/>
  <c r="BH86" i="4"/>
  <c r="BH74" i="4"/>
  <c r="BH71" i="4"/>
  <c r="BH67" i="4"/>
  <c r="BH63" i="4"/>
  <c r="BH80" i="4"/>
  <c r="BH57" i="4"/>
  <c r="BH53" i="4"/>
  <c r="BH49" i="4"/>
  <c r="BH45" i="4"/>
  <c r="BH41" i="4"/>
  <c r="BH36" i="4"/>
  <c r="BH30" i="4"/>
  <c r="BH18" i="4"/>
  <c r="BH14" i="4"/>
  <c r="BH8" i="4"/>
  <c r="BC184" i="4"/>
  <c r="BC172" i="4"/>
  <c r="BC164" i="4"/>
  <c r="BC160" i="4"/>
  <c r="BC156" i="4"/>
  <c r="BC85" i="4"/>
  <c r="BC73" i="4"/>
  <c r="BC70" i="4"/>
  <c r="BC66" i="4"/>
  <c r="BC79" i="4"/>
  <c r="BC56" i="4"/>
  <c r="BC52" i="4"/>
  <c r="BC48" i="4"/>
  <c r="BC44" i="4"/>
  <c r="BC40" i="4"/>
  <c r="BC35" i="4"/>
  <c r="BC29" i="4"/>
  <c r="BC25" i="4"/>
  <c r="BC17" i="4"/>
  <c r="BC13" i="4"/>
  <c r="BC7" i="4"/>
  <c r="BC183" i="4"/>
  <c r="BC159" i="4"/>
  <c r="BC151" i="4"/>
  <c r="BC147" i="4"/>
  <c r="BC98" i="4"/>
  <c r="BC84" i="4"/>
  <c r="BC72" i="4"/>
  <c r="BC69" i="4"/>
  <c r="BC65" i="4"/>
  <c r="BC59" i="4"/>
  <c r="BC55" i="4"/>
  <c r="BC51" i="4"/>
  <c r="BC43" i="4"/>
  <c r="BC39" i="4"/>
  <c r="BC32" i="4"/>
  <c r="BC28" i="4"/>
  <c r="BC24" i="4"/>
  <c r="BC20" i="4"/>
  <c r="BC16" i="4"/>
  <c r="BC12" i="4"/>
  <c r="BC6" i="4"/>
  <c r="BC182" i="4"/>
  <c r="BC174" i="4"/>
  <c r="BC170" i="4"/>
  <c r="BC158" i="4"/>
  <c r="BC154" i="4"/>
  <c r="BC150" i="4"/>
  <c r="BC146" i="4"/>
  <c r="BC97" i="4"/>
  <c r="BC68" i="4"/>
  <c r="BC64" i="4"/>
  <c r="BC60" i="4"/>
  <c r="BC58" i="4"/>
  <c r="BC54" i="4"/>
  <c r="BC50" i="4"/>
  <c r="BC42" i="4"/>
  <c r="BC38" i="4"/>
  <c r="BC31" i="4"/>
  <c r="BC19" i="4"/>
  <c r="BC15" i="4"/>
  <c r="BC11" i="4"/>
  <c r="BC5" i="4"/>
  <c r="BC181" i="4"/>
  <c r="BC173" i="4"/>
  <c r="BC169" i="4"/>
  <c r="BC161" i="4"/>
  <c r="BC157" i="4"/>
  <c r="BC153" i="4"/>
  <c r="BC149" i="4"/>
  <c r="BC86" i="4"/>
  <c r="BC74" i="4"/>
  <c r="BC71" i="4"/>
  <c r="BC67" i="4"/>
  <c r="BC63" i="4"/>
  <c r="BC80" i="4"/>
  <c r="BC57" i="4"/>
  <c r="BC53" i="4"/>
  <c r="BC49" i="4"/>
  <c r="BC41" i="4"/>
  <c r="BC36" i="4"/>
  <c r="BC30" i="4"/>
  <c r="BC18" i="4"/>
  <c r="BC14" i="4"/>
  <c r="BC8" i="4"/>
  <c r="BC4" i="4"/>
  <c r="BH4" i="4"/>
  <c r="BM195" i="4"/>
  <c r="BM180" i="4"/>
  <c r="BM168" i="4"/>
  <c r="BM152" i="4"/>
  <c r="BM142" i="4"/>
  <c r="BM133" i="4"/>
  <c r="BM129" i="4"/>
  <c r="BM118" i="4"/>
  <c r="BM125" i="4"/>
  <c r="BM114" i="4"/>
  <c r="BM106" i="4"/>
  <c r="BM104" i="4"/>
  <c r="BM87" i="4"/>
  <c r="BM75" i="4"/>
  <c r="BM26" i="4"/>
  <c r="BR194" i="4"/>
  <c r="BM193" i="4"/>
  <c r="BM188" i="4"/>
  <c r="BM178" i="4"/>
  <c r="BM166" i="4"/>
  <c r="BM148" i="4"/>
  <c r="BM141" i="4"/>
  <c r="BM132" i="4"/>
  <c r="BM128" i="4"/>
  <c r="BM121" i="4"/>
  <c r="BM124" i="4"/>
  <c r="BM110" i="4"/>
  <c r="BM100" i="4"/>
  <c r="BM102" i="4"/>
  <c r="BM83" i="4"/>
  <c r="BM23" i="4"/>
  <c r="BR193" i="4"/>
  <c r="BR187" i="4"/>
  <c r="BM192" i="4"/>
  <c r="BM190" i="4"/>
  <c r="BM186" i="4"/>
  <c r="BM177" i="4"/>
  <c r="BM165" i="4"/>
  <c r="BM145" i="4"/>
  <c r="BM191" i="4"/>
  <c r="BM185" i="4"/>
  <c r="BM176" i="4"/>
  <c r="BM162" i="4"/>
  <c r="BM144" i="4"/>
  <c r="BM138" i="4"/>
  <c r="BM130" i="4"/>
  <c r="BM119" i="4"/>
  <c r="BM126" i="4"/>
  <c r="BM115" i="4"/>
  <c r="BM105" i="4"/>
  <c r="BM89" i="4"/>
  <c r="BM77" i="4"/>
  <c r="BM27" i="4"/>
  <c r="BM21" i="4"/>
  <c r="BM184" i="4"/>
  <c r="BM172" i="4"/>
  <c r="BM164" i="4"/>
  <c r="BM160" i="4"/>
  <c r="BM156" i="4"/>
  <c r="BM85" i="4"/>
  <c r="BM73" i="4"/>
  <c r="BM70" i="4"/>
  <c r="BM66" i="4"/>
  <c r="BM79" i="4"/>
  <c r="BM56" i="4"/>
  <c r="BM52" i="4"/>
  <c r="BM48" i="4"/>
  <c r="BM44" i="4"/>
  <c r="BM40" i="4"/>
  <c r="BM35" i="4"/>
  <c r="BM29" i="4"/>
  <c r="BM25" i="4"/>
  <c r="BM17" i="4"/>
  <c r="BM13" i="4"/>
  <c r="BM7" i="4"/>
  <c r="BR181" i="4"/>
  <c r="BR173" i="4"/>
  <c r="BR169" i="4"/>
  <c r="BR161" i="4"/>
  <c r="BR157" i="4"/>
  <c r="BR153" i="4"/>
  <c r="BR149" i="4"/>
  <c r="BR86" i="4"/>
  <c r="BM194" i="4"/>
  <c r="BM189" i="4"/>
  <c r="BM187" i="4"/>
  <c r="BM183" i="4"/>
  <c r="BM179" i="4"/>
  <c r="BM175" i="4"/>
  <c r="BM171" i="4"/>
  <c r="BM167" i="4"/>
  <c r="BM163" i="4"/>
  <c r="BM159" i="4"/>
  <c r="BM155" i="4"/>
  <c r="BM151" i="4"/>
  <c r="BM147" i="4"/>
  <c r="BM143" i="4"/>
  <c r="BM139" i="4"/>
  <c r="BM131" i="4"/>
  <c r="BM122" i="4"/>
  <c r="BM127" i="4"/>
  <c r="BM117" i="4"/>
  <c r="BM123" i="4"/>
  <c r="BM111" i="4"/>
  <c r="BM107" i="4"/>
  <c r="BM101" i="4"/>
  <c r="BM98" i="4"/>
  <c r="BM88" i="4"/>
  <c r="BM84" i="4"/>
  <c r="BM76" i="4"/>
  <c r="BM72" i="4"/>
  <c r="BM69" i="4"/>
  <c r="BM65" i="4"/>
  <c r="BM61" i="4"/>
  <c r="BM59" i="4"/>
  <c r="BM55" i="4"/>
  <c r="BM51" i="4"/>
  <c r="BM47" i="4"/>
  <c r="BM43" i="4"/>
  <c r="BM39" i="4"/>
  <c r="BM32" i="4"/>
  <c r="BM28" i="4"/>
  <c r="BM24" i="4"/>
  <c r="BM20" i="4"/>
  <c r="BM16" i="4"/>
  <c r="BM12" i="4"/>
  <c r="BM6" i="4"/>
  <c r="BR195" i="4"/>
  <c r="BR191" i="4"/>
  <c r="BR190" i="4"/>
  <c r="BR188" i="4"/>
  <c r="BR184" i="4"/>
  <c r="BR172" i="4"/>
  <c r="BR164" i="4"/>
  <c r="BR160" i="4"/>
  <c r="BR156" i="4"/>
  <c r="BR85" i="4"/>
  <c r="BR73" i="4"/>
  <c r="BR70" i="4"/>
  <c r="BM182" i="4"/>
  <c r="BM174" i="4"/>
  <c r="BM170" i="4"/>
  <c r="BM158" i="4"/>
  <c r="BM154" i="4"/>
  <c r="BM150" i="4"/>
  <c r="BM146" i="4"/>
  <c r="BM97" i="4"/>
  <c r="BM68" i="4"/>
  <c r="BM64" i="4"/>
  <c r="BM60" i="4"/>
  <c r="BM58" i="4"/>
  <c r="BM54" i="4"/>
  <c r="BM50" i="4"/>
  <c r="BM46" i="4"/>
  <c r="BM42" i="4"/>
  <c r="BM38" i="4"/>
  <c r="BM31" i="4"/>
  <c r="BM19" i="4"/>
  <c r="BM15" i="4"/>
  <c r="BM11" i="4"/>
  <c r="BM5" i="4"/>
  <c r="BR183" i="4"/>
  <c r="BR159" i="4"/>
  <c r="BR151" i="4"/>
  <c r="BR147" i="4"/>
  <c r="BM181" i="4"/>
  <c r="BM173" i="4"/>
  <c r="BM169" i="4"/>
  <c r="BM161" i="4"/>
  <c r="BM157" i="4"/>
  <c r="BM153" i="4"/>
  <c r="BM149" i="4"/>
  <c r="BM86" i="4"/>
  <c r="BM74" i="4"/>
  <c r="BM71" i="4"/>
  <c r="BM67" i="4"/>
  <c r="BM63" i="4"/>
  <c r="BM80" i="4"/>
  <c r="BM57" i="4"/>
  <c r="BM53" i="4"/>
  <c r="BM49" i="4"/>
  <c r="BM45" i="4"/>
  <c r="BM41" i="4"/>
  <c r="BM36" i="4"/>
  <c r="BM30" i="4"/>
  <c r="BM18" i="4"/>
  <c r="BM14" i="4"/>
  <c r="BM8" i="4"/>
  <c r="BM4" i="4"/>
  <c r="BR182" i="4"/>
  <c r="BR170" i="4"/>
  <c r="BR84" i="4"/>
  <c r="BR65" i="4"/>
  <c r="BR59" i="4"/>
  <c r="BR55" i="4"/>
  <c r="BR51" i="4"/>
  <c r="BR47" i="4"/>
  <c r="BR43" i="4"/>
  <c r="BR39" i="4"/>
  <c r="BR32" i="4"/>
  <c r="BR28" i="4"/>
  <c r="BR24" i="4"/>
  <c r="BR20" i="4"/>
  <c r="BR16" i="4"/>
  <c r="BR12" i="4"/>
  <c r="BR6" i="4"/>
  <c r="BR154" i="4"/>
  <c r="BR146" i="4"/>
  <c r="BR97" i="4"/>
  <c r="BR72" i="4"/>
  <c r="BR69" i="4"/>
  <c r="BR68" i="4"/>
  <c r="BR64" i="4"/>
  <c r="BR60" i="4"/>
  <c r="BR58" i="4"/>
  <c r="BR54" i="4"/>
  <c r="BR50" i="4"/>
  <c r="BR46" i="4"/>
  <c r="BR42" i="4"/>
  <c r="BR38" i="4"/>
  <c r="BR31" i="4"/>
  <c r="BR19" i="4"/>
  <c r="BR15" i="4"/>
  <c r="BR11" i="4"/>
  <c r="BR5" i="4"/>
  <c r="BR174" i="4"/>
  <c r="BR158" i="4"/>
  <c r="BR150" i="4"/>
  <c r="BR66" i="4"/>
  <c r="BR79" i="4"/>
  <c r="BR56" i="4"/>
  <c r="BR52" i="4"/>
  <c r="BR48" i="4"/>
  <c r="BR44" i="4"/>
  <c r="BR40" i="4"/>
  <c r="BR35" i="4"/>
  <c r="BR29" i="4"/>
  <c r="BR25" i="4"/>
  <c r="BR17" i="4"/>
  <c r="BR13" i="4"/>
  <c r="BR7" i="4"/>
  <c r="BR45" i="4"/>
  <c r="BR71" i="4"/>
  <c r="BR67" i="4"/>
  <c r="BR41" i="4"/>
  <c r="BR36" i="4"/>
  <c r="BR14" i="4"/>
  <c r="BR53" i="4"/>
  <c r="BR49" i="4"/>
  <c r="BR18" i="4"/>
  <c r="BR74" i="4"/>
  <c r="BR63" i="4"/>
  <c r="BR57" i="4"/>
  <c r="BR8" i="4"/>
  <c r="BR98" i="4"/>
  <c r="BR30" i="4"/>
  <c r="BR80" i="4"/>
  <c r="AV188" i="4"/>
  <c r="AW188" i="4" s="1"/>
  <c r="AV182" i="4"/>
  <c r="AW182" i="4" s="1"/>
  <c r="AV176" i="4"/>
  <c r="AW176" i="4" s="1"/>
  <c r="AR175" i="4"/>
  <c r="AV175" i="4" s="1"/>
  <c r="AW175" i="4" s="1"/>
  <c r="AV174" i="4"/>
  <c r="AW174" i="4" s="1"/>
  <c r="AV173" i="4"/>
  <c r="AW173" i="4" s="1"/>
  <c r="AV172" i="4"/>
  <c r="AW172" i="4" s="1"/>
  <c r="AV171" i="4"/>
  <c r="AW171" i="4" s="1"/>
  <c r="AV170" i="4"/>
  <c r="AW170" i="4" s="1"/>
  <c r="AV169" i="4"/>
  <c r="AW169" i="4" s="1"/>
  <c r="AV168" i="4"/>
  <c r="AW168" i="4" s="1"/>
  <c r="AV167" i="4"/>
  <c r="AW167" i="4" s="1"/>
  <c r="AV166" i="4"/>
  <c r="AW166" i="4" s="1"/>
  <c r="AV165" i="4"/>
  <c r="AW165" i="4" s="1"/>
  <c r="AV164" i="4"/>
  <c r="AW164" i="4" s="1"/>
  <c r="AV160" i="4"/>
  <c r="AW160" i="4" s="1"/>
  <c r="AV158" i="4"/>
  <c r="AW158" i="4" s="1"/>
  <c r="AV157" i="4"/>
  <c r="AW157" i="4" s="1"/>
  <c r="AV156" i="4"/>
  <c r="AW156" i="4" s="1"/>
  <c r="AV151" i="4"/>
  <c r="AW151" i="4" s="1"/>
  <c r="AV150" i="4"/>
  <c r="AW150" i="4" s="1"/>
  <c r="AV149" i="4"/>
  <c r="AW149" i="4" s="1"/>
  <c r="AV148" i="4"/>
  <c r="AW148" i="4" s="1"/>
  <c r="AV146" i="4"/>
  <c r="AW146" i="4" s="1"/>
  <c r="AV140" i="4"/>
  <c r="AW140" i="4" s="1"/>
  <c r="AV139" i="4"/>
  <c r="AW139" i="4" s="1"/>
  <c r="AV138" i="4"/>
  <c r="AW138" i="4" s="1"/>
  <c r="AV133" i="4"/>
  <c r="AW133" i="4" s="1"/>
  <c r="AV132" i="4"/>
  <c r="AW132" i="4" s="1"/>
  <c r="AV131" i="4"/>
  <c r="AW131" i="4" s="1"/>
  <c r="AV137" i="4"/>
  <c r="AW137" i="4" s="1"/>
  <c r="AV130" i="4"/>
  <c r="AW130" i="4" s="1"/>
  <c r="AV129" i="4"/>
  <c r="AW129" i="4" s="1"/>
  <c r="AV122" i="4"/>
  <c r="AW122" i="4" s="1"/>
  <c r="AV128" i="4"/>
  <c r="AW128" i="4" s="1"/>
  <c r="AV120" i="4"/>
  <c r="AW120" i="4" s="1"/>
  <c r="AV119" i="4"/>
  <c r="AW119" i="4" s="1"/>
  <c r="BB127" i="4"/>
  <c r="AV127" i="4"/>
  <c r="AW127" i="4" s="1"/>
  <c r="BB118" i="4"/>
  <c r="AV118" i="4"/>
  <c r="AW118" i="4" s="1"/>
  <c r="BB121" i="4"/>
  <c r="AV121" i="4"/>
  <c r="AW121" i="4" s="1"/>
  <c r="AV116" i="4"/>
  <c r="AW116" i="4" s="1"/>
  <c r="AV117" i="4"/>
  <c r="AW117" i="4" s="1"/>
  <c r="AV126" i="4"/>
  <c r="AW126" i="4" s="1"/>
  <c r="AV125" i="4"/>
  <c r="AW125" i="4" s="1"/>
  <c r="AV124" i="4"/>
  <c r="AW124" i="4" s="1"/>
  <c r="AV123" i="4"/>
  <c r="AW123" i="4" s="1"/>
  <c r="AV115" i="4"/>
  <c r="AW115" i="4" s="1"/>
  <c r="BB114" i="4"/>
  <c r="AV114" i="4"/>
  <c r="AW114" i="4" s="1"/>
  <c r="BB111" i="4"/>
  <c r="AV111" i="4"/>
  <c r="AW111" i="4" s="1"/>
  <c r="BB110" i="4"/>
  <c r="AV110" i="4"/>
  <c r="AW110" i="4" s="1"/>
  <c r="BB109" i="4"/>
  <c r="AV109" i="4"/>
  <c r="AW109" i="4" s="1"/>
  <c r="AV107" i="4"/>
  <c r="AW107" i="4" s="1"/>
  <c r="BB106" i="4"/>
  <c r="AV106" i="4"/>
  <c r="AW106" i="4" s="1"/>
  <c r="BB100" i="4"/>
  <c r="AV100" i="4"/>
  <c r="AW100" i="4" s="1"/>
  <c r="BB99" i="4"/>
  <c r="AV99" i="4"/>
  <c r="AW99" i="4" s="1"/>
  <c r="BB101" i="4"/>
  <c r="AV101" i="4"/>
  <c r="AW101" i="4" s="1"/>
  <c r="AV105" i="4"/>
  <c r="AW105" i="4" s="1"/>
  <c r="AV104" i="4"/>
  <c r="AW104" i="4" s="1"/>
  <c r="BB102" i="4"/>
  <c r="AV102" i="4"/>
  <c r="AW102" i="4" s="1"/>
  <c r="BB98" i="4"/>
  <c r="AV98" i="4"/>
  <c r="AW98" i="4" s="1"/>
  <c r="BB97" i="4"/>
  <c r="AV97" i="4"/>
  <c r="AW97" i="4" s="1"/>
  <c r="AY81" i="4"/>
  <c r="AX81" i="4"/>
  <c r="AU81" i="4"/>
  <c r="AV81" i="4" s="1"/>
  <c r="AW81" i="4" s="1"/>
  <c r="AV77" i="4"/>
  <c r="AW77" i="4" s="1"/>
  <c r="AS76" i="4"/>
  <c r="AV76" i="4" s="1"/>
  <c r="AW76" i="4" s="1"/>
  <c r="AV75" i="4"/>
  <c r="AW75" i="4" s="1"/>
  <c r="AV74" i="4"/>
  <c r="AW74" i="4" s="1"/>
  <c r="AV73" i="4"/>
  <c r="AW73" i="4" s="1"/>
  <c r="AW72" i="4"/>
  <c r="AU71" i="4"/>
  <c r="AV71" i="4" s="1"/>
  <c r="AW71" i="4" s="1"/>
  <c r="AU70" i="4"/>
  <c r="AV70" i="4" s="1"/>
  <c r="AW70" i="4" s="1"/>
  <c r="AU69" i="4"/>
  <c r="AV69" i="4" s="1"/>
  <c r="AW69" i="4" s="1"/>
  <c r="AU68" i="4"/>
  <c r="AV68" i="4" s="1"/>
  <c r="AW68" i="4" s="1"/>
  <c r="AU67" i="4"/>
  <c r="AV67" i="4" s="1"/>
  <c r="AW67" i="4" s="1"/>
  <c r="AU66" i="4"/>
  <c r="AV66" i="4" s="1"/>
  <c r="AW66" i="4" s="1"/>
  <c r="AU65" i="4"/>
  <c r="AV65" i="4" s="1"/>
  <c r="AW65" i="4" s="1"/>
  <c r="AU62" i="4"/>
  <c r="AV62" i="4" s="1"/>
  <c r="AW62" i="4" s="1"/>
  <c r="AU61" i="4"/>
  <c r="AV61" i="4" s="1"/>
  <c r="AW61" i="4" s="1"/>
  <c r="AV60" i="4"/>
  <c r="AW60" i="4" s="1"/>
  <c r="AU80" i="4"/>
  <c r="AV80" i="4" s="1"/>
  <c r="AW80" i="4" s="1"/>
  <c r="AU79" i="4"/>
  <c r="AV79" i="4" s="1"/>
  <c r="AW79" i="4" s="1"/>
  <c r="AU54" i="4"/>
  <c r="AV54" i="4" s="1"/>
  <c r="AW54" i="4" s="1"/>
  <c r="AU53" i="4"/>
  <c r="AV53" i="4" s="1"/>
  <c r="AW53" i="4" s="1"/>
  <c r="AU52" i="4"/>
  <c r="AV52" i="4" s="1"/>
  <c r="AW52" i="4" s="1"/>
  <c r="AU51" i="4"/>
  <c r="AV51" i="4" s="1"/>
  <c r="AW51" i="4" s="1"/>
  <c r="AV45" i="4"/>
  <c r="AW45" i="4" s="1"/>
  <c r="AV43" i="4"/>
  <c r="AW43" i="4" s="1"/>
  <c r="AV42" i="4"/>
  <c r="AW42" i="4" s="1"/>
  <c r="AV41" i="4"/>
  <c r="AW41" i="4" s="1"/>
  <c r="AV40" i="4"/>
  <c r="AW40" i="4" s="1"/>
  <c r="AV35" i="4"/>
  <c r="AW35" i="4" s="1"/>
  <c r="AU32" i="4"/>
  <c r="AV32" i="4" s="1"/>
  <c r="AW32" i="4" s="1"/>
  <c r="AU31" i="4"/>
  <c r="AV31" i="4" s="1"/>
  <c r="AW31" i="4" s="1"/>
  <c r="AU30" i="4"/>
  <c r="AV30" i="4" s="1"/>
  <c r="AW30" i="4" s="1"/>
  <c r="AV23" i="4"/>
  <c r="AW23" i="4" s="1"/>
  <c r="AV22" i="4"/>
  <c r="AW22" i="4" s="1"/>
  <c r="AV20" i="4"/>
  <c r="AW20" i="4" s="1"/>
  <c r="AV19" i="4"/>
  <c r="AW19" i="4" s="1"/>
  <c r="AV18" i="4"/>
  <c r="AW18" i="4" s="1"/>
  <c r="AV17" i="4"/>
  <c r="AW17" i="4" s="1"/>
  <c r="AV16" i="4"/>
  <c r="AW16" i="4" s="1"/>
  <c r="AV15" i="4"/>
  <c r="AW15" i="4" s="1"/>
  <c r="AV14" i="4"/>
  <c r="AW14" i="4" s="1"/>
  <c r="AV13" i="4"/>
  <c r="AW13" i="4" s="1"/>
  <c r="AV12" i="4"/>
  <c r="AW12" i="4" s="1"/>
  <c r="AV11" i="4"/>
  <c r="AW11" i="4" s="1"/>
  <c r="AV8" i="4"/>
  <c r="AW8" i="4" s="1"/>
  <c r="AV7" i="4"/>
  <c r="AW7" i="4" s="1"/>
  <c r="AV6" i="4"/>
  <c r="AW6" i="4" s="1"/>
  <c r="AV5" i="4"/>
  <c r="AW5" i="4" s="1"/>
  <c r="AV4" i="4"/>
  <c r="AW4" i="4" s="1"/>
  <c r="H180" i="3"/>
  <c r="I180" i="3" s="1"/>
  <c r="H179" i="3"/>
  <c r="I179" i="3" s="1"/>
  <c r="H174" i="3"/>
  <c r="I174" i="3" s="1"/>
  <c r="H173" i="3"/>
  <c r="I173" i="3" s="1"/>
  <c r="H171" i="3"/>
  <c r="I171" i="3" s="1"/>
  <c r="H170" i="3"/>
  <c r="I170" i="3" s="1"/>
  <c r="H164" i="3"/>
  <c r="I164" i="3" s="1"/>
  <c r="H158" i="3"/>
  <c r="I158" i="3" s="1"/>
  <c r="H157" i="3"/>
  <c r="I157" i="3" s="1"/>
  <c r="H156" i="3"/>
  <c r="I156" i="3" s="1"/>
  <c r="H155" i="3"/>
  <c r="I155" i="3" s="1"/>
  <c r="H154" i="3"/>
  <c r="I154" i="3" s="1"/>
  <c r="H153" i="3"/>
  <c r="I153" i="3" s="1"/>
  <c r="H152" i="3"/>
  <c r="I152" i="3" s="1"/>
  <c r="H151" i="3"/>
  <c r="I151" i="3" s="1"/>
  <c r="H150" i="3"/>
  <c r="I150" i="3" s="1"/>
  <c r="H149" i="3"/>
  <c r="I149" i="3" s="1"/>
  <c r="H148" i="3"/>
  <c r="I148" i="3" s="1"/>
  <c r="H147" i="3"/>
  <c r="I147" i="3" s="1"/>
  <c r="H146" i="3"/>
  <c r="I146" i="3" s="1"/>
  <c r="H142" i="3"/>
  <c r="I142" i="3" s="1"/>
  <c r="H140" i="3"/>
  <c r="I140" i="3" s="1"/>
  <c r="H139" i="3"/>
  <c r="I139" i="3" s="1"/>
  <c r="H138" i="3"/>
  <c r="I138" i="3" s="1"/>
  <c r="H133" i="3"/>
  <c r="I133" i="3" s="1"/>
  <c r="H132" i="3"/>
  <c r="I132" i="3" s="1"/>
  <c r="H131" i="3"/>
  <c r="I131" i="3" s="1"/>
  <c r="H130" i="3"/>
  <c r="I130" i="3" s="1"/>
  <c r="H128" i="3"/>
  <c r="I128" i="3" s="1"/>
  <c r="H122" i="3"/>
  <c r="I122" i="3" s="1"/>
  <c r="H121" i="3"/>
  <c r="I121" i="3" s="1"/>
  <c r="H120" i="3"/>
  <c r="I120" i="3" s="1"/>
  <c r="H116" i="3"/>
  <c r="I116" i="3" s="1"/>
  <c r="H115" i="3"/>
  <c r="I115" i="3" s="1"/>
  <c r="H114" i="3"/>
  <c r="I114" i="3" s="1"/>
  <c r="H113" i="3"/>
  <c r="I113" i="3" s="1"/>
  <c r="H112" i="3"/>
  <c r="I112" i="3" s="1"/>
  <c r="H111" i="3"/>
  <c r="I111" i="3" s="1"/>
  <c r="H110" i="3"/>
  <c r="I110" i="3" s="1"/>
  <c r="H109" i="3"/>
  <c r="I109" i="3" s="1"/>
  <c r="H87" i="3"/>
  <c r="I87" i="3" s="1"/>
  <c r="H86" i="3"/>
  <c r="I86" i="3" s="1"/>
  <c r="H101" i="3"/>
  <c r="I101" i="3" s="1"/>
  <c r="H94" i="3"/>
  <c r="I94" i="3" s="1"/>
  <c r="H89" i="3"/>
  <c r="I89" i="3" s="1"/>
  <c r="H95" i="3"/>
  <c r="I95" i="3" s="1"/>
  <c r="H108" i="3"/>
  <c r="I108" i="3" s="1"/>
  <c r="H107" i="3"/>
  <c r="I107" i="3" s="1"/>
  <c r="H100" i="3"/>
  <c r="I100" i="3" s="1"/>
  <c r="H99" i="3"/>
  <c r="I99" i="3" s="1"/>
  <c r="H106" i="3"/>
  <c r="I106" i="3" s="1"/>
  <c r="H105" i="3"/>
  <c r="I105" i="3" s="1"/>
  <c r="H98" i="3"/>
  <c r="I98" i="3" s="1"/>
  <c r="H93" i="3"/>
  <c r="I93" i="3" s="1"/>
  <c r="H92" i="3"/>
  <c r="I92" i="3" s="1"/>
  <c r="H102" i="3"/>
  <c r="I102" i="3" s="1"/>
  <c r="H88" i="3"/>
  <c r="I88" i="3" s="1"/>
  <c r="H85" i="3"/>
  <c r="I85" i="3" s="1"/>
  <c r="H96" i="3"/>
  <c r="I96" i="3" s="1"/>
  <c r="H97" i="3"/>
  <c r="I97" i="3" s="1"/>
  <c r="H90" i="3"/>
  <c r="I90" i="3" s="1"/>
  <c r="H91" i="3"/>
  <c r="I91" i="3" s="1"/>
  <c r="H84" i="3"/>
  <c r="I84" i="3" s="1"/>
  <c r="H83" i="3"/>
  <c r="I83" i="3" s="1"/>
  <c r="H82" i="3"/>
  <c r="I82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I72" i="3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54" i="3"/>
  <c r="I54" i="3" s="1"/>
  <c r="H53" i="3"/>
  <c r="I53" i="3" s="1"/>
  <c r="H52" i="3"/>
  <c r="I52" i="3" s="1"/>
  <c r="H51" i="3"/>
  <c r="I51" i="3" s="1"/>
  <c r="H45" i="3"/>
  <c r="I45" i="3" s="1"/>
  <c r="H43" i="3"/>
  <c r="I43" i="3" s="1"/>
  <c r="H42" i="3"/>
  <c r="I42" i="3" s="1"/>
  <c r="H41" i="3"/>
  <c r="I41" i="3" s="1"/>
  <c r="H40" i="3"/>
  <c r="I40" i="3" s="1"/>
  <c r="H35" i="3"/>
  <c r="I35" i="3" s="1"/>
  <c r="H32" i="3"/>
  <c r="I32" i="3" s="1"/>
  <c r="H31" i="3"/>
  <c r="I31" i="3" s="1"/>
  <c r="H30" i="3"/>
  <c r="I30" i="3" s="1"/>
  <c r="H23" i="3"/>
  <c r="I23" i="3" s="1"/>
  <c r="H22" i="3"/>
  <c r="I22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8" i="3"/>
  <c r="I8" i="3" s="1"/>
  <c r="H7" i="3"/>
  <c r="I7" i="3" s="1"/>
  <c r="H6" i="3"/>
  <c r="I6" i="3" s="1"/>
  <c r="H5" i="3"/>
  <c r="I5" i="3" s="1"/>
  <c r="H4" i="3"/>
  <c r="I4" i="3" s="1"/>
  <c r="AS193" i="2"/>
  <c r="AT193" i="2" s="1"/>
  <c r="AO192" i="2"/>
  <c r="AS192" i="2" s="1"/>
  <c r="AT192" i="2" s="1"/>
  <c r="AS187" i="2"/>
  <c r="AT187" i="2" s="1"/>
  <c r="AS186" i="2"/>
  <c r="AT186" i="2" s="1"/>
  <c r="AS184" i="2"/>
  <c r="AT184" i="2" s="1"/>
  <c r="AS183" i="2"/>
  <c r="AT183" i="2" s="1"/>
  <c r="AS177" i="2"/>
  <c r="AT177" i="2" s="1"/>
  <c r="AS171" i="2"/>
  <c r="AT171" i="2" s="1"/>
  <c r="AO170" i="2"/>
  <c r="AS170" i="2" s="1"/>
  <c r="AT170" i="2" s="1"/>
  <c r="AS169" i="2"/>
  <c r="AT169" i="2" s="1"/>
  <c r="AS168" i="2"/>
  <c r="AT168" i="2" s="1"/>
  <c r="AS167" i="2"/>
  <c r="AT167" i="2" s="1"/>
  <c r="AS166" i="2"/>
  <c r="AT166" i="2" s="1"/>
  <c r="AS165" i="2"/>
  <c r="AT165" i="2" s="1"/>
  <c r="AS164" i="2"/>
  <c r="AT164" i="2" s="1"/>
  <c r="AS163" i="2"/>
  <c r="AT163" i="2" s="1"/>
  <c r="AS162" i="2"/>
  <c r="AT162" i="2" s="1"/>
  <c r="AS161" i="2"/>
  <c r="AT161" i="2" s="1"/>
  <c r="AS160" i="2"/>
  <c r="AT160" i="2" s="1"/>
  <c r="AS159" i="2"/>
  <c r="AT159" i="2" s="1"/>
  <c r="AS155" i="2"/>
  <c r="AT155" i="2" s="1"/>
  <c r="AS153" i="2"/>
  <c r="AT153" i="2" s="1"/>
  <c r="AS152" i="2"/>
  <c r="AT152" i="2" s="1"/>
  <c r="AS151" i="2"/>
  <c r="AT151" i="2" s="1"/>
  <c r="AS146" i="2"/>
  <c r="AT146" i="2" s="1"/>
  <c r="AS145" i="2"/>
  <c r="AT145" i="2" s="1"/>
  <c r="AS144" i="2"/>
  <c r="AT144" i="2" s="1"/>
  <c r="AS143" i="2"/>
  <c r="AT143" i="2" s="1"/>
  <c r="AS141" i="2"/>
  <c r="AT141" i="2" s="1"/>
  <c r="AS135" i="2"/>
  <c r="AT135" i="2" s="1"/>
  <c r="AS134" i="2"/>
  <c r="AT134" i="2" s="1"/>
  <c r="AS133" i="2"/>
  <c r="AT133" i="2" s="1"/>
  <c r="AS129" i="2"/>
  <c r="AT129" i="2" s="1"/>
  <c r="AS128" i="2"/>
  <c r="AT128" i="2" s="1"/>
  <c r="AS108" i="2"/>
  <c r="AT108" i="2" s="1"/>
  <c r="AS127" i="2"/>
  <c r="AT127" i="2" s="1"/>
  <c r="AS120" i="2"/>
  <c r="AT120" i="2" s="1"/>
  <c r="AS119" i="2"/>
  <c r="AT119" i="2" s="1"/>
  <c r="AS118" i="2"/>
  <c r="AT118" i="2" s="1"/>
  <c r="AS117" i="2"/>
  <c r="AT117" i="2" s="1"/>
  <c r="AS99" i="2"/>
  <c r="AT99" i="2" s="1"/>
  <c r="AS98" i="2"/>
  <c r="AT98" i="2" s="1"/>
  <c r="AY116" i="2"/>
  <c r="AS116" i="2"/>
  <c r="AT116" i="2" s="1"/>
  <c r="AY106" i="2"/>
  <c r="BH106" i="2" s="1"/>
  <c r="AS106" i="2"/>
  <c r="AT106" i="2" s="1"/>
  <c r="AY101" i="2"/>
  <c r="BH101" i="2" s="1"/>
  <c r="AS101" i="2"/>
  <c r="AT101" i="2" s="1"/>
  <c r="AS107" i="2"/>
  <c r="AT107" i="2" s="1"/>
  <c r="AS115" i="2"/>
  <c r="AT115" i="2" s="1"/>
  <c r="AS126" i="2"/>
  <c r="AT126" i="2" s="1"/>
  <c r="AS114" i="2"/>
  <c r="AT114" i="2" s="1"/>
  <c r="AS113" i="2"/>
  <c r="AT113" i="2" s="1"/>
  <c r="AS112" i="2"/>
  <c r="AT112" i="2" s="1"/>
  <c r="AS125" i="2"/>
  <c r="AT125" i="2" s="1"/>
  <c r="AS111" i="2"/>
  <c r="AT111" i="2" s="1"/>
  <c r="AY105" i="2"/>
  <c r="BH105" i="2" s="1"/>
  <c r="AS105" i="2"/>
  <c r="AT105" i="2" s="1"/>
  <c r="AY104" i="2"/>
  <c r="BG104" i="2" s="1"/>
  <c r="AS104" i="2"/>
  <c r="AT104" i="2" s="1"/>
  <c r="AY124" i="2"/>
  <c r="AS124" i="2"/>
  <c r="AT124" i="2" s="1"/>
  <c r="AY100" i="2"/>
  <c r="BG100" i="2" s="1"/>
  <c r="AS100" i="2"/>
  <c r="AT100" i="2" s="1"/>
  <c r="AY97" i="2"/>
  <c r="BG97" i="2" s="1"/>
  <c r="AS97" i="2"/>
  <c r="AT97" i="2" s="1"/>
  <c r="AS109" i="2"/>
  <c r="AT109" i="2" s="1"/>
  <c r="AY123" i="2"/>
  <c r="AS123" i="2"/>
  <c r="AT123" i="2" s="1"/>
  <c r="AY102" i="2"/>
  <c r="BH102" i="2" s="1"/>
  <c r="AS102" i="2"/>
  <c r="AT102" i="2" s="1"/>
  <c r="AY103" i="2"/>
  <c r="BH103" i="2" s="1"/>
  <c r="AS103" i="2"/>
  <c r="AT103" i="2" s="1"/>
  <c r="AY96" i="2"/>
  <c r="BG96" i="2" s="1"/>
  <c r="AS96" i="2"/>
  <c r="AT96" i="2" s="1"/>
  <c r="AS95" i="2"/>
  <c r="AT95" i="2" s="1"/>
  <c r="AS94" i="2"/>
  <c r="AT94" i="2" s="1"/>
  <c r="AY92" i="2"/>
  <c r="BG92" i="2" s="1"/>
  <c r="AS92" i="2"/>
  <c r="AT92" i="2" s="1"/>
  <c r="AY91" i="2"/>
  <c r="BH91" i="2" s="1"/>
  <c r="AS91" i="2"/>
  <c r="AT91" i="2" s="1"/>
  <c r="AY90" i="2"/>
  <c r="BH90" i="2" s="1"/>
  <c r="AS90" i="2"/>
  <c r="AT90" i="2" s="1"/>
  <c r="AV81" i="2"/>
  <c r="AU81" i="2"/>
  <c r="AR81" i="2"/>
  <c r="AS81" i="2" s="1"/>
  <c r="AT81" i="2" s="1"/>
  <c r="AS80" i="2"/>
  <c r="AT80" i="2" s="1"/>
  <c r="AP79" i="2"/>
  <c r="AS79" i="2" s="1"/>
  <c r="AT79" i="2" s="1"/>
  <c r="AS78" i="2"/>
  <c r="AT78" i="2" s="1"/>
  <c r="AS77" i="2"/>
  <c r="AT77" i="2" s="1"/>
  <c r="AS76" i="2"/>
  <c r="AT76" i="2" s="1"/>
  <c r="AT75" i="2"/>
  <c r="AR73" i="2"/>
  <c r="AS73" i="2" s="1"/>
  <c r="AT73" i="2" s="1"/>
  <c r="AR72" i="2"/>
  <c r="AS72" i="2" s="1"/>
  <c r="AT72" i="2" s="1"/>
  <c r="AR71" i="2"/>
  <c r="AS71" i="2" s="1"/>
  <c r="AT71" i="2" s="1"/>
  <c r="AR70" i="2"/>
  <c r="AS70" i="2" s="1"/>
  <c r="AT70" i="2" s="1"/>
  <c r="AR69" i="2"/>
  <c r="AS69" i="2" s="1"/>
  <c r="AT69" i="2" s="1"/>
  <c r="AR68" i="2"/>
  <c r="AS68" i="2" s="1"/>
  <c r="AT68" i="2" s="1"/>
  <c r="AR67" i="2"/>
  <c r="AS67" i="2" s="1"/>
  <c r="AT67" i="2" s="1"/>
  <c r="AR64" i="2"/>
  <c r="AS64" i="2" s="1"/>
  <c r="AT64" i="2" s="1"/>
  <c r="AR63" i="2"/>
  <c r="AS63" i="2" s="1"/>
  <c r="AT63" i="2" s="1"/>
  <c r="AS62" i="2"/>
  <c r="AT62" i="2" s="1"/>
  <c r="AR61" i="2"/>
  <c r="AS61" i="2" s="1"/>
  <c r="AT61" i="2" s="1"/>
  <c r="AR60" i="2"/>
  <c r="AS60" i="2" s="1"/>
  <c r="AT60" i="2" s="1"/>
  <c r="AR54" i="2"/>
  <c r="AS54" i="2" s="1"/>
  <c r="AT54" i="2" s="1"/>
  <c r="AR53" i="2"/>
  <c r="AS53" i="2" s="1"/>
  <c r="AT53" i="2" s="1"/>
  <c r="AR52" i="2"/>
  <c r="AS52" i="2" s="1"/>
  <c r="AT52" i="2" s="1"/>
  <c r="AR51" i="2"/>
  <c r="AS51" i="2" s="1"/>
  <c r="AT51" i="2" s="1"/>
  <c r="AS45" i="2"/>
  <c r="AT45" i="2" s="1"/>
  <c r="AS43" i="2"/>
  <c r="AT43" i="2" s="1"/>
  <c r="AS42" i="2"/>
  <c r="AT42" i="2" s="1"/>
  <c r="AS41" i="2"/>
  <c r="AT41" i="2" s="1"/>
  <c r="AS35" i="2"/>
  <c r="AT35" i="2" s="1"/>
  <c r="AR32" i="2"/>
  <c r="AS32" i="2" s="1"/>
  <c r="AT32" i="2" s="1"/>
  <c r="AR31" i="2"/>
  <c r="AS31" i="2" s="1"/>
  <c r="AT31" i="2" s="1"/>
  <c r="AR30" i="2"/>
  <c r="AS30" i="2" s="1"/>
  <c r="AT30" i="2" s="1"/>
  <c r="AS23" i="2"/>
  <c r="AT23" i="2" s="1"/>
  <c r="AS22" i="2"/>
  <c r="AT22" i="2" s="1"/>
  <c r="AS20" i="2"/>
  <c r="AT20" i="2" s="1"/>
  <c r="AS19" i="2"/>
  <c r="AT19" i="2" s="1"/>
  <c r="AS18" i="2"/>
  <c r="AT18" i="2" s="1"/>
  <c r="AS17" i="2"/>
  <c r="AT17" i="2" s="1"/>
  <c r="AS16" i="2"/>
  <c r="AT16" i="2" s="1"/>
  <c r="AS15" i="2"/>
  <c r="AT15" i="2" s="1"/>
  <c r="AS14" i="2"/>
  <c r="AT14" i="2" s="1"/>
  <c r="AS13" i="2"/>
  <c r="AT13" i="2" s="1"/>
  <c r="AS12" i="2"/>
  <c r="AT12" i="2" s="1"/>
  <c r="AS11" i="2"/>
  <c r="AT11" i="2" s="1"/>
  <c r="AS8" i="2"/>
  <c r="AT8" i="2" s="1"/>
  <c r="AS7" i="2"/>
  <c r="AT7" i="2" s="1"/>
  <c r="AS6" i="2"/>
  <c r="AT6" i="2" s="1"/>
  <c r="AS5" i="2"/>
  <c r="AT5" i="2" s="1"/>
  <c r="AS4" i="2"/>
  <c r="AT4" i="2" s="1"/>
  <c r="AS119" i="1"/>
  <c r="AT119" i="1" s="1"/>
  <c r="AO118" i="1"/>
  <c r="AS118" i="1" s="1"/>
  <c r="AT118" i="1" s="1"/>
  <c r="AS113" i="1"/>
  <c r="AT113" i="1" s="1"/>
  <c r="AS112" i="1"/>
  <c r="AT112" i="1" s="1"/>
  <c r="AS110" i="1"/>
  <c r="AT110" i="1" s="1"/>
  <c r="AS109" i="1"/>
  <c r="AT109" i="1" s="1"/>
  <c r="AS103" i="1"/>
  <c r="AT103" i="1" s="1"/>
  <c r="AS97" i="1"/>
  <c r="AT97" i="1" s="1"/>
  <c r="AO96" i="1"/>
  <c r="AS96" i="1" s="1"/>
  <c r="AT96" i="1" s="1"/>
  <c r="AS95" i="1"/>
  <c r="AT95" i="1" s="1"/>
  <c r="AS94" i="1"/>
  <c r="AT94" i="1" s="1"/>
  <c r="AS93" i="1"/>
  <c r="AT93" i="1" s="1"/>
  <c r="AS92" i="1"/>
  <c r="AT92" i="1" s="1"/>
  <c r="AS91" i="1"/>
  <c r="AT91" i="1" s="1"/>
  <c r="AS90" i="1"/>
  <c r="AT90" i="1" s="1"/>
  <c r="AS89" i="1"/>
  <c r="AT89" i="1" s="1"/>
  <c r="AS88" i="1"/>
  <c r="AT88" i="1" s="1"/>
  <c r="AS87" i="1"/>
  <c r="AT87" i="1" s="1"/>
  <c r="AS86" i="1"/>
  <c r="AT86" i="1" s="1"/>
  <c r="AS85" i="1"/>
  <c r="AT85" i="1" s="1"/>
  <c r="AS81" i="1"/>
  <c r="AT81" i="1" s="1"/>
  <c r="AS79" i="1"/>
  <c r="AT79" i="1" s="1"/>
  <c r="AS78" i="1"/>
  <c r="AT78" i="1" s="1"/>
  <c r="AS77" i="1"/>
  <c r="AT77" i="1" s="1"/>
  <c r="AS72" i="1"/>
  <c r="AT72" i="1" s="1"/>
  <c r="AS71" i="1"/>
  <c r="AT71" i="1" s="1"/>
  <c r="AS70" i="1"/>
  <c r="AT70" i="1" s="1"/>
  <c r="AS69" i="1"/>
  <c r="AT69" i="1" s="1"/>
  <c r="AS67" i="1"/>
  <c r="AT67" i="1" s="1"/>
  <c r="AS62" i="1"/>
  <c r="AT62" i="1" s="1"/>
  <c r="AS61" i="1"/>
  <c r="AT61" i="1" s="1"/>
  <c r="AS60" i="1"/>
  <c r="AT60" i="1" s="1"/>
  <c r="AS59" i="1"/>
  <c r="AT59" i="1" s="1"/>
  <c r="AS58" i="1"/>
  <c r="AT58" i="1" s="1"/>
  <c r="AS57" i="1"/>
  <c r="AT57" i="1" s="1"/>
  <c r="AS56" i="1"/>
  <c r="AT56" i="1" s="1"/>
  <c r="AS55" i="1"/>
  <c r="AT55" i="1" s="1"/>
  <c r="AS46" i="1"/>
  <c r="AT46" i="1" s="1"/>
  <c r="AS45" i="1"/>
  <c r="AT45" i="1" s="1"/>
  <c r="AY54" i="1"/>
  <c r="AS54" i="1"/>
  <c r="AT54" i="1" s="1"/>
  <c r="AY44" i="1"/>
  <c r="AS44" i="1"/>
  <c r="AT44" i="1" s="1"/>
  <c r="AY43" i="1"/>
  <c r="AS43" i="1"/>
  <c r="AT43" i="1" s="1"/>
  <c r="AS42" i="1"/>
  <c r="AT42" i="1" s="1"/>
  <c r="AS53" i="1"/>
  <c r="AT53" i="1" s="1"/>
  <c r="AS52" i="1"/>
  <c r="AT52" i="1" s="1"/>
  <c r="AS51" i="1"/>
  <c r="AT51" i="1" s="1"/>
  <c r="AS50" i="1"/>
  <c r="AT50" i="1" s="1"/>
  <c r="AS49" i="1"/>
  <c r="AT49" i="1" s="1"/>
  <c r="AS48" i="1"/>
  <c r="AT48" i="1" s="1"/>
  <c r="AS41" i="1"/>
  <c r="AT41" i="1" s="1"/>
  <c r="AY40" i="1"/>
  <c r="AS40" i="1"/>
  <c r="AT40" i="1" s="1"/>
  <c r="AY37" i="1"/>
  <c r="AS37" i="1"/>
  <c r="AT37" i="1" s="1"/>
  <c r="AY36" i="1"/>
  <c r="AS36" i="1"/>
  <c r="AT36" i="1" s="1"/>
  <c r="AY35" i="1"/>
  <c r="AS35" i="1"/>
  <c r="AT35" i="1" s="1"/>
  <c r="AY34" i="1"/>
  <c r="AS34" i="1"/>
  <c r="AT34" i="1" s="1"/>
  <c r="AS47" i="1"/>
  <c r="AT47" i="1" s="1"/>
  <c r="AY33" i="1"/>
  <c r="AS33" i="1"/>
  <c r="AT33" i="1" s="1"/>
  <c r="AY32" i="1"/>
  <c r="AS32" i="1"/>
  <c r="AT32" i="1" s="1"/>
  <c r="AY31" i="1"/>
  <c r="AS31" i="1"/>
  <c r="AT31" i="1" s="1"/>
  <c r="AY30" i="1"/>
  <c r="AS30" i="1"/>
  <c r="AT30" i="1" s="1"/>
  <c r="AS29" i="1"/>
  <c r="AT29" i="1" s="1"/>
  <c r="AS28" i="1"/>
  <c r="AT28" i="1" s="1"/>
  <c r="AY26" i="1"/>
  <c r="AS26" i="1"/>
  <c r="AT26" i="1" s="1"/>
  <c r="AY25" i="1"/>
  <c r="AS25" i="1"/>
  <c r="AT25" i="1" s="1"/>
  <c r="AY24" i="1"/>
  <c r="AS24" i="1"/>
  <c r="AT24" i="1" s="1"/>
  <c r="AV10" i="1"/>
  <c r="AU10" i="1"/>
  <c r="AR10" i="1"/>
  <c r="AS10" i="1" s="1"/>
  <c r="AT10" i="1" s="1"/>
  <c r="AS9" i="1"/>
  <c r="AT9" i="1" s="1"/>
  <c r="AP8" i="1"/>
  <c r="AS8" i="1" s="1"/>
  <c r="AT8" i="1" s="1"/>
  <c r="AS7" i="1"/>
  <c r="AT7" i="1" s="1"/>
  <c r="AR5" i="1"/>
  <c r="AS5" i="1" s="1"/>
  <c r="AT5" i="1" s="1"/>
  <c r="AR4" i="1"/>
  <c r="AS4" i="1" s="1"/>
  <c r="AT4" i="1" s="1"/>
  <c r="DQ33" i="4" l="1"/>
  <c r="DK199" i="4"/>
  <c r="DK200" i="4" s="1"/>
  <c r="DR34" i="4"/>
  <c r="DQ34" i="4"/>
  <c r="DR10" i="4"/>
  <c r="DQ10" i="4"/>
  <c r="DQ9" i="4"/>
  <c r="DR9" i="4"/>
  <c r="DR197" i="4"/>
  <c r="DQ197" i="4"/>
  <c r="DR196" i="4"/>
  <c r="DQ196" i="4"/>
  <c r="DQ4" i="4"/>
  <c r="DR103" i="4"/>
  <c r="DQ103" i="4"/>
  <c r="DR29" i="4"/>
  <c r="DQ29" i="4"/>
  <c r="DR43" i="4"/>
  <c r="DQ43" i="4"/>
  <c r="DR14" i="4"/>
  <c r="DQ14" i="4"/>
  <c r="DR80" i="4"/>
  <c r="DQ80" i="4"/>
  <c r="DQ15" i="4"/>
  <c r="DR15" i="4"/>
  <c r="DQ46" i="4"/>
  <c r="DR46" i="4"/>
  <c r="DR20" i="4"/>
  <c r="DQ20" i="4"/>
  <c r="DQ25" i="4"/>
  <c r="DR25" i="4"/>
  <c r="DR97" i="4"/>
  <c r="DQ97" i="4"/>
  <c r="DR85" i="4"/>
  <c r="DQ85" i="4"/>
  <c r="DQ54" i="4"/>
  <c r="DR54" i="4"/>
  <c r="DR40" i="4"/>
  <c r="DQ40" i="4"/>
  <c r="DR108" i="4"/>
  <c r="DQ108" i="4"/>
  <c r="DQ100" i="4"/>
  <c r="DR100" i="4"/>
  <c r="DQ88" i="4"/>
  <c r="DR88" i="4"/>
  <c r="DQ77" i="4"/>
  <c r="DR77" i="4"/>
  <c r="DQ116" i="4"/>
  <c r="DR116" i="4"/>
  <c r="DQ109" i="4"/>
  <c r="DR109" i="4"/>
  <c r="DQ106" i="4"/>
  <c r="DR106" i="4"/>
  <c r="DQ32" i="4"/>
  <c r="DR32" i="4"/>
  <c r="DQ13" i="4"/>
  <c r="DR13" i="4"/>
  <c r="DQ48" i="4"/>
  <c r="DR48" i="4"/>
  <c r="DQ55" i="4"/>
  <c r="DR55" i="4"/>
  <c r="DQ53" i="4"/>
  <c r="DR53" i="4"/>
  <c r="DQ71" i="4"/>
  <c r="DR71" i="4"/>
  <c r="DR18" i="4"/>
  <c r="DQ18" i="4"/>
  <c r="DQ8" i="4"/>
  <c r="DR8" i="4"/>
  <c r="DR16" i="4"/>
  <c r="DQ16" i="4"/>
  <c r="DR64" i="4"/>
  <c r="DQ64" i="4"/>
  <c r="DR58" i="4"/>
  <c r="DQ58" i="4"/>
  <c r="DQ52" i="4"/>
  <c r="DR52" i="4"/>
  <c r="DR73" i="4"/>
  <c r="DQ73" i="4"/>
  <c r="DQ86" i="4"/>
  <c r="DR86" i="4"/>
  <c r="DQ101" i="4"/>
  <c r="DR101" i="4"/>
  <c r="DQ90" i="4"/>
  <c r="DR90" i="4"/>
  <c r="DR111" i="4"/>
  <c r="DQ111" i="4"/>
  <c r="DQ93" i="4"/>
  <c r="DR93" i="4"/>
  <c r="DQ119" i="4"/>
  <c r="DR119" i="4"/>
  <c r="DQ121" i="4"/>
  <c r="DR121" i="4"/>
  <c r="DQ122" i="4"/>
  <c r="DR122" i="4"/>
  <c r="DQ47" i="4"/>
  <c r="DR47" i="4"/>
  <c r="DQ17" i="4"/>
  <c r="DR17" i="4"/>
  <c r="DR39" i="4"/>
  <c r="DQ39" i="4"/>
  <c r="DQ24" i="4"/>
  <c r="DR24" i="4"/>
  <c r="DR38" i="4"/>
  <c r="DQ38" i="4"/>
  <c r="DQ12" i="4"/>
  <c r="DR12" i="4"/>
  <c r="DQ42" i="4"/>
  <c r="DR42" i="4"/>
  <c r="DR6" i="4"/>
  <c r="DQ6" i="4"/>
  <c r="DR94" i="4"/>
  <c r="DQ94" i="4"/>
  <c r="DR67" i="4"/>
  <c r="DQ67" i="4"/>
  <c r="DR49" i="4"/>
  <c r="DQ49" i="4"/>
  <c r="DR28" i="4"/>
  <c r="DQ28" i="4"/>
  <c r="DR51" i="4"/>
  <c r="DQ51" i="4"/>
  <c r="DR5" i="4"/>
  <c r="DQ5" i="4"/>
  <c r="DR66" i="4"/>
  <c r="DQ66" i="4"/>
  <c r="DR99" i="4"/>
  <c r="DQ99" i="4"/>
  <c r="DQ87" i="4"/>
  <c r="DR87" i="4"/>
  <c r="DR76" i="4"/>
  <c r="DQ76" i="4"/>
  <c r="DR102" i="4"/>
  <c r="DQ102" i="4"/>
  <c r="DQ118" i="4"/>
  <c r="DR118" i="4"/>
  <c r="DQ124" i="4"/>
  <c r="DR124" i="4"/>
  <c r="DQ120" i="4"/>
  <c r="DR120" i="4"/>
  <c r="DQ110" i="4"/>
  <c r="DR110" i="4"/>
  <c r="DQ82" i="4"/>
  <c r="DR82" i="4"/>
  <c r="DR83" i="4"/>
  <c r="DQ83" i="4"/>
  <c r="DR84" i="4"/>
  <c r="DQ84" i="4"/>
  <c r="DR69" i="4"/>
  <c r="DQ69" i="4"/>
  <c r="DQ65" i="4"/>
  <c r="DR65" i="4"/>
  <c r="DR7" i="4"/>
  <c r="DQ7" i="4"/>
  <c r="DR57" i="4"/>
  <c r="DQ57" i="4"/>
  <c r="DR45" i="4"/>
  <c r="DQ45" i="4"/>
  <c r="DR79" i="4"/>
  <c r="DQ79" i="4"/>
  <c r="DR68" i="4"/>
  <c r="DQ68" i="4"/>
  <c r="DR72" i="4"/>
  <c r="DQ72" i="4"/>
  <c r="DR41" i="4"/>
  <c r="DQ41" i="4"/>
  <c r="DR70" i="4"/>
  <c r="DQ70" i="4"/>
  <c r="DQ19" i="4"/>
  <c r="DR19" i="4"/>
  <c r="DR63" i="4"/>
  <c r="DQ63" i="4"/>
  <c r="DQ75" i="4"/>
  <c r="DR75" i="4"/>
  <c r="DR104" i="4"/>
  <c r="DQ104" i="4"/>
  <c r="DQ89" i="4"/>
  <c r="DR89" i="4"/>
  <c r="DR114" i="4"/>
  <c r="DQ114" i="4"/>
  <c r="DR107" i="4"/>
  <c r="DQ107" i="4"/>
  <c r="DR50" i="4"/>
  <c r="DQ50" i="4"/>
  <c r="DR92" i="4"/>
  <c r="DQ92" i="4"/>
  <c r="DQ60" i="4"/>
  <c r="DR60" i="4"/>
  <c r="DQ115" i="4"/>
  <c r="DR115" i="4"/>
  <c r="DR31" i="4"/>
  <c r="DQ31" i="4"/>
  <c r="DQ30" i="4"/>
  <c r="DR30" i="4"/>
  <c r="DR91" i="4"/>
  <c r="DQ91" i="4"/>
  <c r="DR35" i="4"/>
  <c r="DQ35" i="4"/>
  <c r="DR59" i="4"/>
  <c r="DQ59" i="4"/>
  <c r="DQ21" i="4"/>
  <c r="DR21" i="4"/>
  <c r="DQ195" i="4"/>
  <c r="DR195" i="4"/>
  <c r="DR191" i="4"/>
  <c r="DQ191" i="4"/>
  <c r="DR187" i="4"/>
  <c r="DQ187" i="4"/>
  <c r="DQ183" i="4"/>
  <c r="DR183" i="4"/>
  <c r="DQ179" i="4"/>
  <c r="DR179" i="4"/>
  <c r="DQ175" i="4"/>
  <c r="DR175" i="4"/>
  <c r="DQ171" i="4"/>
  <c r="DR171" i="4"/>
  <c r="DQ167" i="4"/>
  <c r="DR167" i="4"/>
  <c r="DR163" i="4"/>
  <c r="DQ163" i="4"/>
  <c r="DR159" i="4"/>
  <c r="DQ159" i="4"/>
  <c r="DR155" i="4"/>
  <c r="DQ155" i="4"/>
  <c r="DR151" i="4"/>
  <c r="DQ151" i="4"/>
  <c r="DR147" i="4"/>
  <c r="DQ147" i="4"/>
  <c r="DR143" i="4"/>
  <c r="DQ143" i="4"/>
  <c r="DR139" i="4"/>
  <c r="DQ139" i="4"/>
  <c r="DQ135" i="4"/>
  <c r="DR135" i="4"/>
  <c r="DR131" i="4"/>
  <c r="DQ131" i="4"/>
  <c r="DQ127" i="4"/>
  <c r="DR127" i="4"/>
  <c r="DR117" i="4"/>
  <c r="DQ117" i="4"/>
  <c r="DQ74" i="4"/>
  <c r="DR74" i="4"/>
  <c r="DQ27" i="4"/>
  <c r="DR27" i="4"/>
  <c r="DQ11" i="4"/>
  <c r="DR11" i="4"/>
  <c r="DR194" i="4"/>
  <c r="DQ194" i="4"/>
  <c r="DQ190" i="4"/>
  <c r="DR190" i="4"/>
  <c r="DQ186" i="4"/>
  <c r="DR186" i="4"/>
  <c r="DQ182" i="4"/>
  <c r="DR182" i="4"/>
  <c r="DR178" i="4"/>
  <c r="DQ178" i="4"/>
  <c r="DR174" i="4"/>
  <c r="DQ174" i="4"/>
  <c r="DQ170" i="4"/>
  <c r="DR170" i="4"/>
  <c r="DQ166" i="4"/>
  <c r="DR166" i="4"/>
  <c r="DQ162" i="4"/>
  <c r="DR162" i="4"/>
  <c r="DR158" i="4"/>
  <c r="DQ158" i="4"/>
  <c r="DQ154" i="4"/>
  <c r="DR154" i="4"/>
  <c r="DR150" i="4"/>
  <c r="DQ150" i="4"/>
  <c r="DQ146" i="4"/>
  <c r="DR146" i="4"/>
  <c r="DQ142" i="4"/>
  <c r="DR142" i="4"/>
  <c r="DQ138" i="4"/>
  <c r="DR138" i="4"/>
  <c r="DQ134" i="4"/>
  <c r="DR134" i="4"/>
  <c r="DR130" i="4"/>
  <c r="DQ130" i="4"/>
  <c r="DR126" i="4"/>
  <c r="DQ126" i="4"/>
  <c r="DR113" i="4"/>
  <c r="DQ113" i="4"/>
  <c r="DR62" i="4"/>
  <c r="DQ62" i="4"/>
  <c r="DQ26" i="4"/>
  <c r="DR26" i="4"/>
  <c r="DR193" i="4"/>
  <c r="DQ193" i="4"/>
  <c r="DR189" i="4"/>
  <c r="DQ189" i="4"/>
  <c r="DR185" i="4"/>
  <c r="DQ185" i="4"/>
  <c r="DQ181" i="4"/>
  <c r="DR181" i="4"/>
  <c r="DR177" i="4"/>
  <c r="DQ177" i="4"/>
  <c r="DQ173" i="4"/>
  <c r="DR173" i="4"/>
  <c r="DR169" i="4"/>
  <c r="DQ169" i="4"/>
  <c r="DR165" i="4"/>
  <c r="DQ165" i="4"/>
  <c r="DR161" i="4"/>
  <c r="DQ161" i="4"/>
  <c r="DQ157" i="4"/>
  <c r="DR157" i="4"/>
  <c r="DR153" i="4"/>
  <c r="DQ153" i="4"/>
  <c r="DR149" i="4"/>
  <c r="DQ149" i="4"/>
  <c r="DR145" i="4"/>
  <c r="DQ145" i="4"/>
  <c r="DR141" i="4"/>
  <c r="DQ141" i="4"/>
  <c r="DQ137" i="4"/>
  <c r="DR137" i="4"/>
  <c r="DQ133" i="4"/>
  <c r="DR133" i="4"/>
  <c r="DR129" i="4"/>
  <c r="DQ129" i="4"/>
  <c r="DQ125" i="4"/>
  <c r="DR125" i="4"/>
  <c r="DQ112" i="4"/>
  <c r="DR112" i="4"/>
  <c r="DR61" i="4"/>
  <c r="DQ61" i="4"/>
  <c r="DQ23" i="4"/>
  <c r="DR23" i="4"/>
  <c r="DR192" i="4"/>
  <c r="DQ192" i="4"/>
  <c r="DR188" i="4"/>
  <c r="DQ188" i="4"/>
  <c r="DR184" i="4"/>
  <c r="DQ184" i="4"/>
  <c r="DR180" i="4"/>
  <c r="DQ180" i="4"/>
  <c r="DR176" i="4"/>
  <c r="DQ176" i="4"/>
  <c r="DR172" i="4"/>
  <c r="DQ172" i="4"/>
  <c r="DR168" i="4"/>
  <c r="DQ168" i="4"/>
  <c r="DR164" i="4"/>
  <c r="DQ164" i="4"/>
  <c r="DQ160" i="4"/>
  <c r="DR160" i="4"/>
  <c r="DQ156" i="4"/>
  <c r="DR156" i="4"/>
  <c r="DR152" i="4"/>
  <c r="DQ152" i="4"/>
  <c r="DR148" i="4"/>
  <c r="DQ148" i="4"/>
  <c r="DR144" i="4"/>
  <c r="DQ144" i="4"/>
  <c r="DR140" i="4"/>
  <c r="DQ140" i="4"/>
  <c r="DQ136" i="4"/>
  <c r="DR136" i="4"/>
  <c r="DR132" i="4"/>
  <c r="DQ132" i="4"/>
  <c r="DQ128" i="4"/>
  <c r="DR128" i="4"/>
  <c r="DQ123" i="4"/>
  <c r="DR123" i="4"/>
  <c r="DQ81" i="4"/>
  <c r="DR81" i="4"/>
  <c r="DR36" i="4"/>
  <c r="DQ36" i="4"/>
  <c r="DQ22" i="4"/>
  <c r="DR22" i="4"/>
  <c r="DR98" i="4"/>
  <c r="DQ98" i="4"/>
  <c r="DR105" i="4"/>
  <c r="DQ105" i="4"/>
  <c r="DQ56" i="4"/>
  <c r="DR56" i="4"/>
  <c r="DR44" i="4"/>
  <c r="DQ44" i="4"/>
  <c r="DQ37" i="4"/>
  <c r="DR37" i="4"/>
  <c r="CM37" i="4"/>
  <c r="CL35" i="4"/>
  <c r="CM4" i="4"/>
  <c r="CL4" i="4"/>
  <c r="CL37" i="4"/>
  <c r="CL136" i="4"/>
  <c r="CM136" i="4"/>
  <c r="CM135" i="4"/>
  <c r="CL135" i="4"/>
  <c r="CM134" i="4"/>
  <c r="CL134" i="4"/>
  <c r="BH104" i="2"/>
  <c r="BG101" i="2"/>
  <c r="BG91" i="2"/>
  <c r="BH96" i="2"/>
  <c r="BH92" i="2"/>
  <c r="BH100" i="2"/>
  <c r="BG81" i="2"/>
  <c r="BH81" i="2"/>
  <c r="BH124" i="2"/>
  <c r="BG124" i="2"/>
  <c r="BG105" i="2"/>
  <c r="BG103" i="2"/>
  <c r="BG106" i="2"/>
  <c r="BG90" i="2"/>
  <c r="BG123" i="2"/>
  <c r="BH123" i="2"/>
  <c r="BH97" i="2"/>
  <c r="BG102" i="2"/>
  <c r="BH116" i="2"/>
  <c r="BG116" i="2"/>
  <c r="BH10" i="1"/>
  <c r="BG10" i="1"/>
  <c r="BG34" i="1"/>
  <c r="BH34" i="1"/>
  <c r="BG36" i="1"/>
  <c r="BH36" i="1"/>
  <c r="BG40" i="1"/>
  <c r="BH40" i="1"/>
  <c r="BG44" i="1"/>
  <c r="BH44" i="1"/>
  <c r="BG25" i="1"/>
  <c r="BH25" i="1"/>
  <c r="BH31" i="1"/>
  <c r="BG31" i="1"/>
  <c r="BG33" i="1"/>
  <c r="BH33" i="1"/>
  <c r="BH35" i="1"/>
  <c r="BG35" i="1"/>
  <c r="BG37" i="1"/>
  <c r="BH37" i="1"/>
  <c r="BG43" i="1"/>
  <c r="BH43" i="1"/>
  <c r="BG54" i="1"/>
  <c r="BH54" i="1"/>
  <c r="BG24" i="1"/>
  <c r="BH24" i="1"/>
  <c r="BG26" i="1"/>
  <c r="BH26" i="1"/>
  <c r="BG30" i="1"/>
  <c r="BH30" i="1"/>
  <c r="BG32" i="1"/>
  <c r="BH32" i="1"/>
  <c r="CM67" i="4"/>
  <c r="CM85" i="4"/>
  <c r="CM8" i="4"/>
  <c r="CM118" i="4"/>
  <c r="CM93" i="4"/>
  <c r="CM14" i="4"/>
  <c r="CM41" i="4"/>
  <c r="CM80" i="4"/>
  <c r="CM45" i="4"/>
  <c r="CM101" i="4"/>
  <c r="CL18" i="4"/>
  <c r="CL49" i="4"/>
  <c r="CL63" i="4"/>
  <c r="CM86" i="4"/>
  <c r="CL86" i="4"/>
  <c r="CL161" i="4"/>
  <c r="CM5" i="4"/>
  <c r="CL5" i="4"/>
  <c r="CM31" i="4"/>
  <c r="CL31" i="4"/>
  <c r="CM54" i="4"/>
  <c r="CL54" i="4"/>
  <c r="CM68" i="4"/>
  <c r="CL68" i="4"/>
  <c r="CL154" i="4"/>
  <c r="CM154" i="4"/>
  <c r="CM182" i="4"/>
  <c r="CL182" i="4"/>
  <c r="CM20" i="4"/>
  <c r="CL20" i="4"/>
  <c r="CM39" i="4"/>
  <c r="CL39" i="4"/>
  <c r="CM59" i="4"/>
  <c r="CL59" i="4"/>
  <c r="CL84" i="4"/>
  <c r="CL159" i="4"/>
  <c r="CM159" i="4"/>
  <c r="CL17" i="4"/>
  <c r="CL40" i="4"/>
  <c r="CL56" i="4"/>
  <c r="CL73" i="4"/>
  <c r="CM164" i="4"/>
  <c r="CL164" i="4"/>
  <c r="CL105" i="4"/>
  <c r="CM99" i="4"/>
  <c r="CL99" i="4"/>
  <c r="CL106" i="4"/>
  <c r="CM103" i="4"/>
  <c r="CL103" i="4"/>
  <c r="CM127" i="4"/>
  <c r="CL127" i="4"/>
  <c r="CL107" i="4"/>
  <c r="CM119" i="4"/>
  <c r="CL119" i="4"/>
  <c r="CL133" i="4"/>
  <c r="CL130" i="4"/>
  <c r="CL155" i="4"/>
  <c r="CM155" i="4"/>
  <c r="CM176" i="4"/>
  <c r="CL176" i="4"/>
  <c r="CL163" i="4"/>
  <c r="CM163" i="4"/>
  <c r="CL185" i="4"/>
  <c r="CM185" i="4"/>
  <c r="CM27" i="4"/>
  <c r="CL27" i="4"/>
  <c r="CL92" i="4"/>
  <c r="CM168" i="4"/>
  <c r="CL168" i="4"/>
  <c r="CM192" i="4"/>
  <c r="CL192" i="4"/>
  <c r="CL138" i="4"/>
  <c r="CM138" i="4"/>
  <c r="CL195" i="4"/>
  <c r="CM195" i="4"/>
  <c r="CL22" i="4"/>
  <c r="CM22" i="4"/>
  <c r="CL139" i="4"/>
  <c r="CM139" i="4"/>
  <c r="CL162" i="4"/>
  <c r="CM162" i="4"/>
  <c r="CM129" i="4"/>
  <c r="CL129" i="4"/>
  <c r="CM13" i="4"/>
  <c r="CM29" i="4"/>
  <c r="CM48" i="4"/>
  <c r="CM62" i="4"/>
  <c r="CM77" i="4"/>
  <c r="CM98" i="4"/>
  <c r="CM114" i="4"/>
  <c r="CM130" i="4"/>
  <c r="CM149" i="4"/>
  <c r="CM165" i="4"/>
  <c r="CM181" i="4"/>
  <c r="CM174" i="4"/>
  <c r="CL30" i="4"/>
  <c r="CM30" i="4"/>
  <c r="CL53" i="4"/>
  <c r="CL67" i="4"/>
  <c r="CL149" i="4"/>
  <c r="CL169" i="4"/>
  <c r="CM11" i="4"/>
  <c r="CL11" i="4"/>
  <c r="CM38" i="4"/>
  <c r="CL38" i="4"/>
  <c r="CM58" i="4"/>
  <c r="CL58" i="4"/>
  <c r="CM97" i="4"/>
  <c r="CL97" i="4"/>
  <c r="CL158" i="4"/>
  <c r="CM158" i="4"/>
  <c r="CM6" i="4"/>
  <c r="CL6" i="4"/>
  <c r="CM24" i="4"/>
  <c r="CL24" i="4"/>
  <c r="CM43" i="4"/>
  <c r="CL43" i="4"/>
  <c r="CM65" i="4"/>
  <c r="CL65" i="4"/>
  <c r="CL98" i="4"/>
  <c r="CL183" i="4"/>
  <c r="CM183" i="4"/>
  <c r="CL25" i="4"/>
  <c r="CL44" i="4"/>
  <c r="CL79" i="4"/>
  <c r="CL85" i="4"/>
  <c r="CM172" i="4"/>
  <c r="CL172" i="4"/>
  <c r="CM47" i="4"/>
  <c r="CL47" i="4"/>
  <c r="CM90" i="4"/>
  <c r="CL90" i="4"/>
  <c r="CL102" i="4"/>
  <c r="CM76" i="4"/>
  <c r="CL76" i="4"/>
  <c r="CM100" i="4"/>
  <c r="CL100" i="4"/>
  <c r="CL109" i="4"/>
  <c r="CM116" i="4"/>
  <c r="CL116" i="4"/>
  <c r="CM124" i="4"/>
  <c r="CL124" i="4"/>
  <c r="CL125" i="4"/>
  <c r="CL108" i="4"/>
  <c r="CL193" i="4"/>
  <c r="CM193" i="4"/>
  <c r="CM194" i="4"/>
  <c r="CL194" i="4"/>
  <c r="CL189" i="4"/>
  <c r="CM189" i="4"/>
  <c r="CM179" i="4"/>
  <c r="CL179" i="4"/>
  <c r="CM94" i="4"/>
  <c r="CL94" i="4"/>
  <c r="CL143" i="4"/>
  <c r="CM143" i="4"/>
  <c r="CL166" i="4"/>
  <c r="CM166" i="4"/>
  <c r="CL187" i="4"/>
  <c r="CM187" i="4"/>
  <c r="CL142" i="4"/>
  <c r="CM142" i="4"/>
  <c r="CL180" i="4"/>
  <c r="CM180" i="4"/>
  <c r="CM102" i="4"/>
  <c r="CM113" i="4"/>
  <c r="CL113" i="4"/>
  <c r="CM17" i="4"/>
  <c r="CM35" i="4"/>
  <c r="CM52" i="4"/>
  <c r="CM66" i="4"/>
  <c r="CM84" i="4"/>
  <c r="CM105" i="4"/>
  <c r="CM125" i="4"/>
  <c r="CM133" i="4"/>
  <c r="CM153" i="4"/>
  <c r="CM169" i="4"/>
  <c r="CM18" i="4"/>
  <c r="CL8" i="4"/>
  <c r="CL36" i="4"/>
  <c r="CM36" i="4"/>
  <c r="CL57" i="4"/>
  <c r="CL71" i="4"/>
  <c r="CL153" i="4"/>
  <c r="CL173" i="4"/>
  <c r="CM15" i="4"/>
  <c r="CL15" i="4"/>
  <c r="CM42" i="4"/>
  <c r="CL42" i="4"/>
  <c r="CM60" i="4"/>
  <c r="CL60" i="4"/>
  <c r="CL146" i="4"/>
  <c r="CM146" i="4"/>
  <c r="CL170" i="4"/>
  <c r="CM170" i="4"/>
  <c r="CM12" i="4"/>
  <c r="CL12" i="4"/>
  <c r="CM28" i="4"/>
  <c r="CL28" i="4"/>
  <c r="CM51" i="4"/>
  <c r="CL51" i="4"/>
  <c r="CM69" i="4"/>
  <c r="CL69" i="4"/>
  <c r="CL147" i="4"/>
  <c r="CM147" i="4"/>
  <c r="CL7" i="4"/>
  <c r="CL29" i="4"/>
  <c r="CL48" i="4"/>
  <c r="CL66" i="4"/>
  <c r="CM156" i="4"/>
  <c r="CL156" i="4"/>
  <c r="CM184" i="4"/>
  <c r="CL184" i="4"/>
  <c r="CM46" i="4"/>
  <c r="CL46" i="4"/>
  <c r="CL89" i="4"/>
  <c r="CL21" i="4"/>
  <c r="CL77" i="4"/>
  <c r="CL115" i="4"/>
  <c r="CM115" i="4"/>
  <c r="CL118" i="4"/>
  <c r="CM123" i="4"/>
  <c r="CL123" i="4"/>
  <c r="CL120" i="4"/>
  <c r="CL121" i="4"/>
  <c r="CL93" i="4"/>
  <c r="CM190" i="4"/>
  <c r="CL190" i="4"/>
  <c r="CM82" i="4"/>
  <c r="CL82" i="4"/>
  <c r="CM117" i="4"/>
  <c r="CL117" i="4"/>
  <c r="CM140" i="4"/>
  <c r="CL140" i="4"/>
  <c r="CL141" i="4"/>
  <c r="CL137" i="4"/>
  <c r="CM137" i="4"/>
  <c r="CM132" i="4"/>
  <c r="CL132" i="4"/>
  <c r="CL62" i="4"/>
  <c r="CM61" i="4"/>
  <c r="CL61" i="4"/>
  <c r="CL126" i="4"/>
  <c r="CM126" i="4"/>
  <c r="CM188" i="4"/>
  <c r="CL188" i="4"/>
  <c r="CL26" i="4"/>
  <c r="CM26" i="4"/>
  <c r="CM83" i="4"/>
  <c r="CL83" i="4"/>
  <c r="CM57" i="4"/>
  <c r="CM109" i="4"/>
  <c r="CM21" i="4"/>
  <c r="CM40" i="4"/>
  <c r="CM56" i="4"/>
  <c r="CM70" i="4"/>
  <c r="CM88" i="4"/>
  <c r="CM106" i="4"/>
  <c r="CM121" i="4"/>
  <c r="CM141" i="4"/>
  <c r="CM157" i="4"/>
  <c r="CM173" i="4"/>
  <c r="CM112" i="4"/>
  <c r="CL112" i="4"/>
  <c r="CM71" i="4"/>
  <c r="CL14" i="4"/>
  <c r="CL41" i="4"/>
  <c r="CL80" i="4"/>
  <c r="CL74" i="4"/>
  <c r="CM74" i="4"/>
  <c r="CL157" i="4"/>
  <c r="CL181" i="4"/>
  <c r="CM19" i="4"/>
  <c r="CL19" i="4"/>
  <c r="CM50" i="4"/>
  <c r="CL50" i="4"/>
  <c r="CM64" i="4"/>
  <c r="CL64" i="4"/>
  <c r="CL150" i="4"/>
  <c r="CM150" i="4"/>
  <c r="CL174" i="4"/>
  <c r="CM16" i="4"/>
  <c r="CL16" i="4"/>
  <c r="CM32" i="4"/>
  <c r="CL32" i="4"/>
  <c r="CM55" i="4"/>
  <c r="CL55" i="4"/>
  <c r="CM72" i="4"/>
  <c r="CL72" i="4"/>
  <c r="CL151" i="4"/>
  <c r="CM151" i="4"/>
  <c r="CL13" i="4"/>
  <c r="CL52" i="4"/>
  <c r="CL70" i="4"/>
  <c r="CM160" i="4"/>
  <c r="CL160" i="4"/>
  <c r="CL45" i="4"/>
  <c r="CL145" i="4"/>
  <c r="CM75" i="4"/>
  <c r="CL75" i="4"/>
  <c r="CL88" i="4"/>
  <c r="CM104" i="4"/>
  <c r="CL104" i="4"/>
  <c r="CM87" i="4"/>
  <c r="CL87" i="4"/>
  <c r="CM111" i="4"/>
  <c r="CL111" i="4"/>
  <c r="CL101" i="4"/>
  <c r="CM122" i="4"/>
  <c r="CL122" i="4"/>
  <c r="CM91" i="4"/>
  <c r="CL91" i="4"/>
  <c r="CL128" i="4"/>
  <c r="CM128" i="4"/>
  <c r="CM131" i="4"/>
  <c r="CL131" i="4"/>
  <c r="CL191" i="4"/>
  <c r="CM191" i="4"/>
  <c r="CL81" i="4"/>
  <c r="CM81" i="4"/>
  <c r="CL114" i="4"/>
  <c r="CL178" i="4"/>
  <c r="CM178" i="4"/>
  <c r="CL167" i="4"/>
  <c r="CM167" i="4"/>
  <c r="CL171" i="4"/>
  <c r="CM171" i="4"/>
  <c r="CM23" i="4"/>
  <c r="CL23" i="4"/>
  <c r="CM152" i="4"/>
  <c r="CL152" i="4"/>
  <c r="CL177" i="4"/>
  <c r="CM175" i="4"/>
  <c r="CL175" i="4"/>
  <c r="CM110" i="4"/>
  <c r="CL110" i="4"/>
  <c r="CM144" i="4"/>
  <c r="CL144" i="4"/>
  <c r="CM148" i="4"/>
  <c r="CL148" i="4"/>
  <c r="CM186" i="4"/>
  <c r="CL186" i="4"/>
  <c r="CL165" i="4"/>
  <c r="CM107" i="4"/>
  <c r="CM89" i="4"/>
  <c r="CM63" i="4"/>
  <c r="CM49" i="4"/>
  <c r="CM7" i="4"/>
  <c r="CM25" i="4"/>
  <c r="CM44" i="4"/>
  <c r="CM79" i="4"/>
  <c r="CM73" i="4"/>
  <c r="CM92" i="4"/>
  <c r="CM108" i="4"/>
  <c r="CM120" i="4"/>
  <c r="CM145" i="4"/>
  <c r="CM161" i="4"/>
  <c r="CM177" i="4"/>
  <c r="CM5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每週四中午前完成更新</t>
        </r>
      </text>
    </comment>
    <comment ref="DX2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2025.05.14
與卉庭、凱文確認安庫</t>
        </r>
      </text>
    </comment>
    <comment ref="C22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 xml:space="preserve">6c.c.
</t>
        </r>
      </text>
    </comment>
    <comment ref="C23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 xml:space="preserve">8c.c
</t>
        </r>
      </text>
    </comment>
    <comment ref="C26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 xml:space="preserve">*6c.c. 小分子
</t>
        </r>
      </text>
    </comment>
    <comment ref="C27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 xml:space="preserve">*8c.c.
</t>
        </r>
      </text>
    </comment>
    <comment ref="C40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仙女玻尿酸大分子</t>
        </r>
      </text>
    </comment>
    <comment ref="C41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仙女玻尿酸小分子</t>
        </r>
      </text>
    </comment>
    <comment ref="C45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熊貓針
周一前匯款、周三出貨
週二後匯款、隔周三出貨</t>
        </r>
      </text>
    </comment>
    <comment ref="C74" authorId="0" shapeId="0" xr:uid="{00000000-0006-0000-0000-00000F000000}">
      <text>
        <r>
          <rPr>
            <sz val="10"/>
            <color rgb="FF000000"/>
            <rFont val="Arial"/>
            <family val="2"/>
            <scheme val="minor"/>
          </rPr>
          <t>大玉璽</t>
        </r>
      </text>
    </comment>
    <comment ref="C79" authorId="0" shapeId="0" xr:uid="{00000000-0006-0000-0000-00000A000000}">
      <text>
        <r>
          <rPr>
            <sz val="10"/>
            <color rgb="FF000000"/>
            <rFont val="Arial"/>
            <family val="2"/>
            <scheme val="minor"/>
          </rPr>
          <t>冷凍</t>
        </r>
      </text>
    </comment>
    <comment ref="AO79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1-6月 阿爾發一台</t>
        </r>
      </text>
    </comment>
    <comment ref="AQ79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7-8月 2台阿爾發</t>
        </r>
      </text>
    </comment>
    <comment ref="AR79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9月起 3台阿爾發</t>
        </r>
      </text>
    </comment>
    <comment ref="C80" authorId="0" shapeId="0" xr:uid="{00000000-0006-0000-0000-00000E000000}">
      <text>
        <r>
          <rPr>
            <sz val="10"/>
            <color rgb="FF000000"/>
            <rFont val="Arial"/>
            <family val="2"/>
            <scheme val="minor"/>
          </rPr>
          <t>ILIB/氦氖針</t>
        </r>
      </text>
    </comment>
    <comment ref="C105" authorId="0" shapeId="0" xr:uid="{00000000-0006-0000-0000-000010000000}">
      <text>
        <r>
          <rPr>
            <sz val="10"/>
            <color rgb="FF000000"/>
            <rFont val="Arial"/>
            <family val="2"/>
            <scheme val="minor"/>
          </rPr>
          <t xml:space="preserve">*4
</t>
        </r>
      </text>
    </comment>
    <comment ref="C147" authorId="0" shapeId="0" xr:uid="{00000000-0006-0000-0000-000011000000}">
      <text>
        <r>
          <rPr>
            <sz val="10"/>
            <color rgb="FF000000"/>
            <rFont val="Arial"/>
            <family val="2"/>
            <scheme val="minor"/>
          </rPr>
          <t xml:space="preserve">舒萃
</t>
        </r>
      </text>
    </comment>
    <comment ref="C160" authorId="0" shapeId="0" xr:uid="{00000000-0006-0000-0000-000012000000}">
      <text>
        <r>
          <rPr>
            <sz val="10"/>
            <color rgb="FF000000"/>
            <rFont val="Arial"/>
            <family val="2"/>
            <scheme val="minor"/>
          </rPr>
          <t>海神霜</t>
        </r>
      </text>
    </comment>
    <comment ref="C170" authorId="0" shapeId="0" xr:uid="{00000000-0006-0000-0000-000013000000}">
      <text>
        <r>
          <rPr>
            <sz val="10"/>
            <color rgb="FF000000"/>
            <rFont val="Arial"/>
            <family val="2"/>
            <scheme val="minor"/>
          </rPr>
          <t>NU防曬</t>
        </r>
      </text>
    </comment>
    <comment ref="C172" authorId="0" shapeId="0" xr:uid="{00000000-0006-0000-0000-000014000000}">
      <text>
        <r>
          <rPr>
            <sz val="10"/>
            <color rgb="FF000000"/>
            <rFont val="Arial"/>
            <family val="2"/>
            <scheme val="minor"/>
          </rPr>
          <t xml:space="preserve">海神霜
</t>
        </r>
      </text>
    </comment>
    <comment ref="C180" authorId="0" shapeId="0" xr:uid="{00000000-0006-0000-0000-000015000000}">
      <text>
        <r>
          <rPr>
            <sz val="10"/>
            <color rgb="FF000000"/>
            <rFont val="Arial"/>
            <family val="2"/>
            <scheme val="minor"/>
          </rPr>
          <t xml:space="preserve">EDN洗面乳
</t>
        </r>
      </text>
    </comment>
    <comment ref="C183" authorId="0" shapeId="0" xr:uid="{00000000-0006-0000-0000-000016000000}">
      <text>
        <r>
          <rPr>
            <sz val="10"/>
            <color rgb="FF000000"/>
            <rFont val="Arial"/>
            <family val="2"/>
            <scheme val="minor"/>
          </rPr>
          <t xml:space="preserve">EDN眼膜
</t>
        </r>
      </text>
    </comment>
    <comment ref="F189" authorId="0" shapeId="0" xr:uid="{00000000-0006-0000-0000-000017000000}">
      <text>
        <r>
          <rPr>
            <sz val="10"/>
            <color rgb="FF000000"/>
            <rFont val="Arial"/>
            <family val="2"/>
            <scheme val="minor"/>
          </rPr>
          <t xml:space="preserve">19*有試用-中文標
26*沒有試用-中文標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X2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2025.05.14
與卉庭、凱文確認安庫</t>
        </r>
      </text>
    </comment>
    <comment ref="C22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 xml:space="preserve">6c.c.
</t>
        </r>
      </text>
    </comment>
    <comment ref="C23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 xml:space="preserve">8c.c
</t>
        </r>
      </text>
    </comment>
    <comment ref="C26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 xml:space="preserve">*6c.c. 小分子
</t>
        </r>
      </text>
    </comment>
    <comment ref="C27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 xml:space="preserve">*8c.c.
</t>
        </r>
      </text>
    </comment>
    <comment ref="C40" authorId="0" shapeId="0" xr:uid="{00000000-0006-0000-0100-000007000000}">
      <text>
        <r>
          <rPr>
            <sz val="10"/>
            <color rgb="FF000000"/>
            <rFont val="Arial"/>
            <family val="2"/>
            <scheme val="minor"/>
          </rPr>
          <t>仙女玻尿酸大分子</t>
        </r>
      </text>
    </comment>
    <comment ref="C41" authorId="0" shapeId="0" xr:uid="{00000000-0006-0000-0100-000008000000}">
      <text>
        <r>
          <rPr>
            <sz val="10"/>
            <color rgb="FF000000"/>
            <rFont val="Arial"/>
            <family val="2"/>
            <scheme val="minor"/>
          </rPr>
          <t>仙女玻尿酸小分子</t>
        </r>
      </text>
    </comment>
    <comment ref="C45" authorId="0" shapeId="0" xr:uid="{00000000-0006-0000-0100-000009000000}">
      <text>
        <r>
          <rPr>
            <sz val="10"/>
            <color rgb="FF000000"/>
            <rFont val="Arial"/>
            <family val="2"/>
            <scheme val="minor"/>
          </rPr>
          <t>熊貓針
周一前匯款、周三出貨
週二後匯款、隔周三出貨</t>
        </r>
      </text>
    </comment>
    <comment ref="C60" authorId="0" shapeId="0" xr:uid="{00000000-0006-0000-0100-00000A000000}">
      <text>
        <r>
          <rPr>
            <sz val="10"/>
            <color rgb="FF000000"/>
            <rFont val="Arial"/>
            <family val="2"/>
            <scheme val="minor"/>
          </rPr>
          <t>冷凍</t>
        </r>
      </text>
    </comment>
    <comment ref="AL60" authorId="0" shapeId="0" xr:uid="{00000000-0006-0000-0100-00000B000000}">
      <text>
        <r>
          <rPr>
            <sz val="10"/>
            <color rgb="FF000000"/>
            <rFont val="Arial"/>
            <family val="2"/>
            <scheme val="minor"/>
          </rPr>
          <t>1-6月 阿爾發一台</t>
        </r>
      </text>
    </comment>
    <comment ref="AN60" authorId="0" shapeId="0" xr:uid="{00000000-0006-0000-0100-00000C000000}">
      <text>
        <r>
          <rPr>
            <sz val="10"/>
            <color rgb="FF000000"/>
            <rFont val="Arial"/>
            <family val="2"/>
            <scheme val="minor"/>
          </rPr>
          <t>7-8月 2台阿爾發</t>
        </r>
      </text>
    </comment>
    <comment ref="AO60" authorId="0" shapeId="0" xr:uid="{00000000-0006-0000-0100-00000D000000}">
      <text>
        <r>
          <rPr>
            <sz val="10"/>
            <color rgb="FF000000"/>
            <rFont val="Arial"/>
            <family val="2"/>
            <scheme val="minor"/>
          </rPr>
          <t>9月起 3台阿爾發</t>
        </r>
      </text>
    </comment>
    <comment ref="C61" authorId="0" shapeId="0" xr:uid="{00000000-0006-0000-0100-00000E000000}">
      <text>
        <r>
          <rPr>
            <sz val="10"/>
            <color rgb="FF000000"/>
            <rFont val="Arial"/>
            <family val="2"/>
            <scheme val="minor"/>
          </rPr>
          <t>ILIB/氦氖針</t>
        </r>
      </text>
    </comment>
    <comment ref="C77" authorId="0" shapeId="0" xr:uid="{932069B7-00C1-44DC-842F-7F2007D1DA7A}">
      <text>
        <r>
          <rPr>
            <sz val="10"/>
            <color rgb="FF000000"/>
            <rFont val="Arial"/>
            <family val="2"/>
            <scheme val="minor"/>
          </rPr>
          <t>大玉璽</t>
        </r>
      </text>
    </comment>
    <comment ref="C95" authorId="0" shapeId="0" xr:uid="{00000000-0006-0000-0100-000010000000}">
      <text>
        <r>
          <rPr>
            <sz val="10"/>
            <color rgb="FF000000"/>
            <rFont val="Arial"/>
            <family val="2"/>
            <scheme val="minor"/>
          </rPr>
          <t xml:space="preserve">*4
</t>
        </r>
      </text>
    </comment>
    <comment ref="C142" authorId="0" shapeId="0" xr:uid="{00000000-0006-0000-0100-000011000000}">
      <text>
        <r>
          <rPr>
            <sz val="10"/>
            <color rgb="FF000000"/>
            <rFont val="Arial"/>
            <family val="2"/>
            <scheme val="minor"/>
          </rPr>
          <t xml:space="preserve">舒萃
</t>
        </r>
      </text>
    </comment>
    <comment ref="C155" authorId="0" shapeId="0" xr:uid="{00000000-0006-0000-0100-000012000000}">
      <text>
        <r>
          <rPr>
            <sz val="10"/>
            <color rgb="FF000000"/>
            <rFont val="Arial"/>
            <family val="2"/>
            <scheme val="minor"/>
          </rPr>
          <t>海神霜</t>
        </r>
      </text>
    </comment>
    <comment ref="C165" authorId="0" shapeId="0" xr:uid="{00000000-0006-0000-0100-000013000000}">
      <text>
        <r>
          <rPr>
            <sz val="10"/>
            <color rgb="FF000000"/>
            <rFont val="Arial"/>
            <family val="2"/>
            <scheme val="minor"/>
          </rPr>
          <t>NU防曬</t>
        </r>
      </text>
    </comment>
    <comment ref="C167" authorId="0" shapeId="0" xr:uid="{00000000-0006-0000-0100-000014000000}">
      <text>
        <r>
          <rPr>
            <sz val="10"/>
            <color rgb="FF000000"/>
            <rFont val="Arial"/>
            <family val="2"/>
            <scheme val="minor"/>
          </rPr>
          <t xml:space="preserve">海神霜
</t>
        </r>
      </text>
    </comment>
    <comment ref="C175" authorId="0" shapeId="0" xr:uid="{00000000-0006-0000-0100-000015000000}">
      <text>
        <r>
          <rPr>
            <sz val="10"/>
            <color rgb="FF000000"/>
            <rFont val="Arial"/>
            <family val="2"/>
            <scheme val="minor"/>
          </rPr>
          <t xml:space="preserve">EDN洗面乳
</t>
        </r>
      </text>
    </comment>
    <comment ref="C178" authorId="0" shapeId="0" xr:uid="{00000000-0006-0000-0100-000016000000}">
      <text>
        <r>
          <rPr>
            <sz val="10"/>
            <color rgb="FF000000"/>
            <rFont val="Arial"/>
            <family val="2"/>
            <scheme val="minor"/>
          </rPr>
          <t xml:space="preserve">EDN眼膜
</t>
        </r>
      </text>
    </comment>
    <comment ref="F190" authorId="0" shapeId="0" xr:uid="{00000000-0006-0000-0100-000017000000}">
      <text>
        <r>
          <rPr>
            <sz val="10"/>
            <color rgb="FF000000"/>
            <rFont val="Arial"/>
            <family val="2"/>
            <scheme val="minor"/>
          </rPr>
          <t xml:space="preserve">19*有試用-中文標
26*沒有試用-中文標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X2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2025.05.14
與卉庭、凱文確認安庫</t>
        </r>
      </text>
    </comment>
    <comment ref="C4" authorId="0" shapeId="0" xr:uid="{00000000-0006-0000-0200-000003000000}">
      <text>
        <r>
          <rPr>
            <sz val="10"/>
            <color rgb="FF000000"/>
            <rFont val="Arial"/>
            <family val="2"/>
            <scheme val="minor"/>
          </rPr>
          <t>冷凍</t>
        </r>
      </text>
    </comment>
    <comment ref="AL4" authorId="0" shapeId="0" xr:uid="{00000000-0006-0000-0200-000004000000}">
      <text>
        <r>
          <rPr>
            <sz val="10"/>
            <color rgb="FF000000"/>
            <rFont val="Arial"/>
            <family val="2"/>
            <scheme val="minor"/>
          </rPr>
          <t>1-6月 阿爾發一台</t>
        </r>
      </text>
    </comment>
    <comment ref="AN4" authorId="0" shapeId="0" xr:uid="{00000000-0006-0000-0200-000005000000}">
      <text>
        <r>
          <rPr>
            <sz val="10"/>
            <color rgb="FF000000"/>
            <rFont val="Arial"/>
            <family val="2"/>
            <scheme val="minor"/>
          </rPr>
          <t>7-8月 2台阿爾發</t>
        </r>
      </text>
    </comment>
    <comment ref="AO4" authorId="0" shapeId="0" xr:uid="{00000000-0006-0000-0200-000006000000}">
      <text>
        <r>
          <rPr>
            <sz val="10"/>
            <color rgb="FF000000"/>
            <rFont val="Arial"/>
            <family val="2"/>
            <scheme val="minor"/>
          </rPr>
          <t>9月起 3台阿爾發</t>
        </r>
      </text>
    </comment>
    <comment ref="C5" authorId="0" shapeId="0" xr:uid="{00000000-0006-0000-0200-000007000000}">
      <text>
        <r>
          <rPr>
            <sz val="10"/>
            <color rgb="FF000000"/>
            <rFont val="Arial"/>
            <family val="2"/>
            <scheme val="minor"/>
          </rPr>
          <t>ILIB/</t>
        </r>
        <r>
          <rPr>
            <sz val="10"/>
            <color rgb="FF000000"/>
            <rFont val="Arial"/>
            <family val="3"/>
            <charset val="136"/>
            <scheme val="minor"/>
          </rPr>
          <t>氦氖針</t>
        </r>
      </text>
    </comment>
    <comment ref="C29" authorId="0" shapeId="0" xr:uid="{00000000-0006-0000-0200-000008000000}">
      <text>
        <r>
          <rPr>
            <sz val="10"/>
            <color rgb="FF000000"/>
            <rFont val="Arial"/>
            <family val="2"/>
            <scheme val="minor"/>
          </rPr>
          <t xml:space="preserve">*4
</t>
        </r>
      </text>
    </comment>
    <comment ref="C68" authorId="0" shapeId="0" xr:uid="{00000000-0006-0000-0200-000009000000}">
      <text>
        <r>
          <rPr>
            <sz val="10"/>
            <color rgb="FF000000"/>
            <rFont val="Arial"/>
            <family val="2"/>
            <scheme val="minor"/>
          </rPr>
          <t xml:space="preserve">舒萃
</t>
        </r>
      </text>
    </comment>
    <comment ref="C81" authorId="0" shapeId="0" xr:uid="{00000000-0006-0000-0200-00000A000000}">
      <text>
        <r>
          <rPr>
            <sz val="10"/>
            <color rgb="FF000000"/>
            <rFont val="Arial"/>
            <family val="2"/>
            <scheme val="minor"/>
          </rPr>
          <t>海神霜</t>
        </r>
      </text>
    </comment>
    <comment ref="C91" authorId="0" shapeId="0" xr:uid="{00000000-0006-0000-0200-00000B000000}">
      <text>
        <r>
          <rPr>
            <sz val="10"/>
            <color rgb="FF000000"/>
            <rFont val="Arial"/>
            <family val="2"/>
            <scheme val="minor"/>
          </rPr>
          <t>NU防曬</t>
        </r>
      </text>
    </comment>
    <comment ref="C93" authorId="0" shapeId="0" xr:uid="{00000000-0006-0000-0200-00000C000000}">
      <text>
        <r>
          <rPr>
            <sz val="10"/>
            <color rgb="FF000000"/>
            <rFont val="Arial"/>
            <family val="2"/>
            <scheme val="minor"/>
          </rPr>
          <t xml:space="preserve">海神霜
</t>
        </r>
      </text>
    </comment>
    <comment ref="C101" authorId="0" shapeId="0" xr:uid="{00000000-0006-0000-0200-00000D000000}">
      <text>
        <r>
          <rPr>
            <sz val="10"/>
            <color rgb="FF000000"/>
            <rFont val="Arial"/>
            <family val="2"/>
            <scheme val="minor"/>
          </rPr>
          <t xml:space="preserve">EDN洗面乳
</t>
        </r>
      </text>
    </comment>
    <comment ref="C104" authorId="0" shapeId="0" xr:uid="{00000000-0006-0000-0200-00000E000000}">
      <text>
        <r>
          <rPr>
            <sz val="10"/>
            <color rgb="FF000000"/>
            <rFont val="Arial"/>
            <family val="2"/>
            <scheme val="minor"/>
          </rPr>
          <t xml:space="preserve">EDN眼膜
</t>
        </r>
      </text>
    </comment>
    <comment ref="F116" authorId="0" shapeId="0" xr:uid="{00000000-0006-0000-0200-00000F000000}">
      <text>
        <r>
          <rPr>
            <sz val="10"/>
            <color rgb="FF000000"/>
            <rFont val="Arial"/>
            <family val="2"/>
            <scheme val="minor"/>
          </rPr>
          <t xml:space="preserve">19*有試用-中文標
26*沒有試用-中文標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2" authorId="0" shapeId="0" xr:uid="{00000000-0006-0000-0400-000002000000}">
      <text>
        <r>
          <rPr>
            <sz val="10"/>
            <color rgb="FF000000"/>
            <rFont val="Arial"/>
            <family val="2"/>
            <scheme val="minor"/>
          </rPr>
          <t>2025.05.14
與卉庭、凱文確認安庫</t>
        </r>
      </text>
    </comment>
    <comment ref="C4" authorId="0" shapeId="0" xr:uid="{00000000-0006-0000-0400-000003000000}">
      <text>
        <r>
          <rPr>
            <sz val="10"/>
            <color rgb="FF000000"/>
            <rFont val="Arial"/>
            <family val="2"/>
            <scheme val="minor"/>
          </rPr>
          <t>冷凍</t>
        </r>
      </text>
    </comment>
    <comment ref="C26" authorId="0" shapeId="0" xr:uid="{00000000-0006-0000-0400-000007000000}">
      <text>
        <r>
          <rPr>
            <sz val="10"/>
            <color rgb="FF000000"/>
            <rFont val="Arial"/>
            <family val="2"/>
            <scheme val="minor"/>
          </rPr>
          <t xml:space="preserve">*4
</t>
        </r>
      </text>
    </comment>
    <comment ref="C72" authorId="0" shapeId="0" xr:uid="{00000000-0006-0000-0400-000008000000}">
      <text>
        <r>
          <rPr>
            <sz val="10"/>
            <color rgb="FF000000"/>
            <rFont val="Arial"/>
            <family val="2"/>
            <scheme val="minor"/>
          </rPr>
          <t xml:space="preserve">舒萃
</t>
        </r>
      </text>
    </comment>
    <comment ref="C85" authorId="0" shapeId="0" xr:uid="{00000000-0006-0000-0400-000009000000}">
      <text>
        <r>
          <rPr>
            <sz val="10"/>
            <color rgb="FF000000"/>
            <rFont val="Arial"/>
            <family val="2"/>
            <scheme val="minor"/>
          </rPr>
          <t>海神霜</t>
        </r>
      </text>
    </comment>
    <comment ref="C95" authorId="0" shapeId="0" xr:uid="{00000000-0006-0000-0400-00000A000000}">
      <text>
        <r>
          <rPr>
            <sz val="10"/>
            <color rgb="FF000000"/>
            <rFont val="Arial"/>
            <family val="2"/>
            <scheme val="minor"/>
          </rPr>
          <t>NU防曬</t>
        </r>
      </text>
    </comment>
    <comment ref="C97" authorId="0" shapeId="0" xr:uid="{00000000-0006-0000-0400-00000B000000}">
      <text>
        <r>
          <rPr>
            <sz val="10"/>
            <color rgb="FF000000"/>
            <rFont val="Arial"/>
            <family val="2"/>
            <scheme val="minor"/>
          </rPr>
          <t xml:space="preserve">海神霜
</t>
        </r>
      </text>
    </comment>
    <comment ref="C105" authorId="0" shapeId="0" xr:uid="{00000000-0006-0000-0400-00000C000000}">
      <text>
        <r>
          <rPr>
            <sz val="10"/>
            <color rgb="FF000000"/>
            <rFont val="Arial"/>
            <family val="2"/>
            <scheme val="minor"/>
          </rPr>
          <t xml:space="preserve">EDN洗面乳
</t>
        </r>
      </text>
    </comment>
    <comment ref="C108" authorId="0" shapeId="0" xr:uid="{00000000-0006-0000-0400-00000D000000}">
      <text>
        <r>
          <rPr>
            <sz val="10"/>
            <color rgb="FF000000"/>
            <rFont val="Arial"/>
            <family val="2"/>
            <scheme val="minor"/>
          </rPr>
          <t xml:space="preserve">EDN眼膜
</t>
        </r>
      </text>
    </comment>
    <comment ref="F120" authorId="0" shapeId="0" xr:uid="{00000000-0006-0000-0400-00000E000000}">
      <text>
        <r>
          <rPr>
            <sz val="10"/>
            <color rgb="FF000000"/>
            <rFont val="Arial"/>
            <family val="2"/>
            <scheme val="minor"/>
          </rPr>
          <t xml:space="preserve">19*有試用-中文標
26*沒有試用-中文標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G2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2025.05.14
與卉庭、凱文確認安庫</t>
        </r>
      </text>
    </comment>
    <comment ref="C22" authorId="0" shapeId="0" xr:uid="{00000000-0006-0000-0300-000002000000}">
      <text>
        <r>
          <rPr>
            <sz val="10"/>
            <color rgb="FF000000"/>
            <rFont val="Arial"/>
            <family val="2"/>
            <scheme val="minor"/>
          </rPr>
          <t xml:space="preserve">6c.c.
</t>
        </r>
      </text>
    </comment>
    <comment ref="C23" authorId="0" shapeId="0" xr:uid="{00000000-0006-0000-0300-000003000000}">
      <text>
        <r>
          <rPr>
            <sz val="10"/>
            <color rgb="FF000000"/>
            <rFont val="Arial"/>
            <family val="2"/>
            <scheme val="minor"/>
          </rPr>
          <t xml:space="preserve">8c.c
</t>
        </r>
      </text>
    </comment>
    <comment ref="C26" authorId="0" shapeId="0" xr:uid="{00000000-0006-0000-0300-000004000000}">
      <text>
        <r>
          <rPr>
            <sz val="10"/>
            <color rgb="FF000000"/>
            <rFont val="Arial"/>
            <family val="2"/>
            <scheme val="minor"/>
          </rPr>
          <t xml:space="preserve">*6c.c. 小分子
</t>
        </r>
      </text>
    </comment>
    <comment ref="C27" authorId="0" shapeId="0" xr:uid="{00000000-0006-0000-0300-000005000000}">
      <text>
        <r>
          <rPr>
            <sz val="10"/>
            <color rgb="FF000000"/>
            <rFont val="Arial"/>
            <family val="2"/>
            <scheme val="minor"/>
          </rPr>
          <t xml:space="preserve">*8c.c.
</t>
        </r>
      </text>
    </comment>
    <comment ref="C40" authorId="0" shapeId="0" xr:uid="{00000000-0006-0000-0300-000006000000}">
      <text>
        <r>
          <rPr>
            <sz val="10"/>
            <color rgb="FF000000"/>
            <rFont val="Arial"/>
            <family val="2"/>
            <scheme val="minor"/>
          </rPr>
          <t>仙女玻尿酸大分子</t>
        </r>
      </text>
    </comment>
    <comment ref="C41" authorId="0" shapeId="0" xr:uid="{00000000-0006-0000-0300-000007000000}">
      <text>
        <r>
          <rPr>
            <sz val="10"/>
            <color rgb="FF000000"/>
            <rFont val="Arial"/>
            <family val="2"/>
            <scheme val="minor"/>
          </rPr>
          <t>仙女玻尿酸小分子</t>
        </r>
      </text>
    </comment>
    <comment ref="C45" authorId="0" shapeId="0" xr:uid="{00000000-0006-0000-0300-000008000000}">
      <text>
        <r>
          <rPr>
            <sz val="10"/>
            <color rgb="FF000000"/>
            <rFont val="Arial"/>
            <family val="2"/>
            <scheme val="minor"/>
          </rPr>
          <t>熊貓針
周一前匯款、周三出貨
週二後匯款、隔周三出貨</t>
        </r>
      </text>
    </comment>
    <comment ref="C74" authorId="0" shapeId="0" xr:uid="{A952F358-2908-4ADE-922A-4ED91BD5DFC2}">
      <text>
        <r>
          <rPr>
            <sz val="10"/>
            <color rgb="FF000000"/>
            <rFont val="Arial"/>
            <family val="2"/>
            <scheme val="minor"/>
          </rPr>
          <t>大玉璽</t>
        </r>
      </text>
    </comment>
    <comment ref="C83" authorId="0" shapeId="0" xr:uid="{00000000-0006-0000-0300-00000A000000}">
      <text>
        <r>
          <rPr>
            <sz val="10"/>
            <color rgb="FF000000"/>
            <rFont val="Arial"/>
            <family val="2"/>
            <scheme val="minor"/>
          </rPr>
          <t xml:space="preserve">*4
</t>
        </r>
      </text>
    </comment>
    <comment ref="C129" authorId="0" shapeId="0" xr:uid="{00000000-0006-0000-0300-00000B000000}">
      <text>
        <r>
          <rPr>
            <sz val="10"/>
            <color rgb="FF000000"/>
            <rFont val="Arial"/>
            <family val="2"/>
            <scheme val="minor"/>
          </rPr>
          <t xml:space="preserve">舒萃
</t>
        </r>
      </text>
    </comment>
    <comment ref="C142" authorId="0" shapeId="0" xr:uid="{00000000-0006-0000-0300-00000C000000}">
      <text>
        <r>
          <rPr>
            <sz val="10"/>
            <color rgb="FF000000"/>
            <rFont val="Arial"/>
            <family val="2"/>
            <scheme val="minor"/>
          </rPr>
          <t>海神霜</t>
        </r>
      </text>
    </comment>
    <comment ref="C152" authorId="0" shapeId="0" xr:uid="{00000000-0006-0000-0300-00000D000000}">
      <text>
        <r>
          <rPr>
            <sz val="10"/>
            <color rgb="FF000000"/>
            <rFont val="Arial"/>
            <family val="2"/>
            <scheme val="minor"/>
          </rPr>
          <t>NU防曬</t>
        </r>
      </text>
    </comment>
    <comment ref="C154" authorId="0" shapeId="0" xr:uid="{00000000-0006-0000-0300-00000E000000}">
      <text>
        <r>
          <rPr>
            <sz val="10"/>
            <color rgb="FF000000"/>
            <rFont val="Arial"/>
            <family val="2"/>
            <scheme val="minor"/>
          </rPr>
          <t xml:space="preserve">海神霜
</t>
        </r>
      </text>
    </comment>
    <comment ref="C162" authorId="0" shapeId="0" xr:uid="{00000000-0006-0000-0300-00000F000000}">
      <text>
        <r>
          <rPr>
            <sz val="10"/>
            <color rgb="FF000000"/>
            <rFont val="Arial"/>
            <family val="2"/>
            <scheme val="minor"/>
          </rPr>
          <t xml:space="preserve">EDN洗面乳
</t>
        </r>
      </text>
    </comment>
    <comment ref="C165" authorId="0" shapeId="0" xr:uid="{00000000-0006-0000-0300-000010000000}">
      <text>
        <r>
          <rPr>
            <sz val="10"/>
            <color rgb="FF000000"/>
            <rFont val="Arial"/>
            <family val="2"/>
            <scheme val="minor"/>
          </rPr>
          <t xml:space="preserve">EDN眼膜
</t>
        </r>
      </text>
    </comment>
    <comment ref="F177" authorId="0" shapeId="0" xr:uid="{00000000-0006-0000-0300-000011000000}">
      <text>
        <r>
          <rPr>
            <sz val="10"/>
            <color rgb="FF000000"/>
            <rFont val="Arial"/>
            <family val="2"/>
            <scheme val="minor"/>
          </rPr>
          <t xml:space="preserve">19*有試用-中文標
26*沒有試用-中文標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2" authorId="0" shapeId="0" xr:uid="{3E93AFB2-CF43-47E1-BAA2-E3BEB7E8EBC2}">
      <text>
        <r>
          <rPr>
            <sz val="10"/>
            <color rgb="FF000000"/>
            <rFont val="Arial"/>
            <family val="2"/>
            <scheme val="minor"/>
          </rPr>
          <t>2025.05.14
與卉庭、凱文確認安庫</t>
        </r>
      </text>
    </comment>
    <comment ref="C22" authorId="0" shapeId="0" xr:uid="{2BAED255-FA9A-46FD-B2FF-BBDA09953417}">
      <text>
        <r>
          <rPr>
            <sz val="10"/>
            <color rgb="FF000000"/>
            <rFont val="Arial"/>
            <family val="2"/>
            <scheme val="minor"/>
          </rPr>
          <t xml:space="preserve">6c.c.
</t>
        </r>
      </text>
    </comment>
    <comment ref="C23" authorId="0" shapeId="0" xr:uid="{A26C6A54-7E21-4F16-8F85-F60606D4634B}">
      <text>
        <r>
          <rPr>
            <sz val="10"/>
            <color rgb="FF000000"/>
            <rFont val="Arial"/>
            <family val="2"/>
            <scheme val="minor"/>
          </rPr>
          <t xml:space="preserve">8c.c
</t>
        </r>
      </text>
    </comment>
    <comment ref="C26" authorId="0" shapeId="0" xr:uid="{B647BA6A-B4B4-4FD6-8199-FF16035E70EC}">
      <text>
        <r>
          <rPr>
            <sz val="10"/>
            <color rgb="FF000000"/>
            <rFont val="Arial"/>
            <family val="2"/>
            <scheme val="minor"/>
          </rPr>
          <t xml:space="preserve">*6c.c. 小分子
</t>
        </r>
      </text>
    </comment>
    <comment ref="C27" authorId="0" shapeId="0" xr:uid="{14025044-43DE-443F-9DE0-F319575D6D03}">
      <text>
        <r>
          <rPr>
            <sz val="10"/>
            <color rgb="FF000000"/>
            <rFont val="Arial"/>
            <family val="2"/>
            <scheme val="minor"/>
          </rPr>
          <t xml:space="preserve">*8c.c.
</t>
        </r>
      </text>
    </comment>
    <comment ref="C40" authorId="0" shapeId="0" xr:uid="{44D3226F-722F-465C-9F01-E046510F0864}">
      <text>
        <r>
          <rPr>
            <sz val="10"/>
            <color rgb="FF000000"/>
            <rFont val="Arial"/>
            <family val="2"/>
            <scheme val="minor"/>
          </rPr>
          <t>仙女玻尿酸大分子</t>
        </r>
      </text>
    </comment>
    <comment ref="C41" authorId="0" shapeId="0" xr:uid="{94FB9198-E207-48FF-AEB7-E8064D671B47}">
      <text>
        <r>
          <rPr>
            <sz val="10"/>
            <color rgb="FF000000"/>
            <rFont val="Arial"/>
            <family val="2"/>
            <scheme val="minor"/>
          </rPr>
          <t>仙女玻尿酸小分子</t>
        </r>
      </text>
    </comment>
    <comment ref="C45" authorId="0" shapeId="0" xr:uid="{6CB48863-0FCE-41AB-863A-CEEF71D06088}">
      <text>
        <r>
          <rPr>
            <sz val="10"/>
            <color rgb="FF000000"/>
            <rFont val="Arial"/>
            <family val="2"/>
            <scheme val="minor"/>
          </rPr>
          <t>熊貓針
周一前匯款、周三出貨
週二後匯款、隔周三出貨</t>
        </r>
      </text>
    </comment>
    <comment ref="C74" authorId="0" shapeId="0" xr:uid="{E353BF17-D862-43A7-9069-FC21261927DF}">
      <text>
        <r>
          <rPr>
            <sz val="10"/>
            <color rgb="FF000000"/>
            <rFont val="Arial"/>
            <family val="2"/>
            <scheme val="minor"/>
          </rPr>
          <t>大玉璽</t>
        </r>
      </text>
    </comment>
    <comment ref="C83" authorId="0" shapeId="0" xr:uid="{1761540F-16E5-43A9-A8D5-4A870DE2C460}">
      <text>
        <r>
          <rPr>
            <sz val="10"/>
            <color rgb="FF000000"/>
            <rFont val="Arial"/>
            <family val="2"/>
            <scheme val="minor"/>
          </rPr>
          <t xml:space="preserve">*4
</t>
        </r>
      </text>
    </comment>
    <comment ref="C129" authorId="0" shapeId="0" xr:uid="{80054841-CCEA-4139-B605-B82EC14D8558}">
      <text>
        <r>
          <rPr>
            <sz val="10"/>
            <color rgb="FF000000"/>
            <rFont val="Arial"/>
            <family val="2"/>
            <scheme val="minor"/>
          </rPr>
          <t xml:space="preserve">舒萃
</t>
        </r>
      </text>
    </comment>
    <comment ref="C142" authorId="0" shapeId="0" xr:uid="{D9AFC30B-9DE9-4271-A86F-8640C67ECB28}">
      <text>
        <r>
          <rPr>
            <sz val="10"/>
            <color rgb="FF000000"/>
            <rFont val="Arial"/>
            <family val="2"/>
            <scheme val="minor"/>
          </rPr>
          <t>海神霜</t>
        </r>
      </text>
    </comment>
    <comment ref="C152" authorId="0" shapeId="0" xr:uid="{00435524-6E73-4537-A15D-144872A9F25B}">
      <text>
        <r>
          <rPr>
            <sz val="10"/>
            <color rgb="FF000000"/>
            <rFont val="Arial"/>
            <family val="2"/>
            <scheme val="minor"/>
          </rPr>
          <t>NU防曬</t>
        </r>
      </text>
    </comment>
    <comment ref="C154" authorId="0" shapeId="0" xr:uid="{8ABFA7B3-DBF9-4304-85AB-CE97669EDDFE}">
      <text>
        <r>
          <rPr>
            <sz val="10"/>
            <color rgb="FF000000"/>
            <rFont val="Arial"/>
            <family val="2"/>
            <scheme val="minor"/>
          </rPr>
          <t xml:space="preserve">海神霜
</t>
        </r>
      </text>
    </comment>
    <comment ref="C162" authorId="0" shapeId="0" xr:uid="{CCD11BAD-06CA-4E19-BD55-2F9DF61CE097}">
      <text>
        <r>
          <rPr>
            <sz val="10"/>
            <color rgb="FF000000"/>
            <rFont val="Arial"/>
            <family val="2"/>
            <scheme val="minor"/>
          </rPr>
          <t xml:space="preserve">EDN洗面乳
</t>
        </r>
      </text>
    </comment>
    <comment ref="C165" authorId="0" shapeId="0" xr:uid="{29BEBF38-23AC-4109-A8F1-E7C4A1200708}">
      <text>
        <r>
          <rPr>
            <sz val="10"/>
            <color rgb="FF000000"/>
            <rFont val="Arial"/>
            <family val="2"/>
            <scheme val="minor"/>
          </rPr>
          <t xml:space="preserve">EDN眼膜
</t>
        </r>
      </text>
    </comment>
    <comment ref="F177" authorId="0" shapeId="0" xr:uid="{6DB92FA1-94A1-47AA-A98A-B6A919E0830A}">
      <text>
        <r>
          <rPr>
            <sz val="10"/>
            <color rgb="FF000000"/>
            <rFont val="Arial"/>
            <family val="2"/>
            <scheme val="minor"/>
          </rPr>
          <t xml:space="preserve">19*有試用-中文標
26*沒有試用-中文標
</t>
        </r>
      </text>
    </comment>
  </commentList>
</comments>
</file>

<file path=xl/sharedStrings.xml><?xml version="1.0" encoding="utf-8"?>
<sst xmlns="http://schemas.openxmlformats.org/spreadsheetml/2006/main" count="13900" uniqueCount="983">
  <si>
    <t>*自2025/1起調整為最小單位(發/點/支)</t>
  </si>
  <si>
    <t>Actual:填入買賣大表"耗療數量"</t>
  </si>
  <si>
    <r>
      <rPr>
        <b/>
        <sz val="12"/>
        <color rgb="FF000000"/>
        <rFont val="微軟正黑體, sans-serif"/>
        <family val="3"/>
        <charset val="136"/>
      </rPr>
      <t xml:space="preserve">料件編號 </t>
    </r>
    <r>
      <rPr>
        <b/>
        <sz val="12"/>
        <color rgb="FF0000FF"/>
        <rFont val="微軟正黑體, sans-serif"/>
        <family val="3"/>
        <charset val="136"/>
      </rPr>
      <t>新</t>
    </r>
  </si>
  <si>
    <t>品名</t>
  </si>
  <si>
    <t>盒入數</t>
  </si>
  <si>
    <t>庫存
 單位</t>
  </si>
  <si>
    <t>2024
總銷量
(盒裝)</t>
  </si>
  <si>
    <t>2024
月均銷
(盒裝)</t>
  </si>
  <si>
    <t>安庫</t>
  </si>
  <si>
    <t>已簽約
寄庫數量</t>
  </si>
  <si>
    <t>10/17在途</t>
  </si>
  <si>
    <t>備註</t>
  </si>
  <si>
    <t>Actual</t>
  </si>
  <si>
    <t>Forecast</t>
  </si>
  <si>
    <t>MP1MA020019A</t>
  </si>
  <si>
    <t>PCS</t>
  </si>
  <si>
    <t>40盒(10/21)</t>
  </si>
  <si>
    <t>10盒(10/21)</t>
  </si>
  <si>
    <t>MP1MA020020A</t>
  </si>
  <si>
    <t>MP1MA020021A</t>
  </si>
  <si>
    <t>MP1MA020022A</t>
  </si>
  <si>
    <t>15盒(10/21)</t>
  </si>
  <si>
    <t>MP1MA020023A</t>
  </si>
  <si>
    <t>MP1MA010011A</t>
  </si>
  <si>
    <t>MP1MA010012A</t>
  </si>
  <si>
    <t>MP1MA010013A</t>
  </si>
  <si>
    <t>MP1MA010014A</t>
  </si>
  <si>
    <t>MP1MA010015A</t>
  </si>
  <si>
    <t>MP1MA010016A</t>
  </si>
  <si>
    <t>MP1MA070006A</t>
  </si>
  <si>
    <t>MP1MA070007A</t>
  </si>
  <si>
    <t>4盒(10/21)</t>
  </si>
  <si>
    <t>15盒(10/17)</t>
  </si>
  <si>
    <t>MP1MA070008A</t>
  </si>
  <si>
    <t>1盒(10/21)</t>
  </si>
  <si>
    <t>1盒(10/17)</t>
  </si>
  <si>
    <t>MP1MA070005A</t>
  </si>
  <si>
    <t>MM2MA070005A</t>
  </si>
  <si>
    <t>726支</t>
  </si>
  <si>
    <t>MP1MA020016A</t>
  </si>
  <si>
    <t>MP1MA020017A</t>
  </si>
  <si>
    <t>MP1MA020032A</t>
  </si>
  <si>
    <t>ml</t>
  </si>
  <si>
    <t>110瓶(10/21)</t>
  </si>
  <si>
    <t>40瓶(10/17)</t>
  </si>
  <si>
    <t>MP1MA020033A</t>
  </si>
  <si>
    <t>40瓶(10/21)</t>
  </si>
  <si>
    <t>10瓶(10/17)</t>
  </si>
  <si>
    <t>MP1MA020026A</t>
  </si>
  <si>
    <t>-</t>
  </si>
  <si>
    <t>叫貨單位「盒(10瓶)」</t>
  </si>
  <si>
    <t>MP1MA020027A</t>
  </si>
  <si>
    <t>MP1MA020030A</t>
  </si>
  <si>
    <t>25 (出完改叫薇貝拉)</t>
  </si>
  <si>
    <t>10瓶(10/21)</t>
  </si>
  <si>
    <t>MP1MA020031A</t>
  </si>
  <si>
    <t>MP1MX080004A</t>
  </si>
  <si>
    <t>BOT</t>
  </si>
  <si>
    <t>MP1MX080005A</t>
  </si>
  <si>
    <t>MP1MX080006A</t>
  </si>
  <si>
    <t>MP1MA020009A</t>
  </si>
  <si>
    <t>MP1MA020028A</t>
  </si>
  <si>
    <t>DP1AA050001E</t>
  </si>
  <si>
    <t>SET</t>
  </si>
  <si>
    <t>DP1AA050002E</t>
  </si>
  <si>
    <t>MP1MA020014A</t>
  </si>
  <si>
    <t>35盒(10/21)</t>
  </si>
  <si>
    <t>MP1MA020018A</t>
  </si>
  <si>
    <t>MP1MA020024A</t>
  </si>
  <si>
    <t>45盒(10/21)</t>
  </si>
  <si>
    <t>10盒(10/21)
10盒(10/27)</t>
  </si>
  <si>
    <t>MP1MA020025A</t>
  </si>
  <si>
    <t>MP1MA020029A</t>
  </si>
  <si>
    <t>50盒(10/27)</t>
  </si>
  <si>
    <t>10盒(10/17)</t>
  </si>
  <si>
    <t>MP1MA020015A</t>
  </si>
  <si>
    <t>22支(10/23)</t>
  </si>
  <si>
    <t>MM2MB030006A</t>
  </si>
  <si>
    <t>SHOT</t>
  </si>
  <si>
    <t>40顆(10/21)</t>
  </si>
  <si>
    <t>MM2MB030007A</t>
  </si>
  <si>
    <t>MM2MB030002A</t>
  </si>
  <si>
    <t>3顆(10/23)</t>
  </si>
  <si>
    <t>2顆(10/23)</t>
  </si>
  <si>
    <t>2025/4/1站前交機1台</t>
  </si>
  <si>
    <t>MM2MB030003A</t>
  </si>
  <si>
    <t>4顆(10/23)</t>
  </si>
  <si>
    <t>MM2MB030004A</t>
  </si>
  <si>
    <t>5/2 EVA不再進貨V探頭</t>
  </si>
  <si>
    <t>MM2MB040003A</t>
  </si>
  <si>
    <t>3,226,071條</t>
  </si>
  <si>
    <t>MM2MB040004A</t>
  </si>
  <si>
    <t>MM2MB040005A</t>
  </si>
  <si>
    <t>MM2MB040006A</t>
  </si>
  <si>
    <t>1顆(10/23)</t>
  </si>
  <si>
    <t>MM2MB040008A</t>
  </si>
  <si>
    <t>2025/4/1站前交機2台</t>
  </si>
  <si>
    <t>MM2MB040009A</t>
  </si>
  <si>
    <t>MM2MB040010A</t>
  </si>
  <si>
    <t>MM2MB040011A</t>
  </si>
  <si>
    <t>MM2MB040014A</t>
  </si>
  <si>
    <t>MM2MC070001A</t>
  </si>
  <si>
    <t>PTS</t>
  </si>
  <si>
    <t>358顆又5點</t>
  </si>
  <si>
    <t>1000點(10/23)</t>
  </si>
  <si>
    <t>500點(10/23)</t>
  </si>
  <si>
    <t>MM2MX070001A</t>
  </si>
  <si>
    <t>MM2MB030001A</t>
  </si>
  <si>
    <t>MM2MB040001A</t>
  </si>
  <si>
    <t>2025/5/22站前收回2台</t>
  </si>
  <si>
    <t>MM2MB040002A</t>
  </si>
  <si>
    <t>MM2MB040018A</t>
  </si>
  <si>
    <t>3顆(10/20)</t>
  </si>
  <si>
    <t>2顆(10/20)</t>
  </si>
  <si>
    <t>2025/5/22站前交機2台</t>
  </si>
  <si>
    <t>MM2MB040019A</t>
  </si>
  <si>
    <t>1顆(10/20)</t>
  </si>
  <si>
    <t>MM2MD070001A</t>
  </si>
  <si>
    <t>825(10/23)</t>
  </si>
  <si>
    <t>750(10/23)</t>
  </si>
  <si>
    <t>MM2MD070002A</t>
  </si>
  <si>
    <t>MM2MD070003A</t>
  </si>
  <si>
    <t>已無一代</t>
  </si>
  <si>
    <t>MP1MD070012A</t>
  </si>
  <si>
    <t>ML</t>
  </si>
  <si>
    <t>70瓶(10/23)</t>
  </si>
  <si>
    <t>80瓶(10/23)</t>
  </si>
  <si>
    <t>MP1MD070013A</t>
  </si>
  <si>
    <t>已無一代, 10/5後續都為二代(有貼晶片)</t>
  </si>
  <si>
    <t>MP1MD070014A</t>
  </si>
  <si>
    <t>30瓶(10/23)</t>
  </si>
  <si>
    <t>MP1MD070015A</t>
  </si>
  <si>
    <t>45瓶(10/23)</t>
  </si>
  <si>
    <t>40瓶(10/23)</t>
  </si>
  <si>
    <t>MP1MB030003A</t>
  </si>
  <si>
    <t>鳳凰電波0.25平方公分碧眼探頭(450發)</t>
  </si>
  <si>
    <t>13500-10/22</t>
  </si>
  <si>
    <t>MP1MB030002A</t>
  </si>
  <si>
    <t>鳳凰電波4平方公分紫鑽探頭(900發)</t>
  </si>
  <si>
    <t>27000-10/22</t>
  </si>
  <si>
    <t>MP1MC030001A</t>
  </si>
  <si>
    <t>U</t>
  </si>
  <si>
    <t>3500-10/28</t>
  </si>
  <si>
    <t>1000-10/28</t>
  </si>
  <si>
    <t>4000-10/22</t>
  </si>
  <si>
    <t>支</t>
  </si>
  <si>
    <t>顆</t>
  </si>
  <si>
    <t>MB3ME110003A</t>
  </si>
  <si>
    <t>MB3ME110005A</t>
  </si>
  <si>
    <t>MB3ME110007A</t>
  </si>
  <si>
    <t>5-10/22</t>
  </si>
  <si>
    <t>缺貨</t>
  </si>
  <si>
    <t>MB3ME090001A</t>
  </si>
  <si>
    <t>440-10/22</t>
  </si>
  <si>
    <t>220-10/22</t>
  </si>
  <si>
    <t>MB3ME090002A</t>
  </si>
  <si>
    <t>660-10/22</t>
  </si>
  <si>
    <t>袋</t>
  </si>
  <si>
    <t>50-10/22</t>
  </si>
  <si>
    <t>100-10/22</t>
  </si>
  <si>
    <t>200-10/22</t>
  </si>
  <si>
    <t>300-10/22</t>
  </si>
  <si>
    <t>400-10/22</t>
  </si>
  <si>
    <t>200-10/21</t>
  </si>
  <si>
    <t>1000-10/21</t>
  </si>
  <si>
    <t>100-10/24</t>
  </si>
  <si>
    <t>20-10/22</t>
  </si>
  <si>
    <t>10-10/22</t>
  </si>
  <si>
    <t>D99AA100001T</t>
  </si>
  <si>
    <t>專用料1kg可生產180pcs</t>
  </si>
  <si>
    <t>D99AA050002T</t>
  </si>
  <si>
    <t>DN1AA050044T</t>
  </si>
  <si>
    <t>DN1AA050043T</t>
  </si>
  <si>
    <t>DN1AA090015T</t>
  </si>
  <si>
    <t>DN1AA090011T</t>
  </si>
  <si>
    <t>DL1AA090023T</t>
  </si>
  <si>
    <t>DE1AA090013T</t>
  </si>
  <si>
    <t>DL1AA090025T</t>
  </si>
  <si>
    <t>DE1AB090012T</t>
  </si>
  <si>
    <t>4000(10/22)</t>
  </si>
  <si>
    <t>DN1AA050029T</t>
  </si>
  <si>
    <t>DN1AA050030T</t>
  </si>
  <si>
    <t>DN1AA050041T</t>
  </si>
  <si>
    <t>DL1AA050016T</t>
  </si>
  <si>
    <t>288(10/22)</t>
  </si>
  <si>
    <t>DN1AA060002T</t>
  </si>
  <si>
    <t>DN1AA060004T</t>
  </si>
  <si>
    <t>DE1AA050039T</t>
  </si>
  <si>
    <t>576(10/22)</t>
  </si>
  <si>
    <t>DE1AA090014T</t>
  </si>
  <si>
    <t>600(10/22)</t>
  </si>
  <si>
    <t>TN1AA060003T</t>
  </si>
  <si>
    <t>16(10/22)</t>
  </si>
  <si>
    <t>DN1AA200005T</t>
  </si>
  <si>
    <t>DN1AA030002T</t>
  </si>
  <si>
    <t>DN1AA040011T</t>
  </si>
  <si>
    <t>TN1AA050032T</t>
  </si>
  <si>
    <t>TN1AA050029T</t>
  </si>
  <si>
    <t>TN1AA200006T</t>
  </si>
  <si>
    <t>TN1AA020004T</t>
  </si>
  <si>
    <t>FN1AA060003T</t>
  </si>
  <si>
    <t>FN1AA200006T</t>
  </si>
  <si>
    <t>TN1AA070012T</t>
  </si>
  <si>
    <t>DL1GA000071T</t>
  </si>
  <si>
    <t>DL1GA000066T</t>
  </si>
  <si>
    <t>DA1GD000017T</t>
  </si>
  <si>
    <t>DN1AA090023T</t>
  </si>
  <si>
    <t>DL1GD0100001T</t>
  </si>
  <si>
    <t>DE1AA020008T</t>
  </si>
  <si>
    <t>TE1AA020007T</t>
  </si>
  <si>
    <t>DN1AB090006T</t>
  </si>
  <si>
    <t>DE1AB090013T</t>
  </si>
  <si>
    <t>FE1AA200004T</t>
  </si>
  <si>
    <t>FE1AA060003T</t>
  </si>
  <si>
    <t>FL1AA030002T</t>
  </si>
  <si>
    <t>FL1AA060007T</t>
  </si>
  <si>
    <t>DL1GD000020T</t>
  </si>
  <si>
    <t>TL1BK130005T</t>
  </si>
  <si>
    <t>DL1BE070001T</t>
  </si>
  <si>
    <t>DE1AB050005T</t>
  </si>
  <si>
    <t>D99GA010001T</t>
  </si>
  <si>
    <t>20(10/22)</t>
  </si>
  <si>
    <t>DL1GD010001T</t>
  </si>
  <si>
    <t>15(10/22)</t>
  </si>
  <si>
    <t>MAX06M1A0001</t>
  </si>
  <si>
    <t>MAX06M1A0005</t>
  </si>
  <si>
    <r>
      <rPr>
        <b/>
        <sz val="12"/>
        <color rgb="FF000000"/>
        <rFont val="微軟正黑體"/>
        <family val="2"/>
        <charset val="136"/>
      </rPr>
      <t>站前</t>
    </r>
    <r>
      <rPr>
        <b/>
        <sz val="12"/>
        <color rgb="FF4A86E8"/>
        <rFont val="微軟正黑體"/>
        <family val="2"/>
        <charset val="136"/>
      </rPr>
      <t>庫存</t>
    </r>
  </si>
  <si>
    <r>
      <rPr>
        <b/>
        <sz val="12"/>
        <color rgb="FF000000"/>
        <rFont val="微軟正黑體"/>
        <family val="2"/>
        <charset val="136"/>
      </rPr>
      <t>忠孝</t>
    </r>
    <r>
      <rPr>
        <b/>
        <sz val="12"/>
        <color rgb="FF4A86E8"/>
        <rFont val="微軟正黑體"/>
        <family val="2"/>
        <charset val="136"/>
      </rPr>
      <t>庫存</t>
    </r>
  </si>
  <si>
    <r>
      <rPr>
        <b/>
        <u/>
        <sz val="12"/>
        <color rgb="FF0000FF"/>
        <rFont val="微軟正黑體, sans-serif"/>
        <family val="3"/>
        <charset val="136"/>
      </rPr>
      <t xml:space="preserve">2025
總銷量
</t>
    </r>
    <r>
      <rPr>
        <b/>
        <u/>
        <sz val="12"/>
        <color rgb="FF000000"/>
        <rFont val="微軟正黑體, sans-serif"/>
        <family val="3"/>
        <charset val="136"/>
      </rPr>
      <t>(單支/條/點)</t>
    </r>
    <phoneticPr fontId="54" type="noConversion"/>
  </si>
  <si>
    <r>
      <rPr>
        <b/>
        <u/>
        <sz val="12"/>
        <color rgb="FF0000FF"/>
        <rFont val="微軟正黑體, sans-serif"/>
        <family val="3"/>
        <charset val="136"/>
      </rPr>
      <t xml:space="preserve">2025
月均銷
</t>
    </r>
    <r>
      <rPr>
        <b/>
        <u/>
        <sz val="12"/>
        <color rgb="FF000000"/>
        <rFont val="微軟正黑體, sans-serif"/>
        <family val="3"/>
        <charset val="136"/>
      </rPr>
      <t>(單支/條/點)</t>
    </r>
    <phoneticPr fontId="54" type="noConversion"/>
  </si>
  <si>
    <t>站前診所</t>
    <phoneticPr fontId="54" type="noConversion"/>
  </si>
  <si>
    <t>忠孝診所</t>
    <phoneticPr fontId="54" type="noConversion"/>
  </si>
  <si>
    <t>分店</t>
  </si>
  <si>
    <t>商品碼</t>
  </si>
  <si>
    <t>商品名稱</t>
  </si>
  <si>
    <t>容量</t>
  </si>
  <si>
    <t>站前4樓</t>
  </si>
  <si>
    <t>6220005</t>
  </si>
  <si>
    <t>海菲秀深藍端頭/ 顆</t>
  </si>
  <si>
    <t>15顆/串</t>
  </si>
  <si>
    <t>6220006</t>
  </si>
  <si>
    <t>海菲秀淺藍端頭/ 顆</t>
  </si>
  <si>
    <t>6220007</t>
  </si>
  <si>
    <t>海菲秀透明端頭/ 顆</t>
  </si>
  <si>
    <t>6220012</t>
  </si>
  <si>
    <t>(V)(第一劑)海菲秀 Activ-4 Skin Solution/mL</t>
  </si>
  <si>
    <t>6220013</t>
  </si>
  <si>
    <t>(V)(第二劑)海菲秀 Beta-HD Skin Solution /mL</t>
  </si>
  <si>
    <t>6220014</t>
  </si>
  <si>
    <t>(V)(第三劑)海菲秀 Antiox-6 Skin Solution /mL</t>
  </si>
  <si>
    <t>6220015</t>
  </si>
  <si>
    <t>(V)(第四劑)海菲秀 Rinseaway System Cleaning Solution /mL</t>
  </si>
  <si>
    <t>6120021</t>
  </si>
  <si>
    <t>(V)(Vit C)(抗壞血酸/諾貝爾)20ml，50倍數下單</t>
  </si>
  <si>
    <t>50支/盒</t>
  </si>
  <si>
    <t>6120013</t>
  </si>
  <si>
    <t>(V)生理食鹽水(NS) 250ml/ 袋</t>
  </si>
  <si>
    <t>55瓶/箱</t>
  </si>
  <si>
    <t>6120015</t>
  </si>
  <si>
    <t>(V)(B群)淘能美複合維他命B 2ml，100倍數叫貨</t>
  </si>
  <si>
    <t>6120016</t>
  </si>
  <si>
    <t>(V)(榖胱肝肽) 克樂達養200mg (20ml/瓶)</t>
  </si>
  <si>
    <t>6120018</t>
  </si>
  <si>
    <t>(V)(傳明酸)止血明 5ml/支</t>
  </si>
  <si>
    <t>6140003</t>
  </si>
  <si>
    <t>(V)保提拉肉毒Letybo/ u</t>
  </si>
  <si>
    <t>u</t>
  </si>
  <si>
    <t>6210003</t>
  </si>
  <si>
    <t>(V)水光針針頭/31G9針/1.5mm/ PCS</t>
  </si>
  <si>
    <t>PCS(20入/盒)</t>
  </si>
  <si>
    <t>6120020</t>
  </si>
  <si>
    <t>(V)(Vit C) 抗壞血酸 2mL，100倍數下單</t>
  </si>
  <si>
    <t>100支/盒</t>
  </si>
  <si>
    <t>6160011</t>
  </si>
  <si>
    <t>喬雅露-小分子50mg/1cc</t>
  </si>
  <si>
    <t>6cc/瓶</t>
  </si>
  <si>
    <t>6160010</t>
  </si>
  <si>
    <t>喬雅露-大分子200mg/1cc</t>
  </si>
  <si>
    <t>8cc/瓶</t>
  </si>
  <si>
    <t>6170032</t>
  </si>
  <si>
    <t>立特拉A2筆型探頭3.0mm/ 條</t>
  </si>
  <si>
    <t>240000條/顆</t>
  </si>
  <si>
    <t>6150010</t>
  </si>
  <si>
    <t>(V)仙女玻尿酸大分子 1ml</t>
  </si>
  <si>
    <t>1ml(1ml/盒)</t>
  </si>
  <si>
    <t>6170005</t>
  </si>
  <si>
    <t>海芙三代音波探頭2mm/ 條</t>
  </si>
  <si>
    <t>20000條/顆</t>
  </si>
  <si>
    <t>6170033</t>
  </si>
  <si>
    <t>立特拉A2筆型探頭4.5mm/ 條</t>
  </si>
  <si>
    <t>6170007</t>
  </si>
  <si>
    <t>海芙三代音波探頭3mm/ 條</t>
  </si>
  <si>
    <t>6170009</t>
  </si>
  <si>
    <t>海芙三代音波探頭4.5mm/ 條</t>
  </si>
  <si>
    <t>6210007</t>
  </si>
  <si>
    <t>(V)麗珠蘭白瓷水光(A劑2ml+B劑2ml)</t>
  </si>
  <si>
    <t>2ml*2</t>
  </si>
  <si>
    <t>6210005</t>
  </si>
  <si>
    <t>(V)水光針針頭/32G9針/1.0mm/ PCS</t>
  </si>
  <si>
    <t>6160002</t>
  </si>
  <si>
    <t>(V)洢蓮絲植入劑ELLANSÉ-S 1ml</t>
  </si>
  <si>
    <t>1ml(2ml/盒)</t>
  </si>
  <si>
    <t>6170028</t>
  </si>
  <si>
    <t>海芙電波探頭0.25cm/發</t>
  </si>
  <si>
    <t>6000發/顆</t>
  </si>
  <si>
    <t>6140001</t>
  </si>
  <si>
    <t>(V)保妥適Botox/ u</t>
  </si>
  <si>
    <t>6140005</t>
  </si>
  <si>
    <t>(V)奇肌肉毒/ u</t>
  </si>
  <si>
    <t>6210002</t>
  </si>
  <si>
    <t>(V)水光針針頭/31G9針/1.2mm/ PCS</t>
  </si>
  <si>
    <t>6150013</t>
  </si>
  <si>
    <t>(V)逆時針(璞菲洛)2cc</t>
  </si>
  <si>
    <t>6150001</t>
  </si>
  <si>
    <t>(V)喬雅登-豐麗緹玻尿酸植入物Voluma 1ml</t>
  </si>
  <si>
    <t>6210006</t>
  </si>
  <si>
    <t>(V)麗珠蘭修復水光(A劑2ml+B劑2ml)</t>
  </si>
  <si>
    <t>6160005</t>
  </si>
  <si>
    <t>(V)双美熊貓針</t>
  </si>
  <si>
    <t>(1ml/盒)</t>
  </si>
  <si>
    <t>6170014</t>
  </si>
  <si>
    <t>6160008</t>
  </si>
  <si>
    <t>白童針-薇貝拉50mg/1cc</t>
  </si>
  <si>
    <t>6170011</t>
  </si>
  <si>
    <t>海芙三代音波探頭6mm/ 條</t>
  </si>
  <si>
    <t>條</t>
  </si>
  <si>
    <t>6170020</t>
  </si>
  <si>
    <t>媚必提直線探頭3.0mm/條</t>
  </si>
  <si>
    <t>6170021</t>
  </si>
  <si>
    <t>媚必提直線探頭4.5mm/條</t>
  </si>
  <si>
    <t>6170022</t>
  </si>
  <si>
    <t>媚必提直線探頭6.0mm/條</t>
  </si>
  <si>
    <t>6170034</t>
  </si>
  <si>
    <t>十蓓電波臉部探頭5cm</t>
  </si>
  <si>
    <t>900發/顆</t>
  </si>
  <si>
    <t>6170035</t>
  </si>
  <si>
    <t>十蓓電波眼部探頭0.25cm</t>
  </si>
  <si>
    <t>600發/顆</t>
  </si>
  <si>
    <t>6170019</t>
  </si>
  <si>
    <t>媚必提直線探頭2.0mm/條</t>
  </si>
  <si>
    <t>6190001</t>
  </si>
  <si>
    <t>PLT生長因子凍晶製備/ 瓶</t>
  </si>
  <si>
    <t>瓶</t>
  </si>
  <si>
    <t>6150002</t>
  </si>
  <si>
    <t>(V)喬雅登-夢蓓菈玻尿酸植入物Volbella 1ml</t>
  </si>
  <si>
    <t>6150011</t>
  </si>
  <si>
    <t>(V)仙女玻尿酸小分子 1ml</t>
  </si>
  <si>
    <t>6160003</t>
  </si>
  <si>
    <t>(V)洢蓮絲植入劑ELLANSÉ-M 1ml</t>
  </si>
  <si>
    <t>6150004</t>
  </si>
  <si>
    <t>(V)喬雅登-豐塑玻尿酸植入物Volux 1ml</t>
  </si>
  <si>
    <t>6180009</t>
  </si>
  <si>
    <t>(V)MINT秘特拉提線TIP 4CM/ 條</t>
  </si>
  <si>
    <t>10條/盒</t>
  </si>
  <si>
    <t>6200003</t>
  </si>
  <si>
    <t>(V)倍克脂Belkyra/ 瓶</t>
  </si>
  <si>
    <t>5瓶/盒</t>
  </si>
  <si>
    <t>6180011</t>
  </si>
  <si>
    <t>(V)MINT秘特拉提線UP 9.5CM/ 條</t>
  </si>
  <si>
    <t>6170013</t>
  </si>
  <si>
    <t>6120004</t>
  </si>
  <si>
    <t>(V)胺基酸點滴250ml/ 袋(安命活源/嘉安命)，20倍數叫貨</t>
  </si>
  <si>
    <t>(20瓶/箱)</t>
  </si>
  <si>
    <t>6170029</t>
  </si>
  <si>
    <t>海芙電波探頭3.0cm/發</t>
  </si>
  <si>
    <t>4000發/顆</t>
  </si>
  <si>
    <t>6150005</t>
  </si>
  <si>
    <t>(V)喬雅登-芙潤玻尿酸植入物Volite 1ml</t>
  </si>
  <si>
    <t>6200006</t>
  </si>
  <si>
    <t>(V)容脂/ 瓶</t>
  </si>
  <si>
    <t>6170018</t>
  </si>
  <si>
    <t>媚必提直線探頭1.5mm/條</t>
  </si>
  <si>
    <t>6160009</t>
  </si>
  <si>
    <t>黑童針-薇貝拉200mg/1cc</t>
  </si>
  <si>
    <t>站前11樓</t>
  </si>
  <si>
    <t>6200014</t>
  </si>
  <si>
    <t>(V)猛健樂*1支(5mg)</t>
  </si>
  <si>
    <t>6200007</t>
  </si>
  <si>
    <t>瘦瘦筆-針頭*1個</t>
  </si>
  <si>
    <t>個</t>
  </si>
  <si>
    <t>6120002</t>
  </si>
  <si>
    <t>(V)卡妮丁注射劑/ 瓶，220倍數叫貨</t>
  </si>
  <si>
    <t>20支/盒</t>
  </si>
  <si>
    <t>6120006</t>
  </si>
  <si>
    <t>(V)(B12) 愛壽命 2mL，100倍數叫貨</t>
  </si>
  <si>
    <t>(100支/盒)</t>
  </si>
  <si>
    <t>6200004</t>
  </si>
  <si>
    <t>阿爾發SAT卡匣/ 發</t>
  </si>
  <si>
    <t>50發/卡</t>
  </si>
  <si>
    <t>6190005</t>
  </si>
  <si>
    <t>(V)氦氖針/ 支</t>
  </si>
  <si>
    <t>(50支/包)</t>
  </si>
  <si>
    <t>6120001</t>
  </si>
  <si>
    <t>(V)肝得健注射劑/ 瓶，220倍數叫貨</t>
  </si>
  <si>
    <t>6120007</t>
  </si>
  <si>
    <t>(V)(硫酸鋅) 1ml/支，100倍數叫貨</t>
  </si>
  <si>
    <t>6120008</t>
  </si>
  <si>
    <t>(V)(硫酸鎂) 注射液 20ml/支</t>
  </si>
  <si>
    <t>60支/盒</t>
  </si>
  <si>
    <t>6200016</t>
  </si>
  <si>
    <t>(V)猛健樂*1支(10mg)</t>
  </si>
  <si>
    <t>6200008</t>
  </si>
  <si>
    <t>瘦瘦筆-週纖達*1支(0.25mg)</t>
  </si>
  <si>
    <t>6120009</t>
  </si>
  <si>
    <t>(V)(B1) 硫胺明 2ml</t>
  </si>
  <si>
    <t>支(100支/盒)</t>
  </si>
  <si>
    <t>6120010</t>
  </si>
  <si>
    <t>(V)(B6) 活性維生素 2ml，100倍數叫貨</t>
  </si>
  <si>
    <t>6120011</t>
  </si>
  <si>
    <t>(V)(硒) 西寧特 2ml/支</t>
  </si>
  <si>
    <t>10支/盒</t>
  </si>
  <si>
    <t>6200013</t>
  </si>
  <si>
    <t>(V)猛健樂*1支(2.5mg)</t>
  </si>
  <si>
    <t>6120003</t>
  </si>
  <si>
    <t>(V)貝力多(雙胜胺) 20% 30mL/ 瓶，10倍數叫貨</t>
  </si>
  <si>
    <t>6120017</t>
  </si>
  <si>
    <t>(V)保肝 5ml/支</t>
  </si>
  <si>
    <t>6200010</t>
  </si>
  <si>
    <t>瘦瘦筆-週纖達*1支(1.0mg)</t>
  </si>
  <si>
    <t>6120014</t>
  </si>
  <si>
    <t>(V)葡萄糖水(D5W) 250ml/袋</t>
  </si>
  <si>
    <t>60瓶/箱</t>
  </si>
  <si>
    <t>6200015</t>
  </si>
  <si>
    <t>(V)猛健樂*1支(7.5mg)</t>
  </si>
  <si>
    <t>忠孝7樓</t>
  </si>
  <si>
    <t>6210001</t>
  </si>
  <si>
    <t>(V)水光針針頭/31G9針/1.0mm/ PCS</t>
  </si>
  <si>
    <t>6150003</t>
  </si>
  <si>
    <t>(V)喬雅登-豐麗緹玻尿酸植入物Volift 1ml</t>
  </si>
  <si>
    <t>6120030</t>
  </si>
  <si>
    <t>(V)克多炎 Keto 1ml</t>
  </si>
  <si>
    <t>6200017</t>
  </si>
  <si>
    <t>(V)猛健樂10MG/0.15CC</t>
  </si>
  <si>
    <t>3cc/支</t>
  </si>
  <si>
    <r>
      <t>站前</t>
    </r>
    <r>
      <rPr>
        <b/>
        <sz val="12"/>
        <color rgb="FF00B050"/>
        <rFont val="Calibri"/>
        <family val="2"/>
      </rPr>
      <t>4</t>
    </r>
    <r>
      <rPr>
        <b/>
        <sz val="12"/>
        <color rgb="FF00B050"/>
        <rFont val="細明體"/>
        <family val="3"/>
        <charset val="136"/>
      </rPr>
      <t>樓</t>
    </r>
  </si>
  <si>
    <r>
      <t>站前</t>
    </r>
    <r>
      <rPr>
        <b/>
        <sz val="12"/>
        <color rgb="FF00B050"/>
        <rFont val="Calibri"/>
        <family val="2"/>
      </rPr>
      <t>11</t>
    </r>
    <r>
      <rPr>
        <b/>
        <sz val="12"/>
        <color rgb="FF00B050"/>
        <rFont val="細明體"/>
        <family val="3"/>
        <charset val="136"/>
      </rPr>
      <t>樓</t>
    </r>
  </si>
  <si>
    <r>
      <t>忠孝</t>
    </r>
    <r>
      <rPr>
        <b/>
        <sz val="12"/>
        <color rgb="FF00B050"/>
        <rFont val="Calibri"/>
        <family val="2"/>
      </rPr>
      <t>7</t>
    </r>
    <r>
      <rPr>
        <b/>
        <sz val="12"/>
        <color rgb="FF00B050"/>
        <rFont val="細明體"/>
        <family val="3"/>
        <charset val="136"/>
      </rPr>
      <t>樓</t>
    </r>
  </si>
  <si>
    <t>6120024</t>
  </si>
  <si>
    <t>(V)利都卡因 注射液2% 20ml/支</t>
  </si>
  <si>
    <t>6200001</t>
  </si>
  <si>
    <t>(V)消脂針-善纖達*1支</t>
  </si>
  <si>
    <t>6180003</t>
  </si>
  <si>
    <t>(V)MINT秘特拉提線 43cm/ 條</t>
  </si>
  <si>
    <t>6180007</t>
  </si>
  <si>
    <t>(V)MINT秘特拉提線PETIT 15CM/ 條</t>
  </si>
  <si>
    <t>20條/盒</t>
  </si>
  <si>
    <t>領用數量</t>
  </si>
  <si>
    <t>6180005</t>
  </si>
  <si>
    <t>(V)MINT秘特拉提線FINE 18CM/ 條</t>
  </si>
  <si>
    <t>6180013</t>
  </si>
  <si>
    <t>(V)MINT秘特拉提線FIX 18CM/ 條</t>
  </si>
  <si>
    <t>6200012</t>
  </si>
  <si>
    <t>瘦瘦筆-週纖達*1支(2.4mg)</t>
  </si>
  <si>
    <t>2025/08</t>
    <phoneticPr fontId="54" type="noConversion"/>
  </si>
  <si>
    <t>2025/09</t>
    <phoneticPr fontId="54" type="noConversion"/>
  </si>
  <si>
    <t>2025/07</t>
    <phoneticPr fontId="54" type="noConversion"/>
  </si>
  <si>
    <t>2025/06</t>
    <phoneticPr fontId="54" type="noConversion"/>
  </si>
  <si>
    <t>2025/10</t>
  </si>
  <si>
    <t>2025/11</t>
  </si>
  <si>
    <t>2025/12</t>
  </si>
  <si>
    <t>MMDD</t>
    <phoneticPr fontId="54" type="noConversion"/>
  </si>
  <si>
    <t>FX</t>
    <phoneticPr fontId="54" type="noConversion"/>
  </si>
  <si>
    <t>序</t>
    <phoneticPr fontId="54" type="noConversion"/>
  </si>
  <si>
    <r>
      <t>忠孝</t>
    </r>
    <r>
      <rPr>
        <b/>
        <sz val="12"/>
        <color rgb="FF00B050"/>
        <rFont val="細明體"/>
        <family val="2"/>
        <charset val="136"/>
      </rPr>
      <t>7</t>
    </r>
    <r>
      <rPr>
        <b/>
        <sz val="12"/>
        <color rgb="FF00B050"/>
        <rFont val="細明體"/>
        <family val="3"/>
        <charset val="136"/>
      </rPr>
      <t>樓</t>
    </r>
    <phoneticPr fontId="54" type="noConversion"/>
  </si>
  <si>
    <t>2025/10</t>
    <phoneticPr fontId="54" type="noConversion"/>
  </si>
  <si>
    <t>2025/11</t>
    <phoneticPr fontId="54" type="noConversion"/>
  </si>
  <si>
    <t>2025/12</t>
    <phoneticPr fontId="54" type="noConversion"/>
  </si>
  <si>
    <r>
      <rPr>
        <u/>
        <sz val="12"/>
        <color rgb="FF000000"/>
        <rFont val="Arial"/>
        <family val="2"/>
        <charset val="136"/>
        <scheme val="minor"/>
      </rPr>
      <t>水光針針頭</t>
    </r>
    <r>
      <rPr>
        <u/>
        <sz val="12"/>
        <color rgb="FF000000"/>
        <rFont val="Arial"/>
        <family val="2"/>
        <scheme val="minor"/>
      </rPr>
      <t>/ 32G/ 9pin/ 1.0mm(1</t>
    </r>
    <r>
      <rPr>
        <u/>
        <sz val="12"/>
        <color rgb="FF000000"/>
        <rFont val="Arial"/>
        <family val="2"/>
        <charset val="136"/>
        <scheme val="minor"/>
      </rPr>
      <t>支</t>
    </r>
    <r>
      <rPr>
        <u/>
        <sz val="12"/>
        <color rgb="FF000000"/>
        <rFont val="Arial"/>
        <family val="2"/>
        <scheme val="minor"/>
      </rPr>
      <t>)</t>
    </r>
  </si>
  <si>
    <r>
      <rPr>
        <u/>
        <sz val="12"/>
        <color rgb="FF000000"/>
        <rFont val="Arial"/>
        <family val="2"/>
        <charset val="136"/>
        <scheme val="minor"/>
      </rPr>
      <t>得美微針筆</t>
    </r>
    <r>
      <rPr>
        <u/>
        <sz val="12"/>
        <color rgb="FF000000"/>
        <rFont val="Arial"/>
        <family val="2"/>
        <scheme val="minor"/>
      </rPr>
      <t xml:space="preserve"> 33G</t>
    </r>
    <r>
      <rPr>
        <u/>
        <sz val="12"/>
        <color rgb="FF000000"/>
        <rFont val="Arial"/>
        <family val="2"/>
        <charset val="136"/>
        <scheme val="minor"/>
      </rPr>
      <t>針頭</t>
    </r>
    <r>
      <rPr>
        <u/>
        <sz val="12"/>
        <color rgb="FF000000"/>
        <rFont val="Arial"/>
        <family val="2"/>
        <scheme val="minor"/>
      </rPr>
      <t>(</t>
    </r>
    <r>
      <rPr>
        <u/>
        <sz val="12"/>
        <color rgb="FF000000"/>
        <rFont val="Arial"/>
        <family val="2"/>
        <charset val="136"/>
        <scheme val="minor"/>
      </rPr>
      <t>支</t>
    </r>
    <r>
      <rPr>
        <u/>
        <sz val="12"/>
        <color rgb="FF000000"/>
        <rFont val="Arial"/>
        <family val="2"/>
        <scheme val="minor"/>
      </rPr>
      <t>)</t>
    </r>
  </si>
  <si>
    <r>
      <rPr>
        <u/>
        <sz val="12"/>
        <color rgb="FF000000"/>
        <rFont val="Arial"/>
        <family val="2"/>
        <charset val="136"/>
        <scheme val="minor"/>
      </rPr>
      <t>薇貝拉軟組織植入劑</t>
    </r>
    <r>
      <rPr>
        <u/>
        <sz val="12"/>
        <color rgb="FF000000"/>
        <rFont val="Arial"/>
        <family val="2"/>
        <scheme val="minor"/>
      </rPr>
      <t>-</t>
    </r>
    <r>
      <rPr>
        <u/>
        <sz val="12"/>
        <color rgb="FF000000"/>
        <rFont val="Arial"/>
        <family val="2"/>
        <charset val="136"/>
        <scheme val="minor"/>
      </rPr>
      <t>小分子白童針</t>
    </r>
    <r>
      <rPr>
        <u/>
        <sz val="12"/>
        <color rgb="FF000000"/>
        <rFont val="Arial"/>
        <family val="2"/>
        <scheme val="minor"/>
      </rPr>
      <t xml:space="preserve"> 50mg</t>
    </r>
  </si>
  <si>
    <r>
      <rPr>
        <u/>
        <sz val="12"/>
        <color rgb="FF000000"/>
        <rFont val="Arial"/>
        <family val="2"/>
        <charset val="136"/>
        <scheme val="minor"/>
      </rPr>
      <t>薇貝拉軟組織植入劑</t>
    </r>
    <r>
      <rPr>
        <u/>
        <sz val="12"/>
        <color rgb="FF000000"/>
        <rFont val="Arial"/>
        <family val="2"/>
        <scheme val="minor"/>
      </rPr>
      <t>-</t>
    </r>
    <r>
      <rPr>
        <u/>
        <sz val="12"/>
        <color rgb="FF000000"/>
        <rFont val="Arial"/>
        <family val="2"/>
        <charset val="136"/>
        <scheme val="minor"/>
      </rPr>
      <t>大分子黑童針</t>
    </r>
    <r>
      <rPr>
        <u/>
        <sz val="12"/>
        <color rgb="FF000000"/>
        <rFont val="Arial"/>
        <family val="2"/>
        <scheme val="minor"/>
      </rPr>
      <t xml:space="preserve"> 200mg</t>
    </r>
  </si>
  <si>
    <r>
      <rPr>
        <sz val="12"/>
        <color rgb="FF000000"/>
        <rFont val="Arial"/>
        <family val="2"/>
        <charset val="136"/>
        <scheme val="minor"/>
      </rPr>
      <t>薇貝拉軟組織植入劑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小分子白童針</t>
    </r>
    <r>
      <rPr>
        <sz val="12"/>
        <color rgb="FF000000"/>
        <rFont val="Arial"/>
        <family val="2"/>
        <scheme val="minor"/>
      </rPr>
      <t>(1cc)</t>
    </r>
  </si>
  <si>
    <r>
      <rPr>
        <sz val="12"/>
        <color rgb="FF000000"/>
        <rFont val="Arial"/>
        <family val="2"/>
        <charset val="136"/>
        <scheme val="minor"/>
      </rPr>
      <t>薇貝拉軟組織植入劑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大分子黑童針</t>
    </r>
    <r>
      <rPr>
        <sz val="12"/>
        <color rgb="FF000000"/>
        <rFont val="Arial"/>
        <family val="2"/>
        <scheme val="minor"/>
      </rPr>
      <t>(1cc)</t>
    </r>
  </si>
  <si>
    <r>
      <t>(</t>
    </r>
    <r>
      <rPr>
        <sz val="12"/>
        <color rgb="FF000000"/>
        <rFont val="Arial"/>
        <family val="2"/>
        <charset val="136"/>
        <scheme val="minor"/>
      </rPr>
      <t>喬雅露</t>
    </r>
    <r>
      <rPr>
        <sz val="12"/>
        <color rgb="FF000000"/>
        <rFont val="Arial"/>
        <family val="2"/>
        <scheme val="minor"/>
      </rPr>
      <t>)</t>
    </r>
    <r>
      <rPr>
        <sz val="12"/>
        <color rgb="FF000000"/>
        <rFont val="Arial"/>
        <family val="2"/>
        <charset val="136"/>
        <scheme val="minor"/>
      </rPr>
      <t>芳蜜軟組織注射植入物</t>
    </r>
    <r>
      <rPr>
        <sz val="12"/>
        <color rgb="FF000000"/>
        <rFont val="Arial"/>
        <family val="2"/>
        <scheme val="minor"/>
      </rPr>
      <t>-Juvelook 50mg</t>
    </r>
  </si>
  <si>
    <r>
      <t>(</t>
    </r>
    <r>
      <rPr>
        <sz val="12"/>
        <color rgb="FF000000"/>
        <rFont val="Arial"/>
        <family val="2"/>
        <charset val="136"/>
        <scheme val="minor"/>
      </rPr>
      <t>喬雅露</t>
    </r>
    <r>
      <rPr>
        <sz val="12"/>
        <color rgb="FF000000"/>
        <rFont val="Arial"/>
        <family val="2"/>
        <scheme val="minor"/>
      </rPr>
      <t>)</t>
    </r>
    <r>
      <rPr>
        <sz val="12"/>
        <color rgb="FF000000"/>
        <rFont val="Arial"/>
        <family val="2"/>
        <charset val="136"/>
        <scheme val="minor"/>
      </rPr>
      <t>芳蜜軟組織注射植入物</t>
    </r>
    <r>
      <rPr>
        <sz val="12"/>
        <color rgb="FF000000"/>
        <rFont val="Arial"/>
        <family val="2"/>
        <scheme val="minor"/>
      </rPr>
      <t>-Lenisna 200mg</t>
    </r>
  </si>
  <si>
    <r>
      <t>(</t>
    </r>
    <r>
      <rPr>
        <sz val="12"/>
        <color rgb="FF000000"/>
        <rFont val="Arial"/>
        <family val="2"/>
        <charset val="136"/>
        <scheme val="minor"/>
      </rPr>
      <t>喬雅露</t>
    </r>
    <r>
      <rPr>
        <sz val="12"/>
        <color rgb="FF000000"/>
        <rFont val="Arial"/>
        <family val="2"/>
        <scheme val="minor"/>
      </rPr>
      <t>)</t>
    </r>
    <r>
      <rPr>
        <sz val="12"/>
        <color rgb="FF000000"/>
        <rFont val="Arial"/>
        <family val="2"/>
        <charset val="136"/>
        <scheme val="minor"/>
      </rPr>
      <t>芳蜜軟組織注射植入物</t>
    </r>
    <r>
      <rPr>
        <sz val="12"/>
        <color rgb="FF000000"/>
        <rFont val="Arial"/>
        <family val="2"/>
        <scheme val="minor"/>
      </rPr>
      <t>-Juvelook 50mg (1cc)</t>
    </r>
  </si>
  <si>
    <r>
      <t>(</t>
    </r>
    <r>
      <rPr>
        <sz val="12"/>
        <color rgb="FF000000"/>
        <rFont val="Arial"/>
        <family val="2"/>
        <charset val="136"/>
        <scheme val="minor"/>
      </rPr>
      <t>喬雅露</t>
    </r>
    <r>
      <rPr>
        <sz val="12"/>
        <color rgb="FF000000"/>
        <rFont val="Arial"/>
        <family val="2"/>
        <scheme val="minor"/>
      </rPr>
      <t>)</t>
    </r>
    <r>
      <rPr>
        <sz val="12"/>
        <color rgb="FF000000"/>
        <rFont val="Arial"/>
        <family val="2"/>
        <charset val="136"/>
        <scheme val="minor"/>
      </rPr>
      <t>芳蜜軟組織注射植入物</t>
    </r>
    <r>
      <rPr>
        <sz val="12"/>
        <color rgb="FF000000"/>
        <rFont val="Arial"/>
        <family val="2"/>
        <scheme val="minor"/>
      </rPr>
      <t>-Lenisna 200mg(1cc)</t>
    </r>
  </si>
  <si>
    <r>
      <rPr>
        <u/>
        <sz val="12"/>
        <color rgb="FF000000"/>
        <rFont val="Arial"/>
        <family val="2"/>
        <charset val="136"/>
        <scheme val="minor"/>
      </rPr>
      <t>艾麗斯皮下填補劑</t>
    </r>
    <r>
      <rPr>
        <u/>
        <sz val="12"/>
        <color rgb="FF000000"/>
        <rFont val="Arial"/>
        <family val="2"/>
        <scheme val="minor"/>
      </rPr>
      <t xml:space="preserve"> Aesthe Fill-200mg/ vial</t>
    </r>
  </si>
  <si>
    <r>
      <rPr>
        <u/>
        <sz val="12"/>
        <color rgb="FF000000"/>
        <rFont val="Arial"/>
        <family val="2"/>
        <charset val="136"/>
        <scheme val="minor"/>
      </rPr>
      <t>膚美康</t>
    </r>
    <r>
      <rPr>
        <u/>
        <sz val="12"/>
        <color rgb="FF000000"/>
        <rFont val="Arial"/>
        <family val="2"/>
        <scheme val="minor"/>
      </rPr>
      <t xml:space="preserve"> 2.5cc/</t>
    </r>
    <r>
      <rPr>
        <u/>
        <sz val="12"/>
        <color rgb="FF000000"/>
        <rFont val="Arial"/>
        <family val="2"/>
        <charset val="136"/>
        <scheme val="minor"/>
      </rPr>
      <t>支</t>
    </r>
  </si>
  <si>
    <r>
      <rPr>
        <u/>
        <sz val="12"/>
        <color rgb="FF000000"/>
        <rFont val="Arial"/>
        <family val="2"/>
        <charset val="136"/>
        <scheme val="minor"/>
      </rPr>
      <t>麗珠蘭</t>
    </r>
    <r>
      <rPr>
        <u/>
        <sz val="12"/>
        <color rgb="FF000000"/>
        <rFont val="Arial"/>
        <family val="2"/>
        <scheme val="minor"/>
      </rPr>
      <t>REJURAN Skin Booster</t>
    </r>
    <r>
      <rPr>
        <u/>
        <sz val="12"/>
        <color rgb="FF000000"/>
        <rFont val="Arial"/>
        <family val="2"/>
        <charset val="136"/>
        <scheme val="minor"/>
      </rPr>
      <t>修復水光</t>
    </r>
  </si>
  <si>
    <r>
      <rPr>
        <u/>
        <sz val="12"/>
        <color rgb="FF000000"/>
        <rFont val="Arial"/>
        <family val="2"/>
        <charset val="136"/>
        <scheme val="minor"/>
      </rPr>
      <t>麗珠蘭</t>
    </r>
    <r>
      <rPr>
        <u/>
        <sz val="12"/>
        <color rgb="FF000000"/>
        <rFont val="Arial"/>
        <family val="2"/>
        <scheme val="minor"/>
      </rPr>
      <t>REJURAN Tone-Up Booster</t>
    </r>
    <r>
      <rPr>
        <u/>
        <sz val="12"/>
        <color rgb="FF000000"/>
        <rFont val="Arial"/>
        <family val="2"/>
        <charset val="136"/>
        <scheme val="minor"/>
      </rPr>
      <t>白瓷水光</t>
    </r>
  </si>
  <si>
    <r>
      <rPr>
        <u/>
        <sz val="12"/>
        <color rgb="FF000000"/>
        <rFont val="Arial"/>
        <family val="2"/>
        <charset val="136"/>
        <scheme val="minor"/>
      </rPr>
      <t>優美施豐潤</t>
    </r>
    <r>
      <rPr>
        <u/>
        <sz val="12"/>
        <color rgb="FF000000"/>
        <rFont val="Arial"/>
        <family val="2"/>
        <scheme val="minor"/>
      </rPr>
      <t xml:space="preserve"> Neuramis Volume 1c.c/ </t>
    </r>
    <r>
      <rPr>
        <u/>
        <sz val="12"/>
        <color rgb="FF000000"/>
        <rFont val="Arial"/>
        <family val="2"/>
        <charset val="136"/>
        <scheme val="minor"/>
      </rPr>
      <t>支</t>
    </r>
  </si>
  <si>
    <r>
      <rPr>
        <u/>
        <sz val="12"/>
        <color rgb="FF000000"/>
        <rFont val="Arial"/>
        <family val="2"/>
        <charset val="136"/>
        <scheme val="minor"/>
      </rPr>
      <t>優美施豐潤</t>
    </r>
    <r>
      <rPr>
        <u/>
        <sz val="12"/>
        <color rgb="FF000000"/>
        <rFont val="Arial"/>
        <family val="2"/>
        <scheme val="minor"/>
      </rPr>
      <t xml:space="preserve"> Neuramis Deep Lidocaine 1c.c/ </t>
    </r>
    <r>
      <rPr>
        <u/>
        <sz val="12"/>
        <color rgb="FF000000"/>
        <rFont val="Arial"/>
        <family val="2"/>
        <charset val="136"/>
        <scheme val="minor"/>
      </rPr>
      <t>支</t>
    </r>
  </si>
  <si>
    <r>
      <t>(</t>
    </r>
    <r>
      <rPr>
        <u/>
        <sz val="12"/>
        <color rgb="FF000000"/>
        <rFont val="Arial"/>
        <family val="2"/>
        <charset val="136"/>
        <scheme val="minor"/>
      </rPr>
      <t>逆時針</t>
    </r>
    <r>
      <rPr>
        <u/>
        <sz val="12"/>
        <color rgb="FF000000"/>
        <rFont val="Arial"/>
        <family val="2"/>
        <scheme val="minor"/>
      </rPr>
      <t>)</t>
    </r>
    <r>
      <rPr>
        <u/>
        <sz val="12"/>
        <color rgb="FF000000"/>
        <rFont val="Arial"/>
        <family val="2"/>
        <charset val="136"/>
        <scheme val="minor"/>
      </rPr>
      <t>璞菲洛高低分子玻尿酸皮下植入劑</t>
    </r>
    <r>
      <rPr>
        <u/>
        <sz val="12"/>
        <color rgb="FF000000"/>
        <rFont val="Arial"/>
        <family val="2"/>
        <scheme val="minor"/>
      </rPr>
      <t xml:space="preserve"> PROFHILO HiLow 2c.c/ </t>
    </r>
    <r>
      <rPr>
        <u/>
        <sz val="12"/>
        <color rgb="FF000000"/>
        <rFont val="Arial"/>
        <family val="2"/>
        <charset val="136"/>
        <scheme val="minor"/>
      </rPr>
      <t>支</t>
    </r>
  </si>
  <si>
    <r>
      <rPr>
        <sz val="12"/>
        <color rgb="FF000000"/>
        <rFont val="Arial"/>
        <family val="2"/>
        <charset val="136"/>
        <scheme val="minor"/>
      </rPr>
      <t>双美Ⅰ號膠原蛋白植入劑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加強型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2"/>
        <charset val="136"/>
        <scheme val="minor"/>
      </rPr>
      <t>含利度卡因</t>
    </r>
    <r>
      <rPr>
        <sz val="12"/>
        <color rgb="FF000000"/>
        <rFont val="Arial"/>
        <family val="2"/>
        <scheme val="minor"/>
      </rPr>
      <t xml:space="preserve">) 1ml/ 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2"/>
        <charset val="136"/>
        <scheme val="minor"/>
      </rPr>
      <t>型號</t>
    </r>
    <r>
      <rPr>
        <sz val="12"/>
        <color rgb="FF000000"/>
        <rFont val="Arial"/>
        <family val="2"/>
        <scheme val="minor"/>
      </rPr>
      <t>P03041)</t>
    </r>
  </si>
  <si>
    <r>
      <rPr>
        <sz val="12"/>
        <color rgb="FF000000"/>
        <rFont val="Arial"/>
        <family val="2"/>
        <charset val="136"/>
        <scheme val="minor"/>
      </rPr>
      <t>十蓓電波臉部探頭</t>
    </r>
    <r>
      <rPr>
        <sz val="12"/>
        <color rgb="FF000000"/>
        <rFont val="Arial"/>
        <family val="2"/>
        <scheme val="minor"/>
      </rPr>
      <t>5</t>
    </r>
    <r>
      <rPr>
        <sz val="12"/>
        <color rgb="FF000000"/>
        <rFont val="Arial"/>
        <family val="2"/>
        <charset val="136"/>
        <scheme val="minor"/>
      </rPr>
      <t>平方公分</t>
    </r>
    <r>
      <rPr>
        <sz val="12"/>
        <color rgb="FF000000"/>
        <rFont val="Arial"/>
        <family val="2"/>
        <scheme val="minor"/>
      </rPr>
      <t>(1</t>
    </r>
    <r>
      <rPr>
        <sz val="12"/>
        <color rgb="FF000000"/>
        <rFont val="Arial"/>
        <family val="2"/>
        <charset val="136"/>
        <scheme val="minor"/>
      </rPr>
      <t>發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</si>
  <si>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十蓓電波眼周探頭</t>
    </r>
    <r>
      <rPr>
        <sz val="12"/>
        <color rgb="FF000000"/>
        <rFont val="Arial"/>
        <family val="2"/>
        <scheme val="minor"/>
      </rPr>
      <t>0.25</t>
    </r>
    <r>
      <rPr>
        <sz val="12"/>
        <color rgb="FF000000"/>
        <rFont val="Arial"/>
        <family val="2"/>
        <charset val="136"/>
        <scheme val="minor"/>
      </rPr>
      <t>平方公分</t>
    </r>
    <r>
      <rPr>
        <sz val="12"/>
        <color rgb="FF000000"/>
        <rFont val="Arial"/>
        <family val="2"/>
        <scheme val="minor"/>
      </rPr>
      <t>(1</t>
    </r>
    <r>
      <rPr>
        <sz val="12"/>
        <color rgb="FF000000"/>
        <rFont val="Arial"/>
        <family val="2"/>
        <charset val="136"/>
        <scheme val="minor"/>
      </rPr>
      <t>發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</si>
  <si>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海芙電波</t>
    </r>
    <r>
      <rPr>
        <sz val="12"/>
        <color rgb="FF000000"/>
        <rFont val="Arial"/>
        <family val="2"/>
        <scheme val="minor"/>
      </rPr>
      <t xml:space="preserve"> I</t>
    </r>
    <r>
      <rPr>
        <sz val="12"/>
        <color rgb="FF000000"/>
        <rFont val="Arial"/>
        <family val="2"/>
        <charset val="136"/>
        <scheme val="minor"/>
      </rPr>
      <t>探頭</t>
    </r>
    <r>
      <rPr>
        <sz val="12"/>
        <color rgb="FF000000"/>
        <rFont val="Arial"/>
        <family val="2"/>
        <scheme val="minor"/>
      </rPr>
      <t xml:space="preserve"> 0.25cm(1</t>
    </r>
    <r>
      <rPr>
        <sz val="12"/>
        <color rgb="FF000000"/>
        <rFont val="Arial"/>
        <family val="2"/>
        <charset val="136"/>
        <scheme val="minor"/>
      </rPr>
      <t>發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</si>
  <si>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海芙電波</t>
    </r>
    <r>
      <rPr>
        <sz val="12"/>
        <color rgb="FF000000"/>
        <rFont val="Arial"/>
        <family val="2"/>
        <scheme val="minor"/>
      </rPr>
      <t xml:space="preserve"> F</t>
    </r>
    <r>
      <rPr>
        <sz val="12"/>
        <color rgb="FF000000"/>
        <rFont val="Arial"/>
        <family val="2"/>
        <charset val="136"/>
        <scheme val="minor"/>
      </rPr>
      <t>探頭</t>
    </r>
    <r>
      <rPr>
        <sz val="12"/>
        <color rgb="FF000000"/>
        <rFont val="Arial"/>
        <family val="2"/>
        <scheme val="minor"/>
      </rPr>
      <t xml:space="preserve"> 3.0cm(1</t>
    </r>
    <r>
      <rPr>
        <sz val="12"/>
        <color rgb="FF000000"/>
        <rFont val="Arial"/>
        <family val="2"/>
        <charset val="136"/>
        <scheme val="minor"/>
      </rPr>
      <t>發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</si>
  <si>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海芙電波</t>
    </r>
    <r>
      <rPr>
        <sz val="12"/>
        <color rgb="FF000000"/>
        <rFont val="Arial"/>
        <family val="2"/>
        <scheme val="minor"/>
      </rPr>
      <t xml:space="preserve"> V</t>
    </r>
    <r>
      <rPr>
        <sz val="12"/>
        <color rgb="FF000000"/>
        <rFont val="Arial"/>
        <family val="2"/>
        <charset val="136"/>
        <scheme val="minor"/>
      </rPr>
      <t>探頭</t>
    </r>
    <r>
      <rPr>
        <sz val="12"/>
        <color rgb="FF000000"/>
        <rFont val="Arial"/>
        <family val="2"/>
        <scheme val="minor"/>
      </rPr>
      <t xml:space="preserve"> 4.0cm(1</t>
    </r>
    <r>
      <rPr>
        <sz val="12"/>
        <color rgb="FF000000"/>
        <rFont val="Arial"/>
        <family val="2"/>
        <charset val="136"/>
        <scheme val="minor"/>
      </rPr>
      <t>發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</si>
  <si>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媚必提直線探頭</t>
    </r>
    <r>
      <rPr>
        <sz val="12"/>
        <color rgb="FF000000"/>
        <rFont val="Arial"/>
        <family val="2"/>
        <scheme val="minor"/>
      </rPr>
      <t>2.0mm(1</t>
    </r>
    <r>
      <rPr>
        <sz val="12"/>
        <color rgb="FF000000"/>
        <rFont val="Arial"/>
        <family val="2"/>
        <charset val="136"/>
        <scheme val="minor"/>
      </rPr>
      <t>條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</si>
  <si>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媚必提直線探頭</t>
    </r>
    <r>
      <rPr>
        <sz val="12"/>
        <color rgb="FF000000"/>
        <rFont val="Arial"/>
        <family val="2"/>
        <scheme val="minor"/>
      </rPr>
      <t>3.0mm(1</t>
    </r>
    <r>
      <rPr>
        <sz val="12"/>
        <color rgb="FF000000"/>
        <rFont val="Arial"/>
        <family val="2"/>
        <charset val="136"/>
        <scheme val="minor"/>
      </rPr>
      <t>條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</si>
  <si>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媚必提直線探頭</t>
    </r>
    <r>
      <rPr>
        <sz val="12"/>
        <color rgb="FF000000"/>
        <rFont val="Arial"/>
        <family val="2"/>
        <scheme val="minor"/>
      </rPr>
      <t>4.5mm(1</t>
    </r>
    <r>
      <rPr>
        <sz val="12"/>
        <color rgb="FF000000"/>
        <rFont val="Arial"/>
        <family val="2"/>
        <charset val="136"/>
        <scheme val="minor"/>
      </rPr>
      <t>條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</si>
  <si>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媚必提直線探頭</t>
    </r>
    <r>
      <rPr>
        <sz val="12"/>
        <color rgb="FF000000"/>
        <rFont val="Arial"/>
        <family val="2"/>
        <scheme val="minor"/>
      </rPr>
      <t>6.0mm(1</t>
    </r>
    <r>
      <rPr>
        <sz val="12"/>
        <color rgb="FF000000"/>
        <rFont val="Arial"/>
        <family val="2"/>
        <charset val="136"/>
        <scheme val="minor"/>
      </rPr>
      <t>條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</si>
  <si>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媚必提圓周探頭</t>
    </r>
    <r>
      <rPr>
        <sz val="12"/>
        <color rgb="FF000000"/>
        <rFont val="Arial"/>
        <family val="2"/>
        <scheme val="minor"/>
      </rPr>
      <t>1.5mm(1</t>
    </r>
    <r>
      <rPr>
        <sz val="12"/>
        <color rgb="FF000000"/>
        <rFont val="Arial"/>
        <family val="2"/>
        <charset val="136"/>
        <scheme val="minor"/>
      </rPr>
      <t>條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</si>
  <si>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膠原槍探頭</t>
    </r>
    <r>
      <rPr>
        <sz val="12"/>
        <color rgb="FF000000"/>
        <rFont val="Arial"/>
        <family val="2"/>
        <scheme val="minor"/>
      </rPr>
      <t>(D64)(1N=2000</t>
    </r>
    <r>
      <rPr>
        <sz val="12"/>
        <color rgb="FF000000"/>
        <rFont val="Arial"/>
        <family val="2"/>
        <charset val="136"/>
        <scheme val="minor"/>
      </rPr>
      <t>發，大多會贈</t>
    </r>
    <r>
      <rPr>
        <sz val="12"/>
        <color rgb="FF000000"/>
        <rFont val="Arial"/>
        <family val="2"/>
        <scheme val="minor"/>
      </rPr>
      <t>20</t>
    </r>
    <r>
      <rPr>
        <sz val="12"/>
        <color rgb="FF000000"/>
        <rFont val="Arial"/>
        <family val="2"/>
        <charset val="136"/>
        <scheme val="minor"/>
      </rPr>
      <t>發左右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</si>
  <si>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立特拉渦旋音波探頭</t>
    </r>
    <r>
      <rPr>
        <sz val="12"/>
        <color rgb="FF000000"/>
        <rFont val="Arial"/>
        <family val="2"/>
        <scheme val="minor"/>
      </rPr>
      <t>3.0mm(1</t>
    </r>
    <r>
      <rPr>
        <sz val="12"/>
        <color rgb="FF000000"/>
        <rFont val="Arial"/>
        <family val="2"/>
        <charset val="136"/>
        <scheme val="minor"/>
      </rPr>
      <t>條</t>
    </r>
    <r>
      <rPr>
        <sz val="12"/>
        <color rgb="FF000000"/>
        <rFont val="Arial"/>
        <family val="2"/>
        <scheme val="minor"/>
      </rPr>
      <t>)_</t>
    </r>
    <r>
      <rPr>
        <sz val="12"/>
        <color rgb="FF000000"/>
        <rFont val="Arial"/>
        <family val="2"/>
        <charset val="136"/>
        <scheme val="minor"/>
      </rPr>
      <t>一代機</t>
    </r>
  </si>
  <si>
    <r>
      <rPr>
        <sz val="12"/>
        <color rgb="FF000000"/>
        <rFont val="Arial"/>
        <family val="2"/>
        <charset val="136"/>
        <scheme val="minor"/>
      </rPr>
      <t>立特拉渦旋音波探頭</t>
    </r>
    <r>
      <rPr>
        <sz val="12"/>
        <color rgb="FF000000"/>
        <rFont val="Arial"/>
        <family val="2"/>
        <scheme val="minor"/>
      </rPr>
      <t>4.5mm(1</t>
    </r>
    <r>
      <rPr>
        <sz val="12"/>
        <color rgb="FF000000"/>
        <rFont val="Arial"/>
        <family val="2"/>
        <charset val="136"/>
        <scheme val="minor"/>
      </rPr>
      <t>條</t>
    </r>
    <r>
      <rPr>
        <sz val="12"/>
        <color rgb="FF000000"/>
        <rFont val="Arial"/>
        <family val="2"/>
        <scheme val="minor"/>
      </rPr>
      <t>)_</t>
    </r>
    <r>
      <rPr>
        <sz val="12"/>
        <color rgb="FF000000"/>
        <rFont val="Arial"/>
        <family val="2"/>
        <charset val="136"/>
        <scheme val="minor"/>
      </rPr>
      <t>一代機</t>
    </r>
  </si>
  <si>
    <r>
      <rPr>
        <sz val="12"/>
        <color rgb="FF000000"/>
        <rFont val="Arial"/>
        <family val="2"/>
        <charset val="136"/>
        <scheme val="minor"/>
      </rPr>
      <t>立特拉</t>
    </r>
    <r>
      <rPr>
        <sz val="12"/>
        <color rgb="FF000000"/>
        <rFont val="Arial"/>
        <family val="2"/>
        <scheme val="minor"/>
      </rPr>
      <t>A2</t>
    </r>
    <r>
      <rPr>
        <sz val="12"/>
        <color rgb="FF000000"/>
        <rFont val="Arial"/>
        <family val="2"/>
        <charset val="136"/>
        <scheme val="minor"/>
      </rPr>
      <t>筆型探頭</t>
    </r>
    <r>
      <rPr>
        <sz val="12"/>
        <color rgb="FF000000"/>
        <rFont val="Arial"/>
        <family val="2"/>
        <scheme val="minor"/>
      </rPr>
      <t>3.0mm(1</t>
    </r>
    <r>
      <rPr>
        <sz val="12"/>
        <color rgb="FF000000"/>
        <rFont val="Arial"/>
        <family val="2"/>
        <charset val="136"/>
        <scheme val="minor"/>
      </rPr>
      <t>發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</si>
  <si>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立特拉</t>
    </r>
    <r>
      <rPr>
        <sz val="12"/>
        <color rgb="FF000000"/>
        <rFont val="Arial"/>
        <family val="2"/>
        <scheme val="minor"/>
      </rPr>
      <t>A2</t>
    </r>
    <r>
      <rPr>
        <sz val="12"/>
        <color rgb="FF000000"/>
        <rFont val="Arial"/>
        <family val="2"/>
        <charset val="136"/>
        <scheme val="minor"/>
      </rPr>
      <t>筆型探頭</t>
    </r>
    <r>
      <rPr>
        <sz val="12"/>
        <color rgb="FF000000"/>
        <rFont val="Arial"/>
        <family val="2"/>
        <scheme val="minor"/>
      </rPr>
      <t>4.5mm(1</t>
    </r>
    <r>
      <rPr>
        <sz val="12"/>
        <color rgb="FF000000"/>
        <rFont val="Arial"/>
        <family val="2"/>
        <charset val="136"/>
        <scheme val="minor"/>
      </rPr>
      <t>發</t>
    </r>
    <r>
      <rPr>
        <sz val="12"/>
        <color rgb="FF000000"/>
        <rFont val="Arial"/>
        <family val="2"/>
        <scheme val="minor"/>
      </rPr>
      <t>)</t>
    </r>
  </si>
  <si>
    <r>
      <rPr>
        <u/>
        <sz val="12"/>
        <color rgb="FF000000"/>
        <rFont val="Arial"/>
        <family val="2"/>
        <charset val="136"/>
        <scheme val="minor"/>
      </rPr>
      <t>善纖達針頭</t>
    </r>
    <r>
      <rPr>
        <u/>
        <sz val="12"/>
        <color rgb="FF000000"/>
        <rFont val="Arial"/>
        <family val="2"/>
        <scheme val="minor"/>
      </rPr>
      <t>/</t>
    </r>
    <r>
      <rPr>
        <u/>
        <sz val="12"/>
        <color rgb="FF000000"/>
        <rFont val="Arial"/>
        <family val="2"/>
        <charset val="136"/>
        <scheme val="minor"/>
      </rPr>
      <t>猛健樂針頭</t>
    </r>
  </si>
  <si>
    <r>
      <rPr>
        <u/>
        <sz val="12"/>
        <color rgb="FF000000"/>
        <rFont val="Arial"/>
        <family val="2"/>
        <charset val="136"/>
        <scheme val="minor"/>
      </rPr>
      <t>週纖達</t>
    </r>
    <r>
      <rPr>
        <u/>
        <sz val="12"/>
        <color rgb="FF000000"/>
        <rFont val="Arial"/>
        <family val="2"/>
        <scheme val="minor"/>
      </rPr>
      <t>0.25mg</t>
    </r>
  </si>
  <si>
    <r>
      <rPr>
        <u/>
        <sz val="12"/>
        <color rgb="FF000000"/>
        <rFont val="Arial"/>
        <family val="2"/>
        <charset val="136"/>
        <scheme val="minor"/>
      </rPr>
      <t>週纖達</t>
    </r>
    <r>
      <rPr>
        <u/>
        <sz val="12"/>
        <color rgb="FF000000"/>
        <rFont val="Arial"/>
        <family val="2"/>
        <scheme val="minor"/>
      </rPr>
      <t>1.0mg</t>
    </r>
  </si>
  <si>
    <r>
      <rPr>
        <u/>
        <sz val="12"/>
        <color rgb="FF000000"/>
        <rFont val="Arial"/>
        <family val="2"/>
        <charset val="136"/>
        <scheme val="minor"/>
      </rPr>
      <t>週纖達</t>
    </r>
    <r>
      <rPr>
        <u/>
        <sz val="12"/>
        <color rgb="FF000000"/>
        <rFont val="Arial"/>
        <family val="2"/>
        <scheme val="minor"/>
      </rPr>
      <t>2.4mg</t>
    </r>
  </si>
  <si>
    <r>
      <rPr>
        <u/>
        <sz val="12"/>
        <color rgb="FF000000"/>
        <rFont val="Arial"/>
        <family val="2"/>
        <charset val="136"/>
        <scheme val="minor"/>
      </rPr>
      <t>猛健樂</t>
    </r>
    <r>
      <rPr>
        <u/>
        <sz val="12"/>
        <color rgb="FF000000"/>
        <rFont val="Arial"/>
        <family val="2"/>
        <scheme val="minor"/>
      </rPr>
      <t>2.5mg</t>
    </r>
  </si>
  <si>
    <r>
      <rPr>
        <u/>
        <sz val="12"/>
        <color rgb="FF000000"/>
        <rFont val="Arial"/>
        <family val="2"/>
        <charset val="136"/>
        <scheme val="minor"/>
      </rPr>
      <t>猛健樂</t>
    </r>
    <r>
      <rPr>
        <u/>
        <sz val="12"/>
        <color rgb="FF000000"/>
        <rFont val="Arial"/>
        <family val="2"/>
        <scheme val="minor"/>
      </rPr>
      <t>5.0mg</t>
    </r>
  </si>
  <si>
    <r>
      <rPr>
        <u/>
        <sz val="12"/>
        <color rgb="FF000000"/>
        <rFont val="Arial"/>
        <family val="2"/>
        <charset val="136"/>
        <scheme val="minor"/>
      </rPr>
      <t>猛健樂</t>
    </r>
    <r>
      <rPr>
        <u/>
        <sz val="12"/>
        <color rgb="FF000000"/>
        <rFont val="Arial"/>
        <family val="2"/>
        <scheme val="minor"/>
      </rPr>
      <t>7.5mg</t>
    </r>
  </si>
  <si>
    <r>
      <rPr>
        <u/>
        <sz val="12"/>
        <color rgb="FF000000"/>
        <rFont val="Arial"/>
        <family val="2"/>
        <charset val="136"/>
        <scheme val="minor"/>
      </rPr>
      <t>猛健樂</t>
    </r>
    <r>
      <rPr>
        <u/>
        <sz val="12"/>
        <color rgb="FF000000"/>
        <rFont val="Arial"/>
        <family val="2"/>
        <scheme val="minor"/>
      </rPr>
      <t>10.0mg</t>
    </r>
  </si>
  <si>
    <r>
      <rPr>
        <sz val="12"/>
        <color rgb="FF000000"/>
        <rFont val="Arial"/>
        <family val="2"/>
        <charset val="136"/>
        <scheme val="minor"/>
      </rPr>
      <t>容脂</t>
    </r>
  </si>
  <si>
    <r>
      <rPr>
        <u/>
        <sz val="12"/>
        <color rgb="FF000000"/>
        <rFont val="Arial"/>
        <family val="2"/>
        <charset val="136"/>
        <scheme val="minor"/>
      </rPr>
      <t>安命活源</t>
    </r>
    <r>
      <rPr>
        <u/>
        <sz val="12"/>
        <color rgb="FF000000"/>
        <rFont val="Arial"/>
        <family val="2"/>
        <scheme val="minor"/>
      </rPr>
      <t xml:space="preserve"> 250ML</t>
    </r>
  </si>
  <si>
    <r>
      <t xml:space="preserve">D5W </t>
    </r>
    <r>
      <rPr>
        <u/>
        <sz val="12"/>
        <color rgb="FF000000"/>
        <rFont val="Arial"/>
        <family val="2"/>
        <charset val="136"/>
        <scheme val="minor"/>
      </rPr>
      <t>葡萄糖水</t>
    </r>
    <r>
      <rPr>
        <u/>
        <sz val="12"/>
        <color rgb="FF000000"/>
        <rFont val="Arial"/>
        <family val="2"/>
        <scheme val="minor"/>
      </rPr>
      <t xml:space="preserve"> 250ml </t>
    </r>
  </si>
  <si>
    <r>
      <t>NS</t>
    </r>
    <r>
      <rPr>
        <u/>
        <sz val="12"/>
        <color rgb="FF000000"/>
        <rFont val="Arial"/>
        <family val="2"/>
        <charset val="136"/>
        <scheme val="minor"/>
      </rPr>
      <t>生理食鹽水</t>
    </r>
    <r>
      <rPr>
        <u/>
        <sz val="12"/>
        <color rgb="FF000000"/>
        <rFont val="Arial"/>
        <family val="2"/>
        <scheme val="minor"/>
      </rPr>
      <t xml:space="preserve"> 250ML</t>
    </r>
  </si>
  <si>
    <r>
      <rPr>
        <sz val="12"/>
        <color rgb="FF000000"/>
        <rFont val="Arial"/>
        <family val="2"/>
        <charset val="136"/>
        <scheme val="minor"/>
      </rPr>
      <t>諾貝爾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2"/>
        <charset val="136"/>
        <scheme val="minor"/>
      </rPr>
      <t>維他命</t>
    </r>
    <r>
      <rPr>
        <sz val="12"/>
        <color rgb="FF000000"/>
        <rFont val="Arial"/>
        <family val="2"/>
        <scheme val="minor"/>
      </rPr>
      <t>C 20ml)</t>
    </r>
  </si>
  <si>
    <r>
      <rPr>
        <u/>
        <sz val="12"/>
        <color rgb="FF000000"/>
        <rFont val="Arial"/>
        <family val="2"/>
        <charset val="136"/>
        <scheme val="minor"/>
      </rPr>
      <t>抗壞血酸</t>
    </r>
    <r>
      <rPr>
        <u/>
        <sz val="12"/>
        <color rgb="FF000000"/>
        <rFont val="Arial"/>
        <family val="2"/>
        <scheme val="minor"/>
      </rPr>
      <t xml:space="preserve"> 2ml(</t>
    </r>
    <r>
      <rPr>
        <u/>
        <sz val="12"/>
        <color rgb="FF000000"/>
        <rFont val="Arial"/>
        <family val="2"/>
        <charset val="136"/>
        <scheme val="minor"/>
      </rPr>
      <t>維他命</t>
    </r>
    <r>
      <rPr>
        <u/>
        <sz val="12"/>
        <color rgb="FF000000"/>
        <rFont val="Arial"/>
        <family val="2"/>
        <scheme val="minor"/>
      </rPr>
      <t>C)</t>
    </r>
  </si>
  <si>
    <r>
      <t xml:space="preserve">B12 </t>
    </r>
    <r>
      <rPr>
        <sz val="12"/>
        <color rgb="FF000000"/>
        <rFont val="Arial"/>
        <family val="2"/>
        <charset val="136"/>
        <scheme val="minor"/>
      </rPr>
      <t>愛壽命注射液</t>
    </r>
    <r>
      <rPr>
        <sz val="12"/>
        <color rgb="FF000000"/>
        <rFont val="Arial"/>
        <family val="2"/>
        <scheme val="minor"/>
      </rPr>
      <t xml:space="preserve"> 2ml</t>
    </r>
  </si>
  <si>
    <r>
      <t xml:space="preserve">B1 </t>
    </r>
    <r>
      <rPr>
        <sz val="12"/>
        <color rgb="FF000000"/>
        <rFont val="Arial"/>
        <family val="2"/>
        <charset val="136"/>
        <scheme val="minor"/>
      </rPr>
      <t>硫胺明</t>
    </r>
    <r>
      <rPr>
        <sz val="12"/>
        <color rgb="FF000000"/>
        <rFont val="Arial"/>
        <family val="2"/>
        <scheme val="minor"/>
      </rPr>
      <t xml:space="preserve"> 2ml</t>
    </r>
  </si>
  <si>
    <r>
      <t xml:space="preserve">B6 </t>
    </r>
    <r>
      <rPr>
        <sz val="12"/>
        <color rgb="FF000000"/>
        <rFont val="Arial"/>
        <family val="2"/>
        <charset val="136"/>
        <scheme val="minor"/>
      </rPr>
      <t>維他命乙</t>
    </r>
    <r>
      <rPr>
        <sz val="12"/>
        <color rgb="FF000000"/>
        <rFont val="Arial"/>
        <family val="2"/>
        <scheme val="minor"/>
      </rPr>
      <t>6</t>
    </r>
    <r>
      <rPr>
        <sz val="12"/>
        <color rgb="FF000000"/>
        <rFont val="Arial"/>
        <family val="2"/>
        <charset val="136"/>
        <scheme val="minor"/>
      </rPr>
      <t>注射液</t>
    </r>
    <r>
      <rPr>
        <sz val="12"/>
        <color rgb="FF000000"/>
        <rFont val="Arial"/>
        <family val="2"/>
        <scheme val="minor"/>
      </rPr>
      <t xml:space="preserve"> 5</t>
    </r>
    <r>
      <rPr>
        <sz val="12"/>
        <color rgb="FF000000"/>
        <rFont val="Arial"/>
        <family val="2"/>
        <charset val="136"/>
        <scheme val="minor"/>
      </rPr>
      <t>毫克</t>
    </r>
    <r>
      <rPr>
        <sz val="12"/>
        <color rgb="FF000000"/>
        <rFont val="Arial"/>
        <family val="2"/>
        <scheme val="minor"/>
      </rPr>
      <t>/</t>
    </r>
    <r>
      <rPr>
        <sz val="12"/>
        <color rgb="FF000000"/>
        <rFont val="Arial"/>
        <family val="2"/>
        <charset val="136"/>
        <scheme val="minor"/>
      </rPr>
      <t>毫升</t>
    </r>
    <r>
      <rPr>
        <sz val="12"/>
        <color rgb="FF000000"/>
        <rFont val="Arial"/>
        <family val="2"/>
        <scheme val="minor"/>
      </rPr>
      <t xml:space="preserve"> 2ml</t>
    </r>
  </si>
  <si>
    <r>
      <t>B</t>
    </r>
    <r>
      <rPr>
        <sz val="12"/>
        <color rgb="FF000000"/>
        <rFont val="Arial"/>
        <family val="2"/>
        <charset val="136"/>
        <scheme val="minor"/>
      </rPr>
      <t>群</t>
    </r>
    <r>
      <rPr>
        <sz val="12"/>
        <color rgb="FF000000"/>
        <rFont val="Arial"/>
        <family val="2"/>
        <scheme val="minor"/>
      </rPr>
      <t xml:space="preserve"> </t>
    </r>
    <r>
      <rPr>
        <sz val="12"/>
        <color rgb="FF000000"/>
        <rFont val="Arial"/>
        <family val="2"/>
        <charset val="136"/>
        <scheme val="minor"/>
      </rPr>
      <t>淘能美</t>
    </r>
    <r>
      <rPr>
        <sz val="12"/>
        <color rgb="FF000000"/>
        <rFont val="Arial"/>
        <family val="2"/>
        <scheme val="minor"/>
      </rPr>
      <t xml:space="preserve"> 2ml</t>
    </r>
  </si>
  <si>
    <r>
      <rPr>
        <sz val="12"/>
        <color rgb="FF000000"/>
        <rFont val="Arial"/>
        <family val="2"/>
        <charset val="136"/>
        <scheme val="minor"/>
      </rPr>
      <t>克樂達養</t>
    </r>
    <r>
      <rPr>
        <sz val="12"/>
        <color rgb="FF000000"/>
        <rFont val="Arial"/>
        <family val="2"/>
        <scheme val="minor"/>
      </rPr>
      <t xml:space="preserve"> 20ml</t>
    </r>
  </si>
  <si>
    <r>
      <rPr>
        <sz val="12"/>
        <color rgb="FF000000"/>
        <rFont val="Arial"/>
        <family val="2"/>
        <charset val="136"/>
        <scheme val="minor"/>
      </rPr>
      <t>循必利</t>
    </r>
  </si>
  <si>
    <r>
      <rPr>
        <sz val="12"/>
        <color rgb="FF000000"/>
        <rFont val="Arial"/>
        <family val="2"/>
        <charset val="136"/>
        <scheme val="minor"/>
      </rPr>
      <t>金恩特</t>
    </r>
  </si>
  <si>
    <r>
      <rPr>
        <sz val="12"/>
        <color rgb="FF000000"/>
        <rFont val="Arial"/>
        <family val="2"/>
        <charset val="136"/>
        <scheme val="minor"/>
      </rPr>
      <t>利卡因注射液</t>
    </r>
    <r>
      <rPr>
        <sz val="12"/>
        <color rgb="FF000000"/>
        <rFont val="Arial"/>
        <family val="2"/>
        <scheme val="minor"/>
      </rPr>
      <t>20</t>
    </r>
    <r>
      <rPr>
        <sz val="12"/>
        <color rgb="FF000000"/>
        <rFont val="Arial"/>
        <family val="2"/>
        <charset val="136"/>
        <scheme val="minor"/>
      </rPr>
      <t>毫克</t>
    </r>
    <r>
      <rPr>
        <sz val="12"/>
        <color rgb="FF000000"/>
        <rFont val="Arial"/>
        <family val="2"/>
        <scheme val="minor"/>
      </rPr>
      <t>/</t>
    </r>
    <r>
      <rPr>
        <sz val="12"/>
        <color rgb="FF000000"/>
        <rFont val="Arial"/>
        <family val="2"/>
        <charset val="136"/>
        <scheme val="minor"/>
      </rPr>
      <t>毫升</t>
    </r>
  </si>
  <si>
    <r>
      <rPr>
        <sz val="12"/>
        <color rgb="FF000000"/>
        <rFont val="Arial"/>
        <family val="2"/>
        <charset val="136"/>
        <scheme val="minor"/>
      </rPr>
      <t>利都卡因</t>
    </r>
    <r>
      <rPr>
        <sz val="12"/>
        <color rgb="FF000000"/>
        <rFont val="Arial"/>
        <family val="2"/>
        <scheme val="minor"/>
      </rPr>
      <t xml:space="preserve"> </t>
    </r>
    <r>
      <rPr>
        <sz val="12"/>
        <color rgb="FF000000"/>
        <rFont val="Arial"/>
        <family val="2"/>
        <charset val="136"/>
        <scheme val="minor"/>
      </rPr>
      <t>注射液</t>
    </r>
    <r>
      <rPr>
        <sz val="12"/>
        <color rgb="FF000000"/>
        <rFont val="Arial"/>
        <family val="2"/>
        <scheme val="minor"/>
      </rPr>
      <t>2% 20ml</t>
    </r>
  </si>
  <si>
    <r>
      <rPr>
        <sz val="12"/>
        <color rgb="FF000000"/>
        <rFont val="Arial"/>
        <family val="2"/>
        <charset val="136"/>
        <scheme val="minor"/>
      </rPr>
      <t>利度膚寧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2"/>
        <charset val="136"/>
        <scheme val="minor"/>
      </rPr>
      <t>含</t>
    </r>
    <r>
      <rPr>
        <sz val="12"/>
        <color rgb="FF000000"/>
        <rFont val="Arial"/>
        <family val="2"/>
        <scheme val="minor"/>
      </rPr>
      <t>epinephrine) 20ml</t>
    </r>
  </si>
  <si>
    <r>
      <rPr>
        <sz val="12"/>
        <color rgb="FF000000"/>
        <rFont val="Arial"/>
        <family val="2"/>
        <charset val="136"/>
        <scheme val="minor"/>
      </rPr>
      <t>可特</t>
    </r>
    <r>
      <rPr>
        <sz val="12"/>
        <color rgb="FF000000"/>
        <rFont val="Arial"/>
        <family val="2"/>
        <scheme val="minor"/>
      </rPr>
      <t>1ml</t>
    </r>
  </si>
  <si>
    <r>
      <rPr>
        <sz val="12"/>
        <color rgb="FF000000"/>
        <rFont val="Arial"/>
        <family val="2"/>
        <charset val="136"/>
        <scheme val="minor"/>
      </rPr>
      <t>硫皙酸</t>
    </r>
  </si>
  <si>
    <r>
      <rPr>
        <sz val="12"/>
        <color rgb="FF000000"/>
        <rFont val="Arial"/>
        <family val="2"/>
        <charset val="136"/>
        <scheme val="minor"/>
      </rPr>
      <t>止血明</t>
    </r>
    <r>
      <rPr>
        <sz val="12"/>
        <color rgb="FF000000"/>
        <rFont val="Arial"/>
        <family val="2"/>
        <scheme val="minor"/>
      </rPr>
      <t>(TRA)</t>
    </r>
  </si>
  <si>
    <r>
      <rPr>
        <sz val="12"/>
        <color rgb="FF000000"/>
        <rFont val="Arial"/>
        <family val="2"/>
        <charset val="136"/>
        <scheme val="minor"/>
      </rPr>
      <t>西寧特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2"/>
        <charset val="136"/>
        <scheme val="minor"/>
      </rPr>
      <t>硒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</si>
  <si>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保肝</t>
    </r>
  </si>
  <si>
    <r>
      <rPr>
        <sz val="12"/>
        <color rgb="FF000000"/>
        <rFont val="Arial"/>
        <family val="2"/>
        <charset val="136"/>
        <scheme val="minor"/>
      </rPr>
      <t>治敏健</t>
    </r>
    <r>
      <rPr>
        <sz val="12"/>
        <color rgb="FF000000"/>
        <rFont val="Arial"/>
        <family val="2"/>
        <scheme val="minor"/>
      </rPr>
      <t xml:space="preserve"> 20ml</t>
    </r>
  </si>
  <si>
    <r>
      <rPr>
        <sz val="12"/>
        <color rgb="FF000000"/>
        <rFont val="Arial"/>
        <family val="2"/>
        <charset val="136"/>
        <scheme val="minor"/>
      </rPr>
      <t>硫酸鋅</t>
    </r>
  </si>
  <si>
    <r>
      <rPr>
        <sz val="12"/>
        <color rgb="FF000000"/>
        <rFont val="Arial"/>
        <family val="2"/>
        <charset val="136"/>
        <scheme val="minor"/>
      </rPr>
      <t>硫酸鎂</t>
    </r>
  </si>
  <si>
    <r>
      <rPr>
        <sz val="12"/>
        <color rgb="FF000000"/>
        <rFont val="Arial"/>
        <family val="2"/>
        <charset val="136"/>
        <scheme val="minor"/>
      </rPr>
      <t>鹽酸二苯胺明</t>
    </r>
    <r>
      <rPr>
        <sz val="12"/>
        <color rgb="FF000000"/>
        <rFont val="Arial"/>
        <family val="2"/>
        <scheme val="minor"/>
      </rPr>
      <t xml:space="preserve"> 1ml</t>
    </r>
  </si>
  <si>
    <r>
      <rPr>
        <sz val="12"/>
        <color rgb="FF000000"/>
        <rFont val="Arial"/>
        <family val="2"/>
        <charset val="136"/>
        <scheme val="minor"/>
      </rPr>
      <t>克多炎</t>
    </r>
    <r>
      <rPr>
        <sz val="12"/>
        <color rgb="FF000000"/>
        <rFont val="Arial"/>
        <family val="2"/>
        <scheme val="minor"/>
      </rPr>
      <t xml:space="preserve"> 1ml</t>
    </r>
  </si>
  <si>
    <r>
      <rPr>
        <sz val="12"/>
        <color rgb="FF000000"/>
        <rFont val="Arial"/>
        <family val="2"/>
        <charset val="136"/>
        <scheme val="minor"/>
      </rPr>
      <t>菲碧茵</t>
    </r>
    <r>
      <rPr>
        <sz val="12"/>
        <color rgb="FF000000"/>
        <rFont val="Arial"/>
        <family val="2"/>
        <scheme val="minor"/>
      </rPr>
      <t xml:space="preserve"> 2ml</t>
    </r>
  </si>
  <si>
    <r>
      <rPr>
        <sz val="12"/>
        <color rgb="FF000000"/>
        <rFont val="Arial"/>
        <family val="2"/>
        <charset val="136"/>
        <scheme val="minor"/>
      </rPr>
      <t>鹽酸副腎素</t>
    </r>
    <r>
      <rPr>
        <sz val="12"/>
        <color rgb="FF000000"/>
        <rFont val="Arial"/>
        <family val="2"/>
        <scheme val="minor"/>
      </rPr>
      <t xml:space="preserve"> 1ml</t>
    </r>
  </si>
  <si>
    <r>
      <rPr>
        <sz val="12"/>
        <color rgb="FF000000"/>
        <rFont val="Arial"/>
        <family val="2"/>
        <charset val="136"/>
        <scheme val="minor"/>
      </rPr>
      <t>痘痘貼</t>
    </r>
    <r>
      <rPr>
        <sz val="12"/>
        <color rgb="FF000000"/>
        <rFont val="Arial"/>
        <family val="2"/>
        <scheme val="minor"/>
      </rPr>
      <t xml:space="preserve"> 60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/</t>
    </r>
    <r>
      <rPr>
        <sz val="12"/>
        <color rgb="FF000000"/>
        <rFont val="Arial"/>
        <family val="2"/>
        <charset val="136"/>
        <scheme val="minor"/>
      </rPr>
      <t>盒</t>
    </r>
  </si>
  <si>
    <r>
      <rPr>
        <sz val="12"/>
        <color rgb="FF000000"/>
        <rFont val="Arial"/>
        <family val="2"/>
        <charset val="136"/>
        <scheme val="minor"/>
      </rPr>
      <t>信可得</t>
    </r>
  </si>
  <si>
    <r>
      <rPr>
        <sz val="12"/>
        <color rgb="FF000000"/>
        <rFont val="Arial"/>
        <family val="2"/>
        <charset val="136"/>
        <scheme val="minor"/>
      </rPr>
      <t>去氧氫化腎上腺皮質素</t>
    </r>
  </si>
  <si>
    <r>
      <rPr>
        <sz val="12"/>
        <color rgb="FF000000"/>
        <rFont val="Arial"/>
        <family val="2"/>
        <charset val="136"/>
        <scheme val="minor"/>
      </rPr>
      <t>降解酶</t>
    </r>
  </si>
  <si>
    <r>
      <t>(</t>
    </r>
    <r>
      <rPr>
        <sz val="12"/>
        <color rgb="FF000000"/>
        <rFont val="Arial"/>
        <family val="2"/>
        <charset val="136"/>
        <scheme val="minor"/>
      </rPr>
      <t>售完不進</t>
    </r>
    <r>
      <rPr>
        <sz val="12"/>
        <color rgb="FF000000"/>
        <rFont val="Arial"/>
        <family val="2"/>
        <scheme val="minor"/>
      </rPr>
      <t>)</t>
    </r>
    <r>
      <rPr>
        <sz val="12"/>
        <color rgb="FF000000"/>
        <rFont val="Arial"/>
        <family val="2"/>
        <charset val="136"/>
        <scheme val="minor"/>
      </rPr>
      <t>滾針</t>
    </r>
    <r>
      <rPr>
        <sz val="12"/>
        <color rgb="FF000000"/>
        <rFont val="Arial"/>
        <family val="2"/>
        <scheme val="minor"/>
      </rPr>
      <t>1.0mm</t>
    </r>
  </si>
  <si>
    <r>
      <t>(</t>
    </r>
    <r>
      <rPr>
        <sz val="12"/>
        <color rgb="FF000000"/>
        <rFont val="Arial"/>
        <family val="2"/>
        <charset val="136"/>
        <scheme val="minor"/>
      </rPr>
      <t>售完不進</t>
    </r>
    <r>
      <rPr>
        <sz val="12"/>
        <color rgb="FF000000"/>
        <rFont val="Arial"/>
        <family val="2"/>
        <scheme val="minor"/>
      </rPr>
      <t>)</t>
    </r>
    <r>
      <rPr>
        <sz val="12"/>
        <color rgb="FF000000"/>
        <rFont val="Arial"/>
        <family val="2"/>
        <charset val="136"/>
        <scheme val="minor"/>
      </rPr>
      <t>滾針</t>
    </r>
    <r>
      <rPr>
        <sz val="12"/>
        <color rgb="FF000000"/>
        <rFont val="Arial"/>
        <family val="2"/>
        <scheme val="minor"/>
      </rPr>
      <t>1.5mm</t>
    </r>
  </si>
  <si>
    <r>
      <t>(</t>
    </r>
    <r>
      <rPr>
        <sz val="12"/>
        <color rgb="FF000000"/>
        <rFont val="Arial"/>
        <family val="2"/>
        <charset val="136"/>
        <scheme val="minor"/>
      </rPr>
      <t>售完不進</t>
    </r>
    <r>
      <rPr>
        <sz val="12"/>
        <color rgb="FF000000"/>
        <rFont val="Arial"/>
        <family val="2"/>
        <scheme val="minor"/>
      </rPr>
      <t>)</t>
    </r>
    <r>
      <rPr>
        <sz val="12"/>
        <color rgb="FF000000"/>
        <rFont val="Arial"/>
        <family val="2"/>
        <charset val="136"/>
        <scheme val="minor"/>
      </rPr>
      <t>滾針</t>
    </r>
    <r>
      <rPr>
        <sz val="12"/>
        <color rgb="FF000000"/>
        <rFont val="Arial"/>
        <family val="2"/>
        <scheme val="minor"/>
      </rPr>
      <t>2.0mm</t>
    </r>
  </si>
  <si>
    <r>
      <rPr>
        <sz val="12"/>
        <color rgb="FF000000"/>
        <rFont val="Arial"/>
        <family val="2"/>
        <charset val="136"/>
        <scheme val="minor"/>
      </rPr>
      <t>鈍針</t>
    </r>
    <r>
      <rPr>
        <sz val="12"/>
        <color rgb="FF000000"/>
        <rFont val="Arial"/>
        <family val="2"/>
        <scheme val="minor"/>
      </rPr>
      <t>_27G</t>
    </r>
  </si>
  <si>
    <r>
      <rPr>
        <sz val="12"/>
        <color rgb="FF000000"/>
        <rFont val="Arial"/>
        <family val="2"/>
        <charset val="136"/>
        <scheme val="minor"/>
      </rPr>
      <t>寶寶針</t>
    </r>
    <r>
      <rPr>
        <sz val="12"/>
        <color rgb="FF000000"/>
        <rFont val="Arial"/>
        <family val="2"/>
        <scheme val="minor"/>
      </rPr>
      <t>_32G 2mm</t>
    </r>
  </si>
  <si>
    <r>
      <rPr>
        <sz val="12"/>
        <color rgb="FF000000"/>
        <rFont val="Arial"/>
        <family val="2"/>
        <charset val="136"/>
        <scheme val="minor"/>
      </rPr>
      <t>寶寶針</t>
    </r>
    <r>
      <rPr>
        <sz val="12"/>
        <color rgb="FF000000"/>
        <rFont val="Arial"/>
        <family val="2"/>
        <scheme val="minor"/>
      </rPr>
      <t>_32G 4mm</t>
    </r>
  </si>
  <si>
    <r>
      <rPr>
        <sz val="12"/>
        <color rgb="FF000000"/>
        <rFont val="Arial"/>
        <family val="2"/>
        <charset val="136"/>
        <scheme val="minor"/>
      </rPr>
      <t>寶寶針</t>
    </r>
    <r>
      <rPr>
        <sz val="12"/>
        <color rgb="FF000000"/>
        <rFont val="Arial"/>
        <family val="2"/>
        <scheme val="minor"/>
      </rPr>
      <t>_33G 4mm</t>
    </r>
  </si>
  <si>
    <r>
      <rPr>
        <sz val="12"/>
        <color rgb="FF000000"/>
        <rFont val="Arial"/>
        <family val="2"/>
        <charset val="136"/>
        <scheme val="minor"/>
      </rPr>
      <t>藍銅胜肽舒緩凍膜</t>
    </r>
    <r>
      <rPr>
        <sz val="12"/>
        <color rgb="FF000000"/>
        <rFont val="Arial"/>
        <family val="2"/>
        <scheme val="minor"/>
      </rPr>
      <t xml:space="preserve"> 180mL(</t>
    </r>
    <r>
      <rPr>
        <sz val="12"/>
        <color rgb="FF000000"/>
        <rFont val="Arial"/>
        <family val="2"/>
        <charset val="136"/>
        <scheme val="minor"/>
      </rPr>
      <t>從深坑廠出貨</t>
    </r>
    <r>
      <rPr>
        <sz val="12"/>
        <color rgb="FF000000"/>
        <rFont val="Arial"/>
        <family val="2"/>
        <scheme val="minor"/>
      </rPr>
      <t>)-</t>
    </r>
  </si>
  <si>
    <r>
      <rPr>
        <sz val="12"/>
        <color rgb="FF000000"/>
        <rFont val="Arial"/>
        <family val="2"/>
        <charset val="136"/>
        <scheme val="minor"/>
      </rPr>
      <t>舒緩修護精萃</t>
    </r>
    <r>
      <rPr>
        <sz val="12"/>
        <color rgb="FF000000"/>
        <rFont val="Arial"/>
        <family val="2"/>
        <scheme val="minor"/>
      </rPr>
      <t xml:space="preserve"> 180mL(</t>
    </r>
    <r>
      <rPr>
        <sz val="12"/>
        <color rgb="FF000000"/>
        <rFont val="Arial"/>
        <family val="2"/>
        <charset val="136"/>
        <scheme val="minor"/>
      </rPr>
      <t>從深坑廠出貨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</si>
  <si>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舒緩修護精萃</t>
    </r>
    <r>
      <rPr>
        <sz val="12"/>
        <color rgb="FF000000"/>
        <rFont val="Arial"/>
        <family val="2"/>
        <scheme val="minor"/>
      </rPr>
      <t xml:space="preserve"> 30mL(2023</t>
    </r>
    <r>
      <rPr>
        <sz val="12"/>
        <color rgb="FF000000"/>
        <rFont val="Arial"/>
        <family val="2"/>
        <charset val="136"/>
        <scheme val="minor"/>
      </rPr>
      <t>年版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</si>
  <si>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肌本修護甦活精華</t>
    </r>
    <r>
      <rPr>
        <sz val="12"/>
        <color rgb="FF000000"/>
        <rFont val="Arial"/>
        <family val="2"/>
        <scheme val="minor"/>
      </rPr>
      <t xml:space="preserve"> 30mL (2023</t>
    </r>
    <r>
      <rPr>
        <sz val="12"/>
        <color rgb="FF000000"/>
        <rFont val="Arial"/>
        <family val="2"/>
        <charset val="136"/>
        <scheme val="minor"/>
      </rPr>
      <t>年版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</si>
  <si>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神經醯胺水漾保濕面膜</t>
    </r>
    <r>
      <rPr>
        <sz val="12"/>
        <color rgb="FF000000"/>
        <rFont val="Arial"/>
        <family val="2"/>
        <scheme val="minor"/>
      </rPr>
      <t>/ 30ml</t>
    </r>
  </si>
  <si>
    <r>
      <rPr>
        <sz val="12"/>
        <color rgb="FF000000"/>
        <rFont val="Arial"/>
        <family val="2"/>
        <charset val="136"/>
        <scheme val="minor"/>
      </rPr>
      <t>肌因抗老修護微導膜</t>
    </r>
    <r>
      <rPr>
        <sz val="12"/>
        <color rgb="FF000000"/>
        <rFont val="Arial"/>
        <family val="2"/>
        <scheme val="minor"/>
      </rPr>
      <t xml:space="preserve"> 25ml (2015</t>
    </r>
    <r>
      <rPr>
        <sz val="12"/>
        <color rgb="FF000000"/>
        <rFont val="Arial"/>
        <family val="2"/>
        <charset val="136"/>
        <scheme val="minor"/>
      </rPr>
      <t>年版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</si>
  <si>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海洋紅藻面膜</t>
    </r>
    <r>
      <rPr>
        <sz val="12"/>
        <color rgb="FF000000"/>
        <rFont val="Arial"/>
        <family val="2"/>
        <scheme val="minor"/>
      </rPr>
      <t xml:space="preserve"> 30ml</t>
    </r>
  </si>
  <si>
    <r>
      <rPr>
        <sz val="12"/>
        <color rgb="FF000000"/>
        <rFont val="Arial"/>
        <family val="2"/>
        <charset val="136"/>
        <scheme val="minor"/>
      </rPr>
      <t>玻尿酸恆潤保濕面膜</t>
    </r>
    <r>
      <rPr>
        <sz val="12"/>
        <color rgb="FF000000"/>
        <rFont val="Arial"/>
        <family val="2"/>
        <scheme val="minor"/>
      </rPr>
      <t xml:space="preserve"> 30mL</t>
    </r>
  </si>
  <si>
    <r>
      <rPr>
        <sz val="12"/>
        <color rgb="FF000000"/>
        <rFont val="Arial"/>
        <family val="2"/>
        <charset val="136"/>
        <scheme val="minor"/>
      </rPr>
      <t>海洋膠原蛋白面膜</t>
    </r>
    <r>
      <rPr>
        <sz val="12"/>
        <color rgb="FF000000"/>
        <rFont val="Arial"/>
        <family val="2"/>
        <scheme val="minor"/>
      </rPr>
      <t xml:space="preserve"> 30ml</t>
    </r>
  </si>
  <si>
    <r>
      <rPr>
        <sz val="12"/>
        <color rgb="FF000000"/>
        <rFont val="Arial"/>
        <family val="2"/>
        <charset val="136"/>
        <scheme val="minor"/>
      </rPr>
      <t>多肽睛澈修護眼膜</t>
    </r>
    <r>
      <rPr>
        <sz val="12"/>
        <color rgb="FF000000"/>
        <rFont val="Arial"/>
        <family val="2"/>
        <scheme val="minor"/>
      </rPr>
      <t xml:space="preserve"> 10mL(</t>
    </r>
    <r>
      <rPr>
        <sz val="12"/>
        <color rgb="FF000000"/>
        <rFont val="Arial"/>
        <family val="2"/>
        <charset val="136"/>
        <scheme val="minor"/>
      </rPr>
      <t>鈦灰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</si>
  <si>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優菌防護精華安瓶</t>
    </r>
    <r>
      <rPr>
        <sz val="12"/>
        <color rgb="FF000000"/>
        <rFont val="Arial"/>
        <family val="2"/>
        <scheme val="minor"/>
      </rPr>
      <t xml:space="preserve"> 6ml(10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</si>
  <si>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優菌防護安瓶精華</t>
    </r>
    <r>
      <rPr>
        <sz val="12"/>
        <color rgb="FF000000"/>
        <rFont val="Arial"/>
        <family val="2"/>
        <scheme val="minor"/>
      </rPr>
      <t xml:space="preserve"> 6ml</t>
    </r>
  </si>
  <si>
    <r>
      <rPr>
        <sz val="12"/>
        <color rgb="FF000000"/>
        <rFont val="Arial"/>
        <family val="2"/>
        <charset val="136"/>
        <scheme val="minor"/>
      </rPr>
      <t>冰原天神草彈力超導精華</t>
    </r>
    <r>
      <rPr>
        <sz val="12"/>
        <color rgb="FF000000"/>
        <rFont val="Arial"/>
        <family val="2"/>
        <scheme val="minor"/>
      </rPr>
      <t xml:space="preserve"> 6mL(</t>
    </r>
    <r>
      <rPr>
        <sz val="12"/>
        <color rgb="FF000000"/>
        <rFont val="Arial"/>
        <family val="2"/>
        <charset val="136"/>
        <scheme val="minor"/>
      </rPr>
      <t>玫瑰金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</si>
  <si>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花神臻秘玫瑰舒膚安瓶</t>
    </r>
    <r>
      <rPr>
        <sz val="12"/>
        <color rgb="FF000000"/>
        <rFont val="Arial"/>
        <family val="2"/>
        <scheme val="minor"/>
      </rPr>
      <t xml:space="preserve"> 6ml(</t>
    </r>
    <r>
      <rPr>
        <sz val="12"/>
        <color rgb="FF000000"/>
        <rFont val="Arial"/>
        <family val="2"/>
        <charset val="136"/>
        <scheme val="minor"/>
      </rPr>
      <t>含紙套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</si>
  <si>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金采賦活保濕精華霜</t>
    </r>
    <r>
      <rPr>
        <sz val="12"/>
        <color rgb="FF000000"/>
        <rFont val="Arial"/>
        <family val="2"/>
        <scheme val="minor"/>
      </rPr>
      <t xml:space="preserve"> 100ml</t>
    </r>
  </si>
  <si>
    <r>
      <rPr>
        <sz val="12"/>
        <color rgb="FF000000"/>
        <rFont val="Arial"/>
        <family val="2"/>
        <charset val="136"/>
        <scheme val="minor"/>
      </rPr>
      <t>金采賦活保濕精華霜</t>
    </r>
    <r>
      <rPr>
        <sz val="12"/>
        <color rgb="FF000000"/>
        <rFont val="Arial"/>
        <family val="2"/>
        <scheme val="minor"/>
      </rPr>
      <t xml:space="preserve"> 30ml</t>
    </r>
  </si>
  <si>
    <r>
      <rPr>
        <sz val="12"/>
        <color rgb="FF000000"/>
        <rFont val="Arial"/>
        <family val="2"/>
        <charset val="136"/>
        <scheme val="minor"/>
      </rPr>
      <t>緊緻新生彈力精華</t>
    </r>
    <r>
      <rPr>
        <sz val="12"/>
        <color rgb="FF000000"/>
        <rFont val="Arial"/>
        <family val="2"/>
        <scheme val="minor"/>
      </rPr>
      <t xml:space="preserve"> 10ml</t>
    </r>
  </si>
  <si>
    <r>
      <rPr>
        <sz val="12"/>
        <color rgb="FF000000"/>
        <rFont val="Arial"/>
        <family val="2"/>
        <charset val="136"/>
        <scheme val="minor"/>
      </rPr>
      <t>緊緻抗皺彈力面膜</t>
    </r>
    <r>
      <rPr>
        <sz val="12"/>
        <color rgb="FF000000"/>
        <rFont val="Arial"/>
        <family val="2"/>
        <scheme val="minor"/>
      </rPr>
      <t xml:space="preserve"> 30mL</t>
    </r>
  </si>
  <si>
    <r>
      <rPr>
        <sz val="12"/>
        <color rgb="FF000000"/>
        <rFont val="Arial"/>
        <family val="2"/>
        <charset val="136"/>
        <scheme val="minor"/>
      </rPr>
      <t>試用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金采賦活保濕精華霜</t>
    </r>
    <r>
      <rPr>
        <sz val="12"/>
        <color rgb="FF000000"/>
        <rFont val="Arial"/>
        <family val="2"/>
        <scheme val="minor"/>
      </rPr>
      <t xml:space="preserve"> 100ml</t>
    </r>
  </si>
  <si>
    <r>
      <rPr>
        <sz val="12"/>
        <color rgb="FF000000"/>
        <rFont val="Arial"/>
        <family val="2"/>
        <charset val="136"/>
        <scheme val="minor"/>
      </rPr>
      <t>無瑕清透防護霜</t>
    </r>
    <r>
      <rPr>
        <sz val="12"/>
        <color rgb="FF000000"/>
        <rFont val="Arial"/>
        <family val="2"/>
        <scheme val="minor"/>
      </rPr>
      <t xml:space="preserve"> 30mL(</t>
    </r>
    <r>
      <rPr>
        <sz val="12"/>
        <color rgb="FF000000"/>
        <rFont val="Arial"/>
        <family val="2"/>
        <charset val="136"/>
        <scheme val="minor"/>
      </rPr>
      <t>潤色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</si>
  <si>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亮采金球去角質凝膠</t>
    </r>
    <r>
      <rPr>
        <sz val="12"/>
        <color rgb="FF000000"/>
        <rFont val="Arial"/>
        <family val="2"/>
        <scheme val="minor"/>
      </rPr>
      <t xml:space="preserve"> 100ml (2015</t>
    </r>
    <r>
      <rPr>
        <sz val="12"/>
        <color rgb="FF000000"/>
        <rFont val="Arial"/>
        <family val="2"/>
        <charset val="136"/>
        <scheme val="minor"/>
      </rPr>
      <t>年版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</si>
  <si>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金采極緻晶凍凝露</t>
    </r>
    <r>
      <rPr>
        <sz val="12"/>
        <color rgb="FF000000"/>
        <rFont val="Arial"/>
        <family val="2"/>
        <scheme val="minor"/>
      </rPr>
      <t xml:space="preserve"> 125ml(</t>
    </r>
    <r>
      <rPr>
        <sz val="12"/>
        <color rgb="FF000000"/>
        <rFont val="Arial"/>
        <family val="2"/>
        <charset val="136"/>
        <scheme val="minor"/>
      </rPr>
      <t>升級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</si>
  <si>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試用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優菌防護安瓶精華</t>
    </r>
    <r>
      <rPr>
        <sz val="12"/>
        <color rgb="FF000000"/>
        <rFont val="Arial"/>
        <family val="2"/>
        <scheme val="minor"/>
      </rPr>
      <t xml:space="preserve"> 50ml</t>
    </r>
  </si>
  <si>
    <r>
      <rPr>
        <sz val="12"/>
        <color rgb="FF000000"/>
        <rFont val="Arial"/>
        <family val="2"/>
        <charset val="136"/>
        <scheme val="minor"/>
      </rPr>
      <t>試用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冰原天神草彈力超導精華</t>
    </r>
    <r>
      <rPr>
        <sz val="12"/>
        <color rgb="FF000000"/>
        <rFont val="Arial"/>
        <family val="2"/>
        <scheme val="minor"/>
      </rPr>
      <t xml:space="preserve"> 50mL</t>
    </r>
  </si>
  <si>
    <r>
      <rPr>
        <sz val="12"/>
        <color rgb="FF000000"/>
        <rFont val="Arial"/>
        <family val="2"/>
        <charset val="136"/>
        <scheme val="minor"/>
      </rPr>
      <t>試用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無瑕清透防護霜</t>
    </r>
    <r>
      <rPr>
        <sz val="12"/>
        <color rgb="FF000000"/>
        <rFont val="Arial"/>
        <family val="2"/>
        <scheme val="minor"/>
      </rPr>
      <t xml:space="preserve"> 30mL(</t>
    </r>
    <r>
      <rPr>
        <sz val="12"/>
        <color rgb="FF000000"/>
        <rFont val="Arial"/>
        <family val="2"/>
        <charset val="136"/>
        <scheme val="minor"/>
      </rPr>
      <t>潤色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</si>
  <si>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試用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超微纖深層淨膚乳</t>
    </r>
    <r>
      <rPr>
        <sz val="12"/>
        <color rgb="FF000000"/>
        <rFont val="Arial"/>
        <family val="2"/>
        <scheme val="minor"/>
      </rPr>
      <t>100ml</t>
    </r>
  </si>
  <si>
    <r>
      <rPr>
        <sz val="12"/>
        <color rgb="FF000000"/>
        <rFont val="Arial"/>
        <family val="2"/>
        <charset val="136"/>
        <scheme val="minor"/>
      </rPr>
      <t>試用包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金采賦活保濕精華霜</t>
    </r>
    <r>
      <rPr>
        <sz val="12"/>
        <color rgb="FF000000"/>
        <rFont val="Arial"/>
        <family val="2"/>
        <scheme val="minor"/>
      </rPr>
      <t xml:space="preserve"> 2mL(</t>
    </r>
    <r>
      <rPr>
        <sz val="12"/>
        <color rgb="FF000000"/>
        <rFont val="Arial"/>
        <family val="2"/>
        <charset val="136"/>
        <scheme val="minor"/>
      </rPr>
      <t>尖嘴單劑包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</si>
  <si>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試用包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無瑕清透防護霜</t>
    </r>
    <r>
      <rPr>
        <sz val="12"/>
        <color rgb="FF000000"/>
        <rFont val="Arial"/>
        <family val="2"/>
        <scheme val="minor"/>
      </rPr>
      <t xml:space="preserve"> 2ml(</t>
    </r>
    <r>
      <rPr>
        <sz val="12"/>
        <color rgb="FF000000"/>
        <rFont val="Arial"/>
        <family val="2"/>
        <charset val="136"/>
        <scheme val="minor"/>
      </rPr>
      <t>尖嘴單劑包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</si>
  <si>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試用</t>
    </r>
    <r>
      <rPr>
        <sz val="12"/>
        <color rgb="FF000000"/>
        <rFont val="Arial"/>
        <family val="2"/>
        <scheme val="minor"/>
      </rPr>
      <t>-365</t>
    </r>
    <r>
      <rPr>
        <sz val="12"/>
        <color rgb="FF000000"/>
        <rFont val="Arial"/>
        <family val="2"/>
        <charset val="136"/>
        <scheme val="minor"/>
      </rPr>
      <t>抗皺緊緻精質乳霜</t>
    </r>
    <r>
      <rPr>
        <sz val="12"/>
        <color rgb="FF000000"/>
        <rFont val="Arial"/>
        <family val="2"/>
        <scheme val="minor"/>
      </rPr>
      <t>50ml(2016</t>
    </r>
    <r>
      <rPr>
        <sz val="12"/>
        <color rgb="FF000000"/>
        <rFont val="Arial"/>
        <family val="2"/>
        <charset val="136"/>
        <scheme val="minor"/>
      </rPr>
      <t>年版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</si>
  <si>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青春機密膠原飲</t>
    </r>
    <r>
      <rPr>
        <sz val="12"/>
        <color rgb="FF000000"/>
        <rFont val="Arial"/>
        <family val="2"/>
        <scheme val="minor"/>
      </rPr>
      <t xml:space="preserve"> 60ml(10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)</t>
    </r>
    <r>
      <rPr>
        <sz val="12"/>
        <color rgb="FF000000"/>
        <rFont val="Arial"/>
        <family val="2"/>
        <charset val="136"/>
        <scheme val="minor"/>
      </rPr>
      <t>停產</t>
    </r>
  </si>
  <si>
    <r>
      <t xml:space="preserve">R3 </t>
    </r>
    <r>
      <rPr>
        <sz val="12"/>
        <color rgb="FF000000"/>
        <rFont val="Arial"/>
        <family val="2"/>
        <charset val="136"/>
        <scheme val="minor"/>
      </rPr>
      <t>愛益菌</t>
    </r>
    <r>
      <rPr>
        <sz val="12"/>
        <color rgb="FF000000"/>
        <rFont val="Arial"/>
        <family val="2"/>
        <scheme val="minor"/>
      </rPr>
      <t xml:space="preserve"> 56</t>
    </r>
    <r>
      <rPr>
        <sz val="12"/>
        <color rgb="FF000000"/>
        <rFont val="Arial"/>
        <family val="2"/>
        <charset val="136"/>
        <scheme val="minor"/>
      </rPr>
      <t>盒</t>
    </r>
    <r>
      <rPr>
        <sz val="12"/>
        <color rgb="FF000000"/>
        <rFont val="Arial"/>
        <family val="2"/>
        <scheme val="minor"/>
      </rPr>
      <t>/</t>
    </r>
    <r>
      <rPr>
        <sz val="12"/>
        <color rgb="FF000000"/>
        <rFont val="Arial"/>
        <family val="2"/>
        <charset val="136"/>
        <scheme val="minor"/>
      </rPr>
      <t>箱</t>
    </r>
  </si>
  <si>
    <r>
      <rPr>
        <sz val="12"/>
        <color rgb="FF000000"/>
        <rFont val="Arial"/>
        <family val="2"/>
        <charset val="136"/>
        <scheme val="minor"/>
      </rPr>
      <t>金采肌效生物纖維面膜</t>
    </r>
    <r>
      <rPr>
        <sz val="12"/>
        <color rgb="FF000000"/>
        <rFont val="Arial"/>
        <family val="2"/>
        <scheme val="minor"/>
      </rPr>
      <t xml:space="preserve"> 30mL</t>
    </r>
  </si>
  <si>
    <r>
      <rPr>
        <sz val="12"/>
        <color rgb="FF000000"/>
        <rFont val="Arial"/>
        <family val="2"/>
        <charset val="136"/>
        <scheme val="minor"/>
      </rPr>
      <t>甜睡美膠原</t>
    </r>
    <r>
      <rPr>
        <sz val="12"/>
        <color rgb="FF000000"/>
        <rFont val="Arial"/>
        <family val="2"/>
        <scheme val="minor"/>
      </rPr>
      <t>6g(30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)(</t>
    </r>
    <r>
      <rPr>
        <sz val="12"/>
        <color rgb="FF000000"/>
        <rFont val="Arial"/>
        <family val="2"/>
        <charset val="136"/>
        <scheme val="minor"/>
      </rPr>
      <t>繁體版</t>
    </r>
    <r>
      <rPr>
        <sz val="12"/>
        <color rgb="FF000000"/>
        <rFont val="Arial"/>
        <family val="2"/>
        <scheme val="minor"/>
      </rPr>
      <t>) 24</t>
    </r>
    <r>
      <rPr>
        <sz val="12"/>
        <color rgb="FF000000"/>
        <rFont val="Arial"/>
        <family val="2"/>
        <charset val="136"/>
        <scheme val="minor"/>
      </rPr>
      <t>盒</t>
    </r>
    <r>
      <rPr>
        <sz val="12"/>
        <color rgb="FF000000"/>
        <rFont val="Arial"/>
        <family val="2"/>
        <scheme val="minor"/>
      </rPr>
      <t>/</t>
    </r>
    <r>
      <rPr>
        <sz val="12"/>
        <color rgb="FF000000"/>
        <rFont val="Arial"/>
        <family val="2"/>
        <charset val="136"/>
        <scheme val="minor"/>
      </rPr>
      <t>箱</t>
    </r>
  </si>
  <si>
    <r>
      <rPr>
        <sz val="12"/>
        <color rgb="FF000000"/>
        <rFont val="Arial"/>
        <family val="2"/>
        <charset val="136"/>
        <scheme val="minor"/>
      </rPr>
      <t>鑽石光感潔膚乳</t>
    </r>
    <r>
      <rPr>
        <sz val="12"/>
        <color rgb="FF000000"/>
        <rFont val="Arial"/>
        <family val="2"/>
        <scheme val="minor"/>
      </rPr>
      <t xml:space="preserve"> 100ml</t>
    </r>
  </si>
  <si>
    <r>
      <rPr>
        <sz val="12"/>
        <color rgb="FF000000"/>
        <rFont val="Arial"/>
        <family val="2"/>
        <charset val="136"/>
        <scheme val="minor"/>
      </rPr>
      <t>試用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鑽石光感潔膚乳</t>
    </r>
    <r>
      <rPr>
        <sz val="12"/>
        <color rgb="FF000000"/>
        <rFont val="Arial"/>
        <family val="2"/>
        <scheme val="minor"/>
      </rPr>
      <t xml:space="preserve"> 100ml</t>
    </r>
  </si>
  <si>
    <r>
      <rPr>
        <sz val="12"/>
        <color rgb="FF000000"/>
        <rFont val="Arial"/>
        <family val="2"/>
        <charset val="136"/>
        <scheme val="minor"/>
      </rPr>
      <t>明眸撫紋水嫩眼膜</t>
    </r>
    <r>
      <rPr>
        <sz val="12"/>
        <color rgb="FF000000"/>
        <rFont val="Arial"/>
        <family val="2"/>
        <scheme val="minor"/>
      </rPr>
      <t xml:space="preserve"> 10mL(</t>
    </r>
    <r>
      <rPr>
        <sz val="12"/>
        <color rgb="FF000000"/>
        <rFont val="Arial"/>
        <family val="2"/>
        <charset val="136"/>
        <scheme val="minor"/>
      </rPr>
      <t>玫瑰金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</si>
  <si>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藍金活酵能量舒壓眼膜</t>
    </r>
    <r>
      <rPr>
        <sz val="12"/>
        <color rgb="FF000000"/>
        <rFont val="Arial"/>
        <family val="2"/>
        <scheme val="minor"/>
      </rPr>
      <t xml:space="preserve"> 8mL(</t>
    </r>
    <r>
      <rPr>
        <sz val="12"/>
        <color rgb="FF000000"/>
        <rFont val="Arial"/>
        <family val="2"/>
        <charset val="136"/>
        <scheme val="minor"/>
      </rPr>
      <t>白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</si>
  <si>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試用包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光燦輕感防曬隔離乳</t>
    </r>
    <r>
      <rPr>
        <sz val="12"/>
        <color rgb="FF000000"/>
        <rFont val="Arial"/>
        <family val="2"/>
        <scheme val="minor"/>
      </rPr>
      <t xml:space="preserve"> 2mL(</t>
    </r>
    <r>
      <rPr>
        <sz val="12"/>
        <color rgb="FF000000"/>
        <rFont val="Arial"/>
        <family val="2"/>
        <charset val="136"/>
        <scheme val="minor"/>
      </rPr>
      <t>尖嘴單劑包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</si>
  <si>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試用包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富勒烯煥齡賦活水凝乳</t>
    </r>
    <r>
      <rPr>
        <sz val="12"/>
        <color rgb="FF000000"/>
        <rFont val="Arial"/>
        <family val="2"/>
        <scheme val="minor"/>
      </rPr>
      <t xml:space="preserve"> 2mL(</t>
    </r>
    <r>
      <rPr>
        <sz val="12"/>
        <color rgb="FF000000"/>
        <rFont val="Arial"/>
        <family val="2"/>
        <charset val="136"/>
        <scheme val="minor"/>
      </rPr>
      <t>尖嘴單劑包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</si>
  <si>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試用包</t>
    </r>
    <r>
      <rPr>
        <sz val="12"/>
        <color rgb="FF000000"/>
        <rFont val="Arial"/>
        <family val="2"/>
        <scheme val="minor"/>
      </rPr>
      <t xml:space="preserve"> - </t>
    </r>
    <r>
      <rPr>
        <sz val="12"/>
        <color rgb="FF000000"/>
        <rFont val="Arial"/>
        <family val="2"/>
        <charset val="136"/>
        <scheme val="minor"/>
      </rPr>
      <t>水盈潤去角質凝膠</t>
    </r>
    <r>
      <rPr>
        <sz val="12"/>
        <color rgb="FF000000"/>
        <rFont val="Arial"/>
        <family val="2"/>
        <scheme val="minor"/>
      </rPr>
      <t xml:space="preserve"> 3mL</t>
    </r>
  </si>
  <si>
    <r>
      <rPr>
        <sz val="12"/>
        <color rgb="FF000000"/>
        <rFont val="Arial"/>
        <family val="2"/>
        <charset val="136"/>
        <scheme val="minor"/>
      </rPr>
      <t>試用包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花神臻秘玫瑰肌密晶凝霜</t>
    </r>
    <r>
      <rPr>
        <sz val="12"/>
        <color rgb="FF000000"/>
        <rFont val="Arial"/>
        <family val="2"/>
        <scheme val="minor"/>
      </rPr>
      <t xml:space="preserve"> 2mL(</t>
    </r>
    <r>
      <rPr>
        <sz val="12"/>
        <color rgb="FF000000"/>
        <rFont val="Arial"/>
        <family val="2"/>
        <charset val="136"/>
        <scheme val="minor"/>
      </rPr>
      <t>含紙卡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</si>
  <si>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暢護菌益康粉包</t>
    </r>
    <r>
      <rPr>
        <sz val="12"/>
        <color rgb="FF000000"/>
        <rFont val="Arial"/>
        <family val="2"/>
        <scheme val="minor"/>
      </rPr>
      <t xml:space="preserve"> 3g(30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)(</t>
    </r>
    <r>
      <rPr>
        <sz val="12"/>
        <color rgb="FF000000"/>
        <rFont val="Arial"/>
        <family val="2"/>
        <charset val="136"/>
        <scheme val="minor"/>
      </rPr>
      <t>繁體版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</si>
  <si>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試用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2"/>
        <charset val="136"/>
        <scheme val="minor"/>
      </rPr>
      <t>日出朝陽按摩油</t>
    </r>
    <r>
      <rPr>
        <sz val="12"/>
        <color rgb="FF000000"/>
        <rFont val="Arial"/>
        <family val="2"/>
        <scheme val="minor"/>
      </rPr>
      <t xml:space="preserve"> 200ml</t>
    </r>
  </si>
  <si>
    <r>
      <rPr>
        <sz val="12"/>
        <color rgb="FF000000"/>
        <rFont val="Arial"/>
        <family val="2"/>
        <charset val="136"/>
        <scheme val="minor"/>
      </rPr>
      <t>天使漫步腿部舒緩霜</t>
    </r>
    <r>
      <rPr>
        <sz val="12"/>
        <color rgb="FF000000"/>
        <rFont val="Arial"/>
        <family val="2"/>
        <scheme val="minor"/>
      </rPr>
      <t xml:space="preserve"> 250mL</t>
    </r>
  </si>
  <si>
    <r>
      <rPr>
        <sz val="12"/>
        <color rgb="FF000000"/>
        <rFont val="Arial"/>
        <family val="2"/>
        <charset val="136"/>
        <scheme val="minor"/>
      </rPr>
      <t>防護肌密眼部修護精華</t>
    </r>
  </si>
  <si>
    <r>
      <rPr>
        <sz val="12"/>
        <color rgb="FF000000"/>
        <rFont val="Arial"/>
        <family val="2"/>
        <charset val="136"/>
        <scheme val="minor"/>
      </rPr>
      <t>新纖有酵蔬果酵素飲</t>
    </r>
    <r>
      <rPr>
        <sz val="12"/>
        <color rgb="FF000000"/>
        <rFont val="Arial"/>
        <family val="2"/>
        <scheme val="minor"/>
      </rPr>
      <t>50ml(15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)(</t>
    </r>
    <r>
      <rPr>
        <sz val="12"/>
        <color rgb="FF000000"/>
        <rFont val="Arial"/>
        <family val="2"/>
        <charset val="136"/>
        <scheme val="minor"/>
      </rPr>
      <t>繁體版</t>
    </r>
    <r>
      <rPr>
        <sz val="12"/>
        <color rgb="FF000000"/>
        <rFont val="Arial"/>
        <family val="2"/>
        <scheme val="minor"/>
      </rPr>
      <t>)/</t>
    </r>
    <r>
      <rPr>
        <sz val="12"/>
        <color rgb="FF000000"/>
        <rFont val="Arial"/>
        <family val="2"/>
        <charset val="136"/>
        <scheme val="minor"/>
      </rPr>
      <t>盒</t>
    </r>
  </si>
  <si>
    <r>
      <t>MIKOBEAUTE-</t>
    </r>
    <r>
      <rPr>
        <sz val="12"/>
        <color rgb="FF000000"/>
        <rFont val="Arial"/>
        <family val="2"/>
        <charset val="136"/>
        <scheme val="minor"/>
      </rPr>
      <t>提袋</t>
    </r>
    <r>
      <rPr>
        <sz val="12"/>
        <color rgb="FF000000"/>
        <rFont val="Arial"/>
        <family val="2"/>
        <scheme val="minor"/>
      </rPr>
      <t>-S/22cm W*8cm D*18cm H</t>
    </r>
  </si>
  <si>
    <r>
      <t>MIKOBEAUTE-</t>
    </r>
    <r>
      <rPr>
        <sz val="12"/>
        <color rgb="FF000000"/>
        <rFont val="Arial"/>
        <family val="2"/>
        <charset val="136"/>
        <scheme val="minor"/>
      </rPr>
      <t>提袋</t>
    </r>
    <r>
      <rPr>
        <sz val="12"/>
        <color rgb="FF000000"/>
        <rFont val="Arial"/>
        <family val="2"/>
        <scheme val="minor"/>
      </rPr>
      <t>-M/29cm W*11cm D*24cm H(2023.4)</t>
    </r>
  </si>
  <si>
    <r>
      <rPr>
        <sz val="12"/>
        <color rgb="FF000000"/>
        <rFont val="Arial"/>
        <family val="2"/>
        <charset val="136"/>
        <scheme val="minor"/>
      </rPr>
      <t>喬雅登豐麗緹玻尿酸植入物</t>
    </r>
    <r>
      <rPr>
        <sz val="12"/>
        <color rgb="FF000000"/>
        <rFont val="Arial"/>
        <family val="2"/>
        <scheme val="minor"/>
      </rPr>
      <t>Voluma 1ml/ syringe(1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</si>
  <si>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喬雅登夢蓓菈玻尿酸植入物</t>
    </r>
    <r>
      <rPr>
        <sz val="12"/>
        <color rgb="FF000000"/>
        <rFont val="Arial"/>
        <family val="2"/>
        <scheme val="minor"/>
      </rPr>
      <t>Volbella 1ml/ syringe(1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</si>
  <si>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喬雅登豐麗緹玻尿酸植入物</t>
    </r>
    <r>
      <rPr>
        <sz val="12"/>
        <color rgb="FF000000"/>
        <rFont val="Arial"/>
        <family val="2"/>
        <scheme val="minor"/>
      </rPr>
      <t>Volift 1ml/ syringe(1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</si>
  <si>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喬雅登豐塑玻尿酸植入物</t>
    </r>
    <r>
      <rPr>
        <sz val="12"/>
        <color rgb="FF000000"/>
        <rFont val="Arial"/>
        <family val="2"/>
        <scheme val="minor"/>
      </rPr>
      <t>Volux 1ml/ syringe(1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</si>
  <si>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喬雅登芙潤玻尿酸植入物</t>
    </r>
    <r>
      <rPr>
        <sz val="12"/>
        <color rgb="FF000000"/>
        <rFont val="Arial"/>
        <family val="2"/>
        <scheme val="minor"/>
      </rPr>
      <t>Volite 1ml/ Syringe(1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</si>
  <si>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t>MINT</t>
    </r>
    <r>
      <rPr>
        <sz val="12"/>
        <color rgb="FF000000"/>
        <rFont val="Arial"/>
        <family val="2"/>
        <charset val="136"/>
        <scheme val="minor"/>
      </rPr>
      <t>秘特拉提線</t>
    </r>
    <r>
      <rPr>
        <sz val="12"/>
        <color rgb="FF000000"/>
        <rFont val="Arial"/>
        <family val="2"/>
        <scheme val="minor"/>
      </rPr>
      <t>EASY 42.4CM(1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</si>
  <si>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t>MINT</t>
    </r>
    <r>
      <rPr>
        <sz val="12"/>
        <color rgb="FF000000"/>
        <rFont val="Arial"/>
        <family val="2"/>
        <charset val="136"/>
        <scheme val="minor"/>
      </rPr>
      <t>秘特拉提線</t>
    </r>
    <r>
      <rPr>
        <sz val="12"/>
        <color rgb="FF000000"/>
        <rFont val="Arial"/>
        <family val="2"/>
        <scheme val="minor"/>
      </rPr>
      <t>FINE 18CM(1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</si>
  <si>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t>MINT</t>
    </r>
    <r>
      <rPr>
        <sz val="12"/>
        <color rgb="FF000000"/>
        <rFont val="Arial"/>
        <family val="2"/>
        <charset val="136"/>
        <scheme val="minor"/>
      </rPr>
      <t>秘特拉提線</t>
    </r>
    <r>
      <rPr>
        <sz val="12"/>
        <color rgb="FF000000"/>
        <rFont val="Arial"/>
        <family val="2"/>
        <scheme val="minor"/>
      </rPr>
      <t>FIX 18CM(1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</si>
  <si>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t>MINT</t>
    </r>
    <r>
      <rPr>
        <sz val="12"/>
        <color rgb="FF000000"/>
        <rFont val="Arial"/>
        <family val="2"/>
        <charset val="136"/>
        <scheme val="minor"/>
      </rPr>
      <t>秘特拉提線</t>
    </r>
    <r>
      <rPr>
        <sz val="12"/>
        <color rgb="FF000000"/>
        <rFont val="Arial"/>
        <family val="2"/>
        <scheme val="minor"/>
      </rPr>
      <t>PETIT 15CM(1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</si>
  <si>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t>MINT</t>
    </r>
    <r>
      <rPr>
        <sz val="12"/>
        <color rgb="FF000000"/>
        <rFont val="Arial"/>
        <family val="2"/>
        <charset val="136"/>
        <scheme val="minor"/>
      </rPr>
      <t>秘特拉提線</t>
    </r>
    <r>
      <rPr>
        <sz val="12"/>
        <color rgb="FF000000"/>
        <rFont val="Arial"/>
        <family val="2"/>
        <scheme val="minor"/>
      </rPr>
      <t>TIP 4CM(1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</si>
  <si>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t>MINT</t>
    </r>
    <r>
      <rPr>
        <sz val="12"/>
        <color rgb="FF000000"/>
        <rFont val="Arial"/>
        <family val="2"/>
        <charset val="136"/>
        <scheme val="minor"/>
      </rPr>
      <t>秘特拉提線</t>
    </r>
    <r>
      <rPr>
        <sz val="12"/>
        <color rgb="FF000000"/>
        <rFont val="Arial"/>
        <family val="2"/>
        <scheme val="minor"/>
      </rPr>
      <t>UP 9.5CM(1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</si>
  <si>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水光針針頭</t>
    </r>
    <r>
      <rPr>
        <sz val="12"/>
        <color rgb="FF000000"/>
        <rFont val="Arial"/>
        <family val="2"/>
        <scheme val="minor"/>
      </rPr>
      <t>/ 31G/ 9pin/ 1.0mm(1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</si>
  <si>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水光針針頭</t>
    </r>
    <r>
      <rPr>
        <sz val="12"/>
        <color rgb="FF000000"/>
        <rFont val="Arial"/>
        <family val="2"/>
        <scheme val="minor"/>
      </rPr>
      <t>/ 31G/ 9pin/ 1.2mm(1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</si>
  <si>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水光針針頭</t>
    </r>
    <r>
      <rPr>
        <sz val="12"/>
        <color rgb="FF000000"/>
        <rFont val="Arial"/>
        <family val="2"/>
        <scheme val="minor"/>
      </rPr>
      <t>/ 31G/ 9pin/ 1.5mm(1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</si>
  <si>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t>PLT</t>
    </r>
    <r>
      <rPr>
        <sz val="12"/>
        <color rgb="FF000000"/>
        <rFont val="Arial"/>
        <family val="2"/>
        <charset val="136"/>
        <scheme val="minor"/>
      </rPr>
      <t>生長因子凍晶製備</t>
    </r>
    <r>
      <rPr>
        <sz val="12"/>
        <color rgb="FF000000"/>
        <rFont val="Arial"/>
        <family val="2"/>
        <scheme val="minor"/>
      </rPr>
      <t>6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2"/>
        <charset val="136"/>
        <scheme val="minor"/>
      </rPr>
      <t>單瓶</t>
    </r>
    <r>
      <rPr>
        <sz val="12"/>
        <color rgb="FF000000"/>
        <rFont val="Arial"/>
        <family val="2"/>
        <scheme val="minor"/>
      </rPr>
      <t>)</t>
    </r>
  </si>
  <si>
    <r>
      <t>PLT</t>
    </r>
    <r>
      <rPr>
        <sz val="12"/>
        <color rgb="FF000000"/>
        <rFont val="Arial"/>
        <family val="2"/>
        <charset val="136"/>
        <scheme val="minor"/>
      </rPr>
      <t>生長因子凍晶製備</t>
    </r>
    <r>
      <rPr>
        <sz val="12"/>
        <color rgb="FF000000"/>
        <rFont val="Arial"/>
        <family val="2"/>
        <scheme val="minor"/>
      </rPr>
      <t>10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2"/>
        <charset val="136"/>
        <scheme val="minor"/>
      </rPr>
      <t>單瓶</t>
    </r>
    <r>
      <rPr>
        <sz val="12"/>
        <color rgb="FF000000"/>
        <rFont val="Arial"/>
        <family val="2"/>
        <scheme val="minor"/>
      </rPr>
      <t>)</t>
    </r>
  </si>
  <si>
    <r>
      <t>PLT</t>
    </r>
    <r>
      <rPr>
        <sz val="12"/>
        <color rgb="FF000000"/>
        <rFont val="Arial"/>
        <family val="2"/>
        <charset val="136"/>
        <scheme val="minor"/>
      </rPr>
      <t>生長因子凍晶製備</t>
    </r>
    <r>
      <rPr>
        <sz val="12"/>
        <color rgb="FF000000"/>
        <rFont val="Arial"/>
        <family val="2"/>
        <scheme val="minor"/>
      </rPr>
      <t>20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2"/>
        <charset val="136"/>
        <scheme val="minor"/>
      </rPr>
      <t>單瓶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</si>
  <si>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洢蓮絲植入劑</t>
    </r>
    <r>
      <rPr>
        <sz val="12"/>
        <color rgb="FF000000"/>
        <rFont val="Arial"/>
        <family val="2"/>
        <scheme val="minor"/>
      </rPr>
      <t>ELLANSÉ-S 1ml(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</si>
  <si>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洢蓮絲植入劑</t>
    </r>
    <r>
      <rPr>
        <sz val="12"/>
        <color rgb="FF000000"/>
        <rFont val="Arial"/>
        <family val="2"/>
        <scheme val="minor"/>
      </rPr>
      <t>ELLANSÉ-M 1ml(</t>
    </r>
    <r>
      <rPr>
        <sz val="12"/>
        <color rgb="FF000000"/>
        <rFont val="Arial"/>
        <family val="2"/>
        <charset val="136"/>
        <scheme val="minor"/>
      </rPr>
      <t>支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</si>
  <si>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海芙三代音波探頭</t>
    </r>
    <r>
      <rPr>
        <sz val="12"/>
        <color rgb="FF000000"/>
        <rFont val="Arial"/>
        <family val="2"/>
        <scheme val="minor"/>
      </rPr>
      <t>2mm(1</t>
    </r>
    <r>
      <rPr>
        <sz val="12"/>
        <color rgb="FF000000"/>
        <rFont val="Arial"/>
        <family val="2"/>
        <charset val="136"/>
        <scheme val="minor"/>
      </rPr>
      <t>條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</si>
  <si>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海芙三代音波探頭</t>
    </r>
    <r>
      <rPr>
        <sz val="12"/>
        <color rgb="FF000000"/>
        <rFont val="Arial"/>
        <family val="2"/>
        <scheme val="minor"/>
      </rPr>
      <t>3mm(1</t>
    </r>
    <r>
      <rPr>
        <sz val="12"/>
        <color rgb="FF000000"/>
        <rFont val="Arial"/>
        <family val="2"/>
        <charset val="136"/>
        <scheme val="minor"/>
      </rPr>
      <t>條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</si>
  <si>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海芙三代音波探頭</t>
    </r>
    <r>
      <rPr>
        <sz val="12"/>
        <color rgb="FF000000"/>
        <rFont val="Arial"/>
        <family val="2"/>
        <scheme val="minor"/>
      </rPr>
      <t>4.5mm(1</t>
    </r>
    <r>
      <rPr>
        <sz val="12"/>
        <color rgb="FF000000"/>
        <rFont val="Arial"/>
        <family val="2"/>
        <charset val="136"/>
        <scheme val="minor"/>
      </rPr>
      <t>條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</si>
  <si>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海芙三代音波探頭</t>
    </r>
    <r>
      <rPr>
        <sz val="12"/>
        <color rgb="FF000000"/>
        <rFont val="Arial"/>
        <family val="2"/>
        <scheme val="minor"/>
      </rPr>
      <t>6mm(1</t>
    </r>
    <r>
      <rPr>
        <sz val="12"/>
        <color rgb="FF000000"/>
        <rFont val="Arial"/>
        <family val="2"/>
        <charset val="136"/>
        <scheme val="minor"/>
      </rPr>
      <t>條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</si>
  <si>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阿爾發</t>
    </r>
    <r>
      <rPr>
        <sz val="12"/>
        <color rgb="FF000000"/>
        <rFont val="Arial"/>
        <family val="2"/>
        <scheme val="minor"/>
      </rPr>
      <t>SAT</t>
    </r>
    <r>
      <rPr>
        <sz val="12"/>
        <color rgb="FF000000"/>
        <rFont val="Arial"/>
        <family val="2"/>
        <charset val="136"/>
        <scheme val="minor"/>
      </rPr>
      <t>卡匣</t>
    </r>
    <r>
      <rPr>
        <sz val="12"/>
        <color rgb="FF000000"/>
        <rFont val="Arial"/>
        <family val="2"/>
        <scheme val="minor"/>
      </rPr>
      <t>(1</t>
    </r>
    <r>
      <rPr>
        <sz val="12"/>
        <color rgb="FF000000"/>
        <rFont val="Arial"/>
        <family val="2"/>
        <charset val="136"/>
        <scheme val="minor"/>
      </rPr>
      <t>點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</si>
  <si>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光纖針</t>
    </r>
    <r>
      <rPr>
        <sz val="12"/>
        <color rgb="FF000000"/>
        <rFont val="Arial"/>
        <family val="2"/>
        <scheme val="minor"/>
      </rPr>
      <t>+</t>
    </r>
    <r>
      <rPr>
        <sz val="12"/>
        <color rgb="FF000000"/>
        <rFont val="Arial"/>
        <family val="2"/>
        <charset val="136"/>
        <scheme val="minor"/>
      </rPr>
      <t>靜脈留置針</t>
    </r>
    <r>
      <rPr>
        <sz val="12"/>
        <color rgb="FF000000"/>
        <rFont val="Arial"/>
        <family val="2"/>
        <scheme val="minor"/>
      </rPr>
      <t>(1</t>
    </r>
    <r>
      <rPr>
        <sz val="12"/>
        <color rgb="FF000000"/>
        <rFont val="Arial"/>
        <family val="2"/>
        <charset val="136"/>
        <scheme val="minor"/>
      </rPr>
      <t>組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</si>
  <si>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海菲秀深藍端頭</t>
    </r>
    <r>
      <rPr>
        <sz val="12"/>
        <color rgb="FF000000"/>
        <rFont val="Arial"/>
        <family val="2"/>
        <scheme val="minor"/>
      </rPr>
      <t>(1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</si>
  <si>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海菲秀淺藍端頭</t>
    </r>
    <r>
      <rPr>
        <sz val="12"/>
        <color rgb="FF000000"/>
        <rFont val="Arial"/>
        <family val="2"/>
        <scheme val="minor"/>
      </rPr>
      <t>(1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</si>
  <si>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海菲秀透明端頭</t>
    </r>
    <r>
      <rPr>
        <sz val="12"/>
        <color rgb="FF000000"/>
        <rFont val="Arial"/>
        <family val="2"/>
        <scheme val="minor"/>
      </rPr>
      <t>(1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</si>
  <si>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海菲秀</t>
    </r>
    <r>
      <rPr>
        <sz val="12"/>
        <color rgb="FF000000"/>
        <rFont val="Arial"/>
        <family val="2"/>
        <scheme val="minor"/>
      </rPr>
      <t xml:space="preserve"> Activ-4 Skin Solution (ml) </t>
    </r>
    <r>
      <rPr>
        <sz val="12"/>
        <color rgb="FF000000"/>
        <rFont val="Arial"/>
        <family val="2"/>
        <charset val="136"/>
        <scheme val="minor"/>
      </rPr>
      <t>二代</t>
    </r>
  </si>
  <si>
    <r>
      <rPr>
        <sz val="12"/>
        <color rgb="FF000000"/>
        <rFont val="Arial"/>
        <family val="2"/>
        <charset val="136"/>
        <scheme val="minor"/>
      </rPr>
      <t>海菲秀</t>
    </r>
    <r>
      <rPr>
        <sz val="12"/>
        <color rgb="FF000000"/>
        <rFont val="Arial"/>
        <family val="2"/>
        <scheme val="minor"/>
      </rPr>
      <t xml:space="preserve"> Beta-HD Skin Solution (ml) </t>
    </r>
    <r>
      <rPr>
        <sz val="12"/>
        <color rgb="FF000000"/>
        <rFont val="Arial"/>
        <family val="2"/>
        <charset val="136"/>
        <scheme val="minor"/>
      </rPr>
      <t>二代</t>
    </r>
  </si>
  <si>
    <r>
      <rPr>
        <sz val="12"/>
        <color rgb="FF000000"/>
        <rFont val="Arial"/>
        <family val="2"/>
        <charset val="136"/>
        <scheme val="minor"/>
      </rPr>
      <t>海菲秀</t>
    </r>
    <r>
      <rPr>
        <sz val="12"/>
        <color rgb="FF000000"/>
        <rFont val="Arial"/>
        <family val="2"/>
        <scheme val="minor"/>
      </rPr>
      <t xml:space="preserve"> Antiox-6 Skin Solution (ml) </t>
    </r>
    <r>
      <rPr>
        <sz val="12"/>
        <color rgb="FF000000"/>
        <rFont val="Arial"/>
        <family val="2"/>
        <charset val="136"/>
        <scheme val="minor"/>
      </rPr>
      <t>二代</t>
    </r>
  </si>
  <si>
    <r>
      <rPr>
        <sz val="12"/>
        <color rgb="FF000000"/>
        <rFont val="Arial"/>
        <family val="2"/>
        <charset val="136"/>
        <scheme val="minor"/>
      </rPr>
      <t>海菲秀</t>
    </r>
    <r>
      <rPr>
        <sz val="12"/>
        <color rgb="FF000000"/>
        <rFont val="Arial"/>
        <family val="2"/>
        <scheme val="minor"/>
      </rPr>
      <t xml:space="preserve"> Rinseaway System Cleaning Solution (ml) </t>
    </r>
    <r>
      <rPr>
        <sz val="12"/>
        <color rgb="FF000000"/>
        <rFont val="Arial"/>
        <family val="2"/>
        <charset val="136"/>
        <scheme val="minor"/>
      </rPr>
      <t>二代</t>
    </r>
  </si>
  <si>
    <r>
      <rPr>
        <sz val="12"/>
        <color rgb="FF000000"/>
        <rFont val="Arial"/>
        <family val="2"/>
        <charset val="136"/>
        <scheme val="minor"/>
      </rPr>
      <t>鳳凰電波</t>
    </r>
    <r>
      <rPr>
        <sz val="12"/>
        <color rgb="FF000000"/>
        <rFont val="Arial"/>
        <family val="2"/>
        <scheme val="minor"/>
      </rPr>
      <t>0.25</t>
    </r>
    <r>
      <rPr>
        <sz val="12"/>
        <color rgb="FF000000"/>
        <rFont val="Arial"/>
        <family val="2"/>
        <charset val="136"/>
        <scheme val="minor"/>
      </rPr>
      <t>平方公分碧眼探頭</t>
    </r>
    <r>
      <rPr>
        <sz val="12"/>
        <color rgb="FF000000"/>
        <rFont val="Arial"/>
        <family val="2"/>
        <scheme val="minor"/>
      </rPr>
      <t>(450</t>
    </r>
    <r>
      <rPr>
        <sz val="12"/>
        <color rgb="FF000000"/>
        <rFont val="Arial"/>
        <family val="2"/>
        <charset val="136"/>
        <scheme val="minor"/>
      </rPr>
      <t>發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</si>
  <si>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鳳凰電波</t>
    </r>
    <r>
      <rPr>
        <sz val="12"/>
        <color rgb="FF000000"/>
        <rFont val="Arial"/>
        <family val="2"/>
        <scheme val="minor"/>
      </rPr>
      <t>4</t>
    </r>
    <r>
      <rPr>
        <sz val="12"/>
        <color rgb="FF000000"/>
        <rFont val="Arial"/>
        <family val="2"/>
        <charset val="136"/>
        <scheme val="minor"/>
      </rPr>
      <t>平方公分紫鑽探頭</t>
    </r>
    <r>
      <rPr>
        <sz val="12"/>
        <color rgb="FF000000"/>
        <rFont val="Arial"/>
        <family val="2"/>
        <scheme val="minor"/>
      </rPr>
      <t>(900</t>
    </r>
    <r>
      <rPr>
        <sz val="12"/>
        <color rgb="FF000000"/>
        <rFont val="Arial"/>
        <family val="2"/>
        <charset val="136"/>
        <scheme val="minor"/>
      </rPr>
      <t>發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</si>
  <si>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保妥適</t>
    </r>
    <r>
      <rPr>
        <sz val="12"/>
        <color rgb="FF000000"/>
        <rFont val="Arial"/>
        <family val="2"/>
        <scheme val="minor"/>
      </rPr>
      <t>Botox 100u/ vial  (</t>
    </r>
    <r>
      <rPr>
        <sz val="12"/>
        <color rgb="FF000000"/>
        <rFont val="Arial"/>
        <family val="2"/>
        <charset val="136"/>
        <scheme val="minor"/>
      </rPr>
      <t>因稀釋手法會有些許差異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</si>
  <si>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保提拉凍晶注射劑</t>
    </r>
    <r>
      <rPr>
        <sz val="12"/>
        <color rgb="FF000000"/>
        <rFont val="Arial"/>
        <family val="2"/>
        <scheme val="minor"/>
      </rPr>
      <t>Letybo 200u/ vial</t>
    </r>
  </si>
  <si>
    <r>
      <rPr>
        <sz val="12"/>
        <color rgb="FF000000"/>
        <rFont val="Arial"/>
        <family val="2"/>
        <charset val="136"/>
        <scheme val="minor"/>
      </rPr>
      <t>奇肌肉毒</t>
    </r>
    <r>
      <rPr>
        <sz val="12"/>
        <color rgb="FF000000"/>
        <rFont val="Arial"/>
        <family val="2"/>
        <scheme val="minor"/>
      </rPr>
      <t xml:space="preserve"> 200u/ vial  (</t>
    </r>
    <r>
      <rPr>
        <sz val="12"/>
        <color rgb="FF000000"/>
        <rFont val="Arial"/>
        <family val="2"/>
        <charset val="136"/>
        <scheme val="minor"/>
      </rPr>
      <t>因稀釋手法會有些許差異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</si>
  <si>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善纖達</t>
    </r>
    <r>
      <rPr>
        <sz val="12"/>
        <color rgb="FF000000"/>
        <rFont val="Arial"/>
        <family val="2"/>
        <scheme val="minor"/>
      </rPr>
      <t xml:space="preserve"> Saxenda 6 mg/ml </t>
    </r>
    <r>
      <rPr>
        <sz val="12"/>
        <color rgb="FF000000"/>
        <rFont val="Arial"/>
        <family val="2"/>
        <charset val="136"/>
        <scheme val="minor"/>
      </rPr>
      <t>注射用溶液</t>
    </r>
    <r>
      <rPr>
        <sz val="12"/>
        <color rgb="FF000000"/>
        <rFont val="Arial"/>
        <family val="2"/>
        <scheme val="minor"/>
      </rPr>
      <t>(3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</si>
  <si>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肝得健</t>
    </r>
    <r>
      <rPr>
        <sz val="12"/>
        <color rgb="FF000000"/>
        <rFont val="Arial"/>
        <family val="2"/>
        <scheme val="minor"/>
      </rPr>
      <t>(20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</si>
  <si>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2"/>
        <charset val="136"/>
        <scheme val="minor"/>
      </rPr>
      <t>卡尼丁</t>
    </r>
    <r>
      <rPr>
        <sz val="12"/>
        <color rgb="FF000000"/>
        <rFont val="Arial"/>
        <family val="2"/>
        <scheme val="minor"/>
      </rPr>
      <t>(20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)</t>
    </r>
  </si>
  <si>
    <r>
      <rPr>
        <strike/>
        <sz val="12"/>
        <color rgb="FF000000"/>
        <rFont val="Arial"/>
        <family val="2"/>
        <charset val="136"/>
        <scheme val="minor"/>
      </rPr>
      <t>新纖有酵蔬果酵素飲</t>
    </r>
    <r>
      <rPr>
        <strike/>
        <sz val="12"/>
        <color rgb="FF000000"/>
        <rFont val="Arial"/>
        <family val="2"/>
        <scheme val="minor"/>
      </rPr>
      <t>50ml(15</t>
    </r>
    <r>
      <rPr>
        <strike/>
        <sz val="12"/>
        <color rgb="FF000000"/>
        <rFont val="Arial"/>
        <family val="2"/>
        <charset val="136"/>
        <scheme val="minor"/>
      </rPr>
      <t>入</t>
    </r>
    <r>
      <rPr>
        <strike/>
        <sz val="12"/>
        <color rgb="FF000000"/>
        <rFont val="Arial"/>
        <family val="2"/>
        <scheme val="minor"/>
      </rPr>
      <t>)</t>
    </r>
    <r>
      <rPr>
        <b/>
        <strike/>
        <sz val="12"/>
        <color rgb="FF000000"/>
        <rFont val="Arial"/>
        <family val="2"/>
        <charset val="136"/>
        <scheme val="minor"/>
      </rPr>
      <t>停產</t>
    </r>
  </si>
  <si>
    <t>2024
月均銷
(盒裝)</t>
    <phoneticPr fontId="54" type="noConversion"/>
  </si>
  <si>
    <t>2024
總銷量
(盒裝)</t>
    <phoneticPr fontId="54" type="noConversion"/>
  </si>
  <si>
    <t>MB3ME100001A</t>
  </si>
  <si>
    <t>MB3ME100002A</t>
  </si>
  <si>
    <t>MB3ME100003A</t>
  </si>
  <si>
    <t>MB3ME110008A</t>
  </si>
  <si>
    <t>MB3ME110009A</t>
  </si>
  <si>
    <t>MB3ME110010A</t>
  </si>
  <si>
    <t>MB3ME110011A</t>
  </si>
  <si>
    <t>貝力多(雙胜胺) 20% 30mL/ 瓶</t>
    <phoneticPr fontId="54" type="noConversion"/>
  </si>
  <si>
    <t>倍克脂</t>
    <phoneticPr fontId="54" type="noConversion"/>
  </si>
  <si>
    <t>貝力多(雙胜胺) 20% 50mL/ 瓶</t>
    <phoneticPr fontId="54" type="noConversion"/>
  </si>
  <si>
    <t>MB3ME090003A</t>
  </si>
  <si>
    <t>MB3ME090037A</t>
  </si>
  <si>
    <t>MB3ME090004A</t>
  </si>
  <si>
    <t>MB3ME090005A</t>
  </si>
  <si>
    <t>廠商品碼</t>
  </si>
  <si>
    <t>MB3ME090006A</t>
  </si>
  <si>
    <t>MB3ME090011A</t>
  </si>
  <si>
    <t>MB3ME090027A</t>
  </si>
  <si>
    <t>MB3ME090012A</t>
  </si>
  <si>
    <t>MB3ME090013A</t>
  </si>
  <si>
    <t>MB3ME090024A</t>
  </si>
  <si>
    <t>MB3ME090028A</t>
  </si>
  <si>
    <t>MB3ME090008A</t>
  </si>
  <si>
    <t>MB3ME090014A</t>
  </si>
  <si>
    <t>MB3ME090015A</t>
  </si>
  <si>
    <t>MB3ME090023A</t>
  </si>
  <si>
    <t>MB3ME090010A</t>
  </si>
  <si>
    <t>MB3ME090009A</t>
  </si>
  <si>
    <t>MB3ME090030A</t>
  </si>
  <si>
    <t>MB3ME090007A</t>
  </si>
  <si>
    <t>MB3ME090025A</t>
  </si>
  <si>
    <t>MM2MB040007A</t>
  </si>
  <si>
    <t>MB3ME090019A</t>
  </si>
  <si>
    <r>
      <rPr>
        <sz val="12"/>
        <color rgb="FF000000"/>
        <rFont val="微軟正黑體"/>
        <family val="2"/>
        <charset val="136"/>
      </rPr>
      <t xml:space="preserve">庫存
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微軟正黑體"/>
        <family val="2"/>
        <charset val="136"/>
      </rPr>
      <t>單位</t>
    </r>
    <phoneticPr fontId="54" type="noConversion"/>
  </si>
  <si>
    <t>MB3ME090016A</t>
  </si>
  <si>
    <t>2026/01</t>
    <phoneticPr fontId="54" type="noConversion"/>
  </si>
  <si>
    <t>(V)貝力多(雙胜胺) 20% 30mL/ 瓶，50倍數叫貨</t>
  </si>
  <si>
    <t>(V)保妥適Botox/ u，100倍數下單</t>
  </si>
  <si>
    <t>100U/瓶</t>
  </si>
  <si>
    <t>(V)保提拉肉毒Letybo/ u，3200倍數下單</t>
  </si>
  <si>
    <t>200U/瓶</t>
  </si>
  <si>
    <t>(V)奇肌肉毒/ u，200倍數下單</t>
  </si>
  <si>
    <t>6150014</t>
  </si>
  <si>
    <t>(V)膚美康 1cc</t>
  </si>
  <si>
    <t>2.5cc/支</t>
  </si>
  <si>
    <t>6190003</t>
  </si>
  <si>
    <t>PLT生長因子凍晶製備10入(單瓶)</t>
  </si>
  <si>
    <t>瓶(10入/組)</t>
  </si>
  <si>
    <t>6190004</t>
  </si>
  <si>
    <t>PLT生長因子凍晶製備20入(單瓶)</t>
  </si>
  <si>
    <t>瓶(20入/組)</t>
  </si>
  <si>
    <t>40袋/箱</t>
  </si>
  <si>
    <t>6120036</t>
  </si>
  <si>
    <t>(V)貝力多(雙胜胺) 20% 50mL/ 瓶，50倍數下單</t>
  </si>
  <si>
    <t>瓶(10瓶/盒)</t>
  </si>
  <si>
    <t>6200021</t>
  </si>
  <si>
    <t>(V)猛健樂12.5MG/0.12CC</t>
  </si>
  <si>
    <t>6120022</t>
  </si>
  <si>
    <t>(V)(銀杏) 循必利Gingo注射液0.84毫克/毫升 5ml</t>
  </si>
  <si>
    <t>6190002</t>
  </si>
  <si>
    <t>PLT生長因子凍晶製備6入(單瓶)</t>
  </si>
  <si>
    <t>瓶(6入/組)</t>
  </si>
  <si>
    <t>(V)猛健樂*1支(12.5mg)</t>
  </si>
  <si>
    <t>6200020</t>
  </si>
  <si>
    <t>(V)猛健樂7.5MG/0.2CC</t>
  </si>
  <si>
    <t>凱惠料號</t>
    <phoneticPr fontId="54" type="noConversion"/>
  </si>
  <si>
    <t>猛健樂12.5mg</t>
  </si>
  <si>
    <t>6170030</t>
  </si>
  <si>
    <t>海芙電波探頭4.0cm/發</t>
  </si>
  <si>
    <t>3000發/顆</t>
  </si>
  <si>
    <t>6170031</t>
  </si>
  <si>
    <t>海芙電波探頭16.0cm/發</t>
  </si>
  <si>
    <t>發</t>
  </si>
  <si>
    <t>6200018</t>
  </si>
  <si>
    <t>(V)猛健樂10MG/0.15CC</t>
    <phoneticPr fontId="54" type="noConversion"/>
  </si>
  <si>
    <r>
      <t>(V)</t>
    </r>
    <r>
      <rPr>
        <u/>
        <sz val="12"/>
        <color rgb="FF000000"/>
        <rFont val="Arial"/>
        <family val="3"/>
        <charset val="136"/>
        <scheme val="minor"/>
      </rPr>
      <t>猛健樂</t>
    </r>
    <r>
      <rPr>
        <u/>
        <sz val="12"/>
        <color rgb="FF000000"/>
        <rFont val="Arial"/>
        <family val="2"/>
        <scheme val="minor"/>
      </rPr>
      <t>10MG/0.15CC</t>
    </r>
  </si>
  <si>
    <t>(V)猛健樂*1支(12.5mg)</t>
    <phoneticPr fontId="54" type="noConversion"/>
  </si>
  <si>
    <r>
      <t>(V)</t>
    </r>
    <r>
      <rPr>
        <u/>
        <sz val="12"/>
        <color rgb="FF000000"/>
        <rFont val="Arial"/>
        <family val="3"/>
        <charset val="136"/>
        <scheme val="minor"/>
      </rPr>
      <t>猛健樂</t>
    </r>
    <r>
      <rPr>
        <u/>
        <sz val="12"/>
        <color rgb="FF000000"/>
        <rFont val="Arial"/>
        <family val="2"/>
        <scheme val="minor"/>
      </rPr>
      <t>*1</t>
    </r>
    <r>
      <rPr>
        <u/>
        <sz val="12"/>
        <color rgb="FF000000"/>
        <rFont val="Arial"/>
        <family val="3"/>
        <charset val="136"/>
        <scheme val="minor"/>
      </rPr>
      <t>支</t>
    </r>
    <r>
      <rPr>
        <u/>
        <sz val="12"/>
        <color rgb="FF000000"/>
        <rFont val="Arial"/>
        <family val="2"/>
        <scheme val="minor"/>
      </rPr>
      <t>(12.5mg)</t>
    </r>
  </si>
  <si>
    <t>(V)猛健樂7.5MG/0.2CC</t>
    <phoneticPr fontId="54" type="noConversion"/>
  </si>
  <si>
    <r>
      <t>(V)</t>
    </r>
    <r>
      <rPr>
        <u/>
        <sz val="12"/>
        <color rgb="FF000000"/>
        <rFont val="Arial"/>
        <family val="3"/>
        <charset val="136"/>
        <scheme val="minor"/>
      </rPr>
      <t>猛健樂</t>
    </r>
    <r>
      <rPr>
        <u/>
        <sz val="12"/>
        <color rgb="FF000000"/>
        <rFont val="Arial"/>
        <family val="2"/>
        <scheme val="minor"/>
      </rPr>
      <t>7.5MG/0.2CC</t>
    </r>
  </si>
  <si>
    <t>(V)猛健樂12.5MG/0.12CC</t>
    <phoneticPr fontId="54" type="noConversion"/>
  </si>
  <si>
    <r>
      <t>(V)</t>
    </r>
    <r>
      <rPr>
        <u/>
        <sz val="12"/>
        <color rgb="FF000000"/>
        <rFont val="Arial"/>
        <family val="3"/>
        <charset val="136"/>
        <scheme val="minor"/>
      </rPr>
      <t>猛健樂</t>
    </r>
    <r>
      <rPr>
        <u/>
        <sz val="12"/>
        <color rgb="FF000000"/>
        <rFont val="Arial"/>
        <family val="2"/>
        <scheme val="minor"/>
      </rPr>
      <t>12.5MG/0.12CC</t>
    </r>
  </si>
  <si>
    <t>40瓶/箱</t>
  </si>
  <si>
    <t>30,000條/顆</t>
  </si>
  <si>
    <t>6170016</t>
  </si>
  <si>
    <t>點陣電波-膠原槍探頭/ 發</t>
  </si>
  <si>
    <t>2000發/顆</t>
  </si>
  <si>
    <t>236ml/瓶</t>
  </si>
  <si>
    <t>60袋/箱</t>
  </si>
  <si>
    <t>6110071</t>
  </si>
  <si>
    <t>手電筒(海菲秀用)</t>
  </si>
  <si>
    <t>6160012</t>
  </si>
  <si>
    <t>黑童針-薇貝拉200mg/0.5cc</t>
  </si>
  <si>
    <t>cc</t>
  </si>
  <si>
    <t>(V)(Vit C) 抗壞血酸 2mL，100倍數下單</t>
    <phoneticPr fontId="54" type="noConversion"/>
  </si>
  <si>
    <t>善纖達 6mg/ml*1支</t>
  </si>
  <si>
    <t>6160001</t>
  </si>
  <si>
    <t>(V)艾麗斯 Aesthe Fill-200mg/ 瓶</t>
  </si>
  <si>
    <t>6210008</t>
  </si>
  <si>
    <t>微針筆針頭</t>
  </si>
  <si>
    <t>PCS(33入/盒)</t>
  </si>
  <si>
    <t>6170025</t>
  </si>
  <si>
    <t>媚必提圓周探頭1.5mm/條</t>
  </si>
  <si>
    <t>(V)倍克脂Belkyra/ 瓶(20的倍數下單)</t>
  </si>
  <si>
    <t>久林</t>
    <phoneticPr fontId="54" type="noConversion"/>
  </si>
  <si>
    <r>
      <rPr>
        <b/>
        <sz val="12"/>
        <color rgb="FF000000"/>
        <rFont val="微軟正黑體"/>
        <family val="2"/>
        <charset val="136"/>
      </rPr>
      <t xml:space="preserve">站前4樓
</t>
    </r>
    <r>
      <rPr>
        <b/>
        <sz val="12"/>
        <color rgb="FF4A86E8"/>
        <rFont val="微軟正黑體"/>
        <family val="2"/>
        <charset val="136"/>
      </rPr>
      <t>庫存</t>
    </r>
    <phoneticPr fontId="54" type="noConversion"/>
  </si>
  <si>
    <r>
      <rPr>
        <b/>
        <sz val="12"/>
        <color rgb="FF000000"/>
        <rFont val="微軟正黑體"/>
        <family val="2"/>
        <charset val="136"/>
      </rPr>
      <t xml:space="preserve">站前11樓
</t>
    </r>
    <r>
      <rPr>
        <b/>
        <sz val="12"/>
        <color rgb="FF4A86E8"/>
        <rFont val="微軟正黑體"/>
        <family val="2"/>
        <charset val="136"/>
      </rPr>
      <t>庫存</t>
    </r>
    <phoneticPr fontId="54" type="noConversion"/>
  </si>
  <si>
    <r>
      <rPr>
        <b/>
        <sz val="12"/>
        <color rgb="FF000000"/>
        <rFont val="微軟正黑體"/>
        <family val="2"/>
        <charset val="136"/>
      </rPr>
      <t xml:space="preserve">忠孝7樓
</t>
    </r>
    <r>
      <rPr>
        <b/>
        <sz val="12"/>
        <color rgb="FF4A86E8"/>
        <rFont val="微軟正黑體"/>
        <family val="2"/>
        <charset val="136"/>
      </rPr>
      <t>庫存</t>
    </r>
    <phoneticPr fontId="54" type="noConversion"/>
  </si>
  <si>
    <t>0.15cc/次</t>
  </si>
  <si>
    <t>0.12cc/次</t>
  </si>
  <si>
    <t>MP1MA020034A</t>
  </si>
  <si>
    <t>膚美康(1c.c.)</t>
  </si>
  <si>
    <t>c.c.</t>
  </si>
  <si>
    <t>胺基酸點滴250ml/ 袋(安命活源/嘉安命)</t>
  </si>
  <si>
    <t>MB3ME090038A</t>
  </si>
  <si>
    <t>(B群) 美久奧林 20ml/支</t>
  </si>
  <si>
    <t>MB3ME090039A</t>
  </si>
  <si>
    <t>(Vit C+B) 維他補舒Vitaplex 20ml/支</t>
  </si>
  <si>
    <t>(榖胱肝肽) 克樂達養200mg (20ml/瓶)</t>
  </si>
  <si>
    <t>(傳明酸) 止血明 5ml/支</t>
  </si>
  <si>
    <t>保肝 5ml/支 (保肝=硫辛酸=硫皙酸)</t>
  </si>
  <si>
    <t>(麻藥)利卡因注射液20mg (20ml/支)</t>
  </si>
  <si>
    <t>(麻藥)利都卡因 注射液2% 20ml/支</t>
  </si>
  <si>
    <t>(麻藥)利度膚寧(含epinephrine) 20ml/支</t>
  </si>
  <si>
    <t>MB3ME090022A</t>
  </si>
  <si>
    <t>MB3ME090018A</t>
  </si>
  <si>
    <t>MB3ME090020A</t>
  </si>
  <si>
    <t>MB3ME090021A</t>
  </si>
  <si>
    <t>MB3ME090026A</t>
  </si>
  <si>
    <t>MB3ME090029A</t>
  </si>
  <si>
    <t>MB3ME090031A</t>
  </si>
  <si>
    <t>MB3ME090032A</t>
  </si>
  <si>
    <t>(急救用藥)鹽酸副腎素 1ml/支</t>
  </si>
  <si>
    <t>MB3ME090033A</t>
  </si>
  <si>
    <t>MB3ME090034A</t>
  </si>
  <si>
    <t>MB3ME090035A</t>
  </si>
  <si>
    <t>MB3ME090040A</t>
  </si>
  <si>
    <t>(類固醇)修克托懸濁Shincort 1ml/支</t>
  </si>
  <si>
    <t>MB3ME090041A</t>
  </si>
  <si>
    <t>(抗組織胺)力克樂 1ml/支</t>
  </si>
  <si>
    <r>
      <rPr>
        <sz val="12"/>
        <color rgb="FF000000"/>
        <rFont val="微軟正黑體"/>
        <family val="2"/>
        <charset val="136"/>
      </rPr>
      <t>舒疼消熱</t>
    </r>
    <r>
      <rPr>
        <sz val="12"/>
        <color rgb="FF000000"/>
        <rFont val="Arial"/>
        <family val="2"/>
      </rPr>
      <t>1ml/</t>
    </r>
    <r>
      <rPr>
        <sz val="12"/>
        <color rgb="FF000000"/>
        <rFont val="微軟正黑體"/>
        <family val="2"/>
        <charset val="136"/>
      </rPr>
      <t>支</t>
    </r>
    <phoneticPr fontId="54" type="noConversion"/>
  </si>
  <si>
    <t>MB3ME090042A</t>
  </si>
  <si>
    <t>金恩特</t>
    <phoneticPr fontId="54" type="noConversion"/>
  </si>
  <si>
    <r>
      <t>40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(10/21)</t>
    </r>
  </si>
  <si>
    <r>
      <t>10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(10/21)</t>
    </r>
  </si>
  <si>
    <r>
      <t>15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(10/21)</t>
    </r>
  </si>
  <si>
    <r>
      <t>4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(10/21)</t>
    </r>
  </si>
  <si>
    <r>
      <t>15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(10/17)</t>
    </r>
  </si>
  <si>
    <r>
      <t>1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(10/21)</t>
    </r>
  </si>
  <si>
    <r>
      <t>1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(10/17)</t>
    </r>
  </si>
  <si>
    <r>
      <t>726</t>
    </r>
    <r>
      <rPr>
        <sz val="12"/>
        <color rgb="FF000000"/>
        <rFont val="Arial"/>
        <family val="2"/>
        <charset val="136"/>
        <scheme val="minor"/>
      </rPr>
      <t>支</t>
    </r>
  </si>
  <si>
    <r>
      <t>110</t>
    </r>
    <r>
      <rPr>
        <sz val="12"/>
        <color rgb="FF0000FF"/>
        <rFont val="Arial"/>
        <family val="2"/>
        <charset val="136"/>
        <scheme val="minor"/>
      </rPr>
      <t>瓶</t>
    </r>
    <r>
      <rPr>
        <sz val="12"/>
        <color rgb="FF0000FF"/>
        <rFont val="Arial"/>
        <family val="2"/>
        <scheme val="minor"/>
      </rPr>
      <t>(10/21)</t>
    </r>
  </si>
  <si>
    <r>
      <t>40</t>
    </r>
    <r>
      <rPr>
        <sz val="12"/>
        <color rgb="FF0000FF"/>
        <rFont val="Arial"/>
        <family val="2"/>
        <charset val="136"/>
        <scheme val="minor"/>
      </rPr>
      <t>瓶</t>
    </r>
    <r>
      <rPr>
        <sz val="12"/>
        <color rgb="FF0000FF"/>
        <rFont val="Arial"/>
        <family val="2"/>
        <scheme val="minor"/>
      </rPr>
      <t>(10/17)</t>
    </r>
  </si>
  <si>
    <r>
      <t>40</t>
    </r>
    <r>
      <rPr>
        <sz val="12"/>
        <color rgb="FF0000FF"/>
        <rFont val="Arial"/>
        <family val="2"/>
        <charset val="136"/>
        <scheme val="minor"/>
      </rPr>
      <t>瓶</t>
    </r>
    <r>
      <rPr>
        <sz val="12"/>
        <color rgb="FF0000FF"/>
        <rFont val="Arial"/>
        <family val="2"/>
        <scheme val="minor"/>
      </rPr>
      <t>(10/21)</t>
    </r>
  </si>
  <si>
    <r>
      <t>10</t>
    </r>
    <r>
      <rPr>
        <sz val="12"/>
        <color rgb="FF0000FF"/>
        <rFont val="Arial"/>
        <family val="2"/>
        <charset val="136"/>
        <scheme val="minor"/>
      </rPr>
      <t>瓶</t>
    </r>
    <r>
      <rPr>
        <sz val="12"/>
        <color rgb="FF0000FF"/>
        <rFont val="Arial"/>
        <family val="2"/>
        <scheme val="minor"/>
      </rPr>
      <t>(10/17)</t>
    </r>
  </si>
  <si>
    <r>
      <rPr>
        <sz val="12"/>
        <color rgb="FF000000"/>
        <rFont val="Arial"/>
        <family val="2"/>
        <charset val="136"/>
        <scheme val="minor"/>
      </rPr>
      <t>叫貨單位「盒</t>
    </r>
    <r>
      <rPr>
        <sz val="12"/>
        <color rgb="FF000000"/>
        <rFont val="Arial"/>
        <family val="2"/>
        <scheme val="minor"/>
      </rPr>
      <t>(10</t>
    </r>
    <r>
      <rPr>
        <sz val="12"/>
        <color rgb="FF000000"/>
        <rFont val="Arial"/>
        <family val="2"/>
        <charset val="136"/>
        <scheme val="minor"/>
      </rPr>
      <t>瓶</t>
    </r>
    <r>
      <rPr>
        <sz val="12"/>
        <color rgb="FF000000"/>
        <rFont val="Arial"/>
        <family val="2"/>
        <scheme val="minor"/>
      </rPr>
      <t>)</t>
    </r>
    <r>
      <rPr>
        <sz val="12"/>
        <color rgb="FF000000"/>
        <rFont val="Arial"/>
        <family val="2"/>
        <charset val="136"/>
        <scheme val="minor"/>
      </rPr>
      <t>」</t>
    </r>
  </si>
  <si>
    <r>
      <t>25 (</t>
    </r>
    <r>
      <rPr>
        <sz val="12"/>
        <color rgb="FFFF0000"/>
        <rFont val="Arial"/>
        <family val="2"/>
        <charset val="136"/>
        <scheme val="minor"/>
      </rPr>
      <t>出完改叫薇貝拉</t>
    </r>
    <r>
      <rPr>
        <sz val="12"/>
        <color rgb="FFFF0000"/>
        <rFont val="Arial"/>
        <family val="2"/>
        <scheme val="minor"/>
      </rPr>
      <t>)</t>
    </r>
  </si>
  <si>
    <r>
      <t>10</t>
    </r>
    <r>
      <rPr>
        <sz val="12"/>
        <color rgb="FF0000FF"/>
        <rFont val="Arial"/>
        <family val="2"/>
        <charset val="136"/>
        <scheme val="minor"/>
      </rPr>
      <t>瓶</t>
    </r>
    <r>
      <rPr>
        <sz val="12"/>
        <color rgb="FF0000FF"/>
        <rFont val="Arial"/>
        <family val="2"/>
        <scheme val="minor"/>
      </rPr>
      <t>(10/21)</t>
    </r>
  </si>
  <si>
    <r>
      <t>35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(10/21)</t>
    </r>
  </si>
  <si>
    <r>
      <t>45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(10/21)</t>
    </r>
  </si>
  <si>
    <r>
      <t>10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(10/21)
10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(10/27)</t>
    </r>
  </si>
  <si>
    <r>
      <t>50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(10/27)</t>
    </r>
  </si>
  <si>
    <r>
      <t>10</t>
    </r>
    <r>
      <rPr>
        <sz val="12"/>
        <color rgb="FF0000FF"/>
        <rFont val="Arial"/>
        <family val="2"/>
        <charset val="136"/>
        <scheme val="minor"/>
      </rPr>
      <t>盒</t>
    </r>
    <r>
      <rPr>
        <sz val="12"/>
        <color rgb="FF0000FF"/>
        <rFont val="Arial"/>
        <family val="2"/>
        <scheme val="minor"/>
      </rPr>
      <t>(10/17)</t>
    </r>
  </si>
  <si>
    <r>
      <t>22</t>
    </r>
    <r>
      <rPr>
        <sz val="12"/>
        <color rgb="FF0000FF"/>
        <rFont val="Arial"/>
        <family val="2"/>
        <charset val="136"/>
        <scheme val="minor"/>
      </rPr>
      <t>支</t>
    </r>
    <r>
      <rPr>
        <sz val="12"/>
        <color rgb="FF0000FF"/>
        <rFont val="Arial"/>
        <family val="2"/>
        <scheme val="minor"/>
      </rPr>
      <t>(10/23)</t>
    </r>
  </si>
  <si>
    <r>
      <t>40</t>
    </r>
    <r>
      <rPr>
        <sz val="12"/>
        <color rgb="FF0000FF"/>
        <rFont val="Arial"/>
        <family val="2"/>
        <charset val="136"/>
        <scheme val="minor"/>
      </rPr>
      <t>顆</t>
    </r>
    <r>
      <rPr>
        <sz val="12"/>
        <color rgb="FF0000FF"/>
        <rFont val="Arial"/>
        <family val="2"/>
        <scheme val="minor"/>
      </rPr>
      <t>(10/21)</t>
    </r>
  </si>
  <si>
    <r>
      <t>3</t>
    </r>
    <r>
      <rPr>
        <sz val="12"/>
        <color rgb="FF0000FF"/>
        <rFont val="Arial"/>
        <family val="2"/>
        <charset val="136"/>
        <scheme val="minor"/>
      </rPr>
      <t>顆</t>
    </r>
    <r>
      <rPr>
        <sz val="12"/>
        <color rgb="FF0000FF"/>
        <rFont val="Arial"/>
        <family val="2"/>
        <scheme val="minor"/>
      </rPr>
      <t>(10/23)</t>
    </r>
  </si>
  <si>
    <r>
      <t>2</t>
    </r>
    <r>
      <rPr>
        <sz val="12"/>
        <color rgb="FF0000FF"/>
        <rFont val="Arial"/>
        <family val="2"/>
        <charset val="136"/>
        <scheme val="minor"/>
      </rPr>
      <t>顆</t>
    </r>
    <r>
      <rPr>
        <sz val="12"/>
        <color rgb="FF0000FF"/>
        <rFont val="Arial"/>
        <family val="2"/>
        <scheme val="minor"/>
      </rPr>
      <t>(10/23)</t>
    </r>
  </si>
  <si>
    <r>
      <t>4</t>
    </r>
    <r>
      <rPr>
        <sz val="12"/>
        <color rgb="FF0000FF"/>
        <rFont val="Arial"/>
        <family val="2"/>
        <charset val="136"/>
        <scheme val="minor"/>
      </rPr>
      <t>顆</t>
    </r>
    <r>
      <rPr>
        <sz val="12"/>
        <color rgb="FF0000FF"/>
        <rFont val="Arial"/>
        <family val="2"/>
        <scheme val="minor"/>
      </rPr>
      <t>(10/23)</t>
    </r>
  </si>
  <si>
    <r>
      <t>3,226,071</t>
    </r>
    <r>
      <rPr>
        <sz val="12"/>
        <color rgb="FF000000"/>
        <rFont val="Arial"/>
        <family val="2"/>
        <charset val="136"/>
        <scheme val="minor"/>
      </rPr>
      <t>條</t>
    </r>
  </si>
  <si>
    <r>
      <t>1</t>
    </r>
    <r>
      <rPr>
        <sz val="12"/>
        <color rgb="FF0000FF"/>
        <rFont val="Arial"/>
        <family val="2"/>
        <charset val="136"/>
        <scheme val="minor"/>
      </rPr>
      <t>顆</t>
    </r>
    <r>
      <rPr>
        <sz val="12"/>
        <color rgb="FF0000FF"/>
        <rFont val="Arial"/>
        <family val="2"/>
        <scheme val="minor"/>
      </rPr>
      <t>(10/23)</t>
    </r>
  </si>
  <si>
    <r>
      <t>3</t>
    </r>
    <r>
      <rPr>
        <sz val="12"/>
        <color rgb="FF0000FF"/>
        <rFont val="Arial"/>
        <family val="2"/>
        <charset val="136"/>
        <scheme val="minor"/>
      </rPr>
      <t>顆</t>
    </r>
    <r>
      <rPr>
        <sz val="12"/>
        <color rgb="FF0000FF"/>
        <rFont val="Arial"/>
        <family val="2"/>
        <scheme val="minor"/>
      </rPr>
      <t>(10/20)</t>
    </r>
  </si>
  <si>
    <r>
      <t>2</t>
    </r>
    <r>
      <rPr>
        <sz val="12"/>
        <color rgb="FF0000FF"/>
        <rFont val="Arial"/>
        <family val="2"/>
        <charset val="136"/>
        <scheme val="minor"/>
      </rPr>
      <t>顆</t>
    </r>
    <r>
      <rPr>
        <sz val="12"/>
        <color rgb="FF0000FF"/>
        <rFont val="Arial"/>
        <family val="2"/>
        <scheme val="minor"/>
      </rPr>
      <t>(10/20)</t>
    </r>
  </si>
  <si>
    <r>
      <t>1</t>
    </r>
    <r>
      <rPr>
        <sz val="12"/>
        <color rgb="FF0000FF"/>
        <rFont val="Arial"/>
        <family val="2"/>
        <charset val="136"/>
        <scheme val="minor"/>
      </rPr>
      <t>顆</t>
    </r>
    <r>
      <rPr>
        <sz val="12"/>
        <color rgb="FF0000FF"/>
        <rFont val="Arial"/>
        <family val="2"/>
        <scheme val="minor"/>
      </rPr>
      <t>(10/20)</t>
    </r>
  </si>
  <si>
    <r>
      <rPr>
        <sz val="12"/>
        <color rgb="FF000000"/>
        <rFont val="Arial"/>
        <family val="2"/>
        <charset val="136"/>
        <scheme val="minor"/>
      </rPr>
      <t>已無一代</t>
    </r>
  </si>
  <si>
    <r>
      <t>70</t>
    </r>
    <r>
      <rPr>
        <sz val="12"/>
        <color rgb="FF0000FF"/>
        <rFont val="Arial"/>
        <family val="2"/>
        <charset val="136"/>
        <scheme val="minor"/>
      </rPr>
      <t>瓶</t>
    </r>
    <r>
      <rPr>
        <sz val="12"/>
        <color rgb="FF0000FF"/>
        <rFont val="Arial"/>
        <family val="2"/>
        <scheme val="minor"/>
      </rPr>
      <t>(10/23)</t>
    </r>
  </si>
  <si>
    <r>
      <t>80</t>
    </r>
    <r>
      <rPr>
        <sz val="12"/>
        <color rgb="FF0000FF"/>
        <rFont val="Arial"/>
        <family val="2"/>
        <charset val="136"/>
        <scheme val="minor"/>
      </rPr>
      <t>瓶</t>
    </r>
    <r>
      <rPr>
        <sz val="12"/>
        <color rgb="FF0000FF"/>
        <rFont val="Arial"/>
        <family val="2"/>
        <scheme val="minor"/>
      </rPr>
      <t>(10/23)</t>
    </r>
  </si>
  <si>
    <r>
      <rPr>
        <sz val="12"/>
        <color rgb="FF000000"/>
        <rFont val="Arial"/>
        <family val="2"/>
        <charset val="136"/>
        <scheme val="minor"/>
      </rPr>
      <t>已無一代</t>
    </r>
    <r>
      <rPr>
        <sz val="12"/>
        <color rgb="FF000000"/>
        <rFont val="Arial"/>
        <family val="2"/>
        <scheme val="minor"/>
      </rPr>
      <t>, 10/5</t>
    </r>
    <r>
      <rPr>
        <sz val="12"/>
        <color rgb="FF000000"/>
        <rFont val="Arial"/>
        <family val="2"/>
        <charset val="136"/>
        <scheme val="minor"/>
      </rPr>
      <t>後續都為二代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2"/>
        <charset val="136"/>
        <scheme val="minor"/>
      </rPr>
      <t>有貼晶片</t>
    </r>
    <r>
      <rPr>
        <sz val="12"/>
        <color rgb="FF000000"/>
        <rFont val="Arial"/>
        <family val="2"/>
        <scheme val="minor"/>
      </rPr>
      <t>)</t>
    </r>
  </si>
  <si>
    <r>
      <t>30</t>
    </r>
    <r>
      <rPr>
        <sz val="12"/>
        <color rgb="FF0000FF"/>
        <rFont val="Arial"/>
        <family val="2"/>
        <charset val="136"/>
        <scheme val="minor"/>
      </rPr>
      <t>瓶</t>
    </r>
    <r>
      <rPr>
        <sz val="12"/>
        <color rgb="FF0000FF"/>
        <rFont val="Arial"/>
        <family val="2"/>
        <scheme val="minor"/>
      </rPr>
      <t>(10/23)</t>
    </r>
  </si>
  <si>
    <r>
      <t>45</t>
    </r>
    <r>
      <rPr>
        <sz val="12"/>
        <color rgb="FF0000FF"/>
        <rFont val="Arial"/>
        <family val="2"/>
        <charset val="136"/>
        <scheme val="minor"/>
      </rPr>
      <t>瓶</t>
    </r>
    <r>
      <rPr>
        <sz val="12"/>
        <color rgb="FF0000FF"/>
        <rFont val="Arial"/>
        <family val="2"/>
        <scheme val="minor"/>
      </rPr>
      <t>(10/23)</t>
    </r>
  </si>
  <si>
    <r>
      <t>40</t>
    </r>
    <r>
      <rPr>
        <sz val="12"/>
        <color rgb="FF0000FF"/>
        <rFont val="Arial"/>
        <family val="2"/>
        <charset val="136"/>
        <scheme val="minor"/>
      </rPr>
      <t>瓶</t>
    </r>
    <r>
      <rPr>
        <sz val="12"/>
        <color rgb="FF0000FF"/>
        <rFont val="Arial"/>
        <family val="2"/>
        <scheme val="minor"/>
      </rPr>
      <t>(10/23)</t>
    </r>
  </si>
  <si>
    <r>
      <rPr>
        <sz val="12"/>
        <color rgb="FF000000"/>
        <rFont val="Arial"/>
        <family val="2"/>
        <charset val="136"/>
        <scheme val="minor"/>
      </rPr>
      <t>保妥適</t>
    </r>
    <r>
      <rPr>
        <sz val="12"/>
        <color rgb="FF000000"/>
        <rFont val="Arial"/>
        <family val="2"/>
        <scheme val="minor"/>
      </rPr>
      <t>Botox 100u/ vial  (</t>
    </r>
    <r>
      <rPr>
        <sz val="12"/>
        <color rgb="FF000000"/>
        <rFont val="Arial"/>
        <family val="2"/>
        <charset val="136"/>
        <scheme val="minor"/>
      </rPr>
      <t>因稀釋手法會有些許差異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</si>
  <si>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r>
      <rPr>
        <sz val="12"/>
        <color rgb="FF000000"/>
        <rFont val="Arial"/>
        <family val="2"/>
        <charset val="136"/>
        <scheme val="minor"/>
      </rPr>
      <t>保提拉凍晶注射劑</t>
    </r>
    <r>
      <rPr>
        <sz val="12"/>
        <color rgb="FF000000"/>
        <rFont val="Arial"/>
        <family val="2"/>
        <scheme val="minor"/>
      </rPr>
      <t>Letybo 200u/ vial</t>
    </r>
    <phoneticPr fontId="54" type="noConversion"/>
  </si>
  <si>
    <r>
      <rPr>
        <sz val="12"/>
        <color rgb="FF000000"/>
        <rFont val="Arial"/>
        <family val="2"/>
        <charset val="136"/>
        <scheme val="minor"/>
      </rPr>
      <t>奇肌肉毒</t>
    </r>
    <r>
      <rPr>
        <sz val="12"/>
        <color rgb="FF000000"/>
        <rFont val="Arial"/>
        <family val="2"/>
        <scheme val="minor"/>
      </rPr>
      <t xml:space="preserve"> 200u/ vial  (</t>
    </r>
    <r>
      <rPr>
        <sz val="12"/>
        <color rgb="FF000000"/>
        <rFont val="Arial"/>
        <family val="2"/>
        <charset val="136"/>
        <scheme val="minor"/>
      </rPr>
      <t>因稀釋手法會有些許差異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</si>
  <si>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r>
      <t>358</t>
    </r>
    <r>
      <rPr>
        <sz val="12"/>
        <color rgb="FF000000"/>
        <rFont val="Arial"/>
        <family val="2"/>
        <charset val="136"/>
        <scheme val="minor"/>
      </rPr>
      <t>顆又</t>
    </r>
    <r>
      <rPr>
        <sz val="12"/>
        <color rgb="FF000000"/>
        <rFont val="Arial"/>
        <family val="2"/>
        <scheme val="minor"/>
      </rPr>
      <t>5</t>
    </r>
    <r>
      <rPr>
        <sz val="12"/>
        <color rgb="FF000000"/>
        <rFont val="Arial"/>
        <family val="2"/>
        <charset val="136"/>
        <scheme val="minor"/>
      </rPr>
      <t>點</t>
    </r>
  </si>
  <si>
    <r>
      <rPr>
        <sz val="12"/>
        <color rgb="FF000000"/>
        <rFont val="Arial"/>
        <family val="2"/>
        <charset val="136"/>
        <scheme val="minor"/>
      </rPr>
      <t>善纖達</t>
    </r>
    <r>
      <rPr>
        <sz val="12"/>
        <color rgb="FF000000"/>
        <rFont val="Arial"/>
        <family val="2"/>
        <scheme val="minor"/>
      </rPr>
      <t xml:space="preserve"> Saxenda 6 mg/ml </t>
    </r>
    <r>
      <rPr>
        <sz val="12"/>
        <color rgb="FF000000"/>
        <rFont val="Arial"/>
        <family val="2"/>
        <charset val="136"/>
        <scheme val="minor"/>
      </rPr>
      <t>注射用溶液</t>
    </r>
    <r>
      <rPr>
        <sz val="12"/>
        <color rgb="FF000000"/>
        <rFont val="Arial"/>
        <family val="2"/>
        <scheme val="minor"/>
      </rPr>
      <t>(3</t>
    </r>
    <r>
      <rPr>
        <sz val="12"/>
        <color rgb="FF000000"/>
        <rFont val="Arial"/>
        <family val="2"/>
        <charset val="136"/>
        <scheme val="minor"/>
      </rPr>
      <t>入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</si>
  <si>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r>
      <rPr>
        <sz val="10"/>
        <color rgb="FF000000"/>
        <rFont val="Arial"/>
        <family val="2"/>
        <charset val="136"/>
        <scheme val="minor"/>
      </rPr>
      <t>支</t>
    </r>
  </si>
  <si>
    <r>
      <rPr>
        <u/>
        <sz val="12"/>
        <color rgb="FF000000"/>
        <rFont val="Arial"/>
        <family val="2"/>
        <charset val="136"/>
        <scheme val="minor"/>
      </rPr>
      <t>善纖達針頭</t>
    </r>
    <r>
      <rPr>
        <u/>
        <sz val="12"/>
        <color rgb="FF000000"/>
        <rFont val="Arial"/>
        <family val="2"/>
        <scheme val="minor"/>
      </rPr>
      <t>/</t>
    </r>
    <r>
      <rPr>
        <u/>
        <sz val="12"/>
        <color rgb="FF000000"/>
        <rFont val="Arial"/>
        <family val="2"/>
        <charset val="136"/>
        <scheme val="minor"/>
      </rPr>
      <t>猛健樂針頭</t>
    </r>
    <phoneticPr fontId="54" type="noConversion"/>
  </si>
  <si>
    <r>
      <rPr>
        <sz val="10"/>
        <color rgb="FF000000"/>
        <rFont val="Arial"/>
        <family val="2"/>
        <charset val="136"/>
        <scheme val="minor"/>
      </rPr>
      <t>顆</t>
    </r>
  </si>
  <si>
    <r>
      <rPr>
        <u/>
        <sz val="12"/>
        <color rgb="FF000000"/>
        <rFont val="Arial"/>
        <family val="2"/>
        <charset val="136"/>
        <scheme val="minor"/>
      </rPr>
      <t>週纖達</t>
    </r>
    <r>
      <rPr>
        <u/>
        <sz val="12"/>
        <color rgb="FF000000"/>
        <rFont val="Arial"/>
        <family val="2"/>
        <scheme val="minor"/>
      </rPr>
      <t>0.25mg</t>
    </r>
    <phoneticPr fontId="54" type="noConversion"/>
  </si>
  <si>
    <r>
      <rPr>
        <u/>
        <sz val="12"/>
        <color rgb="FF000000"/>
        <rFont val="Arial"/>
        <family val="2"/>
        <charset val="136"/>
        <scheme val="minor"/>
      </rPr>
      <t>週纖達</t>
    </r>
    <r>
      <rPr>
        <u/>
        <sz val="12"/>
        <color rgb="FF000000"/>
        <rFont val="Arial"/>
        <family val="2"/>
        <scheme val="minor"/>
      </rPr>
      <t>2.4mg</t>
    </r>
    <phoneticPr fontId="54" type="noConversion"/>
  </si>
  <si>
    <r>
      <rPr>
        <u/>
        <sz val="12"/>
        <color rgb="FF000000"/>
        <rFont val="Arial"/>
        <family val="2"/>
        <charset val="136"/>
        <scheme val="minor"/>
      </rPr>
      <t>猛健樂</t>
    </r>
    <r>
      <rPr>
        <u/>
        <sz val="12"/>
        <color rgb="FF000000"/>
        <rFont val="Arial"/>
        <family val="2"/>
        <scheme val="minor"/>
      </rPr>
      <t>2.5mg</t>
    </r>
    <phoneticPr fontId="54" type="noConversion"/>
  </si>
  <si>
    <r>
      <rPr>
        <sz val="12"/>
        <color rgb="FF0000FF"/>
        <rFont val="Arial"/>
        <family val="2"/>
        <charset val="136"/>
        <scheme val="minor"/>
      </rPr>
      <t>缺貨</t>
    </r>
  </si>
  <si>
    <r>
      <t xml:space="preserve">D5W </t>
    </r>
    <r>
      <rPr>
        <u/>
        <sz val="12"/>
        <color rgb="FF000000"/>
        <rFont val="Arial"/>
        <family val="2"/>
        <charset val="136"/>
        <scheme val="minor"/>
      </rPr>
      <t>葡萄糖水</t>
    </r>
    <r>
      <rPr>
        <u/>
        <sz val="12"/>
        <color rgb="FF000000"/>
        <rFont val="Arial"/>
        <family val="2"/>
        <scheme val="minor"/>
      </rPr>
      <t xml:space="preserve"> 250ml </t>
    </r>
    <phoneticPr fontId="54" type="noConversion"/>
  </si>
  <si>
    <r>
      <rPr>
        <sz val="10"/>
        <color rgb="FF000000"/>
        <rFont val="Arial"/>
        <family val="2"/>
        <charset val="136"/>
        <scheme val="minor"/>
      </rPr>
      <t>袋</t>
    </r>
  </si>
  <si>
    <r>
      <t>NS</t>
    </r>
    <r>
      <rPr>
        <u/>
        <sz val="12"/>
        <color rgb="FF000000"/>
        <rFont val="Arial"/>
        <family val="2"/>
        <charset val="136"/>
        <scheme val="minor"/>
      </rPr>
      <t>生理食鹽水</t>
    </r>
    <r>
      <rPr>
        <u/>
        <sz val="12"/>
        <color rgb="FF000000"/>
        <rFont val="Arial"/>
        <family val="2"/>
        <scheme val="minor"/>
      </rPr>
      <t xml:space="preserve"> 250ML</t>
    </r>
    <phoneticPr fontId="54" type="noConversion"/>
  </si>
  <si>
    <r>
      <rPr>
        <sz val="12"/>
        <color rgb="FF000000"/>
        <rFont val="Arial"/>
        <family val="2"/>
        <charset val="136"/>
        <scheme val="minor"/>
      </rPr>
      <t>貝力多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2"/>
        <charset val="136"/>
        <scheme val="minor"/>
      </rPr>
      <t>雙胜胺</t>
    </r>
    <r>
      <rPr>
        <sz val="12"/>
        <color rgb="FF000000"/>
        <rFont val="Arial"/>
        <family val="2"/>
        <scheme val="minor"/>
      </rPr>
      <t xml:space="preserve">) 20% 30mL/ </t>
    </r>
    <r>
      <rPr>
        <sz val="12"/>
        <color rgb="FF000000"/>
        <rFont val="Arial"/>
        <family val="2"/>
        <charset val="136"/>
        <scheme val="minor"/>
      </rPr>
      <t>瓶</t>
    </r>
    <phoneticPr fontId="54" type="noConversion"/>
  </si>
  <si>
    <r>
      <rPr>
        <sz val="12"/>
        <color rgb="FF000000"/>
        <rFont val="Arial"/>
        <family val="2"/>
        <charset val="136"/>
        <scheme val="minor"/>
      </rPr>
      <t>貝力多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2"/>
        <charset val="136"/>
        <scheme val="minor"/>
      </rPr>
      <t>雙胜胺</t>
    </r>
    <r>
      <rPr>
        <sz val="12"/>
        <color rgb="FF000000"/>
        <rFont val="Arial"/>
        <family val="2"/>
        <scheme val="minor"/>
      </rPr>
      <t xml:space="preserve">) 20% 50mL/ </t>
    </r>
    <r>
      <rPr>
        <sz val="12"/>
        <color rgb="FF000000"/>
        <rFont val="Arial"/>
        <family val="2"/>
        <charset val="136"/>
        <scheme val="minor"/>
      </rPr>
      <t>瓶</t>
    </r>
    <phoneticPr fontId="54" type="noConversion"/>
  </si>
  <si>
    <r>
      <rPr>
        <sz val="12"/>
        <color rgb="FF000000"/>
        <rFont val="Arial"/>
        <family val="2"/>
        <charset val="136"/>
        <scheme val="minor"/>
      </rPr>
      <t>倍克脂</t>
    </r>
    <phoneticPr fontId="54" type="noConversion"/>
  </si>
  <si>
    <r>
      <t>(Vit C)(</t>
    </r>
    <r>
      <rPr>
        <sz val="12"/>
        <color rgb="FF000000"/>
        <rFont val="Arial"/>
        <family val="3"/>
        <charset val="136"/>
        <scheme val="minor"/>
      </rPr>
      <t>抗壞血酸</t>
    </r>
    <r>
      <rPr>
        <sz val="12"/>
        <color rgb="FF000000"/>
        <rFont val="Arial"/>
        <family val="2"/>
        <scheme val="minor"/>
      </rPr>
      <t>/</t>
    </r>
    <r>
      <rPr>
        <sz val="12"/>
        <color rgb="FF000000"/>
        <rFont val="Arial"/>
        <family val="3"/>
        <charset val="136"/>
        <scheme val="minor"/>
      </rPr>
      <t>諾貝爾</t>
    </r>
    <r>
      <rPr>
        <sz val="12"/>
        <color rgb="FF000000"/>
        <rFont val="Arial"/>
        <family val="2"/>
        <scheme val="minor"/>
      </rPr>
      <t>)20ml</t>
    </r>
  </si>
  <si>
    <r>
      <t>(</t>
    </r>
    <r>
      <rPr>
        <sz val="12"/>
        <color rgb="FF000000"/>
        <rFont val="Arial"/>
        <family val="2"/>
        <charset val="136"/>
        <scheme val="minor"/>
      </rPr>
      <t>銀杏</t>
    </r>
    <r>
      <rPr>
        <sz val="12"/>
        <color rgb="FF000000"/>
        <rFont val="Arial"/>
        <family val="2"/>
        <scheme val="minor"/>
      </rPr>
      <t xml:space="preserve">) </t>
    </r>
    <r>
      <rPr>
        <sz val="12"/>
        <color rgb="FF000000"/>
        <rFont val="Arial"/>
        <family val="2"/>
        <charset val="136"/>
        <scheme val="minor"/>
      </rPr>
      <t>循必利</t>
    </r>
    <r>
      <rPr>
        <sz val="12"/>
        <color rgb="FF000000"/>
        <rFont val="Arial"/>
        <family val="2"/>
        <scheme val="minor"/>
      </rPr>
      <t>Gingo</t>
    </r>
    <r>
      <rPr>
        <sz val="12"/>
        <color rgb="FF000000"/>
        <rFont val="Arial"/>
        <family val="2"/>
        <charset val="136"/>
        <scheme val="minor"/>
      </rPr>
      <t>注射液</t>
    </r>
    <r>
      <rPr>
        <sz val="12"/>
        <color rgb="FF000000"/>
        <rFont val="Arial"/>
        <family val="2"/>
        <scheme val="minor"/>
      </rPr>
      <t>0.84</t>
    </r>
    <r>
      <rPr>
        <sz val="12"/>
        <color rgb="FF000000"/>
        <rFont val="Arial"/>
        <family val="2"/>
        <charset val="136"/>
        <scheme val="minor"/>
      </rPr>
      <t>毫克</t>
    </r>
    <r>
      <rPr>
        <sz val="12"/>
        <color rgb="FF000000"/>
        <rFont val="Arial"/>
        <family val="2"/>
        <scheme val="minor"/>
      </rPr>
      <t>/</t>
    </r>
    <r>
      <rPr>
        <sz val="12"/>
        <color rgb="FF000000"/>
        <rFont val="Arial"/>
        <family val="2"/>
        <charset val="136"/>
        <scheme val="minor"/>
      </rPr>
      <t>毫升</t>
    </r>
    <r>
      <rPr>
        <sz val="12"/>
        <color rgb="FF000000"/>
        <rFont val="Arial"/>
        <family val="2"/>
        <scheme val="minor"/>
      </rPr>
      <t xml:space="preserve"> 5ml</t>
    </r>
  </si>
  <si>
    <r>
      <rPr>
        <sz val="12"/>
        <color rgb="FF000000"/>
        <rFont val="Arial"/>
        <family val="2"/>
        <charset val="136"/>
        <scheme val="minor"/>
      </rPr>
      <t>舒疼消熱</t>
    </r>
    <r>
      <rPr>
        <sz val="12"/>
        <color rgb="FF000000"/>
        <rFont val="Arial"/>
        <family val="2"/>
        <scheme val="minor"/>
      </rPr>
      <t>1ml/</t>
    </r>
    <r>
      <rPr>
        <sz val="12"/>
        <color rgb="FF000000"/>
        <rFont val="Arial"/>
        <family val="2"/>
        <charset val="136"/>
        <scheme val="minor"/>
      </rPr>
      <t>支</t>
    </r>
    <phoneticPr fontId="54" type="noConversion"/>
  </si>
  <si>
    <r>
      <rPr>
        <sz val="12"/>
        <color rgb="FF000000"/>
        <rFont val="Arial"/>
        <family val="2"/>
        <charset val="136"/>
        <scheme val="minor"/>
      </rPr>
      <t>專用料</t>
    </r>
    <r>
      <rPr>
        <sz val="12"/>
        <color rgb="FF000000"/>
        <rFont val="Arial"/>
        <family val="2"/>
        <scheme val="minor"/>
      </rPr>
      <t>1kg</t>
    </r>
    <r>
      <rPr>
        <sz val="12"/>
        <color rgb="FF000000"/>
        <rFont val="Arial"/>
        <family val="2"/>
        <charset val="136"/>
        <scheme val="minor"/>
      </rPr>
      <t>可生產</t>
    </r>
    <r>
      <rPr>
        <sz val="12"/>
        <color rgb="FF000000"/>
        <rFont val="Arial"/>
        <family val="2"/>
        <scheme val="minor"/>
      </rPr>
      <t>180pcs</t>
    </r>
  </si>
  <si>
    <r>
      <t>2025/4/1</t>
    </r>
    <r>
      <rPr>
        <sz val="12"/>
        <color theme="1"/>
        <rFont val="Arial"/>
        <family val="2"/>
        <charset val="136"/>
        <scheme val="minor"/>
      </rPr>
      <t>站前交機</t>
    </r>
    <r>
      <rPr>
        <sz val="12"/>
        <color theme="1"/>
        <rFont val="Arial"/>
        <family val="2"/>
        <scheme val="minor"/>
      </rPr>
      <t>1</t>
    </r>
    <r>
      <rPr>
        <sz val="12"/>
        <color theme="1"/>
        <rFont val="Arial"/>
        <family val="2"/>
        <charset val="136"/>
        <scheme val="minor"/>
      </rPr>
      <t>台</t>
    </r>
  </si>
  <si>
    <r>
      <t>5/2 EVA</t>
    </r>
    <r>
      <rPr>
        <sz val="12"/>
        <color theme="1"/>
        <rFont val="Arial"/>
        <family val="2"/>
        <charset val="136"/>
        <scheme val="minor"/>
      </rPr>
      <t>不再進貨</t>
    </r>
    <r>
      <rPr>
        <sz val="12"/>
        <color theme="1"/>
        <rFont val="Arial"/>
        <family val="2"/>
        <scheme val="minor"/>
      </rPr>
      <t>V</t>
    </r>
    <r>
      <rPr>
        <sz val="12"/>
        <color theme="1"/>
        <rFont val="Arial"/>
        <family val="2"/>
        <charset val="136"/>
        <scheme val="minor"/>
      </rPr>
      <t>探頭</t>
    </r>
  </si>
  <si>
    <r>
      <t>2025/4/1</t>
    </r>
    <r>
      <rPr>
        <sz val="12"/>
        <color theme="1"/>
        <rFont val="Arial"/>
        <family val="2"/>
        <charset val="136"/>
        <scheme val="minor"/>
      </rPr>
      <t>站前交機</t>
    </r>
    <r>
      <rPr>
        <sz val="12"/>
        <color theme="1"/>
        <rFont val="Arial"/>
        <family val="2"/>
        <scheme val="minor"/>
      </rPr>
      <t>2</t>
    </r>
    <r>
      <rPr>
        <sz val="12"/>
        <color theme="1"/>
        <rFont val="Arial"/>
        <family val="2"/>
        <charset val="136"/>
        <scheme val="minor"/>
      </rPr>
      <t>台</t>
    </r>
  </si>
  <si>
    <r>
      <t>2025/5/22</t>
    </r>
    <r>
      <rPr>
        <sz val="12"/>
        <color theme="1"/>
        <rFont val="Arial"/>
        <family val="2"/>
        <charset val="136"/>
        <scheme val="minor"/>
      </rPr>
      <t>站前收回</t>
    </r>
    <r>
      <rPr>
        <sz val="12"/>
        <color theme="1"/>
        <rFont val="Arial"/>
        <family val="2"/>
        <scheme val="minor"/>
      </rPr>
      <t>2</t>
    </r>
    <r>
      <rPr>
        <sz val="12"/>
        <color theme="1"/>
        <rFont val="Arial"/>
        <family val="2"/>
        <charset val="136"/>
        <scheme val="minor"/>
      </rPr>
      <t>台</t>
    </r>
  </si>
  <si>
    <r>
      <t>2025/5/22</t>
    </r>
    <r>
      <rPr>
        <sz val="12"/>
        <color theme="1"/>
        <rFont val="Arial"/>
        <family val="2"/>
        <charset val="136"/>
        <scheme val="minor"/>
      </rPr>
      <t>站前交機</t>
    </r>
    <r>
      <rPr>
        <sz val="12"/>
        <color theme="1"/>
        <rFont val="Arial"/>
        <family val="2"/>
        <scheme val="minor"/>
      </rPr>
      <t>2</t>
    </r>
    <r>
      <rPr>
        <sz val="12"/>
        <color theme="1"/>
        <rFont val="Arial"/>
        <family val="2"/>
        <charset val="136"/>
        <scheme val="minor"/>
      </rPr>
      <t>台</t>
    </r>
  </si>
  <si>
    <r>
      <t>1000</t>
    </r>
    <r>
      <rPr>
        <sz val="12"/>
        <color rgb="FF0000FF"/>
        <rFont val="Arial"/>
        <family val="2"/>
        <charset val="136"/>
        <scheme val="minor"/>
      </rPr>
      <t>點</t>
    </r>
    <r>
      <rPr>
        <sz val="12"/>
        <color rgb="FF0000FF"/>
        <rFont val="Arial"/>
        <family val="2"/>
        <scheme val="minor"/>
      </rPr>
      <t>(10/23)</t>
    </r>
  </si>
  <si>
    <r>
      <t>500</t>
    </r>
    <r>
      <rPr>
        <sz val="12"/>
        <color rgb="FF0000FF"/>
        <rFont val="Arial"/>
        <family val="2"/>
        <charset val="136"/>
        <scheme val="minor"/>
      </rPr>
      <t>點</t>
    </r>
    <r>
      <rPr>
        <sz val="12"/>
        <color rgb="FF0000FF"/>
        <rFont val="Arial"/>
        <family val="2"/>
        <scheme val="minor"/>
      </rPr>
      <t>(10/23)</t>
    </r>
  </si>
  <si>
    <r>
      <rPr>
        <u/>
        <sz val="12"/>
        <color rgb="FF000000"/>
        <rFont val="Arial"/>
        <family val="2"/>
        <charset val="136"/>
        <scheme val="minor"/>
      </rPr>
      <t>麗珠蘭</t>
    </r>
    <r>
      <rPr>
        <u/>
        <sz val="12"/>
        <color rgb="FF000000"/>
        <rFont val="Arial"/>
        <family val="2"/>
        <scheme val="minor"/>
      </rPr>
      <t>REJURAN Skin Booster</t>
    </r>
    <r>
      <rPr>
        <u/>
        <sz val="12"/>
        <color rgb="FF000000"/>
        <rFont val="Arial"/>
        <family val="2"/>
        <charset val="136"/>
        <scheme val="minor"/>
      </rPr>
      <t>修復水光</t>
    </r>
    <phoneticPr fontId="54" type="noConversion"/>
  </si>
  <si>
    <t>Actual</t>
    <phoneticPr fontId="54" type="noConversion"/>
  </si>
  <si>
    <t>0.2cc/次</t>
  </si>
  <si>
    <t>忠孝國際醫學3樓</t>
  </si>
  <si>
    <r>
      <rPr>
        <b/>
        <sz val="12"/>
        <color rgb="FF000000"/>
        <rFont val="微軟正黑體"/>
        <family val="2"/>
        <charset val="136"/>
      </rPr>
      <t xml:space="preserve">忠孝國際
醫學3樓
</t>
    </r>
    <r>
      <rPr>
        <b/>
        <sz val="12"/>
        <color rgb="FF4A86E8"/>
        <rFont val="微軟正黑體"/>
        <family val="2"/>
        <charset val="136"/>
      </rPr>
      <t>庫存</t>
    </r>
    <phoneticPr fontId="54" type="noConversion"/>
  </si>
  <si>
    <r>
      <rPr>
        <sz val="12"/>
        <color theme="1"/>
        <rFont val="微軟正黑體"/>
        <family val="2"/>
        <charset val="136"/>
      </rPr>
      <t>忠孝國際醫學</t>
    </r>
    <r>
      <rPr>
        <sz val="12"/>
        <color theme="1"/>
        <rFont val="Aptos Narrow"/>
        <family val="2"/>
      </rPr>
      <t>3</t>
    </r>
    <r>
      <rPr>
        <sz val="12"/>
        <color theme="1"/>
        <rFont val="微軟正黑體"/>
        <family val="2"/>
        <charset val="136"/>
      </rPr>
      <t>樓</t>
    </r>
    <phoneticPr fontId="54" type="noConversion"/>
  </si>
  <si>
    <t>2026/02</t>
  </si>
  <si>
    <t>2026/02</t>
    <phoneticPr fontId="54" type="noConversion"/>
  </si>
  <si>
    <t>2026/03</t>
  </si>
  <si>
    <t>2026/03</t>
    <phoneticPr fontId="54" type="noConversion"/>
  </si>
  <si>
    <t>2026/04</t>
  </si>
  <si>
    <t>2026/04</t>
    <phoneticPr fontId="54" type="noConversion"/>
  </si>
  <si>
    <r>
      <t xml:space="preserve">2026
總銷量
</t>
    </r>
    <r>
      <rPr>
        <b/>
        <u/>
        <sz val="12"/>
        <color theme="1"/>
        <rFont val="微軟正黑體, sans-serif"/>
        <family val="3"/>
        <charset val="136"/>
      </rPr>
      <t>(單支/條/點)</t>
    </r>
    <phoneticPr fontId="54" type="noConversion"/>
  </si>
  <si>
    <r>
      <t xml:space="preserve">2026
月均銷
</t>
    </r>
    <r>
      <rPr>
        <b/>
        <u/>
        <sz val="12"/>
        <color theme="1"/>
        <rFont val="微軟正黑體, sans-serif"/>
        <family val="3"/>
        <charset val="136"/>
      </rPr>
      <t>(單支/條/點)</t>
    </r>
    <phoneticPr fontId="54" type="noConversion"/>
  </si>
  <si>
    <t>忠孝健康7樓</t>
  </si>
  <si>
    <r>
      <rPr>
        <sz val="12"/>
        <color rgb="FF000000"/>
        <rFont val="微軟正黑體"/>
        <family val="2"/>
        <charset val="136"/>
      </rPr>
      <t>媚必提圓周探頭</t>
    </r>
    <r>
      <rPr>
        <sz val="12"/>
        <color rgb="FF000000"/>
        <rFont val="Arial"/>
        <family val="2"/>
        <scheme val="minor"/>
      </rPr>
      <t>1.5mm(1</t>
    </r>
    <r>
      <rPr>
        <sz val="12"/>
        <color rgb="FF000000"/>
        <rFont val="微軟正黑體"/>
        <family val="2"/>
        <charset val="136"/>
      </rPr>
      <t>條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</si>
  <si>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r>
      <rPr>
        <sz val="12"/>
        <color theme="1"/>
        <rFont val="微軟正黑體"/>
        <family val="2"/>
        <charset val="136"/>
      </rPr>
      <t>忠孝健康</t>
    </r>
    <r>
      <rPr>
        <sz val="12"/>
        <color theme="1"/>
        <rFont val="Aptos Narrow"/>
        <family val="2"/>
      </rPr>
      <t>7</t>
    </r>
    <r>
      <rPr>
        <sz val="12"/>
        <color theme="1"/>
        <rFont val="細明體"/>
        <family val="2"/>
        <charset val="136"/>
      </rPr>
      <t>樓</t>
    </r>
    <phoneticPr fontId="54" type="noConversion"/>
  </si>
  <si>
    <r>
      <rPr>
        <b/>
        <sz val="12"/>
        <color rgb="FF000000"/>
        <rFont val="微軟正黑體"/>
        <family val="2"/>
        <charset val="136"/>
      </rPr>
      <t xml:space="preserve">忠孝健康7樓
</t>
    </r>
    <r>
      <rPr>
        <b/>
        <sz val="12"/>
        <color rgb="FF4A86E8"/>
        <rFont val="微軟正黑體"/>
        <family val="2"/>
        <charset val="136"/>
      </rPr>
      <t>庫存</t>
    </r>
    <phoneticPr fontId="54" type="noConversion"/>
  </si>
  <si>
    <r>
      <rPr>
        <sz val="12"/>
        <color rgb="FF000000"/>
        <rFont val="微軟正黑體"/>
        <family val="2"/>
        <charset val="136"/>
      </rPr>
      <t>鳳凰電波</t>
    </r>
    <r>
      <rPr>
        <sz val="12"/>
        <color rgb="FF000000"/>
        <rFont val="Arial"/>
        <family val="2"/>
        <charset val="136"/>
        <scheme val="minor"/>
      </rPr>
      <t>16</t>
    </r>
    <r>
      <rPr>
        <sz val="12"/>
        <color rgb="FF000000"/>
        <rFont val="微軟正黑體"/>
        <family val="2"/>
        <charset val="136"/>
      </rPr>
      <t>平方公分黃金美體探頭</t>
    </r>
    <r>
      <rPr>
        <sz val="12"/>
        <color rgb="FF000000"/>
        <rFont val="Arial"/>
        <family val="2"/>
        <charset val="136"/>
        <scheme val="minor"/>
      </rPr>
      <t>(500</t>
    </r>
    <r>
      <rPr>
        <sz val="12"/>
        <color rgb="FF000000"/>
        <rFont val="微軟正黑體"/>
        <family val="2"/>
        <charset val="136"/>
      </rPr>
      <t>發</t>
    </r>
    <r>
      <rPr>
        <sz val="12"/>
        <color rgb="FF000000"/>
        <rFont val="Arial"/>
        <family val="2"/>
        <charset val="136"/>
        <scheme val="minor"/>
      </rPr>
      <t>)</t>
    </r>
    <phoneticPr fontId="54" type="noConversion"/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</si>
  <si>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</si>
  <si>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</si>
  <si>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</si>
  <si>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</si>
  <si>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</si>
  <si>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</si>
  <si>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</si>
  <si>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</si>
  <si>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r>
      <rPr>
        <sz val="12"/>
        <color rgb="FF000000"/>
        <rFont val="微軟正黑體"/>
        <family val="2"/>
        <charset val="136"/>
      </rPr>
      <t>洢蓮絲植入劑</t>
    </r>
    <r>
      <rPr>
        <sz val="12"/>
        <color rgb="FF000000"/>
        <rFont val="Arial"/>
        <family val="2"/>
        <scheme val="minor"/>
      </rPr>
      <t>ELLANSÉ-S 1ml(</t>
    </r>
    <r>
      <rPr>
        <sz val="12"/>
        <color rgb="FF000000"/>
        <rFont val="微軟正黑體"/>
        <family val="2"/>
        <charset val="136"/>
      </rPr>
      <t>支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</si>
  <si>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r>
      <rPr>
        <sz val="12"/>
        <color rgb="FF000000"/>
        <rFont val="微軟正黑體"/>
        <family val="2"/>
        <charset val="136"/>
      </rPr>
      <t>立特拉</t>
    </r>
    <r>
      <rPr>
        <sz val="12"/>
        <color rgb="FF000000"/>
        <rFont val="Arial"/>
        <family val="2"/>
        <scheme val="minor"/>
      </rPr>
      <t>A2</t>
    </r>
    <r>
      <rPr>
        <sz val="12"/>
        <color rgb="FF000000"/>
        <rFont val="微軟正黑體"/>
        <family val="2"/>
        <charset val="136"/>
      </rPr>
      <t>筆型探頭</t>
    </r>
    <r>
      <rPr>
        <sz val="12"/>
        <color rgb="FF000000"/>
        <rFont val="Arial"/>
        <family val="2"/>
        <scheme val="minor"/>
      </rPr>
      <t>4.5mm(1</t>
    </r>
    <r>
      <rPr>
        <sz val="12"/>
        <color rgb="FF000000"/>
        <rFont val="微軟正黑體"/>
        <family val="2"/>
        <charset val="136"/>
      </rPr>
      <t>發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</si>
  <si>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r>
      <rPr>
        <sz val="12"/>
        <color rgb="FF000000"/>
        <rFont val="微軟正黑體"/>
        <family val="2"/>
        <charset val="136"/>
      </rPr>
      <t>洢蓮絲植入劑</t>
    </r>
    <r>
      <rPr>
        <sz val="12"/>
        <color rgb="FF000000"/>
        <rFont val="Arial"/>
        <family val="2"/>
        <scheme val="minor"/>
      </rPr>
      <t>ELLANSÉ-M 1ml(</t>
    </r>
    <r>
      <rPr>
        <sz val="12"/>
        <color rgb="FF000000"/>
        <rFont val="微軟正黑體"/>
        <family val="2"/>
        <charset val="136"/>
      </rPr>
      <t>支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</si>
  <si>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t>(V)保妥適肉毒Botox/ u，100倍數下單</t>
  </si>
  <si>
    <t>(V)奇蹟肉毒/ u，200倍數下單</t>
  </si>
  <si>
    <t>20099條/顆</t>
  </si>
  <si>
    <t>30,099條/顆</t>
  </si>
  <si>
    <t>20,099條/顆</t>
  </si>
  <si>
    <t>6,050發/顆</t>
  </si>
  <si>
    <t>3,050發/顆</t>
  </si>
  <si>
    <t>240,500條/顆</t>
  </si>
  <si>
    <t>4瓶/盒</t>
  </si>
  <si>
    <t>6080011</t>
  </si>
  <si>
    <t>(V)水梨面膜 30ml</t>
  </si>
  <si>
    <t>30ml</t>
  </si>
  <si>
    <r>
      <rPr>
        <sz val="12"/>
        <color rgb="FF000000"/>
        <rFont val="微軟正黑體"/>
        <family val="2"/>
        <charset val="136"/>
      </rPr>
      <t>喬雅登芙潤玻尿酸植入物</t>
    </r>
    <r>
      <rPr>
        <sz val="12"/>
        <color rgb="FF000000"/>
        <rFont val="Arial"/>
        <family val="2"/>
        <scheme val="minor"/>
      </rPr>
      <t>Volite 1ml/ Syringe(1</t>
    </r>
    <r>
      <rPr>
        <sz val="12"/>
        <color rgb="FF000000"/>
        <rFont val="微軟正黑體"/>
        <family val="2"/>
        <charset val="136"/>
      </rPr>
      <t>支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</si>
  <si>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r>
      <t>(V)</t>
    </r>
    <r>
      <rPr>
        <sz val="12"/>
        <color rgb="FF000000"/>
        <rFont val="Microsoft JhengHei"/>
        <family val="2"/>
      </rPr>
      <t>小玉西瓜</t>
    </r>
    <r>
      <rPr>
        <sz val="12"/>
        <color rgb="FF000000"/>
        <rFont val="微軟正黑體"/>
        <family val="2"/>
        <charset val="136"/>
      </rPr>
      <t>面膜</t>
    </r>
    <r>
      <rPr>
        <sz val="12"/>
        <color rgb="FF000000"/>
        <rFont val="Arial"/>
        <family val="2"/>
        <scheme val="minor"/>
      </rPr>
      <t xml:space="preserve"> 30ml</t>
    </r>
    <phoneticPr fontId="54" type="noConversion"/>
  </si>
  <si>
    <t>PCS</t>
    <phoneticPr fontId="54" type="noConversion"/>
  </si>
  <si>
    <t>5支/盒</t>
  </si>
  <si>
    <t>6050008</t>
  </si>
  <si>
    <t>(V)花神臻秘玫瑰舒膚安瓶 6ml(含紙套)</t>
  </si>
  <si>
    <t>6ml</t>
  </si>
  <si>
    <t>6060001</t>
  </si>
  <si>
    <t>(V)金采賦活保濕精華霜 100ml</t>
  </si>
  <si>
    <t>100ml</t>
  </si>
  <si>
    <t>6080012</t>
  </si>
  <si>
    <t>(V)小玉西瓜面膜 30ml</t>
  </si>
  <si>
    <t>6110019</t>
  </si>
  <si>
    <t>醫強75%酒精液4000cc/桶</t>
  </si>
  <si>
    <t>6桶/箱</t>
  </si>
  <si>
    <t>6110101</t>
  </si>
  <si>
    <t>無粉抗過敏乳膠手套(100支/盒)-M</t>
  </si>
  <si>
    <t>喬雅登絲漾膚玻尿酸植入物Skinvive 1ml/支</t>
    <phoneticPr fontId="54" type="noConversion"/>
  </si>
  <si>
    <t>(V)容脂/ 瓶  (24倍數叫貨)</t>
  </si>
  <si>
    <t>6090001</t>
  </si>
  <si>
    <t>(V)藍銅胜肽舒緩凍膜180ml</t>
  </si>
  <si>
    <t>180ml</t>
  </si>
  <si>
    <t>(V)貝力多(雙胜胺) 20% 50mL/ 瓶，60倍數下單</t>
  </si>
  <si>
    <t>(V)洢蓮絲植入劑ELLANSÉ-S 1ml/ 支(2倍數叫貨)</t>
  </si>
  <si>
    <t>(V)洢蓮絲植入劑ELLANSÉ-M 1ml/ 支(2倍數叫貨)</t>
  </si>
  <si>
    <t>(V)黑童針-薇貝拉200mg/ 1cc</t>
  </si>
  <si>
    <t>(V)喬雅露-小分子50mg/ 1cc(6倍數叫貨)</t>
  </si>
  <si>
    <t>(V)肝得健注射劑/ 瓶，640倍數叫貨</t>
  </si>
  <si>
    <t>(V)卡妮丁注射劑/ 瓶，640倍數叫貨</t>
  </si>
  <si>
    <t>(V)貝力多(雙胜胺) 20% 30mL/ 瓶，60倍數叫貨</t>
  </si>
  <si>
    <t>(V)瘦瘦筆-週纖達*1支(0.25mg)</t>
  </si>
  <si>
    <t>(V)瘦瘦筆-週纖達*1支(1.0mg)</t>
  </si>
  <si>
    <t>(V)猛健樂10mg*1支</t>
  </si>
  <si>
    <t>(V)猛健樂10mg/ 0.15CC</t>
  </si>
  <si>
    <t>(V)白童針-薇貝拉50mg/ 1cc</t>
  </si>
  <si>
    <t>(V)喬雅露-大分子200mg/ 1cc(8倍數叫貨)</t>
  </si>
  <si>
    <t>(V)猛健樂5mg*1支</t>
  </si>
  <si>
    <t>(V)猛健樂7.5mg/ 0.2CC</t>
  </si>
  <si>
    <t>(V)猛健樂12.5mg/ 0.12CC</t>
  </si>
  <si>
    <r>
      <rPr>
        <u/>
        <sz val="12"/>
        <color rgb="FF000000"/>
        <rFont val="微軟正黑體"/>
        <family val="2"/>
        <charset val="136"/>
      </rPr>
      <t>善纖達針頭</t>
    </r>
    <r>
      <rPr>
        <u/>
        <sz val="12"/>
        <color rgb="FF000000"/>
        <rFont val="Arial"/>
        <family val="2"/>
        <scheme val="minor"/>
      </rPr>
      <t>/</t>
    </r>
    <r>
      <rPr>
        <u/>
        <sz val="12"/>
        <color rgb="FF000000"/>
        <rFont val="微軟正黑體"/>
        <family val="2"/>
        <charset val="136"/>
      </rPr>
      <t>猛健樂針頭</t>
    </r>
    <phoneticPr fontId="54" type="noConversion"/>
  </si>
  <si>
    <r>
      <rPr>
        <u/>
        <sz val="12"/>
        <color rgb="FF000000"/>
        <rFont val="微軟正黑體"/>
        <family val="2"/>
        <charset val="136"/>
      </rPr>
      <t>抗壞血酸</t>
    </r>
    <r>
      <rPr>
        <u/>
        <sz val="12"/>
        <color rgb="FF000000"/>
        <rFont val="Arial"/>
        <family val="2"/>
        <scheme val="minor"/>
      </rPr>
      <t xml:space="preserve"> 2ml(</t>
    </r>
    <r>
      <rPr>
        <u/>
        <sz val="12"/>
        <color rgb="FF000000"/>
        <rFont val="微軟正黑體"/>
        <family val="2"/>
        <charset val="136"/>
      </rPr>
      <t>維他命</t>
    </r>
    <r>
      <rPr>
        <u/>
        <sz val="12"/>
        <color rgb="FF000000"/>
        <rFont val="Arial"/>
        <family val="2"/>
        <scheme val="minor"/>
      </rPr>
      <t>C)</t>
    </r>
    <phoneticPr fontId="54" type="noConversion"/>
  </si>
  <si>
    <t>6190006</t>
  </si>
  <si>
    <t>(V)ExoPower 泌力機泌凍晶 5mg</t>
  </si>
  <si>
    <t>6120038</t>
  </si>
  <si>
    <t>(V)(Vit C+B) 維他補舒 20ml，50倍數下單</t>
  </si>
  <si>
    <t>(V)猛健樂2.5mg*1支</t>
  </si>
  <si>
    <t>6120044</t>
  </si>
  <si>
    <t>(V)(止痛)舒疼消熱1ml/支，10倍數下單</t>
  </si>
  <si>
    <r>
      <t xml:space="preserve">ExoPower </t>
    </r>
    <r>
      <rPr>
        <sz val="12"/>
        <color rgb="FF000000"/>
        <rFont val="Arial"/>
        <family val="2"/>
        <charset val="136"/>
        <scheme val="minor"/>
      </rPr>
      <t>泌力機泌凍晶</t>
    </r>
    <r>
      <rPr>
        <sz val="12"/>
        <color rgb="FF000000"/>
        <rFont val="Arial"/>
        <family val="2"/>
        <scheme val="minor"/>
      </rPr>
      <t xml:space="preserve"> 5mg</t>
    </r>
    <phoneticPr fontId="54" type="noConversion"/>
  </si>
  <si>
    <t>ExoPower 泌力機泌凍晶 5mg</t>
    <phoneticPr fontId="54" type="noConversion"/>
  </si>
  <si>
    <r>
      <rPr>
        <sz val="12"/>
        <color rgb="FF000000"/>
        <rFont val="微軟正黑體"/>
        <family val="2"/>
        <charset val="136"/>
      </rPr>
      <t>克樂達養</t>
    </r>
    <r>
      <rPr>
        <sz val="12"/>
        <color rgb="FF000000"/>
        <rFont val="Arial"/>
        <family val="2"/>
        <scheme val="minor"/>
      </rPr>
      <t xml:space="preserve"> 20ml</t>
    </r>
    <phoneticPr fontId="54" type="noConversion"/>
  </si>
  <si>
    <r>
      <rPr>
        <sz val="12"/>
        <color rgb="FF000000"/>
        <rFont val="微軟正黑體"/>
        <family val="2"/>
        <charset val="136"/>
      </rPr>
      <t>舒疼消熱</t>
    </r>
    <r>
      <rPr>
        <sz val="12"/>
        <color rgb="FF000000"/>
        <rFont val="Arial"/>
        <family val="2"/>
      </rPr>
      <t>1ml/</t>
    </r>
    <r>
      <rPr>
        <sz val="12"/>
        <color rgb="FF000000"/>
        <rFont val="微軟正黑體"/>
        <family val="2"/>
        <charset val="136"/>
      </rPr>
      <t>支</t>
    </r>
    <r>
      <rPr>
        <sz val="12"/>
        <color rgb="FF000000"/>
        <rFont val="Arial"/>
        <family val="2"/>
        <charset val="136"/>
      </rPr>
      <t>(Acetamol)</t>
    </r>
    <phoneticPr fontId="54" type="noConversion"/>
  </si>
  <si>
    <t>6150015</t>
  </si>
  <si>
    <t>(V)喬雅登絲漾膚玻尿酸植入物Skinvive 1ml/支(2倍數叫貨)</t>
  </si>
  <si>
    <t>(V)小玉西瓜面膜 30mL</t>
  </si>
  <si>
    <t>6110181</t>
  </si>
  <si>
    <t>需自選沙貨進行手動扣庫</t>
  </si>
  <si>
    <t>6120046</t>
  </si>
  <si>
    <t>(V)(榖胱肝肽) 克樂達養600mg (瓶)</t>
  </si>
  <si>
    <t>(V)猛健樂7.5mg*1支</t>
  </si>
  <si>
    <t>2026/05</t>
    <phoneticPr fontId="54" type="noConversion"/>
  </si>
  <si>
    <r>
      <rPr>
        <sz val="12"/>
        <color rgb="FF000000"/>
        <rFont val="微軟正黑體"/>
        <family val="2"/>
        <charset val="136"/>
      </rPr>
      <t>保妥適</t>
    </r>
    <r>
      <rPr>
        <sz val="12"/>
        <color rgb="FF000000"/>
        <rFont val="Arial"/>
        <family val="2"/>
        <scheme val="minor"/>
      </rPr>
      <t>Botox 100u/ vial  (</t>
    </r>
    <r>
      <rPr>
        <sz val="12"/>
        <color rgb="FF000000"/>
        <rFont val="微軟正黑體"/>
        <family val="2"/>
        <charset val="136"/>
      </rPr>
      <t>因稀釋手法會有些許差異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</si>
  <si>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r>
      <rPr>
        <sz val="12"/>
        <color rgb="FF000000"/>
        <rFont val="微軟正黑體"/>
        <family val="2"/>
        <charset val="136"/>
      </rPr>
      <t>水光針針頭</t>
    </r>
    <r>
      <rPr>
        <sz val="12"/>
        <color rgb="FF000000"/>
        <rFont val="Arial"/>
        <family val="2"/>
        <scheme val="minor"/>
      </rPr>
      <t>/ 31G/ 9pin/ 1.0mm(1</t>
    </r>
    <r>
      <rPr>
        <sz val="12"/>
        <color rgb="FF000000"/>
        <rFont val="微軟正黑體"/>
        <family val="2"/>
        <charset val="136"/>
      </rPr>
      <t>支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</si>
  <si>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r>
      <rPr>
        <u/>
        <sz val="12"/>
        <color rgb="FF000000"/>
        <rFont val="微軟正黑體"/>
        <family val="2"/>
        <charset val="136"/>
      </rPr>
      <t>水光針針頭</t>
    </r>
    <r>
      <rPr>
        <u/>
        <sz val="12"/>
        <color rgb="FF000000"/>
        <rFont val="Arial"/>
        <family val="2"/>
        <scheme val="minor"/>
      </rPr>
      <t>/ 32G/ 9pin/ 1.0mm(1</t>
    </r>
    <r>
      <rPr>
        <u/>
        <sz val="12"/>
        <color rgb="FF000000"/>
        <rFont val="微軟正黑體"/>
        <family val="2"/>
        <charset val="136"/>
      </rPr>
      <t>支</t>
    </r>
    <r>
      <rPr>
        <u/>
        <sz val="12"/>
        <color rgb="FF000000"/>
        <rFont val="Arial"/>
        <family val="2"/>
        <scheme val="minor"/>
      </rPr>
      <t>)</t>
    </r>
    <phoneticPr fontId="54" type="noConversion"/>
  </si>
  <si>
    <t>綠寶石點數</t>
    <phoneticPr fontId="54" type="noConversion"/>
  </si>
  <si>
    <t>血液淨化耗材</t>
    <phoneticPr fontId="54" type="noConversion"/>
  </si>
  <si>
    <t>綠寶石點數</t>
  </si>
  <si>
    <t>血液淨化耗材</t>
  </si>
  <si>
    <t>Forecast</t>
    <phoneticPr fontId="54" type="noConversion"/>
  </si>
  <si>
    <t>6050006</t>
  </si>
  <si>
    <t>(V)舒緩修護精萃 180ml</t>
  </si>
  <si>
    <t>(V)瘦瘦筆-週纖達*1支(2.4mg)</t>
  </si>
  <si>
    <t>ExoPower 機泌導入安瓶/ 6mL</t>
  </si>
  <si>
    <t>彈力針(1支/盒)</t>
    <phoneticPr fontId="54" type="noConversion"/>
  </si>
  <si>
    <r>
      <rPr>
        <sz val="12"/>
        <color rgb="FF000000"/>
        <rFont val="微軟正黑體"/>
        <family val="2"/>
        <charset val="136"/>
      </rPr>
      <t>喬雅登夢蓓菈玻尿酸植入物</t>
    </r>
    <r>
      <rPr>
        <sz val="12"/>
        <color rgb="FF000000"/>
        <rFont val="Arial"/>
        <family val="2"/>
        <scheme val="minor"/>
      </rPr>
      <t>Volbella 1ml/ syringe(1</t>
    </r>
    <r>
      <rPr>
        <sz val="12"/>
        <color rgb="FF000000"/>
        <rFont val="微軟正黑體"/>
        <family val="2"/>
        <charset val="136"/>
      </rPr>
      <t>支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</si>
  <si>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r>
      <rPr>
        <sz val="12"/>
        <color rgb="FF000000"/>
        <rFont val="微軟正黑體"/>
        <family val="2"/>
        <charset val="136"/>
      </rPr>
      <t>肝得健</t>
    </r>
    <r>
      <rPr>
        <sz val="12"/>
        <color rgb="FF000000"/>
        <rFont val="Arial"/>
        <family val="2"/>
        <scheme val="minor"/>
      </rPr>
      <t>(20</t>
    </r>
    <r>
      <rPr>
        <sz val="12"/>
        <color rgb="FF000000"/>
        <rFont val="微軟正黑體"/>
        <family val="2"/>
        <charset val="136"/>
      </rPr>
      <t>入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</si>
  <si>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r>
      <rPr>
        <sz val="12"/>
        <color rgb="FF000000"/>
        <rFont val="微軟正黑體"/>
        <family val="2"/>
        <charset val="136"/>
      </rPr>
      <t>卡尼丁</t>
    </r>
    <r>
      <rPr>
        <sz val="12"/>
        <color rgb="FF000000"/>
        <rFont val="Arial"/>
        <family val="2"/>
        <scheme val="minor"/>
      </rPr>
      <t>(20</t>
    </r>
    <r>
      <rPr>
        <sz val="12"/>
        <color rgb="FF000000"/>
        <rFont val="微軟正黑體"/>
        <family val="2"/>
        <charset val="136"/>
      </rPr>
      <t>入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</si>
  <si>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r>
      <rPr>
        <sz val="12"/>
        <color rgb="FF000000"/>
        <rFont val="微軟正黑體"/>
        <family val="2"/>
        <charset val="136"/>
      </rPr>
      <t>水光針針頭</t>
    </r>
    <r>
      <rPr>
        <sz val="12"/>
        <color rgb="FF000000"/>
        <rFont val="Arial"/>
        <family val="2"/>
        <scheme val="minor"/>
      </rPr>
      <t>/ 31G/ 9pin/ 1.5mm(1</t>
    </r>
    <r>
      <rPr>
        <sz val="12"/>
        <color rgb="FF000000"/>
        <rFont val="微軟正黑體"/>
        <family val="2"/>
        <charset val="136"/>
      </rPr>
      <t>支</t>
    </r>
    <r>
      <rPr>
        <sz val="12"/>
        <color rgb="FF000000"/>
        <rFont val="Arial"/>
        <family val="2"/>
        <scheme val="minor"/>
      </rPr>
      <t>)</t>
    </r>
    <phoneticPr fontId="54" type="noConversion"/>
  </si>
  <si>
    <t>ExoPower 機泌導入安瓶/ 6mL</t>
    <phoneticPr fontId="54" type="noConversion"/>
  </si>
  <si>
    <t>(V)ExoPower 泌力機泌安瓶 6mL</t>
  </si>
  <si>
    <t>(V)多肽睛澈修護眼膜 10ml(鈦灰)</t>
  </si>
  <si>
    <t>8</t>
  </si>
  <si>
    <t>循必利</t>
    <phoneticPr fontId="54" type="noConversion"/>
  </si>
  <si>
    <r>
      <rPr>
        <u/>
        <sz val="12"/>
        <color rgb="FF000000"/>
        <rFont val="微軟正黑體"/>
        <family val="2"/>
        <charset val="136"/>
      </rPr>
      <t>得美微針筆</t>
    </r>
    <r>
      <rPr>
        <u/>
        <sz val="12"/>
        <color rgb="FF000000"/>
        <rFont val="Arial"/>
        <family val="2"/>
        <scheme val="minor"/>
      </rPr>
      <t xml:space="preserve"> 33G</t>
    </r>
    <r>
      <rPr>
        <u/>
        <sz val="12"/>
        <color rgb="FF000000"/>
        <rFont val="微軟正黑體"/>
        <family val="2"/>
        <charset val="136"/>
      </rPr>
      <t>針頭</t>
    </r>
    <r>
      <rPr>
        <u/>
        <sz val="12"/>
        <color rgb="FF000000"/>
        <rFont val="Arial"/>
        <family val="2"/>
        <scheme val="minor"/>
      </rPr>
      <t>(</t>
    </r>
    <r>
      <rPr>
        <u/>
        <sz val="12"/>
        <color rgb="FF000000"/>
        <rFont val="微軟正黑體"/>
        <family val="2"/>
        <charset val="136"/>
      </rPr>
      <t>支</t>
    </r>
    <r>
      <rPr>
        <u/>
        <sz val="12"/>
        <color rgb="FF000000"/>
        <rFont val="Arial"/>
        <family val="2"/>
        <scheme val="minor"/>
      </rPr>
      <t>)</t>
    </r>
    <phoneticPr fontId="54" type="noConversion"/>
  </si>
  <si>
    <t>(V)逆時針(璞菲洛)2cc/支</t>
  </si>
  <si>
    <t>6050010</t>
  </si>
  <si>
    <t>6080008</t>
  </si>
  <si>
    <t>6200022</t>
  </si>
  <si>
    <t>綠寶石減脂雷射點數/ 點</t>
  </si>
  <si>
    <t>點</t>
  </si>
  <si>
    <t>6070002</t>
  </si>
  <si>
    <t>(V)金采賦活保濕精華霜 30ml</t>
  </si>
  <si>
    <t>(V)薇貝拉50mg小分子/ 1cc</t>
  </si>
  <si>
    <t>(V)薇貝拉200mg大分子/ 1cc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</si>
</sst>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yyyy/mm"/>
    <numFmt numFmtId="177" formatCode="yyyy/m"/>
    <numFmt numFmtId="178" formatCode="0.0"/>
    <numFmt numFmtId="179" formatCode="#,##0.0"/>
    <numFmt numFmtId="180" formatCode="&quot;1顆=&quot;#,##0&quot;條&quot;"/>
    <numFmt numFmtId="181" formatCode="#,##0.000"/>
    <numFmt numFmtId="182" formatCode="[$-1010404]General"/>
    <numFmt numFmtId="183" formatCode="[$-1010404]#,##0.##"/>
    <numFmt numFmtId="184" formatCode="#,##0.00_ "/>
  </numFmts>
  <fonts count="117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b/>
      <sz val="13"/>
      <color rgb="FF000000"/>
      <name val="微軟正黑體"/>
      <family val="2"/>
      <charset val="136"/>
    </font>
    <font>
      <sz val="12"/>
      <color rgb="FF666666"/>
      <name val="Calibri"/>
      <family val="2"/>
    </font>
    <font>
      <sz val="10"/>
      <color rgb="FF000000"/>
      <name val="Calibri"/>
      <family val="2"/>
    </font>
    <font>
      <sz val="12"/>
      <color rgb="FFFF0000"/>
      <name val="微軟正黑體"/>
      <family val="2"/>
      <charset val="136"/>
    </font>
    <font>
      <sz val="12"/>
      <color rgb="FF00B050"/>
      <name val="Calibri"/>
      <family val="2"/>
    </font>
    <font>
      <b/>
      <u/>
      <sz val="12"/>
      <color rgb="FF0000FF"/>
      <name val="微軟正黑體"/>
      <family val="2"/>
      <charset val="136"/>
    </font>
    <font>
      <sz val="12"/>
      <color rgb="FFFF0000"/>
      <name val="Calibri"/>
      <family val="2"/>
    </font>
    <font>
      <b/>
      <u/>
      <sz val="12"/>
      <color rgb="FF0066FF"/>
      <name val="微軟正黑體"/>
      <family val="2"/>
      <charset val="136"/>
    </font>
    <font>
      <sz val="10"/>
      <color rgb="FF666666"/>
      <name val="Arial"/>
      <family val="2"/>
      <scheme val="minor"/>
    </font>
    <font>
      <sz val="12"/>
      <color theme="1"/>
      <name val="Aptos Narrow"/>
      <family val="2"/>
    </font>
    <font>
      <sz val="12"/>
      <color rgb="FF000000"/>
      <name val="Calibri"/>
      <family val="2"/>
    </font>
    <font>
      <b/>
      <sz val="12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4A86E8"/>
      <name val="微軟正黑體"/>
      <family val="2"/>
      <charset val="136"/>
    </font>
    <font>
      <sz val="10"/>
      <name val="Arial"/>
      <family val="2"/>
    </font>
    <font>
      <b/>
      <u/>
      <sz val="12"/>
      <color rgb="FF0000FF"/>
      <name val="微軟正黑體"/>
      <family val="2"/>
      <charset val="136"/>
    </font>
    <font>
      <b/>
      <sz val="12"/>
      <color rgb="FF00B050"/>
      <name val="Calibri"/>
      <family val="2"/>
    </font>
    <font>
      <b/>
      <sz val="12"/>
      <color rgb="FF4A86E8"/>
      <name val="微軟正黑體"/>
      <family val="2"/>
      <charset val="136"/>
    </font>
    <font>
      <sz val="12"/>
      <color rgb="FFBE5014"/>
      <name val="Calibri"/>
      <family val="2"/>
    </font>
    <font>
      <b/>
      <sz val="12"/>
      <color rgb="FFBE5014"/>
      <name val="Calibri"/>
      <family val="2"/>
    </font>
    <font>
      <sz val="12"/>
      <color rgb="FF666666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2"/>
      <color rgb="FF990000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color rgb="FF980000"/>
      <name val="微軟正黑體"/>
      <family val="2"/>
      <charset val="136"/>
    </font>
    <font>
      <sz val="12"/>
      <color rgb="FF3C78D8"/>
      <name val="微軟正黑體"/>
      <family val="2"/>
      <charset val="136"/>
    </font>
    <font>
      <sz val="12"/>
      <color theme="1"/>
      <name val="Arial"/>
      <family val="2"/>
    </font>
    <font>
      <sz val="12"/>
      <color rgb="FF666666"/>
      <name val="Arial"/>
      <family val="2"/>
    </font>
    <font>
      <u/>
      <sz val="12"/>
      <color rgb="FF666666"/>
      <name val="微軟正黑體"/>
      <family val="2"/>
      <charset val="136"/>
    </font>
    <font>
      <sz val="12"/>
      <color rgb="FF3D85C6"/>
      <name val="微軟正黑體"/>
      <family val="2"/>
      <charset val="136"/>
    </font>
    <font>
      <sz val="11"/>
      <color theme="1"/>
      <name val="Microsoft JhengHei"/>
      <family val="2"/>
      <charset val="136"/>
    </font>
    <font>
      <sz val="10"/>
      <color rgb="FF0000FF"/>
      <name val="微軟正黑體"/>
      <family val="2"/>
      <charset val="136"/>
    </font>
    <font>
      <sz val="10"/>
      <color rgb="FF000000"/>
      <name val="Arial"/>
      <family val="2"/>
    </font>
    <font>
      <sz val="12"/>
      <color rgb="FFB7B7B7"/>
      <name val="微軟正黑體"/>
      <family val="2"/>
      <charset val="136"/>
    </font>
    <font>
      <sz val="10"/>
      <color theme="1"/>
      <name val="Arial"/>
      <family val="2"/>
    </font>
    <font>
      <sz val="12"/>
      <color rgb="FF666666"/>
      <name val="Aptos Narrow"/>
      <family val="2"/>
    </font>
    <font>
      <sz val="10"/>
      <color theme="1"/>
      <name val="Aptos Narrow"/>
      <family val="2"/>
    </font>
    <font>
      <sz val="12"/>
      <color rgb="FF4A86E8"/>
      <name val="Aptos Narrow"/>
      <family val="2"/>
    </font>
    <font>
      <sz val="12"/>
      <color rgb="FF990000"/>
      <name val="Aptos Narrow"/>
      <family val="2"/>
    </font>
    <font>
      <sz val="12"/>
      <color rgb="FF0066FF"/>
      <name val="Aptos Narrow"/>
      <family val="2"/>
    </font>
    <font>
      <sz val="10"/>
      <color theme="1"/>
      <name val="Arial"/>
      <family val="2"/>
    </font>
    <font>
      <u/>
      <sz val="12"/>
      <color rgb="FF666666"/>
      <name val="微軟正黑體"/>
      <family val="2"/>
      <charset val="136"/>
    </font>
    <font>
      <strike/>
      <sz val="12"/>
      <color rgb="FF990000"/>
      <name val="微軟正黑體"/>
      <family val="2"/>
      <charset val="136"/>
    </font>
    <font>
      <u/>
      <sz val="12"/>
      <color rgb="FF666666"/>
      <name val="新細明體"/>
      <family val="1"/>
      <charset val="136"/>
    </font>
    <font>
      <u/>
      <sz val="12"/>
      <color rgb="FF666666"/>
      <name val="新細明體"/>
      <family val="1"/>
      <charset val="136"/>
    </font>
    <font>
      <sz val="10"/>
      <color rgb="FF990000"/>
      <name val="Arial"/>
      <family val="2"/>
      <scheme val="minor"/>
    </font>
    <font>
      <sz val="10"/>
      <color rgb="FF4A86E8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rgb="FF000000"/>
      <name val="微軟正黑體, sans-serif"/>
      <family val="3"/>
      <charset val="136"/>
    </font>
    <font>
      <b/>
      <sz val="12"/>
      <color rgb="FF0000FF"/>
      <name val="微軟正黑體, sans-serif"/>
      <family val="3"/>
      <charset val="136"/>
    </font>
    <font>
      <b/>
      <u/>
      <sz val="12"/>
      <color rgb="FF0000FF"/>
      <name val="微軟正黑體, sans-serif"/>
      <family val="3"/>
      <charset val="136"/>
    </font>
    <font>
      <b/>
      <u/>
      <sz val="12"/>
      <color rgb="FF000000"/>
      <name val="微軟正黑體, sans-serif"/>
      <family val="3"/>
      <charset val="136"/>
    </font>
    <font>
      <sz val="9"/>
      <name val="Arial"/>
      <family val="3"/>
      <charset val="136"/>
      <scheme val="minor"/>
    </font>
    <font>
      <sz val="10"/>
      <name val="微軟正黑體"/>
      <family val="2"/>
      <charset val="136"/>
    </font>
    <font>
      <sz val="12"/>
      <name val="Calibri"/>
      <family val="2"/>
    </font>
    <font>
      <sz val="14"/>
      <name val="Calibri"/>
      <family val="2"/>
    </font>
    <font>
      <sz val="10"/>
      <name val="Arial"/>
      <family val="2"/>
    </font>
    <font>
      <sz val="12"/>
      <name val="微軟正黑體"/>
      <family val="2"/>
      <charset val="136"/>
    </font>
    <font>
      <sz val="12"/>
      <name val="Arial"/>
      <family val="2"/>
    </font>
    <font>
      <sz val="12"/>
      <name val="Aptos Narrow"/>
      <family val="2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B050"/>
      <name val="細明體"/>
      <family val="3"/>
      <charset val="136"/>
    </font>
    <font>
      <sz val="12"/>
      <color indexed="9"/>
      <name val="新細明體"/>
      <family val="1"/>
      <charset val="136"/>
    </font>
    <font>
      <sz val="12"/>
      <color rgb="FF000000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rgb="FFFF0000"/>
      <name val="新細明體"/>
      <family val="1"/>
      <charset val="136"/>
    </font>
    <font>
      <b/>
      <sz val="12"/>
      <color rgb="FF00B050"/>
      <name val="細明體"/>
      <family val="2"/>
      <charset val="136"/>
    </font>
    <font>
      <u/>
      <sz val="12"/>
      <color rgb="FF000000"/>
      <name val="Arial"/>
      <family val="2"/>
      <scheme val="minor"/>
    </font>
    <font>
      <u/>
      <sz val="12"/>
      <color rgb="FF000000"/>
      <name val="Arial"/>
      <family val="2"/>
      <charset val="136"/>
      <scheme val="minor"/>
    </font>
    <font>
      <sz val="12"/>
      <color rgb="FF000000"/>
      <name val="Arial"/>
      <family val="2"/>
      <charset val="136"/>
      <scheme val="minor"/>
    </font>
    <font>
      <strike/>
      <sz val="12"/>
      <color rgb="FF000000"/>
      <name val="Arial"/>
      <family val="2"/>
      <charset val="136"/>
      <scheme val="minor"/>
    </font>
    <font>
      <strike/>
      <sz val="12"/>
      <color rgb="FF000000"/>
      <name val="Arial"/>
      <family val="2"/>
      <scheme val="minor"/>
    </font>
    <font>
      <b/>
      <strike/>
      <sz val="12"/>
      <color rgb="FF000000"/>
      <name val="Arial"/>
      <family val="2"/>
      <charset val="136"/>
      <scheme val="minor"/>
    </font>
    <font>
      <b/>
      <sz val="9"/>
      <color indexed="9"/>
      <name val="新細明體"/>
      <family val="1"/>
      <charset val="136"/>
    </font>
    <font>
      <sz val="12"/>
      <color rgb="FF000000"/>
      <name val="Calibri"/>
      <family val="2"/>
      <charset val="136"/>
    </font>
    <font>
      <sz val="12"/>
      <color rgb="FF000000"/>
      <name val="Arial"/>
      <family val="3"/>
      <charset val="136"/>
      <scheme val="minor"/>
    </font>
    <font>
      <sz val="9"/>
      <color indexed="8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2"/>
      <color rgb="FFC00000"/>
      <name val="微軟正黑體"/>
      <family val="2"/>
      <charset val="136"/>
    </font>
    <font>
      <u/>
      <sz val="12"/>
      <color rgb="FF000000"/>
      <name val="Arial"/>
      <family val="3"/>
      <charset val="136"/>
      <scheme val="minor"/>
    </font>
    <font>
      <b/>
      <sz val="12"/>
      <color rgb="FFC00000"/>
      <name val="Calibri"/>
      <family val="2"/>
    </font>
    <font>
      <sz val="12"/>
      <color rgb="FF000000"/>
      <name val="Arial"/>
      <family val="2"/>
    </font>
    <font>
      <sz val="12"/>
      <color rgb="FF000000"/>
      <name val="Aptos Narrow"/>
      <family val="2"/>
    </font>
    <font>
      <sz val="12"/>
      <color rgb="FF000000"/>
      <name val="Arial"/>
      <family val="2"/>
      <charset val="136"/>
    </font>
    <font>
      <sz val="12"/>
      <color rgb="FFFF0000"/>
      <name val="Arial"/>
      <family val="2"/>
      <charset val="136"/>
      <scheme val="minor"/>
    </font>
    <font>
      <sz val="12"/>
      <color rgb="FF666666"/>
      <name val="Arial"/>
      <family val="2"/>
      <scheme val="minor"/>
    </font>
    <font>
      <sz val="12"/>
      <color rgb="FF4A86E8"/>
      <name val="Arial"/>
      <family val="2"/>
      <scheme val="minor"/>
    </font>
    <font>
      <sz val="12"/>
      <color rgb="FF990000"/>
      <name val="Arial"/>
      <family val="2"/>
      <scheme val="minor"/>
    </font>
    <font>
      <sz val="12"/>
      <color theme="3"/>
      <name val="Arial"/>
      <family val="2"/>
      <scheme val="minor"/>
    </font>
    <font>
      <sz val="12"/>
      <color rgb="FFC00000"/>
      <name val="Arial"/>
      <family val="2"/>
      <scheme val="minor"/>
    </font>
    <font>
      <sz val="12"/>
      <name val="Arial"/>
      <family val="2"/>
      <scheme val="minor"/>
    </font>
    <font>
      <sz val="12"/>
      <color rgb="FF0000FF"/>
      <name val="Arial"/>
      <family val="2"/>
      <scheme val="minor"/>
    </font>
    <font>
      <sz val="12"/>
      <color rgb="FF0000FF"/>
      <name val="Arial"/>
      <family val="2"/>
      <charset val="136"/>
      <scheme val="minor"/>
    </font>
    <font>
      <sz val="12"/>
      <color rgb="FF98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color rgb="FF3D85C6"/>
      <name val="Arial"/>
      <family val="2"/>
      <scheme val="minor"/>
    </font>
    <font>
      <u/>
      <sz val="12"/>
      <color rgb="FF666666"/>
      <name val="Arial"/>
      <family val="2"/>
      <scheme val="minor"/>
    </font>
    <font>
      <sz val="12"/>
      <color rgb="FFB7B7B7"/>
      <name val="Arial"/>
      <family val="2"/>
      <scheme val="minor"/>
    </font>
    <font>
      <sz val="10"/>
      <color rgb="FF000000"/>
      <name val="Arial"/>
      <family val="2"/>
      <charset val="136"/>
      <scheme val="minor"/>
    </font>
    <font>
      <u/>
      <sz val="12"/>
      <color theme="1"/>
      <name val="Arial"/>
      <family val="2"/>
      <scheme val="minor"/>
    </font>
    <font>
      <strike/>
      <sz val="12"/>
      <color rgb="FF990000"/>
      <name val="Arial"/>
      <family val="2"/>
      <scheme val="minor"/>
    </font>
    <font>
      <sz val="12"/>
      <color rgb="FF0066FF"/>
      <name val="Arial"/>
      <family val="2"/>
      <scheme val="minor"/>
    </font>
    <font>
      <sz val="12"/>
      <color theme="1"/>
      <name val="微軟正黑體"/>
      <family val="2"/>
      <charset val="136"/>
    </font>
    <font>
      <sz val="12"/>
      <color theme="1"/>
      <name val="Aptos Narrow"/>
      <family val="2"/>
      <charset val="136"/>
    </font>
    <font>
      <b/>
      <sz val="10"/>
      <color rgb="FF0066FF"/>
      <name val="微軟正黑體"/>
      <family val="2"/>
      <charset val="136"/>
    </font>
    <font>
      <b/>
      <sz val="10"/>
      <color rgb="FF800000"/>
      <name val="微軟正黑體"/>
      <family val="2"/>
      <charset val="136"/>
    </font>
    <font>
      <b/>
      <u/>
      <sz val="12"/>
      <color theme="1"/>
      <name val="微軟正黑體, sans-serif"/>
      <family val="3"/>
      <charset val="136"/>
    </font>
    <font>
      <sz val="12"/>
      <color theme="1"/>
      <name val="細明體"/>
      <family val="2"/>
      <charset val="136"/>
    </font>
    <font>
      <sz val="12"/>
      <color rgb="FF000000"/>
      <name val="Microsoft JhengHei"/>
      <family val="2"/>
    </font>
    <font>
      <u/>
      <sz val="12"/>
      <color rgb="FF000000"/>
      <name val="微軟正黑體"/>
      <family val="2"/>
      <charset val="136"/>
    </font>
    <font>
      <b/>
      <sz val="12"/>
      <color rgb="FF666666"/>
      <name val="微軟正黑體"/>
      <family val="2"/>
      <charset val="136"/>
    </font>
    <font>
      <u/>
      <sz val="12"/>
      <color rgb="FF000000"/>
      <name val="Microsoft JhengHei"/>
      <family val="2"/>
    </font>
    <font>
      <sz val="10"/>
      <color rgb="FF000000"/>
      <name val="Arial"/>
      <family val="3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00"/>
        <bgColor rgb="FF808000"/>
      </patternFill>
    </fill>
    <fill>
      <patternFill patternType="solid">
        <fgColor rgb="FFDBE5F1"/>
        <bgColor rgb="FFDBE5F1"/>
      </patternFill>
    </fill>
    <fill>
      <patternFill patternType="solid">
        <fgColor rgb="FFFFF2CC"/>
        <bgColor rgb="FFFFF2CC"/>
      </patternFill>
    </fill>
    <fill>
      <patternFill patternType="solid">
        <fgColor rgb="FFFFFF99"/>
        <bgColor rgb="FFFFFF99"/>
      </patternFill>
    </fill>
    <fill>
      <patternFill patternType="solid">
        <fgColor rgb="FF92D050"/>
        <bgColor rgb="FF92D050"/>
      </patternFill>
    </fill>
    <fill>
      <patternFill patternType="solid">
        <fgColor rgb="FFDAF2D0"/>
        <bgColor rgb="FFDAF2D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8F9FA"/>
        <bgColor rgb="FFF8F9FA"/>
      </patternFill>
    </fill>
    <fill>
      <patternFill patternType="solid">
        <fgColor theme="8" tint="0.79998168889431442"/>
        <bgColor rgb="FFFCE5CD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A6C9E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A6C9E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79998168889431442"/>
        <bgColor rgb="FFFFF2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FF2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DAF2D0"/>
      </patternFill>
    </fill>
    <fill>
      <patternFill patternType="solid">
        <fgColor rgb="FFA6C9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4" tint="0.59999389629810485"/>
        <bgColor rgb="FFFFF2CC"/>
      </patternFill>
    </fill>
  </fills>
  <borders count="28">
    <border>
      <left/>
      <right/>
      <top/>
      <bottom/>
      <diagonal/>
    </border>
    <border>
      <left style="dotted">
        <color rgb="FFA6A6A6"/>
      </left>
      <right style="dotted">
        <color rgb="FFA6A6A6"/>
      </right>
      <top style="dotted">
        <color rgb="FFA6A6A6"/>
      </top>
      <bottom/>
      <diagonal/>
    </border>
    <border>
      <left/>
      <right/>
      <top style="dotted">
        <color rgb="FFA6A6A6"/>
      </top>
      <bottom style="dotted">
        <color rgb="FFA6A6A6"/>
      </bottom>
      <diagonal/>
    </border>
    <border>
      <left/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 style="dotted">
        <color rgb="FFA6A6A6"/>
      </left>
      <right/>
      <top style="dotted">
        <color rgb="FFA6A6A6"/>
      </top>
      <bottom style="dotted">
        <color rgb="FFA6A6A6"/>
      </bottom>
      <diagonal/>
    </border>
    <border>
      <left style="dotted">
        <color rgb="FFA6A6A6"/>
      </left>
      <right style="dotted">
        <color rgb="FFA6A6A6"/>
      </right>
      <top/>
      <bottom style="dotted">
        <color rgb="FFA6A6A6"/>
      </bottom>
      <diagonal/>
    </border>
    <border>
      <left/>
      <right style="dotted">
        <color rgb="FFA6A6A6"/>
      </right>
      <top/>
      <bottom style="dotted">
        <color rgb="FFA6A6A6"/>
      </bottom>
      <diagonal/>
    </border>
    <border>
      <left/>
      <right style="hair">
        <color rgb="FFA6A6A6"/>
      </right>
      <top/>
      <bottom style="hair">
        <color rgb="FFA6A6A6"/>
      </bottom>
      <diagonal/>
    </border>
    <border>
      <left/>
      <right style="dotted">
        <color rgb="FFA6A6A6"/>
      </right>
      <top/>
      <bottom/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mediumDashed">
        <color rgb="FFA6A6A6"/>
      </left>
      <right style="mediumDashed">
        <color rgb="FFA6A6A6"/>
      </right>
      <top style="mediumDashed">
        <color rgb="FFA6A6A6"/>
      </top>
      <bottom style="mediumDashed">
        <color rgb="FFA6A6A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Dashed">
        <color rgb="FFA6A6A6"/>
      </right>
      <top style="mediumDashed">
        <color rgb="FFA6A6A6"/>
      </top>
      <bottom style="mediumDashed">
        <color rgb="FFA6A6A6"/>
      </bottom>
      <diagonal/>
    </border>
    <border>
      <left style="mediumDashed">
        <color rgb="FFA6A6A6"/>
      </left>
      <right style="mediumDashed">
        <color rgb="FFA6A6A6"/>
      </right>
      <top style="medium">
        <color rgb="FFCCCCCC"/>
      </top>
      <bottom style="mediumDashed">
        <color rgb="FFA6A6A6"/>
      </bottom>
      <diagonal/>
    </border>
    <border>
      <left style="medium">
        <color rgb="FFCCCCCC"/>
      </left>
      <right style="mediumDashed">
        <color rgb="FFA6A6A6"/>
      </right>
      <top style="medium">
        <color rgb="FFCCCCCC"/>
      </top>
      <bottom style="mediumDashed">
        <color rgb="FFA6A6A6"/>
      </bottom>
      <diagonal/>
    </border>
    <border>
      <left style="medium">
        <color rgb="FFCCCCCC"/>
      </left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 style="dotted">
        <color rgb="FFA6A6A6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Dashed">
        <color rgb="FFA6A6A6"/>
      </left>
      <right style="mediumDashed">
        <color rgb="FFA6A6A6"/>
      </right>
      <top style="dotted">
        <color rgb="FFA6A6A6"/>
      </top>
      <bottom style="mediumDashed">
        <color rgb="FFA6A6A6"/>
      </bottom>
      <diagonal/>
    </border>
    <border>
      <left style="mediumDashed">
        <color rgb="FFA6A6A6"/>
      </left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 style="mediumDashed">
        <color rgb="FFA6A6A6"/>
      </left>
      <right style="dotted">
        <color rgb="FFA6A6A6"/>
      </right>
      <top style="medium">
        <color rgb="FFCCCCCC"/>
      </top>
      <bottom style="dotted">
        <color rgb="FFA6A6A6"/>
      </bottom>
      <diagonal/>
    </border>
    <border>
      <left style="medium">
        <color indexed="22"/>
      </left>
      <right style="medium">
        <color indexed="22"/>
      </right>
      <top/>
      <bottom style="medium">
        <color indexed="22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6" fillId="0" borderId="0">
      <alignment wrapText="1"/>
    </xf>
  </cellStyleXfs>
  <cellXfs count="492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3" fontId="5" fillId="2" borderId="0" xfId="0" applyNumberFormat="1" applyFont="1" applyFill="1" applyAlignment="1">
      <alignment horizontal="center" wrapText="1"/>
    </xf>
    <xf numFmtId="176" fontId="6" fillId="2" borderId="0" xfId="0" applyNumberFormat="1" applyFont="1" applyFill="1" applyAlignment="1">
      <alignment horizontal="center"/>
    </xf>
    <xf numFmtId="17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77" fontId="6" fillId="2" borderId="0" xfId="0" applyNumberFormat="1" applyFont="1" applyFill="1" applyAlignment="1">
      <alignment horizontal="center" wrapText="1"/>
    </xf>
    <xf numFmtId="0" fontId="8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10" fillId="0" borderId="0" xfId="0" applyFont="1"/>
    <xf numFmtId="0" fontId="11" fillId="0" borderId="0" xfId="0" applyFont="1"/>
    <xf numFmtId="0" fontId="13" fillId="2" borderId="0" xfId="0" applyFont="1" applyFill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6" xfId="0" applyFont="1" applyBorder="1" applyAlignment="1">
      <alignment horizontal="center"/>
    </xf>
    <xf numFmtId="3" fontId="15" fillId="5" borderId="6" xfId="0" applyNumberFormat="1" applyFont="1" applyFill="1" applyBorder="1" applyAlignment="1">
      <alignment horizontal="center"/>
    </xf>
    <xf numFmtId="0" fontId="24" fillId="0" borderId="6" xfId="0" applyFont="1" applyBorder="1" applyAlignment="1">
      <alignment horizontal="center"/>
    </xf>
    <xf numFmtId="3" fontId="24" fillId="0" borderId="6" xfId="0" applyNumberFormat="1" applyFont="1" applyBorder="1" applyAlignment="1">
      <alignment horizontal="center"/>
    </xf>
    <xf numFmtId="3" fontId="14" fillId="0" borderId="6" xfId="0" applyNumberFormat="1" applyFont="1" applyBorder="1" applyAlignment="1">
      <alignment horizontal="center"/>
    </xf>
    <xf numFmtId="179" fontId="14" fillId="0" borderId="6" xfId="0" applyNumberFormat="1" applyFont="1" applyBorder="1" applyAlignment="1">
      <alignment horizontal="center"/>
    </xf>
    <xf numFmtId="3" fontId="22" fillId="0" borderId="6" xfId="0" applyNumberFormat="1" applyFont="1" applyBorder="1" applyAlignment="1">
      <alignment horizontal="center"/>
    </xf>
    <xf numFmtId="3" fontId="14" fillId="8" borderId="6" xfId="0" applyNumberFormat="1" applyFont="1" applyFill="1" applyBorder="1" applyAlignment="1">
      <alignment horizontal="center"/>
    </xf>
    <xf numFmtId="3" fontId="25" fillId="8" borderId="7" xfId="0" applyNumberFormat="1" applyFont="1" applyFill="1" applyBorder="1" applyAlignment="1">
      <alignment horizontal="center"/>
    </xf>
    <xf numFmtId="2" fontId="14" fillId="0" borderId="6" xfId="0" applyNumberFormat="1" applyFont="1" applyBorder="1" applyAlignment="1">
      <alignment horizontal="center"/>
    </xf>
    <xf numFmtId="0" fontId="14" fillId="0" borderId="6" xfId="0" applyFont="1" applyBorder="1"/>
    <xf numFmtId="4" fontId="14" fillId="0" borderId="6" xfId="0" applyNumberFormat="1" applyFont="1" applyBorder="1"/>
    <xf numFmtId="1" fontId="14" fillId="0" borderId="0" xfId="0" applyNumberFormat="1" applyFont="1"/>
    <xf numFmtId="3" fontId="26" fillId="0" borderId="6" xfId="0" applyNumberFormat="1" applyFont="1" applyBorder="1" applyAlignment="1">
      <alignment horizontal="center"/>
    </xf>
    <xf numFmtId="3" fontId="27" fillId="5" borderId="6" xfId="0" applyNumberFormat="1" applyFont="1" applyFill="1" applyBorder="1" applyAlignment="1">
      <alignment horizontal="center"/>
    </xf>
    <xf numFmtId="3" fontId="14" fillId="8" borderId="8" xfId="0" applyNumberFormat="1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11" fillId="0" borderId="6" xfId="0" applyFont="1" applyBorder="1"/>
    <xf numFmtId="4" fontId="28" fillId="0" borderId="6" xfId="0" applyNumberFormat="1" applyFont="1" applyBorder="1" applyAlignment="1">
      <alignment horizontal="right"/>
    </xf>
    <xf numFmtId="3" fontId="14" fillId="8" borderId="6" xfId="0" applyNumberFormat="1" applyFont="1" applyFill="1" applyBorder="1" applyAlignment="1">
      <alignment horizontal="center" wrapText="1"/>
    </xf>
    <xf numFmtId="0" fontId="22" fillId="10" borderId="0" xfId="0" applyFont="1" applyFill="1" applyAlignment="1">
      <alignment horizontal="center"/>
    </xf>
    <xf numFmtId="0" fontId="23" fillId="10" borderId="6" xfId="0" applyFont="1" applyFill="1" applyBorder="1" applyAlignment="1">
      <alignment horizontal="center"/>
    </xf>
    <xf numFmtId="3" fontId="24" fillId="10" borderId="6" xfId="0" applyNumberFormat="1" applyFont="1" applyFill="1" applyBorder="1" applyAlignment="1">
      <alignment horizontal="center"/>
    </xf>
    <xf numFmtId="3" fontId="14" fillId="10" borderId="6" xfId="0" applyNumberFormat="1" applyFont="1" applyFill="1" applyBorder="1" applyAlignment="1">
      <alignment horizontal="center"/>
    </xf>
    <xf numFmtId="179" fontId="14" fillId="10" borderId="6" xfId="0" applyNumberFormat="1" applyFont="1" applyFill="1" applyBorder="1" applyAlignment="1">
      <alignment horizontal="center"/>
    </xf>
    <xf numFmtId="3" fontId="22" fillId="10" borderId="6" xfId="0" applyNumberFormat="1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3" fontId="31" fillId="5" borderId="6" xfId="0" applyNumberFormat="1" applyFont="1" applyFill="1" applyBorder="1" applyAlignment="1">
      <alignment horizontal="center"/>
    </xf>
    <xf numFmtId="0" fontId="25" fillId="0" borderId="6" xfId="0" applyFont="1" applyBorder="1"/>
    <xf numFmtId="4" fontId="25" fillId="0" borderId="6" xfId="0" applyNumberFormat="1" applyFont="1" applyBorder="1"/>
    <xf numFmtId="0" fontId="25" fillId="0" borderId="0" xfId="0" applyFont="1"/>
    <xf numFmtId="1" fontId="25" fillId="0" borderId="0" xfId="0" applyNumberFormat="1" applyFont="1"/>
    <xf numFmtId="180" fontId="32" fillId="0" borderId="0" xfId="0" applyNumberFormat="1" applyFont="1" applyAlignment="1">
      <alignment horizontal="center" vertical="center" wrapText="1"/>
    </xf>
    <xf numFmtId="180" fontId="32" fillId="0" borderId="9" xfId="0" applyNumberFormat="1" applyFont="1" applyBorder="1" applyAlignment="1">
      <alignment horizontal="center" vertical="center" wrapText="1"/>
    </xf>
    <xf numFmtId="180" fontId="32" fillId="10" borderId="9" xfId="0" applyNumberFormat="1" applyFont="1" applyFill="1" applyBorder="1" applyAlignment="1">
      <alignment horizontal="center" vertical="center" wrapText="1"/>
    </xf>
    <xf numFmtId="4" fontId="14" fillId="10" borderId="6" xfId="0" applyNumberFormat="1" applyFont="1" applyFill="1" applyBorder="1"/>
    <xf numFmtId="3" fontId="5" fillId="8" borderId="6" xfId="0" applyNumberFormat="1" applyFont="1" applyFill="1" applyBorder="1" applyAlignment="1">
      <alignment horizontal="center"/>
    </xf>
    <xf numFmtId="3" fontId="25" fillId="8" borderId="6" xfId="0" applyNumberFormat="1" applyFont="1" applyFill="1" applyBorder="1" applyAlignment="1">
      <alignment horizontal="center"/>
    </xf>
    <xf numFmtId="178" fontId="14" fillId="0" borderId="6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3" fontId="33" fillId="8" borderId="6" xfId="0" applyNumberFormat="1" applyFont="1" applyFill="1" applyBorder="1" applyAlignment="1">
      <alignment horizontal="center"/>
    </xf>
    <xf numFmtId="0" fontId="14" fillId="0" borderId="9" xfId="0" applyFont="1" applyBorder="1"/>
    <xf numFmtId="0" fontId="34" fillId="10" borderId="6" xfId="0" applyFont="1" applyFill="1" applyBorder="1" applyAlignment="1">
      <alignment horizontal="center"/>
    </xf>
    <xf numFmtId="3" fontId="35" fillId="10" borderId="6" xfId="0" applyNumberFormat="1" applyFont="1" applyFill="1" applyBorder="1" applyAlignment="1">
      <alignment horizontal="center"/>
    </xf>
    <xf numFmtId="3" fontId="28" fillId="10" borderId="6" xfId="0" applyNumberFormat="1" applyFont="1" applyFill="1" applyBorder="1" applyAlignment="1">
      <alignment horizontal="center"/>
    </xf>
    <xf numFmtId="4" fontId="28" fillId="10" borderId="6" xfId="0" applyNumberFormat="1" applyFont="1" applyFill="1" applyBorder="1" applyAlignment="1">
      <alignment horizontal="right"/>
    </xf>
    <xf numFmtId="0" fontId="36" fillId="0" borderId="6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0" borderId="8" xfId="0" applyFont="1" applyBorder="1"/>
    <xf numFmtId="0" fontId="43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6" xfId="0" applyFont="1" applyBorder="1" applyAlignment="1">
      <alignment horizontal="right"/>
    </xf>
    <xf numFmtId="3" fontId="15" fillId="0" borderId="6" xfId="0" applyNumberFormat="1" applyFont="1" applyBorder="1" applyAlignment="1">
      <alignment horizontal="center"/>
    </xf>
    <xf numFmtId="1" fontId="24" fillId="0" borderId="6" xfId="0" applyNumberFormat="1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44" fillId="0" borderId="6" xfId="0" applyFont="1" applyBorder="1" applyAlignment="1">
      <alignment horizontal="center"/>
    </xf>
    <xf numFmtId="3" fontId="5" fillId="8" borderId="6" xfId="0" applyNumberFormat="1" applyFont="1" applyFill="1" applyBorder="1" applyAlignment="1">
      <alignment horizontal="right"/>
    </xf>
    <xf numFmtId="0" fontId="45" fillId="0" borderId="6" xfId="0" applyFont="1" applyBorder="1" applyAlignment="1">
      <alignment horizontal="center"/>
    </xf>
    <xf numFmtId="0" fontId="25" fillId="8" borderId="6" xfId="0" applyFont="1" applyFill="1" applyBorder="1" applyAlignment="1">
      <alignment horizontal="center"/>
    </xf>
    <xf numFmtId="0" fontId="46" fillId="0" borderId="6" xfId="0" applyFont="1" applyBorder="1" applyAlignment="1">
      <alignment horizontal="center"/>
    </xf>
    <xf numFmtId="0" fontId="14" fillId="2" borderId="0" xfId="0" applyFont="1" applyFill="1"/>
    <xf numFmtId="0" fontId="36" fillId="0" borderId="0" xfId="0" applyFont="1" applyAlignment="1">
      <alignment horizontal="center"/>
    </xf>
    <xf numFmtId="0" fontId="14" fillId="8" borderId="0" xfId="0" applyFont="1" applyFill="1" applyAlignment="1">
      <alignment horizontal="center"/>
    </xf>
    <xf numFmtId="0" fontId="24" fillId="0" borderId="5" xfId="0" applyFont="1" applyBorder="1" applyAlignment="1">
      <alignment horizontal="center"/>
    </xf>
    <xf numFmtId="0" fontId="47" fillId="0" borderId="0" xfId="0" applyFont="1"/>
    <xf numFmtId="0" fontId="5" fillId="8" borderId="6" xfId="0" applyFont="1" applyFill="1" applyBorder="1" applyAlignment="1">
      <alignment horizontal="center"/>
    </xf>
    <xf numFmtId="2" fontId="14" fillId="0" borderId="0" xfId="0" applyNumberFormat="1" applyFont="1" applyAlignment="1">
      <alignment horizontal="center"/>
    </xf>
    <xf numFmtId="3" fontId="48" fillId="0" borderId="0" xfId="0" applyNumberFormat="1" applyFont="1"/>
    <xf numFmtId="0" fontId="49" fillId="0" borderId="0" xfId="0" applyFont="1"/>
    <xf numFmtId="0" fontId="2" fillId="12" borderId="0" xfId="0" applyFont="1" applyFill="1"/>
    <xf numFmtId="176" fontId="6" fillId="6" borderId="3" xfId="0" applyNumberFormat="1" applyFont="1" applyFill="1" applyBorder="1" applyAlignment="1">
      <alignment horizontal="center" vertical="center"/>
    </xf>
    <xf numFmtId="177" fontId="6" fillId="6" borderId="3" xfId="0" applyNumberFormat="1" applyFont="1" applyFill="1" applyBorder="1" applyAlignment="1">
      <alignment horizontal="center" vertical="center"/>
    </xf>
    <xf numFmtId="177" fontId="18" fillId="6" borderId="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3" fontId="19" fillId="4" borderId="6" xfId="0" applyNumberFormat="1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23" fillId="13" borderId="0" xfId="0" applyFont="1" applyFill="1"/>
    <xf numFmtId="0" fontId="23" fillId="0" borderId="0" xfId="0" applyFont="1"/>
    <xf numFmtId="0" fontId="56" fillId="2" borderId="0" xfId="0" applyFont="1" applyFill="1" applyAlignment="1">
      <alignment horizontal="center"/>
    </xf>
    <xf numFmtId="3" fontId="59" fillId="0" borderId="6" xfId="0" applyNumberFormat="1" applyFont="1" applyBorder="1" applyAlignment="1">
      <alignment horizontal="center"/>
    </xf>
    <xf numFmtId="3" fontId="59" fillId="2" borderId="6" xfId="0" applyNumberFormat="1" applyFont="1" applyFill="1" applyBorder="1" applyAlignment="1">
      <alignment horizontal="center"/>
    </xf>
    <xf numFmtId="3" fontId="60" fillId="2" borderId="6" xfId="0" applyNumberFormat="1" applyFont="1" applyFill="1" applyBorder="1" applyAlignment="1">
      <alignment horizontal="center"/>
    </xf>
    <xf numFmtId="3" fontId="59" fillId="10" borderId="6" xfId="0" applyNumberFormat="1" applyFont="1" applyFill="1" applyBorder="1" applyAlignment="1">
      <alignment horizontal="center"/>
    </xf>
    <xf numFmtId="0" fontId="59" fillId="2" borderId="6" xfId="0" applyFont="1" applyFill="1" applyBorder="1" applyAlignment="1">
      <alignment horizontal="center"/>
    </xf>
    <xf numFmtId="0" fontId="59" fillId="10" borderId="6" xfId="0" applyFont="1" applyFill="1" applyBorder="1" applyAlignment="1">
      <alignment horizontal="center"/>
    </xf>
    <xf numFmtId="3" fontId="60" fillId="10" borderId="6" xfId="0" applyNumberFormat="1" applyFont="1" applyFill="1" applyBorder="1" applyAlignment="1">
      <alignment horizontal="center"/>
    </xf>
    <xf numFmtId="3" fontId="59" fillId="11" borderId="6" xfId="0" applyNumberFormat="1" applyFont="1" applyFill="1" applyBorder="1" applyAlignment="1">
      <alignment horizontal="center"/>
    </xf>
    <xf numFmtId="0" fontId="59" fillId="11" borderId="6" xfId="0" applyFont="1" applyFill="1" applyBorder="1" applyAlignment="1">
      <alignment horizontal="center"/>
    </xf>
    <xf numFmtId="0" fontId="59" fillId="0" borderId="6" xfId="0" applyFont="1" applyBorder="1" applyAlignment="1">
      <alignment horizontal="center"/>
    </xf>
    <xf numFmtId="0" fontId="62" fillId="0" borderId="0" xfId="0" applyFont="1"/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3" fontId="51" fillId="8" borderId="6" xfId="0" applyNumberFormat="1" applyFont="1" applyFill="1" applyBorder="1" applyAlignment="1">
      <alignment horizontal="center" vertical="center"/>
    </xf>
    <xf numFmtId="177" fontId="64" fillId="6" borderId="3" xfId="0" applyNumberFormat="1" applyFont="1" applyFill="1" applyBorder="1" applyAlignment="1">
      <alignment horizontal="center" vertical="center"/>
    </xf>
    <xf numFmtId="177" fontId="18" fillId="6" borderId="3" xfId="0" quotePrefix="1" applyNumberFormat="1" applyFont="1" applyFill="1" applyBorder="1" applyAlignment="1">
      <alignment horizontal="center" vertical="center"/>
    </xf>
    <xf numFmtId="0" fontId="65" fillId="14" borderId="10" xfId="0" applyFont="1" applyFill="1" applyBorder="1" applyAlignment="1">
      <alignment horizontal="center" vertical="top" wrapText="1"/>
    </xf>
    <xf numFmtId="0" fontId="65" fillId="0" borderId="0" xfId="0" applyFont="1" applyAlignment="1">
      <alignment horizontal="center" vertical="top" wrapText="1"/>
    </xf>
    <xf numFmtId="0" fontId="66" fillId="0" borderId="0" xfId="0" applyFont="1"/>
    <xf numFmtId="182" fontId="67" fillId="15" borderId="10" xfId="0" applyNumberFormat="1" applyFont="1" applyFill="1" applyBorder="1" applyAlignment="1">
      <alignment horizontal="right" vertical="top" wrapText="1"/>
    </xf>
    <xf numFmtId="182" fontId="67" fillId="15" borderId="10" xfId="1" applyNumberFormat="1" applyFont="1" applyFill="1" applyBorder="1" applyAlignment="1">
      <alignment horizontal="right" vertical="top" wrapText="1"/>
    </xf>
    <xf numFmtId="0" fontId="67" fillId="15" borderId="10" xfId="1" applyFont="1" applyFill="1" applyBorder="1" applyAlignment="1">
      <alignment vertical="top" wrapText="1"/>
    </xf>
    <xf numFmtId="183" fontId="67" fillId="15" borderId="10" xfId="1" applyNumberFormat="1" applyFont="1" applyFill="1" applyBorder="1" applyAlignment="1">
      <alignment horizontal="right" vertical="top" wrapText="1"/>
    </xf>
    <xf numFmtId="0" fontId="67" fillId="0" borderId="0" xfId="0" applyFont="1" applyAlignment="1">
      <alignment vertical="top" wrapText="1"/>
    </xf>
    <xf numFmtId="0" fontId="67" fillId="15" borderId="10" xfId="0" applyFont="1" applyFill="1" applyBorder="1" applyAlignment="1">
      <alignment vertical="top" wrapText="1"/>
    </xf>
    <xf numFmtId="183" fontId="67" fillId="15" borderId="10" xfId="0" applyNumberFormat="1" applyFont="1" applyFill="1" applyBorder="1" applyAlignment="1">
      <alignment horizontal="right" vertical="top" wrapText="1"/>
    </xf>
    <xf numFmtId="182" fontId="67" fillId="16" borderId="10" xfId="0" applyNumberFormat="1" applyFont="1" applyFill="1" applyBorder="1" applyAlignment="1">
      <alignment horizontal="right" vertical="top" wrapText="1"/>
    </xf>
    <xf numFmtId="182" fontId="67" fillId="16" borderId="10" xfId="0" applyNumberFormat="1" applyFont="1" applyFill="1" applyBorder="1" applyAlignment="1">
      <alignment horizontal="left" vertical="top" wrapText="1"/>
    </xf>
    <xf numFmtId="0" fontId="66" fillId="16" borderId="0" xfId="0" applyFont="1" applyFill="1"/>
    <xf numFmtId="0" fontId="66" fillId="16" borderId="0" xfId="0" applyFont="1" applyFill="1" applyAlignment="1">
      <alignment horizontal="left"/>
    </xf>
    <xf numFmtId="0" fontId="68" fillId="16" borderId="10" xfId="0" applyFont="1" applyFill="1" applyBorder="1" applyAlignment="1">
      <alignment horizontal="center" vertical="top" wrapText="1"/>
    </xf>
    <xf numFmtId="0" fontId="70" fillId="0" borderId="7" xfId="0" applyFont="1" applyBorder="1"/>
    <xf numFmtId="0" fontId="70" fillId="10" borderId="7" xfId="0" applyFont="1" applyFill="1" applyBorder="1"/>
    <xf numFmtId="0" fontId="66" fillId="0" borderId="7" xfId="0" applyFont="1" applyBorder="1"/>
    <xf numFmtId="0" fontId="66" fillId="10" borderId="7" xfId="0" applyFont="1" applyFill="1" applyBorder="1"/>
    <xf numFmtId="0" fontId="70" fillId="0" borderId="6" xfId="0" applyFont="1" applyBorder="1"/>
    <xf numFmtId="0" fontId="66" fillId="0" borderId="6" xfId="0" applyFont="1" applyBorder="1"/>
    <xf numFmtId="0" fontId="76" fillId="14" borderId="11" xfId="0" applyFont="1" applyFill="1" applyBorder="1" applyAlignment="1">
      <alignment horizontal="center" vertical="center" wrapText="1"/>
    </xf>
    <xf numFmtId="182" fontId="79" fillId="15" borderId="10" xfId="0" applyNumberFormat="1" applyFont="1" applyFill="1" applyBorder="1" applyAlignment="1">
      <alignment horizontal="right" vertical="top" wrapText="1"/>
    </xf>
    <xf numFmtId="0" fontId="80" fillId="15" borderId="10" xfId="0" applyFont="1" applyFill="1" applyBorder="1" applyAlignment="1">
      <alignment vertical="top" wrapText="1"/>
    </xf>
    <xf numFmtId="0" fontId="79" fillId="15" borderId="10" xfId="0" applyFont="1" applyFill="1" applyBorder="1" applyAlignment="1">
      <alignment vertical="top" wrapText="1"/>
    </xf>
    <xf numFmtId="183" fontId="79" fillId="15" borderId="10" xfId="0" applyNumberFormat="1" applyFont="1" applyFill="1" applyBorder="1" applyAlignment="1">
      <alignment horizontal="right" vertical="top" wrapText="1"/>
    </xf>
    <xf numFmtId="3" fontId="81" fillId="0" borderId="6" xfId="0" applyNumberFormat="1" applyFont="1" applyBorder="1" applyAlignment="1">
      <alignment horizontal="center"/>
    </xf>
    <xf numFmtId="0" fontId="11" fillId="17" borderId="6" xfId="0" applyFont="1" applyFill="1" applyBorder="1"/>
    <xf numFmtId="0" fontId="66" fillId="17" borderId="6" xfId="0" applyFont="1" applyFill="1" applyBorder="1"/>
    <xf numFmtId="0" fontId="37" fillId="17" borderId="6" xfId="0" applyFont="1" applyFill="1" applyBorder="1" applyAlignment="1">
      <alignment horizontal="center"/>
    </xf>
    <xf numFmtId="0" fontId="38" fillId="17" borderId="6" xfId="0" applyFont="1" applyFill="1" applyBorder="1"/>
    <xf numFmtId="3" fontId="39" fillId="17" borderId="6" xfId="0" applyNumberFormat="1" applyFont="1" applyFill="1" applyBorder="1"/>
    <xf numFmtId="0" fontId="40" fillId="17" borderId="6" xfId="0" applyFont="1" applyFill="1" applyBorder="1"/>
    <xf numFmtId="0" fontId="41" fillId="17" borderId="6" xfId="0" applyFont="1" applyFill="1" applyBorder="1"/>
    <xf numFmtId="3" fontId="81" fillId="18" borderId="6" xfId="0" applyNumberFormat="1" applyFont="1" applyFill="1" applyBorder="1" applyAlignment="1">
      <alignment horizontal="center"/>
    </xf>
    <xf numFmtId="0" fontId="61" fillId="17" borderId="6" xfId="0" applyFont="1" applyFill="1" applyBorder="1"/>
    <xf numFmtId="0" fontId="14" fillId="18" borderId="0" xfId="0" applyFont="1" applyFill="1"/>
    <xf numFmtId="1" fontId="14" fillId="18" borderId="0" xfId="0" applyNumberFormat="1" applyFont="1" applyFill="1"/>
    <xf numFmtId="0" fontId="0" fillId="18" borderId="0" xfId="0" applyFill="1"/>
    <xf numFmtId="0" fontId="14" fillId="17" borderId="6" xfId="0" applyFont="1" applyFill="1" applyBorder="1"/>
    <xf numFmtId="0" fontId="22" fillId="17" borderId="6" xfId="0" applyFont="1" applyFill="1" applyBorder="1" applyAlignment="1">
      <alignment horizontal="center"/>
    </xf>
    <xf numFmtId="0" fontId="23" fillId="17" borderId="6" xfId="0" applyFont="1" applyFill="1" applyBorder="1" applyAlignment="1">
      <alignment horizontal="center"/>
    </xf>
    <xf numFmtId="3" fontId="15" fillId="17" borderId="6" xfId="0" applyNumberFormat="1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24" fillId="17" borderId="6" xfId="0" applyFont="1" applyFill="1" applyBorder="1" applyAlignment="1">
      <alignment horizontal="center"/>
    </xf>
    <xf numFmtId="0" fontId="59" fillId="17" borderId="6" xfId="0" applyFont="1" applyFill="1" applyBorder="1" applyAlignment="1">
      <alignment horizontal="center"/>
    </xf>
    <xf numFmtId="0" fontId="11" fillId="19" borderId="6" xfId="0" applyFont="1" applyFill="1" applyBorder="1"/>
    <xf numFmtId="0" fontId="66" fillId="19" borderId="6" xfId="0" applyFont="1" applyFill="1" applyBorder="1"/>
    <xf numFmtId="0" fontId="37" fillId="19" borderId="6" xfId="0" applyFont="1" applyFill="1" applyBorder="1" applyAlignment="1">
      <alignment horizontal="center"/>
    </xf>
    <xf numFmtId="0" fontId="38" fillId="19" borderId="6" xfId="0" applyFont="1" applyFill="1" applyBorder="1"/>
    <xf numFmtId="3" fontId="39" fillId="19" borderId="6" xfId="0" applyNumberFormat="1" applyFont="1" applyFill="1" applyBorder="1"/>
    <xf numFmtId="0" fontId="41" fillId="19" borderId="6" xfId="0" applyFont="1" applyFill="1" applyBorder="1"/>
    <xf numFmtId="3" fontId="81" fillId="20" borderId="6" xfId="0" applyNumberFormat="1" applyFont="1" applyFill="1" applyBorder="1" applyAlignment="1">
      <alignment horizontal="center"/>
    </xf>
    <xf numFmtId="0" fontId="61" fillId="19" borderId="6" xfId="0" applyFont="1" applyFill="1" applyBorder="1"/>
    <xf numFmtId="0" fontId="14" fillId="20" borderId="0" xfId="0" applyFont="1" applyFill="1"/>
    <xf numFmtId="1" fontId="14" fillId="20" borderId="0" xfId="0" applyNumberFormat="1" applyFont="1" applyFill="1"/>
    <xf numFmtId="0" fontId="0" fillId="20" borderId="0" xfId="0" applyFill="1"/>
    <xf numFmtId="0" fontId="14" fillId="19" borderId="6" xfId="0" applyFont="1" applyFill="1" applyBorder="1"/>
    <xf numFmtId="0" fontId="22" fillId="19" borderId="6" xfId="0" applyFont="1" applyFill="1" applyBorder="1" applyAlignment="1">
      <alignment horizontal="center"/>
    </xf>
    <xf numFmtId="0" fontId="23" fillId="19" borderId="6" xfId="0" applyFont="1" applyFill="1" applyBorder="1" applyAlignment="1">
      <alignment horizontal="center"/>
    </xf>
    <xf numFmtId="3" fontId="15" fillId="19" borderId="6" xfId="0" applyNumberFormat="1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21" borderId="0" xfId="0" applyFont="1" applyFill="1"/>
    <xf numFmtId="0" fontId="70" fillId="21" borderId="6" xfId="0" applyFont="1" applyFill="1" applyBorder="1"/>
    <xf numFmtId="3" fontId="0" fillId="0" borderId="0" xfId="0" applyNumberFormat="1"/>
    <xf numFmtId="0" fontId="37" fillId="0" borderId="6" xfId="0" applyFont="1" applyBorder="1" applyAlignment="1">
      <alignment horizontal="center"/>
    </xf>
    <xf numFmtId="0" fontId="38" fillId="0" borderId="6" xfId="0" applyFont="1" applyBorder="1"/>
    <xf numFmtId="3" fontId="39" fillId="0" borderId="6" xfId="0" applyNumberFormat="1" applyFont="1" applyBorder="1"/>
    <xf numFmtId="0" fontId="41" fillId="0" borderId="6" xfId="0" applyFont="1" applyBorder="1"/>
    <xf numFmtId="0" fontId="61" fillId="0" borderId="6" xfId="0" applyFont="1" applyBorder="1"/>
    <xf numFmtId="0" fontId="70" fillId="0" borderId="0" xfId="0" applyFont="1"/>
    <xf numFmtId="0" fontId="66" fillId="24" borderId="7" xfId="0" applyFont="1" applyFill="1" applyBorder="1"/>
    <xf numFmtId="0" fontId="83" fillId="6" borderId="6" xfId="0" applyFont="1" applyFill="1" applyBorder="1" applyAlignment="1">
      <alignment horizontal="center" vertical="center"/>
    </xf>
    <xf numFmtId="3" fontId="19" fillId="4" borderId="6" xfId="0" applyNumberFormat="1" applyFont="1" applyFill="1" applyBorder="1" applyAlignment="1">
      <alignment horizontal="center" vertical="center" wrapText="1"/>
    </xf>
    <xf numFmtId="0" fontId="84" fillId="0" borderId="16" xfId="0" applyFont="1" applyBorder="1" applyAlignment="1">
      <alignment horizontal="center" vertical="center" wrapText="1"/>
    </xf>
    <xf numFmtId="0" fontId="84" fillId="16" borderId="16" xfId="0" applyFont="1" applyFill="1" applyBorder="1" applyAlignment="1">
      <alignment horizontal="center" vertical="center" wrapText="1"/>
    </xf>
    <xf numFmtId="0" fontId="14" fillId="16" borderId="6" xfId="0" applyFont="1" applyFill="1" applyBorder="1"/>
    <xf numFmtId="0" fontId="84" fillId="16" borderId="17" xfId="0" applyFont="1" applyFill="1" applyBorder="1" applyAlignment="1">
      <alignment vertical="center" wrapText="1"/>
    </xf>
    <xf numFmtId="0" fontId="85" fillId="16" borderId="18" xfId="0" applyFont="1" applyFill="1" applyBorder="1" applyAlignment="1">
      <alignment vertical="center" wrapText="1"/>
    </xf>
    <xf numFmtId="0" fontId="86" fillId="16" borderId="19" xfId="0" applyFont="1" applyFill="1" applyBorder="1" applyAlignment="1">
      <alignment vertical="center" wrapText="1"/>
    </xf>
    <xf numFmtId="0" fontId="84" fillId="16" borderId="18" xfId="0" applyFont="1" applyFill="1" applyBorder="1" applyAlignment="1">
      <alignment vertical="center" wrapText="1"/>
    </xf>
    <xf numFmtId="0" fontId="88" fillId="0" borderId="0" xfId="0" applyFont="1" applyAlignment="1">
      <alignment horizontal="center"/>
    </xf>
    <xf numFmtId="0" fontId="63" fillId="0" borderId="6" xfId="0" applyFont="1" applyBorder="1" applyAlignment="1">
      <alignment horizontal="center"/>
    </xf>
    <xf numFmtId="3" fontId="89" fillId="22" borderId="6" xfId="0" applyNumberFormat="1" applyFont="1" applyFill="1" applyBorder="1" applyAlignment="1">
      <alignment horizontal="center"/>
    </xf>
    <xf numFmtId="1" fontId="66" fillId="0" borderId="6" xfId="0" applyNumberFormat="1" applyFont="1" applyBorder="1" applyAlignment="1">
      <alignment horizontal="center"/>
    </xf>
    <xf numFmtId="0" fontId="90" fillId="0" borderId="6" xfId="0" applyFont="1" applyBorder="1" applyAlignment="1">
      <alignment horizontal="center"/>
    </xf>
    <xf numFmtId="178" fontId="90" fillId="0" borderId="6" xfId="0" applyNumberFormat="1" applyFont="1" applyBorder="1" applyAlignment="1">
      <alignment horizontal="center"/>
    </xf>
    <xf numFmtId="3" fontId="90" fillId="0" borderId="6" xfId="0" applyNumberFormat="1" applyFont="1" applyBorder="1" applyAlignment="1">
      <alignment horizontal="center"/>
    </xf>
    <xf numFmtId="3" fontId="66" fillId="0" borderId="6" xfId="0" applyNumberFormat="1" applyFont="1" applyBorder="1" applyAlignment="1">
      <alignment horizontal="center"/>
    </xf>
    <xf numFmtId="179" fontId="66" fillId="0" borderId="6" xfId="0" applyNumberFormat="1" applyFont="1" applyBorder="1" applyAlignment="1">
      <alignment horizontal="center"/>
    </xf>
    <xf numFmtId="3" fontId="91" fillId="0" borderId="6" xfId="0" applyNumberFormat="1" applyFont="1" applyBorder="1" applyAlignment="1">
      <alignment horizontal="center"/>
    </xf>
    <xf numFmtId="3" fontId="88" fillId="0" borderId="6" xfId="0" applyNumberFormat="1" applyFont="1" applyBorder="1" applyAlignment="1">
      <alignment horizontal="center"/>
    </xf>
    <xf numFmtId="3" fontId="92" fillId="0" borderId="6" xfId="0" applyNumberFormat="1" applyFont="1" applyBorder="1" applyAlignment="1">
      <alignment horizontal="center"/>
    </xf>
    <xf numFmtId="3" fontId="93" fillId="0" borderId="6" xfId="0" applyNumberFormat="1" applyFont="1" applyBorder="1" applyAlignment="1">
      <alignment horizontal="center"/>
    </xf>
    <xf numFmtId="3" fontId="66" fillId="8" borderId="6" xfId="0" applyNumberFormat="1" applyFont="1" applyFill="1" applyBorder="1" applyAlignment="1">
      <alignment horizontal="center"/>
    </xf>
    <xf numFmtId="3" fontId="94" fillId="8" borderId="7" xfId="0" applyNumberFormat="1" applyFont="1" applyFill="1" applyBorder="1" applyAlignment="1">
      <alignment horizontal="center"/>
    </xf>
    <xf numFmtId="4" fontId="66" fillId="0" borderId="6" xfId="0" applyNumberFormat="1" applyFont="1" applyBorder="1"/>
    <xf numFmtId="1" fontId="66" fillId="0" borderId="0" xfId="0" applyNumberFormat="1" applyFont="1"/>
    <xf numFmtId="3" fontId="96" fillId="0" borderId="6" xfId="0" applyNumberFormat="1" applyFont="1" applyBorder="1" applyAlignment="1">
      <alignment horizontal="center"/>
    </xf>
    <xf numFmtId="3" fontId="93" fillId="2" borderId="6" xfId="0" applyNumberFormat="1" applyFont="1" applyFill="1" applyBorder="1" applyAlignment="1">
      <alignment horizontal="center"/>
    </xf>
    <xf numFmtId="3" fontId="91" fillId="2" borderId="6" xfId="0" applyNumberFormat="1" applyFont="1" applyFill="1" applyBorder="1" applyAlignment="1">
      <alignment horizontal="center"/>
    </xf>
    <xf numFmtId="3" fontId="92" fillId="2" borderId="6" xfId="0" applyNumberFormat="1" applyFont="1" applyFill="1" applyBorder="1" applyAlignment="1">
      <alignment horizontal="center"/>
    </xf>
    <xf numFmtId="3" fontId="66" fillId="8" borderId="8" xfId="0" applyNumberFormat="1" applyFont="1" applyFill="1" applyBorder="1" applyAlignment="1">
      <alignment horizontal="center" wrapText="1"/>
    </xf>
    <xf numFmtId="3" fontId="66" fillId="8" borderId="8" xfId="0" applyNumberFormat="1" applyFont="1" applyFill="1" applyBorder="1" applyAlignment="1">
      <alignment horizontal="center"/>
    </xf>
    <xf numFmtId="1" fontId="97" fillId="0" borderId="6" xfId="0" applyNumberFormat="1" applyFont="1" applyBorder="1" applyAlignment="1">
      <alignment horizontal="center"/>
    </xf>
    <xf numFmtId="2" fontId="90" fillId="0" borderId="6" xfId="0" applyNumberFormat="1" applyFont="1" applyBorder="1" applyAlignment="1">
      <alignment horizontal="center"/>
    </xf>
    <xf numFmtId="0" fontId="97" fillId="0" borderId="6" xfId="0" applyFont="1" applyBorder="1"/>
    <xf numFmtId="4" fontId="97" fillId="0" borderId="6" xfId="0" applyNumberFormat="1" applyFont="1" applyBorder="1" applyAlignment="1">
      <alignment horizontal="right"/>
    </xf>
    <xf numFmtId="3" fontId="66" fillId="8" borderId="6" xfId="0" applyNumberFormat="1" applyFont="1" applyFill="1" applyBorder="1" applyAlignment="1">
      <alignment horizontal="center" wrapText="1"/>
    </xf>
    <xf numFmtId="3" fontId="89" fillId="23" borderId="6" xfId="0" applyNumberFormat="1" applyFont="1" applyFill="1" applyBorder="1" applyAlignment="1">
      <alignment horizontal="center"/>
    </xf>
    <xf numFmtId="3" fontId="94" fillId="0" borderId="7" xfId="0" applyNumberFormat="1" applyFont="1" applyBorder="1" applyAlignment="1">
      <alignment horizontal="center"/>
    </xf>
    <xf numFmtId="3" fontId="99" fillId="22" borderId="6" xfId="0" applyNumberFormat="1" applyFont="1" applyFill="1" applyBorder="1" applyAlignment="1">
      <alignment horizontal="center"/>
    </xf>
    <xf numFmtId="0" fontId="100" fillId="0" borderId="0" xfId="0" applyFont="1" applyAlignment="1">
      <alignment horizontal="center"/>
    </xf>
    <xf numFmtId="0" fontId="66" fillId="16" borderId="15" xfId="0" applyFont="1" applyFill="1" applyBorder="1" applyAlignment="1">
      <alignment vertical="center" wrapText="1"/>
    </xf>
    <xf numFmtId="0" fontId="66" fillId="16" borderId="16" xfId="0" applyFont="1" applyFill="1" applyBorder="1" applyAlignment="1">
      <alignment horizontal="center" vertical="center" wrapText="1"/>
    </xf>
    <xf numFmtId="0" fontId="70" fillId="16" borderId="20" xfId="0" applyFont="1" applyFill="1" applyBorder="1" applyAlignment="1">
      <alignment vertical="center" wrapText="1"/>
    </xf>
    <xf numFmtId="0" fontId="100" fillId="16" borderId="21" xfId="0" applyFont="1" applyFill="1" applyBorder="1" applyAlignment="1">
      <alignment horizontal="center" vertical="center" wrapText="1"/>
    </xf>
    <xf numFmtId="0" fontId="63" fillId="16" borderId="17" xfId="0" applyFont="1" applyFill="1" applyBorder="1" applyAlignment="1">
      <alignment horizontal="center" vertical="center" wrapText="1"/>
    </xf>
    <xf numFmtId="179" fontId="99" fillId="26" borderId="6" xfId="0" applyNumberFormat="1" applyFont="1" applyFill="1" applyBorder="1" applyAlignment="1">
      <alignment horizontal="center"/>
    </xf>
    <xf numFmtId="3" fontId="99" fillId="26" borderId="6" xfId="0" applyNumberFormat="1" applyFont="1" applyFill="1" applyBorder="1" applyAlignment="1">
      <alignment horizontal="center"/>
    </xf>
    <xf numFmtId="1" fontId="66" fillId="16" borderId="6" xfId="0" applyNumberFormat="1" applyFont="1" applyFill="1" applyBorder="1" applyAlignment="1">
      <alignment horizontal="center"/>
    </xf>
    <xf numFmtId="0" fontId="90" fillId="16" borderId="6" xfId="0" applyFont="1" applyFill="1" applyBorder="1" applyAlignment="1">
      <alignment horizontal="center"/>
    </xf>
    <xf numFmtId="178" fontId="90" fillId="16" borderId="6" xfId="0" applyNumberFormat="1" applyFont="1" applyFill="1" applyBorder="1" applyAlignment="1">
      <alignment horizontal="center"/>
    </xf>
    <xf numFmtId="3" fontId="90" fillId="16" borderId="6" xfId="0" applyNumberFormat="1" applyFont="1" applyFill="1" applyBorder="1" applyAlignment="1">
      <alignment horizontal="center"/>
    </xf>
    <xf numFmtId="3" fontId="66" fillId="16" borderId="6" xfId="0" applyNumberFormat="1" applyFont="1" applyFill="1" applyBorder="1" applyAlignment="1">
      <alignment horizontal="center"/>
    </xf>
    <xf numFmtId="179" fontId="66" fillId="16" borderId="6" xfId="0" applyNumberFormat="1" applyFont="1" applyFill="1" applyBorder="1" applyAlignment="1">
      <alignment horizontal="center"/>
    </xf>
    <xf numFmtId="3" fontId="91" fillId="16" borderId="6" xfId="0" applyNumberFormat="1" applyFont="1" applyFill="1" applyBorder="1" applyAlignment="1">
      <alignment horizontal="center"/>
    </xf>
    <xf numFmtId="3" fontId="92" fillId="16" borderId="6" xfId="0" applyNumberFormat="1" applyFont="1" applyFill="1" applyBorder="1" applyAlignment="1">
      <alignment horizontal="center"/>
    </xf>
    <xf numFmtId="3" fontId="88" fillId="16" borderId="6" xfId="0" applyNumberFormat="1" applyFont="1" applyFill="1" applyBorder="1" applyAlignment="1">
      <alignment horizontal="center"/>
    </xf>
    <xf numFmtId="3" fontId="93" fillId="27" borderId="6" xfId="0" applyNumberFormat="1" applyFont="1" applyFill="1" applyBorder="1" applyAlignment="1">
      <alignment horizontal="center"/>
    </xf>
    <xf numFmtId="3" fontId="66" fillId="28" borderId="8" xfId="0" applyNumberFormat="1" applyFont="1" applyFill="1" applyBorder="1" applyAlignment="1">
      <alignment horizontal="center" wrapText="1"/>
    </xf>
    <xf numFmtId="3" fontId="94" fillId="28" borderId="7" xfId="0" applyNumberFormat="1" applyFont="1" applyFill="1" applyBorder="1" applyAlignment="1">
      <alignment horizontal="center"/>
    </xf>
    <xf numFmtId="0" fontId="66" fillId="16" borderId="6" xfId="0" applyFont="1" applyFill="1" applyBorder="1"/>
    <xf numFmtId="4" fontId="66" fillId="16" borderId="6" xfId="0" applyNumberFormat="1" applyFont="1" applyFill="1" applyBorder="1"/>
    <xf numFmtId="1" fontId="66" fillId="16" borderId="0" xfId="0" applyNumberFormat="1" applyFont="1" applyFill="1"/>
    <xf numFmtId="1" fontId="94" fillId="0" borderId="6" xfId="0" applyNumberFormat="1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178" fontId="94" fillId="0" borderId="6" xfId="0" applyNumberFormat="1" applyFont="1" applyBorder="1" applyAlignment="1">
      <alignment horizontal="center"/>
    </xf>
    <xf numFmtId="3" fontId="94" fillId="0" borderId="6" xfId="0" applyNumberFormat="1" applyFont="1" applyBorder="1" applyAlignment="1">
      <alignment horizontal="center"/>
    </xf>
    <xf numFmtId="0" fontId="94" fillId="0" borderId="6" xfId="0" applyFont="1" applyBorder="1"/>
    <xf numFmtId="4" fontId="94" fillId="0" borderId="6" xfId="0" applyNumberFormat="1" applyFont="1" applyBorder="1"/>
    <xf numFmtId="0" fontId="93" fillId="2" borderId="6" xfId="0" applyFont="1" applyFill="1" applyBorder="1" applyAlignment="1">
      <alignment horizontal="center"/>
    </xf>
    <xf numFmtId="0" fontId="93" fillId="0" borderId="6" xfId="0" applyFont="1" applyBorder="1" applyAlignment="1">
      <alignment horizontal="center"/>
    </xf>
    <xf numFmtId="181" fontId="90" fillId="0" borderId="6" xfId="0" applyNumberFormat="1" applyFont="1" applyBorder="1" applyAlignment="1">
      <alignment horizontal="center"/>
    </xf>
    <xf numFmtId="1" fontId="97" fillId="0" borderId="6" xfId="0" applyNumberFormat="1" applyFont="1" applyBorder="1"/>
    <xf numFmtId="3" fontId="98" fillId="8" borderId="6" xfId="0" applyNumberFormat="1" applyFont="1" applyFill="1" applyBorder="1" applyAlignment="1">
      <alignment horizontal="center"/>
    </xf>
    <xf numFmtId="3" fontId="94" fillId="8" borderId="6" xfId="0" applyNumberFormat="1" applyFont="1" applyFill="1" applyBorder="1" applyAlignment="1">
      <alignment horizontal="center"/>
    </xf>
    <xf numFmtId="0" fontId="66" fillId="0" borderId="9" xfId="0" applyFont="1" applyBorder="1"/>
    <xf numFmtId="0" fontId="66" fillId="24" borderId="6" xfId="0" applyFont="1" applyFill="1" applyBorder="1"/>
    <xf numFmtId="0" fontId="66" fillId="24" borderId="0" xfId="0" applyFont="1" applyFill="1"/>
    <xf numFmtId="3" fontId="66" fillId="24" borderId="6" xfId="0" applyNumberFormat="1" applyFont="1" applyFill="1" applyBorder="1" applyAlignment="1">
      <alignment horizontal="center"/>
    </xf>
    <xf numFmtId="0" fontId="63" fillId="24" borderId="6" xfId="0" applyFont="1" applyFill="1" applyBorder="1" applyAlignment="1">
      <alignment horizontal="center"/>
    </xf>
    <xf numFmtId="3" fontId="89" fillId="25" borderId="6" xfId="0" applyNumberFormat="1" applyFont="1" applyFill="1" applyBorder="1" applyAlignment="1">
      <alignment horizontal="center"/>
    </xf>
    <xf numFmtId="1" fontId="101" fillId="24" borderId="6" xfId="0" applyNumberFormat="1" applyFont="1" applyFill="1" applyBorder="1" applyAlignment="1">
      <alignment horizontal="center"/>
    </xf>
    <xf numFmtId="2" fontId="101" fillId="24" borderId="6" xfId="0" applyNumberFormat="1" applyFont="1" applyFill="1" applyBorder="1" applyAlignment="1">
      <alignment horizontal="center"/>
    </xf>
    <xf numFmtId="0" fontId="101" fillId="24" borderId="6" xfId="0" applyFont="1" applyFill="1" applyBorder="1" applyAlignment="1">
      <alignment horizontal="center"/>
    </xf>
    <xf numFmtId="178" fontId="101" fillId="24" borderId="6" xfId="0" applyNumberFormat="1" applyFont="1" applyFill="1" applyBorder="1" applyAlignment="1">
      <alignment horizontal="center"/>
    </xf>
    <xf numFmtId="3" fontId="101" fillId="24" borderId="6" xfId="0" applyNumberFormat="1" applyFont="1" applyFill="1" applyBorder="1" applyAlignment="1">
      <alignment horizontal="center"/>
    </xf>
    <xf numFmtId="179" fontId="66" fillId="24" borderId="6" xfId="0" applyNumberFormat="1" applyFont="1" applyFill="1" applyBorder="1" applyAlignment="1">
      <alignment horizontal="center"/>
    </xf>
    <xf numFmtId="3" fontId="90" fillId="24" borderId="6" xfId="0" applyNumberFormat="1" applyFont="1" applyFill="1" applyBorder="1" applyAlignment="1">
      <alignment horizontal="center"/>
    </xf>
    <xf numFmtId="3" fontId="91" fillId="24" borderId="6" xfId="0" applyNumberFormat="1" applyFont="1" applyFill="1" applyBorder="1" applyAlignment="1">
      <alignment horizontal="center"/>
    </xf>
    <xf numFmtId="1" fontId="97" fillId="24" borderId="6" xfId="0" applyNumberFormat="1" applyFont="1" applyFill="1" applyBorder="1"/>
    <xf numFmtId="3" fontId="92" fillId="24" borderId="6" xfId="0" applyNumberFormat="1" applyFont="1" applyFill="1" applyBorder="1" applyAlignment="1">
      <alignment horizontal="center"/>
    </xf>
    <xf numFmtId="3" fontId="88" fillId="24" borderId="6" xfId="0" applyNumberFormat="1" applyFont="1" applyFill="1" applyBorder="1" applyAlignment="1">
      <alignment horizontal="center"/>
    </xf>
    <xf numFmtId="3" fontId="93" fillId="24" borderId="6" xfId="0" applyNumberFormat="1" applyFont="1" applyFill="1" applyBorder="1" applyAlignment="1">
      <alignment horizontal="center"/>
    </xf>
    <xf numFmtId="3" fontId="97" fillId="0" borderId="6" xfId="0" applyNumberFormat="1" applyFont="1" applyBorder="1" applyAlignment="1">
      <alignment horizontal="center"/>
    </xf>
    <xf numFmtId="0" fontId="49" fillId="0" borderId="6" xfId="0" applyFont="1" applyBorder="1" applyAlignment="1">
      <alignment horizontal="center"/>
    </xf>
    <xf numFmtId="0" fontId="66" fillId="0" borderId="6" xfId="0" applyFont="1" applyBorder="1" applyAlignment="1">
      <alignment horizontal="center"/>
    </xf>
    <xf numFmtId="0" fontId="66" fillId="0" borderId="8" xfId="0" applyFont="1" applyBorder="1"/>
    <xf numFmtId="0" fontId="100" fillId="0" borderId="6" xfId="0" applyFont="1" applyBorder="1" applyAlignment="1">
      <alignment horizontal="center"/>
    </xf>
    <xf numFmtId="2" fontId="66" fillId="0" borderId="6" xfId="0" applyNumberFormat="1" applyFont="1" applyBorder="1" applyAlignment="1">
      <alignment horizontal="center"/>
    </xf>
    <xf numFmtId="1" fontId="91" fillId="0" borderId="6" xfId="0" applyNumberFormat="1" applyFont="1" applyBorder="1" applyAlignment="1">
      <alignment horizontal="center"/>
    </xf>
    <xf numFmtId="1" fontId="91" fillId="0" borderId="6" xfId="0" applyNumberFormat="1" applyFont="1" applyBorder="1"/>
    <xf numFmtId="0" fontId="66" fillId="0" borderId="6" xfId="0" applyFont="1" applyBorder="1" applyAlignment="1">
      <alignment horizontal="right"/>
    </xf>
    <xf numFmtId="0" fontId="66" fillId="29" borderId="19" xfId="0" applyFont="1" applyFill="1" applyBorder="1" applyAlignment="1">
      <alignment vertical="center" wrapText="1"/>
    </xf>
    <xf numFmtId="178" fontId="66" fillId="0" borderId="6" xfId="0" applyNumberFormat="1" applyFont="1" applyBorder="1" applyAlignment="1">
      <alignment horizontal="center"/>
    </xf>
    <xf numFmtId="0" fontId="90" fillId="0" borderId="0" xfId="0" applyFont="1" applyAlignment="1">
      <alignment horizontal="center"/>
    </xf>
    <xf numFmtId="0" fontId="97" fillId="0" borderId="16" xfId="0" applyFont="1" applyBorder="1" applyAlignment="1">
      <alignment horizontal="center" wrapText="1"/>
    </xf>
    <xf numFmtId="0" fontId="103" fillId="0" borderId="19" xfId="0" applyFont="1" applyBorder="1" applyAlignment="1">
      <alignment vertical="center" wrapText="1"/>
    </xf>
    <xf numFmtId="1" fontId="90" fillId="0" borderId="6" xfId="0" applyNumberFormat="1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3" fontId="91" fillId="0" borderId="6" xfId="0" applyNumberFormat="1" applyFont="1" applyBorder="1"/>
    <xf numFmtId="0" fontId="104" fillId="0" borderId="6" xfId="0" applyFont="1" applyBorder="1" applyAlignment="1">
      <alignment horizontal="center"/>
    </xf>
    <xf numFmtId="3" fontId="98" fillId="0" borderId="6" xfId="0" applyNumberFormat="1" applyFont="1" applyBorder="1" applyAlignment="1">
      <alignment horizontal="right"/>
    </xf>
    <xf numFmtId="0" fontId="100" fillId="0" borderId="15" xfId="0" applyFont="1" applyBorder="1" applyAlignment="1">
      <alignment horizontal="center" vertical="center" wrapText="1"/>
    </xf>
    <xf numFmtId="0" fontId="63" fillId="0" borderId="17" xfId="0" applyFont="1" applyBorder="1" applyAlignment="1">
      <alignment horizontal="center" vertical="center" wrapText="1"/>
    </xf>
    <xf numFmtId="0" fontId="100" fillId="0" borderId="18" xfId="0" applyFont="1" applyBorder="1" applyAlignment="1">
      <alignment horizontal="center" vertical="center" wrapText="1"/>
    </xf>
    <xf numFmtId="0" fontId="63" fillId="0" borderId="19" xfId="0" applyFont="1" applyBorder="1" applyAlignment="1">
      <alignment horizontal="center" vertical="center" wrapText="1"/>
    </xf>
    <xf numFmtId="0" fontId="66" fillId="30" borderId="23" xfId="0" applyFont="1" applyFill="1" applyBorder="1" applyAlignment="1">
      <alignment wrapText="1"/>
    </xf>
    <xf numFmtId="0" fontId="93" fillId="0" borderId="0" xfId="0" applyFont="1"/>
    <xf numFmtId="0" fontId="66" fillId="0" borderId="24" xfId="0" applyFont="1" applyBorder="1" applyAlignment="1">
      <alignment wrapText="1"/>
    </xf>
    <xf numFmtId="0" fontId="88" fillId="0" borderId="6" xfId="0" applyFont="1" applyBorder="1" applyAlignment="1">
      <alignment horizontal="center"/>
    </xf>
    <xf numFmtId="0" fontId="66" fillId="16" borderId="18" xfId="0" applyFont="1" applyFill="1" applyBorder="1" applyAlignment="1">
      <alignment vertical="center" wrapText="1"/>
    </xf>
    <xf numFmtId="0" fontId="66" fillId="16" borderId="17" xfId="0" applyFont="1" applyFill="1" applyBorder="1" applyAlignment="1">
      <alignment vertical="center" wrapText="1"/>
    </xf>
    <xf numFmtId="0" fontId="100" fillId="16" borderId="6" xfId="0" applyFont="1" applyFill="1" applyBorder="1" applyAlignment="1">
      <alignment horizontal="center"/>
    </xf>
    <xf numFmtId="0" fontId="63" fillId="16" borderId="6" xfId="0" applyFont="1" applyFill="1" applyBorder="1" applyAlignment="1">
      <alignment horizontal="center"/>
    </xf>
    <xf numFmtId="3" fontId="89" fillId="16" borderId="6" xfId="0" applyNumberFormat="1" applyFont="1" applyFill="1" applyBorder="1" applyAlignment="1">
      <alignment horizontal="center"/>
    </xf>
    <xf numFmtId="0" fontId="66" fillId="16" borderId="6" xfId="0" applyFont="1" applyFill="1" applyBorder="1" applyAlignment="1">
      <alignment horizontal="center"/>
    </xf>
    <xf numFmtId="2" fontId="66" fillId="16" borderId="6" xfId="0" applyNumberFormat="1" applyFont="1" applyFill="1" applyBorder="1" applyAlignment="1">
      <alignment horizontal="center"/>
    </xf>
    <xf numFmtId="1" fontId="91" fillId="16" borderId="6" xfId="0" applyNumberFormat="1" applyFont="1" applyFill="1" applyBorder="1" applyAlignment="1">
      <alignment horizontal="center"/>
    </xf>
    <xf numFmtId="1" fontId="97" fillId="16" borderId="6" xfId="0" applyNumberFormat="1" applyFont="1" applyFill="1" applyBorder="1"/>
    <xf numFmtId="1" fontId="91" fillId="16" borderId="6" xfId="0" applyNumberFormat="1" applyFont="1" applyFill="1" applyBorder="1"/>
    <xf numFmtId="0" fontId="93" fillId="16" borderId="6" xfId="0" applyFont="1" applyFill="1" applyBorder="1" applyAlignment="1">
      <alignment horizontal="center"/>
    </xf>
    <xf numFmtId="0" fontId="94" fillId="16" borderId="6" xfId="0" applyFont="1" applyFill="1" applyBorder="1" applyAlignment="1">
      <alignment horizontal="center"/>
    </xf>
    <xf numFmtId="0" fontId="66" fillId="0" borderId="18" xfId="0" applyFont="1" applyBorder="1" applyAlignment="1">
      <alignment vertical="center" wrapText="1"/>
    </xf>
    <xf numFmtId="0" fontId="66" fillId="0" borderId="22" xfId="0" applyFont="1" applyBorder="1" applyAlignment="1">
      <alignment vertical="center" wrapText="1"/>
    </xf>
    <xf numFmtId="0" fontId="66" fillId="0" borderId="17" xfId="0" applyFont="1" applyBorder="1" applyAlignment="1">
      <alignment vertical="center" wrapText="1"/>
    </xf>
    <xf numFmtId="0" fontId="66" fillId="0" borderId="19" xfId="0" applyFont="1" applyBorder="1" applyAlignment="1">
      <alignment vertical="center" wrapText="1"/>
    </xf>
    <xf numFmtId="0" fontId="66" fillId="0" borderId="15" xfId="0" applyFont="1" applyBorder="1" applyAlignment="1">
      <alignment vertical="center" wrapText="1"/>
    </xf>
    <xf numFmtId="0" fontId="66" fillId="0" borderId="16" xfId="0" applyFont="1" applyBorder="1" applyAlignment="1">
      <alignment horizontal="center" vertical="center" wrapText="1"/>
    </xf>
    <xf numFmtId="0" fontId="66" fillId="31" borderId="15" xfId="0" applyFont="1" applyFill="1" applyBorder="1" applyAlignment="1">
      <alignment vertical="center" wrapText="1"/>
    </xf>
    <xf numFmtId="0" fontId="66" fillId="31" borderId="16" xfId="0" applyFont="1" applyFill="1" applyBorder="1" applyAlignment="1">
      <alignment horizontal="center" vertical="center" wrapText="1"/>
    </xf>
    <xf numFmtId="0" fontId="66" fillId="16" borderId="19" xfId="0" applyFont="1" applyFill="1" applyBorder="1" applyAlignment="1">
      <alignment vertical="center" wrapText="1"/>
    </xf>
    <xf numFmtId="0" fontId="91" fillId="0" borderId="6" xfId="0" applyFont="1" applyBorder="1"/>
    <xf numFmtId="0" fontId="91" fillId="0" borderId="0" xfId="0" applyFont="1" applyAlignment="1">
      <alignment horizontal="center"/>
    </xf>
    <xf numFmtId="3" fontId="91" fillId="0" borderId="0" xfId="0" applyNumberFormat="1" applyFont="1" applyAlignment="1">
      <alignment horizontal="center"/>
    </xf>
    <xf numFmtId="3" fontId="92" fillId="0" borderId="0" xfId="0" applyNumberFormat="1" applyFont="1" applyAlignment="1">
      <alignment horizontal="center"/>
    </xf>
    <xf numFmtId="0" fontId="66" fillId="0" borderId="0" xfId="0" applyFont="1" applyAlignment="1">
      <alignment horizontal="center"/>
    </xf>
    <xf numFmtId="0" fontId="90" fillId="0" borderId="5" xfId="0" applyFont="1" applyBorder="1" applyAlignment="1">
      <alignment horizontal="center"/>
    </xf>
    <xf numFmtId="0" fontId="92" fillId="0" borderId="6" xfId="0" applyFont="1" applyBorder="1" applyAlignment="1">
      <alignment horizontal="center"/>
    </xf>
    <xf numFmtId="0" fontId="98" fillId="0" borderId="6" xfId="0" applyFont="1" applyBorder="1" applyAlignment="1">
      <alignment horizontal="center"/>
    </xf>
    <xf numFmtId="2" fontId="66" fillId="0" borderId="0" xfId="0" applyNumberFormat="1" applyFont="1" applyAlignment="1">
      <alignment horizontal="center"/>
    </xf>
    <xf numFmtId="0" fontId="93" fillId="0" borderId="0" xfId="0" applyFont="1" applyAlignment="1">
      <alignment horizontal="center"/>
    </xf>
    <xf numFmtId="0" fontId="105" fillId="0" borderId="6" xfId="0" applyFont="1" applyBorder="1" applyAlignment="1">
      <alignment horizontal="center"/>
    </xf>
    <xf numFmtId="0" fontId="66" fillId="8" borderId="6" xfId="0" applyFont="1" applyFill="1" applyBorder="1" applyAlignment="1">
      <alignment horizontal="center"/>
    </xf>
    <xf numFmtId="0" fontId="94" fillId="8" borderId="6" xfId="0" applyFont="1" applyFill="1" applyBorder="1" applyAlignment="1">
      <alignment horizontal="center"/>
    </xf>
    <xf numFmtId="0" fontId="66" fillId="8" borderId="0" xfId="0" applyFont="1" applyFill="1" applyAlignment="1">
      <alignment horizontal="center"/>
    </xf>
    <xf numFmtId="0" fontId="98" fillId="8" borderId="6" xfId="0" applyFont="1" applyFill="1" applyBorder="1" applyAlignment="1">
      <alignment horizontal="center"/>
    </xf>
    <xf numFmtId="3" fontId="105" fillId="0" borderId="0" xfId="0" applyNumberFormat="1" applyFont="1" applyAlignment="1">
      <alignment horizontal="center"/>
    </xf>
    <xf numFmtId="180" fontId="97" fillId="0" borderId="0" xfId="0" applyNumberFormat="1" applyFont="1" applyAlignment="1">
      <alignment horizontal="center" vertical="center" wrapText="1"/>
    </xf>
    <xf numFmtId="180" fontId="97" fillId="0" borderId="9" xfId="0" applyNumberFormat="1" applyFont="1" applyBorder="1" applyAlignment="1">
      <alignment horizontal="center" vertical="center" wrapText="1"/>
    </xf>
    <xf numFmtId="0" fontId="97" fillId="0" borderId="0" xfId="0" applyFont="1" applyAlignment="1">
      <alignment horizontal="center"/>
    </xf>
    <xf numFmtId="0" fontId="90" fillId="0" borderId="0" xfId="0" applyFont="1"/>
    <xf numFmtId="3" fontId="89" fillId="5" borderId="6" xfId="0" applyNumberFormat="1" applyFont="1" applyFill="1" applyBorder="1" applyAlignment="1">
      <alignment horizontal="center"/>
    </xf>
    <xf numFmtId="0" fontId="88" fillId="10" borderId="0" xfId="0" applyFont="1" applyFill="1" applyAlignment="1">
      <alignment horizontal="center"/>
    </xf>
    <xf numFmtId="0" fontId="63" fillId="10" borderId="6" xfId="0" applyFont="1" applyFill="1" applyBorder="1" applyAlignment="1">
      <alignment horizontal="center"/>
    </xf>
    <xf numFmtId="1" fontId="66" fillId="10" borderId="6" xfId="0" applyNumberFormat="1" applyFont="1" applyFill="1" applyBorder="1" applyAlignment="1">
      <alignment horizontal="center"/>
    </xf>
    <xf numFmtId="0" fontId="90" fillId="10" borderId="6" xfId="0" applyFont="1" applyFill="1" applyBorder="1" applyAlignment="1">
      <alignment horizontal="center"/>
    </xf>
    <xf numFmtId="178" fontId="90" fillId="10" borderId="6" xfId="0" applyNumberFormat="1" applyFont="1" applyFill="1" applyBorder="1" applyAlignment="1">
      <alignment horizontal="center"/>
    </xf>
    <xf numFmtId="3" fontId="90" fillId="10" borderId="6" xfId="0" applyNumberFormat="1" applyFont="1" applyFill="1" applyBorder="1" applyAlignment="1">
      <alignment horizontal="center"/>
    </xf>
    <xf numFmtId="3" fontId="66" fillId="10" borderId="6" xfId="0" applyNumberFormat="1" applyFont="1" applyFill="1" applyBorder="1" applyAlignment="1">
      <alignment horizontal="center"/>
    </xf>
    <xf numFmtId="179" fontId="66" fillId="10" borderId="6" xfId="0" applyNumberFormat="1" applyFont="1" applyFill="1" applyBorder="1" applyAlignment="1">
      <alignment horizontal="center"/>
    </xf>
    <xf numFmtId="3" fontId="88" fillId="10" borderId="6" xfId="0" applyNumberFormat="1" applyFont="1" applyFill="1" applyBorder="1" applyAlignment="1">
      <alignment horizontal="center"/>
    </xf>
    <xf numFmtId="3" fontId="93" fillId="10" borderId="6" xfId="0" applyNumberFormat="1" applyFont="1" applyFill="1" applyBorder="1" applyAlignment="1">
      <alignment horizontal="center"/>
    </xf>
    <xf numFmtId="3" fontId="99" fillId="5" borderId="6" xfId="0" applyNumberFormat="1" applyFont="1" applyFill="1" applyBorder="1" applyAlignment="1">
      <alignment horizontal="center"/>
    </xf>
    <xf numFmtId="0" fontId="94" fillId="0" borderId="0" xfId="0" applyFont="1"/>
    <xf numFmtId="1" fontId="94" fillId="0" borderId="0" xfId="0" applyNumberFormat="1" applyFont="1"/>
    <xf numFmtId="2" fontId="90" fillId="10" borderId="6" xfId="0" applyNumberFormat="1" applyFont="1" applyFill="1" applyBorder="1" applyAlignment="1">
      <alignment horizontal="center"/>
    </xf>
    <xf numFmtId="0" fontId="93" fillId="10" borderId="6" xfId="0" applyFont="1" applyFill="1" applyBorder="1" applyAlignment="1">
      <alignment horizontal="center"/>
    </xf>
    <xf numFmtId="4" fontId="66" fillId="10" borderId="6" xfId="0" applyNumberFormat="1" applyFont="1" applyFill="1" applyBorder="1"/>
    <xf numFmtId="3" fontId="101" fillId="10" borderId="6" xfId="0" applyNumberFormat="1" applyFont="1" applyFill="1" applyBorder="1" applyAlignment="1">
      <alignment horizontal="center"/>
    </xf>
    <xf numFmtId="1" fontId="101" fillId="10" borderId="6" xfId="0" applyNumberFormat="1" applyFont="1" applyFill="1" applyBorder="1" applyAlignment="1">
      <alignment horizontal="center"/>
    </xf>
    <xf numFmtId="2" fontId="101" fillId="10" borderId="6" xfId="0" applyNumberFormat="1" applyFont="1" applyFill="1" applyBorder="1" applyAlignment="1">
      <alignment horizontal="center"/>
    </xf>
    <xf numFmtId="0" fontId="101" fillId="10" borderId="6" xfId="0" applyFont="1" applyFill="1" applyBorder="1" applyAlignment="1">
      <alignment horizontal="center"/>
    </xf>
    <xf numFmtId="178" fontId="101" fillId="10" borderId="6" xfId="0" applyNumberFormat="1" applyFont="1" applyFill="1" applyBorder="1" applyAlignment="1">
      <alignment horizontal="center"/>
    </xf>
    <xf numFmtId="3" fontId="97" fillId="10" borderId="6" xfId="0" applyNumberFormat="1" applyFont="1" applyFill="1" applyBorder="1" applyAlignment="1">
      <alignment horizontal="center"/>
    </xf>
    <xf numFmtId="4" fontId="97" fillId="10" borderId="6" xfId="0" applyNumberFormat="1" applyFont="1" applyFill="1" applyBorder="1" applyAlignment="1">
      <alignment horizontal="right"/>
    </xf>
    <xf numFmtId="3" fontId="90" fillId="2" borderId="6" xfId="0" applyNumberFormat="1" applyFont="1" applyFill="1" applyBorder="1" applyAlignment="1">
      <alignment horizontal="center"/>
    </xf>
    <xf numFmtId="0" fontId="97" fillId="17" borderId="6" xfId="0" applyFont="1" applyFill="1" applyBorder="1"/>
    <xf numFmtId="0" fontId="88" fillId="17" borderId="6" xfId="0" applyFont="1" applyFill="1" applyBorder="1" applyAlignment="1">
      <alignment horizontal="center"/>
    </xf>
    <xf numFmtId="0" fontId="49" fillId="17" borderId="6" xfId="0" applyFont="1" applyFill="1" applyBorder="1"/>
    <xf numFmtId="3" fontId="89" fillId="17" borderId="6" xfId="0" applyNumberFormat="1" applyFont="1" applyFill="1" applyBorder="1"/>
    <xf numFmtId="0" fontId="90" fillId="17" borderId="6" xfId="0" applyFont="1" applyFill="1" applyBorder="1"/>
    <xf numFmtId="0" fontId="105" fillId="17" borderId="6" xfId="0" applyFont="1" applyFill="1" applyBorder="1"/>
    <xf numFmtId="0" fontId="93" fillId="17" borderId="6" xfId="0" applyFont="1" applyFill="1" applyBorder="1"/>
    <xf numFmtId="0" fontId="66" fillId="18" borderId="0" xfId="0" applyFont="1" applyFill="1"/>
    <xf numFmtId="1" fontId="66" fillId="18" borderId="0" xfId="0" applyNumberFormat="1" applyFont="1" applyFill="1"/>
    <xf numFmtId="3" fontId="93" fillId="11" borderId="6" xfId="0" applyNumberFormat="1" applyFont="1" applyFill="1" applyBorder="1" applyAlignment="1">
      <alignment horizontal="center"/>
    </xf>
    <xf numFmtId="0" fontId="93" fillId="11" borderId="6" xfId="0" applyFont="1" applyFill="1" applyBorder="1" applyAlignment="1">
      <alignment horizontal="center"/>
    </xf>
    <xf numFmtId="3" fontId="98" fillId="8" borderId="6" xfId="0" applyNumberFormat="1" applyFont="1" applyFill="1" applyBorder="1" applyAlignment="1">
      <alignment horizontal="right"/>
    </xf>
    <xf numFmtId="0" fontId="98" fillId="16" borderId="0" xfId="0" applyFont="1" applyFill="1"/>
    <xf numFmtId="0" fontId="63" fillId="17" borderId="6" xfId="0" applyFont="1" applyFill="1" applyBorder="1" applyAlignment="1">
      <alignment horizontal="center"/>
    </xf>
    <xf numFmtId="3" fontId="89" fillId="17" borderId="6" xfId="0" applyNumberFormat="1" applyFont="1" applyFill="1" applyBorder="1" applyAlignment="1">
      <alignment horizontal="center"/>
    </xf>
    <xf numFmtId="0" fontId="66" fillId="17" borderId="6" xfId="0" applyFont="1" applyFill="1" applyBorder="1" applyAlignment="1">
      <alignment horizontal="center"/>
    </xf>
    <xf numFmtId="0" fontId="90" fillId="17" borderId="6" xfId="0" applyFont="1" applyFill="1" applyBorder="1" applyAlignment="1">
      <alignment horizontal="center"/>
    </xf>
    <xf numFmtId="0" fontId="93" fillId="17" borderId="6" xfId="0" applyFont="1" applyFill="1" applyBorder="1" applyAlignment="1">
      <alignment horizontal="center"/>
    </xf>
    <xf numFmtId="3" fontId="89" fillId="0" borderId="6" xfId="0" applyNumberFormat="1" applyFont="1" applyBorder="1" applyAlignment="1">
      <alignment horizontal="center"/>
    </xf>
    <xf numFmtId="0" fontId="66" fillId="2" borderId="0" xfId="0" applyFont="1" applyFill="1"/>
    <xf numFmtId="180" fontId="97" fillId="10" borderId="9" xfId="0" applyNumberFormat="1" applyFont="1" applyFill="1" applyBorder="1" applyAlignment="1">
      <alignment horizontal="center" vertical="center" wrapText="1"/>
    </xf>
    <xf numFmtId="0" fontId="63" fillId="29" borderId="19" xfId="0" applyFont="1" applyFill="1" applyBorder="1" applyAlignment="1">
      <alignment vertical="center" wrapText="1"/>
    </xf>
    <xf numFmtId="3" fontId="14" fillId="8" borderId="8" xfId="0" applyNumberFormat="1" applyFont="1" applyFill="1" applyBorder="1" applyAlignment="1">
      <alignment horizontal="center" wrapText="1"/>
    </xf>
    <xf numFmtId="0" fontId="107" fillId="0" borderId="0" xfId="0" applyFont="1"/>
    <xf numFmtId="0" fontId="70" fillId="16" borderId="7" xfId="0" applyFont="1" applyFill="1" applyBorder="1"/>
    <xf numFmtId="0" fontId="100" fillId="1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66" fillId="29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8" fillId="6" borderId="6" xfId="0" applyFont="1" applyFill="1" applyBorder="1" applyAlignment="1">
      <alignment horizontal="center" vertical="center"/>
    </xf>
    <xf numFmtId="0" fontId="109" fillId="6" borderId="6" xfId="0" applyFont="1" applyFill="1" applyBorder="1" applyAlignment="1">
      <alignment horizontal="center" vertical="center"/>
    </xf>
    <xf numFmtId="3" fontId="81" fillId="0" borderId="0" xfId="0" applyNumberFormat="1" applyFont="1" applyAlignment="1">
      <alignment horizontal="center"/>
    </xf>
    <xf numFmtId="179" fontId="15" fillId="5" borderId="6" xfId="0" applyNumberFormat="1" applyFont="1" applyFill="1" applyBorder="1" applyAlignment="1">
      <alignment horizontal="center"/>
    </xf>
    <xf numFmtId="0" fontId="72" fillId="0" borderId="7" xfId="0" applyFont="1" applyBorder="1"/>
    <xf numFmtId="3" fontId="89" fillId="23" borderId="0" xfId="0" applyNumberFormat="1" applyFont="1" applyFill="1" applyAlignment="1">
      <alignment horizontal="center"/>
    </xf>
    <xf numFmtId="179" fontId="89" fillId="5" borderId="6" xfId="0" applyNumberFormat="1" applyFont="1" applyFill="1" applyBorder="1" applyAlignment="1">
      <alignment horizontal="center"/>
    </xf>
    <xf numFmtId="184" fontId="66" fillId="0" borderId="0" xfId="0" applyNumberFormat="1" applyFont="1"/>
    <xf numFmtId="0" fontId="72" fillId="0" borderId="0" xfId="0" applyFont="1"/>
    <xf numFmtId="1" fontId="91" fillId="0" borderId="0" xfId="0" applyNumberFormat="1" applyFont="1" applyAlignment="1">
      <alignment horizontal="center"/>
    </xf>
    <xf numFmtId="182" fontId="67" fillId="16" borderId="25" xfId="0" applyNumberFormat="1" applyFont="1" applyFill="1" applyBorder="1" applyAlignment="1">
      <alignment horizontal="right" vertical="top" wrapText="1"/>
    </xf>
    <xf numFmtId="182" fontId="67" fillId="16" borderId="25" xfId="0" applyNumberFormat="1" applyFont="1" applyFill="1" applyBorder="1" applyAlignment="1">
      <alignment horizontal="left" vertical="top" wrapText="1"/>
    </xf>
    <xf numFmtId="182" fontId="67" fillId="16" borderId="26" xfId="0" applyNumberFormat="1" applyFont="1" applyFill="1" applyBorder="1" applyAlignment="1">
      <alignment horizontal="right" vertical="top" wrapText="1"/>
    </xf>
    <xf numFmtId="182" fontId="67" fillId="16" borderId="26" xfId="0" applyNumberFormat="1" applyFont="1" applyFill="1" applyBorder="1" applyAlignment="1">
      <alignment horizontal="left" vertical="top" wrapText="1"/>
    </xf>
    <xf numFmtId="182" fontId="79" fillId="15" borderId="26" xfId="0" applyNumberFormat="1" applyFont="1" applyFill="1" applyBorder="1" applyAlignment="1">
      <alignment horizontal="right" vertical="top" wrapText="1"/>
    </xf>
    <xf numFmtId="0" fontId="80" fillId="15" borderId="26" xfId="0" applyFont="1" applyFill="1" applyBorder="1" applyAlignment="1">
      <alignment vertical="top" wrapText="1"/>
    </xf>
    <xf numFmtId="0" fontId="79" fillId="15" borderId="26" xfId="0" applyFont="1" applyFill="1" applyBorder="1" applyAlignment="1">
      <alignment vertical="top" wrapText="1"/>
    </xf>
    <xf numFmtId="183" fontId="79" fillId="15" borderId="26" xfId="0" applyNumberFormat="1" applyFont="1" applyFill="1" applyBorder="1" applyAlignment="1">
      <alignment horizontal="right" vertical="top" wrapText="1"/>
    </xf>
    <xf numFmtId="0" fontId="67" fillId="0" borderId="27" xfId="0" applyFont="1" applyBorder="1" applyAlignment="1">
      <alignment vertical="top" wrapText="1"/>
    </xf>
    <xf numFmtId="179" fontId="91" fillId="16" borderId="6" xfId="0" applyNumberFormat="1" applyFont="1" applyFill="1" applyBorder="1" applyAlignment="1">
      <alignment horizontal="center"/>
    </xf>
    <xf numFmtId="179" fontId="92" fillId="16" borderId="6" xfId="0" applyNumberFormat="1" applyFont="1" applyFill="1" applyBorder="1" applyAlignment="1">
      <alignment horizontal="center"/>
    </xf>
    <xf numFmtId="179" fontId="88" fillId="16" borderId="6" xfId="0" applyNumberFormat="1" applyFont="1" applyFill="1" applyBorder="1" applyAlignment="1">
      <alignment horizontal="center"/>
    </xf>
    <xf numFmtId="0" fontId="71" fillId="0" borderId="6" xfId="0" applyFont="1" applyBorder="1"/>
    <xf numFmtId="0" fontId="114" fillId="0" borderId="0" xfId="0" applyFont="1" applyAlignment="1">
      <alignment horizontal="center"/>
    </xf>
    <xf numFmtId="0" fontId="72" fillId="0" borderId="6" xfId="0" applyFont="1" applyBorder="1"/>
    <xf numFmtId="0" fontId="71" fillId="0" borderId="7" xfId="0" applyFont="1" applyBorder="1"/>
    <xf numFmtId="0" fontId="115" fillId="0" borderId="0" xfId="0" applyFont="1"/>
    <xf numFmtId="0" fontId="100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115" fillId="0" borderId="7" xfId="0" applyFont="1" applyBorder="1"/>
    <xf numFmtId="0" fontId="14" fillId="0" borderId="0" xfId="0" quotePrefix="1" applyFont="1"/>
    <xf numFmtId="0" fontId="14" fillId="18" borderId="6" xfId="0" applyFont="1" applyFill="1" applyBorder="1"/>
    <xf numFmtId="0" fontId="66" fillId="18" borderId="6" xfId="0" applyFont="1" applyFill="1" applyBorder="1"/>
    <xf numFmtId="0" fontId="22" fillId="18" borderId="6" xfId="0" applyFont="1" applyFill="1" applyBorder="1" applyAlignment="1">
      <alignment horizontal="center"/>
    </xf>
    <xf numFmtId="0" fontId="23" fillId="18" borderId="6" xfId="0" applyFont="1" applyFill="1" applyBorder="1" applyAlignment="1">
      <alignment horizontal="center"/>
    </xf>
    <xf numFmtId="3" fontId="15" fillId="32" borderId="6" xfId="0" applyNumberFormat="1" applyFont="1" applyFill="1" applyBorder="1" applyAlignment="1">
      <alignment horizontal="center"/>
    </xf>
    <xf numFmtId="0" fontId="11" fillId="18" borderId="6" xfId="0" applyFont="1" applyFill="1" applyBorder="1"/>
    <xf numFmtId="0" fontId="41" fillId="18" borderId="6" xfId="0" applyFont="1" applyFill="1" applyBorder="1"/>
    <xf numFmtId="0" fontId="37" fillId="18" borderId="6" xfId="0" applyFont="1" applyFill="1" applyBorder="1"/>
    <xf numFmtId="0" fontId="59" fillId="18" borderId="6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3" fontId="15" fillId="33" borderId="6" xfId="0" applyNumberFormat="1" applyFont="1" applyFill="1" applyBorder="1" applyAlignment="1">
      <alignment horizontal="center"/>
    </xf>
    <xf numFmtId="0" fontId="52" fillId="6" borderId="1" xfId="0" applyFont="1" applyFill="1" applyBorder="1" applyAlignment="1">
      <alignment horizontal="center" vertical="center" wrapText="1"/>
    </xf>
    <xf numFmtId="0" fontId="52" fillId="6" borderId="5" xfId="0" applyFont="1" applyFill="1" applyBorder="1" applyAlignment="1">
      <alignment horizontal="center" vertical="center" wrapText="1"/>
    </xf>
    <xf numFmtId="14" fontId="15" fillId="5" borderId="4" xfId="0" applyNumberFormat="1" applyFont="1" applyFill="1" applyBorder="1" applyAlignment="1">
      <alignment horizontal="center" vertical="center"/>
    </xf>
    <xf numFmtId="14" fontId="15" fillId="5" borderId="2" xfId="0" applyNumberFormat="1" applyFont="1" applyFill="1" applyBorder="1" applyAlignment="1">
      <alignment horizontal="center" vertical="center"/>
    </xf>
    <xf numFmtId="14" fontId="15" fillId="5" borderId="3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3" fontId="5" fillId="2" borderId="0" xfId="0" applyNumberFormat="1" applyFont="1" applyFill="1" applyAlignment="1">
      <alignment horizontal="center" wrapText="1"/>
    </xf>
    <xf numFmtId="0" fontId="0" fillId="0" borderId="0" xfId="0"/>
    <xf numFmtId="0" fontId="7" fillId="6" borderId="1" xfId="0" applyFont="1" applyFill="1" applyBorder="1" applyAlignment="1">
      <alignment horizontal="center" vertical="center" wrapText="1"/>
    </xf>
    <xf numFmtId="0" fontId="57" fillId="7" borderId="1" xfId="0" applyFont="1" applyFill="1" applyBorder="1" applyAlignment="1">
      <alignment horizontal="center" vertical="center"/>
    </xf>
    <xf numFmtId="0" fontId="58" fillId="0" borderId="5" xfId="0" applyFont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55" fillId="0" borderId="5" xfId="0" applyFont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3" fontId="66" fillId="8" borderId="8" xfId="0" applyNumberFormat="1" applyFont="1" applyFill="1" applyBorder="1" applyAlignment="1">
      <alignment horizontal="center"/>
    </xf>
    <xf numFmtId="0" fontId="93" fillId="0" borderId="8" xfId="0" applyFont="1" applyBorder="1"/>
    <xf numFmtId="0" fontId="93" fillId="0" borderId="6" xfId="0" applyFont="1" applyBorder="1"/>
    <xf numFmtId="3" fontId="97" fillId="0" borderId="8" xfId="0" applyNumberFormat="1" applyFont="1" applyBorder="1" applyAlignment="1">
      <alignment horizontal="center"/>
    </xf>
    <xf numFmtId="3" fontId="97" fillId="0" borderId="8" xfId="0" applyNumberFormat="1" applyFont="1" applyBorder="1" applyAlignment="1">
      <alignment horizontal="center" wrapText="1"/>
    </xf>
    <xf numFmtId="3" fontId="66" fillId="8" borderId="8" xfId="0" applyNumberFormat="1" applyFont="1" applyFill="1" applyBorder="1" applyAlignment="1">
      <alignment horizontal="center" wrapText="1"/>
    </xf>
    <xf numFmtId="3" fontId="66" fillId="0" borderId="8" xfId="0" applyNumberFormat="1" applyFont="1" applyBorder="1" applyAlignment="1">
      <alignment horizontal="center" wrapText="1"/>
    </xf>
    <xf numFmtId="3" fontId="66" fillId="0" borderId="8" xfId="0" applyNumberFormat="1" applyFont="1" applyBorder="1" applyAlignment="1">
      <alignment horizontal="center"/>
    </xf>
    <xf numFmtId="3" fontId="98" fillId="8" borderId="8" xfId="0" applyNumberFormat="1" applyFont="1" applyFill="1" applyBorder="1" applyAlignment="1">
      <alignment horizontal="center" wrapText="1"/>
    </xf>
    <xf numFmtId="0" fontId="77" fillId="4" borderId="1" xfId="0" applyFont="1" applyFill="1" applyBorder="1" applyAlignment="1">
      <alignment horizontal="center" vertical="center" wrapText="1"/>
    </xf>
    <xf numFmtId="3" fontId="97" fillId="8" borderId="8" xfId="0" applyNumberFormat="1" applyFont="1" applyFill="1" applyBorder="1" applyAlignment="1">
      <alignment horizontal="center"/>
    </xf>
    <xf numFmtId="3" fontId="97" fillId="8" borderId="8" xfId="0" applyNumberFormat="1" applyFont="1" applyFill="1" applyBorder="1" applyAlignment="1">
      <alignment horizontal="center" wrapText="1"/>
    </xf>
    <xf numFmtId="0" fontId="17" fillId="6" borderId="1" xfId="0" applyFont="1" applyFill="1" applyBorder="1" applyAlignment="1">
      <alignment horizontal="center" vertical="center"/>
    </xf>
    <xf numFmtId="3" fontId="14" fillId="8" borderId="8" xfId="0" applyNumberFormat="1" applyFont="1" applyFill="1" applyBorder="1" applyAlignment="1">
      <alignment horizontal="center"/>
    </xf>
    <xf numFmtId="0" fontId="16" fillId="0" borderId="8" xfId="0" applyFont="1" applyBorder="1"/>
    <xf numFmtId="0" fontId="16" fillId="0" borderId="6" xfId="0" applyFont="1" applyBorder="1"/>
    <xf numFmtId="3" fontId="28" fillId="8" borderId="8" xfId="0" applyNumberFormat="1" applyFont="1" applyFill="1" applyBorder="1" applyAlignment="1">
      <alignment horizontal="center"/>
    </xf>
    <xf numFmtId="3" fontId="28" fillId="8" borderId="8" xfId="0" applyNumberFormat="1" applyFont="1" applyFill="1" applyBorder="1" applyAlignment="1">
      <alignment horizontal="center" wrapText="1"/>
    </xf>
    <xf numFmtId="3" fontId="14" fillId="8" borderId="8" xfId="0" applyNumberFormat="1" applyFont="1" applyFill="1" applyBorder="1" applyAlignment="1">
      <alignment horizontal="center" wrapText="1"/>
    </xf>
    <xf numFmtId="3" fontId="5" fillId="8" borderId="8" xfId="0" applyNumberFormat="1" applyFont="1" applyFill="1" applyBorder="1" applyAlignment="1">
      <alignment horizontal="center" wrapText="1"/>
    </xf>
    <xf numFmtId="0" fontId="80" fillId="15" borderId="10" xfId="0" applyFont="1" applyFill="1" applyBorder="1" applyAlignment="1">
      <alignment vertical="top" wrapText="1"/>
    </xf>
    <xf numFmtId="0" fontId="80" fillId="15" borderId="26" xfId="0" applyFont="1" applyFill="1" applyBorder="1" applyAlignment="1">
      <alignment vertical="top" wrapText="1"/>
    </xf>
    <xf numFmtId="0" fontId="67" fillId="15" borderId="10" xfId="1" applyFont="1" applyFill="1" applyBorder="1" applyAlignment="1">
      <alignment vertical="top" wrapText="1"/>
    </xf>
    <xf numFmtId="0" fontId="65" fillId="14" borderId="10" xfId="0" applyFont="1" applyFill="1" applyBorder="1" applyAlignment="1">
      <alignment horizontal="center" vertical="top" wrapText="1"/>
    </xf>
    <xf numFmtId="0" fontId="67" fillId="15" borderId="10" xfId="0" applyFont="1" applyFill="1" applyBorder="1" applyAlignment="1">
      <alignment vertical="top" wrapText="1"/>
    </xf>
    <xf numFmtId="0" fontId="80" fillId="15" borderId="12" xfId="0" applyFont="1" applyFill="1" applyBorder="1" applyAlignment="1">
      <alignment vertical="top" wrapText="1"/>
    </xf>
    <xf numFmtId="0" fontId="80" fillId="15" borderId="13" xfId="0" applyFont="1" applyFill="1" applyBorder="1" applyAlignment="1">
      <alignment vertical="top" wrapText="1"/>
    </xf>
    <xf numFmtId="0" fontId="80" fillId="15" borderId="14" xfId="0" applyFont="1" applyFill="1" applyBorder="1" applyAlignment="1">
      <alignment vertical="top" wrapText="1"/>
    </xf>
  </cellXfs>
  <cellStyles count="2">
    <cellStyle name="一般" xfId="0" builtinId="0"/>
    <cellStyle name="一般 2" xfId="1" xr:uid="{00000000-0005-0000-0000-000001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outlinePr summaryBelow="0" summaryRight="0"/>
    <pageSetUpPr fitToPage="1"/>
  </sheetPr>
  <dimension ref="A1:EK1056"/>
  <sheetViews>
    <sheetView tabSelected="1" zoomScale="90" zoomScaleNormal="90" workbookViewId="0">
      <pane xSplit="49" ySplit="3" topLeftCell="CN4" activePane="bottomRight" state="frozen"/>
      <selection pane="topRight" activeCell="AX1" sqref="AX1"/>
      <selection pane="bottomLeft" activeCell="A4" sqref="A4"/>
      <selection pane="bottomRight" activeCell="DQ17" sqref="DQ17"/>
    </sheetView>
  </sheetViews>
  <sheetFormatPr defaultColWidth="12.5703125" defaultRowHeight="15.75" customHeight="1" outlineLevelCol="1"/>
  <cols>
    <col min="1" max="1" width="19.5703125" customWidth="1"/>
    <col min="2" max="2" width="12.42578125" customWidth="1"/>
    <col min="3" max="3" width="48" style="98" customWidth="1"/>
    <col min="4" max="4" width="10.28515625" bestFit="1" customWidth="1"/>
    <col min="5" max="5" width="11.5703125" bestFit="1" customWidth="1"/>
    <col min="6" max="6" width="11.85546875" bestFit="1" customWidth="1"/>
    <col min="7" max="8" width="11.85546875" customWidth="1"/>
    <col min="9" max="9" width="12.42578125" customWidth="1"/>
    <col min="10" max="10" width="14.28515625" customWidth="1" collapsed="1"/>
    <col min="11" max="47" width="12.5703125" hidden="1" customWidth="1" outlineLevel="1"/>
    <col min="48" max="49" width="0" hidden="1" customWidth="1"/>
    <col min="50" max="52" width="9.7109375" customWidth="1"/>
    <col min="53" max="53" width="9.85546875" customWidth="1"/>
    <col min="54" max="54" width="9.42578125" customWidth="1"/>
    <col min="55" max="55" width="11.140625" customWidth="1" collapsed="1"/>
    <col min="56" max="56" width="10.42578125" hidden="1" customWidth="1" outlineLevel="1"/>
    <col min="57" max="57" width="11.7109375" hidden="1" customWidth="1" outlineLevel="1"/>
    <col min="58" max="58" width="10.5703125" hidden="1" customWidth="1" outlineLevel="1"/>
    <col min="59" max="59" width="15.85546875" hidden="1" customWidth="1" outlineLevel="1"/>
    <col min="60" max="60" width="10.5703125" customWidth="1" collapsed="1"/>
    <col min="61" max="61" width="10.42578125" hidden="1" customWidth="1" outlineLevel="1"/>
    <col min="62" max="62" width="11.7109375" hidden="1" customWidth="1" outlineLevel="1"/>
    <col min="63" max="63" width="10.5703125" hidden="1" customWidth="1" outlineLevel="1"/>
    <col min="64" max="64" width="15.85546875" hidden="1" customWidth="1" outlineLevel="1"/>
    <col min="65" max="65" width="9.85546875" customWidth="1" collapsed="1"/>
    <col min="66" max="66" width="9.85546875" hidden="1" customWidth="1" outlineLevel="1"/>
    <col min="67" max="67" width="11.7109375" hidden="1" customWidth="1" outlineLevel="1"/>
    <col min="68" max="68" width="10.42578125" hidden="1" customWidth="1" outlineLevel="1"/>
    <col min="69" max="69" width="15.85546875" style="402" hidden="1" customWidth="1" outlineLevel="1"/>
    <col min="70" max="70" width="11.7109375" customWidth="1" collapsed="1"/>
    <col min="71" max="73" width="11.7109375" hidden="1" customWidth="1" outlineLevel="1"/>
    <col min="74" max="74" width="15.85546875" style="402" hidden="1" customWidth="1" outlineLevel="1"/>
    <col min="75" max="75" width="12.140625" customWidth="1" collapsed="1"/>
    <col min="76" max="79" width="12.140625" hidden="1" customWidth="1" outlineLevel="1"/>
    <col min="80" max="80" width="12.140625" customWidth="1" collapsed="1"/>
    <col min="81" max="84" width="12.140625" hidden="1" customWidth="1" outlineLevel="1"/>
    <col min="85" max="85" width="12.140625" customWidth="1" collapsed="1"/>
    <col min="86" max="89" width="12.140625" hidden="1" customWidth="1" outlineLevel="1"/>
    <col min="90" max="91" width="11.42578125" customWidth="1"/>
    <col min="92" max="92" width="12.140625" customWidth="1" collapsed="1"/>
    <col min="93" max="96" width="12.140625" hidden="1" customWidth="1" outlineLevel="1"/>
    <col min="97" max="97" width="12.140625" customWidth="1" collapsed="1"/>
    <col min="98" max="102" width="12.140625" hidden="1" customWidth="1" outlineLevel="1"/>
    <col min="103" max="103" width="12.140625" customWidth="1" collapsed="1"/>
    <col min="104" max="108" width="12.140625" hidden="1" customWidth="1" outlineLevel="1"/>
    <col min="109" max="109" width="12.140625" customWidth="1" collapsed="1"/>
    <col min="110" max="114" width="12.140625" hidden="1" customWidth="1" outlineLevel="1"/>
    <col min="115" max="115" width="12.140625" customWidth="1" collapsed="1"/>
    <col min="116" max="120" width="12.140625" hidden="1" customWidth="1" outlineLevel="1"/>
    <col min="121" max="122" width="12.140625" customWidth="1"/>
    <col min="123" max="123" width="12.140625" customWidth="1" collapsed="1"/>
    <col min="124" max="127" width="12.140625" hidden="1" customWidth="1" outlineLevel="1"/>
    <col min="128" max="128" width="10.140625" style="110" customWidth="1"/>
    <col min="129" max="129" width="13.85546875" hidden="1" customWidth="1"/>
    <col min="130" max="131" width="15" hidden="1" customWidth="1"/>
    <col min="132" max="132" width="38.140625" hidden="1" customWidth="1"/>
    <col min="133" max="133" width="0" hidden="1" customWidth="1"/>
    <col min="134" max="135" width="9.28515625" customWidth="1"/>
  </cols>
  <sheetData>
    <row r="1" spans="1:141" ht="17.25">
      <c r="A1" s="87" t="s">
        <v>0</v>
      </c>
      <c r="B1" s="87"/>
      <c r="C1" s="97"/>
      <c r="D1" s="1"/>
      <c r="E1" s="2"/>
      <c r="F1" s="452"/>
      <c r="G1" s="452"/>
      <c r="H1" s="452"/>
      <c r="I1" s="45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5"/>
      <c r="AT1" s="5"/>
      <c r="AU1" s="5"/>
      <c r="AV1" s="6"/>
      <c r="AW1" s="6"/>
      <c r="AX1" s="5"/>
      <c r="AY1" s="5"/>
      <c r="AZ1" s="7"/>
      <c r="BA1" s="8" t="s">
        <v>1</v>
      </c>
      <c r="BB1" s="9"/>
      <c r="BC1" s="10"/>
      <c r="BD1" s="11"/>
      <c r="BE1" s="11"/>
      <c r="BF1" s="11"/>
      <c r="BG1" s="11"/>
      <c r="BK1" s="11"/>
      <c r="BL1" s="11"/>
      <c r="BP1" s="12"/>
      <c r="BQ1" s="400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99"/>
      <c r="DY1" s="3"/>
      <c r="DZ1" s="452"/>
      <c r="EA1" s="453"/>
      <c r="EB1" s="13"/>
      <c r="EC1" s="13"/>
      <c r="ED1" s="14"/>
      <c r="EE1" s="14"/>
    </row>
    <row r="2" spans="1:141" s="92" customFormat="1" ht="33" customHeight="1">
      <c r="A2" s="460" t="s">
        <v>2</v>
      </c>
      <c r="B2" s="461" t="s">
        <v>703</v>
      </c>
      <c r="C2" s="461" t="s">
        <v>3</v>
      </c>
      <c r="D2" s="461" t="s">
        <v>4</v>
      </c>
      <c r="E2" s="463" t="s">
        <v>5</v>
      </c>
      <c r="F2" s="447">
        <v>46173</v>
      </c>
      <c r="G2" s="448"/>
      <c r="H2" s="448"/>
      <c r="I2" s="448"/>
      <c r="J2" s="449"/>
      <c r="K2" s="88">
        <v>44531</v>
      </c>
      <c r="L2" s="88">
        <v>44562</v>
      </c>
      <c r="M2" s="88">
        <v>44593</v>
      </c>
      <c r="N2" s="88">
        <v>44621</v>
      </c>
      <c r="O2" s="88">
        <v>44652</v>
      </c>
      <c r="P2" s="88">
        <v>44682</v>
      </c>
      <c r="Q2" s="88">
        <v>44713</v>
      </c>
      <c r="R2" s="88">
        <v>44743</v>
      </c>
      <c r="S2" s="88">
        <v>44774</v>
      </c>
      <c r="T2" s="88">
        <v>44805</v>
      </c>
      <c r="U2" s="88">
        <v>44835</v>
      </c>
      <c r="V2" s="88">
        <v>44866</v>
      </c>
      <c r="W2" s="88">
        <v>44896</v>
      </c>
      <c r="X2" s="88">
        <v>44927</v>
      </c>
      <c r="Y2" s="88">
        <v>44958</v>
      </c>
      <c r="Z2" s="88">
        <v>44986</v>
      </c>
      <c r="AA2" s="88">
        <v>45017</v>
      </c>
      <c r="AB2" s="88">
        <v>45047</v>
      </c>
      <c r="AC2" s="88">
        <v>45078</v>
      </c>
      <c r="AD2" s="88">
        <v>45108</v>
      </c>
      <c r="AE2" s="88">
        <v>45139</v>
      </c>
      <c r="AF2" s="88">
        <v>45170</v>
      </c>
      <c r="AG2" s="88">
        <v>45200</v>
      </c>
      <c r="AH2" s="88">
        <v>45231</v>
      </c>
      <c r="AI2" s="88">
        <v>45261</v>
      </c>
      <c r="AJ2" s="88">
        <v>45292</v>
      </c>
      <c r="AK2" s="88">
        <v>45323</v>
      </c>
      <c r="AL2" s="88">
        <v>45352</v>
      </c>
      <c r="AM2" s="88">
        <v>45383</v>
      </c>
      <c r="AN2" s="88">
        <v>45413</v>
      </c>
      <c r="AO2" s="88">
        <v>45444</v>
      </c>
      <c r="AP2" s="88">
        <v>45474</v>
      </c>
      <c r="AQ2" s="88">
        <v>45505</v>
      </c>
      <c r="AR2" s="88">
        <v>45536</v>
      </c>
      <c r="AS2" s="89">
        <v>45566</v>
      </c>
      <c r="AT2" s="89">
        <v>45597</v>
      </c>
      <c r="AU2" s="89">
        <v>45627</v>
      </c>
      <c r="AV2" s="454" t="s">
        <v>637</v>
      </c>
      <c r="AW2" s="454" t="s">
        <v>636</v>
      </c>
      <c r="AX2" s="90">
        <v>45658</v>
      </c>
      <c r="AY2" s="90">
        <v>45689</v>
      </c>
      <c r="AZ2" s="90">
        <v>45717</v>
      </c>
      <c r="BA2" s="90">
        <v>45748</v>
      </c>
      <c r="BB2" s="90">
        <v>45778</v>
      </c>
      <c r="BC2" s="115" t="s">
        <v>456</v>
      </c>
      <c r="BD2" s="114" t="s">
        <v>434</v>
      </c>
      <c r="BE2" s="114" t="s">
        <v>435</v>
      </c>
      <c r="BF2" s="114" t="s">
        <v>463</v>
      </c>
      <c r="BG2" s="114" t="s">
        <v>850</v>
      </c>
      <c r="BH2" s="115" t="s">
        <v>455</v>
      </c>
      <c r="BI2" s="114" t="s">
        <v>434</v>
      </c>
      <c r="BJ2" s="114" t="s">
        <v>435</v>
      </c>
      <c r="BK2" s="114" t="s">
        <v>463</v>
      </c>
      <c r="BL2" s="114" t="s">
        <v>850</v>
      </c>
      <c r="BM2" s="115" t="s">
        <v>453</v>
      </c>
      <c r="BN2" s="114" t="s">
        <v>434</v>
      </c>
      <c r="BO2" s="114" t="s">
        <v>435</v>
      </c>
      <c r="BP2" s="114" t="s">
        <v>463</v>
      </c>
      <c r="BQ2" s="114" t="s">
        <v>850</v>
      </c>
      <c r="BR2" s="115" t="s">
        <v>454</v>
      </c>
      <c r="BS2" s="114" t="s">
        <v>434</v>
      </c>
      <c r="BT2" s="114" t="s">
        <v>435</v>
      </c>
      <c r="BU2" s="114" t="s">
        <v>436</v>
      </c>
      <c r="BV2" s="114" t="s">
        <v>850</v>
      </c>
      <c r="BW2" s="115" t="s">
        <v>464</v>
      </c>
      <c r="BX2" s="114" t="s">
        <v>434</v>
      </c>
      <c r="BY2" s="114" t="s">
        <v>435</v>
      </c>
      <c r="BZ2" s="114" t="s">
        <v>436</v>
      </c>
      <c r="CA2" s="114" t="s">
        <v>850</v>
      </c>
      <c r="CB2" s="115" t="s">
        <v>465</v>
      </c>
      <c r="CC2" s="114" t="s">
        <v>434</v>
      </c>
      <c r="CD2" s="114" t="s">
        <v>435</v>
      </c>
      <c r="CE2" s="114" t="s">
        <v>436</v>
      </c>
      <c r="CF2" s="114" t="s">
        <v>850</v>
      </c>
      <c r="CG2" s="115" t="s">
        <v>466</v>
      </c>
      <c r="CH2" s="114" t="s">
        <v>434</v>
      </c>
      <c r="CI2" s="114" t="s">
        <v>374</v>
      </c>
      <c r="CJ2" s="114" t="s">
        <v>436</v>
      </c>
      <c r="CK2" s="114" t="s">
        <v>850</v>
      </c>
      <c r="CL2" s="445" t="s">
        <v>228</v>
      </c>
      <c r="CM2" s="445" t="s">
        <v>229</v>
      </c>
      <c r="CN2" s="115" t="s">
        <v>673</v>
      </c>
      <c r="CO2" s="114" t="s">
        <v>434</v>
      </c>
      <c r="CP2" s="114" t="s">
        <v>435</v>
      </c>
      <c r="CQ2" s="114" t="s">
        <v>436</v>
      </c>
      <c r="CR2" s="114" t="s">
        <v>850</v>
      </c>
      <c r="CS2" s="115" t="s">
        <v>854</v>
      </c>
      <c r="CT2" s="114" t="s">
        <v>434</v>
      </c>
      <c r="CU2" s="114" t="s">
        <v>435</v>
      </c>
      <c r="CV2" s="114" t="s">
        <v>436</v>
      </c>
      <c r="CW2" s="114" t="s">
        <v>850</v>
      </c>
      <c r="CX2" s="114" t="s">
        <v>861</v>
      </c>
      <c r="CY2" s="115" t="s">
        <v>856</v>
      </c>
      <c r="CZ2" s="114" t="s">
        <v>434</v>
      </c>
      <c r="DA2" s="114" t="s">
        <v>435</v>
      </c>
      <c r="DB2" s="114" t="s">
        <v>436</v>
      </c>
      <c r="DC2" s="114" t="s">
        <v>850</v>
      </c>
      <c r="DD2" s="114" t="s">
        <v>861</v>
      </c>
      <c r="DE2" s="115" t="s">
        <v>858</v>
      </c>
      <c r="DF2" s="114" t="s">
        <v>434</v>
      </c>
      <c r="DG2" s="114" t="s">
        <v>435</v>
      </c>
      <c r="DH2" s="114" t="s">
        <v>436</v>
      </c>
      <c r="DI2" s="114" t="s">
        <v>850</v>
      </c>
      <c r="DJ2" s="114" t="s">
        <v>861</v>
      </c>
      <c r="DK2" s="115" t="s">
        <v>949</v>
      </c>
      <c r="DL2" s="114" t="s">
        <v>434</v>
      </c>
      <c r="DM2" s="114" t="s">
        <v>435</v>
      </c>
      <c r="DN2" s="114" t="s">
        <v>436</v>
      </c>
      <c r="DO2" s="114" t="s">
        <v>850</v>
      </c>
      <c r="DP2" s="114" t="s">
        <v>861</v>
      </c>
      <c r="DQ2" s="445" t="s">
        <v>859</v>
      </c>
      <c r="DR2" s="445" t="s">
        <v>860</v>
      </c>
      <c r="DS2" s="115" t="s">
        <v>949</v>
      </c>
      <c r="DT2" s="114" t="s">
        <v>236</v>
      </c>
      <c r="DU2" s="114" t="s">
        <v>374</v>
      </c>
      <c r="DV2" s="114" t="s">
        <v>424</v>
      </c>
      <c r="DW2" s="114" t="s">
        <v>850</v>
      </c>
      <c r="DX2" s="455" t="s">
        <v>8</v>
      </c>
      <c r="DY2" s="457" t="s">
        <v>9</v>
      </c>
      <c r="DZ2" s="458" t="s">
        <v>10</v>
      </c>
      <c r="EA2" s="459"/>
      <c r="EB2" s="450" t="s">
        <v>11</v>
      </c>
      <c r="EC2" s="450"/>
      <c r="ED2" s="91" t="s">
        <v>236</v>
      </c>
      <c r="EE2" s="91" t="s">
        <v>374</v>
      </c>
      <c r="EF2" s="92" t="s">
        <v>424</v>
      </c>
      <c r="EG2" s="92" t="s">
        <v>850</v>
      </c>
    </row>
    <row r="3" spans="1:141" s="92" customFormat="1" ht="49.5">
      <c r="A3" s="451"/>
      <c r="B3" s="462"/>
      <c r="C3" s="462"/>
      <c r="D3" s="451"/>
      <c r="E3" s="451"/>
      <c r="F3" s="189" t="s">
        <v>743</v>
      </c>
      <c r="G3" s="189" t="s">
        <v>744</v>
      </c>
      <c r="H3" s="189" t="s">
        <v>745</v>
      </c>
      <c r="I3" s="189" t="s">
        <v>851</v>
      </c>
      <c r="J3" s="189" t="s">
        <v>864</v>
      </c>
      <c r="K3" s="94" t="s">
        <v>12</v>
      </c>
      <c r="L3" s="94" t="s">
        <v>12</v>
      </c>
      <c r="M3" s="94" t="s">
        <v>12</v>
      </c>
      <c r="N3" s="94" t="s">
        <v>12</v>
      </c>
      <c r="O3" s="94" t="s">
        <v>12</v>
      </c>
      <c r="P3" s="94" t="s">
        <v>12</v>
      </c>
      <c r="Q3" s="94" t="s">
        <v>12</v>
      </c>
      <c r="R3" s="94" t="s">
        <v>12</v>
      </c>
      <c r="S3" s="94" t="s">
        <v>12</v>
      </c>
      <c r="T3" s="94" t="s">
        <v>12</v>
      </c>
      <c r="U3" s="94" t="s">
        <v>12</v>
      </c>
      <c r="V3" s="94" t="s">
        <v>12</v>
      </c>
      <c r="W3" s="94" t="s">
        <v>12</v>
      </c>
      <c r="X3" s="94" t="s">
        <v>12</v>
      </c>
      <c r="Y3" s="94" t="s">
        <v>12</v>
      </c>
      <c r="Z3" s="94" t="s">
        <v>12</v>
      </c>
      <c r="AA3" s="94" t="s">
        <v>12</v>
      </c>
      <c r="AB3" s="94" t="s">
        <v>12</v>
      </c>
      <c r="AC3" s="94" t="s">
        <v>12</v>
      </c>
      <c r="AD3" s="94" t="s">
        <v>12</v>
      </c>
      <c r="AE3" s="94" t="s">
        <v>12</v>
      </c>
      <c r="AF3" s="94" t="s">
        <v>12</v>
      </c>
      <c r="AG3" s="94" t="s">
        <v>12</v>
      </c>
      <c r="AH3" s="94" t="s">
        <v>12</v>
      </c>
      <c r="AI3" s="94" t="s">
        <v>12</v>
      </c>
      <c r="AJ3" s="94" t="s">
        <v>12</v>
      </c>
      <c r="AK3" s="94" t="s">
        <v>12</v>
      </c>
      <c r="AL3" s="94" t="s">
        <v>12</v>
      </c>
      <c r="AM3" s="94" t="s">
        <v>12</v>
      </c>
      <c r="AN3" s="94" t="s">
        <v>12</v>
      </c>
      <c r="AO3" s="94" t="s">
        <v>12</v>
      </c>
      <c r="AP3" s="94" t="s">
        <v>12</v>
      </c>
      <c r="AQ3" s="94" t="s">
        <v>12</v>
      </c>
      <c r="AR3" s="94" t="s">
        <v>12</v>
      </c>
      <c r="AS3" s="94" t="s">
        <v>12</v>
      </c>
      <c r="AT3" s="94" t="s">
        <v>12</v>
      </c>
      <c r="AU3" s="94" t="s">
        <v>12</v>
      </c>
      <c r="AV3" s="451"/>
      <c r="AW3" s="451"/>
      <c r="AX3" s="95" t="s">
        <v>12</v>
      </c>
      <c r="AY3" s="95" t="s">
        <v>12</v>
      </c>
      <c r="AZ3" s="95" t="s">
        <v>12</v>
      </c>
      <c r="BA3" s="95" t="s">
        <v>12</v>
      </c>
      <c r="BB3" s="95" t="s">
        <v>12</v>
      </c>
      <c r="BC3" s="95" t="s">
        <v>12</v>
      </c>
      <c r="BD3" s="96" t="s">
        <v>12</v>
      </c>
      <c r="BE3" s="96" t="s">
        <v>12</v>
      </c>
      <c r="BF3" s="96" t="s">
        <v>12</v>
      </c>
      <c r="BG3" s="96" t="s">
        <v>12</v>
      </c>
      <c r="BH3" s="95" t="s">
        <v>12</v>
      </c>
      <c r="BI3" s="96" t="s">
        <v>12</v>
      </c>
      <c r="BJ3" s="96" t="s">
        <v>12</v>
      </c>
      <c r="BK3" s="96" t="s">
        <v>12</v>
      </c>
      <c r="BL3" s="96" t="s">
        <v>12</v>
      </c>
      <c r="BM3" s="95" t="s">
        <v>12</v>
      </c>
      <c r="BN3" s="96" t="s">
        <v>12</v>
      </c>
      <c r="BO3" s="96" t="s">
        <v>12</v>
      </c>
      <c r="BP3" s="96" t="s">
        <v>12</v>
      </c>
      <c r="BQ3" s="96" t="s">
        <v>12</v>
      </c>
      <c r="BR3" s="95" t="s">
        <v>12</v>
      </c>
      <c r="BS3" s="95" t="s">
        <v>12</v>
      </c>
      <c r="BT3" s="95" t="s">
        <v>12</v>
      </c>
      <c r="BU3" s="95" t="s">
        <v>12</v>
      </c>
      <c r="BV3" s="95" t="s">
        <v>12</v>
      </c>
      <c r="BW3" s="95" t="s">
        <v>12</v>
      </c>
      <c r="BX3" s="96" t="s">
        <v>12</v>
      </c>
      <c r="BY3" s="96" t="s">
        <v>12</v>
      </c>
      <c r="BZ3" s="96" t="s">
        <v>12</v>
      </c>
      <c r="CA3" s="96" t="s">
        <v>12</v>
      </c>
      <c r="CB3" s="95" t="s">
        <v>12</v>
      </c>
      <c r="CC3" s="96" t="s">
        <v>12</v>
      </c>
      <c r="CD3" s="96" t="s">
        <v>12</v>
      </c>
      <c r="CE3" s="96" t="s">
        <v>12</v>
      </c>
      <c r="CF3" s="96" t="s">
        <v>12</v>
      </c>
      <c r="CG3" s="95" t="s">
        <v>12</v>
      </c>
      <c r="CH3" s="96" t="s">
        <v>12</v>
      </c>
      <c r="CI3" s="96" t="s">
        <v>12</v>
      </c>
      <c r="CJ3" s="96" t="s">
        <v>12</v>
      </c>
      <c r="CK3" s="96" t="s">
        <v>12</v>
      </c>
      <c r="CL3" s="451"/>
      <c r="CM3" s="451"/>
      <c r="CN3" s="188" t="s">
        <v>12</v>
      </c>
      <c r="CO3" s="96" t="s">
        <v>12</v>
      </c>
      <c r="CP3" s="96" t="s">
        <v>12</v>
      </c>
      <c r="CQ3" s="96" t="s">
        <v>12</v>
      </c>
      <c r="CR3" s="96" t="s">
        <v>12</v>
      </c>
      <c r="CS3" s="188" t="s">
        <v>12</v>
      </c>
      <c r="CT3" s="96" t="s">
        <v>12</v>
      </c>
      <c r="CU3" s="96" t="s">
        <v>12</v>
      </c>
      <c r="CV3" s="96" t="s">
        <v>12</v>
      </c>
      <c r="CW3" s="96" t="s">
        <v>12</v>
      </c>
      <c r="CX3" s="96" t="s">
        <v>12</v>
      </c>
      <c r="CY3" s="188" t="s">
        <v>12</v>
      </c>
      <c r="CZ3" s="96" t="s">
        <v>12</v>
      </c>
      <c r="DA3" s="96" t="s">
        <v>12</v>
      </c>
      <c r="DB3" s="96" t="s">
        <v>12</v>
      </c>
      <c r="DC3" s="96" t="s">
        <v>12</v>
      </c>
      <c r="DD3" s="96" t="s">
        <v>12</v>
      </c>
      <c r="DE3" s="188" t="s">
        <v>12</v>
      </c>
      <c r="DF3" s="96" t="s">
        <v>12</v>
      </c>
      <c r="DG3" s="96" t="s">
        <v>12</v>
      </c>
      <c r="DH3" s="96" t="s">
        <v>12</v>
      </c>
      <c r="DI3" s="96" t="s">
        <v>12</v>
      </c>
      <c r="DJ3" s="96" t="s">
        <v>12</v>
      </c>
      <c r="DK3" s="188" t="s">
        <v>12</v>
      </c>
      <c r="DL3" s="96" t="s">
        <v>12</v>
      </c>
      <c r="DM3" s="96" t="s">
        <v>12</v>
      </c>
      <c r="DN3" s="96" t="s">
        <v>12</v>
      </c>
      <c r="DO3" s="96" t="s">
        <v>12</v>
      </c>
      <c r="DP3" s="96" t="s">
        <v>12</v>
      </c>
      <c r="DQ3" s="446"/>
      <c r="DR3" s="446"/>
      <c r="DS3" s="403" t="s">
        <v>957</v>
      </c>
      <c r="DT3" s="404" t="s">
        <v>13</v>
      </c>
      <c r="DU3" s="404" t="s">
        <v>13</v>
      </c>
      <c r="DV3" s="404" t="s">
        <v>13</v>
      </c>
      <c r="DW3" s="404" t="s">
        <v>13</v>
      </c>
      <c r="DX3" s="456"/>
      <c r="DY3" s="451"/>
      <c r="DZ3" s="113" t="s">
        <v>230</v>
      </c>
      <c r="EA3" s="113" t="s">
        <v>231</v>
      </c>
      <c r="EB3" s="451"/>
      <c r="EC3" s="451"/>
      <c r="ED3" s="91" t="s">
        <v>13</v>
      </c>
      <c r="EE3" s="91" t="s">
        <v>13</v>
      </c>
      <c r="EF3" s="92" t="s">
        <v>13</v>
      </c>
      <c r="EG3" s="92" t="s">
        <v>13</v>
      </c>
    </row>
    <row r="4" spans="1:141" s="118" customFormat="1" ht="16.5" customHeight="1">
      <c r="A4" s="136" t="s">
        <v>14</v>
      </c>
      <c r="B4" s="118">
        <v>6150001</v>
      </c>
      <c r="C4" s="118" t="s">
        <v>595</v>
      </c>
      <c r="D4" s="197">
        <v>2</v>
      </c>
      <c r="E4" s="198" t="s">
        <v>15</v>
      </c>
      <c r="F4" s="199">
        <f>SUMIF(站前4樓!B:B,B4,站前4樓!F:F)</f>
        <v>100</v>
      </c>
      <c r="G4" s="199">
        <f>SUMIF(站前11樓!B:B,B4,站前11樓!F:F)</f>
        <v>0</v>
      </c>
      <c r="H4" s="199">
        <f>SUMIF(忠孝7樓!B:B,B4,忠孝7樓!G:G)</f>
        <v>44</v>
      </c>
      <c r="I4" s="199">
        <f>SUMIF(忠孝國際醫學3樓!B:B,B4,忠孝國際醫學3樓!G:G)</f>
        <v>0</v>
      </c>
      <c r="J4" s="199">
        <f>SUMIF(忠孝健康7樓!B:B,B4,忠孝健康7樓!G:G)</f>
        <v>15</v>
      </c>
      <c r="K4" s="200">
        <v>3</v>
      </c>
      <c r="L4" s="200">
        <v>3</v>
      </c>
      <c r="M4" s="200">
        <v>2</v>
      </c>
      <c r="N4" s="200">
        <v>5</v>
      </c>
      <c r="O4" s="200">
        <v>4</v>
      </c>
      <c r="P4" s="200">
        <v>6</v>
      </c>
      <c r="Q4" s="200">
        <v>0</v>
      </c>
      <c r="R4" s="200">
        <v>0</v>
      </c>
      <c r="S4" s="200">
        <v>14</v>
      </c>
      <c r="T4" s="200">
        <v>0</v>
      </c>
      <c r="U4" s="200">
        <v>6</v>
      </c>
      <c r="V4" s="200">
        <v>6</v>
      </c>
      <c r="W4" s="200">
        <v>20</v>
      </c>
      <c r="X4" s="200">
        <v>4</v>
      </c>
      <c r="Y4" s="200">
        <v>3</v>
      </c>
      <c r="Z4" s="200">
        <v>0</v>
      </c>
      <c r="AA4" s="200">
        <v>2</v>
      </c>
      <c r="AB4" s="200">
        <v>1</v>
      </c>
      <c r="AC4" s="200">
        <v>9</v>
      </c>
      <c r="AD4" s="200">
        <v>16</v>
      </c>
      <c r="AE4" s="200">
        <v>2</v>
      </c>
      <c r="AF4" s="200">
        <v>3</v>
      </c>
      <c r="AG4" s="200">
        <v>3</v>
      </c>
      <c r="AH4" s="200">
        <v>2</v>
      </c>
      <c r="AI4" s="200">
        <v>6</v>
      </c>
      <c r="AJ4" s="201">
        <v>7.5</v>
      </c>
      <c r="AK4" s="201">
        <v>6.5</v>
      </c>
      <c r="AL4" s="201">
        <v>11</v>
      </c>
      <c r="AM4" s="201">
        <v>11.5</v>
      </c>
      <c r="AN4" s="201">
        <v>11.5</v>
      </c>
      <c r="AO4" s="201">
        <v>21</v>
      </c>
      <c r="AP4" s="201">
        <v>9.5</v>
      </c>
      <c r="AQ4" s="201">
        <v>11</v>
      </c>
      <c r="AR4" s="201">
        <v>17</v>
      </c>
      <c r="AS4" s="201">
        <v>8.5</v>
      </c>
      <c r="AT4" s="202">
        <v>19.5</v>
      </c>
      <c r="AU4" s="203">
        <v>18</v>
      </c>
      <c r="AV4" s="204">
        <f t="shared" ref="AV4:AV20" si="0">SUM(AJ4:AU4)</f>
        <v>152.5</v>
      </c>
      <c r="AW4" s="205">
        <f t="shared" ref="AW4:AW20" si="1">AV4/12</f>
        <v>12.708333333333334</v>
      </c>
      <c r="AX4" s="203">
        <v>64</v>
      </c>
      <c r="AY4" s="203">
        <v>29</v>
      </c>
      <c r="AZ4" s="203">
        <v>54</v>
      </c>
      <c r="BA4" s="203">
        <v>60</v>
      </c>
      <c r="BB4" s="203">
        <v>75</v>
      </c>
      <c r="BC4" s="203">
        <f>SUMIFS(領用表!$L:$L,領用表!$A:$A,BC$2,領用表!$E:$E,B4)</f>
        <v>47</v>
      </c>
      <c r="BD4" s="206">
        <f>SUMIFS(領用表!$L:$L,領用表!$E:$E,$B4,領用表!$B:$B,BC$2&amp;BD$2)</f>
        <v>47</v>
      </c>
      <c r="BE4" s="206">
        <f>SUMIFS(領用表!$L:$L,領用表!$E:$E,$B4,領用表!$B:$B,$BC$2&amp;BE$2)</f>
        <v>0</v>
      </c>
      <c r="BF4" s="206">
        <f>SUMIFS(領用表!$L:$L,領用表!$E:$E,$B4,領用表!$B:$B,$BC$2&amp;BF$2)</f>
        <v>0</v>
      </c>
      <c r="BG4" s="206">
        <f>SUMIFS(領用表!$L:$L,領用表!$E:$E,$B4,領用表!$B:$B,$BC$2&amp;BG$2)</f>
        <v>0</v>
      </c>
      <c r="BH4" s="203">
        <f>SUMIFS(領用表!$L:$L,領用表!$A:$A,BH$2,領用表!$E:$E,B4)</f>
        <v>74</v>
      </c>
      <c r="BI4" s="206">
        <f>SUMIFS(領用表!$L:$L,領用表!$E:$E,$B4,領用表!$B:$B,BH$2&amp;BI$2)</f>
        <v>63</v>
      </c>
      <c r="BJ4" s="206">
        <f>SUMIFS(領用表!$L:$L,領用表!$E:$E,$B4,領用表!$B:$B,$BH$2&amp;BJ$2)</f>
        <v>0</v>
      </c>
      <c r="BK4" s="206">
        <f>SUMIFS(領用表!$L:$L,領用表!$E:$E,$B4,領用表!$B:$B,$BH$2&amp;BK$2)</f>
        <v>11</v>
      </c>
      <c r="BL4" s="206">
        <f>SUMIFS(領用表!$L:$L,領用表!$E:$E,$B4,領用表!$B:$B,$BH$2&amp;BL$2)</f>
        <v>0</v>
      </c>
      <c r="BM4" s="203">
        <f>SUMIFS(領用表!$L:$L,領用表!$A:$A,BM$2,領用表!$E:$E,B4)</f>
        <v>140</v>
      </c>
      <c r="BN4" s="206">
        <f>SUMIFS(領用表!$L:$L,領用表!$E:$E,$B4,領用表!$B:$B,BM$2&amp;BN$2)</f>
        <v>64</v>
      </c>
      <c r="BO4" s="206">
        <f>SUMIFS(領用表!$L:$L,領用表!$E:$E,$B4,領用表!$B:$B,$BM$2&amp;BO$2)</f>
        <v>0</v>
      </c>
      <c r="BP4" s="206">
        <f>SUMIFS(領用表!$L:$L,領用表!$E:$E,$B4,領用表!$B:$B,$BM$2&amp;BP$2)</f>
        <v>76</v>
      </c>
      <c r="BQ4" s="206">
        <f>SUMIFS(領用表!$L:$L,領用表!$E:$E,$B4,領用表!$B:$B,$BM$2&amp;BQ$2)</f>
        <v>0</v>
      </c>
      <c r="BR4" s="203">
        <f>SUMIFS(領用表!$L:$L,領用表!$A:$A,BR$2,領用表!$E:$E,B4)</f>
        <v>115</v>
      </c>
      <c r="BS4" s="207">
        <f>SUMIFS(領用表!$L:$L,領用表!$E:$E,$B4,領用表!$B:$B,BR$2&amp;BS$2)</f>
        <v>64</v>
      </c>
      <c r="BT4" s="207">
        <f>SUMIFS(領用表!$L:$L,領用表!$E:$E,$B4,領用表!$B:$B,$BR$2&amp;BT$2)</f>
        <v>0</v>
      </c>
      <c r="BU4" s="207">
        <f>SUMIFS(領用表!$L:$L,領用表!$E:$E,$B4,領用表!$B:$B,$BR$2&amp;BU$2)</f>
        <v>51</v>
      </c>
      <c r="BV4" s="207">
        <f>SUMIFS(領用表!$L:$L,領用表!$E:$E,$B4,領用表!$B:$B,$BR$2&amp;BV$2)</f>
        <v>0</v>
      </c>
      <c r="BW4" s="208">
        <f>SUMIFS(領用表!$L:$L,領用表!$A:$A,BW$2,領用表!$E:$E,B4)</f>
        <v>141</v>
      </c>
      <c r="BX4" s="206">
        <f>SUMIFS(領用表!$L:$L,領用表!$E:$E,$B4,領用表!$B:$B,BW$2&amp;BX$2)</f>
        <v>68</v>
      </c>
      <c r="BY4" s="206">
        <f>SUMIFS(領用表!$L:$L,領用表!$E:$E,$B4,領用表!$B:$B,$BW$2&amp;BY$2)</f>
        <v>0</v>
      </c>
      <c r="BZ4" s="206">
        <f>SUMIFS(領用表!$L:$L,領用表!$E:$E,$B4,領用表!$B:$B,$BW$2&amp;BZ$2)</f>
        <v>73</v>
      </c>
      <c r="CA4" s="206">
        <f>SUMIFS(領用表!$L:$L,領用表!$E:$E,$B4,領用表!$B:$B,$BW$2&amp;CA$2)</f>
        <v>0</v>
      </c>
      <c r="CB4" s="208">
        <f>SUMIFS(領用表!$L:$L,領用表!$A:$A,CB$2,領用表!$E:$E,B4)</f>
        <v>148</v>
      </c>
      <c r="CC4" s="206">
        <f>SUMIFS(領用表!$L:$L,領用表!$E:$E,$B4,領用表!$B:$B,CB$2&amp;CC$2)</f>
        <v>87</v>
      </c>
      <c r="CD4" s="206">
        <f>SUMIFS(領用表!$L:$L,領用表!$E:$E,$B4,領用表!$B:$B,$CB$2&amp;CD$2)</f>
        <v>0</v>
      </c>
      <c r="CE4" s="206">
        <f>SUMIFS(領用表!$L:$L,領用表!$E:$E,$B4,領用表!$B:$B,$CB$2&amp;CE$2)</f>
        <v>61</v>
      </c>
      <c r="CF4" s="206">
        <f>SUMIFS(領用表!$L:$L,領用表!$E:$E,$B4,領用表!$B:$B,$CB$2&amp;CF$2)</f>
        <v>0</v>
      </c>
      <c r="CG4" s="208">
        <f>SUMIFS(領用表!$L:$L,領用表!$A:$A,CG$2,領用表!$E:$E,B4)</f>
        <v>209</v>
      </c>
      <c r="CH4" s="206">
        <f>SUMIFS(領用表!$L:$L,領用表!$E:$E,$B4,領用表!$B:$B,CG$2&amp;CH$2)</f>
        <v>116</v>
      </c>
      <c r="CI4" s="206">
        <f>SUMIFS(領用表!$L:$L,領用表!$E:$E,$B4,領用表!$B:$B,CG$2&amp;CI$2)</f>
        <v>0</v>
      </c>
      <c r="CJ4" s="206">
        <f>SUMIFS(領用表!$L:$L,領用表!$E:$E,$B4,領用表!$B:$B,CG$2&amp;CJ$2)</f>
        <v>93</v>
      </c>
      <c r="CK4" s="206">
        <f>SUMIFS(領用表!$L:$L,領用表!$E:$E,$B4,領用表!$B:$B,$CG$2&amp;CK$2)</f>
        <v>0</v>
      </c>
      <c r="CL4" s="207">
        <f>SUM(AX4,AY4,AZ4,BA4,BB4,BC4,BH4,BM4,BR4,BW4,CB4,CG4)</f>
        <v>1156</v>
      </c>
      <c r="CM4" s="207">
        <f>AVERAGE(AX4,AY4,AZ4,BA4,BB4,BC4,BH4,BM4,BR4,BW4,CB4,CG4)</f>
        <v>96.333333333333329</v>
      </c>
      <c r="CN4" s="208">
        <f>SUMIFS(領用表!$L:$L,領用表!$A:$A,CN$2,領用表!$E:$E,B4)</f>
        <v>258</v>
      </c>
      <c r="CO4" s="206">
        <f>SUMIFS(領用表!$L:$L,領用表!$E:$E,$B4,領用表!$B:$B,CN$2&amp;CO$2)</f>
        <v>150</v>
      </c>
      <c r="CP4" s="206">
        <f>SUMIFS(領用表!$L:$L,領用表!$E:$E,$B4,領用表!$B:$B,$CN$2&amp;CP$2)</f>
        <v>0</v>
      </c>
      <c r="CQ4" s="206">
        <f>SUMIFS(領用表!$L:$L,領用表!$E:$E,$B4,領用表!$B:$B,$CN$2&amp;CQ$2)</f>
        <v>108</v>
      </c>
      <c r="CR4" s="206">
        <f>SUMIFS(領用表!$L:$L,領用表!$E:$E,$B4,領用表!$B:$B,$CN$2&amp;CR$2)</f>
        <v>0</v>
      </c>
      <c r="CS4" s="208">
        <f>SUMIFS(領用表!$L:$L,領用表!$A:$A,CS$2,領用表!$E:$E,B4)</f>
        <v>330</v>
      </c>
      <c r="CT4" s="206">
        <f>SUMIFS(領用表!$L:$L,領用表!$E:$E,$B4,領用表!$B:$B,CS$2&amp;CT$2)</f>
        <v>220</v>
      </c>
      <c r="CU4" s="206">
        <f>SUMIFS(領用表!$L:$L,領用表!$E:$E,$B4,領用表!$B:$B,$CS$2&amp;CU$2)</f>
        <v>0</v>
      </c>
      <c r="CV4" s="206">
        <f>SUMIFS(領用表!$L:$L,領用表!$E:$E,$B4,領用表!$B:$B,$CS$2&amp;CV$2)</f>
        <v>96</v>
      </c>
      <c r="CW4" s="206">
        <f>SUMIFS(領用表!$L:$L,領用表!$E:$E,$B4,領用表!$B:$B,$CS$2&amp;CW$2)</f>
        <v>0</v>
      </c>
      <c r="CX4" s="206">
        <f>SUMIFS(領用表!$L:$L,領用表!$E:$E,$B4,領用表!$B:$B,$CS$2&amp;CX$2)</f>
        <v>14</v>
      </c>
      <c r="CY4" s="208">
        <f>SUMIFS(領用表!$L:$L,領用表!$A:$A,CY$2,領用表!$E:$E,B4)</f>
        <v>282</v>
      </c>
      <c r="CZ4" s="206">
        <f>SUMIFS(領用表!$L:$L,領用表!$E:$E,$B4,領用表!$B:$B,CY$2&amp;CZ$2)</f>
        <v>176</v>
      </c>
      <c r="DA4" s="206">
        <f>SUMIFS(領用表!$L:$L,領用表!$E:$E,$B4,領用表!$B:$B,$CY$2&amp;DA$2)</f>
        <v>0</v>
      </c>
      <c r="DB4" s="206">
        <f>SUMIFS(領用表!$L:$L,領用表!$E:$E,$B4,領用表!$B:$B,$CY$2&amp;DB$2)</f>
        <v>83</v>
      </c>
      <c r="DC4" s="206">
        <f>SUMIFS(領用表!$L:$L,領用表!$E:$E,$B4,領用表!$B:$B,$CY$2&amp;DC$2)</f>
        <v>0</v>
      </c>
      <c r="DD4" s="206">
        <f>SUMIFS(領用表!$L:$L,領用表!$E:$E,$B4,領用表!$B:$B,$CY$2&amp;DD$2)</f>
        <v>23</v>
      </c>
      <c r="DE4" s="208">
        <f>SUMIFS(領用表!$L:$L,領用表!$A:$A,DE$2,領用表!$E:$E,B4)</f>
        <v>304</v>
      </c>
      <c r="DF4" s="206">
        <f>SUMIFS(領用表!$L:$L,領用表!$E:$E,$B4,領用表!$B:$B,DE$2&amp;DF$2)</f>
        <v>150</v>
      </c>
      <c r="DG4" s="206">
        <f>SUMIFS(領用表!$L:$L,領用表!$E:$E,$B4,領用表!$B:$B,$DE$2&amp;DG$2)</f>
        <v>0</v>
      </c>
      <c r="DH4" s="206">
        <f>SUMIFS(領用表!$L:$L,領用表!$E:$E,$B4,領用表!$B:$B,$DE$2&amp;DH$2)</f>
        <v>118</v>
      </c>
      <c r="DI4" s="206">
        <f>SUMIFS(領用表!$L:$L,領用表!$E:$E,$B4,領用表!$B:$B,$DE$2&amp;DI$2)</f>
        <v>0</v>
      </c>
      <c r="DJ4" s="206">
        <f>SUMIFS(領用表!$L:$L,領用表!$E:$E,$B4,領用表!$B:$B,$DE$2&amp;DJ$2)</f>
        <v>36</v>
      </c>
      <c r="DK4" s="208">
        <f>SUMIFS(領用表!$L:$L,領用表!$A:$A,DK$2,領用表!$E:$E,$B4)</f>
        <v>326</v>
      </c>
      <c r="DL4" s="206">
        <f>SUMIFS(領用表!$L:$L,領用表!$E:$E,$B4,領用表!$B:$B,DK$2&amp;DL$2)</f>
        <v>183</v>
      </c>
      <c r="DM4" s="206">
        <f>SUMIFS(領用表!$L:$L,領用表!$E:$E,$B4,領用表!$B:$B,$DK$2&amp;DM$2)</f>
        <v>0</v>
      </c>
      <c r="DN4" s="206">
        <f>SUMIFS(領用表!$L:$L,領用表!$E:$E,$B4,領用表!$B:$B,$DK$2&amp;DN$2)</f>
        <v>120</v>
      </c>
      <c r="DO4" s="206">
        <f>SUMIFS(領用表!$L:$L,領用表!$E:$E,$B4,領用表!$B:$B,$DK$2&amp;DO$2)</f>
        <v>0</v>
      </c>
      <c r="DP4" s="206">
        <f>SUMIFS(領用表!$L:$L,領用表!$E:$E,$B4,領用表!$B:$B,$DK$2&amp;DP$2)</f>
        <v>23</v>
      </c>
      <c r="DQ4" s="206">
        <f t="shared" ref="DQ4:DQ37" si="2">SUM(CN4,CS4,CY4,DE4,DK4)</f>
        <v>1500</v>
      </c>
      <c r="DR4" s="206">
        <f>AVERAGEA(CN4,CS4,CY4,DE4,DK4)</f>
        <v>300</v>
      </c>
      <c r="DS4" s="206">
        <f>SUM(DT4:DW4)</f>
        <v>240</v>
      </c>
      <c r="DT4" s="206">
        <v>120</v>
      </c>
      <c r="DU4" s="206">
        <v>0</v>
      </c>
      <c r="DV4" s="206">
        <v>120</v>
      </c>
      <c r="DW4" s="206">
        <v>0</v>
      </c>
      <c r="DX4" s="209">
        <v>50</v>
      </c>
      <c r="DY4" s="210">
        <v>0</v>
      </c>
      <c r="DZ4" s="211" t="s">
        <v>781</v>
      </c>
      <c r="EA4" s="211" t="s">
        <v>782</v>
      </c>
      <c r="EB4" s="136"/>
      <c r="EC4" s="212"/>
      <c r="ED4" s="118">
        <f>IFERROR(VLOOKUP(A4,站前4樓!A:BF,57,0),0)</f>
        <v>87</v>
      </c>
      <c r="EE4" s="213">
        <f>IFERROR(VLOOKUP(A4,站前11樓!A:BE,57,0),0)</f>
        <v>0</v>
      </c>
      <c r="EF4" s="118">
        <f>IFERROR(VLOOKUP(A4,忠孝7樓!A:N,57,0),0)</f>
        <v>0</v>
      </c>
      <c r="EG4" s="118">
        <f>IFERROR(VLOOKUP(A4,忠孝國際醫學3樓!A:L,57,0),0)</f>
        <v>0</v>
      </c>
      <c r="EH4" s="118">
        <f>SUM(ED4:EG4)</f>
        <v>87</v>
      </c>
      <c r="EJ4" s="118">
        <v>61</v>
      </c>
      <c r="EK4" s="118">
        <v>85</v>
      </c>
    </row>
    <row r="5" spans="1:141" s="118" customFormat="1" ht="15.75" customHeight="1">
      <c r="A5" s="136" t="s">
        <v>18</v>
      </c>
      <c r="B5" s="118">
        <v>6150002</v>
      </c>
      <c r="C5" s="118" t="s">
        <v>596</v>
      </c>
      <c r="D5" s="197">
        <v>2</v>
      </c>
      <c r="E5" s="198" t="s">
        <v>15</v>
      </c>
      <c r="F5" s="199">
        <f>SUMIF(站前4樓!B:B,B5,站前4樓!F:F)</f>
        <v>4</v>
      </c>
      <c r="G5" s="199">
        <f>SUMIF(站前11樓!B:B,B5,站前11樓!F:F)</f>
        <v>0</v>
      </c>
      <c r="H5" s="199">
        <f>SUMIF(忠孝7樓!B:B,B5,忠孝7樓!G:G)</f>
        <v>22</v>
      </c>
      <c r="I5" s="199">
        <f>SUMIF(忠孝國際醫學3樓!B:B,B5,忠孝國際醫學3樓!G:G)</f>
        <v>0</v>
      </c>
      <c r="J5" s="199">
        <f>SUMIF(忠孝健康7樓!B:B,B5,忠孝健康7樓!G:G)</f>
        <v>9</v>
      </c>
      <c r="K5" s="200">
        <v>0</v>
      </c>
      <c r="L5" s="200">
        <v>3</v>
      </c>
      <c r="M5" s="200">
        <v>0</v>
      </c>
      <c r="N5" s="200">
        <v>3</v>
      </c>
      <c r="O5" s="200">
        <v>0</v>
      </c>
      <c r="P5" s="200">
        <v>0</v>
      </c>
      <c r="Q5" s="200">
        <v>0</v>
      </c>
      <c r="R5" s="200">
        <v>0</v>
      </c>
      <c r="S5" s="200">
        <v>3</v>
      </c>
      <c r="T5" s="200">
        <v>0</v>
      </c>
      <c r="U5" s="200">
        <v>2</v>
      </c>
      <c r="V5" s="200">
        <v>0</v>
      </c>
      <c r="W5" s="200">
        <v>2</v>
      </c>
      <c r="X5" s="200">
        <v>5</v>
      </c>
      <c r="Y5" s="200">
        <v>0</v>
      </c>
      <c r="Z5" s="200">
        <v>0</v>
      </c>
      <c r="AA5" s="200">
        <v>0</v>
      </c>
      <c r="AB5" s="200">
        <v>1</v>
      </c>
      <c r="AC5" s="200">
        <v>0</v>
      </c>
      <c r="AD5" s="200">
        <v>4</v>
      </c>
      <c r="AE5" s="200">
        <v>0</v>
      </c>
      <c r="AF5" s="200">
        <v>1</v>
      </c>
      <c r="AG5" s="200">
        <v>1</v>
      </c>
      <c r="AH5" s="200">
        <v>3</v>
      </c>
      <c r="AI5" s="200">
        <v>19</v>
      </c>
      <c r="AJ5" s="201">
        <v>4.5</v>
      </c>
      <c r="AK5" s="201">
        <v>0.5</v>
      </c>
      <c r="AL5" s="201">
        <v>3.5</v>
      </c>
      <c r="AM5" s="201">
        <v>0.5</v>
      </c>
      <c r="AN5" s="201">
        <v>3</v>
      </c>
      <c r="AO5" s="201">
        <v>5.5</v>
      </c>
      <c r="AP5" s="201">
        <v>4.5</v>
      </c>
      <c r="AQ5" s="201">
        <v>3.5</v>
      </c>
      <c r="AR5" s="201">
        <v>1</v>
      </c>
      <c r="AS5" s="201">
        <v>1</v>
      </c>
      <c r="AT5" s="202">
        <v>3</v>
      </c>
      <c r="AU5" s="203">
        <v>6</v>
      </c>
      <c r="AV5" s="204">
        <f t="shared" si="0"/>
        <v>36.5</v>
      </c>
      <c r="AW5" s="205">
        <f t="shared" si="1"/>
        <v>3.0416666666666665</v>
      </c>
      <c r="AX5" s="203">
        <v>11</v>
      </c>
      <c r="AY5" s="203">
        <v>2</v>
      </c>
      <c r="AZ5" s="203">
        <v>1</v>
      </c>
      <c r="BA5" s="203">
        <v>9</v>
      </c>
      <c r="BB5" s="203">
        <v>3</v>
      </c>
      <c r="BC5" s="203">
        <f>SUMIFS(領用表!$L:$L,領用表!$A:$A,BC$2,領用表!$E:$E,B5)</f>
        <v>3</v>
      </c>
      <c r="BD5" s="206">
        <f>SUMIFS(領用表!$L:$L,領用表!$E:$E,$B5,領用表!$B:$B,BC$2&amp;BD$2)</f>
        <v>3</v>
      </c>
      <c r="BE5" s="206">
        <f>SUMIFS(領用表!$L:$L,領用表!$E:$E,$B5,領用表!$B:$B,$BC$2&amp;BE$2)</f>
        <v>0</v>
      </c>
      <c r="BF5" s="206">
        <f>SUMIFS(領用表!$L:$L,領用表!$E:$E,$B5,領用表!$B:$B,$BC$2&amp;BF$2)</f>
        <v>0</v>
      </c>
      <c r="BG5" s="206">
        <f>SUMIFS(領用表!$L:$L,領用表!$E:$E,$B5,領用表!$B:$B,$BC$2&amp;BG$2)</f>
        <v>0</v>
      </c>
      <c r="BH5" s="203">
        <f>SUMIFS(領用表!$L:$L,領用表!$A:$A,BH$2,領用表!$E:$E,B5)</f>
        <v>16</v>
      </c>
      <c r="BI5" s="206">
        <f>SUMIFS(領用表!$L:$L,領用表!$E:$E,$B5,領用表!$B:$B,BH$2&amp;BI$2)</f>
        <v>10</v>
      </c>
      <c r="BJ5" s="206">
        <f>SUMIFS(領用表!$L:$L,領用表!$E:$E,$B5,領用表!$B:$B,$BH$2&amp;BJ$2)</f>
        <v>0</v>
      </c>
      <c r="BK5" s="206">
        <f>SUMIFS(領用表!$L:$L,領用表!$E:$E,$B5,領用表!$B:$B,$BH$2&amp;BK$2)</f>
        <v>6</v>
      </c>
      <c r="BL5" s="206">
        <f>SUMIFS(領用表!$L:$L,領用表!$E:$E,$B5,領用表!$B:$B,$BH$2&amp;BL$2)</f>
        <v>0</v>
      </c>
      <c r="BM5" s="203">
        <f>SUMIFS(領用表!$L:$L,領用表!$A:$A,BM$2,領用表!$E:$E,B5)</f>
        <v>6</v>
      </c>
      <c r="BN5" s="206">
        <f>SUMIFS(領用表!$L:$L,領用表!$E:$E,$B5,領用表!$B:$B,BM$2&amp;BN$2)</f>
        <v>3</v>
      </c>
      <c r="BO5" s="206">
        <f>SUMIFS(領用表!$L:$L,領用表!$E:$E,$B5,領用表!$B:$B,$BM$2&amp;BO$2)</f>
        <v>0</v>
      </c>
      <c r="BP5" s="206">
        <f>SUMIFS(領用表!$L:$L,領用表!$E:$E,$B5,領用表!$B:$B,$BM$2&amp;BP$2)</f>
        <v>3</v>
      </c>
      <c r="BQ5" s="206">
        <f>SUMIFS(領用表!$L:$L,領用表!$E:$E,$B5,領用表!$B:$B,$BM$2&amp;BQ$2)</f>
        <v>0</v>
      </c>
      <c r="BR5" s="203">
        <f>SUMIFS(領用表!$L:$L,領用表!$A:$A,BR$2,領用表!$E:$E,B5)</f>
        <v>11</v>
      </c>
      <c r="BS5" s="206">
        <f>SUMIFS(領用表!$L:$L,領用表!$E:$E,$B5,領用表!$B:$B,BR$2&amp;BS$2)</f>
        <v>9</v>
      </c>
      <c r="BT5" s="206">
        <f>SUMIFS(領用表!$L:$L,領用表!$E:$E,$B5,領用表!$B:$B,$BR$2&amp;BT$2)</f>
        <v>0</v>
      </c>
      <c r="BU5" s="206">
        <f>SUMIFS(領用表!$L:$L,領用表!$E:$E,$B5,領用表!$B:$B,$BR$2&amp;BU$2)</f>
        <v>2</v>
      </c>
      <c r="BV5" s="206">
        <f>SUMIFS(領用表!$L:$L,領用表!$E:$E,$B5,領用表!$B:$B,$BR$2&amp;BV$2)</f>
        <v>0</v>
      </c>
      <c r="BW5" s="208">
        <f>SUMIFS(領用表!$L:$L,領用表!$A:$A,BW$2,領用表!$E:$E,B5)</f>
        <v>10</v>
      </c>
      <c r="BX5" s="206">
        <f>SUMIFS(領用表!$L:$L,領用表!$E:$E,$B5,領用表!$B:$B,BW$2&amp;BX$2)</f>
        <v>5</v>
      </c>
      <c r="BY5" s="206">
        <f>SUMIFS(領用表!$L:$L,領用表!$E:$E,$B5,領用表!$B:$B,$BW$2&amp;BY$2)</f>
        <v>0</v>
      </c>
      <c r="BZ5" s="206">
        <f>SUMIFS(領用表!$L:$L,領用表!$E:$E,$B5,領用表!$B:$B,$BW$2&amp;BZ$2)</f>
        <v>5</v>
      </c>
      <c r="CA5" s="206">
        <f>SUMIFS(領用表!$L:$L,領用表!$E:$E,$B5,領用表!$B:$B,$BW$2&amp;CA$2)</f>
        <v>0</v>
      </c>
      <c r="CB5" s="208">
        <f>SUMIFS(領用表!$L:$L,領用表!$A:$A,CB$2,領用表!$E:$E,B5)</f>
        <v>12</v>
      </c>
      <c r="CC5" s="206">
        <f>SUMIFS(領用表!$L:$L,領用表!$E:$E,$B5,領用表!$B:$B,CB$2&amp;CC$2)</f>
        <v>2</v>
      </c>
      <c r="CD5" s="206">
        <f>SUMIFS(領用表!$L:$L,領用表!$E:$E,$B5,領用表!$B:$B,$CB$2&amp;CD$2)</f>
        <v>0</v>
      </c>
      <c r="CE5" s="206">
        <f>SUMIFS(領用表!$L:$L,領用表!$E:$E,$B5,領用表!$B:$B,$CB$2&amp;CE$2)</f>
        <v>10</v>
      </c>
      <c r="CF5" s="206">
        <f>SUMIFS(領用表!$L:$L,領用表!$E:$E,$B5,領用表!$B:$B,$CB$2&amp;CF$2)</f>
        <v>0</v>
      </c>
      <c r="CG5" s="208">
        <f>SUMIFS(領用表!$L:$L,領用表!$A:$A,CG$2,領用表!$E:$E,B5)</f>
        <v>27</v>
      </c>
      <c r="CH5" s="206">
        <f>SUMIFS(領用表!$L:$L,領用表!$E:$E,$B5,領用表!$B:$B,CG$2&amp;CH$2)</f>
        <v>3</v>
      </c>
      <c r="CI5" s="206">
        <f>SUMIFS(領用表!$L:$L,領用表!$E:$E,$B5,領用表!$B:$B,CG$2&amp;CI$2)</f>
        <v>0</v>
      </c>
      <c r="CJ5" s="206">
        <f>SUMIFS(領用表!$L:$L,領用表!$E:$E,$B5,領用表!$B:$B,CG$2&amp;CJ$2)</f>
        <v>24</v>
      </c>
      <c r="CK5" s="206">
        <f>SUMIFS(領用表!$L:$L,領用表!$E:$E,$B5,領用表!$B:$B,$CG$2&amp;CK$2)</f>
        <v>0</v>
      </c>
      <c r="CL5" s="207">
        <f t="shared" ref="CL5:CL40" si="3">SUM(AX5,AY5,AZ5,BA5,BB5,BC5,BH5,BM5,BR5,BW5,CB5,CG5)</f>
        <v>111</v>
      </c>
      <c r="CM5" s="207">
        <f t="shared" ref="CM5:CM40" si="4">AVERAGE(AX5,AY5,AZ5,BA5,BB5,BC5,BH5,BM5,BR5,BW5,CB5,CG5)</f>
        <v>9.25</v>
      </c>
      <c r="CN5" s="208">
        <f>SUMIFS(領用表!$L:$L,領用表!$A:$A,CN$2,領用表!$E:$E,B5)</f>
        <v>31</v>
      </c>
      <c r="CO5" s="206">
        <f>SUMIFS(領用表!$L:$L,領用表!$E:$E,$B5,領用表!$B:$B,CN$2&amp;CO$2)</f>
        <v>6</v>
      </c>
      <c r="CP5" s="206">
        <f>SUMIFS(領用表!$L:$L,領用表!$E:$E,$B5,領用表!$B:$B,$CN$2&amp;CP$2)</f>
        <v>0</v>
      </c>
      <c r="CQ5" s="206">
        <f>SUMIFS(領用表!$L:$L,領用表!$E:$E,$B5,領用表!$B:$B,$CN$2&amp;CQ$2)</f>
        <v>25</v>
      </c>
      <c r="CR5" s="206">
        <f>SUMIFS(領用表!$L:$L,領用表!$E:$E,$B5,領用表!$B:$B,$CN$2&amp;CR$2)</f>
        <v>0</v>
      </c>
      <c r="CS5" s="208">
        <f>SUMIFS(領用表!$L:$L,領用表!$A:$A,CS$2,領用表!$E:$E,B5)</f>
        <v>27</v>
      </c>
      <c r="CT5" s="206">
        <f>SUMIFS(領用表!$L:$L,領用表!$E:$E,$B5,領用表!$B:$B,CS$2&amp;CT$2)</f>
        <v>7</v>
      </c>
      <c r="CU5" s="206">
        <f>SUMIFS(領用表!$L:$L,領用表!$E:$E,$B5,領用表!$B:$B,$CS$2&amp;CU$2)</f>
        <v>0</v>
      </c>
      <c r="CV5" s="206">
        <f>SUMIFS(領用表!$L:$L,領用表!$E:$E,$B5,領用表!$B:$B,$CS$2&amp;CV$2)</f>
        <v>20</v>
      </c>
      <c r="CW5" s="206">
        <f>SUMIFS(領用表!$L:$L,領用表!$E:$E,$B5,領用表!$B:$B,$CS$2&amp;CW$2)</f>
        <v>0</v>
      </c>
      <c r="CX5" s="206">
        <f>SUMIFS(領用表!$L:$L,領用表!$E:$E,$B5,領用表!$B:$B,$CS$2&amp;CX$2)</f>
        <v>0</v>
      </c>
      <c r="CY5" s="208">
        <f>SUMIFS(領用表!$L:$L,領用表!$A:$A,CY$2,領用表!$E:$E,B5)</f>
        <v>30</v>
      </c>
      <c r="CZ5" s="206">
        <f>SUMIFS(領用表!$L:$L,領用表!$E:$E,$B5,領用表!$B:$B,CY$2&amp;CZ$2)</f>
        <v>11</v>
      </c>
      <c r="DA5" s="206">
        <f>SUMIFS(領用表!$L:$L,領用表!$E:$E,$B5,領用表!$B:$B,$CY$2&amp;DA$2)</f>
        <v>0</v>
      </c>
      <c r="DB5" s="206">
        <f>SUMIFS(領用表!$L:$L,領用表!$E:$E,$B5,領用表!$B:$B,$CY$2&amp;DB$2)</f>
        <v>16</v>
      </c>
      <c r="DC5" s="206">
        <f>SUMIFS(領用表!$L:$L,領用表!$E:$E,$B5,領用表!$B:$B,$CY$2&amp;DC$2)</f>
        <v>0</v>
      </c>
      <c r="DD5" s="206">
        <f>SUMIFS(領用表!$L:$L,領用表!$E:$E,$B5,領用表!$B:$B,$CY$2&amp;DD$2)</f>
        <v>3</v>
      </c>
      <c r="DE5" s="208">
        <f>SUMIFS(領用表!$L:$L,領用表!$A:$A,DE$2,領用表!$E:$E,B5)</f>
        <v>31</v>
      </c>
      <c r="DF5" s="206">
        <f>SUMIFS(領用表!$L:$L,領用表!$E:$E,$B5,領用表!$B:$B,DE$2&amp;DF$2)</f>
        <v>7</v>
      </c>
      <c r="DG5" s="206">
        <f>SUMIFS(領用表!$L:$L,領用表!$E:$E,$B5,領用表!$B:$B,$DE$2&amp;DG$2)</f>
        <v>0</v>
      </c>
      <c r="DH5" s="206">
        <f>SUMIFS(領用表!$L:$L,領用表!$E:$E,$B5,領用表!$B:$B,$DE$2&amp;DH$2)</f>
        <v>21</v>
      </c>
      <c r="DI5" s="206">
        <f>SUMIFS(領用表!$L:$L,領用表!$E:$E,$B5,領用表!$B:$B,$DE$2&amp;DI$2)</f>
        <v>0</v>
      </c>
      <c r="DJ5" s="206">
        <f>SUMIFS(領用表!$L:$L,領用表!$E:$E,$B5,領用表!$B:$B,$DE$2&amp;DJ$2)</f>
        <v>3</v>
      </c>
      <c r="DK5" s="208">
        <f>SUMIFS(領用表!$L:$L,領用表!$A:$A,DK$2,領用表!$E:$E,$B5)</f>
        <v>31</v>
      </c>
      <c r="DL5" s="206">
        <f>SUMIFS(領用表!$L:$L,領用表!$E:$E,$B5,領用表!$B:$B,DK$2&amp;DL$2)</f>
        <v>6</v>
      </c>
      <c r="DM5" s="206">
        <f>SUMIFS(領用表!$L:$L,領用表!$E:$E,$B5,領用表!$B:$B,$DK$2&amp;DM$2)</f>
        <v>0</v>
      </c>
      <c r="DN5" s="206">
        <f>SUMIFS(領用表!$L:$L,領用表!$E:$E,$B5,領用表!$B:$B,$DK$2&amp;DN$2)</f>
        <v>18</v>
      </c>
      <c r="DO5" s="206">
        <f>SUMIFS(領用表!$L:$L,領用表!$E:$E,$B5,領用表!$B:$B,$DK$2&amp;DO$2)</f>
        <v>0</v>
      </c>
      <c r="DP5" s="206">
        <f>SUMIFS(領用表!$L:$L,領用表!$E:$E,$B5,領用表!$B:$B,$DK$2&amp;DP$2)</f>
        <v>7</v>
      </c>
      <c r="DQ5" s="206">
        <f t="shared" si="2"/>
        <v>150</v>
      </c>
      <c r="DR5" s="206">
        <f t="shared" ref="DR5:DR37" si="5">AVERAGEA(CN5,CS5,CY5,DE5,DK5)</f>
        <v>30</v>
      </c>
      <c r="DS5" s="206">
        <f t="shared" ref="DS5:DS72" si="6">SUM(DT5:DW5)</f>
        <v>33</v>
      </c>
      <c r="DT5" s="206">
        <v>8</v>
      </c>
      <c r="DU5" s="206">
        <v>0</v>
      </c>
      <c r="DV5" s="206">
        <v>25</v>
      </c>
      <c r="DW5" s="206">
        <v>0</v>
      </c>
      <c r="DX5" s="209">
        <v>10</v>
      </c>
      <c r="DY5" s="210">
        <v>0</v>
      </c>
      <c r="DZ5" s="211"/>
      <c r="EA5" s="211" t="s">
        <v>782</v>
      </c>
      <c r="EB5" s="136"/>
      <c r="EC5" s="212"/>
      <c r="ED5" s="118">
        <f>IFERROR(VLOOKUP(A5,站前4樓!A:BF,57,0),0)</f>
        <v>2</v>
      </c>
      <c r="EE5" s="213">
        <f>IFERROR(VLOOKUP(A5,站前11樓!A:BE,57,0),0)</f>
        <v>0</v>
      </c>
      <c r="EF5" s="118">
        <f>IFERROR(VLOOKUP(A5,忠孝7樓!A:N,57,0),0)</f>
        <v>0</v>
      </c>
      <c r="EG5" s="118">
        <f>IFERROR(VLOOKUP(A5,忠孝國際醫學3樓!A:L,57,0),0)</f>
        <v>0</v>
      </c>
      <c r="EH5" s="118">
        <f t="shared" ref="EH5:EH71" si="7">SUM(ED5:EG5)</f>
        <v>2</v>
      </c>
      <c r="EJ5" s="118">
        <v>19</v>
      </c>
      <c r="EK5" s="118">
        <v>8</v>
      </c>
    </row>
    <row r="6" spans="1:141" s="118" customFormat="1" ht="15.75" customHeight="1">
      <c r="A6" s="136" t="s">
        <v>19</v>
      </c>
      <c r="B6" s="118">
        <v>6150003</v>
      </c>
      <c r="C6" s="118" t="s">
        <v>597</v>
      </c>
      <c r="D6" s="197">
        <v>2</v>
      </c>
      <c r="E6" s="198" t="s">
        <v>15</v>
      </c>
      <c r="F6" s="199">
        <f>SUMIF(站前4樓!B:B,B6,站前4樓!F:F)</f>
        <v>4</v>
      </c>
      <c r="G6" s="199">
        <f>SUMIF(站前11樓!B:B,B6,站前11樓!F:F)</f>
        <v>0</v>
      </c>
      <c r="H6" s="199">
        <f>SUMIF(忠孝7樓!B:B,B6,忠孝7樓!G:G)</f>
        <v>4</v>
      </c>
      <c r="I6" s="199">
        <f>SUMIF(忠孝國際醫學3樓!B:B,B6,忠孝國際醫學3樓!G:G)</f>
        <v>0</v>
      </c>
      <c r="J6" s="199">
        <f>SUMIF(忠孝健康7樓!B:B,B6,忠孝健康7樓!G:G)</f>
        <v>10</v>
      </c>
      <c r="K6" s="200">
        <v>1</v>
      </c>
      <c r="L6" s="200">
        <v>1</v>
      </c>
      <c r="M6" s="200">
        <v>0</v>
      </c>
      <c r="N6" s="200">
        <v>0</v>
      </c>
      <c r="O6" s="200">
        <v>2</v>
      </c>
      <c r="P6" s="200">
        <v>1</v>
      </c>
      <c r="Q6" s="200">
        <v>0</v>
      </c>
      <c r="R6" s="200">
        <v>0</v>
      </c>
      <c r="S6" s="200">
        <v>2</v>
      </c>
      <c r="T6" s="200">
        <v>0</v>
      </c>
      <c r="U6" s="200">
        <v>0</v>
      </c>
      <c r="V6" s="200">
        <v>1</v>
      </c>
      <c r="W6" s="200">
        <v>6</v>
      </c>
      <c r="X6" s="200">
        <v>3</v>
      </c>
      <c r="Y6" s="200">
        <v>0</v>
      </c>
      <c r="Z6" s="200">
        <v>0</v>
      </c>
      <c r="AA6" s="200">
        <v>0</v>
      </c>
      <c r="AB6" s="200">
        <v>2</v>
      </c>
      <c r="AC6" s="200">
        <v>1</v>
      </c>
      <c r="AD6" s="200">
        <v>3</v>
      </c>
      <c r="AE6" s="200">
        <v>0</v>
      </c>
      <c r="AF6" s="200">
        <v>0</v>
      </c>
      <c r="AG6" s="200">
        <v>0</v>
      </c>
      <c r="AH6" s="200">
        <v>2</v>
      </c>
      <c r="AI6" s="200">
        <v>10</v>
      </c>
      <c r="AJ6" s="201">
        <v>1</v>
      </c>
      <c r="AK6" s="201">
        <v>0</v>
      </c>
      <c r="AL6" s="201">
        <v>0.5</v>
      </c>
      <c r="AM6" s="201">
        <v>0.5</v>
      </c>
      <c r="AN6" s="201">
        <v>0</v>
      </c>
      <c r="AO6" s="201">
        <v>2.5</v>
      </c>
      <c r="AP6" s="201">
        <v>0.5</v>
      </c>
      <c r="AQ6" s="201">
        <v>0.5</v>
      </c>
      <c r="AR6" s="201">
        <v>7</v>
      </c>
      <c r="AS6" s="201">
        <v>10</v>
      </c>
      <c r="AT6" s="202">
        <v>0.5</v>
      </c>
      <c r="AU6" s="203">
        <v>0</v>
      </c>
      <c r="AV6" s="204">
        <f t="shared" si="0"/>
        <v>23</v>
      </c>
      <c r="AW6" s="205">
        <f t="shared" si="1"/>
        <v>1.9166666666666667</v>
      </c>
      <c r="AX6" s="203">
        <v>1</v>
      </c>
      <c r="AY6" s="203">
        <v>0</v>
      </c>
      <c r="AZ6" s="203">
        <v>0</v>
      </c>
      <c r="BA6" s="214">
        <v>1</v>
      </c>
      <c r="BB6" s="203">
        <v>6</v>
      </c>
      <c r="BC6" s="203">
        <f>SUMIFS(領用表!$L:$L,領用表!$A:$A,BC$2,領用表!$E:$E,B6)</f>
        <v>3</v>
      </c>
      <c r="BD6" s="206">
        <f>SUMIFS(領用表!$L:$L,領用表!$E:$E,$B6,領用表!$B:$B,BC$2&amp;BD$2)</f>
        <v>3</v>
      </c>
      <c r="BE6" s="206">
        <f>SUMIFS(領用表!$L:$L,領用表!$E:$E,$B6,領用表!$B:$B,$BC$2&amp;BE$2)</f>
        <v>0</v>
      </c>
      <c r="BF6" s="206">
        <f>SUMIFS(領用表!$L:$L,領用表!$E:$E,$B6,領用表!$B:$B,$BC$2&amp;BF$2)</f>
        <v>0</v>
      </c>
      <c r="BG6" s="206">
        <f>SUMIFS(領用表!$L:$L,領用表!$E:$E,$B6,領用表!$B:$B,$BC$2&amp;BG$2)</f>
        <v>0</v>
      </c>
      <c r="BH6" s="203">
        <f>SUMIFS(領用表!$L:$L,領用表!$A:$A,BH$2,領用表!$E:$E,B6)</f>
        <v>6</v>
      </c>
      <c r="BI6" s="206">
        <f>SUMIFS(領用表!$L:$L,領用表!$E:$E,$B6,領用表!$B:$B,BH$2&amp;BI$2)</f>
        <v>6</v>
      </c>
      <c r="BJ6" s="206">
        <f>SUMIFS(領用表!$L:$L,領用表!$E:$E,$B6,領用表!$B:$B,$BH$2&amp;BJ$2)</f>
        <v>0</v>
      </c>
      <c r="BK6" s="206">
        <f>SUMIFS(領用表!$L:$L,領用表!$E:$E,$B6,領用表!$B:$B,$BH$2&amp;BK$2)</f>
        <v>0</v>
      </c>
      <c r="BL6" s="206">
        <f>SUMIFS(領用表!$L:$L,領用表!$E:$E,$B6,領用表!$B:$B,$BH$2&amp;BL$2)</f>
        <v>0</v>
      </c>
      <c r="BM6" s="203">
        <f>SUMIFS(領用表!$L:$L,領用表!$A:$A,BM$2,領用表!$E:$E,B6)</f>
        <v>8</v>
      </c>
      <c r="BN6" s="206">
        <f>SUMIFS(領用表!$L:$L,領用表!$E:$E,$B6,領用表!$B:$B,BM$2&amp;BN$2)</f>
        <v>7</v>
      </c>
      <c r="BO6" s="206">
        <f>SUMIFS(領用表!$L:$L,領用表!$E:$E,$B6,領用表!$B:$B,$BM$2&amp;BO$2)</f>
        <v>0</v>
      </c>
      <c r="BP6" s="206">
        <f>SUMIFS(領用表!$L:$L,領用表!$E:$E,$B6,領用表!$B:$B,$BM$2&amp;BP$2)</f>
        <v>1</v>
      </c>
      <c r="BQ6" s="206">
        <f>SUMIFS(領用表!$L:$L,領用表!$E:$E,$B6,領用表!$B:$B,$BM$2&amp;BQ$2)</f>
        <v>0</v>
      </c>
      <c r="BR6" s="203">
        <f>SUMIFS(領用表!$L:$L,領用表!$A:$A,BR$2,領用表!$E:$E,B6)</f>
        <v>1</v>
      </c>
      <c r="BS6" s="206">
        <f>SUMIFS(領用表!$L:$L,領用表!$E:$E,$B6,領用表!$B:$B,BR$2&amp;BS$2)</f>
        <v>0</v>
      </c>
      <c r="BT6" s="206">
        <f>SUMIFS(領用表!$L:$L,領用表!$E:$E,$B6,領用表!$B:$B,$BR$2&amp;BT$2)</f>
        <v>0</v>
      </c>
      <c r="BU6" s="206">
        <f>SUMIFS(領用表!$L:$L,領用表!$E:$E,$B6,領用表!$B:$B,$BR$2&amp;BU$2)</f>
        <v>1</v>
      </c>
      <c r="BV6" s="206">
        <f>SUMIFS(領用表!$L:$L,領用表!$E:$E,$B6,領用表!$B:$B,$BR$2&amp;BV$2)</f>
        <v>0</v>
      </c>
      <c r="BW6" s="208">
        <f>SUMIFS(領用表!$L:$L,領用表!$A:$A,BW$2,領用表!$E:$E,B6)</f>
        <v>5</v>
      </c>
      <c r="BX6" s="206">
        <f>SUMIFS(領用表!$L:$L,領用表!$E:$E,$B6,領用表!$B:$B,BW$2&amp;BX$2)</f>
        <v>1</v>
      </c>
      <c r="BY6" s="206">
        <f>SUMIFS(領用表!$L:$L,領用表!$E:$E,$B6,領用表!$B:$B,$BW$2&amp;BY$2)</f>
        <v>0</v>
      </c>
      <c r="BZ6" s="206">
        <f>SUMIFS(領用表!$L:$L,領用表!$E:$E,$B6,領用表!$B:$B,$BW$2&amp;BZ$2)</f>
        <v>4</v>
      </c>
      <c r="CA6" s="206">
        <f>SUMIFS(領用表!$L:$L,領用表!$E:$E,$B6,領用表!$B:$B,$BW$2&amp;CA$2)</f>
        <v>0</v>
      </c>
      <c r="CB6" s="208">
        <f>SUMIFS(領用表!$L:$L,領用表!$A:$A,CB$2,領用表!$E:$E,B6)</f>
        <v>3</v>
      </c>
      <c r="CC6" s="206">
        <f>SUMIFS(領用表!$L:$L,領用表!$E:$E,$B6,領用表!$B:$B,CB$2&amp;CC$2)</f>
        <v>3</v>
      </c>
      <c r="CD6" s="206">
        <f>SUMIFS(領用表!$L:$L,領用表!$E:$E,$B6,領用表!$B:$B,$CB$2&amp;CD$2)</f>
        <v>0</v>
      </c>
      <c r="CE6" s="206">
        <f>SUMIFS(領用表!$L:$L,領用表!$E:$E,$B6,領用表!$B:$B,$CB$2&amp;CE$2)</f>
        <v>0</v>
      </c>
      <c r="CF6" s="206">
        <f>SUMIFS(領用表!$L:$L,領用表!$E:$E,$B6,領用表!$B:$B,$CB$2&amp;CF$2)</f>
        <v>0</v>
      </c>
      <c r="CG6" s="208">
        <f>SUMIFS(領用表!$L:$L,領用表!$A:$A,CG$2,領用表!$E:$E,B6)</f>
        <v>5</v>
      </c>
      <c r="CH6" s="206">
        <f>SUMIFS(領用表!$L:$L,領用表!$E:$E,$B6,領用表!$B:$B,CG$2&amp;CH$2)</f>
        <v>4</v>
      </c>
      <c r="CI6" s="206">
        <f>SUMIFS(領用表!$L:$L,領用表!$E:$E,$B6,領用表!$B:$B,CG$2&amp;CI$2)</f>
        <v>0</v>
      </c>
      <c r="CJ6" s="206">
        <f>SUMIFS(領用表!$L:$L,領用表!$E:$E,$B6,領用表!$B:$B,CG$2&amp;CJ$2)</f>
        <v>1</v>
      </c>
      <c r="CK6" s="206">
        <f>SUMIFS(領用表!$L:$L,領用表!$E:$E,$B6,領用表!$B:$B,$CG$2&amp;CK$2)</f>
        <v>0</v>
      </c>
      <c r="CL6" s="207">
        <f t="shared" si="3"/>
        <v>39</v>
      </c>
      <c r="CM6" s="207">
        <f t="shared" si="4"/>
        <v>3.25</v>
      </c>
      <c r="CN6" s="208">
        <f>SUMIFS(領用表!$L:$L,領用表!$A:$A,CN$2,領用表!$E:$E,B6)</f>
        <v>23</v>
      </c>
      <c r="CO6" s="206">
        <f>SUMIFS(領用表!$L:$L,領用表!$E:$E,$B6,領用表!$B:$B,CN$2&amp;CO$2)</f>
        <v>10</v>
      </c>
      <c r="CP6" s="206">
        <f>SUMIFS(領用表!$L:$L,領用表!$E:$E,$B6,領用表!$B:$B,$CN$2&amp;CP$2)</f>
        <v>0</v>
      </c>
      <c r="CQ6" s="206">
        <f>SUMIFS(領用表!$L:$L,領用表!$E:$E,$B6,領用表!$B:$B,$CN$2&amp;CQ$2)</f>
        <v>13</v>
      </c>
      <c r="CR6" s="206">
        <f>SUMIFS(領用表!$L:$L,領用表!$E:$E,$B6,領用表!$B:$B,$CN$2&amp;CR$2)</f>
        <v>0</v>
      </c>
      <c r="CS6" s="208">
        <f>SUMIFS(領用表!$L:$L,領用表!$A:$A,CS$2,領用表!$E:$E,B6)</f>
        <v>10</v>
      </c>
      <c r="CT6" s="206">
        <f>SUMIFS(領用表!$L:$L,領用表!$E:$E,$B6,領用表!$B:$B,CS$2&amp;CT$2)</f>
        <v>6</v>
      </c>
      <c r="CU6" s="206">
        <f>SUMIFS(領用表!$L:$L,領用表!$E:$E,$B6,領用表!$B:$B,$CS$2&amp;CU$2)</f>
        <v>0</v>
      </c>
      <c r="CV6" s="206">
        <f>SUMIFS(領用表!$L:$L,領用表!$E:$E,$B6,領用表!$B:$B,$CS$2&amp;CV$2)</f>
        <v>4</v>
      </c>
      <c r="CW6" s="206">
        <f>SUMIFS(領用表!$L:$L,領用表!$E:$E,$B6,領用表!$B:$B,$CS$2&amp;CW$2)</f>
        <v>0</v>
      </c>
      <c r="CX6" s="206">
        <f>SUMIFS(領用表!$L:$L,領用表!$E:$E,$B6,領用表!$B:$B,$CS$2&amp;CX$2)</f>
        <v>0</v>
      </c>
      <c r="CY6" s="208">
        <f>SUMIFS(領用表!$L:$L,領用表!$A:$A,CY$2,領用表!$E:$E,B6)</f>
        <v>5</v>
      </c>
      <c r="CZ6" s="206">
        <f>SUMIFS(領用表!$L:$L,領用表!$E:$E,$B6,領用表!$B:$B,CY$2&amp;CZ$2)</f>
        <v>4</v>
      </c>
      <c r="DA6" s="206">
        <f>SUMIFS(領用表!$L:$L,領用表!$E:$E,$B6,領用表!$B:$B,$CY$2&amp;DA$2)</f>
        <v>0</v>
      </c>
      <c r="DB6" s="206">
        <f>SUMIFS(領用表!$L:$L,領用表!$E:$E,$B6,領用表!$B:$B,$CY$2&amp;DB$2)</f>
        <v>1</v>
      </c>
      <c r="DC6" s="206">
        <f>SUMIFS(領用表!$L:$L,領用表!$E:$E,$B6,領用表!$B:$B,$CY$2&amp;DC$2)</f>
        <v>0</v>
      </c>
      <c r="DD6" s="206">
        <f>SUMIFS(領用表!$L:$L,領用表!$E:$E,$B6,領用表!$B:$B,$CY$2&amp;DD$2)</f>
        <v>0</v>
      </c>
      <c r="DE6" s="208">
        <f>SUMIFS(領用表!$L:$L,領用表!$A:$A,DE$2,領用表!$E:$E,B6)</f>
        <v>7</v>
      </c>
      <c r="DF6" s="206">
        <f>SUMIFS(領用表!$L:$L,領用表!$E:$E,$B6,領用表!$B:$B,DE$2&amp;DF$2)</f>
        <v>3</v>
      </c>
      <c r="DG6" s="206">
        <f>SUMIFS(領用表!$L:$L,領用表!$E:$E,$B6,領用表!$B:$B,$DE$2&amp;DG$2)</f>
        <v>0</v>
      </c>
      <c r="DH6" s="206">
        <f>SUMIFS(領用表!$L:$L,領用表!$E:$E,$B6,領用表!$B:$B,$DE$2&amp;DH$2)</f>
        <v>4</v>
      </c>
      <c r="DI6" s="206">
        <f>SUMIFS(領用表!$L:$L,領用表!$E:$E,$B6,領用表!$B:$B,$DE$2&amp;DI$2)</f>
        <v>0</v>
      </c>
      <c r="DJ6" s="206">
        <f>SUMIFS(領用表!$L:$L,領用表!$E:$E,$B6,領用表!$B:$B,$DE$2&amp;DJ$2)</f>
        <v>0</v>
      </c>
      <c r="DK6" s="208">
        <f>SUMIFS(領用表!$L:$L,領用表!$A:$A,DK$2,領用表!$E:$E,$B6)</f>
        <v>12</v>
      </c>
      <c r="DL6" s="206">
        <f>SUMIFS(領用表!$L:$L,領用表!$E:$E,$B6,領用表!$B:$B,DK$2&amp;DL$2)</f>
        <v>2</v>
      </c>
      <c r="DM6" s="206">
        <f>SUMIFS(領用表!$L:$L,領用表!$E:$E,$B6,領用表!$B:$B,$DK$2&amp;DM$2)</f>
        <v>0</v>
      </c>
      <c r="DN6" s="206">
        <f>SUMIFS(領用表!$L:$L,領用表!$E:$E,$B6,領用表!$B:$B,$DK$2&amp;DN$2)</f>
        <v>10</v>
      </c>
      <c r="DO6" s="206">
        <f>SUMIFS(領用表!$L:$L,領用表!$E:$E,$B6,領用表!$B:$B,$DK$2&amp;DO$2)</f>
        <v>0</v>
      </c>
      <c r="DP6" s="206">
        <f>SUMIFS(領用表!$L:$L,領用表!$E:$E,$B6,領用表!$B:$B,$DK$2&amp;DP$2)</f>
        <v>0</v>
      </c>
      <c r="DQ6" s="206">
        <f t="shared" si="2"/>
        <v>57</v>
      </c>
      <c r="DR6" s="206">
        <f t="shared" si="5"/>
        <v>11.4</v>
      </c>
      <c r="DS6" s="206">
        <f t="shared" si="6"/>
        <v>20</v>
      </c>
      <c r="DT6" s="206">
        <v>10</v>
      </c>
      <c r="DU6" s="206">
        <v>0</v>
      </c>
      <c r="DV6" s="206">
        <v>10</v>
      </c>
      <c r="DW6" s="206">
        <v>0</v>
      </c>
      <c r="DX6" s="215">
        <v>10</v>
      </c>
      <c r="DY6" s="210">
        <v>0</v>
      </c>
      <c r="DZ6" s="211"/>
      <c r="EA6" s="211"/>
      <c r="EB6" s="136"/>
      <c r="EC6" s="212"/>
      <c r="ED6" s="118">
        <f>IFERROR(VLOOKUP(A6,站前4樓!A:BF,57,0),0)</f>
        <v>3</v>
      </c>
      <c r="EE6" s="213">
        <f>IFERROR(VLOOKUP(A6,站前11樓!A:BE,57,0),0)</f>
        <v>0</v>
      </c>
      <c r="EF6" s="118">
        <f>IFERROR(VLOOKUP(A6,忠孝7樓!A:N,57,0),0)</f>
        <v>0</v>
      </c>
      <c r="EG6" s="118">
        <f>IFERROR(VLOOKUP(A6,忠孝國際醫學3樓!A:L,57,0),0)</f>
        <v>0</v>
      </c>
      <c r="EH6" s="118">
        <f t="shared" si="7"/>
        <v>3</v>
      </c>
      <c r="EJ6" s="118">
        <v>23</v>
      </c>
      <c r="EK6" s="118">
        <v>31</v>
      </c>
    </row>
    <row r="7" spans="1:141" s="118" customFormat="1" ht="15.75" customHeight="1">
      <c r="A7" s="136" t="s">
        <v>20</v>
      </c>
      <c r="B7" s="118">
        <v>6150004</v>
      </c>
      <c r="C7" s="118" t="s">
        <v>598</v>
      </c>
      <c r="D7" s="197">
        <v>2</v>
      </c>
      <c r="E7" s="198" t="s">
        <v>15</v>
      </c>
      <c r="F7" s="199">
        <f>SUMIF(站前4樓!B:B,B7,站前4樓!F:F)</f>
        <v>10</v>
      </c>
      <c r="G7" s="199">
        <f>SUMIF(站前11樓!B:B,B7,站前11樓!F:F)</f>
        <v>0</v>
      </c>
      <c r="H7" s="199">
        <f>SUMIF(忠孝7樓!B:B,B7,忠孝7樓!G:G)</f>
        <v>3</v>
      </c>
      <c r="I7" s="199">
        <f>SUMIF(忠孝國際醫學3樓!B:B,B7,忠孝國際醫學3樓!G:G)</f>
        <v>0</v>
      </c>
      <c r="J7" s="199">
        <f>SUMIF(忠孝健康7樓!B:B,B7,忠孝健康7樓!G:G)</f>
        <v>3</v>
      </c>
      <c r="K7" s="200">
        <v>2</v>
      </c>
      <c r="L7" s="200">
        <v>2</v>
      </c>
      <c r="M7" s="200">
        <v>0</v>
      </c>
      <c r="N7" s="200">
        <v>2</v>
      </c>
      <c r="O7" s="200">
        <v>2</v>
      </c>
      <c r="P7" s="200">
        <v>2</v>
      </c>
      <c r="Q7" s="200">
        <v>0</v>
      </c>
      <c r="R7" s="200">
        <v>0</v>
      </c>
      <c r="S7" s="200">
        <v>2</v>
      </c>
      <c r="T7" s="200">
        <v>3</v>
      </c>
      <c r="U7" s="200">
        <v>0</v>
      </c>
      <c r="V7" s="200">
        <v>3</v>
      </c>
      <c r="W7" s="200">
        <v>1</v>
      </c>
      <c r="X7" s="200">
        <v>3</v>
      </c>
      <c r="Y7" s="200">
        <v>4</v>
      </c>
      <c r="Z7" s="200">
        <v>4</v>
      </c>
      <c r="AA7" s="200">
        <v>5</v>
      </c>
      <c r="AB7" s="200">
        <v>1</v>
      </c>
      <c r="AC7" s="200">
        <v>4</v>
      </c>
      <c r="AD7" s="200">
        <v>8</v>
      </c>
      <c r="AE7" s="200">
        <v>1</v>
      </c>
      <c r="AF7" s="200">
        <v>2</v>
      </c>
      <c r="AG7" s="200">
        <v>5</v>
      </c>
      <c r="AH7" s="200">
        <v>1</v>
      </c>
      <c r="AI7" s="200">
        <v>3</v>
      </c>
      <c r="AJ7" s="201">
        <v>2</v>
      </c>
      <c r="AK7" s="201">
        <v>0.5</v>
      </c>
      <c r="AL7" s="201">
        <v>1.5</v>
      </c>
      <c r="AM7" s="201">
        <v>0.5</v>
      </c>
      <c r="AN7" s="201">
        <v>2.5</v>
      </c>
      <c r="AO7" s="201">
        <v>1.5</v>
      </c>
      <c r="AP7" s="201">
        <v>2.5</v>
      </c>
      <c r="AQ7" s="201">
        <v>5.5</v>
      </c>
      <c r="AR7" s="201">
        <v>6</v>
      </c>
      <c r="AS7" s="201">
        <v>4</v>
      </c>
      <c r="AT7" s="202">
        <v>2.5</v>
      </c>
      <c r="AU7" s="203">
        <v>1</v>
      </c>
      <c r="AV7" s="204">
        <f t="shared" si="0"/>
        <v>30</v>
      </c>
      <c r="AW7" s="205">
        <f t="shared" si="1"/>
        <v>2.5</v>
      </c>
      <c r="AX7" s="203">
        <v>6</v>
      </c>
      <c r="AY7" s="203">
        <v>5</v>
      </c>
      <c r="AZ7" s="203">
        <v>16</v>
      </c>
      <c r="BA7" s="203">
        <v>26</v>
      </c>
      <c r="BB7" s="203">
        <v>19</v>
      </c>
      <c r="BC7" s="203">
        <f>SUMIFS(領用表!$L:$L,領用表!$A:$A,BC$2,領用表!$E:$E,B7)</f>
        <v>14</v>
      </c>
      <c r="BD7" s="206">
        <f>SUMIFS(領用表!$L:$L,領用表!$E:$E,$B7,領用表!$B:$B,BC$2&amp;BD$2)</f>
        <v>14</v>
      </c>
      <c r="BE7" s="206">
        <f>SUMIFS(領用表!$L:$L,領用表!$E:$E,$B7,領用表!$B:$B,$BC$2&amp;BE$2)</f>
        <v>0</v>
      </c>
      <c r="BF7" s="206">
        <f>SUMIFS(領用表!$L:$L,領用表!$E:$E,$B7,領用表!$B:$B,$BC$2&amp;BF$2)</f>
        <v>0</v>
      </c>
      <c r="BG7" s="206">
        <f>SUMIFS(領用表!$L:$L,領用表!$E:$E,$B7,領用表!$B:$B,$BC$2&amp;BG$2)</f>
        <v>0</v>
      </c>
      <c r="BH7" s="203">
        <f>SUMIFS(領用表!$L:$L,領用表!$A:$A,BH$2,領用表!$E:$E,B7)</f>
        <v>24</v>
      </c>
      <c r="BI7" s="206">
        <f>SUMIFS(領用表!$L:$L,領用表!$E:$E,$B7,領用表!$B:$B,BH$2&amp;BI$2)</f>
        <v>13</v>
      </c>
      <c r="BJ7" s="206">
        <f>SUMIFS(領用表!$L:$L,領用表!$E:$E,$B7,領用表!$B:$B,$BH$2&amp;BJ$2)</f>
        <v>0</v>
      </c>
      <c r="BK7" s="206">
        <f>SUMIFS(領用表!$L:$L,領用表!$E:$E,$B7,領用表!$B:$B,$BH$2&amp;BK$2)</f>
        <v>11</v>
      </c>
      <c r="BL7" s="206">
        <f>SUMIFS(領用表!$L:$L,領用表!$E:$E,$B7,領用表!$B:$B,$BH$2&amp;BL$2)</f>
        <v>0</v>
      </c>
      <c r="BM7" s="203">
        <f>SUMIFS(領用表!$L:$L,領用表!$A:$A,BM$2,領用表!$E:$E,B7)</f>
        <v>49</v>
      </c>
      <c r="BN7" s="206">
        <f>SUMIFS(領用表!$L:$L,領用表!$E:$E,$B7,領用表!$B:$B,BM$2&amp;BN$2)</f>
        <v>10</v>
      </c>
      <c r="BO7" s="206">
        <f>SUMIFS(領用表!$L:$L,領用表!$E:$E,$B7,領用表!$B:$B,$BM$2&amp;BO$2)</f>
        <v>0</v>
      </c>
      <c r="BP7" s="206">
        <f>SUMIFS(領用表!$L:$L,領用表!$E:$E,$B7,領用表!$B:$B,$BM$2&amp;BP$2)</f>
        <v>39</v>
      </c>
      <c r="BQ7" s="206">
        <f>SUMIFS(領用表!$L:$L,領用表!$E:$E,$B7,領用表!$B:$B,$BM$2&amp;BQ$2)</f>
        <v>0</v>
      </c>
      <c r="BR7" s="203">
        <f>SUMIFS(領用表!$L:$L,領用表!$A:$A,BR$2,領用表!$E:$E,B7)</f>
        <v>35</v>
      </c>
      <c r="BS7" s="206">
        <f>SUMIFS(領用表!$L:$L,領用表!$E:$E,$B7,領用表!$B:$B,BR$2&amp;BS$2)</f>
        <v>10</v>
      </c>
      <c r="BT7" s="206">
        <f>SUMIFS(領用表!$L:$L,領用表!$E:$E,$B7,領用表!$B:$B,$BR$2&amp;BT$2)</f>
        <v>0</v>
      </c>
      <c r="BU7" s="206">
        <f>SUMIFS(領用表!$L:$L,領用表!$E:$E,$B7,領用表!$B:$B,$BR$2&amp;BU$2)</f>
        <v>25</v>
      </c>
      <c r="BV7" s="206">
        <f>SUMIFS(領用表!$L:$L,領用表!$E:$E,$B7,領用表!$B:$B,$BR$2&amp;BV$2)</f>
        <v>0</v>
      </c>
      <c r="BW7" s="208">
        <f>SUMIFS(領用表!$L:$L,領用表!$A:$A,BW$2,領用表!$E:$E,B7)</f>
        <v>33</v>
      </c>
      <c r="BX7" s="206">
        <f>SUMIFS(領用表!$L:$L,領用表!$E:$E,$B7,領用表!$B:$B,BW$2&amp;BX$2)</f>
        <v>12</v>
      </c>
      <c r="BY7" s="206">
        <f>SUMIFS(領用表!$L:$L,領用表!$E:$E,$B7,領用表!$B:$B,$BW$2&amp;BY$2)</f>
        <v>0</v>
      </c>
      <c r="BZ7" s="206">
        <f>SUMIFS(領用表!$L:$L,領用表!$E:$E,$B7,領用表!$B:$B,$BW$2&amp;BZ$2)</f>
        <v>21</v>
      </c>
      <c r="CA7" s="206">
        <f>SUMIFS(領用表!$L:$L,領用表!$E:$E,$B7,領用表!$B:$B,$BW$2&amp;CA$2)</f>
        <v>0</v>
      </c>
      <c r="CB7" s="208">
        <f>SUMIFS(領用表!$L:$L,領用表!$A:$A,CB$2,領用表!$E:$E,B7)</f>
        <v>23</v>
      </c>
      <c r="CC7" s="206">
        <f>SUMIFS(領用表!$L:$L,領用表!$E:$E,$B7,領用表!$B:$B,CB$2&amp;CC$2)</f>
        <v>8</v>
      </c>
      <c r="CD7" s="206">
        <f>SUMIFS(領用表!$L:$L,領用表!$E:$E,$B7,領用表!$B:$B,$CB$2&amp;CD$2)</f>
        <v>0</v>
      </c>
      <c r="CE7" s="206">
        <f>SUMIFS(領用表!$L:$L,領用表!$E:$E,$B7,領用表!$B:$B,$CB$2&amp;CE$2)</f>
        <v>15</v>
      </c>
      <c r="CF7" s="206">
        <f>SUMIFS(領用表!$L:$L,領用表!$E:$E,$B7,領用表!$B:$B,$CB$2&amp;CF$2)</f>
        <v>0</v>
      </c>
      <c r="CG7" s="208">
        <f>SUMIFS(領用表!$L:$L,領用表!$A:$A,CG$2,領用表!$E:$E,B7)</f>
        <v>31</v>
      </c>
      <c r="CH7" s="206">
        <f>SUMIFS(領用表!$L:$L,領用表!$E:$E,$B7,領用表!$B:$B,CG$2&amp;CH$2)</f>
        <v>13</v>
      </c>
      <c r="CI7" s="206">
        <f>SUMIFS(領用表!$L:$L,領用表!$E:$E,$B7,領用表!$B:$B,CG$2&amp;CI$2)</f>
        <v>0</v>
      </c>
      <c r="CJ7" s="206">
        <f>SUMIFS(領用表!$L:$L,領用表!$E:$E,$B7,領用表!$B:$B,CG$2&amp;CJ$2)</f>
        <v>18</v>
      </c>
      <c r="CK7" s="206">
        <f>SUMIFS(領用表!$L:$L,領用表!$E:$E,$B7,領用表!$B:$B,$CG$2&amp;CK$2)</f>
        <v>0</v>
      </c>
      <c r="CL7" s="207">
        <f t="shared" si="3"/>
        <v>281</v>
      </c>
      <c r="CM7" s="207">
        <f t="shared" si="4"/>
        <v>23.416666666666668</v>
      </c>
      <c r="CN7" s="208">
        <f>SUMIFS(領用表!$L:$L,領用表!$A:$A,CN$2,領用表!$E:$E,B7)</f>
        <v>26</v>
      </c>
      <c r="CO7" s="206">
        <f>SUMIFS(領用表!$L:$L,領用表!$E:$E,$B7,領用表!$B:$B,CN$2&amp;CO$2)</f>
        <v>12</v>
      </c>
      <c r="CP7" s="206">
        <f>SUMIFS(領用表!$L:$L,領用表!$E:$E,$B7,領用表!$B:$B,$CN$2&amp;CP$2)</f>
        <v>0</v>
      </c>
      <c r="CQ7" s="206">
        <f>SUMIFS(領用表!$L:$L,領用表!$E:$E,$B7,領用表!$B:$B,$CN$2&amp;CQ$2)</f>
        <v>14</v>
      </c>
      <c r="CR7" s="206">
        <f>SUMIFS(領用表!$L:$L,領用表!$E:$E,$B7,領用表!$B:$B,$CN$2&amp;CR$2)</f>
        <v>0</v>
      </c>
      <c r="CS7" s="208">
        <f>SUMIFS(領用表!$L:$L,領用表!$A:$A,CS$2,領用表!$E:$E,B7)</f>
        <v>35</v>
      </c>
      <c r="CT7" s="206">
        <f>SUMIFS(領用表!$L:$L,領用表!$E:$E,$B7,領用表!$B:$B,CS$2&amp;CT$2)</f>
        <v>14</v>
      </c>
      <c r="CU7" s="206">
        <f>SUMIFS(領用表!$L:$L,領用表!$E:$E,$B7,領用表!$B:$B,$CS$2&amp;CU$2)</f>
        <v>0</v>
      </c>
      <c r="CV7" s="206">
        <f>SUMIFS(領用表!$L:$L,領用表!$E:$E,$B7,領用表!$B:$B,$CS$2&amp;CV$2)</f>
        <v>19</v>
      </c>
      <c r="CW7" s="206">
        <f>SUMIFS(領用表!$L:$L,領用表!$E:$E,$B7,領用表!$B:$B,$CS$2&amp;CW$2)</f>
        <v>0</v>
      </c>
      <c r="CX7" s="206">
        <f>SUMIFS(領用表!$L:$L,領用表!$E:$E,$B7,領用表!$B:$B,$CS$2&amp;CX$2)</f>
        <v>2</v>
      </c>
      <c r="CY7" s="208">
        <f>SUMIFS(領用表!$L:$L,領用表!$A:$A,CY$2,領用表!$E:$E,B7)</f>
        <v>29</v>
      </c>
      <c r="CZ7" s="206">
        <f>SUMIFS(領用表!$L:$L,領用表!$E:$E,$B7,領用表!$B:$B,CY$2&amp;CZ$2)</f>
        <v>14</v>
      </c>
      <c r="DA7" s="206">
        <f>SUMIFS(領用表!$L:$L,領用表!$E:$E,$B7,領用表!$B:$B,$CY$2&amp;DA$2)</f>
        <v>0</v>
      </c>
      <c r="DB7" s="206">
        <f>SUMIFS(領用表!$L:$L,領用表!$E:$E,$B7,領用表!$B:$B,$CY$2&amp;DB$2)</f>
        <v>10</v>
      </c>
      <c r="DC7" s="206">
        <f>SUMIFS(領用表!$L:$L,領用表!$E:$E,$B7,領用表!$B:$B,$CY$2&amp;DC$2)</f>
        <v>0</v>
      </c>
      <c r="DD7" s="206">
        <f>SUMIFS(領用表!$L:$L,領用表!$E:$E,$B7,領用表!$B:$B,$CY$2&amp;DD$2)</f>
        <v>5</v>
      </c>
      <c r="DE7" s="208">
        <f>SUMIFS(領用表!$L:$L,領用表!$A:$A,DE$2,領用表!$E:$E,B7)</f>
        <v>32</v>
      </c>
      <c r="DF7" s="206">
        <f>SUMIFS(領用表!$L:$L,領用表!$E:$E,$B7,領用表!$B:$B,DE$2&amp;DF$2)</f>
        <v>14</v>
      </c>
      <c r="DG7" s="206">
        <f>SUMIFS(領用表!$L:$L,領用表!$E:$E,$B7,領用表!$B:$B,$DE$2&amp;DG$2)</f>
        <v>0</v>
      </c>
      <c r="DH7" s="206">
        <f>SUMIFS(領用表!$L:$L,領用表!$E:$E,$B7,領用表!$B:$B,$DE$2&amp;DH$2)</f>
        <v>10</v>
      </c>
      <c r="DI7" s="206">
        <f>SUMIFS(領用表!$L:$L,領用表!$E:$E,$B7,領用表!$B:$B,$DE$2&amp;DI$2)</f>
        <v>0</v>
      </c>
      <c r="DJ7" s="206">
        <f>SUMIFS(領用表!$L:$L,領用表!$E:$E,$B7,領用表!$B:$B,$DE$2&amp;DJ$2)</f>
        <v>8</v>
      </c>
      <c r="DK7" s="208">
        <f>SUMIFS(領用表!$L:$L,領用表!$A:$A,DK$2,領用表!$E:$E,$B7)</f>
        <v>40</v>
      </c>
      <c r="DL7" s="206">
        <f>SUMIFS(領用表!$L:$L,領用表!$E:$E,$B7,領用表!$B:$B,DK$2&amp;DL$2)</f>
        <v>9</v>
      </c>
      <c r="DM7" s="206">
        <f>SUMIFS(領用表!$L:$L,領用表!$E:$E,$B7,領用表!$B:$B,$DK$2&amp;DM$2)</f>
        <v>0</v>
      </c>
      <c r="DN7" s="206">
        <f>SUMIFS(領用表!$L:$L,領用表!$E:$E,$B7,領用表!$B:$B,$DK$2&amp;DN$2)</f>
        <v>26</v>
      </c>
      <c r="DO7" s="206">
        <f>SUMIFS(領用表!$L:$L,領用表!$E:$E,$B7,領用表!$B:$B,$DK$2&amp;DO$2)</f>
        <v>0</v>
      </c>
      <c r="DP7" s="206">
        <f>SUMIFS(領用表!$L:$L,領用表!$E:$E,$B7,領用表!$B:$B,$DK$2&amp;DP$2)</f>
        <v>5</v>
      </c>
      <c r="DQ7" s="206">
        <f t="shared" si="2"/>
        <v>162</v>
      </c>
      <c r="DR7" s="206">
        <f t="shared" si="5"/>
        <v>32.4</v>
      </c>
      <c r="DS7" s="206">
        <f t="shared" si="6"/>
        <v>30</v>
      </c>
      <c r="DT7" s="206">
        <v>15</v>
      </c>
      <c r="DU7" s="206">
        <v>0</v>
      </c>
      <c r="DV7" s="206">
        <v>15</v>
      </c>
      <c r="DW7" s="206">
        <v>0</v>
      </c>
      <c r="DX7" s="215">
        <v>20</v>
      </c>
      <c r="DY7" s="210">
        <v>0</v>
      </c>
      <c r="DZ7" s="211"/>
      <c r="EA7" s="211" t="s">
        <v>783</v>
      </c>
      <c r="EB7" s="136"/>
      <c r="EC7" s="212"/>
      <c r="ED7" s="118">
        <f>IFERROR(VLOOKUP(A7,站前4樓!A:BF,57,0),0)</f>
        <v>8</v>
      </c>
      <c r="EE7" s="213">
        <f>IFERROR(VLOOKUP(A7,站前11樓!A:BE,57,0),0)</f>
        <v>0</v>
      </c>
      <c r="EF7" s="118">
        <f>IFERROR(VLOOKUP(A7,忠孝7樓!A:N,57,0),0)</f>
        <v>0</v>
      </c>
      <c r="EG7" s="118">
        <f>IFERROR(VLOOKUP(A7,忠孝國際醫學3樓!A:L,57,0),0)</f>
        <v>0</v>
      </c>
      <c r="EH7" s="118">
        <f t="shared" si="7"/>
        <v>8</v>
      </c>
      <c r="EJ7" s="118">
        <v>38</v>
      </c>
      <c r="EK7" s="118">
        <v>32</v>
      </c>
    </row>
    <row r="8" spans="1:141" s="118" customFormat="1" ht="15.75" customHeight="1">
      <c r="A8" s="136" t="s">
        <v>22</v>
      </c>
      <c r="B8" s="118">
        <v>6150005</v>
      </c>
      <c r="C8" s="411" t="s">
        <v>889</v>
      </c>
      <c r="D8" s="197">
        <v>2</v>
      </c>
      <c r="E8" s="198" t="s">
        <v>15</v>
      </c>
      <c r="F8" s="199">
        <f>SUMIF(站前4樓!B:B,B8,站前4樓!F:F)</f>
        <v>0</v>
      </c>
      <c r="G8" s="199">
        <f>SUMIF(站前11樓!B:B,B8,站前11樓!F:F)</f>
        <v>0</v>
      </c>
      <c r="H8" s="199">
        <f>SUMIF(忠孝7樓!B:B,B8,忠孝7樓!G:G)</f>
        <v>0</v>
      </c>
      <c r="I8" s="199">
        <f>SUMIF(忠孝國際醫學3樓!B:B,B8,忠孝國際醫學3樓!G:G)</f>
        <v>0</v>
      </c>
      <c r="J8" s="199">
        <f>SUMIF(忠孝健康7樓!B:B,B8,忠孝健康7樓!G:G)</f>
        <v>0</v>
      </c>
      <c r="K8" s="200">
        <v>0</v>
      </c>
      <c r="L8" s="200">
        <v>0</v>
      </c>
      <c r="M8" s="200">
        <v>0</v>
      </c>
      <c r="N8" s="200">
        <v>0</v>
      </c>
      <c r="O8" s="200">
        <v>0</v>
      </c>
      <c r="P8" s="200">
        <v>0</v>
      </c>
      <c r="Q8" s="200">
        <v>3</v>
      </c>
      <c r="R8" s="200">
        <v>0</v>
      </c>
      <c r="S8" s="200">
        <v>0</v>
      </c>
      <c r="T8" s="200">
        <v>0</v>
      </c>
      <c r="U8" s="200">
        <v>3</v>
      </c>
      <c r="V8" s="200">
        <v>2</v>
      </c>
      <c r="W8" s="200">
        <v>2</v>
      </c>
      <c r="X8" s="200">
        <v>1</v>
      </c>
      <c r="Y8" s="200">
        <v>1</v>
      </c>
      <c r="Z8" s="200">
        <v>0</v>
      </c>
      <c r="AA8" s="200">
        <v>0</v>
      </c>
      <c r="AB8" s="200">
        <v>0</v>
      </c>
      <c r="AC8" s="200">
        <v>0</v>
      </c>
      <c r="AD8" s="200">
        <v>0</v>
      </c>
      <c r="AE8" s="200">
        <v>0</v>
      </c>
      <c r="AF8" s="200">
        <v>0</v>
      </c>
      <c r="AG8" s="200">
        <v>5</v>
      </c>
      <c r="AH8" s="200">
        <v>0</v>
      </c>
      <c r="AI8" s="200">
        <v>0</v>
      </c>
      <c r="AJ8" s="201">
        <v>0.5</v>
      </c>
      <c r="AK8" s="201">
        <v>1.5</v>
      </c>
      <c r="AL8" s="201">
        <v>2</v>
      </c>
      <c r="AM8" s="201">
        <v>2.5</v>
      </c>
      <c r="AN8" s="201">
        <v>2</v>
      </c>
      <c r="AO8" s="201">
        <v>5.5</v>
      </c>
      <c r="AP8" s="201">
        <v>2.5</v>
      </c>
      <c r="AQ8" s="201">
        <v>7</v>
      </c>
      <c r="AR8" s="201">
        <v>2</v>
      </c>
      <c r="AS8" s="201">
        <v>1</v>
      </c>
      <c r="AT8" s="202">
        <v>0.5</v>
      </c>
      <c r="AU8" s="203">
        <v>4</v>
      </c>
      <c r="AV8" s="204">
        <f t="shared" si="0"/>
        <v>31</v>
      </c>
      <c r="AW8" s="205">
        <f t="shared" si="1"/>
        <v>2.5833333333333335</v>
      </c>
      <c r="AX8" s="203">
        <v>2</v>
      </c>
      <c r="AY8" s="203">
        <v>3</v>
      </c>
      <c r="AZ8" s="203">
        <v>6</v>
      </c>
      <c r="BA8" s="214">
        <v>2</v>
      </c>
      <c r="BB8" s="203">
        <v>3</v>
      </c>
      <c r="BC8" s="203">
        <f>SUMIFS(領用表!$L:$L,領用表!$A:$A,BC$2,領用表!$E:$E,B8)</f>
        <v>0</v>
      </c>
      <c r="BD8" s="206">
        <f>SUMIFS(領用表!$L:$L,領用表!$E:$E,$B8,領用表!$B:$B,BC$2&amp;BD$2)</f>
        <v>0</v>
      </c>
      <c r="BE8" s="206">
        <f>SUMIFS(領用表!$L:$L,領用表!$E:$E,$B8,領用表!$B:$B,$BC$2&amp;BE$2)</f>
        <v>0</v>
      </c>
      <c r="BF8" s="206">
        <f>SUMIFS(領用表!$L:$L,領用表!$E:$E,$B8,領用表!$B:$B,$BC$2&amp;BF$2)</f>
        <v>0</v>
      </c>
      <c r="BG8" s="206">
        <f>SUMIFS(領用表!$L:$L,領用表!$E:$E,$B8,領用表!$B:$B,$BC$2&amp;BG$2)</f>
        <v>0</v>
      </c>
      <c r="BH8" s="203">
        <f>SUMIFS(領用表!$L:$L,領用表!$A:$A,BH$2,領用表!$E:$E,B8)</f>
        <v>2</v>
      </c>
      <c r="BI8" s="206">
        <f>SUMIFS(領用表!$L:$L,領用表!$E:$E,$B8,領用表!$B:$B,BH$2&amp;BI$2)</f>
        <v>2</v>
      </c>
      <c r="BJ8" s="206">
        <f>SUMIFS(領用表!$L:$L,領用表!$E:$E,$B8,領用表!$B:$B,$BH$2&amp;BJ$2)</f>
        <v>0</v>
      </c>
      <c r="BK8" s="206">
        <f>SUMIFS(領用表!$L:$L,領用表!$E:$E,$B8,領用表!$B:$B,$BH$2&amp;BK$2)</f>
        <v>0</v>
      </c>
      <c r="BL8" s="206">
        <f>SUMIFS(領用表!$L:$L,領用表!$E:$E,$B8,領用表!$B:$B,$BH$2&amp;BL$2)</f>
        <v>0</v>
      </c>
      <c r="BM8" s="203">
        <f>SUMIFS(領用表!$L:$L,領用表!$A:$A,BM$2,領用表!$E:$E,B8)</f>
        <v>9</v>
      </c>
      <c r="BN8" s="206">
        <f>SUMIFS(領用表!$L:$L,領用表!$E:$E,$B8,領用表!$B:$B,BM$2&amp;BN$2)</f>
        <v>5</v>
      </c>
      <c r="BO8" s="206">
        <f>SUMIFS(領用表!$L:$L,領用表!$E:$E,$B8,領用表!$B:$B,$BM$2&amp;BO$2)</f>
        <v>0</v>
      </c>
      <c r="BP8" s="206">
        <f>SUMIFS(領用表!$L:$L,領用表!$E:$E,$B8,領用表!$B:$B,$BM$2&amp;BP$2)</f>
        <v>4</v>
      </c>
      <c r="BQ8" s="206">
        <f>SUMIFS(領用表!$L:$L,領用表!$E:$E,$B8,領用表!$B:$B,$BM$2&amp;BQ$2)</f>
        <v>0</v>
      </c>
      <c r="BR8" s="203">
        <f>SUMIFS(領用表!$L:$L,領用表!$A:$A,BR$2,領用表!$E:$E,B8)</f>
        <v>5</v>
      </c>
      <c r="BS8" s="206">
        <f>SUMIFS(領用表!$L:$L,領用表!$E:$E,$B8,領用表!$B:$B,BR$2&amp;BS$2)</f>
        <v>2</v>
      </c>
      <c r="BT8" s="206">
        <f>SUMIFS(領用表!$L:$L,領用表!$E:$E,$B8,領用表!$B:$B,$BR$2&amp;BT$2)</f>
        <v>0</v>
      </c>
      <c r="BU8" s="206">
        <f>SUMIFS(領用表!$L:$L,領用表!$E:$E,$B8,領用表!$B:$B,$BR$2&amp;BU$2)</f>
        <v>3</v>
      </c>
      <c r="BV8" s="206">
        <f>SUMIFS(領用表!$L:$L,領用表!$E:$E,$B8,領用表!$B:$B,$BR$2&amp;BV$2)</f>
        <v>0</v>
      </c>
      <c r="BW8" s="208">
        <f>SUMIFS(領用表!$L:$L,領用表!$A:$A,BW$2,領用表!$E:$E,B8)</f>
        <v>2</v>
      </c>
      <c r="BX8" s="206">
        <f>SUMIFS(領用表!$L:$L,領用表!$E:$E,$B8,領用表!$B:$B,BW$2&amp;BX$2)</f>
        <v>1</v>
      </c>
      <c r="BY8" s="206">
        <f>SUMIFS(領用表!$L:$L,領用表!$E:$E,$B8,領用表!$B:$B,$BW$2&amp;BY$2)</f>
        <v>0</v>
      </c>
      <c r="BZ8" s="206">
        <f>SUMIFS(領用表!$L:$L,領用表!$E:$E,$B8,領用表!$B:$B,$BW$2&amp;BZ$2)</f>
        <v>1</v>
      </c>
      <c r="CA8" s="206">
        <f>SUMIFS(領用表!$L:$L,領用表!$E:$E,$B8,領用表!$B:$B,$BW$2&amp;CA$2)</f>
        <v>0</v>
      </c>
      <c r="CB8" s="208">
        <f>SUMIFS(領用表!$L:$L,領用表!$A:$A,CB$2,領用表!$E:$E,B8)</f>
        <v>4</v>
      </c>
      <c r="CC8" s="206">
        <f>SUMIFS(領用表!$L:$L,領用表!$E:$E,$B8,領用表!$B:$B,CB$2&amp;CC$2)</f>
        <v>3</v>
      </c>
      <c r="CD8" s="206">
        <f>SUMIFS(領用表!$L:$L,領用表!$E:$E,$B8,領用表!$B:$B,$CB$2&amp;CD$2)</f>
        <v>0</v>
      </c>
      <c r="CE8" s="206">
        <f>SUMIFS(領用表!$L:$L,領用表!$E:$E,$B8,領用表!$B:$B,$CB$2&amp;CE$2)</f>
        <v>1</v>
      </c>
      <c r="CF8" s="206">
        <f>SUMIFS(領用表!$L:$L,領用表!$E:$E,$B8,領用表!$B:$B,$CB$2&amp;CF$2)</f>
        <v>0</v>
      </c>
      <c r="CG8" s="208">
        <f>SUMIFS(領用表!$L:$L,領用表!$A:$A,CG$2,領用表!$E:$E,B8)</f>
        <v>6</v>
      </c>
      <c r="CH8" s="206">
        <f>SUMIFS(領用表!$L:$L,領用表!$E:$E,$B8,領用表!$B:$B,CG$2&amp;CH$2)</f>
        <v>4</v>
      </c>
      <c r="CI8" s="206">
        <f>SUMIFS(領用表!$L:$L,領用表!$E:$E,$B8,領用表!$B:$B,CG$2&amp;CI$2)</f>
        <v>0</v>
      </c>
      <c r="CJ8" s="206">
        <f>SUMIFS(領用表!$L:$L,領用表!$E:$E,$B8,領用表!$B:$B,CG$2&amp;CJ$2)</f>
        <v>2</v>
      </c>
      <c r="CK8" s="206">
        <f>SUMIFS(領用表!$L:$L,領用表!$E:$E,$B8,領用表!$B:$B,$CG$2&amp;CK$2)</f>
        <v>0</v>
      </c>
      <c r="CL8" s="207">
        <f t="shared" si="3"/>
        <v>44</v>
      </c>
      <c r="CM8" s="207">
        <f t="shared" si="4"/>
        <v>3.6666666666666665</v>
      </c>
      <c r="CN8" s="208">
        <f>SUMIFS(領用表!$L:$L,領用表!$A:$A,CN$2,領用表!$E:$E,B8)</f>
        <v>9</v>
      </c>
      <c r="CO8" s="206">
        <f>SUMIFS(領用表!$L:$L,領用表!$E:$E,$B8,領用表!$B:$B,CN$2&amp;CO$2)</f>
        <v>3</v>
      </c>
      <c r="CP8" s="206">
        <f>SUMIFS(領用表!$L:$L,領用表!$E:$E,$B8,領用表!$B:$B,$CN$2&amp;CP$2)</f>
        <v>0</v>
      </c>
      <c r="CQ8" s="206">
        <f>SUMIFS(領用表!$L:$L,領用表!$E:$E,$B8,領用表!$B:$B,$CN$2&amp;CQ$2)</f>
        <v>6</v>
      </c>
      <c r="CR8" s="206">
        <f>SUMIFS(領用表!$L:$L,領用表!$E:$E,$B8,領用表!$B:$B,$CN$2&amp;CR$2)</f>
        <v>0</v>
      </c>
      <c r="CS8" s="208">
        <f>SUMIFS(領用表!$L:$L,領用表!$A:$A,CS$2,領用表!$E:$E,B8)</f>
        <v>11</v>
      </c>
      <c r="CT8" s="206">
        <f>SUMIFS(領用表!$L:$L,領用表!$E:$E,$B8,領用表!$B:$B,CS$2&amp;CT$2)</f>
        <v>4</v>
      </c>
      <c r="CU8" s="206">
        <f>SUMIFS(領用表!$L:$L,領用表!$E:$E,$B8,領用表!$B:$B,$CS$2&amp;CU$2)</f>
        <v>0</v>
      </c>
      <c r="CV8" s="206">
        <f>SUMIFS(領用表!$L:$L,領用表!$E:$E,$B8,領用表!$B:$B,$CS$2&amp;CV$2)</f>
        <v>7</v>
      </c>
      <c r="CW8" s="206">
        <f>SUMIFS(領用表!$L:$L,領用表!$E:$E,$B8,領用表!$B:$B,$CS$2&amp;CW$2)</f>
        <v>0</v>
      </c>
      <c r="CX8" s="206">
        <f>SUMIFS(領用表!$L:$L,領用表!$E:$E,$B8,領用表!$B:$B,$CS$2&amp;CX$2)</f>
        <v>0</v>
      </c>
      <c r="CY8" s="208">
        <f>SUMIFS(領用表!$L:$L,領用表!$A:$A,CY$2,領用表!$E:$E,B8)</f>
        <v>5</v>
      </c>
      <c r="CZ8" s="206">
        <f>SUMIFS(領用表!$L:$L,領用表!$E:$E,$B8,領用表!$B:$B,CY$2&amp;CZ$2)</f>
        <v>3</v>
      </c>
      <c r="DA8" s="206">
        <f>SUMIFS(領用表!$L:$L,領用表!$E:$E,$B8,領用表!$B:$B,$CY$2&amp;DA$2)</f>
        <v>0</v>
      </c>
      <c r="DB8" s="206">
        <f>SUMIFS(領用表!$L:$L,領用表!$E:$E,$B8,領用表!$B:$B,$CY$2&amp;DB$2)</f>
        <v>1</v>
      </c>
      <c r="DC8" s="206">
        <f>SUMIFS(領用表!$L:$L,領用表!$E:$E,$B8,領用表!$B:$B,$CY$2&amp;DC$2)</f>
        <v>0</v>
      </c>
      <c r="DD8" s="206">
        <f>SUMIFS(領用表!$L:$L,領用表!$E:$E,$B8,領用表!$B:$B,$CY$2&amp;DD$2)</f>
        <v>1</v>
      </c>
      <c r="DE8" s="208">
        <f>SUMIFS(領用表!$L:$L,領用表!$A:$A,DE$2,領用表!$E:$E,B8)</f>
        <v>2</v>
      </c>
      <c r="DF8" s="206">
        <f>SUMIFS(領用表!$L:$L,領用表!$E:$E,$B8,領用表!$B:$B,DE$2&amp;DF$2)</f>
        <v>1</v>
      </c>
      <c r="DG8" s="206">
        <f>SUMIFS(領用表!$L:$L,領用表!$E:$E,$B8,領用表!$B:$B,$DE$2&amp;DG$2)</f>
        <v>0</v>
      </c>
      <c r="DH8" s="206">
        <f>SUMIFS(領用表!$L:$L,領用表!$E:$E,$B8,領用表!$B:$B,$DE$2&amp;DH$2)</f>
        <v>1</v>
      </c>
      <c r="DI8" s="206">
        <f>SUMIFS(領用表!$L:$L,領用表!$E:$E,$B8,領用表!$B:$B,$DE$2&amp;DI$2)</f>
        <v>0</v>
      </c>
      <c r="DJ8" s="206">
        <f>SUMIFS(領用表!$L:$L,領用表!$E:$E,$B8,領用表!$B:$B,$DE$2&amp;DJ$2)</f>
        <v>0</v>
      </c>
      <c r="DK8" s="208">
        <f>SUMIFS(領用表!$L:$L,領用表!$A:$A,DK$2,領用表!$E:$E,$B8)</f>
        <v>4</v>
      </c>
      <c r="DL8" s="206">
        <f>SUMIFS(領用表!$L:$L,領用表!$E:$E,$B8,領用表!$B:$B,DK$2&amp;DL$2)</f>
        <v>4</v>
      </c>
      <c r="DM8" s="206">
        <f>SUMIFS(領用表!$L:$L,領用表!$E:$E,$B8,領用表!$B:$B,$DK$2&amp;DM$2)</f>
        <v>0</v>
      </c>
      <c r="DN8" s="206">
        <f>SUMIFS(領用表!$L:$L,領用表!$E:$E,$B8,領用表!$B:$B,$DK$2&amp;DN$2)</f>
        <v>0</v>
      </c>
      <c r="DO8" s="206">
        <f>SUMIFS(領用表!$L:$L,領用表!$E:$E,$B8,領用表!$B:$B,$DK$2&amp;DO$2)</f>
        <v>0</v>
      </c>
      <c r="DP8" s="206">
        <f>SUMIFS(領用表!$L:$L,領用表!$E:$E,$B8,領用表!$B:$B,$DK$2&amp;DP$2)</f>
        <v>0</v>
      </c>
      <c r="DQ8" s="206">
        <f t="shared" si="2"/>
        <v>31</v>
      </c>
      <c r="DR8" s="206">
        <f t="shared" si="5"/>
        <v>6.2</v>
      </c>
      <c r="DS8" s="206">
        <f t="shared" si="6"/>
        <v>10</v>
      </c>
      <c r="DT8" s="206">
        <v>5</v>
      </c>
      <c r="DU8" s="206">
        <v>0</v>
      </c>
      <c r="DV8" s="206">
        <v>5</v>
      </c>
      <c r="DW8" s="206">
        <v>0</v>
      </c>
      <c r="DX8" s="215">
        <v>6</v>
      </c>
      <c r="DY8" s="210">
        <v>0</v>
      </c>
      <c r="DZ8" s="211"/>
      <c r="EA8" s="211"/>
      <c r="EB8" s="136"/>
      <c r="EC8" s="212"/>
      <c r="ED8" s="118">
        <f>IFERROR(VLOOKUP(A8,站前4樓!A:BF,57,0),0)</f>
        <v>3</v>
      </c>
      <c r="EE8" s="213">
        <f>IFERROR(VLOOKUP(A8,站前11樓!A:BE,57,0),0)</f>
        <v>0</v>
      </c>
      <c r="EF8" s="118">
        <f>IFERROR(VLOOKUP(A8,忠孝7樓!A:N,57,0),0)</f>
        <v>0</v>
      </c>
      <c r="EG8" s="118">
        <f>IFERROR(VLOOKUP(A8,忠孝國際醫學3樓!A:L,57,0),0)</f>
        <v>0</v>
      </c>
      <c r="EH8" s="118">
        <f t="shared" si="7"/>
        <v>3</v>
      </c>
      <c r="EJ8" s="118">
        <v>26</v>
      </c>
      <c r="EK8" s="118">
        <v>7</v>
      </c>
    </row>
    <row r="9" spans="1:141" s="118" customFormat="1" ht="15.75" customHeight="1">
      <c r="A9" s="136"/>
      <c r="B9" s="118">
        <v>6150015</v>
      </c>
      <c r="C9" s="118" t="s">
        <v>906</v>
      </c>
      <c r="D9" s="197">
        <v>2</v>
      </c>
      <c r="E9" s="198" t="s">
        <v>15</v>
      </c>
      <c r="F9" s="199">
        <f>SUMIF(站前4樓!B:B,B9,站前4樓!F:F)</f>
        <v>2</v>
      </c>
      <c r="G9" s="199">
        <f>SUMIF(站前11樓!B:B,B9,站前11樓!F:F)</f>
        <v>0</v>
      </c>
      <c r="H9" s="199">
        <f>SUMIF(忠孝7樓!B:B,B9,忠孝7樓!G:G)</f>
        <v>5</v>
      </c>
      <c r="I9" s="199">
        <f>SUMIF(忠孝國際醫學3樓!B:B,B9,忠孝國際醫學3樓!G:G)</f>
        <v>0</v>
      </c>
      <c r="J9" s="199">
        <f>SUMIF(忠孝健康7樓!B:B,B9,忠孝健康7樓!G:G)</f>
        <v>1</v>
      </c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1"/>
      <c r="AK9" s="201"/>
      <c r="AL9" s="201"/>
      <c r="AM9" s="201"/>
      <c r="AN9" s="201"/>
      <c r="AO9" s="201"/>
      <c r="AP9" s="201"/>
      <c r="AQ9" s="201"/>
      <c r="AR9" s="201"/>
      <c r="AS9" s="201"/>
      <c r="AT9" s="202"/>
      <c r="AU9" s="203"/>
      <c r="AV9" s="204"/>
      <c r="AW9" s="205"/>
      <c r="AX9" s="203"/>
      <c r="AY9" s="203"/>
      <c r="AZ9" s="203"/>
      <c r="BA9" s="214"/>
      <c r="BB9" s="203"/>
      <c r="BC9" s="203"/>
      <c r="BD9" s="206"/>
      <c r="BE9" s="206"/>
      <c r="BF9" s="206"/>
      <c r="BG9" s="206"/>
      <c r="BH9" s="203"/>
      <c r="BI9" s="206"/>
      <c r="BJ9" s="206"/>
      <c r="BK9" s="206"/>
      <c r="BL9" s="206"/>
      <c r="BM9" s="203"/>
      <c r="BN9" s="206"/>
      <c r="BO9" s="206"/>
      <c r="BP9" s="206"/>
      <c r="BQ9" s="206"/>
      <c r="BR9" s="203"/>
      <c r="BS9" s="206"/>
      <c r="BT9" s="206"/>
      <c r="BU9" s="206"/>
      <c r="BV9" s="206"/>
      <c r="BW9" s="208"/>
      <c r="BX9" s="206"/>
      <c r="BY9" s="206"/>
      <c r="BZ9" s="206"/>
      <c r="CA9" s="206"/>
      <c r="CB9" s="208"/>
      <c r="CC9" s="206"/>
      <c r="CD9" s="206"/>
      <c r="CE9" s="206"/>
      <c r="CF9" s="206"/>
      <c r="CG9" s="208"/>
      <c r="CH9" s="206"/>
      <c r="CI9" s="206"/>
      <c r="CJ9" s="206"/>
      <c r="CK9" s="206"/>
      <c r="CL9" s="207">
        <f t="shared" ref="CL9" si="8">SUM(AX9,AY9,AZ9,BA9,BB9,BC9,BH9,BM9,BR9,BW9,CB9,CG9)</f>
        <v>0</v>
      </c>
      <c r="CM9" s="207">
        <f>IFERROR(AVERAGE(AX9,AY9,AZ9,BA9,BB9,BC9,BH9,BM9,BR9,BW9,CB9,CG9),0)</f>
        <v>0</v>
      </c>
      <c r="CN9" s="208">
        <f>SUMIFS(領用表!$L:$L,領用表!$A:$A,CN$2,領用表!$E:$E,B9)</f>
        <v>0</v>
      </c>
      <c r="CO9" s="206">
        <f>SUMIFS(領用表!$L:$L,領用表!$E:$E,$B9,領用表!$B:$B,CN$2&amp;CO$2)</f>
        <v>0</v>
      </c>
      <c r="CP9" s="206">
        <f>SUMIFS(領用表!$L:$L,領用表!$E:$E,$B9,領用表!$B:$B,$CN$2&amp;CP$2)</f>
        <v>0</v>
      </c>
      <c r="CQ9" s="206">
        <f>SUMIFS(領用表!$L:$L,領用表!$E:$E,$B9,領用表!$B:$B,$CN$2&amp;CQ$2)</f>
        <v>0</v>
      </c>
      <c r="CR9" s="206">
        <f>SUMIFS(領用表!$L:$L,領用表!$E:$E,$B9,領用表!$B:$B,$CN$2&amp;CR$2)</f>
        <v>0</v>
      </c>
      <c r="CS9" s="208">
        <f>SUMIFS(領用表!$L:$L,領用表!$A:$A,CS$2,領用表!$E:$E,B9)</f>
        <v>0</v>
      </c>
      <c r="CT9" s="206">
        <f>SUMIFS(領用表!$L:$L,領用表!$E:$E,$B9,領用表!$B:$B,CS$2&amp;CT$2)</f>
        <v>0</v>
      </c>
      <c r="CU9" s="206">
        <f>SUMIFS(領用表!$L:$L,領用表!$E:$E,$B9,領用表!$B:$B,$CS$2&amp;CU$2)</f>
        <v>0</v>
      </c>
      <c r="CV9" s="206">
        <f>SUMIFS(領用表!$L:$L,領用表!$E:$E,$B9,領用表!$B:$B,$CS$2&amp;CV$2)</f>
        <v>0</v>
      </c>
      <c r="CW9" s="206">
        <f>SUMIFS(領用表!$L:$L,領用表!$E:$E,$B9,領用表!$B:$B,$CS$2&amp;CW$2)</f>
        <v>0</v>
      </c>
      <c r="CX9" s="206">
        <f>SUMIFS(領用表!$L:$L,領用表!$E:$E,$B9,領用表!$B:$B,$CS$2&amp;CX$2)</f>
        <v>0</v>
      </c>
      <c r="CY9" s="208">
        <f>SUMIFS(領用表!$L:$L,領用表!$A:$A,CY$2,領用表!$E:$E,B9)</f>
        <v>0</v>
      </c>
      <c r="CZ9" s="206">
        <f>SUMIFS(領用表!$L:$L,領用表!$E:$E,$B9,領用表!$B:$B,CY$2&amp;CZ$2)</f>
        <v>0</v>
      </c>
      <c r="DA9" s="206">
        <f>SUMIFS(領用表!$L:$L,領用表!$E:$E,$B9,領用表!$B:$B,$CY$2&amp;DA$2)</f>
        <v>0</v>
      </c>
      <c r="DB9" s="206">
        <f>SUMIFS(領用表!$L:$L,領用表!$E:$E,$B9,領用表!$B:$B,$CY$2&amp;DB$2)</f>
        <v>0</v>
      </c>
      <c r="DC9" s="206">
        <f>SUMIFS(領用表!$L:$L,領用表!$E:$E,$B9,領用表!$B:$B,$CY$2&amp;DC$2)</f>
        <v>0</v>
      </c>
      <c r="DD9" s="206">
        <f>SUMIFS(領用表!$L:$L,領用表!$E:$E,$B9,領用表!$B:$B,$CY$2&amp;DD$2)</f>
        <v>0</v>
      </c>
      <c r="DE9" s="208">
        <f>SUMIFS(領用表!$L:$L,領用表!$A:$A,DE$2,領用表!$E:$E,B9)</f>
        <v>2</v>
      </c>
      <c r="DF9" s="206">
        <f>SUMIFS(領用表!$L:$L,領用表!$E:$E,$B9,領用表!$B:$B,DE$2&amp;DF$2)</f>
        <v>2</v>
      </c>
      <c r="DG9" s="206">
        <f>SUMIFS(領用表!$L:$L,領用表!$E:$E,$B9,領用表!$B:$B,$DE$2&amp;DG$2)</f>
        <v>0</v>
      </c>
      <c r="DH9" s="206">
        <f>SUMIFS(領用表!$L:$L,領用表!$E:$E,$B9,領用表!$B:$B,$DE$2&amp;DH$2)</f>
        <v>0</v>
      </c>
      <c r="DI9" s="206">
        <f>SUMIFS(領用表!$L:$L,領用表!$E:$E,$B9,領用表!$B:$B,$DE$2&amp;DI$2)</f>
        <v>0</v>
      </c>
      <c r="DJ9" s="206">
        <f>SUMIFS(領用表!$L:$L,領用表!$E:$E,$B9,領用表!$B:$B,$DE$2&amp;DJ$2)</f>
        <v>0</v>
      </c>
      <c r="DK9" s="208">
        <f>SUMIFS(領用表!$L:$L,領用表!$A:$A,DK$2,領用表!$E:$E,$B9)</f>
        <v>13</v>
      </c>
      <c r="DL9" s="206">
        <f>SUMIFS(領用表!$L:$L,領用表!$E:$E,$B9,領用表!$B:$B,DK$2&amp;DL$2)</f>
        <v>8</v>
      </c>
      <c r="DM9" s="206">
        <f>SUMIFS(領用表!$L:$L,領用表!$E:$E,$B9,領用表!$B:$B,$DK$2&amp;DM$2)</f>
        <v>0</v>
      </c>
      <c r="DN9" s="206">
        <f>SUMIFS(領用表!$L:$L,領用表!$E:$E,$B9,領用表!$B:$B,$DK$2&amp;DN$2)</f>
        <v>3</v>
      </c>
      <c r="DO9" s="206">
        <f>SUMIFS(領用表!$L:$L,領用表!$E:$E,$B9,領用表!$B:$B,$DK$2&amp;DO$2)</f>
        <v>0</v>
      </c>
      <c r="DP9" s="206">
        <f>SUMIFS(領用表!$L:$L,領用表!$E:$E,$B9,領用表!$B:$B,$DK$2&amp;DP$2)</f>
        <v>2</v>
      </c>
      <c r="DQ9" s="206">
        <f t="shared" si="2"/>
        <v>15</v>
      </c>
      <c r="DR9" s="206">
        <f t="shared" si="5"/>
        <v>3</v>
      </c>
      <c r="DS9" s="206">
        <f t="shared" si="6"/>
        <v>0</v>
      </c>
      <c r="DT9" s="206"/>
      <c r="DU9" s="206"/>
      <c r="DV9" s="206"/>
      <c r="DW9" s="206"/>
      <c r="DX9" s="215"/>
      <c r="DY9" s="219"/>
      <c r="DZ9" s="211"/>
      <c r="EA9" s="211"/>
      <c r="EB9" s="136"/>
      <c r="EC9" s="212"/>
      <c r="EE9" s="213"/>
    </row>
    <row r="10" spans="1:141" s="118" customFormat="1" ht="15.75" customHeight="1">
      <c r="A10" s="136"/>
      <c r="B10" s="118">
        <v>6150016</v>
      </c>
      <c r="C10" s="432" t="s">
        <v>962</v>
      </c>
      <c r="D10" s="197">
        <v>1</v>
      </c>
      <c r="E10" s="198" t="s">
        <v>891</v>
      </c>
      <c r="F10" s="199">
        <f>SUMIF(站前4樓!B:B,B10,站前4樓!F:F)</f>
        <v>10</v>
      </c>
      <c r="G10" s="199">
        <f>SUMIF(站前11樓!B:B,B10,站前11樓!F:F)</f>
        <v>0</v>
      </c>
      <c r="H10" s="199">
        <f>SUMIF(忠孝7樓!B:B,B10,忠孝7樓!G:G)</f>
        <v>14</v>
      </c>
      <c r="I10" s="199">
        <f>SUMIF(忠孝國際醫學3樓!B:B,B10,忠孝國際醫學3樓!G:G)</f>
        <v>0</v>
      </c>
      <c r="J10" s="199">
        <f>SUMIF(忠孝健康7樓!B:B,B10,忠孝健康7樓!G:G)</f>
        <v>3</v>
      </c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2"/>
      <c r="AU10" s="203"/>
      <c r="AV10" s="204"/>
      <c r="AW10" s="205"/>
      <c r="AX10" s="203"/>
      <c r="AY10" s="203"/>
      <c r="AZ10" s="203"/>
      <c r="BA10" s="214"/>
      <c r="BB10" s="203"/>
      <c r="BC10" s="203"/>
      <c r="BD10" s="206"/>
      <c r="BE10" s="206"/>
      <c r="BF10" s="206"/>
      <c r="BG10" s="206"/>
      <c r="BH10" s="203"/>
      <c r="BI10" s="206"/>
      <c r="BJ10" s="206"/>
      <c r="BK10" s="206"/>
      <c r="BL10" s="206"/>
      <c r="BM10" s="203"/>
      <c r="BN10" s="206"/>
      <c r="BO10" s="206"/>
      <c r="BP10" s="206"/>
      <c r="BQ10" s="206"/>
      <c r="BR10" s="203"/>
      <c r="BS10" s="206"/>
      <c r="BT10" s="206"/>
      <c r="BU10" s="206"/>
      <c r="BV10" s="206"/>
      <c r="BW10" s="208"/>
      <c r="BX10" s="206"/>
      <c r="BY10" s="206"/>
      <c r="BZ10" s="206"/>
      <c r="CA10" s="206"/>
      <c r="CB10" s="208"/>
      <c r="CC10" s="206"/>
      <c r="CD10" s="206"/>
      <c r="CE10" s="206"/>
      <c r="CF10" s="206"/>
      <c r="CG10" s="208"/>
      <c r="CH10" s="206"/>
      <c r="CI10" s="206"/>
      <c r="CJ10" s="206"/>
      <c r="CK10" s="206"/>
      <c r="CL10" s="207"/>
      <c r="CM10" s="207"/>
      <c r="CN10" s="208"/>
      <c r="CO10" s="206"/>
      <c r="CP10" s="206"/>
      <c r="CQ10" s="206"/>
      <c r="CR10" s="206"/>
      <c r="CS10" s="208"/>
      <c r="CT10" s="206"/>
      <c r="CU10" s="206"/>
      <c r="CV10" s="206"/>
      <c r="CW10" s="206"/>
      <c r="CX10" s="206"/>
      <c r="CY10" s="208"/>
      <c r="CZ10" s="206"/>
      <c r="DA10" s="206"/>
      <c r="DB10" s="206"/>
      <c r="DC10" s="206"/>
      <c r="DD10" s="206"/>
      <c r="DE10" s="208"/>
      <c r="DF10" s="206"/>
      <c r="DG10" s="206"/>
      <c r="DH10" s="206"/>
      <c r="DI10" s="206"/>
      <c r="DJ10" s="206"/>
      <c r="DK10" s="208">
        <f>SUMIFS(領用表!$L:$L,領用表!$A:$A,DK$2,領用表!$E:$E,$B10)</f>
        <v>0</v>
      </c>
      <c r="DL10" s="206">
        <f>SUMIFS(領用表!$L:$L,領用表!$E:$E,$B10,領用表!$B:$B,DK$2&amp;DL$2)</f>
        <v>0</v>
      </c>
      <c r="DM10" s="206">
        <f>SUMIFS(領用表!$L:$L,領用表!$E:$E,$B10,領用表!$B:$B,$DK$2&amp;DM$2)</f>
        <v>0</v>
      </c>
      <c r="DN10" s="206">
        <f>SUMIFS(領用表!$L:$L,領用表!$E:$E,$B10,領用表!$B:$B,$DK$2&amp;DN$2)</f>
        <v>0</v>
      </c>
      <c r="DO10" s="206">
        <f>SUMIFS(領用表!$L:$L,領用表!$E:$E,$B10,領用表!$B:$B,$DK$2&amp;DO$2)</f>
        <v>0</v>
      </c>
      <c r="DP10" s="206">
        <f>SUMIFS(領用表!$L:$L,領用表!$E:$E,$B10,領用表!$B:$B,$DK$2&amp;DP$2)</f>
        <v>0</v>
      </c>
      <c r="DQ10" s="206">
        <f t="shared" ref="DQ10" si="9">SUM(CN10,CS10,CY10,DE10,DK10)</f>
        <v>0</v>
      </c>
      <c r="DR10" s="206">
        <f t="shared" ref="DR10" si="10">AVERAGEA(CN10,CS10,CY10,DE10,DK10)</f>
        <v>0</v>
      </c>
      <c r="DS10" s="206">
        <f t="shared" si="6"/>
        <v>0</v>
      </c>
      <c r="DT10" s="206"/>
      <c r="DU10" s="206"/>
      <c r="DV10" s="206"/>
      <c r="DW10" s="206"/>
      <c r="DX10" s="215"/>
      <c r="DY10" s="219"/>
      <c r="DZ10" s="211"/>
      <c r="EA10" s="211"/>
      <c r="EB10" s="136"/>
      <c r="EC10" s="212"/>
      <c r="EE10" s="213"/>
    </row>
    <row r="11" spans="1:141" s="118" customFormat="1" ht="15.75" customHeight="1">
      <c r="A11" s="136" t="s">
        <v>23</v>
      </c>
      <c r="B11" s="118">
        <v>6180015</v>
      </c>
      <c r="C11" s="118" t="s">
        <v>600</v>
      </c>
      <c r="D11" s="197">
        <v>2</v>
      </c>
      <c r="E11" s="198" t="s">
        <v>15</v>
      </c>
      <c r="F11" s="199">
        <f>SUMIF(站前4樓!B:B,B11,站前4樓!F:F)</f>
        <v>2</v>
      </c>
      <c r="G11" s="199">
        <f>SUMIF(站前11樓!B:B,B11,站前11樓!F:F)</f>
        <v>0</v>
      </c>
      <c r="H11" s="199">
        <f>SUMIF(忠孝7樓!B:B,B11,忠孝7樓!G:G)</f>
        <v>2</v>
      </c>
      <c r="I11" s="199">
        <f>SUMIF(忠孝國際醫學3樓!B:B,B11,忠孝國際醫學3樓!G:G)</f>
        <v>0</v>
      </c>
      <c r="J11" s="199">
        <f>SUMIF(忠孝健康7樓!B:B,B11,忠孝健康7樓!G:G)</f>
        <v>0</v>
      </c>
      <c r="K11" s="200">
        <v>0</v>
      </c>
      <c r="L11" s="200">
        <v>0</v>
      </c>
      <c r="M11" s="200">
        <v>0</v>
      </c>
      <c r="N11" s="200">
        <v>0</v>
      </c>
      <c r="O11" s="200">
        <v>0</v>
      </c>
      <c r="P11" s="200">
        <v>0</v>
      </c>
      <c r="Q11" s="200">
        <v>0</v>
      </c>
      <c r="R11" s="200">
        <v>0</v>
      </c>
      <c r="S11" s="200">
        <v>0</v>
      </c>
      <c r="T11" s="200">
        <v>0</v>
      </c>
      <c r="U11" s="200">
        <v>0</v>
      </c>
      <c r="V11" s="200">
        <v>0</v>
      </c>
      <c r="W11" s="200">
        <v>0</v>
      </c>
      <c r="X11" s="200">
        <v>0</v>
      </c>
      <c r="Y11" s="200">
        <v>0</v>
      </c>
      <c r="Z11" s="200">
        <v>0</v>
      </c>
      <c r="AA11" s="200">
        <v>0</v>
      </c>
      <c r="AB11" s="200">
        <v>0</v>
      </c>
      <c r="AC11" s="200">
        <v>0</v>
      </c>
      <c r="AD11" s="200">
        <v>0</v>
      </c>
      <c r="AE11" s="200">
        <v>0</v>
      </c>
      <c r="AF11" s="200">
        <v>0</v>
      </c>
      <c r="AG11" s="200">
        <v>0</v>
      </c>
      <c r="AH11" s="200">
        <v>0</v>
      </c>
      <c r="AI11" s="200">
        <v>0</v>
      </c>
      <c r="AJ11" s="201">
        <v>0</v>
      </c>
      <c r="AK11" s="201">
        <v>0</v>
      </c>
      <c r="AL11" s="201">
        <v>0</v>
      </c>
      <c r="AM11" s="201">
        <v>2</v>
      </c>
      <c r="AN11" s="201">
        <v>0</v>
      </c>
      <c r="AO11" s="201">
        <v>0</v>
      </c>
      <c r="AP11" s="201">
        <v>0</v>
      </c>
      <c r="AQ11" s="201">
        <v>0</v>
      </c>
      <c r="AR11" s="201">
        <v>1</v>
      </c>
      <c r="AS11" s="201">
        <v>0</v>
      </c>
      <c r="AT11" s="202">
        <v>0</v>
      </c>
      <c r="AU11" s="203">
        <v>0</v>
      </c>
      <c r="AV11" s="204">
        <f t="shared" si="0"/>
        <v>3</v>
      </c>
      <c r="AW11" s="205">
        <f t="shared" si="1"/>
        <v>0.25</v>
      </c>
      <c r="AX11" s="203">
        <v>0</v>
      </c>
      <c r="AY11" s="203">
        <v>0</v>
      </c>
      <c r="AZ11" s="203">
        <v>2</v>
      </c>
      <c r="BA11" s="203">
        <v>0</v>
      </c>
      <c r="BB11" s="203">
        <v>2</v>
      </c>
      <c r="BC11" s="203">
        <f>SUMIFS(領用表!$L:$L,領用表!$A:$A,BC$2,領用表!$E:$E,B11)</f>
        <v>0</v>
      </c>
      <c r="BD11" s="206">
        <f>SUMIFS(領用表!$L:$L,領用表!$E:$E,$B11,領用表!$B:$B,BC$2&amp;BD$2)</f>
        <v>0</v>
      </c>
      <c r="BE11" s="206">
        <f>SUMIFS(領用表!$L:$L,領用表!$E:$E,$B11,領用表!$B:$B,$BC$2&amp;BE$2)</f>
        <v>0</v>
      </c>
      <c r="BF11" s="206">
        <f>SUMIFS(領用表!$L:$L,領用表!$E:$E,$B11,領用表!$B:$B,$BC$2&amp;BF$2)</f>
        <v>0</v>
      </c>
      <c r="BG11" s="206">
        <f>SUMIFS(領用表!$L:$L,領用表!$E:$E,$B11,領用表!$B:$B,$BC$2&amp;BG$2)</f>
        <v>0</v>
      </c>
      <c r="BH11" s="203">
        <f>SUMIFS(領用表!$L:$L,領用表!$A:$A,BH$2,領用表!$E:$E,B11)</f>
        <v>0</v>
      </c>
      <c r="BI11" s="206">
        <f>SUMIFS(領用表!$L:$L,領用表!$E:$E,$B11,領用表!$B:$B,BH$2&amp;BI$2)</f>
        <v>0</v>
      </c>
      <c r="BJ11" s="206">
        <f>SUMIFS(領用表!$L:$L,領用表!$E:$E,$B11,領用表!$B:$B,$BH$2&amp;BJ$2)</f>
        <v>0</v>
      </c>
      <c r="BK11" s="206">
        <f>SUMIFS(領用表!$L:$L,領用表!$E:$E,$B11,領用表!$B:$B,$BH$2&amp;BK$2)</f>
        <v>0</v>
      </c>
      <c r="BL11" s="206">
        <f>SUMIFS(領用表!$L:$L,領用表!$E:$E,$B11,領用表!$B:$B,$BH$2&amp;BL$2)</f>
        <v>0</v>
      </c>
      <c r="BM11" s="203">
        <f>SUMIFS(領用表!$L:$L,領用表!$A:$A,BM$2,領用表!$E:$E,B11)</f>
        <v>0</v>
      </c>
      <c r="BN11" s="206">
        <f>SUMIFS(領用表!$L:$L,領用表!$E:$E,$B11,領用表!$B:$B,BM$2&amp;BN$2)</f>
        <v>0</v>
      </c>
      <c r="BO11" s="206">
        <f>SUMIFS(領用表!$L:$L,領用表!$E:$E,$B11,領用表!$B:$B,$BM$2&amp;BO$2)</f>
        <v>0</v>
      </c>
      <c r="BP11" s="206">
        <f>SUMIFS(領用表!$L:$L,領用表!$E:$E,$B11,領用表!$B:$B,$BM$2&amp;BP$2)</f>
        <v>0</v>
      </c>
      <c r="BQ11" s="206">
        <f>SUMIFS(領用表!$L:$L,領用表!$E:$E,$B11,領用表!$B:$B,$BM$2&amp;BQ$2)</f>
        <v>0</v>
      </c>
      <c r="BR11" s="203">
        <f>SUMIFS(領用表!$L:$L,領用表!$A:$A,BR$2,領用表!$E:$E,B11)</f>
        <v>0</v>
      </c>
      <c r="BS11" s="206">
        <f>SUMIFS(領用表!$L:$L,領用表!$E:$E,$B11,領用表!$B:$B,BR$2&amp;BS$2)</f>
        <v>0</v>
      </c>
      <c r="BT11" s="206">
        <f>SUMIFS(領用表!$L:$L,領用表!$E:$E,$B11,領用表!$B:$B,$BR$2&amp;BT$2)</f>
        <v>0</v>
      </c>
      <c r="BU11" s="206">
        <f>SUMIFS(領用表!$L:$L,領用表!$E:$E,$B11,領用表!$B:$B,$BR$2&amp;BU$2)</f>
        <v>0</v>
      </c>
      <c r="BV11" s="206">
        <f>SUMIFS(領用表!$L:$L,領用表!$E:$E,$B11,領用表!$B:$B,$BR$2&amp;BV$2)</f>
        <v>0</v>
      </c>
      <c r="BW11" s="208">
        <f>SUMIFS(領用表!$L:$L,領用表!$A:$A,BW$2,領用表!$E:$E,B11)</f>
        <v>0</v>
      </c>
      <c r="BX11" s="216">
        <f>SUMIFS(領用表!$L:$L,領用表!$E:$E,$B11,領用表!$B:$B,BW$2&amp;BX$2)</f>
        <v>0</v>
      </c>
      <c r="BY11" s="216">
        <f>SUMIFS(領用表!$L:$L,領用表!$E:$E,$B11,領用表!$B:$B,$BW$2&amp;BY$2)</f>
        <v>0</v>
      </c>
      <c r="BZ11" s="216">
        <f>SUMIFS(領用表!$L:$L,領用表!$E:$E,$B11,領用表!$B:$B,$BW$2&amp;BZ$2)</f>
        <v>0</v>
      </c>
      <c r="CA11" s="216">
        <f>SUMIFS(領用表!$L:$L,領用表!$E:$E,$B11,領用表!$B:$B,$BW$2&amp;CA$2)</f>
        <v>0</v>
      </c>
      <c r="CB11" s="208">
        <f>SUMIFS(領用表!$L:$L,領用表!$A:$A,CB$2,領用表!$E:$E,B11)</f>
        <v>0</v>
      </c>
      <c r="CC11" s="216">
        <f>SUMIFS(領用表!$L:$L,領用表!$E:$E,$B11,領用表!$B:$B,CB$2&amp;CC$2)</f>
        <v>0</v>
      </c>
      <c r="CD11" s="216">
        <f>SUMIFS(領用表!$L:$L,領用表!$E:$E,$B11,領用表!$B:$B,$CB$2&amp;CD$2)</f>
        <v>0</v>
      </c>
      <c r="CE11" s="216">
        <f>SUMIFS(領用表!$L:$L,領用表!$E:$E,$B11,領用表!$B:$B,$CB$2&amp;CE$2)</f>
        <v>0</v>
      </c>
      <c r="CF11" s="216">
        <f>SUMIFS(領用表!$L:$L,領用表!$E:$E,$B11,領用表!$B:$B,$CB$2&amp;CF$2)</f>
        <v>0</v>
      </c>
      <c r="CG11" s="217">
        <f>SUMIFS(領用表!$L:$L,領用表!$A:$A,CG$2,領用表!$E:$E,B11)</f>
        <v>0</v>
      </c>
      <c r="CH11" s="216">
        <f>SUMIFS(領用表!$L:$L,領用表!$E:$E,$B11,領用表!$B:$B,CG$2&amp;CH$2)</f>
        <v>0</v>
      </c>
      <c r="CI11" s="216">
        <f>SUMIFS(領用表!$L:$L,領用表!$E:$E,$B11,領用表!$B:$B,CG$2&amp;CI$2)</f>
        <v>0</v>
      </c>
      <c r="CJ11" s="216">
        <f>SUMIFS(領用表!$L:$L,領用表!$E:$E,$B11,領用表!$B:$B,CG$2&amp;CJ$2)</f>
        <v>0</v>
      </c>
      <c r="CK11" s="216">
        <f>SUMIFS(領用表!$L:$L,領用表!$E:$E,$B11,領用表!$B:$B,$CG$2&amp;CK$2)</f>
        <v>0</v>
      </c>
      <c r="CL11" s="207">
        <f t="shared" si="3"/>
        <v>4</v>
      </c>
      <c r="CM11" s="207">
        <f t="shared" si="4"/>
        <v>0.33333333333333331</v>
      </c>
      <c r="CN11" s="217">
        <f>SUMIFS(領用表!$L:$L,領用表!$A:$A,CN$2,領用表!$E:$E,B11)</f>
        <v>0</v>
      </c>
      <c r="CO11" s="216">
        <f>SUMIFS(領用表!$L:$L,領用表!$E:$E,$B11,領用表!$B:$B,CN$2&amp;CO$2)</f>
        <v>0</v>
      </c>
      <c r="CP11" s="216">
        <f>SUMIFS(領用表!$L:$L,領用表!$E:$E,$B11,領用表!$B:$B,$CN$2&amp;CP$2)</f>
        <v>0</v>
      </c>
      <c r="CQ11" s="216">
        <f>SUMIFS(領用表!$L:$L,領用表!$E:$E,$B11,領用表!$B:$B,$CN$2&amp;CQ$2)</f>
        <v>0</v>
      </c>
      <c r="CR11" s="216">
        <f>SUMIFS(領用表!$L:$L,領用表!$E:$E,$B11,領用表!$B:$B,$CN$2&amp;CR$2)</f>
        <v>0</v>
      </c>
      <c r="CS11" s="208">
        <f>SUMIFS(領用表!$L:$L,領用表!$A:$A,CS$2,領用表!$E:$E,B11)</f>
        <v>0</v>
      </c>
      <c r="CT11" s="216">
        <f>SUMIFS(領用表!$L:$L,領用表!$E:$E,$B11,領用表!$B:$B,CS$2&amp;CT$2)</f>
        <v>0</v>
      </c>
      <c r="CU11" s="216">
        <f>SUMIFS(領用表!$L:$L,領用表!$E:$E,$B11,領用表!$B:$B,$CS$2&amp;CU$2)</f>
        <v>0</v>
      </c>
      <c r="CV11" s="216">
        <f>SUMIFS(領用表!$L:$L,領用表!$E:$E,$B11,領用表!$B:$B,$CS$2&amp;CV$2)</f>
        <v>0</v>
      </c>
      <c r="CW11" s="216">
        <f>SUMIFS(領用表!$L:$L,領用表!$E:$E,$B11,領用表!$B:$B,$CS$2&amp;CW$2)</f>
        <v>0</v>
      </c>
      <c r="CX11" s="216">
        <f>SUMIFS(領用表!$L:$L,領用表!$E:$E,$B11,領用表!$B:$B,$CS$2&amp;CX$2)</f>
        <v>0</v>
      </c>
      <c r="CY11" s="208">
        <f>SUMIFS(領用表!$L:$L,領用表!$A:$A,CY$2,領用表!$E:$E,B11)</f>
        <v>0</v>
      </c>
      <c r="CZ11" s="216">
        <f>SUMIFS(領用表!$L:$L,領用表!$E:$E,$B11,領用表!$B:$B,CY$2&amp;CZ$2)</f>
        <v>0</v>
      </c>
      <c r="DA11" s="216">
        <f>SUMIFS(領用表!$L:$L,領用表!$E:$E,$B11,領用表!$B:$B,$CY$2&amp;DA$2)</f>
        <v>0</v>
      </c>
      <c r="DB11" s="216">
        <f>SUMIFS(領用表!$L:$L,領用表!$E:$E,$B11,領用表!$B:$B,$CY$2&amp;DB$2)</f>
        <v>0</v>
      </c>
      <c r="DC11" s="216">
        <f>SUMIFS(領用表!$L:$L,領用表!$E:$E,$B11,領用表!$B:$B,$CY$2&amp;DC$2)</f>
        <v>0</v>
      </c>
      <c r="DD11" s="216">
        <f>SUMIFS(領用表!$L:$L,領用表!$E:$E,$B11,領用表!$B:$B,$CY$2&amp;DD$2)</f>
        <v>0</v>
      </c>
      <c r="DE11" s="208">
        <f>SUMIFS(領用表!$L:$L,領用表!$A:$A,DE$2,領用表!$E:$E,B11)</f>
        <v>0</v>
      </c>
      <c r="DF11" s="216">
        <f>SUMIFS(領用表!$L:$L,領用表!$E:$E,$B11,領用表!$B:$B,DE$2&amp;DF$2)</f>
        <v>0</v>
      </c>
      <c r="DG11" s="216">
        <f>SUMIFS(領用表!$L:$L,領用表!$E:$E,$B11,領用表!$B:$B,$DE$2&amp;DG$2)</f>
        <v>0</v>
      </c>
      <c r="DH11" s="216">
        <f>SUMIFS(領用表!$L:$L,領用表!$E:$E,$B11,領用表!$B:$B,$DE$2&amp;DH$2)</f>
        <v>0</v>
      </c>
      <c r="DI11" s="216">
        <f>SUMIFS(領用表!$L:$L,領用表!$E:$E,$B11,領用表!$B:$B,$DE$2&amp;DI$2)</f>
        <v>0</v>
      </c>
      <c r="DJ11" s="216">
        <f>SUMIFS(領用表!$L:$L,領用表!$E:$E,$B11,領用表!$B:$B,$DE$2&amp;DJ$2)</f>
        <v>0</v>
      </c>
      <c r="DK11" s="208">
        <f>SUMIFS(領用表!$L:$L,領用表!$A:$A,DK$2,領用表!$E:$E,$B11)</f>
        <v>0</v>
      </c>
      <c r="DL11" s="216">
        <f>SUMIFS(領用表!$L:$L,領用表!$E:$E,$B11,領用表!$B:$B,DK$2&amp;DL$2)</f>
        <v>0</v>
      </c>
      <c r="DM11" s="216">
        <f>SUMIFS(領用表!$L:$L,領用表!$E:$E,$B11,領用表!$B:$B,$DK$2&amp;DM$2)</f>
        <v>0</v>
      </c>
      <c r="DN11" s="216">
        <f>SUMIFS(領用表!$L:$L,領用表!$E:$E,$B11,領用表!$B:$B,$DK$2&amp;DN$2)</f>
        <v>0</v>
      </c>
      <c r="DO11" s="216">
        <f>SUMIFS(領用表!$L:$L,領用表!$E:$E,$B11,領用表!$B:$B,$DK$2&amp;DO$2)</f>
        <v>0</v>
      </c>
      <c r="DP11" s="216">
        <f>SUMIFS(領用表!$L:$L,領用表!$E:$E,$B11,領用表!$B:$B,$DK$2&amp;DP$2)</f>
        <v>0</v>
      </c>
      <c r="DQ11" s="216">
        <f t="shared" si="2"/>
        <v>0</v>
      </c>
      <c r="DR11" s="216">
        <f t="shared" si="5"/>
        <v>0</v>
      </c>
      <c r="DS11" s="216">
        <f t="shared" si="6"/>
        <v>2</v>
      </c>
      <c r="DT11" s="216">
        <v>1</v>
      </c>
      <c r="DU11" s="216">
        <v>0</v>
      </c>
      <c r="DV11" s="216">
        <v>1</v>
      </c>
      <c r="DW11" s="216">
        <v>0</v>
      </c>
      <c r="DX11" s="215">
        <v>1</v>
      </c>
      <c r="DY11" s="469"/>
      <c r="DZ11" s="211"/>
      <c r="EA11" s="211"/>
      <c r="EB11" s="136"/>
      <c r="EC11" s="212"/>
      <c r="ED11" s="118">
        <f>IFERROR(VLOOKUP(A11,站前4樓!A:BF,57,0),0)</f>
        <v>0</v>
      </c>
      <c r="EE11" s="213">
        <f>IFERROR(VLOOKUP(A11,站前11樓!A:BE,57,0),0)</f>
        <v>0</v>
      </c>
      <c r="EF11" s="118">
        <f>IFERROR(VLOOKUP(A11,忠孝7樓!A:N,57,0),0)</f>
        <v>0</v>
      </c>
      <c r="EG11" s="118">
        <f>IFERROR(VLOOKUP(A11,忠孝國際醫學3樓!A:L,57,0),0)</f>
        <v>0</v>
      </c>
      <c r="EH11" s="118">
        <f t="shared" si="7"/>
        <v>0</v>
      </c>
      <c r="EJ11" s="118">
        <v>6</v>
      </c>
      <c r="EK11" s="118">
        <v>4</v>
      </c>
    </row>
    <row r="12" spans="1:141" s="118" customFormat="1" ht="15.75" customHeight="1">
      <c r="A12" s="136" t="s">
        <v>24</v>
      </c>
      <c r="B12" s="118">
        <v>6180005</v>
      </c>
      <c r="C12" s="118" t="s">
        <v>601</v>
      </c>
      <c r="D12" s="197">
        <v>20</v>
      </c>
      <c r="E12" s="198" t="s">
        <v>15</v>
      </c>
      <c r="F12" s="199">
        <f>SUMIF(站前4樓!B:B,B12,站前4樓!F:F)</f>
        <v>0</v>
      </c>
      <c r="G12" s="199">
        <f>SUMIF(站前11樓!B:B,B12,站前11樓!F:F)</f>
        <v>0</v>
      </c>
      <c r="H12" s="199">
        <f>SUMIF(忠孝7樓!B:B,B12,忠孝7樓!G:G)</f>
        <v>28</v>
      </c>
      <c r="I12" s="199">
        <f>SUMIF(忠孝國際醫學3樓!B:B,B12,忠孝國際醫學3樓!G:G)</f>
        <v>0</v>
      </c>
      <c r="J12" s="199">
        <f>SUMIF(忠孝健康7樓!B:B,B12,忠孝健康7樓!G:G)</f>
        <v>4</v>
      </c>
      <c r="K12" s="200">
        <v>0</v>
      </c>
      <c r="L12" s="200">
        <v>0</v>
      </c>
      <c r="M12" s="200">
        <v>0</v>
      </c>
      <c r="N12" s="200">
        <v>0</v>
      </c>
      <c r="O12" s="200">
        <v>0</v>
      </c>
      <c r="P12" s="200">
        <v>0</v>
      </c>
      <c r="Q12" s="200">
        <v>0</v>
      </c>
      <c r="R12" s="200">
        <v>0</v>
      </c>
      <c r="S12" s="200">
        <v>0</v>
      </c>
      <c r="T12" s="200">
        <v>0</v>
      </c>
      <c r="U12" s="200">
        <v>0</v>
      </c>
      <c r="V12" s="200">
        <v>0</v>
      </c>
      <c r="W12" s="200">
        <v>0</v>
      </c>
      <c r="X12" s="200">
        <v>0</v>
      </c>
      <c r="Y12" s="200">
        <v>0</v>
      </c>
      <c r="Z12" s="200">
        <v>0</v>
      </c>
      <c r="AA12" s="200">
        <v>0</v>
      </c>
      <c r="AB12" s="200">
        <v>0</v>
      </c>
      <c r="AC12" s="200">
        <v>0</v>
      </c>
      <c r="AD12" s="200">
        <v>0</v>
      </c>
      <c r="AE12" s="200">
        <v>0</v>
      </c>
      <c r="AF12" s="200">
        <v>0</v>
      </c>
      <c r="AG12" s="200">
        <v>0</v>
      </c>
      <c r="AH12" s="200">
        <v>0</v>
      </c>
      <c r="AI12" s="200">
        <v>32</v>
      </c>
      <c r="AJ12" s="201">
        <v>1.2</v>
      </c>
      <c r="AK12" s="201">
        <v>2.2000000000000002</v>
      </c>
      <c r="AL12" s="201">
        <v>2.2000000000000002</v>
      </c>
      <c r="AM12" s="201">
        <v>1.6</v>
      </c>
      <c r="AN12" s="201">
        <v>3.4</v>
      </c>
      <c r="AO12" s="201">
        <v>2.2000000000000002</v>
      </c>
      <c r="AP12" s="201">
        <v>0.4</v>
      </c>
      <c r="AQ12" s="201">
        <v>0.6</v>
      </c>
      <c r="AR12" s="201">
        <v>0.4</v>
      </c>
      <c r="AS12" s="201">
        <v>0.2</v>
      </c>
      <c r="AT12" s="202">
        <v>0.4</v>
      </c>
      <c r="AU12" s="203">
        <v>28</v>
      </c>
      <c r="AV12" s="204">
        <f t="shared" si="0"/>
        <v>42.8</v>
      </c>
      <c r="AW12" s="205">
        <f t="shared" si="1"/>
        <v>3.5666666666666664</v>
      </c>
      <c r="AX12" s="203">
        <v>0</v>
      </c>
      <c r="AY12" s="203">
        <v>8</v>
      </c>
      <c r="AZ12" s="203">
        <v>0</v>
      </c>
      <c r="BA12" s="203">
        <v>0</v>
      </c>
      <c r="BB12" s="203">
        <v>0</v>
      </c>
      <c r="BC12" s="203">
        <f>SUMIFS(領用表!$L:$L,領用表!$A:$A,BC$2,領用表!$E:$E,B12)</f>
        <v>12</v>
      </c>
      <c r="BD12" s="206">
        <f>SUMIFS(領用表!$L:$L,領用表!$E:$E,$B12,領用表!$B:$B,BC$2&amp;BD$2)</f>
        <v>12</v>
      </c>
      <c r="BE12" s="206">
        <f>SUMIFS(領用表!$L:$L,領用表!$E:$E,$B12,領用表!$B:$B,$BC$2&amp;BE$2)</f>
        <v>0</v>
      </c>
      <c r="BF12" s="206">
        <f>SUMIFS(領用表!$L:$L,領用表!$E:$E,$B12,領用表!$B:$B,$BC$2&amp;BF$2)</f>
        <v>0</v>
      </c>
      <c r="BG12" s="206">
        <f>SUMIFS(領用表!$L:$L,領用表!$E:$E,$B12,領用表!$B:$B,$BC$2&amp;BG$2)</f>
        <v>0</v>
      </c>
      <c r="BH12" s="203">
        <f>SUMIFS(領用表!$L:$L,領用表!$A:$A,BH$2,領用表!$E:$E,B12)</f>
        <v>4</v>
      </c>
      <c r="BI12" s="206">
        <f>SUMIFS(領用表!$L:$L,領用表!$E:$E,$B12,領用表!$B:$B,BH$2&amp;BI$2)</f>
        <v>4</v>
      </c>
      <c r="BJ12" s="206">
        <f>SUMIFS(領用表!$L:$L,領用表!$E:$E,$B12,領用表!$B:$B,$BH$2&amp;BJ$2)</f>
        <v>0</v>
      </c>
      <c r="BK12" s="206">
        <f>SUMIFS(領用表!$L:$L,領用表!$E:$E,$B12,領用表!$B:$B,$BH$2&amp;BK$2)</f>
        <v>0</v>
      </c>
      <c r="BL12" s="206">
        <f>SUMIFS(領用表!$L:$L,領用表!$E:$E,$B12,領用表!$B:$B,$BH$2&amp;BL$2)</f>
        <v>0</v>
      </c>
      <c r="BM12" s="203">
        <f>SUMIFS(領用表!$L:$L,領用表!$A:$A,BM$2,領用表!$E:$E,B12)</f>
        <v>0</v>
      </c>
      <c r="BN12" s="206">
        <f>SUMIFS(領用表!$L:$L,領用表!$E:$E,$B12,領用表!$B:$B,BM$2&amp;BN$2)</f>
        <v>0</v>
      </c>
      <c r="BO12" s="206">
        <f>SUMIFS(領用表!$L:$L,領用表!$E:$E,$B12,領用表!$B:$B,$BM$2&amp;BO$2)</f>
        <v>0</v>
      </c>
      <c r="BP12" s="206">
        <f>SUMIFS(領用表!$L:$L,領用表!$E:$E,$B12,領用表!$B:$B,$BM$2&amp;BP$2)</f>
        <v>0</v>
      </c>
      <c r="BQ12" s="206">
        <f>SUMIFS(領用表!$L:$L,領用表!$E:$E,$B12,領用表!$B:$B,$BM$2&amp;BQ$2)</f>
        <v>0</v>
      </c>
      <c r="BR12" s="203">
        <f>SUMIFS(領用表!$L:$L,領用表!$A:$A,BR$2,領用表!$E:$E,B12)</f>
        <v>0</v>
      </c>
      <c r="BS12" s="206">
        <f>SUMIFS(領用表!$L:$L,領用表!$E:$E,$B12,領用表!$B:$B,BR$2&amp;BS$2)</f>
        <v>0</v>
      </c>
      <c r="BT12" s="206">
        <f>SUMIFS(領用表!$L:$L,領用表!$E:$E,$B12,領用表!$B:$B,$BR$2&amp;BT$2)</f>
        <v>0</v>
      </c>
      <c r="BU12" s="206">
        <f>SUMIFS(領用表!$L:$L,領用表!$E:$E,$B12,領用表!$B:$B,$BR$2&amp;BU$2)</f>
        <v>0</v>
      </c>
      <c r="BV12" s="206">
        <f>SUMIFS(領用表!$L:$L,領用表!$E:$E,$B12,領用表!$B:$B,$BR$2&amp;BV$2)</f>
        <v>0</v>
      </c>
      <c r="BW12" s="208">
        <f>SUMIFS(領用表!$L:$L,領用表!$A:$A,BW$2,領用表!$E:$E,B12)</f>
        <v>8</v>
      </c>
      <c r="BX12" s="216">
        <f>SUMIFS(領用表!$L:$L,領用表!$E:$E,$B12,領用表!$B:$B,BW$2&amp;BX$2)</f>
        <v>8</v>
      </c>
      <c r="BY12" s="216">
        <f>SUMIFS(領用表!$L:$L,領用表!$E:$E,$B12,領用表!$B:$B,$BW$2&amp;BY$2)</f>
        <v>0</v>
      </c>
      <c r="BZ12" s="216">
        <f>SUMIFS(領用表!$L:$L,領用表!$E:$E,$B12,領用表!$B:$B,$BW$2&amp;BZ$2)</f>
        <v>0</v>
      </c>
      <c r="CA12" s="216">
        <f>SUMIFS(領用表!$L:$L,領用表!$E:$E,$B12,領用表!$B:$B,$BW$2&amp;CA$2)</f>
        <v>0</v>
      </c>
      <c r="CB12" s="208">
        <f>SUMIFS(領用表!$L:$L,領用表!$A:$A,CB$2,領用表!$E:$E,B12)</f>
        <v>16</v>
      </c>
      <c r="CC12" s="216">
        <f>SUMIFS(領用表!$L:$L,領用表!$E:$E,$B12,領用表!$B:$B,CB$2&amp;CC$2)</f>
        <v>0</v>
      </c>
      <c r="CD12" s="216">
        <f>SUMIFS(領用表!$L:$L,領用表!$E:$E,$B12,領用表!$B:$B,$CB$2&amp;CD$2)</f>
        <v>0</v>
      </c>
      <c r="CE12" s="216">
        <f>SUMIFS(領用表!$L:$L,領用表!$E:$E,$B12,領用表!$B:$B,$CB$2&amp;CE$2)</f>
        <v>16</v>
      </c>
      <c r="CF12" s="216">
        <f>SUMIFS(領用表!$L:$L,領用表!$E:$E,$B12,領用表!$B:$B,$CB$2&amp;CF$2)</f>
        <v>0</v>
      </c>
      <c r="CG12" s="217">
        <f>SUMIFS(領用表!$L:$L,領用表!$A:$A,CG$2,領用表!$E:$E,B12)</f>
        <v>28</v>
      </c>
      <c r="CH12" s="216">
        <f>SUMIFS(領用表!$L:$L,領用表!$E:$E,$B12,領用表!$B:$B,CG$2&amp;CH$2)</f>
        <v>8</v>
      </c>
      <c r="CI12" s="216">
        <f>SUMIFS(領用表!$L:$L,領用表!$E:$E,$B12,領用表!$B:$B,CG$2&amp;CI$2)</f>
        <v>0</v>
      </c>
      <c r="CJ12" s="216">
        <f>SUMIFS(領用表!$L:$L,領用表!$E:$E,$B12,領用表!$B:$B,CG$2&amp;CJ$2)</f>
        <v>20</v>
      </c>
      <c r="CK12" s="216">
        <f>SUMIFS(領用表!$L:$L,領用表!$E:$E,$B12,領用表!$B:$B,$CG$2&amp;CK$2)</f>
        <v>0</v>
      </c>
      <c r="CL12" s="207">
        <f t="shared" si="3"/>
        <v>76</v>
      </c>
      <c r="CM12" s="207">
        <f t="shared" si="4"/>
        <v>6.333333333333333</v>
      </c>
      <c r="CN12" s="217">
        <f>SUMIFS(領用表!$L:$L,領用表!$A:$A,CN$2,領用表!$E:$E,B12)</f>
        <v>0</v>
      </c>
      <c r="CO12" s="216">
        <f>SUMIFS(領用表!$L:$L,領用表!$E:$E,$B12,領用表!$B:$B,CN$2&amp;CO$2)</f>
        <v>0</v>
      </c>
      <c r="CP12" s="216">
        <f>SUMIFS(領用表!$L:$L,領用表!$E:$E,$B12,領用表!$B:$B,$CN$2&amp;CP$2)</f>
        <v>0</v>
      </c>
      <c r="CQ12" s="216">
        <f>SUMIFS(領用表!$L:$L,領用表!$E:$E,$B12,領用表!$B:$B,$CN$2&amp;CQ$2)</f>
        <v>0</v>
      </c>
      <c r="CR12" s="216">
        <f>SUMIFS(領用表!$L:$L,領用表!$E:$E,$B12,領用表!$B:$B,$CN$2&amp;CR$2)</f>
        <v>0</v>
      </c>
      <c r="CS12" s="208">
        <f>SUMIFS(領用表!$L:$L,領用表!$A:$A,CS$2,領用表!$E:$E,B12)</f>
        <v>24</v>
      </c>
      <c r="CT12" s="216">
        <f>SUMIFS(領用表!$L:$L,領用表!$E:$E,$B12,領用表!$B:$B,CS$2&amp;CT$2)</f>
        <v>12</v>
      </c>
      <c r="CU12" s="216">
        <f>SUMIFS(領用表!$L:$L,領用表!$E:$E,$B12,領用表!$B:$B,$CS$2&amp;CU$2)</f>
        <v>0</v>
      </c>
      <c r="CV12" s="216">
        <f>SUMIFS(領用表!$L:$L,領用表!$E:$E,$B12,領用表!$B:$B,$CS$2&amp;CV$2)</f>
        <v>12</v>
      </c>
      <c r="CW12" s="216">
        <f>SUMIFS(領用表!$L:$L,領用表!$E:$E,$B12,領用表!$B:$B,$CS$2&amp;CW$2)</f>
        <v>0</v>
      </c>
      <c r="CX12" s="216">
        <f>SUMIFS(領用表!$L:$L,領用表!$E:$E,$B12,領用表!$B:$B,$CS$2&amp;CX$2)</f>
        <v>0</v>
      </c>
      <c r="CY12" s="208">
        <f>SUMIFS(領用表!$L:$L,領用表!$A:$A,CY$2,領用表!$E:$E,B12)</f>
        <v>12</v>
      </c>
      <c r="CZ12" s="216">
        <f>SUMIFS(領用表!$L:$L,領用表!$E:$E,$B12,領用表!$B:$B,CY$2&amp;CZ$2)</f>
        <v>12</v>
      </c>
      <c r="DA12" s="216">
        <f>SUMIFS(領用表!$L:$L,領用表!$E:$E,$B12,領用表!$B:$B,$CY$2&amp;DA$2)</f>
        <v>0</v>
      </c>
      <c r="DB12" s="216">
        <f>SUMIFS(領用表!$L:$L,領用表!$E:$E,$B12,領用表!$B:$B,$CY$2&amp;DB$2)</f>
        <v>0</v>
      </c>
      <c r="DC12" s="216">
        <f>SUMIFS(領用表!$L:$L,領用表!$E:$E,$B12,領用表!$B:$B,$CY$2&amp;DC$2)</f>
        <v>0</v>
      </c>
      <c r="DD12" s="216">
        <f>SUMIFS(領用表!$L:$L,領用表!$E:$E,$B12,領用表!$B:$B,$CY$2&amp;DD$2)</f>
        <v>0</v>
      </c>
      <c r="DE12" s="208">
        <f>SUMIFS(領用表!$L:$L,領用表!$A:$A,DE$2,領用表!$E:$E,B12)</f>
        <v>4</v>
      </c>
      <c r="DF12" s="216">
        <f>SUMIFS(領用表!$L:$L,領用表!$E:$E,$B12,領用表!$B:$B,DE$2&amp;DF$2)</f>
        <v>4</v>
      </c>
      <c r="DG12" s="216">
        <f>SUMIFS(領用表!$L:$L,領用表!$E:$E,$B12,領用表!$B:$B,$DE$2&amp;DG$2)</f>
        <v>0</v>
      </c>
      <c r="DH12" s="216">
        <f>SUMIFS(領用表!$L:$L,領用表!$E:$E,$B12,領用表!$B:$B,$DE$2&amp;DH$2)</f>
        <v>0</v>
      </c>
      <c r="DI12" s="216">
        <f>SUMIFS(領用表!$L:$L,領用表!$E:$E,$B12,領用表!$B:$B,$DE$2&amp;DI$2)</f>
        <v>0</v>
      </c>
      <c r="DJ12" s="216">
        <f>SUMIFS(領用表!$L:$L,領用表!$E:$E,$B12,領用表!$B:$B,$DE$2&amp;DJ$2)</f>
        <v>0</v>
      </c>
      <c r="DK12" s="208">
        <f>SUMIFS(領用表!$L:$L,領用表!$A:$A,DK$2,領用表!$E:$E,$B12)</f>
        <v>16</v>
      </c>
      <c r="DL12" s="216">
        <f>SUMIFS(領用表!$L:$L,領用表!$E:$E,$B12,領用表!$B:$B,DK$2&amp;DL$2)</f>
        <v>16</v>
      </c>
      <c r="DM12" s="216">
        <f>SUMIFS(領用表!$L:$L,領用表!$E:$E,$B12,領用表!$B:$B,$DK$2&amp;DM$2)</f>
        <v>0</v>
      </c>
      <c r="DN12" s="216">
        <f>SUMIFS(領用表!$L:$L,領用表!$E:$E,$B12,領用表!$B:$B,$DK$2&amp;DN$2)</f>
        <v>0</v>
      </c>
      <c r="DO12" s="216">
        <f>SUMIFS(領用表!$L:$L,領用表!$E:$E,$B12,領用表!$B:$B,$DK$2&amp;DO$2)</f>
        <v>0</v>
      </c>
      <c r="DP12" s="216">
        <f>SUMIFS(領用表!$L:$L,領用表!$E:$E,$B12,領用表!$B:$B,$DK$2&amp;DP$2)</f>
        <v>0</v>
      </c>
      <c r="DQ12" s="216">
        <f t="shared" si="2"/>
        <v>56</v>
      </c>
      <c r="DR12" s="216">
        <f t="shared" si="5"/>
        <v>11.2</v>
      </c>
      <c r="DS12" s="216">
        <f t="shared" si="6"/>
        <v>14</v>
      </c>
      <c r="DT12" s="216">
        <v>4</v>
      </c>
      <c r="DU12" s="216">
        <v>0</v>
      </c>
      <c r="DV12" s="216">
        <v>10</v>
      </c>
      <c r="DW12" s="216">
        <v>0</v>
      </c>
      <c r="DX12" s="215">
        <v>20</v>
      </c>
      <c r="DY12" s="465"/>
      <c r="DZ12" s="211"/>
      <c r="EA12" s="211"/>
      <c r="EB12" s="136"/>
      <c r="EC12" s="212"/>
      <c r="ED12" s="118">
        <f>IFERROR(VLOOKUP(A12,站前4樓!A:BF,57,0),0)</f>
        <v>0</v>
      </c>
      <c r="EE12" s="213">
        <f>IFERROR(VLOOKUP(A12,站前11樓!A:BE,57,0),0)</f>
        <v>0</v>
      </c>
      <c r="EF12" s="118">
        <f>IFERROR(VLOOKUP(A12,忠孝7樓!A:N,57,0),0)</f>
        <v>0</v>
      </c>
      <c r="EG12" s="118">
        <f>IFERROR(VLOOKUP(A12,忠孝國際醫學3樓!A:L,57,0),0)</f>
        <v>0</v>
      </c>
      <c r="EH12" s="118">
        <f t="shared" si="7"/>
        <v>0</v>
      </c>
      <c r="EJ12" s="118">
        <v>48</v>
      </c>
      <c r="EK12" s="118">
        <v>8</v>
      </c>
    </row>
    <row r="13" spans="1:141" s="118" customFormat="1" ht="15.75" customHeight="1">
      <c r="A13" s="136" t="s">
        <v>25</v>
      </c>
      <c r="B13" s="118">
        <v>6180013</v>
      </c>
      <c r="C13" s="118" t="s">
        <v>602</v>
      </c>
      <c r="D13" s="197">
        <v>20</v>
      </c>
      <c r="E13" s="198" t="s">
        <v>15</v>
      </c>
      <c r="F13" s="199">
        <f>SUMIF(站前4樓!B:B,B13,站前4樓!F:F)</f>
        <v>24</v>
      </c>
      <c r="G13" s="199">
        <f>SUMIF(站前11樓!B:B,B13,站前11樓!F:F)</f>
        <v>0</v>
      </c>
      <c r="H13" s="199">
        <f>SUMIF(忠孝7樓!B:B,B13,忠孝7樓!G:G)</f>
        <v>12</v>
      </c>
      <c r="I13" s="199">
        <f>SUMIF(忠孝國際醫學3樓!B:B,B13,忠孝國際醫學3樓!G:G)</f>
        <v>0</v>
      </c>
      <c r="J13" s="199">
        <f>SUMIF(忠孝健康7樓!B:B,B13,忠孝健康7樓!G:G)</f>
        <v>0</v>
      </c>
      <c r="K13" s="200">
        <v>0</v>
      </c>
      <c r="L13" s="200">
        <v>0</v>
      </c>
      <c r="M13" s="200">
        <v>0</v>
      </c>
      <c r="N13" s="200">
        <v>0</v>
      </c>
      <c r="O13" s="200">
        <v>0</v>
      </c>
      <c r="P13" s="200">
        <v>0</v>
      </c>
      <c r="Q13" s="200">
        <v>0</v>
      </c>
      <c r="R13" s="200">
        <v>0</v>
      </c>
      <c r="S13" s="200">
        <v>0</v>
      </c>
      <c r="T13" s="200">
        <v>0</v>
      </c>
      <c r="U13" s="200">
        <v>0</v>
      </c>
      <c r="V13" s="200">
        <v>0</v>
      </c>
      <c r="W13" s="200">
        <v>0</v>
      </c>
      <c r="X13" s="200">
        <v>0</v>
      </c>
      <c r="Y13" s="200">
        <v>0</v>
      </c>
      <c r="Z13" s="200">
        <v>0</v>
      </c>
      <c r="AA13" s="200">
        <v>0</v>
      </c>
      <c r="AB13" s="200">
        <v>0</v>
      </c>
      <c r="AC13" s="200">
        <v>0</v>
      </c>
      <c r="AD13" s="200">
        <v>0</v>
      </c>
      <c r="AE13" s="200">
        <v>0</v>
      </c>
      <c r="AF13" s="200">
        <v>0</v>
      </c>
      <c r="AG13" s="200">
        <v>0</v>
      </c>
      <c r="AH13" s="200">
        <v>0</v>
      </c>
      <c r="AI13" s="200">
        <v>0</v>
      </c>
      <c r="AJ13" s="201">
        <v>0</v>
      </c>
      <c r="AK13" s="201">
        <v>0</v>
      </c>
      <c r="AL13" s="201">
        <v>0</v>
      </c>
      <c r="AM13" s="201">
        <v>0.4</v>
      </c>
      <c r="AN13" s="201">
        <v>0</v>
      </c>
      <c r="AO13" s="201">
        <v>0.4</v>
      </c>
      <c r="AP13" s="201">
        <v>0.2</v>
      </c>
      <c r="AQ13" s="201">
        <v>0.8</v>
      </c>
      <c r="AR13" s="201">
        <v>0.2</v>
      </c>
      <c r="AS13" s="201">
        <v>0.6</v>
      </c>
      <c r="AT13" s="202">
        <v>0</v>
      </c>
      <c r="AU13" s="203">
        <v>0</v>
      </c>
      <c r="AV13" s="204">
        <f t="shared" si="0"/>
        <v>2.6</v>
      </c>
      <c r="AW13" s="205">
        <f t="shared" si="1"/>
        <v>0.21666666666666667</v>
      </c>
      <c r="AX13" s="203">
        <v>23</v>
      </c>
      <c r="AY13" s="203">
        <v>0</v>
      </c>
      <c r="AZ13" s="203">
        <v>0</v>
      </c>
      <c r="BA13" s="203">
        <v>0</v>
      </c>
      <c r="BB13" s="203">
        <v>8</v>
      </c>
      <c r="BC13" s="203">
        <f>SUMIFS(領用表!$L:$L,領用表!$A:$A,BC$2,領用表!$E:$E,B13)</f>
        <v>4</v>
      </c>
      <c r="BD13" s="206">
        <f>SUMIFS(領用表!$L:$L,領用表!$E:$E,$B13,領用表!$B:$B,BC$2&amp;BD$2)</f>
        <v>4</v>
      </c>
      <c r="BE13" s="206">
        <f>SUMIFS(領用表!$L:$L,領用表!$E:$E,$B13,領用表!$B:$B,$BC$2&amp;BE$2)</f>
        <v>0</v>
      </c>
      <c r="BF13" s="206">
        <f>SUMIFS(領用表!$L:$L,領用表!$E:$E,$B13,領用表!$B:$B,$BC$2&amp;BF$2)</f>
        <v>0</v>
      </c>
      <c r="BG13" s="206">
        <f>SUMIFS(領用表!$L:$L,領用表!$E:$E,$B13,領用表!$B:$B,$BC$2&amp;BG$2)</f>
        <v>0</v>
      </c>
      <c r="BH13" s="203">
        <f>SUMIFS(領用表!$L:$L,領用表!$A:$A,BH$2,領用表!$E:$E,B13)</f>
        <v>8</v>
      </c>
      <c r="BI13" s="206">
        <f>SUMIFS(領用表!$L:$L,領用表!$E:$E,$B13,領用表!$B:$B,BH$2&amp;BI$2)</f>
        <v>8</v>
      </c>
      <c r="BJ13" s="206">
        <f>SUMIFS(領用表!$L:$L,領用表!$E:$E,$B13,領用表!$B:$B,$BH$2&amp;BJ$2)</f>
        <v>0</v>
      </c>
      <c r="BK13" s="206">
        <f>SUMIFS(領用表!$L:$L,領用表!$E:$E,$B13,領用表!$B:$B,$BH$2&amp;BK$2)</f>
        <v>0</v>
      </c>
      <c r="BL13" s="206">
        <f>SUMIFS(領用表!$L:$L,領用表!$E:$E,$B13,領用表!$B:$B,$BH$2&amp;BL$2)</f>
        <v>0</v>
      </c>
      <c r="BM13" s="203">
        <f>SUMIFS(領用表!$L:$L,領用表!$A:$A,BM$2,領用表!$E:$E,B13)</f>
        <v>0</v>
      </c>
      <c r="BN13" s="206">
        <f>SUMIFS(領用表!$L:$L,領用表!$E:$E,$B13,領用表!$B:$B,BM$2&amp;BN$2)</f>
        <v>0</v>
      </c>
      <c r="BO13" s="206">
        <f>SUMIFS(領用表!$L:$L,領用表!$E:$E,$B13,領用表!$B:$B,$BM$2&amp;BO$2)</f>
        <v>0</v>
      </c>
      <c r="BP13" s="206">
        <f>SUMIFS(領用表!$L:$L,領用表!$E:$E,$B13,領用表!$B:$B,$BM$2&amp;BP$2)</f>
        <v>0</v>
      </c>
      <c r="BQ13" s="206">
        <f>SUMIFS(領用表!$L:$L,領用表!$E:$E,$B13,領用表!$B:$B,$BM$2&amp;BQ$2)</f>
        <v>0</v>
      </c>
      <c r="BR13" s="203">
        <f>SUMIFS(領用表!$L:$L,領用表!$A:$A,BR$2,領用表!$E:$E,B13)</f>
        <v>0</v>
      </c>
      <c r="BS13" s="206">
        <f>SUMIFS(領用表!$L:$L,領用表!$E:$E,$B13,領用表!$B:$B,BR$2&amp;BS$2)</f>
        <v>0</v>
      </c>
      <c r="BT13" s="206">
        <f>SUMIFS(領用表!$L:$L,領用表!$E:$E,$B13,領用表!$B:$B,$BR$2&amp;BT$2)</f>
        <v>0</v>
      </c>
      <c r="BU13" s="206">
        <f>SUMIFS(領用表!$L:$L,領用表!$E:$E,$B13,領用表!$B:$B,$BR$2&amp;BU$2)</f>
        <v>0</v>
      </c>
      <c r="BV13" s="206">
        <f>SUMIFS(領用表!$L:$L,領用表!$E:$E,$B13,領用表!$B:$B,$BR$2&amp;BV$2)</f>
        <v>0</v>
      </c>
      <c r="BW13" s="208">
        <f>SUMIFS(領用表!$L:$L,領用表!$A:$A,BW$2,領用表!$E:$E,B13)</f>
        <v>8</v>
      </c>
      <c r="BX13" s="216">
        <f>SUMIFS(領用表!$L:$L,領用表!$E:$E,$B13,領用表!$B:$B,BW$2&amp;BX$2)</f>
        <v>0</v>
      </c>
      <c r="BY13" s="216">
        <f>SUMIFS(領用表!$L:$L,領用表!$E:$E,$B13,領用表!$B:$B,$BW$2&amp;BY$2)</f>
        <v>0</v>
      </c>
      <c r="BZ13" s="216">
        <f>SUMIFS(領用表!$L:$L,領用表!$E:$E,$B13,領用表!$B:$B,$BW$2&amp;BZ$2)</f>
        <v>8</v>
      </c>
      <c r="CA13" s="216">
        <f>SUMIFS(領用表!$L:$L,領用表!$E:$E,$B13,領用表!$B:$B,$BW$2&amp;CA$2)</f>
        <v>0</v>
      </c>
      <c r="CB13" s="208">
        <f>SUMIFS(領用表!$L:$L,領用表!$A:$A,CB$2,領用表!$E:$E,B13)</f>
        <v>8</v>
      </c>
      <c r="CC13" s="216">
        <f>SUMIFS(領用表!$L:$L,領用表!$E:$E,$B13,領用表!$B:$B,CB$2&amp;CC$2)</f>
        <v>0</v>
      </c>
      <c r="CD13" s="216">
        <f>SUMIFS(領用表!$L:$L,領用表!$E:$E,$B13,領用表!$B:$B,$CB$2&amp;CD$2)</f>
        <v>0</v>
      </c>
      <c r="CE13" s="216">
        <f>SUMIFS(領用表!$L:$L,領用表!$E:$E,$B13,領用表!$B:$B,$CB$2&amp;CE$2)</f>
        <v>8</v>
      </c>
      <c r="CF13" s="216">
        <f>SUMIFS(領用表!$L:$L,領用表!$E:$E,$B13,領用表!$B:$B,$CB$2&amp;CF$2)</f>
        <v>0</v>
      </c>
      <c r="CG13" s="217">
        <f>SUMIFS(領用表!$L:$L,領用表!$A:$A,CG$2,領用表!$E:$E,B13)</f>
        <v>4</v>
      </c>
      <c r="CH13" s="216">
        <f>SUMIFS(領用表!$L:$L,領用表!$E:$E,$B13,領用表!$B:$B,CG$2&amp;CH$2)</f>
        <v>0</v>
      </c>
      <c r="CI13" s="216">
        <f>SUMIFS(領用表!$L:$L,領用表!$E:$E,$B13,領用表!$B:$B,CG$2&amp;CI$2)</f>
        <v>0</v>
      </c>
      <c r="CJ13" s="216">
        <f>SUMIFS(領用表!$L:$L,領用表!$E:$E,$B13,領用表!$B:$B,CG$2&amp;CJ$2)</f>
        <v>4</v>
      </c>
      <c r="CK13" s="216">
        <f>SUMIFS(領用表!$L:$L,領用表!$E:$E,$B13,領用表!$B:$B,$CG$2&amp;CK$2)</f>
        <v>0</v>
      </c>
      <c r="CL13" s="207">
        <f t="shared" si="3"/>
        <v>63</v>
      </c>
      <c r="CM13" s="207">
        <f t="shared" si="4"/>
        <v>5.25</v>
      </c>
      <c r="CN13" s="217">
        <f>SUMIFS(領用表!$L:$L,領用表!$A:$A,CN$2,領用表!$E:$E,B13)</f>
        <v>4</v>
      </c>
      <c r="CO13" s="216">
        <f>SUMIFS(領用表!$L:$L,領用表!$E:$E,$B13,領用表!$B:$B,CN$2&amp;CO$2)</f>
        <v>0</v>
      </c>
      <c r="CP13" s="216">
        <f>SUMIFS(領用表!$L:$L,領用表!$E:$E,$B13,領用表!$B:$B,$CN$2&amp;CP$2)</f>
        <v>0</v>
      </c>
      <c r="CQ13" s="216">
        <f>SUMIFS(領用表!$L:$L,領用表!$E:$E,$B13,領用表!$B:$B,$CN$2&amp;CQ$2)</f>
        <v>4</v>
      </c>
      <c r="CR13" s="216">
        <f>SUMIFS(領用表!$L:$L,領用表!$E:$E,$B13,領用表!$B:$B,$CN$2&amp;CR$2)</f>
        <v>0</v>
      </c>
      <c r="CS13" s="208">
        <f>SUMIFS(領用表!$L:$L,領用表!$A:$A,CS$2,領用表!$E:$E,B13)</f>
        <v>0</v>
      </c>
      <c r="CT13" s="216">
        <f>SUMIFS(領用表!$L:$L,領用表!$E:$E,$B13,領用表!$B:$B,CS$2&amp;CT$2)</f>
        <v>0</v>
      </c>
      <c r="CU13" s="216">
        <f>SUMIFS(領用表!$L:$L,領用表!$E:$E,$B13,領用表!$B:$B,$CS$2&amp;CU$2)</f>
        <v>0</v>
      </c>
      <c r="CV13" s="216">
        <f>SUMIFS(領用表!$L:$L,領用表!$E:$E,$B13,領用表!$B:$B,$CS$2&amp;CV$2)</f>
        <v>0</v>
      </c>
      <c r="CW13" s="216">
        <f>SUMIFS(領用表!$L:$L,領用表!$E:$E,$B13,領用表!$B:$B,$CS$2&amp;CW$2)</f>
        <v>0</v>
      </c>
      <c r="CX13" s="216">
        <f>SUMIFS(領用表!$L:$L,領用表!$E:$E,$B13,領用表!$B:$B,$CS$2&amp;CX$2)</f>
        <v>0</v>
      </c>
      <c r="CY13" s="208">
        <f>SUMIFS(領用表!$L:$L,領用表!$A:$A,CY$2,領用表!$E:$E,B13)</f>
        <v>12</v>
      </c>
      <c r="CZ13" s="216">
        <f>SUMIFS(領用表!$L:$L,領用表!$E:$E,$B13,領用表!$B:$B,CY$2&amp;CZ$2)</f>
        <v>0</v>
      </c>
      <c r="DA13" s="216">
        <f>SUMIFS(領用表!$L:$L,領用表!$E:$E,$B13,領用表!$B:$B,$CY$2&amp;DA$2)</f>
        <v>0</v>
      </c>
      <c r="DB13" s="216">
        <f>SUMIFS(領用表!$L:$L,領用表!$E:$E,$B13,領用表!$B:$B,$CY$2&amp;DB$2)</f>
        <v>0</v>
      </c>
      <c r="DC13" s="216">
        <f>SUMIFS(領用表!$L:$L,領用表!$E:$E,$B13,領用表!$B:$B,$CY$2&amp;DC$2)</f>
        <v>0</v>
      </c>
      <c r="DD13" s="216">
        <f>SUMIFS(領用表!$L:$L,領用表!$E:$E,$B13,領用表!$B:$B,$CY$2&amp;DD$2)</f>
        <v>12</v>
      </c>
      <c r="DE13" s="208">
        <f>SUMIFS(領用表!$L:$L,領用表!$A:$A,DE$2,領用表!$E:$E,B13)</f>
        <v>8</v>
      </c>
      <c r="DF13" s="216">
        <f>SUMIFS(領用表!$L:$L,領用表!$E:$E,$B13,領用表!$B:$B,DE$2&amp;DF$2)</f>
        <v>0</v>
      </c>
      <c r="DG13" s="216">
        <f>SUMIFS(領用表!$L:$L,領用表!$E:$E,$B13,領用表!$B:$B,$DE$2&amp;DG$2)</f>
        <v>0</v>
      </c>
      <c r="DH13" s="216">
        <f>SUMIFS(領用表!$L:$L,領用表!$E:$E,$B13,領用表!$B:$B,$DE$2&amp;DH$2)</f>
        <v>8</v>
      </c>
      <c r="DI13" s="216">
        <f>SUMIFS(領用表!$L:$L,領用表!$E:$E,$B13,領用表!$B:$B,$DE$2&amp;DI$2)</f>
        <v>0</v>
      </c>
      <c r="DJ13" s="216">
        <f>SUMIFS(領用表!$L:$L,領用表!$E:$E,$B13,領用表!$B:$B,$DE$2&amp;DJ$2)</f>
        <v>0</v>
      </c>
      <c r="DK13" s="208">
        <f>SUMIFS(領用表!$L:$L,領用表!$A:$A,DK$2,領用表!$E:$E,$B13)</f>
        <v>4</v>
      </c>
      <c r="DL13" s="216">
        <f>SUMIFS(領用表!$L:$L,領用表!$E:$E,$B13,領用表!$B:$B,DK$2&amp;DL$2)</f>
        <v>4</v>
      </c>
      <c r="DM13" s="216">
        <f>SUMIFS(領用表!$L:$L,領用表!$E:$E,$B13,領用表!$B:$B,$DK$2&amp;DM$2)</f>
        <v>0</v>
      </c>
      <c r="DN13" s="216">
        <f>SUMIFS(領用表!$L:$L,領用表!$E:$E,$B13,領用表!$B:$B,$DK$2&amp;DN$2)</f>
        <v>0</v>
      </c>
      <c r="DO13" s="216">
        <f>SUMIFS(領用表!$L:$L,領用表!$E:$E,$B13,領用表!$B:$B,$DK$2&amp;DO$2)</f>
        <v>0</v>
      </c>
      <c r="DP13" s="216">
        <f>SUMIFS(領用表!$L:$L,領用表!$E:$E,$B13,領用表!$B:$B,$DK$2&amp;DP$2)</f>
        <v>0</v>
      </c>
      <c r="DQ13" s="216">
        <f t="shared" si="2"/>
        <v>28</v>
      </c>
      <c r="DR13" s="216">
        <f t="shared" si="5"/>
        <v>5.6</v>
      </c>
      <c r="DS13" s="216">
        <f t="shared" si="6"/>
        <v>6</v>
      </c>
      <c r="DT13" s="216">
        <v>1</v>
      </c>
      <c r="DU13" s="216">
        <v>0</v>
      </c>
      <c r="DV13" s="216">
        <v>5</v>
      </c>
      <c r="DW13" s="216">
        <v>0</v>
      </c>
      <c r="DX13" s="215">
        <v>20</v>
      </c>
      <c r="DY13" s="465"/>
      <c r="DZ13" s="211"/>
      <c r="EA13" s="211"/>
      <c r="EB13" s="136"/>
      <c r="EC13" s="212"/>
      <c r="ED13" s="118">
        <f>IFERROR(VLOOKUP(A13,站前4樓!A:BF,57,0),0)</f>
        <v>0</v>
      </c>
      <c r="EE13" s="213">
        <f>IFERROR(VLOOKUP(A13,站前11樓!A:BE,57,0),0)</f>
        <v>0</v>
      </c>
      <c r="EF13" s="118">
        <f>IFERROR(VLOOKUP(A13,忠孝7樓!A:N,57,0),0)</f>
        <v>0</v>
      </c>
      <c r="EG13" s="118">
        <f>IFERROR(VLOOKUP(A13,忠孝國際醫學3樓!A:L,57,0),0)</f>
        <v>0</v>
      </c>
      <c r="EH13" s="118">
        <f t="shared" si="7"/>
        <v>0</v>
      </c>
      <c r="EJ13" s="118">
        <v>40</v>
      </c>
      <c r="EK13" s="118">
        <v>24</v>
      </c>
    </row>
    <row r="14" spans="1:141" s="118" customFormat="1" ht="15.75" customHeight="1">
      <c r="A14" s="136" t="s">
        <v>26</v>
      </c>
      <c r="B14" s="118">
        <v>6180007</v>
      </c>
      <c r="C14" s="118" t="s">
        <v>603</v>
      </c>
      <c r="D14" s="197">
        <v>20</v>
      </c>
      <c r="E14" s="198" t="s">
        <v>15</v>
      </c>
      <c r="F14" s="199">
        <f>SUMIF(站前4樓!B:B,B14,站前4樓!F:F)</f>
        <v>0</v>
      </c>
      <c r="G14" s="199">
        <f>SUMIF(站前11樓!B:B,B14,站前11樓!F:F)</f>
        <v>0</v>
      </c>
      <c r="H14" s="199">
        <f>SUMIF(忠孝7樓!B:B,B14,忠孝7樓!G:G)</f>
        <v>16</v>
      </c>
      <c r="I14" s="199">
        <f>SUMIF(忠孝國際醫學3樓!B:B,B14,忠孝國際醫學3樓!G:G)</f>
        <v>0</v>
      </c>
      <c r="J14" s="199">
        <f>SUMIF(忠孝健康7樓!B:B,B14,忠孝健康7樓!G:G)</f>
        <v>8</v>
      </c>
      <c r="K14" s="200">
        <v>0</v>
      </c>
      <c r="L14" s="200">
        <v>0</v>
      </c>
      <c r="M14" s="200">
        <v>0</v>
      </c>
      <c r="N14" s="200">
        <v>0</v>
      </c>
      <c r="O14" s="200">
        <v>0</v>
      </c>
      <c r="P14" s="200">
        <v>0</v>
      </c>
      <c r="Q14" s="200">
        <v>0</v>
      </c>
      <c r="R14" s="200">
        <v>0</v>
      </c>
      <c r="S14" s="200">
        <v>0</v>
      </c>
      <c r="T14" s="200">
        <v>0</v>
      </c>
      <c r="U14" s="200">
        <v>0</v>
      </c>
      <c r="V14" s="200">
        <v>0</v>
      </c>
      <c r="W14" s="200">
        <v>0</v>
      </c>
      <c r="X14" s="200">
        <v>0</v>
      </c>
      <c r="Y14" s="200">
        <v>0</v>
      </c>
      <c r="Z14" s="200">
        <v>0</v>
      </c>
      <c r="AA14" s="200">
        <v>0</v>
      </c>
      <c r="AB14" s="200">
        <v>0</v>
      </c>
      <c r="AC14" s="200">
        <v>0</v>
      </c>
      <c r="AD14" s="200">
        <v>0</v>
      </c>
      <c r="AE14" s="200">
        <v>0</v>
      </c>
      <c r="AF14" s="200">
        <v>0</v>
      </c>
      <c r="AG14" s="200">
        <v>0</v>
      </c>
      <c r="AH14" s="200">
        <v>0</v>
      </c>
      <c r="AI14" s="200">
        <v>0</v>
      </c>
      <c r="AJ14" s="201">
        <v>0</v>
      </c>
      <c r="AK14" s="201">
        <v>0</v>
      </c>
      <c r="AL14" s="201">
        <v>1</v>
      </c>
      <c r="AM14" s="201">
        <v>1.8</v>
      </c>
      <c r="AN14" s="201">
        <v>1.2</v>
      </c>
      <c r="AO14" s="201">
        <v>1.6</v>
      </c>
      <c r="AP14" s="201">
        <v>0.6</v>
      </c>
      <c r="AQ14" s="201">
        <v>2.2000000000000002</v>
      </c>
      <c r="AR14" s="201">
        <v>0.8</v>
      </c>
      <c r="AS14" s="201">
        <v>1.2</v>
      </c>
      <c r="AT14" s="202">
        <v>0.6</v>
      </c>
      <c r="AU14" s="203">
        <v>24</v>
      </c>
      <c r="AV14" s="204">
        <f t="shared" si="0"/>
        <v>35</v>
      </c>
      <c r="AW14" s="205">
        <f t="shared" si="1"/>
        <v>2.9166666666666665</v>
      </c>
      <c r="AX14" s="203">
        <v>56</v>
      </c>
      <c r="AY14" s="203">
        <v>16</v>
      </c>
      <c r="AZ14" s="203">
        <v>0</v>
      </c>
      <c r="BA14" s="203">
        <v>0</v>
      </c>
      <c r="BB14" s="203">
        <v>4</v>
      </c>
      <c r="BC14" s="203">
        <f>SUMIFS(領用表!$L:$L,領用表!$A:$A,BC$2,領用表!$E:$E,B14)</f>
        <v>16</v>
      </c>
      <c r="BD14" s="206">
        <f>SUMIFS(領用表!$L:$L,領用表!$E:$E,$B14,領用表!$B:$B,BC$2&amp;BD$2)</f>
        <v>16</v>
      </c>
      <c r="BE14" s="206">
        <f>SUMIFS(領用表!$L:$L,領用表!$E:$E,$B14,領用表!$B:$B,$BC$2&amp;BE$2)</f>
        <v>0</v>
      </c>
      <c r="BF14" s="206">
        <f>SUMIFS(領用表!$L:$L,領用表!$E:$E,$B14,領用表!$B:$B,$BC$2&amp;BF$2)</f>
        <v>0</v>
      </c>
      <c r="BG14" s="206">
        <f>SUMIFS(領用表!$L:$L,領用表!$E:$E,$B14,領用表!$B:$B,$BC$2&amp;BG$2)</f>
        <v>0</v>
      </c>
      <c r="BH14" s="203">
        <f>SUMIFS(領用表!$L:$L,領用表!$A:$A,BH$2,領用表!$E:$E,B14)</f>
        <v>4</v>
      </c>
      <c r="BI14" s="206">
        <f>SUMIFS(領用表!$L:$L,領用表!$E:$E,$B14,領用表!$B:$B,BH$2&amp;BI$2)</f>
        <v>4</v>
      </c>
      <c r="BJ14" s="206">
        <f>SUMIFS(領用表!$L:$L,領用表!$E:$E,$B14,領用表!$B:$B,$BH$2&amp;BJ$2)</f>
        <v>0</v>
      </c>
      <c r="BK14" s="206">
        <f>SUMIFS(領用表!$L:$L,領用表!$E:$E,$B14,領用表!$B:$B,$BH$2&amp;BK$2)</f>
        <v>0</v>
      </c>
      <c r="BL14" s="206">
        <f>SUMIFS(領用表!$L:$L,領用表!$E:$E,$B14,領用表!$B:$B,$BH$2&amp;BL$2)</f>
        <v>0</v>
      </c>
      <c r="BM14" s="203">
        <f>SUMIFS(領用表!$L:$L,領用表!$A:$A,BM$2,領用表!$E:$E,B14)</f>
        <v>4</v>
      </c>
      <c r="BN14" s="206">
        <f>SUMIFS(領用表!$L:$L,領用表!$E:$E,$B14,領用表!$B:$B,BM$2&amp;BN$2)</f>
        <v>0</v>
      </c>
      <c r="BO14" s="206">
        <f>SUMIFS(領用表!$L:$L,領用表!$E:$E,$B14,領用表!$B:$B,$BM$2&amp;BO$2)</f>
        <v>0</v>
      </c>
      <c r="BP14" s="206">
        <f>SUMIFS(領用表!$L:$L,領用表!$E:$E,$B14,領用表!$B:$B,$BM$2&amp;BP$2)</f>
        <v>4</v>
      </c>
      <c r="BQ14" s="206">
        <f>SUMIFS(領用表!$L:$L,領用表!$E:$E,$B14,領用表!$B:$B,$BM$2&amp;BQ$2)</f>
        <v>0</v>
      </c>
      <c r="BR14" s="203">
        <f>SUMIFS(領用表!$L:$L,領用表!$A:$A,BR$2,領用表!$E:$E,B14)</f>
        <v>0</v>
      </c>
      <c r="BS14" s="206">
        <f>SUMIFS(領用表!$L:$L,領用表!$E:$E,$B14,領用表!$B:$B,BR$2&amp;BS$2)</f>
        <v>0</v>
      </c>
      <c r="BT14" s="206">
        <f>SUMIFS(領用表!$L:$L,領用表!$E:$E,$B14,領用表!$B:$B,$BR$2&amp;BT$2)</f>
        <v>0</v>
      </c>
      <c r="BU14" s="206">
        <f>SUMIFS(領用表!$L:$L,領用表!$E:$E,$B14,領用表!$B:$B,$BR$2&amp;BU$2)</f>
        <v>0</v>
      </c>
      <c r="BV14" s="206">
        <f>SUMIFS(領用表!$L:$L,領用表!$E:$E,$B14,領用表!$B:$B,$BR$2&amp;BV$2)</f>
        <v>0</v>
      </c>
      <c r="BW14" s="208">
        <f>SUMIFS(領用表!$L:$L,領用表!$A:$A,BW$2,領用表!$E:$E,B14)</f>
        <v>4</v>
      </c>
      <c r="BX14" s="216">
        <f>SUMIFS(領用表!$L:$L,領用表!$E:$E,$B14,領用表!$B:$B,BW$2&amp;BX$2)</f>
        <v>0</v>
      </c>
      <c r="BY14" s="216">
        <f>SUMIFS(領用表!$L:$L,領用表!$E:$E,$B14,領用表!$B:$B,$BW$2&amp;BY$2)</f>
        <v>0</v>
      </c>
      <c r="BZ14" s="216">
        <f>SUMIFS(領用表!$L:$L,領用表!$E:$E,$B14,領用表!$B:$B,$BW$2&amp;BZ$2)</f>
        <v>4</v>
      </c>
      <c r="CA14" s="216">
        <f>SUMIFS(領用表!$L:$L,領用表!$E:$E,$B14,領用表!$B:$B,$BW$2&amp;CA$2)</f>
        <v>0</v>
      </c>
      <c r="CB14" s="208">
        <f>SUMIFS(領用表!$L:$L,領用表!$A:$A,CB$2,領用表!$E:$E,B14)</f>
        <v>24</v>
      </c>
      <c r="CC14" s="216">
        <f>SUMIFS(領用表!$L:$L,領用表!$E:$E,$B14,領用表!$B:$B,CB$2&amp;CC$2)</f>
        <v>0</v>
      </c>
      <c r="CD14" s="216">
        <f>SUMIFS(領用表!$L:$L,領用表!$E:$E,$B14,領用表!$B:$B,$CB$2&amp;CD$2)</f>
        <v>0</v>
      </c>
      <c r="CE14" s="216">
        <f>SUMIFS(領用表!$L:$L,領用表!$E:$E,$B14,領用表!$B:$B,$CB$2&amp;CE$2)</f>
        <v>24</v>
      </c>
      <c r="CF14" s="216">
        <f>SUMIFS(領用表!$L:$L,領用表!$E:$E,$B14,領用表!$B:$B,$CB$2&amp;CF$2)</f>
        <v>0</v>
      </c>
      <c r="CG14" s="217">
        <f>SUMIFS(領用表!$L:$L,領用表!$A:$A,CG$2,領用表!$E:$E,B14)</f>
        <v>44</v>
      </c>
      <c r="CH14" s="216">
        <f>SUMIFS(領用表!$L:$L,領用表!$E:$E,$B14,領用表!$B:$B,CG$2&amp;CH$2)</f>
        <v>4</v>
      </c>
      <c r="CI14" s="216">
        <f>SUMIFS(領用表!$L:$L,領用表!$E:$E,$B14,領用表!$B:$B,CG$2&amp;CI$2)</f>
        <v>0</v>
      </c>
      <c r="CJ14" s="216">
        <f>SUMIFS(領用表!$L:$L,領用表!$E:$E,$B14,領用表!$B:$B,CG$2&amp;CJ$2)</f>
        <v>40</v>
      </c>
      <c r="CK14" s="216">
        <f>SUMIFS(領用表!$L:$L,領用表!$E:$E,$B14,領用表!$B:$B,$CG$2&amp;CK$2)</f>
        <v>0</v>
      </c>
      <c r="CL14" s="207">
        <f t="shared" si="3"/>
        <v>172</v>
      </c>
      <c r="CM14" s="207">
        <f t="shared" si="4"/>
        <v>14.333333333333334</v>
      </c>
      <c r="CN14" s="217">
        <f>SUMIFS(領用表!$L:$L,領用表!$A:$A,CN$2,領用表!$E:$E,B14)</f>
        <v>8</v>
      </c>
      <c r="CO14" s="216">
        <f>SUMIFS(領用表!$L:$L,領用表!$E:$E,$B14,領用表!$B:$B,CN$2&amp;CO$2)</f>
        <v>0</v>
      </c>
      <c r="CP14" s="216">
        <f>SUMIFS(領用表!$L:$L,領用表!$E:$E,$B14,領用表!$B:$B,$CN$2&amp;CP$2)</f>
        <v>0</v>
      </c>
      <c r="CQ14" s="216">
        <f>SUMIFS(領用表!$L:$L,領用表!$E:$E,$B14,領用表!$B:$B,$CN$2&amp;CQ$2)</f>
        <v>8</v>
      </c>
      <c r="CR14" s="216">
        <f>SUMIFS(領用表!$L:$L,領用表!$E:$E,$B14,領用表!$B:$B,$CN$2&amp;CR$2)</f>
        <v>0</v>
      </c>
      <c r="CS14" s="208">
        <f>SUMIFS(領用表!$L:$L,領用表!$A:$A,CS$2,領用表!$E:$E,B14)</f>
        <v>16</v>
      </c>
      <c r="CT14" s="216">
        <f>SUMIFS(領用表!$L:$L,領用表!$E:$E,$B14,領用表!$B:$B,CS$2&amp;CT$2)</f>
        <v>0</v>
      </c>
      <c r="CU14" s="216">
        <f>SUMIFS(領用表!$L:$L,領用表!$E:$E,$B14,領用表!$B:$B,$CS$2&amp;CU$2)</f>
        <v>0</v>
      </c>
      <c r="CV14" s="216">
        <f>SUMIFS(領用表!$L:$L,領用表!$E:$E,$B14,領用表!$B:$B,$CS$2&amp;CV$2)</f>
        <v>16</v>
      </c>
      <c r="CW14" s="216">
        <f>SUMIFS(領用表!$L:$L,領用表!$E:$E,$B14,領用表!$B:$B,$CS$2&amp;CW$2)</f>
        <v>0</v>
      </c>
      <c r="CX14" s="216">
        <f>SUMIFS(領用表!$L:$L,領用表!$E:$E,$B14,領用表!$B:$B,$CS$2&amp;CX$2)</f>
        <v>0</v>
      </c>
      <c r="CY14" s="208">
        <f>SUMIFS(領用表!$L:$L,領用表!$A:$A,CY$2,領用表!$E:$E,B14)</f>
        <v>16</v>
      </c>
      <c r="CZ14" s="216">
        <f>SUMIFS(領用表!$L:$L,領用表!$E:$E,$B14,領用表!$B:$B,CY$2&amp;CZ$2)</f>
        <v>0</v>
      </c>
      <c r="DA14" s="216">
        <f>SUMIFS(領用表!$L:$L,領用表!$E:$E,$B14,領用表!$B:$B,$CY$2&amp;DA$2)</f>
        <v>0</v>
      </c>
      <c r="DB14" s="216">
        <f>SUMIFS(領用表!$L:$L,領用表!$E:$E,$B14,領用表!$B:$B,$CY$2&amp;DB$2)</f>
        <v>8</v>
      </c>
      <c r="DC14" s="216">
        <f>SUMIFS(領用表!$L:$L,領用表!$E:$E,$B14,領用表!$B:$B,$CY$2&amp;DC$2)</f>
        <v>0</v>
      </c>
      <c r="DD14" s="216">
        <f>SUMIFS(領用表!$L:$L,領用表!$E:$E,$B14,領用表!$B:$B,$CY$2&amp;DD$2)</f>
        <v>8</v>
      </c>
      <c r="DE14" s="208">
        <f>SUMIFS(領用表!$L:$L,領用表!$A:$A,DE$2,領用表!$E:$E,B14)</f>
        <v>0</v>
      </c>
      <c r="DF14" s="216">
        <f>SUMIFS(領用表!$L:$L,領用表!$E:$E,$B14,領用表!$B:$B,DE$2&amp;DF$2)</f>
        <v>0</v>
      </c>
      <c r="DG14" s="216">
        <f>SUMIFS(領用表!$L:$L,領用表!$E:$E,$B14,領用表!$B:$B,$DE$2&amp;DG$2)</f>
        <v>0</v>
      </c>
      <c r="DH14" s="216">
        <f>SUMIFS(領用表!$L:$L,領用表!$E:$E,$B14,領用表!$B:$B,$DE$2&amp;DH$2)</f>
        <v>0</v>
      </c>
      <c r="DI14" s="216">
        <f>SUMIFS(領用表!$L:$L,領用表!$E:$E,$B14,領用表!$B:$B,$DE$2&amp;DI$2)</f>
        <v>0</v>
      </c>
      <c r="DJ14" s="216">
        <f>SUMIFS(領用表!$L:$L,領用表!$E:$E,$B14,領用表!$B:$B,$DE$2&amp;DJ$2)</f>
        <v>0</v>
      </c>
      <c r="DK14" s="208">
        <f>SUMIFS(領用表!$L:$L,領用表!$A:$A,DK$2,領用表!$E:$E,$B14)</f>
        <v>12</v>
      </c>
      <c r="DL14" s="216">
        <f>SUMIFS(領用表!$L:$L,領用表!$E:$E,$B14,領用表!$B:$B,DK$2&amp;DL$2)</f>
        <v>8</v>
      </c>
      <c r="DM14" s="216">
        <f>SUMIFS(領用表!$L:$L,領用表!$E:$E,$B14,領用表!$B:$B,$DK$2&amp;DM$2)</f>
        <v>0</v>
      </c>
      <c r="DN14" s="216">
        <f>SUMIFS(領用表!$L:$L,領用表!$E:$E,$B14,領用表!$B:$B,$DK$2&amp;DN$2)</f>
        <v>4</v>
      </c>
      <c r="DO14" s="216">
        <f>SUMIFS(領用表!$L:$L,領用表!$E:$E,$B14,領用表!$B:$B,$DK$2&amp;DO$2)</f>
        <v>0</v>
      </c>
      <c r="DP14" s="216">
        <f>SUMIFS(領用表!$L:$L,領用表!$E:$E,$B14,領用表!$B:$B,$DK$2&amp;DP$2)</f>
        <v>0</v>
      </c>
      <c r="DQ14" s="216">
        <f t="shared" si="2"/>
        <v>52</v>
      </c>
      <c r="DR14" s="216">
        <f t="shared" si="5"/>
        <v>10.4</v>
      </c>
      <c r="DS14" s="216">
        <f t="shared" si="6"/>
        <v>16</v>
      </c>
      <c r="DT14" s="216">
        <v>4</v>
      </c>
      <c r="DU14" s="216">
        <v>0</v>
      </c>
      <c r="DV14" s="216">
        <v>12</v>
      </c>
      <c r="DW14" s="216">
        <v>0</v>
      </c>
      <c r="DX14" s="215">
        <v>20</v>
      </c>
      <c r="DY14" s="465"/>
      <c r="DZ14" s="211"/>
      <c r="EA14" s="211"/>
      <c r="EB14" s="136"/>
      <c r="EC14" s="212"/>
      <c r="ED14" s="118">
        <f>IFERROR(VLOOKUP(A14,站前4樓!A:BF,57,0),0)</f>
        <v>0</v>
      </c>
      <c r="EE14" s="213">
        <f>IFERROR(VLOOKUP(A14,站前11樓!A:BE,57,0),0)</f>
        <v>0</v>
      </c>
      <c r="EF14" s="118">
        <f>IFERROR(VLOOKUP(A14,忠孝7樓!A:N,57,0),0)</f>
        <v>0</v>
      </c>
      <c r="EG14" s="118">
        <f>IFERROR(VLOOKUP(A14,忠孝國際醫學3樓!A:L,57,0),0)</f>
        <v>0</v>
      </c>
      <c r="EH14" s="118">
        <f t="shared" si="7"/>
        <v>0</v>
      </c>
      <c r="EJ14" s="118">
        <v>8</v>
      </c>
      <c r="EK14" s="118">
        <v>32</v>
      </c>
    </row>
    <row r="15" spans="1:141" s="118" customFormat="1" ht="15.75" customHeight="1">
      <c r="A15" s="136" t="s">
        <v>27</v>
      </c>
      <c r="B15" s="118">
        <v>6180009</v>
      </c>
      <c r="C15" s="118" t="s">
        <v>604</v>
      </c>
      <c r="D15" s="197">
        <v>10</v>
      </c>
      <c r="E15" s="198" t="s">
        <v>15</v>
      </c>
      <c r="F15" s="199">
        <f>SUMIF(站前4樓!B:B,B15,站前4樓!F:F)</f>
        <v>22</v>
      </c>
      <c r="G15" s="199">
        <f>SUMIF(站前11樓!B:B,B15,站前11樓!F:F)</f>
        <v>0</v>
      </c>
      <c r="H15" s="199">
        <f>SUMIF(忠孝7樓!B:B,B15,忠孝7樓!G:G)</f>
        <v>20</v>
      </c>
      <c r="I15" s="199">
        <f>SUMIF(忠孝國際醫學3樓!B:B,B15,忠孝國際醫學3樓!G:G)</f>
        <v>0</v>
      </c>
      <c r="J15" s="199">
        <f>SUMIF(忠孝健康7樓!B:B,B15,忠孝健康7樓!G:G)</f>
        <v>6</v>
      </c>
      <c r="K15" s="200">
        <v>0</v>
      </c>
      <c r="L15" s="200">
        <v>0</v>
      </c>
      <c r="M15" s="200">
        <v>0</v>
      </c>
      <c r="N15" s="200">
        <v>0</v>
      </c>
      <c r="O15" s="200">
        <v>0</v>
      </c>
      <c r="P15" s="200">
        <v>0</v>
      </c>
      <c r="Q15" s="200">
        <v>0</v>
      </c>
      <c r="R15" s="200">
        <v>0</v>
      </c>
      <c r="S15" s="200">
        <v>0</v>
      </c>
      <c r="T15" s="200">
        <v>0</v>
      </c>
      <c r="U15" s="200">
        <v>0</v>
      </c>
      <c r="V15" s="200">
        <v>0</v>
      </c>
      <c r="W15" s="200">
        <v>0</v>
      </c>
      <c r="X15" s="200">
        <v>0</v>
      </c>
      <c r="Y15" s="200">
        <v>0</v>
      </c>
      <c r="Z15" s="200">
        <v>0</v>
      </c>
      <c r="AA15" s="200">
        <v>0</v>
      </c>
      <c r="AB15" s="200">
        <v>0</v>
      </c>
      <c r="AC15" s="200">
        <v>0</v>
      </c>
      <c r="AD15" s="200">
        <v>0</v>
      </c>
      <c r="AE15" s="200">
        <v>0</v>
      </c>
      <c r="AF15" s="200">
        <v>0</v>
      </c>
      <c r="AG15" s="200">
        <v>0</v>
      </c>
      <c r="AH15" s="200">
        <v>0</v>
      </c>
      <c r="AI15" s="200">
        <v>0</v>
      </c>
      <c r="AJ15" s="201">
        <v>0.4</v>
      </c>
      <c r="AK15" s="201">
        <v>0.2</v>
      </c>
      <c r="AL15" s="201">
        <v>0.8</v>
      </c>
      <c r="AM15" s="201">
        <v>0.2</v>
      </c>
      <c r="AN15" s="201">
        <v>1.4</v>
      </c>
      <c r="AO15" s="201">
        <v>0.8</v>
      </c>
      <c r="AP15" s="201">
        <v>0.6</v>
      </c>
      <c r="AQ15" s="201">
        <v>0.6</v>
      </c>
      <c r="AR15" s="201">
        <v>0.4</v>
      </c>
      <c r="AS15" s="201">
        <v>0.6</v>
      </c>
      <c r="AT15" s="202">
        <v>0.6</v>
      </c>
      <c r="AU15" s="203">
        <v>0</v>
      </c>
      <c r="AV15" s="204">
        <f t="shared" si="0"/>
        <v>6.5999999999999988</v>
      </c>
      <c r="AW15" s="205">
        <f t="shared" si="1"/>
        <v>0.54999999999999993</v>
      </c>
      <c r="AX15" s="203">
        <v>4</v>
      </c>
      <c r="AY15" s="203">
        <v>4</v>
      </c>
      <c r="AZ15" s="203">
        <v>12</v>
      </c>
      <c r="BA15" s="203">
        <v>0</v>
      </c>
      <c r="BB15" s="203">
        <v>8</v>
      </c>
      <c r="BC15" s="203">
        <f>SUMIFS(領用表!$L:$L,領用表!$A:$A,BC$2,領用表!$E:$E,B15)</f>
        <v>0</v>
      </c>
      <c r="BD15" s="206">
        <f>SUMIFS(領用表!$L:$L,領用表!$E:$E,$B15,領用表!$B:$B,BC$2&amp;BD$2)</f>
        <v>0</v>
      </c>
      <c r="BE15" s="206">
        <f>SUMIFS(領用表!$L:$L,領用表!$E:$E,$B15,領用表!$B:$B,$BC$2&amp;BE$2)</f>
        <v>0</v>
      </c>
      <c r="BF15" s="206">
        <f>SUMIFS(領用表!$L:$L,領用表!$E:$E,$B15,領用表!$B:$B,$BC$2&amp;BF$2)</f>
        <v>0</v>
      </c>
      <c r="BG15" s="206">
        <f>SUMIFS(領用表!$L:$L,領用表!$E:$E,$B15,領用表!$B:$B,$BC$2&amp;BG$2)</f>
        <v>0</v>
      </c>
      <c r="BH15" s="203">
        <f>SUMIFS(領用表!$L:$L,領用表!$A:$A,BH$2,領用表!$E:$E,B15)</f>
        <v>8</v>
      </c>
      <c r="BI15" s="206">
        <f>SUMIFS(領用表!$L:$L,領用表!$E:$E,$B15,領用表!$B:$B,BH$2&amp;BI$2)</f>
        <v>4</v>
      </c>
      <c r="BJ15" s="206">
        <f>SUMIFS(領用表!$L:$L,領用表!$E:$E,$B15,領用表!$B:$B,$BH$2&amp;BJ$2)</f>
        <v>0</v>
      </c>
      <c r="BK15" s="206">
        <f>SUMIFS(領用表!$L:$L,領用表!$E:$E,$B15,領用表!$B:$B,$BH$2&amp;BK$2)</f>
        <v>4</v>
      </c>
      <c r="BL15" s="206">
        <f>SUMIFS(領用表!$L:$L,領用表!$E:$E,$B15,領用表!$B:$B,$BH$2&amp;BL$2)</f>
        <v>0</v>
      </c>
      <c r="BM15" s="203">
        <f>SUMIFS(領用表!$L:$L,領用表!$A:$A,BM$2,領用表!$E:$E,B15)</f>
        <v>8</v>
      </c>
      <c r="BN15" s="206">
        <f>SUMIFS(領用表!$L:$L,領用表!$E:$E,$B15,領用表!$B:$B,BM$2&amp;BN$2)</f>
        <v>8</v>
      </c>
      <c r="BO15" s="206">
        <f>SUMIFS(領用表!$L:$L,領用表!$E:$E,$B15,領用表!$B:$B,$BM$2&amp;BO$2)</f>
        <v>0</v>
      </c>
      <c r="BP15" s="206">
        <f>SUMIFS(領用表!$L:$L,領用表!$E:$E,$B15,領用表!$B:$B,$BM$2&amp;BP$2)</f>
        <v>0</v>
      </c>
      <c r="BQ15" s="206">
        <f>SUMIFS(領用表!$L:$L,領用表!$E:$E,$B15,領用表!$B:$B,$BM$2&amp;BQ$2)</f>
        <v>0</v>
      </c>
      <c r="BR15" s="203">
        <f>SUMIFS(領用表!$L:$L,領用表!$A:$A,BR$2,領用表!$E:$E,B15)</f>
        <v>8</v>
      </c>
      <c r="BS15" s="206">
        <f>SUMIFS(領用表!$L:$L,領用表!$E:$E,$B15,領用表!$B:$B,BR$2&amp;BS$2)</f>
        <v>8</v>
      </c>
      <c r="BT15" s="206">
        <f>SUMIFS(領用表!$L:$L,領用表!$E:$E,$B15,領用表!$B:$B,$BR$2&amp;BT$2)</f>
        <v>0</v>
      </c>
      <c r="BU15" s="206">
        <f>SUMIFS(領用表!$L:$L,領用表!$E:$E,$B15,領用表!$B:$B,$BR$2&amp;BU$2)</f>
        <v>0</v>
      </c>
      <c r="BV15" s="206">
        <f>SUMIFS(領用表!$L:$L,領用表!$E:$E,$B15,領用表!$B:$B,$BR$2&amp;BV$2)</f>
        <v>0</v>
      </c>
      <c r="BW15" s="208">
        <f>SUMIFS(領用表!$L:$L,領用表!$A:$A,BW$2,領用表!$E:$E,B15)</f>
        <v>12</v>
      </c>
      <c r="BX15" s="216">
        <f>SUMIFS(領用表!$L:$L,領用表!$E:$E,$B15,領用表!$B:$B,BW$2&amp;BX$2)</f>
        <v>4</v>
      </c>
      <c r="BY15" s="216">
        <f>SUMIFS(領用表!$L:$L,領用表!$E:$E,$B15,領用表!$B:$B,$BW$2&amp;BY$2)</f>
        <v>0</v>
      </c>
      <c r="BZ15" s="216">
        <f>SUMIFS(領用表!$L:$L,領用表!$E:$E,$B15,領用表!$B:$B,$BW$2&amp;BZ$2)</f>
        <v>8</v>
      </c>
      <c r="CA15" s="216">
        <f>SUMIFS(領用表!$L:$L,領用表!$E:$E,$B15,領用表!$B:$B,$BW$2&amp;CA$2)</f>
        <v>0</v>
      </c>
      <c r="CB15" s="208">
        <f>SUMIFS(領用表!$L:$L,領用表!$A:$A,CB$2,領用表!$E:$E,B15)</f>
        <v>12</v>
      </c>
      <c r="CC15" s="216">
        <f>SUMIFS(領用表!$L:$L,領用表!$E:$E,$B15,領用表!$B:$B,CB$2&amp;CC$2)</f>
        <v>12</v>
      </c>
      <c r="CD15" s="216">
        <f>SUMIFS(領用表!$L:$L,領用表!$E:$E,$B15,領用表!$B:$B,$CB$2&amp;CD$2)</f>
        <v>0</v>
      </c>
      <c r="CE15" s="216">
        <f>SUMIFS(領用表!$L:$L,領用表!$E:$E,$B15,領用表!$B:$B,$CB$2&amp;CE$2)</f>
        <v>0</v>
      </c>
      <c r="CF15" s="216">
        <f>SUMIFS(領用表!$L:$L,領用表!$E:$E,$B15,領用表!$B:$B,$CB$2&amp;CF$2)</f>
        <v>0</v>
      </c>
      <c r="CG15" s="217">
        <f>SUMIFS(領用表!$L:$L,領用表!$A:$A,CG$2,領用表!$E:$E,B15)</f>
        <v>4</v>
      </c>
      <c r="CH15" s="216">
        <f>SUMIFS(領用表!$L:$L,領用表!$E:$E,$B15,領用表!$B:$B,CG$2&amp;CH$2)</f>
        <v>0</v>
      </c>
      <c r="CI15" s="216">
        <f>SUMIFS(領用表!$L:$L,領用表!$E:$E,$B15,領用表!$B:$B,CG$2&amp;CI$2)</f>
        <v>0</v>
      </c>
      <c r="CJ15" s="216">
        <f>SUMIFS(領用表!$L:$L,領用表!$E:$E,$B15,領用表!$B:$B,CG$2&amp;CJ$2)</f>
        <v>4</v>
      </c>
      <c r="CK15" s="216">
        <f>SUMIFS(領用表!$L:$L,領用表!$E:$E,$B15,領用表!$B:$B,$CG$2&amp;CK$2)</f>
        <v>0</v>
      </c>
      <c r="CL15" s="207">
        <f t="shared" si="3"/>
        <v>80</v>
      </c>
      <c r="CM15" s="207">
        <f t="shared" si="4"/>
        <v>6.666666666666667</v>
      </c>
      <c r="CN15" s="217">
        <f>SUMIFS(領用表!$L:$L,領用表!$A:$A,CN$2,領用表!$E:$E,B15)</f>
        <v>32</v>
      </c>
      <c r="CO15" s="216">
        <f>SUMIFS(領用表!$L:$L,領用表!$E:$E,$B15,領用表!$B:$B,CN$2&amp;CO$2)</f>
        <v>16</v>
      </c>
      <c r="CP15" s="216">
        <f>SUMIFS(領用表!$L:$L,領用表!$E:$E,$B15,領用表!$B:$B,$CN$2&amp;CP$2)</f>
        <v>0</v>
      </c>
      <c r="CQ15" s="216">
        <f>SUMIFS(領用表!$L:$L,領用表!$E:$E,$B15,領用表!$B:$B,$CN$2&amp;CQ$2)</f>
        <v>16</v>
      </c>
      <c r="CR15" s="216">
        <f>SUMIFS(領用表!$L:$L,領用表!$E:$E,$B15,領用表!$B:$B,$CN$2&amp;CR$2)</f>
        <v>0</v>
      </c>
      <c r="CS15" s="208">
        <f>SUMIFS(領用表!$L:$L,領用表!$A:$A,CS$2,領用表!$E:$E,B15)</f>
        <v>28</v>
      </c>
      <c r="CT15" s="216">
        <f>SUMIFS(領用表!$L:$L,領用表!$E:$E,$B15,領用表!$B:$B,CS$2&amp;CT$2)</f>
        <v>12</v>
      </c>
      <c r="CU15" s="216">
        <f>SUMIFS(領用表!$L:$L,領用表!$E:$E,$B15,領用表!$B:$B,$CS$2&amp;CU$2)</f>
        <v>0</v>
      </c>
      <c r="CV15" s="216">
        <f>SUMIFS(領用表!$L:$L,領用表!$E:$E,$B15,領用表!$B:$B,$CS$2&amp;CV$2)</f>
        <v>16</v>
      </c>
      <c r="CW15" s="216">
        <f>SUMIFS(領用表!$L:$L,領用表!$E:$E,$B15,領用表!$B:$B,$CS$2&amp;CW$2)</f>
        <v>0</v>
      </c>
      <c r="CX15" s="216">
        <f>SUMIFS(領用表!$L:$L,領用表!$E:$E,$B15,領用表!$B:$B,$CS$2&amp;CX$2)</f>
        <v>0</v>
      </c>
      <c r="CY15" s="208">
        <f>SUMIFS(領用表!$L:$L,領用表!$A:$A,CY$2,領用表!$E:$E,B15)</f>
        <v>20</v>
      </c>
      <c r="CZ15" s="216">
        <f>SUMIFS(領用表!$L:$L,領用表!$E:$E,$B15,領用表!$B:$B,CY$2&amp;CZ$2)</f>
        <v>4</v>
      </c>
      <c r="DA15" s="216">
        <f>SUMIFS(領用表!$L:$L,領用表!$E:$E,$B15,領用表!$B:$B,$CY$2&amp;DA$2)</f>
        <v>0</v>
      </c>
      <c r="DB15" s="216">
        <f>SUMIFS(領用表!$L:$L,領用表!$E:$E,$B15,領用表!$B:$B,$CY$2&amp;DB$2)</f>
        <v>16</v>
      </c>
      <c r="DC15" s="216">
        <f>SUMIFS(領用表!$L:$L,領用表!$E:$E,$B15,領用表!$B:$B,$CY$2&amp;DC$2)</f>
        <v>0</v>
      </c>
      <c r="DD15" s="216">
        <f>SUMIFS(領用表!$L:$L,領用表!$E:$E,$B15,領用表!$B:$B,$CY$2&amp;DD$2)</f>
        <v>0</v>
      </c>
      <c r="DE15" s="208">
        <f>SUMIFS(領用表!$L:$L,領用表!$A:$A,DE$2,領用表!$E:$E,B15)</f>
        <v>8</v>
      </c>
      <c r="DF15" s="216">
        <f>SUMIFS(領用表!$L:$L,領用表!$E:$E,$B15,領用表!$B:$B,DE$2&amp;DF$2)</f>
        <v>0</v>
      </c>
      <c r="DG15" s="216">
        <f>SUMIFS(領用表!$L:$L,領用表!$E:$E,$B15,領用表!$B:$B,$DE$2&amp;DG$2)</f>
        <v>0</v>
      </c>
      <c r="DH15" s="216">
        <f>SUMIFS(領用表!$L:$L,領用表!$E:$E,$B15,領用表!$B:$B,$DE$2&amp;DH$2)</f>
        <v>0</v>
      </c>
      <c r="DI15" s="216">
        <f>SUMIFS(領用表!$L:$L,領用表!$E:$E,$B15,領用表!$B:$B,$DE$2&amp;DI$2)</f>
        <v>0</v>
      </c>
      <c r="DJ15" s="216">
        <f>SUMIFS(領用表!$L:$L,領用表!$E:$E,$B15,領用表!$B:$B,$DE$2&amp;DJ$2)</f>
        <v>8</v>
      </c>
      <c r="DK15" s="208">
        <f>SUMIFS(領用表!$L:$L,領用表!$A:$A,DK$2,領用表!$E:$E,$B15)</f>
        <v>0</v>
      </c>
      <c r="DL15" s="216">
        <f>SUMIFS(領用表!$L:$L,領用表!$E:$E,$B15,領用表!$B:$B,DK$2&amp;DL$2)</f>
        <v>0</v>
      </c>
      <c r="DM15" s="216">
        <f>SUMIFS(領用表!$L:$L,領用表!$E:$E,$B15,領用表!$B:$B,$DK$2&amp;DM$2)</f>
        <v>0</v>
      </c>
      <c r="DN15" s="216">
        <f>SUMIFS(領用表!$L:$L,領用表!$E:$E,$B15,領用表!$B:$B,$DK$2&amp;DN$2)</f>
        <v>0</v>
      </c>
      <c r="DO15" s="216">
        <f>SUMIFS(領用表!$L:$L,領用表!$E:$E,$B15,領用表!$B:$B,$DK$2&amp;DO$2)</f>
        <v>0</v>
      </c>
      <c r="DP15" s="216">
        <f>SUMIFS(領用表!$L:$L,領用表!$E:$E,$B15,領用表!$B:$B,$DK$2&amp;DP$2)</f>
        <v>0</v>
      </c>
      <c r="DQ15" s="216">
        <f t="shared" si="2"/>
        <v>88</v>
      </c>
      <c r="DR15" s="216">
        <f t="shared" si="5"/>
        <v>17.600000000000001</v>
      </c>
      <c r="DS15" s="216">
        <f t="shared" si="6"/>
        <v>20</v>
      </c>
      <c r="DT15" s="216">
        <v>8</v>
      </c>
      <c r="DU15" s="216">
        <v>0</v>
      </c>
      <c r="DV15" s="216">
        <v>12</v>
      </c>
      <c r="DW15" s="216">
        <v>0</v>
      </c>
      <c r="DX15" s="215">
        <v>20</v>
      </c>
      <c r="DY15" s="465"/>
      <c r="DZ15" s="211"/>
      <c r="EA15" s="211"/>
      <c r="EB15" s="136"/>
      <c r="EC15" s="212"/>
      <c r="ED15" s="118">
        <f>IFERROR(VLOOKUP(A15,站前4樓!A:BF,57,0),0)</f>
        <v>12</v>
      </c>
      <c r="EE15" s="213">
        <f>IFERROR(VLOOKUP(A15,站前11樓!A:BE,57,0),0)</f>
        <v>0</v>
      </c>
      <c r="EF15" s="118">
        <f>IFERROR(VLOOKUP(A15,忠孝7樓!A:N,57,0),0)</f>
        <v>0</v>
      </c>
      <c r="EG15" s="118">
        <f>IFERROR(VLOOKUP(A15,忠孝國際醫學3樓!A:L,57,0),0)</f>
        <v>0</v>
      </c>
      <c r="EH15" s="118">
        <f t="shared" si="7"/>
        <v>12</v>
      </c>
      <c r="EJ15" s="118">
        <v>36</v>
      </c>
      <c r="EK15" s="118">
        <v>52</v>
      </c>
    </row>
    <row r="16" spans="1:141" s="118" customFormat="1" ht="15.75" customHeight="1">
      <c r="A16" s="136" t="s">
        <v>28</v>
      </c>
      <c r="B16" s="118">
        <v>6180011</v>
      </c>
      <c r="C16" s="118" t="s">
        <v>605</v>
      </c>
      <c r="D16" s="197">
        <v>10</v>
      </c>
      <c r="E16" s="198" t="s">
        <v>15</v>
      </c>
      <c r="F16" s="199">
        <f>SUMIF(站前4樓!B:B,B16,站前4樓!F:F)</f>
        <v>16</v>
      </c>
      <c r="G16" s="199">
        <f>SUMIF(站前11樓!B:B,B16,站前11樓!F:F)</f>
        <v>0</v>
      </c>
      <c r="H16" s="199">
        <f>SUMIF(忠孝7樓!B:B,B16,忠孝7樓!G:G)</f>
        <v>48</v>
      </c>
      <c r="I16" s="199">
        <f>SUMIF(忠孝國際醫學3樓!B:B,B16,忠孝國際醫學3樓!G:G)</f>
        <v>0</v>
      </c>
      <c r="J16" s="199">
        <f>SUMIF(忠孝健康7樓!B:B,B16,忠孝健康7樓!G:G)</f>
        <v>12</v>
      </c>
      <c r="K16" s="200">
        <v>0</v>
      </c>
      <c r="L16" s="200">
        <v>0</v>
      </c>
      <c r="M16" s="200">
        <v>0</v>
      </c>
      <c r="N16" s="200">
        <v>0</v>
      </c>
      <c r="O16" s="200">
        <v>0</v>
      </c>
      <c r="P16" s="200">
        <v>0</v>
      </c>
      <c r="Q16" s="200">
        <v>0</v>
      </c>
      <c r="R16" s="200">
        <v>0</v>
      </c>
      <c r="S16" s="200">
        <v>0</v>
      </c>
      <c r="T16" s="200">
        <v>0</v>
      </c>
      <c r="U16" s="200">
        <v>0</v>
      </c>
      <c r="V16" s="200">
        <v>0</v>
      </c>
      <c r="W16" s="200">
        <v>0</v>
      </c>
      <c r="X16" s="200">
        <v>0</v>
      </c>
      <c r="Y16" s="200">
        <v>0</v>
      </c>
      <c r="Z16" s="200">
        <v>0</v>
      </c>
      <c r="AA16" s="200">
        <v>0</v>
      </c>
      <c r="AB16" s="200">
        <v>0</v>
      </c>
      <c r="AC16" s="200">
        <v>0</v>
      </c>
      <c r="AD16" s="200">
        <v>0</v>
      </c>
      <c r="AE16" s="200">
        <v>0</v>
      </c>
      <c r="AF16" s="200">
        <v>0</v>
      </c>
      <c r="AG16" s="200">
        <v>0</v>
      </c>
      <c r="AH16" s="200">
        <v>0</v>
      </c>
      <c r="AI16" s="200">
        <v>0</v>
      </c>
      <c r="AJ16" s="201">
        <v>1.2</v>
      </c>
      <c r="AK16" s="201">
        <v>1.2</v>
      </c>
      <c r="AL16" s="201">
        <v>2.8</v>
      </c>
      <c r="AM16" s="201">
        <v>0.8</v>
      </c>
      <c r="AN16" s="201">
        <v>4</v>
      </c>
      <c r="AO16" s="201">
        <v>1</v>
      </c>
      <c r="AP16" s="201">
        <v>1.2</v>
      </c>
      <c r="AQ16" s="201">
        <v>0</v>
      </c>
      <c r="AR16" s="201">
        <v>0</v>
      </c>
      <c r="AS16" s="201">
        <v>0</v>
      </c>
      <c r="AT16" s="202">
        <v>0</v>
      </c>
      <c r="AU16" s="203">
        <v>4</v>
      </c>
      <c r="AV16" s="204">
        <f t="shared" si="0"/>
        <v>16.2</v>
      </c>
      <c r="AW16" s="205">
        <f t="shared" si="1"/>
        <v>1.3499999999999999</v>
      </c>
      <c r="AX16" s="203">
        <v>12</v>
      </c>
      <c r="AY16" s="203">
        <v>0</v>
      </c>
      <c r="AZ16" s="203">
        <v>40</v>
      </c>
      <c r="BA16" s="203">
        <v>4</v>
      </c>
      <c r="BB16" s="203">
        <v>16</v>
      </c>
      <c r="BC16" s="203">
        <f>SUMIFS(領用表!$L:$L,領用表!$A:$A,BC$2,領用表!$E:$E,B16)</f>
        <v>8</v>
      </c>
      <c r="BD16" s="206">
        <f>SUMIFS(領用表!$L:$L,領用表!$E:$E,$B16,領用表!$B:$B,BC$2&amp;BD$2)</f>
        <v>8</v>
      </c>
      <c r="BE16" s="206">
        <f>SUMIFS(領用表!$L:$L,領用表!$E:$E,$B16,領用表!$B:$B,$BC$2&amp;BE$2)</f>
        <v>0</v>
      </c>
      <c r="BF16" s="206">
        <f>SUMIFS(領用表!$L:$L,領用表!$E:$E,$B16,領用表!$B:$B,$BC$2&amp;BF$2)</f>
        <v>0</v>
      </c>
      <c r="BG16" s="206">
        <f>SUMIFS(領用表!$L:$L,領用表!$E:$E,$B16,領用表!$B:$B,$BC$2&amp;BG$2)</f>
        <v>0</v>
      </c>
      <c r="BH16" s="203">
        <f>SUMIFS(領用表!$L:$L,領用表!$A:$A,BH$2,領用表!$E:$E,B16)</f>
        <v>16</v>
      </c>
      <c r="BI16" s="206">
        <f>SUMIFS(領用表!$L:$L,領用表!$E:$E,$B16,領用表!$B:$B,BH$2&amp;BI$2)</f>
        <v>12</v>
      </c>
      <c r="BJ16" s="206">
        <f>SUMIFS(領用表!$L:$L,領用表!$E:$E,$B16,領用表!$B:$B,$BH$2&amp;BJ$2)</f>
        <v>0</v>
      </c>
      <c r="BK16" s="206">
        <f>SUMIFS(領用表!$L:$L,領用表!$E:$E,$B16,領用表!$B:$B,$BH$2&amp;BK$2)</f>
        <v>4</v>
      </c>
      <c r="BL16" s="206">
        <f>SUMIFS(領用表!$L:$L,領用表!$E:$E,$B16,領用表!$B:$B,$BH$2&amp;BL$2)</f>
        <v>0</v>
      </c>
      <c r="BM16" s="203">
        <f>SUMIFS(領用表!$L:$L,領用表!$A:$A,BM$2,領用表!$E:$E,B16)</f>
        <v>32</v>
      </c>
      <c r="BN16" s="206">
        <f>SUMIFS(領用表!$L:$L,領用表!$E:$E,$B16,領用表!$B:$B,BM$2&amp;BN$2)</f>
        <v>16</v>
      </c>
      <c r="BO16" s="206">
        <f>SUMIFS(領用表!$L:$L,領用表!$E:$E,$B16,領用表!$B:$B,$BM$2&amp;BO$2)</f>
        <v>0</v>
      </c>
      <c r="BP16" s="206">
        <f>SUMIFS(領用表!$L:$L,領用表!$E:$E,$B16,領用表!$B:$B,$BM$2&amp;BP$2)</f>
        <v>16</v>
      </c>
      <c r="BQ16" s="206">
        <f>SUMIFS(領用表!$L:$L,領用表!$E:$E,$B16,領用表!$B:$B,$BM$2&amp;BQ$2)</f>
        <v>0</v>
      </c>
      <c r="BR16" s="203">
        <f>SUMIFS(領用表!$L:$L,領用表!$A:$A,BR$2,領用表!$E:$E,B16)</f>
        <v>20</v>
      </c>
      <c r="BS16" s="206">
        <f>SUMIFS(領用表!$L:$L,領用表!$E:$E,$B16,領用表!$B:$B,BR$2&amp;BS$2)</f>
        <v>16</v>
      </c>
      <c r="BT16" s="206">
        <f>SUMIFS(領用表!$L:$L,領用表!$E:$E,$B16,領用表!$B:$B,$BR$2&amp;BT$2)</f>
        <v>0</v>
      </c>
      <c r="BU16" s="206">
        <f>SUMIFS(領用表!$L:$L,領用表!$E:$E,$B16,領用表!$B:$B,$BR$2&amp;BU$2)</f>
        <v>4</v>
      </c>
      <c r="BV16" s="206">
        <f>SUMIFS(領用表!$L:$L,領用表!$E:$E,$B16,領用表!$B:$B,$BR$2&amp;BV$2)</f>
        <v>0</v>
      </c>
      <c r="BW16" s="208">
        <f>SUMIFS(領用表!$L:$L,領用表!$A:$A,BW$2,領用表!$E:$E,B16)</f>
        <v>24</v>
      </c>
      <c r="BX16" s="206">
        <f>SUMIFS(領用表!$L:$L,領用表!$E:$E,$B16,領用表!$B:$B,BW$2&amp;BX$2)</f>
        <v>20</v>
      </c>
      <c r="BY16" s="206">
        <f>SUMIFS(領用表!$L:$L,領用表!$E:$E,$B16,領用表!$B:$B,$BW$2&amp;BY$2)</f>
        <v>0</v>
      </c>
      <c r="BZ16" s="206">
        <f>SUMIFS(領用表!$L:$L,領用表!$E:$E,$B16,領用表!$B:$B,$BW$2&amp;BZ$2)</f>
        <v>4</v>
      </c>
      <c r="CA16" s="206">
        <f>SUMIFS(領用表!$L:$L,領用表!$E:$E,$B16,領用表!$B:$B,$BW$2&amp;CA$2)</f>
        <v>0</v>
      </c>
      <c r="CB16" s="208">
        <f>SUMIFS(領用表!$L:$L,領用表!$A:$A,CB$2,領用表!$E:$E,B16)</f>
        <v>8</v>
      </c>
      <c r="CC16" s="206">
        <f>SUMIFS(領用表!$L:$L,領用表!$E:$E,$B16,領用表!$B:$B,CB$2&amp;CC$2)</f>
        <v>0</v>
      </c>
      <c r="CD16" s="206">
        <f>SUMIFS(領用表!$L:$L,領用表!$E:$E,$B16,領用表!$B:$B,$CB$2&amp;CD$2)</f>
        <v>0</v>
      </c>
      <c r="CE16" s="206">
        <f>SUMIFS(領用表!$L:$L,領用表!$E:$E,$B16,領用表!$B:$B,$CB$2&amp;CE$2)</f>
        <v>8</v>
      </c>
      <c r="CF16" s="206">
        <f>SUMIFS(領用表!$L:$L,領用表!$E:$E,$B16,領用表!$B:$B,$CB$2&amp;CF$2)</f>
        <v>0</v>
      </c>
      <c r="CG16" s="208">
        <f>SUMIFS(領用表!$L:$L,領用表!$A:$A,CG$2,領用表!$E:$E,B16)</f>
        <v>44</v>
      </c>
      <c r="CH16" s="206">
        <f>SUMIFS(領用表!$L:$L,領用表!$E:$E,$B16,領用表!$B:$B,CG$2&amp;CH$2)</f>
        <v>8</v>
      </c>
      <c r="CI16" s="206">
        <f>SUMIFS(領用表!$L:$L,領用表!$E:$E,$B16,領用表!$B:$B,CG$2&amp;CI$2)</f>
        <v>0</v>
      </c>
      <c r="CJ16" s="206">
        <f>SUMIFS(領用表!$L:$L,領用表!$E:$E,$B16,領用表!$B:$B,CG$2&amp;CJ$2)</f>
        <v>36</v>
      </c>
      <c r="CK16" s="206">
        <f>SUMIFS(領用表!$L:$L,領用表!$E:$E,$B16,領用表!$B:$B,$CG$2&amp;CK$2)</f>
        <v>0</v>
      </c>
      <c r="CL16" s="207">
        <f t="shared" si="3"/>
        <v>224</v>
      </c>
      <c r="CM16" s="207">
        <f t="shared" si="4"/>
        <v>18.666666666666668</v>
      </c>
      <c r="CN16" s="208">
        <f>SUMIFS(領用表!$L:$L,領用表!$A:$A,CN$2,領用表!$E:$E,B16)</f>
        <v>20</v>
      </c>
      <c r="CO16" s="206">
        <f>SUMIFS(領用表!$L:$L,領用表!$E:$E,$B16,領用表!$B:$B,CN$2&amp;CO$2)</f>
        <v>8</v>
      </c>
      <c r="CP16" s="206">
        <f>SUMIFS(領用表!$L:$L,領用表!$E:$E,$B16,領用表!$B:$B,$CN$2&amp;CP$2)</f>
        <v>0</v>
      </c>
      <c r="CQ16" s="206">
        <f>SUMIFS(領用表!$L:$L,領用表!$E:$E,$B16,領用表!$B:$B,$CN$2&amp;CQ$2)</f>
        <v>12</v>
      </c>
      <c r="CR16" s="206">
        <f>SUMIFS(領用表!$L:$L,領用表!$E:$E,$B16,領用表!$B:$B,$CN$2&amp;CR$2)</f>
        <v>0</v>
      </c>
      <c r="CS16" s="208">
        <f>SUMIFS(領用表!$L:$L,領用表!$A:$A,CS$2,領用表!$E:$E,B16)</f>
        <v>72</v>
      </c>
      <c r="CT16" s="206">
        <f>SUMIFS(領用表!$L:$L,領用表!$E:$E,$B16,領用表!$B:$B,CS$2&amp;CT$2)</f>
        <v>36</v>
      </c>
      <c r="CU16" s="206">
        <f>SUMIFS(領用表!$L:$L,領用表!$E:$E,$B16,領用表!$B:$B,$CS$2&amp;CU$2)</f>
        <v>0</v>
      </c>
      <c r="CV16" s="206">
        <f>SUMIFS(領用表!$L:$L,領用表!$E:$E,$B16,領用表!$B:$B,$CS$2&amp;CV$2)</f>
        <v>36</v>
      </c>
      <c r="CW16" s="206">
        <f>SUMIFS(領用表!$L:$L,領用表!$E:$E,$B16,領用表!$B:$B,$CS$2&amp;CW$2)</f>
        <v>0</v>
      </c>
      <c r="CX16" s="206">
        <f>SUMIFS(領用表!$L:$L,領用表!$E:$E,$B16,領用表!$B:$B,$CS$2&amp;CX$2)</f>
        <v>0</v>
      </c>
      <c r="CY16" s="208">
        <f>SUMIFS(領用表!$L:$L,領用表!$A:$A,CY$2,領用表!$E:$E,B16)</f>
        <v>18</v>
      </c>
      <c r="CZ16" s="206">
        <f>SUMIFS(領用表!$L:$L,領用表!$E:$E,$B16,領用表!$B:$B,CY$2&amp;CZ$2)</f>
        <v>4</v>
      </c>
      <c r="DA16" s="206">
        <f>SUMIFS(領用表!$L:$L,領用表!$E:$E,$B16,領用表!$B:$B,$CY$2&amp;DA$2)</f>
        <v>0</v>
      </c>
      <c r="DB16" s="206">
        <f>SUMIFS(領用表!$L:$L,領用表!$E:$E,$B16,領用表!$B:$B,$CY$2&amp;DB$2)</f>
        <v>14</v>
      </c>
      <c r="DC16" s="206">
        <f>SUMIFS(領用表!$L:$L,領用表!$E:$E,$B16,領用表!$B:$B,$CY$2&amp;DC$2)</f>
        <v>0</v>
      </c>
      <c r="DD16" s="206">
        <f>SUMIFS(領用表!$L:$L,領用表!$E:$E,$B16,領用表!$B:$B,$CY$2&amp;DD$2)</f>
        <v>0</v>
      </c>
      <c r="DE16" s="208">
        <f>SUMIFS(領用表!$L:$L,領用表!$A:$A,DE$2,領用表!$E:$E,B16)</f>
        <v>10</v>
      </c>
      <c r="DF16" s="206">
        <f>SUMIFS(領用表!$L:$L,領用表!$E:$E,$B16,領用表!$B:$B,DE$2&amp;DF$2)</f>
        <v>8</v>
      </c>
      <c r="DG16" s="206">
        <f>SUMIFS(領用表!$L:$L,領用表!$E:$E,$B16,領用表!$B:$B,$DE$2&amp;DG$2)</f>
        <v>0</v>
      </c>
      <c r="DH16" s="206">
        <f>SUMIFS(領用表!$L:$L,領用表!$E:$E,$B16,領用表!$B:$B,$DE$2&amp;DH$2)</f>
        <v>2</v>
      </c>
      <c r="DI16" s="206">
        <f>SUMIFS(領用表!$L:$L,領用表!$E:$E,$B16,領用表!$B:$B,$DE$2&amp;DI$2)</f>
        <v>0</v>
      </c>
      <c r="DJ16" s="206">
        <f>SUMIFS(領用表!$L:$L,領用表!$E:$E,$B16,領用表!$B:$B,$DE$2&amp;DJ$2)</f>
        <v>0</v>
      </c>
      <c r="DK16" s="208">
        <f>SUMIFS(領用表!$L:$L,領用表!$A:$A,DK$2,領用表!$E:$E,$B16)</f>
        <v>32</v>
      </c>
      <c r="DL16" s="206">
        <f>SUMIFS(領用表!$L:$L,領用表!$E:$E,$B16,領用表!$B:$B,DK$2&amp;DL$2)</f>
        <v>20</v>
      </c>
      <c r="DM16" s="206">
        <f>SUMIFS(領用表!$L:$L,領用表!$E:$E,$B16,領用表!$B:$B,$DK$2&amp;DM$2)</f>
        <v>0</v>
      </c>
      <c r="DN16" s="206">
        <f>SUMIFS(領用表!$L:$L,領用表!$E:$E,$B16,領用表!$B:$B,$DK$2&amp;DN$2)</f>
        <v>4</v>
      </c>
      <c r="DO16" s="206">
        <f>SUMIFS(領用表!$L:$L,領用表!$E:$E,$B16,領用表!$B:$B,$DK$2&amp;DO$2)</f>
        <v>0</v>
      </c>
      <c r="DP16" s="206">
        <f>SUMIFS(領用表!$L:$L,領用表!$E:$E,$B16,領用表!$B:$B,$DK$2&amp;DP$2)</f>
        <v>8</v>
      </c>
      <c r="DQ16" s="206">
        <f t="shared" si="2"/>
        <v>152</v>
      </c>
      <c r="DR16" s="206">
        <f t="shared" si="5"/>
        <v>30.4</v>
      </c>
      <c r="DS16" s="206">
        <f t="shared" si="6"/>
        <v>28</v>
      </c>
      <c r="DT16" s="206">
        <v>8</v>
      </c>
      <c r="DU16" s="206">
        <v>0</v>
      </c>
      <c r="DV16" s="206">
        <v>20</v>
      </c>
      <c r="DW16" s="206">
        <v>0</v>
      </c>
      <c r="DX16" s="215">
        <v>20</v>
      </c>
      <c r="DY16" s="466"/>
      <c r="DZ16" s="211"/>
      <c r="EA16" s="211"/>
      <c r="EB16" s="136"/>
      <c r="EC16" s="136"/>
      <c r="ED16" s="118">
        <f>IFERROR(VLOOKUP(A16,站前4樓!A:BF,57,0),0)</f>
        <v>0</v>
      </c>
      <c r="EE16" s="213">
        <f>IFERROR(VLOOKUP(A16,站前11樓!A:BE,57,0),0)</f>
        <v>0</v>
      </c>
      <c r="EF16" s="118">
        <f>IFERROR(VLOOKUP(A16,忠孝7樓!A:N,57,0),0)</f>
        <v>0</v>
      </c>
      <c r="EG16" s="118">
        <f>IFERROR(VLOOKUP(A16,忠孝國際醫學3樓!A:L,57,0),0)</f>
        <v>0</v>
      </c>
      <c r="EH16" s="118">
        <f t="shared" si="7"/>
        <v>0</v>
      </c>
      <c r="EJ16" s="118">
        <v>20</v>
      </c>
      <c r="EK16" s="118">
        <v>34</v>
      </c>
    </row>
    <row r="17" spans="1:141" s="118" customFormat="1" ht="15.75" customHeight="1">
      <c r="A17" s="136" t="s">
        <v>29</v>
      </c>
      <c r="B17" s="118">
        <v>6210001</v>
      </c>
      <c r="C17" s="118" t="s">
        <v>606</v>
      </c>
      <c r="D17" s="197">
        <v>20</v>
      </c>
      <c r="E17" s="198" t="s">
        <v>15</v>
      </c>
      <c r="F17" s="199">
        <f>SUMIF(站前4樓!B:B,B17,站前4樓!F:F)</f>
        <v>15</v>
      </c>
      <c r="G17" s="199">
        <f>SUMIF(站前11樓!B:B,B17,站前11樓!F:F)</f>
        <v>0</v>
      </c>
      <c r="H17" s="199">
        <f>SUMIF(忠孝7樓!B:B,B17,忠孝7樓!G:G)</f>
        <v>21</v>
      </c>
      <c r="I17" s="199">
        <f>SUMIF(忠孝國際醫學3樓!B:B,B17,忠孝國際醫學3樓!G:G)</f>
        <v>0</v>
      </c>
      <c r="J17" s="199">
        <f>SUMIF(忠孝健康7樓!B:B,B17,忠孝健康7樓!G:G)</f>
        <v>19</v>
      </c>
      <c r="K17" s="200">
        <v>0</v>
      </c>
      <c r="L17" s="200">
        <v>0</v>
      </c>
      <c r="M17" s="200">
        <v>0</v>
      </c>
      <c r="N17" s="200">
        <v>0</v>
      </c>
      <c r="O17" s="200">
        <v>0</v>
      </c>
      <c r="P17" s="200">
        <v>0</v>
      </c>
      <c r="Q17" s="200">
        <v>0</v>
      </c>
      <c r="R17" s="200">
        <v>0</v>
      </c>
      <c r="S17" s="200">
        <v>0</v>
      </c>
      <c r="T17" s="200">
        <v>0</v>
      </c>
      <c r="U17" s="200">
        <v>0</v>
      </c>
      <c r="V17" s="200">
        <v>0</v>
      </c>
      <c r="W17" s="200">
        <v>0</v>
      </c>
      <c r="X17" s="200">
        <v>0</v>
      </c>
      <c r="Y17" s="200">
        <v>0</v>
      </c>
      <c r="Z17" s="200">
        <v>0</v>
      </c>
      <c r="AA17" s="200">
        <v>0</v>
      </c>
      <c r="AB17" s="200">
        <v>1</v>
      </c>
      <c r="AC17" s="200">
        <v>0</v>
      </c>
      <c r="AD17" s="200">
        <v>0</v>
      </c>
      <c r="AE17" s="200">
        <v>0</v>
      </c>
      <c r="AF17" s="200">
        <v>0</v>
      </c>
      <c r="AG17" s="200">
        <v>1</v>
      </c>
      <c r="AH17" s="200">
        <v>0</v>
      </c>
      <c r="AI17" s="200">
        <v>0</v>
      </c>
      <c r="AJ17" s="201">
        <v>0.05</v>
      </c>
      <c r="AK17" s="201">
        <v>0.1</v>
      </c>
      <c r="AL17" s="201">
        <v>0.15</v>
      </c>
      <c r="AM17" s="201">
        <v>0.15</v>
      </c>
      <c r="AN17" s="201">
        <v>0.05</v>
      </c>
      <c r="AO17" s="201">
        <v>0.35</v>
      </c>
      <c r="AP17" s="201">
        <v>0.65</v>
      </c>
      <c r="AQ17" s="201">
        <v>1.2</v>
      </c>
      <c r="AR17" s="201">
        <v>0</v>
      </c>
      <c r="AS17" s="201">
        <v>0.3</v>
      </c>
      <c r="AT17" s="202">
        <v>0</v>
      </c>
      <c r="AU17" s="203">
        <v>0</v>
      </c>
      <c r="AV17" s="204">
        <f t="shared" si="0"/>
        <v>3</v>
      </c>
      <c r="AW17" s="205">
        <f t="shared" si="1"/>
        <v>0.25</v>
      </c>
      <c r="AX17" s="203">
        <v>6</v>
      </c>
      <c r="AY17" s="203">
        <v>1</v>
      </c>
      <c r="AZ17" s="203">
        <v>7</v>
      </c>
      <c r="BA17" s="203">
        <v>10</v>
      </c>
      <c r="BB17" s="203">
        <v>0</v>
      </c>
      <c r="BC17" s="203">
        <f>SUMIFS(領用表!$L:$L,領用表!$A:$A,BC$2,領用表!$E:$E,B17)</f>
        <v>2</v>
      </c>
      <c r="BD17" s="206">
        <f>SUMIFS(領用表!$L:$L,領用表!$E:$E,$B17,領用表!$B:$B,BC$2&amp;BD$2)</f>
        <v>2</v>
      </c>
      <c r="BE17" s="206">
        <f>SUMIFS(領用表!$L:$L,領用表!$E:$E,$B17,領用表!$B:$B,$BC$2&amp;BE$2)</f>
        <v>0</v>
      </c>
      <c r="BF17" s="206">
        <f>SUMIFS(領用表!$L:$L,領用表!$E:$E,$B17,領用表!$B:$B,$BC$2&amp;BF$2)</f>
        <v>0</v>
      </c>
      <c r="BG17" s="206">
        <f>SUMIFS(領用表!$L:$L,領用表!$E:$E,$B17,領用表!$B:$B,$BC$2&amp;BG$2)</f>
        <v>0</v>
      </c>
      <c r="BH17" s="203">
        <f>SUMIFS(領用表!$L:$L,領用表!$A:$A,BH$2,領用表!$E:$E,B17)</f>
        <v>6</v>
      </c>
      <c r="BI17" s="206">
        <f>SUMIFS(領用表!$L:$L,領用表!$E:$E,$B17,領用表!$B:$B,BH$2&amp;BI$2)</f>
        <v>2</v>
      </c>
      <c r="BJ17" s="206">
        <f>SUMIFS(領用表!$L:$L,領用表!$E:$E,$B17,領用表!$B:$B,$BH$2&amp;BJ$2)</f>
        <v>0</v>
      </c>
      <c r="BK17" s="206">
        <f>SUMIFS(領用表!$L:$L,領用表!$E:$E,$B17,領用表!$B:$B,$BH$2&amp;BK$2)</f>
        <v>4</v>
      </c>
      <c r="BL17" s="206">
        <f>SUMIFS(領用表!$L:$L,領用表!$E:$E,$B17,領用表!$B:$B,$BH$2&amp;BL$2)</f>
        <v>0</v>
      </c>
      <c r="BM17" s="203">
        <f>SUMIFS(領用表!$L:$L,領用表!$A:$A,BM$2,領用表!$E:$E,B17)</f>
        <v>5</v>
      </c>
      <c r="BN17" s="206">
        <f>SUMIFS(領用表!$L:$L,領用表!$E:$E,$B17,領用表!$B:$B,BM$2&amp;BN$2)</f>
        <v>0</v>
      </c>
      <c r="BO17" s="206">
        <f>SUMIFS(領用表!$L:$L,領用表!$E:$E,$B17,領用表!$B:$B,$BM$2&amp;BO$2)</f>
        <v>0</v>
      </c>
      <c r="BP17" s="206">
        <f>SUMIFS(領用表!$L:$L,領用表!$E:$E,$B17,領用表!$B:$B,$BM$2&amp;BP$2)</f>
        <v>5</v>
      </c>
      <c r="BQ17" s="206">
        <f>SUMIFS(領用表!$L:$L,領用表!$E:$E,$B17,領用表!$B:$B,$BM$2&amp;BQ$2)</f>
        <v>0</v>
      </c>
      <c r="BR17" s="203">
        <f>SUMIFS(領用表!$L:$L,領用表!$A:$A,BR$2,領用表!$E:$E,B17)</f>
        <v>73</v>
      </c>
      <c r="BS17" s="206">
        <f>SUMIFS(領用表!$L:$L,領用表!$E:$E,$B17,領用表!$B:$B,BR$2&amp;BS$2)</f>
        <v>0</v>
      </c>
      <c r="BT17" s="206">
        <f>SUMIFS(領用表!$L:$L,領用表!$E:$E,$B17,領用表!$B:$B,$BR$2&amp;BT$2)</f>
        <v>0</v>
      </c>
      <c r="BU17" s="206">
        <f>SUMIFS(領用表!$L:$L,領用表!$E:$E,$B17,領用表!$B:$B,$BR$2&amp;BU$2)</f>
        <v>73</v>
      </c>
      <c r="BV17" s="206">
        <f>SUMIFS(領用表!$L:$L,領用表!$E:$E,$B17,領用表!$B:$B,$BR$2&amp;BV$2)</f>
        <v>0</v>
      </c>
      <c r="BW17" s="208">
        <f>SUMIFS(領用表!$L:$L,領用表!$A:$A,BW$2,領用表!$E:$E,B17)</f>
        <v>16</v>
      </c>
      <c r="BX17" s="216">
        <f>SUMIFS(領用表!$L:$L,領用表!$E:$E,$B17,領用表!$B:$B,BW$2&amp;BX$2)</f>
        <v>2</v>
      </c>
      <c r="BY17" s="216">
        <f>SUMIFS(領用表!$L:$L,領用表!$E:$E,$B17,領用表!$B:$B,$BW$2&amp;BY$2)</f>
        <v>0</v>
      </c>
      <c r="BZ17" s="216">
        <f>SUMIFS(領用表!$L:$L,領用表!$E:$E,$B17,領用表!$B:$B,$BW$2&amp;BZ$2)</f>
        <v>14</v>
      </c>
      <c r="CA17" s="216">
        <f>SUMIFS(領用表!$L:$L,領用表!$E:$E,$B17,領用表!$B:$B,$BW$2&amp;CA$2)</f>
        <v>0</v>
      </c>
      <c r="CB17" s="208">
        <f>SUMIFS(領用表!$L:$L,領用表!$A:$A,CB$2,領用表!$E:$E,B17)</f>
        <v>9</v>
      </c>
      <c r="CC17" s="216">
        <f>SUMIFS(領用表!$L:$L,領用表!$E:$E,$B17,領用表!$B:$B,CB$2&amp;CC$2)</f>
        <v>2</v>
      </c>
      <c r="CD17" s="216">
        <f>SUMIFS(領用表!$L:$L,領用表!$E:$E,$B17,領用表!$B:$B,$CB$2&amp;CD$2)</f>
        <v>0</v>
      </c>
      <c r="CE17" s="216">
        <f>SUMIFS(領用表!$L:$L,領用表!$E:$E,$B17,領用表!$B:$B,$CB$2&amp;CE$2)</f>
        <v>7</v>
      </c>
      <c r="CF17" s="216">
        <f>SUMIFS(領用表!$L:$L,領用表!$E:$E,$B17,領用表!$B:$B,$CB$2&amp;CF$2)</f>
        <v>0</v>
      </c>
      <c r="CG17" s="217">
        <f>SUMIFS(領用表!$L:$L,領用表!$A:$A,CG$2,領用表!$E:$E,B17)</f>
        <v>5</v>
      </c>
      <c r="CH17" s="216">
        <f>SUMIFS(領用表!$L:$L,領用表!$E:$E,$B17,領用表!$B:$B,CG$2&amp;CH$2)</f>
        <v>0</v>
      </c>
      <c r="CI17" s="216">
        <f>SUMIFS(領用表!$L:$L,領用表!$E:$E,$B17,領用表!$B:$B,CG$2&amp;CI$2)</f>
        <v>0</v>
      </c>
      <c r="CJ17" s="216">
        <f>SUMIFS(領用表!$L:$L,領用表!$E:$E,$B17,領用表!$B:$B,CG$2&amp;CJ$2)</f>
        <v>5</v>
      </c>
      <c r="CK17" s="216">
        <f>SUMIFS(領用表!$L:$L,領用表!$E:$E,$B17,領用表!$B:$B,$CG$2&amp;CK$2)</f>
        <v>0</v>
      </c>
      <c r="CL17" s="207">
        <f t="shared" si="3"/>
        <v>140</v>
      </c>
      <c r="CM17" s="207">
        <f t="shared" si="4"/>
        <v>11.666666666666666</v>
      </c>
      <c r="CN17" s="217">
        <f>SUMIFS(領用表!$L:$L,領用表!$A:$A,CN$2,領用表!$E:$E,B17)</f>
        <v>5</v>
      </c>
      <c r="CO17" s="216">
        <f>SUMIFS(領用表!$L:$L,領用表!$E:$E,$B17,領用表!$B:$B,CN$2&amp;CO$2)</f>
        <v>2</v>
      </c>
      <c r="CP17" s="216">
        <f>SUMIFS(領用表!$L:$L,領用表!$E:$E,$B17,領用表!$B:$B,$CN$2&amp;CP$2)</f>
        <v>1</v>
      </c>
      <c r="CQ17" s="216">
        <f>SUMIFS(領用表!$L:$L,領用表!$E:$E,$B17,領用表!$B:$B,$CN$2&amp;CQ$2)</f>
        <v>2</v>
      </c>
      <c r="CR17" s="216">
        <f>SUMIFS(領用表!$L:$L,領用表!$E:$E,$B17,領用表!$B:$B,$CN$2&amp;CR$2)</f>
        <v>0</v>
      </c>
      <c r="CS17" s="208">
        <f>SUMIFS(領用表!$L:$L,領用表!$A:$A,CS$2,領用表!$E:$E,B17)</f>
        <v>4</v>
      </c>
      <c r="CT17" s="216">
        <f>SUMIFS(領用表!$L:$L,領用表!$E:$E,$B17,領用表!$B:$B,CS$2&amp;CT$2)</f>
        <v>4</v>
      </c>
      <c r="CU17" s="216">
        <f>SUMIFS(領用表!$L:$L,領用表!$E:$E,$B17,領用表!$B:$B,$CS$2&amp;CU$2)</f>
        <v>0</v>
      </c>
      <c r="CV17" s="216">
        <f>SUMIFS(領用表!$L:$L,領用表!$E:$E,$B17,領用表!$B:$B,$CS$2&amp;CV$2)</f>
        <v>0</v>
      </c>
      <c r="CW17" s="216">
        <f>SUMIFS(領用表!$L:$L,領用表!$E:$E,$B17,領用表!$B:$B,$CS$2&amp;CW$2)</f>
        <v>0</v>
      </c>
      <c r="CX17" s="216">
        <f>SUMIFS(領用表!$L:$L,領用表!$E:$E,$B17,領用表!$B:$B,$CS$2&amp;CX$2)</f>
        <v>0</v>
      </c>
      <c r="CY17" s="208">
        <f>SUMIFS(領用表!$L:$L,領用表!$A:$A,CY$2,領用表!$E:$E,B17)</f>
        <v>11</v>
      </c>
      <c r="CZ17" s="216">
        <f>SUMIFS(領用表!$L:$L,領用表!$E:$E,$B17,領用表!$B:$B,CY$2&amp;CZ$2)</f>
        <v>0</v>
      </c>
      <c r="DA17" s="216">
        <f>SUMIFS(領用表!$L:$L,領用表!$E:$E,$B17,領用表!$B:$B,$CY$2&amp;DA$2)</f>
        <v>0</v>
      </c>
      <c r="DB17" s="216">
        <f>SUMIFS(領用表!$L:$L,領用表!$E:$E,$B17,領用表!$B:$B,$CY$2&amp;DB$2)</f>
        <v>10</v>
      </c>
      <c r="DC17" s="216">
        <f>SUMIFS(領用表!$L:$L,領用表!$E:$E,$B17,領用表!$B:$B,$CY$2&amp;DC$2)</f>
        <v>0</v>
      </c>
      <c r="DD17" s="216">
        <f>SUMIFS(領用表!$L:$L,領用表!$E:$E,$B17,領用表!$B:$B,$CY$2&amp;DD$2)</f>
        <v>1</v>
      </c>
      <c r="DE17" s="208">
        <f>SUMIFS(領用表!$L:$L,領用表!$A:$A,DE$2,領用表!$E:$E,B17)</f>
        <v>2</v>
      </c>
      <c r="DF17" s="216">
        <f>SUMIFS(領用表!$L:$L,領用表!$E:$E,$B17,領用表!$B:$B,DE$2&amp;DF$2)</f>
        <v>0</v>
      </c>
      <c r="DG17" s="216">
        <f>SUMIFS(領用表!$L:$L,領用表!$E:$E,$B17,領用表!$B:$B,$DE$2&amp;DG$2)</f>
        <v>0</v>
      </c>
      <c r="DH17" s="216">
        <f>SUMIFS(領用表!$L:$L,領用表!$E:$E,$B17,領用表!$B:$B,$DE$2&amp;DH$2)</f>
        <v>2</v>
      </c>
      <c r="DI17" s="216">
        <f>SUMIFS(領用表!$L:$L,領用表!$E:$E,$B17,領用表!$B:$B,$DE$2&amp;DI$2)</f>
        <v>0</v>
      </c>
      <c r="DJ17" s="216">
        <f>SUMIFS(領用表!$L:$L,領用表!$E:$E,$B17,領用表!$B:$B,$DE$2&amp;DJ$2)</f>
        <v>0</v>
      </c>
      <c r="DK17" s="208">
        <f>SUMIFS(領用表!$L:$L,領用表!$A:$A,DK$2,領用表!$E:$E,$B17)</f>
        <v>2</v>
      </c>
      <c r="DL17" s="216">
        <f>SUMIFS(領用表!$L:$L,領用表!$E:$E,$B17,領用表!$B:$B,DK$2&amp;DL$2)</f>
        <v>0</v>
      </c>
      <c r="DM17" s="216">
        <f>SUMIFS(領用表!$L:$L,領用表!$E:$E,$B17,領用表!$B:$B,$DK$2&amp;DM$2)</f>
        <v>0</v>
      </c>
      <c r="DN17" s="216">
        <f>SUMIFS(領用表!$L:$L,領用表!$E:$E,$B17,領用表!$B:$B,$DK$2&amp;DN$2)</f>
        <v>1</v>
      </c>
      <c r="DO17" s="216">
        <f>SUMIFS(領用表!$L:$L,領用表!$E:$E,$B17,領用表!$B:$B,$DK$2&amp;DO$2)</f>
        <v>0</v>
      </c>
      <c r="DP17" s="216">
        <f>SUMIFS(領用表!$L:$L,領用表!$E:$E,$B17,領用表!$B:$B,$DK$2&amp;DP$2)</f>
        <v>1</v>
      </c>
      <c r="DQ17" s="216">
        <f t="shared" si="2"/>
        <v>24</v>
      </c>
      <c r="DR17" s="216">
        <f t="shared" si="5"/>
        <v>4.8</v>
      </c>
      <c r="DS17" s="216">
        <f t="shared" si="6"/>
        <v>10</v>
      </c>
      <c r="DT17" s="216">
        <v>5</v>
      </c>
      <c r="DU17" s="216">
        <v>0</v>
      </c>
      <c r="DV17" s="216">
        <v>5</v>
      </c>
      <c r="DW17" s="216">
        <v>0</v>
      </c>
      <c r="DX17" s="215">
        <v>20</v>
      </c>
      <c r="DY17" s="219"/>
      <c r="DZ17" s="211"/>
      <c r="EA17" s="211"/>
      <c r="EB17" s="136"/>
      <c r="EC17" s="212"/>
      <c r="ED17" s="118">
        <f>IFERROR(VLOOKUP(A17,站前4樓!A:BF,57,0),0)</f>
        <v>2</v>
      </c>
      <c r="EE17" s="213">
        <f>IFERROR(VLOOKUP(A17,站前11樓!A:BE,57,0),0)</f>
        <v>0</v>
      </c>
      <c r="EF17" s="118">
        <f>IFERROR(VLOOKUP(A17,忠孝7樓!A:N,57,0),0)</f>
        <v>0</v>
      </c>
      <c r="EG17" s="118">
        <f>IFERROR(VLOOKUP(A17,忠孝國際醫學3樓!A:L,57,0),0)</f>
        <v>0</v>
      </c>
      <c r="EH17" s="118">
        <f t="shared" si="7"/>
        <v>2</v>
      </c>
      <c r="EJ17" s="118">
        <v>60</v>
      </c>
      <c r="EK17" s="118">
        <v>23</v>
      </c>
    </row>
    <row r="18" spans="1:141" s="118" customFormat="1" ht="15.75" customHeight="1">
      <c r="A18" s="136" t="s">
        <v>30</v>
      </c>
      <c r="B18" s="118">
        <v>6210002</v>
      </c>
      <c r="C18" s="118" t="s">
        <v>607</v>
      </c>
      <c r="D18" s="197">
        <v>20</v>
      </c>
      <c r="E18" s="198" t="s">
        <v>15</v>
      </c>
      <c r="F18" s="199">
        <f>SUMIF(站前4樓!B:B,B18,站前4樓!F:F)</f>
        <v>106</v>
      </c>
      <c r="G18" s="199">
        <f>SUMIF(站前11樓!B:B,B18,站前11樓!F:F)</f>
        <v>0</v>
      </c>
      <c r="H18" s="199">
        <f>SUMIF(忠孝7樓!B:B,B18,忠孝7樓!G:G)</f>
        <v>123</v>
      </c>
      <c r="I18" s="199">
        <f>SUMIF(忠孝國際醫學3樓!B:B,B18,忠孝國際醫學3樓!G:G)</f>
        <v>0</v>
      </c>
      <c r="J18" s="199">
        <f>SUMIF(忠孝健康7樓!B:B,B18,忠孝健康7樓!G:G)</f>
        <v>24</v>
      </c>
      <c r="K18" s="200">
        <v>0</v>
      </c>
      <c r="L18" s="200">
        <v>0</v>
      </c>
      <c r="M18" s="200">
        <v>0</v>
      </c>
      <c r="N18" s="200">
        <v>0</v>
      </c>
      <c r="O18" s="200">
        <v>0</v>
      </c>
      <c r="P18" s="200">
        <v>0</v>
      </c>
      <c r="Q18" s="200">
        <v>0</v>
      </c>
      <c r="R18" s="200">
        <v>0</v>
      </c>
      <c r="S18" s="200">
        <v>0</v>
      </c>
      <c r="T18" s="200">
        <v>0</v>
      </c>
      <c r="U18" s="200">
        <v>0</v>
      </c>
      <c r="V18" s="200">
        <v>0</v>
      </c>
      <c r="W18" s="200">
        <v>0</v>
      </c>
      <c r="X18" s="200">
        <v>0</v>
      </c>
      <c r="Y18" s="200">
        <v>0</v>
      </c>
      <c r="Z18" s="200">
        <v>0</v>
      </c>
      <c r="AA18" s="200">
        <v>0</v>
      </c>
      <c r="AB18" s="200">
        <v>0</v>
      </c>
      <c r="AC18" s="200">
        <v>0</v>
      </c>
      <c r="AD18" s="200">
        <v>0</v>
      </c>
      <c r="AE18" s="200">
        <v>0</v>
      </c>
      <c r="AF18" s="200">
        <v>0</v>
      </c>
      <c r="AG18" s="200">
        <v>0</v>
      </c>
      <c r="AH18" s="200">
        <v>0</v>
      </c>
      <c r="AI18" s="200">
        <v>0</v>
      </c>
      <c r="AJ18" s="201">
        <v>0</v>
      </c>
      <c r="AK18" s="201">
        <v>0</v>
      </c>
      <c r="AL18" s="201">
        <v>0</v>
      </c>
      <c r="AM18" s="201">
        <v>0</v>
      </c>
      <c r="AN18" s="201">
        <v>0</v>
      </c>
      <c r="AO18" s="201">
        <v>0</v>
      </c>
      <c r="AP18" s="201">
        <v>0</v>
      </c>
      <c r="AQ18" s="201">
        <v>0</v>
      </c>
      <c r="AR18" s="201">
        <v>0.9</v>
      </c>
      <c r="AS18" s="201">
        <v>1.1000000000000001</v>
      </c>
      <c r="AT18" s="202">
        <v>0.65</v>
      </c>
      <c r="AU18" s="203">
        <v>9</v>
      </c>
      <c r="AV18" s="204">
        <f t="shared" si="0"/>
        <v>11.65</v>
      </c>
      <c r="AW18" s="205">
        <f t="shared" si="1"/>
        <v>0.97083333333333333</v>
      </c>
      <c r="AX18" s="203">
        <v>22</v>
      </c>
      <c r="AY18" s="203">
        <v>36</v>
      </c>
      <c r="AZ18" s="203">
        <v>35</v>
      </c>
      <c r="BA18" s="203">
        <v>26</v>
      </c>
      <c r="BB18" s="203">
        <v>17</v>
      </c>
      <c r="BC18" s="203">
        <f>SUMIFS(領用表!$L:$L,領用表!$A:$A,BC$2,領用表!$E:$E,B18)</f>
        <v>26</v>
      </c>
      <c r="BD18" s="206">
        <f>SUMIFS(領用表!$L:$L,領用表!$E:$E,$B18,領用表!$B:$B,BC$2&amp;BD$2)</f>
        <v>26</v>
      </c>
      <c r="BE18" s="206">
        <f>SUMIFS(領用表!$L:$L,領用表!$E:$E,$B18,領用表!$B:$B,$BC$2&amp;BE$2)</f>
        <v>0</v>
      </c>
      <c r="BF18" s="206">
        <f>SUMIFS(領用表!$L:$L,領用表!$E:$E,$B18,領用表!$B:$B,$BC$2&amp;BF$2)</f>
        <v>0</v>
      </c>
      <c r="BG18" s="206">
        <f>SUMIFS(領用表!$L:$L,領用表!$E:$E,$B18,領用表!$B:$B,$BC$2&amp;BG$2)</f>
        <v>0</v>
      </c>
      <c r="BH18" s="203">
        <f>SUMIFS(領用表!$L:$L,領用表!$A:$A,BH$2,領用表!$E:$E,B18)</f>
        <v>58</v>
      </c>
      <c r="BI18" s="206">
        <f>SUMIFS(領用表!$L:$L,領用表!$E:$E,$B18,領用表!$B:$B,BH$2&amp;BI$2)</f>
        <v>28</v>
      </c>
      <c r="BJ18" s="206">
        <f>SUMIFS(領用表!$L:$L,領用表!$E:$E,$B18,領用表!$B:$B,$BH$2&amp;BJ$2)</f>
        <v>0</v>
      </c>
      <c r="BK18" s="206">
        <f>SUMIFS(領用表!$L:$L,領用表!$E:$E,$B18,領用表!$B:$B,$BH$2&amp;BK$2)</f>
        <v>30</v>
      </c>
      <c r="BL18" s="206">
        <f>SUMIFS(領用表!$L:$L,領用表!$E:$E,$B18,領用表!$B:$B,$BH$2&amp;BL$2)</f>
        <v>0</v>
      </c>
      <c r="BM18" s="203">
        <f>SUMIFS(領用表!$L:$L,領用表!$A:$A,BM$2,領用表!$E:$E,B18)</f>
        <v>121</v>
      </c>
      <c r="BN18" s="206">
        <f>SUMIFS(領用表!$L:$L,領用表!$E:$E,$B18,領用表!$B:$B,BM$2&amp;BN$2)</f>
        <v>39</v>
      </c>
      <c r="BO18" s="206">
        <f>SUMIFS(領用表!$L:$L,領用表!$E:$E,$B18,領用表!$B:$B,$BM$2&amp;BO$2)</f>
        <v>0</v>
      </c>
      <c r="BP18" s="206">
        <f>SUMIFS(領用表!$L:$L,領用表!$E:$E,$B18,領用表!$B:$B,$BM$2&amp;BP$2)</f>
        <v>82</v>
      </c>
      <c r="BQ18" s="206">
        <f>SUMIFS(領用表!$L:$L,領用表!$E:$E,$B18,領用表!$B:$B,$BM$2&amp;BQ$2)</f>
        <v>0</v>
      </c>
      <c r="BR18" s="203">
        <f>SUMIFS(領用表!$L:$L,領用表!$A:$A,BR$2,領用表!$E:$E,B18)</f>
        <v>118</v>
      </c>
      <c r="BS18" s="206">
        <f>SUMIFS(領用表!$L:$L,領用表!$E:$E,$B18,領用表!$B:$B,BR$2&amp;BS$2)</f>
        <v>54</v>
      </c>
      <c r="BT18" s="206">
        <f>SUMIFS(領用表!$L:$L,領用表!$E:$E,$B18,領用表!$B:$B,$BR$2&amp;BT$2)</f>
        <v>0</v>
      </c>
      <c r="BU18" s="206">
        <f>SUMIFS(領用表!$L:$L,領用表!$E:$E,$B18,領用表!$B:$B,$BR$2&amp;BU$2)</f>
        <v>64</v>
      </c>
      <c r="BV18" s="206">
        <f>SUMIFS(領用表!$L:$L,領用表!$E:$E,$B18,領用表!$B:$B,$BR$2&amp;BV$2)</f>
        <v>0</v>
      </c>
      <c r="BW18" s="208">
        <f>SUMIFS(領用表!$L:$L,領用表!$A:$A,BW$2,領用表!$E:$E,B18)</f>
        <v>194</v>
      </c>
      <c r="BX18" s="216">
        <f>SUMIFS(領用表!$L:$L,領用表!$E:$E,$B18,領用表!$B:$B,BW$2&amp;BX$2)</f>
        <v>76</v>
      </c>
      <c r="BY18" s="216">
        <f>SUMIFS(領用表!$L:$L,領用表!$E:$E,$B18,領用表!$B:$B,$BW$2&amp;BY$2)</f>
        <v>0</v>
      </c>
      <c r="BZ18" s="216">
        <f>SUMIFS(領用表!$L:$L,領用表!$E:$E,$B18,領用表!$B:$B,$BW$2&amp;BZ$2)</f>
        <v>118</v>
      </c>
      <c r="CA18" s="216">
        <f>SUMIFS(領用表!$L:$L,領用表!$E:$E,$B18,領用表!$B:$B,$BW$2&amp;CA$2)</f>
        <v>0</v>
      </c>
      <c r="CB18" s="208">
        <f>SUMIFS(領用表!$L:$L,領用表!$A:$A,CB$2,領用表!$E:$E,B18)</f>
        <v>198</v>
      </c>
      <c r="CC18" s="216">
        <f>SUMIFS(領用表!$L:$L,領用表!$E:$E,$B18,領用表!$B:$B,CB$2&amp;CC$2)</f>
        <v>74</v>
      </c>
      <c r="CD18" s="216">
        <f>SUMIFS(領用表!$L:$L,領用表!$E:$E,$B18,領用表!$B:$B,$CB$2&amp;CD$2)</f>
        <v>0</v>
      </c>
      <c r="CE18" s="216">
        <f>SUMIFS(領用表!$L:$L,領用表!$E:$E,$B18,領用表!$B:$B,$CB$2&amp;CE$2)</f>
        <v>124</v>
      </c>
      <c r="CF18" s="216">
        <f>SUMIFS(領用表!$L:$L,領用表!$E:$E,$B18,領用表!$B:$B,$CB$2&amp;CF$2)</f>
        <v>0</v>
      </c>
      <c r="CG18" s="217">
        <f>SUMIFS(領用表!$L:$L,領用表!$A:$A,CG$2,領用表!$E:$E,B18)</f>
        <v>316</v>
      </c>
      <c r="CH18" s="216">
        <f>SUMIFS(領用表!$L:$L,領用表!$E:$E,$B18,領用表!$B:$B,CG$2&amp;CH$2)</f>
        <v>97</v>
      </c>
      <c r="CI18" s="216">
        <f>SUMIFS(領用表!$L:$L,領用表!$E:$E,$B18,領用表!$B:$B,CG$2&amp;CI$2)</f>
        <v>0</v>
      </c>
      <c r="CJ18" s="216">
        <f>SUMIFS(領用表!$L:$L,領用表!$E:$E,$B18,領用表!$B:$B,CG$2&amp;CJ$2)</f>
        <v>219</v>
      </c>
      <c r="CK18" s="216">
        <f>SUMIFS(領用表!$L:$L,領用表!$E:$E,$B18,領用表!$B:$B,$CG$2&amp;CK$2)</f>
        <v>0</v>
      </c>
      <c r="CL18" s="207">
        <f t="shared" si="3"/>
        <v>1167</v>
      </c>
      <c r="CM18" s="207">
        <f t="shared" si="4"/>
        <v>97.25</v>
      </c>
      <c r="CN18" s="217">
        <f>SUMIFS(領用表!$L:$L,領用表!$A:$A,CN$2,領用表!$E:$E,B18)</f>
        <v>502</v>
      </c>
      <c r="CO18" s="216">
        <f>SUMIFS(領用表!$L:$L,領用表!$E:$E,$B18,領用表!$B:$B,CN$2&amp;CO$2)</f>
        <v>176</v>
      </c>
      <c r="CP18" s="216">
        <f>SUMIFS(領用表!$L:$L,領用表!$E:$E,$B18,領用表!$B:$B,$CN$2&amp;CP$2)</f>
        <v>1</v>
      </c>
      <c r="CQ18" s="216">
        <f>SUMIFS(領用表!$L:$L,領用表!$E:$E,$B18,領用表!$B:$B,$CN$2&amp;CQ$2)</f>
        <v>325</v>
      </c>
      <c r="CR18" s="216">
        <f>SUMIFS(領用表!$L:$L,領用表!$E:$E,$B18,領用表!$B:$B,$CN$2&amp;CR$2)</f>
        <v>0</v>
      </c>
      <c r="CS18" s="208">
        <f>SUMIFS(領用表!$L:$L,領用表!$A:$A,CS$2,領用表!$E:$E,B18)</f>
        <v>458</v>
      </c>
      <c r="CT18" s="216">
        <f>SUMIFS(領用表!$L:$L,領用表!$E:$E,$B18,領用表!$B:$B,CS$2&amp;CT$2)</f>
        <v>153</v>
      </c>
      <c r="CU18" s="216">
        <f>SUMIFS(領用表!$L:$L,領用表!$E:$E,$B18,領用表!$B:$B,$CS$2&amp;CU$2)</f>
        <v>0</v>
      </c>
      <c r="CV18" s="216">
        <f>SUMIFS(領用表!$L:$L,領用表!$E:$E,$B18,領用表!$B:$B,$CS$2&amp;CV$2)</f>
        <v>288</v>
      </c>
      <c r="CW18" s="216">
        <f>SUMIFS(領用表!$L:$L,領用表!$E:$E,$B18,領用表!$B:$B,$CS$2&amp;CW$2)</f>
        <v>0</v>
      </c>
      <c r="CX18" s="216">
        <f>SUMIFS(領用表!$L:$L,領用表!$E:$E,$B18,領用表!$B:$B,$CS$2&amp;CX$2)</f>
        <v>17</v>
      </c>
      <c r="CY18" s="208">
        <f>SUMIFS(領用表!$L:$L,領用表!$A:$A,CY$2,領用表!$E:$E,B18)</f>
        <v>515</v>
      </c>
      <c r="CZ18" s="216">
        <f>SUMIFS(領用表!$L:$L,領用表!$E:$E,$B18,領用表!$B:$B,CY$2&amp;CZ$2)</f>
        <v>184</v>
      </c>
      <c r="DA18" s="216">
        <f>SUMIFS(領用表!$L:$L,領用表!$E:$E,$B18,領用表!$B:$B,$CY$2&amp;DA$2)</f>
        <v>0</v>
      </c>
      <c r="DB18" s="216">
        <f>SUMIFS(領用表!$L:$L,領用表!$E:$E,$B18,領用表!$B:$B,$CY$2&amp;DB$2)</f>
        <v>280</v>
      </c>
      <c r="DC18" s="216">
        <f>SUMIFS(領用表!$L:$L,領用表!$E:$E,$B18,領用表!$B:$B,$CY$2&amp;DC$2)</f>
        <v>0</v>
      </c>
      <c r="DD18" s="216">
        <f>SUMIFS(領用表!$L:$L,領用表!$E:$E,$B18,領用表!$B:$B,$CY$2&amp;DD$2)</f>
        <v>51</v>
      </c>
      <c r="DE18" s="208">
        <f>SUMIFS(領用表!$L:$L,領用表!$A:$A,DE$2,領用表!$E:$E,B18)</f>
        <v>555</v>
      </c>
      <c r="DF18" s="216">
        <f>SUMIFS(領用表!$L:$L,領用表!$E:$E,$B18,領用表!$B:$B,DE$2&amp;DF$2)</f>
        <v>179</v>
      </c>
      <c r="DG18" s="216">
        <f>SUMIFS(領用表!$L:$L,領用表!$E:$E,$B18,領用表!$B:$B,$DE$2&amp;DG$2)</f>
        <v>0</v>
      </c>
      <c r="DH18" s="216">
        <f>SUMIFS(領用表!$L:$L,領用表!$E:$E,$B18,領用表!$B:$B,$DE$2&amp;DH$2)</f>
        <v>284</v>
      </c>
      <c r="DI18" s="216">
        <f>SUMIFS(領用表!$L:$L,領用表!$E:$E,$B18,領用表!$B:$B,$DE$2&amp;DI$2)</f>
        <v>0</v>
      </c>
      <c r="DJ18" s="216">
        <f>SUMIFS(領用表!$L:$L,領用表!$E:$E,$B18,領用表!$B:$B,$DE$2&amp;DJ$2)</f>
        <v>92</v>
      </c>
      <c r="DK18" s="208">
        <f>SUMIFS(領用表!$L:$L,領用表!$A:$A,DK$2,領用表!$E:$E,$B18)</f>
        <v>668</v>
      </c>
      <c r="DL18" s="216">
        <f>SUMIFS(領用表!$L:$L,領用表!$E:$E,$B18,領用表!$B:$B,DK$2&amp;DL$2)</f>
        <v>189</v>
      </c>
      <c r="DM18" s="216">
        <f>SUMIFS(領用表!$L:$L,領用表!$E:$E,$B18,領用表!$B:$B,$DK$2&amp;DM$2)</f>
        <v>0</v>
      </c>
      <c r="DN18" s="216">
        <f>SUMIFS(領用表!$L:$L,領用表!$E:$E,$B18,領用表!$B:$B,$DK$2&amp;DN$2)</f>
        <v>353</v>
      </c>
      <c r="DO18" s="216">
        <f>SUMIFS(領用表!$L:$L,領用表!$E:$E,$B18,領用表!$B:$B,$DK$2&amp;DO$2)</f>
        <v>0</v>
      </c>
      <c r="DP18" s="216">
        <f>SUMIFS(領用表!$L:$L,領用表!$E:$E,$B18,領用表!$B:$B,$DK$2&amp;DP$2)</f>
        <v>126</v>
      </c>
      <c r="DQ18" s="216">
        <f t="shared" si="2"/>
        <v>2698</v>
      </c>
      <c r="DR18" s="216">
        <f t="shared" si="5"/>
        <v>539.6</v>
      </c>
      <c r="DS18" s="216">
        <f t="shared" si="6"/>
        <v>330</v>
      </c>
      <c r="DT18" s="216">
        <v>130</v>
      </c>
      <c r="DU18" s="216">
        <v>0</v>
      </c>
      <c r="DV18" s="216">
        <v>200</v>
      </c>
      <c r="DW18" s="216">
        <v>0</v>
      </c>
      <c r="DX18" s="215">
        <v>40</v>
      </c>
      <c r="DY18" s="219"/>
      <c r="DZ18" s="211" t="s">
        <v>784</v>
      </c>
      <c r="EA18" s="211" t="s">
        <v>785</v>
      </c>
      <c r="EB18" s="136"/>
      <c r="EC18" s="136"/>
      <c r="ED18" s="118">
        <f>IFERROR(VLOOKUP(A18,站前4樓!A:BF,57,0),0)</f>
        <v>74</v>
      </c>
      <c r="EE18" s="213">
        <f>IFERROR(VLOOKUP(A18,站前11樓!A:BE,57,0),0)</f>
        <v>0</v>
      </c>
      <c r="EF18" s="118">
        <f>IFERROR(VLOOKUP(A18,忠孝7樓!A:N,57,0),0)</f>
        <v>0</v>
      </c>
      <c r="EG18" s="118">
        <f>IFERROR(VLOOKUP(A18,忠孝國際醫學3樓!A:L,57,0),0)</f>
        <v>0</v>
      </c>
      <c r="EH18" s="118">
        <f t="shared" si="7"/>
        <v>74</v>
      </c>
      <c r="EJ18" s="118">
        <v>132</v>
      </c>
      <c r="EK18" s="118">
        <v>43</v>
      </c>
    </row>
    <row r="19" spans="1:141" s="118" customFormat="1" ht="15.75" customHeight="1">
      <c r="A19" s="136" t="s">
        <v>33</v>
      </c>
      <c r="B19" s="118">
        <v>6210003</v>
      </c>
      <c r="C19" s="118" t="s">
        <v>608</v>
      </c>
      <c r="D19" s="197">
        <v>20</v>
      </c>
      <c r="E19" s="198" t="s">
        <v>15</v>
      </c>
      <c r="F19" s="199">
        <f>SUMIF(站前4樓!B:B,B19,站前4樓!F:F)</f>
        <v>14</v>
      </c>
      <c r="G19" s="199">
        <f>SUMIF(站前11樓!B:B,B19,站前11樓!F:F)</f>
        <v>0</v>
      </c>
      <c r="H19" s="199">
        <f>SUMIF(忠孝7樓!B:B,B19,忠孝7樓!G:G)</f>
        <v>13</v>
      </c>
      <c r="I19" s="199">
        <f>SUMIF(忠孝國際醫學3樓!B:B,B19,忠孝國際醫學3樓!G:G)</f>
        <v>0</v>
      </c>
      <c r="J19" s="199">
        <f>SUMIF(忠孝健康7樓!B:B,B19,忠孝健康7樓!G:G)</f>
        <v>14</v>
      </c>
      <c r="K19" s="200">
        <v>0</v>
      </c>
      <c r="L19" s="200">
        <v>0</v>
      </c>
      <c r="M19" s="200">
        <v>0</v>
      </c>
      <c r="N19" s="200">
        <v>0</v>
      </c>
      <c r="O19" s="200">
        <v>0</v>
      </c>
      <c r="P19" s="200">
        <v>0</v>
      </c>
      <c r="Q19" s="200">
        <v>0</v>
      </c>
      <c r="R19" s="200">
        <v>0</v>
      </c>
      <c r="S19" s="200">
        <v>0</v>
      </c>
      <c r="T19" s="200">
        <v>0</v>
      </c>
      <c r="U19" s="200">
        <v>0</v>
      </c>
      <c r="V19" s="200">
        <v>0</v>
      </c>
      <c r="W19" s="200">
        <v>0</v>
      </c>
      <c r="X19" s="200">
        <v>0</v>
      </c>
      <c r="Y19" s="200">
        <v>0</v>
      </c>
      <c r="Z19" s="200">
        <v>0</v>
      </c>
      <c r="AA19" s="200">
        <v>0</v>
      </c>
      <c r="AB19" s="200">
        <v>1</v>
      </c>
      <c r="AC19" s="200">
        <v>0</v>
      </c>
      <c r="AD19" s="200">
        <v>0</v>
      </c>
      <c r="AE19" s="200">
        <v>0</v>
      </c>
      <c r="AF19" s="200">
        <v>0</v>
      </c>
      <c r="AG19" s="200">
        <v>0</v>
      </c>
      <c r="AH19" s="200">
        <v>0</v>
      </c>
      <c r="AI19" s="200">
        <v>0</v>
      </c>
      <c r="AJ19" s="201">
        <v>0.05</v>
      </c>
      <c r="AK19" s="201">
        <v>0.05</v>
      </c>
      <c r="AL19" s="201">
        <v>0</v>
      </c>
      <c r="AM19" s="201">
        <v>0.15</v>
      </c>
      <c r="AN19" s="201">
        <v>0.05</v>
      </c>
      <c r="AO19" s="201">
        <v>0.2</v>
      </c>
      <c r="AP19" s="201">
        <v>0.25</v>
      </c>
      <c r="AQ19" s="201">
        <v>1.7</v>
      </c>
      <c r="AR19" s="201">
        <v>0.35</v>
      </c>
      <c r="AS19" s="201">
        <v>0</v>
      </c>
      <c r="AT19" s="202">
        <v>0.35</v>
      </c>
      <c r="AU19" s="203">
        <v>2</v>
      </c>
      <c r="AV19" s="204">
        <f t="shared" si="0"/>
        <v>5.15</v>
      </c>
      <c r="AW19" s="205">
        <f t="shared" si="1"/>
        <v>0.4291666666666667</v>
      </c>
      <c r="AX19" s="203">
        <v>4</v>
      </c>
      <c r="AY19" s="203">
        <v>3</v>
      </c>
      <c r="AZ19" s="203">
        <v>5</v>
      </c>
      <c r="BA19" s="203">
        <v>13</v>
      </c>
      <c r="BB19" s="203">
        <v>8</v>
      </c>
      <c r="BC19" s="203">
        <f>SUMIFS(領用表!$L:$L,領用表!$A:$A,BC$2,領用表!$E:$E,B19)</f>
        <v>32</v>
      </c>
      <c r="BD19" s="206">
        <f>SUMIFS(領用表!$L:$L,領用表!$E:$E,$B19,領用表!$B:$B,BC$2&amp;BD$2)</f>
        <v>32</v>
      </c>
      <c r="BE19" s="206">
        <f>SUMIFS(領用表!$L:$L,領用表!$E:$E,$B19,領用表!$B:$B,$BC$2&amp;BE$2)</f>
        <v>0</v>
      </c>
      <c r="BF19" s="206">
        <f>SUMIFS(領用表!$L:$L,領用表!$E:$E,$B19,領用表!$B:$B,$BC$2&amp;BF$2)</f>
        <v>0</v>
      </c>
      <c r="BG19" s="206">
        <f>SUMIFS(領用表!$L:$L,領用表!$E:$E,$B19,領用表!$B:$B,$BC$2&amp;BG$2)</f>
        <v>0</v>
      </c>
      <c r="BH19" s="203">
        <f>SUMIFS(領用表!$L:$L,領用表!$A:$A,BH$2,領用表!$E:$E,B19)</f>
        <v>41</v>
      </c>
      <c r="BI19" s="206">
        <f>SUMIFS(領用表!$L:$L,領用表!$E:$E,$B19,領用表!$B:$B,BH$2&amp;BI$2)</f>
        <v>38</v>
      </c>
      <c r="BJ19" s="206">
        <f>SUMIFS(領用表!$L:$L,領用表!$E:$E,$B19,領用表!$B:$B,$BH$2&amp;BJ$2)</f>
        <v>0</v>
      </c>
      <c r="BK19" s="206">
        <f>SUMIFS(領用表!$L:$L,領用表!$E:$E,$B19,領用表!$B:$B,$BH$2&amp;BK$2)</f>
        <v>3</v>
      </c>
      <c r="BL19" s="206">
        <f>SUMIFS(領用表!$L:$L,領用表!$E:$E,$B19,領用表!$B:$B,$BH$2&amp;BL$2)</f>
        <v>0</v>
      </c>
      <c r="BM19" s="203">
        <f>SUMIFS(領用表!$L:$L,領用表!$A:$A,BM$2,領用表!$E:$E,B19)</f>
        <v>53</v>
      </c>
      <c r="BN19" s="206">
        <f>SUMIFS(領用表!$L:$L,領用表!$E:$E,$B19,領用表!$B:$B,BM$2&amp;BN$2)</f>
        <v>48</v>
      </c>
      <c r="BO19" s="206">
        <f>SUMIFS(領用表!$L:$L,領用表!$E:$E,$B19,領用表!$B:$B,$BM$2&amp;BO$2)</f>
        <v>0</v>
      </c>
      <c r="BP19" s="206">
        <f>SUMIFS(領用表!$L:$L,領用表!$E:$E,$B19,領用表!$B:$B,$BM$2&amp;BP$2)</f>
        <v>5</v>
      </c>
      <c r="BQ19" s="206">
        <f>SUMIFS(領用表!$L:$L,領用表!$E:$E,$B19,領用表!$B:$B,$BM$2&amp;BQ$2)</f>
        <v>0</v>
      </c>
      <c r="BR19" s="203">
        <f>SUMIFS(領用表!$L:$L,領用表!$A:$A,BR$2,領用表!$E:$E,B19)</f>
        <v>32</v>
      </c>
      <c r="BS19" s="206">
        <f>SUMIFS(領用表!$L:$L,領用表!$E:$E,$B19,領用表!$B:$B,BR$2&amp;BS$2)</f>
        <v>28</v>
      </c>
      <c r="BT19" s="206">
        <f>SUMIFS(領用表!$L:$L,領用表!$E:$E,$B19,領用表!$B:$B,$BR$2&amp;BT$2)</f>
        <v>0</v>
      </c>
      <c r="BU19" s="206">
        <f>SUMIFS(領用表!$L:$L,領用表!$E:$E,$B19,領用表!$B:$B,$BR$2&amp;BU$2)</f>
        <v>4</v>
      </c>
      <c r="BV19" s="206">
        <f>SUMIFS(領用表!$L:$L,領用表!$E:$E,$B19,領用表!$B:$B,$BR$2&amp;BV$2)</f>
        <v>0</v>
      </c>
      <c r="BW19" s="208">
        <f>SUMIFS(領用表!$L:$L,領用表!$A:$A,BW$2,領用表!$E:$E,B19)</f>
        <v>49</v>
      </c>
      <c r="BX19" s="216">
        <f>SUMIFS(領用表!$L:$L,領用表!$E:$E,$B19,領用表!$B:$B,BW$2&amp;BX$2)</f>
        <v>18</v>
      </c>
      <c r="BY19" s="216">
        <f>SUMIFS(領用表!$L:$L,領用表!$E:$E,$B19,領用表!$B:$B,$BW$2&amp;BY$2)</f>
        <v>0</v>
      </c>
      <c r="BZ19" s="216">
        <f>SUMIFS(領用表!$L:$L,領用表!$E:$E,$B19,領用表!$B:$B,$BW$2&amp;BZ$2)</f>
        <v>31</v>
      </c>
      <c r="CA19" s="216">
        <f>SUMIFS(領用表!$L:$L,領用表!$E:$E,$B19,領用表!$B:$B,$BW$2&amp;CA$2)</f>
        <v>0</v>
      </c>
      <c r="CB19" s="208">
        <f>SUMIFS(領用表!$L:$L,領用表!$A:$A,CB$2,領用表!$E:$E,B19)</f>
        <v>48</v>
      </c>
      <c r="CC19" s="216">
        <f>SUMIFS(領用表!$L:$L,領用表!$E:$E,$B19,領用表!$B:$B,CB$2&amp;CC$2)</f>
        <v>19</v>
      </c>
      <c r="CD19" s="216">
        <f>SUMIFS(領用表!$L:$L,領用表!$E:$E,$B19,領用表!$B:$B,$CB$2&amp;CD$2)</f>
        <v>0</v>
      </c>
      <c r="CE19" s="216">
        <f>SUMIFS(領用表!$L:$L,領用表!$E:$E,$B19,領用表!$B:$B,$CB$2&amp;CE$2)</f>
        <v>29</v>
      </c>
      <c r="CF19" s="216">
        <f>SUMIFS(領用表!$L:$L,領用表!$E:$E,$B19,領用表!$B:$B,$CB$2&amp;CF$2)</f>
        <v>0</v>
      </c>
      <c r="CG19" s="217">
        <f>SUMIFS(領用表!$L:$L,領用表!$A:$A,CG$2,領用表!$E:$E,B19)</f>
        <v>78</v>
      </c>
      <c r="CH19" s="216">
        <f>SUMIFS(領用表!$L:$L,領用表!$E:$E,$B19,領用表!$B:$B,CG$2&amp;CH$2)</f>
        <v>24</v>
      </c>
      <c r="CI19" s="216">
        <f>SUMIFS(領用表!$L:$L,領用表!$E:$E,$B19,領用表!$B:$B,CG$2&amp;CI$2)</f>
        <v>0</v>
      </c>
      <c r="CJ19" s="216">
        <f>SUMIFS(領用表!$L:$L,領用表!$E:$E,$B19,領用表!$B:$B,CG$2&amp;CJ$2)</f>
        <v>54</v>
      </c>
      <c r="CK19" s="216">
        <f>SUMIFS(領用表!$L:$L,領用表!$E:$E,$B19,領用表!$B:$B,$CG$2&amp;CK$2)</f>
        <v>0</v>
      </c>
      <c r="CL19" s="207">
        <f t="shared" si="3"/>
        <v>366</v>
      </c>
      <c r="CM19" s="207">
        <f t="shared" si="4"/>
        <v>30.5</v>
      </c>
      <c r="CN19" s="217">
        <f>SUMIFS(領用表!$L:$L,領用表!$A:$A,CN$2,領用表!$E:$E,B19)</f>
        <v>40</v>
      </c>
      <c r="CO19" s="216">
        <f>SUMIFS(領用表!$L:$L,領用表!$E:$E,$B19,領用表!$B:$B,CN$2&amp;CO$2)</f>
        <v>15</v>
      </c>
      <c r="CP19" s="216">
        <f>SUMIFS(領用表!$L:$L,領用表!$E:$E,$B19,領用表!$B:$B,$CN$2&amp;CP$2)</f>
        <v>1</v>
      </c>
      <c r="CQ19" s="216">
        <f>SUMIFS(領用表!$L:$L,領用表!$E:$E,$B19,領用表!$B:$B,$CN$2&amp;CQ$2)</f>
        <v>24</v>
      </c>
      <c r="CR19" s="216">
        <f>SUMIFS(領用表!$L:$L,領用表!$E:$E,$B19,領用表!$B:$B,$CN$2&amp;CR$2)</f>
        <v>0</v>
      </c>
      <c r="CS19" s="208">
        <f>SUMIFS(領用表!$L:$L,領用表!$A:$A,CS$2,領用表!$E:$E,B19)</f>
        <v>24</v>
      </c>
      <c r="CT19" s="216">
        <f>SUMIFS(領用表!$L:$L,領用表!$E:$E,$B19,領用表!$B:$B,CS$2&amp;CT$2)</f>
        <v>9</v>
      </c>
      <c r="CU19" s="216">
        <f>SUMIFS(領用表!$L:$L,領用表!$E:$E,$B19,領用表!$B:$B,$CS$2&amp;CU$2)</f>
        <v>0</v>
      </c>
      <c r="CV19" s="216">
        <f>SUMIFS(領用表!$L:$L,領用表!$E:$E,$B19,領用表!$B:$B,$CS$2&amp;CV$2)</f>
        <v>15</v>
      </c>
      <c r="CW19" s="216">
        <f>SUMIFS(領用表!$L:$L,領用表!$E:$E,$B19,領用表!$B:$B,$CS$2&amp;CW$2)</f>
        <v>0</v>
      </c>
      <c r="CX19" s="216">
        <f>SUMIFS(領用表!$L:$L,領用表!$E:$E,$B19,領用表!$B:$B,$CS$2&amp;CX$2)</f>
        <v>0</v>
      </c>
      <c r="CY19" s="208">
        <f>SUMIFS(領用表!$L:$L,領用表!$A:$A,CY$2,領用表!$E:$E,B19)</f>
        <v>43</v>
      </c>
      <c r="CZ19" s="216">
        <f>SUMIFS(領用表!$L:$L,領用表!$E:$E,$B19,領用表!$B:$B,CY$2&amp;CZ$2)</f>
        <v>15</v>
      </c>
      <c r="DA19" s="216">
        <f>SUMIFS(領用表!$L:$L,領用表!$E:$E,$B19,領用表!$B:$B,$CY$2&amp;DA$2)</f>
        <v>0</v>
      </c>
      <c r="DB19" s="216">
        <f>SUMIFS(領用表!$L:$L,領用表!$E:$E,$B19,領用表!$B:$B,$CY$2&amp;DB$2)</f>
        <v>22</v>
      </c>
      <c r="DC19" s="216">
        <f>SUMIFS(領用表!$L:$L,領用表!$E:$E,$B19,領用表!$B:$B,$CY$2&amp;DC$2)</f>
        <v>0</v>
      </c>
      <c r="DD19" s="216">
        <f>SUMIFS(領用表!$L:$L,領用表!$E:$E,$B19,領用表!$B:$B,$CY$2&amp;DD$2)</f>
        <v>6</v>
      </c>
      <c r="DE19" s="208">
        <f>SUMIFS(領用表!$L:$L,領用表!$A:$A,DE$2,領用表!$E:$E,B19)</f>
        <v>46</v>
      </c>
      <c r="DF19" s="216">
        <f>SUMIFS(領用表!$L:$L,領用表!$E:$E,$B19,領用表!$B:$B,DE$2&amp;DF$2)</f>
        <v>14</v>
      </c>
      <c r="DG19" s="216">
        <f>SUMIFS(領用表!$L:$L,領用表!$E:$E,$B19,領用表!$B:$B,$DE$2&amp;DG$2)</f>
        <v>0</v>
      </c>
      <c r="DH19" s="216">
        <f>SUMIFS(領用表!$L:$L,領用表!$E:$E,$B19,領用表!$B:$B,$DE$2&amp;DH$2)</f>
        <v>26</v>
      </c>
      <c r="DI19" s="216">
        <f>SUMIFS(領用表!$L:$L,領用表!$E:$E,$B19,領用表!$B:$B,$DE$2&amp;DI$2)</f>
        <v>0</v>
      </c>
      <c r="DJ19" s="216">
        <f>SUMIFS(領用表!$L:$L,領用表!$E:$E,$B19,領用表!$B:$B,$DE$2&amp;DJ$2)</f>
        <v>6</v>
      </c>
      <c r="DK19" s="208">
        <f>SUMIFS(領用表!$L:$L,領用表!$A:$A,DK$2,領用表!$E:$E,$B19)</f>
        <v>49</v>
      </c>
      <c r="DL19" s="216">
        <f>SUMIFS(領用表!$L:$L,領用表!$E:$E,$B19,領用表!$B:$B,DK$2&amp;DL$2)</f>
        <v>18</v>
      </c>
      <c r="DM19" s="216">
        <f>SUMIFS(領用表!$L:$L,領用表!$E:$E,$B19,領用表!$B:$B,$DK$2&amp;DM$2)</f>
        <v>0</v>
      </c>
      <c r="DN19" s="216">
        <f>SUMIFS(領用表!$L:$L,領用表!$E:$E,$B19,領用表!$B:$B,$DK$2&amp;DN$2)</f>
        <v>28</v>
      </c>
      <c r="DO19" s="216">
        <f>SUMIFS(領用表!$L:$L,領用表!$E:$E,$B19,領用表!$B:$B,$DK$2&amp;DO$2)</f>
        <v>0</v>
      </c>
      <c r="DP19" s="216">
        <f>SUMIFS(領用表!$L:$L,領用表!$E:$E,$B19,領用表!$B:$B,$DK$2&amp;DP$2)</f>
        <v>3</v>
      </c>
      <c r="DQ19" s="216">
        <f t="shared" si="2"/>
        <v>202</v>
      </c>
      <c r="DR19" s="216">
        <f t="shared" si="5"/>
        <v>40.4</v>
      </c>
      <c r="DS19" s="216">
        <f t="shared" si="6"/>
        <v>50</v>
      </c>
      <c r="DT19" s="216">
        <v>20</v>
      </c>
      <c r="DU19" s="216">
        <v>0</v>
      </c>
      <c r="DV19" s="216">
        <v>30</v>
      </c>
      <c r="DW19" s="216">
        <v>0</v>
      </c>
      <c r="DX19" s="215">
        <v>20</v>
      </c>
      <c r="DY19" s="219"/>
      <c r="DZ19" s="211" t="s">
        <v>786</v>
      </c>
      <c r="EA19" s="211" t="s">
        <v>787</v>
      </c>
      <c r="EB19" s="136"/>
      <c r="EC19" s="212"/>
      <c r="ED19" s="118">
        <f>IFERROR(VLOOKUP(A19,站前4樓!A:BF,57,0),0)</f>
        <v>19</v>
      </c>
      <c r="EE19" s="213">
        <f>IFERROR(VLOOKUP(A19,站前11樓!A:BE,57,0),0)</f>
        <v>0</v>
      </c>
      <c r="EF19" s="118">
        <f>IFERROR(VLOOKUP(A19,忠孝7樓!A:N,57,0),0)</f>
        <v>0</v>
      </c>
      <c r="EG19" s="118">
        <f>IFERROR(VLOOKUP(A19,忠孝國際醫學3樓!A:L,57,0),0)</f>
        <v>0</v>
      </c>
      <c r="EH19" s="118">
        <f t="shared" si="7"/>
        <v>19</v>
      </c>
      <c r="EJ19" s="118">
        <v>28</v>
      </c>
      <c r="EK19" s="118">
        <v>9</v>
      </c>
    </row>
    <row r="20" spans="1:141" s="118" customFormat="1" ht="15.75" customHeight="1">
      <c r="A20" s="136" t="s">
        <v>36</v>
      </c>
      <c r="B20" s="118">
        <v>6210005</v>
      </c>
      <c r="C20" s="131" t="s">
        <v>467</v>
      </c>
      <c r="D20" s="197">
        <v>20</v>
      </c>
      <c r="E20" s="198" t="s">
        <v>15</v>
      </c>
      <c r="F20" s="199">
        <f>SUMIF(站前4樓!B:B,B20,站前4樓!F:F)</f>
        <v>7</v>
      </c>
      <c r="G20" s="199">
        <f>SUMIF(站前11樓!B:B,B20,站前11樓!F:F)</f>
        <v>0</v>
      </c>
      <c r="H20" s="199">
        <f>SUMIF(忠孝7樓!B:B,B20,忠孝7樓!G:G)</f>
        <v>0</v>
      </c>
      <c r="I20" s="199">
        <f>SUMIF(忠孝國際醫學3樓!B:B,B20,忠孝國際醫學3樓!G:G)</f>
        <v>0</v>
      </c>
      <c r="J20" s="199">
        <f>SUMIF(忠孝健康7樓!B:B,B20,忠孝健康7樓!G:G)</f>
        <v>0</v>
      </c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1"/>
      <c r="AK20" s="221"/>
      <c r="AL20" s="221"/>
      <c r="AM20" s="221"/>
      <c r="AN20" s="221"/>
      <c r="AO20" s="221"/>
      <c r="AP20" s="221"/>
      <c r="AQ20" s="221">
        <v>0</v>
      </c>
      <c r="AR20" s="221">
        <v>0</v>
      </c>
      <c r="AS20" s="201">
        <v>0</v>
      </c>
      <c r="AT20" s="202">
        <v>0</v>
      </c>
      <c r="AU20" s="203">
        <v>0</v>
      </c>
      <c r="AV20" s="204">
        <f t="shared" si="0"/>
        <v>0</v>
      </c>
      <c r="AW20" s="205">
        <f t="shared" si="1"/>
        <v>0</v>
      </c>
      <c r="AX20" s="203">
        <v>0</v>
      </c>
      <c r="AY20" s="203">
        <v>63</v>
      </c>
      <c r="AZ20" s="203">
        <v>1</v>
      </c>
      <c r="BA20" s="203">
        <v>3</v>
      </c>
      <c r="BB20" s="203">
        <v>3</v>
      </c>
      <c r="BC20" s="203">
        <f>SUMIFS(領用表!$L:$L,領用表!$A:$A,BC$2,領用表!$E:$E,B20)</f>
        <v>1</v>
      </c>
      <c r="BD20" s="206">
        <f>SUMIFS(領用表!$L:$L,領用表!$E:$E,$B20,領用表!$B:$B,BC$2&amp;BD$2)</f>
        <v>1</v>
      </c>
      <c r="BE20" s="206">
        <f>SUMIFS(領用表!$L:$L,領用表!$E:$E,$B20,領用表!$B:$B,$BC$2&amp;BE$2)</f>
        <v>0</v>
      </c>
      <c r="BF20" s="206">
        <f>SUMIFS(領用表!$L:$L,領用表!$E:$E,$B20,領用表!$B:$B,$BC$2&amp;BF$2)</f>
        <v>0</v>
      </c>
      <c r="BG20" s="206">
        <f>SUMIFS(領用表!$L:$L,領用表!$E:$E,$B20,領用表!$B:$B,$BC$2&amp;BG$2)</f>
        <v>0</v>
      </c>
      <c r="BH20" s="203">
        <f>SUMIFS(領用表!$L:$L,領用表!$A:$A,BH$2,領用表!$E:$E,B20)</f>
        <v>2</v>
      </c>
      <c r="BI20" s="206">
        <f>SUMIFS(領用表!$L:$L,領用表!$E:$E,$B20,領用表!$B:$B,BH$2&amp;BI$2)</f>
        <v>2</v>
      </c>
      <c r="BJ20" s="206">
        <f>SUMIFS(領用表!$L:$L,領用表!$E:$E,$B20,領用表!$B:$B,$BH$2&amp;BJ$2)</f>
        <v>0</v>
      </c>
      <c r="BK20" s="206">
        <f>SUMIFS(領用表!$L:$L,領用表!$E:$E,$B20,領用表!$B:$B,$BH$2&amp;BK$2)</f>
        <v>0</v>
      </c>
      <c r="BL20" s="206">
        <f>SUMIFS(領用表!$L:$L,領用表!$E:$E,$B20,領用表!$B:$B,$BH$2&amp;BL$2)</f>
        <v>0</v>
      </c>
      <c r="BM20" s="203">
        <f>SUMIFS(領用表!$L:$L,領用表!$A:$A,BM$2,領用表!$E:$E,B20)</f>
        <v>1</v>
      </c>
      <c r="BN20" s="206">
        <f>SUMIFS(領用表!$L:$L,領用表!$E:$E,$B20,領用表!$B:$B,BM$2&amp;BN$2)</f>
        <v>1</v>
      </c>
      <c r="BO20" s="206">
        <f>SUMIFS(領用表!$L:$L,領用表!$E:$E,$B20,領用表!$B:$B,$BM$2&amp;BO$2)</f>
        <v>0</v>
      </c>
      <c r="BP20" s="206">
        <f>SUMIFS(領用表!$L:$L,領用表!$E:$E,$B20,領用表!$B:$B,$BM$2&amp;BP$2)</f>
        <v>0</v>
      </c>
      <c r="BQ20" s="206">
        <f>SUMIFS(領用表!$L:$L,領用表!$E:$E,$B20,領用表!$B:$B,$BM$2&amp;BQ$2)</f>
        <v>0</v>
      </c>
      <c r="BR20" s="203">
        <f>SUMIFS(領用表!$L:$L,領用表!$A:$A,BR$2,領用表!$E:$E,B20)</f>
        <v>6</v>
      </c>
      <c r="BS20" s="206">
        <f>SUMIFS(領用表!$L:$L,領用表!$E:$E,$B20,領用表!$B:$B,BR$2&amp;BS$2)</f>
        <v>6</v>
      </c>
      <c r="BT20" s="206">
        <f>SUMIFS(領用表!$L:$L,領用表!$E:$E,$B20,領用表!$B:$B,$BR$2&amp;BT$2)</f>
        <v>0</v>
      </c>
      <c r="BU20" s="206">
        <f>SUMIFS(領用表!$L:$L,領用表!$E:$E,$B20,領用表!$B:$B,$BR$2&amp;BU$2)</f>
        <v>0</v>
      </c>
      <c r="BV20" s="206">
        <f>SUMIFS(領用表!$L:$L,領用表!$E:$E,$B20,領用表!$B:$B,$BR$2&amp;BV$2)</f>
        <v>0</v>
      </c>
      <c r="BW20" s="208">
        <f>SUMIFS(領用表!$L:$L,領用表!$A:$A,BW$2,領用表!$E:$E,B20)</f>
        <v>4</v>
      </c>
      <c r="BX20" s="216">
        <f>SUMIFS(領用表!$L:$L,領用表!$E:$E,$B20,領用表!$B:$B,BW$2&amp;BX$2)</f>
        <v>4</v>
      </c>
      <c r="BY20" s="216">
        <f>SUMIFS(領用表!$L:$L,領用表!$E:$E,$B20,領用表!$B:$B,$BW$2&amp;BY$2)</f>
        <v>0</v>
      </c>
      <c r="BZ20" s="216">
        <f>SUMIFS(領用表!$L:$L,領用表!$E:$E,$B20,領用表!$B:$B,$BW$2&amp;BZ$2)</f>
        <v>0</v>
      </c>
      <c r="CA20" s="216">
        <f>SUMIFS(領用表!$L:$L,領用表!$E:$E,$B20,領用表!$B:$B,$BW$2&amp;CA$2)</f>
        <v>0</v>
      </c>
      <c r="CB20" s="208">
        <f>SUMIFS(領用表!$L:$L,領用表!$A:$A,CB$2,領用表!$E:$E,B20)</f>
        <v>3</v>
      </c>
      <c r="CC20" s="216">
        <f>SUMIFS(領用表!$L:$L,領用表!$E:$E,$B20,領用表!$B:$B,CB$2&amp;CC$2)</f>
        <v>3</v>
      </c>
      <c r="CD20" s="216">
        <f>SUMIFS(領用表!$L:$L,領用表!$E:$E,$B20,領用表!$B:$B,$CB$2&amp;CD$2)</f>
        <v>0</v>
      </c>
      <c r="CE20" s="216">
        <f>SUMIFS(領用表!$L:$L,領用表!$E:$E,$B20,領用表!$B:$B,$CB$2&amp;CE$2)</f>
        <v>0</v>
      </c>
      <c r="CF20" s="216">
        <f>SUMIFS(領用表!$L:$L,領用表!$E:$E,$B20,領用表!$B:$B,$CB$2&amp;CF$2)</f>
        <v>0</v>
      </c>
      <c r="CG20" s="217">
        <f>SUMIFS(領用表!$L:$L,領用表!$A:$A,CG$2,領用表!$E:$E,B20)</f>
        <v>5</v>
      </c>
      <c r="CH20" s="216">
        <f>SUMIFS(領用表!$L:$L,領用表!$E:$E,$B20,領用表!$B:$B,CG$2&amp;CH$2)</f>
        <v>5</v>
      </c>
      <c r="CI20" s="216">
        <f>SUMIFS(領用表!$L:$L,領用表!$E:$E,$B20,領用表!$B:$B,CG$2&amp;CI$2)</f>
        <v>0</v>
      </c>
      <c r="CJ20" s="216">
        <f>SUMIFS(領用表!$L:$L,領用表!$E:$E,$B20,領用表!$B:$B,CG$2&amp;CJ$2)</f>
        <v>0</v>
      </c>
      <c r="CK20" s="216">
        <f>SUMIFS(領用表!$L:$L,領用表!$E:$E,$B20,領用表!$B:$B,$CG$2&amp;CK$2)</f>
        <v>0</v>
      </c>
      <c r="CL20" s="207">
        <f t="shared" si="3"/>
        <v>92</v>
      </c>
      <c r="CM20" s="207">
        <f t="shared" si="4"/>
        <v>7.666666666666667</v>
      </c>
      <c r="CN20" s="217">
        <f>SUMIFS(領用表!$L:$L,領用表!$A:$A,CN$2,領用表!$E:$E,B20)</f>
        <v>2</v>
      </c>
      <c r="CO20" s="216">
        <f>SUMIFS(領用表!$L:$L,領用表!$E:$E,$B20,領用表!$B:$B,CN$2&amp;CO$2)</f>
        <v>1</v>
      </c>
      <c r="CP20" s="216">
        <f>SUMIFS(領用表!$L:$L,領用表!$E:$E,$B20,領用表!$B:$B,$CN$2&amp;CP$2)</f>
        <v>1</v>
      </c>
      <c r="CQ20" s="216">
        <f>SUMIFS(領用表!$L:$L,領用表!$E:$E,$B20,領用表!$B:$B,$CN$2&amp;CQ$2)</f>
        <v>0</v>
      </c>
      <c r="CR20" s="216">
        <f>SUMIFS(領用表!$L:$L,領用表!$E:$E,$B20,領用表!$B:$B,$CN$2&amp;CR$2)</f>
        <v>0</v>
      </c>
      <c r="CS20" s="208">
        <f>SUMIFS(領用表!$L:$L,領用表!$A:$A,CS$2,領用表!$E:$E,B20)</f>
        <v>1</v>
      </c>
      <c r="CT20" s="216">
        <f>SUMIFS(領用表!$L:$L,領用表!$E:$E,$B20,領用表!$B:$B,CS$2&amp;CT$2)</f>
        <v>1</v>
      </c>
      <c r="CU20" s="216">
        <f>SUMIFS(領用表!$L:$L,領用表!$E:$E,$B20,領用表!$B:$B,$CS$2&amp;CU$2)</f>
        <v>0</v>
      </c>
      <c r="CV20" s="216">
        <f>SUMIFS(領用表!$L:$L,領用表!$E:$E,$B20,領用表!$B:$B,$CS$2&amp;CV$2)</f>
        <v>0</v>
      </c>
      <c r="CW20" s="216">
        <f>SUMIFS(領用表!$L:$L,領用表!$E:$E,$B20,領用表!$B:$B,$CS$2&amp;CW$2)</f>
        <v>0</v>
      </c>
      <c r="CX20" s="216">
        <f>SUMIFS(領用表!$L:$L,領用表!$E:$E,$B20,領用表!$B:$B,$CS$2&amp;CX$2)</f>
        <v>0</v>
      </c>
      <c r="CY20" s="208">
        <f>SUMIFS(領用表!$L:$L,領用表!$A:$A,CY$2,領用表!$E:$E,B20)</f>
        <v>6</v>
      </c>
      <c r="CZ20" s="216">
        <f>SUMIFS(領用表!$L:$L,領用表!$E:$E,$B20,領用表!$B:$B,CY$2&amp;CZ$2)</f>
        <v>6</v>
      </c>
      <c r="DA20" s="216">
        <f>SUMIFS(領用表!$L:$L,領用表!$E:$E,$B20,領用表!$B:$B,$CY$2&amp;DA$2)</f>
        <v>0</v>
      </c>
      <c r="DB20" s="216">
        <f>SUMIFS(領用表!$L:$L,領用表!$E:$E,$B20,領用表!$B:$B,$CY$2&amp;DB$2)</f>
        <v>0</v>
      </c>
      <c r="DC20" s="216">
        <f>SUMIFS(領用表!$L:$L,領用表!$E:$E,$B20,領用表!$B:$B,$CY$2&amp;DC$2)</f>
        <v>0</v>
      </c>
      <c r="DD20" s="216">
        <f>SUMIFS(領用表!$L:$L,領用表!$E:$E,$B20,領用表!$B:$B,$CY$2&amp;DD$2)</f>
        <v>0</v>
      </c>
      <c r="DE20" s="208">
        <f>SUMIFS(領用表!$L:$L,領用表!$A:$A,DE$2,領用表!$E:$E,B20)</f>
        <v>0</v>
      </c>
      <c r="DF20" s="216">
        <f>SUMIFS(領用表!$L:$L,領用表!$E:$E,$B20,領用表!$B:$B,DE$2&amp;DF$2)</f>
        <v>0</v>
      </c>
      <c r="DG20" s="216">
        <f>SUMIFS(領用表!$L:$L,領用表!$E:$E,$B20,領用表!$B:$B,$DE$2&amp;DG$2)</f>
        <v>0</v>
      </c>
      <c r="DH20" s="216">
        <f>SUMIFS(領用表!$L:$L,領用表!$E:$E,$B20,領用表!$B:$B,$DE$2&amp;DH$2)</f>
        <v>0</v>
      </c>
      <c r="DI20" s="216">
        <f>SUMIFS(領用表!$L:$L,領用表!$E:$E,$B20,領用表!$B:$B,$DE$2&amp;DI$2)</f>
        <v>0</v>
      </c>
      <c r="DJ20" s="216">
        <f>SUMIFS(領用表!$L:$L,領用表!$E:$E,$B20,領用表!$B:$B,$DE$2&amp;DJ$2)</f>
        <v>0</v>
      </c>
      <c r="DK20" s="208">
        <f>SUMIFS(領用表!$L:$L,領用表!$A:$A,DK$2,領用表!$E:$E,$B20)</f>
        <v>0</v>
      </c>
      <c r="DL20" s="216">
        <f>SUMIFS(領用表!$L:$L,領用表!$E:$E,$B20,領用表!$B:$B,DK$2&amp;DL$2)</f>
        <v>0</v>
      </c>
      <c r="DM20" s="216">
        <f>SUMIFS(領用表!$L:$L,領用表!$E:$E,$B20,領用表!$B:$B,$DK$2&amp;DM$2)</f>
        <v>0</v>
      </c>
      <c r="DN20" s="216">
        <f>SUMIFS(領用表!$L:$L,領用表!$E:$E,$B20,領用表!$B:$B,$DK$2&amp;DN$2)</f>
        <v>0</v>
      </c>
      <c r="DO20" s="216">
        <f>SUMIFS(領用表!$L:$L,領用表!$E:$E,$B20,領用表!$B:$B,$DK$2&amp;DO$2)</f>
        <v>0</v>
      </c>
      <c r="DP20" s="216">
        <f>SUMIFS(領用表!$L:$L,領用表!$E:$E,$B20,領用表!$B:$B,$DK$2&amp;DP$2)</f>
        <v>0</v>
      </c>
      <c r="DQ20" s="216">
        <f t="shared" si="2"/>
        <v>9</v>
      </c>
      <c r="DR20" s="216">
        <f t="shared" si="5"/>
        <v>1.8</v>
      </c>
      <c r="DS20" s="216">
        <f t="shared" si="6"/>
        <v>5</v>
      </c>
      <c r="DT20" s="216">
        <v>5</v>
      </c>
      <c r="DU20" s="216">
        <v>0</v>
      </c>
      <c r="DV20" s="216">
        <v>0</v>
      </c>
      <c r="DW20" s="216">
        <v>0</v>
      </c>
      <c r="DX20" s="215">
        <v>20</v>
      </c>
      <c r="DY20" s="210"/>
      <c r="DZ20" s="211"/>
      <c r="EA20" s="211"/>
      <c r="EB20" s="222"/>
      <c r="EC20" s="223"/>
      <c r="ED20" s="118">
        <f>IFERROR(VLOOKUP(A20,站前4樓!A:BF,57,0),0)</f>
        <v>3</v>
      </c>
      <c r="EE20" s="213">
        <f>IFERROR(VLOOKUP(A20,站前11樓!A:BE,57,0),0)</f>
        <v>0</v>
      </c>
      <c r="EF20" s="118">
        <f>IFERROR(VLOOKUP(A20,忠孝7樓!A:N,57,0),0)</f>
        <v>0</v>
      </c>
      <c r="EG20" s="118">
        <f>IFERROR(VLOOKUP(A20,忠孝國際醫學3樓!A:L,57,0),0)</f>
        <v>0</v>
      </c>
      <c r="EH20" s="118">
        <f t="shared" si="7"/>
        <v>3</v>
      </c>
      <c r="EJ20" s="118">
        <v>17</v>
      </c>
      <c r="EK20" s="118">
        <v>0</v>
      </c>
    </row>
    <row r="21" spans="1:141" s="118" customFormat="1" ht="15.75" customHeight="1">
      <c r="A21" s="136" t="s">
        <v>37</v>
      </c>
      <c r="B21" s="118">
        <v>6210008</v>
      </c>
      <c r="C21" s="131" t="s">
        <v>468</v>
      </c>
      <c r="D21" s="197">
        <v>33</v>
      </c>
      <c r="E21" s="198" t="s">
        <v>15</v>
      </c>
      <c r="F21" s="199">
        <f>SUMIF(站前4樓!B:B,B21,站前4樓!F:F)</f>
        <v>34</v>
      </c>
      <c r="G21" s="199">
        <f>SUMIF(站前11樓!B:B,B21,站前11樓!F:F)</f>
        <v>0</v>
      </c>
      <c r="H21" s="199">
        <f>SUMIF(忠孝7樓!B:B,B21,忠孝7樓!G:G)</f>
        <v>24</v>
      </c>
      <c r="I21" s="199">
        <f>SUMIF(忠孝國際醫學3樓!B:B,B21,忠孝國際醫學3樓!G:G)</f>
        <v>0</v>
      </c>
      <c r="J21" s="199">
        <f>SUMIF(忠孝健康7樓!B:B,B21,忠孝健康7樓!G:G)</f>
        <v>0</v>
      </c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1"/>
      <c r="AK21" s="201"/>
      <c r="AL21" s="201"/>
      <c r="AM21" s="201"/>
      <c r="AN21" s="201"/>
      <c r="AO21" s="201"/>
      <c r="AP21" s="201"/>
      <c r="AQ21" s="201"/>
      <c r="AR21" s="201"/>
      <c r="AS21" s="201"/>
      <c r="AT21" s="202"/>
      <c r="AU21" s="203"/>
      <c r="AV21" s="204"/>
      <c r="AW21" s="205"/>
      <c r="AX21" s="203"/>
      <c r="AY21" s="203"/>
      <c r="AZ21" s="203"/>
      <c r="BA21" s="203"/>
      <c r="BB21" s="203"/>
      <c r="BC21" s="203">
        <f>SUMIFS(領用表!$L:$L,領用表!$A:$A,BC$2,領用表!$E:$E,B21)</f>
        <v>0</v>
      </c>
      <c r="BD21" s="206">
        <f>SUMIFS(領用表!$L:$L,領用表!$E:$E,$B21,領用表!$B:$B,BC$2&amp;BD$2)</f>
        <v>0</v>
      </c>
      <c r="BE21" s="206">
        <f>SUMIFS(領用表!$L:$L,領用表!$E:$E,$B21,領用表!$B:$B,$BC$2&amp;BE$2)</f>
        <v>0</v>
      </c>
      <c r="BF21" s="206">
        <f>SUMIFS(領用表!$L:$L,領用表!$E:$E,$B21,領用表!$B:$B,$BC$2&amp;BF$2)</f>
        <v>0</v>
      </c>
      <c r="BG21" s="206">
        <f>SUMIFS(領用表!$L:$L,領用表!$E:$E,$B21,領用表!$B:$B,$BC$2&amp;BG$2)</f>
        <v>0</v>
      </c>
      <c r="BH21" s="203">
        <f>SUMIFS(領用表!$L:$L,領用表!$A:$A,BH$2,領用表!$E:$E,B21)</f>
        <v>0</v>
      </c>
      <c r="BI21" s="206">
        <f>SUMIFS(領用表!$L:$L,領用表!$E:$E,$B21,領用表!$B:$B,BH$2&amp;BI$2)</f>
        <v>0</v>
      </c>
      <c r="BJ21" s="206">
        <f>SUMIFS(領用表!$L:$L,領用表!$E:$E,$B21,領用表!$B:$B,$BH$2&amp;BJ$2)</f>
        <v>0</v>
      </c>
      <c r="BK21" s="206">
        <f>SUMIFS(領用表!$L:$L,領用表!$E:$E,$B21,領用表!$B:$B,$BH$2&amp;BK$2)</f>
        <v>0</v>
      </c>
      <c r="BL21" s="206">
        <f>SUMIFS(領用表!$L:$L,領用表!$E:$E,$B21,領用表!$B:$B,$BH$2&amp;BL$2)</f>
        <v>0</v>
      </c>
      <c r="BM21" s="203">
        <f>SUMIFS(領用表!$L:$L,領用表!$A:$A,BM$2,領用表!$E:$E,B21)</f>
        <v>0</v>
      </c>
      <c r="BN21" s="206">
        <f>SUMIFS(領用表!$L:$L,領用表!$E:$E,$B21,領用表!$B:$B,BM$2&amp;BN$2)</f>
        <v>0</v>
      </c>
      <c r="BO21" s="206">
        <f>SUMIFS(領用表!$L:$L,領用表!$E:$E,$B21,領用表!$B:$B,$BM$2&amp;BO$2)</f>
        <v>0</v>
      </c>
      <c r="BP21" s="206">
        <f>SUMIFS(領用表!$L:$L,領用表!$E:$E,$B21,領用表!$B:$B,$BM$2&amp;BP$2)</f>
        <v>0</v>
      </c>
      <c r="BQ21" s="206">
        <f>SUMIFS(領用表!$L:$L,領用表!$E:$E,$B21,領用表!$B:$B,$BM$2&amp;BQ$2)</f>
        <v>0</v>
      </c>
      <c r="BR21" s="203">
        <f>SUMIFS(領用表!$L:$L,領用表!$A:$A,BR$2,領用表!$E:$E,B21)</f>
        <v>0</v>
      </c>
      <c r="BS21" s="206">
        <f>SUMIFS(領用表!$L:$L,領用表!$E:$E,$B21,領用表!$B:$B,BR$2&amp;BS$2)</f>
        <v>0</v>
      </c>
      <c r="BT21" s="206">
        <f>SUMIFS(領用表!$L:$L,領用表!$E:$E,$B21,領用表!$B:$B,$BR$2&amp;BT$2)</f>
        <v>0</v>
      </c>
      <c r="BU21" s="206">
        <f>SUMIFS(領用表!$L:$L,領用表!$E:$E,$B21,領用表!$B:$B,$BR$2&amp;BU$2)</f>
        <v>0</v>
      </c>
      <c r="BV21" s="206">
        <f>SUMIFS(領用表!$L:$L,領用表!$E:$E,$B21,領用表!$B:$B,$BR$2&amp;BV$2)</f>
        <v>0</v>
      </c>
      <c r="BW21" s="208">
        <f>SUMIFS(領用表!$L:$L,領用表!$A:$A,BW$2,領用表!$E:$E,B21)</f>
        <v>0</v>
      </c>
      <c r="BX21" s="216">
        <f>SUMIFS(領用表!$L:$L,領用表!$E:$E,$B21,領用表!$B:$B,BW$2&amp;BX$2)</f>
        <v>0</v>
      </c>
      <c r="BY21" s="216">
        <f>SUMIFS(領用表!$L:$L,領用表!$E:$E,$B21,領用表!$B:$B,$BW$2&amp;BY$2)</f>
        <v>0</v>
      </c>
      <c r="BZ21" s="216">
        <f>SUMIFS(領用表!$L:$L,領用表!$E:$E,$B21,領用表!$B:$B,$BW$2&amp;BZ$2)</f>
        <v>0</v>
      </c>
      <c r="CA21" s="216">
        <f>SUMIFS(領用表!$L:$L,領用表!$E:$E,$B21,領用表!$B:$B,$BW$2&amp;CA$2)</f>
        <v>0</v>
      </c>
      <c r="CB21" s="208">
        <f>SUMIFS(領用表!$L:$L,領用表!$A:$A,CB$2,領用表!$E:$E,B21)</f>
        <v>0</v>
      </c>
      <c r="CC21" s="216">
        <f>SUMIFS(領用表!$L:$L,領用表!$E:$E,$B21,領用表!$B:$B,CB$2&amp;CC$2)</f>
        <v>0</v>
      </c>
      <c r="CD21" s="216">
        <f>SUMIFS(領用表!$L:$L,領用表!$E:$E,$B21,領用表!$B:$B,$CB$2&amp;CD$2)</f>
        <v>0</v>
      </c>
      <c r="CE21" s="216">
        <f>SUMIFS(領用表!$L:$L,領用表!$E:$E,$B21,領用表!$B:$B,$CB$2&amp;CE$2)</f>
        <v>0</v>
      </c>
      <c r="CF21" s="216">
        <f>SUMIFS(領用表!$L:$L,領用表!$E:$E,$B21,領用表!$B:$B,$CB$2&amp;CF$2)</f>
        <v>0</v>
      </c>
      <c r="CG21" s="217">
        <f>SUMIFS(領用表!$L:$L,領用表!$A:$A,CG$2,領用表!$E:$E,B21)</f>
        <v>5</v>
      </c>
      <c r="CH21" s="216">
        <f>SUMIFS(領用表!$L:$L,領用表!$E:$E,$B21,領用表!$B:$B,CG$2&amp;CH$2)</f>
        <v>3</v>
      </c>
      <c r="CI21" s="216">
        <f>SUMIFS(領用表!$L:$L,領用表!$E:$E,$B21,領用表!$B:$B,CG$2&amp;CI$2)</f>
        <v>0</v>
      </c>
      <c r="CJ21" s="216">
        <f>SUMIFS(領用表!$L:$L,領用表!$E:$E,$B21,領用表!$B:$B,CG$2&amp;CJ$2)</f>
        <v>2</v>
      </c>
      <c r="CK21" s="216">
        <f>SUMIFS(領用表!$L:$L,領用表!$E:$E,$B21,領用表!$B:$B,$CG$2&amp;CK$2)</f>
        <v>0</v>
      </c>
      <c r="CL21" s="207">
        <f t="shared" si="3"/>
        <v>5</v>
      </c>
      <c r="CM21" s="207">
        <f t="shared" si="4"/>
        <v>0.7142857142857143</v>
      </c>
      <c r="CN21" s="217">
        <f>SUMIFS(領用表!$L:$L,領用表!$A:$A,CN$2,領用表!$E:$E,B21)</f>
        <v>9</v>
      </c>
      <c r="CO21" s="216">
        <f>SUMIFS(領用表!$L:$L,領用表!$E:$E,$B21,領用表!$B:$B,CN$2&amp;CO$2)</f>
        <v>3</v>
      </c>
      <c r="CP21" s="216">
        <f>SUMIFS(領用表!$L:$L,領用表!$E:$E,$B21,領用表!$B:$B,$CN$2&amp;CP$2)</f>
        <v>0</v>
      </c>
      <c r="CQ21" s="216">
        <f>SUMIFS(領用表!$L:$L,領用表!$E:$E,$B21,領用表!$B:$B,$CN$2&amp;CQ$2)</f>
        <v>6</v>
      </c>
      <c r="CR21" s="216">
        <f>SUMIFS(領用表!$L:$L,領用表!$E:$E,$B21,領用表!$B:$B,$CN$2&amp;CR$2)</f>
        <v>0</v>
      </c>
      <c r="CS21" s="208">
        <f>SUMIFS(領用表!$L:$L,領用表!$A:$A,CS$2,領用表!$E:$E,B21)</f>
        <v>11</v>
      </c>
      <c r="CT21" s="216">
        <f>SUMIFS(領用表!$L:$L,領用表!$E:$E,$B21,領用表!$B:$B,CS$2&amp;CT$2)</f>
        <v>5</v>
      </c>
      <c r="CU21" s="216">
        <f>SUMIFS(領用表!$L:$L,領用表!$E:$E,$B21,領用表!$B:$B,$CS$2&amp;CU$2)</f>
        <v>0</v>
      </c>
      <c r="CV21" s="216">
        <f>SUMIFS(領用表!$L:$L,領用表!$E:$E,$B21,領用表!$B:$B,$CS$2&amp;CV$2)</f>
        <v>4</v>
      </c>
      <c r="CW21" s="216">
        <f>SUMIFS(領用表!$L:$L,領用表!$E:$E,$B21,領用表!$B:$B,$CS$2&amp;CW$2)</f>
        <v>0</v>
      </c>
      <c r="CX21" s="216">
        <f>SUMIFS(領用表!$L:$L,領用表!$E:$E,$B21,領用表!$B:$B,$CS$2&amp;CX$2)</f>
        <v>2</v>
      </c>
      <c r="CY21" s="208">
        <f>SUMIFS(領用表!$L:$L,領用表!$A:$A,CY$2,領用表!$E:$E,B21)</f>
        <v>7</v>
      </c>
      <c r="CZ21" s="216">
        <f>SUMIFS(領用表!$L:$L,領用表!$E:$E,$B21,領用表!$B:$B,CY$2&amp;CZ$2)</f>
        <v>5</v>
      </c>
      <c r="DA21" s="216">
        <f>SUMIFS(領用表!$L:$L,領用表!$E:$E,$B21,領用表!$B:$B,$CY$2&amp;DA$2)</f>
        <v>0</v>
      </c>
      <c r="DB21" s="216">
        <f>SUMIFS(領用表!$L:$L,領用表!$E:$E,$B21,領用表!$B:$B,$CY$2&amp;DB$2)</f>
        <v>2</v>
      </c>
      <c r="DC21" s="216">
        <f>SUMIFS(領用表!$L:$L,領用表!$E:$E,$B21,領用表!$B:$B,$CY$2&amp;DC$2)</f>
        <v>0</v>
      </c>
      <c r="DD21" s="216">
        <f>SUMIFS(領用表!$L:$L,領用表!$E:$E,$B21,領用表!$B:$B,$CY$2&amp;DD$2)</f>
        <v>0</v>
      </c>
      <c r="DE21" s="208">
        <f>SUMIFS(領用表!$L:$L,領用表!$A:$A,DE$2,領用表!$E:$E,B21)</f>
        <v>18</v>
      </c>
      <c r="DF21" s="216">
        <f>SUMIFS(領用表!$L:$L,領用表!$E:$E,$B21,領用表!$B:$B,DE$2&amp;DF$2)</f>
        <v>6</v>
      </c>
      <c r="DG21" s="216">
        <f>SUMIFS(領用表!$L:$L,領用表!$E:$E,$B21,領用表!$B:$B,$DE$2&amp;DG$2)</f>
        <v>0</v>
      </c>
      <c r="DH21" s="216">
        <f>SUMIFS(領用表!$L:$L,領用表!$E:$E,$B21,領用表!$B:$B,$DE$2&amp;DH$2)</f>
        <v>9</v>
      </c>
      <c r="DI21" s="216">
        <f>SUMIFS(領用表!$L:$L,領用表!$E:$E,$B21,領用表!$B:$B,$DE$2&amp;DI$2)</f>
        <v>0</v>
      </c>
      <c r="DJ21" s="216">
        <f>SUMIFS(領用表!$L:$L,領用表!$E:$E,$B21,領用表!$B:$B,$DE$2&amp;DJ$2)</f>
        <v>3</v>
      </c>
      <c r="DK21" s="208">
        <f>SUMIFS(領用表!$L:$L,領用表!$A:$A,DK$2,領用表!$E:$E,$B21)</f>
        <v>21</v>
      </c>
      <c r="DL21" s="216">
        <f>SUMIFS(領用表!$L:$L,領用表!$E:$E,$B21,領用表!$B:$B,DK$2&amp;DL$2)</f>
        <v>9</v>
      </c>
      <c r="DM21" s="216">
        <f>SUMIFS(領用表!$L:$L,領用表!$E:$E,$B21,領用表!$B:$B,$DK$2&amp;DM$2)</f>
        <v>0</v>
      </c>
      <c r="DN21" s="216">
        <f>SUMIFS(領用表!$L:$L,領用表!$E:$E,$B21,領用表!$B:$B,$DK$2&amp;DN$2)</f>
        <v>6</v>
      </c>
      <c r="DO21" s="216">
        <f>SUMIFS(領用表!$L:$L,領用表!$E:$E,$B21,領用表!$B:$B,$DK$2&amp;DO$2)</f>
        <v>0</v>
      </c>
      <c r="DP21" s="216">
        <f>SUMIFS(領用表!$L:$L,領用表!$E:$E,$B21,領用表!$B:$B,$DK$2&amp;DP$2)</f>
        <v>6</v>
      </c>
      <c r="DQ21" s="216">
        <f t="shared" si="2"/>
        <v>66</v>
      </c>
      <c r="DR21" s="216">
        <f t="shared" si="5"/>
        <v>13.2</v>
      </c>
      <c r="DS21" s="216">
        <f t="shared" si="6"/>
        <v>6</v>
      </c>
      <c r="DT21" s="216">
        <v>3</v>
      </c>
      <c r="DU21" s="216">
        <v>0</v>
      </c>
      <c r="DV21" s="216">
        <v>3</v>
      </c>
      <c r="DW21" s="216">
        <v>0</v>
      </c>
      <c r="DX21" s="215">
        <v>33</v>
      </c>
      <c r="DY21" s="224" t="s">
        <v>788</v>
      </c>
      <c r="DZ21" s="211"/>
      <c r="EA21" s="211"/>
      <c r="EB21" s="136"/>
      <c r="EC21" s="212"/>
      <c r="ED21" s="118">
        <f>IFERROR(VLOOKUP(A21,站前4樓!A:BF,57,0),0)</f>
        <v>0</v>
      </c>
      <c r="EE21" s="213">
        <f>IFERROR(VLOOKUP(A21,站前11樓!A:BE,57,0),0)</f>
        <v>0</v>
      </c>
      <c r="EF21" s="118">
        <f>IFERROR(VLOOKUP(A21,忠孝7樓!A:N,57,0),0)</f>
        <v>0</v>
      </c>
      <c r="EG21" s="118">
        <f>IFERROR(VLOOKUP(A21,忠孝國際醫學3樓!A:L,57,0),0)</f>
        <v>0</v>
      </c>
      <c r="EH21" s="118">
        <f t="shared" si="7"/>
        <v>0</v>
      </c>
      <c r="EJ21" s="118">
        <v>63</v>
      </c>
      <c r="EK21" s="118">
        <v>31</v>
      </c>
    </row>
    <row r="22" spans="1:141" s="118" customFormat="1" ht="15.75" customHeight="1">
      <c r="A22" s="136" t="s">
        <v>39</v>
      </c>
      <c r="C22" s="131" t="s">
        <v>469</v>
      </c>
      <c r="D22" s="197">
        <v>1</v>
      </c>
      <c r="E22" s="198" t="s">
        <v>15</v>
      </c>
      <c r="F22" s="225">
        <f>SUMIF(站前4樓!B:B,B22,站前4樓!F:F)</f>
        <v>0</v>
      </c>
      <c r="G22" s="225">
        <f>SUMIF(站前11樓!B:B,B22,站前11樓!F:F)</f>
        <v>0</v>
      </c>
      <c r="H22" s="225">
        <f>SUMIF(忠孝7樓!B:B,B22,忠孝7樓!G:G)</f>
        <v>0</v>
      </c>
      <c r="I22" s="225">
        <f>SUMIF(忠孝國際醫學3樓!B:B,B22,忠孝國際醫學3樓!G:G)</f>
        <v>0</v>
      </c>
      <c r="J22" s="225">
        <f>SUMIF(忠孝健康7樓!B:B,B22,忠孝健康7樓!G:G)</f>
        <v>0</v>
      </c>
      <c r="K22" s="200">
        <v>0</v>
      </c>
      <c r="L22" s="200">
        <v>0</v>
      </c>
      <c r="M22" s="200">
        <v>0</v>
      </c>
      <c r="N22" s="200">
        <v>0</v>
      </c>
      <c r="O22" s="200">
        <v>0</v>
      </c>
      <c r="P22" s="200">
        <v>0</v>
      </c>
      <c r="Q22" s="200">
        <v>0</v>
      </c>
      <c r="R22" s="200">
        <v>0</v>
      </c>
      <c r="S22" s="200">
        <v>0</v>
      </c>
      <c r="T22" s="200">
        <v>0</v>
      </c>
      <c r="U22" s="200">
        <v>0</v>
      </c>
      <c r="V22" s="200">
        <v>0</v>
      </c>
      <c r="W22" s="200">
        <v>0</v>
      </c>
      <c r="X22" s="200">
        <v>0</v>
      </c>
      <c r="Y22" s="200">
        <v>0</v>
      </c>
      <c r="Z22" s="200">
        <v>0</v>
      </c>
      <c r="AA22" s="200">
        <v>0</v>
      </c>
      <c r="AB22" s="200">
        <v>0</v>
      </c>
      <c r="AC22" s="200">
        <v>0</v>
      </c>
      <c r="AD22" s="200">
        <v>0</v>
      </c>
      <c r="AE22" s="200">
        <v>0</v>
      </c>
      <c r="AF22" s="200">
        <v>0</v>
      </c>
      <c r="AG22" s="200">
        <v>0</v>
      </c>
      <c r="AH22" s="200">
        <v>0</v>
      </c>
      <c r="AI22" s="200">
        <v>0</v>
      </c>
      <c r="AJ22" s="201">
        <v>0</v>
      </c>
      <c r="AK22" s="201">
        <v>0</v>
      </c>
      <c r="AL22" s="201">
        <v>0</v>
      </c>
      <c r="AM22" s="201">
        <v>0</v>
      </c>
      <c r="AN22" s="201">
        <v>0</v>
      </c>
      <c r="AO22" s="201">
        <v>0</v>
      </c>
      <c r="AP22" s="201">
        <v>0</v>
      </c>
      <c r="AQ22" s="201">
        <v>0</v>
      </c>
      <c r="AR22" s="201">
        <v>3</v>
      </c>
      <c r="AS22" s="201">
        <v>9</v>
      </c>
      <c r="AT22" s="202">
        <v>9</v>
      </c>
      <c r="AU22" s="203">
        <v>16</v>
      </c>
      <c r="AV22" s="204">
        <f>SUM(AJ22:AU22)</f>
        <v>37</v>
      </c>
      <c r="AW22" s="205">
        <f>AV22/4</f>
        <v>9.25</v>
      </c>
      <c r="AX22" s="203">
        <v>25</v>
      </c>
      <c r="AY22" s="203">
        <v>28</v>
      </c>
      <c r="AZ22" s="203">
        <v>23</v>
      </c>
      <c r="BA22" s="203">
        <v>30</v>
      </c>
      <c r="BB22" s="203">
        <v>31</v>
      </c>
      <c r="BC22" s="203">
        <f>SUMIFS(領用表!$L:$L,領用表!$A:$A,BC$2,領用表!$E:$E,B22)</f>
        <v>0</v>
      </c>
      <c r="BD22" s="206">
        <f>SUMIFS(領用表!$L:$L,領用表!$E:$E,$B22,領用表!$B:$B,BC$2&amp;BD$2)</f>
        <v>0</v>
      </c>
      <c r="BE22" s="206">
        <f>SUMIFS(領用表!$L:$L,領用表!$E:$E,$B22,領用表!$B:$B,$BC$2&amp;BE$2)</f>
        <v>0</v>
      </c>
      <c r="BF22" s="206">
        <f>SUMIFS(領用表!$L:$L,領用表!$E:$E,$B22,領用表!$B:$B,$BC$2&amp;BF$2)</f>
        <v>0</v>
      </c>
      <c r="BG22" s="206">
        <f>SUMIFS(領用表!$L:$L,領用表!$E:$E,$B22,領用表!$B:$B,$BC$2&amp;BG$2)</f>
        <v>0</v>
      </c>
      <c r="BH22" s="203">
        <f>SUMIFS(領用表!$L:$L,領用表!$A:$A,BH$2,領用表!$E:$E,B22)</f>
        <v>0</v>
      </c>
      <c r="BI22" s="206">
        <f>SUMIFS(領用表!$L:$L,領用表!$E:$E,$B22,領用表!$B:$B,BH$2&amp;BI$2)</f>
        <v>0</v>
      </c>
      <c r="BJ22" s="206">
        <f>SUMIFS(領用表!$L:$L,領用表!$E:$E,$B22,領用表!$B:$B,$BH$2&amp;BJ$2)</f>
        <v>0</v>
      </c>
      <c r="BK22" s="206">
        <f>SUMIFS(領用表!$L:$L,領用表!$E:$E,$B22,領用表!$B:$B,$BH$2&amp;BK$2)</f>
        <v>0</v>
      </c>
      <c r="BL22" s="206">
        <f>SUMIFS(領用表!$L:$L,領用表!$E:$E,$B22,領用表!$B:$B,$BH$2&amp;BL$2)</f>
        <v>0</v>
      </c>
      <c r="BM22" s="203">
        <f>SUMIFS(領用表!$L:$L,領用表!$A:$A,BM$2,領用表!$E:$E,B22)</f>
        <v>0</v>
      </c>
      <c r="BN22" s="206">
        <f>SUMIFS(領用表!$L:$L,領用表!$E:$E,$B22,領用表!$B:$B,BM$2&amp;BN$2)</f>
        <v>0</v>
      </c>
      <c r="BO22" s="206">
        <f>SUMIFS(領用表!$L:$L,領用表!$E:$E,$B22,領用表!$B:$B,$BM$2&amp;BO$2)</f>
        <v>0</v>
      </c>
      <c r="BP22" s="206">
        <f>SUMIFS(領用表!$L:$L,領用表!$E:$E,$B22,領用表!$B:$B,$BM$2&amp;BP$2)</f>
        <v>0</v>
      </c>
      <c r="BQ22" s="206">
        <f>SUMIFS(領用表!$L:$L,領用表!$E:$E,$B22,領用表!$B:$B,$BM$2&amp;BQ$2)</f>
        <v>0</v>
      </c>
      <c r="BR22" s="203">
        <f>SUMIFS(領用表!$L:$L,領用表!$A:$A,BR$2,領用表!$E:$E,B22)</f>
        <v>0</v>
      </c>
      <c r="BS22" s="206">
        <f>SUMIFS(領用表!$L:$L,領用表!$E:$E,$B22,領用表!$B:$B,BR$2&amp;BS$2)</f>
        <v>0</v>
      </c>
      <c r="BT22" s="206">
        <f>SUMIFS(領用表!$L:$L,領用表!$E:$E,$B22,領用表!$B:$B,$BR$2&amp;BT$2)</f>
        <v>0</v>
      </c>
      <c r="BU22" s="206">
        <f>SUMIFS(領用表!$L:$L,領用表!$E:$E,$B22,領用表!$B:$B,$BR$2&amp;BU$2)</f>
        <v>0</v>
      </c>
      <c r="BV22" s="206">
        <f>SUMIFS(領用表!$L:$L,領用表!$E:$E,$B22,領用表!$B:$B,$BR$2&amp;BV$2)</f>
        <v>0</v>
      </c>
      <c r="BW22" s="203">
        <f>SUMIFS(領用表!$L:$L,領用表!$A:$A,BW$2,領用表!$E:$E,B22)</f>
        <v>0</v>
      </c>
      <c r="BX22" s="206">
        <f>SUMIFS(領用表!$L:$L,領用表!$E:$E,$B22,領用表!$B:$B,BW$2&amp;BX$2)</f>
        <v>0</v>
      </c>
      <c r="BY22" s="206">
        <f>SUMIFS(領用表!$L:$L,領用表!$E:$E,$B22,領用表!$B:$B,$BW$2&amp;BY$2)</f>
        <v>0</v>
      </c>
      <c r="BZ22" s="206">
        <f>SUMIFS(領用表!$L:$L,領用表!$E:$E,$B22,領用表!$B:$B,$BW$2&amp;BZ$2)</f>
        <v>0</v>
      </c>
      <c r="CA22" s="206">
        <f>SUMIFS(領用表!$L:$L,領用表!$E:$E,$B22,領用表!$B:$B,$BW$2&amp;CA$2)</f>
        <v>0</v>
      </c>
      <c r="CB22" s="208">
        <f>SUMIFS(領用表!$L:$L,領用表!$A:$A,CB$2,領用表!$E:$E,B22)</f>
        <v>0</v>
      </c>
      <c r="CC22" s="206">
        <f>SUMIFS(領用表!$L:$L,領用表!$E:$E,$B22,領用表!$B:$B,CB$2&amp;CC$2)</f>
        <v>0</v>
      </c>
      <c r="CD22" s="206">
        <f>SUMIFS(領用表!$L:$L,領用表!$E:$E,$B22,領用表!$B:$B,$CB$2&amp;CD$2)</f>
        <v>0</v>
      </c>
      <c r="CE22" s="206">
        <f>SUMIFS(領用表!$L:$L,領用表!$E:$E,$B22,領用表!$B:$B,$CB$2&amp;CE$2)</f>
        <v>0</v>
      </c>
      <c r="CF22" s="206">
        <f>SUMIFS(領用表!$L:$L,領用表!$E:$E,$B22,領用表!$B:$B,$CB$2&amp;CF$2)</f>
        <v>0</v>
      </c>
      <c r="CG22" s="208">
        <f>SUMIFS(領用表!$L:$L,領用表!$A:$A,CG$2,領用表!$E:$E,B22)</f>
        <v>0</v>
      </c>
      <c r="CH22" s="206">
        <f>SUMIFS(領用表!$L:$L,領用表!$E:$E,$B22,領用表!$B:$B,CG$2&amp;CH$2)</f>
        <v>0</v>
      </c>
      <c r="CI22" s="206">
        <f>SUMIFS(領用表!$L:$L,領用表!$E:$E,$B22,領用表!$B:$B,CG$2&amp;CI$2)</f>
        <v>0</v>
      </c>
      <c r="CJ22" s="206">
        <f>SUMIFS(領用表!$L:$L,領用表!$E:$E,$B22,領用表!$B:$B,CG$2&amp;CJ$2)</f>
        <v>0</v>
      </c>
      <c r="CK22" s="206">
        <f>SUMIFS(領用表!$L:$L,領用表!$E:$E,$B22,領用表!$B:$B,$CG$2&amp;CK$2)</f>
        <v>0</v>
      </c>
      <c r="CL22" s="207">
        <f t="shared" si="3"/>
        <v>137</v>
      </c>
      <c r="CM22" s="207">
        <f t="shared" si="4"/>
        <v>11.416666666666666</v>
      </c>
      <c r="CN22" s="208">
        <f>SUMIFS(領用表!$L:$L,領用表!$A:$A,CN$2,領用表!$E:$E,B22)</f>
        <v>0</v>
      </c>
      <c r="CO22" s="206">
        <f>SUMIFS(領用表!$L:$L,領用表!$E:$E,$B22,領用表!$B:$B,CN$2&amp;CO$2)</f>
        <v>0</v>
      </c>
      <c r="CP22" s="206">
        <f>SUMIFS(領用表!$L:$L,領用表!$E:$E,$B22,領用表!$B:$B,$CN$2&amp;CP$2)</f>
        <v>0</v>
      </c>
      <c r="CQ22" s="206">
        <f>SUMIFS(領用表!$L:$L,領用表!$E:$E,$B22,領用表!$B:$B,$CN$2&amp;CQ$2)</f>
        <v>0</v>
      </c>
      <c r="CR22" s="206">
        <f>SUMIFS(領用表!$L:$L,領用表!$E:$E,$B22,領用表!$B:$B,$CN$2&amp;CR$2)</f>
        <v>0</v>
      </c>
      <c r="CS22" s="208">
        <f>SUMIFS(領用表!$L:$L,領用表!$A:$A,CS$2,領用表!$E:$E,B22)</f>
        <v>0</v>
      </c>
      <c r="CT22" s="206">
        <f>SUMIFS(領用表!$L:$L,領用表!$E:$E,$B22,領用表!$B:$B,CS$2&amp;CT$2)</f>
        <v>0</v>
      </c>
      <c r="CU22" s="206">
        <f>SUMIFS(領用表!$L:$L,領用表!$E:$E,$B22,領用表!$B:$B,$CS$2&amp;CU$2)</f>
        <v>0</v>
      </c>
      <c r="CV22" s="206">
        <f>SUMIFS(領用表!$L:$L,領用表!$E:$E,$B22,領用表!$B:$B,$CS$2&amp;CV$2)</f>
        <v>0</v>
      </c>
      <c r="CW22" s="206">
        <f>SUMIFS(領用表!$L:$L,領用表!$E:$E,$B22,領用表!$B:$B,$CS$2&amp;CW$2)</f>
        <v>0</v>
      </c>
      <c r="CX22" s="206">
        <f>SUMIFS(領用表!$L:$L,領用表!$E:$E,$B22,領用表!$B:$B,$CS$2&amp;CX$2)</f>
        <v>0</v>
      </c>
      <c r="CY22" s="208">
        <f>SUMIFS(領用表!$L:$L,領用表!$A:$A,CY$2,領用表!$E:$E,B22)</f>
        <v>0</v>
      </c>
      <c r="CZ22" s="206">
        <f>SUMIFS(領用表!$L:$L,領用表!$E:$E,$B22,領用表!$B:$B,CY$2&amp;CZ$2)</f>
        <v>0</v>
      </c>
      <c r="DA22" s="206">
        <f>SUMIFS(領用表!$L:$L,領用表!$E:$E,$B22,領用表!$B:$B,$CY$2&amp;DA$2)</f>
        <v>0</v>
      </c>
      <c r="DB22" s="206">
        <f>SUMIFS(領用表!$L:$L,領用表!$E:$E,$B22,領用表!$B:$B,$CY$2&amp;DB$2)</f>
        <v>0</v>
      </c>
      <c r="DC22" s="206">
        <f>SUMIFS(領用表!$L:$L,領用表!$E:$E,$B22,領用表!$B:$B,$CY$2&amp;DC$2)</f>
        <v>0</v>
      </c>
      <c r="DD22" s="206">
        <f>SUMIFS(領用表!$L:$L,領用表!$E:$E,$B22,領用表!$B:$B,$CY$2&amp;DD$2)</f>
        <v>0</v>
      </c>
      <c r="DE22" s="208">
        <f>SUMIFS(領用表!$L:$L,領用表!$A:$A,DE$2,領用表!$E:$E,B22)</f>
        <v>0</v>
      </c>
      <c r="DF22" s="206">
        <f>SUMIFS(領用表!$L:$L,領用表!$E:$E,$B22,領用表!$B:$B,DE$2&amp;DF$2)</f>
        <v>0</v>
      </c>
      <c r="DG22" s="206">
        <f>SUMIFS(領用表!$L:$L,領用表!$E:$E,$B22,領用表!$B:$B,$DE$2&amp;DG$2)</f>
        <v>0</v>
      </c>
      <c r="DH22" s="206">
        <f>SUMIFS(領用表!$L:$L,領用表!$E:$E,$B22,領用表!$B:$B,$DE$2&amp;DH$2)</f>
        <v>0</v>
      </c>
      <c r="DI22" s="206">
        <f>SUMIFS(領用表!$L:$L,領用表!$E:$E,$B22,領用表!$B:$B,$DE$2&amp;DI$2)</f>
        <v>0</v>
      </c>
      <c r="DJ22" s="206">
        <f>SUMIFS(領用表!$L:$L,領用表!$E:$E,$B22,領用表!$B:$B,$DE$2&amp;DJ$2)</f>
        <v>0</v>
      </c>
      <c r="DK22" s="208">
        <f>SUMIFS(領用表!$L:$L,領用表!$A:$A,DK$2,領用表!$E:$E,$B22)</f>
        <v>0</v>
      </c>
      <c r="DL22" s="206">
        <f>SUMIFS(領用表!$L:$L,領用表!$E:$E,$B22,領用表!$B:$B,DK$2&amp;DL$2)</f>
        <v>0</v>
      </c>
      <c r="DM22" s="206">
        <f>SUMIFS(領用表!$L:$L,領用表!$E:$E,$B22,領用表!$B:$B,$DK$2&amp;DM$2)</f>
        <v>0</v>
      </c>
      <c r="DN22" s="206">
        <f>SUMIFS(領用表!$L:$L,領用表!$E:$E,$B22,領用表!$B:$B,$DK$2&amp;DN$2)</f>
        <v>0</v>
      </c>
      <c r="DO22" s="206">
        <f>SUMIFS(領用表!$L:$L,領用表!$E:$E,$B22,領用表!$B:$B,$DK$2&amp;DO$2)</f>
        <v>0</v>
      </c>
      <c r="DP22" s="206">
        <f>SUMIFS(領用表!$L:$L,領用表!$E:$E,$B22,領用表!$B:$B,$DK$2&amp;DP$2)</f>
        <v>0</v>
      </c>
      <c r="DQ22" s="206">
        <f t="shared" si="2"/>
        <v>0</v>
      </c>
      <c r="DR22" s="206">
        <f t="shared" si="5"/>
        <v>0</v>
      </c>
      <c r="DS22" s="206">
        <f t="shared" si="6"/>
        <v>0</v>
      </c>
      <c r="DT22" s="206">
        <v>0</v>
      </c>
      <c r="DU22" s="206">
        <v>0</v>
      </c>
      <c r="DV22" s="206">
        <v>0</v>
      </c>
      <c r="DW22" s="206">
        <v>0</v>
      </c>
      <c r="DX22" s="209"/>
      <c r="DY22" s="470"/>
      <c r="DZ22" s="226"/>
      <c r="EA22" s="226"/>
      <c r="EB22" s="136"/>
      <c r="EC22" s="212"/>
      <c r="ED22" s="118">
        <f>IFERROR(VLOOKUP(A22,站前4樓!A:BF,57,0),0)</f>
        <v>0</v>
      </c>
      <c r="EE22" s="213">
        <f>IFERROR(VLOOKUP(A22,站前11樓!A:BE,57,0),0)</f>
        <v>0</v>
      </c>
      <c r="EF22" s="118">
        <f>IFERROR(VLOOKUP(A22,忠孝7樓!A:N,57,0),0)</f>
        <v>0</v>
      </c>
      <c r="EG22" s="118">
        <f>IFERROR(VLOOKUP(A22,忠孝國際醫學3樓!A:L,57,0),0)</f>
        <v>0</v>
      </c>
      <c r="EH22" s="118">
        <f t="shared" si="7"/>
        <v>0</v>
      </c>
      <c r="EJ22" s="118">
        <v>38</v>
      </c>
      <c r="EK22" s="118">
        <v>0</v>
      </c>
    </row>
    <row r="23" spans="1:141" s="118" customFormat="1" ht="15">
      <c r="A23" s="136" t="s">
        <v>40</v>
      </c>
      <c r="C23" s="131" t="s">
        <v>470</v>
      </c>
      <c r="D23" s="197">
        <v>1</v>
      </c>
      <c r="E23" s="198" t="s">
        <v>15</v>
      </c>
      <c r="F23" s="225">
        <f>SUMIF(站前4樓!B:B,B23,站前4樓!F:F)</f>
        <v>0</v>
      </c>
      <c r="G23" s="225">
        <f>SUMIF(站前11樓!B:B,B23,站前11樓!F:F)</f>
        <v>0</v>
      </c>
      <c r="H23" s="225">
        <f>SUMIF(忠孝7樓!B:B,B23,忠孝7樓!G:G)</f>
        <v>0</v>
      </c>
      <c r="I23" s="225">
        <f>SUMIF(忠孝國際醫學3樓!B:B,B23,忠孝國際醫學3樓!G:G)</f>
        <v>0</v>
      </c>
      <c r="J23" s="225">
        <f>SUMIF(忠孝健康7樓!B:B,B23,忠孝健康7樓!G:G)</f>
        <v>0</v>
      </c>
      <c r="K23" s="200">
        <v>0</v>
      </c>
      <c r="L23" s="200">
        <v>0</v>
      </c>
      <c r="M23" s="200">
        <v>0</v>
      </c>
      <c r="N23" s="200">
        <v>0</v>
      </c>
      <c r="O23" s="200">
        <v>0</v>
      </c>
      <c r="P23" s="200">
        <v>0</v>
      </c>
      <c r="Q23" s="200">
        <v>0</v>
      </c>
      <c r="R23" s="200">
        <v>0</v>
      </c>
      <c r="S23" s="200">
        <v>0</v>
      </c>
      <c r="T23" s="200">
        <v>0</v>
      </c>
      <c r="U23" s="200">
        <v>0</v>
      </c>
      <c r="V23" s="200">
        <v>0</v>
      </c>
      <c r="W23" s="200">
        <v>0</v>
      </c>
      <c r="X23" s="200">
        <v>0</v>
      </c>
      <c r="Y23" s="200">
        <v>0</v>
      </c>
      <c r="Z23" s="200">
        <v>0</v>
      </c>
      <c r="AA23" s="200">
        <v>0</v>
      </c>
      <c r="AB23" s="200">
        <v>0</v>
      </c>
      <c r="AC23" s="200">
        <v>0</v>
      </c>
      <c r="AD23" s="200">
        <v>0</v>
      </c>
      <c r="AE23" s="200">
        <v>0</v>
      </c>
      <c r="AF23" s="200">
        <v>0</v>
      </c>
      <c r="AG23" s="200">
        <v>0</v>
      </c>
      <c r="AH23" s="200">
        <v>0</v>
      </c>
      <c r="AI23" s="200">
        <v>0</v>
      </c>
      <c r="AJ23" s="201">
        <v>0</v>
      </c>
      <c r="AK23" s="201">
        <v>0</v>
      </c>
      <c r="AL23" s="201">
        <v>0</v>
      </c>
      <c r="AM23" s="201">
        <v>0</v>
      </c>
      <c r="AN23" s="201">
        <v>0</v>
      </c>
      <c r="AO23" s="201">
        <v>0</v>
      </c>
      <c r="AP23" s="201">
        <v>0</v>
      </c>
      <c r="AQ23" s="201">
        <v>0</v>
      </c>
      <c r="AR23" s="201">
        <v>3</v>
      </c>
      <c r="AS23" s="201">
        <v>11</v>
      </c>
      <c r="AT23" s="202">
        <v>15</v>
      </c>
      <c r="AU23" s="203">
        <v>15</v>
      </c>
      <c r="AV23" s="204">
        <f>SUM(AJ23:AU23)</f>
        <v>44</v>
      </c>
      <c r="AW23" s="205">
        <f>AV23/4</f>
        <v>11</v>
      </c>
      <c r="AX23" s="203">
        <v>15</v>
      </c>
      <c r="AY23" s="203">
        <v>11</v>
      </c>
      <c r="AZ23" s="203">
        <v>27</v>
      </c>
      <c r="BA23" s="203">
        <v>30</v>
      </c>
      <c r="BB23" s="203">
        <v>28</v>
      </c>
      <c r="BC23" s="203">
        <f>SUMIFS(領用表!$L:$L,領用表!$A:$A,BC$2,領用表!$E:$E,B23)</f>
        <v>0</v>
      </c>
      <c r="BD23" s="206">
        <f>SUMIFS(領用表!$L:$L,領用表!$E:$E,$B23,領用表!$B:$B,BC$2&amp;BD$2)</f>
        <v>0</v>
      </c>
      <c r="BE23" s="206">
        <f>SUMIFS(領用表!$L:$L,領用表!$E:$E,$B23,領用表!$B:$B,$BC$2&amp;BE$2)</f>
        <v>0</v>
      </c>
      <c r="BF23" s="206">
        <f>SUMIFS(領用表!$L:$L,領用表!$E:$E,$B23,領用表!$B:$B,$BC$2&amp;BF$2)</f>
        <v>0</v>
      </c>
      <c r="BG23" s="206">
        <f>SUMIFS(領用表!$L:$L,領用表!$E:$E,$B23,領用表!$B:$B,$BC$2&amp;BG$2)</f>
        <v>0</v>
      </c>
      <c r="BH23" s="203">
        <f>SUMIFS(領用表!$L:$L,領用表!$A:$A,BH$2,領用表!$E:$E,B23)</f>
        <v>0</v>
      </c>
      <c r="BI23" s="206">
        <f>SUMIFS(領用表!$L:$L,領用表!$E:$E,$B23,領用表!$B:$B,BH$2&amp;BI$2)</f>
        <v>0</v>
      </c>
      <c r="BJ23" s="206">
        <f>SUMIFS(領用表!$L:$L,領用表!$E:$E,$B23,領用表!$B:$B,$BH$2&amp;BJ$2)</f>
        <v>0</v>
      </c>
      <c r="BK23" s="206">
        <f>SUMIFS(領用表!$L:$L,領用表!$E:$E,$B23,領用表!$B:$B,$BH$2&amp;BK$2)</f>
        <v>0</v>
      </c>
      <c r="BL23" s="206">
        <f>SUMIFS(領用表!$L:$L,領用表!$E:$E,$B23,領用表!$B:$B,$BH$2&amp;BL$2)</f>
        <v>0</v>
      </c>
      <c r="BM23" s="203">
        <f>SUMIFS(領用表!$L:$L,領用表!$A:$A,BM$2,領用表!$E:$E,B23)</f>
        <v>0</v>
      </c>
      <c r="BN23" s="206">
        <f>SUMIFS(領用表!$L:$L,領用表!$E:$E,$B23,領用表!$B:$B,BM$2&amp;BN$2)</f>
        <v>0</v>
      </c>
      <c r="BO23" s="206">
        <f>SUMIFS(領用表!$L:$L,領用表!$E:$E,$B23,領用表!$B:$B,$BM$2&amp;BO$2)</f>
        <v>0</v>
      </c>
      <c r="BP23" s="206">
        <f>SUMIFS(領用表!$L:$L,領用表!$E:$E,$B23,領用表!$B:$B,$BM$2&amp;BP$2)</f>
        <v>0</v>
      </c>
      <c r="BQ23" s="206">
        <f>SUMIFS(領用表!$L:$L,領用表!$E:$E,$B23,領用表!$B:$B,$BM$2&amp;BQ$2)</f>
        <v>0</v>
      </c>
      <c r="BR23" s="203">
        <f>SUMIFS(領用表!$L:$L,領用表!$A:$A,BR$2,領用表!$E:$E,B23)</f>
        <v>0</v>
      </c>
      <c r="BS23" s="206">
        <f>SUMIFS(領用表!$L:$L,領用表!$E:$E,$B23,領用表!$B:$B,BR$2&amp;BS$2)</f>
        <v>0</v>
      </c>
      <c r="BT23" s="206">
        <f>SUMIFS(領用表!$L:$L,領用表!$E:$E,$B23,領用表!$B:$B,$BR$2&amp;BT$2)</f>
        <v>0</v>
      </c>
      <c r="BU23" s="206">
        <f>SUMIFS(領用表!$L:$L,領用表!$E:$E,$B23,領用表!$B:$B,$BR$2&amp;BU$2)</f>
        <v>0</v>
      </c>
      <c r="BV23" s="206">
        <f>SUMIFS(領用表!$L:$L,領用表!$E:$E,$B23,領用表!$B:$B,$BR$2&amp;BV$2)</f>
        <v>0</v>
      </c>
      <c r="BW23" s="203">
        <f>SUMIFS(領用表!$L:$L,領用表!$A:$A,BW$2,領用表!$E:$E,B23)</f>
        <v>0</v>
      </c>
      <c r="BX23" s="206">
        <f>SUMIFS(領用表!$L:$L,領用表!$E:$E,$B23,領用表!$B:$B,BW$2&amp;BX$2)</f>
        <v>0</v>
      </c>
      <c r="BY23" s="206">
        <f>SUMIFS(領用表!$L:$L,領用表!$E:$E,$B23,領用表!$B:$B,$BW$2&amp;BY$2)</f>
        <v>0</v>
      </c>
      <c r="BZ23" s="206">
        <f>SUMIFS(領用表!$L:$L,領用表!$E:$E,$B23,領用表!$B:$B,$BW$2&amp;BZ$2)</f>
        <v>0</v>
      </c>
      <c r="CA23" s="206">
        <f>SUMIFS(領用表!$L:$L,領用表!$E:$E,$B23,領用表!$B:$B,$BW$2&amp;CA$2)</f>
        <v>0</v>
      </c>
      <c r="CB23" s="208">
        <f>SUMIFS(領用表!$L:$L,領用表!$A:$A,CB$2,領用表!$E:$E,B23)</f>
        <v>0</v>
      </c>
      <c r="CC23" s="206">
        <f>SUMIFS(領用表!$L:$L,領用表!$E:$E,$B23,領用表!$B:$B,CB$2&amp;CC$2)</f>
        <v>0</v>
      </c>
      <c r="CD23" s="206">
        <f>SUMIFS(領用表!$L:$L,領用表!$E:$E,$B23,領用表!$B:$B,$CB$2&amp;CD$2)</f>
        <v>0</v>
      </c>
      <c r="CE23" s="206">
        <f>SUMIFS(領用表!$L:$L,領用表!$E:$E,$B23,領用表!$B:$B,$CB$2&amp;CE$2)</f>
        <v>0</v>
      </c>
      <c r="CF23" s="206">
        <f>SUMIFS(領用表!$L:$L,領用表!$E:$E,$B23,領用表!$B:$B,$CB$2&amp;CF$2)</f>
        <v>0</v>
      </c>
      <c r="CG23" s="208">
        <f>SUMIFS(領用表!$L:$L,領用表!$A:$A,CG$2,領用表!$E:$E,B23)</f>
        <v>0</v>
      </c>
      <c r="CH23" s="206">
        <f>SUMIFS(領用表!$L:$L,領用表!$E:$E,$B23,領用表!$B:$B,CG$2&amp;CH$2)</f>
        <v>0</v>
      </c>
      <c r="CI23" s="206">
        <f>SUMIFS(領用表!$L:$L,領用表!$E:$E,$B23,領用表!$B:$B,CG$2&amp;CI$2)</f>
        <v>0</v>
      </c>
      <c r="CJ23" s="206">
        <f>SUMIFS(領用表!$L:$L,領用表!$E:$E,$B23,領用表!$B:$B,CG$2&amp;CJ$2)</f>
        <v>0</v>
      </c>
      <c r="CK23" s="206">
        <f>SUMIFS(領用表!$L:$L,領用表!$E:$E,$B23,領用表!$B:$B,$CG$2&amp;CK$2)</f>
        <v>0</v>
      </c>
      <c r="CL23" s="207">
        <f t="shared" si="3"/>
        <v>111</v>
      </c>
      <c r="CM23" s="207">
        <f t="shared" si="4"/>
        <v>9.25</v>
      </c>
      <c r="CN23" s="208">
        <f>SUMIFS(領用表!$L:$L,領用表!$A:$A,CN$2,領用表!$E:$E,B23)</f>
        <v>0</v>
      </c>
      <c r="CO23" s="206">
        <f>SUMIFS(領用表!$L:$L,領用表!$E:$E,$B23,領用表!$B:$B,CN$2&amp;CO$2)</f>
        <v>0</v>
      </c>
      <c r="CP23" s="206">
        <f>SUMIFS(領用表!$L:$L,領用表!$E:$E,$B23,領用表!$B:$B,$CN$2&amp;CP$2)</f>
        <v>0</v>
      </c>
      <c r="CQ23" s="206">
        <f>SUMIFS(領用表!$L:$L,領用表!$E:$E,$B23,領用表!$B:$B,$CN$2&amp;CQ$2)</f>
        <v>0</v>
      </c>
      <c r="CR23" s="206">
        <f>SUMIFS(領用表!$L:$L,領用表!$E:$E,$B23,領用表!$B:$B,$CN$2&amp;CR$2)</f>
        <v>0</v>
      </c>
      <c r="CS23" s="208">
        <f>SUMIFS(領用表!$L:$L,領用表!$A:$A,CS$2,領用表!$E:$E,B23)</f>
        <v>0</v>
      </c>
      <c r="CT23" s="206">
        <f>SUMIFS(領用表!$L:$L,領用表!$E:$E,$B23,領用表!$B:$B,CS$2&amp;CT$2)</f>
        <v>0</v>
      </c>
      <c r="CU23" s="206">
        <f>SUMIFS(領用表!$L:$L,領用表!$E:$E,$B23,領用表!$B:$B,$CS$2&amp;CU$2)</f>
        <v>0</v>
      </c>
      <c r="CV23" s="206">
        <f>SUMIFS(領用表!$L:$L,領用表!$E:$E,$B23,領用表!$B:$B,$CS$2&amp;CV$2)</f>
        <v>0</v>
      </c>
      <c r="CW23" s="206">
        <f>SUMIFS(領用表!$L:$L,領用表!$E:$E,$B23,領用表!$B:$B,$CS$2&amp;CW$2)</f>
        <v>0</v>
      </c>
      <c r="CX23" s="206">
        <f>SUMIFS(領用表!$L:$L,領用表!$E:$E,$B23,領用表!$B:$B,$CS$2&amp;CX$2)</f>
        <v>0</v>
      </c>
      <c r="CY23" s="208">
        <f>SUMIFS(領用表!$L:$L,領用表!$A:$A,CY$2,領用表!$E:$E,B23)</f>
        <v>0</v>
      </c>
      <c r="CZ23" s="206">
        <f>SUMIFS(領用表!$L:$L,領用表!$E:$E,$B23,領用表!$B:$B,CY$2&amp;CZ$2)</f>
        <v>0</v>
      </c>
      <c r="DA23" s="206">
        <f>SUMIFS(領用表!$L:$L,領用表!$E:$E,$B23,領用表!$B:$B,$CY$2&amp;DA$2)</f>
        <v>0</v>
      </c>
      <c r="DB23" s="206">
        <f>SUMIFS(領用表!$L:$L,領用表!$E:$E,$B23,領用表!$B:$B,$CY$2&amp;DB$2)</f>
        <v>0</v>
      </c>
      <c r="DC23" s="206">
        <f>SUMIFS(領用表!$L:$L,領用表!$E:$E,$B23,領用表!$B:$B,$CY$2&amp;DC$2)</f>
        <v>0</v>
      </c>
      <c r="DD23" s="206">
        <f>SUMIFS(領用表!$L:$L,領用表!$E:$E,$B23,領用表!$B:$B,$CY$2&amp;DD$2)</f>
        <v>0</v>
      </c>
      <c r="DE23" s="208">
        <f>SUMIFS(領用表!$L:$L,領用表!$A:$A,DE$2,領用表!$E:$E,B23)</f>
        <v>0</v>
      </c>
      <c r="DF23" s="206">
        <f>SUMIFS(領用表!$L:$L,領用表!$E:$E,$B23,領用表!$B:$B,DE$2&amp;DF$2)</f>
        <v>0</v>
      </c>
      <c r="DG23" s="206">
        <f>SUMIFS(領用表!$L:$L,領用表!$E:$E,$B23,領用表!$B:$B,$DE$2&amp;DG$2)</f>
        <v>0</v>
      </c>
      <c r="DH23" s="206">
        <f>SUMIFS(領用表!$L:$L,領用表!$E:$E,$B23,領用表!$B:$B,$DE$2&amp;DH$2)</f>
        <v>0</v>
      </c>
      <c r="DI23" s="206">
        <f>SUMIFS(領用表!$L:$L,領用表!$E:$E,$B23,領用表!$B:$B,$DE$2&amp;DI$2)</f>
        <v>0</v>
      </c>
      <c r="DJ23" s="206">
        <f>SUMIFS(領用表!$L:$L,領用表!$E:$E,$B23,領用表!$B:$B,$DE$2&amp;DJ$2)</f>
        <v>0</v>
      </c>
      <c r="DK23" s="208">
        <f>SUMIFS(領用表!$L:$L,領用表!$A:$A,DK$2,領用表!$E:$E,$B23)</f>
        <v>0</v>
      </c>
      <c r="DL23" s="206">
        <f>SUMIFS(領用表!$L:$L,領用表!$E:$E,$B23,領用表!$B:$B,DK$2&amp;DL$2)</f>
        <v>0</v>
      </c>
      <c r="DM23" s="206">
        <f>SUMIFS(領用表!$L:$L,領用表!$E:$E,$B23,領用表!$B:$B,$DK$2&amp;DM$2)</f>
        <v>0</v>
      </c>
      <c r="DN23" s="206">
        <f>SUMIFS(領用表!$L:$L,領用表!$E:$E,$B23,領用表!$B:$B,$DK$2&amp;DN$2)</f>
        <v>0</v>
      </c>
      <c r="DO23" s="206">
        <f>SUMIFS(領用表!$L:$L,領用表!$E:$E,$B23,領用表!$B:$B,$DK$2&amp;DO$2)</f>
        <v>0</v>
      </c>
      <c r="DP23" s="206">
        <f>SUMIFS(領用表!$L:$L,領用表!$E:$E,$B23,領用表!$B:$B,$DK$2&amp;DP$2)</f>
        <v>0</v>
      </c>
      <c r="DQ23" s="206">
        <f t="shared" si="2"/>
        <v>0</v>
      </c>
      <c r="DR23" s="206">
        <f t="shared" si="5"/>
        <v>0</v>
      </c>
      <c r="DS23" s="206">
        <f t="shared" si="6"/>
        <v>0</v>
      </c>
      <c r="DT23" s="206">
        <v>0</v>
      </c>
      <c r="DU23" s="206">
        <v>0</v>
      </c>
      <c r="DV23" s="206">
        <v>0</v>
      </c>
      <c r="DW23" s="206">
        <v>0</v>
      </c>
      <c r="DX23" s="209"/>
      <c r="DY23" s="466"/>
      <c r="DZ23" s="226"/>
      <c r="EA23" s="226"/>
      <c r="EB23" s="136"/>
      <c r="EC23" s="212"/>
      <c r="ED23" s="118">
        <f>IFERROR(VLOOKUP(A23,站前4樓!A:BF,57,0),0)</f>
        <v>0</v>
      </c>
      <c r="EE23" s="213">
        <f>IFERROR(VLOOKUP(A23,站前11樓!A:BE,57,0),0)</f>
        <v>0</v>
      </c>
      <c r="EF23" s="118">
        <f>IFERROR(VLOOKUP(A23,忠孝7樓!A:N,57,0),0)</f>
        <v>0</v>
      </c>
      <c r="EG23" s="118">
        <f>IFERROR(VLOOKUP(A23,忠孝國際醫學3樓!A:L,57,0),0)</f>
        <v>0</v>
      </c>
      <c r="EH23" s="118">
        <f t="shared" si="7"/>
        <v>0</v>
      </c>
      <c r="EJ23" s="118">
        <v>43</v>
      </c>
      <c r="EK23" s="118">
        <v>14.75</v>
      </c>
    </row>
    <row r="24" spans="1:141" s="118" customFormat="1" ht="15.75" customHeight="1">
      <c r="A24" s="136" t="s">
        <v>41</v>
      </c>
      <c r="B24" s="118">
        <v>6160008</v>
      </c>
      <c r="C24" s="133" t="s">
        <v>471</v>
      </c>
      <c r="D24" s="197">
        <v>6</v>
      </c>
      <c r="E24" s="198" t="s">
        <v>42</v>
      </c>
      <c r="F24" s="199">
        <f>SUMIF(站前4樓!B:B,B24,站前4樓!F:F)</f>
        <v>318</v>
      </c>
      <c r="G24" s="199">
        <f>SUMIF(站前11樓!B:B,B24,站前11樓!F:F)</f>
        <v>0</v>
      </c>
      <c r="H24" s="199">
        <f>SUMIF(忠孝7樓!B:B,B24,忠孝7樓!G:G)</f>
        <v>484</v>
      </c>
      <c r="I24" s="199">
        <f>SUMIF(忠孝國際醫學3樓!B:B,B24,忠孝國際醫學3樓!G:G)</f>
        <v>0</v>
      </c>
      <c r="J24" s="199">
        <f>SUMIF(忠孝健康7樓!B:B,B24,忠孝健康7樓!G:G)</f>
        <v>179</v>
      </c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4"/>
      <c r="AW24" s="204"/>
      <c r="AX24" s="204"/>
      <c r="AY24" s="204"/>
      <c r="AZ24" s="204"/>
      <c r="BA24" s="203"/>
      <c r="BB24" s="203"/>
      <c r="BC24" s="203">
        <f>SUMIFS(領用表!$L:$L,領用表!$A:$A,BC$2,領用表!$E:$E,B24)</f>
        <v>196</v>
      </c>
      <c r="BD24" s="206">
        <f>SUMIFS(領用表!$L:$L,領用表!$E:$E,$B24,領用表!$B:$B,BC$2&amp;BD$2)</f>
        <v>196</v>
      </c>
      <c r="BE24" s="206">
        <f>SUMIFS(領用表!$L:$L,領用表!$E:$E,$B24,領用表!$B:$B,$BC$2&amp;BE$2)</f>
        <v>0</v>
      </c>
      <c r="BF24" s="206">
        <f>SUMIFS(領用表!$L:$L,領用表!$E:$E,$B24,領用表!$B:$B,$BC$2&amp;BF$2)</f>
        <v>0</v>
      </c>
      <c r="BG24" s="206">
        <f>SUMIFS(領用表!$L:$L,領用表!$E:$E,$B24,領用表!$B:$B,$BC$2&amp;BG$2)</f>
        <v>0</v>
      </c>
      <c r="BH24" s="203">
        <f>SUMIFS(領用表!$L:$L,領用表!$A:$A,BH$2,領用表!$E:$E,B24)</f>
        <v>52</v>
      </c>
      <c r="BI24" s="206">
        <f>SUMIFS(領用表!$L:$L,領用表!$E:$E,$B24,領用表!$B:$B,BH$2&amp;BI$2)</f>
        <v>25</v>
      </c>
      <c r="BJ24" s="206">
        <f>SUMIFS(領用表!$L:$L,領用表!$E:$E,$B24,領用表!$B:$B,$BH$2&amp;BJ$2)</f>
        <v>0</v>
      </c>
      <c r="BK24" s="206">
        <f>SUMIFS(領用表!$L:$L,領用表!$E:$E,$B24,領用表!$B:$B,$BH$2&amp;BK$2)</f>
        <v>27</v>
      </c>
      <c r="BL24" s="206">
        <f>SUMIFS(領用表!$L:$L,領用表!$E:$E,$B24,領用表!$B:$B,$BH$2&amp;BL$2)</f>
        <v>0</v>
      </c>
      <c r="BM24" s="203">
        <f>SUMIFS(領用表!$L:$L,領用表!$A:$A,BM$2,領用表!$E:$E,B24)</f>
        <v>29</v>
      </c>
      <c r="BN24" s="206">
        <f>SUMIFS(領用表!$L:$L,領用表!$E:$E,$B24,領用表!$B:$B,BM$2&amp;BN$2)</f>
        <v>19</v>
      </c>
      <c r="BO24" s="206">
        <f>SUMIFS(領用表!$L:$L,領用表!$E:$E,$B24,領用表!$B:$B,$BM$2&amp;BO$2)</f>
        <v>0</v>
      </c>
      <c r="BP24" s="206">
        <f>SUMIFS(領用表!$L:$L,領用表!$E:$E,$B24,領用表!$B:$B,$BM$2&amp;BP$2)</f>
        <v>10</v>
      </c>
      <c r="BQ24" s="206">
        <f>SUMIFS(領用表!$L:$L,領用表!$E:$E,$B24,領用表!$B:$B,$BM$2&amp;BQ$2)</f>
        <v>0</v>
      </c>
      <c r="BR24" s="203">
        <f>SUMIFS(領用表!$L:$L,領用表!$A:$A,BR$2,領用表!$E:$E,B24)</f>
        <v>397</v>
      </c>
      <c r="BS24" s="206">
        <f>SUMIFS(領用表!$L:$L,領用表!$E:$E,$B24,領用表!$B:$B,BR$2&amp;BS$2)</f>
        <v>40</v>
      </c>
      <c r="BT24" s="206">
        <f>SUMIFS(領用表!$L:$L,領用表!$E:$E,$B24,領用表!$B:$B,$BR$2&amp;BT$2)</f>
        <v>0</v>
      </c>
      <c r="BU24" s="206">
        <f>SUMIFS(領用表!$L:$L,領用表!$E:$E,$B24,領用表!$B:$B,$BR$2&amp;BU$2)</f>
        <v>357</v>
      </c>
      <c r="BV24" s="206">
        <f>SUMIFS(領用表!$L:$L,領用表!$E:$E,$B24,領用表!$B:$B,$BR$2&amp;BV$2)</f>
        <v>0</v>
      </c>
      <c r="BW24" s="203">
        <f>SUMIFS(領用表!$L:$L,領用表!$A:$A,BW$2,領用表!$E:$E,B24)</f>
        <v>662</v>
      </c>
      <c r="BX24" s="206">
        <f>SUMIFS(領用表!$L:$L,領用表!$E:$E,$B24,領用表!$B:$B,BW$2&amp;BX$2)</f>
        <v>221</v>
      </c>
      <c r="BY24" s="206">
        <f>SUMIFS(領用表!$L:$L,領用表!$E:$E,$B24,領用表!$B:$B,$BW$2&amp;BY$2)</f>
        <v>0</v>
      </c>
      <c r="BZ24" s="206">
        <f>SUMIFS(領用表!$L:$L,領用表!$E:$E,$B24,領用表!$B:$B,$BW$2&amp;BZ$2)</f>
        <v>441</v>
      </c>
      <c r="CA24" s="206">
        <f>SUMIFS(領用表!$L:$L,領用表!$E:$E,$B24,領用表!$B:$B,$BW$2&amp;CA$2)</f>
        <v>0</v>
      </c>
      <c r="CB24" s="208">
        <f>SUMIFS(領用表!$L:$L,領用表!$A:$A,CB$2,領用表!$E:$E,B24)</f>
        <v>613</v>
      </c>
      <c r="CC24" s="206">
        <f>SUMIFS(領用表!$L:$L,領用表!$E:$E,$B24,領用表!$B:$B,CB$2&amp;CC$2)</f>
        <v>188</v>
      </c>
      <c r="CD24" s="206">
        <f>SUMIFS(領用表!$L:$L,領用表!$E:$E,$B24,領用表!$B:$B,$CB$2&amp;CD$2)</f>
        <v>0</v>
      </c>
      <c r="CE24" s="206">
        <f>SUMIFS(領用表!$L:$L,領用表!$E:$E,$B24,領用表!$B:$B,$CB$2&amp;CE$2)</f>
        <v>425</v>
      </c>
      <c r="CF24" s="206">
        <f>SUMIFS(領用表!$L:$L,領用表!$E:$E,$B24,領用表!$B:$B,$CB$2&amp;CF$2)</f>
        <v>0</v>
      </c>
      <c r="CG24" s="208">
        <f>SUMIFS(領用表!$L:$L,領用表!$A:$A,CG$2,領用表!$E:$E,B24)</f>
        <v>122</v>
      </c>
      <c r="CH24" s="206">
        <f>SUMIFS(領用表!$L:$L,領用表!$E:$E,$B24,領用表!$B:$B,CG$2&amp;CH$2)</f>
        <v>108</v>
      </c>
      <c r="CI24" s="206">
        <f>SUMIFS(領用表!$L:$L,領用表!$E:$E,$B24,領用表!$B:$B,CG$2&amp;CI$2)</f>
        <v>0</v>
      </c>
      <c r="CJ24" s="206">
        <f>SUMIFS(領用表!$L:$L,領用表!$E:$E,$B24,領用表!$B:$B,CG$2&amp;CJ$2)</f>
        <v>14</v>
      </c>
      <c r="CK24" s="206">
        <f>SUMIFS(領用表!$L:$L,領用表!$E:$E,$B24,領用表!$B:$B,$CG$2&amp;CK$2)</f>
        <v>0</v>
      </c>
      <c r="CL24" s="207">
        <f t="shared" si="3"/>
        <v>2071</v>
      </c>
      <c r="CM24" s="207">
        <f t="shared" si="4"/>
        <v>295.85714285714283</v>
      </c>
      <c r="CN24" s="208">
        <f>SUMIFS(領用表!$L:$L,領用表!$A:$A,CN$2,領用表!$E:$E,B24)</f>
        <v>210</v>
      </c>
      <c r="CO24" s="206">
        <f>SUMIFS(領用表!$L:$L,領用表!$E:$E,$B24,領用表!$B:$B,CN$2&amp;CO$2)</f>
        <v>202</v>
      </c>
      <c r="CP24" s="206">
        <f>SUMIFS(領用表!$L:$L,領用表!$E:$E,$B24,領用表!$B:$B,$CN$2&amp;CP$2)</f>
        <v>2</v>
      </c>
      <c r="CQ24" s="206">
        <f>SUMIFS(領用表!$L:$L,領用表!$E:$E,$B24,領用表!$B:$B,$CN$2&amp;CQ$2)</f>
        <v>6</v>
      </c>
      <c r="CR24" s="206">
        <f>SUMIFS(領用表!$L:$L,領用表!$E:$E,$B24,領用表!$B:$B,$CN$2&amp;CR$2)</f>
        <v>0</v>
      </c>
      <c r="CS24" s="208">
        <f>SUMIFS(領用表!$L:$L,領用表!$A:$A,CS$2,領用表!$E:$E,B24)</f>
        <v>9</v>
      </c>
      <c r="CT24" s="206">
        <f>SUMIFS(領用表!$L:$L,領用表!$E:$E,$B24,領用表!$B:$B,CS$2&amp;CT$2)</f>
        <v>8</v>
      </c>
      <c r="CU24" s="206">
        <f>SUMIFS(領用表!$L:$L,領用表!$E:$E,$B24,領用表!$B:$B,$CS$2&amp;CU$2)</f>
        <v>0</v>
      </c>
      <c r="CV24" s="206">
        <f>SUMIFS(領用表!$L:$L,領用表!$E:$E,$B24,領用表!$B:$B,$CS$2&amp;CV$2)</f>
        <v>1</v>
      </c>
      <c r="CW24" s="206">
        <f>SUMIFS(領用表!$L:$L,領用表!$E:$E,$B24,領用表!$B:$B,$CS$2&amp;CW$2)</f>
        <v>0</v>
      </c>
      <c r="CX24" s="206">
        <f>SUMIFS(領用表!$L:$L,領用表!$E:$E,$B24,領用表!$B:$B,$CS$2&amp;CX$2)</f>
        <v>0</v>
      </c>
      <c r="CY24" s="208">
        <f>SUMIFS(領用表!$L:$L,領用表!$A:$A,CY$2,領用表!$E:$E,B24)</f>
        <v>0</v>
      </c>
      <c r="CZ24" s="206">
        <f>SUMIFS(領用表!$L:$L,領用表!$E:$E,$B24,領用表!$B:$B,CY$2&amp;CZ$2)</f>
        <v>0</v>
      </c>
      <c r="DA24" s="206">
        <f>SUMIFS(領用表!$L:$L,領用表!$E:$E,$B24,領用表!$B:$B,$CY$2&amp;DA$2)</f>
        <v>0</v>
      </c>
      <c r="DB24" s="206">
        <f>SUMIFS(領用表!$L:$L,領用表!$E:$E,$B24,領用表!$B:$B,$CY$2&amp;DB$2)</f>
        <v>0</v>
      </c>
      <c r="DC24" s="206">
        <f>SUMIFS(領用表!$L:$L,領用表!$E:$E,$B24,領用表!$B:$B,$CY$2&amp;DC$2)</f>
        <v>0</v>
      </c>
      <c r="DD24" s="206">
        <f>SUMIFS(領用表!$L:$L,領用表!$E:$E,$B24,領用表!$B:$B,$CY$2&amp;DD$2)</f>
        <v>0</v>
      </c>
      <c r="DE24" s="208">
        <f>SUMIFS(領用表!$L:$L,領用表!$A:$A,DE$2,領用表!$E:$E,B24)</f>
        <v>3</v>
      </c>
      <c r="DF24" s="206">
        <f>SUMIFS(領用表!$L:$L,領用表!$E:$E,$B24,領用表!$B:$B,DE$2&amp;DF$2)</f>
        <v>0</v>
      </c>
      <c r="DG24" s="206">
        <f>SUMIFS(領用表!$L:$L,領用表!$E:$E,$B24,領用表!$B:$B,$DE$2&amp;DG$2)</f>
        <v>0</v>
      </c>
      <c r="DH24" s="206">
        <f>SUMIFS(領用表!$L:$L,領用表!$E:$E,$B24,領用表!$B:$B,$DE$2&amp;DH$2)</f>
        <v>3</v>
      </c>
      <c r="DI24" s="206">
        <f>SUMIFS(領用表!$L:$L,領用表!$E:$E,$B24,領用表!$B:$B,$DE$2&amp;DI$2)</f>
        <v>0</v>
      </c>
      <c r="DJ24" s="206">
        <f>SUMIFS(領用表!$L:$L,領用表!$E:$E,$B24,領用表!$B:$B,$DE$2&amp;DJ$2)</f>
        <v>0</v>
      </c>
      <c r="DK24" s="208">
        <f>SUMIFS(領用表!$L:$L,領用表!$A:$A,DK$2,領用表!$E:$E,$B24)</f>
        <v>326</v>
      </c>
      <c r="DL24" s="206">
        <f>SUMIFS(領用表!$L:$L,領用表!$E:$E,$B24,領用表!$B:$B,DK$2&amp;DL$2)</f>
        <v>97</v>
      </c>
      <c r="DM24" s="206">
        <f>SUMIFS(領用表!$L:$L,領用表!$E:$E,$B24,領用表!$B:$B,$DK$2&amp;DM$2)</f>
        <v>0</v>
      </c>
      <c r="DN24" s="206">
        <f>SUMIFS(領用表!$L:$L,領用表!$E:$E,$B24,領用表!$B:$B,$DK$2&amp;DN$2)</f>
        <v>166</v>
      </c>
      <c r="DO24" s="206">
        <f>SUMIFS(領用表!$L:$L,領用表!$E:$E,$B24,領用表!$B:$B,$DK$2&amp;DO$2)</f>
        <v>0</v>
      </c>
      <c r="DP24" s="206">
        <f>SUMIFS(領用表!$L:$L,領用表!$E:$E,$B24,領用表!$B:$B,$DK$2&amp;DP$2)</f>
        <v>63</v>
      </c>
      <c r="DQ24" s="206">
        <f t="shared" si="2"/>
        <v>548</v>
      </c>
      <c r="DR24" s="206">
        <f t="shared" si="5"/>
        <v>109.6</v>
      </c>
      <c r="DS24" s="206">
        <f t="shared" si="6"/>
        <v>245</v>
      </c>
      <c r="DT24" s="206">
        <v>35</v>
      </c>
      <c r="DU24" s="206">
        <v>0</v>
      </c>
      <c r="DV24" s="206">
        <v>210</v>
      </c>
      <c r="DW24" s="206">
        <v>0</v>
      </c>
      <c r="DX24" s="215">
        <v>240</v>
      </c>
      <c r="DY24" s="210"/>
      <c r="DZ24" s="211" t="s">
        <v>789</v>
      </c>
      <c r="EA24" s="211" t="s">
        <v>790</v>
      </c>
      <c r="EB24" s="136"/>
      <c r="EC24" s="212"/>
      <c r="ED24" s="118">
        <f>IFERROR(VLOOKUP(A24,站前4樓!A:BF,57,0),0)</f>
        <v>188</v>
      </c>
      <c r="EE24" s="213">
        <f>IFERROR(VLOOKUP(A24,站前11樓!A:BE,57,0),0)</f>
        <v>0</v>
      </c>
      <c r="EF24" s="118">
        <f>IFERROR(VLOOKUP(A24,忠孝7樓!A:N,57,0),0)</f>
        <v>0</v>
      </c>
      <c r="EG24" s="118">
        <f>IFERROR(VLOOKUP(A24,忠孝國際醫學3樓!A:L,57,0),0)</f>
        <v>0</v>
      </c>
      <c r="EH24" s="118">
        <f t="shared" si="7"/>
        <v>188</v>
      </c>
      <c r="EJ24" s="118">
        <v>228</v>
      </c>
      <c r="EK24" s="118">
        <v>0</v>
      </c>
    </row>
    <row r="25" spans="1:141" s="118" customFormat="1" ht="15.75" customHeight="1">
      <c r="A25" s="136" t="s">
        <v>45</v>
      </c>
      <c r="B25" s="118">
        <v>6160009</v>
      </c>
      <c r="C25" s="133" t="s">
        <v>472</v>
      </c>
      <c r="D25" s="197">
        <v>8</v>
      </c>
      <c r="E25" s="198" t="s">
        <v>42</v>
      </c>
      <c r="F25" s="199">
        <f>SUMIF(站前4樓!B:B,B25,站前4樓!F:F)</f>
        <v>119</v>
      </c>
      <c r="G25" s="199">
        <f>SUMIF(站前11樓!B:B,B25,站前11樓!F:F)</f>
        <v>0</v>
      </c>
      <c r="H25" s="199">
        <f>SUMIF(忠孝7樓!B:B,B25,忠孝7樓!G:G)</f>
        <v>112</v>
      </c>
      <c r="I25" s="199">
        <f>SUMIF(忠孝國際醫學3樓!B:B,B25,忠孝國際醫學3樓!G:G)</f>
        <v>0</v>
      </c>
      <c r="J25" s="199">
        <f>SUMIF(忠孝健康7樓!B:B,B25,忠孝健康7樓!G:G)</f>
        <v>7</v>
      </c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4"/>
      <c r="AW25" s="204"/>
      <c r="AX25" s="204"/>
      <c r="AY25" s="204"/>
      <c r="AZ25" s="204"/>
      <c r="BA25" s="203"/>
      <c r="BB25" s="203"/>
      <c r="BC25" s="203">
        <f>SUMIFS(領用表!$L:$L,領用表!$A:$A,BC$2,領用表!$E:$E,B25)</f>
        <v>210</v>
      </c>
      <c r="BD25" s="206">
        <f>SUMIFS(領用表!$L:$L,領用表!$E:$E,$B25,領用表!$B:$B,BC$2&amp;BD$2)</f>
        <v>210</v>
      </c>
      <c r="BE25" s="206">
        <f>SUMIFS(領用表!$L:$L,領用表!$E:$E,$B25,領用表!$B:$B,$BC$2&amp;BE$2)</f>
        <v>0</v>
      </c>
      <c r="BF25" s="206">
        <f>SUMIFS(領用表!$L:$L,領用表!$E:$E,$B25,領用表!$B:$B,$BC$2&amp;BF$2)</f>
        <v>0</v>
      </c>
      <c r="BG25" s="206">
        <f>SUMIFS(領用表!$L:$L,領用表!$E:$E,$B25,領用表!$B:$B,$BC$2&amp;BG$2)</f>
        <v>0</v>
      </c>
      <c r="BH25" s="203">
        <f>SUMIFS(領用表!$L:$L,領用表!$A:$A,BH$2,領用表!$E:$E,B25)</f>
        <v>27</v>
      </c>
      <c r="BI25" s="206">
        <f>SUMIFS(領用表!$L:$L,領用表!$E:$E,$B25,領用表!$B:$B,BH$2&amp;BI$2)</f>
        <v>19</v>
      </c>
      <c r="BJ25" s="206">
        <f>SUMIFS(領用表!$L:$L,領用表!$E:$E,$B25,領用表!$B:$B,$BH$2&amp;BJ$2)</f>
        <v>0</v>
      </c>
      <c r="BK25" s="206">
        <f>SUMIFS(領用表!$L:$L,領用表!$E:$E,$B25,領用表!$B:$B,$BH$2&amp;BK$2)</f>
        <v>8</v>
      </c>
      <c r="BL25" s="206">
        <f>SUMIFS(領用表!$L:$L,領用表!$E:$E,$B25,領用表!$B:$B,$BH$2&amp;BL$2)</f>
        <v>0</v>
      </c>
      <c r="BM25" s="203">
        <f>SUMIFS(領用表!$L:$L,領用表!$A:$A,BM$2,領用表!$E:$E,B25)</f>
        <v>26</v>
      </c>
      <c r="BN25" s="206">
        <f>SUMIFS(領用表!$L:$L,領用表!$E:$E,$B25,領用表!$B:$B,BM$2&amp;BN$2)</f>
        <v>20</v>
      </c>
      <c r="BO25" s="206">
        <f>SUMIFS(領用表!$L:$L,領用表!$E:$E,$B25,領用表!$B:$B,$BM$2&amp;BO$2)</f>
        <v>0</v>
      </c>
      <c r="BP25" s="206">
        <f>SUMIFS(領用表!$L:$L,領用表!$E:$E,$B25,領用表!$B:$B,$BM$2&amp;BP$2)</f>
        <v>6</v>
      </c>
      <c r="BQ25" s="206">
        <f>SUMIFS(領用表!$L:$L,領用表!$E:$E,$B25,領用表!$B:$B,$BM$2&amp;BQ$2)</f>
        <v>0</v>
      </c>
      <c r="BR25" s="203">
        <f>SUMIFS(領用表!$L:$L,領用表!$A:$A,BR$2,領用表!$E:$E,B25)</f>
        <v>40</v>
      </c>
      <c r="BS25" s="206">
        <f>SUMIFS(領用表!$L:$L,領用表!$E:$E,$B25,領用表!$B:$B,BR$2&amp;BS$2)</f>
        <v>4</v>
      </c>
      <c r="BT25" s="206">
        <f>SUMIFS(領用表!$L:$L,領用表!$E:$E,$B25,領用表!$B:$B,$BR$2&amp;BT$2)</f>
        <v>0</v>
      </c>
      <c r="BU25" s="206">
        <f>SUMIFS(領用表!$L:$L,領用表!$E:$E,$B25,領用表!$B:$B,$BR$2&amp;BU$2)</f>
        <v>36</v>
      </c>
      <c r="BV25" s="206">
        <f>SUMIFS(領用表!$L:$L,領用表!$E:$E,$B25,領用表!$B:$B,$BR$2&amp;BV$2)</f>
        <v>0</v>
      </c>
      <c r="BW25" s="203">
        <f>SUMIFS(領用表!$L:$L,領用表!$A:$A,BW$2,領用表!$E:$E,B25)</f>
        <v>73</v>
      </c>
      <c r="BX25" s="206">
        <f>SUMIFS(領用表!$L:$L,領用表!$E:$E,$B25,領用表!$B:$B,BW$2&amp;BX$2)</f>
        <v>67</v>
      </c>
      <c r="BY25" s="206">
        <f>SUMIFS(領用表!$L:$L,領用表!$E:$E,$B25,領用表!$B:$B,$BW$2&amp;BY$2)</f>
        <v>0</v>
      </c>
      <c r="BZ25" s="206">
        <f>SUMIFS(領用表!$L:$L,領用表!$E:$E,$B25,領用表!$B:$B,$BW$2&amp;BZ$2)</f>
        <v>6</v>
      </c>
      <c r="CA25" s="206">
        <f>SUMIFS(領用表!$L:$L,領用表!$E:$E,$B25,領用表!$B:$B,$BW$2&amp;CA$2)</f>
        <v>0</v>
      </c>
      <c r="CB25" s="208">
        <f>SUMIFS(領用表!$L:$L,領用表!$A:$A,CB$2,領用表!$E:$E,B25)</f>
        <v>48</v>
      </c>
      <c r="CC25" s="206">
        <f>SUMIFS(領用表!$L:$L,領用表!$E:$E,$B25,領用表!$B:$B,CB$2&amp;CC$2)</f>
        <v>45</v>
      </c>
      <c r="CD25" s="206">
        <f>SUMIFS(領用表!$L:$L,領用表!$E:$E,$B25,領用表!$B:$B,$CB$2&amp;CD$2)</f>
        <v>0</v>
      </c>
      <c r="CE25" s="206">
        <f>SUMIFS(領用表!$L:$L,領用表!$E:$E,$B25,領用表!$B:$B,$CB$2&amp;CE$2)</f>
        <v>3</v>
      </c>
      <c r="CF25" s="206">
        <f>SUMIFS(領用表!$L:$L,領用表!$E:$E,$B25,領用表!$B:$B,$CB$2&amp;CF$2)</f>
        <v>0</v>
      </c>
      <c r="CG25" s="208">
        <f>SUMIFS(領用表!$L:$L,領用表!$A:$A,CG$2,領用表!$E:$E,B25)</f>
        <v>22</v>
      </c>
      <c r="CH25" s="206">
        <f>SUMIFS(領用表!$L:$L,領用表!$E:$E,$B25,領用表!$B:$B,CG$2&amp;CH$2)</f>
        <v>22</v>
      </c>
      <c r="CI25" s="206">
        <f>SUMIFS(領用表!$L:$L,領用表!$E:$E,$B25,領用表!$B:$B,CG$2&amp;CI$2)</f>
        <v>0</v>
      </c>
      <c r="CJ25" s="206">
        <f>SUMIFS(領用表!$L:$L,領用表!$E:$E,$B25,領用表!$B:$B,CG$2&amp;CJ$2)</f>
        <v>0</v>
      </c>
      <c r="CK25" s="206">
        <f>SUMIFS(領用表!$L:$L,領用表!$E:$E,$B25,領用表!$B:$B,$CG$2&amp;CK$2)</f>
        <v>0</v>
      </c>
      <c r="CL25" s="207">
        <f t="shared" si="3"/>
        <v>446</v>
      </c>
      <c r="CM25" s="207">
        <f t="shared" si="4"/>
        <v>63.714285714285715</v>
      </c>
      <c r="CN25" s="208">
        <f>SUMIFS(領用表!$L:$L,領用表!$A:$A,CN$2,領用表!$E:$E,B25)</f>
        <v>21</v>
      </c>
      <c r="CO25" s="206">
        <f>SUMIFS(領用表!$L:$L,領用表!$E:$E,$B25,領用表!$B:$B,CN$2&amp;CO$2)</f>
        <v>8</v>
      </c>
      <c r="CP25" s="206">
        <f>SUMIFS(領用表!$L:$L,領用表!$E:$E,$B25,領用表!$B:$B,$CN$2&amp;CP$2)</f>
        <v>0</v>
      </c>
      <c r="CQ25" s="206">
        <f>SUMIFS(領用表!$L:$L,領用表!$E:$E,$B25,領用表!$B:$B,$CN$2&amp;CQ$2)</f>
        <v>13</v>
      </c>
      <c r="CR25" s="206">
        <f>SUMIFS(領用表!$L:$L,領用表!$E:$E,$B25,領用表!$B:$B,$CN$2&amp;CR$2)</f>
        <v>0</v>
      </c>
      <c r="CS25" s="208">
        <f>SUMIFS(領用表!$L:$L,領用表!$A:$A,CS$2,領用表!$E:$E,B25)</f>
        <v>44</v>
      </c>
      <c r="CT25" s="206">
        <f>SUMIFS(領用表!$L:$L,領用表!$E:$E,$B25,領用表!$B:$B,CS$2&amp;CT$2)</f>
        <v>27</v>
      </c>
      <c r="CU25" s="206">
        <f>SUMIFS(領用表!$L:$L,領用表!$E:$E,$B25,領用表!$B:$B,$CS$2&amp;CU$2)</f>
        <v>0</v>
      </c>
      <c r="CV25" s="206">
        <f>SUMIFS(領用表!$L:$L,領用表!$E:$E,$B25,領用表!$B:$B,$CS$2&amp;CV$2)</f>
        <v>17</v>
      </c>
      <c r="CW25" s="206">
        <f>SUMIFS(領用表!$L:$L,領用表!$E:$E,$B25,領用表!$B:$B,$CS$2&amp;CW$2)</f>
        <v>0</v>
      </c>
      <c r="CX25" s="206">
        <f>SUMIFS(領用表!$L:$L,領用表!$E:$E,$B25,領用表!$B:$B,$CS$2&amp;CX$2)</f>
        <v>0</v>
      </c>
      <c r="CY25" s="208">
        <f>SUMIFS(領用表!$L:$L,領用表!$A:$A,CY$2,領用表!$E:$E,B25)</f>
        <v>169</v>
      </c>
      <c r="CZ25" s="206">
        <f>SUMIFS(領用表!$L:$L,領用表!$E:$E,$B25,領用表!$B:$B,CY$2&amp;CZ$2)</f>
        <v>83</v>
      </c>
      <c r="DA25" s="206">
        <f>SUMIFS(領用表!$L:$L,領用表!$E:$E,$B25,領用表!$B:$B,$CY$2&amp;DA$2)</f>
        <v>0</v>
      </c>
      <c r="DB25" s="206">
        <f>SUMIFS(領用表!$L:$L,領用表!$E:$E,$B25,領用表!$B:$B,$CY$2&amp;DB$2)</f>
        <v>86</v>
      </c>
      <c r="DC25" s="206">
        <f>SUMIFS(領用表!$L:$L,領用表!$E:$E,$B25,領用表!$B:$B,$CY$2&amp;DC$2)</f>
        <v>0</v>
      </c>
      <c r="DD25" s="206">
        <f>SUMIFS(領用表!$L:$L,領用表!$E:$E,$B25,領用表!$B:$B,$CY$2&amp;DD$2)</f>
        <v>0</v>
      </c>
      <c r="DE25" s="208">
        <f>SUMIFS(領用表!$L:$L,領用表!$A:$A,DE$2,領用表!$E:$E,B25)</f>
        <v>65</v>
      </c>
      <c r="DF25" s="206">
        <f>SUMIFS(領用表!$L:$L,領用表!$E:$E,$B25,領用表!$B:$B,DE$2&amp;DF$2)</f>
        <v>63</v>
      </c>
      <c r="DG25" s="206">
        <f>SUMIFS(領用表!$L:$L,領用表!$E:$E,$B25,領用表!$B:$B,$DE$2&amp;DG$2)</f>
        <v>0</v>
      </c>
      <c r="DH25" s="206">
        <f>SUMIFS(領用表!$L:$L,領用表!$E:$E,$B25,領用表!$B:$B,$DE$2&amp;DH$2)</f>
        <v>2</v>
      </c>
      <c r="DI25" s="206">
        <f>SUMIFS(領用表!$L:$L,領用表!$E:$E,$B25,領用表!$B:$B,$DE$2&amp;DI$2)</f>
        <v>0</v>
      </c>
      <c r="DJ25" s="206">
        <f>SUMIFS(領用表!$L:$L,領用表!$E:$E,$B25,領用表!$B:$B,$DE$2&amp;DJ$2)</f>
        <v>0</v>
      </c>
      <c r="DK25" s="208">
        <f>SUMIFS(領用表!$L:$L,領用表!$A:$A,DK$2,領用表!$E:$E,$B25)</f>
        <v>138</v>
      </c>
      <c r="DL25" s="206">
        <f>SUMIFS(領用表!$L:$L,領用表!$E:$E,$B25,領用表!$B:$B,DK$2&amp;DL$2)</f>
        <v>97</v>
      </c>
      <c r="DM25" s="206">
        <f>SUMIFS(領用表!$L:$L,領用表!$E:$E,$B25,領用表!$B:$B,$DK$2&amp;DM$2)</f>
        <v>0</v>
      </c>
      <c r="DN25" s="206">
        <f>SUMIFS(領用表!$L:$L,領用表!$E:$E,$B25,領用表!$B:$B,$DK$2&amp;DN$2)</f>
        <v>25</v>
      </c>
      <c r="DO25" s="206">
        <f>SUMIFS(領用表!$L:$L,領用表!$E:$E,$B25,領用表!$B:$B,$DK$2&amp;DO$2)</f>
        <v>0</v>
      </c>
      <c r="DP25" s="206">
        <f>SUMIFS(領用表!$L:$L,領用表!$E:$E,$B25,領用表!$B:$B,$DK$2&amp;DP$2)</f>
        <v>16</v>
      </c>
      <c r="DQ25" s="206">
        <f t="shared" si="2"/>
        <v>437</v>
      </c>
      <c r="DR25" s="206">
        <f t="shared" si="5"/>
        <v>87.4</v>
      </c>
      <c r="DS25" s="206">
        <f t="shared" si="6"/>
        <v>40</v>
      </c>
      <c r="DT25" s="206">
        <v>20</v>
      </c>
      <c r="DU25" s="206">
        <v>0</v>
      </c>
      <c r="DV25" s="206">
        <v>20</v>
      </c>
      <c r="DW25" s="206">
        <v>0</v>
      </c>
      <c r="DX25" s="215">
        <v>160</v>
      </c>
      <c r="DY25" s="210"/>
      <c r="DZ25" s="211" t="s">
        <v>791</v>
      </c>
      <c r="EA25" s="211" t="s">
        <v>792</v>
      </c>
      <c r="EB25" s="136"/>
      <c r="EC25" s="212"/>
      <c r="ED25" s="118">
        <f>IFERROR(VLOOKUP(A25,站前4樓!A:BF,57,0),0)</f>
        <v>45</v>
      </c>
      <c r="EE25" s="213">
        <f>IFERROR(VLOOKUP(A25,站前11樓!A:BE,57,0),0)</f>
        <v>0</v>
      </c>
      <c r="EF25" s="118">
        <f>IFERROR(VLOOKUP(A25,忠孝7樓!A:N,57,0),0)</f>
        <v>0</v>
      </c>
      <c r="EG25" s="118">
        <f>IFERROR(VLOOKUP(A25,忠孝國際醫學3樓!A:L,57,0),0)</f>
        <v>0</v>
      </c>
      <c r="EH25" s="118">
        <f t="shared" si="7"/>
        <v>45</v>
      </c>
      <c r="EJ25" s="118">
        <v>344</v>
      </c>
      <c r="EK25" s="118">
        <v>118</v>
      </c>
    </row>
    <row r="26" spans="1:141" s="118" customFormat="1" ht="15.75" customHeight="1">
      <c r="A26" s="136" t="s">
        <v>48</v>
      </c>
      <c r="C26" s="133" t="s">
        <v>473</v>
      </c>
      <c r="D26" s="197">
        <v>1</v>
      </c>
      <c r="E26" s="198" t="s">
        <v>15</v>
      </c>
      <c r="F26" s="199">
        <f>SUMIF(站前4樓!B:B,B26,站前4樓!F:F)</f>
        <v>0</v>
      </c>
      <c r="G26" s="199">
        <f>SUMIF(站前11樓!B:B,B26,站前11樓!F:F)</f>
        <v>0</v>
      </c>
      <c r="H26" s="199">
        <f>SUMIF(忠孝7樓!B:B,B26,忠孝7樓!G:G)</f>
        <v>0</v>
      </c>
      <c r="I26" s="199">
        <f>SUMIF(忠孝國際醫學3樓!B:B,B26,忠孝國際醫學3樓!G:G)</f>
        <v>0</v>
      </c>
      <c r="J26" s="199">
        <f>SUMIF(忠孝健康7樓!B:B,B26,忠孝健康7樓!G:G)</f>
        <v>0</v>
      </c>
      <c r="K26" s="200">
        <v>0</v>
      </c>
      <c r="L26" s="200">
        <v>0</v>
      </c>
      <c r="M26" s="200">
        <v>0</v>
      </c>
      <c r="N26" s="200">
        <v>0</v>
      </c>
      <c r="O26" s="200">
        <v>0</v>
      </c>
      <c r="P26" s="200">
        <v>0</v>
      </c>
      <c r="Q26" s="200">
        <v>0</v>
      </c>
      <c r="R26" s="200">
        <v>0</v>
      </c>
      <c r="S26" s="200">
        <v>0</v>
      </c>
      <c r="T26" s="200">
        <v>0</v>
      </c>
      <c r="U26" s="200">
        <v>0</v>
      </c>
      <c r="V26" s="200">
        <v>0</v>
      </c>
      <c r="W26" s="200">
        <v>0</v>
      </c>
      <c r="X26" s="200">
        <v>0</v>
      </c>
      <c r="Y26" s="200">
        <v>0</v>
      </c>
      <c r="Z26" s="200">
        <v>0</v>
      </c>
      <c r="AA26" s="200">
        <v>0</v>
      </c>
      <c r="AB26" s="200">
        <v>0</v>
      </c>
      <c r="AC26" s="200">
        <v>0</v>
      </c>
      <c r="AD26" s="200">
        <v>0</v>
      </c>
      <c r="AE26" s="200">
        <v>0</v>
      </c>
      <c r="AF26" s="200">
        <v>0</v>
      </c>
      <c r="AG26" s="200">
        <v>0</v>
      </c>
      <c r="AH26" s="200">
        <v>0</v>
      </c>
      <c r="AI26" s="200">
        <v>0</v>
      </c>
      <c r="AJ26" s="200">
        <v>0</v>
      </c>
      <c r="AK26" s="200">
        <v>0</v>
      </c>
      <c r="AL26" s="200">
        <v>0</v>
      </c>
      <c r="AM26" s="200">
        <v>0</v>
      </c>
      <c r="AN26" s="200">
        <v>0</v>
      </c>
      <c r="AO26" s="200">
        <v>0</v>
      </c>
      <c r="AP26" s="200">
        <v>0</v>
      </c>
      <c r="AQ26" s="200">
        <v>0</v>
      </c>
      <c r="AR26" s="200">
        <v>0</v>
      </c>
      <c r="AS26" s="200">
        <v>0</v>
      </c>
      <c r="AT26" s="200">
        <v>0</v>
      </c>
      <c r="AU26" s="200">
        <v>0</v>
      </c>
      <c r="AV26" s="204" t="s">
        <v>49</v>
      </c>
      <c r="AW26" s="204" t="s">
        <v>49</v>
      </c>
      <c r="AX26" s="204" t="s">
        <v>49</v>
      </c>
      <c r="AY26" s="204" t="s">
        <v>49</v>
      </c>
      <c r="AZ26" s="204" t="s">
        <v>49</v>
      </c>
      <c r="BA26" s="203">
        <v>0</v>
      </c>
      <c r="BB26" s="203">
        <v>0</v>
      </c>
      <c r="BC26" s="203">
        <f>SUMIFS(領用表!$L:$L,領用表!$A:$A,BC$2,領用表!$E:$E,B26)</f>
        <v>0</v>
      </c>
      <c r="BD26" s="206">
        <f>SUMIFS(領用表!$L:$L,領用表!$E:$E,$B26,領用表!$B:$B,BC$2&amp;BD$2)</f>
        <v>0</v>
      </c>
      <c r="BE26" s="206">
        <f>SUMIFS(領用表!$L:$L,領用表!$E:$E,$B26,領用表!$B:$B,$BC$2&amp;BE$2)</f>
        <v>0</v>
      </c>
      <c r="BF26" s="206">
        <f>SUMIFS(領用表!$L:$L,領用表!$E:$E,$B26,領用表!$B:$B,$BC$2&amp;BF$2)</f>
        <v>0</v>
      </c>
      <c r="BG26" s="206">
        <f>SUMIFS(領用表!$L:$L,領用表!$E:$E,$B26,領用表!$B:$B,$BC$2&amp;BG$2)</f>
        <v>0</v>
      </c>
      <c r="BH26" s="203">
        <f>SUMIFS(領用表!$L:$L,領用表!$A:$A,BH$2,領用表!$E:$E,B26)</f>
        <v>0</v>
      </c>
      <c r="BI26" s="206">
        <f>SUMIFS(領用表!$L:$L,領用表!$E:$E,$B26,領用表!$B:$B,BH$2&amp;BI$2)</f>
        <v>0</v>
      </c>
      <c r="BJ26" s="206">
        <f>SUMIFS(領用表!$L:$L,領用表!$E:$E,$B26,領用表!$B:$B,$BH$2&amp;BJ$2)</f>
        <v>0</v>
      </c>
      <c r="BK26" s="206">
        <f>SUMIFS(領用表!$L:$L,領用表!$E:$E,$B26,領用表!$B:$B,$BH$2&amp;BK$2)</f>
        <v>0</v>
      </c>
      <c r="BL26" s="206">
        <f>SUMIFS(領用表!$L:$L,領用表!$E:$E,$B26,領用表!$B:$B,$BH$2&amp;BL$2)</f>
        <v>0</v>
      </c>
      <c r="BM26" s="203">
        <f>SUMIFS(領用表!$L:$L,領用表!$A:$A,BM$2,領用表!$E:$E,B26)</f>
        <v>0</v>
      </c>
      <c r="BN26" s="206">
        <f>SUMIFS(領用表!$L:$L,領用表!$E:$E,$B26,領用表!$B:$B,BM$2&amp;BN$2)</f>
        <v>0</v>
      </c>
      <c r="BO26" s="206">
        <f>SUMIFS(領用表!$L:$L,領用表!$E:$E,$B26,領用表!$B:$B,$BM$2&amp;BO$2)</f>
        <v>0</v>
      </c>
      <c r="BP26" s="206">
        <f>SUMIFS(領用表!$L:$L,領用表!$E:$E,$B26,領用表!$B:$B,$BM$2&amp;BP$2)</f>
        <v>0</v>
      </c>
      <c r="BQ26" s="206">
        <f>SUMIFS(領用表!$L:$L,領用表!$E:$E,$B26,領用表!$B:$B,$BM$2&amp;BQ$2)</f>
        <v>0</v>
      </c>
      <c r="BR26" s="203">
        <f>SUMIFS(領用表!$L:$L,領用表!$A:$A,BR$2,領用表!$E:$E,B26)</f>
        <v>0</v>
      </c>
      <c r="BS26" s="206">
        <f>SUMIFS(領用表!$L:$L,領用表!$E:$E,$B26,領用表!$B:$B,BR$2&amp;BS$2)</f>
        <v>0</v>
      </c>
      <c r="BT26" s="206">
        <f>SUMIFS(領用表!$L:$L,領用表!$E:$E,$B26,領用表!$B:$B,$BR$2&amp;BT$2)</f>
        <v>0</v>
      </c>
      <c r="BU26" s="206">
        <f>SUMIFS(領用表!$L:$L,領用表!$E:$E,$B26,領用表!$B:$B,$BR$2&amp;BU$2)</f>
        <v>0</v>
      </c>
      <c r="BV26" s="206">
        <f>SUMIFS(領用表!$L:$L,領用表!$E:$E,$B26,領用表!$B:$B,$BR$2&amp;BV$2)</f>
        <v>0</v>
      </c>
      <c r="BW26" s="203">
        <f>SUMIFS(領用表!$L:$L,領用表!$A:$A,BW$2,領用表!$E:$E,B26)</f>
        <v>0</v>
      </c>
      <c r="BX26" s="206">
        <f>SUMIFS(領用表!$L:$L,領用表!$E:$E,$B26,領用表!$B:$B,BW$2&amp;BX$2)</f>
        <v>0</v>
      </c>
      <c r="BY26" s="206">
        <f>SUMIFS(領用表!$L:$L,領用表!$E:$E,$B26,領用表!$B:$B,$BW$2&amp;BY$2)</f>
        <v>0</v>
      </c>
      <c r="BZ26" s="206">
        <f>SUMIFS(領用表!$L:$L,領用表!$E:$E,$B26,領用表!$B:$B,$BW$2&amp;BZ$2)</f>
        <v>0</v>
      </c>
      <c r="CA26" s="206">
        <f>SUMIFS(領用表!$L:$L,領用表!$E:$E,$B26,領用表!$B:$B,$BW$2&amp;CA$2)</f>
        <v>0</v>
      </c>
      <c r="CB26" s="208">
        <f>SUMIFS(領用表!$L:$L,領用表!$A:$A,CB$2,領用表!$E:$E,B26)</f>
        <v>0</v>
      </c>
      <c r="CC26" s="206">
        <f>SUMIFS(領用表!$L:$L,領用表!$E:$E,$B26,領用表!$B:$B,CB$2&amp;CC$2)</f>
        <v>0</v>
      </c>
      <c r="CD26" s="206">
        <f>SUMIFS(領用表!$L:$L,領用表!$E:$E,$B26,領用表!$B:$B,$CB$2&amp;CD$2)</f>
        <v>0</v>
      </c>
      <c r="CE26" s="206">
        <f>SUMIFS(領用表!$L:$L,領用表!$E:$E,$B26,領用表!$B:$B,$CB$2&amp;CE$2)</f>
        <v>0</v>
      </c>
      <c r="CF26" s="206">
        <f>SUMIFS(領用表!$L:$L,領用表!$E:$E,$B26,領用表!$B:$B,$CB$2&amp;CF$2)</f>
        <v>0</v>
      </c>
      <c r="CG26" s="208">
        <f>SUMIFS(領用表!$L:$L,領用表!$A:$A,CG$2,領用表!$E:$E,B26)</f>
        <v>0</v>
      </c>
      <c r="CH26" s="206">
        <f>SUMIFS(領用表!$L:$L,領用表!$E:$E,$B26,領用表!$B:$B,CG$2&amp;CH$2)</f>
        <v>0</v>
      </c>
      <c r="CI26" s="206">
        <f>SUMIFS(領用表!$L:$L,領用表!$E:$E,$B26,領用表!$B:$B,CG$2&amp;CI$2)</f>
        <v>0</v>
      </c>
      <c r="CJ26" s="206">
        <f>SUMIFS(領用表!$L:$L,領用表!$E:$E,$B26,領用表!$B:$B,CG$2&amp;CJ$2)</f>
        <v>0</v>
      </c>
      <c r="CK26" s="206">
        <f>SUMIFS(領用表!$L:$L,領用表!$E:$E,$B26,領用表!$B:$B,$CG$2&amp;CK$2)</f>
        <v>0</v>
      </c>
      <c r="CL26" s="207">
        <f t="shared" si="3"/>
        <v>0</v>
      </c>
      <c r="CM26" s="207">
        <f t="shared" si="4"/>
        <v>0</v>
      </c>
      <c r="CN26" s="208">
        <f>SUMIFS(領用表!$L:$L,領用表!$A:$A,CN$2,領用表!$E:$E,B26)</f>
        <v>0</v>
      </c>
      <c r="CO26" s="206">
        <f>SUMIFS(領用表!$L:$L,領用表!$E:$E,$B26,領用表!$B:$B,CN$2&amp;CO$2)</f>
        <v>0</v>
      </c>
      <c r="CP26" s="206">
        <f>SUMIFS(領用表!$L:$L,領用表!$E:$E,$B26,領用表!$B:$B,$CN$2&amp;CP$2)</f>
        <v>0</v>
      </c>
      <c r="CQ26" s="206">
        <f>SUMIFS(領用表!$L:$L,領用表!$E:$E,$B26,領用表!$B:$B,$CN$2&amp;CQ$2)</f>
        <v>0</v>
      </c>
      <c r="CR26" s="206">
        <f>SUMIFS(領用表!$L:$L,領用表!$E:$E,$B26,領用表!$B:$B,$CN$2&amp;CR$2)</f>
        <v>0</v>
      </c>
      <c r="CS26" s="208">
        <f>SUMIFS(領用表!$L:$L,領用表!$A:$A,CS$2,領用表!$E:$E,B26)</f>
        <v>0</v>
      </c>
      <c r="CT26" s="206">
        <f>SUMIFS(領用表!$L:$L,領用表!$E:$E,$B26,領用表!$B:$B,CS$2&amp;CT$2)</f>
        <v>0</v>
      </c>
      <c r="CU26" s="206">
        <f>SUMIFS(領用表!$L:$L,領用表!$E:$E,$B26,領用表!$B:$B,$CS$2&amp;CU$2)</f>
        <v>0</v>
      </c>
      <c r="CV26" s="206">
        <f>SUMIFS(領用表!$L:$L,領用表!$E:$E,$B26,領用表!$B:$B,$CS$2&amp;CV$2)</f>
        <v>0</v>
      </c>
      <c r="CW26" s="206">
        <f>SUMIFS(領用表!$L:$L,領用表!$E:$E,$B26,領用表!$B:$B,$CS$2&amp;CW$2)</f>
        <v>0</v>
      </c>
      <c r="CX26" s="206">
        <f>SUMIFS(領用表!$L:$L,領用表!$E:$E,$B26,領用表!$B:$B,$CS$2&amp;CX$2)</f>
        <v>0</v>
      </c>
      <c r="CY26" s="208">
        <f>SUMIFS(領用表!$L:$L,領用表!$A:$A,CY$2,領用表!$E:$E,B26)</f>
        <v>0</v>
      </c>
      <c r="CZ26" s="206">
        <f>SUMIFS(領用表!$L:$L,領用表!$E:$E,$B26,領用表!$B:$B,CY$2&amp;CZ$2)</f>
        <v>0</v>
      </c>
      <c r="DA26" s="206">
        <f>SUMIFS(領用表!$L:$L,領用表!$E:$E,$B26,領用表!$B:$B,$CY$2&amp;DA$2)</f>
        <v>0</v>
      </c>
      <c r="DB26" s="206">
        <f>SUMIFS(領用表!$L:$L,領用表!$E:$E,$B26,領用表!$B:$B,$CY$2&amp;DB$2)</f>
        <v>0</v>
      </c>
      <c r="DC26" s="206">
        <f>SUMIFS(領用表!$L:$L,領用表!$E:$E,$B26,領用表!$B:$B,$CY$2&amp;DC$2)</f>
        <v>0</v>
      </c>
      <c r="DD26" s="206">
        <f>SUMIFS(領用表!$L:$L,領用表!$E:$E,$B26,領用表!$B:$B,$CY$2&amp;DD$2)</f>
        <v>0</v>
      </c>
      <c r="DE26" s="208">
        <f>SUMIFS(領用表!$L:$L,領用表!$A:$A,DE$2,領用表!$E:$E,B26)</f>
        <v>0</v>
      </c>
      <c r="DF26" s="206">
        <f>SUMIFS(領用表!$L:$L,領用表!$E:$E,$B26,領用表!$B:$B,DE$2&amp;DF$2)</f>
        <v>0</v>
      </c>
      <c r="DG26" s="206">
        <f>SUMIFS(領用表!$L:$L,領用表!$E:$E,$B26,領用表!$B:$B,$DE$2&amp;DG$2)</f>
        <v>0</v>
      </c>
      <c r="DH26" s="206">
        <f>SUMIFS(領用表!$L:$L,領用表!$E:$E,$B26,領用表!$B:$B,$DE$2&amp;DH$2)</f>
        <v>0</v>
      </c>
      <c r="DI26" s="206">
        <f>SUMIFS(領用表!$L:$L,領用表!$E:$E,$B26,領用表!$B:$B,$DE$2&amp;DI$2)</f>
        <v>0</v>
      </c>
      <c r="DJ26" s="206">
        <f>SUMIFS(領用表!$L:$L,領用表!$E:$E,$B26,領用表!$B:$B,$DE$2&amp;DJ$2)</f>
        <v>0</v>
      </c>
      <c r="DK26" s="208">
        <f>SUMIFS(領用表!$L:$L,領用表!$A:$A,DK$2,領用表!$E:$E,$B26)</f>
        <v>0</v>
      </c>
      <c r="DL26" s="206">
        <f>SUMIFS(領用表!$L:$L,領用表!$E:$E,$B26,領用表!$B:$B,DK$2&amp;DL$2)</f>
        <v>0</v>
      </c>
      <c r="DM26" s="206">
        <f>SUMIFS(領用表!$L:$L,領用表!$E:$E,$B26,領用表!$B:$B,$DK$2&amp;DM$2)</f>
        <v>0</v>
      </c>
      <c r="DN26" s="206">
        <f>SUMIFS(領用表!$L:$L,領用表!$E:$E,$B26,領用表!$B:$B,$DK$2&amp;DN$2)</f>
        <v>0</v>
      </c>
      <c r="DO26" s="206">
        <f>SUMIFS(領用表!$L:$L,領用表!$E:$E,$B26,領用表!$B:$B,$DK$2&amp;DO$2)</f>
        <v>0</v>
      </c>
      <c r="DP26" s="206">
        <f>SUMIFS(領用表!$L:$L,領用表!$E:$E,$B26,領用表!$B:$B,$DK$2&amp;DP$2)</f>
        <v>0</v>
      </c>
      <c r="DQ26" s="206">
        <f t="shared" si="2"/>
        <v>0</v>
      </c>
      <c r="DR26" s="206">
        <f t="shared" si="5"/>
        <v>0</v>
      </c>
      <c r="DS26" s="206">
        <f t="shared" si="6"/>
        <v>0</v>
      </c>
      <c r="DT26" s="206">
        <v>0</v>
      </c>
      <c r="DU26" s="206">
        <v>0</v>
      </c>
      <c r="DV26" s="206">
        <v>0</v>
      </c>
      <c r="DW26" s="206">
        <v>0</v>
      </c>
      <c r="DX26" s="209"/>
      <c r="DY26" s="471"/>
      <c r="DZ26" s="226"/>
      <c r="EA26" s="226"/>
      <c r="EB26" s="136" t="s">
        <v>793</v>
      </c>
      <c r="EC26" s="212"/>
      <c r="ED26" s="118">
        <f>IFERROR(VLOOKUP(A26,站前4樓!A:BF,57,0),0)</f>
        <v>0</v>
      </c>
      <c r="EE26" s="213">
        <f>IFERROR(VLOOKUP(A26,站前11樓!A:BE,57,0),0)</f>
        <v>0</v>
      </c>
      <c r="EF26" s="118">
        <f>IFERROR(VLOOKUP(A26,忠孝7樓!A:N,57,0),0)</f>
        <v>0</v>
      </c>
      <c r="EG26" s="118">
        <f>IFERROR(VLOOKUP(A26,忠孝國際醫學3樓!A:L,57,0),0)</f>
        <v>0</v>
      </c>
      <c r="EH26" s="118">
        <f t="shared" si="7"/>
        <v>0</v>
      </c>
      <c r="EJ26" s="118">
        <v>23</v>
      </c>
      <c r="EK26" s="118">
        <v>62.5</v>
      </c>
    </row>
    <row r="27" spans="1:141" s="118" customFormat="1" ht="15.75" customHeight="1">
      <c r="A27" s="136" t="s">
        <v>51</v>
      </c>
      <c r="C27" s="133" t="s">
        <v>474</v>
      </c>
      <c r="D27" s="197">
        <v>1</v>
      </c>
      <c r="E27" s="198" t="s">
        <v>15</v>
      </c>
      <c r="F27" s="199">
        <f>SUMIF(站前4樓!B:B,B27,站前4樓!F:F)</f>
        <v>0</v>
      </c>
      <c r="G27" s="199">
        <f>SUMIF(站前11樓!B:B,B27,站前11樓!F:F)</f>
        <v>0</v>
      </c>
      <c r="H27" s="199">
        <f>SUMIF(忠孝7樓!B:B,B27,忠孝7樓!G:G)</f>
        <v>0</v>
      </c>
      <c r="I27" s="199">
        <f>SUMIF(忠孝國際醫學3樓!B:B,B27,忠孝國際醫學3樓!G:G)</f>
        <v>0</v>
      </c>
      <c r="J27" s="199">
        <f>SUMIF(忠孝健康7樓!B:B,B27,忠孝健康7樓!G:G)</f>
        <v>0</v>
      </c>
      <c r="K27" s="200">
        <v>0</v>
      </c>
      <c r="L27" s="200">
        <v>0</v>
      </c>
      <c r="M27" s="200">
        <v>0</v>
      </c>
      <c r="N27" s="200">
        <v>0</v>
      </c>
      <c r="O27" s="200">
        <v>0</v>
      </c>
      <c r="P27" s="200">
        <v>0</v>
      </c>
      <c r="Q27" s="200">
        <v>0</v>
      </c>
      <c r="R27" s="200">
        <v>0</v>
      </c>
      <c r="S27" s="200">
        <v>0</v>
      </c>
      <c r="T27" s="200">
        <v>0</v>
      </c>
      <c r="U27" s="200">
        <v>0</v>
      </c>
      <c r="V27" s="200">
        <v>0</v>
      </c>
      <c r="W27" s="200">
        <v>0</v>
      </c>
      <c r="X27" s="200">
        <v>0</v>
      </c>
      <c r="Y27" s="200">
        <v>0</v>
      </c>
      <c r="Z27" s="200">
        <v>0</v>
      </c>
      <c r="AA27" s="200">
        <v>0</v>
      </c>
      <c r="AB27" s="200">
        <v>0</v>
      </c>
      <c r="AC27" s="200">
        <v>0</v>
      </c>
      <c r="AD27" s="200">
        <v>0</v>
      </c>
      <c r="AE27" s="200">
        <v>0</v>
      </c>
      <c r="AF27" s="200">
        <v>0</v>
      </c>
      <c r="AG27" s="200">
        <v>0</v>
      </c>
      <c r="AH27" s="200">
        <v>0</v>
      </c>
      <c r="AI27" s="200">
        <v>0</v>
      </c>
      <c r="AJ27" s="200">
        <v>0</v>
      </c>
      <c r="AK27" s="200">
        <v>0</v>
      </c>
      <c r="AL27" s="200">
        <v>0</v>
      </c>
      <c r="AM27" s="200">
        <v>0</v>
      </c>
      <c r="AN27" s="200">
        <v>0</v>
      </c>
      <c r="AO27" s="200">
        <v>0</v>
      </c>
      <c r="AP27" s="200">
        <v>0</v>
      </c>
      <c r="AQ27" s="200">
        <v>0</v>
      </c>
      <c r="AR27" s="200">
        <v>0</v>
      </c>
      <c r="AS27" s="200">
        <v>0</v>
      </c>
      <c r="AT27" s="200">
        <v>0</v>
      </c>
      <c r="AU27" s="200">
        <v>0</v>
      </c>
      <c r="AV27" s="204" t="s">
        <v>49</v>
      </c>
      <c r="AW27" s="204" t="s">
        <v>49</v>
      </c>
      <c r="AX27" s="204" t="s">
        <v>49</v>
      </c>
      <c r="AY27" s="204" t="s">
        <v>49</v>
      </c>
      <c r="AZ27" s="204" t="s">
        <v>49</v>
      </c>
      <c r="BA27" s="203">
        <v>0</v>
      </c>
      <c r="BB27" s="203">
        <v>10</v>
      </c>
      <c r="BC27" s="203">
        <f>SUMIFS(領用表!$L:$L,領用表!$A:$A,BC$2,領用表!$E:$E,B27)</f>
        <v>0</v>
      </c>
      <c r="BD27" s="206">
        <f>SUMIFS(領用表!$L:$L,領用表!$E:$E,$B27,領用表!$B:$B,BC$2&amp;BD$2)</f>
        <v>0</v>
      </c>
      <c r="BE27" s="206">
        <f>SUMIFS(領用表!$L:$L,領用表!$E:$E,$B27,領用表!$B:$B,$BC$2&amp;BE$2)</f>
        <v>0</v>
      </c>
      <c r="BF27" s="206">
        <f>SUMIFS(領用表!$L:$L,領用表!$E:$E,$B27,領用表!$B:$B,$BC$2&amp;BF$2)</f>
        <v>0</v>
      </c>
      <c r="BG27" s="206">
        <f>SUMIFS(領用表!$L:$L,領用表!$E:$E,$B27,領用表!$B:$B,$BC$2&amp;BG$2)</f>
        <v>0</v>
      </c>
      <c r="BH27" s="203">
        <f>SUMIFS(領用表!$L:$L,領用表!$A:$A,BH$2,領用表!$E:$E,B27)</f>
        <v>0</v>
      </c>
      <c r="BI27" s="206">
        <f>SUMIFS(領用表!$L:$L,領用表!$E:$E,$B27,領用表!$B:$B,BH$2&amp;BI$2)</f>
        <v>0</v>
      </c>
      <c r="BJ27" s="206">
        <f>SUMIFS(領用表!$L:$L,領用表!$E:$E,$B27,領用表!$B:$B,$BH$2&amp;BJ$2)</f>
        <v>0</v>
      </c>
      <c r="BK27" s="206">
        <f>SUMIFS(領用表!$L:$L,領用表!$E:$E,$B27,領用表!$B:$B,$BH$2&amp;BK$2)</f>
        <v>0</v>
      </c>
      <c r="BL27" s="206">
        <f>SUMIFS(領用表!$L:$L,領用表!$E:$E,$B27,領用表!$B:$B,$BH$2&amp;BL$2)</f>
        <v>0</v>
      </c>
      <c r="BM27" s="203">
        <f>SUMIFS(領用表!$L:$L,領用表!$A:$A,BM$2,領用表!$E:$E,B27)</f>
        <v>0</v>
      </c>
      <c r="BN27" s="206">
        <f>SUMIFS(領用表!$L:$L,領用表!$E:$E,$B27,領用表!$B:$B,BM$2&amp;BN$2)</f>
        <v>0</v>
      </c>
      <c r="BO27" s="206">
        <f>SUMIFS(領用表!$L:$L,領用表!$E:$E,$B27,領用表!$B:$B,$BM$2&amp;BO$2)</f>
        <v>0</v>
      </c>
      <c r="BP27" s="206">
        <f>SUMIFS(領用表!$L:$L,領用表!$E:$E,$B27,領用表!$B:$B,$BM$2&amp;BP$2)</f>
        <v>0</v>
      </c>
      <c r="BQ27" s="206">
        <f>SUMIFS(領用表!$L:$L,領用表!$E:$E,$B27,領用表!$B:$B,$BM$2&amp;BQ$2)</f>
        <v>0</v>
      </c>
      <c r="BR27" s="203">
        <f>SUMIFS(領用表!$L:$L,領用表!$A:$A,BR$2,領用表!$E:$E,B27)</f>
        <v>0</v>
      </c>
      <c r="BS27" s="206">
        <f>SUMIFS(領用表!$L:$L,領用表!$E:$E,$B27,領用表!$B:$B,BR$2&amp;BS$2)</f>
        <v>0</v>
      </c>
      <c r="BT27" s="206">
        <f>SUMIFS(領用表!$L:$L,領用表!$E:$E,$B27,領用表!$B:$B,$BR$2&amp;BT$2)</f>
        <v>0</v>
      </c>
      <c r="BU27" s="206">
        <f>SUMIFS(領用表!$L:$L,領用表!$E:$E,$B27,領用表!$B:$B,$BR$2&amp;BU$2)</f>
        <v>0</v>
      </c>
      <c r="BV27" s="206">
        <f>SUMIFS(領用表!$L:$L,領用表!$E:$E,$B27,領用表!$B:$B,$BR$2&amp;BV$2)</f>
        <v>0</v>
      </c>
      <c r="BW27" s="203">
        <f>SUMIFS(領用表!$L:$L,領用表!$A:$A,BW$2,領用表!$E:$E,B27)</f>
        <v>0</v>
      </c>
      <c r="BX27" s="206">
        <f>SUMIFS(領用表!$L:$L,領用表!$E:$E,$B27,領用表!$B:$B,BW$2&amp;BX$2)</f>
        <v>0</v>
      </c>
      <c r="BY27" s="206">
        <f>SUMIFS(領用表!$L:$L,領用表!$E:$E,$B27,領用表!$B:$B,$BW$2&amp;BY$2)</f>
        <v>0</v>
      </c>
      <c r="BZ27" s="206">
        <f>SUMIFS(領用表!$L:$L,領用表!$E:$E,$B27,領用表!$B:$B,$BW$2&amp;BZ$2)</f>
        <v>0</v>
      </c>
      <c r="CA27" s="206">
        <f>SUMIFS(領用表!$L:$L,領用表!$E:$E,$B27,領用表!$B:$B,$BW$2&amp;CA$2)</f>
        <v>0</v>
      </c>
      <c r="CB27" s="208">
        <f>SUMIFS(領用表!$L:$L,領用表!$A:$A,CB$2,領用表!$E:$E,B27)</f>
        <v>0</v>
      </c>
      <c r="CC27" s="206">
        <f>SUMIFS(領用表!$L:$L,領用表!$E:$E,$B27,領用表!$B:$B,CB$2&amp;CC$2)</f>
        <v>0</v>
      </c>
      <c r="CD27" s="206">
        <f>SUMIFS(領用表!$L:$L,領用表!$E:$E,$B27,領用表!$B:$B,$CB$2&amp;CD$2)</f>
        <v>0</v>
      </c>
      <c r="CE27" s="206">
        <f>SUMIFS(領用表!$L:$L,領用表!$E:$E,$B27,領用表!$B:$B,$CB$2&amp;CE$2)</f>
        <v>0</v>
      </c>
      <c r="CF27" s="206">
        <f>SUMIFS(領用表!$L:$L,領用表!$E:$E,$B27,領用表!$B:$B,$CB$2&amp;CF$2)</f>
        <v>0</v>
      </c>
      <c r="CG27" s="208">
        <f>SUMIFS(領用表!$L:$L,領用表!$A:$A,CG$2,領用表!$E:$E,B27)</f>
        <v>0</v>
      </c>
      <c r="CH27" s="206">
        <f>SUMIFS(領用表!$L:$L,領用表!$E:$E,$B27,領用表!$B:$B,CG$2&amp;CH$2)</f>
        <v>0</v>
      </c>
      <c r="CI27" s="206">
        <f>SUMIFS(領用表!$L:$L,領用表!$E:$E,$B27,領用表!$B:$B,CG$2&amp;CI$2)</f>
        <v>0</v>
      </c>
      <c r="CJ27" s="206">
        <f>SUMIFS(領用表!$L:$L,領用表!$E:$E,$B27,領用表!$B:$B,CG$2&amp;CJ$2)</f>
        <v>0</v>
      </c>
      <c r="CK27" s="206">
        <f>SUMIFS(領用表!$L:$L,領用表!$E:$E,$B27,領用表!$B:$B,$CG$2&amp;CK$2)</f>
        <v>0</v>
      </c>
      <c r="CL27" s="207">
        <f t="shared" si="3"/>
        <v>10</v>
      </c>
      <c r="CM27" s="207">
        <f t="shared" si="4"/>
        <v>1.1111111111111112</v>
      </c>
      <c r="CN27" s="208">
        <f>SUMIFS(領用表!$L:$L,領用表!$A:$A,CN$2,領用表!$E:$E,B27)</f>
        <v>0</v>
      </c>
      <c r="CO27" s="206">
        <f>SUMIFS(領用表!$L:$L,領用表!$E:$E,$B27,領用表!$B:$B,CN$2&amp;CO$2)</f>
        <v>0</v>
      </c>
      <c r="CP27" s="206">
        <f>SUMIFS(領用表!$L:$L,領用表!$E:$E,$B27,領用表!$B:$B,$CN$2&amp;CP$2)</f>
        <v>0</v>
      </c>
      <c r="CQ27" s="206">
        <f>SUMIFS(領用表!$L:$L,領用表!$E:$E,$B27,領用表!$B:$B,$CN$2&amp;CQ$2)</f>
        <v>0</v>
      </c>
      <c r="CR27" s="206">
        <f>SUMIFS(領用表!$L:$L,領用表!$E:$E,$B27,領用表!$B:$B,$CN$2&amp;CR$2)</f>
        <v>0</v>
      </c>
      <c r="CS27" s="208">
        <f>SUMIFS(領用表!$L:$L,領用表!$A:$A,CS$2,領用表!$E:$E,B27)</f>
        <v>0</v>
      </c>
      <c r="CT27" s="206">
        <f>SUMIFS(領用表!$L:$L,領用表!$E:$E,$B27,領用表!$B:$B,CS$2&amp;CT$2)</f>
        <v>0</v>
      </c>
      <c r="CU27" s="206">
        <f>SUMIFS(領用表!$L:$L,領用表!$E:$E,$B27,領用表!$B:$B,$CS$2&amp;CU$2)</f>
        <v>0</v>
      </c>
      <c r="CV27" s="206">
        <f>SUMIFS(領用表!$L:$L,領用表!$E:$E,$B27,領用表!$B:$B,$CS$2&amp;CV$2)</f>
        <v>0</v>
      </c>
      <c r="CW27" s="206">
        <f>SUMIFS(領用表!$L:$L,領用表!$E:$E,$B27,領用表!$B:$B,$CS$2&amp;CW$2)</f>
        <v>0</v>
      </c>
      <c r="CX27" s="206">
        <f>SUMIFS(領用表!$L:$L,領用表!$E:$E,$B27,領用表!$B:$B,$CS$2&amp;CX$2)</f>
        <v>0</v>
      </c>
      <c r="CY27" s="208">
        <f>SUMIFS(領用表!$L:$L,領用表!$A:$A,CY$2,領用表!$E:$E,B27)</f>
        <v>0</v>
      </c>
      <c r="CZ27" s="206">
        <f>SUMIFS(領用表!$L:$L,領用表!$E:$E,$B27,領用表!$B:$B,CY$2&amp;CZ$2)</f>
        <v>0</v>
      </c>
      <c r="DA27" s="206">
        <f>SUMIFS(領用表!$L:$L,領用表!$E:$E,$B27,領用表!$B:$B,$CY$2&amp;DA$2)</f>
        <v>0</v>
      </c>
      <c r="DB27" s="206">
        <f>SUMIFS(領用表!$L:$L,領用表!$E:$E,$B27,領用表!$B:$B,$CY$2&amp;DB$2)</f>
        <v>0</v>
      </c>
      <c r="DC27" s="206">
        <f>SUMIFS(領用表!$L:$L,領用表!$E:$E,$B27,領用表!$B:$B,$CY$2&amp;DC$2)</f>
        <v>0</v>
      </c>
      <c r="DD27" s="206">
        <f>SUMIFS(領用表!$L:$L,領用表!$E:$E,$B27,領用表!$B:$B,$CY$2&amp;DD$2)</f>
        <v>0</v>
      </c>
      <c r="DE27" s="208">
        <f>SUMIFS(領用表!$L:$L,領用表!$A:$A,DE$2,領用表!$E:$E,B27)</f>
        <v>0</v>
      </c>
      <c r="DF27" s="206">
        <f>SUMIFS(領用表!$L:$L,領用表!$E:$E,$B27,領用表!$B:$B,DE$2&amp;DF$2)</f>
        <v>0</v>
      </c>
      <c r="DG27" s="206">
        <f>SUMIFS(領用表!$L:$L,領用表!$E:$E,$B27,領用表!$B:$B,$DE$2&amp;DG$2)</f>
        <v>0</v>
      </c>
      <c r="DH27" s="206">
        <f>SUMIFS(領用表!$L:$L,領用表!$E:$E,$B27,領用表!$B:$B,$DE$2&amp;DH$2)</f>
        <v>0</v>
      </c>
      <c r="DI27" s="206">
        <f>SUMIFS(領用表!$L:$L,領用表!$E:$E,$B27,領用表!$B:$B,$DE$2&amp;DI$2)</f>
        <v>0</v>
      </c>
      <c r="DJ27" s="206">
        <f>SUMIFS(領用表!$L:$L,領用表!$E:$E,$B27,領用表!$B:$B,$DE$2&amp;DJ$2)</f>
        <v>0</v>
      </c>
      <c r="DK27" s="208">
        <f>SUMIFS(領用表!$L:$L,領用表!$A:$A,DK$2,領用表!$E:$E,$B27)</f>
        <v>0</v>
      </c>
      <c r="DL27" s="206">
        <f>SUMIFS(領用表!$L:$L,領用表!$E:$E,$B27,領用表!$B:$B,DK$2&amp;DL$2)</f>
        <v>0</v>
      </c>
      <c r="DM27" s="206">
        <f>SUMIFS(領用表!$L:$L,領用表!$E:$E,$B27,領用表!$B:$B,$DK$2&amp;DM$2)</f>
        <v>0</v>
      </c>
      <c r="DN27" s="206">
        <f>SUMIFS(領用表!$L:$L,領用表!$E:$E,$B27,領用表!$B:$B,$DK$2&amp;DN$2)</f>
        <v>0</v>
      </c>
      <c r="DO27" s="206">
        <f>SUMIFS(領用表!$L:$L,領用表!$E:$E,$B27,領用表!$B:$B,$DK$2&amp;DO$2)</f>
        <v>0</v>
      </c>
      <c r="DP27" s="206">
        <f>SUMIFS(領用表!$L:$L,領用表!$E:$E,$B27,領用表!$B:$B,$DK$2&amp;DP$2)</f>
        <v>0</v>
      </c>
      <c r="DQ27" s="206">
        <f t="shared" si="2"/>
        <v>0</v>
      </c>
      <c r="DR27" s="206">
        <f t="shared" si="5"/>
        <v>0</v>
      </c>
      <c r="DS27" s="206">
        <f t="shared" si="6"/>
        <v>0</v>
      </c>
      <c r="DT27" s="206">
        <v>0</v>
      </c>
      <c r="DU27" s="206">
        <v>0</v>
      </c>
      <c r="DV27" s="206">
        <v>0</v>
      </c>
      <c r="DW27" s="206">
        <v>0</v>
      </c>
      <c r="DX27" s="209"/>
      <c r="DY27" s="466"/>
      <c r="DZ27" s="226"/>
      <c r="EA27" s="226"/>
      <c r="EB27" s="136" t="s">
        <v>793</v>
      </c>
      <c r="EC27" s="212"/>
      <c r="ED27" s="118">
        <f>IFERROR(VLOOKUP(A27,站前4樓!A:BF,57,0),0)</f>
        <v>0</v>
      </c>
      <c r="EE27" s="213">
        <f>IFERROR(VLOOKUP(A27,站前11樓!A:BE,57,0),0)</f>
        <v>0</v>
      </c>
      <c r="EF27" s="118">
        <f>IFERROR(VLOOKUP(A27,忠孝7樓!A:N,57,0),0)</f>
        <v>0</v>
      </c>
      <c r="EG27" s="118">
        <f>IFERROR(VLOOKUP(A27,忠孝國際醫學3樓!A:L,57,0),0)</f>
        <v>0</v>
      </c>
      <c r="EH27" s="118">
        <f t="shared" si="7"/>
        <v>0</v>
      </c>
      <c r="EJ27" s="118">
        <v>13</v>
      </c>
      <c r="EK27" s="118">
        <v>16</v>
      </c>
    </row>
    <row r="28" spans="1:141" s="118" customFormat="1" ht="15.75" customHeight="1">
      <c r="A28" s="136" t="s">
        <v>52</v>
      </c>
      <c r="B28" s="118">
        <v>6160011</v>
      </c>
      <c r="C28" s="133" t="s">
        <v>475</v>
      </c>
      <c r="D28" s="197">
        <v>6</v>
      </c>
      <c r="E28" s="198" t="s">
        <v>42</v>
      </c>
      <c r="F28" s="199">
        <f>SUMIF(站前4樓!B:B,B28,站前4樓!F:F)</f>
        <v>155</v>
      </c>
      <c r="G28" s="199">
        <f>SUMIF(站前11樓!B:B,B28,站前11樓!F:F)</f>
        <v>0</v>
      </c>
      <c r="H28" s="199">
        <f>SUMIF(忠孝7樓!B:B,B28,忠孝7樓!G:G)</f>
        <v>216.5</v>
      </c>
      <c r="I28" s="199">
        <f>SUMIF(忠孝國際醫學3樓!B:B,B28,忠孝國際醫學3樓!G:G)</f>
        <v>0</v>
      </c>
      <c r="J28" s="199">
        <f>SUMIF(忠孝健康7樓!B:B,B28,忠孝健康7樓!G:G)</f>
        <v>3</v>
      </c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0"/>
      <c r="AI28" s="200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  <c r="AU28" s="203"/>
      <c r="AV28" s="204"/>
      <c r="AW28" s="205"/>
      <c r="AX28" s="203"/>
      <c r="AY28" s="203"/>
      <c r="AZ28" s="203"/>
      <c r="BA28" s="203"/>
      <c r="BB28" s="203"/>
      <c r="BC28" s="203">
        <f>SUMIFS(領用表!$L:$L,領用表!$A:$A,BC$2,領用表!$E:$E,B28)</f>
        <v>153</v>
      </c>
      <c r="BD28" s="206">
        <f>SUMIFS(領用表!$L:$L,領用表!$E:$E,$B28,領用表!$B:$B,BC$2&amp;BD$2)</f>
        <v>153</v>
      </c>
      <c r="BE28" s="206">
        <f>SUMIFS(領用表!$L:$L,領用表!$E:$E,$B28,領用表!$B:$B,$BC$2&amp;BE$2)</f>
        <v>0</v>
      </c>
      <c r="BF28" s="206">
        <f>SUMIFS(領用表!$L:$L,領用表!$E:$E,$B28,領用表!$B:$B,$BC$2&amp;BF$2)</f>
        <v>0</v>
      </c>
      <c r="BG28" s="206">
        <f>SUMIFS(領用表!$L:$L,領用表!$E:$E,$B28,領用表!$B:$B,$BC$2&amp;BG$2)</f>
        <v>0</v>
      </c>
      <c r="BH28" s="203">
        <f>SUMIFS(領用表!$L:$L,領用表!$A:$A,BH$2,領用表!$E:$E,B28)</f>
        <v>458</v>
      </c>
      <c r="BI28" s="206">
        <f>SUMIFS(領用表!$L:$L,領用表!$E:$E,$B28,領用表!$B:$B,BH$2&amp;BI$2)</f>
        <v>278</v>
      </c>
      <c r="BJ28" s="206">
        <f>SUMIFS(領用表!$L:$L,領用表!$E:$E,$B28,領用表!$B:$B,$BH$2&amp;BJ$2)</f>
        <v>0</v>
      </c>
      <c r="BK28" s="206">
        <f>SUMIFS(領用表!$L:$L,領用表!$E:$E,$B28,領用表!$B:$B,$BH$2&amp;BK$2)</f>
        <v>180</v>
      </c>
      <c r="BL28" s="206">
        <f>SUMIFS(領用表!$L:$L,領用表!$E:$E,$B28,領用表!$B:$B,$BH$2&amp;BL$2)</f>
        <v>0</v>
      </c>
      <c r="BM28" s="203">
        <f>SUMIFS(領用表!$L:$L,領用表!$A:$A,BM$2,領用表!$E:$E,B28)</f>
        <v>609</v>
      </c>
      <c r="BN28" s="206">
        <f>SUMIFS(領用表!$L:$L,領用表!$E:$E,$B28,領用表!$B:$B,BM$2&amp;BN$2)</f>
        <v>285</v>
      </c>
      <c r="BO28" s="206">
        <f>SUMIFS(領用表!$L:$L,領用表!$E:$E,$B28,領用表!$B:$B,$BM$2&amp;BO$2)</f>
        <v>0</v>
      </c>
      <c r="BP28" s="206">
        <f>SUMIFS(領用表!$L:$L,領用表!$E:$E,$B28,領用表!$B:$B,$BM$2&amp;BP$2)</f>
        <v>324</v>
      </c>
      <c r="BQ28" s="206">
        <f>SUMIFS(領用表!$L:$L,領用表!$E:$E,$B28,領用表!$B:$B,$BM$2&amp;BQ$2)</f>
        <v>0</v>
      </c>
      <c r="BR28" s="203">
        <f>SUMIFS(領用表!$L:$L,領用表!$A:$A,BR$2,領用表!$E:$E,B28)</f>
        <v>295</v>
      </c>
      <c r="BS28" s="206">
        <f>SUMIFS(領用表!$L:$L,領用表!$E:$E,$B28,領用表!$B:$B,BR$2&amp;BS$2)</f>
        <v>227</v>
      </c>
      <c r="BT28" s="206">
        <f>SUMIFS(領用表!$L:$L,領用表!$E:$E,$B28,領用表!$B:$B,$BR$2&amp;BT$2)</f>
        <v>0</v>
      </c>
      <c r="BU28" s="206">
        <f>SUMIFS(領用表!$L:$L,領用表!$E:$E,$B28,領用表!$B:$B,$BR$2&amp;BU$2)</f>
        <v>68</v>
      </c>
      <c r="BV28" s="206">
        <f>SUMIFS(領用表!$L:$L,領用表!$E:$E,$B28,領用表!$B:$B,$BR$2&amp;BV$2)</f>
        <v>0</v>
      </c>
      <c r="BW28" s="208">
        <f>SUMIFS(領用表!$L:$L,領用表!$A:$A,BW$2,領用表!$E:$E,B28)</f>
        <v>114</v>
      </c>
      <c r="BX28" s="216">
        <f>SUMIFS(領用表!$L:$L,領用表!$E:$E,$B28,領用表!$B:$B,BW$2&amp;BX$2)</f>
        <v>74</v>
      </c>
      <c r="BY28" s="216">
        <f>SUMIFS(領用表!$L:$L,領用表!$E:$E,$B28,領用表!$B:$B,$BW$2&amp;BY$2)</f>
        <v>0</v>
      </c>
      <c r="BZ28" s="216">
        <f>SUMIFS(領用表!$L:$L,領用表!$E:$E,$B28,領用表!$B:$B,$BW$2&amp;BZ$2)</f>
        <v>40</v>
      </c>
      <c r="CA28" s="216">
        <f>SUMIFS(領用表!$L:$L,領用表!$E:$E,$B28,領用表!$B:$B,$BW$2&amp;CA$2)</f>
        <v>0</v>
      </c>
      <c r="CB28" s="208">
        <f>SUMIFS(領用表!$L:$L,領用表!$A:$A,CB$2,領用表!$E:$E,B28)</f>
        <v>165</v>
      </c>
      <c r="CC28" s="216">
        <f>SUMIFS(領用表!$L:$L,領用表!$E:$E,$B28,領用表!$B:$B,CB$2&amp;CC$2)</f>
        <v>114</v>
      </c>
      <c r="CD28" s="216">
        <f>SUMIFS(領用表!$L:$L,領用表!$E:$E,$B28,領用表!$B:$B,$CB$2&amp;CD$2)</f>
        <v>0</v>
      </c>
      <c r="CE28" s="216">
        <f>SUMIFS(領用表!$L:$L,領用表!$E:$E,$B28,領用表!$B:$B,$CB$2&amp;CE$2)</f>
        <v>51</v>
      </c>
      <c r="CF28" s="216">
        <f>SUMIFS(領用表!$L:$L,領用表!$E:$E,$B28,領用表!$B:$B,$CB$2&amp;CF$2)</f>
        <v>0</v>
      </c>
      <c r="CG28" s="217">
        <f>SUMIFS(領用表!$L:$L,領用表!$A:$A,CG$2,領用表!$E:$E,B28)</f>
        <v>1022</v>
      </c>
      <c r="CH28" s="216">
        <f>SUMIFS(領用表!$L:$L,領用表!$E:$E,$B28,領用表!$B:$B,CG$2&amp;CH$2)</f>
        <v>240</v>
      </c>
      <c r="CI28" s="216">
        <f>SUMIFS(領用表!$L:$L,領用表!$E:$E,$B28,領用表!$B:$B,CG$2&amp;CI$2)</f>
        <v>0</v>
      </c>
      <c r="CJ28" s="216">
        <f>SUMIFS(領用表!$L:$L,領用表!$E:$E,$B28,領用表!$B:$B,CG$2&amp;CJ$2)</f>
        <v>782</v>
      </c>
      <c r="CK28" s="216">
        <f>SUMIFS(領用表!$L:$L,領用表!$E:$E,$B28,領用表!$B:$B,$CG$2&amp;CK$2)</f>
        <v>0</v>
      </c>
      <c r="CL28" s="207">
        <f t="shared" si="3"/>
        <v>2816</v>
      </c>
      <c r="CM28" s="207">
        <f t="shared" si="4"/>
        <v>402.28571428571428</v>
      </c>
      <c r="CN28" s="217">
        <f>SUMIFS(領用表!$L:$L,領用表!$A:$A,CN$2,領用表!$E:$E,B28)</f>
        <v>1359</v>
      </c>
      <c r="CO28" s="216">
        <f>SUMIFS(領用表!$L:$L,領用表!$E:$E,$B28,領用表!$B:$B,CN$2&amp;CO$2)</f>
        <v>356</v>
      </c>
      <c r="CP28" s="216">
        <f>SUMIFS(領用表!$L:$L,領用表!$E:$E,$B28,領用表!$B:$B,$CN$2&amp;CP$2)</f>
        <v>0</v>
      </c>
      <c r="CQ28" s="216">
        <f>SUMIFS(領用表!$L:$L,領用表!$E:$E,$B28,領用表!$B:$B,$CN$2&amp;CQ$2)</f>
        <v>1003</v>
      </c>
      <c r="CR28" s="216">
        <f>SUMIFS(領用表!$L:$L,領用表!$E:$E,$B28,領用表!$B:$B,$CN$2&amp;CR$2)</f>
        <v>0</v>
      </c>
      <c r="CS28" s="208">
        <f>SUMIFS(領用表!$L:$L,領用表!$A:$A,CS$2,領用表!$E:$E,B28)</f>
        <v>1368</v>
      </c>
      <c r="CT28" s="216">
        <f>SUMIFS(領用表!$L:$L,領用表!$E:$E,$B28,領用表!$B:$B,CS$2&amp;CT$2)</f>
        <v>452</v>
      </c>
      <c r="CU28" s="216">
        <f>SUMIFS(領用表!$L:$L,領用表!$E:$E,$B28,領用表!$B:$B,$CS$2&amp;CU$2)</f>
        <v>0</v>
      </c>
      <c r="CV28" s="216">
        <f>SUMIFS(領用表!$L:$L,領用表!$E:$E,$B28,領用表!$B:$B,$CS$2&amp;CV$2)</f>
        <v>865</v>
      </c>
      <c r="CW28" s="216">
        <f>SUMIFS(領用表!$L:$L,領用表!$E:$E,$B28,領用表!$B:$B,$CS$2&amp;CW$2)</f>
        <v>0</v>
      </c>
      <c r="CX28" s="216">
        <f>SUMIFS(領用表!$L:$L,領用表!$E:$E,$B28,領用表!$B:$B,$CS$2&amp;CX$2)</f>
        <v>51</v>
      </c>
      <c r="CY28" s="208">
        <f>SUMIFS(領用表!$L:$L,領用表!$A:$A,CY$2,領用表!$E:$E,B28)</f>
        <v>1559</v>
      </c>
      <c r="CZ28" s="216">
        <f>SUMIFS(領用表!$L:$L,領用表!$E:$E,$B28,領用表!$B:$B,CY$2&amp;CZ$2)</f>
        <v>520</v>
      </c>
      <c r="DA28" s="216">
        <f>SUMIFS(領用表!$L:$L,領用表!$E:$E,$B28,領用表!$B:$B,$CY$2&amp;DA$2)</f>
        <v>0</v>
      </c>
      <c r="DB28" s="216">
        <f>SUMIFS(領用表!$L:$L,領用表!$E:$E,$B28,領用表!$B:$B,$CY$2&amp;DB$2)</f>
        <v>881</v>
      </c>
      <c r="DC28" s="216">
        <f>SUMIFS(領用表!$L:$L,領用表!$E:$E,$B28,領用表!$B:$B,$CY$2&amp;DC$2)</f>
        <v>0</v>
      </c>
      <c r="DD28" s="216">
        <f>SUMIFS(領用表!$L:$L,領用表!$E:$E,$B28,領用表!$B:$B,$CY$2&amp;DD$2)</f>
        <v>158</v>
      </c>
      <c r="DE28" s="208">
        <f>SUMIFS(領用表!$L:$L,領用表!$A:$A,DE$2,領用表!$E:$E,B28)</f>
        <v>1669</v>
      </c>
      <c r="DF28" s="216">
        <f>SUMIFS(領用表!$L:$L,領用表!$E:$E,$B28,領用表!$B:$B,DE$2&amp;DF$2)</f>
        <v>508</v>
      </c>
      <c r="DG28" s="216">
        <f>SUMIFS(領用表!$L:$L,領用表!$E:$E,$B28,領用表!$B:$B,$DE$2&amp;DG$2)</f>
        <v>0</v>
      </c>
      <c r="DH28" s="216">
        <f>SUMIFS(領用表!$L:$L,領用表!$E:$E,$B28,領用表!$B:$B,$DE$2&amp;DH$2)</f>
        <v>914</v>
      </c>
      <c r="DI28" s="216">
        <f>SUMIFS(領用表!$L:$L,領用表!$E:$E,$B28,領用表!$B:$B,$DE$2&amp;DI$2)</f>
        <v>0</v>
      </c>
      <c r="DJ28" s="216">
        <f>SUMIFS(領用表!$L:$L,領用表!$E:$E,$B28,領用表!$B:$B,$DE$2&amp;DJ$2)</f>
        <v>247</v>
      </c>
      <c r="DK28" s="208">
        <f>SUMIFS(領用表!$L:$L,領用表!$A:$A,DK$2,領用表!$E:$E,$B28)</f>
        <v>1518</v>
      </c>
      <c r="DL28" s="216">
        <f>SUMIFS(領用表!$L:$L,領用表!$E:$E,$B28,領用表!$B:$B,DK$2&amp;DL$2)</f>
        <v>422</v>
      </c>
      <c r="DM28" s="216">
        <f>SUMIFS(領用表!$L:$L,領用表!$E:$E,$B28,領用表!$B:$B,$DK$2&amp;DM$2)</f>
        <v>0</v>
      </c>
      <c r="DN28" s="216">
        <f>SUMIFS(領用表!$L:$L,領用表!$E:$E,$B28,領用表!$B:$B,$DK$2&amp;DN$2)</f>
        <v>853</v>
      </c>
      <c r="DO28" s="216">
        <f>SUMIFS(領用表!$L:$L,領用表!$E:$E,$B28,領用表!$B:$B,$DK$2&amp;DO$2)</f>
        <v>0</v>
      </c>
      <c r="DP28" s="216">
        <f>SUMIFS(領用表!$L:$L,領用表!$E:$E,$B28,領用表!$B:$B,$DK$2&amp;DP$2)</f>
        <v>243</v>
      </c>
      <c r="DQ28" s="216">
        <f t="shared" si="2"/>
        <v>7473</v>
      </c>
      <c r="DR28" s="216">
        <f t="shared" si="5"/>
        <v>1494.6</v>
      </c>
      <c r="DS28" s="216">
        <f t="shared" si="6"/>
        <v>1350</v>
      </c>
      <c r="DT28" s="216">
        <v>350</v>
      </c>
      <c r="DU28" s="216">
        <v>0</v>
      </c>
      <c r="DV28" s="216">
        <v>1000</v>
      </c>
      <c r="DW28" s="216">
        <v>0</v>
      </c>
      <c r="DX28" s="215">
        <v>480</v>
      </c>
      <c r="DY28" s="472" t="s">
        <v>794</v>
      </c>
      <c r="DZ28" s="211" t="s">
        <v>795</v>
      </c>
      <c r="EA28" s="211"/>
      <c r="EB28" s="136" t="s">
        <v>793</v>
      </c>
      <c r="EC28" s="212"/>
      <c r="ED28" s="118">
        <f>IFERROR(VLOOKUP(A28,站前4樓!A:BF,57,0),0)</f>
        <v>114</v>
      </c>
      <c r="EE28" s="213">
        <f>IFERROR(VLOOKUP(A28,站前11樓!A:BE,57,0),0)</f>
        <v>0</v>
      </c>
      <c r="EF28" s="118">
        <f>IFERROR(VLOOKUP(A28,忠孝7樓!A:N,57,0),0)</f>
        <v>0</v>
      </c>
      <c r="EG28" s="118">
        <f>IFERROR(VLOOKUP(A28,忠孝國際醫學3樓!A:L,57,0),0)</f>
        <v>0</v>
      </c>
      <c r="EH28" s="118">
        <f t="shared" si="7"/>
        <v>114</v>
      </c>
      <c r="EJ28" s="118">
        <v>138</v>
      </c>
      <c r="EK28" s="118">
        <v>375</v>
      </c>
    </row>
    <row r="29" spans="1:141" s="118" customFormat="1" ht="15.75" customHeight="1">
      <c r="A29" s="136" t="s">
        <v>55</v>
      </c>
      <c r="B29" s="118">
        <v>6160010</v>
      </c>
      <c r="C29" s="133" t="s">
        <v>476</v>
      </c>
      <c r="D29" s="197">
        <v>8</v>
      </c>
      <c r="E29" s="198" t="s">
        <v>42</v>
      </c>
      <c r="F29" s="199">
        <f>SUMIF(站前4樓!B:B,B29,站前4樓!F:F)</f>
        <v>80</v>
      </c>
      <c r="G29" s="199">
        <f>SUMIF(站前11樓!B:B,B29,站前11樓!F:F)</f>
        <v>0</v>
      </c>
      <c r="H29" s="199">
        <f>SUMIF(忠孝7樓!B:B,B29,忠孝7樓!G:G)</f>
        <v>193</v>
      </c>
      <c r="I29" s="199">
        <f>SUMIF(忠孝國際醫學3樓!B:B,B29,忠孝國際醫學3樓!G:G)</f>
        <v>0</v>
      </c>
      <c r="J29" s="199">
        <f>SUMIF(忠孝健康7樓!B:B,B29,忠孝健康7樓!G:G)</f>
        <v>18</v>
      </c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0"/>
      <c r="AI29" s="200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3"/>
      <c r="AV29" s="204"/>
      <c r="AW29" s="205"/>
      <c r="AX29" s="203"/>
      <c r="AY29" s="203"/>
      <c r="AZ29" s="203"/>
      <c r="BA29" s="203"/>
      <c r="BB29" s="203"/>
      <c r="BC29" s="203">
        <f>SUMIFS(領用表!$L:$L,領用表!$A:$A,BC$2,領用表!$E:$E,B29)</f>
        <v>38</v>
      </c>
      <c r="BD29" s="206">
        <f>SUMIFS(領用表!$L:$L,領用表!$E:$E,$B29,領用表!$B:$B,BC$2&amp;BD$2)</f>
        <v>38</v>
      </c>
      <c r="BE29" s="206">
        <f>SUMIFS(領用表!$L:$L,領用表!$E:$E,$B29,領用表!$B:$B,$BC$2&amp;BE$2)</f>
        <v>0</v>
      </c>
      <c r="BF29" s="206">
        <f>SUMIFS(領用表!$L:$L,領用表!$E:$E,$B29,領用表!$B:$B,$BC$2&amp;BF$2)</f>
        <v>0</v>
      </c>
      <c r="BG29" s="206">
        <f>SUMIFS(領用表!$L:$L,領用表!$E:$E,$B29,領用表!$B:$B,$BC$2&amp;BG$2)</f>
        <v>0</v>
      </c>
      <c r="BH29" s="203">
        <f>SUMIFS(領用表!$L:$L,領用表!$A:$A,BH$2,領用表!$E:$E,B29)</f>
        <v>163</v>
      </c>
      <c r="BI29" s="206">
        <f>SUMIFS(領用表!$L:$L,領用表!$E:$E,$B29,領用表!$B:$B,BH$2&amp;BI$2)</f>
        <v>85</v>
      </c>
      <c r="BJ29" s="206">
        <f>SUMIFS(領用表!$L:$L,領用表!$E:$E,$B29,領用表!$B:$B,$BH$2&amp;BJ$2)</f>
        <v>0</v>
      </c>
      <c r="BK29" s="206">
        <f>SUMIFS(領用表!$L:$L,領用表!$E:$E,$B29,領用表!$B:$B,$BH$2&amp;BK$2)</f>
        <v>78</v>
      </c>
      <c r="BL29" s="206">
        <f>SUMIFS(領用表!$L:$L,領用表!$E:$E,$B29,領用表!$B:$B,$BH$2&amp;BL$2)</f>
        <v>0</v>
      </c>
      <c r="BM29" s="203">
        <f>SUMIFS(領用表!$L:$L,領用表!$A:$A,BM$2,領用表!$E:$E,B29)</f>
        <v>124</v>
      </c>
      <c r="BN29" s="206">
        <f>SUMIFS(領用表!$L:$L,領用表!$E:$E,$B29,領用表!$B:$B,BM$2&amp;BN$2)</f>
        <v>49</v>
      </c>
      <c r="BO29" s="206">
        <f>SUMIFS(領用表!$L:$L,領用表!$E:$E,$B29,領用表!$B:$B,$BM$2&amp;BO$2)</f>
        <v>0</v>
      </c>
      <c r="BP29" s="206">
        <f>SUMIFS(領用表!$L:$L,領用表!$E:$E,$B29,領用表!$B:$B,$BM$2&amp;BP$2)</f>
        <v>75</v>
      </c>
      <c r="BQ29" s="206">
        <f>SUMIFS(領用表!$L:$L,領用表!$E:$E,$B29,領用表!$B:$B,$BM$2&amp;BQ$2)</f>
        <v>0</v>
      </c>
      <c r="BR29" s="203">
        <f>SUMIFS(領用表!$L:$L,領用表!$A:$A,BR$2,領用表!$E:$E,B29)</f>
        <v>105</v>
      </c>
      <c r="BS29" s="206">
        <f>SUMIFS(領用表!$L:$L,領用表!$E:$E,$B29,領用表!$B:$B,BR$2&amp;BS$2)</f>
        <v>76</v>
      </c>
      <c r="BT29" s="206">
        <f>SUMIFS(領用表!$L:$L,領用表!$E:$E,$B29,領用表!$B:$B,$BR$2&amp;BT$2)</f>
        <v>0</v>
      </c>
      <c r="BU29" s="206">
        <f>SUMIFS(領用表!$L:$L,領用表!$E:$E,$B29,領用表!$B:$B,$BR$2&amp;BU$2)</f>
        <v>29</v>
      </c>
      <c r="BV29" s="206">
        <f>SUMIFS(領用表!$L:$L,領用表!$E:$E,$B29,領用表!$B:$B,$BR$2&amp;BV$2)</f>
        <v>0</v>
      </c>
      <c r="BW29" s="208">
        <f>SUMIFS(領用表!$L:$L,領用表!$A:$A,BW$2,領用表!$E:$E,B29)</f>
        <v>70</v>
      </c>
      <c r="BX29" s="216">
        <f>SUMIFS(領用表!$L:$L,領用表!$E:$E,$B29,領用表!$B:$B,BW$2&amp;BX$2)</f>
        <v>19</v>
      </c>
      <c r="BY29" s="216">
        <f>SUMIFS(領用表!$L:$L,領用表!$E:$E,$B29,領用表!$B:$B,$BW$2&amp;BY$2)</f>
        <v>0</v>
      </c>
      <c r="BZ29" s="216">
        <f>SUMIFS(領用表!$L:$L,領用表!$E:$E,$B29,領用表!$B:$B,$BW$2&amp;BZ$2)</f>
        <v>51</v>
      </c>
      <c r="CA29" s="216">
        <f>SUMIFS(領用表!$L:$L,領用表!$E:$E,$B29,領用表!$B:$B,$BW$2&amp;CA$2)</f>
        <v>0</v>
      </c>
      <c r="CB29" s="208">
        <f>SUMIFS(領用表!$L:$L,領用表!$A:$A,CB$2,領用表!$E:$E,B29)</f>
        <v>122</v>
      </c>
      <c r="CC29" s="216">
        <f>SUMIFS(領用表!$L:$L,領用表!$E:$E,$B29,領用表!$B:$B,CB$2&amp;CC$2)</f>
        <v>10</v>
      </c>
      <c r="CD29" s="216">
        <f>SUMIFS(領用表!$L:$L,領用表!$E:$E,$B29,領用表!$B:$B,$CB$2&amp;CD$2)</f>
        <v>0</v>
      </c>
      <c r="CE29" s="216">
        <f>SUMIFS(領用表!$L:$L,領用表!$E:$E,$B29,領用表!$B:$B,$CB$2&amp;CE$2)</f>
        <v>112</v>
      </c>
      <c r="CF29" s="216">
        <f>SUMIFS(領用表!$L:$L,領用表!$E:$E,$B29,領用表!$B:$B,$CB$2&amp;CF$2)</f>
        <v>0</v>
      </c>
      <c r="CG29" s="217">
        <f>SUMIFS(領用表!$L:$L,領用表!$A:$A,CG$2,領用表!$E:$E,B29)</f>
        <v>211</v>
      </c>
      <c r="CH29" s="216">
        <f>SUMIFS(領用表!$L:$L,領用表!$E:$E,$B29,領用表!$B:$B,CG$2&amp;CH$2)</f>
        <v>96</v>
      </c>
      <c r="CI29" s="216">
        <f>SUMIFS(領用表!$L:$L,領用表!$E:$E,$B29,領用表!$B:$B,CG$2&amp;CI$2)</f>
        <v>0</v>
      </c>
      <c r="CJ29" s="216">
        <f>SUMIFS(領用表!$L:$L,領用表!$E:$E,$B29,領用表!$B:$B,CG$2&amp;CJ$2)</f>
        <v>115</v>
      </c>
      <c r="CK29" s="216">
        <f>SUMIFS(領用表!$L:$L,領用表!$E:$E,$B29,領用表!$B:$B,$CG$2&amp;CK$2)</f>
        <v>0</v>
      </c>
      <c r="CL29" s="207">
        <f t="shared" si="3"/>
        <v>833</v>
      </c>
      <c r="CM29" s="207">
        <f t="shared" si="4"/>
        <v>119</v>
      </c>
      <c r="CN29" s="217">
        <f>SUMIFS(領用表!$L:$L,領用表!$A:$A,CN$2,領用表!$E:$E,B29)</f>
        <v>262</v>
      </c>
      <c r="CO29" s="216">
        <f>SUMIFS(領用表!$L:$L,領用表!$E:$E,$B29,領用表!$B:$B,CN$2&amp;CO$2)</f>
        <v>68</v>
      </c>
      <c r="CP29" s="216">
        <f>SUMIFS(領用表!$L:$L,領用表!$E:$E,$B29,領用表!$B:$B,$CN$2&amp;CP$2)</f>
        <v>0</v>
      </c>
      <c r="CQ29" s="216">
        <f>SUMIFS(領用表!$L:$L,領用表!$E:$E,$B29,領用表!$B:$B,$CN$2&amp;CQ$2)</f>
        <v>194</v>
      </c>
      <c r="CR29" s="216">
        <f>SUMIFS(領用表!$L:$L,領用表!$E:$E,$B29,領用表!$B:$B,$CN$2&amp;CR$2)</f>
        <v>0</v>
      </c>
      <c r="CS29" s="208">
        <f>SUMIFS(領用表!$L:$L,領用表!$A:$A,CS$2,領用表!$E:$E,B29)</f>
        <v>164</v>
      </c>
      <c r="CT29" s="216">
        <f>SUMIFS(領用表!$L:$L,領用表!$E:$E,$B29,領用表!$B:$B,CS$2&amp;CT$2)</f>
        <v>83</v>
      </c>
      <c r="CU29" s="216">
        <f>SUMIFS(領用表!$L:$L,領用表!$E:$E,$B29,領用表!$B:$B,$CS$2&amp;CU$2)</f>
        <v>0</v>
      </c>
      <c r="CV29" s="216">
        <f>SUMIFS(領用表!$L:$L,領用表!$E:$E,$B29,領用表!$B:$B,$CS$2&amp;CV$2)</f>
        <v>68</v>
      </c>
      <c r="CW29" s="216">
        <f>SUMIFS(領用表!$L:$L,領用表!$E:$E,$B29,領用表!$B:$B,$CS$2&amp;CW$2)</f>
        <v>0</v>
      </c>
      <c r="CX29" s="216">
        <f>SUMIFS(領用表!$L:$L,領用表!$E:$E,$B29,領用表!$B:$B,$CS$2&amp;CX$2)</f>
        <v>13</v>
      </c>
      <c r="CY29" s="208">
        <f>SUMIFS(領用表!$L:$L,領用表!$A:$A,CY$2,領用表!$E:$E,B29)</f>
        <v>250</v>
      </c>
      <c r="CZ29" s="216">
        <f>SUMIFS(領用表!$L:$L,領用表!$E:$E,$B29,領用表!$B:$B,CY$2&amp;CZ$2)</f>
        <v>61</v>
      </c>
      <c r="DA29" s="216">
        <f>SUMIFS(領用表!$L:$L,領用表!$E:$E,$B29,領用表!$B:$B,$CY$2&amp;DA$2)</f>
        <v>0</v>
      </c>
      <c r="DB29" s="216">
        <f>SUMIFS(領用表!$L:$L,領用表!$E:$E,$B29,領用表!$B:$B,$CY$2&amp;DB$2)</f>
        <v>126</v>
      </c>
      <c r="DC29" s="216">
        <f>SUMIFS(領用表!$L:$L,領用表!$E:$E,$B29,領用表!$B:$B,$CY$2&amp;DC$2)</f>
        <v>0</v>
      </c>
      <c r="DD29" s="216">
        <f>SUMIFS(領用表!$L:$L,領用表!$E:$E,$B29,領用表!$B:$B,$CY$2&amp;DD$2)</f>
        <v>63</v>
      </c>
      <c r="DE29" s="208">
        <f>SUMIFS(領用表!$L:$L,領用表!$A:$A,DE$2,領用表!$E:$E,B29)</f>
        <v>196</v>
      </c>
      <c r="DF29" s="216">
        <f>SUMIFS(領用表!$L:$L,領用表!$E:$E,$B29,領用表!$B:$B,DE$2&amp;DF$2)</f>
        <v>9</v>
      </c>
      <c r="DG29" s="216">
        <f>SUMIFS(領用表!$L:$L,領用表!$E:$E,$B29,領用表!$B:$B,$DE$2&amp;DG$2)</f>
        <v>0</v>
      </c>
      <c r="DH29" s="216">
        <f>SUMIFS(領用表!$L:$L,領用表!$E:$E,$B29,領用表!$B:$B,$DE$2&amp;DH$2)</f>
        <v>124</v>
      </c>
      <c r="DI29" s="216">
        <f>SUMIFS(領用表!$L:$L,領用表!$E:$E,$B29,領用表!$B:$B,$DE$2&amp;DI$2)</f>
        <v>0</v>
      </c>
      <c r="DJ29" s="216">
        <f>SUMIFS(領用表!$L:$L,領用表!$E:$E,$B29,領用表!$B:$B,$DE$2&amp;DJ$2)</f>
        <v>63</v>
      </c>
      <c r="DK29" s="208">
        <f>SUMIFS(領用表!$L:$L,領用表!$A:$A,DK$2,領用表!$E:$E,$B29)</f>
        <v>214</v>
      </c>
      <c r="DL29" s="216">
        <f>SUMIFS(領用表!$L:$L,領用表!$E:$E,$B29,領用表!$B:$B,DK$2&amp;DL$2)</f>
        <v>84</v>
      </c>
      <c r="DM29" s="216">
        <f>SUMIFS(領用表!$L:$L,領用表!$E:$E,$B29,領用表!$B:$B,$DK$2&amp;DM$2)</f>
        <v>0</v>
      </c>
      <c r="DN29" s="216">
        <f>SUMIFS(領用表!$L:$L,領用表!$E:$E,$B29,領用表!$B:$B,$DK$2&amp;DN$2)</f>
        <v>97</v>
      </c>
      <c r="DO29" s="216">
        <f>SUMIFS(領用表!$L:$L,領用表!$E:$E,$B29,領用表!$B:$B,$DK$2&amp;DO$2)</f>
        <v>0</v>
      </c>
      <c r="DP29" s="216">
        <f>SUMIFS(領用表!$L:$L,領用表!$E:$E,$B29,領用表!$B:$B,$DK$2&amp;DP$2)</f>
        <v>33</v>
      </c>
      <c r="DQ29" s="216">
        <f t="shared" si="2"/>
        <v>1086</v>
      </c>
      <c r="DR29" s="216">
        <f t="shared" si="5"/>
        <v>217.2</v>
      </c>
      <c r="DS29" s="216">
        <f t="shared" si="6"/>
        <v>200</v>
      </c>
      <c r="DT29" s="216">
        <v>60</v>
      </c>
      <c r="DU29" s="216">
        <v>0</v>
      </c>
      <c r="DV29" s="216">
        <v>140</v>
      </c>
      <c r="DW29" s="216">
        <v>0</v>
      </c>
      <c r="DX29" s="215">
        <v>320</v>
      </c>
      <c r="DY29" s="466"/>
      <c r="DZ29" s="211"/>
      <c r="EA29" s="211" t="s">
        <v>795</v>
      </c>
      <c r="EB29" s="136" t="s">
        <v>793</v>
      </c>
      <c r="EC29" s="212"/>
      <c r="ED29" s="118">
        <f>IFERROR(VLOOKUP(A29,站前4樓!A:BF,57,0),0)</f>
        <v>10</v>
      </c>
      <c r="EE29" s="213">
        <f>IFERROR(VLOOKUP(A29,站前11樓!A:BE,57,0),0)</f>
        <v>0</v>
      </c>
      <c r="EF29" s="118">
        <f>IFERROR(VLOOKUP(A29,忠孝7樓!A:N,57,0),0)</f>
        <v>0</v>
      </c>
      <c r="EG29" s="118">
        <f>IFERROR(VLOOKUP(A29,忠孝國際醫學3樓!A:L,57,0),0)</f>
        <v>0</v>
      </c>
      <c r="EH29" s="118">
        <f t="shared" si="7"/>
        <v>10</v>
      </c>
      <c r="EJ29" s="118">
        <v>104</v>
      </c>
      <c r="EK29" s="118">
        <v>128</v>
      </c>
    </row>
    <row r="30" spans="1:141" s="118" customFormat="1" ht="15.75" customHeight="1">
      <c r="A30" s="136" t="s">
        <v>56</v>
      </c>
      <c r="B30" s="118">
        <v>6190002</v>
      </c>
      <c r="C30" s="118" t="s">
        <v>609</v>
      </c>
      <c r="D30" s="197">
        <v>6</v>
      </c>
      <c r="E30" s="198" t="s">
        <v>57</v>
      </c>
      <c r="F30" s="199">
        <f>SUMIF(站前4樓!B:B,B30,站前4樓!F:F)</f>
        <v>39</v>
      </c>
      <c r="G30" s="199">
        <f>SUMIF(站前11樓!B:B,B30,站前11樓!F:F)</f>
        <v>0</v>
      </c>
      <c r="H30" s="199">
        <f>SUMIF(忠孝7樓!B:B,B30,忠孝7樓!G:G)</f>
        <v>42</v>
      </c>
      <c r="I30" s="199">
        <f>SUMIF(忠孝國際醫學3樓!B:B,B30,忠孝國際醫學3樓!G:G)</f>
        <v>0</v>
      </c>
      <c r="J30" s="199">
        <f>SUMIF(忠孝健康7樓!B:B,B30,忠孝健康7樓!G:G)</f>
        <v>2</v>
      </c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0"/>
      <c r="AI30" s="200"/>
      <c r="AJ30" s="201">
        <v>0</v>
      </c>
      <c r="AK30" s="201">
        <v>0</v>
      </c>
      <c r="AL30" s="201">
        <v>0</v>
      </c>
      <c r="AM30" s="201">
        <v>2</v>
      </c>
      <c r="AN30" s="201">
        <v>1</v>
      </c>
      <c r="AO30" s="201">
        <v>0</v>
      </c>
      <c r="AP30" s="201">
        <v>3</v>
      </c>
      <c r="AQ30" s="201">
        <v>1</v>
      </c>
      <c r="AR30" s="201">
        <v>0</v>
      </c>
      <c r="AS30" s="201">
        <v>0</v>
      </c>
      <c r="AT30" s="201">
        <v>1</v>
      </c>
      <c r="AU30" s="203">
        <f>36/D30</f>
        <v>6</v>
      </c>
      <c r="AV30" s="204">
        <f>SUM(AJ30:AU30)</f>
        <v>14</v>
      </c>
      <c r="AW30" s="205">
        <f>AV30/12</f>
        <v>1.1666666666666667</v>
      </c>
      <c r="AX30" s="203">
        <v>36</v>
      </c>
      <c r="AY30" s="203">
        <v>0</v>
      </c>
      <c r="AZ30" s="203">
        <v>2</v>
      </c>
      <c r="BA30" s="203">
        <v>2</v>
      </c>
      <c r="BB30" s="203">
        <v>0</v>
      </c>
      <c r="BC30" s="203">
        <f>SUMIFS(領用表!$L:$L,領用表!$A:$A,BC$2,領用表!$E:$E,B30)</f>
        <v>0</v>
      </c>
      <c r="BD30" s="206">
        <f>SUMIFS(領用表!$L:$L,領用表!$E:$E,$B30,領用表!$B:$B,BC$2&amp;BD$2)</f>
        <v>0</v>
      </c>
      <c r="BE30" s="206">
        <f>SUMIFS(領用表!$L:$L,領用表!$E:$E,$B30,領用表!$B:$B,$BC$2&amp;BE$2)</f>
        <v>0</v>
      </c>
      <c r="BF30" s="206">
        <f>SUMIFS(領用表!$L:$L,領用表!$E:$E,$B30,領用表!$B:$B,$BC$2&amp;BF$2)</f>
        <v>0</v>
      </c>
      <c r="BG30" s="206">
        <f>SUMIFS(領用表!$L:$L,領用表!$E:$E,$B30,領用表!$B:$B,$BC$2&amp;BG$2)</f>
        <v>0</v>
      </c>
      <c r="BH30" s="203">
        <f>SUMIFS(領用表!$L:$L,領用表!$A:$A,BH$2,領用表!$E:$E,B30)</f>
        <v>0</v>
      </c>
      <c r="BI30" s="206">
        <f>SUMIFS(領用表!$L:$L,領用表!$E:$E,$B30,領用表!$B:$B,BH$2&amp;BI$2)</f>
        <v>0</v>
      </c>
      <c r="BJ30" s="206">
        <f>SUMIFS(領用表!$L:$L,領用表!$E:$E,$B30,領用表!$B:$B,$BH$2&amp;BJ$2)</f>
        <v>0</v>
      </c>
      <c r="BK30" s="206">
        <f>SUMIFS(領用表!$L:$L,領用表!$E:$E,$B30,領用表!$B:$B,$BH$2&amp;BK$2)</f>
        <v>0</v>
      </c>
      <c r="BL30" s="206">
        <f>SUMIFS(領用表!$L:$L,領用表!$E:$E,$B30,領用表!$B:$B,$BH$2&amp;BL$2)</f>
        <v>0</v>
      </c>
      <c r="BM30" s="203">
        <f>SUMIFS(領用表!$L:$L,領用表!$A:$A,BM$2,領用表!$E:$E,B30)</f>
        <v>0</v>
      </c>
      <c r="BN30" s="206">
        <f>SUMIFS(領用表!$L:$L,領用表!$E:$E,$B30,領用表!$B:$B,BM$2&amp;BN$2)</f>
        <v>0</v>
      </c>
      <c r="BO30" s="206">
        <f>SUMIFS(領用表!$L:$L,領用表!$E:$E,$B30,領用表!$B:$B,$BM$2&amp;BO$2)</f>
        <v>0</v>
      </c>
      <c r="BP30" s="206">
        <f>SUMIFS(領用表!$L:$L,領用表!$E:$E,$B30,領用表!$B:$B,$BM$2&amp;BP$2)</f>
        <v>0</v>
      </c>
      <c r="BQ30" s="206">
        <f>SUMIFS(領用表!$L:$L,領用表!$E:$E,$B30,領用表!$B:$B,$BM$2&amp;BQ$2)</f>
        <v>0</v>
      </c>
      <c r="BR30" s="203">
        <f>SUMIFS(領用表!$L:$L,領用表!$A:$A,BR$2,領用表!$E:$E,B30)</f>
        <v>0</v>
      </c>
      <c r="BS30" s="206">
        <f>SUMIFS(領用表!$L:$L,領用表!$E:$E,$B30,領用表!$B:$B,BR$2&amp;BS$2)</f>
        <v>0</v>
      </c>
      <c r="BT30" s="206">
        <f>SUMIFS(領用表!$L:$L,領用表!$E:$E,$B30,領用表!$B:$B,$BR$2&amp;BT$2)</f>
        <v>0</v>
      </c>
      <c r="BU30" s="206">
        <f>SUMIFS(領用表!$L:$L,領用表!$E:$E,$B30,領用表!$B:$B,$BR$2&amp;BU$2)</f>
        <v>0</v>
      </c>
      <c r="BV30" s="206">
        <f>SUMIFS(領用表!$L:$L,領用表!$E:$E,$B30,領用表!$B:$B,$BR$2&amp;BV$2)</f>
        <v>0</v>
      </c>
      <c r="BW30" s="208">
        <f>SUMIFS(領用表!$L:$L,領用表!$A:$A,BW$2,領用表!$E:$E,B30)</f>
        <v>8</v>
      </c>
      <c r="BX30" s="216">
        <f>SUMIFS(領用表!$L:$L,領用表!$E:$E,$B30,領用表!$B:$B,BW$2&amp;BX$2)</f>
        <v>0</v>
      </c>
      <c r="BY30" s="216">
        <f>SUMIFS(領用表!$L:$L,領用表!$E:$E,$B30,領用表!$B:$B,$BW$2&amp;BY$2)</f>
        <v>0</v>
      </c>
      <c r="BZ30" s="216">
        <f>SUMIFS(領用表!$L:$L,領用表!$E:$E,$B30,領用表!$B:$B,$BW$2&amp;BZ$2)</f>
        <v>8</v>
      </c>
      <c r="CA30" s="216">
        <f>SUMIFS(領用表!$L:$L,領用表!$E:$E,$B30,領用表!$B:$B,$BW$2&amp;CA$2)</f>
        <v>0</v>
      </c>
      <c r="CB30" s="208">
        <f>SUMIFS(領用表!$L:$L,領用表!$A:$A,CB$2,領用表!$E:$E,B30)</f>
        <v>10</v>
      </c>
      <c r="CC30" s="216">
        <f>SUMIFS(領用表!$L:$L,領用表!$E:$E,$B30,領用表!$B:$B,CB$2&amp;CC$2)</f>
        <v>3</v>
      </c>
      <c r="CD30" s="216">
        <f>SUMIFS(領用表!$L:$L,領用表!$E:$E,$B30,領用表!$B:$B,$CB$2&amp;CD$2)</f>
        <v>0</v>
      </c>
      <c r="CE30" s="216">
        <f>SUMIFS(領用表!$L:$L,領用表!$E:$E,$B30,領用表!$B:$B,$CB$2&amp;CE$2)</f>
        <v>7</v>
      </c>
      <c r="CF30" s="216">
        <f>SUMIFS(領用表!$L:$L,領用表!$E:$E,$B30,領用表!$B:$B,$CB$2&amp;CF$2)</f>
        <v>0</v>
      </c>
      <c r="CG30" s="217">
        <f>SUMIFS(領用表!$L:$L,領用表!$A:$A,CG$2,領用表!$E:$E,B30)</f>
        <v>5</v>
      </c>
      <c r="CH30" s="216">
        <f>SUMIFS(領用表!$L:$L,領用表!$E:$E,$B30,領用表!$B:$B,CG$2&amp;CH$2)</f>
        <v>3</v>
      </c>
      <c r="CI30" s="216">
        <f>SUMIFS(領用表!$L:$L,領用表!$E:$E,$B30,領用表!$B:$B,CG$2&amp;CI$2)</f>
        <v>0</v>
      </c>
      <c r="CJ30" s="216">
        <f>SUMIFS(領用表!$L:$L,領用表!$E:$E,$B30,領用表!$B:$B,CG$2&amp;CJ$2)</f>
        <v>2</v>
      </c>
      <c r="CK30" s="216">
        <f>SUMIFS(領用表!$L:$L,領用表!$E:$E,$B30,領用表!$B:$B,$CG$2&amp;CK$2)</f>
        <v>0</v>
      </c>
      <c r="CL30" s="207">
        <f t="shared" si="3"/>
        <v>63</v>
      </c>
      <c r="CM30" s="207">
        <f t="shared" si="4"/>
        <v>5.25</v>
      </c>
      <c r="CN30" s="217">
        <f>SUMIFS(領用表!$L:$L,領用表!$A:$A,CN$2,領用表!$E:$E,B30)</f>
        <v>13</v>
      </c>
      <c r="CO30" s="216">
        <f>SUMIFS(領用表!$L:$L,領用表!$E:$E,$B30,領用表!$B:$B,CN$2&amp;CO$2)</f>
        <v>3</v>
      </c>
      <c r="CP30" s="216">
        <f>SUMIFS(領用表!$L:$L,領用表!$E:$E,$B30,領用表!$B:$B,$CN$2&amp;CP$2)</f>
        <v>0</v>
      </c>
      <c r="CQ30" s="216">
        <f>SUMIFS(領用表!$L:$L,領用表!$E:$E,$B30,領用表!$B:$B,$CN$2&amp;CQ$2)</f>
        <v>10</v>
      </c>
      <c r="CR30" s="216">
        <f>SUMIFS(領用表!$L:$L,領用表!$E:$E,$B30,領用表!$B:$B,$CN$2&amp;CR$2)</f>
        <v>0</v>
      </c>
      <c r="CS30" s="208">
        <f>SUMIFS(領用表!$L:$L,領用表!$A:$A,CS$2,領用表!$E:$E,B30)</f>
        <v>2</v>
      </c>
      <c r="CT30" s="216">
        <f>SUMIFS(領用表!$L:$L,領用表!$E:$E,$B30,領用表!$B:$B,CS$2&amp;CT$2)</f>
        <v>0</v>
      </c>
      <c r="CU30" s="216">
        <f>SUMIFS(領用表!$L:$L,領用表!$E:$E,$B30,領用表!$B:$B,$CS$2&amp;CU$2)</f>
        <v>0</v>
      </c>
      <c r="CV30" s="216">
        <f>SUMIFS(領用表!$L:$L,領用表!$E:$E,$B30,領用表!$B:$B,$CS$2&amp;CV$2)</f>
        <v>2</v>
      </c>
      <c r="CW30" s="216">
        <f>SUMIFS(領用表!$L:$L,領用表!$E:$E,$B30,領用表!$B:$B,$CS$2&amp;CW$2)</f>
        <v>0</v>
      </c>
      <c r="CX30" s="216">
        <f>SUMIFS(領用表!$L:$L,領用表!$E:$E,$B30,領用表!$B:$B,$CS$2&amp;CX$2)</f>
        <v>0</v>
      </c>
      <c r="CY30" s="208">
        <f>SUMIFS(領用表!$L:$L,領用表!$A:$A,CY$2,領用表!$E:$E,B30)</f>
        <v>11</v>
      </c>
      <c r="CZ30" s="216">
        <f>SUMIFS(領用表!$L:$L,領用表!$E:$E,$B30,領用表!$B:$B,CY$2&amp;CZ$2)</f>
        <v>5</v>
      </c>
      <c r="DA30" s="216">
        <f>SUMIFS(領用表!$L:$L,領用表!$E:$E,$B30,領用表!$B:$B,$CY$2&amp;DA$2)</f>
        <v>0</v>
      </c>
      <c r="DB30" s="216">
        <f>SUMIFS(領用表!$L:$L,領用表!$E:$E,$B30,領用表!$B:$B,$CY$2&amp;DB$2)</f>
        <v>6</v>
      </c>
      <c r="DC30" s="216">
        <f>SUMIFS(領用表!$L:$L,領用表!$E:$E,$B30,領用表!$B:$B,$CY$2&amp;DC$2)</f>
        <v>0</v>
      </c>
      <c r="DD30" s="216">
        <f>SUMIFS(領用表!$L:$L,領用表!$E:$E,$B30,領用表!$B:$B,$CY$2&amp;DD$2)</f>
        <v>0</v>
      </c>
      <c r="DE30" s="208">
        <f>SUMIFS(領用表!$L:$L,領用表!$A:$A,DE$2,領用表!$E:$E,B30)</f>
        <v>0</v>
      </c>
      <c r="DF30" s="216">
        <f>SUMIFS(領用表!$L:$L,領用表!$E:$E,$B30,領用表!$B:$B,DE$2&amp;DF$2)</f>
        <v>0</v>
      </c>
      <c r="DG30" s="216">
        <f>SUMIFS(領用表!$L:$L,領用表!$E:$E,$B30,領用表!$B:$B,$DE$2&amp;DG$2)</f>
        <v>0</v>
      </c>
      <c r="DH30" s="216">
        <f>SUMIFS(領用表!$L:$L,領用表!$E:$E,$B30,領用表!$B:$B,$DE$2&amp;DH$2)</f>
        <v>0</v>
      </c>
      <c r="DI30" s="216">
        <f>SUMIFS(領用表!$L:$L,領用表!$E:$E,$B30,領用表!$B:$B,$DE$2&amp;DI$2)</f>
        <v>0</v>
      </c>
      <c r="DJ30" s="216">
        <f>SUMIFS(領用表!$L:$L,領用表!$E:$E,$B30,領用表!$B:$B,$DE$2&amp;DJ$2)</f>
        <v>0</v>
      </c>
      <c r="DK30" s="208">
        <f>SUMIFS(領用表!$L:$L,領用表!$A:$A,DK$2,領用表!$E:$E,$B30)</f>
        <v>3</v>
      </c>
      <c r="DL30" s="216">
        <f>SUMIFS(領用表!$L:$L,領用表!$E:$E,$B30,領用表!$B:$B,DK$2&amp;DL$2)</f>
        <v>3</v>
      </c>
      <c r="DM30" s="216">
        <f>SUMIFS(領用表!$L:$L,領用表!$E:$E,$B30,領用表!$B:$B,$DK$2&amp;DM$2)</f>
        <v>0</v>
      </c>
      <c r="DN30" s="216">
        <f>SUMIFS(領用表!$L:$L,領用表!$E:$E,$B30,領用表!$B:$B,$DK$2&amp;DN$2)</f>
        <v>0</v>
      </c>
      <c r="DO30" s="216">
        <f>SUMIFS(領用表!$L:$L,領用表!$E:$E,$B30,領用表!$B:$B,$DK$2&amp;DO$2)</f>
        <v>0</v>
      </c>
      <c r="DP30" s="216">
        <f>SUMIFS(領用表!$L:$L,領用表!$E:$E,$B30,領用表!$B:$B,$DK$2&amp;DP$2)</f>
        <v>0</v>
      </c>
      <c r="DQ30" s="216">
        <f t="shared" si="2"/>
        <v>29</v>
      </c>
      <c r="DR30" s="216">
        <f t="shared" si="5"/>
        <v>5.8</v>
      </c>
      <c r="DS30" s="216">
        <f t="shared" si="6"/>
        <v>8</v>
      </c>
      <c r="DT30" s="216">
        <v>3</v>
      </c>
      <c r="DU30" s="216">
        <v>0</v>
      </c>
      <c r="DV30" s="216">
        <v>5</v>
      </c>
      <c r="DW30" s="216">
        <v>0</v>
      </c>
      <c r="DX30" s="215">
        <v>0</v>
      </c>
      <c r="DY30" s="210">
        <v>0</v>
      </c>
      <c r="DZ30" s="211"/>
      <c r="EA30" s="211"/>
      <c r="EB30" s="136"/>
      <c r="EC30" s="212"/>
      <c r="ED30" s="118">
        <f>IFERROR(VLOOKUP(A30,站前4樓!A:BF,57,0),0)</f>
        <v>3</v>
      </c>
      <c r="EE30" s="213">
        <f>IFERROR(VLOOKUP(A30,站前11樓!A:BE,57,0),0)</f>
        <v>0</v>
      </c>
      <c r="EF30" s="118">
        <f>IFERROR(VLOOKUP(A30,忠孝7樓!A:N,57,0),0)</f>
        <v>0</v>
      </c>
      <c r="EG30" s="118">
        <f>IFERROR(VLOOKUP(A30,忠孝國際醫學3樓!A:L,57,0),0)</f>
        <v>0</v>
      </c>
      <c r="EH30" s="118">
        <f t="shared" si="7"/>
        <v>3</v>
      </c>
      <c r="EJ30" s="118">
        <v>22</v>
      </c>
      <c r="EK30" s="118">
        <v>11</v>
      </c>
    </row>
    <row r="31" spans="1:141" s="118" customFormat="1" ht="15.75" customHeight="1">
      <c r="A31" s="136" t="s">
        <v>58</v>
      </c>
      <c r="B31" s="118">
        <v>6190003</v>
      </c>
      <c r="C31" s="118" t="s">
        <v>610</v>
      </c>
      <c r="D31" s="197">
        <v>10</v>
      </c>
      <c r="E31" s="198" t="s">
        <v>57</v>
      </c>
      <c r="F31" s="227">
        <f>SUMIF(站前4樓!B:B,B31,站前4樓!F:F)</f>
        <v>60</v>
      </c>
      <c r="G31" s="227">
        <f>SUMIF(站前11樓!B:B,B31,站前11樓!F:F)</f>
        <v>0</v>
      </c>
      <c r="H31" s="227">
        <f>SUMIF(忠孝7樓!B:B,B31,忠孝7樓!G:G)</f>
        <v>38</v>
      </c>
      <c r="I31" s="227">
        <f>SUMIF(忠孝國際醫學3樓!B:B,B31,忠孝國際醫學3樓!G:G)</f>
        <v>0</v>
      </c>
      <c r="J31" s="227">
        <f>SUMIF(忠孝健康7樓!B:B,B31,忠孝健康7樓!G:G)</f>
        <v>0</v>
      </c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0"/>
      <c r="AI31" s="200"/>
      <c r="AJ31" s="201">
        <v>0</v>
      </c>
      <c r="AK31" s="201">
        <v>0</v>
      </c>
      <c r="AL31" s="201">
        <v>0</v>
      </c>
      <c r="AM31" s="201">
        <v>1</v>
      </c>
      <c r="AN31" s="201">
        <v>0</v>
      </c>
      <c r="AO31" s="201">
        <v>0</v>
      </c>
      <c r="AP31" s="201">
        <v>7</v>
      </c>
      <c r="AQ31" s="201">
        <v>5</v>
      </c>
      <c r="AR31" s="201">
        <v>1</v>
      </c>
      <c r="AS31" s="201">
        <v>0</v>
      </c>
      <c r="AT31" s="201">
        <v>0</v>
      </c>
      <c r="AU31" s="203">
        <f>10/D31</f>
        <v>1</v>
      </c>
      <c r="AV31" s="204">
        <f>SUM(AJ31:AU31)</f>
        <v>15</v>
      </c>
      <c r="AW31" s="205">
        <f>AV31/12</f>
        <v>1.25</v>
      </c>
      <c r="AX31" s="203">
        <v>10</v>
      </c>
      <c r="AY31" s="203">
        <v>20</v>
      </c>
      <c r="AZ31" s="203">
        <v>12</v>
      </c>
      <c r="BA31" s="203">
        <v>2</v>
      </c>
      <c r="BB31" s="203">
        <v>4</v>
      </c>
      <c r="BC31" s="203">
        <f>SUMIFS(領用表!$L:$L,領用表!$A:$A,BC$2,領用表!$E:$E,B31)</f>
        <v>0</v>
      </c>
      <c r="BD31" s="206">
        <f>SUMIFS(領用表!$L:$L,領用表!$E:$E,$B31,領用表!$B:$B,BC$2&amp;BD$2)</f>
        <v>0</v>
      </c>
      <c r="BE31" s="206">
        <f>SUMIFS(領用表!$L:$L,領用表!$E:$E,$B31,領用表!$B:$B,$BC$2&amp;BE$2)</f>
        <v>0</v>
      </c>
      <c r="BF31" s="206">
        <f>SUMIFS(領用表!$L:$L,領用表!$E:$E,$B31,領用表!$B:$B,$BC$2&amp;BF$2)</f>
        <v>0</v>
      </c>
      <c r="BG31" s="206">
        <f>SUMIFS(領用表!$L:$L,領用表!$E:$E,$B31,領用表!$B:$B,$BC$2&amp;BG$2)</f>
        <v>0</v>
      </c>
      <c r="BH31" s="203">
        <f>SUMIFS(領用表!$L:$L,領用表!$A:$A,BH$2,領用表!$E:$E,B31)</f>
        <v>0</v>
      </c>
      <c r="BI31" s="206">
        <f>SUMIFS(領用表!$L:$L,領用表!$E:$E,$B31,領用表!$B:$B,BH$2&amp;BI$2)</f>
        <v>0</v>
      </c>
      <c r="BJ31" s="206">
        <f>SUMIFS(領用表!$L:$L,領用表!$E:$E,$B31,領用表!$B:$B,$BH$2&amp;BJ$2)</f>
        <v>0</v>
      </c>
      <c r="BK31" s="206">
        <f>SUMIFS(領用表!$L:$L,領用表!$E:$E,$B31,領用表!$B:$B,$BH$2&amp;BK$2)</f>
        <v>0</v>
      </c>
      <c r="BL31" s="206">
        <f>SUMIFS(領用表!$L:$L,領用表!$E:$E,$B31,領用表!$B:$B,$BH$2&amp;BL$2)</f>
        <v>0</v>
      </c>
      <c r="BM31" s="203">
        <f>SUMIFS(領用表!$L:$L,領用表!$A:$A,BM$2,領用表!$E:$E,B31)</f>
        <v>0</v>
      </c>
      <c r="BN31" s="206">
        <f>SUMIFS(領用表!$L:$L,領用表!$E:$E,$B31,領用表!$B:$B,BM$2&amp;BN$2)</f>
        <v>0</v>
      </c>
      <c r="BO31" s="206">
        <f>SUMIFS(領用表!$L:$L,領用表!$E:$E,$B31,領用表!$B:$B,$BM$2&amp;BO$2)</f>
        <v>0</v>
      </c>
      <c r="BP31" s="206">
        <f>SUMIFS(領用表!$L:$L,領用表!$E:$E,$B31,領用表!$B:$B,$BM$2&amp;BP$2)</f>
        <v>0</v>
      </c>
      <c r="BQ31" s="206">
        <f>SUMIFS(領用表!$L:$L,領用表!$E:$E,$B31,領用表!$B:$B,$BM$2&amp;BQ$2)</f>
        <v>0</v>
      </c>
      <c r="BR31" s="203">
        <f>SUMIFS(領用表!$L:$L,領用表!$A:$A,BR$2,領用表!$E:$E,B31)</f>
        <v>0</v>
      </c>
      <c r="BS31" s="206">
        <f>SUMIFS(領用表!$L:$L,領用表!$E:$E,$B31,領用表!$B:$B,BR$2&amp;BS$2)</f>
        <v>0</v>
      </c>
      <c r="BT31" s="206">
        <f>SUMIFS(領用表!$L:$L,領用表!$E:$E,$B31,領用表!$B:$B,$BR$2&amp;BT$2)</f>
        <v>0</v>
      </c>
      <c r="BU31" s="206">
        <f>SUMIFS(領用表!$L:$L,領用表!$E:$E,$B31,領用表!$B:$B,$BR$2&amp;BU$2)</f>
        <v>0</v>
      </c>
      <c r="BV31" s="206">
        <f>SUMIFS(領用表!$L:$L,領用表!$E:$E,$B31,領用表!$B:$B,$BR$2&amp;BV$2)</f>
        <v>0</v>
      </c>
      <c r="BW31" s="208">
        <f>SUMIFS(領用表!$L:$L,領用表!$A:$A,BW$2,領用表!$E:$E,B31)</f>
        <v>9</v>
      </c>
      <c r="BX31" s="216">
        <f>SUMIFS(領用表!$L:$L,領用表!$E:$E,$B31,領用表!$B:$B,BW$2&amp;BX$2)</f>
        <v>9</v>
      </c>
      <c r="BY31" s="216">
        <f>SUMIFS(領用表!$L:$L,領用表!$E:$E,$B31,領用表!$B:$B,$BW$2&amp;BY$2)</f>
        <v>0</v>
      </c>
      <c r="BZ31" s="216">
        <f>SUMIFS(領用表!$L:$L,領用表!$E:$E,$B31,領用表!$B:$B,$BW$2&amp;BZ$2)</f>
        <v>0</v>
      </c>
      <c r="CA31" s="216">
        <f>SUMIFS(領用表!$L:$L,領用表!$E:$E,$B31,領用表!$B:$B,$BW$2&amp;CA$2)</f>
        <v>0</v>
      </c>
      <c r="CB31" s="208">
        <f>SUMIFS(領用表!$L:$L,領用表!$A:$A,CB$2,領用表!$E:$E,B31)</f>
        <v>12</v>
      </c>
      <c r="CC31" s="216">
        <f>SUMIFS(領用表!$L:$L,領用表!$E:$E,$B31,領用表!$B:$B,CB$2&amp;CC$2)</f>
        <v>7</v>
      </c>
      <c r="CD31" s="216">
        <f>SUMIFS(領用表!$L:$L,領用表!$E:$E,$B31,領用表!$B:$B,$CB$2&amp;CD$2)</f>
        <v>0</v>
      </c>
      <c r="CE31" s="216">
        <f>SUMIFS(領用表!$L:$L,領用表!$E:$E,$B31,領用表!$B:$B,$CB$2&amp;CE$2)</f>
        <v>5</v>
      </c>
      <c r="CF31" s="216">
        <f>SUMIFS(領用表!$L:$L,領用表!$E:$E,$B31,領用表!$B:$B,$CB$2&amp;CF$2)</f>
        <v>0</v>
      </c>
      <c r="CG31" s="217">
        <f>SUMIFS(領用表!$L:$L,領用表!$A:$A,CG$2,領用表!$E:$E,B31)</f>
        <v>22</v>
      </c>
      <c r="CH31" s="216">
        <f>SUMIFS(領用表!$L:$L,領用表!$E:$E,$B31,領用表!$B:$B,CG$2&amp;CH$2)</f>
        <v>14</v>
      </c>
      <c r="CI31" s="216">
        <f>SUMIFS(領用表!$L:$L,領用表!$E:$E,$B31,領用表!$B:$B,CG$2&amp;CI$2)</f>
        <v>0</v>
      </c>
      <c r="CJ31" s="216">
        <f>SUMIFS(領用表!$L:$L,領用表!$E:$E,$B31,領用表!$B:$B,CG$2&amp;CJ$2)</f>
        <v>8</v>
      </c>
      <c r="CK31" s="216">
        <f>SUMIFS(領用表!$L:$L,領用表!$E:$E,$B31,領用表!$B:$B,$CG$2&amp;CK$2)</f>
        <v>0</v>
      </c>
      <c r="CL31" s="207">
        <f t="shared" si="3"/>
        <v>91</v>
      </c>
      <c r="CM31" s="207">
        <f t="shared" si="4"/>
        <v>7.583333333333333</v>
      </c>
      <c r="CN31" s="217">
        <f>SUMIFS(領用表!$L:$L,領用表!$A:$A,CN$2,領用表!$E:$E,B31)</f>
        <v>21</v>
      </c>
      <c r="CO31" s="216">
        <f>SUMIFS(領用表!$L:$L,領用表!$E:$E,$B31,領用表!$B:$B,CN$2&amp;CO$2)</f>
        <v>16</v>
      </c>
      <c r="CP31" s="216">
        <f>SUMIFS(領用表!$L:$L,領用表!$E:$E,$B31,領用表!$B:$B,$CN$2&amp;CP$2)</f>
        <v>0</v>
      </c>
      <c r="CQ31" s="216">
        <f>SUMIFS(領用表!$L:$L,領用表!$E:$E,$B31,領用表!$B:$B,$CN$2&amp;CQ$2)</f>
        <v>5</v>
      </c>
      <c r="CR31" s="216">
        <f>SUMIFS(領用表!$L:$L,領用表!$E:$E,$B31,領用表!$B:$B,$CN$2&amp;CR$2)</f>
        <v>0</v>
      </c>
      <c r="CS31" s="208">
        <f>SUMIFS(領用表!$L:$L,領用表!$A:$A,CS$2,領用表!$E:$E,B31)</f>
        <v>12</v>
      </c>
      <c r="CT31" s="216">
        <f>SUMIFS(領用表!$L:$L,領用表!$E:$E,$B31,領用表!$B:$B,CS$2&amp;CT$2)</f>
        <v>7</v>
      </c>
      <c r="CU31" s="216">
        <f>SUMIFS(領用表!$L:$L,領用表!$E:$E,$B31,領用表!$B:$B,$CS$2&amp;CU$2)</f>
        <v>0</v>
      </c>
      <c r="CV31" s="216">
        <f>SUMIFS(領用表!$L:$L,領用表!$E:$E,$B31,領用表!$B:$B,$CS$2&amp;CV$2)</f>
        <v>5</v>
      </c>
      <c r="CW31" s="216">
        <f>SUMIFS(領用表!$L:$L,領用表!$E:$E,$B31,領用表!$B:$B,$CS$2&amp;CW$2)</f>
        <v>0</v>
      </c>
      <c r="CX31" s="216">
        <f>SUMIFS(領用表!$L:$L,領用表!$E:$E,$B31,領用表!$B:$B,$CS$2&amp;CX$2)</f>
        <v>0</v>
      </c>
      <c r="CY31" s="208">
        <f>SUMIFS(領用表!$L:$L,領用表!$A:$A,CY$2,領用表!$E:$E,B31)</f>
        <v>9</v>
      </c>
      <c r="CZ31" s="216">
        <f>SUMIFS(領用表!$L:$L,領用表!$E:$E,$B31,領用表!$B:$B,CY$2&amp;CZ$2)</f>
        <v>4</v>
      </c>
      <c r="DA31" s="216">
        <f>SUMIFS(領用表!$L:$L,領用表!$E:$E,$B31,領用表!$B:$B,$CY$2&amp;DA$2)</f>
        <v>0</v>
      </c>
      <c r="DB31" s="216">
        <f>SUMIFS(領用表!$L:$L,領用表!$E:$E,$B31,領用表!$B:$B,$CY$2&amp;DB$2)</f>
        <v>5</v>
      </c>
      <c r="DC31" s="216">
        <f>SUMIFS(領用表!$L:$L,領用表!$E:$E,$B31,領用表!$B:$B,$CY$2&amp;DC$2)</f>
        <v>0</v>
      </c>
      <c r="DD31" s="216">
        <f>SUMIFS(領用表!$L:$L,領用表!$E:$E,$B31,領用表!$B:$B,$CY$2&amp;DD$2)</f>
        <v>0</v>
      </c>
      <c r="DE31" s="208">
        <f>SUMIFS(領用表!$L:$L,領用表!$A:$A,DE$2,領用表!$E:$E,B31)</f>
        <v>13</v>
      </c>
      <c r="DF31" s="216">
        <f>SUMIFS(領用表!$L:$L,領用表!$E:$E,$B31,領用表!$B:$B,DE$2&amp;DF$2)</f>
        <v>5</v>
      </c>
      <c r="DG31" s="216">
        <f>SUMIFS(領用表!$L:$L,領用表!$E:$E,$B31,領用表!$B:$B,$DE$2&amp;DG$2)</f>
        <v>0</v>
      </c>
      <c r="DH31" s="216">
        <f>SUMIFS(領用表!$L:$L,領用表!$E:$E,$B31,領用表!$B:$B,$DE$2&amp;DH$2)</f>
        <v>8</v>
      </c>
      <c r="DI31" s="216">
        <f>SUMIFS(領用表!$L:$L,領用表!$E:$E,$B31,領用表!$B:$B,$DE$2&amp;DI$2)</f>
        <v>0</v>
      </c>
      <c r="DJ31" s="216">
        <f>SUMIFS(領用表!$L:$L,領用表!$E:$E,$B31,領用表!$B:$B,$DE$2&amp;DJ$2)</f>
        <v>0</v>
      </c>
      <c r="DK31" s="208">
        <f>SUMIFS(領用表!$L:$L,領用表!$A:$A,DK$2,領用表!$E:$E,$B31)</f>
        <v>2</v>
      </c>
      <c r="DL31" s="216">
        <f>SUMIFS(領用表!$L:$L,領用表!$E:$E,$B31,領用表!$B:$B,DK$2&amp;DL$2)</f>
        <v>2</v>
      </c>
      <c r="DM31" s="216">
        <f>SUMIFS(領用表!$L:$L,領用表!$E:$E,$B31,領用表!$B:$B,$DK$2&amp;DM$2)</f>
        <v>0</v>
      </c>
      <c r="DN31" s="216">
        <f>SUMIFS(領用表!$L:$L,領用表!$E:$E,$B31,領用表!$B:$B,$DK$2&amp;DN$2)</f>
        <v>0</v>
      </c>
      <c r="DO31" s="216">
        <f>SUMIFS(領用表!$L:$L,領用表!$E:$E,$B31,領用表!$B:$B,$DK$2&amp;DO$2)</f>
        <v>0</v>
      </c>
      <c r="DP31" s="216">
        <f>SUMIFS(領用表!$L:$L,領用表!$E:$E,$B31,領用表!$B:$B,$DK$2&amp;DP$2)</f>
        <v>0</v>
      </c>
      <c r="DQ31" s="216">
        <f t="shared" si="2"/>
        <v>57</v>
      </c>
      <c r="DR31" s="216">
        <f t="shared" si="5"/>
        <v>11.4</v>
      </c>
      <c r="DS31" s="216">
        <f t="shared" si="6"/>
        <v>20</v>
      </c>
      <c r="DT31" s="216">
        <v>10</v>
      </c>
      <c r="DU31" s="216">
        <v>0</v>
      </c>
      <c r="DV31" s="216">
        <v>10</v>
      </c>
      <c r="DW31" s="216">
        <v>0</v>
      </c>
      <c r="DX31" s="215">
        <v>0</v>
      </c>
      <c r="DY31" s="210">
        <v>0</v>
      </c>
      <c r="DZ31" s="211"/>
      <c r="EA31" s="211"/>
      <c r="EB31" s="136"/>
      <c r="EC31" s="212"/>
      <c r="ED31" s="118">
        <f>IFERROR(VLOOKUP(A31,站前4樓!A:BF,57,0),0)</f>
        <v>7</v>
      </c>
      <c r="EE31" s="213">
        <f>IFERROR(VLOOKUP(A31,站前11樓!A:BE,57,0),0)</f>
        <v>0</v>
      </c>
      <c r="EF31" s="118">
        <f>IFERROR(VLOOKUP(A31,忠孝7樓!A:N,57,0),0)</f>
        <v>0</v>
      </c>
      <c r="EG31" s="118">
        <f>IFERROR(VLOOKUP(A31,忠孝國際醫學3樓!A:L,57,0),0)</f>
        <v>0</v>
      </c>
      <c r="EH31" s="118">
        <f t="shared" si="7"/>
        <v>7</v>
      </c>
      <c r="EJ31" s="118">
        <v>42</v>
      </c>
      <c r="EK31" s="118">
        <v>4</v>
      </c>
    </row>
    <row r="32" spans="1:141" s="118" customFormat="1" ht="15.75" customHeight="1">
      <c r="A32" s="136" t="s">
        <v>59</v>
      </c>
      <c r="B32" s="118">
        <v>6190004</v>
      </c>
      <c r="C32" s="118" t="s">
        <v>611</v>
      </c>
      <c r="D32" s="197">
        <v>20</v>
      </c>
      <c r="E32" s="198" t="s">
        <v>57</v>
      </c>
      <c r="F32" s="227">
        <f>SUMIF(站前4樓!B:B,B32,站前4樓!F:F)</f>
        <v>176</v>
      </c>
      <c r="G32" s="227">
        <f>SUMIF(站前11樓!B:B,B32,站前11樓!F:F)</f>
        <v>0</v>
      </c>
      <c r="H32" s="227">
        <f>SUMIF(忠孝7樓!B:B,B32,忠孝7樓!G:G)</f>
        <v>454</v>
      </c>
      <c r="I32" s="227">
        <f>SUMIF(忠孝國際醫學3樓!B:B,B32,忠孝國際醫學3樓!G:G)</f>
        <v>0</v>
      </c>
      <c r="J32" s="227">
        <f>SUMIF(忠孝健康7樓!B:B,B32,忠孝健康7樓!G:G)</f>
        <v>20</v>
      </c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0"/>
      <c r="AI32" s="200"/>
      <c r="AJ32" s="201">
        <v>0</v>
      </c>
      <c r="AK32" s="201">
        <v>0</v>
      </c>
      <c r="AL32" s="201">
        <v>2</v>
      </c>
      <c r="AM32" s="201">
        <v>0</v>
      </c>
      <c r="AN32" s="201">
        <v>1</v>
      </c>
      <c r="AO32" s="201">
        <v>6</v>
      </c>
      <c r="AP32" s="201">
        <v>2</v>
      </c>
      <c r="AQ32" s="201">
        <v>6</v>
      </c>
      <c r="AR32" s="201">
        <v>6</v>
      </c>
      <c r="AS32" s="201">
        <v>6</v>
      </c>
      <c r="AT32" s="201">
        <v>1</v>
      </c>
      <c r="AU32" s="203">
        <f>60/D32</f>
        <v>3</v>
      </c>
      <c r="AV32" s="204">
        <f>SUM(AJ32:AU32)</f>
        <v>33</v>
      </c>
      <c r="AW32" s="205">
        <f>AV32/12</f>
        <v>2.75</v>
      </c>
      <c r="AX32" s="203" t="s">
        <v>49</v>
      </c>
      <c r="AY32" s="203">
        <v>40</v>
      </c>
      <c r="AZ32" s="203">
        <v>31</v>
      </c>
      <c r="BA32" s="203">
        <v>14</v>
      </c>
      <c r="BB32" s="203">
        <v>25</v>
      </c>
      <c r="BC32" s="203">
        <f>SUMIFS(領用表!$L:$L,領用表!$A:$A,BC$2,領用表!$E:$E,B32)</f>
        <v>0</v>
      </c>
      <c r="BD32" s="206">
        <f>SUMIFS(領用表!$L:$L,領用表!$E:$E,$B32,領用表!$B:$B,BC$2&amp;BD$2)</f>
        <v>0</v>
      </c>
      <c r="BE32" s="206">
        <f>SUMIFS(領用表!$L:$L,領用表!$E:$E,$B32,領用表!$B:$B,$BC$2&amp;BE$2)</f>
        <v>0</v>
      </c>
      <c r="BF32" s="206">
        <f>SUMIFS(領用表!$L:$L,領用表!$E:$E,$B32,領用表!$B:$B,$BC$2&amp;BF$2)</f>
        <v>0</v>
      </c>
      <c r="BG32" s="206">
        <f>SUMIFS(領用表!$L:$L,領用表!$E:$E,$B32,領用表!$B:$B,$BC$2&amp;BG$2)</f>
        <v>0</v>
      </c>
      <c r="BH32" s="203">
        <f>SUMIFS(領用表!$L:$L,領用表!$A:$A,BH$2,領用表!$E:$E,B32)</f>
        <v>0</v>
      </c>
      <c r="BI32" s="206">
        <f>SUMIFS(領用表!$L:$L,領用表!$E:$E,$B32,領用表!$B:$B,BH$2&amp;BI$2)</f>
        <v>0</v>
      </c>
      <c r="BJ32" s="206">
        <f>SUMIFS(領用表!$L:$L,領用表!$E:$E,$B32,領用表!$B:$B,$BH$2&amp;BJ$2)</f>
        <v>0</v>
      </c>
      <c r="BK32" s="206">
        <f>SUMIFS(領用表!$L:$L,領用表!$E:$E,$B32,領用表!$B:$B,$BH$2&amp;BK$2)</f>
        <v>0</v>
      </c>
      <c r="BL32" s="206">
        <f>SUMIFS(領用表!$L:$L,領用表!$E:$E,$B32,領用表!$B:$B,$BH$2&amp;BL$2)</f>
        <v>0</v>
      </c>
      <c r="BM32" s="203">
        <f>SUMIFS(領用表!$L:$L,領用表!$A:$A,BM$2,領用表!$E:$E,B32)</f>
        <v>0</v>
      </c>
      <c r="BN32" s="206">
        <f>SUMIFS(領用表!$L:$L,領用表!$E:$E,$B32,領用表!$B:$B,BM$2&amp;BN$2)</f>
        <v>0</v>
      </c>
      <c r="BO32" s="206">
        <f>SUMIFS(領用表!$L:$L,領用表!$E:$E,$B32,領用表!$B:$B,$BM$2&amp;BO$2)</f>
        <v>0</v>
      </c>
      <c r="BP32" s="206">
        <f>SUMIFS(領用表!$L:$L,領用表!$E:$E,$B32,領用表!$B:$B,$BM$2&amp;BP$2)</f>
        <v>0</v>
      </c>
      <c r="BQ32" s="206">
        <f>SUMIFS(領用表!$L:$L,領用表!$E:$E,$B32,領用表!$B:$B,$BM$2&amp;BQ$2)</f>
        <v>0</v>
      </c>
      <c r="BR32" s="203">
        <f>SUMIFS(領用表!$L:$L,領用表!$A:$A,BR$2,領用表!$E:$E,B32)</f>
        <v>0</v>
      </c>
      <c r="BS32" s="206">
        <f>SUMIFS(領用表!$L:$L,領用表!$E:$E,$B32,領用表!$B:$B,BR$2&amp;BS$2)</f>
        <v>0</v>
      </c>
      <c r="BT32" s="206">
        <f>SUMIFS(領用表!$L:$L,領用表!$E:$E,$B32,領用表!$B:$B,$BR$2&amp;BT$2)</f>
        <v>0</v>
      </c>
      <c r="BU32" s="206">
        <f>SUMIFS(領用表!$L:$L,領用表!$E:$E,$B32,領用表!$B:$B,$BR$2&amp;BU$2)</f>
        <v>0</v>
      </c>
      <c r="BV32" s="206">
        <f>SUMIFS(領用表!$L:$L,領用表!$E:$E,$B32,領用表!$B:$B,$BR$2&amp;BV$2)</f>
        <v>0</v>
      </c>
      <c r="BW32" s="208">
        <f>SUMIFS(領用表!$L:$L,領用表!$A:$A,BW$2,領用表!$E:$E,B32)</f>
        <v>43</v>
      </c>
      <c r="BX32" s="216">
        <f>SUMIFS(領用表!$L:$L,領用表!$E:$E,$B32,領用表!$B:$B,BW$2&amp;BX$2)</f>
        <v>15</v>
      </c>
      <c r="BY32" s="216">
        <f>SUMIFS(領用表!$L:$L,領用表!$E:$E,$B32,領用表!$B:$B,$BW$2&amp;BY$2)</f>
        <v>0</v>
      </c>
      <c r="BZ32" s="216">
        <f>SUMIFS(領用表!$L:$L,領用表!$E:$E,$B32,領用表!$B:$B,$BW$2&amp;BZ$2)</f>
        <v>28</v>
      </c>
      <c r="CA32" s="216">
        <f>SUMIFS(領用表!$L:$L,領用表!$E:$E,$B32,領用表!$B:$B,$BW$2&amp;CA$2)</f>
        <v>0</v>
      </c>
      <c r="CB32" s="208">
        <f>SUMIFS(領用表!$L:$L,領用表!$A:$A,CB$2,領用表!$E:$E,B32)</f>
        <v>71</v>
      </c>
      <c r="CC32" s="216">
        <f>SUMIFS(領用表!$L:$L,領用表!$E:$E,$B32,領用表!$B:$B,CB$2&amp;CC$2)</f>
        <v>41</v>
      </c>
      <c r="CD32" s="216">
        <f>SUMIFS(領用表!$L:$L,領用表!$E:$E,$B32,領用表!$B:$B,$CB$2&amp;CD$2)</f>
        <v>0</v>
      </c>
      <c r="CE32" s="216">
        <f>SUMIFS(領用表!$L:$L,領用表!$E:$E,$B32,領用表!$B:$B,$CB$2&amp;CE$2)</f>
        <v>30</v>
      </c>
      <c r="CF32" s="216">
        <f>SUMIFS(領用表!$L:$L,領用表!$E:$E,$B32,領用表!$B:$B,$CB$2&amp;CF$2)</f>
        <v>0</v>
      </c>
      <c r="CG32" s="217">
        <f>SUMIFS(領用表!$L:$L,領用表!$A:$A,CG$2,領用表!$E:$E,B32)</f>
        <v>64</v>
      </c>
      <c r="CH32" s="216">
        <f>SUMIFS(領用表!$L:$L,領用表!$E:$E,$B32,領用表!$B:$B,CG$2&amp;CH$2)</f>
        <v>29</v>
      </c>
      <c r="CI32" s="216">
        <f>SUMIFS(領用表!$L:$L,領用表!$E:$E,$B32,領用表!$B:$B,CG$2&amp;CI$2)</f>
        <v>0</v>
      </c>
      <c r="CJ32" s="216">
        <f>SUMIFS(領用表!$L:$L,領用表!$E:$E,$B32,領用表!$B:$B,CG$2&amp;CJ$2)</f>
        <v>35</v>
      </c>
      <c r="CK32" s="216">
        <f>SUMIFS(領用表!$L:$L,領用表!$E:$E,$B32,領用表!$B:$B,$CG$2&amp;CK$2)</f>
        <v>0</v>
      </c>
      <c r="CL32" s="207">
        <f t="shared" si="3"/>
        <v>288</v>
      </c>
      <c r="CM32" s="207">
        <f t="shared" si="4"/>
        <v>26.181818181818183</v>
      </c>
      <c r="CN32" s="217">
        <f>SUMIFS(領用表!$L:$L,領用表!$A:$A,CN$2,領用表!$E:$E,B32)</f>
        <v>66</v>
      </c>
      <c r="CO32" s="216">
        <f>SUMIFS(領用表!$L:$L,領用表!$E:$E,$B32,領用表!$B:$B,CN$2&amp;CO$2)</f>
        <v>32</v>
      </c>
      <c r="CP32" s="216">
        <f>SUMIFS(領用表!$L:$L,領用表!$E:$E,$B32,領用表!$B:$B,$CN$2&amp;CP$2)</f>
        <v>0</v>
      </c>
      <c r="CQ32" s="216">
        <f>SUMIFS(領用表!$L:$L,領用表!$E:$E,$B32,領用表!$B:$B,$CN$2&amp;CQ$2)</f>
        <v>34</v>
      </c>
      <c r="CR32" s="216">
        <f>SUMIFS(領用表!$L:$L,領用表!$E:$E,$B32,領用表!$B:$B,$CN$2&amp;CR$2)</f>
        <v>0</v>
      </c>
      <c r="CS32" s="208">
        <f>SUMIFS(領用表!$L:$L,領用表!$A:$A,CS$2,領用表!$E:$E,B32)</f>
        <v>34</v>
      </c>
      <c r="CT32" s="216">
        <f>SUMIFS(領用表!$L:$L,領用表!$E:$E,$B32,領用表!$B:$B,CS$2&amp;CT$2)</f>
        <v>23</v>
      </c>
      <c r="CU32" s="216">
        <f>SUMIFS(領用表!$L:$L,領用表!$E:$E,$B32,領用表!$B:$B,$CS$2&amp;CU$2)</f>
        <v>0</v>
      </c>
      <c r="CV32" s="216">
        <f>SUMIFS(領用表!$L:$L,領用表!$E:$E,$B32,領用表!$B:$B,$CS$2&amp;CV$2)</f>
        <v>11</v>
      </c>
      <c r="CW32" s="216">
        <f>SUMIFS(領用表!$L:$L,領用表!$E:$E,$B32,領用表!$B:$B,$CS$2&amp;CW$2)</f>
        <v>0</v>
      </c>
      <c r="CX32" s="216">
        <f>SUMIFS(領用表!$L:$L,領用表!$E:$E,$B32,領用表!$B:$B,$CS$2&amp;CX$2)</f>
        <v>0</v>
      </c>
      <c r="CY32" s="208">
        <f>SUMIFS(領用表!$L:$L,領用表!$A:$A,CY$2,領用表!$E:$E,B32)</f>
        <v>84</v>
      </c>
      <c r="CZ32" s="216">
        <f>SUMIFS(領用表!$L:$L,領用表!$E:$E,$B32,領用表!$B:$B,CY$2&amp;CZ$2)</f>
        <v>35</v>
      </c>
      <c r="DA32" s="216">
        <f>SUMIFS(領用表!$L:$L,領用表!$E:$E,$B32,領用表!$B:$B,$CY$2&amp;DA$2)</f>
        <v>0</v>
      </c>
      <c r="DB32" s="216">
        <f>SUMIFS(領用表!$L:$L,領用表!$E:$E,$B32,領用表!$B:$B,$CY$2&amp;DB$2)</f>
        <v>45</v>
      </c>
      <c r="DC32" s="216">
        <f>SUMIFS(領用表!$L:$L,領用表!$E:$E,$B32,領用表!$B:$B,$CY$2&amp;DC$2)</f>
        <v>0</v>
      </c>
      <c r="DD32" s="216">
        <f>SUMIFS(領用表!$L:$L,領用表!$E:$E,$B32,領用表!$B:$B,$CY$2&amp;DD$2)</f>
        <v>4</v>
      </c>
      <c r="DE32" s="208">
        <f>SUMIFS(領用表!$L:$L,領用表!$A:$A,DE$2,領用表!$E:$E,B32)</f>
        <v>53</v>
      </c>
      <c r="DF32" s="216">
        <f>SUMIFS(領用表!$L:$L,領用表!$E:$E,$B32,領用表!$B:$B,DE$2&amp;DF$2)</f>
        <v>15</v>
      </c>
      <c r="DG32" s="216">
        <f>SUMIFS(領用表!$L:$L,領用表!$E:$E,$B32,領用表!$B:$B,$DE$2&amp;DG$2)</f>
        <v>0</v>
      </c>
      <c r="DH32" s="216">
        <f>SUMIFS(領用表!$L:$L,領用表!$E:$E,$B32,領用表!$B:$B,$DE$2&amp;DH$2)</f>
        <v>31</v>
      </c>
      <c r="DI32" s="216">
        <f>SUMIFS(領用表!$L:$L,領用表!$E:$E,$B32,領用表!$B:$B,$DE$2&amp;DI$2)</f>
        <v>0</v>
      </c>
      <c r="DJ32" s="216">
        <f>SUMIFS(領用表!$L:$L,領用表!$E:$E,$B32,領用表!$B:$B,$DE$2&amp;DJ$2)</f>
        <v>7</v>
      </c>
      <c r="DK32" s="208">
        <f>SUMIFS(領用表!$L:$L,領用表!$A:$A,DK$2,領用表!$E:$E,$B32)</f>
        <v>95</v>
      </c>
      <c r="DL32" s="216">
        <f>SUMIFS(領用表!$L:$L,領用表!$E:$E,$B32,領用表!$B:$B,DK$2&amp;DL$2)</f>
        <v>33</v>
      </c>
      <c r="DM32" s="216">
        <f>SUMIFS(領用表!$L:$L,領用表!$E:$E,$B32,領用表!$B:$B,$DK$2&amp;DM$2)</f>
        <v>0</v>
      </c>
      <c r="DN32" s="216">
        <f>SUMIFS(領用表!$L:$L,領用表!$E:$E,$B32,領用表!$B:$B,$DK$2&amp;DN$2)</f>
        <v>59</v>
      </c>
      <c r="DO32" s="216">
        <f>SUMIFS(領用表!$L:$L,領用表!$E:$E,$B32,領用表!$B:$B,$DK$2&amp;DO$2)</f>
        <v>0</v>
      </c>
      <c r="DP32" s="216">
        <f>SUMIFS(領用表!$L:$L,領用表!$E:$E,$B32,領用表!$B:$B,$DK$2&amp;DP$2)</f>
        <v>3</v>
      </c>
      <c r="DQ32" s="216">
        <f t="shared" si="2"/>
        <v>332</v>
      </c>
      <c r="DR32" s="216">
        <f t="shared" si="5"/>
        <v>66.400000000000006</v>
      </c>
      <c r="DS32" s="216">
        <f t="shared" si="6"/>
        <v>30</v>
      </c>
      <c r="DT32" s="216">
        <v>25</v>
      </c>
      <c r="DU32" s="216">
        <v>0</v>
      </c>
      <c r="DV32" s="216">
        <v>5</v>
      </c>
      <c r="DW32" s="216">
        <v>0</v>
      </c>
      <c r="DX32" s="215">
        <v>0</v>
      </c>
      <c r="DY32" s="210">
        <v>0</v>
      </c>
      <c r="DZ32" s="211"/>
      <c r="EA32" s="211"/>
      <c r="EB32" s="136"/>
      <c r="EC32" s="212"/>
      <c r="ED32" s="118">
        <f>IFERROR(VLOOKUP(A32,站前4樓!A:BF,57,0),0)</f>
        <v>41</v>
      </c>
      <c r="EE32" s="213">
        <f>IFERROR(VLOOKUP(A32,站前11樓!A:BE,57,0),0)</f>
        <v>0</v>
      </c>
      <c r="EF32" s="118">
        <f>IFERROR(VLOOKUP(A32,忠孝7樓!A:N,57,0),0)</f>
        <v>0</v>
      </c>
      <c r="EG32" s="118">
        <f>IFERROR(VLOOKUP(A32,忠孝國際醫學3樓!A:L,57,0),0)</f>
        <v>0</v>
      </c>
      <c r="EH32" s="118">
        <f t="shared" si="7"/>
        <v>41</v>
      </c>
      <c r="EJ32" s="118">
        <v>199</v>
      </c>
      <c r="EK32" s="118">
        <v>173</v>
      </c>
    </row>
    <row r="33" spans="1:141" s="118" customFormat="1" ht="15.75" customHeight="1">
      <c r="A33" s="136"/>
      <c r="B33" s="14">
        <v>6190006</v>
      </c>
      <c r="C33" s="118" t="s">
        <v>937</v>
      </c>
      <c r="D33" s="16">
        <v>1</v>
      </c>
      <c r="E33" s="17" t="s">
        <v>15</v>
      </c>
      <c r="F33" s="227">
        <f>SUMIF(站前4樓!B:B,B33,站前4樓!F:F)</f>
        <v>107</v>
      </c>
      <c r="G33" s="227">
        <f>SUMIF(站前11樓!B:B,B33,站前11樓!F:F)</f>
        <v>0</v>
      </c>
      <c r="H33" s="227">
        <f>SUMIF(忠孝7樓!B:B,B33,忠孝7樓!G:G)</f>
        <v>143</v>
      </c>
      <c r="I33" s="227">
        <f>SUMIF(忠孝國際醫學3樓!B:B,B33,忠孝國際醫學3樓!G:G)</f>
        <v>0</v>
      </c>
      <c r="J33" s="227">
        <f>SUMIF(忠孝健康7樓!B:B,B33,忠孝健康7樓!G:G)</f>
        <v>81</v>
      </c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0"/>
      <c r="AI33" s="200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3"/>
      <c r="AV33" s="204"/>
      <c r="AW33" s="205"/>
      <c r="AX33" s="203"/>
      <c r="AY33" s="203"/>
      <c r="AZ33" s="203"/>
      <c r="BA33" s="203"/>
      <c r="BB33" s="203"/>
      <c r="BC33" s="203"/>
      <c r="BD33" s="206"/>
      <c r="BE33" s="206"/>
      <c r="BF33" s="206"/>
      <c r="BG33" s="206"/>
      <c r="BH33" s="203"/>
      <c r="BI33" s="206"/>
      <c r="BJ33" s="206"/>
      <c r="BK33" s="206"/>
      <c r="BL33" s="206"/>
      <c r="BM33" s="203"/>
      <c r="BN33" s="206"/>
      <c r="BO33" s="206"/>
      <c r="BP33" s="206"/>
      <c r="BQ33" s="206"/>
      <c r="BR33" s="203"/>
      <c r="BS33" s="206"/>
      <c r="BT33" s="206"/>
      <c r="BU33" s="206"/>
      <c r="BV33" s="206"/>
      <c r="BW33" s="208"/>
      <c r="BX33" s="216"/>
      <c r="BY33" s="216"/>
      <c r="BZ33" s="216"/>
      <c r="CA33" s="216"/>
      <c r="CB33" s="208"/>
      <c r="CC33" s="216"/>
      <c r="CD33" s="216"/>
      <c r="CE33" s="216"/>
      <c r="CF33" s="216"/>
      <c r="CG33" s="217"/>
      <c r="CH33" s="216"/>
      <c r="CI33" s="216"/>
      <c r="CJ33" s="216"/>
      <c r="CK33" s="216"/>
      <c r="CL33" s="207"/>
      <c r="CM33" s="207"/>
      <c r="CN33" s="217"/>
      <c r="CO33" s="216"/>
      <c r="CP33" s="216"/>
      <c r="CQ33" s="216"/>
      <c r="CR33" s="216"/>
      <c r="CS33" s="208"/>
      <c r="CT33" s="216"/>
      <c r="CU33" s="216"/>
      <c r="CV33" s="216"/>
      <c r="CW33" s="216"/>
      <c r="CX33" s="216"/>
      <c r="CY33" s="208"/>
      <c r="CZ33" s="216"/>
      <c r="DA33" s="216"/>
      <c r="DB33" s="216"/>
      <c r="DC33" s="216"/>
      <c r="DD33" s="216"/>
      <c r="DE33" s="208">
        <f>SUMIFS(領用表!$L:$L,領用表!$A:$A,DE$2,領用表!$E:$E,B33)</f>
        <v>60</v>
      </c>
      <c r="DF33" s="216">
        <f>SUMIFS(領用表!$L:$L,領用表!$E:$E,$B33,領用表!$B:$B,DE$2&amp;DF$2)</f>
        <v>31</v>
      </c>
      <c r="DG33" s="216">
        <f>SUMIFS(領用表!$L:$L,領用表!$E:$E,$B33,領用表!$B:$B,$DE$2&amp;DG$2)</f>
        <v>0</v>
      </c>
      <c r="DH33" s="216">
        <f>SUMIFS(領用表!$L:$L,領用表!$E:$E,$B33,領用表!$B:$B,$DE$2&amp;DH$2)</f>
        <v>23</v>
      </c>
      <c r="DI33" s="216">
        <f>SUMIFS(領用表!$L:$L,領用表!$E:$E,$B33,領用表!$B:$B,$DE$2&amp;DI$2)</f>
        <v>0</v>
      </c>
      <c r="DJ33" s="216">
        <f>SUMIFS(領用表!$L:$L,領用表!$E:$E,$B33,領用表!$B:$B,$DE$2&amp;DJ$2)</f>
        <v>6</v>
      </c>
      <c r="DK33" s="208">
        <f>SUMIFS(領用表!$L:$L,領用表!$A:$A,DK$2,領用表!$E:$E,$B33)</f>
        <v>107</v>
      </c>
      <c r="DL33" s="216">
        <f>SUMIFS(領用表!$L:$L,領用表!$E:$E,$B33,領用表!$B:$B,DK$2&amp;DL$2)</f>
        <v>61</v>
      </c>
      <c r="DM33" s="216">
        <f>SUMIFS(領用表!$L:$L,領用表!$E:$E,$B33,領用表!$B:$B,$DK$2&amp;DM$2)</f>
        <v>0</v>
      </c>
      <c r="DN33" s="216">
        <f>SUMIFS(領用表!$L:$L,領用表!$E:$E,$B33,領用表!$B:$B,$DK$2&amp;DN$2)</f>
        <v>33</v>
      </c>
      <c r="DO33" s="216">
        <f>SUMIFS(領用表!$L:$L,領用表!$E:$E,$B33,領用表!$B:$B,$DK$2&amp;DO$2)</f>
        <v>0</v>
      </c>
      <c r="DP33" s="216">
        <f>SUMIFS(領用表!$L:$L,領用表!$E:$E,$B33,領用表!$B:$B,$DK$2&amp;DP$2)</f>
        <v>13</v>
      </c>
      <c r="DQ33" s="216">
        <f t="shared" si="2"/>
        <v>167</v>
      </c>
      <c r="DR33" s="216">
        <f t="shared" si="5"/>
        <v>83.5</v>
      </c>
      <c r="DS33" s="216"/>
      <c r="DT33" s="216"/>
      <c r="DU33" s="216"/>
      <c r="DV33" s="216"/>
      <c r="DW33" s="216"/>
      <c r="DX33" s="215"/>
      <c r="DY33" s="210"/>
      <c r="DZ33" s="211"/>
      <c r="EA33" s="211"/>
      <c r="EB33" s="136"/>
      <c r="EC33" s="212"/>
      <c r="EE33" s="213"/>
    </row>
    <row r="34" spans="1:141" s="118" customFormat="1" ht="15.75" customHeight="1">
      <c r="A34" s="136"/>
      <c r="B34" s="433">
        <v>6050010</v>
      </c>
      <c r="C34" s="14" t="s">
        <v>967</v>
      </c>
      <c r="D34" s="426">
        <v>1</v>
      </c>
      <c r="E34" s="17" t="s">
        <v>15</v>
      </c>
      <c r="F34" s="227">
        <f>SUMIF(站前4樓!B:B,B34,站前4樓!F:F)</f>
        <v>99</v>
      </c>
      <c r="G34" s="227">
        <f>SUMIF(站前11樓!B:B,B34,站前11樓!F:F)</f>
        <v>0</v>
      </c>
      <c r="H34" s="227">
        <f>SUMIF(忠孝7樓!B:B,B34,忠孝7樓!G:G)</f>
        <v>96</v>
      </c>
      <c r="I34" s="227">
        <f>SUMIF(忠孝國際醫學3樓!B:B,B34,忠孝國際醫學3樓!G:G)</f>
        <v>0</v>
      </c>
      <c r="J34" s="227">
        <f>SUMIF(忠孝健康7樓!B:B,B34,忠孝健康7樓!G:G)</f>
        <v>98</v>
      </c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0"/>
      <c r="AI34" s="200"/>
      <c r="AJ34" s="201"/>
      <c r="AK34" s="201"/>
      <c r="AL34" s="201"/>
      <c r="AM34" s="201"/>
      <c r="AN34" s="201"/>
      <c r="AO34" s="201"/>
      <c r="AP34" s="201"/>
      <c r="AQ34" s="201"/>
      <c r="AR34" s="201"/>
      <c r="AS34" s="201"/>
      <c r="AT34" s="201"/>
      <c r="AU34" s="203"/>
      <c r="AV34" s="204"/>
      <c r="AW34" s="205"/>
      <c r="AX34" s="203"/>
      <c r="AY34" s="203"/>
      <c r="AZ34" s="203"/>
      <c r="BA34" s="203"/>
      <c r="BB34" s="203"/>
      <c r="BC34" s="203"/>
      <c r="BD34" s="206"/>
      <c r="BE34" s="206"/>
      <c r="BF34" s="206"/>
      <c r="BG34" s="206"/>
      <c r="BH34" s="203"/>
      <c r="BI34" s="206"/>
      <c r="BJ34" s="206"/>
      <c r="BK34" s="206"/>
      <c r="BL34" s="206"/>
      <c r="BM34" s="203"/>
      <c r="BN34" s="206"/>
      <c r="BO34" s="206"/>
      <c r="BP34" s="206"/>
      <c r="BQ34" s="206"/>
      <c r="BR34" s="203"/>
      <c r="BS34" s="206"/>
      <c r="BT34" s="206"/>
      <c r="BU34" s="206"/>
      <c r="BV34" s="206"/>
      <c r="BW34" s="208"/>
      <c r="BX34" s="216"/>
      <c r="BY34" s="216"/>
      <c r="BZ34" s="216"/>
      <c r="CA34" s="216"/>
      <c r="CB34" s="208"/>
      <c r="CC34" s="216"/>
      <c r="CD34" s="216"/>
      <c r="CE34" s="216"/>
      <c r="CF34" s="216"/>
      <c r="CG34" s="217"/>
      <c r="CH34" s="216"/>
      <c r="CI34" s="216"/>
      <c r="CJ34" s="216"/>
      <c r="CK34" s="216"/>
      <c r="CL34" s="207"/>
      <c r="CM34" s="207"/>
      <c r="CN34" s="217"/>
      <c r="CO34" s="216"/>
      <c r="CP34" s="216"/>
      <c r="CQ34" s="216"/>
      <c r="CR34" s="216"/>
      <c r="CS34" s="208"/>
      <c r="CT34" s="216"/>
      <c r="CU34" s="216"/>
      <c r="CV34" s="216"/>
      <c r="CW34" s="216"/>
      <c r="CX34" s="216"/>
      <c r="CY34" s="208"/>
      <c r="CZ34" s="216"/>
      <c r="DA34" s="216"/>
      <c r="DB34" s="216"/>
      <c r="DC34" s="216"/>
      <c r="DD34" s="216"/>
      <c r="DE34" s="208"/>
      <c r="DF34" s="216"/>
      <c r="DG34" s="216"/>
      <c r="DH34" s="216"/>
      <c r="DI34" s="216"/>
      <c r="DJ34" s="216"/>
      <c r="DK34" s="208">
        <f>SUMIFS(領用表!$L:$L,領用表!$A:$A,DK$2,領用表!$E:$E,$B34)</f>
        <v>6</v>
      </c>
      <c r="DL34" s="216">
        <f>SUMIFS(領用表!$L:$L,領用表!$E:$E,$B34,領用表!$B:$B,DK$2&amp;DL$2)</f>
        <v>1</v>
      </c>
      <c r="DM34" s="216">
        <f>SUMIFS(領用表!$L:$L,領用表!$E:$E,$B34,領用表!$B:$B,$DK$2&amp;DM$2)</f>
        <v>0</v>
      </c>
      <c r="DN34" s="216">
        <f>SUMIFS(領用表!$L:$L,領用表!$E:$E,$B34,領用表!$B:$B,$DK$2&amp;DN$2)</f>
        <v>3</v>
      </c>
      <c r="DO34" s="216">
        <f>SUMIFS(領用表!$L:$L,領用表!$E:$E,$B34,領用表!$B:$B,$DK$2&amp;DO$2)</f>
        <v>0</v>
      </c>
      <c r="DP34" s="216">
        <f>SUMIFS(領用表!$L:$L,領用表!$E:$E,$B34,領用表!$B:$B,$DK$2&amp;DP$2)</f>
        <v>2</v>
      </c>
      <c r="DQ34" s="216">
        <f t="shared" ref="DQ34" si="11">SUM(CN34,CS34,CY34,DE34,DK34)</f>
        <v>6</v>
      </c>
      <c r="DR34" s="216">
        <f t="shared" ref="DR34" si="12">AVERAGEA(CN34,CS34,CY34,DE34,DK34)</f>
        <v>6</v>
      </c>
      <c r="DS34" s="216"/>
      <c r="DT34" s="216"/>
      <c r="DU34" s="216"/>
      <c r="DV34" s="216"/>
      <c r="DW34" s="216"/>
      <c r="DX34" s="215"/>
      <c r="DY34" s="210"/>
      <c r="DZ34" s="211"/>
      <c r="EA34" s="211"/>
      <c r="EB34" s="136"/>
      <c r="EC34" s="212"/>
      <c r="EE34" s="213"/>
    </row>
    <row r="35" spans="1:141" s="118" customFormat="1" ht="15.75" customHeight="1">
      <c r="A35" s="136" t="s">
        <v>60</v>
      </c>
      <c r="B35" s="118">
        <v>6160001</v>
      </c>
      <c r="C35" s="118" t="s">
        <v>477</v>
      </c>
      <c r="D35" s="228">
        <v>1</v>
      </c>
      <c r="E35" s="198" t="s">
        <v>15</v>
      </c>
      <c r="F35" s="199">
        <f>SUMIF(站前4樓!B:B,B35,站前4樓!F:F)</f>
        <v>11</v>
      </c>
      <c r="G35" s="199">
        <f>SUMIF(站前11樓!B:B,B35,站前11樓!F:F)</f>
        <v>0</v>
      </c>
      <c r="H35" s="199">
        <f>SUMIF(忠孝7樓!B:B,B35,忠孝7樓!G:G)</f>
        <v>7</v>
      </c>
      <c r="I35" s="199">
        <f>SUMIF(忠孝國際醫學3樓!B:B,B35,忠孝國際醫學3樓!G:G)</f>
        <v>0</v>
      </c>
      <c r="J35" s="199">
        <f>SUMIF(忠孝健康7樓!B:B,B35,忠孝健康7樓!G:G)</f>
        <v>0</v>
      </c>
      <c r="K35" s="220">
        <v>0</v>
      </c>
      <c r="L35" s="220">
        <v>0.05</v>
      </c>
      <c r="M35" s="200">
        <v>1</v>
      </c>
      <c r="N35" s="200">
        <v>11</v>
      </c>
      <c r="O35" s="200">
        <v>12</v>
      </c>
      <c r="P35" s="200">
        <v>2</v>
      </c>
      <c r="Q35" s="200">
        <v>2</v>
      </c>
      <c r="R35" s="200">
        <v>3</v>
      </c>
      <c r="S35" s="200">
        <v>2</v>
      </c>
      <c r="T35" s="200">
        <v>0</v>
      </c>
      <c r="U35" s="200">
        <v>1</v>
      </c>
      <c r="V35" s="200">
        <v>1</v>
      </c>
      <c r="W35" s="200">
        <v>5</v>
      </c>
      <c r="X35" s="200">
        <v>2</v>
      </c>
      <c r="Y35" s="200">
        <v>1</v>
      </c>
      <c r="Z35" s="200">
        <v>0</v>
      </c>
      <c r="AA35" s="200">
        <v>2</v>
      </c>
      <c r="AB35" s="200">
        <v>1</v>
      </c>
      <c r="AC35" s="200">
        <v>0</v>
      </c>
      <c r="AD35" s="200">
        <v>0</v>
      </c>
      <c r="AE35" s="200">
        <v>0</v>
      </c>
      <c r="AF35" s="200">
        <v>0</v>
      </c>
      <c r="AG35" s="200">
        <v>0</v>
      </c>
      <c r="AH35" s="200">
        <v>0</v>
      </c>
      <c r="AI35" s="200">
        <v>0</v>
      </c>
      <c r="AJ35" s="201">
        <v>1</v>
      </c>
      <c r="AK35" s="201">
        <v>2</v>
      </c>
      <c r="AL35" s="201">
        <v>2</v>
      </c>
      <c r="AM35" s="201">
        <v>7</v>
      </c>
      <c r="AN35" s="201">
        <v>4</v>
      </c>
      <c r="AO35" s="201">
        <v>4</v>
      </c>
      <c r="AP35" s="201">
        <v>4</v>
      </c>
      <c r="AQ35" s="201">
        <v>9</v>
      </c>
      <c r="AR35" s="201">
        <v>5</v>
      </c>
      <c r="AS35" s="201">
        <v>3</v>
      </c>
      <c r="AT35" s="202">
        <v>0</v>
      </c>
      <c r="AU35" s="203">
        <v>1</v>
      </c>
      <c r="AV35" s="204">
        <f>SUM(AJ35:AU35)</f>
        <v>42</v>
      </c>
      <c r="AW35" s="205">
        <f>AV35/12</f>
        <v>3.5</v>
      </c>
      <c r="AX35" s="203">
        <v>5</v>
      </c>
      <c r="AY35" s="203">
        <v>3</v>
      </c>
      <c r="AZ35" s="203">
        <v>0</v>
      </c>
      <c r="BA35" s="203">
        <v>0</v>
      </c>
      <c r="BB35" s="203">
        <v>0</v>
      </c>
      <c r="BC35" s="203">
        <f>SUMIFS(領用表!$L:$L,領用表!$A:$A,BC$2,領用表!$E:$E,B35)</f>
        <v>0</v>
      </c>
      <c r="BD35" s="206">
        <f>SUMIFS(領用表!$L:$L,領用表!$E:$E,$B35,領用表!$B:$B,BC$2&amp;BD$2)</f>
        <v>0</v>
      </c>
      <c r="BE35" s="206">
        <f>SUMIFS(領用表!$L:$L,領用表!$E:$E,$B35,領用表!$B:$B,$BC$2&amp;BE$2)</f>
        <v>0</v>
      </c>
      <c r="BF35" s="206">
        <f>SUMIFS(領用表!$L:$L,領用表!$E:$E,$B35,領用表!$B:$B,$BC$2&amp;BF$2)</f>
        <v>0</v>
      </c>
      <c r="BG35" s="206">
        <f>SUMIFS(領用表!$L:$L,領用表!$E:$E,$B35,領用表!$B:$B,$BC$2&amp;BG$2)</f>
        <v>0</v>
      </c>
      <c r="BH35" s="203">
        <f>SUMIFS(領用表!$L:$L,領用表!$A:$A,BH$2,領用表!$E:$E,B35)</f>
        <v>0</v>
      </c>
      <c r="BI35" s="206">
        <f>SUMIFS(領用表!$L:$L,領用表!$E:$E,$B35,領用表!$B:$B,BH$2&amp;BI$2)</f>
        <v>0</v>
      </c>
      <c r="BJ35" s="206">
        <f>SUMIFS(領用表!$L:$L,領用表!$E:$E,$B35,領用表!$B:$B,$BH$2&amp;BJ$2)</f>
        <v>0</v>
      </c>
      <c r="BK35" s="206">
        <f>SUMIFS(領用表!$L:$L,領用表!$E:$E,$B35,領用表!$B:$B,$BH$2&amp;BK$2)</f>
        <v>0</v>
      </c>
      <c r="BL35" s="206">
        <f>SUMIFS(領用表!$L:$L,領用表!$E:$E,$B35,領用表!$B:$B,$BH$2&amp;BL$2)</f>
        <v>0</v>
      </c>
      <c r="BM35" s="203">
        <f>SUMIFS(領用表!$L:$L,領用表!$A:$A,BM$2,領用表!$E:$E,B35)</f>
        <v>0</v>
      </c>
      <c r="BN35" s="206">
        <f>SUMIFS(領用表!$L:$L,領用表!$E:$E,$B35,領用表!$B:$B,BM$2&amp;BN$2)</f>
        <v>0</v>
      </c>
      <c r="BO35" s="206">
        <f>SUMIFS(領用表!$L:$L,領用表!$E:$E,$B35,領用表!$B:$B,$BM$2&amp;BO$2)</f>
        <v>0</v>
      </c>
      <c r="BP35" s="206">
        <f>SUMIFS(領用表!$L:$L,領用表!$E:$E,$B35,領用表!$B:$B,$BM$2&amp;BP$2)</f>
        <v>0</v>
      </c>
      <c r="BQ35" s="206">
        <f>SUMIFS(領用表!$L:$L,領用表!$E:$E,$B35,領用表!$B:$B,$BM$2&amp;BQ$2)</f>
        <v>0</v>
      </c>
      <c r="BR35" s="203">
        <f>SUMIFS(領用表!$L:$L,領用表!$A:$A,BR$2,領用表!$E:$E,B35)</f>
        <v>0</v>
      </c>
      <c r="BS35" s="206">
        <f>SUMIFS(領用表!$L:$L,領用表!$E:$E,$B35,領用表!$B:$B,BR$2&amp;BS$2)</f>
        <v>0</v>
      </c>
      <c r="BT35" s="206">
        <f>SUMIFS(領用表!$L:$L,領用表!$E:$E,$B35,領用表!$B:$B,$BR$2&amp;BT$2)</f>
        <v>0</v>
      </c>
      <c r="BU35" s="206">
        <f>SUMIFS(領用表!$L:$L,領用表!$E:$E,$B35,領用表!$B:$B,$BR$2&amp;BU$2)</f>
        <v>0</v>
      </c>
      <c r="BV35" s="206">
        <f>SUMIFS(領用表!$L:$L,領用表!$E:$E,$B35,領用表!$B:$B,$BR$2&amp;BV$2)</f>
        <v>0</v>
      </c>
      <c r="BW35" s="208">
        <f>SUMIFS(領用表!$L:$L,領用表!$A:$A,BW$2,領用表!$E:$E,B35)</f>
        <v>0</v>
      </c>
      <c r="BX35" s="206">
        <f>SUMIFS(領用表!$L:$L,領用表!$E:$E,$B35,領用表!$B:$B,BW$2&amp;BX$2)</f>
        <v>0</v>
      </c>
      <c r="BY35" s="206">
        <f>SUMIFS(領用表!$L:$L,領用表!$E:$E,$B35,領用表!$B:$B,$BW$2&amp;BY$2)</f>
        <v>0</v>
      </c>
      <c r="BZ35" s="206">
        <f>SUMIFS(領用表!$L:$L,領用表!$E:$E,$B35,領用表!$B:$B,$BW$2&amp;BZ$2)</f>
        <v>0</v>
      </c>
      <c r="CA35" s="206">
        <f>SUMIFS(領用表!$L:$L,領用表!$E:$E,$B35,領用表!$B:$B,$BW$2&amp;CA$2)</f>
        <v>0</v>
      </c>
      <c r="CB35" s="208">
        <f>SUMIFS(領用表!$L:$L,領用表!$A:$A,CB$2,領用表!$E:$E,B35)</f>
        <v>0</v>
      </c>
      <c r="CC35" s="206">
        <f>SUMIFS(領用表!$L:$L,領用表!$E:$E,$B35,領用表!$B:$B,CB$2&amp;CC$2)</f>
        <v>0</v>
      </c>
      <c r="CD35" s="206">
        <f>SUMIFS(領用表!$L:$L,領用表!$E:$E,$B35,領用表!$B:$B,$CB$2&amp;CD$2)</f>
        <v>0</v>
      </c>
      <c r="CE35" s="206">
        <f>SUMIFS(領用表!$L:$L,領用表!$E:$E,$B35,領用表!$B:$B,$CB$2&amp;CE$2)</f>
        <v>0</v>
      </c>
      <c r="CF35" s="206">
        <f>SUMIFS(領用表!$L:$L,領用表!$E:$E,$B35,領用表!$B:$B,$CB$2&amp;CF$2)</f>
        <v>0</v>
      </c>
      <c r="CG35" s="208">
        <f>SUMIFS(領用表!$L:$L,領用表!$A:$A,CG$2,領用表!$E:$E,B35)</f>
        <v>4</v>
      </c>
      <c r="CH35" s="206">
        <f>SUMIFS(領用表!$L:$L,領用表!$E:$E,$B35,領用表!$B:$B,CG$2&amp;CH$2)</f>
        <v>3</v>
      </c>
      <c r="CI35" s="206">
        <f>SUMIFS(領用表!$L:$L,領用表!$E:$E,$B35,領用表!$B:$B,CG$2&amp;CI$2)</f>
        <v>0</v>
      </c>
      <c r="CJ35" s="206">
        <f>SUMIFS(領用表!$L:$L,領用表!$E:$E,$B35,領用表!$B:$B,CG$2&amp;CJ$2)</f>
        <v>1</v>
      </c>
      <c r="CK35" s="206">
        <f>SUMIFS(領用表!$L:$L,領用表!$E:$E,$B35,領用表!$B:$B,$CG$2&amp;CK$2)</f>
        <v>0</v>
      </c>
      <c r="CL35" s="207">
        <f>SUM(AX35,AY35,AZ35,BA35,BB35,BC35,BH35,BM35,BR35,BW35,CB35,CG35)</f>
        <v>12</v>
      </c>
      <c r="CM35" s="207">
        <f t="shared" si="4"/>
        <v>1</v>
      </c>
      <c r="CN35" s="208">
        <f>SUMIFS(領用表!$L:$L,領用表!$A:$A,CN$2,領用表!$E:$E,B35)</f>
        <v>7</v>
      </c>
      <c r="CO35" s="206">
        <f>SUMIFS(領用表!$L:$L,領用表!$E:$E,$B35,領用表!$B:$B,CN$2&amp;CO$2)</f>
        <v>5</v>
      </c>
      <c r="CP35" s="206">
        <f>SUMIFS(領用表!$L:$L,領用表!$E:$E,$B35,領用表!$B:$B,$CN$2&amp;CP$2)</f>
        <v>0</v>
      </c>
      <c r="CQ35" s="206">
        <f>SUMIFS(領用表!$L:$L,領用表!$E:$E,$B35,領用表!$B:$B,$CN$2&amp;CQ$2)</f>
        <v>2</v>
      </c>
      <c r="CR35" s="206">
        <f>SUMIFS(領用表!$L:$L,領用表!$E:$E,$B35,領用表!$B:$B,$CN$2&amp;CR$2)</f>
        <v>0</v>
      </c>
      <c r="CS35" s="208">
        <f>SUMIFS(領用表!$L:$L,領用表!$A:$A,CS$2,領用表!$E:$E,B35)</f>
        <v>2</v>
      </c>
      <c r="CT35" s="206">
        <f>SUMIFS(領用表!$L:$L,領用表!$E:$E,$B35,領用表!$B:$B,CS$2&amp;CT$2)</f>
        <v>2</v>
      </c>
      <c r="CU35" s="206">
        <f>SUMIFS(領用表!$L:$L,領用表!$E:$E,$B35,領用表!$B:$B,$CS$2&amp;CU$2)</f>
        <v>0</v>
      </c>
      <c r="CV35" s="206">
        <f>SUMIFS(領用表!$L:$L,領用表!$E:$E,$B35,領用表!$B:$B,$CS$2&amp;CV$2)</f>
        <v>0</v>
      </c>
      <c r="CW35" s="206">
        <f>SUMIFS(領用表!$L:$L,領用表!$E:$E,$B35,領用表!$B:$B,$CS$2&amp;CW$2)</f>
        <v>0</v>
      </c>
      <c r="CX35" s="206">
        <f>SUMIFS(領用表!$L:$L,領用表!$E:$E,$B35,領用表!$B:$B,$CS$2&amp;CX$2)</f>
        <v>0</v>
      </c>
      <c r="CY35" s="208">
        <f>SUMIFS(領用表!$L:$L,領用表!$A:$A,CY$2,領用表!$E:$E,B35)</f>
        <v>1</v>
      </c>
      <c r="CZ35" s="206">
        <f>SUMIFS(領用表!$L:$L,領用表!$E:$E,$B35,領用表!$B:$B,CY$2&amp;CZ$2)</f>
        <v>1</v>
      </c>
      <c r="DA35" s="206">
        <f>SUMIFS(領用表!$L:$L,領用表!$E:$E,$B35,領用表!$B:$B,$CY$2&amp;DA$2)</f>
        <v>0</v>
      </c>
      <c r="DB35" s="206">
        <f>SUMIFS(領用表!$L:$L,領用表!$E:$E,$B35,領用表!$B:$B,$CY$2&amp;DB$2)</f>
        <v>0</v>
      </c>
      <c r="DC35" s="206">
        <f>SUMIFS(領用表!$L:$L,領用表!$E:$E,$B35,領用表!$B:$B,$CY$2&amp;DC$2)</f>
        <v>0</v>
      </c>
      <c r="DD35" s="206">
        <f>SUMIFS(領用表!$L:$L,領用表!$E:$E,$B35,領用表!$B:$B,$CY$2&amp;DD$2)</f>
        <v>0</v>
      </c>
      <c r="DE35" s="208">
        <f>SUMIFS(領用表!$L:$L,領用表!$A:$A,DE$2,領用表!$E:$E,B35)</f>
        <v>2</v>
      </c>
      <c r="DF35" s="206">
        <f>SUMIFS(領用表!$L:$L,領用表!$E:$E,$B35,領用表!$B:$B,DE$2&amp;DF$2)</f>
        <v>2</v>
      </c>
      <c r="DG35" s="206">
        <f>SUMIFS(領用表!$L:$L,領用表!$E:$E,$B35,領用表!$B:$B,$DE$2&amp;DG$2)</f>
        <v>0</v>
      </c>
      <c r="DH35" s="206">
        <f>SUMIFS(領用表!$L:$L,領用表!$E:$E,$B35,領用表!$B:$B,$DE$2&amp;DH$2)</f>
        <v>0</v>
      </c>
      <c r="DI35" s="206">
        <f>SUMIFS(領用表!$L:$L,領用表!$E:$E,$B35,領用表!$B:$B,$DE$2&amp;DI$2)</f>
        <v>0</v>
      </c>
      <c r="DJ35" s="206">
        <f>SUMIFS(領用表!$L:$L,領用表!$E:$E,$B35,領用表!$B:$B,$DE$2&amp;DJ$2)</f>
        <v>0</v>
      </c>
      <c r="DK35" s="208">
        <f>SUMIFS(領用表!$L:$L,領用表!$A:$A,DK$2,領用表!$E:$E,$B35)</f>
        <v>0</v>
      </c>
      <c r="DL35" s="206">
        <f>SUMIFS(領用表!$L:$L,領用表!$E:$E,$B35,領用表!$B:$B,DK$2&amp;DL$2)</f>
        <v>0</v>
      </c>
      <c r="DM35" s="206">
        <f>SUMIFS(領用表!$L:$L,領用表!$E:$E,$B35,領用表!$B:$B,$DK$2&amp;DM$2)</f>
        <v>0</v>
      </c>
      <c r="DN35" s="206">
        <f>SUMIFS(領用表!$L:$L,領用表!$E:$E,$B35,領用表!$B:$B,$DK$2&amp;DN$2)</f>
        <v>0</v>
      </c>
      <c r="DO35" s="206">
        <f>SUMIFS(領用表!$L:$L,領用表!$E:$E,$B35,領用表!$B:$B,$DK$2&amp;DO$2)</f>
        <v>0</v>
      </c>
      <c r="DP35" s="206">
        <f>SUMIFS(領用表!$L:$L,領用表!$E:$E,$B35,領用表!$B:$B,$DK$2&amp;DP$2)</f>
        <v>0</v>
      </c>
      <c r="DQ35" s="206">
        <f t="shared" si="2"/>
        <v>12</v>
      </c>
      <c r="DR35" s="206">
        <f t="shared" si="5"/>
        <v>2.4</v>
      </c>
      <c r="DS35" s="206">
        <f t="shared" si="6"/>
        <v>6</v>
      </c>
      <c r="DT35" s="206">
        <v>3</v>
      </c>
      <c r="DU35" s="206">
        <v>0</v>
      </c>
      <c r="DV35" s="206">
        <v>3</v>
      </c>
      <c r="DW35" s="206">
        <v>0</v>
      </c>
      <c r="DX35" s="215">
        <v>10</v>
      </c>
      <c r="DY35" s="210"/>
      <c r="DZ35" s="211"/>
      <c r="EA35" s="211"/>
      <c r="EB35" s="136"/>
      <c r="EC35" s="212"/>
      <c r="ED35" s="118">
        <f>IFERROR(VLOOKUP(A35,站前4樓!A:BF,57,0),0)</f>
        <v>0</v>
      </c>
      <c r="EE35" s="213">
        <f>IFERROR(VLOOKUP(A35,站前11樓!A:BE,57,0),0)</f>
        <v>0</v>
      </c>
      <c r="EF35" s="118">
        <f>IFERROR(VLOOKUP(A35,忠孝7樓!A:N,57,0),0)</f>
        <v>0</v>
      </c>
      <c r="EG35" s="118">
        <f>IFERROR(VLOOKUP(A35,忠孝國際醫學3樓!A:L,57,0),0)</f>
        <v>0</v>
      </c>
      <c r="EH35" s="118">
        <f t="shared" si="7"/>
        <v>0</v>
      </c>
      <c r="EJ35" s="118">
        <v>21</v>
      </c>
      <c r="EK35" s="118">
        <v>9</v>
      </c>
    </row>
    <row r="36" spans="1:141" s="118" customFormat="1" ht="15.75" customHeight="1" thickBot="1">
      <c r="A36" s="136" t="s">
        <v>61</v>
      </c>
      <c r="B36" s="118">
        <v>6150012</v>
      </c>
      <c r="C36" s="131" t="s">
        <v>478</v>
      </c>
      <c r="D36" s="228">
        <v>1</v>
      </c>
      <c r="E36" s="198" t="s">
        <v>15</v>
      </c>
      <c r="F36" s="227">
        <f>SUMIF(站前4樓!B:B,B36,站前4樓!F:F)</f>
        <v>13</v>
      </c>
      <c r="G36" s="227">
        <f>SUMIF(站前11樓!B:B,B36,站前11樓!F:F)</f>
        <v>0</v>
      </c>
      <c r="H36" s="227">
        <f>SUMIF(忠孝7樓!B:B,B36,忠孝7樓!G:G)</f>
        <v>9</v>
      </c>
      <c r="I36" s="227">
        <f>SUMIF(忠孝國際醫學3樓!B:B,B36,忠孝國際醫學3樓!G:G)</f>
        <v>0</v>
      </c>
      <c r="J36" s="227">
        <f>SUMIF(忠孝健康7樓!B:B,B36,忠孝健康7樓!G:G)</f>
        <v>0</v>
      </c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0"/>
      <c r="AI36" s="200"/>
      <c r="AJ36" s="201"/>
      <c r="AK36" s="201"/>
      <c r="AL36" s="201"/>
      <c r="AM36" s="201"/>
      <c r="AN36" s="201"/>
      <c r="AO36" s="201"/>
      <c r="AP36" s="201"/>
      <c r="AQ36" s="201"/>
      <c r="AR36" s="201"/>
      <c r="AS36" s="201"/>
      <c r="AT36" s="202"/>
      <c r="AU36" s="203"/>
      <c r="AV36" s="204" t="s">
        <v>49</v>
      </c>
      <c r="AW36" s="205" t="s">
        <v>49</v>
      </c>
      <c r="AX36" s="205" t="s">
        <v>49</v>
      </c>
      <c r="AY36" s="205" t="s">
        <v>49</v>
      </c>
      <c r="AZ36" s="205" t="s">
        <v>49</v>
      </c>
      <c r="BA36" s="203" t="s">
        <v>49</v>
      </c>
      <c r="BB36" s="203" t="s">
        <v>49</v>
      </c>
      <c r="BC36" s="203">
        <f>SUMIFS(領用表!$L:$L,領用表!$A:$A,BC$2,領用表!$E:$E,B36)</f>
        <v>0</v>
      </c>
      <c r="BD36" s="206">
        <f>SUMIFS(領用表!$L:$L,領用表!$E:$E,$B36,領用表!$B:$B,BC$2&amp;BD$2)</f>
        <v>0</v>
      </c>
      <c r="BE36" s="206">
        <f>SUMIFS(領用表!$L:$L,領用表!$E:$E,$B36,領用表!$B:$B,$BC$2&amp;BE$2)</f>
        <v>0</v>
      </c>
      <c r="BF36" s="206">
        <f>SUMIFS(領用表!$L:$L,領用表!$E:$E,$B36,領用表!$B:$B,$BC$2&amp;BF$2)</f>
        <v>0</v>
      </c>
      <c r="BG36" s="206">
        <f>SUMIFS(領用表!$L:$L,領用表!$E:$E,$B36,領用表!$B:$B,$BC$2&amp;BG$2)</f>
        <v>0</v>
      </c>
      <c r="BH36" s="203">
        <f>SUMIFS(領用表!$L:$L,領用表!$A:$A,BH$2,領用表!$E:$E,B36)</f>
        <v>0</v>
      </c>
      <c r="BI36" s="206">
        <f>SUMIFS(領用表!$L:$L,領用表!$E:$E,$B36,領用表!$B:$B,BH$2&amp;BI$2)</f>
        <v>0</v>
      </c>
      <c r="BJ36" s="206">
        <f>SUMIFS(領用表!$L:$L,領用表!$E:$E,$B36,領用表!$B:$B,$BH$2&amp;BJ$2)</f>
        <v>0</v>
      </c>
      <c r="BK36" s="206">
        <f>SUMIFS(領用表!$L:$L,領用表!$E:$E,$B36,領用表!$B:$B,$BH$2&amp;BK$2)</f>
        <v>0</v>
      </c>
      <c r="BL36" s="206">
        <f>SUMIFS(領用表!$L:$L,領用表!$E:$E,$B36,領用表!$B:$B,$BH$2&amp;BL$2)</f>
        <v>0</v>
      </c>
      <c r="BM36" s="203">
        <f>SUMIFS(領用表!$L:$L,領用表!$A:$A,BM$2,領用表!$E:$E,B36)</f>
        <v>0</v>
      </c>
      <c r="BN36" s="206">
        <f>SUMIFS(領用表!$L:$L,領用表!$E:$E,$B36,領用表!$B:$B,BM$2&amp;BN$2)</f>
        <v>0</v>
      </c>
      <c r="BO36" s="206">
        <f>SUMIFS(領用表!$L:$L,領用表!$E:$E,$B36,領用表!$B:$B,$BM$2&amp;BO$2)</f>
        <v>0</v>
      </c>
      <c r="BP36" s="206">
        <f>SUMIFS(領用表!$L:$L,領用表!$E:$E,$B36,領用表!$B:$B,$BM$2&amp;BP$2)</f>
        <v>0</v>
      </c>
      <c r="BQ36" s="206">
        <f>SUMIFS(領用表!$L:$L,領用表!$E:$E,$B36,領用表!$B:$B,$BM$2&amp;BQ$2)</f>
        <v>0</v>
      </c>
      <c r="BR36" s="203">
        <f>SUMIFS(領用表!$L:$L,領用表!$A:$A,BR$2,領用表!$E:$E,B36)</f>
        <v>0</v>
      </c>
      <c r="BS36" s="206">
        <f>SUMIFS(領用表!$L:$L,領用表!$E:$E,$B36,領用表!$B:$B,BR$2&amp;BS$2)</f>
        <v>0</v>
      </c>
      <c r="BT36" s="206">
        <f>SUMIFS(領用表!$L:$L,領用表!$E:$E,$B36,領用表!$B:$B,$BR$2&amp;BT$2)</f>
        <v>0</v>
      </c>
      <c r="BU36" s="206">
        <f>SUMIFS(領用表!$L:$L,領用表!$E:$E,$B36,領用表!$B:$B,$BR$2&amp;BU$2)</f>
        <v>0</v>
      </c>
      <c r="BV36" s="206">
        <f>SUMIFS(領用表!$L:$L,領用表!$E:$E,$B36,領用表!$B:$B,$BR$2&amp;BV$2)</f>
        <v>0</v>
      </c>
      <c r="BW36" s="208">
        <f>SUMIFS(領用表!$L:$L,領用表!$A:$A,BW$2,領用表!$E:$E,B36)</f>
        <v>0</v>
      </c>
      <c r="BX36" s="206">
        <f>SUMIFS(領用表!$L:$L,領用表!$E:$E,$B36,領用表!$B:$B,BW$2&amp;BX$2)</f>
        <v>0</v>
      </c>
      <c r="BY36" s="206">
        <f>SUMIFS(領用表!$L:$L,領用表!$E:$E,$B36,領用表!$B:$B,$BW$2&amp;BY$2)</f>
        <v>0</v>
      </c>
      <c r="BZ36" s="206">
        <f>SUMIFS(領用表!$L:$L,領用表!$E:$E,$B36,領用表!$B:$B,$BW$2&amp;BZ$2)</f>
        <v>0</v>
      </c>
      <c r="CA36" s="206">
        <f>SUMIFS(領用表!$L:$L,領用表!$E:$E,$B36,領用表!$B:$B,$BW$2&amp;CA$2)</f>
        <v>0</v>
      </c>
      <c r="CB36" s="208">
        <f>SUMIFS(領用表!$L:$L,領用表!$A:$A,CB$2,領用表!$E:$E,B36)</f>
        <v>0</v>
      </c>
      <c r="CC36" s="206">
        <f>SUMIFS(領用表!$L:$L,領用表!$E:$E,$B36,領用表!$B:$B,CB$2&amp;CC$2)</f>
        <v>0</v>
      </c>
      <c r="CD36" s="206">
        <f>SUMIFS(領用表!$L:$L,領用表!$E:$E,$B36,領用表!$B:$B,$CB$2&amp;CD$2)</f>
        <v>0</v>
      </c>
      <c r="CE36" s="206">
        <f>SUMIFS(領用表!$L:$L,領用表!$E:$E,$B36,領用表!$B:$B,$CB$2&amp;CE$2)</f>
        <v>0</v>
      </c>
      <c r="CF36" s="206">
        <f>SUMIFS(領用表!$L:$L,領用表!$E:$E,$B36,領用表!$B:$B,$CB$2&amp;CF$2)</f>
        <v>0</v>
      </c>
      <c r="CG36" s="208">
        <f>SUMIFS(領用表!$L:$L,領用表!$A:$A,CG$2,領用表!$E:$E,B36)</f>
        <v>0</v>
      </c>
      <c r="CH36" s="206">
        <f>SUMIFS(領用表!$L:$L,領用表!$E:$E,$B36,領用表!$B:$B,CG$2&amp;CH$2)</f>
        <v>0</v>
      </c>
      <c r="CI36" s="206">
        <f>SUMIFS(領用表!$L:$L,領用表!$E:$E,$B36,領用表!$B:$B,CG$2&amp;CI$2)</f>
        <v>0</v>
      </c>
      <c r="CJ36" s="206">
        <f>SUMIFS(領用表!$L:$L,領用表!$E:$E,$B36,領用表!$B:$B,CG$2&amp;CJ$2)</f>
        <v>0</v>
      </c>
      <c r="CK36" s="206">
        <f>SUMIFS(領用表!$L:$L,領用表!$E:$E,$B36,領用表!$B:$B,$CG$2&amp;CK$2)</f>
        <v>0</v>
      </c>
      <c r="CL36" s="207">
        <f t="shared" si="3"/>
        <v>0</v>
      </c>
      <c r="CM36" s="207">
        <f t="shared" si="4"/>
        <v>0</v>
      </c>
      <c r="CN36" s="208">
        <f>SUMIFS(領用表!$L:$L,領用表!$A:$A,CN$2,領用表!$E:$E,B36)</f>
        <v>0</v>
      </c>
      <c r="CO36" s="206">
        <f>SUMIFS(領用表!$L:$L,領用表!$E:$E,$B36,領用表!$B:$B,CN$2&amp;CO$2)</f>
        <v>0</v>
      </c>
      <c r="CP36" s="206">
        <f>SUMIFS(領用表!$L:$L,領用表!$E:$E,$B36,領用表!$B:$B,$CN$2&amp;CP$2)</f>
        <v>0</v>
      </c>
      <c r="CQ36" s="206">
        <f>SUMIFS(領用表!$L:$L,領用表!$E:$E,$B36,領用表!$B:$B,$CN$2&amp;CQ$2)</f>
        <v>0</v>
      </c>
      <c r="CR36" s="206">
        <f>SUMIFS(領用表!$L:$L,領用表!$E:$E,$B36,領用表!$B:$B,$CN$2&amp;CR$2)</f>
        <v>0</v>
      </c>
      <c r="CS36" s="208">
        <f>SUMIFS(領用表!$L:$L,領用表!$A:$A,CS$2,領用表!$E:$E,B36)</f>
        <v>0</v>
      </c>
      <c r="CT36" s="206">
        <f>SUMIFS(領用表!$L:$L,領用表!$E:$E,$B36,領用表!$B:$B,CS$2&amp;CT$2)</f>
        <v>0</v>
      </c>
      <c r="CU36" s="206">
        <f>SUMIFS(領用表!$L:$L,領用表!$E:$E,$B36,領用表!$B:$B,$CS$2&amp;CU$2)</f>
        <v>0</v>
      </c>
      <c r="CV36" s="206">
        <f>SUMIFS(領用表!$L:$L,領用表!$E:$E,$B36,領用表!$B:$B,$CS$2&amp;CV$2)</f>
        <v>0</v>
      </c>
      <c r="CW36" s="206">
        <f>SUMIFS(領用表!$L:$L,領用表!$E:$E,$B36,領用表!$B:$B,$CS$2&amp;CW$2)</f>
        <v>0</v>
      </c>
      <c r="CX36" s="206">
        <f>SUMIFS(領用表!$L:$L,領用表!$E:$E,$B36,領用表!$B:$B,$CS$2&amp;CX$2)</f>
        <v>0</v>
      </c>
      <c r="CY36" s="208">
        <f>SUMIFS(領用表!$L:$L,領用表!$A:$A,CY$2,領用表!$E:$E,B36)</f>
        <v>0</v>
      </c>
      <c r="CZ36" s="206">
        <f>SUMIFS(領用表!$L:$L,領用表!$E:$E,$B36,領用表!$B:$B,CY$2&amp;CZ$2)</f>
        <v>0</v>
      </c>
      <c r="DA36" s="206">
        <f>SUMIFS(領用表!$L:$L,領用表!$E:$E,$B36,領用表!$B:$B,$CY$2&amp;DA$2)</f>
        <v>0</v>
      </c>
      <c r="DB36" s="206">
        <f>SUMIFS(領用表!$L:$L,領用表!$E:$E,$B36,領用表!$B:$B,$CY$2&amp;DB$2)</f>
        <v>0</v>
      </c>
      <c r="DC36" s="206">
        <f>SUMIFS(領用表!$L:$L,領用表!$E:$E,$B36,領用表!$B:$B,$CY$2&amp;DC$2)</f>
        <v>0</v>
      </c>
      <c r="DD36" s="206">
        <f>SUMIFS(領用表!$L:$L,領用表!$E:$E,$B36,領用表!$B:$B,$CY$2&amp;DD$2)</f>
        <v>0</v>
      </c>
      <c r="DE36" s="208">
        <f>SUMIFS(領用表!$L:$L,領用表!$A:$A,DE$2,領用表!$E:$E,B36)</f>
        <v>0</v>
      </c>
      <c r="DF36" s="206">
        <f>SUMIFS(領用表!$L:$L,領用表!$E:$E,$B36,領用表!$B:$B,DE$2&amp;DF$2)</f>
        <v>0</v>
      </c>
      <c r="DG36" s="206">
        <f>SUMIFS(領用表!$L:$L,領用表!$E:$E,$B36,領用表!$B:$B,$DE$2&amp;DG$2)</f>
        <v>0</v>
      </c>
      <c r="DH36" s="206">
        <f>SUMIFS(領用表!$L:$L,領用表!$E:$E,$B36,領用表!$B:$B,$DE$2&amp;DH$2)</f>
        <v>0</v>
      </c>
      <c r="DI36" s="206">
        <f>SUMIFS(領用表!$L:$L,領用表!$E:$E,$B36,領用表!$B:$B,$DE$2&amp;DI$2)</f>
        <v>0</v>
      </c>
      <c r="DJ36" s="206">
        <f>SUMIFS(領用表!$L:$L,領用表!$E:$E,$B36,領用表!$B:$B,$DE$2&amp;DJ$2)</f>
        <v>0</v>
      </c>
      <c r="DK36" s="208">
        <f>SUMIFS(領用表!$L:$L,領用表!$A:$A,DK$2,領用表!$E:$E,$B36)</f>
        <v>0</v>
      </c>
      <c r="DL36" s="206">
        <f>SUMIFS(領用表!$L:$L,領用表!$E:$E,$B36,領用表!$B:$B,DK$2&amp;DL$2)</f>
        <v>0</v>
      </c>
      <c r="DM36" s="206">
        <f>SUMIFS(領用表!$L:$L,領用表!$E:$E,$B36,領用表!$B:$B,$DK$2&amp;DM$2)</f>
        <v>0</v>
      </c>
      <c r="DN36" s="206">
        <f>SUMIFS(領用表!$L:$L,領用表!$E:$E,$B36,領用表!$B:$B,$DK$2&amp;DN$2)</f>
        <v>0</v>
      </c>
      <c r="DO36" s="206">
        <f>SUMIFS(領用表!$L:$L,領用表!$E:$E,$B36,領用表!$B:$B,$DK$2&amp;DO$2)</f>
        <v>0</v>
      </c>
      <c r="DP36" s="206">
        <f>SUMIFS(領用表!$L:$L,領用表!$E:$E,$B36,領用表!$B:$B,$DK$2&amp;DP$2)</f>
        <v>0</v>
      </c>
      <c r="DQ36" s="206">
        <f t="shared" si="2"/>
        <v>0</v>
      </c>
      <c r="DR36" s="206">
        <f t="shared" si="5"/>
        <v>0</v>
      </c>
      <c r="DS36" s="206">
        <f t="shared" si="6"/>
        <v>0</v>
      </c>
      <c r="DT36" s="206">
        <v>0</v>
      </c>
      <c r="DU36" s="206">
        <v>0</v>
      </c>
      <c r="DV36" s="206">
        <v>0</v>
      </c>
      <c r="DW36" s="206">
        <v>0</v>
      </c>
      <c r="DX36" s="215">
        <v>0</v>
      </c>
      <c r="DY36" s="224"/>
      <c r="DZ36" s="211"/>
      <c r="EA36" s="211"/>
      <c r="EB36" s="136"/>
      <c r="EC36" s="212"/>
      <c r="ED36" s="118">
        <f>IFERROR(VLOOKUP(A36,站前4樓!A:BF,57,0),0)</f>
        <v>0</v>
      </c>
      <c r="EE36" s="213">
        <f>IFERROR(VLOOKUP(A36,站前11樓!A:BE,57,0),0)</f>
        <v>0</v>
      </c>
      <c r="EF36" s="118">
        <f>IFERROR(VLOOKUP(A36,忠孝7樓!A:N,57,0),0)</f>
        <v>0</v>
      </c>
      <c r="EG36" s="118">
        <f>IFERROR(VLOOKUP(A36,忠孝國際醫學3樓!A:L,57,0),0)</f>
        <v>0</v>
      </c>
      <c r="EH36" s="118">
        <f t="shared" si="7"/>
        <v>0</v>
      </c>
      <c r="EJ36" s="118">
        <v>13</v>
      </c>
      <c r="EK36" s="118">
        <v>12</v>
      </c>
    </row>
    <row r="37" spans="1:141" s="128" customFormat="1" ht="15.75" customHeight="1" thickBot="1">
      <c r="A37" s="229" t="s">
        <v>748</v>
      </c>
      <c r="B37" s="230">
        <v>6150014</v>
      </c>
      <c r="C37" s="231" t="s">
        <v>749</v>
      </c>
      <c r="D37" s="232">
        <v>2.5</v>
      </c>
      <c r="E37" s="233" t="s">
        <v>750</v>
      </c>
      <c r="F37" s="234">
        <f>F36*D37</f>
        <v>32.5</v>
      </c>
      <c r="G37" s="235">
        <f>SUMIF(站前11樓!B:B,B37,站前11樓!F:F)</f>
        <v>0</v>
      </c>
      <c r="H37" s="234">
        <f>H36*D37</f>
        <v>22.5</v>
      </c>
      <c r="I37" s="235">
        <f>SUMIF(忠孝國際醫學3樓!B:B,B37,忠孝國際醫學3樓!G:G)</f>
        <v>0</v>
      </c>
      <c r="J37" s="234">
        <f>J36*F37</f>
        <v>0</v>
      </c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8"/>
      <c r="AU37" s="239"/>
      <c r="AV37" s="240"/>
      <c r="AW37" s="241"/>
      <c r="AX37" s="241"/>
      <c r="AY37" s="241"/>
      <c r="AZ37" s="241"/>
      <c r="BA37" s="239"/>
      <c r="BB37" s="239"/>
      <c r="BC37" s="239">
        <f>SUMIFS(領用表!$L:$L,領用表!$A:$A,BC$2,領用表!$E:$E,B37)</f>
        <v>0</v>
      </c>
      <c r="BD37" s="242">
        <f>SUMIFS(領用表!$L:$L,領用表!$E:$E,$B37,領用表!$B:$B,BC$2&amp;BD$2)</f>
        <v>0</v>
      </c>
      <c r="BE37" s="242">
        <f>SUMIFS(領用表!$L:$L,領用表!$E:$E,$B37,領用表!$B:$B,$BC$2&amp;BE$2)</f>
        <v>0</v>
      </c>
      <c r="BF37" s="242">
        <f>SUMIFS(領用表!$L:$L,領用表!$E:$E,$B37,領用表!$B:$B,$BC$2&amp;BF$2)</f>
        <v>0</v>
      </c>
      <c r="BG37" s="242">
        <f>SUMIFS(領用表!$L:$L,領用表!$E:$E,$B37,領用表!$B:$B,$BC$2&amp;BG$2)</f>
        <v>0</v>
      </c>
      <c r="BH37" s="239">
        <f>SUMIFS(領用表!$L:$L,領用表!$A:$A,BH$2,領用表!$E:$E,B37)</f>
        <v>0</v>
      </c>
      <c r="BI37" s="242">
        <f>SUMIFS(領用表!$L:$L,領用表!$E:$E,$B37,領用表!$B:$B,BH$2&amp;BI$2)</f>
        <v>0</v>
      </c>
      <c r="BJ37" s="242">
        <f>SUMIFS(領用表!$L:$L,領用表!$E:$E,$B37,領用表!$B:$B,$BH$2&amp;BJ$2)</f>
        <v>0</v>
      </c>
      <c r="BK37" s="242">
        <f>SUMIFS(領用表!$L:$L,領用表!$E:$E,$B37,領用表!$B:$B,$BH$2&amp;BK$2)</f>
        <v>0</v>
      </c>
      <c r="BL37" s="242">
        <f>SUMIFS(領用表!$L:$L,領用表!$E:$E,$B37,領用表!$B:$B,$BH$2&amp;BL$2)</f>
        <v>0</v>
      </c>
      <c r="BM37" s="239">
        <f>SUMIFS(領用表!$L:$L,領用表!$A:$A,BM$2,領用表!$E:$E,B37)</f>
        <v>0</v>
      </c>
      <c r="BN37" s="242">
        <f>SUMIFS(領用表!$L:$L,領用表!$E:$E,$B37,領用表!$B:$B,BM$2&amp;BN$2)</f>
        <v>0</v>
      </c>
      <c r="BO37" s="242">
        <f>SUMIFS(領用表!$L:$L,領用表!$E:$E,$B37,領用表!$B:$B,$BM$2&amp;BO$2)</f>
        <v>0</v>
      </c>
      <c r="BP37" s="242">
        <f>SUMIFS(領用表!$L:$L,領用表!$E:$E,$B37,領用表!$B:$B,$BM$2&amp;BP$2)</f>
        <v>0</v>
      </c>
      <c r="BQ37" s="242">
        <f>SUMIFS(領用表!$L:$L,領用表!$E:$E,$B37,領用表!$B:$B,$BM$2&amp;BQ$2)</f>
        <v>0</v>
      </c>
      <c r="BR37" s="239">
        <f>SUMIFS(領用表!$L:$L,領用表!$A:$A,BR$2,領用表!$E:$E,B37)</f>
        <v>0</v>
      </c>
      <c r="BS37" s="242">
        <f>SUMIFS(領用表!$L:$L,領用表!$E:$E,$B37,領用表!$B:$B,BR$2&amp;BS$2)</f>
        <v>0</v>
      </c>
      <c r="BT37" s="242">
        <f>SUMIFS(領用表!$L:$L,領用表!$E:$E,$B37,領用表!$B:$B,$BR$2&amp;BT$2)</f>
        <v>0</v>
      </c>
      <c r="BU37" s="242">
        <f>SUMIFS(領用表!$L:$L,領用表!$E:$E,$B37,領用表!$B:$B,$BR$2&amp;BU$2)</f>
        <v>0</v>
      </c>
      <c r="BV37" s="242">
        <f>SUMIFS(領用表!$L:$L,領用表!$E:$E,$B37,領用表!$B:$B,$BR$2&amp;BV$2)</f>
        <v>0</v>
      </c>
      <c r="BW37" s="423">
        <f>SUMIFS(領用表!$L:$L,領用表!$A:$A,BW$2,領用表!$E:$E,B37)*D37</f>
        <v>2.5</v>
      </c>
      <c r="BX37" s="242">
        <f>SUMIFS(領用表!$L:$L,領用表!$E:$E,$B37,領用表!$B:$B,BW$2&amp;BX$2)</f>
        <v>1</v>
      </c>
      <c r="BY37" s="242">
        <f>SUMIFS(領用表!$L:$L,領用表!$E:$E,$B37,領用表!$B:$B,$BW$2&amp;BY$2)</f>
        <v>0</v>
      </c>
      <c r="BZ37" s="242">
        <f>SUMIFS(領用表!$L:$L,領用表!$E:$E,$B37,領用表!$B:$B,$BW$2&amp;BZ$2)</f>
        <v>0</v>
      </c>
      <c r="CA37" s="242">
        <f>SUMIFS(領用表!$L:$L,領用表!$E:$E,$B37,領用表!$B:$B,$BW$2&amp;CA$2)</f>
        <v>0</v>
      </c>
      <c r="CB37" s="423">
        <f>SUMIFS(領用表!$L:$L,領用表!$A:$A,CB$2,領用表!$E:$E,B37)*D37</f>
        <v>2.5</v>
      </c>
      <c r="CC37" s="242">
        <f>SUMIFS(領用表!$L:$L,領用表!$E:$E,$B37,領用表!$B:$B,CB$2&amp;CC$2)</f>
        <v>0</v>
      </c>
      <c r="CD37" s="242">
        <f>SUMIFS(領用表!$L:$L,領用表!$E:$E,$B37,領用表!$B:$B,$CB$2&amp;CD$2)</f>
        <v>0</v>
      </c>
      <c r="CE37" s="242">
        <f>SUMIFS(領用表!$L:$L,領用表!$E:$E,$B37,領用表!$B:$B,$CB$2&amp;CE$2)</f>
        <v>1</v>
      </c>
      <c r="CF37" s="242">
        <f>SUMIFS(領用表!$L:$L,領用表!$E:$E,$B37,領用表!$B:$B,$CB$2&amp;CF$2)</f>
        <v>0</v>
      </c>
      <c r="CG37" s="243">
        <f>SUMIFS(領用表!$L:$L,領用表!$A:$A,CG$2,領用表!$E:$E,B37)</f>
        <v>0</v>
      </c>
      <c r="CH37" s="242"/>
      <c r="CI37" s="242"/>
      <c r="CJ37" s="242"/>
      <c r="CK37" s="242"/>
      <c r="CL37" s="424">
        <f t="shared" ref="CL37" si="13">SUM(AX37,AY37,AZ37,BA37,BB37,BC37,BH37,BM37,BR37,BW37,CB37,CG37)</f>
        <v>5</v>
      </c>
      <c r="CM37" s="424">
        <f>AVERAGE(AX37,AY37,AZ37,BA37,BB37,BC37,BH37,BM37,BR37,BW37,CB37,CG37)</f>
        <v>0.7142857142857143</v>
      </c>
      <c r="CN37" s="423">
        <f>SUMIFS(領用表!$L:$L,領用表!$A:$A,CN$2,領用表!$E:$E,B37)*D37</f>
        <v>2.5</v>
      </c>
      <c r="CO37" s="242">
        <f>SUMIFS(領用表!$L:$L,領用表!$E:$E,$B37,領用表!$B:$B,CN$2&amp;CO$2)</f>
        <v>0</v>
      </c>
      <c r="CP37" s="242">
        <f>SUMIFS(領用表!$L:$L,領用表!$E:$E,$B37,領用表!$B:$B,$CN$2&amp;CP$2)</f>
        <v>0</v>
      </c>
      <c r="CQ37" s="242">
        <f>SUMIFS(領用表!$L:$L,領用表!$E:$E,$B37,領用表!$B:$B,$CN$2&amp;CQ$2)</f>
        <v>1</v>
      </c>
      <c r="CR37" s="242">
        <f>SUMIFS(領用表!$L:$L,領用表!$E:$E,$B37,領用表!$B:$B,$CN$2&amp;CR$2)</f>
        <v>0</v>
      </c>
      <c r="CS37" s="242">
        <f>SUMIFS(領用表!$L:$L,領用表!$A:$A,CS$2,領用表!$E:$E,B37)*D37</f>
        <v>0</v>
      </c>
      <c r="CT37" s="242">
        <f>SUMIFS(領用表!$L:$L,領用表!$E:$E,$B37,領用表!$B:$B,CS$2&amp;CT$2)</f>
        <v>0</v>
      </c>
      <c r="CU37" s="242">
        <f>SUMIFS(領用表!$L:$L,領用表!$E:$E,$B37,領用表!$B:$B,$CS$2&amp;CU$2)</f>
        <v>0</v>
      </c>
      <c r="CV37" s="242">
        <f>SUMIFS(領用表!$L:$L,領用表!$E:$E,$B37,領用表!$B:$B,$CS$2&amp;CV$2)</f>
        <v>0</v>
      </c>
      <c r="CW37" s="242">
        <f>SUMIFS(領用表!$L:$L,領用表!$E:$E,$B37,領用表!$B:$B,$CS$2&amp;CW$2)</f>
        <v>0</v>
      </c>
      <c r="CX37" s="242">
        <f>SUMIFS(領用表!$L:$L,領用表!$E:$E,$B37,領用表!$B:$B,$CS$2&amp;CX$2)</f>
        <v>0</v>
      </c>
      <c r="CY37" s="422">
        <f>SUMIFS(領用表!$L:$L,領用表!$A:$A,CY$2,領用表!$E:$E,B37)*D37</f>
        <v>2.5</v>
      </c>
      <c r="CZ37" s="242">
        <f>SUMIFS(領用表!$L:$L,領用表!$E:$E,$B37,領用表!$B:$B,CY$2&amp;CZ$2)</f>
        <v>0</v>
      </c>
      <c r="DA37" s="242">
        <f>SUMIFS(領用表!$L:$L,領用表!$E:$E,$B37,領用表!$B:$B,$CY$2&amp;DA$2)</f>
        <v>0</v>
      </c>
      <c r="DB37" s="242">
        <f>SUMIFS(領用表!$L:$L,領用表!$E:$E,$B37,領用表!$B:$B,$CY$2&amp;DB$2)</f>
        <v>1</v>
      </c>
      <c r="DC37" s="242">
        <f>SUMIFS(領用表!$L:$L,領用表!$E:$E,$B37,領用表!$B:$B,$CY$2&amp;DC$2)</f>
        <v>0</v>
      </c>
      <c r="DD37" s="242">
        <f>SUMIFS(領用表!$L:$L,領用表!$E:$E,$B37,領用表!$B:$B,$CY$2&amp;DD$2)</f>
        <v>0</v>
      </c>
      <c r="DE37" s="422">
        <f>SUMIFS(領用表!$L:$L,領用表!$A:$A,DE$2,領用表!$E:$E,B37)*D37</f>
        <v>2.5</v>
      </c>
      <c r="DF37" s="242">
        <f>SUMIFS(領用表!$L:$L,領用表!$E:$E,$B37,領用表!$B:$B,DE$2&amp;DF$2)</f>
        <v>0</v>
      </c>
      <c r="DG37" s="242">
        <f>SUMIFS(領用表!$L:$L,領用表!$E:$E,$B37,領用表!$B:$B,$DE$2&amp;DG$2)*D37</f>
        <v>0</v>
      </c>
      <c r="DH37" s="422">
        <f>SUMIFS(領用表!$L:$L,領用表!$E:$E,$B37,領用表!$B:$B,$DE$2&amp;DH$2)*D37</f>
        <v>2.5</v>
      </c>
      <c r="DI37" s="242">
        <f>SUMIFS(領用表!$L:$L,領用表!$E:$E,$B37,領用表!$B:$B,$DE$2&amp;DI$2)</f>
        <v>0</v>
      </c>
      <c r="DJ37" s="242">
        <f>SUMIFS(領用表!$L:$L,領用表!$E:$E,$B37,領用表!$B:$B,$DE$2&amp;DJ$2)</f>
        <v>0</v>
      </c>
      <c r="DK37" s="242">
        <f>SUMIFS(領用表!$L:$L,領用表!$A:$A,DK$2,領用表!$E:$E,$B37)</f>
        <v>0</v>
      </c>
      <c r="DL37" s="242">
        <f>SUMIFS(領用表!$L:$L,領用表!$E:$E,$B37,領用表!$B:$B,DK$2&amp;DL$2)*D37</f>
        <v>0</v>
      </c>
      <c r="DM37" s="242">
        <f>SUMIFS(領用表!$L:$L,領用表!$E:$E,$B37,領用表!$B:$B,$DK$2&amp;DM$2)*D37</f>
        <v>0</v>
      </c>
      <c r="DN37" s="242">
        <f>SUMIFS(領用表!$L:$L,領用表!$E:$E,$B37,領用表!$B:$B,$DK$2&amp;DN$2)*D37</f>
        <v>0</v>
      </c>
      <c r="DO37" s="242">
        <f>SUMIFS(領用表!$L:$L,領用表!$E:$E,$B37,領用表!$B:$B,$DK$2&amp;DO$2)*D37</f>
        <v>0</v>
      </c>
      <c r="DP37" s="242">
        <f>SUMIFS(領用表!$L:$L,領用表!$E:$E,$B37,領用表!$B:$B,$DK$2&amp;DP$2)*D37</f>
        <v>0</v>
      </c>
      <c r="DQ37" s="422">
        <f t="shared" si="2"/>
        <v>7.5</v>
      </c>
      <c r="DR37" s="422">
        <f t="shared" si="5"/>
        <v>1.5</v>
      </c>
      <c r="DS37" s="422">
        <f t="shared" si="6"/>
        <v>0</v>
      </c>
      <c r="DT37" s="242">
        <v>0</v>
      </c>
      <c r="DU37" s="242">
        <v>0</v>
      </c>
      <c r="DV37" s="242">
        <v>0</v>
      </c>
      <c r="DW37" s="242">
        <v>0</v>
      </c>
      <c r="DX37" s="245"/>
      <c r="DY37" s="246"/>
      <c r="DZ37" s="247"/>
      <c r="EA37" s="247"/>
      <c r="EB37" s="248"/>
      <c r="EC37" s="249"/>
      <c r="EE37" s="250"/>
    </row>
    <row r="38" spans="1:141" s="118" customFormat="1" ht="15.75" customHeight="1">
      <c r="A38" s="136" t="s">
        <v>62</v>
      </c>
      <c r="B38" s="118">
        <v>6210006</v>
      </c>
      <c r="C38" s="131" t="s">
        <v>479</v>
      </c>
      <c r="D38" s="228">
        <v>3</v>
      </c>
      <c r="E38" s="198" t="s">
        <v>63</v>
      </c>
      <c r="F38" s="227">
        <f>SUMIF(站前4樓!B:B,B38,站前4樓!F:F)</f>
        <v>9</v>
      </c>
      <c r="G38" s="227">
        <f>SUMIF(站前11樓!B:B,B38,站前11樓!F:F)</f>
        <v>0</v>
      </c>
      <c r="H38" s="227">
        <f>SUMIF(忠孝7樓!B:B,B38,忠孝7樓!G:G)</f>
        <v>6</v>
      </c>
      <c r="I38" s="227">
        <f>SUMIF(忠孝國際醫學3樓!B:B,B38,忠孝國際醫學3樓!G:G)</f>
        <v>0</v>
      </c>
      <c r="J38" s="227">
        <f>SUMIF(忠孝健康7樓!B:B,B38,忠孝健康7樓!G:G)</f>
        <v>0</v>
      </c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0"/>
      <c r="AI38" s="200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/>
      <c r="AT38" s="202"/>
      <c r="AU38" s="203"/>
      <c r="AV38" s="204" t="s">
        <v>49</v>
      </c>
      <c r="AW38" s="204" t="s">
        <v>49</v>
      </c>
      <c r="AX38" s="204" t="s">
        <v>49</v>
      </c>
      <c r="AY38" s="204" t="s">
        <v>49</v>
      </c>
      <c r="AZ38" s="204" t="s">
        <v>49</v>
      </c>
      <c r="BA38" s="204" t="s">
        <v>49</v>
      </c>
      <c r="BB38" s="204" t="s">
        <v>49</v>
      </c>
      <c r="BC38" s="204">
        <f>SUMIFS(領用表!$L:$L,領用表!$A:$A,BC$2,領用表!$E:$E,B38)</f>
        <v>0</v>
      </c>
      <c r="BD38" s="206">
        <f>SUMIFS(領用表!$L:$L,領用表!$E:$E,$B38,領用表!$B:$B,BC$2&amp;BD$2)</f>
        <v>0</v>
      </c>
      <c r="BE38" s="206">
        <f>SUMIFS(領用表!$L:$L,領用表!$E:$E,$B38,領用表!$B:$B,$BC$2&amp;BE$2)</f>
        <v>0</v>
      </c>
      <c r="BF38" s="206">
        <f>SUMIFS(領用表!$L:$L,領用表!$E:$E,$B38,領用表!$B:$B,$BC$2&amp;BF$2)</f>
        <v>0</v>
      </c>
      <c r="BG38" s="206">
        <f>SUMIFS(領用表!$L:$L,領用表!$E:$E,$B38,領用表!$B:$B,$BC$2&amp;BG$2)</f>
        <v>0</v>
      </c>
      <c r="BH38" s="203">
        <f>SUMIFS(領用表!$L:$L,領用表!$A:$A,BH$2,領用表!$E:$E,B38)</f>
        <v>0</v>
      </c>
      <c r="BI38" s="206">
        <f>SUMIFS(領用表!$L:$L,領用表!$E:$E,$B38,領用表!$B:$B,BH$2&amp;BI$2)</f>
        <v>0</v>
      </c>
      <c r="BJ38" s="206">
        <f>SUMIFS(領用表!$L:$L,領用表!$E:$E,$B38,領用表!$B:$B,$BH$2&amp;BJ$2)</f>
        <v>0</v>
      </c>
      <c r="BK38" s="206">
        <f>SUMIFS(領用表!$L:$L,領用表!$E:$E,$B38,領用表!$B:$B,$BH$2&amp;BK$2)</f>
        <v>0</v>
      </c>
      <c r="BL38" s="206">
        <f>SUMIFS(領用表!$L:$L,領用表!$E:$E,$B38,領用表!$B:$B,$BH$2&amp;BL$2)</f>
        <v>0</v>
      </c>
      <c r="BM38" s="203">
        <f>SUMIFS(領用表!$L:$L,領用表!$A:$A,BM$2,領用表!$E:$E,B38)</f>
        <v>14</v>
      </c>
      <c r="BN38" s="206">
        <f>SUMIFS(領用表!$L:$L,領用表!$E:$E,$B38,領用表!$B:$B,BM$2&amp;BN$2)</f>
        <v>8</v>
      </c>
      <c r="BO38" s="206">
        <f>SUMIFS(領用表!$L:$L,領用表!$E:$E,$B38,領用表!$B:$B,$BM$2&amp;BO$2)</f>
        <v>0</v>
      </c>
      <c r="BP38" s="206">
        <f>SUMIFS(領用表!$L:$L,領用表!$E:$E,$B38,領用表!$B:$B,$BM$2&amp;BP$2)</f>
        <v>6</v>
      </c>
      <c r="BQ38" s="206">
        <f>SUMIFS(領用表!$L:$L,領用表!$E:$E,$B38,領用表!$B:$B,$BM$2&amp;BQ$2)</f>
        <v>0</v>
      </c>
      <c r="BR38" s="203">
        <f>SUMIFS(領用表!$L:$L,領用表!$A:$A,BR$2,領用表!$E:$E,B38)</f>
        <v>8</v>
      </c>
      <c r="BS38" s="206">
        <f>SUMIFS(領用表!$L:$L,領用表!$E:$E,$B38,領用表!$B:$B,BR$2&amp;BS$2)</f>
        <v>3</v>
      </c>
      <c r="BT38" s="206">
        <f>SUMIFS(領用表!$L:$L,領用表!$E:$E,$B38,領用表!$B:$B,$BR$2&amp;BT$2)</f>
        <v>0</v>
      </c>
      <c r="BU38" s="206">
        <f>SUMIFS(領用表!$L:$L,領用表!$E:$E,$B38,領用表!$B:$B,$BR$2&amp;BU$2)</f>
        <v>5</v>
      </c>
      <c r="BV38" s="206">
        <f>SUMIFS(領用表!$L:$L,領用表!$E:$E,$B38,領用表!$B:$B,$BR$2&amp;BV$2)</f>
        <v>0</v>
      </c>
      <c r="BW38" s="208">
        <f>SUMIFS(領用表!$L:$L,領用表!$A:$A,BW$2,領用表!$E:$E,B38)</f>
        <v>15</v>
      </c>
      <c r="BX38" s="206">
        <f>SUMIFS(領用表!$L:$L,領用表!$E:$E,$B38,領用表!$B:$B,BW$2&amp;BX$2)</f>
        <v>6</v>
      </c>
      <c r="BY38" s="206">
        <f>SUMIFS(領用表!$L:$L,領用表!$E:$E,$B38,領用表!$B:$B,$BW$2&amp;BY$2)</f>
        <v>0</v>
      </c>
      <c r="BZ38" s="206">
        <f>SUMIFS(領用表!$L:$L,領用表!$E:$E,$B38,領用表!$B:$B,$BW$2&amp;BZ$2)</f>
        <v>9</v>
      </c>
      <c r="CA38" s="206">
        <f>SUMIFS(領用表!$L:$L,領用表!$E:$E,$B38,領用表!$B:$B,$BW$2&amp;CA$2)</f>
        <v>0</v>
      </c>
      <c r="CB38" s="208">
        <f>SUMIFS(領用表!$L:$L,領用表!$A:$A,CB$2,領用表!$E:$E,B38)</f>
        <v>11</v>
      </c>
      <c r="CC38" s="206">
        <f>SUMIFS(領用表!$L:$L,領用表!$E:$E,$B38,領用表!$B:$B,CB$2&amp;CC$2)</f>
        <v>4</v>
      </c>
      <c r="CD38" s="206">
        <f>SUMIFS(領用表!$L:$L,領用表!$E:$E,$B38,領用表!$B:$B,$CB$2&amp;CD$2)</f>
        <v>0</v>
      </c>
      <c r="CE38" s="206">
        <f>SUMIFS(領用表!$L:$L,領用表!$E:$E,$B38,領用表!$B:$B,$CB$2&amp;CE$2)</f>
        <v>7</v>
      </c>
      <c r="CF38" s="206">
        <f>SUMIFS(領用表!$L:$L,領用表!$E:$E,$B38,領用表!$B:$B,$CB$2&amp;CF$2)</f>
        <v>0</v>
      </c>
      <c r="CG38" s="208">
        <f>SUMIFS(領用表!$L:$L,領用表!$A:$A,CG$2,領用表!$E:$E,B38)</f>
        <v>10</v>
      </c>
      <c r="CH38" s="206">
        <f>SUMIFS(領用表!$L:$L,領用表!$E:$E,$B38,領用表!$B:$B,CG$2&amp;CH$2)</f>
        <v>4</v>
      </c>
      <c r="CI38" s="206">
        <f>SUMIFS(領用表!$L:$L,領用表!$E:$E,$B38,領用表!$B:$B,CG$2&amp;CI$2)</f>
        <v>0</v>
      </c>
      <c r="CJ38" s="206">
        <f>SUMIFS(領用表!$L:$L,領用表!$E:$E,$B38,領用表!$B:$B,CG$2&amp;CJ$2)</f>
        <v>6</v>
      </c>
      <c r="CK38" s="206">
        <f>SUMIFS(領用表!$L:$L,領用表!$E:$E,$B38,領用表!$B:$B,$CG$2&amp;CK$2)</f>
        <v>0</v>
      </c>
      <c r="CL38" s="207">
        <f t="shared" si="3"/>
        <v>58</v>
      </c>
      <c r="CM38" s="207">
        <f t="shared" si="4"/>
        <v>8.2857142857142865</v>
      </c>
      <c r="CN38" s="208">
        <f>SUMIFS(領用表!$L:$L,領用表!$A:$A,CN$2,領用表!$E:$E,B38)</f>
        <v>26</v>
      </c>
      <c r="CO38" s="206">
        <f>SUMIFS(領用表!$L:$L,領用表!$E:$E,$B38,領用表!$B:$B,CN$2&amp;CO$2)</f>
        <v>11</v>
      </c>
      <c r="CP38" s="206">
        <f>SUMIFS(領用表!$L:$L,領用表!$E:$E,$B38,領用表!$B:$B,$CN$2&amp;CP$2)</f>
        <v>0</v>
      </c>
      <c r="CQ38" s="206">
        <f>SUMIFS(領用表!$L:$L,領用表!$E:$E,$B38,領用表!$B:$B,$CN$2&amp;CQ$2)</f>
        <v>15</v>
      </c>
      <c r="CR38" s="206">
        <f>SUMIFS(領用表!$L:$L,領用表!$E:$E,$B38,領用表!$B:$B,$CN$2&amp;CR$2)</f>
        <v>0</v>
      </c>
      <c r="CS38" s="208">
        <f>SUMIFS(領用表!$L:$L,領用表!$A:$A,CS$2,領用表!$E:$E,B38)</f>
        <v>19</v>
      </c>
      <c r="CT38" s="206">
        <f>SUMIFS(領用表!$L:$L,領用表!$E:$E,$B38,領用表!$B:$B,CS$2&amp;CT$2)</f>
        <v>4</v>
      </c>
      <c r="CU38" s="206">
        <f>SUMIFS(領用表!$L:$L,領用表!$E:$E,$B38,領用表!$B:$B,$CS$2&amp;CU$2)</f>
        <v>0</v>
      </c>
      <c r="CV38" s="206">
        <f>SUMIFS(領用表!$L:$L,領用表!$E:$E,$B38,領用表!$B:$B,$CS$2&amp;CV$2)</f>
        <v>15</v>
      </c>
      <c r="CW38" s="206">
        <f>SUMIFS(領用表!$L:$L,領用表!$E:$E,$B38,領用表!$B:$B,$CS$2&amp;CW$2)</f>
        <v>0</v>
      </c>
      <c r="CX38" s="206">
        <f>SUMIFS(領用表!$L:$L,領用表!$E:$E,$B38,領用表!$B:$B,$CS$2&amp;CX$2)</f>
        <v>0</v>
      </c>
      <c r="CY38" s="208">
        <f>SUMIFS(領用表!$L:$L,領用表!$A:$A,CY$2,領用表!$E:$E,B38)</f>
        <v>14</v>
      </c>
      <c r="CZ38" s="206">
        <f>SUMIFS(領用表!$L:$L,領用表!$E:$E,$B38,領用表!$B:$B,CY$2&amp;CZ$2)</f>
        <v>10</v>
      </c>
      <c r="DA38" s="206">
        <f>SUMIFS(領用表!$L:$L,領用表!$E:$E,$B38,領用表!$B:$B,$CY$2&amp;DA$2)</f>
        <v>0</v>
      </c>
      <c r="DB38" s="206">
        <f>SUMIFS(領用表!$L:$L,領用表!$E:$E,$B38,領用表!$B:$B,$CY$2&amp;DB$2)</f>
        <v>3</v>
      </c>
      <c r="DC38" s="206">
        <f>SUMIFS(領用表!$L:$L,領用表!$E:$E,$B38,領用表!$B:$B,$CY$2&amp;DC$2)</f>
        <v>0</v>
      </c>
      <c r="DD38" s="206">
        <f>SUMIFS(領用表!$L:$L,領用表!$E:$E,$B38,領用表!$B:$B,$CY$2&amp;DD$2)</f>
        <v>1</v>
      </c>
      <c r="DE38" s="208">
        <f>SUMIFS(領用表!$L:$L,領用表!$A:$A,DE$2,領用表!$E:$E,B38)</f>
        <v>11</v>
      </c>
      <c r="DF38" s="206">
        <f>SUMIFS(領用表!$L:$L,領用表!$E:$E,$B38,領用表!$B:$B,DE$2&amp;DF$2)</f>
        <v>5</v>
      </c>
      <c r="DG38" s="206">
        <f>SUMIFS(領用表!$L:$L,領用表!$E:$E,$B38,領用表!$B:$B,$DE$2&amp;DG$2)</f>
        <v>0</v>
      </c>
      <c r="DH38" s="206">
        <f>SUMIFS(領用表!$L:$L,領用表!$E:$E,$B38,領用表!$B:$B,$DE$2&amp;DH$2)</f>
        <v>5</v>
      </c>
      <c r="DI38" s="206">
        <f>SUMIFS(領用表!$L:$L,領用表!$E:$E,$B38,領用表!$B:$B,$DE$2&amp;DI$2)</f>
        <v>0</v>
      </c>
      <c r="DJ38" s="206">
        <f>SUMIFS(領用表!$L:$L,領用表!$E:$E,$B38,領用表!$B:$B,$DE$2&amp;DJ$2)</f>
        <v>1</v>
      </c>
      <c r="DK38" s="208">
        <f>SUMIFS(領用表!$L:$L,領用表!$A:$A,DK$2,領用表!$E:$E,$B38)</f>
        <v>10</v>
      </c>
      <c r="DL38" s="206">
        <f>SUMIFS(領用表!$L:$L,領用表!$E:$E,$B38,領用表!$B:$B,DK$2&amp;DL$2)</f>
        <v>1</v>
      </c>
      <c r="DM38" s="206">
        <f>SUMIFS(領用表!$L:$L,領用表!$E:$E,$B38,領用表!$B:$B,$DK$2&amp;DM$2)</f>
        <v>0</v>
      </c>
      <c r="DN38" s="206">
        <f>SUMIFS(領用表!$L:$L,領用表!$E:$E,$B38,領用表!$B:$B,$DK$2&amp;DN$2)</f>
        <v>5</v>
      </c>
      <c r="DO38" s="206">
        <f>SUMIFS(領用表!$L:$L,領用表!$E:$E,$B38,領用表!$B:$B,$DK$2&amp;DO$2)</f>
        <v>0</v>
      </c>
      <c r="DP38" s="206">
        <f>SUMIFS(領用表!$L:$L,領用表!$E:$E,$B38,領用表!$B:$B,$DK$2&amp;DP$2)</f>
        <v>4</v>
      </c>
      <c r="DQ38" s="206">
        <f t="shared" ref="DQ38:DQ69" si="14">SUM(CN38,CS38,CY38,DE38,DK38)</f>
        <v>80</v>
      </c>
      <c r="DR38" s="206">
        <f t="shared" ref="DR38:DR69" si="15">AVERAGEA(CN38,CS38,CY38,DE38,DK38)</f>
        <v>16</v>
      </c>
      <c r="DS38" s="206">
        <f t="shared" si="6"/>
        <v>18</v>
      </c>
      <c r="DT38" s="206">
        <v>8</v>
      </c>
      <c r="DU38" s="206">
        <v>0</v>
      </c>
      <c r="DV38" s="206">
        <v>10</v>
      </c>
      <c r="DW38" s="206">
        <v>0</v>
      </c>
      <c r="DX38" s="215">
        <v>0</v>
      </c>
      <c r="DY38" s="469"/>
      <c r="DZ38" s="211"/>
      <c r="EA38" s="211"/>
      <c r="EB38" s="136"/>
      <c r="EC38" s="212"/>
      <c r="ED38" s="118">
        <f>IFERROR(VLOOKUP(A38,站前4樓!A:BF,57,0),0)</f>
        <v>4</v>
      </c>
      <c r="EE38" s="213">
        <f>IFERROR(VLOOKUP(A38,站前11樓!A:BE,57,0),0)</f>
        <v>0</v>
      </c>
      <c r="EF38" s="118">
        <f>IFERROR(VLOOKUP(A38,忠孝7樓!A:N,57,0),0)</f>
        <v>0</v>
      </c>
      <c r="EG38" s="118">
        <f>IFERROR(VLOOKUP(A38,忠孝國際醫學3樓!A:L,57,0),0)</f>
        <v>0</v>
      </c>
      <c r="EH38" s="118">
        <f t="shared" si="7"/>
        <v>4</v>
      </c>
      <c r="EJ38" s="118">
        <v>13</v>
      </c>
      <c r="EK38" s="118">
        <v>8</v>
      </c>
    </row>
    <row r="39" spans="1:141" s="118" customFormat="1" ht="15.75" customHeight="1">
      <c r="A39" s="136" t="s">
        <v>64</v>
      </c>
      <c r="B39" s="118">
        <v>6210007</v>
      </c>
      <c r="C39" s="131" t="s">
        <v>480</v>
      </c>
      <c r="D39" s="228">
        <v>3</v>
      </c>
      <c r="E39" s="198" t="s">
        <v>63</v>
      </c>
      <c r="F39" s="227">
        <f>SUMIF(站前4樓!B:B,B39,站前4樓!F:F)</f>
        <v>21</v>
      </c>
      <c r="G39" s="227">
        <f>SUMIF(站前11樓!B:B,B39,站前11樓!F:F)</f>
        <v>0</v>
      </c>
      <c r="H39" s="227">
        <f>SUMIF(忠孝7樓!B:B,B39,忠孝7樓!G:G)</f>
        <v>13</v>
      </c>
      <c r="I39" s="227">
        <f>SUMIF(忠孝國際醫學3樓!B:B,B39,忠孝國際醫學3樓!G:G)</f>
        <v>0</v>
      </c>
      <c r="J39" s="227">
        <f>SUMIF(忠孝健康7樓!B:B,B39,忠孝健康7樓!G:G)</f>
        <v>7</v>
      </c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0"/>
      <c r="AJ39" s="201"/>
      <c r="AK39" s="201"/>
      <c r="AL39" s="201"/>
      <c r="AM39" s="201"/>
      <c r="AN39" s="201"/>
      <c r="AO39" s="201"/>
      <c r="AP39" s="201"/>
      <c r="AQ39" s="201"/>
      <c r="AR39" s="201"/>
      <c r="AS39" s="201"/>
      <c r="AT39" s="202"/>
      <c r="AU39" s="203"/>
      <c r="AV39" s="204" t="s">
        <v>49</v>
      </c>
      <c r="AW39" s="204" t="s">
        <v>49</v>
      </c>
      <c r="AX39" s="204" t="s">
        <v>49</v>
      </c>
      <c r="AY39" s="204" t="s">
        <v>49</v>
      </c>
      <c r="AZ39" s="204" t="s">
        <v>49</v>
      </c>
      <c r="BA39" s="204" t="s">
        <v>49</v>
      </c>
      <c r="BB39" s="204" t="s">
        <v>49</v>
      </c>
      <c r="BC39" s="204">
        <f>SUMIFS(領用表!$L:$L,領用表!$A:$A,BC$2,領用表!$E:$E,B39)</f>
        <v>0</v>
      </c>
      <c r="BD39" s="206">
        <f>SUMIFS(領用表!$L:$L,領用表!$E:$E,$B39,領用表!$B:$B,BC$2&amp;BD$2)</f>
        <v>0</v>
      </c>
      <c r="BE39" s="206">
        <f>SUMIFS(領用表!$L:$L,領用表!$E:$E,$B39,領用表!$B:$B,$BC$2&amp;BE$2)</f>
        <v>0</v>
      </c>
      <c r="BF39" s="206">
        <f>SUMIFS(領用表!$L:$L,領用表!$E:$E,$B39,領用表!$B:$B,$BC$2&amp;BF$2)</f>
        <v>0</v>
      </c>
      <c r="BG39" s="206">
        <f>SUMIFS(領用表!$L:$L,領用表!$E:$E,$B39,領用表!$B:$B,$BC$2&amp;BG$2)</f>
        <v>0</v>
      </c>
      <c r="BH39" s="203">
        <f>SUMIFS(領用表!$L:$L,領用表!$A:$A,BH$2,領用表!$E:$E,B39)</f>
        <v>0</v>
      </c>
      <c r="BI39" s="206">
        <f>SUMIFS(領用表!$L:$L,領用表!$E:$E,$B39,領用表!$B:$B,BH$2&amp;BI$2)</f>
        <v>0</v>
      </c>
      <c r="BJ39" s="206">
        <f>SUMIFS(領用表!$L:$L,領用表!$E:$E,$B39,領用表!$B:$B,$BH$2&amp;BJ$2)</f>
        <v>0</v>
      </c>
      <c r="BK39" s="206">
        <f>SUMIFS(領用表!$L:$L,領用表!$E:$E,$B39,領用表!$B:$B,$BH$2&amp;BK$2)</f>
        <v>0</v>
      </c>
      <c r="BL39" s="206">
        <f>SUMIFS(領用表!$L:$L,領用表!$E:$E,$B39,領用表!$B:$B,$BH$2&amp;BL$2)</f>
        <v>0</v>
      </c>
      <c r="BM39" s="203">
        <f>SUMIFS(領用表!$L:$L,領用表!$A:$A,BM$2,領用表!$E:$E,B39)</f>
        <v>13</v>
      </c>
      <c r="BN39" s="206">
        <f>SUMIFS(領用表!$L:$L,領用表!$E:$E,$B39,領用表!$B:$B,BM$2&amp;BN$2)</f>
        <v>4</v>
      </c>
      <c r="BO39" s="206">
        <f>SUMIFS(領用表!$L:$L,領用表!$E:$E,$B39,領用表!$B:$B,$BM$2&amp;BO$2)</f>
        <v>0</v>
      </c>
      <c r="BP39" s="206">
        <f>SUMIFS(領用表!$L:$L,領用表!$E:$E,$B39,領用表!$B:$B,$BM$2&amp;BP$2)</f>
        <v>9</v>
      </c>
      <c r="BQ39" s="206">
        <f>SUMIFS(領用表!$L:$L,領用表!$E:$E,$B39,領用表!$B:$B,$BM$2&amp;BQ$2)</f>
        <v>0</v>
      </c>
      <c r="BR39" s="203">
        <f>SUMIFS(領用表!$L:$L,領用表!$A:$A,BR$2,領用表!$E:$E,B39)</f>
        <v>13</v>
      </c>
      <c r="BS39" s="206">
        <f>SUMIFS(領用表!$L:$L,領用表!$E:$E,$B39,領用表!$B:$B,BR$2&amp;BS$2)</f>
        <v>7</v>
      </c>
      <c r="BT39" s="206">
        <f>SUMIFS(領用表!$L:$L,領用表!$E:$E,$B39,領用表!$B:$B,$BR$2&amp;BT$2)</f>
        <v>0</v>
      </c>
      <c r="BU39" s="206">
        <f>SUMIFS(領用表!$L:$L,領用表!$E:$E,$B39,領用表!$B:$B,$BR$2&amp;BU$2)</f>
        <v>6</v>
      </c>
      <c r="BV39" s="206">
        <f>SUMIFS(領用表!$L:$L,領用表!$E:$E,$B39,領用表!$B:$B,$BR$2&amp;BV$2)</f>
        <v>0</v>
      </c>
      <c r="BW39" s="208">
        <f>SUMIFS(領用表!$L:$L,領用表!$A:$A,BW$2,領用表!$E:$E,B39)</f>
        <v>13</v>
      </c>
      <c r="BX39" s="206">
        <f>SUMIFS(領用表!$L:$L,領用表!$E:$E,$B39,領用表!$B:$B,BW$2&amp;BX$2)</f>
        <v>8</v>
      </c>
      <c r="BY39" s="206">
        <f>SUMIFS(領用表!$L:$L,領用表!$E:$E,$B39,領用表!$B:$B,$BW$2&amp;BY$2)</f>
        <v>0</v>
      </c>
      <c r="BZ39" s="206">
        <f>SUMIFS(領用表!$L:$L,領用表!$E:$E,$B39,領用表!$B:$B,$BW$2&amp;BZ$2)</f>
        <v>5</v>
      </c>
      <c r="CA39" s="206">
        <f>SUMIFS(領用表!$L:$L,領用表!$E:$E,$B39,領用表!$B:$B,$BW$2&amp;CA$2)</f>
        <v>0</v>
      </c>
      <c r="CB39" s="208">
        <f>SUMIFS(領用表!$L:$L,領用表!$A:$A,CB$2,領用表!$E:$E,B39)</f>
        <v>6</v>
      </c>
      <c r="CC39" s="206">
        <f>SUMIFS(領用表!$L:$L,領用表!$E:$E,$B39,領用表!$B:$B,CB$2&amp;CC$2)</f>
        <v>4</v>
      </c>
      <c r="CD39" s="206">
        <f>SUMIFS(領用表!$L:$L,領用表!$E:$E,$B39,領用表!$B:$B,$CB$2&amp;CD$2)</f>
        <v>0</v>
      </c>
      <c r="CE39" s="206">
        <f>SUMIFS(領用表!$L:$L,領用表!$E:$E,$B39,領用表!$B:$B,$CB$2&amp;CE$2)</f>
        <v>2</v>
      </c>
      <c r="CF39" s="206">
        <f>SUMIFS(領用表!$L:$L,領用表!$E:$E,$B39,領用表!$B:$B,$CB$2&amp;CF$2)</f>
        <v>0</v>
      </c>
      <c r="CG39" s="208">
        <f>SUMIFS(領用表!$L:$L,領用表!$A:$A,CG$2,領用表!$E:$E,B39)</f>
        <v>14</v>
      </c>
      <c r="CH39" s="206">
        <f>SUMIFS(領用表!$L:$L,領用表!$E:$E,$B39,領用表!$B:$B,CG$2&amp;CH$2)</f>
        <v>4</v>
      </c>
      <c r="CI39" s="206">
        <f>SUMIFS(領用表!$L:$L,領用表!$E:$E,$B39,領用表!$B:$B,CG$2&amp;CI$2)</f>
        <v>0</v>
      </c>
      <c r="CJ39" s="206">
        <f>SUMIFS(領用表!$L:$L,領用表!$E:$E,$B39,領用表!$B:$B,CG$2&amp;CJ$2)</f>
        <v>10</v>
      </c>
      <c r="CK39" s="206">
        <f>SUMIFS(領用表!$L:$L,領用表!$E:$E,$B39,領用表!$B:$B,$CG$2&amp;CK$2)</f>
        <v>0</v>
      </c>
      <c r="CL39" s="207">
        <f t="shared" si="3"/>
        <v>59</v>
      </c>
      <c r="CM39" s="207">
        <f t="shared" si="4"/>
        <v>8.4285714285714288</v>
      </c>
      <c r="CN39" s="208">
        <f>SUMIFS(領用表!$L:$L,領用表!$A:$A,CN$2,領用表!$E:$E,B39)</f>
        <v>18</v>
      </c>
      <c r="CO39" s="206">
        <f>SUMIFS(領用表!$L:$L,領用表!$E:$E,$B39,領用表!$B:$B,CN$2&amp;CO$2)</f>
        <v>5</v>
      </c>
      <c r="CP39" s="206">
        <f>SUMIFS(領用表!$L:$L,領用表!$E:$E,$B39,領用表!$B:$B,$CN$2&amp;CP$2)</f>
        <v>0</v>
      </c>
      <c r="CQ39" s="206">
        <f>SUMIFS(領用表!$L:$L,領用表!$E:$E,$B39,領用表!$B:$B,$CN$2&amp;CQ$2)</f>
        <v>13</v>
      </c>
      <c r="CR39" s="206">
        <f>SUMIFS(領用表!$L:$L,領用表!$E:$E,$B39,領用表!$B:$B,$CN$2&amp;CR$2)</f>
        <v>0</v>
      </c>
      <c r="CS39" s="208">
        <f>SUMIFS(領用表!$L:$L,領用表!$A:$A,CS$2,領用表!$E:$E,B39)</f>
        <v>9</v>
      </c>
      <c r="CT39" s="206">
        <f>SUMIFS(領用表!$L:$L,領用表!$E:$E,$B39,領用表!$B:$B,CS$2&amp;CT$2)</f>
        <v>3</v>
      </c>
      <c r="CU39" s="206">
        <f>SUMIFS(領用表!$L:$L,領用表!$E:$E,$B39,領用表!$B:$B,$CS$2&amp;CU$2)</f>
        <v>0</v>
      </c>
      <c r="CV39" s="206">
        <f>SUMIFS(領用表!$L:$L,領用表!$E:$E,$B39,領用表!$B:$B,$CS$2&amp;CV$2)</f>
        <v>6</v>
      </c>
      <c r="CW39" s="206">
        <f>SUMIFS(領用表!$L:$L,領用表!$E:$E,$B39,領用表!$B:$B,$CS$2&amp;CW$2)</f>
        <v>0</v>
      </c>
      <c r="CX39" s="206">
        <f>SUMIFS(領用表!$L:$L,領用表!$E:$E,$B39,領用表!$B:$B,$CS$2&amp;CX$2)</f>
        <v>0</v>
      </c>
      <c r="CY39" s="208">
        <f>SUMIFS(領用表!$L:$L,領用表!$A:$A,CY$2,領用表!$E:$E,B39)</f>
        <v>9</v>
      </c>
      <c r="CZ39" s="206">
        <f>SUMIFS(領用表!$L:$L,領用表!$E:$E,$B39,領用表!$B:$B,CY$2&amp;CZ$2)</f>
        <v>5</v>
      </c>
      <c r="DA39" s="206">
        <f>SUMIFS(領用表!$L:$L,領用表!$E:$E,$B39,領用表!$B:$B,$CY$2&amp;DA$2)</f>
        <v>0</v>
      </c>
      <c r="DB39" s="206">
        <f>SUMIFS(領用表!$L:$L,領用表!$E:$E,$B39,領用表!$B:$B,$CY$2&amp;DB$2)</f>
        <v>2</v>
      </c>
      <c r="DC39" s="206">
        <f>SUMIFS(領用表!$L:$L,領用表!$E:$E,$B39,領用表!$B:$B,$CY$2&amp;DC$2)</f>
        <v>0</v>
      </c>
      <c r="DD39" s="206">
        <f>SUMIFS(領用表!$L:$L,領用表!$E:$E,$B39,領用表!$B:$B,$CY$2&amp;DD$2)</f>
        <v>2</v>
      </c>
      <c r="DE39" s="208">
        <f>SUMIFS(領用表!$L:$L,領用表!$A:$A,DE$2,領用表!$E:$E,B39)</f>
        <v>7</v>
      </c>
      <c r="DF39" s="206">
        <f>SUMIFS(領用表!$L:$L,領用表!$E:$E,$B39,領用表!$B:$B,DE$2&amp;DF$2)</f>
        <v>5</v>
      </c>
      <c r="DG39" s="206">
        <f>SUMIFS(領用表!$L:$L,領用表!$E:$E,$B39,領用表!$B:$B,$DE$2&amp;DG$2)</f>
        <v>0</v>
      </c>
      <c r="DH39" s="206">
        <f>SUMIFS(領用表!$L:$L,領用表!$E:$E,$B39,領用表!$B:$B,$DE$2&amp;DH$2)</f>
        <v>0</v>
      </c>
      <c r="DI39" s="206">
        <f>SUMIFS(領用表!$L:$L,領用表!$E:$E,$B39,領用表!$B:$B,$DE$2&amp;DI$2)</f>
        <v>0</v>
      </c>
      <c r="DJ39" s="206">
        <f>SUMIFS(領用表!$L:$L,領用表!$E:$E,$B39,領用表!$B:$B,$DE$2&amp;DJ$2)</f>
        <v>2</v>
      </c>
      <c r="DK39" s="208">
        <f>SUMIFS(領用表!$L:$L,領用表!$A:$A,DK$2,領用表!$E:$E,$B39)</f>
        <v>3</v>
      </c>
      <c r="DL39" s="206">
        <f>SUMIFS(領用表!$L:$L,領用表!$E:$E,$B39,領用表!$B:$B,DK$2&amp;DL$2)</f>
        <v>2</v>
      </c>
      <c r="DM39" s="206">
        <f>SUMIFS(領用表!$L:$L,領用表!$E:$E,$B39,領用表!$B:$B,$DK$2&amp;DM$2)</f>
        <v>0</v>
      </c>
      <c r="DN39" s="206">
        <f>SUMIFS(領用表!$L:$L,領用表!$E:$E,$B39,領用表!$B:$B,$DK$2&amp;DN$2)</f>
        <v>1</v>
      </c>
      <c r="DO39" s="206">
        <f>SUMIFS(領用表!$L:$L,領用表!$E:$E,$B39,領用表!$B:$B,$DK$2&amp;DO$2)</f>
        <v>0</v>
      </c>
      <c r="DP39" s="206">
        <f>SUMIFS(領用表!$L:$L,領用表!$E:$E,$B39,領用表!$B:$B,$DK$2&amp;DP$2)</f>
        <v>0</v>
      </c>
      <c r="DQ39" s="206">
        <f t="shared" si="14"/>
        <v>46</v>
      </c>
      <c r="DR39" s="206">
        <f t="shared" si="15"/>
        <v>9.1999999999999993</v>
      </c>
      <c r="DS39" s="206">
        <f t="shared" si="6"/>
        <v>18</v>
      </c>
      <c r="DT39" s="206">
        <v>8</v>
      </c>
      <c r="DU39" s="206">
        <v>0</v>
      </c>
      <c r="DV39" s="206">
        <v>10</v>
      </c>
      <c r="DW39" s="206">
        <v>0</v>
      </c>
      <c r="DX39" s="215">
        <v>0</v>
      </c>
      <c r="DY39" s="466"/>
      <c r="DZ39" s="211"/>
      <c r="EA39" s="211"/>
      <c r="EB39" s="136"/>
      <c r="EC39" s="212"/>
      <c r="ED39" s="118">
        <f>IFERROR(VLOOKUP(A39,站前4樓!A:BF,57,0),0)</f>
        <v>4</v>
      </c>
      <c r="EE39" s="213">
        <f>IFERROR(VLOOKUP(A39,站前11樓!A:BE,57,0),0)</f>
        <v>0</v>
      </c>
      <c r="EF39" s="118">
        <f>IFERROR(VLOOKUP(A39,忠孝7樓!A:N,57,0),0)</f>
        <v>0</v>
      </c>
      <c r="EG39" s="118">
        <f>IFERROR(VLOOKUP(A39,忠孝國際醫學3樓!A:L,57,0),0)</f>
        <v>0</v>
      </c>
      <c r="EH39" s="118">
        <f t="shared" si="7"/>
        <v>4</v>
      </c>
      <c r="EJ39" s="118">
        <v>9</v>
      </c>
      <c r="EK39" s="118">
        <v>6</v>
      </c>
    </row>
    <row r="40" spans="1:141" s="118" customFormat="1" ht="15.75" customHeight="1">
      <c r="A40" s="136" t="s">
        <v>65</v>
      </c>
      <c r="B40" s="118">
        <v>6150010</v>
      </c>
      <c r="C40" s="131" t="s">
        <v>481</v>
      </c>
      <c r="D40" s="228">
        <v>1</v>
      </c>
      <c r="E40" s="198" t="s">
        <v>15</v>
      </c>
      <c r="F40" s="227">
        <f>SUMIF(站前4樓!B:B,B40,站前4樓!F:F)</f>
        <v>47</v>
      </c>
      <c r="G40" s="227">
        <f>SUMIF(站前11樓!B:B,B40,站前11樓!F:F)</f>
        <v>0</v>
      </c>
      <c r="H40" s="227">
        <f>SUMIF(忠孝7樓!B:B,B40,忠孝7樓!G:G)</f>
        <v>74</v>
      </c>
      <c r="I40" s="227">
        <f>SUMIF(忠孝國際醫學3樓!B:B,B40,忠孝國際醫學3樓!G:G)</f>
        <v>0</v>
      </c>
      <c r="J40" s="227">
        <f>SUMIF(忠孝健康7樓!B:B,B40,忠孝健康7樓!G:G)</f>
        <v>15</v>
      </c>
      <c r="K40" s="200">
        <v>0</v>
      </c>
      <c r="L40" s="200">
        <v>0</v>
      </c>
      <c r="M40" s="200">
        <v>0</v>
      </c>
      <c r="N40" s="200">
        <v>0</v>
      </c>
      <c r="O40" s="200">
        <v>0</v>
      </c>
      <c r="P40" s="200">
        <v>0</v>
      </c>
      <c r="Q40" s="200">
        <v>0</v>
      </c>
      <c r="R40" s="200">
        <v>0</v>
      </c>
      <c r="S40" s="200">
        <v>0</v>
      </c>
      <c r="T40" s="200">
        <v>0</v>
      </c>
      <c r="U40" s="200">
        <v>0</v>
      </c>
      <c r="V40" s="200">
        <v>0</v>
      </c>
      <c r="W40" s="200">
        <v>0</v>
      </c>
      <c r="X40" s="200">
        <v>0</v>
      </c>
      <c r="Y40" s="200">
        <v>0</v>
      </c>
      <c r="Z40" s="200">
        <v>0</v>
      </c>
      <c r="AA40" s="200">
        <v>0</v>
      </c>
      <c r="AB40" s="200">
        <v>0</v>
      </c>
      <c r="AC40" s="200">
        <v>0</v>
      </c>
      <c r="AD40" s="200">
        <v>0</v>
      </c>
      <c r="AE40" s="200">
        <v>0</v>
      </c>
      <c r="AF40" s="200">
        <v>0</v>
      </c>
      <c r="AG40" s="200">
        <v>0</v>
      </c>
      <c r="AH40" s="200">
        <v>0</v>
      </c>
      <c r="AI40" s="200">
        <v>0</v>
      </c>
      <c r="AJ40" s="201">
        <v>0</v>
      </c>
      <c r="AK40" s="201">
        <v>0</v>
      </c>
      <c r="AL40" s="201">
        <v>0</v>
      </c>
      <c r="AM40" s="201">
        <v>0</v>
      </c>
      <c r="AN40" s="201">
        <v>0</v>
      </c>
      <c r="AO40" s="201">
        <v>39</v>
      </c>
      <c r="AP40" s="201">
        <v>36</v>
      </c>
      <c r="AQ40" s="201">
        <v>37</v>
      </c>
      <c r="AR40" s="201">
        <v>20</v>
      </c>
      <c r="AS40" s="201">
        <v>45</v>
      </c>
      <c r="AT40" s="202">
        <v>35</v>
      </c>
      <c r="AU40" s="203">
        <v>72</v>
      </c>
      <c r="AV40" s="204">
        <f>SUM(AJ40:AU40)</f>
        <v>284</v>
      </c>
      <c r="AW40" s="205">
        <f>AV40/12</f>
        <v>23.666666666666668</v>
      </c>
      <c r="AX40" s="203">
        <v>43</v>
      </c>
      <c r="AY40" s="203">
        <v>30</v>
      </c>
      <c r="AZ40" s="203">
        <v>48</v>
      </c>
      <c r="BA40" s="203">
        <v>96</v>
      </c>
      <c r="BB40" s="203">
        <v>93</v>
      </c>
      <c r="BC40" s="203">
        <f>SUMIFS(領用表!$L:$L,領用表!$A:$A,BC$2,領用表!$E:$E,B40)</f>
        <v>72</v>
      </c>
      <c r="BD40" s="206">
        <f>SUMIFS(領用表!$L:$L,領用表!$E:$E,$B40,領用表!$B:$B,BC$2&amp;BD$2)</f>
        <v>72</v>
      </c>
      <c r="BE40" s="206">
        <f>SUMIFS(領用表!$L:$L,領用表!$E:$E,$B40,領用表!$B:$B,$BC$2&amp;BE$2)</f>
        <v>0</v>
      </c>
      <c r="BF40" s="206">
        <f>SUMIFS(領用表!$L:$L,領用表!$E:$E,$B40,領用表!$B:$B,$BC$2&amp;BF$2)</f>
        <v>0</v>
      </c>
      <c r="BG40" s="206">
        <f>SUMIFS(領用表!$L:$L,領用表!$E:$E,$B40,領用表!$B:$B,$BC$2&amp;BG$2)</f>
        <v>0</v>
      </c>
      <c r="BH40" s="203">
        <f>SUMIFS(領用表!$L:$L,領用表!$A:$A,BH$2,領用表!$E:$E,B40)</f>
        <v>96</v>
      </c>
      <c r="BI40" s="206">
        <f>SUMIFS(領用表!$L:$L,領用表!$E:$E,$B40,領用表!$B:$B,BH$2&amp;BI$2)</f>
        <v>27</v>
      </c>
      <c r="BJ40" s="206">
        <f>SUMIFS(領用表!$L:$L,領用表!$E:$E,$B40,領用表!$B:$B,$BH$2&amp;BJ$2)</f>
        <v>0</v>
      </c>
      <c r="BK40" s="206">
        <f>SUMIFS(領用表!$L:$L,領用表!$E:$E,$B40,領用表!$B:$B,$BH$2&amp;BK$2)</f>
        <v>69</v>
      </c>
      <c r="BL40" s="206">
        <f>SUMIFS(領用表!$L:$L,領用表!$E:$E,$B40,領用表!$B:$B,$BH$2&amp;BL$2)</f>
        <v>0</v>
      </c>
      <c r="BM40" s="203">
        <f>SUMIFS(領用表!$L:$L,領用表!$A:$A,BM$2,領用表!$E:$E,B40)</f>
        <v>105</v>
      </c>
      <c r="BN40" s="206">
        <f>SUMIFS(領用表!$L:$L,領用表!$E:$E,$B40,領用表!$B:$B,BM$2&amp;BN$2)</f>
        <v>34</v>
      </c>
      <c r="BO40" s="206">
        <f>SUMIFS(領用表!$L:$L,領用表!$E:$E,$B40,領用表!$B:$B,$BM$2&amp;BO$2)</f>
        <v>0</v>
      </c>
      <c r="BP40" s="206">
        <f>SUMIFS(領用表!$L:$L,領用表!$E:$E,$B40,領用表!$B:$B,$BM$2&amp;BP$2)</f>
        <v>71</v>
      </c>
      <c r="BQ40" s="206">
        <f>SUMIFS(領用表!$L:$L,領用表!$E:$E,$B40,領用表!$B:$B,$BM$2&amp;BQ$2)</f>
        <v>0</v>
      </c>
      <c r="BR40" s="203">
        <f>SUMIFS(領用表!$L:$L,領用表!$A:$A,BR$2,領用表!$E:$E,B40)</f>
        <v>86</v>
      </c>
      <c r="BS40" s="206">
        <f>SUMIFS(領用表!$L:$L,領用表!$E:$E,$B40,領用表!$B:$B,BR$2&amp;BS$2)</f>
        <v>36</v>
      </c>
      <c r="BT40" s="206">
        <f>SUMIFS(領用表!$L:$L,領用表!$E:$E,$B40,領用表!$B:$B,$BR$2&amp;BT$2)</f>
        <v>0</v>
      </c>
      <c r="BU40" s="206">
        <f>SUMIFS(領用表!$L:$L,領用表!$E:$E,$B40,領用表!$B:$B,$BR$2&amp;BU$2)</f>
        <v>50</v>
      </c>
      <c r="BV40" s="206">
        <f>SUMIFS(領用表!$L:$L,領用表!$E:$E,$B40,領用表!$B:$B,$BR$2&amp;BV$2)</f>
        <v>0</v>
      </c>
      <c r="BW40" s="208">
        <f>SUMIFS(領用表!$L:$L,領用表!$A:$A,BW$2,領用表!$E:$E,B40)</f>
        <v>90</v>
      </c>
      <c r="BX40" s="206">
        <f>SUMIFS(領用表!$L:$L,領用表!$E:$E,$B40,領用表!$B:$B,BW$2&amp;BX$2)</f>
        <v>43</v>
      </c>
      <c r="BY40" s="206">
        <f>SUMIFS(領用表!$L:$L,領用表!$E:$E,$B40,領用表!$B:$B,$BW$2&amp;BY$2)</f>
        <v>0</v>
      </c>
      <c r="BZ40" s="206">
        <f>SUMIFS(領用表!$L:$L,領用表!$E:$E,$B40,領用表!$B:$B,$BW$2&amp;BZ$2)</f>
        <v>47</v>
      </c>
      <c r="CA40" s="206">
        <f>SUMIFS(領用表!$L:$L,領用表!$E:$E,$B40,領用表!$B:$B,$BW$2&amp;CA$2)</f>
        <v>0</v>
      </c>
      <c r="CB40" s="208">
        <f>SUMIFS(領用表!$L:$L,領用表!$A:$A,CB$2,領用表!$E:$E,B40)</f>
        <v>97</v>
      </c>
      <c r="CC40" s="206">
        <f>SUMIFS(領用表!$L:$L,領用表!$E:$E,$B40,領用表!$B:$B,CB$2&amp;CC$2)</f>
        <v>32</v>
      </c>
      <c r="CD40" s="206">
        <f>SUMIFS(領用表!$L:$L,領用表!$E:$E,$B40,領用表!$B:$B,$CB$2&amp;CD$2)</f>
        <v>0</v>
      </c>
      <c r="CE40" s="206">
        <f>SUMIFS(領用表!$L:$L,領用表!$E:$E,$B40,領用表!$B:$B,$CB$2&amp;CE$2)</f>
        <v>65</v>
      </c>
      <c r="CF40" s="206">
        <f>SUMIFS(領用表!$L:$L,領用表!$E:$E,$B40,領用表!$B:$B,$CB$2&amp;CF$2)</f>
        <v>0</v>
      </c>
      <c r="CG40" s="208">
        <f>SUMIFS(領用表!$L:$L,領用表!$A:$A,CG$2,領用表!$E:$E,B40)</f>
        <v>91</v>
      </c>
      <c r="CH40" s="206">
        <f>SUMIFS(領用表!$L:$L,領用表!$E:$E,$B40,領用表!$B:$B,CG$2&amp;CH$2)</f>
        <v>43</v>
      </c>
      <c r="CI40" s="206">
        <f>SUMIFS(領用表!$L:$L,領用表!$E:$E,$B40,領用表!$B:$B,CG$2&amp;CI$2)</f>
        <v>0</v>
      </c>
      <c r="CJ40" s="206">
        <f>SUMIFS(領用表!$L:$L,領用表!$E:$E,$B40,領用表!$B:$B,CG$2&amp;CJ$2)</f>
        <v>48</v>
      </c>
      <c r="CK40" s="206">
        <f>SUMIFS(領用表!$L:$L,領用表!$E:$E,$B40,領用表!$B:$B,$CG$2&amp;CK$2)</f>
        <v>0</v>
      </c>
      <c r="CL40" s="207">
        <f t="shared" si="3"/>
        <v>947</v>
      </c>
      <c r="CM40" s="207">
        <f t="shared" si="4"/>
        <v>78.916666666666671</v>
      </c>
      <c r="CN40" s="208">
        <f>SUMIFS(領用表!$L:$L,領用表!$A:$A,CN$2,領用表!$E:$E,B40)</f>
        <v>134</v>
      </c>
      <c r="CO40" s="206">
        <f>SUMIFS(領用表!$L:$L,領用表!$E:$E,$B40,領用表!$B:$B,CN$2&amp;CO$2)</f>
        <v>45</v>
      </c>
      <c r="CP40" s="206">
        <f>SUMIFS(領用表!$L:$L,領用表!$E:$E,$B40,領用表!$B:$B,$CN$2&amp;CP$2)</f>
        <v>0</v>
      </c>
      <c r="CQ40" s="206">
        <f>SUMIFS(領用表!$L:$L,領用表!$E:$E,$B40,領用表!$B:$B,$CN$2&amp;CQ$2)</f>
        <v>89</v>
      </c>
      <c r="CR40" s="206">
        <f>SUMIFS(領用表!$L:$L,領用表!$E:$E,$B40,領用表!$B:$B,$CN$2&amp;CR$2)</f>
        <v>0</v>
      </c>
      <c r="CS40" s="208">
        <f>SUMIFS(領用表!$L:$L,領用表!$A:$A,CS$2,領用表!$E:$E,B40)</f>
        <v>123</v>
      </c>
      <c r="CT40" s="206">
        <f>SUMIFS(領用表!$L:$L,領用表!$E:$E,$B40,領用表!$B:$B,CS$2&amp;CT$2)</f>
        <v>37</v>
      </c>
      <c r="CU40" s="206">
        <f>SUMIFS(領用表!$L:$L,領用表!$E:$E,$B40,領用表!$B:$B,$CS$2&amp;CU$2)</f>
        <v>0</v>
      </c>
      <c r="CV40" s="206">
        <f>SUMIFS(領用表!$L:$L,領用表!$E:$E,$B40,領用表!$B:$B,$CS$2&amp;CV$2)</f>
        <v>81</v>
      </c>
      <c r="CW40" s="206">
        <f>SUMIFS(領用表!$L:$L,領用表!$E:$E,$B40,領用表!$B:$B,$CS$2&amp;CW$2)</f>
        <v>0</v>
      </c>
      <c r="CX40" s="206">
        <f>SUMIFS(領用表!$L:$L,領用表!$E:$E,$B40,領用表!$B:$B,$CS$2&amp;CX$2)</f>
        <v>5</v>
      </c>
      <c r="CY40" s="208">
        <f>SUMIFS(領用表!$L:$L,領用表!$A:$A,CY$2,領用表!$E:$E,B40)</f>
        <v>116</v>
      </c>
      <c r="CZ40" s="206">
        <f>SUMIFS(領用表!$L:$L,領用表!$E:$E,$B40,領用表!$B:$B,CY$2&amp;CZ$2)</f>
        <v>44</v>
      </c>
      <c r="DA40" s="206">
        <f>SUMIFS(領用表!$L:$L,領用表!$E:$E,$B40,領用表!$B:$B,$CY$2&amp;DA$2)</f>
        <v>0</v>
      </c>
      <c r="DB40" s="206">
        <f>SUMIFS(領用表!$L:$L,領用表!$E:$E,$B40,領用表!$B:$B,$CY$2&amp;DB$2)</f>
        <v>49</v>
      </c>
      <c r="DC40" s="206">
        <f>SUMIFS(領用表!$L:$L,領用表!$E:$E,$B40,領用表!$B:$B,$CY$2&amp;DC$2)</f>
        <v>0</v>
      </c>
      <c r="DD40" s="206">
        <f>SUMIFS(領用表!$L:$L,領用表!$E:$E,$B40,領用表!$B:$B,$CY$2&amp;DD$2)</f>
        <v>23</v>
      </c>
      <c r="DE40" s="208">
        <f>SUMIFS(領用表!$L:$L,領用表!$A:$A,DE$2,領用表!$E:$E,B40)</f>
        <v>91</v>
      </c>
      <c r="DF40" s="206">
        <f>SUMIFS(領用表!$L:$L,領用表!$E:$E,$B40,領用表!$B:$B,DE$2&amp;DF$2)</f>
        <v>31</v>
      </c>
      <c r="DG40" s="206">
        <f>SUMIFS(領用表!$L:$L,領用表!$E:$E,$B40,領用表!$B:$B,$DE$2&amp;DG$2)</f>
        <v>0</v>
      </c>
      <c r="DH40" s="206">
        <f>SUMIFS(領用表!$L:$L,領用表!$E:$E,$B40,領用表!$B:$B,$DE$2&amp;DH$2)</f>
        <v>24</v>
      </c>
      <c r="DI40" s="206">
        <f>SUMIFS(領用表!$L:$L,領用表!$E:$E,$B40,領用表!$B:$B,$DE$2&amp;DI$2)</f>
        <v>0</v>
      </c>
      <c r="DJ40" s="206">
        <f>SUMIFS(領用表!$L:$L,領用表!$E:$E,$B40,領用表!$B:$B,$DE$2&amp;DJ$2)</f>
        <v>36</v>
      </c>
      <c r="DK40" s="208">
        <f>SUMIFS(領用表!$L:$L,領用表!$A:$A,DK$2,領用表!$E:$E,$B40)</f>
        <v>58</v>
      </c>
      <c r="DL40" s="206">
        <f>SUMIFS(領用表!$L:$L,領用表!$E:$E,$B40,領用表!$B:$B,DK$2&amp;DL$2)</f>
        <v>17</v>
      </c>
      <c r="DM40" s="206">
        <f>SUMIFS(領用表!$L:$L,領用表!$E:$E,$B40,領用表!$B:$B,$DK$2&amp;DM$2)</f>
        <v>0</v>
      </c>
      <c r="DN40" s="206">
        <f>SUMIFS(領用表!$L:$L,領用表!$E:$E,$B40,領用表!$B:$B,$DK$2&amp;DN$2)</f>
        <v>26</v>
      </c>
      <c r="DO40" s="206">
        <f>SUMIFS(領用表!$L:$L,領用表!$E:$E,$B40,領用表!$B:$B,$DK$2&amp;DO$2)</f>
        <v>0</v>
      </c>
      <c r="DP40" s="206">
        <f>SUMIFS(領用表!$L:$L,領用表!$E:$E,$B40,領用表!$B:$B,$DK$2&amp;DP$2)</f>
        <v>15</v>
      </c>
      <c r="DQ40" s="206">
        <f t="shared" si="14"/>
        <v>522</v>
      </c>
      <c r="DR40" s="206">
        <f t="shared" si="15"/>
        <v>104.4</v>
      </c>
      <c r="DS40" s="206">
        <f t="shared" si="6"/>
        <v>130</v>
      </c>
      <c r="DT40" s="206">
        <v>50</v>
      </c>
      <c r="DU40" s="206">
        <v>0</v>
      </c>
      <c r="DV40" s="206">
        <v>80</v>
      </c>
      <c r="DW40" s="206">
        <v>0</v>
      </c>
      <c r="DX40" s="215">
        <v>50</v>
      </c>
      <c r="DY40" s="469"/>
      <c r="DZ40" s="211" t="s">
        <v>796</v>
      </c>
      <c r="EA40" s="211" t="s">
        <v>781</v>
      </c>
      <c r="EB40" s="136"/>
      <c r="EC40" s="212"/>
      <c r="ED40" s="118">
        <f>IFERROR(VLOOKUP(A40,站前4樓!A:BF,57,0),0)</f>
        <v>32</v>
      </c>
      <c r="EE40" s="213">
        <f>IFERROR(VLOOKUP(A40,站前11樓!A:BE,57,0),0)</f>
        <v>0</v>
      </c>
      <c r="EF40" s="118">
        <f>IFERROR(VLOOKUP(A40,忠孝7樓!A:N,57,0),0)</f>
        <v>0</v>
      </c>
      <c r="EG40" s="118">
        <f>IFERROR(VLOOKUP(A40,忠孝國際醫學3樓!A:L,57,0),0)</f>
        <v>0</v>
      </c>
      <c r="EH40" s="118">
        <f t="shared" si="7"/>
        <v>32</v>
      </c>
      <c r="EJ40" s="118">
        <v>39</v>
      </c>
      <c r="EK40" s="118">
        <v>38</v>
      </c>
    </row>
    <row r="41" spans="1:141" s="118" customFormat="1" ht="15.75" customHeight="1">
      <c r="A41" s="136" t="s">
        <v>67</v>
      </c>
      <c r="B41" s="118">
        <v>6150011</v>
      </c>
      <c r="C41" s="131" t="s">
        <v>482</v>
      </c>
      <c r="D41" s="228">
        <v>1</v>
      </c>
      <c r="E41" s="198" t="s">
        <v>15</v>
      </c>
      <c r="F41" s="199">
        <f>SUMIF(站前4樓!B:B,B41,站前4樓!F:F)</f>
        <v>5</v>
      </c>
      <c r="G41" s="199">
        <f>SUMIF(站前11樓!B:B,B41,站前11樓!F:F)</f>
        <v>0</v>
      </c>
      <c r="H41" s="199">
        <f>SUMIF(忠孝7樓!B:B,B41,忠孝7樓!G:G)</f>
        <v>17</v>
      </c>
      <c r="I41" s="199">
        <f>SUMIF(忠孝國際醫學3樓!B:B,B41,忠孝國際醫學3樓!G:G)</f>
        <v>0</v>
      </c>
      <c r="J41" s="199">
        <f>SUMIF(忠孝健康7樓!B:B,B41,忠孝健康7樓!G:G)</f>
        <v>20</v>
      </c>
      <c r="K41" s="200">
        <v>0</v>
      </c>
      <c r="L41" s="200">
        <v>0</v>
      </c>
      <c r="M41" s="200">
        <v>0</v>
      </c>
      <c r="N41" s="200">
        <v>0</v>
      </c>
      <c r="O41" s="200">
        <v>0</v>
      </c>
      <c r="P41" s="200">
        <v>0</v>
      </c>
      <c r="Q41" s="200">
        <v>0</v>
      </c>
      <c r="R41" s="200">
        <v>0</v>
      </c>
      <c r="S41" s="200">
        <v>0</v>
      </c>
      <c r="T41" s="200">
        <v>0</v>
      </c>
      <c r="U41" s="200">
        <v>0</v>
      </c>
      <c r="V41" s="200">
        <v>0</v>
      </c>
      <c r="W41" s="200">
        <v>0</v>
      </c>
      <c r="X41" s="200">
        <v>0</v>
      </c>
      <c r="Y41" s="200">
        <v>0</v>
      </c>
      <c r="Z41" s="200">
        <v>0</v>
      </c>
      <c r="AA41" s="200">
        <v>0</v>
      </c>
      <c r="AB41" s="200">
        <v>0</v>
      </c>
      <c r="AC41" s="200">
        <v>0</v>
      </c>
      <c r="AD41" s="200">
        <v>0</v>
      </c>
      <c r="AE41" s="200">
        <v>0</v>
      </c>
      <c r="AF41" s="200">
        <v>0</v>
      </c>
      <c r="AG41" s="200">
        <v>0</v>
      </c>
      <c r="AH41" s="200">
        <v>0</v>
      </c>
      <c r="AI41" s="200">
        <v>0</v>
      </c>
      <c r="AJ41" s="201">
        <v>0</v>
      </c>
      <c r="AK41" s="201">
        <v>0</v>
      </c>
      <c r="AL41" s="201">
        <v>0</v>
      </c>
      <c r="AM41" s="201">
        <v>0</v>
      </c>
      <c r="AN41" s="201">
        <v>0</v>
      </c>
      <c r="AO41" s="201">
        <v>0</v>
      </c>
      <c r="AP41" s="201">
        <v>0</v>
      </c>
      <c r="AQ41" s="201">
        <v>0</v>
      </c>
      <c r="AR41" s="201">
        <v>0</v>
      </c>
      <c r="AS41" s="201">
        <v>0</v>
      </c>
      <c r="AT41" s="202">
        <v>0</v>
      </c>
      <c r="AU41" s="203">
        <v>5.5</v>
      </c>
      <c r="AV41" s="204">
        <f>SUM(AJ41:AU41)</f>
        <v>5.5</v>
      </c>
      <c r="AW41" s="205">
        <f>AV41/12</f>
        <v>0.45833333333333331</v>
      </c>
      <c r="AX41" s="203">
        <v>2</v>
      </c>
      <c r="AY41" s="203">
        <v>5</v>
      </c>
      <c r="AZ41" s="203">
        <v>4</v>
      </c>
      <c r="BA41" s="203">
        <v>18</v>
      </c>
      <c r="BB41" s="203">
        <v>9</v>
      </c>
      <c r="BC41" s="203">
        <f>SUMIFS(領用表!$L:$L,領用表!$A:$A,BC$2,領用表!$E:$E,B41)</f>
        <v>10</v>
      </c>
      <c r="BD41" s="206">
        <f>SUMIFS(領用表!$L:$L,領用表!$E:$E,$B41,領用表!$B:$B,BC$2&amp;BD$2)</f>
        <v>10</v>
      </c>
      <c r="BE41" s="206">
        <f>SUMIFS(領用表!$L:$L,領用表!$E:$E,$B41,領用表!$B:$B,$BC$2&amp;BE$2)</f>
        <v>0</v>
      </c>
      <c r="BF41" s="206">
        <f>SUMIFS(領用表!$L:$L,領用表!$E:$E,$B41,領用表!$B:$B,$BC$2&amp;BF$2)</f>
        <v>0</v>
      </c>
      <c r="BG41" s="206">
        <f>SUMIFS(領用表!$L:$L,領用表!$E:$E,$B41,領用表!$B:$B,$BC$2&amp;BG$2)</f>
        <v>0</v>
      </c>
      <c r="BH41" s="203">
        <f>SUMIFS(領用表!$L:$L,領用表!$A:$A,BH$2,領用表!$E:$E,B41)</f>
        <v>10</v>
      </c>
      <c r="BI41" s="206">
        <f>SUMIFS(領用表!$L:$L,領用表!$E:$E,$B41,領用表!$B:$B,BH$2&amp;BI$2)</f>
        <v>4</v>
      </c>
      <c r="BJ41" s="206">
        <f>SUMIFS(領用表!$L:$L,領用表!$E:$E,$B41,領用表!$B:$B,$BH$2&amp;BJ$2)</f>
        <v>0</v>
      </c>
      <c r="BK41" s="206">
        <f>SUMIFS(領用表!$L:$L,領用表!$E:$E,$B41,領用表!$B:$B,$BH$2&amp;BK$2)</f>
        <v>6</v>
      </c>
      <c r="BL41" s="206">
        <f>SUMIFS(領用表!$L:$L,領用表!$E:$E,$B41,領用表!$B:$B,$BH$2&amp;BL$2)</f>
        <v>0</v>
      </c>
      <c r="BM41" s="203">
        <f>SUMIFS(領用表!$L:$L,領用表!$A:$A,BM$2,領用表!$E:$E,B41)</f>
        <v>17</v>
      </c>
      <c r="BN41" s="206">
        <f>SUMIFS(領用表!$L:$L,領用表!$E:$E,$B41,領用表!$B:$B,BM$2&amp;BN$2)</f>
        <v>7</v>
      </c>
      <c r="BO41" s="206">
        <f>SUMIFS(領用表!$L:$L,領用表!$E:$E,$B41,領用表!$B:$B,$BM$2&amp;BO$2)</f>
        <v>0</v>
      </c>
      <c r="BP41" s="206">
        <f>SUMIFS(領用表!$L:$L,領用表!$E:$E,$B41,領用表!$B:$B,$BM$2&amp;BP$2)</f>
        <v>10</v>
      </c>
      <c r="BQ41" s="206">
        <f>SUMIFS(領用表!$L:$L,領用表!$E:$E,$B41,領用表!$B:$B,$BM$2&amp;BQ$2)</f>
        <v>0</v>
      </c>
      <c r="BR41" s="203">
        <f>SUMIFS(領用表!$L:$L,領用表!$A:$A,BR$2,領用表!$E:$E,B41)</f>
        <v>9</v>
      </c>
      <c r="BS41" s="206">
        <f>SUMIFS(領用表!$L:$L,領用表!$E:$E,$B41,領用表!$B:$B,BR$2&amp;BS$2)</f>
        <v>3</v>
      </c>
      <c r="BT41" s="206">
        <f>SUMIFS(領用表!$L:$L,領用表!$E:$E,$B41,領用表!$B:$B,$BR$2&amp;BT$2)</f>
        <v>0</v>
      </c>
      <c r="BU41" s="206">
        <f>SUMIFS(領用表!$L:$L,領用表!$E:$E,$B41,領用表!$B:$B,$BR$2&amp;BU$2)</f>
        <v>6</v>
      </c>
      <c r="BV41" s="206">
        <f>SUMIFS(領用表!$L:$L,領用表!$E:$E,$B41,領用表!$B:$B,$BR$2&amp;BV$2)</f>
        <v>0</v>
      </c>
      <c r="BW41" s="208">
        <f>SUMIFS(領用表!$L:$L,領用表!$A:$A,BW$2,領用表!$E:$E,B41)</f>
        <v>9</v>
      </c>
      <c r="BX41" s="206">
        <f>SUMIFS(領用表!$L:$L,領用表!$E:$E,$B41,領用表!$B:$B,BW$2&amp;BX$2)</f>
        <v>4</v>
      </c>
      <c r="BY41" s="206">
        <f>SUMIFS(領用表!$L:$L,領用表!$E:$E,$B41,領用表!$B:$B,$BW$2&amp;BY$2)</f>
        <v>0</v>
      </c>
      <c r="BZ41" s="206">
        <f>SUMIFS(領用表!$L:$L,領用表!$E:$E,$B41,領用表!$B:$B,$BW$2&amp;BZ$2)</f>
        <v>5</v>
      </c>
      <c r="CA41" s="206">
        <f>SUMIFS(領用表!$L:$L,領用表!$E:$E,$B41,領用表!$B:$B,$BW$2&amp;CA$2)</f>
        <v>0</v>
      </c>
      <c r="CB41" s="208">
        <f>SUMIFS(領用表!$L:$L,領用表!$A:$A,CB$2,領用表!$E:$E,B41)</f>
        <v>14</v>
      </c>
      <c r="CC41" s="206">
        <f>SUMIFS(領用表!$L:$L,領用表!$E:$E,$B41,領用表!$B:$B,CB$2&amp;CC$2)</f>
        <v>2</v>
      </c>
      <c r="CD41" s="206">
        <f>SUMIFS(領用表!$L:$L,領用表!$E:$E,$B41,領用表!$B:$B,$CB$2&amp;CD$2)</f>
        <v>0</v>
      </c>
      <c r="CE41" s="206">
        <f>SUMIFS(領用表!$L:$L,領用表!$E:$E,$B41,領用表!$B:$B,$CB$2&amp;CE$2)</f>
        <v>12</v>
      </c>
      <c r="CF41" s="206">
        <f>SUMIFS(領用表!$L:$L,領用表!$E:$E,$B41,領用表!$B:$B,$CB$2&amp;CF$2)</f>
        <v>0</v>
      </c>
      <c r="CG41" s="208">
        <f>SUMIFS(領用表!$L:$L,領用表!$A:$A,CG$2,領用表!$E:$E,B41)</f>
        <v>10</v>
      </c>
      <c r="CH41" s="206">
        <f>SUMIFS(領用表!$L:$L,領用表!$E:$E,$B41,領用表!$B:$B,CG$2&amp;CH$2)</f>
        <v>5</v>
      </c>
      <c r="CI41" s="206">
        <f>SUMIFS(領用表!$L:$L,領用表!$E:$E,$B41,領用表!$B:$B,CG$2&amp;CI$2)</f>
        <v>0</v>
      </c>
      <c r="CJ41" s="206">
        <f>SUMIFS(領用表!$L:$L,領用表!$E:$E,$B41,領用表!$B:$B,CG$2&amp;CJ$2)</f>
        <v>5</v>
      </c>
      <c r="CK41" s="206">
        <f>SUMIFS(領用表!$L:$L,領用表!$E:$E,$B41,領用表!$B:$B,$CG$2&amp;CK$2)</f>
        <v>0</v>
      </c>
      <c r="CL41" s="207">
        <f t="shared" ref="CL41:CL70" si="16">SUM(AX41,AY41,AZ41,BA41,BB41,BC41,BH41,BM41,BR41,BW41,CB41,CG41)</f>
        <v>117</v>
      </c>
      <c r="CM41" s="207">
        <f t="shared" ref="CM41:CM70" si="17">AVERAGE(AX41,AY41,AZ41,BA41,BB41,BC41,BH41,BM41,BR41,BW41,CB41,CG41)</f>
        <v>9.75</v>
      </c>
      <c r="CN41" s="208">
        <f>SUMIFS(領用表!$L:$L,領用表!$A:$A,CN$2,領用表!$E:$E,B41)</f>
        <v>21</v>
      </c>
      <c r="CO41" s="206">
        <f>SUMIFS(領用表!$L:$L,領用表!$E:$E,$B41,領用表!$B:$B,CN$2&amp;CO$2)</f>
        <v>1</v>
      </c>
      <c r="CP41" s="206">
        <f>SUMIFS(領用表!$L:$L,領用表!$E:$E,$B41,領用表!$B:$B,$CN$2&amp;CP$2)</f>
        <v>0</v>
      </c>
      <c r="CQ41" s="206">
        <f>SUMIFS(領用表!$L:$L,領用表!$E:$E,$B41,領用表!$B:$B,$CN$2&amp;CQ$2)</f>
        <v>20</v>
      </c>
      <c r="CR41" s="206">
        <f>SUMIFS(領用表!$L:$L,領用表!$E:$E,$B41,領用表!$B:$B,$CN$2&amp;CR$2)</f>
        <v>0</v>
      </c>
      <c r="CS41" s="208">
        <f>SUMIFS(領用表!$L:$L,領用表!$A:$A,CS$2,領用表!$E:$E,B41)</f>
        <v>12</v>
      </c>
      <c r="CT41" s="206">
        <f>SUMIFS(領用表!$L:$L,領用表!$E:$E,$B41,領用表!$B:$B,CS$2&amp;CT$2)</f>
        <v>5</v>
      </c>
      <c r="CU41" s="206">
        <f>SUMIFS(領用表!$L:$L,領用表!$E:$E,$B41,領用表!$B:$B,$CS$2&amp;CU$2)</f>
        <v>0</v>
      </c>
      <c r="CV41" s="206">
        <f>SUMIFS(領用表!$L:$L,領用表!$E:$E,$B41,領用表!$B:$B,$CS$2&amp;CV$2)</f>
        <v>7</v>
      </c>
      <c r="CW41" s="206">
        <f>SUMIFS(領用表!$L:$L,領用表!$E:$E,$B41,領用表!$B:$B,$CS$2&amp;CW$2)</f>
        <v>0</v>
      </c>
      <c r="CX41" s="206">
        <f>SUMIFS(領用表!$L:$L,領用表!$E:$E,$B41,領用表!$B:$B,$CS$2&amp;CX$2)</f>
        <v>0</v>
      </c>
      <c r="CY41" s="208">
        <f>SUMIFS(領用表!$L:$L,領用表!$A:$A,CY$2,領用表!$E:$E,B41)</f>
        <v>9</v>
      </c>
      <c r="CZ41" s="206">
        <f>SUMIFS(領用表!$L:$L,領用表!$E:$E,$B41,領用表!$B:$B,CY$2&amp;CZ$2)</f>
        <v>4</v>
      </c>
      <c r="DA41" s="206">
        <f>SUMIFS(領用表!$L:$L,領用表!$E:$E,$B41,領用表!$B:$B,$CY$2&amp;DA$2)</f>
        <v>0</v>
      </c>
      <c r="DB41" s="206">
        <f>SUMIFS(領用表!$L:$L,領用表!$E:$E,$B41,領用表!$B:$B,$CY$2&amp;DB$2)</f>
        <v>4</v>
      </c>
      <c r="DC41" s="206">
        <f>SUMIFS(領用表!$L:$L,領用表!$E:$E,$B41,領用表!$B:$B,$CY$2&amp;DC$2)</f>
        <v>0</v>
      </c>
      <c r="DD41" s="206">
        <f>SUMIFS(領用表!$L:$L,領用表!$E:$E,$B41,領用表!$B:$B,$CY$2&amp;DD$2)</f>
        <v>1</v>
      </c>
      <c r="DE41" s="208">
        <f>SUMIFS(領用表!$L:$L,領用表!$A:$A,DE$2,領用表!$E:$E,B41)</f>
        <v>4</v>
      </c>
      <c r="DF41" s="206">
        <f>SUMIFS(領用表!$L:$L,領用表!$E:$E,$B41,領用表!$B:$B,DE$2&amp;DF$2)</f>
        <v>0</v>
      </c>
      <c r="DG41" s="206">
        <f>SUMIFS(領用表!$L:$L,領用表!$E:$E,$B41,領用表!$B:$B,$DE$2&amp;DG$2)</f>
        <v>0</v>
      </c>
      <c r="DH41" s="206">
        <f>SUMIFS(領用表!$L:$L,領用表!$E:$E,$B41,領用表!$B:$B,$DE$2&amp;DH$2)</f>
        <v>3</v>
      </c>
      <c r="DI41" s="206">
        <f>SUMIFS(領用表!$L:$L,領用表!$E:$E,$B41,領用表!$B:$B,$DE$2&amp;DI$2)</f>
        <v>0</v>
      </c>
      <c r="DJ41" s="206">
        <f>SUMIFS(領用表!$L:$L,領用表!$E:$E,$B41,領用表!$B:$B,$DE$2&amp;DJ$2)</f>
        <v>1</v>
      </c>
      <c r="DK41" s="208">
        <f>SUMIFS(領用表!$L:$L,領用表!$A:$A,DK$2,領用表!$E:$E,$B41)</f>
        <v>11</v>
      </c>
      <c r="DL41" s="206">
        <f>SUMIFS(領用表!$L:$L,領用表!$E:$E,$B41,領用表!$B:$B,DK$2&amp;DL$2)</f>
        <v>0</v>
      </c>
      <c r="DM41" s="206">
        <f>SUMIFS(領用表!$L:$L,領用表!$E:$E,$B41,領用表!$B:$B,$DK$2&amp;DM$2)</f>
        <v>0</v>
      </c>
      <c r="DN41" s="206">
        <f>SUMIFS(領用表!$L:$L,領用表!$E:$E,$B41,領用表!$B:$B,$DK$2&amp;DN$2)</f>
        <v>7</v>
      </c>
      <c r="DO41" s="206">
        <f>SUMIFS(領用表!$L:$L,領用表!$E:$E,$B41,領用表!$B:$B,$DK$2&amp;DO$2)</f>
        <v>0</v>
      </c>
      <c r="DP41" s="206">
        <f>SUMIFS(領用表!$L:$L,領用表!$E:$E,$B41,領用表!$B:$B,$DK$2&amp;DP$2)</f>
        <v>4</v>
      </c>
      <c r="DQ41" s="206">
        <f t="shared" si="14"/>
        <v>57</v>
      </c>
      <c r="DR41" s="206">
        <f t="shared" si="15"/>
        <v>11.4</v>
      </c>
      <c r="DS41" s="206">
        <f t="shared" si="6"/>
        <v>20</v>
      </c>
      <c r="DT41" s="206">
        <v>5</v>
      </c>
      <c r="DU41" s="206">
        <v>0</v>
      </c>
      <c r="DV41" s="206">
        <v>15</v>
      </c>
      <c r="DW41" s="206">
        <v>0</v>
      </c>
      <c r="DX41" s="215">
        <v>15</v>
      </c>
      <c r="DY41" s="466"/>
      <c r="DZ41" s="211"/>
      <c r="EA41" s="211"/>
      <c r="EB41" s="136"/>
      <c r="EC41" s="212"/>
      <c r="ED41" s="118">
        <f>IFERROR(VLOOKUP(A41,站前4樓!A:BF,57,0),0)</f>
        <v>2</v>
      </c>
      <c r="EE41" s="213">
        <f>IFERROR(VLOOKUP(A41,站前11樓!A:BE,57,0),0)</f>
        <v>0</v>
      </c>
      <c r="EF41" s="118">
        <f>IFERROR(VLOOKUP(A41,忠孝7樓!A:N,57,0),0)</f>
        <v>0</v>
      </c>
      <c r="EG41" s="118">
        <f>IFERROR(VLOOKUP(A41,忠孝國際醫學3樓!A:L,57,0),0)</f>
        <v>0</v>
      </c>
      <c r="EH41" s="118">
        <f t="shared" si="7"/>
        <v>2</v>
      </c>
      <c r="EJ41" s="118">
        <v>5</v>
      </c>
      <c r="EK41" s="118">
        <v>38</v>
      </c>
    </row>
    <row r="42" spans="1:141" s="118" customFormat="1" ht="15">
      <c r="A42" s="136" t="s">
        <v>68</v>
      </c>
      <c r="B42" s="118">
        <v>6160002</v>
      </c>
      <c r="C42" s="118" t="s">
        <v>612</v>
      </c>
      <c r="D42" s="197">
        <v>2</v>
      </c>
      <c r="E42" s="198" t="s">
        <v>15</v>
      </c>
      <c r="F42" s="199">
        <f>SUMIF(站前4樓!B:B,B42,站前4樓!F:F)</f>
        <v>50</v>
      </c>
      <c r="G42" s="199">
        <f>SUMIF(站前11樓!B:B,B42,站前11樓!F:F)</f>
        <v>0</v>
      </c>
      <c r="H42" s="199">
        <f>SUMIF(忠孝7樓!B:B,B42,忠孝7樓!G:G)</f>
        <v>33</v>
      </c>
      <c r="I42" s="199">
        <f>SUMIF(忠孝國際醫學3樓!B:B,B42,忠孝國際醫學3樓!G:G)</f>
        <v>0</v>
      </c>
      <c r="J42" s="199">
        <f>SUMIF(忠孝健康7樓!B:B,B42,忠孝健康7樓!G:G)</f>
        <v>2</v>
      </c>
      <c r="K42" s="200">
        <v>1</v>
      </c>
      <c r="L42" s="200">
        <v>2</v>
      </c>
      <c r="M42" s="200">
        <v>0</v>
      </c>
      <c r="N42" s="200">
        <v>1</v>
      </c>
      <c r="O42" s="200">
        <v>0</v>
      </c>
      <c r="P42" s="200">
        <v>1.5</v>
      </c>
      <c r="Q42" s="200">
        <v>0.5</v>
      </c>
      <c r="R42" s="200">
        <v>0.5</v>
      </c>
      <c r="S42" s="200">
        <v>4.5</v>
      </c>
      <c r="T42" s="200">
        <v>6.5</v>
      </c>
      <c r="U42" s="200">
        <v>3.5</v>
      </c>
      <c r="V42" s="200">
        <v>7</v>
      </c>
      <c r="W42" s="200">
        <v>3.5</v>
      </c>
      <c r="X42" s="200">
        <v>18</v>
      </c>
      <c r="Y42" s="200">
        <v>9.5</v>
      </c>
      <c r="Z42" s="200">
        <v>18</v>
      </c>
      <c r="AA42" s="200">
        <v>17</v>
      </c>
      <c r="AB42" s="200">
        <v>14</v>
      </c>
      <c r="AC42" s="200">
        <v>4</v>
      </c>
      <c r="AD42" s="200">
        <v>22.5</v>
      </c>
      <c r="AE42" s="200">
        <v>23.5</v>
      </c>
      <c r="AF42" s="200">
        <v>13</v>
      </c>
      <c r="AG42" s="200">
        <v>13.5</v>
      </c>
      <c r="AH42" s="200">
        <v>21</v>
      </c>
      <c r="AI42" s="200">
        <v>16.5</v>
      </c>
      <c r="AJ42" s="201">
        <v>41</v>
      </c>
      <c r="AK42" s="201">
        <v>10.5</v>
      </c>
      <c r="AL42" s="201">
        <v>16</v>
      </c>
      <c r="AM42" s="201">
        <v>17.5</v>
      </c>
      <c r="AN42" s="201">
        <v>11.5</v>
      </c>
      <c r="AO42" s="201">
        <v>27</v>
      </c>
      <c r="AP42" s="201">
        <v>16.5</v>
      </c>
      <c r="AQ42" s="201">
        <v>69</v>
      </c>
      <c r="AR42" s="201">
        <v>37</v>
      </c>
      <c r="AS42" s="201">
        <v>22</v>
      </c>
      <c r="AT42" s="202">
        <v>33.5</v>
      </c>
      <c r="AU42" s="203">
        <v>81</v>
      </c>
      <c r="AV42" s="204">
        <f>SUM(AJ42:AU42)</f>
        <v>382.5</v>
      </c>
      <c r="AW42" s="205">
        <f>AV42/12</f>
        <v>31.875</v>
      </c>
      <c r="AX42" s="203">
        <v>83</v>
      </c>
      <c r="AY42" s="203">
        <v>92</v>
      </c>
      <c r="AZ42" s="203">
        <v>76</v>
      </c>
      <c r="BA42" s="214">
        <v>106</v>
      </c>
      <c r="BB42" s="203">
        <v>106</v>
      </c>
      <c r="BC42" s="203">
        <f>SUMIFS(領用表!$L:$L,領用表!$A:$A,BC$2,領用表!$E:$E,B42)</f>
        <v>78</v>
      </c>
      <c r="BD42" s="206">
        <f>SUMIFS(領用表!$L:$L,領用表!$E:$E,$B42,領用表!$B:$B,BC$2&amp;BD$2)</f>
        <v>78</v>
      </c>
      <c r="BE42" s="206">
        <f>SUMIFS(領用表!$L:$L,領用表!$E:$E,$B42,領用表!$B:$B,$BC$2&amp;BE$2)</f>
        <v>0</v>
      </c>
      <c r="BF42" s="206">
        <f>SUMIFS(領用表!$L:$L,領用表!$E:$E,$B42,領用表!$B:$B,$BC$2&amp;BF$2)</f>
        <v>0</v>
      </c>
      <c r="BG42" s="206">
        <f>SUMIFS(領用表!$L:$L,領用表!$E:$E,$B42,領用表!$B:$B,$BC$2&amp;BG$2)</f>
        <v>0</v>
      </c>
      <c r="BH42" s="203">
        <f>SUMIFS(領用表!$L:$L,領用表!$A:$A,BH$2,領用表!$E:$E,B42)</f>
        <v>153</v>
      </c>
      <c r="BI42" s="206">
        <f>SUMIFS(領用表!$L:$L,領用表!$E:$E,$B42,領用表!$B:$B,BH$2&amp;BI$2)</f>
        <v>58</v>
      </c>
      <c r="BJ42" s="206">
        <f>SUMIFS(領用表!$L:$L,領用表!$E:$E,$B42,領用表!$B:$B,$BH$2&amp;BJ$2)</f>
        <v>0</v>
      </c>
      <c r="BK42" s="206">
        <f>SUMIFS(領用表!$L:$L,領用表!$E:$E,$B42,領用表!$B:$B,$BH$2&amp;BK$2)</f>
        <v>95</v>
      </c>
      <c r="BL42" s="206">
        <f>SUMIFS(領用表!$L:$L,領用表!$E:$E,$B42,領用表!$B:$B,$BH$2&amp;BL$2)</f>
        <v>0</v>
      </c>
      <c r="BM42" s="203">
        <f>SUMIFS(領用表!$L:$L,領用表!$A:$A,BM$2,領用表!$E:$E,B42)</f>
        <v>185</v>
      </c>
      <c r="BN42" s="206">
        <f>SUMIFS(領用表!$L:$L,領用表!$E:$E,$B42,領用表!$B:$B,BM$2&amp;BN$2)</f>
        <v>83</v>
      </c>
      <c r="BO42" s="206">
        <f>SUMIFS(領用表!$L:$L,領用表!$E:$E,$B42,領用表!$B:$B,$BM$2&amp;BO$2)</f>
        <v>0</v>
      </c>
      <c r="BP42" s="206">
        <f>SUMIFS(領用表!$L:$L,領用表!$E:$E,$B42,領用表!$B:$B,$BM$2&amp;BP$2)</f>
        <v>102</v>
      </c>
      <c r="BQ42" s="206">
        <f>SUMIFS(領用表!$L:$L,領用表!$E:$E,$B42,領用表!$B:$B,$BM$2&amp;BQ$2)</f>
        <v>0</v>
      </c>
      <c r="BR42" s="203">
        <f>SUMIFS(領用表!$L:$L,領用表!$A:$A,BR$2,領用表!$E:$E,B42)</f>
        <v>140</v>
      </c>
      <c r="BS42" s="206">
        <f>SUMIFS(領用表!$L:$L,領用表!$E:$E,$B42,領用表!$B:$B,BR$2&amp;BS$2)</f>
        <v>53</v>
      </c>
      <c r="BT42" s="206">
        <f>SUMIFS(領用表!$L:$L,領用表!$E:$E,$B42,領用表!$B:$B,$BR$2&amp;BT$2)</f>
        <v>0</v>
      </c>
      <c r="BU42" s="206">
        <f>SUMIFS(領用表!$L:$L,領用表!$E:$E,$B42,領用表!$B:$B,$BR$2&amp;BU$2)</f>
        <v>87</v>
      </c>
      <c r="BV42" s="206">
        <f>SUMIFS(領用表!$L:$L,領用表!$E:$E,$B42,領用表!$B:$B,$BR$2&amp;BV$2)</f>
        <v>0</v>
      </c>
      <c r="BW42" s="208">
        <f>SUMIFS(領用表!$L:$L,領用表!$A:$A,BW$2,領用表!$E:$E,B42)</f>
        <v>159</v>
      </c>
      <c r="BX42" s="206">
        <f>SUMIFS(領用表!$L:$L,領用表!$E:$E,$B42,領用表!$B:$B,BW$2&amp;BX$2)</f>
        <v>78</v>
      </c>
      <c r="BY42" s="206">
        <f>SUMIFS(領用表!$L:$L,領用表!$E:$E,$B42,領用表!$B:$B,$BW$2&amp;BY$2)</f>
        <v>0</v>
      </c>
      <c r="BZ42" s="206">
        <f>SUMIFS(領用表!$L:$L,領用表!$E:$E,$B42,領用表!$B:$B,$BW$2&amp;BZ$2)</f>
        <v>81</v>
      </c>
      <c r="CA42" s="206">
        <f>SUMIFS(領用表!$L:$L,領用表!$E:$E,$B42,領用表!$B:$B,$BW$2&amp;CA$2)</f>
        <v>0</v>
      </c>
      <c r="CB42" s="208">
        <f>SUMIFS(領用表!$L:$L,領用表!$A:$A,CB$2,領用表!$E:$E,B42)</f>
        <v>93</v>
      </c>
      <c r="CC42" s="206">
        <f>SUMIFS(領用表!$L:$L,領用表!$E:$E,$B42,領用表!$B:$B,CB$2&amp;CC$2)</f>
        <v>48</v>
      </c>
      <c r="CD42" s="206">
        <f>SUMIFS(領用表!$L:$L,領用表!$E:$E,$B42,領用表!$B:$B,$CB$2&amp;CD$2)</f>
        <v>0</v>
      </c>
      <c r="CE42" s="206">
        <f>SUMIFS(領用表!$L:$L,領用表!$E:$E,$B42,領用表!$B:$B,$CB$2&amp;CE$2)</f>
        <v>45</v>
      </c>
      <c r="CF42" s="206">
        <f>SUMIFS(領用表!$L:$L,領用表!$E:$E,$B42,領用表!$B:$B,$CB$2&amp;CF$2)</f>
        <v>0</v>
      </c>
      <c r="CG42" s="208">
        <f>SUMIFS(領用表!$L:$L,領用表!$A:$A,CG$2,領用表!$E:$E,B42)</f>
        <v>123</v>
      </c>
      <c r="CH42" s="206">
        <f>SUMIFS(領用表!$L:$L,領用表!$E:$E,$B42,領用表!$B:$B,CG$2&amp;CH$2)</f>
        <v>58</v>
      </c>
      <c r="CI42" s="206">
        <f>SUMIFS(領用表!$L:$L,領用表!$E:$E,$B42,領用表!$B:$B,CG$2&amp;CI$2)</f>
        <v>0</v>
      </c>
      <c r="CJ42" s="206">
        <f>SUMIFS(領用表!$L:$L,領用表!$E:$E,$B42,領用表!$B:$B,CG$2&amp;CJ$2)</f>
        <v>65</v>
      </c>
      <c r="CK42" s="206">
        <f>SUMIFS(領用表!$L:$L,領用表!$E:$E,$B42,領用表!$B:$B,$CG$2&amp;CK$2)</f>
        <v>0</v>
      </c>
      <c r="CL42" s="207">
        <f t="shared" si="16"/>
        <v>1394</v>
      </c>
      <c r="CM42" s="207">
        <f t="shared" si="17"/>
        <v>116.16666666666667</v>
      </c>
      <c r="CN42" s="208">
        <f>SUMIFS(領用表!$L:$L,領用表!$A:$A,CN$2,領用表!$E:$E,B42)</f>
        <v>161</v>
      </c>
      <c r="CO42" s="206">
        <f>SUMIFS(領用表!$L:$L,領用表!$E:$E,$B42,領用表!$B:$B,CN$2&amp;CO$2)</f>
        <v>69</v>
      </c>
      <c r="CP42" s="206">
        <f>SUMIFS(領用表!$L:$L,領用表!$E:$E,$B42,領用表!$B:$B,$CN$2&amp;CP$2)</f>
        <v>0</v>
      </c>
      <c r="CQ42" s="206">
        <f>SUMIFS(領用表!$L:$L,領用表!$E:$E,$B42,領用表!$B:$B,$CN$2&amp;CQ$2)</f>
        <v>92</v>
      </c>
      <c r="CR42" s="206">
        <f>SUMIFS(領用表!$L:$L,領用表!$E:$E,$B42,領用表!$B:$B,$CN$2&amp;CR$2)</f>
        <v>0</v>
      </c>
      <c r="CS42" s="208">
        <f>SUMIFS(領用表!$L:$L,領用表!$A:$A,CS$2,領用表!$E:$E,B42)</f>
        <v>130</v>
      </c>
      <c r="CT42" s="206">
        <f>SUMIFS(領用表!$L:$L,領用表!$E:$E,$B42,領用表!$B:$B,CS$2&amp;CT$2)</f>
        <v>82</v>
      </c>
      <c r="CU42" s="206">
        <f>SUMIFS(領用表!$L:$L,領用表!$E:$E,$B42,領用表!$B:$B,$CS$2&amp;CU$2)</f>
        <v>0</v>
      </c>
      <c r="CV42" s="206">
        <f>SUMIFS(領用表!$L:$L,領用表!$E:$E,$B42,領用表!$B:$B,$CS$2&amp;CV$2)</f>
        <v>44</v>
      </c>
      <c r="CW42" s="206">
        <f>SUMIFS(領用表!$L:$L,領用表!$E:$E,$B42,領用表!$B:$B,$CS$2&amp;CW$2)</f>
        <v>0</v>
      </c>
      <c r="CX42" s="206">
        <f>SUMIFS(領用表!$L:$L,領用表!$E:$E,$B42,領用表!$B:$B,$CS$2&amp;CX$2)</f>
        <v>4</v>
      </c>
      <c r="CY42" s="208">
        <f>SUMIFS(領用表!$L:$L,領用表!$A:$A,CY$2,領用表!$E:$E,B42)</f>
        <v>129</v>
      </c>
      <c r="CZ42" s="206">
        <f>SUMIFS(領用表!$L:$L,領用表!$E:$E,$B42,領用表!$B:$B,CY$2&amp;CZ$2)</f>
        <v>43</v>
      </c>
      <c r="DA42" s="206">
        <f>SUMIFS(領用表!$L:$L,領用表!$E:$E,$B42,領用表!$B:$B,$CY$2&amp;DA$2)</f>
        <v>0</v>
      </c>
      <c r="DB42" s="206">
        <f>SUMIFS(領用表!$L:$L,領用表!$E:$E,$B42,領用表!$B:$B,$CY$2&amp;DB$2)</f>
        <v>65</v>
      </c>
      <c r="DC42" s="206">
        <f>SUMIFS(領用表!$L:$L,領用表!$E:$E,$B42,領用表!$B:$B,$CY$2&amp;DC$2)</f>
        <v>0</v>
      </c>
      <c r="DD42" s="206">
        <f>SUMIFS(領用表!$L:$L,領用表!$E:$E,$B42,領用表!$B:$B,$CY$2&amp;DD$2)</f>
        <v>21</v>
      </c>
      <c r="DE42" s="208">
        <f>SUMIFS(領用表!$L:$L,領用表!$A:$A,DE$2,領用表!$E:$E,B42)</f>
        <v>142</v>
      </c>
      <c r="DF42" s="206">
        <f>SUMIFS(領用表!$L:$L,領用表!$E:$E,$B42,領用表!$B:$B,DE$2&amp;DF$2)</f>
        <v>88</v>
      </c>
      <c r="DG42" s="206">
        <f>SUMIFS(領用表!$L:$L,領用表!$E:$E,$B42,領用表!$B:$B,$DE$2&amp;DG$2)</f>
        <v>0</v>
      </c>
      <c r="DH42" s="206">
        <f>SUMIFS(領用表!$L:$L,領用表!$E:$E,$B42,領用表!$B:$B,$DE$2&amp;DH$2)</f>
        <v>32</v>
      </c>
      <c r="DI42" s="206">
        <f>SUMIFS(領用表!$L:$L,領用表!$E:$E,$B42,領用表!$B:$B,$DE$2&amp;DI$2)</f>
        <v>0</v>
      </c>
      <c r="DJ42" s="206">
        <f>SUMIFS(領用表!$L:$L,領用表!$E:$E,$B42,領用表!$B:$B,$DE$2&amp;DJ$2)</f>
        <v>22</v>
      </c>
      <c r="DK42" s="208">
        <f>SUMIFS(領用表!$L:$L,領用表!$A:$A,DK$2,領用表!$E:$E,$B42)</f>
        <v>149</v>
      </c>
      <c r="DL42" s="206">
        <f>SUMIFS(領用表!$L:$L,領用表!$E:$E,$B42,領用表!$B:$B,DK$2&amp;DL$2)</f>
        <v>69</v>
      </c>
      <c r="DM42" s="206">
        <f>SUMIFS(領用表!$L:$L,領用表!$E:$E,$B42,領用表!$B:$B,$DK$2&amp;DM$2)</f>
        <v>0</v>
      </c>
      <c r="DN42" s="206">
        <f>SUMIFS(領用表!$L:$L,領用表!$E:$E,$B42,領用表!$B:$B,$DK$2&amp;DN$2)</f>
        <v>44</v>
      </c>
      <c r="DO42" s="206">
        <f>SUMIFS(領用表!$L:$L,領用表!$E:$E,$B42,領用表!$B:$B,$DK$2&amp;DO$2)</f>
        <v>0</v>
      </c>
      <c r="DP42" s="206">
        <f>SUMIFS(領用表!$L:$L,領用表!$E:$E,$B42,領用表!$B:$B,$DK$2&amp;DP$2)</f>
        <v>36</v>
      </c>
      <c r="DQ42" s="206">
        <f t="shared" si="14"/>
        <v>711</v>
      </c>
      <c r="DR42" s="206">
        <f t="shared" si="15"/>
        <v>142.19999999999999</v>
      </c>
      <c r="DS42" s="206">
        <f t="shared" si="6"/>
        <v>150</v>
      </c>
      <c r="DT42" s="206">
        <v>70</v>
      </c>
      <c r="DU42" s="206">
        <v>0</v>
      </c>
      <c r="DV42" s="206">
        <v>80</v>
      </c>
      <c r="DW42" s="206">
        <v>0</v>
      </c>
      <c r="DX42" s="215">
        <v>100</v>
      </c>
      <c r="DY42" s="210"/>
      <c r="DZ42" s="211" t="s">
        <v>797</v>
      </c>
      <c r="EA42" s="211" t="s">
        <v>798</v>
      </c>
      <c r="EB42" s="136"/>
      <c r="EC42" s="212"/>
      <c r="ED42" s="118">
        <f>IFERROR(VLOOKUP(A42,站前4樓!A:BF,57,0),0)</f>
        <v>48</v>
      </c>
      <c r="EE42" s="213">
        <f>IFERROR(VLOOKUP(A42,站前11樓!A:BE,57,0),0)</f>
        <v>0</v>
      </c>
      <c r="EF42" s="118">
        <f>IFERROR(VLOOKUP(A42,忠孝7樓!A:N,57,0),0)</f>
        <v>0</v>
      </c>
      <c r="EG42" s="118">
        <f>IFERROR(VLOOKUP(A42,忠孝國際醫學3樓!A:L,57,0),0)</f>
        <v>0</v>
      </c>
      <c r="EH42" s="118">
        <f t="shared" si="7"/>
        <v>48</v>
      </c>
      <c r="EJ42" s="118">
        <v>111</v>
      </c>
      <c r="EK42" s="118">
        <v>49</v>
      </c>
    </row>
    <row r="43" spans="1:141" s="118" customFormat="1" ht="15" customHeight="1">
      <c r="A43" s="136" t="s">
        <v>71</v>
      </c>
      <c r="B43" s="118">
        <v>6160003</v>
      </c>
      <c r="C43" s="118" t="s">
        <v>613</v>
      </c>
      <c r="D43" s="197">
        <v>2</v>
      </c>
      <c r="E43" s="198" t="s">
        <v>15</v>
      </c>
      <c r="F43" s="199">
        <f>SUMIF(站前4樓!B:B,B43,站前4樓!F:F)</f>
        <v>10</v>
      </c>
      <c r="G43" s="199">
        <f>SUMIF(站前11樓!B:B,B43,站前11樓!F:F)</f>
        <v>0</v>
      </c>
      <c r="H43" s="199">
        <f>SUMIF(忠孝7樓!B:B,B43,忠孝7樓!G:G)</f>
        <v>2</v>
      </c>
      <c r="I43" s="199">
        <f>SUMIF(忠孝國際醫學3樓!B:B,B43,忠孝國際醫學3樓!G:G)</f>
        <v>0</v>
      </c>
      <c r="J43" s="199">
        <f>SUMIF(忠孝健康7樓!B:B,B43,忠孝健康7樓!G:G)</f>
        <v>12</v>
      </c>
      <c r="K43" s="251">
        <v>0.5</v>
      </c>
      <c r="L43" s="251">
        <v>0</v>
      </c>
      <c r="M43" s="251">
        <v>0</v>
      </c>
      <c r="N43" s="251">
        <v>0</v>
      </c>
      <c r="O43" s="251">
        <v>0</v>
      </c>
      <c r="P43" s="251">
        <v>0</v>
      </c>
      <c r="Q43" s="251">
        <v>1</v>
      </c>
      <c r="R43" s="251">
        <v>0</v>
      </c>
      <c r="S43" s="251">
        <v>1</v>
      </c>
      <c r="T43" s="251">
        <v>0</v>
      </c>
      <c r="U43" s="251">
        <v>0</v>
      </c>
      <c r="V43" s="251">
        <v>0</v>
      </c>
      <c r="W43" s="251">
        <v>0</v>
      </c>
      <c r="X43" s="251">
        <v>1</v>
      </c>
      <c r="Y43" s="251">
        <v>3.5</v>
      </c>
      <c r="Z43" s="251">
        <v>5.5</v>
      </c>
      <c r="AA43" s="251">
        <v>4</v>
      </c>
      <c r="AB43" s="251">
        <v>2</v>
      </c>
      <c r="AC43" s="251">
        <v>0</v>
      </c>
      <c r="AD43" s="251">
        <v>2</v>
      </c>
      <c r="AE43" s="251">
        <v>0</v>
      </c>
      <c r="AF43" s="251">
        <v>0</v>
      </c>
      <c r="AG43" s="251">
        <v>1.5</v>
      </c>
      <c r="AH43" s="251">
        <v>1</v>
      </c>
      <c r="AI43" s="251">
        <v>0</v>
      </c>
      <c r="AJ43" s="252">
        <v>4.5</v>
      </c>
      <c r="AK43" s="252">
        <v>0</v>
      </c>
      <c r="AL43" s="252">
        <v>4</v>
      </c>
      <c r="AM43" s="252">
        <v>3</v>
      </c>
      <c r="AN43" s="252">
        <v>6</v>
      </c>
      <c r="AO43" s="252">
        <v>2</v>
      </c>
      <c r="AP43" s="252">
        <v>9</v>
      </c>
      <c r="AQ43" s="252">
        <v>17</v>
      </c>
      <c r="AR43" s="252">
        <v>10.5</v>
      </c>
      <c r="AS43" s="252">
        <v>4.5</v>
      </c>
      <c r="AT43" s="253">
        <v>6</v>
      </c>
      <c r="AU43" s="254">
        <v>28</v>
      </c>
      <c r="AV43" s="204">
        <f>SUM(AJ43:AU43)</f>
        <v>94.5</v>
      </c>
      <c r="AW43" s="205">
        <f>AV43/12</f>
        <v>7.875</v>
      </c>
      <c r="AX43" s="203">
        <v>3</v>
      </c>
      <c r="AY43" s="203">
        <v>6</v>
      </c>
      <c r="AZ43" s="203">
        <v>16</v>
      </c>
      <c r="BA43" s="203">
        <v>12</v>
      </c>
      <c r="BB43" s="203">
        <v>9</v>
      </c>
      <c r="BC43" s="203">
        <f>SUMIFS(領用表!$L:$L,領用表!$A:$A,BC$2,領用表!$E:$E,B43)</f>
        <v>11</v>
      </c>
      <c r="BD43" s="206">
        <f>SUMIFS(領用表!$L:$L,領用表!$E:$E,$B43,領用表!$B:$B,BC$2&amp;BD$2)</f>
        <v>11</v>
      </c>
      <c r="BE43" s="206">
        <f>SUMIFS(領用表!$L:$L,領用表!$E:$E,$B43,領用表!$B:$B,$BC$2&amp;BE$2)</f>
        <v>0</v>
      </c>
      <c r="BF43" s="206">
        <f>SUMIFS(領用表!$L:$L,領用表!$E:$E,$B43,領用表!$B:$B,$BC$2&amp;BF$2)</f>
        <v>0</v>
      </c>
      <c r="BG43" s="206">
        <f>SUMIFS(領用表!$L:$L,領用表!$E:$E,$B43,領用表!$B:$B,$BC$2&amp;BG$2)</f>
        <v>0</v>
      </c>
      <c r="BH43" s="203">
        <f>SUMIFS(領用表!$L:$L,領用表!$A:$A,BH$2,領用表!$E:$E,B43)</f>
        <v>28</v>
      </c>
      <c r="BI43" s="206">
        <f>SUMIFS(領用表!$L:$L,領用表!$E:$E,$B43,領用表!$B:$B,BH$2&amp;BI$2)</f>
        <v>4</v>
      </c>
      <c r="BJ43" s="206">
        <f>SUMIFS(領用表!$L:$L,領用表!$E:$E,$B43,領用表!$B:$B,$BH$2&amp;BJ$2)</f>
        <v>0</v>
      </c>
      <c r="BK43" s="206">
        <f>SUMIFS(領用表!$L:$L,領用表!$E:$E,$B43,領用表!$B:$B,$BH$2&amp;BK$2)</f>
        <v>24</v>
      </c>
      <c r="BL43" s="206">
        <f>SUMIFS(領用表!$L:$L,領用表!$E:$E,$B43,領用表!$B:$B,$BH$2&amp;BL$2)</f>
        <v>0</v>
      </c>
      <c r="BM43" s="203">
        <f>SUMIFS(領用表!$L:$L,領用表!$A:$A,BM$2,領用表!$E:$E,B43)</f>
        <v>42</v>
      </c>
      <c r="BN43" s="206">
        <f>SUMIFS(領用表!$L:$L,領用表!$E:$E,$B43,領用表!$B:$B,BM$2&amp;BN$2)</f>
        <v>11</v>
      </c>
      <c r="BO43" s="206">
        <f>SUMIFS(領用表!$L:$L,領用表!$E:$E,$B43,領用表!$B:$B,$BM$2&amp;BO$2)</f>
        <v>0</v>
      </c>
      <c r="BP43" s="206">
        <f>SUMIFS(領用表!$L:$L,領用表!$E:$E,$B43,領用表!$B:$B,$BM$2&amp;BP$2)</f>
        <v>31</v>
      </c>
      <c r="BQ43" s="206">
        <f>SUMIFS(領用表!$L:$L,領用表!$E:$E,$B43,領用表!$B:$B,$BM$2&amp;BQ$2)</f>
        <v>0</v>
      </c>
      <c r="BR43" s="203">
        <f>SUMIFS(領用表!$L:$L,領用表!$A:$A,BR$2,領用表!$E:$E,B43)</f>
        <v>31</v>
      </c>
      <c r="BS43" s="206">
        <f>SUMIFS(領用表!$L:$L,領用表!$E:$E,$B43,領用表!$B:$B,BR$2&amp;BS$2)</f>
        <v>6</v>
      </c>
      <c r="BT43" s="206">
        <f>SUMIFS(領用表!$L:$L,領用表!$E:$E,$B43,領用表!$B:$B,$BR$2&amp;BT$2)</f>
        <v>0</v>
      </c>
      <c r="BU43" s="206">
        <f>SUMIFS(領用表!$L:$L,領用表!$E:$E,$B43,領用表!$B:$B,$BR$2&amp;BU$2)</f>
        <v>25</v>
      </c>
      <c r="BV43" s="206">
        <f>SUMIFS(領用表!$L:$L,領用表!$E:$E,$B43,領用表!$B:$B,$BR$2&amp;BV$2)</f>
        <v>0</v>
      </c>
      <c r="BW43" s="208">
        <f>SUMIFS(領用表!$L:$L,領用表!$A:$A,BW$2,領用表!$E:$E,B43)</f>
        <v>36</v>
      </c>
      <c r="BX43" s="206">
        <f>SUMIFS(領用表!$L:$L,領用表!$E:$E,$B43,領用表!$B:$B,BW$2&amp;BX$2)</f>
        <v>23</v>
      </c>
      <c r="BY43" s="206">
        <f>SUMIFS(領用表!$L:$L,領用表!$E:$E,$B43,領用表!$B:$B,$BW$2&amp;BY$2)</f>
        <v>0</v>
      </c>
      <c r="BZ43" s="206">
        <f>SUMIFS(領用表!$L:$L,領用表!$E:$E,$B43,領用表!$B:$B,$BW$2&amp;BZ$2)</f>
        <v>13</v>
      </c>
      <c r="CA43" s="206">
        <f>SUMIFS(領用表!$L:$L,領用表!$E:$E,$B43,領用表!$B:$B,$BW$2&amp;CA$2)</f>
        <v>0</v>
      </c>
      <c r="CB43" s="208">
        <f>SUMIFS(領用表!$L:$L,領用表!$A:$A,CB$2,領用表!$E:$E,B43)</f>
        <v>44</v>
      </c>
      <c r="CC43" s="206">
        <f>SUMIFS(領用表!$L:$L,領用表!$E:$E,$B43,領用表!$B:$B,CB$2&amp;CC$2)</f>
        <v>14</v>
      </c>
      <c r="CD43" s="206">
        <f>SUMIFS(領用表!$L:$L,領用表!$E:$E,$B43,領用表!$B:$B,$CB$2&amp;CD$2)</f>
        <v>0</v>
      </c>
      <c r="CE43" s="206">
        <f>SUMIFS(領用表!$L:$L,領用表!$E:$E,$B43,領用表!$B:$B,$CB$2&amp;CE$2)</f>
        <v>30</v>
      </c>
      <c r="CF43" s="206">
        <f>SUMIFS(領用表!$L:$L,領用表!$E:$E,$B43,領用表!$B:$B,$CB$2&amp;CF$2)</f>
        <v>0</v>
      </c>
      <c r="CG43" s="208">
        <f>SUMIFS(領用表!$L:$L,領用表!$A:$A,CG$2,領用表!$E:$E,B43)</f>
        <v>39</v>
      </c>
      <c r="CH43" s="206">
        <f>SUMIFS(領用表!$L:$L,領用表!$E:$E,$B43,領用表!$B:$B,CG$2&amp;CH$2)</f>
        <v>20</v>
      </c>
      <c r="CI43" s="206">
        <f>SUMIFS(領用表!$L:$L,領用表!$E:$E,$B43,領用表!$B:$B,CG$2&amp;CI$2)</f>
        <v>0</v>
      </c>
      <c r="CJ43" s="206">
        <f>SUMIFS(領用表!$L:$L,領用表!$E:$E,$B43,領用表!$B:$B,CG$2&amp;CJ$2)</f>
        <v>19</v>
      </c>
      <c r="CK43" s="206">
        <f>SUMIFS(領用表!$L:$L,領用表!$E:$E,$B43,領用表!$B:$B,$CG$2&amp;CK$2)</f>
        <v>0</v>
      </c>
      <c r="CL43" s="207">
        <f t="shared" si="16"/>
        <v>277</v>
      </c>
      <c r="CM43" s="207">
        <f t="shared" si="17"/>
        <v>23.083333333333332</v>
      </c>
      <c r="CN43" s="208">
        <f>SUMIFS(領用表!$L:$L,領用表!$A:$A,CN$2,領用表!$E:$E,B43)</f>
        <v>38</v>
      </c>
      <c r="CO43" s="206">
        <f>SUMIFS(領用表!$L:$L,領用表!$E:$E,$B43,領用表!$B:$B,CN$2&amp;CO$2)</f>
        <v>13</v>
      </c>
      <c r="CP43" s="206">
        <f>SUMIFS(領用表!$L:$L,領用表!$E:$E,$B43,領用表!$B:$B,$CN$2&amp;CP$2)</f>
        <v>0</v>
      </c>
      <c r="CQ43" s="206">
        <f>SUMIFS(領用表!$L:$L,領用表!$E:$E,$B43,領用表!$B:$B,$CN$2&amp;CQ$2)</f>
        <v>25</v>
      </c>
      <c r="CR43" s="206">
        <f>SUMIFS(領用表!$L:$L,領用表!$E:$E,$B43,領用表!$B:$B,$CN$2&amp;CR$2)</f>
        <v>0</v>
      </c>
      <c r="CS43" s="208">
        <f>SUMIFS(領用表!$L:$L,領用表!$A:$A,CS$2,領用表!$E:$E,B43)</f>
        <v>33</v>
      </c>
      <c r="CT43" s="206">
        <f>SUMIFS(領用表!$L:$L,領用表!$E:$E,$B43,領用表!$B:$B,CS$2&amp;CT$2)</f>
        <v>6</v>
      </c>
      <c r="CU43" s="206">
        <f>SUMIFS(領用表!$L:$L,領用表!$E:$E,$B43,領用表!$B:$B,$CS$2&amp;CU$2)</f>
        <v>0</v>
      </c>
      <c r="CV43" s="206">
        <f>SUMIFS(領用表!$L:$L,領用表!$E:$E,$B43,領用表!$B:$B,$CS$2&amp;CV$2)</f>
        <v>27</v>
      </c>
      <c r="CW43" s="206">
        <f>SUMIFS(領用表!$L:$L,領用表!$E:$E,$B43,領用表!$B:$B,$CS$2&amp;CW$2)</f>
        <v>0</v>
      </c>
      <c r="CX43" s="206">
        <f>SUMIFS(領用表!$L:$L,領用表!$E:$E,$B43,領用表!$B:$B,$CS$2&amp;CX$2)</f>
        <v>0</v>
      </c>
      <c r="CY43" s="208">
        <f>SUMIFS(領用表!$L:$L,領用表!$A:$A,CY$2,領用表!$E:$E,B43)</f>
        <v>71</v>
      </c>
      <c r="CZ43" s="206">
        <f>SUMIFS(領用表!$L:$L,領用表!$E:$E,$B43,領用表!$B:$B,CY$2&amp;CZ$2)</f>
        <v>32</v>
      </c>
      <c r="DA43" s="206">
        <f>SUMIFS(領用表!$L:$L,領用表!$E:$E,$B43,領用表!$B:$B,$CY$2&amp;DA$2)</f>
        <v>0</v>
      </c>
      <c r="DB43" s="206">
        <f>SUMIFS(領用表!$L:$L,領用表!$E:$E,$B43,領用表!$B:$B,$CY$2&amp;DB$2)</f>
        <v>27</v>
      </c>
      <c r="DC43" s="206">
        <f>SUMIFS(領用表!$L:$L,領用表!$E:$E,$B43,領用表!$B:$B,$CY$2&amp;DC$2)</f>
        <v>0</v>
      </c>
      <c r="DD43" s="206">
        <f>SUMIFS(領用表!$L:$L,領用表!$E:$E,$B43,領用表!$B:$B,$CY$2&amp;DD$2)</f>
        <v>12</v>
      </c>
      <c r="DE43" s="208">
        <f>SUMIFS(領用表!$L:$L,領用表!$A:$A,DE$2,領用表!$E:$E,B43)</f>
        <v>30</v>
      </c>
      <c r="DF43" s="206">
        <f>SUMIFS(領用表!$L:$L,領用表!$E:$E,$B43,領用表!$B:$B,DE$2&amp;DF$2)</f>
        <v>13</v>
      </c>
      <c r="DG43" s="206">
        <f>SUMIFS(領用表!$L:$L,領用表!$E:$E,$B43,領用表!$B:$B,$DE$2&amp;DG$2)</f>
        <v>0</v>
      </c>
      <c r="DH43" s="206">
        <f>SUMIFS(領用表!$L:$L,領用表!$E:$E,$B43,領用表!$B:$B,$DE$2&amp;DH$2)</f>
        <v>15</v>
      </c>
      <c r="DI43" s="206">
        <f>SUMIFS(領用表!$L:$L,領用表!$E:$E,$B43,領用表!$B:$B,$DE$2&amp;DI$2)</f>
        <v>0</v>
      </c>
      <c r="DJ43" s="206">
        <f>SUMIFS(領用表!$L:$L,領用表!$E:$E,$B43,領用表!$B:$B,$DE$2&amp;DJ$2)</f>
        <v>2</v>
      </c>
      <c r="DK43" s="208">
        <f>SUMIFS(領用表!$L:$L,領用表!$A:$A,DK$2,領用表!$E:$E,$B43)</f>
        <v>56</v>
      </c>
      <c r="DL43" s="206">
        <f>SUMIFS(領用表!$L:$L,領用表!$E:$E,$B43,領用表!$B:$B,DK$2&amp;DL$2)</f>
        <v>13</v>
      </c>
      <c r="DM43" s="206">
        <f>SUMIFS(領用表!$L:$L,領用表!$E:$E,$B43,領用表!$B:$B,$DK$2&amp;DM$2)</f>
        <v>0</v>
      </c>
      <c r="DN43" s="206">
        <f>SUMIFS(領用表!$L:$L,領用表!$E:$E,$B43,領用表!$B:$B,$DK$2&amp;DN$2)</f>
        <v>35</v>
      </c>
      <c r="DO43" s="206">
        <f>SUMIFS(領用表!$L:$L,領用表!$E:$E,$B43,領用表!$B:$B,$DK$2&amp;DO$2)</f>
        <v>0</v>
      </c>
      <c r="DP43" s="206">
        <f>SUMIFS(領用表!$L:$L,領用表!$E:$E,$B43,領用表!$B:$B,$DK$2&amp;DP$2)</f>
        <v>8</v>
      </c>
      <c r="DQ43" s="206">
        <f t="shared" si="14"/>
        <v>228</v>
      </c>
      <c r="DR43" s="206">
        <f t="shared" si="15"/>
        <v>45.6</v>
      </c>
      <c r="DS43" s="206">
        <f t="shared" si="6"/>
        <v>40</v>
      </c>
      <c r="DT43" s="206">
        <v>20</v>
      </c>
      <c r="DU43" s="206">
        <v>0</v>
      </c>
      <c r="DV43" s="206">
        <v>20</v>
      </c>
      <c r="DW43" s="206">
        <v>0</v>
      </c>
      <c r="DX43" s="215">
        <v>20</v>
      </c>
      <c r="DY43" s="210">
        <v>0</v>
      </c>
      <c r="DZ43" s="211"/>
      <c r="EA43" s="211"/>
      <c r="EB43" s="255"/>
      <c r="EC43" s="256"/>
      <c r="ED43" s="118">
        <f>IFERROR(VLOOKUP(A43,站前4樓!A:BF,57,0),0)</f>
        <v>14</v>
      </c>
      <c r="EE43" s="213">
        <f>IFERROR(VLOOKUP(A43,站前11樓!A:BE,57,0),0)</f>
        <v>0</v>
      </c>
      <c r="EF43" s="118">
        <f>IFERROR(VLOOKUP(A43,忠孝7樓!A:N,57,0),0)</f>
        <v>0</v>
      </c>
      <c r="EG43" s="118">
        <f>IFERROR(VLOOKUP(A43,忠孝國際醫學3樓!A:L,57,0),0)</f>
        <v>0</v>
      </c>
      <c r="EH43" s="118">
        <f t="shared" si="7"/>
        <v>14</v>
      </c>
      <c r="EJ43" s="118">
        <v>24</v>
      </c>
      <c r="EK43" s="118">
        <v>14</v>
      </c>
    </row>
    <row r="44" spans="1:141" s="118" customFormat="1" ht="15.75" customHeight="1">
      <c r="A44" s="136" t="s">
        <v>72</v>
      </c>
      <c r="B44" s="118">
        <v>6150013</v>
      </c>
      <c r="C44" s="131" t="s">
        <v>483</v>
      </c>
      <c r="D44" s="197">
        <v>1</v>
      </c>
      <c r="E44" s="198" t="s">
        <v>15</v>
      </c>
      <c r="F44" s="199">
        <f>SUMIF(站前4樓!B:B,B44,站前4樓!F:F)</f>
        <v>11</v>
      </c>
      <c r="G44" s="199">
        <f>SUMIF(站前11樓!B:B,B44,站前11樓!F:F)</f>
        <v>0</v>
      </c>
      <c r="H44" s="199">
        <f>SUMIF(忠孝7樓!B:B,B44,忠孝7樓!G:G)</f>
        <v>19</v>
      </c>
      <c r="I44" s="199">
        <f>SUMIF(忠孝國際醫學3樓!B:B,B44,忠孝國際醫學3樓!G:G)</f>
        <v>0</v>
      </c>
      <c r="J44" s="199">
        <f>SUMIF(忠孝健康7樓!B:B,B44,忠孝健康7樓!G:G)</f>
        <v>10</v>
      </c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200"/>
      <c r="AG44" s="200"/>
      <c r="AH44" s="200"/>
      <c r="AI44" s="200"/>
      <c r="AJ44" s="201"/>
      <c r="AK44" s="201"/>
      <c r="AL44" s="201"/>
      <c r="AM44" s="201"/>
      <c r="AN44" s="201"/>
      <c r="AO44" s="201"/>
      <c r="AP44" s="201"/>
      <c r="AQ44" s="201"/>
      <c r="AR44" s="201"/>
      <c r="AS44" s="201"/>
      <c r="AT44" s="202"/>
      <c r="AU44" s="203"/>
      <c r="AV44" s="204"/>
      <c r="AW44" s="205"/>
      <c r="AX44" s="203"/>
      <c r="AY44" s="203"/>
      <c r="AZ44" s="203"/>
      <c r="BA44" s="203"/>
      <c r="BB44" s="203"/>
      <c r="BC44" s="203">
        <f>SUMIFS(領用表!$L:$L,領用表!$A:$A,BC$2,領用表!$E:$E,B44)</f>
        <v>0</v>
      </c>
      <c r="BD44" s="206">
        <f>SUMIFS(領用表!$L:$L,領用表!$E:$E,$B44,領用表!$B:$B,BC$2&amp;BD$2)</f>
        <v>0</v>
      </c>
      <c r="BE44" s="206">
        <f>SUMIFS(領用表!$L:$L,領用表!$E:$E,$B44,領用表!$B:$B,$BC$2&amp;BE$2)</f>
        <v>0</v>
      </c>
      <c r="BF44" s="206">
        <f>SUMIFS(領用表!$L:$L,領用表!$E:$E,$B44,領用表!$B:$B,$BC$2&amp;BF$2)</f>
        <v>0</v>
      </c>
      <c r="BG44" s="206">
        <f>SUMIFS(領用表!$L:$L,領用表!$E:$E,$B44,領用表!$B:$B,$BC$2&amp;BG$2)</f>
        <v>0</v>
      </c>
      <c r="BH44" s="203">
        <f>SUMIFS(領用表!$L:$L,領用表!$A:$A,BH$2,領用表!$E:$E,B44)</f>
        <v>0</v>
      </c>
      <c r="BI44" s="206">
        <f>SUMIFS(領用表!$L:$L,領用表!$E:$E,$B44,領用表!$B:$B,BH$2&amp;BI$2)</f>
        <v>0</v>
      </c>
      <c r="BJ44" s="206">
        <f>SUMIFS(領用表!$L:$L,領用表!$E:$E,$B44,領用表!$B:$B,$BH$2&amp;BJ$2)</f>
        <v>0</v>
      </c>
      <c r="BK44" s="206">
        <f>SUMIFS(領用表!$L:$L,領用表!$E:$E,$B44,領用表!$B:$B,$BH$2&amp;BK$2)</f>
        <v>0</v>
      </c>
      <c r="BL44" s="206">
        <f>SUMIFS(領用表!$L:$L,領用表!$E:$E,$B44,領用表!$B:$B,$BH$2&amp;BL$2)</f>
        <v>0</v>
      </c>
      <c r="BM44" s="203">
        <f>SUMIFS(領用表!$L:$L,領用表!$A:$A,BM$2,領用表!$E:$E,B44)</f>
        <v>11</v>
      </c>
      <c r="BN44" s="206">
        <f>SUMIFS(領用表!$L:$L,領用表!$E:$E,$B44,領用表!$B:$B,BM$2&amp;BN$2)</f>
        <v>8</v>
      </c>
      <c r="BO44" s="206">
        <f>SUMIFS(領用表!$L:$L,領用表!$E:$E,$B44,領用表!$B:$B,$BM$2&amp;BO$2)</f>
        <v>0</v>
      </c>
      <c r="BP44" s="206">
        <f>SUMIFS(領用表!$L:$L,領用表!$E:$E,$B44,領用表!$B:$B,$BM$2&amp;BP$2)</f>
        <v>3</v>
      </c>
      <c r="BQ44" s="206">
        <f>SUMIFS(領用表!$L:$L,領用表!$E:$E,$B44,領用表!$B:$B,$BM$2&amp;BQ$2)</f>
        <v>0</v>
      </c>
      <c r="BR44" s="203">
        <f>SUMIFS(領用表!$L:$L,領用表!$A:$A,BR$2,領用表!$E:$E,B44)</f>
        <v>39</v>
      </c>
      <c r="BS44" s="206">
        <f>SUMIFS(領用表!$L:$L,領用表!$E:$E,$B44,領用表!$B:$B,BR$2&amp;BS$2)</f>
        <v>17</v>
      </c>
      <c r="BT44" s="206">
        <f>SUMIFS(領用表!$L:$L,領用表!$E:$E,$B44,領用表!$B:$B,$BR$2&amp;BT$2)</f>
        <v>0</v>
      </c>
      <c r="BU44" s="206">
        <f>SUMIFS(領用表!$L:$L,領用表!$E:$E,$B44,領用表!$B:$B,$BR$2&amp;BU$2)</f>
        <v>22</v>
      </c>
      <c r="BV44" s="206">
        <f>SUMIFS(領用表!$L:$L,領用表!$E:$E,$B44,領用表!$B:$B,$BR$2&amp;BV$2)</f>
        <v>0</v>
      </c>
      <c r="BW44" s="208">
        <f>SUMIFS(領用表!$L:$L,領用表!$A:$A,BW$2,領用表!$E:$E,B44)</f>
        <v>61</v>
      </c>
      <c r="BX44" s="206">
        <f>SUMIFS(領用表!$L:$L,領用表!$E:$E,$B44,領用表!$B:$B,BW$2&amp;BX$2)</f>
        <v>25</v>
      </c>
      <c r="BY44" s="206">
        <f>SUMIFS(領用表!$L:$L,領用表!$E:$E,$B44,領用表!$B:$B,$BW$2&amp;BY$2)</f>
        <v>0</v>
      </c>
      <c r="BZ44" s="206">
        <f>SUMIFS(領用表!$L:$L,領用表!$E:$E,$B44,領用表!$B:$B,$BW$2&amp;BZ$2)</f>
        <v>36</v>
      </c>
      <c r="CA44" s="206">
        <f>SUMIFS(領用表!$L:$L,領用表!$E:$E,$B44,領用表!$B:$B,$BW$2&amp;CA$2)</f>
        <v>0</v>
      </c>
      <c r="CB44" s="208">
        <f>SUMIFS(領用表!$L:$L,領用表!$A:$A,CB$2,領用表!$E:$E,B44)</f>
        <v>43</v>
      </c>
      <c r="CC44" s="206">
        <f>SUMIFS(領用表!$L:$L,領用表!$E:$E,$B44,領用表!$B:$B,CB$2&amp;CC$2)</f>
        <v>17</v>
      </c>
      <c r="CD44" s="206">
        <f>SUMIFS(領用表!$L:$L,領用表!$E:$E,$B44,領用表!$B:$B,$CB$2&amp;CD$2)</f>
        <v>0</v>
      </c>
      <c r="CE44" s="206">
        <f>SUMIFS(領用表!$L:$L,領用表!$E:$E,$B44,領用表!$B:$B,$CB$2&amp;CE$2)</f>
        <v>26</v>
      </c>
      <c r="CF44" s="206">
        <f>SUMIFS(領用表!$L:$L,領用表!$E:$E,$B44,領用表!$B:$B,$CB$2&amp;CF$2)</f>
        <v>0</v>
      </c>
      <c r="CG44" s="208">
        <f>SUMIFS(領用表!$L:$L,領用表!$A:$A,CG$2,領用表!$E:$E,B44)</f>
        <v>29</v>
      </c>
      <c r="CH44" s="206">
        <f>SUMIFS(領用表!$L:$L,領用表!$E:$E,$B44,領用表!$B:$B,CG$2&amp;CH$2)</f>
        <v>11</v>
      </c>
      <c r="CI44" s="206">
        <f>SUMIFS(領用表!$L:$L,領用表!$E:$E,$B44,領用表!$B:$B,CG$2&amp;CI$2)</f>
        <v>0</v>
      </c>
      <c r="CJ44" s="206">
        <f>SUMIFS(領用表!$L:$L,領用表!$E:$E,$B44,領用表!$B:$B,CG$2&amp;CJ$2)</f>
        <v>18</v>
      </c>
      <c r="CK44" s="206">
        <f>SUMIFS(領用表!$L:$L,領用表!$E:$E,$B44,領用表!$B:$B,$CG$2&amp;CK$2)</f>
        <v>0</v>
      </c>
      <c r="CL44" s="207">
        <f t="shared" si="16"/>
        <v>183</v>
      </c>
      <c r="CM44" s="207">
        <f t="shared" si="17"/>
        <v>26.142857142857142</v>
      </c>
      <c r="CN44" s="208">
        <f>SUMIFS(領用表!$L:$L,領用表!$A:$A,CN$2,領用表!$E:$E,B44)</f>
        <v>41</v>
      </c>
      <c r="CO44" s="206">
        <f>SUMIFS(領用表!$L:$L,領用表!$E:$E,$B44,領用表!$B:$B,CN$2&amp;CO$2)</f>
        <v>13</v>
      </c>
      <c r="CP44" s="206">
        <f>SUMIFS(領用表!$L:$L,領用表!$E:$E,$B44,領用表!$B:$B,$CN$2&amp;CP$2)</f>
        <v>0</v>
      </c>
      <c r="CQ44" s="206">
        <f>SUMIFS(領用表!$L:$L,領用表!$E:$E,$B44,領用表!$B:$B,$CN$2&amp;CQ$2)</f>
        <v>28</v>
      </c>
      <c r="CR44" s="206">
        <f>SUMIFS(領用表!$L:$L,領用表!$E:$E,$B44,領用表!$B:$B,$CN$2&amp;CR$2)</f>
        <v>0</v>
      </c>
      <c r="CS44" s="208">
        <f>SUMIFS(領用表!$L:$L,領用表!$A:$A,CS$2,領用表!$E:$E,B44)</f>
        <v>31</v>
      </c>
      <c r="CT44" s="206">
        <f>SUMIFS(領用表!$L:$L,領用表!$E:$E,$B44,領用表!$B:$B,CS$2&amp;CT$2)</f>
        <v>14</v>
      </c>
      <c r="CU44" s="206">
        <f>SUMIFS(領用表!$L:$L,領用表!$E:$E,$B44,領用表!$B:$B,$CS$2&amp;CU$2)</f>
        <v>0</v>
      </c>
      <c r="CV44" s="206">
        <f>SUMIFS(領用表!$L:$L,領用表!$E:$E,$B44,領用表!$B:$B,$CS$2&amp;CV$2)</f>
        <v>17</v>
      </c>
      <c r="CW44" s="206">
        <f>SUMIFS(領用表!$L:$L,領用表!$E:$E,$B44,領用表!$B:$B,$CS$2&amp;CW$2)</f>
        <v>0</v>
      </c>
      <c r="CX44" s="206">
        <f>SUMIFS(領用表!$L:$L,領用表!$E:$E,$B44,領用表!$B:$B,$CS$2&amp;CX$2)</f>
        <v>0</v>
      </c>
      <c r="CY44" s="208">
        <f>SUMIFS(領用表!$L:$L,領用表!$A:$A,CY$2,領用表!$E:$E,B44)</f>
        <v>47</v>
      </c>
      <c r="CZ44" s="206">
        <f>SUMIFS(領用表!$L:$L,領用表!$E:$E,$B44,領用表!$B:$B,CY$2&amp;CZ$2)</f>
        <v>14</v>
      </c>
      <c r="DA44" s="206">
        <f>SUMIFS(領用表!$L:$L,領用表!$E:$E,$B44,領用表!$B:$B,$CY$2&amp;DA$2)</f>
        <v>0</v>
      </c>
      <c r="DB44" s="206">
        <f>SUMIFS(領用表!$L:$L,領用表!$E:$E,$B44,領用表!$B:$B,$CY$2&amp;DB$2)</f>
        <v>25</v>
      </c>
      <c r="DC44" s="206">
        <f>SUMIFS(領用表!$L:$L,領用表!$E:$E,$B44,領用表!$B:$B,$CY$2&amp;DC$2)</f>
        <v>0</v>
      </c>
      <c r="DD44" s="206">
        <f>SUMIFS(領用表!$L:$L,領用表!$E:$E,$B44,領用表!$B:$B,$CY$2&amp;DD$2)</f>
        <v>8</v>
      </c>
      <c r="DE44" s="208">
        <f>SUMIFS(領用表!$L:$L,領用表!$A:$A,DE$2,領用表!$E:$E,B44)</f>
        <v>51</v>
      </c>
      <c r="DF44" s="206">
        <f>SUMIFS(領用表!$L:$L,領用表!$E:$E,$B44,領用表!$B:$B,DE$2&amp;DF$2)</f>
        <v>20</v>
      </c>
      <c r="DG44" s="206">
        <f>SUMIFS(領用表!$L:$L,領用表!$E:$E,$B44,領用表!$B:$B,$DE$2&amp;DG$2)</f>
        <v>0</v>
      </c>
      <c r="DH44" s="206">
        <f>SUMIFS(領用表!$L:$L,領用表!$E:$E,$B44,領用表!$B:$B,$DE$2&amp;DH$2)</f>
        <v>23</v>
      </c>
      <c r="DI44" s="206">
        <f>SUMIFS(領用表!$L:$L,領用表!$E:$E,$B44,領用表!$B:$B,$DE$2&amp;DI$2)</f>
        <v>0</v>
      </c>
      <c r="DJ44" s="206">
        <f>SUMIFS(領用表!$L:$L,領用表!$E:$E,$B44,領用表!$B:$B,$DE$2&amp;DJ$2)</f>
        <v>8</v>
      </c>
      <c r="DK44" s="208">
        <f>SUMIFS(領用表!$L:$L,領用表!$A:$A,DK$2,領用表!$E:$E,$B44)</f>
        <v>42</v>
      </c>
      <c r="DL44" s="206">
        <f>SUMIFS(領用表!$L:$L,領用表!$E:$E,$B44,領用表!$B:$B,DK$2&amp;DL$2)</f>
        <v>20</v>
      </c>
      <c r="DM44" s="206">
        <f>SUMIFS(領用表!$L:$L,領用表!$E:$E,$B44,領用表!$B:$B,$DK$2&amp;DM$2)</f>
        <v>0</v>
      </c>
      <c r="DN44" s="206">
        <f>SUMIFS(領用表!$L:$L,領用表!$E:$E,$B44,領用表!$B:$B,$DK$2&amp;DN$2)</f>
        <v>18</v>
      </c>
      <c r="DO44" s="206">
        <f>SUMIFS(領用表!$L:$L,領用表!$E:$E,$B44,領用表!$B:$B,$DK$2&amp;DO$2)</f>
        <v>0</v>
      </c>
      <c r="DP44" s="206">
        <f>SUMIFS(領用表!$L:$L,領用表!$E:$E,$B44,領用表!$B:$B,$DK$2&amp;DP$2)</f>
        <v>4</v>
      </c>
      <c r="DQ44" s="206">
        <f t="shared" si="14"/>
        <v>212</v>
      </c>
      <c r="DR44" s="206">
        <f t="shared" si="15"/>
        <v>42.4</v>
      </c>
      <c r="DS44" s="206">
        <f t="shared" si="6"/>
        <v>41</v>
      </c>
      <c r="DT44" s="206">
        <v>16</v>
      </c>
      <c r="DU44" s="206">
        <v>0</v>
      </c>
      <c r="DV44" s="206">
        <v>25</v>
      </c>
      <c r="DW44" s="206">
        <v>0</v>
      </c>
      <c r="DX44" s="215"/>
      <c r="DY44" s="210"/>
      <c r="DZ44" s="211" t="s">
        <v>799</v>
      </c>
      <c r="EA44" s="211" t="s">
        <v>800</v>
      </c>
      <c r="EB44" s="136"/>
      <c r="EC44" s="212"/>
      <c r="ED44" s="118">
        <f>IFERROR(VLOOKUP(A44,站前4樓!A:BF,57,0),0)</f>
        <v>17</v>
      </c>
      <c r="EE44" s="213">
        <f>IFERROR(VLOOKUP(A44,站前11樓!A:BE,57,0),0)</f>
        <v>0</v>
      </c>
      <c r="EF44" s="118">
        <f>IFERROR(VLOOKUP(A44,忠孝7樓!A:N,57,0),0)</f>
        <v>0</v>
      </c>
      <c r="EG44" s="118">
        <f>IFERROR(VLOOKUP(A44,忠孝國際醫學3樓!A:L,57,0),0)</f>
        <v>0</v>
      </c>
      <c r="EH44" s="118">
        <f t="shared" si="7"/>
        <v>17</v>
      </c>
      <c r="EJ44" s="118">
        <v>51</v>
      </c>
      <c r="EK44" s="118">
        <v>25</v>
      </c>
    </row>
    <row r="45" spans="1:141" s="118" customFormat="1" ht="15.75" customHeight="1">
      <c r="A45" s="136" t="s">
        <v>75</v>
      </c>
      <c r="B45" s="118">
        <v>6160005</v>
      </c>
      <c r="C45" s="133" t="s">
        <v>484</v>
      </c>
      <c r="D45" s="197">
        <v>1</v>
      </c>
      <c r="E45" s="198" t="s">
        <v>15</v>
      </c>
      <c r="F45" s="199">
        <f>SUMIF(站前4樓!B:B,B45,站前4樓!F:F)</f>
        <v>61</v>
      </c>
      <c r="G45" s="199">
        <f>SUMIF(站前11樓!B:B,B45,站前11樓!F:F)</f>
        <v>0</v>
      </c>
      <c r="H45" s="199">
        <f>SUMIF(忠孝7樓!B:B,B45,忠孝7樓!G:G)</f>
        <v>36</v>
      </c>
      <c r="I45" s="199">
        <f>SUMIF(忠孝國際醫學3樓!B:B,B45,忠孝國際醫學3樓!G:G)</f>
        <v>0</v>
      </c>
      <c r="J45" s="199">
        <f>SUMIF(忠孝健康7樓!B:B,B45,忠孝健康7樓!G:G)</f>
        <v>19</v>
      </c>
      <c r="K45" s="200">
        <v>0</v>
      </c>
      <c r="L45" s="200">
        <v>0</v>
      </c>
      <c r="M45" s="200">
        <v>0</v>
      </c>
      <c r="N45" s="200">
        <v>0</v>
      </c>
      <c r="O45" s="200">
        <v>0</v>
      </c>
      <c r="P45" s="200">
        <v>0</v>
      </c>
      <c r="Q45" s="200">
        <v>0</v>
      </c>
      <c r="R45" s="200">
        <v>0</v>
      </c>
      <c r="S45" s="200">
        <v>0</v>
      </c>
      <c r="T45" s="200">
        <v>0</v>
      </c>
      <c r="U45" s="200">
        <v>0</v>
      </c>
      <c r="V45" s="200">
        <v>0</v>
      </c>
      <c r="W45" s="200">
        <v>0</v>
      </c>
      <c r="X45" s="200">
        <v>0</v>
      </c>
      <c r="Y45" s="200">
        <v>0</v>
      </c>
      <c r="Z45" s="200">
        <v>0</v>
      </c>
      <c r="AA45" s="200">
        <v>0</v>
      </c>
      <c r="AB45" s="200">
        <v>0</v>
      </c>
      <c r="AC45" s="200">
        <v>0</v>
      </c>
      <c r="AD45" s="200">
        <v>0</v>
      </c>
      <c r="AE45" s="200">
        <v>0</v>
      </c>
      <c r="AF45" s="200">
        <v>0</v>
      </c>
      <c r="AG45" s="200">
        <v>0</v>
      </c>
      <c r="AH45" s="200">
        <v>0</v>
      </c>
      <c r="AI45" s="200">
        <v>0</v>
      </c>
      <c r="AJ45" s="201">
        <v>0</v>
      </c>
      <c r="AK45" s="201">
        <v>0</v>
      </c>
      <c r="AL45" s="201">
        <v>0</v>
      </c>
      <c r="AM45" s="201">
        <v>0</v>
      </c>
      <c r="AN45" s="201">
        <v>0</v>
      </c>
      <c r="AO45" s="201">
        <v>0</v>
      </c>
      <c r="AP45" s="201">
        <v>0</v>
      </c>
      <c r="AQ45" s="201">
        <v>2</v>
      </c>
      <c r="AR45" s="201">
        <v>3</v>
      </c>
      <c r="AS45" s="201">
        <v>1</v>
      </c>
      <c r="AT45" s="202">
        <v>0</v>
      </c>
      <c r="AU45" s="203">
        <v>4</v>
      </c>
      <c r="AV45" s="204">
        <f>SUM(AJ45:AU45)</f>
        <v>10</v>
      </c>
      <c r="AW45" s="205">
        <f>AV45/12</f>
        <v>0.83333333333333337</v>
      </c>
      <c r="AX45" s="203">
        <v>3</v>
      </c>
      <c r="AY45" s="203">
        <v>4</v>
      </c>
      <c r="AZ45" s="203">
        <v>3</v>
      </c>
      <c r="BA45" s="203">
        <v>2</v>
      </c>
      <c r="BB45" s="203">
        <v>6</v>
      </c>
      <c r="BC45" s="203">
        <f>SUMIFS(領用表!$L:$L,領用表!$A:$A,BC$2,領用表!$E:$E,B45)</f>
        <v>4</v>
      </c>
      <c r="BD45" s="206">
        <f>SUMIFS(領用表!$L:$L,領用表!$E:$E,$B45,領用表!$B:$B,BC$2&amp;BD$2)</f>
        <v>4</v>
      </c>
      <c r="BE45" s="206">
        <f>SUMIFS(領用表!$L:$L,領用表!$E:$E,$B45,領用表!$B:$B,$BC$2&amp;BE$2)</f>
        <v>0</v>
      </c>
      <c r="BF45" s="206">
        <f>SUMIFS(領用表!$L:$L,領用表!$E:$E,$B45,領用表!$B:$B,$BC$2&amp;BF$2)</f>
        <v>0</v>
      </c>
      <c r="BG45" s="206">
        <f>SUMIFS(領用表!$L:$L,領用表!$E:$E,$B45,領用表!$B:$B,$BC$2&amp;BG$2)</f>
        <v>0</v>
      </c>
      <c r="BH45" s="203">
        <f>SUMIFS(領用表!$L:$L,領用表!$A:$A,BH$2,領用表!$E:$E,B45)</f>
        <v>10</v>
      </c>
      <c r="BI45" s="206">
        <f>SUMIFS(領用表!$L:$L,領用表!$E:$E,$B45,領用表!$B:$B,BH$2&amp;BI$2)</f>
        <v>8</v>
      </c>
      <c r="BJ45" s="206">
        <f>SUMIFS(領用表!$L:$L,領用表!$E:$E,$B45,領用表!$B:$B,$BH$2&amp;BJ$2)</f>
        <v>0</v>
      </c>
      <c r="BK45" s="206">
        <f>SUMIFS(領用表!$L:$L,領用表!$E:$E,$B45,領用表!$B:$B,$BH$2&amp;BK$2)</f>
        <v>2</v>
      </c>
      <c r="BL45" s="206">
        <f>SUMIFS(領用表!$L:$L,領用表!$E:$E,$B45,領用表!$B:$B,$BH$2&amp;BL$2)</f>
        <v>0</v>
      </c>
      <c r="BM45" s="203">
        <f>SUMIFS(領用表!$L:$L,領用表!$A:$A,BM$2,領用表!$E:$E,B45)</f>
        <v>24</v>
      </c>
      <c r="BN45" s="206">
        <f>SUMIFS(領用表!$L:$L,領用表!$E:$E,$B45,領用表!$B:$B,BM$2&amp;BN$2)</f>
        <v>20</v>
      </c>
      <c r="BO45" s="206">
        <f>SUMIFS(領用表!$L:$L,領用表!$E:$E,$B45,領用表!$B:$B,$BM$2&amp;BO$2)</f>
        <v>0</v>
      </c>
      <c r="BP45" s="206">
        <f>SUMIFS(領用表!$L:$L,領用表!$E:$E,$B45,領用表!$B:$B,$BM$2&amp;BP$2)</f>
        <v>4</v>
      </c>
      <c r="BQ45" s="206">
        <f>SUMIFS(領用表!$L:$L,領用表!$E:$E,$B45,領用表!$B:$B,$BM$2&amp;BQ$2)</f>
        <v>0</v>
      </c>
      <c r="BR45" s="203">
        <f>SUMIFS(領用表!$L:$L,領用表!$A:$A,BR$2,領用表!$E:$E,B45)</f>
        <v>27</v>
      </c>
      <c r="BS45" s="206">
        <f>SUMIFS(領用表!$L:$L,領用表!$E:$E,$B45,領用表!$B:$B,BR$2&amp;BS$2)</f>
        <v>14</v>
      </c>
      <c r="BT45" s="206">
        <f>SUMIFS(領用表!$L:$L,領用表!$E:$E,$B45,領用表!$B:$B,$BR$2&amp;BT$2)</f>
        <v>0</v>
      </c>
      <c r="BU45" s="206">
        <f>SUMIFS(領用表!$L:$L,領用表!$E:$E,$B45,領用表!$B:$B,$BR$2&amp;BU$2)</f>
        <v>13</v>
      </c>
      <c r="BV45" s="206">
        <f>SUMIFS(領用表!$L:$L,領用表!$E:$E,$B45,領用表!$B:$B,$BR$2&amp;BV$2)</f>
        <v>0</v>
      </c>
      <c r="BW45" s="208">
        <f>SUMIFS(領用表!$L:$L,領用表!$A:$A,BW$2,領用表!$E:$E,B45)</f>
        <v>54</v>
      </c>
      <c r="BX45" s="206">
        <f>SUMIFS(領用表!$L:$L,領用表!$E:$E,$B45,領用表!$B:$B,BW$2&amp;BX$2)</f>
        <v>35</v>
      </c>
      <c r="BY45" s="206">
        <f>SUMIFS(領用表!$L:$L,領用表!$E:$E,$B45,領用表!$B:$B,$BW$2&amp;BY$2)</f>
        <v>0</v>
      </c>
      <c r="BZ45" s="206">
        <f>SUMIFS(領用表!$L:$L,領用表!$E:$E,$B45,領用表!$B:$B,$BW$2&amp;BZ$2)</f>
        <v>19</v>
      </c>
      <c r="CA45" s="206">
        <f>SUMIFS(領用表!$L:$L,領用表!$E:$E,$B45,領用表!$B:$B,$BW$2&amp;CA$2)</f>
        <v>0</v>
      </c>
      <c r="CB45" s="208">
        <f>SUMIFS(領用表!$L:$L,領用表!$A:$A,CB$2,領用表!$E:$E,B45)</f>
        <v>44</v>
      </c>
      <c r="CC45" s="206">
        <f>SUMIFS(領用表!$L:$L,領用表!$E:$E,$B45,領用表!$B:$B,CB$2&amp;CC$2)</f>
        <v>26</v>
      </c>
      <c r="CD45" s="206">
        <f>SUMIFS(領用表!$L:$L,領用表!$E:$E,$B45,領用表!$B:$B,$CB$2&amp;CD$2)</f>
        <v>0</v>
      </c>
      <c r="CE45" s="206">
        <f>SUMIFS(領用表!$L:$L,領用表!$E:$E,$B45,領用表!$B:$B,$CB$2&amp;CE$2)</f>
        <v>18</v>
      </c>
      <c r="CF45" s="206">
        <f>SUMIFS(領用表!$L:$L,領用表!$E:$E,$B45,領用表!$B:$B,$CB$2&amp;CF$2)</f>
        <v>0</v>
      </c>
      <c r="CG45" s="208">
        <f>SUMIFS(領用表!$L:$L,領用表!$A:$A,CG$2,領用表!$E:$E,B45)</f>
        <v>43</v>
      </c>
      <c r="CH45" s="206">
        <f>SUMIFS(領用表!$L:$L,領用表!$E:$E,$B45,領用表!$B:$B,CG$2&amp;CH$2)</f>
        <v>31</v>
      </c>
      <c r="CI45" s="206">
        <f>SUMIFS(領用表!$L:$L,領用表!$E:$E,$B45,領用表!$B:$B,CG$2&amp;CI$2)</f>
        <v>0</v>
      </c>
      <c r="CJ45" s="206">
        <f>SUMIFS(領用表!$L:$L,領用表!$E:$E,$B45,領用表!$B:$B,CG$2&amp;CJ$2)</f>
        <v>12</v>
      </c>
      <c r="CK45" s="206">
        <f>SUMIFS(領用表!$L:$L,領用表!$E:$E,$B45,領用表!$B:$B,$CG$2&amp;CK$2)</f>
        <v>0</v>
      </c>
      <c r="CL45" s="207">
        <f t="shared" si="16"/>
        <v>224</v>
      </c>
      <c r="CM45" s="207">
        <f t="shared" si="17"/>
        <v>18.666666666666668</v>
      </c>
      <c r="CN45" s="208">
        <f>SUMIFS(領用表!$L:$L,領用表!$A:$A,CN$2,領用表!$E:$E,B45)</f>
        <v>49</v>
      </c>
      <c r="CO45" s="206">
        <f>SUMIFS(領用表!$L:$L,領用表!$E:$E,$B45,領用表!$B:$B,CN$2&amp;CO$2)</f>
        <v>23</v>
      </c>
      <c r="CP45" s="206">
        <f>SUMIFS(領用表!$L:$L,領用表!$E:$E,$B45,領用表!$B:$B,$CN$2&amp;CP$2)</f>
        <v>0</v>
      </c>
      <c r="CQ45" s="206">
        <f>SUMIFS(領用表!$L:$L,領用表!$E:$E,$B45,領用表!$B:$B,$CN$2&amp;CQ$2)</f>
        <v>26</v>
      </c>
      <c r="CR45" s="206">
        <f>SUMIFS(領用表!$L:$L,領用表!$E:$E,$B45,領用表!$B:$B,$CN$2&amp;CR$2)</f>
        <v>0</v>
      </c>
      <c r="CS45" s="208">
        <f>SUMIFS(領用表!$L:$L,領用表!$A:$A,CS$2,領用表!$E:$E,B45)</f>
        <v>74</v>
      </c>
      <c r="CT45" s="206">
        <f>SUMIFS(領用表!$L:$L,領用表!$E:$E,$B45,領用表!$B:$B,CS$2&amp;CT$2)</f>
        <v>43</v>
      </c>
      <c r="CU45" s="206">
        <f>SUMIFS(領用表!$L:$L,領用表!$E:$E,$B45,領用表!$B:$B,$CS$2&amp;CU$2)</f>
        <v>0</v>
      </c>
      <c r="CV45" s="206">
        <f>SUMIFS(領用表!$L:$L,領用表!$E:$E,$B45,領用表!$B:$B,$CS$2&amp;CV$2)</f>
        <v>31</v>
      </c>
      <c r="CW45" s="206">
        <f>SUMIFS(領用表!$L:$L,領用表!$E:$E,$B45,領用表!$B:$B,$CS$2&amp;CW$2)</f>
        <v>0</v>
      </c>
      <c r="CX45" s="206">
        <f>SUMIFS(領用表!$L:$L,領用表!$E:$E,$B45,領用表!$B:$B,$CS$2&amp;CX$2)</f>
        <v>0</v>
      </c>
      <c r="CY45" s="208">
        <f>SUMIFS(領用表!$L:$L,領用表!$A:$A,CY$2,領用表!$E:$E,B45)</f>
        <v>142</v>
      </c>
      <c r="CZ45" s="206">
        <f>SUMIFS(領用表!$L:$L,領用表!$E:$E,$B45,領用表!$B:$B,CY$2&amp;CZ$2)</f>
        <v>70</v>
      </c>
      <c r="DA45" s="206">
        <f>SUMIFS(領用表!$L:$L,領用表!$E:$E,$B45,領用表!$B:$B,$CY$2&amp;DA$2)</f>
        <v>0</v>
      </c>
      <c r="DB45" s="206">
        <f>SUMIFS(領用表!$L:$L,領用表!$E:$E,$B45,領用表!$B:$B,$CY$2&amp;DB$2)</f>
        <v>55</v>
      </c>
      <c r="DC45" s="206">
        <f>SUMIFS(領用表!$L:$L,領用表!$E:$E,$B45,領用表!$B:$B,$CY$2&amp;DC$2)</f>
        <v>0</v>
      </c>
      <c r="DD45" s="206">
        <f>SUMIFS(領用表!$L:$L,領用表!$E:$E,$B45,領用表!$B:$B,$CY$2&amp;DD$2)</f>
        <v>17</v>
      </c>
      <c r="DE45" s="208">
        <f>SUMIFS(領用表!$L:$L,領用表!$A:$A,DE$2,領用表!$E:$E,B45)</f>
        <v>157</v>
      </c>
      <c r="DF45" s="206">
        <f>SUMIFS(領用表!$L:$L,領用表!$E:$E,$B45,領用表!$B:$B,DE$2&amp;DF$2)</f>
        <v>103</v>
      </c>
      <c r="DG45" s="206">
        <f>SUMIFS(領用表!$L:$L,領用表!$E:$E,$B45,領用表!$B:$B,$DE$2&amp;DG$2)</f>
        <v>0</v>
      </c>
      <c r="DH45" s="206">
        <f>SUMIFS(領用表!$L:$L,領用表!$E:$E,$B45,領用表!$B:$B,$DE$2&amp;DH$2)</f>
        <v>35</v>
      </c>
      <c r="DI45" s="206">
        <f>SUMIFS(領用表!$L:$L,領用表!$E:$E,$B45,領用表!$B:$B,$DE$2&amp;DI$2)</f>
        <v>0</v>
      </c>
      <c r="DJ45" s="206">
        <f>SUMIFS(領用表!$L:$L,領用表!$E:$E,$B45,領用表!$B:$B,$DE$2&amp;DJ$2)</f>
        <v>19</v>
      </c>
      <c r="DK45" s="208">
        <f>SUMIFS(領用表!$L:$L,領用表!$A:$A,DK$2,領用表!$E:$E,$B45)</f>
        <v>93</v>
      </c>
      <c r="DL45" s="206">
        <f>SUMIFS(領用表!$L:$L,領用表!$E:$E,$B45,領用表!$B:$B,DK$2&amp;DL$2)</f>
        <v>67</v>
      </c>
      <c r="DM45" s="206">
        <f>SUMIFS(領用表!$L:$L,領用表!$E:$E,$B45,領用表!$B:$B,$DK$2&amp;DM$2)</f>
        <v>0</v>
      </c>
      <c r="DN45" s="206">
        <f>SUMIFS(領用表!$L:$L,領用表!$E:$E,$B45,領用表!$B:$B,$DK$2&amp;DN$2)</f>
        <v>22</v>
      </c>
      <c r="DO45" s="206">
        <f>SUMIFS(領用表!$L:$L,領用表!$E:$E,$B45,領用表!$B:$B,$DK$2&amp;DO$2)</f>
        <v>0</v>
      </c>
      <c r="DP45" s="206">
        <f>SUMIFS(領用表!$L:$L,領用表!$E:$E,$B45,領用表!$B:$B,$DK$2&amp;DP$2)</f>
        <v>4</v>
      </c>
      <c r="DQ45" s="206">
        <f t="shared" si="14"/>
        <v>515</v>
      </c>
      <c r="DR45" s="206">
        <f t="shared" si="15"/>
        <v>103</v>
      </c>
      <c r="DS45" s="206">
        <f t="shared" si="6"/>
        <v>50</v>
      </c>
      <c r="DT45" s="206">
        <v>30</v>
      </c>
      <c r="DU45" s="206">
        <v>0</v>
      </c>
      <c r="DV45" s="206">
        <v>20</v>
      </c>
      <c r="DW45" s="206">
        <v>0</v>
      </c>
      <c r="DX45" s="215">
        <v>0</v>
      </c>
      <c r="DY45" s="210">
        <v>0</v>
      </c>
      <c r="DZ45" s="211" t="s">
        <v>801</v>
      </c>
      <c r="EA45" s="211" t="s">
        <v>801</v>
      </c>
      <c r="EB45" s="136"/>
      <c r="EC45" s="212"/>
      <c r="ED45" s="118">
        <f>IFERROR(VLOOKUP(A45,站前4樓!A:BF,57,0),0)</f>
        <v>26</v>
      </c>
      <c r="EE45" s="213">
        <f>IFERROR(VLOOKUP(A45,站前11樓!A:BE,57,0),0)</f>
        <v>0</v>
      </c>
      <c r="EF45" s="118">
        <f>IFERROR(VLOOKUP(A45,忠孝7樓!A:N,57,0),0)</f>
        <v>0</v>
      </c>
      <c r="EG45" s="118">
        <f>IFERROR(VLOOKUP(A45,忠孝國際醫學3樓!A:L,57,0),0)</f>
        <v>0</v>
      </c>
      <c r="EH45" s="118">
        <f t="shared" si="7"/>
        <v>26</v>
      </c>
      <c r="EJ45" s="118">
        <v>12</v>
      </c>
      <c r="EK45" s="118">
        <v>15</v>
      </c>
    </row>
    <row r="46" spans="1:141" s="118" customFormat="1" ht="15.75" customHeight="1">
      <c r="A46" s="136" t="s">
        <v>77</v>
      </c>
      <c r="B46" s="118">
        <v>6170034</v>
      </c>
      <c r="C46" s="133" t="s">
        <v>485</v>
      </c>
      <c r="D46" s="207">
        <v>900</v>
      </c>
      <c r="E46" s="198" t="s">
        <v>78</v>
      </c>
      <c r="F46" s="199">
        <f>SUMIF(站前4樓!B:B,B46,站前4樓!F:F)</f>
        <v>32662</v>
      </c>
      <c r="G46" s="199">
        <f>SUMIF(站前11樓!B:B,B46,站前11樓!F:F)</f>
        <v>0</v>
      </c>
      <c r="H46" s="199">
        <f>SUMIF(忠孝7樓!B:B,B46,忠孝7樓!G:G)</f>
        <v>76120</v>
      </c>
      <c r="I46" s="199">
        <f>SUMIF(忠孝國際醫學3樓!B:B,B46,忠孝國際醫學3樓!G:G)</f>
        <v>0</v>
      </c>
      <c r="J46" s="199">
        <f>SUMIF(忠孝健康7樓!B:B,B46,忠孝健康7樓!G:G)</f>
        <v>15648</v>
      </c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21"/>
      <c r="AK46" s="221"/>
      <c r="AL46" s="221"/>
      <c r="AM46" s="221"/>
      <c r="AN46" s="221"/>
      <c r="AO46" s="221"/>
      <c r="AP46" s="221"/>
      <c r="AQ46" s="221"/>
      <c r="AR46" s="221"/>
      <c r="AS46" s="201"/>
      <c r="AT46" s="202"/>
      <c r="AU46" s="203"/>
      <c r="AV46" s="204"/>
      <c r="AW46" s="205"/>
      <c r="AX46" s="205" t="s">
        <v>49</v>
      </c>
      <c r="AY46" s="205" t="s">
        <v>49</v>
      </c>
      <c r="AZ46" s="205" t="s">
        <v>49</v>
      </c>
      <c r="BA46" s="205" t="s">
        <v>49</v>
      </c>
      <c r="BB46" s="205" t="s">
        <v>49</v>
      </c>
      <c r="BC46" s="203">
        <f>SUMIFS(領用表!$L:$L,領用表!$A:$A,BC$2,領用表!$E:$E,B46)</f>
        <v>0</v>
      </c>
      <c r="BD46" s="206">
        <f>SUMIFS(領用表!$L:$L,領用表!$E:$E,$B46,領用表!$B:$B,BC$2&amp;BD$2)</f>
        <v>0</v>
      </c>
      <c r="BE46" s="206">
        <f>SUMIFS(領用表!$L:$L,領用表!$E:$E,$B46,領用表!$B:$B,$BC$2&amp;BE$2)</f>
        <v>0</v>
      </c>
      <c r="BF46" s="206">
        <f>SUMIFS(領用表!$L:$L,領用表!$E:$E,$B46,領用表!$B:$B,$BC$2&amp;BF$2)</f>
        <v>0</v>
      </c>
      <c r="BG46" s="206">
        <f>SUMIFS(領用表!$L:$L,領用表!$E:$E,$B46,領用表!$B:$B,$BC$2&amp;BG$2)</f>
        <v>0</v>
      </c>
      <c r="BH46" s="203">
        <f>SUMIFS(領用表!$L:$L,領用表!$A:$A,BH$2,領用表!$E:$E,B46)</f>
        <v>32605</v>
      </c>
      <c r="BI46" s="206">
        <f>SUMIFS(領用表!$L:$L,領用表!$E:$E,$B46,領用表!$B:$B,BH$2&amp;BI$2)</f>
        <v>12404</v>
      </c>
      <c r="BJ46" s="206">
        <f>SUMIFS(領用表!$L:$L,領用表!$E:$E,$B46,領用表!$B:$B,$BH$2&amp;BJ$2)</f>
        <v>0</v>
      </c>
      <c r="BK46" s="206">
        <f>SUMIFS(領用表!$L:$L,領用表!$E:$E,$B46,領用表!$B:$B,$BH$2&amp;BK$2)</f>
        <v>20201</v>
      </c>
      <c r="BL46" s="206">
        <f>SUMIFS(領用表!$L:$L,領用表!$E:$E,$B46,領用表!$B:$B,$BH$2&amp;BL$2)</f>
        <v>0</v>
      </c>
      <c r="BM46" s="203">
        <f>SUMIFS(領用表!$L:$L,領用表!$A:$A,BM$2,領用表!$E:$E,B46)</f>
        <v>44842</v>
      </c>
      <c r="BN46" s="206">
        <f>SUMIFS(領用表!$L:$L,領用表!$E:$E,$B46,領用表!$B:$B,BM$2&amp;BN$2)</f>
        <v>18400</v>
      </c>
      <c r="BO46" s="206">
        <f>SUMIFS(領用表!$L:$L,領用表!$E:$E,$B46,領用表!$B:$B,$BM$2&amp;BO$2)</f>
        <v>0</v>
      </c>
      <c r="BP46" s="206">
        <f>SUMIFS(領用表!$L:$L,領用表!$E:$E,$B46,領用表!$B:$B,$BM$2&amp;BP$2)</f>
        <v>26442</v>
      </c>
      <c r="BQ46" s="206">
        <f>SUMIFS(領用表!$L:$L,領用表!$E:$E,$B46,領用表!$B:$B,$BM$2&amp;BQ$2)</f>
        <v>0</v>
      </c>
      <c r="BR46" s="203">
        <f>SUMIFS(領用表!$L:$L,領用表!$A:$A,BR$2,領用表!$E:$E,B46)</f>
        <v>41007</v>
      </c>
      <c r="BS46" s="206">
        <f>SUMIFS(領用表!$L:$L,領用表!$E:$E,$B46,領用表!$B:$B,BR$2&amp;BS$2)</f>
        <v>15401</v>
      </c>
      <c r="BT46" s="206">
        <f>SUMIFS(領用表!$L:$L,領用表!$E:$E,$B46,領用表!$B:$B,$BR$2&amp;BT$2)</f>
        <v>0</v>
      </c>
      <c r="BU46" s="206">
        <f>SUMIFS(領用表!$L:$L,領用表!$E:$E,$B46,領用表!$B:$B,$BR$2&amp;BU$2)</f>
        <v>25606</v>
      </c>
      <c r="BV46" s="206">
        <f>SUMIFS(領用表!$L:$L,領用表!$E:$E,$B46,領用表!$B:$B,$BR$2&amp;BV$2)</f>
        <v>0</v>
      </c>
      <c r="BW46" s="208">
        <f>SUMIFS(領用表!$L:$L,領用表!$A:$A,BW$2,領用表!$E:$E,B46)</f>
        <v>55412</v>
      </c>
      <c r="BX46" s="206">
        <f>SUMIFS(領用表!$L:$L,領用表!$E:$E,$B46,領用表!$B:$B,BW$2&amp;BX$2)</f>
        <v>15700</v>
      </c>
      <c r="BY46" s="206">
        <f>SUMIFS(領用表!$L:$L,領用表!$E:$E,$B46,領用表!$B:$B,$BW$2&amp;BY$2)</f>
        <v>0</v>
      </c>
      <c r="BZ46" s="206">
        <f>SUMIFS(領用表!$L:$L,領用表!$E:$E,$B46,領用表!$B:$B,$BW$2&amp;BZ$2)</f>
        <v>39712</v>
      </c>
      <c r="CA46" s="206">
        <f>SUMIFS(領用表!$L:$L,領用表!$E:$E,$B46,領用表!$B:$B,$BW$2&amp;CA$2)</f>
        <v>0</v>
      </c>
      <c r="CB46" s="208">
        <f>SUMIFS(領用表!$L:$L,領用表!$A:$A,CB$2,領用表!$E:$E,B46)</f>
        <v>45200</v>
      </c>
      <c r="CC46" s="206">
        <f>SUMIFS(領用表!$L:$L,領用表!$E:$E,$B46,領用表!$B:$B,CB$2&amp;CC$2)</f>
        <v>15300</v>
      </c>
      <c r="CD46" s="206">
        <f>SUMIFS(領用表!$L:$L,領用表!$E:$E,$B46,領用表!$B:$B,$CB$2&amp;CD$2)</f>
        <v>0</v>
      </c>
      <c r="CE46" s="206">
        <f>SUMIFS(領用表!$L:$L,領用表!$E:$E,$B46,領用表!$B:$B,$CB$2&amp;CE$2)</f>
        <v>29900</v>
      </c>
      <c r="CF46" s="206">
        <f>SUMIFS(領用表!$L:$L,領用表!$E:$E,$B46,領用表!$B:$B,$CB$2&amp;CF$2)</f>
        <v>0</v>
      </c>
      <c r="CG46" s="208">
        <f>SUMIFS(領用表!$L:$L,領用表!$A:$A,CG$2,領用表!$E:$E,B46)</f>
        <v>99251</v>
      </c>
      <c r="CH46" s="206">
        <f>SUMIFS(領用表!$L:$L,領用表!$E:$E,$B46,領用表!$B:$B,CG$2&amp;CH$2)</f>
        <v>25700</v>
      </c>
      <c r="CI46" s="206">
        <f>SUMIFS(領用表!$L:$L,領用表!$E:$E,$B46,領用表!$B:$B,CG$2&amp;CI$2)</f>
        <v>0</v>
      </c>
      <c r="CJ46" s="206">
        <f>SUMIFS(領用表!$L:$L,領用表!$E:$E,$B46,領用表!$B:$B,CG$2&amp;CJ$2)</f>
        <v>73551</v>
      </c>
      <c r="CK46" s="206">
        <f>SUMIFS(領用表!$L:$L,領用表!$E:$E,$B46,領用表!$B:$B,$CG$2&amp;CK$2)</f>
        <v>0</v>
      </c>
      <c r="CL46" s="207">
        <f t="shared" si="16"/>
        <v>318317</v>
      </c>
      <c r="CM46" s="207">
        <f t="shared" si="17"/>
        <v>45473.857142857145</v>
      </c>
      <c r="CN46" s="208">
        <f>SUMIFS(領用表!$L:$L,領用表!$A:$A,CN$2,領用表!$E:$E,B46)</f>
        <v>191335</v>
      </c>
      <c r="CO46" s="206">
        <f>SUMIFS(領用表!$L:$L,領用表!$E:$E,$B46,領用表!$B:$B,CN$2&amp;CO$2)</f>
        <v>53151</v>
      </c>
      <c r="CP46" s="206">
        <f>SUMIFS(領用表!$L:$L,領用表!$E:$E,$B46,領用表!$B:$B,$CN$2&amp;CP$2)</f>
        <v>0</v>
      </c>
      <c r="CQ46" s="206">
        <f>SUMIFS(領用表!$L:$L,領用表!$E:$E,$B46,領用表!$B:$B,$CN$2&amp;CQ$2)</f>
        <v>138184</v>
      </c>
      <c r="CR46" s="206">
        <f>SUMIFS(領用表!$L:$L,領用表!$E:$E,$B46,領用表!$B:$B,$CN$2&amp;CR$2)</f>
        <v>0</v>
      </c>
      <c r="CS46" s="208">
        <f>SUMIFS(領用表!$L:$L,領用表!$A:$A,CS$2,領用表!$E:$E,B46)</f>
        <v>216612</v>
      </c>
      <c r="CT46" s="206">
        <f>SUMIFS(領用表!$L:$L,領用表!$E:$E,$B46,領用表!$B:$B,CS$2&amp;CT$2)</f>
        <v>63103</v>
      </c>
      <c r="CU46" s="206">
        <f>SUMIFS(領用表!$L:$L,領用表!$E:$E,$B46,領用表!$B:$B,$CS$2&amp;CU$2)</f>
        <v>0</v>
      </c>
      <c r="CV46" s="206">
        <f>SUMIFS(領用表!$L:$L,領用表!$E:$E,$B46,領用表!$B:$B,$CS$2&amp;CV$2)</f>
        <v>138209</v>
      </c>
      <c r="CW46" s="206">
        <f>SUMIFS(領用表!$L:$L,領用表!$E:$E,$B46,領用表!$B:$B,$CS$2&amp;CW$2)</f>
        <v>0</v>
      </c>
      <c r="CX46" s="206">
        <f>SUMIFS(領用表!$L:$L,領用表!$E:$E,$B46,領用表!$B:$B,$CS$2&amp;CX$2)</f>
        <v>15300</v>
      </c>
      <c r="CY46" s="208">
        <f>SUMIFS(領用表!$L:$L,領用表!$A:$A,CY$2,領用表!$E:$E,B46)</f>
        <v>297604</v>
      </c>
      <c r="CZ46" s="206">
        <f>SUMIFS(領用表!$L:$L,領用表!$E:$E,$B46,領用表!$B:$B,CY$2&amp;CZ$2)</f>
        <v>91001</v>
      </c>
      <c r="DA46" s="206">
        <f>SUMIFS(領用表!$L:$L,領用表!$E:$E,$B46,領用表!$B:$B,$CY$2&amp;DA$2)</f>
        <v>0</v>
      </c>
      <c r="DB46" s="206">
        <f>SUMIFS(領用表!$L:$L,領用表!$E:$E,$B46,領用表!$B:$B,$CY$2&amp;DB$2)</f>
        <v>155303</v>
      </c>
      <c r="DC46" s="206">
        <f>SUMIFS(領用表!$L:$L,領用表!$E:$E,$B46,領用表!$B:$B,$CY$2&amp;DC$2)</f>
        <v>0</v>
      </c>
      <c r="DD46" s="206">
        <f>SUMIFS(領用表!$L:$L,領用表!$E:$E,$B46,領用表!$B:$B,$CY$2&amp;DD$2)</f>
        <v>51300</v>
      </c>
      <c r="DE46" s="208">
        <f>SUMIFS(領用表!$L:$L,領用表!$A:$A,DE$2,領用表!$E:$E,B46)</f>
        <v>308355</v>
      </c>
      <c r="DF46" s="206">
        <f>SUMIFS(領用表!$L:$L,領用表!$E:$E,$B46,領用表!$B:$B,DE$2&amp;DF$2)</f>
        <v>72505</v>
      </c>
      <c r="DG46" s="206">
        <f>SUMIFS(領用表!$L:$L,領用表!$E:$E,$B46,領用表!$B:$B,$DE$2&amp;DG$2)</f>
        <v>0</v>
      </c>
      <c r="DH46" s="206">
        <f>SUMIFS(領用表!$L:$L,領用表!$E:$E,$B46,領用表!$B:$B,$DE$2&amp;DH$2)</f>
        <v>157500</v>
      </c>
      <c r="DI46" s="206">
        <f>SUMIFS(領用表!$L:$L,領用表!$E:$E,$B46,領用表!$B:$B,$DE$2&amp;DI$2)</f>
        <v>0</v>
      </c>
      <c r="DJ46" s="206">
        <f>SUMIFS(領用表!$L:$L,領用表!$E:$E,$B46,領用表!$B:$B,$DE$2&amp;DJ$2)</f>
        <v>78350</v>
      </c>
      <c r="DK46" s="208">
        <f>SUMIFS(領用表!$L:$L,領用表!$A:$A,DK$2,領用表!$E:$E,$B46)</f>
        <v>367105</v>
      </c>
      <c r="DL46" s="206">
        <f>SUMIFS(領用表!$L:$L,領用表!$E:$E,$B46,領用表!$B:$B,DK$2&amp;DL$2)</f>
        <v>107705</v>
      </c>
      <c r="DM46" s="206">
        <f>SUMIFS(領用表!$L:$L,領用表!$E:$E,$B46,領用表!$B:$B,$DK$2&amp;DM$2)</f>
        <v>0</v>
      </c>
      <c r="DN46" s="206">
        <f>SUMIFS(領用表!$L:$L,領用表!$E:$E,$B46,領用表!$B:$B,$DK$2&amp;DN$2)</f>
        <v>176500</v>
      </c>
      <c r="DO46" s="206">
        <f>SUMIFS(領用表!$L:$L,領用表!$E:$E,$B46,領用表!$B:$B,$DK$2&amp;DO$2)</f>
        <v>0</v>
      </c>
      <c r="DP46" s="206">
        <f>SUMIFS(領用表!$L:$L,領用表!$E:$E,$B46,領用表!$B:$B,$DK$2&amp;DP$2)</f>
        <v>82900</v>
      </c>
      <c r="DQ46" s="206">
        <f t="shared" si="14"/>
        <v>1381011</v>
      </c>
      <c r="DR46" s="206">
        <f t="shared" si="15"/>
        <v>276202.2</v>
      </c>
      <c r="DS46" s="206">
        <f t="shared" si="6"/>
        <v>210000</v>
      </c>
      <c r="DT46" s="206">
        <v>60000</v>
      </c>
      <c r="DU46" s="206">
        <v>0</v>
      </c>
      <c r="DV46" s="206">
        <v>150000</v>
      </c>
      <c r="DW46" s="206">
        <v>0</v>
      </c>
      <c r="DX46" s="257"/>
      <c r="DY46" s="210"/>
      <c r="DZ46" s="211" t="s">
        <v>802</v>
      </c>
      <c r="EA46" s="211" t="s">
        <v>802</v>
      </c>
      <c r="EB46" s="345"/>
      <c r="EC46" s="212"/>
      <c r="ED46" s="118">
        <f>IFERROR(VLOOKUP(A46,站前4樓!A:BF,57,0),0)</f>
        <v>15300</v>
      </c>
      <c r="EE46" s="213">
        <f>IFERROR(VLOOKUP(A46,站前11樓!A:BE,57,0),0)</f>
        <v>0</v>
      </c>
      <c r="EF46" s="118">
        <f>IFERROR(VLOOKUP(A46,忠孝7樓!A:N,57,0),0)</f>
        <v>0</v>
      </c>
      <c r="EG46" s="118">
        <f>IFERROR(VLOOKUP(A46,忠孝國際醫學3樓!A:L,57,0),0)</f>
        <v>0</v>
      </c>
      <c r="EH46" s="118">
        <f t="shared" si="7"/>
        <v>15300</v>
      </c>
      <c r="EJ46" s="118">
        <v>45427</v>
      </c>
      <c r="EK46" s="118">
        <v>3952</v>
      </c>
    </row>
    <row r="47" spans="1:141" s="118" customFormat="1" ht="15">
      <c r="A47" s="136" t="s">
        <v>80</v>
      </c>
      <c r="B47" s="118">
        <v>6170035</v>
      </c>
      <c r="C47" s="133" t="s">
        <v>486</v>
      </c>
      <c r="D47" s="207">
        <v>600</v>
      </c>
      <c r="E47" s="198" t="s">
        <v>78</v>
      </c>
      <c r="F47" s="199">
        <f>SUMIF(站前4樓!B:B,B47,站前4樓!F:F)</f>
        <v>2289</v>
      </c>
      <c r="G47" s="199">
        <f>SUMIF(站前11樓!B:B,B47,站前11樓!F:F)</f>
        <v>0</v>
      </c>
      <c r="H47" s="199">
        <f>SUMIF(忠孝7樓!B:B,B47,忠孝7樓!G:G)</f>
        <v>7039</v>
      </c>
      <c r="I47" s="199">
        <f>SUMIF(忠孝國際醫學3樓!B:B,B47,忠孝國際醫學3樓!G:G)</f>
        <v>0</v>
      </c>
      <c r="J47" s="199">
        <f>SUMIF(忠孝健康7樓!B:B,B47,忠孝健康7樓!G:G)</f>
        <v>21550</v>
      </c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  <c r="AH47" s="200"/>
      <c r="AI47" s="200"/>
      <c r="AJ47" s="221"/>
      <c r="AK47" s="221"/>
      <c r="AL47" s="221"/>
      <c r="AM47" s="221"/>
      <c r="AN47" s="221"/>
      <c r="AO47" s="221"/>
      <c r="AP47" s="221"/>
      <c r="AQ47" s="221"/>
      <c r="AR47" s="221"/>
      <c r="AS47" s="201"/>
      <c r="AT47" s="202"/>
      <c r="AU47" s="203"/>
      <c r="AV47" s="204"/>
      <c r="AW47" s="205"/>
      <c r="AX47" s="205" t="s">
        <v>49</v>
      </c>
      <c r="AY47" s="205" t="s">
        <v>49</v>
      </c>
      <c r="AZ47" s="205" t="s">
        <v>49</v>
      </c>
      <c r="BA47" s="205" t="s">
        <v>49</v>
      </c>
      <c r="BB47" s="205" t="s">
        <v>49</v>
      </c>
      <c r="BC47" s="203">
        <f>SUMIFS(領用表!$L:$L,領用表!$A:$A,BC$2,領用表!$E:$E,B47)</f>
        <v>0</v>
      </c>
      <c r="BD47" s="206">
        <f>SUMIFS(領用表!$L:$L,領用表!$E:$E,$B47,領用表!$B:$B,BC$2&amp;BD$2)</f>
        <v>0</v>
      </c>
      <c r="BE47" s="206">
        <f>SUMIFS(領用表!$L:$L,領用表!$E:$E,$B47,領用表!$B:$B,$BC$2&amp;BE$2)</f>
        <v>0</v>
      </c>
      <c r="BF47" s="206">
        <f>SUMIFS(領用表!$L:$L,領用表!$E:$E,$B47,領用表!$B:$B,$BC$2&amp;BF$2)</f>
        <v>0</v>
      </c>
      <c r="BG47" s="206">
        <f>SUMIFS(領用表!$L:$L,領用表!$E:$E,$B47,領用表!$B:$B,$BC$2&amp;BG$2)</f>
        <v>0</v>
      </c>
      <c r="BH47" s="203">
        <f>SUMIFS(領用表!$L:$L,領用表!$A:$A,BH$2,領用表!$E:$E,B47)</f>
        <v>10600</v>
      </c>
      <c r="BI47" s="206">
        <f>SUMIFS(領用表!$L:$L,領用表!$E:$E,$B47,領用表!$B:$B,BH$2&amp;BI$2)</f>
        <v>5200</v>
      </c>
      <c r="BJ47" s="206">
        <f>SUMIFS(領用表!$L:$L,領用表!$E:$E,$B47,領用表!$B:$B,$BH$2&amp;BJ$2)</f>
        <v>0</v>
      </c>
      <c r="BK47" s="206">
        <f>SUMIFS(領用表!$L:$L,領用表!$E:$E,$B47,領用表!$B:$B,$BH$2&amp;BK$2)</f>
        <v>5400</v>
      </c>
      <c r="BL47" s="206">
        <f>SUMIFS(領用表!$L:$L,領用表!$E:$E,$B47,領用表!$B:$B,$BH$2&amp;BL$2)</f>
        <v>0</v>
      </c>
      <c r="BM47" s="203">
        <f>SUMIFS(領用表!$L:$L,領用表!$A:$A,BM$2,領用表!$E:$E,B47)</f>
        <v>14360</v>
      </c>
      <c r="BN47" s="206">
        <f>SUMIFS(領用表!$L:$L,領用表!$E:$E,$B47,領用表!$B:$B,BM$2&amp;BN$2)</f>
        <v>6200</v>
      </c>
      <c r="BO47" s="206">
        <f>SUMIFS(領用表!$L:$L,領用表!$E:$E,$B47,領用表!$B:$B,$BM$2&amp;BO$2)</f>
        <v>0</v>
      </c>
      <c r="BP47" s="206">
        <f>SUMIFS(領用表!$L:$L,領用表!$E:$E,$B47,領用表!$B:$B,$BM$2&amp;BP$2)</f>
        <v>8160</v>
      </c>
      <c r="BQ47" s="206">
        <f>SUMIFS(領用表!$L:$L,領用表!$E:$E,$B47,領用表!$B:$B,$BM$2&amp;BQ$2)</f>
        <v>0</v>
      </c>
      <c r="BR47" s="203">
        <f>SUMIFS(領用表!$L:$L,領用表!$A:$A,BR$2,領用表!$E:$E,B47)</f>
        <v>17500</v>
      </c>
      <c r="BS47" s="206">
        <f>SUMIFS(領用表!$L:$L,領用表!$E:$E,$B47,領用表!$B:$B,BR$2&amp;BS$2)</f>
        <v>7600</v>
      </c>
      <c r="BT47" s="206">
        <f>SUMIFS(領用表!$L:$L,領用表!$E:$E,$B47,領用表!$B:$B,$BR$2&amp;BT$2)</f>
        <v>0</v>
      </c>
      <c r="BU47" s="206">
        <f>SUMIFS(領用表!$L:$L,領用表!$E:$E,$B47,領用表!$B:$B,$BR$2&amp;BU$2)</f>
        <v>9900</v>
      </c>
      <c r="BV47" s="206">
        <f>SUMIFS(領用表!$L:$L,領用表!$E:$E,$B47,領用表!$B:$B,$BR$2&amp;BV$2)</f>
        <v>0</v>
      </c>
      <c r="BW47" s="208">
        <f>SUMIFS(領用表!$L:$L,領用表!$A:$A,BW$2,領用表!$E:$E,B47)</f>
        <v>15101</v>
      </c>
      <c r="BX47" s="206">
        <f>SUMIFS(領用表!$L:$L,領用表!$E:$E,$B47,領用表!$B:$B,BW$2&amp;BX$2)</f>
        <v>5000</v>
      </c>
      <c r="BY47" s="206">
        <f>SUMIFS(領用表!$L:$L,領用表!$E:$E,$B47,領用表!$B:$B,$BW$2&amp;BY$2)</f>
        <v>0</v>
      </c>
      <c r="BZ47" s="206">
        <f>SUMIFS(領用表!$L:$L,領用表!$E:$E,$B47,領用表!$B:$B,$BW$2&amp;BZ$2)</f>
        <v>10101</v>
      </c>
      <c r="CA47" s="206">
        <f>SUMIFS(領用表!$L:$L,領用表!$E:$E,$B47,領用表!$B:$B,$BW$2&amp;CA$2)</f>
        <v>0</v>
      </c>
      <c r="CB47" s="208">
        <f>SUMIFS(領用表!$L:$L,領用表!$A:$A,CB$2,領用表!$E:$E,B47)</f>
        <v>10606</v>
      </c>
      <c r="CC47" s="206">
        <f>SUMIFS(領用表!$L:$L,領用表!$E:$E,$B47,領用表!$B:$B,CB$2&amp;CC$2)</f>
        <v>3400</v>
      </c>
      <c r="CD47" s="206">
        <f>SUMIFS(領用表!$L:$L,領用表!$E:$E,$B47,領用表!$B:$B,$CB$2&amp;CD$2)</f>
        <v>0</v>
      </c>
      <c r="CE47" s="206">
        <f>SUMIFS(領用表!$L:$L,領用表!$E:$E,$B47,領用表!$B:$B,$CB$2&amp;CE$2)</f>
        <v>7206</v>
      </c>
      <c r="CF47" s="206">
        <f>SUMIFS(領用表!$L:$L,領用表!$E:$E,$B47,領用表!$B:$B,$CB$2&amp;CF$2)</f>
        <v>0</v>
      </c>
      <c r="CG47" s="208">
        <f>SUMIFS(領用表!$L:$L,領用表!$A:$A,CG$2,領用表!$E:$E,B47)</f>
        <v>19719</v>
      </c>
      <c r="CH47" s="206">
        <f>SUMIFS(領用表!$L:$L,領用表!$E:$E,$B47,領用表!$B:$B,CG$2&amp;CH$2)</f>
        <v>10319</v>
      </c>
      <c r="CI47" s="206">
        <f>SUMIFS(領用表!$L:$L,領用表!$E:$E,$B47,領用表!$B:$B,CG$2&amp;CI$2)</f>
        <v>0</v>
      </c>
      <c r="CJ47" s="206">
        <f>SUMIFS(領用表!$L:$L,領用表!$E:$E,$B47,領用表!$B:$B,CG$2&amp;CJ$2)</f>
        <v>9400</v>
      </c>
      <c r="CK47" s="206">
        <f>SUMIFS(領用表!$L:$L,領用表!$E:$E,$B47,領用表!$B:$B,$CG$2&amp;CK$2)</f>
        <v>0</v>
      </c>
      <c r="CL47" s="207">
        <f t="shared" si="16"/>
        <v>87886</v>
      </c>
      <c r="CM47" s="207">
        <f t="shared" si="17"/>
        <v>12555.142857142857</v>
      </c>
      <c r="CN47" s="208">
        <f>SUMIFS(領用表!$L:$L,領用表!$A:$A,CN$2,領用表!$E:$E,B47)</f>
        <v>33248</v>
      </c>
      <c r="CO47" s="206">
        <f>SUMIFS(領用表!$L:$L,領用表!$E:$E,$B47,領用表!$B:$B,CN$2&amp;CO$2)</f>
        <v>14250</v>
      </c>
      <c r="CP47" s="206">
        <f>SUMIFS(領用表!$L:$L,領用表!$E:$E,$B47,領用表!$B:$B,$CN$2&amp;CP$2)</f>
        <v>0</v>
      </c>
      <c r="CQ47" s="206">
        <f>SUMIFS(領用表!$L:$L,領用表!$E:$E,$B47,領用表!$B:$B,$CN$2&amp;CQ$2)</f>
        <v>18998</v>
      </c>
      <c r="CR47" s="206">
        <f>SUMIFS(領用表!$L:$L,領用表!$E:$E,$B47,領用表!$B:$B,$CN$2&amp;CR$2)</f>
        <v>0</v>
      </c>
      <c r="CS47" s="208">
        <f>SUMIFS(領用表!$L:$L,領用表!$A:$A,CS$2,領用表!$E:$E,B47)</f>
        <v>42600</v>
      </c>
      <c r="CT47" s="206">
        <f>SUMIFS(領用表!$L:$L,領用表!$E:$E,$B47,領用表!$B:$B,CS$2&amp;CT$2)</f>
        <v>13700</v>
      </c>
      <c r="CU47" s="206">
        <f>SUMIFS(領用表!$L:$L,領用表!$E:$E,$B47,領用表!$B:$B,$CS$2&amp;CU$2)</f>
        <v>0</v>
      </c>
      <c r="CV47" s="206">
        <f>SUMIFS(領用表!$L:$L,領用表!$E:$E,$B47,領用表!$B:$B,$CS$2&amp;CV$2)</f>
        <v>26500</v>
      </c>
      <c r="CW47" s="206">
        <f>SUMIFS(領用表!$L:$L,領用表!$E:$E,$B47,領用表!$B:$B,$CS$2&amp;CW$2)</f>
        <v>0</v>
      </c>
      <c r="CX47" s="206">
        <f>SUMIFS(領用表!$L:$L,領用表!$E:$E,$B47,領用表!$B:$B,$CS$2&amp;CX$2)</f>
        <v>2400</v>
      </c>
      <c r="CY47" s="208">
        <f>SUMIFS(領用表!$L:$L,領用表!$A:$A,CY$2,領用表!$E:$E,B47)</f>
        <v>81506</v>
      </c>
      <c r="CZ47" s="206">
        <f>SUMIFS(領用表!$L:$L,領用表!$E:$E,$B47,領用表!$B:$B,CY$2&amp;CZ$2)</f>
        <v>22604</v>
      </c>
      <c r="DA47" s="206">
        <f>SUMIFS(領用表!$L:$L,領用表!$E:$E,$B47,領用表!$B:$B,$CY$2&amp;DA$2)</f>
        <v>0</v>
      </c>
      <c r="DB47" s="206">
        <f>SUMIFS(領用表!$L:$L,領用表!$E:$E,$B47,領用表!$B:$B,$CY$2&amp;DB$2)</f>
        <v>39402</v>
      </c>
      <c r="DC47" s="206">
        <f>SUMIFS(領用表!$L:$L,領用表!$E:$E,$B47,領用表!$B:$B,$CY$2&amp;DC$2)</f>
        <v>0</v>
      </c>
      <c r="DD47" s="206">
        <f>SUMIFS(領用表!$L:$L,領用表!$E:$E,$B47,領用表!$B:$B,$CY$2&amp;DD$2)</f>
        <v>19500</v>
      </c>
      <c r="DE47" s="208">
        <f>SUMIFS(領用表!$L:$L,領用表!$A:$A,DE$2,領用表!$E:$E,B47)</f>
        <v>59553</v>
      </c>
      <c r="DF47" s="206">
        <f>SUMIFS(領用表!$L:$L,領用表!$E:$E,$B47,領用表!$B:$B,DE$2&amp;DF$2)</f>
        <v>20002</v>
      </c>
      <c r="DG47" s="206">
        <f>SUMIFS(領用表!$L:$L,領用表!$E:$E,$B47,領用表!$B:$B,$DE$2&amp;DG$2)</f>
        <v>0</v>
      </c>
      <c r="DH47" s="206">
        <f>SUMIFS(領用表!$L:$L,領用表!$E:$E,$B47,領用表!$B:$B,$DE$2&amp;DH$2)</f>
        <v>26601</v>
      </c>
      <c r="DI47" s="206">
        <f>SUMIFS(領用表!$L:$L,領用表!$E:$E,$B47,領用表!$B:$B,$DE$2&amp;DI$2)</f>
        <v>0</v>
      </c>
      <c r="DJ47" s="206">
        <f>SUMIFS(領用表!$L:$L,領用表!$E:$E,$B47,領用表!$B:$B,$DE$2&amp;DJ$2)</f>
        <v>12950</v>
      </c>
      <c r="DK47" s="208">
        <f>SUMIFS(領用表!$L:$L,領用表!$A:$A,DK$2,領用表!$E:$E,$B47)</f>
        <v>89700</v>
      </c>
      <c r="DL47" s="206">
        <f>SUMIFS(領用表!$L:$L,領用表!$E:$E,$B47,領用表!$B:$B,DK$2&amp;DL$2)</f>
        <v>26100</v>
      </c>
      <c r="DM47" s="206">
        <f>SUMIFS(領用表!$L:$L,領用表!$E:$E,$B47,領用表!$B:$B,$DK$2&amp;DM$2)</f>
        <v>0</v>
      </c>
      <c r="DN47" s="206">
        <f>SUMIFS(領用表!$L:$L,領用表!$E:$E,$B47,領用表!$B:$B,$DK$2&amp;DN$2)</f>
        <v>42300</v>
      </c>
      <c r="DO47" s="206">
        <f>SUMIFS(領用表!$L:$L,領用表!$E:$E,$B47,領用表!$B:$B,$DK$2&amp;DO$2)</f>
        <v>0</v>
      </c>
      <c r="DP47" s="206">
        <f>SUMIFS(領用表!$L:$L,領用表!$E:$E,$B47,領用表!$B:$B,$DK$2&amp;DP$2)</f>
        <v>21300</v>
      </c>
      <c r="DQ47" s="206">
        <f t="shared" si="14"/>
        <v>306607</v>
      </c>
      <c r="DR47" s="206">
        <f t="shared" si="15"/>
        <v>61321.4</v>
      </c>
      <c r="DS47" s="206">
        <f t="shared" si="6"/>
        <v>36000</v>
      </c>
      <c r="DT47" s="206">
        <v>16000</v>
      </c>
      <c r="DU47" s="206">
        <v>0</v>
      </c>
      <c r="DV47" s="206">
        <v>20000</v>
      </c>
      <c r="DW47" s="206">
        <v>0</v>
      </c>
      <c r="DX47" s="257"/>
      <c r="DY47" s="210"/>
      <c r="DZ47" s="211"/>
      <c r="EA47" s="211" t="s">
        <v>802</v>
      </c>
      <c r="EB47" s="345"/>
      <c r="EC47" s="212"/>
      <c r="ED47" s="118">
        <f>IFERROR(VLOOKUP(A47,站前4樓!A:BF,57,0),0)</f>
        <v>3400</v>
      </c>
      <c r="EE47" s="213">
        <f>IFERROR(VLOOKUP(A47,站前11樓!A:BE,57,0),0)</f>
        <v>0</v>
      </c>
      <c r="EF47" s="118">
        <f>IFERROR(VLOOKUP(A47,忠孝7樓!A:N,57,0),0)</f>
        <v>0</v>
      </c>
      <c r="EG47" s="118">
        <f>IFERROR(VLOOKUP(A47,忠孝國際醫學3樓!A:L,57,0),0)</f>
        <v>0</v>
      </c>
      <c r="EH47" s="118">
        <f t="shared" si="7"/>
        <v>3400</v>
      </c>
      <c r="EJ47" s="118">
        <v>18600</v>
      </c>
      <c r="EK47" s="118">
        <v>19540</v>
      </c>
    </row>
    <row r="48" spans="1:141" s="118" customFormat="1" ht="15.75" customHeight="1">
      <c r="A48" s="136" t="s">
        <v>81</v>
      </c>
      <c r="B48" s="118">
        <v>6170028</v>
      </c>
      <c r="C48" s="133" t="s">
        <v>487</v>
      </c>
      <c r="D48" s="207">
        <v>6050</v>
      </c>
      <c r="E48" s="198" t="s">
        <v>78</v>
      </c>
      <c r="F48" s="199">
        <f>SUMIF(站前4樓!B:B,B48,站前4樓!F:F)</f>
        <v>82</v>
      </c>
      <c r="G48" s="199">
        <f>SUMIF(站前11樓!B:B,B48,站前11樓!F:F)</f>
        <v>0</v>
      </c>
      <c r="H48" s="199">
        <f>SUMIF(忠孝7樓!B:B,B48,忠孝7樓!G:G)</f>
        <v>0</v>
      </c>
      <c r="I48" s="199">
        <f>SUMIF(忠孝國際醫學3樓!B:B,B48,忠孝國際醫學3樓!G:G)</f>
        <v>0</v>
      </c>
      <c r="J48" s="199">
        <f>SUMIF(忠孝健康7樓!B:B,B48,忠孝健康7樓!G:G)</f>
        <v>141</v>
      </c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00"/>
      <c r="AF48" s="200"/>
      <c r="AG48" s="200"/>
      <c r="AH48" s="200"/>
      <c r="AI48" s="200"/>
      <c r="AJ48" s="221"/>
      <c r="AK48" s="221"/>
      <c r="AL48" s="221"/>
      <c r="AM48" s="221"/>
      <c r="AN48" s="221"/>
      <c r="AO48" s="221"/>
      <c r="AP48" s="221"/>
      <c r="AQ48" s="221"/>
      <c r="AR48" s="221"/>
      <c r="AS48" s="201"/>
      <c r="AT48" s="202"/>
      <c r="AU48" s="203" t="s">
        <v>49</v>
      </c>
      <c r="AV48" s="204" t="s">
        <v>49</v>
      </c>
      <c r="AW48" s="205" t="s">
        <v>49</v>
      </c>
      <c r="AX48" s="205" t="s">
        <v>49</v>
      </c>
      <c r="AY48" s="205" t="s">
        <v>49</v>
      </c>
      <c r="AZ48" s="205" t="s">
        <v>49</v>
      </c>
      <c r="BA48" s="203">
        <v>8701</v>
      </c>
      <c r="BB48" s="203">
        <v>10901</v>
      </c>
      <c r="BC48" s="203">
        <f>SUMIFS(領用表!$L:$L,領用表!$A:$A,BC$2,領用表!$E:$E,B48)</f>
        <v>14398</v>
      </c>
      <c r="BD48" s="206">
        <f>SUMIFS(領用表!$L:$L,領用表!$E:$E,$B48,領用表!$B:$B,BC$2&amp;BD$2)</f>
        <v>14398</v>
      </c>
      <c r="BE48" s="206">
        <f>SUMIFS(領用表!$L:$L,領用表!$E:$E,$B48,領用表!$B:$B,$BC$2&amp;BE$2)</f>
        <v>0</v>
      </c>
      <c r="BF48" s="206">
        <f>SUMIFS(領用表!$L:$L,領用表!$E:$E,$B48,領用表!$B:$B,$BC$2&amp;BF$2)</f>
        <v>0</v>
      </c>
      <c r="BG48" s="206">
        <f>SUMIFS(領用表!$L:$L,領用表!$E:$E,$B48,領用表!$B:$B,$BC$2&amp;BG$2)</f>
        <v>0</v>
      </c>
      <c r="BH48" s="203">
        <f>SUMIFS(領用表!$L:$L,領用表!$A:$A,BH$2,領用表!$E:$E,B48)</f>
        <v>10400</v>
      </c>
      <c r="BI48" s="206">
        <f>SUMIFS(領用表!$L:$L,領用表!$E:$E,$B48,領用表!$B:$B,BH$2&amp;BI$2)</f>
        <v>6000</v>
      </c>
      <c r="BJ48" s="206">
        <f>SUMIFS(領用表!$L:$L,領用表!$E:$E,$B48,領用表!$B:$B,$BH$2&amp;BJ$2)</f>
        <v>0</v>
      </c>
      <c r="BK48" s="206">
        <f>SUMIFS(領用表!$L:$L,領用表!$E:$E,$B48,領用表!$B:$B,$BH$2&amp;BK$2)</f>
        <v>4400</v>
      </c>
      <c r="BL48" s="206">
        <f>SUMIFS(領用表!$L:$L,領用表!$E:$E,$B48,領用表!$B:$B,$BH$2&amp;BL$2)</f>
        <v>0</v>
      </c>
      <c r="BM48" s="203">
        <f>SUMIFS(領用表!$L:$L,領用表!$A:$A,BM$2,領用表!$E:$E,B48)</f>
        <v>14001</v>
      </c>
      <c r="BN48" s="206">
        <f>SUMIFS(領用表!$L:$L,領用表!$E:$E,$B48,領用表!$B:$B,BM$2&amp;BN$2)</f>
        <v>6700</v>
      </c>
      <c r="BO48" s="206">
        <f>SUMIFS(領用表!$L:$L,領用表!$E:$E,$B48,領用表!$B:$B,$BM$2&amp;BO$2)</f>
        <v>0</v>
      </c>
      <c r="BP48" s="206">
        <f>SUMIFS(領用表!$L:$L,領用表!$E:$E,$B48,領用表!$B:$B,$BM$2&amp;BP$2)</f>
        <v>7301</v>
      </c>
      <c r="BQ48" s="206">
        <f>SUMIFS(領用表!$L:$L,領用表!$E:$E,$B48,領用表!$B:$B,$BM$2&amp;BQ$2)</f>
        <v>0</v>
      </c>
      <c r="BR48" s="203">
        <f>SUMIFS(領用表!$L:$L,領用表!$A:$A,BR$2,領用表!$E:$E,B48)</f>
        <v>10100</v>
      </c>
      <c r="BS48" s="206">
        <f>SUMIFS(領用表!$L:$L,領用表!$E:$E,$B48,領用表!$B:$B,BR$2&amp;BS$2)</f>
        <v>2600</v>
      </c>
      <c r="BT48" s="206">
        <f>SUMIFS(領用表!$L:$L,領用表!$E:$E,$B48,領用表!$B:$B,$BR$2&amp;BT$2)</f>
        <v>0</v>
      </c>
      <c r="BU48" s="206">
        <f>SUMIFS(領用表!$L:$L,領用表!$E:$E,$B48,領用表!$B:$B,$BR$2&amp;BU$2)</f>
        <v>7500</v>
      </c>
      <c r="BV48" s="206">
        <f>SUMIFS(領用表!$L:$L,領用表!$E:$E,$B48,領用表!$B:$B,$BR$2&amp;BV$2)</f>
        <v>0</v>
      </c>
      <c r="BW48" s="208">
        <f>SUMIFS(領用表!$L:$L,領用表!$A:$A,BW$2,領用表!$E:$E,B48)</f>
        <v>20153</v>
      </c>
      <c r="BX48" s="206">
        <f>SUMIFS(領用表!$L:$L,領用表!$E:$E,$B48,領用表!$B:$B,BW$2&amp;BX$2)</f>
        <v>6151</v>
      </c>
      <c r="BY48" s="206">
        <f>SUMIFS(領用表!$L:$L,領用表!$E:$E,$B48,領用表!$B:$B,$BW$2&amp;BY$2)</f>
        <v>0</v>
      </c>
      <c r="BZ48" s="206">
        <f>SUMIFS(領用表!$L:$L,領用表!$E:$E,$B48,領用表!$B:$B,$BW$2&amp;BZ$2)</f>
        <v>14002</v>
      </c>
      <c r="CA48" s="206">
        <f>SUMIFS(領用表!$L:$L,領用表!$E:$E,$B48,領用表!$B:$B,$BW$2&amp;CA$2)</f>
        <v>0</v>
      </c>
      <c r="CB48" s="208">
        <f>SUMIFS(領用表!$L:$L,領用表!$A:$A,CB$2,領用表!$E:$E,B48)</f>
        <v>11147</v>
      </c>
      <c r="CC48" s="206">
        <f>SUMIFS(領用表!$L:$L,領用表!$E:$E,$B48,領用表!$B:$B,CB$2&amp;CC$2)</f>
        <v>2498</v>
      </c>
      <c r="CD48" s="206">
        <f>SUMIFS(領用表!$L:$L,領用表!$E:$E,$B48,領用表!$B:$B,$CB$2&amp;CD$2)</f>
        <v>0</v>
      </c>
      <c r="CE48" s="206">
        <f>SUMIFS(領用表!$L:$L,領用表!$E:$E,$B48,領用表!$B:$B,$CB$2&amp;CE$2)</f>
        <v>8649</v>
      </c>
      <c r="CF48" s="206">
        <f>SUMIFS(領用表!$L:$L,領用表!$E:$E,$B48,領用表!$B:$B,$CB$2&amp;CF$2)</f>
        <v>0</v>
      </c>
      <c r="CG48" s="208">
        <f>SUMIFS(領用表!$L:$L,領用表!$A:$A,CG$2,領用表!$E:$E,B48)</f>
        <v>6988</v>
      </c>
      <c r="CH48" s="206">
        <f>SUMIFS(領用表!$L:$L,領用表!$E:$E,$B48,領用表!$B:$B,CG$2&amp;CH$2)</f>
        <v>4720</v>
      </c>
      <c r="CI48" s="206">
        <f>SUMIFS(領用表!$L:$L,領用表!$E:$E,$B48,領用表!$B:$B,CG$2&amp;CI$2)</f>
        <v>0</v>
      </c>
      <c r="CJ48" s="206">
        <f>SUMIFS(領用表!$L:$L,領用表!$E:$E,$B48,領用表!$B:$B,CG$2&amp;CJ$2)</f>
        <v>2268</v>
      </c>
      <c r="CK48" s="206">
        <f>SUMIFS(領用表!$L:$L,領用表!$E:$E,$B48,領用表!$B:$B,$CG$2&amp;CK$2)</f>
        <v>0</v>
      </c>
      <c r="CL48" s="207">
        <f t="shared" si="16"/>
        <v>106789</v>
      </c>
      <c r="CM48" s="207">
        <f t="shared" si="17"/>
        <v>11865.444444444445</v>
      </c>
      <c r="CN48" s="208">
        <f>SUMIFS(領用表!$L:$L,領用表!$A:$A,CN$2,領用表!$E:$E,B48)</f>
        <v>8640</v>
      </c>
      <c r="CO48" s="206">
        <f>SUMIFS(領用表!$L:$L,領用表!$E:$E,$B48,領用表!$B:$B,CN$2&amp;CO$2)</f>
        <v>4380</v>
      </c>
      <c r="CP48" s="206">
        <f>SUMIFS(領用表!$L:$L,領用表!$E:$E,$B48,領用表!$B:$B,$CN$2&amp;CP$2)</f>
        <v>0</v>
      </c>
      <c r="CQ48" s="206">
        <f>SUMIFS(領用表!$L:$L,領用表!$E:$E,$B48,領用表!$B:$B,$CN$2&amp;CQ$2)</f>
        <v>4260</v>
      </c>
      <c r="CR48" s="206">
        <f>SUMIFS(領用表!$L:$L,領用表!$E:$E,$B48,領用表!$B:$B,$CN$2&amp;CR$2)</f>
        <v>0</v>
      </c>
      <c r="CS48" s="208">
        <f>SUMIFS(領用表!$L:$L,領用表!$A:$A,CS$2,領用表!$E:$E,B48)</f>
        <v>12100</v>
      </c>
      <c r="CT48" s="206">
        <f>SUMIFS(領用表!$L:$L,領用表!$E:$E,$B48,領用表!$B:$B,CS$2&amp;CT$2)</f>
        <v>6801</v>
      </c>
      <c r="CU48" s="206">
        <f>SUMIFS(領用表!$L:$L,領用表!$E:$E,$B48,領用表!$B:$B,$CS$2&amp;CU$2)</f>
        <v>0</v>
      </c>
      <c r="CV48" s="206">
        <f>SUMIFS(領用表!$L:$L,領用表!$E:$E,$B48,領用表!$B:$B,$CS$2&amp;CV$2)</f>
        <v>4699</v>
      </c>
      <c r="CW48" s="206">
        <f>SUMIFS(領用表!$L:$L,領用表!$E:$E,$B48,領用表!$B:$B,$CS$2&amp;CW$2)</f>
        <v>0</v>
      </c>
      <c r="CX48" s="206">
        <f>SUMIFS(領用表!$L:$L,領用表!$E:$E,$B48,領用表!$B:$B,$CS$2&amp;CX$2)</f>
        <v>600</v>
      </c>
      <c r="CY48" s="208">
        <f>SUMIFS(領用表!$L:$L,領用表!$A:$A,CY$2,領用表!$E:$E,B48)</f>
        <v>8900</v>
      </c>
      <c r="CZ48" s="206">
        <f>SUMIFS(領用表!$L:$L,領用表!$E:$E,$B48,領用表!$B:$B,CY$2&amp;CZ$2)</f>
        <v>5201</v>
      </c>
      <c r="DA48" s="206">
        <f>SUMIFS(領用表!$L:$L,領用表!$E:$E,$B48,領用表!$B:$B,$CY$2&amp;DA$2)</f>
        <v>0</v>
      </c>
      <c r="DB48" s="206">
        <f>SUMIFS(領用表!$L:$L,領用表!$E:$E,$B48,領用表!$B:$B,$CY$2&amp;DB$2)</f>
        <v>3199</v>
      </c>
      <c r="DC48" s="206">
        <f>SUMIFS(領用表!$L:$L,領用表!$E:$E,$B48,領用表!$B:$B,$CY$2&amp;DC$2)</f>
        <v>0</v>
      </c>
      <c r="DD48" s="206">
        <f>SUMIFS(領用表!$L:$L,領用表!$E:$E,$B48,領用表!$B:$B,$CY$2&amp;DD$2)</f>
        <v>500</v>
      </c>
      <c r="DE48" s="208">
        <f>SUMIFS(領用表!$L:$L,領用表!$A:$A,DE$2,領用表!$E:$E,B48)</f>
        <v>4830</v>
      </c>
      <c r="DF48" s="206">
        <f>SUMIFS(領用表!$L:$L,領用表!$E:$E,$B48,領用表!$B:$B,DE$2&amp;DF$2)</f>
        <v>4650</v>
      </c>
      <c r="DG48" s="206">
        <f>SUMIFS(領用表!$L:$L,領用表!$E:$E,$B48,領用表!$B:$B,$DE$2&amp;DG$2)</f>
        <v>0</v>
      </c>
      <c r="DH48" s="206">
        <f>SUMIFS(領用表!$L:$L,領用表!$E:$E,$B48,領用表!$B:$B,$DE$2&amp;DH$2)</f>
        <v>180</v>
      </c>
      <c r="DI48" s="206">
        <f>SUMIFS(領用表!$L:$L,領用表!$E:$E,$B48,領用表!$B:$B,$DE$2&amp;DI$2)</f>
        <v>0</v>
      </c>
      <c r="DJ48" s="206">
        <f>SUMIFS(領用表!$L:$L,領用表!$E:$E,$B48,領用表!$B:$B,$DE$2&amp;DJ$2)</f>
        <v>0</v>
      </c>
      <c r="DK48" s="208">
        <f>SUMIFS(領用表!$L:$L,領用表!$A:$A,DK$2,領用表!$E:$E,$B48)</f>
        <v>4600</v>
      </c>
      <c r="DL48" s="206">
        <f>SUMIFS(領用表!$L:$L,領用表!$E:$E,$B48,領用表!$B:$B,DK$2&amp;DL$2)</f>
        <v>4600</v>
      </c>
      <c r="DM48" s="206">
        <f>SUMIFS(領用表!$L:$L,領用表!$E:$E,$B48,領用表!$B:$B,$DK$2&amp;DM$2)</f>
        <v>0</v>
      </c>
      <c r="DN48" s="206">
        <f>SUMIFS(領用表!$L:$L,領用表!$E:$E,$B48,領用表!$B:$B,$DK$2&amp;DN$2)</f>
        <v>0</v>
      </c>
      <c r="DO48" s="206">
        <f>SUMIFS(領用表!$L:$L,領用表!$E:$E,$B48,領用表!$B:$B,$DK$2&amp;DO$2)</f>
        <v>0</v>
      </c>
      <c r="DP48" s="206">
        <f>SUMIFS(領用表!$L:$L,領用表!$E:$E,$B48,領用表!$B:$B,$DK$2&amp;DP$2)</f>
        <v>0</v>
      </c>
      <c r="DQ48" s="206">
        <f t="shared" si="14"/>
        <v>39070</v>
      </c>
      <c r="DR48" s="206">
        <f t="shared" si="15"/>
        <v>7814</v>
      </c>
      <c r="DS48" s="206">
        <f t="shared" si="6"/>
        <v>18000</v>
      </c>
      <c r="DT48" s="206">
        <v>8000</v>
      </c>
      <c r="DU48" s="206">
        <v>0</v>
      </c>
      <c r="DV48" s="206">
        <v>10000</v>
      </c>
      <c r="DW48" s="206">
        <v>0</v>
      </c>
      <c r="DX48" s="257">
        <v>18000</v>
      </c>
      <c r="DY48" s="210">
        <v>0</v>
      </c>
      <c r="DZ48" s="211" t="s">
        <v>803</v>
      </c>
      <c r="EA48" s="211" t="s">
        <v>804</v>
      </c>
      <c r="EB48" s="346" t="s">
        <v>840</v>
      </c>
      <c r="EC48" s="212"/>
      <c r="ED48" s="118">
        <f>IFERROR(VLOOKUP(A48,站前4樓!A:BF,57,0),0)</f>
        <v>2498</v>
      </c>
      <c r="EE48" s="213">
        <f>IFERROR(VLOOKUP(A48,站前11樓!A:BE,57,0),0)</f>
        <v>0</v>
      </c>
      <c r="EF48" s="118">
        <f>IFERROR(VLOOKUP(A48,忠孝7樓!A:N,57,0),0)</f>
        <v>0</v>
      </c>
      <c r="EG48" s="118">
        <f>IFERROR(VLOOKUP(A48,忠孝國際醫學3樓!A:L,57,0),0)</f>
        <v>0</v>
      </c>
      <c r="EH48" s="118">
        <f t="shared" si="7"/>
        <v>2498</v>
      </c>
      <c r="EJ48" s="118">
        <v>28625</v>
      </c>
      <c r="EK48" s="118">
        <v>14929</v>
      </c>
    </row>
    <row r="49" spans="1:141" s="118" customFormat="1" ht="16.149999999999999" customHeight="1">
      <c r="A49" s="136" t="s">
        <v>85</v>
      </c>
      <c r="B49" s="118">
        <v>6170029</v>
      </c>
      <c r="C49" s="133" t="s">
        <v>488</v>
      </c>
      <c r="D49" s="207">
        <v>4000</v>
      </c>
      <c r="E49" s="198" t="s">
        <v>78</v>
      </c>
      <c r="F49" s="199">
        <f>SUMIF(站前4樓!B:B,B49,站前4樓!F:F)</f>
        <v>0</v>
      </c>
      <c r="G49" s="199">
        <f>SUMIF(站前11樓!B:B,B49,站前11樓!F:F)</f>
        <v>0</v>
      </c>
      <c r="H49" s="199">
        <f>SUMIF(忠孝7樓!B:B,B49,忠孝7樓!G:G)</f>
        <v>0</v>
      </c>
      <c r="I49" s="199">
        <f>SUMIF(忠孝國際醫學3樓!B:B,B49,忠孝國際醫學3樓!G:G)</f>
        <v>0</v>
      </c>
      <c r="J49" s="199">
        <f>SUMIF(忠孝健康7樓!B:B,B49,忠孝健康7樓!G:G)</f>
        <v>0</v>
      </c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21"/>
      <c r="AK49" s="221"/>
      <c r="AL49" s="221"/>
      <c r="AM49" s="221"/>
      <c r="AN49" s="221"/>
      <c r="AO49" s="221"/>
      <c r="AP49" s="221"/>
      <c r="AQ49" s="221"/>
      <c r="AR49" s="221"/>
      <c r="AS49" s="201"/>
      <c r="AT49" s="202"/>
      <c r="AU49" s="203" t="s">
        <v>49</v>
      </c>
      <c r="AV49" s="204" t="s">
        <v>49</v>
      </c>
      <c r="AW49" s="205" t="s">
        <v>49</v>
      </c>
      <c r="AX49" s="205" t="s">
        <v>49</v>
      </c>
      <c r="AY49" s="205" t="s">
        <v>49</v>
      </c>
      <c r="AZ49" s="205" t="s">
        <v>49</v>
      </c>
      <c r="BA49" s="203">
        <v>6054</v>
      </c>
      <c r="BB49" s="203">
        <v>32205</v>
      </c>
      <c r="BC49" s="203">
        <f>SUMIFS(領用表!$L:$L,領用表!$A:$A,BC$2,領用表!$E:$E,B49)</f>
        <v>37902</v>
      </c>
      <c r="BD49" s="206">
        <f>SUMIFS(領用表!$L:$L,領用表!$E:$E,$B49,領用表!$B:$B,BC$2&amp;BD$2)</f>
        <v>37902</v>
      </c>
      <c r="BE49" s="206">
        <f>SUMIFS(領用表!$L:$L,領用表!$E:$E,$B49,領用表!$B:$B,$BC$2&amp;BE$2)</f>
        <v>0</v>
      </c>
      <c r="BF49" s="206">
        <f>SUMIFS(領用表!$L:$L,領用表!$E:$E,$B49,領用表!$B:$B,$BC$2&amp;BF$2)</f>
        <v>0</v>
      </c>
      <c r="BG49" s="206">
        <f>SUMIFS(領用表!$L:$L,領用表!$E:$E,$B49,領用表!$B:$B,$BC$2&amp;BG$2)</f>
        <v>0</v>
      </c>
      <c r="BH49" s="203">
        <f>SUMIFS(領用表!$L:$L,領用表!$A:$A,BH$2,領用表!$E:$E,B49)</f>
        <v>36150</v>
      </c>
      <c r="BI49" s="206">
        <f>SUMIFS(領用表!$L:$L,領用表!$E:$E,$B49,領用表!$B:$B,BH$2&amp;BI$2)</f>
        <v>18150</v>
      </c>
      <c r="BJ49" s="206">
        <f>SUMIFS(領用表!$L:$L,領用表!$E:$E,$B49,領用表!$B:$B,$BH$2&amp;BJ$2)</f>
        <v>0</v>
      </c>
      <c r="BK49" s="206">
        <f>SUMIFS(領用表!$L:$L,領用表!$E:$E,$B49,領用表!$B:$B,$BH$2&amp;BK$2)</f>
        <v>18000</v>
      </c>
      <c r="BL49" s="206">
        <f>SUMIFS(領用表!$L:$L,領用表!$E:$E,$B49,領用表!$B:$B,$BH$2&amp;BL$2)</f>
        <v>0</v>
      </c>
      <c r="BM49" s="203">
        <f>SUMIFS(領用表!$L:$L,領用表!$A:$A,BM$2,領用表!$E:$E,B49)</f>
        <v>37601</v>
      </c>
      <c r="BN49" s="206">
        <f>SUMIFS(領用表!$L:$L,領用表!$E:$E,$B49,領用表!$B:$B,BM$2&amp;BN$2)</f>
        <v>7400</v>
      </c>
      <c r="BO49" s="206">
        <f>SUMIFS(領用表!$L:$L,領用表!$E:$E,$B49,領用表!$B:$B,$BM$2&amp;BO$2)</f>
        <v>0</v>
      </c>
      <c r="BP49" s="206">
        <f>SUMIFS(領用表!$L:$L,領用表!$E:$E,$B49,領用表!$B:$B,$BM$2&amp;BP$2)</f>
        <v>30201</v>
      </c>
      <c r="BQ49" s="206">
        <f>SUMIFS(領用表!$L:$L,領用表!$E:$E,$B49,領用表!$B:$B,$BM$2&amp;BQ$2)</f>
        <v>0</v>
      </c>
      <c r="BR49" s="203">
        <f>SUMIFS(領用表!$L:$L,領用表!$A:$A,BR$2,領用表!$E:$E,B49)</f>
        <v>27401</v>
      </c>
      <c r="BS49" s="206">
        <f>SUMIFS(領用表!$L:$L,領用表!$E:$E,$B49,領用表!$B:$B,BR$2&amp;BS$2)</f>
        <v>3700</v>
      </c>
      <c r="BT49" s="206">
        <f>SUMIFS(領用表!$L:$L,領用表!$E:$E,$B49,領用表!$B:$B,$BR$2&amp;BT$2)</f>
        <v>0</v>
      </c>
      <c r="BU49" s="206">
        <f>SUMIFS(領用表!$L:$L,領用表!$E:$E,$B49,領用表!$B:$B,$BR$2&amp;BU$2)</f>
        <v>23701</v>
      </c>
      <c r="BV49" s="206">
        <f>SUMIFS(領用表!$L:$L,領用表!$E:$E,$B49,領用表!$B:$B,$BR$2&amp;BV$2)</f>
        <v>0</v>
      </c>
      <c r="BW49" s="208">
        <f>SUMIFS(領用表!$L:$L,領用表!$A:$A,BW$2,領用表!$E:$E,B49)</f>
        <v>46781</v>
      </c>
      <c r="BX49" s="206">
        <f>SUMIFS(領用表!$L:$L,領用表!$E:$E,$B49,領用表!$B:$B,BW$2&amp;BX$2)</f>
        <v>17151</v>
      </c>
      <c r="BY49" s="206">
        <f>SUMIFS(領用表!$L:$L,領用表!$E:$E,$B49,領用表!$B:$B,$BW$2&amp;BY$2)</f>
        <v>0</v>
      </c>
      <c r="BZ49" s="206">
        <f>SUMIFS(領用表!$L:$L,領用表!$E:$E,$B49,領用表!$B:$B,$BW$2&amp;BZ$2)</f>
        <v>29630</v>
      </c>
      <c r="CA49" s="206">
        <f>SUMIFS(領用表!$L:$L,領用表!$E:$E,$B49,領用表!$B:$B,$BW$2&amp;CA$2)</f>
        <v>0</v>
      </c>
      <c r="CB49" s="208">
        <f>SUMIFS(領用表!$L:$L,領用表!$A:$A,CB$2,領用表!$E:$E,B49)</f>
        <v>61042</v>
      </c>
      <c r="CC49" s="206">
        <f>SUMIFS(領用表!$L:$L,領用表!$E:$E,$B49,領用表!$B:$B,CB$2&amp;CC$2)</f>
        <v>23341</v>
      </c>
      <c r="CD49" s="206">
        <f>SUMIFS(領用表!$L:$L,領用表!$E:$E,$B49,領用表!$B:$B,$CB$2&amp;CD$2)</f>
        <v>0</v>
      </c>
      <c r="CE49" s="206">
        <f>SUMIFS(領用表!$L:$L,領用表!$E:$E,$B49,領用表!$B:$B,$CB$2&amp;CE$2)</f>
        <v>37701</v>
      </c>
      <c r="CF49" s="206">
        <f>SUMIFS(領用表!$L:$L,領用表!$E:$E,$B49,領用表!$B:$B,$CB$2&amp;CF$2)</f>
        <v>0</v>
      </c>
      <c r="CG49" s="208">
        <f>SUMIFS(領用表!$L:$L,領用表!$A:$A,CG$2,領用表!$E:$E,B49)</f>
        <v>0</v>
      </c>
      <c r="CH49" s="206">
        <f>SUMIFS(領用表!$L:$L,領用表!$E:$E,$B49,領用表!$B:$B,CG$2&amp;CH$2)</f>
        <v>0</v>
      </c>
      <c r="CI49" s="206">
        <f>SUMIFS(領用表!$L:$L,領用表!$E:$E,$B49,領用表!$B:$B,CG$2&amp;CI$2)</f>
        <v>0</v>
      </c>
      <c r="CJ49" s="206">
        <f>SUMIFS(領用表!$L:$L,領用表!$E:$E,$B49,領用表!$B:$B,CG$2&amp;CJ$2)</f>
        <v>0</v>
      </c>
      <c r="CK49" s="206">
        <f>SUMIFS(領用表!$L:$L,領用表!$E:$E,$B49,領用表!$B:$B,$CG$2&amp;CK$2)</f>
        <v>0</v>
      </c>
      <c r="CL49" s="207">
        <f t="shared" si="16"/>
        <v>285136</v>
      </c>
      <c r="CM49" s="207">
        <f t="shared" si="17"/>
        <v>31681.777777777777</v>
      </c>
      <c r="CN49" s="208">
        <f>SUMIFS(領用表!$L:$L,領用表!$A:$A,CN$2,領用表!$E:$E,B49)</f>
        <v>300</v>
      </c>
      <c r="CO49" s="206">
        <f>SUMIFS(領用表!$L:$L,領用表!$E:$E,$B49,領用表!$B:$B,CN$2&amp;CO$2)</f>
        <v>0</v>
      </c>
      <c r="CP49" s="206">
        <f>SUMIFS(領用表!$L:$L,領用表!$E:$E,$B49,領用表!$B:$B,$CN$2&amp;CP$2)</f>
        <v>0</v>
      </c>
      <c r="CQ49" s="206">
        <f>SUMIFS(領用表!$L:$L,領用表!$E:$E,$B49,領用表!$B:$B,$CN$2&amp;CQ$2)</f>
        <v>300</v>
      </c>
      <c r="CR49" s="206">
        <f>SUMIFS(領用表!$L:$L,領用表!$E:$E,$B49,領用表!$B:$B,$CN$2&amp;CR$2)</f>
        <v>0</v>
      </c>
      <c r="CS49" s="208">
        <f>SUMIFS(領用表!$L:$L,領用表!$A:$A,CS$2,領用表!$E:$E,B49)</f>
        <v>600</v>
      </c>
      <c r="CT49" s="206">
        <f>SUMIFS(領用表!$L:$L,領用表!$E:$E,$B49,領用表!$B:$B,CS$2&amp;CT$2)</f>
        <v>600</v>
      </c>
      <c r="CU49" s="206">
        <f>SUMIFS(領用表!$L:$L,領用表!$E:$E,$B49,領用表!$B:$B,$CS$2&amp;CU$2)</f>
        <v>0</v>
      </c>
      <c r="CV49" s="206">
        <f>SUMIFS(領用表!$L:$L,領用表!$E:$E,$B49,領用表!$B:$B,$CS$2&amp;CV$2)</f>
        <v>0</v>
      </c>
      <c r="CW49" s="206">
        <f>SUMIFS(領用表!$L:$L,領用表!$E:$E,$B49,領用表!$B:$B,$CS$2&amp;CW$2)</f>
        <v>0</v>
      </c>
      <c r="CX49" s="206">
        <f>SUMIFS(領用表!$L:$L,領用表!$E:$E,$B49,領用表!$B:$B,$CS$2&amp;CX$2)</f>
        <v>0</v>
      </c>
      <c r="CY49" s="208">
        <f>SUMIFS(領用表!$L:$L,領用表!$A:$A,CY$2,領用表!$E:$E,B49)</f>
        <v>0</v>
      </c>
      <c r="CZ49" s="206">
        <f>SUMIFS(領用表!$L:$L,領用表!$E:$E,$B49,領用表!$B:$B,CY$2&amp;CZ$2)</f>
        <v>0</v>
      </c>
      <c r="DA49" s="206">
        <f>SUMIFS(領用表!$L:$L,領用表!$E:$E,$B49,領用表!$B:$B,$CY$2&amp;DA$2)</f>
        <v>0</v>
      </c>
      <c r="DB49" s="206">
        <f>SUMIFS(領用表!$L:$L,領用表!$E:$E,$B49,領用表!$B:$B,$CY$2&amp;DB$2)</f>
        <v>0</v>
      </c>
      <c r="DC49" s="206">
        <f>SUMIFS(領用表!$L:$L,領用表!$E:$E,$B49,領用表!$B:$B,$CY$2&amp;DC$2)</f>
        <v>0</v>
      </c>
      <c r="DD49" s="206">
        <f>SUMIFS(領用表!$L:$L,領用表!$E:$E,$B49,領用表!$B:$B,$CY$2&amp;DD$2)</f>
        <v>0</v>
      </c>
      <c r="DE49" s="208">
        <f>SUMIFS(領用表!$L:$L,領用表!$A:$A,DE$2,領用表!$E:$E,B49)</f>
        <v>0</v>
      </c>
      <c r="DF49" s="206">
        <f>SUMIFS(領用表!$L:$L,領用表!$E:$E,$B49,領用表!$B:$B,DE$2&amp;DF$2)</f>
        <v>0</v>
      </c>
      <c r="DG49" s="206">
        <f>SUMIFS(領用表!$L:$L,領用表!$E:$E,$B49,領用表!$B:$B,$DE$2&amp;DG$2)</f>
        <v>0</v>
      </c>
      <c r="DH49" s="206">
        <f>SUMIFS(領用表!$L:$L,領用表!$E:$E,$B49,領用表!$B:$B,$DE$2&amp;DH$2)</f>
        <v>0</v>
      </c>
      <c r="DI49" s="206">
        <f>SUMIFS(領用表!$L:$L,領用表!$E:$E,$B49,領用表!$B:$B,$DE$2&amp;DI$2)</f>
        <v>0</v>
      </c>
      <c r="DJ49" s="206">
        <f>SUMIFS(領用表!$L:$L,領用表!$E:$E,$B49,領用表!$B:$B,$DE$2&amp;DJ$2)</f>
        <v>0</v>
      </c>
      <c r="DK49" s="208">
        <f>SUMIFS(領用表!$L:$L,領用表!$A:$A,DK$2,領用表!$E:$E,$B49)</f>
        <v>0</v>
      </c>
      <c r="DL49" s="206">
        <f>SUMIFS(領用表!$L:$L,領用表!$E:$E,$B49,領用表!$B:$B,DK$2&amp;DL$2)</f>
        <v>0</v>
      </c>
      <c r="DM49" s="206">
        <f>SUMIFS(領用表!$L:$L,領用表!$E:$E,$B49,領用表!$B:$B,$DK$2&amp;DM$2)</f>
        <v>0</v>
      </c>
      <c r="DN49" s="206">
        <f>SUMIFS(領用表!$L:$L,領用表!$E:$E,$B49,領用表!$B:$B,$DK$2&amp;DN$2)</f>
        <v>0</v>
      </c>
      <c r="DO49" s="206">
        <f>SUMIFS(領用表!$L:$L,領用表!$E:$E,$B49,領用表!$B:$B,$DK$2&amp;DO$2)</f>
        <v>0</v>
      </c>
      <c r="DP49" s="206">
        <f>SUMIFS(領用表!$L:$L,領用表!$E:$E,$B49,領用表!$B:$B,$DK$2&amp;DP$2)</f>
        <v>0</v>
      </c>
      <c r="DQ49" s="206">
        <f t="shared" si="14"/>
        <v>900</v>
      </c>
      <c r="DR49" s="206">
        <f t="shared" si="15"/>
        <v>180</v>
      </c>
      <c r="DS49" s="206">
        <f t="shared" si="6"/>
        <v>40000</v>
      </c>
      <c r="DT49" s="206">
        <v>15000</v>
      </c>
      <c r="DU49" s="206">
        <v>0</v>
      </c>
      <c r="DV49" s="206">
        <v>25000</v>
      </c>
      <c r="DW49" s="206">
        <v>0</v>
      </c>
      <c r="DX49" s="257">
        <v>12000</v>
      </c>
      <c r="DY49" s="210">
        <v>0</v>
      </c>
      <c r="DZ49" s="211" t="s">
        <v>805</v>
      </c>
      <c r="EA49" s="211" t="s">
        <v>805</v>
      </c>
      <c r="EB49" s="346" t="s">
        <v>840</v>
      </c>
      <c r="EC49" s="212"/>
      <c r="ED49" s="118">
        <f>IFERROR(VLOOKUP(A49,站前4樓!A:BF,57,0),0)</f>
        <v>23341</v>
      </c>
      <c r="EE49" s="213">
        <f>IFERROR(VLOOKUP(A49,站前11樓!A:BE,57,0),0)</f>
        <v>0</v>
      </c>
      <c r="EF49" s="118">
        <f>IFERROR(VLOOKUP(A49,忠孝7樓!A:N,57,0),0)</f>
        <v>0</v>
      </c>
      <c r="EG49" s="118">
        <f>IFERROR(VLOOKUP(A49,忠孝國際醫學3樓!A:L,57,0),0)</f>
        <v>0</v>
      </c>
      <c r="EH49" s="118">
        <f t="shared" si="7"/>
        <v>23341</v>
      </c>
      <c r="EJ49" s="118">
        <v>0</v>
      </c>
      <c r="EK49" s="118">
        <v>0</v>
      </c>
    </row>
    <row r="50" spans="1:141" s="118" customFormat="1" ht="15.75" customHeight="1">
      <c r="A50" s="136" t="s">
        <v>87</v>
      </c>
      <c r="B50" s="118">
        <v>6170030</v>
      </c>
      <c r="C50" s="133" t="s">
        <v>489</v>
      </c>
      <c r="D50" s="197">
        <v>3050</v>
      </c>
      <c r="E50" s="198" t="s">
        <v>78</v>
      </c>
      <c r="F50" s="199">
        <f>SUMIF(站前4樓!B:B,B50,站前4樓!F:F)</f>
        <v>27428</v>
      </c>
      <c r="G50" s="199">
        <f>SUMIF(站前11樓!B:B,B50,站前11樓!F:F)</f>
        <v>0</v>
      </c>
      <c r="H50" s="199">
        <f>SUMIF(忠孝7樓!B:B,B50,忠孝7樓!G:G)</f>
        <v>22830</v>
      </c>
      <c r="I50" s="199">
        <f>SUMIF(忠孝國際醫學3樓!B:B,B50,忠孝國際醫學3樓!G:G)</f>
        <v>0</v>
      </c>
      <c r="J50" s="199">
        <f>SUMIF(忠孝健康7樓!B:B,B50,忠孝健康7樓!G:G)</f>
        <v>34466</v>
      </c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  <c r="AH50" s="200"/>
      <c r="AI50" s="200"/>
      <c r="AJ50" s="221"/>
      <c r="AK50" s="221"/>
      <c r="AL50" s="221"/>
      <c r="AM50" s="221"/>
      <c r="AN50" s="221"/>
      <c r="AO50" s="221"/>
      <c r="AP50" s="221"/>
      <c r="AQ50" s="221"/>
      <c r="AR50" s="221"/>
      <c r="AS50" s="201"/>
      <c r="AT50" s="202"/>
      <c r="AU50" s="203" t="s">
        <v>49</v>
      </c>
      <c r="AV50" s="204" t="s">
        <v>49</v>
      </c>
      <c r="AW50" s="205" t="s">
        <v>49</v>
      </c>
      <c r="AX50" s="205" t="s">
        <v>49</v>
      </c>
      <c r="AY50" s="205" t="s">
        <v>49</v>
      </c>
      <c r="AZ50" s="205" t="s">
        <v>49</v>
      </c>
      <c r="BA50" s="203">
        <v>12000</v>
      </c>
      <c r="BB50" s="203"/>
      <c r="BC50" s="203">
        <f>SUMIFS(領用表!$L:$L,領用表!$A:$A,BC$2,領用表!$E:$E,B50)</f>
        <v>0</v>
      </c>
      <c r="BD50" s="206">
        <f>SUMIFS(領用表!$L:$L,領用表!$E:$E,$B50,領用表!$B:$B,BC$2&amp;BD$2)</f>
        <v>0</v>
      </c>
      <c r="BE50" s="206">
        <f>SUMIFS(領用表!$L:$L,領用表!$E:$E,$B50,領用表!$B:$B,$BC$2&amp;BE$2)</f>
        <v>0</v>
      </c>
      <c r="BF50" s="206">
        <f>SUMIFS(領用表!$L:$L,領用表!$E:$E,$B50,領用表!$B:$B,$BC$2&amp;BF$2)</f>
        <v>0</v>
      </c>
      <c r="BG50" s="206">
        <f>SUMIFS(領用表!$L:$L,領用表!$E:$E,$B50,領用表!$B:$B,$BC$2&amp;BG$2)</f>
        <v>0</v>
      </c>
      <c r="BH50" s="203">
        <f>SUMIFS(領用表!$L:$L,領用表!$A:$A,BH$2,領用表!$E:$E,B50)</f>
        <v>0</v>
      </c>
      <c r="BI50" s="206">
        <f>SUMIFS(領用表!$L:$L,領用表!$E:$E,$B50,領用表!$B:$B,BH$2&amp;BI$2)</f>
        <v>0</v>
      </c>
      <c r="BJ50" s="206">
        <f>SUMIFS(領用表!$L:$L,領用表!$E:$E,$B50,領用表!$B:$B,$BH$2&amp;BJ$2)</f>
        <v>0</v>
      </c>
      <c r="BK50" s="206">
        <f>SUMIFS(領用表!$L:$L,領用表!$E:$E,$B50,領用表!$B:$B,$BH$2&amp;BK$2)</f>
        <v>0</v>
      </c>
      <c r="BL50" s="206">
        <f>SUMIFS(領用表!$L:$L,領用表!$E:$E,$B50,領用表!$B:$B,$BH$2&amp;BL$2)</f>
        <v>0</v>
      </c>
      <c r="BM50" s="203">
        <f>SUMIFS(領用表!$L:$L,領用表!$A:$A,BM$2,領用表!$E:$E,B50)</f>
        <v>0</v>
      </c>
      <c r="BN50" s="206">
        <f>SUMIFS(領用表!$L:$L,領用表!$E:$E,$B50,領用表!$B:$B,BM$2&amp;BN$2)</f>
        <v>0</v>
      </c>
      <c r="BO50" s="206">
        <f>SUMIFS(領用表!$L:$L,領用表!$E:$E,$B50,領用表!$B:$B,$BM$2&amp;BO$2)</f>
        <v>0</v>
      </c>
      <c r="BP50" s="206">
        <f>SUMIFS(領用表!$L:$L,領用表!$E:$E,$B50,領用表!$B:$B,$BM$2&amp;BP$2)</f>
        <v>0</v>
      </c>
      <c r="BQ50" s="206">
        <f>SUMIFS(領用表!$L:$L,領用表!$E:$E,$B50,領用表!$B:$B,$BM$2&amp;BQ$2)</f>
        <v>0</v>
      </c>
      <c r="BR50" s="203">
        <f>SUMIFS(領用表!$L:$L,領用表!$A:$A,BR$2,領用表!$E:$E,B50)</f>
        <v>0</v>
      </c>
      <c r="BS50" s="206">
        <f>SUMIFS(領用表!$L:$L,領用表!$E:$E,$B50,領用表!$B:$B,BR$2&amp;BS$2)</f>
        <v>0</v>
      </c>
      <c r="BT50" s="206">
        <f>SUMIFS(領用表!$L:$L,領用表!$E:$E,$B50,領用表!$B:$B,$BR$2&amp;BT$2)</f>
        <v>0</v>
      </c>
      <c r="BU50" s="206">
        <f>SUMIFS(領用表!$L:$L,領用表!$E:$E,$B50,領用表!$B:$B,$BR$2&amp;BU$2)</f>
        <v>0</v>
      </c>
      <c r="BV50" s="206">
        <f>SUMIFS(領用表!$L:$L,領用表!$E:$E,$B50,領用表!$B:$B,$BR$2&amp;BV$2)</f>
        <v>0</v>
      </c>
      <c r="BW50" s="208">
        <f>SUMIFS(領用表!$L:$L,領用表!$A:$A,BW$2,領用表!$E:$E,B50)</f>
        <v>1</v>
      </c>
      <c r="BX50" s="206">
        <f>SUMIFS(領用表!$L:$L,領用表!$E:$E,$B50,領用表!$B:$B,BW$2&amp;BX$2)</f>
        <v>0</v>
      </c>
      <c r="BY50" s="206">
        <f>SUMIFS(領用表!$L:$L,領用表!$E:$E,$B50,領用表!$B:$B,$BW$2&amp;BY$2)</f>
        <v>0</v>
      </c>
      <c r="BZ50" s="206">
        <f>SUMIFS(領用表!$L:$L,領用表!$E:$E,$B50,領用表!$B:$B,$BW$2&amp;BZ$2)</f>
        <v>1</v>
      </c>
      <c r="CA50" s="206">
        <f>SUMIFS(領用表!$L:$L,領用表!$E:$E,$B50,領用表!$B:$B,$BW$2&amp;CA$2)</f>
        <v>0</v>
      </c>
      <c r="CB50" s="208">
        <f>SUMIFS(領用表!$L:$L,領用表!$A:$A,CB$2,領用表!$E:$E,B50)</f>
        <v>52343</v>
      </c>
      <c r="CC50" s="206">
        <f>SUMIFS(領用表!$L:$L,領用表!$E:$E,$B50,領用表!$B:$B,CB$2&amp;CC$2)</f>
        <v>5661</v>
      </c>
      <c r="CD50" s="206">
        <f>SUMIFS(領用表!$L:$L,領用表!$E:$E,$B50,領用表!$B:$B,$CB$2&amp;CD$2)</f>
        <v>0</v>
      </c>
      <c r="CE50" s="206">
        <f>SUMIFS(領用表!$L:$L,領用表!$E:$E,$B50,領用表!$B:$B,$CB$2&amp;CE$2)</f>
        <v>46682</v>
      </c>
      <c r="CF50" s="206">
        <f>SUMIFS(領用表!$L:$L,領用表!$E:$E,$B50,領用表!$B:$B,$CB$2&amp;CF$2)</f>
        <v>0</v>
      </c>
      <c r="CG50" s="208">
        <f>SUMIFS(領用表!$L:$L,領用表!$A:$A,CG$2,領用表!$E:$E,B50)</f>
        <v>77895</v>
      </c>
      <c r="CH50" s="206">
        <f>SUMIFS(領用表!$L:$L,領用表!$E:$E,$B50,領用表!$B:$B,CG$2&amp;CH$2)</f>
        <v>30120</v>
      </c>
      <c r="CI50" s="206">
        <f>SUMIFS(領用表!$L:$L,領用表!$E:$E,$B50,領用表!$B:$B,CG$2&amp;CI$2)</f>
        <v>0</v>
      </c>
      <c r="CJ50" s="206">
        <f>SUMIFS(領用表!$L:$L,領用表!$E:$E,$B50,領用表!$B:$B,CG$2&amp;CJ$2)</f>
        <v>47775</v>
      </c>
      <c r="CK50" s="206">
        <f>SUMIFS(領用表!$L:$L,領用表!$E:$E,$B50,領用表!$B:$B,$CG$2&amp;CK$2)</f>
        <v>0</v>
      </c>
      <c r="CL50" s="207">
        <f t="shared" si="16"/>
        <v>142239</v>
      </c>
      <c r="CM50" s="207">
        <f t="shared" si="17"/>
        <v>17779.875</v>
      </c>
      <c r="CN50" s="208">
        <f>SUMIFS(領用表!$L:$L,領用表!$A:$A,CN$2,領用表!$E:$E,B50)</f>
        <v>74605</v>
      </c>
      <c r="CO50" s="206">
        <f>SUMIFS(領用表!$L:$L,領用表!$E:$E,$B50,領用表!$B:$B,CN$2&amp;CO$2)</f>
        <v>27220</v>
      </c>
      <c r="CP50" s="206">
        <f>SUMIFS(領用表!$L:$L,領用表!$E:$E,$B50,領用表!$B:$B,$CN$2&amp;CP$2)</f>
        <v>0</v>
      </c>
      <c r="CQ50" s="206">
        <f>SUMIFS(領用表!$L:$L,領用表!$E:$E,$B50,領用表!$B:$B,$CN$2&amp;CQ$2)</f>
        <v>47385</v>
      </c>
      <c r="CR50" s="206">
        <f>SUMIFS(領用表!$L:$L,領用表!$E:$E,$B50,領用表!$B:$B,$CN$2&amp;CR$2)</f>
        <v>0</v>
      </c>
      <c r="CS50" s="208">
        <f>SUMIFS(領用表!$L:$L,領用表!$A:$A,CS$2,領用表!$E:$E,B50)</f>
        <v>71641</v>
      </c>
      <c r="CT50" s="206">
        <f>SUMIFS(領用表!$L:$L,領用表!$E:$E,$B50,領用表!$B:$B,CS$2&amp;CT$2)</f>
        <v>30800</v>
      </c>
      <c r="CU50" s="206">
        <f>SUMIFS(領用表!$L:$L,領用表!$E:$E,$B50,領用表!$B:$B,$CS$2&amp;CU$2)</f>
        <v>0</v>
      </c>
      <c r="CV50" s="206">
        <f>SUMIFS(領用表!$L:$L,領用表!$E:$E,$B50,領用表!$B:$B,$CS$2&amp;CV$2)</f>
        <v>38441</v>
      </c>
      <c r="CW50" s="206">
        <f>SUMIFS(領用表!$L:$L,領用表!$E:$E,$B50,領用表!$B:$B,$CS$2&amp;CW$2)</f>
        <v>0</v>
      </c>
      <c r="CX50" s="206">
        <f>SUMIFS(領用表!$L:$L,領用表!$E:$E,$B50,領用表!$B:$B,$CS$2&amp;CX$2)</f>
        <v>2400</v>
      </c>
      <c r="CY50" s="208">
        <f>SUMIFS(領用表!$L:$L,領用表!$A:$A,CY$2,領用表!$E:$E,B50)</f>
        <v>51818</v>
      </c>
      <c r="CZ50" s="206">
        <f>SUMIFS(領用表!$L:$L,領用表!$E:$E,$B50,領用表!$B:$B,CY$2&amp;CZ$2)</f>
        <v>21200</v>
      </c>
      <c r="DA50" s="206">
        <f>SUMIFS(領用表!$L:$L,領用表!$E:$E,$B50,領用表!$B:$B,$CY$2&amp;DA$2)</f>
        <v>0</v>
      </c>
      <c r="DB50" s="206">
        <f>SUMIFS(領用表!$L:$L,領用表!$E:$E,$B50,領用表!$B:$B,$CY$2&amp;DB$2)</f>
        <v>23417</v>
      </c>
      <c r="DC50" s="206">
        <f>SUMIFS(領用表!$L:$L,領用表!$E:$E,$B50,領用表!$B:$B,$CY$2&amp;DC$2)</f>
        <v>0</v>
      </c>
      <c r="DD50" s="206">
        <f>SUMIFS(領用表!$L:$L,領用表!$E:$E,$B50,領用表!$B:$B,$CY$2&amp;DD$2)</f>
        <v>7201</v>
      </c>
      <c r="DE50" s="208">
        <f>SUMIFS(領用表!$L:$L,領用表!$A:$A,DE$2,領用表!$E:$E,B50)</f>
        <v>63470</v>
      </c>
      <c r="DF50" s="206">
        <f>SUMIFS(領用表!$L:$L,領用表!$E:$E,$B50,領用表!$B:$B,DE$2&amp;DF$2)</f>
        <v>29150</v>
      </c>
      <c r="DG50" s="206">
        <f>SUMIFS(領用表!$L:$L,領用表!$E:$E,$B50,領用表!$B:$B,$DE$2&amp;DG$2)</f>
        <v>0</v>
      </c>
      <c r="DH50" s="206">
        <f>SUMIFS(領用表!$L:$L,領用表!$E:$E,$B50,領用表!$B:$B,$DE$2&amp;DH$2)</f>
        <v>27620</v>
      </c>
      <c r="DI50" s="206">
        <f>SUMIFS(領用表!$L:$L,領用表!$E:$E,$B50,領用表!$B:$B,$DE$2&amp;DI$2)</f>
        <v>0</v>
      </c>
      <c r="DJ50" s="206">
        <f>SUMIFS(領用表!$L:$L,領用表!$E:$E,$B50,領用表!$B:$B,$DE$2&amp;DJ$2)</f>
        <v>6700</v>
      </c>
      <c r="DK50" s="208">
        <f>SUMIFS(領用表!$L:$L,領用表!$A:$A,DK$2,領用表!$E:$E,$B50)</f>
        <v>62501</v>
      </c>
      <c r="DL50" s="206">
        <f>SUMIFS(領用表!$L:$L,領用表!$E:$E,$B50,領用表!$B:$B,DK$2&amp;DL$2)</f>
        <v>38101</v>
      </c>
      <c r="DM50" s="206">
        <f>SUMIFS(領用表!$L:$L,領用表!$E:$E,$B50,領用表!$B:$B,$DK$2&amp;DM$2)</f>
        <v>0</v>
      </c>
      <c r="DN50" s="206">
        <f>SUMIFS(領用表!$L:$L,領用表!$E:$E,$B50,領用表!$B:$B,$DK$2&amp;DN$2)</f>
        <v>19900</v>
      </c>
      <c r="DO50" s="206">
        <f>SUMIFS(領用表!$L:$L,領用表!$E:$E,$B50,領用表!$B:$B,$DK$2&amp;DO$2)</f>
        <v>0</v>
      </c>
      <c r="DP50" s="206">
        <f>SUMIFS(領用表!$L:$L,領用表!$E:$E,$B50,領用表!$B:$B,$DK$2&amp;DP$2)</f>
        <v>4500</v>
      </c>
      <c r="DQ50" s="206">
        <f t="shared" si="14"/>
        <v>324035</v>
      </c>
      <c r="DR50" s="206">
        <f t="shared" si="15"/>
        <v>64807</v>
      </c>
      <c r="DS50" s="206">
        <f t="shared" si="6"/>
        <v>80000</v>
      </c>
      <c r="DT50" s="206">
        <v>30000</v>
      </c>
      <c r="DU50" s="206">
        <v>0</v>
      </c>
      <c r="DV50" s="206">
        <v>50000</v>
      </c>
      <c r="DW50" s="206">
        <v>0</v>
      </c>
      <c r="DX50" s="258"/>
      <c r="DY50" s="204">
        <v>0</v>
      </c>
      <c r="DZ50" s="204"/>
      <c r="EA50" s="204"/>
      <c r="EB50" s="346" t="s">
        <v>841</v>
      </c>
      <c r="EC50" s="212"/>
      <c r="ED50" s="118">
        <f>IFERROR(VLOOKUP(A50,站前4樓!A:BF,57,0),0)</f>
        <v>5661</v>
      </c>
      <c r="EE50" s="213">
        <f>IFERROR(VLOOKUP(A50,站前11樓!A:BE,57,0),0)</f>
        <v>0</v>
      </c>
      <c r="EF50" s="118">
        <f>IFERROR(VLOOKUP(A50,忠孝7樓!A:N,57,0),0)</f>
        <v>0</v>
      </c>
      <c r="EG50" s="118">
        <f>IFERROR(VLOOKUP(A50,忠孝國際醫學3樓!A:L,57,0),0)</f>
        <v>0</v>
      </c>
      <c r="EH50" s="118">
        <f t="shared" si="7"/>
        <v>5661</v>
      </c>
      <c r="EJ50" s="118">
        <v>27403</v>
      </c>
      <c r="EK50" s="118">
        <v>20500</v>
      </c>
    </row>
    <row r="51" spans="1:141" s="118" customFormat="1" ht="15.75" customHeight="1">
      <c r="A51" s="136" t="s">
        <v>89</v>
      </c>
      <c r="B51" s="118">
        <v>6170005</v>
      </c>
      <c r="C51" s="118" t="s">
        <v>614</v>
      </c>
      <c r="D51" s="207">
        <v>20099</v>
      </c>
      <c r="E51" s="198" t="s">
        <v>78</v>
      </c>
      <c r="F51" s="199">
        <f>SUMIF(站前4樓!B:B,B51,站前4樓!F:F)</f>
        <v>86541</v>
      </c>
      <c r="G51" s="199">
        <f>SUMIF(站前11樓!B:B,B51,站前11樓!F:F)</f>
        <v>0</v>
      </c>
      <c r="H51" s="199">
        <f>SUMIF(忠孝7樓!B:B,B51,忠孝7樓!G:G)</f>
        <v>91565</v>
      </c>
      <c r="I51" s="199">
        <f>SUMIF(忠孝國際醫學3樓!B:B,B51,忠孝國際醫學3樓!G:G)</f>
        <v>0</v>
      </c>
      <c r="J51" s="199">
        <f>SUMIF(忠孝健康7樓!B:B,B51,忠孝健康7樓!G:G)</f>
        <v>1286</v>
      </c>
      <c r="K51" s="200">
        <v>0</v>
      </c>
      <c r="L51" s="200">
        <v>0.02</v>
      </c>
      <c r="M51" s="200">
        <v>0.01</v>
      </c>
      <c r="N51" s="200">
        <v>0.04</v>
      </c>
      <c r="O51" s="200">
        <v>0.09</v>
      </c>
      <c r="P51" s="200">
        <v>0.03</v>
      </c>
      <c r="Q51" s="200">
        <v>0</v>
      </c>
      <c r="R51" s="200">
        <v>0</v>
      </c>
      <c r="S51" s="200">
        <v>0.01</v>
      </c>
      <c r="T51" s="200">
        <v>0.02</v>
      </c>
      <c r="U51" s="200">
        <v>0.02</v>
      </c>
      <c r="V51" s="200">
        <v>0.03</v>
      </c>
      <c r="W51" s="200">
        <v>0.06</v>
      </c>
      <c r="X51" s="200">
        <v>0.05</v>
      </c>
      <c r="Y51" s="200">
        <v>0.01</v>
      </c>
      <c r="Z51" s="200">
        <v>0.02</v>
      </c>
      <c r="AA51" s="200">
        <v>0</v>
      </c>
      <c r="AB51" s="200">
        <v>0.01</v>
      </c>
      <c r="AC51" s="200">
        <v>0.01</v>
      </c>
      <c r="AD51" s="200">
        <v>0.01</v>
      </c>
      <c r="AE51" s="200">
        <v>0.01</v>
      </c>
      <c r="AF51" s="200">
        <v>0.04</v>
      </c>
      <c r="AG51" s="200">
        <v>0.04</v>
      </c>
      <c r="AH51" s="200">
        <v>0.06</v>
      </c>
      <c r="AI51" s="200">
        <v>0.17</v>
      </c>
      <c r="AJ51" s="221">
        <v>0.1681</v>
      </c>
      <c r="AK51" s="221">
        <v>0.2626</v>
      </c>
      <c r="AL51" s="221">
        <v>0.1749</v>
      </c>
      <c r="AM51" s="221">
        <v>0.16875000000000001</v>
      </c>
      <c r="AN51" s="221">
        <v>0.35815000000000002</v>
      </c>
      <c r="AO51" s="221">
        <v>0.33200000000000002</v>
      </c>
      <c r="AP51" s="221">
        <v>0.43054999999999999</v>
      </c>
      <c r="AQ51" s="221">
        <v>0.6341</v>
      </c>
      <c r="AR51" s="221">
        <v>0.90239999999999998</v>
      </c>
      <c r="AS51" s="201">
        <v>1</v>
      </c>
      <c r="AT51" s="202">
        <v>3.314294243</v>
      </c>
      <c r="AU51" s="259">
        <f>1124/D51</f>
        <v>5.5923180257724261E-2</v>
      </c>
      <c r="AV51" s="204">
        <f>SUM(AJ51:AU51)</f>
        <v>7.8017674232577239</v>
      </c>
      <c r="AW51" s="205">
        <f>AV51/12</f>
        <v>0.65014728527147703</v>
      </c>
      <c r="AX51" s="203">
        <v>44000</v>
      </c>
      <c r="AY51" s="203">
        <v>49059</v>
      </c>
      <c r="AZ51" s="203">
        <v>33632</v>
      </c>
      <c r="BA51" s="203">
        <v>19872</v>
      </c>
      <c r="BB51" s="203">
        <v>17874</v>
      </c>
      <c r="BC51" s="203">
        <f>SUMIFS(領用表!$L:$L,領用表!$A:$A,BC$2,領用表!$E:$E,B51)</f>
        <v>13469</v>
      </c>
      <c r="BD51" s="206">
        <f>SUMIFS(領用表!$L:$L,領用表!$E:$E,$B51,領用表!$B:$B,BC$2&amp;BD$2)</f>
        <v>13469</v>
      </c>
      <c r="BE51" s="206">
        <f>SUMIFS(領用表!$L:$L,領用表!$E:$E,$B51,領用表!$B:$B,$BC$2&amp;BE$2)</f>
        <v>0</v>
      </c>
      <c r="BF51" s="206">
        <f>SUMIFS(領用表!$L:$L,領用表!$E:$E,$B51,領用表!$B:$B,$BC$2&amp;BF$2)</f>
        <v>0</v>
      </c>
      <c r="BG51" s="206">
        <f>SUMIFS(領用表!$L:$L,領用表!$E:$E,$B51,領用表!$B:$B,$BC$2&amp;BG$2)</f>
        <v>0</v>
      </c>
      <c r="BH51" s="203">
        <f>SUMIFS(領用表!$L:$L,領用表!$A:$A,BH$2,領用表!$E:$E,B51)</f>
        <v>21770</v>
      </c>
      <c r="BI51" s="260">
        <f>SUMIFS(領用表!$L:$L,領用表!$E:$E,$B51,領用表!$B:$B,BH$2&amp;BI$2)</f>
        <v>14787</v>
      </c>
      <c r="BJ51" s="260">
        <f>SUMIFS(領用表!$L:$L,領用表!$E:$E,$B51,領用表!$B:$B,$BH$2&amp;BJ$2)</f>
        <v>0</v>
      </c>
      <c r="BK51" s="260">
        <f>SUMIFS(領用表!$L:$L,領用表!$E:$E,$B51,領用表!$B:$B,$BH$2&amp;BK$2)</f>
        <v>6983</v>
      </c>
      <c r="BL51" s="260">
        <f>SUMIFS(領用表!$L:$L,領用表!$E:$E,$B51,領用表!$B:$B,$BH$2&amp;BL$2)</f>
        <v>0</v>
      </c>
      <c r="BM51" s="203">
        <f>SUMIFS(領用表!$L:$L,領用表!$A:$A,BM$2,領用表!$E:$E,B51)</f>
        <v>32548</v>
      </c>
      <c r="BN51" s="206">
        <f>SUMIFS(領用表!$L:$L,領用表!$E:$E,$B51,領用表!$B:$B,BM$2&amp;BN$2)</f>
        <v>17257</v>
      </c>
      <c r="BO51" s="206">
        <f>SUMIFS(領用表!$L:$L,領用表!$E:$E,$B51,領用表!$B:$B,$BM$2&amp;BO$2)</f>
        <v>0</v>
      </c>
      <c r="BP51" s="206">
        <f>SUMIFS(領用表!$L:$L,領用表!$E:$E,$B51,領用表!$B:$B,$BM$2&amp;BP$2)</f>
        <v>15291</v>
      </c>
      <c r="BQ51" s="206">
        <f>SUMIFS(領用表!$L:$L,領用表!$E:$E,$B51,領用表!$B:$B,$BM$2&amp;BQ$2)</f>
        <v>0</v>
      </c>
      <c r="BR51" s="203">
        <f>SUMIFS(領用表!$L:$L,領用表!$A:$A,BR$2,領用表!$E:$E,B51)</f>
        <v>23800</v>
      </c>
      <c r="BS51" s="206">
        <f>SUMIFS(領用表!$L:$L,領用表!$E:$E,$B51,領用表!$B:$B,BR$2&amp;BS$2)</f>
        <v>11675</v>
      </c>
      <c r="BT51" s="206">
        <f>SUMIFS(領用表!$L:$L,領用表!$E:$E,$B51,領用表!$B:$B,$BR$2&amp;BT$2)</f>
        <v>0</v>
      </c>
      <c r="BU51" s="206">
        <f>SUMIFS(領用表!$L:$L,領用表!$E:$E,$B51,領用表!$B:$B,$BR$2&amp;BU$2)</f>
        <v>12125</v>
      </c>
      <c r="BV51" s="206">
        <f>SUMIFS(領用表!$L:$L,領用表!$E:$E,$B51,領用表!$B:$B,$BR$2&amp;BV$2)</f>
        <v>0</v>
      </c>
      <c r="BW51" s="208">
        <f>SUMIFS(領用表!$L:$L,領用表!$A:$A,BW$2,領用表!$E:$E,B51)</f>
        <v>26507</v>
      </c>
      <c r="BX51" s="206">
        <f>SUMIFS(領用表!$L:$L,領用表!$E:$E,$B51,領用表!$B:$B,BW$2&amp;BX$2)</f>
        <v>14427</v>
      </c>
      <c r="BY51" s="206">
        <f>SUMIFS(領用表!$L:$L,領用表!$E:$E,$B51,領用表!$B:$B,$BW$2&amp;BY$2)</f>
        <v>0</v>
      </c>
      <c r="BZ51" s="206">
        <f>SUMIFS(領用表!$L:$L,領用表!$E:$E,$B51,領用表!$B:$B,$BW$2&amp;BZ$2)</f>
        <v>12080</v>
      </c>
      <c r="CA51" s="206">
        <f>SUMIFS(領用表!$L:$L,領用表!$E:$E,$B51,領用表!$B:$B,$BW$2&amp;CA$2)</f>
        <v>0</v>
      </c>
      <c r="CB51" s="208">
        <f>SUMIFS(領用表!$L:$L,領用表!$A:$A,CB$2,領用表!$E:$E,B51)</f>
        <v>25991</v>
      </c>
      <c r="CC51" s="206">
        <f>SUMIFS(領用表!$L:$L,領用表!$E:$E,$B51,領用表!$B:$B,CB$2&amp;CC$2)</f>
        <v>12875</v>
      </c>
      <c r="CD51" s="206">
        <f>SUMIFS(領用表!$L:$L,領用表!$E:$E,$B51,領用表!$B:$B,$CB$2&amp;CD$2)</f>
        <v>0</v>
      </c>
      <c r="CE51" s="206">
        <f>SUMIFS(領用表!$L:$L,領用表!$E:$E,$B51,領用表!$B:$B,$CB$2&amp;CE$2)</f>
        <v>13116</v>
      </c>
      <c r="CF51" s="206">
        <f>SUMIFS(領用表!$L:$L,領用表!$E:$E,$B51,領用表!$B:$B,$CB$2&amp;CF$2)</f>
        <v>0</v>
      </c>
      <c r="CG51" s="208">
        <f>SUMIFS(領用表!$L:$L,領用表!$A:$A,CG$2,領用表!$E:$E,B51)</f>
        <v>34690</v>
      </c>
      <c r="CH51" s="206">
        <f>SUMIFS(領用表!$L:$L,領用表!$E:$E,$B51,領用表!$B:$B,CG$2&amp;CH$2)</f>
        <v>18698</v>
      </c>
      <c r="CI51" s="206">
        <f>SUMIFS(領用表!$L:$L,領用表!$E:$E,$B51,領用表!$B:$B,CG$2&amp;CI$2)</f>
        <v>0</v>
      </c>
      <c r="CJ51" s="206">
        <f>SUMIFS(領用表!$L:$L,領用表!$E:$E,$B51,領用表!$B:$B,CG$2&amp;CJ$2)</f>
        <v>15992</v>
      </c>
      <c r="CK51" s="206">
        <f>SUMIFS(領用表!$L:$L,領用表!$E:$E,$B51,領用表!$B:$B,$CG$2&amp;CK$2)</f>
        <v>0</v>
      </c>
      <c r="CL51" s="207">
        <f t="shared" si="16"/>
        <v>343212</v>
      </c>
      <c r="CM51" s="207">
        <f t="shared" si="17"/>
        <v>28601</v>
      </c>
      <c r="CN51" s="208">
        <f>SUMIFS(領用表!$L:$L,領用表!$A:$A,CN$2,領用表!$E:$E,B51)</f>
        <v>52225</v>
      </c>
      <c r="CO51" s="206">
        <f>SUMIFS(領用表!$L:$L,領用表!$E:$E,$B51,領用表!$B:$B,CN$2&amp;CO$2)</f>
        <v>24935</v>
      </c>
      <c r="CP51" s="206">
        <f>SUMIFS(領用表!$L:$L,領用表!$E:$E,$B51,領用表!$B:$B,$CN$2&amp;CP$2)</f>
        <v>0</v>
      </c>
      <c r="CQ51" s="206">
        <f>SUMIFS(領用表!$L:$L,領用表!$E:$E,$B51,領用表!$B:$B,$CN$2&amp;CQ$2)</f>
        <v>27290</v>
      </c>
      <c r="CR51" s="206">
        <f>SUMIFS(領用表!$L:$L,領用表!$E:$E,$B51,領用表!$B:$B,$CN$2&amp;CR$2)</f>
        <v>0</v>
      </c>
      <c r="CS51" s="208">
        <f>SUMIFS(領用表!$L:$L,領用表!$A:$A,CS$2,領用表!$E:$E,B51)</f>
        <v>40524</v>
      </c>
      <c r="CT51" s="206">
        <f>SUMIFS(領用表!$L:$L,領用表!$E:$E,$B51,領用表!$B:$B,CS$2&amp;CT$2)</f>
        <v>17792</v>
      </c>
      <c r="CU51" s="206">
        <f>SUMIFS(領用表!$L:$L,領用表!$E:$E,$B51,領用表!$B:$B,$CS$2&amp;CU$2)</f>
        <v>0</v>
      </c>
      <c r="CV51" s="206">
        <f>SUMIFS(領用表!$L:$L,領用表!$E:$E,$B51,領用表!$B:$B,$CS$2&amp;CV$2)</f>
        <v>21563</v>
      </c>
      <c r="CW51" s="206">
        <f>SUMIFS(領用表!$L:$L,領用表!$E:$E,$B51,領用表!$B:$B,$CS$2&amp;CW$2)</f>
        <v>0</v>
      </c>
      <c r="CX51" s="206">
        <f>SUMIFS(領用表!$L:$L,領用表!$E:$E,$B51,領用表!$B:$B,$CS$2&amp;CX$2)</f>
        <v>1169</v>
      </c>
      <c r="CY51" s="208">
        <f>SUMIFS(領用表!$L:$L,領用表!$A:$A,CY$2,領用表!$E:$E,B51)</f>
        <v>27669</v>
      </c>
      <c r="CZ51" s="206">
        <f>SUMIFS(領用表!$L:$L,領用表!$E:$E,$B51,領用表!$B:$B,CY$2&amp;CZ$2)</f>
        <v>12446</v>
      </c>
      <c r="DA51" s="206">
        <f>SUMIFS(領用表!$L:$L,領用表!$E:$E,$B51,領用表!$B:$B,$CY$2&amp;DA$2)</f>
        <v>0</v>
      </c>
      <c r="DB51" s="206">
        <f>SUMIFS(領用表!$L:$L,領用表!$E:$E,$B51,領用表!$B:$B,$CY$2&amp;DB$2)</f>
        <v>10144</v>
      </c>
      <c r="DC51" s="206">
        <f>SUMIFS(領用表!$L:$L,領用表!$E:$E,$B51,領用表!$B:$B,$CY$2&amp;DC$2)</f>
        <v>0</v>
      </c>
      <c r="DD51" s="206">
        <f>SUMIFS(領用表!$L:$L,領用表!$E:$E,$B51,領用表!$B:$B,$CY$2&amp;DD$2)</f>
        <v>5079</v>
      </c>
      <c r="DE51" s="208">
        <f>SUMIFS(領用表!$L:$L,領用表!$A:$A,DE$2,領用表!$E:$E,B51)</f>
        <v>20293</v>
      </c>
      <c r="DF51" s="206">
        <f>SUMIFS(領用表!$L:$L,領用表!$E:$E,$B51,領用表!$B:$B,DE$2&amp;DF$2)</f>
        <v>8326</v>
      </c>
      <c r="DG51" s="206">
        <f>SUMIFS(領用表!$L:$L,領用表!$E:$E,$B51,領用表!$B:$B,$DE$2&amp;DG$2)</f>
        <v>0</v>
      </c>
      <c r="DH51" s="206">
        <f>SUMIFS(領用表!$L:$L,領用表!$E:$E,$B51,領用表!$B:$B,$DE$2&amp;DH$2)</f>
        <v>5407</v>
      </c>
      <c r="DI51" s="206">
        <f>SUMIFS(領用表!$L:$L,領用表!$E:$E,$B51,領用表!$B:$B,$DE$2&amp;DI$2)</f>
        <v>0</v>
      </c>
      <c r="DJ51" s="206">
        <f>SUMIFS(領用表!$L:$L,領用表!$E:$E,$B51,領用表!$B:$B,$DE$2&amp;DJ$2)</f>
        <v>6560</v>
      </c>
      <c r="DK51" s="208">
        <f>SUMIFS(領用表!$L:$L,領用表!$A:$A,DK$2,領用表!$E:$E,$B51)</f>
        <v>28570</v>
      </c>
      <c r="DL51" s="206">
        <f>SUMIFS(領用表!$L:$L,領用表!$E:$E,$B51,領用表!$B:$B,DK$2&amp;DL$2)</f>
        <v>13123</v>
      </c>
      <c r="DM51" s="206">
        <f>SUMIFS(領用表!$L:$L,領用表!$E:$E,$B51,領用表!$B:$B,$DK$2&amp;DM$2)</f>
        <v>0</v>
      </c>
      <c r="DN51" s="206">
        <f>SUMIFS(領用表!$L:$L,領用表!$E:$E,$B51,領用表!$B:$B,$DK$2&amp;DN$2)</f>
        <v>8673</v>
      </c>
      <c r="DO51" s="206">
        <f>SUMIFS(領用表!$L:$L,領用表!$E:$E,$B51,領用表!$B:$B,$DK$2&amp;DO$2)</f>
        <v>0</v>
      </c>
      <c r="DP51" s="206">
        <f>SUMIFS(領用表!$L:$L,領用表!$E:$E,$B51,領用表!$B:$B,$DK$2&amp;DP$2)</f>
        <v>6774</v>
      </c>
      <c r="DQ51" s="206">
        <f t="shared" si="14"/>
        <v>169281</v>
      </c>
      <c r="DR51" s="206">
        <f t="shared" si="15"/>
        <v>33856.199999999997</v>
      </c>
      <c r="DS51" s="206">
        <f t="shared" si="6"/>
        <v>53000</v>
      </c>
      <c r="DT51" s="206">
        <v>25000</v>
      </c>
      <c r="DU51" s="206">
        <v>0</v>
      </c>
      <c r="DV51" s="206">
        <v>28000</v>
      </c>
      <c r="DW51" s="206">
        <v>0</v>
      </c>
      <c r="DX51" s="215">
        <v>100000</v>
      </c>
      <c r="DY51" s="464" t="s">
        <v>806</v>
      </c>
      <c r="DZ51" s="210"/>
      <c r="EA51" s="261"/>
      <c r="EB51" s="346">
        <v>20000</v>
      </c>
      <c r="EC51" s="212"/>
      <c r="ED51" s="118">
        <f>IFERROR(VLOOKUP(A51,站前4樓!A:BF,57,0),0)</f>
        <v>12875</v>
      </c>
      <c r="EE51" s="213">
        <f>IFERROR(VLOOKUP(A51,站前11樓!A:BE,57,0),0)</f>
        <v>0</v>
      </c>
      <c r="EF51" s="118">
        <f>IFERROR(VLOOKUP(A51,忠孝7樓!A:N,57,0),0)</f>
        <v>0</v>
      </c>
      <c r="EG51" s="118">
        <f>IFERROR(VLOOKUP(A51,忠孝國際醫學3樓!A:L,57,0),0)</f>
        <v>0</v>
      </c>
      <c r="EH51" s="118">
        <f t="shared" si="7"/>
        <v>12875</v>
      </c>
      <c r="EJ51" s="118">
        <v>127278</v>
      </c>
      <c r="EK51" s="118">
        <v>148788</v>
      </c>
    </row>
    <row r="52" spans="1:141" s="118" customFormat="1" ht="15.75" customHeight="1">
      <c r="A52" s="136" t="s">
        <v>91</v>
      </c>
      <c r="B52" s="118">
        <v>6170007</v>
      </c>
      <c r="C52" s="118" t="s">
        <v>615</v>
      </c>
      <c r="D52" s="207">
        <v>20099</v>
      </c>
      <c r="E52" s="198" t="s">
        <v>78</v>
      </c>
      <c r="F52" s="199">
        <f>SUMIF(站前4樓!B:B,B52,站前4樓!F:F)</f>
        <v>56244</v>
      </c>
      <c r="G52" s="199">
        <f>SUMIF(站前11樓!B:B,B52,站前11樓!F:F)</f>
        <v>0</v>
      </c>
      <c r="H52" s="199">
        <f>SUMIF(忠孝7樓!B:B,B52,忠孝7樓!G:G)</f>
        <v>38424</v>
      </c>
      <c r="I52" s="199">
        <f>SUMIF(忠孝國際醫學3樓!B:B,B52,忠孝國際醫學3樓!G:G)</f>
        <v>0</v>
      </c>
      <c r="J52" s="199">
        <f>SUMIF(忠孝健康7樓!B:B,B52,忠孝健康7樓!G:G)</f>
        <v>48597</v>
      </c>
      <c r="K52" s="200">
        <v>0</v>
      </c>
      <c r="L52" s="200">
        <v>0.02</v>
      </c>
      <c r="M52" s="200">
        <v>0.02</v>
      </c>
      <c r="N52" s="200">
        <v>0.13</v>
      </c>
      <c r="O52" s="200">
        <v>0.08</v>
      </c>
      <c r="P52" s="200">
        <v>0.06</v>
      </c>
      <c r="Q52" s="200">
        <v>0.02</v>
      </c>
      <c r="R52" s="200">
        <v>0.01</v>
      </c>
      <c r="S52" s="200">
        <v>0.04</v>
      </c>
      <c r="T52" s="200">
        <v>0.02</v>
      </c>
      <c r="U52" s="200">
        <v>0.04</v>
      </c>
      <c r="V52" s="200">
        <v>0.18</v>
      </c>
      <c r="W52" s="200">
        <v>0.18</v>
      </c>
      <c r="X52" s="200">
        <v>0.08</v>
      </c>
      <c r="Y52" s="200">
        <v>0.11</v>
      </c>
      <c r="Z52" s="200">
        <v>0.12</v>
      </c>
      <c r="AA52" s="200">
        <v>0.04</v>
      </c>
      <c r="AB52" s="200">
        <v>0.04</v>
      </c>
      <c r="AC52" s="200">
        <v>0</v>
      </c>
      <c r="AD52" s="200">
        <v>0.05</v>
      </c>
      <c r="AE52" s="200">
        <v>0.24</v>
      </c>
      <c r="AF52" s="200">
        <v>0.18</v>
      </c>
      <c r="AG52" s="200">
        <v>0.18</v>
      </c>
      <c r="AH52" s="200">
        <v>0.2</v>
      </c>
      <c r="AI52" s="200">
        <v>0.47</v>
      </c>
      <c r="AJ52" s="221">
        <v>0.52470000000000006</v>
      </c>
      <c r="AK52" s="221">
        <v>0.63759999999999994</v>
      </c>
      <c r="AL52" s="221">
        <v>0.45415</v>
      </c>
      <c r="AM52" s="221">
        <v>0.60724999999999996</v>
      </c>
      <c r="AN52" s="221">
        <v>0.96135000000000004</v>
      </c>
      <c r="AO52" s="221">
        <v>1.04125</v>
      </c>
      <c r="AP52" s="221">
        <v>1.1995</v>
      </c>
      <c r="AQ52" s="221">
        <v>1.4194</v>
      </c>
      <c r="AR52" s="221">
        <v>1.99865</v>
      </c>
      <c r="AS52" s="201">
        <v>0</v>
      </c>
      <c r="AT52" s="202">
        <v>3.6449077070000002</v>
      </c>
      <c r="AU52" s="203">
        <f>35435.97/D52</f>
        <v>1.7630712970794566</v>
      </c>
      <c r="AV52" s="204">
        <f>SUM(AJ52:AU52)</f>
        <v>14.251829004079456</v>
      </c>
      <c r="AW52" s="205">
        <f>AV52/12</f>
        <v>1.1876524170066214</v>
      </c>
      <c r="AX52" s="203">
        <v>80000</v>
      </c>
      <c r="AY52" s="203">
        <v>103553</v>
      </c>
      <c r="AZ52" s="203">
        <v>64539</v>
      </c>
      <c r="BA52" s="203">
        <v>44692</v>
      </c>
      <c r="BB52" s="203">
        <v>39890</v>
      </c>
      <c r="BC52" s="203">
        <f>SUMIFS(領用表!$L:$L,領用表!$A:$A,BC$2,領用表!$E:$E,B52)</f>
        <v>40840</v>
      </c>
      <c r="BD52" s="206">
        <f>SUMIFS(領用表!$L:$L,領用表!$E:$E,$B52,領用表!$B:$B,BC$2&amp;BD$2)</f>
        <v>40840</v>
      </c>
      <c r="BE52" s="206">
        <f>SUMIFS(領用表!$L:$L,領用表!$E:$E,$B52,領用表!$B:$B,$BC$2&amp;BE$2)</f>
        <v>0</v>
      </c>
      <c r="BF52" s="206">
        <f>SUMIFS(領用表!$L:$L,領用表!$E:$E,$B52,領用表!$B:$B,$BC$2&amp;BF$2)</f>
        <v>0</v>
      </c>
      <c r="BG52" s="206">
        <f>SUMIFS(領用表!$L:$L,領用表!$E:$E,$B52,領用表!$B:$B,$BC$2&amp;BG$2)</f>
        <v>0</v>
      </c>
      <c r="BH52" s="203">
        <f>SUMIFS(領用表!$L:$L,領用表!$A:$A,BH$2,領用表!$E:$E,B52)</f>
        <v>53221</v>
      </c>
      <c r="BI52" s="260">
        <f>SUMIFS(領用表!$L:$L,領用表!$E:$E,$B52,領用表!$B:$B,BH$2&amp;BI$2)</f>
        <v>31868</v>
      </c>
      <c r="BJ52" s="260">
        <f>SUMIFS(領用表!$L:$L,領用表!$E:$E,$B52,領用表!$B:$B,$BH$2&amp;BJ$2)</f>
        <v>0</v>
      </c>
      <c r="BK52" s="260">
        <f>SUMIFS(領用表!$L:$L,領用表!$E:$E,$B52,領用表!$B:$B,$BH$2&amp;BK$2)</f>
        <v>21353</v>
      </c>
      <c r="BL52" s="260">
        <f>SUMIFS(領用表!$L:$L,領用表!$E:$E,$B52,領用表!$B:$B,$BH$2&amp;BL$2)</f>
        <v>0</v>
      </c>
      <c r="BM52" s="203">
        <f>SUMIFS(領用表!$L:$L,領用表!$A:$A,BM$2,領用表!$E:$E,B52)</f>
        <v>81015</v>
      </c>
      <c r="BN52" s="206">
        <f>SUMIFS(領用表!$L:$L,領用表!$E:$E,$B52,領用表!$B:$B,BM$2&amp;BN$2)</f>
        <v>39271</v>
      </c>
      <c r="BO52" s="206">
        <f>SUMIFS(領用表!$L:$L,領用表!$E:$E,$B52,領用表!$B:$B,$BM$2&amp;BO$2)</f>
        <v>0</v>
      </c>
      <c r="BP52" s="206">
        <f>SUMIFS(領用表!$L:$L,領用表!$E:$E,$B52,領用表!$B:$B,$BM$2&amp;BP$2)</f>
        <v>41744</v>
      </c>
      <c r="BQ52" s="206">
        <f>SUMIFS(領用表!$L:$L,領用表!$E:$E,$B52,領用表!$B:$B,$BM$2&amp;BQ$2)</f>
        <v>0</v>
      </c>
      <c r="BR52" s="203">
        <f>SUMIFS(領用表!$L:$L,領用表!$A:$A,BR$2,領用表!$E:$E,B52)</f>
        <v>60354</v>
      </c>
      <c r="BS52" s="206">
        <f>SUMIFS(領用表!$L:$L,領用表!$E:$E,$B52,領用表!$B:$B,BR$2&amp;BS$2)</f>
        <v>20640</v>
      </c>
      <c r="BT52" s="206">
        <f>SUMIFS(領用表!$L:$L,領用表!$E:$E,$B52,領用表!$B:$B,$BR$2&amp;BT$2)</f>
        <v>0</v>
      </c>
      <c r="BU52" s="206">
        <f>SUMIFS(領用表!$L:$L,領用表!$E:$E,$B52,領用表!$B:$B,$BR$2&amp;BU$2)</f>
        <v>39714</v>
      </c>
      <c r="BV52" s="206">
        <f>SUMIFS(領用表!$L:$L,領用表!$E:$E,$B52,領用表!$B:$B,$BR$2&amp;BV$2)</f>
        <v>0</v>
      </c>
      <c r="BW52" s="208">
        <f>SUMIFS(領用表!$L:$L,領用表!$A:$A,BW$2,領用表!$E:$E,B52)</f>
        <v>59375</v>
      </c>
      <c r="BX52" s="206">
        <f>SUMIFS(領用表!$L:$L,領用表!$E:$E,$B52,領用表!$B:$B,BW$2&amp;BX$2)</f>
        <v>23112</v>
      </c>
      <c r="BY52" s="206">
        <f>SUMIFS(領用表!$L:$L,領用表!$E:$E,$B52,領用表!$B:$B,$BW$2&amp;BY$2)</f>
        <v>0</v>
      </c>
      <c r="BZ52" s="206">
        <f>SUMIFS(領用表!$L:$L,領用表!$E:$E,$B52,領用表!$B:$B,$BW$2&amp;BZ$2)</f>
        <v>36263</v>
      </c>
      <c r="CA52" s="206">
        <f>SUMIFS(領用表!$L:$L,領用表!$E:$E,$B52,領用表!$B:$B,$BW$2&amp;CA$2)</f>
        <v>0</v>
      </c>
      <c r="CB52" s="208">
        <f>SUMIFS(領用表!$L:$L,領用表!$A:$A,CB$2,領用表!$E:$E,B52)</f>
        <v>70923</v>
      </c>
      <c r="CC52" s="206">
        <f>SUMIFS(領用表!$L:$L,領用表!$E:$E,$B52,領用表!$B:$B,CB$2&amp;CC$2)</f>
        <v>33827</v>
      </c>
      <c r="CD52" s="206">
        <f>SUMIFS(領用表!$L:$L,領用表!$E:$E,$B52,領用表!$B:$B,$CB$2&amp;CD$2)</f>
        <v>0</v>
      </c>
      <c r="CE52" s="206">
        <f>SUMIFS(領用表!$L:$L,領用表!$E:$E,$B52,領用表!$B:$B,$CB$2&amp;CE$2)</f>
        <v>37096</v>
      </c>
      <c r="CF52" s="206">
        <f>SUMIFS(領用表!$L:$L,領用表!$E:$E,$B52,領用表!$B:$B,$CB$2&amp;CF$2)</f>
        <v>0</v>
      </c>
      <c r="CG52" s="208">
        <f>SUMIFS(領用表!$L:$L,領用表!$A:$A,CG$2,領用表!$E:$E,B52)</f>
        <v>108247</v>
      </c>
      <c r="CH52" s="206">
        <f>SUMIFS(領用表!$L:$L,領用表!$E:$E,$B52,領用表!$B:$B,CG$2&amp;CH$2)</f>
        <v>51090</v>
      </c>
      <c r="CI52" s="206">
        <f>SUMIFS(領用表!$L:$L,領用表!$E:$E,$B52,領用表!$B:$B,CG$2&amp;CI$2)</f>
        <v>0</v>
      </c>
      <c r="CJ52" s="206">
        <f>SUMIFS(領用表!$L:$L,領用表!$E:$E,$B52,領用表!$B:$B,CG$2&amp;CJ$2)</f>
        <v>57157</v>
      </c>
      <c r="CK52" s="206">
        <f>SUMIFS(領用表!$L:$L,領用表!$E:$E,$B52,領用表!$B:$B,$CG$2&amp;CK$2)</f>
        <v>0</v>
      </c>
      <c r="CL52" s="207">
        <f t="shared" si="16"/>
        <v>806649</v>
      </c>
      <c r="CM52" s="207">
        <f t="shared" si="17"/>
        <v>67220.75</v>
      </c>
      <c r="CN52" s="208">
        <f>SUMIFS(領用表!$L:$L,領用表!$A:$A,CN$2,領用表!$E:$E,B52)</f>
        <v>115244</v>
      </c>
      <c r="CO52" s="206">
        <f>SUMIFS(領用表!$L:$L,領用表!$E:$E,$B52,領用表!$B:$B,CN$2&amp;CO$2)</f>
        <v>49732</v>
      </c>
      <c r="CP52" s="206">
        <f>SUMIFS(領用表!$L:$L,領用表!$E:$E,$B52,領用表!$B:$B,$CN$2&amp;CP$2)</f>
        <v>0</v>
      </c>
      <c r="CQ52" s="206">
        <f>SUMIFS(領用表!$L:$L,領用表!$E:$E,$B52,領用表!$B:$B,$CN$2&amp;CQ$2)</f>
        <v>65512</v>
      </c>
      <c r="CR52" s="206">
        <f>SUMIFS(領用表!$L:$L,領用表!$E:$E,$B52,領用表!$B:$B,$CN$2&amp;CR$2)</f>
        <v>0</v>
      </c>
      <c r="CS52" s="208">
        <f>SUMIFS(領用表!$L:$L,領用表!$A:$A,CS$2,領用表!$E:$E,B52)</f>
        <v>105054</v>
      </c>
      <c r="CT52" s="206">
        <f>SUMIFS(領用表!$L:$L,領用表!$E:$E,$B52,領用表!$B:$B,CS$2&amp;CT$2)</f>
        <v>44725</v>
      </c>
      <c r="CU52" s="206">
        <f>SUMIFS(領用表!$L:$L,領用表!$E:$E,$B52,領用表!$B:$B,$CS$2&amp;CU$2)</f>
        <v>0</v>
      </c>
      <c r="CV52" s="206">
        <f>SUMIFS(領用表!$L:$L,領用表!$E:$E,$B52,領用表!$B:$B,$CS$2&amp;CV$2)</f>
        <v>56774</v>
      </c>
      <c r="CW52" s="206">
        <f>SUMIFS(領用表!$L:$L,領用表!$E:$E,$B52,領用表!$B:$B,$CS$2&amp;CW$2)</f>
        <v>0</v>
      </c>
      <c r="CX52" s="206">
        <f>SUMIFS(領用表!$L:$L,領用表!$E:$E,$B52,領用表!$B:$B,$CS$2&amp;CX$2)</f>
        <v>3555</v>
      </c>
      <c r="CY52" s="208">
        <f>SUMIFS(領用表!$L:$L,領用表!$A:$A,CY$2,領用表!$E:$E,B52)</f>
        <v>82871</v>
      </c>
      <c r="CZ52" s="206">
        <f>SUMIFS(領用表!$L:$L,領用表!$E:$E,$B52,領用表!$B:$B,CY$2&amp;CZ$2)</f>
        <v>39981</v>
      </c>
      <c r="DA52" s="206">
        <f>SUMIFS(領用表!$L:$L,領用表!$E:$E,$B52,領用表!$B:$B,$CY$2&amp;DA$2)</f>
        <v>0</v>
      </c>
      <c r="DB52" s="206">
        <f>SUMIFS(領用表!$L:$L,領用表!$E:$E,$B52,領用表!$B:$B,$CY$2&amp;DB$2)</f>
        <v>32538</v>
      </c>
      <c r="DC52" s="206">
        <f>SUMIFS(領用表!$L:$L,領用表!$E:$E,$B52,領用表!$B:$B,$CY$2&amp;DC$2)</f>
        <v>0</v>
      </c>
      <c r="DD52" s="206">
        <f>SUMIFS(領用表!$L:$L,領用表!$E:$E,$B52,領用表!$B:$B,$CY$2&amp;DD$2)</f>
        <v>10352</v>
      </c>
      <c r="DE52" s="208">
        <f>SUMIFS(領用表!$L:$L,領用表!$A:$A,DE$2,領用表!$E:$E,B52)</f>
        <v>76540</v>
      </c>
      <c r="DF52" s="206">
        <f>SUMIFS(領用表!$L:$L,領用表!$E:$E,$B52,領用表!$B:$B,DE$2&amp;DF$2)</f>
        <v>32190</v>
      </c>
      <c r="DG52" s="206">
        <f>SUMIFS(領用表!$L:$L,領用表!$E:$E,$B52,領用表!$B:$B,$DE$2&amp;DG$2)</f>
        <v>0</v>
      </c>
      <c r="DH52" s="206">
        <f>SUMIFS(領用表!$L:$L,領用表!$E:$E,$B52,領用表!$B:$B,$DE$2&amp;DH$2)</f>
        <v>28292</v>
      </c>
      <c r="DI52" s="206">
        <f>SUMIFS(領用表!$L:$L,領用表!$E:$E,$B52,領用表!$B:$B,$DE$2&amp;DI$2)</f>
        <v>0</v>
      </c>
      <c r="DJ52" s="206">
        <f>SUMIFS(領用表!$L:$L,領用表!$E:$E,$B52,領用表!$B:$B,$DE$2&amp;DJ$2)</f>
        <v>16058</v>
      </c>
      <c r="DK52" s="208">
        <f>SUMIFS(領用表!$L:$L,領用表!$A:$A,DK$2,領用表!$E:$E,$B52)</f>
        <v>87578</v>
      </c>
      <c r="DL52" s="206">
        <f>SUMIFS(領用表!$L:$L,領用表!$E:$E,$B52,領用表!$B:$B,DK$2&amp;DL$2)</f>
        <v>39668</v>
      </c>
      <c r="DM52" s="206">
        <f>SUMIFS(領用表!$L:$L,領用表!$E:$E,$B52,領用表!$B:$B,$DK$2&amp;DM$2)</f>
        <v>0</v>
      </c>
      <c r="DN52" s="206">
        <f>SUMIFS(領用表!$L:$L,領用表!$E:$E,$B52,領用表!$B:$B,$DK$2&amp;DN$2)</f>
        <v>32711</v>
      </c>
      <c r="DO52" s="206">
        <f>SUMIFS(領用表!$L:$L,領用表!$E:$E,$B52,領用表!$B:$B,$DK$2&amp;DO$2)</f>
        <v>0</v>
      </c>
      <c r="DP52" s="206">
        <f>SUMIFS(領用表!$L:$L,領用表!$E:$E,$B52,領用表!$B:$B,$DK$2&amp;DP$2)</f>
        <v>15199</v>
      </c>
      <c r="DQ52" s="206">
        <f t="shared" si="14"/>
        <v>467287</v>
      </c>
      <c r="DR52" s="206">
        <f t="shared" si="15"/>
        <v>93457.4</v>
      </c>
      <c r="DS52" s="206">
        <f t="shared" si="6"/>
        <v>115000</v>
      </c>
      <c r="DT52" s="206">
        <v>50000</v>
      </c>
      <c r="DU52" s="206">
        <v>0</v>
      </c>
      <c r="DV52" s="206">
        <v>65000</v>
      </c>
      <c r="DW52" s="206">
        <v>0</v>
      </c>
      <c r="DX52" s="215">
        <v>120000</v>
      </c>
      <c r="DY52" s="465"/>
      <c r="DZ52" s="210"/>
      <c r="EA52" s="261"/>
      <c r="EB52" s="346">
        <v>20000</v>
      </c>
      <c r="EC52" s="212"/>
      <c r="ED52" s="118">
        <f>IFERROR(VLOOKUP(A52,站前4樓!A:BF,57,0),0)</f>
        <v>33827</v>
      </c>
      <c r="EE52" s="213">
        <f>IFERROR(VLOOKUP(A52,站前11樓!A:BE,57,0),0)</f>
        <v>0</v>
      </c>
      <c r="EF52" s="118">
        <f>IFERROR(VLOOKUP(A52,忠孝7樓!A:N,57,0),0)</f>
        <v>0</v>
      </c>
      <c r="EG52" s="118">
        <f>IFERROR(VLOOKUP(A52,忠孝國際醫學3樓!A:L,57,0),0)</f>
        <v>0</v>
      </c>
      <c r="EH52" s="118">
        <f t="shared" si="7"/>
        <v>33827</v>
      </c>
      <c r="EJ52" s="118">
        <v>95718</v>
      </c>
      <c r="EK52" s="118">
        <v>142008</v>
      </c>
    </row>
    <row r="53" spans="1:141" s="118" customFormat="1" ht="15.75" customHeight="1">
      <c r="A53" s="136" t="s">
        <v>92</v>
      </c>
      <c r="B53" s="118">
        <v>6170009</v>
      </c>
      <c r="C53" s="118" t="s">
        <v>616</v>
      </c>
      <c r="D53" s="207">
        <v>20099</v>
      </c>
      <c r="E53" s="198" t="s">
        <v>78</v>
      </c>
      <c r="F53" s="199">
        <f>SUMIF(站前4樓!B:B,B53,站前4樓!F:F)</f>
        <v>38176</v>
      </c>
      <c r="G53" s="199">
        <f>SUMIF(站前11樓!B:B,B53,站前11樓!F:F)</f>
        <v>0</v>
      </c>
      <c r="H53" s="199">
        <f>SUMIF(忠孝7樓!B:B,B53,忠孝7樓!G:G)</f>
        <v>63903</v>
      </c>
      <c r="I53" s="199">
        <f>SUMIF(忠孝國際醫學3樓!B:B,B53,忠孝國際醫學3樓!G:G)</f>
        <v>0</v>
      </c>
      <c r="J53" s="199">
        <f>SUMIF(忠孝健康7樓!B:B,B53,忠孝健康7樓!G:G)</f>
        <v>17201</v>
      </c>
      <c r="K53" s="200">
        <v>0</v>
      </c>
      <c r="L53" s="200">
        <v>0.05</v>
      </c>
      <c r="M53" s="200">
        <v>0.05</v>
      </c>
      <c r="N53" s="200">
        <v>0.28000000000000003</v>
      </c>
      <c r="O53" s="200">
        <v>0.15</v>
      </c>
      <c r="P53" s="200">
        <v>0.1</v>
      </c>
      <c r="Q53" s="200">
        <v>0.02</v>
      </c>
      <c r="R53" s="200">
        <v>7.0000000000000007E-2</v>
      </c>
      <c r="S53" s="200">
        <v>7.0000000000000007E-2</v>
      </c>
      <c r="T53" s="200">
        <v>0.03</v>
      </c>
      <c r="U53" s="200">
        <v>0.08</v>
      </c>
      <c r="V53" s="200">
        <v>0.28000000000000003</v>
      </c>
      <c r="W53" s="200">
        <v>0.34</v>
      </c>
      <c r="X53" s="200">
        <v>0.43</v>
      </c>
      <c r="Y53" s="200">
        <v>0.22</v>
      </c>
      <c r="Z53" s="200">
        <v>0.27</v>
      </c>
      <c r="AA53" s="200">
        <v>0.19</v>
      </c>
      <c r="AB53" s="200">
        <v>0.17</v>
      </c>
      <c r="AC53" s="200">
        <v>0.08</v>
      </c>
      <c r="AD53" s="200">
        <v>0.17</v>
      </c>
      <c r="AE53" s="200">
        <v>0.49</v>
      </c>
      <c r="AF53" s="200">
        <v>0.33</v>
      </c>
      <c r="AG53" s="200">
        <v>0.36</v>
      </c>
      <c r="AH53" s="200">
        <v>0.55000000000000004</v>
      </c>
      <c r="AI53" s="200">
        <v>1.18</v>
      </c>
      <c r="AJ53" s="221">
        <v>1.1897500000000001</v>
      </c>
      <c r="AK53" s="221">
        <v>1.7077500000000001</v>
      </c>
      <c r="AL53" s="221">
        <v>1.1122000000000001</v>
      </c>
      <c r="AM53" s="221">
        <v>1.5160499999999999</v>
      </c>
      <c r="AN53" s="221">
        <v>1.7877000000000001</v>
      </c>
      <c r="AO53" s="221">
        <v>1.9861</v>
      </c>
      <c r="AP53" s="221">
        <v>1.8072999999999999</v>
      </c>
      <c r="AQ53" s="221">
        <v>2.97675</v>
      </c>
      <c r="AR53" s="221">
        <v>3.9359000000000002</v>
      </c>
      <c r="AS53" s="201">
        <v>2</v>
      </c>
      <c r="AT53" s="202">
        <v>4.666898851</v>
      </c>
      <c r="AU53" s="203">
        <f>111583.65/D53</f>
        <v>5.5517015771928948</v>
      </c>
      <c r="AV53" s="204">
        <f>SUM(AJ53:AU53)</f>
        <v>30.238100428192894</v>
      </c>
      <c r="AW53" s="205">
        <f>AV53/12</f>
        <v>2.519841702349408</v>
      </c>
      <c r="AX53" s="203">
        <v>136000</v>
      </c>
      <c r="AY53" s="203">
        <v>191154</v>
      </c>
      <c r="AZ53" s="203">
        <v>112945</v>
      </c>
      <c r="BA53" s="203">
        <v>91969</v>
      </c>
      <c r="BB53" s="203">
        <v>71243</v>
      </c>
      <c r="BC53" s="203">
        <f>SUMIFS(領用表!$L:$L,領用表!$A:$A,BC$2,領用表!$E:$E,B53)</f>
        <v>71389</v>
      </c>
      <c r="BD53" s="206">
        <f>SUMIFS(領用表!$L:$L,領用表!$E:$E,$B53,領用表!$B:$B,BC$2&amp;BD$2)</f>
        <v>71389</v>
      </c>
      <c r="BE53" s="206">
        <f>SUMIFS(領用表!$L:$L,領用表!$E:$E,$B53,領用表!$B:$B,$BC$2&amp;BE$2)</f>
        <v>0</v>
      </c>
      <c r="BF53" s="206">
        <f>SUMIFS(領用表!$L:$L,領用表!$E:$E,$B53,領用表!$B:$B,$BC$2&amp;BF$2)</f>
        <v>0</v>
      </c>
      <c r="BG53" s="206">
        <f>SUMIFS(領用表!$L:$L,領用表!$E:$E,$B53,領用表!$B:$B,$BC$2&amp;BG$2)</f>
        <v>0</v>
      </c>
      <c r="BH53" s="203">
        <f>SUMIFS(領用表!$L:$L,領用表!$A:$A,BH$2,領用表!$E:$E,B53)</f>
        <v>90073</v>
      </c>
      <c r="BI53" s="260">
        <f>SUMIFS(領用表!$L:$L,領用表!$E:$E,$B53,領用表!$B:$B,BH$2&amp;BI$2)</f>
        <v>47994</v>
      </c>
      <c r="BJ53" s="260">
        <f>SUMIFS(領用表!$L:$L,領用表!$E:$E,$B53,領用表!$B:$B,$BH$2&amp;BJ$2)</f>
        <v>0</v>
      </c>
      <c r="BK53" s="260">
        <f>SUMIFS(領用表!$L:$L,領用表!$E:$E,$B53,領用表!$B:$B,$BH$2&amp;BK$2)</f>
        <v>42079</v>
      </c>
      <c r="BL53" s="260">
        <f>SUMIFS(領用表!$L:$L,領用表!$E:$E,$B53,領用表!$B:$B,$BH$2&amp;BL$2)</f>
        <v>0</v>
      </c>
      <c r="BM53" s="203">
        <f>SUMIFS(領用表!$L:$L,領用表!$A:$A,BM$2,領用表!$E:$E,B53)</f>
        <v>128943</v>
      </c>
      <c r="BN53" s="206">
        <f>SUMIFS(領用表!$L:$L,領用表!$E:$E,$B53,領用表!$B:$B,BM$2&amp;BN$2)</f>
        <v>54598</v>
      </c>
      <c r="BO53" s="206">
        <f>SUMIFS(領用表!$L:$L,領用表!$E:$E,$B53,領用表!$B:$B,$BM$2&amp;BO$2)</f>
        <v>0</v>
      </c>
      <c r="BP53" s="206">
        <f>SUMIFS(領用表!$L:$L,領用表!$E:$E,$B53,領用表!$B:$B,$BM$2&amp;BP$2)</f>
        <v>74345</v>
      </c>
      <c r="BQ53" s="206">
        <f>SUMIFS(領用表!$L:$L,領用表!$E:$E,$B53,領用表!$B:$B,$BM$2&amp;BQ$2)</f>
        <v>0</v>
      </c>
      <c r="BR53" s="203">
        <f>SUMIFS(領用表!$L:$L,領用表!$A:$A,BR$2,領用表!$E:$E,B53)</f>
        <v>101783</v>
      </c>
      <c r="BS53" s="206">
        <f>SUMIFS(領用表!$L:$L,領用表!$E:$E,$B53,領用表!$B:$B,BR$2&amp;BS$2)</f>
        <v>33493</v>
      </c>
      <c r="BT53" s="206">
        <f>SUMIFS(領用表!$L:$L,領用表!$E:$E,$B53,領用表!$B:$B,$BR$2&amp;BT$2)</f>
        <v>0</v>
      </c>
      <c r="BU53" s="206">
        <f>SUMIFS(領用表!$L:$L,領用表!$E:$E,$B53,領用表!$B:$B,$BR$2&amp;BU$2)</f>
        <v>68290</v>
      </c>
      <c r="BV53" s="206">
        <f>SUMIFS(領用表!$L:$L,領用表!$E:$E,$B53,領用表!$B:$B,$BR$2&amp;BV$2)</f>
        <v>0</v>
      </c>
      <c r="BW53" s="208">
        <f>SUMIFS(領用表!$L:$L,領用表!$A:$A,BW$2,領用表!$E:$E,B53)</f>
        <v>111201</v>
      </c>
      <c r="BX53" s="206">
        <f>SUMIFS(領用表!$L:$L,領用表!$E:$E,$B53,領用表!$B:$B,BW$2&amp;BX$2)</f>
        <v>44631</v>
      </c>
      <c r="BY53" s="206">
        <f>SUMIFS(領用表!$L:$L,領用表!$E:$E,$B53,領用表!$B:$B,$BW$2&amp;BY$2)</f>
        <v>0</v>
      </c>
      <c r="BZ53" s="206">
        <f>SUMIFS(領用表!$L:$L,領用表!$E:$E,$B53,領用表!$B:$B,$BW$2&amp;BZ$2)</f>
        <v>66570</v>
      </c>
      <c r="CA53" s="206">
        <f>SUMIFS(領用表!$L:$L,領用表!$E:$E,$B53,領用表!$B:$B,$BW$2&amp;CA$2)</f>
        <v>0</v>
      </c>
      <c r="CB53" s="208">
        <f>SUMIFS(領用表!$L:$L,領用表!$A:$A,CB$2,領用表!$E:$E,B53)</f>
        <v>115279</v>
      </c>
      <c r="CC53" s="206">
        <f>SUMIFS(領用表!$L:$L,領用表!$E:$E,$B53,領用表!$B:$B,CB$2&amp;CC$2)</f>
        <v>50478</v>
      </c>
      <c r="CD53" s="206">
        <f>SUMIFS(領用表!$L:$L,領用表!$E:$E,$B53,領用表!$B:$B,$CB$2&amp;CD$2)</f>
        <v>0</v>
      </c>
      <c r="CE53" s="206">
        <f>SUMIFS(領用表!$L:$L,領用表!$E:$E,$B53,領用表!$B:$B,$CB$2&amp;CE$2)</f>
        <v>64801</v>
      </c>
      <c r="CF53" s="206">
        <f>SUMIFS(領用表!$L:$L,領用表!$E:$E,$B53,領用表!$B:$B,$CB$2&amp;CF$2)</f>
        <v>0</v>
      </c>
      <c r="CG53" s="208">
        <f>SUMIFS(領用表!$L:$L,領用表!$A:$A,CG$2,領用表!$E:$E,B53)</f>
        <v>157885</v>
      </c>
      <c r="CH53" s="206">
        <f>SUMIFS(領用表!$L:$L,領用表!$E:$E,$B53,領用表!$B:$B,CG$2&amp;CH$2)</f>
        <v>66310</v>
      </c>
      <c r="CI53" s="206">
        <f>SUMIFS(領用表!$L:$L,領用表!$E:$E,$B53,領用表!$B:$B,CG$2&amp;CI$2)</f>
        <v>0</v>
      </c>
      <c r="CJ53" s="206">
        <f>SUMIFS(領用表!$L:$L,領用表!$E:$E,$B53,領用表!$B:$B,CG$2&amp;CJ$2)</f>
        <v>91575</v>
      </c>
      <c r="CK53" s="206">
        <f>SUMIFS(領用表!$L:$L,領用表!$E:$E,$B53,領用表!$B:$B,$CG$2&amp;CK$2)</f>
        <v>0</v>
      </c>
      <c r="CL53" s="207">
        <f t="shared" si="16"/>
        <v>1379864</v>
      </c>
      <c r="CM53" s="207">
        <f t="shared" si="17"/>
        <v>114988.66666666667</v>
      </c>
      <c r="CN53" s="208">
        <f>SUMIFS(領用表!$L:$L,領用表!$A:$A,CN$2,領用表!$E:$E,B53)</f>
        <v>171884</v>
      </c>
      <c r="CO53" s="206">
        <f>SUMIFS(領用表!$L:$L,領用表!$E:$E,$B53,領用表!$B:$B,CN$2&amp;CO$2)</f>
        <v>68813</v>
      </c>
      <c r="CP53" s="206">
        <f>SUMIFS(領用表!$L:$L,領用表!$E:$E,$B53,領用表!$B:$B,$CN$2&amp;CP$2)</f>
        <v>0</v>
      </c>
      <c r="CQ53" s="206">
        <f>SUMIFS(領用表!$L:$L,領用表!$E:$E,$B53,領用表!$B:$B,$CN$2&amp;CQ$2)</f>
        <v>103071</v>
      </c>
      <c r="CR53" s="206">
        <f>SUMIFS(領用表!$L:$L,領用表!$E:$E,$B53,領用表!$B:$B,$CN$2&amp;CR$2)</f>
        <v>0</v>
      </c>
      <c r="CS53" s="208">
        <f>SUMIFS(領用表!$L:$L,領用表!$A:$A,CS$2,領用表!$E:$E,B53)</f>
        <v>151224</v>
      </c>
      <c r="CT53" s="206">
        <f>SUMIFS(領用表!$L:$L,領用表!$E:$E,$B53,領用表!$B:$B,CS$2&amp;CT$2)</f>
        <v>63886</v>
      </c>
      <c r="CU53" s="206">
        <f>SUMIFS(領用表!$L:$L,領用表!$E:$E,$B53,領用表!$B:$B,$CS$2&amp;CU$2)</f>
        <v>0</v>
      </c>
      <c r="CV53" s="206">
        <f>SUMIFS(領用表!$L:$L,領用表!$E:$E,$B53,領用表!$B:$B,$CS$2&amp;CV$2)</f>
        <v>82481</v>
      </c>
      <c r="CW53" s="206">
        <f>SUMIFS(領用表!$L:$L,領用表!$E:$E,$B53,領用表!$B:$B,$CS$2&amp;CW$2)</f>
        <v>0</v>
      </c>
      <c r="CX53" s="206">
        <f>SUMIFS(領用表!$L:$L,領用表!$E:$E,$B53,領用表!$B:$B,$CS$2&amp;CX$2)</f>
        <v>4857</v>
      </c>
      <c r="CY53" s="208">
        <f>SUMIFS(領用表!$L:$L,領用表!$A:$A,CY$2,領用表!$E:$E,B53)</f>
        <v>119181</v>
      </c>
      <c r="CZ53" s="206">
        <f>SUMIFS(領用表!$L:$L,領用表!$E:$E,$B53,領用表!$B:$B,CY$2&amp;CZ$2)</f>
        <v>49751</v>
      </c>
      <c r="DA53" s="206">
        <f>SUMIFS(領用表!$L:$L,領用表!$E:$E,$B53,領用表!$B:$B,$CY$2&amp;DA$2)</f>
        <v>0</v>
      </c>
      <c r="DB53" s="206">
        <f>SUMIFS(領用表!$L:$L,領用表!$E:$E,$B53,領用表!$B:$B,$CY$2&amp;DB$2)</f>
        <v>53432</v>
      </c>
      <c r="DC53" s="206">
        <f>SUMIFS(領用表!$L:$L,領用表!$E:$E,$B53,領用表!$B:$B,$CY$2&amp;DC$2)</f>
        <v>0</v>
      </c>
      <c r="DD53" s="206">
        <f>SUMIFS(領用表!$L:$L,領用表!$E:$E,$B53,領用表!$B:$B,$CY$2&amp;DD$2)</f>
        <v>15998</v>
      </c>
      <c r="DE53" s="208">
        <f>SUMIFS(領用表!$L:$L,領用表!$A:$A,DE$2,領用表!$E:$E,B53)</f>
        <v>110302</v>
      </c>
      <c r="DF53" s="206">
        <f>SUMIFS(領用表!$L:$L,領用表!$E:$E,$B53,領用表!$B:$B,DE$2&amp;DF$2)</f>
        <v>35526</v>
      </c>
      <c r="DG53" s="206">
        <f>SUMIFS(領用表!$L:$L,領用表!$E:$E,$B53,領用表!$B:$B,$DE$2&amp;DG$2)</f>
        <v>0</v>
      </c>
      <c r="DH53" s="206">
        <f>SUMIFS(領用表!$L:$L,領用表!$E:$E,$B53,領用表!$B:$B,$DE$2&amp;DH$2)</f>
        <v>54185</v>
      </c>
      <c r="DI53" s="206">
        <f>SUMIFS(領用表!$L:$L,領用表!$E:$E,$B53,領用表!$B:$B,$DE$2&amp;DI$2)</f>
        <v>0</v>
      </c>
      <c r="DJ53" s="206">
        <f>SUMIFS(領用表!$L:$L,領用表!$E:$E,$B53,領用表!$B:$B,$DE$2&amp;DJ$2)</f>
        <v>20591</v>
      </c>
      <c r="DK53" s="208">
        <f>SUMIFS(領用表!$L:$L,領用表!$A:$A,DK$2,領用表!$E:$E,$B53)</f>
        <v>131711</v>
      </c>
      <c r="DL53" s="206">
        <f>SUMIFS(領用表!$L:$L,領用表!$E:$E,$B53,領用表!$B:$B,DK$2&amp;DL$2)</f>
        <v>53546</v>
      </c>
      <c r="DM53" s="206">
        <f>SUMIFS(領用表!$L:$L,領用表!$E:$E,$B53,領用表!$B:$B,$DK$2&amp;DM$2)</f>
        <v>0</v>
      </c>
      <c r="DN53" s="206">
        <f>SUMIFS(領用表!$L:$L,領用表!$E:$E,$B53,領用表!$B:$B,$DK$2&amp;DN$2)</f>
        <v>52045</v>
      </c>
      <c r="DO53" s="206">
        <f>SUMIFS(領用表!$L:$L,領用表!$E:$E,$B53,領用表!$B:$B,$DK$2&amp;DO$2)</f>
        <v>0</v>
      </c>
      <c r="DP53" s="206">
        <f>SUMIFS(領用表!$L:$L,領用表!$E:$E,$B53,領用表!$B:$B,$DK$2&amp;DP$2)</f>
        <v>26120</v>
      </c>
      <c r="DQ53" s="206">
        <f t="shared" si="14"/>
        <v>684302</v>
      </c>
      <c r="DR53" s="206">
        <f t="shared" si="15"/>
        <v>136860.4</v>
      </c>
      <c r="DS53" s="206">
        <f t="shared" si="6"/>
        <v>170000</v>
      </c>
      <c r="DT53" s="206">
        <v>70000</v>
      </c>
      <c r="DU53" s="206">
        <v>0</v>
      </c>
      <c r="DV53" s="206">
        <v>100000</v>
      </c>
      <c r="DW53" s="206">
        <v>0</v>
      </c>
      <c r="DX53" s="215">
        <v>120000</v>
      </c>
      <c r="DY53" s="465"/>
      <c r="DZ53" s="210"/>
      <c r="EA53" s="262" t="s">
        <v>803</v>
      </c>
      <c r="EB53" s="346">
        <v>20000</v>
      </c>
      <c r="EC53" s="212"/>
      <c r="ED53" s="118">
        <f>IFERROR(VLOOKUP(A53,站前4樓!A:BF,57,0),0)</f>
        <v>50478</v>
      </c>
      <c r="EE53" s="213">
        <f>IFERROR(VLOOKUP(A53,站前11樓!A:BE,57,0),0)</f>
        <v>0</v>
      </c>
      <c r="EF53" s="118">
        <f>IFERROR(VLOOKUP(A53,忠孝7樓!A:N,57,0),0)</f>
        <v>0</v>
      </c>
      <c r="EG53" s="118">
        <f>IFERROR(VLOOKUP(A53,忠孝國際醫學3樓!A:L,57,0),0)</f>
        <v>0</v>
      </c>
      <c r="EH53" s="118">
        <f t="shared" si="7"/>
        <v>50478</v>
      </c>
      <c r="EJ53" s="118">
        <v>133036</v>
      </c>
      <c r="EK53" s="118">
        <v>134372</v>
      </c>
    </row>
    <row r="54" spans="1:141" s="118" customFormat="1" ht="15">
      <c r="A54" s="136" t="s">
        <v>93</v>
      </c>
      <c r="B54" s="118">
        <v>6170011</v>
      </c>
      <c r="C54" s="118" t="s">
        <v>617</v>
      </c>
      <c r="D54" s="207">
        <v>30099</v>
      </c>
      <c r="E54" s="198" t="s">
        <v>78</v>
      </c>
      <c r="F54" s="199">
        <f>SUMIF(站前4樓!B:B,B54,站前4樓!F:F)</f>
        <v>250532</v>
      </c>
      <c r="G54" s="199">
        <f>SUMIF(站前11樓!B:B,B54,站前11樓!F:F)</f>
        <v>0</v>
      </c>
      <c r="H54" s="199">
        <f>SUMIF(忠孝7樓!B:B,B54,忠孝7樓!G:G)</f>
        <v>133450</v>
      </c>
      <c r="I54" s="199">
        <f>SUMIF(忠孝國際醫學3樓!B:B,B54,忠孝國際醫學3樓!G:G)</f>
        <v>0</v>
      </c>
      <c r="J54" s="199">
        <f>SUMIF(忠孝健康7樓!B:B,B54,忠孝健康7樓!G:G)</f>
        <v>27232</v>
      </c>
      <c r="K54" s="200">
        <v>0</v>
      </c>
      <c r="L54" s="200">
        <v>0.02</v>
      </c>
      <c r="M54" s="200">
        <v>0.03</v>
      </c>
      <c r="N54" s="200">
        <v>0.02</v>
      </c>
      <c r="O54" s="200">
        <v>0.04</v>
      </c>
      <c r="P54" s="200">
        <v>0.03</v>
      </c>
      <c r="Q54" s="200">
        <v>0.01</v>
      </c>
      <c r="R54" s="200">
        <v>0.01</v>
      </c>
      <c r="S54" s="200">
        <v>0.01</v>
      </c>
      <c r="T54" s="200">
        <v>0</v>
      </c>
      <c r="U54" s="200">
        <v>0.03</v>
      </c>
      <c r="V54" s="200">
        <v>0</v>
      </c>
      <c r="W54" s="200">
        <v>0.04</v>
      </c>
      <c r="X54" s="200">
        <v>7.0000000000000007E-2</v>
      </c>
      <c r="Y54" s="200">
        <v>0.01</v>
      </c>
      <c r="Z54" s="200">
        <v>0.01</v>
      </c>
      <c r="AA54" s="200">
        <v>0.01</v>
      </c>
      <c r="AB54" s="200">
        <v>0</v>
      </c>
      <c r="AC54" s="200">
        <v>0</v>
      </c>
      <c r="AD54" s="200">
        <v>0.02</v>
      </c>
      <c r="AE54" s="200">
        <v>0.01</v>
      </c>
      <c r="AF54" s="200">
        <v>0.06</v>
      </c>
      <c r="AG54" s="200">
        <v>0.01</v>
      </c>
      <c r="AH54" s="200">
        <v>0.17</v>
      </c>
      <c r="AI54" s="200">
        <v>0.31</v>
      </c>
      <c r="AJ54" s="221">
        <v>0.152</v>
      </c>
      <c r="AK54" s="221">
        <v>0.20136999999999999</v>
      </c>
      <c r="AL54" s="221">
        <v>0.26756999999999997</v>
      </c>
      <c r="AM54" s="221">
        <v>0.2903</v>
      </c>
      <c r="AN54" s="221">
        <v>0.36523</v>
      </c>
      <c r="AO54" s="221">
        <v>0.41682999999999998</v>
      </c>
      <c r="AP54" s="221">
        <v>0.41356999999999999</v>
      </c>
      <c r="AQ54" s="221">
        <v>0.52527000000000001</v>
      </c>
      <c r="AR54" s="221">
        <v>0.49406666700000001</v>
      </c>
      <c r="AS54" s="201">
        <v>2</v>
      </c>
      <c r="AT54" s="202">
        <v>1.9896447880000001</v>
      </c>
      <c r="AU54" s="203">
        <f>27359.04/D54</f>
        <v>0.90896840426592251</v>
      </c>
      <c r="AV54" s="204">
        <f>SUM(AJ54:AU54)</f>
        <v>8.0248198592659215</v>
      </c>
      <c r="AW54" s="205">
        <f>AV54/12</f>
        <v>0.66873498827216016</v>
      </c>
      <c r="AX54" s="203">
        <v>60000</v>
      </c>
      <c r="AY54" s="203">
        <v>49482</v>
      </c>
      <c r="AZ54" s="203">
        <v>46552</v>
      </c>
      <c r="BA54" s="203">
        <v>41345</v>
      </c>
      <c r="BB54" s="203">
        <v>22589</v>
      </c>
      <c r="BC54" s="203">
        <f>SUMIFS(領用表!$L:$L,領用表!$A:$A,BC$2,領用表!$E:$E,B54)</f>
        <v>23379</v>
      </c>
      <c r="BD54" s="206">
        <f>SUMIFS(領用表!$L:$L,領用表!$E:$E,$B54,領用表!$B:$B,BC$2&amp;BD$2)</f>
        <v>23379</v>
      </c>
      <c r="BE54" s="206">
        <f>SUMIFS(領用表!$L:$L,領用表!$E:$E,$B54,領用表!$B:$B,$BC$2&amp;BE$2)</f>
        <v>0</v>
      </c>
      <c r="BF54" s="206">
        <f>SUMIFS(領用表!$L:$L,領用表!$E:$E,$B54,領用表!$B:$B,$BC$2&amp;BF$2)</f>
        <v>0</v>
      </c>
      <c r="BG54" s="206">
        <f>SUMIFS(領用表!$L:$L,領用表!$E:$E,$B54,領用表!$B:$B,$BC$2&amp;BG$2)</f>
        <v>0</v>
      </c>
      <c r="BH54" s="203">
        <f>SUMIFS(領用表!$L:$L,領用表!$A:$A,BH$2,領用表!$E:$E,B54)</f>
        <v>24921</v>
      </c>
      <c r="BI54" s="260">
        <f>SUMIFS(領用表!$L:$L,領用表!$E:$E,$B54,領用表!$B:$B,BH$2&amp;BI$2)</f>
        <v>11614</v>
      </c>
      <c r="BJ54" s="260">
        <f>SUMIFS(領用表!$L:$L,領用表!$E:$E,$B54,領用表!$B:$B,$BH$2&amp;BJ$2)</f>
        <v>0</v>
      </c>
      <c r="BK54" s="260">
        <f>SUMIFS(領用表!$L:$L,領用表!$E:$E,$B54,領用表!$B:$B,$BH$2&amp;BK$2)</f>
        <v>13307</v>
      </c>
      <c r="BL54" s="260">
        <f>SUMIFS(領用表!$L:$L,領用表!$E:$E,$B54,領用表!$B:$B,$BH$2&amp;BL$2)</f>
        <v>0</v>
      </c>
      <c r="BM54" s="203">
        <f>SUMIFS(領用表!$L:$L,領用表!$A:$A,BM$2,領用表!$E:$E,B54)</f>
        <v>29693</v>
      </c>
      <c r="BN54" s="206">
        <f>SUMIFS(領用表!$L:$L,領用表!$E:$E,$B54,領用表!$B:$B,BM$2&amp;BN$2)</f>
        <v>13634</v>
      </c>
      <c r="BO54" s="206">
        <f>SUMIFS(領用表!$L:$L,領用表!$E:$E,$B54,領用表!$B:$B,$BM$2&amp;BO$2)</f>
        <v>0</v>
      </c>
      <c r="BP54" s="206">
        <f>SUMIFS(領用表!$L:$L,領用表!$E:$E,$B54,領用表!$B:$B,$BM$2&amp;BP$2)</f>
        <v>16059</v>
      </c>
      <c r="BQ54" s="206">
        <f>SUMIFS(領用表!$L:$L,領用表!$E:$E,$B54,領用表!$B:$B,$BM$2&amp;BQ$2)</f>
        <v>0</v>
      </c>
      <c r="BR54" s="203">
        <f>SUMIFS(領用表!$L:$L,領用表!$A:$A,BR$2,領用表!$E:$E,B54)</f>
        <v>31064</v>
      </c>
      <c r="BS54" s="206">
        <f>SUMIFS(領用表!$L:$L,領用表!$E:$E,$B54,領用表!$B:$B,BR$2&amp;BS$2)</f>
        <v>10598</v>
      </c>
      <c r="BT54" s="206">
        <f>SUMIFS(領用表!$L:$L,領用表!$E:$E,$B54,領用表!$B:$B,$BR$2&amp;BT$2)</f>
        <v>0</v>
      </c>
      <c r="BU54" s="206">
        <f>SUMIFS(領用表!$L:$L,領用表!$E:$E,$B54,領用表!$B:$B,$BR$2&amp;BU$2)</f>
        <v>20466</v>
      </c>
      <c r="BV54" s="206">
        <f>SUMIFS(領用表!$L:$L,領用表!$E:$E,$B54,領用表!$B:$B,$BR$2&amp;BV$2)</f>
        <v>0</v>
      </c>
      <c r="BW54" s="208">
        <f>SUMIFS(領用表!$L:$L,領用表!$A:$A,BW$2,領用表!$E:$E,B54)</f>
        <v>25581</v>
      </c>
      <c r="BX54" s="206">
        <f>SUMIFS(領用表!$L:$L,領用表!$E:$E,$B54,領用表!$B:$B,BW$2&amp;BX$2)</f>
        <v>11785</v>
      </c>
      <c r="BY54" s="206">
        <f>SUMIFS(領用表!$L:$L,領用表!$E:$E,$B54,領用表!$B:$B,$BW$2&amp;BY$2)</f>
        <v>0</v>
      </c>
      <c r="BZ54" s="206">
        <f>SUMIFS(領用表!$L:$L,領用表!$E:$E,$B54,領用表!$B:$B,$BW$2&amp;BZ$2)</f>
        <v>13796</v>
      </c>
      <c r="CA54" s="206">
        <f>SUMIFS(領用表!$L:$L,領用表!$E:$E,$B54,領用表!$B:$B,$BW$2&amp;CA$2)</f>
        <v>0</v>
      </c>
      <c r="CB54" s="208">
        <f>SUMIFS(領用表!$L:$L,領用表!$A:$A,CB$2,領用表!$E:$E,B54)</f>
        <v>27150</v>
      </c>
      <c r="CC54" s="206">
        <f>SUMIFS(領用表!$L:$L,領用表!$E:$E,$B54,領用表!$B:$B,CB$2&amp;CC$2)</f>
        <v>12161</v>
      </c>
      <c r="CD54" s="206">
        <f>SUMIFS(領用表!$L:$L,領用表!$E:$E,$B54,領用表!$B:$B,$CB$2&amp;CD$2)</f>
        <v>0</v>
      </c>
      <c r="CE54" s="206">
        <f>SUMIFS(領用表!$L:$L,領用表!$E:$E,$B54,領用表!$B:$B,$CB$2&amp;CE$2)</f>
        <v>14989</v>
      </c>
      <c r="CF54" s="206">
        <f>SUMIFS(領用表!$L:$L,領用表!$E:$E,$B54,領用表!$B:$B,$CB$2&amp;CF$2)</f>
        <v>0</v>
      </c>
      <c r="CG54" s="208">
        <f>SUMIFS(領用表!$L:$L,領用表!$A:$A,CG$2,領用表!$E:$E,B54)</f>
        <v>42521</v>
      </c>
      <c r="CH54" s="206">
        <f>SUMIFS(領用表!$L:$L,領用表!$E:$E,$B54,領用表!$B:$B,CG$2&amp;CH$2)</f>
        <v>21539</v>
      </c>
      <c r="CI54" s="206">
        <f>SUMIFS(領用表!$L:$L,領用表!$E:$E,$B54,領用表!$B:$B,CG$2&amp;CI$2)</f>
        <v>0</v>
      </c>
      <c r="CJ54" s="206">
        <f>SUMIFS(領用表!$L:$L,領用表!$E:$E,$B54,領用表!$B:$B,CG$2&amp;CJ$2)</f>
        <v>20982</v>
      </c>
      <c r="CK54" s="206">
        <f>SUMIFS(領用表!$L:$L,領用表!$E:$E,$B54,領用表!$B:$B,$CG$2&amp;CK$2)</f>
        <v>0</v>
      </c>
      <c r="CL54" s="207">
        <f t="shared" si="16"/>
        <v>424277</v>
      </c>
      <c r="CM54" s="207">
        <f t="shared" si="17"/>
        <v>35356.416666666664</v>
      </c>
      <c r="CN54" s="208">
        <f>SUMIFS(領用表!$L:$L,領用表!$A:$A,CN$2,領用表!$E:$E,B54)</f>
        <v>38667</v>
      </c>
      <c r="CO54" s="206">
        <f>SUMIFS(領用表!$L:$L,領用表!$E:$E,$B54,領用表!$B:$B,CN$2&amp;CO$2)</f>
        <v>22645</v>
      </c>
      <c r="CP54" s="206">
        <f>SUMIFS(領用表!$L:$L,領用表!$E:$E,$B54,領用表!$B:$B,$CN$2&amp;CP$2)</f>
        <v>0</v>
      </c>
      <c r="CQ54" s="206">
        <f>SUMIFS(領用表!$L:$L,領用表!$E:$E,$B54,領用表!$B:$B,$CN$2&amp;CQ$2)</f>
        <v>16022</v>
      </c>
      <c r="CR54" s="206">
        <f>SUMIFS(領用表!$L:$L,領用表!$E:$E,$B54,領用表!$B:$B,$CN$2&amp;CR$2)</f>
        <v>0</v>
      </c>
      <c r="CS54" s="208">
        <f>SUMIFS(領用表!$L:$L,領用表!$A:$A,CS$2,領用表!$E:$E,B54)</f>
        <v>42800</v>
      </c>
      <c r="CT54" s="206">
        <f>SUMIFS(領用表!$L:$L,領用表!$E:$E,$B54,領用表!$B:$B,CS$2&amp;CT$2)</f>
        <v>25505</v>
      </c>
      <c r="CU54" s="206">
        <f>SUMIFS(領用表!$L:$L,領用表!$E:$E,$B54,領用表!$B:$B,$CS$2&amp;CU$2)</f>
        <v>0</v>
      </c>
      <c r="CV54" s="206">
        <f>SUMIFS(領用表!$L:$L,領用表!$E:$E,$B54,領用表!$B:$B,$CS$2&amp;CV$2)</f>
        <v>15875</v>
      </c>
      <c r="CW54" s="206">
        <f>SUMIFS(領用表!$L:$L,領用表!$E:$E,$B54,領用表!$B:$B,$CS$2&amp;CW$2)</f>
        <v>0</v>
      </c>
      <c r="CX54" s="206">
        <f>SUMIFS(領用表!$L:$L,領用表!$E:$E,$B54,領用表!$B:$B,$CS$2&amp;CX$2)</f>
        <v>1420</v>
      </c>
      <c r="CY54" s="208">
        <f>SUMIFS(領用表!$L:$L,領用表!$A:$A,CY$2,領用表!$E:$E,B54)</f>
        <v>35530</v>
      </c>
      <c r="CZ54" s="206">
        <f>SUMIFS(領用表!$L:$L,領用表!$E:$E,$B54,領用表!$B:$B,CY$2&amp;CZ$2)</f>
        <v>19026</v>
      </c>
      <c r="DA54" s="206">
        <f>SUMIFS(領用表!$L:$L,領用表!$E:$E,$B54,領用表!$B:$B,$CY$2&amp;DA$2)</f>
        <v>0</v>
      </c>
      <c r="DB54" s="206">
        <f>SUMIFS(領用表!$L:$L,領用表!$E:$E,$B54,領用表!$B:$B,$CY$2&amp;DB$2)</f>
        <v>12803</v>
      </c>
      <c r="DC54" s="206">
        <f>SUMIFS(領用表!$L:$L,領用表!$E:$E,$B54,領用表!$B:$B,$CY$2&amp;DC$2)</f>
        <v>0</v>
      </c>
      <c r="DD54" s="206">
        <f>SUMIFS(領用表!$L:$L,領用表!$E:$E,$B54,領用表!$B:$B,$CY$2&amp;DD$2)</f>
        <v>3701</v>
      </c>
      <c r="DE54" s="208">
        <f>SUMIFS(領用表!$L:$L,領用表!$A:$A,DE$2,領用表!$E:$E,B54)</f>
        <v>31264</v>
      </c>
      <c r="DF54" s="206">
        <f>SUMIFS(領用表!$L:$L,領用表!$E:$E,$B54,領用表!$B:$B,DE$2&amp;DF$2)</f>
        <v>14761</v>
      </c>
      <c r="DG54" s="206">
        <f>SUMIFS(領用表!$L:$L,領用表!$E:$E,$B54,領用表!$B:$B,$DE$2&amp;DG$2)</f>
        <v>0</v>
      </c>
      <c r="DH54" s="206">
        <f>SUMIFS(領用表!$L:$L,領用表!$E:$E,$B54,領用表!$B:$B,$DE$2&amp;DH$2)</f>
        <v>11920</v>
      </c>
      <c r="DI54" s="206">
        <f>SUMIFS(領用表!$L:$L,領用表!$E:$E,$B54,領用表!$B:$B,$DE$2&amp;DI$2)</f>
        <v>0</v>
      </c>
      <c r="DJ54" s="206">
        <f>SUMIFS(領用表!$L:$L,領用表!$E:$E,$B54,領用表!$B:$B,$DE$2&amp;DJ$2)</f>
        <v>4583</v>
      </c>
      <c r="DK54" s="208">
        <f>SUMIFS(領用表!$L:$L,領用表!$A:$A,DK$2,領用表!$E:$E,$B54)</f>
        <v>34272</v>
      </c>
      <c r="DL54" s="206">
        <f>SUMIFS(領用表!$L:$L,領用表!$E:$E,$B54,領用表!$B:$B,DK$2&amp;DL$2)</f>
        <v>14989</v>
      </c>
      <c r="DM54" s="206">
        <f>SUMIFS(領用表!$L:$L,領用表!$E:$E,$B54,領用表!$B:$B,$DK$2&amp;DM$2)</f>
        <v>0</v>
      </c>
      <c r="DN54" s="206">
        <f>SUMIFS(領用表!$L:$L,領用表!$E:$E,$B54,領用表!$B:$B,$DK$2&amp;DN$2)</f>
        <v>13375</v>
      </c>
      <c r="DO54" s="206">
        <f>SUMIFS(領用表!$L:$L,領用表!$E:$E,$B54,領用表!$B:$B,$DK$2&amp;DO$2)</f>
        <v>0</v>
      </c>
      <c r="DP54" s="206">
        <f>SUMIFS(領用表!$L:$L,領用表!$E:$E,$B54,領用表!$B:$B,$DK$2&amp;DP$2)</f>
        <v>5908</v>
      </c>
      <c r="DQ54" s="206">
        <f t="shared" si="14"/>
        <v>182533</v>
      </c>
      <c r="DR54" s="206">
        <f t="shared" si="15"/>
        <v>36506.6</v>
      </c>
      <c r="DS54" s="206">
        <f t="shared" si="6"/>
        <v>42000</v>
      </c>
      <c r="DT54" s="206">
        <v>24000</v>
      </c>
      <c r="DU54" s="206">
        <v>0</v>
      </c>
      <c r="DV54" s="206">
        <v>18000</v>
      </c>
      <c r="DW54" s="206">
        <v>0</v>
      </c>
      <c r="DX54" s="215">
        <v>90000</v>
      </c>
      <c r="DY54" s="466"/>
      <c r="DZ54" s="210"/>
      <c r="EA54" s="262" t="s">
        <v>807</v>
      </c>
      <c r="EB54" s="346">
        <v>30000</v>
      </c>
      <c r="EC54" s="212"/>
      <c r="ED54" s="118">
        <f>IFERROR(VLOOKUP(A54,站前4樓!A:BF,57,0),0)</f>
        <v>12161</v>
      </c>
      <c r="EE54" s="213">
        <f>IFERROR(VLOOKUP(A54,站前11樓!A:BE,57,0),0)</f>
        <v>0</v>
      </c>
      <c r="EF54" s="118">
        <f>IFERROR(VLOOKUP(A54,忠孝7樓!A:N,57,0),0)</f>
        <v>0</v>
      </c>
      <c r="EG54" s="118">
        <f>IFERROR(VLOOKUP(A54,忠孝國際醫學3樓!A:L,57,0),0)</f>
        <v>0</v>
      </c>
      <c r="EH54" s="118">
        <f t="shared" si="7"/>
        <v>12161</v>
      </c>
      <c r="EJ54" s="118">
        <v>354373</v>
      </c>
      <c r="EK54" s="118">
        <v>235421</v>
      </c>
    </row>
    <row r="55" spans="1:141" s="118" customFormat="1" ht="15.75" customHeight="1">
      <c r="A55" s="136" t="s">
        <v>95</v>
      </c>
      <c r="B55" s="118">
        <v>6170019</v>
      </c>
      <c r="C55" s="133" t="s">
        <v>490</v>
      </c>
      <c r="D55" s="207">
        <v>20099</v>
      </c>
      <c r="E55" s="198" t="s">
        <v>78</v>
      </c>
      <c r="F55" s="199">
        <f>SUMIF(站前4樓!B:B,B55,站前4樓!F:F)</f>
        <v>113949</v>
      </c>
      <c r="G55" s="199">
        <f>SUMIF(站前11樓!B:B,B55,站前11樓!F:F)</f>
        <v>0</v>
      </c>
      <c r="H55" s="199">
        <f>SUMIF(忠孝7樓!B:B,B55,忠孝7樓!G:G)</f>
        <v>66499</v>
      </c>
      <c r="I55" s="199">
        <f>SUMIF(忠孝國際醫學3樓!B:B,B55,忠孝國際醫學3樓!G:G)</f>
        <v>0</v>
      </c>
      <c r="J55" s="199">
        <f>SUMIF(忠孝健康7樓!B:B,B55,忠孝健康7樓!G:G)</f>
        <v>36082</v>
      </c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21"/>
      <c r="AK55" s="221"/>
      <c r="AL55" s="221"/>
      <c r="AM55" s="221"/>
      <c r="AN55" s="221"/>
      <c r="AO55" s="221"/>
      <c r="AP55" s="221"/>
      <c r="AQ55" s="221"/>
      <c r="AR55" s="221"/>
      <c r="AS55" s="201"/>
      <c r="AT55" s="202"/>
      <c r="AU55" s="203" t="s">
        <v>49</v>
      </c>
      <c r="AV55" s="204" t="s">
        <v>49</v>
      </c>
      <c r="AW55" s="205" t="s">
        <v>49</v>
      </c>
      <c r="AX55" s="205" t="s">
        <v>49</v>
      </c>
      <c r="AY55" s="205" t="s">
        <v>49</v>
      </c>
      <c r="AZ55" s="205" t="s">
        <v>49</v>
      </c>
      <c r="BA55" s="203">
        <v>1420</v>
      </c>
      <c r="BB55" s="203">
        <v>5352</v>
      </c>
      <c r="BC55" s="203">
        <f>SUMIFS(領用表!$L:$L,領用表!$A:$A,BC$2,領用表!$E:$E,B55)</f>
        <v>2946</v>
      </c>
      <c r="BD55" s="206">
        <f>SUMIFS(領用表!$L:$L,領用表!$E:$E,$B55,領用表!$B:$B,BC$2&amp;BD$2)</f>
        <v>2946</v>
      </c>
      <c r="BE55" s="206">
        <f>SUMIFS(領用表!$L:$L,領用表!$E:$E,$B55,領用表!$B:$B,$BC$2&amp;BE$2)</f>
        <v>0</v>
      </c>
      <c r="BF55" s="206">
        <f>SUMIFS(領用表!$L:$L,領用表!$E:$E,$B55,領用表!$B:$B,$BC$2&amp;BF$2)</f>
        <v>0</v>
      </c>
      <c r="BG55" s="206">
        <f>SUMIFS(領用表!$L:$L,領用表!$E:$E,$B55,領用表!$B:$B,$BC$2&amp;BG$2)</f>
        <v>0</v>
      </c>
      <c r="BH55" s="203">
        <f>SUMIFS(領用表!$L:$L,領用表!$A:$A,BH$2,領用表!$E:$E,B55)</f>
        <v>3003</v>
      </c>
      <c r="BI55" s="260">
        <f>SUMIFS(領用表!$L:$L,領用表!$E:$E,$B55,領用表!$B:$B,BH$2&amp;BI$2)</f>
        <v>1201</v>
      </c>
      <c r="BJ55" s="260">
        <f>SUMIFS(領用表!$L:$L,領用表!$E:$E,$B55,領用表!$B:$B,$BH$2&amp;BJ$2)</f>
        <v>0</v>
      </c>
      <c r="BK55" s="260">
        <f>SUMIFS(領用表!$L:$L,領用表!$E:$E,$B55,領用表!$B:$B,$BH$2&amp;BK$2)</f>
        <v>1802</v>
      </c>
      <c r="BL55" s="260">
        <f>SUMIFS(領用表!$L:$L,領用表!$E:$E,$B55,領用表!$B:$B,$BH$2&amp;BL$2)</f>
        <v>0</v>
      </c>
      <c r="BM55" s="203">
        <f>SUMIFS(領用表!$L:$L,領用表!$A:$A,BM$2,領用表!$E:$E,B55)</f>
        <v>3990</v>
      </c>
      <c r="BN55" s="206">
        <f>SUMIFS(領用表!$L:$L,領用表!$E:$E,$B55,領用表!$B:$B,BM$2&amp;BN$2)</f>
        <v>1092</v>
      </c>
      <c r="BO55" s="206">
        <f>SUMIFS(領用表!$L:$L,領用表!$E:$E,$B55,領用表!$B:$B,$BM$2&amp;BO$2)</f>
        <v>0</v>
      </c>
      <c r="BP55" s="206">
        <f>SUMIFS(領用表!$L:$L,領用表!$E:$E,$B55,領用表!$B:$B,$BM$2&amp;BP$2)</f>
        <v>2898</v>
      </c>
      <c r="BQ55" s="206">
        <f>SUMIFS(領用表!$L:$L,領用表!$E:$E,$B55,領用表!$B:$B,$BM$2&amp;BQ$2)</f>
        <v>0</v>
      </c>
      <c r="BR55" s="203">
        <f>SUMIFS(領用表!$L:$L,領用表!$A:$A,BR$2,領用表!$E:$E,B55)</f>
        <v>3935</v>
      </c>
      <c r="BS55" s="206">
        <f>SUMIFS(領用表!$L:$L,領用表!$E:$E,$B55,領用表!$B:$B,BR$2&amp;BS$2)</f>
        <v>1299</v>
      </c>
      <c r="BT55" s="206">
        <f>SUMIFS(領用表!$L:$L,領用表!$E:$E,$B55,領用表!$B:$B,$BR$2&amp;BT$2)</f>
        <v>0</v>
      </c>
      <c r="BU55" s="206">
        <f>SUMIFS(領用表!$L:$L,領用表!$E:$E,$B55,領用表!$B:$B,$BR$2&amp;BU$2)</f>
        <v>2636</v>
      </c>
      <c r="BV55" s="206">
        <f>SUMIFS(領用表!$L:$L,領用表!$E:$E,$B55,領用表!$B:$B,$BR$2&amp;BV$2)</f>
        <v>0</v>
      </c>
      <c r="BW55" s="208">
        <f>SUMIFS(領用表!$L:$L,領用表!$A:$A,BW$2,領用表!$E:$E,B55)</f>
        <v>15892</v>
      </c>
      <c r="BX55" s="206">
        <f>SUMIFS(領用表!$L:$L,領用表!$E:$E,$B55,領用表!$B:$B,BW$2&amp;BX$2)</f>
        <v>4343</v>
      </c>
      <c r="BY55" s="206">
        <f>SUMIFS(領用表!$L:$L,領用表!$E:$E,$B55,領用表!$B:$B,$BW$2&amp;BY$2)</f>
        <v>0</v>
      </c>
      <c r="BZ55" s="206">
        <f>SUMIFS(領用表!$L:$L,領用表!$E:$E,$B55,領用表!$B:$B,$BW$2&amp;BZ$2)</f>
        <v>11549</v>
      </c>
      <c r="CA55" s="206">
        <f>SUMIFS(領用表!$L:$L,領用表!$E:$E,$B55,領用表!$B:$B,$BW$2&amp;CA$2)</f>
        <v>0</v>
      </c>
      <c r="CB55" s="208">
        <f>SUMIFS(領用表!$L:$L,領用表!$A:$A,CB$2,領用表!$E:$E,B55)</f>
        <v>10619</v>
      </c>
      <c r="CC55" s="206">
        <f>SUMIFS(領用表!$L:$L,領用表!$E:$E,$B55,領用表!$B:$B,CB$2&amp;CC$2)</f>
        <v>3881</v>
      </c>
      <c r="CD55" s="206">
        <f>SUMIFS(領用表!$L:$L,領用表!$E:$E,$B55,領用表!$B:$B,$CB$2&amp;CD$2)</f>
        <v>0</v>
      </c>
      <c r="CE55" s="206">
        <f>SUMIFS(領用表!$L:$L,領用表!$E:$E,$B55,領用表!$B:$B,$CB$2&amp;CE$2)</f>
        <v>6738</v>
      </c>
      <c r="CF55" s="206">
        <f>SUMIFS(領用表!$L:$L,領用表!$E:$E,$B55,領用表!$B:$B,$CB$2&amp;CF$2)</f>
        <v>0</v>
      </c>
      <c r="CG55" s="208">
        <f>SUMIFS(領用表!$L:$L,領用表!$A:$A,CG$2,領用表!$E:$E,B55)</f>
        <v>8916</v>
      </c>
      <c r="CH55" s="206">
        <f>SUMIFS(領用表!$L:$L,領用表!$E:$E,$B55,領用表!$B:$B,CG$2&amp;CH$2)</f>
        <v>4913</v>
      </c>
      <c r="CI55" s="206">
        <f>SUMIFS(領用表!$L:$L,領用表!$E:$E,$B55,領用表!$B:$B,CG$2&amp;CI$2)</f>
        <v>0</v>
      </c>
      <c r="CJ55" s="206">
        <f>SUMIFS(領用表!$L:$L,領用表!$E:$E,$B55,領用表!$B:$B,CG$2&amp;CJ$2)</f>
        <v>4003</v>
      </c>
      <c r="CK55" s="206">
        <f>SUMIFS(領用表!$L:$L,領用表!$E:$E,$B55,領用表!$B:$B,$CG$2&amp;CK$2)</f>
        <v>0</v>
      </c>
      <c r="CL55" s="207">
        <f t="shared" si="16"/>
        <v>56073</v>
      </c>
      <c r="CM55" s="207">
        <f t="shared" si="17"/>
        <v>6230.333333333333</v>
      </c>
      <c r="CN55" s="208">
        <f>SUMIFS(領用表!$L:$L,領用表!$A:$A,CN$2,領用表!$E:$E,B55)</f>
        <v>10232</v>
      </c>
      <c r="CO55" s="206">
        <f>SUMIFS(領用表!$L:$L,領用表!$E:$E,$B55,領用表!$B:$B,CN$2&amp;CO$2)</f>
        <v>4556</v>
      </c>
      <c r="CP55" s="206">
        <f>SUMIFS(領用表!$L:$L,領用表!$E:$E,$B55,領用表!$B:$B,$CN$2&amp;CP$2)</f>
        <v>0</v>
      </c>
      <c r="CQ55" s="206">
        <f>SUMIFS(領用表!$L:$L,領用表!$E:$E,$B55,領用表!$B:$B,$CN$2&amp;CQ$2)</f>
        <v>5676</v>
      </c>
      <c r="CR55" s="206">
        <f>SUMIFS(領用表!$L:$L,領用表!$E:$E,$B55,領用表!$B:$B,$CN$2&amp;CR$2)</f>
        <v>0</v>
      </c>
      <c r="CS55" s="208">
        <f>SUMIFS(領用表!$L:$L,領用表!$A:$A,CS$2,領用表!$E:$E,B55)</f>
        <v>9772</v>
      </c>
      <c r="CT55" s="206">
        <f>SUMIFS(領用表!$L:$L,領用表!$E:$E,$B55,領用表!$B:$B,CS$2&amp;CT$2)</f>
        <v>4359</v>
      </c>
      <c r="CU55" s="206">
        <f>SUMIFS(領用表!$L:$L,領用表!$E:$E,$B55,領用表!$B:$B,$CS$2&amp;CU$2)</f>
        <v>0</v>
      </c>
      <c r="CV55" s="206">
        <f>SUMIFS(領用表!$L:$L,領用表!$E:$E,$B55,領用表!$B:$B,$CS$2&amp;CV$2)</f>
        <v>5413</v>
      </c>
      <c r="CW55" s="206">
        <f>SUMIFS(領用表!$L:$L,領用表!$E:$E,$B55,領用表!$B:$B,$CS$2&amp;CW$2)</f>
        <v>0</v>
      </c>
      <c r="CX55" s="206">
        <f>SUMIFS(領用表!$L:$L,領用表!$E:$E,$B55,領用表!$B:$B,$CS$2&amp;CX$2)</f>
        <v>0</v>
      </c>
      <c r="CY55" s="208">
        <f>SUMIFS(領用表!$L:$L,領用表!$A:$A,CY$2,領用表!$E:$E,B55)</f>
        <v>7446</v>
      </c>
      <c r="CZ55" s="206">
        <f>SUMIFS(領用表!$L:$L,領用表!$E:$E,$B55,領用表!$B:$B,CY$2&amp;CZ$2)</f>
        <v>2099</v>
      </c>
      <c r="DA55" s="206">
        <f>SUMIFS(領用表!$L:$L,領用表!$E:$E,$B55,領用表!$B:$B,$CY$2&amp;DA$2)</f>
        <v>0</v>
      </c>
      <c r="DB55" s="206">
        <f>SUMIFS(領用表!$L:$L,領用表!$E:$E,$B55,領用表!$B:$B,$CY$2&amp;DB$2)</f>
        <v>5009</v>
      </c>
      <c r="DC55" s="206">
        <f>SUMIFS(領用表!$L:$L,領用表!$E:$E,$B55,領用表!$B:$B,$CY$2&amp;DC$2)</f>
        <v>0</v>
      </c>
      <c r="DD55" s="206">
        <f>SUMIFS(領用表!$L:$L,領用表!$E:$E,$B55,領用表!$B:$B,$CY$2&amp;DD$2)</f>
        <v>338</v>
      </c>
      <c r="DE55" s="208">
        <f>SUMIFS(領用表!$L:$L,領用表!$A:$A,DE$2,領用表!$E:$E,B55)</f>
        <v>8109</v>
      </c>
      <c r="DF55" s="206">
        <f>SUMIFS(領用表!$L:$L,領用表!$E:$E,$B55,領用表!$B:$B,DE$2&amp;DF$2)</f>
        <v>2664</v>
      </c>
      <c r="DG55" s="206">
        <f>SUMIFS(領用表!$L:$L,領用表!$E:$E,$B55,領用表!$B:$B,$DE$2&amp;DG$2)</f>
        <v>0</v>
      </c>
      <c r="DH55" s="206">
        <f>SUMIFS(領用表!$L:$L,領用表!$E:$E,$B55,領用表!$B:$B,$DE$2&amp;DH$2)</f>
        <v>4305</v>
      </c>
      <c r="DI55" s="206">
        <f>SUMIFS(領用表!$L:$L,領用表!$E:$E,$B55,領用表!$B:$B,$DE$2&amp;DI$2)</f>
        <v>0</v>
      </c>
      <c r="DJ55" s="206">
        <f>SUMIFS(領用表!$L:$L,領用表!$E:$E,$B55,領用表!$B:$B,$DE$2&amp;DJ$2)</f>
        <v>1140</v>
      </c>
      <c r="DK55" s="208">
        <f>SUMIFS(領用表!$L:$L,領用表!$A:$A,DK$2,領用表!$E:$E,$B55)</f>
        <v>11730</v>
      </c>
      <c r="DL55" s="206">
        <f>SUMIFS(領用表!$L:$L,領用表!$E:$E,$B55,領用表!$B:$B,DK$2&amp;DL$2)</f>
        <v>5179</v>
      </c>
      <c r="DM55" s="206">
        <f>SUMIFS(領用表!$L:$L,領用表!$E:$E,$B55,領用表!$B:$B,$DK$2&amp;DM$2)</f>
        <v>0</v>
      </c>
      <c r="DN55" s="206">
        <f>SUMIFS(領用表!$L:$L,領用表!$E:$E,$B55,領用表!$B:$B,$DK$2&amp;DN$2)</f>
        <v>3921</v>
      </c>
      <c r="DO55" s="206">
        <f>SUMIFS(領用表!$L:$L,領用表!$E:$E,$B55,領用表!$B:$B,$DK$2&amp;DO$2)</f>
        <v>0</v>
      </c>
      <c r="DP55" s="206">
        <f>SUMIFS(領用表!$L:$L,領用表!$E:$E,$B55,領用表!$B:$B,$DK$2&amp;DP$2)</f>
        <v>2630</v>
      </c>
      <c r="DQ55" s="206">
        <f t="shared" si="14"/>
        <v>47289</v>
      </c>
      <c r="DR55" s="206">
        <f t="shared" si="15"/>
        <v>9457.7999999999993</v>
      </c>
      <c r="DS55" s="206">
        <f t="shared" si="6"/>
        <v>9600</v>
      </c>
      <c r="DT55" s="206">
        <v>4600</v>
      </c>
      <c r="DU55" s="206">
        <v>0</v>
      </c>
      <c r="DV55" s="206">
        <v>5000</v>
      </c>
      <c r="DW55" s="206">
        <v>0</v>
      </c>
      <c r="DX55" s="215">
        <v>40000</v>
      </c>
      <c r="DY55" s="464">
        <v>0</v>
      </c>
      <c r="DZ55" s="210"/>
      <c r="EA55" s="261"/>
      <c r="EB55" s="346" t="s">
        <v>842</v>
      </c>
      <c r="EC55" s="212"/>
      <c r="ED55" s="118">
        <f>IFERROR(VLOOKUP(A55,站前4樓!A:BF,57,0),0)</f>
        <v>3881</v>
      </c>
      <c r="EE55" s="213">
        <f>IFERROR(VLOOKUP(A55,站前11樓!A:BE,57,0),0)</f>
        <v>0</v>
      </c>
      <c r="EF55" s="118">
        <f>IFERROR(VLOOKUP(A55,忠孝7樓!A:N,57,0),0)</f>
        <v>0</v>
      </c>
      <c r="EG55" s="118">
        <f>IFERROR(VLOOKUP(A55,忠孝國際醫學3樓!A:L,57,0),0)</f>
        <v>0</v>
      </c>
      <c r="EH55" s="118">
        <f t="shared" si="7"/>
        <v>3881</v>
      </c>
      <c r="EJ55" s="118">
        <v>133142</v>
      </c>
      <c r="EK55" s="118">
        <v>130774</v>
      </c>
    </row>
    <row r="56" spans="1:141" s="118" customFormat="1" ht="15.75" customHeight="1">
      <c r="A56" s="136" t="s">
        <v>97</v>
      </c>
      <c r="B56" s="118">
        <v>6170020</v>
      </c>
      <c r="C56" s="133" t="s">
        <v>491</v>
      </c>
      <c r="D56" s="207">
        <v>20099</v>
      </c>
      <c r="E56" s="198" t="s">
        <v>78</v>
      </c>
      <c r="F56" s="199">
        <f>SUMIF(站前4樓!B:B,B56,站前4樓!F:F)</f>
        <v>85778</v>
      </c>
      <c r="G56" s="199">
        <f>SUMIF(站前11樓!B:B,B56,站前11樓!F:F)</f>
        <v>0</v>
      </c>
      <c r="H56" s="199">
        <f>SUMIF(忠孝7樓!B:B,B56,忠孝7樓!G:G)</f>
        <v>97536</v>
      </c>
      <c r="I56" s="199">
        <f>SUMIF(忠孝國際醫學3樓!B:B,B56,忠孝國際醫學3樓!G:G)</f>
        <v>0</v>
      </c>
      <c r="J56" s="199">
        <f>SUMIF(忠孝健康7樓!B:B,B56,忠孝健康7樓!G:G)</f>
        <v>49630</v>
      </c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  <c r="AH56" s="200"/>
      <c r="AI56" s="200"/>
      <c r="AJ56" s="221"/>
      <c r="AK56" s="221"/>
      <c r="AL56" s="221"/>
      <c r="AM56" s="221"/>
      <c r="AN56" s="221"/>
      <c r="AO56" s="221"/>
      <c r="AP56" s="221"/>
      <c r="AQ56" s="221"/>
      <c r="AR56" s="221"/>
      <c r="AS56" s="201"/>
      <c r="AT56" s="202"/>
      <c r="AU56" s="203" t="s">
        <v>49</v>
      </c>
      <c r="AV56" s="204" t="s">
        <v>49</v>
      </c>
      <c r="AW56" s="205" t="s">
        <v>49</v>
      </c>
      <c r="AX56" s="205" t="s">
        <v>49</v>
      </c>
      <c r="AY56" s="205" t="s">
        <v>49</v>
      </c>
      <c r="AZ56" s="205" t="s">
        <v>49</v>
      </c>
      <c r="BA56" s="203">
        <v>5501</v>
      </c>
      <c r="BB56" s="203">
        <v>12905</v>
      </c>
      <c r="BC56" s="203">
        <f>SUMIFS(領用表!$L:$L,領用表!$A:$A,BC$2,領用表!$E:$E,B56)</f>
        <v>9079</v>
      </c>
      <c r="BD56" s="206">
        <f>SUMIFS(領用表!$L:$L,領用表!$E:$E,$B56,領用表!$B:$B,BC$2&amp;BD$2)</f>
        <v>9079</v>
      </c>
      <c r="BE56" s="206">
        <f>SUMIFS(領用表!$L:$L,領用表!$E:$E,$B56,領用表!$B:$B,$BC$2&amp;BE$2)</f>
        <v>0</v>
      </c>
      <c r="BF56" s="206">
        <f>SUMIFS(領用表!$L:$L,領用表!$E:$E,$B56,領用表!$B:$B,$BC$2&amp;BF$2)</f>
        <v>0</v>
      </c>
      <c r="BG56" s="206">
        <f>SUMIFS(領用表!$L:$L,領用表!$E:$E,$B56,領用表!$B:$B,$BC$2&amp;BG$2)</f>
        <v>0</v>
      </c>
      <c r="BH56" s="203">
        <f>SUMIFS(領用表!$L:$L,領用表!$A:$A,BH$2,領用表!$E:$E,B56)</f>
        <v>9913</v>
      </c>
      <c r="BI56" s="260">
        <f>SUMIFS(領用表!$L:$L,領用表!$E:$E,$B56,領用表!$B:$B,BH$2&amp;BI$2)</f>
        <v>5033</v>
      </c>
      <c r="BJ56" s="260">
        <f>SUMIFS(領用表!$L:$L,領用表!$E:$E,$B56,領用表!$B:$B,$BH$2&amp;BJ$2)</f>
        <v>0</v>
      </c>
      <c r="BK56" s="260">
        <f>SUMIFS(領用表!$L:$L,領用表!$E:$E,$B56,領用表!$B:$B,$BH$2&amp;BK$2)</f>
        <v>4880</v>
      </c>
      <c r="BL56" s="260">
        <f>SUMIFS(領用表!$L:$L,領用表!$E:$E,$B56,領用表!$B:$B,$BH$2&amp;BL$2)</f>
        <v>0</v>
      </c>
      <c r="BM56" s="203">
        <f>SUMIFS(領用表!$L:$L,領用表!$A:$A,BM$2,領用表!$E:$E,B56)</f>
        <v>13513</v>
      </c>
      <c r="BN56" s="206">
        <f>SUMIFS(領用表!$L:$L,領用表!$E:$E,$B56,領用表!$B:$B,BM$2&amp;BN$2)</f>
        <v>3252</v>
      </c>
      <c r="BO56" s="206">
        <f>SUMIFS(領用表!$L:$L,領用表!$E:$E,$B56,領用表!$B:$B,$BM$2&amp;BO$2)</f>
        <v>0</v>
      </c>
      <c r="BP56" s="206">
        <f>SUMIFS(領用表!$L:$L,領用表!$E:$E,$B56,領用表!$B:$B,$BM$2&amp;BP$2)</f>
        <v>10261</v>
      </c>
      <c r="BQ56" s="206">
        <f>SUMIFS(領用表!$L:$L,領用表!$E:$E,$B56,領用表!$B:$B,$BM$2&amp;BQ$2)</f>
        <v>0</v>
      </c>
      <c r="BR56" s="203">
        <f>SUMIFS(領用表!$L:$L,領用表!$A:$A,BR$2,領用表!$E:$E,B56)</f>
        <v>9469</v>
      </c>
      <c r="BS56" s="206">
        <f>SUMIFS(領用表!$L:$L,領用表!$E:$E,$B56,領用表!$B:$B,BR$2&amp;BS$2)</f>
        <v>3659</v>
      </c>
      <c r="BT56" s="206">
        <f>SUMIFS(領用表!$L:$L,領用表!$E:$E,$B56,領用表!$B:$B,$BR$2&amp;BT$2)</f>
        <v>0</v>
      </c>
      <c r="BU56" s="206">
        <f>SUMIFS(領用表!$L:$L,領用表!$E:$E,$B56,領用表!$B:$B,$BR$2&amp;BU$2)</f>
        <v>5810</v>
      </c>
      <c r="BV56" s="206">
        <f>SUMIFS(領用表!$L:$L,領用表!$E:$E,$B56,領用表!$B:$B,$BR$2&amp;BV$2)</f>
        <v>0</v>
      </c>
      <c r="BW56" s="208">
        <f>SUMIFS(領用表!$L:$L,領用表!$A:$A,BW$2,領用表!$E:$E,B56)</f>
        <v>30674</v>
      </c>
      <c r="BX56" s="206">
        <f>SUMIFS(領用表!$L:$L,領用表!$E:$E,$B56,領用表!$B:$B,BW$2&amp;BX$2)</f>
        <v>8851</v>
      </c>
      <c r="BY56" s="206">
        <f>SUMIFS(領用表!$L:$L,領用表!$E:$E,$B56,領用表!$B:$B,$BW$2&amp;BY$2)</f>
        <v>0</v>
      </c>
      <c r="BZ56" s="206">
        <f>SUMIFS(領用表!$L:$L,領用表!$E:$E,$B56,領用表!$B:$B,$BW$2&amp;BZ$2)</f>
        <v>21823</v>
      </c>
      <c r="CA56" s="206">
        <f>SUMIFS(領用表!$L:$L,領用表!$E:$E,$B56,領用表!$B:$B,$BW$2&amp;CA$2)</f>
        <v>0</v>
      </c>
      <c r="CB56" s="208">
        <f>SUMIFS(領用表!$L:$L,領用表!$A:$A,CB$2,領用表!$E:$E,B56)</f>
        <v>24802</v>
      </c>
      <c r="CC56" s="206">
        <f>SUMIFS(領用表!$L:$L,領用表!$E:$E,$B56,領用表!$B:$B,CB$2&amp;CC$2)</f>
        <v>8562</v>
      </c>
      <c r="CD56" s="206">
        <f>SUMIFS(領用表!$L:$L,領用表!$E:$E,$B56,領用表!$B:$B,$CB$2&amp;CD$2)</f>
        <v>0</v>
      </c>
      <c r="CE56" s="206">
        <f>SUMIFS(領用表!$L:$L,領用表!$E:$E,$B56,領用表!$B:$B,$CB$2&amp;CE$2)</f>
        <v>16240</v>
      </c>
      <c r="CF56" s="206">
        <f>SUMIFS(領用表!$L:$L,領用表!$E:$E,$B56,領用表!$B:$B,$CB$2&amp;CF$2)</f>
        <v>0</v>
      </c>
      <c r="CG56" s="208">
        <f>SUMIFS(領用表!$L:$L,領用表!$A:$A,CG$2,領用表!$E:$E,B56)</f>
        <v>26472</v>
      </c>
      <c r="CH56" s="206">
        <f>SUMIFS(領用表!$L:$L,領用表!$E:$E,$B56,領用表!$B:$B,CG$2&amp;CH$2)</f>
        <v>9125</v>
      </c>
      <c r="CI56" s="206">
        <f>SUMIFS(領用表!$L:$L,領用表!$E:$E,$B56,領用表!$B:$B,CG$2&amp;CI$2)</f>
        <v>0</v>
      </c>
      <c r="CJ56" s="206">
        <f>SUMIFS(領用表!$L:$L,領用表!$E:$E,$B56,領用表!$B:$B,CG$2&amp;CJ$2)</f>
        <v>17347</v>
      </c>
      <c r="CK56" s="206">
        <f>SUMIFS(領用表!$L:$L,領用表!$E:$E,$B56,領用表!$B:$B,$CG$2&amp;CK$2)</f>
        <v>0</v>
      </c>
      <c r="CL56" s="207">
        <f t="shared" si="16"/>
        <v>142328</v>
      </c>
      <c r="CM56" s="207">
        <f t="shared" si="17"/>
        <v>15814.222222222223</v>
      </c>
      <c r="CN56" s="208">
        <f>SUMIFS(領用表!$L:$L,領用表!$A:$A,CN$2,領用表!$E:$E,B56)</f>
        <v>27043</v>
      </c>
      <c r="CO56" s="206">
        <f>SUMIFS(領用表!$L:$L,領用表!$E:$E,$B56,領用表!$B:$B,CN$2&amp;CO$2)</f>
        <v>9844</v>
      </c>
      <c r="CP56" s="206">
        <f>SUMIFS(領用表!$L:$L,領用表!$E:$E,$B56,領用表!$B:$B,$CN$2&amp;CP$2)</f>
        <v>0</v>
      </c>
      <c r="CQ56" s="206">
        <f>SUMIFS(領用表!$L:$L,領用表!$E:$E,$B56,領用表!$B:$B,$CN$2&amp;CQ$2)</f>
        <v>17199</v>
      </c>
      <c r="CR56" s="206">
        <f>SUMIFS(領用表!$L:$L,領用表!$E:$E,$B56,領用表!$B:$B,$CN$2&amp;CR$2)</f>
        <v>0</v>
      </c>
      <c r="CS56" s="208">
        <f>SUMIFS(領用表!$L:$L,領用表!$A:$A,CS$2,領用表!$E:$E,B56)</f>
        <v>20652</v>
      </c>
      <c r="CT56" s="206">
        <f>SUMIFS(領用表!$L:$L,領用表!$E:$E,$B56,領用表!$B:$B,CS$2&amp;CT$2)</f>
        <v>7769</v>
      </c>
      <c r="CU56" s="206">
        <f>SUMIFS(領用表!$L:$L,領用表!$E:$E,$B56,領用表!$B:$B,$CS$2&amp;CU$2)</f>
        <v>0</v>
      </c>
      <c r="CV56" s="206">
        <f>SUMIFS(領用表!$L:$L,領用表!$E:$E,$B56,領用表!$B:$B,$CS$2&amp;CV$2)</f>
        <v>11582</v>
      </c>
      <c r="CW56" s="206">
        <f>SUMIFS(領用表!$L:$L,領用表!$E:$E,$B56,領用表!$B:$B,$CS$2&amp;CW$2)</f>
        <v>0</v>
      </c>
      <c r="CX56" s="206">
        <f>SUMIFS(領用表!$L:$L,領用表!$E:$E,$B56,領用表!$B:$B,$CS$2&amp;CX$2)</f>
        <v>1301</v>
      </c>
      <c r="CY56" s="208">
        <f>SUMIFS(領用表!$L:$L,領用表!$A:$A,CY$2,領用表!$E:$E,B56)</f>
        <v>21499</v>
      </c>
      <c r="CZ56" s="206">
        <f>SUMIFS(領用表!$L:$L,領用表!$E:$E,$B56,領用表!$B:$B,CY$2&amp;CZ$2)</f>
        <v>5909</v>
      </c>
      <c r="DA56" s="206">
        <f>SUMIFS(領用表!$L:$L,領用表!$E:$E,$B56,領用表!$B:$B,$CY$2&amp;DA$2)</f>
        <v>0</v>
      </c>
      <c r="DB56" s="206">
        <f>SUMIFS(領用表!$L:$L,領用表!$E:$E,$B56,領用表!$B:$B,$CY$2&amp;DB$2)</f>
        <v>12517</v>
      </c>
      <c r="DC56" s="206">
        <f>SUMIFS(領用表!$L:$L,領用表!$E:$E,$B56,領用表!$B:$B,$CY$2&amp;DC$2)</f>
        <v>0</v>
      </c>
      <c r="DD56" s="206">
        <f>SUMIFS(領用表!$L:$L,領用表!$E:$E,$B56,領用表!$B:$B,$CY$2&amp;DD$2)</f>
        <v>3073</v>
      </c>
      <c r="DE56" s="208">
        <f>SUMIFS(領用表!$L:$L,領用表!$A:$A,DE$2,領用表!$E:$E,B56)</f>
        <v>24493</v>
      </c>
      <c r="DF56" s="206">
        <f>SUMIFS(領用表!$L:$L,領用表!$E:$E,$B56,領用表!$B:$B,DE$2&amp;DF$2)</f>
        <v>7903</v>
      </c>
      <c r="DG56" s="206">
        <f>SUMIFS(領用表!$L:$L,領用表!$E:$E,$B56,領用表!$B:$B,$DE$2&amp;DG$2)</f>
        <v>0</v>
      </c>
      <c r="DH56" s="206">
        <f>SUMIFS(領用表!$L:$L,領用表!$E:$E,$B56,領用表!$B:$B,$DE$2&amp;DH$2)</f>
        <v>11835</v>
      </c>
      <c r="DI56" s="206">
        <f>SUMIFS(領用表!$L:$L,領用表!$E:$E,$B56,領用表!$B:$B,$DE$2&amp;DI$2)</f>
        <v>0</v>
      </c>
      <c r="DJ56" s="206">
        <f>SUMIFS(領用表!$L:$L,領用表!$E:$E,$B56,領用表!$B:$B,$DE$2&amp;DJ$2)</f>
        <v>4755</v>
      </c>
      <c r="DK56" s="208">
        <f>SUMIFS(領用表!$L:$L,領用表!$A:$A,DK$2,領用表!$E:$E,$B56)</f>
        <v>29273</v>
      </c>
      <c r="DL56" s="206">
        <f>SUMIFS(領用表!$L:$L,領用表!$E:$E,$B56,領用表!$B:$B,DK$2&amp;DL$2)</f>
        <v>13259</v>
      </c>
      <c r="DM56" s="206">
        <f>SUMIFS(領用表!$L:$L,領用表!$E:$E,$B56,領用表!$B:$B,$DK$2&amp;DM$2)</f>
        <v>0</v>
      </c>
      <c r="DN56" s="206">
        <f>SUMIFS(領用表!$L:$L,領用表!$E:$E,$B56,領用表!$B:$B,$DK$2&amp;DN$2)</f>
        <v>11742</v>
      </c>
      <c r="DO56" s="206">
        <f>SUMIFS(領用表!$L:$L,領用表!$E:$E,$B56,領用表!$B:$B,$DK$2&amp;DO$2)</f>
        <v>0</v>
      </c>
      <c r="DP56" s="206">
        <f>SUMIFS(領用表!$L:$L,領用表!$E:$E,$B56,領用表!$B:$B,$DK$2&amp;DP$2)</f>
        <v>4272</v>
      </c>
      <c r="DQ56" s="206">
        <f t="shared" si="14"/>
        <v>122960</v>
      </c>
      <c r="DR56" s="206">
        <f t="shared" si="15"/>
        <v>24592</v>
      </c>
      <c r="DS56" s="206">
        <f t="shared" si="6"/>
        <v>26500</v>
      </c>
      <c r="DT56" s="206">
        <v>9500</v>
      </c>
      <c r="DU56" s="206">
        <v>0</v>
      </c>
      <c r="DV56" s="206">
        <v>17000</v>
      </c>
      <c r="DW56" s="206">
        <v>0</v>
      </c>
      <c r="DX56" s="215">
        <v>40000</v>
      </c>
      <c r="DY56" s="465"/>
      <c r="DZ56" s="210"/>
      <c r="EA56" s="261"/>
      <c r="EB56" s="346" t="s">
        <v>842</v>
      </c>
      <c r="EC56" s="212"/>
      <c r="ED56" s="118">
        <f>IFERROR(VLOOKUP(A56,站前4樓!A:BF,57,0),0)</f>
        <v>8562</v>
      </c>
      <c r="EE56" s="213">
        <f>IFERROR(VLOOKUP(A56,站前11樓!A:BE,57,0),0)</f>
        <v>0</v>
      </c>
      <c r="EF56" s="118">
        <f>IFERROR(VLOOKUP(A56,忠孝7樓!A:N,57,0),0)</f>
        <v>0</v>
      </c>
      <c r="EG56" s="118">
        <f>IFERROR(VLOOKUP(A56,忠孝國際醫學3樓!A:L,57,0),0)</f>
        <v>0</v>
      </c>
      <c r="EH56" s="118">
        <f t="shared" si="7"/>
        <v>8562</v>
      </c>
      <c r="EJ56" s="118">
        <v>91065</v>
      </c>
      <c r="EK56" s="118">
        <v>123982</v>
      </c>
    </row>
    <row r="57" spans="1:141" s="118" customFormat="1" ht="15.75" customHeight="1">
      <c r="A57" s="136" t="s">
        <v>98</v>
      </c>
      <c r="B57" s="118">
        <v>6170021</v>
      </c>
      <c r="C57" s="133" t="s">
        <v>492</v>
      </c>
      <c r="D57" s="207">
        <v>20099</v>
      </c>
      <c r="E57" s="198" t="s">
        <v>78</v>
      </c>
      <c r="F57" s="199">
        <f>SUMIF(站前4樓!B:B,B57,站前4樓!F:F)</f>
        <v>45846</v>
      </c>
      <c r="G57" s="199">
        <f>SUMIF(站前11樓!B:B,B57,站前11樓!F:F)</f>
        <v>0</v>
      </c>
      <c r="H57" s="199">
        <f>SUMIF(忠孝7樓!B:B,B57,忠孝7樓!G:G)</f>
        <v>61584</v>
      </c>
      <c r="I57" s="199">
        <f>SUMIF(忠孝國際醫學3樓!B:B,B57,忠孝國際醫學3樓!G:G)</f>
        <v>0</v>
      </c>
      <c r="J57" s="199">
        <f>SUMIF(忠孝健康7樓!B:B,B57,忠孝健康7樓!G:G)</f>
        <v>74868</v>
      </c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  <c r="AH57" s="200"/>
      <c r="AI57" s="200"/>
      <c r="AJ57" s="221"/>
      <c r="AK57" s="221"/>
      <c r="AL57" s="221"/>
      <c r="AM57" s="221"/>
      <c r="AN57" s="221"/>
      <c r="AO57" s="221"/>
      <c r="AP57" s="221"/>
      <c r="AQ57" s="221"/>
      <c r="AR57" s="221"/>
      <c r="AS57" s="201"/>
      <c r="AT57" s="202"/>
      <c r="AU57" s="203" t="s">
        <v>49</v>
      </c>
      <c r="AV57" s="204" t="s">
        <v>49</v>
      </c>
      <c r="AW57" s="205" t="s">
        <v>49</v>
      </c>
      <c r="AX57" s="205" t="s">
        <v>49</v>
      </c>
      <c r="AY57" s="205" t="s">
        <v>49</v>
      </c>
      <c r="AZ57" s="205" t="s">
        <v>49</v>
      </c>
      <c r="BA57" s="203">
        <v>17125</v>
      </c>
      <c r="BB57" s="203">
        <v>32157</v>
      </c>
      <c r="BC57" s="203">
        <f>SUMIFS(領用表!$L:$L,領用表!$A:$A,BC$2,領用表!$E:$E,B57)</f>
        <v>18643</v>
      </c>
      <c r="BD57" s="206">
        <f>SUMIFS(領用表!$L:$L,領用表!$E:$E,$B57,領用表!$B:$B,BC$2&amp;BD$2)</f>
        <v>18643</v>
      </c>
      <c r="BE57" s="206">
        <f>SUMIFS(領用表!$L:$L,領用表!$E:$E,$B57,領用表!$B:$B,$BC$2&amp;BE$2)</f>
        <v>0</v>
      </c>
      <c r="BF57" s="206">
        <f>SUMIFS(領用表!$L:$L,領用表!$E:$E,$B57,領用表!$B:$B,$BC$2&amp;BF$2)</f>
        <v>0</v>
      </c>
      <c r="BG57" s="206">
        <f>SUMIFS(領用表!$L:$L,領用表!$E:$E,$B57,領用表!$B:$B,$BC$2&amp;BG$2)</f>
        <v>0</v>
      </c>
      <c r="BH57" s="203">
        <f>SUMIFS(領用表!$L:$L,領用表!$A:$A,BH$2,領用表!$E:$E,B57)</f>
        <v>21805</v>
      </c>
      <c r="BI57" s="260">
        <f>SUMIFS(領用表!$L:$L,領用表!$E:$E,$B57,領用表!$B:$B,BH$2&amp;BI$2)</f>
        <v>10416</v>
      </c>
      <c r="BJ57" s="260">
        <f>SUMIFS(領用表!$L:$L,領用表!$E:$E,$B57,領用表!$B:$B,$BH$2&amp;BJ$2)</f>
        <v>0</v>
      </c>
      <c r="BK57" s="260">
        <f>SUMIFS(領用表!$L:$L,領用表!$E:$E,$B57,領用表!$B:$B,$BH$2&amp;BK$2)</f>
        <v>11389</v>
      </c>
      <c r="BL57" s="260">
        <f>SUMIFS(領用表!$L:$L,領用表!$E:$E,$B57,領用表!$B:$B,$BH$2&amp;BL$2)</f>
        <v>0</v>
      </c>
      <c r="BM57" s="203">
        <f>SUMIFS(領用表!$L:$L,領用表!$A:$A,BM$2,領用表!$E:$E,B57)</f>
        <v>28933</v>
      </c>
      <c r="BN57" s="206">
        <f>SUMIFS(領用表!$L:$L,領用表!$E:$E,$B57,領用表!$B:$B,BM$2&amp;BN$2)</f>
        <v>7356</v>
      </c>
      <c r="BO57" s="206">
        <f>SUMIFS(領用表!$L:$L,領用表!$E:$E,$B57,領用表!$B:$B,$BM$2&amp;BO$2)</f>
        <v>0</v>
      </c>
      <c r="BP57" s="206">
        <f>SUMIFS(領用表!$L:$L,領用表!$E:$E,$B57,領用表!$B:$B,$BM$2&amp;BP$2)</f>
        <v>21577</v>
      </c>
      <c r="BQ57" s="206">
        <f>SUMIFS(領用表!$L:$L,領用表!$E:$E,$B57,領用表!$B:$B,$BM$2&amp;BQ$2)</f>
        <v>0</v>
      </c>
      <c r="BR57" s="203">
        <f>SUMIFS(領用表!$L:$L,領用表!$A:$A,BR$2,領用表!$E:$E,B57)</f>
        <v>22198</v>
      </c>
      <c r="BS57" s="206">
        <f>SUMIFS(領用表!$L:$L,領用表!$E:$E,$B57,領用表!$B:$B,BR$2&amp;BS$2)</f>
        <v>6916</v>
      </c>
      <c r="BT57" s="206">
        <f>SUMIFS(領用表!$L:$L,領用表!$E:$E,$B57,領用表!$B:$B,$BR$2&amp;BT$2)</f>
        <v>0</v>
      </c>
      <c r="BU57" s="206">
        <f>SUMIFS(領用表!$L:$L,領用表!$E:$E,$B57,領用表!$B:$B,$BR$2&amp;BU$2)</f>
        <v>15282</v>
      </c>
      <c r="BV57" s="206">
        <f>SUMIFS(領用表!$L:$L,領用表!$E:$E,$B57,領用表!$B:$B,$BR$2&amp;BV$2)</f>
        <v>0</v>
      </c>
      <c r="BW57" s="208">
        <f>SUMIFS(領用表!$L:$L,領用表!$A:$A,BW$2,領用表!$E:$E,B57)</f>
        <v>61293</v>
      </c>
      <c r="BX57" s="206">
        <f>SUMIFS(領用表!$L:$L,領用表!$E:$E,$B57,領用表!$B:$B,BW$2&amp;BX$2)</f>
        <v>17271</v>
      </c>
      <c r="BY57" s="206">
        <f>SUMIFS(領用表!$L:$L,領用表!$E:$E,$B57,領用表!$B:$B,$BW$2&amp;BY$2)</f>
        <v>0</v>
      </c>
      <c r="BZ57" s="206">
        <f>SUMIFS(領用表!$L:$L,領用表!$E:$E,$B57,領用表!$B:$B,$BW$2&amp;BZ$2)</f>
        <v>44022</v>
      </c>
      <c r="CA57" s="206">
        <f>SUMIFS(領用表!$L:$L,領用表!$E:$E,$B57,領用表!$B:$B,$BW$2&amp;CA$2)</f>
        <v>0</v>
      </c>
      <c r="CB57" s="208">
        <f>SUMIFS(領用表!$L:$L,領用表!$A:$A,CB$2,領用表!$E:$E,B57)</f>
        <v>54294</v>
      </c>
      <c r="CC57" s="206">
        <f>SUMIFS(領用表!$L:$L,領用表!$E:$E,$B57,領用表!$B:$B,CB$2&amp;CC$2)</f>
        <v>14059</v>
      </c>
      <c r="CD57" s="206">
        <f>SUMIFS(領用表!$L:$L,領用表!$E:$E,$B57,領用表!$B:$B,$CB$2&amp;CD$2)</f>
        <v>0</v>
      </c>
      <c r="CE57" s="206">
        <f>SUMIFS(領用表!$L:$L,領用表!$E:$E,$B57,領用表!$B:$B,$CB$2&amp;CE$2)</f>
        <v>40235</v>
      </c>
      <c r="CF57" s="206">
        <f>SUMIFS(領用表!$L:$L,領用表!$E:$E,$B57,領用表!$B:$B,$CB$2&amp;CF$2)</f>
        <v>0</v>
      </c>
      <c r="CG57" s="208">
        <f>SUMIFS(領用表!$L:$L,領用表!$A:$A,CG$2,領用表!$E:$E,B57)</f>
        <v>56660</v>
      </c>
      <c r="CH57" s="206">
        <f>SUMIFS(領用表!$L:$L,領用表!$E:$E,$B57,領用表!$B:$B,CG$2&amp;CH$2)</f>
        <v>20204</v>
      </c>
      <c r="CI57" s="206">
        <f>SUMIFS(領用表!$L:$L,領用表!$E:$E,$B57,領用表!$B:$B,CG$2&amp;CI$2)</f>
        <v>0</v>
      </c>
      <c r="CJ57" s="206">
        <f>SUMIFS(領用表!$L:$L,領用表!$E:$E,$B57,領用表!$B:$B,CG$2&amp;CJ$2)</f>
        <v>36456</v>
      </c>
      <c r="CK57" s="206">
        <f>SUMIFS(領用表!$L:$L,領用表!$E:$E,$B57,領用表!$B:$B,$CG$2&amp;CK$2)</f>
        <v>0</v>
      </c>
      <c r="CL57" s="207">
        <f t="shared" si="16"/>
        <v>313108</v>
      </c>
      <c r="CM57" s="207">
        <f t="shared" si="17"/>
        <v>34789.777777777781</v>
      </c>
      <c r="CN57" s="208">
        <f>SUMIFS(領用表!$L:$L,領用表!$A:$A,CN$2,領用表!$E:$E,B57)</f>
        <v>58299</v>
      </c>
      <c r="CO57" s="206">
        <f>SUMIFS(領用表!$L:$L,領用表!$E:$E,$B57,領用表!$B:$B,CN$2&amp;CO$2)</f>
        <v>18334</v>
      </c>
      <c r="CP57" s="206">
        <f>SUMIFS(領用表!$L:$L,領用表!$E:$E,$B57,領用表!$B:$B,$CN$2&amp;CP$2)</f>
        <v>0</v>
      </c>
      <c r="CQ57" s="206">
        <f>SUMIFS(領用表!$L:$L,領用表!$E:$E,$B57,領用表!$B:$B,$CN$2&amp;CQ$2)</f>
        <v>39965</v>
      </c>
      <c r="CR57" s="206">
        <f>SUMIFS(領用表!$L:$L,領用表!$E:$E,$B57,領用表!$B:$B,$CN$2&amp;CR$2)</f>
        <v>0</v>
      </c>
      <c r="CS57" s="208">
        <f>SUMIFS(領用表!$L:$L,領用表!$A:$A,CS$2,領用表!$E:$E,B57)</f>
        <v>47903</v>
      </c>
      <c r="CT57" s="206">
        <f>SUMIFS(領用表!$L:$L,領用表!$E:$E,$B57,領用表!$B:$B,CS$2&amp;CT$2)</f>
        <v>15685</v>
      </c>
      <c r="CU57" s="206">
        <f>SUMIFS(領用表!$L:$L,領用表!$E:$E,$B57,領用表!$B:$B,$CS$2&amp;CU$2)</f>
        <v>0</v>
      </c>
      <c r="CV57" s="206">
        <f>SUMIFS(領用表!$L:$L,領用表!$E:$E,$B57,領用表!$B:$B,$CS$2&amp;CV$2)</f>
        <v>26419</v>
      </c>
      <c r="CW57" s="206">
        <f>SUMIFS(領用表!$L:$L,領用表!$E:$E,$B57,領用表!$B:$B,$CS$2&amp;CW$2)</f>
        <v>0</v>
      </c>
      <c r="CX57" s="206">
        <f>SUMIFS(領用表!$L:$L,領用表!$E:$E,$B57,領用表!$B:$B,$CS$2&amp;CX$2)</f>
        <v>5799</v>
      </c>
      <c r="CY57" s="208">
        <f>SUMIFS(領用表!$L:$L,領用表!$A:$A,CY$2,領用表!$E:$E,B57)</f>
        <v>38646</v>
      </c>
      <c r="CZ57" s="206">
        <f>SUMIFS(領用表!$L:$L,領用表!$E:$E,$B57,領用表!$B:$B,CY$2&amp;CZ$2)</f>
        <v>10370</v>
      </c>
      <c r="DA57" s="206">
        <f>SUMIFS(領用表!$L:$L,領用表!$E:$E,$B57,領用表!$B:$B,$CY$2&amp;DA$2)</f>
        <v>0</v>
      </c>
      <c r="DB57" s="206">
        <f>SUMIFS(領用表!$L:$L,領用表!$E:$E,$B57,領用表!$B:$B,$CY$2&amp;DB$2)</f>
        <v>23376</v>
      </c>
      <c r="DC57" s="206">
        <f>SUMIFS(領用表!$L:$L,領用表!$E:$E,$B57,領用表!$B:$B,$CY$2&amp;DC$2)</f>
        <v>0</v>
      </c>
      <c r="DD57" s="206">
        <f>SUMIFS(領用表!$L:$L,領用表!$E:$E,$B57,領用表!$B:$B,$CY$2&amp;DD$2)</f>
        <v>4900</v>
      </c>
      <c r="DE57" s="208">
        <f>SUMIFS(領用表!$L:$L,領用表!$A:$A,DE$2,領用表!$E:$E,B57)</f>
        <v>50563</v>
      </c>
      <c r="DF57" s="206">
        <f>SUMIFS(領用表!$L:$L,領用表!$E:$E,$B57,領用表!$B:$B,DE$2&amp;DF$2)</f>
        <v>14896</v>
      </c>
      <c r="DG57" s="206">
        <f>SUMIFS(領用表!$L:$L,領用表!$E:$E,$B57,領用表!$B:$B,$DE$2&amp;DG$2)</f>
        <v>0</v>
      </c>
      <c r="DH57" s="206">
        <f>SUMIFS(領用表!$L:$L,領用表!$E:$E,$B57,領用表!$B:$B,$DE$2&amp;DH$2)</f>
        <v>25519</v>
      </c>
      <c r="DI57" s="206">
        <f>SUMIFS(領用表!$L:$L,領用表!$E:$E,$B57,領用表!$B:$B,$DE$2&amp;DI$2)</f>
        <v>0</v>
      </c>
      <c r="DJ57" s="206">
        <f>SUMIFS(領用表!$L:$L,領用表!$E:$E,$B57,領用表!$B:$B,$DE$2&amp;DJ$2)</f>
        <v>10148</v>
      </c>
      <c r="DK57" s="208">
        <f>SUMIFS(領用表!$L:$L,領用表!$A:$A,DK$2,領用表!$E:$E,$B57)</f>
        <v>64156</v>
      </c>
      <c r="DL57" s="206">
        <f>SUMIFS(領用表!$L:$L,領用表!$E:$E,$B57,領用表!$B:$B,DK$2&amp;DL$2)</f>
        <v>21459</v>
      </c>
      <c r="DM57" s="206">
        <f>SUMIFS(領用表!$L:$L,領用表!$E:$E,$B57,領用表!$B:$B,$DK$2&amp;DM$2)</f>
        <v>0</v>
      </c>
      <c r="DN57" s="206">
        <f>SUMIFS(領用表!$L:$L,領用表!$E:$E,$B57,領用表!$B:$B,$DK$2&amp;DN$2)</f>
        <v>29115</v>
      </c>
      <c r="DO57" s="206">
        <f>SUMIFS(領用表!$L:$L,領用表!$E:$E,$B57,領用表!$B:$B,$DK$2&amp;DO$2)</f>
        <v>0</v>
      </c>
      <c r="DP57" s="206">
        <f>SUMIFS(領用表!$L:$L,領用表!$E:$E,$B57,領用表!$B:$B,$DK$2&amp;DP$2)</f>
        <v>13582</v>
      </c>
      <c r="DQ57" s="206">
        <f t="shared" si="14"/>
        <v>259567</v>
      </c>
      <c r="DR57" s="206">
        <f t="shared" si="15"/>
        <v>51913.4</v>
      </c>
      <c r="DS57" s="206">
        <f t="shared" si="6"/>
        <v>60000</v>
      </c>
      <c r="DT57" s="206">
        <v>20000</v>
      </c>
      <c r="DU57" s="206">
        <v>0</v>
      </c>
      <c r="DV57" s="206">
        <v>40000</v>
      </c>
      <c r="DW57" s="206">
        <v>0</v>
      </c>
      <c r="DX57" s="215">
        <v>40000</v>
      </c>
      <c r="DY57" s="465"/>
      <c r="DZ57" s="210"/>
      <c r="EA57" s="262" t="s">
        <v>804</v>
      </c>
      <c r="EB57" s="346" t="s">
        <v>842</v>
      </c>
      <c r="EC57" s="212"/>
      <c r="ED57" s="118">
        <f>IFERROR(VLOOKUP(A57,站前4樓!A:BF,57,0),0)</f>
        <v>14059</v>
      </c>
      <c r="EE57" s="213">
        <f>IFERROR(VLOOKUP(A57,站前11樓!A:BE,57,0),0)</f>
        <v>0</v>
      </c>
      <c r="EF57" s="118">
        <f>IFERROR(VLOOKUP(A57,忠孝7樓!A:N,57,0),0)</f>
        <v>0</v>
      </c>
      <c r="EG57" s="118">
        <f>IFERROR(VLOOKUP(A57,忠孝國際醫學3樓!A:L,57,0),0)</f>
        <v>0</v>
      </c>
      <c r="EH57" s="118">
        <f t="shared" si="7"/>
        <v>14059</v>
      </c>
      <c r="EJ57" s="118">
        <v>132024</v>
      </c>
      <c r="EK57" s="118">
        <v>129950</v>
      </c>
    </row>
    <row r="58" spans="1:141" s="118" customFormat="1" ht="15.75" customHeight="1">
      <c r="A58" s="136" t="s">
        <v>99</v>
      </c>
      <c r="B58" s="118">
        <v>6170022</v>
      </c>
      <c r="C58" s="133" t="s">
        <v>493</v>
      </c>
      <c r="D58" s="207">
        <v>20099</v>
      </c>
      <c r="E58" s="198" t="s">
        <v>78</v>
      </c>
      <c r="F58" s="199">
        <f>SUMIF(站前4樓!B:B,B58,站前4樓!F:F)</f>
        <v>85159</v>
      </c>
      <c r="G58" s="199">
        <f>SUMIF(站前11樓!B:B,B58,站前11樓!F:F)</f>
        <v>0</v>
      </c>
      <c r="H58" s="199">
        <f>SUMIF(忠孝7樓!B:B,B58,忠孝7樓!G:G)</f>
        <v>57805</v>
      </c>
      <c r="I58" s="199">
        <f>SUMIF(忠孝國際醫學3樓!B:B,B58,忠孝國際醫學3樓!G:G)</f>
        <v>0</v>
      </c>
      <c r="J58" s="199">
        <f>SUMIF(忠孝健康7樓!B:B,B58,忠孝健康7樓!G:G)</f>
        <v>32891</v>
      </c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  <c r="AH58" s="200"/>
      <c r="AI58" s="200"/>
      <c r="AJ58" s="221"/>
      <c r="AK58" s="221"/>
      <c r="AL58" s="221"/>
      <c r="AM58" s="221"/>
      <c r="AN58" s="221"/>
      <c r="AO58" s="221"/>
      <c r="AP58" s="221"/>
      <c r="AQ58" s="221"/>
      <c r="AR58" s="221"/>
      <c r="AS58" s="201"/>
      <c r="AT58" s="202"/>
      <c r="AU58" s="203"/>
      <c r="AV58" s="204" t="s">
        <v>49</v>
      </c>
      <c r="AW58" s="205" t="s">
        <v>49</v>
      </c>
      <c r="AX58" s="205" t="s">
        <v>49</v>
      </c>
      <c r="AY58" s="205" t="s">
        <v>49</v>
      </c>
      <c r="AZ58" s="205" t="s">
        <v>49</v>
      </c>
      <c r="BA58" s="203">
        <v>5766</v>
      </c>
      <c r="BB58" s="203">
        <v>15433</v>
      </c>
      <c r="BC58" s="203">
        <f>SUMIFS(領用表!$L:$L,領用表!$A:$A,BC$2,領用表!$E:$E,B58)</f>
        <v>5735</v>
      </c>
      <c r="BD58" s="206">
        <f>SUMIFS(領用表!$L:$L,領用表!$E:$E,$B58,領用表!$B:$B,BC$2&amp;BD$2)</f>
        <v>5735</v>
      </c>
      <c r="BE58" s="206">
        <f>SUMIFS(領用表!$L:$L,領用表!$E:$E,$B58,領用表!$B:$B,$BC$2&amp;BE$2)</f>
        <v>0</v>
      </c>
      <c r="BF58" s="206">
        <f>SUMIFS(領用表!$L:$L,領用表!$E:$E,$B58,領用表!$B:$B,$BC$2&amp;BF$2)</f>
        <v>0</v>
      </c>
      <c r="BG58" s="206">
        <f>SUMIFS(領用表!$L:$L,領用表!$E:$E,$B58,領用表!$B:$B,$BC$2&amp;BG$2)</f>
        <v>0</v>
      </c>
      <c r="BH58" s="203">
        <f>SUMIFS(領用表!$L:$L,領用表!$A:$A,BH$2,領用表!$E:$E,B58)</f>
        <v>10985</v>
      </c>
      <c r="BI58" s="260">
        <f>SUMIFS(領用表!$L:$L,領用表!$E:$E,$B58,領用表!$B:$B,BH$2&amp;BI$2)</f>
        <v>6354</v>
      </c>
      <c r="BJ58" s="260">
        <f>SUMIFS(領用表!$L:$L,領用表!$E:$E,$B58,領用表!$B:$B,$BH$2&amp;BJ$2)</f>
        <v>0</v>
      </c>
      <c r="BK58" s="260">
        <f>SUMIFS(領用表!$L:$L,領用表!$E:$E,$B58,領用表!$B:$B,$BH$2&amp;BK$2)</f>
        <v>4631</v>
      </c>
      <c r="BL58" s="260">
        <f>SUMIFS(領用表!$L:$L,領用表!$E:$E,$B58,領用表!$B:$B,$BH$2&amp;BL$2)</f>
        <v>0</v>
      </c>
      <c r="BM58" s="203">
        <f>SUMIFS(領用表!$L:$L,領用表!$A:$A,BM$2,領用表!$E:$E,B58)</f>
        <v>10269</v>
      </c>
      <c r="BN58" s="206">
        <f>SUMIFS(領用表!$L:$L,領用表!$E:$E,$B58,領用表!$B:$B,BM$2&amp;BN$2)</f>
        <v>2301</v>
      </c>
      <c r="BO58" s="206">
        <f>SUMIFS(領用表!$L:$L,領用表!$E:$E,$B58,領用表!$B:$B,$BM$2&amp;BO$2)</f>
        <v>0</v>
      </c>
      <c r="BP58" s="206">
        <f>SUMIFS(領用表!$L:$L,領用表!$E:$E,$B58,領用表!$B:$B,$BM$2&amp;BP$2)</f>
        <v>7968</v>
      </c>
      <c r="BQ58" s="206">
        <f>SUMIFS(領用表!$L:$L,領用表!$E:$E,$B58,領用表!$B:$B,$BM$2&amp;BQ$2)</f>
        <v>0</v>
      </c>
      <c r="BR58" s="203">
        <f>SUMIFS(領用表!$L:$L,領用表!$A:$A,BR$2,領用表!$E:$E,B58)</f>
        <v>7140</v>
      </c>
      <c r="BS58" s="206">
        <f>SUMIFS(領用表!$L:$L,領用表!$E:$E,$B58,領用表!$B:$B,BR$2&amp;BS$2)</f>
        <v>1976</v>
      </c>
      <c r="BT58" s="206">
        <f>SUMIFS(領用表!$L:$L,領用表!$E:$E,$B58,領用表!$B:$B,$BR$2&amp;BT$2)</f>
        <v>0</v>
      </c>
      <c r="BU58" s="206">
        <f>SUMIFS(領用表!$L:$L,領用表!$E:$E,$B58,領用表!$B:$B,$BR$2&amp;BU$2)</f>
        <v>5164</v>
      </c>
      <c r="BV58" s="206">
        <f>SUMIFS(領用表!$L:$L,領用表!$E:$E,$B58,領用表!$B:$B,$BR$2&amp;BV$2)</f>
        <v>0</v>
      </c>
      <c r="BW58" s="208">
        <f>SUMIFS(領用表!$L:$L,領用表!$A:$A,BW$2,領用表!$E:$E,B58)</f>
        <v>23455</v>
      </c>
      <c r="BX58" s="206">
        <f>SUMIFS(領用表!$L:$L,領用表!$E:$E,$B58,領用表!$B:$B,BW$2&amp;BX$2)</f>
        <v>6688</v>
      </c>
      <c r="BY58" s="206">
        <f>SUMIFS(領用表!$L:$L,領用表!$E:$E,$B58,領用表!$B:$B,$BW$2&amp;BY$2)</f>
        <v>0</v>
      </c>
      <c r="BZ58" s="206">
        <f>SUMIFS(領用表!$L:$L,領用表!$E:$E,$B58,領用表!$B:$B,$BW$2&amp;BZ$2)</f>
        <v>16767</v>
      </c>
      <c r="CA58" s="206">
        <f>SUMIFS(領用表!$L:$L,領用表!$E:$E,$B58,領用表!$B:$B,$BW$2&amp;CA$2)</f>
        <v>0</v>
      </c>
      <c r="CB58" s="208">
        <f>SUMIFS(領用表!$L:$L,領用表!$A:$A,CB$2,領用表!$E:$E,B58)</f>
        <v>22389</v>
      </c>
      <c r="CC58" s="206">
        <f>SUMIFS(領用表!$L:$L,領用表!$E:$E,$B58,領用表!$B:$B,CB$2&amp;CC$2)</f>
        <v>6900</v>
      </c>
      <c r="CD58" s="206">
        <f>SUMIFS(領用表!$L:$L,領用表!$E:$E,$B58,領用表!$B:$B,$CB$2&amp;CD$2)</f>
        <v>0</v>
      </c>
      <c r="CE58" s="206">
        <f>SUMIFS(領用表!$L:$L,領用表!$E:$E,$B58,領用表!$B:$B,$CB$2&amp;CE$2)</f>
        <v>15489</v>
      </c>
      <c r="CF58" s="206">
        <f>SUMIFS(領用表!$L:$L,領用表!$E:$E,$B58,領用表!$B:$B,$CB$2&amp;CF$2)</f>
        <v>0</v>
      </c>
      <c r="CG58" s="208">
        <f>SUMIFS(領用表!$L:$L,領用表!$A:$A,CG$2,領用表!$E:$E,B58)</f>
        <v>21229</v>
      </c>
      <c r="CH58" s="206">
        <f>SUMIFS(領用表!$L:$L,領用表!$E:$E,$B58,領用表!$B:$B,CG$2&amp;CH$2)</f>
        <v>9513</v>
      </c>
      <c r="CI58" s="206">
        <f>SUMIFS(領用表!$L:$L,領用表!$E:$E,$B58,領用表!$B:$B,CG$2&amp;CI$2)</f>
        <v>0</v>
      </c>
      <c r="CJ58" s="206">
        <f>SUMIFS(領用表!$L:$L,領用表!$E:$E,$B58,領用表!$B:$B,CG$2&amp;CJ$2)</f>
        <v>11716</v>
      </c>
      <c r="CK58" s="206">
        <f>SUMIFS(領用表!$L:$L,領用表!$E:$E,$B58,領用表!$B:$B,$CG$2&amp;CK$2)</f>
        <v>0</v>
      </c>
      <c r="CL58" s="207">
        <f t="shared" si="16"/>
        <v>122401</v>
      </c>
      <c r="CM58" s="207">
        <f t="shared" si="17"/>
        <v>13600.111111111111</v>
      </c>
      <c r="CN58" s="208">
        <f>SUMIFS(領用表!$L:$L,領用表!$A:$A,CN$2,領用表!$E:$E,B58)</f>
        <v>18908</v>
      </c>
      <c r="CO58" s="206">
        <f>SUMIFS(領用表!$L:$L,領用表!$E:$E,$B58,領用表!$B:$B,CN$2&amp;CO$2)</f>
        <v>5994</v>
      </c>
      <c r="CP58" s="206">
        <f>SUMIFS(領用表!$L:$L,領用表!$E:$E,$B58,領用表!$B:$B,$CN$2&amp;CP$2)</f>
        <v>0</v>
      </c>
      <c r="CQ58" s="206">
        <f>SUMIFS(領用表!$L:$L,領用表!$E:$E,$B58,領用表!$B:$B,$CN$2&amp;CQ$2)</f>
        <v>12914</v>
      </c>
      <c r="CR58" s="206">
        <f>SUMIFS(領用表!$L:$L,領用表!$E:$E,$B58,領用表!$B:$B,$CN$2&amp;CR$2)</f>
        <v>0</v>
      </c>
      <c r="CS58" s="208">
        <f>SUMIFS(領用表!$L:$L,領用表!$A:$A,CS$2,領用表!$E:$E,B58)</f>
        <v>20291</v>
      </c>
      <c r="CT58" s="206">
        <f>SUMIFS(領用表!$L:$L,領用表!$E:$E,$B58,領用表!$B:$B,CS$2&amp;CT$2)</f>
        <v>9541</v>
      </c>
      <c r="CU58" s="206">
        <f>SUMIFS(領用表!$L:$L,領用表!$E:$E,$B58,領用表!$B:$B,$CS$2&amp;CU$2)</f>
        <v>0</v>
      </c>
      <c r="CV58" s="206">
        <f>SUMIFS(領用表!$L:$L,領用表!$E:$E,$B58,領用表!$B:$B,$CS$2&amp;CV$2)</f>
        <v>9150</v>
      </c>
      <c r="CW58" s="206">
        <f>SUMIFS(領用表!$L:$L,領用表!$E:$E,$B58,領用表!$B:$B,$CS$2&amp;CW$2)</f>
        <v>0</v>
      </c>
      <c r="CX58" s="206">
        <f>SUMIFS(領用表!$L:$L,領用表!$E:$E,$B58,領用表!$B:$B,$CS$2&amp;CX$2)</f>
        <v>1600</v>
      </c>
      <c r="CY58" s="208">
        <f>SUMIFS(領用表!$L:$L,領用表!$A:$A,CY$2,領用表!$E:$E,B58)</f>
        <v>16407</v>
      </c>
      <c r="CZ58" s="206">
        <f>SUMIFS(領用表!$L:$L,領用表!$E:$E,$B58,領用表!$B:$B,CY$2&amp;CZ$2)</f>
        <v>7422</v>
      </c>
      <c r="DA58" s="206">
        <f>SUMIFS(領用表!$L:$L,領用表!$E:$E,$B58,領用表!$B:$B,$CY$2&amp;DA$2)</f>
        <v>0</v>
      </c>
      <c r="DB58" s="206">
        <f>SUMIFS(領用表!$L:$L,領用表!$E:$E,$B58,領用表!$B:$B,$CY$2&amp;DB$2)</f>
        <v>7404</v>
      </c>
      <c r="DC58" s="206">
        <f>SUMIFS(領用表!$L:$L,領用表!$E:$E,$B58,領用表!$B:$B,$CY$2&amp;DC$2)</f>
        <v>0</v>
      </c>
      <c r="DD58" s="206">
        <f>SUMIFS(領用表!$L:$L,領用表!$E:$E,$B58,領用表!$B:$B,$CY$2&amp;DD$2)</f>
        <v>1581</v>
      </c>
      <c r="DE58" s="208">
        <f>SUMIFS(領用表!$L:$L,領用表!$A:$A,DE$2,領用表!$E:$E,B58)</f>
        <v>17177</v>
      </c>
      <c r="DF58" s="206">
        <f>SUMIFS(領用表!$L:$L,領用表!$E:$E,$B58,領用表!$B:$B,DE$2&amp;DF$2)</f>
        <v>6487</v>
      </c>
      <c r="DG58" s="206">
        <f>SUMIFS(領用表!$L:$L,領用表!$E:$E,$B58,領用表!$B:$B,$DE$2&amp;DG$2)</f>
        <v>0</v>
      </c>
      <c r="DH58" s="206">
        <f>SUMIFS(領用表!$L:$L,領用表!$E:$E,$B58,領用表!$B:$B,$DE$2&amp;DH$2)</f>
        <v>6703</v>
      </c>
      <c r="DI58" s="206">
        <f>SUMIFS(領用表!$L:$L,領用表!$E:$E,$B58,領用表!$B:$B,$DE$2&amp;DI$2)</f>
        <v>0</v>
      </c>
      <c r="DJ58" s="206">
        <f>SUMIFS(領用表!$L:$L,領用表!$E:$E,$B58,領用表!$B:$B,$DE$2&amp;DJ$2)</f>
        <v>3987</v>
      </c>
      <c r="DK58" s="208">
        <f>SUMIFS(領用表!$L:$L,領用表!$A:$A,DK$2,領用表!$E:$E,$B58)</f>
        <v>24932</v>
      </c>
      <c r="DL58" s="206">
        <f>SUMIFS(領用表!$L:$L,領用表!$E:$E,$B58,領用表!$B:$B,DK$2&amp;DL$2)</f>
        <v>9810</v>
      </c>
      <c r="DM58" s="206">
        <f>SUMIFS(領用表!$L:$L,領用表!$E:$E,$B58,領用表!$B:$B,$DK$2&amp;DM$2)</f>
        <v>0</v>
      </c>
      <c r="DN58" s="206">
        <f>SUMIFS(領用表!$L:$L,領用表!$E:$E,$B58,領用表!$B:$B,$DK$2&amp;DN$2)</f>
        <v>12148</v>
      </c>
      <c r="DO58" s="206">
        <f>SUMIFS(領用表!$L:$L,領用表!$E:$E,$B58,領用表!$B:$B,$DK$2&amp;DO$2)</f>
        <v>0</v>
      </c>
      <c r="DP58" s="206">
        <f>SUMIFS(領用表!$L:$L,領用表!$E:$E,$B58,領用表!$B:$B,$DK$2&amp;DP$2)</f>
        <v>2974</v>
      </c>
      <c r="DQ58" s="206">
        <f t="shared" si="14"/>
        <v>97715</v>
      </c>
      <c r="DR58" s="206">
        <f t="shared" si="15"/>
        <v>19543</v>
      </c>
      <c r="DS58" s="206">
        <f t="shared" si="6"/>
        <v>18000</v>
      </c>
      <c r="DT58" s="206">
        <v>6000</v>
      </c>
      <c r="DU58" s="206">
        <v>0</v>
      </c>
      <c r="DV58" s="206">
        <v>12000</v>
      </c>
      <c r="DW58" s="206">
        <v>0</v>
      </c>
      <c r="DX58" s="215">
        <v>40000</v>
      </c>
      <c r="DY58" s="465"/>
      <c r="DZ58" s="210"/>
      <c r="EA58" s="261"/>
      <c r="EB58" s="346" t="s">
        <v>842</v>
      </c>
      <c r="EC58" s="212"/>
      <c r="ED58" s="118">
        <f>IFERROR(VLOOKUP(A58,站前4樓!A:BF,57,0),0)</f>
        <v>6900</v>
      </c>
      <c r="EE58" s="213">
        <f>IFERROR(VLOOKUP(A58,站前11樓!A:BE,57,0),0)</f>
        <v>0</v>
      </c>
      <c r="EF58" s="118">
        <f>IFERROR(VLOOKUP(A58,忠孝7樓!A:N,57,0),0)</f>
        <v>0</v>
      </c>
      <c r="EG58" s="118">
        <f>IFERROR(VLOOKUP(A58,忠孝國際醫學3樓!A:L,57,0),0)</f>
        <v>0</v>
      </c>
      <c r="EH58" s="118">
        <f t="shared" si="7"/>
        <v>6900</v>
      </c>
      <c r="EJ58" s="118">
        <v>87037</v>
      </c>
      <c r="EK58" s="118">
        <v>140488</v>
      </c>
    </row>
    <row r="59" spans="1:141" s="118" customFormat="1" ht="15.75" customHeight="1">
      <c r="A59" s="136" t="s">
        <v>100</v>
      </c>
      <c r="B59" s="118">
        <v>6170025</v>
      </c>
      <c r="C59" s="133" t="s">
        <v>494</v>
      </c>
      <c r="D59" s="207">
        <v>20099</v>
      </c>
      <c r="E59" s="198" t="s">
        <v>78</v>
      </c>
      <c r="F59" s="199">
        <f>SUMIF(站前4樓!B:B,B59,站前4樓!F:F)</f>
        <v>58776</v>
      </c>
      <c r="G59" s="199">
        <f>SUMIF(站前11樓!B:B,B59,站前11樓!F:F)</f>
        <v>0</v>
      </c>
      <c r="H59" s="199">
        <f>SUMIF(忠孝7樓!B:B,B59,忠孝7樓!G:G)</f>
        <v>56289</v>
      </c>
      <c r="I59" s="199">
        <f>SUMIF(忠孝國際醫學3樓!B:B,B59,忠孝國際醫學3樓!G:G)</f>
        <v>0</v>
      </c>
      <c r="J59" s="199">
        <f>SUMIF(忠孝健康7樓!B:B,B59,忠孝健康7樓!G:G)</f>
        <v>19754</v>
      </c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  <c r="AH59" s="200"/>
      <c r="AI59" s="200"/>
      <c r="AJ59" s="221"/>
      <c r="AK59" s="221"/>
      <c r="AL59" s="221"/>
      <c r="AM59" s="221"/>
      <c r="AN59" s="221"/>
      <c r="AO59" s="221"/>
      <c r="AP59" s="221"/>
      <c r="AQ59" s="221"/>
      <c r="AR59" s="221"/>
      <c r="AS59" s="201"/>
      <c r="AT59" s="202"/>
      <c r="AU59" s="203" t="s">
        <v>49</v>
      </c>
      <c r="AV59" s="204" t="s">
        <v>49</v>
      </c>
      <c r="AW59" s="205" t="s">
        <v>49</v>
      </c>
      <c r="AX59" s="203" t="s">
        <v>49</v>
      </c>
      <c r="AY59" s="203" t="s">
        <v>49</v>
      </c>
      <c r="AZ59" s="203" t="s">
        <v>49</v>
      </c>
      <c r="BA59" s="203">
        <v>201</v>
      </c>
      <c r="BB59" s="203">
        <v>710</v>
      </c>
      <c r="BC59" s="203">
        <f>SUMIFS(領用表!$L:$L,領用表!$A:$A,BC$2,領用表!$E:$E,B59)</f>
        <v>0</v>
      </c>
      <c r="BD59" s="206">
        <f>SUMIFS(領用表!$L:$L,領用表!$E:$E,$B59,領用表!$B:$B,BC$2&amp;BD$2)</f>
        <v>0</v>
      </c>
      <c r="BE59" s="206">
        <f>SUMIFS(領用表!$L:$L,領用表!$E:$E,$B59,領用表!$B:$B,$BC$2&amp;BE$2)</f>
        <v>0</v>
      </c>
      <c r="BF59" s="206">
        <f>SUMIFS(領用表!$L:$L,領用表!$E:$E,$B59,領用表!$B:$B,$BC$2&amp;BF$2)</f>
        <v>0</v>
      </c>
      <c r="BG59" s="206">
        <f>SUMIFS(領用表!$L:$L,領用表!$E:$E,$B59,領用表!$B:$B,$BC$2&amp;BG$2)</f>
        <v>0</v>
      </c>
      <c r="BH59" s="203">
        <f>SUMIFS(領用表!$L:$L,領用表!$A:$A,BH$2,領用表!$E:$E,B59)</f>
        <v>0</v>
      </c>
      <c r="BI59" s="260">
        <f>SUMIFS(領用表!$L:$L,領用表!$E:$E,$B59,領用表!$B:$B,BH$2&amp;BI$2)</f>
        <v>0</v>
      </c>
      <c r="BJ59" s="260">
        <f>SUMIFS(領用表!$L:$L,領用表!$E:$E,$B59,領用表!$B:$B,$BH$2&amp;BJ$2)</f>
        <v>0</v>
      </c>
      <c r="BK59" s="260">
        <f>SUMIFS(領用表!$L:$L,領用表!$E:$E,$B59,領用表!$B:$B,$BH$2&amp;BK$2)</f>
        <v>0</v>
      </c>
      <c r="BL59" s="260">
        <f>SUMIFS(領用表!$L:$L,領用表!$E:$E,$B59,領用表!$B:$B,$BH$2&amp;BL$2)</f>
        <v>0</v>
      </c>
      <c r="BM59" s="203">
        <f>SUMIFS(領用表!$L:$L,領用表!$A:$A,BM$2,領用表!$E:$E,B59)</f>
        <v>0</v>
      </c>
      <c r="BN59" s="206">
        <f>SUMIFS(領用表!$L:$L,領用表!$E:$E,$B59,領用表!$B:$B,BM$2&amp;BN$2)</f>
        <v>0</v>
      </c>
      <c r="BO59" s="206">
        <f>SUMIFS(領用表!$L:$L,領用表!$E:$E,$B59,領用表!$B:$B,$BM$2&amp;BO$2)</f>
        <v>0</v>
      </c>
      <c r="BP59" s="206">
        <f>SUMIFS(領用表!$L:$L,領用表!$E:$E,$B59,領用表!$B:$B,$BM$2&amp;BP$2)</f>
        <v>0</v>
      </c>
      <c r="BQ59" s="206">
        <f>SUMIFS(領用表!$L:$L,領用表!$E:$E,$B59,領用表!$B:$B,$BM$2&amp;BQ$2)</f>
        <v>0</v>
      </c>
      <c r="BR59" s="203">
        <f>SUMIFS(領用表!$L:$L,領用表!$A:$A,BR$2,領用表!$E:$E,B59)</f>
        <v>0</v>
      </c>
      <c r="BS59" s="206">
        <f>SUMIFS(領用表!$L:$L,領用表!$E:$E,$B59,領用表!$B:$B,BR$2&amp;BS$2)</f>
        <v>0</v>
      </c>
      <c r="BT59" s="206">
        <f>SUMIFS(領用表!$L:$L,領用表!$E:$E,$B59,領用表!$B:$B,$BR$2&amp;BT$2)</f>
        <v>0</v>
      </c>
      <c r="BU59" s="206">
        <f>SUMIFS(領用表!$L:$L,領用表!$E:$E,$B59,領用表!$B:$B,$BR$2&amp;BU$2)</f>
        <v>0</v>
      </c>
      <c r="BV59" s="206">
        <f>SUMIFS(領用表!$L:$L,領用表!$E:$E,$B59,領用表!$B:$B,$BR$2&amp;BV$2)</f>
        <v>0</v>
      </c>
      <c r="BW59" s="208">
        <f>SUMIFS(領用表!$L:$L,領用表!$A:$A,BW$2,領用表!$E:$E,B59)</f>
        <v>0</v>
      </c>
      <c r="BX59" s="206">
        <f>SUMIFS(領用表!$L:$L,領用表!$E:$E,$B59,領用表!$B:$B,BW$2&amp;BX$2)</f>
        <v>0</v>
      </c>
      <c r="BY59" s="206">
        <f>SUMIFS(領用表!$L:$L,領用表!$E:$E,$B59,領用表!$B:$B,$BW$2&amp;BY$2)</f>
        <v>0</v>
      </c>
      <c r="BZ59" s="206">
        <f>SUMIFS(領用表!$L:$L,領用表!$E:$E,$B59,領用表!$B:$B,$BW$2&amp;BZ$2)</f>
        <v>0</v>
      </c>
      <c r="CA59" s="206">
        <f>SUMIFS(領用表!$L:$L,領用表!$E:$E,$B59,領用表!$B:$B,$BW$2&amp;CA$2)</f>
        <v>0</v>
      </c>
      <c r="CB59" s="208">
        <f>SUMIFS(領用表!$L:$L,領用表!$A:$A,CB$2,領用表!$E:$E,B59)</f>
        <v>0</v>
      </c>
      <c r="CC59" s="206">
        <f>SUMIFS(領用表!$L:$L,領用表!$E:$E,$B59,領用表!$B:$B,CB$2&amp;CC$2)</f>
        <v>0</v>
      </c>
      <c r="CD59" s="206">
        <f>SUMIFS(領用表!$L:$L,領用表!$E:$E,$B59,領用表!$B:$B,$CB$2&amp;CD$2)</f>
        <v>0</v>
      </c>
      <c r="CE59" s="206">
        <f>SUMIFS(領用表!$L:$L,領用表!$E:$E,$B59,領用表!$B:$B,$CB$2&amp;CE$2)</f>
        <v>0</v>
      </c>
      <c r="CF59" s="206">
        <f>SUMIFS(領用表!$L:$L,領用表!$E:$E,$B59,領用表!$B:$B,$CB$2&amp;CF$2)</f>
        <v>0</v>
      </c>
      <c r="CG59" s="208">
        <f>SUMIFS(領用表!$L:$L,領用表!$A:$A,CG$2,領用表!$E:$E,B59)</f>
        <v>600</v>
      </c>
      <c r="CH59" s="206">
        <f>SUMIFS(領用表!$L:$L,領用表!$E:$E,$B59,領用表!$B:$B,CG$2&amp;CH$2)</f>
        <v>0</v>
      </c>
      <c r="CI59" s="206">
        <f>SUMIFS(領用表!$L:$L,領用表!$E:$E,$B59,領用表!$B:$B,CG$2&amp;CI$2)</f>
        <v>0</v>
      </c>
      <c r="CJ59" s="206">
        <f>SUMIFS(領用表!$L:$L,領用表!$E:$E,$B59,領用表!$B:$B,CG$2&amp;CJ$2)</f>
        <v>600</v>
      </c>
      <c r="CK59" s="206">
        <f>SUMIFS(領用表!$L:$L,領用表!$E:$E,$B59,領用表!$B:$B,$CG$2&amp;CK$2)</f>
        <v>0</v>
      </c>
      <c r="CL59" s="207">
        <f t="shared" si="16"/>
        <v>1511</v>
      </c>
      <c r="CM59" s="207">
        <f t="shared" si="17"/>
        <v>167.88888888888889</v>
      </c>
      <c r="CN59" s="208">
        <f>SUMIFS(領用表!$L:$L,領用表!$A:$A,CN$2,領用表!$E:$E,B59)</f>
        <v>74</v>
      </c>
      <c r="CO59" s="206">
        <f>SUMIFS(領用表!$L:$L,領用表!$E:$E,$B59,領用表!$B:$B,CN$2&amp;CO$2)</f>
        <v>74</v>
      </c>
      <c r="CP59" s="206">
        <f>SUMIFS(領用表!$L:$L,領用表!$E:$E,$B59,領用表!$B:$B,$CN$2&amp;CP$2)</f>
        <v>0</v>
      </c>
      <c r="CQ59" s="206">
        <f>SUMIFS(領用表!$L:$L,領用表!$E:$E,$B59,領用表!$B:$B,$CN$2&amp;CQ$2)</f>
        <v>0</v>
      </c>
      <c r="CR59" s="206">
        <f>SUMIFS(領用表!$L:$L,領用表!$E:$E,$B59,領用表!$B:$B,$CN$2&amp;CR$2)</f>
        <v>0</v>
      </c>
      <c r="CS59" s="208">
        <f>SUMIFS(領用表!$L:$L,領用表!$A:$A,CS$2,領用表!$E:$E,B59)</f>
        <v>137</v>
      </c>
      <c r="CT59" s="206">
        <f>SUMIFS(領用表!$L:$L,領用表!$E:$E,$B59,領用表!$B:$B,CS$2&amp;CT$2)</f>
        <v>0</v>
      </c>
      <c r="CU59" s="206">
        <f>SUMIFS(領用表!$L:$L,領用表!$E:$E,$B59,領用表!$B:$B,$CS$2&amp;CU$2)</f>
        <v>0</v>
      </c>
      <c r="CV59" s="206">
        <f>SUMIFS(領用表!$L:$L,領用表!$E:$E,$B59,領用表!$B:$B,$CS$2&amp;CV$2)</f>
        <v>137</v>
      </c>
      <c r="CW59" s="206">
        <f>SUMIFS(領用表!$L:$L,領用表!$E:$E,$B59,領用表!$B:$B,$CS$2&amp;CW$2)</f>
        <v>0</v>
      </c>
      <c r="CX59" s="206">
        <f>SUMIFS(領用表!$L:$L,領用表!$E:$E,$B59,領用表!$B:$B,$CS$2&amp;CX$2)</f>
        <v>0</v>
      </c>
      <c r="CY59" s="208">
        <f>SUMIFS(領用表!$L:$L,領用表!$A:$A,CY$2,領用表!$E:$E,B59)</f>
        <v>0</v>
      </c>
      <c r="CZ59" s="206">
        <f>SUMIFS(領用表!$L:$L,領用表!$E:$E,$B59,領用表!$B:$B,CY$2&amp;CZ$2)</f>
        <v>0</v>
      </c>
      <c r="DA59" s="206">
        <f>SUMIFS(領用表!$L:$L,領用表!$E:$E,$B59,領用表!$B:$B,$CY$2&amp;DA$2)</f>
        <v>0</v>
      </c>
      <c r="DB59" s="206">
        <f>SUMIFS(領用表!$L:$L,領用表!$E:$E,$B59,領用表!$B:$B,$CY$2&amp;DB$2)</f>
        <v>0</v>
      </c>
      <c r="DC59" s="206">
        <f>SUMIFS(領用表!$L:$L,領用表!$E:$E,$B59,領用表!$B:$B,$CY$2&amp;DC$2)</f>
        <v>0</v>
      </c>
      <c r="DD59" s="206">
        <f>SUMIFS(領用表!$L:$L,領用表!$E:$E,$B59,領用表!$B:$B,$CY$2&amp;DD$2)</f>
        <v>0</v>
      </c>
      <c r="DE59" s="208">
        <f>SUMIFS(領用表!$L:$L,領用表!$A:$A,DE$2,領用表!$E:$E,B59)</f>
        <v>0</v>
      </c>
      <c r="DF59" s="206">
        <f>SUMIFS(領用表!$L:$L,領用表!$E:$E,$B59,領用表!$B:$B,DE$2&amp;DF$2)</f>
        <v>0</v>
      </c>
      <c r="DG59" s="206">
        <f>SUMIFS(領用表!$L:$L,領用表!$E:$E,$B59,領用表!$B:$B,$DE$2&amp;DG$2)</f>
        <v>0</v>
      </c>
      <c r="DH59" s="206">
        <f>SUMIFS(領用表!$L:$L,領用表!$E:$E,$B59,領用表!$B:$B,$DE$2&amp;DH$2)</f>
        <v>0</v>
      </c>
      <c r="DI59" s="206">
        <f>SUMIFS(領用表!$L:$L,領用表!$E:$E,$B59,領用表!$B:$B,$DE$2&amp;DI$2)</f>
        <v>0</v>
      </c>
      <c r="DJ59" s="206">
        <f>SUMIFS(領用表!$L:$L,領用表!$E:$E,$B59,領用表!$B:$B,$DE$2&amp;DJ$2)</f>
        <v>0</v>
      </c>
      <c r="DK59" s="208">
        <f>SUMIFS(領用表!$L:$L,領用表!$A:$A,DK$2,領用表!$E:$E,$B59)</f>
        <v>3983</v>
      </c>
      <c r="DL59" s="206">
        <f>SUMIFS(領用表!$L:$L,領用表!$E:$E,$B59,領用表!$B:$B,DK$2&amp;DL$2)</f>
        <v>294</v>
      </c>
      <c r="DM59" s="206">
        <f>SUMIFS(領用表!$L:$L,領用表!$E:$E,$B59,領用表!$B:$B,$DK$2&amp;DM$2)</f>
        <v>0</v>
      </c>
      <c r="DN59" s="206">
        <f>SUMIFS(領用表!$L:$L,領用表!$E:$E,$B59,領用表!$B:$B,$DK$2&amp;DN$2)</f>
        <v>3447</v>
      </c>
      <c r="DO59" s="206">
        <f>SUMIFS(領用表!$L:$L,領用表!$E:$E,$B59,領用表!$B:$B,$DK$2&amp;DO$2)</f>
        <v>0</v>
      </c>
      <c r="DP59" s="206">
        <f>SUMIFS(領用表!$L:$L,領用表!$E:$E,$B59,領用表!$B:$B,$DK$2&amp;DP$2)</f>
        <v>242</v>
      </c>
      <c r="DQ59" s="206">
        <f t="shared" si="14"/>
        <v>4194</v>
      </c>
      <c r="DR59" s="206">
        <f t="shared" si="15"/>
        <v>838.8</v>
      </c>
      <c r="DS59" s="206">
        <f t="shared" si="6"/>
        <v>0</v>
      </c>
      <c r="DT59" s="206">
        <v>0</v>
      </c>
      <c r="DU59" s="206">
        <v>0</v>
      </c>
      <c r="DV59" s="206">
        <v>0</v>
      </c>
      <c r="DW59" s="206">
        <v>0</v>
      </c>
      <c r="DX59" s="215">
        <v>40000</v>
      </c>
      <c r="DY59" s="466"/>
      <c r="DZ59" s="210"/>
      <c r="EA59" s="262"/>
      <c r="EB59" s="346" t="s">
        <v>842</v>
      </c>
      <c r="EC59" s="212"/>
      <c r="ED59" s="118">
        <f>IFERROR(VLOOKUP(A59,站前4樓!A:BF,57,0),0)</f>
        <v>0</v>
      </c>
      <c r="EE59" s="213">
        <f>IFERROR(VLOOKUP(A59,站前11樓!A:BE,57,0),0)</f>
        <v>0</v>
      </c>
      <c r="EF59" s="118">
        <f>IFERROR(VLOOKUP(A59,忠孝7樓!A:N,57,0),0)</f>
        <v>0</v>
      </c>
      <c r="EG59" s="118">
        <f>IFERROR(VLOOKUP(A59,忠孝國際醫學3樓!A:L,57,0),0)</f>
        <v>0</v>
      </c>
      <c r="EH59" s="118">
        <f t="shared" si="7"/>
        <v>0</v>
      </c>
      <c r="EJ59" s="118">
        <v>79164</v>
      </c>
      <c r="EK59" s="118">
        <v>59687</v>
      </c>
    </row>
    <row r="60" spans="1:141" s="118" customFormat="1" ht="15.75" customHeight="1">
      <c r="A60" s="136" t="s">
        <v>107</v>
      </c>
      <c r="B60" s="118">
        <v>6170016</v>
      </c>
      <c r="C60" s="133" t="s">
        <v>495</v>
      </c>
      <c r="D60" s="207">
        <v>2000</v>
      </c>
      <c r="E60" s="198" t="s">
        <v>78</v>
      </c>
      <c r="F60" s="199">
        <f>SUMIF(站前4樓!B:B,B60,站前4樓!F:F)</f>
        <v>0</v>
      </c>
      <c r="G60" s="199">
        <f>SUMIF(站前11樓!B:B,B60,站前11樓!F:F)</f>
        <v>0</v>
      </c>
      <c r="H60" s="199">
        <f>SUMIF(忠孝7樓!B:B,B60,忠孝7樓!G:G)</f>
        <v>0</v>
      </c>
      <c r="I60" s="199">
        <f>SUMIF(忠孝國際醫學3樓!B:B,B60,忠孝國際醫學3樓!G:G)</f>
        <v>0</v>
      </c>
      <c r="J60" s="199">
        <f>SUMIF(忠孝健康7樓!B:B,B60,忠孝健康7樓!G:G)</f>
        <v>0</v>
      </c>
      <c r="K60" s="200">
        <v>0</v>
      </c>
      <c r="L60" s="200">
        <v>0.28000000000000003</v>
      </c>
      <c r="M60" s="200">
        <v>0.99</v>
      </c>
      <c r="N60" s="200">
        <v>1.97</v>
      </c>
      <c r="O60" s="200">
        <v>1.55</v>
      </c>
      <c r="P60" s="200">
        <v>2.4300000000000002</v>
      </c>
      <c r="Q60" s="200">
        <v>2.17</v>
      </c>
      <c r="R60" s="200">
        <v>0.7</v>
      </c>
      <c r="S60" s="200">
        <v>0.56000000000000005</v>
      </c>
      <c r="T60" s="200">
        <v>0.15</v>
      </c>
      <c r="U60" s="200">
        <v>0.48</v>
      </c>
      <c r="V60" s="200">
        <v>0.85</v>
      </c>
      <c r="W60" s="200">
        <v>0.77</v>
      </c>
      <c r="X60" s="200">
        <v>0.39</v>
      </c>
      <c r="Y60" s="200">
        <v>0.35</v>
      </c>
      <c r="Z60" s="200">
        <v>0.2</v>
      </c>
      <c r="AA60" s="200">
        <v>0</v>
      </c>
      <c r="AB60" s="200">
        <v>0.28000000000000003</v>
      </c>
      <c r="AC60" s="200">
        <v>0.28000000000000003</v>
      </c>
      <c r="AD60" s="200">
        <v>0.15</v>
      </c>
      <c r="AE60" s="200">
        <v>0</v>
      </c>
      <c r="AF60" s="200">
        <v>0.11</v>
      </c>
      <c r="AG60" s="200">
        <v>0</v>
      </c>
      <c r="AH60" s="200">
        <v>0</v>
      </c>
      <c r="AI60" s="200">
        <v>0.3</v>
      </c>
      <c r="AJ60" s="221">
        <v>0.1</v>
      </c>
      <c r="AK60" s="221">
        <v>0.1</v>
      </c>
      <c r="AL60" s="221">
        <v>0</v>
      </c>
      <c r="AM60" s="221">
        <v>0</v>
      </c>
      <c r="AN60" s="221">
        <v>0</v>
      </c>
      <c r="AO60" s="221">
        <v>0</v>
      </c>
      <c r="AP60" s="221">
        <v>0</v>
      </c>
      <c r="AQ60" s="221">
        <v>0</v>
      </c>
      <c r="AR60" s="221">
        <v>0</v>
      </c>
      <c r="AS60" s="201">
        <v>0</v>
      </c>
      <c r="AT60" s="202">
        <v>0</v>
      </c>
      <c r="AU60" s="203">
        <v>0</v>
      </c>
      <c r="AV60" s="204">
        <f>SUM(AJ60:AU60)</f>
        <v>0.2</v>
      </c>
      <c r="AW60" s="205">
        <f>AV60/12</f>
        <v>1.6666666666666666E-2</v>
      </c>
      <c r="AX60" s="203" t="s">
        <v>49</v>
      </c>
      <c r="AY60" s="203">
        <v>0</v>
      </c>
      <c r="AZ60" s="203">
        <v>0</v>
      </c>
      <c r="BA60" s="203">
        <v>0</v>
      </c>
      <c r="BB60" s="203">
        <v>278</v>
      </c>
      <c r="BC60" s="203">
        <f>SUMIFS(領用表!$L:$L,領用表!$A:$A,BC$2,領用表!$E:$E,B60)</f>
        <v>0</v>
      </c>
      <c r="BD60" s="206">
        <f>SUMIFS(領用表!$L:$L,領用表!$E:$E,$B60,領用表!$B:$B,BC$2&amp;BD$2)</f>
        <v>0</v>
      </c>
      <c r="BE60" s="206">
        <f>SUMIFS(領用表!$L:$L,領用表!$E:$E,$B60,領用表!$B:$B,$BC$2&amp;BE$2)</f>
        <v>0</v>
      </c>
      <c r="BF60" s="206">
        <f>SUMIFS(領用表!$L:$L,領用表!$E:$E,$B60,領用表!$B:$B,$BC$2&amp;BF$2)</f>
        <v>0</v>
      </c>
      <c r="BG60" s="206">
        <f>SUMIFS(領用表!$L:$L,領用表!$E:$E,$B60,領用表!$B:$B,$BC$2&amp;BG$2)</f>
        <v>0</v>
      </c>
      <c r="BH60" s="203">
        <f>SUMIFS(領用表!$L:$L,領用表!$A:$A,BH$2,領用表!$E:$E,B60)</f>
        <v>0</v>
      </c>
      <c r="BI60" s="260">
        <f>SUMIFS(領用表!$L:$L,領用表!$E:$E,$B60,領用表!$B:$B,BH$2&amp;BI$2)</f>
        <v>0</v>
      </c>
      <c r="BJ60" s="260">
        <f>SUMIFS(領用表!$L:$L,領用表!$E:$E,$B60,領用表!$B:$B,$BH$2&amp;BJ$2)</f>
        <v>0</v>
      </c>
      <c r="BK60" s="260">
        <f>SUMIFS(領用表!$L:$L,領用表!$E:$E,$B60,領用表!$B:$B,$BH$2&amp;BK$2)</f>
        <v>0</v>
      </c>
      <c r="BL60" s="260">
        <f>SUMIFS(領用表!$L:$L,領用表!$E:$E,$B60,領用表!$B:$B,$BH$2&amp;BL$2)</f>
        <v>0</v>
      </c>
      <c r="BM60" s="203">
        <f>SUMIFS(領用表!$L:$L,領用表!$A:$A,BM$2,領用表!$E:$E,B60)</f>
        <v>0</v>
      </c>
      <c r="BN60" s="206">
        <f>SUMIFS(領用表!$L:$L,領用表!$E:$E,$B60,領用表!$B:$B,BM$2&amp;BN$2)</f>
        <v>0</v>
      </c>
      <c r="BO60" s="206">
        <f>SUMIFS(領用表!$L:$L,領用表!$E:$E,$B60,領用表!$B:$B,$BM$2&amp;BO$2)</f>
        <v>0</v>
      </c>
      <c r="BP60" s="206">
        <f>SUMIFS(領用表!$L:$L,領用表!$E:$E,$B60,領用表!$B:$B,$BM$2&amp;BP$2)</f>
        <v>0</v>
      </c>
      <c r="BQ60" s="206">
        <f>SUMIFS(領用表!$L:$L,領用表!$E:$E,$B60,領用表!$B:$B,$BM$2&amp;BQ$2)</f>
        <v>0</v>
      </c>
      <c r="BR60" s="203">
        <f>SUMIFS(領用表!$L:$L,領用表!$A:$A,BR$2,領用表!$E:$E,B60)</f>
        <v>0</v>
      </c>
      <c r="BS60" s="206">
        <f>SUMIFS(領用表!$L:$L,領用表!$E:$E,$B60,領用表!$B:$B,BR$2&amp;BS$2)</f>
        <v>0</v>
      </c>
      <c r="BT60" s="206">
        <f>SUMIFS(領用表!$L:$L,領用表!$E:$E,$B60,領用表!$B:$B,$BR$2&amp;BT$2)</f>
        <v>0</v>
      </c>
      <c r="BU60" s="206">
        <f>SUMIFS(領用表!$L:$L,領用表!$E:$E,$B60,領用表!$B:$B,$BR$2&amp;BU$2)</f>
        <v>0</v>
      </c>
      <c r="BV60" s="206">
        <f>SUMIFS(領用表!$L:$L,領用表!$E:$E,$B60,領用表!$B:$B,$BR$2&amp;BV$2)</f>
        <v>0</v>
      </c>
      <c r="BW60" s="208">
        <f>SUMIFS(領用表!$L:$L,領用表!$A:$A,BW$2,領用表!$E:$E,B60)</f>
        <v>0</v>
      </c>
      <c r="BX60" s="206">
        <f>SUMIFS(領用表!$L:$L,領用表!$E:$E,$B60,領用表!$B:$B,BW$2&amp;BX$2)</f>
        <v>0</v>
      </c>
      <c r="BY60" s="206">
        <f>SUMIFS(領用表!$L:$L,領用表!$E:$E,$B60,領用表!$B:$B,$BW$2&amp;BY$2)</f>
        <v>0</v>
      </c>
      <c r="BZ60" s="206">
        <f>SUMIFS(領用表!$L:$L,領用表!$E:$E,$B60,領用表!$B:$B,$BW$2&amp;BZ$2)</f>
        <v>0</v>
      </c>
      <c r="CA60" s="206">
        <f>SUMIFS(領用表!$L:$L,領用表!$E:$E,$B60,領用表!$B:$B,$BW$2&amp;CA$2)</f>
        <v>0</v>
      </c>
      <c r="CB60" s="208">
        <f>SUMIFS(領用表!$L:$L,領用表!$A:$A,CB$2,領用表!$E:$E,B60)</f>
        <v>100</v>
      </c>
      <c r="CC60" s="206">
        <f>SUMIFS(領用表!$L:$L,領用表!$E:$E,$B60,領用表!$B:$B,CB$2&amp;CC$2)</f>
        <v>100</v>
      </c>
      <c r="CD60" s="206">
        <f>SUMIFS(領用表!$L:$L,領用表!$E:$E,$B60,領用表!$B:$B,$CB$2&amp;CD$2)</f>
        <v>0</v>
      </c>
      <c r="CE60" s="206">
        <f>SUMIFS(領用表!$L:$L,領用表!$E:$E,$B60,領用表!$B:$B,$CB$2&amp;CE$2)</f>
        <v>0</v>
      </c>
      <c r="CF60" s="206">
        <f>SUMIFS(領用表!$L:$L,領用表!$E:$E,$B60,領用表!$B:$B,$CB$2&amp;CF$2)</f>
        <v>0</v>
      </c>
      <c r="CG60" s="208">
        <f>SUMIFS(領用表!$L:$L,領用表!$A:$A,CG$2,領用表!$E:$E,B60)</f>
        <v>0</v>
      </c>
      <c r="CH60" s="206">
        <f>SUMIFS(領用表!$L:$L,領用表!$E:$E,$B60,領用表!$B:$B,CG$2&amp;CH$2)</f>
        <v>0</v>
      </c>
      <c r="CI60" s="206">
        <f>SUMIFS(領用表!$L:$L,領用表!$E:$E,$B60,領用表!$B:$B,CG$2&amp;CI$2)</f>
        <v>0</v>
      </c>
      <c r="CJ60" s="206">
        <f>SUMIFS(領用表!$L:$L,領用表!$E:$E,$B60,領用表!$B:$B,CG$2&amp;CJ$2)</f>
        <v>0</v>
      </c>
      <c r="CK60" s="206">
        <f>SUMIFS(領用表!$L:$L,領用表!$E:$E,$B60,領用表!$B:$B,$CG$2&amp;CK$2)</f>
        <v>0</v>
      </c>
      <c r="CL60" s="207">
        <f>SUM(AX60,AY60,AZ60,BA60,BB60,BC60,BH60,BM60,BR60,BW60,CB60,CG60)</f>
        <v>378</v>
      </c>
      <c r="CM60" s="207">
        <f>AVERAGE(AX60,AY60,AZ60,BA60,BB60,BC60,BH60,BM60,BR60,BW60,CB60,CG60)</f>
        <v>34.363636363636367</v>
      </c>
      <c r="CN60" s="208">
        <f>SUMIFS(領用表!$L:$L,領用表!$A:$A,CN$2,領用表!$E:$E,B60)</f>
        <v>0</v>
      </c>
      <c r="CO60" s="206">
        <f>SUMIFS(領用表!$L:$L,領用表!$E:$E,$B60,領用表!$B:$B,CN$2&amp;CO$2)</f>
        <v>0</v>
      </c>
      <c r="CP60" s="206">
        <f>SUMIFS(領用表!$L:$L,領用表!$E:$E,$B60,領用表!$B:$B,$CN$2&amp;CP$2)</f>
        <v>0</v>
      </c>
      <c r="CQ60" s="206">
        <f>SUMIFS(領用表!$L:$L,領用表!$E:$E,$B60,領用表!$B:$B,$CN$2&amp;CQ$2)</f>
        <v>0</v>
      </c>
      <c r="CR60" s="206">
        <f>SUMIFS(領用表!$L:$L,領用表!$E:$E,$B60,領用表!$B:$B,$CN$2&amp;CR$2)</f>
        <v>0</v>
      </c>
      <c r="CS60" s="208">
        <f>SUMIFS(領用表!$L:$L,領用表!$A:$A,CS$2,領用表!$E:$E,B60)</f>
        <v>0</v>
      </c>
      <c r="CT60" s="206">
        <f>SUMIFS(領用表!$L:$L,領用表!$E:$E,$B60,領用表!$B:$B,CS$2&amp;CT$2)</f>
        <v>0</v>
      </c>
      <c r="CU60" s="206">
        <f>SUMIFS(領用表!$L:$L,領用表!$E:$E,$B60,領用表!$B:$B,$CS$2&amp;CU$2)</f>
        <v>0</v>
      </c>
      <c r="CV60" s="206">
        <f>SUMIFS(領用表!$L:$L,領用表!$E:$E,$B60,領用表!$B:$B,$CS$2&amp;CV$2)</f>
        <v>0</v>
      </c>
      <c r="CW60" s="206">
        <f>SUMIFS(領用表!$L:$L,領用表!$E:$E,$B60,領用表!$B:$B,$CS$2&amp;CW$2)</f>
        <v>0</v>
      </c>
      <c r="CX60" s="206">
        <f>SUMIFS(領用表!$L:$L,領用表!$E:$E,$B60,領用表!$B:$B,$CS$2&amp;CX$2)</f>
        <v>0</v>
      </c>
      <c r="CY60" s="208">
        <f>SUMIFS(領用表!$L:$L,領用表!$A:$A,CY$2,領用表!$E:$E,B60)</f>
        <v>0</v>
      </c>
      <c r="CZ60" s="206">
        <f>SUMIFS(領用表!$L:$L,領用表!$E:$E,$B60,領用表!$B:$B,CY$2&amp;CZ$2)</f>
        <v>0</v>
      </c>
      <c r="DA60" s="206">
        <f>SUMIFS(領用表!$L:$L,領用表!$E:$E,$B60,領用表!$B:$B,$CY$2&amp;DA$2)</f>
        <v>0</v>
      </c>
      <c r="DB60" s="206">
        <f>SUMIFS(領用表!$L:$L,領用表!$E:$E,$B60,領用表!$B:$B,$CY$2&amp;DB$2)</f>
        <v>0</v>
      </c>
      <c r="DC60" s="206">
        <f>SUMIFS(領用表!$L:$L,領用表!$E:$E,$B60,領用表!$B:$B,$CY$2&amp;DC$2)</f>
        <v>0</v>
      </c>
      <c r="DD60" s="206">
        <f>SUMIFS(領用表!$L:$L,領用表!$E:$E,$B60,領用表!$B:$B,$CY$2&amp;DD$2)</f>
        <v>0</v>
      </c>
      <c r="DE60" s="208">
        <f>SUMIFS(領用表!$L:$L,領用表!$A:$A,DE$2,領用表!$E:$E,B60)</f>
        <v>0</v>
      </c>
      <c r="DF60" s="206">
        <f>SUMIFS(領用表!$L:$L,領用表!$E:$E,$B60,領用表!$B:$B,DE$2&amp;DF$2)</f>
        <v>0</v>
      </c>
      <c r="DG60" s="206">
        <f>SUMIFS(領用表!$L:$L,領用表!$E:$E,$B60,領用表!$B:$B,$DE$2&amp;DG$2)</f>
        <v>0</v>
      </c>
      <c r="DH60" s="206">
        <f>SUMIFS(領用表!$L:$L,領用表!$E:$E,$B60,領用表!$B:$B,$DE$2&amp;DH$2)</f>
        <v>0</v>
      </c>
      <c r="DI60" s="206">
        <f>SUMIFS(領用表!$L:$L,領用表!$E:$E,$B60,領用表!$B:$B,$DE$2&amp;DI$2)</f>
        <v>0</v>
      </c>
      <c r="DJ60" s="206">
        <f>SUMIFS(領用表!$L:$L,領用表!$E:$E,$B60,領用表!$B:$B,$DE$2&amp;DJ$2)</f>
        <v>0</v>
      </c>
      <c r="DK60" s="208">
        <f>SUMIFS(領用表!$L:$L,領用表!$A:$A,DK$2,領用表!$E:$E,$B60)</f>
        <v>0</v>
      </c>
      <c r="DL60" s="206">
        <f>SUMIFS(領用表!$L:$L,領用表!$E:$E,$B60,領用表!$B:$B,DK$2&amp;DL$2)</f>
        <v>0</v>
      </c>
      <c r="DM60" s="206">
        <f>SUMIFS(領用表!$L:$L,領用表!$E:$E,$B60,領用表!$B:$B,$DK$2&amp;DM$2)</f>
        <v>0</v>
      </c>
      <c r="DN60" s="206">
        <f>SUMIFS(領用表!$L:$L,領用表!$E:$E,$B60,領用表!$B:$B,$DK$2&amp;DN$2)</f>
        <v>0</v>
      </c>
      <c r="DO60" s="206">
        <f>SUMIFS(領用表!$L:$L,領用表!$E:$E,$B60,領用表!$B:$B,$DK$2&amp;DO$2)</f>
        <v>0</v>
      </c>
      <c r="DP60" s="206">
        <f>SUMIFS(領用表!$L:$L,領用表!$E:$E,$B60,領用表!$B:$B,$DK$2&amp;DP$2)</f>
        <v>0</v>
      </c>
      <c r="DQ60" s="206">
        <f t="shared" si="14"/>
        <v>0</v>
      </c>
      <c r="DR60" s="206">
        <f t="shared" si="15"/>
        <v>0</v>
      </c>
      <c r="DS60" s="206">
        <f t="shared" si="6"/>
        <v>0</v>
      </c>
      <c r="DT60" s="206">
        <v>0</v>
      </c>
      <c r="DU60" s="206">
        <v>0</v>
      </c>
      <c r="DV60" s="206">
        <v>0</v>
      </c>
      <c r="DW60" s="206">
        <v>0</v>
      </c>
      <c r="DX60" s="215">
        <v>0</v>
      </c>
      <c r="DY60" s="210"/>
      <c r="DZ60" s="210"/>
      <c r="EA60" s="210"/>
      <c r="EB60" s="263"/>
      <c r="EC60" s="212"/>
      <c r="ED60" s="118">
        <f>IFERROR(VLOOKUP(A60,站前4樓!A:BF,57,0),0)</f>
        <v>100</v>
      </c>
      <c r="EE60" s="213">
        <f>IFERROR(VLOOKUP(A60,站前11樓!A:BE,57,0),0)</f>
        <v>0</v>
      </c>
      <c r="EF60" s="118">
        <f>IFERROR(VLOOKUP(A60,忠孝7樓!A:N,57,0),0)</f>
        <v>0</v>
      </c>
      <c r="EG60" s="118">
        <f>IFERROR(VLOOKUP(A60,忠孝國際醫學3樓!A:L,57,0),0)</f>
        <v>0</v>
      </c>
      <c r="EH60" s="118">
        <f>SUM(ED60:EG60)</f>
        <v>100</v>
      </c>
      <c r="EJ60" s="118">
        <v>3613</v>
      </c>
      <c r="EK60" s="118">
        <v>0</v>
      </c>
    </row>
    <row r="61" spans="1:141" s="118" customFormat="1" ht="15.75" customHeight="1">
      <c r="A61" s="264" t="s">
        <v>108</v>
      </c>
      <c r="B61" s="265"/>
      <c r="C61" s="187" t="s">
        <v>496</v>
      </c>
      <c r="D61" s="266">
        <v>150000</v>
      </c>
      <c r="E61" s="267" t="s">
        <v>78</v>
      </c>
      <c r="F61" s="268">
        <f>SUMIF(站前4樓!B:B,B61,站前4樓!F:F)</f>
        <v>0</v>
      </c>
      <c r="G61" s="268">
        <f>SUMIF(站前11樓!B:B,B61,站前11樓!F:F)</f>
        <v>0</v>
      </c>
      <c r="H61" s="268">
        <f>SUMIF(忠孝7樓!B:B,B61,忠孝7樓!G:G)</f>
        <v>0</v>
      </c>
      <c r="I61" s="268">
        <f>SUMIF(忠孝國際醫學3樓!B:B,B61,忠孝國際醫學3樓!G:G)</f>
        <v>0</v>
      </c>
      <c r="J61" s="268">
        <f>SUMIF(忠孝健康7樓!B:B,B61,忠孝健康7樓!G:G)</f>
        <v>0</v>
      </c>
      <c r="K61" s="269">
        <v>0</v>
      </c>
      <c r="L61" s="269">
        <v>0.05</v>
      </c>
      <c r="M61" s="269">
        <v>0.01</v>
      </c>
      <c r="N61" s="269">
        <v>0.02</v>
      </c>
      <c r="O61" s="269">
        <v>0</v>
      </c>
      <c r="P61" s="269">
        <v>0.02</v>
      </c>
      <c r="Q61" s="269">
        <v>0.02</v>
      </c>
      <c r="R61" s="269">
        <v>0.04</v>
      </c>
      <c r="S61" s="269">
        <v>0</v>
      </c>
      <c r="T61" s="269">
        <v>0.01</v>
      </c>
      <c r="U61" s="269">
        <v>0.03</v>
      </c>
      <c r="V61" s="269">
        <v>0.02</v>
      </c>
      <c r="W61" s="269">
        <v>0.02</v>
      </c>
      <c r="X61" s="269">
        <v>0.02</v>
      </c>
      <c r="Y61" s="269">
        <v>0</v>
      </c>
      <c r="Z61" s="269">
        <v>0.01</v>
      </c>
      <c r="AA61" s="269">
        <v>0</v>
      </c>
      <c r="AB61" s="269">
        <v>0.01</v>
      </c>
      <c r="AC61" s="269">
        <v>0</v>
      </c>
      <c r="AD61" s="269">
        <v>0</v>
      </c>
      <c r="AE61" s="269">
        <v>0.01</v>
      </c>
      <c r="AF61" s="269">
        <v>0.02</v>
      </c>
      <c r="AG61" s="269">
        <v>0.21</v>
      </c>
      <c r="AH61" s="269">
        <v>0.24</v>
      </c>
      <c r="AI61" s="269">
        <v>0.32</v>
      </c>
      <c r="AJ61" s="270">
        <v>0.94359000000000004</v>
      </c>
      <c r="AK61" s="270">
        <v>0.57643</v>
      </c>
      <c r="AL61" s="270">
        <v>0.55047000000000001</v>
      </c>
      <c r="AM61" s="270">
        <v>0.33072000000000001</v>
      </c>
      <c r="AN61" s="270">
        <v>0.31357000000000002</v>
      </c>
      <c r="AO61" s="270">
        <v>0.13586000000000001</v>
      </c>
      <c r="AP61" s="270">
        <v>0.19914999999999999</v>
      </c>
      <c r="AQ61" s="270">
        <v>0.67237999999999998</v>
      </c>
      <c r="AR61" s="270">
        <v>0.57685333299999997</v>
      </c>
      <c r="AS61" s="271">
        <v>1.7</v>
      </c>
      <c r="AT61" s="272">
        <v>2.3464399999999999</v>
      </c>
      <c r="AU61" s="273">
        <f>305068/D61</f>
        <v>2.0337866666666669</v>
      </c>
      <c r="AV61" s="266">
        <f>SUM(AJ61:AU61)</f>
        <v>10.379249999666666</v>
      </c>
      <c r="AW61" s="274">
        <f>AV61/12</f>
        <v>0.86493749997222213</v>
      </c>
      <c r="AX61" s="275">
        <v>495000</v>
      </c>
      <c r="AY61" s="275">
        <v>229276</v>
      </c>
      <c r="AZ61" s="275">
        <v>351487</v>
      </c>
      <c r="BA61" s="275">
        <v>315069</v>
      </c>
      <c r="BB61" s="275">
        <v>221559</v>
      </c>
      <c r="BC61" s="275">
        <f>SUMIFS(領用表!$L:$L,領用表!$A:$A,BC$2,領用表!$E:$E,B61)</f>
        <v>0</v>
      </c>
      <c r="BD61" s="276">
        <f>SUMIFS(領用表!$L:$L,領用表!$E:$E,$B61,領用表!$B:$B,BC$2&amp;BD$2)</f>
        <v>0</v>
      </c>
      <c r="BE61" s="276">
        <f>SUMIFS(領用表!$L:$L,領用表!$E:$E,$B61,領用表!$B:$B,$BC$2&amp;BE$2)</f>
        <v>0</v>
      </c>
      <c r="BF61" s="276">
        <f>SUMIFS(領用表!$L:$L,領用表!$E:$E,$B61,領用表!$B:$B,$BC$2&amp;BF$2)</f>
        <v>0</v>
      </c>
      <c r="BG61" s="276">
        <f>SUMIFS(領用表!$L:$L,領用表!$E:$E,$B61,領用表!$B:$B,$BC$2&amp;BG$2)</f>
        <v>0</v>
      </c>
      <c r="BH61" s="275">
        <f>SUMIFS(領用表!$L:$L,領用表!$A:$A,BH$2,領用表!$E:$E,B61)</f>
        <v>0</v>
      </c>
      <c r="BI61" s="277">
        <f>SUMIFS(領用表!$L:$L,領用表!$E:$E,$B61,領用表!$B:$B,BH$2&amp;BI$2)</f>
        <v>0</v>
      </c>
      <c r="BJ61" s="277">
        <f>SUMIFS(領用表!$L:$L,領用表!$E:$E,$B61,領用表!$B:$B,$BH$2&amp;BJ$2)</f>
        <v>0</v>
      </c>
      <c r="BK61" s="277">
        <f>SUMIFS(領用表!$L:$L,領用表!$E:$E,$B61,領用表!$B:$B,$BH$2&amp;BK$2)</f>
        <v>0</v>
      </c>
      <c r="BL61" s="277">
        <f>SUMIFS(領用表!$L:$L,領用表!$E:$E,$B61,領用表!$B:$B,$BH$2&amp;BL$2)</f>
        <v>0</v>
      </c>
      <c r="BM61" s="275">
        <f>SUMIFS(領用表!$L:$L,領用表!$A:$A,BM$2,領用表!$E:$E,B61)</f>
        <v>0</v>
      </c>
      <c r="BN61" s="276">
        <f>SUMIFS(領用表!$L:$L,領用表!$E:$E,$B61,領用表!$B:$B,BM$2&amp;BN$2)</f>
        <v>0</v>
      </c>
      <c r="BO61" s="276">
        <f>SUMIFS(領用表!$L:$L,領用表!$E:$E,$B61,領用表!$B:$B,$BM$2&amp;BO$2)</f>
        <v>0</v>
      </c>
      <c r="BP61" s="276">
        <f>SUMIFS(領用表!$L:$L,領用表!$E:$E,$B61,領用表!$B:$B,$BM$2&amp;BP$2)</f>
        <v>0</v>
      </c>
      <c r="BQ61" s="276">
        <f>SUMIFS(領用表!$L:$L,領用表!$E:$E,$B61,領用表!$B:$B,$BM$2&amp;BQ$2)</f>
        <v>0</v>
      </c>
      <c r="BR61" s="275">
        <f>SUMIFS(領用表!$L:$L,領用表!$A:$A,BR$2,領用表!$E:$E,B61)</f>
        <v>0</v>
      </c>
      <c r="BS61" s="276">
        <f>SUMIFS(領用表!$L:$L,領用表!$E:$E,$B61,領用表!$B:$B,BR$2&amp;BS$2)</f>
        <v>0</v>
      </c>
      <c r="BT61" s="276">
        <f>SUMIFS(領用表!$L:$L,領用表!$E:$E,$B61,領用表!$B:$B,$BR$2&amp;BT$2)</f>
        <v>0</v>
      </c>
      <c r="BU61" s="276">
        <f>SUMIFS(領用表!$L:$L,領用表!$E:$E,$B61,領用表!$B:$B,$BR$2&amp;BU$2)</f>
        <v>0</v>
      </c>
      <c r="BV61" s="276">
        <f>SUMIFS(領用表!$L:$L,領用表!$E:$E,$B61,領用表!$B:$B,$BR$2&amp;BV$2)</f>
        <v>0</v>
      </c>
      <c r="BW61" s="278">
        <f>SUMIFS(領用表!$L:$L,領用表!$A:$A,BW$2,領用表!$E:$E,B61)</f>
        <v>0</v>
      </c>
      <c r="BX61" s="276">
        <f>SUMIFS(領用表!$L:$L,領用表!$E:$E,$B61,領用表!$B:$B,BW$2&amp;BX$2)</f>
        <v>0</v>
      </c>
      <c r="BY61" s="276">
        <f>SUMIFS(領用表!$L:$L,領用表!$E:$E,$B61,領用表!$B:$B,$BW$2&amp;BY$2)</f>
        <v>0</v>
      </c>
      <c r="BZ61" s="276">
        <f>SUMIFS(領用表!$L:$L,領用表!$E:$E,$B61,領用表!$B:$B,$BW$2&amp;BZ$2)</f>
        <v>0</v>
      </c>
      <c r="CA61" s="276">
        <f>SUMIFS(領用表!$L:$L,領用表!$E:$E,$B61,領用表!$B:$B,$BW$2&amp;CA$2)</f>
        <v>0</v>
      </c>
      <c r="CB61" s="278">
        <f>SUMIFS(領用表!$L:$L,領用表!$A:$A,CB$2,領用表!$E:$E,B61)</f>
        <v>0</v>
      </c>
      <c r="CC61" s="276">
        <f>SUMIFS(領用表!$L:$L,領用表!$E:$E,$B61,領用表!$B:$B,CB$2&amp;CC$2)</f>
        <v>0</v>
      </c>
      <c r="CD61" s="276">
        <f>SUMIFS(領用表!$L:$L,領用表!$E:$E,$B61,領用表!$B:$B,$CB$2&amp;CD$2)</f>
        <v>0</v>
      </c>
      <c r="CE61" s="276">
        <f>SUMIFS(領用表!$L:$L,領用表!$E:$E,$B61,領用表!$B:$B,$CB$2&amp;CE$2)</f>
        <v>0</v>
      </c>
      <c r="CF61" s="276">
        <f>SUMIFS(領用表!$L:$L,領用表!$E:$E,$B61,領用表!$B:$B,$CB$2&amp;CF$2)</f>
        <v>0</v>
      </c>
      <c r="CG61" s="278">
        <f>SUMIFS(領用表!$L:$L,領用表!$A:$A,CG$2,領用表!$E:$E,B61)</f>
        <v>0</v>
      </c>
      <c r="CH61" s="276">
        <f>SUMIFS(領用表!$L:$L,領用表!$E:$E,$B61,領用表!$B:$B,CG$2&amp;CH$2)</f>
        <v>0</v>
      </c>
      <c r="CI61" s="276">
        <f>SUMIFS(領用表!$L:$L,領用表!$E:$E,$B61,領用表!$B:$B,CG$2&amp;CI$2)</f>
        <v>0</v>
      </c>
      <c r="CJ61" s="276">
        <f>SUMIFS(領用表!$L:$L,領用表!$E:$E,$B61,領用表!$B:$B,CG$2&amp;CJ$2)</f>
        <v>0</v>
      </c>
      <c r="CK61" s="276">
        <f>SUMIFS(領用表!$L:$L,領用表!$E:$E,$B61,領用表!$B:$B,$CG$2&amp;CK$2)</f>
        <v>0</v>
      </c>
      <c r="CL61" s="279">
        <f t="shared" si="16"/>
        <v>1612391</v>
      </c>
      <c r="CM61" s="279">
        <f t="shared" si="17"/>
        <v>134365.91666666666</v>
      </c>
      <c r="CN61" s="278">
        <f>SUMIFS(領用表!$L:$L,領用表!$A:$A,CN$2,領用表!$E:$E,B61)</f>
        <v>0</v>
      </c>
      <c r="CO61" s="276">
        <f>SUMIFS(領用表!$L:$L,領用表!$E:$E,$B61,領用表!$B:$B,CN$2&amp;CO$2)</f>
        <v>0</v>
      </c>
      <c r="CP61" s="276">
        <f>SUMIFS(領用表!$L:$L,領用表!$E:$E,$B61,領用表!$B:$B,$CN$2&amp;CP$2)</f>
        <v>0</v>
      </c>
      <c r="CQ61" s="276">
        <f>SUMIFS(領用表!$L:$L,領用表!$E:$E,$B61,領用表!$B:$B,$CN$2&amp;CQ$2)</f>
        <v>0</v>
      </c>
      <c r="CR61" s="276">
        <f>SUMIFS(領用表!$L:$L,領用表!$E:$E,$B61,領用表!$B:$B,$CN$2&amp;CR$2)</f>
        <v>0</v>
      </c>
      <c r="CS61" s="278">
        <f>SUMIFS(領用表!$L:$L,領用表!$A:$A,CS$2,領用表!$E:$E,B61)</f>
        <v>0</v>
      </c>
      <c r="CT61" s="278">
        <f>SUMIFS(領用表!$L:$L,領用表!$E:$E,$B61,領用表!$B:$B,CS$2&amp;CT$2)</f>
        <v>0</v>
      </c>
      <c r="CU61" s="278">
        <f>SUMIFS(領用表!$L:$L,領用表!$E:$E,$B61,領用表!$B:$B,$CS$2&amp;CU$2)</f>
        <v>0</v>
      </c>
      <c r="CV61" s="278">
        <f>SUMIFS(領用表!$L:$L,領用表!$E:$E,$B61,領用表!$B:$B,$CS$2&amp;CV$2)</f>
        <v>0</v>
      </c>
      <c r="CW61" s="278">
        <f>SUMIFS(領用表!$L:$L,領用表!$E:$E,$B61,領用表!$B:$B,$CS$2&amp;CW$2)</f>
        <v>0</v>
      </c>
      <c r="CX61" s="278">
        <f>SUMIFS(領用表!$L:$L,領用表!$E:$E,$B61,領用表!$B:$B,$CS$2&amp;CX$2)</f>
        <v>0</v>
      </c>
      <c r="CY61" s="278">
        <f>SUMIFS(領用表!$L:$L,領用表!$A:$A,CY$2,領用表!$E:$E,B61)</f>
        <v>0</v>
      </c>
      <c r="CZ61" s="276">
        <f>SUMIFS(領用表!$L:$L,領用表!$E:$E,$B61,領用表!$B:$B,CY$2&amp;CZ$2)</f>
        <v>0</v>
      </c>
      <c r="DA61" s="276">
        <f>SUMIFS(領用表!$L:$L,領用表!$E:$E,$B61,領用表!$B:$B,$CY$2&amp;DA$2)</f>
        <v>0</v>
      </c>
      <c r="DB61" s="276">
        <f>SUMIFS(領用表!$L:$L,領用表!$E:$E,$B61,領用表!$B:$B,$CY$2&amp;DB$2)</f>
        <v>0</v>
      </c>
      <c r="DC61" s="276">
        <f>SUMIFS(領用表!$L:$L,領用表!$E:$E,$B61,領用表!$B:$B,$CY$2&amp;DC$2)</f>
        <v>0</v>
      </c>
      <c r="DD61" s="276">
        <f>SUMIFS(領用表!$L:$L,領用表!$E:$E,$B61,領用表!$B:$B,$CY$2&amp;DD$2)</f>
        <v>0</v>
      </c>
      <c r="DE61" s="278">
        <f>SUMIFS(領用表!$L:$L,領用表!$A:$A,DE$2,領用表!$E:$E,B61)</f>
        <v>0</v>
      </c>
      <c r="DF61" s="276">
        <f>SUMIFS(領用表!$L:$L,領用表!$E:$E,$B61,領用表!$B:$B,DE$2&amp;DF$2)</f>
        <v>0</v>
      </c>
      <c r="DG61" s="276">
        <f>SUMIFS(領用表!$L:$L,領用表!$E:$E,$B61,領用表!$B:$B,$DE$2&amp;DG$2)</f>
        <v>0</v>
      </c>
      <c r="DH61" s="276">
        <f>SUMIFS(領用表!$L:$L,領用表!$E:$E,$B61,領用表!$B:$B,$DE$2&amp;DH$2)</f>
        <v>0</v>
      </c>
      <c r="DI61" s="276">
        <f>SUMIFS(領用表!$L:$L,領用表!$E:$E,$B61,領用表!$B:$B,$DE$2&amp;DI$2)</f>
        <v>0</v>
      </c>
      <c r="DJ61" s="276">
        <f>SUMIFS(領用表!$L:$L,領用表!$E:$E,$B61,領用表!$B:$B,$DE$2&amp;DJ$2)</f>
        <v>0</v>
      </c>
      <c r="DK61" s="278">
        <f>SUMIFS(領用表!$L:$L,領用表!$A:$A,DK$2,領用表!$E:$E,$B61)</f>
        <v>0</v>
      </c>
      <c r="DL61" s="276">
        <f>SUMIFS(領用表!$L:$L,領用表!$E:$E,$B61,領用表!$B:$B,DK$2&amp;DL$2)</f>
        <v>0</v>
      </c>
      <c r="DM61" s="276">
        <f>SUMIFS(領用表!$L:$L,領用表!$E:$E,$B61,領用表!$B:$B,$DK$2&amp;DM$2)</f>
        <v>0</v>
      </c>
      <c r="DN61" s="276">
        <f>SUMIFS(領用表!$L:$L,領用表!$E:$E,$B61,領用表!$B:$B,$DK$2&amp;DN$2)</f>
        <v>0</v>
      </c>
      <c r="DO61" s="276">
        <f>SUMIFS(領用表!$L:$L,領用表!$E:$E,$B61,領用表!$B:$B,$DK$2&amp;DO$2)</f>
        <v>0</v>
      </c>
      <c r="DP61" s="276">
        <f>SUMIFS(領用表!$L:$L,領用表!$E:$E,$B61,領用表!$B:$B,$DK$2&amp;DP$2)</f>
        <v>0</v>
      </c>
      <c r="DQ61" s="276">
        <f t="shared" si="14"/>
        <v>0</v>
      </c>
      <c r="DR61" s="276">
        <f t="shared" si="15"/>
        <v>0</v>
      </c>
      <c r="DS61" s="276">
        <f t="shared" si="6"/>
        <v>0</v>
      </c>
      <c r="DT61" s="276">
        <v>0</v>
      </c>
      <c r="DU61" s="276">
        <v>0</v>
      </c>
      <c r="DV61" s="276">
        <v>0</v>
      </c>
      <c r="DW61" s="276">
        <v>0</v>
      </c>
      <c r="DX61" s="280">
        <v>0</v>
      </c>
      <c r="DY61" s="281"/>
      <c r="DZ61" s="204"/>
      <c r="EA61" s="204"/>
      <c r="EB61" s="346" t="s">
        <v>843</v>
      </c>
      <c r="EC61" s="223"/>
      <c r="ED61" s="118">
        <f>IFERROR(VLOOKUP(A61,站前4樓!A:BF,57,0),0)</f>
        <v>0</v>
      </c>
      <c r="EE61" s="213">
        <f>IFERROR(VLOOKUP(A61,站前11樓!A:BE,57,0),0)</f>
        <v>0</v>
      </c>
      <c r="EF61" s="118">
        <f>IFERROR(VLOOKUP(A61,忠孝7樓!A:N,57,0),0)</f>
        <v>0</v>
      </c>
      <c r="EG61" s="118">
        <f>IFERROR(VLOOKUP(A61,忠孝國際醫學3樓!A:L,57,0),0)</f>
        <v>0</v>
      </c>
      <c r="EH61" s="118">
        <f t="shared" si="7"/>
        <v>0</v>
      </c>
      <c r="EJ61" s="118">
        <v>0</v>
      </c>
      <c r="EK61" s="118">
        <v>0</v>
      </c>
    </row>
    <row r="62" spans="1:141" s="118" customFormat="1" ht="15.75" customHeight="1">
      <c r="A62" s="264" t="s">
        <v>110</v>
      </c>
      <c r="B62" s="265"/>
      <c r="C62" s="187" t="s">
        <v>497</v>
      </c>
      <c r="D62" s="266">
        <v>150000</v>
      </c>
      <c r="E62" s="267" t="s">
        <v>78</v>
      </c>
      <c r="F62" s="268">
        <f>SUMIF(站前4樓!B:B,B62,站前4樓!F:F)</f>
        <v>0</v>
      </c>
      <c r="G62" s="268">
        <f>SUMIF(站前11樓!B:B,B62,站前11樓!F:F)</f>
        <v>0</v>
      </c>
      <c r="H62" s="268">
        <f>SUMIF(忠孝7樓!B:B,B62,忠孝7樓!G:G)</f>
        <v>0</v>
      </c>
      <c r="I62" s="268">
        <f>SUMIF(忠孝國際醫學3樓!B:B,B62,忠孝國際醫學3樓!G:G)</f>
        <v>0</v>
      </c>
      <c r="J62" s="268">
        <f>SUMIF(忠孝健康7樓!B:B,B62,忠孝健康7樓!G:G)</f>
        <v>0</v>
      </c>
      <c r="K62" s="269">
        <v>0</v>
      </c>
      <c r="L62" s="269">
        <v>0.05</v>
      </c>
      <c r="M62" s="269">
        <v>0.01</v>
      </c>
      <c r="N62" s="269">
        <v>0.1</v>
      </c>
      <c r="O62" s="269">
        <v>0.03</v>
      </c>
      <c r="P62" s="269">
        <v>0.01</v>
      </c>
      <c r="Q62" s="269">
        <v>0.01</v>
      </c>
      <c r="R62" s="269">
        <v>0.01</v>
      </c>
      <c r="S62" s="269">
        <v>0.01</v>
      </c>
      <c r="T62" s="269">
        <v>0.03</v>
      </c>
      <c r="U62" s="269">
        <v>0.05</v>
      </c>
      <c r="V62" s="269">
        <v>0.03</v>
      </c>
      <c r="W62" s="269">
        <v>0.09</v>
      </c>
      <c r="X62" s="269">
        <v>0</v>
      </c>
      <c r="Y62" s="269">
        <v>0</v>
      </c>
      <c r="Z62" s="269">
        <v>0.02</v>
      </c>
      <c r="AA62" s="269">
        <v>0.02</v>
      </c>
      <c r="AB62" s="269">
        <v>0</v>
      </c>
      <c r="AC62" s="269">
        <v>0.04</v>
      </c>
      <c r="AD62" s="269">
        <v>0.05</v>
      </c>
      <c r="AE62" s="269">
        <v>0.01</v>
      </c>
      <c r="AF62" s="269">
        <v>0.04</v>
      </c>
      <c r="AG62" s="269">
        <v>0.02</v>
      </c>
      <c r="AH62" s="269">
        <v>0.03</v>
      </c>
      <c r="AI62" s="269">
        <v>0.02</v>
      </c>
      <c r="AJ62" s="270">
        <v>1.8890000000000001E-2</v>
      </c>
      <c r="AK62" s="270">
        <v>0</v>
      </c>
      <c r="AL62" s="270">
        <v>1.0200000000000001E-2</v>
      </c>
      <c r="AM62" s="270">
        <v>1.333E-2</v>
      </c>
      <c r="AN62" s="270">
        <v>4.3580000000000001E-2</v>
      </c>
      <c r="AO62" s="270">
        <v>2.5649999999999999E-2</v>
      </c>
      <c r="AP62" s="270">
        <v>2.103E-2</v>
      </c>
      <c r="AQ62" s="270">
        <v>7.2669999999999998E-2</v>
      </c>
      <c r="AR62" s="270">
        <v>0.13272</v>
      </c>
      <c r="AS62" s="271">
        <v>0.23</v>
      </c>
      <c r="AT62" s="272">
        <v>0.49098000000000003</v>
      </c>
      <c r="AU62" s="273">
        <f>389748/D62</f>
        <v>2.5983200000000002</v>
      </c>
      <c r="AV62" s="266">
        <f>SUM(AJ62:AU62)</f>
        <v>3.6573700000000002</v>
      </c>
      <c r="AW62" s="274">
        <f>AV62/12</f>
        <v>0.30478083333333333</v>
      </c>
      <c r="AX62" s="275">
        <v>270000</v>
      </c>
      <c r="AY62" s="275">
        <v>77502</v>
      </c>
      <c r="AZ62" s="275">
        <v>152733</v>
      </c>
      <c r="BA62" s="275">
        <v>178837</v>
      </c>
      <c r="BB62" s="275">
        <v>286928</v>
      </c>
      <c r="BC62" s="275">
        <f>SUMIFS(領用表!$L:$L,領用表!$A:$A,BC$2,領用表!$E:$E,B62)</f>
        <v>0</v>
      </c>
      <c r="BD62" s="276">
        <f>SUMIFS(領用表!$L:$L,領用表!$E:$E,$B62,領用表!$B:$B,BC$2&amp;BD$2)</f>
        <v>0</v>
      </c>
      <c r="BE62" s="276">
        <f>SUMIFS(領用表!$L:$L,領用表!$E:$E,$B62,領用表!$B:$B,$BC$2&amp;BE$2)</f>
        <v>0</v>
      </c>
      <c r="BF62" s="276">
        <f>SUMIFS(領用表!$L:$L,領用表!$E:$E,$B62,領用表!$B:$B,$BC$2&amp;BF$2)</f>
        <v>0</v>
      </c>
      <c r="BG62" s="276">
        <f>SUMIFS(領用表!$L:$L,領用表!$E:$E,$B62,領用表!$B:$B,$BC$2&amp;BG$2)</f>
        <v>0</v>
      </c>
      <c r="BH62" s="275">
        <f>SUMIFS(領用表!$L:$L,領用表!$A:$A,BH$2,領用表!$E:$E,B62)</f>
        <v>0</v>
      </c>
      <c r="BI62" s="277">
        <f>SUMIFS(領用表!$L:$L,領用表!$E:$E,$B62,領用表!$B:$B,BH$2&amp;BI$2)</f>
        <v>0</v>
      </c>
      <c r="BJ62" s="277">
        <f>SUMIFS(領用表!$L:$L,領用表!$E:$E,$B62,領用表!$B:$B,$BH$2&amp;BJ$2)</f>
        <v>0</v>
      </c>
      <c r="BK62" s="277">
        <f>SUMIFS(領用表!$L:$L,領用表!$E:$E,$B62,領用表!$B:$B,$BH$2&amp;BK$2)</f>
        <v>0</v>
      </c>
      <c r="BL62" s="277">
        <f>SUMIFS(領用表!$L:$L,領用表!$E:$E,$B62,領用表!$B:$B,$BH$2&amp;BL$2)</f>
        <v>0</v>
      </c>
      <c r="BM62" s="275">
        <f>SUMIFS(領用表!$L:$L,領用表!$A:$A,BM$2,領用表!$E:$E,B62)</f>
        <v>0</v>
      </c>
      <c r="BN62" s="276">
        <f>SUMIFS(領用表!$L:$L,領用表!$E:$E,$B62,領用表!$B:$B,BM$2&amp;BN$2)</f>
        <v>0</v>
      </c>
      <c r="BO62" s="276">
        <f>SUMIFS(領用表!$L:$L,領用表!$E:$E,$B62,領用表!$B:$B,$BM$2&amp;BO$2)</f>
        <v>0</v>
      </c>
      <c r="BP62" s="276">
        <f>SUMIFS(領用表!$L:$L,領用表!$E:$E,$B62,領用表!$B:$B,$BM$2&amp;BP$2)</f>
        <v>0</v>
      </c>
      <c r="BQ62" s="276">
        <f>SUMIFS(領用表!$L:$L,領用表!$E:$E,$B62,領用表!$B:$B,$BM$2&amp;BQ$2)</f>
        <v>0</v>
      </c>
      <c r="BR62" s="275">
        <f>SUMIFS(領用表!$L:$L,領用表!$A:$A,BR$2,領用表!$E:$E,B62)</f>
        <v>0</v>
      </c>
      <c r="BS62" s="276">
        <f>SUMIFS(領用表!$L:$L,領用表!$E:$E,$B62,領用表!$B:$B,BR$2&amp;BS$2)</f>
        <v>0</v>
      </c>
      <c r="BT62" s="276">
        <f>SUMIFS(領用表!$L:$L,領用表!$E:$E,$B62,領用表!$B:$B,$BR$2&amp;BT$2)</f>
        <v>0</v>
      </c>
      <c r="BU62" s="276">
        <f>SUMIFS(領用表!$L:$L,領用表!$E:$E,$B62,領用表!$B:$B,$BR$2&amp;BU$2)</f>
        <v>0</v>
      </c>
      <c r="BV62" s="276">
        <f>SUMIFS(領用表!$L:$L,領用表!$E:$E,$B62,領用表!$B:$B,$BR$2&amp;BV$2)</f>
        <v>0</v>
      </c>
      <c r="BW62" s="278">
        <f>SUMIFS(領用表!$L:$L,領用表!$A:$A,BW$2,領用表!$E:$E,B62)</f>
        <v>0</v>
      </c>
      <c r="BX62" s="276">
        <f>SUMIFS(領用表!$L:$L,領用表!$E:$E,$B62,領用表!$B:$B,BW$2&amp;BX$2)</f>
        <v>0</v>
      </c>
      <c r="BY62" s="276">
        <f>SUMIFS(領用表!$L:$L,領用表!$E:$E,$B62,領用表!$B:$B,$BW$2&amp;BY$2)</f>
        <v>0</v>
      </c>
      <c r="BZ62" s="276">
        <f>SUMIFS(領用表!$L:$L,領用表!$E:$E,$B62,領用表!$B:$B,$BW$2&amp;BZ$2)</f>
        <v>0</v>
      </c>
      <c r="CA62" s="276">
        <f>SUMIFS(領用表!$L:$L,領用表!$E:$E,$B62,領用表!$B:$B,$BW$2&amp;CA$2)</f>
        <v>0</v>
      </c>
      <c r="CB62" s="278">
        <f>SUMIFS(領用表!$L:$L,領用表!$A:$A,CB$2,領用表!$E:$E,B62)</f>
        <v>0</v>
      </c>
      <c r="CC62" s="276">
        <f>SUMIFS(領用表!$L:$L,領用表!$E:$E,$B62,領用表!$B:$B,CB$2&amp;CC$2)</f>
        <v>0</v>
      </c>
      <c r="CD62" s="276">
        <f>SUMIFS(領用表!$L:$L,領用表!$E:$E,$B62,領用表!$B:$B,$CB$2&amp;CD$2)</f>
        <v>0</v>
      </c>
      <c r="CE62" s="276">
        <f>SUMIFS(領用表!$L:$L,領用表!$E:$E,$B62,領用表!$B:$B,$CB$2&amp;CE$2)</f>
        <v>0</v>
      </c>
      <c r="CF62" s="276">
        <f>SUMIFS(領用表!$L:$L,領用表!$E:$E,$B62,領用表!$B:$B,$CB$2&amp;CF$2)</f>
        <v>0</v>
      </c>
      <c r="CG62" s="278">
        <f>SUMIFS(領用表!$L:$L,領用表!$A:$A,CG$2,領用表!$E:$E,B62)</f>
        <v>0</v>
      </c>
      <c r="CH62" s="276">
        <f>SUMIFS(領用表!$L:$L,領用表!$E:$E,$B62,領用表!$B:$B,CG$2&amp;CH$2)</f>
        <v>0</v>
      </c>
      <c r="CI62" s="276">
        <f>SUMIFS(領用表!$L:$L,領用表!$E:$E,$B62,領用表!$B:$B,CG$2&amp;CI$2)</f>
        <v>0</v>
      </c>
      <c r="CJ62" s="276">
        <f>SUMIFS(領用表!$L:$L,領用表!$E:$E,$B62,領用表!$B:$B,CG$2&amp;CJ$2)</f>
        <v>0</v>
      </c>
      <c r="CK62" s="276">
        <f>SUMIFS(領用表!$L:$L,領用表!$E:$E,$B62,領用表!$B:$B,$CG$2&amp;CK$2)</f>
        <v>0</v>
      </c>
      <c r="CL62" s="279">
        <f t="shared" si="16"/>
        <v>966000</v>
      </c>
      <c r="CM62" s="279">
        <f t="shared" si="17"/>
        <v>80500</v>
      </c>
      <c r="CN62" s="278">
        <f>SUMIFS(領用表!$L:$L,領用表!$A:$A,CN$2,領用表!$E:$E,B62)</f>
        <v>0</v>
      </c>
      <c r="CO62" s="276">
        <f>SUMIFS(領用表!$L:$L,領用表!$E:$E,$B62,領用表!$B:$B,CN$2&amp;CO$2)</f>
        <v>0</v>
      </c>
      <c r="CP62" s="276">
        <f>SUMIFS(領用表!$L:$L,領用表!$E:$E,$B62,領用表!$B:$B,$CN$2&amp;CP$2)</f>
        <v>0</v>
      </c>
      <c r="CQ62" s="276">
        <f>SUMIFS(領用表!$L:$L,領用表!$E:$E,$B62,領用表!$B:$B,$CN$2&amp;CQ$2)</f>
        <v>0</v>
      </c>
      <c r="CR62" s="276">
        <f>SUMIFS(領用表!$L:$L,領用表!$E:$E,$B62,領用表!$B:$B,$CN$2&amp;CR$2)</f>
        <v>0</v>
      </c>
      <c r="CS62" s="278">
        <f>SUMIFS(領用表!$L:$L,領用表!$A:$A,CS$2,領用表!$E:$E,B62)</f>
        <v>0</v>
      </c>
      <c r="CT62" s="278">
        <f>SUMIFS(領用表!$L:$L,領用表!$E:$E,$B62,領用表!$B:$B,CS$2&amp;CT$2)</f>
        <v>0</v>
      </c>
      <c r="CU62" s="278">
        <f>SUMIFS(領用表!$L:$L,領用表!$E:$E,$B62,領用表!$B:$B,$CS$2&amp;CU$2)</f>
        <v>0</v>
      </c>
      <c r="CV62" s="278">
        <f>SUMIFS(領用表!$L:$L,領用表!$E:$E,$B62,領用表!$B:$B,$CS$2&amp;CV$2)</f>
        <v>0</v>
      </c>
      <c r="CW62" s="278">
        <f>SUMIFS(領用表!$L:$L,領用表!$E:$E,$B62,領用表!$B:$B,$CS$2&amp;CW$2)</f>
        <v>0</v>
      </c>
      <c r="CX62" s="278">
        <f>SUMIFS(領用表!$L:$L,領用表!$E:$E,$B62,領用表!$B:$B,$CS$2&amp;CX$2)</f>
        <v>0</v>
      </c>
      <c r="CY62" s="278">
        <f>SUMIFS(領用表!$L:$L,領用表!$A:$A,CY$2,領用表!$E:$E,B62)</f>
        <v>0</v>
      </c>
      <c r="CZ62" s="276">
        <f>SUMIFS(領用表!$L:$L,領用表!$E:$E,$B62,領用表!$B:$B,CY$2&amp;CZ$2)</f>
        <v>0</v>
      </c>
      <c r="DA62" s="276">
        <f>SUMIFS(領用表!$L:$L,領用表!$E:$E,$B62,領用表!$B:$B,$CY$2&amp;DA$2)</f>
        <v>0</v>
      </c>
      <c r="DB62" s="276">
        <f>SUMIFS(領用表!$L:$L,領用表!$E:$E,$B62,領用表!$B:$B,$CY$2&amp;DB$2)</f>
        <v>0</v>
      </c>
      <c r="DC62" s="276">
        <f>SUMIFS(領用表!$L:$L,領用表!$E:$E,$B62,領用表!$B:$B,$CY$2&amp;DC$2)</f>
        <v>0</v>
      </c>
      <c r="DD62" s="276">
        <f>SUMIFS(領用表!$L:$L,領用表!$E:$E,$B62,領用表!$B:$B,$CY$2&amp;DD$2)</f>
        <v>0</v>
      </c>
      <c r="DE62" s="278">
        <f>SUMIFS(領用表!$L:$L,領用表!$A:$A,DE$2,領用表!$E:$E,B62)</f>
        <v>0</v>
      </c>
      <c r="DF62" s="276">
        <f>SUMIFS(領用表!$L:$L,領用表!$E:$E,$B62,領用表!$B:$B,DE$2&amp;DF$2)</f>
        <v>0</v>
      </c>
      <c r="DG62" s="276">
        <f>SUMIFS(領用表!$L:$L,領用表!$E:$E,$B62,領用表!$B:$B,$DE$2&amp;DG$2)</f>
        <v>0</v>
      </c>
      <c r="DH62" s="276">
        <f>SUMIFS(領用表!$L:$L,領用表!$E:$E,$B62,領用表!$B:$B,$DE$2&amp;DH$2)</f>
        <v>0</v>
      </c>
      <c r="DI62" s="276">
        <f>SUMIFS(領用表!$L:$L,領用表!$E:$E,$B62,領用表!$B:$B,$DE$2&amp;DI$2)</f>
        <v>0</v>
      </c>
      <c r="DJ62" s="276">
        <f>SUMIFS(領用表!$L:$L,領用表!$E:$E,$B62,領用表!$B:$B,$DE$2&amp;DJ$2)</f>
        <v>0</v>
      </c>
      <c r="DK62" s="278">
        <f>SUMIFS(領用表!$L:$L,領用表!$A:$A,DK$2,領用表!$E:$E,$B62)</f>
        <v>0</v>
      </c>
      <c r="DL62" s="276">
        <f>SUMIFS(領用表!$L:$L,領用表!$E:$E,$B62,領用表!$B:$B,DK$2&amp;DL$2)</f>
        <v>0</v>
      </c>
      <c r="DM62" s="276">
        <f>SUMIFS(領用表!$L:$L,領用表!$E:$E,$B62,領用表!$B:$B,$DK$2&amp;DM$2)</f>
        <v>0</v>
      </c>
      <c r="DN62" s="276">
        <f>SUMIFS(領用表!$L:$L,領用表!$E:$E,$B62,領用表!$B:$B,$DK$2&amp;DN$2)</f>
        <v>0</v>
      </c>
      <c r="DO62" s="276">
        <f>SUMIFS(領用表!$L:$L,領用表!$E:$E,$B62,領用表!$B:$B,$DK$2&amp;DO$2)</f>
        <v>0</v>
      </c>
      <c r="DP62" s="276">
        <f>SUMIFS(領用表!$L:$L,領用表!$E:$E,$B62,領用表!$B:$B,$DK$2&amp;DP$2)</f>
        <v>0</v>
      </c>
      <c r="DQ62" s="276">
        <f t="shared" si="14"/>
        <v>0</v>
      </c>
      <c r="DR62" s="276">
        <f t="shared" si="15"/>
        <v>0</v>
      </c>
      <c r="DS62" s="276">
        <f t="shared" si="6"/>
        <v>0</v>
      </c>
      <c r="DT62" s="276">
        <v>0</v>
      </c>
      <c r="DU62" s="276">
        <v>0</v>
      </c>
      <c r="DV62" s="276">
        <v>0</v>
      </c>
      <c r="DW62" s="276">
        <v>0</v>
      </c>
      <c r="DX62" s="280">
        <v>0</v>
      </c>
      <c r="DY62" s="281"/>
      <c r="DZ62" s="204"/>
      <c r="EA62" s="204"/>
      <c r="EB62" s="346" t="s">
        <v>843</v>
      </c>
      <c r="EC62" s="223"/>
      <c r="ED62" s="118">
        <f>IFERROR(VLOOKUP(A62,站前4樓!A:BF,57,0),0)</f>
        <v>0</v>
      </c>
      <c r="EE62" s="213">
        <f>IFERROR(VLOOKUP(A62,站前11樓!A:BE,57,0),0)</f>
        <v>0</v>
      </c>
      <c r="EF62" s="118">
        <f>IFERROR(VLOOKUP(A62,忠孝7樓!A:N,57,0),0)</f>
        <v>0</v>
      </c>
      <c r="EG62" s="118">
        <f>IFERROR(VLOOKUP(A62,忠孝國際醫學3樓!A:L,57,0),0)</f>
        <v>0</v>
      </c>
      <c r="EH62" s="118">
        <f t="shared" si="7"/>
        <v>0</v>
      </c>
      <c r="EJ62" s="118">
        <v>0</v>
      </c>
      <c r="EK62" s="118">
        <v>0</v>
      </c>
    </row>
    <row r="63" spans="1:141" s="118" customFormat="1" ht="15.75" customHeight="1">
      <c r="A63" s="136" t="s">
        <v>111</v>
      </c>
      <c r="B63" s="118">
        <v>6170032</v>
      </c>
      <c r="C63" s="133" t="s">
        <v>498</v>
      </c>
      <c r="D63" s="23">
        <v>240500</v>
      </c>
      <c r="E63" s="282" t="s">
        <v>78</v>
      </c>
      <c r="F63" s="225">
        <f>SUMIF(站前4樓!B:B,B63,站前4樓!F:F)</f>
        <v>721311</v>
      </c>
      <c r="G63" s="225">
        <f>SUMIF(站前11樓!B:B,B63,站前11樓!F:F)</f>
        <v>0</v>
      </c>
      <c r="H63" s="225">
        <f>SUMIF(忠孝7樓!B:B,B63,忠孝7樓!G:G)</f>
        <v>605340</v>
      </c>
      <c r="I63" s="225">
        <f>SUMIF(忠孝國際醫學3樓!B:B,B63,忠孝國際醫學3樓!G:G)</f>
        <v>0</v>
      </c>
      <c r="J63" s="225">
        <f>SUMIF(忠孝健康7樓!B:B,B63,忠孝健康7樓!G:G)</f>
        <v>285998</v>
      </c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  <c r="AB63" s="200"/>
      <c r="AC63" s="200"/>
      <c r="AD63" s="200"/>
      <c r="AE63" s="200"/>
      <c r="AF63" s="200"/>
      <c r="AG63" s="200"/>
      <c r="AH63" s="200"/>
      <c r="AI63" s="200"/>
      <c r="AJ63" s="221"/>
      <c r="AK63" s="221"/>
      <c r="AL63" s="221"/>
      <c r="AM63" s="221"/>
      <c r="AN63" s="221"/>
      <c r="AO63" s="221"/>
      <c r="AP63" s="221"/>
      <c r="AQ63" s="221"/>
      <c r="AR63" s="221"/>
      <c r="AS63" s="201"/>
      <c r="AT63" s="202"/>
      <c r="AU63" s="203"/>
      <c r="AV63" s="204" t="s">
        <v>49</v>
      </c>
      <c r="AW63" s="204" t="s">
        <v>49</v>
      </c>
      <c r="AX63" s="204" t="s">
        <v>49</v>
      </c>
      <c r="AY63" s="204" t="s">
        <v>49</v>
      </c>
      <c r="AZ63" s="204" t="s">
        <v>49</v>
      </c>
      <c r="BA63" s="204" t="s">
        <v>49</v>
      </c>
      <c r="BB63" s="203">
        <v>104015</v>
      </c>
      <c r="BC63" s="203">
        <f>SUMIFS(領用表!$L:$L,領用表!$A:$A,BC$2,領用表!$E:$E,B63)</f>
        <v>262702</v>
      </c>
      <c r="BD63" s="206">
        <f>SUMIFS(領用表!$L:$L,領用表!$E:$E,$B63,領用表!$B:$B,BC$2&amp;BD$2)</f>
        <v>262702</v>
      </c>
      <c r="BE63" s="206">
        <f>SUMIFS(領用表!$L:$L,領用表!$E:$E,$B63,領用表!$B:$B,$BC$2&amp;BE$2)</f>
        <v>0</v>
      </c>
      <c r="BF63" s="206">
        <f>SUMIFS(領用表!$L:$L,領用表!$E:$E,$B63,領用表!$B:$B,$BC$2&amp;BF$2)</f>
        <v>0</v>
      </c>
      <c r="BG63" s="206">
        <f>SUMIFS(領用表!$L:$L,領用表!$E:$E,$B63,領用表!$B:$B,$BC$2&amp;BG$2)</f>
        <v>0</v>
      </c>
      <c r="BH63" s="203">
        <f>SUMIFS(領用表!$L:$L,領用表!$A:$A,BH$2,領用表!$E:$E,B63)</f>
        <v>371549</v>
      </c>
      <c r="BI63" s="260">
        <f>SUMIFS(領用表!$L:$L,領用表!$E:$E,$B63,領用表!$B:$B,BH$2&amp;BI$2)</f>
        <v>208921</v>
      </c>
      <c r="BJ63" s="260">
        <f>SUMIFS(領用表!$L:$L,領用表!$E:$E,$B63,領用表!$B:$B,$BH$2&amp;BJ$2)</f>
        <v>0</v>
      </c>
      <c r="BK63" s="260">
        <f>SUMIFS(領用表!$L:$L,領用表!$E:$E,$B63,領用表!$B:$B,$BH$2&amp;BK$2)</f>
        <v>162628</v>
      </c>
      <c r="BL63" s="260">
        <f>SUMIFS(領用表!$L:$L,領用表!$E:$E,$B63,領用表!$B:$B,$BH$2&amp;BL$2)</f>
        <v>0</v>
      </c>
      <c r="BM63" s="203">
        <f>SUMIFS(領用表!$L:$L,領用表!$A:$A,BM$2,領用表!$E:$E,B63)</f>
        <v>573505</v>
      </c>
      <c r="BN63" s="206">
        <f>SUMIFS(領用表!$L:$L,領用表!$E:$E,$B63,領用表!$B:$B,BM$2&amp;BN$2)</f>
        <v>245203</v>
      </c>
      <c r="BO63" s="206">
        <f>SUMIFS(領用表!$L:$L,領用表!$E:$E,$B63,領用表!$B:$B,$BM$2&amp;BO$2)</f>
        <v>0</v>
      </c>
      <c r="BP63" s="206">
        <f>SUMIFS(領用表!$L:$L,領用表!$E:$E,$B63,領用表!$B:$B,$BM$2&amp;BP$2)</f>
        <v>328302</v>
      </c>
      <c r="BQ63" s="206">
        <f>SUMIFS(領用表!$L:$L,領用表!$E:$E,$B63,領用表!$B:$B,$BM$2&amp;BQ$2)</f>
        <v>0</v>
      </c>
      <c r="BR63" s="203">
        <f>SUMIFS(領用表!$L:$L,領用表!$A:$A,BR$2,領用表!$E:$E,B63)</f>
        <v>460899</v>
      </c>
      <c r="BS63" s="206">
        <f>SUMIFS(領用表!$L:$L,領用表!$E:$E,$B63,領用表!$B:$B,BR$2&amp;BS$2)</f>
        <v>185300</v>
      </c>
      <c r="BT63" s="206">
        <f>SUMIFS(領用表!$L:$L,領用表!$E:$E,$B63,領用表!$B:$B,$BR$2&amp;BT$2)</f>
        <v>0</v>
      </c>
      <c r="BU63" s="206">
        <f>SUMIFS(領用表!$L:$L,領用表!$E:$E,$B63,領用表!$B:$B,$BR$2&amp;BU$2)</f>
        <v>275599</v>
      </c>
      <c r="BV63" s="206">
        <f>SUMIFS(領用表!$L:$L,領用表!$E:$E,$B63,領用表!$B:$B,$BR$2&amp;BV$2)</f>
        <v>0</v>
      </c>
      <c r="BW63" s="208">
        <f>SUMIFS(領用表!$L:$L,領用表!$A:$A,BW$2,領用表!$E:$E,B63)</f>
        <v>632201</v>
      </c>
      <c r="BX63" s="206">
        <f>SUMIFS(領用表!$L:$L,領用表!$E:$E,$B63,領用表!$B:$B,BW$2&amp;BX$2)</f>
        <v>243501</v>
      </c>
      <c r="BY63" s="206">
        <f>SUMIFS(領用表!$L:$L,領用表!$E:$E,$B63,領用表!$B:$B,$BW$2&amp;BY$2)</f>
        <v>0</v>
      </c>
      <c r="BZ63" s="206">
        <f>SUMIFS(領用表!$L:$L,領用表!$E:$E,$B63,領用表!$B:$B,$BW$2&amp;BZ$2)</f>
        <v>388700</v>
      </c>
      <c r="CA63" s="206">
        <f>SUMIFS(領用表!$L:$L,領用表!$E:$E,$B63,領用表!$B:$B,$BW$2&amp;CA$2)</f>
        <v>0</v>
      </c>
      <c r="CB63" s="208">
        <f>SUMIFS(領用表!$L:$L,領用表!$A:$A,CB$2,領用表!$E:$E,B63)</f>
        <v>703262</v>
      </c>
      <c r="CC63" s="206">
        <f>SUMIFS(領用表!$L:$L,領用表!$E:$E,$B63,領用表!$B:$B,CB$2&amp;CC$2)</f>
        <v>255474</v>
      </c>
      <c r="CD63" s="206">
        <f>SUMIFS(領用表!$L:$L,領用表!$E:$E,$B63,領用表!$B:$B,$CB$2&amp;CD$2)</f>
        <v>0</v>
      </c>
      <c r="CE63" s="206">
        <f>SUMIFS(領用表!$L:$L,領用表!$E:$E,$B63,領用表!$B:$B,$CB$2&amp;CE$2)</f>
        <v>447788</v>
      </c>
      <c r="CF63" s="206">
        <f>SUMIFS(領用表!$L:$L,領用表!$E:$E,$B63,領用表!$B:$B,$CB$2&amp;CF$2)</f>
        <v>0</v>
      </c>
      <c r="CG63" s="208">
        <f>SUMIFS(領用表!$L:$L,領用表!$A:$A,CG$2,領用表!$E:$E,B63)</f>
        <v>783550</v>
      </c>
      <c r="CH63" s="206">
        <f>SUMIFS(領用表!$L:$L,領用表!$E:$E,$B63,領用表!$B:$B,CG$2&amp;CH$2)</f>
        <v>376203</v>
      </c>
      <c r="CI63" s="206">
        <f>SUMIFS(領用表!$L:$L,領用表!$E:$E,$B63,領用表!$B:$B,CG$2&amp;CI$2)</f>
        <v>0</v>
      </c>
      <c r="CJ63" s="206">
        <f>SUMIFS(領用表!$L:$L,領用表!$E:$E,$B63,領用表!$B:$B,CG$2&amp;CJ$2)</f>
        <v>407347</v>
      </c>
      <c r="CK63" s="206">
        <f>SUMIFS(領用表!$L:$L,領用表!$E:$E,$B63,領用表!$B:$B,$CG$2&amp;CK$2)</f>
        <v>0</v>
      </c>
      <c r="CL63" s="207">
        <f t="shared" si="16"/>
        <v>3891683</v>
      </c>
      <c r="CM63" s="207">
        <f t="shared" si="17"/>
        <v>486460.375</v>
      </c>
      <c r="CN63" s="208">
        <f>SUMIFS(領用表!$L:$L,領用表!$A:$A,CN$2,領用表!$E:$E,B63)</f>
        <v>899932</v>
      </c>
      <c r="CO63" s="206">
        <f>SUMIFS(領用表!$L:$L,領用表!$E:$E,$B63,領用表!$B:$B,CN$2&amp;CO$2)</f>
        <v>397432</v>
      </c>
      <c r="CP63" s="206">
        <f>SUMIFS(領用表!$L:$L,領用表!$E:$E,$B63,領用表!$B:$B,$CN$2&amp;CP$2)</f>
        <v>0</v>
      </c>
      <c r="CQ63" s="206">
        <f>SUMIFS(領用表!$L:$L,領用表!$E:$E,$B63,領用表!$B:$B,$CN$2&amp;CQ$2)</f>
        <v>502500</v>
      </c>
      <c r="CR63" s="206">
        <f>SUMIFS(領用表!$L:$L,領用表!$E:$E,$B63,領用表!$B:$B,$CN$2&amp;CR$2)</f>
        <v>0</v>
      </c>
      <c r="CS63" s="208">
        <f>SUMIFS(領用表!$L:$L,領用表!$A:$A,CS$2,領用表!$E:$E,B63)</f>
        <v>740236</v>
      </c>
      <c r="CT63" s="206">
        <f>SUMIFS(領用表!$L:$L,領用表!$E:$E,$B63,領用表!$B:$B,CS$2&amp;CT$2)</f>
        <v>342412</v>
      </c>
      <c r="CU63" s="206">
        <f>SUMIFS(領用表!$L:$L,領用表!$E:$E,$B63,領用表!$B:$B,$CS$2&amp;CU$2)</f>
        <v>0</v>
      </c>
      <c r="CV63" s="206">
        <f>SUMIFS(領用表!$L:$L,領用表!$E:$E,$B63,領用表!$B:$B,$CS$2&amp;CV$2)</f>
        <v>379824</v>
      </c>
      <c r="CW63" s="206">
        <f>SUMIFS(領用表!$L:$L,領用表!$E:$E,$B63,領用表!$B:$B,$CS$2&amp;CW$2)</f>
        <v>0</v>
      </c>
      <c r="CX63" s="206">
        <f>SUMIFS(領用表!$L:$L,領用表!$E:$E,$B63,領用表!$B:$B,$CS$2&amp;CX$2)</f>
        <v>18000</v>
      </c>
      <c r="CY63" s="208">
        <f>SUMIFS(領用表!$L:$L,領用表!$A:$A,CY$2,領用表!$E:$E,B63)</f>
        <v>485500</v>
      </c>
      <c r="CZ63" s="206">
        <f>SUMIFS(領用表!$L:$L,領用表!$E:$E,$B63,領用表!$B:$B,CY$2&amp;CZ$2)</f>
        <v>219500</v>
      </c>
      <c r="DA63" s="206">
        <f>SUMIFS(領用表!$L:$L,領用表!$E:$E,$B63,領用表!$B:$B,$CY$2&amp;DA$2)</f>
        <v>0</v>
      </c>
      <c r="DB63" s="206">
        <f>SUMIFS(領用表!$L:$L,領用表!$E:$E,$B63,領用表!$B:$B,$CY$2&amp;DB$2)</f>
        <v>205000</v>
      </c>
      <c r="DC63" s="206">
        <f>SUMIFS(領用表!$L:$L,領用表!$E:$E,$B63,領用表!$B:$B,$CY$2&amp;DC$2)</f>
        <v>0</v>
      </c>
      <c r="DD63" s="206">
        <f>SUMIFS(領用表!$L:$L,領用表!$E:$E,$B63,領用表!$B:$B,$CY$2&amp;DD$2)</f>
        <v>61000</v>
      </c>
      <c r="DE63" s="208">
        <f>SUMIFS(領用表!$L:$L,領用表!$A:$A,DE$2,領用表!$E:$E,B63)</f>
        <v>431147</v>
      </c>
      <c r="DF63" s="206">
        <f>SUMIFS(領用表!$L:$L,領用表!$E:$E,$B63,領用表!$B:$B,DE$2&amp;DF$2)</f>
        <v>200340</v>
      </c>
      <c r="DG63" s="206">
        <f>SUMIFS(領用表!$L:$L,領用表!$E:$E,$B63,領用表!$B:$B,$DE$2&amp;DG$2)</f>
        <v>0</v>
      </c>
      <c r="DH63" s="206">
        <f>SUMIFS(領用表!$L:$L,領用表!$E:$E,$B63,領用表!$B:$B,$DE$2&amp;DH$2)</f>
        <v>162307</v>
      </c>
      <c r="DI63" s="206">
        <f>SUMIFS(領用表!$L:$L,領用表!$E:$E,$B63,領用表!$B:$B,$DE$2&amp;DI$2)</f>
        <v>0</v>
      </c>
      <c r="DJ63" s="206">
        <f>SUMIFS(領用表!$L:$L,領用表!$E:$E,$B63,領用表!$B:$B,$DE$2&amp;DJ$2)</f>
        <v>68500</v>
      </c>
      <c r="DK63" s="208">
        <f>SUMIFS(領用表!$L:$L,領用表!$A:$A,DK$2,領用表!$E:$E,$B63)</f>
        <v>519640</v>
      </c>
      <c r="DL63" s="206">
        <f>SUMIFS(領用表!$L:$L,領用表!$E:$E,$B63,領用表!$B:$B,DK$2&amp;DL$2)</f>
        <v>230515</v>
      </c>
      <c r="DM63" s="206">
        <f>SUMIFS(領用表!$L:$L,領用表!$E:$E,$B63,領用表!$B:$B,$DK$2&amp;DM$2)</f>
        <v>0</v>
      </c>
      <c r="DN63" s="206">
        <f>SUMIFS(領用表!$L:$L,領用表!$E:$E,$B63,領用表!$B:$B,$DK$2&amp;DN$2)</f>
        <v>195615</v>
      </c>
      <c r="DO63" s="206">
        <f>SUMIFS(領用表!$L:$L,領用表!$E:$E,$B63,領用表!$B:$B,$DK$2&amp;DO$2)</f>
        <v>0</v>
      </c>
      <c r="DP63" s="206">
        <f>SUMIFS(領用表!$L:$L,領用表!$E:$E,$B63,領用表!$B:$B,$DK$2&amp;DP$2)</f>
        <v>93510</v>
      </c>
      <c r="DQ63" s="206">
        <f t="shared" si="14"/>
        <v>3076455</v>
      </c>
      <c r="DR63" s="206">
        <f t="shared" si="15"/>
        <v>615291</v>
      </c>
      <c r="DS63" s="206">
        <f t="shared" si="6"/>
        <v>680000</v>
      </c>
      <c r="DT63" s="206">
        <v>320000</v>
      </c>
      <c r="DU63" s="206">
        <v>0</v>
      </c>
      <c r="DV63" s="206">
        <v>360000</v>
      </c>
      <c r="DW63" s="206">
        <v>0</v>
      </c>
      <c r="DX63" s="209">
        <v>720000</v>
      </c>
      <c r="DY63" s="467">
        <v>3455980</v>
      </c>
      <c r="DZ63" s="254" t="s">
        <v>808</v>
      </c>
      <c r="EA63" s="254" t="s">
        <v>809</v>
      </c>
      <c r="EB63" s="346" t="s">
        <v>844</v>
      </c>
      <c r="EC63" s="136"/>
      <c r="ED63" s="118">
        <f>IFERROR(VLOOKUP(A63,站前4樓!A:BF,57,0),0)</f>
        <v>255474</v>
      </c>
      <c r="EE63" s="213">
        <f>IFERROR(VLOOKUP(A63,站前11樓!A:BE,57,0),0)</f>
        <v>0</v>
      </c>
      <c r="EF63" s="118">
        <f>IFERROR(VLOOKUP(A63,忠孝7樓!A:N,57,0),0)</f>
        <v>0</v>
      </c>
      <c r="EG63" s="118">
        <f>IFERROR(VLOOKUP(A63,忠孝國際醫學3樓!A:L,57,0),0)</f>
        <v>0</v>
      </c>
      <c r="EH63" s="118">
        <f t="shared" si="7"/>
        <v>255474</v>
      </c>
      <c r="EJ63" s="118">
        <v>1288608</v>
      </c>
      <c r="EK63" s="118">
        <v>946610</v>
      </c>
    </row>
    <row r="64" spans="1:141" s="118" customFormat="1" ht="15.75" customHeight="1">
      <c r="A64" s="136" t="s">
        <v>115</v>
      </c>
      <c r="B64" s="118">
        <v>6170033</v>
      </c>
      <c r="C64" s="133" t="s">
        <v>499</v>
      </c>
      <c r="D64" s="23">
        <v>240500</v>
      </c>
      <c r="E64" s="282" t="s">
        <v>78</v>
      </c>
      <c r="F64" s="225">
        <f>SUMIF(站前4樓!B:B,B64,站前4樓!F:F)</f>
        <v>598396</v>
      </c>
      <c r="G64" s="225">
        <f>SUMIF(站前11樓!B:B,B64,站前11樓!F:F)</f>
        <v>0</v>
      </c>
      <c r="H64" s="225">
        <f>SUMIF(忠孝7樓!B:B,B64,忠孝7樓!G:G)</f>
        <v>1056746</v>
      </c>
      <c r="I64" s="225">
        <f>SUMIF(忠孝國際醫學3樓!B:B,B64,忠孝國際醫學3樓!G:G)</f>
        <v>0</v>
      </c>
      <c r="J64" s="225">
        <f>SUMIF(忠孝健康7樓!B:B,B64,忠孝健康7樓!G:G)</f>
        <v>856972</v>
      </c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  <c r="AH64" s="200"/>
      <c r="AI64" s="200"/>
      <c r="AJ64" s="221"/>
      <c r="AK64" s="221"/>
      <c r="AL64" s="221"/>
      <c r="AM64" s="221"/>
      <c r="AN64" s="221"/>
      <c r="AO64" s="221"/>
      <c r="AP64" s="221"/>
      <c r="AQ64" s="221"/>
      <c r="AR64" s="221"/>
      <c r="AS64" s="201"/>
      <c r="AT64" s="202"/>
      <c r="AU64" s="203"/>
      <c r="AV64" s="204" t="s">
        <v>49</v>
      </c>
      <c r="AW64" s="204" t="s">
        <v>49</v>
      </c>
      <c r="AX64" s="204" t="s">
        <v>49</v>
      </c>
      <c r="AY64" s="204" t="s">
        <v>49</v>
      </c>
      <c r="AZ64" s="204" t="s">
        <v>49</v>
      </c>
      <c r="BA64" s="204" t="s">
        <v>49</v>
      </c>
      <c r="BB64" s="203">
        <v>51108</v>
      </c>
      <c r="BC64" s="203">
        <f>SUMIFS(領用表!$L:$L,領用表!$A:$A,BC$2,領用表!$E:$E,B64)</f>
        <v>140600</v>
      </c>
      <c r="BD64" s="206">
        <f>SUMIFS(領用表!$L:$L,領用表!$E:$E,$B64,領用表!$B:$B,BC$2&amp;BD$2)</f>
        <v>140600</v>
      </c>
      <c r="BE64" s="206">
        <f>SUMIFS(領用表!$L:$L,領用表!$E:$E,$B64,領用表!$B:$B,$BC$2&amp;BE$2)</f>
        <v>0</v>
      </c>
      <c r="BF64" s="206">
        <f>SUMIFS(領用表!$L:$L,領用表!$E:$E,$B64,領用表!$B:$B,$BC$2&amp;BF$2)</f>
        <v>0</v>
      </c>
      <c r="BG64" s="206">
        <f>SUMIFS(領用表!$L:$L,領用表!$E:$E,$B64,領用表!$B:$B,$BC$2&amp;BG$2)</f>
        <v>0</v>
      </c>
      <c r="BH64" s="203">
        <f>SUMIFS(領用表!$L:$L,領用表!$A:$A,BH$2,領用表!$E:$E,B64)</f>
        <v>164756</v>
      </c>
      <c r="BI64" s="260">
        <f>SUMIFS(領用表!$L:$L,領用表!$E:$E,$B64,領用表!$B:$B,BH$2&amp;BI$2)</f>
        <v>66280</v>
      </c>
      <c r="BJ64" s="260">
        <f>SUMIFS(領用表!$L:$L,領用表!$E:$E,$B64,領用表!$B:$B,$BH$2&amp;BJ$2)</f>
        <v>0</v>
      </c>
      <c r="BK64" s="260">
        <f>SUMIFS(領用表!$L:$L,領用表!$E:$E,$B64,領用表!$B:$B,$BH$2&amp;BK$2)</f>
        <v>98476</v>
      </c>
      <c r="BL64" s="260">
        <f>SUMIFS(領用表!$L:$L,領用表!$E:$E,$B64,領用表!$B:$B,$BH$2&amp;BL$2)</f>
        <v>0</v>
      </c>
      <c r="BM64" s="203">
        <f>SUMIFS(領用表!$L:$L,領用表!$A:$A,BM$2,領用表!$E:$E,B64)</f>
        <v>243828</v>
      </c>
      <c r="BN64" s="206">
        <f>SUMIFS(領用表!$L:$L,領用表!$E:$E,$B64,領用表!$B:$B,BM$2&amp;BN$2)</f>
        <v>85897</v>
      </c>
      <c r="BO64" s="206">
        <f>SUMIFS(領用表!$L:$L,領用表!$E:$E,$B64,領用表!$B:$B,$BM$2&amp;BO$2)</f>
        <v>0</v>
      </c>
      <c r="BP64" s="206">
        <f>SUMIFS(領用表!$L:$L,領用表!$E:$E,$B64,領用表!$B:$B,$BM$2&amp;BP$2)</f>
        <v>157931</v>
      </c>
      <c r="BQ64" s="206">
        <f>SUMIFS(領用表!$L:$L,領用表!$E:$E,$B64,領用表!$B:$B,$BM$2&amp;BQ$2)</f>
        <v>0</v>
      </c>
      <c r="BR64" s="203">
        <f>SUMIFS(領用表!$L:$L,領用表!$A:$A,BR$2,領用表!$E:$E,B64)</f>
        <v>237903</v>
      </c>
      <c r="BS64" s="206">
        <f>SUMIFS(領用表!$L:$L,領用表!$E:$E,$B64,領用表!$B:$B,BR$2&amp;BS$2)</f>
        <v>73950</v>
      </c>
      <c r="BT64" s="206">
        <f>SUMIFS(領用表!$L:$L,領用表!$E:$E,$B64,領用表!$B:$B,$BR$2&amp;BT$2)</f>
        <v>0</v>
      </c>
      <c r="BU64" s="206">
        <f>SUMIFS(領用表!$L:$L,領用表!$E:$E,$B64,領用表!$B:$B,$BR$2&amp;BU$2)</f>
        <v>163953</v>
      </c>
      <c r="BV64" s="206">
        <f>SUMIFS(領用表!$L:$L,領用表!$E:$E,$B64,領用表!$B:$B,$BR$2&amp;BV$2)</f>
        <v>0</v>
      </c>
      <c r="BW64" s="208">
        <f>SUMIFS(領用表!$L:$L,領用表!$A:$A,BW$2,領用表!$E:$E,B64)</f>
        <v>261700</v>
      </c>
      <c r="BX64" s="206">
        <f>SUMIFS(領用表!$L:$L,領用表!$E:$E,$B64,領用表!$B:$B,BW$2&amp;BX$2)</f>
        <v>72200</v>
      </c>
      <c r="BY64" s="206">
        <f>SUMIFS(領用表!$L:$L,領用表!$E:$E,$B64,領用表!$B:$B,$BW$2&amp;BY$2)</f>
        <v>0</v>
      </c>
      <c r="BZ64" s="206">
        <f>SUMIFS(領用表!$L:$L,領用表!$E:$E,$B64,領用表!$B:$B,$BW$2&amp;BZ$2)</f>
        <v>189500</v>
      </c>
      <c r="CA64" s="206">
        <f>SUMIFS(領用表!$L:$L,領用表!$E:$E,$B64,領用表!$B:$B,$BW$2&amp;CA$2)</f>
        <v>0</v>
      </c>
      <c r="CB64" s="208">
        <f>SUMIFS(領用表!$L:$L,領用表!$A:$A,CB$2,領用表!$E:$E,B64)</f>
        <v>329239</v>
      </c>
      <c r="CC64" s="206">
        <f>SUMIFS(領用表!$L:$L,領用表!$E:$E,$B64,領用表!$B:$B,CB$2&amp;CC$2)</f>
        <v>120526</v>
      </c>
      <c r="CD64" s="206">
        <f>SUMIFS(領用表!$L:$L,領用表!$E:$E,$B64,領用表!$B:$B,$CB$2&amp;CD$2)</f>
        <v>0</v>
      </c>
      <c r="CE64" s="206">
        <f>SUMIFS(領用表!$L:$L,領用表!$E:$E,$B64,領用表!$B:$B,$CB$2&amp;CE$2)</f>
        <v>208713</v>
      </c>
      <c r="CF64" s="206">
        <f>SUMIFS(領用表!$L:$L,領用表!$E:$E,$B64,領用表!$B:$B,$CB$2&amp;CF$2)</f>
        <v>0</v>
      </c>
      <c r="CG64" s="208">
        <f>SUMIFS(領用表!$L:$L,領用表!$A:$A,CG$2,領用表!$E:$E,B64)</f>
        <v>340753</v>
      </c>
      <c r="CH64" s="206">
        <f>SUMIFS(領用表!$L:$L,領用表!$E:$E,$B64,領用表!$B:$B,CG$2&amp;CH$2)</f>
        <v>115752</v>
      </c>
      <c r="CI64" s="206">
        <f>SUMIFS(領用表!$L:$L,領用表!$E:$E,$B64,領用表!$B:$B,CG$2&amp;CI$2)</f>
        <v>0</v>
      </c>
      <c r="CJ64" s="206">
        <f>SUMIFS(領用表!$L:$L,領用表!$E:$E,$B64,領用表!$B:$B,CG$2&amp;CJ$2)</f>
        <v>225001</v>
      </c>
      <c r="CK64" s="206">
        <f>SUMIFS(領用表!$L:$L,領用表!$E:$E,$B64,領用表!$B:$B,$CG$2&amp;CK$2)</f>
        <v>0</v>
      </c>
      <c r="CL64" s="207">
        <f t="shared" si="16"/>
        <v>1769887</v>
      </c>
      <c r="CM64" s="207">
        <f t="shared" si="17"/>
        <v>221235.875</v>
      </c>
      <c r="CN64" s="208">
        <f>SUMIFS(領用表!$L:$L,領用表!$A:$A,CN$2,領用表!$E:$E,B64)</f>
        <v>351998</v>
      </c>
      <c r="CO64" s="206">
        <f>SUMIFS(領用表!$L:$L,領用表!$E:$E,$B64,領用表!$B:$B,CN$2&amp;CO$2)</f>
        <v>139998</v>
      </c>
      <c r="CP64" s="206">
        <f>SUMIFS(領用表!$L:$L,領用表!$E:$E,$B64,領用表!$B:$B,$CN$2&amp;CP$2)</f>
        <v>0</v>
      </c>
      <c r="CQ64" s="206">
        <f>SUMIFS(領用表!$L:$L,領用表!$E:$E,$B64,領用表!$B:$B,$CN$2&amp;CQ$2)</f>
        <v>212000</v>
      </c>
      <c r="CR64" s="206">
        <f>SUMIFS(領用表!$L:$L,領用表!$E:$E,$B64,領用表!$B:$B,$CN$2&amp;CR$2)</f>
        <v>0</v>
      </c>
      <c r="CS64" s="208">
        <f>SUMIFS(領用表!$L:$L,領用表!$A:$A,CS$2,領用表!$E:$E,B64)</f>
        <v>200296</v>
      </c>
      <c r="CT64" s="206">
        <f>SUMIFS(領用表!$L:$L,領用表!$E:$E,$B64,領用表!$B:$B,CS$2&amp;CT$2)</f>
        <v>104295</v>
      </c>
      <c r="CU64" s="206">
        <f>SUMIFS(領用表!$L:$L,領用表!$E:$E,$B64,領用表!$B:$B,$CS$2&amp;CU$2)</f>
        <v>0</v>
      </c>
      <c r="CV64" s="206">
        <f>SUMIFS(領用表!$L:$L,領用表!$E:$E,$B64,領用表!$B:$B,$CS$2&amp;CV$2)</f>
        <v>91991</v>
      </c>
      <c r="CW64" s="206">
        <f>SUMIFS(領用表!$L:$L,領用表!$E:$E,$B64,領用表!$B:$B,$CS$2&amp;CW$2)</f>
        <v>0</v>
      </c>
      <c r="CX64" s="206">
        <f>SUMIFS(領用表!$L:$L,領用表!$E:$E,$B64,領用表!$B:$B,$CS$2&amp;CX$2)</f>
        <v>4010</v>
      </c>
      <c r="CY64" s="208">
        <f>SUMIFS(領用表!$L:$L,領用表!$A:$A,CY$2,領用表!$E:$E,B64)</f>
        <v>174750</v>
      </c>
      <c r="CZ64" s="206">
        <f>SUMIFS(領用表!$L:$L,領用表!$E:$E,$B64,領用表!$B:$B,CY$2&amp;CZ$2)</f>
        <v>87750</v>
      </c>
      <c r="DA64" s="206">
        <f>SUMIFS(領用表!$L:$L,領用表!$E:$E,$B64,領用表!$B:$B,$CY$2&amp;DA$2)</f>
        <v>0</v>
      </c>
      <c r="DB64" s="206">
        <f>SUMIFS(領用表!$L:$L,領用表!$E:$E,$B64,領用表!$B:$B,$CY$2&amp;DB$2)</f>
        <v>80500</v>
      </c>
      <c r="DC64" s="206">
        <f>SUMIFS(領用表!$L:$L,領用表!$E:$E,$B64,領用表!$B:$B,$CY$2&amp;DC$2)</f>
        <v>0</v>
      </c>
      <c r="DD64" s="206">
        <f>SUMIFS(領用表!$L:$L,領用表!$E:$E,$B64,領用表!$B:$B,$CY$2&amp;DD$2)</f>
        <v>6500</v>
      </c>
      <c r="DE64" s="208">
        <f>SUMIFS(領用表!$L:$L,領用表!$A:$A,DE$2,領用表!$E:$E,B64)</f>
        <v>224983</v>
      </c>
      <c r="DF64" s="206">
        <f>SUMIFS(領用表!$L:$L,領用表!$E:$E,$B64,領用表!$B:$B,DE$2&amp;DF$2)</f>
        <v>91690</v>
      </c>
      <c r="DG64" s="206">
        <f>SUMIFS(領用表!$L:$L,領用表!$E:$E,$B64,領用表!$B:$B,$DE$2&amp;DG$2)</f>
        <v>0</v>
      </c>
      <c r="DH64" s="206">
        <f>SUMIFS(領用表!$L:$L,領用表!$E:$E,$B64,領用表!$B:$B,$DE$2&amp;DH$2)</f>
        <v>76893</v>
      </c>
      <c r="DI64" s="206">
        <f>SUMIFS(領用表!$L:$L,領用表!$E:$E,$B64,領用表!$B:$B,$DE$2&amp;DI$2)</f>
        <v>0</v>
      </c>
      <c r="DJ64" s="206">
        <f>SUMIFS(領用表!$L:$L,領用表!$E:$E,$B64,領用表!$B:$B,$DE$2&amp;DJ$2)</f>
        <v>56400</v>
      </c>
      <c r="DK64" s="208">
        <f>SUMIFS(領用表!$L:$L,領用表!$A:$A,DK$2,領用表!$E:$E,$B64)</f>
        <v>230978</v>
      </c>
      <c r="DL64" s="206">
        <f>SUMIFS(領用表!$L:$L,領用表!$E:$E,$B64,領用表!$B:$B,DK$2&amp;DL$2)</f>
        <v>91100</v>
      </c>
      <c r="DM64" s="206">
        <f>SUMIFS(領用表!$L:$L,領用表!$E:$E,$B64,領用表!$B:$B,$DK$2&amp;DM$2)</f>
        <v>0</v>
      </c>
      <c r="DN64" s="206">
        <f>SUMIFS(領用表!$L:$L,領用表!$E:$E,$B64,領用表!$B:$B,$DK$2&amp;DN$2)</f>
        <v>94888</v>
      </c>
      <c r="DO64" s="206">
        <f>SUMIFS(領用表!$L:$L,領用表!$E:$E,$B64,領用表!$B:$B,$DK$2&amp;DO$2)</f>
        <v>0</v>
      </c>
      <c r="DP64" s="206">
        <f>SUMIFS(領用表!$L:$L,領用表!$E:$E,$B64,領用表!$B:$B,$DK$2&amp;DP$2)</f>
        <v>44990</v>
      </c>
      <c r="DQ64" s="206">
        <f t="shared" si="14"/>
        <v>1183005</v>
      </c>
      <c r="DR64" s="206">
        <f t="shared" si="15"/>
        <v>236601</v>
      </c>
      <c r="DS64" s="206">
        <f t="shared" si="6"/>
        <v>290000</v>
      </c>
      <c r="DT64" s="206">
        <v>120000</v>
      </c>
      <c r="DU64" s="206">
        <v>0</v>
      </c>
      <c r="DV64" s="206">
        <v>170000</v>
      </c>
      <c r="DW64" s="206">
        <v>0</v>
      </c>
      <c r="DX64" s="209">
        <v>480000</v>
      </c>
      <c r="DY64" s="466"/>
      <c r="DZ64" s="254" t="s">
        <v>810</v>
      </c>
      <c r="EA64" s="254" t="s">
        <v>809</v>
      </c>
      <c r="EB64" s="346" t="s">
        <v>844</v>
      </c>
      <c r="EC64" s="136"/>
      <c r="ED64" s="118">
        <f>IFERROR(VLOOKUP(A64,站前4樓!A:BF,57,0),0)</f>
        <v>120526</v>
      </c>
      <c r="EE64" s="213">
        <f>IFERROR(VLOOKUP(A64,站前11樓!A:BE,57,0),0)</f>
        <v>0</v>
      </c>
      <c r="EF64" s="118">
        <f>IFERROR(VLOOKUP(A64,忠孝7樓!A:N,57,0),0)</f>
        <v>0</v>
      </c>
      <c r="EG64" s="118">
        <f>IFERROR(VLOOKUP(A64,忠孝國際醫學3樓!A:L,57,0),0)</f>
        <v>0</v>
      </c>
      <c r="EH64" s="118">
        <f t="shared" si="7"/>
        <v>120526</v>
      </c>
      <c r="EJ64" s="118">
        <v>898768</v>
      </c>
      <c r="EK64" s="118">
        <v>1423234</v>
      </c>
    </row>
    <row r="65" spans="1:141" s="118" customFormat="1" ht="15.75" customHeight="1">
      <c r="A65" s="136" t="s">
        <v>117</v>
      </c>
      <c r="B65" s="118">
        <v>6220005</v>
      </c>
      <c r="C65" s="118" t="s">
        <v>620</v>
      </c>
      <c r="D65" s="207">
        <v>15</v>
      </c>
      <c r="E65" s="198" t="s">
        <v>15</v>
      </c>
      <c r="F65" s="225">
        <f>SUMIF(站前4樓!B:B,B65,站前4樓!F:F)</f>
        <v>316</v>
      </c>
      <c r="G65" s="225">
        <f>SUMIF(站前11樓!B:B,B65,站前11樓!F:F)</f>
        <v>0</v>
      </c>
      <c r="H65" s="225">
        <f>SUMIF(忠孝7樓!B:B,B65,忠孝7樓!G:G)</f>
        <v>491</v>
      </c>
      <c r="I65" s="225">
        <f>SUMIF(忠孝國際醫學3樓!B:B,B65,忠孝國際醫學3樓!G:G)</f>
        <v>0</v>
      </c>
      <c r="J65" s="225">
        <f>SUMIF(忠孝健康7樓!B:B,B65,忠孝健康7樓!G:G)</f>
        <v>205</v>
      </c>
      <c r="K65" s="200">
        <v>7.0000000000000007E-2</v>
      </c>
      <c r="L65" s="200">
        <v>0</v>
      </c>
      <c r="M65" s="200">
        <v>7.0000000000000007E-2</v>
      </c>
      <c r="N65" s="200">
        <v>1.33</v>
      </c>
      <c r="O65" s="200">
        <v>1.93</v>
      </c>
      <c r="P65" s="200">
        <v>2.4700000000000002</v>
      </c>
      <c r="Q65" s="200">
        <v>2.73</v>
      </c>
      <c r="R65" s="200">
        <v>3.47</v>
      </c>
      <c r="S65" s="200">
        <v>4.13</v>
      </c>
      <c r="T65" s="200">
        <v>4.7300000000000004</v>
      </c>
      <c r="U65" s="200">
        <v>6.2</v>
      </c>
      <c r="V65" s="200">
        <v>7.33</v>
      </c>
      <c r="W65" s="200">
        <v>7.13</v>
      </c>
      <c r="X65" s="200">
        <v>4.53</v>
      </c>
      <c r="Y65" s="200">
        <v>4.2</v>
      </c>
      <c r="Z65" s="200">
        <v>5.67</v>
      </c>
      <c r="AA65" s="200">
        <v>5.27</v>
      </c>
      <c r="AB65" s="200">
        <v>5.8</v>
      </c>
      <c r="AC65" s="200">
        <v>6.67</v>
      </c>
      <c r="AD65" s="200">
        <v>8.1999999999999993</v>
      </c>
      <c r="AE65" s="200">
        <v>6.87</v>
      </c>
      <c r="AF65" s="200">
        <v>8.07</v>
      </c>
      <c r="AG65" s="200">
        <v>7.2</v>
      </c>
      <c r="AH65" s="200">
        <v>6</v>
      </c>
      <c r="AI65" s="200">
        <v>6.87</v>
      </c>
      <c r="AJ65" s="221">
        <v>8.4</v>
      </c>
      <c r="AK65" s="221">
        <v>8.1999999999999993</v>
      </c>
      <c r="AL65" s="221">
        <v>9.4</v>
      </c>
      <c r="AM65" s="221">
        <v>8.6</v>
      </c>
      <c r="AN65" s="221">
        <v>10.7333</v>
      </c>
      <c r="AO65" s="221">
        <v>12</v>
      </c>
      <c r="AP65" s="221">
        <v>15.4</v>
      </c>
      <c r="AQ65" s="221">
        <v>30.7333</v>
      </c>
      <c r="AR65" s="221">
        <v>25.533333330000001</v>
      </c>
      <c r="AS65" s="201">
        <v>24.8</v>
      </c>
      <c r="AT65" s="202">
        <v>27.8</v>
      </c>
      <c r="AU65" s="203">
        <f>435/D65</f>
        <v>29</v>
      </c>
      <c r="AV65" s="204">
        <f t="shared" ref="AV65:AV71" si="18">SUM(AJ65:AU65)</f>
        <v>210.59993333000003</v>
      </c>
      <c r="AW65" s="205">
        <f t="shared" ref="AW65:AW71" si="19">AV65/12</f>
        <v>17.549994444166668</v>
      </c>
      <c r="AX65" s="203">
        <v>813</v>
      </c>
      <c r="AY65" s="203">
        <v>567</v>
      </c>
      <c r="AZ65" s="203">
        <v>731</v>
      </c>
      <c r="BA65" s="203">
        <v>552</v>
      </c>
      <c r="BB65" s="203">
        <v>572</v>
      </c>
      <c r="BC65" s="203">
        <f>SUMIFS(領用表!$L:$L,領用表!$A:$A,BC$2,領用表!$E:$E,B65)</f>
        <v>636</v>
      </c>
      <c r="BD65" s="206">
        <f>SUMIFS(領用表!$L:$L,領用表!$E:$E,$B65,領用表!$B:$B,BC$2&amp;BD$2)</f>
        <v>636</v>
      </c>
      <c r="BE65" s="206">
        <f>SUMIFS(領用表!$L:$L,領用表!$E:$E,$B65,領用表!$B:$B,$BC$2&amp;BE$2)</f>
        <v>0</v>
      </c>
      <c r="BF65" s="206">
        <f>SUMIFS(領用表!$L:$L,領用表!$E:$E,$B65,領用表!$B:$B,$BC$2&amp;BF$2)</f>
        <v>0</v>
      </c>
      <c r="BG65" s="206">
        <f>SUMIFS(領用表!$L:$L,領用表!$E:$E,$B65,領用表!$B:$B,$BC$2&amp;BG$2)</f>
        <v>0</v>
      </c>
      <c r="BH65" s="203">
        <f>SUMIFS(領用表!$L:$L,領用表!$A:$A,BH$2,領用表!$E:$E,B65)</f>
        <v>1015</v>
      </c>
      <c r="BI65" s="260">
        <f>SUMIFS(領用表!$L:$L,領用表!$E:$E,$B65,領用表!$B:$B,BH$2&amp;BI$2)</f>
        <v>569</v>
      </c>
      <c r="BJ65" s="260">
        <f>SUMIFS(領用表!$L:$L,領用表!$E:$E,$B65,領用表!$B:$B,$BH$2&amp;BJ$2)</f>
        <v>0</v>
      </c>
      <c r="BK65" s="260">
        <f>SUMIFS(領用表!$L:$L,領用表!$E:$E,$B65,領用表!$B:$B,$BH$2&amp;BK$2)</f>
        <v>446</v>
      </c>
      <c r="BL65" s="260">
        <f>SUMIFS(領用表!$L:$L,領用表!$E:$E,$B65,領用表!$B:$B,$BH$2&amp;BL$2)</f>
        <v>0</v>
      </c>
      <c r="BM65" s="203">
        <f>SUMIFS(領用表!$L:$L,領用表!$A:$A,BM$2,領用表!$E:$E,B65)</f>
        <v>1262</v>
      </c>
      <c r="BN65" s="206">
        <f>SUMIFS(領用表!$L:$L,領用表!$E:$E,$B65,領用表!$B:$B,BM$2&amp;BN$2)</f>
        <v>565</v>
      </c>
      <c r="BO65" s="206">
        <f>SUMIFS(領用表!$L:$L,領用表!$E:$E,$B65,領用表!$B:$B,$BM$2&amp;BO$2)</f>
        <v>0</v>
      </c>
      <c r="BP65" s="206">
        <f>SUMIFS(領用表!$L:$L,領用表!$E:$E,$B65,領用表!$B:$B,$BM$2&amp;BP$2)</f>
        <v>697</v>
      </c>
      <c r="BQ65" s="206">
        <f>SUMIFS(領用表!$L:$L,領用表!$E:$E,$B65,領用表!$B:$B,$BM$2&amp;BQ$2)</f>
        <v>0</v>
      </c>
      <c r="BR65" s="203">
        <f>SUMIFS(領用表!$L:$L,領用表!$A:$A,BR$2,領用表!$E:$E,B65)</f>
        <v>1380</v>
      </c>
      <c r="BS65" s="206">
        <f>SUMIFS(領用表!$L:$L,領用表!$E:$E,$B65,領用表!$B:$B,BR$2&amp;BS$2)</f>
        <v>590</v>
      </c>
      <c r="BT65" s="206">
        <f>SUMIFS(領用表!$L:$L,領用表!$E:$E,$B65,領用表!$B:$B,$BR$2&amp;BT$2)</f>
        <v>0</v>
      </c>
      <c r="BU65" s="206">
        <f>SUMIFS(領用表!$L:$L,領用表!$E:$E,$B65,領用表!$B:$B,$BR$2&amp;BU$2)</f>
        <v>790</v>
      </c>
      <c r="BV65" s="206">
        <f>SUMIFS(領用表!$L:$L,領用表!$E:$E,$B65,領用表!$B:$B,$BR$2&amp;BV$2)</f>
        <v>0</v>
      </c>
      <c r="BW65" s="208">
        <f>SUMIFS(領用表!$L:$L,領用表!$A:$A,BW$2,領用表!$E:$E,B65)</f>
        <v>1585</v>
      </c>
      <c r="BX65" s="206">
        <f>SUMIFS(領用表!$L:$L,領用表!$E:$E,$B65,領用表!$B:$B,BW$2&amp;BX$2)</f>
        <v>672</v>
      </c>
      <c r="BY65" s="206">
        <f>SUMIFS(領用表!$L:$L,領用表!$E:$E,$B65,領用表!$B:$B,$BW$2&amp;BY$2)</f>
        <v>0</v>
      </c>
      <c r="BZ65" s="206">
        <f>SUMIFS(領用表!$L:$L,領用表!$E:$E,$B65,領用表!$B:$B,$BW$2&amp;BZ$2)</f>
        <v>913</v>
      </c>
      <c r="CA65" s="206">
        <f>SUMIFS(領用表!$L:$L,領用表!$E:$E,$B65,領用表!$B:$B,$BW$2&amp;CA$2)</f>
        <v>0</v>
      </c>
      <c r="CB65" s="208">
        <f>SUMIFS(領用表!$L:$L,領用表!$A:$A,CB$2,領用表!$E:$E,B65)</f>
        <v>1654</v>
      </c>
      <c r="CC65" s="206">
        <f>SUMIFS(領用表!$L:$L,領用表!$E:$E,$B65,領用表!$B:$B,CB$2&amp;CC$2)</f>
        <v>658</v>
      </c>
      <c r="CD65" s="206">
        <f>SUMIFS(領用表!$L:$L,領用表!$E:$E,$B65,領用表!$B:$B,$CB$2&amp;CD$2)</f>
        <v>0</v>
      </c>
      <c r="CE65" s="206">
        <f>SUMIFS(領用表!$L:$L,領用表!$E:$E,$B65,領用表!$B:$B,$CB$2&amp;CE$2)</f>
        <v>996</v>
      </c>
      <c r="CF65" s="206">
        <f>SUMIFS(領用表!$L:$L,領用表!$E:$E,$B65,領用表!$B:$B,$CB$2&amp;CF$2)</f>
        <v>0</v>
      </c>
      <c r="CG65" s="208">
        <f>SUMIFS(領用表!$L:$L,領用表!$A:$A,CG$2,領用表!$E:$E,B65)</f>
        <v>1879</v>
      </c>
      <c r="CH65" s="206">
        <f>SUMIFS(領用表!$L:$L,領用表!$E:$E,$B65,領用表!$B:$B,CG$2&amp;CH$2)</f>
        <v>725</v>
      </c>
      <c r="CI65" s="206">
        <f>SUMIFS(領用表!$L:$L,領用表!$E:$E,$B65,領用表!$B:$B,CG$2&amp;CI$2)</f>
        <v>0</v>
      </c>
      <c r="CJ65" s="206">
        <f>SUMIFS(領用表!$L:$L,領用表!$E:$E,$B65,領用表!$B:$B,CG$2&amp;CJ$2)</f>
        <v>1154</v>
      </c>
      <c r="CK65" s="206">
        <f>SUMIFS(領用表!$L:$L,領用表!$E:$E,$B65,領用表!$B:$B,$CG$2&amp;CK$2)</f>
        <v>0</v>
      </c>
      <c r="CL65" s="207">
        <f t="shared" si="16"/>
        <v>12646</v>
      </c>
      <c r="CM65" s="207">
        <f t="shared" si="17"/>
        <v>1053.8333333333333</v>
      </c>
      <c r="CN65" s="208">
        <f>SUMIFS(領用表!$L:$L,領用表!$A:$A,CN$2,領用表!$E:$E,B65)</f>
        <v>1811</v>
      </c>
      <c r="CO65" s="206">
        <f>SUMIFS(領用表!$L:$L,領用表!$E:$E,$B65,領用表!$B:$B,CN$2&amp;CO$2)</f>
        <v>648</v>
      </c>
      <c r="CP65" s="206">
        <f>SUMIFS(領用表!$L:$L,領用表!$E:$E,$B65,領用表!$B:$B,$CN$2&amp;CP$2)</f>
        <v>0</v>
      </c>
      <c r="CQ65" s="206">
        <f>SUMIFS(領用表!$L:$L,領用表!$E:$E,$B65,領用表!$B:$B,$CN$2&amp;CQ$2)</f>
        <v>1163</v>
      </c>
      <c r="CR65" s="206">
        <f>SUMIFS(領用表!$L:$L,領用表!$E:$E,$B65,領用表!$B:$B,$CN$2&amp;CR$2)</f>
        <v>0</v>
      </c>
      <c r="CS65" s="208">
        <f>SUMIFS(領用表!$L:$L,領用表!$A:$A,CS$2,領用表!$E:$E,B65)</f>
        <v>1326</v>
      </c>
      <c r="CT65" s="206">
        <f>SUMIFS(領用表!$L:$L,領用表!$E:$E,$B65,領用表!$B:$B,CS$2&amp;CT$2)</f>
        <v>495</v>
      </c>
      <c r="CU65" s="206">
        <f>SUMIFS(領用表!$L:$L,領用表!$E:$E,$B65,領用表!$B:$B,$CS$2&amp;CU$2)</f>
        <v>0</v>
      </c>
      <c r="CV65" s="206">
        <f>SUMIFS(領用表!$L:$L,領用表!$E:$E,$B65,領用表!$B:$B,$CS$2&amp;CV$2)</f>
        <v>787</v>
      </c>
      <c r="CW65" s="206">
        <f>SUMIFS(領用表!$L:$L,領用表!$E:$E,$B65,領用表!$B:$B,$CS$2&amp;CW$2)</f>
        <v>0</v>
      </c>
      <c r="CX65" s="206">
        <f>SUMIFS(領用表!$L:$L,領用表!$E:$E,$B65,領用表!$B:$B,$CS$2&amp;CX$2)</f>
        <v>44</v>
      </c>
      <c r="CY65" s="208">
        <f>SUMIFS(領用表!$L:$L,領用表!$A:$A,CY$2,領用表!$E:$E,B65)</f>
        <v>1731</v>
      </c>
      <c r="CZ65" s="206">
        <f>SUMIFS(領用表!$L:$L,領用表!$E:$E,$B65,領用表!$B:$B,CY$2&amp;CZ$2)</f>
        <v>602</v>
      </c>
      <c r="DA65" s="206">
        <f>SUMIFS(領用表!$L:$L,領用表!$E:$E,$B65,領用表!$B:$B,$CY$2&amp;DA$2)</f>
        <v>0</v>
      </c>
      <c r="DB65" s="206">
        <f>SUMIFS(領用表!$L:$L,領用表!$E:$E,$B65,領用表!$B:$B,$CY$2&amp;DB$2)</f>
        <v>921</v>
      </c>
      <c r="DC65" s="206">
        <f>SUMIFS(領用表!$L:$L,領用表!$E:$E,$B65,領用表!$B:$B,$CY$2&amp;DC$2)</f>
        <v>0</v>
      </c>
      <c r="DD65" s="206">
        <f>SUMIFS(領用表!$L:$L,領用表!$E:$E,$B65,領用表!$B:$B,$CY$2&amp;DD$2)</f>
        <v>208</v>
      </c>
      <c r="DE65" s="208">
        <f>SUMIFS(領用表!$L:$L,領用表!$A:$A,DE$2,領用表!$E:$E,B65)</f>
        <v>1689</v>
      </c>
      <c r="DF65" s="206">
        <f>SUMIFS(領用表!$L:$L,領用表!$E:$E,$B65,領用表!$B:$B,DE$2&amp;DF$2)</f>
        <v>530</v>
      </c>
      <c r="DG65" s="206">
        <f>SUMIFS(領用表!$L:$L,領用表!$E:$E,$B65,領用表!$B:$B,$DE$2&amp;DG$2)</f>
        <v>0</v>
      </c>
      <c r="DH65" s="206">
        <f>SUMIFS(領用表!$L:$L,領用表!$E:$E,$B65,領用表!$B:$B,$DE$2&amp;DH$2)</f>
        <v>842</v>
      </c>
      <c r="DI65" s="206">
        <f>SUMIFS(領用表!$L:$L,領用表!$E:$E,$B65,領用表!$B:$B,$DE$2&amp;DI$2)</f>
        <v>0</v>
      </c>
      <c r="DJ65" s="206">
        <f>SUMIFS(領用表!$L:$L,領用表!$E:$E,$B65,領用表!$B:$B,$DE$2&amp;DJ$2)</f>
        <v>317</v>
      </c>
      <c r="DK65" s="208">
        <f>SUMIFS(領用表!$L:$L,領用表!$A:$A,DK$2,領用表!$E:$E,$B65)</f>
        <v>1727</v>
      </c>
      <c r="DL65" s="206">
        <f>SUMIFS(領用表!$L:$L,領用表!$E:$E,$B65,領用表!$B:$B,DK$2&amp;DL$2)</f>
        <v>562</v>
      </c>
      <c r="DM65" s="206">
        <f>SUMIFS(領用表!$L:$L,領用表!$E:$E,$B65,領用表!$B:$B,$DK$2&amp;DM$2)</f>
        <v>0</v>
      </c>
      <c r="DN65" s="206">
        <f>SUMIFS(領用表!$L:$L,領用表!$E:$E,$B65,領用表!$B:$B,$DK$2&amp;DN$2)</f>
        <v>838</v>
      </c>
      <c r="DO65" s="206">
        <f>SUMIFS(領用表!$L:$L,領用表!$E:$E,$B65,領用表!$B:$B,$DK$2&amp;DO$2)</f>
        <v>0</v>
      </c>
      <c r="DP65" s="206">
        <f>SUMIFS(領用表!$L:$L,領用表!$E:$E,$B65,領用表!$B:$B,$DK$2&amp;DP$2)</f>
        <v>327</v>
      </c>
      <c r="DQ65" s="206">
        <f t="shared" si="14"/>
        <v>8284</v>
      </c>
      <c r="DR65" s="206">
        <f t="shared" si="15"/>
        <v>1656.8</v>
      </c>
      <c r="DS65" s="206">
        <f t="shared" si="6"/>
        <v>1450</v>
      </c>
      <c r="DT65" s="206">
        <v>550</v>
      </c>
      <c r="DU65" s="206">
        <v>0</v>
      </c>
      <c r="DV65" s="206">
        <v>900</v>
      </c>
      <c r="DW65" s="206">
        <v>0</v>
      </c>
      <c r="DX65" s="209">
        <v>600</v>
      </c>
      <c r="DY65" s="468"/>
      <c r="DZ65" s="254" t="s">
        <v>118</v>
      </c>
      <c r="EA65" s="254" t="s">
        <v>119</v>
      </c>
      <c r="EB65" s="136"/>
      <c r="EC65" s="136"/>
      <c r="ED65" s="118">
        <f>IFERROR(VLOOKUP(A65,站前4樓!A:BF,57,0),0)</f>
        <v>658</v>
      </c>
      <c r="EE65" s="213">
        <f>IFERROR(VLOOKUP(A65,站前11樓!A:BE,57,0),0)</f>
        <v>0</v>
      </c>
      <c r="EF65" s="118">
        <f>IFERROR(VLOOKUP(A65,忠孝7樓!A:N,57,0),0)</f>
        <v>0</v>
      </c>
      <c r="EG65" s="118">
        <f>IFERROR(VLOOKUP(A65,忠孝國際醫學3樓!A:L,57,0),0)</f>
        <v>0</v>
      </c>
      <c r="EH65" s="118">
        <f t="shared" si="7"/>
        <v>658</v>
      </c>
      <c r="EJ65" s="118">
        <v>516</v>
      </c>
      <c r="EK65" s="118">
        <v>760</v>
      </c>
    </row>
    <row r="66" spans="1:141" s="118" customFormat="1" ht="15.75" customHeight="1">
      <c r="A66" s="136" t="s">
        <v>120</v>
      </c>
      <c r="B66" s="118">
        <v>6220006</v>
      </c>
      <c r="C66" s="118" t="s">
        <v>621</v>
      </c>
      <c r="D66" s="207">
        <v>15</v>
      </c>
      <c r="E66" s="198" t="s">
        <v>15</v>
      </c>
      <c r="F66" s="225">
        <f>SUMIF(站前4樓!B:B,B66,站前4樓!F:F)</f>
        <v>316</v>
      </c>
      <c r="G66" s="225">
        <f>SUMIF(站前11樓!B:B,B66,站前11樓!F:F)</f>
        <v>0</v>
      </c>
      <c r="H66" s="225">
        <f>SUMIF(忠孝7樓!B:B,B66,忠孝7樓!G:G)</f>
        <v>491</v>
      </c>
      <c r="I66" s="225">
        <f>SUMIF(忠孝國際醫學3樓!B:B,B66,忠孝國際醫學3樓!G:G)</f>
        <v>0</v>
      </c>
      <c r="J66" s="225">
        <f>SUMIF(忠孝健康7樓!B:B,B66,忠孝健康7樓!G:G)</f>
        <v>205</v>
      </c>
      <c r="K66" s="200">
        <v>7.0000000000000007E-2</v>
      </c>
      <c r="L66" s="200">
        <v>0</v>
      </c>
      <c r="M66" s="200">
        <v>7.0000000000000007E-2</v>
      </c>
      <c r="N66" s="200">
        <v>1.33</v>
      </c>
      <c r="O66" s="200">
        <v>1.93</v>
      </c>
      <c r="P66" s="200">
        <v>2.4700000000000002</v>
      </c>
      <c r="Q66" s="200">
        <v>2.73</v>
      </c>
      <c r="R66" s="200">
        <v>3.47</v>
      </c>
      <c r="S66" s="200">
        <v>4.13</v>
      </c>
      <c r="T66" s="200">
        <v>4.7300000000000004</v>
      </c>
      <c r="U66" s="200">
        <v>6.2</v>
      </c>
      <c r="V66" s="200">
        <v>7.33</v>
      </c>
      <c r="W66" s="200">
        <v>7.13</v>
      </c>
      <c r="X66" s="200">
        <v>4.53</v>
      </c>
      <c r="Y66" s="200">
        <v>4.2</v>
      </c>
      <c r="Z66" s="200">
        <v>5.67</v>
      </c>
      <c r="AA66" s="200">
        <v>5.27</v>
      </c>
      <c r="AB66" s="200">
        <v>5.8</v>
      </c>
      <c r="AC66" s="200">
        <v>6.67</v>
      </c>
      <c r="AD66" s="200">
        <v>8.1999999999999993</v>
      </c>
      <c r="AE66" s="200">
        <v>6.87</v>
      </c>
      <c r="AF66" s="200">
        <v>8.07</v>
      </c>
      <c r="AG66" s="200">
        <v>7.2</v>
      </c>
      <c r="AH66" s="200">
        <v>6</v>
      </c>
      <c r="AI66" s="200">
        <v>6.87</v>
      </c>
      <c r="AJ66" s="221">
        <v>8.4</v>
      </c>
      <c r="AK66" s="221">
        <v>8.1999999999999993</v>
      </c>
      <c r="AL66" s="221">
        <v>9.4</v>
      </c>
      <c r="AM66" s="221">
        <v>8.6</v>
      </c>
      <c r="AN66" s="221">
        <v>10.7333</v>
      </c>
      <c r="AO66" s="221">
        <v>12</v>
      </c>
      <c r="AP66" s="221">
        <v>15.4</v>
      </c>
      <c r="AQ66" s="221">
        <v>30.7333</v>
      </c>
      <c r="AR66" s="221">
        <v>25.533333330000001</v>
      </c>
      <c r="AS66" s="201">
        <v>24.8</v>
      </c>
      <c r="AT66" s="202">
        <v>27.8</v>
      </c>
      <c r="AU66" s="203">
        <f>435/D66</f>
        <v>29</v>
      </c>
      <c r="AV66" s="204">
        <f t="shared" si="18"/>
        <v>210.59993333000003</v>
      </c>
      <c r="AW66" s="205">
        <f t="shared" si="19"/>
        <v>17.549994444166668</v>
      </c>
      <c r="AX66" s="203">
        <v>813</v>
      </c>
      <c r="AY66" s="203">
        <v>567</v>
      </c>
      <c r="AZ66" s="203">
        <v>731</v>
      </c>
      <c r="BA66" s="203">
        <v>552</v>
      </c>
      <c r="BB66" s="203">
        <v>572</v>
      </c>
      <c r="BC66" s="203">
        <f>SUMIFS(領用表!$L:$L,領用表!$A:$A,BC$2,領用表!$E:$E,B66)</f>
        <v>636</v>
      </c>
      <c r="BD66" s="206">
        <f>SUMIFS(領用表!$L:$L,領用表!$E:$E,$B66,領用表!$B:$B,BC$2&amp;BD$2)</f>
        <v>636</v>
      </c>
      <c r="BE66" s="206">
        <f>SUMIFS(領用表!$L:$L,領用表!$E:$E,$B66,領用表!$B:$B,$BC$2&amp;BE$2)</f>
        <v>0</v>
      </c>
      <c r="BF66" s="206">
        <f>SUMIFS(領用表!$L:$L,領用表!$E:$E,$B66,領用表!$B:$B,$BC$2&amp;BF$2)</f>
        <v>0</v>
      </c>
      <c r="BG66" s="206">
        <f>SUMIFS(領用表!$L:$L,領用表!$E:$E,$B66,領用表!$B:$B,$BC$2&amp;BG$2)</f>
        <v>0</v>
      </c>
      <c r="BH66" s="203">
        <f>SUMIFS(領用表!$L:$L,領用表!$A:$A,BH$2,領用表!$E:$E,B66)</f>
        <v>1015</v>
      </c>
      <c r="BI66" s="260">
        <f>SUMIFS(領用表!$L:$L,領用表!$E:$E,$B66,領用表!$B:$B,BH$2&amp;BI$2)</f>
        <v>569</v>
      </c>
      <c r="BJ66" s="260">
        <f>SUMIFS(領用表!$L:$L,領用表!$E:$E,$B66,領用表!$B:$B,$BH$2&amp;BJ$2)</f>
        <v>0</v>
      </c>
      <c r="BK66" s="260">
        <f>SUMIFS(領用表!$L:$L,領用表!$E:$E,$B66,領用表!$B:$B,$BH$2&amp;BK$2)</f>
        <v>446</v>
      </c>
      <c r="BL66" s="260">
        <f>SUMIFS(領用表!$L:$L,領用表!$E:$E,$B66,領用表!$B:$B,$BH$2&amp;BL$2)</f>
        <v>0</v>
      </c>
      <c r="BM66" s="203">
        <f>SUMIFS(領用表!$L:$L,領用表!$A:$A,BM$2,領用表!$E:$E,B66)</f>
        <v>1262</v>
      </c>
      <c r="BN66" s="206">
        <f>SUMIFS(領用表!$L:$L,領用表!$E:$E,$B66,領用表!$B:$B,BM$2&amp;BN$2)</f>
        <v>565</v>
      </c>
      <c r="BO66" s="206">
        <f>SUMIFS(領用表!$L:$L,領用表!$E:$E,$B66,領用表!$B:$B,$BM$2&amp;BO$2)</f>
        <v>0</v>
      </c>
      <c r="BP66" s="206">
        <f>SUMIFS(領用表!$L:$L,領用表!$E:$E,$B66,領用表!$B:$B,$BM$2&amp;BP$2)</f>
        <v>697</v>
      </c>
      <c r="BQ66" s="206">
        <f>SUMIFS(領用表!$L:$L,領用表!$E:$E,$B66,領用表!$B:$B,$BM$2&amp;BQ$2)</f>
        <v>0</v>
      </c>
      <c r="BR66" s="203">
        <f>SUMIFS(領用表!$L:$L,領用表!$A:$A,BR$2,領用表!$E:$E,B66)</f>
        <v>1380</v>
      </c>
      <c r="BS66" s="206">
        <f>SUMIFS(領用表!$L:$L,領用表!$E:$E,$B66,領用表!$B:$B,BR$2&amp;BS$2)</f>
        <v>590</v>
      </c>
      <c r="BT66" s="206">
        <f>SUMIFS(領用表!$L:$L,領用表!$E:$E,$B66,領用表!$B:$B,$BR$2&amp;BT$2)</f>
        <v>0</v>
      </c>
      <c r="BU66" s="206">
        <f>SUMIFS(領用表!$L:$L,領用表!$E:$E,$B66,領用表!$B:$B,$BR$2&amp;BU$2)</f>
        <v>790</v>
      </c>
      <c r="BV66" s="206">
        <f>SUMIFS(領用表!$L:$L,領用表!$E:$E,$B66,領用表!$B:$B,$BR$2&amp;BV$2)</f>
        <v>0</v>
      </c>
      <c r="BW66" s="208">
        <f>SUMIFS(領用表!$L:$L,領用表!$A:$A,BW$2,領用表!$E:$E,B66)</f>
        <v>1585</v>
      </c>
      <c r="BX66" s="206">
        <f>SUMIFS(領用表!$L:$L,領用表!$E:$E,$B66,領用表!$B:$B,BW$2&amp;BX$2)</f>
        <v>672</v>
      </c>
      <c r="BY66" s="206">
        <f>SUMIFS(領用表!$L:$L,領用表!$E:$E,$B66,領用表!$B:$B,$BW$2&amp;BY$2)</f>
        <v>0</v>
      </c>
      <c r="BZ66" s="206">
        <f>SUMIFS(領用表!$L:$L,領用表!$E:$E,$B66,領用表!$B:$B,$BW$2&amp;BZ$2)</f>
        <v>913</v>
      </c>
      <c r="CA66" s="206">
        <f>SUMIFS(領用表!$L:$L,領用表!$E:$E,$B66,領用表!$B:$B,$BW$2&amp;CA$2)</f>
        <v>0</v>
      </c>
      <c r="CB66" s="208">
        <f>SUMIFS(領用表!$L:$L,領用表!$A:$A,CB$2,領用表!$E:$E,B66)</f>
        <v>1654</v>
      </c>
      <c r="CC66" s="206">
        <f>SUMIFS(領用表!$L:$L,領用表!$E:$E,$B66,領用表!$B:$B,CB$2&amp;CC$2)</f>
        <v>658</v>
      </c>
      <c r="CD66" s="206">
        <f>SUMIFS(領用表!$L:$L,領用表!$E:$E,$B66,領用表!$B:$B,$CB$2&amp;CD$2)</f>
        <v>0</v>
      </c>
      <c r="CE66" s="206">
        <f>SUMIFS(領用表!$L:$L,領用表!$E:$E,$B66,領用表!$B:$B,$CB$2&amp;CE$2)</f>
        <v>996</v>
      </c>
      <c r="CF66" s="206">
        <f>SUMIFS(領用表!$L:$L,領用表!$E:$E,$B66,領用表!$B:$B,$CB$2&amp;CF$2)</f>
        <v>0</v>
      </c>
      <c r="CG66" s="208">
        <f>SUMIFS(領用表!$L:$L,領用表!$A:$A,CG$2,領用表!$E:$E,B66)</f>
        <v>1879</v>
      </c>
      <c r="CH66" s="206">
        <f>SUMIFS(領用表!$L:$L,領用表!$E:$E,$B66,領用表!$B:$B,CG$2&amp;CH$2)</f>
        <v>725</v>
      </c>
      <c r="CI66" s="206">
        <f>SUMIFS(領用表!$L:$L,領用表!$E:$E,$B66,領用表!$B:$B,CG$2&amp;CI$2)</f>
        <v>0</v>
      </c>
      <c r="CJ66" s="206">
        <f>SUMIFS(領用表!$L:$L,領用表!$E:$E,$B66,領用表!$B:$B,CG$2&amp;CJ$2)</f>
        <v>1154</v>
      </c>
      <c r="CK66" s="206">
        <f>SUMIFS(領用表!$L:$L,領用表!$E:$E,$B66,領用表!$B:$B,$CG$2&amp;CK$2)</f>
        <v>0</v>
      </c>
      <c r="CL66" s="207">
        <f t="shared" si="16"/>
        <v>12646</v>
      </c>
      <c r="CM66" s="207">
        <f t="shared" si="17"/>
        <v>1053.8333333333333</v>
      </c>
      <c r="CN66" s="208">
        <f>SUMIFS(領用表!$L:$L,領用表!$A:$A,CN$2,領用表!$E:$E,B66)</f>
        <v>1811</v>
      </c>
      <c r="CO66" s="206">
        <f>SUMIFS(領用表!$L:$L,領用表!$E:$E,$B66,領用表!$B:$B,CN$2&amp;CO$2)</f>
        <v>648</v>
      </c>
      <c r="CP66" s="206">
        <f>SUMIFS(領用表!$L:$L,領用表!$E:$E,$B66,領用表!$B:$B,$CN$2&amp;CP$2)</f>
        <v>0</v>
      </c>
      <c r="CQ66" s="206">
        <f>SUMIFS(領用表!$L:$L,領用表!$E:$E,$B66,領用表!$B:$B,$CN$2&amp;CQ$2)</f>
        <v>1163</v>
      </c>
      <c r="CR66" s="206">
        <f>SUMIFS(領用表!$L:$L,領用表!$E:$E,$B66,領用表!$B:$B,$CN$2&amp;CR$2)</f>
        <v>0</v>
      </c>
      <c r="CS66" s="208">
        <f>SUMIFS(領用表!$L:$L,領用表!$A:$A,CS$2,領用表!$E:$E,B66)</f>
        <v>1326</v>
      </c>
      <c r="CT66" s="206">
        <f>SUMIFS(領用表!$L:$L,領用表!$E:$E,$B66,領用表!$B:$B,CS$2&amp;CT$2)</f>
        <v>495</v>
      </c>
      <c r="CU66" s="206">
        <f>SUMIFS(領用表!$L:$L,領用表!$E:$E,$B66,領用表!$B:$B,$CS$2&amp;CU$2)</f>
        <v>0</v>
      </c>
      <c r="CV66" s="206">
        <f>SUMIFS(領用表!$L:$L,領用表!$E:$E,$B66,領用表!$B:$B,$CS$2&amp;CV$2)</f>
        <v>787</v>
      </c>
      <c r="CW66" s="206">
        <f>SUMIFS(領用表!$L:$L,領用表!$E:$E,$B66,領用表!$B:$B,$CS$2&amp;CW$2)</f>
        <v>0</v>
      </c>
      <c r="CX66" s="206">
        <f>SUMIFS(領用表!$L:$L,領用表!$E:$E,$B66,領用表!$B:$B,$CS$2&amp;CX$2)</f>
        <v>44</v>
      </c>
      <c r="CY66" s="208">
        <f>SUMIFS(領用表!$L:$L,領用表!$A:$A,CY$2,領用表!$E:$E,B66)</f>
        <v>1731</v>
      </c>
      <c r="CZ66" s="206">
        <f>SUMIFS(領用表!$L:$L,領用表!$E:$E,$B66,領用表!$B:$B,CY$2&amp;CZ$2)</f>
        <v>602</v>
      </c>
      <c r="DA66" s="206">
        <f>SUMIFS(領用表!$L:$L,領用表!$E:$E,$B66,領用表!$B:$B,$CY$2&amp;DA$2)</f>
        <v>0</v>
      </c>
      <c r="DB66" s="206">
        <f>SUMIFS(領用表!$L:$L,領用表!$E:$E,$B66,領用表!$B:$B,$CY$2&amp;DB$2)</f>
        <v>921</v>
      </c>
      <c r="DC66" s="206">
        <f>SUMIFS(領用表!$L:$L,領用表!$E:$E,$B66,領用表!$B:$B,$CY$2&amp;DC$2)</f>
        <v>0</v>
      </c>
      <c r="DD66" s="206">
        <f>SUMIFS(領用表!$L:$L,領用表!$E:$E,$B66,領用表!$B:$B,$CY$2&amp;DD$2)</f>
        <v>208</v>
      </c>
      <c r="DE66" s="208">
        <f>SUMIFS(領用表!$L:$L,領用表!$A:$A,DE$2,領用表!$E:$E,B66)</f>
        <v>1689</v>
      </c>
      <c r="DF66" s="206">
        <f>SUMIFS(領用表!$L:$L,領用表!$E:$E,$B66,領用表!$B:$B,DE$2&amp;DF$2)</f>
        <v>530</v>
      </c>
      <c r="DG66" s="206">
        <f>SUMIFS(領用表!$L:$L,領用表!$E:$E,$B66,領用表!$B:$B,$DE$2&amp;DG$2)</f>
        <v>0</v>
      </c>
      <c r="DH66" s="206">
        <f>SUMIFS(領用表!$L:$L,領用表!$E:$E,$B66,領用表!$B:$B,$DE$2&amp;DH$2)</f>
        <v>842</v>
      </c>
      <c r="DI66" s="206">
        <f>SUMIFS(領用表!$L:$L,領用表!$E:$E,$B66,領用表!$B:$B,$DE$2&amp;DI$2)</f>
        <v>0</v>
      </c>
      <c r="DJ66" s="206">
        <f>SUMIFS(領用表!$L:$L,領用表!$E:$E,$B66,領用表!$B:$B,$DE$2&amp;DJ$2)</f>
        <v>317</v>
      </c>
      <c r="DK66" s="208">
        <f>SUMIFS(領用表!$L:$L,領用表!$A:$A,DK$2,領用表!$E:$E,$B66)</f>
        <v>1727</v>
      </c>
      <c r="DL66" s="206">
        <f>SUMIFS(領用表!$L:$L,領用表!$E:$E,$B66,領用表!$B:$B,DK$2&amp;DL$2)</f>
        <v>562</v>
      </c>
      <c r="DM66" s="206">
        <f>SUMIFS(領用表!$L:$L,領用表!$E:$E,$B66,領用表!$B:$B,$DK$2&amp;DM$2)</f>
        <v>0</v>
      </c>
      <c r="DN66" s="206">
        <f>SUMIFS(領用表!$L:$L,領用表!$E:$E,$B66,領用表!$B:$B,$DK$2&amp;DN$2)</f>
        <v>838</v>
      </c>
      <c r="DO66" s="206">
        <f>SUMIFS(領用表!$L:$L,領用表!$E:$E,$B66,領用表!$B:$B,$DK$2&amp;DO$2)</f>
        <v>0</v>
      </c>
      <c r="DP66" s="206">
        <f>SUMIFS(領用表!$L:$L,領用表!$E:$E,$B66,領用表!$B:$B,$DK$2&amp;DP$2)</f>
        <v>327</v>
      </c>
      <c r="DQ66" s="206">
        <f t="shared" si="14"/>
        <v>8284</v>
      </c>
      <c r="DR66" s="206">
        <f t="shared" si="15"/>
        <v>1656.8</v>
      </c>
      <c r="DS66" s="206">
        <f t="shared" si="6"/>
        <v>1450</v>
      </c>
      <c r="DT66" s="206">
        <v>550</v>
      </c>
      <c r="DU66" s="206">
        <v>0</v>
      </c>
      <c r="DV66" s="206">
        <v>900</v>
      </c>
      <c r="DW66" s="206">
        <v>0</v>
      </c>
      <c r="DX66" s="209">
        <v>600</v>
      </c>
      <c r="DY66" s="465"/>
      <c r="DZ66" s="254" t="s">
        <v>118</v>
      </c>
      <c r="EA66" s="254" t="s">
        <v>119</v>
      </c>
      <c r="EB66" s="136"/>
      <c r="EC66" s="136"/>
      <c r="ED66" s="118">
        <f>IFERROR(VLOOKUP(A66,站前4樓!A:BF,57,0),0)</f>
        <v>658</v>
      </c>
      <c r="EE66" s="213">
        <f>IFERROR(VLOOKUP(A66,站前11樓!A:BE,57,0),0)</f>
        <v>0</v>
      </c>
      <c r="EF66" s="118">
        <f>IFERROR(VLOOKUP(A66,忠孝7樓!A:N,57,0),0)</f>
        <v>0</v>
      </c>
      <c r="EG66" s="118">
        <f>IFERROR(VLOOKUP(A66,忠孝國際醫學3樓!A:L,57,0),0)</f>
        <v>0</v>
      </c>
      <c r="EH66" s="118">
        <f t="shared" si="7"/>
        <v>658</v>
      </c>
      <c r="EJ66" s="118">
        <v>516</v>
      </c>
      <c r="EK66" s="118">
        <v>760</v>
      </c>
    </row>
    <row r="67" spans="1:141" s="118" customFormat="1" ht="15.75" customHeight="1">
      <c r="A67" s="136" t="s">
        <v>121</v>
      </c>
      <c r="B67" s="118">
        <v>6220007</v>
      </c>
      <c r="C67" s="118" t="s">
        <v>622</v>
      </c>
      <c r="D67" s="207">
        <v>15</v>
      </c>
      <c r="E67" s="198" t="s">
        <v>15</v>
      </c>
      <c r="F67" s="225">
        <f>SUMIF(站前4樓!B:B,B67,站前4樓!F:F)</f>
        <v>316</v>
      </c>
      <c r="G67" s="225">
        <f>SUMIF(站前11樓!B:B,B67,站前11樓!F:F)</f>
        <v>0</v>
      </c>
      <c r="H67" s="225">
        <f>SUMIF(忠孝7樓!B:B,B67,忠孝7樓!G:G)</f>
        <v>491</v>
      </c>
      <c r="I67" s="225">
        <f>SUMIF(忠孝國際醫學3樓!B:B,B67,忠孝國際醫學3樓!G:G)</f>
        <v>0</v>
      </c>
      <c r="J67" s="225">
        <f>SUMIF(忠孝健康7樓!B:B,B67,忠孝健康7樓!G:G)</f>
        <v>205</v>
      </c>
      <c r="K67" s="200">
        <v>7.0000000000000007E-2</v>
      </c>
      <c r="L67" s="200">
        <v>0</v>
      </c>
      <c r="M67" s="200">
        <v>7.0000000000000007E-2</v>
      </c>
      <c r="N67" s="200">
        <v>1.33</v>
      </c>
      <c r="O67" s="200">
        <v>1.93</v>
      </c>
      <c r="P67" s="200">
        <v>2.4700000000000002</v>
      </c>
      <c r="Q67" s="200">
        <v>2.73</v>
      </c>
      <c r="R67" s="200">
        <v>3.47</v>
      </c>
      <c r="S67" s="200">
        <v>4.13</v>
      </c>
      <c r="T67" s="200">
        <v>4.7300000000000004</v>
      </c>
      <c r="U67" s="200">
        <v>6.2</v>
      </c>
      <c r="V67" s="200">
        <v>7.33</v>
      </c>
      <c r="W67" s="200">
        <v>7.13</v>
      </c>
      <c r="X67" s="200">
        <v>4.53</v>
      </c>
      <c r="Y67" s="200">
        <v>4.2</v>
      </c>
      <c r="Z67" s="200">
        <v>5.67</v>
      </c>
      <c r="AA67" s="200">
        <v>5.27</v>
      </c>
      <c r="AB67" s="200">
        <v>5.8</v>
      </c>
      <c r="AC67" s="200">
        <v>6.67</v>
      </c>
      <c r="AD67" s="200">
        <v>8.1999999999999993</v>
      </c>
      <c r="AE67" s="200">
        <v>6.87</v>
      </c>
      <c r="AF67" s="200">
        <v>8.07</v>
      </c>
      <c r="AG67" s="200">
        <v>7.2</v>
      </c>
      <c r="AH67" s="200">
        <v>6</v>
      </c>
      <c r="AI67" s="200">
        <v>6.87</v>
      </c>
      <c r="AJ67" s="221">
        <v>8.4</v>
      </c>
      <c r="AK67" s="221">
        <v>8.1999999999999993</v>
      </c>
      <c r="AL67" s="221">
        <v>9.4</v>
      </c>
      <c r="AM67" s="221">
        <v>8.6</v>
      </c>
      <c r="AN67" s="221">
        <v>10.7333</v>
      </c>
      <c r="AO67" s="221">
        <v>12</v>
      </c>
      <c r="AP67" s="221">
        <v>15.4</v>
      </c>
      <c r="AQ67" s="221">
        <v>30.7333</v>
      </c>
      <c r="AR67" s="221">
        <v>25.533333330000001</v>
      </c>
      <c r="AS67" s="201">
        <v>24.8</v>
      </c>
      <c r="AT67" s="202">
        <v>27.8</v>
      </c>
      <c r="AU67" s="203">
        <f>435/D67</f>
        <v>29</v>
      </c>
      <c r="AV67" s="204">
        <f t="shared" si="18"/>
        <v>210.59993333000003</v>
      </c>
      <c r="AW67" s="205">
        <f t="shared" si="19"/>
        <v>17.549994444166668</v>
      </c>
      <c r="AX67" s="203">
        <v>813</v>
      </c>
      <c r="AY67" s="203">
        <v>567</v>
      </c>
      <c r="AZ67" s="203">
        <v>731</v>
      </c>
      <c r="BA67" s="203">
        <v>552</v>
      </c>
      <c r="BB67" s="203">
        <v>572</v>
      </c>
      <c r="BC67" s="203">
        <f>SUMIFS(領用表!$L:$L,領用表!$A:$A,BC$2,領用表!$E:$E,B67)</f>
        <v>636</v>
      </c>
      <c r="BD67" s="206">
        <f>SUMIFS(領用表!$L:$L,領用表!$E:$E,$B67,領用表!$B:$B,BC$2&amp;BD$2)</f>
        <v>636</v>
      </c>
      <c r="BE67" s="206">
        <f>SUMIFS(領用表!$L:$L,領用表!$E:$E,$B67,領用表!$B:$B,$BC$2&amp;BE$2)</f>
        <v>0</v>
      </c>
      <c r="BF67" s="206">
        <f>SUMIFS(領用表!$L:$L,領用表!$E:$E,$B67,領用表!$B:$B,$BC$2&amp;BF$2)</f>
        <v>0</v>
      </c>
      <c r="BG67" s="206">
        <f>SUMIFS(領用表!$L:$L,領用表!$E:$E,$B67,領用表!$B:$B,$BC$2&amp;BG$2)</f>
        <v>0</v>
      </c>
      <c r="BH67" s="203">
        <f>SUMIFS(領用表!$L:$L,領用表!$A:$A,BH$2,領用表!$E:$E,B67)</f>
        <v>1015</v>
      </c>
      <c r="BI67" s="260">
        <f>SUMIFS(領用表!$L:$L,領用表!$E:$E,$B67,領用表!$B:$B,BH$2&amp;BI$2)</f>
        <v>569</v>
      </c>
      <c r="BJ67" s="260">
        <f>SUMIFS(領用表!$L:$L,領用表!$E:$E,$B67,領用表!$B:$B,$BH$2&amp;BJ$2)</f>
        <v>0</v>
      </c>
      <c r="BK67" s="260">
        <f>SUMIFS(領用表!$L:$L,領用表!$E:$E,$B67,領用表!$B:$B,$BH$2&amp;BK$2)</f>
        <v>446</v>
      </c>
      <c r="BL67" s="260">
        <f>SUMIFS(領用表!$L:$L,領用表!$E:$E,$B67,領用表!$B:$B,$BH$2&amp;BL$2)</f>
        <v>0</v>
      </c>
      <c r="BM67" s="203">
        <f>SUMIFS(領用表!$L:$L,領用表!$A:$A,BM$2,領用表!$E:$E,B67)</f>
        <v>1262</v>
      </c>
      <c r="BN67" s="206">
        <f>SUMIFS(領用表!$L:$L,領用表!$E:$E,$B67,領用表!$B:$B,BM$2&amp;BN$2)</f>
        <v>565</v>
      </c>
      <c r="BO67" s="206">
        <f>SUMIFS(領用表!$L:$L,領用表!$E:$E,$B67,領用表!$B:$B,$BM$2&amp;BO$2)</f>
        <v>0</v>
      </c>
      <c r="BP67" s="206">
        <f>SUMIFS(領用表!$L:$L,領用表!$E:$E,$B67,領用表!$B:$B,$BM$2&amp;BP$2)</f>
        <v>697</v>
      </c>
      <c r="BQ67" s="206">
        <f>SUMIFS(領用表!$L:$L,領用表!$E:$E,$B67,領用表!$B:$B,$BM$2&amp;BQ$2)</f>
        <v>0</v>
      </c>
      <c r="BR67" s="203">
        <f>SUMIFS(領用表!$L:$L,領用表!$A:$A,BR$2,領用表!$E:$E,B67)</f>
        <v>1380</v>
      </c>
      <c r="BS67" s="206">
        <f>SUMIFS(領用表!$L:$L,領用表!$E:$E,$B67,領用表!$B:$B,BR$2&amp;BS$2)</f>
        <v>590</v>
      </c>
      <c r="BT67" s="206">
        <f>SUMIFS(領用表!$L:$L,領用表!$E:$E,$B67,領用表!$B:$B,$BR$2&amp;BT$2)</f>
        <v>0</v>
      </c>
      <c r="BU67" s="206">
        <f>SUMIFS(領用表!$L:$L,領用表!$E:$E,$B67,領用表!$B:$B,$BR$2&amp;BU$2)</f>
        <v>790</v>
      </c>
      <c r="BV67" s="206">
        <f>SUMIFS(領用表!$L:$L,領用表!$E:$E,$B67,領用表!$B:$B,$BR$2&amp;BV$2)</f>
        <v>0</v>
      </c>
      <c r="BW67" s="208">
        <f>SUMIFS(領用表!$L:$L,領用表!$A:$A,BW$2,領用表!$E:$E,B67)</f>
        <v>1585</v>
      </c>
      <c r="BX67" s="206">
        <f>SUMIFS(領用表!$L:$L,領用表!$E:$E,$B67,領用表!$B:$B,BW$2&amp;BX$2)</f>
        <v>672</v>
      </c>
      <c r="BY67" s="206">
        <f>SUMIFS(領用表!$L:$L,領用表!$E:$E,$B67,領用表!$B:$B,$BW$2&amp;BY$2)</f>
        <v>0</v>
      </c>
      <c r="BZ67" s="206">
        <f>SUMIFS(領用表!$L:$L,領用表!$E:$E,$B67,領用表!$B:$B,$BW$2&amp;BZ$2)</f>
        <v>913</v>
      </c>
      <c r="CA67" s="206">
        <f>SUMIFS(領用表!$L:$L,領用表!$E:$E,$B67,領用表!$B:$B,$BW$2&amp;CA$2)</f>
        <v>0</v>
      </c>
      <c r="CB67" s="208">
        <f>SUMIFS(領用表!$L:$L,領用表!$A:$A,CB$2,領用表!$E:$E,B67)</f>
        <v>1654</v>
      </c>
      <c r="CC67" s="206">
        <f>SUMIFS(領用表!$L:$L,領用表!$E:$E,$B67,領用表!$B:$B,CB$2&amp;CC$2)</f>
        <v>658</v>
      </c>
      <c r="CD67" s="206">
        <f>SUMIFS(領用表!$L:$L,領用表!$E:$E,$B67,領用表!$B:$B,$CB$2&amp;CD$2)</f>
        <v>0</v>
      </c>
      <c r="CE67" s="206">
        <f>SUMIFS(領用表!$L:$L,領用表!$E:$E,$B67,領用表!$B:$B,$CB$2&amp;CE$2)</f>
        <v>996</v>
      </c>
      <c r="CF67" s="206">
        <f>SUMIFS(領用表!$L:$L,領用表!$E:$E,$B67,領用表!$B:$B,$CB$2&amp;CF$2)</f>
        <v>0</v>
      </c>
      <c r="CG67" s="208">
        <f>SUMIFS(領用表!$L:$L,領用表!$A:$A,CG$2,領用表!$E:$E,B67)</f>
        <v>1879</v>
      </c>
      <c r="CH67" s="206">
        <f>SUMIFS(領用表!$L:$L,領用表!$E:$E,$B67,領用表!$B:$B,CG$2&amp;CH$2)</f>
        <v>725</v>
      </c>
      <c r="CI67" s="206">
        <f>SUMIFS(領用表!$L:$L,領用表!$E:$E,$B67,領用表!$B:$B,CG$2&amp;CI$2)</f>
        <v>0</v>
      </c>
      <c r="CJ67" s="206">
        <f>SUMIFS(領用表!$L:$L,領用表!$E:$E,$B67,領用表!$B:$B,CG$2&amp;CJ$2)</f>
        <v>1154</v>
      </c>
      <c r="CK67" s="206">
        <f>SUMIFS(領用表!$L:$L,領用表!$E:$E,$B67,領用表!$B:$B,$CG$2&amp;CK$2)</f>
        <v>0</v>
      </c>
      <c r="CL67" s="207">
        <f t="shared" si="16"/>
        <v>12646</v>
      </c>
      <c r="CM67" s="207">
        <f t="shared" si="17"/>
        <v>1053.8333333333333</v>
      </c>
      <c r="CN67" s="208">
        <f>SUMIFS(領用表!$L:$L,領用表!$A:$A,CN$2,領用表!$E:$E,B67)</f>
        <v>1811</v>
      </c>
      <c r="CO67" s="206">
        <f>SUMIFS(領用表!$L:$L,領用表!$E:$E,$B67,領用表!$B:$B,CN$2&amp;CO$2)</f>
        <v>648</v>
      </c>
      <c r="CP67" s="206">
        <f>SUMIFS(領用表!$L:$L,領用表!$E:$E,$B67,領用表!$B:$B,$CN$2&amp;CP$2)</f>
        <v>0</v>
      </c>
      <c r="CQ67" s="206">
        <f>SUMIFS(領用表!$L:$L,領用表!$E:$E,$B67,領用表!$B:$B,$CN$2&amp;CQ$2)</f>
        <v>1163</v>
      </c>
      <c r="CR67" s="206">
        <f>SUMIFS(領用表!$L:$L,領用表!$E:$E,$B67,領用表!$B:$B,$CN$2&amp;CR$2)</f>
        <v>0</v>
      </c>
      <c r="CS67" s="208">
        <f>SUMIFS(領用表!$L:$L,領用表!$A:$A,CS$2,領用表!$E:$E,B67)</f>
        <v>1326</v>
      </c>
      <c r="CT67" s="206">
        <f>SUMIFS(領用表!$L:$L,領用表!$E:$E,$B67,領用表!$B:$B,CS$2&amp;CT$2)</f>
        <v>495</v>
      </c>
      <c r="CU67" s="206">
        <f>SUMIFS(領用表!$L:$L,領用表!$E:$E,$B67,領用表!$B:$B,$CS$2&amp;CU$2)</f>
        <v>0</v>
      </c>
      <c r="CV67" s="206">
        <f>SUMIFS(領用表!$L:$L,領用表!$E:$E,$B67,領用表!$B:$B,$CS$2&amp;CV$2)</f>
        <v>787</v>
      </c>
      <c r="CW67" s="206">
        <f>SUMIFS(領用表!$L:$L,領用表!$E:$E,$B67,領用表!$B:$B,$CS$2&amp;CW$2)</f>
        <v>0</v>
      </c>
      <c r="CX67" s="206">
        <f>SUMIFS(領用表!$L:$L,領用表!$E:$E,$B67,領用表!$B:$B,$CS$2&amp;CX$2)</f>
        <v>44</v>
      </c>
      <c r="CY67" s="208">
        <f>SUMIFS(領用表!$L:$L,領用表!$A:$A,CY$2,領用表!$E:$E,B67)</f>
        <v>1731</v>
      </c>
      <c r="CZ67" s="206">
        <f>SUMIFS(領用表!$L:$L,領用表!$E:$E,$B67,領用表!$B:$B,CY$2&amp;CZ$2)</f>
        <v>602</v>
      </c>
      <c r="DA67" s="206">
        <f>SUMIFS(領用表!$L:$L,領用表!$E:$E,$B67,領用表!$B:$B,$CY$2&amp;DA$2)</f>
        <v>0</v>
      </c>
      <c r="DB67" s="206">
        <f>SUMIFS(領用表!$L:$L,領用表!$E:$E,$B67,領用表!$B:$B,$CY$2&amp;DB$2)</f>
        <v>921</v>
      </c>
      <c r="DC67" s="206">
        <f>SUMIFS(領用表!$L:$L,領用表!$E:$E,$B67,領用表!$B:$B,$CY$2&amp;DC$2)</f>
        <v>0</v>
      </c>
      <c r="DD67" s="206">
        <f>SUMIFS(領用表!$L:$L,領用表!$E:$E,$B67,領用表!$B:$B,$CY$2&amp;DD$2)</f>
        <v>208</v>
      </c>
      <c r="DE67" s="208">
        <f>SUMIFS(領用表!$L:$L,領用表!$A:$A,DE$2,領用表!$E:$E,B67)</f>
        <v>1689</v>
      </c>
      <c r="DF67" s="206">
        <f>SUMIFS(領用表!$L:$L,領用表!$E:$E,$B67,領用表!$B:$B,DE$2&amp;DF$2)</f>
        <v>530</v>
      </c>
      <c r="DG67" s="206">
        <f>SUMIFS(領用表!$L:$L,領用表!$E:$E,$B67,領用表!$B:$B,$DE$2&amp;DG$2)</f>
        <v>0</v>
      </c>
      <c r="DH67" s="206">
        <f>SUMIFS(領用表!$L:$L,領用表!$E:$E,$B67,領用表!$B:$B,$DE$2&amp;DH$2)</f>
        <v>842</v>
      </c>
      <c r="DI67" s="206">
        <f>SUMIFS(領用表!$L:$L,領用表!$E:$E,$B67,領用表!$B:$B,$DE$2&amp;DI$2)</f>
        <v>0</v>
      </c>
      <c r="DJ67" s="206">
        <f>SUMIFS(領用表!$L:$L,領用表!$E:$E,$B67,領用表!$B:$B,$DE$2&amp;DJ$2)</f>
        <v>317</v>
      </c>
      <c r="DK67" s="208">
        <f>SUMIFS(領用表!$L:$L,領用表!$A:$A,DK$2,領用表!$E:$E,$B67)</f>
        <v>1727</v>
      </c>
      <c r="DL67" s="206">
        <f>SUMIFS(領用表!$L:$L,領用表!$E:$E,$B67,領用表!$B:$B,DK$2&amp;DL$2)</f>
        <v>562</v>
      </c>
      <c r="DM67" s="206">
        <f>SUMIFS(領用表!$L:$L,領用表!$E:$E,$B67,領用表!$B:$B,$DK$2&amp;DM$2)</f>
        <v>0</v>
      </c>
      <c r="DN67" s="206">
        <f>SUMIFS(領用表!$L:$L,領用表!$E:$E,$B67,領用表!$B:$B,$DK$2&amp;DN$2)</f>
        <v>838</v>
      </c>
      <c r="DO67" s="206">
        <f>SUMIFS(領用表!$L:$L,領用表!$E:$E,$B67,領用表!$B:$B,$DK$2&amp;DO$2)</f>
        <v>0</v>
      </c>
      <c r="DP67" s="206">
        <f>SUMIFS(領用表!$L:$L,領用表!$E:$E,$B67,領用表!$B:$B,$DK$2&amp;DP$2)</f>
        <v>327</v>
      </c>
      <c r="DQ67" s="206">
        <f t="shared" si="14"/>
        <v>8284</v>
      </c>
      <c r="DR67" s="206">
        <f t="shared" si="15"/>
        <v>1656.8</v>
      </c>
      <c r="DS67" s="206">
        <f t="shared" si="6"/>
        <v>1450</v>
      </c>
      <c r="DT67" s="206">
        <v>550</v>
      </c>
      <c r="DU67" s="206">
        <v>0</v>
      </c>
      <c r="DV67" s="206">
        <v>900</v>
      </c>
      <c r="DW67" s="206">
        <v>0</v>
      </c>
      <c r="DX67" s="209">
        <v>600</v>
      </c>
      <c r="DY67" s="465"/>
      <c r="DZ67" s="254" t="s">
        <v>118</v>
      </c>
      <c r="EA67" s="254" t="s">
        <v>119</v>
      </c>
      <c r="EB67" s="136" t="s">
        <v>811</v>
      </c>
      <c r="EC67" s="136"/>
      <c r="ED67" s="118">
        <f>IFERROR(VLOOKUP(A67,站前4樓!A:BF,57,0),0)</f>
        <v>658</v>
      </c>
      <c r="EE67" s="213">
        <f>IFERROR(VLOOKUP(A67,站前11樓!A:BE,57,0),0)</f>
        <v>0</v>
      </c>
      <c r="EF67" s="118">
        <f>IFERROR(VLOOKUP(A67,忠孝7樓!A:N,57,0),0)</f>
        <v>0</v>
      </c>
      <c r="EG67" s="118">
        <f>IFERROR(VLOOKUP(A67,忠孝國際醫學3樓!A:L,57,0),0)</f>
        <v>0</v>
      </c>
      <c r="EH67" s="118">
        <f t="shared" si="7"/>
        <v>658</v>
      </c>
      <c r="EJ67" s="118">
        <v>516</v>
      </c>
      <c r="EK67" s="118">
        <v>760</v>
      </c>
    </row>
    <row r="68" spans="1:141" s="118" customFormat="1" ht="15.75" customHeight="1">
      <c r="A68" s="136" t="s">
        <v>123</v>
      </c>
      <c r="B68" s="118">
        <v>6220012</v>
      </c>
      <c r="C68" s="118" t="s">
        <v>623</v>
      </c>
      <c r="D68" s="207">
        <v>236</v>
      </c>
      <c r="E68" s="198" t="s">
        <v>124</v>
      </c>
      <c r="F68" s="225">
        <f>SUMIF(站前4樓!B:B,B68,站前4樓!F:F)</f>
        <v>4720</v>
      </c>
      <c r="G68" s="225">
        <f>SUMIF(站前11樓!B:B,B68,站前11樓!F:F)</f>
        <v>0</v>
      </c>
      <c r="H68" s="225">
        <f>SUMIF(忠孝7樓!B:B,B68,忠孝7樓!G:G)</f>
        <v>9204</v>
      </c>
      <c r="I68" s="225">
        <f>SUMIF(忠孝國際醫學3樓!B:B,B68,忠孝國際醫學3樓!G:G)</f>
        <v>0</v>
      </c>
      <c r="J68" s="225">
        <f>SUMIF(忠孝健康7樓!B:B,B68,忠孝健康7樓!G:G)</f>
        <v>944</v>
      </c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1">
        <v>11</v>
      </c>
      <c r="AK68" s="201">
        <v>9</v>
      </c>
      <c r="AL68" s="201">
        <v>10</v>
      </c>
      <c r="AM68" s="201">
        <v>10</v>
      </c>
      <c r="AN68" s="201">
        <v>8</v>
      </c>
      <c r="AO68" s="201">
        <v>33</v>
      </c>
      <c r="AP68" s="201">
        <v>10</v>
      </c>
      <c r="AQ68" s="201">
        <v>41</v>
      </c>
      <c r="AR68" s="201">
        <v>34</v>
      </c>
      <c r="AS68" s="201">
        <v>24</v>
      </c>
      <c r="AT68" s="201">
        <v>25</v>
      </c>
      <c r="AU68" s="203">
        <f>6608/D68</f>
        <v>28</v>
      </c>
      <c r="AV68" s="204">
        <f t="shared" si="18"/>
        <v>243</v>
      </c>
      <c r="AW68" s="205">
        <f t="shared" si="19"/>
        <v>20.25</v>
      </c>
      <c r="AX68" s="203">
        <v>6136</v>
      </c>
      <c r="AY68" s="203">
        <v>6608</v>
      </c>
      <c r="AZ68" s="203">
        <v>7316</v>
      </c>
      <c r="BA68" s="203">
        <v>6372</v>
      </c>
      <c r="BB68" s="203">
        <v>7316</v>
      </c>
      <c r="BC68" s="203">
        <f>SUMIFS(領用表!$L:$L,領用表!$A:$A,BC$2,領用表!$E:$E,B68)</f>
        <v>9525</v>
      </c>
      <c r="BD68" s="206">
        <f>SUMIFS(領用表!$L:$L,領用表!$E:$E,$B68,領用表!$B:$B,BC$2&amp;BD$2)</f>
        <v>9525</v>
      </c>
      <c r="BE68" s="206">
        <f>SUMIFS(領用表!$L:$L,領用表!$E:$E,$B68,領用表!$B:$B,$BC$2&amp;BE$2)</f>
        <v>0</v>
      </c>
      <c r="BF68" s="206">
        <f>SUMIFS(領用表!$L:$L,領用表!$E:$E,$B68,領用表!$B:$B,$BC$2&amp;BF$2)</f>
        <v>0</v>
      </c>
      <c r="BG68" s="206">
        <f>SUMIFS(領用表!$L:$L,領用表!$E:$E,$B68,領用表!$B:$B,$BC$2&amp;BG$2)</f>
        <v>0</v>
      </c>
      <c r="BH68" s="203">
        <f>SUMIFS(領用表!$L:$L,領用表!$A:$A,BH$2,領用表!$E:$E,B68)</f>
        <v>15211</v>
      </c>
      <c r="BI68" s="260">
        <f>SUMIFS(領用表!$L:$L,領用表!$E:$E,$B68,領用表!$B:$B,BH$2&amp;BI$2)</f>
        <v>8521</v>
      </c>
      <c r="BJ68" s="260">
        <f>SUMIFS(領用表!$L:$L,領用表!$E:$E,$B68,領用表!$B:$B,$BH$2&amp;BJ$2)</f>
        <v>0</v>
      </c>
      <c r="BK68" s="260">
        <f>SUMIFS(領用表!$L:$L,領用表!$E:$E,$B68,領用表!$B:$B,$BH$2&amp;BK$2)</f>
        <v>6690</v>
      </c>
      <c r="BL68" s="260">
        <f>SUMIFS(領用表!$L:$L,領用表!$E:$E,$B68,領用表!$B:$B,$BH$2&amp;BL$2)</f>
        <v>0</v>
      </c>
      <c r="BM68" s="203">
        <f>SUMIFS(領用表!$L:$L,領用表!$A:$A,BM$2,領用表!$E:$E,B68)</f>
        <v>18930</v>
      </c>
      <c r="BN68" s="206">
        <f>SUMIFS(領用表!$L:$L,領用表!$E:$E,$B68,領用表!$B:$B,BM$2&amp;BN$2)</f>
        <v>8475</v>
      </c>
      <c r="BO68" s="206">
        <f>SUMIFS(領用表!$L:$L,領用表!$E:$E,$B68,領用表!$B:$B,$BM$2&amp;BO$2)</f>
        <v>0</v>
      </c>
      <c r="BP68" s="206">
        <f>SUMIFS(領用表!$L:$L,領用表!$E:$E,$B68,領用表!$B:$B,$BM$2&amp;BP$2)</f>
        <v>10455</v>
      </c>
      <c r="BQ68" s="206">
        <f>SUMIFS(領用表!$L:$L,領用表!$E:$E,$B68,領用表!$B:$B,$BM$2&amp;BQ$2)</f>
        <v>0</v>
      </c>
      <c r="BR68" s="203">
        <f>SUMIFS(領用表!$L:$L,領用表!$A:$A,BR$2,領用表!$E:$E,B68)</f>
        <v>20700</v>
      </c>
      <c r="BS68" s="206">
        <f>SUMIFS(領用表!$L:$L,領用表!$E:$E,$B68,領用表!$B:$B,BR$2&amp;BS$2)</f>
        <v>8850</v>
      </c>
      <c r="BT68" s="206">
        <f>SUMIFS(領用表!$L:$L,領用表!$E:$E,$B68,領用表!$B:$B,$BR$2&amp;BT$2)</f>
        <v>0</v>
      </c>
      <c r="BU68" s="206">
        <f>SUMIFS(領用表!$L:$L,領用表!$E:$E,$B68,領用表!$B:$B,$BR$2&amp;BU$2)</f>
        <v>11850</v>
      </c>
      <c r="BV68" s="206">
        <f>SUMIFS(領用表!$L:$L,領用表!$E:$E,$B68,領用表!$B:$B,$BR$2&amp;BV$2)</f>
        <v>0</v>
      </c>
      <c r="BW68" s="208">
        <f>SUMIFS(領用表!$L:$L,領用表!$A:$A,BW$2,領用表!$E:$E,B68)</f>
        <v>23747</v>
      </c>
      <c r="BX68" s="206">
        <f>SUMIFS(領用表!$L:$L,領用表!$E:$E,$B68,領用表!$B:$B,BW$2&amp;BX$2)</f>
        <v>10080</v>
      </c>
      <c r="BY68" s="206">
        <f>SUMIFS(領用表!$L:$L,領用表!$E:$E,$B68,領用表!$B:$B,$BW$2&amp;BY$2)</f>
        <v>0</v>
      </c>
      <c r="BZ68" s="206">
        <f>SUMIFS(領用表!$L:$L,領用表!$E:$E,$B68,領用表!$B:$B,$BW$2&amp;BZ$2)</f>
        <v>13667</v>
      </c>
      <c r="CA68" s="206">
        <f>SUMIFS(領用表!$L:$L,領用表!$E:$E,$B68,領用表!$B:$B,$BW$2&amp;CA$2)</f>
        <v>0</v>
      </c>
      <c r="CB68" s="208">
        <f>SUMIFS(領用表!$L:$L,領用表!$A:$A,CB$2,領用表!$E:$E,B68)</f>
        <v>24754</v>
      </c>
      <c r="CC68" s="206">
        <f>SUMIFS(領用表!$L:$L,領用表!$E:$E,$B68,領用表!$B:$B,CB$2&amp;CC$2)</f>
        <v>9870</v>
      </c>
      <c r="CD68" s="206">
        <f>SUMIFS(領用表!$L:$L,領用表!$E:$E,$B68,領用表!$B:$B,$CB$2&amp;CD$2)</f>
        <v>0</v>
      </c>
      <c r="CE68" s="206">
        <f>SUMIFS(領用表!$L:$L,領用表!$E:$E,$B68,領用表!$B:$B,$CB$2&amp;CE$2)</f>
        <v>14884</v>
      </c>
      <c r="CF68" s="206">
        <f>SUMIFS(領用表!$L:$L,領用表!$E:$E,$B68,領用表!$B:$B,$CB$2&amp;CF$2)</f>
        <v>0</v>
      </c>
      <c r="CG68" s="208">
        <f>SUMIFS(領用表!$L:$L,領用表!$A:$A,CG$2,領用表!$E:$E,B68)</f>
        <v>28143</v>
      </c>
      <c r="CH68" s="206">
        <f>SUMIFS(領用表!$L:$L,領用表!$E:$E,$B68,領用表!$B:$B,CG$2&amp;CH$2)</f>
        <v>10861</v>
      </c>
      <c r="CI68" s="206">
        <f>SUMIFS(領用表!$L:$L,領用表!$E:$E,$B68,領用表!$B:$B,CG$2&amp;CI$2)</f>
        <v>0</v>
      </c>
      <c r="CJ68" s="206">
        <f>SUMIFS(領用表!$L:$L,領用表!$E:$E,$B68,領用表!$B:$B,CG$2&amp;CJ$2)</f>
        <v>17282</v>
      </c>
      <c r="CK68" s="206">
        <f>SUMIFS(領用表!$L:$L,領用表!$E:$E,$B68,領用表!$B:$B,$CG$2&amp;CK$2)</f>
        <v>0</v>
      </c>
      <c r="CL68" s="207">
        <f t="shared" si="16"/>
        <v>174758</v>
      </c>
      <c r="CM68" s="207">
        <f t="shared" si="17"/>
        <v>14563.166666666666</v>
      </c>
      <c r="CN68" s="208">
        <f>SUMIFS(領用表!$L:$L,領用表!$A:$A,CN$2,領用表!$E:$E,B68)</f>
        <v>27165</v>
      </c>
      <c r="CO68" s="206">
        <f>SUMIFS(領用表!$L:$L,領用表!$E:$E,$B68,領用表!$B:$B,CN$2&amp;CO$2)</f>
        <v>9720</v>
      </c>
      <c r="CP68" s="206">
        <f>SUMIFS(領用表!$L:$L,領用表!$E:$E,$B68,領用表!$B:$B,$CN$2&amp;CP$2)</f>
        <v>0</v>
      </c>
      <c r="CQ68" s="206">
        <f>SUMIFS(領用表!$L:$L,領用表!$E:$E,$B68,領用表!$B:$B,$CN$2&amp;CQ$2)</f>
        <v>17445</v>
      </c>
      <c r="CR68" s="206">
        <f>SUMIFS(領用表!$L:$L,領用表!$E:$E,$B68,領用表!$B:$B,$CN$2&amp;CR$2)</f>
        <v>0</v>
      </c>
      <c r="CS68" s="208">
        <f>SUMIFS(領用表!$L:$L,領用表!$A:$A,CS$2,領用表!$E:$E,B68)</f>
        <v>19875</v>
      </c>
      <c r="CT68" s="206">
        <f>SUMIFS(領用表!$L:$L,領用表!$E:$E,$B68,領用表!$B:$B,CS$2&amp;CT$2)</f>
        <v>7410</v>
      </c>
      <c r="CU68" s="206">
        <f>SUMIFS(領用表!$L:$L,領用表!$E:$E,$B68,領用表!$B:$B,$CS$2&amp;CU$2)</f>
        <v>0</v>
      </c>
      <c r="CV68" s="206">
        <f>SUMIFS(領用表!$L:$L,領用表!$E:$E,$B68,領用表!$B:$B,$CS$2&amp;CV$2)</f>
        <v>11805</v>
      </c>
      <c r="CW68" s="206">
        <f>SUMIFS(領用表!$L:$L,領用表!$E:$E,$B68,領用表!$B:$B,$CS$2&amp;CW$2)</f>
        <v>0</v>
      </c>
      <c r="CX68" s="206">
        <f>SUMIFS(領用表!$L:$L,領用表!$E:$E,$B68,領用表!$B:$B,$CS$2&amp;CX$2)</f>
        <v>660</v>
      </c>
      <c r="CY68" s="208">
        <f>SUMIFS(領用表!$L:$L,領用表!$A:$A,CY$2,領用表!$E:$E,B68)</f>
        <v>25951</v>
      </c>
      <c r="CZ68" s="206">
        <f>SUMIFS(領用表!$L:$L,領用表!$E:$E,$B68,領用表!$B:$B,CY$2&amp;CZ$2)</f>
        <v>9030</v>
      </c>
      <c r="DA68" s="206">
        <f>SUMIFS(領用表!$L:$L,領用表!$E:$E,$B68,領用表!$B:$B,$CY$2&amp;DA$2)</f>
        <v>0</v>
      </c>
      <c r="DB68" s="206">
        <f>SUMIFS(領用表!$L:$L,領用表!$E:$E,$B68,領用表!$B:$B,$CY$2&amp;DB$2)</f>
        <v>13801</v>
      </c>
      <c r="DC68" s="206">
        <f>SUMIFS(領用表!$L:$L,領用表!$E:$E,$B68,領用表!$B:$B,$CY$2&amp;DC$2)</f>
        <v>0</v>
      </c>
      <c r="DD68" s="206">
        <f>SUMIFS(領用表!$L:$L,領用表!$E:$E,$B68,領用表!$B:$B,$CY$2&amp;DD$2)</f>
        <v>3120</v>
      </c>
      <c r="DE68" s="208">
        <f>SUMIFS(領用表!$L:$L,領用表!$A:$A,DE$2,領用表!$E:$E,B68)</f>
        <v>25335</v>
      </c>
      <c r="DF68" s="206">
        <f>SUMIFS(領用表!$L:$L,領用表!$E:$E,$B68,領用表!$B:$B,DE$2&amp;DF$2)</f>
        <v>7950</v>
      </c>
      <c r="DG68" s="206">
        <f>SUMIFS(領用表!$L:$L,領用表!$E:$E,$B68,領用表!$B:$B,$DE$2&amp;DG$2)</f>
        <v>0</v>
      </c>
      <c r="DH68" s="206">
        <f>SUMIFS(領用表!$L:$L,領用表!$E:$E,$B68,領用表!$B:$B,$DE$2&amp;DH$2)</f>
        <v>12630</v>
      </c>
      <c r="DI68" s="206">
        <f>SUMIFS(領用表!$L:$L,領用表!$E:$E,$B68,領用表!$B:$B,$DE$2&amp;DI$2)</f>
        <v>0</v>
      </c>
      <c r="DJ68" s="206">
        <f>SUMIFS(領用表!$L:$L,領用表!$E:$E,$B68,領用表!$B:$B,$DE$2&amp;DJ$2)</f>
        <v>4755</v>
      </c>
      <c r="DK68" s="208">
        <f>SUMIFS(領用表!$L:$L,領用表!$A:$A,DK$2,領用表!$E:$E,$B68)</f>
        <v>25905</v>
      </c>
      <c r="DL68" s="206">
        <f>SUMIFS(領用表!$L:$L,領用表!$E:$E,$B68,領用表!$B:$B,DK$2&amp;DL$2)</f>
        <v>8430</v>
      </c>
      <c r="DM68" s="206">
        <f>SUMIFS(領用表!$L:$L,領用表!$E:$E,$B68,領用表!$B:$B,$DK$2&amp;DM$2)</f>
        <v>0</v>
      </c>
      <c r="DN68" s="206">
        <f>SUMIFS(領用表!$L:$L,領用表!$E:$E,$B68,領用表!$B:$B,$DK$2&amp;DN$2)</f>
        <v>12570</v>
      </c>
      <c r="DO68" s="206">
        <f>SUMIFS(領用表!$L:$L,領用表!$E:$E,$B68,領用表!$B:$B,$DK$2&amp;DO$2)</f>
        <v>0</v>
      </c>
      <c r="DP68" s="206">
        <f>SUMIFS(領用表!$L:$L,領用表!$E:$E,$B68,領用表!$B:$B,$DK$2&amp;DP$2)</f>
        <v>4905</v>
      </c>
      <c r="DQ68" s="206">
        <f t="shared" si="14"/>
        <v>124231</v>
      </c>
      <c r="DR68" s="206">
        <f t="shared" si="15"/>
        <v>24846.2</v>
      </c>
      <c r="DS68" s="206">
        <f t="shared" si="6"/>
        <v>21750</v>
      </c>
      <c r="DT68" s="206">
        <v>8250</v>
      </c>
      <c r="DU68" s="206">
        <v>0</v>
      </c>
      <c r="DV68" s="206">
        <v>13500</v>
      </c>
      <c r="DW68" s="206">
        <v>0</v>
      </c>
      <c r="DX68" s="209">
        <v>18880</v>
      </c>
      <c r="DY68" s="465"/>
      <c r="DZ68" s="254" t="s">
        <v>812</v>
      </c>
      <c r="EA68" s="254" t="s">
        <v>813</v>
      </c>
      <c r="EB68" s="136" t="s">
        <v>811</v>
      </c>
      <c r="EC68" s="212"/>
      <c r="ED68" s="118">
        <f>IFERROR(VLOOKUP(A68,站前4樓!A:BF,57,0),0)</f>
        <v>9870</v>
      </c>
      <c r="EE68" s="213">
        <f>IFERROR(VLOOKUP(A68,站前11樓!A:BE,57,0),0)</f>
        <v>0</v>
      </c>
      <c r="EF68" s="118">
        <f>IFERROR(VLOOKUP(A68,忠孝7樓!A:N,57,0),0)</f>
        <v>0</v>
      </c>
      <c r="EG68" s="118">
        <f>IFERROR(VLOOKUP(A68,忠孝國際醫學3樓!A:L,57,0),0)</f>
        <v>0</v>
      </c>
      <c r="EH68" s="118">
        <f t="shared" si="7"/>
        <v>9870</v>
      </c>
      <c r="EJ68" s="118">
        <v>17936</v>
      </c>
      <c r="EK68" s="118">
        <v>27612</v>
      </c>
    </row>
    <row r="69" spans="1:141" s="118" customFormat="1" ht="15.75" customHeight="1">
      <c r="A69" s="136" t="s">
        <v>127</v>
      </c>
      <c r="B69" s="118">
        <v>6220013</v>
      </c>
      <c r="C69" s="118" t="s">
        <v>624</v>
      </c>
      <c r="D69" s="207">
        <v>236</v>
      </c>
      <c r="E69" s="198" t="s">
        <v>124</v>
      </c>
      <c r="F69" s="225">
        <f>SUMIF(站前4樓!B:B,B69,站前4樓!F:F)</f>
        <v>5900</v>
      </c>
      <c r="G69" s="225">
        <f>SUMIF(站前11樓!B:B,B69,站前11樓!F:F)</f>
        <v>0</v>
      </c>
      <c r="H69" s="225">
        <f>SUMIF(忠孝7樓!B:B,B69,忠孝7樓!G:G)</f>
        <v>9912</v>
      </c>
      <c r="I69" s="225">
        <f>SUMIF(忠孝國際醫學3樓!B:B,B69,忠孝國際醫學3樓!G:G)</f>
        <v>0</v>
      </c>
      <c r="J69" s="225">
        <f>SUMIF(忠孝健康7樓!B:B,B69,忠孝健康7樓!G:G)</f>
        <v>3068</v>
      </c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200"/>
      <c r="AG69" s="200"/>
      <c r="AH69" s="200"/>
      <c r="AI69" s="200"/>
      <c r="AJ69" s="201">
        <v>4</v>
      </c>
      <c r="AK69" s="201">
        <v>11</v>
      </c>
      <c r="AL69" s="201">
        <v>11</v>
      </c>
      <c r="AM69" s="201">
        <v>15</v>
      </c>
      <c r="AN69" s="201">
        <v>15</v>
      </c>
      <c r="AO69" s="201">
        <v>42</v>
      </c>
      <c r="AP69" s="201">
        <v>24</v>
      </c>
      <c r="AQ69" s="201">
        <v>45</v>
      </c>
      <c r="AR69" s="201">
        <v>57</v>
      </c>
      <c r="AS69" s="201">
        <v>47</v>
      </c>
      <c r="AT69" s="201">
        <v>38</v>
      </c>
      <c r="AU69" s="203">
        <f>8968/D69</f>
        <v>38</v>
      </c>
      <c r="AV69" s="204">
        <f t="shared" si="18"/>
        <v>347</v>
      </c>
      <c r="AW69" s="205">
        <f t="shared" si="19"/>
        <v>28.916666666666668</v>
      </c>
      <c r="AX69" s="203">
        <v>11800</v>
      </c>
      <c r="AY69" s="203">
        <v>12272</v>
      </c>
      <c r="AZ69" s="203">
        <v>12744</v>
      </c>
      <c r="BA69" s="203">
        <v>11092</v>
      </c>
      <c r="BB69" s="203">
        <v>11328</v>
      </c>
      <c r="BC69" s="203">
        <f>SUMIFS(領用表!$L:$L,領用表!$A:$A,BC$2,領用表!$E:$E,B69)</f>
        <v>9525</v>
      </c>
      <c r="BD69" s="206">
        <f>SUMIFS(領用表!$L:$L,領用表!$E:$E,$B69,領用表!$B:$B,BC$2&amp;BD$2)</f>
        <v>9525</v>
      </c>
      <c r="BE69" s="206">
        <f>SUMIFS(領用表!$L:$L,領用表!$E:$E,$B69,領用表!$B:$B,$BC$2&amp;BE$2)</f>
        <v>0</v>
      </c>
      <c r="BF69" s="206">
        <f>SUMIFS(領用表!$L:$L,領用表!$E:$E,$B69,領用表!$B:$B,$BC$2&amp;BF$2)</f>
        <v>0</v>
      </c>
      <c r="BG69" s="206">
        <f>SUMIFS(領用表!$L:$L,領用表!$E:$E,$B69,領用表!$B:$B,$BC$2&amp;BG$2)</f>
        <v>0</v>
      </c>
      <c r="BH69" s="203">
        <f>SUMIFS(領用表!$L:$L,領用表!$A:$A,BH$2,領用表!$E:$E,B69)</f>
        <v>15211</v>
      </c>
      <c r="BI69" s="260">
        <f>SUMIFS(領用表!$L:$L,領用表!$E:$E,$B69,領用表!$B:$B,BH$2&amp;BI$2)</f>
        <v>8521</v>
      </c>
      <c r="BJ69" s="260">
        <f>SUMIFS(領用表!$L:$L,領用表!$E:$E,$B69,領用表!$B:$B,$BH$2&amp;BJ$2)</f>
        <v>0</v>
      </c>
      <c r="BK69" s="260">
        <f>SUMIFS(領用表!$L:$L,領用表!$E:$E,$B69,領用表!$B:$B,$BH$2&amp;BK$2)</f>
        <v>6690</v>
      </c>
      <c r="BL69" s="260">
        <f>SUMIFS(領用表!$L:$L,領用表!$E:$E,$B69,領用表!$B:$B,$BH$2&amp;BL$2)</f>
        <v>0</v>
      </c>
      <c r="BM69" s="203">
        <f>SUMIFS(領用表!$L:$L,領用表!$A:$A,BM$2,領用表!$E:$E,B69)</f>
        <v>18930</v>
      </c>
      <c r="BN69" s="206">
        <f>SUMIFS(領用表!$L:$L,領用表!$E:$E,$B69,領用表!$B:$B,BM$2&amp;BN$2)</f>
        <v>8475</v>
      </c>
      <c r="BO69" s="206">
        <f>SUMIFS(領用表!$L:$L,領用表!$E:$E,$B69,領用表!$B:$B,$BM$2&amp;BO$2)</f>
        <v>0</v>
      </c>
      <c r="BP69" s="206">
        <f>SUMIFS(領用表!$L:$L,領用表!$E:$E,$B69,領用表!$B:$B,$BM$2&amp;BP$2)</f>
        <v>10455</v>
      </c>
      <c r="BQ69" s="206">
        <f>SUMIFS(領用表!$L:$L,領用表!$E:$E,$B69,領用表!$B:$B,$BM$2&amp;BQ$2)</f>
        <v>0</v>
      </c>
      <c r="BR69" s="203">
        <f>SUMIFS(領用表!$L:$L,領用表!$A:$A,BR$2,領用表!$E:$E,B69)</f>
        <v>20700</v>
      </c>
      <c r="BS69" s="206">
        <f>SUMIFS(領用表!$L:$L,領用表!$E:$E,$B69,領用表!$B:$B,BR$2&amp;BS$2)</f>
        <v>8850</v>
      </c>
      <c r="BT69" s="206">
        <f>SUMIFS(領用表!$L:$L,領用表!$E:$E,$B69,領用表!$B:$B,$BR$2&amp;BT$2)</f>
        <v>0</v>
      </c>
      <c r="BU69" s="206">
        <f>SUMIFS(領用表!$L:$L,領用表!$E:$E,$B69,領用表!$B:$B,$BR$2&amp;BU$2)</f>
        <v>11850</v>
      </c>
      <c r="BV69" s="206">
        <f>SUMIFS(領用表!$L:$L,領用表!$E:$E,$B69,領用表!$B:$B,$BR$2&amp;BV$2)</f>
        <v>0</v>
      </c>
      <c r="BW69" s="208">
        <f>SUMIFS(領用表!$L:$L,領用表!$A:$A,BW$2,領用表!$E:$E,B69)</f>
        <v>23747</v>
      </c>
      <c r="BX69" s="206">
        <f>SUMIFS(領用表!$L:$L,領用表!$E:$E,$B69,領用表!$B:$B,BW$2&amp;BX$2)</f>
        <v>10080</v>
      </c>
      <c r="BY69" s="206">
        <f>SUMIFS(領用表!$L:$L,領用表!$E:$E,$B69,領用表!$B:$B,$BW$2&amp;BY$2)</f>
        <v>0</v>
      </c>
      <c r="BZ69" s="206">
        <f>SUMIFS(領用表!$L:$L,領用表!$E:$E,$B69,領用表!$B:$B,$BW$2&amp;BZ$2)</f>
        <v>13667</v>
      </c>
      <c r="CA69" s="206">
        <f>SUMIFS(領用表!$L:$L,領用表!$E:$E,$B69,領用表!$B:$B,$BW$2&amp;CA$2)</f>
        <v>0</v>
      </c>
      <c r="CB69" s="208">
        <f>SUMIFS(領用表!$L:$L,領用表!$A:$A,CB$2,領用表!$E:$E,B69)</f>
        <v>24754</v>
      </c>
      <c r="CC69" s="206">
        <f>SUMIFS(領用表!$L:$L,領用表!$E:$E,$B69,領用表!$B:$B,CB$2&amp;CC$2)</f>
        <v>9870</v>
      </c>
      <c r="CD69" s="206">
        <f>SUMIFS(領用表!$L:$L,領用表!$E:$E,$B69,領用表!$B:$B,$CB$2&amp;CD$2)</f>
        <v>0</v>
      </c>
      <c r="CE69" s="206">
        <f>SUMIFS(領用表!$L:$L,領用表!$E:$E,$B69,領用表!$B:$B,$CB$2&amp;CE$2)</f>
        <v>14884</v>
      </c>
      <c r="CF69" s="206">
        <f>SUMIFS(領用表!$L:$L,領用表!$E:$E,$B69,領用表!$B:$B,$CB$2&amp;CF$2)</f>
        <v>0</v>
      </c>
      <c r="CG69" s="208">
        <f>SUMIFS(領用表!$L:$L,領用表!$A:$A,CG$2,領用表!$E:$E,B69)</f>
        <v>28143</v>
      </c>
      <c r="CH69" s="206">
        <f>SUMIFS(領用表!$L:$L,領用表!$E:$E,$B69,領用表!$B:$B,CG$2&amp;CH$2)</f>
        <v>10861</v>
      </c>
      <c r="CI69" s="206">
        <f>SUMIFS(領用表!$L:$L,領用表!$E:$E,$B69,領用表!$B:$B,CG$2&amp;CI$2)</f>
        <v>0</v>
      </c>
      <c r="CJ69" s="206">
        <f>SUMIFS(領用表!$L:$L,領用表!$E:$E,$B69,領用表!$B:$B,CG$2&amp;CJ$2)</f>
        <v>17282</v>
      </c>
      <c r="CK69" s="206">
        <f>SUMIFS(領用表!$L:$L,領用表!$E:$E,$B69,領用表!$B:$B,$CG$2&amp;CK$2)</f>
        <v>0</v>
      </c>
      <c r="CL69" s="207">
        <f t="shared" si="16"/>
        <v>200246</v>
      </c>
      <c r="CM69" s="207">
        <f t="shared" si="17"/>
        <v>16687.166666666668</v>
      </c>
      <c r="CN69" s="208">
        <f>SUMIFS(領用表!$L:$L,領用表!$A:$A,CN$2,領用表!$E:$E,B69)</f>
        <v>27165</v>
      </c>
      <c r="CO69" s="206">
        <f>SUMIFS(領用表!$L:$L,領用表!$E:$E,$B69,領用表!$B:$B,CN$2&amp;CO$2)</f>
        <v>9720</v>
      </c>
      <c r="CP69" s="206">
        <f>SUMIFS(領用表!$L:$L,領用表!$E:$E,$B69,領用表!$B:$B,$CN$2&amp;CP$2)</f>
        <v>0</v>
      </c>
      <c r="CQ69" s="206">
        <f>SUMIFS(領用表!$L:$L,領用表!$E:$E,$B69,領用表!$B:$B,$CN$2&amp;CQ$2)</f>
        <v>17445</v>
      </c>
      <c r="CR69" s="206">
        <f>SUMIFS(領用表!$L:$L,領用表!$E:$E,$B69,領用表!$B:$B,$CN$2&amp;CR$2)</f>
        <v>0</v>
      </c>
      <c r="CS69" s="208">
        <f>SUMIFS(領用表!$L:$L,領用表!$A:$A,CS$2,領用表!$E:$E,B69)</f>
        <v>19875</v>
      </c>
      <c r="CT69" s="206">
        <f>SUMIFS(領用表!$L:$L,領用表!$E:$E,$B69,領用表!$B:$B,CS$2&amp;CT$2)</f>
        <v>7410</v>
      </c>
      <c r="CU69" s="206">
        <f>SUMIFS(領用表!$L:$L,領用表!$E:$E,$B69,領用表!$B:$B,$CS$2&amp;CU$2)</f>
        <v>0</v>
      </c>
      <c r="CV69" s="206">
        <f>SUMIFS(領用表!$L:$L,領用表!$E:$E,$B69,領用表!$B:$B,$CS$2&amp;CV$2)</f>
        <v>11805</v>
      </c>
      <c r="CW69" s="206">
        <f>SUMIFS(領用表!$L:$L,領用表!$E:$E,$B69,領用表!$B:$B,$CS$2&amp;CW$2)</f>
        <v>0</v>
      </c>
      <c r="CX69" s="206">
        <f>SUMIFS(領用表!$L:$L,領用表!$E:$E,$B69,領用表!$B:$B,$CS$2&amp;CX$2)</f>
        <v>660</v>
      </c>
      <c r="CY69" s="208">
        <f>SUMIFS(領用表!$L:$L,領用表!$A:$A,CY$2,領用表!$E:$E,B69)</f>
        <v>25951</v>
      </c>
      <c r="CZ69" s="206">
        <f>SUMIFS(領用表!$L:$L,領用表!$E:$E,$B69,領用表!$B:$B,CY$2&amp;CZ$2)</f>
        <v>9030</v>
      </c>
      <c r="DA69" s="206">
        <f>SUMIFS(領用表!$L:$L,領用表!$E:$E,$B69,領用表!$B:$B,$CY$2&amp;DA$2)</f>
        <v>0</v>
      </c>
      <c r="DB69" s="206">
        <f>SUMIFS(領用表!$L:$L,領用表!$E:$E,$B69,領用表!$B:$B,$CY$2&amp;DB$2)</f>
        <v>13801</v>
      </c>
      <c r="DC69" s="206">
        <f>SUMIFS(領用表!$L:$L,領用表!$E:$E,$B69,領用表!$B:$B,$CY$2&amp;DC$2)</f>
        <v>0</v>
      </c>
      <c r="DD69" s="206">
        <f>SUMIFS(領用表!$L:$L,領用表!$E:$E,$B69,領用表!$B:$B,$CY$2&amp;DD$2)</f>
        <v>3120</v>
      </c>
      <c r="DE69" s="208">
        <f>SUMIFS(領用表!$L:$L,領用表!$A:$A,DE$2,領用表!$E:$E,B69)</f>
        <v>25335</v>
      </c>
      <c r="DF69" s="206">
        <f>SUMIFS(領用表!$L:$L,領用表!$E:$E,$B69,領用表!$B:$B,DE$2&amp;DF$2)</f>
        <v>7950</v>
      </c>
      <c r="DG69" s="206">
        <f>SUMIFS(領用表!$L:$L,領用表!$E:$E,$B69,領用表!$B:$B,$DE$2&amp;DG$2)</f>
        <v>0</v>
      </c>
      <c r="DH69" s="206">
        <f>SUMIFS(領用表!$L:$L,領用表!$E:$E,$B69,領用表!$B:$B,$DE$2&amp;DH$2)</f>
        <v>12630</v>
      </c>
      <c r="DI69" s="206">
        <f>SUMIFS(領用表!$L:$L,領用表!$E:$E,$B69,領用表!$B:$B,$DE$2&amp;DI$2)</f>
        <v>0</v>
      </c>
      <c r="DJ69" s="206">
        <f>SUMIFS(領用表!$L:$L,領用表!$E:$E,$B69,領用表!$B:$B,$DE$2&amp;DJ$2)</f>
        <v>4755</v>
      </c>
      <c r="DK69" s="208">
        <f>SUMIFS(領用表!$L:$L,領用表!$A:$A,DK$2,領用表!$E:$E,$B69)</f>
        <v>25905</v>
      </c>
      <c r="DL69" s="206">
        <f>SUMIFS(領用表!$L:$L,領用表!$E:$E,$B69,領用表!$B:$B,DK$2&amp;DL$2)</f>
        <v>8430</v>
      </c>
      <c r="DM69" s="206">
        <f>SUMIFS(領用表!$L:$L,領用表!$E:$E,$B69,領用表!$B:$B,$DK$2&amp;DM$2)</f>
        <v>0</v>
      </c>
      <c r="DN69" s="206">
        <f>SUMIFS(領用表!$L:$L,領用表!$E:$E,$B69,領用表!$B:$B,$DK$2&amp;DN$2)</f>
        <v>12570</v>
      </c>
      <c r="DO69" s="206">
        <f>SUMIFS(領用表!$L:$L,領用表!$E:$E,$B69,領用表!$B:$B,$DK$2&amp;DO$2)</f>
        <v>0</v>
      </c>
      <c r="DP69" s="206">
        <f>SUMIFS(領用表!$L:$L,領用表!$E:$E,$B69,領用表!$B:$B,$DK$2&amp;DP$2)</f>
        <v>4905</v>
      </c>
      <c r="DQ69" s="206">
        <f t="shared" si="14"/>
        <v>124231</v>
      </c>
      <c r="DR69" s="206">
        <f t="shared" si="15"/>
        <v>24846.2</v>
      </c>
      <c r="DS69" s="206">
        <f t="shared" si="6"/>
        <v>21750</v>
      </c>
      <c r="DT69" s="206">
        <v>8250</v>
      </c>
      <c r="DU69" s="206">
        <v>0</v>
      </c>
      <c r="DV69" s="206">
        <v>13500</v>
      </c>
      <c r="DW69" s="206">
        <v>0</v>
      </c>
      <c r="DX69" s="209">
        <v>18880</v>
      </c>
      <c r="DY69" s="465"/>
      <c r="DZ69" s="254" t="s">
        <v>813</v>
      </c>
      <c r="EA69" s="254" t="s">
        <v>813</v>
      </c>
      <c r="EB69" s="136" t="s">
        <v>814</v>
      </c>
      <c r="EC69" s="212"/>
      <c r="ED69" s="118">
        <f>IFERROR(VLOOKUP(A69,站前4樓!A:BF,57,0),0)</f>
        <v>9870</v>
      </c>
      <c r="EE69" s="213">
        <f>IFERROR(VLOOKUP(A69,站前11樓!A:BE,57,0),0)</f>
        <v>0</v>
      </c>
      <c r="EF69" s="118">
        <f>IFERROR(VLOOKUP(A69,忠孝7樓!A:N,57,0),0)</f>
        <v>0</v>
      </c>
      <c r="EG69" s="118">
        <f>IFERROR(VLOOKUP(A69,忠孝國際醫學3樓!A:L,57,0),0)</f>
        <v>0</v>
      </c>
      <c r="EH69" s="118">
        <f t="shared" si="7"/>
        <v>9870</v>
      </c>
      <c r="EJ69" s="118">
        <v>16992</v>
      </c>
      <c r="EK69" s="118">
        <v>24780</v>
      </c>
    </row>
    <row r="70" spans="1:141" s="118" customFormat="1" ht="15.75" customHeight="1">
      <c r="A70" s="136" t="s">
        <v>129</v>
      </c>
      <c r="B70" s="118">
        <v>6220014</v>
      </c>
      <c r="C70" s="118" t="s">
        <v>625</v>
      </c>
      <c r="D70" s="207">
        <v>236</v>
      </c>
      <c r="E70" s="198" t="s">
        <v>124</v>
      </c>
      <c r="F70" s="225">
        <f>SUMIF(站前4樓!B:B,B70,站前4樓!F:F)</f>
        <v>12036</v>
      </c>
      <c r="G70" s="225">
        <f>SUMIF(站前11樓!B:B,B70,站前11樓!F:F)</f>
        <v>0</v>
      </c>
      <c r="H70" s="225">
        <f>SUMIF(忠孝7樓!B:B,B70,忠孝7樓!G:G)</f>
        <v>10856</v>
      </c>
      <c r="I70" s="225">
        <f>SUMIF(忠孝國際醫學3樓!B:B,B70,忠孝國際醫學3樓!G:G)</f>
        <v>0</v>
      </c>
      <c r="J70" s="225">
        <f>SUMIF(忠孝健康7樓!B:B,B70,忠孝健康7樓!G:G)</f>
        <v>2124</v>
      </c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1">
        <v>3</v>
      </c>
      <c r="AK70" s="201">
        <v>3</v>
      </c>
      <c r="AL70" s="201">
        <v>3</v>
      </c>
      <c r="AM70" s="201">
        <v>4</v>
      </c>
      <c r="AN70" s="201">
        <v>4</v>
      </c>
      <c r="AO70" s="201">
        <v>17</v>
      </c>
      <c r="AP70" s="201">
        <v>6</v>
      </c>
      <c r="AQ70" s="201">
        <v>16</v>
      </c>
      <c r="AR70" s="201">
        <v>24</v>
      </c>
      <c r="AS70" s="201">
        <v>14</v>
      </c>
      <c r="AT70" s="201">
        <v>25</v>
      </c>
      <c r="AU70" s="203">
        <f>2360/D70</f>
        <v>10</v>
      </c>
      <c r="AV70" s="204">
        <f t="shared" si="18"/>
        <v>129</v>
      </c>
      <c r="AW70" s="205">
        <f t="shared" si="19"/>
        <v>10.75</v>
      </c>
      <c r="AX70" s="203">
        <v>4484</v>
      </c>
      <c r="AY70" s="203">
        <v>2832</v>
      </c>
      <c r="AZ70" s="203">
        <v>4012</v>
      </c>
      <c r="BA70" s="203">
        <v>3540</v>
      </c>
      <c r="BB70" s="203">
        <v>2832</v>
      </c>
      <c r="BC70" s="203">
        <f>SUMIFS(領用表!$L:$L,領用表!$A:$A,BC$2,領用表!$E:$E,B70)</f>
        <v>9525</v>
      </c>
      <c r="BD70" s="206">
        <f>SUMIFS(領用表!$L:$L,領用表!$E:$E,$B70,領用表!$B:$B,BC$2&amp;BD$2)</f>
        <v>9525</v>
      </c>
      <c r="BE70" s="206">
        <f>SUMIFS(領用表!$L:$L,領用表!$E:$E,$B70,領用表!$B:$B,$BC$2&amp;BE$2)</f>
        <v>0</v>
      </c>
      <c r="BF70" s="206">
        <f>SUMIFS(領用表!$L:$L,領用表!$E:$E,$B70,領用表!$B:$B,$BC$2&amp;BF$2)</f>
        <v>0</v>
      </c>
      <c r="BG70" s="206">
        <f>SUMIFS(領用表!$L:$L,領用表!$E:$E,$B70,領用表!$B:$B,$BC$2&amp;BG$2)</f>
        <v>0</v>
      </c>
      <c r="BH70" s="203">
        <f>SUMIFS(領用表!$L:$L,領用表!$A:$A,BH$2,領用表!$E:$E,B70)</f>
        <v>15211</v>
      </c>
      <c r="BI70" s="260">
        <f>SUMIFS(領用表!$L:$L,領用表!$E:$E,$B70,領用表!$B:$B,BH$2&amp;BI$2)</f>
        <v>8521</v>
      </c>
      <c r="BJ70" s="260">
        <f>SUMIFS(領用表!$L:$L,領用表!$E:$E,$B70,領用表!$B:$B,$BH$2&amp;BJ$2)</f>
        <v>0</v>
      </c>
      <c r="BK70" s="260">
        <f>SUMIFS(領用表!$L:$L,領用表!$E:$E,$B70,領用表!$B:$B,$BH$2&amp;BK$2)</f>
        <v>6690</v>
      </c>
      <c r="BL70" s="260">
        <f>SUMIFS(領用表!$L:$L,領用表!$E:$E,$B70,領用表!$B:$B,$BH$2&amp;BL$2)</f>
        <v>0</v>
      </c>
      <c r="BM70" s="203">
        <f>SUMIFS(領用表!$L:$L,領用表!$A:$A,BM$2,領用表!$E:$E,B70)</f>
        <v>18930</v>
      </c>
      <c r="BN70" s="206">
        <f>SUMIFS(領用表!$L:$L,領用表!$E:$E,$B70,領用表!$B:$B,BM$2&amp;BN$2)</f>
        <v>8475</v>
      </c>
      <c r="BO70" s="206">
        <f>SUMIFS(領用表!$L:$L,領用表!$E:$E,$B70,領用表!$B:$B,$BM$2&amp;BO$2)</f>
        <v>0</v>
      </c>
      <c r="BP70" s="206">
        <f>SUMIFS(領用表!$L:$L,領用表!$E:$E,$B70,領用表!$B:$B,$BM$2&amp;BP$2)</f>
        <v>10455</v>
      </c>
      <c r="BQ70" s="206">
        <f>SUMIFS(領用表!$L:$L,領用表!$E:$E,$B70,領用表!$B:$B,$BM$2&amp;BQ$2)</f>
        <v>0</v>
      </c>
      <c r="BR70" s="203">
        <f>SUMIFS(領用表!$L:$L,領用表!$A:$A,BR$2,領用表!$E:$E,B70)</f>
        <v>20700</v>
      </c>
      <c r="BS70" s="206">
        <f>SUMIFS(領用表!$L:$L,領用表!$E:$E,$B70,領用表!$B:$B,BR$2&amp;BS$2)</f>
        <v>8850</v>
      </c>
      <c r="BT70" s="206">
        <f>SUMIFS(領用表!$L:$L,領用表!$E:$E,$B70,領用表!$B:$B,$BR$2&amp;BT$2)</f>
        <v>0</v>
      </c>
      <c r="BU70" s="206">
        <f>SUMIFS(領用表!$L:$L,領用表!$E:$E,$B70,領用表!$B:$B,$BR$2&amp;BU$2)</f>
        <v>11850</v>
      </c>
      <c r="BV70" s="206">
        <f>SUMIFS(領用表!$L:$L,領用表!$E:$E,$B70,領用表!$B:$B,$BR$2&amp;BV$2)</f>
        <v>0</v>
      </c>
      <c r="BW70" s="208">
        <f>SUMIFS(領用表!$L:$L,領用表!$A:$A,BW$2,領用表!$E:$E,B70)</f>
        <v>23747</v>
      </c>
      <c r="BX70" s="206">
        <f>SUMIFS(領用表!$L:$L,領用表!$E:$E,$B70,領用表!$B:$B,BW$2&amp;BX$2)</f>
        <v>10080</v>
      </c>
      <c r="BY70" s="206">
        <f>SUMIFS(領用表!$L:$L,領用表!$E:$E,$B70,領用表!$B:$B,$BW$2&amp;BY$2)</f>
        <v>0</v>
      </c>
      <c r="BZ70" s="206">
        <f>SUMIFS(領用表!$L:$L,領用表!$E:$E,$B70,領用表!$B:$B,$BW$2&amp;BZ$2)</f>
        <v>13667</v>
      </c>
      <c r="CA70" s="206">
        <f>SUMIFS(領用表!$L:$L,領用表!$E:$E,$B70,領用表!$B:$B,$BW$2&amp;CA$2)</f>
        <v>0</v>
      </c>
      <c r="CB70" s="208">
        <f>SUMIFS(領用表!$L:$L,領用表!$A:$A,CB$2,領用表!$E:$E,B70)</f>
        <v>24754</v>
      </c>
      <c r="CC70" s="206">
        <f>SUMIFS(領用表!$L:$L,領用表!$E:$E,$B70,領用表!$B:$B,CB$2&amp;CC$2)</f>
        <v>9870</v>
      </c>
      <c r="CD70" s="206">
        <f>SUMIFS(領用表!$L:$L,領用表!$E:$E,$B70,領用表!$B:$B,$CB$2&amp;CD$2)</f>
        <v>0</v>
      </c>
      <c r="CE70" s="206">
        <f>SUMIFS(領用表!$L:$L,領用表!$E:$E,$B70,領用表!$B:$B,$CB$2&amp;CE$2)</f>
        <v>14884</v>
      </c>
      <c r="CF70" s="206">
        <f>SUMIFS(領用表!$L:$L,領用表!$E:$E,$B70,領用表!$B:$B,$CB$2&amp;CF$2)</f>
        <v>0</v>
      </c>
      <c r="CG70" s="208">
        <f>SUMIFS(領用表!$L:$L,領用表!$A:$A,CG$2,領用表!$E:$E,B70)</f>
        <v>28143</v>
      </c>
      <c r="CH70" s="206">
        <f>SUMIFS(領用表!$L:$L,領用表!$E:$E,$B70,領用表!$B:$B,CG$2&amp;CH$2)</f>
        <v>10861</v>
      </c>
      <c r="CI70" s="206">
        <f>SUMIFS(領用表!$L:$L,領用表!$E:$E,$B70,領用表!$B:$B,CG$2&amp;CI$2)</f>
        <v>0</v>
      </c>
      <c r="CJ70" s="206">
        <f>SUMIFS(領用表!$L:$L,領用表!$E:$E,$B70,領用表!$B:$B,CG$2&amp;CJ$2)</f>
        <v>17282</v>
      </c>
      <c r="CK70" s="206">
        <f>SUMIFS(領用表!$L:$L,領用表!$E:$E,$B70,領用表!$B:$B,$CG$2&amp;CK$2)</f>
        <v>0</v>
      </c>
      <c r="CL70" s="207">
        <f t="shared" si="16"/>
        <v>158710</v>
      </c>
      <c r="CM70" s="207">
        <f t="shared" si="17"/>
        <v>13225.833333333334</v>
      </c>
      <c r="CN70" s="208">
        <f>SUMIFS(領用表!$L:$L,領用表!$A:$A,CN$2,領用表!$E:$E,B70)</f>
        <v>27165</v>
      </c>
      <c r="CO70" s="206">
        <f>SUMIFS(領用表!$L:$L,領用表!$E:$E,$B70,領用表!$B:$B,CN$2&amp;CO$2)</f>
        <v>9720</v>
      </c>
      <c r="CP70" s="206">
        <f>SUMIFS(領用表!$L:$L,領用表!$E:$E,$B70,領用表!$B:$B,$CN$2&amp;CP$2)</f>
        <v>0</v>
      </c>
      <c r="CQ70" s="206">
        <f>SUMIFS(領用表!$L:$L,領用表!$E:$E,$B70,領用表!$B:$B,$CN$2&amp;CQ$2)</f>
        <v>17445</v>
      </c>
      <c r="CR70" s="206">
        <f>SUMIFS(領用表!$L:$L,領用表!$E:$E,$B70,領用表!$B:$B,$CN$2&amp;CR$2)</f>
        <v>0</v>
      </c>
      <c r="CS70" s="208">
        <f>SUMIFS(領用表!$L:$L,領用表!$A:$A,CS$2,領用表!$E:$E,B70)</f>
        <v>19875</v>
      </c>
      <c r="CT70" s="206">
        <f>SUMIFS(領用表!$L:$L,領用表!$E:$E,$B70,領用表!$B:$B,CS$2&amp;CT$2)</f>
        <v>7410</v>
      </c>
      <c r="CU70" s="206">
        <f>SUMIFS(領用表!$L:$L,領用表!$E:$E,$B70,領用表!$B:$B,$CS$2&amp;CU$2)</f>
        <v>0</v>
      </c>
      <c r="CV70" s="206">
        <f>SUMIFS(領用表!$L:$L,領用表!$E:$E,$B70,領用表!$B:$B,$CS$2&amp;CV$2)</f>
        <v>11805</v>
      </c>
      <c r="CW70" s="206">
        <f>SUMIFS(領用表!$L:$L,領用表!$E:$E,$B70,領用表!$B:$B,$CS$2&amp;CW$2)</f>
        <v>0</v>
      </c>
      <c r="CX70" s="206">
        <f>SUMIFS(領用表!$L:$L,領用表!$E:$E,$B70,領用表!$B:$B,$CS$2&amp;CX$2)</f>
        <v>660</v>
      </c>
      <c r="CY70" s="208">
        <f>SUMIFS(領用表!$L:$L,領用表!$A:$A,CY$2,領用表!$E:$E,B70)</f>
        <v>25951</v>
      </c>
      <c r="CZ70" s="206">
        <f>SUMIFS(領用表!$L:$L,領用表!$E:$E,$B70,領用表!$B:$B,CY$2&amp;CZ$2)</f>
        <v>9030</v>
      </c>
      <c r="DA70" s="206">
        <f>SUMIFS(領用表!$L:$L,領用表!$E:$E,$B70,領用表!$B:$B,$CY$2&amp;DA$2)</f>
        <v>0</v>
      </c>
      <c r="DB70" s="206">
        <f>SUMIFS(領用表!$L:$L,領用表!$E:$E,$B70,領用表!$B:$B,$CY$2&amp;DB$2)</f>
        <v>13801</v>
      </c>
      <c r="DC70" s="206">
        <f>SUMIFS(領用表!$L:$L,領用表!$E:$E,$B70,領用表!$B:$B,$CY$2&amp;DC$2)</f>
        <v>0</v>
      </c>
      <c r="DD70" s="206">
        <f>SUMIFS(領用表!$L:$L,領用表!$E:$E,$B70,領用表!$B:$B,$CY$2&amp;DD$2)</f>
        <v>3120</v>
      </c>
      <c r="DE70" s="208">
        <f>SUMIFS(領用表!$L:$L,領用表!$A:$A,DE$2,領用表!$E:$E,B70)</f>
        <v>25335</v>
      </c>
      <c r="DF70" s="206">
        <f>SUMIFS(領用表!$L:$L,領用表!$E:$E,$B70,領用表!$B:$B,DE$2&amp;DF$2)</f>
        <v>7950</v>
      </c>
      <c r="DG70" s="206">
        <f>SUMIFS(領用表!$L:$L,領用表!$E:$E,$B70,領用表!$B:$B,$DE$2&amp;DG$2)</f>
        <v>0</v>
      </c>
      <c r="DH70" s="206">
        <f>SUMIFS(領用表!$L:$L,領用表!$E:$E,$B70,領用表!$B:$B,$DE$2&amp;DH$2)</f>
        <v>12630</v>
      </c>
      <c r="DI70" s="206">
        <f>SUMIFS(領用表!$L:$L,領用表!$E:$E,$B70,領用表!$B:$B,$DE$2&amp;DI$2)</f>
        <v>0</v>
      </c>
      <c r="DJ70" s="206">
        <f>SUMIFS(領用表!$L:$L,領用表!$E:$E,$B70,領用表!$B:$B,$DE$2&amp;DJ$2)</f>
        <v>4755</v>
      </c>
      <c r="DK70" s="208">
        <f>SUMIFS(領用表!$L:$L,領用表!$A:$A,DK$2,領用表!$E:$E,$B70)</f>
        <v>25905</v>
      </c>
      <c r="DL70" s="206">
        <f>SUMIFS(領用表!$L:$L,領用表!$E:$E,$B70,領用表!$B:$B,DK$2&amp;DL$2)</f>
        <v>8430</v>
      </c>
      <c r="DM70" s="206">
        <f>SUMIFS(領用表!$L:$L,領用表!$E:$E,$B70,領用表!$B:$B,$DK$2&amp;DM$2)</f>
        <v>0</v>
      </c>
      <c r="DN70" s="206">
        <f>SUMIFS(領用表!$L:$L,領用表!$E:$E,$B70,領用表!$B:$B,$DK$2&amp;DN$2)</f>
        <v>12570</v>
      </c>
      <c r="DO70" s="206">
        <f>SUMIFS(領用表!$L:$L,領用表!$E:$E,$B70,領用表!$B:$B,$DK$2&amp;DO$2)</f>
        <v>0</v>
      </c>
      <c r="DP70" s="206">
        <f>SUMIFS(領用表!$L:$L,領用表!$E:$E,$B70,領用表!$B:$B,$DK$2&amp;DP$2)</f>
        <v>4905</v>
      </c>
      <c r="DQ70" s="206">
        <f t="shared" ref="DQ70:DQ77" si="20">SUM(CN70,CS70,CY70,DE70,DK70)</f>
        <v>124231</v>
      </c>
      <c r="DR70" s="206">
        <f t="shared" ref="DR70:DR77" si="21">AVERAGEA(CN70,CS70,CY70,DE70,DK70)</f>
        <v>24846.2</v>
      </c>
      <c r="DS70" s="206">
        <f t="shared" si="6"/>
        <v>21750</v>
      </c>
      <c r="DT70" s="206">
        <v>8250</v>
      </c>
      <c r="DU70" s="206">
        <v>0</v>
      </c>
      <c r="DV70" s="206">
        <v>13500</v>
      </c>
      <c r="DW70" s="206">
        <v>0</v>
      </c>
      <c r="DX70" s="209">
        <v>18880</v>
      </c>
      <c r="DY70" s="465"/>
      <c r="DZ70" s="254" t="s">
        <v>815</v>
      </c>
      <c r="EA70" s="254" t="s">
        <v>813</v>
      </c>
      <c r="EB70" s="136"/>
      <c r="EC70" s="212"/>
      <c r="ED70" s="118">
        <f>IFERROR(VLOOKUP(A70,站前4樓!A:BF,57,0),0)</f>
        <v>9870</v>
      </c>
      <c r="EE70" s="213">
        <f>IFERROR(VLOOKUP(A70,站前11樓!A:BE,57,0),0)</f>
        <v>0</v>
      </c>
      <c r="EF70" s="118">
        <f>IFERROR(VLOOKUP(A70,忠孝7樓!A:N,57,0),0)</f>
        <v>0</v>
      </c>
      <c r="EG70" s="118">
        <f>IFERROR(VLOOKUP(A70,忠孝國際醫學3樓!A:L,57,0),0)</f>
        <v>0</v>
      </c>
      <c r="EH70" s="118">
        <f t="shared" si="7"/>
        <v>9870</v>
      </c>
      <c r="EJ70" s="118">
        <v>20060</v>
      </c>
      <c r="EK70" s="118">
        <v>27848</v>
      </c>
    </row>
    <row r="71" spans="1:141" s="118" customFormat="1" ht="16.5" customHeight="1">
      <c r="A71" s="136" t="s">
        <v>131</v>
      </c>
      <c r="B71" s="118">
        <v>6220015</v>
      </c>
      <c r="C71" s="118" t="s">
        <v>626</v>
      </c>
      <c r="D71" s="207">
        <v>236</v>
      </c>
      <c r="E71" s="198" t="s">
        <v>124</v>
      </c>
      <c r="F71" s="225">
        <f>SUMIF(站前4樓!B:B,B71,站前4樓!F:F)</f>
        <v>14868</v>
      </c>
      <c r="G71" s="225">
        <f>SUMIF(站前11樓!B:B,B71,站前11樓!F:F)</f>
        <v>0</v>
      </c>
      <c r="H71" s="225">
        <f>SUMIF(忠孝7樓!B:B,B71,忠孝7樓!G:G)</f>
        <v>11328</v>
      </c>
      <c r="I71" s="225">
        <f>SUMIF(忠孝國際醫學3樓!B:B,B71,忠孝國際醫學3樓!G:G)</f>
        <v>0</v>
      </c>
      <c r="J71" s="225">
        <f>SUMIF(忠孝健康7樓!B:B,B71,忠孝健康7樓!G:G)</f>
        <v>2124</v>
      </c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200"/>
      <c r="AG71" s="200"/>
      <c r="AH71" s="200"/>
      <c r="AI71" s="200"/>
      <c r="AJ71" s="201">
        <v>0</v>
      </c>
      <c r="AK71" s="201">
        <v>1</v>
      </c>
      <c r="AL71" s="201">
        <v>1</v>
      </c>
      <c r="AM71" s="201">
        <v>2</v>
      </c>
      <c r="AN71" s="201">
        <v>1</v>
      </c>
      <c r="AO71" s="201">
        <v>14</v>
      </c>
      <c r="AP71" s="201">
        <v>2</v>
      </c>
      <c r="AQ71" s="201">
        <v>3</v>
      </c>
      <c r="AR71" s="201">
        <v>0</v>
      </c>
      <c r="AS71" s="201">
        <v>0</v>
      </c>
      <c r="AT71" s="201">
        <v>0</v>
      </c>
      <c r="AU71" s="203">
        <f>708/D71</f>
        <v>3</v>
      </c>
      <c r="AV71" s="204">
        <f t="shared" si="18"/>
        <v>27</v>
      </c>
      <c r="AW71" s="205">
        <f t="shared" si="19"/>
        <v>2.25</v>
      </c>
      <c r="AX71" s="203">
        <v>1416</v>
      </c>
      <c r="AY71" s="203">
        <v>1416</v>
      </c>
      <c r="AZ71" s="203">
        <v>1652</v>
      </c>
      <c r="BA71" s="203">
        <v>708</v>
      </c>
      <c r="BB71" s="203">
        <v>1652</v>
      </c>
      <c r="BC71" s="203">
        <f>SUMIFS(領用表!$L:$L,領用表!$A:$A,BC$2,領用表!$E:$E,B71)</f>
        <v>0</v>
      </c>
      <c r="BD71" s="206">
        <f>SUMIFS(領用表!$L:$L,領用表!$E:$E,$B71,領用表!$B:$B,BC$2&amp;BD$2)</f>
        <v>0</v>
      </c>
      <c r="BE71" s="206">
        <f>SUMIFS(領用表!$L:$L,領用表!$E:$E,$B71,領用表!$B:$B,$BC$2&amp;BE$2)</f>
        <v>0</v>
      </c>
      <c r="BF71" s="206">
        <f>SUMIFS(領用表!$L:$L,領用表!$E:$E,$B71,領用表!$B:$B,$BC$2&amp;BF$2)</f>
        <v>0</v>
      </c>
      <c r="BG71" s="206">
        <f>SUMIFS(領用表!$L:$L,領用表!$E:$E,$B71,領用表!$B:$B,$BC$2&amp;BG$2)</f>
        <v>0</v>
      </c>
      <c r="BH71" s="203">
        <f>SUMIFS(領用表!$L:$L,領用表!$A:$A,BH$2,領用表!$E:$E,B71)</f>
        <v>1</v>
      </c>
      <c r="BI71" s="260">
        <f>SUMIFS(領用表!$L:$L,領用表!$E:$E,$B71,領用表!$B:$B,BH$2&amp;BI$2)</f>
        <v>1</v>
      </c>
      <c r="BJ71" s="260">
        <f>SUMIFS(領用表!$L:$L,領用表!$E:$E,$B71,領用表!$B:$B,$BH$2&amp;BJ$2)</f>
        <v>0</v>
      </c>
      <c r="BK71" s="260">
        <f>SUMIFS(領用表!$L:$L,領用表!$E:$E,$B71,領用表!$B:$B,$BH$2&amp;BK$2)</f>
        <v>0</v>
      </c>
      <c r="BL71" s="260">
        <f>SUMIFS(領用表!$L:$L,領用表!$E:$E,$B71,領用表!$B:$B,$BH$2&amp;BL$2)</f>
        <v>0</v>
      </c>
      <c r="BM71" s="203">
        <f>SUMIFS(領用表!$L:$L,領用表!$A:$A,BM$2,領用表!$E:$E,B71)</f>
        <v>9015</v>
      </c>
      <c r="BN71" s="206">
        <f>SUMIFS(領用表!$L:$L,領用表!$E:$E,$B71,領用表!$B:$B,BM$2&amp;BN$2)</f>
        <v>3960</v>
      </c>
      <c r="BO71" s="206">
        <f>SUMIFS(領用表!$L:$L,領用表!$E:$E,$B71,領用表!$B:$B,$BM$2&amp;BO$2)</f>
        <v>0</v>
      </c>
      <c r="BP71" s="206">
        <f>SUMIFS(領用表!$L:$L,領用表!$E:$E,$B71,領用表!$B:$B,$BM$2&amp;BP$2)</f>
        <v>5055</v>
      </c>
      <c r="BQ71" s="206">
        <f>SUMIFS(領用表!$L:$L,領用表!$E:$E,$B71,領用表!$B:$B,$BM$2&amp;BQ$2)</f>
        <v>0</v>
      </c>
      <c r="BR71" s="203">
        <f>SUMIFS(領用表!$L:$L,領用表!$A:$A,BR$2,領用表!$E:$E,B71)</f>
        <v>20700</v>
      </c>
      <c r="BS71" s="206">
        <f>SUMIFS(領用表!$L:$L,領用表!$E:$E,$B71,領用表!$B:$B,BR$2&amp;BS$2)</f>
        <v>8850</v>
      </c>
      <c r="BT71" s="206">
        <f>SUMIFS(領用表!$L:$L,領用表!$E:$E,$B71,領用表!$B:$B,$BR$2&amp;BT$2)</f>
        <v>0</v>
      </c>
      <c r="BU71" s="206">
        <f>SUMIFS(領用表!$L:$L,領用表!$E:$E,$B71,領用表!$B:$B,$BR$2&amp;BU$2)</f>
        <v>11850</v>
      </c>
      <c r="BV71" s="206">
        <f>SUMIFS(領用表!$L:$L,領用表!$E:$E,$B71,領用表!$B:$B,$BR$2&amp;BV$2)</f>
        <v>0</v>
      </c>
      <c r="BW71" s="208">
        <f>SUMIFS(領用表!$L:$L,領用表!$A:$A,BW$2,領用表!$E:$E,B71)</f>
        <v>23747</v>
      </c>
      <c r="BX71" s="206">
        <f>SUMIFS(領用表!$L:$L,領用表!$E:$E,$B71,領用表!$B:$B,BW$2&amp;BX$2)</f>
        <v>10080</v>
      </c>
      <c r="BY71" s="206">
        <f>SUMIFS(領用表!$L:$L,領用表!$E:$E,$B71,領用表!$B:$B,$BW$2&amp;BY$2)</f>
        <v>0</v>
      </c>
      <c r="BZ71" s="206">
        <f>SUMIFS(領用表!$L:$L,領用表!$E:$E,$B71,領用表!$B:$B,$BW$2&amp;BZ$2)</f>
        <v>13667</v>
      </c>
      <c r="CA71" s="206">
        <f>SUMIFS(領用表!$L:$L,領用表!$E:$E,$B71,領用表!$B:$B,$BW$2&amp;CA$2)</f>
        <v>0</v>
      </c>
      <c r="CB71" s="208">
        <f>SUMIFS(領用表!$L:$L,領用表!$A:$A,CB$2,領用表!$E:$E,B71)</f>
        <v>24754</v>
      </c>
      <c r="CC71" s="206">
        <f>SUMIFS(領用表!$L:$L,領用表!$E:$E,$B71,領用表!$B:$B,CB$2&amp;CC$2)</f>
        <v>9870</v>
      </c>
      <c r="CD71" s="206">
        <f>SUMIFS(領用表!$L:$L,領用表!$E:$E,$B71,領用表!$B:$B,$CB$2&amp;CD$2)</f>
        <v>0</v>
      </c>
      <c r="CE71" s="206">
        <f>SUMIFS(領用表!$L:$L,領用表!$E:$E,$B71,領用表!$B:$B,$CB$2&amp;CE$2)</f>
        <v>14884</v>
      </c>
      <c r="CF71" s="206">
        <f>SUMIFS(領用表!$L:$L,領用表!$E:$E,$B71,領用表!$B:$B,$CB$2&amp;CF$2)</f>
        <v>0</v>
      </c>
      <c r="CG71" s="208">
        <f>SUMIFS(領用表!$L:$L,領用表!$A:$A,CG$2,領用表!$E:$E,B71)</f>
        <v>28143</v>
      </c>
      <c r="CH71" s="206">
        <f>SUMIFS(領用表!$L:$L,領用表!$E:$E,$B71,領用表!$B:$B,CG$2&amp;CH$2)</f>
        <v>10861</v>
      </c>
      <c r="CI71" s="206">
        <f>SUMIFS(領用表!$L:$L,領用表!$E:$E,$B71,領用表!$B:$B,CG$2&amp;CI$2)</f>
        <v>0</v>
      </c>
      <c r="CJ71" s="206">
        <f>SUMIFS(領用表!$L:$L,領用表!$E:$E,$B71,領用表!$B:$B,CG$2&amp;CJ$2)</f>
        <v>17282</v>
      </c>
      <c r="CK71" s="206">
        <f>SUMIFS(領用表!$L:$L,領用表!$E:$E,$B71,領用表!$B:$B,$CG$2&amp;CK$2)</f>
        <v>0</v>
      </c>
      <c r="CL71" s="207">
        <f t="shared" ref="CL71:CL106" si="22">SUM(AX71,AY71,AZ71,BA71,BB71,BC71,BH71,BM71,BR71,BW71,CB71,CG71)</f>
        <v>113204</v>
      </c>
      <c r="CM71" s="207">
        <f t="shared" ref="CM71:CM106" si="23">AVERAGE(AX71,AY71,AZ71,BA71,BB71,BC71,BH71,BM71,BR71,BW71,CB71,CG71)</f>
        <v>9433.6666666666661</v>
      </c>
      <c r="CN71" s="208">
        <f>SUMIFS(領用表!$L:$L,領用表!$A:$A,CN$2,領用表!$E:$E,B71)</f>
        <v>27165</v>
      </c>
      <c r="CO71" s="206">
        <f>SUMIFS(領用表!$L:$L,領用表!$E:$E,$B71,領用表!$B:$B,CN$2&amp;CO$2)</f>
        <v>9720</v>
      </c>
      <c r="CP71" s="206">
        <f>SUMIFS(領用表!$L:$L,領用表!$E:$E,$B71,領用表!$B:$B,$CN$2&amp;CP$2)</f>
        <v>0</v>
      </c>
      <c r="CQ71" s="206">
        <f>SUMIFS(領用表!$L:$L,領用表!$E:$E,$B71,領用表!$B:$B,$CN$2&amp;CQ$2)</f>
        <v>17445</v>
      </c>
      <c r="CR71" s="206">
        <f>SUMIFS(領用表!$L:$L,領用表!$E:$E,$B71,領用表!$B:$B,$CN$2&amp;CR$2)</f>
        <v>0</v>
      </c>
      <c r="CS71" s="208">
        <f>SUMIFS(領用表!$L:$L,領用表!$A:$A,CS$2,領用表!$E:$E,B71)</f>
        <v>19875</v>
      </c>
      <c r="CT71" s="206">
        <f>SUMIFS(領用表!$L:$L,領用表!$E:$E,$B71,領用表!$B:$B,CS$2&amp;CT$2)</f>
        <v>7410</v>
      </c>
      <c r="CU71" s="206">
        <f>SUMIFS(領用表!$L:$L,領用表!$E:$E,$B71,領用表!$B:$B,$CS$2&amp;CU$2)</f>
        <v>0</v>
      </c>
      <c r="CV71" s="206">
        <f>SUMIFS(領用表!$L:$L,領用表!$E:$E,$B71,領用表!$B:$B,$CS$2&amp;CV$2)</f>
        <v>11805</v>
      </c>
      <c r="CW71" s="206">
        <f>SUMIFS(領用表!$L:$L,領用表!$E:$E,$B71,領用表!$B:$B,$CS$2&amp;CW$2)</f>
        <v>0</v>
      </c>
      <c r="CX71" s="206">
        <f>SUMIFS(領用表!$L:$L,領用表!$E:$E,$B71,領用表!$B:$B,$CS$2&amp;CX$2)</f>
        <v>660</v>
      </c>
      <c r="CY71" s="208">
        <f>SUMIFS(領用表!$L:$L,領用表!$A:$A,CY$2,領用表!$E:$E,B71)</f>
        <v>25951</v>
      </c>
      <c r="CZ71" s="206">
        <f>SUMIFS(領用表!$L:$L,領用表!$E:$E,$B71,領用表!$B:$B,CY$2&amp;CZ$2)</f>
        <v>9030</v>
      </c>
      <c r="DA71" s="206">
        <f>SUMIFS(領用表!$L:$L,領用表!$E:$E,$B71,領用表!$B:$B,$CY$2&amp;DA$2)</f>
        <v>0</v>
      </c>
      <c r="DB71" s="206">
        <f>SUMIFS(領用表!$L:$L,領用表!$E:$E,$B71,領用表!$B:$B,$CY$2&amp;DB$2)</f>
        <v>13801</v>
      </c>
      <c r="DC71" s="206">
        <f>SUMIFS(領用表!$L:$L,領用表!$E:$E,$B71,領用表!$B:$B,$CY$2&amp;DC$2)</f>
        <v>0</v>
      </c>
      <c r="DD71" s="206">
        <f>SUMIFS(領用表!$L:$L,領用表!$E:$E,$B71,領用表!$B:$B,$CY$2&amp;DD$2)</f>
        <v>3120</v>
      </c>
      <c r="DE71" s="208">
        <f>SUMIFS(領用表!$L:$L,領用表!$A:$A,DE$2,領用表!$E:$E,B71)</f>
        <v>25335</v>
      </c>
      <c r="DF71" s="206">
        <f>SUMIFS(領用表!$L:$L,領用表!$E:$E,$B71,領用表!$B:$B,DE$2&amp;DF$2)</f>
        <v>7950</v>
      </c>
      <c r="DG71" s="206">
        <f>SUMIFS(領用表!$L:$L,領用表!$E:$E,$B71,領用表!$B:$B,$DE$2&amp;DG$2)</f>
        <v>0</v>
      </c>
      <c r="DH71" s="206">
        <f>SUMIFS(領用表!$L:$L,領用表!$E:$E,$B71,領用表!$B:$B,$DE$2&amp;DH$2)</f>
        <v>12630</v>
      </c>
      <c r="DI71" s="206">
        <f>SUMIFS(領用表!$L:$L,領用表!$E:$E,$B71,領用表!$B:$B,$DE$2&amp;DI$2)</f>
        <v>0</v>
      </c>
      <c r="DJ71" s="206">
        <f>SUMIFS(領用表!$L:$L,領用表!$E:$E,$B71,領用表!$B:$B,$DE$2&amp;DJ$2)</f>
        <v>4755</v>
      </c>
      <c r="DK71" s="208">
        <f>SUMIFS(領用表!$L:$L,領用表!$A:$A,DK$2,領用表!$E:$E,$B71)</f>
        <v>25905</v>
      </c>
      <c r="DL71" s="206">
        <f>SUMIFS(領用表!$L:$L,領用表!$E:$E,$B71,領用表!$B:$B,DK$2&amp;DL$2)</f>
        <v>8430</v>
      </c>
      <c r="DM71" s="206">
        <f>SUMIFS(領用表!$L:$L,領用表!$E:$E,$B71,領用表!$B:$B,$DK$2&amp;DM$2)</f>
        <v>0</v>
      </c>
      <c r="DN71" s="206">
        <f>SUMIFS(領用表!$L:$L,領用表!$E:$E,$B71,領用表!$B:$B,$DK$2&amp;DN$2)</f>
        <v>12570</v>
      </c>
      <c r="DO71" s="206">
        <f>SUMIFS(領用表!$L:$L,領用表!$E:$E,$B71,領用表!$B:$B,$DK$2&amp;DO$2)</f>
        <v>0</v>
      </c>
      <c r="DP71" s="206">
        <f>SUMIFS(領用表!$L:$L,領用表!$E:$E,$B71,領用表!$B:$B,$DK$2&amp;DP$2)</f>
        <v>4905</v>
      </c>
      <c r="DQ71" s="206">
        <f t="shared" si="20"/>
        <v>124231</v>
      </c>
      <c r="DR71" s="206">
        <f t="shared" si="21"/>
        <v>24846.2</v>
      </c>
      <c r="DS71" s="206">
        <f t="shared" si="6"/>
        <v>21750</v>
      </c>
      <c r="DT71" s="206">
        <v>8250</v>
      </c>
      <c r="DU71" s="206">
        <v>0</v>
      </c>
      <c r="DV71" s="206">
        <v>13500</v>
      </c>
      <c r="DW71" s="206">
        <v>0</v>
      </c>
      <c r="DX71" s="209">
        <v>4720</v>
      </c>
      <c r="DY71" s="466"/>
      <c r="DZ71" s="254" t="s">
        <v>816</v>
      </c>
      <c r="EA71" s="254" t="s">
        <v>817</v>
      </c>
      <c r="EB71" s="136"/>
      <c r="EC71" s="212"/>
      <c r="ED71" s="118">
        <f>IFERROR(VLOOKUP(A71,站前4樓!A:BF,57,0),0)</f>
        <v>9870</v>
      </c>
      <c r="EE71" s="213">
        <f>IFERROR(VLOOKUP(A71,站前11樓!A:BE,57,0),0)</f>
        <v>0</v>
      </c>
      <c r="EF71" s="118">
        <f>IFERROR(VLOOKUP(A71,忠孝7樓!A:N,57,0),0)</f>
        <v>0</v>
      </c>
      <c r="EG71" s="118">
        <f>IFERROR(VLOOKUP(A71,忠孝國際醫學3樓!A:L,57,0),0)</f>
        <v>0</v>
      </c>
      <c r="EH71" s="118">
        <f t="shared" si="7"/>
        <v>9870</v>
      </c>
      <c r="EJ71" s="118">
        <v>16048</v>
      </c>
      <c r="EK71" s="118">
        <v>20296</v>
      </c>
    </row>
    <row r="72" spans="1:141" s="118" customFormat="1" ht="15.75" customHeight="1">
      <c r="A72" s="136" t="s">
        <v>134</v>
      </c>
      <c r="B72" s="118">
        <v>6170014</v>
      </c>
      <c r="C72" s="118" t="s">
        <v>627</v>
      </c>
      <c r="D72" s="228">
        <v>1</v>
      </c>
      <c r="E72" s="198" t="s">
        <v>15</v>
      </c>
      <c r="F72" s="225">
        <f>SUMIF(站前4樓!B:B,B72,站前4樓!F:F)</f>
        <v>0</v>
      </c>
      <c r="G72" s="225">
        <f>SUMIF(站前11樓!B:B,B72,站前11樓!F:F)</f>
        <v>0</v>
      </c>
      <c r="H72" s="225">
        <f>SUMIF(忠孝7樓!B:B,B72,忠孝7樓!G:G)</f>
        <v>11</v>
      </c>
      <c r="I72" s="225">
        <f>SUMIF(忠孝國際醫學3樓!B:B,B72,忠孝國際醫學3樓!G:G)</f>
        <v>0</v>
      </c>
      <c r="J72" s="225">
        <f>SUMIF(忠孝健康7樓!B:B,B72,忠孝健康7樓!G:G)</f>
        <v>9</v>
      </c>
      <c r="K72" s="200">
        <v>0</v>
      </c>
      <c r="L72" s="200">
        <v>0</v>
      </c>
      <c r="M72" s="200">
        <v>0</v>
      </c>
      <c r="N72" s="200">
        <v>0</v>
      </c>
      <c r="O72" s="200">
        <v>3</v>
      </c>
      <c r="P72" s="200">
        <v>3</v>
      </c>
      <c r="Q72" s="200">
        <v>0</v>
      </c>
      <c r="R72" s="200">
        <v>0</v>
      </c>
      <c r="S72" s="200">
        <v>2</v>
      </c>
      <c r="T72" s="200">
        <v>0</v>
      </c>
      <c r="U72" s="200">
        <v>0</v>
      </c>
      <c r="V72" s="200">
        <v>0</v>
      </c>
      <c r="W72" s="200">
        <v>2</v>
      </c>
      <c r="X72" s="200">
        <v>4</v>
      </c>
      <c r="Y72" s="200">
        <v>3</v>
      </c>
      <c r="Z72" s="200">
        <v>2</v>
      </c>
      <c r="AA72" s="200">
        <v>1</v>
      </c>
      <c r="AB72" s="200">
        <v>2</v>
      </c>
      <c r="AC72" s="200">
        <v>1</v>
      </c>
      <c r="AD72" s="200">
        <v>5</v>
      </c>
      <c r="AE72" s="200"/>
      <c r="AF72" s="200"/>
      <c r="AG72" s="200">
        <v>3</v>
      </c>
      <c r="AH72" s="200">
        <v>3</v>
      </c>
      <c r="AI72" s="200">
        <v>6</v>
      </c>
      <c r="AJ72" s="201">
        <v>12</v>
      </c>
      <c r="AK72" s="201">
        <v>1</v>
      </c>
      <c r="AL72" s="201">
        <v>3</v>
      </c>
      <c r="AM72" s="201">
        <v>6</v>
      </c>
      <c r="AN72" s="201">
        <v>4</v>
      </c>
      <c r="AO72" s="201">
        <v>7</v>
      </c>
      <c r="AP72" s="201">
        <v>15</v>
      </c>
      <c r="AQ72" s="201">
        <v>12</v>
      </c>
      <c r="AR72" s="201">
        <v>7</v>
      </c>
      <c r="AS72" s="201">
        <v>12</v>
      </c>
      <c r="AT72" s="202">
        <v>19</v>
      </c>
      <c r="AU72" s="203">
        <v>18</v>
      </c>
      <c r="AV72" s="204">
        <v>15</v>
      </c>
      <c r="AW72" s="205">
        <f t="shared" ref="AW72:AW81" si="24">AV72/12</f>
        <v>1.25</v>
      </c>
      <c r="AX72" s="203">
        <v>10</v>
      </c>
      <c r="AY72" s="203">
        <v>9</v>
      </c>
      <c r="AZ72" s="203">
        <v>12</v>
      </c>
      <c r="BA72" s="201">
        <v>9</v>
      </c>
      <c r="BB72" s="201">
        <v>6</v>
      </c>
      <c r="BC72" s="203">
        <f>SUMIFS(領用表!$L:$L,領用表!$A:$A,BC$2,領用表!$E:$E,B72)</f>
        <v>7</v>
      </c>
      <c r="BD72" s="206">
        <f>SUMIFS(領用表!$L:$L,領用表!$E:$E,$B72,領用表!$B:$B,BC$2&amp;BD$2)</f>
        <v>7</v>
      </c>
      <c r="BE72" s="206">
        <f>SUMIFS(領用表!$L:$L,領用表!$E:$E,$B72,領用表!$B:$B,$BC$2&amp;BE$2)</f>
        <v>0</v>
      </c>
      <c r="BF72" s="206">
        <f>SUMIFS(領用表!$L:$L,領用表!$E:$E,$B72,領用表!$B:$B,$BC$2&amp;BF$2)</f>
        <v>0</v>
      </c>
      <c r="BG72" s="206">
        <f>SUMIFS(領用表!$L:$L,領用表!$E:$E,$B72,領用表!$B:$B,$BC$2&amp;BG$2)</f>
        <v>0</v>
      </c>
      <c r="BH72" s="203">
        <f>SUMIFS(領用表!$L:$L,領用表!$A:$A,BH$2,領用表!$E:$E,B72)</f>
        <v>1</v>
      </c>
      <c r="BI72" s="260">
        <f>SUMIFS(領用表!$L:$L,領用表!$E:$E,$B72,領用表!$B:$B,BH$2&amp;BI$2)</f>
        <v>1</v>
      </c>
      <c r="BJ72" s="260">
        <f>SUMIFS(領用表!$L:$L,領用表!$E:$E,$B72,領用表!$B:$B,$BH$2&amp;BJ$2)</f>
        <v>0</v>
      </c>
      <c r="BK72" s="260">
        <f>SUMIFS(領用表!$L:$L,領用表!$E:$E,$B72,領用表!$B:$B,$BH$2&amp;BK$2)</f>
        <v>0</v>
      </c>
      <c r="BL72" s="260">
        <f>SUMIFS(領用表!$L:$L,領用表!$E:$E,$B72,領用表!$B:$B,$BH$2&amp;BL$2)</f>
        <v>0</v>
      </c>
      <c r="BM72" s="203">
        <f>SUMIFS(領用表!$L:$L,領用表!$A:$A,BM$2,領用表!$E:$E,B72)</f>
        <v>3</v>
      </c>
      <c r="BN72" s="206">
        <f>SUMIFS(領用表!$L:$L,領用表!$E:$E,$B72,領用表!$B:$B,BM$2&amp;BN$2)</f>
        <v>3</v>
      </c>
      <c r="BO72" s="206">
        <f>SUMIFS(領用表!$L:$L,領用表!$E:$E,$B72,領用表!$B:$B,$BM$2&amp;BO$2)</f>
        <v>0</v>
      </c>
      <c r="BP72" s="206">
        <f>SUMIFS(領用表!$L:$L,領用表!$E:$E,$B72,領用表!$B:$B,$BM$2&amp;BP$2)</f>
        <v>0</v>
      </c>
      <c r="BQ72" s="206">
        <f>SUMIFS(領用表!$L:$L,領用表!$E:$E,$B72,領用表!$B:$B,$BM$2&amp;BQ$2)</f>
        <v>0</v>
      </c>
      <c r="BR72" s="203">
        <f>SUMIFS(領用表!$L:$L,領用表!$A:$A,BR$2,領用表!$E:$E,B72)</f>
        <v>3</v>
      </c>
      <c r="BS72" s="206">
        <f>SUMIFS(領用表!$L:$L,領用表!$E:$E,$B72,領用表!$B:$B,BR$2&amp;BS$2)</f>
        <v>2</v>
      </c>
      <c r="BT72" s="206">
        <f>SUMIFS(領用表!$L:$L,領用表!$E:$E,$B72,領用表!$B:$B,$BR$2&amp;BT$2)</f>
        <v>0</v>
      </c>
      <c r="BU72" s="206">
        <f>SUMIFS(領用表!$L:$L,領用表!$E:$E,$B72,領用表!$B:$B,$BR$2&amp;BU$2)</f>
        <v>1</v>
      </c>
      <c r="BV72" s="206">
        <f>SUMIFS(領用表!$L:$L,領用表!$E:$E,$B72,領用表!$B:$B,$BR$2&amp;BV$2)</f>
        <v>0</v>
      </c>
      <c r="BW72" s="208">
        <f>SUMIFS(領用表!$L:$L,領用表!$A:$A,BW$2,領用表!$E:$E,B72)</f>
        <v>16</v>
      </c>
      <c r="BX72" s="206">
        <f>SUMIFS(領用表!$L:$L,領用表!$E:$E,$B72,領用表!$B:$B,BW$2&amp;BX$2)</f>
        <v>0</v>
      </c>
      <c r="BY72" s="206">
        <f>SUMIFS(領用表!$L:$L,領用表!$E:$E,$B72,領用表!$B:$B,$BW$2&amp;BY$2)</f>
        <v>0</v>
      </c>
      <c r="BZ72" s="206">
        <f>SUMIFS(領用表!$L:$L,領用表!$E:$E,$B72,領用表!$B:$B,$BW$2&amp;BZ$2)</f>
        <v>16</v>
      </c>
      <c r="CA72" s="206">
        <f>SUMIFS(領用表!$L:$L,領用表!$E:$E,$B72,領用表!$B:$B,$BW$2&amp;CA$2)</f>
        <v>0</v>
      </c>
      <c r="CB72" s="208">
        <f>SUMIFS(領用表!$L:$L,領用表!$A:$A,CB$2,領用表!$E:$E,B72)</f>
        <v>3</v>
      </c>
      <c r="CC72" s="206">
        <f>SUMIFS(領用表!$L:$L,領用表!$E:$E,$B72,領用表!$B:$B,CB$2&amp;CC$2)</f>
        <v>0</v>
      </c>
      <c r="CD72" s="206">
        <f>SUMIFS(領用表!$L:$L,領用表!$E:$E,$B72,領用表!$B:$B,$CB$2&amp;CD$2)</f>
        <v>0</v>
      </c>
      <c r="CE72" s="206">
        <f>SUMIFS(領用表!$L:$L,領用表!$E:$E,$B72,領用表!$B:$B,$CB$2&amp;CE$2)</f>
        <v>3</v>
      </c>
      <c r="CF72" s="206">
        <f>SUMIFS(領用表!$L:$L,領用表!$E:$E,$B72,領用表!$B:$B,$CB$2&amp;CF$2)</f>
        <v>0</v>
      </c>
      <c r="CG72" s="208">
        <f>SUMIFS(領用表!$L:$L,領用表!$A:$A,CG$2,領用表!$E:$E,B72)</f>
        <v>10</v>
      </c>
      <c r="CH72" s="206">
        <f>SUMIFS(領用表!$L:$L,領用表!$E:$E,$B72,領用表!$B:$B,CG$2&amp;CH$2)</f>
        <v>0</v>
      </c>
      <c r="CI72" s="206">
        <f>SUMIFS(領用表!$L:$L,領用表!$E:$E,$B72,領用表!$B:$B,CG$2&amp;CI$2)</f>
        <v>0</v>
      </c>
      <c r="CJ72" s="206">
        <f>SUMIFS(領用表!$L:$L,領用表!$E:$E,$B72,領用表!$B:$B,CG$2&amp;CJ$2)</f>
        <v>10</v>
      </c>
      <c r="CK72" s="206">
        <f>SUMIFS(領用表!$L:$L,領用表!$E:$E,$B72,領用表!$B:$B,$CG$2&amp;CK$2)</f>
        <v>0</v>
      </c>
      <c r="CL72" s="207">
        <f t="shared" si="22"/>
        <v>89</v>
      </c>
      <c r="CM72" s="207">
        <f t="shared" si="23"/>
        <v>7.416666666666667</v>
      </c>
      <c r="CN72" s="208">
        <f>SUMIFS(領用表!$L:$L,領用表!$A:$A,CN$2,領用表!$E:$E,B72)</f>
        <v>16</v>
      </c>
      <c r="CO72" s="206">
        <f>SUMIFS(領用表!$L:$L,領用表!$E:$E,$B72,領用表!$B:$B,CN$2&amp;CO$2)</f>
        <v>0</v>
      </c>
      <c r="CP72" s="206">
        <f>SUMIFS(領用表!$L:$L,領用表!$E:$E,$B72,領用表!$B:$B,$CN$2&amp;CP$2)</f>
        <v>0</v>
      </c>
      <c r="CQ72" s="206">
        <f>SUMIFS(領用表!$L:$L,領用表!$E:$E,$B72,領用表!$B:$B,$CN$2&amp;CQ$2)</f>
        <v>16</v>
      </c>
      <c r="CR72" s="206">
        <f>SUMIFS(領用表!$L:$L,領用表!$E:$E,$B72,領用表!$B:$B,$CN$2&amp;CR$2)</f>
        <v>0</v>
      </c>
      <c r="CS72" s="208">
        <f>SUMIFS(領用表!$L:$L,領用表!$A:$A,CS$2,領用表!$E:$E,B72)</f>
        <v>4</v>
      </c>
      <c r="CT72" s="206">
        <f>SUMIFS(領用表!$L:$L,領用表!$E:$E,$B72,領用表!$B:$B,CS$2&amp;CT$2)</f>
        <v>0</v>
      </c>
      <c r="CU72" s="206">
        <f>SUMIFS(領用表!$L:$L,領用表!$E:$E,$B72,領用表!$B:$B,$CS$2&amp;CU$2)</f>
        <v>0</v>
      </c>
      <c r="CV72" s="206">
        <f>SUMIFS(領用表!$L:$L,領用表!$E:$E,$B72,領用表!$B:$B,$CS$2&amp;CV$2)</f>
        <v>4</v>
      </c>
      <c r="CW72" s="206">
        <f>SUMIFS(領用表!$L:$L,領用表!$E:$E,$B72,領用表!$B:$B,$CS$2&amp;CW$2)</f>
        <v>0</v>
      </c>
      <c r="CX72" s="206">
        <f>SUMIFS(領用表!$L:$L,領用表!$E:$E,$B72,領用表!$B:$B,$CS$2&amp;CX$2)</f>
        <v>0</v>
      </c>
      <c r="CY72" s="208">
        <f>SUMIFS(領用表!$L:$L,領用表!$A:$A,CY$2,領用表!$E:$E,B72)</f>
        <v>14</v>
      </c>
      <c r="CZ72" s="206">
        <f>SUMIFS(領用表!$L:$L,領用表!$E:$E,$B72,領用表!$B:$B,CY$2&amp;CZ$2)</f>
        <v>0</v>
      </c>
      <c r="DA72" s="206">
        <f>SUMIFS(領用表!$L:$L,領用表!$E:$E,$B72,領用表!$B:$B,$CY$2&amp;DA$2)</f>
        <v>0</v>
      </c>
      <c r="DB72" s="206">
        <f>SUMIFS(領用表!$L:$L,領用表!$E:$E,$B72,領用表!$B:$B,$CY$2&amp;DB$2)</f>
        <v>13</v>
      </c>
      <c r="DC72" s="206">
        <f>SUMIFS(領用表!$L:$L,領用表!$E:$E,$B72,領用表!$B:$B,$CY$2&amp;DC$2)</f>
        <v>0</v>
      </c>
      <c r="DD72" s="206">
        <f>SUMIFS(領用表!$L:$L,領用表!$E:$E,$B72,領用表!$B:$B,$CY$2&amp;DD$2)</f>
        <v>1</v>
      </c>
      <c r="DE72" s="208">
        <f>SUMIFS(領用表!$L:$L,領用表!$A:$A,DE$2,領用表!$E:$E,B72)</f>
        <v>24</v>
      </c>
      <c r="DF72" s="206">
        <f>SUMIFS(領用表!$L:$L,領用表!$E:$E,$B72,領用表!$B:$B,DE$2&amp;DF$2)</f>
        <v>0</v>
      </c>
      <c r="DG72" s="206">
        <f>SUMIFS(領用表!$L:$L,領用表!$E:$E,$B72,領用表!$B:$B,$DE$2&amp;DG$2)</f>
        <v>0</v>
      </c>
      <c r="DH72" s="206">
        <f>SUMIFS(領用表!$L:$L,領用表!$E:$E,$B72,領用表!$B:$B,$DE$2&amp;DH$2)</f>
        <v>13</v>
      </c>
      <c r="DI72" s="206">
        <f>SUMIFS(領用表!$L:$L,領用表!$E:$E,$B72,領用表!$B:$B,$DE$2&amp;DI$2)</f>
        <v>0</v>
      </c>
      <c r="DJ72" s="206">
        <f>SUMIFS(領用表!$L:$L,領用表!$E:$E,$B72,領用表!$B:$B,$DE$2&amp;DJ$2)</f>
        <v>11</v>
      </c>
      <c r="DK72" s="208">
        <f>SUMIFS(領用表!$L:$L,領用表!$A:$A,DK$2,領用表!$E:$E,$B72)</f>
        <v>30</v>
      </c>
      <c r="DL72" s="206">
        <f>SUMIFS(領用表!$L:$L,領用表!$E:$E,$B72,領用表!$B:$B,DK$2&amp;DL$2)</f>
        <v>0</v>
      </c>
      <c r="DM72" s="206">
        <f>SUMIFS(領用表!$L:$L,領用表!$E:$E,$B72,領用表!$B:$B,$DK$2&amp;DM$2)</f>
        <v>0</v>
      </c>
      <c r="DN72" s="206">
        <f>SUMIFS(領用表!$L:$L,領用表!$E:$E,$B72,領用表!$B:$B,$DK$2&amp;DN$2)</f>
        <v>20</v>
      </c>
      <c r="DO72" s="206">
        <f>SUMIFS(領用表!$L:$L,領用表!$E:$E,$B72,領用表!$B:$B,$DK$2&amp;DO$2)</f>
        <v>0</v>
      </c>
      <c r="DP72" s="206">
        <f>SUMIFS(領用表!$L:$L,領用表!$E:$E,$B72,領用表!$B:$B,$DK$2&amp;DP$2)</f>
        <v>10</v>
      </c>
      <c r="DQ72" s="206">
        <f t="shared" si="20"/>
        <v>88</v>
      </c>
      <c r="DR72" s="206">
        <f t="shared" si="21"/>
        <v>17.600000000000001</v>
      </c>
      <c r="DS72" s="206">
        <f t="shared" si="6"/>
        <v>15</v>
      </c>
      <c r="DT72" s="206">
        <v>0</v>
      </c>
      <c r="DU72" s="206">
        <v>0</v>
      </c>
      <c r="DV72" s="206">
        <v>15</v>
      </c>
      <c r="DW72" s="206">
        <v>0</v>
      </c>
      <c r="DX72" s="209">
        <v>10</v>
      </c>
      <c r="DY72" s="204"/>
      <c r="DZ72" s="283"/>
      <c r="EA72" s="204" t="s">
        <v>136</v>
      </c>
      <c r="EB72" s="136"/>
      <c r="EC72" s="212"/>
      <c r="ED72" s="118">
        <f>IFERROR(VLOOKUP(A72,站前4樓!A:BF,57,0),0)</f>
        <v>0</v>
      </c>
      <c r="EE72" s="213">
        <f>IFERROR(VLOOKUP(A72,站前11樓!A:BE,57,0),0)</f>
        <v>0</v>
      </c>
      <c r="EF72" s="118">
        <f>IFERROR(VLOOKUP(A72,忠孝7樓!A:N,57,0),0)</f>
        <v>0</v>
      </c>
      <c r="EG72" s="118">
        <f>IFERROR(VLOOKUP(A72,忠孝國際醫學3樓!A:L,57,0),0)</f>
        <v>0</v>
      </c>
      <c r="EH72" s="118">
        <f t="shared" ref="EH72:EH148" si="25">SUM(ED72:EG72)</f>
        <v>0</v>
      </c>
      <c r="EJ72" s="118">
        <v>0</v>
      </c>
      <c r="EK72" s="118">
        <v>18</v>
      </c>
    </row>
    <row r="73" spans="1:141" s="118" customFormat="1" ht="15.75" customHeight="1">
      <c r="A73" s="136" t="s">
        <v>137</v>
      </c>
      <c r="B73" s="118">
        <v>6170013</v>
      </c>
      <c r="C73" s="118" t="s">
        <v>628</v>
      </c>
      <c r="D73" s="228">
        <v>1</v>
      </c>
      <c r="E73" s="198" t="s">
        <v>15</v>
      </c>
      <c r="F73" s="225">
        <f>SUMIF(站前4樓!B:B,B73,站前4樓!F:F)</f>
        <v>0</v>
      </c>
      <c r="G73" s="225">
        <f>SUMIF(站前11樓!B:B,B73,站前11樓!F:F)</f>
        <v>0</v>
      </c>
      <c r="H73" s="225">
        <f>SUMIF(忠孝7樓!B:B,B73,忠孝7樓!G:G)</f>
        <v>19</v>
      </c>
      <c r="I73" s="225">
        <f>SUMIF(忠孝國際醫學3樓!B:B,B73,忠孝國際醫學3樓!G:G)</f>
        <v>0</v>
      </c>
      <c r="J73" s="225">
        <f>SUMIF(忠孝健康7樓!B:B,B73,忠孝健康7樓!G:G)</f>
        <v>12</v>
      </c>
      <c r="K73" s="200">
        <v>0</v>
      </c>
      <c r="L73" s="200">
        <v>2</v>
      </c>
      <c r="M73" s="200">
        <v>1</v>
      </c>
      <c r="N73" s="200">
        <v>3</v>
      </c>
      <c r="O73" s="200">
        <v>7</v>
      </c>
      <c r="P73" s="200">
        <v>12</v>
      </c>
      <c r="Q73" s="200">
        <v>9</v>
      </c>
      <c r="R73" s="200">
        <v>6</v>
      </c>
      <c r="S73" s="200">
        <v>3</v>
      </c>
      <c r="T73" s="200">
        <v>1</v>
      </c>
      <c r="U73" s="200">
        <v>5</v>
      </c>
      <c r="V73" s="200">
        <v>9</v>
      </c>
      <c r="W73" s="200">
        <v>10</v>
      </c>
      <c r="X73" s="200">
        <v>11</v>
      </c>
      <c r="Y73" s="200">
        <v>7</v>
      </c>
      <c r="Z73" s="200">
        <v>6</v>
      </c>
      <c r="AA73" s="200">
        <v>10</v>
      </c>
      <c r="AB73" s="200">
        <v>5</v>
      </c>
      <c r="AC73" s="200">
        <v>6</v>
      </c>
      <c r="AD73" s="200">
        <v>5</v>
      </c>
      <c r="AE73" s="200">
        <v>5</v>
      </c>
      <c r="AF73" s="200">
        <v>4</v>
      </c>
      <c r="AG73" s="200">
        <v>5</v>
      </c>
      <c r="AH73" s="200">
        <v>9</v>
      </c>
      <c r="AI73" s="200">
        <v>5</v>
      </c>
      <c r="AJ73" s="201">
        <v>9</v>
      </c>
      <c r="AK73" s="201">
        <v>1</v>
      </c>
      <c r="AL73" s="201">
        <v>7</v>
      </c>
      <c r="AM73" s="201">
        <v>7</v>
      </c>
      <c r="AN73" s="201">
        <v>4</v>
      </c>
      <c r="AO73" s="201">
        <v>2</v>
      </c>
      <c r="AP73" s="201">
        <v>16</v>
      </c>
      <c r="AQ73" s="201">
        <v>9</v>
      </c>
      <c r="AR73" s="201">
        <v>10</v>
      </c>
      <c r="AS73" s="201">
        <v>18</v>
      </c>
      <c r="AT73" s="202">
        <v>24</v>
      </c>
      <c r="AU73" s="203">
        <v>28</v>
      </c>
      <c r="AV73" s="204">
        <f t="shared" ref="AV73:AV81" si="26">SUM(AJ73:AU73)</f>
        <v>135</v>
      </c>
      <c r="AW73" s="205">
        <f t="shared" si="24"/>
        <v>11.25</v>
      </c>
      <c r="AX73" s="203">
        <v>33</v>
      </c>
      <c r="AY73" s="203">
        <v>25</v>
      </c>
      <c r="AZ73" s="203">
        <v>45</v>
      </c>
      <c r="BA73" s="201">
        <v>25</v>
      </c>
      <c r="BB73" s="201">
        <v>14</v>
      </c>
      <c r="BC73" s="203">
        <f>SUMIFS(領用表!$L:$L,領用表!$A:$A,BC$2,領用表!$E:$E,B73)</f>
        <v>11</v>
      </c>
      <c r="BD73" s="206">
        <f>SUMIFS(領用表!$L:$L,領用表!$E:$E,$B73,領用表!$B:$B,BC$2&amp;BD$2)</f>
        <v>11</v>
      </c>
      <c r="BE73" s="206">
        <f>SUMIFS(領用表!$L:$L,領用表!$E:$E,$B73,領用表!$B:$B,$BC$2&amp;BE$2)</f>
        <v>0</v>
      </c>
      <c r="BF73" s="206">
        <f>SUMIFS(領用表!$L:$L,領用表!$E:$E,$B73,領用表!$B:$B,$BC$2&amp;BF$2)</f>
        <v>0</v>
      </c>
      <c r="BG73" s="206">
        <f>SUMIFS(領用表!$L:$L,領用表!$E:$E,$B73,領用表!$B:$B,$BC$2&amp;BG$2)</f>
        <v>0</v>
      </c>
      <c r="BH73" s="203">
        <f>SUMIFS(領用表!$L:$L,領用表!$A:$A,BH$2,領用表!$E:$E,B73)</f>
        <v>10</v>
      </c>
      <c r="BI73" s="260">
        <f>SUMIFS(領用表!$L:$L,領用表!$E:$E,$B73,領用表!$B:$B,BH$2&amp;BI$2)</f>
        <v>10</v>
      </c>
      <c r="BJ73" s="260">
        <f>SUMIFS(領用表!$L:$L,領用表!$E:$E,$B73,領用表!$B:$B,$BH$2&amp;BJ$2)</f>
        <v>0</v>
      </c>
      <c r="BK73" s="260">
        <f>SUMIFS(領用表!$L:$L,領用表!$E:$E,$B73,領用表!$B:$B,$BH$2&amp;BK$2)</f>
        <v>0</v>
      </c>
      <c r="BL73" s="260">
        <f>SUMIFS(領用表!$L:$L,領用表!$E:$E,$B73,領用表!$B:$B,$BH$2&amp;BL$2)</f>
        <v>0</v>
      </c>
      <c r="BM73" s="203">
        <f>SUMIFS(領用表!$L:$L,領用表!$A:$A,BM$2,領用表!$E:$E,B73)</f>
        <v>10</v>
      </c>
      <c r="BN73" s="206">
        <f>SUMIFS(領用表!$L:$L,領用表!$E:$E,$B73,領用表!$B:$B,BM$2&amp;BN$2)</f>
        <v>10</v>
      </c>
      <c r="BO73" s="206">
        <f>SUMIFS(領用表!$L:$L,領用表!$E:$E,$B73,領用表!$B:$B,$BM$2&amp;BO$2)</f>
        <v>0</v>
      </c>
      <c r="BP73" s="206">
        <f>SUMIFS(領用表!$L:$L,領用表!$E:$E,$B73,領用表!$B:$B,$BM$2&amp;BP$2)</f>
        <v>0</v>
      </c>
      <c r="BQ73" s="206">
        <f>SUMIFS(領用表!$L:$L,領用表!$E:$E,$B73,領用表!$B:$B,$BM$2&amp;BQ$2)</f>
        <v>0</v>
      </c>
      <c r="BR73" s="203">
        <f>SUMIFS(領用表!$L:$L,領用表!$A:$A,BR$2,領用表!$E:$E,B73)</f>
        <v>8</v>
      </c>
      <c r="BS73" s="206">
        <f>SUMIFS(領用表!$L:$L,領用表!$E:$E,$B73,領用表!$B:$B,BR$2&amp;BS$2)</f>
        <v>4</v>
      </c>
      <c r="BT73" s="206">
        <f>SUMIFS(領用表!$L:$L,領用表!$E:$E,$B73,領用表!$B:$B,$BR$2&amp;BT$2)</f>
        <v>0</v>
      </c>
      <c r="BU73" s="206">
        <f>SUMIFS(領用表!$L:$L,領用表!$E:$E,$B73,領用表!$B:$B,$BR$2&amp;BU$2)</f>
        <v>4</v>
      </c>
      <c r="BV73" s="206">
        <f>SUMIFS(領用表!$L:$L,領用表!$E:$E,$B73,領用表!$B:$B,$BR$2&amp;BV$2)</f>
        <v>0</v>
      </c>
      <c r="BW73" s="208">
        <f>SUMIFS(領用表!$L:$L,領用表!$A:$A,BW$2,領用表!$E:$E,B73)</f>
        <v>21</v>
      </c>
      <c r="BX73" s="206">
        <f>SUMIFS(領用表!$L:$L,領用表!$E:$E,$B73,領用表!$B:$B,BW$2&amp;BX$2)</f>
        <v>0</v>
      </c>
      <c r="BY73" s="206">
        <f>SUMIFS(領用表!$L:$L,領用表!$E:$E,$B73,領用表!$B:$B,$BW$2&amp;BY$2)</f>
        <v>0</v>
      </c>
      <c r="BZ73" s="206">
        <f>SUMIFS(領用表!$L:$L,領用表!$E:$E,$B73,領用表!$B:$B,$BW$2&amp;BZ$2)</f>
        <v>21</v>
      </c>
      <c r="CA73" s="206">
        <f>SUMIFS(領用表!$L:$L,領用表!$E:$E,$B73,領用表!$B:$B,$BW$2&amp;CA$2)</f>
        <v>0</v>
      </c>
      <c r="CB73" s="208">
        <f>SUMIFS(領用表!$L:$L,領用表!$A:$A,CB$2,領用表!$E:$E,B73)</f>
        <v>22</v>
      </c>
      <c r="CC73" s="206">
        <f>SUMIFS(領用表!$L:$L,領用表!$E:$E,$B73,領用表!$B:$B,CB$2&amp;CC$2)</f>
        <v>0</v>
      </c>
      <c r="CD73" s="206">
        <f>SUMIFS(領用表!$L:$L,領用表!$E:$E,$B73,領用表!$B:$B,$CB$2&amp;CD$2)</f>
        <v>0</v>
      </c>
      <c r="CE73" s="206">
        <f>SUMIFS(領用表!$L:$L,領用表!$E:$E,$B73,領用表!$B:$B,$CB$2&amp;CE$2)</f>
        <v>22</v>
      </c>
      <c r="CF73" s="206">
        <f>SUMIFS(領用表!$L:$L,領用表!$E:$E,$B73,領用表!$B:$B,$CB$2&amp;CF$2)</f>
        <v>0</v>
      </c>
      <c r="CG73" s="208">
        <f>SUMIFS(領用表!$L:$L,領用表!$A:$A,CG$2,領用表!$E:$E,B73)</f>
        <v>38</v>
      </c>
      <c r="CH73" s="206">
        <f>SUMIFS(領用表!$L:$L,領用表!$E:$E,$B73,領用表!$B:$B,CG$2&amp;CH$2)</f>
        <v>0</v>
      </c>
      <c r="CI73" s="206">
        <f>SUMIFS(領用表!$L:$L,領用表!$E:$E,$B73,領用表!$B:$B,CG$2&amp;CI$2)</f>
        <v>0</v>
      </c>
      <c r="CJ73" s="206">
        <f>SUMIFS(領用表!$L:$L,領用表!$E:$E,$B73,領用表!$B:$B,CG$2&amp;CJ$2)</f>
        <v>38</v>
      </c>
      <c r="CK73" s="206">
        <f>SUMIFS(領用表!$L:$L,領用表!$E:$E,$B73,領用表!$B:$B,$CG$2&amp;CK$2)</f>
        <v>0</v>
      </c>
      <c r="CL73" s="207">
        <f t="shared" si="22"/>
        <v>262</v>
      </c>
      <c r="CM73" s="207">
        <f t="shared" si="23"/>
        <v>21.833333333333332</v>
      </c>
      <c r="CN73" s="208">
        <f>SUMIFS(領用表!$L:$L,領用表!$A:$A,CN$2,領用表!$E:$E,B73)</f>
        <v>21</v>
      </c>
      <c r="CO73" s="206">
        <f>SUMIFS(領用表!$L:$L,領用表!$E:$E,$B73,領用表!$B:$B,CN$2&amp;CO$2)</f>
        <v>0</v>
      </c>
      <c r="CP73" s="206">
        <f>SUMIFS(領用表!$L:$L,領用表!$E:$E,$B73,領用表!$B:$B,$CN$2&amp;CP$2)</f>
        <v>0</v>
      </c>
      <c r="CQ73" s="206">
        <f>SUMIFS(領用表!$L:$L,領用表!$E:$E,$B73,領用表!$B:$B,$CN$2&amp;CQ$2)</f>
        <v>21</v>
      </c>
      <c r="CR73" s="206">
        <f>SUMIFS(領用表!$L:$L,領用表!$E:$E,$B73,領用表!$B:$B,$CN$2&amp;CR$2)</f>
        <v>0</v>
      </c>
      <c r="CS73" s="208">
        <f>SUMIFS(領用表!$L:$L,領用表!$A:$A,CS$2,領用表!$E:$E,B73)</f>
        <v>15</v>
      </c>
      <c r="CT73" s="206">
        <f>SUMIFS(領用表!$L:$L,領用表!$E:$E,$B73,領用表!$B:$B,CS$2&amp;CT$2)</f>
        <v>0</v>
      </c>
      <c r="CU73" s="206">
        <f>SUMIFS(領用表!$L:$L,領用表!$E:$E,$B73,領用表!$B:$B,$CS$2&amp;CU$2)</f>
        <v>0</v>
      </c>
      <c r="CV73" s="206">
        <f>SUMIFS(領用表!$L:$L,領用表!$E:$E,$B73,領用表!$B:$B,$CS$2&amp;CV$2)</f>
        <v>13</v>
      </c>
      <c r="CW73" s="206">
        <f>SUMIFS(領用表!$L:$L,領用表!$E:$E,$B73,領用表!$B:$B,$CS$2&amp;CW$2)</f>
        <v>0</v>
      </c>
      <c r="CX73" s="206">
        <f>SUMIFS(領用表!$L:$L,領用表!$E:$E,$B73,領用表!$B:$B,$CS$2&amp;CX$2)</f>
        <v>2</v>
      </c>
      <c r="CY73" s="208">
        <f>SUMIFS(領用表!$L:$L,領用表!$A:$A,CY$2,領用表!$E:$E,B73)</f>
        <v>25</v>
      </c>
      <c r="CZ73" s="206">
        <f>SUMIFS(領用表!$L:$L,領用表!$E:$E,$B73,領用表!$B:$B,CY$2&amp;CZ$2)</f>
        <v>0</v>
      </c>
      <c r="DA73" s="206">
        <f>SUMIFS(領用表!$L:$L,領用表!$E:$E,$B73,領用表!$B:$B,$CY$2&amp;DA$2)</f>
        <v>0</v>
      </c>
      <c r="DB73" s="206">
        <f>SUMIFS(領用表!$L:$L,領用表!$E:$E,$B73,領用表!$B:$B,$CY$2&amp;DB$2)</f>
        <v>17</v>
      </c>
      <c r="DC73" s="206">
        <f>SUMIFS(領用表!$L:$L,領用表!$E:$E,$B73,領用表!$B:$B,$CY$2&amp;DC$2)</f>
        <v>0</v>
      </c>
      <c r="DD73" s="206">
        <f>SUMIFS(領用表!$L:$L,領用表!$E:$E,$B73,領用表!$B:$B,$CY$2&amp;DD$2)</f>
        <v>8</v>
      </c>
      <c r="DE73" s="208">
        <f>SUMIFS(領用表!$L:$L,領用表!$A:$A,DE$2,領用表!$E:$E,B73)</f>
        <v>21</v>
      </c>
      <c r="DF73" s="206">
        <f>SUMIFS(領用表!$L:$L,領用表!$E:$E,$B73,領用表!$B:$B,DE$2&amp;DF$2)</f>
        <v>0</v>
      </c>
      <c r="DG73" s="206">
        <f>SUMIFS(領用表!$L:$L,領用表!$E:$E,$B73,領用表!$B:$B,$DE$2&amp;DG$2)</f>
        <v>0</v>
      </c>
      <c r="DH73" s="206">
        <f>SUMIFS(領用表!$L:$L,領用表!$E:$E,$B73,領用表!$B:$B,$DE$2&amp;DH$2)</f>
        <v>17</v>
      </c>
      <c r="DI73" s="206">
        <f>SUMIFS(領用表!$L:$L,領用表!$E:$E,$B73,領用表!$B:$B,$DE$2&amp;DI$2)</f>
        <v>0</v>
      </c>
      <c r="DJ73" s="206">
        <f>SUMIFS(領用表!$L:$L,領用表!$E:$E,$B73,領用表!$B:$B,$DE$2&amp;DJ$2)</f>
        <v>4</v>
      </c>
      <c r="DK73" s="208">
        <f>SUMIFS(領用表!$L:$L,領用表!$A:$A,DK$2,領用表!$E:$E,$B73)</f>
        <v>29</v>
      </c>
      <c r="DL73" s="206">
        <f>SUMIFS(領用表!$L:$L,領用表!$E:$E,$B73,領用表!$B:$B,DK$2&amp;DL$2)</f>
        <v>0</v>
      </c>
      <c r="DM73" s="206">
        <f>SUMIFS(領用表!$L:$L,領用表!$E:$E,$B73,領用表!$B:$B,$DK$2&amp;DM$2)</f>
        <v>0</v>
      </c>
      <c r="DN73" s="206">
        <f>SUMIFS(領用表!$L:$L,領用表!$E:$E,$B73,領用表!$B:$B,$DK$2&amp;DN$2)</f>
        <v>22</v>
      </c>
      <c r="DO73" s="206">
        <f>SUMIFS(領用表!$L:$L,領用表!$E:$E,$B73,領用表!$B:$B,$DK$2&amp;DO$2)</f>
        <v>0</v>
      </c>
      <c r="DP73" s="206">
        <f>SUMIFS(領用表!$L:$L,領用表!$E:$E,$B73,領用表!$B:$B,$DK$2&amp;DP$2)</f>
        <v>7</v>
      </c>
      <c r="DQ73" s="206">
        <f t="shared" si="20"/>
        <v>111</v>
      </c>
      <c r="DR73" s="206">
        <f t="shared" si="21"/>
        <v>22.2</v>
      </c>
      <c r="DS73" s="206">
        <f t="shared" ref="DS73:DS138" si="27">SUM(DT73:DW73)</f>
        <v>30</v>
      </c>
      <c r="DT73" s="206">
        <v>0</v>
      </c>
      <c r="DU73" s="206">
        <v>0</v>
      </c>
      <c r="DV73" s="206">
        <v>30</v>
      </c>
      <c r="DW73" s="206">
        <v>0</v>
      </c>
      <c r="DX73" s="209">
        <v>30</v>
      </c>
      <c r="DY73" s="204"/>
      <c r="DZ73" s="204"/>
      <c r="EA73" s="204" t="s">
        <v>139</v>
      </c>
      <c r="EB73" s="284"/>
      <c r="EC73" s="212"/>
      <c r="ED73" s="118">
        <f>IFERROR(VLOOKUP(A73,站前4樓!A:BF,57,0),0)</f>
        <v>0</v>
      </c>
      <c r="EE73" s="213">
        <f>IFERROR(VLOOKUP(A73,站前11樓!A:BE,57,0),0)</f>
        <v>0</v>
      </c>
      <c r="EF73" s="118">
        <f>IFERROR(VLOOKUP(A73,忠孝7樓!A:N,57,0),0)</f>
        <v>0</v>
      </c>
      <c r="EG73" s="118">
        <f>IFERROR(VLOOKUP(A73,忠孝國際醫學3樓!A:L,57,0),0)</f>
        <v>0</v>
      </c>
      <c r="EH73" s="118">
        <f t="shared" si="25"/>
        <v>0</v>
      </c>
      <c r="EJ73" s="118">
        <v>0</v>
      </c>
      <c r="EK73" s="118">
        <v>14</v>
      </c>
    </row>
    <row r="74" spans="1:141" s="118" customFormat="1" ht="15.75" customHeight="1">
      <c r="A74" s="136" t="s">
        <v>140</v>
      </c>
      <c r="B74" s="118">
        <v>6170015</v>
      </c>
      <c r="C74" s="411" t="s">
        <v>865</v>
      </c>
      <c r="D74" s="228">
        <v>1</v>
      </c>
      <c r="E74" s="198" t="s">
        <v>15</v>
      </c>
      <c r="F74" s="225">
        <f>SUMIF(站前4樓!B:B,B74,站前4樓!F:F)</f>
        <v>0</v>
      </c>
      <c r="G74" s="225">
        <f>SUMIF(站前11樓!B:B,B74,站前11樓!F:F)</f>
        <v>0</v>
      </c>
      <c r="H74" s="225">
        <f>SUMIF(忠孝7樓!B:B,B74,忠孝7樓!G:G)</f>
        <v>1</v>
      </c>
      <c r="I74" s="225">
        <f>SUMIF(忠孝國際醫學3樓!B:B,B74,忠孝國際醫學3樓!G:G)</f>
        <v>0</v>
      </c>
      <c r="J74" s="225">
        <f>SUMIF(忠孝健康7樓!B:B,B74,忠孝健康7樓!G:G)</f>
        <v>0</v>
      </c>
      <c r="K74" s="200">
        <v>0</v>
      </c>
      <c r="L74" s="200">
        <v>0</v>
      </c>
      <c r="M74" s="200">
        <v>0</v>
      </c>
      <c r="N74" s="200">
        <v>1</v>
      </c>
      <c r="O74" s="200">
        <v>0</v>
      </c>
      <c r="P74" s="200">
        <v>0</v>
      </c>
      <c r="Q74" s="200">
        <v>1</v>
      </c>
      <c r="R74" s="200">
        <v>2</v>
      </c>
      <c r="S74" s="200">
        <v>1</v>
      </c>
      <c r="T74" s="200">
        <v>0</v>
      </c>
      <c r="U74" s="200">
        <v>0</v>
      </c>
      <c r="V74" s="200">
        <v>0</v>
      </c>
      <c r="W74" s="200">
        <v>0</v>
      </c>
      <c r="X74" s="200">
        <v>0</v>
      </c>
      <c r="Y74" s="200">
        <v>0</v>
      </c>
      <c r="Z74" s="200">
        <v>0</v>
      </c>
      <c r="AA74" s="200">
        <v>0</v>
      </c>
      <c r="AB74" s="200">
        <v>0</v>
      </c>
      <c r="AC74" s="200">
        <v>0</v>
      </c>
      <c r="AD74" s="200">
        <v>0</v>
      </c>
      <c r="AE74" s="200">
        <v>0</v>
      </c>
      <c r="AF74" s="200">
        <v>0</v>
      </c>
      <c r="AG74" s="200">
        <v>0</v>
      </c>
      <c r="AH74" s="200">
        <v>0</v>
      </c>
      <c r="AI74" s="200">
        <v>0</v>
      </c>
      <c r="AJ74" s="201">
        <v>0</v>
      </c>
      <c r="AK74" s="201">
        <v>0</v>
      </c>
      <c r="AL74" s="201">
        <v>0</v>
      </c>
      <c r="AM74" s="201">
        <v>0</v>
      </c>
      <c r="AN74" s="201">
        <v>0</v>
      </c>
      <c r="AO74" s="201">
        <v>1</v>
      </c>
      <c r="AP74" s="201">
        <v>0</v>
      </c>
      <c r="AQ74" s="201">
        <v>0</v>
      </c>
      <c r="AR74" s="201">
        <v>0</v>
      </c>
      <c r="AS74" s="201">
        <v>0</v>
      </c>
      <c r="AT74" s="202">
        <v>0</v>
      </c>
      <c r="AU74" s="203">
        <v>0</v>
      </c>
      <c r="AV74" s="204">
        <f t="shared" si="26"/>
        <v>1</v>
      </c>
      <c r="AW74" s="205">
        <f t="shared" si="24"/>
        <v>8.3333333333333329E-2</v>
      </c>
      <c r="AX74" s="203" t="s">
        <v>49</v>
      </c>
      <c r="AY74" s="203">
        <v>0</v>
      </c>
      <c r="AZ74" s="203">
        <v>0</v>
      </c>
      <c r="BA74" s="201">
        <v>0</v>
      </c>
      <c r="BB74" s="201">
        <v>0</v>
      </c>
      <c r="BC74" s="203">
        <f>SUMIFS(領用表!$L:$L,領用表!$A:$A,BC$2,領用表!$E:$E,B74)</f>
        <v>0</v>
      </c>
      <c r="BD74" s="206">
        <f>SUMIFS(領用表!$L:$L,領用表!$E:$E,$B74,領用表!$B:$B,BC$2&amp;BD$2)</f>
        <v>0</v>
      </c>
      <c r="BE74" s="206">
        <f>SUMIFS(領用表!$L:$L,領用表!$E:$E,$B74,領用表!$B:$B,$BC$2&amp;BE$2)</f>
        <v>0</v>
      </c>
      <c r="BF74" s="206">
        <f>SUMIFS(領用表!$L:$L,領用表!$E:$E,$B74,領用表!$B:$B,$BC$2&amp;BF$2)</f>
        <v>0</v>
      </c>
      <c r="BG74" s="206">
        <f>SUMIFS(領用表!$L:$L,領用表!$E:$E,$B74,領用表!$B:$B,$BC$2&amp;BG$2)</f>
        <v>0</v>
      </c>
      <c r="BH74" s="203">
        <f>SUMIFS(領用表!$L:$L,領用表!$A:$A,BH$2,領用表!$E:$E,B74)</f>
        <v>0</v>
      </c>
      <c r="BI74" s="260">
        <f>SUMIFS(領用表!$L:$L,領用表!$E:$E,$B74,領用表!$B:$B,BH$2&amp;BI$2)</f>
        <v>0</v>
      </c>
      <c r="BJ74" s="260">
        <f>SUMIFS(領用表!$L:$L,領用表!$E:$E,$B74,領用表!$B:$B,$BH$2&amp;BJ$2)</f>
        <v>0</v>
      </c>
      <c r="BK74" s="260">
        <f>SUMIFS(領用表!$L:$L,領用表!$E:$E,$B74,領用表!$B:$B,$BH$2&amp;BK$2)</f>
        <v>0</v>
      </c>
      <c r="BL74" s="260">
        <f>SUMIFS(領用表!$L:$L,領用表!$E:$E,$B74,領用表!$B:$B,$BH$2&amp;BL$2)</f>
        <v>0</v>
      </c>
      <c r="BM74" s="203">
        <f>SUMIFS(領用表!$L:$L,領用表!$A:$A,BM$2,領用表!$E:$E,B74)</f>
        <v>0</v>
      </c>
      <c r="BN74" s="206">
        <f>SUMIFS(領用表!$L:$L,領用表!$E:$E,$B74,領用表!$B:$B,BM$2&amp;BN$2)</f>
        <v>0</v>
      </c>
      <c r="BO74" s="206">
        <f>SUMIFS(領用表!$L:$L,領用表!$E:$E,$B74,領用表!$B:$B,$BM$2&amp;BO$2)</f>
        <v>0</v>
      </c>
      <c r="BP74" s="206">
        <f>SUMIFS(領用表!$L:$L,領用表!$E:$E,$B74,領用表!$B:$B,$BM$2&amp;BP$2)</f>
        <v>0</v>
      </c>
      <c r="BQ74" s="206">
        <f>SUMIFS(領用表!$L:$L,領用表!$E:$E,$B74,領用表!$B:$B,$BM$2&amp;BQ$2)</f>
        <v>0</v>
      </c>
      <c r="BR74" s="203">
        <f>SUMIFS(領用表!$L:$L,領用表!$A:$A,BR$2,領用表!$E:$E,B74)</f>
        <v>0</v>
      </c>
      <c r="BS74" s="206">
        <f>SUMIFS(領用表!$L:$L,領用表!$E:$E,$B74,領用表!$B:$B,BR$2&amp;BS$2)</f>
        <v>0</v>
      </c>
      <c r="BT74" s="206">
        <f>SUMIFS(領用表!$L:$L,領用表!$E:$E,$B74,領用表!$B:$B,$BR$2&amp;BT$2)</f>
        <v>0</v>
      </c>
      <c r="BU74" s="206">
        <f>SUMIFS(領用表!$L:$L,領用表!$E:$E,$B74,領用表!$B:$B,$BR$2&amp;BU$2)</f>
        <v>0</v>
      </c>
      <c r="BV74" s="206">
        <f>SUMIFS(領用表!$L:$L,領用表!$E:$E,$B74,領用表!$B:$B,$BR$2&amp;BV$2)</f>
        <v>0</v>
      </c>
      <c r="BW74" s="208">
        <f>SUMIFS(領用表!$L:$L,領用表!$A:$A,BW$2,領用表!$E:$E,B74)</f>
        <v>0</v>
      </c>
      <c r="BX74" s="206">
        <f>SUMIFS(領用表!$L:$L,領用表!$E:$E,$B74,領用表!$B:$B,BW$2&amp;BX$2)</f>
        <v>0</v>
      </c>
      <c r="BY74" s="206">
        <f>SUMIFS(領用表!$L:$L,領用表!$E:$E,$B74,領用表!$B:$B,$BW$2&amp;BY$2)</f>
        <v>0</v>
      </c>
      <c r="BZ74" s="206">
        <f>SUMIFS(領用表!$L:$L,領用表!$E:$E,$B74,領用表!$B:$B,$BW$2&amp;BZ$2)</f>
        <v>0</v>
      </c>
      <c r="CA74" s="206">
        <f>SUMIFS(領用表!$L:$L,領用表!$E:$E,$B74,領用表!$B:$B,$BW$2&amp;CA$2)</f>
        <v>0</v>
      </c>
      <c r="CB74" s="208">
        <f>SUMIFS(領用表!$L:$L,領用表!$A:$A,CB$2,領用表!$E:$E,B74)</f>
        <v>0</v>
      </c>
      <c r="CC74" s="206">
        <f>SUMIFS(領用表!$L:$L,領用表!$E:$E,$B74,領用表!$B:$B,CB$2&amp;CC$2)</f>
        <v>0</v>
      </c>
      <c r="CD74" s="206">
        <f>SUMIFS(領用表!$L:$L,領用表!$E:$E,$B74,領用表!$B:$B,$CB$2&amp;CD$2)</f>
        <v>0</v>
      </c>
      <c r="CE74" s="206">
        <f>SUMIFS(領用表!$L:$L,領用表!$E:$E,$B74,領用表!$B:$B,$CB$2&amp;CE$2)</f>
        <v>0</v>
      </c>
      <c r="CF74" s="206">
        <f>SUMIFS(領用表!$L:$L,領用表!$E:$E,$B74,領用表!$B:$B,$CB$2&amp;CF$2)</f>
        <v>0</v>
      </c>
      <c r="CG74" s="208">
        <f>SUMIFS(領用表!$L:$L,領用表!$A:$A,CG$2,領用表!$E:$E,B74)</f>
        <v>0</v>
      </c>
      <c r="CH74" s="206">
        <f>SUMIFS(領用表!$L:$L,領用表!$E:$E,$B74,領用表!$B:$B,CG$2&amp;CH$2)</f>
        <v>0</v>
      </c>
      <c r="CI74" s="206">
        <f>SUMIFS(領用表!$L:$L,領用表!$E:$E,$B74,領用表!$B:$B,CG$2&amp;CI$2)</f>
        <v>0</v>
      </c>
      <c r="CJ74" s="206">
        <f>SUMIFS(領用表!$L:$L,領用表!$E:$E,$B74,領用表!$B:$B,CG$2&amp;CJ$2)</f>
        <v>0</v>
      </c>
      <c r="CK74" s="206">
        <f>SUMIFS(領用表!$L:$L,領用表!$E:$E,$B74,領用表!$B:$B,$CG$2&amp;CK$2)</f>
        <v>0</v>
      </c>
      <c r="CL74" s="207">
        <f t="shared" si="22"/>
        <v>0</v>
      </c>
      <c r="CM74" s="207">
        <f t="shared" si="23"/>
        <v>0</v>
      </c>
      <c r="CN74" s="208">
        <f>SUMIFS(領用表!$L:$L,領用表!$A:$A,CN$2,領用表!$E:$E,B74)</f>
        <v>0</v>
      </c>
      <c r="CO74" s="206">
        <f>SUMIFS(領用表!$L:$L,領用表!$E:$E,$B74,領用表!$B:$B,CN$2&amp;CO$2)</f>
        <v>0</v>
      </c>
      <c r="CP74" s="206">
        <f>SUMIFS(領用表!$L:$L,領用表!$E:$E,$B74,領用表!$B:$B,$CN$2&amp;CP$2)</f>
        <v>0</v>
      </c>
      <c r="CQ74" s="206">
        <f>SUMIFS(領用表!$L:$L,領用表!$E:$E,$B74,領用表!$B:$B,$CN$2&amp;CQ$2)</f>
        <v>0</v>
      </c>
      <c r="CR74" s="206">
        <f>SUMIFS(領用表!$L:$L,領用表!$E:$E,$B74,領用表!$B:$B,$CN$2&amp;CR$2)</f>
        <v>0</v>
      </c>
      <c r="CS74" s="208">
        <f>SUMIFS(領用表!$L:$L,領用表!$A:$A,CS$2,領用表!$E:$E,B74)</f>
        <v>0</v>
      </c>
      <c r="CT74" s="206">
        <f>SUMIFS(領用表!$L:$L,領用表!$E:$E,$B74,領用表!$B:$B,CS$2&amp;CT$2)</f>
        <v>0</v>
      </c>
      <c r="CU74" s="206">
        <f>SUMIFS(領用表!$L:$L,領用表!$E:$E,$B74,領用表!$B:$B,$CS$2&amp;CU$2)</f>
        <v>0</v>
      </c>
      <c r="CV74" s="206">
        <f>SUMIFS(領用表!$L:$L,領用表!$E:$E,$B74,領用表!$B:$B,$CS$2&amp;CV$2)</f>
        <v>0</v>
      </c>
      <c r="CW74" s="206">
        <f>SUMIFS(領用表!$L:$L,領用表!$E:$E,$B74,領用表!$B:$B,$CS$2&amp;CW$2)</f>
        <v>0</v>
      </c>
      <c r="CX74" s="206">
        <f>SUMIFS(領用表!$L:$L,領用表!$E:$E,$B74,領用表!$B:$B,$CS$2&amp;CX$2)</f>
        <v>0</v>
      </c>
      <c r="CY74" s="208">
        <f>SUMIFS(領用表!$L:$L,領用表!$A:$A,CY$2,領用表!$E:$E,B74)</f>
        <v>0</v>
      </c>
      <c r="CZ74" s="206">
        <f>SUMIFS(領用表!$L:$L,領用表!$E:$E,$B74,領用表!$B:$B,CY$2&amp;CZ$2)</f>
        <v>0</v>
      </c>
      <c r="DA74" s="206">
        <f>SUMIFS(領用表!$L:$L,領用表!$E:$E,$B74,領用表!$B:$B,$CY$2&amp;DA$2)</f>
        <v>0</v>
      </c>
      <c r="DB74" s="206">
        <f>SUMIFS(領用表!$L:$L,領用表!$E:$E,$B74,領用表!$B:$B,$CY$2&amp;DB$2)</f>
        <v>0</v>
      </c>
      <c r="DC74" s="206">
        <f>SUMIFS(領用表!$L:$L,領用表!$E:$E,$B74,領用表!$B:$B,$CY$2&amp;DC$2)</f>
        <v>0</v>
      </c>
      <c r="DD74" s="206">
        <f>SUMIFS(領用表!$L:$L,領用表!$E:$E,$B74,領用表!$B:$B,$CY$2&amp;DD$2)</f>
        <v>0</v>
      </c>
      <c r="DE74" s="208">
        <f>SUMIFS(領用表!$L:$L,領用表!$A:$A,DE$2,領用表!$E:$E,B74)</f>
        <v>0</v>
      </c>
      <c r="DF74" s="206">
        <f>SUMIFS(領用表!$L:$L,領用表!$E:$E,$B74,領用表!$B:$B,DE$2&amp;DF$2)</f>
        <v>0</v>
      </c>
      <c r="DG74" s="206">
        <f>SUMIFS(領用表!$L:$L,領用表!$E:$E,$B74,領用表!$B:$B,$DE$2&amp;DG$2)</f>
        <v>0</v>
      </c>
      <c r="DH74" s="206">
        <f>SUMIFS(領用表!$L:$L,領用表!$E:$E,$B74,領用表!$B:$B,$DE$2&amp;DH$2)</f>
        <v>0</v>
      </c>
      <c r="DI74" s="206">
        <f>SUMIFS(領用表!$L:$L,領用表!$E:$E,$B74,領用表!$B:$B,$DE$2&amp;DI$2)</f>
        <v>0</v>
      </c>
      <c r="DJ74" s="206">
        <f>SUMIFS(領用表!$L:$L,領用表!$E:$E,$B74,領用表!$B:$B,$DE$2&amp;DJ$2)</f>
        <v>0</v>
      </c>
      <c r="DK74" s="208">
        <f>SUMIFS(領用表!$L:$L,領用表!$A:$A,DK$2,領用表!$E:$E,$B74)</f>
        <v>0</v>
      </c>
      <c r="DL74" s="206">
        <f>SUMIFS(領用表!$L:$L,領用表!$E:$E,$B74,領用表!$B:$B,DK$2&amp;DL$2)</f>
        <v>0</v>
      </c>
      <c r="DM74" s="206">
        <f>SUMIFS(領用表!$L:$L,領用表!$E:$E,$B74,領用表!$B:$B,$DK$2&amp;DM$2)</f>
        <v>0</v>
      </c>
      <c r="DN74" s="206">
        <f>SUMIFS(領用表!$L:$L,領用表!$E:$E,$B74,領用表!$B:$B,$DK$2&amp;DN$2)</f>
        <v>0</v>
      </c>
      <c r="DO74" s="206">
        <f>SUMIFS(領用表!$L:$L,領用表!$E:$E,$B74,領用表!$B:$B,$DK$2&amp;DO$2)</f>
        <v>0</v>
      </c>
      <c r="DP74" s="206">
        <f>SUMIFS(領用表!$L:$L,領用表!$E:$E,$B74,領用表!$B:$B,$DK$2&amp;DP$2)</f>
        <v>0</v>
      </c>
      <c r="DQ74" s="206">
        <f t="shared" si="20"/>
        <v>0</v>
      </c>
      <c r="DR74" s="206">
        <f t="shared" si="21"/>
        <v>0</v>
      </c>
      <c r="DS74" s="206">
        <f t="shared" si="27"/>
        <v>0</v>
      </c>
      <c r="DT74" s="206">
        <v>0</v>
      </c>
      <c r="DU74" s="206">
        <v>0</v>
      </c>
      <c r="DV74" s="206">
        <v>0</v>
      </c>
      <c r="DW74" s="206">
        <v>0</v>
      </c>
      <c r="DX74" s="209">
        <v>1</v>
      </c>
      <c r="DY74" s="204"/>
      <c r="DZ74" s="283"/>
      <c r="EA74" s="283"/>
      <c r="EB74" s="263"/>
      <c r="EC74" s="212"/>
      <c r="ED74" s="118">
        <f>IFERROR(VLOOKUP(A74,站前4樓!A:BF,57,0),0)</f>
        <v>0</v>
      </c>
      <c r="EE74" s="213">
        <f>IFERROR(VLOOKUP(A74,站前11樓!A:BE,57,0),0)</f>
        <v>0</v>
      </c>
      <c r="EF74" s="118">
        <f>IFERROR(VLOOKUP(A74,忠孝7樓!A:N,57,0),0)</f>
        <v>0</v>
      </c>
      <c r="EG74" s="118">
        <f>IFERROR(VLOOKUP(A74,忠孝國際醫學3樓!A:L,57,0),0)</f>
        <v>0</v>
      </c>
      <c r="EH74" s="118">
        <f t="shared" si="25"/>
        <v>0</v>
      </c>
      <c r="EJ74" s="118">
        <v>0</v>
      </c>
      <c r="EK74" s="118">
        <v>1</v>
      </c>
    </row>
    <row r="75" spans="1:141" s="118" customFormat="1" ht="15.75" customHeight="1">
      <c r="A75" s="136" t="s">
        <v>638</v>
      </c>
      <c r="B75" s="118">
        <v>6140001</v>
      </c>
      <c r="C75" s="118" t="s">
        <v>818</v>
      </c>
      <c r="D75" s="285">
        <v>100</v>
      </c>
      <c r="E75" s="198" t="s">
        <v>141</v>
      </c>
      <c r="F75" s="225">
        <f>SUMIF(站前4樓!B:B,B75,站前4樓!F:F)</f>
        <v>4072</v>
      </c>
      <c r="G75" s="225">
        <f>SUMIF(站前11樓!B:B,B75,站前11樓!F:F)</f>
        <v>0</v>
      </c>
      <c r="H75" s="225">
        <f>SUMIF(忠孝7樓!B:B,B75,忠孝7樓!G:G)</f>
        <v>5845</v>
      </c>
      <c r="I75" s="225">
        <f>SUMIF(忠孝國際醫學3樓!B:B,B75,忠孝國際醫學3樓!G:G)</f>
        <v>0</v>
      </c>
      <c r="J75" s="225">
        <f>SUMIF(忠孝健康7樓!B:B,B75,忠孝健康7樓!G:G)</f>
        <v>5312</v>
      </c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83"/>
      <c r="AB75" s="283"/>
      <c r="AC75" s="283"/>
      <c r="AD75" s="283"/>
      <c r="AE75" s="283"/>
      <c r="AF75" s="283"/>
      <c r="AG75" s="283"/>
      <c r="AH75" s="283"/>
      <c r="AI75" s="283"/>
      <c r="AJ75" s="201">
        <v>1299</v>
      </c>
      <c r="AK75" s="201">
        <v>412</v>
      </c>
      <c r="AL75" s="201">
        <v>1360</v>
      </c>
      <c r="AM75" s="201">
        <v>1029</v>
      </c>
      <c r="AN75" s="201">
        <v>1039</v>
      </c>
      <c r="AO75" s="201">
        <v>856</v>
      </c>
      <c r="AP75" s="201">
        <v>1736</v>
      </c>
      <c r="AQ75" s="201">
        <v>1284</v>
      </c>
      <c r="AR75" s="201">
        <v>1556</v>
      </c>
      <c r="AS75" s="201">
        <v>2374</v>
      </c>
      <c r="AT75" s="201">
        <v>1860</v>
      </c>
      <c r="AU75" s="201">
        <v>2408</v>
      </c>
      <c r="AV75" s="283">
        <f t="shared" si="26"/>
        <v>17213</v>
      </c>
      <c r="AW75" s="286">
        <f t="shared" si="24"/>
        <v>1434.4166666666667</v>
      </c>
      <c r="AX75" s="201">
        <v>1847</v>
      </c>
      <c r="AY75" s="201">
        <v>1154</v>
      </c>
      <c r="AZ75" s="201">
        <v>2146</v>
      </c>
      <c r="BA75" s="201">
        <v>3235</v>
      </c>
      <c r="BB75" s="201">
        <v>3520</v>
      </c>
      <c r="BC75" s="203">
        <f>SUMIFS(領用表!$L:$L,領用表!$A:$A,BC$2,領用表!$E:$E,B75)</f>
        <v>3519</v>
      </c>
      <c r="BD75" s="287">
        <f>SUMIFS(領用表!$L:$L,領用表!$E:$E,$B75,領用表!$B:$B,BC$2&amp;BD$2)</f>
        <v>3519</v>
      </c>
      <c r="BE75" s="287">
        <f>SUMIFS(領用表!$L:$L,領用表!$E:$E,$B75,領用表!$B:$B,$BC$2&amp;BE$2)</f>
        <v>0</v>
      </c>
      <c r="BF75" s="287">
        <f>SUMIFS(領用表!$L:$L,領用表!$E:$E,$B75,領用表!$B:$B,$BC$2&amp;BF$2)</f>
        <v>0</v>
      </c>
      <c r="BG75" s="206">
        <f>SUMIFS(領用表!$L:$L,領用表!$E:$E,$B75,領用表!$B:$B,$BC$2&amp;BG$2)</f>
        <v>0</v>
      </c>
      <c r="BH75" s="203">
        <f>SUMIFS(領用表!$L:$L,領用表!$A:$A,BH$2,領用表!$E:$E,B75)</f>
        <v>4148</v>
      </c>
      <c r="BI75" s="260">
        <f>SUMIFS(領用表!$L:$L,領用表!$E:$E,$B75,領用表!$B:$B,BH$2&amp;BI$2)</f>
        <v>2909</v>
      </c>
      <c r="BJ75" s="260">
        <f>SUMIFS(領用表!$L:$L,領用表!$E:$E,$B75,領用表!$B:$B,$BH$2&amp;BJ$2)</f>
        <v>0</v>
      </c>
      <c r="BK75" s="260">
        <f>SUMIFS(領用表!$L:$L,領用表!$E:$E,$B75,領用表!$B:$B,$BH$2&amp;BK$2)</f>
        <v>1239</v>
      </c>
      <c r="BL75" s="260">
        <f>SUMIFS(領用表!$L:$L,領用表!$E:$E,$B75,領用表!$B:$B,$BH$2&amp;BL$2)</f>
        <v>0</v>
      </c>
      <c r="BM75" s="203">
        <f>SUMIFS(領用表!$L:$L,領用表!$A:$A,BM$2,領用表!$E:$E,B75)</f>
        <v>5950</v>
      </c>
      <c r="BN75" s="206">
        <f>SUMIFS(領用表!$L:$L,領用表!$E:$E,$B75,領用表!$B:$B,BM$2&amp;BN$2)</f>
        <v>2629</v>
      </c>
      <c r="BO75" s="206">
        <f>SUMIFS(領用表!$L:$L,領用表!$E:$E,$B75,領用表!$B:$B,$BM$2&amp;BO$2)</f>
        <v>0</v>
      </c>
      <c r="BP75" s="288">
        <f>SUMIFS(領用表!$L:$L,領用表!$E:$E,$B75,領用表!$B:$B,$BM$2&amp;BP$2)</f>
        <v>3321</v>
      </c>
      <c r="BQ75" s="287">
        <f>SUMIFS(領用表!$L:$L,領用表!$E:$E,$B75,領用表!$B:$B,$BM$2&amp;BQ$2)</f>
        <v>0</v>
      </c>
      <c r="BR75" s="203">
        <f>SUMIFS(領用表!$L:$L,領用表!$A:$A,BR$2,領用表!$E:$E,B75)</f>
        <v>4322</v>
      </c>
      <c r="BS75" s="288">
        <f>SUMIFS(領用表!$L:$L,領用表!$E:$E,$B75,領用表!$B:$B,BR$2&amp;BS$2)</f>
        <v>2637</v>
      </c>
      <c r="BT75" s="288">
        <f>SUMIFS(領用表!$L:$L,領用表!$E:$E,$B75,領用表!$B:$B,$BR$2&amp;BT$2)</f>
        <v>0</v>
      </c>
      <c r="BU75" s="288">
        <f>SUMIFS(領用表!$L:$L,領用表!$E:$E,$B75,領用表!$B:$B,$BR$2&amp;BU$2)</f>
        <v>1685</v>
      </c>
      <c r="BV75" s="287">
        <f>SUMIFS(領用表!$L:$L,領用表!$E:$E,$B75,領用表!$B:$B,$BR$2&amp;BV$2)</f>
        <v>0</v>
      </c>
      <c r="BW75" s="208">
        <f>SUMIFS(領用表!$L:$L,領用表!$A:$A,BW$2,領用表!$E:$E,B75)</f>
        <v>7720</v>
      </c>
      <c r="BX75" s="206">
        <f>SUMIFS(領用表!$L:$L,領用表!$E:$E,$B75,領用表!$B:$B,BW$2&amp;BX$2)</f>
        <v>3699</v>
      </c>
      <c r="BY75" s="206">
        <f>SUMIFS(領用表!$L:$L,領用表!$E:$E,$B75,領用表!$B:$B,$BW$2&amp;BY$2)</f>
        <v>0</v>
      </c>
      <c r="BZ75" s="206">
        <f>SUMIFS(領用表!$L:$L,領用表!$E:$E,$B75,領用表!$B:$B,$BW$2&amp;BZ$2)</f>
        <v>4021</v>
      </c>
      <c r="CA75" s="206">
        <f>SUMIFS(領用表!$L:$L,領用表!$E:$E,$B75,領用表!$B:$B,$BW$2&amp;CA$2)</f>
        <v>0</v>
      </c>
      <c r="CB75" s="208">
        <f>SUMIFS(領用表!$L:$L,領用表!$A:$A,CB$2,領用表!$E:$E,B75)</f>
        <v>8735</v>
      </c>
      <c r="CC75" s="206">
        <f>SUMIFS(領用表!$L:$L,領用表!$E:$E,$B75,領用表!$B:$B,CB$2&amp;CC$2)</f>
        <v>4633</v>
      </c>
      <c r="CD75" s="206">
        <f>SUMIFS(領用表!$L:$L,領用表!$E:$E,$B75,領用表!$B:$B,$CB$2&amp;CD$2)</f>
        <v>0</v>
      </c>
      <c r="CE75" s="206">
        <f>SUMIFS(領用表!$L:$L,領用表!$E:$E,$B75,領用表!$B:$B,$CB$2&amp;CE$2)</f>
        <v>4102</v>
      </c>
      <c r="CF75" s="206">
        <f>SUMIFS(領用表!$L:$L,領用表!$E:$E,$B75,領用表!$B:$B,$CB$2&amp;CF$2)</f>
        <v>0</v>
      </c>
      <c r="CG75" s="208">
        <f>SUMIFS(領用表!$L:$L,領用表!$A:$A,CG$2,領用表!$E:$E,B75)</f>
        <v>9113</v>
      </c>
      <c r="CH75" s="206">
        <f>SUMIFS(領用表!$L:$L,領用表!$E:$E,$B75,領用表!$B:$B,CG$2&amp;CH$2)</f>
        <v>5034</v>
      </c>
      <c r="CI75" s="206">
        <f>SUMIFS(領用表!$L:$L,領用表!$E:$E,$B75,領用表!$B:$B,CG$2&amp;CI$2)</f>
        <v>0</v>
      </c>
      <c r="CJ75" s="206">
        <f>SUMIFS(領用表!$L:$L,領用表!$E:$E,$B75,領用表!$B:$B,CG$2&amp;CJ$2)</f>
        <v>4079</v>
      </c>
      <c r="CK75" s="206">
        <f>SUMIFS(領用表!$L:$L,領用表!$E:$E,$B75,領用表!$B:$B,$CG$2&amp;CK$2)</f>
        <v>0</v>
      </c>
      <c r="CL75" s="207">
        <f t="shared" si="22"/>
        <v>55409</v>
      </c>
      <c r="CM75" s="207">
        <f t="shared" si="23"/>
        <v>4617.416666666667</v>
      </c>
      <c r="CN75" s="208">
        <f>SUMIFS(領用表!$L:$L,領用表!$A:$A,CN$2,領用表!$E:$E,B75)</f>
        <v>10375</v>
      </c>
      <c r="CO75" s="206">
        <f>SUMIFS(領用表!$L:$L,領用表!$E:$E,$B75,領用表!$B:$B,CN$2&amp;CO$2)</f>
        <v>3775</v>
      </c>
      <c r="CP75" s="206">
        <f>SUMIFS(領用表!$L:$L,領用表!$E:$E,$B75,領用表!$B:$B,$CN$2&amp;CP$2)</f>
        <v>0</v>
      </c>
      <c r="CQ75" s="206">
        <f>SUMIFS(領用表!$L:$L,領用表!$E:$E,$B75,領用表!$B:$B,$CN$2&amp;CQ$2)</f>
        <v>6600</v>
      </c>
      <c r="CR75" s="206">
        <f>SUMIFS(領用表!$L:$L,領用表!$E:$E,$B75,領用表!$B:$B,$CN$2&amp;CR$2)</f>
        <v>0</v>
      </c>
      <c r="CS75" s="208">
        <f>SUMIFS(領用表!$L:$L,領用表!$A:$A,CS$2,領用表!$E:$E,B75)</f>
        <v>8818</v>
      </c>
      <c r="CT75" s="206">
        <f>SUMIFS(領用表!$L:$L,領用表!$E:$E,$B75,領用表!$B:$B,CS$2&amp;CT$2)</f>
        <v>4168</v>
      </c>
      <c r="CU75" s="206">
        <f>SUMIFS(領用表!$L:$L,領用表!$E:$E,$B75,領用表!$B:$B,$CS$2&amp;CU$2)</f>
        <v>0</v>
      </c>
      <c r="CV75" s="206">
        <f>SUMIFS(領用表!$L:$L,領用表!$E:$E,$B75,領用表!$B:$B,$CS$2&amp;CV$2)</f>
        <v>4251</v>
      </c>
      <c r="CW75" s="206">
        <f>SUMIFS(領用表!$L:$L,領用表!$E:$E,$B75,領用表!$B:$B,$CS$2&amp;CW$2)</f>
        <v>0</v>
      </c>
      <c r="CX75" s="206">
        <f>SUMIFS(領用表!$L:$L,領用表!$E:$E,$B75,領用表!$B:$B,$CS$2&amp;CX$2)</f>
        <v>399</v>
      </c>
      <c r="CY75" s="208">
        <f>SUMIFS(領用表!$L:$L,領用表!$A:$A,CY$2,領用表!$E:$E,B75)</f>
        <v>8988</v>
      </c>
      <c r="CZ75" s="206">
        <f>SUMIFS(領用表!$L:$L,領用表!$E:$E,$B75,領用表!$B:$B,CY$2&amp;CZ$2)</f>
        <v>3876</v>
      </c>
      <c r="DA75" s="206">
        <f>SUMIFS(領用表!$L:$L,領用表!$E:$E,$B75,領用表!$B:$B,$CY$2&amp;DA$2)</f>
        <v>0</v>
      </c>
      <c r="DB75" s="206">
        <f>SUMIFS(領用表!$L:$L,領用表!$E:$E,$B75,領用表!$B:$B,$CY$2&amp;DB$2)</f>
        <v>3997</v>
      </c>
      <c r="DC75" s="206">
        <f>SUMIFS(領用表!$L:$L,領用表!$E:$E,$B75,領用表!$B:$B,$CY$2&amp;DC$2)</f>
        <v>0</v>
      </c>
      <c r="DD75" s="206">
        <f>SUMIFS(領用表!$L:$L,領用表!$E:$E,$B75,領用表!$B:$B,$CY$2&amp;DD$2)</f>
        <v>1115</v>
      </c>
      <c r="DE75" s="208">
        <f>SUMIFS(領用表!$L:$L,領用表!$A:$A,DE$2,領用表!$E:$E,B75)</f>
        <v>9492</v>
      </c>
      <c r="DF75" s="206">
        <f>SUMIFS(領用表!$L:$L,領用表!$E:$E,$B75,領用表!$B:$B,DE$2&amp;DF$2)</f>
        <v>4062</v>
      </c>
      <c r="DG75" s="206">
        <f>SUMIFS(領用表!$L:$L,領用表!$E:$E,$B75,領用表!$B:$B,$DE$2&amp;DG$2)</f>
        <v>0</v>
      </c>
      <c r="DH75" s="206">
        <f>SUMIFS(領用表!$L:$L,領用表!$E:$E,$B75,領用表!$B:$B,$DE$2&amp;DH$2)</f>
        <v>4067</v>
      </c>
      <c r="DI75" s="206">
        <f>SUMIFS(領用表!$L:$L,領用表!$E:$E,$B75,領用表!$B:$B,$DE$2&amp;DI$2)</f>
        <v>0</v>
      </c>
      <c r="DJ75" s="206">
        <f>SUMIFS(領用表!$L:$L,領用表!$E:$E,$B75,領用表!$B:$B,$DE$2&amp;DJ$2)</f>
        <v>1363</v>
      </c>
      <c r="DK75" s="208">
        <f>SUMIFS(領用表!$L:$L,領用表!$A:$A,DK$2,領用表!$E:$E,$B75)</f>
        <v>9775</v>
      </c>
      <c r="DL75" s="206">
        <f>SUMIFS(領用表!$L:$L,領用表!$E:$E,$B75,領用表!$B:$B,DK$2&amp;DL$2)</f>
        <v>4130</v>
      </c>
      <c r="DM75" s="206">
        <f>SUMIFS(領用表!$L:$L,領用表!$E:$E,$B75,領用表!$B:$B,$DK$2&amp;DM$2)</f>
        <v>0</v>
      </c>
      <c r="DN75" s="206">
        <f>SUMIFS(領用表!$L:$L,領用表!$E:$E,$B75,領用表!$B:$B,$DK$2&amp;DN$2)</f>
        <v>4511</v>
      </c>
      <c r="DO75" s="206">
        <f>SUMIFS(領用表!$L:$L,領用表!$E:$E,$B75,領用表!$B:$B,$DK$2&amp;DO$2)</f>
        <v>0</v>
      </c>
      <c r="DP75" s="206">
        <f>SUMIFS(領用表!$L:$L,領用表!$E:$E,$B75,領用表!$B:$B,$DK$2&amp;DP$2)</f>
        <v>1134</v>
      </c>
      <c r="DQ75" s="206">
        <f t="shared" si="20"/>
        <v>47448</v>
      </c>
      <c r="DR75" s="206">
        <f t="shared" si="21"/>
        <v>9489.6</v>
      </c>
      <c r="DS75" s="206">
        <f t="shared" si="27"/>
        <v>9700</v>
      </c>
      <c r="DT75" s="206">
        <v>4400</v>
      </c>
      <c r="DU75" s="206">
        <v>0</v>
      </c>
      <c r="DV75" s="206">
        <v>5300</v>
      </c>
      <c r="DW75" s="206">
        <v>0</v>
      </c>
      <c r="DX75" s="258">
        <v>2500</v>
      </c>
      <c r="DY75" s="283"/>
      <c r="DZ75" s="283" t="s">
        <v>142</v>
      </c>
      <c r="EA75" s="283" t="s">
        <v>143</v>
      </c>
      <c r="EB75" s="136"/>
      <c r="EC75" s="289"/>
      <c r="ED75" s="118">
        <f>IFERROR(VLOOKUP(A75,站前4樓!A:BF,57,0),0)</f>
        <v>4633</v>
      </c>
      <c r="EE75" s="213">
        <f>IFERROR(VLOOKUP(A75,站前11樓!A:BE,57,0),0)</f>
        <v>0</v>
      </c>
      <c r="EF75" s="118">
        <f>IFERROR(VLOOKUP(A75,忠孝7樓!A:N,57,0),0)</f>
        <v>0</v>
      </c>
      <c r="EG75" s="118">
        <f>IFERROR(VLOOKUP(A75,忠孝國際醫學3樓!A:L,57,0),0)</f>
        <v>0</v>
      </c>
      <c r="EH75" s="118">
        <f t="shared" si="25"/>
        <v>4633</v>
      </c>
      <c r="EJ75" s="118">
        <v>800</v>
      </c>
      <c r="EK75" s="118">
        <v>5100</v>
      </c>
    </row>
    <row r="76" spans="1:141" s="118" customFormat="1" ht="15.75" customHeight="1">
      <c r="A76" s="136" t="s">
        <v>639</v>
      </c>
      <c r="B76" s="118">
        <v>6140003</v>
      </c>
      <c r="C76" s="118" t="s">
        <v>819</v>
      </c>
      <c r="D76" s="285">
        <v>200</v>
      </c>
      <c r="E76" s="198" t="s">
        <v>141</v>
      </c>
      <c r="F76" s="225">
        <f>SUMIF(站前4樓!B:B,B76,站前4樓!F:F)</f>
        <v>8594</v>
      </c>
      <c r="G76" s="225">
        <f>SUMIF(站前11樓!B:B,B76,站前11樓!F:F)</f>
        <v>0</v>
      </c>
      <c r="H76" s="225">
        <f>SUMIF(忠孝7樓!B:B,B76,忠孝7樓!G:G)</f>
        <v>10451</v>
      </c>
      <c r="I76" s="225">
        <f>SUMIF(忠孝國際醫學3樓!B:B,B76,忠孝國際醫學3樓!G:G)</f>
        <v>0</v>
      </c>
      <c r="J76" s="225">
        <f>SUMIF(忠孝健康7樓!B:B,B76,忠孝健康7樓!G:G)</f>
        <v>4488</v>
      </c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  <c r="AI76" s="283"/>
      <c r="AJ76" s="201">
        <v>2152</v>
      </c>
      <c r="AK76" s="201">
        <v>1842</v>
      </c>
      <c r="AL76" s="201">
        <v>1188</v>
      </c>
      <c r="AM76" s="201">
        <v>821</v>
      </c>
      <c r="AN76" s="201">
        <v>405</v>
      </c>
      <c r="AO76" s="201">
        <v>528</v>
      </c>
      <c r="AP76" s="201">
        <v>1232</v>
      </c>
      <c r="AQ76" s="201">
        <v>1504</v>
      </c>
      <c r="AR76" s="201">
        <v>1412</v>
      </c>
      <c r="AS76" s="201">
        <f>1940+950</f>
        <v>2890</v>
      </c>
      <c r="AT76" s="201">
        <v>3782</v>
      </c>
      <c r="AU76" s="201">
        <v>4839</v>
      </c>
      <c r="AV76" s="283">
        <f t="shared" si="26"/>
        <v>22595</v>
      </c>
      <c r="AW76" s="286">
        <f t="shared" si="24"/>
        <v>1882.9166666666667</v>
      </c>
      <c r="AX76" s="201">
        <v>6565</v>
      </c>
      <c r="AY76" s="201">
        <v>5543</v>
      </c>
      <c r="AZ76" s="201">
        <v>8513</v>
      </c>
      <c r="BA76" s="201">
        <v>6602</v>
      </c>
      <c r="BB76" s="201">
        <v>6922</v>
      </c>
      <c r="BC76" s="203">
        <f>SUMIFS(領用表!$L:$L,領用表!$A:$A,BC$2,領用表!$E:$E,B76)</f>
        <v>5258</v>
      </c>
      <c r="BD76" s="287">
        <f>SUMIFS(領用表!$L:$L,領用表!$E:$E,$B76,領用表!$B:$B,BC$2&amp;BD$2)</f>
        <v>5258</v>
      </c>
      <c r="BE76" s="287">
        <f>SUMIFS(領用表!$L:$L,領用表!$E:$E,$B76,領用表!$B:$B,$BC$2&amp;BE$2)</f>
        <v>0</v>
      </c>
      <c r="BF76" s="287">
        <f>SUMIFS(領用表!$L:$L,領用表!$E:$E,$B76,領用表!$B:$B,$BC$2&amp;BF$2)</f>
        <v>0</v>
      </c>
      <c r="BG76" s="206">
        <f>SUMIFS(領用表!$L:$L,領用表!$E:$E,$B76,領用表!$B:$B,$BC$2&amp;BG$2)</f>
        <v>0</v>
      </c>
      <c r="BH76" s="203">
        <f>SUMIFS(領用表!$L:$L,領用表!$A:$A,BH$2,領用表!$E:$E,B76)</f>
        <v>4682</v>
      </c>
      <c r="BI76" s="260">
        <f>SUMIFS(領用表!$L:$L,領用表!$E:$E,$B76,領用表!$B:$B,BH$2&amp;BI$2)</f>
        <v>3695</v>
      </c>
      <c r="BJ76" s="260">
        <f>SUMIFS(領用表!$L:$L,領用表!$E:$E,$B76,領用表!$B:$B,$BH$2&amp;BJ$2)</f>
        <v>0</v>
      </c>
      <c r="BK76" s="260">
        <f>SUMIFS(領用表!$L:$L,領用表!$E:$E,$B76,領用表!$B:$B,$BH$2&amp;BK$2)</f>
        <v>987</v>
      </c>
      <c r="BL76" s="260">
        <f>SUMIFS(領用表!$L:$L,領用表!$E:$E,$B76,領用表!$B:$B,$BH$2&amp;BL$2)</f>
        <v>0</v>
      </c>
      <c r="BM76" s="203">
        <f>SUMIFS(領用表!$L:$L,領用表!$A:$A,BM$2,領用表!$E:$E,B76)</f>
        <v>5386</v>
      </c>
      <c r="BN76" s="206">
        <f>SUMIFS(領用表!$L:$L,領用表!$E:$E,$B76,領用表!$B:$B,BM$2&amp;BN$2)</f>
        <v>2677</v>
      </c>
      <c r="BO76" s="206">
        <f>SUMIFS(領用表!$L:$L,領用表!$E:$E,$B76,領用表!$B:$B,$BM$2&amp;BO$2)</f>
        <v>0</v>
      </c>
      <c r="BP76" s="288">
        <f>SUMIFS(領用表!$L:$L,領用表!$E:$E,$B76,領用表!$B:$B,$BM$2&amp;BP$2)</f>
        <v>2709</v>
      </c>
      <c r="BQ76" s="287">
        <f>SUMIFS(領用表!$L:$L,領用表!$E:$E,$B76,領用表!$B:$B,$BM$2&amp;BQ$2)</f>
        <v>0</v>
      </c>
      <c r="BR76" s="203">
        <f>SUMIFS(領用表!$L:$L,領用表!$A:$A,BR$2,領用表!$E:$E,B76)</f>
        <v>5622</v>
      </c>
      <c r="BS76" s="288">
        <f>SUMIFS(領用表!$L:$L,領用表!$E:$E,$B76,領用表!$B:$B,BR$2&amp;BS$2)</f>
        <v>2573</v>
      </c>
      <c r="BT76" s="288">
        <f>SUMIFS(領用表!$L:$L,領用表!$E:$E,$B76,領用表!$B:$B,$BR$2&amp;BT$2)</f>
        <v>0</v>
      </c>
      <c r="BU76" s="288">
        <f>SUMIFS(領用表!$L:$L,領用表!$E:$E,$B76,領用表!$B:$B,$BR$2&amp;BU$2)</f>
        <v>3049</v>
      </c>
      <c r="BV76" s="287">
        <f>SUMIFS(領用表!$L:$L,領用表!$E:$E,$B76,領用表!$B:$B,$BR$2&amp;BV$2)</f>
        <v>0</v>
      </c>
      <c r="BW76" s="208">
        <f>SUMIFS(領用表!$L:$L,領用表!$A:$A,BW$2,領用表!$E:$E,B76)</f>
        <v>10069</v>
      </c>
      <c r="BX76" s="206">
        <f>SUMIFS(領用表!$L:$L,領用表!$E:$E,$B76,領用表!$B:$B,BW$2&amp;BX$2)</f>
        <v>4109</v>
      </c>
      <c r="BY76" s="206">
        <f>SUMIFS(領用表!$L:$L,領用表!$E:$E,$B76,領用表!$B:$B,$BW$2&amp;BY$2)</f>
        <v>0</v>
      </c>
      <c r="BZ76" s="206">
        <f>SUMIFS(領用表!$L:$L,領用表!$E:$E,$B76,領用表!$B:$B,$BW$2&amp;BZ$2)</f>
        <v>5960</v>
      </c>
      <c r="CA76" s="206">
        <f>SUMIFS(領用表!$L:$L,領用表!$E:$E,$B76,領用表!$B:$B,$BW$2&amp;CA$2)</f>
        <v>0</v>
      </c>
      <c r="CB76" s="208">
        <f>SUMIFS(領用表!$L:$L,領用表!$A:$A,CB$2,領用表!$E:$E,B76)</f>
        <v>13334</v>
      </c>
      <c r="CC76" s="206">
        <f>SUMIFS(領用表!$L:$L,領用表!$E:$E,$B76,領用表!$B:$B,CB$2&amp;CC$2)</f>
        <v>6276</v>
      </c>
      <c r="CD76" s="206">
        <f>SUMIFS(領用表!$L:$L,領用表!$E:$E,$B76,領用表!$B:$B,$CB$2&amp;CD$2)</f>
        <v>0</v>
      </c>
      <c r="CE76" s="206">
        <f>SUMIFS(領用表!$L:$L,領用表!$E:$E,$B76,領用表!$B:$B,$CB$2&amp;CE$2)</f>
        <v>7058</v>
      </c>
      <c r="CF76" s="206">
        <f>SUMIFS(領用表!$L:$L,領用表!$E:$E,$B76,領用表!$B:$B,$CB$2&amp;CF$2)</f>
        <v>0</v>
      </c>
      <c r="CG76" s="208">
        <f>SUMIFS(領用表!$L:$L,領用表!$A:$A,CG$2,領用表!$E:$E,B76)</f>
        <v>15518</v>
      </c>
      <c r="CH76" s="206">
        <f>SUMIFS(領用表!$L:$L,領用表!$E:$E,$B76,領用表!$B:$B,CG$2&amp;CH$2)</f>
        <v>5439</v>
      </c>
      <c r="CI76" s="206">
        <f>SUMIFS(領用表!$L:$L,領用表!$E:$E,$B76,領用表!$B:$B,CG$2&amp;CI$2)</f>
        <v>0</v>
      </c>
      <c r="CJ76" s="206">
        <f>SUMIFS(領用表!$L:$L,領用表!$E:$E,$B76,領用表!$B:$B,CG$2&amp;CJ$2)</f>
        <v>10079</v>
      </c>
      <c r="CK76" s="206">
        <f>SUMIFS(領用表!$L:$L,領用表!$E:$E,$B76,領用表!$B:$B,$CG$2&amp;CK$2)</f>
        <v>0</v>
      </c>
      <c r="CL76" s="207">
        <f t="shared" si="22"/>
        <v>94014</v>
      </c>
      <c r="CM76" s="207">
        <f t="shared" si="23"/>
        <v>7834.5</v>
      </c>
      <c r="CN76" s="208">
        <f>SUMIFS(領用表!$L:$L,領用表!$A:$A,CN$2,領用表!$E:$E,B76)</f>
        <v>16004</v>
      </c>
      <c r="CO76" s="206">
        <f>SUMIFS(領用表!$L:$L,領用表!$E:$E,$B76,領用表!$B:$B,CN$2&amp;CO$2)</f>
        <v>6112</v>
      </c>
      <c r="CP76" s="206">
        <f>SUMIFS(領用表!$L:$L,領用表!$E:$E,$B76,領用表!$B:$B,$CN$2&amp;CP$2)</f>
        <v>10</v>
      </c>
      <c r="CQ76" s="206">
        <f>SUMIFS(領用表!$L:$L,領用表!$E:$E,$B76,領用表!$B:$B,$CN$2&amp;CQ$2)</f>
        <v>9882</v>
      </c>
      <c r="CR76" s="206">
        <f>SUMIFS(領用表!$L:$L,領用表!$E:$E,$B76,領用表!$B:$B,$CN$2&amp;CR$2)</f>
        <v>0</v>
      </c>
      <c r="CS76" s="208">
        <f>SUMIFS(領用表!$L:$L,領用表!$A:$A,CS$2,領用表!$E:$E,B76)</f>
        <v>15588</v>
      </c>
      <c r="CT76" s="206">
        <f>SUMIFS(領用表!$L:$L,領用表!$E:$E,$B76,領用表!$B:$B,CS$2&amp;CT$2)</f>
        <v>7116</v>
      </c>
      <c r="CU76" s="206">
        <f>SUMIFS(領用表!$L:$L,領用表!$E:$E,$B76,領用表!$B:$B,$CS$2&amp;CU$2)</f>
        <v>0</v>
      </c>
      <c r="CV76" s="206">
        <f>SUMIFS(領用表!$L:$L,領用表!$E:$E,$B76,領用表!$B:$B,$CS$2&amp;CV$2)</f>
        <v>7889</v>
      </c>
      <c r="CW76" s="206">
        <f>SUMIFS(領用表!$L:$L,領用表!$E:$E,$B76,領用表!$B:$B,$CS$2&amp;CW$2)</f>
        <v>0</v>
      </c>
      <c r="CX76" s="206">
        <f>SUMIFS(領用表!$L:$L,領用表!$E:$E,$B76,領用表!$B:$B,$CS$2&amp;CX$2)</f>
        <v>583</v>
      </c>
      <c r="CY76" s="208">
        <f>SUMIFS(領用表!$L:$L,領用表!$A:$A,CY$2,領用表!$E:$E,B76)</f>
        <v>20174</v>
      </c>
      <c r="CZ76" s="206">
        <f>SUMIFS(領用表!$L:$L,領用表!$E:$E,$B76,領用表!$B:$B,CY$2&amp;CZ$2)</f>
        <v>10519</v>
      </c>
      <c r="DA76" s="206">
        <f>SUMIFS(領用表!$L:$L,領用表!$E:$E,$B76,領用表!$B:$B,$CY$2&amp;DA$2)</f>
        <v>0</v>
      </c>
      <c r="DB76" s="206">
        <f>SUMIFS(領用表!$L:$L,領用表!$E:$E,$B76,領用表!$B:$B,$CY$2&amp;DB$2)</f>
        <v>8176</v>
      </c>
      <c r="DC76" s="206">
        <f>SUMIFS(領用表!$L:$L,領用表!$E:$E,$B76,領用表!$B:$B,$CY$2&amp;DC$2)</f>
        <v>0</v>
      </c>
      <c r="DD76" s="206">
        <f>SUMIFS(領用表!$L:$L,領用表!$E:$E,$B76,領用表!$B:$B,$CY$2&amp;DD$2)</f>
        <v>1479</v>
      </c>
      <c r="DE76" s="208">
        <f>SUMIFS(領用表!$L:$L,領用表!$A:$A,DE$2,領用表!$E:$E,B76)</f>
        <v>19196</v>
      </c>
      <c r="DF76" s="206">
        <f>SUMIFS(領用表!$L:$L,領用表!$E:$E,$B76,領用表!$B:$B,DE$2&amp;DF$2)</f>
        <v>8901</v>
      </c>
      <c r="DG76" s="206">
        <f>SUMIFS(領用表!$L:$L,領用表!$E:$E,$B76,領用表!$B:$B,$DE$2&amp;DG$2)</f>
        <v>0</v>
      </c>
      <c r="DH76" s="206">
        <f>SUMIFS(領用表!$L:$L,領用表!$E:$E,$B76,領用表!$B:$B,$DE$2&amp;DH$2)</f>
        <v>7738</v>
      </c>
      <c r="DI76" s="206">
        <f>SUMIFS(領用表!$L:$L,領用表!$E:$E,$B76,領用表!$B:$B,$DE$2&amp;DI$2)</f>
        <v>0</v>
      </c>
      <c r="DJ76" s="206">
        <f>SUMIFS(領用表!$L:$L,領用表!$E:$E,$B76,領用表!$B:$B,$DE$2&amp;DJ$2)</f>
        <v>2557</v>
      </c>
      <c r="DK76" s="208">
        <f>SUMIFS(領用表!$L:$L,領用表!$A:$A,DK$2,領用表!$E:$E,$B76)</f>
        <v>18834</v>
      </c>
      <c r="DL76" s="206">
        <f>SUMIFS(領用表!$L:$L,領用表!$E:$E,$B76,領用表!$B:$B,DK$2&amp;DL$2)</f>
        <v>5665</v>
      </c>
      <c r="DM76" s="206">
        <f>SUMIFS(領用表!$L:$L,領用表!$E:$E,$B76,領用表!$B:$B,$DK$2&amp;DM$2)</f>
        <v>0</v>
      </c>
      <c r="DN76" s="206">
        <f>SUMIFS(領用表!$L:$L,領用表!$E:$E,$B76,領用表!$B:$B,$DK$2&amp;DN$2)</f>
        <v>8760</v>
      </c>
      <c r="DO76" s="206">
        <f>SUMIFS(領用表!$L:$L,領用表!$E:$E,$B76,領用表!$B:$B,$DK$2&amp;DO$2)</f>
        <v>0</v>
      </c>
      <c r="DP76" s="206">
        <f>SUMIFS(領用表!$L:$L,領用表!$E:$E,$B76,領用表!$B:$B,$DK$2&amp;DP$2)</f>
        <v>4409</v>
      </c>
      <c r="DQ76" s="206">
        <f t="shared" si="20"/>
        <v>89796</v>
      </c>
      <c r="DR76" s="206">
        <f t="shared" si="21"/>
        <v>17959.2</v>
      </c>
      <c r="DS76" s="206">
        <f t="shared" si="27"/>
        <v>15500</v>
      </c>
      <c r="DT76" s="206">
        <v>5500</v>
      </c>
      <c r="DU76" s="206">
        <v>0</v>
      </c>
      <c r="DV76" s="206">
        <v>10000</v>
      </c>
      <c r="DW76" s="206">
        <v>0</v>
      </c>
      <c r="DX76" s="258">
        <v>6000</v>
      </c>
      <c r="DY76" s="283"/>
      <c r="DZ76" s="283" t="s">
        <v>144</v>
      </c>
      <c r="EA76" s="283"/>
      <c r="EB76" s="136"/>
      <c r="EC76" s="289"/>
      <c r="ED76" s="118">
        <f>IFERROR(VLOOKUP(A76,站前4樓!A:BF,57,0),0)</f>
        <v>6276</v>
      </c>
      <c r="EE76" s="213">
        <f>IFERROR(VLOOKUP(A76,站前11樓!A:BE,57,0),0)</f>
        <v>0</v>
      </c>
      <c r="EF76" s="118">
        <f>IFERROR(VLOOKUP(A76,忠孝7樓!A:N,57,0),0)</f>
        <v>0</v>
      </c>
      <c r="EG76" s="118">
        <f>IFERROR(VLOOKUP(A76,忠孝國際醫學3樓!A:L,57,0),0)</f>
        <v>0</v>
      </c>
      <c r="EH76" s="118">
        <f t="shared" si="25"/>
        <v>6276</v>
      </c>
      <c r="EJ76" s="118">
        <v>2400</v>
      </c>
      <c r="EK76" s="118">
        <v>10800</v>
      </c>
    </row>
    <row r="77" spans="1:141" s="118" customFormat="1" ht="15.75" customHeight="1" thickBot="1">
      <c r="A77" s="136" t="s">
        <v>640</v>
      </c>
      <c r="B77" s="118">
        <v>6140005</v>
      </c>
      <c r="C77" s="118" t="s">
        <v>820</v>
      </c>
      <c r="D77" s="285">
        <v>200</v>
      </c>
      <c r="E77" s="198" t="s">
        <v>141</v>
      </c>
      <c r="F77" s="225">
        <f>SUMIF(站前4樓!B:B,B77,站前4樓!F:F)</f>
        <v>2698</v>
      </c>
      <c r="G77" s="225">
        <f>SUMIF(站前11樓!B:B,B77,站前11樓!F:F)</f>
        <v>0</v>
      </c>
      <c r="H77" s="225">
        <f>SUMIF(忠孝7樓!B:B,B77,忠孝7樓!G:G)</f>
        <v>6104</v>
      </c>
      <c r="I77" s="225">
        <f>SUMIF(忠孝國際醫學3樓!B:B,B77,忠孝國際醫學3樓!G:G)</f>
        <v>0</v>
      </c>
      <c r="J77" s="225">
        <f>SUMIF(忠孝健康7樓!B:B,B77,忠孝健康7樓!G:G)</f>
        <v>22358</v>
      </c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  <c r="Y77" s="283"/>
      <c r="Z77" s="283"/>
      <c r="AA77" s="283"/>
      <c r="AB77" s="283"/>
      <c r="AC77" s="283"/>
      <c r="AD77" s="283"/>
      <c r="AE77" s="283"/>
      <c r="AF77" s="283"/>
      <c r="AG77" s="283"/>
      <c r="AH77" s="283"/>
      <c r="AI77" s="283"/>
      <c r="AJ77" s="201">
        <v>0</v>
      </c>
      <c r="AK77" s="201">
        <v>0</v>
      </c>
      <c r="AL77" s="201">
        <v>1154</v>
      </c>
      <c r="AM77" s="201">
        <v>2465</v>
      </c>
      <c r="AN77" s="201">
        <v>2607</v>
      </c>
      <c r="AO77" s="201">
        <v>2330</v>
      </c>
      <c r="AP77" s="201">
        <v>1488</v>
      </c>
      <c r="AQ77" s="201">
        <v>6126</v>
      </c>
      <c r="AR77" s="201">
        <v>2454</v>
      </c>
      <c r="AS77" s="201">
        <v>3438</v>
      </c>
      <c r="AT77" s="201">
        <v>3180</v>
      </c>
      <c r="AU77" s="201">
        <v>3251</v>
      </c>
      <c r="AV77" s="283">
        <f t="shared" si="26"/>
        <v>28493</v>
      </c>
      <c r="AW77" s="286">
        <f t="shared" si="24"/>
        <v>2374.4166666666665</v>
      </c>
      <c r="AX77" s="201">
        <v>2150</v>
      </c>
      <c r="AY77" s="201">
        <v>2385</v>
      </c>
      <c r="AZ77" s="201">
        <v>2782</v>
      </c>
      <c r="BA77" s="201">
        <v>2692</v>
      </c>
      <c r="BB77" s="201">
        <v>2952</v>
      </c>
      <c r="BC77" s="203">
        <f>SUMIFS(領用表!$L:$L,領用表!$A:$A,BC$2,領用表!$E:$E,B77)</f>
        <v>2484</v>
      </c>
      <c r="BD77" s="287">
        <f>SUMIFS(領用表!$L:$L,領用表!$E:$E,$B77,領用表!$B:$B,BC$2&amp;BD$2)</f>
        <v>2484</v>
      </c>
      <c r="BE77" s="287">
        <f>SUMIFS(領用表!$L:$L,領用表!$E:$E,$B77,領用表!$B:$B,$BC$2&amp;BE$2)</f>
        <v>0</v>
      </c>
      <c r="BF77" s="287">
        <f>SUMIFS(領用表!$L:$L,領用表!$E:$E,$B77,領用表!$B:$B,$BC$2&amp;BF$2)</f>
        <v>0</v>
      </c>
      <c r="BG77" s="206">
        <f>SUMIFS(領用表!$L:$L,領用表!$E:$E,$B77,領用表!$B:$B,$BC$2&amp;BG$2)</f>
        <v>0</v>
      </c>
      <c r="BH77" s="203">
        <f>SUMIFS(領用表!$L:$L,領用表!$A:$A,BH$2,領用表!$E:$E,B77)</f>
        <v>3062</v>
      </c>
      <c r="BI77" s="260">
        <f>SUMIFS(領用表!$L:$L,領用表!$E:$E,$B77,領用表!$B:$B,BH$2&amp;BI$2)</f>
        <v>1450</v>
      </c>
      <c r="BJ77" s="260">
        <f>SUMIFS(領用表!$L:$L,領用表!$E:$E,$B77,領用表!$B:$B,$BH$2&amp;BJ$2)</f>
        <v>0</v>
      </c>
      <c r="BK77" s="260">
        <f>SUMIFS(領用表!$L:$L,領用表!$E:$E,$B77,領用表!$B:$B,$BH$2&amp;BK$2)</f>
        <v>1612</v>
      </c>
      <c r="BL77" s="260">
        <f>SUMIFS(領用表!$L:$L,領用表!$E:$E,$B77,領用表!$B:$B,$BH$2&amp;BL$2)</f>
        <v>0</v>
      </c>
      <c r="BM77" s="203">
        <f>SUMIFS(領用表!$L:$L,領用表!$A:$A,BM$2,領用表!$E:$E,B77)</f>
        <v>5186</v>
      </c>
      <c r="BN77" s="206">
        <f>SUMIFS(領用表!$L:$L,領用表!$E:$E,$B77,領用表!$B:$B,BM$2&amp;BN$2)</f>
        <v>3081</v>
      </c>
      <c r="BO77" s="206">
        <f>SUMIFS(領用表!$L:$L,領用表!$E:$E,$B77,領用表!$B:$B,$BM$2&amp;BO$2)</f>
        <v>0</v>
      </c>
      <c r="BP77" s="288">
        <f>SUMIFS(領用表!$L:$L,領用表!$E:$E,$B77,領用表!$B:$B,$BM$2&amp;BP$2)</f>
        <v>2105</v>
      </c>
      <c r="BQ77" s="287">
        <f>SUMIFS(領用表!$L:$L,領用表!$E:$E,$B77,領用表!$B:$B,$BM$2&amp;BQ$2)</f>
        <v>0</v>
      </c>
      <c r="BR77" s="203">
        <f>SUMIFS(領用表!$L:$L,領用表!$A:$A,BR$2,領用表!$E:$E,B77)</f>
        <v>2571</v>
      </c>
      <c r="BS77" s="288">
        <f>SUMIFS(領用表!$L:$L,領用表!$E:$E,$B77,領用表!$B:$B,BR$2&amp;BS$2)</f>
        <v>1603</v>
      </c>
      <c r="BT77" s="288">
        <f>SUMIFS(領用表!$L:$L,領用表!$E:$E,$B77,領用表!$B:$B,$BR$2&amp;BT$2)</f>
        <v>0</v>
      </c>
      <c r="BU77" s="288">
        <f>SUMIFS(領用表!$L:$L,領用表!$E:$E,$B77,領用表!$B:$B,$BR$2&amp;BU$2)</f>
        <v>968</v>
      </c>
      <c r="BV77" s="287">
        <f>SUMIFS(領用表!$L:$L,領用表!$E:$E,$B77,領用表!$B:$B,$BR$2&amp;BV$2)</f>
        <v>0</v>
      </c>
      <c r="BW77" s="208">
        <f>SUMIFS(領用表!$L:$L,領用表!$A:$A,BW$2,領用表!$E:$E,B77)</f>
        <v>3613</v>
      </c>
      <c r="BX77" s="206">
        <f>SUMIFS(領用表!$L:$L,領用表!$E:$E,$B77,領用表!$B:$B,BW$2&amp;BX$2)</f>
        <v>2254</v>
      </c>
      <c r="BY77" s="206">
        <f>SUMIFS(領用表!$L:$L,領用表!$E:$E,$B77,領用表!$B:$B,$BW$2&amp;BY$2)</f>
        <v>0</v>
      </c>
      <c r="BZ77" s="206">
        <f>SUMIFS(領用表!$L:$L,領用表!$E:$E,$B77,領用表!$B:$B,$BW$2&amp;BZ$2)</f>
        <v>1359</v>
      </c>
      <c r="CA77" s="206">
        <f>SUMIFS(領用表!$L:$L,領用表!$E:$E,$B77,領用表!$B:$B,$BW$2&amp;CA$2)</f>
        <v>0</v>
      </c>
      <c r="CB77" s="208">
        <f>SUMIFS(領用表!$L:$L,領用表!$A:$A,CB$2,領用表!$E:$E,B77)</f>
        <v>2875</v>
      </c>
      <c r="CC77" s="206">
        <f>SUMIFS(領用表!$L:$L,領用表!$E:$E,$B77,領用表!$B:$B,CB$2&amp;CC$2)</f>
        <v>1623</v>
      </c>
      <c r="CD77" s="206">
        <f>SUMIFS(領用表!$L:$L,領用表!$E:$E,$B77,領用表!$B:$B,$CB$2&amp;CD$2)</f>
        <v>0</v>
      </c>
      <c r="CE77" s="206">
        <f>SUMIFS(領用表!$L:$L,領用表!$E:$E,$B77,領用表!$B:$B,$CB$2&amp;CE$2)</f>
        <v>1252</v>
      </c>
      <c r="CF77" s="206">
        <f>SUMIFS(領用表!$L:$L,領用表!$E:$E,$B77,領用表!$B:$B,$CB$2&amp;CF$2)</f>
        <v>0</v>
      </c>
      <c r="CG77" s="208">
        <f>SUMIFS(領用表!$L:$L,領用表!$A:$A,CG$2,領用表!$E:$E,B77)</f>
        <v>2858</v>
      </c>
      <c r="CH77" s="206">
        <f>SUMIFS(領用表!$L:$L,領用表!$E:$E,$B77,領用表!$B:$B,CG$2&amp;CH$2)</f>
        <v>1438</v>
      </c>
      <c r="CI77" s="206">
        <f>SUMIFS(領用表!$L:$L,領用表!$E:$E,$B77,領用表!$B:$B,CG$2&amp;CI$2)</f>
        <v>0</v>
      </c>
      <c r="CJ77" s="206">
        <f>SUMIFS(領用表!$L:$L,領用表!$E:$E,$B77,領用表!$B:$B,CG$2&amp;CJ$2)</f>
        <v>1420</v>
      </c>
      <c r="CK77" s="206">
        <f>SUMIFS(領用表!$L:$L,領用表!$E:$E,$B77,領用表!$B:$B,$CG$2&amp;CK$2)</f>
        <v>0</v>
      </c>
      <c r="CL77" s="207">
        <f t="shared" si="22"/>
        <v>35610</v>
      </c>
      <c r="CM77" s="207">
        <f t="shared" si="23"/>
        <v>2967.5</v>
      </c>
      <c r="CN77" s="208">
        <f>SUMIFS(領用表!$L:$L,領用表!$A:$A,CN$2,領用表!$E:$E,B77)</f>
        <v>2951</v>
      </c>
      <c r="CO77" s="206">
        <f>SUMIFS(領用表!$L:$L,領用表!$E:$E,$B77,領用表!$B:$B,CN$2&amp;CO$2)</f>
        <v>1267</v>
      </c>
      <c r="CP77" s="206">
        <f>SUMIFS(領用表!$L:$L,領用表!$E:$E,$B77,領用表!$B:$B,$CN$2&amp;CP$2)</f>
        <v>0</v>
      </c>
      <c r="CQ77" s="206">
        <f>SUMIFS(領用表!$L:$L,領用表!$E:$E,$B77,領用表!$B:$B,$CN$2&amp;CQ$2)</f>
        <v>1684</v>
      </c>
      <c r="CR77" s="206">
        <f>SUMIFS(領用表!$L:$L,領用表!$E:$E,$B77,領用表!$B:$B,$CN$2&amp;CR$2)</f>
        <v>0</v>
      </c>
      <c r="CS77" s="208">
        <f>SUMIFS(領用表!$L:$L,領用表!$A:$A,CS$2,領用表!$E:$E,B77)</f>
        <v>2643</v>
      </c>
      <c r="CT77" s="206">
        <f>SUMIFS(領用表!$L:$L,領用表!$E:$E,$B77,領用表!$B:$B,CS$2&amp;CT$2)</f>
        <v>1291</v>
      </c>
      <c r="CU77" s="206">
        <f>SUMIFS(領用表!$L:$L,領用表!$E:$E,$B77,領用表!$B:$B,$CS$2&amp;CU$2)</f>
        <v>0</v>
      </c>
      <c r="CV77" s="206">
        <f>SUMIFS(領用表!$L:$L,領用表!$E:$E,$B77,領用表!$B:$B,$CS$2&amp;CV$2)</f>
        <v>1342</v>
      </c>
      <c r="CW77" s="206">
        <f>SUMIFS(領用表!$L:$L,領用表!$E:$E,$B77,領用表!$B:$B,$CS$2&amp;CW$2)</f>
        <v>0</v>
      </c>
      <c r="CX77" s="206">
        <f>SUMIFS(領用表!$L:$L,領用表!$E:$E,$B77,領用表!$B:$B,$CS$2&amp;CX$2)</f>
        <v>10</v>
      </c>
      <c r="CY77" s="208">
        <f>SUMIFS(領用表!$L:$L,領用表!$A:$A,CY$2,領用表!$E:$E,B77)</f>
        <v>9461</v>
      </c>
      <c r="CZ77" s="206">
        <f>SUMIFS(領用表!$L:$L,領用表!$E:$E,$B77,領用表!$B:$B,CY$2&amp;CZ$2)</f>
        <v>3495</v>
      </c>
      <c r="DA77" s="206">
        <f>SUMIFS(領用表!$L:$L,領用表!$E:$E,$B77,領用表!$B:$B,$CY$2&amp;DA$2)</f>
        <v>0</v>
      </c>
      <c r="DB77" s="206">
        <f>SUMIFS(領用表!$L:$L,領用表!$E:$E,$B77,領用表!$B:$B,$CY$2&amp;DB$2)</f>
        <v>4579</v>
      </c>
      <c r="DC77" s="206">
        <f>SUMIFS(領用表!$L:$L,領用表!$E:$E,$B77,領用表!$B:$B,$CY$2&amp;DC$2)</f>
        <v>0</v>
      </c>
      <c r="DD77" s="206">
        <f>SUMIFS(領用表!$L:$L,領用表!$E:$E,$B77,領用表!$B:$B,$CY$2&amp;DD$2)</f>
        <v>1387</v>
      </c>
      <c r="DE77" s="208">
        <f>SUMIFS(領用表!$L:$L,領用表!$A:$A,DE$2,領用表!$E:$E,B77)</f>
        <v>13030</v>
      </c>
      <c r="DF77" s="206">
        <f>SUMIFS(領用表!$L:$L,領用表!$E:$E,$B77,領用表!$B:$B,DE$2&amp;DF$2)</f>
        <v>4861</v>
      </c>
      <c r="DG77" s="206">
        <f>SUMIFS(領用表!$L:$L,領用表!$E:$E,$B77,領用表!$B:$B,$DE$2&amp;DG$2)</f>
        <v>0</v>
      </c>
      <c r="DH77" s="206">
        <f>SUMIFS(領用表!$L:$L,領用表!$E:$E,$B77,領用表!$B:$B,$DE$2&amp;DH$2)</f>
        <v>5459</v>
      </c>
      <c r="DI77" s="206">
        <f>SUMIFS(領用表!$L:$L,領用表!$E:$E,$B77,領用表!$B:$B,$DE$2&amp;DI$2)</f>
        <v>0</v>
      </c>
      <c r="DJ77" s="206">
        <f>SUMIFS(領用表!$L:$L,領用表!$E:$E,$B77,領用表!$B:$B,$DE$2&amp;DJ$2)</f>
        <v>2710</v>
      </c>
      <c r="DK77" s="208">
        <f>SUMIFS(領用表!$L:$L,領用表!$A:$A,DK$2,領用表!$E:$E,$B77)</f>
        <v>18568</v>
      </c>
      <c r="DL77" s="206">
        <f>SUMIFS(領用表!$L:$L,領用表!$E:$E,$B77,領用表!$B:$B,DK$2&amp;DL$2)</f>
        <v>7896</v>
      </c>
      <c r="DM77" s="206">
        <f>SUMIFS(領用表!$L:$L,領用表!$E:$E,$B77,領用表!$B:$B,$DK$2&amp;DM$2)</f>
        <v>0</v>
      </c>
      <c r="DN77" s="206">
        <f>SUMIFS(領用表!$L:$L,領用表!$E:$E,$B77,領用表!$B:$B,$DK$2&amp;DN$2)</f>
        <v>7007</v>
      </c>
      <c r="DO77" s="206">
        <f>SUMIFS(領用表!$L:$L,領用表!$E:$E,$B77,領用表!$B:$B,$DK$2&amp;DO$2)</f>
        <v>0</v>
      </c>
      <c r="DP77" s="206">
        <f>SUMIFS(領用表!$L:$L,領用表!$E:$E,$B77,領用表!$B:$B,$DK$2&amp;DP$2)</f>
        <v>3665</v>
      </c>
      <c r="DQ77" s="206">
        <f t="shared" si="20"/>
        <v>46653</v>
      </c>
      <c r="DR77" s="206">
        <f t="shared" si="21"/>
        <v>9330.6</v>
      </c>
      <c r="DS77" s="206">
        <f t="shared" si="27"/>
        <v>2600</v>
      </c>
      <c r="DT77" s="206">
        <v>1200</v>
      </c>
      <c r="DU77" s="206">
        <v>0</v>
      </c>
      <c r="DV77" s="206">
        <v>1400</v>
      </c>
      <c r="DW77" s="206">
        <v>0</v>
      </c>
      <c r="DX77" s="258">
        <v>4000</v>
      </c>
      <c r="DY77" s="283"/>
      <c r="DZ77" s="283"/>
      <c r="EA77" s="283"/>
      <c r="EB77" s="136"/>
      <c r="EC77" s="289"/>
      <c r="ED77" s="118">
        <f>IFERROR(VLOOKUP(A77,站前4樓!A:BF,57,0),0)</f>
        <v>1623</v>
      </c>
      <c r="EE77" s="213">
        <f>IFERROR(VLOOKUP(A77,站前11樓!A:BE,57,0),0)</f>
        <v>0</v>
      </c>
      <c r="EF77" s="118">
        <f>IFERROR(VLOOKUP(A77,忠孝7樓!A:N,57,0),0)</f>
        <v>0</v>
      </c>
      <c r="EG77" s="118">
        <f>IFERROR(VLOOKUP(A77,忠孝國際醫學3樓!A:L,57,0),0)</f>
        <v>0</v>
      </c>
      <c r="EH77" s="118">
        <f t="shared" si="25"/>
        <v>1623</v>
      </c>
      <c r="EJ77" s="118">
        <v>8000</v>
      </c>
      <c r="EK77" s="118">
        <v>8400</v>
      </c>
    </row>
    <row r="78" spans="1:141" s="118" customFormat="1" ht="15.75" customHeight="1" thickBot="1">
      <c r="A78" s="290"/>
      <c r="B78" s="290"/>
      <c r="C78" s="290"/>
      <c r="D78" s="290"/>
      <c r="E78" s="395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90"/>
      <c r="AB78" s="290"/>
      <c r="AC78" s="290"/>
      <c r="AD78" s="290"/>
      <c r="AE78" s="290"/>
      <c r="AF78" s="290"/>
      <c r="AG78" s="290"/>
      <c r="AH78" s="290"/>
      <c r="AI78" s="290"/>
      <c r="AJ78" s="290"/>
      <c r="AK78" s="290"/>
      <c r="AL78" s="290"/>
      <c r="AM78" s="290"/>
      <c r="AN78" s="290"/>
      <c r="AO78" s="290"/>
      <c r="AP78" s="290"/>
      <c r="AQ78" s="290"/>
      <c r="AR78" s="290"/>
      <c r="AS78" s="290"/>
      <c r="AT78" s="290"/>
      <c r="AU78" s="290"/>
      <c r="AV78" s="290"/>
      <c r="AW78" s="290"/>
      <c r="AX78" s="290"/>
      <c r="AY78" s="290"/>
      <c r="AZ78" s="290"/>
      <c r="BA78" s="290"/>
      <c r="BB78" s="290"/>
      <c r="BC78" s="290"/>
      <c r="BD78" s="290"/>
      <c r="BE78" s="290"/>
      <c r="BF78" s="290"/>
      <c r="BG78" s="290"/>
      <c r="BH78" s="290"/>
      <c r="BI78" s="290"/>
      <c r="BJ78" s="290"/>
      <c r="BK78" s="290"/>
      <c r="BL78" s="290"/>
      <c r="BM78" s="290"/>
      <c r="BN78" s="290"/>
      <c r="BO78" s="290"/>
      <c r="BP78" s="290"/>
      <c r="BQ78" s="401"/>
      <c r="BR78" s="290"/>
      <c r="BS78" s="290"/>
      <c r="BT78" s="290"/>
      <c r="BU78" s="290"/>
      <c r="BV78" s="401"/>
      <c r="BW78" s="290"/>
      <c r="BX78" s="290"/>
      <c r="BY78" s="290"/>
      <c r="BZ78" s="290"/>
      <c r="CA78" s="290"/>
      <c r="CB78" s="290"/>
      <c r="CC78" s="290"/>
      <c r="CD78" s="290"/>
      <c r="CE78" s="290"/>
      <c r="CF78" s="290"/>
      <c r="CG78" s="290"/>
      <c r="CH78" s="290"/>
      <c r="CI78" s="290"/>
      <c r="CJ78" s="290"/>
      <c r="CK78" s="290"/>
      <c r="CL78" s="290"/>
      <c r="CM78" s="290"/>
      <c r="CN78" s="290"/>
      <c r="CO78" s="290"/>
      <c r="CP78" s="290"/>
      <c r="CQ78" s="290"/>
      <c r="CR78" s="290"/>
      <c r="CS78" s="290"/>
      <c r="CT78" s="290"/>
      <c r="CU78" s="290"/>
      <c r="CV78" s="290"/>
      <c r="CW78" s="290"/>
      <c r="CX78" s="290"/>
      <c r="CY78" s="290"/>
      <c r="CZ78" s="290"/>
      <c r="DA78" s="290"/>
      <c r="DB78" s="290"/>
      <c r="DC78" s="290"/>
      <c r="DD78" s="290"/>
      <c r="DE78" s="290"/>
      <c r="DF78" s="290"/>
      <c r="DG78" s="290"/>
      <c r="DH78" s="290"/>
      <c r="DI78" s="290"/>
      <c r="DJ78" s="290"/>
      <c r="DK78" s="290"/>
      <c r="DL78" s="290"/>
      <c r="DM78" s="290"/>
      <c r="DN78" s="290"/>
      <c r="DO78" s="290"/>
      <c r="DP78" s="290"/>
      <c r="DQ78" s="290"/>
      <c r="DR78" s="290"/>
      <c r="DS78" s="290"/>
      <c r="DT78" s="290"/>
      <c r="DU78" s="290"/>
      <c r="DV78" s="290"/>
      <c r="DW78" s="290"/>
      <c r="DX78" s="290"/>
      <c r="DY78" s="222"/>
      <c r="DZ78" s="222"/>
      <c r="EA78" s="222"/>
      <c r="EB78" s="222"/>
      <c r="EC78" s="222"/>
      <c r="ED78" s="118">
        <f>IFERROR(VLOOKUP(A78,站前4樓!A:BF,57,0),0)</f>
        <v>0</v>
      </c>
      <c r="EE78" s="213">
        <f>IFERROR(VLOOKUP(A78,站前11樓!A:BE,57,0),0)</f>
        <v>0</v>
      </c>
      <c r="EF78" s="118">
        <f>IFERROR(VLOOKUP(A78,忠孝7樓!A:N,57,0),0)</f>
        <v>0</v>
      </c>
      <c r="EG78" s="118">
        <f>IFERROR(VLOOKUP(A78,忠孝國際醫學3樓!A:L,57,0),0)</f>
        <v>0</v>
      </c>
      <c r="EH78" s="118">
        <f>SUM(ED78:EG78)</f>
        <v>0</v>
      </c>
      <c r="EJ78" s="118" t="e">
        <v>#N/A</v>
      </c>
      <c r="EK78" s="118" t="e">
        <v>#N/A</v>
      </c>
    </row>
    <row r="79" spans="1:141" s="118" customFormat="1" ht="15.75" customHeight="1">
      <c r="A79" s="136" t="s">
        <v>101</v>
      </c>
      <c r="B79" s="118">
        <v>6200004</v>
      </c>
      <c r="C79" s="118" t="s">
        <v>618</v>
      </c>
      <c r="D79" s="197">
        <v>50</v>
      </c>
      <c r="E79" s="198" t="s">
        <v>102</v>
      </c>
      <c r="F79" s="199">
        <f>SUMIF(站前4樓!B:B,B79,站前4樓!F:F)</f>
        <v>0</v>
      </c>
      <c r="G79" s="199">
        <f>SUMIF(站前11樓!B:B,B79,站前11樓!F:F)</f>
        <v>1339</v>
      </c>
      <c r="H79" s="199">
        <f>SUMIF(忠孝7樓!B:B,B79,忠孝7樓!G:G)</f>
        <v>0</v>
      </c>
      <c r="I79" s="199">
        <f>SUMIF(忠孝國際醫學3樓!B:B,B79,忠孝國際醫學3樓!G:G)</f>
        <v>1084</v>
      </c>
      <c r="J79" s="199">
        <f>SUMIF(忠孝健康7樓!B:B,B79,忠孝健康7樓!G:G)</f>
        <v>0</v>
      </c>
      <c r="K79" s="291">
        <v>0</v>
      </c>
      <c r="L79" s="291">
        <v>0</v>
      </c>
      <c r="M79" s="291">
        <v>0</v>
      </c>
      <c r="N79" s="291">
        <v>0.84</v>
      </c>
      <c r="O79" s="291">
        <v>1.18</v>
      </c>
      <c r="P79" s="291">
        <v>0.94</v>
      </c>
      <c r="Q79" s="291">
        <v>1.44</v>
      </c>
      <c r="R79" s="291">
        <v>1.24</v>
      </c>
      <c r="S79" s="291">
        <v>1.52</v>
      </c>
      <c r="T79" s="291">
        <v>0.66</v>
      </c>
      <c r="U79" s="291">
        <v>1.66</v>
      </c>
      <c r="V79" s="291">
        <v>1.2</v>
      </c>
      <c r="W79" s="291">
        <v>1.1000000000000001</v>
      </c>
      <c r="X79" s="291">
        <v>1.06</v>
      </c>
      <c r="Y79" s="291">
        <v>0.84</v>
      </c>
      <c r="Z79" s="291">
        <v>1.76</v>
      </c>
      <c r="AA79" s="291">
        <v>2</v>
      </c>
      <c r="AB79" s="291">
        <v>3.06</v>
      </c>
      <c r="AC79" s="291">
        <v>2.46</v>
      </c>
      <c r="AD79" s="291">
        <v>3.08</v>
      </c>
      <c r="AE79" s="291">
        <v>3.38</v>
      </c>
      <c r="AF79" s="291">
        <v>3.04</v>
      </c>
      <c r="AG79" s="291">
        <v>2.34</v>
      </c>
      <c r="AH79" s="291">
        <v>2.3199999999999998</v>
      </c>
      <c r="AI79" s="291">
        <v>2.1800000000000002</v>
      </c>
      <c r="AJ79" s="201">
        <v>2.2400000000000002</v>
      </c>
      <c r="AK79" s="201">
        <v>1.5</v>
      </c>
      <c r="AL79" s="201">
        <v>2.04</v>
      </c>
      <c r="AM79" s="201">
        <v>3.1</v>
      </c>
      <c r="AN79" s="201">
        <v>4.74</v>
      </c>
      <c r="AO79" s="201">
        <v>4.24</v>
      </c>
      <c r="AP79" s="201">
        <v>8.32</v>
      </c>
      <c r="AQ79" s="201">
        <v>10.7</v>
      </c>
      <c r="AR79" s="292">
        <v>5.74</v>
      </c>
      <c r="AS79" s="201">
        <v>15.42</v>
      </c>
      <c r="AT79" s="204"/>
      <c r="AU79" s="203">
        <f>842/D79</f>
        <v>16.84</v>
      </c>
      <c r="AV79" s="204">
        <f>SUM(AJ79:AU79)</f>
        <v>74.88</v>
      </c>
      <c r="AW79" s="205">
        <f>AV79/12</f>
        <v>6.2399999999999993</v>
      </c>
      <c r="AX79" s="203">
        <v>1105</v>
      </c>
      <c r="AY79" s="203">
        <v>1682</v>
      </c>
      <c r="AZ79" s="203">
        <v>2156</v>
      </c>
      <c r="BA79" s="203">
        <v>2205</v>
      </c>
      <c r="BB79" s="203">
        <v>2266</v>
      </c>
      <c r="BC79" s="203">
        <f>SUMIFS(領用表!$L:$L,領用表!$A:$A,BC$2,領用表!$E:$E,B79)</f>
        <v>2010</v>
      </c>
      <c r="BD79" s="206">
        <f>SUMIFS(領用表!$L:$L,領用表!$E:$E,$B79,領用表!$B:$B,BC$2&amp;BD$2)</f>
        <v>0</v>
      </c>
      <c r="BE79" s="206">
        <f>SUMIFS(領用表!$L:$L,領用表!$E:$E,$B79,領用表!$B:$B,$BC$2&amp;BE$2)</f>
        <v>2010</v>
      </c>
      <c r="BF79" s="206">
        <f>SUMIFS(領用表!$L:$L,領用表!$E:$E,$B79,領用表!$B:$B,$BC$2&amp;BF$2)</f>
        <v>0</v>
      </c>
      <c r="BG79" s="206">
        <f>SUMIFS(領用表!$L:$L,領用表!$E:$E,$B79,領用表!$B:$B,$BC$2&amp;BG$2)</f>
        <v>0</v>
      </c>
      <c r="BH79" s="203">
        <f>SUMIFS(領用表!$L:$L,領用表!$A:$A,BH$2,領用表!$E:$E,B79)</f>
        <v>2258</v>
      </c>
      <c r="BI79" s="260">
        <f>SUMIFS(領用表!$L:$L,領用表!$E:$E,$B79,領用表!$B:$B,BH$2&amp;BI$2)</f>
        <v>0</v>
      </c>
      <c r="BJ79" s="260">
        <f>SUMIFS(領用表!$L:$L,領用表!$E:$E,$B79,領用表!$B:$B,$BH$2&amp;BJ$2)</f>
        <v>1382</v>
      </c>
      <c r="BK79" s="260">
        <f>SUMIFS(領用表!$L:$L,領用表!$E:$E,$B79,領用表!$B:$B,$BH$2&amp;BK$2)</f>
        <v>0</v>
      </c>
      <c r="BL79" s="260">
        <f>SUMIFS(領用表!$L:$L,領用表!$E:$E,$B79,領用表!$B:$B,$BH$2&amp;BL$2)</f>
        <v>876</v>
      </c>
      <c r="BM79" s="203">
        <f>SUMIFS(領用表!$L:$L,領用表!$A:$A,BM$2,領用表!$E:$E,B79)</f>
        <v>2621</v>
      </c>
      <c r="BN79" s="206">
        <f>SUMIFS(領用表!$L:$L,領用表!$E:$E,$B79,領用表!$B:$B,BM$2&amp;BN$2)</f>
        <v>0</v>
      </c>
      <c r="BO79" s="206">
        <f>SUMIFS(領用表!$L:$L,領用表!$E:$E,$B79,領用表!$B:$B,$BM$2&amp;BO$2)</f>
        <v>1188</v>
      </c>
      <c r="BP79" s="206">
        <f>SUMIFS(領用表!$L:$L,領用表!$E:$E,$B79,領用表!$B:$B,$BM$2&amp;BP$2)</f>
        <v>0</v>
      </c>
      <c r="BQ79" s="206">
        <f>SUMIFS(領用表!$L:$L,領用表!$E:$E,$B79,領用表!$B:$B,$BM$2&amp;BQ$2)</f>
        <v>1433</v>
      </c>
      <c r="BR79" s="203">
        <f>SUMIFS(領用表!$L:$L,領用表!$A:$A,BR$2,領用表!$E:$E,B79)</f>
        <v>2907</v>
      </c>
      <c r="BS79" s="206">
        <f>SUMIFS(領用表!$L:$L,領用表!$E:$E,$B79,領用表!$B:$B,BR$2&amp;BS$2)</f>
        <v>0</v>
      </c>
      <c r="BT79" s="206">
        <f>SUMIFS(領用表!$L:$L,領用表!$E:$E,$B79,領用表!$B:$B,$BR$2&amp;BT$2)</f>
        <v>1349</v>
      </c>
      <c r="BU79" s="206">
        <f>SUMIFS(領用表!$L:$L,領用表!$E:$E,$B79,領用表!$B:$B,$BR$2&amp;BU$2)</f>
        <v>0</v>
      </c>
      <c r="BV79" s="206">
        <f>SUMIFS(領用表!$L:$L,領用表!$E:$E,$B79,領用表!$B:$B,$BR$2&amp;BV$2)</f>
        <v>1558</v>
      </c>
      <c r="BW79" s="208">
        <f>SUMIFS(領用表!$L:$L,領用表!$A:$A,BW$2,領用表!$E:$E,B79)</f>
        <v>3118</v>
      </c>
      <c r="BX79" s="206">
        <f>SUMIFS(領用表!$L:$L,領用表!$E:$E,$B79,領用表!$B:$B,BW$2&amp;BX$2)</f>
        <v>0</v>
      </c>
      <c r="BY79" s="206">
        <f>SUMIFS(領用表!$L:$L,領用表!$E:$E,$B79,領用表!$B:$B,$BW$2&amp;BY$2)</f>
        <v>1446</v>
      </c>
      <c r="BZ79" s="206">
        <f>SUMIFS(領用表!$L:$L,領用表!$E:$E,$B79,領用表!$B:$B,$BW$2&amp;BZ$2)</f>
        <v>0</v>
      </c>
      <c r="CA79" s="206">
        <f>SUMIFS(領用表!$L:$L,領用表!$E:$E,$B79,領用表!$B:$B,$BW$2&amp;CA$2)</f>
        <v>1672</v>
      </c>
      <c r="CB79" s="208">
        <f>SUMIFS(領用表!$L:$L,領用表!$A:$A,CB$2,領用表!$E:$E,B79)</f>
        <v>3369</v>
      </c>
      <c r="CC79" s="206">
        <f>SUMIFS(領用表!$L:$L,領用表!$E:$E,$B79,領用表!$B:$B,CB$2&amp;CC$2)</f>
        <v>0</v>
      </c>
      <c r="CD79" s="206">
        <f>SUMIFS(領用表!$L:$L,領用表!$E:$E,$B79,領用表!$B:$B,$CB$2&amp;CD$2)</f>
        <v>1475</v>
      </c>
      <c r="CE79" s="206">
        <f>SUMIFS(領用表!$L:$L,領用表!$E:$E,$B79,領用表!$B:$B,$CB$2&amp;CE$2)</f>
        <v>0</v>
      </c>
      <c r="CF79" s="206">
        <f>SUMIFS(領用表!$L:$L,領用表!$E:$E,$B79,領用表!$B:$B,$CB$2&amp;CF$2)</f>
        <v>1894</v>
      </c>
      <c r="CG79" s="208">
        <f>SUMIFS(領用表!$L:$L,領用表!$A:$A,CG$2,領用表!$E:$E,B79)</f>
        <v>3401</v>
      </c>
      <c r="CH79" s="206">
        <f>SUMIFS(領用表!$L:$L,領用表!$E:$E,$B79,領用表!$B:$B,CG$2&amp;CH$2)</f>
        <v>0</v>
      </c>
      <c r="CI79" s="206">
        <f>SUMIFS(領用表!$L:$L,領用表!$E:$E,$B79,領用表!$B:$B,CG$2&amp;CI$2)</f>
        <v>1390</v>
      </c>
      <c r="CJ79" s="206">
        <f>SUMIFS(領用表!$L:$L,領用表!$E:$E,$B79,領用表!$B:$B,CG$2&amp;CJ$2)</f>
        <v>0</v>
      </c>
      <c r="CK79" s="206">
        <f>SUMIFS(領用表!$L:$L,領用表!$E:$E,$B79,領用表!$B:$B,$CG$2&amp;CK$2)</f>
        <v>2011</v>
      </c>
      <c r="CL79" s="207">
        <f>SUM(AX79,AY79,AZ79,BA79,BB79,BC79,BH79,BM79,BR79,BW79,CB79,CG79)</f>
        <v>29098</v>
      </c>
      <c r="CM79" s="207">
        <f>AVERAGE(AX79,AY79,AZ79,BA79,BB79,BC79,BH79,BM79,BR79,BW79,CB79,CG79)</f>
        <v>2424.8333333333335</v>
      </c>
      <c r="CN79" s="208">
        <f>SUMIFS(領用表!$L:$L,領用表!$A:$A,CN$2,領用表!$E:$E,B79)</f>
        <v>3951</v>
      </c>
      <c r="CO79" s="206">
        <f>SUMIFS(領用表!$L:$L,領用表!$E:$E,$B79,領用表!$B:$B,CN$2&amp;CO$2)</f>
        <v>0</v>
      </c>
      <c r="CP79" s="206">
        <f>SUMIFS(領用表!$L:$L,領用表!$E:$E,$B79,領用表!$B:$B,$CN$2&amp;CP$2)</f>
        <v>1623</v>
      </c>
      <c r="CQ79" s="206">
        <f>SUMIFS(領用表!$L:$L,領用表!$E:$E,$B79,領用表!$B:$B,$CN$2&amp;CQ$2)</f>
        <v>0</v>
      </c>
      <c r="CR79" s="206">
        <f>SUMIFS(領用表!$L:$L,領用表!$E:$E,$B79,領用表!$B:$B,$CN$2&amp;CR$2)</f>
        <v>2328</v>
      </c>
      <c r="CS79" s="208">
        <f>SUMIFS(領用表!$L:$L,領用表!$A:$A,CS$2,領用表!$E:$E,B79)</f>
        <v>3935</v>
      </c>
      <c r="CT79" s="206">
        <f>SUMIFS(領用表!$L:$L,領用表!$E:$E,$B79,領用表!$B:$B,CS$2&amp;CT$2)</f>
        <v>0</v>
      </c>
      <c r="CU79" s="206">
        <f>SUMIFS(領用表!$L:$L,領用表!$E:$E,$B79,領用表!$B:$B,$CS$2&amp;CU$2)</f>
        <v>1583</v>
      </c>
      <c r="CV79" s="206">
        <f>SUMIFS(領用表!$L:$L,領用表!$E:$E,$B79,領用表!$B:$B,$CS$2&amp;CV$2)</f>
        <v>0</v>
      </c>
      <c r="CW79" s="206">
        <f>SUMIFS(領用表!$L:$L,領用表!$E:$E,$B79,領用表!$B:$B,$CS$2&amp;CW$2)</f>
        <v>2352</v>
      </c>
      <c r="CX79" s="206">
        <f>SUMIFS(領用表!$L:$L,領用表!$E:$E,$B79,領用表!$B:$B,$CS$2&amp;CX$2)</f>
        <v>0</v>
      </c>
      <c r="CY79" s="208">
        <f>SUMIFS(領用表!$L:$L,領用表!$A:$A,CY$2,領用表!$E:$E,B79)</f>
        <v>6352</v>
      </c>
      <c r="CZ79" s="206">
        <f>SUMIFS(領用表!$L:$L,領用表!$E:$E,$B79,領用表!$B:$B,CY$2&amp;CZ$2)</f>
        <v>0</v>
      </c>
      <c r="DA79" s="206">
        <f>SUMIFS(領用表!$L:$L,領用表!$E:$E,$B79,領用表!$B:$B,$CY$2&amp;DA$2)</f>
        <v>2600</v>
      </c>
      <c r="DB79" s="206">
        <f>SUMIFS(領用表!$L:$L,領用表!$E:$E,$B79,領用表!$B:$B,$CY$2&amp;DB$2)</f>
        <v>0</v>
      </c>
      <c r="DC79" s="206">
        <f>SUMIFS(領用表!$L:$L,領用表!$E:$E,$B79,領用表!$B:$B,$CY$2&amp;DC$2)</f>
        <v>3752</v>
      </c>
      <c r="DD79" s="206">
        <f>SUMIFS(領用表!$L:$L,領用表!$E:$E,$B79,領用表!$B:$B,$CY$2&amp;DD$2)</f>
        <v>0</v>
      </c>
      <c r="DE79" s="208">
        <f>SUMIFS(領用表!$L:$L,領用表!$A:$A,DE$2,領用表!$E:$E,B79)</f>
        <v>7359</v>
      </c>
      <c r="DF79" s="206">
        <f>SUMIFS(領用表!$L:$L,領用表!$E:$E,$B79,領用表!$B:$B,DE$2&amp;DF$2)</f>
        <v>0</v>
      </c>
      <c r="DG79" s="206">
        <f>SUMIFS(領用表!$L:$L,領用表!$E:$E,$B79,領用表!$B:$B,$DE$2&amp;DG$2)</f>
        <v>2976</v>
      </c>
      <c r="DH79" s="206">
        <f>SUMIFS(領用表!$L:$L,領用表!$E:$E,$B79,領用表!$B:$B,$DE$2&amp;DH$2)</f>
        <v>0</v>
      </c>
      <c r="DI79" s="206">
        <f>SUMIFS(領用表!$L:$L,領用表!$E:$E,$B79,領用表!$B:$B,$DE$2&amp;DI$2)</f>
        <v>4383</v>
      </c>
      <c r="DJ79" s="206">
        <f>SUMIFS(領用表!$L:$L,領用表!$E:$E,$B79,領用表!$B:$B,$DE$2&amp;DJ$2)</f>
        <v>0</v>
      </c>
      <c r="DK79" s="208">
        <f>SUMIFS(領用表!$L:$L,領用表!$A:$A,DK$2,領用表!$E:$E,$B79)</f>
        <v>8227</v>
      </c>
      <c r="DL79" s="206">
        <f>SUMIFS(領用表!$L:$L,領用表!$E:$E,$B79,領用表!$B:$B,DK$2&amp;DL$2)</f>
        <v>0</v>
      </c>
      <c r="DM79" s="206">
        <f>SUMIFS(領用表!$L:$L,領用表!$E:$E,$B79,領用表!$B:$B,$DK$2&amp;DM$2)</f>
        <v>3043</v>
      </c>
      <c r="DN79" s="206">
        <f>SUMIFS(領用表!$L:$L,領用表!$E:$E,$B79,領用表!$B:$B,$DK$2&amp;DN$2)</f>
        <v>0</v>
      </c>
      <c r="DO79" s="206">
        <f>SUMIFS(領用表!$L:$L,領用表!$E:$E,$B79,領用表!$B:$B,$DK$2&amp;DO$2)</f>
        <v>5184</v>
      </c>
      <c r="DP79" s="206">
        <f>SUMIFS(領用表!$L:$L,領用表!$E:$E,$B79,領用表!$B:$B,$DK$2&amp;DP$2)</f>
        <v>0</v>
      </c>
      <c r="DQ79" s="206">
        <f t="shared" ref="DQ79:DQ112" si="28">SUM(CN79,CS79,CY79,DE79,DK79)</f>
        <v>29824</v>
      </c>
      <c r="DR79" s="206">
        <f t="shared" ref="DR79:DR112" si="29">AVERAGEA(CN79,CS79,CY79,DE79,DK79)</f>
        <v>5964.8</v>
      </c>
      <c r="DS79" s="206">
        <f t="shared" si="27"/>
        <v>4680</v>
      </c>
      <c r="DT79" s="206">
        <v>0</v>
      </c>
      <c r="DU79" s="206">
        <v>1920</v>
      </c>
      <c r="DV79" s="206">
        <v>0</v>
      </c>
      <c r="DW79" s="206">
        <v>2760</v>
      </c>
      <c r="DX79" s="215">
        <v>1500</v>
      </c>
      <c r="DY79" s="210" t="s">
        <v>821</v>
      </c>
      <c r="DZ79" s="262" t="s">
        <v>845</v>
      </c>
      <c r="EA79" s="262" t="s">
        <v>846</v>
      </c>
      <c r="EB79" s="136"/>
      <c r="EC79" s="212"/>
      <c r="ED79" s="118">
        <f>IFERROR(VLOOKUP(A79,站前4樓!A:BF,57,0),0)</f>
        <v>0</v>
      </c>
      <c r="EE79" s="213">
        <f>IFERROR(VLOOKUP(A79,站前11樓!A:BE,57,0),0)</f>
        <v>1475</v>
      </c>
      <c r="EF79" s="118">
        <f>IFERROR(VLOOKUP(A79,忠孝7樓!A:N,57,0),0)</f>
        <v>0</v>
      </c>
      <c r="EG79" s="118">
        <f>IFERROR(VLOOKUP(A79,忠孝國際醫學3樓!A:L,57,0),0)</f>
        <v>0</v>
      </c>
      <c r="EH79" s="118">
        <f>SUM(ED79:EG79)</f>
        <v>1475</v>
      </c>
      <c r="EJ79" s="118">
        <v>1047</v>
      </c>
      <c r="EK79" s="118">
        <v>1832</v>
      </c>
    </row>
    <row r="80" spans="1:141" s="118" customFormat="1" ht="15.75" customHeight="1">
      <c r="A80" s="136" t="s">
        <v>106</v>
      </c>
      <c r="B80" s="118">
        <v>6190005</v>
      </c>
      <c r="C80" s="118" t="s">
        <v>619</v>
      </c>
      <c r="D80" s="197">
        <v>50</v>
      </c>
      <c r="E80" s="198" t="s">
        <v>63</v>
      </c>
      <c r="F80" s="199">
        <f>SUMIF(站前4樓!B:B,B80,站前4樓!F:F)</f>
        <v>0</v>
      </c>
      <c r="G80" s="199">
        <f>SUMIF(站前11樓!B:B,B80,站前11樓!F:F)</f>
        <v>102</v>
      </c>
      <c r="H80" s="199">
        <f>SUMIF(忠孝7樓!B:B,B80,忠孝7樓!G:G)</f>
        <v>0</v>
      </c>
      <c r="I80" s="199">
        <f>SUMIF(忠孝國際醫學3樓!B:B,B80,忠孝國際醫學3樓!G:G)</f>
        <v>0</v>
      </c>
      <c r="J80" s="199">
        <f>SUMIF(忠孝健康7樓!B:B,B80,忠孝健康7樓!G:G)</f>
        <v>0</v>
      </c>
      <c r="K80" s="291">
        <v>0</v>
      </c>
      <c r="L80" s="291">
        <v>0</v>
      </c>
      <c r="M80" s="291">
        <v>0</v>
      </c>
      <c r="N80" s="291">
        <v>0.02</v>
      </c>
      <c r="O80" s="291">
        <v>0</v>
      </c>
      <c r="P80" s="291">
        <v>0</v>
      </c>
      <c r="Q80" s="291">
        <v>0</v>
      </c>
      <c r="R80" s="291">
        <v>0</v>
      </c>
      <c r="S80" s="291">
        <v>0</v>
      </c>
      <c r="T80" s="291">
        <v>0</v>
      </c>
      <c r="U80" s="291">
        <v>0</v>
      </c>
      <c r="V80" s="291">
        <v>0</v>
      </c>
      <c r="W80" s="291">
        <v>0</v>
      </c>
      <c r="X80" s="291">
        <v>0</v>
      </c>
      <c r="Y80" s="291">
        <v>0</v>
      </c>
      <c r="Z80" s="291">
        <v>0</v>
      </c>
      <c r="AA80" s="291">
        <v>0</v>
      </c>
      <c r="AB80" s="291">
        <v>0</v>
      </c>
      <c r="AC80" s="291">
        <v>0</v>
      </c>
      <c r="AD80" s="291">
        <v>0</v>
      </c>
      <c r="AE80" s="291">
        <v>0.42</v>
      </c>
      <c r="AF80" s="291">
        <v>0.36</v>
      </c>
      <c r="AG80" s="291">
        <v>0.62</v>
      </c>
      <c r="AH80" s="291">
        <v>0.32</v>
      </c>
      <c r="AI80" s="291">
        <v>0.22</v>
      </c>
      <c r="AJ80" s="201">
        <v>0.14000000000000001</v>
      </c>
      <c r="AK80" s="201">
        <v>0.14000000000000001</v>
      </c>
      <c r="AL80" s="201">
        <v>0.02</v>
      </c>
      <c r="AM80" s="201">
        <v>0.76</v>
      </c>
      <c r="AN80" s="201">
        <v>0.46</v>
      </c>
      <c r="AO80" s="201">
        <v>0.12</v>
      </c>
      <c r="AP80" s="201">
        <v>0.08</v>
      </c>
      <c r="AQ80" s="201">
        <v>1.34</v>
      </c>
      <c r="AR80" s="201">
        <v>1.62</v>
      </c>
      <c r="AS80" s="201">
        <v>1.34</v>
      </c>
      <c r="AT80" s="201">
        <v>2.6</v>
      </c>
      <c r="AU80" s="203">
        <f>173/D80</f>
        <v>3.46</v>
      </c>
      <c r="AV80" s="204">
        <f>SUM(AJ80:AU80)</f>
        <v>12.080000000000002</v>
      </c>
      <c r="AW80" s="205">
        <f>AV80/12</f>
        <v>1.0066666666666668</v>
      </c>
      <c r="AX80" s="203">
        <v>85</v>
      </c>
      <c r="AY80" s="203">
        <v>54</v>
      </c>
      <c r="AZ80" s="203">
        <v>31</v>
      </c>
      <c r="BA80" s="214">
        <v>80</v>
      </c>
      <c r="BB80" s="203">
        <v>62</v>
      </c>
      <c r="BC80" s="203">
        <f>SUMIFS(領用表!$L:$L,領用表!$A:$A,BC$2,領用表!$E:$E,B80)</f>
        <v>64</v>
      </c>
      <c r="BD80" s="206">
        <f>SUMIFS(領用表!$L:$L,領用表!$E:$E,$B80,領用表!$B:$B,BC$2&amp;BD$2)</f>
        <v>0</v>
      </c>
      <c r="BE80" s="206">
        <f>SUMIFS(領用表!$L:$L,領用表!$E:$E,$B80,領用表!$B:$B,$BC$2&amp;BE$2)</f>
        <v>64</v>
      </c>
      <c r="BF80" s="206">
        <f>SUMIFS(領用表!$L:$L,領用表!$E:$E,$B80,領用表!$B:$B,$BC$2&amp;BF$2)</f>
        <v>0</v>
      </c>
      <c r="BG80" s="206">
        <f>SUMIFS(領用表!$L:$L,領用表!$E:$E,$B80,領用表!$B:$B,$BC$2&amp;BG$2)</f>
        <v>0</v>
      </c>
      <c r="BH80" s="203">
        <f>SUMIFS(領用表!$L:$L,領用表!$A:$A,BH$2,領用表!$E:$E,B80)</f>
        <v>48</v>
      </c>
      <c r="BI80" s="260">
        <f>SUMIFS(領用表!$L:$L,領用表!$E:$E,$B80,領用表!$B:$B,BH$2&amp;BI$2)</f>
        <v>0</v>
      </c>
      <c r="BJ80" s="260">
        <f>SUMIFS(領用表!$L:$L,領用表!$E:$E,$B80,領用表!$B:$B,$BH$2&amp;BJ$2)</f>
        <v>48</v>
      </c>
      <c r="BK80" s="260">
        <f>SUMIFS(領用表!$L:$L,領用表!$E:$E,$B80,領用表!$B:$B,$BH$2&amp;BK$2)</f>
        <v>0</v>
      </c>
      <c r="BL80" s="260">
        <f>SUMIFS(領用表!$L:$L,領用表!$E:$E,$B80,領用表!$B:$B,$BH$2&amp;BL$2)</f>
        <v>0</v>
      </c>
      <c r="BM80" s="203">
        <f>SUMIFS(領用表!$L:$L,領用表!$A:$A,BM$2,領用表!$E:$E,B80)</f>
        <v>63</v>
      </c>
      <c r="BN80" s="206">
        <f>SUMIFS(領用表!$L:$L,領用表!$E:$E,$B80,領用表!$B:$B,BM$2&amp;BN$2)</f>
        <v>0</v>
      </c>
      <c r="BO80" s="206">
        <f>SUMIFS(領用表!$L:$L,領用表!$E:$E,$B80,領用表!$B:$B,$BM$2&amp;BO$2)</f>
        <v>63</v>
      </c>
      <c r="BP80" s="206">
        <f>SUMIFS(領用表!$L:$L,領用表!$E:$E,$B80,領用表!$B:$B,$BM$2&amp;BP$2)</f>
        <v>0</v>
      </c>
      <c r="BQ80" s="206">
        <f>SUMIFS(領用表!$L:$L,領用表!$E:$E,$B80,領用表!$B:$B,$BM$2&amp;BQ$2)</f>
        <v>0</v>
      </c>
      <c r="BR80" s="203">
        <f>SUMIFS(領用表!$L:$L,領用表!$A:$A,BR$2,領用表!$E:$E,B80)</f>
        <v>65</v>
      </c>
      <c r="BS80" s="206">
        <f>SUMIFS(領用表!$L:$L,領用表!$E:$E,$B80,領用表!$B:$B,BR$2&amp;BS$2)</f>
        <v>0</v>
      </c>
      <c r="BT80" s="206">
        <f>SUMIFS(領用表!$L:$L,領用表!$E:$E,$B80,領用表!$B:$B,$BR$2&amp;BT$2)</f>
        <v>65</v>
      </c>
      <c r="BU80" s="206">
        <f>SUMIFS(領用表!$L:$L,領用表!$E:$E,$B80,領用表!$B:$B,$BR$2&amp;BU$2)</f>
        <v>0</v>
      </c>
      <c r="BV80" s="206">
        <f>SUMIFS(領用表!$L:$L,領用表!$E:$E,$B80,領用表!$B:$B,$BR$2&amp;BV$2)</f>
        <v>0</v>
      </c>
      <c r="BW80" s="208">
        <f>SUMIFS(領用表!$L:$L,領用表!$A:$A,BW$2,領用表!$E:$E,B80)</f>
        <v>42</v>
      </c>
      <c r="BX80" s="206">
        <f>SUMIFS(領用表!$L:$L,領用表!$E:$E,$B80,領用表!$B:$B,BW$2&amp;BX$2)</f>
        <v>0</v>
      </c>
      <c r="BY80" s="206">
        <f>SUMIFS(領用表!$L:$L,領用表!$E:$E,$B80,領用表!$B:$B,$BW$2&amp;BY$2)</f>
        <v>42</v>
      </c>
      <c r="BZ80" s="206">
        <f>SUMIFS(領用表!$L:$L,領用表!$E:$E,$B80,領用表!$B:$B,$BW$2&amp;BZ$2)</f>
        <v>0</v>
      </c>
      <c r="CA80" s="206">
        <f>SUMIFS(領用表!$L:$L,領用表!$E:$E,$B80,領用表!$B:$B,$BW$2&amp;CA$2)</f>
        <v>0</v>
      </c>
      <c r="CB80" s="208">
        <f>SUMIFS(領用表!$L:$L,領用表!$A:$A,CB$2,領用表!$E:$E,B80)</f>
        <v>43</v>
      </c>
      <c r="CC80" s="206">
        <f>SUMIFS(領用表!$L:$L,領用表!$E:$E,$B80,領用表!$B:$B,CB$2&amp;CC$2)</f>
        <v>0</v>
      </c>
      <c r="CD80" s="206">
        <f>SUMIFS(領用表!$L:$L,領用表!$E:$E,$B80,領用表!$B:$B,$CB$2&amp;CD$2)</f>
        <v>43</v>
      </c>
      <c r="CE80" s="206">
        <f>SUMIFS(領用表!$L:$L,領用表!$E:$E,$B80,領用表!$B:$B,$CB$2&amp;CE$2)</f>
        <v>0</v>
      </c>
      <c r="CF80" s="206">
        <f>SUMIFS(領用表!$L:$L,領用表!$E:$E,$B80,領用表!$B:$B,$CB$2&amp;CF$2)</f>
        <v>0</v>
      </c>
      <c r="CG80" s="208">
        <f>SUMIFS(領用表!$L:$L,領用表!$A:$A,CG$2,領用表!$E:$E,B80)</f>
        <v>20</v>
      </c>
      <c r="CH80" s="206">
        <f>SUMIFS(領用表!$L:$L,領用表!$E:$E,$B80,領用表!$B:$B,CG$2&amp;CH$2)</f>
        <v>0</v>
      </c>
      <c r="CI80" s="206">
        <f>SUMIFS(領用表!$L:$L,領用表!$E:$E,$B80,領用表!$B:$B,CG$2&amp;CI$2)</f>
        <v>20</v>
      </c>
      <c r="CJ80" s="206">
        <f>SUMIFS(領用表!$L:$L,領用表!$E:$E,$B80,領用表!$B:$B,CG$2&amp;CJ$2)</f>
        <v>0</v>
      </c>
      <c r="CK80" s="206">
        <f>SUMIFS(領用表!$L:$L,領用表!$E:$E,$B80,領用表!$B:$B,$CG$2&amp;CK$2)</f>
        <v>0</v>
      </c>
      <c r="CL80" s="207">
        <f>SUM(AX80,AY80,AZ80,BA80,BB80,BC80,BH80,BM80,BR80,BW80,CB80,CG80)</f>
        <v>657</v>
      </c>
      <c r="CM80" s="207">
        <f>AVERAGE(AX80,AY80,AZ80,BA80,BB80,BC80,BH80,BM80,BR80,BW80,CB80,CG80)</f>
        <v>54.75</v>
      </c>
      <c r="CN80" s="208">
        <f>SUMIFS(領用表!$L:$L,領用表!$A:$A,CN$2,領用表!$E:$E,B80)</f>
        <v>39</v>
      </c>
      <c r="CO80" s="206">
        <f>SUMIFS(領用表!$L:$L,領用表!$E:$E,$B80,領用表!$B:$B,CN$2&amp;CO$2)</f>
        <v>0</v>
      </c>
      <c r="CP80" s="206">
        <f>SUMIFS(領用表!$L:$L,領用表!$E:$E,$B80,領用表!$B:$B,$CN$2&amp;CP$2)</f>
        <v>39</v>
      </c>
      <c r="CQ80" s="206">
        <f>SUMIFS(領用表!$L:$L,領用表!$E:$E,$B80,領用表!$B:$B,$CN$2&amp;CQ$2)</f>
        <v>0</v>
      </c>
      <c r="CR80" s="206">
        <f>SUMIFS(領用表!$L:$L,領用表!$E:$E,$B80,領用表!$B:$B,$CN$2&amp;CR$2)</f>
        <v>0</v>
      </c>
      <c r="CS80" s="208">
        <f>SUMIFS(領用表!$L:$L,領用表!$A:$A,CS$2,領用表!$E:$E,B80)</f>
        <v>19</v>
      </c>
      <c r="CT80" s="206">
        <f>SUMIFS(領用表!$L:$L,領用表!$E:$E,$B80,領用表!$B:$B,CS$2&amp;CT$2)</f>
        <v>0</v>
      </c>
      <c r="CU80" s="206">
        <f>SUMIFS(領用表!$L:$L,領用表!$E:$E,$B80,領用表!$B:$B,$CS$2&amp;CU$2)</f>
        <v>19</v>
      </c>
      <c r="CV80" s="206">
        <f>SUMIFS(領用表!$L:$L,領用表!$E:$E,$B80,領用表!$B:$B,$CS$2&amp;CV$2)</f>
        <v>0</v>
      </c>
      <c r="CW80" s="206">
        <f>SUMIFS(領用表!$L:$L,領用表!$E:$E,$B80,領用表!$B:$B,$CS$2&amp;CW$2)</f>
        <v>0</v>
      </c>
      <c r="CX80" s="206">
        <f>SUMIFS(領用表!$L:$L,領用表!$E:$E,$B80,領用表!$B:$B,$CS$2&amp;CX$2)</f>
        <v>0</v>
      </c>
      <c r="CY80" s="208">
        <f>SUMIFS(領用表!$L:$L,領用表!$A:$A,CY$2,領用表!$E:$E,B80)</f>
        <v>43</v>
      </c>
      <c r="CZ80" s="206">
        <f>SUMIFS(領用表!$L:$L,領用表!$E:$E,$B80,領用表!$B:$B,CY$2&amp;CZ$2)</f>
        <v>0</v>
      </c>
      <c r="DA80" s="206">
        <f>SUMIFS(領用表!$L:$L,領用表!$E:$E,$B80,領用表!$B:$B,$CY$2&amp;DA$2)</f>
        <v>43</v>
      </c>
      <c r="DB80" s="206">
        <f>SUMIFS(領用表!$L:$L,領用表!$E:$E,$B80,領用表!$B:$B,$CY$2&amp;DB$2)</f>
        <v>0</v>
      </c>
      <c r="DC80" s="206">
        <f>SUMIFS(領用表!$L:$L,領用表!$E:$E,$B80,領用表!$B:$B,$CY$2&amp;DC$2)</f>
        <v>0</v>
      </c>
      <c r="DD80" s="206">
        <f>SUMIFS(領用表!$L:$L,領用表!$E:$E,$B80,領用表!$B:$B,$CY$2&amp;DD$2)</f>
        <v>0</v>
      </c>
      <c r="DE80" s="208">
        <f>SUMIFS(領用表!$L:$L,領用表!$A:$A,DE$2,領用表!$E:$E,B80)</f>
        <v>55</v>
      </c>
      <c r="DF80" s="206">
        <f>SUMIFS(領用表!$L:$L,領用表!$E:$E,$B80,領用表!$B:$B,DE$2&amp;DF$2)</f>
        <v>0</v>
      </c>
      <c r="DG80" s="206">
        <f>SUMIFS(領用表!$L:$L,領用表!$E:$E,$B80,領用表!$B:$B,$DE$2&amp;DG$2)</f>
        <v>55</v>
      </c>
      <c r="DH80" s="206">
        <f>SUMIFS(領用表!$L:$L,領用表!$E:$E,$B80,領用表!$B:$B,$DE$2&amp;DH$2)</f>
        <v>0</v>
      </c>
      <c r="DI80" s="206">
        <f>SUMIFS(領用表!$L:$L,領用表!$E:$E,$B80,領用表!$B:$B,$DE$2&amp;DI$2)</f>
        <v>0</v>
      </c>
      <c r="DJ80" s="206">
        <f>SUMIFS(領用表!$L:$L,領用表!$E:$E,$B80,領用表!$B:$B,$DE$2&amp;DJ$2)</f>
        <v>0</v>
      </c>
      <c r="DK80" s="208">
        <f>SUMIFS(領用表!$L:$L,領用表!$A:$A,DK$2,領用表!$E:$E,$B80)</f>
        <v>69</v>
      </c>
      <c r="DL80" s="206">
        <f>SUMIFS(領用表!$L:$L,領用表!$E:$E,$B80,領用表!$B:$B,DK$2&amp;DL$2)</f>
        <v>0</v>
      </c>
      <c r="DM80" s="206">
        <f>SUMIFS(領用表!$L:$L,領用表!$E:$E,$B80,領用表!$B:$B,$DK$2&amp;DM$2)</f>
        <v>69</v>
      </c>
      <c r="DN80" s="206">
        <f>SUMIFS(領用表!$L:$L,領用表!$E:$E,$B80,領用表!$B:$B,$DK$2&amp;DN$2)</f>
        <v>0</v>
      </c>
      <c r="DO80" s="206">
        <f>SUMIFS(領用表!$L:$L,領用表!$E:$E,$B80,領用表!$B:$B,$DK$2&amp;DO$2)</f>
        <v>0</v>
      </c>
      <c r="DP80" s="206">
        <f>SUMIFS(領用表!$L:$L,領用表!$E:$E,$B80,領用表!$B:$B,$DK$2&amp;DP$2)</f>
        <v>0</v>
      </c>
      <c r="DQ80" s="206">
        <f t="shared" si="28"/>
        <v>225</v>
      </c>
      <c r="DR80" s="206">
        <f t="shared" si="29"/>
        <v>45</v>
      </c>
      <c r="DS80" s="206">
        <f t="shared" si="27"/>
        <v>50</v>
      </c>
      <c r="DT80" s="206">
        <v>0</v>
      </c>
      <c r="DU80" s="206">
        <v>50</v>
      </c>
      <c r="DV80" s="206">
        <v>0</v>
      </c>
      <c r="DW80" s="206">
        <v>0</v>
      </c>
      <c r="DX80" s="215">
        <v>100</v>
      </c>
      <c r="DY80" s="210"/>
      <c r="DZ80" s="211"/>
      <c r="EA80" s="211"/>
      <c r="EB80" s="136"/>
      <c r="EC80" s="212"/>
      <c r="ED80" s="118">
        <f>IFERROR(VLOOKUP(A80,站前4樓!A:BF,57,0),0)</f>
        <v>0</v>
      </c>
      <c r="EE80" s="213">
        <f>IFERROR(VLOOKUP(A80,站前11樓!A:BE,57,0),0)</f>
        <v>43</v>
      </c>
      <c r="EF80" s="118">
        <f>IFERROR(VLOOKUP(A80,忠孝7樓!A:N,57,0),0)</f>
        <v>0</v>
      </c>
      <c r="EG80" s="118">
        <f>IFERROR(VLOOKUP(A80,忠孝國際醫學3樓!A:L,57,0),0)</f>
        <v>0</v>
      </c>
      <c r="EH80" s="118">
        <f>SUM(ED80:EG80)</f>
        <v>43</v>
      </c>
      <c r="EJ80" s="118">
        <v>81</v>
      </c>
      <c r="EK80" s="118">
        <v>0</v>
      </c>
    </row>
    <row r="81" spans="1:141" s="118" customFormat="1" ht="15.75" customHeight="1" thickBot="1">
      <c r="A81" s="136"/>
      <c r="C81" s="118" t="s">
        <v>822</v>
      </c>
      <c r="D81" s="285">
        <v>3</v>
      </c>
      <c r="E81" s="198" t="s">
        <v>823</v>
      </c>
      <c r="F81" s="225">
        <f>SUMIF(站前4樓!B:B,B81,站前4樓!F:F)</f>
        <v>0</v>
      </c>
      <c r="G81" s="225">
        <f>SUMIF(站前11樓!B:B,B81,站前11樓!F:F)</f>
        <v>0</v>
      </c>
      <c r="H81" s="225">
        <f>SUMIF(忠孝7樓!B:B,B81,忠孝7樓!G:G)</f>
        <v>0</v>
      </c>
      <c r="I81" s="225">
        <f>SUMIF(忠孝國際醫學3樓!B:B,B81,忠孝國際醫學3樓!G:G)</f>
        <v>0</v>
      </c>
      <c r="J81" s="225">
        <f>SUMIF(忠孝健康7樓!B:B,B81,忠孝健康7樓!G:G)</f>
        <v>0</v>
      </c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83"/>
      <c r="AB81" s="283"/>
      <c r="AC81" s="283"/>
      <c r="AD81" s="283"/>
      <c r="AE81" s="283"/>
      <c r="AF81" s="283"/>
      <c r="AG81" s="283"/>
      <c r="AH81" s="283"/>
      <c r="AI81" s="283"/>
      <c r="AJ81" s="201"/>
      <c r="AK81" s="201"/>
      <c r="AL81" s="201"/>
      <c r="AM81" s="201"/>
      <c r="AN81" s="201"/>
      <c r="AO81" s="201"/>
      <c r="AP81" s="201">
        <v>159</v>
      </c>
      <c r="AQ81" s="201">
        <v>291</v>
      </c>
      <c r="AR81" s="201">
        <v>533</v>
      </c>
      <c r="AS81" s="201">
        <v>138.33000000000001</v>
      </c>
      <c r="AT81" s="201">
        <v>95.67</v>
      </c>
      <c r="AU81" s="201">
        <f>3*167.33</f>
        <v>501.99</v>
      </c>
      <c r="AV81" s="283">
        <f t="shared" si="26"/>
        <v>1718.99</v>
      </c>
      <c r="AW81" s="286">
        <f t="shared" si="24"/>
        <v>143.24916666666667</v>
      </c>
      <c r="AX81" s="201">
        <f>3*148.97</f>
        <v>446.90999999999997</v>
      </c>
      <c r="AY81" s="201">
        <f>3*82.7</f>
        <v>248.10000000000002</v>
      </c>
      <c r="AZ81" s="201">
        <v>312</v>
      </c>
      <c r="BA81" s="201">
        <v>359</v>
      </c>
      <c r="BB81" s="201">
        <v>268</v>
      </c>
      <c r="BC81" s="203">
        <f>SUMIFS(領用表!$L:$L,領用表!$A:$A,BC$2,領用表!$E:$E,B81)</f>
        <v>0</v>
      </c>
      <c r="BD81" s="287">
        <f>SUMIFS(領用表!$L:$L,領用表!$E:$E,$B81,領用表!$B:$B,BC$2&amp;BD$2)</f>
        <v>0</v>
      </c>
      <c r="BE81" s="287">
        <f>SUMIFS(領用表!$L:$L,領用表!$E:$E,$B81,領用表!$B:$B,$BC$2&amp;BE$2)</f>
        <v>0</v>
      </c>
      <c r="BF81" s="287">
        <f>SUMIFS(領用表!$L:$L,領用表!$E:$E,$B81,領用表!$B:$B,$BC$2&amp;BF$2)</f>
        <v>0</v>
      </c>
      <c r="BG81" s="206">
        <f>SUMIFS(領用表!$L:$L,領用表!$E:$E,$B81,領用表!$B:$B,$BC$2&amp;BG$2)</f>
        <v>0</v>
      </c>
      <c r="BH81" s="203">
        <f>SUMIFS(領用表!$L:$L,領用表!$A:$A,BH$2,領用表!$E:$E,B81)</f>
        <v>0</v>
      </c>
      <c r="BI81" s="260">
        <f>SUMIFS(領用表!$L:$L,領用表!$E:$E,$B81,領用表!$B:$B,BH$2&amp;BI$2)</f>
        <v>0</v>
      </c>
      <c r="BJ81" s="260">
        <f>SUMIFS(領用表!$L:$L,領用表!$E:$E,$B81,領用表!$B:$B,$BH$2&amp;BJ$2)</f>
        <v>0</v>
      </c>
      <c r="BK81" s="260">
        <f>SUMIFS(領用表!$L:$L,領用表!$E:$E,$B81,領用表!$B:$B,$BH$2&amp;BK$2)</f>
        <v>0</v>
      </c>
      <c r="BL81" s="260">
        <f>SUMIFS(領用表!$L:$L,領用表!$E:$E,$B81,領用表!$B:$B,$BH$2&amp;BL$2)</f>
        <v>0</v>
      </c>
      <c r="BM81" s="203">
        <f>SUMIFS(領用表!$L:$L,領用表!$A:$A,BM$2,領用表!$E:$E,B81)</f>
        <v>0</v>
      </c>
      <c r="BN81" s="206">
        <f>SUMIFS(領用表!$L:$L,領用表!$E:$E,$B81,領用表!$B:$B,BM$2&amp;BN$2)</f>
        <v>0</v>
      </c>
      <c r="BO81" s="206">
        <f>SUMIFS(領用表!$L:$L,領用表!$E:$E,$B81,領用表!$B:$B,$BM$2&amp;BO$2)</f>
        <v>0</v>
      </c>
      <c r="BP81" s="288">
        <f>SUMIFS(領用表!$L:$L,領用表!$E:$E,$B81,領用表!$B:$B,$BM$2&amp;BP$2)</f>
        <v>0</v>
      </c>
      <c r="BQ81" s="287">
        <f>SUMIFS(領用表!$L:$L,領用表!$E:$E,$B81,領用表!$B:$B,$BM$2&amp;BQ$2)</f>
        <v>0</v>
      </c>
      <c r="BR81" s="203">
        <f>SUMIFS(領用表!$L:$L,領用表!$A:$A,BR$2,領用表!$E:$E,B81)</f>
        <v>0</v>
      </c>
      <c r="BS81" s="288">
        <f>SUMIFS(領用表!$L:$L,領用表!$E:$E,$B81,領用表!$B:$B,BR$2&amp;BS$2)</f>
        <v>0</v>
      </c>
      <c r="BT81" s="288">
        <f>SUMIFS(領用表!$L:$L,領用表!$E:$E,$B81,領用表!$B:$B,$BR$2&amp;BT$2)</f>
        <v>0</v>
      </c>
      <c r="BU81" s="288">
        <f>SUMIFS(領用表!$L:$L,領用表!$E:$E,$B81,領用表!$B:$B,$BR$2&amp;BU$2)</f>
        <v>0</v>
      </c>
      <c r="BV81" s="287">
        <f>SUMIFS(領用表!$L:$L,領用表!$E:$E,$B81,領用表!$B:$B,$BR$2&amp;BV$2)</f>
        <v>0</v>
      </c>
      <c r="BW81" s="208">
        <f>SUMIFS(領用表!$L:$L,領用表!$A:$A,BW$2,領用表!$E:$E,B81)</f>
        <v>0</v>
      </c>
      <c r="BX81" s="206">
        <f>SUMIFS(領用表!$L:$L,領用表!$E:$E,$B81,領用表!$B:$B,BW$2&amp;BX$2)</f>
        <v>0</v>
      </c>
      <c r="BY81" s="206">
        <f>SUMIFS(領用表!$L:$L,領用表!$E:$E,$B81,領用表!$B:$B,$BW$2&amp;BY$2)</f>
        <v>0</v>
      </c>
      <c r="BZ81" s="206">
        <f>SUMIFS(領用表!$L:$L,領用表!$E:$E,$B81,領用表!$B:$B,$BW$2&amp;BZ$2)</f>
        <v>0</v>
      </c>
      <c r="CA81" s="206">
        <f>SUMIFS(領用表!$L:$L,領用表!$E:$E,$B81,領用表!$B:$B,$BW$2&amp;CA$2)</f>
        <v>0</v>
      </c>
      <c r="CB81" s="208">
        <f>SUMIFS(領用表!$L:$L,領用表!$A:$A,CB$2,領用表!$E:$E,B81)</f>
        <v>0</v>
      </c>
      <c r="CC81" s="206">
        <f>SUMIFS(領用表!$L:$L,領用表!$E:$E,$B81,領用表!$B:$B,CB$2&amp;CC$2)</f>
        <v>0</v>
      </c>
      <c r="CD81" s="206">
        <f>SUMIFS(領用表!$L:$L,領用表!$E:$E,$B81,領用表!$B:$B,$CB$2&amp;CD$2)</f>
        <v>0</v>
      </c>
      <c r="CE81" s="206">
        <f>SUMIFS(領用表!$L:$L,領用表!$E:$E,$B81,領用表!$B:$B,$CB$2&amp;CE$2)</f>
        <v>0</v>
      </c>
      <c r="CF81" s="206">
        <f>SUMIFS(領用表!$L:$L,領用表!$E:$E,$B81,領用表!$B:$B,$CB$2&amp;CF$2)</f>
        <v>0</v>
      </c>
      <c r="CG81" s="208">
        <f>SUMIFS(領用表!$L:$L,領用表!$A:$A,CG$2,領用表!$E:$E,B81)</f>
        <v>0</v>
      </c>
      <c r="CH81" s="206">
        <f>SUMIFS(領用表!$L:$L,領用表!$E:$E,$B81,領用表!$B:$B,CG$2&amp;CH$2)</f>
        <v>0</v>
      </c>
      <c r="CI81" s="206">
        <f>SUMIFS(領用表!$L:$L,領用表!$E:$E,$B81,領用表!$B:$B,CG$2&amp;CI$2)</f>
        <v>0</v>
      </c>
      <c r="CJ81" s="206">
        <f>SUMIFS(領用表!$L:$L,領用表!$E:$E,$B81,領用表!$B:$B,CG$2&amp;CJ$2)</f>
        <v>0</v>
      </c>
      <c r="CK81" s="206">
        <f>SUMIFS(領用表!$L:$L,領用表!$E:$E,$B81,領用表!$B:$B,$CG$2&amp;CK$2)</f>
        <v>0</v>
      </c>
      <c r="CL81" s="207">
        <f t="shared" si="22"/>
        <v>1634.01</v>
      </c>
      <c r="CM81" s="207">
        <f t="shared" si="23"/>
        <v>136.16749999999999</v>
      </c>
      <c r="CN81" s="208">
        <f>SUMIFS(領用表!$L:$L,領用表!$A:$A,CN$2,領用表!$E:$E,B81)</f>
        <v>0</v>
      </c>
      <c r="CO81" s="206">
        <f>SUMIFS(領用表!$L:$L,領用表!$E:$E,$B81,領用表!$B:$B,CN$2&amp;CO$2)</f>
        <v>0</v>
      </c>
      <c r="CP81" s="206">
        <f>SUMIFS(領用表!$L:$L,領用表!$E:$E,$B81,領用表!$B:$B,$CN$2&amp;CP$2)</f>
        <v>0</v>
      </c>
      <c r="CQ81" s="206">
        <f>SUMIFS(領用表!$L:$L,領用表!$E:$E,$B81,領用表!$B:$B,$CN$2&amp;CQ$2)</f>
        <v>0</v>
      </c>
      <c r="CR81" s="206">
        <f>SUMIFS(領用表!$L:$L,領用表!$E:$E,$B81,領用表!$B:$B,$CN$2&amp;CR$2)</f>
        <v>0</v>
      </c>
      <c r="CS81" s="208">
        <f>SUMIFS(領用表!$L:$L,領用表!$A:$A,CS$2,領用表!$E:$E,B81)</f>
        <v>0</v>
      </c>
      <c r="CT81" s="206">
        <f>SUMIFS(領用表!$L:$L,領用表!$E:$E,$B81,領用表!$B:$B,CS$2&amp;CT$2)</f>
        <v>0</v>
      </c>
      <c r="CU81" s="206">
        <f>SUMIFS(領用表!$L:$L,領用表!$E:$E,$B81,領用表!$B:$B,$CS$2&amp;CU$2)</f>
        <v>0</v>
      </c>
      <c r="CV81" s="206">
        <f>SUMIFS(領用表!$L:$L,領用表!$E:$E,$B81,領用表!$B:$B,$CS$2&amp;CV$2)</f>
        <v>0</v>
      </c>
      <c r="CW81" s="206">
        <f>SUMIFS(領用表!$L:$L,領用表!$E:$E,$B81,領用表!$B:$B,$CS$2&amp;CW$2)</f>
        <v>0</v>
      </c>
      <c r="CX81" s="206">
        <f>SUMIFS(領用表!$L:$L,領用表!$E:$E,$B81,領用表!$B:$B,$CS$2&amp;CX$2)</f>
        <v>0</v>
      </c>
      <c r="CY81" s="208">
        <f>SUMIFS(領用表!$L:$L,領用表!$A:$A,CY$2,領用表!$E:$E,B81)</f>
        <v>0</v>
      </c>
      <c r="CZ81" s="206">
        <f>SUMIFS(領用表!$L:$L,領用表!$E:$E,$B81,領用表!$B:$B,CY$2&amp;CZ$2)</f>
        <v>0</v>
      </c>
      <c r="DA81" s="206">
        <f>SUMIFS(領用表!$L:$L,領用表!$E:$E,$B81,領用表!$B:$B,$CY$2&amp;DA$2)</f>
        <v>0</v>
      </c>
      <c r="DB81" s="206">
        <f>SUMIFS(領用表!$L:$L,領用表!$E:$E,$B81,領用表!$B:$B,$CY$2&amp;DB$2)</f>
        <v>0</v>
      </c>
      <c r="DC81" s="206">
        <f>SUMIFS(領用表!$L:$L,領用表!$E:$E,$B81,領用表!$B:$B,$CY$2&amp;DC$2)</f>
        <v>0</v>
      </c>
      <c r="DD81" s="206">
        <f>SUMIFS(領用表!$L:$L,領用表!$E:$E,$B81,領用表!$B:$B,$CY$2&amp;DD$2)</f>
        <v>0</v>
      </c>
      <c r="DE81" s="208">
        <f>SUMIFS(領用表!$L:$L,領用表!$A:$A,DE$2,領用表!$E:$E,B81)</f>
        <v>0</v>
      </c>
      <c r="DF81" s="206">
        <f>SUMIFS(領用表!$L:$L,領用表!$E:$E,$B81,領用表!$B:$B,DE$2&amp;DF$2)</f>
        <v>0</v>
      </c>
      <c r="DG81" s="206">
        <f>SUMIFS(領用表!$L:$L,領用表!$E:$E,$B81,領用表!$B:$B,$DE$2&amp;DG$2)</f>
        <v>0</v>
      </c>
      <c r="DH81" s="206">
        <f>SUMIFS(領用表!$L:$L,領用表!$E:$E,$B81,領用表!$B:$B,$DE$2&amp;DH$2)</f>
        <v>0</v>
      </c>
      <c r="DI81" s="206">
        <f>SUMIFS(領用表!$L:$L,領用表!$E:$E,$B81,領用表!$B:$B,$DE$2&amp;DI$2)</f>
        <v>0</v>
      </c>
      <c r="DJ81" s="206">
        <f>SUMIFS(領用表!$L:$L,領用表!$E:$E,$B81,領用表!$B:$B,$DE$2&amp;DJ$2)</f>
        <v>0</v>
      </c>
      <c r="DK81" s="208">
        <f>SUMIFS(領用表!$L:$L,領用表!$A:$A,DK$2,領用表!$E:$E,$B81)</f>
        <v>0</v>
      </c>
      <c r="DL81" s="206">
        <f>SUMIFS(領用表!$L:$L,領用表!$E:$E,$B81,領用表!$B:$B,DK$2&amp;DL$2)</f>
        <v>0</v>
      </c>
      <c r="DM81" s="206">
        <f>SUMIFS(領用表!$L:$L,領用表!$E:$E,$B81,領用表!$B:$B,$DK$2&amp;DM$2)</f>
        <v>0</v>
      </c>
      <c r="DN81" s="206">
        <f>SUMIFS(領用表!$L:$L,領用表!$E:$E,$B81,領用表!$B:$B,$DK$2&amp;DN$2)</f>
        <v>0</v>
      </c>
      <c r="DO81" s="206">
        <f>SUMIFS(領用表!$L:$L,領用表!$E:$E,$B81,領用表!$B:$B,$DK$2&amp;DO$2)</f>
        <v>0</v>
      </c>
      <c r="DP81" s="206">
        <f>SUMIFS(領用表!$L:$L,領用表!$E:$E,$B81,領用表!$B:$B,$DK$2&amp;DP$2)</f>
        <v>0</v>
      </c>
      <c r="DQ81" s="206">
        <f t="shared" si="28"/>
        <v>0</v>
      </c>
      <c r="DR81" s="206">
        <f t="shared" si="29"/>
        <v>0</v>
      </c>
      <c r="DS81" s="206">
        <f t="shared" si="27"/>
        <v>0</v>
      </c>
      <c r="DT81" s="206">
        <v>0</v>
      </c>
      <c r="DU81" s="206">
        <v>0</v>
      </c>
      <c r="DV81" s="206">
        <v>0</v>
      </c>
      <c r="DW81" s="206">
        <v>0</v>
      </c>
      <c r="DX81" s="258">
        <v>180</v>
      </c>
      <c r="DY81" s="283"/>
      <c r="DZ81" s="283"/>
      <c r="EA81" s="283"/>
      <c r="EB81" s="136"/>
      <c r="EC81" s="289"/>
      <c r="ED81" s="118">
        <f>IFERROR(VLOOKUP(A81,站前4樓!A:BF,57,0),0)</f>
        <v>0</v>
      </c>
      <c r="EE81" s="213">
        <f>IFERROR(VLOOKUP(A81,站前11樓!A:BE,57,0),0)</f>
        <v>0</v>
      </c>
      <c r="EF81" s="118">
        <f>IFERROR(VLOOKUP(A81,忠孝7樓!A:N,57,0),0)</f>
        <v>0</v>
      </c>
      <c r="EG81" s="118">
        <f>IFERROR(VLOOKUP(A81,忠孝國際醫學3樓!A:L,57,0),0)</f>
        <v>0</v>
      </c>
      <c r="EH81" s="118">
        <f t="shared" si="25"/>
        <v>0</v>
      </c>
      <c r="EJ81" s="118" t="e">
        <v>#N/A</v>
      </c>
      <c r="EK81" s="118" t="e">
        <v>#N/A</v>
      </c>
    </row>
    <row r="82" spans="1:141" s="118" customFormat="1" ht="15.75" customHeight="1" thickBot="1">
      <c r="A82" s="136"/>
      <c r="B82" s="293">
        <v>6200001</v>
      </c>
      <c r="C82" s="294" t="s">
        <v>733</v>
      </c>
      <c r="D82" s="285"/>
      <c r="E82" s="198"/>
      <c r="F82" s="225">
        <f>SUMIF(站前4樓!B:B,B82,站前4樓!F:F)</f>
        <v>0</v>
      </c>
      <c r="G82" s="225">
        <f>SUMIF(站前11樓!B:B,B82,站前11樓!F:F)</f>
        <v>0</v>
      </c>
      <c r="H82" s="225">
        <f>SUMIF(忠孝7樓!B:B,B82,忠孝7樓!G:G)</f>
        <v>0</v>
      </c>
      <c r="I82" s="225">
        <f>SUMIF(忠孝國際醫學3樓!B:B,B82,忠孝國際醫學3樓!G:G)</f>
        <v>0</v>
      </c>
      <c r="J82" s="225">
        <f>SUMIF(忠孝健康7樓!B:B,B82,忠孝健康7樓!G:G)</f>
        <v>0</v>
      </c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  <c r="AA82" s="283"/>
      <c r="AB82" s="283"/>
      <c r="AC82" s="283"/>
      <c r="AD82" s="283"/>
      <c r="AE82" s="283"/>
      <c r="AF82" s="283"/>
      <c r="AG82" s="283"/>
      <c r="AH82" s="283"/>
      <c r="AI82" s="283"/>
      <c r="AJ82" s="201"/>
      <c r="AK82" s="201"/>
      <c r="AL82" s="201"/>
      <c r="AM82" s="201"/>
      <c r="AN82" s="201"/>
      <c r="AO82" s="201"/>
      <c r="AP82" s="201"/>
      <c r="AQ82" s="201"/>
      <c r="AR82" s="201"/>
      <c r="AS82" s="201"/>
      <c r="AT82" s="201"/>
      <c r="AU82" s="201"/>
      <c r="AV82" s="283"/>
      <c r="AW82" s="286"/>
      <c r="AX82" s="201"/>
      <c r="AY82" s="201"/>
      <c r="AZ82" s="201"/>
      <c r="BA82" s="201"/>
      <c r="BB82" s="201"/>
      <c r="BC82" s="203">
        <f>SUMIFS(領用表!$L:$L,領用表!$A:$A,BC$2,領用表!$E:$E,B82)</f>
        <v>161</v>
      </c>
      <c r="BD82" s="287">
        <f>SUMIFS(領用表!$L:$L,領用表!$E:$E,$B82,領用表!$B:$B,BC$2&amp;BD$2)</f>
        <v>0</v>
      </c>
      <c r="BE82" s="287">
        <f>SUMIFS(領用表!$L:$L,領用表!$E:$E,$B82,領用表!$B:$B,$BC$2&amp;BE$2)</f>
        <v>161</v>
      </c>
      <c r="BF82" s="287">
        <f>SUMIFS(領用表!$L:$L,領用表!$E:$E,$B82,領用表!$B:$B,$BC$2&amp;BF$2)</f>
        <v>0</v>
      </c>
      <c r="BG82" s="206">
        <f>SUMIFS(領用表!$L:$L,領用表!$E:$E,$B82,領用表!$B:$B,$BC$2&amp;BG$2)</f>
        <v>0</v>
      </c>
      <c r="BH82" s="203">
        <f>SUMIFS(領用表!$L:$L,領用表!$A:$A,BH$2,領用表!$E:$E,B82)</f>
        <v>2</v>
      </c>
      <c r="BI82" s="260">
        <f>SUMIFS(領用表!$L:$L,領用表!$E:$E,$B82,領用表!$B:$B,BH$2&amp;BI$2)</f>
        <v>0</v>
      </c>
      <c r="BJ82" s="260">
        <f>SUMIFS(領用表!$L:$L,領用表!$E:$E,$B82,領用表!$B:$B,$BH$2&amp;BJ$2)</f>
        <v>2</v>
      </c>
      <c r="BK82" s="260">
        <f>SUMIFS(領用表!$L:$L,領用表!$E:$E,$B82,領用表!$B:$B,$BH$2&amp;BK$2)</f>
        <v>0</v>
      </c>
      <c r="BL82" s="260">
        <f>SUMIFS(領用表!$L:$L,領用表!$E:$E,$B82,領用表!$B:$B,$BH$2&amp;BL$2)</f>
        <v>0</v>
      </c>
      <c r="BM82" s="203">
        <f>SUMIFS(領用表!$L:$L,領用表!$A:$A,BM$2,領用表!$E:$E,B82)</f>
        <v>12</v>
      </c>
      <c r="BN82" s="206">
        <f>SUMIFS(領用表!$L:$L,領用表!$E:$E,$B82,領用表!$B:$B,BM$2&amp;BN$2)</f>
        <v>0</v>
      </c>
      <c r="BO82" s="206">
        <f>SUMIFS(領用表!$L:$L,領用表!$E:$E,$B82,領用表!$B:$B,$BM$2&amp;BO$2)</f>
        <v>12</v>
      </c>
      <c r="BP82" s="288">
        <f>SUMIFS(領用表!$L:$L,領用表!$E:$E,$B82,領用表!$B:$B,$BM$2&amp;BP$2)</f>
        <v>0</v>
      </c>
      <c r="BQ82" s="287">
        <f>SUMIFS(領用表!$L:$L,領用表!$E:$E,$B82,領用表!$B:$B,$BM$2&amp;BQ$2)</f>
        <v>0</v>
      </c>
      <c r="BR82" s="203">
        <f>SUMIFS(領用表!$L:$L,領用表!$A:$A,BR$2,領用表!$E:$E,B82)</f>
        <v>0</v>
      </c>
      <c r="BS82" s="288">
        <f>SUMIFS(領用表!$L:$L,領用表!$E:$E,$B82,領用表!$B:$B,BR$2&amp;BS$2)</f>
        <v>0</v>
      </c>
      <c r="BT82" s="288">
        <f>SUMIFS(領用表!$L:$L,領用表!$E:$E,$B82,領用表!$B:$B,$BR$2&amp;BT$2)</f>
        <v>0</v>
      </c>
      <c r="BU82" s="288">
        <f>SUMIFS(領用表!$L:$L,領用表!$E:$E,$B82,領用表!$B:$B,$BR$2&amp;BU$2)</f>
        <v>0</v>
      </c>
      <c r="BV82" s="287">
        <f>SUMIFS(領用表!$L:$L,領用表!$E:$E,$B82,領用表!$B:$B,$BR$2&amp;BV$2)</f>
        <v>0</v>
      </c>
      <c r="BW82" s="208">
        <f>SUMIFS(領用表!$L:$L,領用表!$A:$A,BW$2,領用表!$E:$E,B82)</f>
        <v>6</v>
      </c>
      <c r="BX82" s="206">
        <f>SUMIFS(領用表!$L:$L,領用表!$E:$E,$B82,領用表!$B:$B,BW$2&amp;BX$2)</f>
        <v>0</v>
      </c>
      <c r="BY82" s="206">
        <f>SUMIFS(領用表!$L:$L,領用表!$E:$E,$B82,領用表!$B:$B,$BW$2&amp;BY$2)</f>
        <v>6</v>
      </c>
      <c r="BZ82" s="206">
        <f>SUMIFS(領用表!$L:$L,領用表!$E:$E,$B82,領用表!$B:$B,$BW$2&amp;BZ$2)</f>
        <v>0</v>
      </c>
      <c r="CA82" s="206">
        <f>SUMIFS(領用表!$L:$L,領用表!$E:$E,$B82,領用表!$B:$B,$BW$2&amp;CA$2)</f>
        <v>0</v>
      </c>
      <c r="CB82" s="208">
        <f>SUMIFS(領用表!$L:$L,領用表!$A:$A,CB$2,領用表!$E:$E,B82)</f>
        <v>4</v>
      </c>
      <c r="CC82" s="206">
        <f>SUMIFS(領用表!$L:$L,領用表!$E:$E,$B82,領用表!$B:$B,CB$2&amp;CC$2)</f>
        <v>0</v>
      </c>
      <c r="CD82" s="206">
        <f>SUMIFS(領用表!$L:$L,領用表!$E:$E,$B82,領用表!$B:$B,$CB$2&amp;CD$2)</f>
        <v>4</v>
      </c>
      <c r="CE82" s="206">
        <f>SUMIFS(領用表!$L:$L,領用表!$E:$E,$B82,領用表!$B:$B,$CB$2&amp;CE$2)</f>
        <v>0</v>
      </c>
      <c r="CF82" s="206">
        <f>SUMIFS(領用表!$L:$L,領用表!$E:$E,$B82,領用表!$B:$B,$CB$2&amp;CF$2)</f>
        <v>0</v>
      </c>
      <c r="CG82" s="208">
        <f>SUMIFS(領用表!$L:$L,領用表!$A:$A,CG$2,領用表!$E:$E,B82)</f>
        <v>99</v>
      </c>
      <c r="CH82" s="206">
        <f>SUMIFS(領用表!$L:$L,領用表!$E:$E,$B82,領用表!$B:$B,CG$2&amp;CH$2)</f>
        <v>0</v>
      </c>
      <c r="CI82" s="206">
        <f>SUMIFS(領用表!$L:$L,領用表!$E:$E,$B82,領用表!$B:$B,CG$2&amp;CI$2)</f>
        <v>99</v>
      </c>
      <c r="CJ82" s="206">
        <f>SUMIFS(領用表!$L:$L,領用表!$E:$E,$B82,領用表!$B:$B,CG$2&amp;CJ$2)</f>
        <v>0</v>
      </c>
      <c r="CK82" s="206">
        <f>SUMIFS(領用表!$L:$L,領用表!$E:$E,$B82,領用表!$B:$B,$CG$2&amp;CK$2)</f>
        <v>0</v>
      </c>
      <c r="CL82" s="207">
        <f t="shared" si="22"/>
        <v>284</v>
      </c>
      <c r="CM82" s="207">
        <f t="shared" si="23"/>
        <v>40.571428571428569</v>
      </c>
      <c r="CN82" s="208">
        <f>SUMIFS(領用表!$L:$L,領用表!$A:$A,CN$2,領用表!$E:$E,B82)</f>
        <v>0</v>
      </c>
      <c r="CO82" s="206">
        <f>SUMIFS(領用表!$L:$L,領用表!$E:$E,$B82,領用表!$B:$B,CN$2&amp;CO$2)</f>
        <v>0</v>
      </c>
      <c r="CP82" s="206">
        <f>SUMIFS(領用表!$L:$L,領用表!$E:$E,$B82,領用表!$B:$B,$CN$2&amp;CP$2)</f>
        <v>0</v>
      </c>
      <c r="CQ82" s="206">
        <f>SUMIFS(領用表!$L:$L,領用表!$E:$E,$B82,領用表!$B:$B,$CN$2&amp;CQ$2)</f>
        <v>0</v>
      </c>
      <c r="CR82" s="206">
        <f>SUMIFS(領用表!$L:$L,領用表!$E:$E,$B82,領用表!$B:$B,$CN$2&amp;CR$2)</f>
        <v>0</v>
      </c>
      <c r="CS82" s="208">
        <f>SUMIFS(領用表!$L:$L,領用表!$A:$A,CS$2,領用表!$E:$E,B82)</f>
        <v>0</v>
      </c>
      <c r="CT82" s="206">
        <f>SUMIFS(領用表!$L:$L,領用表!$E:$E,$B82,領用表!$B:$B,CS$2&amp;CT$2)</f>
        <v>0</v>
      </c>
      <c r="CU82" s="206">
        <f>SUMIFS(領用表!$L:$L,領用表!$E:$E,$B82,領用表!$B:$B,$CS$2&amp;CU$2)</f>
        <v>0</v>
      </c>
      <c r="CV82" s="206">
        <f>SUMIFS(領用表!$L:$L,領用表!$E:$E,$B82,領用表!$B:$B,$CS$2&amp;CV$2)</f>
        <v>0</v>
      </c>
      <c r="CW82" s="206">
        <f>SUMIFS(領用表!$L:$L,領用表!$E:$E,$B82,領用表!$B:$B,$CS$2&amp;CW$2)</f>
        <v>0</v>
      </c>
      <c r="CX82" s="206">
        <f>SUMIFS(領用表!$L:$L,領用表!$E:$E,$B82,領用表!$B:$B,$CS$2&amp;CX$2)</f>
        <v>0</v>
      </c>
      <c r="CY82" s="208">
        <f>SUMIFS(領用表!$L:$L,領用表!$A:$A,CY$2,領用表!$E:$E,B82)</f>
        <v>0</v>
      </c>
      <c r="CZ82" s="206">
        <f>SUMIFS(領用表!$L:$L,領用表!$E:$E,$B82,領用表!$B:$B,CY$2&amp;CZ$2)</f>
        <v>0</v>
      </c>
      <c r="DA82" s="206">
        <f>SUMIFS(領用表!$L:$L,領用表!$E:$E,$B82,領用表!$B:$B,$CY$2&amp;DA$2)</f>
        <v>0</v>
      </c>
      <c r="DB82" s="206">
        <f>SUMIFS(領用表!$L:$L,領用表!$E:$E,$B82,領用表!$B:$B,$CY$2&amp;DB$2)</f>
        <v>0</v>
      </c>
      <c r="DC82" s="206">
        <f>SUMIFS(領用表!$L:$L,領用表!$E:$E,$B82,領用表!$B:$B,$CY$2&amp;DC$2)</f>
        <v>0</v>
      </c>
      <c r="DD82" s="206">
        <f>SUMIFS(領用表!$L:$L,領用表!$E:$E,$B82,領用表!$B:$B,$CY$2&amp;DD$2)</f>
        <v>0</v>
      </c>
      <c r="DE82" s="208">
        <f>SUMIFS(領用表!$L:$L,領用表!$A:$A,DE$2,領用表!$E:$E,B82)</f>
        <v>0</v>
      </c>
      <c r="DF82" s="206">
        <f>SUMIFS(領用表!$L:$L,領用表!$E:$E,$B82,領用表!$B:$B,DE$2&amp;DF$2)</f>
        <v>0</v>
      </c>
      <c r="DG82" s="206">
        <f>SUMIFS(領用表!$L:$L,領用表!$E:$E,$B82,領用表!$B:$B,$DE$2&amp;DG$2)</f>
        <v>0</v>
      </c>
      <c r="DH82" s="206">
        <f>SUMIFS(領用表!$L:$L,領用表!$E:$E,$B82,領用表!$B:$B,$DE$2&amp;DH$2)</f>
        <v>0</v>
      </c>
      <c r="DI82" s="206">
        <f>SUMIFS(領用表!$L:$L,領用表!$E:$E,$B82,領用表!$B:$B,$DE$2&amp;DI$2)</f>
        <v>0</v>
      </c>
      <c r="DJ82" s="206">
        <f>SUMIFS(領用表!$L:$L,領用表!$E:$E,$B82,領用表!$B:$B,$DE$2&amp;DJ$2)</f>
        <v>0</v>
      </c>
      <c r="DK82" s="208">
        <f>SUMIFS(領用表!$L:$L,領用表!$A:$A,DK$2,領用表!$E:$E,$B82)</f>
        <v>0</v>
      </c>
      <c r="DL82" s="206">
        <f>SUMIFS(領用表!$L:$L,領用表!$E:$E,$B82,領用表!$B:$B,DK$2&amp;DL$2)</f>
        <v>0</v>
      </c>
      <c r="DM82" s="206">
        <f>SUMIFS(領用表!$L:$L,領用表!$E:$E,$B82,領用表!$B:$B,$DK$2&amp;DM$2)</f>
        <v>0</v>
      </c>
      <c r="DN82" s="206">
        <f>SUMIFS(領用表!$L:$L,領用表!$E:$E,$B82,領用表!$B:$B,$DK$2&amp;DN$2)</f>
        <v>0</v>
      </c>
      <c r="DO82" s="206">
        <f>SUMIFS(領用表!$L:$L,領用表!$E:$E,$B82,領用表!$B:$B,$DK$2&amp;DO$2)</f>
        <v>0</v>
      </c>
      <c r="DP82" s="206">
        <f>SUMIFS(領用表!$L:$L,領用表!$E:$E,$B82,領用表!$B:$B,$DK$2&amp;DP$2)</f>
        <v>0</v>
      </c>
      <c r="DQ82" s="206">
        <f t="shared" si="28"/>
        <v>0</v>
      </c>
      <c r="DR82" s="206">
        <f t="shared" si="29"/>
        <v>0</v>
      </c>
      <c r="DS82" s="206">
        <f t="shared" si="27"/>
        <v>0</v>
      </c>
      <c r="DT82" s="206">
        <v>0</v>
      </c>
      <c r="DU82" s="206">
        <v>0</v>
      </c>
      <c r="DV82" s="206">
        <v>0</v>
      </c>
      <c r="DW82" s="206">
        <v>0</v>
      </c>
      <c r="DX82" s="258"/>
      <c r="DY82" s="283"/>
      <c r="DZ82" s="283"/>
      <c r="EA82" s="283"/>
      <c r="EB82" s="136"/>
      <c r="EC82" s="289"/>
      <c r="EE82" s="213"/>
      <c r="EJ82" s="118" t="e">
        <v>#N/A</v>
      </c>
      <c r="EK82" s="118" t="e">
        <v>#N/A</v>
      </c>
    </row>
    <row r="83" spans="1:141" s="118" customFormat="1" ht="15.75" customHeight="1">
      <c r="A83" s="136"/>
      <c r="B83" s="14">
        <v>6200007</v>
      </c>
      <c r="C83" s="135" t="s">
        <v>824</v>
      </c>
      <c r="D83" s="285">
        <v>100</v>
      </c>
      <c r="E83" s="198" t="s">
        <v>825</v>
      </c>
      <c r="F83" s="225">
        <f>SUMIF(站前4樓!B:B,B83,站前4樓!F:F)</f>
        <v>0</v>
      </c>
      <c r="G83" s="225">
        <f>SUMIF(站前11樓!B:B,B83,站前11樓!F:F)</f>
        <v>478</v>
      </c>
      <c r="H83" s="225">
        <f>SUMIF(忠孝7樓!B:B,B83,忠孝7樓!G:G)</f>
        <v>0</v>
      </c>
      <c r="I83" s="225">
        <f>SUMIF(忠孝國際醫學3樓!B:B,B83,忠孝國際醫學3樓!G:G)</f>
        <v>0</v>
      </c>
      <c r="J83" s="225">
        <f>SUMIF(忠孝健康7樓!B:B,B83,忠孝健康7樓!G:G)</f>
        <v>0</v>
      </c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J83" s="201"/>
      <c r="AK83" s="201"/>
      <c r="AL83" s="201"/>
      <c r="AM83" s="201"/>
      <c r="AN83" s="201"/>
      <c r="AO83" s="201"/>
      <c r="AP83" s="201"/>
      <c r="AQ83" s="201"/>
      <c r="AR83" s="201"/>
      <c r="AS83" s="201"/>
      <c r="AT83" s="201"/>
      <c r="AU83" s="201"/>
      <c r="AV83" s="205" t="s">
        <v>49</v>
      </c>
      <c r="AW83" s="205" t="s">
        <v>49</v>
      </c>
      <c r="AX83" s="205" t="s">
        <v>49</v>
      </c>
      <c r="AY83" s="205" t="s">
        <v>49</v>
      </c>
      <c r="AZ83" s="205" t="s">
        <v>49</v>
      </c>
      <c r="BA83" s="201" t="s">
        <v>49</v>
      </c>
      <c r="BB83" s="201" t="s">
        <v>49</v>
      </c>
      <c r="BC83" s="295">
        <f>SUMIFS(領用表!$L:$L,領用表!$A:$A,BC$2,領用表!$E:$E,B83)</f>
        <v>0</v>
      </c>
      <c r="BD83" s="287">
        <f>SUMIFS(領用表!$L:$L,領用表!$E:$E,$B83,領用表!$B:$B,BC$2&amp;BD$2)</f>
        <v>0</v>
      </c>
      <c r="BE83" s="287">
        <f>SUMIFS(領用表!$L:$L,領用表!$E:$E,$B83,領用表!$B:$B,$BC$2&amp;BE$2)</f>
        <v>0</v>
      </c>
      <c r="BF83" s="287">
        <f>SUMIFS(領用表!$L:$L,領用表!$E:$E,$B83,領用表!$B:$B,$BC$2&amp;BF$2)</f>
        <v>0</v>
      </c>
      <c r="BG83" s="206">
        <f>SUMIFS(領用表!$L:$L,領用表!$E:$E,$B83,領用表!$B:$B,$BC$2&amp;BG$2)</f>
        <v>0</v>
      </c>
      <c r="BH83" s="203">
        <f>SUMIFS(領用表!$L:$L,領用表!$A:$A,BH$2,領用表!$E:$E,B83)</f>
        <v>320</v>
      </c>
      <c r="BI83" s="260">
        <f>SUMIFS(領用表!$L:$L,領用表!$E:$E,$B83,領用表!$B:$B,BH$2&amp;BI$2)</f>
        <v>0</v>
      </c>
      <c r="BJ83" s="260">
        <f>SUMIFS(領用表!$L:$L,領用表!$E:$E,$B83,領用表!$B:$B,$BH$2&amp;BJ$2)</f>
        <v>188</v>
      </c>
      <c r="BK83" s="260">
        <f>SUMIFS(領用表!$L:$L,領用表!$E:$E,$B83,領用表!$B:$B,$BH$2&amp;BK$2)</f>
        <v>0</v>
      </c>
      <c r="BL83" s="260">
        <f>SUMIFS(領用表!$L:$L,領用表!$E:$E,$B83,領用表!$B:$B,$BH$2&amp;BL$2)</f>
        <v>132</v>
      </c>
      <c r="BM83" s="203">
        <f>SUMIFS(領用表!$L:$L,領用表!$A:$A,BM$2,領用表!$E:$E,B83)</f>
        <v>528</v>
      </c>
      <c r="BN83" s="206">
        <f>SUMIFS(領用表!$L:$L,領用表!$E:$E,$B83,領用表!$B:$B,BM$2&amp;BN$2)</f>
        <v>0</v>
      </c>
      <c r="BO83" s="206">
        <f>SUMIFS(領用表!$L:$L,領用表!$E:$E,$B83,領用表!$B:$B,$BM$2&amp;BO$2)</f>
        <v>196</v>
      </c>
      <c r="BP83" s="288">
        <f>SUMIFS(領用表!$L:$L,領用表!$E:$E,$B83,領用表!$B:$B,$BM$2&amp;BP$2)</f>
        <v>0</v>
      </c>
      <c r="BQ83" s="287">
        <f>SUMIFS(領用表!$L:$L,領用表!$E:$E,$B83,領用表!$B:$B,$BM$2&amp;BQ$2)</f>
        <v>332</v>
      </c>
      <c r="BR83" s="203">
        <f>SUMIFS(領用表!$L:$L,領用表!$A:$A,BR$2,領用表!$E:$E,B83)</f>
        <v>820</v>
      </c>
      <c r="BS83" s="288">
        <f>SUMIFS(領用表!$L:$L,領用表!$E:$E,$B83,領用表!$B:$B,BR$2&amp;BS$2)</f>
        <v>0</v>
      </c>
      <c r="BT83" s="288">
        <f>SUMIFS(領用表!$L:$L,領用表!$E:$E,$B83,領用表!$B:$B,$BR$2&amp;BT$2)</f>
        <v>372</v>
      </c>
      <c r="BU83" s="288">
        <f>SUMIFS(領用表!$L:$L,領用表!$E:$E,$B83,領用表!$B:$B,$BR$2&amp;BU$2)</f>
        <v>0</v>
      </c>
      <c r="BV83" s="287">
        <f>SUMIFS(領用表!$L:$L,領用表!$E:$E,$B83,領用表!$B:$B,$BR$2&amp;BV$2)</f>
        <v>448</v>
      </c>
      <c r="BW83" s="208">
        <f>SUMIFS(領用表!$L:$L,領用表!$A:$A,BW$2,領用表!$E:$E,B83)</f>
        <v>240</v>
      </c>
      <c r="BX83" s="206">
        <f>SUMIFS(領用表!$L:$L,領用表!$E:$E,$B83,領用表!$B:$B,BW$2&amp;BX$2)</f>
        <v>0</v>
      </c>
      <c r="BY83" s="206">
        <f>SUMIFS(領用表!$L:$L,領用表!$E:$E,$B83,領用表!$B:$B,$BW$2&amp;BY$2)</f>
        <v>64</v>
      </c>
      <c r="BZ83" s="206">
        <f>SUMIFS(領用表!$L:$L,領用表!$E:$E,$B83,領用表!$B:$B,$BW$2&amp;BZ$2)</f>
        <v>0</v>
      </c>
      <c r="CA83" s="206">
        <f>SUMIFS(領用表!$L:$L,領用表!$E:$E,$B83,領用表!$B:$B,$BW$2&amp;CA$2)</f>
        <v>176</v>
      </c>
      <c r="CB83" s="208">
        <f>SUMIFS(領用表!$L:$L,領用表!$A:$A,CB$2,領用表!$E:$E,B83)</f>
        <v>148</v>
      </c>
      <c r="CC83" s="206">
        <f>SUMIFS(領用表!$L:$L,領用表!$E:$E,$B83,領用表!$B:$B,CB$2&amp;CC$2)</f>
        <v>0</v>
      </c>
      <c r="CD83" s="206">
        <f>SUMIFS(領用表!$L:$L,領用表!$E:$E,$B83,領用表!$B:$B,$CB$2&amp;CD$2)</f>
        <v>24</v>
      </c>
      <c r="CE83" s="206">
        <f>SUMIFS(領用表!$L:$L,領用表!$E:$E,$B83,領用表!$B:$B,$CB$2&amp;CE$2)</f>
        <v>0</v>
      </c>
      <c r="CF83" s="206">
        <f>SUMIFS(領用表!$L:$L,領用表!$E:$E,$B83,領用表!$B:$B,$CB$2&amp;CF$2)</f>
        <v>124</v>
      </c>
      <c r="CG83" s="208">
        <f>SUMIFS(領用表!$L:$L,領用表!$A:$A,CG$2,領用表!$E:$E,B83)</f>
        <v>0</v>
      </c>
      <c r="CH83" s="206">
        <f>SUMIFS(領用表!$L:$L,領用表!$E:$E,$B83,領用表!$B:$B,CG$2&amp;CH$2)</f>
        <v>0</v>
      </c>
      <c r="CI83" s="206">
        <f>SUMIFS(領用表!$L:$L,領用表!$E:$E,$B83,領用表!$B:$B,CG$2&amp;CI$2)</f>
        <v>0</v>
      </c>
      <c r="CJ83" s="206">
        <f>SUMIFS(領用表!$L:$L,領用表!$E:$E,$B83,領用表!$B:$B,CG$2&amp;CJ$2)</f>
        <v>0</v>
      </c>
      <c r="CK83" s="206">
        <f>SUMIFS(領用表!$L:$L,領用表!$E:$E,$B83,領用表!$B:$B,$CG$2&amp;CK$2)</f>
        <v>0</v>
      </c>
      <c r="CL83" s="207">
        <f t="shared" si="22"/>
        <v>2056</v>
      </c>
      <c r="CM83" s="207">
        <f t="shared" si="23"/>
        <v>293.71428571428572</v>
      </c>
      <c r="CN83" s="208">
        <f>SUMIFS(領用表!$L:$L,領用表!$A:$A,CN$2,領用表!$E:$E,B83)</f>
        <v>0</v>
      </c>
      <c r="CO83" s="206">
        <f>SUMIFS(領用表!$L:$L,領用表!$E:$E,$B83,領用表!$B:$B,CN$2&amp;CO$2)</f>
        <v>0</v>
      </c>
      <c r="CP83" s="206">
        <f>SUMIFS(領用表!$L:$L,領用表!$E:$E,$B83,領用表!$B:$B,$CN$2&amp;CP$2)</f>
        <v>0</v>
      </c>
      <c r="CQ83" s="206">
        <f>SUMIFS(領用表!$L:$L,領用表!$E:$E,$B83,領用表!$B:$B,$CN$2&amp;CQ$2)</f>
        <v>0</v>
      </c>
      <c r="CR83" s="206">
        <f>SUMIFS(領用表!$L:$L,領用表!$E:$E,$B83,領用表!$B:$B,$CN$2&amp;CR$2)</f>
        <v>0</v>
      </c>
      <c r="CS83" s="208">
        <f>SUMIFS(領用表!$L:$L,領用表!$A:$A,CS$2,領用表!$E:$E,B83)</f>
        <v>0</v>
      </c>
      <c r="CT83" s="206">
        <f>SUMIFS(領用表!$L:$L,領用表!$E:$E,$B83,領用表!$B:$B,CS$2&amp;CT$2)</f>
        <v>0</v>
      </c>
      <c r="CU83" s="206">
        <f>SUMIFS(領用表!$L:$L,領用表!$E:$E,$B83,領用表!$B:$B,$CS$2&amp;CU$2)</f>
        <v>0</v>
      </c>
      <c r="CV83" s="206">
        <f>SUMIFS(領用表!$L:$L,領用表!$E:$E,$B83,領用表!$B:$B,$CS$2&amp;CV$2)</f>
        <v>0</v>
      </c>
      <c r="CW83" s="206">
        <f>SUMIFS(領用表!$L:$L,領用表!$E:$E,$B83,領用表!$B:$B,$CS$2&amp;CW$2)</f>
        <v>0</v>
      </c>
      <c r="CX83" s="206">
        <f>SUMIFS(領用表!$L:$L,領用表!$E:$E,$B83,領用表!$B:$B,$CS$2&amp;CX$2)</f>
        <v>0</v>
      </c>
      <c r="CY83" s="208">
        <f>SUMIFS(領用表!$L:$L,領用表!$A:$A,CY$2,領用表!$E:$E,B83)</f>
        <v>0</v>
      </c>
      <c r="CZ83" s="206">
        <f>SUMIFS(領用表!$L:$L,領用表!$E:$E,$B83,領用表!$B:$B,CY$2&amp;CZ$2)</f>
        <v>0</v>
      </c>
      <c r="DA83" s="206">
        <f>SUMIFS(領用表!$L:$L,領用表!$E:$E,$B83,領用表!$B:$B,$CY$2&amp;DA$2)</f>
        <v>0</v>
      </c>
      <c r="DB83" s="206">
        <f>SUMIFS(領用表!$L:$L,領用表!$E:$E,$B83,領用表!$B:$B,$CY$2&amp;DB$2)</f>
        <v>0</v>
      </c>
      <c r="DC83" s="206">
        <f>SUMIFS(領用表!$L:$L,領用表!$E:$E,$B83,領用表!$B:$B,$CY$2&amp;DC$2)</f>
        <v>0</v>
      </c>
      <c r="DD83" s="206">
        <f>SUMIFS(領用表!$L:$L,領用表!$E:$E,$B83,領用表!$B:$B,$CY$2&amp;DD$2)</f>
        <v>0</v>
      </c>
      <c r="DE83" s="208">
        <f>SUMIFS(領用表!$L:$L,領用表!$A:$A,DE$2,領用表!$E:$E,B83)</f>
        <v>0</v>
      </c>
      <c r="DF83" s="206">
        <f>SUMIFS(領用表!$L:$L,領用表!$E:$E,$B83,領用表!$B:$B,DE$2&amp;DF$2)</f>
        <v>0</v>
      </c>
      <c r="DG83" s="206">
        <f>SUMIFS(領用表!$L:$L,領用表!$E:$E,$B83,領用表!$B:$B,$DE$2&amp;DG$2)</f>
        <v>0</v>
      </c>
      <c r="DH83" s="206">
        <f>SUMIFS(領用表!$L:$L,領用表!$E:$E,$B83,領用表!$B:$B,$DE$2&amp;DH$2)</f>
        <v>0</v>
      </c>
      <c r="DI83" s="206">
        <f>SUMIFS(領用表!$L:$L,領用表!$E:$E,$B83,領用表!$B:$B,$DE$2&amp;DI$2)</f>
        <v>0</v>
      </c>
      <c r="DJ83" s="206">
        <f>SUMIFS(領用表!$L:$L,領用表!$E:$E,$B83,領用表!$B:$B,$DE$2&amp;DJ$2)</f>
        <v>0</v>
      </c>
      <c r="DK83" s="208">
        <f>SUMIFS(領用表!$L:$L,領用表!$A:$A,DK$2,領用表!$E:$E,$B83)</f>
        <v>0</v>
      </c>
      <c r="DL83" s="206">
        <f>SUMIFS(領用表!$L:$L,領用表!$E:$E,$B83,領用表!$B:$B,DK$2&amp;DL$2)</f>
        <v>0</v>
      </c>
      <c r="DM83" s="206">
        <f>SUMIFS(領用表!$L:$L,領用表!$E:$E,$B83,領用表!$B:$B,$DK$2&amp;DM$2)</f>
        <v>0</v>
      </c>
      <c r="DN83" s="206">
        <f>SUMIFS(領用表!$L:$L,領用表!$E:$E,$B83,領用表!$B:$B,$DK$2&amp;DN$2)</f>
        <v>0</v>
      </c>
      <c r="DO83" s="206">
        <f>SUMIFS(領用表!$L:$L,領用表!$E:$E,$B83,領用表!$B:$B,$DK$2&amp;DO$2)</f>
        <v>0</v>
      </c>
      <c r="DP83" s="206">
        <f>SUMIFS(領用表!$L:$L,領用表!$E:$E,$B83,領用表!$B:$B,$DK$2&amp;DP$2)</f>
        <v>0</v>
      </c>
      <c r="DQ83" s="206">
        <f t="shared" si="28"/>
        <v>0</v>
      </c>
      <c r="DR83" s="206">
        <f t="shared" si="29"/>
        <v>0</v>
      </c>
      <c r="DS83" s="206">
        <f t="shared" si="27"/>
        <v>0</v>
      </c>
      <c r="DT83" s="206">
        <v>0</v>
      </c>
      <c r="DU83" s="206">
        <v>0</v>
      </c>
      <c r="DV83" s="206">
        <v>0</v>
      </c>
      <c r="DW83" s="206">
        <v>0</v>
      </c>
      <c r="DX83" s="258">
        <v>1000</v>
      </c>
      <c r="DY83" s="283"/>
      <c r="DZ83" s="283"/>
      <c r="EA83" s="283"/>
      <c r="EB83" s="136"/>
      <c r="EC83" s="289"/>
      <c r="ED83" s="118">
        <f>IFERROR(VLOOKUP(A83,站前4樓!A:BF,57,0),0)</f>
        <v>0</v>
      </c>
      <c r="EE83" s="213">
        <f>IFERROR(VLOOKUP(A83,站前11樓!A:BE,57,0),0)</f>
        <v>0</v>
      </c>
      <c r="EF83" s="118">
        <f>IFERROR(VLOOKUP(A83,忠孝7樓!A:N,57,0),0)</f>
        <v>0</v>
      </c>
      <c r="EG83" s="118">
        <f>IFERROR(VLOOKUP(A83,忠孝國際醫學3樓!A:L,57,0),0)</f>
        <v>0</v>
      </c>
      <c r="EH83" s="118">
        <f t="shared" si="25"/>
        <v>0</v>
      </c>
      <c r="EJ83" s="118" t="e">
        <v>#N/A</v>
      </c>
      <c r="EK83" s="118" t="e">
        <v>#N/A</v>
      </c>
    </row>
    <row r="84" spans="1:141" s="118" customFormat="1" ht="15.75" customHeight="1">
      <c r="A84" s="136" t="s">
        <v>147</v>
      </c>
      <c r="B84" s="118">
        <v>6200008</v>
      </c>
      <c r="C84" s="135" t="s">
        <v>826</v>
      </c>
      <c r="D84" s="285">
        <v>1</v>
      </c>
      <c r="E84" s="198" t="s">
        <v>823</v>
      </c>
      <c r="F84" s="225">
        <f>SUMIF(站前4樓!B:B,B84,站前4樓!F:F)</f>
        <v>0</v>
      </c>
      <c r="G84" s="225">
        <f>SUMIF(站前11樓!B:B,B84,站前11樓!F:F)</f>
        <v>12</v>
      </c>
      <c r="H84" s="225">
        <f>SUMIF(忠孝7樓!B:B,B84,忠孝7樓!G:G)</f>
        <v>0</v>
      </c>
      <c r="I84" s="225">
        <f>SUMIF(忠孝國際醫學3樓!B:B,B84,忠孝國際醫學3樓!G:G)</f>
        <v>0</v>
      </c>
      <c r="J84" s="225">
        <f>SUMIF(忠孝健康7樓!B:B,B84,忠孝健康7樓!G:G)</f>
        <v>0</v>
      </c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83"/>
      <c r="AB84" s="283"/>
      <c r="AC84" s="283"/>
      <c r="AD84" s="283"/>
      <c r="AE84" s="283"/>
      <c r="AF84" s="283"/>
      <c r="AG84" s="283"/>
      <c r="AH84" s="283"/>
      <c r="AI84" s="283"/>
      <c r="AJ84" s="201"/>
      <c r="AK84" s="201"/>
      <c r="AL84" s="201"/>
      <c r="AM84" s="201"/>
      <c r="AN84" s="201"/>
      <c r="AO84" s="201"/>
      <c r="AP84" s="201"/>
      <c r="AQ84" s="201"/>
      <c r="AR84" s="201"/>
      <c r="AS84" s="201"/>
      <c r="AT84" s="201"/>
      <c r="AU84" s="201"/>
      <c r="AV84" s="205" t="s">
        <v>49</v>
      </c>
      <c r="AW84" s="205" t="s">
        <v>49</v>
      </c>
      <c r="AX84" s="205" t="s">
        <v>49</v>
      </c>
      <c r="AY84" s="205" t="s">
        <v>49</v>
      </c>
      <c r="AZ84" s="205" t="s">
        <v>49</v>
      </c>
      <c r="BA84" s="201">
        <v>4</v>
      </c>
      <c r="BB84" s="201">
        <v>17</v>
      </c>
      <c r="BC84" s="203">
        <f>SUMIFS(領用表!$L:$L,領用表!$A:$A,BC$2,領用表!$E:$E,B84)</f>
        <v>40</v>
      </c>
      <c r="BD84" s="296">
        <f>SUMIFS(領用表!$L:$L,領用表!$E:$E,$B84,領用表!$B:$B,BC$2&amp;BD$2)</f>
        <v>0</v>
      </c>
      <c r="BE84" s="296">
        <f>SUMIFS(領用表!$L:$L,領用表!$E:$E,$B84,領用表!$B:$B,$BC$2&amp;BE$2)</f>
        <v>40</v>
      </c>
      <c r="BF84" s="296">
        <f>SUMIFS(領用表!$L:$L,領用表!$E:$E,$B84,領用表!$B:$B,$BC$2&amp;BF$2)</f>
        <v>0</v>
      </c>
      <c r="BG84" s="206">
        <f>SUMIFS(領用表!$L:$L,領用表!$E:$E,$B84,領用表!$B:$B,$BC$2&amp;BG$2)</f>
        <v>0</v>
      </c>
      <c r="BH84" s="203">
        <f>SUMIFS(領用表!$L:$L,領用表!$A:$A,BH$2,領用表!$E:$E,B84)</f>
        <v>15</v>
      </c>
      <c r="BI84" s="260">
        <f>SUMIFS(領用表!$L:$L,領用表!$E:$E,$B84,領用表!$B:$B,BH$2&amp;BI$2)</f>
        <v>0</v>
      </c>
      <c r="BJ84" s="260">
        <f>SUMIFS(領用表!$L:$L,領用表!$E:$E,$B84,領用表!$B:$B,$BH$2&amp;BJ$2)</f>
        <v>11</v>
      </c>
      <c r="BK84" s="260">
        <f>SUMIFS(領用表!$L:$L,領用表!$E:$E,$B84,領用表!$B:$B,$BH$2&amp;BK$2)</f>
        <v>0</v>
      </c>
      <c r="BL84" s="260">
        <f>SUMIFS(領用表!$L:$L,領用表!$E:$E,$B84,領用表!$B:$B,$BH$2&amp;BL$2)</f>
        <v>4</v>
      </c>
      <c r="BM84" s="203">
        <f>SUMIFS(領用表!$L:$L,領用表!$A:$A,BM$2,領用表!$E:$E,B84)</f>
        <v>11</v>
      </c>
      <c r="BN84" s="206">
        <f>SUMIFS(領用表!$L:$L,領用表!$E:$E,$B84,領用表!$B:$B,BM$2&amp;BN$2)</f>
        <v>0</v>
      </c>
      <c r="BO84" s="206">
        <f>SUMIFS(領用表!$L:$L,領用表!$E:$E,$B84,領用表!$B:$B,$BM$2&amp;BO$2)</f>
        <v>7</v>
      </c>
      <c r="BP84" s="297">
        <f>SUMIFS(領用表!$L:$L,領用表!$E:$E,$B84,領用表!$B:$B,$BM$2&amp;BP$2)</f>
        <v>0</v>
      </c>
      <c r="BQ84" s="206">
        <f>SUMIFS(領用表!$L:$L,領用表!$E:$E,$B84,領用表!$B:$B,$BM$2&amp;BQ$2)</f>
        <v>4</v>
      </c>
      <c r="BR84" s="203">
        <f>SUMIFS(領用表!$L:$L,領用表!$A:$A,BR$2,領用表!$E:$E,B84)</f>
        <v>13</v>
      </c>
      <c r="BS84" s="297">
        <f>SUMIFS(領用表!$L:$L,領用表!$E:$E,$B84,領用表!$B:$B,BR$2&amp;BS$2)</f>
        <v>0</v>
      </c>
      <c r="BT84" s="297">
        <f>SUMIFS(領用表!$L:$L,領用表!$E:$E,$B84,領用表!$B:$B,$BR$2&amp;BT$2)</f>
        <v>8</v>
      </c>
      <c r="BU84" s="297">
        <f>SUMIFS(領用表!$L:$L,領用表!$E:$E,$B84,領用表!$B:$B,$BR$2&amp;BU$2)</f>
        <v>0</v>
      </c>
      <c r="BV84" s="206">
        <f>SUMIFS(領用表!$L:$L,領用表!$E:$E,$B84,領用表!$B:$B,$BR$2&amp;BV$2)</f>
        <v>5</v>
      </c>
      <c r="BW84" s="208">
        <f>SUMIFS(領用表!$L:$L,領用表!$A:$A,BW$2,領用表!$E:$E,B84)</f>
        <v>15</v>
      </c>
      <c r="BX84" s="206">
        <f>SUMIFS(領用表!$L:$L,領用表!$E:$E,$B84,領用表!$B:$B,BW$2&amp;BX$2)</f>
        <v>0</v>
      </c>
      <c r="BY84" s="206">
        <f>SUMIFS(領用表!$L:$L,領用表!$E:$E,$B84,領用表!$B:$B,$BW$2&amp;BY$2)</f>
        <v>13</v>
      </c>
      <c r="BZ84" s="206">
        <f>SUMIFS(領用表!$L:$L,領用表!$E:$E,$B84,領用表!$B:$B,$BW$2&amp;BZ$2)</f>
        <v>0</v>
      </c>
      <c r="CA84" s="206">
        <f>SUMIFS(領用表!$L:$L,領用表!$E:$E,$B84,領用表!$B:$B,$BW$2&amp;CA$2)</f>
        <v>2</v>
      </c>
      <c r="CB84" s="208">
        <f>SUMIFS(領用表!$L:$L,領用表!$A:$A,CB$2,領用表!$E:$E,B84)</f>
        <v>17</v>
      </c>
      <c r="CC84" s="206">
        <f>SUMIFS(領用表!$L:$L,領用表!$E:$E,$B84,領用表!$B:$B,CB$2&amp;CC$2)</f>
        <v>0</v>
      </c>
      <c r="CD84" s="206">
        <f>SUMIFS(領用表!$L:$L,領用表!$E:$E,$B84,領用表!$B:$B,$CB$2&amp;CD$2)</f>
        <v>9</v>
      </c>
      <c r="CE84" s="206">
        <f>SUMIFS(領用表!$L:$L,領用表!$E:$E,$B84,領用表!$B:$B,$CB$2&amp;CE$2)</f>
        <v>0</v>
      </c>
      <c r="CF84" s="206">
        <f>SUMIFS(領用表!$L:$L,領用表!$E:$E,$B84,領用表!$B:$B,$CB$2&amp;CF$2)</f>
        <v>8</v>
      </c>
      <c r="CG84" s="208">
        <f>SUMIFS(領用表!$L:$L,領用表!$A:$A,CG$2,領用表!$E:$E,B84)</f>
        <v>7</v>
      </c>
      <c r="CH84" s="206">
        <f>SUMIFS(領用表!$L:$L,領用表!$E:$E,$B84,領用表!$B:$B,CG$2&amp;CH$2)</f>
        <v>0</v>
      </c>
      <c r="CI84" s="206">
        <f>SUMIFS(領用表!$L:$L,領用表!$E:$E,$B84,領用表!$B:$B,CG$2&amp;CI$2)</f>
        <v>6</v>
      </c>
      <c r="CJ84" s="206">
        <f>SUMIFS(領用表!$L:$L,領用表!$E:$E,$B84,領用表!$B:$B,CG$2&amp;CJ$2)</f>
        <v>0</v>
      </c>
      <c r="CK84" s="206">
        <f>SUMIFS(領用表!$L:$L,領用表!$E:$E,$B84,領用表!$B:$B,$CG$2&amp;CK$2)</f>
        <v>1</v>
      </c>
      <c r="CL84" s="207">
        <f t="shared" si="22"/>
        <v>139</v>
      </c>
      <c r="CM84" s="207">
        <f t="shared" si="23"/>
        <v>15.444444444444445</v>
      </c>
      <c r="CN84" s="208">
        <f>SUMIFS(領用表!$L:$L,領用表!$A:$A,CN$2,領用表!$E:$E,B84)</f>
        <v>17</v>
      </c>
      <c r="CO84" s="206">
        <f>SUMIFS(領用表!$L:$L,領用表!$E:$E,$B84,領用表!$B:$B,CN$2&amp;CO$2)</f>
        <v>0</v>
      </c>
      <c r="CP84" s="206">
        <f>SUMIFS(領用表!$L:$L,領用表!$E:$E,$B84,領用表!$B:$B,$CN$2&amp;CP$2)</f>
        <v>13</v>
      </c>
      <c r="CQ84" s="206">
        <f>SUMIFS(領用表!$L:$L,領用表!$E:$E,$B84,領用表!$B:$B,$CN$2&amp;CQ$2)</f>
        <v>0</v>
      </c>
      <c r="CR84" s="206">
        <f>SUMIFS(領用表!$L:$L,領用表!$E:$E,$B84,領用表!$B:$B,$CN$2&amp;CR$2)</f>
        <v>4</v>
      </c>
      <c r="CS84" s="208">
        <f>SUMIFS(領用表!$L:$L,領用表!$A:$A,CS$2,領用表!$E:$E,B84)</f>
        <v>11</v>
      </c>
      <c r="CT84" s="206">
        <f>SUMIFS(領用表!$L:$L,領用表!$E:$E,$B84,領用表!$B:$B,CS$2&amp;CT$2)</f>
        <v>0</v>
      </c>
      <c r="CU84" s="206">
        <f>SUMIFS(領用表!$L:$L,領用表!$E:$E,$B84,領用表!$B:$B,$CS$2&amp;CU$2)</f>
        <v>2</v>
      </c>
      <c r="CV84" s="206">
        <f>SUMIFS(領用表!$L:$L,領用表!$E:$E,$B84,領用表!$B:$B,$CS$2&amp;CV$2)</f>
        <v>0</v>
      </c>
      <c r="CW84" s="206">
        <f>SUMIFS(領用表!$L:$L,領用表!$E:$E,$B84,領用表!$B:$B,$CS$2&amp;CW$2)</f>
        <v>9</v>
      </c>
      <c r="CX84" s="206">
        <f>SUMIFS(領用表!$L:$L,領用表!$E:$E,$B84,領用表!$B:$B,$CS$2&amp;CX$2)</f>
        <v>0</v>
      </c>
      <c r="CY84" s="208">
        <f>SUMIFS(領用表!$L:$L,領用表!$A:$A,CY$2,領用表!$E:$E,B84)</f>
        <v>7</v>
      </c>
      <c r="CZ84" s="206">
        <f>SUMIFS(領用表!$L:$L,領用表!$E:$E,$B84,領用表!$B:$B,CY$2&amp;CZ$2)</f>
        <v>0</v>
      </c>
      <c r="DA84" s="206">
        <f>SUMIFS(領用表!$L:$L,領用表!$E:$E,$B84,領用表!$B:$B,$CY$2&amp;DA$2)</f>
        <v>2</v>
      </c>
      <c r="DB84" s="206">
        <f>SUMIFS(領用表!$L:$L,領用表!$E:$E,$B84,領用表!$B:$B,$CY$2&amp;DB$2)</f>
        <v>0</v>
      </c>
      <c r="DC84" s="206">
        <f>SUMIFS(領用表!$L:$L,領用表!$E:$E,$B84,領用表!$B:$B,$CY$2&amp;DC$2)</f>
        <v>5</v>
      </c>
      <c r="DD84" s="206">
        <f>SUMIFS(領用表!$L:$L,領用表!$E:$E,$B84,領用表!$B:$B,$CY$2&amp;DD$2)</f>
        <v>0</v>
      </c>
      <c r="DE84" s="208">
        <f>SUMIFS(領用表!$L:$L,領用表!$A:$A,DE$2,領用表!$E:$E,B84)</f>
        <v>8</v>
      </c>
      <c r="DF84" s="206">
        <f>SUMIFS(領用表!$L:$L,領用表!$E:$E,$B84,領用表!$B:$B,DE$2&amp;DF$2)</f>
        <v>0</v>
      </c>
      <c r="DG84" s="206">
        <f>SUMIFS(領用表!$L:$L,領用表!$E:$E,$B84,領用表!$B:$B,$DE$2&amp;DG$2)</f>
        <v>1</v>
      </c>
      <c r="DH84" s="206">
        <f>SUMIFS(領用表!$L:$L,領用表!$E:$E,$B84,領用表!$B:$B,$DE$2&amp;DH$2)</f>
        <v>0</v>
      </c>
      <c r="DI84" s="206">
        <f>SUMIFS(領用表!$L:$L,領用表!$E:$E,$B84,領用表!$B:$B,$DE$2&amp;DI$2)</f>
        <v>7</v>
      </c>
      <c r="DJ84" s="206">
        <f>SUMIFS(領用表!$L:$L,領用表!$E:$E,$B84,領用表!$B:$B,$DE$2&amp;DJ$2)</f>
        <v>0</v>
      </c>
      <c r="DK84" s="208">
        <f>SUMIFS(領用表!$L:$L,領用表!$A:$A,DK$2,領用表!$E:$E,$B84)</f>
        <v>7</v>
      </c>
      <c r="DL84" s="206">
        <f>SUMIFS(領用表!$L:$L,領用表!$E:$E,$B84,領用表!$B:$B,DK$2&amp;DL$2)</f>
        <v>0</v>
      </c>
      <c r="DM84" s="206">
        <f>SUMIFS(領用表!$L:$L,領用表!$E:$E,$B84,領用表!$B:$B,$DK$2&amp;DM$2)</f>
        <v>2</v>
      </c>
      <c r="DN84" s="206">
        <f>SUMIFS(領用表!$L:$L,領用表!$E:$E,$B84,領用表!$B:$B,$DK$2&amp;DN$2)</f>
        <v>0</v>
      </c>
      <c r="DO84" s="206">
        <f>SUMIFS(領用表!$L:$L,領用表!$E:$E,$B84,領用表!$B:$B,$DK$2&amp;DO$2)</f>
        <v>5</v>
      </c>
      <c r="DP84" s="206">
        <f>SUMIFS(領用表!$L:$L,領用表!$E:$E,$B84,領用表!$B:$B,$DK$2&amp;DP$2)</f>
        <v>0</v>
      </c>
      <c r="DQ84" s="206">
        <f t="shared" si="28"/>
        <v>50</v>
      </c>
      <c r="DR84" s="206">
        <f t="shared" si="29"/>
        <v>10</v>
      </c>
      <c r="DS84" s="206">
        <f t="shared" si="27"/>
        <v>21</v>
      </c>
      <c r="DT84" s="206">
        <v>0</v>
      </c>
      <c r="DU84" s="206">
        <v>15</v>
      </c>
      <c r="DV84" s="206">
        <v>0</v>
      </c>
      <c r="DW84" s="206">
        <v>6</v>
      </c>
      <c r="DX84" s="258">
        <v>20</v>
      </c>
      <c r="DY84" s="283"/>
      <c r="DZ84" s="283"/>
      <c r="EA84" s="283"/>
      <c r="EB84" s="136"/>
      <c r="EC84" s="289"/>
      <c r="ED84" s="118">
        <f>IFERROR(VLOOKUP(A84,站前4樓!A:BF,57,0),0)</f>
        <v>0</v>
      </c>
      <c r="EE84" s="213">
        <f>IFERROR(VLOOKUP(A84,站前11樓!A:BE,57,0),0)</f>
        <v>9</v>
      </c>
      <c r="EF84" s="118">
        <f>IFERROR(VLOOKUP(A84,忠孝7樓!A:N,57,0),0)</f>
        <v>0</v>
      </c>
      <c r="EG84" s="118">
        <f>IFERROR(VLOOKUP(A84,忠孝國際醫學3樓!A:L,57,0),0)</f>
        <v>0</v>
      </c>
      <c r="EH84" s="118">
        <f t="shared" si="25"/>
        <v>9</v>
      </c>
      <c r="EJ84" s="118">
        <v>11</v>
      </c>
      <c r="EK84" s="118">
        <v>12</v>
      </c>
    </row>
    <row r="85" spans="1:141" s="118" customFormat="1" ht="15.75" customHeight="1">
      <c r="A85" s="136" t="s">
        <v>148</v>
      </c>
      <c r="B85" s="118">
        <v>6200010</v>
      </c>
      <c r="C85" s="135" t="s">
        <v>502</v>
      </c>
      <c r="D85" s="285">
        <v>1</v>
      </c>
      <c r="E85" s="198" t="s">
        <v>823</v>
      </c>
      <c r="F85" s="225">
        <f>SUMIF(站前4樓!B:B,B85,站前4樓!F:F)</f>
        <v>0</v>
      </c>
      <c r="G85" s="225">
        <f>SUMIF(站前11樓!B:B,B85,站前11樓!F:F)</f>
        <v>23</v>
      </c>
      <c r="H85" s="225">
        <f>SUMIF(忠孝7樓!B:B,B85,忠孝7樓!G:G)</f>
        <v>0</v>
      </c>
      <c r="I85" s="225">
        <f>SUMIF(忠孝國際醫學3樓!B:B,B85,忠孝國際醫學3樓!G:G)</f>
        <v>10</v>
      </c>
      <c r="J85" s="225">
        <f>SUMIF(忠孝健康7樓!B:B,B85,忠孝健康7樓!G:G)</f>
        <v>0</v>
      </c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83"/>
      <c r="AB85" s="283"/>
      <c r="AC85" s="283"/>
      <c r="AD85" s="283"/>
      <c r="AE85" s="283"/>
      <c r="AF85" s="283"/>
      <c r="AG85" s="283"/>
      <c r="AH85" s="283"/>
      <c r="AI85" s="283"/>
      <c r="AJ85" s="201"/>
      <c r="AK85" s="201"/>
      <c r="AL85" s="201"/>
      <c r="AM85" s="201"/>
      <c r="AN85" s="201"/>
      <c r="AO85" s="201"/>
      <c r="AP85" s="201"/>
      <c r="AQ85" s="201"/>
      <c r="AR85" s="201"/>
      <c r="AS85" s="201"/>
      <c r="AT85" s="201"/>
      <c r="AU85" s="201"/>
      <c r="AV85" s="205" t="s">
        <v>49</v>
      </c>
      <c r="AW85" s="205" t="s">
        <v>49</v>
      </c>
      <c r="AX85" s="205" t="s">
        <v>49</v>
      </c>
      <c r="AY85" s="205" t="s">
        <v>49</v>
      </c>
      <c r="AZ85" s="205" t="s">
        <v>49</v>
      </c>
      <c r="BA85" s="201">
        <v>1</v>
      </c>
      <c r="BB85" s="201">
        <v>36</v>
      </c>
      <c r="BC85" s="203">
        <f>SUMIFS(領用表!$L:$L,領用表!$A:$A,BC$2,領用表!$E:$E,B85)</f>
        <v>66</v>
      </c>
      <c r="BD85" s="296">
        <f>SUMIFS(領用表!$L:$L,領用表!$E:$E,$B85,領用表!$B:$B,BC$2&amp;BD$2)</f>
        <v>0</v>
      </c>
      <c r="BE85" s="296">
        <f>SUMIFS(領用表!$L:$L,領用表!$E:$E,$B85,領用表!$B:$B,$BC$2&amp;BE$2)</f>
        <v>66</v>
      </c>
      <c r="BF85" s="296">
        <f>SUMIFS(領用表!$L:$L,領用表!$E:$E,$B85,領用表!$B:$B,$BC$2&amp;BF$2)</f>
        <v>0</v>
      </c>
      <c r="BG85" s="206">
        <f>SUMIFS(領用表!$L:$L,領用表!$E:$E,$B85,領用表!$B:$B,$BC$2&amp;BG$2)</f>
        <v>0</v>
      </c>
      <c r="BH85" s="203">
        <f>SUMIFS(領用表!$L:$L,領用表!$A:$A,BH$2,領用表!$E:$E,B85)</f>
        <v>21</v>
      </c>
      <c r="BI85" s="260">
        <f>SUMIFS(領用表!$L:$L,領用表!$E:$E,$B85,領用表!$B:$B,BH$2&amp;BI$2)</f>
        <v>0</v>
      </c>
      <c r="BJ85" s="260">
        <f>SUMIFS(領用表!$L:$L,領用表!$E:$E,$B85,領用表!$B:$B,$BH$2&amp;BJ$2)</f>
        <v>18</v>
      </c>
      <c r="BK85" s="260">
        <f>SUMIFS(領用表!$L:$L,領用表!$E:$E,$B85,領用表!$B:$B,$BH$2&amp;BK$2)</f>
        <v>0</v>
      </c>
      <c r="BL85" s="260">
        <f>SUMIFS(領用表!$L:$L,領用表!$E:$E,$B85,領用表!$B:$B,$BH$2&amp;BL$2)</f>
        <v>3</v>
      </c>
      <c r="BM85" s="203">
        <f>SUMIFS(領用表!$L:$L,領用表!$A:$A,BM$2,領用表!$E:$E,B85)</f>
        <v>10</v>
      </c>
      <c r="BN85" s="206">
        <f>SUMIFS(領用表!$L:$L,領用表!$E:$E,$B85,領用表!$B:$B,BM$2&amp;BN$2)</f>
        <v>0</v>
      </c>
      <c r="BO85" s="206">
        <f>SUMIFS(領用表!$L:$L,領用表!$E:$E,$B85,領用表!$B:$B,$BM$2&amp;BO$2)</f>
        <v>4</v>
      </c>
      <c r="BP85" s="297">
        <f>SUMIFS(領用表!$L:$L,領用表!$E:$E,$B85,領用表!$B:$B,$BM$2&amp;BP$2)</f>
        <v>0</v>
      </c>
      <c r="BQ85" s="206">
        <f>SUMIFS(領用表!$L:$L,領用表!$E:$E,$B85,領用表!$B:$B,$BM$2&amp;BQ$2)</f>
        <v>6</v>
      </c>
      <c r="BR85" s="203">
        <f>SUMIFS(領用表!$L:$L,領用表!$A:$A,BR$2,領用表!$E:$E,B85)</f>
        <v>5</v>
      </c>
      <c r="BS85" s="297">
        <f>SUMIFS(領用表!$L:$L,領用表!$E:$E,$B85,領用表!$B:$B,BR$2&amp;BS$2)</f>
        <v>0</v>
      </c>
      <c r="BT85" s="297">
        <f>SUMIFS(領用表!$L:$L,領用表!$E:$E,$B85,領用表!$B:$B,$BR$2&amp;BT$2)</f>
        <v>4</v>
      </c>
      <c r="BU85" s="297">
        <f>SUMIFS(領用表!$L:$L,領用表!$E:$E,$B85,領用表!$B:$B,$BR$2&amp;BU$2)</f>
        <v>0</v>
      </c>
      <c r="BV85" s="206">
        <f>SUMIFS(領用表!$L:$L,領用表!$E:$E,$B85,領用表!$B:$B,$BR$2&amp;BV$2)</f>
        <v>1</v>
      </c>
      <c r="BW85" s="208">
        <f>SUMIFS(領用表!$L:$L,領用表!$A:$A,BW$2,領用表!$E:$E,B85)</f>
        <v>5</v>
      </c>
      <c r="BX85" s="206">
        <f>SUMIFS(領用表!$L:$L,領用表!$E:$E,$B85,領用表!$B:$B,BW$2&amp;BX$2)</f>
        <v>0</v>
      </c>
      <c r="BY85" s="206">
        <f>SUMIFS(領用表!$L:$L,領用表!$E:$E,$B85,領用表!$B:$B,$BW$2&amp;BY$2)</f>
        <v>5</v>
      </c>
      <c r="BZ85" s="206">
        <f>SUMIFS(領用表!$L:$L,領用表!$E:$E,$B85,領用表!$B:$B,$BW$2&amp;BZ$2)</f>
        <v>0</v>
      </c>
      <c r="CA85" s="206">
        <f>SUMIFS(領用表!$L:$L,領用表!$E:$E,$B85,領用表!$B:$B,$BW$2&amp;CA$2)</f>
        <v>0</v>
      </c>
      <c r="CB85" s="208">
        <f>SUMIFS(領用表!$L:$L,領用表!$A:$A,CB$2,領用表!$E:$E,B85)</f>
        <v>33</v>
      </c>
      <c r="CC85" s="206">
        <f>SUMIFS(領用表!$L:$L,領用表!$E:$E,$B85,領用表!$B:$B,CB$2&amp;CC$2)</f>
        <v>0</v>
      </c>
      <c r="CD85" s="206">
        <f>SUMIFS(領用表!$L:$L,領用表!$E:$E,$B85,領用表!$B:$B,$CB$2&amp;CD$2)</f>
        <v>16</v>
      </c>
      <c r="CE85" s="206">
        <f>SUMIFS(領用表!$L:$L,領用表!$E:$E,$B85,領用表!$B:$B,$CB$2&amp;CE$2)</f>
        <v>0</v>
      </c>
      <c r="CF85" s="206">
        <f>SUMIFS(領用表!$L:$L,領用表!$E:$E,$B85,領用表!$B:$B,$CB$2&amp;CF$2)</f>
        <v>17</v>
      </c>
      <c r="CG85" s="208">
        <f>SUMIFS(領用表!$L:$L,領用表!$A:$A,CG$2,領用表!$E:$E,B85)</f>
        <v>13</v>
      </c>
      <c r="CH85" s="206">
        <f>SUMIFS(領用表!$L:$L,領用表!$E:$E,$B85,領用表!$B:$B,CG$2&amp;CH$2)</f>
        <v>0</v>
      </c>
      <c r="CI85" s="206">
        <f>SUMIFS(領用表!$L:$L,領用表!$E:$E,$B85,領用表!$B:$B,CG$2&amp;CI$2)</f>
        <v>9</v>
      </c>
      <c r="CJ85" s="206">
        <f>SUMIFS(領用表!$L:$L,領用表!$E:$E,$B85,領用表!$B:$B,CG$2&amp;CJ$2)</f>
        <v>0</v>
      </c>
      <c r="CK85" s="206">
        <f>SUMIFS(領用表!$L:$L,領用表!$E:$E,$B85,領用表!$B:$B,$CG$2&amp;CK$2)</f>
        <v>4</v>
      </c>
      <c r="CL85" s="207">
        <f t="shared" si="22"/>
        <v>190</v>
      </c>
      <c r="CM85" s="207">
        <f t="shared" si="23"/>
        <v>21.111111111111111</v>
      </c>
      <c r="CN85" s="208">
        <f>SUMIFS(領用表!$L:$L,領用表!$A:$A,CN$2,領用表!$E:$E,B85)</f>
        <v>12</v>
      </c>
      <c r="CO85" s="206">
        <f>SUMIFS(領用表!$L:$L,領用表!$E:$E,$B85,領用表!$B:$B,CN$2&amp;CO$2)</f>
        <v>0</v>
      </c>
      <c r="CP85" s="206">
        <f>SUMIFS(領用表!$L:$L,領用表!$E:$E,$B85,領用表!$B:$B,$CN$2&amp;CP$2)</f>
        <v>5</v>
      </c>
      <c r="CQ85" s="206">
        <f>SUMIFS(領用表!$L:$L,領用表!$E:$E,$B85,領用表!$B:$B,$CN$2&amp;CQ$2)</f>
        <v>0</v>
      </c>
      <c r="CR85" s="206">
        <f>SUMIFS(領用表!$L:$L,領用表!$E:$E,$B85,領用表!$B:$B,$CN$2&amp;CR$2)</f>
        <v>7</v>
      </c>
      <c r="CS85" s="208">
        <f>SUMIFS(領用表!$L:$L,領用表!$A:$A,CS$2,領用表!$E:$E,B85)</f>
        <v>6</v>
      </c>
      <c r="CT85" s="206">
        <f>SUMIFS(領用表!$L:$L,領用表!$E:$E,$B85,領用表!$B:$B,CS$2&amp;CT$2)</f>
        <v>0</v>
      </c>
      <c r="CU85" s="206">
        <f>SUMIFS(領用表!$L:$L,領用表!$E:$E,$B85,領用表!$B:$B,$CS$2&amp;CU$2)</f>
        <v>1</v>
      </c>
      <c r="CV85" s="206">
        <f>SUMIFS(領用表!$L:$L,領用表!$E:$E,$B85,領用表!$B:$B,$CS$2&amp;CV$2)</f>
        <v>0</v>
      </c>
      <c r="CW85" s="206">
        <f>SUMIFS(領用表!$L:$L,領用表!$E:$E,$B85,領用表!$B:$B,$CS$2&amp;CW$2)</f>
        <v>5</v>
      </c>
      <c r="CX85" s="206">
        <f>SUMIFS(領用表!$L:$L,領用表!$E:$E,$B85,領用表!$B:$B,$CS$2&amp;CX$2)</f>
        <v>0</v>
      </c>
      <c r="CY85" s="208">
        <f>SUMIFS(領用表!$L:$L,領用表!$A:$A,CY$2,領用表!$E:$E,B85)</f>
        <v>16</v>
      </c>
      <c r="CZ85" s="206">
        <f>SUMIFS(領用表!$L:$L,領用表!$E:$E,$B85,領用表!$B:$B,CY$2&amp;CZ$2)</f>
        <v>0</v>
      </c>
      <c r="DA85" s="206">
        <f>SUMIFS(領用表!$L:$L,領用表!$E:$E,$B85,領用表!$B:$B,$CY$2&amp;DA$2)</f>
        <v>3</v>
      </c>
      <c r="DB85" s="206">
        <f>SUMIFS(領用表!$L:$L,領用表!$E:$E,$B85,領用表!$B:$B,$CY$2&amp;DB$2)</f>
        <v>0</v>
      </c>
      <c r="DC85" s="206">
        <f>SUMIFS(領用表!$L:$L,領用表!$E:$E,$B85,領用表!$B:$B,$CY$2&amp;DC$2)</f>
        <v>13</v>
      </c>
      <c r="DD85" s="206">
        <f>SUMIFS(領用表!$L:$L,領用表!$E:$E,$B85,領用表!$B:$B,$CY$2&amp;DD$2)</f>
        <v>0</v>
      </c>
      <c r="DE85" s="208">
        <f>SUMIFS(領用表!$L:$L,領用表!$A:$A,DE$2,領用表!$E:$E,B85)</f>
        <v>15</v>
      </c>
      <c r="DF85" s="206">
        <f>SUMIFS(領用表!$L:$L,領用表!$E:$E,$B85,領用表!$B:$B,DE$2&amp;DF$2)</f>
        <v>0</v>
      </c>
      <c r="DG85" s="206">
        <f>SUMIFS(領用表!$L:$L,領用表!$E:$E,$B85,領用表!$B:$B,$DE$2&amp;DG$2)</f>
        <v>11</v>
      </c>
      <c r="DH85" s="206">
        <f>SUMIFS(領用表!$L:$L,領用表!$E:$E,$B85,領用表!$B:$B,$DE$2&amp;DH$2)</f>
        <v>0</v>
      </c>
      <c r="DI85" s="206">
        <f>SUMIFS(領用表!$L:$L,領用表!$E:$E,$B85,領用表!$B:$B,$DE$2&amp;DI$2)</f>
        <v>4</v>
      </c>
      <c r="DJ85" s="206">
        <f>SUMIFS(領用表!$L:$L,領用表!$E:$E,$B85,領用表!$B:$B,$DE$2&amp;DJ$2)</f>
        <v>0</v>
      </c>
      <c r="DK85" s="208">
        <f>SUMIFS(領用表!$L:$L,領用表!$A:$A,DK$2,領用表!$E:$E,$B85)</f>
        <v>7</v>
      </c>
      <c r="DL85" s="206">
        <f>SUMIFS(領用表!$L:$L,領用表!$E:$E,$B85,領用表!$B:$B,DK$2&amp;DL$2)</f>
        <v>0</v>
      </c>
      <c r="DM85" s="206">
        <f>SUMIFS(領用表!$L:$L,領用表!$E:$E,$B85,領用表!$B:$B,$DK$2&amp;DM$2)</f>
        <v>3</v>
      </c>
      <c r="DN85" s="206">
        <f>SUMIFS(領用表!$L:$L,領用表!$E:$E,$B85,領用表!$B:$B,$DK$2&amp;DN$2)</f>
        <v>0</v>
      </c>
      <c r="DO85" s="206">
        <f>SUMIFS(領用表!$L:$L,領用表!$E:$E,$B85,領用表!$B:$B,$DK$2&amp;DO$2)</f>
        <v>4</v>
      </c>
      <c r="DP85" s="206">
        <f>SUMIFS(領用表!$L:$L,領用表!$E:$E,$B85,領用表!$B:$B,$DK$2&amp;DP$2)</f>
        <v>0</v>
      </c>
      <c r="DQ85" s="206">
        <f t="shared" si="28"/>
        <v>56</v>
      </c>
      <c r="DR85" s="206">
        <f t="shared" si="29"/>
        <v>11.2</v>
      </c>
      <c r="DS85" s="206">
        <f t="shared" si="27"/>
        <v>20</v>
      </c>
      <c r="DT85" s="206">
        <v>0</v>
      </c>
      <c r="DU85" s="206">
        <v>10</v>
      </c>
      <c r="DV85" s="206">
        <v>0</v>
      </c>
      <c r="DW85" s="206">
        <v>10</v>
      </c>
      <c r="DX85" s="258">
        <v>35</v>
      </c>
      <c r="DY85" s="283"/>
      <c r="DZ85" s="283"/>
      <c r="EA85" s="283"/>
      <c r="EB85" s="136"/>
      <c r="EC85" s="289"/>
      <c r="ED85" s="118">
        <f>IFERROR(VLOOKUP(A85,站前4樓!A:BF,57,0),0)</f>
        <v>0</v>
      </c>
      <c r="EE85" s="213">
        <f>IFERROR(VLOOKUP(A85,站前11樓!A:BE,57,0),0)</f>
        <v>16</v>
      </c>
      <c r="EF85" s="118">
        <f>IFERROR(VLOOKUP(A85,忠孝7樓!A:N,57,0),0)</f>
        <v>0</v>
      </c>
      <c r="EG85" s="118">
        <f>IFERROR(VLOOKUP(A85,忠孝國際醫學3樓!A:L,57,0),0)</f>
        <v>0</v>
      </c>
      <c r="EH85" s="118">
        <f t="shared" si="25"/>
        <v>16</v>
      </c>
      <c r="EJ85" s="118">
        <v>8</v>
      </c>
      <c r="EK85" s="118">
        <v>7</v>
      </c>
    </row>
    <row r="86" spans="1:141" s="118" customFormat="1" ht="15.75" customHeight="1">
      <c r="A86" s="136" t="s">
        <v>149</v>
      </c>
      <c r="B86" s="118">
        <v>6200012</v>
      </c>
      <c r="C86" s="135" t="s">
        <v>827</v>
      </c>
      <c r="D86" s="285">
        <v>1</v>
      </c>
      <c r="E86" s="198" t="s">
        <v>823</v>
      </c>
      <c r="F86" s="225">
        <f>SUMIF(站前4樓!B:B,B86,站前4樓!F:F)</f>
        <v>0</v>
      </c>
      <c r="G86" s="225">
        <f>SUMIF(站前11樓!B:B,B86,站前11樓!F:F)</f>
        <v>27</v>
      </c>
      <c r="H86" s="225">
        <f>SUMIF(忠孝7樓!B:B,B86,忠孝7樓!G:G)</f>
        <v>0</v>
      </c>
      <c r="I86" s="225">
        <f>SUMIF(忠孝國際醫學3樓!B:B,B86,忠孝國際醫學3樓!G:G)</f>
        <v>3</v>
      </c>
      <c r="J86" s="225">
        <f>SUMIF(忠孝健康7樓!B:B,B86,忠孝健康7樓!G:G)</f>
        <v>0</v>
      </c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83"/>
      <c r="AB86" s="283"/>
      <c r="AC86" s="283"/>
      <c r="AD86" s="283"/>
      <c r="AE86" s="283"/>
      <c r="AF86" s="283"/>
      <c r="AG86" s="283"/>
      <c r="AH86" s="283"/>
      <c r="AI86" s="283"/>
      <c r="AJ86" s="201"/>
      <c r="AK86" s="201"/>
      <c r="AL86" s="201"/>
      <c r="AM86" s="201"/>
      <c r="AN86" s="201"/>
      <c r="AO86" s="201"/>
      <c r="AP86" s="201"/>
      <c r="AQ86" s="201"/>
      <c r="AR86" s="201"/>
      <c r="AS86" s="201"/>
      <c r="AT86" s="201"/>
      <c r="AU86" s="201"/>
      <c r="AV86" s="205" t="s">
        <v>49</v>
      </c>
      <c r="AW86" s="205" t="s">
        <v>49</v>
      </c>
      <c r="AX86" s="205" t="s">
        <v>49</v>
      </c>
      <c r="AY86" s="205" t="s">
        <v>49</v>
      </c>
      <c r="AZ86" s="205" t="s">
        <v>49</v>
      </c>
      <c r="BA86" s="201">
        <v>0</v>
      </c>
      <c r="BB86" s="298">
        <v>6</v>
      </c>
      <c r="BC86" s="203">
        <f>SUMIFS(領用表!$L:$L,領用表!$A:$A,BC$2,領用表!$E:$E,B86)</f>
        <v>3</v>
      </c>
      <c r="BD86" s="296">
        <f>SUMIFS(領用表!$L:$L,領用表!$E:$E,$B86,領用表!$B:$B,BC$2&amp;BD$2)</f>
        <v>0</v>
      </c>
      <c r="BE86" s="296">
        <f>SUMIFS(領用表!$L:$L,領用表!$E:$E,$B86,領用表!$B:$B,$BC$2&amp;BE$2)</f>
        <v>3</v>
      </c>
      <c r="BF86" s="296">
        <f>SUMIFS(領用表!$L:$L,領用表!$E:$E,$B86,領用表!$B:$B,$BC$2&amp;BF$2)</f>
        <v>0</v>
      </c>
      <c r="BG86" s="206">
        <f>SUMIFS(領用表!$L:$L,領用表!$E:$E,$B86,領用表!$B:$B,$BC$2&amp;BG$2)</f>
        <v>0</v>
      </c>
      <c r="BH86" s="203">
        <f>SUMIFS(領用表!$L:$L,領用表!$A:$A,BH$2,領用表!$E:$E,B86)</f>
        <v>0</v>
      </c>
      <c r="BI86" s="260">
        <f>SUMIFS(領用表!$L:$L,領用表!$E:$E,$B86,領用表!$B:$B,BH$2&amp;BI$2)</f>
        <v>0</v>
      </c>
      <c r="BJ86" s="260">
        <f>SUMIFS(領用表!$L:$L,領用表!$E:$E,$B86,領用表!$B:$B,$BH$2&amp;BJ$2)</f>
        <v>0</v>
      </c>
      <c r="BK86" s="260">
        <f>SUMIFS(領用表!$L:$L,領用表!$E:$E,$B86,領用表!$B:$B,$BH$2&amp;BK$2)</f>
        <v>0</v>
      </c>
      <c r="BL86" s="260">
        <f>SUMIFS(領用表!$L:$L,領用表!$E:$E,$B86,領用表!$B:$B,$BH$2&amp;BL$2)</f>
        <v>0</v>
      </c>
      <c r="BM86" s="203">
        <f>SUMIFS(領用表!$L:$L,領用表!$A:$A,BM$2,領用表!$E:$E,B86)</f>
        <v>0</v>
      </c>
      <c r="BN86" s="206">
        <f>SUMIFS(領用表!$L:$L,領用表!$E:$E,$B86,領用表!$B:$B,BM$2&amp;BN$2)</f>
        <v>0</v>
      </c>
      <c r="BO86" s="206">
        <f>SUMIFS(領用表!$L:$L,領用表!$E:$E,$B86,領用表!$B:$B,$BM$2&amp;BO$2)</f>
        <v>0</v>
      </c>
      <c r="BP86" s="297">
        <f>SUMIFS(領用表!$L:$L,領用表!$E:$E,$B86,領用表!$B:$B,$BM$2&amp;BP$2)</f>
        <v>0</v>
      </c>
      <c r="BQ86" s="206">
        <f>SUMIFS(領用表!$L:$L,領用表!$E:$E,$B86,領用表!$B:$B,$BM$2&amp;BQ$2)</f>
        <v>0</v>
      </c>
      <c r="BR86" s="203">
        <f>SUMIFS(領用表!$L:$L,領用表!$A:$A,BR$2,領用表!$E:$E,B86)</f>
        <v>0</v>
      </c>
      <c r="BS86" s="297">
        <f>SUMIFS(領用表!$L:$L,領用表!$E:$E,$B86,領用表!$B:$B,BR$2&amp;BS$2)</f>
        <v>0</v>
      </c>
      <c r="BT86" s="297">
        <f>SUMIFS(領用表!$L:$L,領用表!$E:$E,$B86,領用表!$B:$B,$BR$2&amp;BT$2)</f>
        <v>0</v>
      </c>
      <c r="BU86" s="297">
        <f>SUMIFS(領用表!$L:$L,領用表!$E:$E,$B86,領用表!$B:$B,$BR$2&amp;BU$2)</f>
        <v>0</v>
      </c>
      <c r="BV86" s="206">
        <f>SUMIFS(領用表!$L:$L,領用表!$E:$E,$B86,領用表!$B:$B,$BR$2&amp;BV$2)</f>
        <v>0</v>
      </c>
      <c r="BW86" s="208">
        <f>SUMIFS(領用表!$L:$L,領用表!$A:$A,BW$2,領用表!$E:$E,B86)</f>
        <v>2</v>
      </c>
      <c r="BX86" s="206">
        <f>SUMIFS(領用表!$L:$L,領用表!$E:$E,$B86,領用表!$B:$B,BW$2&amp;BX$2)</f>
        <v>0</v>
      </c>
      <c r="BY86" s="206">
        <f>SUMIFS(領用表!$L:$L,領用表!$E:$E,$B86,領用表!$B:$B,$BW$2&amp;BY$2)</f>
        <v>2</v>
      </c>
      <c r="BZ86" s="206">
        <f>SUMIFS(領用表!$L:$L,領用表!$E:$E,$B86,領用表!$B:$B,$BW$2&amp;BZ$2)</f>
        <v>0</v>
      </c>
      <c r="CA86" s="206">
        <f>SUMIFS(領用表!$L:$L,領用表!$E:$E,$B86,領用表!$B:$B,$BW$2&amp;CA$2)</f>
        <v>0</v>
      </c>
      <c r="CB86" s="208">
        <f>SUMIFS(領用表!$L:$L,領用表!$A:$A,CB$2,領用表!$E:$E,B86)</f>
        <v>1</v>
      </c>
      <c r="CC86" s="206">
        <f>SUMIFS(領用表!$L:$L,領用表!$E:$E,$B86,領用表!$B:$B,CB$2&amp;CC$2)</f>
        <v>0</v>
      </c>
      <c r="CD86" s="206">
        <f>SUMIFS(領用表!$L:$L,領用表!$E:$E,$B86,領用表!$B:$B,$CB$2&amp;CD$2)</f>
        <v>1</v>
      </c>
      <c r="CE86" s="206">
        <f>SUMIFS(領用表!$L:$L,領用表!$E:$E,$B86,領用表!$B:$B,$CB$2&amp;CE$2)</f>
        <v>0</v>
      </c>
      <c r="CF86" s="206">
        <f>SUMIFS(領用表!$L:$L,領用表!$E:$E,$B86,領用表!$B:$B,$CB$2&amp;CF$2)</f>
        <v>0</v>
      </c>
      <c r="CG86" s="208">
        <f>SUMIFS(領用表!$L:$L,領用表!$A:$A,CG$2,領用表!$E:$E,B86)</f>
        <v>0</v>
      </c>
      <c r="CH86" s="206">
        <f>SUMIFS(領用表!$L:$L,領用表!$E:$E,$B86,領用表!$B:$B,CG$2&amp;CH$2)</f>
        <v>0</v>
      </c>
      <c r="CI86" s="206">
        <f>SUMIFS(領用表!$L:$L,領用表!$E:$E,$B86,領用表!$B:$B,CG$2&amp;CI$2)</f>
        <v>0</v>
      </c>
      <c r="CJ86" s="206">
        <f>SUMIFS(領用表!$L:$L,領用表!$E:$E,$B86,領用表!$B:$B,CG$2&amp;CJ$2)</f>
        <v>0</v>
      </c>
      <c r="CK86" s="206">
        <f>SUMIFS(領用表!$L:$L,領用表!$E:$E,$B86,領用表!$B:$B,$CG$2&amp;CK$2)</f>
        <v>0</v>
      </c>
      <c r="CL86" s="207">
        <f t="shared" si="22"/>
        <v>12</v>
      </c>
      <c r="CM86" s="207">
        <f t="shared" si="23"/>
        <v>1.3333333333333333</v>
      </c>
      <c r="CN86" s="208">
        <f>SUMIFS(領用表!$L:$L,領用表!$A:$A,CN$2,領用表!$E:$E,B86)</f>
        <v>0</v>
      </c>
      <c r="CO86" s="206">
        <f>SUMIFS(領用表!$L:$L,領用表!$E:$E,$B86,領用表!$B:$B,CN$2&amp;CO$2)</f>
        <v>0</v>
      </c>
      <c r="CP86" s="206">
        <f>SUMIFS(領用表!$L:$L,領用表!$E:$E,$B86,領用表!$B:$B,$CN$2&amp;CP$2)</f>
        <v>0</v>
      </c>
      <c r="CQ86" s="206">
        <f>SUMIFS(領用表!$L:$L,領用表!$E:$E,$B86,領用表!$B:$B,$CN$2&amp;CQ$2)</f>
        <v>0</v>
      </c>
      <c r="CR86" s="206">
        <f>SUMIFS(領用表!$L:$L,領用表!$E:$E,$B86,領用表!$B:$B,$CN$2&amp;CR$2)</f>
        <v>0</v>
      </c>
      <c r="CS86" s="208">
        <f>SUMIFS(領用表!$L:$L,領用表!$A:$A,CS$2,領用表!$E:$E,B86)</f>
        <v>0</v>
      </c>
      <c r="CT86" s="206">
        <f>SUMIFS(領用表!$L:$L,領用表!$E:$E,$B86,領用表!$B:$B,CS$2&amp;CT$2)</f>
        <v>0</v>
      </c>
      <c r="CU86" s="206">
        <f>SUMIFS(領用表!$L:$L,領用表!$E:$E,$B86,領用表!$B:$B,$CS$2&amp;CU$2)</f>
        <v>0</v>
      </c>
      <c r="CV86" s="206">
        <f>SUMIFS(領用表!$L:$L,領用表!$E:$E,$B86,領用表!$B:$B,$CS$2&amp;CV$2)</f>
        <v>0</v>
      </c>
      <c r="CW86" s="206">
        <f>SUMIFS(領用表!$L:$L,領用表!$E:$E,$B86,領用表!$B:$B,$CS$2&amp;CW$2)</f>
        <v>0</v>
      </c>
      <c r="CX86" s="206">
        <f>SUMIFS(領用表!$L:$L,領用表!$E:$E,$B86,領用表!$B:$B,$CS$2&amp;CX$2)</f>
        <v>0</v>
      </c>
      <c r="CY86" s="208">
        <f>SUMIFS(領用表!$L:$L,領用表!$A:$A,CY$2,領用表!$E:$E,B86)</f>
        <v>0</v>
      </c>
      <c r="CZ86" s="206">
        <f>SUMIFS(領用表!$L:$L,領用表!$E:$E,$B86,領用表!$B:$B,CY$2&amp;CZ$2)</f>
        <v>0</v>
      </c>
      <c r="DA86" s="206">
        <f>SUMIFS(領用表!$L:$L,領用表!$E:$E,$B86,領用表!$B:$B,$CY$2&amp;DA$2)</f>
        <v>0</v>
      </c>
      <c r="DB86" s="206">
        <f>SUMIFS(領用表!$L:$L,領用表!$E:$E,$B86,領用表!$B:$B,$CY$2&amp;DB$2)</f>
        <v>0</v>
      </c>
      <c r="DC86" s="206">
        <f>SUMIFS(領用表!$L:$L,領用表!$E:$E,$B86,領用表!$B:$B,$CY$2&amp;DC$2)</f>
        <v>0</v>
      </c>
      <c r="DD86" s="206">
        <f>SUMIFS(領用表!$L:$L,領用表!$E:$E,$B86,領用表!$B:$B,$CY$2&amp;DD$2)</f>
        <v>0</v>
      </c>
      <c r="DE86" s="208">
        <f>SUMIFS(領用表!$L:$L,領用表!$A:$A,DE$2,領用表!$E:$E,B86)</f>
        <v>0</v>
      </c>
      <c r="DF86" s="206">
        <f>SUMIFS(領用表!$L:$L,領用表!$E:$E,$B86,領用表!$B:$B,DE$2&amp;DF$2)</f>
        <v>0</v>
      </c>
      <c r="DG86" s="206">
        <f>SUMIFS(領用表!$L:$L,領用表!$E:$E,$B86,領用表!$B:$B,$DE$2&amp;DG$2)</f>
        <v>0</v>
      </c>
      <c r="DH86" s="206">
        <f>SUMIFS(領用表!$L:$L,領用表!$E:$E,$B86,領用表!$B:$B,$DE$2&amp;DH$2)</f>
        <v>0</v>
      </c>
      <c r="DI86" s="206">
        <f>SUMIFS(領用表!$L:$L,領用表!$E:$E,$B86,領用表!$B:$B,$DE$2&amp;DI$2)</f>
        <v>0</v>
      </c>
      <c r="DJ86" s="206">
        <f>SUMIFS(領用表!$L:$L,領用表!$E:$E,$B86,領用表!$B:$B,$DE$2&amp;DJ$2)</f>
        <v>0</v>
      </c>
      <c r="DK86" s="208">
        <f>SUMIFS(領用表!$L:$L,領用表!$A:$A,DK$2,領用表!$E:$E,$B86)</f>
        <v>3</v>
      </c>
      <c r="DL86" s="206">
        <f>SUMIFS(領用表!$L:$L,領用表!$E:$E,$B86,領用表!$B:$B,DK$2&amp;DL$2)</f>
        <v>0</v>
      </c>
      <c r="DM86" s="206">
        <f>SUMIFS(領用表!$L:$L,領用表!$E:$E,$B86,領用表!$B:$B,$DK$2&amp;DM$2)</f>
        <v>1</v>
      </c>
      <c r="DN86" s="206">
        <f>SUMIFS(領用表!$L:$L,領用表!$E:$E,$B86,領用表!$B:$B,$DK$2&amp;DN$2)</f>
        <v>0</v>
      </c>
      <c r="DO86" s="206">
        <f>SUMIFS(領用表!$L:$L,領用表!$E:$E,$B86,領用表!$B:$B,$DK$2&amp;DO$2)</f>
        <v>2</v>
      </c>
      <c r="DP86" s="206">
        <f>SUMIFS(領用表!$L:$L,領用表!$E:$E,$B86,領用表!$B:$B,$DK$2&amp;DP$2)</f>
        <v>0</v>
      </c>
      <c r="DQ86" s="206">
        <f t="shared" si="28"/>
        <v>3</v>
      </c>
      <c r="DR86" s="206">
        <f t="shared" si="29"/>
        <v>0.6</v>
      </c>
      <c r="DS86" s="206">
        <f t="shared" si="27"/>
        <v>4</v>
      </c>
      <c r="DT86" s="206">
        <v>0</v>
      </c>
      <c r="DU86" s="206">
        <v>2</v>
      </c>
      <c r="DV86" s="206">
        <v>0</v>
      </c>
      <c r="DW86" s="206">
        <v>2</v>
      </c>
      <c r="DX86" s="258">
        <v>10</v>
      </c>
      <c r="DY86" s="283"/>
      <c r="DZ86" s="283"/>
      <c r="EA86" s="283"/>
      <c r="EB86" s="136"/>
      <c r="EC86" s="289"/>
      <c r="ED86" s="118">
        <f>IFERROR(VLOOKUP(A86,站前4樓!A:BF,57,0),0)</f>
        <v>0</v>
      </c>
      <c r="EE86" s="213">
        <f>IFERROR(VLOOKUP(A86,站前11樓!A:BE,57,0),0)</f>
        <v>1</v>
      </c>
      <c r="EF86" s="118">
        <f>IFERROR(VLOOKUP(A86,忠孝7樓!A:N,57,0),0)</f>
        <v>0</v>
      </c>
      <c r="EG86" s="118">
        <f>IFERROR(VLOOKUP(A86,忠孝國際醫學3樓!A:L,57,0),0)</f>
        <v>0</v>
      </c>
      <c r="EH86" s="118">
        <f t="shared" si="25"/>
        <v>1</v>
      </c>
      <c r="EJ86" s="118">
        <v>28</v>
      </c>
      <c r="EK86" s="118">
        <v>5</v>
      </c>
    </row>
    <row r="87" spans="1:141" s="118" customFormat="1" ht="15.75" customHeight="1">
      <c r="A87" s="136" t="s">
        <v>641</v>
      </c>
      <c r="B87" s="118">
        <v>6200013</v>
      </c>
      <c r="C87" s="135" t="s">
        <v>828</v>
      </c>
      <c r="D87" s="285">
        <v>1</v>
      </c>
      <c r="E87" s="198" t="s">
        <v>823</v>
      </c>
      <c r="F87" s="225">
        <f>SUMIF(站前4樓!B:B,B87,站前4樓!F:F)</f>
        <v>0</v>
      </c>
      <c r="G87" s="225">
        <f>SUMIF(站前11樓!B:B,B87,站前11樓!F:F)</f>
        <v>0</v>
      </c>
      <c r="H87" s="225">
        <f>SUMIF(忠孝7樓!B:B,B87,忠孝7樓!G:G)</f>
        <v>0</v>
      </c>
      <c r="I87" s="225">
        <f>SUMIF(忠孝國際醫學3樓!B:B,B87,忠孝國際醫學3樓!G:G)</f>
        <v>0</v>
      </c>
      <c r="J87" s="225">
        <f>SUMIF(忠孝健康7樓!B:B,B87,忠孝健康7樓!G:G)</f>
        <v>0</v>
      </c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  <c r="AH87" s="283"/>
      <c r="AI87" s="283"/>
      <c r="AJ87" s="201"/>
      <c r="AK87" s="201"/>
      <c r="AL87" s="201"/>
      <c r="AM87" s="201"/>
      <c r="AN87" s="201"/>
      <c r="AO87" s="201"/>
      <c r="AP87" s="201"/>
      <c r="AQ87" s="201"/>
      <c r="AR87" s="201"/>
      <c r="AS87" s="201"/>
      <c r="AT87" s="201"/>
      <c r="AU87" s="201"/>
      <c r="AV87" s="283"/>
      <c r="AW87" s="286"/>
      <c r="AX87" s="201" t="s">
        <v>49</v>
      </c>
      <c r="AY87" s="201" t="s">
        <v>49</v>
      </c>
      <c r="AZ87" s="201" t="s">
        <v>49</v>
      </c>
      <c r="BA87" s="201" t="s">
        <v>49</v>
      </c>
      <c r="BB87" s="201" t="s">
        <v>49</v>
      </c>
      <c r="BC87" s="203">
        <f>SUMIFS(領用表!$L:$L,領用表!$A:$A,BC$2,領用表!$E:$E,B87)</f>
        <v>0</v>
      </c>
      <c r="BD87" s="296">
        <f>SUMIFS(領用表!$L:$L,領用表!$E:$E,$B87,領用表!$B:$B,BC$2&amp;BD$2)</f>
        <v>0</v>
      </c>
      <c r="BE87" s="296">
        <f>SUMIFS(領用表!$L:$L,領用表!$E:$E,$B87,領用表!$B:$B,$BC$2&amp;BE$2)</f>
        <v>0</v>
      </c>
      <c r="BF87" s="296">
        <f>SUMIFS(領用表!$L:$L,領用表!$E:$E,$B87,領用表!$B:$B,$BC$2&amp;BF$2)</f>
        <v>0</v>
      </c>
      <c r="BG87" s="206">
        <f>SUMIFS(領用表!$L:$L,領用表!$E:$E,$B87,領用表!$B:$B,$BC$2&amp;BG$2)</f>
        <v>0</v>
      </c>
      <c r="BH87" s="203">
        <f>SUMIFS(領用表!$L:$L,領用表!$A:$A,BH$2,領用表!$E:$E,B87)</f>
        <v>40</v>
      </c>
      <c r="BI87" s="260">
        <f>SUMIFS(領用表!$L:$L,領用表!$E:$E,$B87,領用表!$B:$B,BH$2&amp;BI$2)</f>
        <v>0</v>
      </c>
      <c r="BJ87" s="260">
        <f>SUMIFS(領用表!$L:$L,領用表!$E:$E,$B87,領用表!$B:$B,$BH$2&amp;BJ$2)</f>
        <v>26</v>
      </c>
      <c r="BK87" s="260">
        <f>SUMIFS(領用表!$L:$L,領用表!$E:$E,$B87,領用表!$B:$B,$BH$2&amp;BK$2)</f>
        <v>0</v>
      </c>
      <c r="BL87" s="260">
        <f>SUMIFS(領用表!$L:$L,領用表!$E:$E,$B87,領用表!$B:$B,$BH$2&amp;BL$2)</f>
        <v>14</v>
      </c>
      <c r="BM87" s="203">
        <f>SUMIFS(領用表!$L:$L,領用表!$A:$A,BM$2,領用表!$E:$E,B87)</f>
        <v>56</v>
      </c>
      <c r="BN87" s="206">
        <f>SUMIFS(領用表!$L:$L,領用表!$E:$E,$B87,領用表!$B:$B,BM$2&amp;BN$2)</f>
        <v>0</v>
      </c>
      <c r="BO87" s="206">
        <f>SUMIFS(領用表!$L:$L,領用表!$E:$E,$B87,領用表!$B:$B,$BM$2&amp;BO$2)</f>
        <v>24</v>
      </c>
      <c r="BP87" s="297">
        <f>SUMIFS(領用表!$L:$L,領用表!$E:$E,$B87,領用表!$B:$B,$BM$2&amp;BP$2)</f>
        <v>0</v>
      </c>
      <c r="BQ87" s="206">
        <f>SUMIFS(領用表!$L:$L,領用表!$E:$E,$B87,領用表!$B:$B,$BM$2&amp;BQ$2)</f>
        <v>32</v>
      </c>
      <c r="BR87" s="203">
        <f>SUMIFS(領用表!$L:$L,領用表!$A:$A,BR$2,領用表!$E:$E,B87)</f>
        <v>85</v>
      </c>
      <c r="BS87" s="297">
        <f>SUMIFS(領用表!$L:$L,領用表!$E:$E,$B87,領用表!$B:$B,BR$2&amp;BS$2)</f>
        <v>0</v>
      </c>
      <c r="BT87" s="297">
        <f>SUMIFS(領用表!$L:$L,領用表!$E:$E,$B87,領用表!$B:$B,$BR$2&amp;BT$2)</f>
        <v>27</v>
      </c>
      <c r="BU87" s="297">
        <f>SUMIFS(領用表!$L:$L,領用表!$E:$E,$B87,領用表!$B:$B,$BR$2&amp;BU$2)</f>
        <v>0</v>
      </c>
      <c r="BV87" s="206">
        <f>SUMIFS(領用表!$L:$L,領用表!$E:$E,$B87,領用表!$B:$B,$BR$2&amp;BV$2)</f>
        <v>58</v>
      </c>
      <c r="BW87" s="208">
        <f>SUMIFS(領用表!$L:$L,領用表!$A:$A,BW$2,領用表!$E:$E,B87)</f>
        <v>15</v>
      </c>
      <c r="BX87" s="206">
        <f>SUMIFS(領用表!$L:$L,領用表!$E:$E,$B87,領用表!$B:$B,BW$2&amp;BX$2)</f>
        <v>0</v>
      </c>
      <c r="BY87" s="206">
        <f>SUMIFS(領用表!$L:$L,領用表!$E:$E,$B87,領用表!$B:$B,$BW$2&amp;BY$2)</f>
        <v>5</v>
      </c>
      <c r="BZ87" s="206">
        <f>SUMIFS(領用表!$L:$L,領用表!$E:$E,$B87,領用表!$B:$B,$BW$2&amp;BZ$2)</f>
        <v>0</v>
      </c>
      <c r="CA87" s="206">
        <f>SUMIFS(領用表!$L:$L,領用表!$E:$E,$B87,領用表!$B:$B,$BW$2&amp;CA$2)</f>
        <v>10</v>
      </c>
      <c r="CB87" s="208">
        <f>SUMIFS(領用表!$L:$L,領用表!$A:$A,CB$2,領用表!$E:$E,B87)</f>
        <v>3</v>
      </c>
      <c r="CC87" s="206">
        <f>SUMIFS(領用表!$L:$L,領用表!$E:$E,$B87,領用表!$B:$B,CB$2&amp;CC$2)</f>
        <v>0</v>
      </c>
      <c r="CD87" s="206">
        <f>SUMIFS(領用表!$L:$L,領用表!$E:$E,$B87,領用表!$B:$B,$CB$2&amp;CD$2)</f>
        <v>0</v>
      </c>
      <c r="CE87" s="206">
        <f>SUMIFS(領用表!$L:$L,領用表!$E:$E,$B87,領用表!$B:$B,$CB$2&amp;CE$2)</f>
        <v>0</v>
      </c>
      <c r="CF87" s="206">
        <f>SUMIFS(領用表!$L:$L,領用表!$E:$E,$B87,領用表!$B:$B,$CB$2&amp;CF$2)</f>
        <v>3</v>
      </c>
      <c r="CG87" s="208">
        <f>SUMIFS(領用表!$L:$L,領用表!$A:$A,CG$2,領用表!$E:$E,B87)</f>
        <v>6</v>
      </c>
      <c r="CH87" s="206">
        <f>SUMIFS(領用表!$L:$L,領用表!$E:$E,$B87,領用表!$B:$B,CG$2&amp;CH$2)</f>
        <v>0</v>
      </c>
      <c r="CI87" s="206">
        <f>SUMIFS(領用表!$L:$L,領用表!$E:$E,$B87,領用表!$B:$B,CG$2&amp;CI$2)</f>
        <v>0</v>
      </c>
      <c r="CJ87" s="206">
        <f>SUMIFS(領用表!$L:$L,領用表!$E:$E,$B87,領用表!$B:$B,CG$2&amp;CJ$2)</f>
        <v>0</v>
      </c>
      <c r="CK87" s="206">
        <f>SUMIFS(領用表!$L:$L,領用表!$E:$E,$B87,領用表!$B:$B,$CG$2&amp;CK$2)</f>
        <v>6</v>
      </c>
      <c r="CL87" s="207">
        <f t="shared" si="22"/>
        <v>205</v>
      </c>
      <c r="CM87" s="207">
        <f t="shared" si="23"/>
        <v>29.285714285714285</v>
      </c>
      <c r="CN87" s="208">
        <f>SUMIFS(領用表!$L:$L,領用表!$A:$A,CN$2,領用表!$E:$E,B87)</f>
        <v>0</v>
      </c>
      <c r="CO87" s="206">
        <f>SUMIFS(領用表!$L:$L,領用表!$E:$E,$B87,領用表!$B:$B,CN$2&amp;CO$2)</f>
        <v>0</v>
      </c>
      <c r="CP87" s="206">
        <f>SUMIFS(領用表!$L:$L,領用表!$E:$E,$B87,領用表!$B:$B,$CN$2&amp;CP$2)</f>
        <v>0</v>
      </c>
      <c r="CQ87" s="206">
        <f>SUMIFS(領用表!$L:$L,領用表!$E:$E,$B87,領用表!$B:$B,$CN$2&amp;CQ$2)</f>
        <v>0</v>
      </c>
      <c r="CR87" s="206">
        <f>SUMIFS(領用表!$L:$L,領用表!$E:$E,$B87,領用表!$B:$B,$CN$2&amp;CR$2)</f>
        <v>0</v>
      </c>
      <c r="CS87" s="208">
        <f>SUMIFS(領用表!$L:$L,領用表!$A:$A,CS$2,領用表!$E:$E,B87)</f>
        <v>1</v>
      </c>
      <c r="CT87" s="206">
        <f>SUMIFS(領用表!$L:$L,領用表!$E:$E,$B87,領用表!$B:$B,CS$2&amp;CT$2)</f>
        <v>0</v>
      </c>
      <c r="CU87" s="206">
        <f>SUMIFS(領用表!$L:$L,領用表!$E:$E,$B87,領用表!$B:$B,$CS$2&amp;CU$2)</f>
        <v>0</v>
      </c>
      <c r="CV87" s="206">
        <f>SUMIFS(領用表!$L:$L,領用表!$E:$E,$B87,領用表!$B:$B,$CS$2&amp;CV$2)</f>
        <v>0</v>
      </c>
      <c r="CW87" s="206">
        <f>SUMIFS(領用表!$L:$L,領用表!$E:$E,$B87,領用表!$B:$B,$CS$2&amp;CW$2)</f>
        <v>1</v>
      </c>
      <c r="CX87" s="206">
        <f>SUMIFS(領用表!$L:$L,領用表!$E:$E,$B87,領用表!$B:$B,$CS$2&amp;CX$2)</f>
        <v>0</v>
      </c>
      <c r="CY87" s="208">
        <f>SUMIFS(領用表!$L:$L,領用表!$A:$A,CY$2,領用表!$E:$E,B87)</f>
        <v>0</v>
      </c>
      <c r="CZ87" s="206">
        <f>SUMIFS(領用表!$L:$L,領用表!$E:$E,$B87,領用表!$B:$B,CY$2&amp;CZ$2)</f>
        <v>0</v>
      </c>
      <c r="DA87" s="206">
        <f>SUMIFS(領用表!$L:$L,領用表!$E:$E,$B87,領用表!$B:$B,$CY$2&amp;DA$2)</f>
        <v>0</v>
      </c>
      <c r="DB87" s="206">
        <f>SUMIFS(領用表!$L:$L,領用表!$E:$E,$B87,領用表!$B:$B,$CY$2&amp;DB$2)</f>
        <v>0</v>
      </c>
      <c r="DC87" s="206">
        <f>SUMIFS(領用表!$L:$L,領用表!$E:$E,$B87,領用表!$B:$B,$CY$2&amp;DC$2)</f>
        <v>0</v>
      </c>
      <c r="DD87" s="206">
        <f>SUMIFS(領用表!$L:$L,領用表!$E:$E,$B87,領用表!$B:$B,$CY$2&amp;DD$2)</f>
        <v>0</v>
      </c>
      <c r="DE87" s="208">
        <f>SUMIFS(領用表!$L:$L,領用表!$A:$A,DE$2,領用表!$E:$E,B87)</f>
        <v>15</v>
      </c>
      <c r="DF87" s="206">
        <f>SUMIFS(領用表!$L:$L,領用表!$E:$E,$B87,領用表!$B:$B,DE$2&amp;DF$2)</f>
        <v>0</v>
      </c>
      <c r="DG87" s="206">
        <f>SUMIFS(領用表!$L:$L,領用表!$E:$E,$B87,領用表!$B:$B,$DE$2&amp;DG$2)</f>
        <v>13</v>
      </c>
      <c r="DH87" s="206">
        <f>SUMIFS(領用表!$L:$L,領用表!$E:$E,$B87,領用表!$B:$B,$DE$2&amp;DH$2)</f>
        <v>0</v>
      </c>
      <c r="DI87" s="206">
        <f>SUMIFS(領用表!$L:$L,領用表!$E:$E,$B87,領用表!$B:$B,$DE$2&amp;DI$2)</f>
        <v>2</v>
      </c>
      <c r="DJ87" s="206">
        <f>SUMIFS(領用表!$L:$L,領用表!$E:$E,$B87,領用表!$B:$B,$DE$2&amp;DJ$2)</f>
        <v>0</v>
      </c>
      <c r="DK87" s="208">
        <f>SUMIFS(領用表!$L:$L,領用表!$A:$A,DK$2,領用表!$E:$E,$B87)</f>
        <v>11</v>
      </c>
      <c r="DL87" s="206">
        <f>SUMIFS(領用表!$L:$L,領用表!$E:$E,$B87,領用表!$B:$B,DK$2&amp;DL$2)</f>
        <v>0</v>
      </c>
      <c r="DM87" s="206">
        <f>SUMIFS(領用表!$L:$L,領用表!$E:$E,$B87,領用表!$B:$B,$DK$2&amp;DM$2)</f>
        <v>11</v>
      </c>
      <c r="DN87" s="206">
        <f>SUMIFS(領用表!$L:$L,領用表!$E:$E,$B87,領用表!$B:$B,$DK$2&amp;DN$2)</f>
        <v>0</v>
      </c>
      <c r="DO87" s="206">
        <f>SUMIFS(領用表!$L:$L,領用表!$E:$E,$B87,領用表!$B:$B,$DK$2&amp;DO$2)</f>
        <v>0</v>
      </c>
      <c r="DP87" s="206">
        <f>SUMIFS(領用表!$L:$L,領用表!$E:$E,$B87,領用表!$B:$B,$DK$2&amp;DP$2)</f>
        <v>0</v>
      </c>
      <c r="DQ87" s="206">
        <f t="shared" si="28"/>
        <v>27</v>
      </c>
      <c r="DR87" s="206">
        <f t="shared" si="29"/>
        <v>5.4</v>
      </c>
      <c r="DS87" s="206">
        <f t="shared" si="27"/>
        <v>18</v>
      </c>
      <c r="DT87" s="206">
        <v>0</v>
      </c>
      <c r="DU87" s="206">
        <v>8</v>
      </c>
      <c r="DV87" s="206">
        <v>0</v>
      </c>
      <c r="DW87" s="206">
        <v>10</v>
      </c>
      <c r="DX87" s="258">
        <v>10</v>
      </c>
      <c r="DY87" s="283"/>
      <c r="DZ87" s="283"/>
      <c r="EA87" s="299"/>
      <c r="EB87" s="136"/>
      <c r="EC87" s="289"/>
      <c r="ED87" s="118">
        <f>IFERROR(VLOOKUP(A87,站前4樓!A:BF,57,0),0)</f>
        <v>0</v>
      </c>
      <c r="EE87" s="213">
        <f>IFERROR(VLOOKUP(A87,站前11樓!A:BE,57,0),0)</f>
        <v>0</v>
      </c>
      <c r="EF87" s="118">
        <f>IFERROR(VLOOKUP(A87,忠孝7樓!A:N,57,0),0)</f>
        <v>0</v>
      </c>
      <c r="EG87" s="118">
        <f>IFERROR(VLOOKUP(A87,忠孝國際醫學3樓!A:L,57,0),0)</f>
        <v>0</v>
      </c>
      <c r="EH87" s="118">
        <f t="shared" si="25"/>
        <v>0</v>
      </c>
      <c r="EJ87" s="118">
        <v>38</v>
      </c>
      <c r="EK87" s="118">
        <v>3</v>
      </c>
    </row>
    <row r="88" spans="1:141" s="118" customFormat="1" ht="15.75" customHeight="1">
      <c r="A88" s="136" t="s">
        <v>642</v>
      </c>
      <c r="B88" s="118">
        <v>6200014</v>
      </c>
      <c r="C88" s="135" t="s">
        <v>505</v>
      </c>
      <c r="D88" s="285">
        <v>1</v>
      </c>
      <c r="E88" s="198" t="s">
        <v>823</v>
      </c>
      <c r="F88" s="225">
        <f>SUMIF(站前4樓!B:B,B88,站前4樓!F:F)</f>
        <v>0</v>
      </c>
      <c r="G88" s="225">
        <f>SUMIF(站前11樓!B:B,B88,站前11樓!F:F)</f>
        <v>0</v>
      </c>
      <c r="H88" s="225">
        <f>SUMIF(忠孝7樓!B:B,B88,忠孝7樓!G:G)</f>
        <v>0</v>
      </c>
      <c r="I88" s="225">
        <f>SUMIF(忠孝國際醫學3樓!B:B,B88,忠孝國際醫學3樓!G:G)</f>
        <v>3</v>
      </c>
      <c r="J88" s="225">
        <f>SUMIF(忠孝健康7樓!B:B,B88,忠孝健康7樓!G:G)</f>
        <v>0</v>
      </c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  <c r="AA88" s="283"/>
      <c r="AB88" s="283"/>
      <c r="AC88" s="283"/>
      <c r="AD88" s="283"/>
      <c r="AE88" s="283"/>
      <c r="AF88" s="283"/>
      <c r="AG88" s="283"/>
      <c r="AH88" s="283"/>
      <c r="AI88" s="283"/>
      <c r="AJ88" s="201"/>
      <c r="AK88" s="201"/>
      <c r="AL88" s="201"/>
      <c r="AM88" s="201"/>
      <c r="AN88" s="201"/>
      <c r="AO88" s="201"/>
      <c r="AP88" s="201"/>
      <c r="AQ88" s="201"/>
      <c r="AR88" s="201"/>
      <c r="AS88" s="201"/>
      <c r="AT88" s="201"/>
      <c r="AU88" s="201"/>
      <c r="AV88" s="283"/>
      <c r="AW88" s="286"/>
      <c r="AX88" s="201" t="s">
        <v>49</v>
      </c>
      <c r="AY88" s="201" t="s">
        <v>49</v>
      </c>
      <c r="AZ88" s="201" t="s">
        <v>49</v>
      </c>
      <c r="BA88" s="201" t="s">
        <v>49</v>
      </c>
      <c r="BB88" s="201" t="s">
        <v>49</v>
      </c>
      <c r="BC88" s="203">
        <f>SUMIFS(領用表!$L:$L,領用表!$A:$A,BC$2,領用表!$E:$E,B88)</f>
        <v>0</v>
      </c>
      <c r="BD88" s="296">
        <f>SUMIFS(領用表!$L:$L,領用表!$E:$E,$B88,領用表!$B:$B,BC$2&amp;BD$2)</f>
        <v>0</v>
      </c>
      <c r="BE88" s="296">
        <f>SUMIFS(領用表!$L:$L,領用表!$E:$E,$B88,領用表!$B:$B,$BC$2&amp;BE$2)</f>
        <v>0</v>
      </c>
      <c r="BF88" s="296">
        <f>SUMIFS(領用表!$L:$L,領用表!$E:$E,$B88,領用表!$B:$B,$BC$2&amp;BF$2)</f>
        <v>0</v>
      </c>
      <c r="BG88" s="206">
        <f>SUMIFS(領用表!$L:$L,領用表!$E:$E,$B88,領用表!$B:$B,$BC$2&amp;BG$2)</f>
        <v>0</v>
      </c>
      <c r="BH88" s="203">
        <f>SUMIFS(領用表!$L:$L,領用表!$A:$A,BH$2,領用表!$E:$E,B88)</f>
        <v>34</v>
      </c>
      <c r="BI88" s="260">
        <f>SUMIFS(領用表!$L:$L,領用表!$E:$E,$B88,領用表!$B:$B,BH$2&amp;BI$2)</f>
        <v>0</v>
      </c>
      <c r="BJ88" s="260">
        <f>SUMIFS(領用表!$L:$L,領用表!$E:$E,$B88,領用表!$B:$B,$BH$2&amp;BJ$2)</f>
        <v>19</v>
      </c>
      <c r="BK88" s="260">
        <f>SUMIFS(領用表!$L:$L,領用表!$E:$E,$B88,領用表!$B:$B,$BH$2&amp;BK$2)</f>
        <v>0</v>
      </c>
      <c r="BL88" s="260">
        <f>SUMIFS(領用表!$L:$L,領用表!$E:$E,$B88,領用表!$B:$B,$BH$2&amp;BL$2)</f>
        <v>15</v>
      </c>
      <c r="BM88" s="203">
        <f>SUMIFS(領用表!$L:$L,領用表!$A:$A,BM$2,領用表!$E:$E,B88)</f>
        <v>40</v>
      </c>
      <c r="BN88" s="206">
        <f>SUMIFS(領用表!$L:$L,領用表!$E:$E,$B88,領用表!$B:$B,BM$2&amp;BN$2)</f>
        <v>0</v>
      </c>
      <c r="BO88" s="206">
        <f>SUMIFS(領用表!$L:$L,領用表!$E:$E,$B88,領用表!$B:$B,$BM$2&amp;BO$2)</f>
        <v>14</v>
      </c>
      <c r="BP88" s="297">
        <f>SUMIFS(領用表!$L:$L,領用表!$E:$E,$B88,領用表!$B:$B,$BM$2&amp;BP$2)</f>
        <v>0</v>
      </c>
      <c r="BQ88" s="206">
        <f>SUMIFS(領用表!$L:$L,領用表!$E:$E,$B88,領用表!$B:$B,$BM$2&amp;BQ$2)</f>
        <v>26</v>
      </c>
      <c r="BR88" s="203">
        <f>SUMIFS(領用表!$L:$L,領用表!$A:$A,BR$2,領用表!$E:$E,B88)</f>
        <v>44</v>
      </c>
      <c r="BS88" s="297">
        <f>SUMIFS(領用表!$L:$L,領用表!$E:$E,$B88,領用表!$B:$B,BR$2&amp;BS$2)</f>
        <v>0</v>
      </c>
      <c r="BT88" s="297">
        <f>SUMIFS(領用表!$L:$L,領用表!$E:$E,$B88,領用表!$B:$B,$BR$2&amp;BT$2)</f>
        <v>27</v>
      </c>
      <c r="BU88" s="297">
        <f>SUMIFS(領用表!$L:$L,領用表!$E:$E,$B88,領用表!$B:$B,$BR$2&amp;BU$2)</f>
        <v>0</v>
      </c>
      <c r="BV88" s="206">
        <f>SUMIFS(領用表!$L:$L,領用表!$E:$E,$B88,領用表!$B:$B,$BR$2&amp;BV$2)</f>
        <v>17</v>
      </c>
      <c r="BW88" s="208">
        <f>SUMIFS(領用表!$L:$L,領用表!$A:$A,BW$2,領用表!$E:$E,B88)</f>
        <v>18</v>
      </c>
      <c r="BX88" s="206">
        <f>SUMIFS(領用表!$L:$L,領用表!$E:$E,$B88,領用表!$B:$B,BW$2&amp;BX$2)</f>
        <v>0</v>
      </c>
      <c r="BY88" s="206">
        <f>SUMIFS(領用表!$L:$L,領用表!$E:$E,$B88,領用表!$B:$B,$BW$2&amp;BY$2)</f>
        <v>0</v>
      </c>
      <c r="BZ88" s="206">
        <f>SUMIFS(領用表!$L:$L,領用表!$E:$E,$B88,領用表!$B:$B,$BW$2&amp;BZ$2)</f>
        <v>0</v>
      </c>
      <c r="CA88" s="206">
        <f>SUMIFS(領用表!$L:$L,領用表!$E:$E,$B88,領用表!$B:$B,$BW$2&amp;CA$2)</f>
        <v>18</v>
      </c>
      <c r="CB88" s="208">
        <f>SUMIFS(領用表!$L:$L,領用表!$A:$A,CB$2,領用表!$E:$E,B88)</f>
        <v>5</v>
      </c>
      <c r="CC88" s="206">
        <f>SUMIFS(領用表!$L:$L,領用表!$E:$E,$B88,領用表!$B:$B,CB$2&amp;CC$2)</f>
        <v>0</v>
      </c>
      <c r="CD88" s="206">
        <f>SUMIFS(領用表!$L:$L,領用表!$E:$E,$B88,領用表!$B:$B,$CB$2&amp;CD$2)</f>
        <v>1</v>
      </c>
      <c r="CE88" s="206">
        <f>SUMIFS(領用表!$L:$L,領用表!$E:$E,$B88,領用表!$B:$B,$CB$2&amp;CE$2)</f>
        <v>0</v>
      </c>
      <c r="CF88" s="206">
        <f>SUMIFS(領用表!$L:$L,領用表!$E:$E,$B88,領用表!$B:$B,$CB$2&amp;CF$2)</f>
        <v>4</v>
      </c>
      <c r="CG88" s="208">
        <f>SUMIFS(領用表!$L:$L,領用表!$A:$A,CG$2,領用表!$E:$E,B88)</f>
        <v>4</v>
      </c>
      <c r="CH88" s="206">
        <f>SUMIFS(領用表!$L:$L,領用表!$E:$E,$B88,領用表!$B:$B,CG$2&amp;CH$2)</f>
        <v>0</v>
      </c>
      <c r="CI88" s="206">
        <f>SUMIFS(領用表!$L:$L,領用表!$E:$E,$B88,領用表!$B:$B,CG$2&amp;CI$2)</f>
        <v>0</v>
      </c>
      <c r="CJ88" s="206">
        <f>SUMIFS(領用表!$L:$L,領用表!$E:$E,$B88,領用表!$B:$B,CG$2&amp;CJ$2)</f>
        <v>0</v>
      </c>
      <c r="CK88" s="206">
        <f>SUMIFS(領用表!$L:$L,領用表!$E:$E,$B88,領用表!$B:$B,$CG$2&amp;CK$2)</f>
        <v>4</v>
      </c>
      <c r="CL88" s="207">
        <f t="shared" si="22"/>
        <v>145</v>
      </c>
      <c r="CM88" s="207">
        <f t="shared" si="23"/>
        <v>20.714285714285715</v>
      </c>
      <c r="CN88" s="208">
        <f>SUMIFS(領用表!$L:$L,領用表!$A:$A,CN$2,領用表!$E:$E,B88)</f>
        <v>2</v>
      </c>
      <c r="CO88" s="206">
        <f>SUMIFS(領用表!$L:$L,領用表!$E:$E,$B88,領用表!$B:$B,CN$2&amp;CO$2)</f>
        <v>0</v>
      </c>
      <c r="CP88" s="206">
        <f>SUMIFS(領用表!$L:$L,領用表!$E:$E,$B88,領用表!$B:$B,$CN$2&amp;CP$2)</f>
        <v>0</v>
      </c>
      <c r="CQ88" s="206">
        <f>SUMIFS(領用表!$L:$L,領用表!$E:$E,$B88,領用表!$B:$B,$CN$2&amp;CQ$2)</f>
        <v>0</v>
      </c>
      <c r="CR88" s="206">
        <f>SUMIFS(領用表!$L:$L,領用表!$E:$E,$B88,領用表!$B:$B,$CN$2&amp;CR$2)</f>
        <v>2</v>
      </c>
      <c r="CS88" s="208">
        <f>SUMIFS(領用表!$L:$L,領用表!$A:$A,CS$2,領用表!$E:$E,B88)</f>
        <v>0</v>
      </c>
      <c r="CT88" s="206">
        <f>SUMIFS(領用表!$L:$L,領用表!$E:$E,$B88,領用表!$B:$B,CS$2&amp;CT$2)</f>
        <v>0</v>
      </c>
      <c r="CU88" s="206">
        <f>SUMIFS(領用表!$L:$L,領用表!$E:$E,$B88,領用表!$B:$B,$CS$2&amp;CU$2)</f>
        <v>0</v>
      </c>
      <c r="CV88" s="206">
        <f>SUMIFS(領用表!$L:$L,領用表!$E:$E,$B88,領用表!$B:$B,$CS$2&amp;CV$2)</f>
        <v>0</v>
      </c>
      <c r="CW88" s="206">
        <f>SUMIFS(領用表!$L:$L,領用表!$E:$E,$B88,領用表!$B:$B,$CS$2&amp;CW$2)</f>
        <v>0</v>
      </c>
      <c r="CX88" s="206">
        <f>SUMIFS(領用表!$L:$L,領用表!$E:$E,$B88,領用表!$B:$B,$CS$2&amp;CX$2)</f>
        <v>0</v>
      </c>
      <c r="CY88" s="208">
        <f>SUMIFS(領用表!$L:$L,領用表!$A:$A,CY$2,領用表!$E:$E,B88)</f>
        <v>1</v>
      </c>
      <c r="CZ88" s="206">
        <f>SUMIFS(領用表!$L:$L,領用表!$E:$E,$B88,領用表!$B:$B,CY$2&amp;CZ$2)</f>
        <v>0</v>
      </c>
      <c r="DA88" s="206">
        <f>SUMIFS(領用表!$L:$L,領用表!$E:$E,$B88,領用表!$B:$B,$CY$2&amp;DA$2)</f>
        <v>0</v>
      </c>
      <c r="DB88" s="206">
        <f>SUMIFS(領用表!$L:$L,領用表!$E:$E,$B88,領用表!$B:$B,$CY$2&amp;DB$2)</f>
        <v>0</v>
      </c>
      <c r="DC88" s="206">
        <f>SUMIFS(領用表!$L:$L,領用表!$E:$E,$B88,領用表!$B:$B,$CY$2&amp;DC$2)</f>
        <v>1</v>
      </c>
      <c r="DD88" s="206">
        <f>SUMIFS(領用表!$L:$L,領用表!$E:$E,$B88,領用表!$B:$B,$CY$2&amp;DD$2)</f>
        <v>0</v>
      </c>
      <c r="DE88" s="208">
        <f>SUMIFS(領用表!$L:$L,領用表!$A:$A,DE$2,領用表!$E:$E,B88)</f>
        <v>13</v>
      </c>
      <c r="DF88" s="206">
        <f>SUMIFS(領用表!$L:$L,領用表!$E:$E,$B88,領用表!$B:$B,DE$2&amp;DF$2)</f>
        <v>0</v>
      </c>
      <c r="DG88" s="206">
        <f>SUMIFS(領用表!$L:$L,領用表!$E:$E,$B88,領用表!$B:$B,$DE$2&amp;DG$2)</f>
        <v>6</v>
      </c>
      <c r="DH88" s="206">
        <f>SUMIFS(領用表!$L:$L,領用表!$E:$E,$B88,領用表!$B:$B,$DE$2&amp;DH$2)</f>
        <v>0</v>
      </c>
      <c r="DI88" s="206">
        <f>SUMIFS(領用表!$L:$L,領用表!$E:$E,$B88,領用表!$B:$B,$DE$2&amp;DI$2)</f>
        <v>7</v>
      </c>
      <c r="DJ88" s="206">
        <f>SUMIFS(領用表!$L:$L,領用表!$E:$E,$B88,領用表!$B:$B,$DE$2&amp;DJ$2)</f>
        <v>0</v>
      </c>
      <c r="DK88" s="208">
        <f>SUMIFS(領用表!$L:$L,領用表!$A:$A,DK$2,領用表!$E:$E,$B88)</f>
        <v>10</v>
      </c>
      <c r="DL88" s="206">
        <f>SUMIFS(領用表!$L:$L,領用表!$E:$E,$B88,領用表!$B:$B,DK$2&amp;DL$2)</f>
        <v>0</v>
      </c>
      <c r="DM88" s="206">
        <f>SUMIFS(領用表!$L:$L,領用表!$E:$E,$B88,領用表!$B:$B,$DK$2&amp;DM$2)</f>
        <v>8</v>
      </c>
      <c r="DN88" s="206">
        <f>SUMIFS(領用表!$L:$L,領用表!$E:$E,$B88,領用表!$B:$B,$DK$2&amp;DN$2)</f>
        <v>0</v>
      </c>
      <c r="DO88" s="206">
        <f>SUMIFS(領用表!$L:$L,領用表!$E:$E,$B88,領用表!$B:$B,$DK$2&amp;DO$2)</f>
        <v>2</v>
      </c>
      <c r="DP88" s="206">
        <f>SUMIFS(領用表!$L:$L,領用表!$E:$E,$B88,領用表!$B:$B,$DK$2&amp;DP$2)</f>
        <v>0</v>
      </c>
      <c r="DQ88" s="206">
        <f t="shared" si="28"/>
        <v>26</v>
      </c>
      <c r="DR88" s="206">
        <f t="shared" si="29"/>
        <v>5.2</v>
      </c>
      <c r="DS88" s="206">
        <f t="shared" si="27"/>
        <v>24</v>
      </c>
      <c r="DT88" s="206">
        <v>0</v>
      </c>
      <c r="DU88" s="206">
        <v>8</v>
      </c>
      <c r="DV88" s="206">
        <v>0</v>
      </c>
      <c r="DW88" s="206">
        <v>16</v>
      </c>
      <c r="DX88" s="258">
        <v>10</v>
      </c>
      <c r="DY88" s="283"/>
      <c r="DZ88" s="254"/>
      <c r="EA88" s="254" t="s">
        <v>150</v>
      </c>
      <c r="EB88" s="136"/>
      <c r="EC88" s="289"/>
      <c r="ED88" s="118">
        <f>IFERROR(VLOOKUP(A88,站前4樓!A:BF,57,0),0)</f>
        <v>0</v>
      </c>
      <c r="EE88" s="213">
        <f>IFERROR(VLOOKUP(A88,站前11樓!A:BE,57,0),0)</f>
        <v>1</v>
      </c>
      <c r="EF88" s="118">
        <f>IFERROR(VLOOKUP(A88,忠孝7樓!A:N,57,0),0)</f>
        <v>0</v>
      </c>
      <c r="EG88" s="118">
        <f>IFERROR(VLOOKUP(A88,忠孝國際醫學3樓!A:L,57,0),0)</f>
        <v>0</v>
      </c>
      <c r="EH88" s="118">
        <f t="shared" si="25"/>
        <v>1</v>
      </c>
      <c r="EJ88" s="118">
        <v>14</v>
      </c>
      <c r="EK88" s="118">
        <v>18</v>
      </c>
    </row>
    <row r="89" spans="1:141" s="118" customFormat="1" ht="15.75" customHeight="1">
      <c r="A89" s="136" t="s">
        <v>643</v>
      </c>
      <c r="B89" s="118">
        <v>6200015</v>
      </c>
      <c r="C89" s="135" t="s">
        <v>506</v>
      </c>
      <c r="D89" s="285">
        <v>1</v>
      </c>
      <c r="E89" s="198" t="s">
        <v>823</v>
      </c>
      <c r="F89" s="225">
        <f>SUMIF(站前4樓!B:B,B89,站前4樓!F:F)</f>
        <v>0</v>
      </c>
      <c r="G89" s="225">
        <f>SUMIF(站前11樓!B:B,B89,站前11樓!F:F)</f>
        <v>0</v>
      </c>
      <c r="H89" s="225">
        <f>SUMIF(忠孝7樓!B:B,B89,忠孝7樓!G:G)</f>
        <v>0</v>
      </c>
      <c r="I89" s="225">
        <f>SUMIF(忠孝國際醫學3樓!B:B,B89,忠孝國際醫學3樓!G:G)</f>
        <v>0</v>
      </c>
      <c r="J89" s="225">
        <f>SUMIF(忠孝健康7樓!B:B,B89,忠孝健康7樓!G:G)</f>
        <v>0</v>
      </c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01"/>
      <c r="AK89" s="201"/>
      <c r="AL89" s="201"/>
      <c r="AM89" s="201"/>
      <c r="AN89" s="201"/>
      <c r="AO89" s="201"/>
      <c r="AP89" s="201"/>
      <c r="AQ89" s="201"/>
      <c r="AR89" s="201"/>
      <c r="AS89" s="201"/>
      <c r="AT89" s="201"/>
      <c r="AU89" s="201"/>
      <c r="AV89" s="283"/>
      <c r="AW89" s="286"/>
      <c r="AX89" s="201"/>
      <c r="AY89" s="201"/>
      <c r="AZ89" s="201"/>
      <c r="BA89" s="201"/>
      <c r="BB89" s="201"/>
      <c r="BC89" s="203">
        <f>SUMIFS(領用表!$L:$L,領用表!$A:$A,BC$2,領用表!$E:$E,B89)</f>
        <v>0</v>
      </c>
      <c r="BD89" s="296">
        <f>SUMIFS(領用表!$L:$L,領用表!$E:$E,$B89,領用表!$B:$B,BC$2&amp;BD$2)</f>
        <v>0</v>
      </c>
      <c r="BE89" s="296">
        <f>SUMIFS(領用表!$L:$L,領用表!$E:$E,$B89,領用表!$B:$B,$BC$2&amp;BE$2)</f>
        <v>0</v>
      </c>
      <c r="BF89" s="296">
        <f>SUMIFS(領用表!$L:$L,領用表!$E:$E,$B89,領用表!$B:$B,$BC$2&amp;BF$2)</f>
        <v>0</v>
      </c>
      <c r="BG89" s="206">
        <f>SUMIFS(領用表!$L:$L,領用表!$E:$E,$B89,領用表!$B:$B,$BC$2&amp;BG$2)</f>
        <v>0</v>
      </c>
      <c r="BH89" s="203">
        <f>SUMIFS(領用表!$L:$L,領用表!$A:$A,BH$2,領用表!$E:$E,B89)</f>
        <v>0</v>
      </c>
      <c r="BI89" s="260">
        <f>SUMIFS(領用表!$L:$L,領用表!$E:$E,$B89,領用表!$B:$B,BH$2&amp;BI$2)</f>
        <v>0</v>
      </c>
      <c r="BJ89" s="260">
        <f>SUMIFS(領用表!$L:$L,領用表!$E:$E,$B89,領用表!$B:$B,$BH$2&amp;BJ$2)</f>
        <v>0</v>
      </c>
      <c r="BK89" s="260">
        <f>SUMIFS(領用表!$L:$L,領用表!$E:$E,$B89,領用表!$B:$B,$BH$2&amp;BK$2)</f>
        <v>0</v>
      </c>
      <c r="BL89" s="260">
        <f>SUMIFS(領用表!$L:$L,領用表!$E:$E,$B89,領用表!$B:$B,$BH$2&amp;BL$2)</f>
        <v>0</v>
      </c>
      <c r="BM89" s="203">
        <f>SUMIFS(領用表!$L:$L,領用表!$A:$A,BM$2,領用表!$E:$E,B89)</f>
        <v>2</v>
      </c>
      <c r="BN89" s="206">
        <f>SUMIFS(領用表!$L:$L,領用表!$E:$E,$B89,領用表!$B:$B,BM$2&amp;BN$2)</f>
        <v>0</v>
      </c>
      <c r="BO89" s="206">
        <f>SUMIFS(領用表!$L:$L,領用表!$E:$E,$B89,領用表!$B:$B,$BM$2&amp;BO$2)</f>
        <v>0</v>
      </c>
      <c r="BP89" s="297">
        <f>SUMIFS(領用表!$L:$L,領用表!$E:$E,$B89,領用表!$B:$B,$BM$2&amp;BP$2)</f>
        <v>0</v>
      </c>
      <c r="BQ89" s="206">
        <f>SUMIFS(領用表!$L:$L,領用表!$E:$E,$B89,領用表!$B:$B,$BM$2&amp;BQ$2)</f>
        <v>2</v>
      </c>
      <c r="BR89" s="203">
        <f>SUMIFS(領用表!$L:$L,領用表!$A:$A,BR$2,領用表!$E:$E,B89)</f>
        <v>28</v>
      </c>
      <c r="BS89" s="297">
        <f>SUMIFS(領用表!$L:$L,領用表!$E:$E,$B89,領用表!$B:$B,BR$2&amp;BS$2)</f>
        <v>0</v>
      </c>
      <c r="BT89" s="297">
        <f>SUMIFS(領用表!$L:$L,領用表!$E:$E,$B89,領用表!$B:$B,$BR$2&amp;BT$2)</f>
        <v>4</v>
      </c>
      <c r="BU89" s="297">
        <f>SUMIFS(領用表!$L:$L,領用表!$E:$E,$B89,領用表!$B:$B,$BR$2&amp;BU$2)</f>
        <v>0</v>
      </c>
      <c r="BV89" s="206">
        <f>SUMIFS(領用表!$L:$L,領用表!$E:$E,$B89,領用表!$B:$B,$BR$2&amp;BV$2)</f>
        <v>24</v>
      </c>
      <c r="BW89" s="208">
        <f>SUMIFS(領用表!$L:$L,領用表!$A:$A,BW$2,領用表!$E:$E,B89)</f>
        <v>11</v>
      </c>
      <c r="BX89" s="206">
        <f>SUMIFS(領用表!$L:$L,領用表!$E:$E,$B89,領用表!$B:$B,BW$2&amp;BX$2)</f>
        <v>0</v>
      </c>
      <c r="BY89" s="206">
        <f>SUMIFS(領用表!$L:$L,領用表!$E:$E,$B89,領用表!$B:$B,$BW$2&amp;BY$2)</f>
        <v>5</v>
      </c>
      <c r="BZ89" s="206">
        <f>SUMIFS(領用表!$L:$L,領用表!$E:$E,$B89,領用表!$B:$B,$BW$2&amp;BZ$2)</f>
        <v>0</v>
      </c>
      <c r="CA89" s="206">
        <f>SUMIFS(領用表!$L:$L,領用表!$E:$E,$B89,領用表!$B:$B,$BW$2&amp;CA$2)</f>
        <v>6</v>
      </c>
      <c r="CB89" s="208">
        <f>SUMIFS(領用表!$L:$L,領用表!$A:$A,CB$2,領用表!$E:$E,B89)</f>
        <v>7</v>
      </c>
      <c r="CC89" s="206">
        <f>SUMIFS(領用表!$L:$L,領用表!$E:$E,$B89,領用表!$B:$B,CB$2&amp;CC$2)</f>
        <v>0</v>
      </c>
      <c r="CD89" s="206">
        <f>SUMIFS(領用表!$L:$L,領用表!$E:$E,$B89,領用表!$B:$B,$CB$2&amp;CD$2)</f>
        <v>2</v>
      </c>
      <c r="CE89" s="206">
        <f>SUMIFS(領用表!$L:$L,領用表!$E:$E,$B89,領用表!$B:$B,$CB$2&amp;CE$2)</f>
        <v>0</v>
      </c>
      <c r="CF89" s="206">
        <f>SUMIFS(領用表!$L:$L,領用表!$E:$E,$B89,領用表!$B:$B,$CB$2&amp;CF$2)</f>
        <v>5</v>
      </c>
      <c r="CG89" s="208">
        <f>SUMIFS(領用表!$L:$L,領用表!$A:$A,CG$2,領用表!$E:$E,B89)</f>
        <v>3</v>
      </c>
      <c r="CH89" s="206">
        <f>SUMIFS(領用表!$L:$L,領用表!$E:$E,$B89,領用表!$B:$B,CG$2&amp;CH$2)</f>
        <v>0</v>
      </c>
      <c r="CI89" s="206">
        <f>SUMIFS(領用表!$L:$L,領用表!$E:$E,$B89,領用表!$B:$B,CG$2&amp;CI$2)</f>
        <v>0</v>
      </c>
      <c r="CJ89" s="206">
        <f>SUMIFS(領用表!$L:$L,領用表!$E:$E,$B89,領用表!$B:$B,CG$2&amp;CJ$2)</f>
        <v>0</v>
      </c>
      <c r="CK89" s="206">
        <f>SUMIFS(領用表!$L:$L,領用表!$E:$E,$B89,領用表!$B:$B,$CG$2&amp;CK$2)</f>
        <v>3</v>
      </c>
      <c r="CL89" s="207">
        <f t="shared" si="22"/>
        <v>51</v>
      </c>
      <c r="CM89" s="207">
        <f t="shared" si="23"/>
        <v>7.2857142857142856</v>
      </c>
      <c r="CN89" s="208">
        <f>SUMIFS(領用表!$L:$L,領用表!$A:$A,CN$2,領用表!$E:$E,B89)</f>
        <v>4</v>
      </c>
      <c r="CO89" s="206">
        <f>SUMIFS(領用表!$L:$L,領用表!$E:$E,$B89,領用表!$B:$B,CN$2&amp;CO$2)</f>
        <v>0</v>
      </c>
      <c r="CP89" s="206">
        <f>SUMIFS(領用表!$L:$L,領用表!$E:$E,$B89,領用表!$B:$B,$CN$2&amp;CP$2)</f>
        <v>1</v>
      </c>
      <c r="CQ89" s="206">
        <f>SUMIFS(領用表!$L:$L,領用表!$E:$E,$B89,領用表!$B:$B,$CN$2&amp;CQ$2)</f>
        <v>0</v>
      </c>
      <c r="CR89" s="206">
        <f>SUMIFS(領用表!$L:$L,領用表!$E:$E,$B89,領用表!$B:$B,$CN$2&amp;CR$2)</f>
        <v>3</v>
      </c>
      <c r="CS89" s="208">
        <f>SUMIFS(領用表!$L:$L,領用表!$A:$A,CS$2,領用表!$E:$E,B89)</f>
        <v>1</v>
      </c>
      <c r="CT89" s="206">
        <f>SUMIFS(領用表!$L:$L,領用表!$E:$E,$B89,領用表!$B:$B,CS$2&amp;CT$2)</f>
        <v>0</v>
      </c>
      <c r="CU89" s="206">
        <f>SUMIFS(領用表!$L:$L,領用表!$E:$E,$B89,領用表!$B:$B,$CS$2&amp;CU$2)</f>
        <v>0</v>
      </c>
      <c r="CV89" s="206">
        <f>SUMIFS(領用表!$L:$L,領用表!$E:$E,$B89,領用表!$B:$B,$CS$2&amp;CV$2)</f>
        <v>0</v>
      </c>
      <c r="CW89" s="206">
        <f>SUMIFS(領用表!$L:$L,領用表!$E:$E,$B89,領用表!$B:$B,$CS$2&amp;CW$2)</f>
        <v>1</v>
      </c>
      <c r="CX89" s="206">
        <f>SUMIFS(領用表!$L:$L,領用表!$E:$E,$B89,領用表!$B:$B,$CS$2&amp;CX$2)</f>
        <v>0</v>
      </c>
      <c r="CY89" s="208">
        <f>SUMIFS(領用表!$L:$L,領用表!$A:$A,CY$2,領用表!$E:$E,B89)</f>
        <v>0</v>
      </c>
      <c r="CZ89" s="206">
        <f>SUMIFS(領用表!$L:$L,領用表!$E:$E,$B89,領用表!$B:$B,CY$2&amp;CZ$2)</f>
        <v>0</v>
      </c>
      <c r="DA89" s="206">
        <f>SUMIFS(領用表!$L:$L,領用表!$E:$E,$B89,領用表!$B:$B,$CY$2&amp;DA$2)</f>
        <v>0</v>
      </c>
      <c r="DB89" s="206">
        <f>SUMIFS(領用表!$L:$L,領用表!$E:$E,$B89,領用表!$B:$B,$CY$2&amp;DB$2)</f>
        <v>0</v>
      </c>
      <c r="DC89" s="206">
        <f>SUMIFS(領用表!$L:$L,領用表!$E:$E,$B89,領用表!$B:$B,$CY$2&amp;DC$2)</f>
        <v>0</v>
      </c>
      <c r="DD89" s="206">
        <f>SUMIFS(領用表!$L:$L,領用表!$E:$E,$B89,領用表!$B:$B,$CY$2&amp;DD$2)</f>
        <v>0</v>
      </c>
      <c r="DE89" s="208">
        <f>SUMIFS(領用表!$L:$L,領用表!$A:$A,DE$2,領用表!$E:$E,B89)</f>
        <v>4</v>
      </c>
      <c r="DF89" s="206">
        <f>SUMIFS(領用表!$L:$L,領用表!$E:$E,$B89,領用表!$B:$B,DE$2&amp;DF$2)</f>
        <v>0</v>
      </c>
      <c r="DG89" s="206">
        <f>SUMIFS(領用表!$L:$L,領用表!$E:$E,$B89,領用表!$B:$B,$DE$2&amp;DG$2)</f>
        <v>0</v>
      </c>
      <c r="DH89" s="206">
        <f>SUMIFS(領用表!$L:$L,領用表!$E:$E,$B89,領用表!$B:$B,$DE$2&amp;DH$2)</f>
        <v>0</v>
      </c>
      <c r="DI89" s="206">
        <f>SUMIFS(領用表!$L:$L,領用表!$E:$E,$B89,領用表!$B:$B,$DE$2&amp;DI$2)</f>
        <v>4</v>
      </c>
      <c r="DJ89" s="206">
        <f>SUMIFS(領用表!$L:$L,領用表!$E:$E,$B89,領用表!$B:$B,$DE$2&amp;DJ$2)</f>
        <v>0</v>
      </c>
      <c r="DK89" s="208">
        <f>SUMIFS(領用表!$L:$L,領用表!$A:$A,DK$2,領用表!$E:$E,$B89)</f>
        <v>0</v>
      </c>
      <c r="DL89" s="206">
        <f>SUMIFS(領用表!$L:$L,領用表!$E:$E,$B89,領用表!$B:$B,DK$2&amp;DL$2)</f>
        <v>0</v>
      </c>
      <c r="DM89" s="206">
        <f>SUMIFS(領用表!$L:$L,領用表!$E:$E,$B89,領用表!$B:$B,$DK$2&amp;DM$2)</f>
        <v>0</v>
      </c>
      <c r="DN89" s="206">
        <f>SUMIFS(領用表!$L:$L,領用表!$E:$E,$B89,領用表!$B:$B,$DK$2&amp;DN$2)</f>
        <v>0</v>
      </c>
      <c r="DO89" s="206">
        <f>SUMIFS(領用表!$L:$L,領用表!$E:$E,$B89,領用表!$B:$B,$DK$2&amp;DO$2)</f>
        <v>0</v>
      </c>
      <c r="DP89" s="206">
        <f>SUMIFS(領用表!$L:$L,領用表!$E:$E,$B89,領用表!$B:$B,$DK$2&amp;DP$2)</f>
        <v>0</v>
      </c>
      <c r="DQ89" s="206">
        <f t="shared" si="28"/>
        <v>9</v>
      </c>
      <c r="DR89" s="206">
        <f t="shared" si="29"/>
        <v>1.8</v>
      </c>
      <c r="DS89" s="206">
        <f t="shared" si="27"/>
        <v>13</v>
      </c>
      <c r="DT89" s="206">
        <v>0</v>
      </c>
      <c r="DU89" s="206">
        <v>8</v>
      </c>
      <c r="DV89" s="206">
        <v>0</v>
      </c>
      <c r="DW89" s="206">
        <v>5</v>
      </c>
      <c r="DX89" s="258"/>
      <c r="DY89" s="283"/>
      <c r="DZ89" s="283"/>
      <c r="EA89" s="283" t="s">
        <v>150</v>
      </c>
      <c r="EB89" s="136"/>
      <c r="EC89" s="289"/>
      <c r="ED89" s="118">
        <f>IFERROR(VLOOKUP(A89,站前4樓!A:BF,57,0),0)</f>
        <v>0</v>
      </c>
      <c r="EE89" s="213">
        <f>IFERROR(VLOOKUP(A89,站前11樓!A:BE,57,0),0)</f>
        <v>2</v>
      </c>
      <c r="EF89" s="118">
        <f>IFERROR(VLOOKUP(A89,忠孝7樓!A:N,57,0),0)</f>
        <v>0</v>
      </c>
      <c r="EG89" s="118">
        <f>IFERROR(VLOOKUP(A89,忠孝國際醫學3樓!A:L,57,0),0)</f>
        <v>0</v>
      </c>
      <c r="EH89" s="118">
        <f t="shared" si="25"/>
        <v>2</v>
      </c>
      <c r="EJ89" s="118">
        <v>7</v>
      </c>
      <c r="EK89" s="118">
        <v>5</v>
      </c>
    </row>
    <row r="90" spans="1:141" s="118" customFormat="1" ht="15.75" customHeight="1">
      <c r="A90" s="136" t="s">
        <v>644</v>
      </c>
      <c r="B90" s="118">
        <v>6200016</v>
      </c>
      <c r="C90" s="135" t="s">
        <v>507</v>
      </c>
      <c r="D90" s="285">
        <v>1</v>
      </c>
      <c r="E90" s="198" t="s">
        <v>823</v>
      </c>
      <c r="F90" s="225">
        <f>SUMIF(站前4樓!B:B,B90,站前4樓!F:F)</f>
        <v>0</v>
      </c>
      <c r="G90" s="225">
        <f>SUMIF(站前11樓!B:B,B90,站前11樓!F:F)</f>
        <v>3</v>
      </c>
      <c r="H90" s="225">
        <f>SUMIF(忠孝7樓!B:B,B90,忠孝7樓!G:G)</f>
        <v>0</v>
      </c>
      <c r="I90" s="225">
        <f>SUMIF(忠孝國際醫學3樓!B:B,B90,忠孝國際醫學3樓!G:G)</f>
        <v>11</v>
      </c>
      <c r="J90" s="225">
        <f>SUMIF(忠孝健康7樓!B:B,B90,忠孝健康7樓!G:G)</f>
        <v>0</v>
      </c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283"/>
      <c r="AB90" s="283"/>
      <c r="AC90" s="283"/>
      <c r="AD90" s="283"/>
      <c r="AE90" s="283"/>
      <c r="AF90" s="283"/>
      <c r="AG90" s="283"/>
      <c r="AH90" s="283"/>
      <c r="AI90" s="283"/>
      <c r="AJ90" s="201"/>
      <c r="AK90" s="201"/>
      <c r="AL90" s="201"/>
      <c r="AM90" s="201"/>
      <c r="AN90" s="201"/>
      <c r="AO90" s="201"/>
      <c r="AP90" s="201"/>
      <c r="AQ90" s="201"/>
      <c r="AR90" s="201"/>
      <c r="AS90" s="201"/>
      <c r="AT90" s="201"/>
      <c r="AU90" s="201"/>
      <c r="AV90" s="283"/>
      <c r="AW90" s="286"/>
      <c r="AX90" s="201" t="s">
        <v>49</v>
      </c>
      <c r="AY90" s="201" t="s">
        <v>49</v>
      </c>
      <c r="AZ90" s="201" t="s">
        <v>49</v>
      </c>
      <c r="BA90" s="201" t="s">
        <v>49</v>
      </c>
      <c r="BB90" s="201" t="s">
        <v>49</v>
      </c>
      <c r="BC90" s="203">
        <f>SUMIFS(領用表!$L:$L,領用表!$A:$A,BC$2,領用表!$E:$E,B90)</f>
        <v>0</v>
      </c>
      <c r="BD90" s="296">
        <f>SUMIFS(領用表!$L:$L,領用表!$E:$E,$B90,領用表!$B:$B,BC$2&amp;BD$2)</f>
        <v>0</v>
      </c>
      <c r="BE90" s="296">
        <f>SUMIFS(領用表!$L:$L,領用表!$E:$E,$B90,領用表!$B:$B,$BC$2&amp;BE$2)</f>
        <v>0</v>
      </c>
      <c r="BF90" s="296">
        <f>SUMIFS(領用表!$L:$L,領用表!$E:$E,$B90,領用表!$B:$B,$BC$2&amp;BF$2)</f>
        <v>0</v>
      </c>
      <c r="BG90" s="206">
        <f>SUMIFS(領用表!$L:$L,領用表!$E:$E,$B90,領用表!$B:$B,$BC$2&amp;BG$2)</f>
        <v>0</v>
      </c>
      <c r="BH90" s="203">
        <f>SUMIFS(領用表!$L:$L,領用表!$A:$A,BH$2,領用表!$E:$E,B90)</f>
        <v>7</v>
      </c>
      <c r="BI90" s="260">
        <f>SUMIFS(領用表!$L:$L,領用表!$E:$E,$B90,領用表!$B:$B,BH$2&amp;BI$2)</f>
        <v>0</v>
      </c>
      <c r="BJ90" s="260">
        <f>SUMIFS(領用表!$L:$L,領用表!$E:$E,$B90,領用表!$B:$B,$BH$2&amp;BJ$2)</f>
        <v>3</v>
      </c>
      <c r="BK90" s="260">
        <f>SUMIFS(領用表!$L:$L,領用表!$E:$E,$B90,領用表!$B:$B,$BH$2&amp;BK$2)</f>
        <v>0</v>
      </c>
      <c r="BL90" s="260">
        <f>SUMIFS(領用表!$L:$L,領用表!$E:$E,$B90,領用表!$B:$B,$BH$2&amp;BL$2)</f>
        <v>4</v>
      </c>
      <c r="BM90" s="203">
        <f>SUMIFS(領用表!$L:$L,領用表!$A:$A,BM$2,領用表!$E:$E,B90)</f>
        <v>34</v>
      </c>
      <c r="BN90" s="206">
        <f>SUMIFS(領用表!$L:$L,領用表!$E:$E,$B90,領用表!$B:$B,BM$2&amp;BN$2)</f>
        <v>0</v>
      </c>
      <c r="BO90" s="206">
        <f>SUMIFS(領用表!$L:$L,領用表!$E:$E,$B90,領用表!$B:$B,$BM$2&amp;BO$2)</f>
        <v>11</v>
      </c>
      <c r="BP90" s="297">
        <f>SUMIFS(領用表!$L:$L,領用表!$E:$E,$B90,領用表!$B:$B,$BM$2&amp;BP$2)</f>
        <v>0</v>
      </c>
      <c r="BQ90" s="206">
        <f>SUMIFS(領用表!$L:$L,領用表!$E:$E,$B90,領用表!$B:$B,$BM$2&amp;BQ$2)</f>
        <v>23</v>
      </c>
      <c r="BR90" s="203">
        <f>SUMIFS(領用表!$L:$L,領用表!$A:$A,BR$2,領用表!$E:$E,B90)</f>
        <v>48</v>
      </c>
      <c r="BS90" s="297">
        <f>SUMIFS(領用表!$L:$L,領用表!$E:$E,$B90,領用表!$B:$B,BR$2&amp;BS$2)</f>
        <v>0</v>
      </c>
      <c r="BT90" s="297">
        <f>SUMIFS(領用表!$L:$L,領用表!$E:$E,$B90,領用表!$B:$B,$BR$2&amp;BT$2)</f>
        <v>35</v>
      </c>
      <c r="BU90" s="297">
        <f>SUMIFS(領用表!$L:$L,領用表!$E:$E,$B90,領用表!$B:$B,$BR$2&amp;BU$2)</f>
        <v>0</v>
      </c>
      <c r="BV90" s="206">
        <f>SUMIFS(領用表!$L:$L,領用表!$E:$E,$B90,領用表!$B:$B,$BR$2&amp;BV$2)</f>
        <v>13</v>
      </c>
      <c r="BW90" s="208">
        <f>SUMIFS(領用表!$L:$L,領用表!$A:$A,BW$2,領用表!$E:$E,B90)</f>
        <v>0</v>
      </c>
      <c r="BX90" s="206">
        <f>SUMIFS(領用表!$L:$L,領用表!$E:$E,$B90,領用表!$B:$B,BW$2&amp;BX$2)</f>
        <v>0</v>
      </c>
      <c r="BY90" s="206">
        <f>SUMIFS(領用表!$L:$L,領用表!$E:$E,$B90,領用表!$B:$B,$BW$2&amp;BY$2)</f>
        <v>0</v>
      </c>
      <c r="BZ90" s="206">
        <f>SUMIFS(領用表!$L:$L,領用表!$E:$E,$B90,領用表!$B:$B,$BW$2&amp;BZ$2)</f>
        <v>0</v>
      </c>
      <c r="CA90" s="206">
        <f>SUMIFS(領用表!$L:$L,領用表!$E:$E,$B90,領用表!$B:$B,$BW$2&amp;CA$2)</f>
        <v>0</v>
      </c>
      <c r="CB90" s="208">
        <f>SUMIFS(領用表!$L:$L,領用表!$A:$A,CB$2,領用表!$E:$E,B90)</f>
        <v>28</v>
      </c>
      <c r="CC90" s="206">
        <f>SUMIFS(領用表!$L:$L,領用表!$E:$E,$B90,領用表!$B:$B,CB$2&amp;CC$2)</f>
        <v>0</v>
      </c>
      <c r="CD90" s="206">
        <f>SUMIFS(領用表!$L:$L,領用表!$E:$E,$B90,領用表!$B:$B,$CB$2&amp;CD$2)</f>
        <v>4</v>
      </c>
      <c r="CE90" s="206">
        <f>SUMIFS(領用表!$L:$L,領用表!$E:$E,$B90,領用表!$B:$B,$CB$2&amp;CE$2)</f>
        <v>0</v>
      </c>
      <c r="CF90" s="206">
        <f>SUMIFS(領用表!$L:$L,領用表!$E:$E,$B90,領用表!$B:$B,$CB$2&amp;CF$2)</f>
        <v>24</v>
      </c>
      <c r="CG90" s="208">
        <f>SUMIFS(領用表!$L:$L,領用表!$A:$A,CG$2,領用表!$E:$E,B90)</f>
        <v>22</v>
      </c>
      <c r="CH90" s="206">
        <f>SUMIFS(領用表!$L:$L,領用表!$E:$E,$B90,領用表!$B:$B,CG$2&amp;CH$2)</f>
        <v>0</v>
      </c>
      <c r="CI90" s="206">
        <f>SUMIFS(領用表!$L:$L,領用表!$E:$E,$B90,領用表!$B:$B,CG$2&amp;CI$2)</f>
        <v>6</v>
      </c>
      <c r="CJ90" s="206">
        <f>SUMIFS(領用表!$L:$L,領用表!$E:$E,$B90,領用表!$B:$B,CG$2&amp;CJ$2)</f>
        <v>0</v>
      </c>
      <c r="CK90" s="206">
        <f>SUMIFS(領用表!$L:$L,領用表!$E:$E,$B90,領用表!$B:$B,$CG$2&amp;CK$2)</f>
        <v>16</v>
      </c>
      <c r="CL90" s="207">
        <f t="shared" si="22"/>
        <v>139</v>
      </c>
      <c r="CM90" s="207">
        <f t="shared" si="23"/>
        <v>19.857142857142858</v>
      </c>
      <c r="CN90" s="208">
        <f>SUMIFS(領用表!$L:$L,領用表!$A:$A,CN$2,領用表!$E:$E,B90)</f>
        <v>14</v>
      </c>
      <c r="CO90" s="206">
        <f>SUMIFS(領用表!$L:$L,領用表!$E:$E,$B90,領用表!$B:$B,CN$2&amp;CO$2)</f>
        <v>0</v>
      </c>
      <c r="CP90" s="206">
        <f>SUMIFS(領用表!$L:$L,領用表!$E:$E,$B90,領用表!$B:$B,$CN$2&amp;CP$2)</f>
        <v>7</v>
      </c>
      <c r="CQ90" s="206">
        <f>SUMIFS(領用表!$L:$L,領用表!$E:$E,$B90,領用表!$B:$B,$CN$2&amp;CQ$2)</f>
        <v>0</v>
      </c>
      <c r="CR90" s="206">
        <f>SUMIFS(領用表!$L:$L,領用表!$E:$E,$B90,領用表!$B:$B,$CN$2&amp;CR$2)</f>
        <v>7</v>
      </c>
      <c r="CS90" s="208">
        <f>SUMIFS(領用表!$L:$L,領用表!$A:$A,CS$2,領用表!$E:$E,B90)</f>
        <v>18</v>
      </c>
      <c r="CT90" s="206">
        <f>SUMIFS(領用表!$L:$L,領用表!$E:$E,$B90,領用表!$B:$B,CS$2&amp;CT$2)</f>
        <v>0</v>
      </c>
      <c r="CU90" s="206">
        <f>SUMIFS(領用表!$L:$L,領用表!$E:$E,$B90,領用表!$B:$B,$CS$2&amp;CU$2)</f>
        <v>2</v>
      </c>
      <c r="CV90" s="206">
        <f>SUMIFS(領用表!$L:$L,領用表!$E:$E,$B90,領用表!$B:$B,$CS$2&amp;CV$2)</f>
        <v>0</v>
      </c>
      <c r="CW90" s="206">
        <f>SUMIFS(領用表!$L:$L,領用表!$E:$E,$B90,領用表!$B:$B,$CS$2&amp;CW$2)</f>
        <v>16</v>
      </c>
      <c r="CX90" s="206">
        <f>SUMIFS(領用表!$L:$L,領用表!$E:$E,$B90,領用表!$B:$B,$CS$2&amp;CX$2)</f>
        <v>0</v>
      </c>
      <c r="CY90" s="208">
        <f>SUMIFS(領用表!$L:$L,領用表!$A:$A,CY$2,領用表!$E:$E,B90)</f>
        <v>18</v>
      </c>
      <c r="CZ90" s="206">
        <f>SUMIFS(領用表!$L:$L,領用表!$E:$E,$B90,領用表!$B:$B,CY$2&amp;CZ$2)</f>
        <v>0</v>
      </c>
      <c r="DA90" s="206">
        <f>SUMIFS(領用表!$L:$L,領用表!$E:$E,$B90,領用表!$B:$B,$CY$2&amp;DA$2)</f>
        <v>9</v>
      </c>
      <c r="DB90" s="206">
        <f>SUMIFS(領用表!$L:$L,領用表!$E:$E,$B90,領用表!$B:$B,$CY$2&amp;DB$2)</f>
        <v>0</v>
      </c>
      <c r="DC90" s="206">
        <f>SUMIFS(領用表!$L:$L,領用表!$E:$E,$B90,領用表!$B:$B,$CY$2&amp;DC$2)</f>
        <v>9</v>
      </c>
      <c r="DD90" s="206">
        <f>SUMIFS(領用表!$L:$L,領用表!$E:$E,$B90,領用表!$B:$B,$CY$2&amp;DD$2)</f>
        <v>0</v>
      </c>
      <c r="DE90" s="208">
        <f>SUMIFS(領用表!$L:$L,領用表!$A:$A,DE$2,領用表!$E:$E,B90)</f>
        <v>19</v>
      </c>
      <c r="DF90" s="206">
        <f>SUMIFS(領用表!$L:$L,領用表!$E:$E,$B90,領用表!$B:$B,DE$2&amp;DF$2)</f>
        <v>0</v>
      </c>
      <c r="DG90" s="206">
        <f>SUMIFS(領用表!$L:$L,領用表!$E:$E,$B90,領用表!$B:$B,$DE$2&amp;DG$2)</f>
        <v>11</v>
      </c>
      <c r="DH90" s="206">
        <f>SUMIFS(領用表!$L:$L,領用表!$E:$E,$B90,領用表!$B:$B,$DE$2&amp;DH$2)</f>
        <v>0</v>
      </c>
      <c r="DI90" s="206">
        <f>SUMIFS(領用表!$L:$L,領用表!$E:$E,$B90,領用表!$B:$B,$DE$2&amp;DI$2)</f>
        <v>8</v>
      </c>
      <c r="DJ90" s="206">
        <f>SUMIFS(領用表!$L:$L,領用表!$E:$E,$B90,領用表!$B:$B,$DE$2&amp;DJ$2)</f>
        <v>0</v>
      </c>
      <c r="DK90" s="208">
        <f>SUMIFS(領用表!$L:$L,領用表!$A:$A,DK$2,領用表!$E:$E,$B90)</f>
        <v>7</v>
      </c>
      <c r="DL90" s="206">
        <f>SUMIFS(領用表!$L:$L,領用表!$E:$E,$B90,領用表!$B:$B,DK$2&amp;DL$2)</f>
        <v>0</v>
      </c>
      <c r="DM90" s="206">
        <f>SUMIFS(領用表!$L:$L,領用表!$E:$E,$B90,領用表!$B:$B,$DK$2&amp;DM$2)</f>
        <v>6</v>
      </c>
      <c r="DN90" s="206">
        <f>SUMIFS(領用表!$L:$L,領用表!$E:$E,$B90,領用表!$B:$B,$DK$2&amp;DN$2)</f>
        <v>0</v>
      </c>
      <c r="DO90" s="206">
        <f>SUMIFS(領用表!$L:$L,領用表!$E:$E,$B90,領用表!$B:$B,$DK$2&amp;DO$2)</f>
        <v>1</v>
      </c>
      <c r="DP90" s="206">
        <f>SUMIFS(領用表!$L:$L,領用表!$E:$E,$B90,領用表!$B:$B,$DK$2&amp;DP$2)</f>
        <v>0</v>
      </c>
      <c r="DQ90" s="206">
        <f t="shared" si="28"/>
        <v>76</v>
      </c>
      <c r="DR90" s="206">
        <f t="shared" si="29"/>
        <v>15.2</v>
      </c>
      <c r="DS90" s="206">
        <f t="shared" si="27"/>
        <v>24</v>
      </c>
      <c r="DT90" s="206">
        <v>0</v>
      </c>
      <c r="DU90" s="206">
        <v>12</v>
      </c>
      <c r="DV90" s="206">
        <v>0</v>
      </c>
      <c r="DW90" s="206">
        <v>12</v>
      </c>
      <c r="DX90" s="258">
        <v>10</v>
      </c>
      <c r="DY90" s="283"/>
      <c r="DZ90" s="254"/>
      <c r="EA90" s="254" t="s">
        <v>829</v>
      </c>
      <c r="EB90" s="136"/>
      <c r="EC90" s="289"/>
      <c r="ED90" s="118">
        <f>IFERROR(VLOOKUP(A90,站前4樓!A:BF,57,0),0)</f>
        <v>0</v>
      </c>
      <c r="EE90" s="213">
        <f>IFERROR(VLOOKUP(A90,站前11樓!A:BE,57,0),0)</f>
        <v>4</v>
      </c>
      <c r="EF90" s="118">
        <f>IFERROR(VLOOKUP(A90,忠孝7樓!A:N,57,0),0)</f>
        <v>0</v>
      </c>
      <c r="EG90" s="118">
        <f>IFERROR(VLOOKUP(A90,忠孝國際醫學3樓!A:L,57,0),0)</f>
        <v>0</v>
      </c>
      <c r="EH90" s="118">
        <f t="shared" si="25"/>
        <v>4</v>
      </c>
      <c r="EJ90" s="118">
        <v>32</v>
      </c>
      <c r="EK90" s="118">
        <v>15</v>
      </c>
    </row>
    <row r="91" spans="1:141" s="118" customFormat="1" ht="15.75" customHeight="1" thickBot="1">
      <c r="A91" s="136"/>
      <c r="B91" s="118">
        <v>6200018</v>
      </c>
      <c r="C91" s="186" t="s">
        <v>704</v>
      </c>
      <c r="D91" s="285">
        <v>1</v>
      </c>
      <c r="E91" s="198" t="s">
        <v>823</v>
      </c>
      <c r="F91" s="225">
        <f>SUMIF(站前4樓!B:B,B91,站前4樓!F:F)</f>
        <v>0</v>
      </c>
      <c r="G91" s="225">
        <f>SUMIF(站前11樓!B:B,B91,站前11樓!F:F)</f>
        <v>0</v>
      </c>
      <c r="H91" s="225">
        <f>SUMIF(忠孝7樓!B:B,B91,忠孝7樓!G:G)</f>
        <v>0</v>
      </c>
      <c r="I91" s="225">
        <f>SUMIF(忠孝國際醫學3樓!B:B,B91,忠孝國際醫學3樓!G:G)</f>
        <v>0</v>
      </c>
      <c r="J91" s="225">
        <f>SUMIF(忠孝健康7樓!B:B,B91,忠孝健康7樓!G:G)</f>
        <v>0</v>
      </c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83"/>
      <c r="AB91" s="283"/>
      <c r="AC91" s="283"/>
      <c r="AD91" s="283"/>
      <c r="AE91" s="283"/>
      <c r="AF91" s="283"/>
      <c r="AG91" s="283"/>
      <c r="AH91" s="283"/>
      <c r="AI91" s="283"/>
      <c r="AJ91" s="201"/>
      <c r="AK91" s="201"/>
      <c r="AL91" s="201"/>
      <c r="AM91" s="201"/>
      <c r="AN91" s="201"/>
      <c r="AO91" s="201"/>
      <c r="AP91" s="201"/>
      <c r="AQ91" s="201"/>
      <c r="AR91" s="201"/>
      <c r="AS91" s="201"/>
      <c r="AT91" s="201"/>
      <c r="AU91" s="201"/>
      <c r="AV91" s="283"/>
      <c r="AW91" s="286"/>
      <c r="AX91" s="201"/>
      <c r="AY91" s="201" t="s">
        <v>49</v>
      </c>
      <c r="AZ91" s="201" t="s">
        <v>49</v>
      </c>
      <c r="BA91" s="201" t="s">
        <v>49</v>
      </c>
      <c r="BB91" s="201" t="s">
        <v>49</v>
      </c>
      <c r="BC91" s="203">
        <f>SUMIFS(領用表!$L:$L,領用表!$A:$A,BC$2,領用表!$E:$E,B91)</f>
        <v>0</v>
      </c>
      <c r="BD91" s="296">
        <f>SUMIFS(領用表!$L:$L,領用表!$E:$E,$B91,領用表!$B:$B,BC$2&amp;BD$2)</f>
        <v>0</v>
      </c>
      <c r="BE91" s="296">
        <f>SUMIFS(領用表!$L:$L,領用表!$E:$E,$B91,領用表!$B:$B,$BC$2&amp;BE$2)</f>
        <v>0</v>
      </c>
      <c r="BF91" s="296">
        <f>SUMIFS(領用表!$L:$L,領用表!$E:$E,$B91,領用表!$B:$B,$BC$2&amp;BF$2)</f>
        <v>0</v>
      </c>
      <c r="BG91" s="206">
        <f>SUMIFS(領用表!$L:$L,領用表!$E:$E,$B91,領用表!$B:$B,$BC$2&amp;BG$2)</f>
        <v>0</v>
      </c>
      <c r="BH91" s="203">
        <f>SUMIFS(領用表!$L:$L,領用表!$A:$A,BH$2,領用表!$E:$E,B91)</f>
        <v>0</v>
      </c>
      <c r="BI91" s="260">
        <f>SUMIFS(領用表!$L:$L,領用表!$E:$E,$B91,領用表!$B:$B,BH$2&amp;BI$2)</f>
        <v>0</v>
      </c>
      <c r="BJ91" s="260">
        <f>SUMIFS(領用表!$L:$L,領用表!$E:$E,$B91,領用表!$B:$B,$BH$2&amp;BJ$2)</f>
        <v>0</v>
      </c>
      <c r="BK91" s="260">
        <f>SUMIFS(領用表!$L:$L,領用表!$E:$E,$B91,領用表!$B:$B,$BH$2&amp;BK$2)</f>
        <v>0</v>
      </c>
      <c r="BL91" s="260">
        <f>SUMIFS(領用表!$L:$L,領用表!$E:$E,$B91,領用表!$B:$B,$BH$2&amp;BL$2)</f>
        <v>0</v>
      </c>
      <c r="BM91" s="203">
        <f>SUMIFS(領用表!$L:$L,領用表!$A:$A,BM$2,領用表!$E:$E,B91)</f>
        <v>0</v>
      </c>
      <c r="BN91" s="206">
        <f>SUMIFS(領用表!$L:$L,領用表!$E:$E,$B91,領用表!$B:$B,BM$2&amp;BN$2)</f>
        <v>0</v>
      </c>
      <c r="BO91" s="206">
        <f>SUMIFS(領用表!$L:$L,領用表!$E:$E,$B91,領用表!$B:$B,$BM$2&amp;BO$2)</f>
        <v>0</v>
      </c>
      <c r="BP91" s="297">
        <f>SUMIFS(領用表!$L:$L,領用表!$E:$E,$B91,領用表!$B:$B,$BM$2&amp;BP$2)</f>
        <v>0</v>
      </c>
      <c r="BQ91" s="206">
        <f>SUMIFS(領用表!$L:$L,領用表!$E:$E,$B91,領用表!$B:$B,$BM$2&amp;BQ$2)</f>
        <v>0</v>
      </c>
      <c r="BR91" s="203">
        <f>SUMIFS(領用表!$L:$L,領用表!$A:$A,BR$2,領用表!$E:$E,B91)</f>
        <v>0</v>
      </c>
      <c r="BS91" s="297">
        <f>SUMIFS(領用表!$L:$L,領用表!$E:$E,$B91,領用表!$B:$B,BR$2&amp;BS$2)</f>
        <v>0</v>
      </c>
      <c r="BT91" s="297">
        <f>SUMIFS(領用表!$L:$L,領用表!$E:$E,$B91,領用表!$B:$B,$BR$2&amp;BT$2)</f>
        <v>0</v>
      </c>
      <c r="BU91" s="297">
        <f>SUMIFS(領用表!$L:$L,領用表!$E:$E,$B91,領用表!$B:$B,$BR$2&amp;BU$2)</f>
        <v>0</v>
      </c>
      <c r="BV91" s="206">
        <f>SUMIFS(領用表!$L:$L,領用表!$E:$E,$B91,領用表!$B:$B,$BR$2&amp;BV$2)</f>
        <v>0</v>
      </c>
      <c r="BW91" s="208">
        <f>SUMIFS(領用表!$L:$L,領用表!$A:$A,BW$2,領用表!$E:$E,B91)</f>
        <v>3</v>
      </c>
      <c r="BX91" s="206">
        <f>SUMIFS(領用表!$L:$L,領用表!$E:$E,$B91,領用表!$B:$B,BW$2&amp;BX$2)</f>
        <v>0</v>
      </c>
      <c r="BY91" s="206">
        <f>SUMIFS(領用表!$L:$L,領用表!$E:$E,$B91,領用表!$B:$B,$BW$2&amp;BY$2)</f>
        <v>0</v>
      </c>
      <c r="BZ91" s="206">
        <f>SUMIFS(領用表!$L:$L,領用表!$E:$E,$B91,領用表!$B:$B,$BW$2&amp;BZ$2)</f>
        <v>0</v>
      </c>
      <c r="CA91" s="206">
        <f>SUMIFS(領用表!$L:$L,領用表!$E:$E,$B91,領用表!$B:$B,$BW$2&amp;CA$2)</f>
        <v>3</v>
      </c>
      <c r="CB91" s="208">
        <f>SUMIFS(領用表!$L:$L,領用表!$A:$A,CB$2,領用表!$E:$E,B91)</f>
        <v>0</v>
      </c>
      <c r="CC91" s="206">
        <f>SUMIFS(領用表!$L:$L,領用表!$E:$E,$B91,領用表!$B:$B,CB$2&amp;CC$2)</f>
        <v>0</v>
      </c>
      <c r="CD91" s="206">
        <f>SUMIFS(領用表!$L:$L,領用表!$E:$E,$B91,領用表!$B:$B,$CB$2&amp;CD$2)</f>
        <v>0</v>
      </c>
      <c r="CE91" s="206">
        <f>SUMIFS(領用表!$L:$L,領用表!$E:$E,$B91,領用表!$B:$B,$CB$2&amp;CE$2)</f>
        <v>0</v>
      </c>
      <c r="CF91" s="206">
        <f>SUMIFS(領用表!$L:$L,領用表!$E:$E,$B91,領用表!$B:$B,$CB$2&amp;CF$2)</f>
        <v>0</v>
      </c>
      <c r="CG91" s="208">
        <f>SUMIFS(領用表!$L:$L,領用表!$A:$A,CG$2,領用表!$E:$E,B91)</f>
        <v>0</v>
      </c>
      <c r="CH91" s="206">
        <f>SUMIFS(領用表!$L:$L,領用表!$E:$E,$B91,領用表!$B:$B,CG$2&amp;CH$2)</f>
        <v>0</v>
      </c>
      <c r="CI91" s="206">
        <f>SUMIFS(領用表!$L:$L,領用表!$E:$E,$B91,領用表!$B:$B,CG$2&amp;CI$2)</f>
        <v>0</v>
      </c>
      <c r="CJ91" s="206">
        <f>SUMIFS(領用表!$L:$L,領用表!$E:$E,$B91,領用表!$B:$B,CG$2&amp;CJ$2)</f>
        <v>0</v>
      </c>
      <c r="CK91" s="206">
        <f>SUMIFS(領用表!$L:$L,領用表!$E:$E,$B91,領用表!$B:$B,$CG$2&amp;CK$2)</f>
        <v>0</v>
      </c>
      <c r="CL91" s="207">
        <f t="shared" si="22"/>
        <v>3</v>
      </c>
      <c r="CM91" s="207">
        <f t="shared" si="23"/>
        <v>0.42857142857142855</v>
      </c>
      <c r="CN91" s="208">
        <f>SUMIFS(領用表!$L:$L,領用表!$A:$A,CN$2,領用表!$E:$E,B91)</f>
        <v>0</v>
      </c>
      <c r="CO91" s="206">
        <f>SUMIFS(領用表!$L:$L,領用表!$E:$E,$B91,領用表!$B:$B,CN$2&amp;CO$2)</f>
        <v>0</v>
      </c>
      <c r="CP91" s="206">
        <f>SUMIFS(領用表!$L:$L,領用表!$E:$E,$B91,領用表!$B:$B,$CN$2&amp;CP$2)</f>
        <v>0</v>
      </c>
      <c r="CQ91" s="206">
        <f>SUMIFS(領用表!$L:$L,領用表!$E:$E,$B91,領用表!$B:$B,$CN$2&amp;CQ$2)</f>
        <v>0</v>
      </c>
      <c r="CR91" s="206">
        <f>SUMIFS(領用表!$L:$L,領用表!$E:$E,$B91,領用表!$B:$B,$CN$2&amp;CR$2)</f>
        <v>0</v>
      </c>
      <c r="CS91" s="208">
        <f>SUMIFS(領用表!$L:$L,領用表!$A:$A,CS$2,領用表!$E:$E,B91)</f>
        <v>3</v>
      </c>
      <c r="CT91" s="206">
        <f>SUMIFS(領用表!$L:$L,領用表!$E:$E,$B91,領用表!$B:$B,CS$2&amp;CT$2)</f>
        <v>0</v>
      </c>
      <c r="CU91" s="206">
        <f>SUMIFS(領用表!$L:$L,領用表!$E:$E,$B91,領用表!$B:$B,$CS$2&amp;CU$2)</f>
        <v>0</v>
      </c>
      <c r="CV91" s="206">
        <f>SUMIFS(領用表!$L:$L,領用表!$E:$E,$B91,領用表!$B:$B,$CS$2&amp;CV$2)</f>
        <v>0</v>
      </c>
      <c r="CW91" s="206">
        <f>SUMIFS(領用表!$L:$L,領用表!$E:$E,$B91,領用表!$B:$B,$CS$2&amp;CW$2)</f>
        <v>3</v>
      </c>
      <c r="CX91" s="206">
        <f>SUMIFS(領用表!$L:$L,領用表!$E:$E,$B91,領用表!$B:$B,$CS$2&amp;CX$2)</f>
        <v>0</v>
      </c>
      <c r="CY91" s="208">
        <f>SUMIFS(領用表!$L:$L,領用表!$A:$A,CY$2,領用表!$E:$E,B91)</f>
        <v>3</v>
      </c>
      <c r="CZ91" s="206">
        <f>SUMIFS(領用表!$L:$L,領用表!$E:$E,$B91,領用表!$B:$B,CY$2&amp;CZ$2)</f>
        <v>0</v>
      </c>
      <c r="DA91" s="206">
        <f>SUMIFS(領用表!$L:$L,領用表!$E:$E,$B91,領用表!$B:$B,$CY$2&amp;DA$2)</f>
        <v>0</v>
      </c>
      <c r="DB91" s="206">
        <f>SUMIFS(領用表!$L:$L,領用表!$E:$E,$B91,領用表!$B:$B,$CY$2&amp;DB$2)</f>
        <v>0</v>
      </c>
      <c r="DC91" s="206">
        <f>SUMIFS(領用表!$L:$L,領用表!$E:$E,$B91,領用表!$B:$B,$CY$2&amp;DC$2)</f>
        <v>3</v>
      </c>
      <c r="DD91" s="206">
        <f>SUMIFS(領用表!$L:$L,領用表!$E:$E,$B91,領用表!$B:$B,$CY$2&amp;DD$2)</f>
        <v>0</v>
      </c>
      <c r="DE91" s="208">
        <f>SUMIFS(領用表!$L:$L,領用表!$A:$A,DE$2,領用表!$E:$E,B91)</f>
        <v>0</v>
      </c>
      <c r="DF91" s="206">
        <f>SUMIFS(領用表!$L:$L,領用表!$E:$E,$B91,領用表!$B:$B,DE$2&amp;DF$2)</f>
        <v>0</v>
      </c>
      <c r="DG91" s="206">
        <f>SUMIFS(領用表!$L:$L,領用表!$E:$E,$B91,領用表!$B:$B,$DE$2&amp;DG$2)</f>
        <v>0</v>
      </c>
      <c r="DH91" s="206">
        <f>SUMIFS(領用表!$L:$L,領用表!$E:$E,$B91,領用表!$B:$B,$DE$2&amp;DH$2)</f>
        <v>0</v>
      </c>
      <c r="DI91" s="206">
        <f>SUMIFS(領用表!$L:$L,領用表!$E:$E,$B91,領用表!$B:$B,$DE$2&amp;DI$2)</f>
        <v>0</v>
      </c>
      <c r="DJ91" s="206">
        <f>SUMIFS(領用表!$L:$L,領用表!$E:$E,$B91,領用表!$B:$B,$DE$2&amp;DJ$2)</f>
        <v>0</v>
      </c>
      <c r="DK91" s="208">
        <f>SUMIFS(領用表!$L:$L,領用表!$A:$A,DK$2,領用表!$E:$E,$B91)</f>
        <v>0</v>
      </c>
      <c r="DL91" s="206">
        <f>SUMIFS(領用表!$L:$L,領用表!$E:$E,$B91,領用表!$B:$B,DK$2&amp;DL$2)</f>
        <v>0</v>
      </c>
      <c r="DM91" s="206">
        <f>SUMIFS(領用表!$L:$L,領用表!$E:$E,$B91,領用表!$B:$B,$DK$2&amp;DM$2)</f>
        <v>0</v>
      </c>
      <c r="DN91" s="206">
        <f>SUMIFS(領用表!$L:$L,領用表!$E:$E,$B91,領用表!$B:$B,$DK$2&amp;DN$2)</f>
        <v>0</v>
      </c>
      <c r="DO91" s="206">
        <f>SUMIFS(領用表!$L:$L,領用表!$E:$E,$B91,領用表!$B:$B,$DK$2&amp;DO$2)</f>
        <v>0</v>
      </c>
      <c r="DP91" s="206">
        <f>SUMIFS(領用表!$L:$L,領用表!$E:$E,$B91,領用表!$B:$B,$DK$2&amp;DP$2)</f>
        <v>0</v>
      </c>
      <c r="DQ91" s="206">
        <f t="shared" si="28"/>
        <v>6</v>
      </c>
      <c r="DR91" s="206">
        <f t="shared" si="29"/>
        <v>1.2</v>
      </c>
      <c r="DS91" s="206">
        <f t="shared" si="27"/>
        <v>170</v>
      </c>
      <c r="DT91" s="206">
        <v>0</v>
      </c>
      <c r="DU91" s="206">
        <v>50</v>
      </c>
      <c r="DV91" s="206">
        <v>0</v>
      </c>
      <c r="DW91" s="206">
        <v>120</v>
      </c>
      <c r="DX91" s="258"/>
      <c r="DY91" s="283"/>
      <c r="DZ91" s="254"/>
      <c r="EA91" s="254"/>
      <c r="EB91" s="136"/>
      <c r="EC91" s="289"/>
      <c r="ED91" s="118">
        <f>IFERROR(VLOOKUP(A91,站前4樓!A:BF,57,0),0)</f>
        <v>0</v>
      </c>
      <c r="EE91" s="213">
        <f>IFERROR(VLOOKUP(A91,站前11樓!A:BE,57,0),0)</f>
        <v>0</v>
      </c>
      <c r="EF91" s="118">
        <f>IFERROR(VLOOKUP(A91,忠孝7樓!A:N,57,0),0)</f>
        <v>0</v>
      </c>
      <c r="EG91" s="118">
        <f>IFERROR(VLOOKUP(A91,忠孝國際醫學3樓!A:L,57,0),0)</f>
        <v>0</v>
      </c>
      <c r="EH91" s="118">
        <f t="shared" si="25"/>
        <v>0</v>
      </c>
    </row>
    <row r="92" spans="1:141" s="118" customFormat="1" ht="15.75" customHeight="1" thickBot="1">
      <c r="A92" s="136"/>
      <c r="B92" s="118">
        <v>6200020</v>
      </c>
      <c r="C92" s="186" t="s">
        <v>702</v>
      </c>
      <c r="D92" s="300">
        <v>0.2</v>
      </c>
      <c r="E92" s="301" t="s">
        <v>731</v>
      </c>
      <c r="F92" s="225">
        <f>SUMIF(站前4樓!B:B,B92,站前4樓!F:F)</f>
        <v>0</v>
      </c>
      <c r="G92" s="225">
        <f>SUMIF(站前11樓!B:B,B92,站前11樓!F:F)</f>
        <v>0</v>
      </c>
      <c r="H92" s="225">
        <f>SUMIF(忠孝7樓!B:B,B92,忠孝7樓!G:G)</f>
        <v>0</v>
      </c>
      <c r="I92" s="225">
        <f>SUMIF(忠孝國際醫學3樓!B:B,B92,忠孝國際醫學3樓!G:G)</f>
        <v>0</v>
      </c>
      <c r="J92" s="225">
        <f>SUMIF(忠孝健康7樓!B:B,B92,忠孝健康7樓!G:G)</f>
        <v>0</v>
      </c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83"/>
      <c r="AB92" s="283"/>
      <c r="AC92" s="283"/>
      <c r="AD92" s="283"/>
      <c r="AE92" s="283"/>
      <c r="AF92" s="283"/>
      <c r="AG92" s="283"/>
      <c r="AH92" s="283"/>
      <c r="AI92" s="283"/>
      <c r="AJ92" s="201"/>
      <c r="AK92" s="201"/>
      <c r="AL92" s="201"/>
      <c r="AM92" s="201"/>
      <c r="AN92" s="201"/>
      <c r="AO92" s="201"/>
      <c r="AP92" s="201"/>
      <c r="AQ92" s="201"/>
      <c r="AR92" s="201"/>
      <c r="AS92" s="201"/>
      <c r="AT92" s="201"/>
      <c r="AU92" s="201"/>
      <c r="AV92" s="283"/>
      <c r="AW92" s="286"/>
      <c r="AX92" s="201"/>
      <c r="AY92" s="201"/>
      <c r="AZ92" s="201"/>
      <c r="BA92" s="201"/>
      <c r="BB92" s="201"/>
      <c r="BC92" s="203">
        <f>SUMIFS(領用表!$L:$L,領用表!$A:$A,BC$2,領用表!$E:$E,B92)</f>
        <v>0</v>
      </c>
      <c r="BD92" s="296">
        <f>SUMIFS(領用表!$L:$L,領用表!$E:$E,$B92,領用表!$B:$B,BC$2&amp;BD$2)</f>
        <v>0</v>
      </c>
      <c r="BE92" s="296">
        <f>SUMIFS(領用表!$L:$L,領用表!$E:$E,$B92,領用表!$B:$B,$BC$2&amp;BE$2)</f>
        <v>0</v>
      </c>
      <c r="BF92" s="296">
        <f>SUMIFS(領用表!$L:$L,領用表!$E:$E,$B92,領用表!$B:$B,$BC$2&amp;BF$2)</f>
        <v>0</v>
      </c>
      <c r="BG92" s="206">
        <f>SUMIFS(領用表!$L:$L,領用表!$E:$E,$B92,領用表!$B:$B,$BC$2&amp;BG$2)</f>
        <v>0</v>
      </c>
      <c r="BH92" s="203">
        <f>SUMIFS(領用表!$L:$L,領用表!$A:$A,BH$2,領用表!$E:$E,B92)</f>
        <v>0</v>
      </c>
      <c r="BI92" s="260">
        <f>SUMIFS(領用表!$L:$L,領用表!$E:$E,$B92,領用表!$B:$B,BH$2&amp;BI$2)</f>
        <v>0</v>
      </c>
      <c r="BJ92" s="260">
        <f>SUMIFS(領用表!$L:$L,領用表!$E:$E,$B92,領用表!$B:$B,$BH$2&amp;BJ$2)</f>
        <v>0</v>
      </c>
      <c r="BK92" s="260">
        <f>SUMIFS(領用表!$L:$L,領用表!$E:$E,$B92,領用表!$B:$B,$BH$2&amp;BK$2)</f>
        <v>0</v>
      </c>
      <c r="BL92" s="260">
        <f>SUMIFS(領用表!$L:$L,領用表!$E:$E,$B92,領用表!$B:$B,$BH$2&amp;BL$2)</f>
        <v>0</v>
      </c>
      <c r="BM92" s="203">
        <f>SUMIFS(領用表!$L:$L,領用表!$A:$A,BM$2,領用表!$E:$E,B92)</f>
        <v>0</v>
      </c>
      <c r="BN92" s="206">
        <f>SUMIFS(領用表!$L:$L,領用表!$E:$E,$B92,領用表!$B:$B,BM$2&amp;BN$2)</f>
        <v>0</v>
      </c>
      <c r="BO92" s="206">
        <f>SUMIFS(領用表!$L:$L,領用表!$E:$E,$B92,領用表!$B:$B,$BM$2&amp;BO$2)</f>
        <v>0</v>
      </c>
      <c r="BP92" s="297">
        <f>SUMIFS(領用表!$L:$L,領用表!$E:$E,$B92,領用表!$B:$B,$BM$2&amp;BP$2)</f>
        <v>0</v>
      </c>
      <c r="BQ92" s="206">
        <f>SUMIFS(領用表!$L:$L,領用表!$E:$E,$B92,領用表!$B:$B,$BM$2&amp;BQ$2)</f>
        <v>0</v>
      </c>
      <c r="BR92" s="203">
        <f>SUMIFS(領用表!$L:$L,領用表!$A:$A,BR$2,領用表!$E:$E,B92)</f>
        <v>0</v>
      </c>
      <c r="BS92" s="297">
        <f>SUMIFS(領用表!$L:$L,領用表!$E:$E,$B92,領用表!$B:$B,BR$2&amp;BS$2)</f>
        <v>0</v>
      </c>
      <c r="BT92" s="297">
        <f>SUMIFS(領用表!$L:$L,領用表!$E:$E,$B92,領用表!$B:$B,$BR$2&amp;BT$2)</f>
        <v>0</v>
      </c>
      <c r="BU92" s="297">
        <f>SUMIFS(領用表!$L:$L,領用表!$E:$E,$B92,領用表!$B:$B,$BR$2&amp;BU$2)</f>
        <v>0</v>
      </c>
      <c r="BV92" s="206">
        <f>SUMIFS(領用表!$L:$L,領用表!$E:$E,$B92,領用表!$B:$B,$BR$2&amp;BV$2)</f>
        <v>0</v>
      </c>
      <c r="BW92" s="208">
        <f>SUMIFS(領用表!$L:$L,領用表!$A:$A,BW$2,領用表!$E:$E,B92)</f>
        <v>111.5</v>
      </c>
      <c r="BX92" s="206">
        <f>SUMIFS(領用表!$L:$L,領用表!$E:$E,$B92,領用表!$B:$B,BW$2&amp;BX$2)</f>
        <v>0</v>
      </c>
      <c r="BY92" s="206">
        <f>SUMIFS(領用表!$L:$L,領用表!$E:$E,$B92,領用表!$B:$B,$BW$2&amp;BY$2)</f>
        <v>0</v>
      </c>
      <c r="BZ92" s="206">
        <f>SUMIFS(領用表!$L:$L,領用表!$E:$E,$B92,領用表!$B:$B,$BW$2&amp;BZ$2)</f>
        <v>0</v>
      </c>
      <c r="CA92" s="206">
        <f>SUMIFS(領用表!$L:$L,領用表!$E:$E,$B92,領用表!$B:$B,$BW$2&amp;CA$2)</f>
        <v>111.5</v>
      </c>
      <c r="CB92" s="208">
        <f>SUMIFS(領用表!$L:$L,領用表!$A:$A,CB$2,領用表!$E:$E,B92)</f>
        <v>0</v>
      </c>
      <c r="CC92" s="206">
        <f>SUMIFS(領用表!$L:$L,領用表!$E:$E,$B92,領用表!$B:$B,CB$2&amp;CC$2)</f>
        <v>0</v>
      </c>
      <c r="CD92" s="206">
        <f>SUMIFS(領用表!$L:$L,領用表!$E:$E,$B92,領用表!$B:$B,$CB$2&amp;CD$2)</f>
        <v>0</v>
      </c>
      <c r="CE92" s="206">
        <f>SUMIFS(領用表!$L:$L,領用表!$E:$E,$B92,領用表!$B:$B,$CB$2&amp;CE$2)</f>
        <v>0</v>
      </c>
      <c r="CF92" s="206">
        <f>SUMIFS(領用表!$L:$L,領用表!$E:$E,$B92,領用表!$B:$B,$CB$2&amp;CF$2)</f>
        <v>0</v>
      </c>
      <c r="CG92" s="208">
        <f>SUMIFS(領用表!$L:$L,領用表!$A:$A,CG$2,領用表!$E:$E,B92)</f>
        <v>4</v>
      </c>
      <c r="CH92" s="206">
        <f>SUMIFS(領用表!$L:$L,領用表!$E:$E,$B92,領用表!$B:$B,CG$2&amp;CH$2)</f>
        <v>0</v>
      </c>
      <c r="CI92" s="206">
        <f>SUMIFS(領用表!$L:$L,領用表!$E:$E,$B92,領用表!$B:$B,CG$2&amp;CI$2)</f>
        <v>1</v>
      </c>
      <c r="CJ92" s="206">
        <f>SUMIFS(領用表!$L:$L,領用表!$E:$E,$B92,領用表!$B:$B,CG$2&amp;CJ$2)</f>
        <v>0</v>
      </c>
      <c r="CK92" s="206">
        <f>SUMIFS(領用表!$L:$L,領用表!$E:$E,$B92,領用表!$B:$B,$CG$2&amp;CK$2)</f>
        <v>3</v>
      </c>
      <c r="CL92" s="207">
        <f t="shared" si="22"/>
        <v>115.5</v>
      </c>
      <c r="CM92" s="207">
        <f t="shared" si="23"/>
        <v>16.5</v>
      </c>
      <c r="CN92" s="208">
        <f>SUMIFS(領用表!$L:$L,領用表!$A:$A,CN$2,領用表!$E:$E,B92)</f>
        <v>5</v>
      </c>
      <c r="CO92" s="206">
        <f>SUMIFS(領用表!$L:$L,領用表!$E:$E,$B92,領用表!$B:$B,CN$2&amp;CO$2)</f>
        <v>0</v>
      </c>
      <c r="CP92" s="206">
        <f>SUMIFS(領用表!$L:$L,領用表!$E:$E,$B92,領用表!$B:$B,$CN$2&amp;CP$2)</f>
        <v>1</v>
      </c>
      <c r="CQ92" s="206">
        <f>SUMIFS(領用表!$L:$L,領用表!$E:$E,$B92,領用表!$B:$B,$CN$2&amp;CQ$2)</f>
        <v>0</v>
      </c>
      <c r="CR92" s="206">
        <f>SUMIFS(領用表!$L:$L,領用表!$E:$E,$B92,領用表!$B:$B,$CN$2&amp;CR$2)</f>
        <v>4</v>
      </c>
      <c r="CS92" s="208">
        <f>SUMIFS(領用表!$L:$L,領用表!$A:$A,CS$2,領用表!$E:$E,B92)</f>
        <v>2</v>
      </c>
      <c r="CT92" s="206">
        <f>SUMIFS(領用表!$L:$L,領用表!$E:$E,$B92,領用表!$B:$B,CS$2&amp;CT$2)</f>
        <v>0</v>
      </c>
      <c r="CU92" s="206">
        <f>SUMIFS(領用表!$L:$L,領用表!$E:$E,$B92,領用表!$B:$B,$CS$2&amp;CU$2)</f>
        <v>0</v>
      </c>
      <c r="CV92" s="206">
        <f>SUMIFS(領用表!$L:$L,領用表!$E:$E,$B92,領用表!$B:$B,$CS$2&amp;CV$2)</f>
        <v>0</v>
      </c>
      <c r="CW92" s="206">
        <f>SUMIFS(領用表!$L:$L,領用表!$E:$E,$B92,領用表!$B:$B,$CS$2&amp;CW$2)</f>
        <v>2</v>
      </c>
      <c r="CX92" s="206">
        <f>SUMIFS(領用表!$L:$L,領用表!$E:$E,$B92,領用表!$B:$B,$CS$2&amp;CX$2)</f>
        <v>0</v>
      </c>
      <c r="CY92" s="208">
        <f>SUMIFS(領用表!$L:$L,領用表!$A:$A,CY$2,領用表!$E:$E,B92)</f>
        <v>6</v>
      </c>
      <c r="CZ92" s="206">
        <f>SUMIFS(領用表!$L:$L,領用表!$E:$E,$B92,領用表!$B:$B,CY$2&amp;CZ$2)</f>
        <v>0</v>
      </c>
      <c r="DA92" s="206">
        <f>SUMIFS(領用表!$L:$L,領用表!$E:$E,$B92,領用表!$B:$B,$CY$2&amp;DA$2)</f>
        <v>4</v>
      </c>
      <c r="DB92" s="206">
        <f>SUMIFS(領用表!$L:$L,領用表!$E:$E,$B92,領用表!$B:$B,$CY$2&amp;DB$2)</f>
        <v>0</v>
      </c>
      <c r="DC92" s="206">
        <f>SUMIFS(領用表!$L:$L,領用表!$E:$E,$B92,領用表!$B:$B,$CY$2&amp;DC$2)</f>
        <v>2</v>
      </c>
      <c r="DD92" s="206">
        <f>SUMIFS(領用表!$L:$L,領用表!$E:$E,$B92,領用表!$B:$B,$CY$2&amp;DD$2)</f>
        <v>0</v>
      </c>
      <c r="DE92" s="208">
        <f>SUMIFS(領用表!$L:$L,領用表!$A:$A,DE$2,領用表!$E:$E,B92)</f>
        <v>5</v>
      </c>
      <c r="DF92" s="206">
        <f>SUMIFS(領用表!$L:$L,領用表!$E:$E,$B92,領用表!$B:$B,DE$2&amp;DF$2)</f>
        <v>0</v>
      </c>
      <c r="DG92" s="206">
        <f>SUMIFS(領用表!$L:$L,領用表!$E:$E,$B92,領用表!$B:$B,$DE$2&amp;DG$2)</f>
        <v>0</v>
      </c>
      <c r="DH92" s="206">
        <f>SUMIFS(領用表!$L:$L,領用表!$E:$E,$B92,領用表!$B:$B,$DE$2&amp;DH$2)</f>
        <v>0</v>
      </c>
      <c r="DI92" s="206">
        <f>SUMIFS(領用表!$L:$L,領用表!$E:$E,$B92,領用表!$B:$B,$DE$2&amp;DI$2)</f>
        <v>5</v>
      </c>
      <c r="DJ92" s="206">
        <f>SUMIFS(領用表!$L:$L,領用表!$E:$E,$B92,領用表!$B:$B,$DE$2&amp;DJ$2)</f>
        <v>0</v>
      </c>
      <c r="DK92" s="208">
        <f>SUMIFS(領用表!$L:$L,領用表!$A:$A,DK$2,領用表!$E:$E,$B92)</f>
        <v>7</v>
      </c>
      <c r="DL92" s="206">
        <f>SUMIFS(領用表!$L:$L,領用表!$E:$E,$B92,領用表!$B:$B,DK$2&amp;DL$2)</f>
        <v>0</v>
      </c>
      <c r="DM92" s="206">
        <f>SUMIFS(領用表!$L:$L,領用表!$E:$E,$B92,領用表!$B:$B,$DK$2&amp;DM$2)</f>
        <v>0</v>
      </c>
      <c r="DN92" s="206">
        <f>SUMIFS(領用表!$L:$L,領用表!$E:$E,$B92,領用表!$B:$B,$DK$2&amp;DN$2)</f>
        <v>0</v>
      </c>
      <c r="DO92" s="206">
        <f>SUMIFS(領用表!$L:$L,領用表!$E:$E,$B92,領用表!$B:$B,$DK$2&amp;DO$2)</f>
        <v>7</v>
      </c>
      <c r="DP92" s="206">
        <f>SUMIFS(領用表!$L:$L,領用表!$E:$E,$B92,領用表!$B:$B,$DK$2&amp;DP$2)</f>
        <v>0</v>
      </c>
      <c r="DQ92" s="206">
        <f t="shared" si="28"/>
        <v>25</v>
      </c>
      <c r="DR92" s="206">
        <f t="shared" si="29"/>
        <v>5</v>
      </c>
      <c r="DS92" s="206">
        <f t="shared" si="27"/>
        <v>0</v>
      </c>
      <c r="DT92" s="206">
        <v>0</v>
      </c>
      <c r="DU92" s="206">
        <v>0</v>
      </c>
      <c r="DV92" s="206">
        <v>0</v>
      </c>
      <c r="DW92" s="206">
        <v>0</v>
      </c>
      <c r="DX92" s="258"/>
      <c r="DY92" s="283"/>
      <c r="DZ92" s="254"/>
      <c r="EA92" s="254"/>
      <c r="EB92" s="136"/>
      <c r="EC92" s="289"/>
      <c r="EE92" s="213"/>
    </row>
    <row r="93" spans="1:141" s="118" customFormat="1" ht="15.75" customHeight="1" thickBot="1">
      <c r="A93" s="136"/>
      <c r="B93" s="118">
        <v>6200017</v>
      </c>
      <c r="C93" s="186" t="s">
        <v>432</v>
      </c>
      <c r="D93" s="302">
        <v>0.15</v>
      </c>
      <c r="E93" s="303" t="s">
        <v>731</v>
      </c>
      <c r="F93" s="225">
        <f>SUMIF(站前4樓!B:B,B93,站前4樓!F:F)</f>
        <v>0</v>
      </c>
      <c r="G93" s="225">
        <f>SUMIF(站前11樓!B:B,B93,站前11樓!F:F)</f>
        <v>0</v>
      </c>
      <c r="H93" s="225">
        <f>SUMIF(忠孝7樓!B:B,B93,忠孝7樓!G:G)</f>
        <v>0</v>
      </c>
      <c r="I93" s="225">
        <f>SUMIF(忠孝國際醫學3樓!B:B,B93,忠孝國際醫學3樓!G:G)</f>
        <v>0</v>
      </c>
      <c r="J93" s="225">
        <f>SUMIF(忠孝健康7樓!B:B,B93,忠孝健康7樓!G:G)</f>
        <v>0</v>
      </c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  <c r="AA93" s="283"/>
      <c r="AB93" s="283"/>
      <c r="AC93" s="283"/>
      <c r="AD93" s="283"/>
      <c r="AE93" s="283"/>
      <c r="AF93" s="283"/>
      <c r="AG93" s="283"/>
      <c r="AH93" s="283"/>
      <c r="AI93" s="283"/>
      <c r="AJ93" s="201"/>
      <c r="AK93" s="201"/>
      <c r="AL93" s="201"/>
      <c r="AM93" s="201"/>
      <c r="AN93" s="201"/>
      <c r="AO93" s="201"/>
      <c r="AP93" s="201"/>
      <c r="AQ93" s="201"/>
      <c r="AR93" s="201"/>
      <c r="AS93" s="201"/>
      <c r="AT93" s="201"/>
      <c r="AU93" s="201"/>
      <c r="AV93" s="283"/>
      <c r="AW93" s="286"/>
      <c r="AX93" s="201"/>
      <c r="AY93" s="201"/>
      <c r="AZ93" s="201"/>
      <c r="BA93" s="201"/>
      <c r="BB93" s="201"/>
      <c r="BC93" s="203">
        <f>SUMIFS(領用表!$L:$L,領用表!$A:$A,BC$2,領用表!$E:$E,B93)</f>
        <v>0</v>
      </c>
      <c r="BD93" s="296">
        <f>SUMIFS(領用表!$L:$L,領用表!$E:$E,$B93,領用表!$B:$B,BC$2&amp;BD$2)</f>
        <v>0</v>
      </c>
      <c r="BE93" s="296">
        <f>SUMIFS(領用表!$L:$L,領用表!$E:$E,$B93,領用表!$B:$B,$BC$2&amp;BE$2)</f>
        <v>0</v>
      </c>
      <c r="BF93" s="296">
        <f>SUMIFS(領用表!$L:$L,領用表!$E:$E,$B93,領用表!$B:$B,$BC$2&amp;BF$2)</f>
        <v>0</v>
      </c>
      <c r="BG93" s="206">
        <f>SUMIFS(領用表!$L:$L,領用表!$E:$E,$B93,領用表!$B:$B,$BC$2&amp;BG$2)</f>
        <v>0</v>
      </c>
      <c r="BH93" s="203">
        <f>SUMIFS(領用表!$L:$L,領用表!$A:$A,BH$2,領用表!$E:$E,B93)</f>
        <v>0</v>
      </c>
      <c r="BI93" s="260">
        <f>SUMIFS(領用表!$L:$L,領用表!$E:$E,$B93,領用表!$B:$B,BH$2&amp;BI$2)</f>
        <v>0</v>
      </c>
      <c r="BJ93" s="260">
        <f>SUMIFS(領用表!$L:$L,領用表!$E:$E,$B93,領用表!$B:$B,$BH$2&amp;BJ$2)</f>
        <v>0</v>
      </c>
      <c r="BK93" s="260">
        <f>SUMIFS(領用表!$L:$L,領用表!$E:$E,$B93,領用表!$B:$B,$BH$2&amp;BK$2)</f>
        <v>0</v>
      </c>
      <c r="BL93" s="260">
        <f>SUMIFS(領用表!$L:$L,領用表!$E:$E,$B93,領用表!$B:$B,$BH$2&amp;BL$2)</f>
        <v>0</v>
      </c>
      <c r="BM93" s="203">
        <f>SUMIFS(領用表!$L:$L,領用表!$A:$A,BM$2,領用表!$E:$E,B93)</f>
        <v>0</v>
      </c>
      <c r="BN93" s="206">
        <f>SUMIFS(領用表!$L:$L,領用表!$E:$E,$B93,領用表!$B:$B,BM$2&amp;BN$2)</f>
        <v>0</v>
      </c>
      <c r="BO93" s="206">
        <f>SUMIFS(領用表!$L:$L,領用表!$E:$E,$B93,領用表!$B:$B,$BM$2&amp;BO$2)</f>
        <v>0</v>
      </c>
      <c r="BP93" s="297">
        <f>SUMIFS(領用表!$L:$L,領用表!$E:$E,$B93,領用表!$B:$B,$BM$2&amp;BP$2)</f>
        <v>0</v>
      </c>
      <c r="BQ93" s="206">
        <f>SUMIFS(領用表!$L:$L,領用表!$E:$E,$B93,領用表!$B:$B,$BM$2&amp;BQ$2)</f>
        <v>0</v>
      </c>
      <c r="BR93" s="203">
        <f>SUMIFS(領用表!$L:$L,領用表!$A:$A,BR$2,領用表!$E:$E,B93)</f>
        <v>3</v>
      </c>
      <c r="BS93" s="297">
        <f>SUMIFS(領用表!$L:$L,領用表!$E:$E,$B93,領用表!$B:$B,BR$2&amp;BS$2)</f>
        <v>0</v>
      </c>
      <c r="BT93" s="297">
        <f>SUMIFS(領用表!$L:$L,領用表!$E:$E,$B93,領用表!$B:$B,$BR$2&amp;BT$2)</f>
        <v>0</v>
      </c>
      <c r="BU93" s="297">
        <f>SUMIFS(領用表!$L:$L,領用表!$E:$E,$B93,領用表!$B:$B,$BR$2&amp;BU$2)</f>
        <v>0</v>
      </c>
      <c r="BV93" s="206">
        <f>SUMIFS(領用表!$L:$L,領用表!$E:$E,$B93,領用表!$B:$B,$BR$2&amp;BV$2)</f>
        <v>3</v>
      </c>
      <c r="BW93" s="208">
        <f>SUMIFS(領用表!$L:$L,領用表!$A:$A,BW$2,領用表!$E:$E,B93)</f>
        <v>338.5</v>
      </c>
      <c r="BX93" s="206">
        <f>SUMIFS(領用表!$L:$L,領用表!$E:$E,$B93,領用表!$B:$B,BW$2&amp;BX$2)</f>
        <v>0</v>
      </c>
      <c r="BY93" s="206">
        <f>SUMIFS(領用表!$L:$L,領用表!$E:$E,$B93,領用表!$B:$B,$BW$2&amp;BY$2)</f>
        <v>171</v>
      </c>
      <c r="BZ93" s="206">
        <f>SUMIFS(領用表!$L:$L,領用表!$E:$E,$B93,領用表!$B:$B,$BW$2&amp;BZ$2)</f>
        <v>0</v>
      </c>
      <c r="CA93" s="206">
        <f>SUMIFS(領用表!$L:$L,領用表!$E:$E,$B93,領用表!$B:$B,$BW$2&amp;CA$2)</f>
        <v>167.5</v>
      </c>
      <c r="CB93" s="208">
        <f>SUMIFS(領用表!$L:$L,領用表!$A:$A,CB$2,領用表!$E:$E,B93)</f>
        <v>0</v>
      </c>
      <c r="CC93" s="206">
        <f>SUMIFS(領用表!$L:$L,領用表!$E:$E,$B93,領用表!$B:$B,CB$2&amp;CC$2)</f>
        <v>0</v>
      </c>
      <c r="CD93" s="206">
        <f>SUMIFS(領用表!$L:$L,領用表!$E:$E,$B93,領用表!$B:$B,$CB$2&amp;CD$2)</f>
        <v>0</v>
      </c>
      <c r="CE93" s="206">
        <f>SUMIFS(領用表!$L:$L,領用表!$E:$E,$B93,領用表!$B:$B,$CB$2&amp;CE$2)</f>
        <v>0</v>
      </c>
      <c r="CF93" s="206">
        <f>SUMIFS(領用表!$L:$L,領用表!$E:$E,$B93,領用表!$B:$B,$CB$2&amp;CF$2)</f>
        <v>0</v>
      </c>
      <c r="CG93" s="208">
        <f>SUMIFS(領用表!$L:$L,領用表!$A:$A,CG$2,領用表!$E:$E,B93)</f>
        <v>518.5</v>
      </c>
      <c r="CH93" s="206">
        <f>SUMIFS(領用表!$L:$L,領用表!$E:$E,$B93,領用表!$B:$B,CG$2&amp;CH$2)</f>
        <v>0</v>
      </c>
      <c r="CI93" s="206">
        <f>SUMIFS(領用表!$L:$L,領用表!$E:$E,$B93,領用表!$B:$B,CG$2&amp;CI$2)</f>
        <v>9</v>
      </c>
      <c r="CJ93" s="206">
        <f>SUMIFS(領用表!$L:$L,領用表!$E:$E,$B93,領用表!$B:$B,CG$2&amp;CJ$2)</f>
        <v>0</v>
      </c>
      <c r="CK93" s="206">
        <f>SUMIFS(領用表!$L:$L,領用表!$E:$E,$B93,領用表!$B:$B,$CG$2&amp;CK$2)</f>
        <v>509.5</v>
      </c>
      <c r="CL93" s="207">
        <f t="shared" si="22"/>
        <v>860</v>
      </c>
      <c r="CM93" s="207">
        <f t="shared" si="23"/>
        <v>122.85714285714286</v>
      </c>
      <c r="CN93" s="208">
        <f>SUMIFS(領用表!$L:$L,領用表!$A:$A,CN$2,領用表!$E:$E,B93)</f>
        <v>537</v>
      </c>
      <c r="CO93" s="206">
        <f>SUMIFS(領用表!$L:$L,領用表!$E:$E,$B93,領用表!$B:$B,CN$2&amp;CO$2)</f>
        <v>0</v>
      </c>
      <c r="CP93" s="206">
        <f>SUMIFS(領用表!$L:$L,領用表!$E:$E,$B93,領用表!$B:$B,$CN$2&amp;CP$2)</f>
        <v>500</v>
      </c>
      <c r="CQ93" s="206">
        <f>SUMIFS(領用表!$L:$L,領用表!$E:$E,$B93,領用表!$B:$B,$CN$2&amp;CQ$2)</f>
        <v>0</v>
      </c>
      <c r="CR93" s="206">
        <f>SUMIFS(領用表!$L:$L,領用表!$E:$E,$B93,領用表!$B:$B,$CN$2&amp;CR$2)</f>
        <v>37</v>
      </c>
      <c r="CS93" s="208">
        <f>SUMIFS(領用表!$L:$L,領用表!$A:$A,CS$2,領用表!$E:$E,B93)</f>
        <v>202</v>
      </c>
      <c r="CT93" s="206">
        <f>SUMIFS(領用表!$L:$L,領用表!$E:$E,$B93,領用表!$B:$B,CS$2&amp;CT$2)</f>
        <v>0</v>
      </c>
      <c r="CU93" s="206">
        <f>SUMIFS(領用表!$L:$L,領用表!$E:$E,$B93,領用表!$B:$B,$CS$2&amp;CU$2)</f>
        <v>1</v>
      </c>
      <c r="CV93" s="206">
        <f>SUMIFS(領用表!$L:$L,領用表!$E:$E,$B93,領用表!$B:$B,$CS$2&amp;CV$2)</f>
        <v>0</v>
      </c>
      <c r="CW93" s="206">
        <f>SUMIFS(領用表!$L:$L,領用表!$E:$E,$B93,領用表!$B:$B,$CS$2&amp;CW$2)</f>
        <v>201</v>
      </c>
      <c r="CX93" s="206">
        <f>SUMIFS(領用表!$L:$L,領用表!$E:$E,$B93,領用表!$B:$B,$CS$2&amp;CX$2)</f>
        <v>0</v>
      </c>
      <c r="CY93" s="208">
        <f>SUMIFS(領用表!$L:$L,領用表!$A:$A,CY$2,領用表!$E:$E,B93)</f>
        <v>2004.2499999999998</v>
      </c>
      <c r="CZ93" s="206">
        <f>SUMIFS(領用表!$L:$L,領用表!$E:$E,$B93,領用表!$B:$B,CY$2&amp;CZ$2)</f>
        <v>0</v>
      </c>
      <c r="DA93" s="206">
        <f>SUMIFS(領用表!$L:$L,領用表!$E:$E,$B93,領用表!$B:$B,$CY$2&amp;DA$2)</f>
        <v>639.79999999999995</v>
      </c>
      <c r="DB93" s="206">
        <f>SUMIFS(領用表!$L:$L,領用表!$E:$E,$B93,領用表!$B:$B,$CY$2&amp;DB$2)</f>
        <v>0</v>
      </c>
      <c r="DC93" s="206">
        <f>SUMIFS(領用表!$L:$L,領用表!$E:$E,$B93,領用表!$B:$B,$CY$2&amp;DC$2)</f>
        <v>1364.4499999999998</v>
      </c>
      <c r="DD93" s="206">
        <f>SUMIFS(領用表!$L:$L,領用表!$E:$E,$B93,領用表!$B:$B,$CY$2&amp;DD$2)</f>
        <v>0</v>
      </c>
      <c r="DE93" s="208">
        <f>SUMIFS(領用表!$L:$L,領用表!$A:$A,DE$2,領用表!$E:$E,B93)</f>
        <v>3837.3199999999997</v>
      </c>
      <c r="DF93" s="206">
        <f>SUMIFS(領用表!$L:$L,領用表!$E:$E,$B93,領用表!$B:$B,DE$2&amp;DF$2)</f>
        <v>0</v>
      </c>
      <c r="DG93" s="206">
        <f>SUMIFS(領用表!$L:$L,領用表!$E:$E,$B93,領用表!$B:$B,$DE$2&amp;DG$2)</f>
        <v>1444</v>
      </c>
      <c r="DH93" s="206">
        <f>SUMIFS(領用表!$L:$L,領用表!$E:$E,$B93,領用表!$B:$B,$DE$2&amp;DH$2)</f>
        <v>0</v>
      </c>
      <c r="DI93" s="206">
        <f>SUMIFS(領用表!$L:$L,領用表!$E:$E,$B93,領用表!$B:$B,$DE$2&amp;DI$2)</f>
        <v>2393.3199999999997</v>
      </c>
      <c r="DJ93" s="206">
        <f>SUMIFS(領用表!$L:$L,領用表!$E:$E,$B93,領用表!$B:$B,$DE$2&amp;DJ$2)</f>
        <v>0</v>
      </c>
      <c r="DK93" s="208">
        <f>SUMIFS(領用表!$L:$L,領用表!$A:$A,DK$2,領用表!$E:$E,$B93)</f>
        <v>3207.8199999999997</v>
      </c>
      <c r="DL93" s="206">
        <f>SUMIFS(領用表!$L:$L,領用表!$E:$E,$B93,領用表!$B:$B,DK$2&amp;DL$2)</f>
        <v>0</v>
      </c>
      <c r="DM93" s="206">
        <f>SUMIFS(領用表!$L:$L,領用表!$E:$E,$B93,領用表!$B:$B,$DK$2&amp;DM$2)</f>
        <v>1127.1199999999999</v>
      </c>
      <c r="DN93" s="206">
        <f>SUMIFS(領用表!$L:$L,領用表!$E:$E,$B93,領用表!$B:$B,$DK$2&amp;DN$2)</f>
        <v>0</v>
      </c>
      <c r="DO93" s="206">
        <f>SUMIFS(領用表!$L:$L,領用表!$E:$E,$B93,領用表!$B:$B,$DK$2&amp;DO$2)</f>
        <v>2080.6999999999998</v>
      </c>
      <c r="DP93" s="206">
        <f>SUMIFS(領用表!$L:$L,領用表!$E:$E,$B93,領用表!$B:$B,$DK$2&amp;DP$2)</f>
        <v>0</v>
      </c>
      <c r="DQ93" s="206">
        <f t="shared" si="28"/>
        <v>9788.39</v>
      </c>
      <c r="DR93" s="206">
        <f t="shared" si="29"/>
        <v>1957.6779999999999</v>
      </c>
      <c r="DS93" s="206">
        <f t="shared" si="27"/>
        <v>0</v>
      </c>
      <c r="DT93" s="206">
        <v>0</v>
      </c>
      <c r="DU93" s="206">
        <v>0</v>
      </c>
      <c r="DV93" s="206">
        <v>0</v>
      </c>
      <c r="DW93" s="206">
        <v>0</v>
      </c>
      <c r="DX93" s="258"/>
      <c r="DY93" s="283"/>
      <c r="DZ93" s="254"/>
      <c r="EA93" s="254"/>
      <c r="EB93" s="136"/>
      <c r="EC93" s="289"/>
      <c r="EE93" s="213"/>
    </row>
    <row r="94" spans="1:141" s="118" customFormat="1" ht="15.75" customHeight="1" thickBot="1">
      <c r="A94" s="136"/>
      <c r="B94" s="118">
        <v>6200021</v>
      </c>
      <c r="C94" s="186" t="s">
        <v>694</v>
      </c>
      <c r="D94" s="302">
        <v>0.12</v>
      </c>
      <c r="E94" s="303" t="s">
        <v>731</v>
      </c>
      <c r="F94" s="225">
        <f>SUMIF(站前4樓!B:B,B94,站前4樓!F:F)</f>
        <v>0</v>
      </c>
      <c r="G94" s="225">
        <f>SUMIF(站前11樓!B:B,B94,站前11樓!F:F)</f>
        <v>0</v>
      </c>
      <c r="H94" s="225">
        <f>SUMIF(忠孝7樓!B:B,B94,忠孝7樓!G:G)</f>
        <v>0</v>
      </c>
      <c r="I94" s="225">
        <f>SUMIF(忠孝國際醫學3樓!B:B,B94,忠孝國際醫學3樓!G:G)</f>
        <v>0</v>
      </c>
      <c r="J94" s="225">
        <f>SUMIF(忠孝健康7樓!B:B,B94,忠孝健康7樓!G:G)</f>
        <v>0</v>
      </c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01"/>
      <c r="AK94" s="201"/>
      <c r="AL94" s="201"/>
      <c r="AM94" s="201"/>
      <c r="AN94" s="201"/>
      <c r="AO94" s="201"/>
      <c r="AP94" s="201"/>
      <c r="AQ94" s="201"/>
      <c r="AR94" s="201"/>
      <c r="AS94" s="201"/>
      <c r="AT94" s="201"/>
      <c r="AU94" s="201"/>
      <c r="AV94" s="283"/>
      <c r="AW94" s="286"/>
      <c r="AX94" s="201"/>
      <c r="AY94" s="201"/>
      <c r="AZ94" s="201"/>
      <c r="BA94" s="201"/>
      <c r="BB94" s="201"/>
      <c r="BC94" s="203">
        <f>SUMIFS(領用表!$L:$L,領用表!$A:$A,BC$2,領用表!$E:$E,B94)</f>
        <v>0</v>
      </c>
      <c r="BD94" s="296">
        <f>SUMIFS(領用表!$L:$L,領用表!$E:$E,$B94,領用表!$B:$B,BC$2&amp;BD$2)</f>
        <v>0</v>
      </c>
      <c r="BE94" s="296">
        <f>SUMIFS(領用表!$L:$L,領用表!$E:$E,$B94,領用表!$B:$B,$BC$2&amp;BE$2)</f>
        <v>0</v>
      </c>
      <c r="BF94" s="296">
        <f>SUMIFS(領用表!$L:$L,領用表!$E:$E,$B94,領用表!$B:$B,$BC$2&amp;BF$2)</f>
        <v>0</v>
      </c>
      <c r="BG94" s="206">
        <f>SUMIFS(領用表!$L:$L,領用表!$E:$E,$B94,領用表!$B:$B,$BC$2&amp;BG$2)</f>
        <v>0</v>
      </c>
      <c r="BH94" s="203">
        <f>SUMIFS(領用表!$L:$L,領用表!$A:$A,BH$2,領用表!$E:$E,B94)</f>
        <v>0</v>
      </c>
      <c r="BI94" s="260">
        <f>SUMIFS(領用表!$L:$L,領用表!$E:$E,$B94,領用表!$B:$B,BH$2&amp;BI$2)</f>
        <v>0</v>
      </c>
      <c r="BJ94" s="260">
        <f>SUMIFS(領用表!$L:$L,領用表!$E:$E,$B94,領用表!$B:$B,$BH$2&amp;BJ$2)</f>
        <v>0</v>
      </c>
      <c r="BK94" s="260">
        <f>SUMIFS(領用表!$L:$L,領用表!$E:$E,$B94,領用表!$B:$B,$BH$2&amp;BK$2)</f>
        <v>0</v>
      </c>
      <c r="BL94" s="260">
        <f>SUMIFS(領用表!$L:$L,領用表!$E:$E,$B94,領用表!$B:$B,$BH$2&amp;BL$2)</f>
        <v>0</v>
      </c>
      <c r="BM94" s="203">
        <f>SUMIFS(領用表!$L:$L,領用表!$A:$A,BM$2,領用表!$E:$E,B94)</f>
        <v>0</v>
      </c>
      <c r="BN94" s="206">
        <f>SUMIFS(領用表!$L:$L,領用表!$E:$E,$B94,領用表!$B:$B,BM$2&amp;BN$2)</f>
        <v>0</v>
      </c>
      <c r="BO94" s="206">
        <f>SUMIFS(領用表!$L:$L,領用表!$E:$E,$B94,領用表!$B:$B,$BM$2&amp;BO$2)</f>
        <v>0</v>
      </c>
      <c r="BP94" s="297">
        <f>SUMIFS(領用表!$L:$L,領用表!$E:$E,$B94,領用表!$B:$B,$BM$2&amp;BP$2)</f>
        <v>0</v>
      </c>
      <c r="BQ94" s="206">
        <f>SUMIFS(領用表!$L:$L,領用表!$E:$E,$B94,領用表!$B:$B,$BM$2&amp;BQ$2)</f>
        <v>0</v>
      </c>
      <c r="BR94" s="203">
        <f>SUMIFS(領用表!$L:$L,領用表!$A:$A,BR$2,領用表!$E:$E,B94)</f>
        <v>0</v>
      </c>
      <c r="BS94" s="297">
        <f>SUMIFS(領用表!$L:$L,領用表!$E:$E,$B94,領用表!$B:$B,BR$2&amp;BS$2)</f>
        <v>0</v>
      </c>
      <c r="BT94" s="297">
        <f>SUMIFS(領用表!$L:$L,領用表!$E:$E,$B94,領用表!$B:$B,$BR$2&amp;BT$2)</f>
        <v>0</v>
      </c>
      <c r="BU94" s="297">
        <f>SUMIFS(領用表!$L:$L,領用表!$E:$E,$B94,領用表!$B:$B,$BR$2&amp;BU$2)</f>
        <v>0</v>
      </c>
      <c r="BV94" s="206">
        <f>SUMIFS(領用表!$L:$L,領用表!$E:$E,$B94,領用表!$B:$B,$BR$2&amp;BV$2)</f>
        <v>0</v>
      </c>
      <c r="BW94" s="208">
        <f>SUMIFS(領用表!$L:$L,領用表!$A:$A,BW$2,領用表!$E:$E,B94)</f>
        <v>156</v>
      </c>
      <c r="BX94" s="206">
        <f>SUMIFS(領用表!$L:$L,領用表!$E:$E,$B94,領用表!$B:$B,BW$2&amp;BX$2)</f>
        <v>0</v>
      </c>
      <c r="BY94" s="206">
        <f>SUMIFS(領用表!$L:$L,領用表!$E:$E,$B94,領用表!$B:$B,$BW$2&amp;BY$2)</f>
        <v>31</v>
      </c>
      <c r="BZ94" s="206">
        <f>SUMIFS(領用表!$L:$L,領用表!$E:$E,$B94,領用表!$B:$B,$BW$2&amp;BZ$2)</f>
        <v>0</v>
      </c>
      <c r="CA94" s="206">
        <f>SUMIFS(領用表!$L:$L,領用表!$E:$E,$B94,領用表!$B:$B,$BW$2&amp;CA$2)</f>
        <v>125</v>
      </c>
      <c r="CB94" s="208">
        <f>SUMIFS(領用表!$L:$L,領用表!$A:$A,CB$2,領用表!$E:$E,B94)</f>
        <v>1214.5</v>
      </c>
      <c r="CC94" s="206">
        <f>SUMIFS(領用表!$L:$L,領用表!$E:$E,$B94,領用表!$B:$B,CB$2&amp;CC$2)</f>
        <v>0</v>
      </c>
      <c r="CD94" s="206">
        <f>SUMIFS(領用表!$L:$L,領用表!$E:$E,$B94,領用表!$B:$B,$CB$2&amp;CD$2)</f>
        <v>436</v>
      </c>
      <c r="CE94" s="206">
        <f>SUMIFS(領用表!$L:$L,領用表!$E:$E,$B94,領用表!$B:$B,$CB$2&amp;CE$2)</f>
        <v>0</v>
      </c>
      <c r="CF94" s="206">
        <f>SUMIFS(領用表!$L:$L,領用表!$E:$E,$B94,領用表!$B:$B,$CB$2&amp;CF$2)</f>
        <v>778.5</v>
      </c>
      <c r="CG94" s="208">
        <f>SUMIFS(領用表!$L:$L,領用表!$A:$A,CG$2,領用表!$E:$E,B94)</f>
        <v>1097</v>
      </c>
      <c r="CH94" s="206">
        <f>SUMIFS(領用表!$L:$L,領用表!$E:$E,$B94,領用表!$B:$B,CG$2&amp;CH$2)</f>
        <v>0</v>
      </c>
      <c r="CI94" s="206">
        <f>SUMIFS(領用表!$L:$L,領用表!$E:$E,$B94,領用表!$B:$B,CG$2&amp;CI$2)</f>
        <v>457</v>
      </c>
      <c r="CJ94" s="206">
        <f>SUMIFS(領用表!$L:$L,領用表!$E:$E,$B94,領用表!$B:$B,CG$2&amp;CJ$2)</f>
        <v>0</v>
      </c>
      <c r="CK94" s="206">
        <f>SUMIFS(領用表!$L:$L,領用表!$E:$E,$B94,領用表!$B:$B,$CG$2&amp;CK$2)</f>
        <v>640</v>
      </c>
      <c r="CL94" s="207">
        <f t="shared" si="22"/>
        <v>2467.5</v>
      </c>
      <c r="CM94" s="207">
        <f t="shared" si="23"/>
        <v>352.5</v>
      </c>
      <c r="CN94" s="208">
        <f>SUMIFS(領用表!$L:$L,領用表!$A:$A,CN$2,領用表!$E:$E,B94)</f>
        <v>1945.5</v>
      </c>
      <c r="CO94" s="206">
        <f>SUMIFS(領用表!$L:$L,領用表!$E:$E,$B94,領用表!$B:$B,CN$2&amp;CO$2)</f>
        <v>0</v>
      </c>
      <c r="CP94" s="206">
        <f>SUMIFS(領用表!$L:$L,領用表!$E:$E,$B94,領用表!$B:$B,$CN$2&amp;CP$2)</f>
        <v>327</v>
      </c>
      <c r="CQ94" s="206">
        <f>SUMIFS(領用表!$L:$L,領用表!$E:$E,$B94,領用表!$B:$B,$CN$2&amp;CQ$2)</f>
        <v>0</v>
      </c>
      <c r="CR94" s="206">
        <f>SUMIFS(領用表!$L:$L,領用表!$E:$E,$B94,領用表!$B:$B,$CN$2&amp;CR$2)</f>
        <v>1618.5</v>
      </c>
      <c r="CS94" s="208">
        <f>SUMIFS(領用表!$L:$L,領用表!$A:$A,CS$2,領用表!$E:$E,B94)</f>
        <v>2226.1800000000003</v>
      </c>
      <c r="CT94" s="206">
        <f>SUMIFS(領用表!$L:$L,領用表!$E:$E,$B94,領用表!$B:$B,CS$2&amp;CT$2)</f>
        <v>0</v>
      </c>
      <c r="CU94" s="206">
        <f>SUMIFS(領用表!$L:$L,領用表!$E:$E,$B94,領用表!$B:$B,$CS$2&amp;CU$2)</f>
        <v>956.68000000000006</v>
      </c>
      <c r="CV94" s="206">
        <f>SUMIFS(領用表!$L:$L,領用表!$E:$E,$B94,領用表!$B:$B,$CS$2&amp;CV$2)</f>
        <v>0</v>
      </c>
      <c r="CW94" s="206">
        <f>SUMIFS(領用表!$L:$L,領用表!$E:$E,$B94,領用表!$B:$B,$CS$2&amp;CW$2)</f>
        <v>1269.5</v>
      </c>
      <c r="CX94" s="206">
        <f>SUMIFS(領用表!$L:$L,領用表!$E:$E,$B94,領用表!$B:$B,$CS$2&amp;CX$2)</f>
        <v>0</v>
      </c>
      <c r="CY94" s="208">
        <f>SUMIFS(領用表!$L:$L,領用表!$A:$A,CY$2,領用表!$E:$E,B94)</f>
        <v>1868</v>
      </c>
      <c r="CZ94" s="206">
        <f>SUMIFS(領用表!$L:$L,領用表!$E:$E,$B94,領用表!$B:$B,CY$2&amp;CZ$2)</f>
        <v>0</v>
      </c>
      <c r="DA94" s="206">
        <f>SUMIFS(領用表!$L:$L,領用表!$E:$E,$B94,領用表!$B:$B,$CY$2&amp;DA$2)</f>
        <v>840.5</v>
      </c>
      <c r="DB94" s="206">
        <f>SUMIFS(領用表!$L:$L,領用表!$E:$E,$B94,領用表!$B:$B,$CY$2&amp;DB$2)</f>
        <v>0</v>
      </c>
      <c r="DC94" s="206">
        <f>SUMIFS(領用表!$L:$L,領用表!$E:$E,$B94,領用表!$B:$B,$CY$2&amp;DC$2)</f>
        <v>1027.5</v>
      </c>
      <c r="DD94" s="206">
        <f>SUMIFS(領用表!$L:$L,領用表!$E:$E,$B94,領用表!$B:$B,$CY$2&amp;DD$2)</f>
        <v>0</v>
      </c>
      <c r="DE94" s="208">
        <f>SUMIFS(領用表!$L:$L,領用表!$A:$A,DE$2,領用表!$E:$E,B94)</f>
        <v>6</v>
      </c>
      <c r="DF94" s="206">
        <f>SUMIFS(領用表!$L:$L,領用表!$E:$E,$B94,領用表!$B:$B,DE$2&amp;DF$2)</f>
        <v>0</v>
      </c>
      <c r="DG94" s="206">
        <f>SUMIFS(領用表!$L:$L,領用表!$E:$E,$B94,領用表!$B:$B,$DE$2&amp;DG$2)</f>
        <v>0</v>
      </c>
      <c r="DH94" s="206">
        <f>SUMIFS(領用表!$L:$L,領用表!$E:$E,$B94,領用表!$B:$B,$DE$2&amp;DH$2)</f>
        <v>0</v>
      </c>
      <c r="DI94" s="206">
        <f>SUMIFS(領用表!$L:$L,領用表!$E:$E,$B94,領用表!$B:$B,$DE$2&amp;DI$2)</f>
        <v>6</v>
      </c>
      <c r="DJ94" s="206">
        <f>SUMIFS(領用表!$L:$L,領用表!$E:$E,$B94,領用表!$B:$B,$DE$2&amp;DJ$2)</f>
        <v>0</v>
      </c>
      <c r="DK94" s="208">
        <f>SUMIFS(領用表!$L:$L,領用表!$A:$A,DK$2,領用表!$E:$E,$B94)</f>
        <v>8</v>
      </c>
      <c r="DL94" s="206">
        <f>SUMIFS(領用表!$L:$L,領用表!$E:$E,$B94,領用表!$B:$B,DK$2&amp;DL$2)</f>
        <v>0</v>
      </c>
      <c r="DM94" s="206">
        <f>SUMIFS(領用表!$L:$L,領用表!$E:$E,$B94,領用表!$B:$B,$DK$2&amp;DM$2)</f>
        <v>0</v>
      </c>
      <c r="DN94" s="206">
        <f>SUMIFS(領用表!$L:$L,領用表!$E:$E,$B94,領用表!$B:$B,$DK$2&amp;DN$2)</f>
        <v>0</v>
      </c>
      <c r="DO94" s="206">
        <f>SUMIFS(領用表!$L:$L,領用表!$E:$E,$B94,領用表!$B:$B,$DK$2&amp;DO$2)</f>
        <v>8</v>
      </c>
      <c r="DP94" s="206">
        <f>SUMIFS(領用表!$L:$L,領用表!$E:$E,$B94,領用表!$B:$B,$DK$2&amp;DP$2)</f>
        <v>0</v>
      </c>
      <c r="DQ94" s="206">
        <f t="shared" si="28"/>
        <v>6053.68</v>
      </c>
      <c r="DR94" s="206">
        <f t="shared" si="29"/>
        <v>1210.7360000000001</v>
      </c>
      <c r="DS94" s="206">
        <f t="shared" si="27"/>
        <v>0</v>
      </c>
      <c r="DT94" s="206">
        <v>0</v>
      </c>
      <c r="DU94" s="206">
        <v>0</v>
      </c>
      <c r="DV94" s="206">
        <v>0</v>
      </c>
      <c r="DW94" s="206">
        <v>0</v>
      </c>
      <c r="DX94" s="258"/>
      <c r="DY94" s="283"/>
      <c r="DZ94" s="254"/>
      <c r="EA94" s="254"/>
      <c r="EB94" s="136"/>
      <c r="EC94" s="289"/>
      <c r="EE94" s="213"/>
    </row>
    <row r="95" spans="1:141" s="118" customFormat="1" ht="15.75" customHeight="1">
      <c r="A95" s="136"/>
      <c r="B95" s="118">
        <v>6200022</v>
      </c>
      <c r="C95" s="186" t="s">
        <v>955</v>
      </c>
      <c r="D95" s="430">
        <v>654</v>
      </c>
      <c r="E95" s="431"/>
      <c r="F95" s="225">
        <f>SUMIF(站前4樓!B:B,B95,站前4樓!F:F)</f>
        <v>0</v>
      </c>
      <c r="G95" s="225">
        <f>SUMIF(站前11樓!B:B,B95,站前11樓!F:F)</f>
        <v>1296</v>
      </c>
      <c r="H95" s="225">
        <f>SUMIF(忠孝7樓!B:B,B95,忠孝7樓!G:G)</f>
        <v>0</v>
      </c>
      <c r="I95" s="225">
        <f>SUMIF(忠孝國際醫學3樓!B:B,B95,忠孝國際醫學3樓!G:G)</f>
        <v>1923</v>
      </c>
      <c r="J95" s="225">
        <f>SUMIF(忠孝健康7樓!B:B,B95,忠孝健康7樓!G:G)</f>
        <v>0</v>
      </c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83"/>
      <c r="AB95" s="283"/>
      <c r="AC95" s="283"/>
      <c r="AD95" s="283"/>
      <c r="AE95" s="283"/>
      <c r="AF95" s="283"/>
      <c r="AG95" s="283"/>
      <c r="AH95" s="283"/>
      <c r="AI95" s="283"/>
      <c r="AJ95" s="201"/>
      <c r="AK95" s="201"/>
      <c r="AL95" s="201"/>
      <c r="AM95" s="201"/>
      <c r="AN95" s="201"/>
      <c r="AO95" s="201"/>
      <c r="AP95" s="201"/>
      <c r="AQ95" s="201"/>
      <c r="AR95" s="201"/>
      <c r="AS95" s="201"/>
      <c r="AT95" s="201"/>
      <c r="AU95" s="201"/>
      <c r="AV95" s="283"/>
      <c r="AW95" s="286"/>
      <c r="AX95" s="201"/>
      <c r="AY95" s="201"/>
      <c r="AZ95" s="201"/>
      <c r="BA95" s="201"/>
      <c r="BB95" s="201"/>
      <c r="BC95" s="203"/>
      <c r="BD95" s="296"/>
      <c r="BE95" s="296"/>
      <c r="BF95" s="296"/>
      <c r="BG95" s="206"/>
      <c r="BH95" s="203"/>
      <c r="BI95" s="260"/>
      <c r="BJ95" s="260"/>
      <c r="BK95" s="260"/>
      <c r="BL95" s="260"/>
      <c r="BM95" s="203"/>
      <c r="BN95" s="206"/>
      <c r="BO95" s="206"/>
      <c r="BP95" s="297"/>
      <c r="BQ95" s="206"/>
      <c r="BR95" s="203"/>
      <c r="BS95" s="297"/>
      <c r="BT95" s="297"/>
      <c r="BU95" s="297"/>
      <c r="BV95" s="206"/>
      <c r="BW95" s="208"/>
      <c r="BX95" s="206"/>
      <c r="BY95" s="206"/>
      <c r="BZ95" s="206"/>
      <c r="CA95" s="206"/>
      <c r="CB95" s="208"/>
      <c r="CC95" s="206"/>
      <c r="CD95" s="206"/>
      <c r="CE95" s="206"/>
      <c r="CF95" s="206"/>
      <c r="CG95" s="208"/>
      <c r="CH95" s="206"/>
      <c r="CI95" s="206"/>
      <c r="CJ95" s="206"/>
      <c r="CK95" s="206"/>
      <c r="CL95" s="207"/>
      <c r="CM95" s="207"/>
      <c r="CN95" s="208"/>
      <c r="CO95" s="206"/>
      <c r="CP95" s="206"/>
      <c r="CQ95" s="206"/>
      <c r="CR95" s="206"/>
      <c r="CS95" s="208"/>
      <c r="CT95" s="206"/>
      <c r="CU95" s="206"/>
      <c r="CV95" s="206"/>
      <c r="CW95" s="206"/>
      <c r="CX95" s="206"/>
      <c r="CY95" s="208"/>
      <c r="CZ95" s="206"/>
      <c r="DA95" s="206"/>
      <c r="DB95" s="206"/>
      <c r="DC95" s="206"/>
      <c r="DD95" s="206"/>
      <c r="DE95" s="208"/>
      <c r="DF95" s="206"/>
      <c r="DG95" s="206"/>
      <c r="DH95" s="206"/>
      <c r="DI95" s="206"/>
      <c r="DJ95" s="206"/>
      <c r="DK95" s="208">
        <f>SUMIFS(領用表!$L:$L,領用表!$A:$A,DK$2,領用表!$E:$E,$B95)</f>
        <v>6</v>
      </c>
      <c r="DL95" s="206">
        <f>SUMIFS(領用表!$L:$L,領用表!$E:$E,$B95,領用表!$B:$B,DK$2&amp;DL$2)</f>
        <v>0</v>
      </c>
      <c r="DM95" s="206">
        <f>SUMIFS(領用表!$L:$L,領用表!$E:$E,$B95,領用表!$B:$B,$DK$2&amp;DM$2)</f>
        <v>0</v>
      </c>
      <c r="DN95" s="206">
        <f>SUMIFS(領用表!$L:$L,領用表!$E:$E,$B95,領用表!$B:$B,$DK$2&amp;DN$2)</f>
        <v>0</v>
      </c>
      <c r="DO95" s="206">
        <f>SUMIFS(領用表!$L:$L,領用表!$E:$E,$B95,領用表!$B:$B,$DK$2&amp;DO$2)</f>
        <v>6</v>
      </c>
      <c r="DP95" s="206">
        <f>SUMIFS(領用表!$L:$L,領用表!$E:$E,$B95,領用表!$B:$B,$DK$2&amp;DP$2)</f>
        <v>0</v>
      </c>
      <c r="DQ95" s="206">
        <f t="shared" ref="DQ95:DQ96" si="30">SUM(CN95,CS95,CY95,DE95,DK95)</f>
        <v>6</v>
      </c>
      <c r="DR95" s="206">
        <f t="shared" ref="DR95:DR96" si="31">AVERAGEA(CN95,CS95,CY95,DE95,DK95)</f>
        <v>6</v>
      </c>
      <c r="DS95" s="206">
        <f t="shared" si="27"/>
        <v>0</v>
      </c>
      <c r="DT95" s="206"/>
      <c r="DU95" s="206"/>
      <c r="DV95" s="206"/>
      <c r="DW95" s="206"/>
      <c r="DX95" s="258"/>
      <c r="DY95" s="283"/>
      <c r="DZ95" s="254"/>
      <c r="EA95" s="254"/>
      <c r="EB95" s="136"/>
      <c r="EC95" s="289"/>
      <c r="EE95" s="213"/>
    </row>
    <row r="96" spans="1:141" s="118" customFormat="1" ht="15.75" customHeight="1">
      <c r="A96" s="136"/>
      <c r="B96" s="118">
        <v>6190007</v>
      </c>
      <c r="C96" s="186" t="s">
        <v>956</v>
      </c>
      <c r="D96" s="430"/>
      <c r="E96" s="431"/>
      <c r="F96" s="225">
        <f>SUMIF(站前4樓!B:B,B96,站前4樓!F:F)</f>
        <v>0</v>
      </c>
      <c r="G96" s="225">
        <f>SUMIF(站前11樓!B:B,B96,站前11樓!F:F)</f>
        <v>0</v>
      </c>
      <c r="H96" s="225">
        <f>SUMIF(忠孝7樓!B:B,B96,忠孝7樓!G:G)</f>
        <v>0</v>
      </c>
      <c r="I96" s="225">
        <f>SUMIF(忠孝國際醫學3樓!B:B,B96,忠孝國際醫學3樓!G:G)</f>
        <v>1</v>
      </c>
      <c r="J96" s="225">
        <f>SUMIF(忠孝健康7樓!B:B,B96,忠孝健康7樓!G:G)</f>
        <v>0</v>
      </c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83"/>
      <c r="AB96" s="283"/>
      <c r="AC96" s="283"/>
      <c r="AD96" s="283"/>
      <c r="AE96" s="283"/>
      <c r="AF96" s="283"/>
      <c r="AG96" s="283"/>
      <c r="AH96" s="283"/>
      <c r="AI96" s="283"/>
      <c r="AJ96" s="201"/>
      <c r="AK96" s="201"/>
      <c r="AL96" s="201"/>
      <c r="AM96" s="201"/>
      <c r="AN96" s="201"/>
      <c r="AO96" s="201"/>
      <c r="AP96" s="201"/>
      <c r="AQ96" s="201"/>
      <c r="AR96" s="201"/>
      <c r="AS96" s="201"/>
      <c r="AT96" s="201"/>
      <c r="AU96" s="201"/>
      <c r="AV96" s="283"/>
      <c r="AW96" s="286"/>
      <c r="AX96" s="201"/>
      <c r="AY96" s="201"/>
      <c r="AZ96" s="201"/>
      <c r="BA96" s="201"/>
      <c r="BB96" s="201"/>
      <c r="BC96" s="203"/>
      <c r="BD96" s="296"/>
      <c r="BE96" s="296"/>
      <c r="BF96" s="296"/>
      <c r="BG96" s="206"/>
      <c r="BH96" s="203"/>
      <c r="BI96" s="260"/>
      <c r="BJ96" s="260"/>
      <c r="BK96" s="260"/>
      <c r="BL96" s="260"/>
      <c r="BM96" s="203"/>
      <c r="BN96" s="206"/>
      <c r="BO96" s="206"/>
      <c r="BP96" s="297"/>
      <c r="BQ96" s="206"/>
      <c r="BR96" s="203"/>
      <c r="BS96" s="297"/>
      <c r="BT96" s="297"/>
      <c r="BU96" s="297"/>
      <c r="BV96" s="206"/>
      <c r="BW96" s="208"/>
      <c r="BX96" s="206"/>
      <c r="BY96" s="206"/>
      <c r="BZ96" s="206"/>
      <c r="CA96" s="206"/>
      <c r="CB96" s="208"/>
      <c r="CC96" s="206"/>
      <c r="CD96" s="206"/>
      <c r="CE96" s="206"/>
      <c r="CF96" s="206"/>
      <c r="CG96" s="208"/>
      <c r="CH96" s="206"/>
      <c r="CI96" s="206"/>
      <c r="CJ96" s="206"/>
      <c r="CK96" s="206"/>
      <c r="CL96" s="207"/>
      <c r="CM96" s="207"/>
      <c r="CN96" s="208"/>
      <c r="CO96" s="206"/>
      <c r="CP96" s="206"/>
      <c r="CQ96" s="206"/>
      <c r="CR96" s="206"/>
      <c r="CS96" s="208"/>
      <c r="CT96" s="206"/>
      <c r="CU96" s="206"/>
      <c r="CV96" s="206"/>
      <c r="CW96" s="206"/>
      <c r="CX96" s="206"/>
      <c r="CY96" s="208"/>
      <c r="CZ96" s="206"/>
      <c r="DA96" s="206"/>
      <c r="DB96" s="206"/>
      <c r="DC96" s="206"/>
      <c r="DD96" s="206"/>
      <c r="DE96" s="208"/>
      <c r="DF96" s="206"/>
      <c r="DG96" s="206"/>
      <c r="DH96" s="206"/>
      <c r="DI96" s="206"/>
      <c r="DJ96" s="206"/>
      <c r="DK96" s="208">
        <f>SUMIFS(領用表!$L:$L,領用表!$A:$A,DK$2,領用表!$E:$E,$B96)</f>
        <v>0</v>
      </c>
      <c r="DL96" s="206">
        <f>SUMIFS(領用表!$L:$L,領用表!$E:$E,$B96,領用表!$B:$B,DK$2&amp;DL$2)</f>
        <v>0</v>
      </c>
      <c r="DM96" s="206">
        <f>SUMIFS(領用表!$L:$L,領用表!$E:$E,$B96,領用表!$B:$B,$DK$2&amp;DM$2)</f>
        <v>0</v>
      </c>
      <c r="DN96" s="206">
        <f>SUMIFS(領用表!$L:$L,領用表!$E:$E,$B96,領用表!$B:$B,$DK$2&amp;DN$2)</f>
        <v>0</v>
      </c>
      <c r="DO96" s="206">
        <f>SUMIFS(領用表!$L:$L,領用表!$E:$E,$B96,領用表!$B:$B,$DK$2&amp;DO$2)</f>
        <v>0</v>
      </c>
      <c r="DP96" s="206">
        <f>SUMIFS(領用表!$L:$L,領用表!$E:$E,$B96,領用表!$B:$B,$DK$2&amp;DP$2)</f>
        <v>0</v>
      </c>
      <c r="DQ96" s="206">
        <f t="shared" si="30"/>
        <v>0</v>
      </c>
      <c r="DR96" s="206">
        <f t="shared" si="31"/>
        <v>0</v>
      </c>
      <c r="DS96" s="206">
        <f t="shared" si="27"/>
        <v>0</v>
      </c>
      <c r="DT96" s="206"/>
      <c r="DU96" s="206"/>
      <c r="DV96" s="206"/>
      <c r="DW96" s="206"/>
      <c r="DX96" s="258"/>
      <c r="DY96" s="283"/>
      <c r="DZ96" s="254"/>
      <c r="EA96" s="254"/>
      <c r="EB96" s="136"/>
      <c r="EC96" s="289"/>
      <c r="EE96" s="213"/>
    </row>
    <row r="97" spans="1:138" s="118" customFormat="1" ht="15.75" customHeight="1">
      <c r="A97" s="136" t="s">
        <v>152</v>
      </c>
      <c r="B97" s="118">
        <v>6120001</v>
      </c>
      <c r="C97" s="118" t="s">
        <v>633</v>
      </c>
      <c r="D97" s="285">
        <v>20</v>
      </c>
      <c r="E97" s="198" t="s">
        <v>15</v>
      </c>
      <c r="F97" s="225">
        <f>SUMIF(站前4樓!B:B,B97,站前4樓!F:F)</f>
        <v>0</v>
      </c>
      <c r="G97" s="225">
        <f>SUMIF(站前11樓!B:B,B97,站前11樓!F:F)</f>
        <v>738</v>
      </c>
      <c r="H97" s="225">
        <f>SUMIF(忠孝7樓!B:B,B97,忠孝7樓!G:G)</f>
        <v>0</v>
      </c>
      <c r="I97" s="225">
        <f>SUMIF(忠孝國際醫學3樓!B:B,B97,忠孝國際醫學3樓!G:G)</f>
        <v>1434</v>
      </c>
      <c r="J97" s="225">
        <f>SUMIF(忠孝健康7樓!B:B,B97,忠孝健康7樓!G:G)</f>
        <v>0</v>
      </c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83"/>
      <c r="AB97" s="283"/>
      <c r="AC97" s="283"/>
      <c r="AD97" s="283"/>
      <c r="AE97" s="283"/>
      <c r="AF97" s="283"/>
      <c r="AG97" s="283"/>
      <c r="AH97" s="283"/>
      <c r="AI97" s="283"/>
      <c r="AJ97" s="201">
        <v>40</v>
      </c>
      <c r="AK97" s="201">
        <v>31</v>
      </c>
      <c r="AL97" s="201">
        <v>28</v>
      </c>
      <c r="AM97" s="201">
        <v>47</v>
      </c>
      <c r="AN97" s="201">
        <v>74</v>
      </c>
      <c r="AO97" s="201">
        <v>82</v>
      </c>
      <c r="AP97" s="201">
        <v>94</v>
      </c>
      <c r="AQ97" s="201">
        <v>150</v>
      </c>
      <c r="AR97" s="201">
        <v>286</v>
      </c>
      <c r="AS97" s="201">
        <v>262</v>
      </c>
      <c r="AT97" s="201">
        <v>257</v>
      </c>
      <c r="AU97" s="201">
        <v>283</v>
      </c>
      <c r="AV97" s="283">
        <f t="shared" ref="AV97:AV140" si="32">SUM(AJ97:AU97)</f>
        <v>1634</v>
      </c>
      <c r="AW97" s="286">
        <f t="shared" ref="AW97:AW140" si="33">AV97/12</f>
        <v>136.16666666666666</v>
      </c>
      <c r="AX97" s="201">
        <v>250</v>
      </c>
      <c r="AY97" s="201">
        <v>33</v>
      </c>
      <c r="AZ97" s="201">
        <v>299</v>
      </c>
      <c r="BA97" s="201">
        <v>390</v>
      </c>
      <c r="BB97" s="201">
        <f>2+364</f>
        <v>366</v>
      </c>
      <c r="BC97" s="203">
        <f>SUMIFS(領用表!$L:$L,領用表!$A:$A,BC$2,領用表!$E:$E,B97)</f>
        <v>408</v>
      </c>
      <c r="BD97" s="296">
        <f>SUMIFS(領用表!$L:$L,領用表!$E:$E,$B97,領用表!$B:$B,BC$2&amp;BD$2)</f>
        <v>0</v>
      </c>
      <c r="BE97" s="296">
        <f>SUMIFS(領用表!$L:$L,領用表!$E:$E,$B97,領用表!$B:$B,$BC$2&amp;BE$2)</f>
        <v>408</v>
      </c>
      <c r="BF97" s="296">
        <f>SUMIFS(領用表!$L:$L,領用表!$E:$E,$B97,領用表!$B:$B,$BC$2&amp;BF$2)</f>
        <v>0</v>
      </c>
      <c r="BG97" s="206">
        <f>SUMIFS(領用表!$L:$L,領用表!$E:$E,$B97,領用表!$B:$B,$BC$2&amp;BG$2)</f>
        <v>0</v>
      </c>
      <c r="BH97" s="203">
        <f>SUMIFS(領用表!$L:$L,領用表!$A:$A,BH$2,領用表!$E:$E,B97)</f>
        <v>487</v>
      </c>
      <c r="BI97" s="260">
        <f>SUMIFS(領用表!$L:$L,領用表!$E:$E,$B97,領用表!$B:$B,BH$2&amp;BI$2)</f>
        <v>1</v>
      </c>
      <c r="BJ97" s="260">
        <f>SUMIFS(領用表!$L:$L,領用表!$E:$E,$B97,領用表!$B:$B,$BH$2&amp;BJ$2)</f>
        <v>321</v>
      </c>
      <c r="BK97" s="260">
        <f>SUMIFS(領用表!$L:$L,領用表!$E:$E,$B97,領用表!$B:$B,$BH$2&amp;BK$2)</f>
        <v>0</v>
      </c>
      <c r="BL97" s="260">
        <f>SUMIFS(領用表!$L:$L,領用表!$E:$E,$B97,領用表!$B:$B,$BH$2&amp;BL$2)</f>
        <v>165</v>
      </c>
      <c r="BM97" s="203">
        <f>SUMIFS(領用表!$L:$L,領用表!$A:$A,BM$2,領用表!$E:$E,B97)</f>
        <v>655</v>
      </c>
      <c r="BN97" s="206">
        <f>SUMIFS(領用表!$L:$L,領用表!$E:$E,$B97,領用表!$B:$B,BM$2&amp;BN$2)</f>
        <v>0</v>
      </c>
      <c r="BO97" s="206">
        <f>SUMIFS(領用表!$L:$L,領用表!$E:$E,$B97,領用表!$B:$B,$BM$2&amp;BO$2)</f>
        <v>273</v>
      </c>
      <c r="BP97" s="297">
        <f>SUMIFS(領用表!$L:$L,領用表!$E:$E,$B97,領用表!$B:$B,$BM$2&amp;BP$2)</f>
        <v>0</v>
      </c>
      <c r="BQ97" s="206">
        <f>SUMIFS(領用表!$L:$L,領用表!$E:$E,$B97,領用表!$B:$B,$BM$2&amp;BQ$2)</f>
        <v>382</v>
      </c>
      <c r="BR97" s="203">
        <f>SUMIFS(領用表!$L:$L,領用表!$A:$A,BR$2,領用表!$E:$E,B97)</f>
        <v>819</v>
      </c>
      <c r="BS97" s="297">
        <f>SUMIFS(領用表!$L:$L,領用表!$E:$E,$B97,領用表!$B:$B,BR$2&amp;BS$2)</f>
        <v>0</v>
      </c>
      <c r="BT97" s="297">
        <f>SUMIFS(領用表!$L:$L,領用表!$E:$E,$B97,領用表!$B:$B,$BR$2&amp;BT$2)</f>
        <v>330</v>
      </c>
      <c r="BU97" s="297">
        <f>SUMIFS(領用表!$L:$L,領用表!$E:$E,$B97,領用表!$B:$B,$BR$2&amp;BU$2)</f>
        <v>0</v>
      </c>
      <c r="BV97" s="206">
        <f>SUMIFS(領用表!$L:$L,領用表!$E:$E,$B97,領用表!$B:$B,$BR$2&amp;BV$2)</f>
        <v>489</v>
      </c>
      <c r="BW97" s="208">
        <f>SUMIFS(領用表!$L:$L,領用表!$A:$A,BW$2,領用表!$E:$E,B97)</f>
        <v>1079</v>
      </c>
      <c r="BX97" s="206">
        <f>SUMIFS(領用表!$L:$L,領用表!$E:$E,$B97,領用表!$B:$B,BW$2&amp;BX$2)</f>
        <v>0</v>
      </c>
      <c r="BY97" s="206">
        <f>SUMIFS(領用表!$L:$L,領用表!$E:$E,$B97,領用表!$B:$B,$BW$2&amp;BY$2)</f>
        <v>391</v>
      </c>
      <c r="BZ97" s="206">
        <f>SUMIFS(領用表!$L:$L,領用表!$E:$E,$B97,領用表!$B:$B,$BW$2&amp;BZ$2)</f>
        <v>2</v>
      </c>
      <c r="CA97" s="206">
        <f>SUMIFS(領用表!$L:$L,領用表!$E:$E,$B97,領用表!$B:$B,$BW$2&amp;CA$2)</f>
        <v>686</v>
      </c>
      <c r="CB97" s="208">
        <f>SUMIFS(領用表!$L:$L,領用表!$A:$A,CB$2,領用表!$E:$E,B97)</f>
        <v>1527</v>
      </c>
      <c r="CC97" s="206">
        <f>SUMIFS(領用表!$L:$L,領用表!$E:$E,$B97,領用表!$B:$B,CB$2&amp;CC$2)</f>
        <v>0</v>
      </c>
      <c r="CD97" s="206">
        <f>SUMIFS(領用表!$L:$L,領用表!$E:$E,$B97,領用表!$B:$B,$CB$2&amp;CD$2)</f>
        <v>527</v>
      </c>
      <c r="CE97" s="206">
        <f>SUMIFS(領用表!$L:$L,領用表!$E:$E,$B97,領用表!$B:$B,$CB$2&amp;CE$2)</f>
        <v>0</v>
      </c>
      <c r="CF97" s="206">
        <f>SUMIFS(領用表!$L:$L,領用表!$E:$E,$B97,領用表!$B:$B,$CB$2&amp;CF$2)</f>
        <v>1000</v>
      </c>
      <c r="CG97" s="208">
        <f>SUMIFS(領用表!$L:$L,領用表!$A:$A,CG$2,領用表!$E:$E,B97)</f>
        <v>1588</v>
      </c>
      <c r="CH97" s="206">
        <f>SUMIFS(領用表!$L:$L,領用表!$E:$E,$B97,領用表!$B:$B,CG$2&amp;CH$2)</f>
        <v>0</v>
      </c>
      <c r="CI97" s="206">
        <f>SUMIFS(領用表!$L:$L,領用表!$E:$E,$B97,領用表!$B:$B,CG$2&amp;CI$2)</f>
        <v>550</v>
      </c>
      <c r="CJ97" s="206">
        <f>SUMIFS(領用表!$L:$L,領用表!$E:$E,$B97,領用表!$B:$B,CG$2&amp;CJ$2)</f>
        <v>0</v>
      </c>
      <c r="CK97" s="206">
        <f>SUMIFS(領用表!$L:$L,領用表!$E:$E,$B97,領用表!$B:$B,$CG$2&amp;CK$2)</f>
        <v>1038</v>
      </c>
      <c r="CL97" s="207">
        <f t="shared" si="22"/>
        <v>7901</v>
      </c>
      <c r="CM97" s="207">
        <f t="shared" si="23"/>
        <v>658.41666666666663</v>
      </c>
      <c r="CN97" s="208">
        <f>SUMIFS(領用表!$L:$L,領用表!$A:$A,CN$2,領用表!$E:$E,B97)</f>
        <v>1772</v>
      </c>
      <c r="CO97" s="206">
        <f>SUMIFS(領用表!$L:$L,領用表!$E:$E,$B97,領用表!$B:$B,CN$2&amp;CO$2)</f>
        <v>0</v>
      </c>
      <c r="CP97" s="206">
        <f>SUMIFS(領用表!$L:$L,領用表!$E:$E,$B97,領用表!$B:$B,$CN$2&amp;CP$2)</f>
        <v>609</v>
      </c>
      <c r="CQ97" s="206">
        <f>SUMIFS(領用表!$L:$L,領用表!$E:$E,$B97,領用表!$B:$B,$CN$2&amp;CQ$2)</f>
        <v>0</v>
      </c>
      <c r="CR97" s="206">
        <f>SUMIFS(領用表!$L:$L,領用表!$E:$E,$B97,領用表!$B:$B,$CN$2&amp;CR$2)</f>
        <v>1163</v>
      </c>
      <c r="CS97" s="208">
        <f>SUMIFS(領用表!$L:$L,領用表!$A:$A,CS$2,領用表!$E:$E,B97)</f>
        <v>1443</v>
      </c>
      <c r="CT97" s="206">
        <f>SUMIFS(領用表!$L:$L,領用表!$E:$E,$B97,領用表!$B:$B,CS$2&amp;CT$2)</f>
        <v>0</v>
      </c>
      <c r="CU97" s="206">
        <f>SUMIFS(領用表!$L:$L,領用表!$E:$E,$B97,領用表!$B:$B,$CS$2&amp;CU$2)</f>
        <v>526</v>
      </c>
      <c r="CV97" s="206">
        <f>SUMIFS(領用表!$L:$L,領用表!$E:$E,$B97,領用表!$B:$B,$CS$2&amp;CV$2)</f>
        <v>0</v>
      </c>
      <c r="CW97" s="206">
        <f>SUMIFS(領用表!$L:$L,領用表!$E:$E,$B97,領用表!$B:$B,$CS$2&amp;CW$2)</f>
        <v>917</v>
      </c>
      <c r="CX97" s="206">
        <f>SUMIFS(領用表!$L:$L,領用表!$E:$E,$B97,領用表!$B:$B,$CS$2&amp;CX$2)</f>
        <v>0</v>
      </c>
      <c r="CY97" s="208">
        <f>SUMIFS(領用表!$L:$L,領用表!$A:$A,CY$2,領用表!$E:$E,B97)</f>
        <v>1937</v>
      </c>
      <c r="CZ97" s="206">
        <f>SUMIFS(領用表!$L:$L,領用表!$E:$E,$B97,領用表!$B:$B,CY$2&amp;CZ$2)</f>
        <v>0</v>
      </c>
      <c r="DA97" s="206">
        <f>SUMIFS(領用表!$L:$L,領用表!$E:$E,$B97,領用表!$B:$B,$CY$2&amp;DA$2)</f>
        <v>733</v>
      </c>
      <c r="DB97" s="206">
        <f>SUMIFS(領用表!$L:$L,領用表!$E:$E,$B97,領用表!$B:$B,$CY$2&amp;DB$2)</f>
        <v>0</v>
      </c>
      <c r="DC97" s="206">
        <f>SUMIFS(領用表!$L:$L,領用表!$E:$E,$B97,領用表!$B:$B,$CY$2&amp;DC$2)</f>
        <v>1204</v>
      </c>
      <c r="DD97" s="206">
        <f>SUMIFS(領用表!$L:$L,領用表!$E:$E,$B97,領用表!$B:$B,$CY$2&amp;DD$2)</f>
        <v>0</v>
      </c>
      <c r="DE97" s="208">
        <f>SUMIFS(領用表!$L:$L,領用表!$A:$A,DE$2,領用表!$E:$E,B97)</f>
        <v>2625</v>
      </c>
      <c r="DF97" s="206">
        <f>SUMIFS(領用表!$L:$L,領用表!$E:$E,$B97,領用表!$B:$B,DE$2&amp;DF$2)</f>
        <v>0</v>
      </c>
      <c r="DG97" s="206">
        <f>SUMIFS(領用表!$L:$L,領用表!$E:$E,$B97,領用表!$B:$B,$DE$2&amp;DG$2)</f>
        <v>1031</v>
      </c>
      <c r="DH97" s="206">
        <f>SUMIFS(領用表!$L:$L,領用表!$E:$E,$B97,領用表!$B:$B,$DE$2&amp;DH$2)</f>
        <v>0</v>
      </c>
      <c r="DI97" s="206">
        <f>SUMIFS(領用表!$L:$L,領用表!$E:$E,$B97,領用表!$B:$B,$DE$2&amp;DI$2)</f>
        <v>1594</v>
      </c>
      <c r="DJ97" s="206">
        <f>SUMIFS(領用表!$L:$L,領用表!$E:$E,$B97,領用表!$B:$B,$DE$2&amp;DJ$2)</f>
        <v>0</v>
      </c>
      <c r="DK97" s="208">
        <f>SUMIFS(領用表!$L:$L,領用表!$A:$A,DK$2,領用表!$E:$E,$B97)</f>
        <v>3769</v>
      </c>
      <c r="DL97" s="206">
        <f>SUMIFS(領用表!$L:$L,領用表!$E:$E,$B97,領用表!$B:$B,DK$2&amp;DL$2)</f>
        <v>0</v>
      </c>
      <c r="DM97" s="206">
        <f>SUMIFS(領用表!$L:$L,領用表!$E:$E,$B97,領用表!$B:$B,$DK$2&amp;DM$2)</f>
        <v>1410</v>
      </c>
      <c r="DN97" s="206">
        <f>SUMIFS(領用表!$L:$L,領用表!$E:$E,$B97,領用表!$B:$B,$DK$2&amp;DN$2)</f>
        <v>0</v>
      </c>
      <c r="DO97" s="206">
        <f>SUMIFS(領用表!$L:$L,領用表!$E:$E,$B97,領用表!$B:$B,$DK$2&amp;DO$2)</f>
        <v>2359</v>
      </c>
      <c r="DP97" s="206">
        <f>SUMIFS(領用表!$L:$L,領用表!$E:$E,$B97,領用表!$B:$B,$DK$2&amp;DP$2)</f>
        <v>0</v>
      </c>
      <c r="DQ97" s="206">
        <f t="shared" si="28"/>
        <v>11546</v>
      </c>
      <c r="DR97" s="206">
        <f t="shared" si="29"/>
        <v>2309.1999999999998</v>
      </c>
      <c r="DS97" s="206">
        <f t="shared" si="27"/>
        <v>2852</v>
      </c>
      <c r="DT97" s="206">
        <v>0</v>
      </c>
      <c r="DU97" s="206">
        <v>1000</v>
      </c>
      <c r="DV97" s="206">
        <v>2</v>
      </c>
      <c r="DW97" s="206">
        <v>1850</v>
      </c>
      <c r="DX97" s="258">
        <v>200</v>
      </c>
      <c r="DY97" s="283"/>
      <c r="DZ97" s="283" t="s">
        <v>153</v>
      </c>
      <c r="EA97" s="283" t="s">
        <v>154</v>
      </c>
      <c r="EB97" s="136"/>
      <c r="EC97" s="289"/>
      <c r="ED97" s="118">
        <f>IFERROR(VLOOKUP(A97,站前4樓!A:BF,57,0),0)</f>
        <v>0</v>
      </c>
      <c r="EE97" s="213">
        <f>IFERROR(VLOOKUP(A97,站前11樓!A:BE,57,0),0)</f>
        <v>527</v>
      </c>
      <c r="EF97" s="118">
        <f>IFERROR(VLOOKUP(A97,忠孝7樓!A:N,57,0),0)</f>
        <v>0</v>
      </c>
      <c r="EG97" s="118">
        <f>IFERROR(VLOOKUP(A97,忠孝國際醫學3樓!A:L,57,0),0)</f>
        <v>0</v>
      </c>
      <c r="EH97" s="118">
        <f t="shared" si="25"/>
        <v>527</v>
      </c>
    </row>
    <row r="98" spans="1:138" s="118" customFormat="1" ht="15.75" customHeight="1">
      <c r="A98" s="136" t="s">
        <v>155</v>
      </c>
      <c r="B98" s="118">
        <v>6120002</v>
      </c>
      <c r="C98" s="118" t="s">
        <v>634</v>
      </c>
      <c r="D98" s="285">
        <v>20</v>
      </c>
      <c r="E98" s="198" t="s">
        <v>15</v>
      </c>
      <c r="F98" s="225">
        <f>SUMIF(站前4樓!B:B,B98,站前4樓!F:F)</f>
        <v>0</v>
      </c>
      <c r="G98" s="225">
        <f>SUMIF(站前11樓!B:B,B98,站前11樓!F:F)</f>
        <v>300.5</v>
      </c>
      <c r="H98" s="225">
        <f>SUMIF(忠孝7樓!B:B,B98,忠孝7樓!G:G)</f>
        <v>0</v>
      </c>
      <c r="I98" s="225">
        <f>SUMIF(忠孝國際醫學3樓!B:B,B98,忠孝國際醫學3樓!G:G)</f>
        <v>1093</v>
      </c>
      <c r="J98" s="225">
        <f>SUMIF(忠孝健康7樓!B:B,B98,忠孝健康7樓!G:G)</f>
        <v>0</v>
      </c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83"/>
      <c r="AB98" s="283"/>
      <c r="AC98" s="283"/>
      <c r="AD98" s="283"/>
      <c r="AE98" s="283"/>
      <c r="AF98" s="283"/>
      <c r="AG98" s="283"/>
      <c r="AH98" s="283"/>
      <c r="AI98" s="283"/>
      <c r="AJ98" s="201">
        <v>40</v>
      </c>
      <c r="AK98" s="201">
        <v>31</v>
      </c>
      <c r="AL98" s="201">
        <v>29</v>
      </c>
      <c r="AM98" s="201">
        <v>48</v>
      </c>
      <c r="AN98" s="201">
        <v>74</v>
      </c>
      <c r="AO98" s="201">
        <v>84</v>
      </c>
      <c r="AP98" s="201">
        <v>105</v>
      </c>
      <c r="AQ98" s="201">
        <v>160</v>
      </c>
      <c r="AR98" s="201">
        <v>304</v>
      </c>
      <c r="AS98" s="201">
        <v>288.5</v>
      </c>
      <c r="AT98" s="201">
        <v>306</v>
      </c>
      <c r="AU98" s="201">
        <v>362.5</v>
      </c>
      <c r="AV98" s="283">
        <f t="shared" si="32"/>
        <v>1832</v>
      </c>
      <c r="AW98" s="286">
        <f t="shared" si="33"/>
        <v>152.66666666666666</v>
      </c>
      <c r="AX98" s="201">
        <v>359.5</v>
      </c>
      <c r="AY98" s="201">
        <v>165</v>
      </c>
      <c r="AZ98" s="201">
        <v>419.5</v>
      </c>
      <c r="BA98" s="201">
        <v>490</v>
      </c>
      <c r="BB98" s="201">
        <f>2+478</f>
        <v>480</v>
      </c>
      <c r="BC98" s="203">
        <f>SUMIFS(領用表!$L:$L,領用表!$A:$A,BC$2,領用表!$E:$E,B98)</f>
        <v>481</v>
      </c>
      <c r="BD98" s="296">
        <f>SUMIFS(領用表!$L:$L,領用表!$E:$E,$B98,領用表!$B:$B,BC$2&amp;BD$2)</f>
        <v>0.5</v>
      </c>
      <c r="BE98" s="296">
        <f>SUMIFS(領用表!$L:$L,領用表!$E:$E,$B98,領用表!$B:$B,$BC$2&amp;BE$2)</f>
        <v>480.5</v>
      </c>
      <c r="BF98" s="296">
        <f>SUMIFS(領用表!$L:$L,領用表!$E:$E,$B98,領用表!$B:$B,$BC$2&amp;BF$2)</f>
        <v>0</v>
      </c>
      <c r="BG98" s="206">
        <f>SUMIFS(領用表!$L:$L,領用表!$E:$E,$B98,領用表!$B:$B,$BC$2&amp;BG$2)</f>
        <v>0</v>
      </c>
      <c r="BH98" s="203">
        <f>SUMIFS(領用表!$L:$L,領用表!$A:$A,BH$2,領用表!$E:$E,B98)</f>
        <v>591.5</v>
      </c>
      <c r="BI98" s="260">
        <f>SUMIFS(領用表!$L:$L,領用表!$E:$E,$B98,領用表!$B:$B,BH$2&amp;BI$2)</f>
        <v>1</v>
      </c>
      <c r="BJ98" s="260">
        <f>SUMIFS(領用表!$L:$L,領用表!$E:$E,$B98,領用表!$B:$B,$BH$2&amp;BJ$2)</f>
        <v>380</v>
      </c>
      <c r="BK98" s="260">
        <f>SUMIFS(領用表!$L:$L,領用表!$E:$E,$B98,領用表!$B:$B,$BH$2&amp;BK$2)</f>
        <v>0.5</v>
      </c>
      <c r="BL98" s="260">
        <f>SUMIFS(領用表!$L:$L,領用表!$E:$E,$B98,領用表!$B:$B,$BH$2&amp;BL$2)</f>
        <v>210</v>
      </c>
      <c r="BM98" s="203">
        <f>SUMIFS(領用表!$L:$L,領用表!$A:$A,BM$2,領用表!$E:$E,B98)</f>
        <v>849</v>
      </c>
      <c r="BN98" s="206">
        <f>SUMIFS(領用表!$L:$L,領用表!$E:$E,$B98,領用表!$B:$B,BM$2&amp;BN$2)</f>
        <v>0</v>
      </c>
      <c r="BO98" s="206">
        <f>SUMIFS(領用表!$L:$L,領用表!$E:$E,$B98,領用表!$B:$B,$BM$2&amp;BO$2)</f>
        <v>358</v>
      </c>
      <c r="BP98" s="297">
        <f>SUMIFS(領用表!$L:$L,領用表!$E:$E,$B98,領用表!$B:$B,$BM$2&amp;BP$2)</f>
        <v>0</v>
      </c>
      <c r="BQ98" s="206">
        <f>SUMIFS(領用表!$L:$L,領用表!$E:$E,$B98,領用表!$B:$B,$BM$2&amp;BQ$2)</f>
        <v>491</v>
      </c>
      <c r="BR98" s="203">
        <f>SUMIFS(領用表!$L:$L,領用表!$A:$A,BR$2,領用表!$E:$E,B98)</f>
        <v>1035.5</v>
      </c>
      <c r="BS98" s="297">
        <f>SUMIFS(領用表!$L:$L,領用表!$E:$E,$B98,領用表!$B:$B,BR$2&amp;BS$2)</f>
        <v>0</v>
      </c>
      <c r="BT98" s="297">
        <f>SUMIFS(領用表!$L:$L,領用表!$E:$E,$B98,領用表!$B:$B,$BR$2&amp;BT$2)</f>
        <v>410</v>
      </c>
      <c r="BU98" s="297">
        <f>SUMIFS(領用表!$L:$L,領用表!$E:$E,$B98,領用表!$B:$B,$BR$2&amp;BU$2)</f>
        <v>0</v>
      </c>
      <c r="BV98" s="206">
        <f>SUMIFS(領用表!$L:$L,領用表!$E:$E,$B98,領用表!$B:$B,$BR$2&amp;BV$2)</f>
        <v>625.5</v>
      </c>
      <c r="BW98" s="208">
        <f>SUMIFS(領用表!$L:$L,領用表!$A:$A,BW$2,領用表!$E:$E,B98)</f>
        <v>1353</v>
      </c>
      <c r="BX98" s="206">
        <f>SUMIFS(領用表!$L:$L,領用表!$E:$E,$B98,領用表!$B:$B,BW$2&amp;BX$2)</f>
        <v>0</v>
      </c>
      <c r="BY98" s="206">
        <f>SUMIFS(領用表!$L:$L,領用表!$E:$E,$B98,領用表!$B:$B,$BW$2&amp;BY$2)</f>
        <v>484</v>
      </c>
      <c r="BZ98" s="206">
        <f>SUMIFS(領用表!$L:$L,領用表!$E:$E,$B98,領用表!$B:$B,$BW$2&amp;BZ$2)</f>
        <v>2</v>
      </c>
      <c r="CA98" s="206">
        <f>SUMIFS(領用表!$L:$L,領用表!$E:$E,$B98,領用表!$B:$B,$BW$2&amp;CA$2)</f>
        <v>867</v>
      </c>
      <c r="CB98" s="208">
        <f>SUMIFS(領用表!$L:$L,領用表!$A:$A,CB$2,領用表!$E:$E,B98)</f>
        <v>1873.5</v>
      </c>
      <c r="CC98" s="206">
        <f>SUMIFS(領用表!$L:$L,領用表!$E:$E,$B98,領用表!$B:$B,CB$2&amp;CC$2)</f>
        <v>0</v>
      </c>
      <c r="CD98" s="206">
        <f>SUMIFS(領用表!$L:$L,領用表!$E:$E,$B98,領用表!$B:$B,$CB$2&amp;CD$2)</f>
        <v>651.5</v>
      </c>
      <c r="CE98" s="206">
        <f>SUMIFS(領用表!$L:$L,領用表!$E:$E,$B98,領用表!$B:$B,$CB$2&amp;CE$2)</f>
        <v>0</v>
      </c>
      <c r="CF98" s="206">
        <f>SUMIFS(領用表!$L:$L,領用表!$E:$E,$B98,領用表!$B:$B,$CB$2&amp;CF$2)</f>
        <v>1222</v>
      </c>
      <c r="CG98" s="208">
        <f>SUMIFS(領用表!$L:$L,領用表!$A:$A,CG$2,領用表!$E:$E,B98)</f>
        <v>1963</v>
      </c>
      <c r="CH98" s="206">
        <f>SUMIFS(領用表!$L:$L,領用表!$E:$E,$B98,領用表!$B:$B,CG$2&amp;CH$2)</f>
        <v>0</v>
      </c>
      <c r="CI98" s="206">
        <f>SUMIFS(領用表!$L:$L,領用表!$E:$E,$B98,領用表!$B:$B,CG$2&amp;CI$2)</f>
        <v>673.5</v>
      </c>
      <c r="CJ98" s="206">
        <f>SUMIFS(領用表!$L:$L,領用表!$E:$E,$B98,領用表!$B:$B,CG$2&amp;CJ$2)</f>
        <v>0</v>
      </c>
      <c r="CK98" s="206">
        <f>SUMIFS(領用表!$L:$L,領用表!$E:$E,$B98,領用表!$B:$B,$CG$2&amp;CK$2)</f>
        <v>1289.5</v>
      </c>
      <c r="CL98" s="207">
        <f t="shared" si="22"/>
        <v>10060.5</v>
      </c>
      <c r="CM98" s="207">
        <f t="shared" si="23"/>
        <v>838.375</v>
      </c>
      <c r="CN98" s="208">
        <f>SUMIFS(領用表!$L:$L,領用表!$A:$A,CN$2,領用表!$E:$E,B98)</f>
        <v>2254.5</v>
      </c>
      <c r="CO98" s="206">
        <f>SUMIFS(領用表!$L:$L,領用表!$E:$E,$B98,領用表!$B:$B,CN$2&amp;CO$2)</f>
        <v>0</v>
      </c>
      <c r="CP98" s="206">
        <f>SUMIFS(領用表!$L:$L,領用表!$E:$E,$B98,領用表!$B:$B,$CN$2&amp;CP$2)</f>
        <v>768.5</v>
      </c>
      <c r="CQ98" s="206">
        <f>SUMIFS(領用表!$L:$L,領用表!$E:$E,$B98,領用表!$B:$B,$CN$2&amp;CQ$2)</f>
        <v>0</v>
      </c>
      <c r="CR98" s="206">
        <f>SUMIFS(領用表!$L:$L,領用表!$E:$E,$B98,領用表!$B:$B,$CN$2&amp;CR$2)</f>
        <v>1486</v>
      </c>
      <c r="CS98" s="208">
        <f>SUMIFS(領用表!$L:$L,領用表!$A:$A,CS$2,領用表!$E:$E,B98)</f>
        <v>1876</v>
      </c>
      <c r="CT98" s="206">
        <f>SUMIFS(領用表!$L:$L,領用表!$E:$E,$B98,領用表!$B:$B,CS$2&amp;CT$2)</f>
        <v>0</v>
      </c>
      <c r="CU98" s="206">
        <f>SUMIFS(領用表!$L:$L,領用表!$E:$E,$B98,領用表!$B:$B,$CS$2&amp;CU$2)</f>
        <v>672.5</v>
      </c>
      <c r="CV98" s="206">
        <f>SUMIFS(領用表!$L:$L,領用表!$E:$E,$B98,領用表!$B:$B,$CS$2&amp;CV$2)</f>
        <v>0</v>
      </c>
      <c r="CW98" s="206">
        <f>SUMIFS(領用表!$L:$L,領用表!$E:$E,$B98,領用表!$B:$B,$CS$2&amp;CW$2)</f>
        <v>1203.5</v>
      </c>
      <c r="CX98" s="206">
        <f>SUMIFS(領用表!$L:$L,領用表!$E:$E,$B98,領用表!$B:$B,$CS$2&amp;CX$2)</f>
        <v>0</v>
      </c>
      <c r="CY98" s="208">
        <f>SUMIFS(領用表!$L:$L,領用表!$A:$A,CY$2,領用表!$E:$E,B98)</f>
        <v>2599.5</v>
      </c>
      <c r="CZ98" s="206">
        <f>SUMIFS(領用表!$L:$L,領用表!$E:$E,$B98,領用表!$B:$B,CY$2&amp;CZ$2)</f>
        <v>0</v>
      </c>
      <c r="DA98" s="206">
        <f>SUMIFS(領用表!$L:$L,領用表!$E:$E,$B98,領用表!$B:$B,$CY$2&amp;DA$2)</f>
        <v>964.5</v>
      </c>
      <c r="DB98" s="206">
        <f>SUMIFS(領用表!$L:$L,領用表!$E:$E,$B98,領用表!$B:$B,$CY$2&amp;DB$2)</f>
        <v>0</v>
      </c>
      <c r="DC98" s="206">
        <f>SUMIFS(領用表!$L:$L,領用表!$E:$E,$B98,領用表!$B:$B,$CY$2&amp;DC$2)</f>
        <v>1635</v>
      </c>
      <c r="DD98" s="206">
        <f>SUMIFS(領用表!$L:$L,領用表!$E:$E,$B98,領用表!$B:$B,$CY$2&amp;DD$2)</f>
        <v>0</v>
      </c>
      <c r="DE98" s="208">
        <f>SUMIFS(領用表!$L:$L,領用表!$A:$A,DE$2,領用表!$E:$E,B98)</f>
        <v>3137.5</v>
      </c>
      <c r="DF98" s="206">
        <f>SUMIFS(領用表!$L:$L,領用表!$E:$E,$B98,領用表!$B:$B,DE$2&amp;DF$2)</f>
        <v>0</v>
      </c>
      <c r="DG98" s="206">
        <f>SUMIFS(領用表!$L:$L,領用表!$E:$E,$B98,領用表!$B:$B,$DE$2&amp;DG$2)</f>
        <v>1213</v>
      </c>
      <c r="DH98" s="206">
        <f>SUMIFS(領用表!$L:$L,領用表!$E:$E,$B98,領用表!$B:$B,$DE$2&amp;DH$2)</f>
        <v>0</v>
      </c>
      <c r="DI98" s="206">
        <f>SUMIFS(領用表!$L:$L,領用表!$E:$E,$B98,領用表!$B:$B,$DE$2&amp;DI$2)</f>
        <v>1924.5</v>
      </c>
      <c r="DJ98" s="206">
        <f>SUMIFS(領用表!$L:$L,領用表!$E:$E,$B98,領用表!$B:$B,$DE$2&amp;DJ$2)</f>
        <v>0</v>
      </c>
      <c r="DK98" s="208">
        <f>SUMIFS(領用表!$L:$L,領用表!$A:$A,DK$2,領用表!$E:$E,$B98)</f>
        <v>4160.5</v>
      </c>
      <c r="DL98" s="206">
        <f>SUMIFS(領用表!$L:$L,領用表!$E:$E,$B98,領用表!$B:$B,DK$2&amp;DL$2)</f>
        <v>0</v>
      </c>
      <c r="DM98" s="206">
        <f>SUMIFS(領用表!$L:$L,領用表!$E:$E,$B98,領用表!$B:$B,$DK$2&amp;DM$2)</f>
        <v>1541</v>
      </c>
      <c r="DN98" s="206">
        <f>SUMIFS(領用表!$L:$L,領用表!$E:$E,$B98,領用表!$B:$B,$DK$2&amp;DN$2)</f>
        <v>0</v>
      </c>
      <c r="DO98" s="206">
        <f>SUMIFS(領用表!$L:$L,領用表!$E:$E,$B98,領用表!$B:$B,$DK$2&amp;DO$2)</f>
        <v>2619.5</v>
      </c>
      <c r="DP98" s="206">
        <f>SUMIFS(領用表!$L:$L,領用表!$E:$E,$B98,領用表!$B:$B,$DK$2&amp;DP$2)</f>
        <v>0</v>
      </c>
      <c r="DQ98" s="206">
        <f t="shared" si="28"/>
        <v>14028</v>
      </c>
      <c r="DR98" s="206">
        <f t="shared" si="29"/>
        <v>2805.6</v>
      </c>
      <c r="DS98" s="206">
        <f t="shared" si="27"/>
        <v>3502</v>
      </c>
      <c r="DT98" s="206">
        <v>0</v>
      </c>
      <c r="DU98" s="206">
        <v>1200</v>
      </c>
      <c r="DV98" s="206">
        <v>2</v>
      </c>
      <c r="DW98" s="206">
        <v>2300</v>
      </c>
      <c r="DX98" s="258">
        <v>300</v>
      </c>
      <c r="DY98" s="283"/>
      <c r="DZ98" s="283" t="s">
        <v>153</v>
      </c>
      <c r="EA98" s="283" t="s">
        <v>156</v>
      </c>
      <c r="EB98" s="136"/>
      <c r="EC98" s="289"/>
      <c r="ED98" s="118">
        <f>IFERROR(VLOOKUP(A98,站前4樓!A:BF,57,0),0)</f>
        <v>0</v>
      </c>
      <c r="EE98" s="213">
        <f>IFERROR(VLOOKUP(A98,站前11樓!A:BE,57,0),0)</f>
        <v>651.5</v>
      </c>
      <c r="EF98" s="118">
        <f>IFERROR(VLOOKUP(A98,忠孝7樓!A:N,57,0),0)</f>
        <v>0</v>
      </c>
      <c r="EG98" s="118">
        <f>IFERROR(VLOOKUP(A98,忠孝國際醫學3樓!A:L,57,0),0)</f>
        <v>0</v>
      </c>
      <c r="EH98" s="118">
        <f t="shared" si="25"/>
        <v>651.5</v>
      </c>
    </row>
    <row r="99" spans="1:138" s="118" customFormat="1" ht="15.75" customHeight="1">
      <c r="A99" s="136" t="s">
        <v>667</v>
      </c>
      <c r="B99" s="118">
        <v>6120014</v>
      </c>
      <c r="C99" s="135" t="s">
        <v>830</v>
      </c>
      <c r="D99" s="285">
        <v>60</v>
      </c>
      <c r="E99" s="198" t="s">
        <v>831</v>
      </c>
      <c r="F99" s="225">
        <f>SUMIF(站前4樓!B:B,B99,站前4樓!F:F)</f>
        <v>0</v>
      </c>
      <c r="G99" s="225">
        <f>SUMIF(站前11樓!B:B,B99,站前11樓!F:F)</f>
        <v>302</v>
      </c>
      <c r="H99" s="225">
        <f>SUMIF(忠孝7樓!B:B,B99,忠孝7樓!G:G)</f>
        <v>0</v>
      </c>
      <c r="I99" s="225">
        <f>SUMIF(忠孝國際醫學3樓!B:B,B99,忠孝國際醫學3樓!G:G)</f>
        <v>1650</v>
      </c>
      <c r="J99" s="225">
        <f>SUMIF(忠孝健康7樓!B:B,B99,忠孝健康7樓!G:G)</f>
        <v>0</v>
      </c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  <c r="Z99" s="283"/>
      <c r="AA99" s="283"/>
      <c r="AB99" s="283"/>
      <c r="AC99" s="283"/>
      <c r="AD99" s="283"/>
      <c r="AE99" s="283"/>
      <c r="AF99" s="283"/>
      <c r="AG99" s="283"/>
      <c r="AH99" s="283"/>
      <c r="AI99" s="283"/>
      <c r="AJ99" s="201"/>
      <c r="AK99" s="201"/>
      <c r="AL99" s="201"/>
      <c r="AM99" s="201"/>
      <c r="AN99" s="201"/>
      <c r="AO99" s="201"/>
      <c r="AP99" s="201"/>
      <c r="AQ99" s="201"/>
      <c r="AR99" s="201"/>
      <c r="AS99" s="201"/>
      <c r="AT99" s="201"/>
      <c r="AU99" s="201">
        <v>0</v>
      </c>
      <c r="AV99" s="283">
        <f>SUM(AJ99:AU99)</f>
        <v>0</v>
      </c>
      <c r="AW99" s="286">
        <f>AV99/12</f>
        <v>0</v>
      </c>
      <c r="AX99" s="201">
        <v>0</v>
      </c>
      <c r="AY99" s="201">
        <v>0</v>
      </c>
      <c r="AZ99" s="201">
        <v>92</v>
      </c>
      <c r="BA99" s="201">
        <v>60</v>
      </c>
      <c r="BB99" s="201">
        <f>0+80</f>
        <v>80</v>
      </c>
      <c r="BC99" s="203">
        <f>SUMIFS(領用表!$L:$L,領用表!$A:$A,BC$2,領用表!$E:$E,B99)</f>
        <v>79</v>
      </c>
      <c r="BD99" s="296">
        <f>SUMIFS(領用表!$L:$L,領用表!$E:$E,$B99,領用表!$B:$B,BC$2&amp;BD$2)</f>
        <v>0</v>
      </c>
      <c r="BE99" s="296">
        <f>SUMIFS(領用表!$L:$L,領用表!$E:$E,$B99,領用表!$B:$B,$BC$2&amp;BE$2)</f>
        <v>79</v>
      </c>
      <c r="BF99" s="296">
        <f>SUMIFS(領用表!$L:$L,領用表!$E:$E,$B99,領用表!$B:$B,$BC$2&amp;BF$2)</f>
        <v>0</v>
      </c>
      <c r="BG99" s="206">
        <f>SUMIFS(領用表!$L:$L,領用表!$E:$E,$B99,領用表!$B:$B,$BC$2&amp;BG$2)</f>
        <v>0</v>
      </c>
      <c r="BH99" s="203">
        <f>SUMIFS(領用表!$L:$L,領用表!$A:$A,BH$2,領用表!$E:$E,B99)</f>
        <v>0</v>
      </c>
      <c r="BI99" s="260">
        <f>SUMIFS(領用表!$L:$L,領用表!$E:$E,$B99,領用表!$B:$B,BH$2&amp;BI$2)</f>
        <v>0</v>
      </c>
      <c r="BJ99" s="260">
        <f>SUMIFS(領用表!$L:$L,領用表!$E:$E,$B99,領用表!$B:$B,$BH$2&amp;BJ$2)</f>
        <v>0</v>
      </c>
      <c r="BK99" s="260">
        <f>SUMIFS(領用表!$L:$L,領用表!$E:$E,$B99,領用表!$B:$B,$BH$2&amp;BK$2)</f>
        <v>0</v>
      </c>
      <c r="BL99" s="260">
        <f>SUMIFS(領用表!$L:$L,領用表!$E:$E,$B99,領用表!$B:$B,$BH$2&amp;BL$2)</f>
        <v>0</v>
      </c>
      <c r="BM99" s="203">
        <f>SUMIFS(領用表!$L:$L,領用表!$A:$A,BM$2,領用表!$E:$E,B99)</f>
        <v>0</v>
      </c>
      <c r="BN99" s="206">
        <f>SUMIFS(領用表!$L:$L,領用表!$E:$E,$B99,領用表!$B:$B,BM$2&amp;BN$2)</f>
        <v>0</v>
      </c>
      <c r="BO99" s="206">
        <f>SUMIFS(領用表!$L:$L,領用表!$E:$E,$B99,領用表!$B:$B,$BM$2&amp;BO$2)</f>
        <v>0</v>
      </c>
      <c r="BP99" s="297">
        <f>SUMIFS(領用表!$L:$L,領用表!$E:$E,$B99,領用表!$B:$B,$BM$2&amp;BP$2)</f>
        <v>0</v>
      </c>
      <c r="BQ99" s="206">
        <f>SUMIFS(領用表!$L:$L,領用表!$E:$E,$B99,領用表!$B:$B,$BM$2&amp;BQ$2)</f>
        <v>0</v>
      </c>
      <c r="BR99" s="203">
        <f>SUMIFS(領用表!$L:$L,領用表!$A:$A,BR$2,領用表!$E:$E,B99)</f>
        <v>157</v>
      </c>
      <c r="BS99" s="297">
        <f>SUMIFS(領用表!$L:$L,領用表!$E:$E,$B99,領用表!$B:$B,BR$2&amp;BS$2)</f>
        <v>0</v>
      </c>
      <c r="BT99" s="297">
        <f>SUMIFS(領用表!$L:$L,領用表!$E:$E,$B99,領用表!$B:$B,$BR$2&amp;BT$2)</f>
        <v>65</v>
      </c>
      <c r="BU99" s="297">
        <f>SUMIFS(領用表!$L:$L,領用表!$E:$E,$B99,領用表!$B:$B,$BR$2&amp;BU$2)</f>
        <v>0</v>
      </c>
      <c r="BV99" s="206">
        <f>SUMIFS(領用表!$L:$L,領用表!$E:$E,$B99,領用表!$B:$B,$BR$2&amp;BV$2)</f>
        <v>92</v>
      </c>
      <c r="BW99" s="208">
        <f>SUMIFS(領用表!$L:$L,領用表!$A:$A,BW$2,領用表!$E:$E,B99)</f>
        <v>856</v>
      </c>
      <c r="BX99" s="206">
        <f>SUMIFS(領用表!$L:$L,領用表!$E:$E,$B99,領用表!$B:$B,BW$2&amp;BX$2)</f>
        <v>0</v>
      </c>
      <c r="BY99" s="206">
        <f>SUMIFS(領用表!$L:$L,領用表!$E:$E,$B99,領用表!$B:$B,$BW$2&amp;BY$2)</f>
        <v>313</v>
      </c>
      <c r="BZ99" s="206">
        <f>SUMIFS(領用表!$L:$L,領用表!$E:$E,$B99,領用表!$B:$B,$BW$2&amp;BZ$2)</f>
        <v>2</v>
      </c>
      <c r="CA99" s="206">
        <f>SUMIFS(領用表!$L:$L,領用表!$E:$E,$B99,領用表!$B:$B,$BW$2&amp;CA$2)</f>
        <v>541</v>
      </c>
      <c r="CB99" s="208">
        <f>SUMIFS(領用表!$L:$L,領用表!$A:$A,CB$2,領用表!$E:$E,B99)</f>
        <v>1238</v>
      </c>
      <c r="CC99" s="206">
        <f>SUMIFS(領用表!$L:$L,領用表!$E:$E,$B99,領用表!$B:$B,CB$2&amp;CC$2)</f>
        <v>0</v>
      </c>
      <c r="CD99" s="206">
        <f>SUMIFS(領用表!$L:$L,領用表!$E:$E,$B99,領用表!$B:$B,$CB$2&amp;CD$2)</f>
        <v>442</v>
      </c>
      <c r="CE99" s="206">
        <f>SUMIFS(領用表!$L:$L,領用表!$E:$E,$B99,領用表!$B:$B,$CB$2&amp;CE$2)</f>
        <v>0</v>
      </c>
      <c r="CF99" s="206">
        <f>SUMIFS(領用表!$L:$L,領用表!$E:$E,$B99,領用表!$B:$B,$CB$2&amp;CF$2)</f>
        <v>796</v>
      </c>
      <c r="CG99" s="208">
        <f>SUMIFS(領用表!$L:$L,領用表!$A:$A,CG$2,領用表!$E:$E,B99)</f>
        <v>1296</v>
      </c>
      <c r="CH99" s="206">
        <f>SUMIFS(領用表!$L:$L,領用表!$E:$E,$B99,領用表!$B:$B,CG$2&amp;CH$2)</f>
        <v>0</v>
      </c>
      <c r="CI99" s="206">
        <f>SUMIFS(領用表!$L:$L,領用表!$E:$E,$B99,領用表!$B:$B,CG$2&amp;CI$2)</f>
        <v>463</v>
      </c>
      <c r="CJ99" s="206">
        <f>SUMIFS(領用表!$L:$L,領用表!$E:$E,$B99,領用表!$B:$B,CG$2&amp;CJ$2)</f>
        <v>0</v>
      </c>
      <c r="CK99" s="206">
        <f>SUMIFS(領用表!$L:$L,領用表!$E:$E,$B99,領用表!$B:$B,$CG$2&amp;CK$2)</f>
        <v>833</v>
      </c>
      <c r="CL99" s="207">
        <f>SUM(AX99,AY99,AZ99,BA99,BB99,BC99,BH99,BM99,BR99,BW99,CB99,CG99)</f>
        <v>3858</v>
      </c>
      <c r="CM99" s="207">
        <f>AVERAGE(AX99,AY99,AZ99,BA99,BB99,BC99,BH99,BM99,BR99,BW99,CB99,CG99)</f>
        <v>321.5</v>
      </c>
      <c r="CN99" s="208">
        <f>SUMIFS(領用表!$L:$L,領用表!$A:$A,CN$2,領用表!$E:$E,B99)</f>
        <v>1456</v>
      </c>
      <c r="CO99" s="206">
        <f>SUMIFS(領用表!$L:$L,領用表!$E:$E,$B99,領用表!$B:$B,CN$2&amp;CO$2)</f>
        <v>0</v>
      </c>
      <c r="CP99" s="206">
        <f>SUMIFS(領用表!$L:$L,領用表!$E:$E,$B99,領用表!$B:$B,$CN$2&amp;CP$2)</f>
        <v>535</v>
      </c>
      <c r="CQ99" s="206">
        <f>SUMIFS(領用表!$L:$L,領用表!$E:$E,$B99,領用表!$B:$B,$CN$2&amp;CQ$2)</f>
        <v>0</v>
      </c>
      <c r="CR99" s="206">
        <f>SUMIFS(領用表!$L:$L,領用表!$E:$E,$B99,領用表!$B:$B,$CN$2&amp;CR$2)</f>
        <v>921</v>
      </c>
      <c r="CS99" s="208">
        <f>SUMIFS(領用表!$L:$L,領用表!$A:$A,CS$2,領用表!$E:$E,B99)</f>
        <v>1156</v>
      </c>
      <c r="CT99" s="206">
        <f>SUMIFS(領用表!$L:$L,領用表!$E:$E,$B99,領用表!$B:$B,CS$2&amp;CT$2)</f>
        <v>0</v>
      </c>
      <c r="CU99" s="206">
        <f>SUMIFS(領用表!$L:$L,領用表!$E:$E,$B99,領用表!$B:$B,$CS$2&amp;CU$2)</f>
        <v>461</v>
      </c>
      <c r="CV99" s="206">
        <f>SUMIFS(領用表!$L:$L,領用表!$E:$E,$B99,領用表!$B:$B,$CS$2&amp;CV$2)</f>
        <v>0</v>
      </c>
      <c r="CW99" s="206">
        <f>SUMIFS(領用表!$L:$L,領用表!$E:$E,$B99,領用表!$B:$B,$CS$2&amp;CW$2)</f>
        <v>695</v>
      </c>
      <c r="CX99" s="206">
        <f>SUMIFS(領用表!$L:$L,領用表!$E:$E,$B99,領用表!$B:$B,$CS$2&amp;CX$2)</f>
        <v>0</v>
      </c>
      <c r="CY99" s="208">
        <f>SUMIFS(領用表!$L:$L,領用表!$A:$A,CY$2,領用表!$E:$E,B99)</f>
        <v>1612</v>
      </c>
      <c r="CZ99" s="206">
        <f>SUMIFS(領用表!$L:$L,領用表!$E:$E,$B99,領用表!$B:$B,CY$2&amp;CZ$2)</f>
        <v>0</v>
      </c>
      <c r="DA99" s="206">
        <f>SUMIFS(領用表!$L:$L,領用表!$E:$E,$B99,領用表!$B:$B,$CY$2&amp;DA$2)</f>
        <v>658</v>
      </c>
      <c r="DB99" s="206">
        <f>SUMIFS(領用表!$L:$L,領用表!$E:$E,$B99,領用表!$B:$B,$CY$2&amp;DB$2)</f>
        <v>0</v>
      </c>
      <c r="DC99" s="206">
        <f>SUMIFS(領用表!$L:$L,領用表!$E:$E,$B99,領用表!$B:$B,$CY$2&amp;DC$2)</f>
        <v>954</v>
      </c>
      <c r="DD99" s="206">
        <f>SUMIFS(領用表!$L:$L,領用表!$E:$E,$B99,領用表!$B:$B,$CY$2&amp;DD$2)</f>
        <v>0</v>
      </c>
      <c r="DE99" s="208">
        <f>SUMIFS(領用表!$L:$L,領用表!$A:$A,DE$2,領用表!$E:$E,B99)</f>
        <v>2192</v>
      </c>
      <c r="DF99" s="206">
        <f>SUMIFS(領用表!$L:$L,領用表!$E:$E,$B99,領用表!$B:$B,DE$2&amp;DF$2)</f>
        <v>0</v>
      </c>
      <c r="DG99" s="206">
        <f>SUMIFS(領用表!$L:$L,領用表!$E:$E,$B99,領用表!$B:$B,$DE$2&amp;DG$2)</f>
        <v>940</v>
      </c>
      <c r="DH99" s="206">
        <f>SUMIFS(領用表!$L:$L,領用表!$E:$E,$B99,領用表!$B:$B,$DE$2&amp;DH$2)</f>
        <v>0</v>
      </c>
      <c r="DI99" s="206">
        <f>SUMIFS(領用表!$L:$L,領用表!$E:$E,$B99,領用表!$B:$B,$DE$2&amp;DI$2)</f>
        <v>1252</v>
      </c>
      <c r="DJ99" s="206">
        <f>SUMIFS(領用表!$L:$L,領用表!$E:$E,$B99,領用表!$B:$B,$DE$2&amp;DJ$2)</f>
        <v>0</v>
      </c>
      <c r="DK99" s="208">
        <f>SUMIFS(領用表!$L:$L,領用表!$A:$A,DK$2,領用表!$E:$E,$B99)</f>
        <v>2936</v>
      </c>
      <c r="DL99" s="206">
        <f>SUMIFS(領用表!$L:$L,領用表!$E:$E,$B99,領用表!$B:$B,DK$2&amp;DL$2)</f>
        <v>0</v>
      </c>
      <c r="DM99" s="206">
        <f>SUMIFS(領用表!$L:$L,領用表!$E:$E,$B99,領用表!$B:$B,$DK$2&amp;DM$2)</f>
        <v>1273</v>
      </c>
      <c r="DN99" s="206">
        <f>SUMIFS(領用表!$L:$L,領用表!$E:$E,$B99,領用表!$B:$B,$DK$2&amp;DN$2)</f>
        <v>0</v>
      </c>
      <c r="DO99" s="206">
        <f>SUMIFS(領用表!$L:$L,領用表!$E:$E,$B99,領用表!$B:$B,$DK$2&amp;DO$2)</f>
        <v>1663</v>
      </c>
      <c r="DP99" s="206">
        <f>SUMIFS(領用表!$L:$L,領用表!$E:$E,$B99,領用表!$B:$B,$DK$2&amp;DP$2)</f>
        <v>0</v>
      </c>
      <c r="DQ99" s="206">
        <f t="shared" si="28"/>
        <v>9352</v>
      </c>
      <c r="DR99" s="206">
        <f t="shared" si="29"/>
        <v>1870.4</v>
      </c>
      <c r="DS99" s="206">
        <f t="shared" si="27"/>
        <v>2400</v>
      </c>
      <c r="DT99" s="206">
        <v>0</v>
      </c>
      <c r="DU99" s="206">
        <v>900</v>
      </c>
      <c r="DV99" s="206">
        <v>0</v>
      </c>
      <c r="DW99" s="206">
        <v>1500</v>
      </c>
      <c r="DX99" s="258">
        <v>250</v>
      </c>
      <c r="DY99" s="283"/>
      <c r="DZ99" s="283"/>
      <c r="EA99" s="283"/>
      <c r="EB99" s="136"/>
      <c r="EC99" s="136"/>
      <c r="ED99" s="118">
        <f>IFERROR(VLOOKUP(A99,站前4樓!A:BF,57,0),0)</f>
        <v>0</v>
      </c>
      <c r="EE99" s="213">
        <f>IFERROR(VLOOKUP(A99,站前11樓!A:BE,57,0),0)</f>
        <v>0</v>
      </c>
      <c r="EF99" s="118">
        <f>IFERROR(VLOOKUP(A99,忠孝7樓!A:N,57,0),0)</f>
        <v>0</v>
      </c>
      <c r="EG99" s="118">
        <f>IFERROR(VLOOKUP(A99,忠孝國際醫學3樓!A:L,57,0),0)</f>
        <v>0</v>
      </c>
      <c r="EH99" s="118">
        <f>SUM(ED99:EG99)</f>
        <v>0</v>
      </c>
    </row>
    <row r="100" spans="1:138" s="118" customFormat="1" ht="15.75" customHeight="1">
      <c r="A100" s="136" t="s">
        <v>660</v>
      </c>
      <c r="B100" s="118">
        <v>6120013</v>
      </c>
      <c r="C100" s="135" t="s">
        <v>832</v>
      </c>
      <c r="D100" s="285">
        <v>55</v>
      </c>
      <c r="E100" s="198" t="s">
        <v>831</v>
      </c>
      <c r="F100" s="225">
        <f>SUMIF(站前4樓!B:B,B100,站前4樓!F:F)</f>
        <v>72</v>
      </c>
      <c r="G100" s="225">
        <f>SUMIF(站前11樓!B:B,B100,站前11樓!F:F)</f>
        <v>687</v>
      </c>
      <c r="H100" s="225">
        <f>SUMIF(忠孝7樓!B:B,B100,忠孝7樓!G:G)</f>
        <v>620</v>
      </c>
      <c r="I100" s="225">
        <f>SUMIF(忠孝國際醫學3樓!B:B,B100,忠孝國際醫學3樓!G:G)</f>
        <v>1117</v>
      </c>
      <c r="J100" s="225">
        <f>SUMIF(忠孝健康7樓!B:B,B100,忠孝健康7樓!G:G)</f>
        <v>163</v>
      </c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83"/>
      <c r="AB100" s="283"/>
      <c r="AC100" s="283"/>
      <c r="AD100" s="283"/>
      <c r="AE100" s="283"/>
      <c r="AF100" s="283"/>
      <c r="AG100" s="283"/>
      <c r="AH100" s="283"/>
      <c r="AI100" s="283"/>
      <c r="AJ100" s="201"/>
      <c r="AK100" s="201"/>
      <c r="AL100" s="201"/>
      <c r="AM100" s="201"/>
      <c r="AN100" s="201"/>
      <c r="AO100" s="201"/>
      <c r="AP100" s="201"/>
      <c r="AQ100" s="201"/>
      <c r="AR100" s="201"/>
      <c r="AS100" s="201"/>
      <c r="AT100" s="201"/>
      <c r="AU100" s="201">
        <v>0</v>
      </c>
      <c r="AV100" s="283">
        <f>SUM(AJ100:AU100)</f>
        <v>0</v>
      </c>
      <c r="AW100" s="286">
        <f>AV100/12</f>
        <v>0</v>
      </c>
      <c r="AX100" s="201">
        <v>0</v>
      </c>
      <c r="AY100" s="201">
        <v>0</v>
      </c>
      <c r="AZ100" s="201">
        <v>192</v>
      </c>
      <c r="BA100" s="201">
        <v>434</v>
      </c>
      <c r="BB100" s="201">
        <f>74+439</f>
        <v>513</v>
      </c>
      <c r="BC100" s="203">
        <f>SUMIFS(領用表!$L:$L,領用表!$A:$A,BC$2,領用表!$E:$E,B100)</f>
        <v>414</v>
      </c>
      <c r="BD100" s="296">
        <f>SUMIFS(領用表!$L:$L,領用表!$E:$E,$B100,領用表!$B:$B,BC$2&amp;BD$2)</f>
        <v>37</v>
      </c>
      <c r="BE100" s="296">
        <f>SUMIFS(領用表!$L:$L,領用表!$E:$E,$B100,領用表!$B:$B,$BC$2&amp;BE$2)</f>
        <v>377</v>
      </c>
      <c r="BF100" s="296">
        <f>SUMIFS(領用表!$L:$L,領用表!$E:$E,$B100,領用表!$B:$B,$BC$2&amp;BF$2)</f>
        <v>0</v>
      </c>
      <c r="BG100" s="206">
        <f>SUMIFS(領用表!$L:$L,領用表!$E:$E,$B100,領用表!$B:$B,$BC$2&amp;BG$2)</f>
        <v>0</v>
      </c>
      <c r="BH100" s="203">
        <f>SUMIFS(領用表!$L:$L,領用表!$A:$A,BH$2,領用表!$E:$E,B100)</f>
        <v>797</v>
      </c>
      <c r="BI100" s="260">
        <f>SUMIFS(領用表!$L:$L,領用表!$E:$E,$B100,領用表!$B:$B,BH$2&amp;BI$2)</f>
        <v>87</v>
      </c>
      <c r="BJ100" s="260">
        <f>SUMIFS(領用表!$L:$L,領用表!$E:$E,$B100,領用表!$B:$B,$BH$2&amp;BJ$2)</f>
        <v>373</v>
      </c>
      <c r="BK100" s="260">
        <f>SUMIFS(領用表!$L:$L,領用表!$E:$E,$B100,領用表!$B:$B,$BH$2&amp;BK$2)</f>
        <v>95</v>
      </c>
      <c r="BL100" s="260">
        <f>SUMIFS(領用表!$L:$L,領用表!$E:$E,$B100,領用表!$B:$B,$BH$2&amp;BL$2)</f>
        <v>242</v>
      </c>
      <c r="BM100" s="203">
        <f>SUMIFS(領用表!$L:$L,領用表!$A:$A,BM$2,領用表!$E:$E,B100)</f>
        <v>1304</v>
      </c>
      <c r="BN100" s="206">
        <f>SUMIFS(領用表!$L:$L,領用表!$E:$E,$B100,領用表!$B:$B,BM$2&amp;BN$2)</f>
        <v>169</v>
      </c>
      <c r="BO100" s="206">
        <f>SUMIFS(領用表!$L:$L,領用表!$E:$E,$B100,領用表!$B:$B,$BM$2&amp;BO$2)</f>
        <v>395</v>
      </c>
      <c r="BP100" s="297">
        <f>SUMIFS(領用表!$L:$L,領用表!$E:$E,$B100,領用表!$B:$B,$BM$2&amp;BP$2)</f>
        <v>234</v>
      </c>
      <c r="BQ100" s="206">
        <f>SUMIFS(領用表!$L:$L,領用表!$E:$E,$B100,領用表!$B:$B,$BM$2&amp;BQ$2)</f>
        <v>506</v>
      </c>
      <c r="BR100" s="203">
        <f>SUMIFS(領用表!$L:$L,領用表!$A:$A,BR$2,領用表!$E:$E,B100)</f>
        <v>1442</v>
      </c>
      <c r="BS100" s="297">
        <f>SUMIFS(領用表!$L:$L,領用表!$E:$E,$B100,領用表!$B:$B,BR$2&amp;BS$2)</f>
        <v>202</v>
      </c>
      <c r="BT100" s="297">
        <f>SUMIFS(領用表!$L:$L,領用表!$E:$E,$B100,領用表!$B:$B,$BR$2&amp;BT$2)</f>
        <v>353</v>
      </c>
      <c r="BU100" s="297">
        <f>SUMIFS(領用表!$L:$L,領用表!$E:$E,$B100,領用表!$B:$B,$BR$2&amp;BU$2)</f>
        <v>369</v>
      </c>
      <c r="BV100" s="206">
        <f>SUMIFS(領用表!$L:$L,領用表!$E:$E,$B100,領用表!$B:$B,$BR$2&amp;BV$2)</f>
        <v>518</v>
      </c>
      <c r="BW100" s="208">
        <f>SUMIFS(領用表!$L:$L,領用表!$A:$A,BW$2,領用表!$E:$E,B100)</f>
        <v>1163</v>
      </c>
      <c r="BX100" s="206">
        <f>SUMIFS(領用表!$L:$L,領用表!$E:$E,$B100,領用表!$B:$B,BW$2&amp;BX$2)</f>
        <v>204</v>
      </c>
      <c r="BY100" s="206">
        <f>SUMIFS(領用表!$L:$L,領用表!$E:$E,$B100,領用表!$B:$B,$BW$2&amp;BY$2)</f>
        <v>191</v>
      </c>
      <c r="BZ100" s="206">
        <f>SUMIFS(領用表!$L:$L,領用表!$E:$E,$B100,領用表!$B:$B,$BW$2&amp;BZ$2)</f>
        <v>403</v>
      </c>
      <c r="CA100" s="206">
        <f>SUMIFS(領用表!$L:$L,領用表!$E:$E,$B100,領用表!$B:$B,$BW$2&amp;CA$2)</f>
        <v>365</v>
      </c>
      <c r="CB100" s="208">
        <f>SUMIFS(領用表!$L:$L,領用表!$A:$A,CB$2,領用表!$E:$E,B100)</f>
        <v>1392</v>
      </c>
      <c r="CC100" s="206">
        <f>SUMIFS(領用表!$L:$L,領用表!$E:$E,$B100,領用表!$B:$B,CB$2&amp;CC$2)</f>
        <v>251</v>
      </c>
      <c r="CD100" s="206">
        <f>SUMIFS(領用表!$L:$L,領用表!$E:$E,$B100,領用表!$B:$B,$CB$2&amp;CD$2)</f>
        <v>260</v>
      </c>
      <c r="CE100" s="206">
        <f>SUMIFS(領用表!$L:$L,領用表!$E:$E,$B100,領用表!$B:$B,$CB$2&amp;CE$2)</f>
        <v>439</v>
      </c>
      <c r="CF100" s="206">
        <f>SUMIFS(領用表!$L:$L,領用表!$E:$E,$B100,領用表!$B:$B,$CB$2&amp;CF$2)</f>
        <v>442</v>
      </c>
      <c r="CG100" s="208">
        <f>SUMIFS(領用表!$L:$L,領用表!$A:$A,CG$2,領用表!$E:$E,B100)</f>
        <v>1242</v>
      </c>
      <c r="CH100" s="206">
        <f>SUMIFS(領用表!$L:$L,領用表!$E:$E,$B100,領用表!$B:$B,CG$2&amp;CH$2)</f>
        <v>209</v>
      </c>
      <c r="CI100" s="206">
        <f>SUMIFS(領用表!$L:$L,領用表!$E:$E,$B100,領用表!$B:$B,CG$2&amp;CI$2)</f>
        <v>248</v>
      </c>
      <c r="CJ100" s="206">
        <f>SUMIFS(領用表!$L:$L,領用表!$E:$E,$B100,領用表!$B:$B,CG$2&amp;CJ$2)</f>
        <v>291</v>
      </c>
      <c r="CK100" s="206">
        <f>SUMIFS(領用表!$L:$L,領用表!$E:$E,$B100,領用表!$B:$B,$CG$2&amp;CK$2)</f>
        <v>494</v>
      </c>
      <c r="CL100" s="207">
        <f>SUM(AX100,AY100,AZ100,BA100,BB100,BC100,BH100,BM100,BR100,BW100,CB100,CG100)</f>
        <v>8893</v>
      </c>
      <c r="CM100" s="207">
        <f>AVERAGE(AX100,AY100,AZ100,BA100,BB100,BC100,BH100,BM100,BR100,BW100,CB100,CG100)</f>
        <v>741.08333333333337</v>
      </c>
      <c r="CN100" s="208">
        <f>SUMIFS(領用表!$L:$L,領用表!$A:$A,CN$2,領用表!$E:$E,B100)</f>
        <v>1388</v>
      </c>
      <c r="CO100" s="206">
        <f>SUMIFS(領用表!$L:$L,領用表!$E:$E,$B100,領用表!$B:$B,CN$2&amp;CO$2)</f>
        <v>207</v>
      </c>
      <c r="CP100" s="206">
        <f>SUMIFS(領用表!$L:$L,領用表!$E:$E,$B100,領用表!$B:$B,$CN$2&amp;CP$2)</f>
        <v>332</v>
      </c>
      <c r="CQ100" s="206">
        <f>SUMIFS(領用表!$L:$L,領用表!$E:$E,$B100,領用表!$B:$B,$CN$2&amp;CQ$2)</f>
        <v>210</v>
      </c>
      <c r="CR100" s="206">
        <f>SUMIFS(領用表!$L:$L,領用表!$E:$E,$B100,領用表!$B:$B,$CN$2&amp;CR$2)</f>
        <v>639</v>
      </c>
      <c r="CS100" s="208">
        <f>SUMIFS(領用表!$L:$L,領用表!$A:$A,CS$2,領用表!$E:$E,B100)</f>
        <v>1146</v>
      </c>
      <c r="CT100" s="206">
        <f>SUMIFS(領用表!$L:$L,領用表!$E:$E,$B100,領用表!$B:$B,CS$2&amp;CT$2)</f>
        <v>135</v>
      </c>
      <c r="CU100" s="206">
        <f>SUMIFS(領用表!$L:$L,領用表!$E:$E,$B100,領用表!$B:$B,$CS$2&amp;CU$2)</f>
        <v>301</v>
      </c>
      <c r="CV100" s="206">
        <f>SUMIFS(領用表!$L:$L,領用表!$E:$E,$B100,領用表!$B:$B,$CS$2&amp;CV$2)</f>
        <v>134</v>
      </c>
      <c r="CW100" s="206">
        <f>SUMIFS(領用表!$L:$L,領用表!$E:$E,$B100,領用表!$B:$B,$CS$2&amp;CW$2)</f>
        <v>576</v>
      </c>
      <c r="CX100" s="206">
        <f>SUMIFS(領用表!$L:$L,領用表!$E:$E,$B100,領用表!$B:$B,$CS$2&amp;CX$2)</f>
        <v>0</v>
      </c>
      <c r="CY100" s="208">
        <f>SUMIFS(領用表!$L:$L,領用表!$A:$A,CY$2,領用表!$E:$E,B100)</f>
        <v>1646</v>
      </c>
      <c r="CZ100" s="206">
        <f>SUMIFS(領用表!$L:$L,領用表!$E:$E,$B100,領用表!$B:$B,CY$2&amp;CZ$2)</f>
        <v>145</v>
      </c>
      <c r="DA100" s="206">
        <f>SUMIFS(領用表!$L:$L,領用表!$E:$E,$B100,領用表!$B:$B,$CY$2&amp;DA$2)</f>
        <v>478</v>
      </c>
      <c r="DB100" s="206">
        <f>SUMIFS(領用表!$L:$L,領用表!$E:$E,$B100,領用表!$B:$B,$CY$2&amp;DB$2)</f>
        <v>125</v>
      </c>
      <c r="DC100" s="206">
        <f>SUMIFS(領用表!$L:$L,領用表!$E:$E,$B100,領用表!$B:$B,$CY$2&amp;DC$2)</f>
        <v>863</v>
      </c>
      <c r="DD100" s="206">
        <f>SUMIFS(領用表!$L:$L,領用表!$E:$E,$B100,領用表!$B:$B,$CY$2&amp;DD$2)</f>
        <v>35</v>
      </c>
      <c r="DE100" s="208">
        <f>SUMIFS(領用表!$L:$L,領用表!$A:$A,DE$2,領用表!$E:$E,B100)</f>
        <v>1307</v>
      </c>
      <c r="DF100" s="206">
        <f>SUMIFS(領用表!$L:$L,領用表!$E:$E,$B100,領用表!$B:$B,DE$2&amp;DF$2)</f>
        <v>132</v>
      </c>
      <c r="DG100" s="206">
        <f>SUMIFS(領用表!$L:$L,領用表!$E:$E,$B100,領用表!$B:$B,$DE$2&amp;DG$2)</f>
        <v>375</v>
      </c>
      <c r="DH100" s="206">
        <f>SUMIFS(領用表!$L:$L,領用表!$E:$E,$B100,領用表!$B:$B,$DE$2&amp;DH$2)</f>
        <v>99</v>
      </c>
      <c r="DI100" s="206">
        <f>SUMIFS(領用表!$L:$L,領用表!$E:$E,$B100,領用表!$B:$B,$DE$2&amp;DI$2)</f>
        <v>662</v>
      </c>
      <c r="DJ100" s="206">
        <f>SUMIFS(領用表!$L:$L,領用表!$E:$E,$B100,領用表!$B:$B,$DE$2&amp;DJ$2)</f>
        <v>39</v>
      </c>
      <c r="DK100" s="208">
        <f>SUMIFS(領用表!$L:$L,領用表!$A:$A,DK$2,領用表!$E:$E,$B100)</f>
        <v>1085</v>
      </c>
      <c r="DL100" s="206">
        <f>SUMIFS(領用表!$L:$L,領用表!$E:$E,$B100,領用表!$B:$B,DK$2&amp;DL$2)</f>
        <v>130</v>
      </c>
      <c r="DM100" s="206">
        <f>SUMIFS(領用表!$L:$L,領用表!$E:$E,$B100,領用表!$B:$B,$DK$2&amp;DM$2)</f>
        <v>274</v>
      </c>
      <c r="DN100" s="206">
        <f>SUMIFS(領用表!$L:$L,領用表!$E:$E,$B100,領用表!$B:$B,$DK$2&amp;DN$2)</f>
        <v>110</v>
      </c>
      <c r="DO100" s="206">
        <f>SUMIFS(領用表!$L:$L,領用表!$E:$E,$B100,領用表!$B:$B,$DK$2&amp;DO$2)</f>
        <v>524</v>
      </c>
      <c r="DP100" s="206">
        <f>SUMIFS(領用表!$L:$L,領用表!$E:$E,$B100,領用表!$B:$B,$DK$2&amp;DP$2)</f>
        <v>47</v>
      </c>
      <c r="DQ100" s="206">
        <f t="shared" si="28"/>
        <v>6572</v>
      </c>
      <c r="DR100" s="206">
        <f t="shared" si="29"/>
        <v>1314.4</v>
      </c>
      <c r="DS100" s="206">
        <f t="shared" si="27"/>
        <v>1540</v>
      </c>
      <c r="DT100" s="206">
        <v>0</v>
      </c>
      <c r="DU100" s="206">
        <v>540</v>
      </c>
      <c r="DV100" s="206">
        <v>0</v>
      </c>
      <c r="DW100" s="206">
        <v>1000</v>
      </c>
      <c r="DX100" s="258">
        <v>600</v>
      </c>
      <c r="DY100" s="283"/>
      <c r="DZ100" s="252"/>
      <c r="EA100" s="283"/>
      <c r="EB100" s="136"/>
      <c r="EC100" s="136"/>
      <c r="ED100" s="118">
        <f>IFERROR(VLOOKUP(A100,站前4樓!A:BF,57,0),0)</f>
        <v>0</v>
      </c>
      <c r="EE100" s="213">
        <f>IFERROR(VLOOKUP(A100,站前11樓!A:BE,57,0),0)</f>
        <v>0</v>
      </c>
      <c r="EF100" s="118">
        <f>IFERROR(VLOOKUP(A100,忠孝7樓!A:N,57,0),0)</f>
        <v>0</v>
      </c>
      <c r="EG100" s="118">
        <f>IFERROR(VLOOKUP(A100,忠孝國際醫學3樓!A:L,57,0),0)</f>
        <v>0</v>
      </c>
      <c r="EH100" s="118">
        <f>SUM(ED100:EG100)</f>
        <v>0</v>
      </c>
    </row>
    <row r="101" spans="1:138" s="118" customFormat="1" ht="15.75" customHeight="1">
      <c r="A101" s="136" t="s">
        <v>653</v>
      </c>
      <c r="B101" s="118">
        <v>6120004</v>
      </c>
      <c r="C101" s="186" t="s">
        <v>751</v>
      </c>
      <c r="D101" s="285">
        <v>20</v>
      </c>
      <c r="E101" s="198" t="s">
        <v>831</v>
      </c>
      <c r="F101" s="225">
        <f>SUMIF(站前4樓!B:B,B101,站前4樓!F:F)</f>
        <v>14</v>
      </c>
      <c r="G101" s="225">
        <f>SUMIF(站前11樓!B:B,B101,站前11樓!F:F)</f>
        <v>37</v>
      </c>
      <c r="H101" s="225">
        <f>SUMIF(忠孝7樓!B:B,B101,忠孝7樓!G:G)</f>
        <v>86</v>
      </c>
      <c r="I101" s="225">
        <f>SUMIF(忠孝國際醫學3樓!B:B,B101,忠孝國際醫學3樓!G:G)</f>
        <v>66</v>
      </c>
      <c r="J101" s="225">
        <f>SUMIF(忠孝健康7樓!B:B,B101,忠孝健康7樓!G:G)</f>
        <v>196</v>
      </c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83"/>
      <c r="AB101" s="283"/>
      <c r="AC101" s="283"/>
      <c r="AD101" s="283"/>
      <c r="AE101" s="283"/>
      <c r="AF101" s="283"/>
      <c r="AG101" s="283"/>
      <c r="AH101" s="283"/>
      <c r="AI101" s="283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  <c r="AU101" s="201">
        <v>0</v>
      </c>
      <c r="AV101" s="283">
        <f>SUM(AJ101:AU101)</f>
        <v>0</v>
      </c>
      <c r="AW101" s="286">
        <f>AV101/12</f>
        <v>0</v>
      </c>
      <c r="AX101" s="201">
        <v>0</v>
      </c>
      <c r="AY101" s="201">
        <v>20</v>
      </c>
      <c r="AZ101" s="201">
        <v>19</v>
      </c>
      <c r="BA101" s="201">
        <v>28</v>
      </c>
      <c r="BB101" s="201">
        <f>0+8</f>
        <v>8</v>
      </c>
      <c r="BC101" s="203">
        <f>SUMIFS(領用表!$L:$L,領用表!$A:$A,BC$2,領用表!$E:$E,B101)</f>
        <v>13</v>
      </c>
      <c r="BD101" s="287">
        <f>SUMIFS(領用表!$L:$L,領用表!$E:$E,$B101,領用表!$B:$B,BC$2&amp;BD$2)</f>
        <v>6</v>
      </c>
      <c r="BE101" s="287">
        <f>SUMIFS(領用表!$L:$L,領用表!$E:$E,$B101,領用表!$B:$B,$BC$2&amp;BE$2)</f>
        <v>7</v>
      </c>
      <c r="BF101" s="287">
        <f>SUMIFS(領用表!$L:$L,領用表!$E:$E,$B101,領用表!$B:$B,$BC$2&amp;BF$2)</f>
        <v>0</v>
      </c>
      <c r="BG101" s="206">
        <f>SUMIFS(領用表!$L:$L,領用表!$E:$E,$B101,領用表!$B:$B,$BC$2&amp;BG$2)</f>
        <v>0</v>
      </c>
      <c r="BH101" s="203">
        <f>SUMIFS(領用表!$L:$L,領用表!$A:$A,BH$2,領用表!$E:$E,B101)</f>
        <v>11</v>
      </c>
      <c r="BI101" s="260">
        <f>SUMIFS(領用表!$L:$L,領用表!$E:$E,$B101,領用表!$B:$B,BH$2&amp;BI$2)</f>
        <v>0</v>
      </c>
      <c r="BJ101" s="260">
        <f>SUMIFS(領用表!$L:$L,領用表!$E:$E,$B101,領用表!$B:$B,$BH$2&amp;BJ$2)</f>
        <v>2</v>
      </c>
      <c r="BK101" s="260">
        <f>SUMIFS(領用表!$L:$L,領用表!$E:$E,$B101,領用表!$B:$B,$BH$2&amp;BK$2)</f>
        <v>0</v>
      </c>
      <c r="BL101" s="260">
        <f>SUMIFS(領用表!$L:$L,領用表!$E:$E,$B101,領用表!$B:$B,$BH$2&amp;BL$2)</f>
        <v>9</v>
      </c>
      <c r="BM101" s="203">
        <f>SUMIFS(領用表!$L:$L,領用表!$A:$A,BM$2,領用表!$E:$E,B101)</f>
        <v>16</v>
      </c>
      <c r="BN101" s="206">
        <f>SUMIFS(領用表!$L:$L,領用表!$E:$E,$B101,領用表!$B:$B,BM$2&amp;BN$2)</f>
        <v>2</v>
      </c>
      <c r="BO101" s="206">
        <f>SUMIFS(領用表!$L:$L,領用表!$E:$E,$B101,領用表!$B:$B,$BM$2&amp;BO$2)</f>
        <v>3</v>
      </c>
      <c r="BP101" s="288">
        <f>SUMIFS(領用表!$L:$L,領用表!$E:$E,$B101,領用表!$B:$B,$BM$2&amp;BP$2)</f>
        <v>2</v>
      </c>
      <c r="BQ101" s="287">
        <f>SUMIFS(領用表!$L:$L,領用表!$E:$E,$B101,領用表!$B:$B,$BM$2&amp;BQ$2)</f>
        <v>9</v>
      </c>
      <c r="BR101" s="203">
        <f>SUMIFS(領用表!$L:$L,領用表!$A:$A,BR$2,領用表!$E:$E,B101)</f>
        <v>28</v>
      </c>
      <c r="BS101" s="288">
        <f>SUMIFS(領用表!$L:$L,領用表!$E:$E,$B101,領用表!$B:$B,BR$2&amp;BS$2)</f>
        <v>2</v>
      </c>
      <c r="BT101" s="288">
        <f>SUMIFS(領用表!$L:$L,領用表!$E:$E,$B101,領用表!$B:$B,$BR$2&amp;BT$2)</f>
        <v>8</v>
      </c>
      <c r="BU101" s="288">
        <f>SUMIFS(領用表!$L:$L,領用表!$E:$E,$B101,領用表!$B:$B,$BR$2&amp;BU$2)</f>
        <v>7</v>
      </c>
      <c r="BV101" s="287">
        <f>SUMIFS(領用表!$L:$L,領用表!$E:$E,$B101,領用表!$B:$B,$BR$2&amp;BV$2)</f>
        <v>11</v>
      </c>
      <c r="BW101" s="208">
        <f>SUMIFS(領用表!$L:$L,領用表!$A:$A,BW$2,領用表!$E:$E,B101)</f>
        <v>46</v>
      </c>
      <c r="BX101" s="206">
        <f>SUMIFS(領用表!$L:$L,領用表!$E:$E,$B101,領用表!$B:$B,BW$2&amp;BX$2)</f>
        <v>5</v>
      </c>
      <c r="BY101" s="206">
        <f>SUMIFS(領用表!$L:$L,領用表!$E:$E,$B101,領用表!$B:$B,$BW$2&amp;BY$2)</f>
        <v>17</v>
      </c>
      <c r="BZ101" s="206">
        <f>SUMIFS(領用表!$L:$L,領用表!$E:$E,$B101,領用表!$B:$B,$BW$2&amp;BZ$2)</f>
        <v>6</v>
      </c>
      <c r="CA101" s="206">
        <f>SUMIFS(領用表!$L:$L,領用表!$E:$E,$B101,領用表!$B:$B,$BW$2&amp;CA$2)</f>
        <v>18</v>
      </c>
      <c r="CB101" s="208">
        <f>SUMIFS(領用表!$L:$L,領用表!$A:$A,CB$2,領用表!$E:$E,B101)</f>
        <v>69</v>
      </c>
      <c r="CC101" s="206">
        <f>SUMIFS(領用表!$L:$L,領用表!$E:$E,$B101,領用表!$B:$B,CB$2&amp;CC$2)</f>
        <v>12</v>
      </c>
      <c r="CD101" s="206">
        <f>SUMIFS(領用表!$L:$L,領用表!$E:$E,$B101,領用表!$B:$B,$CB$2&amp;CD$2)</f>
        <v>24</v>
      </c>
      <c r="CE101" s="206">
        <f>SUMIFS(領用表!$L:$L,領用表!$E:$E,$B101,領用表!$B:$B,$CB$2&amp;CE$2)</f>
        <v>11</v>
      </c>
      <c r="CF101" s="206">
        <f>SUMIFS(領用表!$L:$L,領用表!$E:$E,$B101,領用表!$B:$B,$CB$2&amp;CF$2)</f>
        <v>22</v>
      </c>
      <c r="CG101" s="208">
        <f>SUMIFS(領用表!$L:$L,領用表!$A:$A,CG$2,領用表!$E:$E,B101)</f>
        <v>120</v>
      </c>
      <c r="CH101" s="206">
        <f>SUMIFS(領用表!$L:$L,領用表!$E:$E,$B101,領用表!$B:$B,CG$2&amp;CH$2)</f>
        <v>29</v>
      </c>
      <c r="CI101" s="206">
        <f>SUMIFS(領用表!$L:$L,領用表!$E:$E,$B101,領用表!$B:$B,CG$2&amp;CI$2)</f>
        <v>32</v>
      </c>
      <c r="CJ101" s="206">
        <f>SUMIFS(領用表!$L:$L,領用表!$E:$E,$B101,領用表!$B:$B,CG$2&amp;CJ$2)</f>
        <v>36</v>
      </c>
      <c r="CK101" s="206">
        <f>SUMIFS(領用表!$L:$L,領用表!$E:$E,$B101,領用表!$B:$B,$CG$2&amp;CK$2)</f>
        <v>23</v>
      </c>
      <c r="CL101" s="207">
        <f>SUM(AX101,AY101,AZ101,BA101,BB101,BC101,BH101,BM101,BR101,BW101,CB101,CG101)</f>
        <v>378</v>
      </c>
      <c r="CM101" s="207">
        <f>AVERAGE(AX101,AY101,AZ101,BA101,BB101,BC101,BH101,BM101,BR101,BW101,CB101,CG101)</f>
        <v>31.5</v>
      </c>
      <c r="CN101" s="208">
        <f>SUMIFS(領用表!$L:$L,領用表!$A:$A,CN$2,領用表!$E:$E,B101)</f>
        <v>114</v>
      </c>
      <c r="CO101" s="206">
        <f>SUMIFS(領用表!$L:$L,領用表!$E:$E,$B101,領用表!$B:$B,CN$2&amp;CO$2)</f>
        <v>16</v>
      </c>
      <c r="CP101" s="206">
        <f>SUMIFS(領用表!$L:$L,領用表!$E:$E,$B101,領用表!$B:$B,$CN$2&amp;CP$2)</f>
        <v>21</v>
      </c>
      <c r="CQ101" s="206">
        <f>SUMIFS(領用表!$L:$L,領用表!$E:$E,$B101,領用表!$B:$B,$CN$2&amp;CQ$2)</f>
        <v>58</v>
      </c>
      <c r="CR101" s="206">
        <f>SUMIFS(領用表!$L:$L,領用表!$E:$E,$B101,領用表!$B:$B,$CN$2&amp;CR$2)</f>
        <v>19</v>
      </c>
      <c r="CS101" s="208">
        <f>SUMIFS(領用表!$L:$L,領用表!$A:$A,CS$2,領用表!$E:$E,B101)</f>
        <v>86</v>
      </c>
      <c r="CT101" s="206">
        <f>SUMIFS(領用表!$L:$L,領用表!$E:$E,$B101,領用表!$B:$B,CS$2&amp;CT$2)</f>
        <v>12</v>
      </c>
      <c r="CU101" s="206">
        <f>SUMIFS(領用表!$L:$L,領用表!$E:$E,$B101,領用表!$B:$B,$CS$2&amp;CU$2)</f>
        <v>24</v>
      </c>
      <c r="CV101" s="206">
        <f>SUMIFS(領用表!$L:$L,領用表!$E:$E,$B101,領用表!$B:$B,$CS$2&amp;CV$2)</f>
        <v>32</v>
      </c>
      <c r="CW101" s="206">
        <f>SUMIFS(領用表!$L:$L,領用表!$E:$E,$B101,領用表!$B:$B,$CS$2&amp;CW$2)</f>
        <v>14</v>
      </c>
      <c r="CX101" s="206">
        <f>SUMIFS(領用表!$L:$L,領用表!$E:$E,$B101,領用表!$B:$B,$CS$2&amp;CX$2)</f>
        <v>4</v>
      </c>
      <c r="CY101" s="208">
        <f>SUMIFS(領用表!$L:$L,領用表!$A:$A,CY$2,領用表!$E:$E,B101)</f>
        <v>131</v>
      </c>
      <c r="CZ101" s="206">
        <f>SUMIFS(領用表!$L:$L,領用表!$E:$E,$B101,領用表!$B:$B,CY$2&amp;CZ$2)</f>
        <v>24</v>
      </c>
      <c r="DA101" s="206">
        <f>SUMIFS(領用表!$L:$L,領用表!$E:$E,$B101,領用表!$B:$B,$CY$2&amp;DA$2)</f>
        <v>23</v>
      </c>
      <c r="DB101" s="206">
        <f>SUMIFS(領用表!$L:$L,領用表!$E:$E,$B101,領用表!$B:$B,$CY$2&amp;DB$2)</f>
        <v>45</v>
      </c>
      <c r="DC101" s="206">
        <f>SUMIFS(領用表!$L:$L,領用表!$E:$E,$B101,領用表!$B:$B,$CY$2&amp;DC$2)</f>
        <v>24</v>
      </c>
      <c r="DD101" s="206">
        <f>SUMIFS(領用表!$L:$L,領用表!$E:$E,$B101,領用表!$B:$B,$CY$2&amp;DD$2)</f>
        <v>15</v>
      </c>
      <c r="DE101" s="208">
        <f>SUMIFS(領用表!$L:$L,領用表!$A:$A,DE$2,領用表!$E:$E,B101)</f>
        <v>133</v>
      </c>
      <c r="DF101" s="206">
        <f>SUMIFS(領用表!$L:$L,領用表!$E:$E,$B101,領用表!$B:$B,DE$2&amp;DF$2)</f>
        <v>20</v>
      </c>
      <c r="DG101" s="206">
        <f>SUMIFS(領用表!$L:$L,領用表!$E:$E,$B101,領用表!$B:$B,$DE$2&amp;DG$2)</f>
        <v>28</v>
      </c>
      <c r="DH101" s="206">
        <f>SUMIFS(領用表!$L:$L,領用表!$E:$E,$B101,領用表!$B:$B,$DE$2&amp;DH$2)</f>
        <v>33</v>
      </c>
      <c r="DI101" s="206">
        <f>SUMIFS(領用表!$L:$L,領用表!$E:$E,$B101,領用表!$B:$B,$DE$2&amp;DI$2)</f>
        <v>30</v>
      </c>
      <c r="DJ101" s="206">
        <f>SUMIFS(領用表!$L:$L,領用表!$E:$E,$B101,領用表!$B:$B,$DE$2&amp;DJ$2)</f>
        <v>22</v>
      </c>
      <c r="DK101" s="208">
        <f>SUMIFS(領用表!$L:$L,領用表!$A:$A,DK$2,領用表!$E:$E,$B101)</f>
        <v>108</v>
      </c>
      <c r="DL101" s="206">
        <f>SUMIFS(領用表!$L:$L,領用表!$E:$E,$B101,領用表!$B:$B,DK$2&amp;DL$2)</f>
        <v>20</v>
      </c>
      <c r="DM101" s="206">
        <f>SUMIFS(領用表!$L:$L,領用表!$E:$E,$B101,領用表!$B:$B,$DK$2&amp;DM$2)</f>
        <v>24</v>
      </c>
      <c r="DN101" s="206">
        <f>SUMIFS(領用表!$L:$L,領用表!$E:$E,$B101,領用表!$B:$B,$DK$2&amp;DN$2)</f>
        <v>34</v>
      </c>
      <c r="DO101" s="206">
        <f>SUMIFS(領用表!$L:$L,領用表!$E:$E,$B101,領用表!$B:$B,$DK$2&amp;DO$2)</f>
        <v>18</v>
      </c>
      <c r="DP101" s="206">
        <f>SUMIFS(領用表!$L:$L,領用表!$E:$E,$B101,領用表!$B:$B,$DK$2&amp;DP$2)</f>
        <v>12</v>
      </c>
      <c r="DQ101" s="206">
        <f t="shared" si="28"/>
        <v>572</v>
      </c>
      <c r="DR101" s="206">
        <f t="shared" si="29"/>
        <v>114.4</v>
      </c>
      <c r="DS101" s="206">
        <f t="shared" si="27"/>
        <v>1</v>
      </c>
      <c r="DT101" s="206">
        <v>1</v>
      </c>
      <c r="DU101" s="206">
        <v>0</v>
      </c>
      <c r="DV101" s="206">
        <v>0</v>
      </c>
      <c r="DW101" s="206">
        <v>0</v>
      </c>
      <c r="DX101" s="258">
        <v>10</v>
      </c>
      <c r="DY101" s="283"/>
      <c r="DZ101" s="283"/>
      <c r="EA101" s="283"/>
      <c r="EB101" s="136"/>
      <c r="EC101" s="136"/>
      <c r="ED101" s="118">
        <f>IFERROR(VLOOKUP(A101,站前4樓!A:BF,57,0),0)</f>
        <v>0</v>
      </c>
      <c r="EE101" s="213">
        <f>IFERROR(VLOOKUP(A101,站前11樓!A:BE,57,0),0)</f>
        <v>0</v>
      </c>
      <c r="EF101" s="118">
        <f>IFERROR(VLOOKUP(A101,忠孝7樓!A:N,57,0),0)</f>
        <v>0</v>
      </c>
      <c r="EG101" s="118">
        <f>IFERROR(VLOOKUP(A101,忠孝國際醫學3樓!A:L,57,0),0)</f>
        <v>0</v>
      </c>
      <c r="EH101" s="118">
        <f>SUM(ED101:EG101)</f>
        <v>0</v>
      </c>
    </row>
    <row r="102" spans="1:138" s="118" customFormat="1" ht="15.75" customHeight="1">
      <c r="A102" s="136" t="s">
        <v>648</v>
      </c>
      <c r="B102" s="118">
        <v>6120003</v>
      </c>
      <c r="C102" s="118" t="s">
        <v>833</v>
      </c>
      <c r="D102" s="285">
        <v>10</v>
      </c>
      <c r="E102" s="198" t="s">
        <v>15</v>
      </c>
      <c r="F102" s="225">
        <f>SUMIF(站前4樓!B:B,B102,站前4樓!F:F)</f>
        <v>37</v>
      </c>
      <c r="G102" s="225">
        <f>SUMIF(站前11樓!B:B,B102,站前11樓!F:F)</f>
        <v>58</v>
      </c>
      <c r="H102" s="225">
        <f>SUMIF(忠孝7樓!B:B,B102,忠孝7樓!G:G)</f>
        <v>23</v>
      </c>
      <c r="I102" s="225">
        <f>SUMIF(忠孝國際醫學3樓!B:B,B102,忠孝國際醫學3樓!G:G)</f>
        <v>26</v>
      </c>
      <c r="J102" s="225">
        <f>SUMIF(忠孝健康7樓!B:B,B102,忠孝健康7樓!G:G)</f>
        <v>1</v>
      </c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83"/>
      <c r="AB102" s="283"/>
      <c r="AC102" s="283"/>
      <c r="AD102" s="283"/>
      <c r="AE102" s="283"/>
      <c r="AF102" s="283"/>
      <c r="AG102" s="283"/>
      <c r="AH102" s="283"/>
      <c r="AI102" s="283"/>
      <c r="AJ102" s="201">
        <v>3</v>
      </c>
      <c r="AK102" s="201">
        <v>2</v>
      </c>
      <c r="AL102" s="201">
        <v>0</v>
      </c>
      <c r="AM102" s="201">
        <v>4</v>
      </c>
      <c r="AN102" s="201">
        <v>5</v>
      </c>
      <c r="AO102" s="201">
        <v>5</v>
      </c>
      <c r="AP102" s="201">
        <v>5</v>
      </c>
      <c r="AQ102" s="201">
        <v>8</v>
      </c>
      <c r="AR102" s="201">
        <v>12</v>
      </c>
      <c r="AS102" s="201">
        <v>3</v>
      </c>
      <c r="AT102" s="201">
        <v>4</v>
      </c>
      <c r="AU102" s="201">
        <v>9</v>
      </c>
      <c r="AV102" s="283">
        <f t="shared" si="32"/>
        <v>60</v>
      </c>
      <c r="AW102" s="286">
        <f t="shared" si="33"/>
        <v>5</v>
      </c>
      <c r="AX102" s="201">
        <v>0</v>
      </c>
      <c r="AY102" s="201">
        <v>1</v>
      </c>
      <c r="AZ102" s="201">
        <v>7</v>
      </c>
      <c r="BA102" s="201">
        <v>5</v>
      </c>
      <c r="BB102" s="201">
        <f>0+3</f>
        <v>3</v>
      </c>
      <c r="BC102" s="203">
        <f>SUMIFS(領用表!$L:$L,領用表!$A:$A,BC$2,領用表!$E:$E,B102)</f>
        <v>6</v>
      </c>
      <c r="BD102" s="296">
        <f>SUMIFS(領用表!$L:$L,領用表!$E:$E,$B102,領用表!$B:$B,BC$2&amp;BD$2)</f>
        <v>3</v>
      </c>
      <c r="BE102" s="296">
        <f>SUMIFS(領用表!$L:$L,領用表!$E:$E,$B102,領用表!$B:$B,$BC$2&amp;BE$2)</f>
        <v>3</v>
      </c>
      <c r="BF102" s="296">
        <f>SUMIFS(領用表!$L:$L,領用表!$E:$E,$B102,領用表!$B:$B,$BC$2&amp;BF$2)</f>
        <v>0</v>
      </c>
      <c r="BG102" s="206">
        <f>SUMIFS(領用表!$L:$L,領用表!$E:$E,$B102,領用表!$B:$B,$BC$2&amp;BG$2)</f>
        <v>0</v>
      </c>
      <c r="BH102" s="203">
        <f>SUMIFS(領用表!$L:$L,領用表!$A:$A,BH$2,領用表!$E:$E,B102)</f>
        <v>0</v>
      </c>
      <c r="BI102" s="260">
        <f>SUMIFS(領用表!$L:$L,領用表!$E:$E,$B102,領用表!$B:$B,BH$2&amp;BI$2)</f>
        <v>0</v>
      </c>
      <c r="BJ102" s="260">
        <f>SUMIFS(領用表!$L:$L,領用表!$E:$E,$B102,領用表!$B:$B,$BH$2&amp;BJ$2)</f>
        <v>0</v>
      </c>
      <c r="BK102" s="260">
        <f>SUMIFS(領用表!$L:$L,領用表!$E:$E,$B102,領用表!$B:$B,$BH$2&amp;BK$2)</f>
        <v>0</v>
      </c>
      <c r="BL102" s="260">
        <f>SUMIFS(領用表!$L:$L,領用表!$E:$E,$B102,領用表!$B:$B,$BH$2&amp;BL$2)</f>
        <v>0</v>
      </c>
      <c r="BM102" s="203">
        <f>SUMIFS(領用表!$L:$L,領用表!$A:$A,BM$2,領用表!$E:$E,B102)</f>
        <v>3</v>
      </c>
      <c r="BN102" s="206">
        <f>SUMIFS(領用表!$L:$L,領用表!$E:$E,$B102,領用表!$B:$B,BM$2&amp;BN$2)</f>
        <v>1</v>
      </c>
      <c r="BO102" s="206">
        <f>SUMIFS(領用表!$L:$L,領用表!$E:$E,$B102,領用表!$B:$B,$BM$2&amp;BO$2)</f>
        <v>2</v>
      </c>
      <c r="BP102" s="297">
        <f>SUMIFS(領用表!$L:$L,領用表!$E:$E,$B102,領用表!$B:$B,$BM$2&amp;BP$2)</f>
        <v>0</v>
      </c>
      <c r="BQ102" s="206">
        <f>SUMIFS(領用表!$L:$L,領用表!$E:$E,$B102,領用表!$B:$B,$BM$2&amp;BQ$2)</f>
        <v>0</v>
      </c>
      <c r="BR102" s="203">
        <f>SUMIFS(領用表!$L:$L,領用表!$A:$A,BR$2,領用表!$E:$E,B102)</f>
        <v>3</v>
      </c>
      <c r="BS102" s="297">
        <f>SUMIFS(領用表!$L:$L,領用表!$E:$E,$B102,領用表!$B:$B,BR$2&amp;BS$2)</f>
        <v>0</v>
      </c>
      <c r="BT102" s="297">
        <f>SUMIFS(領用表!$L:$L,領用表!$E:$E,$B102,領用表!$B:$B,$BR$2&amp;BT$2)</f>
        <v>1</v>
      </c>
      <c r="BU102" s="297">
        <f>SUMIFS(領用表!$L:$L,領用表!$E:$E,$B102,領用表!$B:$B,$BR$2&amp;BU$2)</f>
        <v>0</v>
      </c>
      <c r="BV102" s="206">
        <f>SUMIFS(領用表!$L:$L,領用表!$E:$E,$B102,領用表!$B:$B,$BR$2&amp;BV$2)</f>
        <v>2</v>
      </c>
      <c r="BW102" s="208">
        <f>SUMIFS(領用表!$L:$L,領用表!$A:$A,BW$2,領用表!$E:$E,B102)</f>
        <v>28</v>
      </c>
      <c r="BX102" s="206">
        <f>SUMIFS(領用表!$L:$L,領用表!$E:$E,$B102,領用表!$B:$B,BW$2&amp;BX$2)</f>
        <v>5</v>
      </c>
      <c r="BY102" s="206">
        <f>SUMIFS(領用表!$L:$L,領用表!$E:$E,$B102,領用表!$B:$B,$BW$2&amp;BY$2)</f>
        <v>9</v>
      </c>
      <c r="BZ102" s="206">
        <f>SUMIFS(領用表!$L:$L,領用表!$E:$E,$B102,領用表!$B:$B,$BW$2&amp;BZ$2)</f>
        <v>5</v>
      </c>
      <c r="CA102" s="206">
        <f>SUMIFS(領用表!$L:$L,領用表!$E:$E,$B102,領用表!$B:$B,$BW$2&amp;CA$2)</f>
        <v>9</v>
      </c>
      <c r="CB102" s="208">
        <f>SUMIFS(領用表!$L:$L,領用表!$A:$A,CB$2,領用表!$E:$E,B102)</f>
        <v>50</v>
      </c>
      <c r="CC102" s="206">
        <f>SUMIFS(領用表!$L:$L,領用表!$E:$E,$B102,領用表!$B:$B,CB$2&amp;CC$2)</f>
        <v>12</v>
      </c>
      <c r="CD102" s="206">
        <f>SUMIFS(領用表!$L:$L,領用表!$E:$E,$B102,領用表!$B:$B,$CB$2&amp;CD$2)</f>
        <v>17</v>
      </c>
      <c r="CE102" s="206">
        <f>SUMIFS(領用表!$L:$L,領用表!$E:$E,$B102,領用表!$B:$B,$CB$2&amp;CE$2)</f>
        <v>10</v>
      </c>
      <c r="CF102" s="206">
        <f>SUMIFS(領用表!$L:$L,領用表!$E:$E,$B102,領用表!$B:$B,$CB$2&amp;CF$2)</f>
        <v>11</v>
      </c>
      <c r="CG102" s="208">
        <f>SUMIFS(領用表!$L:$L,領用表!$A:$A,CG$2,領用表!$E:$E,B102)</f>
        <v>54</v>
      </c>
      <c r="CH102" s="206">
        <f>SUMIFS(領用表!$L:$L,領用表!$E:$E,$B102,領用表!$B:$B,CG$2&amp;CH$2)</f>
        <v>14</v>
      </c>
      <c r="CI102" s="206">
        <f>SUMIFS(領用表!$L:$L,領用表!$E:$E,$B102,領用表!$B:$B,CG$2&amp;CI$2)</f>
        <v>11</v>
      </c>
      <c r="CJ102" s="206">
        <f>SUMIFS(領用表!$L:$L,領用表!$E:$E,$B102,領用表!$B:$B,CG$2&amp;CJ$2)</f>
        <v>20</v>
      </c>
      <c r="CK102" s="206">
        <f>SUMIFS(領用表!$L:$L,領用表!$E:$E,$B102,領用表!$B:$B,$CG$2&amp;CK$2)</f>
        <v>9</v>
      </c>
      <c r="CL102" s="207">
        <f t="shared" si="22"/>
        <v>160</v>
      </c>
      <c r="CM102" s="207">
        <f t="shared" si="23"/>
        <v>13.333333333333334</v>
      </c>
      <c r="CN102" s="208">
        <f>SUMIFS(領用表!$L:$L,領用表!$A:$A,CN$2,領用表!$E:$E,B102)</f>
        <v>25</v>
      </c>
      <c r="CO102" s="206">
        <f>SUMIFS(領用表!$L:$L,領用表!$E:$E,$B102,領用表!$B:$B,CN$2&amp;CO$2)</f>
        <v>3</v>
      </c>
      <c r="CP102" s="206">
        <f>SUMIFS(領用表!$L:$L,領用表!$E:$E,$B102,領用表!$B:$B,$CN$2&amp;CP$2)</f>
        <v>3</v>
      </c>
      <c r="CQ102" s="206">
        <f>SUMIFS(領用表!$L:$L,領用表!$E:$E,$B102,領用表!$B:$B,$CN$2&amp;CQ$2)</f>
        <v>9</v>
      </c>
      <c r="CR102" s="206">
        <f>SUMIFS(領用表!$L:$L,領用表!$E:$E,$B102,領用表!$B:$B,$CN$2&amp;CR$2)</f>
        <v>10</v>
      </c>
      <c r="CS102" s="208">
        <f>SUMIFS(領用表!$L:$L,領用表!$A:$A,CS$2,領用表!$E:$E,B102)</f>
        <v>12</v>
      </c>
      <c r="CT102" s="206">
        <f>SUMIFS(領用表!$L:$L,領用表!$E:$E,$B102,領用表!$B:$B,CS$2&amp;CT$2)</f>
        <v>1</v>
      </c>
      <c r="CU102" s="206">
        <f>SUMIFS(領用表!$L:$L,領用表!$E:$E,$B102,領用表!$B:$B,$CS$2&amp;CU$2)</f>
        <v>4</v>
      </c>
      <c r="CV102" s="206">
        <f>SUMIFS(領用表!$L:$L,領用表!$E:$E,$B102,領用表!$B:$B,$CS$2&amp;CV$2)</f>
        <v>2</v>
      </c>
      <c r="CW102" s="206">
        <f>SUMIFS(領用表!$L:$L,領用表!$E:$E,$B102,領用表!$B:$B,$CS$2&amp;CW$2)</f>
        <v>5</v>
      </c>
      <c r="CX102" s="206">
        <f>SUMIFS(領用表!$L:$L,領用表!$E:$E,$B102,領用表!$B:$B,$CS$2&amp;CX$2)</f>
        <v>0</v>
      </c>
      <c r="CY102" s="208">
        <f>SUMIFS(領用表!$L:$L,領用表!$A:$A,CY$2,領用表!$E:$E,B102)</f>
        <v>17</v>
      </c>
      <c r="CZ102" s="206">
        <f>SUMIFS(領用表!$L:$L,領用表!$E:$E,$B102,領用表!$B:$B,CY$2&amp;CZ$2)</f>
        <v>2</v>
      </c>
      <c r="DA102" s="206">
        <f>SUMIFS(領用表!$L:$L,領用表!$E:$E,$B102,領用表!$B:$B,$CY$2&amp;DA$2)</f>
        <v>3</v>
      </c>
      <c r="DB102" s="206">
        <f>SUMIFS(領用表!$L:$L,領用表!$E:$E,$B102,領用表!$B:$B,$CY$2&amp;DB$2)</f>
        <v>5</v>
      </c>
      <c r="DC102" s="206">
        <f>SUMIFS(領用表!$L:$L,領用表!$E:$E,$B102,領用表!$B:$B,$CY$2&amp;DC$2)</f>
        <v>7</v>
      </c>
      <c r="DD102" s="206">
        <f>SUMIFS(領用表!$L:$L,領用表!$E:$E,$B102,領用表!$B:$B,$CY$2&amp;DD$2)</f>
        <v>0</v>
      </c>
      <c r="DE102" s="208">
        <f>SUMIFS(領用表!$L:$L,領用表!$A:$A,DE$2,領用表!$E:$E,B102)</f>
        <v>13</v>
      </c>
      <c r="DF102" s="206">
        <f>SUMIFS(領用表!$L:$L,領用表!$E:$E,$B102,領用表!$B:$B,DE$2&amp;DF$2)</f>
        <v>0</v>
      </c>
      <c r="DG102" s="206">
        <f>SUMIFS(領用表!$L:$L,領用表!$E:$E,$B102,領用表!$B:$B,$DE$2&amp;DG$2)</f>
        <v>4</v>
      </c>
      <c r="DH102" s="206">
        <f>SUMIFS(領用表!$L:$L,領用表!$E:$E,$B102,領用表!$B:$B,$DE$2&amp;DH$2)</f>
        <v>4</v>
      </c>
      <c r="DI102" s="206">
        <f>SUMIFS(領用表!$L:$L,領用表!$E:$E,$B102,領用表!$B:$B,$DE$2&amp;DI$2)</f>
        <v>5</v>
      </c>
      <c r="DJ102" s="206">
        <f>SUMIFS(領用表!$L:$L,領用表!$E:$E,$B102,領用表!$B:$B,$DE$2&amp;DJ$2)</f>
        <v>0</v>
      </c>
      <c r="DK102" s="208">
        <f>SUMIFS(領用表!$L:$L,領用表!$A:$A,DK$2,領用表!$E:$E,$B102)</f>
        <v>11</v>
      </c>
      <c r="DL102" s="206">
        <f>SUMIFS(領用表!$L:$L,領用表!$E:$E,$B102,領用表!$B:$B,DK$2&amp;DL$2)</f>
        <v>0</v>
      </c>
      <c r="DM102" s="206">
        <f>SUMIFS(領用表!$L:$L,領用表!$E:$E,$B102,領用表!$B:$B,$DK$2&amp;DM$2)</f>
        <v>7</v>
      </c>
      <c r="DN102" s="206">
        <f>SUMIFS(領用表!$L:$L,領用表!$E:$E,$B102,領用表!$B:$B,$DK$2&amp;DN$2)</f>
        <v>0</v>
      </c>
      <c r="DO102" s="206">
        <f>SUMIFS(領用表!$L:$L,領用表!$E:$E,$B102,領用表!$B:$B,$DK$2&amp;DO$2)</f>
        <v>4</v>
      </c>
      <c r="DP102" s="206">
        <f>SUMIFS(領用表!$L:$L,領用表!$E:$E,$B102,領用表!$B:$B,$DK$2&amp;DP$2)</f>
        <v>0</v>
      </c>
      <c r="DQ102" s="206">
        <f t="shared" si="28"/>
        <v>78</v>
      </c>
      <c r="DR102" s="206">
        <f t="shared" si="29"/>
        <v>15.6</v>
      </c>
      <c r="DS102" s="206">
        <f t="shared" si="27"/>
        <v>29</v>
      </c>
      <c r="DT102" s="206">
        <v>5</v>
      </c>
      <c r="DU102" s="206">
        <v>10</v>
      </c>
      <c r="DV102" s="206">
        <v>5</v>
      </c>
      <c r="DW102" s="206">
        <v>9</v>
      </c>
      <c r="DX102" s="258">
        <v>100</v>
      </c>
      <c r="DY102" s="283"/>
      <c r="DZ102" s="283"/>
      <c r="EA102" s="283"/>
      <c r="EB102" s="136"/>
      <c r="EC102" s="289"/>
      <c r="ED102" s="118">
        <f>IFERROR(VLOOKUP(A102,站前4樓!A:BF,57,0),0)</f>
        <v>12</v>
      </c>
      <c r="EE102" s="213">
        <f>IFERROR(VLOOKUP(A102,站前11樓!A:BE,57,0),0)</f>
        <v>17</v>
      </c>
      <c r="EF102" s="118">
        <f>IFERROR(VLOOKUP(A102,忠孝7樓!A:N,57,0),0)</f>
        <v>0</v>
      </c>
      <c r="EG102" s="118">
        <f>IFERROR(VLOOKUP(A102,忠孝國際醫學3樓!A:L,57,0),0)</f>
        <v>0</v>
      </c>
      <c r="EH102" s="118">
        <f t="shared" si="25"/>
        <v>29</v>
      </c>
    </row>
    <row r="103" spans="1:138" s="118" customFormat="1" ht="15.75" customHeight="1">
      <c r="A103" s="136" t="s">
        <v>649</v>
      </c>
      <c r="B103" s="118">
        <v>6120036</v>
      </c>
      <c r="C103" s="118" t="s">
        <v>834</v>
      </c>
      <c r="D103" s="285">
        <v>10</v>
      </c>
      <c r="E103" s="198" t="s">
        <v>15</v>
      </c>
      <c r="F103" s="225">
        <f>SUMIF(站前4樓!B:B,B103,站前4樓!F:F)</f>
        <v>0</v>
      </c>
      <c r="G103" s="225">
        <f>SUMIF(站前11樓!B:B,B103,站前11樓!F:F)</f>
        <v>11</v>
      </c>
      <c r="H103" s="225">
        <f>SUMIF(忠孝7樓!B:B,B103,忠孝7樓!G:G)</f>
        <v>103</v>
      </c>
      <c r="I103" s="225">
        <f>SUMIF(忠孝國際醫學3樓!B:B,B103,忠孝國際醫學3樓!G:G)</f>
        <v>53</v>
      </c>
      <c r="J103" s="225">
        <f>SUMIF(忠孝健康7樓!B:B,B103,忠孝健康7樓!G:G)</f>
        <v>117</v>
      </c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83"/>
      <c r="AB103" s="283"/>
      <c r="AC103" s="283"/>
      <c r="AD103" s="283"/>
      <c r="AE103" s="283"/>
      <c r="AF103" s="283"/>
      <c r="AG103" s="283"/>
      <c r="AH103" s="283"/>
      <c r="AI103" s="283"/>
      <c r="AJ103" s="201"/>
      <c r="AK103" s="201"/>
      <c r="AL103" s="201"/>
      <c r="AM103" s="201"/>
      <c r="AN103" s="201"/>
      <c r="AO103" s="201"/>
      <c r="AP103" s="201"/>
      <c r="AQ103" s="201"/>
      <c r="AR103" s="201"/>
      <c r="AS103" s="201"/>
      <c r="AT103" s="201"/>
      <c r="AU103" s="201"/>
      <c r="AV103" s="283"/>
      <c r="AW103" s="286"/>
      <c r="AX103" s="201"/>
      <c r="AY103" s="201"/>
      <c r="AZ103" s="201"/>
      <c r="BA103" s="201"/>
      <c r="BB103" s="201"/>
      <c r="BC103" s="203"/>
      <c r="BD103" s="296"/>
      <c r="BE103" s="296"/>
      <c r="BF103" s="296"/>
      <c r="BG103" s="206"/>
      <c r="BH103" s="203"/>
      <c r="BI103" s="260"/>
      <c r="BJ103" s="260"/>
      <c r="BK103" s="260"/>
      <c r="BL103" s="260"/>
      <c r="BM103" s="203"/>
      <c r="BN103" s="206"/>
      <c r="BO103" s="206"/>
      <c r="BP103" s="297"/>
      <c r="BQ103" s="206"/>
      <c r="BR103" s="203"/>
      <c r="BS103" s="297"/>
      <c r="BT103" s="297"/>
      <c r="BU103" s="297"/>
      <c r="BV103" s="206"/>
      <c r="BW103" s="208">
        <f>SUMIFS(領用表!$L:$L,領用表!$A:$A,BW$2,領用表!$E:$E,B103)</f>
        <v>8</v>
      </c>
      <c r="BX103" s="206"/>
      <c r="BY103" s="206"/>
      <c r="BZ103" s="206"/>
      <c r="CA103" s="206"/>
      <c r="CB103" s="208">
        <f>SUMIFS(領用表!$L:$L,領用表!$A:$A,CB$2,領用表!$E:$E,B103)</f>
        <v>7</v>
      </c>
      <c r="CC103" s="206">
        <f>SUMIFS(領用表!$L:$L,領用表!$E:$E,$B103,領用表!$B:$B,CB$2&amp;CC$2)</f>
        <v>0</v>
      </c>
      <c r="CD103" s="206">
        <f>SUMIFS(領用表!$L:$L,領用表!$E:$E,$B103,領用表!$B:$B,$CB$2&amp;CD$2)</f>
        <v>3</v>
      </c>
      <c r="CE103" s="206">
        <f>SUMIFS(領用表!$L:$L,領用表!$E:$E,$B103,領用表!$B:$B,$CB$2&amp;CE$2)</f>
        <v>1</v>
      </c>
      <c r="CF103" s="206">
        <f>SUMIFS(領用表!$L:$L,領用表!$E:$E,$B103,領用表!$B:$B,$CB$2&amp;CF$2)</f>
        <v>3</v>
      </c>
      <c r="CG103" s="208">
        <f>SUMIFS(領用表!$L:$L,領用表!$A:$A,CG$2,領用表!$E:$E,B103)</f>
        <v>46</v>
      </c>
      <c r="CH103" s="206">
        <f>SUMIFS(領用表!$L:$L,領用表!$E:$E,$B103,領用表!$B:$B,CG$2&amp;CH$2)</f>
        <v>15</v>
      </c>
      <c r="CI103" s="206">
        <f>SUMIFS(領用表!$L:$L,領用表!$E:$E,$B103,領用表!$B:$B,CG$2&amp;CI$2)</f>
        <v>12</v>
      </c>
      <c r="CJ103" s="206">
        <f>SUMIFS(領用表!$L:$L,領用表!$E:$E,$B103,領用表!$B:$B,CG$2&amp;CJ$2)</f>
        <v>16</v>
      </c>
      <c r="CK103" s="206">
        <f>SUMIFS(領用表!$L:$L,領用表!$E:$E,$B103,領用表!$B:$B,$CG$2&amp;CK$2)</f>
        <v>3</v>
      </c>
      <c r="CL103" s="207">
        <f t="shared" si="22"/>
        <v>61</v>
      </c>
      <c r="CM103" s="207">
        <f t="shared" si="23"/>
        <v>20.333333333333332</v>
      </c>
      <c r="CN103" s="208">
        <f>SUMIFS(領用表!$L:$L,領用表!$A:$A,CN$2,領用表!$E:$E,B103)</f>
        <v>74</v>
      </c>
      <c r="CO103" s="206">
        <f>SUMIFS(領用表!$L:$L,領用表!$E:$E,$B103,領用表!$B:$B,CN$2&amp;CO$2)</f>
        <v>13</v>
      </c>
      <c r="CP103" s="206">
        <f>SUMIFS(領用表!$L:$L,領用表!$E:$E,$B103,領用表!$B:$B,$CN$2&amp;CP$2)</f>
        <v>10</v>
      </c>
      <c r="CQ103" s="206">
        <f>SUMIFS(領用表!$L:$L,領用表!$E:$E,$B103,領用表!$B:$B,$CN$2&amp;CQ$2)</f>
        <v>49</v>
      </c>
      <c r="CR103" s="206">
        <f>SUMIFS(領用表!$L:$L,領用表!$E:$E,$B103,領用表!$B:$B,$CN$2&amp;CR$2)</f>
        <v>2</v>
      </c>
      <c r="CS103" s="208">
        <f>SUMIFS(領用表!$L:$L,領用表!$A:$A,CS$2,領用表!$E:$E,B103)</f>
        <v>59</v>
      </c>
      <c r="CT103" s="206">
        <f>SUMIFS(領用表!$L:$L,領用表!$E:$E,$B103,領用表!$B:$B,CS$2&amp;CT$2)</f>
        <v>11</v>
      </c>
      <c r="CU103" s="206">
        <f>SUMIFS(領用表!$L:$L,領用表!$E:$E,$B103,領用表!$B:$B,$CS$2&amp;CU$2)</f>
        <v>9</v>
      </c>
      <c r="CV103" s="206">
        <f>SUMIFS(領用表!$L:$L,領用表!$E:$E,$B103,領用表!$B:$B,$CS$2&amp;CV$2)</f>
        <v>30</v>
      </c>
      <c r="CW103" s="206">
        <f>SUMIFS(領用表!$L:$L,領用表!$E:$E,$B103,領用表!$B:$B,$CS$2&amp;CW$2)</f>
        <v>5</v>
      </c>
      <c r="CX103" s="206">
        <f>SUMIFS(領用表!$L:$L,領用表!$E:$E,$B103,領用表!$B:$B,$CS$2&amp;CX$2)</f>
        <v>4</v>
      </c>
      <c r="CY103" s="208">
        <f>SUMIFS(領用表!$L:$L,領用表!$A:$A,CY$2,領用表!$E:$E,B103)</f>
        <v>90</v>
      </c>
      <c r="CZ103" s="206">
        <f>SUMIFS(領用表!$L:$L,領用表!$E:$E,$B103,領用表!$B:$B,CY$2&amp;CZ$2)</f>
        <v>22</v>
      </c>
      <c r="DA103" s="206">
        <f>SUMIFS(領用表!$L:$L,領用表!$E:$E,$B103,領用表!$B:$B,$CY$2&amp;DA$2)</f>
        <v>5</v>
      </c>
      <c r="DB103" s="206">
        <f>SUMIFS(領用表!$L:$L,領用表!$E:$E,$B103,領用表!$B:$B,$CY$2&amp;DB$2)</f>
        <v>40</v>
      </c>
      <c r="DC103" s="206">
        <f>SUMIFS(領用表!$L:$L,領用表!$E:$E,$B103,領用表!$B:$B,$CY$2&amp;DC$2)</f>
        <v>8</v>
      </c>
      <c r="DD103" s="206">
        <f>SUMIFS(領用表!$L:$L,領用表!$E:$E,$B103,領用表!$B:$B,$CY$2&amp;DD$2)</f>
        <v>15</v>
      </c>
      <c r="DE103" s="208">
        <f>SUMIFS(領用表!$L:$L,領用表!$A:$A,DE$2,領用表!$E:$E,B103)</f>
        <v>87</v>
      </c>
      <c r="DF103" s="206">
        <f>SUMIFS(領用表!$L:$L,領用表!$E:$E,$B103,領用表!$B:$B,DE$2&amp;DF$2)</f>
        <v>20</v>
      </c>
      <c r="DG103" s="206">
        <f>SUMIFS(領用表!$L:$L,領用表!$E:$E,$B103,領用表!$B:$B,$DE$2&amp;DG$2)</f>
        <v>10</v>
      </c>
      <c r="DH103" s="206">
        <f>SUMIFS(領用表!$L:$L,領用表!$E:$E,$B103,領用表!$B:$B,$DE$2&amp;DH$2)</f>
        <v>29</v>
      </c>
      <c r="DI103" s="206">
        <f>SUMIFS(領用表!$L:$L,領用表!$E:$E,$B103,領用表!$B:$B,$DE$2&amp;DI$2)</f>
        <v>7</v>
      </c>
      <c r="DJ103" s="206">
        <f>SUMIFS(領用表!$L:$L,領用表!$E:$E,$B103,領用表!$B:$B,$DE$2&amp;DJ$2)</f>
        <v>21</v>
      </c>
      <c r="DK103" s="208">
        <f>SUMIFS(領用表!$L:$L,領用表!$A:$A,DK$2,領用表!$E:$E,$B103)</f>
        <v>80</v>
      </c>
      <c r="DL103" s="206">
        <f>SUMIFS(領用表!$L:$L,領用表!$E:$E,$B103,領用表!$B:$B,DK$2&amp;DL$2)</f>
        <v>20</v>
      </c>
      <c r="DM103" s="206">
        <f>SUMIFS(領用表!$L:$L,領用表!$E:$E,$B103,領用表!$B:$B,$DK$2&amp;DM$2)</f>
        <v>7</v>
      </c>
      <c r="DN103" s="206">
        <f>SUMIFS(領用表!$L:$L,領用表!$E:$E,$B103,領用表!$B:$B,$DK$2&amp;DN$2)</f>
        <v>34</v>
      </c>
      <c r="DO103" s="206">
        <f>SUMIFS(領用表!$L:$L,領用表!$E:$E,$B103,領用表!$B:$B,$DK$2&amp;DO$2)</f>
        <v>7</v>
      </c>
      <c r="DP103" s="206">
        <f>SUMIFS(領用表!$L:$L,領用表!$E:$E,$B103,領用表!$B:$B,$DK$2&amp;DP$2)</f>
        <v>12</v>
      </c>
      <c r="DQ103" s="206">
        <f t="shared" si="28"/>
        <v>390</v>
      </c>
      <c r="DR103" s="206">
        <f t="shared" si="29"/>
        <v>78</v>
      </c>
      <c r="DS103" s="206">
        <f t="shared" si="27"/>
        <v>0</v>
      </c>
      <c r="DT103" s="206">
        <v>0</v>
      </c>
      <c r="DU103" s="206">
        <v>0</v>
      </c>
      <c r="DV103" s="206">
        <v>0</v>
      </c>
      <c r="DW103" s="206">
        <v>0</v>
      </c>
      <c r="DX103" s="258"/>
      <c r="DY103" s="283"/>
      <c r="DZ103" s="283"/>
      <c r="EA103" s="283"/>
      <c r="EB103" s="136"/>
      <c r="EC103" s="289"/>
      <c r="ED103" s="118">
        <f>IFERROR(VLOOKUP(A103,站前4樓!A:BF,57,0),0)</f>
        <v>0</v>
      </c>
      <c r="EE103" s="213">
        <f>IFERROR(VLOOKUP(A103,站前11樓!A:BE,57,0),0)</f>
        <v>3</v>
      </c>
      <c r="EF103" s="118">
        <f>IFERROR(VLOOKUP(A103,忠孝7樓!A:N,57,0),0)</f>
        <v>0</v>
      </c>
      <c r="EG103" s="118">
        <f>IFERROR(VLOOKUP(A103,忠孝國際醫學3樓!A:L,57,0),0)</f>
        <v>0</v>
      </c>
      <c r="EH103" s="118">
        <f t="shared" si="25"/>
        <v>3</v>
      </c>
    </row>
    <row r="104" spans="1:138" s="118" customFormat="1" ht="15.75" customHeight="1">
      <c r="A104" s="136" t="s">
        <v>650</v>
      </c>
      <c r="B104" s="118">
        <v>6200003</v>
      </c>
      <c r="C104" s="118" t="s">
        <v>835</v>
      </c>
      <c r="D104" s="285">
        <v>1</v>
      </c>
      <c r="E104" s="198" t="s">
        <v>15</v>
      </c>
      <c r="F104" s="225">
        <f>SUMIF(站前4樓!B:B,B104,站前4樓!F:F)</f>
        <v>4</v>
      </c>
      <c r="G104" s="225">
        <f>SUMIF(站前11樓!B:B,B104,站前11樓!F:F)</f>
        <v>0</v>
      </c>
      <c r="H104" s="225">
        <f>SUMIF(忠孝7樓!B:B,B104,忠孝7樓!G:G)</f>
        <v>13</v>
      </c>
      <c r="I104" s="225">
        <f>SUMIF(忠孝國際醫學3樓!B:B,B104,忠孝國際醫學3樓!G:G)</f>
        <v>0</v>
      </c>
      <c r="J104" s="225">
        <f>SUMIF(忠孝健康7樓!B:B,B104,忠孝健康7樓!G:G)</f>
        <v>22</v>
      </c>
      <c r="K104" s="283"/>
      <c r="L104" s="283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  <c r="X104" s="283"/>
      <c r="Y104" s="283"/>
      <c r="Z104" s="283"/>
      <c r="AA104" s="283"/>
      <c r="AB104" s="283"/>
      <c r="AC104" s="283"/>
      <c r="AD104" s="283"/>
      <c r="AE104" s="283"/>
      <c r="AF104" s="283"/>
      <c r="AG104" s="283"/>
      <c r="AH104" s="283"/>
      <c r="AI104" s="283"/>
      <c r="AJ104" s="201">
        <v>4</v>
      </c>
      <c r="AK104" s="201">
        <v>5</v>
      </c>
      <c r="AL104" s="201">
        <v>7</v>
      </c>
      <c r="AM104" s="201">
        <v>2</v>
      </c>
      <c r="AN104" s="201">
        <v>2</v>
      </c>
      <c r="AO104" s="201">
        <v>2</v>
      </c>
      <c r="AP104" s="201">
        <v>7</v>
      </c>
      <c r="AQ104" s="201">
        <v>6</v>
      </c>
      <c r="AR104" s="201">
        <v>6</v>
      </c>
      <c r="AS104" s="201">
        <v>9</v>
      </c>
      <c r="AT104" s="201">
        <v>8</v>
      </c>
      <c r="AU104" s="201">
        <v>10</v>
      </c>
      <c r="AV104" s="283">
        <f t="shared" si="32"/>
        <v>68</v>
      </c>
      <c r="AW104" s="286">
        <f t="shared" si="33"/>
        <v>5.666666666666667</v>
      </c>
      <c r="AX104" s="201">
        <v>9</v>
      </c>
      <c r="AY104" s="201">
        <v>12</v>
      </c>
      <c r="AZ104" s="201">
        <v>17</v>
      </c>
      <c r="BA104" s="201">
        <v>14</v>
      </c>
      <c r="BB104" s="201">
        <v>0</v>
      </c>
      <c r="BC104" s="203">
        <f>SUMIFS(領用表!$L:$L,領用表!$A:$A,BC$2,領用表!$E:$E,B104)</f>
        <v>1</v>
      </c>
      <c r="BD104" s="296">
        <f>SUMIFS(領用表!$L:$L,領用表!$E:$E,$B104,領用表!$B:$B,BC$2&amp;BD$2)</f>
        <v>1</v>
      </c>
      <c r="BE104" s="296">
        <f>SUMIFS(領用表!$L:$L,領用表!$E:$E,$B104,領用表!$B:$B,$BC$2&amp;BE$2)</f>
        <v>0</v>
      </c>
      <c r="BF104" s="296">
        <f>SUMIFS(領用表!$L:$L,領用表!$E:$E,$B104,領用表!$B:$B,$BC$2&amp;BF$2)</f>
        <v>0</v>
      </c>
      <c r="BG104" s="206">
        <f>SUMIFS(領用表!$L:$L,領用表!$E:$E,$B104,領用表!$B:$B,$BC$2&amp;BG$2)</f>
        <v>0</v>
      </c>
      <c r="BH104" s="203">
        <f>SUMIFS(領用表!$L:$L,領用表!$A:$A,BH$2,領用表!$E:$E,B104)</f>
        <v>10</v>
      </c>
      <c r="BI104" s="260">
        <f>SUMIFS(領用表!$L:$L,領用表!$E:$E,$B104,領用表!$B:$B,BH$2&amp;BI$2)</f>
        <v>5</v>
      </c>
      <c r="BJ104" s="260">
        <f>SUMIFS(領用表!$L:$L,領用表!$E:$E,$B104,領用表!$B:$B,$BH$2&amp;BJ$2)</f>
        <v>0</v>
      </c>
      <c r="BK104" s="260">
        <f>SUMIFS(領用表!$L:$L,領用表!$E:$E,$B104,領用表!$B:$B,$BH$2&amp;BK$2)</f>
        <v>5</v>
      </c>
      <c r="BL104" s="260">
        <f>SUMIFS(領用表!$L:$L,領用表!$E:$E,$B104,領用表!$B:$B,$BH$2&amp;BL$2)</f>
        <v>0</v>
      </c>
      <c r="BM104" s="203">
        <f>SUMIFS(領用表!$L:$L,領用表!$A:$A,BM$2,領用表!$E:$E,B104)</f>
        <v>2</v>
      </c>
      <c r="BN104" s="206">
        <f>SUMIFS(領用表!$L:$L,領用表!$E:$E,$B104,領用表!$B:$B,BM$2&amp;BN$2)</f>
        <v>0</v>
      </c>
      <c r="BO104" s="206">
        <f>SUMIFS(領用表!$L:$L,領用表!$E:$E,$B104,領用表!$B:$B,$BM$2&amp;BO$2)</f>
        <v>0</v>
      </c>
      <c r="BP104" s="297">
        <f>SUMIFS(領用表!$L:$L,領用表!$E:$E,$B104,領用表!$B:$B,$BM$2&amp;BP$2)</f>
        <v>2</v>
      </c>
      <c r="BQ104" s="206">
        <f>SUMIFS(領用表!$L:$L,領用表!$E:$E,$B104,領用表!$B:$B,$BM$2&amp;BQ$2)</f>
        <v>0</v>
      </c>
      <c r="BR104" s="203">
        <f>SUMIFS(領用表!$L:$L,領用表!$A:$A,BR$2,領用表!$E:$E,B104)</f>
        <v>13</v>
      </c>
      <c r="BS104" s="297">
        <f>SUMIFS(領用表!$L:$L,領用表!$E:$E,$B104,領用表!$B:$B,BR$2&amp;BS$2)</f>
        <v>4</v>
      </c>
      <c r="BT104" s="297">
        <f>SUMIFS(領用表!$L:$L,領用表!$E:$E,$B104,領用表!$B:$B,$BR$2&amp;BT$2)</f>
        <v>0</v>
      </c>
      <c r="BU104" s="297">
        <f>SUMIFS(領用表!$L:$L,領用表!$E:$E,$B104,領用表!$B:$B,$BR$2&amp;BU$2)</f>
        <v>9</v>
      </c>
      <c r="BV104" s="206">
        <f>SUMIFS(領用表!$L:$L,領用表!$E:$E,$B104,領用表!$B:$B,$BR$2&amp;BV$2)</f>
        <v>0</v>
      </c>
      <c r="BW104" s="208">
        <f>SUMIFS(領用表!$L:$L,領用表!$A:$A,BW$2,領用表!$E:$E,B104)</f>
        <v>9</v>
      </c>
      <c r="BX104" s="206">
        <f>SUMIFS(領用表!$L:$L,領用表!$E:$E,$B104,領用表!$B:$B,BW$2&amp;BX$2)</f>
        <v>3</v>
      </c>
      <c r="BY104" s="206">
        <f>SUMIFS(領用表!$L:$L,領用表!$E:$E,$B104,領用表!$B:$B,$BW$2&amp;BY$2)</f>
        <v>0</v>
      </c>
      <c r="BZ104" s="206">
        <f>SUMIFS(領用表!$L:$L,領用表!$E:$E,$B104,領用表!$B:$B,$BW$2&amp;BZ$2)</f>
        <v>6</v>
      </c>
      <c r="CA104" s="206">
        <f>SUMIFS(領用表!$L:$L,領用表!$E:$E,$B104,領用表!$B:$B,$BW$2&amp;CA$2)</f>
        <v>0</v>
      </c>
      <c r="CB104" s="208">
        <f>SUMIFS(領用表!$L:$L,領用表!$A:$A,CB$2,領用表!$E:$E,B104)</f>
        <v>11</v>
      </c>
      <c r="CC104" s="206">
        <f>SUMIFS(領用表!$L:$L,領用表!$E:$E,$B104,領用表!$B:$B,CB$2&amp;CC$2)</f>
        <v>4</v>
      </c>
      <c r="CD104" s="206">
        <f>SUMIFS(領用表!$L:$L,領用表!$E:$E,$B104,領用表!$B:$B,$CB$2&amp;CD$2)</f>
        <v>0</v>
      </c>
      <c r="CE104" s="206">
        <f>SUMIFS(領用表!$L:$L,領用表!$E:$E,$B104,領用表!$B:$B,$CB$2&amp;CE$2)</f>
        <v>7</v>
      </c>
      <c r="CF104" s="206">
        <f>SUMIFS(領用表!$L:$L,領用表!$E:$E,$B104,領用表!$B:$B,$CB$2&amp;CF$2)</f>
        <v>0</v>
      </c>
      <c r="CG104" s="208">
        <f>SUMIFS(領用表!$L:$L,領用表!$A:$A,CG$2,領用表!$E:$E,B104)</f>
        <v>9</v>
      </c>
      <c r="CH104" s="206">
        <f>SUMIFS(領用表!$L:$L,領用表!$E:$E,$B104,領用表!$B:$B,CG$2&amp;CH$2)</f>
        <v>0</v>
      </c>
      <c r="CI104" s="206">
        <f>SUMIFS(領用表!$L:$L,領用表!$E:$E,$B104,領用表!$B:$B,CG$2&amp;CI$2)</f>
        <v>0</v>
      </c>
      <c r="CJ104" s="206">
        <f>SUMIFS(領用表!$L:$L,領用表!$E:$E,$B104,領用表!$B:$B,CG$2&amp;CJ$2)</f>
        <v>9</v>
      </c>
      <c r="CK104" s="206">
        <f>SUMIFS(領用表!$L:$L,領用表!$E:$E,$B104,領用表!$B:$B,$CG$2&amp;CK$2)</f>
        <v>0</v>
      </c>
      <c r="CL104" s="207">
        <f t="shared" si="22"/>
        <v>107</v>
      </c>
      <c r="CM104" s="207">
        <f t="shared" si="23"/>
        <v>8.9166666666666661</v>
      </c>
      <c r="CN104" s="208">
        <f>SUMIFS(領用表!$L:$L,領用表!$A:$A,CN$2,領用表!$E:$E,B104)</f>
        <v>17</v>
      </c>
      <c r="CO104" s="206">
        <f>SUMIFS(領用表!$L:$L,領用表!$E:$E,$B104,領用表!$B:$B,CN$2&amp;CO$2)</f>
        <v>2</v>
      </c>
      <c r="CP104" s="206">
        <f>SUMIFS(領用表!$L:$L,領用表!$E:$E,$B104,領用表!$B:$B,$CN$2&amp;CP$2)</f>
        <v>0</v>
      </c>
      <c r="CQ104" s="206">
        <f>SUMIFS(領用表!$L:$L,領用表!$E:$E,$B104,領用表!$B:$B,$CN$2&amp;CQ$2)</f>
        <v>15</v>
      </c>
      <c r="CR104" s="206">
        <f>SUMIFS(領用表!$L:$L,領用表!$E:$E,$B104,領用表!$B:$B,$CN$2&amp;CR$2)</f>
        <v>0</v>
      </c>
      <c r="CS104" s="208">
        <f>SUMIFS(領用表!$L:$L,領用表!$A:$A,CS$2,領用表!$E:$E,B104)</f>
        <v>9</v>
      </c>
      <c r="CT104" s="206">
        <f>SUMIFS(領用表!$L:$L,領用表!$E:$E,$B104,領用表!$B:$B,CS$2&amp;CT$2)</f>
        <v>1</v>
      </c>
      <c r="CU104" s="206">
        <f>SUMIFS(領用表!$L:$L,領用表!$E:$E,$B104,領用表!$B:$B,$CS$2&amp;CU$2)</f>
        <v>0</v>
      </c>
      <c r="CV104" s="206">
        <f>SUMIFS(領用表!$L:$L,領用表!$E:$E,$B104,領用表!$B:$B,$CS$2&amp;CV$2)</f>
        <v>6</v>
      </c>
      <c r="CW104" s="206">
        <f>SUMIFS(領用表!$L:$L,領用表!$E:$E,$B104,領用表!$B:$B,$CS$2&amp;CW$2)</f>
        <v>0</v>
      </c>
      <c r="CX104" s="206">
        <f>SUMIFS(領用表!$L:$L,領用表!$E:$E,$B104,領用表!$B:$B,$CS$2&amp;CX$2)</f>
        <v>2</v>
      </c>
      <c r="CY104" s="208">
        <f>SUMIFS(領用表!$L:$L,領用表!$A:$A,CY$2,領用表!$E:$E,B104)</f>
        <v>15</v>
      </c>
      <c r="CZ104" s="206">
        <f>SUMIFS(領用表!$L:$L,領用表!$E:$E,$B104,領用表!$B:$B,CY$2&amp;CZ$2)</f>
        <v>5</v>
      </c>
      <c r="DA104" s="206">
        <f>SUMIFS(領用表!$L:$L,領用表!$E:$E,$B104,領用表!$B:$B,$CY$2&amp;DA$2)</f>
        <v>0</v>
      </c>
      <c r="DB104" s="206">
        <f>SUMIFS(領用表!$L:$L,領用表!$E:$E,$B104,領用表!$B:$B,$CY$2&amp;DB$2)</f>
        <v>9</v>
      </c>
      <c r="DC104" s="206">
        <f>SUMIFS(領用表!$L:$L,領用表!$E:$E,$B104,領用表!$B:$B,$CY$2&amp;DC$2)</f>
        <v>0</v>
      </c>
      <c r="DD104" s="206">
        <f>SUMIFS(領用表!$L:$L,領用表!$E:$E,$B104,領用表!$B:$B,$CY$2&amp;DD$2)</f>
        <v>1</v>
      </c>
      <c r="DE104" s="208">
        <f>SUMIFS(領用表!$L:$L,領用表!$A:$A,DE$2,領用表!$E:$E,B104)</f>
        <v>3</v>
      </c>
      <c r="DF104" s="206">
        <f>SUMIFS(領用表!$L:$L,領用表!$E:$E,$B104,領用表!$B:$B,DE$2&amp;DF$2)</f>
        <v>0</v>
      </c>
      <c r="DG104" s="206">
        <f>SUMIFS(領用表!$L:$L,領用表!$E:$E,$B104,領用表!$B:$B,$DE$2&amp;DG$2)</f>
        <v>0</v>
      </c>
      <c r="DH104" s="206">
        <f>SUMIFS(領用表!$L:$L,領用表!$E:$E,$B104,領用表!$B:$B,$DE$2&amp;DH$2)</f>
        <v>2</v>
      </c>
      <c r="DI104" s="206">
        <f>SUMIFS(領用表!$L:$L,領用表!$E:$E,$B104,領用表!$B:$B,$DE$2&amp;DI$2)</f>
        <v>0</v>
      </c>
      <c r="DJ104" s="206">
        <f>SUMIFS(領用表!$L:$L,領用表!$E:$E,$B104,領用表!$B:$B,$DE$2&amp;DJ$2)</f>
        <v>1</v>
      </c>
      <c r="DK104" s="208">
        <f>SUMIFS(領用表!$L:$L,領用表!$A:$A,DK$2,領用表!$E:$E,$B104)</f>
        <v>7</v>
      </c>
      <c r="DL104" s="206">
        <f>SUMIFS(領用表!$L:$L,領用表!$E:$E,$B104,領用表!$B:$B,DK$2&amp;DL$2)</f>
        <v>0</v>
      </c>
      <c r="DM104" s="206">
        <f>SUMIFS(領用表!$L:$L,領用表!$E:$E,$B104,領用表!$B:$B,$DK$2&amp;DM$2)</f>
        <v>0</v>
      </c>
      <c r="DN104" s="206">
        <f>SUMIFS(領用表!$L:$L,領用表!$E:$E,$B104,領用表!$B:$B,$DK$2&amp;DN$2)</f>
        <v>7</v>
      </c>
      <c r="DO104" s="206">
        <f>SUMIFS(領用表!$L:$L,領用表!$E:$E,$B104,領用表!$B:$B,$DK$2&amp;DO$2)</f>
        <v>0</v>
      </c>
      <c r="DP104" s="206">
        <f>SUMIFS(領用表!$L:$L,領用表!$E:$E,$B104,領用表!$B:$B,$DK$2&amp;DP$2)</f>
        <v>0</v>
      </c>
      <c r="DQ104" s="206">
        <f t="shared" si="28"/>
        <v>51</v>
      </c>
      <c r="DR104" s="206">
        <f t="shared" si="29"/>
        <v>10.199999999999999</v>
      </c>
      <c r="DS104" s="206">
        <f t="shared" si="27"/>
        <v>12</v>
      </c>
      <c r="DT104" s="206">
        <v>0</v>
      </c>
      <c r="DU104" s="206">
        <v>5</v>
      </c>
      <c r="DV104" s="206">
        <v>2</v>
      </c>
      <c r="DW104" s="206">
        <v>5</v>
      </c>
      <c r="DX104" s="258">
        <v>20</v>
      </c>
      <c r="DY104" s="283"/>
      <c r="DZ104" s="283"/>
      <c r="EA104" s="283"/>
      <c r="EB104" s="136"/>
      <c r="EC104" s="289"/>
      <c r="ED104" s="118">
        <f>IFERROR(VLOOKUP(A104,站前4樓!A:BF,57,0),0)</f>
        <v>4</v>
      </c>
      <c r="EE104" s="213">
        <f>IFERROR(VLOOKUP(A104,站前11樓!A:BE,57,0),0)</f>
        <v>0</v>
      </c>
      <c r="EF104" s="118">
        <f>IFERROR(VLOOKUP(A104,忠孝7樓!A:N,57,0),0)</f>
        <v>0</v>
      </c>
      <c r="EG104" s="118">
        <f>IFERROR(VLOOKUP(A104,忠孝國際醫學3樓!A:L,57,0),0)</f>
        <v>0</v>
      </c>
      <c r="EH104" s="118">
        <f t="shared" si="25"/>
        <v>4</v>
      </c>
    </row>
    <row r="105" spans="1:138" s="118" customFormat="1" ht="15.75" customHeight="1">
      <c r="A105" s="136" t="s">
        <v>651</v>
      </c>
      <c r="B105" s="118">
        <v>6200006</v>
      </c>
      <c r="C105" s="136" t="s">
        <v>508</v>
      </c>
      <c r="D105" s="285">
        <v>1</v>
      </c>
      <c r="E105" s="198" t="s">
        <v>15</v>
      </c>
      <c r="F105" s="225">
        <f>SUMIF(站前4樓!B:B,B105,站前4樓!F:F)</f>
        <v>4</v>
      </c>
      <c r="G105" s="225">
        <f>SUMIF(站前11樓!B:B,B105,站前11樓!F:F)</f>
        <v>0</v>
      </c>
      <c r="H105" s="225">
        <f>SUMIF(忠孝7樓!B:B,B105,忠孝7樓!G:G)</f>
        <v>2</v>
      </c>
      <c r="I105" s="225">
        <f>SUMIF(忠孝國際醫學3樓!B:B,B105,忠孝國際醫學3樓!G:G)</f>
        <v>0</v>
      </c>
      <c r="J105" s="225">
        <f>SUMIF(忠孝健康7樓!B:B,B105,忠孝健康7樓!G:G)</f>
        <v>0</v>
      </c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  <c r="AA105" s="283"/>
      <c r="AB105" s="283"/>
      <c r="AC105" s="283"/>
      <c r="AD105" s="283"/>
      <c r="AE105" s="283"/>
      <c r="AF105" s="283"/>
      <c r="AG105" s="283"/>
      <c r="AH105" s="283"/>
      <c r="AI105" s="283"/>
      <c r="AJ105" s="201"/>
      <c r="AK105" s="201"/>
      <c r="AL105" s="201"/>
      <c r="AM105" s="201"/>
      <c r="AN105" s="201"/>
      <c r="AO105" s="201"/>
      <c r="AP105" s="201"/>
      <c r="AQ105" s="201">
        <v>0</v>
      </c>
      <c r="AR105" s="201">
        <v>0</v>
      </c>
      <c r="AS105" s="201">
        <v>0</v>
      </c>
      <c r="AT105" s="201">
        <v>0</v>
      </c>
      <c r="AU105" s="201">
        <v>1</v>
      </c>
      <c r="AV105" s="283">
        <f t="shared" si="32"/>
        <v>1</v>
      </c>
      <c r="AW105" s="286">
        <f t="shared" si="33"/>
        <v>8.3333333333333329E-2</v>
      </c>
      <c r="AX105" s="201">
        <v>1</v>
      </c>
      <c r="AY105" s="201">
        <v>3</v>
      </c>
      <c r="AZ105" s="201">
        <v>6</v>
      </c>
      <c r="BA105" s="201">
        <v>10</v>
      </c>
      <c r="BB105" s="201">
        <v>1</v>
      </c>
      <c r="BC105" s="203">
        <f>SUMIFS(領用表!$L:$L,領用表!$A:$A,BC$2,領用表!$E:$E,B105)</f>
        <v>1</v>
      </c>
      <c r="BD105" s="296">
        <f>SUMIFS(領用表!$L:$L,領用表!$E:$E,$B105,領用表!$B:$B,BC$2&amp;BD$2)</f>
        <v>1</v>
      </c>
      <c r="BE105" s="296">
        <f>SUMIFS(領用表!$L:$L,領用表!$E:$E,$B105,領用表!$B:$B,$BC$2&amp;BE$2)</f>
        <v>0</v>
      </c>
      <c r="BF105" s="296">
        <f>SUMIFS(領用表!$L:$L,領用表!$E:$E,$B105,領用表!$B:$B,$BC$2&amp;BF$2)</f>
        <v>0</v>
      </c>
      <c r="BG105" s="206">
        <f>SUMIFS(領用表!$L:$L,領用表!$E:$E,$B105,領用表!$B:$B,$BC$2&amp;BG$2)</f>
        <v>0</v>
      </c>
      <c r="BH105" s="203">
        <f>SUMIFS(領用表!$L:$L,領用表!$A:$A,BH$2,領用表!$E:$E,B105)</f>
        <v>0</v>
      </c>
      <c r="BI105" s="260">
        <f>SUMIFS(領用表!$L:$L,領用表!$E:$E,$B105,領用表!$B:$B,BH$2&amp;BI$2)</f>
        <v>0</v>
      </c>
      <c r="BJ105" s="260">
        <f>SUMIFS(領用表!$L:$L,領用表!$E:$E,$B105,領用表!$B:$B,$BH$2&amp;BJ$2)</f>
        <v>0</v>
      </c>
      <c r="BK105" s="260">
        <f>SUMIFS(領用表!$L:$L,領用表!$E:$E,$B105,領用表!$B:$B,$BH$2&amp;BK$2)</f>
        <v>0</v>
      </c>
      <c r="BL105" s="260">
        <f>SUMIFS(領用表!$L:$L,領用表!$E:$E,$B105,領用表!$B:$B,$BH$2&amp;BL$2)</f>
        <v>0</v>
      </c>
      <c r="BM105" s="203">
        <f>SUMIFS(領用表!$L:$L,領用表!$A:$A,BM$2,領用表!$E:$E,B105)</f>
        <v>0</v>
      </c>
      <c r="BN105" s="206">
        <f>SUMIFS(領用表!$L:$L,領用表!$E:$E,$B105,領用表!$B:$B,BM$2&amp;BN$2)</f>
        <v>0</v>
      </c>
      <c r="BO105" s="206">
        <f>SUMIFS(領用表!$L:$L,領用表!$E:$E,$B105,領用表!$B:$B,$BM$2&amp;BO$2)</f>
        <v>0</v>
      </c>
      <c r="BP105" s="297">
        <f>SUMIFS(領用表!$L:$L,領用表!$E:$E,$B105,領用表!$B:$B,$BM$2&amp;BP$2)</f>
        <v>0</v>
      </c>
      <c r="BQ105" s="206">
        <f>SUMIFS(領用表!$L:$L,領用表!$E:$E,$B105,領用表!$B:$B,$BM$2&amp;BQ$2)</f>
        <v>0</v>
      </c>
      <c r="BR105" s="203">
        <f>SUMIFS(領用表!$L:$L,領用表!$A:$A,BR$2,領用表!$E:$E,B105)</f>
        <v>1</v>
      </c>
      <c r="BS105" s="297">
        <f>SUMIFS(領用表!$L:$L,領用表!$E:$E,$B105,領用表!$B:$B,BR$2&amp;BS$2)</f>
        <v>1</v>
      </c>
      <c r="BT105" s="297">
        <f>SUMIFS(領用表!$L:$L,領用表!$E:$E,$B105,領用表!$B:$B,$BR$2&amp;BT$2)</f>
        <v>0</v>
      </c>
      <c r="BU105" s="297">
        <f>SUMIFS(領用表!$L:$L,領用表!$E:$E,$B105,領用表!$B:$B,$BR$2&amp;BU$2)</f>
        <v>0</v>
      </c>
      <c r="BV105" s="206">
        <f>SUMIFS(領用表!$L:$L,領用表!$E:$E,$B105,領用表!$B:$B,$BR$2&amp;BV$2)</f>
        <v>0</v>
      </c>
      <c r="BW105" s="208">
        <f>SUMIFS(領用表!$L:$L,領用表!$A:$A,BW$2,領用表!$E:$E,B105)</f>
        <v>1</v>
      </c>
      <c r="BX105" s="206">
        <f>SUMIFS(領用表!$L:$L,領用表!$E:$E,$B105,領用表!$B:$B,BW$2&amp;BX$2)</f>
        <v>1</v>
      </c>
      <c r="BY105" s="206">
        <f>SUMIFS(領用表!$L:$L,領用表!$E:$E,$B105,領用表!$B:$B,$BW$2&amp;BY$2)</f>
        <v>0</v>
      </c>
      <c r="BZ105" s="206">
        <f>SUMIFS(領用表!$L:$L,領用表!$E:$E,$B105,領用表!$B:$B,$BW$2&amp;BZ$2)</f>
        <v>0</v>
      </c>
      <c r="CA105" s="206">
        <f>SUMIFS(領用表!$L:$L,領用表!$E:$E,$B105,領用表!$B:$B,$BW$2&amp;CA$2)</f>
        <v>0</v>
      </c>
      <c r="CB105" s="208">
        <f>SUMIFS(領用表!$L:$L,領用表!$A:$A,CB$2,領用表!$E:$E,B105)</f>
        <v>3</v>
      </c>
      <c r="CC105" s="206">
        <f>SUMIFS(領用表!$L:$L,領用表!$E:$E,$B105,領用表!$B:$B,CB$2&amp;CC$2)</f>
        <v>3</v>
      </c>
      <c r="CD105" s="206">
        <f>SUMIFS(領用表!$L:$L,領用表!$E:$E,$B105,領用表!$B:$B,$CB$2&amp;CD$2)</f>
        <v>0</v>
      </c>
      <c r="CE105" s="206">
        <f>SUMIFS(領用表!$L:$L,領用表!$E:$E,$B105,領用表!$B:$B,$CB$2&amp;CE$2)</f>
        <v>0</v>
      </c>
      <c r="CF105" s="206">
        <f>SUMIFS(領用表!$L:$L,領用表!$E:$E,$B105,領用表!$B:$B,$CB$2&amp;CF$2)</f>
        <v>0</v>
      </c>
      <c r="CG105" s="208">
        <f>SUMIFS(領用表!$L:$L,領用表!$A:$A,CG$2,領用表!$E:$E,B105)</f>
        <v>0</v>
      </c>
      <c r="CH105" s="206">
        <f>SUMIFS(領用表!$L:$L,領用表!$E:$E,$B105,領用表!$B:$B,CG$2&amp;CH$2)</f>
        <v>0</v>
      </c>
      <c r="CI105" s="206">
        <f>SUMIFS(領用表!$L:$L,領用表!$E:$E,$B105,領用表!$B:$B,CG$2&amp;CI$2)</f>
        <v>0</v>
      </c>
      <c r="CJ105" s="206">
        <f>SUMIFS(領用表!$L:$L,領用表!$E:$E,$B105,領用表!$B:$B,CG$2&amp;CJ$2)</f>
        <v>0</v>
      </c>
      <c r="CK105" s="206">
        <f>SUMIFS(領用表!$L:$L,領用表!$E:$E,$B105,領用表!$B:$B,$CG$2&amp;CK$2)</f>
        <v>0</v>
      </c>
      <c r="CL105" s="207">
        <f t="shared" si="22"/>
        <v>27</v>
      </c>
      <c r="CM105" s="207">
        <f t="shared" si="23"/>
        <v>2.25</v>
      </c>
      <c r="CN105" s="208">
        <f>SUMIFS(領用表!$L:$L,領用表!$A:$A,CN$2,領用表!$E:$E,B105)</f>
        <v>0</v>
      </c>
      <c r="CO105" s="206">
        <f>SUMIFS(領用表!$L:$L,領用表!$E:$E,$B105,領用表!$B:$B,CN$2&amp;CO$2)</f>
        <v>0</v>
      </c>
      <c r="CP105" s="206">
        <f>SUMIFS(領用表!$L:$L,領用表!$E:$E,$B105,領用表!$B:$B,$CN$2&amp;CP$2)</f>
        <v>0</v>
      </c>
      <c r="CQ105" s="206">
        <f>SUMIFS(領用表!$L:$L,領用表!$E:$E,$B105,領用表!$B:$B,$CN$2&amp;CQ$2)</f>
        <v>0</v>
      </c>
      <c r="CR105" s="206">
        <f>SUMIFS(領用表!$L:$L,領用表!$E:$E,$B105,領用表!$B:$B,$CN$2&amp;CR$2)</f>
        <v>0</v>
      </c>
      <c r="CS105" s="208">
        <f>SUMIFS(領用表!$L:$L,領用表!$A:$A,CS$2,領用表!$E:$E,B105)</f>
        <v>2</v>
      </c>
      <c r="CT105" s="206">
        <f>SUMIFS(領用表!$L:$L,領用表!$E:$E,$B105,領用表!$B:$B,CS$2&amp;CT$2)</f>
        <v>2</v>
      </c>
      <c r="CU105" s="206">
        <f>SUMIFS(領用表!$L:$L,領用表!$E:$E,$B105,領用表!$B:$B,$CS$2&amp;CU$2)</f>
        <v>0</v>
      </c>
      <c r="CV105" s="206">
        <f>SUMIFS(領用表!$L:$L,領用表!$E:$E,$B105,領用表!$B:$B,$CS$2&amp;CV$2)</f>
        <v>0</v>
      </c>
      <c r="CW105" s="206">
        <f>SUMIFS(領用表!$L:$L,領用表!$E:$E,$B105,領用表!$B:$B,$CS$2&amp;CW$2)</f>
        <v>0</v>
      </c>
      <c r="CX105" s="206">
        <f>SUMIFS(領用表!$L:$L,領用表!$E:$E,$B105,領用表!$B:$B,$CS$2&amp;CX$2)</f>
        <v>0</v>
      </c>
      <c r="CY105" s="208">
        <f>SUMIFS(領用表!$L:$L,領用表!$A:$A,CY$2,領用表!$E:$E,B105)</f>
        <v>0</v>
      </c>
      <c r="CZ105" s="206">
        <f>SUMIFS(領用表!$L:$L,領用表!$E:$E,$B105,領用表!$B:$B,CY$2&amp;CZ$2)</f>
        <v>0</v>
      </c>
      <c r="DA105" s="206">
        <f>SUMIFS(領用表!$L:$L,領用表!$E:$E,$B105,領用表!$B:$B,$CY$2&amp;DA$2)</f>
        <v>0</v>
      </c>
      <c r="DB105" s="206">
        <f>SUMIFS(領用表!$L:$L,領用表!$E:$E,$B105,領用表!$B:$B,$CY$2&amp;DB$2)</f>
        <v>0</v>
      </c>
      <c r="DC105" s="206">
        <f>SUMIFS(領用表!$L:$L,領用表!$E:$E,$B105,領用表!$B:$B,$CY$2&amp;DC$2)</f>
        <v>0</v>
      </c>
      <c r="DD105" s="206">
        <f>SUMIFS(領用表!$L:$L,領用表!$E:$E,$B105,領用表!$B:$B,$CY$2&amp;DD$2)</f>
        <v>0</v>
      </c>
      <c r="DE105" s="208">
        <f>SUMIFS(領用表!$L:$L,領用表!$A:$A,DE$2,領用表!$E:$E,B105)</f>
        <v>9</v>
      </c>
      <c r="DF105" s="206">
        <f>SUMIFS(領用表!$L:$L,領用表!$E:$E,$B105,領用表!$B:$B,DE$2&amp;DF$2)</f>
        <v>7</v>
      </c>
      <c r="DG105" s="206">
        <f>SUMIFS(領用表!$L:$L,領用表!$E:$E,$B105,領用表!$B:$B,$DE$2&amp;DG$2)</f>
        <v>0</v>
      </c>
      <c r="DH105" s="206">
        <f>SUMIFS(領用表!$L:$L,領用表!$E:$E,$B105,領用表!$B:$B,$DE$2&amp;DH$2)</f>
        <v>2</v>
      </c>
      <c r="DI105" s="206">
        <f>SUMIFS(領用表!$L:$L,領用表!$E:$E,$B105,領用表!$B:$B,$DE$2&amp;DI$2)</f>
        <v>0</v>
      </c>
      <c r="DJ105" s="206">
        <f>SUMIFS(領用表!$L:$L,領用表!$E:$E,$B105,領用表!$B:$B,$DE$2&amp;DJ$2)</f>
        <v>0</v>
      </c>
      <c r="DK105" s="208">
        <f>SUMIFS(領用表!$L:$L,領用表!$A:$A,DK$2,領用表!$E:$E,$B105)</f>
        <v>11</v>
      </c>
      <c r="DL105" s="206">
        <f>SUMIFS(領用表!$L:$L,領用表!$E:$E,$B105,領用表!$B:$B,DK$2&amp;DL$2)</f>
        <v>4</v>
      </c>
      <c r="DM105" s="206">
        <f>SUMIFS(領用表!$L:$L,領用表!$E:$E,$B105,領用表!$B:$B,$DK$2&amp;DM$2)</f>
        <v>0</v>
      </c>
      <c r="DN105" s="206">
        <f>SUMIFS(領用表!$L:$L,領用表!$E:$E,$B105,領用表!$B:$B,$DK$2&amp;DN$2)</f>
        <v>6</v>
      </c>
      <c r="DO105" s="206">
        <f>SUMIFS(領用表!$L:$L,領用表!$E:$E,$B105,領用表!$B:$B,$DK$2&amp;DO$2)</f>
        <v>0</v>
      </c>
      <c r="DP105" s="206">
        <f>SUMIFS(領用表!$L:$L,領用表!$E:$E,$B105,領用表!$B:$B,$DK$2&amp;DP$2)</f>
        <v>1</v>
      </c>
      <c r="DQ105" s="206">
        <f t="shared" si="28"/>
        <v>22</v>
      </c>
      <c r="DR105" s="206">
        <f t="shared" si="29"/>
        <v>4.4000000000000004</v>
      </c>
      <c r="DS105" s="206">
        <f t="shared" si="27"/>
        <v>5</v>
      </c>
      <c r="DT105" s="206">
        <v>3</v>
      </c>
      <c r="DU105" s="206">
        <v>0</v>
      </c>
      <c r="DV105" s="206">
        <v>2</v>
      </c>
      <c r="DW105" s="206">
        <v>0</v>
      </c>
      <c r="DX105" s="258">
        <v>20</v>
      </c>
      <c r="DY105" s="283"/>
      <c r="DZ105" s="283"/>
      <c r="EA105" s="283"/>
      <c r="EB105" s="136"/>
      <c r="EC105" s="136"/>
      <c r="ED105" s="118">
        <f>IFERROR(VLOOKUP(A105,站前4樓!A:BF,57,0),0)</f>
        <v>3</v>
      </c>
      <c r="EE105" s="213">
        <f>IFERROR(VLOOKUP(A105,站前11樓!A:BE,57,0),0)</f>
        <v>0</v>
      </c>
      <c r="EF105" s="118">
        <f>IFERROR(VLOOKUP(A105,忠孝7樓!A:N,57,0),0)</f>
        <v>0</v>
      </c>
      <c r="EG105" s="118">
        <f>IFERROR(VLOOKUP(A105,忠孝國際醫學3樓!A:L,57,0),0)</f>
        <v>0</v>
      </c>
      <c r="EH105" s="118">
        <f t="shared" si="25"/>
        <v>3</v>
      </c>
    </row>
    <row r="106" spans="1:138" s="118" customFormat="1" ht="15.75" customHeight="1" thickBot="1">
      <c r="A106" s="304" t="s">
        <v>665</v>
      </c>
      <c r="B106" s="305">
        <v>6120021</v>
      </c>
      <c r="C106" s="136" t="s">
        <v>836</v>
      </c>
      <c r="D106" s="285">
        <v>50</v>
      </c>
      <c r="E106" s="198" t="s">
        <v>15</v>
      </c>
      <c r="F106" s="225">
        <f>SUMIF(站前4樓!B:B,B106,站前4樓!F:F)</f>
        <v>37</v>
      </c>
      <c r="G106" s="225">
        <f>SUMIF(站前11樓!B:B,B106,站前11樓!F:F)</f>
        <v>3</v>
      </c>
      <c r="H106" s="225">
        <f>SUMIF(忠孝7樓!B:B,B106,忠孝7樓!G:G)</f>
        <v>0</v>
      </c>
      <c r="I106" s="225">
        <f>SUMIF(忠孝國際醫學3樓!B:B,B106,忠孝國際醫學3樓!G:G)</f>
        <v>45</v>
      </c>
      <c r="J106" s="225">
        <f>SUMIF(忠孝健康7樓!B:B,B106,忠孝健康7樓!G:G)</f>
        <v>104</v>
      </c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283"/>
      <c r="AD106" s="283"/>
      <c r="AE106" s="283"/>
      <c r="AF106" s="283"/>
      <c r="AG106" s="283"/>
      <c r="AH106" s="283"/>
      <c r="AI106" s="283"/>
      <c r="AJ106" s="201"/>
      <c r="AK106" s="201"/>
      <c r="AL106" s="201"/>
      <c r="AM106" s="201"/>
      <c r="AN106" s="201"/>
      <c r="AO106" s="201"/>
      <c r="AP106" s="201"/>
      <c r="AQ106" s="201">
        <v>0</v>
      </c>
      <c r="AR106" s="201">
        <v>0</v>
      </c>
      <c r="AS106" s="201">
        <v>0</v>
      </c>
      <c r="AT106" s="201">
        <v>0</v>
      </c>
      <c r="AU106" s="201">
        <v>0</v>
      </c>
      <c r="AV106" s="283">
        <f t="shared" si="32"/>
        <v>0</v>
      </c>
      <c r="AW106" s="286">
        <f t="shared" si="33"/>
        <v>0</v>
      </c>
      <c r="AX106" s="201">
        <v>0</v>
      </c>
      <c r="AY106" s="201">
        <v>0</v>
      </c>
      <c r="AZ106" s="201">
        <v>14</v>
      </c>
      <c r="BA106" s="201">
        <v>35</v>
      </c>
      <c r="BB106" s="201">
        <f>10+68</f>
        <v>78</v>
      </c>
      <c r="BC106" s="203">
        <f>SUMIFS(領用表!$L:$L,領用表!$A:$A,BC$2,領用表!$E:$E,B106)</f>
        <v>41</v>
      </c>
      <c r="BD106" s="287">
        <f>SUMIFS(領用表!$L:$L,領用表!$E:$E,$B106,領用表!$B:$B,BC$2&amp;BD$2)</f>
        <v>40</v>
      </c>
      <c r="BE106" s="287">
        <f>SUMIFS(領用表!$L:$L,領用表!$E:$E,$B106,領用表!$B:$B,$BC$2&amp;BE$2)</f>
        <v>1</v>
      </c>
      <c r="BF106" s="287">
        <f>SUMIFS(領用表!$L:$L,領用表!$E:$E,$B106,領用表!$B:$B,$BC$2&amp;BF$2)</f>
        <v>0</v>
      </c>
      <c r="BG106" s="206">
        <f>SUMIFS(領用表!$L:$L,領用表!$E:$E,$B106,領用表!$B:$B,$BC$2&amp;BG$2)</f>
        <v>0</v>
      </c>
      <c r="BH106" s="203">
        <f>SUMIFS(領用表!$L:$L,領用表!$A:$A,BH$2,領用表!$E:$E,B106)</f>
        <v>212</v>
      </c>
      <c r="BI106" s="260">
        <f>SUMIFS(領用表!$L:$L,領用表!$E:$E,$B106,領用表!$B:$B,BH$2&amp;BI$2)</f>
        <v>85</v>
      </c>
      <c r="BJ106" s="260">
        <f>SUMIFS(領用表!$L:$L,領用表!$E:$E,$B106,領用表!$B:$B,$BH$2&amp;BJ$2)</f>
        <v>5</v>
      </c>
      <c r="BK106" s="260">
        <f>SUMIFS(領用表!$L:$L,領用表!$E:$E,$B106,領用表!$B:$B,$BH$2&amp;BK$2)</f>
        <v>89</v>
      </c>
      <c r="BL106" s="260">
        <f>SUMIFS(領用表!$L:$L,領用表!$E:$E,$B106,領用表!$B:$B,$BH$2&amp;BL$2)</f>
        <v>33</v>
      </c>
      <c r="BM106" s="203">
        <f>SUMIFS(領用表!$L:$L,領用表!$A:$A,BM$2,領用表!$E:$E,B106)</f>
        <v>416</v>
      </c>
      <c r="BN106" s="206">
        <f>SUMIFS(領用表!$L:$L,領用表!$E:$E,$B106,領用表!$B:$B,BM$2&amp;BN$2)</f>
        <v>169</v>
      </c>
      <c r="BO106" s="206">
        <f>SUMIFS(領用表!$L:$L,領用表!$E:$E,$B106,領用表!$B:$B,$BM$2&amp;BO$2)</f>
        <v>2</v>
      </c>
      <c r="BP106" s="288">
        <f>SUMIFS(領用表!$L:$L,領用表!$E:$E,$B106,領用表!$B:$B,$BM$2&amp;BP$2)</f>
        <v>235</v>
      </c>
      <c r="BQ106" s="287">
        <f>SUMIFS(領用表!$L:$L,領用表!$E:$E,$B106,領用表!$B:$B,$BM$2&amp;BQ$2)</f>
        <v>10</v>
      </c>
      <c r="BR106" s="203">
        <f>SUMIFS(領用表!$L:$L,領用表!$A:$A,BR$2,領用表!$E:$E,B106)</f>
        <v>590</v>
      </c>
      <c r="BS106" s="288">
        <f>SUMIFS(領用表!$L:$L,領用表!$E:$E,$B106,領用表!$B:$B,BR$2&amp;BS$2)</f>
        <v>205</v>
      </c>
      <c r="BT106" s="288">
        <f>SUMIFS(領用表!$L:$L,領用表!$E:$E,$B106,領用表!$B:$B,$BR$2&amp;BT$2)</f>
        <v>2</v>
      </c>
      <c r="BU106" s="288">
        <f>SUMIFS(領用表!$L:$L,領用表!$E:$E,$B106,領用表!$B:$B,$BR$2&amp;BU$2)</f>
        <v>375</v>
      </c>
      <c r="BV106" s="287">
        <f>SUMIFS(領用表!$L:$L,領用表!$E:$E,$B106,領用表!$B:$B,$BR$2&amp;BV$2)</f>
        <v>8</v>
      </c>
      <c r="BW106" s="208">
        <f>SUMIFS(領用表!$L:$L,領用表!$A:$A,BW$2,領用表!$E:$E,B106)</f>
        <v>647</v>
      </c>
      <c r="BX106" s="206">
        <f>SUMIFS(領用表!$L:$L,領用表!$E:$E,$B106,領用表!$B:$B,BW$2&amp;BX$2)</f>
        <v>209</v>
      </c>
      <c r="BY106" s="206">
        <f>SUMIFS(領用表!$L:$L,領用表!$E:$E,$B106,領用表!$B:$B,$BW$2&amp;BY$2)</f>
        <v>19</v>
      </c>
      <c r="BZ106" s="206">
        <f>SUMIFS(領用表!$L:$L,領用表!$E:$E,$B106,領用表!$B:$B,$BW$2&amp;BZ$2)</f>
        <v>405</v>
      </c>
      <c r="CA106" s="206">
        <f>SUMIFS(領用表!$L:$L,領用表!$E:$E,$B106,領用表!$B:$B,$BW$2&amp;CA$2)</f>
        <v>14</v>
      </c>
      <c r="CB106" s="208">
        <f>SUMIFS(領用表!$L:$L,領用表!$A:$A,CB$2,領用表!$E:$E,B106)</f>
        <v>747</v>
      </c>
      <c r="CC106" s="206">
        <f>SUMIFS(領用表!$L:$L,領用表!$E:$E,$B106,領用表!$B:$B,CB$2&amp;CC$2)</f>
        <v>259</v>
      </c>
      <c r="CD106" s="206">
        <f>SUMIFS(領用表!$L:$L,領用表!$E:$E,$B106,領用表!$B:$B,$CB$2&amp;CD$2)</f>
        <v>31</v>
      </c>
      <c r="CE106" s="206">
        <f>SUMIFS(領用表!$L:$L,領用表!$E:$E,$B106,領用表!$B:$B,$CB$2&amp;CE$2)</f>
        <v>444</v>
      </c>
      <c r="CF106" s="206">
        <f>SUMIFS(領用表!$L:$L,領用表!$E:$E,$B106,領用表!$B:$B,$CB$2&amp;CF$2)</f>
        <v>13</v>
      </c>
      <c r="CG106" s="208">
        <f>SUMIFS(領用表!$L:$L,領用表!$A:$A,CG$2,領用表!$E:$E,B106)</f>
        <v>615</v>
      </c>
      <c r="CH106" s="206">
        <f>SUMIFS(領用表!$L:$L,領用表!$E:$E,$B106,領用表!$B:$B,CG$2&amp;CH$2)</f>
        <v>237</v>
      </c>
      <c r="CI106" s="206">
        <f>SUMIFS(領用表!$L:$L,領用表!$E:$E,$B106,領用表!$B:$B,CG$2&amp;CI$2)</f>
        <v>26</v>
      </c>
      <c r="CJ106" s="206">
        <f>SUMIFS(領用表!$L:$L,領用表!$E:$E,$B106,領用表!$B:$B,CG$2&amp;CJ$2)</f>
        <v>340</v>
      </c>
      <c r="CK106" s="206">
        <f>SUMIFS(領用表!$L:$L,領用表!$E:$E,$B106,領用表!$B:$B,$CG$2&amp;CK$2)</f>
        <v>12</v>
      </c>
      <c r="CL106" s="207">
        <f t="shared" si="22"/>
        <v>3395</v>
      </c>
      <c r="CM106" s="207">
        <f t="shared" si="23"/>
        <v>282.91666666666669</v>
      </c>
      <c r="CN106" s="208">
        <f>SUMIFS(領用表!$L:$L,領用表!$A:$A,CN$2,領用表!$E:$E,B106)</f>
        <v>580</v>
      </c>
      <c r="CO106" s="206">
        <f>SUMIFS(領用表!$L:$L,領用表!$E:$E,$B106,領用表!$B:$B,CN$2&amp;CO$2)</f>
        <v>226</v>
      </c>
      <c r="CP106" s="206">
        <f>SUMIFS(領用表!$L:$L,領用表!$E:$E,$B106,領用表!$B:$B,$CN$2&amp;CP$2)</f>
        <v>29</v>
      </c>
      <c r="CQ106" s="206">
        <f>SUMIFS(領用表!$L:$L,領用表!$E:$E,$B106,領用表!$B:$B,$CN$2&amp;CQ$2)</f>
        <v>313</v>
      </c>
      <c r="CR106" s="206">
        <f>SUMIFS(領用表!$L:$L,領用表!$E:$E,$B106,領用表!$B:$B,$CN$2&amp;CR$2)</f>
        <v>12</v>
      </c>
      <c r="CS106" s="208">
        <f>SUMIFS(領用表!$L:$L,領用表!$A:$A,CS$2,領用表!$E:$E,B106)</f>
        <v>419</v>
      </c>
      <c r="CT106" s="206">
        <f>SUMIFS(領用表!$L:$L,領用表!$E:$E,$B106,領用表!$B:$B,CS$2&amp;CT$2)</f>
        <v>152</v>
      </c>
      <c r="CU106" s="206">
        <f>SUMIFS(領用表!$L:$L,領用表!$E:$E,$B106,領用表!$B:$B,$CS$2&amp;CU$2)</f>
        <v>22</v>
      </c>
      <c r="CV106" s="206">
        <f>SUMIFS(領用表!$L:$L,領用表!$E:$E,$B106,領用表!$B:$B,$CS$2&amp;CV$2)</f>
        <v>220</v>
      </c>
      <c r="CW106" s="206">
        <f>SUMIFS(領用表!$L:$L,領用表!$E:$E,$B106,領用表!$B:$B,$CS$2&amp;CW$2)</f>
        <v>16</v>
      </c>
      <c r="CX106" s="206">
        <f>SUMIFS(領用表!$L:$L,領用表!$E:$E,$B106,領用表!$B:$B,$CS$2&amp;CX$2)</f>
        <v>9</v>
      </c>
      <c r="CY106" s="208">
        <f>SUMIFS(領用表!$L:$L,領用表!$A:$A,CY$2,領用表!$E:$E,B106)</f>
        <v>496</v>
      </c>
      <c r="CZ106" s="206">
        <f>SUMIFS(領用表!$L:$L,領用表!$E:$E,$B106,領用表!$B:$B,CY$2&amp;CZ$2)</f>
        <v>185</v>
      </c>
      <c r="DA106" s="206">
        <f>SUMIFS(領用表!$L:$L,領用表!$E:$E,$B106,領用表!$B:$B,$CY$2&amp;DA$2)</f>
        <v>25</v>
      </c>
      <c r="DB106" s="206">
        <f>SUMIFS(領用表!$L:$L,領用表!$E:$E,$B106,領用表!$B:$B,$CY$2&amp;DB$2)</f>
        <v>212</v>
      </c>
      <c r="DC106" s="206">
        <f>SUMIFS(領用表!$L:$L,領用表!$E:$E,$B106,領用表!$B:$B,$CY$2&amp;DC$2)</f>
        <v>17</v>
      </c>
      <c r="DD106" s="206">
        <f>SUMIFS(領用表!$L:$L,領用表!$E:$E,$B106,領用表!$B:$B,$CY$2&amp;DD$2)</f>
        <v>57</v>
      </c>
      <c r="DE106" s="208">
        <f>SUMIFS(領用表!$L:$L,領用表!$A:$A,DE$2,領用表!$E:$E,B106)</f>
        <v>468</v>
      </c>
      <c r="DF106" s="206">
        <f>SUMIFS(領用表!$L:$L,領用表!$E:$E,$B106,領用表!$B:$B,DE$2&amp;DF$2)</f>
        <v>168</v>
      </c>
      <c r="DG106" s="206">
        <f>SUMIFS(領用表!$L:$L,領用表!$E:$E,$B106,領用表!$B:$B,$DE$2&amp;DG$2)</f>
        <v>27</v>
      </c>
      <c r="DH106" s="206">
        <f>SUMIFS(領用表!$L:$L,領用表!$E:$E,$B106,領用表!$B:$B,$DE$2&amp;DH$2)</f>
        <v>180</v>
      </c>
      <c r="DI106" s="206">
        <f>SUMIFS(領用表!$L:$L,領用表!$E:$E,$B106,領用表!$B:$B,$DE$2&amp;DI$2)</f>
        <v>21</v>
      </c>
      <c r="DJ106" s="206">
        <f>SUMIFS(領用表!$L:$L,領用表!$E:$E,$B106,領用表!$B:$B,$DE$2&amp;DJ$2)</f>
        <v>72</v>
      </c>
      <c r="DK106" s="208">
        <f>SUMIFS(領用表!$L:$L,領用表!$A:$A,DK$2,領用表!$E:$E,$B106)</f>
        <v>496</v>
      </c>
      <c r="DL106" s="206">
        <f>SUMIFS(領用表!$L:$L,領用表!$E:$E,$B106,領用表!$B:$B,DK$2&amp;DL$2)</f>
        <v>181</v>
      </c>
      <c r="DM106" s="206">
        <f>SUMIFS(領用表!$L:$L,領用表!$E:$E,$B106,領用表!$B:$B,$DK$2&amp;DM$2)</f>
        <v>29</v>
      </c>
      <c r="DN106" s="206">
        <f>SUMIFS(領用表!$L:$L,領用表!$E:$E,$B106,領用表!$B:$B,$DK$2&amp;DN$2)</f>
        <v>188</v>
      </c>
      <c r="DO106" s="206">
        <f>SUMIFS(領用表!$L:$L,領用表!$E:$E,$B106,領用表!$B:$B,$DK$2&amp;DO$2)</f>
        <v>18</v>
      </c>
      <c r="DP106" s="206">
        <f>SUMIFS(領用表!$L:$L,領用表!$E:$E,$B106,領用表!$B:$B,$DK$2&amp;DP$2)</f>
        <v>80</v>
      </c>
      <c r="DQ106" s="206">
        <f t="shared" si="28"/>
        <v>2459</v>
      </c>
      <c r="DR106" s="206">
        <f t="shared" si="29"/>
        <v>491.8</v>
      </c>
      <c r="DS106" s="206">
        <f t="shared" si="27"/>
        <v>0</v>
      </c>
      <c r="DT106" s="206">
        <v>0</v>
      </c>
      <c r="DU106" s="206">
        <v>0</v>
      </c>
      <c r="DV106" s="206">
        <v>0</v>
      </c>
      <c r="DW106" s="206">
        <v>0</v>
      </c>
      <c r="DX106" s="258">
        <v>20</v>
      </c>
      <c r="DY106" s="283"/>
      <c r="DZ106" s="252" t="s">
        <v>158</v>
      </c>
      <c r="EA106" s="283"/>
      <c r="EB106" s="136"/>
      <c r="EC106" s="289"/>
      <c r="ED106" s="118">
        <f>IFERROR(VLOOKUP(A106,站前4樓!A:BF,57,0),0)</f>
        <v>0</v>
      </c>
      <c r="EE106" s="213">
        <f>IFERROR(VLOOKUP(A106,站前11樓!A:BE,57,0),0)</f>
        <v>0</v>
      </c>
      <c r="EF106" s="118">
        <f>IFERROR(VLOOKUP(A106,忠孝7樓!A:N,57,0),0)</f>
        <v>0</v>
      </c>
      <c r="EG106" s="118">
        <f>IFERROR(VLOOKUP(A106,忠孝國際醫學3樓!A:L,57,0),0)</f>
        <v>0</v>
      </c>
      <c r="EH106" s="118">
        <f t="shared" si="25"/>
        <v>0</v>
      </c>
    </row>
    <row r="107" spans="1:138" s="118" customFormat="1" ht="15.75" customHeight="1" thickBot="1">
      <c r="A107" s="306" t="s">
        <v>664</v>
      </c>
      <c r="B107" s="118">
        <v>6120020</v>
      </c>
      <c r="C107" s="135" t="s">
        <v>513</v>
      </c>
      <c r="D107" s="285">
        <v>100</v>
      </c>
      <c r="E107" s="198" t="s">
        <v>15</v>
      </c>
      <c r="F107" s="225">
        <f>SUMIF(站前4樓!B:B,B107,站前4樓!F:F)</f>
        <v>38</v>
      </c>
      <c r="G107" s="225">
        <f>SUMIF(站前11樓!B:B,B107,站前11樓!F:F)</f>
        <v>0</v>
      </c>
      <c r="H107" s="225">
        <f>SUMIF(忠孝7樓!B:B,B107,忠孝7樓!G:G)</f>
        <v>291</v>
      </c>
      <c r="I107" s="225">
        <f>SUMIF(忠孝國際醫學3樓!B:B,B107,忠孝國際醫學3樓!G:G)</f>
        <v>0</v>
      </c>
      <c r="J107" s="225">
        <f>SUMIF(忠孝健康7樓!B:B,B107,忠孝健康7樓!G:G)</f>
        <v>233</v>
      </c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83"/>
      <c r="AB107" s="283"/>
      <c r="AC107" s="283"/>
      <c r="AD107" s="283"/>
      <c r="AE107" s="283"/>
      <c r="AF107" s="283"/>
      <c r="AG107" s="283"/>
      <c r="AH107" s="283"/>
      <c r="AI107" s="283"/>
      <c r="AJ107" s="201"/>
      <c r="AK107" s="201"/>
      <c r="AL107" s="201"/>
      <c r="AM107" s="201"/>
      <c r="AN107" s="201"/>
      <c r="AO107" s="201"/>
      <c r="AP107" s="201"/>
      <c r="AQ107" s="201"/>
      <c r="AR107" s="201"/>
      <c r="AS107" s="201"/>
      <c r="AT107" s="201"/>
      <c r="AU107" s="201"/>
      <c r="AV107" s="283">
        <f t="shared" si="32"/>
        <v>0</v>
      </c>
      <c r="AW107" s="286">
        <f t="shared" si="33"/>
        <v>0</v>
      </c>
      <c r="AX107" s="201">
        <v>0</v>
      </c>
      <c r="AY107" s="201">
        <v>0</v>
      </c>
      <c r="AZ107" s="201">
        <v>81</v>
      </c>
      <c r="BA107" s="201">
        <v>17</v>
      </c>
      <c r="BB107" s="201">
        <v>11</v>
      </c>
      <c r="BC107" s="203">
        <f>SUMIFS(領用表!$L:$L,領用表!$A:$A,BC$2,領用表!$E:$E,B107)</f>
        <v>33</v>
      </c>
      <c r="BD107" s="287">
        <f>SUMIFS(領用表!$L:$L,領用表!$E:$E,$B107,領用表!$B:$B,BC$2&amp;BD$2)</f>
        <v>33</v>
      </c>
      <c r="BE107" s="287">
        <f>SUMIFS(領用表!$L:$L,領用表!$E:$E,$B107,領用表!$B:$B,$BC$2&amp;BE$2)</f>
        <v>0</v>
      </c>
      <c r="BF107" s="287">
        <f>SUMIFS(領用表!$L:$L,領用表!$E:$E,$B107,領用表!$B:$B,$BC$2&amp;BF$2)</f>
        <v>0</v>
      </c>
      <c r="BG107" s="206">
        <f>SUMIFS(領用表!$L:$L,領用表!$E:$E,$B107,領用表!$B:$B,$BC$2&amp;BG$2)</f>
        <v>0</v>
      </c>
      <c r="BH107" s="203">
        <f>SUMIFS(領用表!$L:$L,領用表!$A:$A,BH$2,領用表!$E:$E,B107)</f>
        <v>82</v>
      </c>
      <c r="BI107" s="260">
        <f>SUMIFS(領用表!$L:$L,領用表!$E:$E,$B107,領用表!$B:$B,BH$2&amp;BI$2)</f>
        <v>52</v>
      </c>
      <c r="BJ107" s="260">
        <f>SUMIFS(領用表!$L:$L,領用表!$E:$E,$B107,領用表!$B:$B,$BH$2&amp;BJ$2)</f>
        <v>0</v>
      </c>
      <c r="BK107" s="260">
        <f>SUMIFS(領用表!$L:$L,領用表!$E:$E,$B107,領用表!$B:$B,$BH$2&amp;BK$2)</f>
        <v>30</v>
      </c>
      <c r="BL107" s="260">
        <f>SUMIFS(領用表!$L:$L,領用表!$E:$E,$B107,領用表!$B:$B,$BH$2&amp;BL$2)</f>
        <v>0</v>
      </c>
      <c r="BM107" s="203">
        <f>SUMIFS(領用表!$L:$L,領用表!$A:$A,BM$2,領用表!$E:$E,B107)</f>
        <v>151</v>
      </c>
      <c r="BN107" s="206">
        <f>SUMIFS(領用表!$L:$L,領用表!$E:$E,$B107,領用表!$B:$B,BM$2&amp;BN$2)</f>
        <v>67</v>
      </c>
      <c r="BO107" s="206">
        <f>SUMIFS(領用表!$L:$L,領用表!$E:$E,$B107,領用表!$B:$B,$BM$2&amp;BO$2)</f>
        <v>0</v>
      </c>
      <c r="BP107" s="288">
        <f>SUMIFS(領用表!$L:$L,領用表!$E:$E,$B107,領用表!$B:$B,$BM$2&amp;BP$2)</f>
        <v>84</v>
      </c>
      <c r="BQ107" s="287">
        <f>SUMIFS(領用表!$L:$L,領用表!$E:$E,$B107,領用表!$B:$B,$BM$2&amp;BQ$2)</f>
        <v>0</v>
      </c>
      <c r="BR107" s="203">
        <f>SUMIFS(領用表!$L:$L,領用表!$A:$A,BR$2,領用表!$E:$E,B107)</f>
        <v>201</v>
      </c>
      <c r="BS107" s="288">
        <f>SUMIFS(領用表!$L:$L,領用表!$E:$E,$B107,領用表!$B:$B,BR$2&amp;BS$2)</f>
        <v>76</v>
      </c>
      <c r="BT107" s="288">
        <f>SUMIFS(領用表!$L:$L,領用表!$E:$E,$B107,領用表!$B:$B,$BR$2&amp;BT$2)</f>
        <v>0</v>
      </c>
      <c r="BU107" s="288">
        <f>SUMIFS(領用表!$L:$L,領用表!$E:$E,$B107,領用表!$B:$B,$BR$2&amp;BU$2)</f>
        <v>125</v>
      </c>
      <c r="BV107" s="287">
        <f>SUMIFS(領用表!$L:$L,領用表!$E:$E,$B107,領用表!$B:$B,$BR$2&amp;BV$2)</f>
        <v>0</v>
      </c>
      <c r="BW107" s="208">
        <f>SUMIFS(領用表!$L:$L,領用表!$A:$A,BW$2,領用表!$E:$E,B107)</f>
        <v>206</v>
      </c>
      <c r="BX107" s="206">
        <f>SUMIFS(領用表!$L:$L,領用表!$E:$E,$B107,領用表!$B:$B,BW$2&amp;BX$2)</f>
        <v>91</v>
      </c>
      <c r="BY107" s="206">
        <f>SUMIFS(領用表!$L:$L,領用表!$E:$E,$B107,領用表!$B:$B,$BW$2&amp;BY$2)</f>
        <v>0</v>
      </c>
      <c r="BZ107" s="206">
        <f>SUMIFS(領用表!$L:$L,領用表!$E:$E,$B107,領用表!$B:$B,$BW$2&amp;BZ$2)</f>
        <v>115</v>
      </c>
      <c r="CA107" s="206">
        <f>SUMIFS(領用表!$L:$L,領用表!$E:$E,$B107,領用表!$B:$B,$BW$2&amp;CA$2)</f>
        <v>0</v>
      </c>
      <c r="CB107" s="208">
        <f>SUMIFS(領用表!$L:$L,領用表!$A:$A,CB$2,領用表!$E:$E,B107)</f>
        <v>237</v>
      </c>
      <c r="CC107" s="206">
        <f>SUMIFS(領用表!$L:$L,領用表!$E:$E,$B107,領用表!$B:$B,CB$2&amp;CC$2)</f>
        <v>86</v>
      </c>
      <c r="CD107" s="206">
        <f>SUMIFS(領用表!$L:$L,領用表!$E:$E,$B107,領用表!$B:$B,$CB$2&amp;CD$2)</f>
        <v>0</v>
      </c>
      <c r="CE107" s="206">
        <f>SUMIFS(領用表!$L:$L,領用表!$E:$E,$B107,領用表!$B:$B,$CB$2&amp;CE$2)</f>
        <v>151</v>
      </c>
      <c r="CF107" s="206">
        <f>SUMIFS(領用表!$L:$L,領用表!$E:$E,$B107,領用表!$B:$B,$CB$2&amp;CF$2)</f>
        <v>0</v>
      </c>
      <c r="CG107" s="208">
        <f>SUMIFS(領用表!$L:$L,領用表!$A:$A,CG$2,領用表!$E:$E,B107)</f>
        <v>376</v>
      </c>
      <c r="CH107" s="206">
        <f>SUMIFS(領用表!$L:$L,領用表!$E:$E,$B107,領用表!$B:$B,CG$2&amp;CH$2)</f>
        <v>102</v>
      </c>
      <c r="CI107" s="206">
        <f>SUMIFS(領用表!$L:$L,領用表!$E:$E,$B107,領用表!$B:$B,CG$2&amp;CI$2)</f>
        <v>0</v>
      </c>
      <c r="CJ107" s="206">
        <f>SUMIFS(領用表!$L:$L,領用表!$E:$E,$B107,領用表!$B:$B,CG$2&amp;CJ$2)</f>
        <v>274</v>
      </c>
      <c r="CK107" s="206">
        <f>SUMIFS(領用表!$L:$L,領用表!$E:$E,$B107,領用表!$B:$B,$CG$2&amp;CK$2)</f>
        <v>0</v>
      </c>
      <c r="CL107" s="207">
        <f t="shared" ref="CL107:CL141" si="34">SUM(AX107,AY107,AZ107,BA107,BB107,BC107,BH107,BM107,BR107,BW107,CB107,CG107)</f>
        <v>1395</v>
      </c>
      <c r="CM107" s="207">
        <f t="shared" ref="CM107:CM141" si="35">AVERAGE(AX107,AY107,AZ107,BA107,BB107,BC107,BH107,BM107,BR107,BW107,CB107,CG107)</f>
        <v>116.25</v>
      </c>
      <c r="CN107" s="208">
        <f>SUMIFS(領用表!$L:$L,領用表!$A:$A,CN$2,領用表!$E:$E,B107)</f>
        <v>517</v>
      </c>
      <c r="CO107" s="206">
        <f>SUMIFS(領用表!$L:$L,領用表!$E:$E,$B107,領用表!$B:$B,CN$2&amp;CO$2)</f>
        <v>178</v>
      </c>
      <c r="CP107" s="206">
        <f>SUMIFS(領用表!$L:$L,領用表!$E:$E,$B107,領用表!$B:$B,$CN$2&amp;CP$2)</f>
        <v>1</v>
      </c>
      <c r="CQ107" s="206">
        <f>SUMIFS(領用表!$L:$L,領用表!$E:$E,$B107,領用表!$B:$B,$CN$2&amp;CQ$2)</f>
        <v>338</v>
      </c>
      <c r="CR107" s="206">
        <f>SUMIFS(領用表!$L:$L,領用表!$E:$E,$B107,領用表!$B:$B,$CN$2&amp;CR$2)</f>
        <v>0</v>
      </c>
      <c r="CS107" s="208">
        <f>SUMIFS(領用表!$L:$L,領用表!$A:$A,CS$2,領用表!$E:$E,B107)</f>
        <v>468</v>
      </c>
      <c r="CT107" s="206">
        <f>SUMIFS(領用表!$L:$L,領用表!$E:$E,$B107,領用表!$B:$B,CS$2&amp;CT$2)</f>
        <v>157</v>
      </c>
      <c r="CU107" s="206">
        <f>SUMIFS(領用表!$L:$L,領用表!$E:$E,$B107,領用表!$B:$B,$CS$2&amp;CU$2)</f>
        <v>0</v>
      </c>
      <c r="CV107" s="206">
        <f>SUMIFS(領用表!$L:$L,領用表!$E:$E,$B107,領用表!$B:$B,$CS$2&amp;CV$2)</f>
        <v>294</v>
      </c>
      <c r="CW107" s="206">
        <f>SUMIFS(領用表!$L:$L,領用表!$E:$E,$B107,領用表!$B:$B,$CS$2&amp;CW$2)</f>
        <v>0</v>
      </c>
      <c r="CX107" s="206">
        <f>SUMIFS(領用表!$L:$L,領用表!$E:$E,$B107,領用表!$B:$B,$CS$2&amp;CX$2)</f>
        <v>17</v>
      </c>
      <c r="CY107" s="208">
        <f>SUMIFS(領用表!$L:$L,領用表!$A:$A,CY$2,領用表!$E:$E,B107)</f>
        <v>547</v>
      </c>
      <c r="CZ107" s="206">
        <f>SUMIFS(領用表!$L:$L,領用表!$E:$E,$B107,領用表!$B:$B,CY$2&amp;CZ$2)</f>
        <v>187</v>
      </c>
      <c r="DA107" s="206">
        <f>SUMIFS(領用表!$L:$L,領用表!$E:$E,$B107,領用表!$B:$B,$CY$2&amp;DA$2)</f>
        <v>0</v>
      </c>
      <c r="DB107" s="206">
        <f>SUMIFS(領用表!$L:$L,領用表!$E:$E,$B107,領用表!$B:$B,$CY$2&amp;DB$2)</f>
        <v>304</v>
      </c>
      <c r="DC107" s="206">
        <f>SUMIFS(領用表!$L:$L,領用表!$E:$E,$B107,領用表!$B:$B,$CY$2&amp;DC$2)</f>
        <v>0</v>
      </c>
      <c r="DD107" s="206">
        <f>SUMIFS(領用表!$L:$L,領用表!$E:$E,$B107,領用表!$B:$B,$CY$2&amp;DD$2)</f>
        <v>56</v>
      </c>
      <c r="DE107" s="208">
        <f>SUMIFS(領用表!$L:$L,領用表!$A:$A,DE$2,領用表!$E:$E,B107)</f>
        <v>274</v>
      </c>
      <c r="DF107" s="206">
        <f>SUMIFS(領用表!$L:$L,領用表!$E:$E,$B107,領用表!$B:$B,DE$2&amp;DF$2)</f>
        <v>78</v>
      </c>
      <c r="DG107" s="206">
        <f>SUMIFS(領用表!$L:$L,領用表!$E:$E,$B107,領用表!$B:$B,$DE$2&amp;DG$2)</f>
        <v>0</v>
      </c>
      <c r="DH107" s="206">
        <f>SUMIFS(領用表!$L:$L,領用表!$E:$E,$B107,領用表!$B:$B,$DE$2&amp;DH$2)</f>
        <v>151</v>
      </c>
      <c r="DI107" s="206">
        <f>SUMIFS(領用表!$L:$L,領用表!$E:$E,$B107,領用表!$B:$B,$DE$2&amp;DI$2)</f>
        <v>0</v>
      </c>
      <c r="DJ107" s="206">
        <f>SUMIFS(領用表!$L:$L,領用表!$E:$E,$B107,領用表!$B:$B,$DE$2&amp;DJ$2)</f>
        <v>45</v>
      </c>
      <c r="DK107" s="208">
        <f>SUMIFS(領用表!$L:$L,領用表!$A:$A,DK$2,領用表!$E:$E,$B107)</f>
        <v>92</v>
      </c>
      <c r="DL107" s="206">
        <f>SUMIFS(領用表!$L:$L,領用表!$E:$E,$B107,領用表!$B:$B,DK$2&amp;DL$2)</f>
        <v>36</v>
      </c>
      <c r="DM107" s="206">
        <f>SUMIFS(領用表!$L:$L,領用表!$E:$E,$B107,領用表!$B:$B,$DK$2&amp;DM$2)</f>
        <v>0</v>
      </c>
      <c r="DN107" s="206">
        <f>SUMIFS(領用表!$L:$L,領用表!$E:$E,$B107,領用表!$B:$B,$DK$2&amp;DN$2)</f>
        <v>39</v>
      </c>
      <c r="DO107" s="206">
        <f>SUMIFS(領用表!$L:$L,領用表!$E:$E,$B107,領用表!$B:$B,$DK$2&amp;DO$2)</f>
        <v>0</v>
      </c>
      <c r="DP107" s="206">
        <f>SUMIFS(領用表!$L:$L,領用表!$E:$E,$B107,領用表!$B:$B,$DK$2&amp;DP$2)</f>
        <v>17</v>
      </c>
      <c r="DQ107" s="206">
        <f t="shared" si="28"/>
        <v>1898</v>
      </c>
      <c r="DR107" s="206">
        <f t="shared" si="29"/>
        <v>379.6</v>
      </c>
      <c r="DS107" s="206">
        <f t="shared" si="27"/>
        <v>0</v>
      </c>
      <c r="DT107" s="206">
        <v>0</v>
      </c>
      <c r="DU107" s="206">
        <v>0</v>
      </c>
      <c r="DV107" s="206">
        <v>0</v>
      </c>
      <c r="DW107" s="206">
        <v>0</v>
      </c>
      <c r="DX107" s="258"/>
      <c r="DY107" s="283"/>
      <c r="DZ107" s="252" t="s">
        <v>159</v>
      </c>
      <c r="EA107" s="283" t="s">
        <v>160</v>
      </c>
      <c r="EB107" s="136"/>
      <c r="EC107" s="136"/>
      <c r="ED107" s="118">
        <f>IFERROR(VLOOKUP(A107,站前4樓!A:BF,57,0),0)</f>
        <v>0</v>
      </c>
      <c r="EE107" s="213">
        <f>IFERROR(VLOOKUP(A107,站前11樓!A:BE,57,0),0)</f>
        <v>0</v>
      </c>
      <c r="EF107" s="118">
        <f>IFERROR(VLOOKUP(A107,忠孝7樓!A:N,57,0),0)</f>
        <v>0</v>
      </c>
      <c r="EG107" s="118">
        <f>IFERROR(VLOOKUP(A107,忠孝國際醫學3樓!A:L,57,0),0)</f>
        <v>0</v>
      </c>
      <c r="EH107" s="118">
        <f t="shared" si="25"/>
        <v>0</v>
      </c>
    </row>
    <row r="108" spans="1:138" s="118" customFormat="1" ht="15.75" customHeight="1" thickBot="1">
      <c r="A108" s="306" t="s">
        <v>654</v>
      </c>
      <c r="B108" s="118">
        <v>6120006</v>
      </c>
      <c r="C108" s="136" t="s">
        <v>514</v>
      </c>
      <c r="D108" s="285">
        <v>100</v>
      </c>
      <c r="E108" s="198" t="s">
        <v>15</v>
      </c>
      <c r="F108" s="225">
        <f>SUMIF(站前4樓!B:B,B108,站前4樓!F:F)</f>
        <v>169</v>
      </c>
      <c r="G108" s="225">
        <f>SUMIF(站前11樓!B:B,B108,站前11樓!F:F)</f>
        <v>406</v>
      </c>
      <c r="H108" s="225">
        <f>SUMIF(忠孝7樓!B:B,B108,忠孝7樓!G:G)</f>
        <v>111</v>
      </c>
      <c r="I108" s="225">
        <f>SUMIF(忠孝國際醫學3樓!B:B,B108,忠孝國際醫學3樓!G:G)</f>
        <v>1131</v>
      </c>
      <c r="J108" s="225">
        <f>SUMIF(忠孝健康7樓!B:B,B108,忠孝健康7樓!G:G)</f>
        <v>751</v>
      </c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83"/>
      <c r="AB108" s="283"/>
      <c r="AC108" s="283"/>
      <c r="AD108" s="283"/>
      <c r="AE108" s="283"/>
      <c r="AF108" s="283"/>
      <c r="AG108" s="283"/>
      <c r="AH108" s="283"/>
      <c r="AI108" s="283"/>
      <c r="AJ108" s="201"/>
      <c r="AK108" s="201"/>
      <c r="AL108" s="201"/>
      <c r="AM108" s="201"/>
      <c r="AN108" s="201"/>
      <c r="AO108" s="201"/>
      <c r="AP108" s="201"/>
      <c r="AQ108" s="201">
        <v>0</v>
      </c>
      <c r="AR108" s="201">
        <v>0</v>
      </c>
      <c r="AS108" s="201">
        <v>0</v>
      </c>
      <c r="AT108" s="201">
        <v>0</v>
      </c>
      <c r="AU108" s="201">
        <v>0</v>
      </c>
      <c r="AV108" s="283">
        <f>SUM(AJ108:AU108)</f>
        <v>0</v>
      </c>
      <c r="AW108" s="286">
        <f>AV108/12</f>
        <v>0</v>
      </c>
      <c r="AX108" s="201">
        <v>0</v>
      </c>
      <c r="AY108" s="201">
        <v>0</v>
      </c>
      <c r="AZ108" s="201">
        <v>246</v>
      </c>
      <c r="BA108" s="201">
        <v>227</v>
      </c>
      <c r="BB108" s="201">
        <f>7+223</f>
        <v>230</v>
      </c>
      <c r="BC108" s="203">
        <f>SUMIFS(領用表!$L:$L,領用表!$A:$A,BC$2,領用表!$E:$E,B108)</f>
        <v>143</v>
      </c>
      <c r="BD108" s="287">
        <f>SUMIFS(領用表!$L:$L,領用表!$E:$E,$B108,領用表!$B:$B,BC$2&amp;BD$2)</f>
        <v>1</v>
      </c>
      <c r="BE108" s="287">
        <f>SUMIFS(領用表!$L:$L,領用表!$E:$E,$B108,領用表!$B:$B,$BC$2&amp;BE$2)</f>
        <v>142</v>
      </c>
      <c r="BF108" s="287">
        <f>SUMIFS(領用表!$L:$L,領用表!$E:$E,$B108,領用表!$B:$B,$BC$2&amp;BF$2)</f>
        <v>0</v>
      </c>
      <c r="BG108" s="206">
        <f>SUMIFS(領用表!$L:$L,領用表!$E:$E,$B108,領用表!$B:$B,$BC$2&amp;BG$2)</f>
        <v>0</v>
      </c>
      <c r="BH108" s="203">
        <f>SUMIFS(領用表!$L:$L,領用表!$A:$A,BH$2,領用表!$E:$E,B108)</f>
        <v>214</v>
      </c>
      <c r="BI108" s="260">
        <f>SUMIFS(領用表!$L:$L,領用表!$E:$E,$B108,領用表!$B:$B,BH$2&amp;BI$2)</f>
        <v>0</v>
      </c>
      <c r="BJ108" s="260">
        <f>SUMIFS(領用表!$L:$L,領用表!$E:$E,$B108,領用表!$B:$B,$BH$2&amp;BJ$2)</f>
        <v>120</v>
      </c>
      <c r="BK108" s="260">
        <f>SUMIFS(領用表!$L:$L,領用表!$E:$E,$B108,領用表!$B:$B,$BH$2&amp;BK$2)</f>
        <v>3</v>
      </c>
      <c r="BL108" s="260">
        <f>SUMIFS(領用表!$L:$L,領用表!$E:$E,$B108,領用表!$B:$B,$BH$2&amp;BL$2)</f>
        <v>91</v>
      </c>
      <c r="BM108" s="203">
        <f>SUMIFS(領用表!$L:$L,領用表!$A:$A,BM$2,領用表!$E:$E,B108)</f>
        <v>386</v>
      </c>
      <c r="BN108" s="206">
        <f>SUMIFS(領用表!$L:$L,領用表!$E:$E,$B108,領用表!$B:$B,BM$2&amp;BN$2)</f>
        <v>0</v>
      </c>
      <c r="BO108" s="206">
        <f>SUMIFS(領用表!$L:$L,領用表!$E:$E,$B108,領用表!$B:$B,$BM$2&amp;BO$2)</f>
        <v>167</v>
      </c>
      <c r="BP108" s="288">
        <f>SUMIFS(領用表!$L:$L,領用表!$E:$E,$B108,領用表!$B:$B,$BM$2&amp;BP$2)</f>
        <v>0</v>
      </c>
      <c r="BQ108" s="287">
        <f>SUMIFS(領用表!$L:$L,領用表!$E:$E,$B108,領用表!$B:$B,$BM$2&amp;BQ$2)</f>
        <v>219</v>
      </c>
      <c r="BR108" s="203">
        <f>SUMIFS(領用表!$L:$L,領用表!$A:$A,BR$2,領用表!$E:$E,B108)</f>
        <v>439</v>
      </c>
      <c r="BS108" s="288">
        <f>SUMIFS(領用表!$L:$L,領用表!$E:$E,$B108,領用表!$B:$B,BR$2&amp;BS$2)</f>
        <v>0</v>
      </c>
      <c r="BT108" s="288">
        <f>SUMIFS(領用表!$L:$L,領用表!$E:$E,$B108,領用表!$B:$B,$BR$2&amp;BT$2)</f>
        <v>165</v>
      </c>
      <c r="BU108" s="288">
        <f>SUMIFS(領用表!$L:$L,領用表!$E:$E,$B108,領用表!$B:$B,$BR$2&amp;BU$2)</f>
        <v>1</v>
      </c>
      <c r="BV108" s="287">
        <f>SUMIFS(領用表!$L:$L,領用表!$E:$E,$B108,領用表!$B:$B,$BR$2&amp;BV$2)</f>
        <v>273</v>
      </c>
      <c r="BW108" s="208">
        <f>SUMIFS(領用表!$L:$L,領用表!$A:$A,BW$2,領用表!$E:$E,B108)</f>
        <v>594</v>
      </c>
      <c r="BX108" s="206">
        <f>SUMIFS(領用表!$L:$L,領用表!$E:$E,$B108,領用表!$B:$B,BW$2&amp;BX$2)</f>
        <v>6</v>
      </c>
      <c r="BY108" s="206">
        <f>SUMIFS(領用表!$L:$L,領用表!$E:$E,$B108,領用表!$B:$B,$BW$2&amp;BY$2)</f>
        <v>200</v>
      </c>
      <c r="BZ108" s="206">
        <f>SUMIFS(領用表!$L:$L,領用表!$E:$E,$B108,領用表!$B:$B,$BW$2&amp;BZ$2)</f>
        <v>8</v>
      </c>
      <c r="CA108" s="206">
        <f>SUMIFS(領用表!$L:$L,領用表!$E:$E,$B108,領用表!$B:$B,$BW$2&amp;CA$2)</f>
        <v>380</v>
      </c>
      <c r="CB108" s="208">
        <f>SUMIFS(領用表!$L:$L,領用表!$A:$A,CB$2,領用表!$E:$E,B108)</f>
        <v>765</v>
      </c>
      <c r="CC108" s="206">
        <f>SUMIFS(領用表!$L:$L,領用表!$E:$E,$B108,領用表!$B:$B,CB$2&amp;CC$2)</f>
        <v>16</v>
      </c>
      <c r="CD108" s="206">
        <f>SUMIFS(領用表!$L:$L,領用表!$E:$E,$B108,領用表!$B:$B,$CB$2&amp;CD$2)</f>
        <v>273</v>
      </c>
      <c r="CE108" s="206">
        <f>SUMIFS(領用表!$L:$L,領用表!$E:$E,$B108,領用表!$B:$B,$CB$2&amp;CE$2)</f>
        <v>16</v>
      </c>
      <c r="CF108" s="206">
        <f>SUMIFS(領用表!$L:$L,領用表!$E:$E,$B108,領用表!$B:$B,$CB$2&amp;CF$2)</f>
        <v>460</v>
      </c>
      <c r="CG108" s="208">
        <f>SUMIFS(領用表!$L:$L,領用表!$A:$A,CG$2,領用表!$E:$E,B108)</f>
        <v>856</v>
      </c>
      <c r="CH108" s="206">
        <f>SUMIFS(領用表!$L:$L,領用表!$E:$E,$B108,領用表!$B:$B,CG$2&amp;CH$2)</f>
        <v>30</v>
      </c>
      <c r="CI108" s="206">
        <f>SUMIFS(領用表!$L:$L,領用表!$E:$E,$B108,領用表!$B:$B,CG$2&amp;CI$2)</f>
        <v>276</v>
      </c>
      <c r="CJ108" s="206">
        <f>SUMIFS(領用表!$L:$L,領用表!$E:$E,$B108,領用表!$B:$B,CG$2&amp;CJ$2)</f>
        <v>39</v>
      </c>
      <c r="CK108" s="206">
        <f>SUMIFS(領用表!$L:$L,領用表!$E:$E,$B108,領用表!$B:$B,$CG$2&amp;CK$2)</f>
        <v>511</v>
      </c>
      <c r="CL108" s="207">
        <f>SUM(AX108,AY108,AZ108,BA108,BB108,BC108,BH108,BM108,BR108,BW108,CB108,CG108)</f>
        <v>4100</v>
      </c>
      <c r="CM108" s="207">
        <f>AVERAGE(AX108,AY108,AZ108,BA108,BB108,BC108,BH108,BM108,BR108,BW108,CB108,CG108)</f>
        <v>341.66666666666669</v>
      </c>
      <c r="CN108" s="208">
        <f>SUMIFS(領用表!$L:$L,領用表!$A:$A,CN$2,領用表!$E:$E,B108)</f>
        <v>1065</v>
      </c>
      <c r="CO108" s="206">
        <f>SUMIFS(領用表!$L:$L,領用表!$E:$E,$B108,領用表!$B:$B,CN$2&amp;CO$2)</f>
        <v>19</v>
      </c>
      <c r="CP108" s="206">
        <f>SUMIFS(領用表!$L:$L,領用表!$E:$E,$B108,領用表!$B:$B,$CN$2&amp;CP$2)</f>
        <v>340</v>
      </c>
      <c r="CQ108" s="206">
        <f>SUMIFS(領用表!$L:$L,領用表!$E:$E,$B108,領用表!$B:$B,$CN$2&amp;CQ$2)</f>
        <v>62</v>
      </c>
      <c r="CR108" s="206">
        <f>SUMIFS(領用表!$L:$L,領用表!$E:$E,$B108,領用表!$B:$B,$CN$2&amp;CR$2)</f>
        <v>644</v>
      </c>
      <c r="CS108" s="208">
        <f>SUMIFS(領用表!$L:$L,領用表!$A:$A,CS$2,領用表!$E:$E,B108)</f>
        <v>939</v>
      </c>
      <c r="CT108" s="206">
        <f>SUMIFS(領用表!$L:$L,領用表!$E:$E,$B108,領用表!$B:$B,CS$2&amp;CT$2)</f>
        <v>14</v>
      </c>
      <c r="CU108" s="206">
        <f>SUMIFS(領用表!$L:$L,領用表!$E:$E,$B108,領用表!$B:$B,$CS$2&amp;CU$2)</f>
        <v>309</v>
      </c>
      <c r="CV108" s="206">
        <f>SUMIFS(領用表!$L:$L,領用表!$E:$E,$B108,領用表!$B:$B,$CS$2&amp;CV$2)</f>
        <v>34</v>
      </c>
      <c r="CW108" s="206">
        <f>SUMIFS(領用表!$L:$L,領用表!$E:$E,$B108,領用表!$B:$B,$CS$2&amp;CW$2)</f>
        <v>578</v>
      </c>
      <c r="CX108" s="206">
        <f>SUMIFS(領用表!$L:$L,領用表!$E:$E,$B108,領用表!$B:$B,$CS$2&amp;CX$2)</f>
        <v>4</v>
      </c>
      <c r="CY108" s="208">
        <f>SUMIFS(領用表!$L:$L,領用表!$A:$A,CY$2,領用表!$E:$E,B108)</f>
        <v>1448</v>
      </c>
      <c r="CZ108" s="206">
        <f>SUMIFS(領用表!$L:$L,領用表!$E:$E,$B108,領用表!$B:$B,CY$2&amp;CZ$2)</f>
        <v>24</v>
      </c>
      <c r="DA108" s="206">
        <f>SUMIFS(領用表!$L:$L,領用表!$E:$E,$B108,領用表!$B:$B,$CY$2&amp;DA$2)</f>
        <v>474</v>
      </c>
      <c r="DB108" s="206">
        <f>SUMIFS(領用表!$L:$L,領用表!$E:$E,$B108,領用表!$B:$B,$CY$2&amp;DB$2)</f>
        <v>51</v>
      </c>
      <c r="DC108" s="206">
        <f>SUMIFS(領用表!$L:$L,領用表!$E:$E,$B108,領用表!$B:$B,$CY$2&amp;DC$2)</f>
        <v>883</v>
      </c>
      <c r="DD108" s="206">
        <f>SUMIFS(領用表!$L:$L,領用表!$E:$E,$B108,領用表!$B:$B,$CY$2&amp;DD$2)</f>
        <v>16</v>
      </c>
      <c r="DE108" s="208">
        <f>SUMIFS(領用表!$L:$L,領用表!$A:$A,DE$2,領用表!$E:$E,B108)</f>
        <v>1141</v>
      </c>
      <c r="DF108" s="206">
        <f>SUMIFS(領用表!$L:$L,領用表!$E:$E,$B108,領用表!$B:$B,DE$2&amp;DF$2)</f>
        <v>21</v>
      </c>
      <c r="DG108" s="206">
        <f>SUMIFS(領用表!$L:$L,領用表!$E:$E,$B108,領用表!$B:$B,$DE$2&amp;DG$2)</f>
        <v>376</v>
      </c>
      <c r="DH108" s="206">
        <f>SUMIFS(領用表!$L:$L,領用表!$E:$E,$B108,領用表!$B:$B,$DE$2&amp;DH$2)</f>
        <v>37</v>
      </c>
      <c r="DI108" s="206">
        <f>SUMIFS(領用表!$L:$L,領用表!$E:$E,$B108,領用表!$B:$B,$DE$2&amp;DI$2)</f>
        <v>685</v>
      </c>
      <c r="DJ108" s="206">
        <f>SUMIFS(領用表!$L:$L,領用表!$E:$E,$B108,領用表!$B:$B,$DE$2&amp;DJ$2)</f>
        <v>22</v>
      </c>
      <c r="DK108" s="208">
        <f>SUMIFS(領用表!$L:$L,領用表!$A:$A,DK$2,領用表!$E:$E,$B108)</f>
        <v>876</v>
      </c>
      <c r="DL108" s="206">
        <f>SUMIFS(領用表!$L:$L,領用表!$E:$E,$B108,領用表!$B:$B,DK$2&amp;DL$2)</f>
        <v>20</v>
      </c>
      <c r="DM108" s="206">
        <f>SUMIFS(領用表!$L:$L,領用表!$E:$E,$B108,領用表!$B:$B,$DK$2&amp;DM$2)</f>
        <v>271</v>
      </c>
      <c r="DN108" s="206">
        <f>SUMIFS(領用表!$L:$L,領用表!$E:$E,$B108,領用表!$B:$B,$DK$2&amp;DN$2)</f>
        <v>35</v>
      </c>
      <c r="DO108" s="206">
        <f>SUMIFS(領用表!$L:$L,領用表!$E:$E,$B108,領用表!$B:$B,$DK$2&amp;DO$2)</f>
        <v>534</v>
      </c>
      <c r="DP108" s="206">
        <f>SUMIFS(領用表!$L:$L,領用表!$E:$E,$B108,領用表!$B:$B,$DK$2&amp;DP$2)</f>
        <v>16</v>
      </c>
      <c r="DQ108" s="206">
        <f t="shared" si="28"/>
        <v>5469</v>
      </c>
      <c r="DR108" s="206">
        <f t="shared" si="29"/>
        <v>1093.8</v>
      </c>
      <c r="DS108" s="206">
        <f t="shared" si="27"/>
        <v>0</v>
      </c>
      <c r="DT108" s="206">
        <v>0</v>
      </c>
      <c r="DU108" s="206">
        <v>0</v>
      </c>
      <c r="DV108" s="206">
        <v>0</v>
      </c>
      <c r="DW108" s="206">
        <v>0</v>
      </c>
      <c r="DX108" s="258">
        <v>20</v>
      </c>
      <c r="DY108" s="283"/>
      <c r="DZ108" s="283" t="s">
        <v>161</v>
      </c>
      <c r="EA108" s="283" t="s">
        <v>162</v>
      </c>
      <c r="EB108" s="136"/>
      <c r="EC108" s="289"/>
      <c r="ED108" s="118">
        <f>IFERROR(VLOOKUP(A108,站前4樓!A:BF,57,0),0)</f>
        <v>0</v>
      </c>
      <c r="EE108" s="213">
        <f>IFERROR(VLOOKUP(A108,站前11樓!A:BE,57,0),0)</f>
        <v>0</v>
      </c>
      <c r="EF108" s="118">
        <f>IFERROR(VLOOKUP(A108,忠孝7樓!A:N,57,0),0)</f>
        <v>0</v>
      </c>
      <c r="EG108" s="118">
        <f>IFERROR(VLOOKUP(A108,忠孝國際醫學3樓!A:L,57,0),0)</f>
        <v>0</v>
      </c>
      <c r="EH108" s="118">
        <f>SUM(ED108:EG108)</f>
        <v>0</v>
      </c>
    </row>
    <row r="109" spans="1:138" s="118" customFormat="1" ht="15.75" customHeight="1" thickBot="1">
      <c r="A109" s="306" t="s">
        <v>656</v>
      </c>
      <c r="B109" s="118">
        <v>6120009</v>
      </c>
      <c r="C109" s="136" t="s">
        <v>515</v>
      </c>
      <c r="D109" s="285">
        <v>100</v>
      </c>
      <c r="E109" s="198" t="s">
        <v>15</v>
      </c>
      <c r="F109" s="225">
        <f>SUMIF(站前4樓!B:B,B109,站前4樓!F:F)</f>
        <v>0</v>
      </c>
      <c r="G109" s="225">
        <f>SUMIF(站前11樓!B:B,B109,站前11樓!F:F)</f>
        <v>7</v>
      </c>
      <c r="H109" s="225">
        <f>SUMIF(忠孝7樓!B:B,B109,忠孝7樓!G:G)</f>
        <v>100</v>
      </c>
      <c r="I109" s="225">
        <f>SUMIF(忠孝國際醫學3樓!B:B,B109,忠孝國際醫學3樓!G:G)</f>
        <v>139</v>
      </c>
      <c r="J109" s="225">
        <f>SUMIF(忠孝健康7樓!B:B,B109,忠孝健康7樓!G:G)</f>
        <v>0</v>
      </c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83"/>
      <c r="AB109" s="283"/>
      <c r="AC109" s="283"/>
      <c r="AD109" s="283"/>
      <c r="AE109" s="283"/>
      <c r="AF109" s="283"/>
      <c r="AG109" s="283"/>
      <c r="AH109" s="283"/>
      <c r="AI109" s="283"/>
      <c r="AJ109" s="201"/>
      <c r="AK109" s="201"/>
      <c r="AL109" s="201"/>
      <c r="AM109" s="201"/>
      <c r="AN109" s="201"/>
      <c r="AO109" s="201"/>
      <c r="AP109" s="201"/>
      <c r="AQ109" s="201">
        <v>0</v>
      </c>
      <c r="AR109" s="201">
        <v>0</v>
      </c>
      <c r="AS109" s="201">
        <v>0</v>
      </c>
      <c r="AT109" s="201">
        <v>0</v>
      </c>
      <c r="AU109" s="201">
        <v>0</v>
      </c>
      <c r="AV109" s="283">
        <f>SUM(AJ109:AU109)</f>
        <v>0</v>
      </c>
      <c r="AW109" s="286">
        <f>AV109/12</f>
        <v>0</v>
      </c>
      <c r="AX109" s="201">
        <v>0</v>
      </c>
      <c r="AY109" s="201">
        <v>0</v>
      </c>
      <c r="AZ109" s="201">
        <v>10</v>
      </c>
      <c r="BA109" s="201">
        <v>9</v>
      </c>
      <c r="BB109" s="201">
        <f>0+2</f>
        <v>2</v>
      </c>
      <c r="BC109" s="203">
        <f>SUMIFS(領用表!$L:$L,領用表!$A:$A,BC$2,領用表!$E:$E,B109)</f>
        <v>3</v>
      </c>
      <c r="BD109" s="287">
        <f>SUMIFS(領用表!$L:$L,領用表!$E:$E,$B109,領用表!$B:$B,BC$2&amp;BD$2)</f>
        <v>0</v>
      </c>
      <c r="BE109" s="287">
        <f>SUMIFS(領用表!$L:$L,領用表!$E:$E,$B109,領用表!$B:$B,$BC$2&amp;BE$2)</f>
        <v>3</v>
      </c>
      <c r="BF109" s="287">
        <f>SUMIFS(領用表!$L:$L,領用表!$E:$E,$B109,領用表!$B:$B,$BC$2&amp;BF$2)</f>
        <v>0</v>
      </c>
      <c r="BG109" s="206">
        <f>SUMIFS(領用表!$L:$L,領用表!$E:$E,$B109,領用表!$B:$B,$BC$2&amp;BG$2)</f>
        <v>0</v>
      </c>
      <c r="BH109" s="203">
        <f>SUMIFS(領用表!$L:$L,領用表!$A:$A,BH$2,領用表!$E:$E,B109)</f>
        <v>3</v>
      </c>
      <c r="BI109" s="260">
        <f>SUMIFS(領用表!$L:$L,領用表!$E:$E,$B109,領用表!$B:$B,BH$2&amp;BI$2)</f>
        <v>0</v>
      </c>
      <c r="BJ109" s="260">
        <f>SUMIFS(領用表!$L:$L,領用表!$E:$E,$B109,領用表!$B:$B,$BH$2&amp;BJ$2)</f>
        <v>2</v>
      </c>
      <c r="BK109" s="260">
        <f>SUMIFS(領用表!$L:$L,領用表!$E:$E,$B109,領用表!$B:$B,$BH$2&amp;BK$2)</f>
        <v>0</v>
      </c>
      <c r="BL109" s="260">
        <f>SUMIFS(領用表!$L:$L,領用表!$E:$E,$B109,領用表!$B:$B,$BH$2&amp;BL$2)</f>
        <v>1</v>
      </c>
      <c r="BM109" s="203">
        <f>SUMIFS(領用表!$L:$L,領用表!$A:$A,BM$2,領用表!$E:$E,B109)</f>
        <v>1</v>
      </c>
      <c r="BN109" s="206">
        <f>SUMIFS(領用表!$L:$L,領用表!$E:$E,$B109,領用表!$B:$B,BM$2&amp;BN$2)</f>
        <v>0</v>
      </c>
      <c r="BO109" s="206">
        <f>SUMIFS(領用表!$L:$L,領用表!$E:$E,$B109,領用表!$B:$B,$BM$2&amp;BO$2)</f>
        <v>1</v>
      </c>
      <c r="BP109" s="288">
        <f>SUMIFS(領用表!$L:$L,領用表!$E:$E,$B109,領用表!$B:$B,$BM$2&amp;BP$2)</f>
        <v>0</v>
      </c>
      <c r="BQ109" s="287">
        <f>SUMIFS(領用表!$L:$L,領用表!$E:$E,$B109,領用表!$B:$B,$BM$2&amp;BQ$2)</f>
        <v>0</v>
      </c>
      <c r="BR109" s="203">
        <f>SUMIFS(領用表!$L:$L,領用表!$A:$A,BR$2,領用表!$E:$E,B109)</f>
        <v>8</v>
      </c>
      <c r="BS109" s="288">
        <f>SUMIFS(領用表!$L:$L,領用表!$E:$E,$B109,領用表!$B:$B,BR$2&amp;BS$2)</f>
        <v>0</v>
      </c>
      <c r="BT109" s="288">
        <f>SUMIFS(領用表!$L:$L,領用表!$E:$E,$B109,領用表!$B:$B,$BR$2&amp;BT$2)</f>
        <v>6</v>
      </c>
      <c r="BU109" s="288">
        <f>SUMIFS(領用表!$L:$L,領用表!$E:$E,$B109,領用表!$B:$B,$BR$2&amp;BU$2)</f>
        <v>0</v>
      </c>
      <c r="BV109" s="287">
        <f>SUMIFS(領用表!$L:$L,領用表!$E:$E,$B109,領用表!$B:$B,$BR$2&amp;BV$2)</f>
        <v>2</v>
      </c>
      <c r="BW109" s="208">
        <f>SUMIFS(領用表!$L:$L,領用表!$A:$A,BW$2,領用表!$E:$E,B109)</f>
        <v>11</v>
      </c>
      <c r="BX109" s="206">
        <f>SUMIFS(領用表!$L:$L,領用表!$E:$E,$B109,領用表!$B:$B,BW$2&amp;BX$2)</f>
        <v>0</v>
      </c>
      <c r="BY109" s="206">
        <f>SUMIFS(領用表!$L:$L,領用表!$E:$E,$B109,領用表!$B:$B,$BW$2&amp;BY$2)</f>
        <v>4</v>
      </c>
      <c r="BZ109" s="206">
        <f>SUMIFS(領用表!$L:$L,領用表!$E:$E,$B109,領用表!$B:$B,$BW$2&amp;BZ$2)</f>
        <v>0</v>
      </c>
      <c r="CA109" s="206">
        <f>SUMIFS(領用表!$L:$L,領用表!$E:$E,$B109,領用表!$B:$B,$BW$2&amp;CA$2)</f>
        <v>7</v>
      </c>
      <c r="CB109" s="208">
        <f>SUMIFS(領用表!$L:$L,領用表!$A:$A,CB$2,領用表!$E:$E,B109)</f>
        <v>13</v>
      </c>
      <c r="CC109" s="206">
        <f>SUMIFS(領用表!$L:$L,領用表!$E:$E,$B109,領用表!$B:$B,CB$2&amp;CC$2)</f>
        <v>0</v>
      </c>
      <c r="CD109" s="206">
        <f>SUMIFS(領用表!$L:$L,領用表!$E:$E,$B109,領用表!$B:$B,$CB$2&amp;CD$2)</f>
        <v>4</v>
      </c>
      <c r="CE109" s="206">
        <f>SUMIFS(領用表!$L:$L,領用表!$E:$E,$B109,領用表!$B:$B,$CB$2&amp;CE$2)</f>
        <v>0</v>
      </c>
      <c r="CF109" s="206">
        <f>SUMIFS(領用表!$L:$L,領用表!$E:$E,$B109,領用表!$B:$B,$CB$2&amp;CF$2)</f>
        <v>9</v>
      </c>
      <c r="CG109" s="208">
        <f>SUMIFS(領用表!$L:$L,領用表!$A:$A,CG$2,領用表!$E:$E,B109)</f>
        <v>15</v>
      </c>
      <c r="CH109" s="206">
        <f>SUMIFS(領用表!$L:$L,領用表!$E:$E,$B109,領用表!$B:$B,CG$2&amp;CH$2)</f>
        <v>0</v>
      </c>
      <c r="CI109" s="206">
        <f>SUMIFS(領用表!$L:$L,領用表!$E:$E,$B109,領用表!$B:$B,CG$2&amp;CI$2)</f>
        <v>8</v>
      </c>
      <c r="CJ109" s="206">
        <f>SUMIFS(領用表!$L:$L,領用表!$E:$E,$B109,領用表!$B:$B,CG$2&amp;CJ$2)</f>
        <v>0</v>
      </c>
      <c r="CK109" s="206">
        <f>SUMIFS(領用表!$L:$L,領用表!$E:$E,$B109,領用表!$B:$B,$CG$2&amp;CK$2)</f>
        <v>7</v>
      </c>
      <c r="CL109" s="207">
        <f>SUM(AX109,AY109,AZ109,BA109,BB109,BC109,BH109,BM109,BR109,BW109,CB109,CG109)</f>
        <v>75</v>
      </c>
      <c r="CM109" s="207">
        <f>AVERAGE(AX109,AY109,AZ109,BA109,BB109,BC109,BH109,BM109,BR109,BW109,CB109,CG109)</f>
        <v>6.25</v>
      </c>
      <c r="CN109" s="208">
        <f>SUMIFS(領用表!$L:$L,領用表!$A:$A,CN$2,領用表!$E:$E,B109)</f>
        <v>12</v>
      </c>
      <c r="CO109" s="206">
        <f>SUMIFS(領用表!$L:$L,領用表!$E:$E,$B109,領用表!$B:$B,CN$2&amp;CO$2)</f>
        <v>0</v>
      </c>
      <c r="CP109" s="206">
        <f>SUMIFS(領用表!$L:$L,領用表!$E:$E,$B109,領用表!$B:$B,$CN$2&amp;CP$2)</f>
        <v>5</v>
      </c>
      <c r="CQ109" s="206">
        <f>SUMIFS(領用表!$L:$L,領用表!$E:$E,$B109,領用表!$B:$B,$CN$2&amp;CQ$2)</f>
        <v>0</v>
      </c>
      <c r="CR109" s="206">
        <f>SUMIFS(領用表!$L:$L,領用表!$E:$E,$B109,領用表!$B:$B,$CN$2&amp;CR$2)</f>
        <v>7</v>
      </c>
      <c r="CS109" s="208">
        <f>SUMIFS(領用表!$L:$L,領用表!$A:$A,CS$2,領用表!$E:$E,B109)</f>
        <v>14</v>
      </c>
      <c r="CT109" s="206">
        <f>SUMIFS(領用表!$L:$L,領用表!$E:$E,$B109,領用表!$B:$B,CS$2&amp;CT$2)</f>
        <v>0</v>
      </c>
      <c r="CU109" s="206">
        <f>SUMIFS(領用表!$L:$L,領用表!$E:$E,$B109,領用表!$B:$B,$CS$2&amp;CU$2)</f>
        <v>10</v>
      </c>
      <c r="CV109" s="206">
        <f>SUMIFS(領用表!$L:$L,領用表!$E:$E,$B109,領用表!$B:$B,$CS$2&amp;CV$2)</f>
        <v>0</v>
      </c>
      <c r="CW109" s="206">
        <f>SUMIFS(領用表!$L:$L,領用表!$E:$E,$B109,領用表!$B:$B,$CS$2&amp;CW$2)</f>
        <v>4</v>
      </c>
      <c r="CX109" s="206">
        <f>SUMIFS(領用表!$L:$L,領用表!$E:$E,$B109,領用表!$B:$B,$CS$2&amp;CX$2)</f>
        <v>0</v>
      </c>
      <c r="CY109" s="208">
        <f>SUMIFS(領用表!$L:$L,領用表!$A:$A,CY$2,領用表!$E:$E,B109)</f>
        <v>23</v>
      </c>
      <c r="CZ109" s="206">
        <f>SUMIFS(領用表!$L:$L,領用表!$E:$E,$B109,領用表!$B:$B,CY$2&amp;CZ$2)</f>
        <v>0</v>
      </c>
      <c r="DA109" s="206">
        <f>SUMIFS(領用表!$L:$L,領用表!$E:$E,$B109,領用表!$B:$B,$CY$2&amp;DA$2)</f>
        <v>14</v>
      </c>
      <c r="DB109" s="206">
        <f>SUMIFS(領用表!$L:$L,領用表!$E:$E,$B109,領用表!$B:$B,$CY$2&amp;DB$2)</f>
        <v>0</v>
      </c>
      <c r="DC109" s="206">
        <f>SUMIFS(領用表!$L:$L,領用表!$E:$E,$B109,領用表!$B:$B,$CY$2&amp;DC$2)</f>
        <v>9</v>
      </c>
      <c r="DD109" s="206">
        <f>SUMIFS(領用表!$L:$L,領用表!$E:$E,$B109,領用表!$B:$B,$CY$2&amp;DD$2)</f>
        <v>0</v>
      </c>
      <c r="DE109" s="208">
        <f>SUMIFS(領用表!$L:$L,領用表!$A:$A,DE$2,領用表!$E:$E,B109)</f>
        <v>27</v>
      </c>
      <c r="DF109" s="206">
        <f>SUMIFS(領用表!$L:$L,領用表!$E:$E,$B109,領用表!$B:$B,DE$2&amp;DF$2)</f>
        <v>0</v>
      </c>
      <c r="DG109" s="206">
        <f>SUMIFS(領用表!$L:$L,領用表!$E:$E,$B109,領用表!$B:$B,$DE$2&amp;DG$2)</f>
        <v>15</v>
      </c>
      <c r="DH109" s="206">
        <f>SUMIFS(領用表!$L:$L,領用表!$E:$E,$B109,領用表!$B:$B,$DE$2&amp;DH$2)</f>
        <v>0</v>
      </c>
      <c r="DI109" s="206">
        <f>SUMIFS(領用表!$L:$L,領用表!$E:$E,$B109,領用表!$B:$B,$DE$2&amp;DI$2)</f>
        <v>11</v>
      </c>
      <c r="DJ109" s="206">
        <f>SUMIFS(領用表!$L:$L,領用表!$E:$E,$B109,領用表!$B:$B,$DE$2&amp;DJ$2)</f>
        <v>1</v>
      </c>
      <c r="DK109" s="208">
        <f>SUMIFS(領用表!$L:$L,領用表!$A:$A,DK$2,領用表!$E:$E,$B109)</f>
        <v>14</v>
      </c>
      <c r="DL109" s="206">
        <f>SUMIFS(領用表!$L:$L,領用表!$E:$E,$B109,領用表!$B:$B,DK$2&amp;DL$2)</f>
        <v>0</v>
      </c>
      <c r="DM109" s="206">
        <f>SUMIFS(領用表!$L:$L,領用表!$E:$E,$B109,領用表!$B:$B,$DK$2&amp;DM$2)</f>
        <v>10</v>
      </c>
      <c r="DN109" s="206">
        <f>SUMIFS(領用表!$L:$L,領用表!$E:$E,$B109,領用表!$B:$B,$DK$2&amp;DN$2)</f>
        <v>0</v>
      </c>
      <c r="DO109" s="206">
        <f>SUMIFS(領用表!$L:$L,領用表!$E:$E,$B109,領用表!$B:$B,$DK$2&amp;DO$2)</f>
        <v>4</v>
      </c>
      <c r="DP109" s="206">
        <f>SUMIFS(領用表!$L:$L,領用表!$E:$E,$B109,領用表!$B:$B,$DK$2&amp;DP$2)</f>
        <v>0</v>
      </c>
      <c r="DQ109" s="206">
        <f t="shared" si="28"/>
        <v>90</v>
      </c>
      <c r="DR109" s="206">
        <f t="shared" si="29"/>
        <v>18</v>
      </c>
      <c r="DS109" s="206">
        <f t="shared" si="27"/>
        <v>0</v>
      </c>
      <c r="DT109" s="206">
        <v>0</v>
      </c>
      <c r="DU109" s="206">
        <v>0</v>
      </c>
      <c r="DV109" s="206">
        <v>0</v>
      </c>
      <c r="DW109" s="206">
        <v>0</v>
      </c>
      <c r="DX109" s="258">
        <v>20</v>
      </c>
      <c r="DY109" s="283"/>
      <c r="DZ109" s="283"/>
      <c r="EA109" s="283"/>
      <c r="EB109" s="136"/>
      <c r="EC109" s="289"/>
      <c r="ED109" s="118">
        <f>IFERROR(VLOOKUP(A109,站前4樓!A:BF,57,0),0)</f>
        <v>0</v>
      </c>
      <c r="EE109" s="213">
        <f>IFERROR(VLOOKUP(A109,站前11樓!A:BE,57,0),0)</f>
        <v>0</v>
      </c>
      <c r="EF109" s="118">
        <f>IFERROR(VLOOKUP(A109,忠孝7樓!A:N,57,0),0)</f>
        <v>0</v>
      </c>
      <c r="EG109" s="118">
        <f>IFERROR(VLOOKUP(A109,忠孝國際醫學3樓!A:L,57,0),0)</f>
        <v>0</v>
      </c>
      <c r="EH109" s="118">
        <f>SUM(ED109:EG109)</f>
        <v>0</v>
      </c>
    </row>
    <row r="110" spans="1:138" s="118" customFormat="1" ht="15.75" customHeight="1" thickBot="1">
      <c r="A110" s="306" t="s">
        <v>657</v>
      </c>
      <c r="B110" s="118">
        <v>6120010</v>
      </c>
      <c r="C110" s="136" t="s">
        <v>516</v>
      </c>
      <c r="D110" s="285">
        <v>100</v>
      </c>
      <c r="E110" s="198" t="s">
        <v>15</v>
      </c>
      <c r="F110" s="225">
        <f>SUMIF(站前4樓!B:B,B110,站前4樓!F:F)</f>
        <v>0</v>
      </c>
      <c r="G110" s="225">
        <f>SUMIF(站前11樓!B:B,B110,站前11樓!F:F)</f>
        <v>11</v>
      </c>
      <c r="H110" s="225">
        <f>SUMIF(忠孝7樓!B:B,B110,忠孝7樓!G:G)</f>
        <v>0</v>
      </c>
      <c r="I110" s="225">
        <f>SUMIF(忠孝國際醫學3樓!B:B,B110,忠孝國際醫學3樓!G:G)</f>
        <v>109</v>
      </c>
      <c r="J110" s="225">
        <f>SUMIF(忠孝健康7樓!B:B,B110,忠孝健康7樓!G:G)</f>
        <v>0</v>
      </c>
      <c r="K110" s="283"/>
      <c r="L110" s="283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  <c r="X110" s="283"/>
      <c r="Y110" s="283"/>
      <c r="Z110" s="283"/>
      <c r="AA110" s="283"/>
      <c r="AB110" s="283"/>
      <c r="AC110" s="283"/>
      <c r="AD110" s="283"/>
      <c r="AE110" s="283"/>
      <c r="AF110" s="283"/>
      <c r="AG110" s="283"/>
      <c r="AH110" s="283"/>
      <c r="AI110" s="283"/>
      <c r="AJ110" s="201"/>
      <c r="AK110" s="201"/>
      <c r="AL110" s="201"/>
      <c r="AM110" s="201"/>
      <c r="AN110" s="201"/>
      <c r="AO110" s="201"/>
      <c r="AP110" s="201"/>
      <c r="AQ110" s="201">
        <v>0</v>
      </c>
      <c r="AR110" s="201">
        <v>0</v>
      </c>
      <c r="AS110" s="201">
        <v>0</v>
      </c>
      <c r="AT110" s="201">
        <v>0</v>
      </c>
      <c r="AU110" s="201">
        <v>0</v>
      </c>
      <c r="AV110" s="283">
        <f>SUM(AJ110:AU110)</f>
        <v>0</v>
      </c>
      <c r="AW110" s="286">
        <f>AV110/12</f>
        <v>0</v>
      </c>
      <c r="AX110" s="201">
        <v>0</v>
      </c>
      <c r="AY110" s="201">
        <v>0</v>
      </c>
      <c r="AZ110" s="201">
        <v>10</v>
      </c>
      <c r="BA110" s="201">
        <v>9</v>
      </c>
      <c r="BB110" s="201">
        <f>0+2</f>
        <v>2</v>
      </c>
      <c r="BC110" s="203">
        <f>SUMIFS(領用表!$L:$L,領用表!$A:$A,BC$2,領用表!$E:$E,B110)</f>
        <v>3</v>
      </c>
      <c r="BD110" s="287">
        <f>SUMIFS(領用表!$L:$L,領用表!$E:$E,$B110,領用表!$B:$B,BC$2&amp;BD$2)</f>
        <v>0</v>
      </c>
      <c r="BE110" s="287">
        <f>SUMIFS(領用表!$L:$L,領用表!$E:$E,$B110,領用表!$B:$B,$BC$2&amp;BE$2)</f>
        <v>3</v>
      </c>
      <c r="BF110" s="287">
        <f>SUMIFS(領用表!$L:$L,領用表!$E:$E,$B110,領用表!$B:$B,$BC$2&amp;BF$2)</f>
        <v>0</v>
      </c>
      <c r="BG110" s="206">
        <f>SUMIFS(領用表!$L:$L,領用表!$E:$E,$B110,領用表!$B:$B,$BC$2&amp;BG$2)</f>
        <v>0</v>
      </c>
      <c r="BH110" s="203">
        <f>SUMIFS(領用表!$L:$L,領用表!$A:$A,BH$2,領用表!$E:$E,B110)</f>
        <v>3</v>
      </c>
      <c r="BI110" s="260">
        <f>SUMIFS(領用表!$L:$L,領用表!$E:$E,$B110,領用表!$B:$B,BH$2&amp;BI$2)</f>
        <v>0</v>
      </c>
      <c r="BJ110" s="260">
        <f>SUMIFS(領用表!$L:$L,領用表!$E:$E,$B110,領用表!$B:$B,$BH$2&amp;BJ$2)</f>
        <v>2</v>
      </c>
      <c r="BK110" s="260">
        <f>SUMIFS(領用表!$L:$L,領用表!$E:$E,$B110,領用表!$B:$B,$BH$2&amp;BK$2)</f>
        <v>0</v>
      </c>
      <c r="BL110" s="260">
        <f>SUMIFS(領用表!$L:$L,領用表!$E:$E,$B110,領用表!$B:$B,$BH$2&amp;BL$2)</f>
        <v>1</v>
      </c>
      <c r="BM110" s="203">
        <f>SUMIFS(領用表!$L:$L,領用表!$A:$A,BM$2,領用表!$E:$E,B110)</f>
        <v>1</v>
      </c>
      <c r="BN110" s="206">
        <f>SUMIFS(領用表!$L:$L,領用表!$E:$E,$B110,領用表!$B:$B,BM$2&amp;BN$2)</f>
        <v>0</v>
      </c>
      <c r="BO110" s="206">
        <f>SUMIFS(領用表!$L:$L,領用表!$E:$E,$B110,領用表!$B:$B,$BM$2&amp;BO$2)</f>
        <v>1</v>
      </c>
      <c r="BP110" s="288">
        <f>SUMIFS(領用表!$L:$L,領用表!$E:$E,$B110,領用表!$B:$B,$BM$2&amp;BP$2)</f>
        <v>0</v>
      </c>
      <c r="BQ110" s="287">
        <f>SUMIFS(領用表!$L:$L,領用表!$E:$E,$B110,領用表!$B:$B,$BM$2&amp;BQ$2)</f>
        <v>0</v>
      </c>
      <c r="BR110" s="203">
        <f>SUMIFS(領用表!$L:$L,領用表!$A:$A,BR$2,領用表!$E:$E,B110)</f>
        <v>8</v>
      </c>
      <c r="BS110" s="288">
        <f>SUMIFS(領用表!$L:$L,領用表!$E:$E,$B110,領用表!$B:$B,BR$2&amp;BS$2)</f>
        <v>0</v>
      </c>
      <c r="BT110" s="288">
        <f>SUMIFS(領用表!$L:$L,領用表!$E:$E,$B110,領用表!$B:$B,$BR$2&amp;BT$2)</f>
        <v>6</v>
      </c>
      <c r="BU110" s="288">
        <f>SUMIFS(領用表!$L:$L,領用表!$E:$E,$B110,領用表!$B:$B,$BR$2&amp;BU$2)</f>
        <v>0</v>
      </c>
      <c r="BV110" s="287">
        <f>SUMIFS(領用表!$L:$L,領用表!$E:$E,$B110,領用表!$B:$B,$BR$2&amp;BV$2)</f>
        <v>2</v>
      </c>
      <c r="BW110" s="208">
        <f>SUMIFS(領用表!$L:$L,領用表!$A:$A,BW$2,領用表!$E:$E,B110)</f>
        <v>11</v>
      </c>
      <c r="BX110" s="206">
        <f>SUMIFS(領用表!$L:$L,領用表!$E:$E,$B110,領用表!$B:$B,BW$2&amp;BX$2)</f>
        <v>0</v>
      </c>
      <c r="BY110" s="206">
        <f>SUMIFS(領用表!$L:$L,領用表!$E:$E,$B110,領用表!$B:$B,$BW$2&amp;BY$2)</f>
        <v>4</v>
      </c>
      <c r="BZ110" s="206">
        <f>SUMIFS(領用表!$L:$L,領用表!$E:$E,$B110,領用表!$B:$B,$BW$2&amp;BZ$2)</f>
        <v>0</v>
      </c>
      <c r="CA110" s="206">
        <f>SUMIFS(領用表!$L:$L,領用表!$E:$E,$B110,領用表!$B:$B,$BW$2&amp;CA$2)</f>
        <v>7</v>
      </c>
      <c r="CB110" s="208">
        <f>SUMIFS(領用表!$L:$L,領用表!$A:$A,CB$2,領用表!$E:$E,B110)</f>
        <v>13</v>
      </c>
      <c r="CC110" s="206">
        <f>SUMIFS(領用表!$L:$L,領用表!$E:$E,$B110,領用表!$B:$B,CB$2&amp;CC$2)</f>
        <v>0</v>
      </c>
      <c r="CD110" s="206">
        <f>SUMIFS(領用表!$L:$L,領用表!$E:$E,$B110,領用表!$B:$B,$CB$2&amp;CD$2)</f>
        <v>4</v>
      </c>
      <c r="CE110" s="206">
        <f>SUMIFS(領用表!$L:$L,領用表!$E:$E,$B110,領用表!$B:$B,$CB$2&amp;CE$2)</f>
        <v>0</v>
      </c>
      <c r="CF110" s="206">
        <f>SUMIFS(領用表!$L:$L,領用表!$E:$E,$B110,領用表!$B:$B,$CB$2&amp;CF$2)</f>
        <v>9</v>
      </c>
      <c r="CG110" s="208">
        <f>SUMIFS(領用表!$L:$L,領用表!$A:$A,CG$2,領用表!$E:$E,B110)</f>
        <v>15</v>
      </c>
      <c r="CH110" s="206">
        <f>SUMIFS(領用表!$L:$L,領用表!$E:$E,$B110,領用表!$B:$B,CG$2&amp;CH$2)</f>
        <v>0</v>
      </c>
      <c r="CI110" s="206">
        <f>SUMIFS(領用表!$L:$L,領用表!$E:$E,$B110,領用表!$B:$B,CG$2&amp;CI$2)</f>
        <v>8</v>
      </c>
      <c r="CJ110" s="206">
        <f>SUMIFS(領用表!$L:$L,領用表!$E:$E,$B110,領用表!$B:$B,CG$2&amp;CJ$2)</f>
        <v>0</v>
      </c>
      <c r="CK110" s="206">
        <f>SUMIFS(領用表!$L:$L,領用表!$E:$E,$B110,領用表!$B:$B,$CG$2&amp;CK$2)</f>
        <v>7</v>
      </c>
      <c r="CL110" s="207">
        <f>SUM(AX110,AY110,AZ110,BA110,BB110,BC110,BH110,BM110,BR110,BW110,CB110,CG110)</f>
        <v>75</v>
      </c>
      <c r="CM110" s="207">
        <f>AVERAGE(AX110,AY110,AZ110,BA110,BB110,BC110,BH110,BM110,BR110,BW110,CB110,CG110)</f>
        <v>6.25</v>
      </c>
      <c r="CN110" s="208">
        <f>SUMIFS(領用表!$L:$L,領用表!$A:$A,CN$2,領用表!$E:$E,B110)</f>
        <v>12</v>
      </c>
      <c r="CO110" s="206">
        <f>SUMIFS(領用表!$L:$L,領用表!$E:$E,$B110,領用表!$B:$B,CN$2&amp;CO$2)</f>
        <v>0</v>
      </c>
      <c r="CP110" s="206">
        <f>SUMIFS(領用表!$L:$L,領用表!$E:$E,$B110,領用表!$B:$B,$CN$2&amp;CP$2)</f>
        <v>5</v>
      </c>
      <c r="CQ110" s="206">
        <f>SUMIFS(領用表!$L:$L,領用表!$E:$E,$B110,領用表!$B:$B,$CN$2&amp;CQ$2)</f>
        <v>0</v>
      </c>
      <c r="CR110" s="206">
        <f>SUMIFS(領用表!$L:$L,領用表!$E:$E,$B110,領用表!$B:$B,$CN$2&amp;CR$2)</f>
        <v>7</v>
      </c>
      <c r="CS110" s="208">
        <f>SUMIFS(領用表!$L:$L,領用表!$A:$A,CS$2,領用表!$E:$E,B110)</f>
        <v>14</v>
      </c>
      <c r="CT110" s="206">
        <f>SUMIFS(領用表!$L:$L,領用表!$E:$E,$B110,領用表!$B:$B,CS$2&amp;CT$2)</f>
        <v>0</v>
      </c>
      <c r="CU110" s="206">
        <f>SUMIFS(領用表!$L:$L,領用表!$E:$E,$B110,領用表!$B:$B,$CS$2&amp;CU$2)</f>
        <v>10</v>
      </c>
      <c r="CV110" s="206">
        <f>SUMIFS(領用表!$L:$L,領用表!$E:$E,$B110,領用表!$B:$B,$CS$2&amp;CV$2)</f>
        <v>0</v>
      </c>
      <c r="CW110" s="206">
        <f>SUMIFS(領用表!$L:$L,領用表!$E:$E,$B110,領用表!$B:$B,$CS$2&amp;CW$2)</f>
        <v>4</v>
      </c>
      <c r="CX110" s="206">
        <f>SUMIFS(領用表!$L:$L,領用表!$E:$E,$B110,領用表!$B:$B,$CS$2&amp;CX$2)</f>
        <v>0</v>
      </c>
      <c r="CY110" s="208">
        <f>SUMIFS(領用表!$L:$L,領用表!$A:$A,CY$2,領用表!$E:$E,B110)</f>
        <v>23</v>
      </c>
      <c r="CZ110" s="206">
        <f>SUMIFS(領用表!$L:$L,領用表!$E:$E,$B110,領用表!$B:$B,CY$2&amp;CZ$2)</f>
        <v>0</v>
      </c>
      <c r="DA110" s="206">
        <f>SUMIFS(領用表!$L:$L,領用表!$E:$E,$B110,領用表!$B:$B,$CY$2&amp;DA$2)</f>
        <v>14</v>
      </c>
      <c r="DB110" s="206">
        <f>SUMIFS(領用表!$L:$L,領用表!$E:$E,$B110,領用表!$B:$B,$CY$2&amp;DB$2)</f>
        <v>0</v>
      </c>
      <c r="DC110" s="206">
        <f>SUMIFS(領用表!$L:$L,領用表!$E:$E,$B110,領用表!$B:$B,$CY$2&amp;DC$2)</f>
        <v>9</v>
      </c>
      <c r="DD110" s="206">
        <f>SUMIFS(領用表!$L:$L,領用表!$E:$E,$B110,領用表!$B:$B,$CY$2&amp;DD$2)</f>
        <v>0</v>
      </c>
      <c r="DE110" s="208">
        <f>SUMIFS(領用表!$L:$L,領用表!$A:$A,DE$2,領用表!$E:$E,B110)</f>
        <v>27</v>
      </c>
      <c r="DF110" s="206">
        <f>SUMIFS(領用表!$L:$L,領用表!$E:$E,$B110,領用表!$B:$B,DE$2&amp;DF$2)</f>
        <v>0</v>
      </c>
      <c r="DG110" s="206">
        <f>SUMIFS(領用表!$L:$L,領用表!$E:$E,$B110,領用表!$B:$B,$DE$2&amp;DG$2)</f>
        <v>15</v>
      </c>
      <c r="DH110" s="206">
        <f>SUMIFS(領用表!$L:$L,領用表!$E:$E,$B110,領用表!$B:$B,$DE$2&amp;DH$2)</f>
        <v>0</v>
      </c>
      <c r="DI110" s="206">
        <f>SUMIFS(領用表!$L:$L,領用表!$E:$E,$B110,領用表!$B:$B,$DE$2&amp;DI$2)</f>
        <v>11</v>
      </c>
      <c r="DJ110" s="206">
        <f>SUMIFS(領用表!$L:$L,領用表!$E:$E,$B110,領用表!$B:$B,$DE$2&amp;DJ$2)</f>
        <v>1</v>
      </c>
      <c r="DK110" s="208">
        <f>SUMIFS(領用表!$L:$L,領用表!$A:$A,DK$2,領用表!$E:$E,$B110)</f>
        <v>14</v>
      </c>
      <c r="DL110" s="206">
        <f>SUMIFS(領用表!$L:$L,領用表!$E:$E,$B110,領用表!$B:$B,DK$2&amp;DL$2)</f>
        <v>0</v>
      </c>
      <c r="DM110" s="206">
        <f>SUMIFS(領用表!$L:$L,領用表!$E:$E,$B110,領用表!$B:$B,$DK$2&amp;DM$2)</f>
        <v>10</v>
      </c>
      <c r="DN110" s="206">
        <f>SUMIFS(領用表!$L:$L,領用表!$E:$E,$B110,領用表!$B:$B,$DK$2&amp;DN$2)</f>
        <v>0</v>
      </c>
      <c r="DO110" s="206">
        <f>SUMIFS(領用表!$L:$L,領用表!$E:$E,$B110,領用表!$B:$B,$DK$2&amp;DO$2)</f>
        <v>4</v>
      </c>
      <c r="DP110" s="206">
        <f>SUMIFS(領用表!$L:$L,領用表!$E:$E,$B110,領用表!$B:$B,$DK$2&amp;DP$2)</f>
        <v>0</v>
      </c>
      <c r="DQ110" s="206">
        <f t="shared" si="28"/>
        <v>90</v>
      </c>
      <c r="DR110" s="206">
        <f t="shared" si="29"/>
        <v>18</v>
      </c>
      <c r="DS110" s="206">
        <f t="shared" si="27"/>
        <v>0</v>
      </c>
      <c r="DT110" s="206">
        <v>0</v>
      </c>
      <c r="DU110" s="206">
        <v>0</v>
      </c>
      <c r="DV110" s="206">
        <v>0</v>
      </c>
      <c r="DW110" s="206">
        <v>0</v>
      </c>
      <c r="DX110" s="258">
        <v>20</v>
      </c>
      <c r="DY110" s="283"/>
      <c r="DZ110" s="283"/>
      <c r="EA110" s="283"/>
      <c r="EB110" s="136"/>
      <c r="EC110" s="289"/>
      <c r="ED110" s="118">
        <f>IFERROR(VLOOKUP(A110,站前4樓!A:BF,57,0),0)</f>
        <v>0</v>
      </c>
      <c r="EE110" s="213">
        <f>IFERROR(VLOOKUP(A110,站前11樓!A:BE,57,0),0)</f>
        <v>0</v>
      </c>
      <c r="EF110" s="118">
        <f>IFERROR(VLOOKUP(A110,忠孝7樓!A:N,57,0),0)</f>
        <v>0</v>
      </c>
      <c r="EG110" s="118">
        <f>IFERROR(VLOOKUP(A110,忠孝國際醫學3樓!A:L,57,0),0)</f>
        <v>0</v>
      </c>
      <c r="EH110" s="118">
        <f>SUM(ED110:EG110)</f>
        <v>0</v>
      </c>
    </row>
    <row r="111" spans="1:138" s="118" customFormat="1" ht="15.75" customHeight="1" thickBot="1">
      <c r="A111" s="306" t="s">
        <v>661</v>
      </c>
      <c r="B111" s="118">
        <v>6120015</v>
      </c>
      <c r="C111" s="136" t="s">
        <v>517</v>
      </c>
      <c r="D111" s="307"/>
      <c r="E111" s="198" t="s">
        <v>15</v>
      </c>
      <c r="F111" s="225">
        <f>SUMIF(站前4樓!B:B,B111,站前4樓!F:F)</f>
        <v>0</v>
      </c>
      <c r="G111" s="225">
        <f>SUMIF(站前11樓!B:B,B111,站前11樓!F:F)</f>
        <v>0</v>
      </c>
      <c r="H111" s="225">
        <f>SUMIF(忠孝7樓!B:B,B111,忠孝7樓!G:G)</f>
        <v>209</v>
      </c>
      <c r="I111" s="225">
        <f>SUMIF(忠孝國際醫學3樓!B:B,B111,忠孝國際醫學3樓!G:G)</f>
        <v>5</v>
      </c>
      <c r="J111" s="225">
        <f>SUMIF(忠孝健康7樓!B:B,B111,忠孝健康7樓!G:G)</f>
        <v>60</v>
      </c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83"/>
      <c r="AB111" s="283"/>
      <c r="AC111" s="283"/>
      <c r="AD111" s="283"/>
      <c r="AE111" s="283"/>
      <c r="AF111" s="283"/>
      <c r="AG111" s="283"/>
      <c r="AH111" s="283"/>
      <c r="AI111" s="283"/>
      <c r="AJ111" s="201"/>
      <c r="AK111" s="201"/>
      <c r="AL111" s="201"/>
      <c r="AM111" s="201"/>
      <c r="AN111" s="201"/>
      <c r="AO111" s="201"/>
      <c r="AP111" s="201"/>
      <c r="AQ111" s="201">
        <v>0</v>
      </c>
      <c r="AR111" s="201">
        <v>0</v>
      </c>
      <c r="AS111" s="201">
        <v>0</v>
      </c>
      <c r="AT111" s="201">
        <v>0</v>
      </c>
      <c r="AU111" s="201">
        <v>0</v>
      </c>
      <c r="AV111" s="283">
        <f>SUM(AJ111:AU111)</f>
        <v>0</v>
      </c>
      <c r="AW111" s="286">
        <f>AV111/12</f>
        <v>0</v>
      </c>
      <c r="AX111" s="201">
        <v>0</v>
      </c>
      <c r="AY111" s="201">
        <v>0</v>
      </c>
      <c r="AZ111" s="201">
        <v>10</v>
      </c>
      <c r="BA111" s="201">
        <v>32</v>
      </c>
      <c r="BB111" s="201">
        <f>76+7</f>
        <v>83</v>
      </c>
      <c r="BC111" s="203">
        <f>SUMIFS(領用表!$L:$L,領用表!$A:$A,BC$2,領用表!$E:$E,B111)</f>
        <v>41</v>
      </c>
      <c r="BD111" s="287">
        <f>SUMIFS(領用表!$L:$L,領用表!$E:$E,$B111,領用表!$B:$B,BC$2&amp;BD$2)</f>
        <v>40</v>
      </c>
      <c r="BE111" s="287">
        <f>SUMIFS(領用表!$L:$L,領用表!$E:$E,$B111,領用表!$B:$B,$BC$2&amp;BE$2)</f>
        <v>1</v>
      </c>
      <c r="BF111" s="287">
        <f>SUMIFS(領用表!$L:$L,領用表!$E:$E,$B111,領用表!$B:$B,$BC$2&amp;BF$2)</f>
        <v>0</v>
      </c>
      <c r="BG111" s="206">
        <f>SUMIFS(領用表!$L:$L,領用表!$E:$E,$B111,領用表!$B:$B,$BC$2&amp;BG$2)</f>
        <v>0</v>
      </c>
      <c r="BH111" s="203">
        <f>SUMIFS(領用表!$L:$L,領用表!$A:$A,BH$2,領用表!$E:$E,B111)</f>
        <v>213</v>
      </c>
      <c r="BI111" s="260">
        <f>SUMIFS(領用表!$L:$L,領用表!$E:$E,$B111,領用表!$B:$B,BH$2&amp;BI$2)</f>
        <v>84</v>
      </c>
      <c r="BJ111" s="260">
        <f>SUMIFS(領用表!$L:$L,領用表!$E:$E,$B111,領用表!$B:$B,$BH$2&amp;BJ$2)</f>
        <v>5</v>
      </c>
      <c r="BK111" s="260">
        <f>SUMIFS(領用表!$L:$L,領用表!$E:$E,$B111,領用表!$B:$B,$BH$2&amp;BK$2)</f>
        <v>91</v>
      </c>
      <c r="BL111" s="260">
        <f>SUMIFS(領用表!$L:$L,領用表!$E:$E,$B111,領用表!$B:$B,$BH$2&amp;BL$2)</f>
        <v>33</v>
      </c>
      <c r="BM111" s="203">
        <f>SUMIFS(領用表!$L:$L,領用表!$A:$A,BM$2,領用表!$E:$E,B111)</f>
        <v>413</v>
      </c>
      <c r="BN111" s="206">
        <f>SUMIFS(領用表!$L:$L,領用表!$E:$E,$B111,領用表!$B:$B,BM$2&amp;BN$2)</f>
        <v>168</v>
      </c>
      <c r="BO111" s="206">
        <f>SUMIFS(領用表!$L:$L,領用表!$E:$E,$B111,領用表!$B:$B,$BM$2&amp;BO$2)</f>
        <v>2</v>
      </c>
      <c r="BP111" s="288">
        <f>SUMIFS(領用表!$L:$L,領用表!$E:$E,$B111,領用表!$B:$B,$BM$2&amp;BP$2)</f>
        <v>233</v>
      </c>
      <c r="BQ111" s="287">
        <f>SUMIFS(領用表!$L:$L,領用表!$E:$E,$B111,領用表!$B:$B,$BM$2&amp;BQ$2)</f>
        <v>10</v>
      </c>
      <c r="BR111" s="203">
        <f>SUMIFS(領用表!$L:$L,領用表!$A:$A,BR$2,領用表!$E:$E,B111)</f>
        <v>584</v>
      </c>
      <c r="BS111" s="288">
        <f>SUMIFS(領用表!$L:$L,領用表!$E:$E,$B111,領用表!$B:$B,BR$2&amp;BS$2)</f>
        <v>204</v>
      </c>
      <c r="BT111" s="288">
        <f>SUMIFS(領用表!$L:$L,領用表!$E:$E,$B111,領用表!$B:$B,$BR$2&amp;BT$2)</f>
        <v>1</v>
      </c>
      <c r="BU111" s="288">
        <f>SUMIFS(領用表!$L:$L,領用表!$E:$E,$B111,領用表!$B:$B,$BR$2&amp;BU$2)</f>
        <v>374</v>
      </c>
      <c r="BV111" s="287">
        <f>SUMIFS(領用表!$L:$L,領用表!$E:$E,$B111,領用表!$B:$B,$BR$2&amp;BV$2)</f>
        <v>5</v>
      </c>
      <c r="BW111" s="208">
        <f>SUMIFS(領用表!$L:$L,領用表!$A:$A,BW$2,領用表!$E:$E,B111)</f>
        <v>644</v>
      </c>
      <c r="BX111" s="206">
        <f>SUMIFS(領用表!$L:$L,領用表!$E:$E,$B111,領用表!$B:$B,BW$2&amp;BX$2)</f>
        <v>207</v>
      </c>
      <c r="BY111" s="206">
        <f>SUMIFS(領用表!$L:$L,領用表!$E:$E,$B111,領用表!$B:$B,$BW$2&amp;BY$2)</f>
        <v>19</v>
      </c>
      <c r="BZ111" s="206">
        <f>SUMIFS(領用表!$L:$L,領用表!$E:$E,$B111,領用表!$B:$B,$BW$2&amp;BZ$2)</f>
        <v>404</v>
      </c>
      <c r="CA111" s="206">
        <f>SUMIFS(領用表!$L:$L,領用表!$E:$E,$B111,領用表!$B:$B,$BW$2&amp;CA$2)</f>
        <v>14</v>
      </c>
      <c r="CB111" s="208">
        <f>SUMIFS(領用表!$L:$L,領用表!$A:$A,CB$2,領用表!$E:$E,B111)</f>
        <v>747</v>
      </c>
      <c r="CC111" s="206">
        <f>SUMIFS(領用表!$L:$L,領用表!$E:$E,$B111,領用表!$B:$B,CB$2&amp;CC$2)</f>
        <v>259</v>
      </c>
      <c r="CD111" s="206">
        <f>SUMIFS(領用表!$L:$L,領用表!$E:$E,$B111,領用表!$B:$B,$CB$2&amp;CD$2)</f>
        <v>31</v>
      </c>
      <c r="CE111" s="206">
        <f>SUMIFS(領用表!$L:$L,領用表!$E:$E,$B111,領用表!$B:$B,$CB$2&amp;CE$2)</f>
        <v>444</v>
      </c>
      <c r="CF111" s="206">
        <f>SUMIFS(領用表!$L:$L,領用表!$E:$E,$B111,領用表!$B:$B,$CB$2&amp;CF$2)</f>
        <v>13</v>
      </c>
      <c r="CG111" s="208">
        <f>SUMIFS(領用表!$L:$L,領用表!$A:$A,CG$2,領用表!$E:$E,B111)</f>
        <v>594</v>
      </c>
      <c r="CH111" s="206">
        <f>SUMIFS(領用表!$L:$L,領用表!$E:$E,$B111,領用表!$B:$B,CG$2&amp;CH$2)</f>
        <v>237</v>
      </c>
      <c r="CI111" s="206">
        <f>SUMIFS(領用表!$L:$L,領用表!$E:$E,$B111,領用表!$B:$B,CG$2&amp;CI$2)</f>
        <v>25</v>
      </c>
      <c r="CJ111" s="206">
        <f>SUMIFS(領用表!$L:$L,領用表!$E:$E,$B111,領用表!$B:$B,CG$2&amp;CJ$2)</f>
        <v>324</v>
      </c>
      <c r="CK111" s="206">
        <f>SUMIFS(領用表!$L:$L,領用表!$E:$E,$B111,領用表!$B:$B,$CG$2&amp;CK$2)</f>
        <v>8</v>
      </c>
      <c r="CL111" s="207">
        <f>SUM(AX111,AY111,AZ111,BA111,BB111,BC111,BH111,BM111,BR111,BW111,CB111,CG111)</f>
        <v>3361</v>
      </c>
      <c r="CM111" s="207">
        <f>AVERAGE(AX111,AY111,AZ111,BA111,BB111,BC111,BH111,BM111,BR111,BW111,CB111,CG111)</f>
        <v>280.08333333333331</v>
      </c>
      <c r="CN111" s="208">
        <f>SUMIFS(領用表!$L:$L,領用表!$A:$A,CN$2,領用表!$E:$E,B111)</f>
        <v>521</v>
      </c>
      <c r="CO111" s="206">
        <f>SUMIFS(領用表!$L:$L,領用表!$E:$E,$B111,領用表!$B:$B,CN$2&amp;CO$2)</f>
        <v>220</v>
      </c>
      <c r="CP111" s="206">
        <f>SUMIFS(領用表!$L:$L,領用表!$E:$E,$B111,領用表!$B:$B,$CN$2&amp;CP$2)</f>
        <v>26</v>
      </c>
      <c r="CQ111" s="206">
        <f>SUMIFS(領用表!$L:$L,領用表!$E:$E,$B111,領用表!$B:$B,$CN$2&amp;CQ$2)</f>
        <v>263</v>
      </c>
      <c r="CR111" s="206">
        <f>SUMIFS(領用表!$L:$L,領用表!$E:$E,$B111,領用表!$B:$B,$CN$2&amp;CR$2)</f>
        <v>12</v>
      </c>
      <c r="CS111" s="208">
        <f>SUMIFS(領用表!$L:$L,領用表!$A:$A,CS$2,領用表!$E:$E,B111)</f>
        <v>351</v>
      </c>
      <c r="CT111" s="206">
        <f>SUMIFS(領用表!$L:$L,領用表!$E:$E,$B111,領用表!$B:$B,CS$2&amp;CT$2)</f>
        <v>145</v>
      </c>
      <c r="CU111" s="206">
        <f>SUMIFS(領用表!$L:$L,領用表!$E:$E,$B111,領用表!$B:$B,$CS$2&amp;CU$2)</f>
        <v>21</v>
      </c>
      <c r="CV111" s="206">
        <f>SUMIFS(領用表!$L:$L,領用表!$E:$E,$B111,領用表!$B:$B,$CS$2&amp;CV$2)</f>
        <v>165</v>
      </c>
      <c r="CW111" s="206">
        <f>SUMIFS(領用表!$L:$L,領用表!$E:$E,$B111,領用表!$B:$B,$CS$2&amp;CW$2)</f>
        <v>16</v>
      </c>
      <c r="CX111" s="206">
        <f>SUMIFS(領用表!$L:$L,領用表!$E:$E,$B111,領用表!$B:$B,$CS$2&amp;CX$2)</f>
        <v>4</v>
      </c>
      <c r="CY111" s="208">
        <f>SUMIFS(領用表!$L:$L,領用表!$A:$A,CY$2,領用表!$E:$E,B111)</f>
        <v>427</v>
      </c>
      <c r="CZ111" s="206">
        <f>SUMIFS(領用表!$L:$L,領用表!$E:$E,$B111,領用表!$B:$B,CY$2&amp;CZ$2)</f>
        <v>169</v>
      </c>
      <c r="DA111" s="206">
        <f>SUMIFS(領用表!$L:$L,領用表!$E:$E,$B111,領用表!$B:$B,$CY$2&amp;DA$2)</f>
        <v>24</v>
      </c>
      <c r="DB111" s="206">
        <f>SUMIFS(領用表!$L:$L,領用表!$E:$E,$B111,領用表!$B:$B,$CY$2&amp;DB$2)</f>
        <v>167</v>
      </c>
      <c r="DC111" s="206">
        <f>SUMIFS(領用表!$L:$L,領用表!$E:$E,$B111,領用表!$B:$B,$CY$2&amp;DC$2)</f>
        <v>17</v>
      </c>
      <c r="DD111" s="206">
        <f>SUMIFS(領用表!$L:$L,領用表!$E:$E,$B111,領用表!$B:$B,$CY$2&amp;DD$2)</f>
        <v>50</v>
      </c>
      <c r="DE111" s="208">
        <f>SUMIFS(領用表!$L:$L,領用表!$A:$A,DE$2,領用表!$E:$E,B111)</f>
        <v>376</v>
      </c>
      <c r="DF111" s="206">
        <f>SUMIFS(領用表!$L:$L,領用表!$E:$E,$B111,領用表!$B:$B,DE$2&amp;DF$2)</f>
        <v>151</v>
      </c>
      <c r="DG111" s="206">
        <f>SUMIFS(領用表!$L:$L,領用表!$E:$E,$B111,領用表!$B:$B,$DE$2&amp;DG$2)</f>
        <v>27</v>
      </c>
      <c r="DH111" s="206">
        <f>SUMIFS(領用表!$L:$L,領用表!$E:$E,$B111,領用表!$B:$B,$DE$2&amp;DH$2)</f>
        <v>128</v>
      </c>
      <c r="DI111" s="206">
        <f>SUMIFS(領用表!$L:$L,領用表!$E:$E,$B111,領用表!$B:$B,$DE$2&amp;DI$2)</f>
        <v>14</v>
      </c>
      <c r="DJ111" s="206">
        <f>SUMIFS(領用表!$L:$L,領用表!$E:$E,$B111,領用表!$B:$B,$DE$2&amp;DJ$2)</f>
        <v>56</v>
      </c>
      <c r="DK111" s="208">
        <f>SUMIFS(領用表!$L:$L,領用表!$A:$A,DK$2,領用表!$E:$E,$B111)</f>
        <v>396</v>
      </c>
      <c r="DL111" s="206">
        <f>SUMIFS(領用表!$L:$L,領用表!$E:$E,$B111,領用表!$B:$B,DK$2&amp;DL$2)</f>
        <v>150</v>
      </c>
      <c r="DM111" s="206">
        <f>SUMIFS(領用表!$L:$L,領用表!$E:$E,$B111,領用表!$B:$B,$DK$2&amp;DM$2)</f>
        <v>29</v>
      </c>
      <c r="DN111" s="206">
        <f>SUMIFS(領用表!$L:$L,領用表!$E:$E,$B111,領用表!$B:$B,$DK$2&amp;DN$2)</f>
        <v>143</v>
      </c>
      <c r="DO111" s="206">
        <f>SUMIFS(領用表!$L:$L,領用表!$E:$E,$B111,領用表!$B:$B,$DK$2&amp;DO$2)</f>
        <v>15</v>
      </c>
      <c r="DP111" s="206">
        <f>SUMIFS(領用表!$L:$L,領用表!$E:$E,$B111,領用表!$B:$B,$DK$2&amp;DP$2)</f>
        <v>59</v>
      </c>
      <c r="DQ111" s="206">
        <f t="shared" si="28"/>
        <v>2071</v>
      </c>
      <c r="DR111" s="206">
        <f t="shared" si="29"/>
        <v>414.2</v>
      </c>
      <c r="DS111" s="206">
        <f t="shared" si="27"/>
        <v>0</v>
      </c>
      <c r="DT111" s="206">
        <v>0</v>
      </c>
      <c r="DU111" s="206">
        <v>0</v>
      </c>
      <c r="DV111" s="206">
        <v>0</v>
      </c>
      <c r="DW111" s="206">
        <v>0</v>
      </c>
      <c r="DX111" s="258">
        <v>20</v>
      </c>
      <c r="DY111" s="283"/>
      <c r="DZ111" s="252" t="s">
        <v>159</v>
      </c>
      <c r="EA111" s="283"/>
      <c r="EB111" s="136"/>
      <c r="EC111" s="289"/>
      <c r="ED111" s="118">
        <f>IFERROR(VLOOKUP(A111,站前4樓!A:BF,57,0),0)</f>
        <v>0</v>
      </c>
      <c r="EE111" s="213">
        <f>IFERROR(VLOOKUP(A111,站前11樓!A:BE,57,0),0)</f>
        <v>0</v>
      </c>
      <c r="EF111" s="118">
        <f>IFERROR(VLOOKUP(A111,忠孝7樓!A:N,57,0),0)</f>
        <v>0</v>
      </c>
      <c r="EG111" s="118">
        <f>IFERROR(VLOOKUP(A111,忠孝國際醫學3樓!A:L,57,0),0)</f>
        <v>0</v>
      </c>
      <c r="EH111" s="118">
        <f>SUM(ED111:EG111)</f>
        <v>0</v>
      </c>
    </row>
    <row r="112" spans="1:138" s="128" customFormat="1" ht="15.75" customHeight="1" thickBot="1">
      <c r="A112" s="308" t="s">
        <v>752</v>
      </c>
      <c r="B112" s="230">
        <v>6120037</v>
      </c>
      <c r="C112" s="309" t="s">
        <v>753</v>
      </c>
      <c r="D112" s="310"/>
      <c r="E112" s="311"/>
      <c r="F112" s="312">
        <f>SUMIF(站前4樓!B:B,B112,站前4樓!F:F)</f>
        <v>0</v>
      </c>
      <c r="G112" s="312">
        <f>SUMIF(站前11樓!B:B,B112,站前11樓!F:F)</f>
        <v>0</v>
      </c>
      <c r="H112" s="312">
        <f>SUMIF(忠孝7樓!B:B,B112,忠孝7樓!G:G)</f>
        <v>0</v>
      </c>
      <c r="I112" s="312">
        <f>SUMIF(忠孝國際醫學3樓!B:B,B112,忠孝國際醫學3樓!G:G)</f>
        <v>101</v>
      </c>
      <c r="J112" s="312">
        <f>SUMIF(忠孝健康7樓!B:B,B112,忠孝健康7樓!G:G)</f>
        <v>0</v>
      </c>
      <c r="K112" s="313"/>
      <c r="L112" s="313"/>
      <c r="M112" s="313"/>
      <c r="N112" s="313"/>
      <c r="O112" s="313"/>
      <c r="P112" s="313"/>
      <c r="Q112" s="313"/>
      <c r="R112" s="313"/>
      <c r="S112" s="313"/>
      <c r="T112" s="313"/>
      <c r="U112" s="313"/>
      <c r="V112" s="313"/>
      <c r="W112" s="313"/>
      <c r="X112" s="313"/>
      <c r="Y112" s="313"/>
      <c r="Z112" s="313"/>
      <c r="AA112" s="313"/>
      <c r="AB112" s="313"/>
      <c r="AC112" s="313"/>
      <c r="AD112" s="313"/>
      <c r="AE112" s="313"/>
      <c r="AF112" s="313"/>
      <c r="AG112" s="313"/>
      <c r="AH112" s="313"/>
      <c r="AI112" s="313"/>
      <c r="AJ112" s="237"/>
      <c r="AK112" s="237"/>
      <c r="AL112" s="237"/>
      <c r="AM112" s="237"/>
      <c r="AN112" s="237"/>
      <c r="AO112" s="237"/>
      <c r="AP112" s="237"/>
      <c r="AQ112" s="237"/>
      <c r="AR112" s="237"/>
      <c r="AS112" s="237"/>
      <c r="AT112" s="237"/>
      <c r="AU112" s="237"/>
      <c r="AV112" s="313"/>
      <c r="AW112" s="314"/>
      <c r="AX112" s="237"/>
      <c r="AY112" s="237"/>
      <c r="AZ112" s="237"/>
      <c r="BA112" s="237"/>
      <c r="BB112" s="237"/>
      <c r="BC112" s="239"/>
      <c r="BD112" s="315"/>
      <c r="BE112" s="315"/>
      <c r="BF112" s="315"/>
      <c r="BG112" s="242"/>
      <c r="BH112" s="239">
        <f>SUMIFS(領用表!$L:$L,領用表!$A:$A,BH$2,領用表!$E:$E,B112)</f>
        <v>0</v>
      </c>
      <c r="BI112" s="316">
        <f>SUMIFS(領用表!$L:$L,領用表!$E:$E,$B112,領用表!$B:$B,BH$2&amp;BI$2)</f>
        <v>0</v>
      </c>
      <c r="BJ112" s="316">
        <f>SUMIFS(領用表!$L:$L,領用表!$E:$E,$B112,領用表!$B:$B,$BH$2&amp;BJ$2)</f>
        <v>0</v>
      </c>
      <c r="BK112" s="316">
        <f>SUMIFS(領用表!$L:$L,領用表!$E:$E,$B112,領用表!$B:$B,$BH$2&amp;BK$2)</f>
        <v>0</v>
      </c>
      <c r="BL112" s="316">
        <f>SUMIFS(領用表!$L:$L,領用表!$E:$E,$B112,領用表!$B:$B,$BH$2&amp;BL$2)</f>
        <v>0</v>
      </c>
      <c r="BM112" s="239">
        <f>SUMIFS(領用表!$L:$L,領用表!$A:$A,BM$2,領用表!$E:$E,B112)</f>
        <v>0</v>
      </c>
      <c r="BN112" s="242">
        <f>SUMIFS(領用表!$L:$L,領用表!$E:$E,$B112,領用表!$B:$B,BM$2&amp;BN$2)</f>
        <v>0</v>
      </c>
      <c r="BO112" s="242">
        <f>SUMIFS(領用表!$L:$L,領用表!$E:$E,$B112,領用表!$B:$B,$BM$2&amp;BO$2)</f>
        <v>0</v>
      </c>
      <c r="BP112" s="317">
        <f>SUMIFS(領用表!$L:$L,領用表!$E:$E,$B112,領用表!$B:$B,$BM$2&amp;BP$2)</f>
        <v>0</v>
      </c>
      <c r="BQ112" s="315">
        <f>SUMIFS(領用表!$L:$L,領用表!$E:$E,$B112,領用表!$B:$B,$BM$2&amp;BQ$2)</f>
        <v>0</v>
      </c>
      <c r="BR112" s="239">
        <f>SUMIFS(領用表!$L:$L,領用表!$A:$A,BR$2,領用表!$E:$E,B112)</f>
        <v>0</v>
      </c>
      <c r="BS112" s="317">
        <f>SUMIFS(領用表!$L:$L,領用表!$E:$E,$B112,領用表!$B:$B,BR$2&amp;BS$2)</f>
        <v>0</v>
      </c>
      <c r="BT112" s="317">
        <f>SUMIFS(領用表!$L:$L,領用表!$E:$E,$B112,領用表!$B:$B,$BR$2&amp;BT$2)</f>
        <v>0</v>
      </c>
      <c r="BU112" s="317">
        <f>SUMIFS(領用表!$L:$L,領用表!$E:$E,$B112,領用表!$B:$B,$BR$2&amp;BU$2)</f>
        <v>0</v>
      </c>
      <c r="BV112" s="315">
        <f>SUMIFS(領用表!$L:$L,領用表!$E:$E,$B112,領用表!$B:$B,$BR$2&amp;BV$2)</f>
        <v>0</v>
      </c>
      <c r="BW112" s="243">
        <f>SUMIFS(領用表!$L:$L,領用表!$A:$A,BW$2,領用表!$E:$E,B112)</f>
        <v>0</v>
      </c>
      <c r="BX112" s="242">
        <f>SUMIFS(領用表!$L:$L,領用表!$E:$E,$B112,領用表!$B:$B,BW$2&amp;BX$2)</f>
        <v>0</v>
      </c>
      <c r="BY112" s="242">
        <f>SUMIFS(領用表!$L:$L,領用表!$E:$E,$B112,領用表!$B:$B,$BW$2&amp;BY$2)</f>
        <v>0</v>
      </c>
      <c r="BZ112" s="242">
        <f>SUMIFS(領用表!$L:$L,領用表!$E:$E,$B112,領用表!$B:$B,$BW$2&amp;BZ$2)</f>
        <v>0</v>
      </c>
      <c r="CA112" s="242">
        <f>SUMIFS(領用表!$L:$L,領用表!$E:$E,$B112,領用表!$B:$B,$BW$2&amp;CA$2)</f>
        <v>0</v>
      </c>
      <c r="CB112" s="243">
        <f>SUMIFS(領用表!$L:$L,領用表!$A:$A,CB$2,領用表!$E:$E,B112)</f>
        <v>0</v>
      </c>
      <c r="CC112" s="242"/>
      <c r="CD112" s="242"/>
      <c r="CE112" s="242"/>
      <c r="CF112" s="242"/>
      <c r="CG112" s="243">
        <f>SUMIFS(領用表!$L:$L,領用表!$A:$A,CG$2,領用表!$E:$E,B112)</f>
        <v>0</v>
      </c>
      <c r="CH112" s="242">
        <f>SUMIFS(領用表!$L:$L,領用表!$E:$E,$B112,領用表!$B:$B,CG$2&amp;CH$2)</f>
        <v>0</v>
      </c>
      <c r="CI112" s="242">
        <f>SUMIFS(領用表!$L:$L,領用表!$E:$E,$B112,領用表!$B:$B,CG$2&amp;CI$2)</f>
        <v>0</v>
      </c>
      <c r="CJ112" s="242">
        <f>SUMIFS(領用表!$L:$L,領用表!$E:$E,$B112,領用表!$B:$B,CG$2&amp;CJ$2)</f>
        <v>0</v>
      </c>
      <c r="CK112" s="242">
        <f>SUMIFS(領用表!$L:$L,領用表!$E:$E,$B112,領用表!$B:$B,$CG$2&amp;CK$2)</f>
        <v>0</v>
      </c>
      <c r="CL112" s="244">
        <f t="shared" si="34"/>
        <v>0</v>
      </c>
      <c r="CM112" s="244">
        <f t="shared" si="35"/>
        <v>0</v>
      </c>
      <c r="CN112" s="243">
        <f>SUMIFS(領用表!$L:$L,領用表!$A:$A,CN$2,領用表!$E:$E,B112)</f>
        <v>0</v>
      </c>
      <c r="CO112" s="242">
        <f>SUMIFS(領用表!$L:$L,領用表!$E:$E,$B112,領用表!$B:$B,CN$2&amp;CO$2)</f>
        <v>0</v>
      </c>
      <c r="CP112" s="242">
        <f>SUMIFS(領用表!$L:$L,領用表!$E:$E,$B112,領用表!$B:$B,$CN$2&amp;CP$2)</f>
        <v>0</v>
      </c>
      <c r="CQ112" s="242">
        <f>SUMIFS(領用表!$L:$L,領用表!$E:$E,$B112,領用表!$B:$B,$CN$2&amp;CQ$2)</f>
        <v>0</v>
      </c>
      <c r="CR112" s="242">
        <f>SUMIFS(領用表!$L:$L,領用表!$E:$E,$B112,領用表!$B:$B,$CN$2&amp;CR$2)</f>
        <v>0</v>
      </c>
      <c r="CS112" s="243">
        <f>SUMIFS(領用表!$L:$L,領用表!$A:$A,CS$2,領用表!$E:$E,B112)</f>
        <v>0</v>
      </c>
      <c r="CT112" s="243">
        <f>SUMIFS(領用表!$L:$L,領用表!$E:$E,$B112,領用表!$B:$B,CS$2&amp;CT$2)</f>
        <v>0</v>
      </c>
      <c r="CU112" s="243">
        <f>SUMIFS(領用表!$L:$L,領用表!$E:$E,$B112,領用表!$B:$B,$CS$2&amp;CU$2)</f>
        <v>0</v>
      </c>
      <c r="CV112" s="243">
        <f>SUMIFS(領用表!$L:$L,領用表!$E:$E,$B112,領用表!$B:$B,$CS$2&amp;CV$2)</f>
        <v>0</v>
      </c>
      <c r="CW112" s="243">
        <f>SUMIFS(領用表!$L:$L,領用表!$E:$E,$B112,領用表!$B:$B,$CS$2&amp;CW$2)</f>
        <v>0</v>
      </c>
      <c r="CX112" s="243">
        <f>SUMIFS(領用表!$L:$L,領用表!$E:$E,$B112,領用表!$B:$B,$CS$2&amp;CX$2)</f>
        <v>0</v>
      </c>
      <c r="CY112" s="243">
        <f>SUMIFS(領用表!$L:$L,領用表!$A:$A,CY$2,領用表!$E:$E,B112)</f>
        <v>0</v>
      </c>
      <c r="CZ112" s="242">
        <f>SUMIFS(領用表!$L:$L,領用表!$E:$E,$B112,領用表!$B:$B,CY$2&amp;CZ$2)</f>
        <v>0</v>
      </c>
      <c r="DA112" s="242">
        <f>SUMIFS(領用表!$L:$L,領用表!$E:$E,$B112,領用表!$B:$B,$CY$2&amp;DA$2)</f>
        <v>0</v>
      </c>
      <c r="DB112" s="242">
        <f>SUMIFS(領用表!$L:$L,領用表!$E:$E,$B112,領用表!$B:$B,$CY$2&amp;DB$2)</f>
        <v>0</v>
      </c>
      <c r="DC112" s="242">
        <f>SUMIFS(領用表!$L:$L,領用表!$E:$E,$B112,領用表!$B:$B,$CY$2&amp;DC$2)</f>
        <v>0</v>
      </c>
      <c r="DD112" s="242">
        <f>SUMIFS(領用表!$L:$L,領用表!$E:$E,$B112,領用表!$B:$B,$CY$2&amp;DD$2)</f>
        <v>0</v>
      </c>
      <c r="DE112" s="243">
        <f>SUMIFS(領用表!$L:$L,領用表!$A:$A,DE$2,領用表!$E:$E,B112)</f>
        <v>0</v>
      </c>
      <c r="DF112" s="242">
        <f>SUMIFS(領用表!$L:$L,領用表!$E:$E,$B112,領用表!$B:$B,DE$2&amp;DF$2)</f>
        <v>0</v>
      </c>
      <c r="DG112" s="242">
        <f>SUMIFS(領用表!$L:$L,領用表!$E:$E,$B112,領用表!$B:$B,$DE$2&amp;DG$2)</f>
        <v>0</v>
      </c>
      <c r="DH112" s="242">
        <f>SUMIFS(領用表!$L:$L,領用表!$E:$E,$B112,領用表!$B:$B,$DE$2&amp;DH$2)</f>
        <v>0</v>
      </c>
      <c r="DI112" s="242">
        <f>SUMIFS(領用表!$L:$L,領用表!$E:$E,$B112,領用表!$B:$B,$DE$2&amp;DI$2)</f>
        <v>0</v>
      </c>
      <c r="DJ112" s="242">
        <f>SUMIFS(領用表!$L:$L,領用表!$E:$E,$B112,領用表!$B:$B,$DE$2&amp;DJ$2)</f>
        <v>0</v>
      </c>
      <c r="DK112" s="243">
        <f>SUMIFS(領用表!$L:$L,領用表!$A:$A,DK$2,領用表!$E:$E,$B112)</f>
        <v>0</v>
      </c>
      <c r="DL112" s="242">
        <f>SUMIFS(領用表!$L:$L,領用表!$E:$E,$B112,領用表!$B:$B,DK$2&amp;DL$2)</f>
        <v>0</v>
      </c>
      <c r="DM112" s="242">
        <f>SUMIFS(領用表!$L:$L,領用表!$E:$E,$B112,領用表!$B:$B,$DK$2&amp;DM$2)</f>
        <v>0</v>
      </c>
      <c r="DN112" s="242">
        <f>SUMIFS(領用表!$L:$L,領用表!$E:$E,$B112,領用表!$B:$B,$DK$2&amp;DN$2)</f>
        <v>0</v>
      </c>
      <c r="DO112" s="242">
        <f>SUMIFS(領用表!$L:$L,領用表!$E:$E,$B112,領用表!$B:$B,$DK$2&amp;DO$2)</f>
        <v>0</v>
      </c>
      <c r="DP112" s="242">
        <f>SUMIFS(領用表!$L:$L,領用表!$E:$E,$B112,領用表!$B:$B,$DK$2&amp;DP$2)</f>
        <v>0</v>
      </c>
      <c r="DQ112" s="242">
        <f t="shared" si="28"/>
        <v>0</v>
      </c>
      <c r="DR112" s="242">
        <f t="shared" si="29"/>
        <v>0</v>
      </c>
      <c r="DS112" s="242">
        <f t="shared" si="27"/>
        <v>0</v>
      </c>
      <c r="DT112" s="242">
        <v>0</v>
      </c>
      <c r="DU112" s="242">
        <v>0</v>
      </c>
      <c r="DV112" s="242">
        <v>0</v>
      </c>
      <c r="DW112" s="242">
        <v>0</v>
      </c>
      <c r="DX112" s="318"/>
      <c r="DY112" s="313"/>
      <c r="DZ112" s="319"/>
      <c r="EA112" s="313"/>
      <c r="EB112" s="248"/>
      <c r="EC112" s="248"/>
      <c r="EE112" s="250"/>
    </row>
    <row r="113" spans="1:138" s="128" customFormat="1" ht="15.75" customHeight="1" thickBot="1">
      <c r="A113" s="308" t="s">
        <v>754</v>
      </c>
      <c r="B113" s="230">
        <v>6120038</v>
      </c>
      <c r="C113" s="309" t="s">
        <v>755</v>
      </c>
      <c r="D113" s="310"/>
      <c r="E113" s="311"/>
      <c r="F113" s="312">
        <f>SUMIF(站前4樓!B:B,B113,站前4樓!F:F)</f>
        <v>366</v>
      </c>
      <c r="G113" s="312">
        <f>SUMIF(站前11樓!B:B,B113,站前11樓!F:F)</f>
        <v>13</v>
      </c>
      <c r="H113" s="312">
        <f>SUMIF(忠孝7樓!B:B,B113,忠孝7樓!G:G)</f>
        <v>609</v>
      </c>
      <c r="I113" s="312">
        <f>SUMIF(忠孝國際醫學3樓!B:B,B113,忠孝國際醫學3樓!G:G)</f>
        <v>42</v>
      </c>
      <c r="J113" s="312">
        <f>SUMIF(忠孝健康7樓!B:B,B113,忠孝健康7樓!G:G)</f>
        <v>207</v>
      </c>
      <c r="K113" s="313"/>
      <c r="L113" s="313"/>
      <c r="M113" s="313"/>
      <c r="N113" s="313"/>
      <c r="O113" s="313"/>
      <c r="P113" s="313"/>
      <c r="Q113" s="313"/>
      <c r="R113" s="313"/>
      <c r="S113" s="313"/>
      <c r="T113" s="313"/>
      <c r="U113" s="313"/>
      <c r="V113" s="313"/>
      <c r="W113" s="313"/>
      <c r="X113" s="313"/>
      <c r="Y113" s="313"/>
      <c r="Z113" s="313"/>
      <c r="AA113" s="313"/>
      <c r="AB113" s="313"/>
      <c r="AC113" s="313"/>
      <c r="AD113" s="313"/>
      <c r="AE113" s="313"/>
      <c r="AF113" s="313"/>
      <c r="AG113" s="313"/>
      <c r="AH113" s="313"/>
      <c r="AI113" s="313"/>
      <c r="AJ113" s="237"/>
      <c r="AK113" s="237"/>
      <c r="AL113" s="237"/>
      <c r="AM113" s="237"/>
      <c r="AN113" s="237"/>
      <c r="AO113" s="237"/>
      <c r="AP113" s="237"/>
      <c r="AQ113" s="237"/>
      <c r="AR113" s="237"/>
      <c r="AS113" s="237"/>
      <c r="AT113" s="237"/>
      <c r="AU113" s="237"/>
      <c r="AV113" s="313"/>
      <c r="AW113" s="314"/>
      <c r="AX113" s="237"/>
      <c r="AY113" s="237"/>
      <c r="AZ113" s="237"/>
      <c r="BA113" s="237"/>
      <c r="BB113" s="237"/>
      <c r="BC113" s="239"/>
      <c r="BD113" s="315"/>
      <c r="BE113" s="315"/>
      <c r="BF113" s="315"/>
      <c r="BG113" s="242"/>
      <c r="BH113" s="239">
        <f>SUMIFS(領用表!$L:$L,領用表!$A:$A,BH$2,領用表!$E:$E,B113)</f>
        <v>0</v>
      </c>
      <c r="BI113" s="316">
        <f>SUMIFS(領用表!$L:$L,領用表!$E:$E,$B113,領用表!$B:$B,BH$2&amp;BI$2)</f>
        <v>0</v>
      </c>
      <c r="BJ113" s="316">
        <f>SUMIFS(領用表!$L:$L,領用表!$E:$E,$B113,領用表!$B:$B,$BH$2&amp;BJ$2)</f>
        <v>0</v>
      </c>
      <c r="BK113" s="316">
        <f>SUMIFS(領用表!$L:$L,領用表!$E:$E,$B113,領用表!$B:$B,$BH$2&amp;BK$2)</f>
        <v>0</v>
      </c>
      <c r="BL113" s="316">
        <f>SUMIFS(領用表!$L:$L,領用表!$E:$E,$B113,領用表!$B:$B,$BH$2&amp;BL$2)</f>
        <v>0</v>
      </c>
      <c r="BM113" s="239">
        <f>SUMIFS(領用表!$L:$L,領用表!$A:$A,BM$2,領用表!$E:$E,B113)</f>
        <v>0</v>
      </c>
      <c r="BN113" s="242">
        <f>SUMIFS(領用表!$L:$L,領用表!$E:$E,$B113,領用表!$B:$B,BM$2&amp;BN$2)</f>
        <v>0</v>
      </c>
      <c r="BO113" s="242">
        <f>SUMIFS(領用表!$L:$L,領用表!$E:$E,$B113,領用表!$B:$B,$BM$2&amp;BO$2)</f>
        <v>0</v>
      </c>
      <c r="BP113" s="317">
        <f>SUMIFS(領用表!$L:$L,領用表!$E:$E,$B113,領用表!$B:$B,$BM$2&amp;BP$2)</f>
        <v>0</v>
      </c>
      <c r="BQ113" s="315">
        <f>SUMIFS(領用表!$L:$L,領用表!$E:$E,$B113,領用表!$B:$B,$BM$2&amp;BQ$2)</f>
        <v>0</v>
      </c>
      <c r="BR113" s="239">
        <f>SUMIFS(領用表!$L:$L,領用表!$A:$A,BR$2,領用表!$E:$E,B113)</f>
        <v>0</v>
      </c>
      <c r="BS113" s="317">
        <f>SUMIFS(領用表!$L:$L,領用表!$E:$E,$B113,領用表!$B:$B,BR$2&amp;BS$2)</f>
        <v>0</v>
      </c>
      <c r="BT113" s="317">
        <f>SUMIFS(領用表!$L:$L,領用表!$E:$E,$B113,領用表!$B:$B,$BR$2&amp;BT$2)</f>
        <v>0</v>
      </c>
      <c r="BU113" s="317">
        <f>SUMIFS(領用表!$L:$L,領用表!$E:$E,$B113,領用表!$B:$B,$BR$2&amp;BU$2)</f>
        <v>0</v>
      </c>
      <c r="BV113" s="315">
        <f>SUMIFS(領用表!$L:$L,領用表!$E:$E,$B113,領用表!$B:$B,$BR$2&amp;BV$2)</f>
        <v>0</v>
      </c>
      <c r="BW113" s="243">
        <f>SUMIFS(領用表!$L:$L,領用表!$A:$A,BW$2,領用表!$E:$E,B113)</f>
        <v>0</v>
      </c>
      <c r="BX113" s="242">
        <f>SUMIFS(領用表!$L:$L,領用表!$E:$E,$B113,領用表!$B:$B,BW$2&amp;BX$2)</f>
        <v>0</v>
      </c>
      <c r="BY113" s="242">
        <f>SUMIFS(領用表!$L:$L,領用表!$E:$E,$B113,領用表!$B:$B,$BW$2&amp;BY$2)</f>
        <v>0</v>
      </c>
      <c r="BZ113" s="242">
        <f>SUMIFS(領用表!$L:$L,領用表!$E:$E,$B113,領用表!$B:$B,$BW$2&amp;BZ$2)</f>
        <v>0</v>
      </c>
      <c r="CA113" s="242">
        <f>SUMIFS(領用表!$L:$L,領用表!$E:$E,$B113,領用表!$B:$B,$BW$2&amp;CA$2)</f>
        <v>0</v>
      </c>
      <c r="CB113" s="243">
        <f>SUMIFS(領用表!$L:$L,領用表!$A:$A,CB$2,領用表!$E:$E,B113)</f>
        <v>0</v>
      </c>
      <c r="CC113" s="242"/>
      <c r="CD113" s="242"/>
      <c r="CE113" s="242"/>
      <c r="CF113" s="242"/>
      <c r="CG113" s="243">
        <f>SUMIFS(領用表!$L:$L,領用表!$A:$A,CG$2,領用表!$E:$E,B113)</f>
        <v>0</v>
      </c>
      <c r="CH113" s="242">
        <f>SUMIFS(領用表!$L:$L,領用表!$E:$E,$B113,領用表!$B:$B,CG$2&amp;CH$2)</f>
        <v>0</v>
      </c>
      <c r="CI113" s="242">
        <f>SUMIFS(領用表!$L:$L,領用表!$E:$E,$B113,領用表!$B:$B,CG$2&amp;CI$2)</f>
        <v>0</v>
      </c>
      <c r="CJ113" s="242">
        <f>SUMIFS(領用表!$L:$L,領用表!$E:$E,$B113,領用表!$B:$B,CG$2&amp;CJ$2)</f>
        <v>0</v>
      </c>
      <c r="CK113" s="242">
        <f>SUMIFS(領用表!$L:$L,領用表!$E:$E,$B113,領用表!$B:$B,$CG$2&amp;CK$2)</f>
        <v>0</v>
      </c>
      <c r="CL113" s="244">
        <f t="shared" si="34"/>
        <v>0</v>
      </c>
      <c r="CM113" s="244">
        <f t="shared" si="35"/>
        <v>0</v>
      </c>
      <c r="CN113" s="243">
        <f>SUMIFS(領用表!$L:$L,領用表!$A:$A,CN$2,領用表!$E:$E,B113)</f>
        <v>0</v>
      </c>
      <c r="CO113" s="242">
        <f>SUMIFS(領用表!$L:$L,領用表!$E:$E,$B113,領用表!$B:$B,CN$2&amp;CO$2)</f>
        <v>0</v>
      </c>
      <c r="CP113" s="242">
        <f>SUMIFS(領用表!$L:$L,領用表!$E:$E,$B113,領用表!$B:$B,$CN$2&amp;CP$2)</f>
        <v>0</v>
      </c>
      <c r="CQ113" s="242">
        <f>SUMIFS(領用表!$L:$L,領用表!$E:$E,$B113,領用表!$B:$B,$CN$2&amp;CQ$2)</f>
        <v>0</v>
      </c>
      <c r="CR113" s="242">
        <f>SUMIFS(領用表!$L:$L,領用表!$E:$E,$B113,領用表!$B:$B,$CN$2&amp;CR$2)</f>
        <v>0</v>
      </c>
      <c r="CS113" s="243">
        <f>SUMIFS(領用表!$L:$L,領用表!$A:$A,CS$2,領用表!$E:$E,B113)</f>
        <v>0</v>
      </c>
      <c r="CT113" s="243">
        <f>SUMIFS(領用表!$L:$L,領用表!$E:$E,$B113,領用表!$B:$B,CS$2&amp;CT$2)</f>
        <v>0</v>
      </c>
      <c r="CU113" s="243">
        <f>SUMIFS(領用表!$L:$L,領用表!$E:$E,$B113,領用表!$B:$B,$CS$2&amp;CU$2)</f>
        <v>0</v>
      </c>
      <c r="CV113" s="243">
        <f>SUMIFS(領用表!$L:$L,領用表!$E:$E,$B113,領用表!$B:$B,$CS$2&amp;CV$2)</f>
        <v>0</v>
      </c>
      <c r="CW113" s="243">
        <f>SUMIFS(領用表!$L:$L,領用表!$E:$E,$B113,領用表!$B:$B,$CS$2&amp;CW$2)</f>
        <v>0</v>
      </c>
      <c r="CX113" s="243">
        <f>SUMIFS(領用表!$L:$L,領用表!$E:$E,$B113,領用表!$B:$B,$CS$2&amp;CX$2)</f>
        <v>0</v>
      </c>
      <c r="CY113" s="243">
        <f>SUMIFS(領用表!$L:$L,領用表!$A:$A,CY$2,領用表!$E:$E,B113)</f>
        <v>0</v>
      </c>
      <c r="CZ113" s="242">
        <f>SUMIFS(領用表!$L:$L,領用表!$E:$E,$B113,領用表!$B:$B,CY$2&amp;CZ$2)</f>
        <v>0</v>
      </c>
      <c r="DA113" s="242">
        <f>SUMIFS(領用表!$L:$L,領用表!$E:$E,$B113,領用表!$B:$B,$CY$2&amp;DA$2)</f>
        <v>0</v>
      </c>
      <c r="DB113" s="242">
        <f>SUMIFS(領用表!$L:$L,領用表!$E:$E,$B113,領用表!$B:$B,$CY$2&amp;DB$2)</f>
        <v>0</v>
      </c>
      <c r="DC113" s="242">
        <f>SUMIFS(領用表!$L:$L,領用表!$E:$E,$B113,領用表!$B:$B,$CY$2&amp;DC$2)</f>
        <v>0</v>
      </c>
      <c r="DD113" s="242">
        <f>SUMIFS(領用表!$L:$L,領用表!$E:$E,$B113,領用表!$B:$B,$CY$2&amp;DD$2)</f>
        <v>0</v>
      </c>
      <c r="DE113" s="243">
        <f>SUMIFS(領用表!$L:$L,領用表!$A:$A,DE$2,領用表!$E:$E,B113)</f>
        <v>1</v>
      </c>
      <c r="DF113" s="242">
        <f>SUMIFS(領用表!$L:$L,領用表!$E:$E,$B113,領用表!$B:$B,DE$2&amp;DF$2)</f>
        <v>0</v>
      </c>
      <c r="DG113" s="242">
        <f>SUMIFS(領用表!$L:$L,領用表!$E:$E,$B113,領用表!$B:$B,$DE$2&amp;DG$2)</f>
        <v>1</v>
      </c>
      <c r="DH113" s="242">
        <f>SUMIFS(領用表!$L:$L,領用表!$E:$E,$B113,領用表!$B:$B,$DE$2&amp;DH$2)</f>
        <v>0</v>
      </c>
      <c r="DI113" s="242">
        <f>SUMIFS(領用表!$L:$L,領用表!$E:$E,$B113,領用表!$B:$B,$DE$2&amp;DI$2)</f>
        <v>0</v>
      </c>
      <c r="DJ113" s="242">
        <f>SUMIFS(領用表!$L:$L,領用表!$E:$E,$B113,領用表!$B:$B,$DE$2&amp;DJ$2)</f>
        <v>0</v>
      </c>
      <c r="DK113" s="243">
        <f>SUMIFS(領用表!$L:$L,領用表!$A:$A,DK$2,領用表!$E:$E,$B113)</f>
        <v>0</v>
      </c>
      <c r="DL113" s="242">
        <f>SUMIFS(領用表!$L:$L,領用表!$E:$E,$B113,領用表!$B:$B,DK$2&amp;DL$2)</f>
        <v>0</v>
      </c>
      <c r="DM113" s="242">
        <f>SUMIFS(領用表!$L:$L,領用表!$E:$E,$B113,領用表!$B:$B,$DK$2&amp;DM$2)</f>
        <v>0</v>
      </c>
      <c r="DN113" s="242">
        <f>SUMIFS(領用表!$L:$L,領用表!$E:$E,$B113,領用表!$B:$B,$DK$2&amp;DN$2)</f>
        <v>0</v>
      </c>
      <c r="DO113" s="242">
        <f>SUMIFS(領用表!$L:$L,領用表!$E:$E,$B113,領用表!$B:$B,$DK$2&amp;DO$2)</f>
        <v>0</v>
      </c>
      <c r="DP113" s="242">
        <f>SUMIFS(領用表!$L:$L,領用表!$E:$E,$B113,領用表!$B:$B,$DK$2&amp;DP$2)</f>
        <v>0</v>
      </c>
      <c r="DQ113" s="242">
        <f t="shared" ref="DQ113:DQ144" si="36">SUM(CN113,CS113,CY113,DE113,DK113)</f>
        <v>1</v>
      </c>
      <c r="DR113" s="242">
        <f t="shared" ref="DR113:DR144" si="37">AVERAGEA(CN113,CS113,CY113,DE113,DK113)</f>
        <v>0.2</v>
      </c>
      <c r="DS113" s="242">
        <f t="shared" si="27"/>
        <v>0</v>
      </c>
      <c r="DT113" s="242">
        <v>0</v>
      </c>
      <c r="DU113" s="242">
        <v>0</v>
      </c>
      <c r="DV113" s="242">
        <v>0</v>
      </c>
      <c r="DW113" s="242">
        <v>0</v>
      </c>
      <c r="DX113" s="318"/>
      <c r="DY113" s="313"/>
      <c r="DZ113" s="319"/>
      <c r="EA113" s="313"/>
      <c r="EB113" s="248"/>
      <c r="EC113" s="248"/>
      <c r="EE113" s="250"/>
    </row>
    <row r="114" spans="1:138" s="118" customFormat="1" ht="15.75" customHeight="1" thickBot="1">
      <c r="A114" s="320" t="s">
        <v>662</v>
      </c>
      <c r="B114" s="118">
        <v>6120016</v>
      </c>
      <c r="C114" s="118" t="s">
        <v>756</v>
      </c>
      <c r="D114" s="307"/>
      <c r="E114" s="198" t="s">
        <v>15</v>
      </c>
      <c r="F114" s="225">
        <f>SUMIF(站前4樓!B:B,B114,站前4樓!F:F)</f>
        <v>459</v>
      </c>
      <c r="G114" s="225">
        <f>SUMIF(站前11樓!B:B,B114,站前11樓!F:F)</f>
        <v>51</v>
      </c>
      <c r="H114" s="225">
        <f>SUMIF(忠孝7樓!B:B,B114,忠孝7樓!G:G)</f>
        <v>84</v>
      </c>
      <c r="I114" s="225">
        <f>SUMIF(忠孝國際醫學3樓!B:B,B114,忠孝國際醫學3樓!G:G)</f>
        <v>85</v>
      </c>
      <c r="J114" s="225">
        <f>SUMIF(忠孝健康7樓!B:B,B114,忠孝健康7樓!G:G)</f>
        <v>202</v>
      </c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83"/>
      <c r="AB114" s="283"/>
      <c r="AC114" s="283"/>
      <c r="AD114" s="283"/>
      <c r="AE114" s="283"/>
      <c r="AF114" s="283"/>
      <c r="AG114" s="283"/>
      <c r="AH114" s="283"/>
      <c r="AI114" s="283"/>
      <c r="AJ114" s="201"/>
      <c r="AK114" s="201"/>
      <c r="AL114" s="201"/>
      <c r="AM114" s="201"/>
      <c r="AN114" s="201"/>
      <c r="AO114" s="201"/>
      <c r="AP114" s="201"/>
      <c r="AQ114" s="201">
        <v>0</v>
      </c>
      <c r="AR114" s="201">
        <v>0</v>
      </c>
      <c r="AS114" s="201">
        <v>0</v>
      </c>
      <c r="AT114" s="201">
        <v>0</v>
      </c>
      <c r="AU114" s="201">
        <v>0</v>
      </c>
      <c r="AV114" s="283">
        <f t="shared" si="32"/>
        <v>0</v>
      </c>
      <c r="AW114" s="286">
        <f t="shared" si="33"/>
        <v>0</v>
      </c>
      <c r="AX114" s="201">
        <v>0</v>
      </c>
      <c r="AY114" s="201">
        <v>0</v>
      </c>
      <c r="AZ114" s="201">
        <v>10</v>
      </c>
      <c r="BA114" s="201">
        <v>94</v>
      </c>
      <c r="BB114" s="201">
        <f>21+57</f>
        <v>78</v>
      </c>
      <c r="BC114" s="203">
        <f>SUMIFS(領用表!$L:$L,領用表!$A:$A,BC$2,領用表!$E:$E,B114)</f>
        <v>39</v>
      </c>
      <c r="BD114" s="287">
        <f>SUMIFS(領用表!$L:$L,領用表!$E:$E,$B114,領用表!$B:$B,BC$2&amp;BD$2)</f>
        <v>38</v>
      </c>
      <c r="BE114" s="287">
        <f>SUMIFS(領用表!$L:$L,領用表!$E:$E,$B114,領用表!$B:$B,$BC$2&amp;BE$2)</f>
        <v>1</v>
      </c>
      <c r="BF114" s="287">
        <f>SUMIFS(領用表!$L:$L,領用表!$E:$E,$B114,領用表!$B:$B,$BC$2&amp;BF$2)</f>
        <v>0</v>
      </c>
      <c r="BG114" s="206">
        <f>SUMIFS(領用表!$L:$L,領用表!$E:$E,$B114,領用表!$B:$B,$BC$2&amp;BG$2)</f>
        <v>0</v>
      </c>
      <c r="BH114" s="203">
        <f>SUMIFS(領用表!$L:$L,領用表!$A:$A,BH$2,領用表!$E:$E,B114)</f>
        <v>211</v>
      </c>
      <c r="BI114" s="260">
        <f>SUMIFS(領用表!$L:$L,領用表!$E:$E,$B114,領用表!$B:$B,BH$2&amp;BI$2)</f>
        <v>84</v>
      </c>
      <c r="BJ114" s="260">
        <f>SUMIFS(領用表!$L:$L,領用表!$E:$E,$B114,領用表!$B:$B,$BH$2&amp;BJ$2)</f>
        <v>5</v>
      </c>
      <c r="BK114" s="260">
        <f>SUMIFS(領用表!$L:$L,領用表!$E:$E,$B114,領用表!$B:$B,$BH$2&amp;BK$2)</f>
        <v>89</v>
      </c>
      <c r="BL114" s="260">
        <f>SUMIFS(領用表!$L:$L,領用表!$E:$E,$B114,領用表!$B:$B,$BH$2&amp;BL$2)</f>
        <v>33</v>
      </c>
      <c r="BM114" s="203">
        <f>SUMIFS(領用表!$L:$L,領用表!$A:$A,BM$2,領用表!$E:$E,B114)</f>
        <v>412</v>
      </c>
      <c r="BN114" s="206">
        <f>SUMIFS(領用表!$L:$L,領用表!$E:$E,$B114,領用表!$B:$B,BM$2&amp;BN$2)</f>
        <v>167</v>
      </c>
      <c r="BO114" s="206">
        <f>SUMIFS(領用表!$L:$L,領用表!$E:$E,$B114,領用表!$B:$B,$BM$2&amp;BO$2)</f>
        <v>2</v>
      </c>
      <c r="BP114" s="288">
        <f>SUMIFS(領用表!$L:$L,領用表!$E:$E,$B114,領用表!$B:$B,$BM$2&amp;BP$2)</f>
        <v>233</v>
      </c>
      <c r="BQ114" s="287">
        <f>SUMIFS(領用表!$L:$L,領用表!$E:$E,$B114,領用表!$B:$B,$BM$2&amp;BQ$2)</f>
        <v>10</v>
      </c>
      <c r="BR114" s="203">
        <f>SUMIFS(領用表!$L:$L,領用表!$A:$A,BR$2,領用表!$E:$E,B114)</f>
        <v>584</v>
      </c>
      <c r="BS114" s="288">
        <f>SUMIFS(領用表!$L:$L,領用表!$E:$E,$B114,領用表!$B:$B,BR$2&amp;BS$2)</f>
        <v>204</v>
      </c>
      <c r="BT114" s="288">
        <f>SUMIFS(領用表!$L:$L,領用表!$E:$E,$B114,領用表!$B:$B,$BR$2&amp;BT$2)</f>
        <v>1</v>
      </c>
      <c r="BU114" s="288">
        <f>SUMIFS(領用表!$L:$L,領用表!$E:$E,$B114,領用表!$B:$B,$BR$2&amp;BU$2)</f>
        <v>374</v>
      </c>
      <c r="BV114" s="287">
        <f>SUMIFS(領用表!$L:$L,領用表!$E:$E,$B114,領用表!$B:$B,$BR$2&amp;BV$2)</f>
        <v>5</v>
      </c>
      <c r="BW114" s="208">
        <f>SUMIFS(領用表!$L:$L,領用表!$A:$A,BW$2,領用表!$E:$E,B114)</f>
        <v>643</v>
      </c>
      <c r="BX114" s="206">
        <f>SUMIFS(領用表!$L:$L,領用表!$E:$E,$B114,領用表!$B:$B,BW$2&amp;BX$2)</f>
        <v>207</v>
      </c>
      <c r="BY114" s="206">
        <f>SUMIFS(領用表!$L:$L,領用表!$E:$E,$B114,領用表!$B:$B,$BW$2&amp;BY$2)</f>
        <v>19</v>
      </c>
      <c r="BZ114" s="206">
        <f>SUMIFS(領用表!$L:$L,領用表!$E:$E,$B114,領用表!$B:$B,$BW$2&amp;BZ$2)</f>
        <v>403</v>
      </c>
      <c r="CA114" s="206">
        <f>SUMIFS(領用表!$L:$L,領用表!$E:$E,$B114,領用表!$B:$B,$BW$2&amp;CA$2)</f>
        <v>14</v>
      </c>
      <c r="CB114" s="208">
        <f>SUMIFS(領用表!$L:$L,領用表!$A:$A,CB$2,領用表!$E:$E,B114)</f>
        <v>747</v>
      </c>
      <c r="CC114" s="206">
        <f>SUMIFS(領用表!$L:$L,領用表!$E:$E,$B114,領用表!$B:$B,CB$2&amp;CC$2)</f>
        <v>259</v>
      </c>
      <c r="CD114" s="206">
        <f>SUMIFS(領用表!$L:$L,領用表!$E:$E,$B114,領用表!$B:$B,$CB$2&amp;CD$2)</f>
        <v>31</v>
      </c>
      <c r="CE114" s="206">
        <f>SUMIFS(領用表!$L:$L,領用表!$E:$E,$B114,領用表!$B:$B,$CB$2&amp;CE$2)</f>
        <v>444</v>
      </c>
      <c r="CF114" s="206">
        <f>SUMIFS(領用表!$L:$L,領用表!$E:$E,$B114,領用表!$B:$B,$CB$2&amp;CF$2)</f>
        <v>13</v>
      </c>
      <c r="CG114" s="208">
        <f>SUMIFS(領用表!$L:$L,領用表!$A:$A,CG$2,領用表!$E:$E,B114)</f>
        <v>593</v>
      </c>
      <c r="CH114" s="206">
        <f>SUMIFS(領用表!$L:$L,領用表!$E:$E,$B114,領用表!$B:$B,CG$2&amp;CH$2)</f>
        <v>237</v>
      </c>
      <c r="CI114" s="206">
        <f>SUMIFS(領用表!$L:$L,領用表!$E:$E,$B114,領用表!$B:$B,CG$2&amp;CI$2)</f>
        <v>25</v>
      </c>
      <c r="CJ114" s="206">
        <f>SUMIFS(領用表!$L:$L,領用表!$E:$E,$B114,領用表!$B:$B,CG$2&amp;CJ$2)</f>
        <v>323</v>
      </c>
      <c r="CK114" s="206">
        <f>SUMIFS(領用表!$L:$L,領用表!$E:$E,$B114,領用表!$B:$B,$CG$2&amp;CK$2)</f>
        <v>8</v>
      </c>
      <c r="CL114" s="207">
        <f t="shared" si="34"/>
        <v>3411</v>
      </c>
      <c r="CM114" s="207">
        <f t="shared" si="35"/>
        <v>284.25</v>
      </c>
      <c r="CN114" s="208">
        <f>SUMIFS(領用表!$L:$L,領用表!$A:$A,CN$2,領用表!$E:$E,B114)</f>
        <v>520</v>
      </c>
      <c r="CO114" s="206">
        <f>SUMIFS(領用表!$L:$L,領用表!$E:$E,$B114,領用表!$B:$B,CN$2&amp;CO$2)</f>
        <v>220</v>
      </c>
      <c r="CP114" s="206">
        <f>SUMIFS(領用表!$L:$L,領用表!$E:$E,$B114,領用表!$B:$B,$CN$2&amp;CP$2)</f>
        <v>26</v>
      </c>
      <c r="CQ114" s="206">
        <f>SUMIFS(領用表!$L:$L,領用表!$E:$E,$B114,領用表!$B:$B,$CN$2&amp;CQ$2)</f>
        <v>262</v>
      </c>
      <c r="CR114" s="206">
        <f>SUMIFS(領用表!$L:$L,領用表!$E:$E,$B114,領用表!$B:$B,$CN$2&amp;CR$2)</f>
        <v>12</v>
      </c>
      <c r="CS114" s="208">
        <f>SUMIFS(領用表!$L:$L,領用表!$A:$A,CS$2,領用表!$E:$E,B114)</f>
        <v>349</v>
      </c>
      <c r="CT114" s="206">
        <f>SUMIFS(領用表!$L:$L,領用表!$E:$E,$B114,領用表!$B:$B,CS$2&amp;CT$2)</f>
        <v>144</v>
      </c>
      <c r="CU114" s="206">
        <f>SUMIFS(領用表!$L:$L,領用表!$E:$E,$B114,領用表!$B:$B,$CS$2&amp;CU$2)</f>
        <v>21</v>
      </c>
      <c r="CV114" s="206">
        <f>SUMIFS(領用表!$L:$L,領用表!$E:$E,$B114,領用表!$B:$B,$CS$2&amp;CV$2)</f>
        <v>164</v>
      </c>
      <c r="CW114" s="206">
        <f>SUMIFS(領用表!$L:$L,領用表!$E:$E,$B114,領用表!$B:$B,$CS$2&amp;CW$2)</f>
        <v>16</v>
      </c>
      <c r="CX114" s="206">
        <f>SUMIFS(領用表!$L:$L,領用表!$E:$E,$B114,領用表!$B:$B,$CS$2&amp;CX$2)</f>
        <v>4</v>
      </c>
      <c r="CY114" s="208">
        <f>SUMIFS(領用表!$L:$L,領用表!$A:$A,CY$2,領用表!$E:$E,B114)</f>
        <v>421</v>
      </c>
      <c r="CZ114" s="206">
        <f>SUMIFS(領用表!$L:$L,領用表!$E:$E,$B114,領用表!$B:$B,CY$2&amp;CZ$2)</f>
        <v>169</v>
      </c>
      <c r="DA114" s="206">
        <f>SUMIFS(領用表!$L:$L,領用表!$E:$E,$B114,領用表!$B:$B,$CY$2&amp;DA$2)</f>
        <v>23</v>
      </c>
      <c r="DB114" s="206">
        <f>SUMIFS(領用表!$L:$L,領用表!$E:$E,$B114,領用表!$B:$B,$CY$2&amp;DB$2)</f>
        <v>163</v>
      </c>
      <c r="DC114" s="206">
        <f>SUMIFS(領用表!$L:$L,領用表!$E:$E,$B114,領用表!$B:$B,$CY$2&amp;DC$2)</f>
        <v>17</v>
      </c>
      <c r="DD114" s="206">
        <f>SUMIFS(領用表!$L:$L,領用表!$E:$E,$B114,領用表!$B:$B,$CY$2&amp;DD$2)</f>
        <v>49</v>
      </c>
      <c r="DE114" s="208">
        <f>SUMIFS(領用表!$L:$L,領用表!$A:$A,DE$2,領用表!$E:$E,B114)</f>
        <v>372</v>
      </c>
      <c r="DF114" s="206">
        <f>SUMIFS(領用表!$L:$L,領用表!$E:$E,$B114,領用表!$B:$B,DE$2&amp;DF$2)</f>
        <v>151</v>
      </c>
      <c r="DG114" s="206">
        <f>SUMIFS(領用表!$L:$L,領用表!$E:$E,$B114,領用表!$B:$B,$DE$2&amp;DG$2)</f>
        <v>27</v>
      </c>
      <c r="DH114" s="206">
        <f>SUMIFS(領用表!$L:$L,領用表!$E:$E,$B114,領用表!$B:$B,$DE$2&amp;DH$2)</f>
        <v>125</v>
      </c>
      <c r="DI114" s="206">
        <f>SUMIFS(領用表!$L:$L,領用表!$E:$E,$B114,領用表!$B:$B,$DE$2&amp;DI$2)</f>
        <v>14</v>
      </c>
      <c r="DJ114" s="206">
        <f>SUMIFS(領用表!$L:$L,領用表!$E:$E,$B114,領用表!$B:$B,$DE$2&amp;DJ$2)</f>
        <v>55</v>
      </c>
      <c r="DK114" s="208">
        <f>SUMIFS(領用表!$L:$L,領用表!$A:$A,DK$2,領用表!$E:$E,$B114)</f>
        <v>391</v>
      </c>
      <c r="DL114" s="206">
        <f>SUMIFS(領用表!$L:$L,領用表!$E:$E,$B114,領用表!$B:$B,DK$2&amp;DL$2)</f>
        <v>150</v>
      </c>
      <c r="DM114" s="206">
        <f>SUMIFS(領用表!$L:$L,領用表!$E:$E,$B114,領用表!$B:$B,$DK$2&amp;DM$2)</f>
        <v>29</v>
      </c>
      <c r="DN114" s="206">
        <f>SUMIFS(領用表!$L:$L,領用表!$E:$E,$B114,領用表!$B:$B,$DK$2&amp;DN$2)</f>
        <v>142</v>
      </c>
      <c r="DO114" s="206">
        <f>SUMIFS(領用表!$L:$L,領用表!$E:$E,$B114,領用表!$B:$B,$DK$2&amp;DO$2)</f>
        <v>15</v>
      </c>
      <c r="DP114" s="206">
        <f>SUMIFS(領用表!$L:$L,領用表!$E:$E,$B114,領用表!$B:$B,$DK$2&amp;DP$2)</f>
        <v>55</v>
      </c>
      <c r="DQ114" s="206">
        <f t="shared" si="36"/>
        <v>2053</v>
      </c>
      <c r="DR114" s="206">
        <f t="shared" si="37"/>
        <v>410.6</v>
      </c>
      <c r="DS114" s="206">
        <f t="shared" si="27"/>
        <v>0</v>
      </c>
      <c r="DT114" s="206">
        <v>0</v>
      </c>
      <c r="DU114" s="206">
        <v>0</v>
      </c>
      <c r="DV114" s="206">
        <v>0</v>
      </c>
      <c r="DW114" s="206">
        <v>0</v>
      </c>
      <c r="DX114" s="258">
        <v>20</v>
      </c>
      <c r="DY114" s="283"/>
      <c r="DZ114" s="252" t="s">
        <v>163</v>
      </c>
      <c r="EA114" s="283" t="s">
        <v>164</v>
      </c>
      <c r="EB114" s="136"/>
      <c r="EC114" s="289"/>
      <c r="ED114" s="118">
        <f>IFERROR(VLOOKUP(A114,站前4樓!A:BF,57,0),0)</f>
        <v>0</v>
      </c>
      <c r="EE114" s="213">
        <f>IFERROR(VLOOKUP(A114,站前11樓!A:BE,57,0),0)</f>
        <v>0</v>
      </c>
      <c r="EF114" s="118">
        <f>IFERROR(VLOOKUP(A114,忠孝7樓!A:N,57,0),0)</f>
        <v>0</v>
      </c>
      <c r="EG114" s="118">
        <f>IFERROR(VLOOKUP(A114,忠孝國際醫學3樓!A:L,57,0),0)</f>
        <v>0</v>
      </c>
      <c r="EH114" s="118">
        <f t="shared" si="25"/>
        <v>0</v>
      </c>
    </row>
    <row r="115" spans="1:138" s="118" customFormat="1" ht="15.75" customHeight="1">
      <c r="A115" s="306" t="s">
        <v>672</v>
      </c>
      <c r="B115" s="118">
        <v>6120022</v>
      </c>
      <c r="C115" s="136" t="s">
        <v>837</v>
      </c>
      <c r="D115" s="307"/>
      <c r="E115" s="198" t="s">
        <v>15</v>
      </c>
      <c r="F115" s="225">
        <f>SUMIF(站前4樓!B:B,B115,站前4樓!F:F)</f>
        <v>53</v>
      </c>
      <c r="G115" s="225">
        <f>SUMIF(站前11樓!B:B,B115,站前11樓!F:F)</f>
        <v>9</v>
      </c>
      <c r="H115" s="225">
        <f>SUMIF(忠孝7樓!B:B,B115,忠孝7樓!G:G)</f>
        <v>34</v>
      </c>
      <c r="I115" s="225">
        <f>SUMIF(忠孝國際醫學3樓!B:B,B115,忠孝國際醫學3樓!G:G)</f>
        <v>50</v>
      </c>
      <c r="J115" s="225">
        <f>SUMIF(忠孝健康7樓!B:B,B115,忠孝健康7樓!G:G)</f>
        <v>0</v>
      </c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83"/>
      <c r="AB115" s="283"/>
      <c r="AC115" s="283"/>
      <c r="AD115" s="283"/>
      <c r="AE115" s="283"/>
      <c r="AF115" s="283"/>
      <c r="AG115" s="283"/>
      <c r="AH115" s="283"/>
      <c r="AI115" s="283"/>
      <c r="AJ115" s="201"/>
      <c r="AK115" s="201"/>
      <c r="AL115" s="201"/>
      <c r="AM115" s="201"/>
      <c r="AN115" s="201"/>
      <c r="AO115" s="201"/>
      <c r="AP115" s="201"/>
      <c r="AQ115" s="201">
        <v>0</v>
      </c>
      <c r="AR115" s="201">
        <v>0</v>
      </c>
      <c r="AS115" s="201">
        <v>0</v>
      </c>
      <c r="AT115" s="201">
        <v>0</v>
      </c>
      <c r="AU115" s="201">
        <v>0</v>
      </c>
      <c r="AV115" s="283">
        <f t="shared" si="32"/>
        <v>0</v>
      </c>
      <c r="AW115" s="286">
        <f t="shared" si="33"/>
        <v>0</v>
      </c>
      <c r="AX115" s="201">
        <v>0</v>
      </c>
      <c r="AY115" s="201">
        <v>0</v>
      </c>
      <c r="AZ115" s="201">
        <v>2</v>
      </c>
      <c r="BA115" s="201">
        <v>10</v>
      </c>
      <c r="BB115" s="201">
        <v>0</v>
      </c>
      <c r="BC115" s="203">
        <f>SUMIFS(領用表!$L:$L,領用表!$A:$A,BC$2,領用表!$E:$E,B115)</f>
        <v>0</v>
      </c>
      <c r="BD115" s="287">
        <f>SUMIFS(領用表!$L:$L,領用表!$E:$E,$B115,領用表!$B:$B,BC$2&amp;BD$2)</f>
        <v>0</v>
      </c>
      <c r="BE115" s="287">
        <f>SUMIFS(領用表!$L:$L,領用表!$E:$E,$B115,領用表!$B:$B,$BC$2&amp;BE$2)</f>
        <v>0</v>
      </c>
      <c r="BF115" s="287">
        <f>SUMIFS(領用表!$L:$L,領用表!$E:$E,$B115,領用表!$B:$B,$BC$2&amp;BF$2)</f>
        <v>0</v>
      </c>
      <c r="BG115" s="206">
        <f>SUMIFS(領用表!$L:$L,領用表!$E:$E,$B115,領用表!$B:$B,$BC$2&amp;BG$2)</f>
        <v>0</v>
      </c>
      <c r="BH115" s="203">
        <f>SUMIFS(領用表!$L:$L,領用表!$A:$A,BH$2,領用表!$E:$E,B115)</f>
        <v>0</v>
      </c>
      <c r="BI115" s="260">
        <f>SUMIFS(領用表!$L:$L,領用表!$E:$E,$B115,領用表!$B:$B,BH$2&amp;BI$2)</f>
        <v>0</v>
      </c>
      <c r="BJ115" s="260">
        <f>SUMIFS(領用表!$L:$L,領用表!$E:$E,$B115,領用表!$B:$B,$BH$2&amp;BJ$2)</f>
        <v>0</v>
      </c>
      <c r="BK115" s="260">
        <f>SUMIFS(領用表!$L:$L,領用表!$E:$E,$B115,領用表!$B:$B,$BH$2&amp;BK$2)</f>
        <v>0</v>
      </c>
      <c r="BL115" s="260">
        <f>SUMIFS(領用表!$L:$L,領用表!$E:$E,$B115,領用表!$B:$B,$BH$2&amp;BL$2)</f>
        <v>0</v>
      </c>
      <c r="BM115" s="203">
        <f>SUMIFS(領用表!$L:$L,領用表!$A:$A,BM$2,領用表!$E:$E,B115)</f>
        <v>0</v>
      </c>
      <c r="BN115" s="206">
        <f>SUMIFS(領用表!$L:$L,領用表!$E:$E,$B115,領用表!$B:$B,BM$2&amp;BN$2)</f>
        <v>0</v>
      </c>
      <c r="BO115" s="206">
        <f>SUMIFS(領用表!$L:$L,領用表!$E:$E,$B115,領用表!$B:$B,$BM$2&amp;BO$2)</f>
        <v>0</v>
      </c>
      <c r="BP115" s="288">
        <f>SUMIFS(領用表!$L:$L,領用表!$E:$E,$B115,領用表!$B:$B,$BM$2&amp;BP$2)</f>
        <v>0</v>
      </c>
      <c r="BQ115" s="287">
        <f>SUMIFS(領用表!$L:$L,領用表!$E:$E,$B115,領用表!$B:$B,$BM$2&amp;BQ$2)</f>
        <v>0</v>
      </c>
      <c r="BR115" s="203">
        <f>SUMIFS(領用表!$L:$L,領用表!$A:$A,BR$2,領用表!$E:$E,B115)</f>
        <v>0</v>
      </c>
      <c r="BS115" s="288">
        <f>SUMIFS(領用表!$L:$L,領用表!$E:$E,$B115,領用表!$B:$B,BR$2&amp;BS$2)</f>
        <v>0</v>
      </c>
      <c r="BT115" s="288">
        <f>SUMIFS(領用表!$L:$L,領用表!$E:$E,$B115,領用表!$B:$B,$BR$2&amp;BT$2)</f>
        <v>0</v>
      </c>
      <c r="BU115" s="288">
        <f>SUMIFS(領用表!$L:$L,領用表!$E:$E,$B115,領用表!$B:$B,$BR$2&amp;BU$2)</f>
        <v>0</v>
      </c>
      <c r="BV115" s="287">
        <f>SUMIFS(領用表!$L:$L,領用表!$E:$E,$B115,領用表!$B:$B,$BR$2&amp;BV$2)</f>
        <v>0</v>
      </c>
      <c r="BW115" s="208">
        <f>SUMIFS(領用表!$L:$L,領用表!$A:$A,BW$2,領用表!$E:$E,B115)</f>
        <v>1</v>
      </c>
      <c r="BX115" s="206">
        <f>SUMIFS(領用表!$L:$L,領用表!$E:$E,$B115,領用表!$B:$B,BW$2&amp;BX$2)</f>
        <v>0</v>
      </c>
      <c r="BY115" s="206">
        <f>SUMIFS(領用表!$L:$L,領用表!$E:$E,$B115,領用表!$B:$B,$BW$2&amp;BY$2)</f>
        <v>0</v>
      </c>
      <c r="BZ115" s="206">
        <f>SUMIFS(領用表!$L:$L,領用表!$E:$E,$B115,領用表!$B:$B,$BW$2&amp;BZ$2)</f>
        <v>1</v>
      </c>
      <c r="CA115" s="206">
        <f>SUMIFS(領用表!$L:$L,領用表!$E:$E,$B115,領用表!$B:$B,$BW$2&amp;CA$2)</f>
        <v>0</v>
      </c>
      <c r="CB115" s="208">
        <f>SUMIFS(領用表!$L:$L,領用表!$A:$A,CB$2,領用表!$E:$E,B115)</f>
        <v>0</v>
      </c>
      <c r="CC115" s="206">
        <f>SUMIFS(領用表!$L:$L,領用表!$E:$E,$B115,領用表!$B:$B,CB$2&amp;CC$2)</f>
        <v>0</v>
      </c>
      <c r="CD115" s="206">
        <f>SUMIFS(領用表!$L:$L,領用表!$E:$E,$B115,領用表!$B:$B,$CB$2&amp;CD$2)</f>
        <v>0</v>
      </c>
      <c r="CE115" s="206">
        <f>SUMIFS(領用表!$L:$L,領用表!$E:$E,$B115,領用表!$B:$B,$CB$2&amp;CE$2)</f>
        <v>0</v>
      </c>
      <c r="CF115" s="206">
        <f>SUMIFS(領用表!$L:$L,領用表!$E:$E,$B115,領用表!$B:$B,$CB$2&amp;CF$2)</f>
        <v>0</v>
      </c>
      <c r="CG115" s="208">
        <f>SUMIFS(領用表!$L:$L,領用表!$A:$A,CG$2,領用表!$E:$E,B115)</f>
        <v>1</v>
      </c>
      <c r="CH115" s="206">
        <f>SUMIFS(領用表!$L:$L,領用表!$E:$E,$B115,領用表!$B:$B,CG$2&amp;CH$2)</f>
        <v>0</v>
      </c>
      <c r="CI115" s="206">
        <f>SUMIFS(領用表!$L:$L,領用表!$E:$E,$B115,領用表!$B:$B,CG$2&amp;CI$2)</f>
        <v>0</v>
      </c>
      <c r="CJ115" s="206">
        <f>SUMIFS(領用表!$L:$L,領用表!$E:$E,$B115,領用表!$B:$B,CG$2&amp;CJ$2)</f>
        <v>1</v>
      </c>
      <c r="CK115" s="206">
        <f>SUMIFS(領用表!$L:$L,領用表!$E:$E,$B115,領用表!$B:$B,$CG$2&amp;CK$2)</f>
        <v>0</v>
      </c>
      <c r="CL115" s="207">
        <f t="shared" si="34"/>
        <v>14</v>
      </c>
      <c r="CM115" s="207">
        <f t="shared" si="35"/>
        <v>1.1666666666666667</v>
      </c>
      <c r="CN115" s="208">
        <f>SUMIFS(領用表!$L:$L,領用表!$A:$A,CN$2,領用表!$E:$E,B115)</f>
        <v>1</v>
      </c>
      <c r="CO115" s="206">
        <f>SUMIFS(領用表!$L:$L,領用表!$E:$E,$B115,領用表!$B:$B,CN$2&amp;CO$2)</f>
        <v>0</v>
      </c>
      <c r="CP115" s="206">
        <f>SUMIFS(領用表!$L:$L,領用表!$E:$E,$B115,領用表!$B:$B,$CN$2&amp;CP$2)</f>
        <v>0</v>
      </c>
      <c r="CQ115" s="206">
        <f>SUMIFS(領用表!$L:$L,領用表!$E:$E,$B115,領用表!$B:$B,$CN$2&amp;CQ$2)</f>
        <v>1</v>
      </c>
      <c r="CR115" s="206">
        <f>SUMIFS(領用表!$L:$L,領用表!$E:$E,$B115,領用表!$B:$B,$CN$2&amp;CR$2)</f>
        <v>0</v>
      </c>
      <c r="CS115" s="208">
        <f>SUMIFS(領用表!$L:$L,領用表!$A:$A,CS$2,領用表!$E:$E,B115)</f>
        <v>2</v>
      </c>
      <c r="CT115" s="206">
        <f>SUMIFS(領用表!$L:$L,領用表!$E:$E,$B115,領用表!$B:$B,CS$2&amp;CT$2)</f>
        <v>1</v>
      </c>
      <c r="CU115" s="206">
        <f>SUMIFS(領用表!$L:$L,領用表!$E:$E,$B115,領用表!$B:$B,$CS$2&amp;CU$2)</f>
        <v>0</v>
      </c>
      <c r="CV115" s="206">
        <f>SUMIFS(領用表!$L:$L,領用表!$E:$E,$B115,領用表!$B:$B,$CS$2&amp;CV$2)</f>
        <v>1</v>
      </c>
      <c r="CW115" s="206">
        <f>SUMIFS(領用表!$L:$L,領用表!$E:$E,$B115,領用表!$B:$B,$CS$2&amp;CW$2)</f>
        <v>0</v>
      </c>
      <c r="CX115" s="206">
        <f>SUMIFS(領用表!$L:$L,領用表!$E:$E,$B115,領用表!$B:$B,$CS$2&amp;CX$2)</f>
        <v>0</v>
      </c>
      <c r="CY115" s="208">
        <f>SUMIFS(領用表!$L:$L,領用表!$A:$A,CY$2,領用表!$E:$E,B115)</f>
        <v>6</v>
      </c>
      <c r="CZ115" s="206">
        <f>SUMIFS(領用表!$L:$L,領用表!$E:$E,$B115,領用表!$B:$B,CY$2&amp;CZ$2)</f>
        <v>0</v>
      </c>
      <c r="DA115" s="206">
        <f>SUMIFS(領用表!$L:$L,領用表!$E:$E,$B115,領用表!$B:$B,$CY$2&amp;DA$2)</f>
        <v>1</v>
      </c>
      <c r="DB115" s="206">
        <f>SUMIFS(領用表!$L:$L,領用表!$E:$E,$B115,領用表!$B:$B,$CY$2&amp;DB$2)</f>
        <v>4</v>
      </c>
      <c r="DC115" s="206">
        <f>SUMIFS(領用表!$L:$L,領用表!$E:$E,$B115,領用表!$B:$B,$CY$2&amp;DC$2)</f>
        <v>0</v>
      </c>
      <c r="DD115" s="206">
        <f>SUMIFS(領用表!$L:$L,領用表!$E:$E,$B115,領用表!$B:$B,$CY$2&amp;DD$2)</f>
        <v>1</v>
      </c>
      <c r="DE115" s="208">
        <f>SUMIFS(領用表!$L:$L,領用表!$A:$A,DE$2,領用表!$E:$E,B115)</f>
        <v>4</v>
      </c>
      <c r="DF115" s="206">
        <f>SUMIFS(領用表!$L:$L,領用表!$E:$E,$B115,領用表!$B:$B,DE$2&amp;DF$2)</f>
        <v>0</v>
      </c>
      <c r="DG115" s="206">
        <f>SUMIFS(領用表!$L:$L,領用表!$E:$E,$B115,領用表!$B:$B,$DE$2&amp;DG$2)</f>
        <v>1</v>
      </c>
      <c r="DH115" s="206">
        <f>SUMIFS(領用表!$L:$L,領用表!$E:$E,$B115,領用表!$B:$B,$DE$2&amp;DH$2)</f>
        <v>2</v>
      </c>
      <c r="DI115" s="206">
        <f>SUMIFS(領用表!$L:$L,領用表!$E:$E,$B115,領用表!$B:$B,$DE$2&amp;DI$2)</f>
        <v>0</v>
      </c>
      <c r="DJ115" s="206">
        <f>SUMIFS(領用表!$L:$L,領用表!$E:$E,$B115,領用表!$B:$B,$DE$2&amp;DJ$2)</f>
        <v>1</v>
      </c>
      <c r="DK115" s="208">
        <f>SUMIFS(領用表!$L:$L,領用表!$A:$A,DK$2,領用表!$E:$E,$B115)</f>
        <v>5</v>
      </c>
      <c r="DL115" s="206">
        <f>SUMIFS(領用表!$L:$L,領用表!$E:$E,$B115,領用表!$B:$B,DK$2&amp;DL$2)</f>
        <v>0</v>
      </c>
      <c r="DM115" s="206">
        <f>SUMIFS(領用表!$L:$L,領用表!$E:$E,$B115,領用表!$B:$B,$DK$2&amp;DM$2)</f>
        <v>0</v>
      </c>
      <c r="DN115" s="206">
        <f>SUMIFS(領用表!$L:$L,領用表!$E:$E,$B115,領用表!$B:$B,$DK$2&amp;DN$2)</f>
        <v>1</v>
      </c>
      <c r="DO115" s="206">
        <f>SUMIFS(領用表!$L:$L,領用表!$E:$E,$B115,領用表!$B:$B,$DK$2&amp;DO$2)</f>
        <v>0</v>
      </c>
      <c r="DP115" s="206">
        <f>SUMIFS(領用表!$L:$L,領用表!$E:$E,$B115,領用表!$B:$B,$DK$2&amp;DP$2)</f>
        <v>4</v>
      </c>
      <c r="DQ115" s="206">
        <f t="shared" si="36"/>
        <v>18</v>
      </c>
      <c r="DR115" s="206">
        <f t="shared" si="37"/>
        <v>3.6</v>
      </c>
      <c r="DS115" s="206">
        <f t="shared" si="27"/>
        <v>0</v>
      </c>
      <c r="DT115" s="206">
        <v>0</v>
      </c>
      <c r="DU115" s="206">
        <v>0</v>
      </c>
      <c r="DV115" s="206">
        <v>0</v>
      </c>
      <c r="DW115" s="206">
        <v>0</v>
      </c>
      <c r="DX115" s="258">
        <v>20</v>
      </c>
      <c r="DY115" s="283"/>
      <c r="DZ115" s="283"/>
      <c r="EA115" s="283"/>
      <c r="EB115" s="136"/>
      <c r="EC115" s="289"/>
      <c r="ED115" s="118">
        <f>IFERROR(VLOOKUP(A115,站前4樓!A:BF,57,0),0)</f>
        <v>0</v>
      </c>
      <c r="EE115" s="213">
        <f>IFERROR(VLOOKUP(A115,站前11樓!A:BE,57,0),0)</f>
        <v>0</v>
      </c>
      <c r="EF115" s="118">
        <f>IFERROR(VLOOKUP(A115,忠孝7樓!A:N,57,0),0)</f>
        <v>0</v>
      </c>
      <c r="EG115" s="118">
        <f>IFERROR(VLOOKUP(A115,忠孝國際醫學3樓!A:L,57,0),0)</f>
        <v>0</v>
      </c>
      <c r="EH115" s="118">
        <f t="shared" si="25"/>
        <v>0</v>
      </c>
    </row>
    <row r="116" spans="1:138" s="118" customFormat="1" ht="15.75" customHeight="1" thickBot="1">
      <c r="A116" s="321" t="s">
        <v>663</v>
      </c>
      <c r="B116" s="118">
        <v>6120018</v>
      </c>
      <c r="C116" s="118" t="s">
        <v>757</v>
      </c>
      <c r="D116" s="307"/>
      <c r="E116" s="198" t="s">
        <v>15</v>
      </c>
      <c r="F116" s="225">
        <f>SUMIF(站前4樓!B:B,B116,站前4樓!F:F)</f>
        <v>146</v>
      </c>
      <c r="G116" s="225">
        <f>SUMIF(站前11樓!B:B,B116,站前11樓!F:F)</f>
        <v>0</v>
      </c>
      <c r="H116" s="225">
        <f>SUMIF(忠孝7樓!B:B,B116,忠孝7樓!G:G)</f>
        <v>185</v>
      </c>
      <c r="I116" s="225">
        <f>SUMIF(忠孝國際醫學3樓!B:B,B116,忠孝國際醫學3樓!G:G)</f>
        <v>120</v>
      </c>
      <c r="J116" s="225">
        <f>SUMIF(忠孝健康7樓!B:B,B116,忠孝健康7樓!G:G)</f>
        <v>132</v>
      </c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  <c r="AA116" s="283"/>
      <c r="AB116" s="283"/>
      <c r="AC116" s="283"/>
      <c r="AD116" s="283"/>
      <c r="AE116" s="283"/>
      <c r="AF116" s="283"/>
      <c r="AG116" s="283"/>
      <c r="AH116" s="283"/>
      <c r="AI116" s="283"/>
      <c r="AJ116" s="201"/>
      <c r="AK116" s="201"/>
      <c r="AL116" s="201"/>
      <c r="AM116" s="201"/>
      <c r="AN116" s="201"/>
      <c r="AO116" s="201"/>
      <c r="AP116" s="201"/>
      <c r="AQ116" s="201">
        <v>0</v>
      </c>
      <c r="AR116" s="201">
        <v>0</v>
      </c>
      <c r="AS116" s="201">
        <v>0</v>
      </c>
      <c r="AT116" s="201">
        <v>0</v>
      </c>
      <c r="AU116" s="201">
        <v>0</v>
      </c>
      <c r="AV116" s="283">
        <f t="shared" ref="AV116:AV122" si="38">SUM(AJ116:AU116)</f>
        <v>0</v>
      </c>
      <c r="AW116" s="286">
        <f t="shared" ref="AW116:AW122" si="39">AV116/12</f>
        <v>0</v>
      </c>
      <c r="AX116" s="201">
        <v>0</v>
      </c>
      <c r="AY116" s="201">
        <v>0</v>
      </c>
      <c r="AZ116" s="201">
        <v>17</v>
      </c>
      <c r="BA116" s="201">
        <v>13</v>
      </c>
      <c r="BB116" s="201">
        <v>9</v>
      </c>
      <c r="BC116" s="203">
        <f>SUMIFS(領用表!$L:$L,領用表!$A:$A,BC$2,領用表!$E:$E,B116)</f>
        <v>9</v>
      </c>
      <c r="BD116" s="287">
        <f>SUMIFS(領用表!$L:$L,領用表!$E:$E,$B116,領用表!$B:$B,BC$2&amp;BD$2)</f>
        <v>9</v>
      </c>
      <c r="BE116" s="287">
        <f>SUMIFS(領用表!$L:$L,領用表!$E:$E,$B116,領用表!$B:$B,$BC$2&amp;BE$2)</f>
        <v>0</v>
      </c>
      <c r="BF116" s="287">
        <f>SUMIFS(領用表!$L:$L,領用表!$E:$E,$B116,領用表!$B:$B,$BC$2&amp;BF$2)</f>
        <v>0</v>
      </c>
      <c r="BG116" s="206">
        <f>SUMIFS(領用表!$L:$L,領用表!$E:$E,$B116,領用表!$B:$B,$BC$2&amp;BG$2)</f>
        <v>0</v>
      </c>
      <c r="BH116" s="203">
        <f>SUMIFS(領用表!$L:$L,領用表!$A:$A,BH$2,領用表!$E:$E,B116)</f>
        <v>16</v>
      </c>
      <c r="BI116" s="260">
        <f>SUMIFS(領用表!$L:$L,領用表!$E:$E,$B116,領用表!$B:$B,BH$2&amp;BI$2)</f>
        <v>11</v>
      </c>
      <c r="BJ116" s="260">
        <f>SUMIFS(領用表!$L:$L,領用表!$E:$E,$B116,領用表!$B:$B,$BH$2&amp;BJ$2)</f>
        <v>0</v>
      </c>
      <c r="BK116" s="260">
        <f>SUMIFS(領用表!$L:$L,領用表!$E:$E,$B116,領用表!$B:$B,$BH$2&amp;BK$2)</f>
        <v>5</v>
      </c>
      <c r="BL116" s="260">
        <f>SUMIFS(領用表!$L:$L,領用表!$E:$E,$B116,領用表!$B:$B,$BH$2&amp;BL$2)</f>
        <v>0</v>
      </c>
      <c r="BM116" s="203">
        <f>SUMIFS(領用表!$L:$L,領用表!$A:$A,BM$2,領用表!$E:$E,B116)</f>
        <v>24</v>
      </c>
      <c r="BN116" s="206">
        <f>SUMIFS(領用表!$L:$L,領用表!$E:$E,$B116,領用表!$B:$B,BM$2&amp;BN$2)</f>
        <v>14</v>
      </c>
      <c r="BO116" s="206">
        <f>SUMIFS(領用表!$L:$L,領用表!$E:$E,$B116,領用表!$B:$B,$BM$2&amp;BO$2)</f>
        <v>0</v>
      </c>
      <c r="BP116" s="288">
        <f>SUMIFS(領用表!$L:$L,領用表!$E:$E,$B116,領用表!$B:$B,$BM$2&amp;BP$2)</f>
        <v>10</v>
      </c>
      <c r="BQ116" s="287">
        <f>SUMIFS(領用表!$L:$L,領用表!$E:$E,$B116,領用表!$B:$B,$BM$2&amp;BQ$2)</f>
        <v>0</v>
      </c>
      <c r="BR116" s="203">
        <f>SUMIFS(領用表!$L:$L,領用表!$A:$A,BR$2,領用表!$E:$E,B116)</f>
        <v>52</v>
      </c>
      <c r="BS116" s="288">
        <f>SUMIFS(領用表!$L:$L,領用表!$E:$E,$B116,領用表!$B:$B,BR$2&amp;BS$2)</f>
        <v>18</v>
      </c>
      <c r="BT116" s="288">
        <f>SUMIFS(領用表!$L:$L,領用表!$E:$E,$B116,領用表!$B:$B,$BR$2&amp;BT$2)</f>
        <v>0</v>
      </c>
      <c r="BU116" s="288">
        <f>SUMIFS(領用表!$L:$L,領用表!$E:$E,$B116,領用表!$B:$B,$BR$2&amp;BU$2)</f>
        <v>34</v>
      </c>
      <c r="BV116" s="287">
        <f>SUMIFS(領用表!$L:$L,領用表!$E:$E,$B116,領用表!$B:$B,$BR$2&amp;BV$2)</f>
        <v>0</v>
      </c>
      <c r="BW116" s="208">
        <f>SUMIFS(領用表!$L:$L,領用表!$A:$A,BW$2,領用表!$E:$E,B116)</f>
        <v>71</v>
      </c>
      <c r="BX116" s="206">
        <f>SUMIFS(領用表!$L:$L,領用表!$E:$E,$B116,領用表!$B:$B,BW$2&amp;BX$2)</f>
        <v>30</v>
      </c>
      <c r="BY116" s="206">
        <f>SUMIFS(領用表!$L:$L,領用表!$E:$E,$B116,領用表!$B:$B,$BW$2&amp;BY$2)</f>
        <v>0</v>
      </c>
      <c r="BZ116" s="206">
        <f>SUMIFS(領用表!$L:$L,領用表!$E:$E,$B116,領用表!$B:$B,$BW$2&amp;BZ$2)</f>
        <v>41</v>
      </c>
      <c r="CA116" s="206">
        <f>SUMIFS(領用表!$L:$L,領用表!$E:$E,$B116,領用表!$B:$B,$BW$2&amp;CA$2)</f>
        <v>0</v>
      </c>
      <c r="CB116" s="208">
        <f>SUMIFS(領用表!$L:$L,領用表!$A:$A,CB$2,領用表!$E:$E,B116)</f>
        <v>84</v>
      </c>
      <c r="CC116" s="206">
        <f>SUMIFS(領用表!$L:$L,領用表!$E:$E,$B116,領用表!$B:$B,CB$2&amp;CC$2)</f>
        <v>32</v>
      </c>
      <c r="CD116" s="206">
        <f>SUMIFS(領用表!$L:$L,領用表!$E:$E,$B116,領用表!$B:$B,$CB$2&amp;CD$2)</f>
        <v>0</v>
      </c>
      <c r="CE116" s="206">
        <f>SUMIFS(領用表!$L:$L,領用表!$E:$E,$B116,領用表!$B:$B,$CB$2&amp;CE$2)</f>
        <v>52</v>
      </c>
      <c r="CF116" s="206">
        <f>SUMIFS(領用表!$L:$L,領用表!$E:$E,$B116,領用表!$B:$B,$CB$2&amp;CF$2)</f>
        <v>0</v>
      </c>
      <c r="CG116" s="208">
        <f>SUMIFS(領用表!$L:$L,領用表!$A:$A,CG$2,領用表!$E:$E,B116)</f>
        <v>98</v>
      </c>
      <c r="CH116" s="206">
        <f>SUMIFS(領用表!$L:$L,領用表!$E:$E,$B116,領用表!$B:$B,CG$2&amp;CH$2)</f>
        <v>20</v>
      </c>
      <c r="CI116" s="206">
        <f>SUMIFS(領用表!$L:$L,領用表!$E:$E,$B116,領用表!$B:$B,CG$2&amp;CI$2)</f>
        <v>0</v>
      </c>
      <c r="CJ116" s="206">
        <f>SUMIFS(領用表!$L:$L,領用表!$E:$E,$B116,領用表!$B:$B,CG$2&amp;CJ$2)</f>
        <v>78</v>
      </c>
      <c r="CK116" s="206">
        <f>SUMIFS(領用表!$L:$L,領用表!$E:$E,$B116,領用表!$B:$B,$CG$2&amp;CK$2)</f>
        <v>0</v>
      </c>
      <c r="CL116" s="207">
        <f t="shared" ref="CL116:CL122" si="40">SUM(AX116,AY116,AZ116,BA116,BB116,BC116,BH116,BM116,BR116,BW116,CB116,CG116)</f>
        <v>393</v>
      </c>
      <c r="CM116" s="207">
        <f t="shared" ref="CM116:CM122" si="41">AVERAGE(AX116,AY116,AZ116,BA116,BB116,BC116,BH116,BM116,BR116,BW116,CB116,CG116)</f>
        <v>32.75</v>
      </c>
      <c r="CN116" s="208">
        <f>SUMIFS(領用表!$L:$L,領用表!$A:$A,CN$2,領用表!$E:$E,B116)</f>
        <v>164</v>
      </c>
      <c r="CO116" s="206">
        <f>SUMIFS(領用表!$L:$L,領用表!$E:$E,$B116,領用表!$B:$B,CN$2&amp;CO$2)</f>
        <v>49</v>
      </c>
      <c r="CP116" s="206">
        <f>SUMIFS(領用表!$L:$L,領用表!$E:$E,$B116,領用表!$B:$B,$CN$2&amp;CP$2)</f>
        <v>0</v>
      </c>
      <c r="CQ116" s="206">
        <f>SUMIFS(領用表!$L:$L,領用表!$E:$E,$B116,領用表!$B:$B,$CN$2&amp;CQ$2)</f>
        <v>115</v>
      </c>
      <c r="CR116" s="206">
        <f>SUMIFS(領用表!$L:$L,領用表!$E:$E,$B116,領用表!$B:$B,$CN$2&amp;CR$2)</f>
        <v>0</v>
      </c>
      <c r="CS116" s="208">
        <f>SUMIFS(領用表!$L:$L,領用表!$A:$A,CS$2,領用表!$E:$E,B116)</f>
        <v>185</v>
      </c>
      <c r="CT116" s="206">
        <f>SUMIFS(領用表!$L:$L,領用表!$E:$E,$B116,領用表!$B:$B,CS$2&amp;CT$2)</f>
        <v>51</v>
      </c>
      <c r="CU116" s="206">
        <f>SUMIFS(領用表!$L:$L,領用表!$E:$E,$B116,領用表!$B:$B,$CS$2&amp;CU$2)</f>
        <v>0</v>
      </c>
      <c r="CV116" s="206">
        <f>SUMIFS(領用表!$L:$L,領用表!$E:$E,$B116,領用表!$B:$B,$CS$2&amp;CV$2)</f>
        <v>124</v>
      </c>
      <c r="CW116" s="206">
        <f>SUMIFS(領用表!$L:$L,領用表!$E:$E,$B116,領用表!$B:$B,$CS$2&amp;CW$2)</f>
        <v>0</v>
      </c>
      <c r="CX116" s="206">
        <f>SUMIFS(領用表!$L:$L,領用表!$E:$E,$B116,領用表!$B:$B,$CS$2&amp;CX$2)</f>
        <v>10</v>
      </c>
      <c r="CY116" s="208">
        <f>SUMIFS(領用表!$L:$L,領用表!$A:$A,CY$2,領用表!$E:$E,B116)</f>
        <v>240</v>
      </c>
      <c r="CZ116" s="206">
        <f>SUMIFS(領用表!$L:$L,領用表!$E:$E,$B116,領用表!$B:$B,CY$2&amp;CZ$2)</f>
        <v>84</v>
      </c>
      <c r="DA116" s="206">
        <f>SUMIFS(領用表!$L:$L,領用表!$E:$E,$B116,領用表!$B:$B,$CY$2&amp;DA$2)</f>
        <v>0</v>
      </c>
      <c r="DB116" s="206">
        <f>SUMIFS(領用表!$L:$L,領用表!$E:$E,$B116,領用表!$B:$B,$CY$2&amp;DB$2)</f>
        <v>134</v>
      </c>
      <c r="DC116" s="206">
        <f>SUMIFS(領用表!$L:$L,領用表!$E:$E,$B116,領用表!$B:$B,$CY$2&amp;DC$2)</f>
        <v>0</v>
      </c>
      <c r="DD116" s="206">
        <f>SUMIFS(領用表!$L:$L,領用表!$E:$E,$B116,領用表!$B:$B,$CY$2&amp;DD$2)</f>
        <v>22</v>
      </c>
      <c r="DE116" s="208">
        <f>SUMIFS(領用表!$L:$L,領用表!$A:$A,DE$2,領用表!$E:$E,B116)</f>
        <v>297</v>
      </c>
      <c r="DF116" s="206">
        <f>SUMIFS(領用表!$L:$L,領用表!$E:$E,$B116,領用表!$B:$B,DE$2&amp;DF$2)</f>
        <v>87</v>
      </c>
      <c r="DG116" s="206">
        <f>SUMIFS(領用表!$L:$L,領用表!$E:$E,$B116,領用表!$B:$B,$DE$2&amp;DG$2)</f>
        <v>0</v>
      </c>
      <c r="DH116" s="206">
        <f>SUMIFS(領用表!$L:$L,領用表!$E:$E,$B116,領用表!$B:$B,$DE$2&amp;DH$2)</f>
        <v>170</v>
      </c>
      <c r="DI116" s="206">
        <f>SUMIFS(領用表!$L:$L,領用表!$E:$E,$B116,領用表!$B:$B,$DE$2&amp;DI$2)</f>
        <v>0</v>
      </c>
      <c r="DJ116" s="206">
        <f>SUMIFS(領用表!$L:$L,領用表!$E:$E,$B116,領用表!$B:$B,$DE$2&amp;DJ$2)</f>
        <v>40</v>
      </c>
      <c r="DK116" s="208">
        <f>SUMIFS(領用表!$L:$L,領用表!$A:$A,DK$2,領用表!$E:$E,$B116)</f>
        <v>405</v>
      </c>
      <c r="DL116" s="206">
        <f>SUMIFS(領用表!$L:$L,領用表!$E:$E,$B116,領用表!$B:$B,DK$2&amp;DL$2)</f>
        <v>100</v>
      </c>
      <c r="DM116" s="206">
        <f>SUMIFS(領用表!$L:$L,領用表!$E:$E,$B116,領用表!$B:$B,$DK$2&amp;DM$2)</f>
        <v>0</v>
      </c>
      <c r="DN116" s="206">
        <f>SUMIFS(領用表!$L:$L,領用表!$E:$E,$B116,領用表!$B:$B,$DK$2&amp;DN$2)</f>
        <v>223</v>
      </c>
      <c r="DO116" s="206">
        <f>SUMIFS(領用表!$L:$L,領用表!$E:$E,$B116,領用表!$B:$B,$DK$2&amp;DO$2)</f>
        <v>0</v>
      </c>
      <c r="DP116" s="206">
        <f>SUMIFS(領用表!$L:$L,領用表!$E:$E,$B116,領用表!$B:$B,$DK$2&amp;DP$2)</f>
        <v>82</v>
      </c>
      <c r="DQ116" s="206">
        <f t="shared" si="36"/>
        <v>1291</v>
      </c>
      <c r="DR116" s="206">
        <f t="shared" si="37"/>
        <v>258.2</v>
      </c>
      <c r="DS116" s="206">
        <f t="shared" si="27"/>
        <v>0</v>
      </c>
      <c r="DT116" s="206">
        <v>0</v>
      </c>
      <c r="DU116" s="206">
        <v>0</v>
      </c>
      <c r="DV116" s="206">
        <v>0</v>
      </c>
      <c r="DW116" s="206">
        <v>0</v>
      </c>
      <c r="DX116" s="258">
        <v>20</v>
      </c>
      <c r="DY116" s="283"/>
      <c r="DZ116" s="252" t="s">
        <v>165</v>
      </c>
      <c r="EA116" s="283"/>
      <c r="EB116" s="136"/>
      <c r="EC116" s="289"/>
      <c r="ED116" s="118">
        <f>IFERROR(VLOOKUP(A116,站前4樓!A:BF,57,0),0)</f>
        <v>0</v>
      </c>
      <c r="EE116" s="213">
        <f>IFERROR(VLOOKUP(A116,站前11樓!A:BE,57,0),0)</f>
        <v>0</v>
      </c>
      <c r="EF116" s="118">
        <f>IFERROR(VLOOKUP(A116,忠孝7樓!A:N,57,0),0)</f>
        <v>0</v>
      </c>
      <c r="EG116" s="118">
        <f>IFERROR(VLOOKUP(A116,忠孝國際醫學3樓!A:L,57,0),0)</f>
        <v>0</v>
      </c>
      <c r="EH116" s="118">
        <f t="shared" ref="EH116:EH122" si="42">SUM(ED116:EG116)</f>
        <v>0</v>
      </c>
    </row>
    <row r="117" spans="1:138" s="118" customFormat="1" ht="15.75" customHeight="1" thickBot="1">
      <c r="A117" s="320" t="s">
        <v>762</v>
      </c>
      <c r="B117" s="118">
        <v>6120027</v>
      </c>
      <c r="C117" s="136" t="s">
        <v>525</v>
      </c>
      <c r="D117" s="307"/>
      <c r="E117" s="198" t="s">
        <v>15</v>
      </c>
      <c r="F117" s="225">
        <f>SUMIF(站前4樓!B:B,B117,站前4樓!F:F)</f>
        <v>0</v>
      </c>
      <c r="G117" s="225">
        <f>SUMIF(站前11樓!B:B,B117,站前11樓!F:F)</f>
        <v>0</v>
      </c>
      <c r="H117" s="225">
        <f>SUMIF(忠孝7樓!B:B,B117,忠孝7樓!G:G)</f>
        <v>0</v>
      </c>
      <c r="I117" s="225">
        <f>SUMIF(忠孝國際醫學3樓!B:B,B117,忠孝國際醫學3樓!G:G)</f>
        <v>0</v>
      </c>
      <c r="J117" s="225">
        <f>SUMIF(忠孝健康7樓!B:B,B117,忠孝健康7樓!G:G)</f>
        <v>0</v>
      </c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  <c r="Z117" s="283"/>
      <c r="AA117" s="283"/>
      <c r="AB117" s="283"/>
      <c r="AC117" s="283"/>
      <c r="AD117" s="283"/>
      <c r="AE117" s="283"/>
      <c r="AF117" s="283"/>
      <c r="AG117" s="283"/>
      <c r="AH117" s="283"/>
      <c r="AI117" s="283"/>
      <c r="AJ117" s="201"/>
      <c r="AK117" s="201"/>
      <c r="AL117" s="201"/>
      <c r="AM117" s="201"/>
      <c r="AN117" s="201"/>
      <c r="AO117" s="201"/>
      <c r="AP117" s="201"/>
      <c r="AQ117" s="201"/>
      <c r="AR117" s="201"/>
      <c r="AS117" s="201"/>
      <c r="AT117" s="201"/>
      <c r="AU117" s="201">
        <v>0</v>
      </c>
      <c r="AV117" s="283">
        <f t="shared" si="38"/>
        <v>0</v>
      </c>
      <c r="AW117" s="286">
        <f t="shared" si="39"/>
        <v>0</v>
      </c>
      <c r="AX117" s="201">
        <v>0</v>
      </c>
      <c r="AY117" s="201">
        <v>0</v>
      </c>
      <c r="AZ117" s="201">
        <v>12</v>
      </c>
      <c r="BA117" s="201">
        <v>0</v>
      </c>
      <c r="BB117" s="201">
        <v>0</v>
      </c>
      <c r="BC117" s="203">
        <f>SUMIFS(領用表!$L:$L,領用表!$A:$A,BC$2,領用表!$E:$E,B117)</f>
        <v>0</v>
      </c>
      <c r="BD117" s="287">
        <f>SUMIFS(領用表!$L:$L,領用表!$E:$E,$B117,領用表!$B:$B,BC$2&amp;BD$2)</f>
        <v>0</v>
      </c>
      <c r="BE117" s="287">
        <f>SUMIFS(領用表!$L:$L,領用表!$E:$E,$B117,領用表!$B:$B,$BC$2&amp;BE$2)</f>
        <v>0</v>
      </c>
      <c r="BF117" s="287">
        <f>SUMIFS(領用表!$L:$L,領用表!$E:$E,$B117,領用表!$B:$B,$BC$2&amp;BF$2)</f>
        <v>0</v>
      </c>
      <c r="BG117" s="206">
        <f>SUMIFS(領用表!$L:$L,領用表!$E:$E,$B117,領用表!$B:$B,$BC$2&amp;BG$2)</f>
        <v>0</v>
      </c>
      <c r="BH117" s="203">
        <f>SUMIFS(領用表!$L:$L,領用表!$A:$A,BH$2,領用表!$E:$E,B117)</f>
        <v>0</v>
      </c>
      <c r="BI117" s="260">
        <f>SUMIFS(領用表!$L:$L,領用表!$E:$E,$B117,領用表!$B:$B,BH$2&amp;BI$2)</f>
        <v>0</v>
      </c>
      <c r="BJ117" s="260">
        <f>SUMIFS(領用表!$L:$L,領用表!$E:$E,$B117,領用表!$B:$B,$BH$2&amp;BJ$2)</f>
        <v>0</v>
      </c>
      <c r="BK117" s="260">
        <f>SUMIFS(領用表!$L:$L,領用表!$E:$E,$B117,領用表!$B:$B,$BH$2&amp;BK$2)</f>
        <v>0</v>
      </c>
      <c r="BL117" s="260">
        <f>SUMIFS(領用表!$L:$L,領用表!$E:$E,$B117,領用表!$B:$B,$BH$2&amp;BL$2)</f>
        <v>0</v>
      </c>
      <c r="BM117" s="203">
        <f>SUMIFS(領用表!$L:$L,領用表!$A:$A,BM$2,領用表!$E:$E,B117)</f>
        <v>0</v>
      </c>
      <c r="BN117" s="206">
        <f>SUMIFS(領用表!$L:$L,領用表!$E:$E,$B117,領用表!$B:$B,BM$2&amp;BN$2)</f>
        <v>0</v>
      </c>
      <c r="BO117" s="206">
        <f>SUMIFS(領用表!$L:$L,領用表!$E:$E,$B117,領用表!$B:$B,$BM$2&amp;BO$2)</f>
        <v>0</v>
      </c>
      <c r="BP117" s="288">
        <f>SUMIFS(領用表!$L:$L,領用表!$E:$E,$B117,領用表!$B:$B,$BM$2&amp;BP$2)</f>
        <v>0</v>
      </c>
      <c r="BQ117" s="287">
        <f>SUMIFS(領用表!$L:$L,領用表!$E:$E,$B117,領用表!$B:$B,$BM$2&amp;BQ$2)</f>
        <v>0</v>
      </c>
      <c r="BR117" s="203">
        <f>SUMIFS(領用表!$L:$L,領用表!$A:$A,BR$2,領用表!$E:$E,B117)</f>
        <v>0</v>
      </c>
      <c r="BS117" s="288">
        <f>SUMIFS(領用表!$L:$L,領用表!$E:$E,$B117,領用表!$B:$B,BR$2&amp;BS$2)</f>
        <v>0</v>
      </c>
      <c r="BT117" s="288">
        <f>SUMIFS(領用表!$L:$L,領用表!$E:$E,$B117,領用表!$B:$B,$BR$2&amp;BT$2)</f>
        <v>0</v>
      </c>
      <c r="BU117" s="288">
        <f>SUMIFS(領用表!$L:$L,領用表!$E:$E,$B117,領用表!$B:$B,$BR$2&amp;BU$2)</f>
        <v>0</v>
      </c>
      <c r="BV117" s="287">
        <f>SUMIFS(領用表!$L:$L,領用表!$E:$E,$B117,領用表!$B:$B,$BR$2&amp;BV$2)</f>
        <v>0</v>
      </c>
      <c r="BW117" s="208">
        <f>SUMIFS(領用表!$L:$L,領用表!$A:$A,BW$2,領用表!$E:$E,B117)</f>
        <v>0</v>
      </c>
      <c r="BX117" s="206">
        <f>SUMIFS(領用表!$L:$L,領用表!$E:$E,$B117,領用表!$B:$B,BW$2&amp;BX$2)</f>
        <v>0</v>
      </c>
      <c r="BY117" s="206">
        <f>SUMIFS(領用表!$L:$L,領用表!$E:$E,$B117,領用表!$B:$B,$BW$2&amp;BY$2)</f>
        <v>0</v>
      </c>
      <c r="BZ117" s="206">
        <f>SUMIFS(領用表!$L:$L,領用表!$E:$E,$B117,領用表!$B:$B,$BW$2&amp;BZ$2)</f>
        <v>0</v>
      </c>
      <c r="CA117" s="206">
        <f>SUMIFS(領用表!$L:$L,領用表!$E:$E,$B117,領用表!$B:$B,$BW$2&amp;CA$2)</f>
        <v>0</v>
      </c>
      <c r="CB117" s="208">
        <f>SUMIFS(領用表!$L:$L,領用表!$A:$A,CB$2,領用表!$E:$E,B117)</f>
        <v>0</v>
      </c>
      <c r="CC117" s="206">
        <f>SUMIFS(領用表!$L:$L,領用表!$E:$E,$B117,領用表!$B:$B,CB$2&amp;CC$2)</f>
        <v>0</v>
      </c>
      <c r="CD117" s="206">
        <f>SUMIFS(領用表!$L:$L,領用表!$E:$E,$B117,領用表!$B:$B,$CB$2&amp;CD$2)</f>
        <v>0</v>
      </c>
      <c r="CE117" s="206">
        <f>SUMIFS(領用表!$L:$L,領用表!$E:$E,$B117,領用表!$B:$B,$CB$2&amp;CE$2)</f>
        <v>0</v>
      </c>
      <c r="CF117" s="206">
        <f>SUMIFS(領用表!$L:$L,領用表!$E:$E,$B117,領用表!$B:$B,$CB$2&amp;CF$2)</f>
        <v>0</v>
      </c>
      <c r="CG117" s="208">
        <f>SUMIFS(領用表!$L:$L,領用表!$A:$A,CG$2,領用表!$E:$E,B117)</f>
        <v>0</v>
      </c>
      <c r="CH117" s="206">
        <f>SUMIFS(領用表!$L:$L,領用表!$E:$E,$B117,領用表!$B:$B,CG$2&amp;CH$2)</f>
        <v>0</v>
      </c>
      <c r="CI117" s="206">
        <f>SUMIFS(領用表!$L:$L,領用表!$E:$E,$B117,領用表!$B:$B,CG$2&amp;CI$2)</f>
        <v>0</v>
      </c>
      <c r="CJ117" s="206">
        <f>SUMIFS(領用表!$L:$L,領用表!$E:$E,$B117,領用表!$B:$B,CG$2&amp;CJ$2)</f>
        <v>0</v>
      </c>
      <c r="CK117" s="206">
        <f>SUMIFS(領用表!$L:$L,領用表!$E:$E,$B117,領用表!$B:$B,$CG$2&amp;CK$2)</f>
        <v>0</v>
      </c>
      <c r="CL117" s="207">
        <f t="shared" si="40"/>
        <v>12</v>
      </c>
      <c r="CM117" s="207">
        <f t="shared" si="41"/>
        <v>1</v>
      </c>
      <c r="CN117" s="208">
        <f>SUMIFS(領用表!$L:$L,領用表!$A:$A,CN$2,領用表!$E:$E,B117)</f>
        <v>0</v>
      </c>
      <c r="CO117" s="206">
        <f>SUMIFS(領用表!$L:$L,領用表!$E:$E,$B117,領用表!$B:$B,CN$2&amp;CO$2)</f>
        <v>0</v>
      </c>
      <c r="CP117" s="206">
        <f>SUMIFS(領用表!$L:$L,領用表!$E:$E,$B117,領用表!$B:$B,$CN$2&amp;CP$2)</f>
        <v>0</v>
      </c>
      <c r="CQ117" s="206">
        <f>SUMIFS(領用表!$L:$L,領用表!$E:$E,$B117,領用表!$B:$B,$CN$2&amp;CQ$2)</f>
        <v>0</v>
      </c>
      <c r="CR117" s="206">
        <f>SUMIFS(領用表!$L:$L,領用表!$E:$E,$B117,領用表!$B:$B,$CN$2&amp;CR$2)</f>
        <v>0</v>
      </c>
      <c r="CS117" s="208">
        <f>SUMIFS(領用表!$L:$L,領用表!$A:$A,CS$2,領用表!$E:$E,B117)</f>
        <v>0</v>
      </c>
      <c r="CT117" s="206">
        <f>SUMIFS(領用表!$L:$L,領用表!$E:$E,$B117,領用表!$B:$B,CS$2&amp;CT$2)</f>
        <v>0</v>
      </c>
      <c r="CU117" s="206">
        <f>SUMIFS(領用表!$L:$L,領用表!$E:$E,$B117,領用表!$B:$B,$CS$2&amp;CU$2)</f>
        <v>0</v>
      </c>
      <c r="CV117" s="206">
        <f>SUMIFS(領用表!$L:$L,領用表!$E:$E,$B117,領用表!$B:$B,$CS$2&amp;CV$2)</f>
        <v>0</v>
      </c>
      <c r="CW117" s="206">
        <f>SUMIFS(領用表!$L:$L,領用表!$E:$E,$B117,領用表!$B:$B,$CS$2&amp;CW$2)</f>
        <v>0</v>
      </c>
      <c r="CX117" s="206">
        <f>SUMIFS(領用表!$L:$L,領用表!$E:$E,$B117,領用表!$B:$B,$CS$2&amp;CX$2)</f>
        <v>0</v>
      </c>
      <c r="CY117" s="208">
        <f>SUMIFS(領用表!$L:$L,領用表!$A:$A,CY$2,領用表!$E:$E,B117)</f>
        <v>0</v>
      </c>
      <c r="CZ117" s="206">
        <f>SUMIFS(領用表!$L:$L,領用表!$E:$E,$B117,領用表!$B:$B,CY$2&amp;CZ$2)</f>
        <v>0</v>
      </c>
      <c r="DA117" s="206">
        <f>SUMIFS(領用表!$L:$L,領用表!$E:$E,$B117,領用表!$B:$B,$CY$2&amp;DA$2)</f>
        <v>0</v>
      </c>
      <c r="DB117" s="206">
        <f>SUMIFS(領用表!$L:$L,領用表!$E:$E,$B117,領用表!$B:$B,$CY$2&amp;DB$2)</f>
        <v>0</v>
      </c>
      <c r="DC117" s="206">
        <f>SUMIFS(領用表!$L:$L,領用表!$E:$E,$B117,領用表!$B:$B,$CY$2&amp;DC$2)</f>
        <v>0</v>
      </c>
      <c r="DD117" s="206">
        <f>SUMIFS(領用表!$L:$L,領用表!$E:$E,$B117,領用表!$B:$B,$CY$2&amp;DD$2)</f>
        <v>0</v>
      </c>
      <c r="DE117" s="208">
        <f>SUMIFS(領用表!$L:$L,領用表!$A:$A,DE$2,領用表!$E:$E,B117)</f>
        <v>0</v>
      </c>
      <c r="DF117" s="206">
        <f>SUMIFS(領用表!$L:$L,領用表!$E:$E,$B117,領用表!$B:$B,DE$2&amp;DF$2)</f>
        <v>0</v>
      </c>
      <c r="DG117" s="206">
        <f>SUMIFS(領用表!$L:$L,領用表!$E:$E,$B117,領用表!$B:$B,$DE$2&amp;DG$2)</f>
        <v>0</v>
      </c>
      <c r="DH117" s="206">
        <f>SUMIFS(領用表!$L:$L,領用表!$E:$E,$B117,領用表!$B:$B,$DE$2&amp;DH$2)</f>
        <v>0</v>
      </c>
      <c r="DI117" s="206">
        <f>SUMIFS(領用表!$L:$L,領用表!$E:$E,$B117,領用表!$B:$B,$DE$2&amp;DI$2)</f>
        <v>0</v>
      </c>
      <c r="DJ117" s="206">
        <f>SUMIFS(領用表!$L:$L,領用表!$E:$E,$B117,領用表!$B:$B,$DE$2&amp;DJ$2)</f>
        <v>0</v>
      </c>
      <c r="DK117" s="208">
        <f>SUMIFS(領用表!$L:$L,領用表!$A:$A,DK$2,領用表!$E:$E,$B117)</f>
        <v>0</v>
      </c>
      <c r="DL117" s="206">
        <f>SUMIFS(領用表!$L:$L,領用表!$E:$E,$B117,領用表!$B:$B,DK$2&amp;DL$2)</f>
        <v>0</v>
      </c>
      <c r="DM117" s="206">
        <f>SUMIFS(領用表!$L:$L,領用表!$E:$E,$B117,領用表!$B:$B,$DK$2&amp;DM$2)</f>
        <v>0</v>
      </c>
      <c r="DN117" s="206">
        <f>SUMIFS(領用表!$L:$L,領用表!$E:$E,$B117,領用表!$B:$B,$DK$2&amp;DN$2)</f>
        <v>0</v>
      </c>
      <c r="DO117" s="206">
        <f>SUMIFS(領用表!$L:$L,領用表!$E:$E,$B117,領用表!$B:$B,$DK$2&amp;DO$2)</f>
        <v>0</v>
      </c>
      <c r="DP117" s="206">
        <f>SUMIFS(領用表!$L:$L,領用表!$E:$E,$B117,領用表!$B:$B,$DK$2&amp;DP$2)</f>
        <v>0</v>
      </c>
      <c r="DQ117" s="206">
        <f t="shared" si="36"/>
        <v>0</v>
      </c>
      <c r="DR117" s="206">
        <f t="shared" si="37"/>
        <v>0</v>
      </c>
      <c r="DS117" s="206">
        <f t="shared" si="27"/>
        <v>0</v>
      </c>
      <c r="DT117" s="206">
        <v>0</v>
      </c>
      <c r="DU117" s="206">
        <v>0</v>
      </c>
      <c r="DV117" s="206">
        <v>0</v>
      </c>
      <c r="DW117" s="206">
        <v>0</v>
      </c>
      <c r="DX117" s="258">
        <v>20</v>
      </c>
      <c r="DY117" s="283"/>
      <c r="DZ117" s="283"/>
      <c r="EA117" s="252"/>
      <c r="EB117" s="136"/>
      <c r="EC117" s="289"/>
      <c r="ED117" s="118">
        <f>IFERROR(VLOOKUP(A117,站前4樓!A:BF,57,0),0)</f>
        <v>0</v>
      </c>
      <c r="EE117" s="213">
        <f>IFERROR(VLOOKUP(A117,站前11樓!A:BE,57,0),0)</f>
        <v>0</v>
      </c>
      <c r="EF117" s="118">
        <f>IFERROR(VLOOKUP(A117,忠孝7樓!A:N,57,0),0)</f>
        <v>0</v>
      </c>
      <c r="EG117" s="118">
        <f>IFERROR(VLOOKUP(A117,忠孝國際醫學3樓!A:L,57,0),0)</f>
        <v>0</v>
      </c>
      <c r="EH117" s="118">
        <f t="shared" si="42"/>
        <v>0</v>
      </c>
    </row>
    <row r="118" spans="1:138" s="118" customFormat="1" ht="15.75" customHeight="1" thickBot="1">
      <c r="A118" s="320" t="s">
        <v>668</v>
      </c>
      <c r="B118" s="118">
        <v>6120017</v>
      </c>
      <c r="C118" s="118" t="s">
        <v>758</v>
      </c>
      <c r="D118" s="307"/>
      <c r="E118" s="198" t="s">
        <v>15</v>
      </c>
      <c r="F118" s="225">
        <f>SUMIF(站前4樓!B:B,B118,站前4樓!F:F)</f>
        <v>0</v>
      </c>
      <c r="G118" s="225">
        <f>SUMIF(站前11樓!B:B,B118,站前11樓!F:F)</f>
        <v>57</v>
      </c>
      <c r="H118" s="225">
        <f>SUMIF(忠孝7樓!B:B,B118,忠孝7樓!G:G)</f>
        <v>42</v>
      </c>
      <c r="I118" s="225">
        <f>SUMIF(忠孝國際醫學3樓!B:B,B118,忠孝國際醫學3樓!G:G)</f>
        <v>70</v>
      </c>
      <c r="J118" s="225">
        <f>SUMIF(忠孝健康7樓!B:B,B118,忠孝健康7樓!G:G)</f>
        <v>0</v>
      </c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83"/>
      <c r="AB118" s="283"/>
      <c r="AC118" s="283"/>
      <c r="AD118" s="283"/>
      <c r="AE118" s="283"/>
      <c r="AF118" s="283"/>
      <c r="AG118" s="283"/>
      <c r="AH118" s="283"/>
      <c r="AI118" s="283"/>
      <c r="AJ118" s="201"/>
      <c r="AK118" s="201"/>
      <c r="AL118" s="201"/>
      <c r="AM118" s="201"/>
      <c r="AN118" s="201"/>
      <c r="AO118" s="201"/>
      <c r="AP118" s="201"/>
      <c r="AQ118" s="201">
        <v>0</v>
      </c>
      <c r="AR118" s="201">
        <v>0</v>
      </c>
      <c r="AS118" s="201">
        <v>0</v>
      </c>
      <c r="AT118" s="201">
        <v>0</v>
      </c>
      <c r="AU118" s="201">
        <v>0</v>
      </c>
      <c r="AV118" s="283">
        <f t="shared" si="38"/>
        <v>0</v>
      </c>
      <c r="AW118" s="286">
        <f t="shared" si="39"/>
        <v>0</v>
      </c>
      <c r="AX118" s="201">
        <v>0</v>
      </c>
      <c r="AY118" s="201">
        <v>0</v>
      </c>
      <c r="AZ118" s="201">
        <v>0</v>
      </c>
      <c r="BA118" s="201">
        <v>1</v>
      </c>
      <c r="BB118" s="201">
        <f>0+3</f>
        <v>3</v>
      </c>
      <c r="BC118" s="203">
        <f>SUMIFS(領用表!$L:$L,領用表!$A:$A,BC$2,領用表!$E:$E,B118)</f>
        <v>3</v>
      </c>
      <c r="BD118" s="287">
        <f>SUMIFS(領用表!$L:$L,領用表!$E:$E,$B118,領用表!$B:$B,BC$2&amp;BD$2)</f>
        <v>0</v>
      </c>
      <c r="BE118" s="287">
        <f>SUMIFS(領用表!$L:$L,領用表!$E:$E,$B118,領用表!$B:$B,$BC$2&amp;BE$2)</f>
        <v>3</v>
      </c>
      <c r="BF118" s="287">
        <f>SUMIFS(領用表!$L:$L,領用表!$E:$E,$B118,領用表!$B:$B,$BC$2&amp;BF$2)</f>
        <v>0</v>
      </c>
      <c r="BG118" s="206">
        <f>SUMIFS(領用表!$L:$L,領用表!$E:$E,$B118,領用表!$B:$B,$BC$2&amp;BG$2)</f>
        <v>0</v>
      </c>
      <c r="BH118" s="203">
        <f>SUMIFS(領用表!$L:$L,領用表!$A:$A,BH$2,領用表!$E:$E,B118)</f>
        <v>0</v>
      </c>
      <c r="BI118" s="260">
        <f>SUMIFS(領用表!$L:$L,領用表!$E:$E,$B118,領用表!$B:$B,BH$2&amp;BI$2)</f>
        <v>0</v>
      </c>
      <c r="BJ118" s="260">
        <f>SUMIFS(領用表!$L:$L,領用表!$E:$E,$B118,領用表!$B:$B,$BH$2&amp;BJ$2)</f>
        <v>0</v>
      </c>
      <c r="BK118" s="260">
        <f>SUMIFS(領用表!$L:$L,領用表!$E:$E,$B118,領用表!$B:$B,$BH$2&amp;BK$2)</f>
        <v>0</v>
      </c>
      <c r="BL118" s="260">
        <f>SUMIFS(領用表!$L:$L,領用表!$E:$E,$B118,領用表!$B:$B,$BH$2&amp;BL$2)</f>
        <v>0</v>
      </c>
      <c r="BM118" s="203">
        <f>SUMIFS(領用表!$L:$L,領用表!$A:$A,BM$2,領用表!$E:$E,B118)</f>
        <v>2</v>
      </c>
      <c r="BN118" s="206">
        <f>SUMIFS(領用表!$L:$L,領用表!$E:$E,$B118,領用表!$B:$B,BM$2&amp;BN$2)</f>
        <v>0</v>
      </c>
      <c r="BO118" s="206">
        <f>SUMIFS(領用表!$L:$L,領用表!$E:$E,$B118,領用表!$B:$B,$BM$2&amp;BO$2)</f>
        <v>2</v>
      </c>
      <c r="BP118" s="288">
        <f>SUMIFS(領用表!$L:$L,領用表!$E:$E,$B118,領用表!$B:$B,$BM$2&amp;BP$2)</f>
        <v>0</v>
      </c>
      <c r="BQ118" s="287">
        <f>SUMIFS(領用表!$L:$L,領用表!$E:$E,$B118,領用表!$B:$B,$BM$2&amp;BQ$2)</f>
        <v>0</v>
      </c>
      <c r="BR118" s="203">
        <f>SUMIFS(領用表!$L:$L,領用表!$A:$A,BR$2,領用表!$E:$E,B118)</f>
        <v>3</v>
      </c>
      <c r="BS118" s="288">
        <f>SUMIFS(領用表!$L:$L,領用表!$E:$E,$B118,領用表!$B:$B,BR$2&amp;BS$2)</f>
        <v>0</v>
      </c>
      <c r="BT118" s="288">
        <f>SUMIFS(領用表!$L:$L,領用表!$E:$E,$B118,領用表!$B:$B,$BR$2&amp;BT$2)</f>
        <v>1</v>
      </c>
      <c r="BU118" s="288">
        <f>SUMIFS(領用表!$L:$L,領用表!$E:$E,$B118,領用表!$B:$B,$BR$2&amp;BU$2)</f>
        <v>0</v>
      </c>
      <c r="BV118" s="287">
        <f>SUMIFS(領用表!$L:$L,領用表!$E:$E,$B118,領用表!$B:$B,$BR$2&amp;BV$2)</f>
        <v>2</v>
      </c>
      <c r="BW118" s="208">
        <f>SUMIFS(領用表!$L:$L,領用表!$A:$A,BW$2,領用表!$E:$E,B118)</f>
        <v>2</v>
      </c>
      <c r="BX118" s="206">
        <f>SUMIFS(領用表!$L:$L,領用表!$E:$E,$B118,領用表!$B:$B,BW$2&amp;BX$2)</f>
        <v>0</v>
      </c>
      <c r="BY118" s="206">
        <f>SUMIFS(領用表!$L:$L,領用表!$E:$E,$B118,領用表!$B:$B,$BW$2&amp;BY$2)</f>
        <v>1</v>
      </c>
      <c r="BZ118" s="206">
        <f>SUMIFS(領用表!$L:$L,領用表!$E:$E,$B118,領用表!$B:$B,$BW$2&amp;BZ$2)</f>
        <v>1</v>
      </c>
      <c r="CA118" s="206">
        <f>SUMIFS(領用表!$L:$L,領用表!$E:$E,$B118,領用表!$B:$B,$BW$2&amp;CA$2)</f>
        <v>0</v>
      </c>
      <c r="CB118" s="208">
        <f>SUMIFS(領用表!$L:$L,領用表!$A:$A,CB$2,領用表!$E:$E,B118)</f>
        <v>2</v>
      </c>
      <c r="CC118" s="206">
        <f>SUMIFS(領用表!$L:$L,領用表!$E:$E,$B118,領用表!$B:$B,CB$2&amp;CC$2)</f>
        <v>0</v>
      </c>
      <c r="CD118" s="206">
        <f>SUMIFS(領用表!$L:$L,領用表!$E:$E,$B118,領用表!$B:$B,$CB$2&amp;CD$2)</f>
        <v>0</v>
      </c>
      <c r="CE118" s="206">
        <f>SUMIFS(領用表!$L:$L,領用表!$E:$E,$B118,領用表!$B:$B,$CB$2&amp;CE$2)</f>
        <v>0</v>
      </c>
      <c r="CF118" s="206">
        <f>SUMIFS(領用表!$L:$L,領用表!$E:$E,$B118,領用表!$B:$B,$CB$2&amp;CF$2)</f>
        <v>2</v>
      </c>
      <c r="CG118" s="208">
        <f>SUMIFS(領用表!$L:$L,領用表!$A:$A,CG$2,領用表!$E:$E,B118)</f>
        <v>7</v>
      </c>
      <c r="CH118" s="206">
        <f>SUMIFS(領用表!$L:$L,領用表!$E:$E,$B118,領用表!$B:$B,CG$2&amp;CH$2)</f>
        <v>0</v>
      </c>
      <c r="CI118" s="206">
        <f>SUMIFS(領用表!$L:$L,領用表!$E:$E,$B118,領用表!$B:$B,CG$2&amp;CI$2)</f>
        <v>1</v>
      </c>
      <c r="CJ118" s="206">
        <f>SUMIFS(領用表!$L:$L,領用表!$E:$E,$B118,領用表!$B:$B,CG$2&amp;CJ$2)</f>
        <v>1</v>
      </c>
      <c r="CK118" s="206">
        <f>SUMIFS(領用表!$L:$L,領用表!$E:$E,$B118,領用表!$B:$B,$CG$2&amp;CK$2)</f>
        <v>5</v>
      </c>
      <c r="CL118" s="207">
        <f t="shared" si="40"/>
        <v>23</v>
      </c>
      <c r="CM118" s="207">
        <f t="shared" si="41"/>
        <v>1.9166666666666667</v>
      </c>
      <c r="CN118" s="208">
        <f>SUMIFS(領用表!$L:$L,領用表!$A:$A,CN$2,領用表!$E:$E,B118)</f>
        <v>8</v>
      </c>
      <c r="CO118" s="206">
        <f>SUMIFS(領用表!$L:$L,領用表!$E:$E,$B118,領用表!$B:$B,CN$2&amp;CO$2)</f>
        <v>0</v>
      </c>
      <c r="CP118" s="206">
        <f>SUMIFS(領用表!$L:$L,領用表!$E:$E,$B118,領用表!$B:$B,$CN$2&amp;CP$2)</f>
        <v>0</v>
      </c>
      <c r="CQ118" s="206">
        <f>SUMIFS(領用表!$L:$L,領用表!$E:$E,$B118,領用表!$B:$B,$CN$2&amp;CQ$2)</f>
        <v>1</v>
      </c>
      <c r="CR118" s="206">
        <f>SUMIFS(領用表!$L:$L,領用表!$E:$E,$B118,領用表!$B:$B,$CN$2&amp;CR$2)</f>
        <v>7</v>
      </c>
      <c r="CS118" s="208">
        <f>SUMIFS(領用表!$L:$L,領用表!$A:$A,CS$2,領用表!$E:$E,B118)</f>
        <v>5</v>
      </c>
      <c r="CT118" s="206">
        <f>SUMIFS(領用表!$L:$L,領用表!$E:$E,$B118,領用表!$B:$B,CS$2&amp;CT$2)</f>
        <v>1</v>
      </c>
      <c r="CU118" s="206">
        <f>SUMIFS(領用表!$L:$L,領用表!$E:$E,$B118,領用表!$B:$B,$CS$2&amp;CU$2)</f>
        <v>0</v>
      </c>
      <c r="CV118" s="206">
        <f>SUMIFS(領用表!$L:$L,領用表!$E:$E,$B118,領用表!$B:$B,$CS$2&amp;CV$2)</f>
        <v>1</v>
      </c>
      <c r="CW118" s="206">
        <f>SUMIFS(領用表!$L:$L,領用表!$E:$E,$B118,領用表!$B:$B,$CS$2&amp;CW$2)</f>
        <v>3</v>
      </c>
      <c r="CX118" s="206">
        <f>SUMIFS(領用表!$L:$L,領用表!$E:$E,$B118,領用表!$B:$B,$CS$2&amp;CX$2)</f>
        <v>0</v>
      </c>
      <c r="CY118" s="208">
        <f>SUMIFS(領用表!$L:$L,領用表!$A:$A,CY$2,領用表!$E:$E,B118)</f>
        <v>8</v>
      </c>
      <c r="CZ118" s="206">
        <f>SUMIFS(領用表!$L:$L,領用表!$E:$E,$B118,領用表!$B:$B,CY$2&amp;CZ$2)</f>
        <v>0</v>
      </c>
      <c r="DA118" s="206">
        <f>SUMIFS(領用表!$L:$L,領用表!$E:$E,$B118,領用表!$B:$B,$CY$2&amp;DA$2)</f>
        <v>2</v>
      </c>
      <c r="DB118" s="206">
        <f>SUMIFS(領用表!$L:$L,領用表!$E:$E,$B118,領用表!$B:$B,$CY$2&amp;DB$2)</f>
        <v>4</v>
      </c>
      <c r="DC118" s="206">
        <f>SUMIFS(領用表!$L:$L,領用表!$E:$E,$B118,領用表!$B:$B,$CY$2&amp;DC$2)</f>
        <v>1</v>
      </c>
      <c r="DD118" s="206">
        <f>SUMIFS(領用表!$L:$L,領用表!$E:$E,$B118,領用表!$B:$B,$CY$2&amp;DD$2)</f>
        <v>1</v>
      </c>
      <c r="DE118" s="208">
        <f>SUMIFS(領用表!$L:$L,領用表!$A:$A,DE$2,領用表!$E:$E,B118)</f>
        <v>7</v>
      </c>
      <c r="DF118" s="206">
        <f>SUMIFS(領用表!$L:$L,領用表!$E:$E,$B118,領用表!$B:$B,DE$2&amp;DF$2)</f>
        <v>0</v>
      </c>
      <c r="DG118" s="206">
        <f>SUMIFS(領用表!$L:$L,領用表!$E:$E,$B118,領用表!$B:$B,$DE$2&amp;DG$2)</f>
        <v>3</v>
      </c>
      <c r="DH118" s="206">
        <f>SUMIFS(領用表!$L:$L,領用表!$E:$E,$B118,領用表!$B:$B,$DE$2&amp;DH$2)</f>
        <v>2</v>
      </c>
      <c r="DI118" s="206">
        <f>SUMIFS(領用表!$L:$L,領用表!$E:$E,$B118,領用表!$B:$B,$DE$2&amp;DI$2)</f>
        <v>1</v>
      </c>
      <c r="DJ118" s="206">
        <f>SUMIFS(領用表!$L:$L,領用表!$E:$E,$B118,領用表!$B:$B,$DE$2&amp;DJ$2)</f>
        <v>1</v>
      </c>
      <c r="DK118" s="208">
        <f>SUMIFS(領用表!$L:$L,領用表!$A:$A,DK$2,領用表!$E:$E,$B118)</f>
        <v>9</v>
      </c>
      <c r="DL118" s="206">
        <f>SUMIFS(領用表!$L:$L,領用表!$E:$E,$B118,領用表!$B:$B,DK$2&amp;DL$2)</f>
        <v>0</v>
      </c>
      <c r="DM118" s="206">
        <f>SUMIFS(領用表!$L:$L,領用表!$E:$E,$B118,領用表!$B:$B,$DK$2&amp;DM$2)</f>
        <v>3</v>
      </c>
      <c r="DN118" s="206">
        <f>SUMIFS(領用表!$L:$L,領用表!$E:$E,$B118,領用表!$B:$B,$DK$2&amp;DN$2)</f>
        <v>1</v>
      </c>
      <c r="DO118" s="206">
        <f>SUMIFS(領用表!$L:$L,領用表!$E:$E,$B118,領用表!$B:$B,$DK$2&amp;DO$2)</f>
        <v>1</v>
      </c>
      <c r="DP118" s="206">
        <f>SUMIFS(領用表!$L:$L,領用表!$E:$E,$B118,領用表!$B:$B,$DK$2&amp;DP$2)</f>
        <v>4</v>
      </c>
      <c r="DQ118" s="206">
        <f t="shared" si="36"/>
        <v>37</v>
      </c>
      <c r="DR118" s="206">
        <f t="shared" si="37"/>
        <v>7.4</v>
      </c>
      <c r="DS118" s="206">
        <f t="shared" si="27"/>
        <v>0</v>
      </c>
      <c r="DT118" s="206">
        <v>0</v>
      </c>
      <c r="DU118" s="206">
        <v>0</v>
      </c>
      <c r="DV118" s="206">
        <v>0</v>
      </c>
      <c r="DW118" s="206">
        <v>0</v>
      </c>
      <c r="DX118" s="258">
        <v>20</v>
      </c>
      <c r="DY118" s="283"/>
      <c r="DZ118" s="283"/>
      <c r="EA118" s="283"/>
      <c r="EB118" s="136"/>
      <c r="EC118" s="289"/>
      <c r="ED118" s="118">
        <f>IFERROR(VLOOKUP(A118,站前4樓!A:BF,57,0),0)</f>
        <v>0</v>
      </c>
      <c r="EE118" s="213">
        <f>IFERROR(VLOOKUP(A118,站前11樓!A:BE,57,0),0)</f>
        <v>0</v>
      </c>
      <c r="EF118" s="118">
        <f>IFERROR(VLOOKUP(A118,忠孝7樓!A:N,57,0),0)</f>
        <v>0</v>
      </c>
      <c r="EG118" s="118">
        <f>IFERROR(VLOOKUP(A118,忠孝國際醫學3樓!A:L,57,0),0)</f>
        <v>0</v>
      </c>
      <c r="EH118" s="118">
        <f t="shared" si="42"/>
        <v>0</v>
      </c>
    </row>
    <row r="119" spans="1:138" s="118" customFormat="1" ht="15.75" customHeight="1" thickBot="1">
      <c r="A119" s="320" t="s">
        <v>655</v>
      </c>
      <c r="B119" s="118">
        <v>6120007</v>
      </c>
      <c r="C119" s="136" t="s">
        <v>530</v>
      </c>
      <c r="D119" s="307">
        <v>100</v>
      </c>
      <c r="E119" s="198" t="s">
        <v>15</v>
      </c>
      <c r="F119" s="225">
        <f>SUMIF(站前4樓!B:B,B119,站前4樓!F:F)</f>
        <v>42</v>
      </c>
      <c r="G119" s="225">
        <f>SUMIF(站前11樓!B:B,B119,站前11樓!F:F)</f>
        <v>59</v>
      </c>
      <c r="H119" s="225">
        <f>SUMIF(忠孝7樓!B:B,B119,忠孝7樓!G:G)</f>
        <v>79</v>
      </c>
      <c r="I119" s="225">
        <f>SUMIF(忠孝國際醫學3樓!B:B,B119,忠孝國際醫學3樓!G:G)</f>
        <v>114</v>
      </c>
      <c r="J119" s="225">
        <f>SUMIF(忠孝健康7樓!B:B,B119,忠孝健康7樓!G:G)</f>
        <v>0</v>
      </c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83"/>
      <c r="AB119" s="283"/>
      <c r="AC119" s="283"/>
      <c r="AD119" s="283"/>
      <c r="AE119" s="283"/>
      <c r="AF119" s="283"/>
      <c r="AG119" s="283"/>
      <c r="AH119" s="283"/>
      <c r="AI119" s="283"/>
      <c r="AJ119" s="201"/>
      <c r="AK119" s="201"/>
      <c r="AL119" s="201"/>
      <c r="AM119" s="201"/>
      <c r="AN119" s="201"/>
      <c r="AO119" s="201"/>
      <c r="AP119" s="201"/>
      <c r="AQ119" s="201">
        <v>0</v>
      </c>
      <c r="AR119" s="201">
        <v>0</v>
      </c>
      <c r="AS119" s="201">
        <v>0</v>
      </c>
      <c r="AT119" s="201">
        <v>0</v>
      </c>
      <c r="AU119" s="201">
        <v>0</v>
      </c>
      <c r="AV119" s="283">
        <f t="shared" si="38"/>
        <v>0</v>
      </c>
      <c r="AW119" s="286">
        <f t="shared" si="39"/>
        <v>0</v>
      </c>
      <c r="AX119" s="201">
        <v>0</v>
      </c>
      <c r="AY119" s="201">
        <v>0</v>
      </c>
      <c r="AZ119" s="201">
        <v>1</v>
      </c>
      <c r="BA119" s="201">
        <v>13</v>
      </c>
      <c r="BB119" s="201">
        <v>2</v>
      </c>
      <c r="BC119" s="203">
        <f>SUMIFS(領用表!$L:$L,領用表!$A:$A,BC$2,領用表!$E:$E,B119)</f>
        <v>3</v>
      </c>
      <c r="BD119" s="287">
        <f>SUMIFS(領用表!$L:$L,領用表!$E:$E,$B119,領用表!$B:$B,BC$2&amp;BD$2)</f>
        <v>0</v>
      </c>
      <c r="BE119" s="287">
        <f>SUMIFS(領用表!$L:$L,領用表!$E:$E,$B119,領用表!$B:$B,$BC$2&amp;BE$2)</f>
        <v>3</v>
      </c>
      <c r="BF119" s="287">
        <f>SUMIFS(領用表!$L:$L,領用表!$E:$E,$B119,領用表!$B:$B,$BC$2&amp;BF$2)</f>
        <v>0</v>
      </c>
      <c r="BG119" s="206">
        <f>SUMIFS(領用表!$L:$L,領用表!$E:$E,$B119,領用表!$B:$B,$BC$2&amp;BG$2)</f>
        <v>0</v>
      </c>
      <c r="BH119" s="203">
        <f>SUMIFS(領用表!$L:$L,領用表!$A:$A,BH$2,領用表!$E:$E,B119)</f>
        <v>3</v>
      </c>
      <c r="BI119" s="260">
        <f>SUMIFS(領用表!$L:$L,領用表!$E:$E,$B119,領用表!$B:$B,BH$2&amp;BI$2)</f>
        <v>0</v>
      </c>
      <c r="BJ119" s="260">
        <f>SUMIFS(領用表!$L:$L,領用表!$E:$E,$B119,領用表!$B:$B,$BH$2&amp;BJ$2)</f>
        <v>2</v>
      </c>
      <c r="BK119" s="260">
        <f>SUMIFS(領用表!$L:$L,領用表!$E:$E,$B119,領用表!$B:$B,$BH$2&amp;BK$2)</f>
        <v>0</v>
      </c>
      <c r="BL119" s="260">
        <f>SUMIFS(領用表!$L:$L,領用表!$E:$E,$B119,領用表!$B:$B,$BH$2&amp;BL$2)</f>
        <v>1</v>
      </c>
      <c r="BM119" s="203">
        <f>SUMIFS(領用表!$L:$L,領用表!$A:$A,BM$2,領用表!$E:$E,B119)</f>
        <v>1</v>
      </c>
      <c r="BN119" s="206">
        <f>SUMIFS(領用表!$L:$L,領用表!$E:$E,$B119,領用表!$B:$B,BM$2&amp;BN$2)</f>
        <v>0</v>
      </c>
      <c r="BO119" s="206">
        <f>SUMIFS(領用表!$L:$L,領用表!$E:$E,$B119,領用表!$B:$B,$BM$2&amp;BO$2)</f>
        <v>1</v>
      </c>
      <c r="BP119" s="288">
        <f>SUMIFS(領用表!$L:$L,領用表!$E:$E,$B119,領用表!$B:$B,$BM$2&amp;BP$2)</f>
        <v>0</v>
      </c>
      <c r="BQ119" s="287">
        <f>SUMIFS(領用表!$L:$L,領用表!$E:$E,$B119,領用表!$B:$B,$BM$2&amp;BQ$2)</f>
        <v>0</v>
      </c>
      <c r="BR119" s="203">
        <f>SUMIFS(領用表!$L:$L,領用表!$A:$A,BR$2,領用表!$E:$E,B119)</f>
        <v>11</v>
      </c>
      <c r="BS119" s="288">
        <f>SUMIFS(領用表!$L:$L,領用表!$E:$E,$B119,領用表!$B:$B,BR$2&amp;BS$2)</f>
        <v>0</v>
      </c>
      <c r="BT119" s="288">
        <f>SUMIFS(領用表!$L:$L,領用表!$E:$E,$B119,領用表!$B:$B,$BR$2&amp;BT$2)</f>
        <v>7</v>
      </c>
      <c r="BU119" s="288">
        <f>SUMIFS(領用表!$L:$L,領用表!$E:$E,$B119,領用表!$B:$B,$BR$2&amp;BU$2)</f>
        <v>0</v>
      </c>
      <c r="BV119" s="287">
        <f>SUMIFS(領用表!$L:$L,領用表!$E:$E,$B119,領用表!$B:$B,$BR$2&amp;BV$2)</f>
        <v>4</v>
      </c>
      <c r="BW119" s="208">
        <f>SUMIFS(領用表!$L:$L,領用表!$A:$A,BW$2,領用表!$E:$E,B119)</f>
        <v>11</v>
      </c>
      <c r="BX119" s="206">
        <f>SUMIFS(領用表!$L:$L,領用表!$E:$E,$B119,領用表!$B:$B,BW$2&amp;BX$2)</f>
        <v>0</v>
      </c>
      <c r="BY119" s="206">
        <f>SUMIFS(領用表!$L:$L,領用表!$E:$E,$B119,領用表!$B:$B,$BW$2&amp;BY$2)</f>
        <v>4</v>
      </c>
      <c r="BZ119" s="206">
        <f>SUMIFS(領用表!$L:$L,領用表!$E:$E,$B119,領用表!$B:$B,$BW$2&amp;BZ$2)</f>
        <v>0</v>
      </c>
      <c r="CA119" s="206">
        <f>SUMIFS(領用表!$L:$L,領用表!$E:$E,$B119,領用表!$B:$B,$BW$2&amp;CA$2)</f>
        <v>7</v>
      </c>
      <c r="CB119" s="208">
        <f>SUMIFS(領用表!$L:$L,領用表!$A:$A,CB$2,領用表!$E:$E,B119)</f>
        <v>13</v>
      </c>
      <c r="CC119" s="206">
        <f>SUMIFS(領用表!$L:$L,領用表!$E:$E,$B119,領用表!$B:$B,CB$2&amp;CC$2)</f>
        <v>0</v>
      </c>
      <c r="CD119" s="206">
        <f>SUMIFS(領用表!$L:$L,領用表!$E:$E,$B119,領用表!$B:$B,$CB$2&amp;CD$2)</f>
        <v>4</v>
      </c>
      <c r="CE119" s="206">
        <f>SUMIFS(領用表!$L:$L,領用表!$E:$E,$B119,領用表!$B:$B,$CB$2&amp;CE$2)</f>
        <v>0</v>
      </c>
      <c r="CF119" s="206">
        <f>SUMIFS(領用表!$L:$L,領用表!$E:$E,$B119,領用表!$B:$B,$CB$2&amp;CF$2)</f>
        <v>9</v>
      </c>
      <c r="CG119" s="208">
        <f>SUMIFS(領用表!$L:$L,領用表!$A:$A,CG$2,領用表!$E:$E,B119)</f>
        <v>21</v>
      </c>
      <c r="CH119" s="206">
        <f>SUMIFS(領用表!$L:$L,領用表!$E:$E,$B119,領用表!$B:$B,CG$2&amp;CH$2)</f>
        <v>0</v>
      </c>
      <c r="CI119" s="206">
        <f>SUMIFS(領用表!$L:$L,領用表!$E:$E,$B119,領用表!$B:$B,CG$2&amp;CI$2)</f>
        <v>9</v>
      </c>
      <c r="CJ119" s="206">
        <f>SUMIFS(領用表!$L:$L,領用表!$E:$E,$B119,領用表!$B:$B,CG$2&amp;CJ$2)</f>
        <v>1</v>
      </c>
      <c r="CK119" s="206">
        <f>SUMIFS(領用表!$L:$L,領用表!$E:$E,$B119,領用表!$B:$B,$CG$2&amp;CK$2)</f>
        <v>11</v>
      </c>
      <c r="CL119" s="207">
        <f t="shared" si="40"/>
        <v>79</v>
      </c>
      <c r="CM119" s="207">
        <f t="shared" si="41"/>
        <v>6.583333333333333</v>
      </c>
      <c r="CN119" s="208">
        <f>SUMIFS(領用表!$L:$L,領用表!$A:$A,CN$2,領用表!$E:$E,B119)</f>
        <v>16</v>
      </c>
      <c r="CO119" s="206">
        <f>SUMIFS(領用表!$L:$L,領用表!$E:$E,$B119,領用表!$B:$B,CN$2&amp;CO$2)</f>
        <v>0</v>
      </c>
      <c r="CP119" s="206">
        <f>SUMIFS(領用表!$L:$L,領用表!$E:$E,$B119,領用表!$B:$B,$CN$2&amp;CP$2)</f>
        <v>8</v>
      </c>
      <c r="CQ119" s="206">
        <f>SUMIFS(領用表!$L:$L,領用表!$E:$E,$B119,領用表!$B:$B,$CN$2&amp;CQ$2)</f>
        <v>1</v>
      </c>
      <c r="CR119" s="206">
        <f>SUMIFS(領用表!$L:$L,領用表!$E:$E,$B119,領用表!$B:$B,$CN$2&amp;CR$2)</f>
        <v>7</v>
      </c>
      <c r="CS119" s="208">
        <f>SUMIFS(領用表!$L:$L,領用表!$A:$A,CS$2,領用表!$E:$E,B119)</f>
        <v>16</v>
      </c>
      <c r="CT119" s="206">
        <f>SUMIFS(領用表!$L:$L,領用表!$E:$E,$B119,領用表!$B:$B,CS$2&amp;CT$2)</f>
        <v>1</v>
      </c>
      <c r="CU119" s="206">
        <f>SUMIFS(領用表!$L:$L,領用表!$E:$E,$B119,領用表!$B:$B,$CS$2&amp;CU$2)</f>
        <v>11</v>
      </c>
      <c r="CV119" s="206">
        <f>SUMIFS(領用表!$L:$L,領用表!$E:$E,$B119,領用表!$B:$B,$CS$2&amp;CV$2)</f>
        <v>0</v>
      </c>
      <c r="CW119" s="206">
        <f>SUMIFS(領用表!$L:$L,領用表!$E:$E,$B119,領用表!$B:$B,$CS$2&amp;CW$2)</f>
        <v>4</v>
      </c>
      <c r="CX119" s="206">
        <f>SUMIFS(領用表!$L:$L,領用表!$E:$E,$B119,領用表!$B:$B,$CS$2&amp;CX$2)</f>
        <v>0</v>
      </c>
      <c r="CY119" s="208">
        <f>SUMIFS(領用表!$L:$L,領用表!$A:$A,CY$2,領用表!$E:$E,B119)</f>
        <v>29</v>
      </c>
      <c r="CZ119" s="206">
        <f>SUMIFS(領用表!$L:$L,領用表!$E:$E,$B119,領用表!$B:$B,CY$2&amp;CZ$2)</f>
        <v>0</v>
      </c>
      <c r="DA119" s="206">
        <f>SUMIFS(領用表!$L:$L,領用表!$E:$E,$B119,領用表!$B:$B,$CY$2&amp;DA$2)</f>
        <v>15</v>
      </c>
      <c r="DB119" s="206">
        <f>SUMIFS(領用表!$L:$L,領用表!$E:$E,$B119,領用表!$B:$B,$CY$2&amp;DB$2)</f>
        <v>4</v>
      </c>
      <c r="DC119" s="206">
        <f>SUMIFS(領用表!$L:$L,領用表!$E:$E,$B119,領用表!$B:$B,$CY$2&amp;DC$2)</f>
        <v>9</v>
      </c>
      <c r="DD119" s="206">
        <f>SUMIFS(領用表!$L:$L,領用表!$E:$E,$B119,領用表!$B:$B,$CY$2&amp;DD$2)</f>
        <v>1</v>
      </c>
      <c r="DE119" s="208">
        <f>SUMIFS(領用表!$L:$L,領用表!$A:$A,DE$2,領用表!$E:$E,B119)</f>
        <v>38</v>
      </c>
      <c r="DF119" s="206">
        <f>SUMIFS(領用表!$L:$L,領用表!$E:$E,$B119,領用表!$B:$B,DE$2&amp;DF$2)</f>
        <v>0</v>
      </c>
      <c r="DG119" s="206">
        <f>SUMIFS(領用表!$L:$L,領用表!$E:$E,$B119,領用表!$B:$B,$DE$2&amp;DG$2)</f>
        <v>16</v>
      </c>
      <c r="DH119" s="206">
        <f>SUMIFS(領用表!$L:$L,領用表!$E:$E,$B119,領用表!$B:$B,$DE$2&amp;DH$2)</f>
        <v>2</v>
      </c>
      <c r="DI119" s="206">
        <f>SUMIFS(領用表!$L:$L,領用表!$E:$E,$B119,領用表!$B:$B,$DE$2&amp;DI$2)</f>
        <v>18</v>
      </c>
      <c r="DJ119" s="206">
        <f>SUMIFS(領用表!$L:$L,領用表!$E:$E,$B119,領用表!$B:$B,$DE$2&amp;DJ$2)</f>
        <v>2</v>
      </c>
      <c r="DK119" s="208">
        <f>SUMIFS(領用表!$L:$L,領用表!$A:$A,DK$2,領用表!$E:$E,$B119)</f>
        <v>22</v>
      </c>
      <c r="DL119" s="206">
        <f>SUMIFS(領用表!$L:$L,領用表!$E:$E,$B119,領用表!$B:$B,DK$2&amp;DL$2)</f>
        <v>0</v>
      </c>
      <c r="DM119" s="206">
        <f>SUMIFS(領用表!$L:$L,領用表!$E:$E,$B119,領用表!$B:$B,$DK$2&amp;DM$2)</f>
        <v>10</v>
      </c>
      <c r="DN119" s="206">
        <f>SUMIFS(領用表!$L:$L,領用表!$E:$E,$B119,領用表!$B:$B,$DK$2&amp;DN$2)</f>
        <v>1</v>
      </c>
      <c r="DO119" s="206">
        <f>SUMIFS(領用表!$L:$L,領用表!$E:$E,$B119,領用表!$B:$B,$DK$2&amp;DO$2)</f>
        <v>7</v>
      </c>
      <c r="DP119" s="206">
        <f>SUMIFS(領用表!$L:$L,領用表!$E:$E,$B119,領用表!$B:$B,$DK$2&amp;DP$2)</f>
        <v>4</v>
      </c>
      <c r="DQ119" s="206">
        <f t="shared" si="36"/>
        <v>121</v>
      </c>
      <c r="DR119" s="206">
        <f t="shared" si="37"/>
        <v>24.2</v>
      </c>
      <c r="DS119" s="206">
        <f t="shared" si="27"/>
        <v>0</v>
      </c>
      <c r="DT119" s="206">
        <v>0</v>
      </c>
      <c r="DU119" s="206">
        <v>0</v>
      </c>
      <c r="DV119" s="206">
        <v>0</v>
      </c>
      <c r="DW119" s="206">
        <v>0</v>
      </c>
      <c r="DX119" s="258">
        <v>20</v>
      </c>
      <c r="DY119" s="283"/>
      <c r="DZ119" s="283"/>
      <c r="EA119" s="283"/>
      <c r="EB119" s="136"/>
      <c r="EC119" s="289"/>
      <c r="ED119" s="118">
        <f>IFERROR(VLOOKUP(A119,站前4樓!A:BF,57,0),0)</f>
        <v>0</v>
      </c>
      <c r="EE119" s="213">
        <f>IFERROR(VLOOKUP(A119,站前11樓!A:BE,57,0),0)</f>
        <v>0</v>
      </c>
      <c r="EF119" s="118">
        <f>IFERROR(VLOOKUP(A119,忠孝7樓!A:N,57,0),0)</f>
        <v>0</v>
      </c>
      <c r="EG119" s="118">
        <f>IFERROR(VLOOKUP(A119,忠孝國際醫學3樓!A:L,57,0),0)</f>
        <v>0</v>
      </c>
      <c r="EH119" s="118">
        <f t="shared" si="42"/>
        <v>0</v>
      </c>
    </row>
    <row r="120" spans="1:138" s="118" customFormat="1" ht="15.75" customHeight="1" thickBot="1">
      <c r="A120" s="320" t="s">
        <v>659</v>
      </c>
      <c r="B120" s="118">
        <v>6120008</v>
      </c>
      <c r="C120" s="136" t="s">
        <v>531</v>
      </c>
      <c r="D120" s="307">
        <v>100</v>
      </c>
      <c r="E120" s="198" t="s">
        <v>15</v>
      </c>
      <c r="F120" s="225">
        <f>SUMIF(站前4樓!B:B,B120,站前4樓!F:F)</f>
        <v>4</v>
      </c>
      <c r="G120" s="225">
        <f>SUMIF(站前11樓!B:B,B120,站前11樓!F:F)</f>
        <v>4</v>
      </c>
      <c r="H120" s="225">
        <f>SUMIF(忠孝7樓!B:B,B120,忠孝7樓!G:G)</f>
        <v>8</v>
      </c>
      <c r="I120" s="225">
        <f>SUMIF(忠孝國際醫學3樓!B:B,B120,忠孝國際醫學3樓!G:G)</f>
        <v>23</v>
      </c>
      <c r="J120" s="225">
        <f>SUMIF(忠孝健康7樓!B:B,B120,忠孝健康7樓!G:G)</f>
        <v>0</v>
      </c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83"/>
      <c r="AB120" s="283"/>
      <c r="AC120" s="283"/>
      <c r="AD120" s="283"/>
      <c r="AE120" s="283"/>
      <c r="AF120" s="283"/>
      <c r="AG120" s="283"/>
      <c r="AH120" s="283"/>
      <c r="AI120" s="283"/>
      <c r="AJ120" s="201"/>
      <c r="AK120" s="201"/>
      <c r="AL120" s="201"/>
      <c r="AM120" s="201"/>
      <c r="AN120" s="201"/>
      <c r="AO120" s="201"/>
      <c r="AP120" s="201"/>
      <c r="AQ120" s="201">
        <v>0</v>
      </c>
      <c r="AR120" s="201">
        <v>0</v>
      </c>
      <c r="AS120" s="201">
        <v>0</v>
      </c>
      <c r="AT120" s="201">
        <v>0</v>
      </c>
      <c r="AU120" s="201">
        <v>0</v>
      </c>
      <c r="AV120" s="283">
        <f t="shared" si="38"/>
        <v>0</v>
      </c>
      <c r="AW120" s="286">
        <f t="shared" si="39"/>
        <v>0</v>
      </c>
      <c r="AX120" s="201">
        <v>0</v>
      </c>
      <c r="AY120" s="201">
        <v>0</v>
      </c>
      <c r="AZ120" s="201">
        <v>1</v>
      </c>
      <c r="BA120" s="201">
        <v>3</v>
      </c>
      <c r="BB120" s="201">
        <v>0</v>
      </c>
      <c r="BC120" s="203">
        <f>SUMIFS(領用表!$L:$L,領用表!$A:$A,BC$2,領用表!$E:$E,B120)</f>
        <v>0</v>
      </c>
      <c r="BD120" s="287">
        <f>SUMIFS(領用表!$L:$L,領用表!$E:$E,$B120,領用表!$B:$B,BC$2&amp;BD$2)</f>
        <v>0</v>
      </c>
      <c r="BE120" s="287">
        <f>SUMIFS(領用表!$L:$L,領用表!$E:$E,$B120,領用表!$B:$B,$BC$2&amp;BE$2)</f>
        <v>0</v>
      </c>
      <c r="BF120" s="287">
        <f>SUMIFS(領用表!$L:$L,領用表!$E:$E,$B120,領用表!$B:$B,$BC$2&amp;BF$2)</f>
        <v>0</v>
      </c>
      <c r="BG120" s="206">
        <f>SUMIFS(領用表!$L:$L,領用表!$E:$E,$B120,領用表!$B:$B,$BC$2&amp;BG$2)</f>
        <v>0</v>
      </c>
      <c r="BH120" s="203">
        <f>SUMIFS(領用表!$L:$L,領用表!$A:$A,BH$2,領用表!$E:$E,B120)</f>
        <v>0</v>
      </c>
      <c r="BI120" s="260">
        <f>SUMIFS(領用表!$L:$L,領用表!$E:$E,$B120,領用表!$B:$B,BH$2&amp;BI$2)</f>
        <v>0</v>
      </c>
      <c r="BJ120" s="260">
        <f>SUMIFS(領用表!$L:$L,領用表!$E:$E,$B120,領用表!$B:$B,$BH$2&amp;BJ$2)</f>
        <v>0</v>
      </c>
      <c r="BK120" s="260">
        <f>SUMIFS(領用表!$L:$L,領用表!$E:$E,$B120,領用表!$B:$B,$BH$2&amp;BK$2)</f>
        <v>0</v>
      </c>
      <c r="BL120" s="260">
        <f>SUMIFS(領用表!$L:$L,領用表!$E:$E,$B120,領用表!$B:$B,$BH$2&amp;BL$2)</f>
        <v>0</v>
      </c>
      <c r="BM120" s="203">
        <f>SUMIFS(領用表!$L:$L,領用表!$A:$A,BM$2,領用表!$E:$E,B120)</f>
        <v>0</v>
      </c>
      <c r="BN120" s="206">
        <f>SUMIFS(領用表!$L:$L,領用表!$E:$E,$B120,領用表!$B:$B,BM$2&amp;BN$2)</f>
        <v>0</v>
      </c>
      <c r="BO120" s="206">
        <f>SUMIFS(領用表!$L:$L,領用表!$E:$E,$B120,領用表!$B:$B,$BM$2&amp;BO$2)</f>
        <v>0</v>
      </c>
      <c r="BP120" s="288">
        <f>SUMIFS(領用表!$L:$L,領用表!$E:$E,$B120,領用表!$B:$B,$BM$2&amp;BP$2)</f>
        <v>0</v>
      </c>
      <c r="BQ120" s="287">
        <f>SUMIFS(領用表!$L:$L,領用表!$E:$E,$B120,領用表!$B:$B,$BM$2&amp;BQ$2)</f>
        <v>0</v>
      </c>
      <c r="BR120" s="203">
        <f>SUMIFS(領用表!$L:$L,領用表!$A:$A,BR$2,領用表!$E:$E,B120)</f>
        <v>3</v>
      </c>
      <c r="BS120" s="288">
        <f>SUMIFS(領用表!$L:$L,領用表!$E:$E,$B120,領用表!$B:$B,BR$2&amp;BS$2)</f>
        <v>0</v>
      </c>
      <c r="BT120" s="288">
        <f>SUMIFS(領用表!$L:$L,領用表!$E:$E,$B120,領用表!$B:$B,$BR$2&amp;BT$2)</f>
        <v>1</v>
      </c>
      <c r="BU120" s="288">
        <f>SUMIFS(領用表!$L:$L,領用表!$E:$E,$B120,領用表!$B:$B,$BR$2&amp;BU$2)</f>
        <v>0</v>
      </c>
      <c r="BV120" s="287">
        <f>SUMIFS(領用表!$L:$L,領用表!$E:$E,$B120,領用表!$B:$B,$BR$2&amp;BV$2)</f>
        <v>2</v>
      </c>
      <c r="BW120" s="208">
        <f>SUMIFS(領用表!$L:$L,領用表!$A:$A,BW$2,領用表!$E:$E,B120)</f>
        <v>0</v>
      </c>
      <c r="BX120" s="206">
        <f>SUMIFS(領用表!$L:$L,領用表!$E:$E,$B120,領用表!$B:$B,BW$2&amp;BX$2)</f>
        <v>0</v>
      </c>
      <c r="BY120" s="206">
        <f>SUMIFS(領用表!$L:$L,領用表!$E:$E,$B120,領用表!$B:$B,$BW$2&amp;BY$2)</f>
        <v>0</v>
      </c>
      <c r="BZ120" s="206">
        <f>SUMIFS(領用表!$L:$L,領用表!$E:$E,$B120,領用表!$B:$B,$BW$2&amp;BZ$2)</f>
        <v>0</v>
      </c>
      <c r="CA120" s="206">
        <f>SUMIFS(領用表!$L:$L,領用表!$E:$E,$B120,領用表!$B:$B,$BW$2&amp;CA$2)</f>
        <v>0</v>
      </c>
      <c r="CB120" s="208">
        <f>SUMIFS(領用表!$L:$L,領用表!$A:$A,CB$2,領用表!$E:$E,B120)</f>
        <v>2</v>
      </c>
      <c r="CC120" s="206">
        <f>SUMIFS(領用表!$L:$L,領用表!$E:$E,$B120,領用表!$B:$B,CB$2&amp;CC$2)</f>
        <v>0</v>
      </c>
      <c r="CD120" s="206">
        <f>SUMIFS(領用表!$L:$L,領用表!$E:$E,$B120,領用表!$B:$B,$CB$2&amp;CD$2)</f>
        <v>0</v>
      </c>
      <c r="CE120" s="206">
        <f>SUMIFS(領用表!$L:$L,領用表!$E:$E,$B120,領用表!$B:$B,$CB$2&amp;CE$2)</f>
        <v>0</v>
      </c>
      <c r="CF120" s="206">
        <f>SUMIFS(領用表!$L:$L,領用表!$E:$E,$B120,領用表!$B:$B,$CB$2&amp;CF$2)</f>
        <v>2</v>
      </c>
      <c r="CG120" s="208">
        <f>SUMIFS(領用表!$L:$L,領用表!$A:$A,CG$2,領用表!$E:$E,B120)</f>
        <v>5</v>
      </c>
      <c r="CH120" s="206">
        <f>SUMIFS(領用表!$L:$L,領用表!$E:$E,$B120,領用表!$B:$B,CG$2&amp;CH$2)</f>
        <v>0</v>
      </c>
      <c r="CI120" s="206">
        <f>SUMIFS(領用表!$L:$L,領用表!$E:$E,$B120,領用表!$B:$B,CG$2&amp;CI$2)</f>
        <v>1</v>
      </c>
      <c r="CJ120" s="206">
        <f>SUMIFS(領用表!$L:$L,領用表!$E:$E,$B120,領用表!$B:$B,CG$2&amp;CJ$2)</f>
        <v>0</v>
      </c>
      <c r="CK120" s="206">
        <f>SUMIFS(領用表!$L:$L,領用表!$E:$E,$B120,領用表!$B:$B,$CG$2&amp;CK$2)</f>
        <v>4</v>
      </c>
      <c r="CL120" s="207">
        <f t="shared" si="40"/>
        <v>14</v>
      </c>
      <c r="CM120" s="207">
        <f t="shared" si="41"/>
        <v>1.1666666666666667</v>
      </c>
      <c r="CN120" s="208">
        <f>SUMIFS(領用表!$L:$L,領用表!$A:$A,CN$2,領用表!$E:$E,B120)</f>
        <v>3</v>
      </c>
      <c r="CO120" s="206">
        <f>SUMIFS(領用表!$L:$L,領用表!$E:$E,$B120,領用表!$B:$B,CN$2&amp;CO$2)</f>
        <v>0</v>
      </c>
      <c r="CP120" s="206">
        <f>SUMIFS(領用表!$L:$L,領用表!$E:$E,$B120,領用表!$B:$B,$CN$2&amp;CP$2)</f>
        <v>3</v>
      </c>
      <c r="CQ120" s="206">
        <f>SUMIFS(領用表!$L:$L,領用表!$E:$E,$B120,領用表!$B:$B,$CN$2&amp;CQ$2)</f>
        <v>0</v>
      </c>
      <c r="CR120" s="206">
        <f>SUMIFS(領用表!$L:$L,領用表!$E:$E,$B120,領用表!$B:$B,$CN$2&amp;CR$2)</f>
        <v>0</v>
      </c>
      <c r="CS120" s="208">
        <f>SUMIFS(領用表!$L:$L,領用表!$A:$A,CS$2,領用表!$E:$E,B120)</f>
        <v>1</v>
      </c>
      <c r="CT120" s="206">
        <f>SUMIFS(領用表!$L:$L,領用表!$E:$E,$B120,領用表!$B:$B,CS$2&amp;CT$2)</f>
        <v>0</v>
      </c>
      <c r="CU120" s="206">
        <f>SUMIFS(領用表!$L:$L,領用表!$E:$E,$B120,領用表!$B:$B,$CS$2&amp;CU$2)</f>
        <v>1</v>
      </c>
      <c r="CV120" s="206">
        <f>SUMIFS(領用表!$L:$L,領用表!$E:$E,$B120,領用表!$B:$B,$CS$2&amp;CV$2)</f>
        <v>0</v>
      </c>
      <c r="CW120" s="206">
        <f>SUMIFS(領用表!$L:$L,領用表!$E:$E,$B120,領用表!$B:$B,$CS$2&amp;CW$2)</f>
        <v>0</v>
      </c>
      <c r="CX120" s="206">
        <f>SUMIFS(領用表!$L:$L,領用表!$E:$E,$B120,領用表!$B:$B,$CS$2&amp;CX$2)</f>
        <v>0</v>
      </c>
      <c r="CY120" s="208">
        <f>SUMIFS(領用表!$L:$L,領用表!$A:$A,CY$2,領用表!$E:$E,B120)</f>
        <v>1</v>
      </c>
      <c r="CZ120" s="206">
        <f>SUMIFS(領用表!$L:$L,領用表!$E:$E,$B120,領用表!$B:$B,CY$2&amp;CZ$2)</f>
        <v>0</v>
      </c>
      <c r="DA120" s="206">
        <f>SUMIFS(領用表!$L:$L,領用表!$E:$E,$B120,領用表!$B:$B,$CY$2&amp;DA$2)</f>
        <v>1</v>
      </c>
      <c r="DB120" s="206">
        <f>SUMIFS(領用表!$L:$L,領用表!$E:$E,$B120,領用表!$B:$B,$CY$2&amp;DB$2)</f>
        <v>0</v>
      </c>
      <c r="DC120" s="206">
        <f>SUMIFS(領用表!$L:$L,領用表!$E:$E,$B120,領用表!$B:$B,$CY$2&amp;DC$2)</f>
        <v>0</v>
      </c>
      <c r="DD120" s="206">
        <f>SUMIFS(領用表!$L:$L,領用表!$E:$E,$B120,領用表!$B:$B,$CY$2&amp;DD$2)</f>
        <v>0</v>
      </c>
      <c r="DE120" s="208">
        <f>SUMIFS(領用表!$L:$L,領用表!$A:$A,DE$2,領用表!$E:$E,B120)</f>
        <v>7</v>
      </c>
      <c r="DF120" s="206">
        <f>SUMIFS(領用表!$L:$L,領用表!$E:$E,$B120,領用表!$B:$B,DE$2&amp;DF$2)</f>
        <v>0</v>
      </c>
      <c r="DG120" s="206">
        <f>SUMIFS(領用表!$L:$L,領用表!$E:$E,$B120,領用表!$B:$B,$DE$2&amp;DG$2)</f>
        <v>0</v>
      </c>
      <c r="DH120" s="206">
        <f>SUMIFS(領用表!$L:$L,領用表!$E:$E,$B120,領用表!$B:$B,$DE$2&amp;DH$2)</f>
        <v>0</v>
      </c>
      <c r="DI120" s="206">
        <f>SUMIFS(領用表!$L:$L,領用表!$E:$E,$B120,領用表!$B:$B,$DE$2&amp;DI$2)</f>
        <v>7</v>
      </c>
      <c r="DJ120" s="206">
        <f>SUMIFS(領用表!$L:$L,領用表!$E:$E,$B120,領用表!$B:$B,$DE$2&amp;DJ$2)</f>
        <v>0</v>
      </c>
      <c r="DK120" s="208">
        <f>SUMIFS(領用表!$L:$L,領用表!$A:$A,DK$2,領用表!$E:$E,$B120)</f>
        <v>3</v>
      </c>
      <c r="DL120" s="206">
        <f>SUMIFS(領用表!$L:$L,領用表!$E:$E,$B120,領用表!$B:$B,DK$2&amp;DL$2)</f>
        <v>0</v>
      </c>
      <c r="DM120" s="206">
        <f>SUMIFS(領用表!$L:$L,領用表!$E:$E,$B120,領用表!$B:$B,$DK$2&amp;DM$2)</f>
        <v>0</v>
      </c>
      <c r="DN120" s="206">
        <f>SUMIFS(領用表!$L:$L,領用表!$E:$E,$B120,領用表!$B:$B,$DK$2&amp;DN$2)</f>
        <v>0</v>
      </c>
      <c r="DO120" s="206">
        <f>SUMIFS(領用表!$L:$L,領用表!$E:$E,$B120,領用表!$B:$B,$DK$2&amp;DO$2)</f>
        <v>3</v>
      </c>
      <c r="DP120" s="206">
        <f>SUMIFS(領用表!$L:$L,領用表!$E:$E,$B120,領用表!$B:$B,$DK$2&amp;DP$2)</f>
        <v>0</v>
      </c>
      <c r="DQ120" s="206">
        <f t="shared" si="36"/>
        <v>15</v>
      </c>
      <c r="DR120" s="206">
        <f t="shared" si="37"/>
        <v>3</v>
      </c>
      <c r="DS120" s="206">
        <f t="shared" si="27"/>
        <v>0</v>
      </c>
      <c r="DT120" s="206">
        <v>0</v>
      </c>
      <c r="DU120" s="206">
        <v>0</v>
      </c>
      <c r="DV120" s="206">
        <v>0</v>
      </c>
      <c r="DW120" s="206">
        <v>0</v>
      </c>
      <c r="DX120" s="258">
        <v>20</v>
      </c>
      <c r="DY120" s="283"/>
      <c r="DZ120" s="283"/>
      <c r="EA120" s="283"/>
      <c r="EB120" s="136"/>
      <c r="EC120" s="289"/>
      <c r="ED120" s="118">
        <f>IFERROR(VLOOKUP(A120,站前4樓!A:BF,57,0),0)</f>
        <v>0</v>
      </c>
      <c r="EE120" s="213">
        <f>IFERROR(VLOOKUP(A120,站前11樓!A:BE,57,0),0)</f>
        <v>0</v>
      </c>
      <c r="EF120" s="118">
        <f>IFERROR(VLOOKUP(A120,忠孝7樓!A:N,57,0),0)</f>
        <v>0</v>
      </c>
      <c r="EG120" s="118">
        <f>IFERROR(VLOOKUP(A120,忠孝國際醫學3樓!A:L,57,0),0)</f>
        <v>0</v>
      </c>
      <c r="EH120" s="118">
        <f t="shared" si="42"/>
        <v>0</v>
      </c>
    </row>
    <row r="121" spans="1:138" s="118" customFormat="1" ht="15.75" customHeight="1" thickBot="1">
      <c r="A121" s="320" t="s">
        <v>658</v>
      </c>
      <c r="B121" s="118">
        <v>6120011</v>
      </c>
      <c r="C121" s="136" t="s">
        <v>527</v>
      </c>
      <c r="D121" s="307">
        <v>10</v>
      </c>
      <c r="E121" s="198" t="s">
        <v>15</v>
      </c>
      <c r="F121" s="225">
        <f>SUMIF(站前4樓!B:B,B121,站前4樓!F:F)</f>
        <v>15</v>
      </c>
      <c r="G121" s="225">
        <f>SUMIF(站前11樓!B:B,B121,站前11樓!F:F)</f>
        <v>24</v>
      </c>
      <c r="H121" s="225">
        <f>SUMIF(忠孝7樓!B:B,B121,忠孝7樓!G:G)</f>
        <v>0</v>
      </c>
      <c r="I121" s="225">
        <f>SUMIF(忠孝國際醫學3樓!B:B,B121,忠孝國際醫學3樓!G:G)</f>
        <v>26</v>
      </c>
      <c r="J121" s="225">
        <f>SUMIF(忠孝健康7樓!B:B,B121,忠孝健康7樓!G:G)</f>
        <v>0</v>
      </c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  <c r="AA121" s="283"/>
      <c r="AB121" s="283"/>
      <c r="AC121" s="283"/>
      <c r="AD121" s="283"/>
      <c r="AE121" s="283"/>
      <c r="AF121" s="283"/>
      <c r="AG121" s="283"/>
      <c r="AH121" s="283"/>
      <c r="AI121" s="283"/>
      <c r="AJ121" s="201"/>
      <c r="AK121" s="201"/>
      <c r="AL121" s="201"/>
      <c r="AM121" s="201"/>
      <c r="AN121" s="201"/>
      <c r="AO121" s="201"/>
      <c r="AP121" s="201"/>
      <c r="AQ121" s="201">
        <v>0</v>
      </c>
      <c r="AR121" s="201">
        <v>0</v>
      </c>
      <c r="AS121" s="201">
        <v>0</v>
      </c>
      <c r="AT121" s="201">
        <v>0</v>
      </c>
      <c r="AU121" s="201">
        <v>0</v>
      </c>
      <c r="AV121" s="283">
        <f t="shared" si="38"/>
        <v>0</v>
      </c>
      <c r="AW121" s="286">
        <f t="shared" si="39"/>
        <v>0</v>
      </c>
      <c r="AX121" s="201">
        <v>0</v>
      </c>
      <c r="AY121" s="201">
        <v>0</v>
      </c>
      <c r="AZ121" s="201">
        <v>2</v>
      </c>
      <c r="BA121" s="201">
        <v>12</v>
      </c>
      <c r="BB121" s="201">
        <f>0+2</f>
        <v>2</v>
      </c>
      <c r="BC121" s="203">
        <f>SUMIFS(領用表!$L:$L,領用表!$A:$A,BC$2,領用表!$E:$E,B121)</f>
        <v>4</v>
      </c>
      <c r="BD121" s="287">
        <f>SUMIFS(領用表!$L:$L,領用表!$E:$E,$B121,領用表!$B:$B,BC$2&amp;BD$2)</f>
        <v>0</v>
      </c>
      <c r="BE121" s="287">
        <f>SUMIFS(領用表!$L:$L,領用表!$E:$E,$B121,領用表!$B:$B,$BC$2&amp;BE$2)</f>
        <v>4</v>
      </c>
      <c r="BF121" s="287">
        <f>SUMIFS(領用表!$L:$L,領用表!$E:$E,$B121,領用表!$B:$B,$BC$2&amp;BF$2)</f>
        <v>0</v>
      </c>
      <c r="BG121" s="206">
        <f>SUMIFS(領用表!$L:$L,領用表!$E:$E,$B121,領用表!$B:$B,$BC$2&amp;BG$2)</f>
        <v>0</v>
      </c>
      <c r="BH121" s="203">
        <f>SUMIFS(領用表!$L:$L,領用表!$A:$A,BH$2,領用表!$E:$E,B121)</f>
        <v>6</v>
      </c>
      <c r="BI121" s="260">
        <f>SUMIFS(領用表!$L:$L,領用表!$E:$E,$B121,領用表!$B:$B,BH$2&amp;BI$2)</f>
        <v>0</v>
      </c>
      <c r="BJ121" s="260">
        <f>SUMIFS(領用表!$L:$L,領用表!$E:$E,$B121,領用表!$B:$B,$BH$2&amp;BJ$2)</f>
        <v>4</v>
      </c>
      <c r="BK121" s="260">
        <f>SUMIFS(領用表!$L:$L,領用表!$E:$E,$B121,領用表!$B:$B,$BH$2&amp;BK$2)</f>
        <v>0</v>
      </c>
      <c r="BL121" s="260">
        <f>SUMIFS(領用表!$L:$L,領用表!$E:$E,$B121,領用表!$B:$B,$BH$2&amp;BL$2)</f>
        <v>2</v>
      </c>
      <c r="BM121" s="203">
        <f>SUMIFS(領用表!$L:$L,領用表!$A:$A,BM$2,領用表!$E:$E,B121)</f>
        <v>1</v>
      </c>
      <c r="BN121" s="206">
        <f>SUMIFS(領用表!$L:$L,領用表!$E:$E,$B121,領用表!$B:$B,BM$2&amp;BN$2)</f>
        <v>0</v>
      </c>
      <c r="BO121" s="206">
        <f>SUMIFS(領用表!$L:$L,領用表!$E:$E,$B121,領用表!$B:$B,$BM$2&amp;BO$2)</f>
        <v>1</v>
      </c>
      <c r="BP121" s="288">
        <f>SUMIFS(領用表!$L:$L,領用表!$E:$E,$B121,領用表!$B:$B,$BM$2&amp;BP$2)</f>
        <v>0</v>
      </c>
      <c r="BQ121" s="287">
        <f>SUMIFS(領用表!$L:$L,領用表!$E:$E,$B121,領用表!$B:$B,$BM$2&amp;BQ$2)</f>
        <v>0</v>
      </c>
      <c r="BR121" s="203">
        <f>SUMIFS(領用表!$L:$L,領用表!$A:$A,BR$2,領用表!$E:$E,B121)</f>
        <v>10</v>
      </c>
      <c r="BS121" s="288">
        <f>SUMIFS(領用表!$L:$L,領用表!$E:$E,$B121,領用表!$B:$B,BR$2&amp;BS$2)</f>
        <v>0</v>
      </c>
      <c r="BT121" s="288">
        <f>SUMIFS(領用表!$L:$L,領用表!$E:$E,$B121,領用表!$B:$B,$BR$2&amp;BT$2)</f>
        <v>6</v>
      </c>
      <c r="BU121" s="288">
        <f>SUMIFS(領用表!$L:$L,領用表!$E:$E,$B121,領用表!$B:$B,$BR$2&amp;BU$2)</f>
        <v>0</v>
      </c>
      <c r="BV121" s="287">
        <f>SUMIFS(領用表!$L:$L,領用表!$E:$E,$B121,領用表!$B:$B,$BR$2&amp;BV$2)</f>
        <v>4</v>
      </c>
      <c r="BW121" s="208">
        <f>SUMIFS(領用表!$L:$L,領用表!$A:$A,BW$2,領用表!$E:$E,B121)</f>
        <v>14</v>
      </c>
      <c r="BX121" s="206">
        <f>SUMIFS(領用表!$L:$L,領用表!$E:$E,$B121,領用表!$B:$B,BW$2&amp;BX$2)</f>
        <v>0</v>
      </c>
      <c r="BY121" s="206">
        <f>SUMIFS(領用表!$L:$L,領用表!$E:$E,$B121,領用表!$B:$B,$BW$2&amp;BY$2)</f>
        <v>4</v>
      </c>
      <c r="BZ121" s="206">
        <f>SUMIFS(領用表!$L:$L,領用表!$E:$E,$B121,領用表!$B:$B,$BW$2&amp;BZ$2)</f>
        <v>0</v>
      </c>
      <c r="CA121" s="206">
        <f>SUMIFS(領用表!$L:$L,領用表!$E:$E,$B121,領用表!$B:$B,$BW$2&amp;CA$2)</f>
        <v>10</v>
      </c>
      <c r="CB121" s="208">
        <f>SUMIFS(領用表!$L:$L,領用表!$A:$A,CB$2,領用表!$E:$E,B121)</f>
        <v>17</v>
      </c>
      <c r="CC121" s="206">
        <f>SUMIFS(領用表!$L:$L,領用表!$E:$E,$B121,領用表!$B:$B,CB$2&amp;CC$2)</f>
        <v>0</v>
      </c>
      <c r="CD121" s="206">
        <f>SUMIFS(領用表!$L:$L,領用表!$E:$E,$B121,領用表!$B:$B,$CB$2&amp;CD$2)</f>
        <v>5</v>
      </c>
      <c r="CE121" s="206">
        <f>SUMIFS(領用表!$L:$L,領用表!$E:$E,$B121,領用表!$B:$B,$CB$2&amp;CE$2)</f>
        <v>0</v>
      </c>
      <c r="CF121" s="206">
        <f>SUMIFS(領用表!$L:$L,領用表!$E:$E,$B121,領用表!$B:$B,$CB$2&amp;CF$2)</f>
        <v>12</v>
      </c>
      <c r="CG121" s="208">
        <f>SUMIFS(領用表!$L:$L,領用表!$A:$A,CG$2,領用表!$E:$E,B121)</f>
        <v>19</v>
      </c>
      <c r="CH121" s="206">
        <f>SUMIFS(領用表!$L:$L,領用表!$E:$E,$B121,領用表!$B:$B,CG$2&amp;CH$2)</f>
        <v>0</v>
      </c>
      <c r="CI121" s="206">
        <f>SUMIFS(領用表!$L:$L,領用表!$E:$E,$B121,領用表!$B:$B,CG$2&amp;CI$2)</f>
        <v>9</v>
      </c>
      <c r="CJ121" s="206">
        <f>SUMIFS(領用表!$L:$L,領用表!$E:$E,$B121,領用表!$B:$B,CG$2&amp;CJ$2)</f>
        <v>0</v>
      </c>
      <c r="CK121" s="206">
        <f>SUMIFS(領用表!$L:$L,領用表!$E:$E,$B121,領用表!$B:$B,$CG$2&amp;CK$2)</f>
        <v>10</v>
      </c>
      <c r="CL121" s="207">
        <f t="shared" si="40"/>
        <v>87</v>
      </c>
      <c r="CM121" s="207">
        <f t="shared" si="41"/>
        <v>7.25</v>
      </c>
      <c r="CN121" s="208">
        <f>SUMIFS(領用表!$L:$L,領用表!$A:$A,CN$2,領用表!$E:$E,B121)</f>
        <v>15</v>
      </c>
      <c r="CO121" s="206">
        <f>SUMIFS(領用表!$L:$L,領用表!$E:$E,$B121,領用表!$B:$B,CN$2&amp;CO$2)</f>
        <v>0</v>
      </c>
      <c r="CP121" s="206">
        <f>SUMIFS(領用表!$L:$L,領用表!$E:$E,$B121,領用表!$B:$B,$CN$2&amp;CP$2)</f>
        <v>5</v>
      </c>
      <c r="CQ121" s="206">
        <f>SUMIFS(領用表!$L:$L,領用表!$E:$E,$B121,領用表!$B:$B,$CN$2&amp;CQ$2)</f>
        <v>0</v>
      </c>
      <c r="CR121" s="206">
        <f>SUMIFS(領用表!$L:$L,領用表!$E:$E,$B121,領用表!$B:$B,$CN$2&amp;CR$2)</f>
        <v>10</v>
      </c>
      <c r="CS121" s="208">
        <f>SUMIFS(領用表!$L:$L,領用表!$A:$A,CS$2,領用表!$E:$E,B121)</f>
        <v>8</v>
      </c>
      <c r="CT121" s="206">
        <f>SUMIFS(領用表!$L:$L,領用表!$E:$E,$B121,領用表!$B:$B,CS$2&amp;CT$2)</f>
        <v>0</v>
      </c>
      <c r="CU121" s="206">
        <f>SUMIFS(領用表!$L:$L,領用表!$E:$E,$B121,領用表!$B:$B,$CS$2&amp;CU$2)</f>
        <v>2</v>
      </c>
      <c r="CV121" s="206">
        <f>SUMIFS(領用表!$L:$L,領用表!$E:$E,$B121,領用表!$B:$B,$CS$2&amp;CV$2)</f>
        <v>0</v>
      </c>
      <c r="CW121" s="206">
        <f>SUMIFS(領用表!$L:$L,領用表!$E:$E,$B121,領用表!$B:$B,$CS$2&amp;CW$2)</f>
        <v>6</v>
      </c>
      <c r="CX121" s="206">
        <f>SUMIFS(領用表!$L:$L,領用表!$E:$E,$B121,領用表!$B:$B,$CS$2&amp;CX$2)</f>
        <v>0</v>
      </c>
      <c r="CY121" s="208">
        <f>SUMIFS(領用表!$L:$L,領用表!$A:$A,CY$2,領用表!$E:$E,B121)</f>
        <v>14</v>
      </c>
      <c r="CZ121" s="206">
        <f>SUMIFS(領用表!$L:$L,領用表!$E:$E,$B121,領用表!$B:$B,CY$2&amp;CZ$2)</f>
        <v>0</v>
      </c>
      <c r="DA121" s="206">
        <f>SUMIFS(領用表!$L:$L,領用表!$E:$E,$B121,領用表!$B:$B,$CY$2&amp;DA$2)</f>
        <v>4</v>
      </c>
      <c r="DB121" s="206">
        <f>SUMIFS(領用表!$L:$L,領用表!$E:$E,$B121,領用表!$B:$B,$CY$2&amp;DB$2)</f>
        <v>0</v>
      </c>
      <c r="DC121" s="206">
        <f>SUMIFS(領用表!$L:$L,領用表!$E:$E,$B121,領用表!$B:$B,$CY$2&amp;DC$2)</f>
        <v>10</v>
      </c>
      <c r="DD121" s="206">
        <f>SUMIFS(領用表!$L:$L,領用表!$E:$E,$B121,領用表!$B:$B,$CY$2&amp;DD$2)</f>
        <v>0</v>
      </c>
      <c r="DE121" s="208">
        <f>SUMIFS(領用表!$L:$L,領用表!$A:$A,DE$2,領用表!$E:$E,B121)</f>
        <v>15</v>
      </c>
      <c r="DF121" s="206">
        <f>SUMIFS(領用表!$L:$L,領用表!$E:$E,$B121,領用表!$B:$B,DE$2&amp;DF$2)</f>
        <v>0</v>
      </c>
      <c r="DG121" s="206">
        <f>SUMIFS(領用表!$L:$L,領用表!$E:$E,$B121,領用表!$B:$B,$DE$2&amp;DG$2)</f>
        <v>4</v>
      </c>
      <c r="DH121" s="206">
        <f>SUMIFS(領用表!$L:$L,領用表!$E:$E,$B121,領用表!$B:$B,$DE$2&amp;DH$2)</f>
        <v>0</v>
      </c>
      <c r="DI121" s="206">
        <f>SUMIFS(領用表!$L:$L,領用表!$E:$E,$B121,領用表!$B:$B,$DE$2&amp;DI$2)</f>
        <v>11</v>
      </c>
      <c r="DJ121" s="206">
        <f>SUMIFS(領用表!$L:$L,領用表!$E:$E,$B121,領用表!$B:$B,$DE$2&amp;DJ$2)</f>
        <v>0</v>
      </c>
      <c r="DK121" s="208">
        <f>SUMIFS(領用表!$L:$L,領用表!$A:$A,DK$2,領用表!$E:$E,$B121)</f>
        <v>8</v>
      </c>
      <c r="DL121" s="206">
        <f>SUMIFS(領用表!$L:$L,領用表!$E:$E,$B121,領用表!$B:$B,DK$2&amp;DL$2)</f>
        <v>0</v>
      </c>
      <c r="DM121" s="206">
        <f>SUMIFS(領用表!$L:$L,領用表!$E:$E,$B121,領用表!$B:$B,$DK$2&amp;DM$2)</f>
        <v>5</v>
      </c>
      <c r="DN121" s="206">
        <f>SUMIFS(領用表!$L:$L,領用表!$E:$E,$B121,領用表!$B:$B,$DK$2&amp;DN$2)</f>
        <v>0</v>
      </c>
      <c r="DO121" s="206">
        <f>SUMIFS(領用表!$L:$L,領用表!$E:$E,$B121,領用表!$B:$B,$DK$2&amp;DO$2)</f>
        <v>3</v>
      </c>
      <c r="DP121" s="206">
        <f>SUMIFS(領用表!$L:$L,領用表!$E:$E,$B121,領用表!$B:$B,$DK$2&amp;DP$2)</f>
        <v>0</v>
      </c>
      <c r="DQ121" s="206">
        <f t="shared" si="36"/>
        <v>60</v>
      </c>
      <c r="DR121" s="206">
        <f t="shared" si="37"/>
        <v>12</v>
      </c>
      <c r="DS121" s="206">
        <f t="shared" si="27"/>
        <v>0</v>
      </c>
      <c r="DT121" s="206">
        <v>0</v>
      </c>
      <c r="DU121" s="206">
        <v>0</v>
      </c>
      <c r="DV121" s="206">
        <v>0</v>
      </c>
      <c r="DW121" s="206">
        <v>0</v>
      </c>
      <c r="DX121" s="258">
        <v>20</v>
      </c>
      <c r="DY121" s="283"/>
      <c r="DZ121" s="283" t="s">
        <v>166</v>
      </c>
      <c r="EA121" s="283"/>
      <c r="EB121" s="136"/>
      <c r="EC121" s="289"/>
      <c r="ED121" s="118">
        <f>IFERROR(VLOOKUP(A121,站前4樓!A:BF,57,0),0)</f>
        <v>0</v>
      </c>
      <c r="EE121" s="213">
        <f>IFERROR(VLOOKUP(A121,站前11樓!A:BE,57,0),0)</f>
        <v>0</v>
      </c>
      <c r="EF121" s="118">
        <f>IFERROR(VLOOKUP(A121,忠孝7樓!A:N,57,0),0)</f>
        <v>0</v>
      </c>
      <c r="EG121" s="118">
        <f>IFERROR(VLOOKUP(A121,忠孝國際醫學3樓!A:L,57,0),0)</f>
        <v>0</v>
      </c>
      <c r="EH121" s="118">
        <f t="shared" si="42"/>
        <v>0</v>
      </c>
    </row>
    <row r="122" spans="1:138" s="118" customFormat="1" ht="15.75" customHeight="1" thickBot="1">
      <c r="A122" s="320" t="s">
        <v>666</v>
      </c>
      <c r="B122" s="118">
        <v>6120030</v>
      </c>
      <c r="C122" s="136" t="s">
        <v>533</v>
      </c>
      <c r="D122" s="285"/>
      <c r="E122" s="198" t="s">
        <v>15</v>
      </c>
      <c r="F122" s="225">
        <f>SUMIF(站前4樓!B:B,B122,站前4樓!F:F)</f>
        <v>0</v>
      </c>
      <c r="G122" s="225">
        <f>SUMIF(站前11樓!B:B,B122,站前11樓!F:F)</f>
        <v>0</v>
      </c>
      <c r="H122" s="225">
        <f>SUMIF(忠孝7樓!B:B,B122,忠孝7樓!G:G)</f>
        <v>0</v>
      </c>
      <c r="I122" s="225">
        <f>SUMIF(忠孝國際醫學3樓!B:B,B122,忠孝國際醫學3樓!G:G)</f>
        <v>0</v>
      </c>
      <c r="J122" s="225">
        <f>SUMIF(忠孝健康7樓!B:B,B122,忠孝健康7樓!G:G)</f>
        <v>0</v>
      </c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83"/>
      <c r="AB122" s="283"/>
      <c r="AC122" s="283"/>
      <c r="AD122" s="283"/>
      <c r="AE122" s="283"/>
      <c r="AF122" s="283"/>
      <c r="AG122" s="283"/>
      <c r="AH122" s="283"/>
      <c r="AI122" s="283"/>
      <c r="AJ122" s="201"/>
      <c r="AK122" s="201"/>
      <c r="AL122" s="201"/>
      <c r="AM122" s="201"/>
      <c r="AN122" s="201"/>
      <c r="AO122" s="201"/>
      <c r="AP122" s="201"/>
      <c r="AQ122" s="201"/>
      <c r="AR122" s="201"/>
      <c r="AS122" s="201"/>
      <c r="AT122" s="201"/>
      <c r="AU122" s="201"/>
      <c r="AV122" s="283">
        <f t="shared" si="38"/>
        <v>0</v>
      </c>
      <c r="AW122" s="286">
        <f t="shared" si="39"/>
        <v>0</v>
      </c>
      <c r="AX122" s="201">
        <v>0</v>
      </c>
      <c r="AY122" s="201">
        <v>0</v>
      </c>
      <c r="AZ122" s="201">
        <v>0</v>
      </c>
      <c r="BA122" s="201">
        <v>18</v>
      </c>
      <c r="BB122" s="201">
        <v>1</v>
      </c>
      <c r="BC122" s="203">
        <f>SUMIFS(領用表!$L:$L,領用表!$A:$A,BC$2,領用表!$E:$E,B122)</f>
        <v>2</v>
      </c>
      <c r="BD122" s="287">
        <f>SUMIFS(領用表!$L:$L,領用表!$E:$E,$B122,領用表!$B:$B,BC$2&amp;BD$2)</f>
        <v>2</v>
      </c>
      <c r="BE122" s="287">
        <f>SUMIFS(領用表!$L:$L,領用表!$E:$E,$B122,領用表!$B:$B,$BC$2&amp;BE$2)</f>
        <v>0</v>
      </c>
      <c r="BF122" s="287">
        <f>SUMIFS(領用表!$L:$L,領用表!$E:$E,$B122,領用表!$B:$B,$BC$2&amp;BF$2)</f>
        <v>0</v>
      </c>
      <c r="BG122" s="206">
        <f>SUMIFS(領用表!$L:$L,領用表!$E:$E,$B122,領用表!$B:$B,$BC$2&amp;BG$2)</f>
        <v>0</v>
      </c>
      <c r="BH122" s="203">
        <f>SUMIFS(領用表!$L:$L,領用表!$A:$A,BH$2,領用表!$E:$E,B122)</f>
        <v>5</v>
      </c>
      <c r="BI122" s="260">
        <f>SUMIFS(領用表!$L:$L,領用表!$E:$E,$B122,領用表!$B:$B,BH$2&amp;BI$2)</f>
        <v>2</v>
      </c>
      <c r="BJ122" s="260">
        <f>SUMIFS(領用表!$L:$L,領用表!$E:$E,$B122,領用表!$B:$B,$BH$2&amp;BJ$2)</f>
        <v>0</v>
      </c>
      <c r="BK122" s="260">
        <f>SUMIFS(領用表!$L:$L,領用表!$E:$E,$B122,領用表!$B:$B,$BH$2&amp;BK$2)</f>
        <v>3</v>
      </c>
      <c r="BL122" s="260">
        <f>SUMIFS(領用表!$L:$L,領用表!$E:$E,$B122,領用表!$B:$B,$BH$2&amp;BL$2)</f>
        <v>0</v>
      </c>
      <c r="BM122" s="203">
        <f>SUMIFS(領用表!$L:$L,領用表!$A:$A,BM$2,領用表!$E:$E,B122)</f>
        <v>6</v>
      </c>
      <c r="BN122" s="206">
        <f>SUMIFS(領用表!$L:$L,領用表!$E:$E,$B122,領用表!$B:$B,BM$2&amp;BN$2)</f>
        <v>3</v>
      </c>
      <c r="BO122" s="206">
        <f>SUMIFS(領用表!$L:$L,領用表!$E:$E,$B122,領用表!$B:$B,$BM$2&amp;BO$2)</f>
        <v>0</v>
      </c>
      <c r="BP122" s="288">
        <f>SUMIFS(領用表!$L:$L,領用表!$E:$E,$B122,領用表!$B:$B,$BM$2&amp;BP$2)</f>
        <v>3</v>
      </c>
      <c r="BQ122" s="287">
        <f>SUMIFS(領用表!$L:$L,領用表!$E:$E,$B122,領用表!$B:$B,$BM$2&amp;BQ$2)</f>
        <v>0</v>
      </c>
      <c r="BR122" s="203">
        <f>SUMIFS(領用表!$L:$L,領用表!$A:$A,BR$2,領用表!$E:$E,B122)</f>
        <v>1</v>
      </c>
      <c r="BS122" s="288">
        <f>SUMIFS(領用表!$L:$L,領用表!$E:$E,$B122,領用表!$B:$B,BR$2&amp;BS$2)</f>
        <v>0</v>
      </c>
      <c r="BT122" s="288">
        <f>SUMIFS(領用表!$L:$L,領用表!$E:$E,$B122,領用表!$B:$B,$BR$2&amp;BT$2)</f>
        <v>0</v>
      </c>
      <c r="BU122" s="288">
        <f>SUMIFS(領用表!$L:$L,領用表!$E:$E,$B122,領用表!$B:$B,$BR$2&amp;BU$2)</f>
        <v>1</v>
      </c>
      <c r="BV122" s="287">
        <f>SUMIFS(領用表!$L:$L,領用表!$E:$E,$B122,領用表!$B:$B,$BR$2&amp;BV$2)</f>
        <v>0</v>
      </c>
      <c r="BW122" s="208">
        <f>SUMIFS(領用表!$L:$L,領用表!$A:$A,BW$2,領用表!$E:$E,B122)</f>
        <v>5</v>
      </c>
      <c r="BX122" s="206">
        <f>SUMIFS(領用表!$L:$L,領用表!$E:$E,$B122,領用表!$B:$B,BW$2&amp;BX$2)</f>
        <v>1</v>
      </c>
      <c r="BY122" s="206">
        <f>SUMIFS(領用表!$L:$L,領用表!$E:$E,$B122,領用表!$B:$B,$BW$2&amp;BY$2)</f>
        <v>0</v>
      </c>
      <c r="BZ122" s="206">
        <f>SUMIFS(領用表!$L:$L,領用表!$E:$E,$B122,領用表!$B:$B,$BW$2&amp;BZ$2)</f>
        <v>4</v>
      </c>
      <c r="CA122" s="206">
        <f>SUMIFS(領用表!$L:$L,領用表!$E:$E,$B122,領用表!$B:$B,$BW$2&amp;CA$2)</f>
        <v>0</v>
      </c>
      <c r="CB122" s="208">
        <f>SUMIFS(領用表!$L:$L,領用表!$A:$A,CB$2,領用表!$E:$E,B122)</f>
        <v>1</v>
      </c>
      <c r="CC122" s="206">
        <f>SUMIFS(領用表!$L:$L,領用表!$E:$E,$B122,領用表!$B:$B,CB$2&amp;CC$2)</f>
        <v>0</v>
      </c>
      <c r="CD122" s="206">
        <f>SUMIFS(領用表!$L:$L,領用表!$E:$E,$B122,領用表!$B:$B,$CB$2&amp;CD$2)</f>
        <v>0</v>
      </c>
      <c r="CE122" s="206">
        <f>SUMIFS(領用表!$L:$L,領用表!$E:$E,$B122,領用表!$B:$B,$CB$2&amp;CE$2)</f>
        <v>1</v>
      </c>
      <c r="CF122" s="206">
        <f>SUMIFS(領用表!$L:$L,領用表!$E:$E,$B122,領用表!$B:$B,$CB$2&amp;CF$2)</f>
        <v>0</v>
      </c>
      <c r="CG122" s="208">
        <f>SUMIFS(領用表!$L:$L,領用表!$A:$A,CG$2,領用表!$E:$E,B122)</f>
        <v>1</v>
      </c>
      <c r="CH122" s="206">
        <f>SUMIFS(領用表!$L:$L,領用表!$E:$E,$B122,領用表!$B:$B,CG$2&amp;CH$2)</f>
        <v>0</v>
      </c>
      <c r="CI122" s="206">
        <f>SUMIFS(領用表!$L:$L,領用表!$E:$E,$B122,領用表!$B:$B,CG$2&amp;CI$2)</f>
        <v>0</v>
      </c>
      <c r="CJ122" s="206">
        <f>SUMIFS(領用表!$L:$L,領用表!$E:$E,$B122,領用表!$B:$B,CG$2&amp;CJ$2)</f>
        <v>1</v>
      </c>
      <c r="CK122" s="206">
        <f>SUMIFS(領用表!$L:$L,領用表!$E:$E,$B122,領用表!$B:$B,$CG$2&amp;CK$2)</f>
        <v>0</v>
      </c>
      <c r="CL122" s="207">
        <f t="shared" si="40"/>
        <v>40</v>
      </c>
      <c r="CM122" s="207">
        <f t="shared" si="41"/>
        <v>3.3333333333333335</v>
      </c>
      <c r="CN122" s="208">
        <f>SUMIFS(領用表!$L:$L,領用表!$A:$A,CN$2,領用表!$E:$E,B122)</f>
        <v>2</v>
      </c>
      <c r="CO122" s="206">
        <f>SUMIFS(領用表!$L:$L,領用表!$E:$E,$B122,領用表!$B:$B,CN$2&amp;CO$2)</f>
        <v>0</v>
      </c>
      <c r="CP122" s="206">
        <f>SUMIFS(領用表!$L:$L,領用表!$E:$E,$B122,領用表!$B:$B,$CN$2&amp;CP$2)</f>
        <v>0</v>
      </c>
      <c r="CQ122" s="206">
        <f>SUMIFS(領用表!$L:$L,領用表!$E:$E,$B122,領用表!$B:$B,$CN$2&amp;CQ$2)</f>
        <v>2</v>
      </c>
      <c r="CR122" s="206">
        <f>SUMIFS(領用表!$L:$L,領用表!$E:$E,$B122,領用表!$B:$B,$CN$2&amp;CR$2)</f>
        <v>0</v>
      </c>
      <c r="CS122" s="208">
        <f>SUMIFS(領用表!$L:$L,領用表!$A:$A,CS$2,領用表!$E:$E,B122)</f>
        <v>1</v>
      </c>
      <c r="CT122" s="206">
        <f>SUMIFS(領用表!$L:$L,領用表!$E:$E,$B122,領用表!$B:$B,CS$2&amp;CT$2)</f>
        <v>1</v>
      </c>
      <c r="CU122" s="206">
        <f>SUMIFS(領用表!$L:$L,領用表!$E:$E,$B122,領用表!$B:$B,$CS$2&amp;CU$2)</f>
        <v>0</v>
      </c>
      <c r="CV122" s="206">
        <f>SUMIFS(領用表!$L:$L,領用表!$E:$E,$B122,領用表!$B:$B,$CS$2&amp;CV$2)</f>
        <v>0</v>
      </c>
      <c r="CW122" s="206">
        <f>SUMIFS(領用表!$L:$L,領用表!$E:$E,$B122,領用表!$B:$B,$CS$2&amp;CW$2)</f>
        <v>0</v>
      </c>
      <c r="CX122" s="206">
        <f>SUMIFS(領用表!$L:$L,領用表!$E:$E,$B122,領用表!$B:$B,$CS$2&amp;CX$2)</f>
        <v>0</v>
      </c>
      <c r="CY122" s="208">
        <f>SUMIFS(領用表!$L:$L,領用表!$A:$A,CY$2,領用表!$E:$E,B122)</f>
        <v>1</v>
      </c>
      <c r="CZ122" s="206">
        <f>SUMIFS(領用表!$L:$L,領用表!$E:$E,$B122,領用表!$B:$B,CY$2&amp;CZ$2)</f>
        <v>0</v>
      </c>
      <c r="DA122" s="206">
        <f>SUMIFS(領用表!$L:$L,領用表!$E:$E,$B122,領用表!$B:$B,$CY$2&amp;DA$2)</f>
        <v>0</v>
      </c>
      <c r="DB122" s="206">
        <f>SUMIFS(領用表!$L:$L,領用表!$E:$E,$B122,領用表!$B:$B,$CY$2&amp;DB$2)</f>
        <v>1</v>
      </c>
      <c r="DC122" s="206">
        <f>SUMIFS(領用表!$L:$L,領用表!$E:$E,$B122,領用表!$B:$B,$CY$2&amp;DC$2)</f>
        <v>0</v>
      </c>
      <c r="DD122" s="206">
        <f>SUMIFS(領用表!$L:$L,領用表!$E:$E,$B122,領用表!$B:$B,$CY$2&amp;DD$2)</f>
        <v>0</v>
      </c>
      <c r="DE122" s="208">
        <f>SUMIFS(領用表!$L:$L,領用表!$A:$A,DE$2,領用表!$E:$E,B122)</f>
        <v>4</v>
      </c>
      <c r="DF122" s="206">
        <f>SUMIFS(領用表!$L:$L,領用表!$E:$E,$B122,領用表!$B:$B,DE$2&amp;DF$2)</f>
        <v>0</v>
      </c>
      <c r="DG122" s="206">
        <f>SUMIFS(領用表!$L:$L,領用表!$E:$E,$B122,領用表!$B:$B,$DE$2&amp;DG$2)</f>
        <v>0</v>
      </c>
      <c r="DH122" s="206">
        <f>SUMIFS(領用表!$L:$L,領用表!$E:$E,$B122,領用表!$B:$B,$DE$2&amp;DH$2)</f>
        <v>2</v>
      </c>
      <c r="DI122" s="206">
        <f>SUMIFS(領用表!$L:$L,領用表!$E:$E,$B122,領用表!$B:$B,$DE$2&amp;DI$2)</f>
        <v>0</v>
      </c>
      <c r="DJ122" s="206">
        <f>SUMIFS(領用表!$L:$L,領用表!$E:$E,$B122,領用表!$B:$B,$DE$2&amp;DJ$2)</f>
        <v>2</v>
      </c>
      <c r="DK122" s="208">
        <f>SUMIFS(領用表!$L:$L,領用表!$A:$A,DK$2,領用表!$E:$E,$B122)</f>
        <v>0</v>
      </c>
      <c r="DL122" s="206">
        <f>SUMIFS(領用表!$L:$L,領用表!$E:$E,$B122,領用表!$B:$B,DK$2&amp;DL$2)</f>
        <v>0</v>
      </c>
      <c r="DM122" s="206">
        <f>SUMIFS(領用表!$L:$L,領用表!$E:$E,$B122,領用表!$B:$B,$DK$2&amp;DM$2)</f>
        <v>0</v>
      </c>
      <c r="DN122" s="206">
        <f>SUMIFS(領用表!$L:$L,領用表!$E:$E,$B122,領用表!$B:$B,$DK$2&amp;DN$2)</f>
        <v>0</v>
      </c>
      <c r="DO122" s="206">
        <f>SUMIFS(領用表!$L:$L,領用表!$E:$E,$B122,領用表!$B:$B,$DK$2&amp;DO$2)</f>
        <v>0</v>
      </c>
      <c r="DP122" s="206">
        <f>SUMIFS(領用表!$L:$L,領用表!$E:$E,$B122,領用表!$B:$B,$DK$2&amp;DP$2)</f>
        <v>0</v>
      </c>
      <c r="DQ122" s="206">
        <f t="shared" si="36"/>
        <v>8</v>
      </c>
      <c r="DR122" s="206">
        <f t="shared" si="37"/>
        <v>1.6</v>
      </c>
      <c r="DS122" s="206">
        <f t="shared" si="27"/>
        <v>0</v>
      </c>
      <c r="DT122" s="206">
        <v>0</v>
      </c>
      <c r="DU122" s="206">
        <v>0</v>
      </c>
      <c r="DV122" s="206">
        <v>0</v>
      </c>
      <c r="DW122" s="206">
        <v>0</v>
      </c>
      <c r="DX122" s="258"/>
      <c r="DY122" s="283"/>
      <c r="DZ122" s="283"/>
      <c r="EA122" s="283"/>
      <c r="EB122" s="136"/>
      <c r="EC122" s="136"/>
      <c r="ED122" s="118">
        <f>IFERROR(VLOOKUP(A122,站前4樓!A:BF,57,0),0)</f>
        <v>0</v>
      </c>
      <c r="EE122" s="213">
        <f>IFERROR(VLOOKUP(A122,站前11樓!A:BE,57,0),0)</f>
        <v>0</v>
      </c>
      <c r="EF122" s="118">
        <f>IFERROR(VLOOKUP(A122,忠孝7樓!A:N,57,0),0)</f>
        <v>0</v>
      </c>
      <c r="EG122" s="118">
        <f>IFERROR(VLOOKUP(A122,忠孝國際醫學3樓!A:L,57,0),0)</f>
        <v>0</v>
      </c>
      <c r="EH122" s="118">
        <f t="shared" si="42"/>
        <v>0</v>
      </c>
    </row>
    <row r="123" spans="1:138" s="118" customFormat="1" ht="15.75" customHeight="1" thickBot="1">
      <c r="A123" s="320" t="s">
        <v>763</v>
      </c>
      <c r="B123" s="118">
        <v>6120023</v>
      </c>
      <c r="C123" s="322" t="s">
        <v>759</v>
      </c>
      <c r="D123" s="285"/>
      <c r="E123" s="198" t="s">
        <v>15</v>
      </c>
      <c r="F123" s="225">
        <f>SUMIF(站前4樓!B:B,B123,站前4樓!F:F)</f>
        <v>55</v>
      </c>
      <c r="G123" s="225">
        <f>SUMIF(站前11樓!B:B,B123,站前11樓!F:F)</f>
        <v>0</v>
      </c>
      <c r="H123" s="225">
        <f>SUMIF(忠孝7樓!B:B,B123,忠孝7樓!G:G)</f>
        <v>0</v>
      </c>
      <c r="I123" s="225">
        <f>SUMIF(忠孝國際醫學3樓!B:B,B123,忠孝國際醫學3樓!G:G)</f>
        <v>0</v>
      </c>
      <c r="J123" s="225">
        <f>SUMIF(忠孝健康7樓!B:B,B123,忠孝健康7樓!G:G)</f>
        <v>0</v>
      </c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83"/>
      <c r="AB123" s="283"/>
      <c r="AC123" s="283"/>
      <c r="AD123" s="283"/>
      <c r="AE123" s="283"/>
      <c r="AF123" s="283"/>
      <c r="AG123" s="283"/>
      <c r="AH123" s="283"/>
      <c r="AI123" s="283"/>
      <c r="AJ123" s="201"/>
      <c r="AK123" s="201"/>
      <c r="AL123" s="201"/>
      <c r="AM123" s="201"/>
      <c r="AN123" s="201"/>
      <c r="AO123" s="201"/>
      <c r="AP123" s="201"/>
      <c r="AQ123" s="201"/>
      <c r="AR123" s="201"/>
      <c r="AS123" s="201"/>
      <c r="AT123" s="201"/>
      <c r="AU123" s="201"/>
      <c r="AV123" s="283">
        <f t="shared" si="32"/>
        <v>0</v>
      </c>
      <c r="AW123" s="286">
        <f t="shared" si="33"/>
        <v>0</v>
      </c>
      <c r="AX123" s="201">
        <v>0</v>
      </c>
      <c r="AY123" s="201">
        <v>0</v>
      </c>
      <c r="AZ123" s="201">
        <v>2</v>
      </c>
      <c r="BA123" s="201">
        <v>3</v>
      </c>
      <c r="BB123" s="201">
        <v>6</v>
      </c>
      <c r="BC123" s="203">
        <f>SUMIFS(領用表!$L:$L,領用表!$A:$A,BC$2,領用表!$E:$E,B123)</f>
        <v>0</v>
      </c>
      <c r="BD123" s="287">
        <f>SUMIFS(領用表!$L:$L,領用表!$E:$E,$B123,領用表!$B:$B,BC$2&amp;BD$2)</f>
        <v>0</v>
      </c>
      <c r="BE123" s="287">
        <f>SUMIFS(領用表!$L:$L,領用表!$E:$E,$B123,領用表!$B:$B,$BC$2&amp;BE$2)</f>
        <v>0</v>
      </c>
      <c r="BF123" s="287">
        <f>SUMIFS(領用表!$L:$L,領用表!$E:$E,$B123,領用表!$B:$B,$BC$2&amp;BF$2)</f>
        <v>0</v>
      </c>
      <c r="BG123" s="206">
        <f>SUMIFS(領用表!$L:$L,領用表!$E:$E,$B123,領用表!$B:$B,$BC$2&amp;BG$2)</f>
        <v>0</v>
      </c>
      <c r="BH123" s="203">
        <f>SUMIFS(領用表!$L:$L,領用表!$A:$A,BH$2,領用表!$E:$E,B123)</f>
        <v>0</v>
      </c>
      <c r="BI123" s="260">
        <f>SUMIFS(領用表!$L:$L,領用表!$E:$E,$B123,領用表!$B:$B,BH$2&amp;BI$2)</f>
        <v>0</v>
      </c>
      <c r="BJ123" s="260">
        <f>SUMIFS(領用表!$L:$L,領用表!$E:$E,$B123,領用表!$B:$B,$BH$2&amp;BJ$2)</f>
        <v>0</v>
      </c>
      <c r="BK123" s="260">
        <f>SUMIFS(領用表!$L:$L,領用表!$E:$E,$B123,領用表!$B:$B,$BH$2&amp;BK$2)</f>
        <v>0</v>
      </c>
      <c r="BL123" s="260">
        <f>SUMIFS(領用表!$L:$L,領用表!$E:$E,$B123,領用表!$B:$B,$BH$2&amp;BL$2)</f>
        <v>0</v>
      </c>
      <c r="BM123" s="203">
        <f>SUMIFS(領用表!$L:$L,領用表!$A:$A,BM$2,領用表!$E:$E,B123)</f>
        <v>0</v>
      </c>
      <c r="BN123" s="206">
        <f>SUMIFS(領用表!$L:$L,領用表!$E:$E,$B123,領用表!$B:$B,BM$2&amp;BN$2)</f>
        <v>0</v>
      </c>
      <c r="BO123" s="206">
        <f>SUMIFS(領用表!$L:$L,領用表!$E:$E,$B123,領用表!$B:$B,$BM$2&amp;BO$2)</f>
        <v>0</v>
      </c>
      <c r="BP123" s="288">
        <f>SUMIFS(領用表!$L:$L,領用表!$E:$E,$B123,領用表!$B:$B,$BM$2&amp;BP$2)</f>
        <v>0</v>
      </c>
      <c r="BQ123" s="287">
        <f>SUMIFS(領用表!$L:$L,領用表!$E:$E,$B123,領用表!$B:$B,$BM$2&amp;BQ$2)</f>
        <v>0</v>
      </c>
      <c r="BR123" s="203">
        <f>SUMIFS(領用表!$L:$L,領用表!$A:$A,BR$2,領用表!$E:$E,B123)</f>
        <v>0</v>
      </c>
      <c r="BS123" s="288">
        <f>SUMIFS(領用表!$L:$L,領用表!$E:$E,$B123,領用表!$B:$B,BR$2&amp;BS$2)</f>
        <v>0</v>
      </c>
      <c r="BT123" s="288">
        <f>SUMIFS(領用表!$L:$L,領用表!$E:$E,$B123,領用表!$B:$B,$BR$2&amp;BT$2)</f>
        <v>0</v>
      </c>
      <c r="BU123" s="288">
        <f>SUMIFS(領用表!$L:$L,領用表!$E:$E,$B123,領用表!$B:$B,$BR$2&amp;BU$2)</f>
        <v>0</v>
      </c>
      <c r="BV123" s="287">
        <f>SUMIFS(領用表!$L:$L,領用表!$E:$E,$B123,領用表!$B:$B,$BR$2&amp;BV$2)</f>
        <v>0</v>
      </c>
      <c r="BW123" s="208">
        <f>SUMIFS(領用表!$L:$L,領用表!$A:$A,BW$2,領用表!$E:$E,B123)</f>
        <v>0</v>
      </c>
      <c r="BX123" s="206">
        <f>SUMIFS(領用表!$L:$L,領用表!$E:$E,$B123,領用表!$B:$B,BW$2&amp;BX$2)</f>
        <v>0</v>
      </c>
      <c r="BY123" s="206">
        <f>SUMIFS(領用表!$L:$L,領用表!$E:$E,$B123,領用表!$B:$B,$BW$2&amp;BY$2)</f>
        <v>0</v>
      </c>
      <c r="BZ123" s="206">
        <f>SUMIFS(領用表!$L:$L,領用表!$E:$E,$B123,領用表!$B:$B,$BW$2&amp;BZ$2)</f>
        <v>0</v>
      </c>
      <c r="CA123" s="206">
        <f>SUMIFS(領用表!$L:$L,領用表!$E:$E,$B123,領用表!$B:$B,$BW$2&amp;CA$2)</f>
        <v>0</v>
      </c>
      <c r="CB123" s="208">
        <f>SUMIFS(領用表!$L:$L,領用表!$A:$A,CB$2,領用表!$E:$E,B123)</f>
        <v>0</v>
      </c>
      <c r="CC123" s="206">
        <f>SUMIFS(領用表!$L:$L,領用表!$E:$E,$B123,領用表!$B:$B,CB$2&amp;CC$2)</f>
        <v>0</v>
      </c>
      <c r="CD123" s="206">
        <f>SUMIFS(領用表!$L:$L,領用表!$E:$E,$B123,領用表!$B:$B,$CB$2&amp;CD$2)</f>
        <v>0</v>
      </c>
      <c r="CE123" s="206">
        <f>SUMIFS(領用表!$L:$L,領用表!$E:$E,$B123,領用表!$B:$B,$CB$2&amp;CE$2)</f>
        <v>0</v>
      </c>
      <c r="CF123" s="206">
        <f>SUMIFS(領用表!$L:$L,領用表!$E:$E,$B123,領用表!$B:$B,$CB$2&amp;CF$2)</f>
        <v>0</v>
      </c>
      <c r="CG123" s="208">
        <f>SUMIFS(領用表!$L:$L,領用表!$A:$A,CG$2,領用表!$E:$E,B123)</f>
        <v>0</v>
      </c>
      <c r="CH123" s="206">
        <f>SUMIFS(領用表!$L:$L,領用表!$E:$E,$B123,領用表!$B:$B,CG$2&amp;CH$2)</f>
        <v>0</v>
      </c>
      <c r="CI123" s="206">
        <f>SUMIFS(領用表!$L:$L,領用表!$E:$E,$B123,領用表!$B:$B,CG$2&amp;CI$2)</f>
        <v>0</v>
      </c>
      <c r="CJ123" s="206">
        <f>SUMIFS(領用表!$L:$L,領用表!$E:$E,$B123,領用表!$B:$B,CG$2&amp;CJ$2)</f>
        <v>0</v>
      </c>
      <c r="CK123" s="206">
        <f>SUMIFS(領用表!$L:$L,領用表!$E:$E,$B123,領用表!$B:$B,$CG$2&amp;CK$2)</f>
        <v>0</v>
      </c>
      <c r="CL123" s="207">
        <f t="shared" si="34"/>
        <v>11</v>
      </c>
      <c r="CM123" s="207">
        <f t="shared" si="35"/>
        <v>0.91666666666666663</v>
      </c>
      <c r="CN123" s="208">
        <f>SUMIFS(領用表!$L:$L,領用表!$A:$A,CN$2,領用表!$E:$E,B123)</f>
        <v>0</v>
      </c>
      <c r="CO123" s="206">
        <f>SUMIFS(領用表!$L:$L,領用表!$E:$E,$B123,領用表!$B:$B,CN$2&amp;CO$2)</f>
        <v>0</v>
      </c>
      <c r="CP123" s="206">
        <f>SUMIFS(領用表!$L:$L,領用表!$E:$E,$B123,領用表!$B:$B,$CN$2&amp;CP$2)</f>
        <v>0</v>
      </c>
      <c r="CQ123" s="206">
        <f>SUMIFS(領用表!$L:$L,領用表!$E:$E,$B123,領用表!$B:$B,$CN$2&amp;CQ$2)</f>
        <v>0</v>
      </c>
      <c r="CR123" s="206">
        <f>SUMIFS(領用表!$L:$L,領用表!$E:$E,$B123,領用表!$B:$B,$CN$2&amp;CR$2)</f>
        <v>0</v>
      </c>
      <c r="CS123" s="208">
        <f>SUMIFS(領用表!$L:$L,領用表!$A:$A,CS$2,領用表!$E:$E,B123)</f>
        <v>0</v>
      </c>
      <c r="CT123" s="206">
        <f>SUMIFS(領用表!$L:$L,領用表!$E:$E,$B123,領用表!$B:$B,CS$2&amp;CT$2)</f>
        <v>0</v>
      </c>
      <c r="CU123" s="206">
        <f>SUMIFS(領用表!$L:$L,領用表!$E:$E,$B123,領用表!$B:$B,$CS$2&amp;CU$2)</f>
        <v>0</v>
      </c>
      <c r="CV123" s="206">
        <f>SUMIFS(領用表!$L:$L,領用表!$E:$E,$B123,領用表!$B:$B,$CS$2&amp;CV$2)</f>
        <v>0</v>
      </c>
      <c r="CW123" s="206">
        <f>SUMIFS(領用表!$L:$L,領用表!$E:$E,$B123,領用表!$B:$B,$CS$2&amp;CW$2)</f>
        <v>0</v>
      </c>
      <c r="CX123" s="206">
        <f>SUMIFS(領用表!$L:$L,領用表!$E:$E,$B123,領用表!$B:$B,$CS$2&amp;CX$2)</f>
        <v>0</v>
      </c>
      <c r="CY123" s="208">
        <f>SUMIFS(領用表!$L:$L,領用表!$A:$A,CY$2,領用表!$E:$E,B123)</f>
        <v>0</v>
      </c>
      <c r="CZ123" s="206">
        <f>SUMIFS(領用表!$L:$L,領用表!$E:$E,$B123,領用表!$B:$B,CY$2&amp;CZ$2)</f>
        <v>0</v>
      </c>
      <c r="DA123" s="206">
        <f>SUMIFS(領用表!$L:$L,領用表!$E:$E,$B123,領用表!$B:$B,$CY$2&amp;DA$2)</f>
        <v>0</v>
      </c>
      <c r="DB123" s="206">
        <f>SUMIFS(領用表!$L:$L,領用表!$E:$E,$B123,領用表!$B:$B,$CY$2&amp;DB$2)</f>
        <v>0</v>
      </c>
      <c r="DC123" s="206">
        <f>SUMIFS(領用表!$L:$L,領用表!$E:$E,$B123,領用表!$B:$B,$CY$2&amp;DC$2)</f>
        <v>0</v>
      </c>
      <c r="DD123" s="206">
        <f>SUMIFS(領用表!$L:$L,領用表!$E:$E,$B123,領用表!$B:$B,$CY$2&amp;DD$2)</f>
        <v>0</v>
      </c>
      <c r="DE123" s="208">
        <f>SUMIFS(領用表!$L:$L,領用表!$A:$A,DE$2,領用表!$E:$E,B123)</f>
        <v>0</v>
      </c>
      <c r="DF123" s="206">
        <f>SUMIFS(領用表!$L:$L,領用表!$E:$E,$B123,領用表!$B:$B,DE$2&amp;DF$2)</f>
        <v>0</v>
      </c>
      <c r="DG123" s="206">
        <f>SUMIFS(領用表!$L:$L,領用表!$E:$E,$B123,領用表!$B:$B,$DE$2&amp;DG$2)</f>
        <v>0</v>
      </c>
      <c r="DH123" s="206">
        <f>SUMIFS(領用表!$L:$L,領用表!$E:$E,$B123,領用表!$B:$B,$DE$2&amp;DH$2)</f>
        <v>0</v>
      </c>
      <c r="DI123" s="206">
        <f>SUMIFS(領用表!$L:$L,領用表!$E:$E,$B123,領用表!$B:$B,$DE$2&amp;DI$2)</f>
        <v>0</v>
      </c>
      <c r="DJ123" s="206">
        <f>SUMIFS(領用表!$L:$L,領用表!$E:$E,$B123,領用表!$B:$B,$DE$2&amp;DJ$2)</f>
        <v>0</v>
      </c>
      <c r="DK123" s="208">
        <f>SUMIFS(領用表!$L:$L,領用表!$A:$A,DK$2,領用表!$E:$E,$B123)</f>
        <v>0</v>
      </c>
      <c r="DL123" s="206">
        <f>SUMIFS(領用表!$L:$L,領用表!$E:$E,$B123,領用表!$B:$B,DK$2&amp;DL$2)</f>
        <v>0</v>
      </c>
      <c r="DM123" s="206">
        <f>SUMIFS(領用表!$L:$L,領用表!$E:$E,$B123,領用表!$B:$B,$DK$2&amp;DM$2)</f>
        <v>0</v>
      </c>
      <c r="DN123" s="206">
        <f>SUMIFS(領用表!$L:$L,領用表!$E:$E,$B123,領用表!$B:$B,$DK$2&amp;DN$2)</f>
        <v>0</v>
      </c>
      <c r="DO123" s="206">
        <f>SUMIFS(領用表!$L:$L,領用表!$E:$E,$B123,領用表!$B:$B,$DK$2&amp;DO$2)</f>
        <v>0</v>
      </c>
      <c r="DP123" s="206">
        <f>SUMIFS(領用表!$L:$L,領用表!$E:$E,$B123,領用表!$B:$B,$DK$2&amp;DP$2)</f>
        <v>0</v>
      </c>
      <c r="DQ123" s="206">
        <f t="shared" si="36"/>
        <v>0</v>
      </c>
      <c r="DR123" s="206">
        <f t="shared" si="37"/>
        <v>0</v>
      </c>
      <c r="DS123" s="206">
        <f t="shared" si="27"/>
        <v>0</v>
      </c>
      <c r="DT123" s="206">
        <v>0</v>
      </c>
      <c r="DU123" s="206">
        <v>0</v>
      </c>
      <c r="DV123" s="206">
        <v>0</v>
      </c>
      <c r="DW123" s="206">
        <v>0</v>
      </c>
      <c r="DX123" s="258"/>
      <c r="DY123" s="283"/>
      <c r="DZ123" s="283"/>
      <c r="EA123" s="283"/>
      <c r="EB123" s="136"/>
      <c r="EC123" s="136"/>
      <c r="ED123" s="118">
        <f>IFERROR(VLOOKUP(A123,站前4樓!A:BF,57,0),0)</f>
        <v>0</v>
      </c>
      <c r="EE123" s="213">
        <f>IFERROR(VLOOKUP(A123,站前11樓!A:BE,57,0),0)</f>
        <v>0</v>
      </c>
      <c r="EF123" s="118">
        <f>IFERROR(VLOOKUP(A123,忠孝7樓!A:N,57,0),0)</f>
        <v>0</v>
      </c>
      <c r="EG123" s="118">
        <f>IFERROR(VLOOKUP(A123,忠孝國際醫學3樓!A:L,57,0),0)</f>
        <v>0</v>
      </c>
      <c r="EH123" s="118">
        <f t="shared" si="25"/>
        <v>0</v>
      </c>
    </row>
    <row r="124" spans="1:138" s="118" customFormat="1" ht="15.75" customHeight="1" thickBot="1">
      <c r="A124" s="320" t="s">
        <v>670</v>
      </c>
      <c r="B124" s="118">
        <v>6120024</v>
      </c>
      <c r="C124" s="323" t="s">
        <v>760</v>
      </c>
      <c r="D124" s="285"/>
      <c r="E124" s="198" t="s">
        <v>15</v>
      </c>
      <c r="F124" s="225">
        <f>SUMIF(站前4樓!B:B,B124,站前4樓!F:F)</f>
        <v>0</v>
      </c>
      <c r="G124" s="225">
        <f>SUMIF(站前11樓!B:B,B124,站前11樓!F:F)</f>
        <v>0</v>
      </c>
      <c r="H124" s="225">
        <f>SUMIF(忠孝7樓!B:B,B124,忠孝7樓!G:G)</f>
        <v>27</v>
      </c>
      <c r="I124" s="225">
        <f>SUMIF(忠孝國際醫學3樓!B:B,B124,忠孝國際醫學3樓!G:G)</f>
        <v>0</v>
      </c>
      <c r="J124" s="225">
        <f>SUMIF(忠孝健康7樓!B:B,B124,忠孝健康7樓!G:G)</f>
        <v>42</v>
      </c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83"/>
      <c r="AB124" s="283"/>
      <c r="AC124" s="283"/>
      <c r="AD124" s="283"/>
      <c r="AE124" s="283"/>
      <c r="AF124" s="283"/>
      <c r="AG124" s="283"/>
      <c r="AH124" s="283"/>
      <c r="AI124" s="283"/>
      <c r="AJ124" s="201"/>
      <c r="AK124" s="201"/>
      <c r="AL124" s="201"/>
      <c r="AM124" s="201"/>
      <c r="AN124" s="201"/>
      <c r="AO124" s="201"/>
      <c r="AP124" s="201"/>
      <c r="AQ124" s="201"/>
      <c r="AR124" s="201"/>
      <c r="AS124" s="201"/>
      <c r="AT124" s="201"/>
      <c r="AU124" s="201"/>
      <c r="AV124" s="283">
        <f t="shared" si="32"/>
        <v>0</v>
      </c>
      <c r="AW124" s="286">
        <f t="shared" si="33"/>
        <v>0</v>
      </c>
      <c r="AX124" s="201">
        <v>0</v>
      </c>
      <c r="AY124" s="201">
        <v>0</v>
      </c>
      <c r="AZ124" s="201">
        <v>2</v>
      </c>
      <c r="BA124" s="201">
        <v>4</v>
      </c>
      <c r="BB124" s="201">
        <v>2</v>
      </c>
      <c r="BC124" s="203">
        <f>SUMIFS(領用表!$L:$L,領用表!$A:$A,BC$2,領用表!$E:$E,B124)</f>
        <v>0</v>
      </c>
      <c r="BD124" s="287">
        <f>SUMIFS(領用表!$L:$L,領用表!$E:$E,$B124,領用表!$B:$B,BC$2&amp;BD$2)</f>
        <v>0</v>
      </c>
      <c r="BE124" s="287">
        <f>SUMIFS(領用表!$L:$L,領用表!$E:$E,$B124,領用表!$B:$B,$BC$2&amp;BE$2)</f>
        <v>0</v>
      </c>
      <c r="BF124" s="287">
        <f>SUMIFS(領用表!$L:$L,領用表!$E:$E,$B124,領用表!$B:$B,$BC$2&amp;BF$2)</f>
        <v>0</v>
      </c>
      <c r="BG124" s="206">
        <f>SUMIFS(領用表!$L:$L,領用表!$E:$E,$B124,領用表!$B:$B,$BC$2&amp;BG$2)</f>
        <v>0</v>
      </c>
      <c r="BH124" s="203">
        <f>SUMIFS(領用表!$L:$L,領用表!$A:$A,BH$2,領用表!$E:$E,B124)</f>
        <v>0</v>
      </c>
      <c r="BI124" s="260">
        <f>SUMIFS(領用表!$L:$L,領用表!$E:$E,$B124,領用表!$B:$B,BH$2&amp;BI$2)</f>
        <v>0</v>
      </c>
      <c r="BJ124" s="260">
        <f>SUMIFS(領用表!$L:$L,領用表!$E:$E,$B124,領用表!$B:$B,$BH$2&amp;BJ$2)</f>
        <v>0</v>
      </c>
      <c r="BK124" s="260">
        <f>SUMIFS(領用表!$L:$L,領用表!$E:$E,$B124,領用表!$B:$B,$BH$2&amp;BK$2)</f>
        <v>0</v>
      </c>
      <c r="BL124" s="260">
        <f>SUMIFS(領用表!$L:$L,領用表!$E:$E,$B124,領用表!$B:$B,$BH$2&amp;BL$2)</f>
        <v>0</v>
      </c>
      <c r="BM124" s="203">
        <f>SUMIFS(領用表!$L:$L,領用表!$A:$A,BM$2,領用表!$E:$E,B124)</f>
        <v>1</v>
      </c>
      <c r="BN124" s="206">
        <f>SUMIFS(領用表!$L:$L,領用表!$E:$E,$B124,領用表!$B:$B,BM$2&amp;BN$2)</f>
        <v>1</v>
      </c>
      <c r="BO124" s="206">
        <f>SUMIFS(領用表!$L:$L,領用表!$E:$E,$B124,領用表!$B:$B,$BM$2&amp;BO$2)</f>
        <v>0</v>
      </c>
      <c r="BP124" s="288">
        <f>SUMIFS(領用表!$L:$L,領用表!$E:$E,$B124,領用表!$B:$B,$BM$2&amp;BP$2)</f>
        <v>0</v>
      </c>
      <c r="BQ124" s="287">
        <f>SUMIFS(領用表!$L:$L,領用表!$E:$E,$B124,領用表!$B:$B,$BM$2&amp;BQ$2)</f>
        <v>0</v>
      </c>
      <c r="BR124" s="203">
        <f>SUMIFS(領用表!$L:$L,領用表!$A:$A,BR$2,領用表!$E:$E,B124)</f>
        <v>0</v>
      </c>
      <c r="BS124" s="288">
        <f>SUMIFS(領用表!$L:$L,領用表!$E:$E,$B124,領用表!$B:$B,BR$2&amp;BS$2)</f>
        <v>0</v>
      </c>
      <c r="BT124" s="288">
        <f>SUMIFS(領用表!$L:$L,領用表!$E:$E,$B124,領用表!$B:$B,$BR$2&amp;BT$2)</f>
        <v>0</v>
      </c>
      <c r="BU124" s="288">
        <f>SUMIFS(領用表!$L:$L,領用表!$E:$E,$B124,領用表!$B:$B,$BR$2&amp;BU$2)</f>
        <v>0</v>
      </c>
      <c r="BV124" s="287">
        <f>SUMIFS(領用表!$L:$L,領用表!$E:$E,$B124,領用表!$B:$B,$BR$2&amp;BV$2)</f>
        <v>0</v>
      </c>
      <c r="BW124" s="208">
        <f>SUMIFS(領用表!$L:$L,領用表!$A:$A,BW$2,領用表!$E:$E,B124)</f>
        <v>0</v>
      </c>
      <c r="BX124" s="206">
        <f>SUMIFS(領用表!$L:$L,領用表!$E:$E,$B124,領用表!$B:$B,BW$2&amp;BX$2)</f>
        <v>0</v>
      </c>
      <c r="BY124" s="206">
        <f>SUMIFS(領用表!$L:$L,領用表!$E:$E,$B124,領用表!$B:$B,$BW$2&amp;BY$2)</f>
        <v>0</v>
      </c>
      <c r="BZ124" s="206">
        <f>SUMIFS(領用表!$L:$L,領用表!$E:$E,$B124,領用表!$B:$B,$BW$2&amp;BZ$2)</f>
        <v>0</v>
      </c>
      <c r="CA124" s="206">
        <f>SUMIFS(領用表!$L:$L,領用表!$E:$E,$B124,領用表!$B:$B,$BW$2&amp;CA$2)</f>
        <v>0</v>
      </c>
      <c r="CB124" s="208">
        <f>SUMIFS(領用表!$L:$L,領用表!$A:$A,CB$2,領用表!$E:$E,B124)</f>
        <v>0</v>
      </c>
      <c r="CC124" s="206">
        <f>SUMIFS(領用表!$L:$L,領用表!$E:$E,$B124,領用表!$B:$B,CB$2&amp;CC$2)</f>
        <v>0</v>
      </c>
      <c r="CD124" s="206">
        <f>SUMIFS(領用表!$L:$L,領用表!$E:$E,$B124,領用表!$B:$B,$CB$2&amp;CD$2)</f>
        <v>0</v>
      </c>
      <c r="CE124" s="206">
        <f>SUMIFS(領用表!$L:$L,領用表!$E:$E,$B124,領用表!$B:$B,$CB$2&amp;CE$2)</f>
        <v>0</v>
      </c>
      <c r="CF124" s="206">
        <f>SUMIFS(領用表!$L:$L,領用表!$E:$E,$B124,領用表!$B:$B,$CB$2&amp;CF$2)</f>
        <v>0</v>
      </c>
      <c r="CG124" s="208">
        <f>SUMIFS(領用表!$L:$L,領用表!$A:$A,CG$2,領用表!$E:$E,B124)</f>
        <v>0</v>
      </c>
      <c r="CH124" s="206">
        <f>SUMIFS(領用表!$L:$L,領用表!$E:$E,$B124,領用表!$B:$B,CG$2&amp;CH$2)</f>
        <v>0</v>
      </c>
      <c r="CI124" s="206">
        <f>SUMIFS(領用表!$L:$L,領用表!$E:$E,$B124,領用表!$B:$B,CG$2&amp;CI$2)</f>
        <v>0</v>
      </c>
      <c r="CJ124" s="206">
        <f>SUMIFS(領用表!$L:$L,領用表!$E:$E,$B124,領用表!$B:$B,CG$2&amp;CJ$2)</f>
        <v>0</v>
      </c>
      <c r="CK124" s="206">
        <f>SUMIFS(領用表!$L:$L,領用表!$E:$E,$B124,領用表!$B:$B,$CG$2&amp;CK$2)</f>
        <v>0</v>
      </c>
      <c r="CL124" s="207">
        <f t="shared" si="34"/>
        <v>9</v>
      </c>
      <c r="CM124" s="207">
        <f t="shared" si="35"/>
        <v>0.75</v>
      </c>
      <c r="CN124" s="208">
        <f>SUMIFS(領用表!$L:$L,領用表!$A:$A,CN$2,領用表!$E:$E,B124)</f>
        <v>0</v>
      </c>
      <c r="CO124" s="206">
        <f>SUMIFS(領用表!$L:$L,領用表!$E:$E,$B124,領用表!$B:$B,CN$2&amp;CO$2)</f>
        <v>0</v>
      </c>
      <c r="CP124" s="206">
        <f>SUMIFS(領用表!$L:$L,領用表!$E:$E,$B124,領用表!$B:$B,$CN$2&amp;CP$2)</f>
        <v>0</v>
      </c>
      <c r="CQ124" s="206">
        <f>SUMIFS(領用表!$L:$L,領用表!$E:$E,$B124,領用表!$B:$B,$CN$2&amp;CQ$2)</f>
        <v>0</v>
      </c>
      <c r="CR124" s="206">
        <f>SUMIFS(領用表!$L:$L,領用表!$E:$E,$B124,領用表!$B:$B,$CN$2&amp;CR$2)</f>
        <v>0</v>
      </c>
      <c r="CS124" s="208">
        <f>SUMIFS(領用表!$L:$L,領用表!$A:$A,CS$2,領用表!$E:$E,B124)</f>
        <v>0</v>
      </c>
      <c r="CT124" s="206">
        <f>SUMIFS(領用表!$L:$L,領用表!$E:$E,$B124,領用表!$B:$B,CS$2&amp;CT$2)</f>
        <v>0</v>
      </c>
      <c r="CU124" s="206">
        <f>SUMIFS(領用表!$L:$L,領用表!$E:$E,$B124,領用表!$B:$B,$CS$2&amp;CU$2)</f>
        <v>0</v>
      </c>
      <c r="CV124" s="206">
        <f>SUMIFS(領用表!$L:$L,領用表!$E:$E,$B124,領用表!$B:$B,$CS$2&amp;CV$2)</f>
        <v>0</v>
      </c>
      <c r="CW124" s="206">
        <f>SUMIFS(領用表!$L:$L,領用表!$E:$E,$B124,領用表!$B:$B,$CS$2&amp;CW$2)</f>
        <v>0</v>
      </c>
      <c r="CX124" s="206">
        <f>SUMIFS(領用表!$L:$L,領用表!$E:$E,$B124,領用表!$B:$B,$CS$2&amp;CX$2)</f>
        <v>0</v>
      </c>
      <c r="CY124" s="208">
        <f>SUMIFS(領用表!$L:$L,領用表!$A:$A,CY$2,領用表!$E:$E,B124)</f>
        <v>0</v>
      </c>
      <c r="CZ124" s="206">
        <f>SUMIFS(領用表!$L:$L,領用表!$E:$E,$B124,領用表!$B:$B,CY$2&amp;CZ$2)</f>
        <v>0</v>
      </c>
      <c r="DA124" s="206">
        <f>SUMIFS(領用表!$L:$L,領用表!$E:$E,$B124,領用表!$B:$B,$CY$2&amp;DA$2)</f>
        <v>0</v>
      </c>
      <c r="DB124" s="206">
        <f>SUMIFS(領用表!$L:$L,領用表!$E:$E,$B124,領用表!$B:$B,$CY$2&amp;DB$2)</f>
        <v>0</v>
      </c>
      <c r="DC124" s="206">
        <f>SUMIFS(領用表!$L:$L,領用表!$E:$E,$B124,領用表!$B:$B,$CY$2&amp;DC$2)</f>
        <v>0</v>
      </c>
      <c r="DD124" s="206">
        <f>SUMIFS(領用表!$L:$L,領用表!$E:$E,$B124,領用表!$B:$B,$CY$2&amp;DD$2)</f>
        <v>0</v>
      </c>
      <c r="DE124" s="208">
        <f>SUMIFS(領用表!$L:$L,領用表!$A:$A,DE$2,領用表!$E:$E,B124)</f>
        <v>0</v>
      </c>
      <c r="DF124" s="206">
        <f>SUMIFS(領用表!$L:$L,領用表!$E:$E,$B124,領用表!$B:$B,DE$2&amp;DF$2)</f>
        <v>0</v>
      </c>
      <c r="DG124" s="206">
        <f>SUMIFS(領用表!$L:$L,領用表!$E:$E,$B124,領用表!$B:$B,$DE$2&amp;DG$2)</f>
        <v>0</v>
      </c>
      <c r="DH124" s="206">
        <f>SUMIFS(領用表!$L:$L,領用表!$E:$E,$B124,領用表!$B:$B,$DE$2&amp;DH$2)</f>
        <v>0</v>
      </c>
      <c r="DI124" s="206">
        <f>SUMIFS(領用表!$L:$L,領用表!$E:$E,$B124,領用表!$B:$B,$DE$2&amp;DI$2)</f>
        <v>0</v>
      </c>
      <c r="DJ124" s="206">
        <f>SUMIFS(領用表!$L:$L,領用表!$E:$E,$B124,領用表!$B:$B,$DE$2&amp;DJ$2)</f>
        <v>0</v>
      </c>
      <c r="DK124" s="208">
        <f>SUMIFS(領用表!$L:$L,領用表!$A:$A,DK$2,領用表!$E:$E,$B124)</f>
        <v>0</v>
      </c>
      <c r="DL124" s="206">
        <f>SUMIFS(領用表!$L:$L,領用表!$E:$E,$B124,領用表!$B:$B,DK$2&amp;DL$2)</f>
        <v>0</v>
      </c>
      <c r="DM124" s="206">
        <f>SUMIFS(領用表!$L:$L,領用表!$E:$E,$B124,領用表!$B:$B,$DK$2&amp;DM$2)</f>
        <v>0</v>
      </c>
      <c r="DN124" s="206">
        <f>SUMIFS(領用表!$L:$L,領用表!$E:$E,$B124,領用表!$B:$B,$DK$2&amp;DN$2)</f>
        <v>0</v>
      </c>
      <c r="DO124" s="206">
        <f>SUMIFS(領用表!$L:$L,領用表!$E:$E,$B124,領用表!$B:$B,$DK$2&amp;DO$2)</f>
        <v>0</v>
      </c>
      <c r="DP124" s="206">
        <f>SUMIFS(領用表!$L:$L,領用表!$E:$E,$B124,領用表!$B:$B,$DK$2&amp;DP$2)</f>
        <v>0</v>
      </c>
      <c r="DQ124" s="206">
        <f t="shared" si="36"/>
        <v>0</v>
      </c>
      <c r="DR124" s="206">
        <f t="shared" si="37"/>
        <v>0</v>
      </c>
      <c r="DS124" s="206">
        <f t="shared" si="27"/>
        <v>0</v>
      </c>
      <c r="DT124" s="206">
        <v>0</v>
      </c>
      <c r="DU124" s="206">
        <v>0</v>
      </c>
      <c r="DV124" s="206">
        <v>0</v>
      </c>
      <c r="DW124" s="206">
        <v>0</v>
      </c>
      <c r="DX124" s="258"/>
      <c r="DY124" s="283"/>
      <c r="DZ124" s="283"/>
      <c r="EA124" s="283"/>
      <c r="EB124" s="136"/>
      <c r="EC124" s="136"/>
      <c r="ED124" s="118">
        <f>IFERROR(VLOOKUP(A124,站前4樓!A:BF,57,0),0)</f>
        <v>0</v>
      </c>
      <c r="EE124" s="213">
        <f>IFERROR(VLOOKUP(A124,站前11樓!A:BE,57,0),0)</f>
        <v>0</v>
      </c>
      <c r="EF124" s="118">
        <f>IFERROR(VLOOKUP(A124,忠孝7樓!A:N,57,0),0)</f>
        <v>0</v>
      </c>
      <c r="EG124" s="118">
        <f>IFERROR(VLOOKUP(A124,忠孝國際醫學3樓!A:L,57,0),0)</f>
        <v>0</v>
      </c>
      <c r="EH124" s="118">
        <f t="shared" si="25"/>
        <v>0</v>
      </c>
    </row>
    <row r="125" spans="1:138" s="118" customFormat="1" ht="15.75" customHeight="1" thickBot="1">
      <c r="A125" s="320" t="s">
        <v>764</v>
      </c>
      <c r="B125" s="118">
        <v>6120025</v>
      </c>
      <c r="C125" s="323" t="s">
        <v>761</v>
      </c>
      <c r="D125" s="285"/>
      <c r="E125" s="198" t="s">
        <v>15</v>
      </c>
      <c r="F125" s="225">
        <f>SUMIF(站前4樓!B:B,B125,站前4樓!F:F)</f>
        <v>32</v>
      </c>
      <c r="G125" s="225">
        <f>SUMIF(站前11樓!B:B,B125,站前11樓!F:F)</f>
        <v>0</v>
      </c>
      <c r="H125" s="225">
        <f>SUMIF(忠孝7樓!B:B,B125,忠孝7樓!G:G)</f>
        <v>53</v>
      </c>
      <c r="I125" s="225">
        <f>SUMIF(忠孝國際醫學3樓!B:B,B125,忠孝國際醫學3樓!G:G)</f>
        <v>0</v>
      </c>
      <c r="J125" s="225">
        <f>SUMIF(忠孝健康7樓!B:B,B125,忠孝健康7樓!G:G)</f>
        <v>40</v>
      </c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83"/>
      <c r="AB125" s="283"/>
      <c r="AC125" s="283"/>
      <c r="AD125" s="283"/>
      <c r="AE125" s="283"/>
      <c r="AF125" s="283"/>
      <c r="AG125" s="283"/>
      <c r="AH125" s="283"/>
      <c r="AI125" s="283"/>
      <c r="AJ125" s="201"/>
      <c r="AK125" s="201"/>
      <c r="AL125" s="201"/>
      <c r="AM125" s="201"/>
      <c r="AN125" s="201"/>
      <c r="AO125" s="201"/>
      <c r="AP125" s="201"/>
      <c r="AQ125" s="201"/>
      <c r="AR125" s="201"/>
      <c r="AS125" s="201"/>
      <c r="AT125" s="201"/>
      <c r="AU125" s="201"/>
      <c r="AV125" s="283">
        <f t="shared" si="32"/>
        <v>0</v>
      </c>
      <c r="AW125" s="286">
        <f t="shared" si="33"/>
        <v>0</v>
      </c>
      <c r="AX125" s="201">
        <v>0</v>
      </c>
      <c r="AY125" s="201">
        <v>0</v>
      </c>
      <c r="AZ125" s="201">
        <v>0</v>
      </c>
      <c r="BA125" s="201">
        <v>1</v>
      </c>
      <c r="BB125" s="201">
        <v>1</v>
      </c>
      <c r="BC125" s="203">
        <f>SUMIFS(領用表!$L:$L,領用表!$A:$A,BC$2,領用表!$E:$E,B125)</f>
        <v>0</v>
      </c>
      <c r="BD125" s="287">
        <f>SUMIFS(領用表!$L:$L,領用表!$E:$E,$B125,領用表!$B:$B,BC$2&amp;BD$2)</f>
        <v>0</v>
      </c>
      <c r="BE125" s="287">
        <f>SUMIFS(領用表!$L:$L,領用表!$E:$E,$B125,領用表!$B:$B,$BC$2&amp;BE$2)</f>
        <v>0</v>
      </c>
      <c r="BF125" s="287">
        <f>SUMIFS(領用表!$L:$L,領用表!$E:$E,$B125,領用表!$B:$B,$BC$2&amp;BF$2)</f>
        <v>0</v>
      </c>
      <c r="BG125" s="206">
        <f>SUMIFS(領用表!$L:$L,領用表!$E:$E,$B125,領用表!$B:$B,$BC$2&amp;BG$2)</f>
        <v>0</v>
      </c>
      <c r="BH125" s="203">
        <f>SUMIFS(領用表!$L:$L,領用表!$A:$A,BH$2,領用表!$E:$E,B125)</f>
        <v>0</v>
      </c>
      <c r="BI125" s="260">
        <f>SUMIFS(領用表!$L:$L,領用表!$E:$E,$B125,領用表!$B:$B,BH$2&amp;BI$2)</f>
        <v>0</v>
      </c>
      <c r="BJ125" s="260">
        <f>SUMIFS(領用表!$L:$L,領用表!$E:$E,$B125,領用表!$B:$B,$BH$2&amp;BJ$2)</f>
        <v>0</v>
      </c>
      <c r="BK125" s="260">
        <f>SUMIFS(領用表!$L:$L,領用表!$E:$E,$B125,領用表!$B:$B,$BH$2&amp;BK$2)</f>
        <v>0</v>
      </c>
      <c r="BL125" s="260">
        <f>SUMIFS(領用表!$L:$L,領用表!$E:$E,$B125,領用表!$B:$B,$BH$2&amp;BL$2)</f>
        <v>0</v>
      </c>
      <c r="BM125" s="203">
        <f>SUMIFS(領用表!$L:$L,領用表!$A:$A,BM$2,領用表!$E:$E,B125)</f>
        <v>0</v>
      </c>
      <c r="BN125" s="206">
        <f>SUMIFS(領用表!$L:$L,領用表!$E:$E,$B125,領用表!$B:$B,BM$2&amp;BN$2)</f>
        <v>0</v>
      </c>
      <c r="BO125" s="206">
        <f>SUMIFS(領用表!$L:$L,領用表!$E:$E,$B125,領用表!$B:$B,$BM$2&amp;BO$2)</f>
        <v>0</v>
      </c>
      <c r="BP125" s="288">
        <f>SUMIFS(領用表!$L:$L,領用表!$E:$E,$B125,領用表!$B:$B,$BM$2&amp;BP$2)</f>
        <v>0</v>
      </c>
      <c r="BQ125" s="287">
        <f>SUMIFS(領用表!$L:$L,領用表!$E:$E,$B125,領用表!$B:$B,$BM$2&amp;BQ$2)</f>
        <v>0</v>
      </c>
      <c r="BR125" s="203">
        <f>SUMIFS(領用表!$L:$L,領用表!$A:$A,BR$2,領用表!$E:$E,B125)</f>
        <v>0</v>
      </c>
      <c r="BS125" s="288">
        <f>SUMIFS(領用表!$L:$L,領用表!$E:$E,$B125,領用表!$B:$B,BR$2&amp;BS$2)</f>
        <v>0</v>
      </c>
      <c r="BT125" s="288">
        <f>SUMIFS(領用表!$L:$L,領用表!$E:$E,$B125,領用表!$B:$B,$BR$2&amp;BT$2)</f>
        <v>0</v>
      </c>
      <c r="BU125" s="288">
        <f>SUMIFS(領用表!$L:$L,領用表!$E:$E,$B125,領用表!$B:$B,$BR$2&amp;BU$2)</f>
        <v>0</v>
      </c>
      <c r="BV125" s="287">
        <f>SUMIFS(領用表!$L:$L,領用表!$E:$E,$B125,領用表!$B:$B,$BR$2&amp;BV$2)</f>
        <v>0</v>
      </c>
      <c r="BW125" s="208">
        <f>SUMIFS(領用表!$L:$L,領用表!$A:$A,BW$2,領用表!$E:$E,B125)</f>
        <v>0</v>
      </c>
      <c r="BX125" s="206">
        <f>SUMIFS(領用表!$L:$L,領用表!$E:$E,$B125,領用表!$B:$B,BW$2&amp;BX$2)</f>
        <v>0</v>
      </c>
      <c r="BY125" s="206">
        <f>SUMIFS(領用表!$L:$L,領用表!$E:$E,$B125,領用表!$B:$B,$BW$2&amp;BY$2)</f>
        <v>0</v>
      </c>
      <c r="BZ125" s="206">
        <f>SUMIFS(領用表!$L:$L,領用表!$E:$E,$B125,領用表!$B:$B,$BW$2&amp;BZ$2)</f>
        <v>0</v>
      </c>
      <c r="CA125" s="206">
        <f>SUMIFS(領用表!$L:$L,領用表!$E:$E,$B125,領用表!$B:$B,$BW$2&amp;CA$2)</f>
        <v>0</v>
      </c>
      <c r="CB125" s="208">
        <f>SUMIFS(領用表!$L:$L,領用表!$A:$A,CB$2,領用表!$E:$E,B125)</f>
        <v>0</v>
      </c>
      <c r="CC125" s="206">
        <f>SUMIFS(領用表!$L:$L,領用表!$E:$E,$B125,領用表!$B:$B,CB$2&amp;CC$2)</f>
        <v>0</v>
      </c>
      <c r="CD125" s="206">
        <f>SUMIFS(領用表!$L:$L,領用表!$E:$E,$B125,領用表!$B:$B,$CB$2&amp;CD$2)</f>
        <v>0</v>
      </c>
      <c r="CE125" s="206">
        <f>SUMIFS(領用表!$L:$L,領用表!$E:$E,$B125,領用表!$B:$B,$CB$2&amp;CE$2)</f>
        <v>0</v>
      </c>
      <c r="CF125" s="206">
        <f>SUMIFS(領用表!$L:$L,領用表!$E:$E,$B125,領用表!$B:$B,$CB$2&amp;CF$2)</f>
        <v>0</v>
      </c>
      <c r="CG125" s="208">
        <f>SUMIFS(領用表!$L:$L,領用表!$A:$A,CG$2,領用表!$E:$E,B125)</f>
        <v>0</v>
      </c>
      <c r="CH125" s="206">
        <f>SUMIFS(領用表!$L:$L,領用表!$E:$E,$B125,領用表!$B:$B,CG$2&amp;CH$2)</f>
        <v>0</v>
      </c>
      <c r="CI125" s="206">
        <f>SUMIFS(領用表!$L:$L,領用表!$E:$E,$B125,領用表!$B:$B,CG$2&amp;CI$2)</f>
        <v>0</v>
      </c>
      <c r="CJ125" s="206">
        <f>SUMIFS(領用表!$L:$L,領用表!$E:$E,$B125,領用表!$B:$B,CG$2&amp;CJ$2)</f>
        <v>0</v>
      </c>
      <c r="CK125" s="206">
        <f>SUMIFS(領用表!$L:$L,領用表!$E:$E,$B125,領用表!$B:$B,$CG$2&amp;CK$2)</f>
        <v>0</v>
      </c>
      <c r="CL125" s="207">
        <f t="shared" si="34"/>
        <v>2</v>
      </c>
      <c r="CM125" s="207">
        <f t="shared" si="35"/>
        <v>0.16666666666666666</v>
      </c>
      <c r="CN125" s="208">
        <f>SUMIFS(領用表!$L:$L,領用表!$A:$A,CN$2,領用表!$E:$E,B125)</f>
        <v>0</v>
      </c>
      <c r="CO125" s="206">
        <f>SUMIFS(領用表!$L:$L,領用表!$E:$E,$B125,領用表!$B:$B,CN$2&amp;CO$2)</f>
        <v>0</v>
      </c>
      <c r="CP125" s="206">
        <f>SUMIFS(領用表!$L:$L,領用表!$E:$E,$B125,領用表!$B:$B,$CN$2&amp;CP$2)</f>
        <v>0</v>
      </c>
      <c r="CQ125" s="206">
        <f>SUMIFS(領用表!$L:$L,領用表!$E:$E,$B125,領用表!$B:$B,$CN$2&amp;CQ$2)</f>
        <v>0</v>
      </c>
      <c r="CR125" s="206">
        <f>SUMIFS(領用表!$L:$L,領用表!$E:$E,$B125,領用表!$B:$B,$CN$2&amp;CR$2)</f>
        <v>0</v>
      </c>
      <c r="CS125" s="208">
        <f>SUMIFS(領用表!$L:$L,領用表!$A:$A,CS$2,領用表!$E:$E,B125)</f>
        <v>0</v>
      </c>
      <c r="CT125" s="206">
        <f>SUMIFS(領用表!$L:$L,領用表!$E:$E,$B125,領用表!$B:$B,CS$2&amp;CT$2)</f>
        <v>0</v>
      </c>
      <c r="CU125" s="206">
        <f>SUMIFS(領用表!$L:$L,領用表!$E:$E,$B125,領用表!$B:$B,$CS$2&amp;CU$2)</f>
        <v>0</v>
      </c>
      <c r="CV125" s="206">
        <f>SUMIFS(領用表!$L:$L,領用表!$E:$E,$B125,領用表!$B:$B,$CS$2&amp;CV$2)</f>
        <v>0</v>
      </c>
      <c r="CW125" s="206">
        <f>SUMIFS(領用表!$L:$L,領用表!$E:$E,$B125,領用表!$B:$B,$CS$2&amp;CW$2)</f>
        <v>0</v>
      </c>
      <c r="CX125" s="206">
        <f>SUMIFS(領用表!$L:$L,領用表!$E:$E,$B125,領用表!$B:$B,$CS$2&amp;CX$2)</f>
        <v>0</v>
      </c>
      <c r="CY125" s="208">
        <f>SUMIFS(領用表!$L:$L,領用表!$A:$A,CY$2,領用表!$E:$E,B125)</f>
        <v>0</v>
      </c>
      <c r="CZ125" s="206">
        <f>SUMIFS(領用表!$L:$L,領用表!$E:$E,$B125,領用表!$B:$B,CY$2&amp;CZ$2)</f>
        <v>0</v>
      </c>
      <c r="DA125" s="206">
        <f>SUMIFS(領用表!$L:$L,領用表!$E:$E,$B125,領用表!$B:$B,$CY$2&amp;DA$2)</f>
        <v>0</v>
      </c>
      <c r="DB125" s="206">
        <f>SUMIFS(領用表!$L:$L,領用表!$E:$E,$B125,領用表!$B:$B,$CY$2&amp;DB$2)</f>
        <v>0</v>
      </c>
      <c r="DC125" s="206">
        <f>SUMIFS(領用表!$L:$L,領用表!$E:$E,$B125,領用表!$B:$B,$CY$2&amp;DC$2)</f>
        <v>0</v>
      </c>
      <c r="DD125" s="206">
        <f>SUMIFS(領用表!$L:$L,領用表!$E:$E,$B125,領用表!$B:$B,$CY$2&amp;DD$2)</f>
        <v>0</v>
      </c>
      <c r="DE125" s="208">
        <f>SUMIFS(領用表!$L:$L,領用表!$A:$A,DE$2,領用表!$E:$E,B125)</f>
        <v>0</v>
      </c>
      <c r="DF125" s="206">
        <f>SUMIFS(領用表!$L:$L,領用表!$E:$E,$B125,領用表!$B:$B,DE$2&amp;DF$2)</f>
        <v>0</v>
      </c>
      <c r="DG125" s="206">
        <f>SUMIFS(領用表!$L:$L,領用表!$E:$E,$B125,領用表!$B:$B,$DE$2&amp;DG$2)</f>
        <v>0</v>
      </c>
      <c r="DH125" s="206">
        <f>SUMIFS(領用表!$L:$L,領用表!$E:$E,$B125,領用表!$B:$B,$DE$2&amp;DH$2)</f>
        <v>0</v>
      </c>
      <c r="DI125" s="206">
        <f>SUMIFS(領用表!$L:$L,領用表!$E:$E,$B125,領用表!$B:$B,$DE$2&amp;DI$2)</f>
        <v>0</v>
      </c>
      <c r="DJ125" s="206">
        <f>SUMIFS(領用表!$L:$L,領用表!$E:$E,$B125,領用表!$B:$B,$DE$2&amp;DJ$2)</f>
        <v>0</v>
      </c>
      <c r="DK125" s="208">
        <f>SUMIFS(領用表!$L:$L,領用表!$A:$A,DK$2,領用表!$E:$E,$B125)</f>
        <v>0</v>
      </c>
      <c r="DL125" s="206">
        <f>SUMIFS(領用表!$L:$L,領用表!$E:$E,$B125,領用表!$B:$B,DK$2&amp;DL$2)</f>
        <v>0</v>
      </c>
      <c r="DM125" s="206">
        <f>SUMIFS(領用表!$L:$L,領用表!$E:$E,$B125,領用表!$B:$B,$DK$2&amp;DM$2)</f>
        <v>0</v>
      </c>
      <c r="DN125" s="206">
        <f>SUMIFS(領用表!$L:$L,領用表!$E:$E,$B125,領用表!$B:$B,$DK$2&amp;DN$2)</f>
        <v>0</v>
      </c>
      <c r="DO125" s="206">
        <f>SUMIFS(領用表!$L:$L,領用表!$E:$E,$B125,領用表!$B:$B,$DK$2&amp;DO$2)</f>
        <v>0</v>
      </c>
      <c r="DP125" s="206">
        <f>SUMIFS(領用表!$L:$L,領用表!$E:$E,$B125,領用表!$B:$B,$DK$2&amp;DP$2)</f>
        <v>0</v>
      </c>
      <c r="DQ125" s="206">
        <f t="shared" si="36"/>
        <v>0</v>
      </c>
      <c r="DR125" s="206">
        <f t="shared" si="37"/>
        <v>0</v>
      </c>
      <c r="DS125" s="206">
        <f t="shared" si="27"/>
        <v>0</v>
      </c>
      <c r="DT125" s="206">
        <v>0</v>
      </c>
      <c r="DU125" s="206">
        <v>0</v>
      </c>
      <c r="DV125" s="206">
        <v>0</v>
      </c>
      <c r="DW125" s="206">
        <v>0</v>
      </c>
      <c r="DX125" s="258"/>
      <c r="DY125" s="283"/>
      <c r="DZ125" s="283"/>
      <c r="EA125" s="283"/>
      <c r="EB125" s="136"/>
      <c r="EC125" s="136"/>
      <c r="ED125" s="118">
        <f>IFERROR(VLOOKUP(A125,站前4樓!A:BF,57,0),0)</f>
        <v>0</v>
      </c>
      <c r="EE125" s="213">
        <f>IFERROR(VLOOKUP(A125,站前11樓!A:BE,57,0),0)</f>
        <v>0</v>
      </c>
      <c r="EF125" s="118">
        <f>IFERROR(VLOOKUP(A125,忠孝7樓!A:N,57,0),0)</f>
        <v>0</v>
      </c>
      <c r="EG125" s="118">
        <f>IFERROR(VLOOKUP(A125,忠孝國際醫學3樓!A:L,57,0),0)</f>
        <v>0</v>
      </c>
      <c r="EH125" s="118">
        <f t="shared" si="25"/>
        <v>0</v>
      </c>
    </row>
    <row r="126" spans="1:138" s="118" customFormat="1" ht="15.75" customHeight="1" thickBot="1">
      <c r="A126" s="324" t="s">
        <v>765</v>
      </c>
      <c r="B126" s="325">
        <v>6120026</v>
      </c>
      <c r="C126" s="136" t="s">
        <v>524</v>
      </c>
      <c r="D126" s="285"/>
      <c r="E126" s="198" t="s">
        <v>15</v>
      </c>
      <c r="F126" s="225">
        <f>SUMIF(站前4樓!B:B,B126,站前4樓!F:F)</f>
        <v>0</v>
      </c>
      <c r="G126" s="225">
        <f>SUMIF(站前11樓!B:B,B126,站前11樓!F:F)</f>
        <v>0</v>
      </c>
      <c r="H126" s="225">
        <f>SUMIF(忠孝7樓!B:B,B126,忠孝7樓!G:G)</f>
        <v>0</v>
      </c>
      <c r="I126" s="225">
        <f>SUMIF(忠孝國際醫學3樓!B:B,B126,忠孝國際醫學3樓!G:G)</f>
        <v>0</v>
      </c>
      <c r="J126" s="225">
        <f>SUMIF(忠孝健康7樓!B:B,B126,忠孝健康7樓!G:G)</f>
        <v>0</v>
      </c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83"/>
      <c r="AB126" s="283"/>
      <c r="AC126" s="283"/>
      <c r="AD126" s="283"/>
      <c r="AE126" s="283"/>
      <c r="AF126" s="283"/>
      <c r="AG126" s="283"/>
      <c r="AH126" s="283"/>
      <c r="AI126" s="283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83">
        <f t="shared" si="32"/>
        <v>0</v>
      </c>
      <c r="AW126" s="286">
        <f t="shared" si="33"/>
        <v>0</v>
      </c>
      <c r="AX126" s="201">
        <v>0</v>
      </c>
      <c r="AY126" s="201">
        <v>0</v>
      </c>
      <c r="AZ126" s="201">
        <v>0</v>
      </c>
      <c r="BA126" s="201">
        <v>0</v>
      </c>
      <c r="BB126" s="201">
        <v>0</v>
      </c>
      <c r="BC126" s="203">
        <f>SUMIFS(領用表!$L:$L,領用表!$A:$A,BC$2,領用表!$E:$E,B126)</f>
        <v>0</v>
      </c>
      <c r="BD126" s="287">
        <f>SUMIFS(領用表!$L:$L,領用表!$E:$E,$B126,領用表!$B:$B,BC$2&amp;BD$2)</f>
        <v>0</v>
      </c>
      <c r="BE126" s="287">
        <f>SUMIFS(領用表!$L:$L,領用表!$E:$E,$B126,領用表!$B:$B,$BC$2&amp;BE$2)</f>
        <v>0</v>
      </c>
      <c r="BF126" s="287">
        <f>SUMIFS(領用表!$L:$L,領用表!$E:$E,$B126,領用表!$B:$B,$BC$2&amp;BF$2)</f>
        <v>0</v>
      </c>
      <c r="BG126" s="206">
        <f>SUMIFS(領用表!$L:$L,領用表!$E:$E,$B126,領用表!$B:$B,$BC$2&amp;BG$2)</f>
        <v>0</v>
      </c>
      <c r="BH126" s="203">
        <f>SUMIFS(領用表!$L:$L,領用表!$A:$A,BH$2,領用表!$E:$E,B126)</f>
        <v>0</v>
      </c>
      <c r="BI126" s="260">
        <f>SUMIFS(領用表!$L:$L,領用表!$E:$E,$B126,領用表!$B:$B,BH$2&amp;BI$2)</f>
        <v>0</v>
      </c>
      <c r="BJ126" s="260">
        <f>SUMIFS(領用表!$L:$L,領用表!$E:$E,$B126,領用表!$B:$B,$BH$2&amp;BJ$2)</f>
        <v>0</v>
      </c>
      <c r="BK126" s="260">
        <f>SUMIFS(領用表!$L:$L,領用表!$E:$E,$B126,領用表!$B:$B,$BH$2&amp;BK$2)</f>
        <v>0</v>
      </c>
      <c r="BL126" s="260">
        <f>SUMIFS(領用表!$L:$L,領用表!$E:$E,$B126,領用表!$B:$B,$BH$2&amp;BL$2)</f>
        <v>0</v>
      </c>
      <c r="BM126" s="203">
        <f>SUMIFS(領用表!$L:$L,領用表!$A:$A,BM$2,領用表!$E:$E,B126)</f>
        <v>0</v>
      </c>
      <c r="BN126" s="206">
        <f>SUMIFS(領用表!$L:$L,領用表!$E:$E,$B126,領用表!$B:$B,BM$2&amp;BN$2)</f>
        <v>0</v>
      </c>
      <c r="BO126" s="206">
        <f>SUMIFS(領用表!$L:$L,領用表!$E:$E,$B126,領用表!$B:$B,$BM$2&amp;BO$2)</f>
        <v>0</v>
      </c>
      <c r="BP126" s="288">
        <f>SUMIFS(領用表!$L:$L,領用表!$E:$E,$B126,領用表!$B:$B,$BM$2&amp;BP$2)</f>
        <v>0</v>
      </c>
      <c r="BQ126" s="287">
        <f>SUMIFS(領用表!$L:$L,領用表!$E:$E,$B126,領用表!$B:$B,$BM$2&amp;BQ$2)</f>
        <v>0</v>
      </c>
      <c r="BR126" s="203">
        <f>SUMIFS(領用表!$L:$L,領用表!$A:$A,BR$2,領用表!$E:$E,B126)</f>
        <v>0</v>
      </c>
      <c r="BS126" s="288">
        <f>SUMIFS(領用表!$L:$L,領用表!$E:$E,$B126,領用表!$B:$B,BR$2&amp;BS$2)</f>
        <v>0</v>
      </c>
      <c r="BT126" s="288">
        <f>SUMIFS(領用表!$L:$L,領用表!$E:$E,$B126,領用表!$B:$B,$BR$2&amp;BT$2)</f>
        <v>0</v>
      </c>
      <c r="BU126" s="288">
        <f>SUMIFS(領用表!$L:$L,領用表!$E:$E,$B126,領用表!$B:$B,$BR$2&amp;BU$2)</f>
        <v>0</v>
      </c>
      <c r="BV126" s="287">
        <f>SUMIFS(領用表!$L:$L,領用表!$E:$E,$B126,領用表!$B:$B,$BR$2&amp;BV$2)</f>
        <v>0</v>
      </c>
      <c r="BW126" s="208">
        <f>SUMIFS(領用表!$L:$L,領用表!$A:$A,BW$2,領用表!$E:$E,B126)</f>
        <v>0</v>
      </c>
      <c r="BX126" s="206">
        <f>SUMIFS(領用表!$L:$L,領用表!$E:$E,$B126,領用表!$B:$B,BW$2&amp;BX$2)</f>
        <v>0</v>
      </c>
      <c r="BY126" s="206">
        <f>SUMIFS(領用表!$L:$L,領用表!$E:$E,$B126,領用表!$B:$B,$BW$2&amp;BY$2)</f>
        <v>0</v>
      </c>
      <c r="BZ126" s="206">
        <f>SUMIFS(領用表!$L:$L,領用表!$E:$E,$B126,領用表!$B:$B,$BW$2&amp;BZ$2)</f>
        <v>0</v>
      </c>
      <c r="CA126" s="206">
        <f>SUMIFS(領用表!$L:$L,領用表!$E:$E,$B126,領用表!$B:$B,$BW$2&amp;CA$2)</f>
        <v>0</v>
      </c>
      <c r="CB126" s="208">
        <f>SUMIFS(領用表!$L:$L,領用表!$A:$A,CB$2,領用表!$E:$E,B126)</f>
        <v>0</v>
      </c>
      <c r="CC126" s="206">
        <f>SUMIFS(領用表!$L:$L,領用表!$E:$E,$B126,領用表!$B:$B,CB$2&amp;CC$2)</f>
        <v>0</v>
      </c>
      <c r="CD126" s="206">
        <f>SUMIFS(領用表!$L:$L,領用表!$E:$E,$B126,領用表!$B:$B,$CB$2&amp;CD$2)</f>
        <v>0</v>
      </c>
      <c r="CE126" s="206">
        <f>SUMIFS(領用表!$L:$L,領用表!$E:$E,$B126,領用表!$B:$B,$CB$2&amp;CE$2)</f>
        <v>0</v>
      </c>
      <c r="CF126" s="206">
        <f>SUMIFS(領用表!$L:$L,領用表!$E:$E,$B126,領用表!$B:$B,$CB$2&amp;CF$2)</f>
        <v>0</v>
      </c>
      <c r="CG126" s="208">
        <f>SUMIFS(領用表!$L:$L,領用表!$A:$A,CG$2,領用表!$E:$E,B126)</f>
        <v>0</v>
      </c>
      <c r="CH126" s="206">
        <f>SUMIFS(領用表!$L:$L,領用表!$E:$E,$B126,領用表!$B:$B,CG$2&amp;CH$2)</f>
        <v>0</v>
      </c>
      <c r="CI126" s="206">
        <f>SUMIFS(領用表!$L:$L,領用表!$E:$E,$B126,領用表!$B:$B,CG$2&amp;CI$2)</f>
        <v>0</v>
      </c>
      <c r="CJ126" s="206">
        <f>SUMIFS(領用表!$L:$L,領用表!$E:$E,$B126,領用表!$B:$B,CG$2&amp;CJ$2)</f>
        <v>0</v>
      </c>
      <c r="CK126" s="206">
        <f>SUMIFS(領用表!$L:$L,領用表!$E:$E,$B126,領用表!$B:$B,$CG$2&amp;CK$2)</f>
        <v>0</v>
      </c>
      <c r="CL126" s="207">
        <f t="shared" si="34"/>
        <v>0</v>
      </c>
      <c r="CM126" s="207">
        <f t="shared" si="35"/>
        <v>0</v>
      </c>
      <c r="CN126" s="208">
        <f>SUMIFS(領用表!$L:$L,領用表!$A:$A,CN$2,領用表!$E:$E,B126)</f>
        <v>0</v>
      </c>
      <c r="CO126" s="206">
        <f>SUMIFS(領用表!$L:$L,領用表!$E:$E,$B126,領用表!$B:$B,CN$2&amp;CO$2)</f>
        <v>0</v>
      </c>
      <c r="CP126" s="206">
        <f>SUMIFS(領用表!$L:$L,領用表!$E:$E,$B126,領用表!$B:$B,$CN$2&amp;CP$2)</f>
        <v>0</v>
      </c>
      <c r="CQ126" s="206">
        <f>SUMIFS(領用表!$L:$L,領用表!$E:$E,$B126,領用表!$B:$B,$CN$2&amp;CQ$2)</f>
        <v>0</v>
      </c>
      <c r="CR126" s="206">
        <f>SUMIFS(領用表!$L:$L,領用表!$E:$E,$B126,領用表!$B:$B,$CN$2&amp;CR$2)</f>
        <v>0</v>
      </c>
      <c r="CS126" s="208">
        <f>SUMIFS(領用表!$L:$L,領用表!$A:$A,CS$2,領用表!$E:$E,B126)</f>
        <v>0</v>
      </c>
      <c r="CT126" s="206">
        <f>SUMIFS(領用表!$L:$L,領用表!$E:$E,$B126,領用表!$B:$B,CS$2&amp;CT$2)</f>
        <v>0</v>
      </c>
      <c r="CU126" s="206">
        <f>SUMIFS(領用表!$L:$L,領用表!$E:$E,$B126,領用表!$B:$B,$CS$2&amp;CU$2)</f>
        <v>0</v>
      </c>
      <c r="CV126" s="206">
        <f>SUMIFS(領用表!$L:$L,領用表!$E:$E,$B126,領用表!$B:$B,$CS$2&amp;CV$2)</f>
        <v>0</v>
      </c>
      <c r="CW126" s="206">
        <f>SUMIFS(領用表!$L:$L,領用表!$E:$E,$B126,領用表!$B:$B,$CS$2&amp;CW$2)</f>
        <v>0</v>
      </c>
      <c r="CX126" s="206">
        <f>SUMIFS(領用表!$L:$L,領用表!$E:$E,$B126,領用表!$B:$B,$CS$2&amp;CX$2)</f>
        <v>0</v>
      </c>
      <c r="CY126" s="208">
        <f>SUMIFS(領用表!$L:$L,領用表!$A:$A,CY$2,領用表!$E:$E,B126)</f>
        <v>0</v>
      </c>
      <c r="CZ126" s="206">
        <f>SUMIFS(領用表!$L:$L,領用表!$E:$E,$B126,領用表!$B:$B,CY$2&amp;CZ$2)</f>
        <v>0</v>
      </c>
      <c r="DA126" s="206">
        <f>SUMIFS(領用表!$L:$L,領用表!$E:$E,$B126,領用表!$B:$B,$CY$2&amp;DA$2)</f>
        <v>0</v>
      </c>
      <c r="DB126" s="206">
        <f>SUMIFS(領用表!$L:$L,領用表!$E:$E,$B126,領用表!$B:$B,$CY$2&amp;DB$2)</f>
        <v>0</v>
      </c>
      <c r="DC126" s="206">
        <f>SUMIFS(領用表!$L:$L,領用表!$E:$E,$B126,領用表!$B:$B,$CY$2&amp;DC$2)</f>
        <v>0</v>
      </c>
      <c r="DD126" s="206">
        <f>SUMIFS(領用表!$L:$L,領用表!$E:$E,$B126,領用表!$B:$B,$CY$2&amp;DD$2)</f>
        <v>0</v>
      </c>
      <c r="DE126" s="208">
        <f>SUMIFS(領用表!$L:$L,領用表!$A:$A,DE$2,領用表!$E:$E,B126)</f>
        <v>0</v>
      </c>
      <c r="DF126" s="206">
        <f>SUMIFS(領用表!$L:$L,領用表!$E:$E,$B126,領用表!$B:$B,DE$2&amp;DF$2)</f>
        <v>0</v>
      </c>
      <c r="DG126" s="206">
        <f>SUMIFS(領用表!$L:$L,領用表!$E:$E,$B126,領用表!$B:$B,$DE$2&amp;DG$2)</f>
        <v>0</v>
      </c>
      <c r="DH126" s="206">
        <f>SUMIFS(領用表!$L:$L,領用表!$E:$E,$B126,領用表!$B:$B,$DE$2&amp;DH$2)</f>
        <v>0</v>
      </c>
      <c r="DI126" s="206">
        <f>SUMIFS(領用表!$L:$L,領用表!$E:$E,$B126,領用表!$B:$B,$DE$2&amp;DI$2)</f>
        <v>0</v>
      </c>
      <c r="DJ126" s="206">
        <f>SUMIFS(領用表!$L:$L,領用表!$E:$E,$B126,領用表!$B:$B,$DE$2&amp;DJ$2)</f>
        <v>0</v>
      </c>
      <c r="DK126" s="208">
        <f>SUMIFS(領用表!$L:$L,領用表!$A:$A,DK$2,領用表!$E:$E,$B126)</f>
        <v>0</v>
      </c>
      <c r="DL126" s="206">
        <f>SUMIFS(領用表!$L:$L,領用表!$E:$E,$B126,領用表!$B:$B,DK$2&amp;DL$2)</f>
        <v>0</v>
      </c>
      <c r="DM126" s="206">
        <f>SUMIFS(領用表!$L:$L,領用表!$E:$E,$B126,領用表!$B:$B,$DK$2&amp;DM$2)</f>
        <v>0</v>
      </c>
      <c r="DN126" s="206">
        <f>SUMIFS(領用表!$L:$L,領用表!$E:$E,$B126,領用表!$B:$B,$DK$2&amp;DN$2)</f>
        <v>0</v>
      </c>
      <c r="DO126" s="206">
        <f>SUMIFS(領用表!$L:$L,領用表!$E:$E,$B126,領用表!$B:$B,$DK$2&amp;DO$2)</f>
        <v>0</v>
      </c>
      <c r="DP126" s="206">
        <f>SUMIFS(領用表!$L:$L,領用表!$E:$E,$B126,領用表!$B:$B,$DK$2&amp;DP$2)</f>
        <v>0</v>
      </c>
      <c r="DQ126" s="206">
        <f t="shared" si="36"/>
        <v>0</v>
      </c>
      <c r="DR126" s="206">
        <f t="shared" si="37"/>
        <v>0</v>
      </c>
      <c r="DS126" s="206">
        <f t="shared" si="27"/>
        <v>0</v>
      </c>
      <c r="DT126" s="206">
        <v>0</v>
      </c>
      <c r="DU126" s="206">
        <v>0</v>
      </c>
      <c r="DV126" s="206">
        <v>0</v>
      </c>
      <c r="DW126" s="206">
        <v>0</v>
      </c>
      <c r="DX126" s="258"/>
      <c r="DY126" s="283"/>
      <c r="DZ126" s="283"/>
      <c r="EA126" s="283"/>
      <c r="EB126" s="136"/>
      <c r="EC126" s="136"/>
      <c r="ED126" s="118">
        <f>IFERROR(VLOOKUP(A126,站前4樓!A:BF,57,0),0)</f>
        <v>0</v>
      </c>
      <c r="EE126" s="213">
        <f>IFERROR(VLOOKUP(A126,站前11樓!A:BE,57,0),0)</f>
        <v>0</v>
      </c>
      <c r="EF126" s="118">
        <f>IFERROR(VLOOKUP(A126,忠孝7樓!A:N,57,0),0)</f>
        <v>0</v>
      </c>
      <c r="EG126" s="118">
        <f>IFERROR(VLOOKUP(A126,忠孝國際醫學3樓!A:L,57,0),0)</f>
        <v>0</v>
      </c>
      <c r="EH126" s="118">
        <f t="shared" si="25"/>
        <v>0</v>
      </c>
    </row>
    <row r="127" spans="1:138" s="118" customFormat="1" ht="15.75" customHeight="1" thickBot="1">
      <c r="A127" s="324" t="s">
        <v>766</v>
      </c>
      <c r="B127" s="325">
        <v>6120028</v>
      </c>
      <c r="C127" s="136" t="s">
        <v>529</v>
      </c>
      <c r="D127" s="285"/>
      <c r="E127" s="198" t="s">
        <v>15</v>
      </c>
      <c r="F127" s="225">
        <f>SUMIF(站前4樓!B:B,B127,站前4樓!F:F)</f>
        <v>0</v>
      </c>
      <c r="G127" s="225">
        <f>SUMIF(站前11樓!B:B,B127,站前11樓!F:F)</f>
        <v>0</v>
      </c>
      <c r="H127" s="225">
        <f>SUMIF(忠孝7樓!B:B,B127,忠孝7樓!G:G)</f>
        <v>48</v>
      </c>
      <c r="I127" s="225">
        <f>SUMIF(忠孝國際醫學3樓!B:B,B127,忠孝國際醫學3樓!G:G)</f>
        <v>0</v>
      </c>
      <c r="J127" s="225">
        <f>SUMIF(忠孝健康7樓!B:B,B127,忠孝健康7樓!G:G)</f>
        <v>0</v>
      </c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83"/>
      <c r="AB127" s="283"/>
      <c r="AC127" s="283"/>
      <c r="AD127" s="283"/>
      <c r="AE127" s="283"/>
      <c r="AF127" s="283"/>
      <c r="AG127" s="283"/>
      <c r="AH127" s="283"/>
      <c r="AI127" s="283"/>
      <c r="AJ127" s="201"/>
      <c r="AK127" s="201"/>
      <c r="AL127" s="201"/>
      <c r="AM127" s="201"/>
      <c r="AN127" s="201"/>
      <c r="AO127" s="201"/>
      <c r="AP127" s="201"/>
      <c r="AQ127" s="201"/>
      <c r="AR127" s="201"/>
      <c r="AS127" s="201"/>
      <c r="AT127" s="201"/>
      <c r="AU127" s="201"/>
      <c r="AV127" s="283">
        <f t="shared" si="32"/>
        <v>0</v>
      </c>
      <c r="AW127" s="286">
        <f t="shared" si="33"/>
        <v>0</v>
      </c>
      <c r="AX127" s="201">
        <v>0</v>
      </c>
      <c r="AY127" s="201">
        <v>0</v>
      </c>
      <c r="AZ127" s="201">
        <v>15</v>
      </c>
      <c r="BA127" s="201">
        <v>0</v>
      </c>
      <c r="BB127" s="201">
        <f>0+2</f>
        <v>2</v>
      </c>
      <c r="BC127" s="203">
        <f>SUMIFS(領用表!$L:$L,領用表!$A:$A,BC$2,領用表!$E:$E,B127)</f>
        <v>0</v>
      </c>
      <c r="BD127" s="287">
        <f>SUMIFS(領用表!$L:$L,領用表!$E:$E,$B127,領用表!$B:$B,BC$2&amp;BD$2)</f>
        <v>0</v>
      </c>
      <c r="BE127" s="287">
        <f>SUMIFS(領用表!$L:$L,領用表!$E:$E,$B127,領用表!$B:$B,$BC$2&amp;BE$2)</f>
        <v>0</v>
      </c>
      <c r="BF127" s="287">
        <f>SUMIFS(領用表!$L:$L,領用表!$E:$E,$B127,領用表!$B:$B,$BC$2&amp;BF$2)</f>
        <v>0</v>
      </c>
      <c r="BG127" s="206">
        <f>SUMIFS(領用表!$L:$L,領用表!$E:$E,$B127,領用表!$B:$B,$BC$2&amp;BG$2)</f>
        <v>0</v>
      </c>
      <c r="BH127" s="203">
        <f>SUMIFS(領用表!$L:$L,領用表!$A:$A,BH$2,領用表!$E:$E,B127)</f>
        <v>0</v>
      </c>
      <c r="BI127" s="260">
        <f>SUMIFS(領用表!$L:$L,領用表!$E:$E,$B127,領用表!$B:$B,BH$2&amp;BI$2)</f>
        <v>0</v>
      </c>
      <c r="BJ127" s="260">
        <f>SUMIFS(領用表!$L:$L,領用表!$E:$E,$B127,領用表!$B:$B,$BH$2&amp;BJ$2)</f>
        <v>0</v>
      </c>
      <c r="BK127" s="260">
        <f>SUMIFS(領用表!$L:$L,領用表!$E:$E,$B127,領用表!$B:$B,$BH$2&amp;BK$2)</f>
        <v>0</v>
      </c>
      <c r="BL127" s="260">
        <f>SUMIFS(領用表!$L:$L,領用表!$E:$E,$B127,領用表!$B:$B,$BH$2&amp;BL$2)</f>
        <v>0</v>
      </c>
      <c r="BM127" s="203">
        <f>SUMIFS(領用表!$L:$L,領用表!$A:$A,BM$2,領用表!$E:$E,B127)</f>
        <v>0</v>
      </c>
      <c r="BN127" s="206">
        <f>SUMIFS(領用表!$L:$L,領用表!$E:$E,$B127,領用表!$B:$B,BM$2&amp;BN$2)</f>
        <v>0</v>
      </c>
      <c r="BO127" s="206">
        <f>SUMIFS(領用表!$L:$L,領用表!$E:$E,$B127,領用表!$B:$B,$BM$2&amp;BO$2)</f>
        <v>0</v>
      </c>
      <c r="BP127" s="288">
        <f>SUMIFS(領用表!$L:$L,領用表!$E:$E,$B127,領用表!$B:$B,$BM$2&amp;BP$2)</f>
        <v>0</v>
      </c>
      <c r="BQ127" s="287">
        <f>SUMIFS(領用表!$L:$L,領用表!$E:$E,$B127,領用表!$B:$B,$BM$2&amp;BQ$2)</f>
        <v>0</v>
      </c>
      <c r="BR127" s="203">
        <f>SUMIFS(領用表!$L:$L,領用表!$A:$A,BR$2,領用表!$E:$E,B127)</f>
        <v>0</v>
      </c>
      <c r="BS127" s="288">
        <f>SUMIFS(領用表!$L:$L,領用表!$E:$E,$B127,領用表!$B:$B,BR$2&amp;BS$2)</f>
        <v>0</v>
      </c>
      <c r="BT127" s="288">
        <f>SUMIFS(領用表!$L:$L,領用表!$E:$E,$B127,領用表!$B:$B,$BR$2&amp;BT$2)</f>
        <v>0</v>
      </c>
      <c r="BU127" s="288">
        <f>SUMIFS(領用表!$L:$L,領用表!$E:$E,$B127,領用表!$B:$B,$BR$2&amp;BU$2)</f>
        <v>0</v>
      </c>
      <c r="BV127" s="287">
        <f>SUMIFS(領用表!$L:$L,領用表!$E:$E,$B127,領用表!$B:$B,$BR$2&amp;BV$2)</f>
        <v>0</v>
      </c>
      <c r="BW127" s="208">
        <f>SUMIFS(領用表!$L:$L,領用表!$A:$A,BW$2,領用表!$E:$E,B127)</f>
        <v>0</v>
      </c>
      <c r="BX127" s="206">
        <f>SUMIFS(領用表!$L:$L,領用表!$E:$E,$B127,領用表!$B:$B,BW$2&amp;BX$2)</f>
        <v>0</v>
      </c>
      <c r="BY127" s="206">
        <f>SUMIFS(領用表!$L:$L,領用表!$E:$E,$B127,領用表!$B:$B,$BW$2&amp;BY$2)</f>
        <v>0</v>
      </c>
      <c r="BZ127" s="206">
        <f>SUMIFS(領用表!$L:$L,領用表!$E:$E,$B127,領用表!$B:$B,$BW$2&amp;BZ$2)</f>
        <v>0</v>
      </c>
      <c r="CA127" s="206">
        <f>SUMIFS(領用表!$L:$L,領用表!$E:$E,$B127,領用表!$B:$B,$BW$2&amp;CA$2)</f>
        <v>0</v>
      </c>
      <c r="CB127" s="208">
        <f>SUMIFS(領用表!$L:$L,領用表!$A:$A,CB$2,領用表!$E:$E,B127)</f>
        <v>0</v>
      </c>
      <c r="CC127" s="206">
        <f>SUMIFS(領用表!$L:$L,領用表!$E:$E,$B127,領用表!$B:$B,CB$2&amp;CC$2)</f>
        <v>0</v>
      </c>
      <c r="CD127" s="206">
        <f>SUMIFS(領用表!$L:$L,領用表!$E:$E,$B127,領用表!$B:$B,$CB$2&amp;CD$2)</f>
        <v>0</v>
      </c>
      <c r="CE127" s="206">
        <f>SUMIFS(領用表!$L:$L,領用表!$E:$E,$B127,領用表!$B:$B,$CB$2&amp;CE$2)</f>
        <v>0</v>
      </c>
      <c r="CF127" s="206">
        <f>SUMIFS(領用表!$L:$L,領用表!$E:$E,$B127,領用表!$B:$B,$CB$2&amp;CF$2)</f>
        <v>0</v>
      </c>
      <c r="CG127" s="208">
        <f>SUMIFS(領用表!$L:$L,領用表!$A:$A,CG$2,領用表!$E:$E,B127)</f>
        <v>0</v>
      </c>
      <c r="CH127" s="206">
        <f>SUMIFS(領用表!$L:$L,領用表!$E:$E,$B127,領用表!$B:$B,CG$2&amp;CH$2)</f>
        <v>0</v>
      </c>
      <c r="CI127" s="206">
        <f>SUMIFS(領用表!$L:$L,領用表!$E:$E,$B127,領用表!$B:$B,CG$2&amp;CI$2)</f>
        <v>0</v>
      </c>
      <c r="CJ127" s="206">
        <f>SUMIFS(領用表!$L:$L,領用表!$E:$E,$B127,領用表!$B:$B,CG$2&amp;CJ$2)</f>
        <v>0</v>
      </c>
      <c r="CK127" s="206">
        <f>SUMIFS(領用表!$L:$L,領用表!$E:$E,$B127,領用表!$B:$B,$CG$2&amp;CK$2)</f>
        <v>0</v>
      </c>
      <c r="CL127" s="207">
        <f t="shared" si="34"/>
        <v>17</v>
      </c>
      <c r="CM127" s="207">
        <f t="shared" si="35"/>
        <v>1.4166666666666667</v>
      </c>
      <c r="CN127" s="208">
        <f>SUMIFS(領用表!$L:$L,領用表!$A:$A,CN$2,領用表!$E:$E,B127)</f>
        <v>0</v>
      </c>
      <c r="CO127" s="206">
        <f>SUMIFS(領用表!$L:$L,領用表!$E:$E,$B127,領用表!$B:$B,CN$2&amp;CO$2)</f>
        <v>0</v>
      </c>
      <c r="CP127" s="206">
        <f>SUMIFS(領用表!$L:$L,領用表!$E:$E,$B127,領用表!$B:$B,$CN$2&amp;CP$2)</f>
        <v>0</v>
      </c>
      <c r="CQ127" s="206">
        <f>SUMIFS(領用表!$L:$L,領用表!$E:$E,$B127,領用表!$B:$B,$CN$2&amp;CQ$2)</f>
        <v>0</v>
      </c>
      <c r="CR127" s="206">
        <f>SUMIFS(領用表!$L:$L,領用表!$E:$E,$B127,領用表!$B:$B,$CN$2&amp;CR$2)</f>
        <v>0</v>
      </c>
      <c r="CS127" s="208">
        <f>SUMIFS(領用表!$L:$L,領用表!$A:$A,CS$2,領用表!$E:$E,B127)</f>
        <v>0</v>
      </c>
      <c r="CT127" s="206">
        <f>SUMIFS(領用表!$L:$L,領用表!$E:$E,$B127,領用表!$B:$B,CS$2&amp;CT$2)</f>
        <v>0</v>
      </c>
      <c r="CU127" s="206">
        <f>SUMIFS(領用表!$L:$L,領用表!$E:$E,$B127,領用表!$B:$B,$CS$2&amp;CU$2)</f>
        <v>0</v>
      </c>
      <c r="CV127" s="206">
        <f>SUMIFS(領用表!$L:$L,領用表!$E:$E,$B127,領用表!$B:$B,$CS$2&amp;CV$2)</f>
        <v>0</v>
      </c>
      <c r="CW127" s="206">
        <f>SUMIFS(領用表!$L:$L,領用表!$E:$E,$B127,領用表!$B:$B,$CS$2&amp;CW$2)</f>
        <v>0</v>
      </c>
      <c r="CX127" s="206">
        <f>SUMIFS(領用表!$L:$L,領用表!$E:$E,$B127,領用表!$B:$B,$CS$2&amp;CX$2)</f>
        <v>0</v>
      </c>
      <c r="CY127" s="208">
        <f>SUMIFS(領用表!$L:$L,領用表!$A:$A,CY$2,領用表!$E:$E,B127)</f>
        <v>0</v>
      </c>
      <c r="CZ127" s="206">
        <f>SUMIFS(領用表!$L:$L,領用表!$E:$E,$B127,領用表!$B:$B,CY$2&amp;CZ$2)</f>
        <v>0</v>
      </c>
      <c r="DA127" s="206">
        <f>SUMIFS(領用表!$L:$L,領用表!$E:$E,$B127,領用表!$B:$B,$CY$2&amp;DA$2)</f>
        <v>0</v>
      </c>
      <c r="DB127" s="206">
        <f>SUMIFS(領用表!$L:$L,領用表!$E:$E,$B127,領用表!$B:$B,$CY$2&amp;DB$2)</f>
        <v>0</v>
      </c>
      <c r="DC127" s="206">
        <f>SUMIFS(領用表!$L:$L,領用表!$E:$E,$B127,領用表!$B:$B,$CY$2&amp;DC$2)</f>
        <v>0</v>
      </c>
      <c r="DD127" s="206">
        <f>SUMIFS(領用表!$L:$L,領用表!$E:$E,$B127,領用表!$B:$B,$CY$2&amp;DD$2)</f>
        <v>0</v>
      </c>
      <c r="DE127" s="208">
        <f>SUMIFS(領用表!$L:$L,領用表!$A:$A,DE$2,領用表!$E:$E,B127)</f>
        <v>0</v>
      </c>
      <c r="DF127" s="206">
        <f>SUMIFS(領用表!$L:$L,領用表!$E:$E,$B127,領用表!$B:$B,DE$2&amp;DF$2)</f>
        <v>0</v>
      </c>
      <c r="DG127" s="206">
        <f>SUMIFS(領用表!$L:$L,領用表!$E:$E,$B127,領用表!$B:$B,$DE$2&amp;DG$2)</f>
        <v>0</v>
      </c>
      <c r="DH127" s="206">
        <f>SUMIFS(領用表!$L:$L,領用表!$E:$E,$B127,領用表!$B:$B,$DE$2&amp;DH$2)</f>
        <v>0</v>
      </c>
      <c r="DI127" s="206">
        <f>SUMIFS(領用表!$L:$L,領用表!$E:$E,$B127,領用表!$B:$B,$DE$2&amp;DI$2)</f>
        <v>0</v>
      </c>
      <c r="DJ127" s="206">
        <f>SUMIFS(領用表!$L:$L,領用表!$E:$E,$B127,領用表!$B:$B,$DE$2&amp;DJ$2)</f>
        <v>0</v>
      </c>
      <c r="DK127" s="208">
        <f>SUMIFS(領用表!$L:$L,領用表!$A:$A,DK$2,領用表!$E:$E,$B127)</f>
        <v>0</v>
      </c>
      <c r="DL127" s="206">
        <f>SUMIFS(領用表!$L:$L,領用表!$E:$E,$B127,領用表!$B:$B,DK$2&amp;DL$2)</f>
        <v>0</v>
      </c>
      <c r="DM127" s="206">
        <f>SUMIFS(領用表!$L:$L,領用表!$E:$E,$B127,領用表!$B:$B,$DK$2&amp;DM$2)</f>
        <v>0</v>
      </c>
      <c r="DN127" s="206">
        <f>SUMIFS(領用表!$L:$L,領用表!$E:$E,$B127,領用表!$B:$B,$DK$2&amp;DN$2)</f>
        <v>0</v>
      </c>
      <c r="DO127" s="206">
        <f>SUMIFS(領用表!$L:$L,領用表!$E:$E,$B127,領用表!$B:$B,$DK$2&amp;DO$2)</f>
        <v>0</v>
      </c>
      <c r="DP127" s="206">
        <f>SUMIFS(領用表!$L:$L,領用表!$E:$E,$B127,領用表!$B:$B,$DK$2&amp;DP$2)</f>
        <v>0</v>
      </c>
      <c r="DQ127" s="206">
        <f t="shared" si="36"/>
        <v>0</v>
      </c>
      <c r="DR127" s="206">
        <f t="shared" si="37"/>
        <v>0</v>
      </c>
      <c r="DS127" s="206">
        <f t="shared" si="27"/>
        <v>0</v>
      </c>
      <c r="DT127" s="206">
        <v>0</v>
      </c>
      <c r="DU127" s="206">
        <v>0</v>
      </c>
      <c r="DV127" s="206">
        <v>0</v>
      </c>
      <c r="DW127" s="206">
        <v>0</v>
      </c>
      <c r="DX127" s="258"/>
      <c r="DY127" s="283"/>
      <c r="DZ127" s="283"/>
      <c r="EA127" s="283"/>
      <c r="EB127" s="136"/>
      <c r="EC127" s="136"/>
      <c r="ED127" s="118">
        <f>IFERROR(VLOOKUP(A127,站前4樓!A:BF,57,0),0)</f>
        <v>0</v>
      </c>
      <c r="EE127" s="213">
        <f>IFERROR(VLOOKUP(A127,站前11樓!A:BE,57,0),0)</f>
        <v>0</v>
      </c>
      <c r="EF127" s="118">
        <f>IFERROR(VLOOKUP(A127,忠孝7樓!A:N,57,0),0)</f>
        <v>0</v>
      </c>
      <c r="EG127" s="118">
        <f>IFERROR(VLOOKUP(A127,忠孝國際醫學3樓!A:L,57,0),0)</f>
        <v>0</v>
      </c>
      <c r="EH127" s="118">
        <f t="shared" si="25"/>
        <v>0</v>
      </c>
    </row>
    <row r="128" spans="1:138" s="118" customFormat="1" ht="15.75" customHeight="1" thickBot="1">
      <c r="A128" s="324" t="s">
        <v>767</v>
      </c>
      <c r="B128" s="325">
        <v>6120029</v>
      </c>
      <c r="C128" s="136" t="s">
        <v>532</v>
      </c>
      <c r="D128" s="285"/>
      <c r="E128" s="198" t="s">
        <v>15</v>
      </c>
      <c r="F128" s="225">
        <f>SUMIF(站前4樓!B:B,B128,站前4樓!F:F)</f>
        <v>20</v>
      </c>
      <c r="G128" s="225">
        <f>SUMIF(站前11樓!B:B,B128,站前11樓!F:F)</f>
        <v>0</v>
      </c>
      <c r="H128" s="225">
        <f>SUMIF(忠孝7樓!B:B,B128,忠孝7樓!G:G)</f>
        <v>0</v>
      </c>
      <c r="I128" s="225">
        <f>SUMIF(忠孝國際醫學3樓!B:B,B128,忠孝國際醫學3樓!G:G)</f>
        <v>0</v>
      </c>
      <c r="J128" s="225">
        <f>SUMIF(忠孝健康7樓!B:B,B128,忠孝健康7樓!G:G)</f>
        <v>0</v>
      </c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83"/>
      <c r="AB128" s="283"/>
      <c r="AC128" s="283"/>
      <c r="AD128" s="283"/>
      <c r="AE128" s="283"/>
      <c r="AF128" s="283"/>
      <c r="AG128" s="283"/>
      <c r="AH128" s="283"/>
      <c r="AI128" s="283"/>
      <c r="AJ128" s="201"/>
      <c r="AK128" s="201"/>
      <c r="AL128" s="201"/>
      <c r="AM128" s="201"/>
      <c r="AN128" s="201"/>
      <c r="AO128" s="201"/>
      <c r="AP128" s="201"/>
      <c r="AQ128" s="201"/>
      <c r="AR128" s="201"/>
      <c r="AS128" s="201"/>
      <c r="AT128" s="201"/>
      <c r="AU128" s="201"/>
      <c r="AV128" s="283">
        <f t="shared" si="32"/>
        <v>0</v>
      </c>
      <c r="AW128" s="286">
        <f t="shared" si="33"/>
        <v>0</v>
      </c>
      <c r="AX128" s="201">
        <v>0</v>
      </c>
      <c r="AY128" s="201">
        <v>0</v>
      </c>
      <c r="AZ128" s="201">
        <v>8</v>
      </c>
      <c r="BA128" s="201">
        <v>0</v>
      </c>
      <c r="BB128" s="201">
        <v>3</v>
      </c>
      <c r="BC128" s="203">
        <f>SUMIFS(領用表!$L:$L,領用表!$A:$A,BC$2,領用表!$E:$E,B128)</f>
        <v>0</v>
      </c>
      <c r="BD128" s="287">
        <f>SUMIFS(領用表!$L:$L,領用表!$E:$E,$B128,領用表!$B:$B,BC$2&amp;BD$2)</f>
        <v>0</v>
      </c>
      <c r="BE128" s="287">
        <f>SUMIFS(領用表!$L:$L,領用表!$E:$E,$B128,領用表!$B:$B,$BC$2&amp;BE$2)</f>
        <v>0</v>
      </c>
      <c r="BF128" s="287">
        <f>SUMIFS(領用表!$L:$L,領用表!$E:$E,$B128,領用表!$B:$B,$BC$2&amp;BF$2)</f>
        <v>0</v>
      </c>
      <c r="BG128" s="206">
        <f>SUMIFS(領用表!$L:$L,領用表!$E:$E,$B128,領用表!$B:$B,$BC$2&amp;BG$2)</f>
        <v>0</v>
      </c>
      <c r="BH128" s="203">
        <f>SUMIFS(領用表!$L:$L,領用表!$A:$A,BH$2,領用表!$E:$E,B128)</f>
        <v>0</v>
      </c>
      <c r="BI128" s="260">
        <f>SUMIFS(領用表!$L:$L,領用表!$E:$E,$B128,領用表!$B:$B,BH$2&amp;BI$2)</f>
        <v>0</v>
      </c>
      <c r="BJ128" s="260">
        <f>SUMIFS(領用表!$L:$L,領用表!$E:$E,$B128,領用表!$B:$B,$BH$2&amp;BJ$2)</f>
        <v>0</v>
      </c>
      <c r="BK128" s="260">
        <f>SUMIFS(領用表!$L:$L,領用表!$E:$E,$B128,領用表!$B:$B,$BH$2&amp;BK$2)</f>
        <v>0</v>
      </c>
      <c r="BL128" s="260">
        <f>SUMIFS(領用表!$L:$L,領用表!$E:$E,$B128,領用表!$B:$B,$BH$2&amp;BL$2)</f>
        <v>0</v>
      </c>
      <c r="BM128" s="203">
        <f>SUMIFS(領用表!$L:$L,領用表!$A:$A,BM$2,領用表!$E:$E,B128)</f>
        <v>0</v>
      </c>
      <c r="BN128" s="206">
        <f>SUMIFS(領用表!$L:$L,領用表!$E:$E,$B128,領用表!$B:$B,BM$2&amp;BN$2)</f>
        <v>0</v>
      </c>
      <c r="BO128" s="206">
        <f>SUMIFS(領用表!$L:$L,領用表!$E:$E,$B128,領用表!$B:$B,$BM$2&amp;BO$2)</f>
        <v>0</v>
      </c>
      <c r="BP128" s="288">
        <f>SUMIFS(領用表!$L:$L,領用表!$E:$E,$B128,領用表!$B:$B,$BM$2&amp;BP$2)</f>
        <v>0</v>
      </c>
      <c r="BQ128" s="287">
        <f>SUMIFS(領用表!$L:$L,領用表!$E:$E,$B128,領用表!$B:$B,$BM$2&amp;BQ$2)</f>
        <v>0</v>
      </c>
      <c r="BR128" s="203">
        <f>SUMIFS(領用表!$L:$L,領用表!$A:$A,BR$2,領用表!$E:$E,B128)</f>
        <v>0</v>
      </c>
      <c r="BS128" s="288">
        <f>SUMIFS(領用表!$L:$L,領用表!$E:$E,$B128,領用表!$B:$B,BR$2&amp;BS$2)</f>
        <v>0</v>
      </c>
      <c r="BT128" s="288">
        <f>SUMIFS(領用表!$L:$L,領用表!$E:$E,$B128,領用表!$B:$B,$BR$2&amp;BT$2)</f>
        <v>0</v>
      </c>
      <c r="BU128" s="288">
        <f>SUMIFS(領用表!$L:$L,領用表!$E:$E,$B128,領用表!$B:$B,$BR$2&amp;BU$2)</f>
        <v>0</v>
      </c>
      <c r="BV128" s="287">
        <f>SUMIFS(領用表!$L:$L,領用表!$E:$E,$B128,領用表!$B:$B,$BR$2&amp;BV$2)</f>
        <v>0</v>
      </c>
      <c r="BW128" s="208">
        <f>SUMIFS(領用表!$L:$L,領用表!$A:$A,BW$2,領用表!$E:$E,B128)</f>
        <v>0</v>
      </c>
      <c r="BX128" s="206">
        <f>SUMIFS(領用表!$L:$L,領用表!$E:$E,$B128,領用表!$B:$B,BW$2&amp;BX$2)</f>
        <v>0</v>
      </c>
      <c r="BY128" s="206">
        <f>SUMIFS(領用表!$L:$L,領用表!$E:$E,$B128,領用表!$B:$B,$BW$2&amp;BY$2)</f>
        <v>0</v>
      </c>
      <c r="BZ128" s="206">
        <f>SUMIFS(領用表!$L:$L,領用表!$E:$E,$B128,領用表!$B:$B,$BW$2&amp;BZ$2)</f>
        <v>0</v>
      </c>
      <c r="CA128" s="206">
        <f>SUMIFS(領用表!$L:$L,領用表!$E:$E,$B128,領用表!$B:$B,$BW$2&amp;CA$2)</f>
        <v>0</v>
      </c>
      <c r="CB128" s="208">
        <f>SUMIFS(領用表!$L:$L,領用表!$A:$A,CB$2,領用表!$E:$E,B128)</f>
        <v>0</v>
      </c>
      <c r="CC128" s="206">
        <f>SUMIFS(領用表!$L:$L,領用表!$E:$E,$B128,領用表!$B:$B,CB$2&amp;CC$2)</f>
        <v>0</v>
      </c>
      <c r="CD128" s="206">
        <f>SUMIFS(領用表!$L:$L,領用表!$E:$E,$B128,領用表!$B:$B,$CB$2&amp;CD$2)</f>
        <v>0</v>
      </c>
      <c r="CE128" s="206">
        <f>SUMIFS(領用表!$L:$L,領用表!$E:$E,$B128,領用表!$B:$B,$CB$2&amp;CE$2)</f>
        <v>0</v>
      </c>
      <c r="CF128" s="206">
        <f>SUMIFS(領用表!$L:$L,領用表!$E:$E,$B128,領用表!$B:$B,$CB$2&amp;CF$2)</f>
        <v>0</v>
      </c>
      <c r="CG128" s="208">
        <f>SUMIFS(領用表!$L:$L,領用表!$A:$A,CG$2,領用表!$E:$E,B128)</f>
        <v>0</v>
      </c>
      <c r="CH128" s="206">
        <f>SUMIFS(領用表!$L:$L,領用表!$E:$E,$B128,領用表!$B:$B,CG$2&amp;CH$2)</f>
        <v>0</v>
      </c>
      <c r="CI128" s="206">
        <f>SUMIFS(領用表!$L:$L,領用表!$E:$E,$B128,領用表!$B:$B,CG$2&amp;CI$2)</f>
        <v>0</v>
      </c>
      <c r="CJ128" s="206">
        <f>SUMIFS(領用表!$L:$L,領用表!$E:$E,$B128,領用表!$B:$B,CG$2&amp;CJ$2)</f>
        <v>0</v>
      </c>
      <c r="CK128" s="206">
        <f>SUMIFS(領用表!$L:$L,領用表!$E:$E,$B128,領用表!$B:$B,$CG$2&amp;CK$2)</f>
        <v>0</v>
      </c>
      <c r="CL128" s="207">
        <f t="shared" si="34"/>
        <v>11</v>
      </c>
      <c r="CM128" s="207">
        <f t="shared" si="35"/>
        <v>0.91666666666666663</v>
      </c>
      <c r="CN128" s="208">
        <f>SUMIFS(領用表!$L:$L,領用表!$A:$A,CN$2,領用表!$E:$E,B128)</f>
        <v>0</v>
      </c>
      <c r="CO128" s="206">
        <f>SUMIFS(領用表!$L:$L,領用表!$E:$E,$B128,領用表!$B:$B,CN$2&amp;CO$2)</f>
        <v>0</v>
      </c>
      <c r="CP128" s="206">
        <f>SUMIFS(領用表!$L:$L,領用表!$E:$E,$B128,領用表!$B:$B,$CN$2&amp;CP$2)</f>
        <v>0</v>
      </c>
      <c r="CQ128" s="206">
        <f>SUMIFS(領用表!$L:$L,領用表!$E:$E,$B128,領用表!$B:$B,$CN$2&amp;CQ$2)</f>
        <v>0</v>
      </c>
      <c r="CR128" s="206">
        <f>SUMIFS(領用表!$L:$L,領用表!$E:$E,$B128,領用表!$B:$B,$CN$2&amp;CR$2)</f>
        <v>0</v>
      </c>
      <c r="CS128" s="208">
        <f>SUMIFS(領用表!$L:$L,領用表!$A:$A,CS$2,領用表!$E:$E,B128)</f>
        <v>0</v>
      </c>
      <c r="CT128" s="206">
        <f>SUMIFS(領用表!$L:$L,領用表!$E:$E,$B128,領用表!$B:$B,CS$2&amp;CT$2)</f>
        <v>0</v>
      </c>
      <c r="CU128" s="206">
        <f>SUMIFS(領用表!$L:$L,領用表!$E:$E,$B128,領用表!$B:$B,$CS$2&amp;CU$2)</f>
        <v>0</v>
      </c>
      <c r="CV128" s="206">
        <f>SUMIFS(領用表!$L:$L,領用表!$E:$E,$B128,領用表!$B:$B,$CS$2&amp;CV$2)</f>
        <v>0</v>
      </c>
      <c r="CW128" s="206">
        <f>SUMIFS(領用表!$L:$L,領用表!$E:$E,$B128,領用表!$B:$B,$CS$2&amp;CW$2)</f>
        <v>0</v>
      </c>
      <c r="CX128" s="206">
        <f>SUMIFS(領用表!$L:$L,領用表!$E:$E,$B128,領用表!$B:$B,$CS$2&amp;CX$2)</f>
        <v>0</v>
      </c>
      <c r="CY128" s="208">
        <f>SUMIFS(領用表!$L:$L,領用表!$A:$A,CY$2,領用表!$E:$E,B128)</f>
        <v>0</v>
      </c>
      <c r="CZ128" s="206">
        <f>SUMIFS(領用表!$L:$L,領用表!$E:$E,$B128,領用表!$B:$B,CY$2&amp;CZ$2)</f>
        <v>0</v>
      </c>
      <c r="DA128" s="206">
        <f>SUMIFS(領用表!$L:$L,領用表!$E:$E,$B128,領用表!$B:$B,$CY$2&amp;DA$2)</f>
        <v>0</v>
      </c>
      <c r="DB128" s="206">
        <f>SUMIFS(領用表!$L:$L,領用表!$E:$E,$B128,領用表!$B:$B,$CY$2&amp;DB$2)</f>
        <v>0</v>
      </c>
      <c r="DC128" s="206">
        <f>SUMIFS(領用表!$L:$L,領用表!$E:$E,$B128,領用表!$B:$B,$CY$2&amp;DC$2)</f>
        <v>0</v>
      </c>
      <c r="DD128" s="206">
        <f>SUMIFS(領用表!$L:$L,領用表!$E:$E,$B128,領用表!$B:$B,$CY$2&amp;DD$2)</f>
        <v>0</v>
      </c>
      <c r="DE128" s="208">
        <f>SUMIFS(領用表!$L:$L,領用表!$A:$A,DE$2,領用表!$E:$E,B128)</f>
        <v>0</v>
      </c>
      <c r="DF128" s="206">
        <f>SUMIFS(領用表!$L:$L,領用表!$E:$E,$B128,領用表!$B:$B,DE$2&amp;DF$2)</f>
        <v>0</v>
      </c>
      <c r="DG128" s="206">
        <f>SUMIFS(領用表!$L:$L,領用表!$E:$E,$B128,領用表!$B:$B,$DE$2&amp;DG$2)</f>
        <v>0</v>
      </c>
      <c r="DH128" s="206">
        <f>SUMIFS(領用表!$L:$L,領用表!$E:$E,$B128,領用表!$B:$B,$DE$2&amp;DH$2)</f>
        <v>0</v>
      </c>
      <c r="DI128" s="206">
        <f>SUMIFS(領用表!$L:$L,領用表!$E:$E,$B128,領用表!$B:$B,$DE$2&amp;DI$2)</f>
        <v>0</v>
      </c>
      <c r="DJ128" s="206">
        <f>SUMIFS(領用表!$L:$L,領用表!$E:$E,$B128,領用表!$B:$B,$DE$2&amp;DJ$2)</f>
        <v>0</v>
      </c>
      <c r="DK128" s="208">
        <f>SUMIFS(領用表!$L:$L,領用表!$A:$A,DK$2,領用表!$E:$E,$B128)</f>
        <v>0</v>
      </c>
      <c r="DL128" s="206">
        <f>SUMIFS(領用表!$L:$L,領用表!$E:$E,$B128,領用表!$B:$B,DK$2&amp;DL$2)</f>
        <v>0</v>
      </c>
      <c r="DM128" s="206">
        <f>SUMIFS(領用表!$L:$L,領用表!$E:$E,$B128,領用表!$B:$B,$DK$2&amp;DM$2)</f>
        <v>0</v>
      </c>
      <c r="DN128" s="206">
        <f>SUMIFS(領用表!$L:$L,領用表!$E:$E,$B128,領用表!$B:$B,$DK$2&amp;DN$2)</f>
        <v>0</v>
      </c>
      <c r="DO128" s="206">
        <f>SUMIFS(領用表!$L:$L,領用表!$E:$E,$B128,領用表!$B:$B,$DK$2&amp;DO$2)</f>
        <v>0</v>
      </c>
      <c r="DP128" s="206">
        <f>SUMIFS(領用表!$L:$L,領用表!$E:$E,$B128,領用表!$B:$B,$DK$2&amp;DP$2)</f>
        <v>0</v>
      </c>
      <c r="DQ128" s="206">
        <f t="shared" si="36"/>
        <v>0</v>
      </c>
      <c r="DR128" s="206">
        <f t="shared" si="37"/>
        <v>0</v>
      </c>
      <c r="DS128" s="206">
        <f t="shared" si="27"/>
        <v>0</v>
      </c>
      <c r="DT128" s="206">
        <v>0</v>
      </c>
      <c r="DU128" s="206">
        <v>0</v>
      </c>
      <c r="DV128" s="206">
        <v>0</v>
      </c>
      <c r="DW128" s="206">
        <v>0</v>
      </c>
      <c r="DX128" s="258"/>
      <c r="DY128" s="283"/>
      <c r="DZ128" s="283"/>
      <c r="EA128" s="283" t="s">
        <v>167</v>
      </c>
      <c r="EB128" s="136"/>
      <c r="EC128" s="136"/>
      <c r="ED128" s="118">
        <f>IFERROR(VLOOKUP(A128,站前4樓!A:BF,57,0),0)</f>
        <v>0</v>
      </c>
      <c r="EE128" s="213">
        <f>IFERROR(VLOOKUP(A128,站前11樓!A:BE,57,0),0)</f>
        <v>0</v>
      </c>
      <c r="EF128" s="118">
        <f>IFERROR(VLOOKUP(A128,忠孝7樓!A:N,57,0),0)</f>
        <v>0</v>
      </c>
      <c r="EG128" s="118">
        <f>IFERROR(VLOOKUP(A128,忠孝國際醫學3樓!A:L,57,0),0)</f>
        <v>0</v>
      </c>
      <c r="EH128" s="118">
        <f t="shared" si="25"/>
        <v>0</v>
      </c>
    </row>
    <row r="129" spans="1:138" s="118" customFormat="1" ht="15.75" customHeight="1" thickBot="1">
      <c r="A129" s="326" t="s">
        <v>768</v>
      </c>
      <c r="B129" s="327">
        <v>6120031</v>
      </c>
      <c r="C129" s="136" t="s">
        <v>534</v>
      </c>
      <c r="D129" s="285"/>
      <c r="E129" s="198" t="s">
        <v>15</v>
      </c>
      <c r="F129" s="225">
        <f>SUMIF(站前4樓!B:B,B129,站前4樓!F:F)</f>
        <v>2</v>
      </c>
      <c r="G129" s="225">
        <f>SUMIF(站前11樓!B:B,B129,站前11樓!F:F)</f>
        <v>0</v>
      </c>
      <c r="H129" s="225">
        <f>SUMIF(忠孝7樓!B:B,B129,忠孝7樓!G:G)</f>
        <v>0</v>
      </c>
      <c r="I129" s="225">
        <f>SUMIF(忠孝國際醫學3樓!B:B,B129,忠孝國際醫學3樓!G:G)</f>
        <v>0</v>
      </c>
      <c r="J129" s="225">
        <f>SUMIF(忠孝健康7樓!B:B,B129,忠孝健康7樓!G:G)</f>
        <v>0</v>
      </c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  <c r="AA129" s="283"/>
      <c r="AB129" s="283"/>
      <c r="AC129" s="283"/>
      <c r="AD129" s="283"/>
      <c r="AE129" s="283"/>
      <c r="AF129" s="283"/>
      <c r="AG129" s="283"/>
      <c r="AH129" s="283"/>
      <c r="AI129" s="283"/>
      <c r="AJ129" s="201"/>
      <c r="AK129" s="201"/>
      <c r="AL129" s="201"/>
      <c r="AM129" s="201"/>
      <c r="AN129" s="201"/>
      <c r="AO129" s="201"/>
      <c r="AP129" s="201"/>
      <c r="AQ129" s="201"/>
      <c r="AR129" s="201"/>
      <c r="AS129" s="201"/>
      <c r="AT129" s="201"/>
      <c r="AU129" s="201"/>
      <c r="AV129" s="283">
        <f t="shared" si="32"/>
        <v>0</v>
      </c>
      <c r="AW129" s="286">
        <f t="shared" si="33"/>
        <v>0</v>
      </c>
      <c r="AX129" s="201">
        <v>0</v>
      </c>
      <c r="AY129" s="201">
        <v>0</v>
      </c>
      <c r="AZ129" s="201">
        <v>11</v>
      </c>
      <c r="BA129" s="201">
        <v>6</v>
      </c>
      <c r="BB129" s="201">
        <v>0</v>
      </c>
      <c r="BC129" s="203">
        <f>SUMIFS(領用表!$L:$L,領用表!$A:$A,BC$2,領用表!$E:$E,B129)</f>
        <v>0</v>
      </c>
      <c r="BD129" s="287">
        <f>SUMIFS(領用表!$L:$L,領用表!$E:$E,$B129,領用表!$B:$B,BC$2&amp;BD$2)</f>
        <v>0</v>
      </c>
      <c r="BE129" s="287">
        <f>SUMIFS(領用表!$L:$L,領用表!$E:$E,$B129,領用表!$B:$B,$BC$2&amp;BE$2)</f>
        <v>0</v>
      </c>
      <c r="BF129" s="287">
        <f>SUMIFS(領用表!$L:$L,領用表!$E:$E,$B129,領用表!$B:$B,$BC$2&amp;BF$2)</f>
        <v>0</v>
      </c>
      <c r="BG129" s="206">
        <f>SUMIFS(領用表!$L:$L,領用表!$E:$E,$B129,領用表!$B:$B,$BC$2&amp;BG$2)</f>
        <v>0</v>
      </c>
      <c r="BH129" s="203">
        <f>SUMIFS(領用表!$L:$L,領用表!$A:$A,BH$2,領用表!$E:$E,B129)</f>
        <v>0</v>
      </c>
      <c r="BI129" s="260">
        <f>SUMIFS(領用表!$L:$L,領用表!$E:$E,$B129,領用表!$B:$B,BH$2&amp;BI$2)</f>
        <v>0</v>
      </c>
      <c r="BJ129" s="260">
        <f>SUMIFS(領用表!$L:$L,領用表!$E:$E,$B129,領用表!$B:$B,$BH$2&amp;BJ$2)</f>
        <v>0</v>
      </c>
      <c r="BK129" s="260">
        <f>SUMIFS(領用表!$L:$L,領用表!$E:$E,$B129,領用表!$B:$B,$BH$2&amp;BK$2)</f>
        <v>0</v>
      </c>
      <c r="BL129" s="260">
        <f>SUMIFS(領用表!$L:$L,領用表!$E:$E,$B129,領用表!$B:$B,$BH$2&amp;BL$2)</f>
        <v>0</v>
      </c>
      <c r="BM129" s="203">
        <f>SUMIFS(領用表!$L:$L,領用表!$A:$A,BM$2,領用表!$E:$E,B129)</f>
        <v>0</v>
      </c>
      <c r="BN129" s="206">
        <f>SUMIFS(領用表!$L:$L,領用表!$E:$E,$B129,領用表!$B:$B,BM$2&amp;BN$2)</f>
        <v>0</v>
      </c>
      <c r="BO129" s="206">
        <f>SUMIFS(領用表!$L:$L,領用表!$E:$E,$B129,領用表!$B:$B,$BM$2&amp;BO$2)</f>
        <v>0</v>
      </c>
      <c r="BP129" s="288">
        <f>SUMIFS(領用表!$L:$L,領用表!$E:$E,$B129,領用表!$B:$B,$BM$2&amp;BP$2)</f>
        <v>0</v>
      </c>
      <c r="BQ129" s="287">
        <f>SUMIFS(領用表!$L:$L,領用表!$E:$E,$B129,領用表!$B:$B,$BM$2&amp;BQ$2)</f>
        <v>0</v>
      </c>
      <c r="BR129" s="203">
        <f>SUMIFS(領用表!$L:$L,領用表!$A:$A,BR$2,領用表!$E:$E,B129)</f>
        <v>0</v>
      </c>
      <c r="BS129" s="288">
        <f>SUMIFS(領用表!$L:$L,領用表!$E:$E,$B129,領用表!$B:$B,BR$2&amp;BS$2)</f>
        <v>0</v>
      </c>
      <c r="BT129" s="288">
        <f>SUMIFS(領用表!$L:$L,領用表!$E:$E,$B129,領用表!$B:$B,$BR$2&amp;BT$2)</f>
        <v>0</v>
      </c>
      <c r="BU129" s="288">
        <f>SUMIFS(領用表!$L:$L,領用表!$E:$E,$B129,領用表!$B:$B,$BR$2&amp;BU$2)</f>
        <v>0</v>
      </c>
      <c r="BV129" s="287">
        <f>SUMIFS(領用表!$L:$L,領用表!$E:$E,$B129,領用表!$B:$B,$BR$2&amp;BV$2)</f>
        <v>0</v>
      </c>
      <c r="BW129" s="208">
        <f>SUMIFS(領用表!$L:$L,領用表!$A:$A,BW$2,領用表!$E:$E,B129)</f>
        <v>0</v>
      </c>
      <c r="BX129" s="206">
        <f>SUMIFS(領用表!$L:$L,領用表!$E:$E,$B129,領用表!$B:$B,BW$2&amp;BX$2)</f>
        <v>0</v>
      </c>
      <c r="BY129" s="206">
        <f>SUMIFS(領用表!$L:$L,領用表!$E:$E,$B129,領用表!$B:$B,$BW$2&amp;BY$2)</f>
        <v>0</v>
      </c>
      <c r="BZ129" s="206">
        <f>SUMIFS(領用表!$L:$L,領用表!$E:$E,$B129,領用表!$B:$B,$BW$2&amp;BZ$2)</f>
        <v>0</v>
      </c>
      <c r="CA129" s="206">
        <f>SUMIFS(領用表!$L:$L,領用表!$E:$E,$B129,領用表!$B:$B,$BW$2&amp;CA$2)</f>
        <v>0</v>
      </c>
      <c r="CB129" s="208">
        <f>SUMIFS(領用表!$L:$L,領用表!$A:$A,CB$2,領用表!$E:$E,B129)</f>
        <v>0</v>
      </c>
      <c r="CC129" s="206">
        <f>SUMIFS(領用表!$L:$L,領用表!$E:$E,$B129,領用表!$B:$B,CB$2&amp;CC$2)</f>
        <v>0</v>
      </c>
      <c r="CD129" s="206">
        <f>SUMIFS(領用表!$L:$L,領用表!$E:$E,$B129,領用表!$B:$B,$CB$2&amp;CD$2)</f>
        <v>0</v>
      </c>
      <c r="CE129" s="206">
        <f>SUMIFS(領用表!$L:$L,領用表!$E:$E,$B129,領用表!$B:$B,$CB$2&amp;CE$2)</f>
        <v>0</v>
      </c>
      <c r="CF129" s="206">
        <f>SUMIFS(領用表!$L:$L,領用表!$E:$E,$B129,領用表!$B:$B,$CB$2&amp;CF$2)</f>
        <v>0</v>
      </c>
      <c r="CG129" s="208">
        <f>SUMIFS(領用表!$L:$L,領用表!$A:$A,CG$2,領用表!$E:$E,B129)</f>
        <v>0</v>
      </c>
      <c r="CH129" s="206">
        <f>SUMIFS(領用表!$L:$L,領用表!$E:$E,$B129,領用表!$B:$B,CG$2&amp;CH$2)</f>
        <v>0</v>
      </c>
      <c r="CI129" s="206">
        <f>SUMIFS(領用表!$L:$L,領用表!$E:$E,$B129,領用表!$B:$B,CG$2&amp;CI$2)</f>
        <v>0</v>
      </c>
      <c r="CJ129" s="206">
        <f>SUMIFS(領用表!$L:$L,領用表!$E:$E,$B129,領用表!$B:$B,CG$2&amp;CJ$2)</f>
        <v>0</v>
      </c>
      <c r="CK129" s="206">
        <f>SUMIFS(領用表!$L:$L,領用表!$E:$E,$B129,領用表!$B:$B,$CG$2&amp;CK$2)</f>
        <v>0</v>
      </c>
      <c r="CL129" s="207">
        <f t="shared" si="34"/>
        <v>17</v>
      </c>
      <c r="CM129" s="207">
        <f t="shared" si="35"/>
        <v>1.4166666666666667</v>
      </c>
      <c r="CN129" s="208">
        <f>SUMIFS(領用表!$L:$L,領用表!$A:$A,CN$2,領用表!$E:$E,B129)</f>
        <v>0</v>
      </c>
      <c r="CO129" s="206">
        <f>SUMIFS(領用表!$L:$L,領用表!$E:$E,$B129,領用表!$B:$B,CN$2&amp;CO$2)</f>
        <v>0</v>
      </c>
      <c r="CP129" s="206">
        <f>SUMIFS(領用表!$L:$L,領用表!$E:$E,$B129,領用表!$B:$B,$CN$2&amp;CP$2)</f>
        <v>0</v>
      </c>
      <c r="CQ129" s="206">
        <f>SUMIFS(領用表!$L:$L,領用表!$E:$E,$B129,領用表!$B:$B,$CN$2&amp;CQ$2)</f>
        <v>0</v>
      </c>
      <c r="CR129" s="206">
        <f>SUMIFS(領用表!$L:$L,領用表!$E:$E,$B129,領用表!$B:$B,$CN$2&amp;CR$2)</f>
        <v>0</v>
      </c>
      <c r="CS129" s="208">
        <f>SUMIFS(領用表!$L:$L,領用表!$A:$A,CS$2,領用表!$E:$E,B129)</f>
        <v>0</v>
      </c>
      <c r="CT129" s="206">
        <f>SUMIFS(領用表!$L:$L,領用表!$E:$E,$B129,領用表!$B:$B,CS$2&amp;CT$2)</f>
        <v>0</v>
      </c>
      <c r="CU129" s="206">
        <f>SUMIFS(領用表!$L:$L,領用表!$E:$E,$B129,領用表!$B:$B,$CS$2&amp;CU$2)</f>
        <v>0</v>
      </c>
      <c r="CV129" s="206">
        <f>SUMIFS(領用表!$L:$L,領用表!$E:$E,$B129,領用表!$B:$B,$CS$2&amp;CV$2)</f>
        <v>0</v>
      </c>
      <c r="CW129" s="206">
        <f>SUMIFS(領用表!$L:$L,領用表!$E:$E,$B129,領用表!$B:$B,$CS$2&amp;CW$2)</f>
        <v>0</v>
      </c>
      <c r="CX129" s="206">
        <f>SUMIFS(領用表!$L:$L,領用表!$E:$E,$B129,領用表!$B:$B,$CS$2&amp;CX$2)</f>
        <v>0</v>
      </c>
      <c r="CY129" s="208">
        <f>SUMIFS(領用表!$L:$L,領用表!$A:$A,CY$2,領用表!$E:$E,B129)</f>
        <v>0</v>
      </c>
      <c r="CZ129" s="206">
        <f>SUMIFS(領用表!$L:$L,領用表!$E:$E,$B129,領用表!$B:$B,CY$2&amp;CZ$2)</f>
        <v>0</v>
      </c>
      <c r="DA129" s="206">
        <f>SUMIFS(領用表!$L:$L,領用表!$E:$E,$B129,領用表!$B:$B,$CY$2&amp;DA$2)</f>
        <v>0</v>
      </c>
      <c r="DB129" s="206">
        <f>SUMIFS(領用表!$L:$L,領用表!$E:$E,$B129,領用表!$B:$B,$CY$2&amp;DB$2)</f>
        <v>0</v>
      </c>
      <c r="DC129" s="206">
        <f>SUMIFS(領用表!$L:$L,領用表!$E:$E,$B129,領用表!$B:$B,$CY$2&amp;DC$2)</f>
        <v>0</v>
      </c>
      <c r="DD129" s="206">
        <f>SUMIFS(領用表!$L:$L,領用表!$E:$E,$B129,領用表!$B:$B,$CY$2&amp;DD$2)</f>
        <v>0</v>
      </c>
      <c r="DE129" s="208">
        <f>SUMIFS(領用表!$L:$L,領用表!$A:$A,DE$2,領用表!$E:$E,B129)</f>
        <v>0</v>
      </c>
      <c r="DF129" s="206">
        <f>SUMIFS(領用表!$L:$L,領用表!$E:$E,$B129,領用表!$B:$B,DE$2&amp;DF$2)</f>
        <v>0</v>
      </c>
      <c r="DG129" s="206">
        <f>SUMIFS(領用表!$L:$L,領用表!$E:$E,$B129,領用表!$B:$B,$DE$2&amp;DG$2)</f>
        <v>0</v>
      </c>
      <c r="DH129" s="206">
        <f>SUMIFS(領用表!$L:$L,領用表!$E:$E,$B129,領用表!$B:$B,$DE$2&amp;DH$2)</f>
        <v>0</v>
      </c>
      <c r="DI129" s="206">
        <f>SUMIFS(領用表!$L:$L,領用表!$E:$E,$B129,領用表!$B:$B,$DE$2&amp;DI$2)</f>
        <v>0</v>
      </c>
      <c r="DJ129" s="206">
        <f>SUMIFS(領用表!$L:$L,領用表!$E:$E,$B129,領用表!$B:$B,$DE$2&amp;DJ$2)</f>
        <v>0</v>
      </c>
      <c r="DK129" s="208">
        <f>SUMIFS(領用表!$L:$L,領用表!$A:$A,DK$2,領用表!$E:$E,$B129)</f>
        <v>0</v>
      </c>
      <c r="DL129" s="206">
        <f>SUMIFS(領用表!$L:$L,領用表!$E:$E,$B129,領用表!$B:$B,DK$2&amp;DL$2)</f>
        <v>0</v>
      </c>
      <c r="DM129" s="206">
        <f>SUMIFS(領用表!$L:$L,領用表!$E:$E,$B129,領用表!$B:$B,$DK$2&amp;DM$2)</f>
        <v>0</v>
      </c>
      <c r="DN129" s="206">
        <f>SUMIFS(領用表!$L:$L,領用表!$E:$E,$B129,領用表!$B:$B,$DK$2&amp;DN$2)</f>
        <v>0</v>
      </c>
      <c r="DO129" s="206">
        <f>SUMIFS(領用表!$L:$L,領用表!$E:$E,$B129,領用表!$B:$B,$DK$2&amp;DO$2)</f>
        <v>0</v>
      </c>
      <c r="DP129" s="206">
        <f>SUMIFS(領用表!$L:$L,領用表!$E:$E,$B129,領用表!$B:$B,$DK$2&amp;DP$2)</f>
        <v>0</v>
      </c>
      <c r="DQ129" s="206">
        <f t="shared" si="36"/>
        <v>0</v>
      </c>
      <c r="DR129" s="206">
        <f t="shared" si="37"/>
        <v>0</v>
      </c>
      <c r="DS129" s="206">
        <f t="shared" si="27"/>
        <v>0</v>
      </c>
      <c r="DT129" s="206">
        <v>0</v>
      </c>
      <c r="DU129" s="206">
        <v>0</v>
      </c>
      <c r="DV129" s="206">
        <v>0</v>
      </c>
      <c r="DW129" s="206">
        <v>0</v>
      </c>
      <c r="DX129" s="258"/>
      <c r="DY129" s="283"/>
      <c r="DZ129" s="283"/>
      <c r="EA129" s="283"/>
      <c r="EB129" s="136"/>
      <c r="EC129" s="136"/>
      <c r="ED129" s="118">
        <f>IFERROR(VLOOKUP(A129,站前4樓!A:BF,57,0),0)</f>
        <v>0</v>
      </c>
      <c r="EE129" s="213">
        <f>IFERROR(VLOOKUP(A129,站前11樓!A:BE,57,0),0)</f>
        <v>0</v>
      </c>
      <c r="EF129" s="118">
        <f>IFERROR(VLOOKUP(A129,忠孝7樓!A:N,57,0),0)</f>
        <v>0</v>
      </c>
      <c r="EG129" s="118">
        <f>IFERROR(VLOOKUP(A129,忠孝國際醫學3樓!A:L,57,0),0)</f>
        <v>0</v>
      </c>
      <c r="EH129" s="118">
        <f t="shared" si="25"/>
        <v>0</v>
      </c>
    </row>
    <row r="130" spans="1:138" s="118" customFormat="1" ht="15.75" customHeight="1" thickBot="1">
      <c r="A130" s="324" t="s">
        <v>769</v>
      </c>
      <c r="B130" s="325">
        <v>6120032</v>
      </c>
      <c r="C130" s="136" t="s">
        <v>770</v>
      </c>
      <c r="D130" s="285"/>
      <c r="E130" s="198" t="s">
        <v>15</v>
      </c>
      <c r="F130" s="225">
        <f>SUMIF(站前4樓!B:B,B130,站前4樓!F:F)</f>
        <v>0</v>
      </c>
      <c r="G130" s="225">
        <f>SUMIF(站前11樓!B:B,B130,站前11樓!F:F)</f>
        <v>0</v>
      </c>
      <c r="H130" s="225">
        <f>SUMIF(忠孝7樓!B:B,B130,忠孝7樓!G:G)</f>
        <v>0</v>
      </c>
      <c r="I130" s="225">
        <f>SUMIF(忠孝國際醫學3樓!B:B,B130,忠孝國際醫學3樓!G:G)</f>
        <v>0</v>
      </c>
      <c r="J130" s="225">
        <f>SUMIF(忠孝健康7樓!B:B,B130,忠孝健康7樓!G:G)</f>
        <v>0</v>
      </c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  <c r="Z130" s="283"/>
      <c r="AA130" s="283"/>
      <c r="AB130" s="283"/>
      <c r="AC130" s="283"/>
      <c r="AD130" s="283"/>
      <c r="AE130" s="283"/>
      <c r="AF130" s="283"/>
      <c r="AG130" s="283"/>
      <c r="AH130" s="283"/>
      <c r="AI130" s="283"/>
      <c r="AJ130" s="201"/>
      <c r="AK130" s="201"/>
      <c r="AL130" s="201"/>
      <c r="AM130" s="201"/>
      <c r="AN130" s="201"/>
      <c r="AO130" s="201"/>
      <c r="AP130" s="201"/>
      <c r="AQ130" s="201"/>
      <c r="AR130" s="201"/>
      <c r="AS130" s="201"/>
      <c r="AT130" s="201"/>
      <c r="AU130" s="201"/>
      <c r="AV130" s="283">
        <f t="shared" si="32"/>
        <v>0</v>
      </c>
      <c r="AW130" s="286">
        <f t="shared" si="33"/>
        <v>0</v>
      </c>
      <c r="AX130" s="201">
        <v>0</v>
      </c>
      <c r="AY130" s="201">
        <v>0</v>
      </c>
      <c r="AZ130" s="201">
        <v>0</v>
      </c>
      <c r="BA130" s="201">
        <v>0</v>
      </c>
      <c r="BB130" s="201">
        <v>0</v>
      </c>
      <c r="BC130" s="203">
        <f>SUMIFS(領用表!$L:$L,領用表!$A:$A,BC$2,領用表!$E:$E,B130)</f>
        <v>0</v>
      </c>
      <c r="BD130" s="287">
        <f>SUMIFS(領用表!$L:$L,領用表!$E:$E,$B130,領用表!$B:$B,BC$2&amp;BD$2)</f>
        <v>0</v>
      </c>
      <c r="BE130" s="287">
        <f>SUMIFS(領用表!$L:$L,領用表!$E:$E,$B130,領用表!$B:$B,$BC$2&amp;BE$2)</f>
        <v>0</v>
      </c>
      <c r="BF130" s="287">
        <f>SUMIFS(領用表!$L:$L,領用表!$E:$E,$B130,領用表!$B:$B,$BC$2&amp;BF$2)</f>
        <v>0</v>
      </c>
      <c r="BG130" s="206">
        <f>SUMIFS(領用表!$L:$L,領用表!$E:$E,$B130,領用表!$B:$B,$BC$2&amp;BG$2)</f>
        <v>0</v>
      </c>
      <c r="BH130" s="203">
        <f>SUMIFS(領用表!$L:$L,領用表!$A:$A,BH$2,領用表!$E:$E,B130)</f>
        <v>0</v>
      </c>
      <c r="BI130" s="260">
        <f>SUMIFS(領用表!$L:$L,領用表!$E:$E,$B130,領用表!$B:$B,BH$2&amp;BI$2)</f>
        <v>0</v>
      </c>
      <c r="BJ130" s="260">
        <f>SUMIFS(領用表!$L:$L,領用表!$E:$E,$B130,領用表!$B:$B,$BH$2&amp;BJ$2)</f>
        <v>0</v>
      </c>
      <c r="BK130" s="260">
        <f>SUMIFS(領用表!$L:$L,領用表!$E:$E,$B130,領用表!$B:$B,$BH$2&amp;BK$2)</f>
        <v>0</v>
      </c>
      <c r="BL130" s="260">
        <f>SUMIFS(領用表!$L:$L,領用表!$E:$E,$B130,領用表!$B:$B,$BH$2&amp;BL$2)</f>
        <v>0</v>
      </c>
      <c r="BM130" s="203">
        <f>SUMIFS(領用表!$L:$L,領用表!$A:$A,BM$2,領用表!$E:$E,B130)</f>
        <v>0</v>
      </c>
      <c r="BN130" s="206">
        <f>SUMIFS(領用表!$L:$L,領用表!$E:$E,$B130,領用表!$B:$B,BM$2&amp;BN$2)</f>
        <v>0</v>
      </c>
      <c r="BO130" s="206">
        <f>SUMIFS(領用表!$L:$L,領用表!$E:$E,$B130,領用表!$B:$B,$BM$2&amp;BO$2)</f>
        <v>0</v>
      </c>
      <c r="BP130" s="288">
        <f>SUMIFS(領用表!$L:$L,領用表!$E:$E,$B130,領用表!$B:$B,$BM$2&amp;BP$2)</f>
        <v>0</v>
      </c>
      <c r="BQ130" s="287">
        <f>SUMIFS(領用表!$L:$L,領用表!$E:$E,$B130,領用表!$B:$B,$BM$2&amp;BQ$2)</f>
        <v>0</v>
      </c>
      <c r="BR130" s="203">
        <f>SUMIFS(領用表!$L:$L,領用表!$A:$A,BR$2,領用表!$E:$E,B130)</f>
        <v>0</v>
      </c>
      <c r="BS130" s="288">
        <f>SUMIFS(領用表!$L:$L,領用表!$E:$E,$B130,領用表!$B:$B,BR$2&amp;BS$2)</f>
        <v>0</v>
      </c>
      <c r="BT130" s="288">
        <f>SUMIFS(領用表!$L:$L,領用表!$E:$E,$B130,領用表!$B:$B,$BR$2&amp;BT$2)</f>
        <v>0</v>
      </c>
      <c r="BU130" s="288">
        <f>SUMIFS(領用表!$L:$L,領用表!$E:$E,$B130,領用表!$B:$B,$BR$2&amp;BU$2)</f>
        <v>0</v>
      </c>
      <c r="BV130" s="287">
        <f>SUMIFS(領用表!$L:$L,領用表!$E:$E,$B130,領用表!$B:$B,$BR$2&amp;BV$2)</f>
        <v>0</v>
      </c>
      <c r="BW130" s="208">
        <f>SUMIFS(領用表!$L:$L,領用表!$A:$A,BW$2,領用表!$E:$E,B130)</f>
        <v>0</v>
      </c>
      <c r="BX130" s="206">
        <f>SUMIFS(領用表!$L:$L,領用表!$E:$E,$B130,領用表!$B:$B,BW$2&amp;BX$2)</f>
        <v>0</v>
      </c>
      <c r="BY130" s="206">
        <f>SUMIFS(領用表!$L:$L,領用表!$E:$E,$B130,領用表!$B:$B,$BW$2&amp;BY$2)</f>
        <v>0</v>
      </c>
      <c r="BZ130" s="206">
        <f>SUMIFS(領用表!$L:$L,領用表!$E:$E,$B130,領用表!$B:$B,$BW$2&amp;BZ$2)</f>
        <v>0</v>
      </c>
      <c r="CA130" s="206">
        <f>SUMIFS(領用表!$L:$L,領用表!$E:$E,$B130,領用表!$B:$B,$BW$2&amp;CA$2)</f>
        <v>0</v>
      </c>
      <c r="CB130" s="208">
        <f>SUMIFS(領用表!$L:$L,領用表!$A:$A,CB$2,領用表!$E:$E,B130)</f>
        <v>0</v>
      </c>
      <c r="CC130" s="206">
        <f>SUMIFS(領用表!$L:$L,領用表!$E:$E,$B130,領用表!$B:$B,CB$2&amp;CC$2)</f>
        <v>0</v>
      </c>
      <c r="CD130" s="206">
        <f>SUMIFS(領用表!$L:$L,領用表!$E:$E,$B130,領用表!$B:$B,$CB$2&amp;CD$2)</f>
        <v>0</v>
      </c>
      <c r="CE130" s="206">
        <f>SUMIFS(領用表!$L:$L,領用表!$E:$E,$B130,領用表!$B:$B,$CB$2&amp;CE$2)</f>
        <v>0</v>
      </c>
      <c r="CF130" s="206">
        <f>SUMIFS(領用表!$L:$L,領用表!$E:$E,$B130,領用表!$B:$B,$CB$2&amp;CF$2)</f>
        <v>0</v>
      </c>
      <c r="CG130" s="208">
        <f>SUMIFS(領用表!$L:$L,領用表!$A:$A,CG$2,領用表!$E:$E,B130)</f>
        <v>0</v>
      </c>
      <c r="CH130" s="206">
        <f>SUMIFS(領用表!$L:$L,領用表!$E:$E,$B130,領用表!$B:$B,CG$2&amp;CH$2)</f>
        <v>0</v>
      </c>
      <c r="CI130" s="206">
        <f>SUMIFS(領用表!$L:$L,領用表!$E:$E,$B130,領用表!$B:$B,CG$2&amp;CI$2)</f>
        <v>0</v>
      </c>
      <c r="CJ130" s="206">
        <f>SUMIFS(領用表!$L:$L,領用表!$E:$E,$B130,領用表!$B:$B,CG$2&amp;CJ$2)</f>
        <v>0</v>
      </c>
      <c r="CK130" s="206">
        <f>SUMIFS(領用表!$L:$L,領用表!$E:$E,$B130,領用表!$B:$B,$CG$2&amp;CK$2)</f>
        <v>0</v>
      </c>
      <c r="CL130" s="207">
        <f t="shared" si="34"/>
        <v>0</v>
      </c>
      <c r="CM130" s="207">
        <f t="shared" si="35"/>
        <v>0</v>
      </c>
      <c r="CN130" s="208">
        <f>SUMIFS(領用表!$L:$L,領用表!$A:$A,CN$2,領用表!$E:$E,B130)</f>
        <v>0</v>
      </c>
      <c r="CO130" s="206">
        <f>SUMIFS(領用表!$L:$L,領用表!$E:$E,$B130,領用表!$B:$B,CN$2&amp;CO$2)</f>
        <v>0</v>
      </c>
      <c r="CP130" s="206">
        <f>SUMIFS(領用表!$L:$L,領用表!$E:$E,$B130,領用表!$B:$B,$CN$2&amp;CP$2)</f>
        <v>0</v>
      </c>
      <c r="CQ130" s="206">
        <f>SUMIFS(領用表!$L:$L,領用表!$E:$E,$B130,領用表!$B:$B,$CN$2&amp;CQ$2)</f>
        <v>0</v>
      </c>
      <c r="CR130" s="206">
        <f>SUMIFS(領用表!$L:$L,領用表!$E:$E,$B130,領用表!$B:$B,$CN$2&amp;CR$2)</f>
        <v>0</v>
      </c>
      <c r="CS130" s="208">
        <f>SUMIFS(領用表!$L:$L,領用表!$A:$A,CS$2,領用表!$E:$E,B130)</f>
        <v>0</v>
      </c>
      <c r="CT130" s="206">
        <f>SUMIFS(領用表!$L:$L,領用表!$E:$E,$B130,領用表!$B:$B,CS$2&amp;CT$2)</f>
        <v>0</v>
      </c>
      <c r="CU130" s="206">
        <f>SUMIFS(領用表!$L:$L,領用表!$E:$E,$B130,領用表!$B:$B,$CS$2&amp;CU$2)</f>
        <v>0</v>
      </c>
      <c r="CV130" s="206">
        <f>SUMIFS(領用表!$L:$L,領用表!$E:$E,$B130,領用表!$B:$B,$CS$2&amp;CV$2)</f>
        <v>0</v>
      </c>
      <c r="CW130" s="206">
        <f>SUMIFS(領用表!$L:$L,領用表!$E:$E,$B130,領用表!$B:$B,$CS$2&amp;CW$2)</f>
        <v>0</v>
      </c>
      <c r="CX130" s="206">
        <f>SUMIFS(領用表!$L:$L,領用表!$E:$E,$B130,領用表!$B:$B,$CS$2&amp;CX$2)</f>
        <v>0</v>
      </c>
      <c r="CY130" s="208">
        <f>SUMIFS(領用表!$L:$L,領用表!$A:$A,CY$2,領用表!$E:$E,B130)</f>
        <v>0</v>
      </c>
      <c r="CZ130" s="206">
        <f>SUMIFS(領用表!$L:$L,領用表!$E:$E,$B130,領用表!$B:$B,CY$2&amp;CZ$2)</f>
        <v>0</v>
      </c>
      <c r="DA130" s="206">
        <f>SUMIFS(領用表!$L:$L,領用表!$E:$E,$B130,領用表!$B:$B,$CY$2&amp;DA$2)</f>
        <v>0</v>
      </c>
      <c r="DB130" s="206">
        <f>SUMIFS(領用表!$L:$L,領用表!$E:$E,$B130,領用表!$B:$B,$CY$2&amp;DB$2)</f>
        <v>0</v>
      </c>
      <c r="DC130" s="206">
        <f>SUMIFS(領用表!$L:$L,領用表!$E:$E,$B130,領用表!$B:$B,$CY$2&amp;DC$2)</f>
        <v>0</v>
      </c>
      <c r="DD130" s="206">
        <f>SUMIFS(領用表!$L:$L,領用表!$E:$E,$B130,領用表!$B:$B,$CY$2&amp;DD$2)</f>
        <v>0</v>
      </c>
      <c r="DE130" s="208">
        <f>SUMIFS(領用表!$L:$L,領用表!$A:$A,DE$2,領用表!$E:$E,B130)</f>
        <v>0</v>
      </c>
      <c r="DF130" s="206">
        <f>SUMIFS(領用表!$L:$L,領用表!$E:$E,$B130,領用表!$B:$B,DE$2&amp;DF$2)</f>
        <v>0</v>
      </c>
      <c r="DG130" s="206">
        <f>SUMIFS(領用表!$L:$L,領用表!$E:$E,$B130,領用表!$B:$B,$DE$2&amp;DG$2)</f>
        <v>0</v>
      </c>
      <c r="DH130" s="206">
        <f>SUMIFS(領用表!$L:$L,領用表!$E:$E,$B130,領用表!$B:$B,$DE$2&amp;DH$2)</f>
        <v>0</v>
      </c>
      <c r="DI130" s="206">
        <f>SUMIFS(領用表!$L:$L,領用表!$E:$E,$B130,領用表!$B:$B,$DE$2&amp;DI$2)</f>
        <v>0</v>
      </c>
      <c r="DJ130" s="206">
        <f>SUMIFS(領用表!$L:$L,領用表!$E:$E,$B130,領用表!$B:$B,$DE$2&amp;DJ$2)</f>
        <v>0</v>
      </c>
      <c r="DK130" s="208">
        <f>SUMIFS(領用表!$L:$L,領用表!$A:$A,DK$2,領用表!$E:$E,$B130)</f>
        <v>0</v>
      </c>
      <c r="DL130" s="206">
        <f>SUMIFS(領用表!$L:$L,領用表!$E:$E,$B130,領用表!$B:$B,DK$2&amp;DL$2)</f>
        <v>0</v>
      </c>
      <c r="DM130" s="206">
        <f>SUMIFS(領用表!$L:$L,領用表!$E:$E,$B130,領用表!$B:$B,$DK$2&amp;DM$2)</f>
        <v>0</v>
      </c>
      <c r="DN130" s="206">
        <f>SUMIFS(領用表!$L:$L,領用表!$E:$E,$B130,領用表!$B:$B,$DK$2&amp;DN$2)</f>
        <v>0</v>
      </c>
      <c r="DO130" s="206">
        <f>SUMIFS(領用表!$L:$L,領用表!$E:$E,$B130,領用表!$B:$B,$DK$2&amp;DO$2)</f>
        <v>0</v>
      </c>
      <c r="DP130" s="206">
        <f>SUMIFS(領用表!$L:$L,領用表!$E:$E,$B130,領用表!$B:$B,$DK$2&amp;DP$2)</f>
        <v>0</v>
      </c>
      <c r="DQ130" s="206">
        <f t="shared" si="36"/>
        <v>0</v>
      </c>
      <c r="DR130" s="206">
        <f t="shared" si="37"/>
        <v>0</v>
      </c>
      <c r="DS130" s="206">
        <f t="shared" si="27"/>
        <v>0</v>
      </c>
      <c r="DT130" s="206">
        <v>0</v>
      </c>
      <c r="DU130" s="206">
        <v>0</v>
      </c>
      <c r="DV130" s="206">
        <v>0</v>
      </c>
      <c r="DW130" s="206">
        <v>0</v>
      </c>
      <c r="DX130" s="258"/>
      <c r="DY130" s="283"/>
      <c r="DZ130" s="283"/>
      <c r="EA130" s="283"/>
      <c r="EB130" s="136"/>
      <c r="EC130" s="136"/>
      <c r="ED130" s="118">
        <f>IFERROR(VLOOKUP(A130,站前4樓!A:BF,57,0),0)</f>
        <v>0</v>
      </c>
      <c r="EE130" s="213">
        <f>IFERROR(VLOOKUP(A130,站前11樓!A:BE,57,0),0)</f>
        <v>0</v>
      </c>
      <c r="EF130" s="118">
        <f>IFERROR(VLOOKUP(A130,忠孝7樓!A:N,57,0),0)</f>
        <v>0</v>
      </c>
      <c r="EG130" s="118">
        <f>IFERROR(VLOOKUP(A130,忠孝國際醫學3樓!A:L,57,0),0)</f>
        <v>0</v>
      </c>
      <c r="EH130" s="118">
        <f t="shared" si="25"/>
        <v>0</v>
      </c>
    </row>
    <row r="131" spans="1:138" s="118" customFormat="1" ht="15.75" customHeight="1" thickBot="1">
      <c r="A131" s="320" t="s">
        <v>771</v>
      </c>
      <c r="B131" s="325">
        <v>6120019</v>
      </c>
      <c r="C131" s="136" t="s">
        <v>537</v>
      </c>
      <c r="D131" s="285"/>
      <c r="E131" s="198" t="s">
        <v>15</v>
      </c>
      <c r="F131" s="225">
        <f>SUMIF(站前4樓!B:B,B131,站前4樓!F:F)</f>
        <v>0</v>
      </c>
      <c r="G131" s="225">
        <f>SUMIF(站前11樓!B:B,B131,站前11樓!F:F)</f>
        <v>0</v>
      </c>
      <c r="H131" s="225">
        <f>SUMIF(忠孝7樓!B:B,B131,忠孝7樓!G:G)</f>
        <v>0</v>
      </c>
      <c r="I131" s="225">
        <f>SUMIF(忠孝國際醫學3樓!B:B,B131,忠孝國際醫學3樓!G:G)</f>
        <v>0</v>
      </c>
      <c r="J131" s="225">
        <f>SUMIF(忠孝健康7樓!B:B,B131,忠孝健康7樓!G:G)</f>
        <v>0</v>
      </c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83"/>
      <c r="AB131" s="283"/>
      <c r="AC131" s="283"/>
      <c r="AD131" s="283"/>
      <c r="AE131" s="283"/>
      <c r="AF131" s="283"/>
      <c r="AG131" s="283"/>
      <c r="AH131" s="283"/>
      <c r="AI131" s="283"/>
      <c r="AJ131" s="201"/>
      <c r="AK131" s="201"/>
      <c r="AL131" s="201"/>
      <c r="AM131" s="201"/>
      <c r="AN131" s="201"/>
      <c r="AO131" s="201"/>
      <c r="AP131" s="201"/>
      <c r="AQ131" s="201"/>
      <c r="AR131" s="201"/>
      <c r="AS131" s="201"/>
      <c r="AT131" s="201"/>
      <c r="AU131" s="201"/>
      <c r="AV131" s="283">
        <f>SUM(AJ131:AU131)</f>
        <v>0</v>
      </c>
      <c r="AW131" s="286">
        <f>AV131/12</f>
        <v>0</v>
      </c>
      <c r="AX131" s="201">
        <v>0</v>
      </c>
      <c r="AY131" s="201">
        <v>0</v>
      </c>
      <c r="AZ131" s="201">
        <v>0</v>
      </c>
      <c r="BA131" s="201">
        <v>0</v>
      </c>
      <c r="BB131" s="201">
        <v>5</v>
      </c>
      <c r="BC131" s="203">
        <f>SUMIFS(領用表!$L:$L,領用表!$A:$A,BC$2,領用表!$E:$E,B131)</f>
        <v>0</v>
      </c>
      <c r="BD131" s="287">
        <f>SUMIFS(領用表!$L:$L,領用表!$E:$E,$B131,領用表!$B:$B,BC$2&amp;BD$2)</f>
        <v>0</v>
      </c>
      <c r="BE131" s="287">
        <f>SUMIFS(領用表!$L:$L,領用表!$E:$E,$B131,領用表!$B:$B,$BC$2&amp;BE$2)</f>
        <v>0</v>
      </c>
      <c r="BF131" s="287">
        <f>SUMIFS(領用表!$L:$L,領用表!$E:$E,$B131,領用表!$B:$B,$BC$2&amp;BF$2)</f>
        <v>0</v>
      </c>
      <c r="BG131" s="206">
        <f>SUMIFS(領用表!$L:$L,領用表!$E:$E,$B131,領用表!$B:$B,$BC$2&amp;BG$2)</f>
        <v>0</v>
      </c>
      <c r="BH131" s="203">
        <f>SUMIFS(領用表!$L:$L,領用表!$A:$A,BH$2,領用表!$E:$E,B131)</f>
        <v>0</v>
      </c>
      <c r="BI131" s="260">
        <f>SUMIFS(領用表!$L:$L,領用表!$E:$E,$B131,領用表!$B:$B,BH$2&amp;BI$2)</f>
        <v>0</v>
      </c>
      <c r="BJ131" s="260">
        <f>SUMIFS(領用表!$L:$L,領用表!$E:$E,$B131,領用表!$B:$B,$BH$2&amp;BJ$2)</f>
        <v>0</v>
      </c>
      <c r="BK131" s="260">
        <f>SUMIFS(領用表!$L:$L,領用表!$E:$E,$B131,領用表!$B:$B,$BH$2&amp;BK$2)</f>
        <v>0</v>
      </c>
      <c r="BL131" s="260">
        <f>SUMIFS(領用表!$L:$L,領用表!$E:$E,$B131,領用表!$B:$B,$BH$2&amp;BL$2)</f>
        <v>0</v>
      </c>
      <c r="BM131" s="203">
        <f>SUMIFS(領用表!$L:$L,領用表!$A:$A,BM$2,領用表!$E:$E,B131)</f>
        <v>0</v>
      </c>
      <c r="BN131" s="206">
        <f>SUMIFS(領用表!$L:$L,領用表!$E:$E,$B131,領用表!$B:$B,BM$2&amp;BN$2)</f>
        <v>0</v>
      </c>
      <c r="BO131" s="206">
        <f>SUMIFS(領用表!$L:$L,領用表!$E:$E,$B131,領用表!$B:$B,$BM$2&amp;BO$2)</f>
        <v>0</v>
      </c>
      <c r="BP131" s="288">
        <f>SUMIFS(領用表!$L:$L,領用表!$E:$E,$B131,領用表!$B:$B,$BM$2&amp;BP$2)</f>
        <v>0</v>
      </c>
      <c r="BQ131" s="287">
        <f>SUMIFS(領用表!$L:$L,領用表!$E:$E,$B131,領用表!$B:$B,$BM$2&amp;BQ$2)</f>
        <v>0</v>
      </c>
      <c r="BR131" s="203">
        <f>SUMIFS(領用表!$L:$L,領用表!$A:$A,BR$2,領用表!$E:$E,B131)</f>
        <v>0</v>
      </c>
      <c r="BS131" s="288">
        <f>SUMIFS(領用表!$L:$L,領用表!$E:$E,$B131,領用表!$B:$B,BR$2&amp;BS$2)</f>
        <v>0</v>
      </c>
      <c r="BT131" s="288">
        <f>SUMIFS(領用表!$L:$L,領用表!$E:$E,$B131,領用表!$B:$B,$BR$2&amp;BT$2)</f>
        <v>0</v>
      </c>
      <c r="BU131" s="288">
        <f>SUMIFS(領用表!$L:$L,領用表!$E:$E,$B131,領用表!$B:$B,$BR$2&amp;BU$2)</f>
        <v>0</v>
      </c>
      <c r="BV131" s="287">
        <f>SUMIFS(領用表!$L:$L,領用表!$E:$E,$B131,領用表!$B:$B,$BR$2&amp;BV$2)</f>
        <v>0</v>
      </c>
      <c r="BW131" s="208">
        <f>SUMIFS(領用表!$L:$L,領用表!$A:$A,BW$2,領用表!$E:$E,B131)</f>
        <v>0</v>
      </c>
      <c r="BX131" s="206">
        <f>SUMIFS(領用表!$L:$L,領用表!$E:$E,$B131,領用表!$B:$B,BW$2&amp;BX$2)</f>
        <v>0</v>
      </c>
      <c r="BY131" s="206">
        <f>SUMIFS(領用表!$L:$L,領用表!$E:$E,$B131,領用表!$B:$B,$BW$2&amp;BY$2)</f>
        <v>0</v>
      </c>
      <c r="BZ131" s="206">
        <f>SUMIFS(領用表!$L:$L,領用表!$E:$E,$B131,領用表!$B:$B,$BW$2&amp;BZ$2)</f>
        <v>0</v>
      </c>
      <c r="CA131" s="206">
        <f>SUMIFS(領用表!$L:$L,領用表!$E:$E,$B131,領用表!$B:$B,$BW$2&amp;CA$2)</f>
        <v>0</v>
      </c>
      <c r="CB131" s="208">
        <f>SUMIFS(領用表!$L:$L,領用表!$A:$A,CB$2,領用表!$E:$E,B131)</f>
        <v>0</v>
      </c>
      <c r="CC131" s="206">
        <f>SUMIFS(領用表!$L:$L,領用表!$E:$E,$B131,領用表!$B:$B,CB$2&amp;CC$2)</f>
        <v>0</v>
      </c>
      <c r="CD131" s="206">
        <f>SUMIFS(領用表!$L:$L,領用表!$E:$E,$B131,領用表!$B:$B,$CB$2&amp;CD$2)</f>
        <v>0</v>
      </c>
      <c r="CE131" s="206">
        <f>SUMIFS(領用表!$L:$L,領用表!$E:$E,$B131,領用表!$B:$B,$CB$2&amp;CE$2)</f>
        <v>0</v>
      </c>
      <c r="CF131" s="206">
        <f>SUMIFS(領用表!$L:$L,領用表!$E:$E,$B131,領用表!$B:$B,$CB$2&amp;CF$2)</f>
        <v>0</v>
      </c>
      <c r="CG131" s="208">
        <f>SUMIFS(領用表!$L:$L,領用表!$A:$A,CG$2,領用表!$E:$E,B131)</f>
        <v>0</v>
      </c>
      <c r="CH131" s="206">
        <f>SUMIFS(領用表!$L:$L,領用表!$E:$E,$B131,領用表!$B:$B,CG$2&amp;CH$2)</f>
        <v>0</v>
      </c>
      <c r="CI131" s="206">
        <f>SUMIFS(領用表!$L:$L,領用表!$E:$E,$B131,領用表!$B:$B,CG$2&amp;CI$2)</f>
        <v>0</v>
      </c>
      <c r="CJ131" s="206">
        <f>SUMIFS(領用表!$L:$L,領用表!$E:$E,$B131,領用表!$B:$B,CG$2&amp;CJ$2)</f>
        <v>0</v>
      </c>
      <c r="CK131" s="206">
        <f>SUMIFS(領用表!$L:$L,領用表!$E:$E,$B131,領用表!$B:$B,$CG$2&amp;CK$2)</f>
        <v>0</v>
      </c>
      <c r="CL131" s="207">
        <f>SUM(AX131,AY131,AZ131,BA131,BB131,BC131,BH131,BM131,BR131,BW131,CB131,CG131)</f>
        <v>5</v>
      </c>
      <c r="CM131" s="207">
        <f>AVERAGE(AX131,AY131,AZ131,BA131,BB131,BC131,BH131,BM131,BR131,BW131,CB131,CG131)</f>
        <v>0.41666666666666669</v>
      </c>
      <c r="CN131" s="208">
        <f>SUMIFS(領用表!$L:$L,領用表!$A:$A,CN$2,領用表!$E:$E,B131)</f>
        <v>0</v>
      </c>
      <c r="CO131" s="206">
        <f>SUMIFS(領用表!$L:$L,領用表!$E:$E,$B131,領用表!$B:$B,CN$2&amp;CO$2)</f>
        <v>0</v>
      </c>
      <c r="CP131" s="206">
        <f>SUMIFS(領用表!$L:$L,領用表!$E:$E,$B131,領用表!$B:$B,$CN$2&amp;CP$2)</f>
        <v>0</v>
      </c>
      <c r="CQ131" s="206">
        <f>SUMIFS(領用表!$L:$L,領用表!$E:$E,$B131,領用表!$B:$B,$CN$2&amp;CQ$2)</f>
        <v>0</v>
      </c>
      <c r="CR131" s="206">
        <f>SUMIFS(領用表!$L:$L,領用表!$E:$E,$B131,領用表!$B:$B,$CN$2&amp;CR$2)</f>
        <v>0</v>
      </c>
      <c r="CS131" s="208">
        <f>SUMIFS(領用表!$L:$L,領用表!$A:$A,CS$2,領用表!$E:$E,B131)</f>
        <v>0</v>
      </c>
      <c r="CT131" s="206">
        <f>SUMIFS(領用表!$L:$L,領用表!$E:$E,$B131,領用表!$B:$B,CS$2&amp;CT$2)</f>
        <v>0</v>
      </c>
      <c r="CU131" s="206">
        <f>SUMIFS(領用表!$L:$L,領用表!$E:$E,$B131,領用表!$B:$B,$CS$2&amp;CU$2)</f>
        <v>0</v>
      </c>
      <c r="CV131" s="206">
        <f>SUMIFS(領用表!$L:$L,領用表!$E:$E,$B131,領用表!$B:$B,$CS$2&amp;CV$2)</f>
        <v>0</v>
      </c>
      <c r="CW131" s="206">
        <f>SUMIFS(領用表!$L:$L,領用表!$E:$E,$B131,領用表!$B:$B,$CS$2&amp;CW$2)</f>
        <v>0</v>
      </c>
      <c r="CX131" s="206">
        <f>SUMIFS(領用表!$L:$L,領用表!$E:$E,$B131,領用表!$B:$B,$CS$2&amp;CX$2)</f>
        <v>0</v>
      </c>
      <c r="CY131" s="208">
        <f>SUMIFS(領用表!$L:$L,領用表!$A:$A,CY$2,領用表!$E:$E,B131)</f>
        <v>0</v>
      </c>
      <c r="CZ131" s="206">
        <f>SUMIFS(領用表!$L:$L,領用表!$E:$E,$B131,領用表!$B:$B,CY$2&amp;CZ$2)</f>
        <v>0</v>
      </c>
      <c r="DA131" s="206">
        <f>SUMIFS(領用表!$L:$L,領用表!$E:$E,$B131,領用表!$B:$B,$CY$2&amp;DA$2)</f>
        <v>0</v>
      </c>
      <c r="DB131" s="206">
        <f>SUMIFS(領用表!$L:$L,領用表!$E:$E,$B131,領用表!$B:$B,$CY$2&amp;DB$2)</f>
        <v>0</v>
      </c>
      <c r="DC131" s="206">
        <f>SUMIFS(領用表!$L:$L,領用表!$E:$E,$B131,領用表!$B:$B,$CY$2&amp;DC$2)</f>
        <v>0</v>
      </c>
      <c r="DD131" s="206">
        <f>SUMIFS(領用表!$L:$L,領用表!$E:$E,$B131,領用表!$B:$B,$CY$2&amp;DD$2)</f>
        <v>0</v>
      </c>
      <c r="DE131" s="208">
        <f>SUMIFS(領用表!$L:$L,領用表!$A:$A,DE$2,領用表!$E:$E,B131)</f>
        <v>0</v>
      </c>
      <c r="DF131" s="206">
        <f>SUMIFS(領用表!$L:$L,領用表!$E:$E,$B131,領用表!$B:$B,DE$2&amp;DF$2)</f>
        <v>0</v>
      </c>
      <c r="DG131" s="206">
        <f>SUMIFS(領用表!$L:$L,領用表!$E:$E,$B131,領用表!$B:$B,$DE$2&amp;DG$2)</f>
        <v>0</v>
      </c>
      <c r="DH131" s="206">
        <f>SUMIFS(領用表!$L:$L,領用表!$E:$E,$B131,領用表!$B:$B,$DE$2&amp;DH$2)</f>
        <v>0</v>
      </c>
      <c r="DI131" s="206">
        <f>SUMIFS(領用表!$L:$L,領用表!$E:$E,$B131,領用表!$B:$B,$DE$2&amp;DI$2)</f>
        <v>0</v>
      </c>
      <c r="DJ131" s="206">
        <f>SUMIFS(領用表!$L:$L,領用表!$E:$E,$B131,領用表!$B:$B,$DE$2&amp;DJ$2)</f>
        <v>0</v>
      </c>
      <c r="DK131" s="208">
        <f>SUMIFS(領用表!$L:$L,領用表!$A:$A,DK$2,領用表!$E:$E,$B131)</f>
        <v>0</v>
      </c>
      <c r="DL131" s="206">
        <f>SUMIFS(領用表!$L:$L,領用表!$E:$E,$B131,領用表!$B:$B,DK$2&amp;DL$2)</f>
        <v>0</v>
      </c>
      <c r="DM131" s="206">
        <f>SUMIFS(領用表!$L:$L,領用表!$E:$E,$B131,領用表!$B:$B,$DK$2&amp;DM$2)</f>
        <v>0</v>
      </c>
      <c r="DN131" s="206">
        <f>SUMIFS(領用表!$L:$L,領用表!$E:$E,$B131,領用表!$B:$B,$DK$2&amp;DN$2)</f>
        <v>0</v>
      </c>
      <c r="DO131" s="206">
        <f>SUMIFS(領用表!$L:$L,領用表!$E:$E,$B131,領用表!$B:$B,$DK$2&amp;DO$2)</f>
        <v>0</v>
      </c>
      <c r="DP131" s="206">
        <f>SUMIFS(領用表!$L:$L,領用表!$E:$E,$B131,領用表!$B:$B,$DK$2&amp;DP$2)</f>
        <v>0</v>
      </c>
      <c r="DQ131" s="206">
        <f t="shared" si="36"/>
        <v>0</v>
      </c>
      <c r="DR131" s="206">
        <f t="shared" si="37"/>
        <v>0</v>
      </c>
      <c r="DS131" s="206">
        <f t="shared" si="27"/>
        <v>0</v>
      </c>
      <c r="DT131" s="206">
        <v>0</v>
      </c>
      <c r="DU131" s="206">
        <v>0</v>
      </c>
      <c r="DV131" s="206">
        <v>0</v>
      </c>
      <c r="DW131" s="206">
        <v>0</v>
      </c>
      <c r="DX131" s="258"/>
      <c r="DY131" s="283"/>
      <c r="DZ131" s="283"/>
      <c r="EA131" s="283"/>
      <c r="EB131" s="136"/>
      <c r="EC131" s="136"/>
      <c r="ED131" s="118">
        <f>IFERROR(VLOOKUP(A131,站前4樓!A:BF,57,0),0)</f>
        <v>0</v>
      </c>
      <c r="EE131" s="213">
        <f>IFERROR(VLOOKUP(A131,站前11樓!A:BE,57,0),0)</f>
        <v>0</v>
      </c>
      <c r="EF131" s="118">
        <f>IFERROR(VLOOKUP(A131,忠孝7樓!A:N,57,0),0)</f>
        <v>0</v>
      </c>
      <c r="EG131" s="118">
        <f>IFERROR(VLOOKUP(A131,忠孝國際醫學3樓!A:L,57,0),0)</f>
        <v>0</v>
      </c>
      <c r="EH131" s="118">
        <f>SUM(ED131:EG131)</f>
        <v>0</v>
      </c>
    </row>
    <row r="132" spans="1:138" s="118" customFormat="1" ht="15.75" customHeight="1" thickBot="1">
      <c r="A132" s="320" t="s">
        <v>772</v>
      </c>
      <c r="B132" s="325">
        <v>6120033</v>
      </c>
      <c r="C132" s="136" t="s">
        <v>538</v>
      </c>
      <c r="D132" s="285"/>
      <c r="E132" s="198" t="s">
        <v>15</v>
      </c>
      <c r="F132" s="225">
        <f>SUMIF(站前4樓!B:B,B132,站前4樓!F:F)</f>
        <v>0</v>
      </c>
      <c r="G132" s="225">
        <f>SUMIF(站前11樓!B:B,B132,站前11樓!F:F)</f>
        <v>0</v>
      </c>
      <c r="H132" s="225">
        <f>SUMIF(忠孝7樓!B:B,B132,忠孝7樓!G:G)</f>
        <v>0</v>
      </c>
      <c r="I132" s="225">
        <f>SUMIF(忠孝國際醫學3樓!B:B,B132,忠孝國際醫學3樓!G:G)</f>
        <v>0</v>
      </c>
      <c r="J132" s="225">
        <f>SUMIF(忠孝健康7樓!B:B,B132,忠孝健康7樓!G:G)</f>
        <v>0</v>
      </c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83"/>
      <c r="AB132" s="283"/>
      <c r="AC132" s="283"/>
      <c r="AD132" s="283"/>
      <c r="AE132" s="283"/>
      <c r="AF132" s="283"/>
      <c r="AG132" s="283"/>
      <c r="AH132" s="283"/>
      <c r="AI132" s="283"/>
      <c r="AJ132" s="201"/>
      <c r="AK132" s="201"/>
      <c r="AL132" s="201"/>
      <c r="AM132" s="201"/>
      <c r="AN132" s="201"/>
      <c r="AO132" s="201"/>
      <c r="AP132" s="201"/>
      <c r="AQ132" s="201"/>
      <c r="AR132" s="201"/>
      <c r="AS132" s="201"/>
      <c r="AT132" s="201"/>
      <c r="AU132" s="201"/>
      <c r="AV132" s="283">
        <f>SUM(AJ132:AU132)</f>
        <v>0</v>
      </c>
      <c r="AW132" s="286">
        <f>AV132/12</f>
        <v>0</v>
      </c>
      <c r="AX132" s="201">
        <v>0</v>
      </c>
      <c r="AY132" s="201">
        <v>0</v>
      </c>
      <c r="AZ132" s="201">
        <v>0</v>
      </c>
      <c r="BA132" s="201">
        <v>0</v>
      </c>
      <c r="BB132" s="201">
        <v>0</v>
      </c>
      <c r="BC132" s="203">
        <f>SUMIFS(領用表!$L:$L,領用表!$A:$A,BC$2,領用表!$E:$E,B132)</f>
        <v>0</v>
      </c>
      <c r="BD132" s="287">
        <f>SUMIFS(領用表!$L:$L,領用表!$E:$E,$B132,領用表!$B:$B,BC$2&amp;BD$2)</f>
        <v>0</v>
      </c>
      <c r="BE132" s="287">
        <f>SUMIFS(領用表!$L:$L,領用表!$E:$E,$B132,領用表!$B:$B,$BC$2&amp;BE$2)</f>
        <v>0</v>
      </c>
      <c r="BF132" s="287">
        <f>SUMIFS(領用表!$L:$L,領用表!$E:$E,$B132,領用表!$B:$B,$BC$2&amp;BF$2)</f>
        <v>0</v>
      </c>
      <c r="BG132" s="206">
        <f>SUMIFS(領用表!$L:$L,領用表!$E:$E,$B132,領用表!$B:$B,$BC$2&amp;BG$2)</f>
        <v>0</v>
      </c>
      <c r="BH132" s="203">
        <f>SUMIFS(領用表!$L:$L,領用表!$A:$A,BH$2,領用表!$E:$E,B132)</f>
        <v>0</v>
      </c>
      <c r="BI132" s="260">
        <f>SUMIFS(領用表!$L:$L,領用表!$E:$E,$B132,領用表!$B:$B,BH$2&amp;BI$2)</f>
        <v>0</v>
      </c>
      <c r="BJ132" s="260">
        <f>SUMIFS(領用表!$L:$L,領用表!$E:$E,$B132,領用表!$B:$B,$BH$2&amp;BJ$2)</f>
        <v>0</v>
      </c>
      <c r="BK132" s="260">
        <f>SUMIFS(領用表!$L:$L,領用表!$E:$E,$B132,領用表!$B:$B,$BH$2&amp;BK$2)</f>
        <v>0</v>
      </c>
      <c r="BL132" s="260">
        <f>SUMIFS(領用表!$L:$L,領用表!$E:$E,$B132,領用表!$B:$B,$BH$2&amp;BL$2)</f>
        <v>0</v>
      </c>
      <c r="BM132" s="203">
        <f>SUMIFS(領用表!$L:$L,領用表!$A:$A,BM$2,領用表!$E:$E,B132)</f>
        <v>0</v>
      </c>
      <c r="BN132" s="206">
        <f>SUMIFS(領用表!$L:$L,領用表!$E:$E,$B132,領用表!$B:$B,BM$2&amp;BN$2)</f>
        <v>0</v>
      </c>
      <c r="BO132" s="206">
        <f>SUMIFS(領用表!$L:$L,領用表!$E:$E,$B132,領用表!$B:$B,$BM$2&amp;BO$2)</f>
        <v>0</v>
      </c>
      <c r="BP132" s="288">
        <f>SUMIFS(領用表!$L:$L,領用表!$E:$E,$B132,領用表!$B:$B,$BM$2&amp;BP$2)</f>
        <v>0</v>
      </c>
      <c r="BQ132" s="287">
        <f>SUMIFS(領用表!$L:$L,領用表!$E:$E,$B132,領用表!$B:$B,$BM$2&amp;BQ$2)</f>
        <v>0</v>
      </c>
      <c r="BR132" s="203">
        <f>SUMIFS(領用表!$L:$L,領用表!$A:$A,BR$2,領用表!$E:$E,B132)</f>
        <v>0</v>
      </c>
      <c r="BS132" s="288">
        <f>SUMIFS(領用表!$L:$L,領用表!$E:$E,$B132,領用表!$B:$B,BR$2&amp;BS$2)</f>
        <v>0</v>
      </c>
      <c r="BT132" s="288">
        <f>SUMIFS(領用表!$L:$L,領用表!$E:$E,$B132,領用表!$B:$B,$BR$2&amp;BT$2)</f>
        <v>0</v>
      </c>
      <c r="BU132" s="288">
        <f>SUMIFS(領用表!$L:$L,領用表!$E:$E,$B132,領用表!$B:$B,$BR$2&amp;BU$2)</f>
        <v>0</v>
      </c>
      <c r="BV132" s="287">
        <f>SUMIFS(領用表!$L:$L,領用表!$E:$E,$B132,領用表!$B:$B,$BR$2&amp;BV$2)</f>
        <v>0</v>
      </c>
      <c r="BW132" s="208">
        <f>SUMIFS(領用表!$L:$L,領用表!$A:$A,BW$2,領用表!$E:$E,B132)</f>
        <v>0</v>
      </c>
      <c r="BX132" s="206">
        <f>SUMIFS(領用表!$L:$L,領用表!$E:$E,$B132,領用表!$B:$B,BW$2&amp;BX$2)</f>
        <v>0</v>
      </c>
      <c r="BY132" s="206">
        <f>SUMIFS(領用表!$L:$L,領用表!$E:$E,$B132,領用表!$B:$B,$BW$2&amp;BY$2)</f>
        <v>0</v>
      </c>
      <c r="BZ132" s="206">
        <f>SUMIFS(領用表!$L:$L,領用表!$E:$E,$B132,領用表!$B:$B,$BW$2&amp;BZ$2)</f>
        <v>0</v>
      </c>
      <c r="CA132" s="206">
        <f>SUMIFS(領用表!$L:$L,領用表!$E:$E,$B132,領用表!$B:$B,$BW$2&amp;CA$2)</f>
        <v>0</v>
      </c>
      <c r="CB132" s="208">
        <f>SUMIFS(領用表!$L:$L,領用表!$A:$A,CB$2,領用表!$E:$E,B132)</f>
        <v>0</v>
      </c>
      <c r="CC132" s="206">
        <f>SUMIFS(領用表!$L:$L,領用表!$E:$E,$B132,領用表!$B:$B,CB$2&amp;CC$2)</f>
        <v>0</v>
      </c>
      <c r="CD132" s="206">
        <f>SUMIFS(領用表!$L:$L,領用表!$E:$E,$B132,領用表!$B:$B,$CB$2&amp;CD$2)</f>
        <v>0</v>
      </c>
      <c r="CE132" s="206">
        <f>SUMIFS(領用表!$L:$L,領用表!$E:$E,$B132,領用表!$B:$B,$CB$2&amp;CE$2)</f>
        <v>0</v>
      </c>
      <c r="CF132" s="206">
        <f>SUMIFS(領用表!$L:$L,領用表!$E:$E,$B132,領用表!$B:$B,$CB$2&amp;CF$2)</f>
        <v>0</v>
      </c>
      <c r="CG132" s="208">
        <f>SUMIFS(領用表!$L:$L,領用表!$A:$A,CG$2,領用表!$E:$E,B132)</f>
        <v>0</v>
      </c>
      <c r="CH132" s="206">
        <f>SUMIFS(領用表!$L:$L,領用表!$E:$E,$B132,領用表!$B:$B,CG$2&amp;CH$2)</f>
        <v>0</v>
      </c>
      <c r="CI132" s="206">
        <f>SUMIFS(領用表!$L:$L,領用表!$E:$E,$B132,領用表!$B:$B,CG$2&amp;CI$2)</f>
        <v>0</v>
      </c>
      <c r="CJ132" s="206">
        <f>SUMIFS(領用表!$L:$L,領用表!$E:$E,$B132,領用表!$B:$B,CG$2&amp;CJ$2)</f>
        <v>0</v>
      </c>
      <c r="CK132" s="206">
        <f>SUMIFS(領用表!$L:$L,領用表!$E:$E,$B132,領用表!$B:$B,$CG$2&amp;CK$2)</f>
        <v>0</v>
      </c>
      <c r="CL132" s="207">
        <f>SUM(AX132,AY132,AZ132,BA132,BB132,BC132,BH132,BM132,BR132,BW132,CB132,CG132)</f>
        <v>0</v>
      </c>
      <c r="CM132" s="207">
        <f>AVERAGE(AX132,AY132,AZ132,BA132,BB132,BC132,BH132,BM132,BR132,BW132,CB132,CG132)</f>
        <v>0</v>
      </c>
      <c r="CN132" s="208">
        <f>SUMIFS(領用表!$L:$L,領用表!$A:$A,CN$2,領用表!$E:$E,B132)</f>
        <v>0</v>
      </c>
      <c r="CO132" s="206">
        <f>SUMIFS(領用表!$L:$L,領用表!$E:$E,$B132,領用表!$B:$B,CN$2&amp;CO$2)</f>
        <v>0</v>
      </c>
      <c r="CP132" s="206">
        <f>SUMIFS(領用表!$L:$L,領用表!$E:$E,$B132,領用表!$B:$B,$CN$2&amp;CP$2)</f>
        <v>0</v>
      </c>
      <c r="CQ132" s="206">
        <f>SUMIFS(領用表!$L:$L,領用表!$E:$E,$B132,領用表!$B:$B,$CN$2&amp;CQ$2)</f>
        <v>0</v>
      </c>
      <c r="CR132" s="206">
        <f>SUMIFS(領用表!$L:$L,領用表!$E:$E,$B132,領用表!$B:$B,$CN$2&amp;CR$2)</f>
        <v>0</v>
      </c>
      <c r="CS132" s="208">
        <f>SUMIFS(領用表!$L:$L,領用表!$A:$A,CS$2,領用表!$E:$E,B132)</f>
        <v>0</v>
      </c>
      <c r="CT132" s="206">
        <f>SUMIFS(領用表!$L:$L,領用表!$E:$E,$B132,領用表!$B:$B,CS$2&amp;CT$2)</f>
        <v>0</v>
      </c>
      <c r="CU132" s="206">
        <f>SUMIFS(領用表!$L:$L,領用表!$E:$E,$B132,領用表!$B:$B,$CS$2&amp;CU$2)</f>
        <v>0</v>
      </c>
      <c r="CV132" s="206">
        <f>SUMIFS(領用表!$L:$L,領用表!$E:$E,$B132,領用表!$B:$B,$CS$2&amp;CV$2)</f>
        <v>0</v>
      </c>
      <c r="CW132" s="206">
        <f>SUMIFS(領用表!$L:$L,領用表!$E:$E,$B132,領用表!$B:$B,$CS$2&amp;CW$2)</f>
        <v>0</v>
      </c>
      <c r="CX132" s="206">
        <f>SUMIFS(領用表!$L:$L,領用表!$E:$E,$B132,領用表!$B:$B,$CS$2&amp;CX$2)</f>
        <v>0</v>
      </c>
      <c r="CY132" s="208">
        <f>SUMIFS(領用表!$L:$L,領用表!$A:$A,CY$2,領用表!$E:$E,B132)</f>
        <v>0</v>
      </c>
      <c r="CZ132" s="206">
        <f>SUMIFS(領用表!$L:$L,領用表!$E:$E,$B132,領用表!$B:$B,CY$2&amp;CZ$2)</f>
        <v>0</v>
      </c>
      <c r="DA132" s="206">
        <f>SUMIFS(領用表!$L:$L,領用表!$E:$E,$B132,領用表!$B:$B,$CY$2&amp;DA$2)</f>
        <v>0</v>
      </c>
      <c r="DB132" s="206">
        <f>SUMIFS(領用表!$L:$L,領用表!$E:$E,$B132,領用表!$B:$B,$CY$2&amp;DB$2)</f>
        <v>0</v>
      </c>
      <c r="DC132" s="206">
        <f>SUMIFS(領用表!$L:$L,領用表!$E:$E,$B132,領用表!$B:$B,$CY$2&amp;DC$2)</f>
        <v>0</v>
      </c>
      <c r="DD132" s="206">
        <f>SUMIFS(領用表!$L:$L,領用表!$E:$E,$B132,領用表!$B:$B,$CY$2&amp;DD$2)</f>
        <v>0</v>
      </c>
      <c r="DE132" s="208">
        <f>SUMIFS(領用表!$L:$L,領用表!$A:$A,DE$2,領用表!$E:$E,B132)</f>
        <v>0</v>
      </c>
      <c r="DF132" s="206">
        <f>SUMIFS(領用表!$L:$L,領用表!$E:$E,$B132,領用表!$B:$B,DE$2&amp;DF$2)</f>
        <v>0</v>
      </c>
      <c r="DG132" s="206">
        <f>SUMIFS(領用表!$L:$L,領用表!$E:$E,$B132,領用表!$B:$B,$DE$2&amp;DG$2)</f>
        <v>0</v>
      </c>
      <c r="DH132" s="206">
        <f>SUMIFS(領用表!$L:$L,領用表!$E:$E,$B132,領用表!$B:$B,$DE$2&amp;DH$2)</f>
        <v>0</v>
      </c>
      <c r="DI132" s="206">
        <f>SUMIFS(領用表!$L:$L,領用表!$E:$E,$B132,領用表!$B:$B,$DE$2&amp;DI$2)</f>
        <v>0</v>
      </c>
      <c r="DJ132" s="206">
        <f>SUMIFS(領用表!$L:$L,領用表!$E:$E,$B132,領用表!$B:$B,$DE$2&amp;DJ$2)</f>
        <v>0</v>
      </c>
      <c r="DK132" s="208">
        <f>SUMIFS(領用表!$L:$L,領用表!$A:$A,DK$2,領用表!$E:$E,$B132)</f>
        <v>0</v>
      </c>
      <c r="DL132" s="206">
        <f>SUMIFS(領用表!$L:$L,領用表!$E:$E,$B132,領用表!$B:$B,DK$2&amp;DL$2)</f>
        <v>0</v>
      </c>
      <c r="DM132" s="206">
        <f>SUMIFS(領用表!$L:$L,領用表!$E:$E,$B132,領用表!$B:$B,$DK$2&amp;DM$2)</f>
        <v>0</v>
      </c>
      <c r="DN132" s="206">
        <f>SUMIFS(領用表!$L:$L,領用表!$E:$E,$B132,領用表!$B:$B,$DK$2&amp;DN$2)</f>
        <v>0</v>
      </c>
      <c r="DO132" s="206">
        <f>SUMIFS(領用表!$L:$L,領用表!$E:$E,$B132,領用表!$B:$B,$DK$2&amp;DO$2)</f>
        <v>0</v>
      </c>
      <c r="DP132" s="206">
        <f>SUMIFS(領用表!$L:$L,領用表!$E:$E,$B132,領用表!$B:$B,$DK$2&amp;DP$2)</f>
        <v>0</v>
      </c>
      <c r="DQ132" s="206">
        <f t="shared" si="36"/>
        <v>0</v>
      </c>
      <c r="DR132" s="206">
        <f t="shared" si="37"/>
        <v>0</v>
      </c>
      <c r="DS132" s="206">
        <f t="shared" si="27"/>
        <v>0</v>
      </c>
      <c r="DT132" s="206">
        <v>0</v>
      </c>
      <c r="DU132" s="206">
        <v>0</v>
      </c>
      <c r="DV132" s="206">
        <v>0</v>
      </c>
      <c r="DW132" s="206">
        <v>0</v>
      </c>
      <c r="DX132" s="258"/>
      <c r="DY132" s="283"/>
      <c r="DZ132" s="283"/>
      <c r="EA132" s="283"/>
      <c r="EB132" s="136"/>
      <c r="EC132" s="136"/>
      <c r="ED132" s="118">
        <f>IFERROR(VLOOKUP(A132,站前4樓!A:BF,57,0),0)</f>
        <v>0</v>
      </c>
      <c r="EE132" s="213">
        <f>IFERROR(VLOOKUP(A132,站前11樓!A:BE,57,0),0)</f>
        <v>0</v>
      </c>
      <c r="EF132" s="118">
        <f>IFERROR(VLOOKUP(A132,忠孝7樓!A:N,57,0),0)</f>
        <v>0</v>
      </c>
      <c r="EG132" s="118">
        <f>IFERROR(VLOOKUP(A132,忠孝國際醫學3樓!A:L,57,0),0)</f>
        <v>0</v>
      </c>
      <c r="EH132" s="118">
        <f>SUM(ED132:EG132)</f>
        <v>0</v>
      </c>
    </row>
    <row r="133" spans="1:138" s="118" customFormat="1" ht="15.75" customHeight="1" thickBot="1">
      <c r="A133" s="324" t="s">
        <v>773</v>
      </c>
      <c r="B133" s="325">
        <v>6130001</v>
      </c>
      <c r="C133" s="136" t="s">
        <v>539</v>
      </c>
      <c r="D133" s="285"/>
      <c r="E133" s="198" t="s">
        <v>15</v>
      </c>
      <c r="F133" s="225">
        <f>SUMIF(站前4樓!B:B,B133,站前4樓!F:F)</f>
        <v>0</v>
      </c>
      <c r="G133" s="225">
        <f>SUMIF(站前11樓!B:B,B133,站前11樓!F:F)</f>
        <v>0</v>
      </c>
      <c r="H133" s="225">
        <f>SUMIF(忠孝7樓!B:B,B133,忠孝7樓!G:G)</f>
        <v>0</v>
      </c>
      <c r="I133" s="225">
        <f>SUMIF(忠孝國際醫學3樓!B:B,B133,忠孝國際醫學3樓!G:G)</f>
        <v>0</v>
      </c>
      <c r="J133" s="225">
        <f>SUMIF(忠孝健康7樓!B:B,B133,忠孝健康7樓!G:G)</f>
        <v>0</v>
      </c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83"/>
      <c r="AB133" s="283"/>
      <c r="AC133" s="283"/>
      <c r="AD133" s="283"/>
      <c r="AE133" s="283"/>
      <c r="AF133" s="283"/>
      <c r="AG133" s="283"/>
      <c r="AH133" s="283"/>
      <c r="AI133" s="283"/>
      <c r="AJ133" s="201"/>
      <c r="AK133" s="201"/>
      <c r="AL133" s="201"/>
      <c r="AM133" s="201"/>
      <c r="AN133" s="201"/>
      <c r="AO133" s="201"/>
      <c r="AP133" s="201"/>
      <c r="AQ133" s="201"/>
      <c r="AR133" s="201"/>
      <c r="AS133" s="201"/>
      <c r="AT133" s="201"/>
      <c r="AU133" s="201"/>
      <c r="AV133" s="283">
        <f>SUM(AJ133:AU133)</f>
        <v>0</v>
      </c>
      <c r="AW133" s="286">
        <f>AV133/12</f>
        <v>0</v>
      </c>
      <c r="AX133" s="201">
        <v>0</v>
      </c>
      <c r="AY133" s="201">
        <v>0</v>
      </c>
      <c r="AZ133" s="201">
        <v>0</v>
      </c>
      <c r="BA133" s="201">
        <v>0</v>
      </c>
      <c r="BB133" s="201">
        <v>5</v>
      </c>
      <c r="BC133" s="203">
        <f>SUMIFS(領用表!$L:$L,領用表!$A:$A,BC$2,領用表!$E:$E,B133)</f>
        <v>0</v>
      </c>
      <c r="BD133" s="287">
        <f>SUMIFS(領用表!$L:$L,領用表!$E:$E,$B133,領用表!$B:$B,BC$2&amp;BD$2)</f>
        <v>0</v>
      </c>
      <c r="BE133" s="287">
        <f>SUMIFS(領用表!$L:$L,領用表!$E:$E,$B133,領用表!$B:$B,$BC$2&amp;BE$2)</f>
        <v>0</v>
      </c>
      <c r="BF133" s="287">
        <f>SUMIFS(領用表!$L:$L,領用表!$E:$E,$B133,領用表!$B:$B,$BC$2&amp;BF$2)</f>
        <v>0</v>
      </c>
      <c r="BG133" s="206">
        <f>SUMIFS(領用表!$L:$L,領用表!$E:$E,$B133,領用表!$B:$B,$BC$2&amp;BG$2)</f>
        <v>0</v>
      </c>
      <c r="BH133" s="203">
        <f>SUMIFS(領用表!$L:$L,領用表!$A:$A,BH$2,領用表!$E:$E,B133)</f>
        <v>0</v>
      </c>
      <c r="BI133" s="260">
        <f>SUMIFS(領用表!$L:$L,領用表!$E:$E,$B133,領用表!$B:$B,BH$2&amp;BI$2)</f>
        <v>0</v>
      </c>
      <c r="BJ133" s="260">
        <f>SUMIFS(領用表!$L:$L,領用表!$E:$E,$B133,領用表!$B:$B,$BH$2&amp;BJ$2)</f>
        <v>0</v>
      </c>
      <c r="BK133" s="260">
        <f>SUMIFS(領用表!$L:$L,領用表!$E:$E,$B133,領用表!$B:$B,$BH$2&amp;BK$2)</f>
        <v>0</v>
      </c>
      <c r="BL133" s="260">
        <f>SUMIFS(領用表!$L:$L,領用表!$E:$E,$B133,領用表!$B:$B,$BH$2&amp;BL$2)</f>
        <v>0</v>
      </c>
      <c r="BM133" s="203">
        <f>SUMIFS(領用表!$L:$L,領用表!$A:$A,BM$2,領用表!$E:$E,B133)</f>
        <v>0</v>
      </c>
      <c r="BN133" s="206">
        <f>SUMIFS(領用表!$L:$L,領用表!$E:$E,$B133,領用表!$B:$B,BM$2&amp;BN$2)</f>
        <v>0</v>
      </c>
      <c r="BO133" s="206">
        <f>SUMIFS(領用表!$L:$L,領用表!$E:$E,$B133,領用表!$B:$B,$BM$2&amp;BO$2)</f>
        <v>0</v>
      </c>
      <c r="BP133" s="288">
        <f>SUMIFS(領用表!$L:$L,領用表!$E:$E,$B133,領用表!$B:$B,$BM$2&amp;BP$2)</f>
        <v>0</v>
      </c>
      <c r="BQ133" s="287">
        <f>SUMIFS(領用表!$L:$L,領用表!$E:$E,$B133,領用表!$B:$B,$BM$2&amp;BQ$2)</f>
        <v>0</v>
      </c>
      <c r="BR133" s="203">
        <f>SUMIFS(領用表!$L:$L,領用表!$A:$A,BR$2,領用表!$E:$E,B133)</f>
        <v>0</v>
      </c>
      <c r="BS133" s="288">
        <f>SUMIFS(領用表!$L:$L,領用表!$E:$E,$B133,領用表!$B:$B,BR$2&amp;BS$2)</f>
        <v>0</v>
      </c>
      <c r="BT133" s="288">
        <f>SUMIFS(領用表!$L:$L,領用表!$E:$E,$B133,領用表!$B:$B,$BR$2&amp;BT$2)</f>
        <v>0</v>
      </c>
      <c r="BU133" s="288">
        <f>SUMIFS(領用表!$L:$L,領用表!$E:$E,$B133,領用表!$B:$B,$BR$2&amp;BU$2)</f>
        <v>0</v>
      </c>
      <c r="BV133" s="287">
        <f>SUMIFS(領用表!$L:$L,領用表!$E:$E,$B133,領用表!$B:$B,$BR$2&amp;BV$2)</f>
        <v>0</v>
      </c>
      <c r="BW133" s="208">
        <f>SUMIFS(領用表!$L:$L,領用表!$A:$A,BW$2,領用表!$E:$E,B133)</f>
        <v>0</v>
      </c>
      <c r="BX133" s="206">
        <f>SUMIFS(領用表!$L:$L,領用表!$E:$E,$B133,領用表!$B:$B,BW$2&amp;BX$2)</f>
        <v>0</v>
      </c>
      <c r="BY133" s="206">
        <f>SUMIFS(領用表!$L:$L,領用表!$E:$E,$B133,領用表!$B:$B,$BW$2&amp;BY$2)</f>
        <v>0</v>
      </c>
      <c r="BZ133" s="206">
        <f>SUMIFS(領用表!$L:$L,領用表!$E:$E,$B133,領用表!$B:$B,$BW$2&amp;BZ$2)</f>
        <v>0</v>
      </c>
      <c r="CA133" s="206">
        <f>SUMIFS(領用表!$L:$L,領用表!$E:$E,$B133,領用表!$B:$B,$BW$2&amp;CA$2)</f>
        <v>0</v>
      </c>
      <c r="CB133" s="208">
        <f>SUMIFS(領用表!$L:$L,領用表!$A:$A,CB$2,領用表!$E:$E,B133)</f>
        <v>0</v>
      </c>
      <c r="CC133" s="206">
        <f>SUMIFS(領用表!$L:$L,領用表!$E:$E,$B133,領用表!$B:$B,CB$2&amp;CC$2)</f>
        <v>0</v>
      </c>
      <c r="CD133" s="206">
        <f>SUMIFS(領用表!$L:$L,領用表!$E:$E,$B133,領用表!$B:$B,$CB$2&amp;CD$2)</f>
        <v>0</v>
      </c>
      <c r="CE133" s="206">
        <f>SUMIFS(領用表!$L:$L,領用表!$E:$E,$B133,領用表!$B:$B,$CB$2&amp;CE$2)</f>
        <v>0</v>
      </c>
      <c r="CF133" s="206">
        <f>SUMIFS(領用表!$L:$L,領用表!$E:$E,$B133,領用表!$B:$B,$CB$2&amp;CF$2)</f>
        <v>0</v>
      </c>
      <c r="CG133" s="208">
        <f>SUMIFS(領用表!$L:$L,領用表!$A:$A,CG$2,領用表!$E:$E,B133)</f>
        <v>0</v>
      </c>
      <c r="CH133" s="206">
        <f>SUMIFS(領用表!$L:$L,領用表!$E:$E,$B133,領用表!$B:$B,CG$2&amp;CH$2)</f>
        <v>0</v>
      </c>
      <c r="CI133" s="206">
        <f>SUMIFS(領用表!$L:$L,領用表!$E:$E,$B133,領用表!$B:$B,CG$2&amp;CI$2)</f>
        <v>0</v>
      </c>
      <c r="CJ133" s="206">
        <f>SUMIFS(領用表!$L:$L,領用表!$E:$E,$B133,領用表!$B:$B,CG$2&amp;CJ$2)</f>
        <v>0</v>
      </c>
      <c r="CK133" s="206">
        <f>SUMIFS(領用表!$L:$L,領用表!$E:$E,$B133,領用表!$B:$B,$CG$2&amp;CK$2)</f>
        <v>0</v>
      </c>
      <c r="CL133" s="207">
        <f>SUM(AX133,AY133,AZ133,BA133,BB133,BC133,BH133,BM133,BR133,BW133,CB133,CG133)</f>
        <v>5</v>
      </c>
      <c r="CM133" s="207">
        <f>AVERAGE(AX133,AY133,AZ133,BA133,BB133,BC133,BH133,BM133,BR133,BW133,CB133,CG133)</f>
        <v>0.41666666666666669</v>
      </c>
      <c r="CN133" s="208">
        <f>SUMIFS(領用表!$L:$L,領用表!$A:$A,CN$2,領用表!$E:$E,B133)</f>
        <v>0</v>
      </c>
      <c r="CO133" s="206">
        <f>SUMIFS(領用表!$L:$L,領用表!$E:$E,$B133,領用表!$B:$B,CN$2&amp;CO$2)</f>
        <v>0</v>
      </c>
      <c r="CP133" s="206">
        <f>SUMIFS(領用表!$L:$L,領用表!$E:$E,$B133,領用表!$B:$B,$CN$2&amp;CP$2)</f>
        <v>0</v>
      </c>
      <c r="CQ133" s="206">
        <f>SUMIFS(領用表!$L:$L,領用表!$E:$E,$B133,領用表!$B:$B,$CN$2&amp;CQ$2)</f>
        <v>0</v>
      </c>
      <c r="CR133" s="206">
        <f>SUMIFS(領用表!$L:$L,領用表!$E:$E,$B133,領用表!$B:$B,$CN$2&amp;CR$2)</f>
        <v>0</v>
      </c>
      <c r="CS133" s="208">
        <f>SUMIFS(領用表!$L:$L,領用表!$A:$A,CS$2,領用表!$E:$E,B133)</f>
        <v>0</v>
      </c>
      <c r="CT133" s="206">
        <f>SUMIFS(領用表!$L:$L,領用表!$E:$E,$B133,領用表!$B:$B,CS$2&amp;CT$2)</f>
        <v>0</v>
      </c>
      <c r="CU133" s="206">
        <f>SUMIFS(領用表!$L:$L,領用表!$E:$E,$B133,領用表!$B:$B,$CS$2&amp;CU$2)</f>
        <v>0</v>
      </c>
      <c r="CV133" s="206">
        <f>SUMIFS(領用表!$L:$L,領用表!$E:$E,$B133,領用表!$B:$B,$CS$2&amp;CV$2)</f>
        <v>0</v>
      </c>
      <c r="CW133" s="206">
        <f>SUMIFS(領用表!$L:$L,領用表!$E:$E,$B133,領用表!$B:$B,$CS$2&amp;CW$2)</f>
        <v>0</v>
      </c>
      <c r="CX133" s="206">
        <f>SUMIFS(領用表!$L:$L,領用表!$E:$E,$B133,領用表!$B:$B,$CS$2&amp;CX$2)</f>
        <v>0</v>
      </c>
      <c r="CY133" s="208">
        <f>SUMIFS(領用表!$L:$L,領用表!$A:$A,CY$2,領用表!$E:$E,B133)</f>
        <v>0</v>
      </c>
      <c r="CZ133" s="206">
        <f>SUMIFS(領用表!$L:$L,領用表!$E:$E,$B133,領用表!$B:$B,CY$2&amp;CZ$2)</f>
        <v>0</v>
      </c>
      <c r="DA133" s="206">
        <f>SUMIFS(領用表!$L:$L,領用表!$E:$E,$B133,領用表!$B:$B,$CY$2&amp;DA$2)</f>
        <v>0</v>
      </c>
      <c r="DB133" s="206">
        <f>SUMIFS(領用表!$L:$L,領用表!$E:$E,$B133,領用表!$B:$B,$CY$2&amp;DB$2)</f>
        <v>0</v>
      </c>
      <c r="DC133" s="206">
        <f>SUMIFS(領用表!$L:$L,領用表!$E:$E,$B133,領用表!$B:$B,$CY$2&amp;DC$2)</f>
        <v>0</v>
      </c>
      <c r="DD133" s="206">
        <f>SUMIFS(領用表!$L:$L,領用表!$E:$E,$B133,領用表!$B:$B,$CY$2&amp;DD$2)</f>
        <v>0</v>
      </c>
      <c r="DE133" s="208">
        <f>SUMIFS(領用表!$L:$L,領用表!$A:$A,DE$2,領用表!$E:$E,B133)</f>
        <v>0</v>
      </c>
      <c r="DF133" s="206">
        <f>SUMIFS(領用表!$L:$L,領用表!$E:$E,$B133,領用表!$B:$B,DE$2&amp;DF$2)</f>
        <v>0</v>
      </c>
      <c r="DG133" s="206">
        <f>SUMIFS(領用表!$L:$L,領用表!$E:$E,$B133,領用表!$B:$B,$DE$2&amp;DG$2)</f>
        <v>0</v>
      </c>
      <c r="DH133" s="206">
        <f>SUMIFS(領用表!$L:$L,領用表!$E:$E,$B133,領用表!$B:$B,$DE$2&amp;DH$2)</f>
        <v>0</v>
      </c>
      <c r="DI133" s="206">
        <f>SUMIFS(領用表!$L:$L,領用表!$E:$E,$B133,領用表!$B:$B,$DE$2&amp;DI$2)</f>
        <v>0</v>
      </c>
      <c r="DJ133" s="206">
        <f>SUMIFS(領用表!$L:$L,領用表!$E:$E,$B133,領用表!$B:$B,$DE$2&amp;DJ$2)</f>
        <v>0</v>
      </c>
      <c r="DK133" s="208">
        <f>SUMIFS(領用表!$L:$L,領用表!$A:$A,DK$2,領用表!$E:$E,$B133)</f>
        <v>0</v>
      </c>
      <c r="DL133" s="206">
        <f>SUMIFS(領用表!$L:$L,領用表!$E:$E,$B133,領用表!$B:$B,DK$2&amp;DL$2)</f>
        <v>0</v>
      </c>
      <c r="DM133" s="206">
        <f>SUMIFS(領用表!$L:$L,領用表!$E:$E,$B133,領用表!$B:$B,$DK$2&amp;DM$2)</f>
        <v>0</v>
      </c>
      <c r="DN133" s="206">
        <f>SUMIFS(領用表!$L:$L,領用表!$E:$E,$B133,領用表!$B:$B,$DK$2&amp;DN$2)</f>
        <v>0</v>
      </c>
      <c r="DO133" s="206">
        <f>SUMIFS(領用表!$L:$L,領用表!$E:$E,$B133,領用表!$B:$B,$DK$2&amp;DO$2)</f>
        <v>0</v>
      </c>
      <c r="DP133" s="206">
        <f>SUMIFS(領用表!$L:$L,領用表!$E:$E,$B133,領用表!$B:$B,$DK$2&amp;DP$2)</f>
        <v>0</v>
      </c>
      <c r="DQ133" s="206">
        <f t="shared" si="36"/>
        <v>0</v>
      </c>
      <c r="DR133" s="206">
        <f t="shared" si="37"/>
        <v>0</v>
      </c>
      <c r="DS133" s="206">
        <f t="shared" si="27"/>
        <v>0</v>
      </c>
      <c r="DT133" s="206">
        <v>0</v>
      </c>
      <c r="DU133" s="206">
        <v>0</v>
      </c>
      <c r="DV133" s="206">
        <v>0</v>
      </c>
      <c r="DW133" s="206">
        <v>0</v>
      </c>
      <c r="DX133" s="258"/>
      <c r="DY133" s="283"/>
      <c r="DZ133" s="283"/>
      <c r="EA133" s="283"/>
      <c r="EB133" s="136"/>
      <c r="EC133" s="136"/>
      <c r="ED133" s="118">
        <f>IFERROR(VLOOKUP(A133,站前4樓!A:BF,57,0),0)</f>
        <v>0</v>
      </c>
      <c r="EE133" s="213">
        <f>IFERROR(VLOOKUP(A133,站前11樓!A:BE,57,0),0)</f>
        <v>0</v>
      </c>
      <c r="EF133" s="118">
        <f>IFERROR(VLOOKUP(A133,忠孝7樓!A:N,57,0),0)</f>
        <v>0</v>
      </c>
      <c r="EG133" s="118">
        <f>IFERROR(VLOOKUP(A133,忠孝國際醫學3樓!A:L,57,0),0)</f>
        <v>0</v>
      </c>
      <c r="EH133" s="118">
        <f>SUM(ED133:EG133)</f>
        <v>0</v>
      </c>
    </row>
    <row r="134" spans="1:138" s="118" customFormat="1" ht="15.75" customHeight="1" thickBot="1">
      <c r="A134" s="324" t="s">
        <v>774</v>
      </c>
      <c r="B134" s="325">
        <v>6120042</v>
      </c>
      <c r="C134" s="136" t="s">
        <v>775</v>
      </c>
      <c r="D134" s="285"/>
      <c r="E134" s="198"/>
      <c r="F134" s="225">
        <f>SUMIF(站前4樓!B:B,B134,站前4樓!F:F)</f>
        <v>49</v>
      </c>
      <c r="G134" s="225">
        <f>SUMIF(站前11樓!B:B,B134,站前11樓!F:F)</f>
        <v>0</v>
      </c>
      <c r="H134" s="225">
        <f>SUMIF(忠孝7樓!B:B,B134,忠孝7樓!G:G)</f>
        <v>41</v>
      </c>
      <c r="I134" s="225">
        <f>SUMIF(忠孝國際醫學3樓!B:B,B134,忠孝國際醫學3樓!G:G)</f>
        <v>0</v>
      </c>
      <c r="J134" s="225">
        <f>SUMIF(忠孝健康7樓!B:B,B134,忠孝健康7樓!G:G)</f>
        <v>0</v>
      </c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  <c r="AA134" s="283"/>
      <c r="AB134" s="283"/>
      <c r="AC134" s="283"/>
      <c r="AD134" s="283"/>
      <c r="AE134" s="283"/>
      <c r="AF134" s="283"/>
      <c r="AG134" s="283"/>
      <c r="AH134" s="283"/>
      <c r="AI134" s="283"/>
      <c r="AJ134" s="201"/>
      <c r="AK134" s="201"/>
      <c r="AL134" s="201"/>
      <c r="AM134" s="201"/>
      <c r="AN134" s="201"/>
      <c r="AO134" s="201"/>
      <c r="AP134" s="201"/>
      <c r="AQ134" s="201"/>
      <c r="AR134" s="201"/>
      <c r="AS134" s="201"/>
      <c r="AT134" s="201"/>
      <c r="AU134" s="201"/>
      <c r="AV134" s="283"/>
      <c r="AW134" s="286"/>
      <c r="AX134" s="201"/>
      <c r="AY134" s="201"/>
      <c r="AZ134" s="201"/>
      <c r="BA134" s="201"/>
      <c r="BB134" s="201"/>
      <c r="BC134" s="203"/>
      <c r="BD134" s="287"/>
      <c r="BE134" s="287"/>
      <c r="BF134" s="287"/>
      <c r="BG134" s="206"/>
      <c r="BH134" s="203">
        <f>SUMIFS(領用表!$L:$L,領用表!$A:$A,BH$2,領用表!$E:$E,B134)</f>
        <v>0</v>
      </c>
      <c r="BI134" s="260">
        <f>SUMIFS(領用表!$L:$L,領用表!$E:$E,$B134,領用表!$B:$B,BH$2&amp;BI$2)</f>
        <v>0</v>
      </c>
      <c r="BJ134" s="260">
        <f>SUMIFS(領用表!$L:$L,領用表!$E:$E,$B134,領用表!$B:$B,$BH$2&amp;BJ$2)</f>
        <v>0</v>
      </c>
      <c r="BK134" s="260">
        <f>SUMIFS(領用表!$L:$L,領用表!$E:$E,$B134,領用表!$B:$B,$BH$2&amp;BK$2)</f>
        <v>0</v>
      </c>
      <c r="BL134" s="260">
        <f>SUMIFS(領用表!$L:$L,領用表!$E:$E,$B134,領用表!$B:$B,$BH$2&amp;BL$2)</f>
        <v>0</v>
      </c>
      <c r="BM134" s="203">
        <f>SUMIFS(領用表!$L:$L,領用表!$A:$A,BM$2,領用表!$E:$E,B134)</f>
        <v>0</v>
      </c>
      <c r="BN134" s="206"/>
      <c r="BO134" s="206"/>
      <c r="BP134" s="288"/>
      <c r="BQ134" s="287"/>
      <c r="BR134" s="203">
        <f>SUMIFS(領用表!$L:$L,領用表!$A:$A,BR$2,領用表!$E:$E,B134)</f>
        <v>0</v>
      </c>
      <c r="BS134" s="288">
        <f>SUMIFS(領用表!$L:$L,領用表!$E:$E,$B134,領用表!$B:$B,BR$2&amp;BS$2)</f>
        <v>0</v>
      </c>
      <c r="BT134" s="288">
        <f>SUMIFS(領用表!$L:$L,領用表!$E:$E,$B134,領用表!$B:$B,$BR$2&amp;BT$2)</f>
        <v>0</v>
      </c>
      <c r="BU134" s="288">
        <f>SUMIFS(領用表!$L:$L,領用表!$E:$E,$B134,領用表!$B:$B,$BR$2&amp;BU$2)</f>
        <v>0</v>
      </c>
      <c r="BV134" s="287">
        <f>SUMIFS(領用表!$L:$L,領用表!$E:$E,$B134,領用表!$B:$B,$BR$2&amp;BV$2)</f>
        <v>0</v>
      </c>
      <c r="BW134" s="208">
        <f>SUMIFS(領用表!$L:$L,領用表!$A:$A,BW$2,領用表!$E:$E,B134)</f>
        <v>0</v>
      </c>
      <c r="BX134" s="206">
        <f>SUMIFS(領用表!$L:$L,領用表!$E:$E,$B134,領用表!$B:$B,BW$2&amp;BX$2)</f>
        <v>0</v>
      </c>
      <c r="BY134" s="206">
        <f>SUMIFS(領用表!$L:$L,領用表!$E:$E,$B134,領用表!$B:$B,$BW$2&amp;BY$2)</f>
        <v>0</v>
      </c>
      <c r="BZ134" s="206">
        <f>SUMIFS(領用表!$L:$L,領用表!$E:$E,$B134,領用表!$B:$B,$BW$2&amp;BZ$2)</f>
        <v>0</v>
      </c>
      <c r="CA134" s="206">
        <f>SUMIFS(領用表!$L:$L,領用表!$E:$E,$B134,領用表!$B:$B,$BW$2&amp;CA$2)</f>
        <v>0</v>
      </c>
      <c r="CB134" s="208">
        <f>SUMIFS(領用表!$L:$L,領用表!$A:$A,CB$2,領用表!$E:$E,B134)</f>
        <v>0</v>
      </c>
      <c r="CC134" s="206">
        <f>SUMIFS(領用表!$L:$L,領用表!$E:$E,$B134,領用表!$B:$B,CB$2&amp;CC$2)</f>
        <v>0</v>
      </c>
      <c r="CD134" s="206">
        <f>SUMIFS(領用表!$L:$L,領用表!$E:$E,$B134,領用表!$B:$B,$CB$2&amp;CD$2)</f>
        <v>0</v>
      </c>
      <c r="CE134" s="206">
        <f>SUMIFS(領用表!$L:$L,領用表!$E:$E,$B134,領用表!$B:$B,$CB$2&amp;CE$2)</f>
        <v>0</v>
      </c>
      <c r="CF134" s="206">
        <f>SUMIFS(領用表!$L:$L,領用表!$E:$E,$B134,領用表!$B:$B,$CB$2&amp;CF$2)</f>
        <v>0</v>
      </c>
      <c r="CG134" s="208">
        <f>SUMIFS(領用表!$L:$L,領用表!$A:$A,CG$2,領用表!$E:$E,B134)</f>
        <v>0</v>
      </c>
      <c r="CH134" s="206"/>
      <c r="CI134" s="206"/>
      <c r="CJ134" s="206"/>
      <c r="CK134" s="206"/>
      <c r="CL134" s="207">
        <f t="shared" ref="CL134:CL136" si="43">SUM(AX134,AY134,AZ134,BA134,BB134,BC134,BH134,BM134,BR134,BW134,CB134,CG134)</f>
        <v>0</v>
      </c>
      <c r="CM134" s="207">
        <f t="shared" ref="CM134:CM136" si="44">AVERAGE(AX134,AY134,AZ134,BA134,BB134,BC134,BH134,BM134,BR134,BW134,CB134,CG134)</f>
        <v>0</v>
      </c>
      <c r="CN134" s="208">
        <f>SUMIFS(領用表!$L:$L,領用表!$A:$A,CN$2,領用表!$E:$E,B134)</f>
        <v>0</v>
      </c>
      <c r="CO134" s="206">
        <f>SUMIFS(領用表!$L:$L,領用表!$E:$E,$B134,領用表!$B:$B,CN$2&amp;CO$2)</f>
        <v>0</v>
      </c>
      <c r="CP134" s="206">
        <f>SUMIFS(領用表!$L:$L,領用表!$E:$E,$B134,領用表!$B:$B,$CN$2&amp;CP$2)</f>
        <v>0</v>
      </c>
      <c r="CQ134" s="206">
        <f>SUMIFS(領用表!$L:$L,領用表!$E:$E,$B134,領用表!$B:$B,$CN$2&amp;CQ$2)</f>
        <v>0</v>
      </c>
      <c r="CR134" s="206">
        <f>SUMIFS(領用表!$L:$L,領用表!$E:$E,$B134,領用表!$B:$B,$CN$2&amp;CR$2)</f>
        <v>0</v>
      </c>
      <c r="CS134" s="208">
        <f>SUMIFS(領用表!$L:$L,領用表!$A:$A,CS$2,領用表!$E:$E,B134)</f>
        <v>0</v>
      </c>
      <c r="CT134" s="206">
        <f>SUMIFS(領用表!$L:$L,領用表!$E:$E,$B134,領用表!$B:$B,CS$2&amp;CT$2)</f>
        <v>0</v>
      </c>
      <c r="CU134" s="206">
        <f>SUMIFS(領用表!$L:$L,領用表!$E:$E,$B134,領用表!$B:$B,$CS$2&amp;CU$2)</f>
        <v>0</v>
      </c>
      <c r="CV134" s="206">
        <f>SUMIFS(領用表!$L:$L,領用表!$E:$E,$B134,領用表!$B:$B,$CS$2&amp;CV$2)</f>
        <v>0</v>
      </c>
      <c r="CW134" s="206">
        <f>SUMIFS(領用表!$L:$L,領用表!$E:$E,$B134,領用表!$B:$B,$CS$2&amp;CW$2)</f>
        <v>0</v>
      </c>
      <c r="CX134" s="206">
        <f>SUMIFS(領用表!$L:$L,領用表!$E:$E,$B134,領用表!$B:$B,$CS$2&amp;CX$2)</f>
        <v>0</v>
      </c>
      <c r="CY134" s="208">
        <f>SUMIFS(領用表!$L:$L,領用表!$A:$A,CY$2,領用表!$E:$E,B134)</f>
        <v>0</v>
      </c>
      <c r="CZ134" s="206">
        <f>SUMIFS(領用表!$L:$L,領用表!$E:$E,$B134,領用表!$B:$B,CY$2&amp;CZ$2)</f>
        <v>0</v>
      </c>
      <c r="DA134" s="206">
        <f>SUMIFS(領用表!$L:$L,領用表!$E:$E,$B134,領用表!$B:$B,$CY$2&amp;DA$2)</f>
        <v>0</v>
      </c>
      <c r="DB134" s="206">
        <f>SUMIFS(領用表!$L:$L,領用表!$E:$E,$B134,領用表!$B:$B,$CY$2&amp;DB$2)</f>
        <v>0</v>
      </c>
      <c r="DC134" s="206">
        <f>SUMIFS(領用表!$L:$L,領用表!$E:$E,$B134,領用表!$B:$B,$CY$2&amp;DC$2)</f>
        <v>0</v>
      </c>
      <c r="DD134" s="206">
        <f>SUMIFS(領用表!$L:$L,領用表!$E:$E,$B134,領用表!$B:$B,$CY$2&amp;DD$2)</f>
        <v>0</v>
      </c>
      <c r="DE134" s="208">
        <f>SUMIFS(領用表!$L:$L,領用表!$A:$A,DE$2,領用表!$E:$E,B134)</f>
        <v>0</v>
      </c>
      <c r="DF134" s="206">
        <f>SUMIFS(領用表!$L:$L,領用表!$E:$E,$B134,領用表!$B:$B,DE$2&amp;DF$2)</f>
        <v>0</v>
      </c>
      <c r="DG134" s="206">
        <f>SUMIFS(領用表!$L:$L,領用表!$E:$E,$B134,領用表!$B:$B,$DE$2&amp;DG$2)</f>
        <v>0</v>
      </c>
      <c r="DH134" s="206">
        <f>SUMIFS(領用表!$L:$L,領用表!$E:$E,$B134,領用表!$B:$B,$DE$2&amp;DH$2)</f>
        <v>0</v>
      </c>
      <c r="DI134" s="206">
        <f>SUMIFS(領用表!$L:$L,領用表!$E:$E,$B134,領用表!$B:$B,$DE$2&amp;DI$2)</f>
        <v>0</v>
      </c>
      <c r="DJ134" s="206">
        <f>SUMIFS(領用表!$L:$L,領用表!$E:$E,$B134,領用表!$B:$B,$DE$2&amp;DJ$2)</f>
        <v>0</v>
      </c>
      <c r="DK134" s="208">
        <f>SUMIFS(領用表!$L:$L,領用表!$A:$A,DK$2,領用表!$E:$E,$B134)</f>
        <v>0</v>
      </c>
      <c r="DL134" s="206">
        <f>SUMIFS(領用表!$L:$L,領用表!$E:$E,$B134,領用表!$B:$B,DK$2&amp;DL$2)</f>
        <v>0</v>
      </c>
      <c r="DM134" s="206">
        <f>SUMIFS(領用表!$L:$L,領用表!$E:$E,$B134,領用表!$B:$B,$DK$2&amp;DM$2)</f>
        <v>0</v>
      </c>
      <c r="DN134" s="206">
        <f>SUMIFS(領用表!$L:$L,領用表!$E:$E,$B134,領用表!$B:$B,$DK$2&amp;DN$2)</f>
        <v>0</v>
      </c>
      <c r="DO134" s="206">
        <f>SUMIFS(領用表!$L:$L,領用表!$E:$E,$B134,領用表!$B:$B,$DK$2&amp;DO$2)</f>
        <v>0</v>
      </c>
      <c r="DP134" s="206">
        <f>SUMIFS(領用表!$L:$L,領用表!$E:$E,$B134,領用表!$B:$B,$DK$2&amp;DP$2)</f>
        <v>0</v>
      </c>
      <c r="DQ134" s="206">
        <f t="shared" si="36"/>
        <v>0</v>
      </c>
      <c r="DR134" s="206">
        <f t="shared" si="37"/>
        <v>0</v>
      </c>
      <c r="DS134" s="206">
        <f t="shared" si="27"/>
        <v>0</v>
      </c>
      <c r="DT134" s="206">
        <v>0</v>
      </c>
      <c r="DU134" s="206">
        <v>0</v>
      </c>
      <c r="DV134" s="206">
        <v>0</v>
      </c>
      <c r="DW134" s="206">
        <v>0</v>
      </c>
      <c r="DX134" s="258"/>
      <c r="DY134" s="283"/>
      <c r="DZ134" s="283"/>
      <c r="EA134" s="283"/>
      <c r="EB134" s="136"/>
      <c r="EC134" s="136"/>
      <c r="EE134" s="213"/>
    </row>
    <row r="135" spans="1:138" s="118" customFormat="1" ht="15.75" customHeight="1" thickBot="1">
      <c r="A135" s="320" t="s">
        <v>776</v>
      </c>
      <c r="B135" s="325">
        <v>6120043</v>
      </c>
      <c r="C135" s="136" t="s">
        <v>777</v>
      </c>
      <c r="D135" s="285"/>
      <c r="E135" s="198"/>
      <c r="F135" s="225">
        <f>SUMIF(站前4樓!B:B,B135,站前4樓!F:F)</f>
        <v>0</v>
      </c>
      <c r="G135" s="225">
        <f>SUMIF(站前11樓!B:B,B135,站前11樓!F:F)</f>
        <v>0</v>
      </c>
      <c r="H135" s="225">
        <f>SUMIF(忠孝7樓!B:B,B135,忠孝7樓!G:G)</f>
        <v>0</v>
      </c>
      <c r="I135" s="225">
        <f>SUMIF(忠孝國際醫學3樓!B:B,B135,忠孝國際醫學3樓!G:G)</f>
        <v>0</v>
      </c>
      <c r="J135" s="225">
        <f>SUMIF(忠孝健康7樓!B:B,B135,忠孝健康7樓!G:G)</f>
        <v>0</v>
      </c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  <c r="AA135" s="283"/>
      <c r="AB135" s="283"/>
      <c r="AC135" s="283"/>
      <c r="AD135" s="283"/>
      <c r="AE135" s="283"/>
      <c r="AF135" s="283"/>
      <c r="AG135" s="283"/>
      <c r="AH135" s="283"/>
      <c r="AI135" s="283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  <c r="AU135" s="201"/>
      <c r="AV135" s="283"/>
      <c r="AW135" s="286"/>
      <c r="AX135" s="201"/>
      <c r="AY135" s="201"/>
      <c r="AZ135" s="201"/>
      <c r="BA135" s="201"/>
      <c r="BB135" s="201"/>
      <c r="BC135" s="203"/>
      <c r="BD135" s="287"/>
      <c r="BE135" s="287"/>
      <c r="BF135" s="287"/>
      <c r="BG135" s="206"/>
      <c r="BH135" s="203">
        <f>SUMIFS(領用表!$L:$L,領用表!$A:$A,BH$2,領用表!$E:$E,B135)</f>
        <v>0</v>
      </c>
      <c r="BI135" s="260">
        <f>SUMIFS(領用表!$L:$L,領用表!$E:$E,$B135,領用表!$B:$B,BH$2&amp;BI$2)</f>
        <v>0</v>
      </c>
      <c r="BJ135" s="260">
        <f>SUMIFS(領用表!$L:$L,領用表!$E:$E,$B135,領用表!$B:$B,$BH$2&amp;BJ$2)</f>
        <v>0</v>
      </c>
      <c r="BK135" s="260">
        <f>SUMIFS(領用表!$L:$L,領用表!$E:$E,$B135,領用表!$B:$B,$BH$2&amp;BK$2)</f>
        <v>0</v>
      </c>
      <c r="BL135" s="260">
        <f>SUMIFS(領用表!$L:$L,領用表!$E:$E,$B135,領用表!$B:$B,$BH$2&amp;BL$2)</f>
        <v>0</v>
      </c>
      <c r="BM135" s="203">
        <f>SUMIFS(領用表!$L:$L,領用表!$A:$A,BM$2,領用表!$E:$E,B135)</f>
        <v>0</v>
      </c>
      <c r="BN135" s="206"/>
      <c r="BO135" s="206"/>
      <c r="BP135" s="288"/>
      <c r="BQ135" s="287"/>
      <c r="BR135" s="203">
        <f>SUMIFS(領用表!$L:$L,領用表!$A:$A,BR$2,領用表!$E:$E,B135)</f>
        <v>0</v>
      </c>
      <c r="BS135" s="288">
        <f>SUMIFS(領用表!$L:$L,領用表!$E:$E,$B135,領用表!$B:$B,BR$2&amp;BS$2)</f>
        <v>0</v>
      </c>
      <c r="BT135" s="288">
        <f>SUMIFS(領用表!$L:$L,領用表!$E:$E,$B135,領用表!$B:$B,$BR$2&amp;BT$2)</f>
        <v>0</v>
      </c>
      <c r="BU135" s="288">
        <f>SUMIFS(領用表!$L:$L,領用表!$E:$E,$B135,領用表!$B:$B,$BR$2&amp;BU$2)</f>
        <v>0</v>
      </c>
      <c r="BV135" s="287">
        <f>SUMIFS(領用表!$L:$L,領用表!$E:$E,$B135,領用表!$B:$B,$BR$2&amp;BV$2)</f>
        <v>0</v>
      </c>
      <c r="BW135" s="208">
        <f>SUMIFS(領用表!$L:$L,領用表!$A:$A,BW$2,領用表!$E:$E,B135)</f>
        <v>0</v>
      </c>
      <c r="BX135" s="206">
        <f>SUMIFS(領用表!$L:$L,領用表!$E:$E,$B135,領用表!$B:$B,BW$2&amp;BX$2)</f>
        <v>0</v>
      </c>
      <c r="BY135" s="206">
        <f>SUMIFS(領用表!$L:$L,領用表!$E:$E,$B135,領用表!$B:$B,$BW$2&amp;BY$2)</f>
        <v>0</v>
      </c>
      <c r="BZ135" s="206">
        <f>SUMIFS(領用表!$L:$L,領用表!$E:$E,$B135,領用表!$B:$B,$BW$2&amp;BZ$2)</f>
        <v>0</v>
      </c>
      <c r="CA135" s="206">
        <f>SUMIFS(領用表!$L:$L,領用表!$E:$E,$B135,領用表!$B:$B,$BW$2&amp;CA$2)</f>
        <v>0</v>
      </c>
      <c r="CB135" s="208">
        <f>SUMIFS(領用表!$L:$L,領用表!$A:$A,CB$2,領用表!$E:$E,B135)</f>
        <v>0</v>
      </c>
      <c r="CC135" s="206">
        <f>SUMIFS(領用表!$L:$L,領用表!$E:$E,$B135,領用表!$B:$B,CB$2&amp;CC$2)</f>
        <v>0</v>
      </c>
      <c r="CD135" s="206">
        <f>SUMIFS(領用表!$L:$L,領用表!$E:$E,$B135,領用表!$B:$B,$CB$2&amp;CD$2)</f>
        <v>0</v>
      </c>
      <c r="CE135" s="206">
        <f>SUMIFS(領用表!$L:$L,領用表!$E:$E,$B135,領用表!$B:$B,$CB$2&amp;CE$2)</f>
        <v>0</v>
      </c>
      <c r="CF135" s="206">
        <f>SUMIFS(領用表!$L:$L,領用表!$E:$E,$B135,領用表!$B:$B,$CB$2&amp;CF$2)</f>
        <v>0</v>
      </c>
      <c r="CG135" s="208">
        <f>SUMIFS(領用表!$L:$L,領用表!$A:$A,CG$2,領用表!$E:$E,B135)</f>
        <v>0</v>
      </c>
      <c r="CH135" s="206"/>
      <c r="CI135" s="206"/>
      <c r="CJ135" s="206"/>
      <c r="CK135" s="206"/>
      <c r="CL135" s="207">
        <f t="shared" si="43"/>
        <v>0</v>
      </c>
      <c r="CM135" s="207">
        <f t="shared" si="44"/>
        <v>0</v>
      </c>
      <c r="CN135" s="208">
        <f>SUMIFS(領用表!$L:$L,領用表!$A:$A,CN$2,領用表!$E:$E,B135)</f>
        <v>0</v>
      </c>
      <c r="CO135" s="206">
        <f>SUMIFS(領用表!$L:$L,領用表!$E:$E,$B135,領用表!$B:$B,CN$2&amp;CO$2)</f>
        <v>0</v>
      </c>
      <c r="CP135" s="206">
        <f>SUMIFS(領用表!$L:$L,領用表!$E:$E,$B135,領用表!$B:$B,$CN$2&amp;CP$2)</f>
        <v>0</v>
      </c>
      <c r="CQ135" s="206">
        <f>SUMIFS(領用表!$L:$L,領用表!$E:$E,$B135,領用表!$B:$B,$CN$2&amp;CQ$2)</f>
        <v>0</v>
      </c>
      <c r="CR135" s="206">
        <f>SUMIFS(領用表!$L:$L,領用表!$E:$E,$B135,領用表!$B:$B,$CN$2&amp;CR$2)</f>
        <v>0</v>
      </c>
      <c r="CS135" s="208">
        <f>SUMIFS(領用表!$L:$L,領用表!$A:$A,CS$2,領用表!$E:$E,B135)</f>
        <v>0</v>
      </c>
      <c r="CT135" s="206">
        <f>SUMIFS(領用表!$L:$L,領用表!$E:$E,$B135,領用表!$B:$B,CS$2&amp;CT$2)</f>
        <v>0</v>
      </c>
      <c r="CU135" s="206">
        <f>SUMIFS(領用表!$L:$L,領用表!$E:$E,$B135,領用表!$B:$B,$CS$2&amp;CU$2)</f>
        <v>0</v>
      </c>
      <c r="CV135" s="206">
        <f>SUMIFS(領用表!$L:$L,領用表!$E:$E,$B135,領用表!$B:$B,$CS$2&amp;CV$2)</f>
        <v>0</v>
      </c>
      <c r="CW135" s="206">
        <f>SUMIFS(領用表!$L:$L,領用表!$E:$E,$B135,領用表!$B:$B,$CS$2&amp;CW$2)</f>
        <v>0</v>
      </c>
      <c r="CX135" s="206">
        <f>SUMIFS(領用表!$L:$L,領用表!$E:$E,$B135,領用表!$B:$B,$CS$2&amp;CX$2)</f>
        <v>0</v>
      </c>
      <c r="CY135" s="208">
        <f>SUMIFS(領用表!$L:$L,領用表!$A:$A,CY$2,領用表!$E:$E,B135)</f>
        <v>0</v>
      </c>
      <c r="CZ135" s="206">
        <f>SUMIFS(領用表!$L:$L,領用表!$E:$E,$B135,領用表!$B:$B,CY$2&amp;CZ$2)</f>
        <v>0</v>
      </c>
      <c r="DA135" s="206">
        <f>SUMIFS(領用表!$L:$L,領用表!$E:$E,$B135,領用表!$B:$B,$CY$2&amp;DA$2)</f>
        <v>0</v>
      </c>
      <c r="DB135" s="206">
        <f>SUMIFS(領用表!$L:$L,領用表!$E:$E,$B135,領用表!$B:$B,$CY$2&amp;DB$2)</f>
        <v>0</v>
      </c>
      <c r="DC135" s="206">
        <f>SUMIFS(領用表!$L:$L,領用表!$E:$E,$B135,領用表!$B:$B,$CY$2&amp;DC$2)</f>
        <v>0</v>
      </c>
      <c r="DD135" s="206">
        <f>SUMIFS(領用表!$L:$L,領用表!$E:$E,$B135,領用表!$B:$B,$CY$2&amp;DD$2)</f>
        <v>0</v>
      </c>
      <c r="DE135" s="208">
        <f>SUMIFS(領用表!$L:$L,領用表!$A:$A,DE$2,領用表!$E:$E,B135)</f>
        <v>0</v>
      </c>
      <c r="DF135" s="206">
        <f>SUMIFS(領用表!$L:$L,領用表!$E:$E,$B135,領用表!$B:$B,DE$2&amp;DF$2)</f>
        <v>0</v>
      </c>
      <c r="DG135" s="206">
        <f>SUMIFS(領用表!$L:$L,領用表!$E:$E,$B135,領用表!$B:$B,$DE$2&amp;DG$2)</f>
        <v>0</v>
      </c>
      <c r="DH135" s="206">
        <f>SUMIFS(領用表!$L:$L,領用表!$E:$E,$B135,領用表!$B:$B,$DE$2&amp;DH$2)</f>
        <v>0</v>
      </c>
      <c r="DI135" s="206">
        <f>SUMIFS(領用表!$L:$L,領用表!$E:$E,$B135,領用表!$B:$B,$DE$2&amp;DI$2)</f>
        <v>0</v>
      </c>
      <c r="DJ135" s="206">
        <f>SUMIFS(領用表!$L:$L,領用表!$E:$E,$B135,領用表!$B:$B,$DE$2&amp;DJ$2)</f>
        <v>0</v>
      </c>
      <c r="DK135" s="208">
        <f>SUMIFS(領用表!$L:$L,領用表!$A:$A,DK$2,領用表!$E:$E,$B135)</f>
        <v>0</v>
      </c>
      <c r="DL135" s="206">
        <f>SUMIFS(領用表!$L:$L,領用表!$E:$E,$B135,領用表!$B:$B,DK$2&amp;DL$2)</f>
        <v>0</v>
      </c>
      <c r="DM135" s="206">
        <f>SUMIFS(領用表!$L:$L,領用表!$E:$E,$B135,領用表!$B:$B,$DK$2&amp;DM$2)</f>
        <v>0</v>
      </c>
      <c r="DN135" s="206">
        <f>SUMIFS(領用表!$L:$L,領用表!$E:$E,$B135,領用表!$B:$B,$DK$2&amp;DN$2)</f>
        <v>0</v>
      </c>
      <c r="DO135" s="206">
        <f>SUMIFS(領用表!$L:$L,領用表!$E:$E,$B135,領用表!$B:$B,$DK$2&amp;DO$2)</f>
        <v>0</v>
      </c>
      <c r="DP135" s="206">
        <f>SUMIFS(領用表!$L:$L,領用表!$E:$E,$B135,領用表!$B:$B,$DK$2&amp;DP$2)</f>
        <v>0</v>
      </c>
      <c r="DQ135" s="206">
        <f t="shared" si="36"/>
        <v>0</v>
      </c>
      <c r="DR135" s="206">
        <f t="shared" si="37"/>
        <v>0</v>
      </c>
      <c r="DS135" s="206">
        <f t="shared" si="27"/>
        <v>0</v>
      </c>
      <c r="DT135" s="206">
        <v>0</v>
      </c>
      <c r="DU135" s="206">
        <v>0</v>
      </c>
      <c r="DV135" s="206">
        <v>0</v>
      </c>
      <c r="DW135" s="206">
        <v>0</v>
      </c>
      <c r="DX135" s="258"/>
      <c r="DY135" s="283"/>
      <c r="DZ135" s="283"/>
      <c r="EA135" s="283"/>
      <c r="EB135" s="136"/>
      <c r="EC135" s="136"/>
      <c r="EE135" s="213"/>
    </row>
    <row r="136" spans="1:138" s="128" customFormat="1" ht="15.75" customHeight="1" thickBot="1">
      <c r="A136" s="308" t="s">
        <v>779</v>
      </c>
      <c r="B136" s="230">
        <v>6120044</v>
      </c>
      <c r="C136" s="328" t="s">
        <v>838</v>
      </c>
      <c r="D136" s="310"/>
      <c r="E136" s="311"/>
      <c r="F136" s="312">
        <f>SUMIF(站前4樓!B:B,B136,站前4樓!F:F)</f>
        <v>0</v>
      </c>
      <c r="G136" s="312">
        <f>SUMIF(站前11樓!B:B,B136,站前11樓!F:F)</f>
        <v>0</v>
      </c>
      <c r="H136" s="312">
        <f>SUMIF(忠孝7樓!B:B,B136,忠孝7樓!G:G)</f>
        <v>8</v>
      </c>
      <c r="I136" s="312">
        <f>SUMIF(忠孝國際醫學3樓!B:B,B136,忠孝國際醫學3樓!G:G)</f>
        <v>0</v>
      </c>
      <c r="J136" s="312">
        <f>SUMIF(忠孝健康7樓!B:B,B136,忠孝健康7樓!G:G)</f>
        <v>0</v>
      </c>
      <c r="K136" s="313"/>
      <c r="L136" s="313"/>
      <c r="M136" s="313"/>
      <c r="N136" s="313"/>
      <c r="O136" s="313"/>
      <c r="P136" s="313"/>
      <c r="Q136" s="313"/>
      <c r="R136" s="313"/>
      <c r="S136" s="313"/>
      <c r="T136" s="313"/>
      <c r="U136" s="313"/>
      <c r="V136" s="313"/>
      <c r="W136" s="313"/>
      <c r="X136" s="313"/>
      <c r="Y136" s="313"/>
      <c r="Z136" s="313"/>
      <c r="AA136" s="313"/>
      <c r="AB136" s="313"/>
      <c r="AC136" s="313"/>
      <c r="AD136" s="313"/>
      <c r="AE136" s="313"/>
      <c r="AF136" s="313"/>
      <c r="AG136" s="313"/>
      <c r="AH136" s="313"/>
      <c r="AI136" s="313"/>
      <c r="AJ136" s="237"/>
      <c r="AK136" s="237"/>
      <c r="AL136" s="237"/>
      <c r="AM136" s="237"/>
      <c r="AN136" s="237"/>
      <c r="AO136" s="237"/>
      <c r="AP136" s="237"/>
      <c r="AQ136" s="237"/>
      <c r="AR136" s="237"/>
      <c r="AS136" s="237"/>
      <c r="AT136" s="237"/>
      <c r="AU136" s="237"/>
      <c r="AV136" s="313"/>
      <c r="AW136" s="314"/>
      <c r="AX136" s="237"/>
      <c r="AY136" s="237"/>
      <c r="AZ136" s="237"/>
      <c r="BA136" s="237"/>
      <c r="BB136" s="237"/>
      <c r="BC136" s="239"/>
      <c r="BD136" s="315"/>
      <c r="BE136" s="315"/>
      <c r="BF136" s="315"/>
      <c r="BG136" s="242"/>
      <c r="BH136" s="239">
        <f>SUMIFS(領用表!$L:$L,領用表!$A:$A,BH$2,領用表!$E:$E,B136)</f>
        <v>0</v>
      </c>
      <c r="BI136" s="316">
        <f>SUMIFS(領用表!$L:$L,領用表!$E:$E,$B136,領用表!$B:$B,BH$2&amp;BI$2)</f>
        <v>0</v>
      </c>
      <c r="BJ136" s="316">
        <f>SUMIFS(領用表!$L:$L,領用表!$E:$E,$B136,領用表!$B:$B,$BH$2&amp;BJ$2)</f>
        <v>0</v>
      </c>
      <c r="BK136" s="316">
        <f>SUMIFS(領用表!$L:$L,領用表!$E:$E,$B136,領用表!$B:$B,$BH$2&amp;BK$2)</f>
        <v>0</v>
      </c>
      <c r="BL136" s="316">
        <f>SUMIFS(領用表!$L:$L,領用表!$E:$E,$B136,領用表!$B:$B,$BH$2&amp;BL$2)</f>
        <v>0</v>
      </c>
      <c r="BM136" s="239">
        <f>SUMIFS(領用表!$L:$L,領用表!$A:$A,BM$2,領用表!$E:$E,B136)</f>
        <v>0</v>
      </c>
      <c r="BN136" s="242"/>
      <c r="BO136" s="242"/>
      <c r="BP136" s="317"/>
      <c r="BQ136" s="315"/>
      <c r="BR136" s="239">
        <f>SUMIFS(領用表!$L:$L,領用表!$A:$A,BR$2,領用表!$E:$E,B136)</f>
        <v>0</v>
      </c>
      <c r="BS136" s="317">
        <f>SUMIFS(領用表!$L:$L,領用表!$E:$E,$B136,領用表!$B:$B,BR$2&amp;BS$2)</f>
        <v>0</v>
      </c>
      <c r="BT136" s="317">
        <f>SUMIFS(領用表!$L:$L,領用表!$E:$E,$B136,領用表!$B:$B,$BR$2&amp;BT$2)</f>
        <v>0</v>
      </c>
      <c r="BU136" s="317">
        <f>SUMIFS(領用表!$L:$L,領用表!$E:$E,$B136,領用表!$B:$B,$BR$2&amp;BU$2)</f>
        <v>0</v>
      </c>
      <c r="BV136" s="315">
        <f>SUMIFS(領用表!$L:$L,領用表!$E:$E,$B136,領用表!$B:$B,$BR$2&amp;BV$2)</f>
        <v>0</v>
      </c>
      <c r="BW136" s="243">
        <f>SUMIFS(領用表!$L:$L,領用表!$A:$A,BW$2,領用表!$E:$E,B136)</f>
        <v>0</v>
      </c>
      <c r="BX136" s="242">
        <f>SUMIFS(領用表!$L:$L,領用表!$E:$E,$B136,領用表!$B:$B,BW$2&amp;BX$2)</f>
        <v>0</v>
      </c>
      <c r="BY136" s="242">
        <f>SUMIFS(領用表!$L:$L,領用表!$E:$E,$B136,領用表!$B:$B,$BW$2&amp;BY$2)</f>
        <v>0</v>
      </c>
      <c r="BZ136" s="242">
        <f>SUMIFS(領用表!$L:$L,領用表!$E:$E,$B136,領用表!$B:$B,$BW$2&amp;BZ$2)</f>
        <v>0</v>
      </c>
      <c r="CA136" s="242">
        <f>SUMIFS(領用表!$L:$L,領用表!$E:$E,$B136,領用表!$B:$B,$BW$2&amp;CA$2)</f>
        <v>0</v>
      </c>
      <c r="CB136" s="243">
        <f>SUMIFS(領用表!$L:$L,領用表!$A:$A,CB$2,領用表!$E:$E,B136)</f>
        <v>0</v>
      </c>
      <c r="CC136" s="242">
        <f>SUMIFS(領用表!$L:$L,領用表!$E:$E,$B136,領用表!$B:$B,CB$2&amp;CC$2)</f>
        <v>0</v>
      </c>
      <c r="CD136" s="242">
        <f>SUMIFS(領用表!$L:$L,領用表!$E:$E,$B136,領用表!$B:$B,$CB$2&amp;CD$2)</f>
        <v>0</v>
      </c>
      <c r="CE136" s="242">
        <f>SUMIFS(領用表!$L:$L,領用表!$E:$E,$B136,領用表!$B:$B,$CB$2&amp;CE$2)</f>
        <v>0</v>
      </c>
      <c r="CF136" s="242">
        <f>SUMIFS(領用表!$L:$L,領用表!$E:$E,$B136,領用表!$B:$B,$CB$2&amp;CF$2)</f>
        <v>0</v>
      </c>
      <c r="CG136" s="243">
        <f>SUMIFS(領用表!$L:$L,領用表!$A:$A,CG$2,領用表!$E:$E,B136)</f>
        <v>0</v>
      </c>
      <c r="CH136" s="242"/>
      <c r="CI136" s="242"/>
      <c r="CJ136" s="242"/>
      <c r="CK136" s="242"/>
      <c r="CL136" s="244">
        <f t="shared" si="43"/>
        <v>0</v>
      </c>
      <c r="CM136" s="244">
        <f t="shared" si="44"/>
        <v>0</v>
      </c>
      <c r="CN136" s="243">
        <f>SUMIFS(領用表!$L:$L,領用表!$A:$A,CN$2,領用表!$E:$E,B136)</f>
        <v>0</v>
      </c>
      <c r="CO136" s="242">
        <f>SUMIFS(領用表!$L:$L,領用表!$E:$E,$B136,領用表!$B:$B,CN$2&amp;CO$2)</f>
        <v>0</v>
      </c>
      <c r="CP136" s="242">
        <f>SUMIFS(領用表!$L:$L,領用表!$E:$E,$B136,領用表!$B:$B,$CN$2&amp;CP$2)</f>
        <v>0</v>
      </c>
      <c r="CQ136" s="242">
        <f>SUMIFS(領用表!$L:$L,領用表!$E:$E,$B136,領用表!$B:$B,$CN$2&amp;CQ$2)</f>
        <v>0</v>
      </c>
      <c r="CR136" s="242">
        <f>SUMIFS(領用表!$L:$L,領用表!$E:$E,$B136,領用表!$B:$B,$CN$2&amp;CR$2)</f>
        <v>0</v>
      </c>
      <c r="CS136" s="243">
        <f>SUMIFS(領用表!$L:$L,領用表!$A:$A,CS$2,領用表!$E:$E,B136)</f>
        <v>0</v>
      </c>
      <c r="CT136" s="243">
        <f>SUMIFS(領用表!$L:$L,領用表!$E:$E,$B136,領用表!$B:$B,CS$2&amp;CT$2)</f>
        <v>0</v>
      </c>
      <c r="CU136" s="243">
        <f>SUMIFS(領用表!$L:$L,領用表!$E:$E,$B136,領用表!$B:$B,$CS$2&amp;CU$2)</f>
        <v>0</v>
      </c>
      <c r="CV136" s="243">
        <f>SUMIFS(領用表!$L:$L,領用表!$E:$E,$B136,領用表!$B:$B,$CS$2&amp;CV$2)</f>
        <v>0</v>
      </c>
      <c r="CW136" s="243">
        <f>SUMIFS(領用表!$L:$L,領用表!$E:$E,$B136,領用表!$B:$B,$CS$2&amp;CW$2)</f>
        <v>0</v>
      </c>
      <c r="CX136" s="243">
        <f>SUMIFS(領用表!$L:$L,領用表!$E:$E,$B136,領用表!$B:$B,$CS$2&amp;CX$2)</f>
        <v>0</v>
      </c>
      <c r="CY136" s="243">
        <f>SUMIFS(領用表!$L:$L,領用表!$A:$A,CY$2,領用表!$E:$E,B136)</f>
        <v>0</v>
      </c>
      <c r="CZ136" s="242">
        <f>SUMIFS(領用表!$L:$L,領用表!$E:$E,$B136,領用表!$B:$B,CY$2&amp;CZ$2)</f>
        <v>0</v>
      </c>
      <c r="DA136" s="242">
        <f>SUMIFS(領用表!$L:$L,領用表!$E:$E,$B136,領用表!$B:$B,$CY$2&amp;DA$2)</f>
        <v>0</v>
      </c>
      <c r="DB136" s="242">
        <f>SUMIFS(領用表!$L:$L,領用表!$E:$E,$B136,領用表!$B:$B,$CY$2&amp;DB$2)</f>
        <v>0</v>
      </c>
      <c r="DC136" s="242">
        <f>SUMIFS(領用表!$L:$L,領用表!$E:$E,$B136,領用表!$B:$B,$CY$2&amp;DC$2)</f>
        <v>0</v>
      </c>
      <c r="DD136" s="242">
        <f>SUMIFS(領用表!$L:$L,領用表!$E:$E,$B136,領用表!$B:$B,$CY$2&amp;DD$2)</f>
        <v>0</v>
      </c>
      <c r="DE136" s="243">
        <f>SUMIFS(領用表!$L:$L,領用表!$A:$A,DE$2,領用表!$E:$E,B136)</f>
        <v>2</v>
      </c>
      <c r="DF136" s="242">
        <f>SUMIFS(領用表!$L:$L,領用表!$E:$E,$B136,領用表!$B:$B,DE$2&amp;DF$2)</f>
        <v>0</v>
      </c>
      <c r="DG136" s="242">
        <f>SUMIFS(領用表!$L:$L,領用表!$E:$E,$B136,領用表!$B:$B,$DE$2&amp;DG$2)</f>
        <v>0</v>
      </c>
      <c r="DH136" s="242">
        <f>SUMIFS(領用表!$L:$L,領用表!$E:$E,$B136,領用表!$B:$B,$DE$2&amp;DH$2)</f>
        <v>0</v>
      </c>
      <c r="DI136" s="242">
        <f>SUMIFS(領用表!$L:$L,領用表!$E:$E,$B136,領用表!$B:$B,$DE$2&amp;DI$2)</f>
        <v>0</v>
      </c>
      <c r="DJ136" s="242">
        <f>SUMIFS(領用表!$L:$L,領用表!$E:$E,$B136,領用表!$B:$B,$DE$2&amp;DJ$2)</f>
        <v>2</v>
      </c>
      <c r="DK136" s="243">
        <f>SUMIFS(領用表!$L:$L,領用表!$A:$A,DK$2,領用表!$E:$E,$B136)</f>
        <v>1</v>
      </c>
      <c r="DL136" s="242">
        <f>SUMIFS(領用表!$L:$L,領用表!$E:$E,$B136,領用表!$B:$B,DK$2&amp;DL$2)</f>
        <v>0</v>
      </c>
      <c r="DM136" s="242">
        <f>SUMIFS(領用表!$L:$L,領用表!$E:$E,$B136,領用表!$B:$B,$DK$2&amp;DM$2)</f>
        <v>0</v>
      </c>
      <c r="DN136" s="242">
        <f>SUMIFS(領用表!$L:$L,領用表!$E:$E,$B136,領用表!$B:$B,$DK$2&amp;DN$2)</f>
        <v>1</v>
      </c>
      <c r="DO136" s="242">
        <f>SUMIFS(領用表!$L:$L,領用表!$E:$E,$B136,領用表!$B:$B,$DK$2&amp;DO$2)</f>
        <v>0</v>
      </c>
      <c r="DP136" s="242">
        <f>SUMIFS(領用表!$L:$L,領用表!$E:$E,$B136,領用表!$B:$B,$DK$2&amp;DP$2)</f>
        <v>0</v>
      </c>
      <c r="DQ136" s="242">
        <f t="shared" si="36"/>
        <v>3</v>
      </c>
      <c r="DR136" s="242">
        <f t="shared" si="37"/>
        <v>0.6</v>
      </c>
      <c r="DS136" s="242">
        <f t="shared" si="27"/>
        <v>0</v>
      </c>
      <c r="DT136" s="242">
        <v>0</v>
      </c>
      <c r="DU136" s="242">
        <v>0</v>
      </c>
      <c r="DV136" s="242">
        <v>0</v>
      </c>
      <c r="DW136" s="242">
        <v>0</v>
      </c>
      <c r="DX136" s="318"/>
      <c r="DY136" s="313"/>
      <c r="DZ136" s="313"/>
      <c r="EA136" s="313"/>
      <c r="EB136" s="248"/>
      <c r="EC136" s="248"/>
      <c r="EE136" s="250"/>
    </row>
    <row r="137" spans="1:138" s="118" customFormat="1" ht="15.75" customHeight="1">
      <c r="A137" s="136"/>
      <c r="C137" s="136" t="s">
        <v>536</v>
      </c>
      <c r="D137" s="285">
        <v>60</v>
      </c>
      <c r="E137" s="198" t="s">
        <v>15</v>
      </c>
      <c r="F137" s="225">
        <f>SUMIF(站前4樓!B:B,B137,站前4樓!F:F)</f>
        <v>0</v>
      </c>
      <c r="G137" s="225">
        <f>SUMIF(站前11樓!B:B,B137,站前11樓!F:F)</f>
        <v>0</v>
      </c>
      <c r="H137" s="225">
        <f>SUMIF(忠孝7樓!B:B,B137,忠孝7樓!G:G)</f>
        <v>0</v>
      </c>
      <c r="I137" s="225">
        <f>SUMIF(忠孝國際醫學3樓!B:B,B137,忠孝國際醫學3樓!G:G)</f>
        <v>0</v>
      </c>
      <c r="J137" s="225">
        <f>SUMIF(忠孝健康7樓!B:B,B137,忠孝健康7樓!G:G)</f>
        <v>0</v>
      </c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83"/>
      <c r="AB137" s="283"/>
      <c r="AC137" s="283"/>
      <c r="AD137" s="283"/>
      <c r="AE137" s="283"/>
      <c r="AF137" s="283"/>
      <c r="AG137" s="283"/>
      <c r="AH137" s="283"/>
      <c r="AI137" s="283"/>
      <c r="AJ137" s="201"/>
      <c r="AK137" s="201"/>
      <c r="AL137" s="201"/>
      <c r="AM137" s="201"/>
      <c r="AN137" s="201"/>
      <c r="AO137" s="201"/>
      <c r="AP137" s="201"/>
      <c r="AQ137" s="201"/>
      <c r="AR137" s="201"/>
      <c r="AS137" s="201"/>
      <c r="AT137" s="201"/>
      <c r="AU137" s="201"/>
      <c r="AV137" s="283">
        <f t="shared" si="32"/>
        <v>0</v>
      </c>
      <c r="AW137" s="286">
        <f t="shared" si="33"/>
        <v>0</v>
      </c>
      <c r="AX137" s="201">
        <v>0</v>
      </c>
      <c r="AY137" s="201">
        <v>0</v>
      </c>
      <c r="AZ137" s="201">
        <v>2</v>
      </c>
      <c r="BA137" s="201">
        <v>3</v>
      </c>
      <c r="BB137" s="201">
        <v>1</v>
      </c>
      <c r="BC137" s="203">
        <f>SUMIFS(領用表!$L:$L,領用表!$A:$A,BC$2,領用表!$E:$E,B137)</f>
        <v>0</v>
      </c>
      <c r="BD137" s="287">
        <f>SUMIFS(領用表!$L:$L,領用表!$E:$E,$B137,領用表!$B:$B,BC$2&amp;BD$2)</f>
        <v>0</v>
      </c>
      <c r="BE137" s="287">
        <f>SUMIFS(領用表!$L:$L,領用表!$E:$E,$B137,領用表!$B:$B,$BC$2&amp;BE$2)</f>
        <v>0</v>
      </c>
      <c r="BF137" s="287">
        <f>SUMIFS(領用表!$L:$L,領用表!$E:$E,$B137,領用表!$B:$B,$BC$2&amp;BF$2)</f>
        <v>0</v>
      </c>
      <c r="BG137" s="206">
        <f>SUMIFS(領用表!$L:$L,領用表!$E:$E,$B137,領用表!$B:$B,$BC$2&amp;BG$2)</f>
        <v>0</v>
      </c>
      <c r="BH137" s="203">
        <f>SUMIFS(領用表!$L:$L,領用表!$A:$A,BH$2,領用表!$E:$E,B137)</f>
        <v>0</v>
      </c>
      <c r="BI137" s="260">
        <f>SUMIFS(領用表!$L:$L,領用表!$E:$E,$B137,領用表!$B:$B,BH$2&amp;BI$2)</f>
        <v>0</v>
      </c>
      <c r="BJ137" s="260">
        <f>SUMIFS(領用表!$L:$L,領用表!$E:$E,$B137,領用表!$B:$B,$BH$2&amp;BJ$2)</f>
        <v>0</v>
      </c>
      <c r="BK137" s="260">
        <f>SUMIFS(領用表!$L:$L,領用表!$E:$E,$B137,領用表!$B:$B,$BH$2&amp;BK$2)</f>
        <v>0</v>
      </c>
      <c r="BL137" s="260">
        <f>SUMIFS(領用表!$L:$L,領用表!$E:$E,$B137,領用表!$B:$B,$BH$2&amp;BL$2)</f>
        <v>0</v>
      </c>
      <c r="BM137" s="203">
        <f>SUMIFS(領用表!$L:$L,領用表!$A:$A,BM$2,領用表!$E:$E,B137)</f>
        <v>0</v>
      </c>
      <c r="BN137" s="206">
        <f>SUMIFS(領用表!$L:$L,領用表!$E:$E,$B137,領用表!$B:$B,BM$2&amp;BN$2)</f>
        <v>0</v>
      </c>
      <c r="BO137" s="206">
        <f>SUMIFS(領用表!$L:$L,領用表!$E:$E,$B137,領用表!$B:$B,$BM$2&amp;BO$2)</f>
        <v>0</v>
      </c>
      <c r="BP137" s="288">
        <f>SUMIFS(領用表!$L:$L,領用表!$E:$E,$B137,領用表!$B:$B,$BM$2&amp;BP$2)</f>
        <v>0</v>
      </c>
      <c r="BQ137" s="287">
        <f>SUMIFS(領用表!$L:$L,領用表!$E:$E,$B137,領用表!$B:$B,$BM$2&amp;BQ$2)</f>
        <v>0</v>
      </c>
      <c r="BR137" s="203">
        <f>SUMIFS(領用表!$L:$L,領用表!$A:$A,BR$2,領用表!$E:$E,B137)</f>
        <v>0</v>
      </c>
      <c r="BS137" s="288">
        <f>SUMIFS(領用表!$L:$L,領用表!$E:$E,$B137,領用表!$B:$B,BR$2&amp;BS$2)</f>
        <v>0</v>
      </c>
      <c r="BT137" s="288">
        <f>SUMIFS(領用表!$L:$L,領用表!$E:$E,$B137,領用表!$B:$B,$BR$2&amp;BT$2)</f>
        <v>0</v>
      </c>
      <c r="BU137" s="288">
        <f>SUMIFS(領用表!$L:$L,領用表!$E:$E,$B137,領用表!$B:$B,$BR$2&amp;BU$2)</f>
        <v>0</v>
      </c>
      <c r="BV137" s="287">
        <f>SUMIFS(領用表!$L:$L,領用表!$E:$E,$B137,領用表!$B:$B,$BR$2&amp;BV$2)</f>
        <v>0</v>
      </c>
      <c r="BW137" s="208">
        <f>SUMIFS(領用表!$L:$L,領用表!$A:$A,BW$2,領用表!$E:$E,B137)</f>
        <v>0</v>
      </c>
      <c r="BX137" s="206">
        <f>SUMIFS(領用表!$L:$L,領用表!$E:$E,$B137,領用表!$B:$B,BW$2&amp;BX$2)</f>
        <v>0</v>
      </c>
      <c r="BY137" s="206">
        <f>SUMIFS(領用表!$L:$L,領用表!$E:$E,$B137,領用表!$B:$B,$BW$2&amp;BY$2)</f>
        <v>0</v>
      </c>
      <c r="BZ137" s="206">
        <f>SUMIFS(領用表!$L:$L,領用表!$E:$E,$B137,領用表!$B:$B,$BW$2&amp;BZ$2)</f>
        <v>0</v>
      </c>
      <c r="CA137" s="206">
        <f>SUMIFS(領用表!$L:$L,領用表!$E:$E,$B137,領用表!$B:$B,$BW$2&amp;CA$2)</f>
        <v>0</v>
      </c>
      <c r="CB137" s="208">
        <f>SUMIFS(領用表!$L:$L,領用表!$A:$A,CB$2,領用表!$E:$E,B137)</f>
        <v>0</v>
      </c>
      <c r="CC137" s="206">
        <f>SUMIFS(領用表!$L:$L,領用表!$E:$E,$B137,領用表!$B:$B,CB$2&amp;CC$2)</f>
        <v>0</v>
      </c>
      <c r="CD137" s="206">
        <f>SUMIFS(領用表!$L:$L,領用表!$E:$E,$B137,領用表!$B:$B,$CB$2&amp;CD$2)</f>
        <v>0</v>
      </c>
      <c r="CE137" s="206">
        <f>SUMIFS(領用表!$L:$L,領用表!$E:$E,$B137,領用表!$B:$B,$CB$2&amp;CE$2)</f>
        <v>0</v>
      </c>
      <c r="CF137" s="206">
        <f>SUMIFS(領用表!$L:$L,領用表!$E:$E,$B137,領用表!$B:$B,$CB$2&amp;CF$2)</f>
        <v>0</v>
      </c>
      <c r="CG137" s="208">
        <f>SUMIFS(領用表!$L:$L,領用表!$A:$A,CG$2,領用表!$E:$E,B137)</f>
        <v>0</v>
      </c>
      <c r="CH137" s="206">
        <f>SUMIFS(領用表!$L:$L,領用表!$E:$E,$B137,領用表!$B:$B,CG$2&amp;CH$2)</f>
        <v>0</v>
      </c>
      <c r="CI137" s="206">
        <f>SUMIFS(領用表!$L:$L,領用表!$E:$E,$B137,領用表!$B:$B,CG$2&amp;CI$2)</f>
        <v>0</v>
      </c>
      <c r="CJ137" s="206">
        <f>SUMIFS(領用表!$L:$L,領用表!$E:$E,$B137,領用表!$B:$B,CG$2&amp;CJ$2)</f>
        <v>0</v>
      </c>
      <c r="CK137" s="206">
        <f>SUMIFS(領用表!$L:$L,領用表!$E:$E,$B137,領用表!$B:$B,$CG$2&amp;CK$2)</f>
        <v>0</v>
      </c>
      <c r="CL137" s="207">
        <f t="shared" si="34"/>
        <v>6</v>
      </c>
      <c r="CM137" s="207">
        <f t="shared" si="35"/>
        <v>0.5</v>
      </c>
      <c r="CN137" s="208">
        <f>SUMIFS(領用表!$L:$L,領用表!$A:$A,CN$2,領用表!$E:$E,B137)</f>
        <v>0</v>
      </c>
      <c r="CO137" s="206">
        <f>SUMIFS(領用表!$L:$L,領用表!$E:$E,$B137,領用表!$B:$B,CN$2&amp;CO$2)</f>
        <v>0</v>
      </c>
      <c r="CP137" s="206">
        <f>SUMIFS(領用表!$L:$L,領用表!$E:$E,$B137,領用表!$B:$B,$CN$2&amp;CP$2)</f>
        <v>0</v>
      </c>
      <c r="CQ137" s="206">
        <f>SUMIFS(領用表!$L:$L,領用表!$E:$E,$B137,領用表!$B:$B,$CN$2&amp;CQ$2)</f>
        <v>0</v>
      </c>
      <c r="CR137" s="206">
        <f>SUMIFS(領用表!$L:$L,領用表!$E:$E,$B137,領用表!$B:$B,$CN$2&amp;CR$2)</f>
        <v>0</v>
      </c>
      <c r="CS137" s="208">
        <f>SUMIFS(領用表!$L:$L,領用表!$A:$A,CS$2,領用表!$E:$E,B137)</f>
        <v>0</v>
      </c>
      <c r="CT137" s="206">
        <f>SUMIFS(領用表!$L:$L,領用表!$E:$E,$B137,領用表!$B:$B,CS$2&amp;CT$2)</f>
        <v>0</v>
      </c>
      <c r="CU137" s="206">
        <f>SUMIFS(領用表!$L:$L,領用表!$E:$E,$B137,領用表!$B:$B,$CS$2&amp;CU$2)</f>
        <v>0</v>
      </c>
      <c r="CV137" s="206">
        <f>SUMIFS(領用表!$L:$L,領用表!$E:$E,$B137,領用表!$B:$B,$CS$2&amp;CV$2)</f>
        <v>0</v>
      </c>
      <c r="CW137" s="206">
        <f>SUMIFS(領用表!$L:$L,領用表!$E:$E,$B137,領用表!$B:$B,$CS$2&amp;CW$2)</f>
        <v>0</v>
      </c>
      <c r="CX137" s="206">
        <f>SUMIFS(領用表!$L:$L,領用表!$E:$E,$B137,領用表!$B:$B,$CS$2&amp;CX$2)</f>
        <v>0</v>
      </c>
      <c r="CY137" s="208">
        <f>SUMIFS(領用表!$L:$L,領用表!$A:$A,CY$2,領用表!$E:$E,B137)</f>
        <v>0</v>
      </c>
      <c r="CZ137" s="206">
        <f>SUMIFS(領用表!$L:$L,領用表!$E:$E,$B137,領用表!$B:$B,CY$2&amp;CZ$2)</f>
        <v>0</v>
      </c>
      <c r="DA137" s="206">
        <f>SUMIFS(領用表!$L:$L,領用表!$E:$E,$B137,領用表!$B:$B,$CY$2&amp;DA$2)</f>
        <v>0</v>
      </c>
      <c r="DB137" s="206">
        <f>SUMIFS(領用表!$L:$L,領用表!$E:$E,$B137,領用表!$B:$B,$CY$2&amp;DB$2)</f>
        <v>0</v>
      </c>
      <c r="DC137" s="206">
        <f>SUMIFS(領用表!$L:$L,領用表!$E:$E,$B137,領用表!$B:$B,$CY$2&amp;DC$2)</f>
        <v>0</v>
      </c>
      <c r="DD137" s="206">
        <f>SUMIFS(領用表!$L:$L,領用表!$E:$E,$B137,領用表!$B:$B,$CY$2&amp;DD$2)</f>
        <v>0</v>
      </c>
      <c r="DE137" s="208">
        <f>SUMIFS(領用表!$L:$L,領用表!$A:$A,DE$2,領用表!$E:$E,B137)</f>
        <v>0</v>
      </c>
      <c r="DF137" s="206">
        <f>SUMIFS(領用表!$L:$L,領用表!$E:$E,$B137,領用表!$B:$B,DE$2&amp;DF$2)</f>
        <v>0</v>
      </c>
      <c r="DG137" s="206">
        <f>SUMIFS(領用表!$L:$L,領用表!$E:$E,$B137,領用表!$B:$B,$DE$2&amp;DG$2)</f>
        <v>0</v>
      </c>
      <c r="DH137" s="206">
        <f>SUMIFS(領用表!$L:$L,領用表!$E:$E,$B137,領用表!$B:$B,$DE$2&amp;DH$2)</f>
        <v>0</v>
      </c>
      <c r="DI137" s="206">
        <f>SUMIFS(領用表!$L:$L,領用表!$E:$E,$B137,領用表!$B:$B,$DE$2&amp;DI$2)</f>
        <v>0</v>
      </c>
      <c r="DJ137" s="206">
        <f>SUMIFS(領用表!$L:$L,領用表!$E:$E,$B137,領用表!$B:$B,$DE$2&amp;DJ$2)</f>
        <v>0</v>
      </c>
      <c r="DK137" s="208">
        <f>SUMIFS(領用表!$L:$L,領用表!$A:$A,DK$2,領用表!$E:$E,$B137)</f>
        <v>0</v>
      </c>
      <c r="DL137" s="206">
        <f>SUMIFS(領用表!$L:$L,領用表!$E:$E,$B137,領用表!$B:$B,DK$2&amp;DL$2)</f>
        <v>0</v>
      </c>
      <c r="DM137" s="206">
        <f>SUMIFS(領用表!$L:$L,領用表!$E:$E,$B137,領用表!$B:$B,$DK$2&amp;DM$2)</f>
        <v>0</v>
      </c>
      <c r="DN137" s="206">
        <f>SUMIFS(領用表!$L:$L,領用表!$E:$E,$B137,領用表!$B:$B,$DK$2&amp;DN$2)</f>
        <v>0</v>
      </c>
      <c r="DO137" s="206">
        <f>SUMIFS(領用表!$L:$L,領用表!$E:$E,$B137,領用表!$B:$B,$DK$2&amp;DO$2)</f>
        <v>0</v>
      </c>
      <c r="DP137" s="206">
        <f>SUMIFS(領用表!$L:$L,領用表!$E:$E,$B137,領用表!$B:$B,$DK$2&amp;DP$2)</f>
        <v>0</v>
      </c>
      <c r="DQ137" s="206">
        <f t="shared" si="36"/>
        <v>0</v>
      </c>
      <c r="DR137" s="206">
        <f t="shared" si="37"/>
        <v>0</v>
      </c>
      <c r="DS137" s="206">
        <f>SUM(DT137:DW137)</f>
        <v>0</v>
      </c>
      <c r="DT137" s="206">
        <v>0</v>
      </c>
      <c r="DU137" s="206">
        <v>0</v>
      </c>
      <c r="DV137" s="206">
        <v>0</v>
      </c>
      <c r="DW137" s="206">
        <v>0</v>
      </c>
      <c r="DX137" s="258"/>
      <c r="DY137" s="283"/>
      <c r="DZ137" s="283"/>
      <c r="EA137" s="283"/>
      <c r="EB137" s="136"/>
      <c r="EC137" s="136"/>
      <c r="ED137" s="118">
        <f>IFERROR(VLOOKUP(A137,站前4樓!A:BF,57,0),0)</f>
        <v>0</v>
      </c>
      <c r="EE137" s="213">
        <f>IFERROR(VLOOKUP(A137,站前11樓!A:BE,57,0),0)</f>
        <v>0</v>
      </c>
      <c r="EF137" s="118">
        <f>IFERROR(VLOOKUP(A137,忠孝7樓!A:N,57,0),0)</f>
        <v>0</v>
      </c>
      <c r="EG137" s="118">
        <f>IFERROR(VLOOKUP(A137,忠孝國際醫學3樓!A:L,57,0),0)</f>
        <v>0</v>
      </c>
      <c r="EH137" s="118">
        <f t="shared" si="25"/>
        <v>0</v>
      </c>
    </row>
    <row r="138" spans="1:138" s="118" customFormat="1" ht="15.75" customHeight="1">
      <c r="A138" s="136"/>
      <c r="C138" s="136" t="s">
        <v>540</v>
      </c>
      <c r="D138" s="285"/>
      <c r="E138" s="198" t="s">
        <v>823</v>
      </c>
      <c r="F138" s="225">
        <f>SUMIF(站前4樓!B:B,B138,站前4樓!F:F)</f>
        <v>0</v>
      </c>
      <c r="G138" s="225">
        <f>SUMIF(站前11樓!B:B,B138,站前11樓!F:F)</f>
        <v>0</v>
      </c>
      <c r="H138" s="225">
        <f>SUMIF(忠孝7樓!B:B,B138,忠孝7樓!G:G)</f>
        <v>0</v>
      </c>
      <c r="I138" s="225">
        <f>SUMIF(忠孝國際醫學3樓!B:B,B138,忠孝國際醫學3樓!G:G)</f>
        <v>0</v>
      </c>
      <c r="J138" s="225">
        <f>SUMIF(忠孝健康7樓!B:B,B138,忠孝健康7樓!G:G)</f>
        <v>0</v>
      </c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83"/>
      <c r="AB138" s="283"/>
      <c r="AC138" s="283"/>
      <c r="AD138" s="283"/>
      <c r="AE138" s="283"/>
      <c r="AF138" s="283"/>
      <c r="AG138" s="283"/>
      <c r="AH138" s="283"/>
      <c r="AI138" s="283"/>
      <c r="AJ138" s="201">
        <v>1</v>
      </c>
      <c r="AK138" s="201">
        <v>0</v>
      </c>
      <c r="AL138" s="201">
        <v>1</v>
      </c>
      <c r="AM138" s="201">
        <v>0</v>
      </c>
      <c r="AN138" s="201">
        <v>0</v>
      </c>
      <c r="AO138" s="201">
        <v>0</v>
      </c>
      <c r="AP138" s="201"/>
      <c r="AQ138" s="201">
        <v>0</v>
      </c>
      <c r="AR138" s="201">
        <v>0</v>
      </c>
      <c r="AS138" s="201">
        <v>0</v>
      </c>
      <c r="AT138" s="201">
        <v>0</v>
      </c>
      <c r="AU138" s="201">
        <v>0</v>
      </c>
      <c r="AV138" s="283">
        <f t="shared" si="32"/>
        <v>2</v>
      </c>
      <c r="AW138" s="286">
        <f t="shared" si="33"/>
        <v>0.16666666666666666</v>
      </c>
      <c r="AX138" s="201">
        <v>0</v>
      </c>
      <c r="AY138" s="201">
        <v>0</v>
      </c>
      <c r="AZ138" s="201">
        <v>0</v>
      </c>
      <c r="BA138" s="201">
        <v>0</v>
      </c>
      <c r="BB138" s="201">
        <v>2</v>
      </c>
      <c r="BC138" s="203">
        <f>SUMIFS(領用表!$L:$L,領用表!$A:$A,BC$2,領用表!$E:$E,B138)</f>
        <v>0</v>
      </c>
      <c r="BD138" s="287">
        <f>SUMIFS(領用表!$L:$L,領用表!$E:$E,$B138,領用表!$B:$B,BC$2&amp;BD$2)</f>
        <v>0</v>
      </c>
      <c r="BE138" s="287">
        <f>SUMIFS(領用表!$L:$L,領用表!$E:$E,$B138,領用表!$B:$B,$BC$2&amp;BE$2)</f>
        <v>0</v>
      </c>
      <c r="BF138" s="287">
        <f>SUMIFS(領用表!$L:$L,領用表!$E:$E,$B138,領用表!$B:$B,$BC$2&amp;BF$2)</f>
        <v>0</v>
      </c>
      <c r="BG138" s="206">
        <f>SUMIFS(領用表!$L:$L,領用表!$E:$E,$B138,領用表!$B:$B,$BC$2&amp;BG$2)</f>
        <v>0</v>
      </c>
      <c r="BH138" s="203">
        <f>SUMIFS(領用表!$L:$L,領用表!$A:$A,BH$2,領用表!$E:$E,B138)</f>
        <v>0</v>
      </c>
      <c r="BI138" s="260">
        <f>SUMIFS(領用表!$L:$L,領用表!$E:$E,$B138,領用表!$B:$B,BH$2&amp;BI$2)</f>
        <v>0</v>
      </c>
      <c r="BJ138" s="260">
        <f>SUMIFS(領用表!$L:$L,領用表!$E:$E,$B138,領用表!$B:$B,$BH$2&amp;BJ$2)</f>
        <v>0</v>
      </c>
      <c r="BK138" s="260">
        <f>SUMIFS(領用表!$L:$L,領用表!$E:$E,$B138,領用表!$B:$B,$BH$2&amp;BK$2)</f>
        <v>0</v>
      </c>
      <c r="BL138" s="260">
        <f>SUMIFS(領用表!$L:$L,領用表!$E:$E,$B138,領用表!$B:$B,$BH$2&amp;BL$2)</f>
        <v>0</v>
      </c>
      <c r="BM138" s="203">
        <f>SUMIFS(領用表!$L:$L,領用表!$A:$A,BM$2,領用表!$E:$E,B138)</f>
        <v>0</v>
      </c>
      <c r="BN138" s="206">
        <f>SUMIFS(領用表!$L:$L,領用表!$E:$E,$B138,領用表!$B:$B,BM$2&amp;BN$2)</f>
        <v>0</v>
      </c>
      <c r="BO138" s="206">
        <f>SUMIFS(領用表!$L:$L,領用表!$E:$E,$B138,領用表!$B:$B,$BM$2&amp;BO$2)</f>
        <v>0</v>
      </c>
      <c r="BP138" s="288">
        <f>SUMIFS(領用表!$L:$L,領用表!$E:$E,$B138,領用表!$B:$B,$BM$2&amp;BP$2)</f>
        <v>0</v>
      </c>
      <c r="BQ138" s="287">
        <f>SUMIFS(領用表!$L:$L,領用表!$E:$E,$B138,領用表!$B:$B,$BM$2&amp;BQ$2)</f>
        <v>0</v>
      </c>
      <c r="BR138" s="203">
        <f>SUMIFS(領用表!$L:$L,領用表!$A:$A,BR$2,領用表!$E:$E,B138)</f>
        <v>0</v>
      </c>
      <c r="BS138" s="288">
        <f>SUMIFS(領用表!$L:$L,領用表!$E:$E,$B138,領用表!$B:$B,BR$2&amp;BS$2)</f>
        <v>0</v>
      </c>
      <c r="BT138" s="288">
        <f>SUMIFS(領用表!$L:$L,領用表!$E:$E,$B138,領用表!$B:$B,$BR$2&amp;BT$2)</f>
        <v>0</v>
      </c>
      <c r="BU138" s="288">
        <f>SUMIFS(領用表!$L:$L,領用表!$E:$E,$B138,領用表!$B:$B,$BR$2&amp;BU$2)</f>
        <v>0</v>
      </c>
      <c r="BV138" s="287">
        <f>SUMIFS(領用表!$L:$L,領用表!$E:$E,$B138,領用表!$B:$B,$BR$2&amp;BV$2)</f>
        <v>0</v>
      </c>
      <c r="BW138" s="208">
        <f>SUMIFS(領用表!$L:$L,領用表!$A:$A,BW$2,領用表!$E:$E,B138)</f>
        <v>0</v>
      </c>
      <c r="BX138" s="206">
        <f>SUMIFS(領用表!$L:$L,領用表!$E:$E,$B138,領用表!$B:$B,BW$2&amp;BX$2)</f>
        <v>0</v>
      </c>
      <c r="BY138" s="206">
        <f>SUMIFS(領用表!$L:$L,領用表!$E:$E,$B138,領用表!$B:$B,$BW$2&amp;BY$2)</f>
        <v>0</v>
      </c>
      <c r="BZ138" s="206">
        <f>SUMIFS(領用表!$L:$L,領用表!$E:$E,$B138,領用表!$B:$B,$BW$2&amp;BZ$2)</f>
        <v>0</v>
      </c>
      <c r="CA138" s="206">
        <f>SUMIFS(領用表!$L:$L,領用表!$E:$E,$B138,領用表!$B:$B,$BW$2&amp;CA$2)</f>
        <v>0</v>
      </c>
      <c r="CB138" s="208">
        <f>SUMIFS(領用表!$L:$L,領用表!$A:$A,CB$2,領用表!$E:$E,B138)</f>
        <v>0</v>
      </c>
      <c r="CC138" s="206">
        <f>SUMIFS(領用表!$L:$L,領用表!$E:$E,$B138,領用表!$B:$B,CB$2&amp;CC$2)</f>
        <v>0</v>
      </c>
      <c r="CD138" s="206">
        <f>SUMIFS(領用表!$L:$L,領用表!$E:$E,$B138,領用表!$B:$B,$CB$2&amp;CD$2)</f>
        <v>0</v>
      </c>
      <c r="CE138" s="206">
        <f>SUMIFS(領用表!$L:$L,領用表!$E:$E,$B138,領用表!$B:$B,$CB$2&amp;CE$2)</f>
        <v>0</v>
      </c>
      <c r="CF138" s="206">
        <f>SUMIFS(領用表!$L:$L,領用表!$E:$E,$B138,領用表!$B:$B,$CB$2&amp;CF$2)</f>
        <v>0</v>
      </c>
      <c r="CG138" s="208">
        <f>SUMIFS(領用表!$L:$L,領用表!$A:$A,CG$2,領用表!$E:$E,B138)</f>
        <v>0</v>
      </c>
      <c r="CH138" s="206">
        <f>SUMIFS(領用表!$L:$L,領用表!$E:$E,$B138,領用表!$B:$B,CG$2&amp;CH$2)</f>
        <v>0</v>
      </c>
      <c r="CI138" s="206">
        <f>SUMIFS(領用表!$L:$L,領用表!$E:$E,$B138,領用表!$B:$B,CG$2&amp;CI$2)</f>
        <v>0</v>
      </c>
      <c r="CJ138" s="206">
        <f>SUMIFS(領用表!$L:$L,領用表!$E:$E,$B138,領用表!$B:$B,CG$2&amp;CJ$2)</f>
        <v>0</v>
      </c>
      <c r="CK138" s="206">
        <f>SUMIFS(領用表!$L:$L,領用表!$E:$E,$B138,領用表!$B:$B,$CG$2&amp;CK$2)</f>
        <v>0</v>
      </c>
      <c r="CL138" s="207">
        <f t="shared" si="34"/>
        <v>2</v>
      </c>
      <c r="CM138" s="207">
        <f t="shared" si="35"/>
        <v>0.16666666666666666</v>
      </c>
      <c r="CN138" s="208">
        <f>SUMIFS(領用表!$L:$L,領用表!$A:$A,CN$2,領用表!$E:$E,B138)</f>
        <v>0</v>
      </c>
      <c r="CO138" s="206">
        <f>SUMIFS(領用表!$L:$L,領用表!$E:$E,$B138,領用表!$B:$B,CN$2&amp;CO$2)</f>
        <v>0</v>
      </c>
      <c r="CP138" s="206">
        <f>SUMIFS(領用表!$L:$L,領用表!$E:$E,$B138,領用表!$B:$B,$CN$2&amp;CP$2)</f>
        <v>0</v>
      </c>
      <c r="CQ138" s="206">
        <f>SUMIFS(領用表!$L:$L,領用表!$E:$E,$B138,領用表!$B:$B,$CN$2&amp;CQ$2)</f>
        <v>0</v>
      </c>
      <c r="CR138" s="206">
        <f>SUMIFS(領用表!$L:$L,領用表!$E:$E,$B138,領用表!$B:$B,$CN$2&amp;CR$2)</f>
        <v>0</v>
      </c>
      <c r="CS138" s="208">
        <f>SUMIFS(領用表!$L:$L,領用表!$A:$A,CS$2,領用表!$E:$E,B138)</f>
        <v>0</v>
      </c>
      <c r="CT138" s="206">
        <f>SUMIFS(領用表!$L:$L,領用表!$E:$E,$B138,領用表!$B:$B,CS$2&amp;CT$2)</f>
        <v>0</v>
      </c>
      <c r="CU138" s="206">
        <f>SUMIFS(領用表!$L:$L,領用表!$E:$E,$B138,領用表!$B:$B,$CS$2&amp;CU$2)</f>
        <v>0</v>
      </c>
      <c r="CV138" s="206">
        <f>SUMIFS(領用表!$L:$L,領用表!$E:$E,$B138,領用表!$B:$B,$CS$2&amp;CV$2)</f>
        <v>0</v>
      </c>
      <c r="CW138" s="206">
        <f>SUMIFS(領用表!$L:$L,領用表!$E:$E,$B138,領用表!$B:$B,$CS$2&amp;CW$2)</f>
        <v>0</v>
      </c>
      <c r="CX138" s="206">
        <f>SUMIFS(領用表!$L:$L,領用表!$E:$E,$B138,領用表!$B:$B,$CS$2&amp;CX$2)</f>
        <v>0</v>
      </c>
      <c r="CY138" s="208">
        <f>SUMIFS(領用表!$L:$L,領用表!$A:$A,CY$2,領用表!$E:$E,B138)</f>
        <v>0</v>
      </c>
      <c r="CZ138" s="206">
        <f>SUMIFS(領用表!$L:$L,領用表!$E:$E,$B138,領用表!$B:$B,CY$2&amp;CZ$2)</f>
        <v>0</v>
      </c>
      <c r="DA138" s="206">
        <f>SUMIFS(領用表!$L:$L,領用表!$E:$E,$B138,領用表!$B:$B,$CY$2&amp;DA$2)</f>
        <v>0</v>
      </c>
      <c r="DB138" s="206">
        <f>SUMIFS(領用表!$L:$L,領用表!$E:$E,$B138,領用表!$B:$B,$CY$2&amp;DB$2)</f>
        <v>0</v>
      </c>
      <c r="DC138" s="206">
        <f>SUMIFS(領用表!$L:$L,領用表!$E:$E,$B138,領用表!$B:$B,$CY$2&amp;DC$2)</f>
        <v>0</v>
      </c>
      <c r="DD138" s="206">
        <f>SUMIFS(領用表!$L:$L,領用表!$E:$E,$B138,領用表!$B:$B,$CY$2&amp;DD$2)</f>
        <v>0</v>
      </c>
      <c r="DE138" s="208">
        <f>SUMIFS(領用表!$L:$L,領用表!$A:$A,DE$2,領用表!$E:$E,B138)</f>
        <v>0</v>
      </c>
      <c r="DF138" s="206">
        <f>SUMIFS(領用表!$L:$L,領用表!$E:$E,$B138,領用表!$B:$B,DE$2&amp;DF$2)</f>
        <v>0</v>
      </c>
      <c r="DG138" s="206">
        <f>SUMIFS(領用表!$L:$L,領用表!$E:$E,$B138,領用表!$B:$B,$DE$2&amp;DG$2)</f>
        <v>0</v>
      </c>
      <c r="DH138" s="206">
        <f>SUMIFS(領用表!$L:$L,領用表!$E:$E,$B138,領用表!$B:$B,$DE$2&amp;DH$2)</f>
        <v>0</v>
      </c>
      <c r="DI138" s="206">
        <f>SUMIFS(領用表!$L:$L,領用表!$E:$E,$B138,領用表!$B:$B,$DE$2&amp;DI$2)</f>
        <v>0</v>
      </c>
      <c r="DJ138" s="206">
        <f>SUMIFS(領用表!$L:$L,領用表!$E:$E,$B138,領用表!$B:$B,$DE$2&amp;DJ$2)</f>
        <v>0</v>
      </c>
      <c r="DK138" s="208">
        <f>SUMIFS(領用表!$L:$L,領用表!$A:$A,DK$2,領用表!$E:$E,$B138)</f>
        <v>0</v>
      </c>
      <c r="DL138" s="206">
        <f>SUMIFS(領用表!$L:$L,領用表!$E:$E,$B138,領用表!$B:$B,DK$2&amp;DL$2)</f>
        <v>0</v>
      </c>
      <c r="DM138" s="206">
        <f>SUMIFS(領用表!$L:$L,領用表!$E:$E,$B138,領用表!$B:$B,$DK$2&amp;DM$2)</f>
        <v>0</v>
      </c>
      <c r="DN138" s="206">
        <f>SUMIFS(領用表!$L:$L,領用表!$E:$E,$B138,領用表!$B:$B,$DK$2&amp;DN$2)</f>
        <v>0</v>
      </c>
      <c r="DO138" s="206">
        <f>SUMIFS(領用表!$L:$L,領用表!$E:$E,$B138,領用表!$B:$B,$DK$2&amp;DO$2)</f>
        <v>0</v>
      </c>
      <c r="DP138" s="206">
        <f>SUMIFS(領用表!$L:$L,領用表!$E:$E,$B138,領用表!$B:$B,$DK$2&amp;DP$2)</f>
        <v>0</v>
      </c>
      <c r="DQ138" s="206">
        <f t="shared" si="36"/>
        <v>0</v>
      </c>
      <c r="DR138" s="206">
        <f t="shared" si="37"/>
        <v>0</v>
      </c>
      <c r="DS138" s="206">
        <f t="shared" si="27"/>
        <v>0</v>
      </c>
      <c r="DT138" s="206">
        <v>0</v>
      </c>
      <c r="DU138" s="206">
        <v>0</v>
      </c>
      <c r="DV138" s="206">
        <v>0</v>
      </c>
      <c r="DW138" s="206">
        <v>0</v>
      </c>
      <c r="DX138" s="258">
        <v>0</v>
      </c>
      <c r="DY138" s="283"/>
      <c r="DZ138" s="283"/>
      <c r="EA138" s="283"/>
      <c r="EB138" s="136"/>
      <c r="EC138" s="136"/>
      <c r="ED138" s="118">
        <f>IFERROR(VLOOKUP(A138,站前4樓!A:BF,57,0),0)</f>
        <v>0</v>
      </c>
      <c r="EE138" s="213">
        <f>IFERROR(VLOOKUP(A138,站前11樓!A:BE,57,0),0)</f>
        <v>0</v>
      </c>
      <c r="EF138" s="118">
        <f>IFERROR(VLOOKUP(A138,忠孝7樓!A:N,57,0),0)</f>
        <v>0</v>
      </c>
      <c r="EG138" s="118">
        <f>IFERROR(VLOOKUP(A138,忠孝國際醫學3樓!A:L,57,0),0)</f>
        <v>0</v>
      </c>
      <c r="EH138" s="118">
        <f t="shared" si="25"/>
        <v>0</v>
      </c>
    </row>
    <row r="139" spans="1:138" s="118" customFormat="1" ht="15.75" customHeight="1">
      <c r="A139" s="136"/>
      <c r="C139" s="136" t="s">
        <v>541</v>
      </c>
      <c r="D139" s="285"/>
      <c r="E139" s="198" t="s">
        <v>823</v>
      </c>
      <c r="F139" s="225">
        <f>SUMIF(站前4樓!B:B,B139,站前4樓!F:F)</f>
        <v>0</v>
      </c>
      <c r="G139" s="225">
        <f>SUMIF(站前11樓!B:B,B139,站前11樓!F:F)</f>
        <v>0</v>
      </c>
      <c r="H139" s="225">
        <f>SUMIF(忠孝7樓!B:B,B139,忠孝7樓!G:G)</f>
        <v>0</v>
      </c>
      <c r="I139" s="225">
        <f>SUMIF(忠孝國際醫學3樓!B:B,B139,忠孝國際醫學3樓!G:G)</f>
        <v>0</v>
      </c>
      <c r="J139" s="225">
        <f>SUMIF(忠孝健康7樓!B:B,B139,忠孝健康7樓!G:G)</f>
        <v>0</v>
      </c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83"/>
      <c r="AB139" s="283"/>
      <c r="AC139" s="283"/>
      <c r="AD139" s="283"/>
      <c r="AE139" s="283"/>
      <c r="AF139" s="283"/>
      <c r="AG139" s="283"/>
      <c r="AH139" s="283"/>
      <c r="AI139" s="283"/>
      <c r="AJ139" s="201">
        <v>4</v>
      </c>
      <c r="AK139" s="201">
        <v>2</v>
      </c>
      <c r="AL139" s="201">
        <v>0</v>
      </c>
      <c r="AM139" s="201">
        <v>0</v>
      </c>
      <c r="AN139" s="201">
        <v>0</v>
      </c>
      <c r="AO139" s="201">
        <v>0</v>
      </c>
      <c r="AP139" s="201"/>
      <c r="AQ139" s="201">
        <v>0</v>
      </c>
      <c r="AR139" s="201">
        <v>0</v>
      </c>
      <c r="AS139" s="201">
        <v>0</v>
      </c>
      <c r="AT139" s="201">
        <v>0</v>
      </c>
      <c r="AU139" s="201">
        <v>0</v>
      </c>
      <c r="AV139" s="283">
        <f t="shared" si="32"/>
        <v>6</v>
      </c>
      <c r="AW139" s="286">
        <f t="shared" si="33"/>
        <v>0.5</v>
      </c>
      <c r="AX139" s="201">
        <v>0</v>
      </c>
      <c r="AY139" s="201">
        <v>0</v>
      </c>
      <c r="AZ139" s="201">
        <v>0</v>
      </c>
      <c r="BA139" s="201">
        <v>0</v>
      </c>
      <c r="BB139" s="201">
        <v>0</v>
      </c>
      <c r="BC139" s="203">
        <f>SUMIFS(領用表!$L:$L,領用表!$A:$A,BC$2,領用表!$E:$E,B139)</f>
        <v>0</v>
      </c>
      <c r="BD139" s="287">
        <f>SUMIFS(領用表!$L:$L,領用表!$E:$E,$B139,領用表!$B:$B,BC$2&amp;BD$2)</f>
        <v>0</v>
      </c>
      <c r="BE139" s="287">
        <f>SUMIFS(領用表!$L:$L,領用表!$E:$E,$B139,領用表!$B:$B,$BC$2&amp;BE$2)</f>
        <v>0</v>
      </c>
      <c r="BF139" s="287">
        <f>SUMIFS(領用表!$L:$L,領用表!$E:$E,$B139,領用表!$B:$B,$BC$2&amp;BF$2)</f>
        <v>0</v>
      </c>
      <c r="BG139" s="206">
        <f>SUMIFS(領用表!$L:$L,領用表!$E:$E,$B139,領用表!$B:$B,$BC$2&amp;BG$2)</f>
        <v>0</v>
      </c>
      <c r="BH139" s="203">
        <f>SUMIFS(領用表!$L:$L,領用表!$A:$A,BH$2,領用表!$E:$E,B139)</f>
        <v>0</v>
      </c>
      <c r="BI139" s="260">
        <f>SUMIFS(領用表!$L:$L,領用表!$E:$E,$B139,領用表!$B:$B,BH$2&amp;BI$2)</f>
        <v>0</v>
      </c>
      <c r="BJ139" s="260">
        <f>SUMIFS(領用表!$L:$L,領用表!$E:$E,$B139,領用表!$B:$B,$BH$2&amp;BJ$2)</f>
        <v>0</v>
      </c>
      <c r="BK139" s="260">
        <f>SUMIFS(領用表!$L:$L,領用表!$E:$E,$B139,領用表!$B:$B,$BH$2&amp;BK$2)</f>
        <v>0</v>
      </c>
      <c r="BL139" s="260">
        <f>SUMIFS(領用表!$L:$L,領用表!$E:$E,$B139,領用表!$B:$B,$BH$2&amp;BL$2)</f>
        <v>0</v>
      </c>
      <c r="BM139" s="203">
        <f>SUMIFS(領用表!$L:$L,領用表!$A:$A,BM$2,領用表!$E:$E,B139)</f>
        <v>0</v>
      </c>
      <c r="BN139" s="206">
        <f>SUMIFS(領用表!$L:$L,領用表!$E:$E,$B139,領用表!$B:$B,BM$2&amp;BN$2)</f>
        <v>0</v>
      </c>
      <c r="BO139" s="206">
        <f>SUMIFS(領用表!$L:$L,領用表!$E:$E,$B139,領用表!$B:$B,$BM$2&amp;BO$2)</f>
        <v>0</v>
      </c>
      <c r="BP139" s="288">
        <f>SUMIFS(領用表!$L:$L,領用表!$E:$E,$B139,領用表!$B:$B,$BM$2&amp;BP$2)</f>
        <v>0</v>
      </c>
      <c r="BQ139" s="287">
        <f>SUMIFS(領用表!$L:$L,領用表!$E:$E,$B139,領用表!$B:$B,$BM$2&amp;BQ$2)</f>
        <v>0</v>
      </c>
      <c r="BR139" s="203">
        <f>SUMIFS(領用表!$L:$L,領用表!$A:$A,BR$2,領用表!$E:$E,B139)</f>
        <v>0</v>
      </c>
      <c r="BS139" s="288">
        <f>SUMIFS(領用表!$L:$L,領用表!$E:$E,$B139,領用表!$B:$B,BR$2&amp;BS$2)</f>
        <v>0</v>
      </c>
      <c r="BT139" s="288">
        <f>SUMIFS(領用表!$L:$L,領用表!$E:$E,$B139,領用表!$B:$B,$BR$2&amp;BT$2)</f>
        <v>0</v>
      </c>
      <c r="BU139" s="288">
        <f>SUMIFS(領用表!$L:$L,領用表!$E:$E,$B139,領用表!$B:$B,$BR$2&amp;BU$2)</f>
        <v>0</v>
      </c>
      <c r="BV139" s="287">
        <f>SUMIFS(領用表!$L:$L,領用表!$E:$E,$B139,領用表!$B:$B,$BR$2&amp;BV$2)</f>
        <v>0</v>
      </c>
      <c r="BW139" s="208">
        <f>SUMIFS(領用表!$L:$L,領用表!$A:$A,BW$2,領用表!$E:$E,B139)</f>
        <v>0</v>
      </c>
      <c r="BX139" s="206">
        <f>SUMIFS(領用表!$L:$L,領用表!$E:$E,$B139,領用表!$B:$B,BW$2&amp;BX$2)</f>
        <v>0</v>
      </c>
      <c r="BY139" s="206">
        <f>SUMIFS(領用表!$L:$L,領用表!$E:$E,$B139,領用表!$B:$B,$BW$2&amp;BY$2)</f>
        <v>0</v>
      </c>
      <c r="BZ139" s="206">
        <f>SUMIFS(領用表!$L:$L,領用表!$E:$E,$B139,領用表!$B:$B,$BW$2&amp;BZ$2)</f>
        <v>0</v>
      </c>
      <c r="CA139" s="206">
        <f>SUMIFS(領用表!$L:$L,領用表!$E:$E,$B139,領用表!$B:$B,$BW$2&amp;CA$2)</f>
        <v>0</v>
      </c>
      <c r="CB139" s="208">
        <f>SUMIFS(領用表!$L:$L,領用表!$A:$A,CB$2,領用表!$E:$E,B139)</f>
        <v>0</v>
      </c>
      <c r="CC139" s="206">
        <f>SUMIFS(領用表!$L:$L,領用表!$E:$E,$B139,領用表!$B:$B,CB$2&amp;CC$2)</f>
        <v>0</v>
      </c>
      <c r="CD139" s="206">
        <f>SUMIFS(領用表!$L:$L,領用表!$E:$E,$B139,領用表!$B:$B,$CB$2&amp;CD$2)</f>
        <v>0</v>
      </c>
      <c r="CE139" s="206">
        <f>SUMIFS(領用表!$L:$L,領用表!$E:$E,$B139,領用表!$B:$B,$CB$2&amp;CE$2)</f>
        <v>0</v>
      </c>
      <c r="CF139" s="206">
        <f>SUMIFS(領用表!$L:$L,領用表!$E:$E,$B139,領用表!$B:$B,$CB$2&amp;CF$2)</f>
        <v>0</v>
      </c>
      <c r="CG139" s="208">
        <f>SUMIFS(領用表!$L:$L,領用表!$A:$A,CG$2,領用表!$E:$E,B139)</f>
        <v>0</v>
      </c>
      <c r="CH139" s="206">
        <f>SUMIFS(領用表!$L:$L,領用表!$E:$E,$B139,領用表!$B:$B,CG$2&amp;CH$2)</f>
        <v>0</v>
      </c>
      <c r="CI139" s="206">
        <f>SUMIFS(領用表!$L:$L,領用表!$E:$E,$B139,領用表!$B:$B,CG$2&amp;CI$2)</f>
        <v>0</v>
      </c>
      <c r="CJ139" s="206">
        <f>SUMIFS(領用表!$L:$L,領用表!$E:$E,$B139,領用表!$B:$B,CG$2&amp;CJ$2)</f>
        <v>0</v>
      </c>
      <c r="CK139" s="206">
        <f>SUMIFS(領用表!$L:$L,領用表!$E:$E,$B139,領用表!$B:$B,$CG$2&amp;CK$2)</f>
        <v>0</v>
      </c>
      <c r="CL139" s="207">
        <f t="shared" si="34"/>
        <v>0</v>
      </c>
      <c r="CM139" s="207">
        <f t="shared" si="35"/>
        <v>0</v>
      </c>
      <c r="CN139" s="208">
        <f>SUMIFS(領用表!$L:$L,領用表!$A:$A,CN$2,領用表!$E:$E,B139)</f>
        <v>0</v>
      </c>
      <c r="CO139" s="206">
        <f>SUMIFS(領用表!$L:$L,領用表!$E:$E,$B139,領用表!$B:$B,CN$2&amp;CO$2)</f>
        <v>0</v>
      </c>
      <c r="CP139" s="206">
        <f>SUMIFS(領用表!$L:$L,領用表!$E:$E,$B139,領用表!$B:$B,$CN$2&amp;CP$2)</f>
        <v>0</v>
      </c>
      <c r="CQ139" s="206">
        <f>SUMIFS(領用表!$L:$L,領用表!$E:$E,$B139,領用表!$B:$B,$CN$2&amp;CQ$2)</f>
        <v>0</v>
      </c>
      <c r="CR139" s="206">
        <f>SUMIFS(領用表!$L:$L,領用表!$E:$E,$B139,領用表!$B:$B,$CN$2&amp;CR$2)</f>
        <v>0</v>
      </c>
      <c r="CS139" s="208">
        <f>SUMIFS(領用表!$L:$L,領用表!$A:$A,CS$2,領用表!$E:$E,B139)</f>
        <v>0</v>
      </c>
      <c r="CT139" s="206">
        <f>SUMIFS(領用表!$L:$L,領用表!$E:$E,$B139,領用表!$B:$B,CS$2&amp;CT$2)</f>
        <v>0</v>
      </c>
      <c r="CU139" s="206">
        <f>SUMIFS(領用表!$L:$L,領用表!$E:$E,$B139,領用表!$B:$B,$CS$2&amp;CU$2)</f>
        <v>0</v>
      </c>
      <c r="CV139" s="206">
        <f>SUMIFS(領用表!$L:$L,領用表!$E:$E,$B139,領用表!$B:$B,$CS$2&amp;CV$2)</f>
        <v>0</v>
      </c>
      <c r="CW139" s="206">
        <f>SUMIFS(領用表!$L:$L,領用表!$E:$E,$B139,領用表!$B:$B,$CS$2&amp;CW$2)</f>
        <v>0</v>
      </c>
      <c r="CX139" s="206">
        <f>SUMIFS(領用表!$L:$L,領用表!$E:$E,$B139,領用表!$B:$B,$CS$2&amp;CX$2)</f>
        <v>0</v>
      </c>
      <c r="CY139" s="208">
        <f>SUMIFS(領用表!$L:$L,領用表!$A:$A,CY$2,領用表!$E:$E,B139)</f>
        <v>0</v>
      </c>
      <c r="CZ139" s="206">
        <f>SUMIFS(領用表!$L:$L,領用表!$E:$E,$B139,領用表!$B:$B,CY$2&amp;CZ$2)</f>
        <v>0</v>
      </c>
      <c r="DA139" s="206">
        <f>SUMIFS(領用表!$L:$L,領用表!$E:$E,$B139,領用表!$B:$B,$CY$2&amp;DA$2)</f>
        <v>0</v>
      </c>
      <c r="DB139" s="206">
        <f>SUMIFS(領用表!$L:$L,領用表!$E:$E,$B139,領用表!$B:$B,$CY$2&amp;DB$2)</f>
        <v>0</v>
      </c>
      <c r="DC139" s="206">
        <f>SUMIFS(領用表!$L:$L,領用表!$E:$E,$B139,領用表!$B:$B,$CY$2&amp;DC$2)</f>
        <v>0</v>
      </c>
      <c r="DD139" s="206">
        <f>SUMIFS(領用表!$L:$L,領用表!$E:$E,$B139,領用表!$B:$B,$CY$2&amp;DD$2)</f>
        <v>0</v>
      </c>
      <c r="DE139" s="208">
        <f>SUMIFS(領用表!$L:$L,領用表!$A:$A,DE$2,領用表!$E:$E,B139)</f>
        <v>0</v>
      </c>
      <c r="DF139" s="206">
        <f>SUMIFS(領用表!$L:$L,領用表!$E:$E,$B139,領用表!$B:$B,DE$2&amp;DF$2)</f>
        <v>0</v>
      </c>
      <c r="DG139" s="206">
        <f>SUMIFS(領用表!$L:$L,領用表!$E:$E,$B139,領用表!$B:$B,$DE$2&amp;DG$2)</f>
        <v>0</v>
      </c>
      <c r="DH139" s="206">
        <f>SUMIFS(領用表!$L:$L,領用表!$E:$E,$B139,領用表!$B:$B,$DE$2&amp;DH$2)</f>
        <v>0</v>
      </c>
      <c r="DI139" s="206">
        <f>SUMIFS(領用表!$L:$L,領用表!$E:$E,$B139,領用表!$B:$B,$DE$2&amp;DI$2)</f>
        <v>0</v>
      </c>
      <c r="DJ139" s="206">
        <f>SUMIFS(領用表!$L:$L,領用表!$E:$E,$B139,領用表!$B:$B,$DE$2&amp;DJ$2)</f>
        <v>0</v>
      </c>
      <c r="DK139" s="208">
        <f>SUMIFS(領用表!$L:$L,領用表!$A:$A,DK$2,領用表!$E:$E,$B139)</f>
        <v>0</v>
      </c>
      <c r="DL139" s="206">
        <f>SUMIFS(領用表!$L:$L,領用表!$E:$E,$B139,領用表!$B:$B,DK$2&amp;DL$2)</f>
        <v>0</v>
      </c>
      <c r="DM139" s="206">
        <f>SUMIFS(領用表!$L:$L,領用表!$E:$E,$B139,領用表!$B:$B,$DK$2&amp;DM$2)</f>
        <v>0</v>
      </c>
      <c r="DN139" s="206">
        <f>SUMIFS(領用表!$L:$L,領用表!$E:$E,$B139,領用表!$B:$B,$DK$2&amp;DN$2)</f>
        <v>0</v>
      </c>
      <c r="DO139" s="206">
        <f>SUMIFS(領用表!$L:$L,領用表!$E:$E,$B139,領用表!$B:$B,$DK$2&amp;DO$2)</f>
        <v>0</v>
      </c>
      <c r="DP139" s="206">
        <f>SUMIFS(領用表!$L:$L,領用表!$E:$E,$B139,領用表!$B:$B,$DK$2&amp;DP$2)</f>
        <v>0</v>
      </c>
      <c r="DQ139" s="206">
        <f t="shared" si="36"/>
        <v>0</v>
      </c>
      <c r="DR139" s="206">
        <f t="shared" si="37"/>
        <v>0</v>
      </c>
      <c r="DS139" s="206">
        <f t="shared" ref="DS139:DS143" si="45">SUM(DT139:DW139)</f>
        <v>0</v>
      </c>
      <c r="DT139" s="206">
        <v>0</v>
      </c>
      <c r="DU139" s="206">
        <v>0</v>
      </c>
      <c r="DV139" s="206">
        <v>0</v>
      </c>
      <c r="DW139" s="206">
        <v>0</v>
      </c>
      <c r="DX139" s="258">
        <v>0</v>
      </c>
      <c r="DY139" s="283"/>
      <c r="DZ139" s="283"/>
      <c r="EA139" s="283"/>
      <c r="EB139" s="136"/>
      <c r="EC139" s="136"/>
      <c r="ED139" s="118">
        <f>IFERROR(VLOOKUP(A139,站前4樓!A:BF,57,0),0)</f>
        <v>0</v>
      </c>
      <c r="EE139" s="213">
        <f>IFERROR(VLOOKUP(A139,站前11樓!A:BE,57,0),0)</f>
        <v>0</v>
      </c>
      <c r="EF139" s="118">
        <f>IFERROR(VLOOKUP(A139,忠孝7樓!A:N,57,0),0)</f>
        <v>0</v>
      </c>
      <c r="EG139" s="118">
        <f>IFERROR(VLOOKUP(A139,忠孝國際醫學3樓!A:L,57,0),0)</f>
        <v>0</v>
      </c>
      <c r="EH139" s="118">
        <f t="shared" si="25"/>
        <v>0</v>
      </c>
    </row>
    <row r="140" spans="1:138" s="118" customFormat="1" ht="15.75" customHeight="1">
      <c r="A140" s="136"/>
      <c r="C140" s="136" t="s">
        <v>542</v>
      </c>
      <c r="D140" s="285"/>
      <c r="E140" s="198" t="s">
        <v>823</v>
      </c>
      <c r="F140" s="225">
        <f>SUMIF(站前4樓!B:B,B140,站前4樓!F:F)</f>
        <v>0</v>
      </c>
      <c r="G140" s="225">
        <f>SUMIF(站前11樓!B:B,B140,站前11樓!F:F)</f>
        <v>0</v>
      </c>
      <c r="H140" s="225">
        <f>SUMIF(忠孝7樓!B:B,B140,忠孝7樓!G:G)</f>
        <v>0</v>
      </c>
      <c r="I140" s="225">
        <f>SUMIF(忠孝國際醫學3樓!B:B,B140,忠孝國際醫學3樓!G:G)</f>
        <v>0</v>
      </c>
      <c r="J140" s="225">
        <f>SUMIF(忠孝健康7樓!B:B,B140,忠孝健康7樓!G:G)</f>
        <v>0</v>
      </c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  <c r="Z140" s="283"/>
      <c r="AA140" s="283"/>
      <c r="AB140" s="283"/>
      <c r="AC140" s="283"/>
      <c r="AD140" s="283"/>
      <c r="AE140" s="283"/>
      <c r="AF140" s="283"/>
      <c r="AG140" s="283"/>
      <c r="AH140" s="283"/>
      <c r="AI140" s="283"/>
      <c r="AJ140" s="201">
        <v>1</v>
      </c>
      <c r="AK140" s="201">
        <v>2</v>
      </c>
      <c r="AL140" s="201">
        <v>0</v>
      </c>
      <c r="AM140" s="201">
        <v>0</v>
      </c>
      <c r="AN140" s="201">
        <v>0</v>
      </c>
      <c r="AO140" s="201">
        <v>0</v>
      </c>
      <c r="AP140" s="201"/>
      <c r="AQ140" s="201">
        <v>0</v>
      </c>
      <c r="AR140" s="201">
        <v>0</v>
      </c>
      <c r="AS140" s="201">
        <v>0</v>
      </c>
      <c r="AT140" s="201">
        <v>0</v>
      </c>
      <c r="AU140" s="201">
        <v>0</v>
      </c>
      <c r="AV140" s="283">
        <f t="shared" si="32"/>
        <v>3</v>
      </c>
      <c r="AW140" s="286">
        <f t="shared" si="33"/>
        <v>0.25</v>
      </c>
      <c r="AX140" s="201">
        <v>0</v>
      </c>
      <c r="AY140" s="201">
        <v>0</v>
      </c>
      <c r="AZ140" s="201">
        <v>0</v>
      </c>
      <c r="BA140" s="201">
        <v>0</v>
      </c>
      <c r="BB140" s="201">
        <v>0</v>
      </c>
      <c r="BC140" s="203">
        <f>SUMIFS(領用表!$L:$L,領用表!$A:$A,BC$2,領用表!$E:$E,B140)</f>
        <v>0</v>
      </c>
      <c r="BD140" s="287">
        <f>SUMIFS(領用表!$L:$L,領用表!$E:$E,$B140,領用表!$B:$B,BC$2&amp;BD$2)</f>
        <v>0</v>
      </c>
      <c r="BE140" s="287">
        <f>SUMIFS(領用表!$L:$L,領用表!$E:$E,$B140,領用表!$B:$B,$BC$2&amp;BE$2)</f>
        <v>0</v>
      </c>
      <c r="BF140" s="287">
        <f>SUMIFS(領用表!$L:$L,領用表!$E:$E,$B140,領用表!$B:$B,$BC$2&amp;BF$2)</f>
        <v>0</v>
      </c>
      <c r="BG140" s="206">
        <f>SUMIFS(領用表!$L:$L,領用表!$E:$E,$B140,領用表!$B:$B,$BC$2&amp;BG$2)</f>
        <v>0</v>
      </c>
      <c r="BH140" s="203">
        <f>SUMIFS(領用表!$L:$L,領用表!$A:$A,BH$2,領用表!$E:$E,B140)</f>
        <v>0</v>
      </c>
      <c r="BI140" s="260">
        <f>SUMIFS(領用表!$L:$L,領用表!$E:$E,$B140,領用表!$B:$B,BH$2&amp;BI$2)</f>
        <v>0</v>
      </c>
      <c r="BJ140" s="260">
        <f>SUMIFS(領用表!$L:$L,領用表!$E:$E,$B140,領用表!$B:$B,$BH$2&amp;BJ$2)</f>
        <v>0</v>
      </c>
      <c r="BK140" s="260">
        <f>SUMIFS(領用表!$L:$L,領用表!$E:$E,$B140,領用表!$B:$B,$BH$2&amp;BK$2)</f>
        <v>0</v>
      </c>
      <c r="BL140" s="260">
        <f>SUMIFS(領用表!$L:$L,領用表!$E:$E,$B140,領用表!$B:$B,$BH$2&amp;BL$2)</f>
        <v>0</v>
      </c>
      <c r="BM140" s="203">
        <f>SUMIFS(領用表!$L:$L,領用表!$A:$A,BM$2,領用表!$E:$E,B140)</f>
        <v>0</v>
      </c>
      <c r="BN140" s="206">
        <f>SUMIFS(領用表!$L:$L,領用表!$E:$E,$B140,領用表!$B:$B,BM$2&amp;BN$2)</f>
        <v>0</v>
      </c>
      <c r="BO140" s="206">
        <f>SUMIFS(領用表!$L:$L,領用表!$E:$E,$B140,領用表!$B:$B,$BM$2&amp;BO$2)</f>
        <v>0</v>
      </c>
      <c r="BP140" s="288">
        <f>SUMIFS(領用表!$L:$L,領用表!$E:$E,$B140,領用表!$B:$B,$BM$2&amp;BP$2)</f>
        <v>0</v>
      </c>
      <c r="BQ140" s="287">
        <f>SUMIFS(領用表!$L:$L,領用表!$E:$E,$B140,領用表!$B:$B,$BM$2&amp;BQ$2)</f>
        <v>0</v>
      </c>
      <c r="BR140" s="203">
        <f>SUMIFS(領用表!$L:$L,領用表!$A:$A,BR$2,領用表!$E:$E,B140)</f>
        <v>0</v>
      </c>
      <c r="BS140" s="288">
        <f>SUMIFS(領用表!$L:$L,領用表!$E:$E,$B140,領用表!$B:$B,BR$2&amp;BS$2)</f>
        <v>0</v>
      </c>
      <c r="BT140" s="288">
        <f>SUMIFS(領用表!$L:$L,領用表!$E:$E,$B140,領用表!$B:$B,$BR$2&amp;BT$2)</f>
        <v>0</v>
      </c>
      <c r="BU140" s="288">
        <f>SUMIFS(領用表!$L:$L,領用表!$E:$E,$B140,領用表!$B:$B,$BR$2&amp;BU$2)</f>
        <v>0</v>
      </c>
      <c r="BV140" s="287">
        <f>SUMIFS(領用表!$L:$L,領用表!$E:$E,$B140,領用表!$B:$B,$BR$2&amp;BV$2)</f>
        <v>0</v>
      </c>
      <c r="BW140" s="208">
        <f>SUMIFS(領用表!$L:$L,領用表!$A:$A,BW$2,領用表!$E:$E,B140)</f>
        <v>0</v>
      </c>
      <c r="BX140" s="206">
        <f>SUMIFS(領用表!$L:$L,領用表!$E:$E,$B140,領用表!$B:$B,BW$2&amp;BX$2)</f>
        <v>0</v>
      </c>
      <c r="BY140" s="206">
        <f>SUMIFS(領用表!$L:$L,領用表!$E:$E,$B140,領用表!$B:$B,$BW$2&amp;BY$2)</f>
        <v>0</v>
      </c>
      <c r="BZ140" s="206">
        <f>SUMIFS(領用表!$L:$L,領用表!$E:$E,$B140,領用表!$B:$B,$BW$2&amp;BZ$2)</f>
        <v>0</v>
      </c>
      <c r="CA140" s="206">
        <f>SUMIFS(領用表!$L:$L,領用表!$E:$E,$B140,領用表!$B:$B,$BW$2&amp;CA$2)</f>
        <v>0</v>
      </c>
      <c r="CB140" s="208">
        <f>SUMIFS(領用表!$L:$L,領用表!$A:$A,CB$2,領用表!$E:$E,B140)</f>
        <v>0</v>
      </c>
      <c r="CC140" s="206">
        <f>SUMIFS(領用表!$L:$L,領用表!$E:$E,$B140,領用表!$B:$B,CB$2&amp;CC$2)</f>
        <v>0</v>
      </c>
      <c r="CD140" s="206">
        <f>SUMIFS(領用表!$L:$L,領用表!$E:$E,$B140,領用表!$B:$B,$CB$2&amp;CD$2)</f>
        <v>0</v>
      </c>
      <c r="CE140" s="206">
        <f>SUMIFS(領用表!$L:$L,領用表!$E:$E,$B140,領用表!$B:$B,$CB$2&amp;CE$2)</f>
        <v>0</v>
      </c>
      <c r="CF140" s="206">
        <f>SUMIFS(領用表!$L:$L,領用表!$E:$E,$B140,領用表!$B:$B,$CB$2&amp;CF$2)</f>
        <v>0</v>
      </c>
      <c r="CG140" s="208">
        <f>SUMIFS(領用表!$L:$L,領用表!$A:$A,CG$2,領用表!$E:$E,B140)</f>
        <v>0</v>
      </c>
      <c r="CH140" s="206">
        <f>SUMIFS(領用表!$L:$L,領用表!$E:$E,$B140,領用表!$B:$B,CG$2&amp;CH$2)</f>
        <v>0</v>
      </c>
      <c r="CI140" s="206">
        <f>SUMIFS(領用表!$L:$L,領用表!$E:$E,$B140,領用表!$B:$B,CG$2&amp;CI$2)</f>
        <v>0</v>
      </c>
      <c r="CJ140" s="206">
        <f>SUMIFS(領用表!$L:$L,領用表!$E:$E,$B140,領用表!$B:$B,CG$2&amp;CJ$2)</f>
        <v>0</v>
      </c>
      <c r="CK140" s="206">
        <f>SUMIFS(領用表!$L:$L,領用表!$E:$E,$B140,領用表!$B:$B,$CG$2&amp;CK$2)</f>
        <v>0</v>
      </c>
      <c r="CL140" s="207">
        <f t="shared" si="34"/>
        <v>0</v>
      </c>
      <c r="CM140" s="207">
        <f t="shared" si="35"/>
        <v>0</v>
      </c>
      <c r="CN140" s="208">
        <f>SUMIFS(領用表!$L:$L,領用表!$A:$A,CN$2,領用表!$E:$E,B140)</f>
        <v>0</v>
      </c>
      <c r="CO140" s="206">
        <f>SUMIFS(領用表!$L:$L,領用表!$E:$E,$B140,領用表!$B:$B,CN$2&amp;CO$2)</f>
        <v>0</v>
      </c>
      <c r="CP140" s="206">
        <f>SUMIFS(領用表!$L:$L,領用表!$E:$E,$B140,領用表!$B:$B,$CN$2&amp;CP$2)</f>
        <v>0</v>
      </c>
      <c r="CQ140" s="206">
        <f>SUMIFS(領用表!$L:$L,領用表!$E:$E,$B140,領用表!$B:$B,$CN$2&amp;CQ$2)</f>
        <v>0</v>
      </c>
      <c r="CR140" s="206">
        <f>SUMIFS(領用表!$L:$L,領用表!$E:$E,$B140,領用表!$B:$B,$CN$2&amp;CR$2)</f>
        <v>0</v>
      </c>
      <c r="CS140" s="208">
        <f>SUMIFS(領用表!$L:$L,領用表!$A:$A,CS$2,領用表!$E:$E,B140)</f>
        <v>0</v>
      </c>
      <c r="CT140" s="206">
        <f>SUMIFS(領用表!$L:$L,領用表!$E:$E,$B140,領用表!$B:$B,CS$2&amp;CT$2)</f>
        <v>0</v>
      </c>
      <c r="CU140" s="206">
        <f>SUMIFS(領用表!$L:$L,領用表!$E:$E,$B140,領用表!$B:$B,$CS$2&amp;CU$2)</f>
        <v>0</v>
      </c>
      <c r="CV140" s="206">
        <f>SUMIFS(領用表!$L:$L,領用表!$E:$E,$B140,領用表!$B:$B,$CS$2&amp;CV$2)</f>
        <v>0</v>
      </c>
      <c r="CW140" s="206">
        <f>SUMIFS(領用表!$L:$L,領用表!$E:$E,$B140,領用表!$B:$B,$CS$2&amp;CW$2)</f>
        <v>0</v>
      </c>
      <c r="CX140" s="206">
        <f>SUMIFS(領用表!$L:$L,領用表!$E:$E,$B140,領用表!$B:$B,$CS$2&amp;CX$2)</f>
        <v>0</v>
      </c>
      <c r="CY140" s="208">
        <f>SUMIFS(領用表!$L:$L,領用表!$A:$A,CY$2,領用表!$E:$E,B140)</f>
        <v>0</v>
      </c>
      <c r="CZ140" s="206">
        <f>SUMIFS(領用表!$L:$L,領用表!$E:$E,$B140,領用表!$B:$B,CY$2&amp;CZ$2)</f>
        <v>0</v>
      </c>
      <c r="DA140" s="206">
        <f>SUMIFS(領用表!$L:$L,領用表!$E:$E,$B140,領用表!$B:$B,$CY$2&amp;DA$2)</f>
        <v>0</v>
      </c>
      <c r="DB140" s="206">
        <f>SUMIFS(領用表!$L:$L,領用表!$E:$E,$B140,領用表!$B:$B,$CY$2&amp;DB$2)</f>
        <v>0</v>
      </c>
      <c r="DC140" s="206">
        <f>SUMIFS(領用表!$L:$L,領用表!$E:$E,$B140,領用表!$B:$B,$CY$2&amp;DC$2)</f>
        <v>0</v>
      </c>
      <c r="DD140" s="206">
        <f>SUMIFS(領用表!$L:$L,領用表!$E:$E,$B140,領用表!$B:$B,$CY$2&amp;DD$2)</f>
        <v>0</v>
      </c>
      <c r="DE140" s="208">
        <f>SUMIFS(領用表!$L:$L,領用表!$A:$A,DE$2,領用表!$E:$E,B140)</f>
        <v>0</v>
      </c>
      <c r="DF140" s="206">
        <f>SUMIFS(領用表!$L:$L,領用表!$E:$E,$B140,領用表!$B:$B,DE$2&amp;DF$2)</f>
        <v>0</v>
      </c>
      <c r="DG140" s="206">
        <f>SUMIFS(領用表!$L:$L,領用表!$E:$E,$B140,領用表!$B:$B,$DE$2&amp;DG$2)</f>
        <v>0</v>
      </c>
      <c r="DH140" s="206">
        <f>SUMIFS(領用表!$L:$L,領用表!$E:$E,$B140,領用表!$B:$B,$DE$2&amp;DH$2)</f>
        <v>0</v>
      </c>
      <c r="DI140" s="206">
        <f>SUMIFS(領用表!$L:$L,領用表!$E:$E,$B140,領用表!$B:$B,$DE$2&amp;DI$2)</f>
        <v>0</v>
      </c>
      <c r="DJ140" s="206">
        <f>SUMIFS(領用表!$L:$L,領用表!$E:$E,$B140,領用表!$B:$B,$DE$2&amp;DJ$2)</f>
        <v>0</v>
      </c>
      <c r="DK140" s="208">
        <f>SUMIFS(領用表!$L:$L,領用表!$A:$A,DK$2,領用表!$E:$E,$B140)</f>
        <v>0</v>
      </c>
      <c r="DL140" s="206">
        <f>SUMIFS(領用表!$L:$L,領用表!$E:$E,$B140,領用表!$B:$B,DK$2&amp;DL$2)</f>
        <v>0</v>
      </c>
      <c r="DM140" s="206">
        <f>SUMIFS(領用表!$L:$L,領用表!$E:$E,$B140,領用表!$B:$B,$DK$2&amp;DM$2)</f>
        <v>0</v>
      </c>
      <c r="DN140" s="206">
        <f>SUMIFS(領用表!$L:$L,領用表!$E:$E,$B140,領用表!$B:$B,$DK$2&amp;DN$2)</f>
        <v>0</v>
      </c>
      <c r="DO140" s="206">
        <f>SUMIFS(領用表!$L:$L,領用表!$E:$E,$B140,領用表!$B:$B,$DK$2&amp;DO$2)</f>
        <v>0</v>
      </c>
      <c r="DP140" s="206">
        <f>SUMIFS(領用表!$L:$L,領用表!$E:$E,$B140,領用表!$B:$B,$DK$2&amp;DP$2)</f>
        <v>0</v>
      </c>
      <c r="DQ140" s="206">
        <f t="shared" si="36"/>
        <v>0</v>
      </c>
      <c r="DR140" s="206">
        <f t="shared" si="37"/>
        <v>0</v>
      </c>
      <c r="DS140" s="206">
        <f t="shared" si="45"/>
        <v>0</v>
      </c>
      <c r="DT140" s="206">
        <v>0</v>
      </c>
      <c r="DU140" s="206">
        <v>0</v>
      </c>
      <c r="DV140" s="206">
        <v>0</v>
      </c>
      <c r="DW140" s="206">
        <v>0</v>
      </c>
      <c r="DX140" s="258">
        <v>0</v>
      </c>
      <c r="DY140" s="283"/>
      <c r="DZ140" s="283"/>
      <c r="EA140" s="283"/>
      <c r="EB140" s="136"/>
      <c r="EC140" s="136"/>
      <c r="ED140" s="118">
        <f>IFERROR(VLOOKUP(A140,站前4樓!A:BF,57,0),0)</f>
        <v>0</v>
      </c>
      <c r="EE140" s="213">
        <f>IFERROR(VLOOKUP(A140,站前11樓!A:BE,57,0),0)</f>
        <v>0</v>
      </c>
      <c r="EF140" s="118">
        <f>IFERROR(VLOOKUP(A140,忠孝7樓!A:N,57,0),0)</f>
        <v>0</v>
      </c>
      <c r="EG140" s="118">
        <f>IFERROR(VLOOKUP(A140,忠孝國際醫學3樓!A:L,57,0),0)</f>
        <v>0</v>
      </c>
      <c r="EH140" s="118">
        <f t="shared" si="25"/>
        <v>0</v>
      </c>
    </row>
    <row r="141" spans="1:138" s="118" customFormat="1" ht="15.75" customHeight="1">
      <c r="A141" s="136"/>
      <c r="C141" s="136" t="s">
        <v>543</v>
      </c>
      <c r="D141" s="285"/>
      <c r="E141" s="198" t="s">
        <v>823</v>
      </c>
      <c r="F141" s="225">
        <f>SUMIF(站前4樓!B:B,B141,站前4樓!F:F)</f>
        <v>0</v>
      </c>
      <c r="G141" s="225">
        <f>SUMIF(站前11樓!B:B,B141,站前11樓!F:F)</f>
        <v>0</v>
      </c>
      <c r="H141" s="225">
        <f>SUMIF(忠孝7樓!B:B,B141,忠孝7樓!G:G)</f>
        <v>0</v>
      </c>
      <c r="I141" s="225">
        <f>SUMIF(忠孝國際醫學3樓!B:B,B141,忠孝國際醫學3樓!G:G)</f>
        <v>0</v>
      </c>
      <c r="J141" s="225">
        <f>SUMIF(忠孝健康7樓!B:B,B141,忠孝健康7樓!G:G)</f>
        <v>0</v>
      </c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  <c r="AA141" s="283"/>
      <c r="AB141" s="283"/>
      <c r="AC141" s="283"/>
      <c r="AD141" s="283"/>
      <c r="AE141" s="283"/>
      <c r="AF141" s="283"/>
      <c r="AG141" s="283"/>
      <c r="AH141" s="283"/>
      <c r="AI141" s="283"/>
      <c r="AJ141" s="201"/>
      <c r="AK141" s="201"/>
      <c r="AL141" s="201"/>
      <c r="AM141" s="201"/>
      <c r="AN141" s="201"/>
      <c r="AO141" s="201"/>
      <c r="AP141" s="201"/>
      <c r="AQ141" s="201"/>
      <c r="AR141" s="201"/>
      <c r="AS141" s="201"/>
      <c r="AT141" s="201"/>
      <c r="AU141" s="201"/>
      <c r="AV141" s="283"/>
      <c r="AW141" s="286"/>
      <c r="AX141" s="201"/>
      <c r="AY141" s="201"/>
      <c r="AZ141" s="201"/>
      <c r="BA141" s="201">
        <v>0</v>
      </c>
      <c r="BB141" s="201">
        <v>0</v>
      </c>
      <c r="BC141" s="295">
        <f>SUMIFS(領用表!$L:$L,領用表!$A:$A,BC$2,領用表!$E:$E,B141)</f>
        <v>0</v>
      </c>
      <c r="BD141" s="287">
        <f>SUMIFS(領用表!$L:$L,領用表!$E:$E,$B141,領用表!$B:$B,BC$2&amp;BD$2)</f>
        <v>0</v>
      </c>
      <c r="BE141" s="287">
        <f>SUMIFS(領用表!$L:$L,領用表!$E:$E,$B141,領用表!$B:$B,$BC$2&amp;BE$2)</f>
        <v>0</v>
      </c>
      <c r="BF141" s="287">
        <f>SUMIFS(領用表!$L:$L,領用表!$E:$E,$B141,領用表!$B:$B,$BC$2&amp;BF$2)</f>
        <v>0</v>
      </c>
      <c r="BG141" s="206">
        <f>SUMIFS(領用表!$L:$L,領用表!$E:$E,$B141,領用表!$B:$B,$BC$2&amp;BG$2)</f>
        <v>0</v>
      </c>
      <c r="BH141" s="203">
        <f>SUMIFS(領用表!$L:$L,領用表!$A:$A,BH$2,領用表!$E:$E,B141)</f>
        <v>0</v>
      </c>
      <c r="BI141" s="260">
        <f>SUMIFS(領用表!$L:$L,領用表!$E:$E,$B141,領用表!$B:$B,BH$2&amp;BI$2)</f>
        <v>0</v>
      </c>
      <c r="BJ141" s="260">
        <f>SUMIFS(領用表!$L:$L,領用表!$E:$E,$B141,領用表!$B:$B,$BH$2&amp;BJ$2)</f>
        <v>0</v>
      </c>
      <c r="BK141" s="260">
        <f>SUMIFS(領用表!$L:$L,領用表!$E:$E,$B141,領用表!$B:$B,$BH$2&amp;BK$2)</f>
        <v>0</v>
      </c>
      <c r="BL141" s="260">
        <f>SUMIFS(領用表!$L:$L,領用表!$E:$E,$B141,領用表!$B:$B,$BH$2&amp;BL$2)</f>
        <v>0</v>
      </c>
      <c r="BM141" s="203">
        <f>SUMIFS(領用表!$L:$L,領用表!$A:$A,BM$2,領用表!$E:$E,B141)</f>
        <v>0</v>
      </c>
      <c r="BN141" s="206">
        <f>SUMIFS(領用表!$L:$L,領用表!$E:$E,$B141,領用表!$B:$B,BM$2&amp;BN$2)</f>
        <v>0</v>
      </c>
      <c r="BO141" s="206">
        <f>SUMIFS(領用表!$L:$L,領用表!$E:$E,$B141,領用表!$B:$B,$BM$2&amp;BO$2)</f>
        <v>0</v>
      </c>
      <c r="BP141" s="288">
        <f>SUMIFS(領用表!$L:$L,領用表!$E:$E,$B141,領用表!$B:$B,$BM$2&amp;BP$2)</f>
        <v>0</v>
      </c>
      <c r="BQ141" s="287">
        <f>SUMIFS(領用表!$L:$L,領用表!$E:$E,$B141,領用表!$B:$B,$BM$2&amp;BQ$2)</f>
        <v>0</v>
      </c>
      <c r="BR141" s="203">
        <f>SUMIFS(領用表!$L:$L,領用表!$A:$A,BR$2,領用表!$E:$E,B141)</f>
        <v>0</v>
      </c>
      <c r="BS141" s="288">
        <f>SUMIFS(領用表!$L:$L,領用表!$E:$E,$B141,領用表!$B:$B,BR$2&amp;BS$2)</f>
        <v>0</v>
      </c>
      <c r="BT141" s="288">
        <f>SUMIFS(領用表!$L:$L,領用表!$E:$E,$B141,領用表!$B:$B,$BR$2&amp;BT$2)</f>
        <v>0</v>
      </c>
      <c r="BU141" s="288">
        <f>SUMIFS(領用表!$L:$L,領用表!$E:$E,$B141,領用表!$B:$B,$BR$2&amp;BU$2)</f>
        <v>0</v>
      </c>
      <c r="BV141" s="287">
        <f>SUMIFS(領用表!$L:$L,領用表!$E:$E,$B141,領用表!$B:$B,$BR$2&amp;BV$2)</f>
        <v>0</v>
      </c>
      <c r="BW141" s="208">
        <f>SUMIFS(領用表!$L:$L,領用表!$A:$A,BW$2,領用表!$E:$E,B141)</f>
        <v>0</v>
      </c>
      <c r="BX141" s="206">
        <f>SUMIFS(領用表!$L:$L,領用表!$E:$E,$B141,領用表!$B:$B,BW$2&amp;BX$2)</f>
        <v>0</v>
      </c>
      <c r="BY141" s="206">
        <f>SUMIFS(領用表!$L:$L,領用表!$E:$E,$B141,領用表!$B:$B,$BW$2&amp;BY$2)</f>
        <v>0</v>
      </c>
      <c r="BZ141" s="206">
        <f>SUMIFS(領用表!$L:$L,領用表!$E:$E,$B141,領用表!$B:$B,$BW$2&amp;BZ$2)</f>
        <v>0</v>
      </c>
      <c r="CA141" s="206">
        <f>SUMIFS(領用表!$L:$L,領用表!$E:$E,$B141,領用表!$B:$B,$BW$2&amp;CA$2)</f>
        <v>0</v>
      </c>
      <c r="CB141" s="208">
        <f>SUMIFS(領用表!$L:$L,領用表!$A:$A,CB$2,領用表!$E:$E,B141)</f>
        <v>0</v>
      </c>
      <c r="CC141" s="206">
        <f>SUMIFS(領用表!$L:$L,領用表!$E:$E,$B141,領用表!$B:$B,CB$2&amp;CC$2)</f>
        <v>0</v>
      </c>
      <c r="CD141" s="206">
        <f>SUMIFS(領用表!$L:$L,領用表!$E:$E,$B141,領用表!$B:$B,$CB$2&amp;CD$2)</f>
        <v>0</v>
      </c>
      <c r="CE141" s="206">
        <f>SUMIFS(領用表!$L:$L,領用表!$E:$E,$B141,領用表!$B:$B,$CB$2&amp;CE$2)</f>
        <v>0</v>
      </c>
      <c r="CF141" s="206">
        <f>SUMIFS(領用表!$L:$L,領用表!$E:$E,$B141,領用表!$B:$B,$CB$2&amp;CF$2)</f>
        <v>0</v>
      </c>
      <c r="CG141" s="208">
        <f>SUMIFS(領用表!$L:$L,領用表!$A:$A,CG$2,領用表!$E:$E,B141)</f>
        <v>0</v>
      </c>
      <c r="CH141" s="206">
        <f>SUMIFS(領用表!$L:$L,領用表!$E:$E,$B141,領用表!$B:$B,CG$2&amp;CH$2)</f>
        <v>0</v>
      </c>
      <c r="CI141" s="206">
        <f>SUMIFS(領用表!$L:$L,領用表!$E:$E,$B141,領用表!$B:$B,CG$2&amp;CI$2)</f>
        <v>0</v>
      </c>
      <c r="CJ141" s="206">
        <f>SUMIFS(領用表!$L:$L,領用表!$E:$E,$B141,領用表!$B:$B,CG$2&amp;CJ$2)</f>
        <v>0</v>
      </c>
      <c r="CK141" s="206">
        <f>SUMIFS(領用表!$L:$L,領用表!$E:$E,$B141,領用表!$B:$B,$CG$2&amp;CK$2)</f>
        <v>0</v>
      </c>
      <c r="CL141" s="207">
        <f t="shared" si="34"/>
        <v>0</v>
      </c>
      <c r="CM141" s="207">
        <f t="shared" si="35"/>
        <v>0</v>
      </c>
      <c r="CN141" s="208">
        <f>SUMIFS(領用表!$L:$L,領用表!$A:$A,CN$2,領用表!$E:$E,B141)</f>
        <v>0</v>
      </c>
      <c r="CO141" s="206">
        <f>SUMIFS(領用表!$L:$L,領用表!$E:$E,$B141,領用表!$B:$B,CN$2&amp;CO$2)</f>
        <v>0</v>
      </c>
      <c r="CP141" s="206">
        <f>SUMIFS(領用表!$L:$L,領用表!$E:$E,$B141,領用表!$B:$B,$CN$2&amp;CP$2)</f>
        <v>0</v>
      </c>
      <c r="CQ141" s="206">
        <f>SUMIFS(領用表!$L:$L,領用表!$E:$E,$B141,領用表!$B:$B,$CN$2&amp;CQ$2)</f>
        <v>0</v>
      </c>
      <c r="CR141" s="206">
        <f>SUMIFS(領用表!$L:$L,領用表!$E:$E,$B141,領用表!$B:$B,$CN$2&amp;CR$2)</f>
        <v>0</v>
      </c>
      <c r="CS141" s="208">
        <f>SUMIFS(領用表!$L:$L,領用表!$A:$A,CS$2,領用表!$E:$E,B141)</f>
        <v>0</v>
      </c>
      <c r="CT141" s="206">
        <f>SUMIFS(領用表!$L:$L,領用表!$E:$E,$B141,領用表!$B:$B,CS$2&amp;CT$2)</f>
        <v>0</v>
      </c>
      <c r="CU141" s="206">
        <f>SUMIFS(領用表!$L:$L,領用表!$E:$E,$B141,領用表!$B:$B,$CS$2&amp;CU$2)</f>
        <v>0</v>
      </c>
      <c r="CV141" s="206">
        <f>SUMIFS(領用表!$L:$L,領用表!$E:$E,$B141,領用表!$B:$B,$CS$2&amp;CV$2)</f>
        <v>0</v>
      </c>
      <c r="CW141" s="206">
        <f>SUMIFS(領用表!$L:$L,領用表!$E:$E,$B141,領用表!$B:$B,$CS$2&amp;CW$2)</f>
        <v>0</v>
      </c>
      <c r="CX141" s="206">
        <f>SUMIFS(領用表!$L:$L,領用表!$E:$E,$B141,領用表!$B:$B,$CS$2&amp;CX$2)</f>
        <v>0</v>
      </c>
      <c r="CY141" s="208">
        <f>SUMIFS(領用表!$L:$L,領用表!$A:$A,CY$2,領用表!$E:$E,B141)</f>
        <v>0</v>
      </c>
      <c r="CZ141" s="206">
        <f>SUMIFS(領用表!$L:$L,領用表!$E:$E,$B141,領用表!$B:$B,CY$2&amp;CZ$2)</f>
        <v>0</v>
      </c>
      <c r="DA141" s="206">
        <f>SUMIFS(領用表!$L:$L,領用表!$E:$E,$B141,領用表!$B:$B,$CY$2&amp;DA$2)</f>
        <v>0</v>
      </c>
      <c r="DB141" s="206">
        <f>SUMIFS(領用表!$L:$L,領用表!$E:$E,$B141,領用表!$B:$B,$CY$2&amp;DB$2)</f>
        <v>0</v>
      </c>
      <c r="DC141" s="206">
        <f>SUMIFS(領用表!$L:$L,領用表!$E:$E,$B141,領用表!$B:$B,$CY$2&amp;DC$2)</f>
        <v>0</v>
      </c>
      <c r="DD141" s="206">
        <f>SUMIFS(領用表!$L:$L,領用表!$E:$E,$B141,領用表!$B:$B,$CY$2&amp;DD$2)</f>
        <v>0</v>
      </c>
      <c r="DE141" s="208">
        <f>SUMIFS(領用表!$L:$L,領用表!$A:$A,DE$2,領用表!$E:$E,B141)</f>
        <v>0</v>
      </c>
      <c r="DF141" s="206">
        <f>SUMIFS(領用表!$L:$L,領用表!$E:$E,$B141,領用表!$B:$B,DE$2&amp;DF$2)</f>
        <v>0</v>
      </c>
      <c r="DG141" s="206">
        <f>SUMIFS(領用表!$L:$L,領用表!$E:$E,$B141,領用表!$B:$B,$DE$2&amp;DG$2)</f>
        <v>0</v>
      </c>
      <c r="DH141" s="206">
        <f>SUMIFS(領用表!$L:$L,領用表!$E:$E,$B141,領用表!$B:$B,$DE$2&amp;DH$2)</f>
        <v>0</v>
      </c>
      <c r="DI141" s="206">
        <f>SUMIFS(領用表!$L:$L,領用表!$E:$E,$B141,領用表!$B:$B,$DE$2&amp;DI$2)</f>
        <v>0</v>
      </c>
      <c r="DJ141" s="206">
        <f>SUMIFS(領用表!$L:$L,領用表!$E:$E,$B141,領用表!$B:$B,$DE$2&amp;DJ$2)</f>
        <v>0</v>
      </c>
      <c r="DK141" s="208">
        <f>SUMIFS(領用表!$L:$L,領用表!$A:$A,DK$2,領用表!$E:$E,$B141)</f>
        <v>0</v>
      </c>
      <c r="DL141" s="206">
        <f>SUMIFS(領用表!$L:$L,領用表!$E:$E,$B141,領用表!$B:$B,DK$2&amp;DL$2)</f>
        <v>0</v>
      </c>
      <c r="DM141" s="206">
        <f>SUMIFS(領用表!$L:$L,領用表!$E:$E,$B141,領用表!$B:$B,$DK$2&amp;DM$2)</f>
        <v>0</v>
      </c>
      <c r="DN141" s="206">
        <f>SUMIFS(領用表!$L:$L,領用表!$E:$E,$B141,領用表!$B:$B,$DK$2&amp;DN$2)</f>
        <v>0</v>
      </c>
      <c r="DO141" s="206">
        <f>SUMIFS(領用表!$L:$L,領用表!$E:$E,$B141,領用表!$B:$B,$DK$2&amp;DO$2)</f>
        <v>0</v>
      </c>
      <c r="DP141" s="206">
        <f>SUMIFS(領用表!$L:$L,領用表!$E:$E,$B141,領用表!$B:$B,$DK$2&amp;DP$2)</f>
        <v>0</v>
      </c>
      <c r="DQ141" s="206">
        <f t="shared" si="36"/>
        <v>0</v>
      </c>
      <c r="DR141" s="206">
        <f t="shared" si="37"/>
        <v>0</v>
      </c>
      <c r="DS141" s="206">
        <f t="shared" si="45"/>
        <v>0</v>
      </c>
      <c r="DT141" s="206">
        <v>0</v>
      </c>
      <c r="DU141" s="206">
        <v>0</v>
      </c>
      <c r="DV141" s="206">
        <v>0</v>
      </c>
      <c r="DW141" s="206">
        <v>0</v>
      </c>
      <c r="DX141" s="258"/>
      <c r="DY141" s="283"/>
      <c r="DZ141" s="283"/>
      <c r="EA141" s="283"/>
      <c r="EB141" s="136"/>
      <c r="EC141" s="136"/>
      <c r="ED141" s="118">
        <f>IFERROR(VLOOKUP(A141,站前4樓!A:BF,57,0),0)</f>
        <v>0</v>
      </c>
      <c r="EE141" s="213">
        <f>IFERROR(VLOOKUP(A141,站前11樓!A:BE,57,0),0)</f>
        <v>0</v>
      </c>
      <c r="EF141" s="118">
        <f>IFERROR(VLOOKUP(A141,忠孝7樓!A:N,57,0),0)</f>
        <v>0</v>
      </c>
      <c r="EG141" s="118">
        <f>IFERROR(VLOOKUP(A141,忠孝國際醫學3樓!A:L,57,0),0)</f>
        <v>0</v>
      </c>
      <c r="EH141" s="118">
        <f t="shared" si="25"/>
        <v>0</v>
      </c>
    </row>
    <row r="142" spans="1:138" s="118" customFormat="1" ht="15.75" customHeight="1">
      <c r="A142" s="136"/>
      <c r="C142" s="136" t="s">
        <v>544</v>
      </c>
      <c r="D142" s="285"/>
      <c r="E142" s="198" t="s">
        <v>823</v>
      </c>
      <c r="F142" s="225">
        <f>SUMIF(站前4樓!B:B,B142,站前4樓!F:F)</f>
        <v>0</v>
      </c>
      <c r="G142" s="225">
        <f>SUMIF(站前11樓!B:B,B142,站前11樓!F:F)</f>
        <v>0</v>
      </c>
      <c r="H142" s="225">
        <f>SUMIF(忠孝7樓!B:B,B142,忠孝7樓!G:G)</f>
        <v>0</v>
      </c>
      <c r="I142" s="225">
        <f>SUMIF(忠孝國際醫學3樓!B:B,B142,忠孝國際醫學3樓!G:G)</f>
        <v>0</v>
      </c>
      <c r="J142" s="225">
        <f>SUMIF(忠孝健康7樓!B:B,B142,忠孝健康7樓!G:G)</f>
        <v>0</v>
      </c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83"/>
      <c r="AB142" s="283"/>
      <c r="AC142" s="283"/>
      <c r="AD142" s="283"/>
      <c r="AE142" s="283"/>
      <c r="AF142" s="283"/>
      <c r="AG142" s="283"/>
      <c r="AH142" s="283"/>
      <c r="AI142" s="283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  <c r="AT142" s="201"/>
      <c r="AU142" s="201"/>
      <c r="AV142" s="283"/>
      <c r="AW142" s="286"/>
      <c r="AX142" s="201"/>
      <c r="AY142" s="201"/>
      <c r="AZ142" s="201"/>
      <c r="BA142" s="201">
        <v>0</v>
      </c>
      <c r="BB142" s="201">
        <v>0</v>
      </c>
      <c r="BC142" s="203">
        <f>SUMIFS(領用表!$L:$L,領用表!$A:$A,BC$2,領用表!$E:$E,B142)</f>
        <v>0</v>
      </c>
      <c r="BD142" s="287">
        <f>SUMIFS(領用表!$L:$L,領用表!$E:$E,$B142,領用表!$B:$B,BC$2&amp;BD$2)</f>
        <v>0</v>
      </c>
      <c r="BE142" s="287">
        <f>SUMIFS(領用表!$L:$L,領用表!$E:$E,$B142,領用表!$B:$B,$BC$2&amp;BE$2)</f>
        <v>0</v>
      </c>
      <c r="BF142" s="287">
        <f>SUMIFS(領用表!$L:$L,領用表!$E:$E,$B142,領用表!$B:$B,$BC$2&amp;BF$2)</f>
        <v>0</v>
      </c>
      <c r="BG142" s="206">
        <f>SUMIFS(領用表!$L:$L,領用表!$E:$E,$B142,領用表!$B:$B,$BC$2&amp;BG$2)</f>
        <v>0</v>
      </c>
      <c r="BH142" s="203">
        <f>SUMIFS(領用表!$L:$L,領用表!$A:$A,BH$2,領用表!$E:$E,B142)</f>
        <v>0</v>
      </c>
      <c r="BI142" s="260">
        <f>SUMIFS(領用表!$L:$L,領用表!$E:$E,$B142,領用表!$B:$B,BH$2&amp;BI$2)</f>
        <v>0</v>
      </c>
      <c r="BJ142" s="260">
        <f>SUMIFS(領用表!$L:$L,領用表!$E:$E,$B142,領用表!$B:$B,$BH$2&amp;BJ$2)</f>
        <v>0</v>
      </c>
      <c r="BK142" s="260">
        <f>SUMIFS(領用表!$L:$L,領用表!$E:$E,$B142,領用表!$B:$B,$BH$2&amp;BK$2)</f>
        <v>0</v>
      </c>
      <c r="BL142" s="260">
        <f>SUMIFS(領用表!$L:$L,領用表!$E:$E,$B142,領用表!$B:$B,$BH$2&amp;BL$2)</f>
        <v>0</v>
      </c>
      <c r="BM142" s="203">
        <f>SUMIFS(領用表!$L:$L,領用表!$A:$A,BM$2,領用表!$E:$E,B142)</f>
        <v>0</v>
      </c>
      <c r="BN142" s="206">
        <f>SUMIFS(領用表!$L:$L,領用表!$E:$E,$B142,領用表!$B:$B,BM$2&amp;BN$2)</f>
        <v>0</v>
      </c>
      <c r="BO142" s="206">
        <f>SUMIFS(領用表!$L:$L,領用表!$E:$E,$B142,領用表!$B:$B,$BM$2&amp;BO$2)</f>
        <v>0</v>
      </c>
      <c r="BP142" s="288">
        <f>SUMIFS(領用表!$L:$L,領用表!$E:$E,$B142,領用表!$B:$B,$BM$2&amp;BP$2)</f>
        <v>0</v>
      </c>
      <c r="BQ142" s="287">
        <f>SUMIFS(領用表!$L:$L,領用表!$E:$E,$B142,領用表!$B:$B,$BM$2&amp;BQ$2)</f>
        <v>0</v>
      </c>
      <c r="BR142" s="203">
        <f>SUMIFS(領用表!$L:$L,領用表!$A:$A,BR$2,領用表!$E:$E,B142)</f>
        <v>0</v>
      </c>
      <c r="BS142" s="288">
        <f>SUMIFS(領用表!$L:$L,領用表!$E:$E,$B142,領用表!$B:$B,BR$2&amp;BS$2)</f>
        <v>0</v>
      </c>
      <c r="BT142" s="288">
        <f>SUMIFS(領用表!$L:$L,領用表!$E:$E,$B142,領用表!$B:$B,$BR$2&amp;BT$2)</f>
        <v>0</v>
      </c>
      <c r="BU142" s="288">
        <f>SUMIFS(領用表!$L:$L,領用表!$E:$E,$B142,領用表!$B:$B,$BR$2&amp;BU$2)</f>
        <v>0</v>
      </c>
      <c r="BV142" s="287">
        <f>SUMIFS(領用表!$L:$L,領用表!$E:$E,$B142,領用表!$B:$B,$BR$2&amp;BV$2)</f>
        <v>0</v>
      </c>
      <c r="BW142" s="208">
        <f>SUMIFS(領用表!$L:$L,領用表!$A:$A,BW$2,領用表!$E:$E,B142)</f>
        <v>0</v>
      </c>
      <c r="BX142" s="206">
        <f>SUMIFS(領用表!$L:$L,領用表!$E:$E,$B142,領用表!$B:$B,BW$2&amp;BX$2)</f>
        <v>0</v>
      </c>
      <c r="BY142" s="206">
        <f>SUMIFS(領用表!$L:$L,領用表!$E:$E,$B142,領用表!$B:$B,$BW$2&amp;BY$2)</f>
        <v>0</v>
      </c>
      <c r="BZ142" s="206">
        <f>SUMIFS(領用表!$L:$L,領用表!$E:$E,$B142,領用表!$B:$B,$BW$2&amp;BZ$2)</f>
        <v>0</v>
      </c>
      <c r="CA142" s="206">
        <f>SUMIFS(領用表!$L:$L,領用表!$E:$E,$B142,領用表!$B:$B,$BW$2&amp;CA$2)</f>
        <v>0</v>
      </c>
      <c r="CB142" s="208">
        <f>SUMIFS(領用表!$L:$L,領用表!$A:$A,CB$2,領用表!$E:$E,B142)</f>
        <v>0</v>
      </c>
      <c r="CC142" s="206">
        <f>SUMIFS(領用表!$L:$L,領用表!$E:$E,$B142,領用表!$B:$B,CB$2&amp;CC$2)</f>
        <v>0</v>
      </c>
      <c r="CD142" s="206">
        <f>SUMIFS(領用表!$L:$L,領用表!$E:$E,$B142,領用表!$B:$B,$CB$2&amp;CD$2)</f>
        <v>0</v>
      </c>
      <c r="CE142" s="206">
        <f>SUMIFS(領用表!$L:$L,領用表!$E:$E,$B142,領用表!$B:$B,$CB$2&amp;CE$2)</f>
        <v>0</v>
      </c>
      <c r="CF142" s="206">
        <f>SUMIFS(領用表!$L:$L,領用表!$E:$E,$B142,領用表!$B:$B,$CB$2&amp;CF$2)</f>
        <v>0</v>
      </c>
      <c r="CG142" s="208">
        <f>SUMIFS(領用表!$L:$L,領用表!$A:$A,CG$2,領用表!$E:$E,B142)</f>
        <v>0</v>
      </c>
      <c r="CH142" s="206">
        <f>SUMIFS(領用表!$L:$L,領用表!$E:$E,$B142,領用表!$B:$B,CG$2&amp;CH$2)</f>
        <v>0</v>
      </c>
      <c r="CI142" s="206">
        <f>SUMIFS(領用表!$L:$L,領用表!$E:$E,$B142,領用表!$B:$B,CG$2&amp;CI$2)</f>
        <v>0</v>
      </c>
      <c r="CJ142" s="206">
        <f>SUMIFS(領用表!$L:$L,領用表!$E:$E,$B142,領用表!$B:$B,CG$2&amp;CJ$2)</f>
        <v>0</v>
      </c>
      <c r="CK142" s="206">
        <f>SUMIFS(領用表!$L:$L,領用表!$E:$E,$B142,領用表!$B:$B,$CG$2&amp;CK$2)</f>
        <v>0</v>
      </c>
      <c r="CL142" s="207">
        <f t="shared" ref="CL142:CL173" si="46">SUM(AX142,AY142,AZ142,BA142,BB142,BC142,BH142,BM142,BR142,BW142,CB142,CG142)</f>
        <v>0</v>
      </c>
      <c r="CM142" s="207">
        <f t="shared" ref="CM142:CM173" si="47">AVERAGE(AX142,AY142,AZ142,BA142,BB142,BC142,BH142,BM142,BR142,BW142,CB142,CG142)</f>
        <v>0</v>
      </c>
      <c r="CN142" s="208">
        <f>SUMIFS(領用表!$L:$L,領用表!$A:$A,CN$2,領用表!$E:$E,B142)</f>
        <v>0</v>
      </c>
      <c r="CO142" s="206">
        <f>SUMIFS(領用表!$L:$L,領用表!$E:$E,$B142,領用表!$B:$B,CN$2&amp;CO$2)</f>
        <v>0</v>
      </c>
      <c r="CP142" s="206">
        <f>SUMIFS(領用表!$L:$L,領用表!$E:$E,$B142,領用表!$B:$B,$CN$2&amp;CP$2)</f>
        <v>0</v>
      </c>
      <c r="CQ142" s="206">
        <f>SUMIFS(領用表!$L:$L,領用表!$E:$E,$B142,領用表!$B:$B,$CN$2&amp;CQ$2)</f>
        <v>0</v>
      </c>
      <c r="CR142" s="206">
        <f>SUMIFS(領用表!$L:$L,領用表!$E:$E,$B142,領用表!$B:$B,$CN$2&amp;CR$2)</f>
        <v>0</v>
      </c>
      <c r="CS142" s="208">
        <f>SUMIFS(領用表!$L:$L,領用表!$A:$A,CS$2,領用表!$E:$E,B142)</f>
        <v>0</v>
      </c>
      <c r="CT142" s="206">
        <f>SUMIFS(領用表!$L:$L,領用表!$E:$E,$B142,領用表!$B:$B,CS$2&amp;CT$2)</f>
        <v>0</v>
      </c>
      <c r="CU142" s="206">
        <f>SUMIFS(領用表!$L:$L,領用表!$E:$E,$B142,領用表!$B:$B,$CS$2&amp;CU$2)</f>
        <v>0</v>
      </c>
      <c r="CV142" s="206">
        <f>SUMIFS(領用表!$L:$L,領用表!$E:$E,$B142,領用表!$B:$B,$CS$2&amp;CV$2)</f>
        <v>0</v>
      </c>
      <c r="CW142" s="206">
        <f>SUMIFS(領用表!$L:$L,領用表!$E:$E,$B142,領用表!$B:$B,$CS$2&amp;CW$2)</f>
        <v>0</v>
      </c>
      <c r="CX142" s="206">
        <f>SUMIFS(領用表!$L:$L,領用表!$E:$E,$B142,領用表!$B:$B,$CS$2&amp;CX$2)</f>
        <v>0</v>
      </c>
      <c r="CY142" s="208">
        <f>SUMIFS(領用表!$L:$L,領用表!$A:$A,CY$2,領用表!$E:$E,B142)</f>
        <v>0</v>
      </c>
      <c r="CZ142" s="206">
        <f>SUMIFS(領用表!$L:$L,領用表!$E:$E,$B142,領用表!$B:$B,CY$2&amp;CZ$2)</f>
        <v>0</v>
      </c>
      <c r="DA142" s="206">
        <f>SUMIFS(領用表!$L:$L,領用表!$E:$E,$B142,領用表!$B:$B,$CY$2&amp;DA$2)</f>
        <v>0</v>
      </c>
      <c r="DB142" s="206">
        <f>SUMIFS(領用表!$L:$L,領用表!$E:$E,$B142,領用表!$B:$B,$CY$2&amp;DB$2)</f>
        <v>0</v>
      </c>
      <c r="DC142" s="206">
        <f>SUMIFS(領用表!$L:$L,領用表!$E:$E,$B142,領用表!$B:$B,$CY$2&amp;DC$2)</f>
        <v>0</v>
      </c>
      <c r="DD142" s="206">
        <f>SUMIFS(領用表!$L:$L,領用表!$E:$E,$B142,領用表!$B:$B,$CY$2&amp;DD$2)</f>
        <v>0</v>
      </c>
      <c r="DE142" s="208">
        <f>SUMIFS(領用表!$L:$L,領用表!$A:$A,DE$2,領用表!$E:$E,B142)</f>
        <v>0</v>
      </c>
      <c r="DF142" s="206">
        <f>SUMIFS(領用表!$L:$L,領用表!$E:$E,$B142,領用表!$B:$B,DE$2&amp;DF$2)</f>
        <v>0</v>
      </c>
      <c r="DG142" s="206">
        <f>SUMIFS(領用表!$L:$L,領用表!$E:$E,$B142,領用表!$B:$B,$DE$2&amp;DG$2)</f>
        <v>0</v>
      </c>
      <c r="DH142" s="206">
        <f>SUMIFS(領用表!$L:$L,領用表!$E:$E,$B142,領用表!$B:$B,$DE$2&amp;DH$2)</f>
        <v>0</v>
      </c>
      <c r="DI142" s="206">
        <f>SUMIFS(領用表!$L:$L,領用表!$E:$E,$B142,領用表!$B:$B,$DE$2&amp;DI$2)</f>
        <v>0</v>
      </c>
      <c r="DJ142" s="206">
        <f>SUMIFS(領用表!$L:$L,領用表!$E:$E,$B142,領用表!$B:$B,$DE$2&amp;DJ$2)</f>
        <v>0</v>
      </c>
      <c r="DK142" s="208">
        <f>SUMIFS(領用表!$L:$L,領用表!$A:$A,DK$2,領用表!$E:$E,$B142)</f>
        <v>0</v>
      </c>
      <c r="DL142" s="206">
        <f>SUMIFS(領用表!$L:$L,領用表!$E:$E,$B142,領用表!$B:$B,DK$2&amp;DL$2)</f>
        <v>0</v>
      </c>
      <c r="DM142" s="206">
        <f>SUMIFS(領用表!$L:$L,領用表!$E:$E,$B142,領用表!$B:$B,$DK$2&amp;DM$2)</f>
        <v>0</v>
      </c>
      <c r="DN142" s="206">
        <f>SUMIFS(領用表!$L:$L,領用表!$E:$E,$B142,領用表!$B:$B,$DK$2&amp;DN$2)</f>
        <v>0</v>
      </c>
      <c r="DO142" s="206">
        <f>SUMIFS(領用表!$L:$L,領用表!$E:$E,$B142,領用表!$B:$B,$DK$2&amp;DO$2)</f>
        <v>0</v>
      </c>
      <c r="DP142" s="206">
        <f>SUMIFS(領用表!$L:$L,領用表!$E:$E,$B142,領用表!$B:$B,$DK$2&amp;DP$2)</f>
        <v>0</v>
      </c>
      <c r="DQ142" s="206">
        <f t="shared" si="36"/>
        <v>0</v>
      </c>
      <c r="DR142" s="206">
        <f t="shared" si="37"/>
        <v>0</v>
      </c>
      <c r="DS142" s="206">
        <f t="shared" si="45"/>
        <v>0</v>
      </c>
      <c r="DT142" s="206">
        <v>0</v>
      </c>
      <c r="DU142" s="206">
        <v>0</v>
      </c>
      <c r="DV142" s="206">
        <v>0</v>
      </c>
      <c r="DW142" s="206">
        <v>0</v>
      </c>
      <c r="DX142" s="258"/>
      <c r="DY142" s="283"/>
      <c r="DZ142" s="283"/>
      <c r="EA142" s="283"/>
      <c r="EB142" s="136"/>
      <c r="EC142" s="136"/>
      <c r="ED142" s="118">
        <f>IFERROR(VLOOKUP(A142,站前4樓!A:BF,57,0),0)</f>
        <v>0</v>
      </c>
      <c r="EE142" s="213">
        <f>IFERROR(VLOOKUP(A142,站前11樓!A:BE,57,0),0)</f>
        <v>0</v>
      </c>
      <c r="EF142" s="118">
        <f>IFERROR(VLOOKUP(A142,忠孝7樓!A:N,57,0),0)</f>
        <v>0</v>
      </c>
      <c r="EG142" s="118">
        <f>IFERROR(VLOOKUP(A142,忠孝國際醫學3樓!A:L,57,0),0)</f>
        <v>0</v>
      </c>
      <c r="EH142" s="118">
        <f t="shared" si="25"/>
        <v>0</v>
      </c>
    </row>
    <row r="143" spans="1:138" s="118" customFormat="1" ht="15.75" customHeight="1">
      <c r="A143" s="136"/>
      <c r="C143" s="136" t="s">
        <v>545</v>
      </c>
      <c r="D143" s="285"/>
      <c r="E143" s="198" t="s">
        <v>823</v>
      </c>
      <c r="F143" s="225">
        <f>SUMIF(站前4樓!B:B,B143,站前4樓!F:F)</f>
        <v>0</v>
      </c>
      <c r="G143" s="225">
        <f>SUMIF(站前11樓!B:B,B143,站前11樓!F:F)</f>
        <v>0</v>
      </c>
      <c r="H143" s="225">
        <f>SUMIF(忠孝7樓!B:B,B143,忠孝7樓!G:G)</f>
        <v>0</v>
      </c>
      <c r="I143" s="225">
        <f>SUMIF(忠孝國際醫學3樓!B:B,B143,忠孝國際醫學3樓!G:G)</f>
        <v>0</v>
      </c>
      <c r="J143" s="225">
        <f>SUMIF(忠孝健康7樓!B:B,B143,忠孝健康7樓!G:G)</f>
        <v>0</v>
      </c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83"/>
      <c r="AB143" s="283"/>
      <c r="AC143" s="283"/>
      <c r="AD143" s="283"/>
      <c r="AE143" s="283"/>
      <c r="AF143" s="283"/>
      <c r="AG143" s="283"/>
      <c r="AH143" s="283"/>
      <c r="AI143" s="283"/>
      <c r="AJ143" s="201"/>
      <c r="AK143" s="201"/>
      <c r="AL143" s="201"/>
      <c r="AM143" s="201"/>
      <c r="AN143" s="201"/>
      <c r="AO143" s="201"/>
      <c r="AP143" s="201"/>
      <c r="AQ143" s="201"/>
      <c r="AR143" s="201"/>
      <c r="AS143" s="201"/>
      <c r="AT143" s="201"/>
      <c r="AU143" s="201"/>
      <c r="AV143" s="283"/>
      <c r="AW143" s="286"/>
      <c r="AX143" s="201"/>
      <c r="AY143" s="201"/>
      <c r="AZ143" s="201"/>
      <c r="BA143" s="201">
        <v>0</v>
      </c>
      <c r="BB143" s="201">
        <v>0</v>
      </c>
      <c r="BC143" s="203">
        <f>SUMIFS(領用表!$L:$L,領用表!$A:$A,BC$2,領用表!$E:$E,B143)</f>
        <v>0</v>
      </c>
      <c r="BD143" s="287">
        <f>SUMIFS(領用表!$L:$L,領用表!$E:$E,$B143,領用表!$B:$B,BC$2&amp;BD$2)</f>
        <v>0</v>
      </c>
      <c r="BE143" s="287">
        <f>SUMIFS(領用表!$L:$L,領用表!$E:$E,$B143,領用表!$B:$B,$BC$2&amp;BE$2)</f>
        <v>0</v>
      </c>
      <c r="BF143" s="287">
        <f>SUMIFS(領用表!$L:$L,領用表!$E:$E,$B143,領用表!$B:$B,$BC$2&amp;BF$2)</f>
        <v>0</v>
      </c>
      <c r="BG143" s="206">
        <f>SUMIFS(領用表!$L:$L,領用表!$E:$E,$B143,領用表!$B:$B,$BC$2&amp;BG$2)</f>
        <v>0</v>
      </c>
      <c r="BH143" s="203">
        <f>SUMIFS(領用表!$L:$L,領用表!$A:$A,BH$2,領用表!$E:$E,B143)</f>
        <v>0</v>
      </c>
      <c r="BI143" s="260">
        <f>SUMIFS(領用表!$L:$L,領用表!$E:$E,$B143,領用表!$B:$B,BH$2&amp;BI$2)</f>
        <v>0</v>
      </c>
      <c r="BJ143" s="260">
        <f>SUMIFS(領用表!$L:$L,領用表!$E:$E,$B143,領用表!$B:$B,$BH$2&amp;BJ$2)</f>
        <v>0</v>
      </c>
      <c r="BK143" s="260">
        <f>SUMIFS(領用表!$L:$L,領用表!$E:$E,$B143,領用表!$B:$B,$BH$2&amp;BK$2)</f>
        <v>0</v>
      </c>
      <c r="BL143" s="260">
        <f>SUMIFS(領用表!$L:$L,領用表!$E:$E,$B143,領用表!$B:$B,$BH$2&amp;BL$2)</f>
        <v>0</v>
      </c>
      <c r="BM143" s="203">
        <f>SUMIFS(領用表!$L:$L,領用表!$A:$A,BM$2,領用表!$E:$E,B143)</f>
        <v>0</v>
      </c>
      <c r="BN143" s="206">
        <f>SUMIFS(領用表!$L:$L,領用表!$E:$E,$B143,領用表!$B:$B,BM$2&amp;BN$2)</f>
        <v>0</v>
      </c>
      <c r="BO143" s="206">
        <f>SUMIFS(領用表!$L:$L,領用表!$E:$E,$B143,領用表!$B:$B,$BM$2&amp;BO$2)</f>
        <v>0</v>
      </c>
      <c r="BP143" s="288">
        <f>SUMIFS(領用表!$L:$L,領用表!$E:$E,$B143,領用表!$B:$B,$BM$2&amp;BP$2)</f>
        <v>0</v>
      </c>
      <c r="BQ143" s="287">
        <f>SUMIFS(領用表!$L:$L,領用表!$E:$E,$B143,領用表!$B:$B,$BM$2&amp;BQ$2)</f>
        <v>0</v>
      </c>
      <c r="BR143" s="203">
        <f>SUMIFS(領用表!$L:$L,領用表!$A:$A,BR$2,領用表!$E:$E,B143)</f>
        <v>0</v>
      </c>
      <c r="BS143" s="288">
        <f>SUMIFS(領用表!$L:$L,領用表!$E:$E,$B143,領用表!$B:$B,BR$2&amp;BS$2)</f>
        <v>0</v>
      </c>
      <c r="BT143" s="288">
        <f>SUMIFS(領用表!$L:$L,領用表!$E:$E,$B143,領用表!$B:$B,$BR$2&amp;BT$2)</f>
        <v>0</v>
      </c>
      <c r="BU143" s="288">
        <f>SUMIFS(領用表!$L:$L,領用表!$E:$E,$B143,領用表!$B:$B,$BR$2&amp;BU$2)</f>
        <v>0</v>
      </c>
      <c r="BV143" s="287">
        <f>SUMIFS(領用表!$L:$L,領用表!$E:$E,$B143,領用表!$B:$B,$BR$2&amp;BV$2)</f>
        <v>0</v>
      </c>
      <c r="BW143" s="208">
        <f>SUMIFS(領用表!$L:$L,領用表!$A:$A,BW$2,領用表!$E:$E,B143)</f>
        <v>0</v>
      </c>
      <c r="BX143" s="206">
        <f>SUMIFS(領用表!$L:$L,領用表!$E:$E,$B143,領用表!$B:$B,BW$2&amp;BX$2)</f>
        <v>0</v>
      </c>
      <c r="BY143" s="206">
        <f>SUMIFS(領用表!$L:$L,領用表!$E:$E,$B143,領用表!$B:$B,$BW$2&amp;BY$2)</f>
        <v>0</v>
      </c>
      <c r="BZ143" s="206">
        <f>SUMIFS(領用表!$L:$L,領用表!$E:$E,$B143,領用表!$B:$B,$BW$2&amp;BZ$2)</f>
        <v>0</v>
      </c>
      <c r="CA143" s="206">
        <f>SUMIFS(領用表!$L:$L,領用表!$E:$E,$B143,領用表!$B:$B,$BW$2&amp;CA$2)</f>
        <v>0</v>
      </c>
      <c r="CB143" s="208">
        <f>SUMIFS(領用表!$L:$L,領用表!$A:$A,CB$2,領用表!$E:$E,B143)</f>
        <v>0</v>
      </c>
      <c r="CC143" s="206">
        <f>SUMIFS(領用表!$L:$L,領用表!$E:$E,$B143,領用表!$B:$B,CB$2&amp;CC$2)</f>
        <v>0</v>
      </c>
      <c r="CD143" s="206">
        <f>SUMIFS(領用表!$L:$L,領用表!$E:$E,$B143,領用表!$B:$B,$CB$2&amp;CD$2)</f>
        <v>0</v>
      </c>
      <c r="CE143" s="206">
        <f>SUMIFS(領用表!$L:$L,領用表!$E:$E,$B143,領用表!$B:$B,$CB$2&amp;CE$2)</f>
        <v>0</v>
      </c>
      <c r="CF143" s="206">
        <f>SUMIFS(領用表!$L:$L,領用表!$E:$E,$B143,領用表!$B:$B,$CB$2&amp;CF$2)</f>
        <v>0</v>
      </c>
      <c r="CG143" s="208">
        <f>SUMIFS(領用表!$L:$L,領用表!$A:$A,CG$2,領用表!$E:$E,B143)</f>
        <v>0</v>
      </c>
      <c r="CH143" s="206">
        <f>SUMIFS(領用表!$L:$L,領用表!$E:$E,$B143,領用表!$B:$B,CG$2&amp;CH$2)</f>
        <v>0</v>
      </c>
      <c r="CI143" s="206">
        <f>SUMIFS(領用表!$L:$L,領用表!$E:$E,$B143,領用表!$B:$B,CG$2&amp;CI$2)</f>
        <v>0</v>
      </c>
      <c r="CJ143" s="206">
        <f>SUMIFS(領用表!$L:$L,領用表!$E:$E,$B143,領用表!$B:$B,CG$2&amp;CJ$2)</f>
        <v>0</v>
      </c>
      <c r="CK143" s="206">
        <f>SUMIFS(領用表!$L:$L,領用表!$E:$E,$B143,領用表!$B:$B,$CG$2&amp;CK$2)</f>
        <v>0</v>
      </c>
      <c r="CL143" s="207">
        <f t="shared" si="46"/>
        <v>0</v>
      </c>
      <c r="CM143" s="207">
        <f t="shared" si="47"/>
        <v>0</v>
      </c>
      <c r="CN143" s="208">
        <f>SUMIFS(領用表!$L:$L,領用表!$A:$A,CN$2,領用表!$E:$E,B143)</f>
        <v>0</v>
      </c>
      <c r="CO143" s="206">
        <f>SUMIFS(領用表!$L:$L,領用表!$E:$E,$B143,領用表!$B:$B,CN$2&amp;CO$2)</f>
        <v>0</v>
      </c>
      <c r="CP143" s="206">
        <f>SUMIFS(領用表!$L:$L,領用表!$E:$E,$B143,領用表!$B:$B,$CN$2&amp;CP$2)</f>
        <v>0</v>
      </c>
      <c r="CQ143" s="206">
        <f>SUMIFS(領用表!$L:$L,領用表!$E:$E,$B143,領用表!$B:$B,$CN$2&amp;CQ$2)</f>
        <v>0</v>
      </c>
      <c r="CR143" s="206">
        <f>SUMIFS(領用表!$L:$L,領用表!$E:$E,$B143,領用表!$B:$B,$CN$2&amp;CR$2)</f>
        <v>0</v>
      </c>
      <c r="CS143" s="208">
        <f>SUMIFS(領用表!$L:$L,領用表!$A:$A,CS$2,領用表!$E:$E,B143)</f>
        <v>0</v>
      </c>
      <c r="CT143" s="206">
        <f>SUMIFS(領用表!$L:$L,領用表!$E:$E,$B143,領用表!$B:$B,CS$2&amp;CT$2)</f>
        <v>0</v>
      </c>
      <c r="CU143" s="206">
        <f>SUMIFS(領用表!$L:$L,領用表!$E:$E,$B143,領用表!$B:$B,$CS$2&amp;CU$2)</f>
        <v>0</v>
      </c>
      <c r="CV143" s="206">
        <f>SUMIFS(領用表!$L:$L,領用表!$E:$E,$B143,領用表!$B:$B,$CS$2&amp;CV$2)</f>
        <v>0</v>
      </c>
      <c r="CW143" s="206">
        <f>SUMIFS(領用表!$L:$L,領用表!$E:$E,$B143,領用表!$B:$B,$CS$2&amp;CW$2)</f>
        <v>0</v>
      </c>
      <c r="CX143" s="206">
        <f>SUMIFS(領用表!$L:$L,領用表!$E:$E,$B143,領用表!$B:$B,$CS$2&amp;CX$2)</f>
        <v>0</v>
      </c>
      <c r="CY143" s="208">
        <f>SUMIFS(領用表!$L:$L,領用表!$A:$A,CY$2,領用表!$E:$E,B143)</f>
        <v>0</v>
      </c>
      <c r="CZ143" s="206">
        <f>SUMIFS(領用表!$L:$L,領用表!$E:$E,$B143,領用表!$B:$B,CY$2&amp;CZ$2)</f>
        <v>0</v>
      </c>
      <c r="DA143" s="206">
        <f>SUMIFS(領用表!$L:$L,領用表!$E:$E,$B143,領用表!$B:$B,$CY$2&amp;DA$2)</f>
        <v>0</v>
      </c>
      <c r="DB143" s="206">
        <f>SUMIFS(領用表!$L:$L,領用表!$E:$E,$B143,領用表!$B:$B,$CY$2&amp;DB$2)</f>
        <v>0</v>
      </c>
      <c r="DC143" s="206">
        <f>SUMIFS(領用表!$L:$L,領用表!$E:$E,$B143,領用表!$B:$B,$CY$2&amp;DC$2)</f>
        <v>0</v>
      </c>
      <c r="DD143" s="206">
        <f>SUMIFS(領用表!$L:$L,領用表!$E:$E,$B143,領用表!$B:$B,$CY$2&amp;DD$2)</f>
        <v>0</v>
      </c>
      <c r="DE143" s="208">
        <f>SUMIFS(領用表!$L:$L,領用表!$A:$A,DE$2,領用表!$E:$E,B143)</f>
        <v>0</v>
      </c>
      <c r="DF143" s="206">
        <f>SUMIFS(領用表!$L:$L,領用表!$E:$E,$B143,領用表!$B:$B,DE$2&amp;DF$2)</f>
        <v>0</v>
      </c>
      <c r="DG143" s="206">
        <f>SUMIFS(領用表!$L:$L,領用表!$E:$E,$B143,領用表!$B:$B,$DE$2&amp;DG$2)</f>
        <v>0</v>
      </c>
      <c r="DH143" s="206">
        <f>SUMIFS(領用表!$L:$L,領用表!$E:$E,$B143,領用表!$B:$B,$DE$2&amp;DH$2)</f>
        <v>0</v>
      </c>
      <c r="DI143" s="206">
        <f>SUMIFS(領用表!$L:$L,領用表!$E:$E,$B143,領用表!$B:$B,$DE$2&amp;DI$2)</f>
        <v>0</v>
      </c>
      <c r="DJ143" s="206">
        <f>SUMIFS(領用表!$L:$L,領用表!$E:$E,$B143,領用表!$B:$B,$DE$2&amp;DJ$2)</f>
        <v>0</v>
      </c>
      <c r="DK143" s="208">
        <f>SUMIFS(領用表!$L:$L,領用表!$A:$A,DK$2,領用表!$E:$E,$B143)</f>
        <v>0</v>
      </c>
      <c r="DL143" s="206">
        <f>SUMIFS(領用表!$L:$L,領用表!$E:$E,$B143,領用表!$B:$B,DK$2&amp;DL$2)</f>
        <v>0</v>
      </c>
      <c r="DM143" s="206">
        <f>SUMIFS(領用表!$L:$L,領用表!$E:$E,$B143,領用表!$B:$B,$DK$2&amp;DM$2)</f>
        <v>0</v>
      </c>
      <c r="DN143" s="206">
        <f>SUMIFS(領用表!$L:$L,領用表!$E:$E,$B143,領用表!$B:$B,$DK$2&amp;DN$2)</f>
        <v>0</v>
      </c>
      <c r="DO143" s="206">
        <f>SUMIFS(領用表!$L:$L,領用表!$E:$E,$B143,領用表!$B:$B,$DK$2&amp;DO$2)</f>
        <v>0</v>
      </c>
      <c r="DP143" s="206">
        <f>SUMIFS(領用表!$L:$L,領用表!$E:$E,$B143,領用表!$B:$B,$DK$2&amp;DP$2)</f>
        <v>0</v>
      </c>
      <c r="DQ143" s="206">
        <f t="shared" si="36"/>
        <v>0</v>
      </c>
      <c r="DR143" s="206">
        <f t="shared" si="37"/>
        <v>0</v>
      </c>
      <c r="DS143" s="206">
        <f t="shared" si="45"/>
        <v>0</v>
      </c>
      <c r="DT143" s="206">
        <v>0</v>
      </c>
      <c r="DU143" s="206">
        <v>0</v>
      </c>
      <c r="DV143" s="206">
        <v>0</v>
      </c>
      <c r="DW143" s="206">
        <v>0</v>
      </c>
      <c r="DX143" s="258"/>
      <c r="DY143" s="283"/>
      <c r="DZ143" s="283"/>
      <c r="EA143" s="283"/>
      <c r="EB143" s="136"/>
      <c r="EC143" s="136"/>
      <c r="ED143" s="118">
        <f>IFERROR(VLOOKUP(A143,站前4樓!A:BF,57,0),0)</f>
        <v>0</v>
      </c>
      <c r="EE143" s="213">
        <f>IFERROR(VLOOKUP(A143,站前11樓!A:BE,57,0),0)</f>
        <v>0</v>
      </c>
      <c r="EF143" s="118">
        <f>IFERROR(VLOOKUP(A143,忠孝7樓!A:N,57,0),0)</f>
        <v>0</v>
      </c>
      <c r="EG143" s="118">
        <f>IFERROR(VLOOKUP(A143,忠孝國際醫學3樓!A:L,57,0),0)</f>
        <v>0</v>
      </c>
      <c r="EH143" s="118">
        <f t="shared" si="25"/>
        <v>0</v>
      </c>
    </row>
    <row r="144" spans="1:138" s="118" customFormat="1" ht="15.75" customHeight="1">
      <c r="A144" s="136"/>
      <c r="C144" s="136" t="s">
        <v>546</v>
      </c>
      <c r="D144" s="285"/>
      <c r="E144" s="198" t="s">
        <v>823</v>
      </c>
      <c r="F144" s="225">
        <f>SUMIF(站前4樓!B:B,B144,站前4樓!F:F)</f>
        <v>0</v>
      </c>
      <c r="G144" s="225">
        <f>SUMIF(站前11樓!B:B,B144,站前11樓!F:F)</f>
        <v>0</v>
      </c>
      <c r="H144" s="225">
        <f>SUMIF(忠孝7樓!B:B,B144,忠孝7樓!G:G)</f>
        <v>0</v>
      </c>
      <c r="I144" s="225">
        <f>SUMIF(忠孝國際醫學3樓!B:B,B144,忠孝國際醫學3樓!G:G)</f>
        <v>0</v>
      </c>
      <c r="J144" s="225">
        <f>SUMIF(忠孝健康7樓!B:B,B144,忠孝健康7樓!G:G)</f>
        <v>0</v>
      </c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83"/>
      <c r="AB144" s="283"/>
      <c r="AC144" s="283"/>
      <c r="AD144" s="283"/>
      <c r="AE144" s="283"/>
      <c r="AF144" s="283"/>
      <c r="AG144" s="283"/>
      <c r="AH144" s="283"/>
      <c r="AI144" s="283"/>
      <c r="AJ144" s="201"/>
      <c r="AK144" s="201"/>
      <c r="AL144" s="201"/>
      <c r="AM144" s="201"/>
      <c r="AN144" s="201"/>
      <c r="AO144" s="201"/>
      <c r="AP144" s="201"/>
      <c r="AQ144" s="201"/>
      <c r="AR144" s="201"/>
      <c r="AS144" s="201"/>
      <c r="AT144" s="201"/>
      <c r="AU144" s="201"/>
      <c r="AV144" s="283"/>
      <c r="AW144" s="286"/>
      <c r="AX144" s="201"/>
      <c r="AY144" s="201"/>
      <c r="AZ144" s="201"/>
      <c r="BA144" s="201">
        <v>0</v>
      </c>
      <c r="BB144" s="201">
        <v>0</v>
      </c>
      <c r="BC144" s="203">
        <f>SUMIFS(領用表!$L:$L,領用表!$A:$A,BC$2,領用表!$E:$E,B144)</f>
        <v>0</v>
      </c>
      <c r="BD144" s="287">
        <f>SUMIFS(領用表!$L:$L,領用表!$E:$E,$B144,領用表!$B:$B,BC$2&amp;BD$2)</f>
        <v>0</v>
      </c>
      <c r="BE144" s="287">
        <f>SUMIFS(領用表!$L:$L,領用表!$E:$E,$B144,領用表!$B:$B,$BC$2&amp;BE$2)</f>
        <v>0</v>
      </c>
      <c r="BF144" s="287">
        <f>SUMIFS(領用表!$L:$L,領用表!$E:$E,$B144,領用表!$B:$B,$BC$2&amp;BF$2)</f>
        <v>0</v>
      </c>
      <c r="BG144" s="206">
        <f>SUMIFS(領用表!$L:$L,領用表!$E:$E,$B144,領用表!$B:$B,$BC$2&amp;BG$2)</f>
        <v>0</v>
      </c>
      <c r="BH144" s="203">
        <f>SUMIFS(領用表!$L:$L,領用表!$A:$A,BH$2,領用表!$E:$E,B144)</f>
        <v>0</v>
      </c>
      <c r="BI144" s="260">
        <f>SUMIFS(領用表!$L:$L,領用表!$E:$E,$B144,領用表!$B:$B,BH$2&amp;BI$2)</f>
        <v>0</v>
      </c>
      <c r="BJ144" s="260">
        <f>SUMIFS(領用表!$L:$L,領用表!$E:$E,$B144,領用表!$B:$B,$BH$2&amp;BJ$2)</f>
        <v>0</v>
      </c>
      <c r="BK144" s="260">
        <f>SUMIFS(領用表!$L:$L,領用表!$E:$E,$B144,領用表!$B:$B,$BH$2&amp;BK$2)</f>
        <v>0</v>
      </c>
      <c r="BL144" s="260">
        <f>SUMIFS(領用表!$L:$L,領用表!$E:$E,$B144,領用表!$B:$B,$BH$2&amp;BL$2)</f>
        <v>0</v>
      </c>
      <c r="BM144" s="203">
        <f>SUMIFS(領用表!$L:$L,領用表!$A:$A,BM$2,領用表!$E:$E,B144)</f>
        <v>0</v>
      </c>
      <c r="BN144" s="206">
        <f>SUMIFS(領用表!$L:$L,領用表!$E:$E,$B144,領用表!$B:$B,BM$2&amp;BN$2)</f>
        <v>0</v>
      </c>
      <c r="BO144" s="206">
        <f>SUMIFS(領用表!$L:$L,領用表!$E:$E,$B144,領用表!$B:$B,$BM$2&amp;BO$2)</f>
        <v>0</v>
      </c>
      <c r="BP144" s="288">
        <f>SUMIFS(領用表!$L:$L,領用表!$E:$E,$B144,領用表!$B:$B,$BM$2&amp;BP$2)</f>
        <v>0</v>
      </c>
      <c r="BQ144" s="287">
        <f>SUMIFS(領用表!$L:$L,領用表!$E:$E,$B144,領用表!$B:$B,$BM$2&amp;BQ$2)</f>
        <v>0</v>
      </c>
      <c r="BR144" s="203">
        <f>SUMIFS(領用表!$L:$L,領用表!$A:$A,BR$2,領用表!$E:$E,B144)</f>
        <v>0</v>
      </c>
      <c r="BS144" s="288">
        <f>SUMIFS(領用表!$L:$L,領用表!$E:$E,$B144,領用表!$B:$B,BR$2&amp;BS$2)</f>
        <v>0</v>
      </c>
      <c r="BT144" s="288">
        <f>SUMIFS(領用表!$L:$L,領用表!$E:$E,$B144,領用表!$B:$B,$BR$2&amp;BT$2)</f>
        <v>0</v>
      </c>
      <c r="BU144" s="288">
        <f>SUMIFS(領用表!$L:$L,領用表!$E:$E,$B144,領用表!$B:$B,$BR$2&amp;BU$2)</f>
        <v>0</v>
      </c>
      <c r="BV144" s="287">
        <f>SUMIFS(領用表!$L:$L,領用表!$E:$E,$B144,領用表!$B:$B,$BR$2&amp;BV$2)</f>
        <v>0</v>
      </c>
      <c r="BW144" s="208">
        <f>SUMIFS(領用表!$L:$L,領用表!$A:$A,BW$2,領用表!$E:$E,B144)</f>
        <v>0</v>
      </c>
      <c r="BX144" s="206">
        <f>SUMIFS(領用表!$L:$L,領用表!$E:$E,$B144,領用表!$B:$B,BW$2&amp;BX$2)</f>
        <v>0</v>
      </c>
      <c r="BY144" s="206">
        <f>SUMIFS(領用表!$L:$L,領用表!$E:$E,$B144,領用表!$B:$B,$BW$2&amp;BY$2)</f>
        <v>0</v>
      </c>
      <c r="BZ144" s="206">
        <f>SUMIFS(領用表!$L:$L,領用表!$E:$E,$B144,領用表!$B:$B,$BW$2&amp;BZ$2)</f>
        <v>0</v>
      </c>
      <c r="CA144" s="206">
        <f>SUMIFS(領用表!$L:$L,領用表!$E:$E,$B144,領用表!$B:$B,$BW$2&amp;CA$2)</f>
        <v>0</v>
      </c>
      <c r="CB144" s="208">
        <f>SUMIFS(領用表!$L:$L,領用表!$A:$A,CB$2,領用表!$E:$E,B144)</f>
        <v>0</v>
      </c>
      <c r="CC144" s="206">
        <f>SUMIFS(領用表!$L:$L,領用表!$E:$E,$B144,領用表!$B:$B,CB$2&amp;CC$2)</f>
        <v>0</v>
      </c>
      <c r="CD144" s="206">
        <f>SUMIFS(領用表!$L:$L,領用表!$E:$E,$B144,領用表!$B:$B,$CB$2&amp;CD$2)</f>
        <v>0</v>
      </c>
      <c r="CE144" s="206">
        <f>SUMIFS(領用表!$L:$L,領用表!$E:$E,$B144,領用表!$B:$B,$CB$2&amp;CE$2)</f>
        <v>0</v>
      </c>
      <c r="CF144" s="206">
        <f>SUMIFS(領用表!$L:$L,領用表!$E:$E,$B144,領用表!$B:$B,$CB$2&amp;CF$2)</f>
        <v>0</v>
      </c>
      <c r="CG144" s="208">
        <f>SUMIFS(領用表!$L:$L,領用表!$A:$A,CG$2,領用表!$E:$E,B144)</f>
        <v>0</v>
      </c>
      <c r="CH144" s="206">
        <f>SUMIFS(領用表!$L:$L,領用表!$E:$E,$B144,領用表!$B:$B,CG$2&amp;CH$2)</f>
        <v>0</v>
      </c>
      <c r="CI144" s="206">
        <f>SUMIFS(領用表!$L:$L,領用表!$E:$E,$B144,領用表!$B:$B,CG$2&amp;CI$2)</f>
        <v>0</v>
      </c>
      <c r="CJ144" s="206">
        <f>SUMIFS(領用表!$L:$L,領用表!$E:$E,$B144,領用表!$B:$B,CG$2&amp;CJ$2)</f>
        <v>0</v>
      </c>
      <c r="CK144" s="206">
        <f>SUMIFS(領用表!$L:$L,領用表!$E:$E,$B144,領用表!$B:$B,$CG$2&amp;CK$2)</f>
        <v>0</v>
      </c>
      <c r="CL144" s="207">
        <f t="shared" si="46"/>
        <v>0</v>
      </c>
      <c r="CM144" s="207">
        <f t="shared" si="47"/>
        <v>0</v>
      </c>
      <c r="CN144" s="208">
        <f>SUMIFS(領用表!$L:$L,領用表!$A:$A,CN$2,領用表!$E:$E,B144)</f>
        <v>0</v>
      </c>
      <c r="CO144" s="206">
        <f>SUMIFS(領用表!$L:$L,領用表!$E:$E,$B144,領用表!$B:$B,CN$2&amp;CO$2)</f>
        <v>0</v>
      </c>
      <c r="CP144" s="206">
        <f>SUMIFS(領用表!$L:$L,領用表!$E:$E,$B144,領用表!$B:$B,$CN$2&amp;CP$2)</f>
        <v>0</v>
      </c>
      <c r="CQ144" s="206">
        <f>SUMIFS(領用表!$L:$L,領用表!$E:$E,$B144,領用表!$B:$B,$CN$2&amp;CQ$2)</f>
        <v>0</v>
      </c>
      <c r="CR144" s="206">
        <f>SUMIFS(領用表!$L:$L,領用表!$E:$E,$B144,領用表!$B:$B,$CN$2&amp;CR$2)</f>
        <v>0</v>
      </c>
      <c r="CS144" s="208">
        <f>SUMIFS(領用表!$L:$L,領用表!$A:$A,CS$2,領用表!$E:$E,B144)</f>
        <v>0</v>
      </c>
      <c r="CT144" s="206">
        <f>SUMIFS(領用表!$L:$L,領用表!$E:$E,$B144,領用表!$B:$B,CS$2&amp;CT$2)</f>
        <v>0</v>
      </c>
      <c r="CU144" s="206">
        <f>SUMIFS(領用表!$L:$L,領用表!$E:$E,$B144,領用表!$B:$B,$CS$2&amp;CU$2)</f>
        <v>0</v>
      </c>
      <c r="CV144" s="206">
        <f>SUMIFS(領用表!$L:$L,領用表!$E:$E,$B144,領用表!$B:$B,$CS$2&amp;CV$2)</f>
        <v>0</v>
      </c>
      <c r="CW144" s="206">
        <f>SUMIFS(領用表!$L:$L,領用表!$E:$E,$B144,領用表!$B:$B,$CS$2&amp;CW$2)</f>
        <v>0</v>
      </c>
      <c r="CX144" s="206">
        <f>SUMIFS(領用表!$L:$L,領用表!$E:$E,$B144,領用表!$B:$B,$CS$2&amp;CX$2)</f>
        <v>0</v>
      </c>
      <c r="CY144" s="208">
        <f>SUMIFS(領用表!$L:$L,領用表!$A:$A,CY$2,領用表!$E:$E,B144)</f>
        <v>0</v>
      </c>
      <c r="CZ144" s="206">
        <f>SUMIFS(領用表!$L:$L,領用表!$E:$E,$B144,領用表!$B:$B,CY$2&amp;CZ$2)</f>
        <v>0</v>
      </c>
      <c r="DA144" s="206">
        <f>SUMIFS(領用表!$L:$L,領用表!$E:$E,$B144,領用表!$B:$B,$CY$2&amp;DA$2)</f>
        <v>0</v>
      </c>
      <c r="DB144" s="206">
        <f>SUMIFS(領用表!$L:$L,領用表!$E:$E,$B144,領用表!$B:$B,$CY$2&amp;DB$2)</f>
        <v>0</v>
      </c>
      <c r="DC144" s="206">
        <f>SUMIFS(領用表!$L:$L,領用表!$E:$E,$B144,領用表!$B:$B,$CY$2&amp;DC$2)</f>
        <v>0</v>
      </c>
      <c r="DD144" s="206">
        <f>SUMIFS(領用表!$L:$L,領用表!$E:$E,$B144,領用表!$B:$B,$CY$2&amp;DD$2)</f>
        <v>0</v>
      </c>
      <c r="DE144" s="208">
        <f>SUMIFS(領用表!$L:$L,領用表!$A:$A,DE$2,領用表!$E:$E,B144)</f>
        <v>0</v>
      </c>
      <c r="DF144" s="206">
        <f>SUMIFS(領用表!$L:$L,領用表!$E:$E,$B144,領用表!$B:$B,DE$2&amp;DF$2)</f>
        <v>0</v>
      </c>
      <c r="DG144" s="206">
        <f>SUMIFS(領用表!$L:$L,領用表!$E:$E,$B144,領用表!$B:$B,$DE$2&amp;DG$2)</f>
        <v>0</v>
      </c>
      <c r="DH144" s="206">
        <f>SUMIFS(領用表!$L:$L,領用表!$E:$E,$B144,領用表!$B:$B,$DE$2&amp;DH$2)</f>
        <v>0</v>
      </c>
      <c r="DI144" s="206">
        <f>SUMIFS(領用表!$L:$L,領用表!$E:$E,$B144,領用表!$B:$B,$DE$2&amp;DI$2)</f>
        <v>0</v>
      </c>
      <c r="DJ144" s="206">
        <f>SUMIFS(領用表!$L:$L,領用表!$E:$E,$B144,領用表!$B:$B,$DE$2&amp;DJ$2)</f>
        <v>0</v>
      </c>
      <c r="DK144" s="208">
        <f>SUMIFS(領用表!$L:$L,領用表!$A:$A,DK$2,領用表!$E:$E,$B144)</f>
        <v>0</v>
      </c>
      <c r="DL144" s="206">
        <f>SUMIFS(領用表!$L:$L,領用表!$E:$E,$B144,領用表!$B:$B,DK$2&amp;DL$2)</f>
        <v>0</v>
      </c>
      <c r="DM144" s="206">
        <f>SUMIFS(領用表!$L:$L,領用表!$E:$E,$B144,領用表!$B:$B,$DK$2&amp;DM$2)</f>
        <v>0</v>
      </c>
      <c r="DN144" s="206">
        <f>SUMIFS(領用表!$L:$L,領用表!$E:$E,$B144,領用表!$B:$B,$DK$2&amp;DN$2)</f>
        <v>0</v>
      </c>
      <c r="DO144" s="206">
        <f>SUMIFS(領用表!$L:$L,領用表!$E:$E,$B144,領用表!$B:$B,$DK$2&amp;DO$2)</f>
        <v>0</v>
      </c>
      <c r="DP144" s="206">
        <f>SUMIFS(領用表!$L:$L,領用表!$E:$E,$B144,領用表!$B:$B,$DK$2&amp;DP$2)</f>
        <v>0</v>
      </c>
      <c r="DQ144" s="206">
        <f t="shared" si="36"/>
        <v>0</v>
      </c>
      <c r="DR144" s="206">
        <f t="shared" si="37"/>
        <v>0</v>
      </c>
      <c r="DS144" s="206">
        <f t="shared" ref="DS144:DS195" si="48">SUM(DT144:DW144)</f>
        <v>0</v>
      </c>
      <c r="DT144" s="206">
        <v>0</v>
      </c>
      <c r="DU144" s="206">
        <v>0</v>
      </c>
      <c r="DV144" s="206">
        <v>0</v>
      </c>
      <c r="DW144" s="206">
        <v>0</v>
      </c>
      <c r="DX144" s="258"/>
      <c r="DY144" s="283"/>
      <c r="DZ144" s="283"/>
      <c r="EA144" s="283"/>
      <c r="EB144" s="136"/>
      <c r="EC144" s="136"/>
      <c r="ED144" s="118">
        <f>IFERROR(VLOOKUP(A144,站前4樓!A:BF,57,0),0)</f>
        <v>0</v>
      </c>
      <c r="EE144" s="213">
        <f>IFERROR(VLOOKUP(A144,站前11樓!A:BE,57,0),0)</f>
        <v>0</v>
      </c>
      <c r="EF144" s="118">
        <f>IFERROR(VLOOKUP(A144,忠孝7樓!A:N,57,0),0)</f>
        <v>0</v>
      </c>
      <c r="EG144" s="118">
        <f>IFERROR(VLOOKUP(A144,忠孝國際醫學3樓!A:L,57,0),0)</f>
        <v>0</v>
      </c>
      <c r="EH144" s="118">
        <f t="shared" si="25"/>
        <v>0</v>
      </c>
    </row>
    <row r="145" spans="1:138" s="118" customFormat="1" ht="15.75" customHeight="1">
      <c r="A145" s="136"/>
      <c r="B145" s="136"/>
      <c r="C145" s="136"/>
      <c r="D145" s="307"/>
      <c r="E145" s="198"/>
      <c r="F145" s="225">
        <f>SUMIF(站前4樓!B:B,B145,站前4樓!F:F)</f>
        <v>0</v>
      </c>
      <c r="G145" s="225">
        <f>SUMIF(站前11樓!B:B,B145,站前11樓!F:F)</f>
        <v>0</v>
      </c>
      <c r="H145" s="225">
        <f>SUMIF(忠孝7樓!B:B,B145,忠孝7樓!G:G)</f>
        <v>0</v>
      </c>
      <c r="I145" s="225">
        <f>SUMIF(忠孝國際醫學3樓!B:B,B145,忠孝國際醫學3樓!G:G)</f>
        <v>0</v>
      </c>
      <c r="J145" s="225">
        <f>SUMIF(忠孝健康7樓!B:B,B145,忠孝健康7樓!G:G)</f>
        <v>0</v>
      </c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83"/>
      <c r="AB145" s="283"/>
      <c r="AC145" s="283"/>
      <c r="AD145" s="283"/>
      <c r="AE145" s="283"/>
      <c r="AF145" s="283"/>
      <c r="AG145" s="283"/>
      <c r="AH145" s="283"/>
      <c r="AI145" s="283"/>
      <c r="AJ145" s="283"/>
      <c r="AK145" s="283"/>
      <c r="AL145" s="283"/>
      <c r="AM145" s="283"/>
      <c r="AN145" s="283"/>
      <c r="AO145" s="283"/>
      <c r="AP145" s="283"/>
      <c r="AQ145" s="201"/>
      <c r="AR145" s="201"/>
      <c r="AS145" s="201"/>
      <c r="AT145" s="283"/>
      <c r="AU145" s="283"/>
      <c r="AV145" s="283"/>
      <c r="AW145" s="283"/>
      <c r="AX145" s="283"/>
      <c r="AY145" s="283"/>
      <c r="AZ145" s="283"/>
      <c r="BA145" s="201"/>
      <c r="BB145" s="201"/>
      <c r="BC145" s="203">
        <f>SUMIFS(領用表!$L:$L,領用表!$A:$A,BC$2,領用表!$E:$E,B145)</f>
        <v>0</v>
      </c>
      <c r="BD145" s="287">
        <f>SUMIFS(領用表!$L:$L,領用表!$E:$E,$B145,領用表!$B:$B,BC$2&amp;BD$2)</f>
        <v>0</v>
      </c>
      <c r="BE145" s="287">
        <f>SUMIFS(領用表!$L:$L,領用表!$E:$E,$B145,領用表!$B:$B,$BC$2&amp;BE$2)</f>
        <v>0</v>
      </c>
      <c r="BF145" s="287">
        <f>SUMIFS(領用表!$L:$L,領用表!$E:$E,$B145,領用表!$B:$B,$BC$2&amp;BF$2)</f>
        <v>0</v>
      </c>
      <c r="BG145" s="206">
        <f>SUMIFS(領用表!$L:$L,領用表!$E:$E,$B145,領用表!$B:$B,$BC$2&amp;BG$2)</f>
        <v>0</v>
      </c>
      <c r="BH145" s="203">
        <f>SUMIFS(領用表!$L:$L,領用表!$A:$A,BH$2,領用表!$E:$E,B145)</f>
        <v>0</v>
      </c>
      <c r="BI145" s="260">
        <f>SUMIFS(領用表!$L:$L,領用表!$E:$E,$B145,領用表!$B:$B,BH$2&amp;BI$2)</f>
        <v>0</v>
      </c>
      <c r="BJ145" s="260">
        <f>SUMIFS(領用表!$L:$L,領用表!$E:$E,$B145,領用表!$B:$B,$BH$2&amp;BJ$2)</f>
        <v>0</v>
      </c>
      <c r="BK145" s="260">
        <f>SUMIFS(領用表!$L:$L,領用表!$E:$E,$B145,領用表!$B:$B,$BH$2&amp;BK$2)</f>
        <v>0</v>
      </c>
      <c r="BL145" s="260">
        <f>SUMIFS(領用表!$L:$L,領用表!$E:$E,$B145,領用表!$B:$B,$BH$2&amp;BL$2)</f>
        <v>0</v>
      </c>
      <c r="BM145" s="203">
        <f>SUMIFS(領用表!$L:$L,領用表!$A:$A,BM$2,領用表!$E:$E,B145)</f>
        <v>0</v>
      </c>
      <c r="BN145" s="206">
        <f>SUMIFS(領用表!$L:$L,領用表!$E:$E,$B145,領用表!$B:$B,BM$2&amp;BN$2)</f>
        <v>0</v>
      </c>
      <c r="BO145" s="206">
        <f>SUMIFS(領用表!$L:$L,領用表!$E:$E,$B145,領用表!$B:$B,$BM$2&amp;BO$2)</f>
        <v>0</v>
      </c>
      <c r="BP145" s="288">
        <f>SUMIFS(領用表!$L:$L,領用表!$E:$E,$B145,領用表!$B:$B,$BM$2&amp;BP$2)</f>
        <v>0</v>
      </c>
      <c r="BQ145" s="287">
        <f>SUMIFS(領用表!$L:$L,領用表!$E:$E,$B145,領用表!$B:$B,$BM$2&amp;BQ$2)</f>
        <v>0</v>
      </c>
      <c r="BR145" s="203">
        <f>SUMIFS(領用表!$L:$L,領用表!$A:$A,BR$2,領用表!$E:$E,B145)</f>
        <v>0</v>
      </c>
      <c r="BS145" s="329">
        <f>SUMIFS(領用表!$L:$L,領用表!$E:$E,$B145,領用表!$B:$B,BR$2&amp;BS$2)</f>
        <v>0</v>
      </c>
      <c r="BT145" s="329">
        <f>SUMIFS(領用表!$L:$L,領用表!$E:$E,$B145,領用表!$B:$B,$BR$2&amp;BT$2)</f>
        <v>0</v>
      </c>
      <c r="BU145" s="329">
        <f>SUMIFS(領用表!$L:$L,領用表!$E:$E,$B145,領用表!$B:$B,$BR$2&amp;BU$2)</f>
        <v>0</v>
      </c>
      <c r="BV145" s="296">
        <f>SUMIFS(領用表!$L:$L,領用表!$E:$E,$B145,領用表!$B:$B,$BR$2&amp;BV$2)</f>
        <v>0</v>
      </c>
      <c r="BW145" s="208">
        <f>SUMIFS(領用表!$L:$L,領用表!$A:$A,BW$2,領用表!$E:$E,B145)</f>
        <v>0</v>
      </c>
      <c r="BX145" s="329">
        <f>SUMIFS(領用表!$L:$L,領用表!$E:$E,$B145,領用表!$B:$B,BW$2&amp;BX$2)</f>
        <v>0</v>
      </c>
      <c r="BY145" s="329">
        <f>SUMIFS(領用表!$L:$L,領用表!$E:$E,$B145,領用表!$B:$B,$BW$2&amp;BY$2)</f>
        <v>0</v>
      </c>
      <c r="BZ145" s="329">
        <f>SUMIFS(領用表!$L:$L,領用表!$E:$E,$B145,領用表!$B:$B,$BW$2&amp;BZ$2)</f>
        <v>0</v>
      </c>
      <c r="CA145" s="329">
        <f>SUMIFS(領用表!$L:$L,領用表!$E:$E,$B145,領用表!$B:$B,$BW$2&amp;CA$2)</f>
        <v>0</v>
      </c>
      <c r="CB145" s="208">
        <f>SUMIFS(領用表!$L:$L,領用表!$A:$A,CB$2,領用表!$E:$E,B145)</f>
        <v>0</v>
      </c>
      <c r="CC145" s="329">
        <f>SUMIFS(領用表!$L:$L,領用表!$E:$E,$B145,領用表!$B:$B,CB$2&amp;CC$2)</f>
        <v>0</v>
      </c>
      <c r="CD145" s="329">
        <f>SUMIFS(領用表!$L:$L,領用表!$E:$E,$B145,領用表!$B:$B,$CB$2&amp;CD$2)</f>
        <v>0</v>
      </c>
      <c r="CE145" s="329">
        <f>SUMIFS(領用表!$L:$L,領用表!$E:$E,$B145,領用表!$B:$B,$CB$2&amp;CE$2)</f>
        <v>0</v>
      </c>
      <c r="CF145" s="329">
        <f>SUMIFS(領用表!$L:$L,領用表!$E:$E,$B145,領用表!$B:$B,$CB$2&amp;CF$2)</f>
        <v>0</v>
      </c>
      <c r="CG145" s="208">
        <f>SUMIFS(領用表!$L:$L,領用表!$A:$A,CG$2,領用表!$E:$E,B145)</f>
        <v>0</v>
      </c>
      <c r="CH145" s="206">
        <f>SUMIFS(領用表!$L:$L,領用表!$E:$E,$B145,領用表!$B:$B,CG$2&amp;CH$2)</f>
        <v>0</v>
      </c>
      <c r="CI145" s="206">
        <f>SUMIFS(領用表!$L:$L,領用表!$E:$E,$B145,領用表!$B:$B,CG$2&amp;CI$2)</f>
        <v>0</v>
      </c>
      <c r="CJ145" s="206">
        <f>SUMIFS(領用表!$L:$L,領用表!$E:$E,$B145,領用表!$B:$B,CG$2&amp;CJ$2)</f>
        <v>0</v>
      </c>
      <c r="CK145" s="206">
        <f>SUMIFS(領用表!$L:$L,領用表!$E:$E,$B145,領用表!$B:$B,$CG$2&amp;CK$2)</f>
        <v>0</v>
      </c>
      <c r="CL145" s="207">
        <f t="shared" si="46"/>
        <v>0</v>
      </c>
      <c r="CM145" s="207">
        <f t="shared" si="47"/>
        <v>0</v>
      </c>
      <c r="CN145" s="208">
        <f>SUMIFS(領用表!$L:$L,領用表!$A:$A,CN$2,領用表!$E:$E,B145)</f>
        <v>0</v>
      </c>
      <c r="CO145" s="206">
        <f>SUMIFS(領用表!$L:$L,領用表!$E:$E,$B145,領用表!$B:$B,CN$2&amp;CO$2)</f>
        <v>0</v>
      </c>
      <c r="CP145" s="206">
        <f>SUMIFS(領用表!$L:$L,領用表!$E:$E,$B145,領用表!$B:$B,$CN$2&amp;CP$2)</f>
        <v>0</v>
      </c>
      <c r="CQ145" s="206">
        <f>SUMIFS(領用表!$L:$L,領用表!$E:$E,$B145,領用表!$B:$B,$CN$2&amp;CQ$2)</f>
        <v>0</v>
      </c>
      <c r="CR145" s="206">
        <f>SUMIFS(領用表!$L:$L,領用表!$E:$E,$B145,領用表!$B:$B,$CN$2&amp;CR$2)</f>
        <v>0</v>
      </c>
      <c r="CS145" s="208">
        <f>SUMIFS(領用表!$L:$L,領用表!$A:$A,CS$2,領用表!$E:$E,B145)</f>
        <v>0</v>
      </c>
      <c r="CT145" s="206">
        <f>SUMIFS(領用表!$L:$L,領用表!$E:$E,$B145,領用表!$B:$B,CS$2&amp;CT$2)</f>
        <v>0</v>
      </c>
      <c r="CU145" s="206">
        <f>SUMIFS(領用表!$L:$L,領用表!$E:$E,$B145,領用表!$B:$B,$CS$2&amp;CU$2)</f>
        <v>0</v>
      </c>
      <c r="CV145" s="206">
        <f>SUMIFS(領用表!$L:$L,領用表!$E:$E,$B145,領用表!$B:$B,$CS$2&amp;CV$2)</f>
        <v>0</v>
      </c>
      <c r="CW145" s="206">
        <f>SUMIFS(領用表!$L:$L,領用表!$E:$E,$B145,領用表!$B:$B,$CS$2&amp;CW$2)</f>
        <v>0</v>
      </c>
      <c r="CX145" s="206">
        <f>SUMIFS(領用表!$L:$L,領用表!$E:$E,$B145,領用表!$B:$B,$CS$2&amp;CX$2)</f>
        <v>0</v>
      </c>
      <c r="CY145" s="208">
        <f>SUMIFS(領用表!$L:$L,領用表!$A:$A,CY$2,領用表!$E:$E,B145)</f>
        <v>0</v>
      </c>
      <c r="CZ145" s="206">
        <f>SUMIFS(領用表!$L:$L,領用表!$E:$E,$B145,領用表!$B:$B,CY$2&amp;CZ$2)</f>
        <v>0</v>
      </c>
      <c r="DA145" s="206">
        <f>SUMIFS(領用表!$L:$L,領用表!$E:$E,$B145,領用表!$B:$B,$CY$2&amp;DA$2)</f>
        <v>0</v>
      </c>
      <c r="DB145" s="206">
        <f>SUMIFS(領用表!$L:$L,領用表!$E:$E,$B145,領用表!$B:$B,$CY$2&amp;DB$2)</f>
        <v>0</v>
      </c>
      <c r="DC145" s="206">
        <f>SUMIFS(領用表!$L:$L,領用表!$E:$E,$B145,領用表!$B:$B,$CY$2&amp;DC$2)</f>
        <v>0</v>
      </c>
      <c r="DD145" s="206">
        <f>SUMIFS(領用表!$L:$L,領用表!$E:$E,$B145,領用表!$B:$B,$CY$2&amp;DD$2)</f>
        <v>0</v>
      </c>
      <c r="DE145" s="208">
        <f>SUMIFS(領用表!$L:$L,領用表!$A:$A,DE$2,領用表!$E:$E,B145)</f>
        <v>0</v>
      </c>
      <c r="DF145" s="206">
        <f>SUMIFS(領用表!$L:$L,領用表!$E:$E,$B145,領用表!$B:$B,DE$2&amp;DF$2)</f>
        <v>0</v>
      </c>
      <c r="DG145" s="206">
        <f>SUMIFS(領用表!$L:$L,領用表!$E:$E,$B145,領用表!$B:$B,$DE$2&amp;DG$2)</f>
        <v>0</v>
      </c>
      <c r="DH145" s="206">
        <f>SUMIFS(領用表!$L:$L,領用表!$E:$E,$B145,領用表!$B:$B,$DE$2&amp;DH$2)</f>
        <v>0</v>
      </c>
      <c r="DI145" s="206">
        <f>SUMIFS(領用表!$L:$L,領用表!$E:$E,$B145,領用表!$B:$B,$DE$2&amp;DI$2)</f>
        <v>0</v>
      </c>
      <c r="DJ145" s="206">
        <f>SUMIFS(領用表!$L:$L,領用表!$E:$E,$B145,領用表!$B:$B,$DE$2&amp;DJ$2)</f>
        <v>0</v>
      </c>
      <c r="DK145" s="208">
        <f>SUMIFS(領用表!$L:$L,領用表!$A:$A,DK$2,領用表!$E:$E,$B145)</f>
        <v>0</v>
      </c>
      <c r="DL145" s="206">
        <f>SUMIFS(領用表!$L:$L,領用表!$E:$E,$B145,領用表!$B:$B,DK$2&amp;DL$2)</f>
        <v>0</v>
      </c>
      <c r="DM145" s="206">
        <f>SUMIFS(領用表!$L:$L,領用表!$E:$E,$B145,領用表!$B:$B,$DK$2&amp;DM$2)</f>
        <v>0</v>
      </c>
      <c r="DN145" s="206">
        <f>SUMIFS(領用表!$L:$L,領用表!$E:$E,$B145,領用表!$B:$B,$DK$2&amp;DN$2)</f>
        <v>0</v>
      </c>
      <c r="DO145" s="206">
        <f>SUMIFS(領用表!$L:$L,領用表!$E:$E,$B145,領用表!$B:$B,$DK$2&amp;DO$2)</f>
        <v>0</v>
      </c>
      <c r="DP145" s="206">
        <f>SUMIFS(領用表!$L:$L,領用表!$E:$E,$B145,領用表!$B:$B,$DK$2&amp;DP$2)</f>
        <v>0</v>
      </c>
      <c r="DQ145" s="206">
        <f t="shared" ref="DQ145:DQ176" si="49">SUM(CN145,CS145,CY145,DE145,DK145)</f>
        <v>0</v>
      </c>
      <c r="DR145" s="206">
        <f t="shared" ref="DR145:DR176" si="50">AVERAGEA(CN145,CS145,CY145,DE145,DK145)</f>
        <v>0</v>
      </c>
      <c r="DS145" s="206">
        <f t="shared" si="48"/>
        <v>0</v>
      </c>
      <c r="DT145" s="206">
        <v>0</v>
      </c>
      <c r="DU145" s="206">
        <v>0</v>
      </c>
      <c r="DV145" s="206">
        <v>0</v>
      </c>
      <c r="DW145" s="206">
        <v>0</v>
      </c>
      <c r="DX145" s="258"/>
      <c r="DY145" s="283"/>
      <c r="DZ145" s="283"/>
      <c r="EA145" s="283"/>
      <c r="EB145" s="136"/>
      <c r="EC145" s="136"/>
      <c r="ED145" s="118">
        <f>IFERROR(VLOOKUP(A145,站前4樓!A:BF,57,0),0)</f>
        <v>0</v>
      </c>
      <c r="EE145" s="213">
        <f>IFERROR(VLOOKUP(A145,站前11樓!A:BE,57,0),0)</f>
        <v>0</v>
      </c>
      <c r="EF145" s="118">
        <f>IFERROR(VLOOKUP(A145,忠孝7樓!A:N,57,0),0)</f>
        <v>0</v>
      </c>
      <c r="EG145" s="118">
        <f>IFERROR(VLOOKUP(A145,忠孝國際醫學3樓!A:L,57,0),0)</f>
        <v>0</v>
      </c>
      <c r="EH145" s="118">
        <f t="shared" si="25"/>
        <v>0</v>
      </c>
    </row>
    <row r="146" spans="1:138" s="118" customFormat="1" ht="15.75" customHeight="1">
      <c r="A146" s="136" t="s">
        <v>168</v>
      </c>
      <c r="B146" s="118">
        <v>6090001</v>
      </c>
      <c r="C146" s="136" t="s">
        <v>547</v>
      </c>
      <c r="D146" s="285"/>
      <c r="E146" s="198" t="s">
        <v>15</v>
      </c>
      <c r="F146" s="225">
        <f>SUMIF(站前4樓!B:B,B146,站前4樓!F:F)</f>
        <v>59</v>
      </c>
      <c r="G146" s="225">
        <f>SUMIF(站前11樓!B:B,B146,站前11樓!F:F)</f>
        <v>0</v>
      </c>
      <c r="H146" s="225">
        <f>SUMIF(忠孝7樓!B:B,B146,忠孝7樓!G:G)</f>
        <v>0</v>
      </c>
      <c r="I146" s="225">
        <f>SUMIF(忠孝國際醫學3樓!B:B,B146,忠孝國際醫學3樓!G:G)</f>
        <v>0</v>
      </c>
      <c r="J146" s="225">
        <f>SUMIF(忠孝健康7樓!B:B,B146,忠孝健康7樓!G:G)</f>
        <v>31</v>
      </c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83"/>
      <c r="AB146" s="283"/>
      <c r="AC146" s="283"/>
      <c r="AD146" s="283"/>
      <c r="AE146" s="283"/>
      <c r="AF146" s="283"/>
      <c r="AG146" s="283"/>
      <c r="AH146" s="283"/>
      <c r="AI146" s="283"/>
      <c r="AJ146" s="201"/>
      <c r="AK146" s="201"/>
      <c r="AL146" s="201"/>
      <c r="AM146" s="201"/>
      <c r="AN146" s="201"/>
      <c r="AO146" s="201"/>
      <c r="AP146" s="201"/>
      <c r="AQ146" s="201">
        <v>0</v>
      </c>
      <c r="AR146" s="201">
        <v>0</v>
      </c>
      <c r="AS146" s="201">
        <v>57</v>
      </c>
      <c r="AT146" s="201">
        <v>30</v>
      </c>
      <c r="AU146" s="201">
        <v>120</v>
      </c>
      <c r="AV146" s="283">
        <f>SUM(AJ146:AU146)</f>
        <v>207</v>
      </c>
      <c r="AW146" s="286">
        <f>AV146/12</f>
        <v>17.25</v>
      </c>
      <c r="AX146" s="201">
        <v>0</v>
      </c>
      <c r="AY146" s="201">
        <v>0</v>
      </c>
      <c r="AZ146" s="201">
        <v>60</v>
      </c>
      <c r="BA146" s="201">
        <v>32</v>
      </c>
      <c r="BB146" s="201">
        <v>20</v>
      </c>
      <c r="BC146" s="203">
        <f>SUMIFS(領用表!$L:$L,領用表!$A:$A,BC$2,領用表!$E:$E,B146)</f>
        <v>0</v>
      </c>
      <c r="BD146" s="296">
        <f>SUMIFS(領用表!$L:$L,領用表!$E:$E,$B146,領用表!$B:$B,BC$2&amp;BD$2)</f>
        <v>0</v>
      </c>
      <c r="BE146" s="296">
        <f>SUMIFS(領用表!$L:$L,領用表!$E:$E,$B146,領用表!$B:$B,$BC$2&amp;BE$2)</f>
        <v>0</v>
      </c>
      <c r="BF146" s="296">
        <f>SUMIFS(領用表!$L:$L,領用表!$E:$E,$B146,領用表!$B:$B,$BC$2&amp;BF$2)</f>
        <v>0</v>
      </c>
      <c r="BG146" s="296">
        <f>SUMIFS(領用表!$L:$L,領用表!$E:$E,$B146,領用表!$B:$B,$BC$2&amp;BG$2)</f>
        <v>0</v>
      </c>
      <c r="BH146" s="203">
        <f>SUMIFS(領用表!$L:$L,領用表!$A:$A,BH$2,領用表!$E:$E,B146)</f>
        <v>0</v>
      </c>
      <c r="BI146" s="260">
        <f>SUMIFS(領用表!$L:$L,領用表!$E:$E,$B146,領用表!$B:$B,BH$2&amp;BI$2)</f>
        <v>0</v>
      </c>
      <c r="BJ146" s="260">
        <f>SUMIFS(領用表!$L:$L,領用表!$E:$E,$B146,領用表!$B:$B,$BH$2&amp;BJ$2)</f>
        <v>0</v>
      </c>
      <c r="BK146" s="260">
        <f>SUMIFS(領用表!$L:$L,領用表!$E:$E,$B146,領用表!$B:$B,$BH$2&amp;BK$2)</f>
        <v>0</v>
      </c>
      <c r="BL146" s="260">
        <f>SUMIFS(領用表!$L:$L,領用表!$E:$E,$B146,領用表!$B:$B,$BH$2&amp;BL$2)</f>
        <v>0</v>
      </c>
      <c r="BM146" s="203">
        <f>SUMIFS(領用表!$L:$L,領用表!$A:$A,BM$2,領用表!$E:$E,B146)</f>
        <v>0</v>
      </c>
      <c r="BN146" s="206">
        <f>SUMIFS(領用表!$L:$L,領用表!$E:$E,$B146,領用表!$B:$B,BM$2&amp;BN$2)</f>
        <v>0</v>
      </c>
      <c r="BO146" s="206">
        <f>SUMIFS(領用表!$L:$L,領用表!$E:$E,$B146,領用表!$B:$B,$BM$2&amp;BO$2)</f>
        <v>0</v>
      </c>
      <c r="BP146" s="288">
        <f>SUMIFS(領用表!$L:$L,領用表!$E:$E,$B146,領用表!$B:$B,$BM$2&amp;BP$2)</f>
        <v>0</v>
      </c>
      <c r="BQ146" s="287">
        <f>SUMIFS(領用表!$L:$L,領用表!$E:$E,$B146,領用表!$B:$B,$BM$2&amp;BQ$2)</f>
        <v>0</v>
      </c>
      <c r="BR146" s="203">
        <f>SUMIFS(領用表!$L:$L,領用表!$A:$A,BR$2,領用表!$E:$E,B146)</f>
        <v>0</v>
      </c>
      <c r="BS146" s="297">
        <f>SUMIFS(領用表!$L:$L,領用表!$E:$E,$B146,領用表!$B:$B,BR$2&amp;BS$2)</f>
        <v>0</v>
      </c>
      <c r="BT146" s="206">
        <f>SUMIFS(領用表!$L:$L,領用表!$E:$E,$B146,領用表!$B:$B,$BR$2&amp;BT$2)</f>
        <v>0</v>
      </c>
      <c r="BU146" s="297">
        <f>SUMIFS(領用表!$L:$L,領用表!$E:$E,$B146,領用表!$B:$B,$BR$2&amp;BU$2)</f>
        <v>0</v>
      </c>
      <c r="BV146" s="206">
        <f>SUMIFS(領用表!$L:$L,領用表!$E:$E,$B146,領用表!$B:$B,$BR$2&amp;BV$2)</f>
        <v>0</v>
      </c>
      <c r="BW146" s="208">
        <f>SUMIFS(領用表!$L:$L,領用表!$A:$A,BW$2,領用表!$E:$E,B146)</f>
        <v>0</v>
      </c>
      <c r="BX146" s="206">
        <f>SUMIFS(領用表!$L:$L,領用表!$E:$E,$B146,領用表!$B:$B,BW$2&amp;BX$2)</f>
        <v>0</v>
      </c>
      <c r="BY146" s="206">
        <f>SUMIFS(領用表!$L:$L,領用表!$E:$E,$B146,領用表!$B:$B,$BW$2&amp;BY$2)</f>
        <v>0</v>
      </c>
      <c r="BZ146" s="206">
        <f>SUMIFS(領用表!$L:$L,領用表!$E:$E,$B146,領用表!$B:$B,$BW$2&amp;BZ$2)</f>
        <v>0</v>
      </c>
      <c r="CA146" s="206">
        <f>SUMIFS(領用表!$L:$L,領用表!$E:$E,$B146,領用表!$B:$B,$BW$2&amp;CA$2)</f>
        <v>0</v>
      </c>
      <c r="CB146" s="208">
        <f>SUMIFS(領用表!$L:$L,領用表!$A:$A,CB$2,領用表!$E:$E,B146)</f>
        <v>0</v>
      </c>
      <c r="CC146" s="206">
        <f>SUMIFS(領用表!$L:$L,領用表!$E:$E,$B146,領用表!$B:$B,CB$2&amp;CC$2)</f>
        <v>0</v>
      </c>
      <c r="CD146" s="206">
        <f>SUMIFS(領用表!$L:$L,領用表!$E:$E,$B146,領用表!$B:$B,$CB$2&amp;CD$2)</f>
        <v>0</v>
      </c>
      <c r="CE146" s="206">
        <f>SUMIFS(領用表!$L:$L,領用表!$E:$E,$B146,領用表!$B:$B,$CB$2&amp;CE$2)</f>
        <v>0</v>
      </c>
      <c r="CF146" s="206">
        <f>SUMIFS(領用表!$L:$L,領用表!$E:$E,$B146,領用表!$B:$B,$CB$2&amp;CF$2)</f>
        <v>0</v>
      </c>
      <c r="CG146" s="208">
        <f>SUMIFS(領用表!$L:$L,領用表!$A:$A,CG$2,領用表!$E:$E,B146)</f>
        <v>0</v>
      </c>
      <c r="CH146" s="206">
        <f>SUMIFS(領用表!$L:$L,領用表!$E:$E,$B146,領用表!$B:$B,CG$2&amp;CH$2)</f>
        <v>0</v>
      </c>
      <c r="CI146" s="206">
        <f>SUMIFS(領用表!$L:$L,領用表!$E:$E,$B146,領用表!$B:$B,CG$2&amp;CI$2)</f>
        <v>0</v>
      </c>
      <c r="CJ146" s="206">
        <f>SUMIFS(領用表!$L:$L,領用表!$E:$E,$B146,領用表!$B:$B,CG$2&amp;CJ$2)</f>
        <v>0</v>
      </c>
      <c r="CK146" s="206">
        <f>SUMIFS(領用表!$L:$L,領用表!$E:$E,$B146,領用表!$B:$B,$CG$2&amp;CK$2)</f>
        <v>0</v>
      </c>
      <c r="CL146" s="207">
        <f t="shared" si="46"/>
        <v>112</v>
      </c>
      <c r="CM146" s="207">
        <f t="shared" si="47"/>
        <v>9.3333333333333339</v>
      </c>
      <c r="CN146" s="208">
        <f>SUMIFS(領用表!$L:$L,領用表!$A:$A,CN$2,領用表!$E:$E,B146)</f>
        <v>0</v>
      </c>
      <c r="CO146" s="206">
        <f>SUMIFS(領用表!$L:$L,領用表!$E:$E,$B146,領用表!$B:$B,CN$2&amp;CO$2)</f>
        <v>0</v>
      </c>
      <c r="CP146" s="206">
        <f>SUMIFS(領用表!$L:$L,領用表!$E:$E,$B146,領用表!$B:$B,$CN$2&amp;CP$2)</f>
        <v>0</v>
      </c>
      <c r="CQ146" s="206">
        <f>SUMIFS(領用表!$L:$L,領用表!$E:$E,$B146,領用表!$B:$B,$CN$2&amp;CQ$2)</f>
        <v>0</v>
      </c>
      <c r="CR146" s="206">
        <f>SUMIFS(領用表!$L:$L,領用表!$E:$E,$B146,領用表!$B:$B,$CN$2&amp;CR$2)</f>
        <v>0</v>
      </c>
      <c r="CS146" s="208">
        <f>SUMIFS(領用表!$L:$L,領用表!$A:$A,CS$2,領用表!$E:$E,B146)</f>
        <v>0</v>
      </c>
      <c r="CT146" s="206">
        <f>SUMIFS(領用表!$L:$L,領用表!$E:$E,$B146,領用表!$B:$B,CS$2&amp;CT$2)</f>
        <v>0</v>
      </c>
      <c r="CU146" s="206">
        <f>SUMIFS(領用表!$L:$L,領用表!$E:$E,$B146,領用表!$B:$B,$CS$2&amp;CU$2)</f>
        <v>0</v>
      </c>
      <c r="CV146" s="206">
        <f>SUMIFS(領用表!$L:$L,領用表!$E:$E,$B146,領用表!$B:$B,$CS$2&amp;CV$2)</f>
        <v>0</v>
      </c>
      <c r="CW146" s="206">
        <f>SUMIFS(領用表!$L:$L,領用表!$E:$E,$B146,領用表!$B:$B,$CS$2&amp;CW$2)</f>
        <v>0</v>
      </c>
      <c r="CX146" s="206">
        <f>SUMIFS(領用表!$L:$L,領用表!$E:$E,$B146,領用表!$B:$B,$CS$2&amp;CX$2)</f>
        <v>0</v>
      </c>
      <c r="CY146" s="208">
        <f>SUMIFS(領用表!$L:$L,領用表!$A:$A,CY$2,領用表!$E:$E,B146)</f>
        <v>0</v>
      </c>
      <c r="CZ146" s="206">
        <f>SUMIFS(領用表!$L:$L,領用表!$E:$E,$B146,領用表!$B:$B,CY$2&amp;CZ$2)</f>
        <v>0</v>
      </c>
      <c r="DA146" s="206">
        <f>SUMIFS(領用表!$L:$L,領用表!$E:$E,$B146,領用表!$B:$B,$CY$2&amp;DA$2)</f>
        <v>0</v>
      </c>
      <c r="DB146" s="206">
        <f>SUMIFS(領用表!$L:$L,領用表!$E:$E,$B146,領用表!$B:$B,$CY$2&amp;DB$2)</f>
        <v>0</v>
      </c>
      <c r="DC146" s="206">
        <f>SUMIFS(領用表!$L:$L,領用表!$E:$E,$B146,領用表!$B:$B,$CY$2&amp;DC$2)</f>
        <v>0</v>
      </c>
      <c r="DD146" s="206">
        <f>SUMIFS(領用表!$L:$L,領用表!$E:$E,$B146,領用表!$B:$B,$CY$2&amp;DD$2)</f>
        <v>0</v>
      </c>
      <c r="DE146" s="208">
        <f>SUMIFS(領用表!$L:$L,領用表!$A:$A,DE$2,領用表!$E:$E,B146)</f>
        <v>12</v>
      </c>
      <c r="DF146" s="206">
        <f>SUMIFS(領用表!$L:$L,領用表!$E:$E,$B146,領用表!$B:$B,DE$2&amp;DF$2)</f>
        <v>0</v>
      </c>
      <c r="DG146" s="206">
        <f>SUMIFS(領用表!$L:$L,領用表!$E:$E,$B146,領用表!$B:$B,$DE$2&amp;DG$2)</f>
        <v>0</v>
      </c>
      <c r="DH146" s="206">
        <f>SUMIFS(領用表!$L:$L,領用表!$E:$E,$B146,領用表!$B:$B,$DE$2&amp;DH$2)</f>
        <v>0</v>
      </c>
      <c r="DI146" s="206">
        <f>SUMIFS(領用表!$L:$L,領用表!$E:$E,$B146,領用表!$B:$B,$DE$2&amp;DI$2)</f>
        <v>0</v>
      </c>
      <c r="DJ146" s="206">
        <f>SUMIFS(領用表!$L:$L,領用表!$E:$E,$B146,領用表!$B:$B,$DE$2&amp;DJ$2)</f>
        <v>12</v>
      </c>
      <c r="DK146" s="208">
        <f>SUMIFS(領用表!$L:$L,領用表!$A:$A,DK$2,領用表!$E:$E,$B146)</f>
        <v>20</v>
      </c>
      <c r="DL146" s="206">
        <f>SUMIFS(領用表!$L:$L,領用表!$E:$E,$B146,領用表!$B:$B,DK$2&amp;DL$2)</f>
        <v>0</v>
      </c>
      <c r="DM146" s="206">
        <f>SUMIFS(領用表!$L:$L,領用表!$E:$E,$B146,領用表!$B:$B,$DK$2&amp;DM$2)</f>
        <v>0</v>
      </c>
      <c r="DN146" s="206">
        <f>SUMIFS(領用表!$L:$L,領用表!$E:$E,$B146,領用表!$B:$B,$DK$2&amp;DN$2)</f>
        <v>0</v>
      </c>
      <c r="DO146" s="206">
        <f>SUMIFS(領用表!$L:$L,領用表!$E:$E,$B146,領用表!$B:$B,$DK$2&amp;DO$2)</f>
        <v>0</v>
      </c>
      <c r="DP146" s="206">
        <f>SUMIFS(領用表!$L:$L,領用表!$E:$E,$B146,領用表!$B:$B,$DK$2&amp;DP$2)</f>
        <v>20</v>
      </c>
      <c r="DQ146" s="206">
        <f t="shared" si="49"/>
        <v>32</v>
      </c>
      <c r="DR146" s="206">
        <f t="shared" si="50"/>
        <v>6.4</v>
      </c>
      <c r="DS146" s="206">
        <f t="shared" si="48"/>
        <v>0</v>
      </c>
      <c r="DT146" s="206">
        <v>0</v>
      </c>
      <c r="DU146" s="206">
        <v>0</v>
      </c>
      <c r="DV146" s="206">
        <v>0</v>
      </c>
      <c r="DW146" s="206">
        <v>0</v>
      </c>
      <c r="DX146" s="258"/>
      <c r="DY146" s="252"/>
      <c r="DZ146" s="252"/>
      <c r="EA146" s="252"/>
      <c r="EB146" s="136" t="s">
        <v>839</v>
      </c>
      <c r="EC146" s="136"/>
      <c r="ED146" s="118">
        <f>IFERROR(VLOOKUP(A146,站前4樓!A:BF,57,0),0)</f>
        <v>0</v>
      </c>
      <c r="EE146" s="213">
        <f>IFERROR(VLOOKUP(A146,站前11樓!A:BE,57,0),0)</f>
        <v>0</v>
      </c>
      <c r="EF146" s="118">
        <f>IFERROR(VLOOKUP(A146,忠孝7樓!A:N,57,0),0)</f>
        <v>0</v>
      </c>
      <c r="EG146" s="118">
        <f>IFERROR(VLOOKUP(A146,忠孝國際醫學3樓!A:L,57,0),0)</f>
        <v>0</v>
      </c>
      <c r="EH146" s="118">
        <f t="shared" si="25"/>
        <v>0</v>
      </c>
    </row>
    <row r="147" spans="1:138" s="118" customFormat="1" ht="15.75" customHeight="1">
      <c r="A147" s="118" t="s">
        <v>170</v>
      </c>
      <c r="B147" s="118">
        <v>6050006</v>
      </c>
      <c r="C147" s="136" t="s">
        <v>548</v>
      </c>
      <c r="D147" s="285"/>
      <c r="E147" s="198" t="s">
        <v>15</v>
      </c>
      <c r="F147" s="225">
        <f>SUMIF(站前4樓!B:B,B147,站前4樓!F:F)</f>
        <v>61</v>
      </c>
      <c r="G147" s="225">
        <f>SUMIF(站前11樓!B:B,B147,站前11樓!F:F)</f>
        <v>0</v>
      </c>
      <c r="H147" s="225">
        <f>SUMIF(忠孝7樓!B:B,B147,忠孝7樓!G:G)</f>
        <v>87</v>
      </c>
      <c r="I147" s="225">
        <f>SUMIF(忠孝國際醫學3樓!B:B,B147,忠孝國際醫學3樓!G:G)</f>
        <v>0</v>
      </c>
      <c r="J147" s="408">
        <f>SUMIF(忠孝健康7樓!B:B,B147,忠孝健康7樓!G:G)</f>
        <v>113</v>
      </c>
      <c r="AU147" s="201">
        <v>10</v>
      </c>
      <c r="AV147" s="347" t="s">
        <v>49</v>
      </c>
      <c r="AW147" s="347" t="s">
        <v>49</v>
      </c>
      <c r="AX147" s="201">
        <v>0</v>
      </c>
      <c r="AY147" s="201">
        <v>0</v>
      </c>
      <c r="AZ147" s="201">
        <v>0</v>
      </c>
      <c r="BA147" s="201">
        <v>12</v>
      </c>
      <c r="BB147" s="201">
        <v>20</v>
      </c>
      <c r="BC147" s="203">
        <f>SUMIFS(領用表!$L:$L,領用表!$A:$A,BC$2,領用表!$E:$E,B147)</f>
        <v>0</v>
      </c>
      <c r="BD147" s="296">
        <f>SUMIFS(領用表!$L:$L,領用表!$E:$E,$B147,領用表!$B:$B,BC$2&amp;BD$2)</f>
        <v>0</v>
      </c>
      <c r="BE147" s="330">
        <f>SUMIFS(領用表!$L:$L,領用表!$E:$E,$B147,領用表!$B:$B,$BC$2&amp;BE$2)</f>
        <v>0</v>
      </c>
      <c r="BF147" s="330">
        <f>SUMIFS(領用表!$L:$L,領用表!$E:$E,$B147,領用表!$B:$B,$BC$2&amp;BF$2)</f>
        <v>0</v>
      </c>
      <c r="BG147" s="330">
        <f>SUMIFS(領用表!$L:$L,領用表!$E:$E,$B147,領用表!$B:$B,$BC$2&amp;BG$2)</f>
        <v>0</v>
      </c>
      <c r="BH147" s="203">
        <f>SUMIFS(領用表!$L:$L,領用表!$A:$A,BH$2,領用表!$E:$E,B147)</f>
        <v>0</v>
      </c>
      <c r="BI147" s="260">
        <f>SUMIFS(領用表!$L:$L,領用表!$E:$E,$B147,領用表!$B:$B,BH$2&amp;BI$2)</f>
        <v>0</v>
      </c>
      <c r="BJ147" s="260">
        <f>SUMIFS(領用表!$L:$L,領用表!$E:$E,$B147,領用表!$B:$B,$BH$2&amp;BJ$2)</f>
        <v>0</v>
      </c>
      <c r="BK147" s="260">
        <f>SUMIFS(領用表!$L:$L,領用表!$E:$E,$B147,領用表!$B:$B,$BH$2&amp;BK$2)</f>
        <v>0</v>
      </c>
      <c r="BL147" s="260">
        <f>SUMIFS(領用表!$L:$L,領用表!$E:$E,$B147,領用表!$B:$B,$BH$2&amp;BL$2)</f>
        <v>0</v>
      </c>
      <c r="BM147" s="203">
        <f>SUMIFS(領用表!$L:$L,領用表!$A:$A,BM$2,領用表!$E:$E,B147)</f>
        <v>0</v>
      </c>
      <c r="BN147" s="331">
        <f>SUMIFS(領用表!$L:$L,領用表!$E:$E,$B147,領用表!$B:$B,BM$2&amp;BN$2)</f>
        <v>0</v>
      </c>
      <c r="BO147" s="331">
        <f>SUMIFS(領用表!$L:$L,領用表!$E:$E,$B147,領用表!$B:$B,$BM$2&amp;BO$2)</f>
        <v>0</v>
      </c>
      <c r="BP147" s="288">
        <f>SUMIFS(領用表!$L:$L,領用表!$E:$E,$B147,領用表!$B:$B,$BM$2&amp;BP$2)</f>
        <v>0</v>
      </c>
      <c r="BQ147" s="287">
        <f>SUMIFS(領用表!$L:$L,領用表!$E:$E,$B147,領用表!$B:$B,$BM$2&amp;BQ$2)</f>
        <v>0</v>
      </c>
      <c r="BR147" s="203">
        <f>SUMIFS(領用表!$L:$L,領用表!$A:$A,BR$2,領用表!$E:$E,B147)</f>
        <v>0</v>
      </c>
      <c r="BS147" s="288">
        <f>SUMIFS(領用表!$L:$L,領用表!$E:$E,$B147,領用表!$B:$B,BR$2&amp;BS$2)</f>
        <v>0</v>
      </c>
      <c r="BT147" s="288">
        <f>SUMIFS(領用表!$L:$L,領用表!$E:$E,$B147,領用表!$B:$B,$BR$2&amp;BT$2)</f>
        <v>0</v>
      </c>
      <c r="BU147" s="288">
        <f>SUMIFS(領用表!$L:$L,領用表!$E:$E,$B147,領用表!$B:$B,$BR$2&amp;BU$2)</f>
        <v>0</v>
      </c>
      <c r="BV147" s="287">
        <f>SUMIFS(領用表!$L:$L,領用表!$E:$E,$B147,領用表!$B:$B,$BR$2&amp;BV$2)</f>
        <v>0</v>
      </c>
      <c r="BW147" s="208">
        <f>SUMIFS(領用表!$L:$L,領用表!$A:$A,BW$2,領用表!$E:$E,B147)</f>
        <v>0</v>
      </c>
      <c r="BX147" s="331">
        <f>SUMIFS(領用表!$L:$L,領用表!$E:$E,$B147,領用表!$B:$B,BW$2&amp;BX$2)</f>
        <v>0</v>
      </c>
      <c r="BY147" s="331">
        <f>SUMIFS(領用表!$L:$L,領用表!$E:$E,$B147,領用表!$B:$B,$BW$2&amp;BY$2)</f>
        <v>0</v>
      </c>
      <c r="BZ147" s="331">
        <f>SUMIFS(領用表!$L:$L,領用表!$E:$E,$B147,領用表!$B:$B,$BW$2&amp;BZ$2)</f>
        <v>0</v>
      </c>
      <c r="CA147" s="331">
        <f>SUMIFS(領用表!$L:$L,領用表!$E:$E,$B147,領用表!$B:$B,$BW$2&amp;CA$2)</f>
        <v>0</v>
      </c>
      <c r="CB147" s="208">
        <f>SUMIFS(領用表!$L:$L,領用表!$A:$A,CB$2,領用表!$E:$E,B147)</f>
        <v>0</v>
      </c>
      <c r="CC147" s="331">
        <f>SUMIFS(領用表!$L:$L,領用表!$E:$E,$B147,領用表!$B:$B,CB$2&amp;CC$2)</f>
        <v>0</v>
      </c>
      <c r="CD147" s="331">
        <f>SUMIFS(領用表!$L:$L,領用表!$E:$E,$B147,領用表!$B:$B,$CB$2&amp;CD$2)</f>
        <v>0</v>
      </c>
      <c r="CE147" s="331">
        <f>SUMIFS(領用表!$L:$L,領用表!$E:$E,$B147,領用表!$B:$B,$CB$2&amp;CE$2)</f>
        <v>0</v>
      </c>
      <c r="CF147" s="331">
        <f>SUMIFS(領用表!$L:$L,領用表!$E:$E,$B147,領用表!$B:$B,$CB$2&amp;CF$2)</f>
        <v>0</v>
      </c>
      <c r="CG147" s="332">
        <f>SUMIFS(領用表!$L:$L,領用表!$A:$A,CG$2,領用表!$E:$E,B147)</f>
        <v>0</v>
      </c>
      <c r="CH147" s="331">
        <f>SUMIFS(領用表!$L:$L,領用表!$E:$E,$B147,領用表!$B:$B,CG$2&amp;CH$2)</f>
        <v>0</v>
      </c>
      <c r="CI147" s="331">
        <f>SUMIFS(領用表!$L:$L,領用表!$E:$E,$B147,領用表!$B:$B,CG$2&amp;CI$2)</f>
        <v>0</v>
      </c>
      <c r="CJ147" s="331">
        <f>SUMIFS(領用表!$L:$L,領用表!$E:$E,$B147,領用表!$B:$B,CG$2&amp;CJ$2)</f>
        <v>0</v>
      </c>
      <c r="CK147" s="331">
        <f>SUMIFS(領用表!$L:$L,領用表!$E:$E,$B147,領用表!$B:$B,$CG$2&amp;CK$2)</f>
        <v>0</v>
      </c>
      <c r="CL147" s="207">
        <f t="shared" si="46"/>
        <v>32</v>
      </c>
      <c r="CM147" s="207">
        <f t="shared" si="47"/>
        <v>2.6666666666666665</v>
      </c>
      <c r="CN147" s="208">
        <f>SUMIFS(領用表!$L:$L,領用表!$A:$A,CN$2,領用表!$E:$E,B147)</f>
        <v>0</v>
      </c>
      <c r="CO147" s="206">
        <f>SUMIFS(領用表!$L:$L,領用表!$E:$E,$B147,領用表!$B:$B,CN$2&amp;CO$2)</f>
        <v>0</v>
      </c>
      <c r="CP147" s="206">
        <f>SUMIFS(領用表!$L:$L,領用表!$E:$E,$B147,領用表!$B:$B,$CN$2&amp;CP$2)</f>
        <v>0</v>
      </c>
      <c r="CQ147" s="206">
        <f>SUMIFS(領用表!$L:$L,領用表!$E:$E,$B147,領用表!$B:$B,$CN$2&amp;CQ$2)</f>
        <v>0</v>
      </c>
      <c r="CR147" s="206">
        <f>SUMIFS(領用表!$L:$L,領用表!$E:$E,$B147,領用表!$B:$B,$CN$2&amp;CR$2)</f>
        <v>0</v>
      </c>
      <c r="CS147" s="208">
        <f>SUMIFS(領用表!$L:$L,領用表!$A:$A,CS$2,領用表!$E:$E,B147)</f>
        <v>0</v>
      </c>
      <c r="CT147" s="206">
        <f>SUMIFS(領用表!$L:$L,領用表!$E:$E,$B147,領用表!$B:$B,CS$2&amp;CT$2)</f>
        <v>0</v>
      </c>
      <c r="CU147" s="206">
        <f>SUMIFS(領用表!$L:$L,領用表!$E:$E,$B147,領用表!$B:$B,$CS$2&amp;CU$2)</f>
        <v>0</v>
      </c>
      <c r="CV147" s="206">
        <f>SUMIFS(領用表!$L:$L,領用表!$E:$E,$B147,領用表!$B:$B,$CS$2&amp;CV$2)</f>
        <v>0</v>
      </c>
      <c r="CW147" s="206">
        <f>SUMIFS(領用表!$L:$L,領用表!$E:$E,$B147,領用表!$B:$B,$CS$2&amp;CW$2)</f>
        <v>0</v>
      </c>
      <c r="CX147" s="206">
        <f>SUMIFS(領用表!$L:$L,領用表!$E:$E,$B147,領用表!$B:$B,$CS$2&amp;CX$2)</f>
        <v>0</v>
      </c>
      <c r="CY147" s="208">
        <f>SUMIFS(領用表!$L:$L,領用表!$A:$A,CY$2,領用表!$E:$E,B147)</f>
        <v>0</v>
      </c>
      <c r="CZ147" s="331">
        <f>SUMIFS(領用表!$L:$L,領用表!$E:$E,$B147,領用表!$B:$B,CY$2&amp;CZ$2)</f>
        <v>0</v>
      </c>
      <c r="DA147" s="331">
        <f>SUMIFS(領用表!$L:$L,領用表!$E:$E,$B147,領用表!$B:$B,$CY$2&amp;DA$2)</f>
        <v>0</v>
      </c>
      <c r="DB147" s="331">
        <f>SUMIFS(領用表!$L:$L,領用表!$E:$E,$B147,領用表!$B:$B,$CY$2&amp;DB$2)</f>
        <v>0</v>
      </c>
      <c r="DC147" s="331">
        <f>SUMIFS(領用表!$L:$L,領用表!$E:$E,$B147,領用表!$B:$B,$CY$2&amp;DC$2)</f>
        <v>0</v>
      </c>
      <c r="DD147" s="331">
        <f>SUMIFS(領用表!$L:$L,領用表!$E:$E,$B147,領用表!$B:$B,$CY$2&amp;DD$2)</f>
        <v>0</v>
      </c>
      <c r="DE147" s="208">
        <f>SUMIFS(領用表!$L:$L,領用表!$A:$A,DE$2,領用表!$E:$E,B147)</f>
        <v>0</v>
      </c>
      <c r="DF147" s="331">
        <f>SUMIFS(領用表!$L:$L,領用表!$E:$E,$B147,領用表!$B:$B,DE$2&amp;DF$2)</f>
        <v>0</v>
      </c>
      <c r="DG147" s="331">
        <f>SUMIFS(領用表!$L:$L,領用表!$E:$E,$B147,領用表!$B:$B,$DE$2&amp;DG$2)</f>
        <v>0</v>
      </c>
      <c r="DH147" s="331">
        <f>SUMIFS(領用表!$L:$L,領用表!$E:$E,$B147,領用表!$B:$B,$DE$2&amp;DH$2)</f>
        <v>0</v>
      </c>
      <c r="DI147" s="331">
        <f>SUMIFS(領用表!$L:$L,領用表!$E:$E,$B147,領用表!$B:$B,$DE$2&amp;DI$2)</f>
        <v>0</v>
      </c>
      <c r="DJ147" s="331">
        <f>SUMIFS(領用表!$L:$L,領用表!$E:$E,$B147,領用表!$B:$B,$DE$2&amp;DJ$2)</f>
        <v>0</v>
      </c>
      <c r="DK147" s="208">
        <f>SUMIFS(領用表!$L:$L,領用表!$A:$A,DK$2,領用表!$E:$E,$B147)</f>
        <v>15</v>
      </c>
      <c r="DL147" s="331">
        <f>SUMIFS(領用表!$L:$L,領用表!$E:$E,$B147,領用表!$B:$B,DK$2&amp;DL$2)</f>
        <v>0</v>
      </c>
      <c r="DM147" s="331">
        <f>SUMIFS(領用表!$L:$L,領用表!$E:$E,$B147,領用表!$B:$B,$DK$2&amp;DM$2)</f>
        <v>0</v>
      </c>
      <c r="DN147" s="331">
        <f>SUMIFS(領用表!$L:$L,領用表!$E:$E,$B147,領用表!$B:$B,$DK$2&amp;DN$2)</f>
        <v>15</v>
      </c>
      <c r="DO147" s="331">
        <f>SUMIFS(領用表!$L:$L,領用表!$E:$E,$B147,領用表!$B:$B,$DK$2&amp;DO$2)</f>
        <v>0</v>
      </c>
      <c r="DP147" s="331">
        <f>SUMIFS(領用表!$L:$L,領用表!$E:$E,$B147,領用表!$B:$B,$DK$2&amp;DP$2)</f>
        <v>0</v>
      </c>
      <c r="DQ147" s="331">
        <f t="shared" si="49"/>
        <v>15</v>
      </c>
      <c r="DR147" s="331">
        <f t="shared" si="50"/>
        <v>3</v>
      </c>
      <c r="DS147" s="331">
        <f t="shared" si="48"/>
        <v>0</v>
      </c>
      <c r="DT147" s="331">
        <v>0</v>
      </c>
      <c r="DU147" s="331">
        <v>0</v>
      </c>
      <c r="DV147" s="331">
        <v>0</v>
      </c>
      <c r="DW147" s="331">
        <v>0</v>
      </c>
      <c r="DX147" s="305"/>
      <c r="DY147" s="333"/>
      <c r="DZ147" s="252"/>
      <c r="EA147" s="252"/>
      <c r="ED147" s="118">
        <f>IFERROR(VLOOKUP(A147,站前4樓!A:BF,57,0),0)</f>
        <v>0</v>
      </c>
      <c r="EE147" s="213">
        <f>IFERROR(VLOOKUP(A147,站前11樓!A:BE,57,0),0)</f>
        <v>0</v>
      </c>
      <c r="EF147" s="118">
        <f>IFERROR(VLOOKUP(A147,忠孝7樓!A:N,57,0),0)</f>
        <v>0</v>
      </c>
      <c r="EG147" s="118">
        <f>IFERROR(VLOOKUP(A147,忠孝國際醫學3樓!A:L,57,0),0)</f>
        <v>0</v>
      </c>
      <c r="EH147" s="118">
        <f t="shared" si="25"/>
        <v>0</v>
      </c>
    </row>
    <row r="148" spans="1:138" s="118" customFormat="1" ht="15.75" customHeight="1">
      <c r="A148" s="136" t="s">
        <v>171</v>
      </c>
      <c r="C148" s="136" t="s">
        <v>549</v>
      </c>
      <c r="D148" s="285"/>
      <c r="E148" s="198" t="s">
        <v>15</v>
      </c>
      <c r="F148" s="225">
        <f>SUMIF(站前4樓!B:B,B148,站前4樓!F:F)</f>
        <v>0</v>
      </c>
      <c r="G148" s="225">
        <f>SUMIF(站前11樓!B:B,B148,站前11樓!F:F)</f>
        <v>0</v>
      </c>
      <c r="H148" s="225">
        <f>SUMIF(忠孝7樓!B:B,B148,忠孝7樓!G:G)</f>
        <v>0</v>
      </c>
      <c r="I148" s="225">
        <f>SUMIF(忠孝國際醫學3樓!B:B,B148,忠孝國際醫學3樓!G:G)</f>
        <v>0</v>
      </c>
      <c r="J148" s="225">
        <f>SUMIF(忠孝健康7樓!B:B,B148,忠孝健康7樓!G:G)</f>
        <v>0</v>
      </c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83"/>
      <c r="AB148" s="283"/>
      <c r="AC148" s="283"/>
      <c r="AD148" s="283"/>
      <c r="AE148" s="283"/>
      <c r="AF148" s="283"/>
      <c r="AG148" s="283"/>
      <c r="AH148" s="283"/>
      <c r="AI148" s="283"/>
      <c r="AJ148" s="201"/>
      <c r="AK148" s="201"/>
      <c r="AL148" s="201"/>
      <c r="AM148" s="201"/>
      <c r="AN148" s="292"/>
      <c r="AO148" s="334">
        <v>30</v>
      </c>
      <c r="AP148" s="201"/>
      <c r="AQ148" s="201">
        <v>20</v>
      </c>
      <c r="AR148" s="201">
        <v>10</v>
      </c>
      <c r="AS148" s="201">
        <v>15</v>
      </c>
      <c r="AT148" s="201">
        <v>20</v>
      </c>
      <c r="AU148" s="201">
        <v>60</v>
      </c>
      <c r="AV148" s="283">
        <f>SUM(AJ148:AU148)</f>
        <v>155</v>
      </c>
      <c r="AW148" s="286">
        <f>AV148/12</f>
        <v>12.916666666666666</v>
      </c>
      <c r="AX148" s="201">
        <v>65</v>
      </c>
      <c r="AY148" s="201">
        <v>24</v>
      </c>
      <c r="AZ148" s="347" t="s">
        <v>49</v>
      </c>
      <c r="BA148" s="347" t="s">
        <v>49</v>
      </c>
      <c r="BB148" s="347" t="s">
        <v>49</v>
      </c>
      <c r="BC148" s="203">
        <f>SUMIFS(領用表!$L:$L,領用表!$A:$A,BC$2,領用表!$E:$E,B148)</f>
        <v>0</v>
      </c>
      <c r="BD148" s="330">
        <f>SUMIFS(領用表!$L:$L,領用表!$E:$E,$B148,領用表!$B:$B,BC$2&amp;BD$2)</f>
        <v>0</v>
      </c>
      <c r="BE148" s="330">
        <f>SUMIFS(領用表!$L:$L,領用表!$E:$E,$B148,領用表!$B:$B,$BC$2&amp;BE$2)</f>
        <v>0</v>
      </c>
      <c r="BF148" s="330">
        <f>SUMIFS(領用表!$L:$L,領用表!$E:$E,$B148,領用表!$B:$B,$BC$2&amp;BF$2)</f>
        <v>0</v>
      </c>
      <c r="BG148" s="330">
        <f>SUMIFS(領用表!$L:$L,領用表!$E:$E,$B148,領用表!$B:$B,$BC$2&amp;BG$2)</f>
        <v>0</v>
      </c>
      <c r="BH148" s="203">
        <f>SUMIFS(領用表!$L:$L,領用表!$A:$A,BH$2,領用表!$E:$E,B148)</f>
        <v>0</v>
      </c>
      <c r="BI148" s="260">
        <f>SUMIFS(領用表!$L:$L,領用表!$E:$E,$B148,領用表!$B:$B,BH$2&amp;BI$2)</f>
        <v>0</v>
      </c>
      <c r="BJ148" s="260">
        <f>SUMIFS(領用表!$L:$L,領用表!$E:$E,$B148,領用表!$B:$B,$BH$2&amp;BJ$2)</f>
        <v>0</v>
      </c>
      <c r="BK148" s="260">
        <f>SUMIFS(領用表!$L:$L,領用表!$E:$E,$B148,領用表!$B:$B,$BH$2&amp;BK$2)</f>
        <v>0</v>
      </c>
      <c r="BL148" s="260">
        <f>SUMIFS(領用表!$L:$L,領用表!$E:$E,$B148,領用表!$B:$B,$BH$2&amp;BL$2)</f>
        <v>0</v>
      </c>
      <c r="BM148" s="203">
        <f>SUMIFS(領用表!$L:$L,領用表!$A:$A,BM$2,領用表!$E:$E,B148)</f>
        <v>0</v>
      </c>
      <c r="BN148" s="331">
        <f>SUMIFS(領用表!$L:$L,領用表!$E:$E,$B148,領用表!$B:$B,BM$2&amp;BN$2)</f>
        <v>0</v>
      </c>
      <c r="BO148" s="331">
        <f>SUMIFS(領用表!$L:$L,領用表!$E:$E,$B148,領用表!$B:$B,$BM$2&amp;BO$2)</f>
        <v>0</v>
      </c>
      <c r="BP148" s="288">
        <f>SUMIFS(領用表!$L:$L,領用表!$E:$E,$B148,領用表!$B:$B,$BM$2&amp;BP$2)</f>
        <v>0</v>
      </c>
      <c r="BQ148" s="287">
        <f>SUMIFS(領用表!$L:$L,領用表!$E:$E,$B148,領用表!$B:$B,$BM$2&amp;BQ$2)</f>
        <v>0</v>
      </c>
      <c r="BR148" s="203">
        <f>SUMIFS(領用表!$L:$L,領用表!$A:$A,BR$2,領用表!$E:$E,B148)</f>
        <v>0</v>
      </c>
      <c r="BS148" s="288">
        <f>SUMIFS(領用表!$L:$L,領用表!$E:$E,$B148,領用表!$B:$B,BR$2&amp;BS$2)</f>
        <v>0</v>
      </c>
      <c r="BT148" s="288">
        <f>SUMIFS(領用表!$L:$L,領用表!$E:$E,$B148,領用表!$B:$B,$BR$2&amp;BT$2)</f>
        <v>0</v>
      </c>
      <c r="BU148" s="288">
        <f>SUMIFS(領用表!$L:$L,領用表!$E:$E,$B148,領用表!$B:$B,$BR$2&amp;BU$2)</f>
        <v>0</v>
      </c>
      <c r="BV148" s="287">
        <f>SUMIFS(領用表!$L:$L,領用表!$E:$E,$B148,領用表!$B:$B,$BR$2&amp;BV$2)</f>
        <v>0</v>
      </c>
      <c r="BW148" s="208">
        <f>SUMIFS(領用表!$L:$L,領用表!$A:$A,BW$2,領用表!$E:$E,B148)</f>
        <v>0</v>
      </c>
      <c r="BX148" s="331">
        <f>SUMIFS(領用表!$L:$L,領用表!$E:$E,$B148,領用表!$B:$B,BW$2&amp;BX$2)</f>
        <v>0</v>
      </c>
      <c r="BY148" s="331">
        <f>SUMIFS(領用表!$L:$L,領用表!$E:$E,$B148,領用表!$B:$B,$BW$2&amp;BY$2)</f>
        <v>0</v>
      </c>
      <c r="BZ148" s="331">
        <f>SUMIFS(領用表!$L:$L,領用表!$E:$E,$B148,領用表!$B:$B,$BW$2&amp;BZ$2)</f>
        <v>0</v>
      </c>
      <c r="CA148" s="331">
        <f>SUMIFS(領用表!$L:$L,領用表!$E:$E,$B148,領用表!$B:$B,$BW$2&amp;CA$2)</f>
        <v>0</v>
      </c>
      <c r="CB148" s="208">
        <f>SUMIFS(領用表!$L:$L,領用表!$A:$A,CB$2,領用表!$E:$E,B148)</f>
        <v>0</v>
      </c>
      <c r="CC148" s="331">
        <f>SUMIFS(領用表!$L:$L,領用表!$E:$E,$B148,領用表!$B:$B,CB$2&amp;CC$2)</f>
        <v>0</v>
      </c>
      <c r="CD148" s="331">
        <f>SUMIFS(領用表!$L:$L,領用表!$E:$E,$B148,領用表!$B:$B,$CB$2&amp;CD$2)</f>
        <v>0</v>
      </c>
      <c r="CE148" s="331">
        <f>SUMIFS(領用表!$L:$L,領用表!$E:$E,$B148,領用表!$B:$B,$CB$2&amp;CE$2)</f>
        <v>0</v>
      </c>
      <c r="CF148" s="331">
        <f>SUMIFS(領用表!$L:$L,領用表!$E:$E,$B148,領用表!$B:$B,$CB$2&amp;CF$2)</f>
        <v>0</v>
      </c>
      <c r="CG148" s="332">
        <f>SUMIFS(領用表!$L:$L,領用表!$A:$A,CG$2,領用表!$E:$E,B148)</f>
        <v>0</v>
      </c>
      <c r="CH148" s="331">
        <f>SUMIFS(領用表!$L:$L,領用表!$E:$E,$B148,領用表!$B:$B,CG$2&amp;CH$2)</f>
        <v>0</v>
      </c>
      <c r="CI148" s="331">
        <f>SUMIFS(領用表!$L:$L,領用表!$E:$E,$B148,領用表!$B:$B,CG$2&amp;CI$2)</f>
        <v>0</v>
      </c>
      <c r="CJ148" s="331">
        <f>SUMIFS(領用表!$L:$L,領用表!$E:$E,$B148,領用表!$B:$B,CG$2&amp;CJ$2)</f>
        <v>0</v>
      </c>
      <c r="CK148" s="331">
        <f>SUMIFS(領用表!$L:$L,領用表!$E:$E,$B148,領用表!$B:$B,$CG$2&amp;CK$2)</f>
        <v>0</v>
      </c>
      <c r="CL148" s="207">
        <f t="shared" si="46"/>
        <v>89</v>
      </c>
      <c r="CM148" s="207">
        <f t="shared" si="47"/>
        <v>9.8888888888888893</v>
      </c>
      <c r="CN148" s="208">
        <f>SUMIFS(領用表!$L:$L,領用表!$A:$A,CN$2,領用表!$E:$E,B148)</f>
        <v>0</v>
      </c>
      <c r="CO148" s="206">
        <f>SUMIFS(領用表!$L:$L,領用表!$E:$E,$B148,領用表!$B:$B,CN$2&amp;CO$2)</f>
        <v>0</v>
      </c>
      <c r="CP148" s="206">
        <f>SUMIFS(領用表!$L:$L,領用表!$E:$E,$B148,領用表!$B:$B,$CN$2&amp;CP$2)</f>
        <v>0</v>
      </c>
      <c r="CQ148" s="206">
        <f>SUMIFS(領用表!$L:$L,領用表!$E:$E,$B148,領用表!$B:$B,$CN$2&amp;CQ$2)</f>
        <v>0</v>
      </c>
      <c r="CR148" s="331">
        <f>SUMIFS(領用表!$L:$L,領用表!$E:$E,$B148,領用表!$B:$B,$CN$2&amp;CR$2)</f>
        <v>0</v>
      </c>
      <c r="CS148" s="208">
        <f>SUMIFS(領用表!$L:$L,領用表!$A:$A,CS$2,領用表!$E:$E,B148)</f>
        <v>0</v>
      </c>
      <c r="CT148" s="206">
        <f>SUMIFS(領用表!$L:$L,領用表!$E:$E,$B148,領用表!$B:$B,CS$2&amp;CT$2)</f>
        <v>0</v>
      </c>
      <c r="CU148" s="206">
        <f>SUMIFS(領用表!$L:$L,領用表!$E:$E,$B148,領用表!$B:$B,$CS$2&amp;CU$2)</f>
        <v>0</v>
      </c>
      <c r="CV148" s="206">
        <f>SUMIFS(領用表!$L:$L,領用表!$E:$E,$B148,領用表!$B:$B,$CS$2&amp;CV$2)</f>
        <v>0</v>
      </c>
      <c r="CW148" s="206">
        <f>SUMIFS(領用表!$L:$L,領用表!$E:$E,$B148,領用表!$B:$B,$CS$2&amp;CW$2)</f>
        <v>0</v>
      </c>
      <c r="CX148" s="206">
        <f>SUMIFS(領用表!$L:$L,領用表!$E:$E,$B148,領用表!$B:$B,$CS$2&amp;CX$2)</f>
        <v>0</v>
      </c>
      <c r="CY148" s="208">
        <f>SUMIFS(領用表!$L:$L,領用表!$A:$A,CY$2,領用表!$E:$E,B148)</f>
        <v>0</v>
      </c>
      <c r="CZ148" s="331">
        <f>SUMIFS(領用表!$L:$L,領用表!$E:$E,$B148,領用表!$B:$B,CY$2&amp;CZ$2)</f>
        <v>0</v>
      </c>
      <c r="DA148" s="331">
        <f>SUMIFS(領用表!$L:$L,領用表!$E:$E,$B148,領用表!$B:$B,$CY$2&amp;DA$2)</f>
        <v>0</v>
      </c>
      <c r="DB148" s="331">
        <f>SUMIFS(領用表!$L:$L,領用表!$E:$E,$B148,領用表!$B:$B,$CY$2&amp;DB$2)</f>
        <v>0</v>
      </c>
      <c r="DC148" s="331">
        <f>SUMIFS(領用表!$L:$L,領用表!$E:$E,$B148,領用表!$B:$B,$CY$2&amp;DC$2)</f>
        <v>0</v>
      </c>
      <c r="DD148" s="331">
        <f>SUMIFS(領用表!$L:$L,領用表!$E:$E,$B148,領用表!$B:$B,$CY$2&amp;DD$2)</f>
        <v>0</v>
      </c>
      <c r="DE148" s="208">
        <f>SUMIFS(領用表!$L:$L,領用表!$A:$A,DE$2,領用表!$E:$E,B148)</f>
        <v>0</v>
      </c>
      <c r="DF148" s="331">
        <f>SUMIFS(領用表!$L:$L,領用表!$E:$E,$B148,領用表!$B:$B,DE$2&amp;DF$2)</f>
        <v>0</v>
      </c>
      <c r="DG148" s="331">
        <f>SUMIFS(領用表!$L:$L,領用表!$E:$E,$B148,領用表!$B:$B,$DE$2&amp;DG$2)</f>
        <v>0</v>
      </c>
      <c r="DH148" s="331">
        <f>SUMIFS(領用表!$L:$L,領用表!$E:$E,$B148,領用表!$B:$B,$DE$2&amp;DH$2)</f>
        <v>0</v>
      </c>
      <c r="DI148" s="331">
        <f>SUMIFS(領用表!$L:$L,領用表!$E:$E,$B148,領用表!$B:$B,$DE$2&amp;DI$2)</f>
        <v>0</v>
      </c>
      <c r="DJ148" s="331">
        <f>SUMIFS(領用表!$L:$L,領用表!$E:$E,$B148,領用表!$B:$B,$DE$2&amp;DJ$2)</f>
        <v>0</v>
      </c>
      <c r="DK148" s="208">
        <f>SUMIFS(領用表!$L:$L,領用表!$A:$A,DK$2,領用表!$E:$E,$B148)</f>
        <v>0</v>
      </c>
      <c r="DL148" s="331">
        <f>SUMIFS(領用表!$L:$L,領用表!$E:$E,$B148,領用表!$B:$B,DK$2&amp;DL$2)</f>
        <v>0</v>
      </c>
      <c r="DM148" s="331">
        <f>SUMIFS(領用表!$L:$L,領用表!$E:$E,$B148,領用表!$B:$B,$DK$2&amp;DM$2)</f>
        <v>0</v>
      </c>
      <c r="DN148" s="331">
        <f>SUMIFS(領用表!$L:$L,領用表!$E:$E,$B148,領用表!$B:$B,$DK$2&amp;DN$2)</f>
        <v>0</v>
      </c>
      <c r="DO148" s="331">
        <f>SUMIFS(領用表!$L:$L,領用表!$E:$E,$B148,領用表!$B:$B,$DK$2&amp;DO$2)</f>
        <v>0</v>
      </c>
      <c r="DP148" s="331">
        <f>SUMIFS(領用表!$L:$L,領用表!$E:$E,$B148,領用表!$B:$B,$DK$2&amp;DP$2)</f>
        <v>0</v>
      </c>
      <c r="DQ148" s="331">
        <f t="shared" si="49"/>
        <v>0</v>
      </c>
      <c r="DR148" s="331">
        <f t="shared" si="50"/>
        <v>0</v>
      </c>
      <c r="DS148" s="331">
        <f t="shared" si="48"/>
        <v>0</v>
      </c>
      <c r="DT148" s="331">
        <v>0</v>
      </c>
      <c r="DU148" s="331">
        <v>0</v>
      </c>
      <c r="DV148" s="331">
        <v>0</v>
      </c>
      <c r="DW148" s="331">
        <v>0</v>
      </c>
      <c r="DX148" s="258"/>
      <c r="DY148" s="283"/>
      <c r="DZ148" s="252"/>
      <c r="EA148" s="252"/>
      <c r="EB148" s="136"/>
      <c r="EC148" s="136"/>
      <c r="ED148" s="118">
        <f>IFERROR(VLOOKUP(A148,站前4樓!A:BF,57,0),0)</f>
        <v>0</v>
      </c>
      <c r="EE148" s="213">
        <f>IFERROR(VLOOKUP(A148,站前11樓!A:BE,57,0),0)</f>
        <v>0</v>
      </c>
      <c r="EF148" s="118">
        <f>IFERROR(VLOOKUP(A148,忠孝7樓!A:N,57,0),0)</f>
        <v>0</v>
      </c>
      <c r="EG148" s="118">
        <f>IFERROR(VLOOKUP(A148,忠孝國際醫學3樓!A:L,57,0),0)</f>
        <v>0</v>
      </c>
      <c r="EH148" s="118">
        <f t="shared" si="25"/>
        <v>0</v>
      </c>
    </row>
    <row r="149" spans="1:138" s="118" customFormat="1" ht="15.75" customHeight="1">
      <c r="A149" s="136" t="s">
        <v>172</v>
      </c>
      <c r="B149" s="118">
        <v>6050005</v>
      </c>
      <c r="C149" s="136" t="s">
        <v>550</v>
      </c>
      <c r="D149" s="285"/>
      <c r="E149" s="198" t="s">
        <v>15</v>
      </c>
      <c r="F149" s="225">
        <f>SUMIF(站前4樓!B:B,B149,站前4樓!F:F)</f>
        <v>0</v>
      </c>
      <c r="G149" s="225">
        <f>SUMIF(站前11樓!B:B,B149,站前11樓!F:F)</f>
        <v>0</v>
      </c>
      <c r="H149" s="225">
        <f>SUMIF(忠孝7樓!B:B,B149,忠孝7樓!G:G)</f>
        <v>0</v>
      </c>
      <c r="I149" s="225">
        <f>SUMIF(忠孝國際醫學3樓!B:B,B149,忠孝國際醫學3樓!G:G)</f>
        <v>0</v>
      </c>
      <c r="J149" s="408">
        <f>SUMIF(忠孝健康7樓!B:B,B149,忠孝健康7樓!G:G)</f>
        <v>0</v>
      </c>
      <c r="AJ149" s="348"/>
      <c r="AK149" s="348"/>
      <c r="AL149" s="348"/>
      <c r="AM149" s="348"/>
      <c r="AN149" s="348"/>
      <c r="AO149" s="348"/>
      <c r="AP149" s="348"/>
      <c r="AQ149" s="201">
        <v>0</v>
      </c>
      <c r="AR149" s="201">
        <v>0</v>
      </c>
      <c r="AS149" s="201">
        <v>0</v>
      </c>
      <c r="AT149" s="201">
        <v>0</v>
      </c>
      <c r="AU149" s="201">
        <v>0</v>
      </c>
      <c r="AV149" s="283">
        <f>SUM(AJ149:AU149)</f>
        <v>0</v>
      </c>
      <c r="AW149" s="286">
        <f>AV149/12</f>
        <v>0</v>
      </c>
      <c r="AX149" s="201">
        <v>0</v>
      </c>
      <c r="AY149" s="201">
        <v>72</v>
      </c>
      <c r="AZ149" s="201">
        <v>0</v>
      </c>
      <c r="BA149" s="283">
        <v>0</v>
      </c>
      <c r="BB149" s="283">
        <v>0</v>
      </c>
      <c r="BC149" s="203">
        <f>SUMIFS(領用表!$L:$L,領用表!$A:$A,BC$2,領用表!$E:$E,B149)</f>
        <v>0</v>
      </c>
      <c r="BD149" s="296">
        <f>SUMIFS(領用表!$L:$L,領用表!$E:$E,$B149,領用表!$B:$B,BC$2&amp;BD$2)</f>
        <v>0</v>
      </c>
      <c r="BE149" s="296">
        <f>SUMIFS(領用表!$L:$L,領用表!$E:$E,$B149,領用表!$B:$B,$BC$2&amp;BE$2)</f>
        <v>0</v>
      </c>
      <c r="BF149" s="296">
        <f>SUMIFS(領用表!$L:$L,領用表!$E:$E,$B149,領用表!$B:$B,$BC$2&amp;BF$2)</f>
        <v>0</v>
      </c>
      <c r="BG149" s="296">
        <f>SUMIFS(領用表!$L:$L,領用表!$E:$E,$B149,領用表!$B:$B,$BC$2&amp;BG$2)</f>
        <v>0</v>
      </c>
      <c r="BH149" s="203">
        <f>SUMIFS(領用表!$L:$L,領用表!$A:$A,BH$2,領用表!$E:$E,B149)</f>
        <v>0</v>
      </c>
      <c r="BI149" s="260">
        <f>SUMIFS(領用表!$L:$L,領用表!$E:$E,$B149,領用表!$B:$B,BH$2&amp;BI$2)</f>
        <v>0</v>
      </c>
      <c r="BJ149" s="260">
        <f>SUMIFS(領用表!$L:$L,領用表!$E:$E,$B149,領用表!$B:$B,$BH$2&amp;BJ$2)</f>
        <v>0</v>
      </c>
      <c r="BK149" s="260">
        <f>SUMIFS(領用表!$L:$L,領用表!$E:$E,$B149,領用表!$B:$B,$BH$2&amp;BK$2)</f>
        <v>0</v>
      </c>
      <c r="BL149" s="260">
        <f>SUMIFS(領用表!$L:$L,領用表!$E:$E,$B149,領用表!$B:$B,$BH$2&amp;BL$2)</f>
        <v>0</v>
      </c>
      <c r="BM149" s="203">
        <f>SUMIFS(領用表!$L:$L,領用表!$A:$A,BM$2,領用表!$E:$E,B149)</f>
        <v>0</v>
      </c>
      <c r="BN149" s="206">
        <f>SUMIFS(領用表!$L:$L,領用表!$E:$E,$B149,領用表!$B:$B,BM$2&amp;BN$2)</f>
        <v>0</v>
      </c>
      <c r="BO149" s="206">
        <f>SUMIFS(領用表!$L:$L,領用表!$E:$E,$B149,領用表!$B:$B,$BM$2&amp;BO$2)</f>
        <v>0</v>
      </c>
      <c r="BP149" s="288">
        <f>SUMIFS(領用表!$L:$L,領用表!$E:$E,$B149,領用表!$B:$B,$BM$2&amp;BP$2)</f>
        <v>0</v>
      </c>
      <c r="BQ149" s="287">
        <f>SUMIFS(領用表!$L:$L,領用表!$E:$E,$B149,領用表!$B:$B,$BM$2&amp;BQ$2)</f>
        <v>0</v>
      </c>
      <c r="BR149" s="203">
        <f>SUMIFS(領用表!$L:$L,領用表!$A:$A,BR$2,領用表!$E:$E,B149)</f>
        <v>0</v>
      </c>
      <c r="BS149" s="288">
        <f>SUMIFS(領用表!$L:$L,領用表!$E:$E,$B149,領用表!$B:$B,BR$2&amp;BS$2)</f>
        <v>0</v>
      </c>
      <c r="BT149" s="288">
        <f>SUMIFS(領用表!$L:$L,領用表!$E:$E,$B149,領用表!$B:$B,$BR$2&amp;BT$2)</f>
        <v>0</v>
      </c>
      <c r="BU149" s="288">
        <f>SUMIFS(領用表!$L:$L,領用表!$E:$E,$B149,領用表!$B:$B,$BR$2&amp;BU$2)</f>
        <v>0</v>
      </c>
      <c r="BV149" s="287">
        <f>SUMIFS(領用表!$L:$L,領用表!$E:$E,$B149,領用表!$B:$B,$BR$2&amp;BV$2)</f>
        <v>0</v>
      </c>
      <c r="BW149" s="208">
        <f>SUMIFS(領用表!$L:$L,領用表!$A:$A,BW$2,領用表!$E:$E,B149)</f>
        <v>0</v>
      </c>
      <c r="BX149" s="206">
        <f>SUMIFS(領用表!$L:$L,領用表!$E:$E,$B149,領用表!$B:$B,BW$2&amp;BX$2)</f>
        <v>0</v>
      </c>
      <c r="BY149" s="206">
        <f>SUMIFS(領用表!$L:$L,領用表!$E:$E,$B149,領用表!$B:$B,$BW$2&amp;BY$2)</f>
        <v>0</v>
      </c>
      <c r="BZ149" s="206">
        <f>SUMIFS(領用表!$L:$L,領用表!$E:$E,$B149,領用表!$B:$B,$BW$2&amp;BZ$2)</f>
        <v>0</v>
      </c>
      <c r="CA149" s="206">
        <f>SUMIFS(領用表!$L:$L,領用表!$E:$E,$B149,領用表!$B:$B,$BW$2&amp;CA$2)</f>
        <v>0</v>
      </c>
      <c r="CB149" s="208">
        <f>SUMIFS(領用表!$L:$L,領用表!$A:$A,CB$2,領用表!$E:$E,B149)</f>
        <v>0</v>
      </c>
      <c r="CC149" s="206">
        <f>SUMIFS(領用表!$L:$L,領用表!$E:$E,$B149,領用表!$B:$B,CB$2&amp;CC$2)</f>
        <v>0</v>
      </c>
      <c r="CD149" s="206">
        <f>SUMIFS(領用表!$L:$L,領用表!$E:$E,$B149,領用表!$B:$B,$CB$2&amp;CD$2)</f>
        <v>0</v>
      </c>
      <c r="CE149" s="206">
        <f>SUMIFS(領用表!$L:$L,領用表!$E:$E,$B149,領用表!$B:$B,$CB$2&amp;CE$2)</f>
        <v>0</v>
      </c>
      <c r="CF149" s="206">
        <f>SUMIFS(領用表!$L:$L,領用表!$E:$E,$B149,領用表!$B:$B,$CB$2&amp;CF$2)</f>
        <v>0</v>
      </c>
      <c r="CG149" s="208">
        <f>SUMIFS(領用表!$L:$L,領用表!$A:$A,CG$2,領用表!$E:$E,B149)</f>
        <v>0</v>
      </c>
      <c r="CH149" s="206">
        <f>SUMIFS(領用表!$L:$L,領用表!$E:$E,$B149,領用表!$B:$B,CG$2&amp;CH$2)</f>
        <v>0</v>
      </c>
      <c r="CI149" s="206">
        <f>SUMIFS(領用表!$L:$L,領用表!$E:$E,$B149,領用表!$B:$B,CG$2&amp;CI$2)</f>
        <v>0</v>
      </c>
      <c r="CJ149" s="206">
        <f>SUMIFS(領用表!$L:$L,領用表!$E:$E,$B149,領用表!$B:$B,CG$2&amp;CJ$2)</f>
        <v>0</v>
      </c>
      <c r="CK149" s="206">
        <f>SUMIFS(領用表!$L:$L,領用表!$E:$E,$B149,領用表!$B:$B,$CG$2&amp;CK$2)</f>
        <v>0</v>
      </c>
      <c r="CL149" s="207">
        <f t="shared" si="46"/>
        <v>72</v>
      </c>
      <c r="CM149" s="207">
        <f t="shared" si="47"/>
        <v>6</v>
      </c>
      <c r="CN149" s="208">
        <f>SUMIFS(領用表!$L:$L,領用表!$A:$A,CN$2,領用表!$E:$E,B149)</f>
        <v>0</v>
      </c>
      <c r="CO149" s="206">
        <f>SUMIFS(領用表!$L:$L,領用表!$E:$E,$B149,領用表!$B:$B,CN$2&amp;CO$2)</f>
        <v>0</v>
      </c>
      <c r="CP149" s="206">
        <f>SUMIFS(領用表!$L:$L,領用表!$E:$E,$B149,領用表!$B:$B,$CN$2&amp;CP$2)</f>
        <v>0</v>
      </c>
      <c r="CQ149" s="206">
        <f>SUMIFS(領用表!$L:$L,領用表!$E:$E,$B149,領用表!$B:$B,$CN$2&amp;CQ$2)</f>
        <v>0</v>
      </c>
      <c r="CR149" s="206">
        <f>SUMIFS(領用表!$L:$L,領用表!$E:$E,$B149,領用表!$B:$B,$CN$2&amp;CR$2)</f>
        <v>0</v>
      </c>
      <c r="CS149" s="208">
        <f>SUMIFS(領用表!$L:$L,領用表!$A:$A,CS$2,領用表!$E:$E,B149)</f>
        <v>0</v>
      </c>
      <c r="CT149" s="206">
        <f>SUMIFS(領用表!$L:$L,領用表!$E:$E,$B149,領用表!$B:$B,CS$2&amp;CT$2)</f>
        <v>0</v>
      </c>
      <c r="CU149" s="206">
        <f>SUMIFS(領用表!$L:$L,領用表!$E:$E,$B149,領用表!$B:$B,$CS$2&amp;CU$2)</f>
        <v>0</v>
      </c>
      <c r="CV149" s="206">
        <f>SUMIFS(領用表!$L:$L,領用表!$E:$E,$B149,領用表!$B:$B,$CS$2&amp;CV$2)</f>
        <v>0</v>
      </c>
      <c r="CW149" s="206">
        <f>SUMIFS(領用表!$L:$L,領用表!$E:$E,$B149,領用表!$B:$B,$CS$2&amp;CW$2)</f>
        <v>0</v>
      </c>
      <c r="CX149" s="206">
        <f>SUMIFS(領用表!$L:$L,領用表!$E:$E,$B149,領用表!$B:$B,$CS$2&amp;CX$2)</f>
        <v>0</v>
      </c>
      <c r="CY149" s="208">
        <f>SUMIFS(領用表!$L:$L,領用表!$A:$A,CY$2,領用表!$E:$E,B149)</f>
        <v>0</v>
      </c>
      <c r="CZ149" s="206">
        <f>SUMIFS(領用表!$L:$L,領用表!$E:$E,$B149,領用表!$B:$B,CY$2&amp;CZ$2)</f>
        <v>0</v>
      </c>
      <c r="DA149" s="206">
        <f>SUMIFS(領用表!$L:$L,領用表!$E:$E,$B149,領用表!$B:$B,$CY$2&amp;DA$2)</f>
        <v>0</v>
      </c>
      <c r="DB149" s="206">
        <f>SUMIFS(領用表!$L:$L,領用表!$E:$E,$B149,領用表!$B:$B,$CY$2&amp;DB$2)</f>
        <v>0</v>
      </c>
      <c r="DC149" s="206">
        <f>SUMIFS(領用表!$L:$L,領用表!$E:$E,$B149,領用表!$B:$B,$CY$2&amp;DC$2)</f>
        <v>0</v>
      </c>
      <c r="DD149" s="206">
        <f>SUMIFS(領用表!$L:$L,領用表!$E:$E,$B149,領用表!$B:$B,$CY$2&amp;DD$2)</f>
        <v>0</v>
      </c>
      <c r="DE149" s="208">
        <f>SUMIFS(領用表!$L:$L,領用表!$A:$A,DE$2,領用表!$E:$E,B149)</f>
        <v>0</v>
      </c>
      <c r="DF149" s="206">
        <f>SUMIFS(領用表!$L:$L,領用表!$E:$E,$B149,領用表!$B:$B,DE$2&amp;DF$2)</f>
        <v>0</v>
      </c>
      <c r="DG149" s="206">
        <f>SUMIFS(領用表!$L:$L,領用表!$E:$E,$B149,領用表!$B:$B,$DE$2&amp;DG$2)</f>
        <v>0</v>
      </c>
      <c r="DH149" s="206">
        <f>SUMIFS(領用表!$L:$L,領用表!$E:$E,$B149,領用表!$B:$B,$DE$2&amp;DH$2)</f>
        <v>0</v>
      </c>
      <c r="DI149" s="206">
        <f>SUMIFS(領用表!$L:$L,領用表!$E:$E,$B149,領用表!$B:$B,$DE$2&amp;DI$2)</f>
        <v>0</v>
      </c>
      <c r="DJ149" s="206">
        <f>SUMIFS(領用表!$L:$L,領用表!$E:$E,$B149,領用表!$B:$B,$DE$2&amp;DJ$2)</f>
        <v>0</v>
      </c>
      <c r="DK149" s="208">
        <f>SUMIFS(領用表!$L:$L,領用表!$A:$A,DK$2,領用表!$E:$E,$B149)</f>
        <v>0</v>
      </c>
      <c r="DL149" s="206">
        <f>SUMIFS(領用表!$L:$L,領用表!$E:$E,$B149,領用表!$B:$B,DK$2&amp;DL$2)</f>
        <v>0</v>
      </c>
      <c r="DM149" s="206">
        <f>SUMIFS(領用表!$L:$L,領用表!$E:$E,$B149,領用表!$B:$B,$DK$2&amp;DM$2)</f>
        <v>0</v>
      </c>
      <c r="DN149" s="206">
        <f>SUMIFS(領用表!$L:$L,領用表!$E:$E,$B149,領用表!$B:$B,$DK$2&amp;DN$2)</f>
        <v>0</v>
      </c>
      <c r="DO149" s="206">
        <f>SUMIFS(領用表!$L:$L,領用表!$E:$E,$B149,領用表!$B:$B,$DK$2&amp;DO$2)</f>
        <v>0</v>
      </c>
      <c r="DP149" s="206">
        <f>SUMIFS(領用表!$L:$L,領用表!$E:$E,$B149,領用表!$B:$B,$DK$2&amp;DP$2)</f>
        <v>0</v>
      </c>
      <c r="DQ149" s="206">
        <f t="shared" si="49"/>
        <v>0</v>
      </c>
      <c r="DR149" s="206">
        <f t="shared" si="50"/>
        <v>0</v>
      </c>
      <c r="DS149" s="206">
        <f t="shared" si="48"/>
        <v>0</v>
      </c>
      <c r="DT149" s="206">
        <v>0</v>
      </c>
      <c r="DU149" s="206">
        <v>0</v>
      </c>
      <c r="DV149" s="206">
        <v>0</v>
      </c>
      <c r="DW149" s="206">
        <v>0</v>
      </c>
      <c r="DX149" s="258"/>
      <c r="DY149" s="283"/>
      <c r="DZ149" s="252"/>
      <c r="EA149" s="252"/>
      <c r="ED149" s="118">
        <f>IFERROR(VLOOKUP(A149,站前4樓!A:BF,57,0),0)</f>
        <v>0</v>
      </c>
      <c r="EE149" s="213">
        <f>IFERROR(VLOOKUP(A149,站前11樓!A:BE,57,0),0)</f>
        <v>0</v>
      </c>
      <c r="EF149" s="118">
        <f>IFERROR(VLOOKUP(A149,忠孝7樓!A:N,57,0),0)</f>
        <v>0</v>
      </c>
      <c r="EG149" s="118">
        <f>IFERROR(VLOOKUP(A149,忠孝國際醫學3樓!A:L,57,0),0)</f>
        <v>0</v>
      </c>
      <c r="EH149" s="118">
        <f t="shared" ref="EH149:EH195" si="51">SUM(ED149:EG149)</f>
        <v>0</v>
      </c>
    </row>
    <row r="150" spans="1:138" s="118" customFormat="1" ht="15.75" customHeight="1">
      <c r="A150" s="136" t="s">
        <v>173</v>
      </c>
      <c r="B150" s="118">
        <v>1080002</v>
      </c>
      <c r="C150" s="136" t="s">
        <v>551</v>
      </c>
      <c r="D150" s="285"/>
      <c r="E150" s="198" t="s">
        <v>15</v>
      </c>
      <c r="F150" s="225">
        <f>SUMIF(站前4樓!B:B,B150,站前4樓!F:F)</f>
        <v>0</v>
      </c>
      <c r="G150" s="225">
        <f>SUMIF(站前11樓!B:B,B150,站前11樓!F:F)</f>
        <v>0</v>
      </c>
      <c r="H150" s="225">
        <f>SUMIF(忠孝7樓!B:B,B150,忠孝7樓!G:G)</f>
        <v>0</v>
      </c>
      <c r="I150" s="225">
        <f>SUMIF(忠孝國際醫學3樓!B:B,B150,忠孝國際醫學3樓!G:G)</f>
        <v>0</v>
      </c>
      <c r="J150" s="225">
        <f>SUMIF(忠孝健康7樓!B:B,B150,忠孝健康7樓!G:G)</f>
        <v>0</v>
      </c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83"/>
      <c r="AB150" s="283"/>
      <c r="AC150" s="283"/>
      <c r="AD150" s="283"/>
      <c r="AE150" s="283"/>
      <c r="AF150" s="283"/>
      <c r="AG150" s="283"/>
      <c r="AH150" s="283"/>
      <c r="AI150" s="283"/>
      <c r="AJ150" s="201"/>
      <c r="AK150" s="201"/>
      <c r="AL150" s="201"/>
      <c r="AM150" s="201"/>
      <c r="AN150" s="201"/>
      <c r="AO150" s="201"/>
      <c r="AP150" s="201"/>
      <c r="AQ150" s="201">
        <v>800</v>
      </c>
      <c r="AR150" s="201">
        <v>800</v>
      </c>
      <c r="AS150" s="201">
        <v>800</v>
      </c>
      <c r="AT150" s="201">
        <v>3200</v>
      </c>
      <c r="AU150" s="201">
        <v>4800</v>
      </c>
      <c r="AV150" s="283">
        <f>SUM(AJ150:AU150)</f>
        <v>10400</v>
      </c>
      <c r="AW150" s="286">
        <f>AV150/12</f>
        <v>866.66666666666663</v>
      </c>
      <c r="AX150" s="201">
        <v>4649</v>
      </c>
      <c r="AY150" s="201">
        <v>2263</v>
      </c>
      <c r="AZ150" s="201">
        <v>3200</v>
      </c>
      <c r="BA150" s="201">
        <v>3777</v>
      </c>
      <c r="BB150" s="201">
        <v>0</v>
      </c>
      <c r="BC150" s="203">
        <f>SUMIFS(領用表!$L:$L,領用表!$A:$A,BC$2,領用表!$E:$E,B150)</f>
        <v>0</v>
      </c>
      <c r="BD150" s="296">
        <f>SUMIFS(領用表!$L:$L,領用表!$E:$E,$B150,領用表!$B:$B,BC$2&amp;BD$2)</f>
        <v>0</v>
      </c>
      <c r="BE150" s="296">
        <f>SUMIFS(領用表!$L:$L,領用表!$E:$E,$B150,領用表!$B:$B,$BC$2&amp;BE$2)</f>
        <v>0</v>
      </c>
      <c r="BF150" s="296">
        <f>SUMIFS(領用表!$L:$L,領用表!$E:$E,$B150,領用表!$B:$B,$BC$2&amp;BF$2)</f>
        <v>0</v>
      </c>
      <c r="BG150" s="296">
        <f>SUMIFS(領用表!$L:$L,領用表!$E:$E,$B150,領用表!$B:$B,$BC$2&amp;BG$2)</f>
        <v>0</v>
      </c>
      <c r="BH150" s="203">
        <f>SUMIFS(領用表!$L:$L,領用表!$A:$A,BH$2,領用表!$E:$E,B150)</f>
        <v>0</v>
      </c>
      <c r="BI150" s="260">
        <f>SUMIFS(領用表!$L:$L,領用表!$E:$E,$B150,領用表!$B:$B,BH$2&amp;BI$2)</f>
        <v>0</v>
      </c>
      <c r="BJ150" s="260">
        <f>SUMIFS(領用表!$L:$L,領用表!$E:$E,$B150,領用表!$B:$B,$BH$2&amp;BJ$2)</f>
        <v>0</v>
      </c>
      <c r="BK150" s="260">
        <f>SUMIFS(領用表!$L:$L,領用表!$E:$E,$B150,領用表!$B:$B,$BH$2&amp;BK$2)</f>
        <v>0</v>
      </c>
      <c r="BL150" s="260">
        <f>SUMIFS(領用表!$L:$L,領用表!$E:$E,$B150,領用表!$B:$B,$BH$2&amp;BL$2)</f>
        <v>0</v>
      </c>
      <c r="BM150" s="203">
        <f>SUMIFS(領用表!$L:$L,領用表!$A:$A,BM$2,領用表!$E:$E,B150)</f>
        <v>0</v>
      </c>
      <c r="BN150" s="206">
        <f>SUMIFS(領用表!$L:$L,領用表!$E:$E,$B150,領用表!$B:$B,BM$2&amp;BN$2)</f>
        <v>0</v>
      </c>
      <c r="BO150" s="206">
        <f>SUMIFS(領用表!$L:$L,領用表!$E:$E,$B150,領用表!$B:$B,$BM$2&amp;BO$2)</f>
        <v>0</v>
      </c>
      <c r="BP150" s="288">
        <f>SUMIFS(領用表!$L:$L,領用表!$E:$E,$B150,領用表!$B:$B,$BM$2&amp;BP$2)</f>
        <v>0</v>
      </c>
      <c r="BQ150" s="287">
        <f>SUMIFS(領用表!$L:$L,領用表!$E:$E,$B150,領用表!$B:$B,$BM$2&amp;BQ$2)</f>
        <v>0</v>
      </c>
      <c r="BR150" s="203">
        <f>SUMIFS(領用表!$L:$L,領用表!$A:$A,BR$2,領用表!$E:$E,B150)</f>
        <v>0</v>
      </c>
      <c r="BS150" s="288">
        <f>SUMIFS(領用表!$L:$L,領用表!$E:$E,$B150,領用表!$B:$B,BR$2&amp;BS$2)</f>
        <v>0</v>
      </c>
      <c r="BT150" s="288">
        <f>SUMIFS(領用表!$L:$L,領用表!$E:$E,$B150,領用表!$B:$B,$BR$2&amp;BT$2)</f>
        <v>0</v>
      </c>
      <c r="BU150" s="288">
        <f>SUMIFS(領用表!$L:$L,領用表!$E:$E,$B150,領用表!$B:$B,$BR$2&amp;BU$2)</f>
        <v>0</v>
      </c>
      <c r="BV150" s="287">
        <f>SUMIFS(領用表!$L:$L,領用表!$E:$E,$B150,領用表!$B:$B,$BR$2&amp;BV$2)</f>
        <v>0</v>
      </c>
      <c r="BW150" s="208">
        <f>SUMIFS(領用表!$L:$L,領用表!$A:$A,BW$2,領用表!$E:$E,B150)</f>
        <v>0</v>
      </c>
      <c r="BX150" s="296">
        <f>SUMIFS(領用表!$L:$L,領用表!$E:$E,$B150,領用表!$B:$B,BW$2&amp;BX$2)</f>
        <v>0</v>
      </c>
      <c r="BY150" s="296">
        <f>SUMIFS(領用表!$L:$L,領用表!$E:$E,$B150,領用表!$B:$B,$BW$2&amp;BY$2)</f>
        <v>0</v>
      </c>
      <c r="BZ150" s="296">
        <f>SUMIFS(領用表!$L:$L,領用表!$E:$E,$B150,領用表!$B:$B,$BW$2&amp;BZ$2)</f>
        <v>0</v>
      </c>
      <c r="CA150" s="296">
        <f>SUMIFS(領用表!$L:$L,領用表!$E:$E,$B150,領用表!$B:$B,$BW$2&amp;CA$2)</f>
        <v>0</v>
      </c>
      <c r="CB150" s="208">
        <f>SUMIFS(領用表!$L:$L,領用表!$A:$A,CB$2,領用表!$E:$E,B150)</f>
        <v>0</v>
      </c>
      <c r="CC150" s="296">
        <f>SUMIFS(領用表!$L:$L,領用表!$E:$E,$B150,領用表!$B:$B,CB$2&amp;CC$2)</f>
        <v>0</v>
      </c>
      <c r="CD150" s="296">
        <f>SUMIFS(領用表!$L:$L,領用表!$E:$E,$B150,領用表!$B:$B,$CB$2&amp;CD$2)</f>
        <v>0</v>
      </c>
      <c r="CE150" s="296">
        <f>SUMIFS(領用表!$L:$L,領用表!$E:$E,$B150,領用表!$B:$B,$CB$2&amp;CE$2)</f>
        <v>0</v>
      </c>
      <c r="CF150" s="296">
        <f>SUMIFS(領用表!$L:$L,領用表!$E:$E,$B150,領用表!$B:$B,$CB$2&amp;CF$2)</f>
        <v>0</v>
      </c>
      <c r="CG150" s="335">
        <f>SUMIFS(領用表!$L:$L,領用表!$A:$A,CG$2,領用表!$E:$E,B150)</f>
        <v>0</v>
      </c>
      <c r="CH150" s="296">
        <f>SUMIFS(領用表!$L:$L,領用表!$E:$E,$B150,領用表!$B:$B,CG$2&amp;CH$2)</f>
        <v>0</v>
      </c>
      <c r="CI150" s="296">
        <f>SUMIFS(領用表!$L:$L,領用表!$E:$E,$B150,領用表!$B:$B,CG$2&amp;CI$2)</f>
        <v>0</v>
      </c>
      <c r="CJ150" s="296">
        <f>SUMIFS(領用表!$L:$L,領用表!$E:$E,$B150,領用表!$B:$B,CG$2&amp;CJ$2)</f>
        <v>0</v>
      </c>
      <c r="CK150" s="296">
        <f>SUMIFS(領用表!$L:$L,領用表!$E:$E,$B150,領用表!$B:$B,$CG$2&amp;CK$2)</f>
        <v>0</v>
      </c>
      <c r="CL150" s="207">
        <f t="shared" si="46"/>
        <v>13889</v>
      </c>
      <c r="CM150" s="207">
        <f t="shared" si="47"/>
        <v>1157.4166666666667</v>
      </c>
      <c r="CN150" s="208">
        <f>SUMIFS(領用表!$L:$L,領用表!$A:$A,CN$2,領用表!$E:$E,B150)</f>
        <v>0</v>
      </c>
      <c r="CO150" s="206">
        <f>SUMIFS(領用表!$L:$L,領用表!$E:$E,$B150,領用表!$B:$B,CN$2&amp;CO$2)</f>
        <v>0</v>
      </c>
      <c r="CP150" s="206">
        <f>SUMIFS(領用表!$L:$L,領用表!$E:$E,$B150,領用表!$B:$B,$CN$2&amp;CP$2)</f>
        <v>0</v>
      </c>
      <c r="CQ150" s="206">
        <f>SUMIFS(領用表!$L:$L,領用表!$E:$E,$B150,領用表!$B:$B,$CN$2&amp;CQ$2)</f>
        <v>0</v>
      </c>
      <c r="CR150" s="296">
        <f>SUMIFS(領用表!$L:$L,領用表!$E:$E,$B150,領用表!$B:$B,$CN$2&amp;CR$2)</f>
        <v>0</v>
      </c>
      <c r="CS150" s="208">
        <f>SUMIFS(領用表!$L:$L,領用表!$A:$A,CS$2,領用表!$E:$E,B150)</f>
        <v>0</v>
      </c>
      <c r="CT150" s="206">
        <f>SUMIFS(領用表!$L:$L,領用表!$E:$E,$B150,領用表!$B:$B,CS$2&amp;CT$2)</f>
        <v>0</v>
      </c>
      <c r="CU150" s="206">
        <f>SUMIFS(領用表!$L:$L,領用表!$E:$E,$B150,領用表!$B:$B,$CS$2&amp;CU$2)</f>
        <v>0</v>
      </c>
      <c r="CV150" s="206">
        <f>SUMIFS(領用表!$L:$L,領用表!$E:$E,$B150,領用表!$B:$B,$CS$2&amp;CV$2)</f>
        <v>0</v>
      </c>
      <c r="CW150" s="206">
        <f>SUMIFS(領用表!$L:$L,領用表!$E:$E,$B150,領用表!$B:$B,$CS$2&amp;CW$2)</f>
        <v>0</v>
      </c>
      <c r="CX150" s="206">
        <f>SUMIFS(領用表!$L:$L,領用表!$E:$E,$B150,領用表!$B:$B,$CS$2&amp;CX$2)</f>
        <v>0</v>
      </c>
      <c r="CY150" s="208">
        <f>SUMIFS(領用表!$L:$L,領用表!$A:$A,CY$2,領用表!$E:$E,B150)</f>
        <v>0</v>
      </c>
      <c r="CZ150" s="296">
        <f>SUMIFS(領用表!$L:$L,領用表!$E:$E,$B150,領用表!$B:$B,CY$2&amp;CZ$2)</f>
        <v>0</v>
      </c>
      <c r="DA150" s="296">
        <f>SUMIFS(領用表!$L:$L,領用表!$E:$E,$B150,領用表!$B:$B,$CY$2&amp;DA$2)</f>
        <v>0</v>
      </c>
      <c r="DB150" s="296">
        <f>SUMIFS(領用表!$L:$L,領用表!$E:$E,$B150,領用表!$B:$B,$CY$2&amp;DB$2)</f>
        <v>0</v>
      </c>
      <c r="DC150" s="296">
        <f>SUMIFS(領用表!$L:$L,領用表!$E:$E,$B150,領用表!$B:$B,$CY$2&amp;DC$2)</f>
        <v>0</v>
      </c>
      <c r="DD150" s="296">
        <f>SUMIFS(領用表!$L:$L,領用表!$E:$E,$B150,領用表!$B:$B,$CY$2&amp;DD$2)</f>
        <v>0</v>
      </c>
      <c r="DE150" s="208">
        <f>SUMIFS(領用表!$L:$L,領用表!$A:$A,DE$2,領用表!$E:$E,B150)</f>
        <v>0</v>
      </c>
      <c r="DF150" s="296">
        <f>SUMIFS(領用表!$L:$L,領用表!$E:$E,$B150,領用表!$B:$B,DE$2&amp;DF$2)</f>
        <v>0</v>
      </c>
      <c r="DG150" s="296">
        <f>SUMIFS(領用表!$L:$L,領用表!$E:$E,$B150,領用表!$B:$B,$DE$2&amp;DG$2)</f>
        <v>0</v>
      </c>
      <c r="DH150" s="296">
        <f>SUMIFS(領用表!$L:$L,領用表!$E:$E,$B150,領用表!$B:$B,$DE$2&amp;DH$2)</f>
        <v>0</v>
      </c>
      <c r="DI150" s="296">
        <f>SUMIFS(領用表!$L:$L,領用表!$E:$E,$B150,領用表!$B:$B,$DE$2&amp;DI$2)</f>
        <v>0</v>
      </c>
      <c r="DJ150" s="296">
        <f>SUMIFS(領用表!$L:$L,領用表!$E:$E,$B150,領用表!$B:$B,$DE$2&amp;DJ$2)</f>
        <v>0</v>
      </c>
      <c r="DK150" s="208">
        <f>SUMIFS(領用表!$L:$L,領用表!$A:$A,DK$2,領用表!$E:$E,$B150)</f>
        <v>0</v>
      </c>
      <c r="DL150" s="296">
        <f>SUMIFS(領用表!$L:$L,領用表!$E:$E,$B150,領用表!$B:$B,DK$2&amp;DL$2)</f>
        <v>0</v>
      </c>
      <c r="DM150" s="296">
        <f>SUMIFS(領用表!$L:$L,領用表!$E:$E,$B150,領用表!$B:$B,$DK$2&amp;DM$2)</f>
        <v>0</v>
      </c>
      <c r="DN150" s="296">
        <f>SUMIFS(領用表!$L:$L,領用表!$E:$E,$B150,領用表!$B:$B,$DK$2&amp;DN$2)</f>
        <v>0</v>
      </c>
      <c r="DO150" s="296">
        <f>SUMIFS(領用表!$L:$L,領用表!$E:$E,$B150,領用表!$B:$B,$DK$2&amp;DO$2)</f>
        <v>0</v>
      </c>
      <c r="DP150" s="296">
        <f>SUMIFS(領用表!$L:$L,領用表!$E:$E,$B150,領用表!$B:$B,$DK$2&amp;DP$2)</f>
        <v>0</v>
      </c>
      <c r="DQ150" s="296">
        <f t="shared" si="49"/>
        <v>0</v>
      </c>
      <c r="DR150" s="296">
        <f t="shared" si="50"/>
        <v>0</v>
      </c>
      <c r="DS150" s="296">
        <f t="shared" si="48"/>
        <v>0</v>
      </c>
      <c r="DT150" s="296">
        <v>0</v>
      </c>
      <c r="DU150" s="296">
        <v>0</v>
      </c>
      <c r="DV150" s="296">
        <v>0</v>
      </c>
      <c r="DW150" s="296">
        <v>0</v>
      </c>
      <c r="DX150" s="258"/>
      <c r="DY150" s="283"/>
      <c r="DZ150" s="252"/>
      <c r="EA150" s="252"/>
      <c r="EB150" s="136"/>
      <c r="EC150" s="136"/>
      <c r="ED150" s="118">
        <f>IFERROR(VLOOKUP(A150,站前4樓!A:BF,57,0),0)</f>
        <v>0</v>
      </c>
      <c r="EE150" s="213">
        <f>IFERROR(VLOOKUP(A150,站前11樓!A:BE,57,0),0)</f>
        <v>0</v>
      </c>
      <c r="EF150" s="118">
        <f>IFERROR(VLOOKUP(A150,忠孝7樓!A:N,57,0),0)</f>
        <v>0</v>
      </c>
      <c r="EG150" s="118">
        <f>IFERROR(VLOOKUP(A150,忠孝國際醫學3樓!A:L,57,0),0)</f>
        <v>0</v>
      </c>
      <c r="EH150" s="118">
        <f t="shared" si="51"/>
        <v>0</v>
      </c>
    </row>
    <row r="151" spans="1:138" s="118" customFormat="1" ht="15.75" customHeight="1">
      <c r="A151" s="136" t="s">
        <v>174</v>
      </c>
      <c r="B151" s="118">
        <v>1080006</v>
      </c>
      <c r="C151" s="136" t="s">
        <v>552</v>
      </c>
      <c r="D151" s="285"/>
      <c r="E151" s="198" t="s">
        <v>15</v>
      </c>
      <c r="F151" s="225">
        <f>SUMIF(站前4樓!B:B,B151,站前4樓!F:F)</f>
        <v>0</v>
      </c>
      <c r="G151" s="225">
        <f>SUMIF(站前11樓!B:B,B151,站前11樓!F:F)</f>
        <v>0</v>
      </c>
      <c r="H151" s="225">
        <f>SUMIF(忠孝7樓!B:B,B151,忠孝7樓!G:G)</f>
        <v>0</v>
      </c>
      <c r="I151" s="225">
        <f>SUMIF(忠孝國際醫學3樓!B:B,B151,忠孝國際醫學3樓!G:G)</f>
        <v>0</v>
      </c>
      <c r="J151" s="408">
        <f>SUMIF(忠孝健康7樓!B:B,B151,忠孝健康7樓!G:G)</f>
        <v>0</v>
      </c>
      <c r="AJ151" s="348"/>
      <c r="AK151" s="348"/>
      <c r="AL151" s="348"/>
      <c r="AM151" s="348"/>
      <c r="AN151" s="348"/>
      <c r="AO151" s="348"/>
      <c r="AP151" s="348"/>
      <c r="AQ151" s="201">
        <v>0</v>
      </c>
      <c r="AR151" s="201">
        <v>0</v>
      </c>
      <c r="AS151" s="201">
        <v>0</v>
      </c>
      <c r="AT151" s="201">
        <v>50</v>
      </c>
      <c r="AU151" s="201">
        <v>0</v>
      </c>
      <c r="AV151" s="283">
        <f>SUM(AJ151:AU151)</f>
        <v>50</v>
      </c>
      <c r="AW151" s="286">
        <f>AV151/12</f>
        <v>4.166666666666667</v>
      </c>
      <c r="AX151" s="201">
        <v>0</v>
      </c>
      <c r="AY151" s="201">
        <v>4620</v>
      </c>
      <c r="AZ151" s="201">
        <v>0</v>
      </c>
      <c r="BA151" s="201">
        <v>0</v>
      </c>
      <c r="BB151" s="201">
        <v>6400</v>
      </c>
      <c r="BC151" s="203">
        <f>SUMIFS(領用表!$L:$L,領用表!$A:$A,BC$2,領用表!$E:$E,B151)</f>
        <v>0</v>
      </c>
      <c r="BD151" s="296">
        <f>SUMIFS(領用表!$L:$L,領用表!$E:$E,$B151,領用表!$B:$B,BC$2&amp;BD$2)</f>
        <v>0</v>
      </c>
      <c r="BE151" s="296">
        <f>SUMIFS(領用表!$L:$L,領用表!$E:$E,$B151,領用表!$B:$B,$BC$2&amp;BE$2)</f>
        <v>0</v>
      </c>
      <c r="BF151" s="296">
        <f>SUMIFS(領用表!$L:$L,領用表!$E:$E,$B151,領用表!$B:$B,$BC$2&amp;BF$2)</f>
        <v>0</v>
      </c>
      <c r="BG151" s="296">
        <f>SUMIFS(領用表!$L:$L,領用表!$E:$E,$B151,領用表!$B:$B,$BC$2&amp;BG$2)</f>
        <v>0</v>
      </c>
      <c r="BH151" s="203">
        <f>SUMIFS(領用表!$L:$L,領用表!$A:$A,BH$2,領用表!$E:$E,B151)</f>
        <v>0</v>
      </c>
      <c r="BI151" s="260">
        <f>SUMIFS(領用表!$L:$L,領用表!$E:$E,$B151,領用表!$B:$B,BH$2&amp;BI$2)</f>
        <v>0</v>
      </c>
      <c r="BJ151" s="260">
        <f>SUMIFS(領用表!$L:$L,領用表!$E:$E,$B151,領用表!$B:$B,$BH$2&amp;BJ$2)</f>
        <v>0</v>
      </c>
      <c r="BK151" s="260">
        <f>SUMIFS(領用表!$L:$L,領用表!$E:$E,$B151,領用表!$B:$B,$BH$2&amp;BK$2)</f>
        <v>0</v>
      </c>
      <c r="BL151" s="260">
        <f>SUMIFS(領用表!$L:$L,領用表!$E:$E,$B151,領用表!$B:$B,$BH$2&amp;BL$2)</f>
        <v>0</v>
      </c>
      <c r="BM151" s="203">
        <f>SUMIFS(領用表!$L:$L,領用表!$A:$A,BM$2,領用表!$E:$E,B151)</f>
        <v>0</v>
      </c>
      <c r="BN151" s="206">
        <f>SUMIFS(領用表!$L:$L,領用表!$E:$E,$B151,領用表!$B:$B,BM$2&amp;BN$2)</f>
        <v>0</v>
      </c>
      <c r="BO151" s="206">
        <f>SUMIFS(領用表!$L:$L,領用表!$E:$E,$B151,領用表!$B:$B,$BM$2&amp;BO$2)</f>
        <v>0</v>
      </c>
      <c r="BP151" s="288">
        <f>SUMIFS(領用表!$L:$L,領用表!$E:$E,$B151,領用表!$B:$B,$BM$2&amp;BP$2)</f>
        <v>0</v>
      </c>
      <c r="BQ151" s="287">
        <f>SUMIFS(領用表!$L:$L,領用表!$E:$E,$B151,領用表!$B:$B,$BM$2&amp;BQ$2)</f>
        <v>0</v>
      </c>
      <c r="BR151" s="203">
        <f>SUMIFS(領用表!$L:$L,領用表!$A:$A,BR$2,領用表!$E:$E,B151)</f>
        <v>0</v>
      </c>
      <c r="BS151" s="288">
        <f>SUMIFS(領用表!$L:$L,領用表!$E:$E,$B151,領用表!$B:$B,BR$2&amp;BS$2)</f>
        <v>0</v>
      </c>
      <c r="BT151" s="288">
        <f>SUMIFS(領用表!$L:$L,領用表!$E:$E,$B151,領用表!$B:$B,$BR$2&amp;BT$2)</f>
        <v>0</v>
      </c>
      <c r="BU151" s="288">
        <f>SUMIFS(領用表!$L:$L,領用表!$E:$E,$B151,領用表!$B:$B,$BR$2&amp;BU$2)</f>
        <v>0</v>
      </c>
      <c r="BV151" s="287">
        <f>SUMIFS(領用表!$L:$L,領用表!$E:$E,$B151,領用表!$B:$B,$BR$2&amp;BV$2)</f>
        <v>0</v>
      </c>
      <c r="BW151" s="208">
        <f>SUMIFS(領用表!$L:$L,領用表!$A:$A,BW$2,領用表!$E:$E,B151)</f>
        <v>0</v>
      </c>
      <c r="BX151" s="296">
        <f>SUMIFS(領用表!$L:$L,領用表!$E:$E,$B151,領用表!$B:$B,BW$2&amp;BX$2)</f>
        <v>0</v>
      </c>
      <c r="BY151" s="296">
        <f>SUMIFS(領用表!$L:$L,領用表!$E:$E,$B151,領用表!$B:$B,$BW$2&amp;BY$2)</f>
        <v>0</v>
      </c>
      <c r="BZ151" s="296">
        <f>SUMIFS(領用表!$L:$L,領用表!$E:$E,$B151,領用表!$B:$B,$BW$2&amp;BZ$2)</f>
        <v>0</v>
      </c>
      <c r="CA151" s="296">
        <f>SUMIFS(領用表!$L:$L,領用表!$E:$E,$B151,領用表!$B:$B,$BW$2&amp;CA$2)</f>
        <v>0</v>
      </c>
      <c r="CB151" s="208">
        <f>SUMIFS(領用表!$L:$L,領用表!$A:$A,CB$2,領用表!$E:$E,B151)</f>
        <v>0</v>
      </c>
      <c r="CC151" s="296">
        <f>SUMIFS(領用表!$L:$L,領用表!$E:$E,$B151,領用表!$B:$B,CB$2&amp;CC$2)</f>
        <v>0</v>
      </c>
      <c r="CD151" s="296">
        <f>SUMIFS(領用表!$L:$L,領用表!$E:$E,$B151,領用表!$B:$B,$CB$2&amp;CD$2)</f>
        <v>0</v>
      </c>
      <c r="CE151" s="296">
        <f>SUMIFS(領用表!$L:$L,領用表!$E:$E,$B151,領用表!$B:$B,$CB$2&amp;CE$2)</f>
        <v>0</v>
      </c>
      <c r="CF151" s="296">
        <f>SUMIFS(領用表!$L:$L,領用表!$E:$E,$B151,領用表!$B:$B,$CB$2&amp;CF$2)</f>
        <v>0</v>
      </c>
      <c r="CG151" s="335">
        <f>SUMIFS(領用表!$L:$L,領用表!$A:$A,CG$2,領用表!$E:$E,B151)</f>
        <v>0</v>
      </c>
      <c r="CH151" s="296">
        <f>SUMIFS(領用表!$L:$L,領用表!$E:$E,$B151,領用表!$B:$B,CG$2&amp;CH$2)</f>
        <v>0</v>
      </c>
      <c r="CI151" s="296">
        <f>SUMIFS(領用表!$L:$L,領用表!$E:$E,$B151,領用表!$B:$B,CG$2&amp;CI$2)</f>
        <v>0</v>
      </c>
      <c r="CJ151" s="296">
        <f>SUMIFS(領用表!$L:$L,領用表!$E:$E,$B151,領用表!$B:$B,CG$2&amp;CJ$2)</f>
        <v>0</v>
      </c>
      <c r="CK151" s="296">
        <f>SUMIFS(領用表!$L:$L,領用表!$E:$E,$B151,領用表!$B:$B,$CG$2&amp;CK$2)</f>
        <v>0</v>
      </c>
      <c r="CL151" s="207">
        <f t="shared" si="46"/>
        <v>11020</v>
      </c>
      <c r="CM151" s="207">
        <f t="shared" si="47"/>
        <v>918.33333333333337</v>
      </c>
      <c r="CN151" s="208">
        <f>SUMIFS(領用表!$L:$L,領用表!$A:$A,CN$2,領用表!$E:$E,B151)</f>
        <v>0</v>
      </c>
      <c r="CO151" s="206">
        <f>SUMIFS(領用表!$L:$L,領用表!$E:$E,$B151,領用表!$B:$B,CN$2&amp;CO$2)</f>
        <v>0</v>
      </c>
      <c r="CP151" s="206">
        <f>SUMIFS(領用表!$L:$L,領用表!$E:$E,$B151,領用表!$B:$B,$CN$2&amp;CP$2)</f>
        <v>0</v>
      </c>
      <c r="CQ151" s="206">
        <f>SUMIFS(領用表!$L:$L,領用表!$E:$E,$B151,領用表!$B:$B,$CN$2&amp;CQ$2)</f>
        <v>0</v>
      </c>
      <c r="CR151" s="296">
        <f>SUMIFS(領用表!$L:$L,領用表!$E:$E,$B151,領用表!$B:$B,$CN$2&amp;CR$2)</f>
        <v>0</v>
      </c>
      <c r="CS151" s="208">
        <f>SUMIFS(領用表!$L:$L,領用表!$A:$A,CS$2,領用表!$E:$E,B151)</f>
        <v>0</v>
      </c>
      <c r="CT151" s="206">
        <f>SUMIFS(領用表!$L:$L,領用表!$E:$E,$B151,領用表!$B:$B,CS$2&amp;CT$2)</f>
        <v>0</v>
      </c>
      <c r="CU151" s="206">
        <f>SUMIFS(領用表!$L:$L,領用表!$E:$E,$B151,領用表!$B:$B,$CS$2&amp;CU$2)</f>
        <v>0</v>
      </c>
      <c r="CV151" s="206">
        <f>SUMIFS(領用表!$L:$L,領用表!$E:$E,$B151,領用表!$B:$B,$CS$2&amp;CV$2)</f>
        <v>0</v>
      </c>
      <c r="CW151" s="206">
        <f>SUMIFS(領用表!$L:$L,領用表!$E:$E,$B151,領用表!$B:$B,$CS$2&amp;CW$2)</f>
        <v>0</v>
      </c>
      <c r="CX151" s="206">
        <f>SUMIFS(領用表!$L:$L,領用表!$E:$E,$B151,領用表!$B:$B,$CS$2&amp;CX$2)</f>
        <v>0</v>
      </c>
      <c r="CY151" s="208">
        <f>SUMIFS(領用表!$L:$L,領用表!$A:$A,CY$2,領用表!$E:$E,B151)</f>
        <v>0</v>
      </c>
      <c r="CZ151" s="296">
        <f>SUMIFS(領用表!$L:$L,領用表!$E:$E,$B151,領用表!$B:$B,CY$2&amp;CZ$2)</f>
        <v>0</v>
      </c>
      <c r="DA151" s="296">
        <f>SUMIFS(領用表!$L:$L,領用表!$E:$E,$B151,領用表!$B:$B,$CY$2&amp;DA$2)</f>
        <v>0</v>
      </c>
      <c r="DB151" s="296">
        <f>SUMIFS(領用表!$L:$L,領用表!$E:$E,$B151,領用表!$B:$B,$CY$2&amp;DB$2)</f>
        <v>0</v>
      </c>
      <c r="DC151" s="296">
        <f>SUMIFS(領用表!$L:$L,領用表!$E:$E,$B151,領用表!$B:$B,$CY$2&amp;DC$2)</f>
        <v>0</v>
      </c>
      <c r="DD151" s="296">
        <f>SUMIFS(領用表!$L:$L,領用表!$E:$E,$B151,領用表!$B:$B,$CY$2&amp;DD$2)</f>
        <v>0</v>
      </c>
      <c r="DE151" s="208">
        <f>SUMIFS(領用表!$L:$L,領用表!$A:$A,DE$2,領用表!$E:$E,B151)</f>
        <v>0</v>
      </c>
      <c r="DF151" s="296">
        <f>SUMIFS(領用表!$L:$L,領用表!$E:$E,$B151,領用表!$B:$B,DE$2&amp;DF$2)</f>
        <v>0</v>
      </c>
      <c r="DG151" s="296">
        <f>SUMIFS(領用表!$L:$L,領用表!$E:$E,$B151,領用表!$B:$B,$DE$2&amp;DG$2)</f>
        <v>0</v>
      </c>
      <c r="DH151" s="296">
        <f>SUMIFS(領用表!$L:$L,領用表!$E:$E,$B151,領用表!$B:$B,$DE$2&amp;DH$2)</f>
        <v>0</v>
      </c>
      <c r="DI151" s="296">
        <f>SUMIFS(領用表!$L:$L,領用表!$E:$E,$B151,領用表!$B:$B,$DE$2&amp;DI$2)</f>
        <v>0</v>
      </c>
      <c r="DJ151" s="296">
        <f>SUMIFS(領用表!$L:$L,領用表!$E:$E,$B151,領用表!$B:$B,$DE$2&amp;DJ$2)</f>
        <v>0</v>
      </c>
      <c r="DK151" s="208">
        <f>SUMIFS(領用表!$L:$L,領用表!$A:$A,DK$2,領用表!$E:$E,$B151)</f>
        <v>0</v>
      </c>
      <c r="DL151" s="296">
        <f>SUMIFS(領用表!$L:$L,領用表!$E:$E,$B151,領用表!$B:$B,DK$2&amp;DL$2)</f>
        <v>0</v>
      </c>
      <c r="DM151" s="296">
        <f>SUMIFS(領用表!$L:$L,領用表!$E:$E,$B151,領用表!$B:$B,$DK$2&amp;DM$2)</f>
        <v>0</v>
      </c>
      <c r="DN151" s="296">
        <f>SUMIFS(領用表!$L:$L,領用表!$E:$E,$B151,領用表!$B:$B,$DK$2&amp;DN$2)</f>
        <v>0</v>
      </c>
      <c r="DO151" s="296">
        <f>SUMIFS(領用表!$L:$L,領用表!$E:$E,$B151,領用表!$B:$B,$DK$2&amp;DO$2)</f>
        <v>0</v>
      </c>
      <c r="DP151" s="296">
        <f>SUMIFS(領用表!$L:$L,領用表!$E:$E,$B151,領用表!$B:$B,$DK$2&amp;DP$2)</f>
        <v>0</v>
      </c>
      <c r="DQ151" s="296">
        <f t="shared" si="49"/>
        <v>0</v>
      </c>
      <c r="DR151" s="296">
        <f t="shared" si="50"/>
        <v>0</v>
      </c>
      <c r="DS151" s="296">
        <f t="shared" si="48"/>
        <v>0</v>
      </c>
      <c r="DT151" s="296">
        <v>0</v>
      </c>
      <c r="DU151" s="296">
        <v>0</v>
      </c>
      <c r="DV151" s="296">
        <v>0</v>
      </c>
      <c r="DW151" s="296">
        <v>0</v>
      </c>
      <c r="DX151" s="258"/>
      <c r="DY151" s="283"/>
      <c r="DZ151" s="252"/>
      <c r="EA151" s="252"/>
      <c r="ED151" s="118">
        <f>IFERROR(VLOOKUP(A151,站前4樓!A:BF,57,0),0)</f>
        <v>0</v>
      </c>
      <c r="EE151" s="213">
        <f>IFERROR(VLOOKUP(A151,站前11樓!A:BE,57,0),0)</f>
        <v>0</v>
      </c>
      <c r="EF151" s="118">
        <f>IFERROR(VLOOKUP(A151,忠孝7樓!A:N,57,0),0)</f>
        <v>0</v>
      </c>
      <c r="EG151" s="118">
        <f>IFERROR(VLOOKUP(A151,忠孝國際醫學3樓!A:L,57,0),0)</f>
        <v>0</v>
      </c>
      <c r="EH151" s="118">
        <f t="shared" si="51"/>
        <v>0</v>
      </c>
    </row>
    <row r="152" spans="1:138" s="118" customFormat="1" ht="15.75" customHeight="1">
      <c r="A152" s="136" t="s">
        <v>175</v>
      </c>
      <c r="C152" s="136" t="s">
        <v>553</v>
      </c>
      <c r="D152" s="285"/>
      <c r="E152" s="198" t="s">
        <v>15</v>
      </c>
      <c r="F152" s="225">
        <f>SUMIF(站前4樓!B:B,B152,站前4樓!F:F)</f>
        <v>0</v>
      </c>
      <c r="G152" s="225">
        <f>SUMIF(站前11樓!B:B,B152,站前11樓!F:F)</f>
        <v>0</v>
      </c>
      <c r="H152" s="225">
        <f>SUMIF(忠孝7樓!B:B,B152,忠孝7樓!G:G)</f>
        <v>0</v>
      </c>
      <c r="I152" s="225">
        <f>SUMIF(忠孝國際醫學3樓!B:B,B152,忠孝國際醫學3樓!G:G)</f>
        <v>0</v>
      </c>
      <c r="J152" s="408">
        <f>SUMIF(忠孝健康7樓!B:B,B152,忠孝健康7樓!G:G)</f>
        <v>0</v>
      </c>
      <c r="AJ152" s="348"/>
      <c r="AK152" s="348"/>
      <c r="AL152" s="348"/>
      <c r="AM152" s="348"/>
      <c r="AN152" s="348"/>
      <c r="AO152" s="348"/>
      <c r="AP152" s="348"/>
      <c r="AQ152" s="201"/>
      <c r="AR152" s="201"/>
      <c r="AS152" s="201"/>
      <c r="AT152" s="201"/>
      <c r="AU152" s="201"/>
      <c r="AV152" s="283"/>
      <c r="AW152" s="286"/>
      <c r="AX152" s="201"/>
      <c r="AY152" s="201"/>
      <c r="AZ152" s="201"/>
      <c r="BA152" s="201"/>
      <c r="BB152" s="201"/>
      <c r="BC152" s="203">
        <f>SUMIFS(領用表!$L:$L,領用表!$A:$A,BC$2,領用表!$E:$E,B152)</f>
        <v>0</v>
      </c>
      <c r="BD152" s="296">
        <f>SUMIFS(領用表!$L:$L,領用表!$E:$E,$B152,領用表!$B:$B,BC$2&amp;BD$2)</f>
        <v>0</v>
      </c>
      <c r="BE152" s="330">
        <f>SUMIFS(領用表!$L:$L,領用表!$E:$E,$B152,領用表!$B:$B,$BC$2&amp;BE$2)</f>
        <v>0</v>
      </c>
      <c r="BF152" s="330">
        <f>SUMIFS(領用表!$L:$L,領用表!$E:$E,$B152,領用表!$B:$B,$BC$2&amp;BF$2)</f>
        <v>0</v>
      </c>
      <c r="BG152" s="330">
        <f>SUMIFS(領用表!$L:$L,領用表!$E:$E,$B152,領用表!$B:$B,$BC$2&amp;BG$2)</f>
        <v>0</v>
      </c>
      <c r="BH152" s="203">
        <f>SUMIFS(領用表!$L:$L,領用表!$A:$A,BH$2,領用表!$E:$E,B152)</f>
        <v>0</v>
      </c>
      <c r="BI152" s="260">
        <f>SUMIFS(領用表!$L:$L,領用表!$E:$E,$B152,領用表!$B:$B,BH$2&amp;BI$2)</f>
        <v>0</v>
      </c>
      <c r="BJ152" s="260">
        <f>SUMIFS(領用表!$L:$L,領用表!$E:$E,$B152,領用表!$B:$B,$BH$2&amp;BJ$2)</f>
        <v>0</v>
      </c>
      <c r="BK152" s="260">
        <f>SUMIFS(領用表!$L:$L,領用表!$E:$E,$B152,領用表!$B:$B,$BH$2&amp;BK$2)</f>
        <v>0</v>
      </c>
      <c r="BL152" s="260">
        <f>SUMIFS(領用表!$L:$L,領用表!$E:$E,$B152,領用表!$B:$B,$BH$2&amp;BL$2)</f>
        <v>0</v>
      </c>
      <c r="BM152" s="203">
        <f>SUMIFS(領用表!$L:$L,領用表!$A:$A,BM$2,領用表!$E:$E,B152)</f>
        <v>0</v>
      </c>
      <c r="BN152" s="331">
        <f>SUMIFS(領用表!$L:$L,領用表!$E:$E,$B152,領用表!$B:$B,BM$2&amp;BN$2)</f>
        <v>0</v>
      </c>
      <c r="BO152" s="331">
        <f>SUMIFS(領用表!$L:$L,領用表!$E:$E,$B152,領用表!$B:$B,$BM$2&amp;BO$2)</f>
        <v>0</v>
      </c>
      <c r="BP152" s="288">
        <f>SUMIFS(領用表!$L:$L,領用表!$E:$E,$B152,領用表!$B:$B,$BM$2&amp;BP$2)</f>
        <v>0</v>
      </c>
      <c r="BQ152" s="287">
        <f>SUMIFS(領用表!$L:$L,領用表!$E:$E,$B152,領用表!$B:$B,$BM$2&amp;BQ$2)</f>
        <v>0</v>
      </c>
      <c r="BR152" s="203">
        <f>SUMIFS(領用表!$L:$L,領用表!$A:$A,BR$2,領用表!$E:$E,B152)</f>
        <v>0</v>
      </c>
      <c r="BS152" s="288">
        <f>SUMIFS(領用表!$L:$L,領用表!$E:$E,$B152,領用表!$B:$B,BR$2&amp;BS$2)</f>
        <v>0</v>
      </c>
      <c r="BT152" s="288">
        <f>SUMIFS(領用表!$L:$L,領用表!$E:$E,$B152,領用表!$B:$B,$BR$2&amp;BT$2)</f>
        <v>0</v>
      </c>
      <c r="BU152" s="288">
        <f>SUMIFS(領用表!$L:$L,領用表!$E:$E,$B152,領用表!$B:$B,$BR$2&amp;BU$2)</f>
        <v>0</v>
      </c>
      <c r="BV152" s="287">
        <f>SUMIFS(領用表!$L:$L,領用表!$E:$E,$B152,領用表!$B:$B,$BR$2&amp;BV$2)</f>
        <v>0</v>
      </c>
      <c r="BW152" s="208">
        <f>SUMIFS(領用表!$L:$L,領用表!$A:$A,BW$2,領用表!$E:$E,B152)</f>
        <v>0</v>
      </c>
      <c r="BX152" s="296">
        <f>SUMIFS(領用表!$L:$L,領用表!$E:$E,$B152,領用表!$B:$B,BW$2&amp;BX$2)</f>
        <v>0</v>
      </c>
      <c r="BY152" s="296">
        <f>SUMIFS(領用表!$L:$L,領用表!$E:$E,$B152,領用表!$B:$B,$BW$2&amp;BY$2)</f>
        <v>0</v>
      </c>
      <c r="BZ152" s="296">
        <f>SUMIFS(領用表!$L:$L,領用表!$E:$E,$B152,領用表!$B:$B,$BW$2&amp;BZ$2)</f>
        <v>0</v>
      </c>
      <c r="CA152" s="296">
        <f>SUMIFS(領用表!$L:$L,領用表!$E:$E,$B152,領用表!$B:$B,$BW$2&amp;CA$2)</f>
        <v>0</v>
      </c>
      <c r="CB152" s="208">
        <f>SUMIFS(領用表!$L:$L,領用表!$A:$A,CB$2,領用表!$E:$E,B152)</f>
        <v>0</v>
      </c>
      <c r="CC152" s="296">
        <f>SUMIFS(領用表!$L:$L,領用表!$E:$E,$B152,領用表!$B:$B,CB$2&amp;CC$2)</f>
        <v>0</v>
      </c>
      <c r="CD152" s="296">
        <f>SUMIFS(領用表!$L:$L,領用表!$E:$E,$B152,領用表!$B:$B,$CB$2&amp;CD$2)</f>
        <v>0</v>
      </c>
      <c r="CE152" s="296">
        <f>SUMIFS(領用表!$L:$L,領用表!$E:$E,$B152,領用表!$B:$B,$CB$2&amp;CE$2)</f>
        <v>0</v>
      </c>
      <c r="CF152" s="296">
        <f>SUMIFS(領用表!$L:$L,領用表!$E:$E,$B152,領用表!$B:$B,$CB$2&amp;CF$2)</f>
        <v>0</v>
      </c>
      <c r="CG152" s="335">
        <f>SUMIFS(領用表!$L:$L,領用表!$A:$A,CG$2,領用表!$E:$E,B152)</f>
        <v>0</v>
      </c>
      <c r="CH152" s="296">
        <f>SUMIFS(領用表!$L:$L,領用表!$E:$E,$B152,領用表!$B:$B,CG$2&amp;CH$2)</f>
        <v>0</v>
      </c>
      <c r="CI152" s="296">
        <f>SUMIFS(領用表!$L:$L,領用表!$E:$E,$B152,領用表!$B:$B,CG$2&amp;CI$2)</f>
        <v>0</v>
      </c>
      <c r="CJ152" s="296">
        <f>SUMIFS(領用表!$L:$L,領用表!$E:$E,$B152,領用表!$B:$B,CG$2&amp;CJ$2)</f>
        <v>0</v>
      </c>
      <c r="CK152" s="296">
        <f>SUMIFS(領用表!$L:$L,領用表!$E:$E,$B152,領用表!$B:$B,$CG$2&amp;CK$2)</f>
        <v>0</v>
      </c>
      <c r="CL152" s="207">
        <f t="shared" si="46"/>
        <v>0</v>
      </c>
      <c r="CM152" s="207">
        <f t="shared" si="47"/>
        <v>0</v>
      </c>
      <c r="CN152" s="208">
        <f>SUMIFS(領用表!$L:$L,領用表!$A:$A,CN$2,領用表!$E:$E,B152)</f>
        <v>0</v>
      </c>
      <c r="CO152" s="206">
        <f>SUMIFS(領用表!$L:$L,領用表!$E:$E,$B152,領用表!$B:$B,CN$2&amp;CO$2)</f>
        <v>0</v>
      </c>
      <c r="CP152" s="206">
        <f>SUMIFS(領用表!$L:$L,領用表!$E:$E,$B152,領用表!$B:$B,$CN$2&amp;CP$2)</f>
        <v>0</v>
      </c>
      <c r="CQ152" s="206">
        <f>SUMIFS(領用表!$L:$L,領用表!$E:$E,$B152,領用表!$B:$B,$CN$2&amp;CQ$2)</f>
        <v>0</v>
      </c>
      <c r="CR152" s="296">
        <f>SUMIFS(領用表!$L:$L,領用表!$E:$E,$B152,領用表!$B:$B,$CN$2&amp;CR$2)</f>
        <v>0</v>
      </c>
      <c r="CS152" s="208">
        <f>SUMIFS(領用表!$L:$L,領用表!$A:$A,CS$2,領用表!$E:$E,B152)</f>
        <v>0</v>
      </c>
      <c r="CT152" s="206">
        <f>SUMIFS(領用表!$L:$L,領用表!$E:$E,$B152,領用表!$B:$B,CS$2&amp;CT$2)</f>
        <v>0</v>
      </c>
      <c r="CU152" s="206">
        <f>SUMIFS(領用表!$L:$L,領用表!$E:$E,$B152,領用表!$B:$B,$CS$2&amp;CU$2)</f>
        <v>0</v>
      </c>
      <c r="CV152" s="206">
        <f>SUMIFS(領用表!$L:$L,領用表!$E:$E,$B152,領用表!$B:$B,$CS$2&amp;CV$2)</f>
        <v>0</v>
      </c>
      <c r="CW152" s="206">
        <f>SUMIFS(領用表!$L:$L,領用表!$E:$E,$B152,領用表!$B:$B,$CS$2&amp;CW$2)</f>
        <v>0</v>
      </c>
      <c r="CX152" s="206">
        <f>SUMIFS(領用表!$L:$L,領用表!$E:$E,$B152,領用表!$B:$B,$CS$2&amp;CX$2)</f>
        <v>0</v>
      </c>
      <c r="CY152" s="208">
        <f>SUMIFS(領用表!$L:$L,領用表!$A:$A,CY$2,領用表!$E:$E,B152)</f>
        <v>0</v>
      </c>
      <c r="CZ152" s="296">
        <f>SUMIFS(領用表!$L:$L,領用表!$E:$E,$B152,領用表!$B:$B,CY$2&amp;CZ$2)</f>
        <v>0</v>
      </c>
      <c r="DA152" s="296">
        <f>SUMIFS(領用表!$L:$L,領用表!$E:$E,$B152,領用表!$B:$B,$CY$2&amp;DA$2)</f>
        <v>0</v>
      </c>
      <c r="DB152" s="296">
        <f>SUMIFS(領用表!$L:$L,領用表!$E:$E,$B152,領用表!$B:$B,$CY$2&amp;DB$2)</f>
        <v>0</v>
      </c>
      <c r="DC152" s="296">
        <f>SUMIFS(領用表!$L:$L,領用表!$E:$E,$B152,領用表!$B:$B,$CY$2&amp;DC$2)</f>
        <v>0</v>
      </c>
      <c r="DD152" s="296">
        <f>SUMIFS(領用表!$L:$L,領用表!$E:$E,$B152,領用表!$B:$B,$CY$2&amp;DD$2)</f>
        <v>0</v>
      </c>
      <c r="DE152" s="208">
        <f>SUMIFS(領用表!$L:$L,領用表!$A:$A,DE$2,領用表!$E:$E,B152)</f>
        <v>0</v>
      </c>
      <c r="DF152" s="296">
        <f>SUMIFS(領用表!$L:$L,領用表!$E:$E,$B152,領用表!$B:$B,DE$2&amp;DF$2)</f>
        <v>0</v>
      </c>
      <c r="DG152" s="296">
        <f>SUMIFS(領用表!$L:$L,領用表!$E:$E,$B152,領用表!$B:$B,$DE$2&amp;DG$2)</f>
        <v>0</v>
      </c>
      <c r="DH152" s="296">
        <f>SUMIFS(領用表!$L:$L,領用表!$E:$E,$B152,領用表!$B:$B,$DE$2&amp;DH$2)</f>
        <v>0</v>
      </c>
      <c r="DI152" s="296">
        <f>SUMIFS(領用表!$L:$L,領用表!$E:$E,$B152,領用表!$B:$B,$DE$2&amp;DI$2)</f>
        <v>0</v>
      </c>
      <c r="DJ152" s="296">
        <f>SUMIFS(領用表!$L:$L,領用表!$E:$E,$B152,領用表!$B:$B,$DE$2&amp;DJ$2)</f>
        <v>0</v>
      </c>
      <c r="DK152" s="208">
        <f>SUMIFS(領用表!$L:$L,領用表!$A:$A,DK$2,領用表!$E:$E,$B152)</f>
        <v>0</v>
      </c>
      <c r="DL152" s="296">
        <f>SUMIFS(領用表!$L:$L,領用表!$E:$E,$B152,領用表!$B:$B,DK$2&amp;DL$2)</f>
        <v>0</v>
      </c>
      <c r="DM152" s="296">
        <f>SUMIFS(領用表!$L:$L,領用表!$E:$E,$B152,領用表!$B:$B,$DK$2&amp;DM$2)</f>
        <v>0</v>
      </c>
      <c r="DN152" s="296">
        <f>SUMIFS(領用表!$L:$L,領用表!$E:$E,$B152,領用表!$B:$B,$DK$2&amp;DN$2)</f>
        <v>0</v>
      </c>
      <c r="DO152" s="296">
        <f>SUMIFS(領用表!$L:$L,領用表!$E:$E,$B152,領用表!$B:$B,$DK$2&amp;DO$2)</f>
        <v>0</v>
      </c>
      <c r="DP152" s="296">
        <f>SUMIFS(領用表!$L:$L,領用表!$E:$E,$B152,領用表!$B:$B,$DK$2&amp;DP$2)</f>
        <v>0</v>
      </c>
      <c r="DQ152" s="296">
        <f t="shared" si="49"/>
        <v>0</v>
      </c>
      <c r="DR152" s="296">
        <f t="shared" si="50"/>
        <v>0</v>
      </c>
      <c r="DS152" s="296">
        <f t="shared" si="48"/>
        <v>0</v>
      </c>
      <c r="DT152" s="296">
        <v>0</v>
      </c>
      <c r="DU152" s="296">
        <v>0</v>
      </c>
      <c r="DV152" s="296">
        <v>0</v>
      </c>
      <c r="DW152" s="296">
        <v>0</v>
      </c>
      <c r="DX152" s="258"/>
      <c r="DY152" s="283"/>
      <c r="DZ152" s="252"/>
      <c r="EA152" s="252"/>
      <c r="ED152" s="118">
        <f>IFERROR(VLOOKUP(A152,站前4樓!A:BF,57,0),0)</f>
        <v>0</v>
      </c>
      <c r="EE152" s="213">
        <f>IFERROR(VLOOKUP(A152,站前11樓!A:BE,57,0),0)</f>
        <v>0</v>
      </c>
      <c r="EF152" s="118">
        <f>IFERROR(VLOOKUP(A152,忠孝7樓!A:N,57,0),0)</f>
        <v>0</v>
      </c>
      <c r="EG152" s="118">
        <f>IFERROR(VLOOKUP(A152,忠孝國際醫學3樓!A:L,57,0),0)</f>
        <v>0</v>
      </c>
      <c r="EH152" s="118">
        <f t="shared" si="51"/>
        <v>0</v>
      </c>
    </row>
    <row r="153" spans="1:138" s="118" customFormat="1" ht="15.75" customHeight="1">
      <c r="A153" s="136" t="s">
        <v>176</v>
      </c>
      <c r="B153" s="118">
        <v>6080005</v>
      </c>
      <c r="C153" s="136" t="s">
        <v>554</v>
      </c>
      <c r="D153" s="285"/>
      <c r="E153" s="198" t="s">
        <v>15</v>
      </c>
      <c r="F153" s="225">
        <f>SUMIF(站前4樓!B:B,B153,站前4樓!F:F)</f>
        <v>0</v>
      </c>
      <c r="G153" s="225">
        <f>SUMIF(站前11樓!B:B,B153,站前11樓!F:F)</f>
        <v>0</v>
      </c>
      <c r="H153" s="225">
        <f>SUMIF(忠孝7樓!B:B,B153,忠孝7樓!G:G)</f>
        <v>0</v>
      </c>
      <c r="I153" s="225">
        <f>SUMIF(忠孝國際醫學3樓!B:B,B153,忠孝國際醫學3樓!G:G)</f>
        <v>0</v>
      </c>
      <c r="J153" s="408">
        <f>SUMIF(忠孝健康7樓!B:B,B153,忠孝健康7樓!G:G)</f>
        <v>0</v>
      </c>
      <c r="AJ153" s="348"/>
      <c r="AK153" s="348"/>
      <c r="AL153" s="348"/>
      <c r="AM153" s="348"/>
      <c r="AN153" s="348"/>
      <c r="AO153" s="348"/>
      <c r="AP153" s="348"/>
      <c r="AQ153" s="201"/>
      <c r="AR153" s="201"/>
      <c r="AS153" s="201"/>
      <c r="AT153" s="201"/>
      <c r="AU153" s="201"/>
      <c r="AV153" s="283">
        <v>0</v>
      </c>
      <c r="AW153" s="286">
        <v>0</v>
      </c>
      <c r="AX153" s="201">
        <v>0</v>
      </c>
      <c r="AY153" s="201">
        <v>0</v>
      </c>
      <c r="AZ153" s="201">
        <v>0</v>
      </c>
      <c r="BA153" s="201">
        <v>2400</v>
      </c>
      <c r="BB153" s="201">
        <v>0</v>
      </c>
      <c r="BC153" s="203">
        <f>SUMIFS(領用表!$L:$L,領用表!$A:$A,BC$2,領用表!$E:$E,B153)</f>
        <v>0</v>
      </c>
      <c r="BD153" s="296">
        <f>SUMIFS(領用表!$L:$L,領用表!$E:$E,$B153,領用表!$B:$B,BC$2&amp;BD$2)</f>
        <v>0</v>
      </c>
      <c r="BE153" s="330">
        <f>SUMIFS(領用表!$L:$L,領用表!$E:$E,$B153,領用表!$B:$B,$BC$2&amp;BE$2)</f>
        <v>0</v>
      </c>
      <c r="BF153" s="330">
        <f>SUMIFS(領用表!$L:$L,領用表!$E:$E,$B153,領用表!$B:$B,$BC$2&amp;BF$2)</f>
        <v>0</v>
      </c>
      <c r="BG153" s="330">
        <f>SUMIFS(領用表!$L:$L,領用表!$E:$E,$B153,領用表!$B:$B,$BC$2&amp;BG$2)</f>
        <v>0</v>
      </c>
      <c r="BH153" s="203">
        <f>SUMIFS(領用表!$L:$L,領用表!$A:$A,BH$2,領用表!$E:$E,B153)</f>
        <v>0</v>
      </c>
      <c r="BI153" s="260">
        <f>SUMIFS(領用表!$L:$L,領用表!$E:$E,$B153,領用表!$B:$B,BH$2&amp;BI$2)</f>
        <v>0</v>
      </c>
      <c r="BJ153" s="260">
        <f>SUMIFS(領用表!$L:$L,領用表!$E:$E,$B153,領用表!$B:$B,$BH$2&amp;BJ$2)</f>
        <v>0</v>
      </c>
      <c r="BK153" s="260">
        <f>SUMIFS(領用表!$L:$L,領用表!$E:$E,$B153,領用表!$B:$B,$BH$2&amp;BK$2)</f>
        <v>0</v>
      </c>
      <c r="BL153" s="260">
        <f>SUMIFS(領用表!$L:$L,領用表!$E:$E,$B153,領用表!$B:$B,$BH$2&amp;BL$2)</f>
        <v>0</v>
      </c>
      <c r="BM153" s="203">
        <f>SUMIFS(領用表!$L:$L,領用表!$A:$A,BM$2,領用表!$E:$E,B153)</f>
        <v>0</v>
      </c>
      <c r="BN153" s="331">
        <f>SUMIFS(領用表!$L:$L,領用表!$E:$E,$B153,領用表!$B:$B,BM$2&amp;BN$2)</f>
        <v>0</v>
      </c>
      <c r="BO153" s="331">
        <f>SUMIFS(領用表!$L:$L,領用表!$E:$E,$B153,領用表!$B:$B,$BM$2&amp;BO$2)</f>
        <v>0</v>
      </c>
      <c r="BP153" s="288">
        <f>SUMIFS(領用表!$L:$L,領用表!$E:$E,$B153,領用表!$B:$B,$BM$2&amp;BP$2)</f>
        <v>0</v>
      </c>
      <c r="BQ153" s="287">
        <f>SUMIFS(領用表!$L:$L,領用表!$E:$E,$B153,領用表!$B:$B,$BM$2&amp;BQ$2)</f>
        <v>0</v>
      </c>
      <c r="BR153" s="203">
        <f>SUMIFS(領用表!$L:$L,領用表!$A:$A,BR$2,領用表!$E:$E,B153)</f>
        <v>0</v>
      </c>
      <c r="BS153" s="288">
        <f>SUMIFS(領用表!$L:$L,領用表!$E:$E,$B153,領用表!$B:$B,BR$2&amp;BS$2)</f>
        <v>0</v>
      </c>
      <c r="BT153" s="288">
        <f>SUMIFS(領用表!$L:$L,領用表!$E:$E,$B153,領用表!$B:$B,$BR$2&amp;BT$2)</f>
        <v>0</v>
      </c>
      <c r="BU153" s="288">
        <f>SUMIFS(領用表!$L:$L,領用表!$E:$E,$B153,領用表!$B:$B,$BR$2&amp;BU$2)</f>
        <v>0</v>
      </c>
      <c r="BV153" s="287">
        <f>SUMIFS(領用表!$L:$L,領用表!$E:$E,$B153,領用表!$B:$B,$BR$2&amp;BV$2)</f>
        <v>0</v>
      </c>
      <c r="BW153" s="208">
        <f>SUMIFS(領用表!$L:$L,領用表!$A:$A,BW$2,領用表!$E:$E,B153)</f>
        <v>0</v>
      </c>
      <c r="BX153" s="296">
        <f>SUMIFS(領用表!$L:$L,領用表!$E:$E,$B153,領用表!$B:$B,BW$2&amp;BX$2)</f>
        <v>0</v>
      </c>
      <c r="BY153" s="296">
        <f>SUMIFS(領用表!$L:$L,領用表!$E:$E,$B153,領用表!$B:$B,$BW$2&amp;BY$2)</f>
        <v>0</v>
      </c>
      <c r="BZ153" s="296">
        <f>SUMIFS(領用表!$L:$L,領用表!$E:$E,$B153,領用表!$B:$B,$BW$2&amp;BZ$2)</f>
        <v>0</v>
      </c>
      <c r="CA153" s="296">
        <f>SUMIFS(領用表!$L:$L,領用表!$E:$E,$B153,領用表!$B:$B,$BW$2&amp;CA$2)</f>
        <v>0</v>
      </c>
      <c r="CB153" s="208">
        <f>SUMIFS(領用表!$L:$L,領用表!$A:$A,CB$2,領用表!$E:$E,B153)</f>
        <v>0</v>
      </c>
      <c r="CC153" s="296">
        <f>SUMIFS(領用表!$L:$L,領用表!$E:$E,$B153,領用表!$B:$B,CB$2&amp;CC$2)</f>
        <v>0</v>
      </c>
      <c r="CD153" s="296">
        <f>SUMIFS(領用表!$L:$L,領用表!$E:$E,$B153,領用表!$B:$B,$CB$2&amp;CD$2)</f>
        <v>0</v>
      </c>
      <c r="CE153" s="296">
        <f>SUMIFS(領用表!$L:$L,領用表!$E:$E,$B153,領用表!$B:$B,$CB$2&amp;CE$2)</f>
        <v>0</v>
      </c>
      <c r="CF153" s="296">
        <f>SUMIFS(領用表!$L:$L,領用表!$E:$E,$B153,領用表!$B:$B,$CB$2&amp;CF$2)</f>
        <v>0</v>
      </c>
      <c r="CG153" s="335">
        <f>SUMIFS(領用表!$L:$L,領用表!$A:$A,CG$2,領用表!$E:$E,B153)</f>
        <v>0</v>
      </c>
      <c r="CH153" s="296">
        <f>SUMIFS(領用表!$L:$L,領用表!$E:$E,$B153,領用表!$B:$B,CG$2&amp;CH$2)</f>
        <v>0</v>
      </c>
      <c r="CI153" s="296">
        <f>SUMIFS(領用表!$L:$L,領用表!$E:$E,$B153,領用表!$B:$B,CG$2&amp;CI$2)</f>
        <v>0</v>
      </c>
      <c r="CJ153" s="296">
        <f>SUMIFS(領用表!$L:$L,領用表!$E:$E,$B153,領用表!$B:$B,CG$2&amp;CJ$2)</f>
        <v>0</v>
      </c>
      <c r="CK153" s="296">
        <f>SUMIFS(領用表!$L:$L,領用表!$E:$E,$B153,領用表!$B:$B,$CG$2&amp;CK$2)</f>
        <v>0</v>
      </c>
      <c r="CL153" s="207">
        <f t="shared" si="46"/>
        <v>2400</v>
      </c>
      <c r="CM153" s="207">
        <f t="shared" si="47"/>
        <v>200</v>
      </c>
      <c r="CN153" s="208">
        <f>SUMIFS(領用表!$L:$L,領用表!$A:$A,CN$2,領用表!$E:$E,B153)</f>
        <v>0</v>
      </c>
      <c r="CO153" s="206">
        <f>SUMIFS(領用表!$L:$L,領用表!$E:$E,$B153,領用表!$B:$B,CN$2&amp;CO$2)</f>
        <v>0</v>
      </c>
      <c r="CP153" s="206">
        <f>SUMIFS(領用表!$L:$L,領用表!$E:$E,$B153,領用表!$B:$B,$CN$2&amp;CP$2)</f>
        <v>0</v>
      </c>
      <c r="CQ153" s="206">
        <f>SUMIFS(領用表!$L:$L,領用表!$E:$E,$B153,領用表!$B:$B,$CN$2&amp;CQ$2)</f>
        <v>0</v>
      </c>
      <c r="CR153" s="296">
        <f>SUMIFS(領用表!$L:$L,領用表!$E:$E,$B153,領用表!$B:$B,$CN$2&amp;CR$2)</f>
        <v>0</v>
      </c>
      <c r="CS153" s="208">
        <f>SUMIFS(領用表!$L:$L,領用表!$A:$A,CS$2,領用表!$E:$E,B153)</f>
        <v>0</v>
      </c>
      <c r="CT153" s="206">
        <f>SUMIFS(領用表!$L:$L,領用表!$E:$E,$B153,領用表!$B:$B,CS$2&amp;CT$2)</f>
        <v>0</v>
      </c>
      <c r="CU153" s="206">
        <f>SUMIFS(領用表!$L:$L,領用表!$E:$E,$B153,領用表!$B:$B,$CS$2&amp;CU$2)</f>
        <v>0</v>
      </c>
      <c r="CV153" s="206">
        <f>SUMIFS(領用表!$L:$L,領用表!$E:$E,$B153,領用表!$B:$B,$CS$2&amp;CV$2)</f>
        <v>0</v>
      </c>
      <c r="CW153" s="206">
        <f>SUMIFS(領用表!$L:$L,領用表!$E:$E,$B153,領用表!$B:$B,$CS$2&amp;CW$2)</f>
        <v>0</v>
      </c>
      <c r="CX153" s="206">
        <f>SUMIFS(領用表!$L:$L,領用表!$E:$E,$B153,領用表!$B:$B,$CS$2&amp;CX$2)</f>
        <v>0</v>
      </c>
      <c r="CY153" s="208">
        <f>SUMIFS(領用表!$L:$L,領用表!$A:$A,CY$2,領用表!$E:$E,B153)</f>
        <v>0</v>
      </c>
      <c r="CZ153" s="296">
        <f>SUMIFS(領用表!$L:$L,領用表!$E:$E,$B153,領用表!$B:$B,CY$2&amp;CZ$2)</f>
        <v>0</v>
      </c>
      <c r="DA153" s="296">
        <f>SUMIFS(領用表!$L:$L,領用表!$E:$E,$B153,領用表!$B:$B,$CY$2&amp;DA$2)</f>
        <v>0</v>
      </c>
      <c r="DB153" s="296">
        <f>SUMIFS(領用表!$L:$L,領用表!$E:$E,$B153,領用表!$B:$B,$CY$2&amp;DB$2)</f>
        <v>0</v>
      </c>
      <c r="DC153" s="296">
        <f>SUMIFS(領用表!$L:$L,領用表!$E:$E,$B153,領用表!$B:$B,$CY$2&amp;DC$2)</f>
        <v>0</v>
      </c>
      <c r="DD153" s="296">
        <f>SUMIFS(領用表!$L:$L,領用表!$E:$E,$B153,領用表!$B:$B,$CY$2&amp;DD$2)</f>
        <v>0</v>
      </c>
      <c r="DE153" s="208">
        <f>SUMIFS(領用表!$L:$L,領用表!$A:$A,DE$2,領用表!$E:$E,B153)</f>
        <v>0</v>
      </c>
      <c r="DF153" s="296">
        <f>SUMIFS(領用表!$L:$L,領用表!$E:$E,$B153,領用表!$B:$B,DE$2&amp;DF$2)</f>
        <v>0</v>
      </c>
      <c r="DG153" s="296">
        <f>SUMIFS(領用表!$L:$L,領用表!$E:$E,$B153,領用表!$B:$B,$DE$2&amp;DG$2)</f>
        <v>0</v>
      </c>
      <c r="DH153" s="296">
        <f>SUMIFS(領用表!$L:$L,領用表!$E:$E,$B153,領用表!$B:$B,$DE$2&amp;DH$2)</f>
        <v>0</v>
      </c>
      <c r="DI153" s="296">
        <f>SUMIFS(領用表!$L:$L,領用表!$E:$E,$B153,領用表!$B:$B,$DE$2&amp;DI$2)</f>
        <v>0</v>
      </c>
      <c r="DJ153" s="296">
        <f>SUMIFS(領用表!$L:$L,領用表!$E:$E,$B153,領用表!$B:$B,$DE$2&amp;DJ$2)</f>
        <v>0</v>
      </c>
      <c r="DK153" s="208">
        <f>SUMIFS(領用表!$L:$L,領用表!$A:$A,DK$2,領用表!$E:$E,$B153)</f>
        <v>0</v>
      </c>
      <c r="DL153" s="296">
        <f>SUMIFS(領用表!$L:$L,領用表!$E:$E,$B153,領用表!$B:$B,DK$2&amp;DL$2)</f>
        <v>0</v>
      </c>
      <c r="DM153" s="296">
        <f>SUMIFS(領用表!$L:$L,領用表!$E:$E,$B153,領用表!$B:$B,$DK$2&amp;DM$2)</f>
        <v>0</v>
      </c>
      <c r="DN153" s="296">
        <f>SUMIFS(領用表!$L:$L,領用表!$E:$E,$B153,領用表!$B:$B,$DK$2&amp;DN$2)</f>
        <v>0</v>
      </c>
      <c r="DO153" s="296">
        <f>SUMIFS(領用表!$L:$L,領用表!$E:$E,$B153,領用表!$B:$B,$DK$2&amp;DO$2)</f>
        <v>0</v>
      </c>
      <c r="DP153" s="296">
        <f>SUMIFS(領用表!$L:$L,領用表!$E:$E,$B153,領用表!$B:$B,$DK$2&amp;DP$2)</f>
        <v>0</v>
      </c>
      <c r="DQ153" s="296">
        <f t="shared" si="49"/>
        <v>0</v>
      </c>
      <c r="DR153" s="296">
        <f t="shared" si="50"/>
        <v>0</v>
      </c>
      <c r="DS153" s="296">
        <f t="shared" si="48"/>
        <v>0</v>
      </c>
      <c r="DT153" s="296">
        <v>0</v>
      </c>
      <c r="DU153" s="296">
        <v>0</v>
      </c>
      <c r="DV153" s="296">
        <v>0</v>
      </c>
      <c r="DW153" s="296">
        <v>0</v>
      </c>
      <c r="DX153" s="258"/>
      <c r="DY153" s="283"/>
      <c r="DZ153" s="336"/>
      <c r="EA153" s="252"/>
      <c r="ED153" s="118">
        <f>IFERROR(VLOOKUP(A153,站前4樓!A:BF,57,0),0)</f>
        <v>0</v>
      </c>
      <c r="EE153" s="213">
        <f>IFERROR(VLOOKUP(A153,站前11樓!A:BE,57,0),0)</f>
        <v>0</v>
      </c>
      <c r="EF153" s="118">
        <f>IFERROR(VLOOKUP(A153,忠孝7樓!A:N,57,0),0)</f>
        <v>0</v>
      </c>
      <c r="EG153" s="118">
        <f>IFERROR(VLOOKUP(A153,忠孝國際醫學3樓!A:L,57,0),0)</f>
        <v>0</v>
      </c>
      <c r="EH153" s="118">
        <f t="shared" si="51"/>
        <v>0</v>
      </c>
    </row>
    <row r="154" spans="1:138" s="118" customFormat="1" ht="15.75" customHeight="1">
      <c r="A154" s="136" t="s">
        <v>177</v>
      </c>
      <c r="B154" s="118">
        <v>6080007</v>
      </c>
      <c r="C154" s="136" t="s">
        <v>555</v>
      </c>
      <c r="D154" s="285"/>
      <c r="E154" s="198" t="s">
        <v>15</v>
      </c>
      <c r="F154" s="225">
        <f>SUMIF(站前4樓!B:B,B154,站前4樓!F:F)</f>
        <v>0</v>
      </c>
      <c r="G154" s="225">
        <f>SUMIF(站前11樓!B:B,B154,站前11樓!F:F)</f>
        <v>0</v>
      </c>
      <c r="H154" s="225">
        <f>SUMIF(忠孝7樓!B:B,B154,忠孝7樓!G:G)</f>
        <v>0</v>
      </c>
      <c r="I154" s="225">
        <f>SUMIF(忠孝國際醫學3樓!B:B,B154,忠孝國際醫學3樓!G:G)</f>
        <v>0</v>
      </c>
      <c r="J154" s="408">
        <f>SUMIF(忠孝健康7樓!B:B,B154,忠孝健康7樓!G:G)</f>
        <v>0</v>
      </c>
      <c r="K154" s="333"/>
      <c r="L154" s="333"/>
      <c r="M154" s="333"/>
      <c r="N154" s="333"/>
      <c r="O154" s="333"/>
      <c r="P154" s="333"/>
      <c r="Q154" s="333"/>
      <c r="R154" s="333"/>
      <c r="S154" s="333"/>
      <c r="T154" s="333"/>
      <c r="U154" s="333"/>
      <c r="V154" s="333"/>
      <c r="W154" s="333"/>
      <c r="X154" s="333"/>
      <c r="Y154" s="333"/>
      <c r="Z154" s="333"/>
      <c r="AA154" s="333"/>
      <c r="AB154" s="333"/>
      <c r="AC154" s="333"/>
      <c r="AD154" s="333"/>
      <c r="AE154" s="333"/>
      <c r="AF154" s="333"/>
      <c r="AG154" s="333"/>
      <c r="AH154" s="333"/>
      <c r="AI154" s="333"/>
      <c r="AJ154" s="292"/>
      <c r="AK154" s="292"/>
      <c r="AL154" s="292"/>
      <c r="AM154" s="292"/>
      <c r="AN154" s="292"/>
      <c r="AO154" s="292"/>
      <c r="AP154" s="292"/>
      <c r="AQ154" s="201"/>
      <c r="AR154" s="201"/>
      <c r="AS154" s="201"/>
      <c r="AT154" s="201"/>
      <c r="AU154" s="201"/>
      <c r="AV154" s="283"/>
      <c r="AW154" s="286"/>
      <c r="AX154" s="201"/>
      <c r="AY154" s="201"/>
      <c r="AZ154" s="201"/>
      <c r="BA154" s="201"/>
      <c r="BB154" s="201"/>
      <c r="BC154" s="203">
        <f>SUMIFS(領用表!$L:$L,領用表!$A:$A,BC$2,領用表!$E:$E,B154)</f>
        <v>0</v>
      </c>
      <c r="BD154" s="296">
        <f>SUMIFS(領用表!$L:$L,領用表!$E:$E,$B154,領用表!$B:$B,BC$2&amp;BD$2)</f>
        <v>0</v>
      </c>
      <c r="BE154" s="330">
        <f>SUMIFS(領用表!$L:$L,領用表!$E:$E,$B154,領用表!$B:$B,$BC$2&amp;BE$2)</f>
        <v>0</v>
      </c>
      <c r="BF154" s="330">
        <f>SUMIFS(領用表!$L:$L,領用表!$E:$E,$B154,領用表!$B:$B,$BC$2&amp;BF$2)</f>
        <v>0</v>
      </c>
      <c r="BG154" s="330">
        <f>SUMIFS(領用表!$L:$L,領用表!$E:$E,$B154,領用表!$B:$B,$BC$2&amp;BG$2)</f>
        <v>0</v>
      </c>
      <c r="BH154" s="203">
        <f>SUMIFS(領用表!$L:$L,領用表!$A:$A,BH$2,領用表!$E:$E,B154)</f>
        <v>0</v>
      </c>
      <c r="BI154" s="260">
        <f>SUMIFS(領用表!$L:$L,領用表!$E:$E,$B154,領用表!$B:$B,BH$2&amp;BI$2)</f>
        <v>0</v>
      </c>
      <c r="BJ154" s="260">
        <f>SUMIFS(領用表!$L:$L,領用表!$E:$E,$B154,領用表!$B:$B,$BH$2&amp;BJ$2)</f>
        <v>0</v>
      </c>
      <c r="BK154" s="260">
        <f>SUMIFS(領用表!$L:$L,領用表!$E:$E,$B154,領用表!$B:$B,$BH$2&amp;BK$2)</f>
        <v>0</v>
      </c>
      <c r="BL154" s="260">
        <f>SUMIFS(領用表!$L:$L,領用表!$E:$E,$B154,領用表!$B:$B,$BH$2&amp;BL$2)</f>
        <v>0</v>
      </c>
      <c r="BM154" s="203">
        <f>SUMIFS(領用表!$L:$L,領用表!$A:$A,BM$2,領用表!$E:$E,B154)</f>
        <v>0</v>
      </c>
      <c r="BN154" s="331">
        <f>SUMIFS(領用表!$L:$L,領用表!$E:$E,$B154,領用表!$B:$B,BM$2&amp;BN$2)</f>
        <v>0</v>
      </c>
      <c r="BO154" s="331">
        <f>SUMIFS(領用表!$L:$L,領用表!$E:$E,$B154,領用表!$B:$B,$BM$2&amp;BO$2)</f>
        <v>0</v>
      </c>
      <c r="BP154" s="288">
        <f>SUMIFS(領用表!$L:$L,領用表!$E:$E,$B154,領用表!$B:$B,$BM$2&amp;BP$2)</f>
        <v>0</v>
      </c>
      <c r="BQ154" s="287">
        <f>SUMIFS(領用表!$L:$L,領用表!$E:$E,$B154,領用表!$B:$B,$BM$2&amp;BQ$2)</f>
        <v>0</v>
      </c>
      <c r="BR154" s="203">
        <f>SUMIFS(領用表!$L:$L,領用表!$A:$A,BR$2,領用表!$E:$E,B154)</f>
        <v>0</v>
      </c>
      <c r="BS154" s="288">
        <f>SUMIFS(領用表!$L:$L,領用表!$E:$E,$B154,領用表!$B:$B,BR$2&amp;BS$2)</f>
        <v>0</v>
      </c>
      <c r="BT154" s="288">
        <f>SUMIFS(領用表!$L:$L,領用表!$E:$E,$B154,領用表!$B:$B,$BR$2&amp;BT$2)</f>
        <v>0</v>
      </c>
      <c r="BU154" s="288">
        <f>SUMIFS(領用表!$L:$L,領用表!$E:$E,$B154,領用表!$B:$B,$BR$2&amp;BU$2)</f>
        <v>0</v>
      </c>
      <c r="BV154" s="287">
        <f>SUMIFS(領用表!$L:$L,領用表!$E:$E,$B154,領用表!$B:$B,$BR$2&amp;BV$2)</f>
        <v>0</v>
      </c>
      <c r="BW154" s="208">
        <f>SUMIFS(領用表!$L:$L,領用表!$A:$A,BW$2,領用表!$E:$E,B154)</f>
        <v>0</v>
      </c>
      <c r="BX154" s="296">
        <f>SUMIFS(領用表!$L:$L,領用表!$E:$E,$B154,領用表!$B:$B,BW$2&amp;BX$2)</f>
        <v>0</v>
      </c>
      <c r="BY154" s="296">
        <f>SUMIFS(領用表!$L:$L,領用表!$E:$E,$B154,領用表!$B:$B,$BW$2&amp;BY$2)</f>
        <v>0</v>
      </c>
      <c r="BZ154" s="296">
        <f>SUMIFS(領用表!$L:$L,領用表!$E:$E,$B154,領用表!$B:$B,$BW$2&amp;BZ$2)</f>
        <v>0</v>
      </c>
      <c r="CA154" s="296">
        <f>SUMIFS(領用表!$L:$L,領用表!$E:$E,$B154,領用表!$B:$B,$BW$2&amp;CA$2)</f>
        <v>0</v>
      </c>
      <c r="CB154" s="208">
        <f>SUMIFS(領用表!$L:$L,領用表!$A:$A,CB$2,領用表!$E:$E,B154)</f>
        <v>0</v>
      </c>
      <c r="CC154" s="296">
        <f>SUMIFS(領用表!$L:$L,領用表!$E:$E,$B154,領用表!$B:$B,CB$2&amp;CC$2)</f>
        <v>0</v>
      </c>
      <c r="CD154" s="296">
        <f>SUMIFS(領用表!$L:$L,領用表!$E:$E,$B154,領用表!$B:$B,$CB$2&amp;CD$2)</f>
        <v>0</v>
      </c>
      <c r="CE154" s="296">
        <f>SUMIFS(領用表!$L:$L,領用表!$E:$E,$B154,領用表!$B:$B,$CB$2&amp;CE$2)</f>
        <v>0</v>
      </c>
      <c r="CF154" s="296">
        <f>SUMIFS(領用表!$L:$L,領用表!$E:$E,$B154,領用表!$B:$B,$CB$2&amp;CF$2)</f>
        <v>0</v>
      </c>
      <c r="CG154" s="335">
        <f>SUMIFS(領用表!$L:$L,領用表!$A:$A,CG$2,領用表!$E:$E,B154)</f>
        <v>0</v>
      </c>
      <c r="CH154" s="296">
        <f>SUMIFS(領用表!$L:$L,領用表!$E:$E,$B154,領用表!$B:$B,CG$2&amp;CH$2)</f>
        <v>0</v>
      </c>
      <c r="CI154" s="296">
        <f>SUMIFS(領用表!$L:$L,領用表!$E:$E,$B154,領用表!$B:$B,CG$2&amp;CI$2)</f>
        <v>0</v>
      </c>
      <c r="CJ154" s="296">
        <f>SUMIFS(領用表!$L:$L,領用表!$E:$E,$B154,領用表!$B:$B,CG$2&amp;CJ$2)</f>
        <v>0</v>
      </c>
      <c r="CK154" s="296">
        <f>SUMIFS(領用表!$L:$L,領用表!$E:$E,$B154,領用表!$B:$B,$CG$2&amp;CK$2)</f>
        <v>0</v>
      </c>
      <c r="CL154" s="207">
        <f t="shared" si="46"/>
        <v>0</v>
      </c>
      <c r="CM154" s="207">
        <f t="shared" si="47"/>
        <v>0</v>
      </c>
      <c r="CN154" s="208">
        <f>SUMIFS(領用表!$L:$L,領用表!$A:$A,CN$2,領用表!$E:$E,B154)</f>
        <v>0</v>
      </c>
      <c r="CO154" s="206">
        <f>SUMIFS(領用表!$L:$L,領用表!$E:$E,$B154,領用表!$B:$B,CN$2&amp;CO$2)</f>
        <v>0</v>
      </c>
      <c r="CP154" s="206">
        <f>SUMIFS(領用表!$L:$L,領用表!$E:$E,$B154,領用表!$B:$B,$CN$2&amp;CP$2)</f>
        <v>0</v>
      </c>
      <c r="CQ154" s="206">
        <f>SUMIFS(領用表!$L:$L,領用表!$E:$E,$B154,領用表!$B:$B,$CN$2&amp;CQ$2)</f>
        <v>0</v>
      </c>
      <c r="CR154" s="296">
        <f>SUMIFS(領用表!$L:$L,領用表!$E:$E,$B154,領用表!$B:$B,$CN$2&amp;CR$2)</f>
        <v>0</v>
      </c>
      <c r="CS154" s="208">
        <f>SUMIFS(領用表!$L:$L,領用表!$A:$A,CS$2,領用表!$E:$E,B154)</f>
        <v>0</v>
      </c>
      <c r="CT154" s="206">
        <f>SUMIFS(領用表!$L:$L,領用表!$E:$E,$B154,領用表!$B:$B,CS$2&amp;CT$2)</f>
        <v>0</v>
      </c>
      <c r="CU154" s="206">
        <f>SUMIFS(領用表!$L:$L,領用表!$E:$E,$B154,領用表!$B:$B,$CS$2&amp;CU$2)</f>
        <v>0</v>
      </c>
      <c r="CV154" s="206">
        <f>SUMIFS(領用表!$L:$L,領用表!$E:$E,$B154,領用表!$B:$B,$CS$2&amp;CV$2)</f>
        <v>0</v>
      </c>
      <c r="CW154" s="206">
        <f>SUMIFS(領用表!$L:$L,領用表!$E:$E,$B154,領用表!$B:$B,$CS$2&amp;CW$2)</f>
        <v>0</v>
      </c>
      <c r="CX154" s="206">
        <f>SUMIFS(領用表!$L:$L,領用表!$E:$E,$B154,領用表!$B:$B,$CS$2&amp;CX$2)</f>
        <v>0</v>
      </c>
      <c r="CY154" s="208">
        <f>SUMIFS(領用表!$L:$L,領用表!$A:$A,CY$2,領用表!$E:$E,B154)</f>
        <v>0</v>
      </c>
      <c r="CZ154" s="296">
        <f>SUMIFS(領用表!$L:$L,領用表!$E:$E,$B154,領用表!$B:$B,CY$2&amp;CZ$2)</f>
        <v>0</v>
      </c>
      <c r="DA154" s="296">
        <f>SUMIFS(領用表!$L:$L,領用表!$E:$E,$B154,領用表!$B:$B,$CY$2&amp;DA$2)</f>
        <v>0</v>
      </c>
      <c r="DB154" s="296">
        <f>SUMIFS(領用表!$L:$L,領用表!$E:$E,$B154,領用表!$B:$B,$CY$2&amp;DB$2)</f>
        <v>0</v>
      </c>
      <c r="DC154" s="296">
        <f>SUMIFS(領用表!$L:$L,領用表!$E:$E,$B154,領用表!$B:$B,$CY$2&amp;DC$2)</f>
        <v>0</v>
      </c>
      <c r="DD154" s="296">
        <f>SUMIFS(領用表!$L:$L,領用表!$E:$E,$B154,領用表!$B:$B,$CY$2&amp;DD$2)</f>
        <v>0</v>
      </c>
      <c r="DE154" s="208">
        <f>SUMIFS(領用表!$L:$L,領用表!$A:$A,DE$2,領用表!$E:$E,B154)</f>
        <v>0</v>
      </c>
      <c r="DF154" s="296">
        <f>SUMIFS(領用表!$L:$L,領用表!$E:$E,$B154,領用表!$B:$B,DE$2&amp;DF$2)</f>
        <v>0</v>
      </c>
      <c r="DG154" s="296">
        <f>SUMIFS(領用表!$L:$L,領用表!$E:$E,$B154,領用表!$B:$B,$DE$2&amp;DG$2)</f>
        <v>0</v>
      </c>
      <c r="DH154" s="296">
        <f>SUMIFS(領用表!$L:$L,領用表!$E:$E,$B154,領用表!$B:$B,$DE$2&amp;DH$2)</f>
        <v>0</v>
      </c>
      <c r="DI154" s="296">
        <f>SUMIFS(領用表!$L:$L,領用表!$E:$E,$B154,領用表!$B:$B,$DE$2&amp;DI$2)</f>
        <v>0</v>
      </c>
      <c r="DJ154" s="296">
        <f>SUMIFS(領用表!$L:$L,領用表!$E:$E,$B154,領用表!$B:$B,$DE$2&amp;DJ$2)</f>
        <v>0</v>
      </c>
      <c r="DK154" s="208">
        <f>SUMIFS(領用表!$L:$L,領用表!$A:$A,DK$2,領用表!$E:$E,$B154)</f>
        <v>0</v>
      </c>
      <c r="DL154" s="296">
        <f>SUMIFS(領用表!$L:$L,領用表!$E:$E,$B154,領用表!$B:$B,DK$2&amp;DL$2)</f>
        <v>0</v>
      </c>
      <c r="DM154" s="296">
        <f>SUMIFS(領用表!$L:$L,領用表!$E:$E,$B154,領用表!$B:$B,$DK$2&amp;DM$2)</f>
        <v>0</v>
      </c>
      <c r="DN154" s="296">
        <f>SUMIFS(領用表!$L:$L,領用表!$E:$E,$B154,領用表!$B:$B,$DK$2&amp;DN$2)</f>
        <v>0</v>
      </c>
      <c r="DO154" s="296">
        <f>SUMIFS(領用表!$L:$L,領用表!$E:$E,$B154,領用表!$B:$B,$DK$2&amp;DO$2)</f>
        <v>0</v>
      </c>
      <c r="DP154" s="296">
        <f>SUMIFS(領用表!$L:$L,領用表!$E:$E,$B154,領用表!$B:$B,$DK$2&amp;DP$2)</f>
        <v>0</v>
      </c>
      <c r="DQ154" s="296">
        <f t="shared" si="49"/>
        <v>0</v>
      </c>
      <c r="DR154" s="296">
        <f t="shared" si="50"/>
        <v>0</v>
      </c>
      <c r="DS154" s="296">
        <f t="shared" si="48"/>
        <v>0</v>
      </c>
      <c r="DT154" s="296">
        <v>0</v>
      </c>
      <c r="DU154" s="296">
        <v>0</v>
      </c>
      <c r="DV154" s="296">
        <v>0</v>
      </c>
      <c r="DW154" s="296">
        <v>0</v>
      </c>
      <c r="DX154" s="258"/>
      <c r="DY154" s="283"/>
      <c r="DZ154" s="252"/>
      <c r="EA154" s="252"/>
      <c r="ED154" s="118">
        <f>IFERROR(VLOOKUP(A154,站前4樓!A:BF,57,0),0)</f>
        <v>0</v>
      </c>
      <c r="EE154" s="213">
        <f>IFERROR(VLOOKUP(A154,站前11樓!A:BE,57,0),0)</f>
        <v>0</v>
      </c>
      <c r="EF154" s="118">
        <f>IFERROR(VLOOKUP(A154,忠孝7樓!A:N,57,0),0)</f>
        <v>0</v>
      </c>
      <c r="EG154" s="118">
        <f>IFERROR(VLOOKUP(A154,忠孝國際醫學3樓!A:L,57,0),0)</f>
        <v>0</v>
      </c>
      <c r="EH154" s="118">
        <f t="shared" si="51"/>
        <v>0</v>
      </c>
    </row>
    <row r="155" spans="1:138" s="118" customFormat="1" ht="15.75" customHeight="1">
      <c r="A155" s="136" t="s">
        <v>178</v>
      </c>
      <c r="B155" s="14">
        <v>6080008</v>
      </c>
      <c r="C155" s="136" t="s">
        <v>556</v>
      </c>
      <c r="D155" s="285"/>
      <c r="E155" s="198" t="s">
        <v>15</v>
      </c>
      <c r="F155" s="225">
        <f>SUMIF(站前4樓!B:B,B155,站前4樓!F:F)</f>
        <v>0</v>
      </c>
      <c r="G155" s="225">
        <f>SUMIF(站前11樓!B:B,B155,站前11樓!F:F)</f>
        <v>1000</v>
      </c>
      <c r="H155" s="225">
        <f>SUMIF(忠孝7樓!B:B,B155,忠孝7樓!G:G)</f>
        <v>0</v>
      </c>
      <c r="I155" s="225">
        <f>SUMIF(忠孝國際醫學3樓!B:B,B155,忠孝國際醫學3樓!G:G)</f>
        <v>0</v>
      </c>
      <c r="J155" s="408">
        <f>SUMIF(忠孝健康7樓!B:B,B155,忠孝健康7樓!G:G)</f>
        <v>0</v>
      </c>
      <c r="K155" s="333"/>
      <c r="L155" s="333"/>
      <c r="M155" s="333"/>
      <c r="N155" s="333"/>
      <c r="O155" s="333"/>
      <c r="P155" s="333"/>
      <c r="Q155" s="333"/>
      <c r="R155" s="333"/>
      <c r="S155" s="333"/>
      <c r="T155" s="333"/>
      <c r="U155" s="333"/>
      <c r="V155" s="333"/>
      <c r="W155" s="333"/>
      <c r="X155" s="333"/>
      <c r="Y155" s="333"/>
      <c r="Z155" s="333"/>
      <c r="AA155" s="333"/>
      <c r="AB155" s="333"/>
      <c r="AC155" s="333"/>
      <c r="AD155" s="333"/>
      <c r="AE155" s="333"/>
      <c r="AF155" s="333"/>
      <c r="AG155" s="333"/>
      <c r="AH155" s="333"/>
      <c r="AI155" s="333"/>
      <c r="AJ155" s="292"/>
      <c r="AK155" s="292"/>
      <c r="AL155" s="292"/>
      <c r="AM155" s="292"/>
      <c r="AN155" s="292"/>
      <c r="AO155" s="292"/>
      <c r="AP155" s="292"/>
      <c r="AQ155" s="201"/>
      <c r="AR155" s="201"/>
      <c r="AS155" s="201"/>
      <c r="AT155" s="201"/>
      <c r="AU155" s="201"/>
      <c r="AV155" s="283"/>
      <c r="AW155" s="286"/>
      <c r="AX155" s="201"/>
      <c r="AY155" s="201"/>
      <c r="AZ155" s="201"/>
      <c r="BA155" s="201"/>
      <c r="BB155" s="201"/>
      <c r="BC155" s="203">
        <f>SUMIFS(領用表!$L:$L,領用表!$A:$A,BC$2,領用表!$E:$E,B155)</f>
        <v>0</v>
      </c>
      <c r="BD155" s="296">
        <f>SUMIFS(領用表!$L:$L,領用表!$E:$E,$B155,領用表!$B:$B,BC$2&amp;BD$2)</f>
        <v>0</v>
      </c>
      <c r="BE155" s="330">
        <f>SUMIFS(領用表!$L:$L,領用表!$E:$E,$B155,領用表!$B:$B,$BC$2&amp;BE$2)</f>
        <v>0</v>
      </c>
      <c r="BF155" s="330">
        <f>SUMIFS(領用表!$L:$L,領用表!$E:$E,$B155,領用表!$B:$B,$BC$2&amp;BF$2)</f>
        <v>0</v>
      </c>
      <c r="BG155" s="330">
        <f>SUMIFS(領用表!$L:$L,領用表!$E:$E,$B155,領用表!$B:$B,$BC$2&amp;BG$2)</f>
        <v>0</v>
      </c>
      <c r="BH155" s="203">
        <f>SUMIFS(領用表!$L:$L,領用表!$A:$A,BH$2,領用表!$E:$E,B155)</f>
        <v>0</v>
      </c>
      <c r="BI155" s="260">
        <f>SUMIFS(領用表!$L:$L,領用表!$E:$E,$B155,領用表!$B:$B,BH$2&amp;BI$2)</f>
        <v>0</v>
      </c>
      <c r="BJ155" s="260">
        <f>SUMIFS(領用表!$L:$L,領用表!$E:$E,$B155,領用表!$B:$B,$BH$2&amp;BJ$2)</f>
        <v>0</v>
      </c>
      <c r="BK155" s="260">
        <f>SUMIFS(領用表!$L:$L,領用表!$E:$E,$B155,領用表!$B:$B,$BH$2&amp;BK$2)</f>
        <v>0</v>
      </c>
      <c r="BL155" s="260">
        <f>SUMIFS(領用表!$L:$L,領用表!$E:$E,$B155,領用表!$B:$B,$BH$2&amp;BL$2)</f>
        <v>0</v>
      </c>
      <c r="BM155" s="203">
        <f>SUMIFS(領用表!$L:$L,領用表!$A:$A,BM$2,領用表!$E:$E,B155)</f>
        <v>0</v>
      </c>
      <c r="BN155" s="331">
        <f>SUMIFS(領用表!$L:$L,領用表!$E:$E,$B155,領用表!$B:$B,BM$2&amp;BN$2)</f>
        <v>0</v>
      </c>
      <c r="BO155" s="331">
        <f>SUMIFS(領用表!$L:$L,領用表!$E:$E,$B155,領用表!$B:$B,$BM$2&amp;BO$2)</f>
        <v>0</v>
      </c>
      <c r="BP155" s="288">
        <f>SUMIFS(領用表!$L:$L,領用表!$E:$E,$B155,領用表!$B:$B,$BM$2&amp;BP$2)</f>
        <v>0</v>
      </c>
      <c r="BQ155" s="287">
        <f>SUMIFS(領用表!$L:$L,領用表!$E:$E,$B155,領用表!$B:$B,$BM$2&amp;BQ$2)</f>
        <v>0</v>
      </c>
      <c r="BR155" s="203">
        <f>SUMIFS(領用表!$L:$L,領用表!$A:$A,BR$2,領用表!$E:$E,B155)</f>
        <v>0</v>
      </c>
      <c r="BS155" s="288">
        <f>SUMIFS(領用表!$L:$L,領用表!$E:$E,$B155,領用表!$B:$B,BR$2&amp;BS$2)</f>
        <v>0</v>
      </c>
      <c r="BT155" s="288">
        <f>SUMIFS(領用表!$L:$L,領用表!$E:$E,$B155,領用表!$B:$B,$BR$2&amp;BT$2)</f>
        <v>0</v>
      </c>
      <c r="BU155" s="288">
        <f>SUMIFS(領用表!$L:$L,領用表!$E:$E,$B155,領用表!$B:$B,$BR$2&amp;BU$2)</f>
        <v>0</v>
      </c>
      <c r="BV155" s="287">
        <f>SUMIFS(領用表!$L:$L,領用表!$E:$E,$B155,領用表!$B:$B,$BR$2&amp;BV$2)</f>
        <v>0</v>
      </c>
      <c r="BW155" s="208">
        <f>SUMIFS(領用表!$L:$L,領用表!$A:$A,BW$2,領用表!$E:$E,B155)</f>
        <v>0</v>
      </c>
      <c r="BX155" s="296">
        <f>SUMIFS(領用表!$L:$L,領用表!$E:$E,$B155,領用表!$B:$B,BW$2&amp;BX$2)</f>
        <v>0</v>
      </c>
      <c r="BY155" s="296">
        <f>SUMIFS(領用表!$L:$L,領用表!$E:$E,$B155,領用表!$B:$B,$BW$2&amp;BY$2)</f>
        <v>0</v>
      </c>
      <c r="BZ155" s="296">
        <f>SUMIFS(領用表!$L:$L,領用表!$E:$E,$B155,領用表!$B:$B,$BW$2&amp;BZ$2)</f>
        <v>0</v>
      </c>
      <c r="CA155" s="296">
        <f>SUMIFS(領用表!$L:$L,領用表!$E:$E,$B155,領用表!$B:$B,$BW$2&amp;CA$2)</f>
        <v>0</v>
      </c>
      <c r="CB155" s="208">
        <f>SUMIFS(領用表!$L:$L,領用表!$A:$A,CB$2,領用表!$E:$E,B155)</f>
        <v>0</v>
      </c>
      <c r="CC155" s="296">
        <f>SUMIFS(領用表!$L:$L,領用表!$E:$E,$B155,領用表!$B:$B,CB$2&amp;CC$2)</f>
        <v>0</v>
      </c>
      <c r="CD155" s="296">
        <f>SUMIFS(領用表!$L:$L,領用表!$E:$E,$B155,領用表!$B:$B,$CB$2&amp;CD$2)</f>
        <v>0</v>
      </c>
      <c r="CE155" s="296">
        <f>SUMIFS(領用表!$L:$L,領用表!$E:$E,$B155,領用表!$B:$B,$CB$2&amp;CE$2)</f>
        <v>0</v>
      </c>
      <c r="CF155" s="296">
        <f>SUMIFS(領用表!$L:$L,領用表!$E:$E,$B155,領用表!$B:$B,$CB$2&amp;CF$2)</f>
        <v>0</v>
      </c>
      <c r="CG155" s="335">
        <f>SUMIFS(領用表!$L:$L,領用表!$A:$A,CG$2,領用表!$E:$E,B155)</f>
        <v>0</v>
      </c>
      <c r="CH155" s="296">
        <f>SUMIFS(領用表!$L:$L,領用表!$E:$E,$B155,領用表!$B:$B,CG$2&amp;CH$2)</f>
        <v>0</v>
      </c>
      <c r="CI155" s="296">
        <f>SUMIFS(領用表!$L:$L,領用表!$E:$E,$B155,領用表!$B:$B,CG$2&amp;CI$2)</f>
        <v>0</v>
      </c>
      <c r="CJ155" s="296">
        <f>SUMIFS(領用表!$L:$L,領用表!$E:$E,$B155,領用表!$B:$B,CG$2&amp;CJ$2)</f>
        <v>0</v>
      </c>
      <c r="CK155" s="296">
        <f>SUMIFS(領用表!$L:$L,領用表!$E:$E,$B155,領用表!$B:$B,$CG$2&amp;CK$2)</f>
        <v>0</v>
      </c>
      <c r="CL155" s="207">
        <f t="shared" si="46"/>
        <v>0</v>
      </c>
      <c r="CM155" s="207">
        <f t="shared" si="47"/>
        <v>0</v>
      </c>
      <c r="CN155" s="208">
        <f>SUMIFS(領用表!$L:$L,領用表!$A:$A,CN$2,領用表!$E:$E,B155)</f>
        <v>0</v>
      </c>
      <c r="CO155" s="206">
        <f>SUMIFS(領用表!$L:$L,領用表!$E:$E,$B155,領用表!$B:$B,CN$2&amp;CO$2)</f>
        <v>0</v>
      </c>
      <c r="CP155" s="206">
        <f>SUMIFS(領用表!$L:$L,領用表!$E:$E,$B155,領用表!$B:$B,$CN$2&amp;CP$2)</f>
        <v>0</v>
      </c>
      <c r="CQ155" s="206">
        <f>SUMIFS(領用表!$L:$L,領用表!$E:$E,$B155,領用表!$B:$B,$CN$2&amp;CQ$2)</f>
        <v>0</v>
      </c>
      <c r="CR155" s="296">
        <f>SUMIFS(領用表!$L:$L,領用表!$E:$E,$B155,領用表!$B:$B,$CN$2&amp;CR$2)</f>
        <v>0</v>
      </c>
      <c r="CS155" s="208">
        <f>SUMIFS(領用表!$L:$L,領用表!$A:$A,CS$2,領用表!$E:$E,B155)</f>
        <v>0</v>
      </c>
      <c r="CT155" s="206">
        <f>SUMIFS(領用表!$L:$L,領用表!$E:$E,$B155,領用表!$B:$B,CS$2&amp;CT$2)</f>
        <v>0</v>
      </c>
      <c r="CU155" s="206">
        <f>SUMIFS(領用表!$L:$L,領用表!$E:$E,$B155,領用表!$B:$B,$CS$2&amp;CU$2)</f>
        <v>0</v>
      </c>
      <c r="CV155" s="206">
        <f>SUMIFS(領用表!$L:$L,領用表!$E:$E,$B155,領用表!$B:$B,$CS$2&amp;CV$2)</f>
        <v>0</v>
      </c>
      <c r="CW155" s="206">
        <f>SUMIFS(領用表!$L:$L,領用表!$E:$E,$B155,領用表!$B:$B,$CS$2&amp;CW$2)</f>
        <v>0</v>
      </c>
      <c r="CX155" s="206">
        <f>SUMIFS(領用表!$L:$L,領用表!$E:$E,$B155,領用表!$B:$B,$CS$2&amp;CX$2)</f>
        <v>0</v>
      </c>
      <c r="CY155" s="208">
        <f>SUMIFS(領用表!$L:$L,領用表!$A:$A,CY$2,領用表!$E:$E,B155)</f>
        <v>0</v>
      </c>
      <c r="CZ155" s="296">
        <f>SUMIFS(領用表!$L:$L,領用表!$E:$E,$B155,領用表!$B:$B,CY$2&amp;CZ$2)</f>
        <v>0</v>
      </c>
      <c r="DA155" s="296">
        <f>SUMIFS(領用表!$L:$L,領用表!$E:$E,$B155,領用表!$B:$B,$CY$2&amp;DA$2)</f>
        <v>0</v>
      </c>
      <c r="DB155" s="296">
        <f>SUMIFS(領用表!$L:$L,領用表!$E:$E,$B155,領用表!$B:$B,$CY$2&amp;DB$2)</f>
        <v>0</v>
      </c>
      <c r="DC155" s="296">
        <f>SUMIFS(領用表!$L:$L,領用表!$E:$E,$B155,領用表!$B:$B,$CY$2&amp;DC$2)</f>
        <v>0</v>
      </c>
      <c r="DD155" s="296">
        <f>SUMIFS(領用表!$L:$L,領用表!$E:$E,$B155,領用表!$B:$B,$CY$2&amp;DD$2)</f>
        <v>0</v>
      </c>
      <c r="DE155" s="208">
        <f>SUMIFS(領用表!$L:$L,領用表!$A:$A,DE$2,領用表!$E:$E,B155)</f>
        <v>0</v>
      </c>
      <c r="DF155" s="296">
        <f>SUMIFS(領用表!$L:$L,領用表!$E:$E,$B155,領用表!$B:$B,DE$2&amp;DF$2)</f>
        <v>0</v>
      </c>
      <c r="DG155" s="296">
        <f>SUMIFS(領用表!$L:$L,領用表!$E:$E,$B155,領用表!$B:$B,$DE$2&amp;DG$2)</f>
        <v>0</v>
      </c>
      <c r="DH155" s="296">
        <f>SUMIFS(領用表!$L:$L,領用表!$E:$E,$B155,領用表!$B:$B,$DE$2&amp;DH$2)</f>
        <v>0</v>
      </c>
      <c r="DI155" s="296">
        <f>SUMIFS(領用表!$L:$L,領用表!$E:$E,$B155,領用表!$B:$B,$DE$2&amp;DI$2)</f>
        <v>0</v>
      </c>
      <c r="DJ155" s="296">
        <f>SUMIFS(領用表!$L:$L,領用表!$E:$E,$B155,領用表!$B:$B,$DE$2&amp;DJ$2)</f>
        <v>0</v>
      </c>
      <c r="DK155" s="208">
        <f>SUMIFS(領用表!$L:$L,領用表!$A:$A,DK$2,領用表!$E:$E,$B155)</f>
        <v>500</v>
      </c>
      <c r="DL155" s="296">
        <f>SUMIFS(領用表!$L:$L,領用表!$E:$E,$B155,領用表!$B:$B,DK$2&amp;DL$2)</f>
        <v>0</v>
      </c>
      <c r="DM155" s="296">
        <f>SUMIFS(領用表!$L:$L,領用表!$E:$E,$B155,領用表!$B:$B,$DK$2&amp;DM$2)</f>
        <v>0</v>
      </c>
      <c r="DN155" s="296">
        <f>SUMIFS(領用表!$L:$L,領用表!$E:$E,$B155,領用表!$B:$B,$DK$2&amp;DN$2)</f>
        <v>500</v>
      </c>
      <c r="DO155" s="296">
        <f>SUMIFS(領用表!$L:$L,領用表!$E:$E,$B155,領用表!$B:$B,$DK$2&amp;DO$2)</f>
        <v>0</v>
      </c>
      <c r="DP155" s="296">
        <f>SUMIFS(領用表!$L:$L,領用表!$E:$E,$B155,領用表!$B:$B,$DK$2&amp;DP$2)</f>
        <v>0</v>
      </c>
      <c r="DQ155" s="296">
        <f t="shared" si="49"/>
        <v>500</v>
      </c>
      <c r="DR155" s="296">
        <f t="shared" si="50"/>
        <v>100</v>
      </c>
      <c r="DS155" s="296">
        <f t="shared" si="48"/>
        <v>0</v>
      </c>
      <c r="DT155" s="296">
        <v>0</v>
      </c>
      <c r="DU155" s="296">
        <v>0</v>
      </c>
      <c r="DV155" s="296">
        <v>0</v>
      </c>
      <c r="DW155" s="296">
        <v>0</v>
      </c>
      <c r="DX155" s="258"/>
      <c r="DY155" s="283"/>
      <c r="DZ155" s="252" t="s">
        <v>179</v>
      </c>
      <c r="EA155" s="252"/>
      <c r="ED155" s="118">
        <f>IFERROR(VLOOKUP(A155,站前4樓!A:BF,57,0),0)</f>
        <v>0</v>
      </c>
      <c r="EE155" s="213">
        <f>IFERROR(VLOOKUP(A155,站前11樓!A:BE,57,0),0)</f>
        <v>0</v>
      </c>
      <c r="EF155" s="118">
        <f>IFERROR(VLOOKUP(A155,忠孝7樓!A:N,57,0),0)</f>
        <v>0</v>
      </c>
      <c r="EG155" s="118">
        <f>IFERROR(VLOOKUP(A155,忠孝國際醫學3樓!A:L,57,0),0)</f>
        <v>0</v>
      </c>
      <c r="EH155" s="118">
        <f t="shared" si="51"/>
        <v>0</v>
      </c>
    </row>
    <row r="156" spans="1:138" s="118" customFormat="1" ht="15.75" customHeight="1">
      <c r="A156" s="136" t="s">
        <v>180</v>
      </c>
      <c r="B156" s="118">
        <v>1050001</v>
      </c>
      <c r="C156" s="136" t="s">
        <v>557</v>
      </c>
      <c r="D156" s="285"/>
      <c r="E156" s="198" t="s">
        <v>15</v>
      </c>
      <c r="F156" s="225">
        <f>SUMIF(站前4樓!B:B,B156,站前4樓!F:F)</f>
        <v>0</v>
      </c>
      <c r="G156" s="225">
        <f>SUMIF(站前11樓!B:B,B156,站前11樓!F:F)</f>
        <v>0</v>
      </c>
      <c r="H156" s="225">
        <f>SUMIF(忠孝7樓!B:B,B156,忠孝7樓!G:G)</f>
        <v>0</v>
      </c>
      <c r="I156" s="225">
        <f>SUMIF(忠孝國際醫學3樓!B:B,B156,忠孝國際醫學3樓!G:G)</f>
        <v>0</v>
      </c>
      <c r="J156" s="225">
        <f>SUMIF(忠孝健康7樓!B:B,B156,忠孝健康7樓!G:G)</f>
        <v>0</v>
      </c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83"/>
      <c r="AB156" s="283"/>
      <c r="AC156" s="283"/>
      <c r="AD156" s="283"/>
      <c r="AE156" s="283"/>
      <c r="AF156" s="283"/>
      <c r="AG156" s="283"/>
      <c r="AH156" s="283"/>
      <c r="AI156" s="283"/>
      <c r="AJ156" s="201"/>
      <c r="AK156" s="201"/>
      <c r="AL156" s="201"/>
      <c r="AM156" s="201"/>
      <c r="AN156" s="201"/>
      <c r="AO156" s="201"/>
      <c r="AP156" s="201"/>
      <c r="AQ156" s="201">
        <v>0</v>
      </c>
      <c r="AR156" s="201">
        <v>0</v>
      </c>
      <c r="AS156" s="201">
        <v>0</v>
      </c>
      <c r="AT156" s="201">
        <v>0</v>
      </c>
      <c r="AU156" s="201">
        <v>0</v>
      </c>
      <c r="AV156" s="283">
        <f>SUM(AJ156:AU156)</f>
        <v>0</v>
      </c>
      <c r="AW156" s="286">
        <f>AV156/12</f>
        <v>0</v>
      </c>
      <c r="AX156" s="201">
        <v>0</v>
      </c>
      <c r="AY156" s="201">
        <v>0</v>
      </c>
      <c r="AZ156" s="201">
        <v>0</v>
      </c>
      <c r="BA156" s="201">
        <v>48</v>
      </c>
      <c r="BB156" s="201">
        <v>24</v>
      </c>
      <c r="BC156" s="203">
        <f>SUMIFS(領用表!$L:$L,領用表!$A:$A,BC$2,領用表!$E:$E,B156)</f>
        <v>0</v>
      </c>
      <c r="BD156" s="296">
        <f>SUMIFS(領用表!$L:$L,領用表!$E:$E,$B156,領用表!$B:$B,BC$2&amp;BD$2)</f>
        <v>0</v>
      </c>
      <c r="BE156" s="296">
        <f>SUMIFS(領用表!$L:$L,領用表!$E:$E,$B156,領用表!$B:$B,$BC$2&amp;BE$2)</f>
        <v>0</v>
      </c>
      <c r="BF156" s="296">
        <f>SUMIFS(領用表!$L:$L,領用表!$E:$E,$B156,領用表!$B:$B,$BC$2&amp;BF$2)</f>
        <v>0</v>
      </c>
      <c r="BG156" s="296">
        <f>SUMIFS(領用表!$L:$L,領用表!$E:$E,$B156,領用表!$B:$B,$BC$2&amp;BG$2)</f>
        <v>0</v>
      </c>
      <c r="BH156" s="203">
        <f>SUMIFS(領用表!$L:$L,領用表!$A:$A,BH$2,領用表!$E:$E,B156)</f>
        <v>0</v>
      </c>
      <c r="BI156" s="260">
        <f>SUMIFS(領用表!$L:$L,領用表!$E:$E,$B156,領用表!$B:$B,BH$2&amp;BI$2)</f>
        <v>0</v>
      </c>
      <c r="BJ156" s="260">
        <f>SUMIFS(領用表!$L:$L,領用表!$E:$E,$B156,領用表!$B:$B,$BH$2&amp;BJ$2)</f>
        <v>0</v>
      </c>
      <c r="BK156" s="260">
        <f>SUMIFS(領用表!$L:$L,領用表!$E:$E,$B156,領用表!$B:$B,$BH$2&amp;BK$2)</f>
        <v>0</v>
      </c>
      <c r="BL156" s="260">
        <f>SUMIFS(領用表!$L:$L,領用表!$E:$E,$B156,領用表!$B:$B,$BH$2&amp;BL$2)</f>
        <v>0</v>
      </c>
      <c r="BM156" s="203">
        <f>SUMIFS(領用表!$L:$L,領用表!$A:$A,BM$2,領用表!$E:$E,B156)</f>
        <v>0</v>
      </c>
      <c r="BN156" s="206">
        <f>SUMIFS(領用表!$L:$L,領用表!$E:$E,$B156,領用表!$B:$B,BM$2&amp;BN$2)</f>
        <v>0</v>
      </c>
      <c r="BO156" s="206">
        <f>SUMIFS(領用表!$L:$L,領用表!$E:$E,$B156,領用表!$B:$B,$BM$2&amp;BO$2)</f>
        <v>0</v>
      </c>
      <c r="BP156" s="288">
        <f>SUMIFS(領用表!$L:$L,領用表!$E:$E,$B156,領用表!$B:$B,$BM$2&amp;BP$2)</f>
        <v>0</v>
      </c>
      <c r="BQ156" s="287">
        <f>SUMIFS(領用表!$L:$L,領用表!$E:$E,$B156,領用表!$B:$B,$BM$2&amp;BQ$2)</f>
        <v>0</v>
      </c>
      <c r="BR156" s="203">
        <f>SUMIFS(領用表!$L:$L,領用表!$A:$A,BR$2,領用表!$E:$E,B156)</f>
        <v>0</v>
      </c>
      <c r="BS156" s="288">
        <f>SUMIFS(領用表!$L:$L,領用表!$E:$E,$B156,領用表!$B:$B,BR$2&amp;BS$2)</f>
        <v>0</v>
      </c>
      <c r="BT156" s="288">
        <f>SUMIFS(領用表!$L:$L,領用表!$E:$E,$B156,領用表!$B:$B,$BR$2&amp;BT$2)</f>
        <v>0</v>
      </c>
      <c r="BU156" s="288">
        <f>SUMIFS(領用表!$L:$L,領用表!$E:$E,$B156,領用表!$B:$B,$BR$2&amp;BU$2)</f>
        <v>0</v>
      </c>
      <c r="BV156" s="287">
        <f>SUMIFS(領用表!$L:$L,領用表!$E:$E,$B156,領用表!$B:$B,$BR$2&amp;BV$2)</f>
        <v>0</v>
      </c>
      <c r="BW156" s="208">
        <f>SUMIFS(領用表!$L:$L,領用表!$A:$A,BW$2,領用表!$E:$E,B156)</f>
        <v>0</v>
      </c>
      <c r="BX156" s="296">
        <f>SUMIFS(領用表!$L:$L,領用表!$E:$E,$B156,領用表!$B:$B,BW$2&amp;BX$2)</f>
        <v>0</v>
      </c>
      <c r="BY156" s="296">
        <f>SUMIFS(領用表!$L:$L,領用表!$E:$E,$B156,領用表!$B:$B,$BW$2&amp;BY$2)</f>
        <v>0</v>
      </c>
      <c r="BZ156" s="296">
        <f>SUMIFS(領用表!$L:$L,領用表!$E:$E,$B156,領用表!$B:$B,$BW$2&amp;BZ$2)</f>
        <v>0</v>
      </c>
      <c r="CA156" s="296">
        <f>SUMIFS(領用表!$L:$L,領用表!$E:$E,$B156,領用表!$B:$B,$BW$2&amp;CA$2)</f>
        <v>0</v>
      </c>
      <c r="CB156" s="208">
        <f>SUMIFS(領用表!$L:$L,領用表!$A:$A,CB$2,領用表!$E:$E,B156)</f>
        <v>0</v>
      </c>
      <c r="CC156" s="296">
        <f>SUMIFS(領用表!$L:$L,領用表!$E:$E,$B156,領用表!$B:$B,CB$2&amp;CC$2)</f>
        <v>0</v>
      </c>
      <c r="CD156" s="296">
        <f>SUMIFS(領用表!$L:$L,領用表!$E:$E,$B156,領用表!$B:$B,$CB$2&amp;CD$2)</f>
        <v>0</v>
      </c>
      <c r="CE156" s="296">
        <f>SUMIFS(領用表!$L:$L,領用表!$E:$E,$B156,領用表!$B:$B,$CB$2&amp;CE$2)</f>
        <v>0</v>
      </c>
      <c r="CF156" s="296">
        <f>SUMIFS(領用表!$L:$L,領用表!$E:$E,$B156,領用表!$B:$B,$CB$2&amp;CF$2)</f>
        <v>0</v>
      </c>
      <c r="CG156" s="335">
        <f>SUMIFS(領用表!$L:$L,領用表!$A:$A,CG$2,領用表!$E:$E,B156)</f>
        <v>0</v>
      </c>
      <c r="CH156" s="296">
        <f>SUMIFS(領用表!$L:$L,領用表!$E:$E,$B156,領用表!$B:$B,CG$2&amp;CH$2)</f>
        <v>0</v>
      </c>
      <c r="CI156" s="296">
        <f>SUMIFS(領用表!$L:$L,領用表!$E:$E,$B156,領用表!$B:$B,CG$2&amp;CI$2)</f>
        <v>0</v>
      </c>
      <c r="CJ156" s="296">
        <f>SUMIFS(領用表!$L:$L,領用表!$E:$E,$B156,領用表!$B:$B,CG$2&amp;CJ$2)</f>
        <v>0</v>
      </c>
      <c r="CK156" s="296">
        <f>SUMIFS(領用表!$L:$L,領用表!$E:$E,$B156,領用表!$B:$B,$CG$2&amp;CK$2)</f>
        <v>0</v>
      </c>
      <c r="CL156" s="207">
        <f t="shared" si="46"/>
        <v>72</v>
      </c>
      <c r="CM156" s="207">
        <f t="shared" si="47"/>
        <v>6</v>
      </c>
      <c r="CN156" s="208">
        <f>SUMIFS(領用表!$L:$L,領用表!$A:$A,CN$2,領用表!$E:$E,B156)</f>
        <v>0</v>
      </c>
      <c r="CO156" s="206">
        <f>SUMIFS(領用表!$L:$L,領用表!$E:$E,$B156,領用表!$B:$B,CN$2&amp;CO$2)</f>
        <v>0</v>
      </c>
      <c r="CP156" s="206">
        <f>SUMIFS(領用表!$L:$L,領用表!$E:$E,$B156,領用表!$B:$B,$CN$2&amp;CP$2)</f>
        <v>0</v>
      </c>
      <c r="CQ156" s="206">
        <f>SUMIFS(領用表!$L:$L,領用表!$E:$E,$B156,領用表!$B:$B,$CN$2&amp;CQ$2)</f>
        <v>0</v>
      </c>
      <c r="CR156" s="296">
        <f>SUMIFS(領用表!$L:$L,領用表!$E:$E,$B156,領用表!$B:$B,$CN$2&amp;CR$2)</f>
        <v>0</v>
      </c>
      <c r="CS156" s="208">
        <f>SUMIFS(領用表!$L:$L,領用表!$A:$A,CS$2,領用表!$E:$E,B156)</f>
        <v>0</v>
      </c>
      <c r="CT156" s="206">
        <f>SUMIFS(領用表!$L:$L,領用表!$E:$E,$B156,領用表!$B:$B,CS$2&amp;CT$2)</f>
        <v>0</v>
      </c>
      <c r="CU156" s="206">
        <f>SUMIFS(領用表!$L:$L,領用表!$E:$E,$B156,領用表!$B:$B,$CS$2&amp;CU$2)</f>
        <v>0</v>
      </c>
      <c r="CV156" s="206">
        <f>SUMIFS(領用表!$L:$L,領用表!$E:$E,$B156,領用表!$B:$B,$CS$2&amp;CV$2)</f>
        <v>0</v>
      </c>
      <c r="CW156" s="206">
        <f>SUMIFS(領用表!$L:$L,領用表!$E:$E,$B156,領用表!$B:$B,$CS$2&amp;CW$2)</f>
        <v>0</v>
      </c>
      <c r="CX156" s="206">
        <f>SUMIFS(領用表!$L:$L,領用表!$E:$E,$B156,領用表!$B:$B,$CS$2&amp;CX$2)</f>
        <v>0</v>
      </c>
      <c r="CY156" s="208">
        <f>SUMIFS(領用表!$L:$L,領用表!$A:$A,CY$2,領用表!$E:$E,B156)</f>
        <v>0</v>
      </c>
      <c r="CZ156" s="296">
        <f>SUMIFS(領用表!$L:$L,領用表!$E:$E,$B156,領用表!$B:$B,CY$2&amp;CZ$2)</f>
        <v>0</v>
      </c>
      <c r="DA156" s="296">
        <f>SUMIFS(領用表!$L:$L,領用表!$E:$E,$B156,領用表!$B:$B,$CY$2&amp;DA$2)</f>
        <v>0</v>
      </c>
      <c r="DB156" s="296">
        <f>SUMIFS(領用表!$L:$L,領用表!$E:$E,$B156,領用表!$B:$B,$CY$2&amp;DB$2)</f>
        <v>0</v>
      </c>
      <c r="DC156" s="296">
        <f>SUMIFS(領用表!$L:$L,領用表!$E:$E,$B156,領用表!$B:$B,$CY$2&amp;DC$2)</f>
        <v>0</v>
      </c>
      <c r="DD156" s="296">
        <f>SUMIFS(領用表!$L:$L,領用表!$E:$E,$B156,領用表!$B:$B,$CY$2&amp;DD$2)</f>
        <v>0</v>
      </c>
      <c r="DE156" s="208">
        <f>SUMIFS(領用表!$L:$L,領用表!$A:$A,DE$2,領用表!$E:$E,B156)</f>
        <v>0</v>
      </c>
      <c r="DF156" s="296">
        <f>SUMIFS(領用表!$L:$L,領用表!$E:$E,$B156,領用表!$B:$B,DE$2&amp;DF$2)</f>
        <v>0</v>
      </c>
      <c r="DG156" s="296">
        <f>SUMIFS(領用表!$L:$L,領用表!$E:$E,$B156,領用表!$B:$B,$DE$2&amp;DG$2)</f>
        <v>0</v>
      </c>
      <c r="DH156" s="296">
        <f>SUMIFS(領用表!$L:$L,領用表!$E:$E,$B156,領用表!$B:$B,$DE$2&amp;DH$2)</f>
        <v>0</v>
      </c>
      <c r="DI156" s="296">
        <f>SUMIFS(領用表!$L:$L,領用表!$E:$E,$B156,領用表!$B:$B,$DE$2&amp;DI$2)</f>
        <v>0</v>
      </c>
      <c r="DJ156" s="296">
        <f>SUMIFS(領用表!$L:$L,領用表!$E:$E,$B156,領用表!$B:$B,$DE$2&amp;DJ$2)</f>
        <v>0</v>
      </c>
      <c r="DK156" s="208">
        <f>SUMIFS(領用表!$L:$L,領用表!$A:$A,DK$2,領用表!$E:$E,$B156)</f>
        <v>0</v>
      </c>
      <c r="DL156" s="296">
        <f>SUMIFS(領用表!$L:$L,領用表!$E:$E,$B156,領用表!$B:$B,DK$2&amp;DL$2)</f>
        <v>0</v>
      </c>
      <c r="DM156" s="296">
        <f>SUMIFS(領用表!$L:$L,領用表!$E:$E,$B156,領用表!$B:$B,$DK$2&amp;DM$2)</f>
        <v>0</v>
      </c>
      <c r="DN156" s="296">
        <f>SUMIFS(領用表!$L:$L,領用表!$E:$E,$B156,領用表!$B:$B,$DK$2&amp;DN$2)</f>
        <v>0</v>
      </c>
      <c r="DO156" s="296">
        <f>SUMIFS(領用表!$L:$L,領用表!$E:$E,$B156,領用表!$B:$B,$DK$2&amp;DO$2)</f>
        <v>0</v>
      </c>
      <c r="DP156" s="296">
        <f>SUMIFS(領用表!$L:$L,領用表!$E:$E,$B156,領用表!$B:$B,$DK$2&amp;DP$2)</f>
        <v>0</v>
      </c>
      <c r="DQ156" s="296">
        <f t="shared" si="49"/>
        <v>0</v>
      </c>
      <c r="DR156" s="296">
        <f t="shared" si="50"/>
        <v>0</v>
      </c>
      <c r="DS156" s="296">
        <f t="shared" si="48"/>
        <v>0</v>
      </c>
      <c r="DT156" s="296">
        <v>0</v>
      </c>
      <c r="DU156" s="296">
        <v>0</v>
      </c>
      <c r="DV156" s="296">
        <v>0</v>
      </c>
      <c r="DW156" s="296">
        <v>0</v>
      </c>
      <c r="DX156" s="258"/>
      <c r="DY156" s="283"/>
      <c r="DZ156" s="252"/>
      <c r="EA156" s="252"/>
      <c r="EB156" s="136"/>
      <c r="EC156" s="136"/>
      <c r="ED156" s="118">
        <f>IFERROR(VLOOKUP(A156,站前4樓!A:BF,57,0),0)</f>
        <v>0</v>
      </c>
      <c r="EE156" s="213">
        <f>IFERROR(VLOOKUP(A156,站前11樓!A:BE,57,0),0)</f>
        <v>0</v>
      </c>
      <c r="EF156" s="118">
        <f>IFERROR(VLOOKUP(A156,忠孝7樓!A:N,57,0),0)</f>
        <v>0</v>
      </c>
      <c r="EG156" s="118">
        <f>IFERROR(VLOOKUP(A156,忠孝國際醫學3樓!A:L,57,0),0)</f>
        <v>0</v>
      </c>
      <c r="EH156" s="118">
        <f t="shared" si="51"/>
        <v>0</v>
      </c>
    </row>
    <row r="157" spans="1:138" s="118" customFormat="1" ht="15.75" customHeight="1">
      <c r="A157" s="136" t="s">
        <v>181</v>
      </c>
      <c r="B157" s="118">
        <v>1050002</v>
      </c>
      <c r="C157" s="136" t="s">
        <v>558</v>
      </c>
      <c r="D157" s="285"/>
      <c r="E157" s="198" t="s">
        <v>15</v>
      </c>
      <c r="F157" s="225">
        <f>SUMIF(站前4樓!B:B,B157,站前4樓!F:F)</f>
        <v>0</v>
      </c>
      <c r="G157" s="225">
        <f>SUMIF(站前11樓!B:B,B157,站前11樓!F:F)</f>
        <v>0</v>
      </c>
      <c r="H157" s="225">
        <f>SUMIF(忠孝7樓!B:B,B157,忠孝7樓!G:G)</f>
        <v>0</v>
      </c>
      <c r="I157" s="225">
        <f>SUMIF(忠孝國際醫學3樓!B:B,B157,忠孝國際醫學3樓!G:G)</f>
        <v>0</v>
      </c>
      <c r="J157" s="225">
        <f>SUMIF(忠孝健康7樓!B:B,B157,忠孝健康7樓!G:G)</f>
        <v>0</v>
      </c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83"/>
      <c r="AB157" s="283"/>
      <c r="AC157" s="283"/>
      <c r="AD157" s="283"/>
      <c r="AE157" s="283"/>
      <c r="AF157" s="283"/>
      <c r="AG157" s="283"/>
      <c r="AH157" s="283"/>
      <c r="AI157" s="283"/>
      <c r="AJ157" s="201"/>
      <c r="AK157" s="201"/>
      <c r="AL157" s="201"/>
      <c r="AM157" s="201"/>
      <c r="AN157" s="201"/>
      <c r="AO157" s="201"/>
      <c r="AP157" s="201"/>
      <c r="AQ157" s="201">
        <v>0</v>
      </c>
      <c r="AR157" s="201">
        <v>0</v>
      </c>
      <c r="AS157" s="201">
        <v>0</v>
      </c>
      <c r="AT157" s="201">
        <v>0</v>
      </c>
      <c r="AU157" s="201">
        <v>0</v>
      </c>
      <c r="AV157" s="283">
        <f>SUM(AJ157:AU157)</f>
        <v>0</v>
      </c>
      <c r="AW157" s="286">
        <f>AV157/12</f>
        <v>0</v>
      </c>
      <c r="AX157" s="201">
        <v>0</v>
      </c>
      <c r="AY157" s="201">
        <v>0</v>
      </c>
      <c r="AZ157" s="201">
        <v>0</v>
      </c>
      <c r="BA157" s="201">
        <v>0</v>
      </c>
      <c r="BB157" s="201">
        <v>0</v>
      </c>
      <c r="BC157" s="203">
        <f>SUMIFS(領用表!$L:$L,領用表!$A:$A,BC$2,領用表!$E:$E,B157)</f>
        <v>0</v>
      </c>
      <c r="BD157" s="296">
        <f>SUMIFS(領用表!$L:$L,領用表!$E:$E,$B157,領用表!$B:$B,BC$2&amp;BD$2)</f>
        <v>0</v>
      </c>
      <c r="BE157" s="296">
        <f>SUMIFS(領用表!$L:$L,領用表!$E:$E,$B157,領用表!$B:$B,$BC$2&amp;BE$2)</f>
        <v>0</v>
      </c>
      <c r="BF157" s="296">
        <f>SUMIFS(領用表!$L:$L,領用表!$E:$E,$B157,領用表!$B:$B,$BC$2&amp;BF$2)</f>
        <v>0</v>
      </c>
      <c r="BG157" s="296">
        <f>SUMIFS(領用表!$L:$L,領用表!$E:$E,$B157,領用表!$B:$B,$BC$2&amp;BG$2)</f>
        <v>0</v>
      </c>
      <c r="BH157" s="203">
        <f>SUMIFS(領用表!$L:$L,領用表!$A:$A,BH$2,領用表!$E:$E,B157)</f>
        <v>0</v>
      </c>
      <c r="BI157" s="260">
        <f>SUMIFS(領用表!$L:$L,領用表!$E:$E,$B157,領用表!$B:$B,BH$2&amp;BI$2)</f>
        <v>0</v>
      </c>
      <c r="BJ157" s="260">
        <f>SUMIFS(領用表!$L:$L,領用表!$E:$E,$B157,領用表!$B:$B,$BH$2&amp;BJ$2)</f>
        <v>0</v>
      </c>
      <c r="BK157" s="260">
        <f>SUMIFS(領用表!$L:$L,領用表!$E:$E,$B157,領用表!$B:$B,$BH$2&amp;BK$2)</f>
        <v>0</v>
      </c>
      <c r="BL157" s="260">
        <f>SUMIFS(領用表!$L:$L,領用表!$E:$E,$B157,領用表!$B:$B,$BH$2&amp;BL$2)</f>
        <v>0</v>
      </c>
      <c r="BM157" s="203">
        <f>SUMIFS(領用表!$L:$L,領用表!$A:$A,BM$2,領用表!$E:$E,B157)</f>
        <v>0</v>
      </c>
      <c r="BN157" s="206">
        <f>SUMIFS(領用表!$L:$L,領用表!$E:$E,$B157,領用表!$B:$B,BM$2&amp;BN$2)</f>
        <v>0</v>
      </c>
      <c r="BO157" s="206">
        <f>SUMIFS(領用表!$L:$L,領用表!$E:$E,$B157,領用表!$B:$B,$BM$2&amp;BO$2)</f>
        <v>0</v>
      </c>
      <c r="BP157" s="288">
        <f>SUMIFS(領用表!$L:$L,領用表!$E:$E,$B157,領用表!$B:$B,$BM$2&amp;BP$2)</f>
        <v>0</v>
      </c>
      <c r="BQ157" s="287">
        <f>SUMIFS(領用表!$L:$L,領用表!$E:$E,$B157,領用表!$B:$B,$BM$2&amp;BQ$2)</f>
        <v>0</v>
      </c>
      <c r="BR157" s="203">
        <f>SUMIFS(領用表!$L:$L,領用表!$A:$A,BR$2,領用表!$E:$E,B157)</f>
        <v>0</v>
      </c>
      <c r="BS157" s="288">
        <f>SUMIFS(領用表!$L:$L,領用表!$E:$E,$B157,領用表!$B:$B,BR$2&amp;BS$2)</f>
        <v>0</v>
      </c>
      <c r="BT157" s="288">
        <f>SUMIFS(領用表!$L:$L,領用表!$E:$E,$B157,領用表!$B:$B,$BR$2&amp;BT$2)</f>
        <v>0</v>
      </c>
      <c r="BU157" s="288">
        <f>SUMIFS(領用表!$L:$L,領用表!$E:$E,$B157,領用表!$B:$B,$BR$2&amp;BU$2)</f>
        <v>0</v>
      </c>
      <c r="BV157" s="287">
        <f>SUMIFS(領用表!$L:$L,領用表!$E:$E,$B157,領用表!$B:$B,$BR$2&amp;BV$2)</f>
        <v>0</v>
      </c>
      <c r="BW157" s="208">
        <f>SUMIFS(領用表!$L:$L,領用表!$A:$A,BW$2,領用表!$E:$E,B157)</f>
        <v>0</v>
      </c>
      <c r="BX157" s="296">
        <f>SUMIFS(領用表!$L:$L,領用表!$E:$E,$B157,領用表!$B:$B,BW$2&amp;BX$2)</f>
        <v>0</v>
      </c>
      <c r="BY157" s="296">
        <f>SUMIFS(領用表!$L:$L,領用表!$E:$E,$B157,領用表!$B:$B,$BW$2&amp;BY$2)</f>
        <v>0</v>
      </c>
      <c r="BZ157" s="296">
        <f>SUMIFS(領用表!$L:$L,領用表!$E:$E,$B157,領用表!$B:$B,$BW$2&amp;BZ$2)</f>
        <v>0</v>
      </c>
      <c r="CA157" s="296">
        <f>SUMIFS(領用表!$L:$L,領用表!$E:$E,$B157,領用表!$B:$B,$BW$2&amp;CA$2)</f>
        <v>0</v>
      </c>
      <c r="CB157" s="208">
        <f>SUMIFS(領用表!$L:$L,領用表!$A:$A,CB$2,領用表!$E:$E,B157)</f>
        <v>0</v>
      </c>
      <c r="CC157" s="296">
        <f>SUMIFS(領用表!$L:$L,領用表!$E:$E,$B157,領用表!$B:$B,CB$2&amp;CC$2)</f>
        <v>0</v>
      </c>
      <c r="CD157" s="296">
        <f>SUMIFS(領用表!$L:$L,領用表!$E:$E,$B157,領用表!$B:$B,$CB$2&amp;CD$2)</f>
        <v>0</v>
      </c>
      <c r="CE157" s="296">
        <f>SUMIFS(領用表!$L:$L,領用表!$E:$E,$B157,領用表!$B:$B,$CB$2&amp;CE$2)</f>
        <v>0</v>
      </c>
      <c r="CF157" s="296">
        <f>SUMIFS(領用表!$L:$L,領用表!$E:$E,$B157,領用表!$B:$B,$CB$2&amp;CF$2)</f>
        <v>0</v>
      </c>
      <c r="CG157" s="335">
        <f>SUMIFS(領用表!$L:$L,領用表!$A:$A,CG$2,領用表!$E:$E,B157)</f>
        <v>0</v>
      </c>
      <c r="CH157" s="296">
        <f>SUMIFS(領用表!$L:$L,領用表!$E:$E,$B157,領用表!$B:$B,CG$2&amp;CH$2)</f>
        <v>0</v>
      </c>
      <c r="CI157" s="296">
        <f>SUMIFS(領用表!$L:$L,領用表!$E:$E,$B157,領用表!$B:$B,CG$2&amp;CI$2)</f>
        <v>0</v>
      </c>
      <c r="CJ157" s="296">
        <f>SUMIFS(領用表!$L:$L,領用表!$E:$E,$B157,領用表!$B:$B,CG$2&amp;CJ$2)</f>
        <v>0</v>
      </c>
      <c r="CK157" s="296">
        <f>SUMIFS(領用表!$L:$L,領用表!$E:$E,$B157,領用表!$B:$B,$CG$2&amp;CK$2)</f>
        <v>0</v>
      </c>
      <c r="CL157" s="207">
        <f t="shared" si="46"/>
        <v>0</v>
      </c>
      <c r="CM157" s="207">
        <f t="shared" si="47"/>
        <v>0</v>
      </c>
      <c r="CN157" s="208">
        <f>SUMIFS(領用表!$L:$L,領用表!$A:$A,CN$2,領用表!$E:$E,B157)</f>
        <v>0</v>
      </c>
      <c r="CO157" s="206">
        <f>SUMIFS(領用表!$L:$L,領用表!$E:$E,$B157,領用表!$B:$B,CN$2&amp;CO$2)</f>
        <v>0</v>
      </c>
      <c r="CP157" s="206">
        <f>SUMIFS(領用表!$L:$L,領用表!$E:$E,$B157,領用表!$B:$B,$CN$2&amp;CP$2)</f>
        <v>0</v>
      </c>
      <c r="CQ157" s="206">
        <f>SUMIFS(領用表!$L:$L,領用表!$E:$E,$B157,領用表!$B:$B,$CN$2&amp;CQ$2)</f>
        <v>0</v>
      </c>
      <c r="CR157" s="296">
        <f>SUMIFS(領用表!$L:$L,領用表!$E:$E,$B157,領用表!$B:$B,$CN$2&amp;CR$2)</f>
        <v>0</v>
      </c>
      <c r="CS157" s="208">
        <f>SUMIFS(領用表!$L:$L,領用表!$A:$A,CS$2,領用表!$E:$E,B157)</f>
        <v>0</v>
      </c>
      <c r="CT157" s="206">
        <f>SUMIFS(領用表!$L:$L,領用表!$E:$E,$B157,領用表!$B:$B,CS$2&amp;CT$2)</f>
        <v>0</v>
      </c>
      <c r="CU157" s="206">
        <f>SUMIFS(領用表!$L:$L,領用表!$E:$E,$B157,領用表!$B:$B,$CS$2&amp;CU$2)</f>
        <v>0</v>
      </c>
      <c r="CV157" s="206">
        <f>SUMIFS(領用表!$L:$L,領用表!$E:$E,$B157,領用表!$B:$B,$CS$2&amp;CV$2)</f>
        <v>0</v>
      </c>
      <c r="CW157" s="206">
        <f>SUMIFS(領用表!$L:$L,領用表!$E:$E,$B157,領用表!$B:$B,$CS$2&amp;CW$2)</f>
        <v>0</v>
      </c>
      <c r="CX157" s="206">
        <f>SUMIFS(領用表!$L:$L,領用表!$E:$E,$B157,領用表!$B:$B,$CS$2&amp;CX$2)</f>
        <v>0</v>
      </c>
      <c r="CY157" s="208">
        <f>SUMIFS(領用表!$L:$L,領用表!$A:$A,CY$2,領用表!$E:$E,B157)</f>
        <v>0</v>
      </c>
      <c r="CZ157" s="296">
        <f>SUMIFS(領用表!$L:$L,領用表!$E:$E,$B157,領用表!$B:$B,CY$2&amp;CZ$2)</f>
        <v>0</v>
      </c>
      <c r="DA157" s="296">
        <f>SUMIFS(領用表!$L:$L,領用表!$E:$E,$B157,領用表!$B:$B,$CY$2&amp;DA$2)</f>
        <v>0</v>
      </c>
      <c r="DB157" s="296">
        <f>SUMIFS(領用表!$L:$L,領用表!$E:$E,$B157,領用表!$B:$B,$CY$2&amp;DB$2)</f>
        <v>0</v>
      </c>
      <c r="DC157" s="296">
        <f>SUMIFS(領用表!$L:$L,領用表!$E:$E,$B157,領用表!$B:$B,$CY$2&amp;DC$2)</f>
        <v>0</v>
      </c>
      <c r="DD157" s="296">
        <f>SUMIFS(領用表!$L:$L,領用表!$E:$E,$B157,領用表!$B:$B,$CY$2&amp;DD$2)</f>
        <v>0</v>
      </c>
      <c r="DE157" s="208">
        <f>SUMIFS(領用表!$L:$L,領用表!$A:$A,DE$2,領用表!$E:$E,B157)</f>
        <v>0</v>
      </c>
      <c r="DF157" s="296">
        <f>SUMIFS(領用表!$L:$L,領用表!$E:$E,$B157,領用表!$B:$B,DE$2&amp;DF$2)</f>
        <v>0</v>
      </c>
      <c r="DG157" s="296">
        <f>SUMIFS(領用表!$L:$L,領用表!$E:$E,$B157,領用表!$B:$B,$DE$2&amp;DG$2)</f>
        <v>0</v>
      </c>
      <c r="DH157" s="296">
        <f>SUMIFS(領用表!$L:$L,領用表!$E:$E,$B157,領用表!$B:$B,$DE$2&amp;DH$2)</f>
        <v>0</v>
      </c>
      <c r="DI157" s="296">
        <f>SUMIFS(領用表!$L:$L,領用表!$E:$E,$B157,領用表!$B:$B,$DE$2&amp;DI$2)</f>
        <v>0</v>
      </c>
      <c r="DJ157" s="296">
        <f>SUMIFS(領用表!$L:$L,領用表!$E:$E,$B157,領用表!$B:$B,$DE$2&amp;DJ$2)</f>
        <v>0</v>
      </c>
      <c r="DK157" s="208">
        <f>SUMIFS(領用表!$L:$L,領用表!$A:$A,DK$2,領用表!$E:$E,$B157)</f>
        <v>0</v>
      </c>
      <c r="DL157" s="296">
        <f>SUMIFS(領用表!$L:$L,領用表!$E:$E,$B157,領用表!$B:$B,DK$2&amp;DL$2)</f>
        <v>0</v>
      </c>
      <c r="DM157" s="296">
        <f>SUMIFS(領用表!$L:$L,領用表!$E:$E,$B157,領用表!$B:$B,$DK$2&amp;DM$2)</f>
        <v>0</v>
      </c>
      <c r="DN157" s="296">
        <f>SUMIFS(領用表!$L:$L,領用表!$E:$E,$B157,領用表!$B:$B,$DK$2&amp;DN$2)</f>
        <v>0</v>
      </c>
      <c r="DO157" s="296">
        <f>SUMIFS(領用表!$L:$L,領用表!$E:$E,$B157,領用表!$B:$B,$DK$2&amp;DO$2)</f>
        <v>0</v>
      </c>
      <c r="DP157" s="296">
        <f>SUMIFS(領用表!$L:$L,領用表!$E:$E,$B157,領用表!$B:$B,$DK$2&amp;DP$2)</f>
        <v>0</v>
      </c>
      <c r="DQ157" s="296">
        <f t="shared" si="49"/>
        <v>0</v>
      </c>
      <c r="DR157" s="296">
        <f t="shared" si="50"/>
        <v>0</v>
      </c>
      <c r="DS157" s="296">
        <f t="shared" si="48"/>
        <v>0</v>
      </c>
      <c r="DT157" s="296">
        <v>0</v>
      </c>
      <c r="DU157" s="296">
        <v>0</v>
      </c>
      <c r="DV157" s="296">
        <v>0</v>
      </c>
      <c r="DW157" s="296">
        <v>0</v>
      </c>
      <c r="DX157" s="258"/>
      <c r="DY157" s="283"/>
      <c r="DZ157" s="252"/>
      <c r="EA157" s="252"/>
      <c r="EB157" s="136"/>
      <c r="EC157" s="136"/>
      <c r="ED157" s="118">
        <f>IFERROR(VLOOKUP(A157,站前4樓!A:BF,57,0),0)</f>
        <v>0</v>
      </c>
      <c r="EE157" s="213">
        <f>IFERROR(VLOOKUP(A157,站前11樓!A:BE,57,0),0)</f>
        <v>0</v>
      </c>
      <c r="EF157" s="118">
        <f>IFERROR(VLOOKUP(A157,忠孝7樓!A:N,57,0),0)</f>
        <v>0</v>
      </c>
      <c r="EG157" s="118">
        <f>IFERROR(VLOOKUP(A157,忠孝國際醫學3樓!A:L,57,0),0)</f>
        <v>0</v>
      </c>
      <c r="EH157" s="118">
        <f t="shared" si="51"/>
        <v>0</v>
      </c>
    </row>
    <row r="158" spans="1:138" s="118" customFormat="1" ht="15.75" customHeight="1">
      <c r="A158" s="136" t="s">
        <v>182</v>
      </c>
      <c r="B158" s="118">
        <v>1050003</v>
      </c>
      <c r="C158" s="136" t="s">
        <v>559</v>
      </c>
      <c r="D158" s="285"/>
      <c r="E158" s="198" t="s">
        <v>15</v>
      </c>
      <c r="F158" s="225">
        <f>SUMIF(站前4樓!B:B,B158,站前4樓!F:F)</f>
        <v>0</v>
      </c>
      <c r="G158" s="225">
        <f>SUMIF(站前11樓!B:B,B158,站前11樓!F:F)</f>
        <v>0</v>
      </c>
      <c r="H158" s="225">
        <f>SUMIF(忠孝7樓!B:B,B158,忠孝7樓!G:G)</f>
        <v>0</v>
      </c>
      <c r="I158" s="225">
        <f>SUMIF(忠孝國際醫學3樓!B:B,B158,忠孝國際醫學3樓!G:G)</f>
        <v>0</v>
      </c>
      <c r="J158" s="225">
        <f>SUMIF(忠孝健康7樓!B:B,B158,忠孝健康7樓!G:G)</f>
        <v>0</v>
      </c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83"/>
      <c r="AB158" s="283"/>
      <c r="AC158" s="283"/>
      <c r="AD158" s="283"/>
      <c r="AE158" s="283"/>
      <c r="AF158" s="283"/>
      <c r="AG158" s="283"/>
      <c r="AH158" s="283"/>
      <c r="AI158" s="283"/>
      <c r="AJ158" s="201"/>
      <c r="AK158" s="201"/>
      <c r="AL158" s="201"/>
      <c r="AM158" s="201"/>
      <c r="AN158" s="201"/>
      <c r="AO158" s="201"/>
      <c r="AP158" s="201"/>
      <c r="AQ158" s="201">
        <v>0</v>
      </c>
      <c r="AR158" s="201">
        <v>0</v>
      </c>
      <c r="AS158" s="201">
        <v>0</v>
      </c>
      <c r="AT158" s="201">
        <v>0</v>
      </c>
      <c r="AU158" s="201">
        <v>0</v>
      </c>
      <c r="AV158" s="283">
        <f>SUM(AJ158:AU158)</f>
        <v>0</v>
      </c>
      <c r="AW158" s="286">
        <f>AV158/12</f>
        <v>0</v>
      </c>
      <c r="AX158" s="201">
        <v>0</v>
      </c>
      <c r="AY158" s="201">
        <v>0</v>
      </c>
      <c r="AZ158" s="201">
        <v>0</v>
      </c>
      <c r="BA158" s="201">
        <v>0</v>
      </c>
      <c r="BB158" s="201">
        <v>0</v>
      </c>
      <c r="BC158" s="203">
        <f>SUMIFS(領用表!$L:$L,領用表!$A:$A,BC$2,領用表!$E:$E,B158)</f>
        <v>0</v>
      </c>
      <c r="BD158" s="296">
        <f>SUMIFS(領用表!$L:$L,領用表!$E:$E,$B158,領用表!$B:$B,BC$2&amp;BD$2)</f>
        <v>0</v>
      </c>
      <c r="BE158" s="296">
        <f>SUMIFS(領用表!$L:$L,領用表!$E:$E,$B158,領用表!$B:$B,$BC$2&amp;BE$2)</f>
        <v>0</v>
      </c>
      <c r="BF158" s="296">
        <f>SUMIFS(領用表!$L:$L,領用表!$E:$E,$B158,領用表!$B:$B,$BC$2&amp;BF$2)</f>
        <v>0</v>
      </c>
      <c r="BG158" s="296">
        <f>SUMIFS(領用表!$L:$L,領用表!$E:$E,$B158,領用表!$B:$B,$BC$2&amp;BG$2)</f>
        <v>0</v>
      </c>
      <c r="BH158" s="203">
        <f>SUMIFS(領用表!$L:$L,領用表!$A:$A,BH$2,領用表!$E:$E,B158)</f>
        <v>0</v>
      </c>
      <c r="BI158" s="260">
        <f>SUMIFS(領用表!$L:$L,領用表!$E:$E,$B158,領用表!$B:$B,BH$2&amp;BI$2)</f>
        <v>0</v>
      </c>
      <c r="BJ158" s="260">
        <f>SUMIFS(領用表!$L:$L,領用表!$E:$E,$B158,領用表!$B:$B,$BH$2&amp;BJ$2)</f>
        <v>0</v>
      </c>
      <c r="BK158" s="260">
        <f>SUMIFS(領用表!$L:$L,領用表!$E:$E,$B158,領用表!$B:$B,$BH$2&amp;BK$2)</f>
        <v>0</v>
      </c>
      <c r="BL158" s="260">
        <f>SUMIFS(領用表!$L:$L,領用表!$E:$E,$B158,領用表!$B:$B,$BH$2&amp;BL$2)</f>
        <v>0</v>
      </c>
      <c r="BM158" s="203">
        <f>SUMIFS(領用表!$L:$L,領用表!$A:$A,BM$2,領用表!$E:$E,B158)</f>
        <v>0</v>
      </c>
      <c r="BN158" s="206">
        <f>SUMIFS(領用表!$L:$L,領用表!$E:$E,$B158,領用表!$B:$B,BM$2&amp;BN$2)</f>
        <v>0</v>
      </c>
      <c r="BO158" s="206">
        <f>SUMIFS(領用表!$L:$L,領用表!$E:$E,$B158,領用表!$B:$B,$BM$2&amp;BO$2)</f>
        <v>0</v>
      </c>
      <c r="BP158" s="288">
        <f>SUMIFS(領用表!$L:$L,領用表!$E:$E,$B158,領用表!$B:$B,$BM$2&amp;BP$2)</f>
        <v>0</v>
      </c>
      <c r="BQ158" s="287">
        <f>SUMIFS(領用表!$L:$L,領用表!$E:$E,$B158,領用表!$B:$B,$BM$2&amp;BQ$2)</f>
        <v>0</v>
      </c>
      <c r="BR158" s="203">
        <f>SUMIFS(領用表!$L:$L,領用表!$A:$A,BR$2,領用表!$E:$E,B158)</f>
        <v>0</v>
      </c>
      <c r="BS158" s="288">
        <f>SUMIFS(領用表!$L:$L,領用表!$E:$E,$B158,領用表!$B:$B,BR$2&amp;BS$2)</f>
        <v>0</v>
      </c>
      <c r="BT158" s="288">
        <f>SUMIFS(領用表!$L:$L,領用表!$E:$E,$B158,領用表!$B:$B,$BR$2&amp;BT$2)</f>
        <v>0</v>
      </c>
      <c r="BU158" s="288">
        <f>SUMIFS(領用表!$L:$L,領用表!$E:$E,$B158,領用表!$B:$B,$BR$2&amp;BU$2)</f>
        <v>0</v>
      </c>
      <c r="BV158" s="287">
        <f>SUMIFS(領用表!$L:$L,領用表!$E:$E,$B158,領用表!$B:$B,$BR$2&amp;BV$2)</f>
        <v>0</v>
      </c>
      <c r="BW158" s="208">
        <f>SUMIFS(領用表!$L:$L,領用表!$A:$A,BW$2,領用表!$E:$E,B158)</f>
        <v>0</v>
      </c>
      <c r="BX158" s="296">
        <f>SUMIFS(領用表!$L:$L,領用表!$E:$E,$B158,領用表!$B:$B,BW$2&amp;BX$2)</f>
        <v>0</v>
      </c>
      <c r="BY158" s="296">
        <f>SUMIFS(領用表!$L:$L,領用表!$E:$E,$B158,領用表!$B:$B,$BW$2&amp;BY$2)</f>
        <v>0</v>
      </c>
      <c r="BZ158" s="296">
        <f>SUMIFS(領用表!$L:$L,領用表!$E:$E,$B158,領用表!$B:$B,$BW$2&amp;BZ$2)</f>
        <v>0</v>
      </c>
      <c r="CA158" s="296">
        <f>SUMIFS(領用表!$L:$L,領用表!$E:$E,$B158,領用表!$B:$B,$BW$2&amp;CA$2)</f>
        <v>0</v>
      </c>
      <c r="CB158" s="208">
        <f>SUMIFS(領用表!$L:$L,領用表!$A:$A,CB$2,領用表!$E:$E,B158)</f>
        <v>0</v>
      </c>
      <c r="CC158" s="296">
        <f>SUMIFS(領用表!$L:$L,領用表!$E:$E,$B158,領用表!$B:$B,CB$2&amp;CC$2)</f>
        <v>0</v>
      </c>
      <c r="CD158" s="296">
        <f>SUMIFS(領用表!$L:$L,領用表!$E:$E,$B158,領用表!$B:$B,$CB$2&amp;CD$2)</f>
        <v>0</v>
      </c>
      <c r="CE158" s="296">
        <f>SUMIFS(領用表!$L:$L,領用表!$E:$E,$B158,領用表!$B:$B,$CB$2&amp;CE$2)</f>
        <v>0</v>
      </c>
      <c r="CF158" s="296">
        <f>SUMIFS(領用表!$L:$L,領用表!$E:$E,$B158,領用表!$B:$B,$CB$2&amp;CF$2)</f>
        <v>0</v>
      </c>
      <c r="CG158" s="335">
        <f>SUMIFS(領用表!$L:$L,領用表!$A:$A,CG$2,領用表!$E:$E,B158)</f>
        <v>0</v>
      </c>
      <c r="CH158" s="296">
        <f>SUMIFS(領用表!$L:$L,領用表!$E:$E,$B158,領用表!$B:$B,CG$2&amp;CH$2)</f>
        <v>0</v>
      </c>
      <c r="CI158" s="296">
        <f>SUMIFS(領用表!$L:$L,領用表!$E:$E,$B158,領用表!$B:$B,CG$2&amp;CI$2)</f>
        <v>0</v>
      </c>
      <c r="CJ158" s="296">
        <f>SUMIFS(領用表!$L:$L,領用表!$E:$E,$B158,領用表!$B:$B,CG$2&amp;CJ$2)</f>
        <v>0</v>
      </c>
      <c r="CK158" s="296">
        <f>SUMIFS(領用表!$L:$L,領用表!$E:$E,$B158,領用表!$B:$B,$CG$2&amp;CK$2)</f>
        <v>0</v>
      </c>
      <c r="CL158" s="207">
        <f t="shared" si="46"/>
        <v>0</v>
      </c>
      <c r="CM158" s="207">
        <f t="shared" si="47"/>
        <v>0</v>
      </c>
      <c r="CN158" s="208">
        <f>SUMIFS(領用表!$L:$L,領用表!$A:$A,CN$2,領用表!$E:$E,B158)</f>
        <v>0</v>
      </c>
      <c r="CO158" s="206">
        <f>SUMIFS(領用表!$L:$L,領用表!$E:$E,$B158,領用表!$B:$B,CN$2&amp;CO$2)</f>
        <v>0</v>
      </c>
      <c r="CP158" s="206">
        <f>SUMIFS(領用表!$L:$L,領用表!$E:$E,$B158,領用表!$B:$B,$CN$2&amp;CP$2)</f>
        <v>0</v>
      </c>
      <c r="CQ158" s="206">
        <f>SUMIFS(領用表!$L:$L,領用表!$E:$E,$B158,領用表!$B:$B,$CN$2&amp;CQ$2)</f>
        <v>0</v>
      </c>
      <c r="CR158" s="296">
        <f>SUMIFS(領用表!$L:$L,領用表!$E:$E,$B158,領用表!$B:$B,$CN$2&amp;CR$2)</f>
        <v>0</v>
      </c>
      <c r="CS158" s="208">
        <f>SUMIFS(領用表!$L:$L,領用表!$A:$A,CS$2,領用表!$E:$E,B158)</f>
        <v>0</v>
      </c>
      <c r="CT158" s="206">
        <f>SUMIFS(領用表!$L:$L,領用表!$E:$E,$B158,領用表!$B:$B,CS$2&amp;CT$2)</f>
        <v>0</v>
      </c>
      <c r="CU158" s="206">
        <f>SUMIFS(領用表!$L:$L,領用表!$E:$E,$B158,領用表!$B:$B,$CS$2&amp;CU$2)</f>
        <v>0</v>
      </c>
      <c r="CV158" s="206">
        <f>SUMIFS(領用表!$L:$L,領用表!$E:$E,$B158,領用表!$B:$B,$CS$2&amp;CV$2)</f>
        <v>0</v>
      </c>
      <c r="CW158" s="206">
        <f>SUMIFS(領用表!$L:$L,領用表!$E:$E,$B158,領用表!$B:$B,$CS$2&amp;CW$2)</f>
        <v>0</v>
      </c>
      <c r="CX158" s="206">
        <f>SUMIFS(領用表!$L:$L,領用表!$E:$E,$B158,領用表!$B:$B,$CS$2&amp;CX$2)</f>
        <v>0</v>
      </c>
      <c r="CY158" s="208">
        <f>SUMIFS(領用表!$L:$L,領用表!$A:$A,CY$2,領用表!$E:$E,B158)</f>
        <v>0</v>
      </c>
      <c r="CZ158" s="296">
        <f>SUMIFS(領用表!$L:$L,領用表!$E:$E,$B158,領用表!$B:$B,CY$2&amp;CZ$2)</f>
        <v>0</v>
      </c>
      <c r="DA158" s="296">
        <f>SUMIFS(領用表!$L:$L,領用表!$E:$E,$B158,領用表!$B:$B,$CY$2&amp;DA$2)</f>
        <v>0</v>
      </c>
      <c r="DB158" s="296">
        <f>SUMIFS(領用表!$L:$L,領用表!$E:$E,$B158,領用表!$B:$B,$CY$2&amp;DB$2)</f>
        <v>0</v>
      </c>
      <c r="DC158" s="296">
        <f>SUMIFS(領用表!$L:$L,領用表!$E:$E,$B158,領用表!$B:$B,$CY$2&amp;DC$2)</f>
        <v>0</v>
      </c>
      <c r="DD158" s="296">
        <f>SUMIFS(領用表!$L:$L,領用表!$E:$E,$B158,領用表!$B:$B,$CY$2&amp;DD$2)</f>
        <v>0</v>
      </c>
      <c r="DE158" s="208">
        <f>SUMIFS(領用表!$L:$L,領用表!$A:$A,DE$2,領用表!$E:$E,B158)</f>
        <v>0</v>
      </c>
      <c r="DF158" s="296">
        <f>SUMIFS(領用表!$L:$L,領用表!$E:$E,$B158,領用表!$B:$B,DE$2&amp;DF$2)</f>
        <v>0</v>
      </c>
      <c r="DG158" s="296">
        <f>SUMIFS(領用表!$L:$L,領用表!$E:$E,$B158,領用表!$B:$B,$DE$2&amp;DG$2)</f>
        <v>0</v>
      </c>
      <c r="DH158" s="296">
        <f>SUMIFS(領用表!$L:$L,領用表!$E:$E,$B158,領用表!$B:$B,$DE$2&amp;DH$2)</f>
        <v>0</v>
      </c>
      <c r="DI158" s="296">
        <f>SUMIFS(領用表!$L:$L,領用表!$E:$E,$B158,領用表!$B:$B,$DE$2&amp;DI$2)</f>
        <v>0</v>
      </c>
      <c r="DJ158" s="296">
        <f>SUMIFS(領用表!$L:$L,領用表!$E:$E,$B158,領用表!$B:$B,$DE$2&amp;DJ$2)</f>
        <v>0</v>
      </c>
      <c r="DK158" s="208">
        <f>SUMIFS(領用表!$L:$L,領用表!$A:$A,DK$2,領用表!$E:$E,$B158)</f>
        <v>0</v>
      </c>
      <c r="DL158" s="296">
        <f>SUMIFS(領用表!$L:$L,領用表!$E:$E,$B158,領用表!$B:$B,DK$2&amp;DL$2)</f>
        <v>0</v>
      </c>
      <c r="DM158" s="296">
        <f>SUMIFS(領用表!$L:$L,領用表!$E:$E,$B158,領用表!$B:$B,$DK$2&amp;DM$2)</f>
        <v>0</v>
      </c>
      <c r="DN158" s="296">
        <f>SUMIFS(領用表!$L:$L,領用表!$E:$E,$B158,領用表!$B:$B,$DK$2&amp;DN$2)</f>
        <v>0</v>
      </c>
      <c r="DO158" s="296">
        <f>SUMIFS(領用表!$L:$L,領用表!$E:$E,$B158,領用表!$B:$B,$DK$2&amp;DO$2)</f>
        <v>0</v>
      </c>
      <c r="DP158" s="296">
        <f>SUMIFS(領用表!$L:$L,領用表!$E:$E,$B158,領用表!$B:$B,$DK$2&amp;DP$2)</f>
        <v>0</v>
      </c>
      <c r="DQ158" s="296">
        <f t="shared" si="49"/>
        <v>0</v>
      </c>
      <c r="DR158" s="296">
        <f t="shared" si="50"/>
        <v>0</v>
      </c>
      <c r="DS158" s="296">
        <f t="shared" si="48"/>
        <v>0</v>
      </c>
      <c r="DT158" s="296">
        <v>0</v>
      </c>
      <c r="DU158" s="296">
        <v>0</v>
      </c>
      <c r="DV158" s="296">
        <v>0</v>
      </c>
      <c r="DW158" s="296">
        <v>0</v>
      </c>
      <c r="DX158" s="258"/>
      <c r="DY158" s="283"/>
      <c r="DZ158" s="252"/>
      <c r="EA158" s="252"/>
      <c r="EB158" s="136"/>
      <c r="EC158" s="136"/>
      <c r="ED158" s="118">
        <f>IFERROR(VLOOKUP(A158,站前4樓!A:BF,57,0),0)</f>
        <v>0</v>
      </c>
      <c r="EE158" s="213">
        <f>IFERROR(VLOOKUP(A158,站前11樓!A:BE,57,0),0)</f>
        <v>0</v>
      </c>
      <c r="EF158" s="118">
        <f>IFERROR(VLOOKUP(A158,忠孝7樓!A:N,57,0),0)</f>
        <v>0</v>
      </c>
      <c r="EG158" s="118">
        <f>IFERROR(VLOOKUP(A158,忠孝國際醫學3樓!A:L,57,0),0)</f>
        <v>0</v>
      </c>
      <c r="EH158" s="118">
        <f t="shared" si="51"/>
        <v>0</v>
      </c>
    </row>
    <row r="159" spans="1:138" s="118" customFormat="1" ht="15" customHeight="1">
      <c r="A159" s="136" t="s">
        <v>183</v>
      </c>
      <c r="B159" s="118">
        <v>6050008</v>
      </c>
      <c r="C159" s="136" t="s">
        <v>560</v>
      </c>
      <c r="D159" s="285"/>
      <c r="E159" s="198" t="s">
        <v>15</v>
      </c>
      <c r="F159" s="225">
        <f>SUMIF(站前4樓!B:B,B159,站前4樓!F:F)</f>
        <v>72</v>
      </c>
      <c r="G159" s="225">
        <f>SUMIF(站前11樓!B:B,B159,站前11樓!F:F)</f>
        <v>3204</v>
      </c>
      <c r="H159" s="225">
        <f>SUMIF(忠孝7樓!B:B,B159,忠孝7樓!G:G)</f>
        <v>0</v>
      </c>
      <c r="I159" s="225">
        <f>SUMIF(忠孝國際醫學3樓!B:B,B159,忠孝國際醫學3樓!G:G)</f>
        <v>0</v>
      </c>
      <c r="J159" s="225">
        <f>SUMIF(忠孝健康7樓!B:B,B159,忠孝健康7樓!G:G)</f>
        <v>0</v>
      </c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83"/>
      <c r="AB159" s="283"/>
      <c r="AC159" s="283"/>
      <c r="AD159" s="283"/>
      <c r="AE159" s="283"/>
      <c r="AF159" s="283"/>
      <c r="AG159" s="283"/>
      <c r="AH159" s="283"/>
      <c r="AI159" s="283"/>
      <c r="AJ159" s="201"/>
      <c r="AK159" s="201"/>
      <c r="AL159" s="201"/>
      <c r="AM159" s="201"/>
      <c r="AN159" s="201"/>
      <c r="AO159" s="201"/>
      <c r="AP159" s="201"/>
      <c r="AQ159" s="201"/>
      <c r="AR159" s="201"/>
      <c r="AS159" s="201"/>
      <c r="AT159" s="201"/>
      <c r="AU159" s="201"/>
      <c r="AV159" s="283"/>
      <c r="AW159" s="286"/>
      <c r="AX159" s="201"/>
      <c r="AY159" s="201"/>
      <c r="AZ159" s="201"/>
      <c r="BA159" s="201"/>
      <c r="BB159" s="201"/>
      <c r="BC159" s="203">
        <f>SUMIFS(領用表!$L:$L,領用表!$A:$A,BC$2,領用表!$E:$E,B159)</f>
        <v>0</v>
      </c>
      <c r="BD159" s="296">
        <f>SUMIFS(領用表!$L:$L,領用表!$E:$E,$B159,領用表!$B:$B,BC$2&amp;BD$2)</f>
        <v>0</v>
      </c>
      <c r="BE159" s="296">
        <f>SUMIFS(領用表!$L:$L,領用表!$E:$E,$B159,領用表!$B:$B,$BC$2&amp;BE$2)</f>
        <v>0</v>
      </c>
      <c r="BF159" s="296">
        <f>SUMIFS(領用表!$L:$L,領用表!$E:$E,$B159,領用表!$B:$B,$BC$2&amp;BF$2)</f>
        <v>0</v>
      </c>
      <c r="BG159" s="296">
        <f>SUMIFS(領用表!$L:$L,領用表!$E:$E,$B159,領用表!$B:$B,$BC$2&amp;BG$2)</f>
        <v>0</v>
      </c>
      <c r="BH159" s="203">
        <f>SUMIFS(領用表!$L:$L,領用表!$A:$A,BH$2,領用表!$E:$E,B159)</f>
        <v>0</v>
      </c>
      <c r="BI159" s="260">
        <f>SUMIFS(領用表!$L:$L,領用表!$E:$E,$B159,領用表!$B:$B,BH$2&amp;BI$2)</f>
        <v>0</v>
      </c>
      <c r="BJ159" s="260">
        <f>SUMIFS(領用表!$L:$L,領用表!$E:$E,$B159,領用表!$B:$B,$BH$2&amp;BJ$2)</f>
        <v>0</v>
      </c>
      <c r="BK159" s="260">
        <f>SUMIFS(領用表!$L:$L,領用表!$E:$E,$B159,領用表!$B:$B,$BH$2&amp;BK$2)</f>
        <v>0</v>
      </c>
      <c r="BL159" s="260">
        <f>SUMIFS(領用表!$L:$L,領用表!$E:$E,$B159,領用表!$B:$B,$BH$2&amp;BL$2)</f>
        <v>0</v>
      </c>
      <c r="BM159" s="203">
        <f>SUMIFS(領用表!$L:$L,領用表!$A:$A,BM$2,領用表!$E:$E,B159)</f>
        <v>0</v>
      </c>
      <c r="BN159" s="206">
        <f>SUMIFS(領用表!$L:$L,領用表!$E:$E,$B159,領用表!$B:$B,BM$2&amp;BN$2)</f>
        <v>0</v>
      </c>
      <c r="BO159" s="206">
        <f>SUMIFS(領用表!$L:$L,領用表!$E:$E,$B159,領用表!$B:$B,$BM$2&amp;BO$2)</f>
        <v>0</v>
      </c>
      <c r="BP159" s="288">
        <f>SUMIFS(領用表!$L:$L,領用表!$E:$E,$B159,領用表!$B:$B,$BM$2&amp;BP$2)</f>
        <v>0</v>
      </c>
      <c r="BQ159" s="287">
        <f>SUMIFS(領用表!$L:$L,領用表!$E:$E,$B159,領用表!$B:$B,$BM$2&amp;BQ$2)</f>
        <v>0</v>
      </c>
      <c r="BR159" s="203">
        <f>SUMIFS(領用表!$L:$L,領用表!$A:$A,BR$2,領用表!$E:$E,B159)</f>
        <v>0</v>
      </c>
      <c r="BS159" s="288">
        <f>SUMIFS(領用表!$L:$L,領用表!$E:$E,$B159,領用表!$B:$B,BR$2&amp;BS$2)</f>
        <v>0</v>
      </c>
      <c r="BT159" s="288">
        <f>SUMIFS(領用表!$L:$L,領用表!$E:$E,$B159,領用表!$B:$B,$BR$2&amp;BT$2)</f>
        <v>0</v>
      </c>
      <c r="BU159" s="288">
        <f>SUMIFS(領用表!$L:$L,領用表!$E:$E,$B159,領用表!$B:$B,$BR$2&amp;BU$2)</f>
        <v>0</v>
      </c>
      <c r="BV159" s="287">
        <f>SUMIFS(領用表!$L:$L,領用表!$E:$E,$B159,領用表!$B:$B,$BR$2&amp;BV$2)</f>
        <v>0</v>
      </c>
      <c r="BW159" s="208">
        <f>SUMIFS(領用表!$L:$L,領用表!$A:$A,BW$2,領用表!$E:$E,B159)</f>
        <v>0</v>
      </c>
      <c r="BX159" s="206">
        <f>SUMIFS(領用表!$L:$L,領用表!$E:$E,$B159,領用表!$B:$B,BW$2&amp;BX$2)</f>
        <v>0</v>
      </c>
      <c r="BY159" s="206">
        <f>SUMIFS(領用表!$L:$L,領用表!$E:$E,$B159,領用表!$B:$B,$BW$2&amp;BY$2)</f>
        <v>0</v>
      </c>
      <c r="BZ159" s="206">
        <f>SUMIFS(領用表!$L:$L,領用表!$E:$E,$B159,領用表!$B:$B,$BW$2&amp;BZ$2)</f>
        <v>0</v>
      </c>
      <c r="CA159" s="206">
        <f>SUMIFS(領用表!$L:$L,領用表!$E:$E,$B159,領用表!$B:$B,$BW$2&amp;CA$2)</f>
        <v>0</v>
      </c>
      <c r="CB159" s="208">
        <f>SUMIFS(領用表!$L:$L,領用表!$A:$A,CB$2,領用表!$E:$E,B159)</f>
        <v>0</v>
      </c>
      <c r="CC159" s="206">
        <f>SUMIFS(領用表!$L:$L,領用表!$E:$E,$B159,領用表!$B:$B,CB$2&amp;CC$2)</f>
        <v>0</v>
      </c>
      <c r="CD159" s="206">
        <f>SUMIFS(領用表!$L:$L,領用表!$E:$E,$B159,領用表!$B:$B,$CB$2&amp;CD$2)</f>
        <v>0</v>
      </c>
      <c r="CE159" s="206">
        <f>SUMIFS(領用表!$L:$L,領用表!$E:$E,$B159,領用表!$B:$B,$CB$2&amp;CE$2)</f>
        <v>0</v>
      </c>
      <c r="CF159" s="206">
        <f>SUMIFS(領用表!$L:$L,領用表!$E:$E,$B159,領用表!$B:$B,$CB$2&amp;CF$2)</f>
        <v>0</v>
      </c>
      <c r="CG159" s="208">
        <f>SUMIFS(領用表!$L:$L,領用表!$A:$A,CG$2,領用表!$E:$E,B159)</f>
        <v>0</v>
      </c>
      <c r="CH159" s="206">
        <f>SUMIFS(領用表!$L:$L,領用表!$E:$E,$B159,領用表!$B:$B,CG$2&amp;CH$2)</f>
        <v>0</v>
      </c>
      <c r="CI159" s="206">
        <f>SUMIFS(領用表!$L:$L,領用表!$E:$E,$B159,領用表!$B:$B,CG$2&amp;CI$2)</f>
        <v>0</v>
      </c>
      <c r="CJ159" s="206">
        <f>SUMIFS(領用表!$L:$L,領用表!$E:$E,$B159,領用表!$B:$B,CG$2&amp;CJ$2)</f>
        <v>0</v>
      </c>
      <c r="CK159" s="206">
        <f>SUMIFS(領用表!$L:$L,領用表!$E:$E,$B159,領用表!$B:$B,$CG$2&amp;CK$2)</f>
        <v>0</v>
      </c>
      <c r="CL159" s="207">
        <f t="shared" si="46"/>
        <v>0</v>
      </c>
      <c r="CM159" s="207">
        <f t="shared" si="47"/>
        <v>0</v>
      </c>
      <c r="CN159" s="208">
        <f>SUMIFS(領用表!$L:$L,領用表!$A:$A,CN$2,領用表!$E:$E,B159)</f>
        <v>0</v>
      </c>
      <c r="CO159" s="206">
        <f>SUMIFS(領用表!$L:$L,領用表!$E:$E,$B159,領用表!$B:$B,CN$2&amp;CO$2)</f>
        <v>0</v>
      </c>
      <c r="CP159" s="206">
        <f>SUMIFS(領用表!$L:$L,領用表!$E:$E,$B159,領用表!$B:$B,$CN$2&amp;CP$2)</f>
        <v>0</v>
      </c>
      <c r="CQ159" s="206">
        <f>SUMIFS(領用表!$L:$L,領用表!$E:$E,$B159,領用表!$B:$B,$CN$2&amp;CQ$2)</f>
        <v>0</v>
      </c>
      <c r="CR159" s="206">
        <f>SUMIFS(領用表!$L:$L,領用表!$E:$E,$B159,領用表!$B:$B,$CN$2&amp;CR$2)</f>
        <v>0</v>
      </c>
      <c r="CS159" s="208">
        <f>SUMIFS(領用表!$L:$L,領用表!$A:$A,CS$2,領用表!$E:$E,B159)</f>
        <v>0</v>
      </c>
      <c r="CT159" s="206">
        <f>SUMIFS(領用表!$L:$L,領用表!$E:$E,$B159,領用表!$B:$B,CS$2&amp;CT$2)</f>
        <v>0</v>
      </c>
      <c r="CU159" s="206">
        <f>SUMIFS(領用表!$L:$L,領用表!$E:$E,$B159,領用表!$B:$B,$CS$2&amp;CU$2)</f>
        <v>0</v>
      </c>
      <c r="CV159" s="206">
        <f>SUMIFS(領用表!$L:$L,領用表!$E:$E,$B159,領用表!$B:$B,$CS$2&amp;CV$2)</f>
        <v>0</v>
      </c>
      <c r="CW159" s="206">
        <f>SUMIFS(領用表!$L:$L,領用表!$E:$E,$B159,領用表!$B:$B,$CS$2&amp;CW$2)</f>
        <v>0</v>
      </c>
      <c r="CX159" s="206">
        <f>SUMIFS(領用表!$L:$L,領用表!$E:$E,$B159,領用表!$B:$B,$CS$2&amp;CX$2)</f>
        <v>0</v>
      </c>
      <c r="CY159" s="208">
        <f>SUMIFS(領用表!$L:$L,領用表!$A:$A,CY$2,領用表!$E:$E,B159)</f>
        <v>1406</v>
      </c>
      <c r="CZ159" s="206">
        <f>SUMIFS(領用表!$L:$L,領用表!$E:$E,$B159,領用表!$B:$B,CY$2&amp;CZ$2)</f>
        <v>0</v>
      </c>
      <c r="DA159" s="206">
        <f>SUMIFS(領用表!$L:$L,領用表!$E:$E,$B159,領用表!$B:$B,$CY$2&amp;DA$2)</f>
        <v>0</v>
      </c>
      <c r="DB159" s="206">
        <f>SUMIFS(領用表!$L:$L,領用表!$E:$E,$B159,領用表!$B:$B,$CY$2&amp;DB$2)</f>
        <v>1406</v>
      </c>
      <c r="DC159" s="206">
        <f>SUMIFS(領用表!$L:$L,領用表!$E:$E,$B159,領用表!$B:$B,$CY$2&amp;DC$2)</f>
        <v>0</v>
      </c>
      <c r="DD159" s="206">
        <f>SUMIFS(領用表!$L:$L,領用表!$E:$E,$B159,領用表!$B:$B,$CY$2&amp;DD$2)</f>
        <v>0</v>
      </c>
      <c r="DE159" s="208">
        <f>SUMIFS(領用表!$L:$L,領用表!$A:$A,DE$2,領用表!$E:$E,B159)</f>
        <v>324</v>
      </c>
      <c r="DF159" s="206">
        <f>SUMIFS(領用表!$L:$L,領用表!$E:$E,$B159,領用表!$B:$B,DE$2&amp;DF$2)</f>
        <v>0</v>
      </c>
      <c r="DG159" s="206">
        <f>SUMIFS(領用表!$L:$L,領用表!$E:$E,$B159,領用表!$B:$B,$DE$2&amp;DG$2)</f>
        <v>0</v>
      </c>
      <c r="DH159" s="206">
        <f>SUMIFS(領用表!$L:$L,領用表!$E:$E,$B159,領用表!$B:$B,$DE$2&amp;DH$2)</f>
        <v>324</v>
      </c>
      <c r="DI159" s="206">
        <f>SUMIFS(領用表!$L:$L,領用表!$E:$E,$B159,領用表!$B:$B,$DE$2&amp;DI$2)</f>
        <v>0</v>
      </c>
      <c r="DJ159" s="206">
        <f>SUMIFS(領用表!$L:$L,領用表!$E:$E,$B159,領用表!$B:$B,$DE$2&amp;DJ$2)</f>
        <v>0</v>
      </c>
      <c r="DK159" s="208">
        <f>SUMIFS(領用表!$L:$L,領用表!$A:$A,DK$2,領用表!$E:$E,$B159)</f>
        <v>0</v>
      </c>
      <c r="DL159" s="206">
        <f>SUMIFS(領用表!$L:$L,領用表!$E:$E,$B159,領用表!$B:$B,DK$2&amp;DL$2)</f>
        <v>0</v>
      </c>
      <c r="DM159" s="206">
        <f>SUMIFS(領用表!$L:$L,領用表!$E:$E,$B159,領用表!$B:$B,$DK$2&amp;DM$2)</f>
        <v>0</v>
      </c>
      <c r="DN159" s="206">
        <f>SUMIFS(領用表!$L:$L,領用表!$E:$E,$B159,領用表!$B:$B,$DK$2&amp;DN$2)</f>
        <v>0</v>
      </c>
      <c r="DO159" s="206">
        <f>SUMIFS(領用表!$L:$L,領用表!$E:$E,$B159,領用表!$B:$B,$DK$2&amp;DO$2)</f>
        <v>0</v>
      </c>
      <c r="DP159" s="206">
        <f>SUMIFS(領用表!$L:$L,領用表!$E:$E,$B159,領用表!$B:$B,$DK$2&amp;DP$2)</f>
        <v>0</v>
      </c>
      <c r="DQ159" s="206">
        <f t="shared" si="49"/>
        <v>1730</v>
      </c>
      <c r="DR159" s="206">
        <f t="shared" si="50"/>
        <v>346</v>
      </c>
      <c r="DS159" s="206">
        <f t="shared" si="48"/>
        <v>0</v>
      </c>
      <c r="DT159" s="206">
        <v>0</v>
      </c>
      <c r="DU159" s="206">
        <v>0</v>
      </c>
      <c r="DV159" s="206">
        <v>0</v>
      </c>
      <c r="DW159" s="206">
        <v>0</v>
      </c>
      <c r="DX159" s="258"/>
      <c r="DY159" s="283"/>
      <c r="DZ159" s="252"/>
      <c r="EA159" s="252" t="s">
        <v>184</v>
      </c>
      <c r="EB159" s="136"/>
      <c r="EC159" s="136"/>
      <c r="ED159" s="118">
        <f>IFERROR(VLOOKUP(A159,站前4樓!A:BF,57,0),0)</f>
        <v>0</v>
      </c>
      <c r="EE159" s="213">
        <f>IFERROR(VLOOKUP(A159,站前11樓!A:BE,57,0),0)</f>
        <v>0</v>
      </c>
      <c r="EF159" s="118">
        <f>IFERROR(VLOOKUP(A159,忠孝7樓!A:N,57,0),0)</f>
        <v>0</v>
      </c>
      <c r="EG159" s="118">
        <f>IFERROR(VLOOKUP(A159,忠孝國際醫學3樓!A:L,57,0),0)</f>
        <v>0</v>
      </c>
      <c r="EH159" s="118">
        <f t="shared" si="51"/>
        <v>0</v>
      </c>
    </row>
    <row r="160" spans="1:138" s="118" customFormat="1" ht="15" customHeight="1">
      <c r="A160" s="136" t="s">
        <v>185</v>
      </c>
      <c r="B160" s="118">
        <v>1060001</v>
      </c>
      <c r="C160" s="136" t="s">
        <v>561</v>
      </c>
      <c r="D160" s="285"/>
      <c r="E160" s="198" t="s">
        <v>15</v>
      </c>
      <c r="F160" s="225">
        <f>SUMIF(站前4樓!B:B,B160,站前4樓!F:F)</f>
        <v>21</v>
      </c>
      <c r="G160" s="225">
        <f>SUMIF(站前11樓!B:B,B160,站前11樓!F:F)</f>
        <v>0</v>
      </c>
      <c r="H160" s="225">
        <f>SUMIF(忠孝7樓!B:B,B160,忠孝7樓!G:G)</f>
        <v>1</v>
      </c>
      <c r="I160" s="225">
        <f>SUMIF(忠孝國際醫學3樓!B:B,B160,忠孝國際醫學3樓!G:G)</f>
        <v>0</v>
      </c>
      <c r="J160" s="225">
        <f>SUMIF(忠孝健康7樓!B:B,B160,忠孝健康7樓!G:G)</f>
        <v>0</v>
      </c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83"/>
      <c r="AB160" s="283"/>
      <c r="AC160" s="283"/>
      <c r="AD160" s="283"/>
      <c r="AE160" s="283"/>
      <c r="AF160" s="283"/>
      <c r="AG160" s="283"/>
      <c r="AH160" s="283"/>
      <c r="AI160" s="283"/>
      <c r="AJ160" s="201"/>
      <c r="AK160" s="201"/>
      <c r="AL160" s="201"/>
      <c r="AM160" s="201"/>
      <c r="AN160" s="201"/>
      <c r="AO160" s="201"/>
      <c r="AP160" s="201"/>
      <c r="AQ160" s="201"/>
      <c r="AR160" s="201"/>
      <c r="AS160" s="201"/>
      <c r="AT160" s="201"/>
      <c r="AU160" s="201"/>
      <c r="AV160" s="283">
        <f>SUM(AJ160:AU160)</f>
        <v>0</v>
      </c>
      <c r="AW160" s="286">
        <f>AV160/12</f>
        <v>0</v>
      </c>
      <c r="AX160" s="201">
        <v>10</v>
      </c>
      <c r="AY160" s="201">
        <v>16</v>
      </c>
      <c r="AZ160" s="201">
        <v>10</v>
      </c>
      <c r="BA160" s="201">
        <v>20</v>
      </c>
      <c r="BB160" s="201">
        <v>20</v>
      </c>
      <c r="BC160" s="203">
        <f>SUMIFS(領用表!$L:$L,領用表!$A:$A,BC$2,領用表!$E:$E,B160)</f>
        <v>0</v>
      </c>
      <c r="BD160" s="296">
        <f>SUMIFS(領用表!$L:$L,領用表!$E:$E,$B160,領用表!$B:$B,BC$2&amp;BD$2)</f>
        <v>0</v>
      </c>
      <c r="BE160" s="296">
        <f>SUMIFS(領用表!$L:$L,領用表!$E:$E,$B160,領用表!$B:$B,$BC$2&amp;BE$2)</f>
        <v>0</v>
      </c>
      <c r="BF160" s="296">
        <f>SUMIFS(領用表!$L:$L,領用表!$E:$E,$B160,領用表!$B:$B,$BC$2&amp;BF$2)</f>
        <v>0</v>
      </c>
      <c r="BG160" s="296">
        <f>SUMIFS(領用表!$L:$L,領用表!$E:$E,$B160,領用表!$B:$B,$BC$2&amp;BG$2)</f>
        <v>0</v>
      </c>
      <c r="BH160" s="203">
        <f>SUMIFS(領用表!$L:$L,領用表!$A:$A,BH$2,領用表!$E:$E,B160)</f>
        <v>0</v>
      </c>
      <c r="BI160" s="260">
        <f>SUMIFS(領用表!$L:$L,領用表!$E:$E,$B160,領用表!$B:$B,BH$2&amp;BI$2)</f>
        <v>0</v>
      </c>
      <c r="BJ160" s="260">
        <f>SUMIFS(領用表!$L:$L,領用表!$E:$E,$B160,領用表!$B:$B,$BH$2&amp;BJ$2)</f>
        <v>0</v>
      </c>
      <c r="BK160" s="260">
        <f>SUMIFS(領用表!$L:$L,領用表!$E:$E,$B160,領用表!$B:$B,$BH$2&amp;BK$2)</f>
        <v>0</v>
      </c>
      <c r="BL160" s="260">
        <f>SUMIFS(領用表!$L:$L,領用表!$E:$E,$B160,領用表!$B:$B,$BH$2&amp;BL$2)</f>
        <v>0</v>
      </c>
      <c r="BM160" s="203">
        <f>SUMIFS(領用表!$L:$L,領用表!$A:$A,BM$2,領用表!$E:$E,B160)</f>
        <v>0</v>
      </c>
      <c r="BN160" s="206">
        <f>SUMIFS(領用表!$L:$L,領用表!$E:$E,$B160,領用表!$B:$B,BM$2&amp;BN$2)</f>
        <v>0</v>
      </c>
      <c r="BO160" s="206">
        <f>SUMIFS(領用表!$L:$L,領用表!$E:$E,$B160,領用表!$B:$B,$BM$2&amp;BO$2)</f>
        <v>0</v>
      </c>
      <c r="BP160" s="288">
        <f>SUMIFS(領用表!$L:$L,領用表!$E:$E,$B160,領用表!$B:$B,$BM$2&amp;BP$2)</f>
        <v>0</v>
      </c>
      <c r="BQ160" s="287">
        <f>SUMIFS(領用表!$L:$L,領用表!$E:$E,$B160,領用表!$B:$B,$BM$2&amp;BQ$2)</f>
        <v>0</v>
      </c>
      <c r="BR160" s="203">
        <f>SUMIFS(領用表!$L:$L,領用表!$A:$A,BR$2,領用表!$E:$E,B160)</f>
        <v>0</v>
      </c>
      <c r="BS160" s="288">
        <f>SUMIFS(領用表!$L:$L,領用表!$E:$E,$B160,領用表!$B:$B,BR$2&amp;BS$2)</f>
        <v>0</v>
      </c>
      <c r="BT160" s="288">
        <f>SUMIFS(領用表!$L:$L,領用表!$E:$E,$B160,領用表!$B:$B,$BR$2&amp;BT$2)</f>
        <v>0</v>
      </c>
      <c r="BU160" s="288">
        <f>SUMIFS(領用表!$L:$L,領用表!$E:$E,$B160,領用表!$B:$B,$BR$2&amp;BU$2)</f>
        <v>0</v>
      </c>
      <c r="BV160" s="287">
        <f>SUMIFS(領用表!$L:$L,領用表!$E:$E,$B160,領用表!$B:$B,$BR$2&amp;BV$2)</f>
        <v>0</v>
      </c>
      <c r="BW160" s="208">
        <f>SUMIFS(領用表!$L:$L,領用表!$A:$A,BW$2,領用表!$E:$E,B160)</f>
        <v>0</v>
      </c>
      <c r="BX160" s="206">
        <f>SUMIFS(領用表!$L:$L,領用表!$E:$E,$B160,領用表!$B:$B,BW$2&amp;BX$2)</f>
        <v>0</v>
      </c>
      <c r="BY160" s="206">
        <f>SUMIFS(領用表!$L:$L,領用表!$E:$E,$B160,領用表!$B:$B,$BW$2&amp;BY$2)</f>
        <v>0</v>
      </c>
      <c r="BZ160" s="206">
        <f>SUMIFS(領用表!$L:$L,領用表!$E:$E,$B160,領用表!$B:$B,$BW$2&amp;BZ$2)</f>
        <v>0</v>
      </c>
      <c r="CA160" s="206">
        <f>SUMIFS(領用表!$L:$L,領用表!$E:$E,$B160,領用表!$B:$B,$BW$2&amp;CA$2)</f>
        <v>0</v>
      </c>
      <c r="CB160" s="208">
        <f>SUMIFS(領用表!$L:$L,領用表!$A:$A,CB$2,領用表!$E:$E,B160)</f>
        <v>0</v>
      </c>
      <c r="CC160" s="206">
        <f>SUMIFS(領用表!$L:$L,領用表!$E:$E,$B160,領用表!$B:$B,CB$2&amp;CC$2)</f>
        <v>0</v>
      </c>
      <c r="CD160" s="206">
        <f>SUMIFS(領用表!$L:$L,領用表!$E:$E,$B160,領用表!$B:$B,$CB$2&amp;CD$2)</f>
        <v>0</v>
      </c>
      <c r="CE160" s="206">
        <f>SUMIFS(領用表!$L:$L,領用表!$E:$E,$B160,領用表!$B:$B,$CB$2&amp;CE$2)</f>
        <v>0</v>
      </c>
      <c r="CF160" s="206">
        <f>SUMIFS(領用表!$L:$L,領用表!$E:$E,$B160,領用表!$B:$B,$CB$2&amp;CF$2)</f>
        <v>0</v>
      </c>
      <c r="CG160" s="208">
        <f>SUMIFS(領用表!$L:$L,領用表!$A:$A,CG$2,領用表!$E:$E,B160)</f>
        <v>0</v>
      </c>
      <c r="CH160" s="206">
        <f>SUMIFS(領用表!$L:$L,領用表!$E:$E,$B160,領用表!$B:$B,CG$2&amp;CH$2)</f>
        <v>0</v>
      </c>
      <c r="CI160" s="206">
        <f>SUMIFS(領用表!$L:$L,領用表!$E:$E,$B160,領用表!$B:$B,CG$2&amp;CI$2)</f>
        <v>0</v>
      </c>
      <c r="CJ160" s="206">
        <f>SUMIFS(領用表!$L:$L,領用表!$E:$E,$B160,領用表!$B:$B,CG$2&amp;CJ$2)</f>
        <v>0</v>
      </c>
      <c r="CK160" s="206">
        <f>SUMIFS(領用表!$L:$L,領用表!$E:$E,$B160,領用表!$B:$B,$CG$2&amp;CK$2)</f>
        <v>0</v>
      </c>
      <c r="CL160" s="207">
        <f t="shared" si="46"/>
        <v>76</v>
      </c>
      <c r="CM160" s="207">
        <f t="shared" si="47"/>
        <v>6.333333333333333</v>
      </c>
      <c r="CN160" s="208">
        <f>SUMIFS(領用表!$L:$L,領用表!$A:$A,CN$2,領用表!$E:$E,B160)</f>
        <v>0</v>
      </c>
      <c r="CO160" s="206">
        <f>SUMIFS(領用表!$L:$L,領用表!$E:$E,$B160,領用表!$B:$B,CN$2&amp;CO$2)</f>
        <v>0</v>
      </c>
      <c r="CP160" s="206">
        <f>SUMIFS(領用表!$L:$L,領用表!$E:$E,$B160,領用表!$B:$B,$CN$2&amp;CP$2)</f>
        <v>0</v>
      </c>
      <c r="CQ160" s="206">
        <f>SUMIFS(領用表!$L:$L,領用表!$E:$E,$B160,領用表!$B:$B,$CN$2&amp;CQ$2)</f>
        <v>0</v>
      </c>
      <c r="CR160" s="206">
        <f>SUMIFS(領用表!$L:$L,領用表!$E:$E,$B160,領用表!$B:$B,$CN$2&amp;CR$2)</f>
        <v>0</v>
      </c>
      <c r="CS160" s="208">
        <f>SUMIFS(領用表!$L:$L,領用表!$A:$A,CS$2,領用表!$E:$E,B160)</f>
        <v>0</v>
      </c>
      <c r="CT160" s="206">
        <f>SUMIFS(領用表!$L:$L,領用表!$E:$E,$B160,領用表!$B:$B,CS$2&amp;CT$2)</f>
        <v>0</v>
      </c>
      <c r="CU160" s="206">
        <f>SUMIFS(領用表!$L:$L,領用表!$E:$E,$B160,領用表!$B:$B,$CS$2&amp;CU$2)</f>
        <v>0</v>
      </c>
      <c r="CV160" s="206">
        <f>SUMIFS(領用表!$L:$L,領用表!$E:$E,$B160,領用表!$B:$B,$CS$2&amp;CV$2)</f>
        <v>0</v>
      </c>
      <c r="CW160" s="206">
        <f>SUMIFS(領用表!$L:$L,領用表!$E:$E,$B160,領用表!$B:$B,$CS$2&amp;CW$2)</f>
        <v>0</v>
      </c>
      <c r="CX160" s="206">
        <f>SUMIFS(領用表!$L:$L,領用表!$E:$E,$B160,領用表!$B:$B,$CS$2&amp;CX$2)</f>
        <v>0</v>
      </c>
      <c r="CY160" s="208">
        <f>SUMIFS(領用表!$L:$L,領用表!$A:$A,CY$2,領用表!$E:$E,B160)</f>
        <v>0</v>
      </c>
      <c r="CZ160" s="206">
        <f>SUMIFS(領用表!$L:$L,領用表!$E:$E,$B160,領用表!$B:$B,CY$2&amp;CZ$2)</f>
        <v>0</v>
      </c>
      <c r="DA160" s="206">
        <f>SUMIFS(領用表!$L:$L,領用表!$E:$E,$B160,領用表!$B:$B,$CY$2&amp;DA$2)</f>
        <v>0</v>
      </c>
      <c r="DB160" s="206">
        <f>SUMIFS(領用表!$L:$L,領用表!$E:$E,$B160,領用表!$B:$B,$CY$2&amp;DB$2)</f>
        <v>0</v>
      </c>
      <c r="DC160" s="206">
        <f>SUMIFS(領用表!$L:$L,領用表!$E:$E,$B160,領用表!$B:$B,$CY$2&amp;DC$2)</f>
        <v>0</v>
      </c>
      <c r="DD160" s="206">
        <f>SUMIFS(領用表!$L:$L,領用表!$E:$E,$B160,領用表!$B:$B,$CY$2&amp;DD$2)</f>
        <v>0</v>
      </c>
      <c r="DE160" s="208">
        <f>SUMIFS(領用表!$L:$L,領用表!$A:$A,DE$2,領用表!$E:$E,B160)</f>
        <v>0</v>
      </c>
      <c r="DF160" s="206">
        <f>SUMIFS(領用表!$L:$L,領用表!$E:$E,$B160,領用表!$B:$B,DE$2&amp;DF$2)</f>
        <v>0</v>
      </c>
      <c r="DG160" s="206">
        <f>SUMIFS(領用表!$L:$L,領用表!$E:$E,$B160,領用表!$B:$B,$DE$2&amp;DG$2)</f>
        <v>0</v>
      </c>
      <c r="DH160" s="206">
        <f>SUMIFS(領用表!$L:$L,領用表!$E:$E,$B160,領用表!$B:$B,$DE$2&amp;DH$2)</f>
        <v>0</v>
      </c>
      <c r="DI160" s="206">
        <f>SUMIFS(領用表!$L:$L,領用表!$E:$E,$B160,領用表!$B:$B,$DE$2&amp;DI$2)</f>
        <v>0</v>
      </c>
      <c r="DJ160" s="206">
        <f>SUMIFS(領用表!$L:$L,領用表!$E:$E,$B160,領用表!$B:$B,$DE$2&amp;DJ$2)</f>
        <v>0</v>
      </c>
      <c r="DK160" s="208">
        <f>SUMIFS(領用表!$L:$L,領用表!$A:$A,DK$2,領用表!$E:$E,$B160)</f>
        <v>0</v>
      </c>
      <c r="DL160" s="206">
        <f>SUMIFS(領用表!$L:$L,領用表!$E:$E,$B160,領用表!$B:$B,DK$2&amp;DL$2)</f>
        <v>0</v>
      </c>
      <c r="DM160" s="206">
        <f>SUMIFS(領用表!$L:$L,領用表!$E:$E,$B160,領用表!$B:$B,$DK$2&amp;DM$2)</f>
        <v>0</v>
      </c>
      <c r="DN160" s="206">
        <f>SUMIFS(領用表!$L:$L,領用表!$E:$E,$B160,領用表!$B:$B,$DK$2&amp;DN$2)</f>
        <v>0</v>
      </c>
      <c r="DO160" s="206">
        <f>SUMIFS(領用表!$L:$L,領用表!$E:$E,$B160,領用表!$B:$B,$DK$2&amp;DO$2)</f>
        <v>0</v>
      </c>
      <c r="DP160" s="206">
        <f>SUMIFS(領用表!$L:$L,領用表!$E:$E,$B160,領用表!$B:$B,$DK$2&amp;DP$2)</f>
        <v>0</v>
      </c>
      <c r="DQ160" s="206">
        <f t="shared" si="49"/>
        <v>0</v>
      </c>
      <c r="DR160" s="206">
        <f t="shared" si="50"/>
        <v>0</v>
      </c>
      <c r="DS160" s="206">
        <f t="shared" si="48"/>
        <v>0</v>
      </c>
      <c r="DT160" s="206">
        <v>0</v>
      </c>
      <c r="DU160" s="206">
        <v>0</v>
      </c>
      <c r="DV160" s="206">
        <v>0</v>
      </c>
      <c r="DW160" s="206">
        <v>0</v>
      </c>
      <c r="DX160" s="258"/>
      <c r="DY160" s="283"/>
      <c r="DZ160" s="252"/>
      <c r="EA160" s="252"/>
      <c r="EB160" s="136"/>
      <c r="EC160" s="136"/>
      <c r="ED160" s="118">
        <f>IFERROR(VLOOKUP(A160,站前4樓!A:BF,57,0),0)</f>
        <v>0</v>
      </c>
      <c r="EE160" s="213">
        <f>IFERROR(VLOOKUP(A160,站前11樓!A:BE,57,0),0)</f>
        <v>0</v>
      </c>
      <c r="EF160" s="118">
        <f>IFERROR(VLOOKUP(A160,忠孝7樓!A:N,57,0),0)</f>
        <v>0</v>
      </c>
      <c r="EG160" s="118">
        <f>IFERROR(VLOOKUP(A160,忠孝國際醫學3樓!A:L,57,0),0)</f>
        <v>0</v>
      </c>
      <c r="EH160" s="118">
        <f t="shared" si="51"/>
        <v>0</v>
      </c>
    </row>
    <row r="161" spans="1:138" s="118" customFormat="1" ht="15" customHeight="1">
      <c r="A161" s="136" t="s">
        <v>186</v>
      </c>
      <c r="B161" s="118">
        <v>6070002</v>
      </c>
      <c r="C161" s="136" t="s">
        <v>562</v>
      </c>
      <c r="D161" s="285"/>
      <c r="E161" s="198" t="s">
        <v>15</v>
      </c>
      <c r="F161" s="225">
        <f>SUMIF(站前4樓!B:B,B161,站前4樓!F:F)</f>
        <v>0</v>
      </c>
      <c r="G161" s="225">
        <f>SUMIF(站前11樓!B:B,B161,站前11樓!F:F)</f>
        <v>0</v>
      </c>
      <c r="H161" s="225">
        <f>SUMIF(忠孝7樓!B:B,B161,忠孝7樓!G:G)</f>
        <v>0</v>
      </c>
      <c r="I161" s="225">
        <f>SUMIF(忠孝國際醫學3樓!B:B,B161,忠孝國際醫學3樓!G:G)</f>
        <v>0</v>
      </c>
      <c r="J161" s="225">
        <f>SUMIF(忠孝健康7樓!B:B,B161,忠孝健康7樓!G:G)</f>
        <v>0</v>
      </c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283"/>
      <c r="AB161" s="283"/>
      <c r="AC161" s="283"/>
      <c r="AD161" s="283"/>
      <c r="AE161" s="283"/>
      <c r="AF161" s="283"/>
      <c r="AG161" s="283"/>
      <c r="AH161" s="283"/>
      <c r="AI161" s="283"/>
      <c r="AJ161" s="201"/>
      <c r="AK161" s="201"/>
      <c r="AL161" s="201"/>
      <c r="AM161" s="201"/>
      <c r="AN161" s="201"/>
      <c r="AO161" s="201"/>
      <c r="AP161" s="201"/>
      <c r="AQ161" s="201"/>
      <c r="AR161" s="201"/>
      <c r="AS161" s="201"/>
      <c r="AT161" s="201"/>
      <c r="AU161" s="201"/>
      <c r="AV161" s="347" t="s">
        <v>49</v>
      </c>
      <c r="AW161" s="347" t="s">
        <v>49</v>
      </c>
      <c r="AX161" s="347" t="s">
        <v>49</v>
      </c>
      <c r="AY161" s="347" t="s">
        <v>49</v>
      </c>
      <c r="AZ161" s="347" t="s">
        <v>49</v>
      </c>
      <c r="BA161" s="347" t="s">
        <v>49</v>
      </c>
      <c r="BB161" s="201">
        <v>60</v>
      </c>
      <c r="BC161" s="203">
        <f>SUMIFS(領用表!$L:$L,領用表!$A:$A,BC$2,領用表!$E:$E,B161)</f>
        <v>0</v>
      </c>
      <c r="BD161" s="296">
        <f>SUMIFS(領用表!$L:$L,領用表!$E:$E,$B161,領用表!$B:$B,BC$2&amp;BD$2)</f>
        <v>0</v>
      </c>
      <c r="BE161" s="296">
        <f>SUMIFS(領用表!$L:$L,領用表!$E:$E,$B161,領用表!$B:$B,$BC$2&amp;BE$2)</f>
        <v>0</v>
      </c>
      <c r="BF161" s="296">
        <f>SUMIFS(領用表!$L:$L,領用表!$E:$E,$B161,領用表!$B:$B,$BC$2&amp;BF$2)</f>
        <v>0</v>
      </c>
      <c r="BG161" s="296">
        <f>SUMIFS(領用表!$L:$L,領用表!$E:$E,$B161,領用表!$B:$B,$BC$2&amp;BG$2)</f>
        <v>0</v>
      </c>
      <c r="BH161" s="203">
        <f>SUMIFS(領用表!$L:$L,領用表!$A:$A,BH$2,領用表!$E:$E,B161)</f>
        <v>0</v>
      </c>
      <c r="BI161" s="260">
        <f>SUMIFS(領用表!$L:$L,領用表!$E:$E,$B161,領用表!$B:$B,BH$2&amp;BI$2)</f>
        <v>0</v>
      </c>
      <c r="BJ161" s="260">
        <f>SUMIFS(領用表!$L:$L,領用表!$E:$E,$B161,領用表!$B:$B,$BH$2&amp;BJ$2)</f>
        <v>0</v>
      </c>
      <c r="BK161" s="260">
        <f>SUMIFS(領用表!$L:$L,領用表!$E:$E,$B161,領用表!$B:$B,$BH$2&amp;BK$2)</f>
        <v>0</v>
      </c>
      <c r="BL161" s="260">
        <f>SUMIFS(領用表!$L:$L,領用表!$E:$E,$B161,領用表!$B:$B,$BH$2&amp;BL$2)</f>
        <v>0</v>
      </c>
      <c r="BM161" s="203">
        <f>SUMIFS(領用表!$L:$L,領用表!$A:$A,BM$2,領用表!$E:$E,B161)</f>
        <v>0</v>
      </c>
      <c r="BN161" s="206">
        <f>SUMIFS(領用表!$L:$L,領用表!$E:$E,$B161,領用表!$B:$B,BM$2&amp;BN$2)</f>
        <v>0</v>
      </c>
      <c r="BO161" s="206">
        <f>SUMIFS(領用表!$L:$L,領用表!$E:$E,$B161,領用表!$B:$B,$BM$2&amp;BO$2)</f>
        <v>0</v>
      </c>
      <c r="BP161" s="288">
        <f>SUMIFS(領用表!$L:$L,領用表!$E:$E,$B161,領用表!$B:$B,$BM$2&amp;BP$2)</f>
        <v>0</v>
      </c>
      <c r="BQ161" s="287">
        <f>SUMIFS(領用表!$L:$L,領用表!$E:$E,$B161,領用表!$B:$B,$BM$2&amp;BQ$2)</f>
        <v>0</v>
      </c>
      <c r="BR161" s="203">
        <f>SUMIFS(領用表!$L:$L,領用表!$A:$A,BR$2,領用表!$E:$E,B161)</f>
        <v>0</v>
      </c>
      <c r="BS161" s="260">
        <f>SUMIFS(領用表!$L:$L,領用表!$E:$E,$B161,領用表!$B:$B,BR$2&amp;BS$2)</f>
        <v>0</v>
      </c>
      <c r="BT161" s="260">
        <f>SUMIFS(領用表!$L:$L,領用表!$E:$E,$B161,領用表!$B:$B,$BR$2&amp;BT$2)</f>
        <v>0</v>
      </c>
      <c r="BU161" s="260">
        <f>SUMIFS(領用表!$L:$L,領用表!$E:$E,$B161,領用表!$B:$B,$BR$2&amp;BU$2)</f>
        <v>0</v>
      </c>
      <c r="BV161" s="220">
        <f>SUMIFS(領用表!$L:$L,領用表!$E:$E,$B161,領用表!$B:$B,$BR$2&amp;BV$2)</f>
        <v>0</v>
      </c>
      <c r="BW161" s="208">
        <f>SUMIFS(領用表!$L:$L,領用表!$A:$A,BW$2,領用表!$E:$E,B161)</f>
        <v>0</v>
      </c>
      <c r="BX161" s="206">
        <f>SUMIFS(領用表!$L:$L,領用表!$E:$E,$B161,領用表!$B:$B,BW$2&amp;BX$2)</f>
        <v>0</v>
      </c>
      <c r="BY161" s="206">
        <f>SUMIFS(領用表!$L:$L,領用表!$E:$E,$B161,領用表!$B:$B,$BW$2&amp;BY$2)</f>
        <v>0</v>
      </c>
      <c r="BZ161" s="206">
        <f>SUMIFS(領用表!$L:$L,領用表!$E:$E,$B161,領用表!$B:$B,$BW$2&amp;BZ$2)</f>
        <v>0</v>
      </c>
      <c r="CA161" s="206">
        <f>SUMIFS(領用表!$L:$L,領用表!$E:$E,$B161,領用表!$B:$B,$BW$2&amp;CA$2)</f>
        <v>0</v>
      </c>
      <c r="CB161" s="208">
        <f>SUMIFS(領用表!$L:$L,領用表!$A:$A,CB$2,領用表!$E:$E,B161)</f>
        <v>0</v>
      </c>
      <c r="CC161" s="206">
        <f>SUMIFS(領用表!$L:$L,領用表!$E:$E,$B161,領用表!$B:$B,CB$2&amp;CC$2)</f>
        <v>0</v>
      </c>
      <c r="CD161" s="206">
        <f>SUMIFS(領用表!$L:$L,領用表!$E:$E,$B161,領用表!$B:$B,$CB$2&amp;CD$2)</f>
        <v>0</v>
      </c>
      <c r="CE161" s="206">
        <f>SUMIFS(領用表!$L:$L,領用表!$E:$E,$B161,領用表!$B:$B,$CB$2&amp;CE$2)</f>
        <v>0</v>
      </c>
      <c r="CF161" s="206">
        <f>SUMIFS(領用表!$L:$L,領用表!$E:$E,$B161,領用表!$B:$B,$CB$2&amp;CF$2)</f>
        <v>0</v>
      </c>
      <c r="CG161" s="208">
        <f>SUMIFS(領用表!$L:$L,領用表!$A:$A,CG$2,領用表!$E:$E,B161)</f>
        <v>0</v>
      </c>
      <c r="CH161" s="206">
        <f>SUMIFS(領用表!$L:$L,領用表!$E:$E,$B161,領用表!$B:$B,CG$2&amp;CH$2)</f>
        <v>0</v>
      </c>
      <c r="CI161" s="206">
        <f>SUMIFS(領用表!$L:$L,領用表!$E:$E,$B161,領用表!$B:$B,CG$2&amp;CI$2)</f>
        <v>0</v>
      </c>
      <c r="CJ161" s="206">
        <f>SUMIFS(領用表!$L:$L,領用表!$E:$E,$B161,領用表!$B:$B,CG$2&amp;CJ$2)</f>
        <v>0</v>
      </c>
      <c r="CK161" s="206">
        <f>SUMIFS(領用表!$L:$L,領用表!$E:$E,$B161,領用表!$B:$B,$CG$2&amp;CK$2)</f>
        <v>0</v>
      </c>
      <c r="CL161" s="207">
        <f t="shared" si="46"/>
        <v>60</v>
      </c>
      <c r="CM161" s="207">
        <f t="shared" si="47"/>
        <v>7.5</v>
      </c>
      <c r="CN161" s="208">
        <f>SUMIFS(領用表!$L:$L,領用表!$A:$A,CN$2,領用表!$E:$E,B161)</f>
        <v>0</v>
      </c>
      <c r="CO161" s="206">
        <f>SUMIFS(領用表!$L:$L,領用表!$E:$E,$B161,領用表!$B:$B,CN$2&amp;CO$2)</f>
        <v>0</v>
      </c>
      <c r="CP161" s="206">
        <f>SUMIFS(領用表!$L:$L,領用表!$E:$E,$B161,領用表!$B:$B,$CN$2&amp;CP$2)</f>
        <v>0</v>
      </c>
      <c r="CQ161" s="206">
        <f>SUMIFS(領用表!$L:$L,領用表!$E:$E,$B161,領用表!$B:$B,$CN$2&amp;CQ$2)</f>
        <v>0</v>
      </c>
      <c r="CR161" s="206">
        <f>SUMIFS(領用表!$L:$L,領用表!$E:$E,$B161,領用表!$B:$B,$CN$2&amp;CR$2)</f>
        <v>0</v>
      </c>
      <c r="CS161" s="208">
        <f>SUMIFS(領用表!$L:$L,領用表!$A:$A,CS$2,領用表!$E:$E,B161)</f>
        <v>0</v>
      </c>
      <c r="CT161" s="206">
        <f>SUMIFS(領用表!$L:$L,領用表!$E:$E,$B161,領用表!$B:$B,CS$2&amp;CT$2)</f>
        <v>0</v>
      </c>
      <c r="CU161" s="206">
        <f>SUMIFS(領用表!$L:$L,領用表!$E:$E,$B161,領用表!$B:$B,$CS$2&amp;CU$2)</f>
        <v>0</v>
      </c>
      <c r="CV161" s="206">
        <f>SUMIFS(領用表!$L:$L,領用表!$E:$E,$B161,領用表!$B:$B,$CS$2&amp;CV$2)</f>
        <v>0</v>
      </c>
      <c r="CW161" s="206">
        <f>SUMIFS(領用表!$L:$L,領用表!$E:$E,$B161,領用表!$B:$B,$CS$2&amp;CW$2)</f>
        <v>0</v>
      </c>
      <c r="CX161" s="206">
        <f>SUMIFS(領用表!$L:$L,領用表!$E:$E,$B161,領用表!$B:$B,$CS$2&amp;CX$2)</f>
        <v>0</v>
      </c>
      <c r="CY161" s="208">
        <f>SUMIFS(領用表!$L:$L,領用表!$A:$A,CY$2,領用表!$E:$E,B161)</f>
        <v>0</v>
      </c>
      <c r="CZ161" s="331">
        <f>SUMIFS(領用表!$L:$L,領用表!$E:$E,$B161,領用表!$B:$B,CY$2&amp;CZ$2)</f>
        <v>0</v>
      </c>
      <c r="DA161" s="331">
        <f>SUMIFS(領用表!$L:$L,領用表!$E:$E,$B161,領用表!$B:$B,$CY$2&amp;DA$2)</f>
        <v>0</v>
      </c>
      <c r="DB161" s="331">
        <f>SUMIFS(領用表!$L:$L,領用表!$E:$E,$B161,領用表!$B:$B,$CY$2&amp;DB$2)</f>
        <v>0</v>
      </c>
      <c r="DC161" s="331">
        <f>SUMIFS(領用表!$L:$L,領用表!$E:$E,$B161,領用表!$B:$B,$CY$2&amp;DC$2)</f>
        <v>0</v>
      </c>
      <c r="DD161" s="331">
        <f>SUMIFS(領用表!$L:$L,領用表!$E:$E,$B161,領用表!$B:$B,$CY$2&amp;DD$2)</f>
        <v>0</v>
      </c>
      <c r="DE161" s="208">
        <f>SUMIFS(領用表!$L:$L,領用表!$A:$A,DE$2,領用表!$E:$E,B161)</f>
        <v>0</v>
      </c>
      <c r="DF161" s="331">
        <f>SUMIFS(領用表!$L:$L,領用表!$E:$E,$B161,領用表!$B:$B,DE$2&amp;DF$2)</f>
        <v>0</v>
      </c>
      <c r="DG161" s="331">
        <f>SUMIFS(領用表!$L:$L,領用表!$E:$E,$B161,領用表!$B:$B,$DE$2&amp;DG$2)</f>
        <v>0</v>
      </c>
      <c r="DH161" s="331">
        <f>SUMIFS(領用表!$L:$L,領用表!$E:$E,$B161,領用表!$B:$B,$DE$2&amp;DH$2)</f>
        <v>0</v>
      </c>
      <c r="DI161" s="331">
        <f>SUMIFS(領用表!$L:$L,領用表!$E:$E,$B161,領用表!$B:$B,$DE$2&amp;DI$2)</f>
        <v>0</v>
      </c>
      <c r="DJ161" s="331">
        <f>SUMIFS(領用表!$L:$L,領用表!$E:$E,$B161,領用表!$B:$B,$DE$2&amp;DJ$2)</f>
        <v>0</v>
      </c>
      <c r="DK161" s="208">
        <f>SUMIFS(領用表!$L:$L,領用表!$A:$A,DK$2,領用表!$E:$E,$B161)</f>
        <v>2</v>
      </c>
      <c r="DL161" s="331">
        <f>SUMIFS(領用表!$L:$L,領用表!$E:$E,$B161,領用表!$B:$B,DK$2&amp;DL$2)</f>
        <v>0</v>
      </c>
      <c r="DM161" s="331">
        <f>SUMIFS(領用表!$L:$L,領用表!$E:$E,$B161,領用表!$B:$B,$DK$2&amp;DM$2)</f>
        <v>0</v>
      </c>
      <c r="DN161" s="331">
        <f>SUMIFS(領用表!$L:$L,領用表!$E:$E,$B161,領用表!$B:$B,$DK$2&amp;DN$2)</f>
        <v>0</v>
      </c>
      <c r="DO161" s="331">
        <f>SUMIFS(領用表!$L:$L,領用表!$E:$E,$B161,領用表!$B:$B,$DK$2&amp;DO$2)</f>
        <v>0</v>
      </c>
      <c r="DP161" s="331">
        <f>SUMIFS(領用表!$L:$L,領用表!$E:$E,$B161,領用表!$B:$B,$DK$2&amp;DP$2)</f>
        <v>2</v>
      </c>
      <c r="DQ161" s="331">
        <f t="shared" si="49"/>
        <v>2</v>
      </c>
      <c r="DR161" s="331">
        <f t="shared" si="50"/>
        <v>0.4</v>
      </c>
      <c r="DS161" s="331">
        <f t="shared" si="48"/>
        <v>0</v>
      </c>
      <c r="DT161" s="331">
        <v>0</v>
      </c>
      <c r="DU161" s="331">
        <v>0</v>
      </c>
      <c r="DV161" s="331">
        <v>0</v>
      </c>
      <c r="DW161" s="331">
        <v>0</v>
      </c>
      <c r="DX161" s="338"/>
      <c r="DY161" s="333"/>
      <c r="DZ161" s="252"/>
      <c r="EA161" s="252"/>
      <c r="EB161" s="136"/>
      <c r="EC161" s="136"/>
      <c r="ED161" s="118">
        <f>IFERROR(VLOOKUP(A161,站前4樓!A:BF,57,0),0)</f>
        <v>0</v>
      </c>
      <c r="EE161" s="213">
        <f>IFERROR(VLOOKUP(A161,站前11樓!A:BE,57,0),0)</f>
        <v>0</v>
      </c>
      <c r="EF161" s="118">
        <f>IFERROR(VLOOKUP(A161,忠孝7樓!A:N,57,0),0)</f>
        <v>0</v>
      </c>
      <c r="EG161" s="118">
        <f>IFERROR(VLOOKUP(A161,忠孝國際醫學3樓!A:L,57,0),0)</f>
        <v>0</v>
      </c>
      <c r="EH161" s="118">
        <f t="shared" si="51"/>
        <v>0</v>
      </c>
    </row>
    <row r="162" spans="1:138" s="118" customFormat="1" ht="15" customHeight="1">
      <c r="A162" s="136" t="s">
        <v>187</v>
      </c>
      <c r="B162" s="118">
        <v>6050009</v>
      </c>
      <c r="C162" s="136" t="s">
        <v>563</v>
      </c>
      <c r="D162" s="285"/>
      <c r="E162" s="198" t="s">
        <v>15</v>
      </c>
      <c r="F162" s="225">
        <f>SUMIF(站前4樓!B:B,B162,站前4樓!F:F)</f>
        <v>0</v>
      </c>
      <c r="G162" s="225">
        <f>SUMIF(站前11樓!B:B,B162,站前11樓!F:F)</f>
        <v>38</v>
      </c>
      <c r="H162" s="225">
        <f>SUMIF(忠孝7樓!B:B,B162,忠孝7樓!G:G)</f>
        <v>0</v>
      </c>
      <c r="I162" s="225">
        <f>SUMIF(忠孝國際醫學3樓!B:B,B162,忠孝國際醫學3樓!G:G)</f>
        <v>0</v>
      </c>
      <c r="J162" s="225">
        <f>SUMIF(忠孝健康7樓!B:B,B162,忠孝健康7樓!G:G)</f>
        <v>0</v>
      </c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83"/>
      <c r="AB162" s="283"/>
      <c r="AC162" s="283"/>
      <c r="AD162" s="283"/>
      <c r="AE162" s="283"/>
      <c r="AF162" s="283"/>
      <c r="AG162" s="283"/>
      <c r="AH162" s="283"/>
      <c r="AI162" s="283"/>
      <c r="AJ162" s="201"/>
      <c r="AK162" s="201"/>
      <c r="AL162" s="201"/>
      <c r="AM162" s="201"/>
      <c r="AN162" s="201"/>
      <c r="AO162" s="201"/>
      <c r="AP162" s="201"/>
      <c r="AQ162" s="201"/>
      <c r="AR162" s="201"/>
      <c r="AS162" s="201"/>
      <c r="AT162" s="201"/>
      <c r="AU162" s="201"/>
      <c r="AV162" s="333"/>
      <c r="AW162" s="337"/>
      <c r="AX162" s="292"/>
      <c r="AY162" s="292"/>
      <c r="AZ162" s="292"/>
      <c r="BA162" s="292"/>
      <c r="BB162" s="201"/>
      <c r="BC162" s="203">
        <f>SUMIFS(領用表!$L:$L,領用表!$A:$A,BC$2,領用表!$E:$E,B162)</f>
        <v>0</v>
      </c>
      <c r="BD162" s="296">
        <f>SUMIFS(領用表!$L:$L,領用表!$E:$E,$B162,領用表!$B:$B,BC$2&amp;BD$2)</f>
        <v>0</v>
      </c>
      <c r="BE162" s="296">
        <f>SUMIFS(領用表!$L:$L,領用表!$E:$E,$B162,領用表!$B:$B,$BC$2&amp;BE$2)</f>
        <v>0</v>
      </c>
      <c r="BF162" s="296">
        <f>SUMIFS(領用表!$L:$L,領用表!$E:$E,$B162,領用表!$B:$B,$BC$2&amp;BF$2)</f>
        <v>0</v>
      </c>
      <c r="BG162" s="296">
        <f>SUMIFS(領用表!$L:$L,領用表!$E:$E,$B162,領用表!$B:$B,$BC$2&amp;BG$2)</f>
        <v>0</v>
      </c>
      <c r="BH162" s="203">
        <f>SUMIFS(領用表!$L:$L,領用表!$A:$A,BH$2,領用表!$E:$E,B162)</f>
        <v>0</v>
      </c>
      <c r="BI162" s="260">
        <f>SUMIFS(領用表!$L:$L,領用表!$E:$E,$B162,領用表!$B:$B,BH$2&amp;BI$2)</f>
        <v>0</v>
      </c>
      <c r="BJ162" s="260">
        <f>SUMIFS(領用表!$L:$L,領用表!$E:$E,$B162,領用表!$B:$B,$BH$2&amp;BJ$2)</f>
        <v>0</v>
      </c>
      <c r="BK162" s="260">
        <f>SUMIFS(領用表!$L:$L,領用表!$E:$E,$B162,領用表!$B:$B,$BH$2&amp;BK$2)</f>
        <v>0</v>
      </c>
      <c r="BL162" s="260">
        <f>SUMIFS(領用表!$L:$L,領用表!$E:$E,$B162,領用表!$B:$B,$BH$2&amp;BL$2)</f>
        <v>0</v>
      </c>
      <c r="BM162" s="203">
        <f>SUMIFS(領用表!$L:$L,領用表!$A:$A,BM$2,領用表!$E:$E,B162)</f>
        <v>0</v>
      </c>
      <c r="BN162" s="206">
        <f>SUMIFS(領用表!$L:$L,領用表!$E:$E,$B162,領用表!$B:$B,BM$2&amp;BN$2)</f>
        <v>0</v>
      </c>
      <c r="BO162" s="206">
        <f>SUMIFS(領用表!$L:$L,領用表!$E:$E,$B162,領用表!$B:$B,$BM$2&amp;BO$2)</f>
        <v>0</v>
      </c>
      <c r="BP162" s="288">
        <f>SUMIFS(領用表!$L:$L,領用表!$E:$E,$B162,領用表!$B:$B,$BM$2&amp;BP$2)</f>
        <v>0</v>
      </c>
      <c r="BQ162" s="287">
        <f>SUMIFS(領用表!$L:$L,領用表!$E:$E,$B162,領用表!$B:$B,$BM$2&amp;BQ$2)</f>
        <v>0</v>
      </c>
      <c r="BR162" s="203">
        <f>SUMIFS(領用表!$L:$L,領用表!$A:$A,BR$2,領用表!$E:$E,B162)</f>
        <v>0</v>
      </c>
      <c r="BS162" s="260">
        <f>SUMIFS(領用表!$L:$L,領用表!$E:$E,$B162,領用表!$B:$B,BR$2&amp;BS$2)</f>
        <v>0</v>
      </c>
      <c r="BT162" s="260">
        <f>SUMIFS(領用表!$L:$L,領用表!$E:$E,$B162,領用表!$B:$B,$BR$2&amp;BT$2)</f>
        <v>0</v>
      </c>
      <c r="BU162" s="260">
        <f>SUMIFS(領用表!$L:$L,領用表!$E:$E,$B162,領用表!$B:$B,$BR$2&amp;BU$2)</f>
        <v>0</v>
      </c>
      <c r="BV162" s="220">
        <f>SUMIFS(領用表!$L:$L,領用表!$E:$E,$B162,領用表!$B:$B,$BR$2&amp;BV$2)</f>
        <v>0</v>
      </c>
      <c r="BW162" s="208">
        <f>SUMIFS(領用表!$L:$L,領用表!$A:$A,BW$2,領用表!$E:$E,B162)</f>
        <v>0</v>
      </c>
      <c r="BX162" s="206">
        <f>SUMIFS(領用表!$L:$L,領用表!$E:$E,$B162,領用表!$B:$B,BW$2&amp;BX$2)</f>
        <v>0</v>
      </c>
      <c r="BY162" s="206">
        <f>SUMIFS(領用表!$L:$L,領用表!$E:$E,$B162,領用表!$B:$B,$BW$2&amp;BY$2)</f>
        <v>0</v>
      </c>
      <c r="BZ162" s="206">
        <f>SUMIFS(領用表!$L:$L,領用表!$E:$E,$B162,領用表!$B:$B,$BW$2&amp;BZ$2)</f>
        <v>0</v>
      </c>
      <c r="CA162" s="206">
        <f>SUMIFS(領用表!$L:$L,領用表!$E:$E,$B162,領用表!$B:$B,$BW$2&amp;CA$2)</f>
        <v>0</v>
      </c>
      <c r="CB162" s="208">
        <f>SUMIFS(領用表!$L:$L,領用表!$A:$A,CB$2,領用表!$E:$E,B162)</f>
        <v>0</v>
      </c>
      <c r="CC162" s="206">
        <f>SUMIFS(領用表!$L:$L,領用表!$E:$E,$B162,領用表!$B:$B,CB$2&amp;CC$2)</f>
        <v>0</v>
      </c>
      <c r="CD162" s="206">
        <f>SUMIFS(領用表!$L:$L,領用表!$E:$E,$B162,領用表!$B:$B,$CB$2&amp;CD$2)</f>
        <v>0</v>
      </c>
      <c r="CE162" s="206">
        <f>SUMIFS(領用表!$L:$L,領用表!$E:$E,$B162,領用表!$B:$B,$CB$2&amp;CE$2)</f>
        <v>0</v>
      </c>
      <c r="CF162" s="206">
        <f>SUMIFS(領用表!$L:$L,領用表!$E:$E,$B162,領用表!$B:$B,$CB$2&amp;CF$2)</f>
        <v>0</v>
      </c>
      <c r="CG162" s="208">
        <f>SUMIFS(領用表!$L:$L,領用表!$A:$A,CG$2,領用表!$E:$E,B162)</f>
        <v>0</v>
      </c>
      <c r="CH162" s="206">
        <f>SUMIFS(領用表!$L:$L,領用表!$E:$E,$B162,領用表!$B:$B,CG$2&amp;CH$2)</f>
        <v>0</v>
      </c>
      <c r="CI162" s="206">
        <f>SUMIFS(領用表!$L:$L,領用表!$E:$E,$B162,領用表!$B:$B,CG$2&amp;CI$2)</f>
        <v>0</v>
      </c>
      <c r="CJ162" s="206">
        <f>SUMIFS(領用表!$L:$L,領用表!$E:$E,$B162,領用表!$B:$B,CG$2&amp;CJ$2)</f>
        <v>0</v>
      </c>
      <c r="CK162" s="206">
        <f>SUMIFS(領用表!$L:$L,領用表!$E:$E,$B162,領用表!$B:$B,$CG$2&amp;CK$2)</f>
        <v>0</v>
      </c>
      <c r="CL162" s="207">
        <f t="shared" si="46"/>
        <v>0</v>
      </c>
      <c r="CM162" s="207">
        <f t="shared" si="47"/>
        <v>0</v>
      </c>
      <c r="CN162" s="208">
        <f>SUMIFS(領用表!$L:$L,領用表!$A:$A,CN$2,領用表!$E:$E,B162)</f>
        <v>0</v>
      </c>
      <c r="CO162" s="206">
        <f>SUMIFS(領用表!$L:$L,領用表!$E:$E,$B162,領用表!$B:$B,CN$2&amp;CO$2)</f>
        <v>0</v>
      </c>
      <c r="CP162" s="206">
        <f>SUMIFS(領用表!$L:$L,領用表!$E:$E,$B162,領用表!$B:$B,$CN$2&amp;CP$2)</f>
        <v>0</v>
      </c>
      <c r="CQ162" s="206">
        <f>SUMIFS(領用表!$L:$L,領用表!$E:$E,$B162,領用表!$B:$B,$CN$2&amp;CQ$2)</f>
        <v>0</v>
      </c>
      <c r="CR162" s="206">
        <f>SUMIFS(領用表!$L:$L,領用表!$E:$E,$B162,領用表!$B:$B,$CN$2&amp;CR$2)</f>
        <v>0</v>
      </c>
      <c r="CS162" s="208">
        <f>SUMIFS(領用表!$L:$L,領用表!$A:$A,CS$2,領用表!$E:$E,B162)</f>
        <v>0</v>
      </c>
      <c r="CT162" s="206">
        <f>SUMIFS(領用表!$L:$L,領用表!$E:$E,$B162,領用表!$B:$B,CS$2&amp;CT$2)</f>
        <v>0</v>
      </c>
      <c r="CU162" s="206">
        <f>SUMIFS(領用表!$L:$L,領用表!$E:$E,$B162,領用表!$B:$B,$CS$2&amp;CU$2)</f>
        <v>0</v>
      </c>
      <c r="CV162" s="206">
        <f>SUMIFS(領用表!$L:$L,領用表!$E:$E,$B162,領用表!$B:$B,$CS$2&amp;CV$2)</f>
        <v>0</v>
      </c>
      <c r="CW162" s="206">
        <f>SUMIFS(領用表!$L:$L,領用表!$E:$E,$B162,領用表!$B:$B,$CS$2&amp;CW$2)</f>
        <v>0</v>
      </c>
      <c r="CX162" s="206">
        <f>SUMIFS(領用表!$L:$L,領用表!$E:$E,$B162,領用表!$B:$B,$CS$2&amp;CX$2)</f>
        <v>0</v>
      </c>
      <c r="CY162" s="208">
        <f>SUMIFS(領用表!$L:$L,領用表!$A:$A,CY$2,領用表!$E:$E,B162)</f>
        <v>0</v>
      </c>
      <c r="CZ162" s="331">
        <f>SUMIFS(領用表!$L:$L,領用表!$E:$E,$B162,領用表!$B:$B,CY$2&amp;CZ$2)</f>
        <v>0</v>
      </c>
      <c r="DA162" s="331">
        <f>SUMIFS(領用表!$L:$L,領用表!$E:$E,$B162,領用表!$B:$B,$CY$2&amp;DA$2)</f>
        <v>0</v>
      </c>
      <c r="DB162" s="331">
        <f>SUMIFS(領用表!$L:$L,領用表!$E:$E,$B162,領用表!$B:$B,$CY$2&amp;DB$2)</f>
        <v>0</v>
      </c>
      <c r="DC162" s="331">
        <f>SUMIFS(領用表!$L:$L,領用表!$E:$E,$B162,領用表!$B:$B,$CY$2&amp;DC$2)</f>
        <v>0</v>
      </c>
      <c r="DD162" s="331">
        <f>SUMIFS(領用表!$L:$L,領用表!$E:$E,$B162,領用表!$B:$B,$CY$2&amp;DD$2)</f>
        <v>0</v>
      </c>
      <c r="DE162" s="208">
        <f>SUMIFS(領用表!$L:$L,領用表!$A:$A,DE$2,領用表!$E:$E,B162)</f>
        <v>0</v>
      </c>
      <c r="DF162" s="331">
        <f>SUMIFS(領用表!$L:$L,領用表!$E:$E,$B162,領用表!$B:$B,DE$2&amp;DF$2)</f>
        <v>0</v>
      </c>
      <c r="DG162" s="331">
        <f>SUMIFS(領用表!$L:$L,領用表!$E:$E,$B162,領用表!$B:$B,$DE$2&amp;DG$2)</f>
        <v>0</v>
      </c>
      <c r="DH162" s="331">
        <f>SUMIFS(領用表!$L:$L,領用表!$E:$E,$B162,領用表!$B:$B,$DE$2&amp;DH$2)</f>
        <v>0</v>
      </c>
      <c r="DI162" s="331">
        <f>SUMIFS(領用表!$L:$L,領用表!$E:$E,$B162,領用表!$B:$B,$DE$2&amp;DI$2)</f>
        <v>0</v>
      </c>
      <c r="DJ162" s="331">
        <f>SUMIFS(領用表!$L:$L,領用表!$E:$E,$B162,領用表!$B:$B,$DE$2&amp;DJ$2)</f>
        <v>0</v>
      </c>
      <c r="DK162" s="208">
        <f>SUMIFS(領用表!$L:$L,領用表!$A:$A,DK$2,領用表!$E:$E,$B162)</f>
        <v>0</v>
      </c>
      <c r="DL162" s="331">
        <f>SUMIFS(領用表!$L:$L,領用表!$E:$E,$B162,領用表!$B:$B,DK$2&amp;DL$2)</f>
        <v>0</v>
      </c>
      <c r="DM162" s="331">
        <f>SUMIFS(領用表!$L:$L,領用表!$E:$E,$B162,領用表!$B:$B,$DK$2&amp;DM$2)</f>
        <v>0</v>
      </c>
      <c r="DN162" s="331">
        <f>SUMIFS(領用表!$L:$L,領用表!$E:$E,$B162,領用表!$B:$B,$DK$2&amp;DN$2)</f>
        <v>0</v>
      </c>
      <c r="DO162" s="331">
        <f>SUMIFS(領用表!$L:$L,領用表!$E:$E,$B162,領用表!$B:$B,$DK$2&amp;DO$2)</f>
        <v>0</v>
      </c>
      <c r="DP162" s="331">
        <f>SUMIFS(領用表!$L:$L,領用表!$E:$E,$B162,領用表!$B:$B,$DK$2&amp;DP$2)</f>
        <v>0</v>
      </c>
      <c r="DQ162" s="331">
        <f t="shared" si="49"/>
        <v>0</v>
      </c>
      <c r="DR162" s="331">
        <f t="shared" si="50"/>
        <v>0</v>
      </c>
      <c r="DS162" s="331">
        <f t="shared" si="48"/>
        <v>0</v>
      </c>
      <c r="DT162" s="331">
        <v>0</v>
      </c>
      <c r="DU162" s="331">
        <v>0</v>
      </c>
      <c r="DV162" s="331">
        <v>0</v>
      </c>
      <c r="DW162" s="331">
        <v>0</v>
      </c>
      <c r="DX162" s="338"/>
      <c r="DY162" s="333"/>
      <c r="DZ162" s="252" t="s">
        <v>188</v>
      </c>
      <c r="EA162" s="252"/>
      <c r="EB162" s="136"/>
      <c r="EC162" s="136"/>
      <c r="ED162" s="118">
        <f>IFERROR(VLOOKUP(A162,站前4樓!A:BF,57,0),0)</f>
        <v>0</v>
      </c>
      <c r="EE162" s="213">
        <f>IFERROR(VLOOKUP(A162,站前11樓!A:BE,57,0),0)</f>
        <v>0</v>
      </c>
      <c r="EF162" s="118">
        <f>IFERROR(VLOOKUP(A162,忠孝7樓!A:N,57,0),0)</f>
        <v>0</v>
      </c>
      <c r="EG162" s="118">
        <f>IFERROR(VLOOKUP(A162,忠孝國際醫學3樓!A:L,57,0),0)</f>
        <v>0</v>
      </c>
      <c r="EH162" s="118">
        <f t="shared" si="51"/>
        <v>0</v>
      </c>
    </row>
    <row r="163" spans="1:138" s="118" customFormat="1" ht="15" customHeight="1">
      <c r="A163" s="136" t="s">
        <v>189</v>
      </c>
      <c r="C163" s="136" t="s">
        <v>564</v>
      </c>
      <c r="D163" s="285"/>
      <c r="E163" s="198" t="s">
        <v>15</v>
      </c>
      <c r="F163" s="225">
        <f>SUMIF(站前4樓!B:B,B163,站前4樓!F:F)</f>
        <v>0</v>
      </c>
      <c r="G163" s="225">
        <f>SUMIF(站前11樓!B:B,B163,站前11樓!F:F)</f>
        <v>0</v>
      </c>
      <c r="H163" s="225">
        <f>SUMIF(忠孝7樓!B:B,B163,忠孝7樓!G:G)</f>
        <v>0</v>
      </c>
      <c r="I163" s="225">
        <f>SUMIF(忠孝國際醫學3樓!B:B,B163,忠孝國際醫學3樓!G:G)</f>
        <v>0</v>
      </c>
      <c r="J163" s="225">
        <f>SUMIF(忠孝健康7樓!B:B,B163,忠孝健康7樓!G:G)</f>
        <v>0</v>
      </c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83"/>
      <c r="AB163" s="283"/>
      <c r="AC163" s="283"/>
      <c r="AD163" s="283"/>
      <c r="AE163" s="283"/>
      <c r="AF163" s="283"/>
      <c r="AG163" s="283"/>
      <c r="AH163" s="283"/>
      <c r="AI163" s="283"/>
      <c r="AJ163" s="201"/>
      <c r="AK163" s="201"/>
      <c r="AL163" s="201"/>
      <c r="AM163" s="201"/>
      <c r="AN163" s="201"/>
      <c r="AO163" s="201"/>
      <c r="AP163" s="201"/>
      <c r="AQ163" s="201"/>
      <c r="AR163" s="201"/>
      <c r="AS163" s="201"/>
      <c r="AT163" s="201"/>
      <c r="AU163" s="201"/>
      <c r="AV163" s="333"/>
      <c r="AW163" s="337"/>
      <c r="AX163" s="292"/>
      <c r="AY163" s="292"/>
      <c r="AZ163" s="292"/>
      <c r="BA163" s="292"/>
      <c r="BB163" s="201"/>
      <c r="BC163" s="203">
        <f>SUMIFS(領用表!$L:$L,領用表!$A:$A,BC$2,領用表!$E:$E,B163)</f>
        <v>0</v>
      </c>
      <c r="BD163" s="296">
        <f>SUMIFS(領用表!$L:$L,領用表!$E:$E,$B163,領用表!$B:$B,BC$2&amp;BD$2)</f>
        <v>0</v>
      </c>
      <c r="BE163" s="296">
        <f>SUMIFS(領用表!$L:$L,領用表!$E:$E,$B163,領用表!$B:$B,$BC$2&amp;BE$2)</f>
        <v>0</v>
      </c>
      <c r="BF163" s="296">
        <f>SUMIFS(領用表!$L:$L,領用表!$E:$E,$B163,領用表!$B:$B,$BC$2&amp;BF$2)</f>
        <v>0</v>
      </c>
      <c r="BG163" s="296">
        <f>SUMIFS(領用表!$L:$L,領用表!$E:$E,$B163,領用表!$B:$B,$BC$2&amp;BG$2)</f>
        <v>0</v>
      </c>
      <c r="BH163" s="203">
        <f>SUMIFS(領用表!$L:$L,領用表!$A:$A,BH$2,領用表!$E:$E,B163)</f>
        <v>0</v>
      </c>
      <c r="BI163" s="260">
        <f>SUMIFS(領用表!$L:$L,領用表!$E:$E,$B163,領用表!$B:$B,BH$2&amp;BI$2)</f>
        <v>0</v>
      </c>
      <c r="BJ163" s="260">
        <f>SUMIFS(領用表!$L:$L,領用表!$E:$E,$B163,領用表!$B:$B,$BH$2&amp;BJ$2)</f>
        <v>0</v>
      </c>
      <c r="BK163" s="260">
        <f>SUMIFS(領用表!$L:$L,領用表!$E:$E,$B163,領用表!$B:$B,$BH$2&amp;BK$2)</f>
        <v>0</v>
      </c>
      <c r="BL163" s="260">
        <f>SUMIFS(領用表!$L:$L,領用表!$E:$E,$B163,領用表!$B:$B,$BH$2&amp;BL$2)</f>
        <v>0</v>
      </c>
      <c r="BM163" s="203">
        <f>SUMIFS(領用表!$L:$L,領用表!$A:$A,BM$2,領用表!$E:$E,B163)</f>
        <v>0</v>
      </c>
      <c r="BN163" s="206">
        <f>SUMIFS(領用表!$L:$L,領用表!$E:$E,$B163,領用表!$B:$B,BM$2&amp;BN$2)</f>
        <v>0</v>
      </c>
      <c r="BO163" s="206">
        <f>SUMIFS(領用表!$L:$L,領用表!$E:$E,$B163,領用表!$B:$B,$BM$2&amp;BO$2)</f>
        <v>0</v>
      </c>
      <c r="BP163" s="288">
        <f>SUMIFS(領用表!$L:$L,領用表!$E:$E,$B163,領用表!$B:$B,$BM$2&amp;BP$2)</f>
        <v>0</v>
      </c>
      <c r="BQ163" s="287">
        <f>SUMIFS(領用表!$L:$L,領用表!$E:$E,$B163,領用表!$B:$B,$BM$2&amp;BQ$2)</f>
        <v>0</v>
      </c>
      <c r="BR163" s="203">
        <f>SUMIFS(領用表!$L:$L,領用表!$A:$A,BR$2,領用表!$E:$E,B163)</f>
        <v>0</v>
      </c>
      <c r="BS163" s="260">
        <f>SUMIFS(領用表!$L:$L,領用表!$E:$E,$B163,領用表!$B:$B,BR$2&amp;BS$2)</f>
        <v>0</v>
      </c>
      <c r="BT163" s="260">
        <f>SUMIFS(領用表!$L:$L,領用表!$E:$E,$B163,領用表!$B:$B,$BR$2&amp;BT$2)</f>
        <v>0</v>
      </c>
      <c r="BU163" s="260">
        <f>SUMIFS(領用表!$L:$L,領用表!$E:$E,$B163,領用表!$B:$B,$BR$2&amp;BU$2)</f>
        <v>0</v>
      </c>
      <c r="BV163" s="220">
        <f>SUMIFS(領用表!$L:$L,領用表!$E:$E,$B163,領用表!$B:$B,$BR$2&amp;BV$2)</f>
        <v>0</v>
      </c>
      <c r="BW163" s="208">
        <f>SUMIFS(領用表!$L:$L,領用表!$A:$A,BW$2,領用表!$E:$E,B163)</f>
        <v>0</v>
      </c>
      <c r="BX163" s="206">
        <f>SUMIFS(領用表!$L:$L,領用表!$E:$E,$B163,領用表!$B:$B,BW$2&amp;BX$2)</f>
        <v>0</v>
      </c>
      <c r="BY163" s="206">
        <f>SUMIFS(領用表!$L:$L,領用表!$E:$E,$B163,領用表!$B:$B,$BW$2&amp;BY$2)</f>
        <v>0</v>
      </c>
      <c r="BZ163" s="206">
        <f>SUMIFS(領用表!$L:$L,領用表!$E:$E,$B163,領用表!$B:$B,$BW$2&amp;BZ$2)</f>
        <v>0</v>
      </c>
      <c r="CA163" s="206">
        <f>SUMIFS(領用表!$L:$L,領用表!$E:$E,$B163,領用表!$B:$B,$BW$2&amp;CA$2)</f>
        <v>0</v>
      </c>
      <c r="CB163" s="208">
        <f>SUMIFS(領用表!$L:$L,領用表!$A:$A,CB$2,領用表!$E:$E,B163)</f>
        <v>0</v>
      </c>
      <c r="CC163" s="206">
        <f>SUMIFS(領用表!$L:$L,領用表!$E:$E,$B163,領用表!$B:$B,CB$2&amp;CC$2)</f>
        <v>0</v>
      </c>
      <c r="CD163" s="206">
        <f>SUMIFS(領用表!$L:$L,領用表!$E:$E,$B163,領用表!$B:$B,$CB$2&amp;CD$2)</f>
        <v>0</v>
      </c>
      <c r="CE163" s="206">
        <f>SUMIFS(領用表!$L:$L,領用表!$E:$E,$B163,領用表!$B:$B,$CB$2&amp;CE$2)</f>
        <v>0</v>
      </c>
      <c r="CF163" s="206">
        <f>SUMIFS(領用表!$L:$L,領用表!$E:$E,$B163,領用表!$B:$B,$CB$2&amp;CF$2)</f>
        <v>0</v>
      </c>
      <c r="CG163" s="208">
        <f>SUMIFS(領用表!$L:$L,領用表!$A:$A,CG$2,領用表!$E:$E,B163)</f>
        <v>0</v>
      </c>
      <c r="CH163" s="206">
        <f>SUMIFS(領用表!$L:$L,領用表!$E:$E,$B163,領用表!$B:$B,CG$2&amp;CH$2)</f>
        <v>0</v>
      </c>
      <c r="CI163" s="206">
        <f>SUMIFS(領用表!$L:$L,領用表!$E:$E,$B163,領用表!$B:$B,CG$2&amp;CI$2)</f>
        <v>0</v>
      </c>
      <c r="CJ163" s="206">
        <f>SUMIFS(領用表!$L:$L,領用表!$E:$E,$B163,領用表!$B:$B,CG$2&amp;CJ$2)</f>
        <v>0</v>
      </c>
      <c r="CK163" s="206">
        <f>SUMIFS(領用表!$L:$L,領用表!$E:$E,$B163,領用表!$B:$B,$CG$2&amp;CK$2)</f>
        <v>0</v>
      </c>
      <c r="CL163" s="207">
        <f t="shared" si="46"/>
        <v>0</v>
      </c>
      <c r="CM163" s="207">
        <f t="shared" si="47"/>
        <v>0</v>
      </c>
      <c r="CN163" s="208">
        <f>SUMIFS(領用表!$L:$L,領用表!$A:$A,CN$2,領用表!$E:$E,B163)</f>
        <v>0</v>
      </c>
      <c r="CO163" s="206">
        <f>SUMIFS(領用表!$L:$L,領用表!$E:$E,$B163,領用表!$B:$B,CN$2&amp;CO$2)</f>
        <v>0</v>
      </c>
      <c r="CP163" s="206">
        <f>SUMIFS(領用表!$L:$L,領用表!$E:$E,$B163,領用表!$B:$B,$CN$2&amp;CP$2)</f>
        <v>0</v>
      </c>
      <c r="CQ163" s="206">
        <f>SUMIFS(領用表!$L:$L,領用表!$E:$E,$B163,領用表!$B:$B,$CN$2&amp;CQ$2)</f>
        <v>0</v>
      </c>
      <c r="CR163" s="206">
        <f>SUMIFS(領用表!$L:$L,領用表!$E:$E,$B163,領用表!$B:$B,$CN$2&amp;CR$2)</f>
        <v>0</v>
      </c>
      <c r="CS163" s="208">
        <f>SUMIFS(領用表!$L:$L,領用表!$A:$A,CS$2,領用表!$E:$E,B163)</f>
        <v>0</v>
      </c>
      <c r="CT163" s="206">
        <f>SUMIFS(領用表!$L:$L,領用表!$E:$E,$B163,領用表!$B:$B,CS$2&amp;CT$2)</f>
        <v>0</v>
      </c>
      <c r="CU163" s="206">
        <f>SUMIFS(領用表!$L:$L,領用表!$E:$E,$B163,領用表!$B:$B,$CS$2&amp;CU$2)</f>
        <v>0</v>
      </c>
      <c r="CV163" s="206">
        <f>SUMIFS(領用表!$L:$L,領用表!$E:$E,$B163,領用表!$B:$B,$CS$2&amp;CV$2)</f>
        <v>0</v>
      </c>
      <c r="CW163" s="206">
        <f>SUMIFS(領用表!$L:$L,領用表!$E:$E,$B163,領用表!$B:$B,$CS$2&amp;CW$2)</f>
        <v>0</v>
      </c>
      <c r="CX163" s="206">
        <f>SUMIFS(領用表!$L:$L,領用表!$E:$E,$B163,領用表!$B:$B,$CS$2&amp;CX$2)</f>
        <v>0</v>
      </c>
      <c r="CY163" s="208">
        <f>SUMIFS(領用表!$L:$L,領用表!$A:$A,CY$2,領用表!$E:$E,B163)</f>
        <v>0</v>
      </c>
      <c r="CZ163" s="331">
        <f>SUMIFS(領用表!$L:$L,領用表!$E:$E,$B163,領用表!$B:$B,CY$2&amp;CZ$2)</f>
        <v>0</v>
      </c>
      <c r="DA163" s="331">
        <f>SUMIFS(領用表!$L:$L,領用表!$E:$E,$B163,領用表!$B:$B,$CY$2&amp;DA$2)</f>
        <v>0</v>
      </c>
      <c r="DB163" s="331">
        <f>SUMIFS(領用表!$L:$L,領用表!$E:$E,$B163,領用表!$B:$B,$CY$2&amp;DB$2)</f>
        <v>0</v>
      </c>
      <c r="DC163" s="331">
        <f>SUMIFS(領用表!$L:$L,領用表!$E:$E,$B163,領用表!$B:$B,$CY$2&amp;DC$2)</f>
        <v>0</v>
      </c>
      <c r="DD163" s="331">
        <f>SUMIFS(領用表!$L:$L,領用表!$E:$E,$B163,領用表!$B:$B,$CY$2&amp;DD$2)</f>
        <v>0</v>
      </c>
      <c r="DE163" s="208">
        <f>SUMIFS(領用表!$L:$L,領用表!$A:$A,DE$2,領用表!$E:$E,B163)</f>
        <v>0</v>
      </c>
      <c r="DF163" s="331">
        <f>SUMIFS(領用表!$L:$L,領用表!$E:$E,$B163,領用表!$B:$B,DE$2&amp;DF$2)</f>
        <v>0</v>
      </c>
      <c r="DG163" s="331">
        <f>SUMIFS(領用表!$L:$L,領用表!$E:$E,$B163,領用表!$B:$B,$DE$2&amp;DG$2)</f>
        <v>0</v>
      </c>
      <c r="DH163" s="331">
        <f>SUMIFS(領用表!$L:$L,領用表!$E:$E,$B163,領用表!$B:$B,$DE$2&amp;DH$2)</f>
        <v>0</v>
      </c>
      <c r="DI163" s="331">
        <f>SUMIFS(領用表!$L:$L,領用表!$E:$E,$B163,領用表!$B:$B,$DE$2&amp;DI$2)</f>
        <v>0</v>
      </c>
      <c r="DJ163" s="331">
        <f>SUMIFS(領用表!$L:$L,領用表!$E:$E,$B163,領用表!$B:$B,$DE$2&amp;DJ$2)</f>
        <v>0</v>
      </c>
      <c r="DK163" s="208">
        <f>SUMIFS(領用表!$L:$L,領用表!$A:$A,DK$2,領用表!$E:$E,$B163)</f>
        <v>0</v>
      </c>
      <c r="DL163" s="331">
        <f>SUMIFS(領用表!$L:$L,領用表!$E:$E,$B163,領用表!$B:$B,DK$2&amp;DL$2)</f>
        <v>0</v>
      </c>
      <c r="DM163" s="331">
        <f>SUMIFS(領用表!$L:$L,領用表!$E:$E,$B163,領用表!$B:$B,$DK$2&amp;DM$2)</f>
        <v>0</v>
      </c>
      <c r="DN163" s="331">
        <f>SUMIFS(領用表!$L:$L,領用表!$E:$E,$B163,領用表!$B:$B,$DK$2&amp;DN$2)</f>
        <v>0</v>
      </c>
      <c r="DO163" s="331">
        <f>SUMIFS(領用表!$L:$L,領用表!$E:$E,$B163,領用表!$B:$B,$DK$2&amp;DO$2)</f>
        <v>0</v>
      </c>
      <c r="DP163" s="331">
        <f>SUMIFS(領用表!$L:$L,領用表!$E:$E,$B163,領用表!$B:$B,$DK$2&amp;DP$2)</f>
        <v>0</v>
      </c>
      <c r="DQ163" s="331">
        <f t="shared" si="49"/>
        <v>0</v>
      </c>
      <c r="DR163" s="331">
        <f t="shared" si="50"/>
        <v>0</v>
      </c>
      <c r="DS163" s="331">
        <f t="shared" si="48"/>
        <v>0</v>
      </c>
      <c r="DT163" s="331">
        <v>0</v>
      </c>
      <c r="DU163" s="331">
        <v>0</v>
      </c>
      <c r="DV163" s="331">
        <v>0</v>
      </c>
      <c r="DW163" s="331">
        <v>0</v>
      </c>
      <c r="DX163" s="338"/>
      <c r="DY163" s="333"/>
      <c r="DZ163" s="252" t="s">
        <v>190</v>
      </c>
      <c r="EA163" s="252"/>
      <c r="EB163" s="136"/>
      <c r="EC163" s="136"/>
      <c r="ED163" s="118">
        <f>IFERROR(VLOOKUP(A163,站前4樓!A:BF,57,0),0)</f>
        <v>0</v>
      </c>
      <c r="EE163" s="213">
        <f>IFERROR(VLOOKUP(A163,站前11樓!A:BE,57,0),0)</f>
        <v>0</v>
      </c>
      <c r="EF163" s="118">
        <f>IFERROR(VLOOKUP(A163,忠孝7樓!A:N,57,0),0)</f>
        <v>0</v>
      </c>
      <c r="EG163" s="118">
        <f>IFERROR(VLOOKUP(A163,忠孝國際醫學3樓!A:L,57,0),0)</f>
        <v>0</v>
      </c>
      <c r="EH163" s="118">
        <f t="shared" si="51"/>
        <v>0</v>
      </c>
    </row>
    <row r="164" spans="1:138" s="118" customFormat="1" ht="15" customHeight="1">
      <c r="A164" s="136" t="s">
        <v>191</v>
      </c>
      <c r="B164" s="118">
        <v>6060001</v>
      </c>
      <c r="C164" s="136" t="s">
        <v>565</v>
      </c>
      <c r="D164" s="285"/>
      <c r="E164" s="198" t="s">
        <v>15</v>
      </c>
      <c r="F164" s="225">
        <f>SUMIF(站前4樓!B:B,B164,站前4樓!F:F)</f>
        <v>0</v>
      </c>
      <c r="G164" s="225">
        <f>SUMIF(站前11樓!B:B,B164,站前11樓!F:F)</f>
        <v>0</v>
      </c>
      <c r="H164" s="225">
        <f>SUMIF(忠孝7樓!B:B,B164,忠孝7樓!G:G)</f>
        <v>0</v>
      </c>
      <c r="I164" s="225">
        <f>SUMIF(忠孝國際醫學3樓!B:B,B164,忠孝國際醫學3樓!G:G)</f>
        <v>0</v>
      </c>
      <c r="J164" s="225">
        <f>SUMIF(忠孝健康7樓!B:B,B164,忠孝健康7樓!G:G)</f>
        <v>0</v>
      </c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83"/>
      <c r="AB164" s="283"/>
      <c r="AC164" s="283"/>
      <c r="AD164" s="283"/>
      <c r="AE164" s="283"/>
      <c r="AF164" s="283"/>
      <c r="AG164" s="283"/>
      <c r="AH164" s="283"/>
      <c r="AI164" s="283"/>
      <c r="AJ164" s="201"/>
      <c r="AK164" s="201"/>
      <c r="AL164" s="201"/>
      <c r="AM164" s="201"/>
      <c r="AN164" s="201"/>
      <c r="AO164" s="201"/>
      <c r="AP164" s="201"/>
      <c r="AQ164" s="201">
        <v>5</v>
      </c>
      <c r="AR164" s="201">
        <v>0</v>
      </c>
      <c r="AS164" s="201">
        <v>5</v>
      </c>
      <c r="AT164" s="201">
        <v>7</v>
      </c>
      <c r="AU164" s="201">
        <v>0</v>
      </c>
      <c r="AV164" s="283">
        <f t="shared" ref="AV164:AV176" si="52">SUM(AJ164:AU164)</f>
        <v>17</v>
      </c>
      <c r="AW164" s="286">
        <f t="shared" ref="AW164:AW176" si="53">AV164/12</f>
        <v>1.4166666666666667</v>
      </c>
      <c r="AX164" s="201">
        <v>10</v>
      </c>
      <c r="AY164" s="201">
        <v>16</v>
      </c>
      <c r="AZ164" s="201">
        <v>10</v>
      </c>
      <c r="BA164" s="201">
        <v>0</v>
      </c>
      <c r="BB164" s="201">
        <v>0</v>
      </c>
      <c r="BC164" s="203">
        <f>SUMIFS(領用表!$L:$L,領用表!$A:$A,BC$2,領用表!$E:$E,B164)</f>
        <v>0</v>
      </c>
      <c r="BD164" s="296">
        <f>SUMIFS(領用表!$L:$L,領用表!$E:$E,$B164,領用表!$B:$B,BC$2&amp;BD$2)</f>
        <v>0</v>
      </c>
      <c r="BE164" s="296">
        <f>SUMIFS(領用表!$L:$L,領用表!$E:$E,$B164,領用表!$B:$B,$BC$2&amp;BE$2)</f>
        <v>0</v>
      </c>
      <c r="BF164" s="296">
        <f>SUMIFS(領用表!$L:$L,領用表!$E:$E,$B164,領用表!$B:$B,$BC$2&amp;BF$2)</f>
        <v>0</v>
      </c>
      <c r="BG164" s="296">
        <f>SUMIFS(領用表!$L:$L,領用表!$E:$E,$B164,領用表!$B:$B,$BC$2&amp;BG$2)</f>
        <v>0</v>
      </c>
      <c r="BH164" s="203">
        <f>SUMIFS(領用表!$L:$L,領用表!$A:$A,BH$2,領用表!$E:$E,B164)</f>
        <v>0</v>
      </c>
      <c r="BI164" s="260">
        <f>SUMIFS(領用表!$L:$L,領用表!$E:$E,$B164,領用表!$B:$B,BH$2&amp;BI$2)</f>
        <v>0</v>
      </c>
      <c r="BJ164" s="260">
        <f>SUMIFS(領用表!$L:$L,領用表!$E:$E,$B164,領用表!$B:$B,$BH$2&amp;BJ$2)</f>
        <v>0</v>
      </c>
      <c r="BK164" s="260">
        <f>SUMIFS(領用表!$L:$L,領用表!$E:$E,$B164,領用表!$B:$B,$BH$2&amp;BK$2)</f>
        <v>0</v>
      </c>
      <c r="BL164" s="260">
        <f>SUMIFS(領用表!$L:$L,領用表!$E:$E,$B164,領用表!$B:$B,$BH$2&amp;BL$2)</f>
        <v>0</v>
      </c>
      <c r="BM164" s="203">
        <f>SUMIFS(領用表!$L:$L,領用表!$A:$A,BM$2,領用表!$E:$E,B164)</f>
        <v>0</v>
      </c>
      <c r="BN164" s="206">
        <f>SUMIFS(領用表!$L:$L,領用表!$E:$E,$B164,領用表!$B:$B,BM$2&amp;BN$2)</f>
        <v>0</v>
      </c>
      <c r="BO164" s="206">
        <f>SUMIFS(領用表!$L:$L,領用表!$E:$E,$B164,領用表!$B:$B,$BM$2&amp;BO$2)</f>
        <v>0</v>
      </c>
      <c r="BP164" s="288">
        <f>SUMIFS(領用表!$L:$L,領用表!$E:$E,$B164,領用表!$B:$B,$BM$2&amp;BP$2)</f>
        <v>0</v>
      </c>
      <c r="BQ164" s="287">
        <f>SUMIFS(領用表!$L:$L,領用表!$E:$E,$B164,領用表!$B:$B,$BM$2&amp;BQ$2)</f>
        <v>0</v>
      </c>
      <c r="BR164" s="203">
        <f>SUMIFS(領用表!$L:$L,領用表!$A:$A,BR$2,領用表!$E:$E,B164)</f>
        <v>0</v>
      </c>
      <c r="BS164" s="260">
        <f>SUMIFS(領用表!$L:$L,領用表!$E:$E,$B164,領用表!$B:$B,BR$2&amp;BS$2)</f>
        <v>0</v>
      </c>
      <c r="BT164" s="260">
        <f>SUMIFS(領用表!$L:$L,領用表!$E:$E,$B164,領用表!$B:$B,$BR$2&amp;BT$2)</f>
        <v>0</v>
      </c>
      <c r="BU164" s="260">
        <f>SUMIFS(領用表!$L:$L,領用表!$E:$E,$B164,領用表!$B:$B,$BR$2&amp;BU$2)</f>
        <v>0</v>
      </c>
      <c r="BV164" s="220">
        <f>SUMIFS(領用表!$L:$L,領用表!$E:$E,$B164,領用表!$B:$B,$BR$2&amp;BV$2)</f>
        <v>0</v>
      </c>
      <c r="BW164" s="208">
        <f>SUMIFS(領用表!$L:$L,領用表!$A:$A,BW$2,領用表!$E:$E,B164)</f>
        <v>0</v>
      </c>
      <c r="BX164" s="206">
        <f>SUMIFS(領用表!$L:$L,領用表!$E:$E,$B164,領用表!$B:$B,BW$2&amp;BX$2)</f>
        <v>0</v>
      </c>
      <c r="BY164" s="206">
        <f>SUMIFS(領用表!$L:$L,領用表!$E:$E,$B164,領用表!$B:$B,$BW$2&amp;BY$2)</f>
        <v>0</v>
      </c>
      <c r="BZ164" s="206">
        <f>SUMIFS(領用表!$L:$L,領用表!$E:$E,$B164,領用表!$B:$B,$BW$2&amp;BZ$2)</f>
        <v>0</v>
      </c>
      <c r="CA164" s="206">
        <f>SUMIFS(領用表!$L:$L,領用表!$E:$E,$B164,領用表!$B:$B,$BW$2&amp;CA$2)</f>
        <v>0</v>
      </c>
      <c r="CB164" s="208">
        <f>SUMIFS(領用表!$L:$L,領用表!$A:$A,CB$2,領用表!$E:$E,B164)</f>
        <v>0</v>
      </c>
      <c r="CC164" s="206">
        <f>SUMIFS(領用表!$L:$L,領用表!$E:$E,$B164,領用表!$B:$B,CB$2&amp;CC$2)</f>
        <v>0</v>
      </c>
      <c r="CD164" s="206">
        <f>SUMIFS(領用表!$L:$L,領用表!$E:$E,$B164,領用表!$B:$B,$CB$2&amp;CD$2)</f>
        <v>0</v>
      </c>
      <c r="CE164" s="206">
        <f>SUMIFS(領用表!$L:$L,領用表!$E:$E,$B164,領用表!$B:$B,$CB$2&amp;CE$2)</f>
        <v>0</v>
      </c>
      <c r="CF164" s="206">
        <f>SUMIFS(領用表!$L:$L,領用表!$E:$E,$B164,領用表!$B:$B,$CB$2&amp;CF$2)</f>
        <v>0</v>
      </c>
      <c r="CG164" s="208">
        <f>SUMIFS(領用表!$L:$L,領用表!$A:$A,CG$2,領用表!$E:$E,B164)</f>
        <v>0</v>
      </c>
      <c r="CH164" s="206">
        <f>SUMIFS(領用表!$L:$L,領用表!$E:$E,$B164,領用表!$B:$B,CG$2&amp;CH$2)</f>
        <v>0</v>
      </c>
      <c r="CI164" s="206">
        <f>SUMIFS(領用表!$L:$L,領用表!$E:$E,$B164,領用表!$B:$B,CG$2&amp;CI$2)</f>
        <v>0</v>
      </c>
      <c r="CJ164" s="206">
        <f>SUMIFS(領用表!$L:$L,領用表!$E:$E,$B164,領用表!$B:$B,CG$2&amp;CJ$2)</f>
        <v>0</v>
      </c>
      <c r="CK164" s="206">
        <f>SUMIFS(領用表!$L:$L,領用表!$E:$E,$B164,領用表!$B:$B,$CG$2&amp;CK$2)</f>
        <v>0</v>
      </c>
      <c r="CL164" s="207">
        <f t="shared" si="46"/>
        <v>36</v>
      </c>
      <c r="CM164" s="207">
        <f t="shared" si="47"/>
        <v>3</v>
      </c>
      <c r="CN164" s="208">
        <f>SUMIFS(領用表!$L:$L,領用表!$A:$A,CN$2,領用表!$E:$E,B164)</f>
        <v>0</v>
      </c>
      <c r="CO164" s="206">
        <f>SUMIFS(領用表!$L:$L,領用表!$E:$E,$B164,領用表!$B:$B,CN$2&amp;CO$2)</f>
        <v>0</v>
      </c>
      <c r="CP164" s="206">
        <f>SUMIFS(領用表!$L:$L,領用表!$E:$E,$B164,領用表!$B:$B,$CN$2&amp;CP$2)</f>
        <v>0</v>
      </c>
      <c r="CQ164" s="206">
        <f>SUMIFS(領用表!$L:$L,領用表!$E:$E,$B164,領用表!$B:$B,$CN$2&amp;CQ$2)</f>
        <v>0</v>
      </c>
      <c r="CR164" s="206">
        <f>SUMIFS(領用表!$L:$L,領用表!$E:$E,$B164,領用表!$B:$B,$CN$2&amp;CR$2)</f>
        <v>0</v>
      </c>
      <c r="CS164" s="208">
        <f>SUMIFS(領用表!$L:$L,領用表!$A:$A,CS$2,領用表!$E:$E,B164)</f>
        <v>0</v>
      </c>
      <c r="CT164" s="206">
        <f>SUMIFS(領用表!$L:$L,領用表!$E:$E,$B164,領用表!$B:$B,CS$2&amp;CT$2)</f>
        <v>0</v>
      </c>
      <c r="CU164" s="206">
        <f>SUMIFS(領用表!$L:$L,領用表!$E:$E,$B164,領用表!$B:$B,$CS$2&amp;CU$2)</f>
        <v>0</v>
      </c>
      <c r="CV164" s="206">
        <f>SUMIFS(領用表!$L:$L,領用表!$E:$E,$B164,領用表!$B:$B,$CS$2&amp;CV$2)</f>
        <v>0</v>
      </c>
      <c r="CW164" s="206">
        <f>SUMIFS(領用表!$L:$L,領用表!$E:$E,$B164,領用表!$B:$B,$CS$2&amp;CW$2)</f>
        <v>0</v>
      </c>
      <c r="CX164" s="206">
        <f>SUMIFS(領用表!$L:$L,領用表!$E:$E,$B164,領用表!$B:$B,$CS$2&amp;CX$2)</f>
        <v>0</v>
      </c>
      <c r="CY164" s="208">
        <f>SUMIFS(領用表!$L:$L,領用表!$A:$A,CY$2,領用表!$E:$E,B164)</f>
        <v>123</v>
      </c>
      <c r="CZ164" s="206">
        <f>SUMIFS(領用表!$L:$L,領用表!$E:$E,$B164,領用表!$B:$B,CY$2&amp;CZ$2)</f>
        <v>0</v>
      </c>
      <c r="DA164" s="206">
        <f>SUMIFS(領用表!$L:$L,領用表!$E:$E,$B164,領用表!$B:$B,$CY$2&amp;DA$2)</f>
        <v>0</v>
      </c>
      <c r="DB164" s="206">
        <f>SUMIFS(領用表!$L:$L,領用表!$E:$E,$B164,領用表!$B:$B,$CY$2&amp;DB$2)</f>
        <v>123</v>
      </c>
      <c r="DC164" s="206">
        <f>SUMIFS(領用表!$L:$L,領用表!$E:$E,$B164,領用表!$B:$B,$CY$2&amp;DC$2)</f>
        <v>0</v>
      </c>
      <c r="DD164" s="206">
        <f>SUMIFS(領用表!$L:$L,領用表!$E:$E,$B164,領用表!$B:$B,$CY$2&amp;DD$2)</f>
        <v>0</v>
      </c>
      <c r="DE164" s="208">
        <f>SUMIFS(領用表!$L:$L,領用表!$A:$A,DE$2,領用表!$E:$E,B164)</f>
        <v>0</v>
      </c>
      <c r="DF164" s="206">
        <f>SUMIFS(領用表!$L:$L,領用表!$E:$E,$B164,領用表!$B:$B,DE$2&amp;DF$2)</f>
        <v>0</v>
      </c>
      <c r="DG164" s="206">
        <f>SUMIFS(領用表!$L:$L,領用表!$E:$E,$B164,領用表!$B:$B,$DE$2&amp;DG$2)</f>
        <v>0</v>
      </c>
      <c r="DH164" s="206">
        <f>SUMIFS(領用表!$L:$L,領用表!$E:$E,$B164,領用表!$B:$B,$DE$2&amp;DH$2)</f>
        <v>0</v>
      </c>
      <c r="DI164" s="206">
        <f>SUMIFS(領用表!$L:$L,領用表!$E:$E,$B164,領用表!$B:$B,$DE$2&amp;DI$2)</f>
        <v>0</v>
      </c>
      <c r="DJ164" s="206">
        <f>SUMIFS(領用表!$L:$L,領用表!$E:$E,$B164,領用表!$B:$B,$DE$2&amp;DJ$2)</f>
        <v>0</v>
      </c>
      <c r="DK164" s="208">
        <f>SUMIFS(領用表!$L:$L,領用表!$A:$A,DK$2,領用表!$E:$E,$B164)</f>
        <v>56</v>
      </c>
      <c r="DL164" s="206">
        <f>SUMIFS(領用表!$L:$L,領用表!$E:$E,$B164,領用表!$B:$B,DK$2&amp;DL$2)</f>
        <v>0</v>
      </c>
      <c r="DM164" s="206">
        <f>SUMIFS(領用表!$L:$L,領用表!$E:$E,$B164,領用表!$B:$B,$DK$2&amp;DM$2)</f>
        <v>0</v>
      </c>
      <c r="DN164" s="206">
        <f>SUMIFS(領用表!$L:$L,領用表!$E:$E,$B164,領用表!$B:$B,$DK$2&amp;DN$2)</f>
        <v>56</v>
      </c>
      <c r="DO164" s="206">
        <f>SUMIFS(領用表!$L:$L,領用表!$E:$E,$B164,領用表!$B:$B,$DK$2&amp;DO$2)</f>
        <v>0</v>
      </c>
      <c r="DP164" s="206">
        <f>SUMIFS(領用表!$L:$L,領用表!$E:$E,$B164,領用表!$B:$B,$DK$2&amp;DP$2)</f>
        <v>0</v>
      </c>
      <c r="DQ164" s="206">
        <f t="shared" si="49"/>
        <v>179</v>
      </c>
      <c r="DR164" s="206">
        <f t="shared" si="50"/>
        <v>35.799999999999997</v>
      </c>
      <c r="DS164" s="206">
        <f t="shared" si="48"/>
        <v>0</v>
      </c>
      <c r="DT164" s="206">
        <v>0</v>
      </c>
      <c r="DU164" s="206">
        <v>0</v>
      </c>
      <c r="DV164" s="206">
        <v>0</v>
      </c>
      <c r="DW164" s="206">
        <v>0</v>
      </c>
      <c r="DX164" s="258"/>
      <c r="DY164" s="283"/>
      <c r="DZ164" s="252" t="s">
        <v>192</v>
      </c>
      <c r="EA164" s="252"/>
      <c r="EB164" s="136"/>
      <c r="EC164" s="136"/>
      <c r="ED164" s="118">
        <f>IFERROR(VLOOKUP(A164,站前4樓!A:BF,57,0),0)</f>
        <v>0</v>
      </c>
      <c r="EE164" s="213">
        <f>IFERROR(VLOOKUP(A164,站前11樓!A:BE,57,0),0)</f>
        <v>0</v>
      </c>
      <c r="EF164" s="118">
        <f>IFERROR(VLOOKUP(A164,忠孝7樓!A:N,57,0),0)</f>
        <v>0</v>
      </c>
      <c r="EG164" s="118">
        <f>IFERROR(VLOOKUP(A164,忠孝國際醫學3樓!A:L,57,0),0)</f>
        <v>0</v>
      </c>
      <c r="EH164" s="118">
        <f t="shared" si="51"/>
        <v>0</v>
      </c>
    </row>
    <row r="165" spans="1:138" s="118" customFormat="1" ht="15.75" customHeight="1">
      <c r="A165" s="136" t="s">
        <v>193</v>
      </c>
      <c r="C165" s="136" t="s">
        <v>566</v>
      </c>
      <c r="D165" s="285"/>
      <c r="E165" s="198" t="s">
        <v>15</v>
      </c>
      <c r="F165" s="225">
        <f>SUMIF(站前4樓!B:B,B165,站前4樓!F:F)</f>
        <v>0</v>
      </c>
      <c r="G165" s="225">
        <f>SUMIF(站前11樓!B:B,B165,站前11樓!F:F)</f>
        <v>0</v>
      </c>
      <c r="H165" s="225">
        <f>SUMIF(忠孝7樓!B:B,B165,忠孝7樓!G:G)</f>
        <v>0</v>
      </c>
      <c r="I165" s="225">
        <f>SUMIF(忠孝國際醫學3樓!B:B,B165,忠孝國際醫學3樓!G:G)</f>
        <v>0</v>
      </c>
      <c r="J165" s="225">
        <f>SUMIF(忠孝健康7樓!B:B,B165,忠孝健康7樓!G:G)</f>
        <v>0</v>
      </c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83"/>
      <c r="AB165" s="283"/>
      <c r="AC165" s="283"/>
      <c r="AD165" s="283"/>
      <c r="AE165" s="283"/>
      <c r="AF165" s="283"/>
      <c r="AG165" s="283"/>
      <c r="AH165" s="283"/>
      <c r="AI165" s="283"/>
      <c r="AJ165" s="201"/>
      <c r="AK165" s="201"/>
      <c r="AL165" s="201"/>
      <c r="AM165" s="201"/>
      <c r="AN165" s="201"/>
      <c r="AO165" s="201"/>
      <c r="AP165" s="201"/>
      <c r="AQ165" s="201">
        <v>0</v>
      </c>
      <c r="AR165" s="201">
        <v>0</v>
      </c>
      <c r="AS165" s="201">
        <v>0</v>
      </c>
      <c r="AT165" s="201">
        <v>0</v>
      </c>
      <c r="AU165" s="201">
        <v>0</v>
      </c>
      <c r="AV165" s="283">
        <f t="shared" si="52"/>
        <v>0</v>
      </c>
      <c r="AW165" s="286">
        <f t="shared" si="53"/>
        <v>0</v>
      </c>
      <c r="AX165" s="201">
        <v>0</v>
      </c>
      <c r="AY165" s="201">
        <v>80</v>
      </c>
      <c r="AZ165" s="201">
        <v>0</v>
      </c>
      <c r="BA165" s="201">
        <v>0</v>
      </c>
      <c r="BB165" s="201">
        <v>0</v>
      </c>
      <c r="BC165" s="203">
        <f>SUMIFS(領用表!$L:$L,領用表!$A:$A,BC$2,領用表!$E:$E,B165)</f>
        <v>0</v>
      </c>
      <c r="BD165" s="296">
        <f>SUMIFS(領用表!$L:$L,領用表!$E:$E,$B165,領用表!$B:$B,BC$2&amp;BD$2)</f>
        <v>0</v>
      </c>
      <c r="BE165" s="296">
        <f>SUMIFS(領用表!$L:$L,領用表!$E:$E,$B165,領用表!$B:$B,$BC$2&amp;BE$2)</f>
        <v>0</v>
      </c>
      <c r="BF165" s="296">
        <f>SUMIFS(領用表!$L:$L,領用表!$E:$E,$B165,領用表!$B:$B,$BC$2&amp;BF$2)</f>
        <v>0</v>
      </c>
      <c r="BG165" s="296">
        <f>SUMIFS(領用表!$L:$L,領用表!$E:$E,$B165,領用表!$B:$B,$BC$2&amp;BG$2)</f>
        <v>0</v>
      </c>
      <c r="BH165" s="203">
        <f>SUMIFS(領用表!$L:$L,領用表!$A:$A,BH$2,領用表!$E:$E,B165)</f>
        <v>0</v>
      </c>
      <c r="BI165" s="260">
        <f>SUMIFS(領用表!$L:$L,領用表!$E:$E,$B165,領用表!$B:$B,BH$2&amp;BI$2)</f>
        <v>0</v>
      </c>
      <c r="BJ165" s="260">
        <f>SUMIFS(領用表!$L:$L,領用表!$E:$E,$B165,領用表!$B:$B,$BH$2&amp;BJ$2)</f>
        <v>0</v>
      </c>
      <c r="BK165" s="260">
        <f>SUMIFS(領用表!$L:$L,領用表!$E:$E,$B165,領用表!$B:$B,$BH$2&amp;BK$2)</f>
        <v>0</v>
      </c>
      <c r="BL165" s="260">
        <f>SUMIFS(領用表!$L:$L,領用表!$E:$E,$B165,領用表!$B:$B,$BH$2&amp;BL$2)</f>
        <v>0</v>
      </c>
      <c r="BM165" s="203">
        <f>SUMIFS(領用表!$L:$L,領用表!$A:$A,BM$2,領用表!$E:$E,B165)</f>
        <v>0</v>
      </c>
      <c r="BN165" s="206">
        <f>SUMIFS(領用表!$L:$L,領用表!$E:$E,$B165,領用表!$B:$B,BM$2&amp;BN$2)</f>
        <v>0</v>
      </c>
      <c r="BO165" s="206">
        <f>SUMIFS(領用表!$L:$L,領用表!$E:$E,$B165,領用表!$B:$B,$BM$2&amp;BO$2)</f>
        <v>0</v>
      </c>
      <c r="BP165" s="288">
        <f>SUMIFS(領用表!$L:$L,領用表!$E:$E,$B165,領用表!$B:$B,$BM$2&amp;BP$2)</f>
        <v>0</v>
      </c>
      <c r="BQ165" s="287">
        <f>SUMIFS(領用表!$L:$L,領用表!$E:$E,$B165,領用表!$B:$B,$BM$2&amp;BQ$2)</f>
        <v>0</v>
      </c>
      <c r="BR165" s="203">
        <f>SUMIFS(領用表!$L:$L,領用表!$A:$A,BR$2,領用表!$E:$E,B165)</f>
        <v>0</v>
      </c>
      <c r="BS165" s="260">
        <f>SUMIFS(領用表!$L:$L,領用表!$E:$E,$B165,領用表!$B:$B,BR$2&amp;BS$2)</f>
        <v>0</v>
      </c>
      <c r="BT165" s="260">
        <f>SUMIFS(領用表!$L:$L,領用表!$E:$E,$B165,領用表!$B:$B,$BR$2&amp;BT$2)</f>
        <v>0</v>
      </c>
      <c r="BU165" s="260">
        <f>SUMIFS(領用表!$L:$L,領用表!$E:$E,$B165,領用表!$B:$B,$BR$2&amp;BU$2)</f>
        <v>0</v>
      </c>
      <c r="BV165" s="220">
        <f>SUMIFS(領用表!$L:$L,領用表!$E:$E,$B165,領用表!$B:$B,$BR$2&amp;BV$2)</f>
        <v>0</v>
      </c>
      <c r="BW165" s="208">
        <f>SUMIFS(領用表!$L:$L,領用表!$A:$A,BW$2,領用表!$E:$E,B165)</f>
        <v>0</v>
      </c>
      <c r="BX165" s="296">
        <f>SUMIFS(領用表!$L:$L,領用表!$E:$E,$B165,領用表!$B:$B,BW$2&amp;BX$2)</f>
        <v>0</v>
      </c>
      <c r="BY165" s="296">
        <f>SUMIFS(領用表!$L:$L,領用表!$E:$E,$B165,領用表!$B:$B,$BW$2&amp;BY$2)</f>
        <v>0</v>
      </c>
      <c r="BZ165" s="296">
        <f>SUMIFS(領用表!$L:$L,領用表!$E:$E,$B165,領用表!$B:$B,$BW$2&amp;BZ$2)</f>
        <v>0</v>
      </c>
      <c r="CA165" s="296">
        <f>SUMIFS(領用表!$L:$L,領用表!$E:$E,$B165,領用表!$B:$B,$BW$2&amp;CA$2)</f>
        <v>0</v>
      </c>
      <c r="CB165" s="208">
        <f>SUMIFS(領用表!$L:$L,領用表!$A:$A,CB$2,領用表!$E:$E,B165)</f>
        <v>0</v>
      </c>
      <c r="CC165" s="296">
        <f>SUMIFS(領用表!$L:$L,領用表!$E:$E,$B165,領用表!$B:$B,CB$2&amp;CC$2)</f>
        <v>0</v>
      </c>
      <c r="CD165" s="296">
        <f>SUMIFS(領用表!$L:$L,領用表!$E:$E,$B165,領用表!$B:$B,$CB$2&amp;CD$2)</f>
        <v>0</v>
      </c>
      <c r="CE165" s="296">
        <f>SUMIFS(領用表!$L:$L,領用表!$E:$E,$B165,領用表!$B:$B,$CB$2&amp;CE$2)</f>
        <v>0</v>
      </c>
      <c r="CF165" s="296">
        <f>SUMIFS(領用表!$L:$L,領用表!$E:$E,$B165,領用表!$B:$B,$CB$2&amp;CF$2)</f>
        <v>0</v>
      </c>
      <c r="CG165" s="335">
        <f>SUMIFS(領用表!$L:$L,領用表!$A:$A,CG$2,領用表!$E:$E,B165)</f>
        <v>0</v>
      </c>
      <c r="CH165" s="296">
        <f>SUMIFS(領用表!$L:$L,領用表!$E:$E,$B165,領用表!$B:$B,CG$2&amp;CH$2)</f>
        <v>0</v>
      </c>
      <c r="CI165" s="296">
        <f>SUMIFS(領用表!$L:$L,領用表!$E:$E,$B165,領用表!$B:$B,CG$2&amp;CI$2)</f>
        <v>0</v>
      </c>
      <c r="CJ165" s="296">
        <f>SUMIFS(領用表!$L:$L,領用表!$E:$E,$B165,領用表!$B:$B,CG$2&amp;CJ$2)</f>
        <v>0</v>
      </c>
      <c r="CK165" s="296">
        <f>SUMIFS(領用表!$L:$L,領用表!$E:$E,$B165,領用表!$B:$B,$CG$2&amp;CK$2)</f>
        <v>0</v>
      </c>
      <c r="CL165" s="207">
        <f t="shared" si="46"/>
        <v>80</v>
      </c>
      <c r="CM165" s="207">
        <f t="shared" si="47"/>
        <v>6.666666666666667</v>
      </c>
      <c r="CN165" s="208">
        <f>SUMIFS(領用表!$L:$L,領用表!$A:$A,CN$2,領用表!$E:$E,B165)</f>
        <v>0</v>
      </c>
      <c r="CO165" s="206">
        <f>SUMIFS(領用表!$L:$L,領用表!$E:$E,$B165,領用表!$B:$B,CN$2&amp;CO$2)</f>
        <v>0</v>
      </c>
      <c r="CP165" s="206">
        <f>SUMIFS(領用表!$L:$L,領用表!$E:$E,$B165,領用表!$B:$B,$CN$2&amp;CP$2)</f>
        <v>0</v>
      </c>
      <c r="CQ165" s="206">
        <f>SUMIFS(領用表!$L:$L,領用表!$E:$E,$B165,領用表!$B:$B,$CN$2&amp;CQ$2)</f>
        <v>0</v>
      </c>
      <c r="CR165" s="296">
        <f>SUMIFS(領用表!$L:$L,領用表!$E:$E,$B165,領用表!$B:$B,$CN$2&amp;CR$2)</f>
        <v>0</v>
      </c>
      <c r="CS165" s="208">
        <f>SUMIFS(領用表!$L:$L,領用表!$A:$A,CS$2,領用表!$E:$E,B165)</f>
        <v>0</v>
      </c>
      <c r="CT165" s="206">
        <f>SUMIFS(領用表!$L:$L,領用表!$E:$E,$B165,領用表!$B:$B,CS$2&amp;CT$2)</f>
        <v>0</v>
      </c>
      <c r="CU165" s="206">
        <f>SUMIFS(領用表!$L:$L,領用表!$E:$E,$B165,領用表!$B:$B,$CS$2&amp;CU$2)</f>
        <v>0</v>
      </c>
      <c r="CV165" s="206">
        <f>SUMIFS(領用表!$L:$L,領用表!$E:$E,$B165,領用表!$B:$B,$CS$2&amp;CV$2)</f>
        <v>0</v>
      </c>
      <c r="CW165" s="206">
        <f>SUMIFS(領用表!$L:$L,領用表!$E:$E,$B165,領用表!$B:$B,$CS$2&amp;CW$2)</f>
        <v>0</v>
      </c>
      <c r="CX165" s="206">
        <f>SUMIFS(領用表!$L:$L,領用表!$E:$E,$B165,領用表!$B:$B,$CS$2&amp;CX$2)</f>
        <v>0</v>
      </c>
      <c r="CY165" s="208">
        <f>SUMIFS(領用表!$L:$L,領用表!$A:$A,CY$2,領用表!$E:$E,B165)</f>
        <v>0</v>
      </c>
      <c r="CZ165" s="296">
        <f>SUMIFS(領用表!$L:$L,領用表!$E:$E,$B165,領用表!$B:$B,CY$2&amp;CZ$2)</f>
        <v>0</v>
      </c>
      <c r="DA165" s="296">
        <f>SUMIFS(領用表!$L:$L,領用表!$E:$E,$B165,領用表!$B:$B,$CY$2&amp;DA$2)</f>
        <v>0</v>
      </c>
      <c r="DB165" s="296">
        <f>SUMIFS(領用表!$L:$L,領用表!$E:$E,$B165,領用表!$B:$B,$CY$2&amp;DB$2)</f>
        <v>0</v>
      </c>
      <c r="DC165" s="296">
        <f>SUMIFS(領用表!$L:$L,領用表!$E:$E,$B165,領用表!$B:$B,$CY$2&amp;DC$2)</f>
        <v>0</v>
      </c>
      <c r="DD165" s="296">
        <f>SUMIFS(領用表!$L:$L,領用表!$E:$E,$B165,領用表!$B:$B,$CY$2&amp;DD$2)</f>
        <v>0</v>
      </c>
      <c r="DE165" s="208">
        <f>SUMIFS(領用表!$L:$L,領用表!$A:$A,DE$2,領用表!$E:$E,B165)</f>
        <v>0</v>
      </c>
      <c r="DF165" s="296">
        <f>SUMIFS(領用表!$L:$L,領用表!$E:$E,$B165,領用表!$B:$B,DE$2&amp;DF$2)</f>
        <v>0</v>
      </c>
      <c r="DG165" s="296">
        <f>SUMIFS(領用表!$L:$L,領用表!$E:$E,$B165,領用表!$B:$B,$DE$2&amp;DG$2)</f>
        <v>0</v>
      </c>
      <c r="DH165" s="296">
        <f>SUMIFS(領用表!$L:$L,領用表!$E:$E,$B165,領用表!$B:$B,$DE$2&amp;DH$2)</f>
        <v>0</v>
      </c>
      <c r="DI165" s="296">
        <f>SUMIFS(領用表!$L:$L,領用表!$E:$E,$B165,領用表!$B:$B,$DE$2&amp;DI$2)</f>
        <v>0</v>
      </c>
      <c r="DJ165" s="296">
        <f>SUMIFS(領用表!$L:$L,領用表!$E:$E,$B165,領用表!$B:$B,$DE$2&amp;DJ$2)</f>
        <v>0</v>
      </c>
      <c r="DK165" s="208">
        <f>SUMIFS(領用表!$L:$L,領用表!$A:$A,DK$2,領用表!$E:$E,$B165)</f>
        <v>0</v>
      </c>
      <c r="DL165" s="296">
        <f>SUMIFS(領用表!$L:$L,領用表!$E:$E,$B165,領用表!$B:$B,DK$2&amp;DL$2)</f>
        <v>0</v>
      </c>
      <c r="DM165" s="296">
        <f>SUMIFS(領用表!$L:$L,領用表!$E:$E,$B165,領用表!$B:$B,$DK$2&amp;DM$2)</f>
        <v>0</v>
      </c>
      <c r="DN165" s="296">
        <f>SUMIFS(領用表!$L:$L,領用表!$E:$E,$B165,領用表!$B:$B,$DK$2&amp;DN$2)</f>
        <v>0</v>
      </c>
      <c r="DO165" s="296">
        <f>SUMIFS(領用表!$L:$L,領用表!$E:$E,$B165,領用表!$B:$B,$DK$2&amp;DO$2)</f>
        <v>0</v>
      </c>
      <c r="DP165" s="296">
        <f>SUMIFS(領用表!$L:$L,領用表!$E:$E,$B165,領用表!$B:$B,$DK$2&amp;DP$2)</f>
        <v>0</v>
      </c>
      <c r="DQ165" s="296">
        <f t="shared" si="49"/>
        <v>0</v>
      </c>
      <c r="DR165" s="296">
        <f t="shared" si="50"/>
        <v>0</v>
      </c>
      <c r="DS165" s="296">
        <f t="shared" si="48"/>
        <v>0</v>
      </c>
      <c r="DT165" s="296">
        <v>0</v>
      </c>
      <c r="DU165" s="296">
        <v>0</v>
      </c>
      <c r="DV165" s="296">
        <v>0</v>
      </c>
      <c r="DW165" s="296">
        <v>0</v>
      </c>
      <c r="DX165" s="258"/>
      <c r="DY165" s="283"/>
      <c r="DZ165" s="252"/>
      <c r="EA165" s="252"/>
      <c r="EB165" s="136"/>
      <c r="EC165" s="136"/>
      <c r="ED165" s="118">
        <f>IFERROR(VLOOKUP(A165,站前4樓!A:BF,57,0),0)</f>
        <v>0</v>
      </c>
      <c r="EE165" s="213">
        <f>IFERROR(VLOOKUP(A165,站前11樓!A:BE,57,0),0)</f>
        <v>0</v>
      </c>
      <c r="EF165" s="118">
        <f>IFERROR(VLOOKUP(A165,忠孝7樓!A:N,57,0),0)</f>
        <v>0</v>
      </c>
      <c r="EG165" s="118">
        <f>IFERROR(VLOOKUP(A165,忠孝國際醫學3樓!A:L,57,0),0)</f>
        <v>0</v>
      </c>
      <c r="EH165" s="118">
        <f t="shared" si="51"/>
        <v>0</v>
      </c>
    </row>
    <row r="166" spans="1:138" s="118" customFormat="1" ht="15.75" customHeight="1">
      <c r="A166" s="136" t="s">
        <v>194</v>
      </c>
      <c r="C166" s="136" t="s">
        <v>567</v>
      </c>
      <c r="D166" s="285"/>
      <c r="E166" s="198" t="s">
        <v>15</v>
      </c>
      <c r="F166" s="225">
        <f>SUMIF(站前4樓!B:B,B166,站前4樓!F:F)</f>
        <v>0</v>
      </c>
      <c r="G166" s="225">
        <f>SUMIF(站前11樓!B:B,B166,站前11樓!F:F)</f>
        <v>0</v>
      </c>
      <c r="H166" s="225">
        <f>SUMIF(忠孝7樓!B:B,B166,忠孝7樓!G:G)</f>
        <v>0</v>
      </c>
      <c r="I166" s="225">
        <f>SUMIF(忠孝國際醫學3樓!B:B,B166,忠孝國際醫學3樓!G:G)</f>
        <v>0</v>
      </c>
      <c r="J166" s="408">
        <f>SUMIF(忠孝健康7樓!B:B,B166,忠孝健康7樓!G:G)</f>
        <v>0</v>
      </c>
      <c r="AJ166" s="348"/>
      <c r="AK166" s="348"/>
      <c r="AL166" s="348"/>
      <c r="AM166" s="348"/>
      <c r="AN166" s="348"/>
      <c r="AO166" s="348"/>
      <c r="AP166" s="348"/>
      <c r="AQ166" s="201">
        <v>0</v>
      </c>
      <c r="AR166" s="201">
        <v>0</v>
      </c>
      <c r="AS166" s="201">
        <v>0</v>
      </c>
      <c r="AT166" s="201">
        <v>0</v>
      </c>
      <c r="AU166" s="201">
        <v>0</v>
      </c>
      <c r="AV166" s="283">
        <f t="shared" si="52"/>
        <v>0</v>
      </c>
      <c r="AW166" s="286">
        <f t="shared" si="53"/>
        <v>0</v>
      </c>
      <c r="AX166" s="201">
        <v>0</v>
      </c>
      <c r="AY166" s="201">
        <v>0</v>
      </c>
      <c r="AZ166" s="201">
        <v>0</v>
      </c>
      <c r="BA166" s="201">
        <v>0</v>
      </c>
      <c r="BB166" s="201">
        <v>0</v>
      </c>
      <c r="BC166" s="203">
        <f>SUMIFS(領用表!$L:$L,領用表!$A:$A,BC$2,領用表!$E:$E,B166)</f>
        <v>0</v>
      </c>
      <c r="BD166" s="296">
        <f>SUMIFS(領用表!$L:$L,領用表!$E:$E,$B166,領用表!$B:$B,BC$2&amp;BD$2)</f>
        <v>0</v>
      </c>
      <c r="BE166" s="296">
        <f>SUMIFS(領用表!$L:$L,領用表!$E:$E,$B166,領用表!$B:$B,$BC$2&amp;BE$2)</f>
        <v>0</v>
      </c>
      <c r="BF166" s="296">
        <f>SUMIFS(領用表!$L:$L,領用表!$E:$E,$B166,領用表!$B:$B,$BC$2&amp;BF$2)</f>
        <v>0</v>
      </c>
      <c r="BG166" s="296">
        <f>SUMIFS(領用表!$L:$L,領用表!$E:$E,$B166,領用表!$B:$B,$BC$2&amp;BG$2)</f>
        <v>0</v>
      </c>
      <c r="BH166" s="203">
        <f>SUMIFS(領用表!$L:$L,領用表!$A:$A,BH$2,領用表!$E:$E,B166)</f>
        <v>0</v>
      </c>
      <c r="BI166" s="260">
        <f>SUMIFS(領用表!$L:$L,領用表!$E:$E,$B166,領用表!$B:$B,BH$2&amp;BI$2)</f>
        <v>0</v>
      </c>
      <c r="BJ166" s="260">
        <f>SUMIFS(領用表!$L:$L,領用表!$E:$E,$B166,領用表!$B:$B,$BH$2&amp;BJ$2)</f>
        <v>0</v>
      </c>
      <c r="BK166" s="260">
        <f>SUMIFS(領用表!$L:$L,領用表!$E:$E,$B166,領用表!$B:$B,$BH$2&amp;BK$2)</f>
        <v>0</v>
      </c>
      <c r="BL166" s="260">
        <f>SUMIFS(領用表!$L:$L,領用表!$E:$E,$B166,領用表!$B:$B,$BH$2&amp;BL$2)</f>
        <v>0</v>
      </c>
      <c r="BM166" s="203">
        <f>SUMIFS(領用表!$L:$L,領用表!$A:$A,BM$2,領用表!$E:$E,B166)</f>
        <v>0</v>
      </c>
      <c r="BN166" s="206">
        <f>SUMIFS(領用表!$L:$L,領用表!$E:$E,$B166,領用表!$B:$B,BM$2&amp;BN$2)</f>
        <v>0</v>
      </c>
      <c r="BO166" s="206">
        <f>SUMIFS(領用表!$L:$L,領用表!$E:$E,$B166,領用表!$B:$B,$BM$2&amp;BO$2)</f>
        <v>0</v>
      </c>
      <c r="BP166" s="288">
        <f>SUMIFS(領用表!$L:$L,領用表!$E:$E,$B166,領用表!$B:$B,$BM$2&amp;BP$2)</f>
        <v>0</v>
      </c>
      <c r="BQ166" s="287">
        <f>SUMIFS(領用表!$L:$L,領用表!$E:$E,$B166,領用表!$B:$B,$BM$2&amp;BQ$2)</f>
        <v>0</v>
      </c>
      <c r="BR166" s="203">
        <f>SUMIFS(領用表!$L:$L,領用表!$A:$A,BR$2,領用表!$E:$E,B166)</f>
        <v>0</v>
      </c>
      <c r="BS166" s="260">
        <f>SUMIFS(領用表!$L:$L,領用表!$E:$E,$B166,領用表!$B:$B,BR$2&amp;BS$2)</f>
        <v>0</v>
      </c>
      <c r="BT166" s="260">
        <f>SUMIFS(領用表!$L:$L,領用表!$E:$E,$B166,領用表!$B:$B,$BR$2&amp;BT$2)</f>
        <v>0</v>
      </c>
      <c r="BU166" s="260">
        <f>SUMIFS(領用表!$L:$L,領用表!$E:$E,$B166,領用表!$B:$B,$BR$2&amp;BU$2)</f>
        <v>0</v>
      </c>
      <c r="BV166" s="220">
        <f>SUMIFS(領用表!$L:$L,領用表!$E:$E,$B166,領用表!$B:$B,$BR$2&amp;BV$2)</f>
        <v>0</v>
      </c>
      <c r="BW166" s="208">
        <f>SUMIFS(領用表!$L:$L,領用表!$A:$A,BW$2,領用表!$E:$E,B166)</f>
        <v>0</v>
      </c>
      <c r="BX166" s="296">
        <f>SUMIFS(領用表!$L:$L,領用表!$E:$E,$B166,領用表!$B:$B,BW$2&amp;BX$2)</f>
        <v>0</v>
      </c>
      <c r="BY166" s="296">
        <f>SUMIFS(領用表!$L:$L,領用表!$E:$E,$B166,領用表!$B:$B,$BW$2&amp;BY$2)</f>
        <v>0</v>
      </c>
      <c r="BZ166" s="296">
        <f>SUMIFS(領用表!$L:$L,領用表!$E:$E,$B166,領用表!$B:$B,$BW$2&amp;BZ$2)</f>
        <v>0</v>
      </c>
      <c r="CA166" s="296">
        <f>SUMIFS(領用表!$L:$L,領用表!$E:$E,$B166,領用表!$B:$B,$BW$2&amp;CA$2)</f>
        <v>0</v>
      </c>
      <c r="CB166" s="208">
        <f>SUMIFS(領用表!$L:$L,領用表!$A:$A,CB$2,領用表!$E:$E,B166)</f>
        <v>0</v>
      </c>
      <c r="CC166" s="296">
        <f>SUMIFS(領用表!$L:$L,領用表!$E:$E,$B166,領用表!$B:$B,CB$2&amp;CC$2)</f>
        <v>0</v>
      </c>
      <c r="CD166" s="296">
        <f>SUMIFS(領用表!$L:$L,領用表!$E:$E,$B166,領用表!$B:$B,$CB$2&amp;CD$2)</f>
        <v>0</v>
      </c>
      <c r="CE166" s="296">
        <f>SUMIFS(領用表!$L:$L,領用表!$E:$E,$B166,領用表!$B:$B,$CB$2&amp;CE$2)</f>
        <v>0</v>
      </c>
      <c r="CF166" s="296">
        <f>SUMIFS(領用表!$L:$L,領用表!$E:$E,$B166,領用表!$B:$B,$CB$2&amp;CF$2)</f>
        <v>0</v>
      </c>
      <c r="CG166" s="335">
        <f>SUMIFS(領用表!$L:$L,領用表!$A:$A,CG$2,領用表!$E:$E,B166)</f>
        <v>0</v>
      </c>
      <c r="CH166" s="339">
        <f>SUMIFS(領用表!$L:$L,領用表!$E:$E,$B166,領用表!$B:$B,CG$2&amp;CH$2)</f>
        <v>0</v>
      </c>
      <c r="CI166" s="339">
        <f>SUMIFS(領用表!$L:$L,領用表!$E:$E,$B166,領用表!$B:$B,CG$2&amp;CI$2)</f>
        <v>0</v>
      </c>
      <c r="CJ166" s="339">
        <f>SUMIFS(領用表!$L:$L,領用表!$E:$E,$B166,領用表!$B:$B,CG$2&amp;CJ$2)</f>
        <v>0</v>
      </c>
      <c r="CK166" s="339">
        <f>SUMIFS(領用表!$L:$L,領用表!$E:$E,$B166,領用表!$B:$B,$CG$2&amp;CK$2)</f>
        <v>0</v>
      </c>
      <c r="CL166" s="207">
        <f t="shared" si="46"/>
        <v>0</v>
      </c>
      <c r="CM166" s="207">
        <f t="shared" si="47"/>
        <v>0</v>
      </c>
      <c r="CN166" s="208">
        <f>SUMIFS(領用表!$L:$L,領用表!$A:$A,CN$2,領用表!$E:$E,B166)</f>
        <v>0</v>
      </c>
      <c r="CO166" s="206">
        <f>SUMIFS(領用表!$L:$L,領用表!$E:$E,$B166,領用表!$B:$B,CN$2&amp;CO$2)</f>
        <v>0</v>
      </c>
      <c r="CP166" s="206">
        <f>SUMIFS(領用表!$L:$L,領用表!$E:$E,$B166,領用表!$B:$B,$CN$2&amp;CP$2)</f>
        <v>0</v>
      </c>
      <c r="CQ166" s="206">
        <f>SUMIFS(領用表!$L:$L,領用表!$E:$E,$B166,領用表!$B:$B,$CN$2&amp;CQ$2)</f>
        <v>0</v>
      </c>
      <c r="CR166" s="339">
        <f>SUMIFS(領用表!$L:$L,領用表!$E:$E,$B166,領用表!$B:$B,$CN$2&amp;CR$2)</f>
        <v>0</v>
      </c>
      <c r="CS166" s="208">
        <f>SUMIFS(領用表!$L:$L,領用表!$A:$A,CS$2,領用表!$E:$E,B166)</f>
        <v>0</v>
      </c>
      <c r="CT166" s="206">
        <f>SUMIFS(領用表!$L:$L,領用表!$E:$E,$B166,領用表!$B:$B,CS$2&amp;CT$2)</f>
        <v>0</v>
      </c>
      <c r="CU166" s="206">
        <f>SUMIFS(領用表!$L:$L,領用表!$E:$E,$B166,領用表!$B:$B,$CS$2&amp;CU$2)</f>
        <v>0</v>
      </c>
      <c r="CV166" s="206">
        <f>SUMIFS(領用表!$L:$L,領用表!$E:$E,$B166,領用表!$B:$B,$CS$2&amp;CV$2)</f>
        <v>0</v>
      </c>
      <c r="CW166" s="206">
        <f>SUMIFS(領用表!$L:$L,領用表!$E:$E,$B166,領用表!$B:$B,$CS$2&amp;CW$2)</f>
        <v>0</v>
      </c>
      <c r="CX166" s="206">
        <f>SUMIFS(領用表!$L:$L,領用表!$E:$E,$B166,領用表!$B:$B,$CS$2&amp;CX$2)</f>
        <v>0</v>
      </c>
      <c r="CY166" s="208">
        <f>SUMIFS(領用表!$L:$L,領用表!$A:$A,CY$2,領用表!$E:$E,B166)</f>
        <v>0</v>
      </c>
      <c r="CZ166" s="339">
        <f>SUMIFS(領用表!$L:$L,領用表!$E:$E,$B166,領用表!$B:$B,CY$2&amp;CZ$2)</f>
        <v>0</v>
      </c>
      <c r="DA166" s="339">
        <f>SUMIFS(領用表!$L:$L,領用表!$E:$E,$B166,領用表!$B:$B,$CY$2&amp;DA$2)</f>
        <v>0</v>
      </c>
      <c r="DB166" s="339">
        <f>SUMIFS(領用表!$L:$L,領用表!$E:$E,$B166,領用表!$B:$B,$CY$2&amp;DB$2)</f>
        <v>0</v>
      </c>
      <c r="DC166" s="339">
        <f>SUMIFS(領用表!$L:$L,領用表!$E:$E,$B166,領用表!$B:$B,$CY$2&amp;DC$2)</f>
        <v>0</v>
      </c>
      <c r="DD166" s="339">
        <f>SUMIFS(領用表!$L:$L,領用表!$E:$E,$B166,領用表!$B:$B,$CY$2&amp;DD$2)</f>
        <v>0</v>
      </c>
      <c r="DE166" s="208">
        <f>SUMIFS(領用表!$L:$L,領用表!$A:$A,DE$2,領用表!$E:$E,B166)</f>
        <v>0</v>
      </c>
      <c r="DF166" s="339">
        <f>SUMIFS(領用表!$L:$L,領用表!$E:$E,$B166,領用表!$B:$B,DE$2&amp;DF$2)</f>
        <v>0</v>
      </c>
      <c r="DG166" s="339">
        <f>SUMIFS(領用表!$L:$L,領用表!$E:$E,$B166,領用表!$B:$B,$DE$2&amp;DG$2)</f>
        <v>0</v>
      </c>
      <c r="DH166" s="339">
        <f>SUMIFS(領用表!$L:$L,領用表!$E:$E,$B166,領用表!$B:$B,$DE$2&amp;DH$2)</f>
        <v>0</v>
      </c>
      <c r="DI166" s="339">
        <f>SUMIFS(領用表!$L:$L,領用表!$E:$E,$B166,領用表!$B:$B,$DE$2&amp;DI$2)</f>
        <v>0</v>
      </c>
      <c r="DJ166" s="339">
        <f>SUMIFS(領用表!$L:$L,領用表!$E:$E,$B166,領用表!$B:$B,$DE$2&amp;DJ$2)</f>
        <v>0</v>
      </c>
      <c r="DK166" s="208">
        <f>SUMIFS(領用表!$L:$L,領用表!$A:$A,DK$2,領用表!$E:$E,$B166)</f>
        <v>0</v>
      </c>
      <c r="DL166" s="296">
        <f>SUMIFS(領用表!$L:$L,領用表!$E:$E,$B166,領用表!$B:$B,DK$2&amp;DL$2)</f>
        <v>0</v>
      </c>
      <c r="DM166" s="296">
        <f>SUMIFS(領用表!$L:$L,領用表!$E:$E,$B166,領用表!$B:$B,$DK$2&amp;DM$2)</f>
        <v>0</v>
      </c>
      <c r="DN166" s="296">
        <f>SUMIFS(領用表!$L:$L,領用表!$E:$E,$B166,領用表!$B:$B,$DK$2&amp;DN$2)</f>
        <v>0</v>
      </c>
      <c r="DO166" s="296">
        <f>SUMIFS(領用表!$L:$L,領用表!$E:$E,$B166,領用表!$B:$B,$DK$2&amp;DO$2)</f>
        <v>0</v>
      </c>
      <c r="DP166" s="296">
        <f>SUMIFS(領用表!$L:$L,領用表!$E:$E,$B166,領用表!$B:$B,$DK$2&amp;DP$2)</f>
        <v>0</v>
      </c>
      <c r="DQ166" s="331">
        <f t="shared" si="49"/>
        <v>0</v>
      </c>
      <c r="DR166" s="331">
        <f t="shared" si="50"/>
        <v>0</v>
      </c>
      <c r="DS166" s="331">
        <f t="shared" si="48"/>
        <v>0</v>
      </c>
      <c r="DT166" s="339">
        <v>0</v>
      </c>
      <c r="DU166" s="339">
        <v>0</v>
      </c>
      <c r="DV166" s="339">
        <v>0</v>
      </c>
      <c r="DW166" s="339">
        <v>0</v>
      </c>
      <c r="DX166" s="258"/>
      <c r="DY166" s="340"/>
      <c r="DZ166" s="341"/>
      <c r="EA166" s="341"/>
      <c r="ED166" s="118">
        <f>IFERROR(VLOOKUP(A166,站前4樓!A:BF,57,0),0)</f>
        <v>0</v>
      </c>
      <c r="EE166" s="213">
        <f>IFERROR(VLOOKUP(A166,站前11樓!A:BE,57,0),0)</f>
        <v>0</v>
      </c>
      <c r="EF166" s="118">
        <f>IFERROR(VLOOKUP(A166,忠孝7樓!A:N,57,0),0)</f>
        <v>0</v>
      </c>
      <c r="EG166" s="118">
        <f>IFERROR(VLOOKUP(A166,忠孝國際醫學3樓!A:L,57,0),0)</f>
        <v>0</v>
      </c>
      <c r="EH166" s="118">
        <f t="shared" si="51"/>
        <v>0</v>
      </c>
    </row>
    <row r="167" spans="1:138" s="118" customFormat="1" ht="15.75" customHeight="1">
      <c r="A167" s="136" t="s">
        <v>195</v>
      </c>
      <c r="C167" s="136" t="s">
        <v>568</v>
      </c>
      <c r="D167" s="285"/>
      <c r="E167" s="198" t="s">
        <v>15</v>
      </c>
      <c r="F167" s="225">
        <f>SUMIF(站前4樓!B:B,B167,站前4樓!F:F)</f>
        <v>0</v>
      </c>
      <c r="G167" s="225">
        <f>SUMIF(站前11樓!B:B,B167,站前11樓!F:F)</f>
        <v>0</v>
      </c>
      <c r="H167" s="225">
        <f>SUMIF(忠孝7樓!B:B,B167,忠孝7樓!G:G)</f>
        <v>0</v>
      </c>
      <c r="I167" s="225">
        <f>SUMIF(忠孝國際醫學3樓!B:B,B167,忠孝國際醫學3樓!G:G)</f>
        <v>0</v>
      </c>
      <c r="J167" s="408">
        <f>SUMIF(忠孝健康7樓!B:B,B167,忠孝健康7樓!G:G)</f>
        <v>0</v>
      </c>
      <c r="K167" s="333"/>
      <c r="L167" s="333"/>
      <c r="M167" s="333"/>
      <c r="N167" s="333"/>
      <c r="O167" s="333"/>
      <c r="P167" s="333"/>
      <c r="Q167" s="333"/>
      <c r="R167" s="333"/>
      <c r="S167" s="333"/>
      <c r="T167" s="333"/>
      <c r="U167" s="333"/>
      <c r="V167" s="333"/>
      <c r="W167" s="333"/>
      <c r="X167" s="333"/>
      <c r="Y167" s="333"/>
      <c r="Z167" s="333"/>
      <c r="AA167" s="333"/>
      <c r="AB167" s="333"/>
      <c r="AC167" s="333"/>
      <c r="AD167" s="333"/>
      <c r="AE167" s="333"/>
      <c r="AF167" s="333"/>
      <c r="AG167" s="333"/>
      <c r="AH167" s="333"/>
      <c r="AI167" s="333"/>
      <c r="AJ167" s="292"/>
      <c r="AK167" s="292"/>
      <c r="AL167" s="292"/>
      <c r="AM167" s="292"/>
      <c r="AN167" s="292"/>
      <c r="AO167" s="292"/>
      <c r="AP167" s="292"/>
      <c r="AQ167" s="201">
        <v>0</v>
      </c>
      <c r="AR167" s="201">
        <v>0</v>
      </c>
      <c r="AS167" s="201">
        <v>0</v>
      </c>
      <c r="AT167" s="201">
        <v>0</v>
      </c>
      <c r="AU167" s="201">
        <v>0</v>
      </c>
      <c r="AV167" s="283">
        <f t="shared" si="52"/>
        <v>0</v>
      </c>
      <c r="AW167" s="286">
        <f t="shared" si="53"/>
        <v>0</v>
      </c>
      <c r="AX167" s="201">
        <v>0</v>
      </c>
      <c r="AY167" s="201">
        <v>0</v>
      </c>
      <c r="AZ167" s="201">
        <v>0</v>
      </c>
      <c r="BA167" s="201">
        <v>0</v>
      </c>
      <c r="BB167" s="201">
        <v>0</v>
      </c>
      <c r="BC167" s="203">
        <f>SUMIFS(領用表!$L:$L,領用表!$A:$A,BC$2,領用表!$E:$E,B167)</f>
        <v>0</v>
      </c>
      <c r="BD167" s="296">
        <f>SUMIFS(領用表!$L:$L,領用表!$E:$E,$B167,領用表!$B:$B,BC$2&amp;BD$2)</f>
        <v>0</v>
      </c>
      <c r="BE167" s="296">
        <f>SUMIFS(領用表!$L:$L,領用表!$E:$E,$B167,領用表!$B:$B,$BC$2&amp;BE$2)</f>
        <v>0</v>
      </c>
      <c r="BF167" s="296">
        <f>SUMIFS(領用表!$L:$L,領用表!$E:$E,$B167,領用表!$B:$B,$BC$2&amp;BF$2)</f>
        <v>0</v>
      </c>
      <c r="BG167" s="296">
        <f>SUMIFS(領用表!$L:$L,領用表!$E:$E,$B167,領用表!$B:$B,$BC$2&amp;BG$2)</f>
        <v>0</v>
      </c>
      <c r="BH167" s="203">
        <f>SUMIFS(領用表!$L:$L,領用表!$A:$A,BH$2,領用表!$E:$E,B167)</f>
        <v>0</v>
      </c>
      <c r="BI167" s="260">
        <f>SUMIFS(領用表!$L:$L,領用表!$E:$E,$B167,領用表!$B:$B,BH$2&amp;BI$2)</f>
        <v>0</v>
      </c>
      <c r="BJ167" s="260">
        <f>SUMIFS(領用表!$L:$L,領用表!$E:$E,$B167,領用表!$B:$B,$BH$2&amp;BJ$2)</f>
        <v>0</v>
      </c>
      <c r="BK167" s="260">
        <f>SUMIFS(領用表!$L:$L,領用表!$E:$E,$B167,領用表!$B:$B,$BH$2&amp;BK$2)</f>
        <v>0</v>
      </c>
      <c r="BL167" s="260">
        <f>SUMIFS(領用表!$L:$L,領用表!$E:$E,$B167,領用表!$B:$B,$BH$2&amp;BL$2)</f>
        <v>0</v>
      </c>
      <c r="BM167" s="203">
        <f>SUMIFS(領用表!$L:$L,領用表!$A:$A,BM$2,領用表!$E:$E,B167)</f>
        <v>0</v>
      </c>
      <c r="BN167" s="206">
        <f>SUMIFS(領用表!$L:$L,領用表!$E:$E,$B167,領用表!$B:$B,BM$2&amp;BN$2)</f>
        <v>0</v>
      </c>
      <c r="BO167" s="206">
        <f>SUMIFS(領用表!$L:$L,領用表!$E:$E,$B167,領用表!$B:$B,$BM$2&amp;BO$2)</f>
        <v>0</v>
      </c>
      <c r="BP167" s="288">
        <f>SUMIFS(領用表!$L:$L,領用表!$E:$E,$B167,領用表!$B:$B,$BM$2&amp;BP$2)</f>
        <v>0</v>
      </c>
      <c r="BQ167" s="287">
        <f>SUMIFS(領用表!$L:$L,領用表!$E:$E,$B167,領用表!$B:$B,$BM$2&amp;BQ$2)</f>
        <v>0</v>
      </c>
      <c r="BR167" s="203">
        <f>SUMIFS(領用表!$L:$L,領用表!$A:$A,BR$2,領用表!$E:$E,B167)</f>
        <v>0</v>
      </c>
      <c r="BS167" s="260">
        <f>SUMIFS(領用表!$L:$L,領用表!$E:$E,$B167,領用表!$B:$B,BR$2&amp;BS$2)</f>
        <v>0</v>
      </c>
      <c r="BT167" s="260">
        <f>SUMIFS(領用表!$L:$L,領用表!$E:$E,$B167,領用表!$B:$B,$BR$2&amp;BT$2)</f>
        <v>0</v>
      </c>
      <c r="BU167" s="260">
        <f>SUMIFS(領用表!$L:$L,領用表!$E:$E,$B167,領用表!$B:$B,$BR$2&amp;BU$2)</f>
        <v>0</v>
      </c>
      <c r="BV167" s="220">
        <f>SUMIFS(領用表!$L:$L,領用表!$E:$E,$B167,領用表!$B:$B,$BR$2&amp;BV$2)</f>
        <v>0</v>
      </c>
      <c r="BW167" s="208">
        <f>SUMIFS(領用表!$L:$L,領用表!$A:$A,BW$2,領用表!$E:$E,B167)</f>
        <v>0</v>
      </c>
      <c r="BX167" s="296">
        <f>SUMIFS(領用表!$L:$L,領用表!$E:$E,$B167,領用表!$B:$B,BW$2&amp;BX$2)</f>
        <v>0</v>
      </c>
      <c r="BY167" s="296">
        <f>SUMIFS(領用表!$L:$L,領用表!$E:$E,$B167,領用表!$B:$B,$BW$2&amp;BY$2)</f>
        <v>0</v>
      </c>
      <c r="BZ167" s="296">
        <f>SUMIFS(領用表!$L:$L,領用表!$E:$E,$B167,領用表!$B:$B,$BW$2&amp;BZ$2)</f>
        <v>0</v>
      </c>
      <c r="CA167" s="296">
        <f>SUMIFS(領用表!$L:$L,領用表!$E:$E,$B167,領用表!$B:$B,$BW$2&amp;CA$2)</f>
        <v>0</v>
      </c>
      <c r="CB167" s="208">
        <f>SUMIFS(領用表!$L:$L,領用表!$A:$A,CB$2,領用表!$E:$E,B167)</f>
        <v>0</v>
      </c>
      <c r="CC167" s="296">
        <f>SUMIFS(領用表!$L:$L,領用表!$E:$E,$B167,領用表!$B:$B,CB$2&amp;CC$2)</f>
        <v>0</v>
      </c>
      <c r="CD167" s="296">
        <f>SUMIFS(領用表!$L:$L,領用表!$E:$E,$B167,領用表!$B:$B,$CB$2&amp;CD$2)</f>
        <v>0</v>
      </c>
      <c r="CE167" s="296">
        <f>SUMIFS(領用表!$L:$L,領用表!$E:$E,$B167,領用表!$B:$B,$CB$2&amp;CE$2)</f>
        <v>0</v>
      </c>
      <c r="CF167" s="296">
        <f>SUMIFS(領用表!$L:$L,領用表!$E:$E,$B167,領用表!$B:$B,$CB$2&amp;CF$2)</f>
        <v>0</v>
      </c>
      <c r="CG167" s="335">
        <f>SUMIFS(領用表!$L:$L,領用表!$A:$A,CG$2,領用表!$E:$E,B167)</f>
        <v>0</v>
      </c>
      <c r="CH167" s="339">
        <f>SUMIFS(領用表!$L:$L,領用表!$E:$E,$B167,領用表!$B:$B,CG$2&amp;CH$2)</f>
        <v>0</v>
      </c>
      <c r="CI167" s="339">
        <f>SUMIFS(領用表!$L:$L,領用表!$E:$E,$B167,領用表!$B:$B,CG$2&amp;CI$2)</f>
        <v>0</v>
      </c>
      <c r="CJ167" s="339">
        <f>SUMIFS(領用表!$L:$L,領用表!$E:$E,$B167,領用表!$B:$B,CG$2&amp;CJ$2)</f>
        <v>0</v>
      </c>
      <c r="CK167" s="339">
        <f>SUMIFS(領用表!$L:$L,領用表!$E:$E,$B167,領用表!$B:$B,$CG$2&amp;CK$2)</f>
        <v>0</v>
      </c>
      <c r="CL167" s="207">
        <f t="shared" si="46"/>
        <v>0</v>
      </c>
      <c r="CM167" s="207">
        <f t="shared" si="47"/>
        <v>0</v>
      </c>
      <c r="CN167" s="208">
        <f>SUMIFS(領用表!$L:$L,領用表!$A:$A,CN$2,領用表!$E:$E,B167)</f>
        <v>0</v>
      </c>
      <c r="CO167" s="206">
        <f>SUMIFS(領用表!$L:$L,領用表!$E:$E,$B167,領用表!$B:$B,CN$2&amp;CO$2)</f>
        <v>0</v>
      </c>
      <c r="CP167" s="206">
        <f>SUMIFS(領用表!$L:$L,領用表!$E:$E,$B167,領用表!$B:$B,$CN$2&amp;CP$2)</f>
        <v>0</v>
      </c>
      <c r="CQ167" s="206">
        <f>SUMIFS(領用表!$L:$L,領用表!$E:$E,$B167,領用表!$B:$B,$CN$2&amp;CQ$2)</f>
        <v>0</v>
      </c>
      <c r="CR167" s="339">
        <f>SUMIFS(領用表!$L:$L,領用表!$E:$E,$B167,領用表!$B:$B,$CN$2&amp;CR$2)</f>
        <v>0</v>
      </c>
      <c r="CS167" s="208">
        <f>SUMIFS(領用表!$L:$L,領用表!$A:$A,CS$2,領用表!$E:$E,B167)</f>
        <v>0</v>
      </c>
      <c r="CT167" s="206">
        <f>SUMIFS(領用表!$L:$L,領用表!$E:$E,$B167,領用表!$B:$B,CS$2&amp;CT$2)</f>
        <v>0</v>
      </c>
      <c r="CU167" s="206">
        <f>SUMIFS(領用表!$L:$L,領用表!$E:$E,$B167,領用表!$B:$B,$CS$2&amp;CU$2)</f>
        <v>0</v>
      </c>
      <c r="CV167" s="206">
        <f>SUMIFS(領用表!$L:$L,領用表!$E:$E,$B167,領用表!$B:$B,$CS$2&amp;CV$2)</f>
        <v>0</v>
      </c>
      <c r="CW167" s="206">
        <f>SUMIFS(領用表!$L:$L,領用表!$E:$E,$B167,領用表!$B:$B,$CS$2&amp;CW$2)</f>
        <v>0</v>
      </c>
      <c r="CX167" s="206">
        <f>SUMIFS(領用表!$L:$L,領用表!$E:$E,$B167,領用表!$B:$B,$CS$2&amp;CX$2)</f>
        <v>0</v>
      </c>
      <c r="CY167" s="208">
        <f>SUMIFS(領用表!$L:$L,領用表!$A:$A,CY$2,領用表!$E:$E,B167)</f>
        <v>0</v>
      </c>
      <c r="CZ167" s="339">
        <f>SUMIFS(領用表!$L:$L,領用表!$E:$E,$B167,領用表!$B:$B,CY$2&amp;CZ$2)</f>
        <v>0</v>
      </c>
      <c r="DA167" s="339">
        <f>SUMIFS(領用表!$L:$L,領用表!$E:$E,$B167,領用表!$B:$B,$CY$2&amp;DA$2)</f>
        <v>0</v>
      </c>
      <c r="DB167" s="339">
        <f>SUMIFS(領用表!$L:$L,領用表!$E:$E,$B167,領用表!$B:$B,$CY$2&amp;DB$2)</f>
        <v>0</v>
      </c>
      <c r="DC167" s="339">
        <f>SUMIFS(領用表!$L:$L,領用表!$E:$E,$B167,領用表!$B:$B,$CY$2&amp;DC$2)</f>
        <v>0</v>
      </c>
      <c r="DD167" s="339">
        <f>SUMIFS(領用表!$L:$L,領用表!$E:$E,$B167,領用表!$B:$B,$CY$2&amp;DD$2)</f>
        <v>0</v>
      </c>
      <c r="DE167" s="208">
        <f>SUMIFS(領用表!$L:$L,領用表!$A:$A,DE$2,領用表!$E:$E,B167)</f>
        <v>0</v>
      </c>
      <c r="DF167" s="339">
        <f>SUMIFS(領用表!$L:$L,領用表!$E:$E,$B167,領用表!$B:$B,DE$2&amp;DF$2)</f>
        <v>0</v>
      </c>
      <c r="DG167" s="339">
        <f>SUMIFS(領用表!$L:$L,領用表!$E:$E,$B167,領用表!$B:$B,$DE$2&amp;DG$2)</f>
        <v>0</v>
      </c>
      <c r="DH167" s="339">
        <f>SUMIFS(領用表!$L:$L,領用表!$E:$E,$B167,領用表!$B:$B,$DE$2&amp;DH$2)</f>
        <v>0</v>
      </c>
      <c r="DI167" s="339">
        <f>SUMIFS(領用表!$L:$L,領用表!$E:$E,$B167,領用表!$B:$B,$DE$2&amp;DI$2)</f>
        <v>0</v>
      </c>
      <c r="DJ167" s="339">
        <f>SUMIFS(領用表!$L:$L,領用表!$E:$E,$B167,領用表!$B:$B,$DE$2&amp;DJ$2)</f>
        <v>0</v>
      </c>
      <c r="DK167" s="208">
        <f>SUMIFS(領用表!$L:$L,領用表!$A:$A,DK$2,領用表!$E:$E,$B167)</f>
        <v>0</v>
      </c>
      <c r="DL167" s="296">
        <f>SUMIFS(領用表!$L:$L,領用表!$E:$E,$B167,領用表!$B:$B,DK$2&amp;DL$2)</f>
        <v>0</v>
      </c>
      <c r="DM167" s="296">
        <f>SUMIFS(領用表!$L:$L,領用表!$E:$E,$B167,領用表!$B:$B,$DK$2&amp;DM$2)</f>
        <v>0</v>
      </c>
      <c r="DN167" s="296">
        <f>SUMIFS(領用表!$L:$L,領用表!$E:$E,$B167,領用表!$B:$B,$DK$2&amp;DN$2)</f>
        <v>0</v>
      </c>
      <c r="DO167" s="296">
        <f>SUMIFS(領用表!$L:$L,領用表!$E:$E,$B167,領用表!$B:$B,$DK$2&amp;DO$2)</f>
        <v>0</v>
      </c>
      <c r="DP167" s="296">
        <f>SUMIFS(領用表!$L:$L,領用表!$E:$E,$B167,領用表!$B:$B,$DK$2&amp;DP$2)</f>
        <v>0</v>
      </c>
      <c r="DQ167" s="331">
        <f t="shared" si="49"/>
        <v>0</v>
      </c>
      <c r="DR167" s="331">
        <f t="shared" si="50"/>
        <v>0</v>
      </c>
      <c r="DS167" s="331">
        <f t="shared" si="48"/>
        <v>0</v>
      </c>
      <c r="DT167" s="339">
        <v>0</v>
      </c>
      <c r="DU167" s="339">
        <v>0</v>
      </c>
      <c r="DV167" s="339">
        <v>0</v>
      </c>
      <c r="DW167" s="339">
        <v>0</v>
      </c>
      <c r="DX167" s="258"/>
      <c r="DY167" s="340"/>
      <c r="DZ167" s="341"/>
      <c r="EA167" s="341"/>
      <c r="ED167" s="118">
        <f>IFERROR(VLOOKUP(A167,站前4樓!A:BF,57,0),0)</f>
        <v>0</v>
      </c>
      <c r="EE167" s="213">
        <f>IFERROR(VLOOKUP(A167,站前11樓!A:BE,57,0),0)</f>
        <v>0</v>
      </c>
      <c r="EF167" s="118">
        <f>IFERROR(VLOOKUP(A167,忠孝7樓!A:N,57,0),0)</f>
        <v>0</v>
      </c>
      <c r="EG167" s="118">
        <f>IFERROR(VLOOKUP(A167,忠孝國際醫學3樓!A:L,57,0),0)</f>
        <v>0</v>
      </c>
      <c r="EH167" s="118">
        <f t="shared" si="51"/>
        <v>0</v>
      </c>
    </row>
    <row r="168" spans="1:138" s="118" customFormat="1" ht="15.75" customHeight="1">
      <c r="A168" s="136" t="s">
        <v>196</v>
      </c>
      <c r="C168" s="136" t="s">
        <v>569</v>
      </c>
      <c r="D168" s="285"/>
      <c r="E168" s="198" t="s">
        <v>15</v>
      </c>
      <c r="F168" s="225">
        <f>SUMIF(站前4樓!B:B,B168,站前4樓!F:F)</f>
        <v>0</v>
      </c>
      <c r="G168" s="225">
        <f>SUMIF(站前11樓!B:B,B168,站前11樓!F:F)</f>
        <v>0</v>
      </c>
      <c r="H168" s="225">
        <f>SUMIF(忠孝7樓!B:B,B168,忠孝7樓!G:G)</f>
        <v>0</v>
      </c>
      <c r="I168" s="225">
        <f>SUMIF(忠孝國際醫學3樓!B:B,B168,忠孝國際醫學3樓!G:G)</f>
        <v>0</v>
      </c>
      <c r="J168" s="225">
        <f>SUMIF(忠孝健康7樓!B:B,B168,忠孝健康7樓!G:G)</f>
        <v>0</v>
      </c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83"/>
      <c r="AB168" s="283"/>
      <c r="AC168" s="283"/>
      <c r="AD168" s="283"/>
      <c r="AE168" s="283"/>
      <c r="AF168" s="283"/>
      <c r="AG168" s="283"/>
      <c r="AH168" s="283"/>
      <c r="AI168" s="283"/>
      <c r="AJ168" s="201"/>
      <c r="AK168" s="201"/>
      <c r="AL168" s="201"/>
      <c r="AM168" s="201"/>
      <c r="AN168" s="201"/>
      <c r="AO168" s="201"/>
      <c r="AP168" s="201"/>
      <c r="AQ168" s="201">
        <v>10</v>
      </c>
      <c r="AR168" s="201">
        <v>0</v>
      </c>
      <c r="AS168" s="201">
        <v>0</v>
      </c>
      <c r="AT168" s="201">
        <v>0</v>
      </c>
      <c r="AU168" s="201">
        <v>0</v>
      </c>
      <c r="AV168" s="283">
        <f t="shared" si="52"/>
        <v>10</v>
      </c>
      <c r="AW168" s="286">
        <f t="shared" si="53"/>
        <v>0.83333333333333337</v>
      </c>
      <c r="AX168" s="201">
        <v>0</v>
      </c>
      <c r="AY168" s="201">
        <v>0</v>
      </c>
      <c r="AZ168" s="201">
        <v>0</v>
      </c>
      <c r="BA168" s="201">
        <v>0</v>
      </c>
      <c r="BB168" s="201">
        <v>0</v>
      </c>
      <c r="BC168" s="203">
        <f>SUMIFS(領用表!$L:$L,領用表!$A:$A,BC$2,領用表!$E:$E,B168)</f>
        <v>0</v>
      </c>
      <c r="BD168" s="296">
        <f>SUMIFS(領用表!$L:$L,領用表!$E:$E,$B168,領用表!$B:$B,BC$2&amp;BD$2)</f>
        <v>0</v>
      </c>
      <c r="BE168" s="296">
        <f>SUMIFS(領用表!$L:$L,領用表!$E:$E,$B168,領用表!$B:$B,$BC$2&amp;BE$2)</f>
        <v>0</v>
      </c>
      <c r="BF168" s="296">
        <f>SUMIFS(領用表!$L:$L,領用表!$E:$E,$B168,領用表!$B:$B,$BC$2&amp;BF$2)</f>
        <v>0</v>
      </c>
      <c r="BG168" s="296">
        <f>SUMIFS(領用表!$L:$L,領用表!$E:$E,$B168,領用表!$B:$B,$BC$2&amp;BG$2)</f>
        <v>0</v>
      </c>
      <c r="BH168" s="203">
        <f>SUMIFS(領用表!$L:$L,領用表!$A:$A,BH$2,領用表!$E:$E,B168)</f>
        <v>0</v>
      </c>
      <c r="BI168" s="260">
        <f>SUMIFS(領用表!$L:$L,領用表!$E:$E,$B168,領用表!$B:$B,BH$2&amp;BI$2)</f>
        <v>0</v>
      </c>
      <c r="BJ168" s="260">
        <f>SUMIFS(領用表!$L:$L,領用表!$E:$E,$B168,領用表!$B:$B,$BH$2&amp;BJ$2)</f>
        <v>0</v>
      </c>
      <c r="BK168" s="260">
        <f>SUMIFS(領用表!$L:$L,領用表!$E:$E,$B168,領用表!$B:$B,$BH$2&amp;BK$2)</f>
        <v>0</v>
      </c>
      <c r="BL168" s="260">
        <f>SUMIFS(領用表!$L:$L,領用表!$E:$E,$B168,領用表!$B:$B,$BH$2&amp;BL$2)</f>
        <v>0</v>
      </c>
      <c r="BM168" s="203">
        <f>SUMIFS(領用表!$L:$L,領用表!$A:$A,BM$2,領用表!$E:$E,B168)</f>
        <v>0</v>
      </c>
      <c r="BN168" s="206">
        <f>SUMIFS(領用表!$L:$L,領用表!$E:$E,$B168,領用表!$B:$B,BM$2&amp;BN$2)</f>
        <v>0</v>
      </c>
      <c r="BO168" s="206">
        <f>SUMIFS(領用表!$L:$L,領用表!$E:$E,$B168,領用表!$B:$B,$BM$2&amp;BO$2)</f>
        <v>0</v>
      </c>
      <c r="BP168" s="288">
        <f>SUMIFS(領用表!$L:$L,領用表!$E:$E,$B168,領用表!$B:$B,$BM$2&amp;BP$2)</f>
        <v>0</v>
      </c>
      <c r="BQ168" s="287">
        <f>SUMIFS(領用表!$L:$L,領用表!$E:$E,$B168,領用表!$B:$B,$BM$2&amp;BQ$2)</f>
        <v>0</v>
      </c>
      <c r="BR168" s="203">
        <f>SUMIFS(領用表!$L:$L,領用表!$A:$A,BR$2,領用表!$E:$E,B168)</f>
        <v>0</v>
      </c>
      <c r="BS168" s="260">
        <f>SUMIFS(領用表!$L:$L,領用表!$E:$E,$B168,領用表!$B:$B,BR$2&amp;BS$2)</f>
        <v>0</v>
      </c>
      <c r="BT168" s="260">
        <f>SUMIFS(領用表!$L:$L,領用表!$E:$E,$B168,領用表!$B:$B,$BR$2&amp;BT$2)</f>
        <v>0</v>
      </c>
      <c r="BU168" s="260">
        <f>SUMIFS(領用表!$L:$L,領用表!$E:$E,$B168,領用表!$B:$B,$BR$2&amp;BU$2)</f>
        <v>0</v>
      </c>
      <c r="BV168" s="220">
        <f>SUMIFS(領用表!$L:$L,領用表!$E:$E,$B168,領用表!$B:$B,$BR$2&amp;BV$2)</f>
        <v>0</v>
      </c>
      <c r="BW168" s="208">
        <f>SUMIFS(領用表!$L:$L,領用表!$A:$A,BW$2,領用表!$E:$E,B168)</f>
        <v>0</v>
      </c>
      <c r="BX168" s="296">
        <f>SUMIFS(領用表!$L:$L,領用表!$E:$E,$B168,領用表!$B:$B,BW$2&amp;BX$2)</f>
        <v>0</v>
      </c>
      <c r="BY168" s="296">
        <f>SUMIFS(領用表!$L:$L,領用表!$E:$E,$B168,領用表!$B:$B,$BW$2&amp;BY$2)</f>
        <v>0</v>
      </c>
      <c r="BZ168" s="296">
        <f>SUMIFS(領用表!$L:$L,領用表!$E:$E,$B168,領用表!$B:$B,$BW$2&amp;BZ$2)</f>
        <v>0</v>
      </c>
      <c r="CA168" s="296">
        <f>SUMIFS(領用表!$L:$L,領用表!$E:$E,$B168,領用表!$B:$B,$BW$2&amp;CA$2)</f>
        <v>0</v>
      </c>
      <c r="CB168" s="208">
        <f>SUMIFS(領用表!$L:$L,領用表!$A:$A,CB$2,領用表!$E:$E,B168)</f>
        <v>0</v>
      </c>
      <c r="CC168" s="296">
        <f>SUMIFS(領用表!$L:$L,領用表!$E:$E,$B168,領用表!$B:$B,CB$2&amp;CC$2)</f>
        <v>0</v>
      </c>
      <c r="CD168" s="296">
        <f>SUMIFS(領用表!$L:$L,領用表!$E:$E,$B168,領用表!$B:$B,$CB$2&amp;CD$2)</f>
        <v>0</v>
      </c>
      <c r="CE168" s="296">
        <f>SUMIFS(領用表!$L:$L,領用表!$E:$E,$B168,領用表!$B:$B,$CB$2&amp;CE$2)</f>
        <v>0</v>
      </c>
      <c r="CF168" s="296">
        <f>SUMIFS(領用表!$L:$L,領用表!$E:$E,$B168,領用表!$B:$B,$CB$2&amp;CF$2)</f>
        <v>0</v>
      </c>
      <c r="CG168" s="335">
        <f>SUMIFS(領用表!$L:$L,領用表!$A:$A,CG$2,領用表!$E:$E,B168)</f>
        <v>0</v>
      </c>
      <c r="CH168" s="339">
        <f>SUMIFS(領用表!$L:$L,領用表!$E:$E,$B168,領用表!$B:$B,CG$2&amp;CH$2)</f>
        <v>0</v>
      </c>
      <c r="CI168" s="339">
        <f>SUMIFS(領用表!$L:$L,領用表!$E:$E,$B168,領用表!$B:$B,CG$2&amp;CI$2)</f>
        <v>0</v>
      </c>
      <c r="CJ168" s="339">
        <f>SUMIFS(領用表!$L:$L,領用表!$E:$E,$B168,領用表!$B:$B,CG$2&amp;CJ$2)</f>
        <v>0</v>
      </c>
      <c r="CK168" s="339">
        <f>SUMIFS(領用表!$L:$L,領用表!$E:$E,$B168,領用表!$B:$B,$CG$2&amp;CK$2)</f>
        <v>0</v>
      </c>
      <c r="CL168" s="207">
        <f t="shared" si="46"/>
        <v>0</v>
      </c>
      <c r="CM168" s="207">
        <f t="shared" si="47"/>
        <v>0</v>
      </c>
      <c r="CN168" s="208">
        <f>SUMIFS(領用表!$L:$L,領用表!$A:$A,CN$2,領用表!$E:$E,B168)</f>
        <v>0</v>
      </c>
      <c r="CO168" s="206">
        <f>SUMIFS(領用表!$L:$L,領用表!$E:$E,$B168,領用表!$B:$B,CN$2&amp;CO$2)</f>
        <v>0</v>
      </c>
      <c r="CP168" s="206">
        <f>SUMIFS(領用表!$L:$L,領用表!$E:$E,$B168,領用表!$B:$B,$CN$2&amp;CP$2)</f>
        <v>0</v>
      </c>
      <c r="CQ168" s="206">
        <f>SUMIFS(領用表!$L:$L,領用表!$E:$E,$B168,領用表!$B:$B,$CN$2&amp;CQ$2)</f>
        <v>0</v>
      </c>
      <c r="CR168" s="339">
        <f>SUMIFS(領用表!$L:$L,領用表!$E:$E,$B168,領用表!$B:$B,$CN$2&amp;CR$2)</f>
        <v>0</v>
      </c>
      <c r="CS168" s="208">
        <f>SUMIFS(領用表!$L:$L,領用表!$A:$A,CS$2,領用表!$E:$E,B168)</f>
        <v>0</v>
      </c>
      <c r="CT168" s="206">
        <f>SUMIFS(領用表!$L:$L,領用表!$E:$E,$B168,領用表!$B:$B,CS$2&amp;CT$2)</f>
        <v>0</v>
      </c>
      <c r="CU168" s="206">
        <f>SUMIFS(領用表!$L:$L,領用表!$E:$E,$B168,領用表!$B:$B,$CS$2&amp;CU$2)</f>
        <v>0</v>
      </c>
      <c r="CV168" s="206">
        <f>SUMIFS(領用表!$L:$L,領用表!$E:$E,$B168,領用表!$B:$B,$CS$2&amp;CV$2)</f>
        <v>0</v>
      </c>
      <c r="CW168" s="206">
        <f>SUMIFS(領用表!$L:$L,領用表!$E:$E,$B168,領用表!$B:$B,$CS$2&amp;CW$2)</f>
        <v>0</v>
      </c>
      <c r="CX168" s="206">
        <f>SUMIFS(領用表!$L:$L,領用表!$E:$E,$B168,領用表!$B:$B,$CS$2&amp;CX$2)</f>
        <v>0</v>
      </c>
      <c r="CY168" s="208">
        <f>SUMIFS(領用表!$L:$L,領用表!$A:$A,CY$2,領用表!$E:$E,B168)</f>
        <v>0</v>
      </c>
      <c r="CZ168" s="339">
        <f>SUMIFS(領用表!$L:$L,領用表!$E:$E,$B168,領用表!$B:$B,CY$2&amp;CZ$2)</f>
        <v>0</v>
      </c>
      <c r="DA168" s="339">
        <f>SUMIFS(領用表!$L:$L,領用表!$E:$E,$B168,領用表!$B:$B,$CY$2&amp;DA$2)</f>
        <v>0</v>
      </c>
      <c r="DB168" s="339">
        <f>SUMIFS(領用表!$L:$L,領用表!$E:$E,$B168,領用表!$B:$B,$CY$2&amp;DB$2)</f>
        <v>0</v>
      </c>
      <c r="DC168" s="339">
        <f>SUMIFS(領用表!$L:$L,領用表!$E:$E,$B168,領用表!$B:$B,$CY$2&amp;DC$2)</f>
        <v>0</v>
      </c>
      <c r="DD168" s="339">
        <f>SUMIFS(領用表!$L:$L,領用表!$E:$E,$B168,領用表!$B:$B,$CY$2&amp;DD$2)</f>
        <v>0</v>
      </c>
      <c r="DE168" s="208">
        <f>SUMIFS(領用表!$L:$L,領用表!$A:$A,DE$2,領用表!$E:$E,B168)</f>
        <v>0</v>
      </c>
      <c r="DF168" s="339">
        <f>SUMIFS(領用表!$L:$L,領用表!$E:$E,$B168,領用表!$B:$B,DE$2&amp;DF$2)</f>
        <v>0</v>
      </c>
      <c r="DG168" s="339">
        <f>SUMIFS(領用表!$L:$L,領用表!$E:$E,$B168,領用表!$B:$B,$DE$2&amp;DG$2)</f>
        <v>0</v>
      </c>
      <c r="DH168" s="339">
        <f>SUMIFS(領用表!$L:$L,領用表!$E:$E,$B168,領用表!$B:$B,$DE$2&amp;DH$2)</f>
        <v>0</v>
      </c>
      <c r="DI168" s="339">
        <f>SUMIFS(領用表!$L:$L,領用表!$E:$E,$B168,領用表!$B:$B,$DE$2&amp;DI$2)</f>
        <v>0</v>
      </c>
      <c r="DJ168" s="339">
        <f>SUMIFS(領用表!$L:$L,領用表!$E:$E,$B168,領用表!$B:$B,$DE$2&amp;DJ$2)</f>
        <v>0</v>
      </c>
      <c r="DK168" s="208">
        <f>SUMIFS(領用表!$L:$L,領用表!$A:$A,DK$2,領用表!$E:$E,$B168)</f>
        <v>0</v>
      </c>
      <c r="DL168" s="296">
        <f>SUMIFS(領用表!$L:$L,領用表!$E:$E,$B168,領用表!$B:$B,DK$2&amp;DL$2)</f>
        <v>0</v>
      </c>
      <c r="DM168" s="296">
        <f>SUMIFS(領用表!$L:$L,領用表!$E:$E,$B168,領用表!$B:$B,$DK$2&amp;DM$2)</f>
        <v>0</v>
      </c>
      <c r="DN168" s="296">
        <f>SUMIFS(領用表!$L:$L,領用表!$E:$E,$B168,領用表!$B:$B,$DK$2&amp;DN$2)</f>
        <v>0</v>
      </c>
      <c r="DO168" s="296">
        <f>SUMIFS(領用表!$L:$L,領用表!$E:$E,$B168,領用表!$B:$B,$DK$2&amp;DO$2)</f>
        <v>0</v>
      </c>
      <c r="DP168" s="296">
        <f>SUMIFS(領用表!$L:$L,領用表!$E:$E,$B168,領用表!$B:$B,$DK$2&amp;DP$2)</f>
        <v>0</v>
      </c>
      <c r="DQ168" s="331">
        <f t="shared" si="49"/>
        <v>0</v>
      </c>
      <c r="DR168" s="331">
        <f t="shared" si="50"/>
        <v>0</v>
      </c>
      <c r="DS168" s="331">
        <f t="shared" si="48"/>
        <v>0</v>
      </c>
      <c r="DT168" s="339">
        <v>0</v>
      </c>
      <c r="DU168" s="339">
        <v>0</v>
      </c>
      <c r="DV168" s="339">
        <v>0</v>
      </c>
      <c r="DW168" s="339">
        <v>0</v>
      </c>
      <c r="DX168" s="258"/>
      <c r="DY168" s="340"/>
      <c r="DZ168" s="341"/>
      <c r="EA168" s="341"/>
      <c r="EB168" s="136"/>
      <c r="EC168" s="136"/>
      <c r="ED168" s="118">
        <f>IFERROR(VLOOKUP(A168,站前4樓!A:BF,57,0),0)</f>
        <v>0</v>
      </c>
      <c r="EE168" s="213">
        <f>IFERROR(VLOOKUP(A168,站前11樓!A:BE,57,0),0)</f>
        <v>0</v>
      </c>
      <c r="EF168" s="118">
        <f>IFERROR(VLOOKUP(A168,忠孝7樓!A:N,57,0),0)</f>
        <v>0</v>
      </c>
      <c r="EG168" s="118">
        <f>IFERROR(VLOOKUP(A168,忠孝國際醫學3樓!A:L,57,0),0)</f>
        <v>0</v>
      </c>
      <c r="EH168" s="118">
        <f t="shared" si="51"/>
        <v>0</v>
      </c>
    </row>
    <row r="169" spans="1:138" s="118" customFormat="1" ht="15.75" customHeight="1">
      <c r="A169" s="136" t="s">
        <v>197</v>
      </c>
      <c r="B169" s="118">
        <v>6050007</v>
      </c>
      <c r="C169" s="136" t="s">
        <v>570</v>
      </c>
      <c r="D169" s="285"/>
      <c r="E169" s="198" t="s">
        <v>15</v>
      </c>
      <c r="F169" s="225">
        <f>SUMIF(站前4樓!B:B,B169,站前4樓!F:F)</f>
        <v>0</v>
      </c>
      <c r="G169" s="225">
        <f>SUMIF(站前11樓!B:B,B169,站前11樓!F:F)</f>
        <v>0</v>
      </c>
      <c r="H169" s="225">
        <f>SUMIF(忠孝7樓!B:B,B169,忠孝7樓!G:G)</f>
        <v>0</v>
      </c>
      <c r="I169" s="225">
        <f>SUMIF(忠孝國際醫學3樓!B:B,B169,忠孝國際醫學3樓!G:G)</f>
        <v>0</v>
      </c>
      <c r="J169" s="225">
        <f>SUMIF(忠孝健康7樓!B:B,B169,忠孝健康7樓!G:G)</f>
        <v>0</v>
      </c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83"/>
      <c r="AB169" s="283"/>
      <c r="AC169" s="283"/>
      <c r="AD169" s="283"/>
      <c r="AE169" s="283"/>
      <c r="AF169" s="283"/>
      <c r="AG169" s="283"/>
      <c r="AH169" s="283"/>
      <c r="AI169" s="283"/>
      <c r="AJ169" s="201"/>
      <c r="AK169" s="201"/>
      <c r="AL169" s="201"/>
      <c r="AM169" s="201"/>
      <c r="AN169" s="201"/>
      <c r="AO169" s="201"/>
      <c r="AP169" s="201"/>
      <c r="AQ169" s="201">
        <v>0</v>
      </c>
      <c r="AR169" s="201">
        <v>0</v>
      </c>
      <c r="AS169" s="201">
        <v>10</v>
      </c>
      <c r="AT169" s="201">
        <v>0</v>
      </c>
      <c r="AU169" s="201">
        <v>0</v>
      </c>
      <c r="AV169" s="283">
        <f t="shared" si="52"/>
        <v>10</v>
      </c>
      <c r="AW169" s="286">
        <f t="shared" si="53"/>
        <v>0.83333333333333337</v>
      </c>
      <c r="AX169" s="201">
        <v>0</v>
      </c>
      <c r="AY169" s="201">
        <v>0</v>
      </c>
      <c r="AZ169" s="201">
        <v>0</v>
      </c>
      <c r="BA169" s="201">
        <v>0</v>
      </c>
      <c r="BB169" s="201">
        <v>0</v>
      </c>
      <c r="BC169" s="203">
        <f>SUMIFS(領用表!$L:$L,領用表!$A:$A,BC$2,領用表!$E:$E,B169)</f>
        <v>0</v>
      </c>
      <c r="BD169" s="296">
        <f>SUMIFS(領用表!$L:$L,領用表!$E:$E,$B169,領用表!$B:$B,BC$2&amp;BD$2)</f>
        <v>0</v>
      </c>
      <c r="BE169" s="296">
        <f>SUMIFS(領用表!$L:$L,領用表!$E:$E,$B169,領用表!$B:$B,$BC$2&amp;BE$2)</f>
        <v>0</v>
      </c>
      <c r="BF169" s="296">
        <f>SUMIFS(領用表!$L:$L,領用表!$E:$E,$B169,領用表!$B:$B,$BC$2&amp;BF$2)</f>
        <v>0</v>
      </c>
      <c r="BG169" s="296">
        <f>SUMIFS(領用表!$L:$L,領用表!$E:$E,$B169,領用表!$B:$B,$BC$2&amp;BG$2)</f>
        <v>0</v>
      </c>
      <c r="BH169" s="203">
        <f>SUMIFS(領用表!$L:$L,領用表!$A:$A,BH$2,領用表!$E:$E,B169)</f>
        <v>0</v>
      </c>
      <c r="BI169" s="260">
        <f>SUMIFS(領用表!$L:$L,領用表!$E:$E,$B169,領用表!$B:$B,BH$2&amp;BI$2)</f>
        <v>0</v>
      </c>
      <c r="BJ169" s="260">
        <f>SUMIFS(領用表!$L:$L,領用表!$E:$E,$B169,領用表!$B:$B,$BH$2&amp;BJ$2)</f>
        <v>0</v>
      </c>
      <c r="BK169" s="260">
        <f>SUMIFS(領用表!$L:$L,領用表!$E:$E,$B169,領用表!$B:$B,$BH$2&amp;BK$2)</f>
        <v>0</v>
      </c>
      <c r="BL169" s="260">
        <f>SUMIFS(領用表!$L:$L,領用表!$E:$E,$B169,領用表!$B:$B,$BH$2&amp;BL$2)</f>
        <v>0</v>
      </c>
      <c r="BM169" s="203">
        <f>SUMIFS(領用表!$L:$L,領用表!$A:$A,BM$2,領用表!$E:$E,B169)</f>
        <v>0</v>
      </c>
      <c r="BN169" s="206">
        <f>SUMIFS(領用表!$L:$L,領用表!$E:$E,$B169,領用表!$B:$B,BM$2&amp;BN$2)</f>
        <v>0</v>
      </c>
      <c r="BO169" s="206">
        <f>SUMIFS(領用表!$L:$L,領用表!$E:$E,$B169,領用表!$B:$B,$BM$2&amp;BO$2)</f>
        <v>0</v>
      </c>
      <c r="BP169" s="288">
        <f>SUMIFS(領用表!$L:$L,領用表!$E:$E,$B169,領用表!$B:$B,$BM$2&amp;BP$2)</f>
        <v>0</v>
      </c>
      <c r="BQ169" s="287">
        <f>SUMIFS(領用表!$L:$L,領用表!$E:$E,$B169,領用表!$B:$B,$BM$2&amp;BQ$2)</f>
        <v>0</v>
      </c>
      <c r="BR169" s="203">
        <f>SUMIFS(領用表!$L:$L,領用表!$A:$A,BR$2,領用表!$E:$E,B169)</f>
        <v>0</v>
      </c>
      <c r="BS169" s="260">
        <f>SUMIFS(領用表!$L:$L,領用表!$E:$E,$B169,領用表!$B:$B,BR$2&amp;BS$2)</f>
        <v>0</v>
      </c>
      <c r="BT169" s="260">
        <f>SUMIFS(領用表!$L:$L,領用表!$E:$E,$B169,領用表!$B:$B,$BR$2&amp;BT$2)</f>
        <v>0</v>
      </c>
      <c r="BU169" s="260">
        <f>SUMIFS(領用表!$L:$L,領用表!$E:$E,$B169,領用表!$B:$B,$BR$2&amp;BU$2)</f>
        <v>0</v>
      </c>
      <c r="BV169" s="220">
        <f>SUMIFS(領用表!$L:$L,領用表!$E:$E,$B169,領用表!$B:$B,$BR$2&amp;BV$2)</f>
        <v>0</v>
      </c>
      <c r="BW169" s="208">
        <f>SUMIFS(領用表!$L:$L,領用表!$A:$A,BW$2,領用表!$E:$E,B169)</f>
        <v>0</v>
      </c>
      <c r="BX169" s="296">
        <f>SUMIFS(領用表!$L:$L,領用表!$E:$E,$B169,領用表!$B:$B,BW$2&amp;BX$2)</f>
        <v>0</v>
      </c>
      <c r="BY169" s="296">
        <f>SUMIFS(領用表!$L:$L,領用表!$E:$E,$B169,領用表!$B:$B,$BW$2&amp;BY$2)</f>
        <v>0</v>
      </c>
      <c r="BZ169" s="296">
        <f>SUMIFS(領用表!$L:$L,領用表!$E:$E,$B169,領用表!$B:$B,$BW$2&amp;BZ$2)</f>
        <v>0</v>
      </c>
      <c r="CA169" s="296">
        <f>SUMIFS(領用表!$L:$L,領用表!$E:$E,$B169,領用表!$B:$B,$BW$2&amp;CA$2)</f>
        <v>0</v>
      </c>
      <c r="CB169" s="208">
        <f>SUMIFS(領用表!$L:$L,領用表!$A:$A,CB$2,領用表!$E:$E,B169)</f>
        <v>0</v>
      </c>
      <c r="CC169" s="296">
        <f>SUMIFS(領用表!$L:$L,領用表!$E:$E,$B169,領用表!$B:$B,CB$2&amp;CC$2)</f>
        <v>0</v>
      </c>
      <c r="CD169" s="296">
        <f>SUMIFS(領用表!$L:$L,領用表!$E:$E,$B169,領用表!$B:$B,$CB$2&amp;CD$2)</f>
        <v>0</v>
      </c>
      <c r="CE169" s="296">
        <f>SUMIFS(領用表!$L:$L,領用表!$E:$E,$B169,領用表!$B:$B,$CB$2&amp;CE$2)</f>
        <v>0</v>
      </c>
      <c r="CF169" s="296">
        <f>SUMIFS(領用表!$L:$L,領用表!$E:$E,$B169,領用表!$B:$B,$CB$2&amp;CF$2)</f>
        <v>0</v>
      </c>
      <c r="CG169" s="335">
        <f>SUMIFS(領用表!$L:$L,領用表!$A:$A,CG$2,領用表!$E:$E,B169)</f>
        <v>0</v>
      </c>
      <c r="CH169" s="339">
        <f>SUMIFS(領用表!$L:$L,領用表!$E:$E,$B169,領用表!$B:$B,CG$2&amp;CH$2)</f>
        <v>0</v>
      </c>
      <c r="CI169" s="339">
        <f>SUMIFS(領用表!$L:$L,領用表!$E:$E,$B169,領用表!$B:$B,CG$2&amp;CI$2)</f>
        <v>0</v>
      </c>
      <c r="CJ169" s="339">
        <f>SUMIFS(領用表!$L:$L,領用表!$E:$E,$B169,領用表!$B:$B,CG$2&amp;CJ$2)</f>
        <v>0</v>
      </c>
      <c r="CK169" s="339">
        <f>SUMIFS(領用表!$L:$L,領用表!$E:$E,$B169,領用表!$B:$B,$CG$2&amp;CK$2)</f>
        <v>0</v>
      </c>
      <c r="CL169" s="207">
        <f t="shared" si="46"/>
        <v>0</v>
      </c>
      <c r="CM169" s="207">
        <f t="shared" si="47"/>
        <v>0</v>
      </c>
      <c r="CN169" s="208">
        <f>SUMIFS(領用表!$L:$L,領用表!$A:$A,CN$2,領用表!$E:$E,B169)</f>
        <v>0</v>
      </c>
      <c r="CO169" s="206">
        <f>SUMIFS(領用表!$L:$L,領用表!$E:$E,$B169,領用表!$B:$B,CN$2&amp;CO$2)</f>
        <v>0</v>
      </c>
      <c r="CP169" s="206">
        <f>SUMIFS(領用表!$L:$L,領用表!$E:$E,$B169,領用表!$B:$B,$CN$2&amp;CP$2)</f>
        <v>0</v>
      </c>
      <c r="CQ169" s="206">
        <f>SUMIFS(領用表!$L:$L,領用表!$E:$E,$B169,領用表!$B:$B,$CN$2&amp;CQ$2)</f>
        <v>0</v>
      </c>
      <c r="CR169" s="339">
        <f>SUMIFS(領用表!$L:$L,領用表!$E:$E,$B169,領用表!$B:$B,$CN$2&amp;CR$2)</f>
        <v>0</v>
      </c>
      <c r="CS169" s="208">
        <f>SUMIFS(領用表!$L:$L,領用表!$A:$A,CS$2,領用表!$E:$E,B169)</f>
        <v>0</v>
      </c>
      <c r="CT169" s="206">
        <f>SUMIFS(領用表!$L:$L,領用表!$E:$E,$B169,領用表!$B:$B,CS$2&amp;CT$2)</f>
        <v>0</v>
      </c>
      <c r="CU169" s="206">
        <f>SUMIFS(領用表!$L:$L,領用表!$E:$E,$B169,領用表!$B:$B,$CS$2&amp;CU$2)</f>
        <v>0</v>
      </c>
      <c r="CV169" s="206">
        <f>SUMIFS(領用表!$L:$L,領用表!$E:$E,$B169,領用表!$B:$B,$CS$2&amp;CV$2)</f>
        <v>0</v>
      </c>
      <c r="CW169" s="206">
        <f>SUMIFS(領用表!$L:$L,領用表!$E:$E,$B169,領用表!$B:$B,$CS$2&amp;CW$2)</f>
        <v>0</v>
      </c>
      <c r="CX169" s="206">
        <f>SUMIFS(領用表!$L:$L,領用表!$E:$E,$B169,領用表!$B:$B,$CS$2&amp;CX$2)</f>
        <v>0</v>
      </c>
      <c r="CY169" s="208">
        <f>SUMIFS(領用表!$L:$L,領用表!$A:$A,CY$2,領用表!$E:$E,B169)</f>
        <v>0</v>
      </c>
      <c r="CZ169" s="339">
        <f>SUMIFS(領用表!$L:$L,領用表!$E:$E,$B169,領用表!$B:$B,CY$2&amp;CZ$2)</f>
        <v>0</v>
      </c>
      <c r="DA169" s="339">
        <f>SUMIFS(領用表!$L:$L,領用表!$E:$E,$B169,領用表!$B:$B,$CY$2&amp;DA$2)</f>
        <v>0</v>
      </c>
      <c r="DB169" s="339">
        <f>SUMIFS(領用表!$L:$L,領用表!$E:$E,$B169,領用表!$B:$B,$CY$2&amp;DB$2)</f>
        <v>0</v>
      </c>
      <c r="DC169" s="339">
        <f>SUMIFS(領用表!$L:$L,領用表!$E:$E,$B169,領用表!$B:$B,$CY$2&amp;DC$2)</f>
        <v>0</v>
      </c>
      <c r="DD169" s="339">
        <f>SUMIFS(領用表!$L:$L,領用表!$E:$E,$B169,領用表!$B:$B,$CY$2&amp;DD$2)</f>
        <v>0</v>
      </c>
      <c r="DE169" s="208">
        <f>SUMIFS(領用表!$L:$L,領用表!$A:$A,DE$2,領用表!$E:$E,B169)</f>
        <v>0</v>
      </c>
      <c r="DF169" s="339">
        <f>SUMIFS(領用表!$L:$L,領用表!$E:$E,$B169,領用表!$B:$B,DE$2&amp;DF$2)</f>
        <v>0</v>
      </c>
      <c r="DG169" s="339">
        <f>SUMIFS(領用表!$L:$L,領用表!$E:$E,$B169,領用表!$B:$B,$DE$2&amp;DG$2)</f>
        <v>0</v>
      </c>
      <c r="DH169" s="339">
        <f>SUMIFS(領用表!$L:$L,領用表!$E:$E,$B169,領用表!$B:$B,$DE$2&amp;DH$2)</f>
        <v>0</v>
      </c>
      <c r="DI169" s="339">
        <f>SUMIFS(領用表!$L:$L,領用表!$E:$E,$B169,領用表!$B:$B,$DE$2&amp;DI$2)</f>
        <v>0</v>
      </c>
      <c r="DJ169" s="339">
        <f>SUMIFS(領用表!$L:$L,領用表!$E:$E,$B169,領用表!$B:$B,$DE$2&amp;DJ$2)</f>
        <v>0</v>
      </c>
      <c r="DK169" s="208">
        <f>SUMIFS(領用表!$L:$L,領用表!$A:$A,DK$2,領用表!$E:$E,$B169)</f>
        <v>0</v>
      </c>
      <c r="DL169" s="296">
        <f>SUMIFS(領用表!$L:$L,領用表!$E:$E,$B169,領用表!$B:$B,DK$2&amp;DL$2)</f>
        <v>0</v>
      </c>
      <c r="DM169" s="296">
        <f>SUMIFS(領用表!$L:$L,領用表!$E:$E,$B169,領用表!$B:$B,$DK$2&amp;DM$2)</f>
        <v>0</v>
      </c>
      <c r="DN169" s="296">
        <f>SUMIFS(領用表!$L:$L,領用表!$E:$E,$B169,領用表!$B:$B,$DK$2&amp;DN$2)</f>
        <v>0</v>
      </c>
      <c r="DO169" s="296">
        <f>SUMIFS(領用表!$L:$L,領用表!$E:$E,$B169,領用表!$B:$B,$DK$2&amp;DO$2)</f>
        <v>0</v>
      </c>
      <c r="DP169" s="296">
        <f>SUMIFS(領用表!$L:$L,領用表!$E:$E,$B169,領用表!$B:$B,$DK$2&amp;DP$2)</f>
        <v>0</v>
      </c>
      <c r="DQ169" s="331">
        <f t="shared" si="49"/>
        <v>0</v>
      </c>
      <c r="DR169" s="331">
        <f t="shared" si="50"/>
        <v>0</v>
      </c>
      <c r="DS169" s="331">
        <f t="shared" si="48"/>
        <v>0</v>
      </c>
      <c r="DT169" s="339">
        <v>0</v>
      </c>
      <c r="DU169" s="339">
        <v>0</v>
      </c>
      <c r="DV169" s="339">
        <v>0</v>
      </c>
      <c r="DW169" s="339">
        <v>0</v>
      </c>
      <c r="DX169" s="258"/>
      <c r="DY169" s="340"/>
      <c r="DZ169" s="341"/>
      <c r="EA169" s="341"/>
      <c r="EB169" s="136"/>
      <c r="EC169" s="136"/>
      <c r="ED169" s="118">
        <f>IFERROR(VLOOKUP(A169,站前4樓!A:BF,57,0),0)</f>
        <v>0</v>
      </c>
      <c r="EE169" s="213">
        <f>IFERROR(VLOOKUP(A169,站前11樓!A:BE,57,0),0)</f>
        <v>0</v>
      </c>
      <c r="EF169" s="118">
        <f>IFERROR(VLOOKUP(A169,忠孝7樓!A:N,57,0),0)</f>
        <v>0</v>
      </c>
      <c r="EG169" s="118">
        <f>IFERROR(VLOOKUP(A169,忠孝國際醫學3樓!A:L,57,0),0)</f>
        <v>0</v>
      </c>
      <c r="EH169" s="118">
        <f t="shared" si="51"/>
        <v>0</v>
      </c>
    </row>
    <row r="170" spans="1:138" s="118" customFormat="1" ht="15.75" customHeight="1">
      <c r="A170" s="136" t="s">
        <v>198</v>
      </c>
      <c r="B170" s="118">
        <v>6230002</v>
      </c>
      <c r="C170" s="136" t="s">
        <v>571</v>
      </c>
      <c r="D170" s="285"/>
      <c r="E170" s="198" t="s">
        <v>15</v>
      </c>
      <c r="F170" s="225">
        <f>SUMIF(站前4樓!B:B,B170,站前4樓!F:F)</f>
        <v>50</v>
      </c>
      <c r="G170" s="225">
        <f>SUMIF(站前11樓!B:B,B170,站前11樓!F:F)</f>
        <v>0</v>
      </c>
      <c r="H170" s="225">
        <f>SUMIF(忠孝7樓!B:B,B170,忠孝7樓!G:G)</f>
        <v>0</v>
      </c>
      <c r="I170" s="225">
        <f>SUMIF(忠孝國際醫學3樓!B:B,B170,忠孝國際醫學3樓!G:G)</f>
        <v>0</v>
      </c>
      <c r="J170" s="225">
        <f>SUMIF(忠孝健康7樓!B:B,B170,忠孝健康7樓!G:G)</f>
        <v>0</v>
      </c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  <c r="AA170" s="283"/>
      <c r="AB170" s="283"/>
      <c r="AC170" s="283"/>
      <c r="AD170" s="283"/>
      <c r="AE170" s="283"/>
      <c r="AF170" s="283"/>
      <c r="AG170" s="283"/>
      <c r="AH170" s="283"/>
      <c r="AI170" s="283"/>
      <c r="AJ170" s="201"/>
      <c r="AK170" s="201"/>
      <c r="AL170" s="201"/>
      <c r="AM170" s="201"/>
      <c r="AN170" s="201"/>
      <c r="AO170" s="201"/>
      <c r="AP170" s="201"/>
      <c r="AQ170" s="201">
        <v>0</v>
      </c>
      <c r="AR170" s="201">
        <v>10</v>
      </c>
      <c r="AS170" s="201">
        <v>20</v>
      </c>
      <c r="AT170" s="201">
        <v>0</v>
      </c>
      <c r="AU170" s="201">
        <v>0</v>
      </c>
      <c r="AV170" s="283">
        <f t="shared" si="52"/>
        <v>30</v>
      </c>
      <c r="AW170" s="286">
        <f t="shared" si="53"/>
        <v>2.5</v>
      </c>
      <c r="AX170" s="201">
        <v>0</v>
      </c>
      <c r="AY170" s="201">
        <v>0</v>
      </c>
      <c r="AZ170" s="201">
        <v>0</v>
      </c>
      <c r="BA170" s="201">
        <v>0</v>
      </c>
      <c r="BB170" s="201">
        <v>0</v>
      </c>
      <c r="BC170" s="203">
        <f>SUMIFS(領用表!$L:$L,領用表!$A:$A,BC$2,領用表!$E:$E,B170)</f>
        <v>0</v>
      </c>
      <c r="BD170" s="296">
        <f>SUMIFS(領用表!$L:$L,領用表!$E:$E,$B170,領用表!$B:$B,BC$2&amp;BD$2)</f>
        <v>0</v>
      </c>
      <c r="BE170" s="296">
        <f>SUMIFS(領用表!$L:$L,領用表!$E:$E,$B170,領用表!$B:$B,$BC$2&amp;BE$2)</f>
        <v>0</v>
      </c>
      <c r="BF170" s="296">
        <f>SUMIFS(領用表!$L:$L,領用表!$E:$E,$B170,領用表!$B:$B,$BC$2&amp;BF$2)</f>
        <v>0</v>
      </c>
      <c r="BG170" s="296">
        <f>SUMIFS(領用表!$L:$L,領用表!$E:$E,$B170,領用表!$B:$B,$BC$2&amp;BG$2)</f>
        <v>0</v>
      </c>
      <c r="BH170" s="203">
        <f>SUMIFS(領用表!$L:$L,領用表!$A:$A,BH$2,領用表!$E:$E,B170)</f>
        <v>0</v>
      </c>
      <c r="BI170" s="260">
        <f>SUMIFS(領用表!$L:$L,領用表!$E:$E,$B170,領用表!$B:$B,BH$2&amp;BI$2)</f>
        <v>0</v>
      </c>
      <c r="BJ170" s="260">
        <f>SUMIFS(領用表!$L:$L,領用表!$E:$E,$B170,領用表!$B:$B,$BH$2&amp;BJ$2)</f>
        <v>0</v>
      </c>
      <c r="BK170" s="260">
        <f>SUMIFS(領用表!$L:$L,領用表!$E:$E,$B170,領用表!$B:$B,$BH$2&amp;BK$2)</f>
        <v>0</v>
      </c>
      <c r="BL170" s="260">
        <f>SUMIFS(領用表!$L:$L,領用表!$E:$E,$B170,領用表!$B:$B,$BH$2&amp;BL$2)</f>
        <v>0</v>
      </c>
      <c r="BM170" s="203">
        <f>SUMIFS(領用表!$L:$L,領用表!$A:$A,BM$2,領用表!$E:$E,B170)</f>
        <v>0</v>
      </c>
      <c r="BN170" s="206">
        <f>SUMIFS(領用表!$L:$L,領用表!$E:$E,$B170,領用表!$B:$B,BM$2&amp;BN$2)</f>
        <v>0</v>
      </c>
      <c r="BO170" s="206">
        <f>SUMIFS(領用表!$L:$L,領用表!$E:$E,$B170,領用表!$B:$B,$BM$2&amp;BO$2)</f>
        <v>0</v>
      </c>
      <c r="BP170" s="288">
        <f>SUMIFS(領用表!$L:$L,領用表!$E:$E,$B170,領用表!$B:$B,$BM$2&amp;BP$2)</f>
        <v>0</v>
      </c>
      <c r="BQ170" s="287">
        <f>SUMIFS(領用表!$L:$L,領用表!$E:$E,$B170,領用表!$B:$B,$BM$2&amp;BQ$2)</f>
        <v>0</v>
      </c>
      <c r="BR170" s="203">
        <f>SUMIFS(領用表!$L:$L,領用表!$A:$A,BR$2,領用表!$E:$E,B170)</f>
        <v>0</v>
      </c>
      <c r="BS170" s="260">
        <f>SUMIFS(領用表!$L:$L,領用表!$E:$E,$B170,領用表!$B:$B,BR$2&amp;BS$2)</f>
        <v>0</v>
      </c>
      <c r="BT170" s="260">
        <f>SUMIFS(領用表!$L:$L,領用表!$E:$E,$B170,領用表!$B:$B,$BR$2&amp;BT$2)</f>
        <v>0</v>
      </c>
      <c r="BU170" s="260">
        <f>SUMIFS(領用表!$L:$L,領用表!$E:$E,$B170,領用表!$B:$B,$BR$2&amp;BU$2)</f>
        <v>0</v>
      </c>
      <c r="BV170" s="220">
        <f>SUMIFS(領用表!$L:$L,領用表!$E:$E,$B170,領用表!$B:$B,$BR$2&amp;BV$2)</f>
        <v>0</v>
      </c>
      <c r="BW170" s="208">
        <f>SUMIFS(領用表!$L:$L,領用表!$A:$A,BW$2,領用表!$E:$E,B170)</f>
        <v>0</v>
      </c>
      <c r="BX170" s="296">
        <f>SUMIFS(領用表!$L:$L,領用表!$E:$E,$B170,領用表!$B:$B,BW$2&amp;BX$2)</f>
        <v>0</v>
      </c>
      <c r="BY170" s="296">
        <f>SUMIFS(領用表!$L:$L,領用表!$E:$E,$B170,領用表!$B:$B,$BW$2&amp;BY$2)</f>
        <v>0</v>
      </c>
      <c r="BZ170" s="296">
        <f>SUMIFS(領用表!$L:$L,領用表!$E:$E,$B170,領用表!$B:$B,$BW$2&amp;BZ$2)</f>
        <v>0</v>
      </c>
      <c r="CA170" s="296">
        <f>SUMIFS(領用表!$L:$L,領用表!$E:$E,$B170,領用表!$B:$B,$BW$2&amp;CA$2)</f>
        <v>0</v>
      </c>
      <c r="CB170" s="208">
        <f>SUMIFS(領用表!$L:$L,領用表!$A:$A,CB$2,領用表!$E:$E,B170)</f>
        <v>0</v>
      </c>
      <c r="CC170" s="296">
        <f>SUMIFS(領用表!$L:$L,領用表!$E:$E,$B170,領用表!$B:$B,CB$2&amp;CC$2)</f>
        <v>0</v>
      </c>
      <c r="CD170" s="296">
        <f>SUMIFS(領用表!$L:$L,領用表!$E:$E,$B170,領用表!$B:$B,$CB$2&amp;CD$2)</f>
        <v>0</v>
      </c>
      <c r="CE170" s="296">
        <f>SUMIFS(領用表!$L:$L,領用表!$E:$E,$B170,領用表!$B:$B,$CB$2&amp;CE$2)</f>
        <v>0</v>
      </c>
      <c r="CF170" s="296">
        <f>SUMIFS(領用表!$L:$L,領用表!$E:$E,$B170,領用表!$B:$B,$CB$2&amp;CF$2)</f>
        <v>0</v>
      </c>
      <c r="CG170" s="335">
        <f>SUMIFS(領用表!$L:$L,領用表!$A:$A,CG$2,領用表!$E:$E,B170)</f>
        <v>0</v>
      </c>
      <c r="CH170" s="296">
        <f>SUMIFS(領用表!$L:$L,領用表!$E:$E,$B170,領用表!$B:$B,CG$2&amp;CH$2)</f>
        <v>0</v>
      </c>
      <c r="CI170" s="296">
        <f>SUMIFS(領用表!$L:$L,領用表!$E:$E,$B170,領用表!$B:$B,CG$2&amp;CI$2)</f>
        <v>0</v>
      </c>
      <c r="CJ170" s="296">
        <f>SUMIFS(領用表!$L:$L,領用表!$E:$E,$B170,領用表!$B:$B,CG$2&amp;CJ$2)</f>
        <v>0</v>
      </c>
      <c r="CK170" s="296">
        <f>SUMIFS(領用表!$L:$L,領用表!$E:$E,$B170,領用表!$B:$B,$CG$2&amp;CK$2)</f>
        <v>0</v>
      </c>
      <c r="CL170" s="207">
        <f t="shared" si="46"/>
        <v>0</v>
      </c>
      <c r="CM170" s="207">
        <f t="shared" si="47"/>
        <v>0</v>
      </c>
      <c r="CN170" s="208">
        <f>SUMIFS(領用表!$L:$L,領用表!$A:$A,CN$2,領用表!$E:$E,B170)</f>
        <v>0</v>
      </c>
      <c r="CO170" s="206">
        <f>SUMIFS(領用表!$L:$L,領用表!$E:$E,$B170,領用表!$B:$B,CN$2&amp;CO$2)</f>
        <v>0</v>
      </c>
      <c r="CP170" s="206">
        <f>SUMIFS(領用表!$L:$L,領用表!$E:$E,$B170,領用表!$B:$B,$CN$2&amp;CP$2)</f>
        <v>0</v>
      </c>
      <c r="CQ170" s="206">
        <f>SUMIFS(領用表!$L:$L,領用表!$E:$E,$B170,領用表!$B:$B,$CN$2&amp;CQ$2)</f>
        <v>0</v>
      </c>
      <c r="CR170" s="296">
        <f>SUMIFS(領用表!$L:$L,領用表!$E:$E,$B170,領用表!$B:$B,$CN$2&amp;CR$2)</f>
        <v>0</v>
      </c>
      <c r="CS170" s="208">
        <f>SUMIFS(領用表!$L:$L,領用表!$A:$A,CS$2,領用表!$E:$E,B170)</f>
        <v>0</v>
      </c>
      <c r="CT170" s="206">
        <f>SUMIFS(領用表!$L:$L,領用表!$E:$E,$B170,領用表!$B:$B,CS$2&amp;CT$2)</f>
        <v>0</v>
      </c>
      <c r="CU170" s="206">
        <f>SUMIFS(領用表!$L:$L,領用表!$E:$E,$B170,領用表!$B:$B,$CS$2&amp;CU$2)</f>
        <v>0</v>
      </c>
      <c r="CV170" s="206">
        <f>SUMIFS(領用表!$L:$L,領用表!$E:$E,$B170,領用表!$B:$B,$CS$2&amp;CV$2)</f>
        <v>0</v>
      </c>
      <c r="CW170" s="206">
        <f>SUMIFS(領用表!$L:$L,領用表!$E:$E,$B170,領用表!$B:$B,$CS$2&amp;CW$2)</f>
        <v>0</v>
      </c>
      <c r="CX170" s="206">
        <f>SUMIFS(領用表!$L:$L,領用表!$E:$E,$B170,領用表!$B:$B,$CS$2&amp;CX$2)</f>
        <v>0</v>
      </c>
      <c r="CY170" s="208">
        <f>SUMIFS(領用表!$L:$L,領用表!$A:$A,CY$2,領用表!$E:$E,B170)</f>
        <v>0</v>
      </c>
      <c r="CZ170" s="296">
        <f>SUMIFS(領用表!$L:$L,領用表!$E:$E,$B170,領用表!$B:$B,CY$2&amp;CZ$2)</f>
        <v>0</v>
      </c>
      <c r="DA170" s="296">
        <f>SUMIFS(領用表!$L:$L,領用表!$E:$E,$B170,領用表!$B:$B,$CY$2&amp;DA$2)</f>
        <v>0</v>
      </c>
      <c r="DB170" s="296">
        <f>SUMIFS(領用表!$L:$L,領用表!$E:$E,$B170,領用表!$B:$B,$CY$2&amp;DB$2)</f>
        <v>0</v>
      </c>
      <c r="DC170" s="296">
        <f>SUMIFS(領用表!$L:$L,領用表!$E:$E,$B170,領用表!$B:$B,$CY$2&amp;DC$2)</f>
        <v>0</v>
      </c>
      <c r="DD170" s="296">
        <f>SUMIFS(領用表!$L:$L,領用表!$E:$E,$B170,領用表!$B:$B,$CY$2&amp;DD$2)</f>
        <v>0</v>
      </c>
      <c r="DE170" s="208">
        <f>SUMIFS(領用表!$L:$L,領用表!$A:$A,DE$2,領用表!$E:$E,B170)</f>
        <v>0</v>
      </c>
      <c r="DF170" s="296">
        <f>SUMIFS(領用表!$L:$L,領用表!$E:$E,$B170,領用表!$B:$B,DE$2&amp;DF$2)</f>
        <v>0</v>
      </c>
      <c r="DG170" s="296">
        <f>SUMIFS(領用表!$L:$L,領用表!$E:$E,$B170,領用表!$B:$B,$DE$2&amp;DG$2)</f>
        <v>0</v>
      </c>
      <c r="DH170" s="296">
        <f>SUMIFS(領用表!$L:$L,領用表!$E:$E,$B170,領用表!$B:$B,$DE$2&amp;DH$2)</f>
        <v>0</v>
      </c>
      <c r="DI170" s="296">
        <f>SUMIFS(領用表!$L:$L,領用表!$E:$E,$B170,領用表!$B:$B,$DE$2&amp;DI$2)</f>
        <v>0</v>
      </c>
      <c r="DJ170" s="296">
        <f>SUMIFS(領用表!$L:$L,領用表!$E:$E,$B170,領用表!$B:$B,$DE$2&amp;DJ$2)</f>
        <v>0</v>
      </c>
      <c r="DK170" s="208">
        <f>SUMIFS(領用表!$L:$L,領用表!$A:$A,DK$2,領用表!$E:$E,$B170)</f>
        <v>0</v>
      </c>
      <c r="DL170" s="296">
        <f>SUMIFS(領用表!$L:$L,領用表!$E:$E,$B170,領用表!$B:$B,DK$2&amp;DL$2)</f>
        <v>0</v>
      </c>
      <c r="DM170" s="296">
        <f>SUMIFS(領用表!$L:$L,領用表!$E:$E,$B170,領用表!$B:$B,$DK$2&amp;DM$2)</f>
        <v>0</v>
      </c>
      <c r="DN170" s="296">
        <f>SUMIFS(領用表!$L:$L,領用表!$E:$E,$B170,領用表!$B:$B,$DK$2&amp;DN$2)</f>
        <v>0</v>
      </c>
      <c r="DO170" s="296">
        <f>SUMIFS(領用表!$L:$L,領用表!$E:$E,$B170,領用表!$B:$B,$DK$2&amp;DO$2)</f>
        <v>0</v>
      </c>
      <c r="DP170" s="296">
        <f>SUMIFS(領用表!$L:$L,領用表!$E:$E,$B170,領用表!$B:$B,$DK$2&amp;DP$2)</f>
        <v>0</v>
      </c>
      <c r="DQ170" s="296">
        <f t="shared" si="49"/>
        <v>0</v>
      </c>
      <c r="DR170" s="296">
        <f t="shared" si="50"/>
        <v>0</v>
      </c>
      <c r="DS170" s="296">
        <f t="shared" si="48"/>
        <v>0</v>
      </c>
      <c r="DT170" s="296">
        <v>0</v>
      </c>
      <c r="DU170" s="296">
        <v>0</v>
      </c>
      <c r="DV170" s="296">
        <v>0</v>
      </c>
      <c r="DW170" s="296">
        <v>0</v>
      </c>
      <c r="DX170" s="258"/>
      <c r="DY170" s="340"/>
      <c r="DZ170" s="341"/>
      <c r="EA170" s="341"/>
      <c r="EB170" s="136"/>
      <c r="EC170" s="136"/>
      <c r="ED170" s="118">
        <f>IFERROR(VLOOKUP(A170,站前4樓!A:BF,57,0),0)</f>
        <v>0</v>
      </c>
      <c r="EE170" s="213">
        <f>IFERROR(VLOOKUP(A170,站前11樓!A:BE,57,0),0)</f>
        <v>0</v>
      </c>
      <c r="EF170" s="118">
        <f>IFERROR(VLOOKUP(A170,忠孝7樓!A:N,57,0),0)</f>
        <v>0</v>
      </c>
      <c r="EG170" s="118">
        <f>IFERROR(VLOOKUP(A170,忠孝國際醫學3樓!A:L,57,0),0)</f>
        <v>0</v>
      </c>
      <c r="EH170" s="118">
        <f t="shared" si="51"/>
        <v>0</v>
      </c>
    </row>
    <row r="171" spans="1:138" s="118" customFormat="1" ht="15.75" customHeight="1">
      <c r="A171" s="136" t="s">
        <v>199</v>
      </c>
      <c r="C171" s="136" t="s">
        <v>572</v>
      </c>
      <c r="D171" s="285"/>
      <c r="E171" s="198" t="s">
        <v>15</v>
      </c>
      <c r="F171" s="225">
        <f>SUMIF(站前4樓!B:B,B171,站前4樓!F:F)</f>
        <v>0</v>
      </c>
      <c r="G171" s="225">
        <f>SUMIF(站前11樓!B:B,B171,站前11樓!F:F)</f>
        <v>0</v>
      </c>
      <c r="H171" s="225">
        <f>SUMIF(忠孝7樓!B:B,B171,忠孝7樓!G:G)</f>
        <v>0</v>
      </c>
      <c r="I171" s="225">
        <f>SUMIF(忠孝國際醫學3樓!B:B,B171,忠孝國際醫學3樓!G:G)</f>
        <v>0</v>
      </c>
      <c r="J171" s="225">
        <f>SUMIF(忠孝健康7樓!B:B,B171,忠孝健康7樓!G:G)</f>
        <v>0</v>
      </c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  <c r="AA171" s="283"/>
      <c r="AB171" s="283"/>
      <c r="AC171" s="283"/>
      <c r="AD171" s="283"/>
      <c r="AE171" s="283"/>
      <c r="AF171" s="283"/>
      <c r="AG171" s="283"/>
      <c r="AH171" s="283"/>
      <c r="AI171" s="283"/>
      <c r="AJ171" s="201"/>
      <c r="AK171" s="201"/>
      <c r="AL171" s="201"/>
      <c r="AM171" s="201"/>
      <c r="AN171" s="201"/>
      <c r="AO171" s="201"/>
      <c r="AP171" s="201"/>
      <c r="AQ171" s="201">
        <v>0</v>
      </c>
      <c r="AR171" s="201">
        <v>0</v>
      </c>
      <c r="AS171" s="201">
        <v>0</v>
      </c>
      <c r="AT171" s="201">
        <v>0</v>
      </c>
      <c r="AU171" s="201">
        <v>10</v>
      </c>
      <c r="AV171" s="283">
        <f t="shared" si="52"/>
        <v>10</v>
      </c>
      <c r="AW171" s="286">
        <f t="shared" si="53"/>
        <v>0.83333333333333337</v>
      </c>
      <c r="AX171" s="201">
        <v>10</v>
      </c>
      <c r="AY171" s="201">
        <v>37</v>
      </c>
      <c r="AZ171" s="201">
        <v>0</v>
      </c>
      <c r="BA171" s="201">
        <v>0</v>
      </c>
      <c r="BB171" s="201">
        <v>0</v>
      </c>
      <c r="BC171" s="203">
        <f>SUMIFS(領用表!$L:$L,領用表!$A:$A,BC$2,領用表!$E:$E,B171)</f>
        <v>0</v>
      </c>
      <c r="BD171" s="296">
        <f>SUMIFS(領用表!$L:$L,領用表!$E:$E,$B171,領用表!$B:$B,BC$2&amp;BD$2)</f>
        <v>0</v>
      </c>
      <c r="BE171" s="296">
        <f>SUMIFS(領用表!$L:$L,領用表!$E:$E,$B171,領用表!$B:$B,$BC$2&amp;BE$2)</f>
        <v>0</v>
      </c>
      <c r="BF171" s="296">
        <f>SUMIFS(領用表!$L:$L,領用表!$E:$E,$B171,領用表!$B:$B,$BC$2&amp;BF$2)</f>
        <v>0</v>
      </c>
      <c r="BG171" s="296">
        <f>SUMIFS(領用表!$L:$L,領用表!$E:$E,$B171,領用表!$B:$B,$BC$2&amp;BG$2)</f>
        <v>0</v>
      </c>
      <c r="BH171" s="203">
        <f>SUMIFS(領用表!$L:$L,領用表!$A:$A,BH$2,領用表!$E:$E,B171)</f>
        <v>0</v>
      </c>
      <c r="BI171" s="260">
        <f>SUMIFS(領用表!$L:$L,領用表!$E:$E,$B171,領用表!$B:$B,BH$2&amp;BI$2)</f>
        <v>0</v>
      </c>
      <c r="BJ171" s="260">
        <f>SUMIFS(領用表!$L:$L,領用表!$E:$E,$B171,領用表!$B:$B,$BH$2&amp;BJ$2)</f>
        <v>0</v>
      </c>
      <c r="BK171" s="260">
        <f>SUMIFS(領用表!$L:$L,領用表!$E:$E,$B171,領用表!$B:$B,$BH$2&amp;BK$2)</f>
        <v>0</v>
      </c>
      <c r="BL171" s="260">
        <f>SUMIFS(領用表!$L:$L,領用表!$E:$E,$B171,領用表!$B:$B,$BH$2&amp;BL$2)</f>
        <v>0</v>
      </c>
      <c r="BM171" s="203">
        <f>SUMIFS(領用表!$L:$L,領用表!$A:$A,BM$2,領用表!$E:$E,B171)</f>
        <v>0</v>
      </c>
      <c r="BN171" s="206">
        <f>SUMIFS(領用表!$L:$L,領用表!$E:$E,$B171,領用表!$B:$B,BM$2&amp;BN$2)</f>
        <v>0</v>
      </c>
      <c r="BO171" s="206">
        <f>SUMIFS(領用表!$L:$L,領用表!$E:$E,$B171,領用表!$B:$B,$BM$2&amp;BO$2)</f>
        <v>0</v>
      </c>
      <c r="BP171" s="288">
        <f>SUMIFS(領用表!$L:$L,領用表!$E:$E,$B171,領用表!$B:$B,$BM$2&amp;BP$2)</f>
        <v>0</v>
      </c>
      <c r="BQ171" s="287">
        <f>SUMIFS(領用表!$L:$L,領用表!$E:$E,$B171,領用表!$B:$B,$BM$2&amp;BQ$2)</f>
        <v>0</v>
      </c>
      <c r="BR171" s="203">
        <f>SUMIFS(領用表!$L:$L,領用表!$A:$A,BR$2,領用表!$E:$E,B171)</f>
        <v>0</v>
      </c>
      <c r="BS171" s="260">
        <f>SUMIFS(領用表!$L:$L,領用表!$E:$E,$B171,領用表!$B:$B,BR$2&amp;BS$2)</f>
        <v>0</v>
      </c>
      <c r="BT171" s="260">
        <f>SUMIFS(領用表!$L:$L,領用表!$E:$E,$B171,領用表!$B:$B,$BR$2&amp;BT$2)</f>
        <v>0</v>
      </c>
      <c r="BU171" s="260">
        <f>SUMIFS(領用表!$L:$L,領用表!$E:$E,$B171,領用表!$B:$B,$BR$2&amp;BU$2)</f>
        <v>0</v>
      </c>
      <c r="BV171" s="220">
        <f>SUMIFS(領用表!$L:$L,領用表!$E:$E,$B171,領用表!$B:$B,$BR$2&amp;BV$2)</f>
        <v>0</v>
      </c>
      <c r="BW171" s="208">
        <f>SUMIFS(領用表!$L:$L,領用表!$A:$A,BW$2,領用表!$E:$E,B171)</f>
        <v>0</v>
      </c>
      <c r="BX171" s="296">
        <f>SUMIFS(領用表!$L:$L,領用表!$E:$E,$B171,領用表!$B:$B,BW$2&amp;BX$2)</f>
        <v>0</v>
      </c>
      <c r="BY171" s="296">
        <f>SUMIFS(領用表!$L:$L,領用表!$E:$E,$B171,領用表!$B:$B,$BW$2&amp;BY$2)</f>
        <v>0</v>
      </c>
      <c r="BZ171" s="296">
        <f>SUMIFS(領用表!$L:$L,領用表!$E:$E,$B171,領用表!$B:$B,$BW$2&amp;BZ$2)</f>
        <v>0</v>
      </c>
      <c r="CA171" s="296">
        <f>SUMIFS(領用表!$L:$L,領用表!$E:$E,$B171,領用表!$B:$B,$BW$2&amp;CA$2)</f>
        <v>0</v>
      </c>
      <c r="CB171" s="208">
        <f>SUMIFS(領用表!$L:$L,領用表!$A:$A,CB$2,領用表!$E:$E,B171)</f>
        <v>0</v>
      </c>
      <c r="CC171" s="296">
        <f>SUMIFS(領用表!$L:$L,領用表!$E:$E,$B171,領用表!$B:$B,CB$2&amp;CC$2)</f>
        <v>0</v>
      </c>
      <c r="CD171" s="296">
        <f>SUMIFS(領用表!$L:$L,領用表!$E:$E,$B171,領用表!$B:$B,$CB$2&amp;CD$2)</f>
        <v>0</v>
      </c>
      <c r="CE171" s="296">
        <f>SUMIFS(領用表!$L:$L,領用表!$E:$E,$B171,領用表!$B:$B,$CB$2&amp;CE$2)</f>
        <v>0</v>
      </c>
      <c r="CF171" s="296">
        <f>SUMIFS(領用表!$L:$L,領用表!$E:$E,$B171,領用表!$B:$B,$CB$2&amp;CF$2)</f>
        <v>0</v>
      </c>
      <c r="CG171" s="335">
        <f>SUMIFS(領用表!$L:$L,領用表!$A:$A,CG$2,領用表!$E:$E,B171)</f>
        <v>0</v>
      </c>
      <c r="CH171" s="296">
        <f>SUMIFS(領用表!$L:$L,領用表!$E:$E,$B171,領用表!$B:$B,CG$2&amp;CH$2)</f>
        <v>0</v>
      </c>
      <c r="CI171" s="296">
        <f>SUMIFS(領用表!$L:$L,領用表!$E:$E,$B171,領用表!$B:$B,CG$2&amp;CI$2)</f>
        <v>0</v>
      </c>
      <c r="CJ171" s="296">
        <f>SUMIFS(領用表!$L:$L,領用表!$E:$E,$B171,領用表!$B:$B,CG$2&amp;CJ$2)</f>
        <v>0</v>
      </c>
      <c r="CK171" s="296">
        <f>SUMIFS(領用表!$L:$L,領用表!$E:$E,$B171,領用表!$B:$B,$CG$2&amp;CK$2)</f>
        <v>0</v>
      </c>
      <c r="CL171" s="207">
        <f t="shared" si="46"/>
        <v>47</v>
      </c>
      <c r="CM171" s="207">
        <f t="shared" si="47"/>
        <v>3.9166666666666665</v>
      </c>
      <c r="CN171" s="208">
        <f>SUMIFS(領用表!$L:$L,領用表!$A:$A,CN$2,領用表!$E:$E,B171)</f>
        <v>0</v>
      </c>
      <c r="CO171" s="206">
        <f>SUMIFS(領用表!$L:$L,領用表!$E:$E,$B171,領用表!$B:$B,CN$2&amp;CO$2)</f>
        <v>0</v>
      </c>
      <c r="CP171" s="206">
        <f>SUMIFS(領用表!$L:$L,領用表!$E:$E,$B171,領用表!$B:$B,$CN$2&amp;CP$2)</f>
        <v>0</v>
      </c>
      <c r="CQ171" s="206">
        <f>SUMIFS(領用表!$L:$L,領用表!$E:$E,$B171,領用表!$B:$B,$CN$2&amp;CQ$2)</f>
        <v>0</v>
      </c>
      <c r="CR171" s="296">
        <f>SUMIFS(領用表!$L:$L,領用表!$E:$E,$B171,領用表!$B:$B,$CN$2&amp;CR$2)</f>
        <v>0</v>
      </c>
      <c r="CS171" s="208">
        <f>SUMIFS(領用表!$L:$L,領用表!$A:$A,CS$2,領用表!$E:$E,B171)</f>
        <v>0</v>
      </c>
      <c r="CT171" s="206">
        <f>SUMIFS(領用表!$L:$L,領用表!$E:$E,$B171,領用表!$B:$B,CS$2&amp;CT$2)</f>
        <v>0</v>
      </c>
      <c r="CU171" s="206">
        <f>SUMIFS(領用表!$L:$L,領用表!$E:$E,$B171,領用表!$B:$B,$CS$2&amp;CU$2)</f>
        <v>0</v>
      </c>
      <c r="CV171" s="206">
        <f>SUMIFS(領用表!$L:$L,領用表!$E:$E,$B171,領用表!$B:$B,$CS$2&amp;CV$2)</f>
        <v>0</v>
      </c>
      <c r="CW171" s="206">
        <f>SUMIFS(領用表!$L:$L,領用表!$E:$E,$B171,領用表!$B:$B,$CS$2&amp;CW$2)</f>
        <v>0</v>
      </c>
      <c r="CX171" s="206">
        <f>SUMIFS(領用表!$L:$L,領用表!$E:$E,$B171,領用表!$B:$B,$CS$2&amp;CX$2)</f>
        <v>0</v>
      </c>
      <c r="CY171" s="208">
        <f>SUMIFS(領用表!$L:$L,領用表!$A:$A,CY$2,領用表!$E:$E,B171)</f>
        <v>0</v>
      </c>
      <c r="CZ171" s="296">
        <f>SUMIFS(領用表!$L:$L,領用表!$E:$E,$B171,領用表!$B:$B,CY$2&amp;CZ$2)</f>
        <v>0</v>
      </c>
      <c r="DA171" s="296">
        <f>SUMIFS(領用表!$L:$L,領用表!$E:$E,$B171,領用表!$B:$B,$CY$2&amp;DA$2)</f>
        <v>0</v>
      </c>
      <c r="DB171" s="296">
        <f>SUMIFS(領用表!$L:$L,領用表!$E:$E,$B171,領用表!$B:$B,$CY$2&amp;DB$2)</f>
        <v>0</v>
      </c>
      <c r="DC171" s="296">
        <f>SUMIFS(領用表!$L:$L,領用表!$E:$E,$B171,領用表!$B:$B,$CY$2&amp;DC$2)</f>
        <v>0</v>
      </c>
      <c r="DD171" s="296">
        <f>SUMIFS(領用表!$L:$L,領用表!$E:$E,$B171,領用表!$B:$B,$CY$2&amp;DD$2)</f>
        <v>0</v>
      </c>
      <c r="DE171" s="208">
        <f>SUMIFS(領用表!$L:$L,領用表!$A:$A,DE$2,領用表!$E:$E,B171)</f>
        <v>0</v>
      </c>
      <c r="DF171" s="296">
        <f>SUMIFS(領用表!$L:$L,領用表!$E:$E,$B171,領用表!$B:$B,DE$2&amp;DF$2)</f>
        <v>0</v>
      </c>
      <c r="DG171" s="296">
        <f>SUMIFS(領用表!$L:$L,領用表!$E:$E,$B171,領用表!$B:$B,$DE$2&amp;DG$2)</f>
        <v>0</v>
      </c>
      <c r="DH171" s="296">
        <f>SUMIFS(領用表!$L:$L,領用表!$E:$E,$B171,領用表!$B:$B,$DE$2&amp;DH$2)</f>
        <v>0</v>
      </c>
      <c r="DI171" s="296">
        <f>SUMIFS(領用表!$L:$L,領用表!$E:$E,$B171,領用表!$B:$B,$DE$2&amp;DI$2)</f>
        <v>0</v>
      </c>
      <c r="DJ171" s="296">
        <f>SUMIFS(領用表!$L:$L,領用表!$E:$E,$B171,領用表!$B:$B,$DE$2&amp;DJ$2)</f>
        <v>0</v>
      </c>
      <c r="DK171" s="208">
        <f>SUMIFS(領用表!$L:$L,領用表!$A:$A,DK$2,領用表!$E:$E,$B171)</f>
        <v>0</v>
      </c>
      <c r="DL171" s="296">
        <f>SUMIFS(領用表!$L:$L,領用表!$E:$E,$B171,領用表!$B:$B,DK$2&amp;DL$2)</f>
        <v>0</v>
      </c>
      <c r="DM171" s="296">
        <f>SUMIFS(領用表!$L:$L,領用表!$E:$E,$B171,領用表!$B:$B,$DK$2&amp;DM$2)</f>
        <v>0</v>
      </c>
      <c r="DN171" s="296">
        <f>SUMIFS(領用表!$L:$L,領用表!$E:$E,$B171,領用表!$B:$B,$DK$2&amp;DN$2)</f>
        <v>0</v>
      </c>
      <c r="DO171" s="296">
        <f>SUMIFS(領用表!$L:$L,領用表!$E:$E,$B171,領用表!$B:$B,$DK$2&amp;DO$2)</f>
        <v>0</v>
      </c>
      <c r="DP171" s="296">
        <f>SUMIFS(領用表!$L:$L,領用表!$E:$E,$B171,領用表!$B:$B,$DK$2&amp;DP$2)</f>
        <v>0</v>
      </c>
      <c r="DQ171" s="296">
        <f t="shared" si="49"/>
        <v>0</v>
      </c>
      <c r="DR171" s="296">
        <f t="shared" si="50"/>
        <v>0</v>
      </c>
      <c r="DS171" s="296">
        <f t="shared" si="48"/>
        <v>0</v>
      </c>
      <c r="DT171" s="296">
        <v>0</v>
      </c>
      <c r="DU171" s="296">
        <v>0</v>
      </c>
      <c r="DV171" s="296">
        <v>0</v>
      </c>
      <c r="DW171" s="296">
        <v>0</v>
      </c>
      <c r="DX171" s="258"/>
      <c r="DY171" s="340"/>
      <c r="DZ171" s="340"/>
      <c r="EA171" s="340"/>
      <c r="EB171" s="136"/>
      <c r="EC171" s="136"/>
      <c r="ED171" s="118">
        <f>IFERROR(VLOOKUP(A171,站前4樓!A:BF,57,0),0)</f>
        <v>0</v>
      </c>
      <c r="EE171" s="213">
        <f>IFERROR(VLOOKUP(A171,站前11樓!A:BE,57,0),0)</f>
        <v>0</v>
      </c>
      <c r="EF171" s="118">
        <f>IFERROR(VLOOKUP(A171,忠孝7樓!A:N,57,0),0)</f>
        <v>0</v>
      </c>
      <c r="EG171" s="118">
        <f>IFERROR(VLOOKUP(A171,忠孝國際醫學3樓!A:L,57,0),0)</f>
        <v>0</v>
      </c>
      <c r="EH171" s="118">
        <f t="shared" si="51"/>
        <v>0</v>
      </c>
    </row>
    <row r="172" spans="1:138" s="118" customFormat="1" ht="15.75" customHeight="1">
      <c r="A172" s="136" t="s">
        <v>200</v>
      </c>
      <c r="B172" s="118">
        <v>6060002</v>
      </c>
      <c r="C172" s="136" t="s">
        <v>573</v>
      </c>
      <c r="D172" s="285"/>
      <c r="E172" s="198" t="s">
        <v>15</v>
      </c>
      <c r="F172" s="225">
        <f>SUMIF(站前4樓!B:B,B172,站前4樓!F:F)</f>
        <v>0</v>
      </c>
      <c r="G172" s="225">
        <f>SUMIF(站前11樓!B:B,B172,站前11樓!F:F)</f>
        <v>0</v>
      </c>
      <c r="H172" s="225">
        <f>SUMIF(忠孝7樓!B:B,B172,忠孝7樓!G:G)</f>
        <v>0</v>
      </c>
      <c r="I172" s="225">
        <f>SUMIF(忠孝國際醫學3樓!B:B,B172,忠孝國際醫學3樓!G:G)</f>
        <v>0</v>
      </c>
      <c r="J172" s="225">
        <f>SUMIF(忠孝健康7樓!B:B,B172,忠孝健康7樓!G:G)</f>
        <v>0</v>
      </c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83"/>
      <c r="AB172" s="283"/>
      <c r="AC172" s="283"/>
      <c r="AD172" s="283"/>
      <c r="AE172" s="283"/>
      <c r="AF172" s="283"/>
      <c r="AG172" s="283"/>
      <c r="AH172" s="283"/>
      <c r="AI172" s="283"/>
      <c r="AJ172" s="201"/>
      <c r="AK172" s="201"/>
      <c r="AL172" s="201"/>
      <c r="AM172" s="201"/>
      <c r="AN172" s="201"/>
      <c r="AO172" s="201"/>
      <c r="AP172" s="201"/>
      <c r="AQ172" s="201">
        <v>0</v>
      </c>
      <c r="AR172" s="201">
        <v>0</v>
      </c>
      <c r="AS172" s="201">
        <v>0</v>
      </c>
      <c r="AT172" s="201">
        <v>800</v>
      </c>
      <c r="AU172" s="201">
        <v>200</v>
      </c>
      <c r="AV172" s="283">
        <f t="shared" si="52"/>
        <v>1000</v>
      </c>
      <c r="AW172" s="286">
        <f t="shared" si="53"/>
        <v>83.333333333333329</v>
      </c>
      <c r="AX172" s="201">
        <v>0</v>
      </c>
      <c r="AY172" s="201">
        <v>0</v>
      </c>
      <c r="AZ172" s="201">
        <v>200</v>
      </c>
      <c r="BA172" s="201">
        <v>0</v>
      </c>
      <c r="BB172" s="201">
        <v>0</v>
      </c>
      <c r="BC172" s="203">
        <f>SUMIFS(領用表!$L:$L,領用表!$A:$A,BC$2,領用表!$E:$E,B172)</f>
        <v>0</v>
      </c>
      <c r="BD172" s="296">
        <f>SUMIFS(領用表!$L:$L,領用表!$E:$E,$B172,領用表!$B:$B,BC$2&amp;BD$2)</f>
        <v>0</v>
      </c>
      <c r="BE172" s="296">
        <f>SUMIFS(領用表!$L:$L,領用表!$E:$E,$B172,領用表!$B:$B,$BC$2&amp;BE$2)</f>
        <v>0</v>
      </c>
      <c r="BF172" s="296">
        <f>SUMIFS(領用表!$L:$L,領用表!$E:$E,$B172,領用表!$B:$B,$BC$2&amp;BF$2)</f>
        <v>0</v>
      </c>
      <c r="BG172" s="296">
        <f>SUMIFS(領用表!$L:$L,領用表!$E:$E,$B172,領用表!$B:$B,$BC$2&amp;BG$2)</f>
        <v>0</v>
      </c>
      <c r="BH172" s="203">
        <f>SUMIFS(領用表!$L:$L,領用表!$A:$A,BH$2,領用表!$E:$E,B172)</f>
        <v>0</v>
      </c>
      <c r="BI172" s="260">
        <f>SUMIFS(領用表!$L:$L,領用表!$E:$E,$B172,領用表!$B:$B,BH$2&amp;BI$2)</f>
        <v>0</v>
      </c>
      <c r="BJ172" s="260">
        <f>SUMIFS(領用表!$L:$L,領用表!$E:$E,$B172,領用表!$B:$B,$BH$2&amp;BJ$2)</f>
        <v>0</v>
      </c>
      <c r="BK172" s="260">
        <f>SUMIFS(領用表!$L:$L,領用表!$E:$E,$B172,領用表!$B:$B,$BH$2&amp;BK$2)</f>
        <v>0</v>
      </c>
      <c r="BL172" s="260">
        <f>SUMIFS(領用表!$L:$L,領用表!$E:$E,$B172,領用表!$B:$B,$BH$2&amp;BL$2)</f>
        <v>0</v>
      </c>
      <c r="BM172" s="203">
        <f>SUMIFS(領用表!$L:$L,領用表!$A:$A,BM$2,領用表!$E:$E,B172)</f>
        <v>0</v>
      </c>
      <c r="BN172" s="206">
        <f>SUMIFS(領用表!$L:$L,領用表!$E:$E,$B172,領用表!$B:$B,BM$2&amp;BN$2)</f>
        <v>0</v>
      </c>
      <c r="BO172" s="206">
        <f>SUMIFS(領用表!$L:$L,領用表!$E:$E,$B172,領用表!$B:$B,$BM$2&amp;BO$2)</f>
        <v>0</v>
      </c>
      <c r="BP172" s="288">
        <f>SUMIFS(領用表!$L:$L,領用表!$E:$E,$B172,領用表!$B:$B,$BM$2&amp;BP$2)</f>
        <v>0</v>
      </c>
      <c r="BQ172" s="287">
        <f>SUMIFS(領用表!$L:$L,領用表!$E:$E,$B172,領用表!$B:$B,$BM$2&amp;BQ$2)</f>
        <v>0</v>
      </c>
      <c r="BR172" s="203">
        <f>SUMIFS(領用表!$L:$L,領用表!$A:$A,BR$2,領用表!$E:$E,B172)</f>
        <v>0</v>
      </c>
      <c r="BS172" s="260">
        <f>SUMIFS(領用表!$L:$L,領用表!$E:$E,$B172,領用表!$B:$B,BR$2&amp;BS$2)</f>
        <v>0</v>
      </c>
      <c r="BT172" s="260">
        <f>SUMIFS(領用表!$L:$L,領用表!$E:$E,$B172,領用表!$B:$B,$BR$2&amp;BT$2)</f>
        <v>0</v>
      </c>
      <c r="BU172" s="260">
        <f>SUMIFS(領用表!$L:$L,領用表!$E:$E,$B172,領用表!$B:$B,$BR$2&amp;BU$2)</f>
        <v>0</v>
      </c>
      <c r="BV172" s="220">
        <f>SUMIFS(領用表!$L:$L,領用表!$E:$E,$B172,領用表!$B:$B,$BR$2&amp;BV$2)</f>
        <v>0</v>
      </c>
      <c r="BW172" s="208">
        <f>SUMIFS(領用表!$L:$L,領用表!$A:$A,BW$2,領用表!$E:$E,B172)</f>
        <v>0</v>
      </c>
      <c r="BX172" s="296">
        <f>SUMIFS(領用表!$L:$L,領用表!$E:$E,$B172,領用表!$B:$B,BW$2&amp;BX$2)</f>
        <v>0</v>
      </c>
      <c r="BY172" s="296">
        <f>SUMIFS(領用表!$L:$L,領用表!$E:$E,$B172,領用表!$B:$B,$BW$2&amp;BY$2)</f>
        <v>0</v>
      </c>
      <c r="BZ172" s="296">
        <f>SUMIFS(領用表!$L:$L,領用表!$E:$E,$B172,領用表!$B:$B,$BW$2&amp;BZ$2)</f>
        <v>0</v>
      </c>
      <c r="CA172" s="296">
        <f>SUMIFS(領用表!$L:$L,領用表!$E:$E,$B172,領用表!$B:$B,$BW$2&amp;CA$2)</f>
        <v>0</v>
      </c>
      <c r="CB172" s="208">
        <f>SUMIFS(領用表!$L:$L,領用表!$A:$A,CB$2,領用表!$E:$E,B172)</f>
        <v>0</v>
      </c>
      <c r="CC172" s="296">
        <f>SUMIFS(領用表!$L:$L,領用表!$E:$E,$B172,領用表!$B:$B,CB$2&amp;CC$2)</f>
        <v>0</v>
      </c>
      <c r="CD172" s="296">
        <f>SUMIFS(領用表!$L:$L,領用表!$E:$E,$B172,領用表!$B:$B,$CB$2&amp;CD$2)</f>
        <v>0</v>
      </c>
      <c r="CE172" s="296">
        <f>SUMIFS(領用表!$L:$L,領用表!$E:$E,$B172,領用表!$B:$B,$CB$2&amp;CE$2)</f>
        <v>0</v>
      </c>
      <c r="CF172" s="296">
        <f>SUMIFS(領用表!$L:$L,領用表!$E:$E,$B172,領用表!$B:$B,$CB$2&amp;CF$2)</f>
        <v>0</v>
      </c>
      <c r="CG172" s="335">
        <f>SUMIFS(領用表!$L:$L,領用表!$A:$A,CG$2,領用表!$E:$E,B172)</f>
        <v>0</v>
      </c>
      <c r="CH172" s="296">
        <f>SUMIFS(領用表!$L:$L,領用表!$E:$E,$B172,領用表!$B:$B,CG$2&amp;CH$2)</f>
        <v>0</v>
      </c>
      <c r="CI172" s="296">
        <f>SUMIFS(領用表!$L:$L,領用表!$E:$E,$B172,領用表!$B:$B,CG$2&amp;CI$2)</f>
        <v>0</v>
      </c>
      <c r="CJ172" s="296">
        <f>SUMIFS(領用表!$L:$L,領用表!$E:$E,$B172,領用表!$B:$B,CG$2&amp;CJ$2)</f>
        <v>0</v>
      </c>
      <c r="CK172" s="296">
        <f>SUMIFS(領用表!$L:$L,領用表!$E:$E,$B172,領用表!$B:$B,$CG$2&amp;CK$2)</f>
        <v>0</v>
      </c>
      <c r="CL172" s="207">
        <f t="shared" si="46"/>
        <v>200</v>
      </c>
      <c r="CM172" s="207">
        <f t="shared" si="47"/>
        <v>16.666666666666668</v>
      </c>
      <c r="CN172" s="208">
        <f>SUMIFS(領用表!$L:$L,領用表!$A:$A,CN$2,領用表!$E:$E,B172)</f>
        <v>0</v>
      </c>
      <c r="CO172" s="206">
        <f>SUMIFS(領用表!$L:$L,領用表!$E:$E,$B172,領用表!$B:$B,CN$2&amp;CO$2)</f>
        <v>0</v>
      </c>
      <c r="CP172" s="206">
        <f>SUMIFS(領用表!$L:$L,領用表!$E:$E,$B172,領用表!$B:$B,$CN$2&amp;CP$2)</f>
        <v>0</v>
      </c>
      <c r="CQ172" s="206">
        <f>SUMIFS(領用表!$L:$L,領用表!$E:$E,$B172,領用表!$B:$B,$CN$2&amp;CQ$2)</f>
        <v>0</v>
      </c>
      <c r="CR172" s="296">
        <f>SUMIFS(領用表!$L:$L,領用表!$E:$E,$B172,領用表!$B:$B,$CN$2&amp;CR$2)</f>
        <v>0</v>
      </c>
      <c r="CS172" s="208">
        <f>SUMIFS(領用表!$L:$L,領用表!$A:$A,CS$2,領用表!$E:$E,B172)</f>
        <v>0</v>
      </c>
      <c r="CT172" s="206">
        <f>SUMIFS(領用表!$L:$L,領用表!$E:$E,$B172,領用表!$B:$B,CS$2&amp;CT$2)</f>
        <v>0</v>
      </c>
      <c r="CU172" s="206">
        <f>SUMIFS(領用表!$L:$L,領用表!$E:$E,$B172,領用表!$B:$B,$CS$2&amp;CU$2)</f>
        <v>0</v>
      </c>
      <c r="CV172" s="206">
        <f>SUMIFS(領用表!$L:$L,領用表!$E:$E,$B172,領用表!$B:$B,$CS$2&amp;CV$2)</f>
        <v>0</v>
      </c>
      <c r="CW172" s="206">
        <f>SUMIFS(領用表!$L:$L,領用表!$E:$E,$B172,領用表!$B:$B,$CS$2&amp;CW$2)</f>
        <v>0</v>
      </c>
      <c r="CX172" s="206">
        <f>SUMIFS(領用表!$L:$L,領用表!$E:$E,$B172,領用表!$B:$B,$CS$2&amp;CX$2)</f>
        <v>0</v>
      </c>
      <c r="CY172" s="208">
        <f>SUMIFS(領用表!$L:$L,領用表!$A:$A,CY$2,領用表!$E:$E,B172)</f>
        <v>0</v>
      </c>
      <c r="CZ172" s="296">
        <f>SUMIFS(領用表!$L:$L,領用表!$E:$E,$B172,領用表!$B:$B,CY$2&amp;CZ$2)</f>
        <v>0</v>
      </c>
      <c r="DA172" s="296">
        <f>SUMIFS(領用表!$L:$L,領用表!$E:$E,$B172,領用表!$B:$B,$CY$2&amp;DA$2)</f>
        <v>0</v>
      </c>
      <c r="DB172" s="296">
        <f>SUMIFS(領用表!$L:$L,領用表!$E:$E,$B172,領用表!$B:$B,$CY$2&amp;DB$2)</f>
        <v>0</v>
      </c>
      <c r="DC172" s="296">
        <f>SUMIFS(領用表!$L:$L,領用表!$E:$E,$B172,領用表!$B:$B,$CY$2&amp;DC$2)</f>
        <v>0</v>
      </c>
      <c r="DD172" s="296">
        <f>SUMIFS(領用表!$L:$L,領用表!$E:$E,$B172,領用表!$B:$B,$CY$2&amp;DD$2)</f>
        <v>0</v>
      </c>
      <c r="DE172" s="208">
        <f>SUMIFS(領用表!$L:$L,領用表!$A:$A,DE$2,領用表!$E:$E,B172)</f>
        <v>0</v>
      </c>
      <c r="DF172" s="296">
        <f>SUMIFS(領用表!$L:$L,領用表!$E:$E,$B172,領用表!$B:$B,DE$2&amp;DF$2)</f>
        <v>0</v>
      </c>
      <c r="DG172" s="296">
        <f>SUMIFS(領用表!$L:$L,領用表!$E:$E,$B172,領用表!$B:$B,$DE$2&amp;DG$2)</f>
        <v>0</v>
      </c>
      <c r="DH172" s="296">
        <f>SUMIFS(領用表!$L:$L,領用表!$E:$E,$B172,領用表!$B:$B,$DE$2&amp;DH$2)</f>
        <v>0</v>
      </c>
      <c r="DI172" s="296">
        <f>SUMIFS(領用表!$L:$L,領用表!$E:$E,$B172,領用表!$B:$B,$DE$2&amp;DI$2)</f>
        <v>0</v>
      </c>
      <c r="DJ172" s="296">
        <f>SUMIFS(領用表!$L:$L,領用表!$E:$E,$B172,領用表!$B:$B,$DE$2&amp;DJ$2)</f>
        <v>0</v>
      </c>
      <c r="DK172" s="208">
        <f>SUMIFS(領用表!$L:$L,領用表!$A:$A,DK$2,領用表!$E:$E,$B172)</f>
        <v>0</v>
      </c>
      <c r="DL172" s="296">
        <f>SUMIFS(領用表!$L:$L,領用表!$E:$E,$B172,領用表!$B:$B,DK$2&amp;DL$2)</f>
        <v>0</v>
      </c>
      <c r="DM172" s="296">
        <f>SUMIFS(領用表!$L:$L,領用表!$E:$E,$B172,領用表!$B:$B,$DK$2&amp;DM$2)</f>
        <v>0</v>
      </c>
      <c r="DN172" s="296">
        <f>SUMIFS(領用表!$L:$L,領用表!$E:$E,$B172,領用表!$B:$B,$DK$2&amp;DN$2)</f>
        <v>0</v>
      </c>
      <c r="DO172" s="296">
        <f>SUMIFS(領用表!$L:$L,領用表!$E:$E,$B172,領用表!$B:$B,$DK$2&amp;DO$2)</f>
        <v>0</v>
      </c>
      <c r="DP172" s="296">
        <f>SUMIFS(領用表!$L:$L,領用表!$E:$E,$B172,領用表!$B:$B,$DK$2&amp;DP$2)</f>
        <v>0</v>
      </c>
      <c r="DQ172" s="296">
        <f t="shared" si="49"/>
        <v>0</v>
      </c>
      <c r="DR172" s="296">
        <f t="shared" si="50"/>
        <v>0</v>
      </c>
      <c r="DS172" s="296">
        <f t="shared" si="48"/>
        <v>0</v>
      </c>
      <c r="DT172" s="296">
        <v>0</v>
      </c>
      <c r="DU172" s="296">
        <v>0</v>
      </c>
      <c r="DV172" s="296">
        <v>0</v>
      </c>
      <c r="DW172" s="296">
        <v>0</v>
      </c>
      <c r="DX172" s="258"/>
      <c r="DY172" s="340"/>
      <c r="DZ172" s="340"/>
      <c r="EA172" s="340"/>
      <c r="EB172" s="136"/>
      <c r="EC172" s="136"/>
      <c r="ED172" s="118">
        <f>IFERROR(VLOOKUP(A172,站前4樓!A:BF,57,0),0)</f>
        <v>0</v>
      </c>
      <c r="EE172" s="213">
        <f>IFERROR(VLOOKUP(A172,站前11樓!A:BE,57,0),0)</f>
        <v>0</v>
      </c>
      <c r="EF172" s="118">
        <f>IFERROR(VLOOKUP(A172,忠孝7樓!A:N,57,0),0)</f>
        <v>0</v>
      </c>
      <c r="EG172" s="118">
        <f>IFERROR(VLOOKUP(A172,忠孝國際醫學3樓!A:L,57,0),0)</f>
        <v>0</v>
      </c>
      <c r="EH172" s="118">
        <f t="shared" si="51"/>
        <v>0</v>
      </c>
    </row>
    <row r="173" spans="1:138" s="118" customFormat="1" ht="15.75" customHeight="1">
      <c r="A173" s="136" t="s">
        <v>201</v>
      </c>
      <c r="B173" s="118">
        <v>6230001</v>
      </c>
      <c r="C173" s="136" t="s">
        <v>574</v>
      </c>
      <c r="D173" s="285"/>
      <c r="E173" s="198" t="s">
        <v>15</v>
      </c>
      <c r="F173" s="225">
        <f>SUMIF(站前4樓!B:B,B173,站前4樓!F:F)</f>
        <v>0</v>
      </c>
      <c r="G173" s="225">
        <f>SUMIF(站前11樓!B:B,B173,站前11樓!F:F)</f>
        <v>0</v>
      </c>
      <c r="H173" s="225">
        <f>SUMIF(忠孝7樓!B:B,B173,忠孝7樓!G:G)</f>
        <v>0</v>
      </c>
      <c r="I173" s="225">
        <f>SUMIF(忠孝國際醫學3樓!B:B,B173,忠孝國際醫學3樓!G:G)</f>
        <v>0</v>
      </c>
      <c r="J173" s="225">
        <f>SUMIF(忠孝健康7樓!B:B,B173,忠孝健康7樓!G:G)</f>
        <v>0</v>
      </c>
      <c r="AJ173" s="348"/>
      <c r="AK173" s="348"/>
      <c r="AL173" s="348"/>
      <c r="AM173" s="348"/>
      <c r="AN173" s="348"/>
      <c r="AO173" s="348"/>
      <c r="AP173" s="348"/>
      <c r="AQ173" s="201">
        <v>0</v>
      </c>
      <c r="AR173" s="201">
        <v>0</v>
      </c>
      <c r="AS173" s="201">
        <v>0</v>
      </c>
      <c r="AT173" s="201">
        <v>800</v>
      </c>
      <c r="AU173" s="201">
        <v>200</v>
      </c>
      <c r="AV173" s="283">
        <f t="shared" si="52"/>
        <v>1000</v>
      </c>
      <c r="AW173" s="286">
        <f t="shared" si="53"/>
        <v>83.333333333333329</v>
      </c>
      <c r="AX173" s="201">
        <v>0</v>
      </c>
      <c r="AY173" s="201">
        <v>0</v>
      </c>
      <c r="AZ173" s="201">
        <v>200</v>
      </c>
      <c r="BA173" s="201">
        <v>0</v>
      </c>
      <c r="BB173" s="201">
        <v>0</v>
      </c>
      <c r="BC173" s="203">
        <f>SUMIFS(領用表!$L:$L,領用表!$A:$A,BC$2,領用表!$E:$E,B173)</f>
        <v>0</v>
      </c>
      <c r="BD173" s="296">
        <f>SUMIFS(領用表!$L:$L,領用表!$E:$E,$B173,領用表!$B:$B,BC$2&amp;BD$2)</f>
        <v>0</v>
      </c>
      <c r="BE173" s="296">
        <f>SUMIFS(領用表!$L:$L,領用表!$E:$E,$B173,領用表!$B:$B,$BC$2&amp;BE$2)</f>
        <v>0</v>
      </c>
      <c r="BF173" s="296">
        <f>SUMIFS(領用表!$L:$L,領用表!$E:$E,$B173,領用表!$B:$B,$BC$2&amp;BF$2)</f>
        <v>0</v>
      </c>
      <c r="BG173" s="296">
        <f>SUMIFS(領用表!$L:$L,領用表!$E:$E,$B173,領用表!$B:$B,$BC$2&amp;BG$2)</f>
        <v>0</v>
      </c>
      <c r="BH173" s="203">
        <f>SUMIFS(領用表!$L:$L,領用表!$A:$A,BH$2,領用表!$E:$E,B173)</f>
        <v>0</v>
      </c>
      <c r="BI173" s="260">
        <f>SUMIFS(領用表!$L:$L,領用表!$E:$E,$B173,領用表!$B:$B,BH$2&amp;BI$2)</f>
        <v>0</v>
      </c>
      <c r="BJ173" s="260">
        <f>SUMIFS(領用表!$L:$L,領用表!$E:$E,$B173,領用表!$B:$B,$BH$2&amp;BJ$2)</f>
        <v>0</v>
      </c>
      <c r="BK173" s="260">
        <f>SUMIFS(領用表!$L:$L,領用表!$E:$E,$B173,領用表!$B:$B,$BH$2&amp;BK$2)</f>
        <v>0</v>
      </c>
      <c r="BL173" s="260">
        <f>SUMIFS(領用表!$L:$L,領用表!$E:$E,$B173,領用表!$B:$B,$BH$2&amp;BL$2)</f>
        <v>0</v>
      </c>
      <c r="BM173" s="203">
        <f>SUMIFS(領用表!$L:$L,領用表!$A:$A,BM$2,領用表!$E:$E,B173)</f>
        <v>0</v>
      </c>
      <c r="BN173" s="206">
        <f>SUMIFS(領用表!$L:$L,領用表!$E:$E,$B173,領用表!$B:$B,BM$2&amp;BN$2)</f>
        <v>0</v>
      </c>
      <c r="BO173" s="206">
        <f>SUMIFS(領用表!$L:$L,領用表!$E:$E,$B173,領用表!$B:$B,$BM$2&amp;BO$2)</f>
        <v>0</v>
      </c>
      <c r="BP173" s="288">
        <f>SUMIFS(領用表!$L:$L,領用表!$E:$E,$B173,領用表!$B:$B,$BM$2&amp;BP$2)</f>
        <v>0</v>
      </c>
      <c r="BQ173" s="287">
        <f>SUMIFS(領用表!$L:$L,領用表!$E:$E,$B173,領用表!$B:$B,$BM$2&amp;BQ$2)</f>
        <v>0</v>
      </c>
      <c r="BR173" s="203">
        <f>SUMIFS(領用表!$L:$L,領用表!$A:$A,BR$2,領用表!$E:$E,B173)</f>
        <v>0</v>
      </c>
      <c r="BS173" s="260">
        <f>SUMIFS(領用表!$L:$L,領用表!$E:$E,$B173,領用表!$B:$B,BR$2&amp;BS$2)</f>
        <v>0</v>
      </c>
      <c r="BT173" s="260">
        <f>SUMIFS(領用表!$L:$L,領用表!$E:$E,$B173,領用表!$B:$B,$BR$2&amp;BT$2)</f>
        <v>0</v>
      </c>
      <c r="BU173" s="260">
        <f>SUMIFS(領用表!$L:$L,領用表!$E:$E,$B173,領用表!$B:$B,$BR$2&amp;BU$2)</f>
        <v>0</v>
      </c>
      <c r="BV173" s="220">
        <f>SUMIFS(領用表!$L:$L,領用表!$E:$E,$B173,領用表!$B:$B,$BR$2&amp;BV$2)</f>
        <v>0</v>
      </c>
      <c r="BW173" s="208">
        <f>SUMIFS(領用表!$L:$L,領用表!$A:$A,BW$2,領用表!$E:$E,B173)</f>
        <v>0</v>
      </c>
      <c r="BX173" s="296">
        <f>SUMIFS(領用表!$L:$L,領用表!$E:$E,$B173,領用表!$B:$B,BW$2&amp;BX$2)</f>
        <v>0</v>
      </c>
      <c r="BY173" s="296">
        <f>SUMIFS(領用表!$L:$L,領用表!$E:$E,$B173,領用表!$B:$B,$BW$2&amp;BY$2)</f>
        <v>0</v>
      </c>
      <c r="BZ173" s="296">
        <f>SUMIFS(領用表!$L:$L,領用表!$E:$E,$B173,領用表!$B:$B,$BW$2&amp;BZ$2)</f>
        <v>0</v>
      </c>
      <c r="CA173" s="296">
        <f>SUMIFS(領用表!$L:$L,領用表!$E:$E,$B173,領用表!$B:$B,$BW$2&amp;CA$2)</f>
        <v>0</v>
      </c>
      <c r="CB173" s="208">
        <f>SUMIFS(領用表!$L:$L,領用表!$A:$A,CB$2,領用表!$E:$E,B173)</f>
        <v>0</v>
      </c>
      <c r="CC173" s="296">
        <f>SUMIFS(領用表!$L:$L,領用表!$E:$E,$B173,領用表!$B:$B,CB$2&amp;CC$2)</f>
        <v>0</v>
      </c>
      <c r="CD173" s="296">
        <f>SUMIFS(領用表!$L:$L,領用表!$E:$E,$B173,領用表!$B:$B,$CB$2&amp;CD$2)</f>
        <v>0</v>
      </c>
      <c r="CE173" s="296">
        <f>SUMIFS(領用表!$L:$L,領用表!$E:$E,$B173,領用表!$B:$B,$CB$2&amp;CE$2)</f>
        <v>0</v>
      </c>
      <c r="CF173" s="296">
        <f>SUMIFS(領用表!$L:$L,領用表!$E:$E,$B173,領用表!$B:$B,$CB$2&amp;CF$2)</f>
        <v>0</v>
      </c>
      <c r="CG173" s="335">
        <f>SUMIFS(領用表!$L:$L,領用表!$A:$A,CG$2,領用表!$E:$E,B173)</f>
        <v>0</v>
      </c>
      <c r="CH173" s="296">
        <f>SUMIFS(領用表!$L:$L,領用表!$E:$E,$B173,領用表!$B:$B,CG$2&amp;CH$2)</f>
        <v>0</v>
      </c>
      <c r="CI173" s="296">
        <f>SUMIFS(領用表!$L:$L,領用表!$E:$E,$B173,領用表!$B:$B,CG$2&amp;CI$2)</f>
        <v>0</v>
      </c>
      <c r="CJ173" s="296">
        <f>SUMIFS(領用表!$L:$L,領用表!$E:$E,$B173,領用表!$B:$B,CG$2&amp;CJ$2)</f>
        <v>0</v>
      </c>
      <c r="CK173" s="296">
        <f>SUMIFS(領用表!$L:$L,領用表!$E:$E,$B173,領用表!$B:$B,$CG$2&amp;CK$2)</f>
        <v>0</v>
      </c>
      <c r="CL173" s="207">
        <f t="shared" si="46"/>
        <v>200</v>
      </c>
      <c r="CM173" s="207">
        <f t="shared" si="47"/>
        <v>16.666666666666668</v>
      </c>
      <c r="CN173" s="208">
        <f>SUMIFS(領用表!$L:$L,領用表!$A:$A,CN$2,領用表!$E:$E,B173)</f>
        <v>0</v>
      </c>
      <c r="CO173" s="206">
        <f>SUMIFS(領用表!$L:$L,領用表!$E:$E,$B173,領用表!$B:$B,CN$2&amp;CO$2)</f>
        <v>0</v>
      </c>
      <c r="CP173" s="206">
        <f>SUMIFS(領用表!$L:$L,領用表!$E:$E,$B173,領用表!$B:$B,$CN$2&amp;CP$2)</f>
        <v>0</v>
      </c>
      <c r="CQ173" s="206">
        <f>SUMIFS(領用表!$L:$L,領用表!$E:$E,$B173,領用表!$B:$B,$CN$2&amp;CQ$2)</f>
        <v>0</v>
      </c>
      <c r="CR173" s="296">
        <f>SUMIFS(領用表!$L:$L,領用表!$E:$E,$B173,領用表!$B:$B,$CN$2&amp;CR$2)</f>
        <v>0</v>
      </c>
      <c r="CS173" s="208">
        <f>SUMIFS(領用表!$L:$L,領用表!$A:$A,CS$2,領用表!$E:$E,B173)</f>
        <v>0</v>
      </c>
      <c r="CT173" s="206">
        <f>SUMIFS(領用表!$L:$L,領用表!$E:$E,$B173,領用表!$B:$B,CS$2&amp;CT$2)</f>
        <v>0</v>
      </c>
      <c r="CU173" s="206">
        <f>SUMIFS(領用表!$L:$L,領用表!$E:$E,$B173,領用表!$B:$B,$CS$2&amp;CU$2)</f>
        <v>0</v>
      </c>
      <c r="CV173" s="206">
        <f>SUMIFS(領用表!$L:$L,領用表!$E:$E,$B173,領用表!$B:$B,$CS$2&amp;CV$2)</f>
        <v>0</v>
      </c>
      <c r="CW173" s="206">
        <f>SUMIFS(領用表!$L:$L,領用表!$E:$E,$B173,領用表!$B:$B,$CS$2&amp;CW$2)</f>
        <v>0</v>
      </c>
      <c r="CX173" s="206">
        <f>SUMIFS(領用表!$L:$L,領用表!$E:$E,$B173,領用表!$B:$B,$CS$2&amp;CX$2)</f>
        <v>0</v>
      </c>
      <c r="CY173" s="208">
        <f>SUMIFS(領用表!$L:$L,領用表!$A:$A,CY$2,領用表!$E:$E,B173)</f>
        <v>0</v>
      </c>
      <c r="CZ173" s="296">
        <f>SUMIFS(領用表!$L:$L,領用表!$E:$E,$B173,領用表!$B:$B,CY$2&amp;CZ$2)</f>
        <v>0</v>
      </c>
      <c r="DA173" s="296">
        <f>SUMIFS(領用表!$L:$L,領用表!$E:$E,$B173,領用表!$B:$B,$CY$2&amp;DA$2)</f>
        <v>0</v>
      </c>
      <c r="DB173" s="296">
        <f>SUMIFS(領用表!$L:$L,領用表!$E:$E,$B173,領用表!$B:$B,$CY$2&amp;DB$2)</f>
        <v>0</v>
      </c>
      <c r="DC173" s="296">
        <f>SUMIFS(領用表!$L:$L,領用表!$E:$E,$B173,領用表!$B:$B,$CY$2&amp;DC$2)</f>
        <v>0</v>
      </c>
      <c r="DD173" s="296">
        <f>SUMIFS(領用表!$L:$L,領用表!$E:$E,$B173,領用表!$B:$B,$CY$2&amp;DD$2)</f>
        <v>0</v>
      </c>
      <c r="DE173" s="208">
        <f>SUMIFS(領用表!$L:$L,領用表!$A:$A,DE$2,領用表!$E:$E,B173)</f>
        <v>0</v>
      </c>
      <c r="DF173" s="296">
        <f>SUMIFS(領用表!$L:$L,領用表!$E:$E,$B173,領用表!$B:$B,DE$2&amp;DF$2)</f>
        <v>0</v>
      </c>
      <c r="DG173" s="296">
        <f>SUMIFS(領用表!$L:$L,領用表!$E:$E,$B173,領用表!$B:$B,$DE$2&amp;DG$2)</f>
        <v>0</v>
      </c>
      <c r="DH173" s="296">
        <f>SUMIFS(領用表!$L:$L,領用表!$E:$E,$B173,領用表!$B:$B,$DE$2&amp;DH$2)</f>
        <v>0</v>
      </c>
      <c r="DI173" s="296">
        <f>SUMIFS(領用表!$L:$L,領用表!$E:$E,$B173,領用表!$B:$B,$DE$2&amp;DI$2)</f>
        <v>0</v>
      </c>
      <c r="DJ173" s="296">
        <f>SUMIFS(領用表!$L:$L,領用表!$E:$E,$B173,領用表!$B:$B,$DE$2&amp;DJ$2)</f>
        <v>0</v>
      </c>
      <c r="DK173" s="208">
        <f>SUMIFS(領用表!$L:$L,領用表!$A:$A,DK$2,領用表!$E:$E,$B173)</f>
        <v>0</v>
      </c>
      <c r="DL173" s="296">
        <f>SUMIFS(領用表!$L:$L,領用表!$E:$E,$B173,領用表!$B:$B,DK$2&amp;DL$2)</f>
        <v>0</v>
      </c>
      <c r="DM173" s="296">
        <f>SUMIFS(領用表!$L:$L,領用表!$E:$E,$B173,領用表!$B:$B,$DK$2&amp;DM$2)</f>
        <v>0</v>
      </c>
      <c r="DN173" s="296">
        <f>SUMIFS(領用表!$L:$L,領用表!$E:$E,$B173,領用表!$B:$B,$DK$2&amp;DN$2)</f>
        <v>0</v>
      </c>
      <c r="DO173" s="296">
        <f>SUMIFS(領用表!$L:$L,領用表!$E:$E,$B173,領用表!$B:$B,$DK$2&amp;DO$2)</f>
        <v>0</v>
      </c>
      <c r="DP173" s="296">
        <f>SUMIFS(領用表!$L:$L,領用表!$E:$E,$B173,領用表!$B:$B,$DK$2&amp;DP$2)</f>
        <v>0</v>
      </c>
      <c r="DQ173" s="296">
        <f t="shared" si="49"/>
        <v>0</v>
      </c>
      <c r="DR173" s="296">
        <f t="shared" si="50"/>
        <v>0</v>
      </c>
      <c r="DS173" s="296">
        <f t="shared" si="48"/>
        <v>0</v>
      </c>
      <c r="DT173" s="296">
        <v>0</v>
      </c>
      <c r="DU173" s="296">
        <v>0</v>
      </c>
      <c r="DV173" s="296">
        <v>0</v>
      </c>
      <c r="DW173" s="296">
        <v>0</v>
      </c>
      <c r="DX173" s="258"/>
      <c r="DY173" s="340"/>
      <c r="DZ173" s="340"/>
      <c r="EA173" s="340"/>
      <c r="ED173" s="118">
        <f>IFERROR(VLOOKUP(A173,站前4樓!A:BF,57,0),0)</f>
        <v>0</v>
      </c>
      <c r="EE173" s="213">
        <f>IFERROR(VLOOKUP(A173,站前11樓!A:BE,57,0),0)</f>
        <v>0</v>
      </c>
      <c r="EF173" s="118">
        <f>IFERROR(VLOOKUP(A173,忠孝7樓!A:N,57,0),0)</f>
        <v>0</v>
      </c>
      <c r="EG173" s="118">
        <f>IFERROR(VLOOKUP(A173,忠孝國際醫學3樓!A:L,57,0),0)</f>
        <v>0</v>
      </c>
      <c r="EH173" s="118">
        <f t="shared" si="51"/>
        <v>0</v>
      </c>
    </row>
    <row r="174" spans="1:138" s="118" customFormat="1" ht="15.75" customHeight="1">
      <c r="A174" s="136" t="s">
        <v>202</v>
      </c>
      <c r="B174" s="118">
        <v>6070001</v>
      </c>
      <c r="C174" s="136" t="s">
        <v>575</v>
      </c>
      <c r="D174" s="285"/>
      <c r="E174" s="198" t="s">
        <v>15</v>
      </c>
      <c r="F174" s="225">
        <f>SUMIF(站前4樓!B:B,B174,站前4樓!F:F)</f>
        <v>0</v>
      </c>
      <c r="G174" s="225">
        <f>SUMIF(站前11樓!B:B,B174,站前11樓!F:F)</f>
        <v>0</v>
      </c>
      <c r="H174" s="225">
        <f>SUMIF(忠孝7樓!B:B,B174,忠孝7樓!G:G)</f>
        <v>0</v>
      </c>
      <c r="I174" s="225">
        <f>SUMIF(忠孝國際醫學3樓!B:B,B174,忠孝國際醫學3樓!G:G)</f>
        <v>0</v>
      </c>
      <c r="J174" s="225">
        <f>SUMIF(忠孝健康7樓!B:B,B174,忠孝健康7樓!G:G)</f>
        <v>0</v>
      </c>
      <c r="AJ174" s="348"/>
      <c r="AK174" s="348"/>
      <c r="AL174" s="348"/>
      <c r="AM174" s="348"/>
      <c r="AN174" s="348"/>
      <c r="AO174" s="348"/>
      <c r="AP174" s="348"/>
      <c r="AQ174" s="201">
        <v>0</v>
      </c>
      <c r="AR174" s="201">
        <v>0</v>
      </c>
      <c r="AS174" s="201">
        <v>0</v>
      </c>
      <c r="AT174" s="201">
        <v>5</v>
      </c>
      <c r="AU174" s="201">
        <v>0</v>
      </c>
      <c r="AV174" s="283">
        <f t="shared" si="52"/>
        <v>5</v>
      </c>
      <c r="AW174" s="286">
        <f t="shared" si="53"/>
        <v>0.41666666666666669</v>
      </c>
      <c r="AX174" s="201">
        <v>0</v>
      </c>
      <c r="AY174" s="201">
        <v>6</v>
      </c>
      <c r="AZ174" s="201">
        <v>0</v>
      </c>
      <c r="BA174" s="201">
        <v>0</v>
      </c>
      <c r="BB174" s="201">
        <v>0</v>
      </c>
      <c r="BC174" s="203">
        <f>SUMIFS(領用表!$L:$L,領用表!$A:$A,BC$2,領用表!$E:$E,B174)</f>
        <v>0</v>
      </c>
      <c r="BD174" s="296">
        <f>SUMIFS(領用表!$L:$L,領用表!$E:$E,$B174,領用表!$B:$B,BC$2&amp;BD$2)</f>
        <v>0</v>
      </c>
      <c r="BE174" s="296">
        <f>SUMIFS(領用表!$L:$L,領用表!$E:$E,$B174,領用表!$B:$B,$BC$2&amp;BE$2)</f>
        <v>0</v>
      </c>
      <c r="BF174" s="296">
        <f>SUMIFS(領用表!$L:$L,領用表!$E:$E,$B174,領用表!$B:$B,$BC$2&amp;BF$2)</f>
        <v>0</v>
      </c>
      <c r="BG174" s="296">
        <f>SUMIFS(領用表!$L:$L,領用表!$E:$E,$B174,領用表!$B:$B,$BC$2&amp;BG$2)</f>
        <v>0</v>
      </c>
      <c r="BH174" s="203">
        <f>SUMIFS(領用表!$L:$L,領用表!$A:$A,BH$2,領用表!$E:$E,B174)</f>
        <v>0</v>
      </c>
      <c r="BI174" s="260">
        <f>SUMIFS(領用表!$L:$L,領用表!$E:$E,$B174,領用表!$B:$B,BH$2&amp;BI$2)</f>
        <v>0</v>
      </c>
      <c r="BJ174" s="260">
        <f>SUMIFS(領用表!$L:$L,領用表!$E:$E,$B174,領用表!$B:$B,$BH$2&amp;BJ$2)</f>
        <v>0</v>
      </c>
      <c r="BK174" s="260">
        <f>SUMIFS(領用表!$L:$L,領用表!$E:$E,$B174,領用表!$B:$B,$BH$2&amp;BK$2)</f>
        <v>0</v>
      </c>
      <c r="BL174" s="260">
        <f>SUMIFS(領用表!$L:$L,領用表!$E:$E,$B174,領用表!$B:$B,$BH$2&amp;BL$2)</f>
        <v>0</v>
      </c>
      <c r="BM174" s="203">
        <f>SUMIFS(領用表!$L:$L,領用表!$A:$A,BM$2,領用表!$E:$E,B174)</f>
        <v>0</v>
      </c>
      <c r="BN174" s="206">
        <f>SUMIFS(領用表!$L:$L,領用表!$E:$E,$B174,領用表!$B:$B,BM$2&amp;BN$2)</f>
        <v>0</v>
      </c>
      <c r="BO174" s="206">
        <f>SUMIFS(領用表!$L:$L,領用表!$E:$E,$B174,領用表!$B:$B,$BM$2&amp;BO$2)</f>
        <v>0</v>
      </c>
      <c r="BP174" s="288">
        <f>SUMIFS(領用表!$L:$L,領用表!$E:$E,$B174,領用表!$B:$B,$BM$2&amp;BP$2)</f>
        <v>0</v>
      </c>
      <c r="BQ174" s="287">
        <f>SUMIFS(領用表!$L:$L,領用表!$E:$E,$B174,領用表!$B:$B,$BM$2&amp;BQ$2)</f>
        <v>0</v>
      </c>
      <c r="BR174" s="203">
        <f>SUMIFS(領用表!$L:$L,領用表!$A:$A,BR$2,領用表!$E:$E,B174)</f>
        <v>0</v>
      </c>
      <c r="BS174" s="260">
        <f>SUMIFS(領用表!$L:$L,領用表!$E:$E,$B174,領用表!$B:$B,BR$2&amp;BS$2)</f>
        <v>0</v>
      </c>
      <c r="BT174" s="260">
        <f>SUMIFS(領用表!$L:$L,領用表!$E:$E,$B174,領用表!$B:$B,$BR$2&amp;BT$2)</f>
        <v>0</v>
      </c>
      <c r="BU174" s="260">
        <f>SUMIFS(領用表!$L:$L,領用表!$E:$E,$B174,領用表!$B:$B,$BR$2&amp;BU$2)</f>
        <v>0</v>
      </c>
      <c r="BV174" s="220">
        <f>SUMIFS(領用表!$L:$L,領用表!$E:$E,$B174,領用表!$B:$B,$BR$2&amp;BV$2)</f>
        <v>0</v>
      </c>
      <c r="BW174" s="208">
        <f>SUMIFS(領用表!$L:$L,領用表!$A:$A,BW$2,領用表!$E:$E,B174)</f>
        <v>0</v>
      </c>
      <c r="BX174" s="296">
        <f>SUMIFS(領用表!$L:$L,領用表!$E:$E,$B174,領用表!$B:$B,BW$2&amp;BX$2)</f>
        <v>0</v>
      </c>
      <c r="BY174" s="296">
        <f>SUMIFS(領用表!$L:$L,領用表!$E:$E,$B174,領用表!$B:$B,$BW$2&amp;BY$2)</f>
        <v>0</v>
      </c>
      <c r="BZ174" s="296">
        <f>SUMIFS(領用表!$L:$L,領用表!$E:$E,$B174,領用表!$B:$B,$BW$2&amp;BZ$2)</f>
        <v>0</v>
      </c>
      <c r="CA174" s="296">
        <f>SUMIFS(領用表!$L:$L,領用表!$E:$E,$B174,領用表!$B:$B,$BW$2&amp;CA$2)</f>
        <v>0</v>
      </c>
      <c r="CB174" s="208">
        <f>SUMIFS(領用表!$L:$L,領用表!$A:$A,CB$2,領用表!$E:$E,B174)</f>
        <v>0</v>
      </c>
      <c r="CC174" s="296">
        <f>SUMIFS(領用表!$L:$L,領用表!$E:$E,$B174,領用表!$B:$B,CB$2&amp;CC$2)</f>
        <v>0</v>
      </c>
      <c r="CD174" s="296">
        <f>SUMIFS(領用表!$L:$L,領用表!$E:$E,$B174,領用表!$B:$B,$CB$2&amp;CD$2)</f>
        <v>0</v>
      </c>
      <c r="CE174" s="296">
        <f>SUMIFS(領用表!$L:$L,領用表!$E:$E,$B174,領用表!$B:$B,$CB$2&amp;CE$2)</f>
        <v>0</v>
      </c>
      <c r="CF174" s="296">
        <f>SUMIFS(領用表!$L:$L,領用表!$E:$E,$B174,領用表!$B:$B,$CB$2&amp;CF$2)</f>
        <v>0</v>
      </c>
      <c r="CG174" s="335">
        <f>SUMIFS(領用表!$L:$L,領用表!$A:$A,CG$2,領用表!$E:$E,B174)</f>
        <v>0</v>
      </c>
      <c r="CH174" s="296">
        <f>SUMIFS(領用表!$L:$L,領用表!$E:$E,$B174,領用表!$B:$B,CG$2&amp;CH$2)</f>
        <v>0</v>
      </c>
      <c r="CI174" s="296">
        <f>SUMIFS(領用表!$L:$L,領用表!$E:$E,$B174,領用表!$B:$B,CG$2&amp;CI$2)</f>
        <v>0</v>
      </c>
      <c r="CJ174" s="296">
        <f>SUMIFS(領用表!$L:$L,領用表!$E:$E,$B174,領用表!$B:$B,CG$2&amp;CJ$2)</f>
        <v>0</v>
      </c>
      <c r="CK174" s="296">
        <f>SUMIFS(領用表!$L:$L,領用表!$E:$E,$B174,領用表!$B:$B,$CG$2&amp;CK$2)</f>
        <v>0</v>
      </c>
      <c r="CL174" s="207">
        <f t="shared" ref="CL174:CL195" si="54">SUM(AX174,AY174,AZ174,BA174,BB174,BC174,BH174,BM174,BR174,BW174,CB174,CG174)</f>
        <v>6</v>
      </c>
      <c r="CM174" s="207">
        <f t="shared" ref="CM174:CM195" si="55">AVERAGE(AX174,AY174,AZ174,BA174,BB174,BC174,BH174,BM174,BR174,BW174,CB174,CG174)</f>
        <v>0.5</v>
      </c>
      <c r="CN174" s="208">
        <f>SUMIFS(領用表!$L:$L,領用表!$A:$A,CN$2,領用表!$E:$E,B174)</f>
        <v>0</v>
      </c>
      <c r="CO174" s="206">
        <f>SUMIFS(領用表!$L:$L,領用表!$E:$E,$B174,領用表!$B:$B,CN$2&amp;CO$2)</f>
        <v>0</v>
      </c>
      <c r="CP174" s="206">
        <f>SUMIFS(領用表!$L:$L,領用表!$E:$E,$B174,領用表!$B:$B,$CN$2&amp;CP$2)</f>
        <v>0</v>
      </c>
      <c r="CQ174" s="206">
        <f>SUMIFS(領用表!$L:$L,領用表!$E:$E,$B174,領用表!$B:$B,$CN$2&amp;CQ$2)</f>
        <v>0</v>
      </c>
      <c r="CR174" s="296">
        <f>SUMIFS(領用表!$L:$L,領用表!$E:$E,$B174,領用表!$B:$B,$CN$2&amp;CR$2)</f>
        <v>0</v>
      </c>
      <c r="CS174" s="208">
        <f>SUMIFS(領用表!$L:$L,領用表!$A:$A,CS$2,領用表!$E:$E,B174)</f>
        <v>0</v>
      </c>
      <c r="CT174" s="206">
        <f>SUMIFS(領用表!$L:$L,領用表!$E:$E,$B174,領用表!$B:$B,CS$2&amp;CT$2)</f>
        <v>0</v>
      </c>
      <c r="CU174" s="206">
        <f>SUMIFS(領用表!$L:$L,領用表!$E:$E,$B174,領用表!$B:$B,$CS$2&amp;CU$2)</f>
        <v>0</v>
      </c>
      <c r="CV174" s="206">
        <f>SUMIFS(領用表!$L:$L,領用表!$E:$E,$B174,領用表!$B:$B,$CS$2&amp;CV$2)</f>
        <v>0</v>
      </c>
      <c r="CW174" s="206">
        <f>SUMIFS(領用表!$L:$L,領用表!$E:$E,$B174,領用表!$B:$B,$CS$2&amp;CW$2)</f>
        <v>0</v>
      </c>
      <c r="CX174" s="206">
        <f>SUMIFS(領用表!$L:$L,領用表!$E:$E,$B174,領用表!$B:$B,$CS$2&amp;CX$2)</f>
        <v>0</v>
      </c>
      <c r="CY174" s="208">
        <f>SUMIFS(領用表!$L:$L,領用表!$A:$A,CY$2,領用表!$E:$E,B174)</f>
        <v>0</v>
      </c>
      <c r="CZ174" s="296">
        <f>SUMIFS(領用表!$L:$L,領用表!$E:$E,$B174,領用表!$B:$B,CY$2&amp;CZ$2)</f>
        <v>0</v>
      </c>
      <c r="DA174" s="296">
        <f>SUMIFS(領用表!$L:$L,領用表!$E:$E,$B174,領用表!$B:$B,$CY$2&amp;DA$2)</f>
        <v>0</v>
      </c>
      <c r="DB174" s="296">
        <f>SUMIFS(領用表!$L:$L,領用表!$E:$E,$B174,領用表!$B:$B,$CY$2&amp;DB$2)</f>
        <v>0</v>
      </c>
      <c r="DC174" s="296">
        <f>SUMIFS(領用表!$L:$L,領用表!$E:$E,$B174,領用表!$B:$B,$CY$2&amp;DC$2)</f>
        <v>0</v>
      </c>
      <c r="DD174" s="296">
        <f>SUMIFS(領用表!$L:$L,領用表!$E:$E,$B174,領用表!$B:$B,$CY$2&amp;DD$2)</f>
        <v>0</v>
      </c>
      <c r="DE174" s="208">
        <f>SUMIFS(領用表!$L:$L,領用表!$A:$A,DE$2,領用表!$E:$E,B174)</f>
        <v>0</v>
      </c>
      <c r="DF174" s="296">
        <f>SUMIFS(領用表!$L:$L,領用表!$E:$E,$B174,領用表!$B:$B,DE$2&amp;DF$2)</f>
        <v>0</v>
      </c>
      <c r="DG174" s="296">
        <f>SUMIFS(領用表!$L:$L,領用表!$E:$E,$B174,領用表!$B:$B,$DE$2&amp;DG$2)</f>
        <v>0</v>
      </c>
      <c r="DH174" s="296">
        <f>SUMIFS(領用表!$L:$L,領用表!$E:$E,$B174,領用表!$B:$B,$DE$2&amp;DH$2)</f>
        <v>0</v>
      </c>
      <c r="DI174" s="296">
        <f>SUMIFS(領用表!$L:$L,領用表!$E:$E,$B174,領用表!$B:$B,$DE$2&amp;DI$2)</f>
        <v>0</v>
      </c>
      <c r="DJ174" s="296">
        <f>SUMIFS(領用表!$L:$L,領用表!$E:$E,$B174,領用表!$B:$B,$DE$2&amp;DJ$2)</f>
        <v>0</v>
      </c>
      <c r="DK174" s="208">
        <f>SUMIFS(領用表!$L:$L,領用表!$A:$A,DK$2,領用表!$E:$E,$B174)</f>
        <v>0</v>
      </c>
      <c r="DL174" s="296">
        <f>SUMIFS(領用表!$L:$L,領用表!$E:$E,$B174,領用表!$B:$B,DK$2&amp;DL$2)</f>
        <v>0</v>
      </c>
      <c r="DM174" s="296">
        <f>SUMIFS(領用表!$L:$L,領用表!$E:$E,$B174,領用表!$B:$B,$DK$2&amp;DM$2)</f>
        <v>0</v>
      </c>
      <c r="DN174" s="296">
        <f>SUMIFS(領用表!$L:$L,領用表!$E:$E,$B174,領用表!$B:$B,$DK$2&amp;DN$2)</f>
        <v>0</v>
      </c>
      <c r="DO174" s="296">
        <f>SUMIFS(領用表!$L:$L,領用表!$E:$E,$B174,領用表!$B:$B,$DK$2&amp;DO$2)</f>
        <v>0</v>
      </c>
      <c r="DP174" s="296">
        <f>SUMIFS(領用表!$L:$L,領用表!$E:$E,$B174,領用表!$B:$B,$DK$2&amp;DP$2)</f>
        <v>0</v>
      </c>
      <c r="DQ174" s="296">
        <f t="shared" si="49"/>
        <v>0</v>
      </c>
      <c r="DR174" s="296">
        <f t="shared" si="50"/>
        <v>0</v>
      </c>
      <c r="DS174" s="296">
        <f t="shared" si="48"/>
        <v>0</v>
      </c>
      <c r="DT174" s="296">
        <v>0</v>
      </c>
      <c r="DU174" s="296">
        <v>0</v>
      </c>
      <c r="DV174" s="296">
        <v>0</v>
      </c>
      <c r="DW174" s="296">
        <v>0</v>
      </c>
      <c r="DX174" s="258"/>
      <c r="DY174" s="340"/>
      <c r="DZ174" s="340"/>
      <c r="EA174" s="340"/>
      <c r="ED174" s="118">
        <f>IFERROR(VLOOKUP(A174,站前4樓!A:BF,57,0),0)</f>
        <v>0</v>
      </c>
      <c r="EE174" s="213">
        <f>IFERROR(VLOOKUP(A174,站前11樓!A:BE,57,0),0)</f>
        <v>0</v>
      </c>
      <c r="EF174" s="118">
        <f>IFERROR(VLOOKUP(A174,忠孝7樓!A:N,57,0),0)</f>
        <v>0</v>
      </c>
      <c r="EG174" s="118">
        <f>IFERROR(VLOOKUP(A174,忠孝國際醫學3樓!A:L,57,0),0)</f>
        <v>0</v>
      </c>
      <c r="EH174" s="118">
        <f t="shared" si="51"/>
        <v>0</v>
      </c>
    </row>
    <row r="175" spans="1:138" s="118" customFormat="1" ht="15.75" customHeight="1">
      <c r="A175" s="136" t="s">
        <v>203</v>
      </c>
      <c r="C175" s="136" t="s">
        <v>635</v>
      </c>
      <c r="D175" s="285"/>
      <c r="E175" s="198" t="s">
        <v>15</v>
      </c>
      <c r="F175" s="225">
        <f>SUMIF(站前4樓!B:B,B175,站前4樓!F:F)</f>
        <v>0</v>
      </c>
      <c r="G175" s="225">
        <f>SUMIF(站前11樓!B:B,B175,站前11樓!F:F)</f>
        <v>0</v>
      </c>
      <c r="H175" s="225">
        <f>SUMIF(忠孝7樓!B:B,B175,忠孝7樓!G:G)</f>
        <v>0</v>
      </c>
      <c r="I175" s="225">
        <f>SUMIF(忠孝國際醫學3樓!B:B,B175,忠孝國際醫學3樓!G:G)</f>
        <v>0</v>
      </c>
      <c r="J175" s="225">
        <f>SUMIF(忠孝健康7樓!B:B,B175,忠孝健康7樓!G:G)</f>
        <v>0</v>
      </c>
      <c r="AJ175" s="348"/>
      <c r="AK175" s="348"/>
      <c r="AL175" s="348"/>
      <c r="AM175" s="348"/>
      <c r="AN175" s="348"/>
      <c r="AO175" s="348"/>
      <c r="AP175" s="348"/>
      <c r="AQ175" s="201">
        <v>0</v>
      </c>
      <c r="AR175" s="201">
        <f>171/15</f>
        <v>11.4</v>
      </c>
      <c r="AS175" s="201">
        <v>0</v>
      </c>
      <c r="AT175" s="201">
        <v>45</v>
      </c>
      <c r="AU175" s="201">
        <v>108</v>
      </c>
      <c r="AV175" s="283">
        <f t="shared" si="52"/>
        <v>164.4</v>
      </c>
      <c r="AW175" s="286">
        <f t="shared" si="53"/>
        <v>13.700000000000001</v>
      </c>
      <c r="AX175" s="201">
        <v>45</v>
      </c>
      <c r="AY175" s="201">
        <v>36</v>
      </c>
      <c r="AZ175" s="201">
        <v>0</v>
      </c>
      <c r="BA175" s="201">
        <v>0</v>
      </c>
      <c r="BB175" s="201">
        <v>0</v>
      </c>
      <c r="BC175" s="203">
        <f>SUMIFS(領用表!$L:$L,領用表!$A:$A,BC$2,領用表!$E:$E,B175)</f>
        <v>0</v>
      </c>
      <c r="BD175" s="296">
        <f>SUMIFS(領用表!$L:$L,領用表!$E:$E,$B175,領用表!$B:$B,BC$2&amp;BD$2)</f>
        <v>0</v>
      </c>
      <c r="BE175" s="296">
        <f>SUMIFS(領用表!$L:$L,領用表!$E:$E,$B175,領用表!$B:$B,$BC$2&amp;BE$2)</f>
        <v>0</v>
      </c>
      <c r="BF175" s="296">
        <f>SUMIFS(領用表!$L:$L,領用表!$E:$E,$B175,領用表!$B:$B,$BC$2&amp;BF$2)</f>
        <v>0</v>
      </c>
      <c r="BG175" s="296">
        <f>SUMIFS(領用表!$L:$L,領用表!$E:$E,$B175,領用表!$B:$B,$BC$2&amp;BG$2)</f>
        <v>0</v>
      </c>
      <c r="BH175" s="203">
        <f>SUMIFS(領用表!$L:$L,領用表!$A:$A,BH$2,領用表!$E:$E,B175)</f>
        <v>0</v>
      </c>
      <c r="BI175" s="260">
        <f>SUMIFS(領用表!$L:$L,領用表!$E:$E,$B175,領用表!$B:$B,BH$2&amp;BI$2)</f>
        <v>0</v>
      </c>
      <c r="BJ175" s="260">
        <f>SUMIFS(領用表!$L:$L,領用表!$E:$E,$B175,領用表!$B:$B,$BH$2&amp;BJ$2)</f>
        <v>0</v>
      </c>
      <c r="BK175" s="260">
        <f>SUMIFS(領用表!$L:$L,領用表!$E:$E,$B175,領用表!$B:$B,$BH$2&amp;BK$2)</f>
        <v>0</v>
      </c>
      <c r="BL175" s="260">
        <f>SUMIFS(領用表!$L:$L,領用表!$E:$E,$B175,領用表!$B:$B,$BH$2&amp;BL$2)</f>
        <v>0</v>
      </c>
      <c r="BM175" s="203">
        <f>SUMIFS(領用表!$L:$L,領用表!$A:$A,BM$2,領用表!$E:$E,B175)</f>
        <v>0</v>
      </c>
      <c r="BN175" s="206">
        <f>SUMIFS(領用表!$L:$L,領用表!$E:$E,$B175,領用表!$B:$B,BM$2&amp;BN$2)</f>
        <v>0</v>
      </c>
      <c r="BO175" s="206">
        <f>SUMIFS(領用表!$L:$L,領用表!$E:$E,$B175,領用表!$B:$B,$BM$2&amp;BO$2)</f>
        <v>0</v>
      </c>
      <c r="BP175" s="288">
        <f>SUMIFS(領用表!$L:$L,領用表!$E:$E,$B175,領用表!$B:$B,$BM$2&amp;BP$2)</f>
        <v>0</v>
      </c>
      <c r="BQ175" s="287">
        <f>SUMIFS(領用表!$L:$L,領用表!$E:$E,$B175,領用表!$B:$B,$BM$2&amp;BQ$2)</f>
        <v>0</v>
      </c>
      <c r="BR175" s="203">
        <f>SUMIFS(領用表!$L:$L,領用表!$A:$A,BR$2,領用表!$E:$E,B175)</f>
        <v>0</v>
      </c>
      <c r="BS175" s="260">
        <f>SUMIFS(領用表!$L:$L,領用表!$E:$E,$B175,領用表!$B:$B,BR$2&amp;BS$2)</f>
        <v>0</v>
      </c>
      <c r="BT175" s="260">
        <f>SUMIFS(領用表!$L:$L,領用表!$E:$E,$B175,領用表!$B:$B,$BR$2&amp;BT$2)</f>
        <v>0</v>
      </c>
      <c r="BU175" s="260">
        <f>SUMIFS(領用表!$L:$L,領用表!$E:$E,$B175,領用表!$B:$B,$BR$2&amp;BU$2)</f>
        <v>0</v>
      </c>
      <c r="BV175" s="220">
        <f>SUMIFS(領用表!$L:$L,領用表!$E:$E,$B175,領用表!$B:$B,$BR$2&amp;BV$2)</f>
        <v>0</v>
      </c>
      <c r="BW175" s="208">
        <f>SUMIFS(領用表!$L:$L,領用表!$A:$A,BW$2,領用表!$E:$E,B175)</f>
        <v>0</v>
      </c>
      <c r="BX175" s="206">
        <f>SUMIFS(領用表!$L:$L,領用表!$E:$E,$B175,領用表!$B:$B,BW$2&amp;BX$2)</f>
        <v>0</v>
      </c>
      <c r="BY175" s="206">
        <f>SUMIFS(領用表!$L:$L,領用表!$E:$E,$B175,領用表!$B:$B,$BW$2&amp;BY$2)</f>
        <v>0</v>
      </c>
      <c r="BZ175" s="206">
        <f>SUMIFS(領用表!$L:$L,領用表!$E:$E,$B175,領用表!$B:$B,$BW$2&amp;BZ$2)</f>
        <v>0</v>
      </c>
      <c r="CA175" s="206">
        <f>SUMIFS(領用表!$L:$L,領用表!$E:$E,$B175,領用表!$B:$B,$BW$2&amp;CA$2)</f>
        <v>0</v>
      </c>
      <c r="CB175" s="208">
        <f>SUMIFS(領用表!$L:$L,領用表!$A:$A,CB$2,領用表!$E:$E,B175)</f>
        <v>0</v>
      </c>
      <c r="CC175" s="206">
        <f>SUMIFS(領用表!$L:$L,領用表!$E:$E,$B175,領用表!$B:$B,CB$2&amp;CC$2)</f>
        <v>0</v>
      </c>
      <c r="CD175" s="206">
        <f>SUMIFS(領用表!$L:$L,領用表!$E:$E,$B175,領用表!$B:$B,$CB$2&amp;CD$2)</f>
        <v>0</v>
      </c>
      <c r="CE175" s="206">
        <f>SUMIFS(領用表!$L:$L,領用表!$E:$E,$B175,領用表!$B:$B,$CB$2&amp;CE$2)</f>
        <v>0</v>
      </c>
      <c r="CF175" s="206">
        <f>SUMIFS(領用表!$L:$L,領用表!$E:$E,$B175,領用表!$B:$B,$CB$2&amp;CF$2)</f>
        <v>0</v>
      </c>
      <c r="CG175" s="208">
        <f>SUMIFS(領用表!$L:$L,領用表!$A:$A,CG$2,領用表!$E:$E,B175)</f>
        <v>0</v>
      </c>
      <c r="CH175" s="296">
        <f>SUMIFS(領用表!$L:$L,領用表!$E:$E,$B175,領用表!$B:$B,CG$2&amp;CH$2)</f>
        <v>0</v>
      </c>
      <c r="CI175" s="296">
        <f>SUMIFS(領用表!$L:$L,領用表!$E:$E,$B175,領用表!$B:$B,CG$2&amp;CI$2)</f>
        <v>0</v>
      </c>
      <c r="CJ175" s="296">
        <f>SUMIFS(領用表!$L:$L,領用表!$E:$E,$B175,領用表!$B:$B,CG$2&amp;CJ$2)</f>
        <v>0</v>
      </c>
      <c r="CK175" s="296">
        <f>SUMIFS(領用表!$L:$L,領用表!$E:$E,$B175,領用表!$B:$B,$CG$2&amp;CK$2)</f>
        <v>0</v>
      </c>
      <c r="CL175" s="207">
        <f t="shared" si="54"/>
        <v>81</v>
      </c>
      <c r="CM175" s="207">
        <f t="shared" si="55"/>
        <v>6.75</v>
      </c>
      <c r="CN175" s="208">
        <f>SUMIFS(領用表!$L:$L,領用表!$A:$A,CN$2,領用表!$E:$E,B175)</f>
        <v>0</v>
      </c>
      <c r="CO175" s="206">
        <f>SUMIFS(領用表!$L:$L,領用表!$E:$E,$B175,領用表!$B:$B,CN$2&amp;CO$2)</f>
        <v>0</v>
      </c>
      <c r="CP175" s="206">
        <f>SUMIFS(領用表!$L:$L,領用表!$E:$E,$B175,領用表!$B:$B,$CN$2&amp;CP$2)</f>
        <v>0</v>
      </c>
      <c r="CQ175" s="206">
        <f>SUMIFS(領用表!$L:$L,領用表!$E:$E,$B175,領用表!$B:$B,$CN$2&amp;CQ$2)</f>
        <v>0</v>
      </c>
      <c r="CR175" s="296">
        <f>SUMIFS(領用表!$L:$L,領用表!$E:$E,$B175,領用表!$B:$B,$CN$2&amp;CR$2)</f>
        <v>0</v>
      </c>
      <c r="CS175" s="208">
        <f>SUMIFS(領用表!$L:$L,領用表!$A:$A,CS$2,領用表!$E:$E,B175)</f>
        <v>0</v>
      </c>
      <c r="CT175" s="206">
        <f>SUMIFS(領用表!$L:$L,領用表!$E:$E,$B175,領用表!$B:$B,CS$2&amp;CT$2)</f>
        <v>0</v>
      </c>
      <c r="CU175" s="206">
        <f>SUMIFS(領用表!$L:$L,領用表!$E:$E,$B175,領用表!$B:$B,$CS$2&amp;CU$2)</f>
        <v>0</v>
      </c>
      <c r="CV175" s="206">
        <f>SUMIFS(領用表!$L:$L,領用表!$E:$E,$B175,領用表!$B:$B,$CS$2&amp;CV$2)</f>
        <v>0</v>
      </c>
      <c r="CW175" s="206">
        <f>SUMIFS(領用表!$L:$L,領用表!$E:$E,$B175,領用表!$B:$B,$CS$2&amp;CW$2)</f>
        <v>0</v>
      </c>
      <c r="CX175" s="206">
        <f>SUMIFS(領用表!$L:$L,領用表!$E:$E,$B175,領用表!$B:$B,$CS$2&amp;CX$2)</f>
        <v>0</v>
      </c>
      <c r="CY175" s="208">
        <f>SUMIFS(領用表!$L:$L,領用表!$A:$A,CY$2,領用表!$E:$E,B175)</f>
        <v>0</v>
      </c>
      <c r="CZ175" s="296">
        <f>SUMIFS(領用表!$L:$L,領用表!$E:$E,$B175,領用表!$B:$B,CY$2&amp;CZ$2)</f>
        <v>0</v>
      </c>
      <c r="DA175" s="296">
        <f>SUMIFS(領用表!$L:$L,領用表!$E:$E,$B175,領用表!$B:$B,$CY$2&amp;DA$2)</f>
        <v>0</v>
      </c>
      <c r="DB175" s="296">
        <f>SUMIFS(領用表!$L:$L,領用表!$E:$E,$B175,領用表!$B:$B,$CY$2&amp;DB$2)</f>
        <v>0</v>
      </c>
      <c r="DC175" s="296">
        <f>SUMIFS(領用表!$L:$L,領用表!$E:$E,$B175,領用表!$B:$B,$CY$2&amp;DC$2)</f>
        <v>0</v>
      </c>
      <c r="DD175" s="296">
        <f>SUMIFS(領用表!$L:$L,領用表!$E:$E,$B175,領用表!$B:$B,$CY$2&amp;DD$2)</f>
        <v>0</v>
      </c>
      <c r="DE175" s="208">
        <f>SUMIFS(領用表!$L:$L,領用表!$A:$A,DE$2,領用表!$E:$E,B175)</f>
        <v>0</v>
      </c>
      <c r="DF175" s="296">
        <f>SUMIFS(領用表!$L:$L,領用表!$E:$E,$B175,領用表!$B:$B,DE$2&amp;DF$2)</f>
        <v>0</v>
      </c>
      <c r="DG175" s="296">
        <f>SUMIFS(領用表!$L:$L,領用表!$E:$E,$B175,領用表!$B:$B,$DE$2&amp;DG$2)</f>
        <v>0</v>
      </c>
      <c r="DH175" s="296">
        <f>SUMIFS(領用表!$L:$L,領用表!$E:$E,$B175,領用表!$B:$B,$DE$2&amp;DH$2)</f>
        <v>0</v>
      </c>
      <c r="DI175" s="296">
        <f>SUMIFS(領用表!$L:$L,領用表!$E:$E,$B175,領用表!$B:$B,$DE$2&amp;DI$2)</f>
        <v>0</v>
      </c>
      <c r="DJ175" s="296">
        <f>SUMIFS(領用表!$L:$L,領用表!$E:$E,$B175,領用表!$B:$B,$DE$2&amp;DJ$2)</f>
        <v>0</v>
      </c>
      <c r="DK175" s="208">
        <f>SUMIFS(領用表!$L:$L,領用表!$A:$A,DK$2,領用表!$E:$E,$B175)</f>
        <v>0</v>
      </c>
      <c r="DL175" s="296">
        <f>SUMIFS(領用表!$L:$L,領用表!$E:$E,$B175,領用表!$B:$B,DK$2&amp;DL$2)</f>
        <v>0</v>
      </c>
      <c r="DM175" s="296">
        <f>SUMIFS(領用表!$L:$L,領用表!$E:$E,$B175,領用表!$B:$B,$DK$2&amp;DM$2)</f>
        <v>0</v>
      </c>
      <c r="DN175" s="296">
        <f>SUMIFS(領用表!$L:$L,領用表!$E:$E,$B175,領用表!$B:$B,$DK$2&amp;DN$2)</f>
        <v>0</v>
      </c>
      <c r="DO175" s="296">
        <f>SUMIFS(領用表!$L:$L,領用表!$E:$E,$B175,領用表!$B:$B,$DK$2&amp;DO$2)</f>
        <v>0</v>
      </c>
      <c r="DP175" s="296">
        <f>SUMIFS(領用表!$L:$L,領用表!$E:$E,$B175,領用表!$B:$B,$DK$2&amp;DP$2)</f>
        <v>0</v>
      </c>
      <c r="DQ175" s="296">
        <f t="shared" si="49"/>
        <v>0</v>
      </c>
      <c r="DR175" s="296">
        <f t="shared" si="50"/>
        <v>0</v>
      </c>
      <c r="DS175" s="296">
        <f t="shared" si="48"/>
        <v>0</v>
      </c>
      <c r="DT175" s="296">
        <v>0</v>
      </c>
      <c r="DU175" s="296">
        <v>0</v>
      </c>
      <c r="DV175" s="296">
        <v>0</v>
      </c>
      <c r="DW175" s="296">
        <v>0</v>
      </c>
      <c r="DX175" s="258"/>
      <c r="DY175" s="340"/>
      <c r="DZ175" s="340"/>
      <c r="EA175" s="340"/>
      <c r="ED175" s="118">
        <f>IFERROR(VLOOKUP(A175,站前4樓!A:BF,57,0),0)</f>
        <v>0</v>
      </c>
      <c r="EE175" s="213">
        <f>IFERROR(VLOOKUP(A175,站前11樓!A:BE,57,0),0)</f>
        <v>0</v>
      </c>
      <c r="EF175" s="118">
        <f>IFERROR(VLOOKUP(A175,忠孝7樓!A:N,57,0),0)</f>
        <v>0</v>
      </c>
      <c r="EG175" s="118">
        <f>IFERROR(VLOOKUP(A175,忠孝國際醫學3樓!A:L,57,0),0)</f>
        <v>0</v>
      </c>
      <c r="EH175" s="118">
        <f t="shared" si="51"/>
        <v>0</v>
      </c>
    </row>
    <row r="176" spans="1:138" s="118" customFormat="1" ht="15.75" customHeight="1">
      <c r="A176" s="136" t="s">
        <v>204</v>
      </c>
      <c r="C176" s="136" t="s">
        <v>576</v>
      </c>
      <c r="D176" s="285"/>
      <c r="E176" s="198" t="s">
        <v>15</v>
      </c>
      <c r="F176" s="225">
        <f>SUMIF(站前4樓!B:B,B176,站前4樓!F:F)</f>
        <v>0</v>
      </c>
      <c r="G176" s="225">
        <f>SUMIF(站前11樓!B:B,B176,站前11樓!F:F)</f>
        <v>0</v>
      </c>
      <c r="H176" s="225">
        <f>SUMIF(忠孝7樓!B:B,B176,忠孝7樓!G:G)</f>
        <v>0</v>
      </c>
      <c r="I176" s="225">
        <f>SUMIF(忠孝國際醫學3樓!B:B,B176,忠孝國際醫學3樓!G:G)</f>
        <v>0</v>
      </c>
      <c r="J176" s="225">
        <f>SUMIF(忠孝健康7樓!B:B,B176,忠孝健康7樓!G:G)</f>
        <v>0</v>
      </c>
      <c r="AJ176" s="348"/>
      <c r="AK176" s="348"/>
      <c r="AL176" s="348"/>
      <c r="AM176" s="348"/>
      <c r="AN176" s="348"/>
      <c r="AO176" s="348"/>
      <c r="AP176" s="348"/>
      <c r="AQ176" s="201">
        <v>0</v>
      </c>
      <c r="AR176" s="201">
        <v>0</v>
      </c>
      <c r="AS176" s="201">
        <v>0</v>
      </c>
      <c r="AT176" s="201">
        <v>6</v>
      </c>
      <c r="AU176" s="201">
        <v>0</v>
      </c>
      <c r="AV176" s="283">
        <f t="shared" si="52"/>
        <v>6</v>
      </c>
      <c r="AW176" s="286">
        <f t="shared" si="53"/>
        <v>0.5</v>
      </c>
      <c r="AX176" s="201">
        <v>19</v>
      </c>
      <c r="AY176" s="201">
        <v>0</v>
      </c>
      <c r="AZ176" s="201">
        <v>0</v>
      </c>
      <c r="BA176" s="201">
        <v>0</v>
      </c>
      <c r="BB176" s="201">
        <v>0</v>
      </c>
      <c r="BC176" s="203">
        <f>SUMIFS(領用表!$L:$L,領用表!$A:$A,BC$2,領用表!$E:$E,B176)</f>
        <v>0</v>
      </c>
      <c r="BD176" s="296">
        <f>SUMIFS(領用表!$L:$L,領用表!$E:$E,$B176,領用表!$B:$B,BC$2&amp;BD$2)</f>
        <v>0</v>
      </c>
      <c r="BE176" s="296">
        <f>SUMIFS(領用表!$L:$L,領用表!$E:$E,$B176,領用表!$B:$B,$BC$2&amp;BE$2)</f>
        <v>0</v>
      </c>
      <c r="BF176" s="296">
        <f>SUMIFS(領用表!$L:$L,領用表!$E:$E,$B176,領用表!$B:$B,$BC$2&amp;BF$2)</f>
        <v>0</v>
      </c>
      <c r="BG176" s="296">
        <f>SUMIFS(領用表!$L:$L,領用表!$E:$E,$B176,領用表!$B:$B,$BC$2&amp;BG$2)</f>
        <v>0</v>
      </c>
      <c r="BH176" s="203">
        <f>SUMIFS(領用表!$L:$L,領用表!$A:$A,BH$2,領用表!$E:$E,B176)</f>
        <v>0</v>
      </c>
      <c r="BI176" s="260">
        <f>SUMIFS(領用表!$L:$L,領用表!$E:$E,$B176,領用表!$B:$B,BH$2&amp;BI$2)</f>
        <v>0</v>
      </c>
      <c r="BJ176" s="260">
        <f>SUMIFS(領用表!$L:$L,領用表!$E:$E,$B176,領用表!$B:$B,$BH$2&amp;BJ$2)</f>
        <v>0</v>
      </c>
      <c r="BK176" s="260">
        <f>SUMIFS(領用表!$L:$L,領用表!$E:$E,$B176,領用表!$B:$B,$BH$2&amp;BK$2)</f>
        <v>0</v>
      </c>
      <c r="BL176" s="260">
        <f>SUMIFS(領用表!$L:$L,領用表!$E:$E,$B176,領用表!$B:$B,$BH$2&amp;BL$2)</f>
        <v>0</v>
      </c>
      <c r="BM176" s="203">
        <f>SUMIFS(領用表!$L:$L,領用表!$A:$A,BM$2,領用表!$E:$E,B176)</f>
        <v>0</v>
      </c>
      <c r="BN176" s="206">
        <f>SUMIFS(領用表!$L:$L,領用表!$E:$E,$B176,領用表!$B:$B,BM$2&amp;BN$2)</f>
        <v>0</v>
      </c>
      <c r="BO176" s="206">
        <f>SUMIFS(領用表!$L:$L,領用表!$E:$E,$B176,領用表!$B:$B,$BM$2&amp;BO$2)</f>
        <v>0</v>
      </c>
      <c r="BP176" s="288">
        <f>SUMIFS(領用表!$L:$L,領用表!$E:$E,$B176,領用表!$B:$B,$BM$2&amp;BP$2)</f>
        <v>0</v>
      </c>
      <c r="BQ176" s="287">
        <f>SUMIFS(領用表!$L:$L,領用表!$E:$E,$B176,領用表!$B:$B,$BM$2&amp;BQ$2)</f>
        <v>0</v>
      </c>
      <c r="BR176" s="203">
        <f>SUMIFS(領用表!$L:$L,領用表!$A:$A,BR$2,領用表!$E:$E,B176)</f>
        <v>0</v>
      </c>
      <c r="BS176" s="260">
        <f>SUMIFS(領用表!$L:$L,領用表!$E:$E,$B176,領用表!$B:$B,BR$2&amp;BS$2)</f>
        <v>0</v>
      </c>
      <c r="BT176" s="260">
        <f>SUMIFS(領用表!$L:$L,領用表!$E:$E,$B176,領用表!$B:$B,$BR$2&amp;BT$2)</f>
        <v>0</v>
      </c>
      <c r="BU176" s="260">
        <f>SUMIFS(領用表!$L:$L,領用表!$E:$E,$B176,領用表!$B:$B,$BR$2&amp;BU$2)</f>
        <v>0</v>
      </c>
      <c r="BV176" s="220">
        <f>SUMIFS(領用表!$L:$L,領用表!$E:$E,$B176,領用表!$B:$B,$BR$2&amp;BV$2)</f>
        <v>0</v>
      </c>
      <c r="BW176" s="208">
        <f>SUMIFS(領用表!$L:$L,領用表!$A:$A,BW$2,領用表!$E:$E,B176)</f>
        <v>0</v>
      </c>
      <c r="BX176" s="206">
        <f>SUMIFS(領用表!$L:$L,領用表!$E:$E,$B176,領用表!$B:$B,BW$2&amp;BX$2)</f>
        <v>0</v>
      </c>
      <c r="BY176" s="206">
        <f>SUMIFS(領用表!$L:$L,領用表!$E:$E,$B176,領用表!$B:$B,$BW$2&amp;BY$2)</f>
        <v>0</v>
      </c>
      <c r="BZ176" s="206">
        <f>SUMIFS(領用表!$L:$L,領用表!$E:$E,$B176,領用表!$B:$B,$BW$2&amp;BZ$2)</f>
        <v>0</v>
      </c>
      <c r="CA176" s="206">
        <f>SUMIFS(領用表!$L:$L,領用表!$E:$E,$B176,領用表!$B:$B,$BW$2&amp;CA$2)</f>
        <v>0</v>
      </c>
      <c r="CB176" s="208">
        <f>SUMIFS(領用表!$L:$L,領用表!$A:$A,CB$2,領用表!$E:$E,B176)</f>
        <v>0</v>
      </c>
      <c r="CC176" s="206">
        <f>SUMIFS(領用表!$L:$L,領用表!$E:$E,$B176,領用表!$B:$B,CB$2&amp;CC$2)</f>
        <v>0</v>
      </c>
      <c r="CD176" s="206">
        <f>SUMIFS(領用表!$L:$L,領用表!$E:$E,$B176,領用表!$B:$B,$CB$2&amp;CD$2)</f>
        <v>0</v>
      </c>
      <c r="CE176" s="206">
        <f>SUMIFS(領用表!$L:$L,領用表!$E:$E,$B176,領用表!$B:$B,$CB$2&amp;CE$2)</f>
        <v>0</v>
      </c>
      <c r="CF176" s="206">
        <f>SUMIFS(領用表!$L:$L,領用表!$E:$E,$B176,領用表!$B:$B,$CB$2&amp;CF$2)</f>
        <v>0</v>
      </c>
      <c r="CG176" s="208">
        <f>SUMIFS(領用表!$L:$L,領用表!$A:$A,CG$2,領用表!$E:$E,B176)</f>
        <v>0</v>
      </c>
      <c r="CH176" s="296">
        <f>SUMIFS(領用表!$L:$L,領用表!$E:$E,$B176,領用表!$B:$B,CG$2&amp;CH$2)</f>
        <v>0</v>
      </c>
      <c r="CI176" s="296">
        <f>SUMIFS(領用表!$L:$L,領用表!$E:$E,$B176,領用表!$B:$B,CG$2&amp;CI$2)</f>
        <v>0</v>
      </c>
      <c r="CJ176" s="296">
        <f>SUMIFS(領用表!$L:$L,領用表!$E:$E,$B176,領用表!$B:$B,CG$2&amp;CJ$2)</f>
        <v>0</v>
      </c>
      <c r="CK176" s="296">
        <f>SUMIFS(領用表!$L:$L,領用表!$E:$E,$B176,領用表!$B:$B,$CG$2&amp;CK$2)</f>
        <v>0</v>
      </c>
      <c r="CL176" s="207">
        <f t="shared" si="54"/>
        <v>19</v>
      </c>
      <c r="CM176" s="207">
        <f t="shared" si="55"/>
        <v>1.5833333333333333</v>
      </c>
      <c r="CN176" s="208">
        <f>SUMIFS(領用表!$L:$L,領用表!$A:$A,CN$2,領用表!$E:$E,B176)</f>
        <v>0</v>
      </c>
      <c r="CO176" s="206">
        <f>SUMIFS(領用表!$L:$L,領用表!$E:$E,$B176,領用表!$B:$B,CN$2&amp;CO$2)</f>
        <v>0</v>
      </c>
      <c r="CP176" s="206">
        <f>SUMIFS(領用表!$L:$L,領用表!$E:$E,$B176,領用表!$B:$B,$CN$2&amp;CP$2)</f>
        <v>0</v>
      </c>
      <c r="CQ176" s="206">
        <f>SUMIFS(領用表!$L:$L,領用表!$E:$E,$B176,領用表!$B:$B,$CN$2&amp;CQ$2)</f>
        <v>0</v>
      </c>
      <c r="CR176" s="296">
        <f>SUMIFS(領用表!$L:$L,領用表!$E:$E,$B176,領用表!$B:$B,$CN$2&amp;CR$2)</f>
        <v>0</v>
      </c>
      <c r="CS176" s="208">
        <f>SUMIFS(領用表!$L:$L,領用表!$A:$A,CS$2,領用表!$E:$E,B176)</f>
        <v>0</v>
      </c>
      <c r="CT176" s="206">
        <f>SUMIFS(領用表!$L:$L,領用表!$E:$E,$B176,領用表!$B:$B,CS$2&amp;CT$2)</f>
        <v>0</v>
      </c>
      <c r="CU176" s="206">
        <f>SUMIFS(領用表!$L:$L,領用表!$E:$E,$B176,領用表!$B:$B,$CS$2&amp;CU$2)</f>
        <v>0</v>
      </c>
      <c r="CV176" s="206">
        <f>SUMIFS(領用表!$L:$L,領用表!$E:$E,$B176,領用表!$B:$B,$CS$2&amp;CV$2)</f>
        <v>0</v>
      </c>
      <c r="CW176" s="206">
        <f>SUMIFS(領用表!$L:$L,領用表!$E:$E,$B176,領用表!$B:$B,$CS$2&amp;CW$2)</f>
        <v>0</v>
      </c>
      <c r="CX176" s="206">
        <f>SUMIFS(領用表!$L:$L,領用表!$E:$E,$B176,領用表!$B:$B,$CS$2&amp;CX$2)</f>
        <v>0</v>
      </c>
      <c r="CY176" s="208">
        <f>SUMIFS(領用表!$L:$L,領用表!$A:$A,CY$2,領用表!$E:$E,B176)</f>
        <v>0</v>
      </c>
      <c r="CZ176" s="296">
        <f>SUMIFS(領用表!$L:$L,領用表!$E:$E,$B176,領用表!$B:$B,CY$2&amp;CZ$2)</f>
        <v>0</v>
      </c>
      <c r="DA176" s="296">
        <f>SUMIFS(領用表!$L:$L,領用表!$E:$E,$B176,領用表!$B:$B,$CY$2&amp;DA$2)</f>
        <v>0</v>
      </c>
      <c r="DB176" s="296">
        <f>SUMIFS(領用表!$L:$L,領用表!$E:$E,$B176,領用表!$B:$B,$CY$2&amp;DB$2)</f>
        <v>0</v>
      </c>
      <c r="DC176" s="296">
        <f>SUMIFS(領用表!$L:$L,領用表!$E:$E,$B176,領用表!$B:$B,$CY$2&amp;DC$2)</f>
        <v>0</v>
      </c>
      <c r="DD176" s="296">
        <f>SUMIFS(領用表!$L:$L,領用表!$E:$E,$B176,領用表!$B:$B,$CY$2&amp;DD$2)</f>
        <v>0</v>
      </c>
      <c r="DE176" s="208">
        <f>SUMIFS(領用表!$L:$L,領用表!$A:$A,DE$2,領用表!$E:$E,B176)</f>
        <v>0</v>
      </c>
      <c r="DF176" s="296">
        <f>SUMIFS(領用表!$L:$L,領用表!$E:$E,$B176,領用表!$B:$B,DE$2&amp;DF$2)</f>
        <v>0</v>
      </c>
      <c r="DG176" s="296">
        <f>SUMIFS(領用表!$L:$L,領用表!$E:$E,$B176,領用表!$B:$B,$DE$2&amp;DG$2)</f>
        <v>0</v>
      </c>
      <c r="DH176" s="296">
        <f>SUMIFS(領用表!$L:$L,領用表!$E:$E,$B176,領用表!$B:$B,$DE$2&amp;DH$2)</f>
        <v>0</v>
      </c>
      <c r="DI176" s="296">
        <f>SUMIFS(領用表!$L:$L,領用表!$E:$E,$B176,領用表!$B:$B,$DE$2&amp;DI$2)</f>
        <v>0</v>
      </c>
      <c r="DJ176" s="296">
        <f>SUMIFS(領用表!$L:$L,領用表!$E:$E,$B176,領用表!$B:$B,$DE$2&amp;DJ$2)</f>
        <v>0</v>
      </c>
      <c r="DK176" s="208">
        <f>SUMIFS(領用表!$L:$L,領用表!$A:$A,DK$2,領用表!$E:$E,$B176)</f>
        <v>0</v>
      </c>
      <c r="DL176" s="296">
        <f>SUMIFS(領用表!$L:$L,領用表!$E:$E,$B176,領用表!$B:$B,DK$2&amp;DL$2)</f>
        <v>0</v>
      </c>
      <c r="DM176" s="296">
        <f>SUMIFS(領用表!$L:$L,領用表!$E:$E,$B176,領用表!$B:$B,$DK$2&amp;DM$2)</f>
        <v>0</v>
      </c>
      <c r="DN176" s="296">
        <f>SUMIFS(領用表!$L:$L,領用表!$E:$E,$B176,領用表!$B:$B,$DK$2&amp;DN$2)</f>
        <v>0</v>
      </c>
      <c r="DO176" s="296">
        <f>SUMIFS(領用表!$L:$L,領用表!$E:$E,$B176,領用表!$B:$B,$DK$2&amp;DO$2)</f>
        <v>0</v>
      </c>
      <c r="DP176" s="296">
        <f>SUMIFS(領用表!$L:$L,領用表!$E:$E,$B176,領用表!$B:$B,$DK$2&amp;DP$2)</f>
        <v>0</v>
      </c>
      <c r="DQ176" s="296">
        <f t="shared" si="49"/>
        <v>0</v>
      </c>
      <c r="DR176" s="296">
        <f t="shared" si="50"/>
        <v>0</v>
      </c>
      <c r="DS176" s="296">
        <f t="shared" si="48"/>
        <v>0</v>
      </c>
      <c r="DT176" s="296">
        <v>0</v>
      </c>
      <c r="DU176" s="296">
        <v>0</v>
      </c>
      <c r="DV176" s="296">
        <v>0</v>
      </c>
      <c r="DW176" s="296">
        <v>0</v>
      </c>
      <c r="DX176" s="258"/>
      <c r="DY176" s="340"/>
      <c r="DZ176" s="340"/>
      <c r="EA176" s="340"/>
      <c r="ED176" s="118">
        <f>IFERROR(VLOOKUP(A176,站前4樓!A:BF,57,0),0)</f>
        <v>0</v>
      </c>
      <c r="EE176" s="213">
        <f>IFERROR(VLOOKUP(A176,站前11樓!A:BE,57,0),0)</f>
        <v>0</v>
      </c>
      <c r="EF176" s="118">
        <f>IFERROR(VLOOKUP(A176,忠孝7樓!A:N,57,0),0)</f>
        <v>0</v>
      </c>
      <c r="EG176" s="118">
        <f>IFERROR(VLOOKUP(A176,忠孝國際醫學3樓!A:L,57,0),0)</f>
        <v>0</v>
      </c>
      <c r="EH176" s="118">
        <f t="shared" si="51"/>
        <v>0</v>
      </c>
    </row>
    <row r="177" spans="1:138" s="118" customFormat="1" ht="15.75" customHeight="1">
      <c r="A177" s="136" t="s">
        <v>205</v>
      </c>
      <c r="C177" s="136" t="s">
        <v>577</v>
      </c>
      <c r="D177" s="285"/>
      <c r="E177" s="198" t="s">
        <v>15</v>
      </c>
      <c r="F177" s="225">
        <f>SUMIF(站前4樓!B:B,B177,站前4樓!F:F)</f>
        <v>0</v>
      </c>
      <c r="G177" s="225">
        <f>SUMIF(站前11樓!B:B,B177,站前11樓!F:F)</f>
        <v>0</v>
      </c>
      <c r="H177" s="225">
        <f>SUMIF(忠孝7樓!B:B,B177,忠孝7樓!G:G)</f>
        <v>0</v>
      </c>
      <c r="I177" s="225">
        <f>SUMIF(忠孝國際醫學3樓!B:B,B177,忠孝國際醫學3樓!G:G)</f>
        <v>0</v>
      </c>
      <c r="J177" s="225">
        <f>SUMIF(忠孝健康7樓!B:B,B177,忠孝健康7樓!G:G)</f>
        <v>0</v>
      </c>
      <c r="AU177" s="201">
        <v>0</v>
      </c>
      <c r="AV177" s="347">
        <v>0</v>
      </c>
      <c r="AW177" s="347">
        <v>0</v>
      </c>
      <c r="AX177" s="201">
        <v>280</v>
      </c>
      <c r="AY177" s="201">
        <v>840</v>
      </c>
      <c r="AZ177" s="201">
        <v>584</v>
      </c>
      <c r="BA177" s="201">
        <v>120</v>
      </c>
      <c r="BB177" s="201">
        <v>0</v>
      </c>
      <c r="BC177" s="203">
        <f>SUMIFS(領用表!$L:$L,領用表!$A:$A,BC$2,領用表!$E:$E,B177)</f>
        <v>0</v>
      </c>
      <c r="BD177" s="296">
        <f>SUMIFS(領用表!$L:$L,領用表!$E:$E,$B177,領用表!$B:$B,BC$2&amp;BD$2)</f>
        <v>0</v>
      </c>
      <c r="BE177" s="296">
        <f>SUMIFS(領用表!$L:$L,領用表!$E:$E,$B177,領用表!$B:$B,$BC$2&amp;BE$2)</f>
        <v>0</v>
      </c>
      <c r="BF177" s="296">
        <f>SUMIFS(領用表!$L:$L,領用表!$E:$E,$B177,領用表!$B:$B,$BC$2&amp;BF$2)</f>
        <v>0</v>
      </c>
      <c r="BG177" s="296">
        <f>SUMIFS(領用表!$L:$L,領用表!$E:$E,$B177,領用表!$B:$B,$BC$2&amp;BG$2)</f>
        <v>0</v>
      </c>
      <c r="BH177" s="203">
        <f>SUMIFS(領用表!$L:$L,領用表!$A:$A,BH$2,領用表!$E:$E,B177)</f>
        <v>0</v>
      </c>
      <c r="BI177" s="260">
        <f>SUMIFS(領用表!$L:$L,領用表!$E:$E,$B177,領用表!$B:$B,BH$2&amp;BI$2)</f>
        <v>0</v>
      </c>
      <c r="BJ177" s="260">
        <f>SUMIFS(領用表!$L:$L,領用表!$E:$E,$B177,領用表!$B:$B,$BH$2&amp;BJ$2)</f>
        <v>0</v>
      </c>
      <c r="BK177" s="260">
        <f>SUMIFS(領用表!$L:$L,領用表!$E:$E,$B177,領用表!$B:$B,$BH$2&amp;BK$2)</f>
        <v>0</v>
      </c>
      <c r="BL177" s="260">
        <f>SUMIFS(領用表!$L:$L,領用表!$E:$E,$B177,領用表!$B:$B,$BH$2&amp;BL$2)</f>
        <v>0</v>
      </c>
      <c r="BM177" s="203">
        <f>SUMIFS(領用表!$L:$L,領用表!$A:$A,BM$2,領用表!$E:$E,B177)</f>
        <v>0</v>
      </c>
      <c r="BN177" s="206">
        <f>SUMIFS(領用表!$L:$L,領用表!$E:$E,$B177,領用表!$B:$B,BM$2&amp;BN$2)</f>
        <v>0</v>
      </c>
      <c r="BO177" s="206">
        <f>SUMIFS(領用表!$L:$L,領用表!$E:$E,$B177,領用表!$B:$B,$BM$2&amp;BO$2)</f>
        <v>0</v>
      </c>
      <c r="BP177" s="288">
        <f>SUMIFS(領用表!$L:$L,領用表!$E:$E,$B177,領用表!$B:$B,$BM$2&amp;BP$2)</f>
        <v>0</v>
      </c>
      <c r="BQ177" s="287">
        <f>SUMIFS(領用表!$L:$L,領用表!$E:$E,$B177,領用表!$B:$B,$BM$2&amp;BQ$2)</f>
        <v>0</v>
      </c>
      <c r="BR177" s="203">
        <f>SUMIFS(領用表!$L:$L,領用表!$A:$A,BR$2,領用表!$E:$E,B177)</f>
        <v>0</v>
      </c>
      <c r="BS177" s="260">
        <f>SUMIFS(領用表!$L:$L,領用表!$E:$E,$B177,領用表!$B:$B,BR$2&amp;BS$2)</f>
        <v>0</v>
      </c>
      <c r="BT177" s="260">
        <f>SUMIFS(領用表!$L:$L,領用表!$E:$E,$B177,領用表!$B:$B,$BR$2&amp;BT$2)</f>
        <v>0</v>
      </c>
      <c r="BU177" s="260">
        <f>SUMIFS(領用表!$L:$L,領用表!$E:$E,$B177,領用表!$B:$B,$BR$2&amp;BU$2)</f>
        <v>0</v>
      </c>
      <c r="BV177" s="220">
        <f>SUMIFS(領用表!$L:$L,領用表!$E:$E,$B177,領用表!$B:$B,$BR$2&amp;BV$2)</f>
        <v>0</v>
      </c>
      <c r="BW177" s="208">
        <f>SUMIFS(領用表!$L:$L,領用表!$A:$A,BW$2,領用表!$E:$E,B177)</f>
        <v>0</v>
      </c>
      <c r="BX177" s="296">
        <f>SUMIFS(領用表!$L:$L,領用表!$E:$E,$B177,領用表!$B:$B,BW$2&amp;BX$2)</f>
        <v>0</v>
      </c>
      <c r="BY177" s="296">
        <f>SUMIFS(領用表!$L:$L,領用表!$E:$E,$B177,領用表!$B:$B,$BW$2&amp;BY$2)</f>
        <v>0</v>
      </c>
      <c r="BZ177" s="296">
        <f>SUMIFS(領用表!$L:$L,領用表!$E:$E,$B177,領用表!$B:$B,$BW$2&amp;BZ$2)</f>
        <v>0</v>
      </c>
      <c r="CA177" s="296">
        <f>SUMIFS(領用表!$L:$L,領用表!$E:$E,$B177,領用表!$B:$B,$BW$2&amp;CA$2)</f>
        <v>0</v>
      </c>
      <c r="CB177" s="208">
        <f>SUMIFS(領用表!$L:$L,領用表!$A:$A,CB$2,領用表!$E:$E,B177)</f>
        <v>0</v>
      </c>
      <c r="CC177" s="296">
        <f>SUMIFS(領用表!$L:$L,領用表!$E:$E,$B177,領用表!$B:$B,CB$2&amp;CC$2)</f>
        <v>0</v>
      </c>
      <c r="CD177" s="296">
        <f>SUMIFS(領用表!$L:$L,領用表!$E:$E,$B177,領用表!$B:$B,$CB$2&amp;CD$2)</f>
        <v>0</v>
      </c>
      <c r="CE177" s="296">
        <f>SUMIFS(領用表!$L:$L,領用表!$E:$E,$B177,領用表!$B:$B,$CB$2&amp;CE$2)</f>
        <v>0</v>
      </c>
      <c r="CF177" s="296">
        <f>SUMIFS(領用表!$L:$L,領用表!$E:$E,$B177,領用表!$B:$B,$CB$2&amp;CF$2)</f>
        <v>0</v>
      </c>
      <c r="CG177" s="335">
        <f>SUMIFS(領用表!$L:$L,領用表!$A:$A,CG$2,領用表!$E:$E,B177)</f>
        <v>0</v>
      </c>
      <c r="CH177" s="296">
        <f>SUMIFS(領用表!$L:$L,領用表!$E:$E,$B177,領用表!$B:$B,CG$2&amp;CH$2)</f>
        <v>0</v>
      </c>
      <c r="CI177" s="296">
        <f>SUMIFS(領用表!$L:$L,領用表!$E:$E,$B177,領用表!$B:$B,CG$2&amp;CI$2)</f>
        <v>0</v>
      </c>
      <c r="CJ177" s="296">
        <f>SUMIFS(領用表!$L:$L,領用表!$E:$E,$B177,領用表!$B:$B,CG$2&amp;CJ$2)</f>
        <v>0</v>
      </c>
      <c r="CK177" s="296">
        <f>SUMIFS(領用表!$L:$L,領用表!$E:$E,$B177,領用表!$B:$B,$CG$2&amp;CK$2)</f>
        <v>0</v>
      </c>
      <c r="CL177" s="207">
        <f t="shared" si="54"/>
        <v>1824</v>
      </c>
      <c r="CM177" s="207">
        <f t="shared" si="55"/>
        <v>152</v>
      </c>
      <c r="CN177" s="208">
        <f>SUMIFS(領用表!$L:$L,領用表!$A:$A,CN$2,領用表!$E:$E,B177)</f>
        <v>0</v>
      </c>
      <c r="CO177" s="206">
        <f>SUMIFS(領用表!$L:$L,領用表!$E:$E,$B177,領用表!$B:$B,CN$2&amp;CO$2)</f>
        <v>0</v>
      </c>
      <c r="CP177" s="206">
        <f>SUMIFS(領用表!$L:$L,領用表!$E:$E,$B177,領用表!$B:$B,$CN$2&amp;CP$2)</f>
        <v>0</v>
      </c>
      <c r="CQ177" s="206">
        <f>SUMIFS(領用表!$L:$L,領用表!$E:$E,$B177,領用表!$B:$B,$CN$2&amp;CQ$2)</f>
        <v>0</v>
      </c>
      <c r="CR177" s="296">
        <f>SUMIFS(領用表!$L:$L,領用表!$E:$E,$B177,領用表!$B:$B,$CN$2&amp;CR$2)</f>
        <v>0</v>
      </c>
      <c r="CS177" s="208">
        <f>SUMIFS(領用表!$L:$L,領用表!$A:$A,CS$2,領用表!$E:$E,B177)</f>
        <v>0</v>
      </c>
      <c r="CT177" s="206">
        <f>SUMIFS(領用表!$L:$L,領用表!$E:$E,$B177,領用表!$B:$B,CS$2&amp;CT$2)</f>
        <v>0</v>
      </c>
      <c r="CU177" s="206">
        <f>SUMIFS(領用表!$L:$L,領用表!$E:$E,$B177,領用表!$B:$B,$CS$2&amp;CU$2)</f>
        <v>0</v>
      </c>
      <c r="CV177" s="206">
        <f>SUMIFS(領用表!$L:$L,領用表!$E:$E,$B177,領用表!$B:$B,$CS$2&amp;CV$2)</f>
        <v>0</v>
      </c>
      <c r="CW177" s="206">
        <f>SUMIFS(領用表!$L:$L,領用表!$E:$E,$B177,領用表!$B:$B,$CS$2&amp;CW$2)</f>
        <v>0</v>
      </c>
      <c r="CX177" s="206">
        <f>SUMIFS(領用表!$L:$L,領用表!$E:$E,$B177,領用表!$B:$B,$CS$2&amp;CX$2)</f>
        <v>0</v>
      </c>
      <c r="CY177" s="208">
        <f>SUMIFS(領用表!$L:$L,領用表!$A:$A,CY$2,領用表!$E:$E,B177)</f>
        <v>0</v>
      </c>
      <c r="CZ177" s="296">
        <f>SUMIFS(領用表!$L:$L,領用表!$E:$E,$B177,領用表!$B:$B,CY$2&amp;CZ$2)</f>
        <v>0</v>
      </c>
      <c r="DA177" s="296">
        <f>SUMIFS(領用表!$L:$L,領用表!$E:$E,$B177,領用表!$B:$B,$CY$2&amp;DA$2)</f>
        <v>0</v>
      </c>
      <c r="DB177" s="296">
        <f>SUMIFS(領用表!$L:$L,領用表!$E:$E,$B177,領用表!$B:$B,$CY$2&amp;DB$2)</f>
        <v>0</v>
      </c>
      <c r="DC177" s="296">
        <f>SUMIFS(領用表!$L:$L,領用表!$E:$E,$B177,領用表!$B:$B,$CY$2&amp;DC$2)</f>
        <v>0</v>
      </c>
      <c r="DD177" s="296">
        <f>SUMIFS(領用表!$L:$L,領用表!$E:$E,$B177,領用表!$B:$B,$CY$2&amp;DD$2)</f>
        <v>0</v>
      </c>
      <c r="DE177" s="208">
        <f>SUMIFS(領用表!$L:$L,領用表!$A:$A,DE$2,領用表!$E:$E,B177)</f>
        <v>0</v>
      </c>
      <c r="DF177" s="296">
        <f>SUMIFS(領用表!$L:$L,領用表!$E:$E,$B177,領用表!$B:$B,DE$2&amp;DF$2)</f>
        <v>0</v>
      </c>
      <c r="DG177" s="296">
        <f>SUMIFS(領用表!$L:$L,領用表!$E:$E,$B177,領用表!$B:$B,$DE$2&amp;DG$2)</f>
        <v>0</v>
      </c>
      <c r="DH177" s="296">
        <f>SUMIFS(領用表!$L:$L,領用表!$E:$E,$B177,領用表!$B:$B,$DE$2&amp;DH$2)</f>
        <v>0</v>
      </c>
      <c r="DI177" s="296">
        <f>SUMIFS(領用表!$L:$L,領用表!$E:$E,$B177,領用表!$B:$B,$DE$2&amp;DI$2)</f>
        <v>0</v>
      </c>
      <c r="DJ177" s="296">
        <f>SUMIFS(領用表!$L:$L,領用表!$E:$E,$B177,領用表!$B:$B,$DE$2&amp;DJ$2)</f>
        <v>0</v>
      </c>
      <c r="DK177" s="208">
        <f>SUMIFS(領用表!$L:$L,領用表!$A:$A,DK$2,領用表!$E:$E,$B177)</f>
        <v>0</v>
      </c>
      <c r="DL177" s="296">
        <f>SUMIFS(領用表!$L:$L,領用表!$E:$E,$B177,領用表!$B:$B,DK$2&amp;DL$2)</f>
        <v>0</v>
      </c>
      <c r="DM177" s="296">
        <f>SUMIFS(領用表!$L:$L,領用表!$E:$E,$B177,領用表!$B:$B,$DK$2&amp;DM$2)</f>
        <v>0</v>
      </c>
      <c r="DN177" s="296">
        <f>SUMIFS(領用表!$L:$L,領用表!$E:$E,$B177,領用表!$B:$B,$DK$2&amp;DN$2)</f>
        <v>0</v>
      </c>
      <c r="DO177" s="296">
        <f>SUMIFS(領用表!$L:$L,領用表!$E:$E,$B177,領用表!$B:$B,$DK$2&amp;DO$2)</f>
        <v>0</v>
      </c>
      <c r="DP177" s="296">
        <f>SUMIFS(領用表!$L:$L,領用表!$E:$E,$B177,領用表!$B:$B,$DK$2&amp;DP$2)</f>
        <v>0</v>
      </c>
      <c r="DQ177" s="296">
        <f t="shared" ref="DQ177:DQ197" si="56">SUM(CN177,CS177,CY177,DE177,DK177)</f>
        <v>0</v>
      </c>
      <c r="DR177" s="296">
        <f t="shared" ref="DR177:DR197" si="57">AVERAGEA(CN177,CS177,CY177,DE177,DK177)</f>
        <v>0</v>
      </c>
      <c r="DS177" s="296">
        <f t="shared" si="48"/>
        <v>0</v>
      </c>
      <c r="DT177" s="296">
        <v>0</v>
      </c>
      <c r="DU177" s="296">
        <v>0</v>
      </c>
      <c r="DV177" s="296">
        <v>0</v>
      </c>
      <c r="DW177" s="296">
        <v>0</v>
      </c>
      <c r="DX177" s="258"/>
      <c r="DY177" s="340"/>
      <c r="DZ177" s="340"/>
      <c r="EA177" s="340"/>
      <c r="ED177" s="118">
        <f>IFERROR(VLOOKUP(A177,站前4樓!A:BF,57,0),0)</f>
        <v>0</v>
      </c>
      <c r="EE177" s="213">
        <f>IFERROR(VLOOKUP(A177,站前11樓!A:BE,57,0),0)</f>
        <v>0</v>
      </c>
      <c r="EF177" s="118">
        <f>IFERROR(VLOOKUP(A177,忠孝7樓!A:N,57,0),0)</f>
        <v>0</v>
      </c>
      <c r="EG177" s="118">
        <f>IFERROR(VLOOKUP(A177,忠孝國際醫學3樓!A:L,57,0),0)</f>
        <v>0</v>
      </c>
      <c r="EH177" s="118">
        <f t="shared" si="51"/>
        <v>0</v>
      </c>
    </row>
    <row r="178" spans="1:138" s="118" customFormat="1" ht="15.75" customHeight="1">
      <c r="A178" s="136" t="s">
        <v>206</v>
      </c>
      <c r="C178" s="136" t="s">
        <v>578</v>
      </c>
      <c r="D178" s="285"/>
      <c r="E178" s="198" t="s">
        <v>15</v>
      </c>
      <c r="F178" s="225">
        <f>SUMIF(站前4樓!B:B,B178,站前4樓!F:F)</f>
        <v>0</v>
      </c>
      <c r="G178" s="225">
        <f>SUMIF(站前11樓!B:B,B178,站前11樓!F:F)</f>
        <v>0</v>
      </c>
      <c r="H178" s="225">
        <f>SUMIF(忠孝7樓!B:B,B178,忠孝7樓!G:G)</f>
        <v>0</v>
      </c>
      <c r="I178" s="225">
        <f>SUMIF(忠孝國際醫學3樓!B:B,B178,忠孝國際醫學3樓!G:G)</f>
        <v>0</v>
      </c>
      <c r="J178" s="225">
        <f>SUMIF(忠孝健康7樓!B:B,B178,忠孝健康7樓!G:G)</f>
        <v>0</v>
      </c>
      <c r="AU178" s="201">
        <v>0</v>
      </c>
      <c r="AV178" s="347">
        <v>0</v>
      </c>
      <c r="AW178" s="347">
        <v>0</v>
      </c>
      <c r="AX178" s="201">
        <v>95</v>
      </c>
      <c r="AY178" s="201">
        <v>0</v>
      </c>
      <c r="AZ178" s="201">
        <v>0</v>
      </c>
      <c r="BA178" s="201">
        <v>0</v>
      </c>
      <c r="BB178" s="201">
        <v>0</v>
      </c>
      <c r="BC178" s="203">
        <f>SUMIFS(領用表!$L:$L,領用表!$A:$A,BC$2,領用表!$E:$E,B178)</f>
        <v>0</v>
      </c>
      <c r="BD178" s="296">
        <f>SUMIFS(領用表!$L:$L,領用表!$E:$E,$B178,領用表!$B:$B,BC$2&amp;BD$2)</f>
        <v>0</v>
      </c>
      <c r="BE178" s="296">
        <f>SUMIFS(領用表!$L:$L,領用表!$E:$E,$B178,領用表!$B:$B,$BC$2&amp;BE$2)</f>
        <v>0</v>
      </c>
      <c r="BF178" s="296">
        <f>SUMIFS(領用表!$L:$L,領用表!$E:$E,$B178,領用表!$B:$B,$BC$2&amp;BF$2)</f>
        <v>0</v>
      </c>
      <c r="BG178" s="296">
        <f>SUMIFS(領用表!$L:$L,領用表!$E:$E,$B178,領用表!$B:$B,$BC$2&amp;BG$2)</f>
        <v>0</v>
      </c>
      <c r="BH178" s="203">
        <f>SUMIFS(領用表!$L:$L,領用表!$A:$A,BH$2,領用表!$E:$E,B178)</f>
        <v>0</v>
      </c>
      <c r="BI178" s="260">
        <f>SUMIFS(領用表!$L:$L,領用表!$E:$E,$B178,領用表!$B:$B,BH$2&amp;BI$2)</f>
        <v>0</v>
      </c>
      <c r="BJ178" s="260">
        <f>SUMIFS(領用表!$L:$L,領用表!$E:$E,$B178,領用表!$B:$B,$BH$2&amp;BJ$2)</f>
        <v>0</v>
      </c>
      <c r="BK178" s="260">
        <f>SUMIFS(領用表!$L:$L,領用表!$E:$E,$B178,領用表!$B:$B,$BH$2&amp;BK$2)</f>
        <v>0</v>
      </c>
      <c r="BL178" s="260">
        <f>SUMIFS(領用表!$L:$L,領用表!$E:$E,$B178,領用表!$B:$B,$BH$2&amp;BL$2)</f>
        <v>0</v>
      </c>
      <c r="BM178" s="203">
        <f>SUMIFS(領用表!$L:$L,領用表!$A:$A,BM$2,領用表!$E:$E,B178)</f>
        <v>0</v>
      </c>
      <c r="BN178" s="206">
        <f>SUMIFS(領用表!$L:$L,領用表!$E:$E,$B178,領用表!$B:$B,BM$2&amp;BN$2)</f>
        <v>0</v>
      </c>
      <c r="BO178" s="206">
        <f>SUMIFS(領用表!$L:$L,領用表!$E:$E,$B178,領用表!$B:$B,$BM$2&amp;BO$2)</f>
        <v>0</v>
      </c>
      <c r="BP178" s="288">
        <f>SUMIFS(領用表!$L:$L,領用表!$E:$E,$B178,領用表!$B:$B,$BM$2&amp;BP$2)</f>
        <v>0</v>
      </c>
      <c r="BQ178" s="287">
        <f>SUMIFS(領用表!$L:$L,領用表!$E:$E,$B178,領用表!$B:$B,$BM$2&amp;BQ$2)</f>
        <v>0</v>
      </c>
      <c r="BR178" s="203">
        <f>SUMIFS(領用表!$L:$L,領用表!$A:$A,BR$2,領用表!$E:$E,B178)</f>
        <v>0</v>
      </c>
      <c r="BS178" s="260">
        <f>SUMIFS(領用表!$L:$L,領用表!$E:$E,$B178,領用表!$B:$B,BR$2&amp;BS$2)</f>
        <v>0</v>
      </c>
      <c r="BT178" s="260">
        <f>SUMIFS(領用表!$L:$L,領用表!$E:$E,$B178,領用表!$B:$B,$BR$2&amp;BT$2)</f>
        <v>0</v>
      </c>
      <c r="BU178" s="260">
        <f>SUMIFS(領用表!$L:$L,領用表!$E:$E,$B178,領用表!$B:$B,$BR$2&amp;BU$2)</f>
        <v>0</v>
      </c>
      <c r="BV178" s="220">
        <f>SUMIFS(領用表!$L:$L,領用表!$E:$E,$B178,領用表!$B:$B,$BR$2&amp;BV$2)</f>
        <v>0</v>
      </c>
      <c r="BW178" s="208">
        <f>SUMIFS(領用表!$L:$L,領用表!$A:$A,BW$2,領用表!$E:$E,B178)</f>
        <v>0</v>
      </c>
      <c r="BX178" s="296">
        <f>SUMIFS(領用表!$L:$L,領用表!$E:$E,$B178,領用表!$B:$B,BW$2&amp;BX$2)</f>
        <v>0</v>
      </c>
      <c r="BY178" s="296">
        <f>SUMIFS(領用表!$L:$L,領用表!$E:$E,$B178,領用表!$B:$B,$BW$2&amp;BY$2)</f>
        <v>0</v>
      </c>
      <c r="BZ178" s="296">
        <f>SUMIFS(領用表!$L:$L,領用表!$E:$E,$B178,領用表!$B:$B,$BW$2&amp;BZ$2)</f>
        <v>0</v>
      </c>
      <c r="CA178" s="296">
        <f>SUMIFS(領用表!$L:$L,領用表!$E:$E,$B178,領用表!$B:$B,$BW$2&amp;CA$2)</f>
        <v>0</v>
      </c>
      <c r="CB178" s="208">
        <f>SUMIFS(領用表!$L:$L,領用表!$A:$A,CB$2,領用表!$E:$E,B178)</f>
        <v>0</v>
      </c>
      <c r="CC178" s="296">
        <f>SUMIFS(領用表!$L:$L,領用表!$E:$E,$B178,領用表!$B:$B,CB$2&amp;CC$2)</f>
        <v>0</v>
      </c>
      <c r="CD178" s="296">
        <f>SUMIFS(領用表!$L:$L,領用表!$E:$E,$B178,領用表!$B:$B,$CB$2&amp;CD$2)</f>
        <v>0</v>
      </c>
      <c r="CE178" s="296">
        <f>SUMIFS(領用表!$L:$L,領用表!$E:$E,$B178,領用表!$B:$B,$CB$2&amp;CE$2)</f>
        <v>0</v>
      </c>
      <c r="CF178" s="296">
        <f>SUMIFS(領用表!$L:$L,領用表!$E:$E,$B178,領用表!$B:$B,$CB$2&amp;CF$2)</f>
        <v>0</v>
      </c>
      <c r="CG178" s="335">
        <f>SUMIFS(領用表!$L:$L,領用表!$A:$A,CG$2,領用表!$E:$E,B178)</f>
        <v>0</v>
      </c>
      <c r="CH178" s="296">
        <f>SUMIFS(領用表!$L:$L,領用表!$E:$E,$B178,領用表!$B:$B,CG$2&amp;CH$2)</f>
        <v>0</v>
      </c>
      <c r="CI178" s="296">
        <f>SUMIFS(領用表!$L:$L,領用表!$E:$E,$B178,領用表!$B:$B,CG$2&amp;CI$2)</f>
        <v>0</v>
      </c>
      <c r="CJ178" s="296">
        <f>SUMIFS(領用表!$L:$L,領用表!$E:$E,$B178,領用表!$B:$B,CG$2&amp;CJ$2)</f>
        <v>0</v>
      </c>
      <c r="CK178" s="296">
        <f>SUMIFS(領用表!$L:$L,領用表!$E:$E,$B178,領用表!$B:$B,$CG$2&amp;CK$2)</f>
        <v>0</v>
      </c>
      <c r="CL178" s="207">
        <f t="shared" si="54"/>
        <v>95</v>
      </c>
      <c r="CM178" s="207">
        <f t="shared" si="55"/>
        <v>7.916666666666667</v>
      </c>
      <c r="CN178" s="208">
        <f>SUMIFS(領用表!$L:$L,領用表!$A:$A,CN$2,領用表!$E:$E,B178)</f>
        <v>0</v>
      </c>
      <c r="CO178" s="206">
        <f>SUMIFS(領用表!$L:$L,領用表!$E:$E,$B178,領用表!$B:$B,CN$2&amp;CO$2)</f>
        <v>0</v>
      </c>
      <c r="CP178" s="206">
        <f>SUMIFS(領用表!$L:$L,領用表!$E:$E,$B178,領用表!$B:$B,$CN$2&amp;CP$2)</f>
        <v>0</v>
      </c>
      <c r="CQ178" s="206">
        <f>SUMIFS(領用表!$L:$L,領用表!$E:$E,$B178,領用表!$B:$B,$CN$2&amp;CQ$2)</f>
        <v>0</v>
      </c>
      <c r="CR178" s="296">
        <f>SUMIFS(領用表!$L:$L,領用表!$E:$E,$B178,領用表!$B:$B,$CN$2&amp;CR$2)</f>
        <v>0</v>
      </c>
      <c r="CS178" s="208">
        <f>SUMIFS(領用表!$L:$L,領用表!$A:$A,CS$2,領用表!$E:$E,B178)</f>
        <v>0</v>
      </c>
      <c r="CT178" s="206">
        <f>SUMIFS(領用表!$L:$L,領用表!$E:$E,$B178,領用表!$B:$B,CS$2&amp;CT$2)</f>
        <v>0</v>
      </c>
      <c r="CU178" s="206">
        <f>SUMIFS(領用表!$L:$L,領用表!$E:$E,$B178,領用表!$B:$B,$CS$2&amp;CU$2)</f>
        <v>0</v>
      </c>
      <c r="CV178" s="206">
        <f>SUMIFS(領用表!$L:$L,領用表!$E:$E,$B178,領用表!$B:$B,$CS$2&amp;CV$2)</f>
        <v>0</v>
      </c>
      <c r="CW178" s="206">
        <f>SUMIFS(領用表!$L:$L,領用表!$E:$E,$B178,領用表!$B:$B,$CS$2&amp;CW$2)</f>
        <v>0</v>
      </c>
      <c r="CX178" s="206">
        <f>SUMIFS(領用表!$L:$L,領用表!$E:$E,$B178,領用表!$B:$B,$CS$2&amp;CX$2)</f>
        <v>0</v>
      </c>
      <c r="CY178" s="208">
        <f>SUMIFS(領用表!$L:$L,領用表!$A:$A,CY$2,領用表!$E:$E,B178)</f>
        <v>0</v>
      </c>
      <c r="CZ178" s="296">
        <f>SUMIFS(領用表!$L:$L,領用表!$E:$E,$B178,領用表!$B:$B,CY$2&amp;CZ$2)</f>
        <v>0</v>
      </c>
      <c r="DA178" s="296">
        <f>SUMIFS(領用表!$L:$L,領用表!$E:$E,$B178,領用表!$B:$B,$CY$2&amp;DA$2)</f>
        <v>0</v>
      </c>
      <c r="DB178" s="296">
        <f>SUMIFS(領用表!$L:$L,領用表!$E:$E,$B178,領用表!$B:$B,$CY$2&amp;DB$2)</f>
        <v>0</v>
      </c>
      <c r="DC178" s="296">
        <f>SUMIFS(領用表!$L:$L,領用表!$E:$E,$B178,領用表!$B:$B,$CY$2&amp;DC$2)</f>
        <v>0</v>
      </c>
      <c r="DD178" s="296">
        <f>SUMIFS(領用表!$L:$L,領用表!$E:$E,$B178,領用表!$B:$B,$CY$2&amp;DD$2)</f>
        <v>0</v>
      </c>
      <c r="DE178" s="208">
        <f>SUMIFS(領用表!$L:$L,領用表!$A:$A,DE$2,領用表!$E:$E,B178)</f>
        <v>0</v>
      </c>
      <c r="DF178" s="296">
        <f>SUMIFS(領用表!$L:$L,領用表!$E:$E,$B178,領用表!$B:$B,DE$2&amp;DF$2)</f>
        <v>0</v>
      </c>
      <c r="DG178" s="296">
        <f>SUMIFS(領用表!$L:$L,領用表!$E:$E,$B178,領用表!$B:$B,$DE$2&amp;DG$2)</f>
        <v>0</v>
      </c>
      <c r="DH178" s="296">
        <f>SUMIFS(領用表!$L:$L,領用表!$E:$E,$B178,領用表!$B:$B,$DE$2&amp;DH$2)</f>
        <v>0</v>
      </c>
      <c r="DI178" s="296">
        <f>SUMIFS(領用表!$L:$L,領用表!$E:$E,$B178,領用表!$B:$B,$DE$2&amp;DI$2)</f>
        <v>0</v>
      </c>
      <c r="DJ178" s="296">
        <f>SUMIFS(領用表!$L:$L,領用表!$E:$E,$B178,領用表!$B:$B,$DE$2&amp;DJ$2)</f>
        <v>0</v>
      </c>
      <c r="DK178" s="208">
        <f>SUMIFS(領用表!$L:$L,領用表!$A:$A,DK$2,領用表!$E:$E,$B178)</f>
        <v>0</v>
      </c>
      <c r="DL178" s="296">
        <f>SUMIFS(領用表!$L:$L,領用表!$E:$E,$B178,領用表!$B:$B,DK$2&amp;DL$2)</f>
        <v>0</v>
      </c>
      <c r="DM178" s="296">
        <f>SUMIFS(領用表!$L:$L,領用表!$E:$E,$B178,領用表!$B:$B,$DK$2&amp;DM$2)</f>
        <v>0</v>
      </c>
      <c r="DN178" s="296">
        <f>SUMIFS(領用表!$L:$L,領用表!$E:$E,$B178,領用表!$B:$B,$DK$2&amp;DN$2)</f>
        <v>0</v>
      </c>
      <c r="DO178" s="296">
        <f>SUMIFS(領用表!$L:$L,領用表!$E:$E,$B178,領用表!$B:$B,$DK$2&amp;DO$2)</f>
        <v>0</v>
      </c>
      <c r="DP178" s="296">
        <f>SUMIFS(領用表!$L:$L,領用表!$E:$E,$B178,領用表!$B:$B,$DK$2&amp;DP$2)</f>
        <v>0</v>
      </c>
      <c r="DQ178" s="296">
        <f t="shared" si="56"/>
        <v>0</v>
      </c>
      <c r="DR178" s="296">
        <f t="shared" si="57"/>
        <v>0</v>
      </c>
      <c r="DS178" s="296">
        <f t="shared" si="48"/>
        <v>0</v>
      </c>
      <c r="DT178" s="296">
        <v>0</v>
      </c>
      <c r="DU178" s="296">
        <v>0</v>
      </c>
      <c r="DV178" s="296">
        <v>0</v>
      </c>
      <c r="DW178" s="296">
        <v>0</v>
      </c>
      <c r="DX178" s="258"/>
      <c r="DY178" s="340"/>
      <c r="DZ178" s="340"/>
      <c r="EA178" s="340"/>
      <c r="ED178" s="118">
        <f>IFERROR(VLOOKUP(A178,站前4樓!A:BF,57,0),0)</f>
        <v>0</v>
      </c>
      <c r="EE178" s="213">
        <f>IFERROR(VLOOKUP(A178,站前11樓!A:BE,57,0),0)</f>
        <v>0</v>
      </c>
      <c r="EF178" s="118">
        <f>IFERROR(VLOOKUP(A178,忠孝7樓!A:N,57,0),0)</f>
        <v>0</v>
      </c>
      <c r="EG178" s="118">
        <f>IFERROR(VLOOKUP(A178,忠孝國際醫學3樓!A:L,57,0),0)</f>
        <v>0</v>
      </c>
      <c r="EH178" s="118">
        <f t="shared" si="51"/>
        <v>0</v>
      </c>
    </row>
    <row r="179" spans="1:138" s="118" customFormat="1" ht="15.75" customHeight="1">
      <c r="A179" s="136" t="s">
        <v>207</v>
      </c>
      <c r="C179" s="136" t="s">
        <v>579</v>
      </c>
      <c r="D179" s="285"/>
      <c r="E179" s="198" t="s">
        <v>15</v>
      </c>
      <c r="F179" s="225">
        <f>SUMIF(站前4樓!B:B,B179,站前4樓!F:F)</f>
        <v>0</v>
      </c>
      <c r="G179" s="225">
        <f>SUMIF(站前11樓!B:B,B179,站前11樓!F:F)</f>
        <v>0</v>
      </c>
      <c r="H179" s="225">
        <f>SUMIF(忠孝7樓!B:B,B179,忠孝7樓!G:G)</f>
        <v>0</v>
      </c>
      <c r="I179" s="225">
        <f>SUMIF(忠孝國際醫學3樓!B:B,B179,忠孝國際醫學3樓!G:G)</f>
        <v>0</v>
      </c>
      <c r="J179" s="225">
        <f>SUMIF(忠孝健康7樓!B:B,B179,忠孝健康7樓!G:G)</f>
        <v>0</v>
      </c>
      <c r="AU179" s="201">
        <v>0</v>
      </c>
      <c r="AV179" s="347">
        <v>0</v>
      </c>
      <c r="AW179" s="347">
        <v>0</v>
      </c>
      <c r="AX179" s="201">
        <v>240</v>
      </c>
      <c r="AY179" s="201">
        <v>192</v>
      </c>
      <c r="AZ179" s="201">
        <v>48</v>
      </c>
      <c r="BA179" s="201">
        <v>0</v>
      </c>
      <c r="BB179" s="201">
        <v>0</v>
      </c>
      <c r="BC179" s="203">
        <f>SUMIFS(領用表!$L:$L,領用表!$A:$A,BC$2,領用表!$E:$E,B179)</f>
        <v>0</v>
      </c>
      <c r="BD179" s="296">
        <f>SUMIFS(領用表!$L:$L,領用表!$E:$E,$B179,領用表!$B:$B,BC$2&amp;BD$2)</f>
        <v>0</v>
      </c>
      <c r="BE179" s="296">
        <f>SUMIFS(領用表!$L:$L,領用表!$E:$E,$B179,領用表!$B:$B,$BC$2&amp;BE$2)</f>
        <v>0</v>
      </c>
      <c r="BF179" s="296">
        <f>SUMIFS(領用表!$L:$L,領用表!$E:$E,$B179,領用表!$B:$B,$BC$2&amp;BF$2)</f>
        <v>0</v>
      </c>
      <c r="BG179" s="296">
        <f>SUMIFS(領用表!$L:$L,領用表!$E:$E,$B179,領用表!$B:$B,$BC$2&amp;BG$2)</f>
        <v>0</v>
      </c>
      <c r="BH179" s="203">
        <f>SUMIFS(領用表!$L:$L,領用表!$A:$A,BH$2,領用表!$E:$E,B179)</f>
        <v>0</v>
      </c>
      <c r="BI179" s="260">
        <f>SUMIFS(領用表!$L:$L,領用表!$E:$E,$B179,領用表!$B:$B,BH$2&amp;BI$2)</f>
        <v>0</v>
      </c>
      <c r="BJ179" s="260">
        <f>SUMIFS(領用表!$L:$L,領用表!$E:$E,$B179,領用表!$B:$B,$BH$2&amp;BJ$2)</f>
        <v>0</v>
      </c>
      <c r="BK179" s="260">
        <f>SUMIFS(領用表!$L:$L,領用表!$E:$E,$B179,領用表!$B:$B,$BH$2&amp;BK$2)</f>
        <v>0</v>
      </c>
      <c r="BL179" s="260">
        <f>SUMIFS(領用表!$L:$L,領用表!$E:$E,$B179,領用表!$B:$B,$BH$2&amp;BL$2)</f>
        <v>0</v>
      </c>
      <c r="BM179" s="203">
        <f>SUMIFS(領用表!$L:$L,領用表!$A:$A,BM$2,領用表!$E:$E,B179)</f>
        <v>0</v>
      </c>
      <c r="BN179" s="206">
        <f>SUMIFS(領用表!$L:$L,領用表!$E:$E,$B179,領用表!$B:$B,BM$2&amp;BN$2)</f>
        <v>0</v>
      </c>
      <c r="BO179" s="206">
        <f>SUMIFS(領用表!$L:$L,領用表!$E:$E,$B179,領用表!$B:$B,$BM$2&amp;BO$2)</f>
        <v>0</v>
      </c>
      <c r="BP179" s="288">
        <f>SUMIFS(領用表!$L:$L,領用表!$E:$E,$B179,領用表!$B:$B,$BM$2&amp;BP$2)</f>
        <v>0</v>
      </c>
      <c r="BQ179" s="287">
        <f>SUMIFS(領用表!$L:$L,領用表!$E:$E,$B179,領用表!$B:$B,$BM$2&amp;BQ$2)</f>
        <v>0</v>
      </c>
      <c r="BR179" s="203">
        <f>SUMIFS(領用表!$L:$L,領用表!$A:$A,BR$2,領用表!$E:$E,B179)</f>
        <v>0</v>
      </c>
      <c r="BS179" s="260">
        <f>SUMIFS(領用表!$L:$L,領用表!$E:$E,$B179,領用表!$B:$B,BR$2&amp;BS$2)</f>
        <v>0</v>
      </c>
      <c r="BT179" s="260">
        <f>SUMIFS(領用表!$L:$L,領用表!$E:$E,$B179,領用表!$B:$B,$BR$2&amp;BT$2)</f>
        <v>0</v>
      </c>
      <c r="BU179" s="260">
        <f>SUMIFS(領用表!$L:$L,領用表!$E:$E,$B179,領用表!$B:$B,$BR$2&amp;BU$2)</f>
        <v>0</v>
      </c>
      <c r="BV179" s="220">
        <f>SUMIFS(領用表!$L:$L,領用表!$E:$E,$B179,領用表!$B:$B,$BR$2&amp;BV$2)</f>
        <v>0</v>
      </c>
      <c r="BW179" s="208">
        <f>SUMIFS(領用表!$L:$L,領用表!$A:$A,BW$2,領用表!$E:$E,B179)</f>
        <v>0</v>
      </c>
      <c r="BX179" s="296">
        <f>SUMIFS(領用表!$L:$L,領用表!$E:$E,$B179,領用表!$B:$B,BW$2&amp;BX$2)</f>
        <v>0</v>
      </c>
      <c r="BY179" s="296">
        <f>SUMIFS(領用表!$L:$L,領用表!$E:$E,$B179,領用表!$B:$B,$BW$2&amp;BY$2)</f>
        <v>0</v>
      </c>
      <c r="BZ179" s="296">
        <f>SUMIFS(領用表!$L:$L,領用表!$E:$E,$B179,領用表!$B:$B,$BW$2&amp;BZ$2)</f>
        <v>0</v>
      </c>
      <c r="CA179" s="296">
        <f>SUMIFS(領用表!$L:$L,領用表!$E:$E,$B179,領用表!$B:$B,$BW$2&amp;CA$2)</f>
        <v>0</v>
      </c>
      <c r="CB179" s="208">
        <f>SUMIFS(領用表!$L:$L,領用表!$A:$A,CB$2,領用表!$E:$E,B179)</f>
        <v>0</v>
      </c>
      <c r="CC179" s="296">
        <f>SUMIFS(領用表!$L:$L,領用表!$E:$E,$B179,領用表!$B:$B,CB$2&amp;CC$2)</f>
        <v>0</v>
      </c>
      <c r="CD179" s="296">
        <f>SUMIFS(領用表!$L:$L,領用表!$E:$E,$B179,領用表!$B:$B,$CB$2&amp;CD$2)</f>
        <v>0</v>
      </c>
      <c r="CE179" s="296">
        <f>SUMIFS(領用表!$L:$L,領用表!$E:$E,$B179,領用表!$B:$B,$CB$2&amp;CE$2)</f>
        <v>0</v>
      </c>
      <c r="CF179" s="296">
        <f>SUMIFS(領用表!$L:$L,領用表!$E:$E,$B179,領用表!$B:$B,$CB$2&amp;CF$2)</f>
        <v>0</v>
      </c>
      <c r="CG179" s="335">
        <f>SUMIFS(領用表!$L:$L,領用表!$A:$A,CG$2,領用表!$E:$E,B179)</f>
        <v>0</v>
      </c>
      <c r="CH179" s="296">
        <f>SUMIFS(領用表!$L:$L,領用表!$E:$E,$B179,領用表!$B:$B,CG$2&amp;CH$2)</f>
        <v>0</v>
      </c>
      <c r="CI179" s="296">
        <f>SUMIFS(領用表!$L:$L,領用表!$E:$E,$B179,領用表!$B:$B,CG$2&amp;CI$2)</f>
        <v>0</v>
      </c>
      <c r="CJ179" s="296">
        <f>SUMIFS(領用表!$L:$L,領用表!$E:$E,$B179,領用表!$B:$B,CG$2&amp;CJ$2)</f>
        <v>0</v>
      </c>
      <c r="CK179" s="296">
        <f>SUMIFS(領用表!$L:$L,領用表!$E:$E,$B179,領用表!$B:$B,$CG$2&amp;CK$2)</f>
        <v>0</v>
      </c>
      <c r="CL179" s="207">
        <f t="shared" si="54"/>
        <v>480</v>
      </c>
      <c r="CM179" s="207">
        <f t="shared" si="55"/>
        <v>40</v>
      </c>
      <c r="CN179" s="208">
        <f>SUMIFS(領用表!$L:$L,領用表!$A:$A,CN$2,領用表!$E:$E,B179)</f>
        <v>0</v>
      </c>
      <c r="CO179" s="206">
        <f>SUMIFS(領用表!$L:$L,領用表!$E:$E,$B179,領用表!$B:$B,CN$2&amp;CO$2)</f>
        <v>0</v>
      </c>
      <c r="CP179" s="206">
        <f>SUMIFS(領用表!$L:$L,領用表!$E:$E,$B179,領用表!$B:$B,$CN$2&amp;CP$2)</f>
        <v>0</v>
      </c>
      <c r="CQ179" s="206">
        <f>SUMIFS(領用表!$L:$L,領用表!$E:$E,$B179,領用表!$B:$B,$CN$2&amp;CQ$2)</f>
        <v>0</v>
      </c>
      <c r="CR179" s="296">
        <f>SUMIFS(領用表!$L:$L,領用表!$E:$E,$B179,領用表!$B:$B,$CN$2&amp;CR$2)</f>
        <v>0</v>
      </c>
      <c r="CS179" s="208">
        <f>SUMIFS(領用表!$L:$L,領用表!$A:$A,CS$2,領用表!$E:$E,B179)</f>
        <v>0</v>
      </c>
      <c r="CT179" s="206">
        <f>SUMIFS(領用表!$L:$L,領用表!$E:$E,$B179,領用表!$B:$B,CS$2&amp;CT$2)</f>
        <v>0</v>
      </c>
      <c r="CU179" s="206">
        <f>SUMIFS(領用表!$L:$L,領用表!$E:$E,$B179,領用表!$B:$B,$CS$2&amp;CU$2)</f>
        <v>0</v>
      </c>
      <c r="CV179" s="206">
        <f>SUMIFS(領用表!$L:$L,領用表!$E:$E,$B179,領用表!$B:$B,$CS$2&amp;CV$2)</f>
        <v>0</v>
      </c>
      <c r="CW179" s="206">
        <f>SUMIFS(領用表!$L:$L,領用表!$E:$E,$B179,領用表!$B:$B,$CS$2&amp;CW$2)</f>
        <v>0</v>
      </c>
      <c r="CX179" s="206">
        <f>SUMIFS(領用表!$L:$L,領用表!$E:$E,$B179,領用表!$B:$B,$CS$2&amp;CX$2)</f>
        <v>0</v>
      </c>
      <c r="CY179" s="208">
        <f>SUMIFS(領用表!$L:$L,領用表!$A:$A,CY$2,領用表!$E:$E,B179)</f>
        <v>0</v>
      </c>
      <c r="CZ179" s="296">
        <f>SUMIFS(領用表!$L:$L,領用表!$E:$E,$B179,領用表!$B:$B,CY$2&amp;CZ$2)</f>
        <v>0</v>
      </c>
      <c r="DA179" s="296">
        <f>SUMIFS(領用表!$L:$L,領用表!$E:$E,$B179,領用表!$B:$B,$CY$2&amp;DA$2)</f>
        <v>0</v>
      </c>
      <c r="DB179" s="296">
        <f>SUMIFS(領用表!$L:$L,領用表!$E:$E,$B179,領用表!$B:$B,$CY$2&amp;DB$2)</f>
        <v>0</v>
      </c>
      <c r="DC179" s="296">
        <f>SUMIFS(領用表!$L:$L,領用表!$E:$E,$B179,領用表!$B:$B,$CY$2&amp;DC$2)</f>
        <v>0</v>
      </c>
      <c r="DD179" s="296">
        <f>SUMIFS(領用表!$L:$L,領用表!$E:$E,$B179,領用表!$B:$B,$CY$2&amp;DD$2)</f>
        <v>0</v>
      </c>
      <c r="DE179" s="208">
        <f>SUMIFS(領用表!$L:$L,領用表!$A:$A,DE$2,領用表!$E:$E,B179)</f>
        <v>0</v>
      </c>
      <c r="DF179" s="296">
        <f>SUMIFS(領用表!$L:$L,領用表!$E:$E,$B179,領用表!$B:$B,DE$2&amp;DF$2)</f>
        <v>0</v>
      </c>
      <c r="DG179" s="296">
        <f>SUMIFS(領用表!$L:$L,領用表!$E:$E,$B179,領用表!$B:$B,$DE$2&amp;DG$2)</f>
        <v>0</v>
      </c>
      <c r="DH179" s="296">
        <f>SUMIFS(領用表!$L:$L,領用表!$E:$E,$B179,領用表!$B:$B,$DE$2&amp;DH$2)</f>
        <v>0</v>
      </c>
      <c r="DI179" s="296">
        <f>SUMIFS(領用表!$L:$L,領用表!$E:$E,$B179,領用表!$B:$B,$DE$2&amp;DI$2)</f>
        <v>0</v>
      </c>
      <c r="DJ179" s="296">
        <f>SUMIFS(領用表!$L:$L,領用表!$E:$E,$B179,領用表!$B:$B,$DE$2&amp;DJ$2)</f>
        <v>0</v>
      </c>
      <c r="DK179" s="208">
        <f>SUMIFS(領用表!$L:$L,領用表!$A:$A,DK$2,領用表!$E:$E,$B179)</f>
        <v>0</v>
      </c>
      <c r="DL179" s="296">
        <f>SUMIFS(領用表!$L:$L,領用表!$E:$E,$B179,領用表!$B:$B,DK$2&amp;DL$2)</f>
        <v>0</v>
      </c>
      <c r="DM179" s="296">
        <f>SUMIFS(領用表!$L:$L,領用表!$E:$E,$B179,領用表!$B:$B,$DK$2&amp;DM$2)</f>
        <v>0</v>
      </c>
      <c r="DN179" s="296">
        <f>SUMIFS(領用表!$L:$L,領用表!$E:$E,$B179,領用表!$B:$B,$DK$2&amp;DN$2)</f>
        <v>0</v>
      </c>
      <c r="DO179" s="296">
        <f>SUMIFS(領用表!$L:$L,領用表!$E:$E,$B179,領用表!$B:$B,$DK$2&amp;DO$2)</f>
        <v>0</v>
      </c>
      <c r="DP179" s="296">
        <f>SUMIFS(領用表!$L:$L,領用表!$E:$E,$B179,領用表!$B:$B,$DK$2&amp;DP$2)</f>
        <v>0</v>
      </c>
      <c r="DQ179" s="296">
        <f t="shared" si="56"/>
        <v>0</v>
      </c>
      <c r="DR179" s="296">
        <f t="shared" si="57"/>
        <v>0</v>
      </c>
      <c r="DS179" s="296">
        <f t="shared" si="48"/>
        <v>0</v>
      </c>
      <c r="DT179" s="296">
        <v>0</v>
      </c>
      <c r="DU179" s="296">
        <v>0</v>
      </c>
      <c r="DV179" s="296">
        <v>0</v>
      </c>
      <c r="DW179" s="296">
        <v>0</v>
      </c>
      <c r="DX179" s="258"/>
      <c r="DY179" s="340"/>
      <c r="DZ179" s="340"/>
      <c r="EA179" s="340"/>
      <c r="ED179" s="118">
        <f>IFERROR(VLOOKUP(A179,站前4樓!A:BF,57,0),0)</f>
        <v>0</v>
      </c>
      <c r="EE179" s="213">
        <f>IFERROR(VLOOKUP(A179,站前11樓!A:BE,57,0),0)</f>
        <v>0</v>
      </c>
      <c r="EF179" s="118">
        <f>IFERROR(VLOOKUP(A179,忠孝7樓!A:N,57,0),0)</f>
        <v>0</v>
      </c>
      <c r="EG179" s="118">
        <f>IFERROR(VLOOKUP(A179,忠孝國際醫學3樓!A:L,57,0),0)</f>
        <v>0</v>
      </c>
      <c r="EH179" s="118">
        <f t="shared" si="51"/>
        <v>0</v>
      </c>
    </row>
    <row r="180" spans="1:138" s="118" customFormat="1" ht="15.75" customHeight="1">
      <c r="A180" s="136" t="s">
        <v>208</v>
      </c>
      <c r="C180" s="136" t="s">
        <v>580</v>
      </c>
      <c r="D180" s="285"/>
      <c r="E180" s="198" t="s">
        <v>15</v>
      </c>
      <c r="F180" s="225">
        <f>SUMIF(站前4樓!B:B,B180,站前4樓!F:F)</f>
        <v>0</v>
      </c>
      <c r="G180" s="225">
        <f>SUMIF(站前11樓!B:B,B180,站前11樓!F:F)</f>
        <v>0</v>
      </c>
      <c r="H180" s="225">
        <f>SUMIF(忠孝7樓!B:B,B180,忠孝7樓!G:G)</f>
        <v>0</v>
      </c>
      <c r="I180" s="225">
        <f>SUMIF(忠孝國際醫學3樓!B:B,B180,忠孝國際醫學3樓!G:G)</f>
        <v>0</v>
      </c>
      <c r="J180" s="225">
        <f>SUMIF(忠孝健康7樓!B:B,B180,忠孝健康7樓!G:G)</f>
        <v>0</v>
      </c>
      <c r="AU180" s="201">
        <v>0</v>
      </c>
      <c r="AV180" s="347">
        <v>0</v>
      </c>
      <c r="AW180" s="347">
        <v>0</v>
      </c>
      <c r="AX180" s="201">
        <v>0</v>
      </c>
      <c r="AY180" s="201">
        <v>0</v>
      </c>
      <c r="AZ180" s="201">
        <v>10</v>
      </c>
      <c r="BA180" s="201">
        <v>0</v>
      </c>
      <c r="BB180" s="201">
        <v>40</v>
      </c>
      <c r="BC180" s="203">
        <f>SUMIFS(領用表!$L:$L,領用表!$A:$A,BC$2,領用表!$E:$E,B180)</f>
        <v>0</v>
      </c>
      <c r="BD180" s="296">
        <f>SUMIFS(領用表!$L:$L,領用表!$E:$E,$B180,領用表!$B:$B,BC$2&amp;BD$2)</f>
        <v>0</v>
      </c>
      <c r="BE180" s="296">
        <f>SUMIFS(領用表!$L:$L,領用表!$E:$E,$B180,領用表!$B:$B,$BC$2&amp;BE$2)</f>
        <v>0</v>
      </c>
      <c r="BF180" s="296">
        <f>SUMIFS(領用表!$L:$L,領用表!$E:$E,$B180,領用表!$B:$B,$BC$2&amp;BF$2)</f>
        <v>0</v>
      </c>
      <c r="BG180" s="296">
        <f>SUMIFS(領用表!$L:$L,領用表!$E:$E,$B180,領用表!$B:$B,$BC$2&amp;BG$2)</f>
        <v>0</v>
      </c>
      <c r="BH180" s="203">
        <f>SUMIFS(領用表!$L:$L,領用表!$A:$A,BH$2,領用表!$E:$E,B180)</f>
        <v>0</v>
      </c>
      <c r="BI180" s="260">
        <f>SUMIFS(領用表!$L:$L,領用表!$E:$E,$B180,領用表!$B:$B,BH$2&amp;BI$2)</f>
        <v>0</v>
      </c>
      <c r="BJ180" s="260">
        <f>SUMIFS(領用表!$L:$L,領用表!$E:$E,$B180,領用表!$B:$B,$BH$2&amp;BJ$2)</f>
        <v>0</v>
      </c>
      <c r="BK180" s="260">
        <f>SUMIFS(領用表!$L:$L,領用表!$E:$E,$B180,領用表!$B:$B,$BH$2&amp;BK$2)</f>
        <v>0</v>
      </c>
      <c r="BL180" s="260">
        <f>SUMIFS(領用表!$L:$L,領用表!$E:$E,$B180,領用表!$B:$B,$BH$2&amp;BL$2)</f>
        <v>0</v>
      </c>
      <c r="BM180" s="203">
        <f>SUMIFS(領用表!$L:$L,領用表!$A:$A,BM$2,領用表!$E:$E,B180)</f>
        <v>0</v>
      </c>
      <c r="BN180" s="206">
        <f>SUMIFS(領用表!$L:$L,領用表!$E:$E,$B180,領用表!$B:$B,BM$2&amp;BN$2)</f>
        <v>0</v>
      </c>
      <c r="BO180" s="206">
        <f>SUMIFS(領用表!$L:$L,領用表!$E:$E,$B180,領用表!$B:$B,$BM$2&amp;BO$2)</f>
        <v>0</v>
      </c>
      <c r="BP180" s="288">
        <f>SUMIFS(領用表!$L:$L,領用表!$E:$E,$B180,領用表!$B:$B,$BM$2&amp;BP$2)</f>
        <v>0</v>
      </c>
      <c r="BQ180" s="287">
        <f>SUMIFS(領用表!$L:$L,領用表!$E:$E,$B180,領用表!$B:$B,$BM$2&amp;BQ$2)</f>
        <v>0</v>
      </c>
      <c r="BR180" s="203">
        <f>SUMIFS(領用表!$L:$L,領用表!$A:$A,BR$2,領用表!$E:$E,B180)</f>
        <v>0</v>
      </c>
      <c r="BS180" s="260">
        <f>SUMIFS(領用表!$L:$L,領用表!$E:$E,$B180,領用表!$B:$B,BR$2&amp;BS$2)</f>
        <v>0</v>
      </c>
      <c r="BT180" s="260">
        <f>SUMIFS(領用表!$L:$L,領用表!$E:$E,$B180,領用表!$B:$B,$BR$2&amp;BT$2)</f>
        <v>0</v>
      </c>
      <c r="BU180" s="260">
        <f>SUMIFS(領用表!$L:$L,領用表!$E:$E,$B180,領用表!$B:$B,$BR$2&amp;BU$2)</f>
        <v>0</v>
      </c>
      <c r="BV180" s="220">
        <f>SUMIFS(領用表!$L:$L,領用表!$E:$E,$B180,領用表!$B:$B,$BR$2&amp;BV$2)</f>
        <v>0</v>
      </c>
      <c r="BW180" s="208">
        <f>SUMIFS(領用表!$L:$L,領用表!$A:$A,BW$2,領用表!$E:$E,B180)</f>
        <v>0</v>
      </c>
      <c r="BX180" s="296">
        <f>SUMIFS(領用表!$L:$L,領用表!$E:$E,$B180,領用表!$B:$B,BW$2&amp;BX$2)</f>
        <v>0</v>
      </c>
      <c r="BY180" s="296">
        <f>SUMIFS(領用表!$L:$L,領用表!$E:$E,$B180,領用表!$B:$B,$BW$2&amp;BY$2)</f>
        <v>0</v>
      </c>
      <c r="BZ180" s="296">
        <f>SUMIFS(領用表!$L:$L,領用表!$E:$E,$B180,領用表!$B:$B,$BW$2&amp;BZ$2)</f>
        <v>0</v>
      </c>
      <c r="CA180" s="296">
        <f>SUMIFS(領用表!$L:$L,領用表!$E:$E,$B180,領用表!$B:$B,$BW$2&amp;CA$2)</f>
        <v>0</v>
      </c>
      <c r="CB180" s="208">
        <f>SUMIFS(領用表!$L:$L,領用表!$A:$A,CB$2,領用表!$E:$E,B180)</f>
        <v>0</v>
      </c>
      <c r="CC180" s="296">
        <f>SUMIFS(領用表!$L:$L,領用表!$E:$E,$B180,領用表!$B:$B,CB$2&amp;CC$2)</f>
        <v>0</v>
      </c>
      <c r="CD180" s="296">
        <f>SUMIFS(領用表!$L:$L,領用表!$E:$E,$B180,領用表!$B:$B,$CB$2&amp;CD$2)</f>
        <v>0</v>
      </c>
      <c r="CE180" s="296">
        <f>SUMIFS(領用表!$L:$L,領用表!$E:$E,$B180,領用表!$B:$B,$CB$2&amp;CE$2)</f>
        <v>0</v>
      </c>
      <c r="CF180" s="296">
        <f>SUMIFS(領用表!$L:$L,領用表!$E:$E,$B180,領用表!$B:$B,$CB$2&amp;CF$2)</f>
        <v>0</v>
      </c>
      <c r="CG180" s="335">
        <f>SUMIFS(領用表!$L:$L,領用表!$A:$A,CG$2,領用表!$E:$E,B180)</f>
        <v>0</v>
      </c>
      <c r="CH180" s="296">
        <f>SUMIFS(領用表!$L:$L,領用表!$E:$E,$B180,領用表!$B:$B,CG$2&amp;CH$2)</f>
        <v>0</v>
      </c>
      <c r="CI180" s="296">
        <f>SUMIFS(領用表!$L:$L,領用表!$E:$E,$B180,領用表!$B:$B,CG$2&amp;CI$2)</f>
        <v>0</v>
      </c>
      <c r="CJ180" s="296">
        <f>SUMIFS(領用表!$L:$L,領用表!$E:$E,$B180,領用表!$B:$B,CG$2&amp;CJ$2)</f>
        <v>0</v>
      </c>
      <c r="CK180" s="296">
        <f>SUMIFS(領用表!$L:$L,領用表!$E:$E,$B180,領用表!$B:$B,$CG$2&amp;CK$2)</f>
        <v>0</v>
      </c>
      <c r="CL180" s="207">
        <f t="shared" si="54"/>
        <v>50</v>
      </c>
      <c r="CM180" s="207">
        <f t="shared" si="55"/>
        <v>4.166666666666667</v>
      </c>
      <c r="CN180" s="208">
        <f>SUMIFS(領用表!$L:$L,領用表!$A:$A,CN$2,領用表!$E:$E,B180)</f>
        <v>0</v>
      </c>
      <c r="CO180" s="206">
        <f>SUMIFS(領用表!$L:$L,領用表!$E:$E,$B180,領用表!$B:$B,CN$2&amp;CO$2)</f>
        <v>0</v>
      </c>
      <c r="CP180" s="206">
        <f>SUMIFS(領用表!$L:$L,領用表!$E:$E,$B180,領用表!$B:$B,$CN$2&amp;CP$2)</f>
        <v>0</v>
      </c>
      <c r="CQ180" s="206">
        <f>SUMIFS(領用表!$L:$L,領用表!$E:$E,$B180,領用表!$B:$B,$CN$2&amp;CQ$2)</f>
        <v>0</v>
      </c>
      <c r="CR180" s="296">
        <f>SUMIFS(領用表!$L:$L,領用表!$E:$E,$B180,領用表!$B:$B,$CN$2&amp;CR$2)</f>
        <v>0</v>
      </c>
      <c r="CS180" s="208">
        <f>SUMIFS(領用表!$L:$L,領用表!$A:$A,CS$2,領用表!$E:$E,B180)</f>
        <v>0</v>
      </c>
      <c r="CT180" s="206">
        <f>SUMIFS(領用表!$L:$L,領用表!$E:$E,$B180,領用表!$B:$B,CS$2&amp;CT$2)</f>
        <v>0</v>
      </c>
      <c r="CU180" s="206">
        <f>SUMIFS(領用表!$L:$L,領用表!$E:$E,$B180,領用表!$B:$B,$CS$2&amp;CU$2)</f>
        <v>0</v>
      </c>
      <c r="CV180" s="206">
        <f>SUMIFS(領用表!$L:$L,領用表!$E:$E,$B180,領用表!$B:$B,$CS$2&amp;CV$2)</f>
        <v>0</v>
      </c>
      <c r="CW180" s="206">
        <f>SUMIFS(領用表!$L:$L,領用表!$E:$E,$B180,領用表!$B:$B,$CS$2&amp;CW$2)</f>
        <v>0</v>
      </c>
      <c r="CX180" s="206">
        <f>SUMIFS(領用表!$L:$L,領用表!$E:$E,$B180,領用表!$B:$B,$CS$2&amp;CX$2)</f>
        <v>0</v>
      </c>
      <c r="CY180" s="208">
        <f>SUMIFS(領用表!$L:$L,領用表!$A:$A,CY$2,領用表!$E:$E,B180)</f>
        <v>0</v>
      </c>
      <c r="CZ180" s="296">
        <f>SUMIFS(領用表!$L:$L,領用表!$E:$E,$B180,領用表!$B:$B,CY$2&amp;CZ$2)</f>
        <v>0</v>
      </c>
      <c r="DA180" s="296">
        <f>SUMIFS(領用表!$L:$L,領用表!$E:$E,$B180,領用表!$B:$B,$CY$2&amp;DA$2)</f>
        <v>0</v>
      </c>
      <c r="DB180" s="296">
        <f>SUMIFS(領用表!$L:$L,領用表!$E:$E,$B180,領用表!$B:$B,$CY$2&amp;DB$2)</f>
        <v>0</v>
      </c>
      <c r="DC180" s="296">
        <f>SUMIFS(領用表!$L:$L,領用表!$E:$E,$B180,領用表!$B:$B,$CY$2&amp;DC$2)</f>
        <v>0</v>
      </c>
      <c r="DD180" s="296">
        <f>SUMIFS(領用表!$L:$L,領用表!$E:$E,$B180,領用表!$B:$B,$CY$2&amp;DD$2)</f>
        <v>0</v>
      </c>
      <c r="DE180" s="208">
        <f>SUMIFS(領用表!$L:$L,領用表!$A:$A,DE$2,領用表!$E:$E,B180)</f>
        <v>0</v>
      </c>
      <c r="DF180" s="296">
        <f>SUMIFS(領用表!$L:$L,領用表!$E:$E,$B180,領用表!$B:$B,DE$2&amp;DF$2)</f>
        <v>0</v>
      </c>
      <c r="DG180" s="296">
        <f>SUMIFS(領用表!$L:$L,領用表!$E:$E,$B180,領用表!$B:$B,$DE$2&amp;DG$2)</f>
        <v>0</v>
      </c>
      <c r="DH180" s="296">
        <f>SUMIFS(領用表!$L:$L,領用表!$E:$E,$B180,領用表!$B:$B,$DE$2&amp;DH$2)</f>
        <v>0</v>
      </c>
      <c r="DI180" s="296">
        <f>SUMIFS(領用表!$L:$L,領用表!$E:$E,$B180,領用表!$B:$B,$DE$2&amp;DI$2)</f>
        <v>0</v>
      </c>
      <c r="DJ180" s="296">
        <f>SUMIFS(領用表!$L:$L,領用表!$E:$E,$B180,領用表!$B:$B,$DE$2&amp;DJ$2)</f>
        <v>0</v>
      </c>
      <c r="DK180" s="208">
        <f>SUMIFS(領用表!$L:$L,領用表!$A:$A,DK$2,領用表!$E:$E,$B180)</f>
        <v>0</v>
      </c>
      <c r="DL180" s="296">
        <f>SUMIFS(領用表!$L:$L,領用表!$E:$E,$B180,領用表!$B:$B,DK$2&amp;DL$2)</f>
        <v>0</v>
      </c>
      <c r="DM180" s="296">
        <f>SUMIFS(領用表!$L:$L,領用表!$E:$E,$B180,領用表!$B:$B,$DK$2&amp;DM$2)</f>
        <v>0</v>
      </c>
      <c r="DN180" s="296">
        <f>SUMIFS(領用表!$L:$L,領用表!$E:$E,$B180,領用表!$B:$B,$DK$2&amp;DN$2)</f>
        <v>0</v>
      </c>
      <c r="DO180" s="296">
        <f>SUMIFS(領用表!$L:$L,領用表!$E:$E,$B180,領用表!$B:$B,$DK$2&amp;DO$2)</f>
        <v>0</v>
      </c>
      <c r="DP180" s="296">
        <f>SUMIFS(領用表!$L:$L,領用表!$E:$E,$B180,領用表!$B:$B,$DK$2&amp;DP$2)</f>
        <v>0</v>
      </c>
      <c r="DQ180" s="330">
        <f t="shared" si="56"/>
        <v>0</v>
      </c>
      <c r="DR180" s="330">
        <f t="shared" si="57"/>
        <v>0</v>
      </c>
      <c r="DS180" s="330">
        <f t="shared" si="48"/>
        <v>0</v>
      </c>
      <c r="DT180" s="330">
        <v>0</v>
      </c>
      <c r="DU180" s="330">
        <v>0</v>
      </c>
      <c r="DV180" s="330">
        <v>0</v>
      </c>
      <c r="DW180" s="330">
        <v>0</v>
      </c>
      <c r="DX180" s="338"/>
      <c r="DY180" s="342"/>
      <c r="DZ180" s="343"/>
      <c r="EA180" s="343"/>
      <c r="ED180" s="118">
        <f>IFERROR(VLOOKUP(A180,站前4樓!A:BF,57,0),0)</f>
        <v>0</v>
      </c>
      <c r="EE180" s="213">
        <f>IFERROR(VLOOKUP(A180,站前11樓!A:BE,57,0),0)</f>
        <v>0</v>
      </c>
      <c r="EF180" s="118">
        <f>IFERROR(VLOOKUP(A180,忠孝7樓!A:N,57,0),0)</f>
        <v>0</v>
      </c>
      <c r="EG180" s="118">
        <f>IFERROR(VLOOKUP(A180,忠孝國際醫學3樓!A:L,57,0),0)</f>
        <v>0</v>
      </c>
      <c r="EH180" s="118">
        <f t="shared" si="51"/>
        <v>0</v>
      </c>
    </row>
    <row r="181" spans="1:138" s="118" customFormat="1" ht="15.75" customHeight="1">
      <c r="A181" s="136" t="s">
        <v>209</v>
      </c>
      <c r="B181" s="118">
        <v>6020002</v>
      </c>
      <c r="C181" s="136" t="s">
        <v>581</v>
      </c>
      <c r="D181" s="285"/>
      <c r="E181" s="198" t="s">
        <v>15</v>
      </c>
      <c r="F181" s="225">
        <f>SUMIF(站前4樓!B:B,B181,站前4樓!F:F)</f>
        <v>0</v>
      </c>
      <c r="G181" s="225">
        <f>SUMIF(站前11樓!B:B,B181,站前11樓!F:F)</f>
        <v>0</v>
      </c>
      <c r="H181" s="225">
        <f>SUMIF(忠孝7樓!B:B,B181,忠孝7樓!G:G)</f>
        <v>0</v>
      </c>
      <c r="I181" s="225">
        <f>SUMIF(忠孝國際醫學3樓!B:B,B181,忠孝國際醫學3樓!G:G)</f>
        <v>0</v>
      </c>
      <c r="J181" s="225">
        <f>SUMIF(忠孝健康7樓!B:B,B181,忠孝健康7樓!G:G)</f>
        <v>0</v>
      </c>
      <c r="AU181" s="201"/>
      <c r="AV181" s="347"/>
      <c r="AW181" s="347"/>
      <c r="AX181" s="201"/>
      <c r="AY181" s="201"/>
      <c r="AZ181" s="201"/>
      <c r="BA181" s="201"/>
      <c r="BB181" s="201"/>
      <c r="BC181" s="203">
        <f>SUMIFS(領用表!$L:$L,領用表!$A:$A,BC$2,領用表!$E:$E,B181)</f>
        <v>0</v>
      </c>
      <c r="BD181" s="296">
        <f>SUMIFS(領用表!$L:$L,領用表!$E:$E,$B181,領用表!$B:$B,BC$2&amp;BD$2)</f>
        <v>0</v>
      </c>
      <c r="BE181" s="296">
        <f>SUMIFS(領用表!$L:$L,領用表!$E:$E,$B181,領用表!$B:$B,$BC$2&amp;BE$2)</f>
        <v>0</v>
      </c>
      <c r="BF181" s="296">
        <f>SUMIFS(領用表!$L:$L,領用表!$E:$E,$B181,領用表!$B:$B,$BC$2&amp;BF$2)</f>
        <v>0</v>
      </c>
      <c r="BG181" s="296">
        <f>SUMIFS(領用表!$L:$L,領用表!$E:$E,$B181,領用表!$B:$B,$BC$2&amp;BG$2)</f>
        <v>0</v>
      </c>
      <c r="BH181" s="203">
        <f>SUMIFS(領用表!$L:$L,領用表!$A:$A,BH$2,領用表!$E:$E,B181)</f>
        <v>0</v>
      </c>
      <c r="BI181" s="260">
        <f>SUMIFS(領用表!$L:$L,領用表!$E:$E,$B181,領用表!$B:$B,BH$2&amp;BI$2)</f>
        <v>0</v>
      </c>
      <c r="BJ181" s="260">
        <f>SUMIFS(領用表!$L:$L,領用表!$E:$E,$B181,領用表!$B:$B,$BH$2&amp;BJ$2)</f>
        <v>0</v>
      </c>
      <c r="BK181" s="260">
        <f>SUMIFS(領用表!$L:$L,領用表!$E:$E,$B181,領用表!$B:$B,$BH$2&amp;BK$2)</f>
        <v>0</v>
      </c>
      <c r="BL181" s="260">
        <f>SUMIFS(領用表!$L:$L,領用表!$E:$E,$B181,領用表!$B:$B,$BH$2&amp;BL$2)</f>
        <v>0</v>
      </c>
      <c r="BM181" s="203">
        <f>SUMIFS(領用表!$L:$L,領用表!$A:$A,BM$2,領用表!$E:$E,B181)</f>
        <v>0</v>
      </c>
      <c r="BN181" s="206">
        <f>SUMIFS(領用表!$L:$L,領用表!$E:$E,$B181,領用表!$B:$B,BM$2&amp;BN$2)</f>
        <v>0</v>
      </c>
      <c r="BO181" s="206">
        <f>SUMIFS(領用表!$L:$L,領用表!$E:$E,$B181,領用表!$B:$B,$BM$2&amp;BO$2)</f>
        <v>0</v>
      </c>
      <c r="BP181" s="288">
        <f>SUMIFS(領用表!$L:$L,領用表!$E:$E,$B181,領用表!$B:$B,$BM$2&amp;BP$2)</f>
        <v>0</v>
      </c>
      <c r="BQ181" s="287">
        <f>SUMIFS(領用表!$L:$L,領用表!$E:$E,$B181,領用表!$B:$B,$BM$2&amp;BQ$2)</f>
        <v>0</v>
      </c>
      <c r="BR181" s="203">
        <f>SUMIFS(領用表!$L:$L,領用表!$A:$A,BR$2,領用表!$E:$E,B181)</f>
        <v>0</v>
      </c>
      <c r="BS181" s="260">
        <f>SUMIFS(領用表!$L:$L,領用表!$E:$E,$B181,領用表!$B:$B,BR$2&amp;BS$2)</f>
        <v>0</v>
      </c>
      <c r="BT181" s="260">
        <f>SUMIFS(領用表!$L:$L,領用表!$E:$E,$B181,領用表!$B:$B,$BR$2&amp;BT$2)</f>
        <v>0</v>
      </c>
      <c r="BU181" s="260">
        <f>SUMIFS(領用表!$L:$L,領用表!$E:$E,$B181,領用表!$B:$B,$BR$2&amp;BU$2)</f>
        <v>0</v>
      </c>
      <c r="BV181" s="220">
        <f>SUMIFS(領用表!$L:$L,領用表!$E:$E,$B181,領用表!$B:$B,$BR$2&amp;BV$2)</f>
        <v>0</v>
      </c>
      <c r="BW181" s="208">
        <f>SUMIFS(領用表!$L:$L,領用表!$A:$A,BW$2,領用表!$E:$E,B181)</f>
        <v>0</v>
      </c>
      <c r="BX181" s="296">
        <f>SUMIFS(領用表!$L:$L,領用表!$E:$E,$B181,領用表!$B:$B,BW$2&amp;BX$2)</f>
        <v>0</v>
      </c>
      <c r="BY181" s="296">
        <f>SUMIFS(領用表!$L:$L,領用表!$E:$E,$B181,領用表!$B:$B,$BW$2&amp;BY$2)</f>
        <v>0</v>
      </c>
      <c r="BZ181" s="296">
        <f>SUMIFS(領用表!$L:$L,領用表!$E:$E,$B181,領用表!$B:$B,$BW$2&amp;BZ$2)</f>
        <v>0</v>
      </c>
      <c r="CA181" s="296">
        <f>SUMIFS(領用表!$L:$L,領用表!$E:$E,$B181,領用表!$B:$B,$BW$2&amp;CA$2)</f>
        <v>0</v>
      </c>
      <c r="CB181" s="208">
        <f>SUMIFS(領用表!$L:$L,領用表!$A:$A,CB$2,領用表!$E:$E,B181)</f>
        <v>0</v>
      </c>
      <c r="CC181" s="296">
        <f>SUMIFS(領用表!$L:$L,領用表!$E:$E,$B181,領用表!$B:$B,CB$2&amp;CC$2)</f>
        <v>0</v>
      </c>
      <c r="CD181" s="296">
        <f>SUMIFS(領用表!$L:$L,領用表!$E:$E,$B181,領用表!$B:$B,$CB$2&amp;CD$2)</f>
        <v>0</v>
      </c>
      <c r="CE181" s="296">
        <f>SUMIFS(領用表!$L:$L,領用表!$E:$E,$B181,領用表!$B:$B,$CB$2&amp;CE$2)</f>
        <v>0</v>
      </c>
      <c r="CF181" s="296">
        <f>SUMIFS(領用表!$L:$L,領用表!$E:$E,$B181,領用表!$B:$B,$CB$2&amp;CF$2)</f>
        <v>0</v>
      </c>
      <c r="CG181" s="335">
        <f>SUMIFS(領用表!$L:$L,領用表!$A:$A,CG$2,領用表!$E:$E,B181)</f>
        <v>0</v>
      </c>
      <c r="CH181" s="296">
        <f>SUMIFS(領用表!$L:$L,領用表!$E:$E,$B181,領用表!$B:$B,CG$2&amp;CH$2)</f>
        <v>0</v>
      </c>
      <c r="CI181" s="296">
        <f>SUMIFS(領用表!$L:$L,領用表!$E:$E,$B181,領用表!$B:$B,CG$2&amp;CI$2)</f>
        <v>0</v>
      </c>
      <c r="CJ181" s="296">
        <f>SUMIFS(領用表!$L:$L,領用表!$E:$E,$B181,領用表!$B:$B,CG$2&amp;CJ$2)</f>
        <v>0</v>
      </c>
      <c r="CK181" s="296">
        <f>SUMIFS(領用表!$L:$L,領用表!$E:$E,$B181,領用表!$B:$B,$CG$2&amp;CK$2)</f>
        <v>0</v>
      </c>
      <c r="CL181" s="207">
        <f t="shared" si="54"/>
        <v>0</v>
      </c>
      <c r="CM181" s="207">
        <f t="shared" si="55"/>
        <v>0</v>
      </c>
      <c r="CN181" s="208">
        <f>SUMIFS(領用表!$L:$L,領用表!$A:$A,CN$2,領用表!$E:$E,B181)</f>
        <v>0</v>
      </c>
      <c r="CO181" s="206">
        <f>SUMIFS(領用表!$L:$L,領用表!$E:$E,$B181,領用表!$B:$B,CN$2&amp;CO$2)</f>
        <v>0</v>
      </c>
      <c r="CP181" s="206">
        <f>SUMIFS(領用表!$L:$L,領用表!$E:$E,$B181,領用表!$B:$B,$CN$2&amp;CP$2)</f>
        <v>0</v>
      </c>
      <c r="CQ181" s="206">
        <f>SUMIFS(領用表!$L:$L,領用表!$E:$E,$B181,領用表!$B:$B,$CN$2&amp;CQ$2)</f>
        <v>0</v>
      </c>
      <c r="CR181" s="296">
        <f>SUMIFS(領用表!$L:$L,領用表!$E:$E,$B181,領用表!$B:$B,$CN$2&amp;CR$2)</f>
        <v>0</v>
      </c>
      <c r="CS181" s="208">
        <f>SUMIFS(領用表!$L:$L,領用表!$A:$A,CS$2,領用表!$E:$E,B181)</f>
        <v>0</v>
      </c>
      <c r="CT181" s="206">
        <f>SUMIFS(領用表!$L:$L,領用表!$E:$E,$B181,領用表!$B:$B,CS$2&amp;CT$2)</f>
        <v>0</v>
      </c>
      <c r="CU181" s="206">
        <f>SUMIFS(領用表!$L:$L,領用表!$E:$E,$B181,領用表!$B:$B,$CS$2&amp;CU$2)</f>
        <v>0</v>
      </c>
      <c r="CV181" s="206">
        <f>SUMIFS(領用表!$L:$L,領用表!$E:$E,$B181,領用表!$B:$B,$CS$2&amp;CV$2)</f>
        <v>0</v>
      </c>
      <c r="CW181" s="206">
        <f>SUMIFS(領用表!$L:$L,領用表!$E:$E,$B181,領用表!$B:$B,$CS$2&amp;CW$2)</f>
        <v>0</v>
      </c>
      <c r="CX181" s="206">
        <f>SUMIFS(領用表!$L:$L,領用表!$E:$E,$B181,領用表!$B:$B,$CS$2&amp;CX$2)</f>
        <v>0</v>
      </c>
      <c r="CY181" s="208">
        <f>SUMIFS(領用表!$L:$L,領用表!$A:$A,CY$2,領用表!$E:$E,B181)</f>
        <v>0</v>
      </c>
      <c r="CZ181" s="296">
        <f>SUMIFS(領用表!$L:$L,領用表!$E:$E,$B181,領用表!$B:$B,CY$2&amp;CZ$2)</f>
        <v>0</v>
      </c>
      <c r="DA181" s="296">
        <f>SUMIFS(領用表!$L:$L,領用表!$E:$E,$B181,領用表!$B:$B,$CY$2&amp;DA$2)</f>
        <v>0</v>
      </c>
      <c r="DB181" s="296">
        <f>SUMIFS(領用表!$L:$L,領用表!$E:$E,$B181,領用表!$B:$B,$CY$2&amp;DB$2)</f>
        <v>0</v>
      </c>
      <c r="DC181" s="296">
        <f>SUMIFS(領用表!$L:$L,領用表!$E:$E,$B181,領用表!$B:$B,$CY$2&amp;DC$2)</f>
        <v>0</v>
      </c>
      <c r="DD181" s="296">
        <f>SUMIFS(領用表!$L:$L,領用表!$E:$E,$B181,領用表!$B:$B,$CY$2&amp;DD$2)</f>
        <v>0</v>
      </c>
      <c r="DE181" s="208">
        <f>SUMIFS(領用表!$L:$L,領用表!$A:$A,DE$2,領用表!$E:$E,B181)</f>
        <v>0</v>
      </c>
      <c r="DF181" s="296">
        <f>SUMIFS(領用表!$L:$L,領用表!$E:$E,$B181,領用表!$B:$B,DE$2&amp;DF$2)</f>
        <v>0</v>
      </c>
      <c r="DG181" s="296">
        <f>SUMIFS(領用表!$L:$L,領用表!$E:$E,$B181,領用表!$B:$B,$DE$2&amp;DG$2)</f>
        <v>0</v>
      </c>
      <c r="DH181" s="296">
        <f>SUMIFS(領用表!$L:$L,領用表!$E:$E,$B181,領用表!$B:$B,$DE$2&amp;DH$2)</f>
        <v>0</v>
      </c>
      <c r="DI181" s="296">
        <f>SUMIFS(領用表!$L:$L,領用表!$E:$E,$B181,領用表!$B:$B,$DE$2&amp;DI$2)</f>
        <v>0</v>
      </c>
      <c r="DJ181" s="296">
        <f>SUMIFS(領用表!$L:$L,領用表!$E:$E,$B181,領用表!$B:$B,$DE$2&amp;DJ$2)</f>
        <v>0</v>
      </c>
      <c r="DK181" s="208">
        <f>SUMIFS(領用表!$L:$L,領用表!$A:$A,DK$2,領用表!$E:$E,$B181)</f>
        <v>0</v>
      </c>
      <c r="DL181" s="296">
        <f>SUMIFS(領用表!$L:$L,領用表!$E:$E,$B181,領用表!$B:$B,DK$2&amp;DL$2)</f>
        <v>0</v>
      </c>
      <c r="DM181" s="296">
        <f>SUMIFS(領用表!$L:$L,領用表!$E:$E,$B181,領用表!$B:$B,$DK$2&amp;DM$2)</f>
        <v>0</v>
      </c>
      <c r="DN181" s="296">
        <f>SUMIFS(領用表!$L:$L,領用表!$E:$E,$B181,領用表!$B:$B,$DK$2&amp;DN$2)</f>
        <v>0</v>
      </c>
      <c r="DO181" s="296">
        <f>SUMIFS(領用表!$L:$L,領用表!$E:$E,$B181,領用表!$B:$B,$DK$2&amp;DO$2)</f>
        <v>0</v>
      </c>
      <c r="DP181" s="296">
        <f>SUMIFS(領用表!$L:$L,領用表!$E:$E,$B181,領用表!$B:$B,$DK$2&amp;DP$2)</f>
        <v>0</v>
      </c>
      <c r="DQ181" s="330">
        <f t="shared" si="56"/>
        <v>0</v>
      </c>
      <c r="DR181" s="330">
        <f t="shared" si="57"/>
        <v>0</v>
      </c>
      <c r="DS181" s="330">
        <f t="shared" si="48"/>
        <v>0</v>
      </c>
      <c r="DT181" s="330">
        <v>0</v>
      </c>
      <c r="DU181" s="330">
        <v>0</v>
      </c>
      <c r="DV181" s="330">
        <v>0</v>
      </c>
      <c r="DW181" s="330">
        <v>0</v>
      </c>
      <c r="DX181" s="338"/>
      <c r="DY181" s="342"/>
      <c r="DZ181" s="340"/>
      <c r="EA181" s="340"/>
      <c r="ED181" s="118">
        <f>IFERROR(VLOOKUP(A181,站前4樓!A:BF,57,0),0)</f>
        <v>0</v>
      </c>
      <c r="EE181" s="213">
        <f>IFERROR(VLOOKUP(A181,站前11樓!A:BE,57,0),0)</f>
        <v>0</v>
      </c>
      <c r="EF181" s="118">
        <f>IFERROR(VLOOKUP(A181,忠孝7樓!A:N,57,0),0)</f>
        <v>0</v>
      </c>
      <c r="EG181" s="118">
        <f>IFERROR(VLOOKUP(A181,忠孝國際醫學3樓!A:L,57,0),0)</f>
        <v>0</v>
      </c>
      <c r="EH181" s="118">
        <f t="shared" si="51"/>
        <v>0</v>
      </c>
    </row>
    <row r="182" spans="1:138" s="118" customFormat="1" ht="15.75" customHeight="1">
      <c r="A182" s="136" t="s">
        <v>210</v>
      </c>
      <c r="B182" s="118">
        <v>1080005</v>
      </c>
      <c r="C182" s="136" t="s">
        <v>582</v>
      </c>
      <c r="D182" s="285"/>
      <c r="E182" s="198" t="s">
        <v>15</v>
      </c>
      <c r="F182" s="225">
        <f>SUMIF(站前4樓!B:B,B182,站前4樓!F:F)</f>
        <v>0</v>
      </c>
      <c r="G182" s="225">
        <f>SUMIF(站前11樓!B:B,B182,站前11樓!F:F)</f>
        <v>0</v>
      </c>
      <c r="H182" s="225">
        <f>SUMIF(忠孝7樓!B:B,B182,忠孝7樓!G:G)</f>
        <v>0</v>
      </c>
      <c r="I182" s="225">
        <f>SUMIF(忠孝國際醫學3樓!B:B,B182,忠孝國際醫學3樓!G:G)</f>
        <v>0</v>
      </c>
      <c r="J182" s="225">
        <f>SUMIF(忠孝健康7樓!B:B,B182,忠孝健康7樓!G:G)</f>
        <v>0</v>
      </c>
      <c r="AJ182" s="348"/>
      <c r="AK182" s="348"/>
      <c r="AL182" s="348"/>
      <c r="AM182" s="348"/>
      <c r="AN182" s="348"/>
      <c r="AO182" s="348"/>
      <c r="AP182" s="348"/>
      <c r="AQ182" s="201">
        <v>0</v>
      </c>
      <c r="AR182" s="201">
        <v>800</v>
      </c>
      <c r="AS182" s="201">
        <v>0</v>
      </c>
      <c r="AT182" s="201">
        <v>1000</v>
      </c>
      <c r="AU182" s="201">
        <v>800</v>
      </c>
      <c r="AV182" s="283">
        <f>SUM(AJ182:AU182)</f>
        <v>2600</v>
      </c>
      <c r="AW182" s="286">
        <f>AV182/12</f>
        <v>216.66666666666666</v>
      </c>
      <c r="AX182" s="201">
        <v>1400</v>
      </c>
      <c r="AY182" s="201">
        <v>2700</v>
      </c>
      <c r="AZ182" s="201">
        <v>1200</v>
      </c>
      <c r="BA182" s="201">
        <v>1200</v>
      </c>
      <c r="BB182" s="201">
        <v>0</v>
      </c>
      <c r="BC182" s="203">
        <f>SUMIFS(領用表!$L:$L,領用表!$A:$A,BC$2,領用表!$E:$E,B182)</f>
        <v>0</v>
      </c>
      <c r="BD182" s="296">
        <f>SUMIFS(領用表!$L:$L,領用表!$E:$E,$B182,領用表!$B:$B,BC$2&amp;BD$2)</f>
        <v>0</v>
      </c>
      <c r="BE182" s="330">
        <f>SUMIFS(領用表!$L:$L,領用表!$E:$E,$B182,領用表!$B:$B,$BC$2&amp;BE$2)</f>
        <v>0</v>
      </c>
      <c r="BF182" s="330">
        <f>SUMIFS(領用表!$L:$L,領用表!$E:$E,$B182,領用表!$B:$B,$BC$2&amp;BF$2)</f>
        <v>0</v>
      </c>
      <c r="BG182" s="330">
        <f>SUMIFS(領用表!$L:$L,領用表!$E:$E,$B182,領用表!$B:$B,$BC$2&amp;BG$2)</f>
        <v>0</v>
      </c>
      <c r="BH182" s="203">
        <f>SUMIFS(領用表!$L:$L,領用表!$A:$A,BH$2,領用表!$E:$E,B182)</f>
        <v>0</v>
      </c>
      <c r="BI182" s="260">
        <f>SUMIFS(領用表!$L:$L,領用表!$E:$E,$B182,領用表!$B:$B,BH$2&amp;BI$2)</f>
        <v>0</v>
      </c>
      <c r="BJ182" s="260">
        <f>SUMIFS(領用表!$L:$L,領用表!$E:$E,$B182,領用表!$B:$B,$BH$2&amp;BJ$2)</f>
        <v>0</v>
      </c>
      <c r="BK182" s="260">
        <f>SUMIFS(領用表!$L:$L,領用表!$E:$E,$B182,領用表!$B:$B,$BH$2&amp;BK$2)</f>
        <v>0</v>
      </c>
      <c r="BL182" s="260">
        <f>SUMIFS(領用表!$L:$L,領用表!$E:$E,$B182,領用表!$B:$B,$BH$2&amp;BL$2)</f>
        <v>0</v>
      </c>
      <c r="BM182" s="203">
        <f>SUMIFS(領用表!$L:$L,領用表!$A:$A,BM$2,領用表!$E:$E,B182)</f>
        <v>0</v>
      </c>
      <c r="BN182" s="331">
        <f>SUMIFS(領用表!$L:$L,領用表!$E:$E,$B182,領用表!$B:$B,BM$2&amp;BN$2)</f>
        <v>0</v>
      </c>
      <c r="BO182" s="331">
        <f>SUMIFS(領用表!$L:$L,領用表!$E:$E,$B182,領用表!$B:$B,$BM$2&amp;BO$2)</f>
        <v>0</v>
      </c>
      <c r="BP182" s="288">
        <f>SUMIFS(領用表!$L:$L,領用表!$E:$E,$B182,領用表!$B:$B,$BM$2&amp;BP$2)</f>
        <v>0</v>
      </c>
      <c r="BQ182" s="287">
        <f>SUMIFS(領用表!$L:$L,領用表!$E:$E,$B182,領用表!$B:$B,$BM$2&amp;BQ$2)</f>
        <v>0</v>
      </c>
      <c r="BR182" s="203">
        <f>SUMIFS(領用表!$L:$L,領用表!$A:$A,BR$2,領用表!$E:$E,B182)</f>
        <v>0</v>
      </c>
      <c r="BS182" s="260">
        <f>SUMIFS(領用表!$L:$L,領用表!$E:$E,$B182,領用表!$B:$B,BR$2&amp;BS$2)</f>
        <v>0</v>
      </c>
      <c r="BT182" s="260">
        <f>SUMIFS(領用表!$L:$L,領用表!$E:$E,$B182,領用表!$B:$B,$BR$2&amp;BT$2)</f>
        <v>0</v>
      </c>
      <c r="BU182" s="260">
        <f>SUMIFS(領用表!$L:$L,領用表!$E:$E,$B182,領用表!$B:$B,$BR$2&amp;BU$2)</f>
        <v>0</v>
      </c>
      <c r="BV182" s="220">
        <f>SUMIFS(領用表!$L:$L,領用表!$E:$E,$B182,領用表!$B:$B,$BR$2&amp;BV$2)</f>
        <v>0</v>
      </c>
      <c r="BW182" s="208">
        <f>SUMIFS(領用表!$L:$L,領用表!$A:$A,BW$2,領用表!$E:$E,B182)</f>
        <v>0</v>
      </c>
      <c r="BX182" s="331">
        <f>SUMIFS(領用表!$L:$L,領用表!$E:$E,$B182,領用表!$B:$B,BW$2&amp;BX$2)</f>
        <v>0</v>
      </c>
      <c r="BY182" s="331">
        <f>SUMIFS(領用表!$L:$L,領用表!$E:$E,$B182,領用表!$B:$B,$BW$2&amp;BY$2)</f>
        <v>0</v>
      </c>
      <c r="BZ182" s="331">
        <f>SUMIFS(領用表!$L:$L,領用表!$E:$E,$B182,領用表!$B:$B,$BW$2&amp;BZ$2)</f>
        <v>0</v>
      </c>
      <c r="CA182" s="331">
        <f>SUMIFS(領用表!$L:$L,領用表!$E:$E,$B182,領用表!$B:$B,$BW$2&amp;CA$2)</f>
        <v>0</v>
      </c>
      <c r="CB182" s="208">
        <f>SUMIFS(領用表!$L:$L,領用表!$A:$A,CB$2,領用表!$E:$E,B182)</f>
        <v>0</v>
      </c>
      <c r="CC182" s="331">
        <f>SUMIFS(領用表!$L:$L,領用表!$E:$E,$B182,領用表!$B:$B,CB$2&amp;CC$2)</f>
        <v>0</v>
      </c>
      <c r="CD182" s="331">
        <f>SUMIFS(領用表!$L:$L,領用表!$E:$E,$B182,領用表!$B:$B,$CB$2&amp;CD$2)</f>
        <v>0</v>
      </c>
      <c r="CE182" s="331">
        <f>SUMIFS(領用表!$L:$L,領用表!$E:$E,$B182,領用表!$B:$B,$CB$2&amp;CE$2)</f>
        <v>0</v>
      </c>
      <c r="CF182" s="331">
        <f>SUMIFS(領用表!$L:$L,領用表!$E:$E,$B182,領用表!$B:$B,$CB$2&amp;CF$2)</f>
        <v>0</v>
      </c>
      <c r="CG182" s="332">
        <f>SUMIFS(領用表!$L:$L,領用表!$A:$A,CG$2,領用表!$E:$E,B182)</f>
        <v>0</v>
      </c>
      <c r="CH182" s="296">
        <f>SUMIFS(領用表!$L:$L,領用表!$E:$E,$B182,領用表!$B:$B,CG$2&amp;CH$2)</f>
        <v>0</v>
      </c>
      <c r="CI182" s="296">
        <f>SUMIFS(領用表!$L:$L,領用表!$E:$E,$B182,領用表!$B:$B,CG$2&amp;CI$2)</f>
        <v>0</v>
      </c>
      <c r="CJ182" s="296">
        <f>SUMIFS(領用表!$L:$L,領用表!$E:$E,$B182,領用表!$B:$B,CG$2&amp;CJ$2)</f>
        <v>0</v>
      </c>
      <c r="CK182" s="296">
        <f>SUMIFS(領用表!$L:$L,領用表!$E:$E,$B182,領用表!$B:$B,$CG$2&amp;CK$2)</f>
        <v>0</v>
      </c>
      <c r="CL182" s="207">
        <f t="shared" si="54"/>
        <v>6500</v>
      </c>
      <c r="CM182" s="207">
        <f t="shared" si="55"/>
        <v>541.66666666666663</v>
      </c>
      <c r="CN182" s="208">
        <f>SUMIFS(領用表!$L:$L,領用表!$A:$A,CN$2,領用表!$E:$E,B182)</f>
        <v>0</v>
      </c>
      <c r="CO182" s="206">
        <f>SUMIFS(領用表!$L:$L,領用表!$E:$E,$B182,領用表!$B:$B,CN$2&amp;CO$2)</f>
        <v>0</v>
      </c>
      <c r="CP182" s="206">
        <f>SUMIFS(領用表!$L:$L,領用表!$E:$E,$B182,領用表!$B:$B,$CN$2&amp;CP$2)</f>
        <v>0</v>
      </c>
      <c r="CQ182" s="206">
        <f>SUMIFS(領用表!$L:$L,領用表!$E:$E,$B182,領用表!$B:$B,$CN$2&amp;CQ$2)</f>
        <v>0</v>
      </c>
      <c r="CR182" s="296">
        <f>SUMIFS(領用表!$L:$L,領用表!$E:$E,$B182,領用表!$B:$B,$CN$2&amp;CR$2)</f>
        <v>0</v>
      </c>
      <c r="CS182" s="208">
        <f>SUMIFS(領用表!$L:$L,領用表!$A:$A,CS$2,領用表!$E:$E,B182)</f>
        <v>0</v>
      </c>
      <c r="CT182" s="206">
        <f>SUMIFS(領用表!$L:$L,領用表!$E:$E,$B182,領用表!$B:$B,CS$2&amp;CT$2)</f>
        <v>0</v>
      </c>
      <c r="CU182" s="206">
        <f>SUMIFS(領用表!$L:$L,領用表!$E:$E,$B182,領用表!$B:$B,$CS$2&amp;CU$2)</f>
        <v>0</v>
      </c>
      <c r="CV182" s="206">
        <f>SUMIFS(領用表!$L:$L,領用表!$E:$E,$B182,領用表!$B:$B,$CS$2&amp;CV$2)</f>
        <v>0</v>
      </c>
      <c r="CW182" s="206">
        <f>SUMIFS(領用表!$L:$L,領用表!$E:$E,$B182,領用表!$B:$B,$CS$2&amp;CW$2)</f>
        <v>0</v>
      </c>
      <c r="CX182" s="206">
        <f>SUMIFS(領用表!$L:$L,領用表!$E:$E,$B182,領用表!$B:$B,$CS$2&amp;CX$2)</f>
        <v>0</v>
      </c>
      <c r="CY182" s="208">
        <f>SUMIFS(領用表!$L:$L,領用表!$A:$A,CY$2,領用表!$E:$E,B182)</f>
        <v>0</v>
      </c>
      <c r="CZ182" s="296">
        <f>SUMIFS(領用表!$L:$L,領用表!$E:$E,$B182,領用表!$B:$B,CY$2&amp;CZ$2)</f>
        <v>0</v>
      </c>
      <c r="DA182" s="296">
        <f>SUMIFS(領用表!$L:$L,領用表!$E:$E,$B182,領用表!$B:$B,$CY$2&amp;DA$2)</f>
        <v>0</v>
      </c>
      <c r="DB182" s="296">
        <f>SUMIFS(領用表!$L:$L,領用表!$E:$E,$B182,領用表!$B:$B,$CY$2&amp;DB$2)</f>
        <v>0</v>
      </c>
      <c r="DC182" s="296">
        <f>SUMIFS(領用表!$L:$L,領用表!$E:$E,$B182,領用表!$B:$B,$CY$2&amp;DC$2)</f>
        <v>0</v>
      </c>
      <c r="DD182" s="296">
        <f>SUMIFS(領用表!$L:$L,領用表!$E:$E,$B182,領用表!$B:$B,$CY$2&amp;DD$2)</f>
        <v>0</v>
      </c>
      <c r="DE182" s="208">
        <f>SUMIFS(領用表!$L:$L,領用表!$A:$A,DE$2,領用表!$E:$E,B182)</f>
        <v>0</v>
      </c>
      <c r="DF182" s="296">
        <f>SUMIFS(領用表!$L:$L,領用表!$E:$E,$B182,領用表!$B:$B,DE$2&amp;DF$2)</f>
        <v>0</v>
      </c>
      <c r="DG182" s="296">
        <f>SUMIFS(領用表!$L:$L,領用表!$E:$E,$B182,領用表!$B:$B,$DE$2&amp;DG$2)</f>
        <v>0</v>
      </c>
      <c r="DH182" s="296">
        <f>SUMIFS(領用表!$L:$L,領用表!$E:$E,$B182,領用表!$B:$B,$DE$2&amp;DH$2)</f>
        <v>0</v>
      </c>
      <c r="DI182" s="296">
        <f>SUMIFS(領用表!$L:$L,領用表!$E:$E,$B182,領用表!$B:$B,$DE$2&amp;DI$2)</f>
        <v>0</v>
      </c>
      <c r="DJ182" s="296">
        <f>SUMIFS(領用表!$L:$L,領用表!$E:$E,$B182,領用表!$B:$B,$DE$2&amp;DJ$2)</f>
        <v>0</v>
      </c>
      <c r="DK182" s="208">
        <f>SUMIFS(領用表!$L:$L,領用表!$A:$A,DK$2,領用表!$E:$E,$B182)</f>
        <v>0</v>
      </c>
      <c r="DL182" s="296">
        <f>SUMIFS(領用表!$L:$L,領用表!$E:$E,$B182,領用表!$B:$B,DK$2&amp;DL$2)</f>
        <v>0</v>
      </c>
      <c r="DM182" s="296">
        <f>SUMIFS(領用表!$L:$L,領用表!$E:$E,$B182,領用表!$B:$B,$DK$2&amp;DM$2)</f>
        <v>0</v>
      </c>
      <c r="DN182" s="296">
        <f>SUMIFS(領用表!$L:$L,領用表!$E:$E,$B182,領用表!$B:$B,$DK$2&amp;DN$2)</f>
        <v>0</v>
      </c>
      <c r="DO182" s="296">
        <f>SUMIFS(領用表!$L:$L,領用表!$E:$E,$B182,領用表!$B:$B,$DK$2&amp;DO$2)</f>
        <v>0</v>
      </c>
      <c r="DP182" s="296">
        <f>SUMIFS(領用表!$L:$L,領用表!$E:$E,$B182,領用表!$B:$B,$DK$2&amp;DP$2)</f>
        <v>0</v>
      </c>
      <c r="DQ182" s="296">
        <f t="shared" si="56"/>
        <v>0</v>
      </c>
      <c r="DR182" s="296">
        <f t="shared" si="57"/>
        <v>0</v>
      </c>
      <c r="DS182" s="296">
        <f t="shared" si="48"/>
        <v>0</v>
      </c>
      <c r="DT182" s="296">
        <v>0</v>
      </c>
      <c r="DU182" s="296">
        <v>0</v>
      </c>
      <c r="DV182" s="296">
        <v>0</v>
      </c>
      <c r="DW182" s="296">
        <v>0</v>
      </c>
      <c r="DX182" s="258"/>
      <c r="DY182" s="340"/>
      <c r="DZ182" s="340"/>
      <c r="EA182" s="340"/>
      <c r="ED182" s="118">
        <f>IFERROR(VLOOKUP(A182,站前4樓!A:BF,57,0),0)</f>
        <v>0</v>
      </c>
      <c r="EE182" s="213">
        <f>IFERROR(VLOOKUP(A182,站前11樓!A:BE,57,0),0)</f>
        <v>0</v>
      </c>
      <c r="EF182" s="118">
        <f>IFERROR(VLOOKUP(A182,忠孝7樓!A:N,57,0),0)</f>
        <v>0</v>
      </c>
      <c r="EG182" s="118">
        <f>IFERROR(VLOOKUP(A182,忠孝國際醫學3樓!A:L,57,0),0)</f>
        <v>0</v>
      </c>
      <c r="EH182" s="118">
        <f t="shared" si="51"/>
        <v>0</v>
      </c>
    </row>
    <row r="183" spans="1:138" s="118" customFormat="1" ht="15.75" customHeight="1">
      <c r="A183" s="136" t="s">
        <v>211</v>
      </c>
      <c r="B183" s="118">
        <v>1080008</v>
      </c>
      <c r="C183" s="136" t="s">
        <v>583</v>
      </c>
      <c r="D183" s="285"/>
      <c r="E183" s="198" t="s">
        <v>15</v>
      </c>
      <c r="F183" s="225">
        <f>SUMIF(站前4樓!B:B,B183,站前4樓!F:F)</f>
        <v>0</v>
      </c>
      <c r="G183" s="225">
        <f>SUMIF(站前11樓!B:B,B183,站前11樓!F:F)</f>
        <v>0</v>
      </c>
      <c r="H183" s="225">
        <f>SUMIF(忠孝7樓!B:B,B183,忠孝7樓!G:G)</f>
        <v>0</v>
      </c>
      <c r="I183" s="225">
        <f>SUMIF(忠孝國際醫學3樓!B:B,B183,忠孝國際醫學3樓!G:G)</f>
        <v>0</v>
      </c>
      <c r="J183" s="225">
        <f>SUMIF(忠孝健康7樓!B:B,B183,忠孝健康7樓!G:G)</f>
        <v>0</v>
      </c>
      <c r="AU183" s="201"/>
      <c r="AV183" s="347"/>
      <c r="AW183" s="347"/>
      <c r="AX183" s="201"/>
      <c r="AY183" s="201"/>
      <c r="AZ183" s="201"/>
      <c r="BA183" s="201"/>
      <c r="BB183" s="201"/>
      <c r="BC183" s="203">
        <f>SUMIFS(領用表!$L:$L,領用表!$A:$A,BC$2,領用表!$E:$E,B183)</f>
        <v>0</v>
      </c>
      <c r="BD183" s="296">
        <f>SUMIFS(領用表!$L:$L,領用表!$E:$E,$B183,領用表!$B:$B,BC$2&amp;BD$2)</f>
        <v>0</v>
      </c>
      <c r="BE183" s="296">
        <f>SUMIFS(領用表!$L:$L,領用表!$E:$E,$B183,領用表!$B:$B,$BC$2&amp;BE$2)</f>
        <v>0</v>
      </c>
      <c r="BF183" s="296">
        <f>SUMIFS(領用表!$L:$L,領用表!$E:$E,$B183,領用表!$B:$B,$BC$2&amp;BF$2)</f>
        <v>0</v>
      </c>
      <c r="BG183" s="296">
        <f>SUMIFS(領用表!$L:$L,領用表!$E:$E,$B183,領用表!$B:$B,$BC$2&amp;BG$2)</f>
        <v>0</v>
      </c>
      <c r="BH183" s="203">
        <f>SUMIFS(領用表!$L:$L,領用表!$A:$A,BH$2,領用表!$E:$E,B183)</f>
        <v>0</v>
      </c>
      <c r="BI183" s="260">
        <f>SUMIFS(領用表!$L:$L,領用表!$E:$E,$B183,領用表!$B:$B,BH$2&amp;BI$2)</f>
        <v>0</v>
      </c>
      <c r="BJ183" s="260">
        <f>SUMIFS(領用表!$L:$L,領用表!$E:$E,$B183,領用表!$B:$B,$BH$2&amp;BJ$2)</f>
        <v>0</v>
      </c>
      <c r="BK183" s="260">
        <f>SUMIFS(領用表!$L:$L,領用表!$E:$E,$B183,領用表!$B:$B,$BH$2&amp;BK$2)</f>
        <v>0</v>
      </c>
      <c r="BL183" s="260">
        <f>SUMIFS(領用表!$L:$L,領用表!$E:$E,$B183,領用表!$B:$B,$BH$2&amp;BL$2)</f>
        <v>0</v>
      </c>
      <c r="BM183" s="203">
        <f>SUMIFS(領用表!$L:$L,領用表!$A:$A,BM$2,領用表!$E:$E,B183)</f>
        <v>0</v>
      </c>
      <c r="BN183" s="206">
        <f>SUMIFS(領用表!$L:$L,領用表!$E:$E,$B183,領用表!$B:$B,BM$2&amp;BN$2)</f>
        <v>0</v>
      </c>
      <c r="BO183" s="206">
        <f>SUMIFS(領用表!$L:$L,領用表!$E:$E,$B183,領用表!$B:$B,$BM$2&amp;BO$2)</f>
        <v>0</v>
      </c>
      <c r="BP183" s="288">
        <f>SUMIFS(領用表!$L:$L,領用表!$E:$E,$B183,領用表!$B:$B,$BM$2&amp;BP$2)</f>
        <v>0</v>
      </c>
      <c r="BQ183" s="287">
        <f>SUMIFS(領用表!$L:$L,領用表!$E:$E,$B183,領用表!$B:$B,$BM$2&amp;BQ$2)</f>
        <v>0</v>
      </c>
      <c r="BR183" s="203">
        <f>SUMIFS(領用表!$L:$L,領用表!$A:$A,BR$2,領用表!$E:$E,B183)</f>
        <v>0</v>
      </c>
      <c r="BS183" s="260">
        <f>SUMIFS(領用表!$L:$L,領用表!$E:$E,$B183,領用表!$B:$B,BR$2&amp;BS$2)</f>
        <v>0</v>
      </c>
      <c r="BT183" s="260">
        <f>SUMIFS(領用表!$L:$L,領用表!$E:$E,$B183,領用表!$B:$B,$BR$2&amp;BT$2)</f>
        <v>0</v>
      </c>
      <c r="BU183" s="260">
        <f>SUMIFS(領用表!$L:$L,領用表!$E:$E,$B183,領用表!$B:$B,$BR$2&amp;BU$2)</f>
        <v>0</v>
      </c>
      <c r="BV183" s="220">
        <f>SUMIFS(領用表!$L:$L,領用表!$E:$E,$B183,領用表!$B:$B,$BR$2&amp;BV$2)</f>
        <v>0</v>
      </c>
      <c r="BW183" s="208">
        <f>SUMIFS(領用表!$L:$L,領用表!$A:$A,BW$2,領用表!$E:$E,B183)</f>
        <v>0</v>
      </c>
      <c r="BX183" s="296">
        <f>SUMIFS(領用表!$L:$L,領用表!$E:$E,$B183,領用表!$B:$B,BW$2&amp;BX$2)</f>
        <v>0</v>
      </c>
      <c r="BY183" s="296">
        <f>SUMIFS(領用表!$L:$L,領用表!$E:$E,$B183,領用表!$B:$B,$BW$2&amp;BY$2)</f>
        <v>0</v>
      </c>
      <c r="BZ183" s="296">
        <f>SUMIFS(領用表!$L:$L,領用表!$E:$E,$B183,領用表!$B:$B,$BW$2&amp;BZ$2)</f>
        <v>0</v>
      </c>
      <c r="CA183" s="296">
        <f>SUMIFS(領用表!$L:$L,領用表!$E:$E,$B183,領用表!$B:$B,$BW$2&amp;CA$2)</f>
        <v>0</v>
      </c>
      <c r="CB183" s="208">
        <f>SUMIFS(領用表!$L:$L,領用表!$A:$A,CB$2,領用表!$E:$E,B183)</f>
        <v>0</v>
      </c>
      <c r="CC183" s="296">
        <f>SUMIFS(領用表!$L:$L,領用表!$E:$E,$B183,領用表!$B:$B,CB$2&amp;CC$2)</f>
        <v>0</v>
      </c>
      <c r="CD183" s="296">
        <f>SUMIFS(領用表!$L:$L,領用表!$E:$E,$B183,領用表!$B:$B,$CB$2&amp;CD$2)</f>
        <v>0</v>
      </c>
      <c r="CE183" s="296">
        <f>SUMIFS(領用表!$L:$L,領用表!$E:$E,$B183,領用表!$B:$B,$CB$2&amp;CE$2)</f>
        <v>0</v>
      </c>
      <c r="CF183" s="296">
        <f>SUMIFS(領用表!$L:$L,領用表!$E:$E,$B183,領用表!$B:$B,$CB$2&amp;CF$2)</f>
        <v>0</v>
      </c>
      <c r="CG183" s="335">
        <f>SUMIFS(領用表!$L:$L,領用表!$A:$A,CG$2,領用表!$E:$E,B183)</f>
        <v>0</v>
      </c>
      <c r="CH183" s="296">
        <f>SUMIFS(領用表!$L:$L,領用表!$E:$E,$B183,領用表!$B:$B,CG$2&amp;CH$2)</f>
        <v>0</v>
      </c>
      <c r="CI183" s="296">
        <f>SUMIFS(領用表!$L:$L,領用表!$E:$E,$B183,領用表!$B:$B,CG$2&amp;CI$2)</f>
        <v>0</v>
      </c>
      <c r="CJ183" s="296">
        <f>SUMIFS(領用表!$L:$L,領用表!$E:$E,$B183,領用表!$B:$B,CG$2&amp;CJ$2)</f>
        <v>0</v>
      </c>
      <c r="CK183" s="296">
        <f>SUMIFS(領用表!$L:$L,領用表!$E:$E,$B183,領用表!$B:$B,$CG$2&amp;CK$2)</f>
        <v>0</v>
      </c>
      <c r="CL183" s="207">
        <f t="shared" si="54"/>
        <v>0</v>
      </c>
      <c r="CM183" s="207">
        <f t="shared" si="55"/>
        <v>0</v>
      </c>
      <c r="CN183" s="208">
        <f>SUMIFS(領用表!$L:$L,領用表!$A:$A,CN$2,領用表!$E:$E,B183)</f>
        <v>0</v>
      </c>
      <c r="CO183" s="206">
        <f>SUMIFS(領用表!$L:$L,領用表!$E:$E,$B183,領用表!$B:$B,CN$2&amp;CO$2)</f>
        <v>0</v>
      </c>
      <c r="CP183" s="206">
        <f>SUMIFS(領用表!$L:$L,領用表!$E:$E,$B183,領用表!$B:$B,$CN$2&amp;CP$2)</f>
        <v>0</v>
      </c>
      <c r="CQ183" s="206">
        <f>SUMIFS(領用表!$L:$L,領用表!$E:$E,$B183,領用表!$B:$B,$CN$2&amp;CQ$2)</f>
        <v>0</v>
      </c>
      <c r="CR183" s="296">
        <f>SUMIFS(領用表!$L:$L,領用表!$E:$E,$B183,領用表!$B:$B,$CN$2&amp;CR$2)</f>
        <v>0</v>
      </c>
      <c r="CS183" s="208">
        <f>SUMIFS(領用表!$L:$L,領用表!$A:$A,CS$2,領用表!$E:$E,B183)</f>
        <v>0</v>
      </c>
      <c r="CT183" s="206">
        <f>SUMIFS(領用表!$L:$L,領用表!$E:$E,$B183,領用表!$B:$B,CS$2&amp;CT$2)</f>
        <v>0</v>
      </c>
      <c r="CU183" s="206">
        <f>SUMIFS(領用表!$L:$L,領用表!$E:$E,$B183,領用表!$B:$B,$CS$2&amp;CU$2)</f>
        <v>0</v>
      </c>
      <c r="CV183" s="206">
        <f>SUMIFS(領用表!$L:$L,領用表!$E:$E,$B183,領用表!$B:$B,$CS$2&amp;CV$2)</f>
        <v>0</v>
      </c>
      <c r="CW183" s="206">
        <f>SUMIFS(領用表!$L:$L,領用表!$E:$E,$B183,領用表!$B:$B,$CS$2&amp;CW$2)</f>
        <v>0</v>
      </c>
      <c r="CX183" s="206">
        <f>SUMIFS(領用表!$L:$L,領用表!$E:$E,$B183,領用表!$B:$B,$CS$2&amp;CX$2)</f>
        <v>0</v>
      </c>
      <c r="CY183" s="208">
        <f>SUMIFS(領用表!$L:$L,領用表!$A:$A,CY$2,領用表!$E:$E,B183)</f>
        <v>0</v>
      </c>
      <c r="CZ183" s="296">
        <f>SUMIFS(領用表!$L:$L,領用表!$E:$E,$B183,領用表!$B:$B,CY$2&amp;CZ$2)</f>
        <v>0</v>
      </c>
      <c r="DA183" s="296">
        <f>SUMIFS(領用表!$L:$L,領用表!$E:$E,$B183,領用表!$B:$B,$CY$2&amp;DA$2)</f>
        <v>0</v>
      </c>
      <c r="DB183" s="296">
        <f>SUMIFS(領用表!$L:$L,領用表!$E:$E,$B183,領用表!$B:$B,$CY$2&amp;DB$2)</f>
        <v>0</v>
      </c>
      <c r="DC183" s="296">
        <f>SUMIFS(領用表!$L:$L,領用表!$E:$E,$B183,領用表!$B:$B,$CY$2&amp;DC$2)</f>
        <v>0</v>
      </c>
      <c r="DD183" s="296">
        <f>SUMIFS(領用表!$L:$L,領用表!$E:$E,$B183,領用表!$B:$B,$CY$2&amp;DD$2)</f>
        <v>0</v>
      </c>
      <c r="DE183" s="208">
        <f>SUMIFS(領用表!$L:$L,領用表!$A:$A,DE$2,領用表!$E:$E,B183)</f>
        <v>0</v>
      </c>
      <c r="DF183" s="296">
        <f>SUMIFS(領用表!$L:$L,領用表!$E:$E,$B183,領用表!$B:$B,DE$2&amp;DF$2)</f>
        <v>0</v>
      </c>
      <c r="DG183" s="296">
        <f>SUMIFS(領用表!$L:$L,領用表!$E:$E,$B183,領用表!$B:$B,$DE$2&amp;DG$2)</f>
        <v>0</v>
      </c>
      <c r="DH183" s="296">
        <f>SUMIFS(領用表!$L:$L,領用表!$E:$E,$B183,領用表!$B:$B,$DE$2&amp;DH$2)</f>
        <v>0</v>
      </c>
      <c r="DI183" s="296">
        <f>SUMIFS(領用表!$L:$L,領用表!$E:$E,$B183,領用表!$B:$B,$DE$2&amp;DI$2)</f>
        <v>0</v>
      </c>
      <c r="DJ183" s="296">
        <f>SUMIFS(領用表!$L:$L,領用表!$E:$E,$B183,領用表!$B:$B,$DE$2&amp;DJ$2)</f>
        <v>0</v>
      </c>
      <c r="DK183" s="208">
        <f>SUMIFS(領用表!$L:$L,領用表!$A:$A,DK$2,領用表!$E:$E,$B183)</f>
        <v>0</v>
      </c>
      <c r="DL183" s="296">
        <f>SUMIFS(領用表!$L:$L,領用表!$E:$E,$B183,領用表!$B:$B,DK$2&amp;DL$2)</f>
        <v>0</v>
      </c>
      <c r="DM183" s="296">
        <f>SUMIFS(領用表!$L:$L,領用表!$E:$E,$B183,領用表!$B:$B,$DK$2&amp;DM$2)</f>
        <v>0</v>
      </c>
      <c r="DN183" s="296">
        <f>SUMIFS(領用表!$L:$L,領用表!$E:$E,$B183,領用表!$B:$B,$DK$2&amp;DN$2)</f>
        <v>0</v>
      </c>
      <c r="DO183" s="296">
        <f>SUMIFS(領用表!$L:$L,領用表!$E:$E,$B183,領用表!$B:$B,$DK$2&amp;DO$2)</f>
        <v>0</v>
      </c>
      <c r="DP183" s="296">
        <f>SUMIFS(領用表!$L:$L,領用表!$E:$E,$B183,領用表!$B:$B,$DK$2&amp;DP$2)</f>
        <v>0</v>
      </c>
      <c r="DQ183" s="330">
        <f t="shared" si="56"/>
        <v>0</v>
      </c>
      <c r="DR183" s="330">
        <f t="shared" si="57"/>
        <v>0</v>
      </c>
      <c r="DS183" s="330">
        <f t="shared" si="48"/>
        <v>0</v>
      </c>
      <c r="DT183" s="330">
        <v>0</v>
      </c>
      <c r="DU183" s="330">
        <v>0</v>
      </c>
      <c r="DV183" s="330">
        <v>0</v>
      </c>
      <c r="DW183" s="330">
        <v>0</v>
      </c>
      <c r="DX183" s="338"/>
      <c r="DY183" s="342"/>
      <c r="DZ183" s="340"/>
      <c r="EA183" s="340"/>
      <c r="ED183" s="118">
        <f>IFERROR(VLOOKUP(A183,站前4樓!A:BF,57,0),0)</f>
        <v>0</v>
      </c>
      <c r="EE183" s="213">
        <f>IFERROR(VLOOKUP(A183,站前11樓!A:BE,57,0),0)</f>
        <v>0</v>
      </c>
      <c r="EF183" s="118">
        <f>IFERROR(VLOOKUP(A183,忠孝7樓!A:N,57,0),0)</f>
        <v>0</v>
      </c>
      <c r="EG183" s="118">
        <f>IFERROR(VLOOKUP(A183,忠孝國際醫學3樓!A:L,57,0),0)</f>
        <v>0</v>
      </c>
      <c r="EH183" s="118">
        <f t="shared" si="51"/>
        <v>0</v>
      </c>
    </row>
    <row r="184" spans="1:138" s="118" customFormat="1" ht="15.75" customHeight="1">
      <c r="A184" s="136" t="s">
        <v>212</v>
      </c>
      <c r="B184" s="118">
        <v>6230003</v>
      </c>
      <c r="C184" s="136" t="s">
        <v>584</v>
      </c>
      <c r="D184" s="285"/>
      <c r="E184" s="198" t="s">
        <v>15</v>
      </c>
      <c r="F184" s="225">
        <f>SUMIF(站前4樓!B:B,B184,站前4樓!F:F)</f>
        <v>0</v>
      </c>
      <c r="G184" s="225">
        <f>SUMIF(站前11樓!B:B,B184,站前11樓!F:F)</f>
        <v>0</v>
      </c>
      <c r="H184" s="225">
        <f>SUMIF(忠孝7樓!B:B,B184,忠孝7樓!G:G)</f>
        <v>0</v>
      </c>
      <c r="I184" s="225">
        <f>SUMIF(忠孝國際醫學3樓!B:B,B184,忠孝國際醫學3樓!G:G)</f>
        <v>0</v>
      </c>
      <c r="J184" s="225">
        <f>SUMIF(忠孝健康7樓!B:B,B184,忠孝健康7樓!G:G)</f>
        <v>0</v>
      </c>
      <c r="AU184" s="201"/>
      <c r="AV184" s="347"/>
      <c r="AW184" s="347"/>
      <c r="AX184" s="201"/>
      <c r="AY184" s="201"/>
      <c r="AZ184" s="201"/>
      <c r="BA184" s="201"/>
      <c r="BB184" s="201"/>
      <c r="BC184" s="203">
        <f>SUMIFS(領用表!$L:$L,領用表!$A:$A,BC$2,領用表!$E:$E,B184)</f>
        <v>0</v>
      </c>
      <c r="BD184" s="296">
        <f>SUMIFS(領用表!$L:$L,領用表!$E:$E,$B184,領用表!$B:$B,BC$2&amp;BD$2)</f>
        <v>0</v>
      </c>
      <c r="BE184" s="296">
        <f>SUMIFS(領用表!$L:$L,領用表!$E:$E,$B184,領用表!$B:$B,$BC$2&amp;BE$2)</f>
        <v>0</v>
      </c>
      <c r="BF184" s="296">
        <f>SUMIFS(領用表!$L:$L,領用表!$E:$E,$B184,領用表!$B:$B,$BC$2&amp;BF$2)</f>
        <v>0</v>
      </c>
      <c r="BG184" s="296">
        <f>SUMIFS(領用表!$L:$L,領用表!$E:$E,$B184,領用表!$B:$B,$BC$2&amp;BG$2)</f>
        <v>0</v>
      </c>
      <c r="BH184" s="203">
        <f>SUMIFS(領用表!$L:$L,領用表!$A:$A,BH$2,領用表!$E:$E,B184)</f>
        <v>0</v>
      </c>
      <c r="BI184" s="260">
        <f>SUMIFS(領用表!$L:$L,領用表!$E:$E,$B184,領用表!$B:$B,BH$2&amp;BI$2)</f>
        <v>0</v>
      </c>
      <c r="BJ184" s="260">
        <f>SUMIFS(領用表!$L:$L,領用表!$E:$E,$B184,領用表!$B:$B,$BH$2&amp;BJ$2)</f>
        <v>0</v>
      </c>
      <c r="BK184" s="260">
        <f>SUMIFS(領用表!$L:$L,領用表!$E:$E,$B184,領用表!$B:$B,$BH$2&amp;BK$2)</f>
        <v>0</v>
      </c>
      <c r="BL184" s="260">
        <f>SUMIFS(領用表!$L:$L,領用表!$E:$E,$B184,領用表!$B:$B,$BH$2&amp;BL$2)</f>
        <v>0</v>
      </c>
      <c r="BM184" s="203">
        <f>SUMIFS(領用表!$L:$L,領用表!$A:$A,BM$2,領用表!$E:$E,B184)</f>
        <v>0</v>
      </c>
      <c r="BN184" s="206">
        <f>SUMIFS(領用表!$L:$L,領用表!$E:$E,$B184,領用表!$B:$B,BM$2&amp;BN$2)</f>
        <v>0</v>
      </c>
      <c r="BO184" s="206">
        <f>SUMIFS(領用表!$L:$L,領用表!$E:$E,$B184,領用表!$B:$B,$BM$2&amp;BO$2)</f>
        <v>0</v>
      </c>
      <c r="BP184" s="288">
        <f>SUMIFS(領用表!$L:$L,領用表!$E:$E,$B184,領用表!$B:$B,$BM$2&amp;BP$2)</f>
        <v>0</v>
      </c>
      <c r="BQ184" s="287">
        <f>SUMIFS(領用表!$L:$L,領用表!$E:$E,$B184,領用表!$B:$B,$BM$2&amp;BQ$2)</f>
        <v>0</v>
      </c>
      <c r="BR184" s="203">
        <f>SUMIFS(領用表!$L:$L,領用表!$A:$A,BR$2,領用表!$E:$E,B184)</f>
        <v>0</v>
      </c>
      <c r="BS184" s="260">
        <f>SUMIFS(領用表!$L:$L,領用表!$E:$E,$B184,領用表!$B:$B,BR$2&amp;BS$2)</f>
        <v>0</v>
      </c>
      <c r="BT184" s="260">
        <f>SUMIFS(領用表!$L:$L,領用表!$E:$E,$B184,領用表!$B:$B,$BR$2&amp;BT$2)</f>
        <v>0</v>
      </c>
      <c r="BU184" s="260">
        <f>SUMIFS(領用表!$L:$L,領用表!$E:$E,$B184,領用表!$B:$B,$BR$2&amp;BU$2)</f>
        <v>0</v>
      </c>
      <c r="BV184" s="220">
        <f>SUMIFS(領用表!$L:$L,領用表!$E:$E,$B184,領用表!$B:$B,$BR$2&amp;BV$2)</f>
        <v>0</v>
      </c>
      <c r="BW184" s="208">
        <f>SUMIFS(領用表!$L:$L,領用表!$A:$A,BW$2,領用表!$E:$E,B184)</f>
        <v>0</v>
      </c>
      <c r="BX184" s="296">
        <f>SUMIFS(領用表!$L:$L,領用表!$E:$E,$B184,領用表!$B:$B,BW$2&amp;BX$2)</f>
        <v>0</v>
      </c>
      <c r="BY184" s="296">
        <f>SUMIFS(領用表!$L:$L,領用表!$E:$E,$B184,領用表!$B:$B,$BW$2&amp;BY$2)</f>
        <v>0</v>
      </c>
      <c r="BZ184" s="296">
        <f>SUMIFS(領用表!$L:$L,領用表!$E:$E,$B184,領用表!$B:$B,$BW$2&amp;BZ$2)</f>
        <v>0</v>
      </c>
      <c r="CA184" s="296">
        <f>SUMIFS(領用表!$L:$L,領用表!$E:$E,$B184,領用表!$B:$B,$BW$2&amp;CA$2)</f>
        <v>0</v>
      </c>
      <c r="CB184" s="208">
        <f>SUMIFS(領用表!$L:$L,領用表!$A:$A,CB$2,領用表!$E:$E,B184)</f>
        <v>0</v>
      </c>
      <c r="CC184" s="296">
        <f>SUMIFS(領用表!$L:$L,領用表!$E:$E,$B184,領用表!$B:$B,CB$2&amp;CC$2)</f>
        <v>0</v>
      </c>
      <c r="CD184" s="296">
        <f>SUMIFS(領用表!$L:$L,領用表!$E:$E,$B184,領用表!$B:$B,$CB$2&amp;CD$2)</f>
        <v>0</v>
      </c>
      <c r="CE184" s="296">
        <f>SUMIFS(領用表!$L:$L,領用表!$E:$E,$B184,領用表!$B:$B,$CB$2&amp;CE$2)</f>
        <v>0</v>
      </c>
      <c r="CF184" s="296">
        <f>SUMIFS(領用表!$L:$L,領用表!$E:$E,$B184,領用表!$B:$B,$CB$2&amp;CF$2)</f>
        <v>0</v>
      </c>
      <c r="CG184" s="335">
        <f>SUMIFS(領用表!$L:$L,領用表!$A:$A,CG$2,領用表!$E:$E,B184)</f>
        <v>0</v>
      </c>
      <c r="CH184" s="296">
        <f>SUMIFS(領用表!$L:$L,領用表!$E:$E,$B184,領用表!$B:$B,CG$2&amp;CH$2)</f>
        <v>0</v>
      </c>
      <c r="CI184" s="296">
        <f>SUMIFS(領用表!$L:$L,領用表!$E:$E,$B184,領用表!$B:$B,CG$2&amp;CI$2)</f>
        <v>0</v>
      </c>
      <c r="CJ184" s="296">
        <f>SUMIFS(領用表!$L:$L,領用表!$E:$E,$B184,領用表!$B:$B,CG$2&amp;CJ$2)</f>
        <v>0</v>
      </c>
      <c r="CK184" s="296">
        <f>SUMIFS(領用表!$L:$L,領用表!$E:$E,$B184,領用表!$B:$B,$CG$2&amp;CK$2)</f>
        <v>0</v>
      </c>
      <c r="CL184" s="207">
        <f t="shared" si="54"/>
        <v>0</v>
      </c>
      <c r="CM184" s="207">
        <f t="shared" si="55"/>
        <v>0</v>
      </c>
      <c r="CN184" s="208">
        <f>SUMIFS(領用表!$L:$L,領用表!$A:$A,CN$2,領用表!$E:$E,B184)</f>
        <v>0</v>
      </c>
      <c r="CO184" s="206">
        <f>SUMIFS(領用表!$L:$L,領用表!$E:$E,$B184,領用表!$B:$B,CN$2&amp;CO$2)</f>
        <v>0</v>
      </c>
      <c r="CP184" s="206">
        <f>SUMIFS(領用表!$L:$L,領用表!$E:$E,$B184,領用表!$B:$B,$CN$2&amp;CP$2)</f>
        <v>0</v>
      </c>
      <c r="CQ184" s="206">
        <f>SUMIFS(領用表!$L:$L,領用表!$E:$E,$B184,領用表!$B:$B,$CN$2&amp;CQ$2)</f>
        <v>0</v>
      </c>
      <c r="CR184" s="296">
        <f>SUMIFS(領用表!$L:$L,領用表!$E:$E,$B184,領用表!$B:$B,$CN$2&amp;CR$2)</f>
        <v>0</v>
      </c>
      <c r="CS184" s="208">
        <f>SUMIFS(領用表!$L:$L,領用表!$A:$A,CS$2,領用表!$E:$E,B184)</f>
        <v>0</v>
      </c>
      <c r="CT184" s="206">
        <f>SUMIFS(領用表!$L:$L,領用表!$E:$E,$B184,領用表!$B:$B,CS$2&amp;CT$2)</f>
        <v>0</v>
      </c>
      <c r="CU184" s="206">
        <f>SUMIFS(領用表!$L:$L,領用表!$E:$E,$B184,領用表!$B:$B,$CS$2&amp;CU$2)</f>
        <v>0</v>
      </c>
      <c r="CV184" s="206">
        <f>SUMIFS(領用表!$L:$L,領用表!$E:$E,$B184,領用表!$B:$B,$CS$2&amp;CV$2)</f>
        <v>0</v>
      </c>
      <c r="CW184" s="206">
        <f>SUMIFS(領用表!$L:$L,領用表!$E:$E,$B184,領用表!$B:$B,$CS$2&amp;CW$2)</f>
        <v>0</v>
      </c>
      <c r="CX184" s="206">
        <f>SUMIFS(領用表!$L:$L,領用表!$E:$E,$B184,領用表!$B:$B,$CS$2&amp;CX$2)</f>
        <v>0</v>
      </c>
      <c r="CY184" s="208">
        <f>SUMIFS(領用表!$L:$L,領用表!$A:$A,CY$2,領用表!$E:$E,B184)</f>
        <v>0</v>
      </c>
      <c r="CZ184" s="296">
        <f>SUMIFS(領用表!$L:$L,領用表!$E:$E,$B184,領用表!$B:$B,CY$2&amp;CZ$2)</f>
        <v>0</v>
      </c>
      <c r="DA184" s="296">
        <f>SUMIFS(領用表!$L:$L,領用表!$E:$E,$B184,領用表!$B:$B,$CY$2&amp;DA$2)</f>
        <v>0</v>
      </c>
      <c r="DB184" s="296">
        <f>SUMIFS(領用表!$L:$L,領用表!$E:$E,$B184,領用表!$B:$B,$CY$2&amp;DB$2)</f>
        <v>0</v>
      </c>
      <c r="DC184" s="296">
        <f>SUMIFS(領用表!$L:$L,領用表!$E:$E,$B184,領用表!$B:$B,$CY$2&amp;DC$2)</f>
        <v>0</v>
      </c>
      <c r="DD184" s="296">
        <f>SUMIFS(領用表!$L:$L,領用表!$E:$E,$B184,領用表!$B:$B,$CY$2&amp;DD$2)</f>
        <v>0</v>
      </c>
      <c r="DE184" s="208">
        <f>SUMIFS(領用表!$L:$L,領用表!$A:$A,DE$2,領用表!$E:$E,B184)</f>
        <v>0</v>
      </c>
      <c r="DF184" s="296">
        <f>SUMIFS(領用表!$L:$L,領用表!$E:$E,$B184,領用表!$B:$B,DE$2&amp;DF$2)</f>
        <v>0</v>
      </c>
      <c r="DG184" s="296">
        <f>SUMIFS(領用表!$L:$L,領用表!$E:$E,$B184,領用表!$B:$B,$DE$2&amp;DG$2)</f>
        <v>0</v>
      </c>
      <c r="DH184" s="296">
        <f>SUMIFS(領用表!$L:$L,領用表!$E:$E,$B184,領用表!$B:$B,$DE$2&amp;DH$2)</f>
        <v>0</v>
      </c>
      <c r="DI184" s="296">
        <f>SUMIFS(領用表!$L:$L,領用表!$E:$E,$B184,領用表!$B:$B,$DE$2&amp;DI$2)</f>
        <v>0</v>
      </c>
      <c r="DJ184" s="296">
        <f>SUMIFS(領用表!$L:$L,領用表!$E:$E,$B184,領用表!$B:$B,$DE$2&amp;DJ$2)</f>
        <v>0</v>
      </c>
      <c r="DK184" s="208">
        <f>SUMIFS(領用表!$L:$L,領用表!$A:$A,DK$2,領用表!$E:$E,$B184)</f>
        <v>0</v>
      </c>
      <c r="DL184" s="296">
        <f>SUMIFS(領用表!$L:$L,領用表!$E:$E,$B184,領用表!$B:$B,DK$2&amp;DL$2)</f>
        <v>0</v>
      </c>
      <c r="DM184" s="296">
        <f>SUMIFS(領用表!$L:$L,領用表!$E:$E,$B184,領用表!$B:$B,$DK$2&amp;DM$2)</f>
        <v>0</v>
      </c>
      <c r="DN184" s="296">
        <f>SUMIFS(領用表!$L:$L,領用表!$E:$E,$B184,領用表!$B:$B,$DK$2&amp;DN$2)</f>
        <v>0</v>
      </c>
      <c r="DO184" s="296">
        <f>SUMIFS(領用表!$L:$L,領用表!$E:$E,$B184,領用表!$B:$B,$DK$2&amp;DO$2)</f>
        <v>0</v>
      </c>
      <c r="DP184" s="296">
        <f>SUMIFS(領用表!$L:$L,領用表!$E:$E,$B184,領用表!$B:$B,$DK$2&amp;DP$2)</f>
        <v>0</v>
      </c>
      <c r="DQ184" s="330">
        <f t="shared" si="56"/>
        <v>0</v>
      </c>
      <c r="DR184" s="330">
        <f t="shared" si="57"/>
        <v>0</v>
      </c>
      <c r="DS184" s="330">
        <f t="shared" si="48"/>
        <v>0</v>
      </c>
      <c r="DT184" s="330">
        <v>0</v>
      </c>
      <c r="DU184" s="330">
        <v>0</v>
      </c>
      <c r="DV184" s="330">
        <v>0</v>
      </c>
      <c r="DW184" s="330">
        <v>0</v>
      </c>
      <c r="DX184" s="338"/>
      <c r="DY184" s="342"/>
      <c r="DZ184" s="341"/>
      <c r="EA184" s="343"/>
      <c r="ED184" s="118">
        <f>IFERROR(VLOOKUP(A184,站前4樓!A:BF,57,0),0)</f>
        <v>0</v>
      </c>
      <c r="EE184" s="213">
        <f>IFERROR(VLOOKUP(A184,站前11樓!A:BE,57,0),0)</f>
        <v>0</v>
      </c>
      <c r="EF184" s="118">
        <f>IFERROR(VLOOKUP(A184,忠孝7樓!A:N,57,0),0)</f>
        <v>0</v>
      </c>
      <c r="EG184" s="118">
        <f>IFERROR(VLOOKUP(A184,忠孝國際醫學3樓!A:L,57,0),0)</f>
        <v>0</v>
      </c>
      <c r="EH184" s="118">
        <f t="shared" si="51"/>
        <v>0</v>
      </c>
    </row>
    <row r="185" spans="1:138" s="118" customFormat="1" ht="15.75" customHeight="1">
      <c r="A185" s="136" t="s">
        <v>213</v>
      </c>
      <c r="C185" s="136" t="s">
        <v>585</v>
      </c>
      <c r="D185" s="285"/>
      <c r="E185" s="198" t="s">
        <v>15</v>
      </c>
      <c r="F185" s="225">
        <f>SUMIF(站前4樓!B:B,B185,站前4樓!F:F)</f>
        <v>0</v>
      </c>
      <c r="G185" s="225">
        <f>SUMIF(站前11樓!B:B,B185,站前11樓!F:F)</f>
        <v>0</v>
      </c>
      <c r="H185" s="225">
        <f>SUMIF(忠孝7樓!B:B,B185,忠孝7樓!G:G)</f>
        <v>0</v>
      </c>
      <c r="I185" s="225">
        <f>SUMIF(忠孝國際醫學3樓!B:B,B185,忠孝國際醫學3樓!G:G)</f>
        <v>0</v>
      </c>
      <c r="J185" s="225">
        <f>SUMIF(忠孝健康7樓!B:B,B185,忠孝健康7樓!G:G)</f>
        <v>0</v>
      </c>
      <c r="AU185" s="201"/>
      <c r="AV185" s="347"/>
      <c r="AW185" s="347"/>
      <c r="AX185" s="201"/>
      <c r="AY185" s="201"/>
      <c r="AZ185" s="201"/>
      <c r="BA185" s="201"/>
      <c r="BB185" s="201"/>
      <c r="BC185" s="203">
        <f>SUMIFS(領用表!$L:$L,領用表!$A:$A,BC$2,領用表!$E:$E,B185)</f>
        <v>0</v>
      </c>
      <c r="BD185" s="296">
        <f>SUMIFS(領用表!$L:$L,領用表!$E:$E,$B185,領用表!$B:$B,BC$2&amp;BD$2)</f>
        <v>0</v>
      </c>
      <c r="BE185" s="296">
        <f>SUMIFS(領用表!$L:$L,領用表!$E:$E,$B185,領用表!$B:$B,$BC$2&amp;BE$2)</f>
        <v>0</v>
      </c>
      <c r="BF185" s="296">
        <f>SUMIFS(領用表!$L:$L,領用表!$E:$E,$B185,領用表!$B:$B,$BC$2&amp;BF$2)</f>
        <v>0</v>
      </c>
      <c r="BG185" s="296">
        <f>SUMIFS(領用表!$L:$L,領用表!$E:$E,$B185,領用表!$B:$B,$BC$2&amp;BG$2)</f>
        <v>0</v>
      </c>
      <c r="BH185" s="203">
        <f>SUMIFS(領用表!$L:$L,領用表!$A:$A,BH$2,領用表!$E:$E,B185)</f>
        <v>0</v>
      </c>
      <c r="BI185" s="260">
        <f>SUMIFS(領用表!$L:$L,領用表!$E:$E,$B185,領用表!$B:$B,BH$2&amp;BI$2)</f>
        <v>0</v>
      </c>
      <c r="BJ185" s="260">
        <f>SUMIFS(領用表!$L:$L,領用表!$E:$E,$B185,領用表!$B:$B,$BH$2&amp;BJ$2)</f>
        <v>0</v>
      </c>
      <c r="BK185" s="260">
        <f>SUMIFS(領用表!$L:$L,領用表!$E:$E,$B185,領用表!$B:$B,$BH$2&amp;BK$2)</f>
        <v>0</v>
      </c>
      <c r="BL185" s="260">
        <f>SUMIFS(領用表!$L:$L,領用表!$E:$E,$B185,領用表!$B:$B,$BH$2&amp;BL$2)</f>
        <v>0</v>
      </c>
      <c r="BM185" s="203">
        <f>SUMIFS(領用表!$L:$L,領用表!$A:$A,BM$2,領用表!$E:$E,B185)</f>
        <v>0</v>
      </c>
      <c r="BN185" s="206">
        <f>SUMIFS(領用表!$L:$L,領用表!$E:$E,$B185,領用表!$B:$B,BM$2&amp;BN$2)</f>
        <v>0</v>
      </c>
      <c r="BO185" s="206">
        <f>SUMIFS(領用表!$L:$L,領用表!$E:$E,$B185,領用表!$B:$B,$BM$2&amp;BO$2)</f>
        <v>0</v>
      </c>
      <c r="BP185" s="288">
        <f>SUMIFS(領用表!$L:$L,領用表!$E:$E,$B185,領用表!$B:$B,$BM$2&amp;BP$2)</f>
        <v>0</v>
      </c>
      <c r="BQ185" s="287">
        <f>SUMIFS(領用表!$L:$L,領用表!$E:$E,$B185,領用表!$B:$B,$BM$2&amp;BQ$2)</f>
        <v>0</v>
      </c>
      <c r="BR185" s="203">
        <f>SUMIFS(領用表!$L:$L,領用表!$A:$A,BR$2,領用表!$E:$E,B185)</f>
        <v>0</v>
      </c>
      <c r="BS185" s="260">
        <f>SUMIFS(領用表!$L:$L,領用表!$E:$E,$B185,領用表!$B:$B,BR$2&amp;BS$2)</f>
        <v>0</v>
      </c>
      <c r="BT185" s="260">
        <f>SUMIFS(領用表!$L:$L,領用表!$E:$E,$B185,領用表!$B:$B,$BR$2&amp;BT$2)</f>
        <v>0</v>
      </c>
      <c r="BU185" s="260">
        <f>SUMIFS(領用表!$L:$L,領用表!$E:$E,$B185,領用表!$B:$B,$BR$2&amp;BU$2)</f>
        <v>0</v>
      </c>
      <c r="BV185" s="220">
        <f>SUMIFS(領用表!$L:$L,領用表!$E:$E,$B185,領用表!$B:$B,$BR$2&amp;BV$2)</f>
        <v>0</v>
      </c>
      <c r="BW185" s="208">
        <f>SUMIFS(領用表!$L:$L,領用表!$A:$A,BW$2,領用表!$E:$E,B185)</f>
        <v>0</v>
      </c>
      <c r="BX185" s="296">
        <f>SUMIFS(領用表!$L:$L,領用表!$E:$E,$B185,領用表!$B:$B,BW$2&amp;BX$2)</f>
        <v>0</v>
      </c>
      <c r="BY185" s="296">
        <f>SUMIFS(領用表!$L:$L,領用表!$E:$E,$B185,領用表!$B:$B,$BW$2&amp;BY$2)</f>
        <v>0</v>
      </c>
      <c r="BZ185" s="296">
        <f>SUMIFS(領用表!$L:$L,領用表!$E:$E,$B185,領用表!$B:$B,$BW$2&amp;BZ$2)</f>
        <v>0</v>
      </c>
      <c r="CA185" s="296">
        <f>SUMIFS(領用表!$L:$L,領用表!$E:$E,$B185,領用表!$B:$B,$BW$2&amp;CA$2)</f>
        <v>0</v>
      </c>
      <c r="CB185" s="208">
        <f>SUMIFS(領用表!$L:$L,領用表!$A:$A,CB$2,領用表!$E:$E,B185)</f>
        <v>0</v>
      </c>
      <c r="CC185" s="296">
        <f>SUMIFS(領用表!$L:$L,領用表!$E:$E,$B185,領用表!$B:$B,CB$2&amp;CC$2)</f>
        <v>0</v>
      </c>
      <c r="CD185" s="296">
        <f>SUMIFS(領用表!$L:$L,領用表!$E:$E,$B185,領用表!$B:$B,$CB$2&amp;CD$2)</f>
        <v>0</v>
      </c>
      <c r="CE185" s="296">
        <f>SUMIFS(領用表!$L:$L,領用表!$E:$E,$B185,領用表!$B:$B,$CB$2&amp;CE$2)</f>
        <v>0</v>
      </c>
      <c r="CF185" s="296">
        <f>SUMIFS(領用表!$L:$L,領用表!$E:$E,$B185,領用表!$B:$B,$CB$2&amp;CF$2)</f>
        <v>0</v>
      </c>
      <c r="CG185" s="335">
        <f>SUMIFS(領用表!$L:$L,領用表!$A:$A,CG$2,領用表!$E:$E,B185)</f>
        <v>0</v>
      </c>
      <c r="CH185" s="296">
        <f>SUMIFS(領用表!$L:$L,領用表!$E:$E,$B185,領用表!$B:$B,CG$2&amp;CH$2)</f>
        <v>0</v>
      </c>
      <c r="CI185" s="296">
        <f>SUMIFS(領用表!$L:$L,領用表!$E:$E,$B185,領用表!$B:$B,CG$2&amp;CI$2)</f>
        <v>0</v>
      </c>
      <c r="CJ185" s="296">
        <f>SUMIFS(領用表!$L:$L,領用表!$E:$E,$B185,領用表!$B:$B,CG$2&amp;CJ$2)</f>
        <v>0</v>
      </c>
      <c r="CK185" s="296">
        <f>SUMIFS(領用表!$L:$L,領用表!$E:$E,$B185,領用表!$B:$B,$CG$2&amp;CK$2)</f>
        <v>0</v>
      </c>
      <c r="CL185" s="207">
        <f t="shared" si="54"/>
        <v>0</v>
      </c>
      <c r="CM185" s="207">
        <f t="shared" si="55"/>
        <v>0</v>
      </c>
      <c r="CN185" s="208">
        <f>SUMIFS(領用表!$L:$L,領用表!$A:$A,CN$2,領用表!$E:$E,B185)</f>
        <v>0</v>
      </c>
      <c r="CO185" s="206">
        <f>SUMIFS(領用表!$L:$L,領用表!$E:$E,$B185,領用表!$B:$B,CN$2&amp;CO$2)</f>
        <v>0</v>
      </c>
      <c r="CP185" s="206">
        <f>SUMIFS(領用表!$L:$L,領用表!$E:$E,$B185,領用表!$B:$B,$CN$2&amp;CP$2)</f>
        <v>0</v>
      </c>
      <c r="CQ185" s="206">
        <f>SUMIFS(領用表!$L:$L,領用表!$E:$E,$B185,領用表!$B:$B,$CN$2&amp;CQ$2)</f>
        <v>0</v>
      </c>
      <c r="CR185" s="296">
        <f>SUMIFS(領用表!$L:$L,領用表!$E:$E,$B185,領用表!$B:$B,$CN$2&amp;CR$2)</f>
        <v>0</v>
      </c>
      <c r="CS185" s="208">
        <f>SUMIFS(領用表!$L:$L,領用表!$A:$A,CS$2,領用表!$E:$E,B185)</f>
        <v>0</v>
      </c>
      <c r="CT185" s="206">
        <f>SUMIFS(領用表!$L:$L,領用表!$E:$E,$B185,領用表!$B:$B,CS$2&amp;CT$2)</f>
        <v>0</v>
      </c>
      <c r="CU185" s="206">
        <f>SUMIFS(領用表!$L:$L,領用表!$E:$E,$B185,領用表!$B:$B,$CS$2&amp;CU$2)</f>
        <v>0</v>
      </c>
      <c r="CV185" s="206">
        <f>SUMIFS(領用表!$L:$L,領用表!$E:$E,$B185,領用表!$B:$B,$CS$2&amp;CV$2)</f>
        <v>0</v>
      </c>
      <c r="CW185" s="206">
        <f>SUMIFS(領用表!$L:$L,領用表!$E:$E,$B185,領用表!$B:$B,$CS$2&amp;CW$2)</f>
        <v>0</v>
      </c>
      <c r="CX185" s="206">
        <f>SUMIFS(領用表!$L:$L,領用表!$E:$E,$B185,領用表!$B:$B,$CS$2&amp;CX$2)</f>
        <v>0</v>
      </c>
      <c r="CY185" s="208">
        <f>SUMIFS(領用表!$L:$L,領用表!$A:$A,CY$2,領用表!$E:$E,B185)</f>
        <v>0</v>
      </c>
      <c r="CZ185" s="296">
        <f>SUMIFS(領用表!$L:$L,領用表!$E:$E,$B185,領用表!$B:$B,CY$2&amp;CZ$2)</f>
        <v>0</v>
      </c>
      <c r="DA185" s="296">
        <f>SUMIFS(領用表!$L:$L,領用表!$E:$E,$B185,領用表!$B:$B,$CY$2&amp;DA$2)</f>
        <v>0</v>
      </c>
      <c r="DB185" s="296">
        <f>SUMIFS(領用表!$L:$L,領用表!$E:$E,$B185,領用表!$B:$B,$CY$2&amp;DB$2)</f>
        <v>0</v>
      </c>
      <c r="DC185" s="296">
        <f>SUMIFS(領用表!$L:$L,領用表!$E:$E,$B185,領用表!$B:$B,$CY$2&amp;DC$2)</f>
        <v>0</v>
      </c>
      <c r="DD185" s="296">
        <f>SUMIFS(領用表!$L:$L,領用表!$E:$E,$B185,領用表!$B:$B,$CY$2&amp;DD$2)</f>
        <v>0</v>
      </c>
      <c r="DE185" s="208">
        <f>SUMIFS(領用表!$L:$L,領用表!$A:$A,DE$2,領用表!$E:$E,B185)</f>
        <v>0</v>
      </c>
      <c r="DF185" s="296">
        <f>SUMIFS(領用表!$L:$L,領用表!$E:$E,$B185,領用表!$B:$B,DE$2&amp;DF$2)</f>
        <v>0</v>
      </c>
      <c r="DG185" s="296">
        <f>SUMIFS(領用表!$L:$L,領用表!$E:$E,$B185,領用表!$B:$B,$DE$2&amp;DG$2)</f>
        <v>0</v>
      </c>
      <c r="DH185" s="296">
        <f>SUMIFS(領用表!$L:$L,領用表!$E:$E,$B185,領用表!$B:$B,$DE$2&amp;DH$2)</f>
        <v>0</v>
      </c>
      <c r="DI185" s="296">
        <f>SUMIFS(領用表!$L:$L,領用表!$E:$E,$B185,領用表!$B:$B,$DE$2&amp;DI$2)</f>
        <v>0</v>
      </c>
      <c r="DJ185" s="296">
        <f>SUMIFS(領用表!$L:$L,領用表!$E:$E,$B185,領用表!$B:$B,$DE$2&amp;DJ$2)</f>
        <v>0</v>
      </c>
      <c r="DK185" s="208">
        <f>SUMIFS(領用表!$L:$L,領用表!$A:$A,DK$2,領用表!$E:$E,$B185)</f>
        <v>0</v>
      </c>
      <c r="DL185" s="296">
        <f>SUMIFS(領用表!$L:$L,領用表!$E:$E,$B185,領用表!$B:$B,DK$2&amp;DL$2)</f>
        <v>0</v>
      </c>
      <c r="DM185" s="296">
        <f>SUMIFS(領用表!$L:$L,領用表!$E:$E,$B185,領用表!$B:$B,$CY$2&amp;DM$2)</f>
        <v>0</v>
      </c>
      <c r="DN185" s="296">
        <f>SUMIFS(領用表!$L:$L,領用表!$E:$E,$B185,領用表!$B:$B,$DK$2&amp;DN$2)</f>
        <v>0</v>
      </c>
      <c r="DO185" s="296">
        <f>SUMIFS(領用表!$L:$L,領用表!$E:$E,$B185,領用表!$B:$B,$DK$2&amp;DO$2)</f>
        <v>0</v>
      </c>
      <c r="DP185" s="296">
        <f>SUMIFS(領用表!$L:$L,領用表!$E:$E,$B185,領用表!$B:$B,$DK$2&amp;DP$2)</f>
        <v>0</v>
      </c>
      <c r="DQ185" s="330">
        <f t="shared" si="56"/>
        <v>0</v>
      </c>
      <c r="DR185" s="330">
        <f t="shared" si="57"/>
        <v>0</v>
      </c>
      <c r="DS185" s="330">
        <f t="shared" si="48"/>
        <v>0</v>
      </c>
      <c r="DT185" s="330">
        <v>0</v>
      </c>
      <c r="DU185" s="330">
        <v>0</v>
      </c>
      <c r="DV185" s="330">
        <v>0</v>
      </c>
      <c r="DW185" s="330">
        <v>0</v>
      </c>
      <c r="DX185" s="338"/>
      <c r="DY185" s="342"/>
      <c r="DZ185" s="340"/>
      <c r="EA185" s="340"/>
      <c r="ED185" s="118">
        <f>IFERROR(VLOOKUP(A185,站前4樓!A:BF,57,0),0)</f>
        <v>0</v>
      </c>
      <c r="EE185" s="213">
        <f>IFERROR(VLOOKUP(A185,站前11樓!A:BE,57,0),0)</f>
        <v>0</v>
      </c>
      <c r="EF185" s="118">
        <f>IFERROR(VLOOKUP(A185,忠孝7樓!A:N,57,0),0)</f>
        <v>0</v>
      </c>
      <c r="EG185" s="118">
        <f>IFERROR(VLOOKUP(A185,忠孝國際醫學3樓!A:L,57,0),0)</f>
        <v>0</v>
      </c>
      <c r="EH185" s="118">
        <f t="shared" si="51"/>
        <v>0</v>
      </c>
    </row>
    <row r="186" spans="1:138" s="118" customFormat="1" ht="15.75" customHeight="1">
      <c r="A186" s="136" t="s">
        <v>214</v>
      </c>
      <c r="C186" s="136" t="s">
        <v>586</v>
      </c>
      <c r="D186" s="285"/>
      <c r="E186" s="198" t="s">
        <v>15</v>
      </c>
      <c r="F186" s="225">
        <f>SUMIF(站前4樓!B:B,B186,站前4樓!F:F)</f>
        <v>0</v>
      </c>
      <c r="G186" s="225">
        <f>SUMIF(站前11樓!B:B,B186,站前11樓!F:F)</f>
        <v>0</v>
      </c>
      <c r="H186" s="225">
        <f>SUMIF(忠孝7樓!B:B,B186,忠孝7樓!G:G)</f>
        <v>0</v>
      </c>
      <c r="I186" s="225">
        <f>SUMIF(忠孝國際醫學3樓!B:B,B186,忠孝國際醫學3樓!G:G)</f>
        <v>0</v>
      </c>
      <c r="J186" s="225">
        <f>SUMIF(忠孝健康7樓!B:B,B186,忠孝健康7樓!G:G)</f>
        <v>0</v>
      </c>
      <c r="AU186" s="201"/>
      <c r="AV186" s="347"/>
      <c r="AW186" s="347"/>
      <c r="AX186" s="201"/>
      <c r="AY186" s="201"/>
      <c r="AZ186" s="201"/>
      <c r="BA186" s="201"/>
      <c r="BB186" s="201"/>
      <c r="BC186" s="203">
        <f>SUMIFS(領用表!$L:$L,領用表!$A:$A,BC$2,領用表!$E:$E,B186)</f>
        <v>0</v>
      </c>
      <c r="BD186" s="296">
        <f>SUMIFS(領用表!$L:$L,領用表!$E:$E,$B186,領用表!$B:$B,BC$2&amp;BD$2)</f>
        <v>0</v>
      </c>
      <c r="BE186" s="296">
        <f>SUMIFS(領用表!$L:$L,領用表!$E:$E,$B186,領用表!$B:$B,$BC$2&amp;BE$2)</f>
        <v>0</v>
      </c>
      <c r="BF186" s="296">
        <f>SUMIFS(領用表!$L:$L,領用表!$E:$E,$B186,領用表!$B:$B,$BC$2&amp;BF$2)</f>
        <v>0</v>
      </c>
      <c r="BG186" s="296">
        <f>SUMIFS(領用表!$L:$L,領用表!$E:$E,$B186,領用表!$B:$B,$BC$2&amp;BG$2)</f>
        <v>0</v>
      </c>
      <c r="BH186" s="203">
        <f>SUMIFS(領用表!$L:$L,領用表!$A:$A,BH$2,領用表!$E:$E,B186)</f>
        <v>0</v>
      </c>
      <c r="BI186" s="260">
        <f>SUMIFS(領用表!$L:$L,領用表!$E:$E,$B186,領用表!$B:$B,BH$2&amp;BI$2)</f>
        <v>0</v>
      </c>
      <c r="BJ186" s="260">
        <f>SUMIFS(領用表!$L:$L,領用表!$E:$E,$B186,領用表!$B:$B,$BH$2&amp;BJ$2)</f>
        <v>0</v>
      </c>
      <c r="BK186" s="260">
        <f>SUMIFS(領用表!$L:$L,領用表!$E:$E,$B186,領用表!$B:$B,$BH$2&amp;BK$2)</f>
        <v>0</v>
      </c>
      <c r="BL186" s="260">
        <f>SUMIFS(領用表!$L:$L,領用表!$E:$E,$B186,領用表!$B:$B,$BH$2&amp;BL$2)</f>
        <v>0</v>
      </c>
      <c r="BM186" s="203">
        <f>SUMIFS(領用表!$L:$L,領用表!$A:$A,BM$2,領用表!$E:$E,B186)</f>
        <v>0</v>
      </c>
      <c r="BN186" s="206">
        <f>SUMIFS(領用表!$L:$L,領用表!$E:$E,$B186,領用表!$B:$B,BM$2&amp;BN$2)</f>
        <v>0</v>
      </c>
      <c r="BO186" s="206">
        <f>SUMIFS(領用表!$L:$L,領用表!$E:$E,$B186,領用表!$B:$B,$BM$2&amp;BO$2)</f>
        <v>0</v>
      </c>
      <c r="BP186" s="288">
        <f>SUMIFS(領用表!$L:$L,領用表!$E:$E,$B186,領用表!$B:$B,$BM$2&amp;BP$2)</f>
        <v>0</v>
      </c>
      <c r="BQ186" s="287">
        <f>SUMIFS(領用表!$L:$L,領用表!$E:$E,$B186,領用表!$B:$B,$BM$2&amp;BQ$2)</f>
        <v>0</v>
      </c>
      <c r="BR186" s="203">
        <f>SUMIFS(領用表!$L:$L,領用表!$A:$A,BR$2,領用表!$E:$E,B186)</f>
        <v>0</v>
      </c>
      <c r="BS186" s="260">
        <f>SUMIFS(領用表!$L:$L,領用表!$E:$E,$B186,領用表!$B:$B,BR$2&amp;BS$2)</f>
        <v>0</v>
      </c>
      <c r="BT186" s="260">
        <f>SUMIFS(領用表!$L:$L,領用表!$E:$E,$B186,領用表!$B:$B,$BR$2&amp;BT$2)</f>
        <v>0</v>
      </c>
      <c r="BU186" s="260">
        <f>SUMIFS(領用表!$L:$L,領用表!$E:$E,$B186,領用表!$B:$B,$BR$2&amp;BU$2)</f>
        <v>0</v>
      </c>
      <c r="BV186" s="220">
        <f>SUMIFS(領用表!$L:$L,領用表!$E:$E,$B186,領用表!$B:$B,$BR$2&amp;BV$2)</f>
        <v>0</v>
      </c>
      <c r="BW186" s="208">
        <f>SUMIFS(領用表!$L:$L,領用表!$A:$A,BW$2,領用表!$E:$E,B186)</f>
        <v>0</v>
      </c>
      <c r="BX186" s="296">
        <f>SUMIFS(領用表!$L:$L,領用表!$E:$E,$B186,領用表!$B:$B,BW$2&amp;BX$2)</f>
        <v>0</v>
      </c>
      <c r="BY186" s="296">
        <f>SUMIFS(領用表!$L:$L,領用表!$E:$E,$B186,領用表!$B:$B,$BW$2&amp;BY$2)</f>
        <v>0</v>
      </c>
      <c r="BZ186" s="296">
        <f>SUMIFS(領用表!$L:$L,領用表!$E:$E,$B186,領用表!$B:$B,$BW$2&amp;BZ$2)</f>
        <v>0</v>
      </c>
      <c r="CA186" s="296">
        <f>SUMIFS(領用表!$L:$L,領用表!$E:$E,$B186,領用表!$B:$B,$BW$2&amp;CA$2)</f>
        <v>0</v>
      </c>
      <c r="CB186" s="208">
        <f>SUMIFS(領用表!$L:$L,領用表!$A:$A,CB$2,領用表!$E:$E,B186)</f>
        <v>0</v>
      </c>
      <c r="CC186" s="296">
        <f>SUMIFS(領用表!$L:$L,領用表!$E:$E,$B186,領用表!$B:$B,CB$2&amp;CC$2)</f>
        <v>0</v>
      </c>
      <c r="CD186" s="296">
        <f>SUMIFS(領用表!$L:$L,領用表!$E:$E,$B186,領用表!$B:$B,$CB$2&amp;CD$2)</f>
        <v>0</v>
      </c>
      <c r="CE186" s="296">
        <f>SUMIFS(領用表!$L:$L,領用表!$E:$E,$B186,領用表!$B:$B,$CB$2&amp;CE$2)</f>
        <v>0</v>
      </c>
      <c r="CF186" s="296">
        <f>SUMIFS(領用表!$L:$L,領用表!$E:$E,$B186,領用表!$B:$B,$CB$2&amp;CF$2)</f>
        <v>0</v>
      </c>
      <c r="CG186" s="335">
        <f>SUMIFS(領用表!$L:$L,領用表!$A:$A,CG$2,領用表!$E:$E,B186)</f>
        <v>0</v>
      </c>
      <c r="CH186" s="296">
        <f>SUMIFS(領用表!$L:$L,領用表!$E:$E,$B186,領用表!$B:$B,CG$2&amp;CH$2)</f>
        <v>0</v>
      </c>
      <c r="CI186" s="296">
        <f>SUMIFS(領用表!$L:$L,領用表!$E:$E,$B186,領用表!$B:$B,CG$2&amp;CI$2)</f>
        <v>0</v>
      </c>
      <c r="CJ186" s="296">
        <f>SUMIFS(領用表!$L:$L,領用表!$E:$E,$B186,領用表!$B:$B,CG$2&amp;CJ$2)</f>
        <v>0</v>
      </c>
      <c r="CK186" s="296">
        <f>SUMIFS(領用表!$L:$L,領用表!$E:$E,$B186,領用表!$B:$B,$CG$2&amp;CK$2)</f>
        <v>0</v>
      </c>
      <c r="CL186" s="207">
        <f t="shared" si="54"/>
        <v>0</v>
      </c>
      <c r="CM186" s="207">
        <f t="shared" si="55"/>
        <v>0</v>
      </c>
      <c r="CN186" s="208">
        <f>SUMIFS(領用表!$L:$L,領用表!$A:$A,CN$2,領用表!$E:$E,B186)</f>
        <v>0</v>
      </c>
      <c r="CO186" s="206">
        <f>SUMIFS(領用表!$L:$L,領用表!$E:$E,$B186,領用表!$B:$B,CN$2&amp;CO$2)</f>
        <v>0</v>
      </c>
      <c r="CP186" s="206">
        <f>SUMIFS(領用表!$L:$L,領用表!$E:$E,$B186,領用表!$B:$B,$CN$2&amp;CP$2)</f>
        <v>0</v>
      </c>
      <c r="CQ186" s="206">
        <f>SUMIFS(領用表!$L:$L,領用表!$E:$E,$B186,領用表!$B:$B,$CN$2&amp;CQ$2)</f>
        <v>0</v>
      </c>
      <c r="CR186" s="296">
        <f>SUMIFS(領用表!$L:$L,領用表!$E:$E,$B186,領用表!$B:$B,$CN$2&amp;CR$2)</f>
        <v>0</v>
      </c>
      <c r="CS186" s="208">
        <f>SUMIFS(領用表!$L:$L,領用表!$A:$A,CS$2,領用表!$E:$E,B186)</f>
        <v>0</v>
      </c>
      <c r="CT186" s="206">
        <f>SUMIFS(領用表!$L:$L,領用表!$E:$E,$B186,領用表!$B:$B,CS$2&amp;CT$2)</f>
        <v>0</v>
      </c>
      <c r="CU186" s="206">
        <f>SUMIFS(領用表!$L:$L,領用表!$E:$E,$B186,領用表!$B:$B,$CS$2&amp;CU$2)</f>
        <v>0</v>
      </c>
      <c r="CV186" s="206">
        <f>SUMIFS(領用表!$L:$L,領用表!$E:$E,$B186,領用表!$B:$B,$CS$2&amp;CV$2)</f>
        <v>0</v>
      </c>
      <c r="CW186" s="206">
        <f>SUMIFS(領用表!$L:$L,領用表!$E:$E,$B186,領用表!$B:$B,$CS$2&amp;CW$2)</f>
        <v>0</v>
      </c>
      <c r="CX186" s="206">
        <f>SUMIFS(領用表!$L:$L,領用表!$E:$E,$B186,領用表!$B:$B,$CS$2&amp;CX$2)</f>
        <v>0</v>
      </c>
      <c r="CY186" s="208">
        <f>SUMIFS(領用表!$L:$L,領用表!$A:$A,CY$2,領用表!$E:$E,B186)</f>
        <v>0</v>
      </c>
      <c r="CZ186" s="296">
        <f>SUMIFS(領用表!$L:$L,領用表!$E:$E,$B186,領用表!$B:$B,CY$2&amp;CZ$2)</f>
        <v>0</v>
      </c>
      <c r="DA186" s="296">
        <f>SUMIFS(領用表!$L:$L,領用表!$E:$E,$B186,領用表!$B:$B,$CY$2&amp;DA$2)</f>
        <v>0</v>
      </c>
      <c r="DB186" s="296">
        <f>SUMIFS(領用表!$L:$L,領用表!$E:$E,$B186,領用表!$B:$B,$CY$2&amp;DB$2)</f>
        <v>0</v>
      </c>
      <c r="DC186" s="296">
        <f>SUMIFS(領用表!$L:$L,領用表!$E:$E,$B186,領用表!$B:$B,$CY$2&amp;DC$2)</f>
        <v>0</v>
      </c>
      <c r="DD186" s="296">
        <f>SUMIFS(領用表!$L:$L,領用表!$E:$E,$B186,領用表!$B:$B,$CY$2&amp;DD$2)</f>
        <v>0</v>
      </c>
      <c r="DE186" s="208">
        <f>SUMIFS(領用表!$L:$L,領用表!$A:$A,DE$2,領用表!$E:$E,B186)</f>
        <v>0</v>
      </c>
      <c r="DF186" s="296">
        <f>SUMIFS(領用表!$L:$L,領用表!$E:$E,$B186,領用表!$B:$B,DE$2&amp;DF$2)</f>
        <v>0</v>
      </c>
      <c r="DG186" s="296">
        <f>SUMIFS(領用表!$L:$L,領用表!$E:$E,$B186,領用表!$B:$B,$DE$2&amp;DG$2)</f>
        <v>0</v>
      </c>
      <c r="DH186" s="296">
        <f>SUMIFS(領用表!$L:$L,領用表!$E:$E,$B186,領用表!$B:$B,$DE$2&amp;DH$2)</f>
        <v>0</v>
      </c>
      <c r="DI186" s="296">
        <f>SUMIFS(領用表!$L:$L,領用表!$E:$E,$B186,領用表!$B:$B,$DE$2&amp;DI$2)</f>
        <v>0</v>
      </c>
      <c r="DJ186" s="296">
        <f>SUMIFS(領用表!$L:$L,領用表!$E:$E,$B186,領用表!$B:$B,$DE$2&amp;DJ$2)</f>
        <v>0</v>
      </c>
      <c r="DK186" s="208">
        <f>SUMIFS(領用表!$L:$L,領用表!$A:$A,DK$2,領用表!$E:$E,$B186)</f>
        <v>0</v>
      </c>
      <c r="DL186" s="296">
        <f>SUMIFS(領用表!$L:$L,領用表!$E:$E,$B186,領用表!$B:$B,DK$2&amp;DL$2)</f>
        <v>0</v>
      </c>
      <c r="DM186" s="296">
        <f>SUMIFS(領用表!$L:$L,領用表!$E:$E,$B186,領用表!$B:$B,$CY$2&amp;DM$2)</f>
        <v>0</v>
      </c>
      <c r="DN186" s="296">
        <f>SUMIFS(領用表!$L:$L,領用表!$E:$E,$B186,領用表!$B:$B,$DK$2&amp;DN$2)</f>
        <v>0</v>
      </c>
      <c r="DO186" s="296">
        <f>SUMIFS(領用表!$L:$L,領用表!$E:$E,$B186,領用表!$B:$B,$DK$2&amp;DO$2)</f>
        <v>0</v>
      </c>
      <c r="DP186" s="296">
        <f>SUMIFS(領用表!$L:$L,領用表!$E:$E,$B186,領用表!$B:$B,$DK$2&amp;DP$2)</f>
        <v>0</v>
      </c>
      <c r="DQ186" s="330">
        <f t="shared" si="56"/>
        <v>0</v>
      </c>
      <c r="DR186" s="330">
        <f t="shared" si="57"/>
        <v>0</v>
      </c>
      <c r="DS186" s="330">
        <f t="shared" si="48"/>
        <v>0</v>
      </c>
      <c r="DT186" s="330">
        <v>0</v>
      </c>
      <c r="DU186" s="330">
        <v>0</v>
      </c>
      <c r="DV186" s="330">
        <v>0</v>
      </c>
      <c r="DW186" s="330">
        <v>0</v>
      </c>
      <c r="DX186" s="338"/>
      <c r="DY186" s="342"/>
      <c r="DZ186" s="340"/>
      <c r="EA186" s="340"/>
      <c r="ED186" s="118">
        <f>IFERROR(VLOOKUP(A186,站前4樓!A:BF,57,0),0)</f>
        <v>0</v>
      </c>
      <c r="EE186" s="213">
        <f>IFERROR(VLOOKUP(A186,站前11樓!A:BE,57,0),0)</f>
        <v>0</v>
      </c>
      <c r="EF186" s="118">
        <f>IFERROR(VLOOKUP(A186,忠孝7樓!A:N,57,0),0)</f>
        <v>0</v>
      </c>
      <c r="EG186" s="118">
        <f>IFERROR(VLOOKUP(A186,忠孝國際醫學3樓!A:L,57,0),0)</f>
        <v>0</v>
      </c>
      <c r="EH186" s="118">
        <f t="shared" si="51"/>
        <v>0</v>
      </c>
    </row>
    <row r="187" spans="1:138" s="118" customFormat="1" ht="15.75" customHeight="1">
      <c r="A187" s="136" t="s">
        <v>215</v>
      </c>
      <c r="C187" s="136" t="s">
        <v>587</v>
      </c>
      <c r="D187" s="285"/>
      <c r="E187" s="198" t="s">
        <v>15</v>
      </c>
      <c r="F187" s="225">
        <f>SUMIF(站前4樓!B:B,B187,站前4樓!F:F)</f>
        <v>0</v>
      </c>
      <c r="G187" s="225">
        <f>SUMIF(站前11樓!B:B,B187,站前11樓!F:F)</f>
        <v>0</v>
      </c>
      <c r="H187" s="225">
        <f>SUMIF(忠孝7樓!B:B,B187,忠孝7樓!G:G)</f>
        <v>0</v>
      </c>
      <c r="I187" s="225">
        <f>SUMIF(忠孝國際醫學3樓!B:B,B187,忠孝國際醫學3樓!G:G)</f>
        <v>0</v>
      </c>
      <c r="J187" s="225">
        <f>SUMIF(忠孝健康7樓!B:B,B187,忠孝健康7樓!G:G)</f>
        <v>0</v>
      </c>
      <c r="AU187" s="201"/>
      <c r="AV187" s="347"/>
      <c r="AW187" s="347"/>
      <c r="AX187" s="201"/>
      <c r="AY187" s="201"/>
      <c r="AZ187" s="201"/>
      <c r="BA187" s="201"/>
      <c r="BB187" s="201"/>
      <c r="BC187" s="203">
        <f>SUMIFS(領用表!$L:$L,領用表!$A:$A,BC$2,領用表!$E:$E,B187)</f>
        <v>0</v>
      </c>
      <c r="BD187" s="296">
        <f>SUMIFS(領用表!$L:$L,領用表!$E:$E,$B187,領用表!$B:$B,BC$2&amp;BD$2)</f>
        <v>0</v>
      </c>
      <c r="BE187" s="296">
        <f>SUMIFS(領用表!$L:$L,領用表!$E:$E,$B187,領用表!$B:$B,$BC$2&amp;BE$2)</f>
        <v>0</v>
      </c>
      <c r="BF187" s="296">
        <f>SUMIFS(領用表!$L:$L,領用表!$E:$E,$B187,領用表!$B:$B,$BC$2&amp;BF$2)</f>
        <v>0</v>
      </c>
      <c r="BG187" s="296">
        <f>SUMIFS(領用表!$L:$L,領用表!$E:$E,$B187,領用表!$B:$B,$BC$2&amp;BG$2)</f>
        <v>0</v>
      </c>
      <c r="BH187" s="203">
        <f>SUMIFS(領用表!$L:$L,領用表!$A:$A,BH$2,領用表!$E:$E,B187)</f>
        <v>0</v>
      </c>
      <c r="BI187" s="260">
        <f>SUMIFS(領用表!$L:$L,領用表!$E:$E,$B187,領用表!$B:$B,BH$2&amp;BI$2)</f>
        <v>0</v>
      </c>
      <c r="BJ187" s="260">
        <f>SUMIFS(領用表!$L:$L,領用表!$E:$E,$B187,領用表!$B:$B,$BH$2&amp;BJ$2)</f>
        <v>0</v>
      </c>
      <c r="BK187" s="260">
        <f>SUMIFS(領用表!$L:$L,領用表!$E:$E,$B187,領用表!$B:$B,$BH$2&amp;BK$2)</f>
        <v>0</v>
      </c>
      <c r="BL187" s="260">
        <f>SUMIFS(領用表!$L:$L,領用表!$E:$E,$B187,領用表!$B:$B,$BH$2&amp;BL$2)</f>
        <v>0</v>
      </c>
      <c r="BM187" s="203">
        <f>SUMIFS(領用表!$L:$L,領用表!$A:$A,BM$2,領用表!$E:$E,B187)</f>
        <v>0</v>
      </c>
      <c r="BN187" s="206">
        <f>SUMIFS(領用表!$L:$L,領用表!$E:$E,$B187,領用表!$B:$B,BM$2&amp;BN$2)</f>
        <v>0</v>
      </c>
      <c r="BO187" s="206">
        <f>SUMIFS(領用表!$L:$L,領用表!$E:$E,$B187,領用表!$B:$B,$BM$2&amp;BO$2)</f>
        <v>0</v>
      </c>
      <c r="BP187" s="288">
        <f>SUMIFS(領用表!$L:$L,領用表!$E:$E,$B187,領用表!$B:$B,$BM$2&amp;BP$2)</f>
        <v>0</v>
      </c>
      <c r="BQ187" s="287">
        <f>SUMIFS(領用表!$L:$L,領用表!$E:$E,$B187,領用表!$B:$B,$BM$2&amp;BQ$2)</f>
        <v>0</v>
      </c>
      <c r="BR187" s="203">
        <f>SUMIFS(領用表!$L:$L,領用表!$A:$A,BR$2,領用表!$E:$E,B187)</f>
        <v>0</v>
      </c>
      <c r="BS187" s="260">
        <f>SUMIFS(領用表!$L:$L,領用表!$E:$E,$B187,領用表!$B:$B,BR$2&amp;BS$2)</f>
        <v>0</v>
      </c>
      <c r="BT187" s="260">
        <f>SUMIFS(領用表!$L:$L,領用表!$E:$E,$B187,領用表!$B:$B,$BR$2&amp;BT$2)</f>
        <v>0</v>
      </c>
      <c r="BU187" s="260">
        <f>SUMIFS(領用表!$L:$L,領用表!$E:$E,$B187,領用表!$B:$B,$BR$2&amp;BU$2)</f>
        <v>0</v>
      </c>
      <c r="BV187" s="220">
        <f>SUMIFS(領用表!$L:$L,領用表!$E:$E,$B187,領用表!$B:$B,$BR$2&amp;BV$2)</f>
        <v>0</v>
      </c>
      <c r="BW187" s="208">
        <f>SUMIFS(領用表!$L:$L,領用表!$A:$A,BW$2,領用表!$E:$E,B187)</f>
        <v>0</v>
      </c>
      <c r="BX187" s="296">
        <f>SUMIFS(領用表!$L:$L,領用表!$E:$E,$B187,領用表!$B:$B,BW$2&amp;BX$2)</f>
        <v>0</v>
      </c>
      <c r="BY187" s="296">
        <f>SUMIFS(領用表!$L:$L,領用表!$E:$E,$B187,領用表!$B:$B,$BW$2&amp;BY$2)</f>
        <v>0</v>
      </c>
      <c r="BZ187" s="296">
        <f>SUMIFS(領用表!$L:$L,領用表!$E:$E,$B187,領用表!$B:$B,$BW$2&amp;BZ$2)</f>
        <v>0</v>
      </c>
      <c r="CA187" s="296">
        <f>SUMIFS(領用表!$L:$L,領用表!$E:$E,$B187,領用表!$B:$B,$BW$2&amp;CA$2)</f>
        <v>0</v>
      </c>
      <c r="CB187" s="208">
        <f>SUMIFS(領用表!$L:$L,領用表!$A:$A,CB$2,領用表!$E:$E,B187)</f>
        <v>0</v>
      </c>
      <c r="CC187" s="296">
        <f>SUMIFS(領用表!$L:$L,領用表!$E:$E,$B187,領用表!$B:$B,CB$2&amp;CC$2)</f>
        <v>0</v>
      </c>
      <c r="CD187" s="296">
        <f>SUMIFS(領用表!$L:$L,領用表!$E:$E,$B187,領用表!$B:$B,$CB$2&amp;CD$2)</f>
        <v>0</v>
      </c>
      <c r="CE187" s="296">
        <f>SUMIFS(領用表!$L:$L,領用表!$E:$E,$B187,領用表!$B:$B,$CB$2&amp;CE$2)</f>
        <v>0</v>
      </c>
      <c r="CF187" s="296">
        <f>SUMIFS(領用表!$L:$L,領用表!$E:$E,$B187,領用表!$B:$B,$CB$2&amp;CF$2)</f>
        <v>0</v>
      </c>
      <c r="CG187" s="335">
        <f>SUMIFS(領用表!$L:$L,領用表!$A:$A,CG$2,領用表!$E:$E,B187)</f>
        <v>0</v>
      </c>
      <c r="CH187" s="296">
        <f>SUMIFS(領用表!$L:$L,領用表!$E:$E,$B187,領用表!$B:$B,CG$2&amp;CH$2)</f>
        <v>0</v>
      </c>
      <c r="CI187" s="296">
        <f>SUMIFS(領用表!$L:$L,領用表!$E:$E,$B187,領用表!$B:$B,CG$2&amp;CI$2)</f>
        <v>0</v>
      </c>
      <c r="CJ187" s="296">
        <f>SUMIFS(領用表!$L:$L,領用表!$E:$E,$B187,領用表!$B:$B,CG$2&amp;CJ$2)</f>
        <v>0</v>
      </c>
      <c r="CK187" s="296">
        <f>SUMIFS(領用表!$L:$L,領用表!$E:$E,$B187,領用表!$B:$B,$CG$2&amp;CK$2)</f>
        <v>0</v>
      </c>
      <c r="CL187" s="207">
        <f t="shared" si="54"/>
        <v>0</v>
      </c>
      <c r="CM187" s="207">
        <f t="shared" si="55"/>
        <v>0</v>
      </c>
      <c r="CN187" s="208">
        <f>SUMIFS(領用表!$L:$L,領用表!$A:$A,CN$2,領用表!$E:$E,B187)</f>
        <v>0</v>
      </c>
      <c r="CO187" s="206">
        <f>SUMIFS(領用表!$L:$L,領用表!$E:$E,$B187,領用表!$B:$B,CN$2&amp;CO$2)</f>
        <v>0</v>
      </c>
      <c r="CP187" s="206">
        <f>SUMIFS(領用表!$L:$L,領用表!$E:$E,$B187,領用表!$B:$B,$CN$2&amp;CP$2)</f>
        <v>0</v>
      </c>
      <c r="CQ187" s="206">
        <f>SUMIFS(領用表!$L:$L,領用表!$E:$E,$B187,領用表!$B:$B,$CN$2&amp;CQ$2)</f>
        <v>0</v>
      </c>
      <c r="CR187" s="296">
        <f>SUMIFS(領用表!$L:$L,領用表!$E:$E,$B187,領用表!$B:$B,$CN$2&amp;CR$2)</f>
        <v>0</v>
      </c>
      <c r="CS187" s="208">
        <f>SUMIFS(領用表!$L:$L,領用表!$A:$A,CS$2,領用表!$E:$E,B187)</f>
        <v>0</v>
      </c>
      <c r="CT187" s="206">
        <f>SUMIFS(領用表!$L:$L,領用表!$E:$E,$B187,領用表!$B:$B,CS$2&amp;CT$2)</f>
        <v>0</v>
      </c>
      <c r="CU187" s="206">
        <f>SUMIFS(領用表!$L:$L,領用表!$E:$E,$B187,領用表!$B:$B,$CS$2&amp;CU$2)</f>
        <v>0</v>
      </c>
      <c r="CV187" s="206">
        <f>SUMIFS(領用表!$L:$L,領用表!$E:$E,$B187,領用表!$B:$B,$CS$2&amp;CV$2)</f>
        <v>0</v>
      </c>
      <c r="CW187" s="206">
        <f>SUMIFS(領用表!$L:$L,領用表!$E:$E,$B187,領用表!$B:$B,$CS$2&amp;CW$2)</f>
        <v>0</v>
      </c>
      <c r="CX187" s="206">
        <f>SUMIFS(領用表!$L:$L,領用表!$E:$E,$B187,領用表!$B:$B,$CS$2&amp;CX$2)</f>
        <v>0</v>
      </c>
      <c r="CY187" s="208">
        <f>SUMIFS(領用表!$L:$L,領用表!$A:$A,CY$2,領用表!$E:$E,B187)</f>
        <v>0</v>
      </c>
      <c r="CZ187" s="296">
        <f>SUMIFS(領用表!$L:$L,領用表!$E:$E,$B187,領用表!$B:$B,CY$2&amp;CZ$2)</f>
        <v>0</v>
      </c>
      <c r="DA187" s="296">
        <f>SUMIFS(領用表!$L:$L,領用表!$E:$E,$B187,領用表!$B:$B,$CY$2&amp;DA$2)</f>
        <v>0</v>
      </c>
      <c r="DB187" s="296">
        <f>SUMIFS(領用表!$L:$L,領用表!$E:$E,$B187,領用表!$B:$B,$CY$2&amp;DB$2)</f>
        <v>0</v>
      </c>
      <c r="DC187" s="296">
        <f>SUMIFS(領用表!$L:$L,領用表!$E:$E,$B187,領用表!$B:$B,$CY$2&amp;DC$2)</f>
        <v>0</v>
      </c>
      <c r="DD187" s="296">
        <f>SUMIFS(領用表!$L:$L,領用表!$E:$E,$B187,領用表!$B:$B,$CY$2&amp;DD$2)</f>
        <v>0</v>
      </c>
      <c r="DE187" s="208">
        <f>SUMIFS(領用表!$L:$L,領用表!$A:$A,DE$2,領用表!$E:$E,B187)</f>
        <v>0</v>
      </c>
      <c r="DF187" s="296">
        <f>SUMIFS(領用表!$L:$L,領用表!$E:$E,$B187,領用表!$B:$B,DE$2&amp;DF$2)</f>
        <v>0</v>
      </c>
      <c r="DG187" s="296">
        <f>SUMIFS(領用表!$L:$L,領用表!$E:$E,$B187,領用表!$B:$B,$DE$2&amp;DG$2)</f>
        <v>0</v>
      </c>
      <c r="DH187" s="296">
        <f>SUMIFS(領用表!$L:$L,領用表!$E:$E,$B187,領用表!$B:$B,$DE$2&amp;DH$2)</f>
        <v>0</v>
      </c>
      <c r="DI187" s="296">
        <f>SUMIFS(領用表!$L:$L,領用表!$E:$E,$B187,領用表!$B:$B,$DE$2&amp;DI$2)</f>
        <v>0</v>
      </c>
      <c r="DJ187" s="296">
        <f>SUMIFS(領用表!$L:$L,領用表!$E:$E,$B187,領用表!$B:$B,$DE$2&amp;DJ$2)</f>
        <v>0</v>
      </c>
      <c r="DK187" s="208">
        <f>SUMIFS(領用表!$L:$L,領用表!$A:$A,DK$2,領用表!$E:$E,$B187)</f>
        <v>0</v>
      </c>
      <c r="DL187" s="296">
        <f>SUMIFS(領用表!$L:$L,領用表!$E:$E,$B187,領用表!$B:$B,DK$2&amp;DL$2)</f>
        <v>0</v>
      </c>
      <c r="DM187" s="296">
        <f>SUMIFS(領用表!$L:$L,領用表!$E:$E,$B187,領用表!$B:$B,$CY$2&amp;DM$2)</f>
        <v>0</v>
      </c>
      <c r="DN187" s="296">
        <f>SUMIFS(領用表!$L:$L,領用表!$E:$E,$B187,領用表!$B:$B,$DK$2&amp;DN$2)</f>
        <v>0</v>
      </c>
      <c r="DO187" s="296">
        <f>SUMIFS(領用表!$L:$L,領用表!$E:$E,$B187,領用表!$B:$B,$DK$2&amp;DO$2)</f>
        <v>0</v>
      </c>
      <c r="DP187" s="296">
        <f>SUMIFS(領用表!$L:$L,領用表!$E:$E,$B187,領用表!$B:$B,$DK$2&amp;DP$2)</f>
        <v>0</v>
      </c>
      <c r="DQ187" s="330">
        <f t="shared" si="56"/>
        <v>0</v>
      </c>
      <c r="DR187" s="330">
        <f t="shared" si="57"/>
        <v>0</v>
      </c>
      <c r="DS187" s="330">
        <f t="shared" si="48"/>
        <v>0</v>
      </c>
      <c r="DT187" s="330">
        <v>0</v>
      </c>
      <c r="DU187" s="330">
        <v>0</v>
      </c>
      <c r="DV187" s="330">
        <v>0</v>
      </c>
      <c r="DW187" s="330">
        <v>0</v>
      </c>
      <c r="DX187" s="338"/>
      <c r="DY187" s="342"/>
      <c r="DZ187" s="340"/>
      <c r="EA187" s="340"/>
      <c r="ED187" s="118">
        <f>IFERROR(VLOOKUP(A187,站前4樓!A:BF,57,0),0)</f>
        <v>0</v>
      </c>
      <c r="EE187" s="213">
        <f>IFERROR(VLOOKUP(A187,站前11樓!A:BE,57,0),0)</f>
        <v>0</v>
      </c>
      <c r="EF187" s="118">
        <f>IFERROR(VLOOKUP(A187,忠孝7樓!A:N,57,0),0)</f>
        <v>0</v>
      </c>
      <c r="EG187" s="118">
        <f>IFERROR(VLOOKUP(A187,忠孝國際醫學3樓!A:L,57,0),0)</f>
        <v>0</v>
      </c>
      <c r="EH187" s="118">
        <f t="shared" si="51"/>
        <v>0</v>
      </c>
    </row>
    <row r="188" spans="1:138" s="118" customFormat="1" ht="16.5" customHeight="1">
      <c r="A188" s="136" t="s">
        <v>216</v>
      </c>
      <c r="B188" s="14">
        <v>6100003</v>
      </c>
      <c r="C188" s="136" t="s">
        <v>588</v>
      </c>
      <c r="D188" s="285"/>
      <c r="E188" s="198" t="s">
        <v>15</v>
      </c>
      <c r="F188" s="225">
        <f>SUMIF(站前4樓!B:B,B188,站前4樓!F:F)</f>
        <v>0</v>
      </c>
      <c r="G188" s="225">
        <f>SUMIF(站前11樓!B:B,B188,站前11樓!F:F)</f>
        <v>0</v>
      </c>
      <c r="H188" s="225">
        <f>SUMIF(忠孝7樓!B:B,B188,忠孝7樓!G:G)</f>
        <v>0</v>
      </c>
      <c r="I188" s="225">
        <f>SUMIF(忠孝國際醫學3樓!B:B,B188,忠孝國際醫學3樓!G:G)</f>
        <v>208</v>
      </c>
      <c r="J188" s="225">
        <f>SUMIF(忠孝健康7樓!B:B,B188,忠孝健康7樓!G:G)</f>
        <v>0</v>
      </c>
      <c r="AJ188" s="348"/>
      <c r="AK188" s="348"/>
      <c r="AL188" s="348"/>
      <c r="AM188" s="348"/>
      <c r="AN188" s="348"/>
      <c r="AO188" s="348"/>
      <c r="AP188" s="348"/>
      <c r="AQ188" s="201">
        <v>0</v>
      </c>
      <c r="AR188" s="201">
        <v>0</v>
      </c>
      <c r="AS188" s="201">
        <v>0</v>
      </c>
      <c r="AT188" s="201">
        <v>0</v>
      </c>
      <c r="AU188" s="201">
        <v>18</v>
      </c>
      <c r="AV188" s="283">
        <f>SUM(AJ188:AU188)</f>
        <v>18</v>
      </c>
      <c r="AW188" s="286">
        <f>AV188/12</f>
        <v>1.5</v>
      </c>
      <c r="AX188" s="201">
        <v>18</v>
      </c>
      <c r="AY188" s="201">
        <v>0</v>
      </c>
      <c r="AZ188" s="201">
        <v>0</v>
      </c>
      <c r="BA188" s="201">
        <v>360</v>
      </c>
      <c r="BB188" s="201">
        <v>0</v>
      </c>
      <c r="BC188" s="203">
        <f>SUMIFS(領用表!$L:$L,領用表!$A:$A,BC$2,領用表!$E:$E,B188)</f>
        <v>0</v>
      </c>
      <c r="BD188" s="296">
        <f>SUMIFS(領用表!$L:$L,領用表!$E:$E,$B188,領用表!$B:$B,BC$2&amp;BD$2)</f>
        <v>0</v>
      </c>
      <c r="BE188" s="296">
        <f>SUMIFS(領用表!$L:$L,領用表!$E:$E,$B188,領用表!$B:$B,$BC$2&amp;BE$2)</f>
        <v>0</v>
      </c>
      <c r="BF188" s="296">
        <f>SUMIFS(領用表!$L:$L,領用表!$E:$E,$B188,領用表!$B:$B,$BC$2&amp;BF$2)</f>
        <v>0</v>
      </c>
      <c r="BG188" s="296">
        <f>SUMIFS(領用表!$L:$L,領用表!$E:$E,$B188,領用表!$B:$B,$BC$2&amp;BG$2)</f>
        <v>0</v>
      </c>
      <c r="BH188" s="203">
        <f>SUMIFS(領用表!$L:$L,領用表!$A:$A,BH$2,領用表!$E:$E,B188)</f>
        <v>0</v>
      </c>
      <c r="BI188" s="260">
        <f>SUMIFS(領用表!$L:$L,領用表!$E:$E,$B188,領用表!$B:$B,BH$2&amp;BI$2)</f>
        <v>0</v>
      </c>
      <c r="BJ188" s="260">
        <f>SUMIFS(領用表!$L:$L,領用表!$E:$E,$B188,領用表!$B:$B,$BH$2&amp;BJ$2)</f>
        <v>0</v>
      </c>
      <c r="BK188" s="260">
        <f>SUMIFS(領用表!$L:$L,領用表!$E:$E,$B188,領用表!$B:$B,$BH$2&amp;BK$2)</f>
        <v>0</v>
      </c>
      <c r="BL188" s="260">
        <f>SUMIFS(領用表!$L:$L,領用表!$E:$E,$B188,領用表!$B:$B,$BH$2&amp;BL$2)</f>
        <v>0</v>
      </c>
      <c r="BM188" s="203">
        <f>SUMIFS(領用表!$L:$L,領用表!$A:$A,BM$2,領用表!$E:$E,B188)</f>
        <v>0</v>
      </c>
      <c r="BN188" s="331">
        <f>SUMIFS(領用表!$L:$L,領用表!$E:$E,$B188,領用表!$B:$B,BM$2&amp;BN$2)</f>
        <v>0</v>
      </c>
      <c r="BO188" s="331">
        <f>SUMIFS(領用表!$L:$L,領用表!$E:$E,$B188,領用表!$B:$B,$BM$2&amp;BO$2)</f>
        <v>0</v>
      </c>
      <c r="BP188" s="288">
        <f>SUMIFS(領用表!$L:$L,領用表!$E:$E,$B188,領用表!$B:$B,$BM$2&amp;BP$2)</f>
        <v>0</v>
      </c>
      <c r="BQ188" s="287">
        <f>SUMIFS(領用表!$L:$L,領用表!$E:$E,$B188,領用表!$B:$B,$BM$2&amp;BQ$2)</f>
        <v>0</v>
      </c>
      <c r="BR188" s="203">
        <f>SUMIFS(領用表!$L:$L,領用表!$A:$A,BR$2,領用表!$E:$E,B188)</f>
        <v>0</v>
      </c>
      <c r="BS188" s="260">
        <f>SUMIFS(領用表!$L:$L,領用表!$E:$E,$B188,領用表!$B:$B,BR$2&amp;BS$2)</f>
        <v>0</v>
      </c>
      <c r="BT188" s="260">
        <f>SUMIFS(領用表!$L:$L,領用表!$E:$E,$B188,領用表!$B:$B,$BR$2&amp;BT$2)</f>
        <v>0</v>
      </c>
      <c r="BU188" s="260">
        <f>SUMIFS(領用表!$L:$L,領用表!$E:$E,$B188,領用表!$B:$B,$BR$2&amp;BU$2)</f>
        <v>0</v>
      </c>
      <c r="BV188" s="220">
        <f>SUMIFS(領用表!$L:$L,領用表!$E:$E,$B188,領用表!$B:$B,$BR$2&amp;BV$2)</f>
        <v>0</v>
      </c>
      <c r="BW188" s="208">
        <f>SUMIFS(領用表!$L:$L,領用表!$A:$A,BW$2,領用表!$E:$E,B188)</f>
        <v>0</v>
      </c>
      <c r="BX188" s="331">
        <f>SUMIFS(領用表!$L:$L,領用表!$E:$E,$B188,領用表!$B:$B,BW$2&amp;BX$2)</f>
        <v>0</v>
      </c>
      <c r="BY188" s="331">
        <f>SUMIFS(領用表!$L:$L,領用表!$E:$E,$B188,領用表!$B:$B,$BW$2&amp;BY$2)</f>
        <v>0</v>
      </c>
      <c r="BZ188" s="331">
        <f>SUMIFS(領用表!$L:$L,領用表!$E:$E,$B188,領用表!$B:$B,$BW$2&amp;BZ$2)</f>
        <v>0</v>
      </c>
      <c r="CA188" s="331">
        <f>SUMIFS(領用表!$L:$L,領用表!$E:$E,$B188,領用表!$B:$B,$BW$2&amp;CA$2)</f>
        <v>0</v>
      </c>
      <c r="CB188" s="208">
        <f>SUMIFS(領用表!$L:$L,領用表!$A:$A,CB$2,領用表!$E:$E,B188)</f>
        <v>0</v>
      </c>
      <c r="CC188" s="344">
        <f>SUMIFS(領用表!$L:$L,領用表!$E:$E,$B188,領用表!$B:$B,CB$2&amp;CC$2)</f>
        <v>0</v>
      </c>
      <c r="CD188" s="344">
        <f>SUMIFS(領用表!$L:$L,領用表!$E:$E,$B188,領用表!$B:$B,$CB$2&amp;CD$2)</f>
        <v>0</v>
      </c>
      <c r="CE188" s="344">
        <f>SUMIFS(領用表!$L:$L,領用表!$E:$E,$B188,領用表!$B:$B,$CB$2&amp;CE$2)</f>
        <v>0</v>
      </c>
      <c r="CF188" s="344">
        <f>SUMIFS(領用表!$L:$L,領用表!$E:$E,$B188,領用表!$B:$B,$CB$2&amp;CF$2)</f>
        <v>0</v>
      </c>
      <c r="CG188" s="332">
        <f>SUMIFS(領用表!$L:$L,領用表!$A:$A,CG$2,領用表!$E:$E,B188)</f>
        <v>0</v>
      </c>
      <c r="CH188" s="296">
        <f>SUMIFS(領用表!$L:$L,領用表!$E:$E,$B188,領用表!$B:$B,CG$2&amp;CH$2)</f>
        <v>0</v>
      </c>
      <c r="CI188" s="296">
        <f>SUMIFS(領用表!$L:$L,領用表!$E:$E,$B188,領用表!$B:$B,CG$2&amp;CI$2)</f>
        <v>0</v>
      </c>
      <c r="CJ188" s="296">
        <f>SUMIFS(領用表!$L:$L,領用表!$E:$E,$B188,領用表!$B:$B,CG$2&amp;CJ$2)</f>
        <v>0</v>
      </c>
      <c r="CK188" s="296">
        <f>SUMIFS(領用表!$L:$L,領用表!$E:$E,$B188,領用表!$B:$B,$CG$2&amp;CK$2)</f>
        <v>0</v>
      </c>
      <c r="CL188" s="207">
        <f t="shared" si="54"/>
        <v>378</v>
      </c>
      <c r="CM188" s="207">
        <f t="shared" si="55"/>
        <v>31.5</v>
      </c>
      <c r="CN188" s="208">
        <f>SUMIFS(領用表!$L:$L,領用表!$A:$A,CN$2,領用表!$E:$E,B188)</f>
        <v>0</v>
      </c>
      <c r="CO188" s="206">
        <f>SUMIFS(領用表!$L:$L,領用表!$E:$E,$B188,領用表!$B:$B,CN$2&amp;CO$2)</f>
        <v>0</v>
      </c>
      <c r="CP188" s="206">
        <f>SUMIFS(領用表!$L:$L,領用表!$E:$E,$B188,領用表!$B:$B,$CN$2&amp;CP$2)</f>
        <v>0</v>
      </c>
      <c r="CQ188" s="206">
        <f>SUMIFS(領用表!$L:$L,領用表!$E:$E,$B188,領用表!$B:$B,$CN$2&amp;CQ$2)</f>
        <v>0</v>
      </c>
      <c r="CR188" s="296">
        <f>SUMIFS(領用表!$L:$L,領用表!$E:$E,$B188,領用表!$B:$B,$CN$2&amp;CR$2)</f>
        <v>0</v>
      </c>
      <c r="CS188" s="208">
        <f>SUMIFS(領用表!$L:$L,領用表!$A:$A,CS$2,領用表!$E:$E,B188)</f>
        <v>0</v>
      </c>
      <c r="CT188" s="206">
        <f>SUMIFS(領用表!$L:$L,領用表!$E:$E,$B188,領用表!$B:$B,CS$2&amp;CT$2)</f>
        <v>0</v>
      </c>
      <c r="CU188" s="206">
        <f>SUMIFS(領用表!$L:$L,領用表!$E:$E,$B188,領用表!$B:$B,$CS$2&amp;CU$2)</f>
        <v>0</v>
      </c>
      <c r="CV188" s="206">
        <f>SUMIFS(領用表!$L:$L,領用表!$E:$E,$B188,領用表!$B:$B,$CS$2&amp;CV$2)</f>
        <v>0</v>
      </c>
      <c r="CW188" s="206">
        <f>SUMIFS(領用表!$L:$L,領用表!$E:$E,$B188,領用表!$B:$B,$CS$2&amp;CW$2)</f>
        <v>0</v>
      </c>
      <c r="CX188" s="206">
        <f>SUMIFS(領用表!$L:$L,領用表!$E:$E,$B188,領用表!$B:$B,$CS$2&amp;CX$2)</f>
        <v>0</v>
      </c>
      <c r="CY188" s="208">
        <f>SUMIFS(領用表!$L:$L,領用表!$A:$A,CY$2,領用表!$E:$E,B188)</f>
        <v>0</v>
      </c>
      <c r="CZ188" s="296">
        <f>SUMIFS(領用表!$L:$L,領用表!$E:$E,$B188,領用表!$B:$B,CY$2&amp;CZ$2)</f>
        <v>0</v>
      </c>
      <c r="DA188" s="296">
        <f>SUMIFS(領用表!$L:$L,領用表!$E:$E,$B188,領用表!$B:$B,$CY$2&amp;DA$2)</f>
        <v>0</v>
      </c>
      <c r="DB188" s="296">
        <f>SUMIFS(領用表!$L:$L,領用表!$E:$E,$B188,領用表!$B:$B,$CY$2&amp;DB$2)</f>
        <v>0</v>
      </c>
      <c r="DC188" s="296">
        <f>SUMIFS(領用表!$L:$L,領用表!$E:$E,$B188,領用表!$B:$B,$CY$2&amp;DC$2)</f>
        <v>0</v>
      </c>
      <c r="DD188" s="296">
        <f>SUMIFS(領用表!$L:$L,領用表!$E:$E,$B188,領用表!$B:$B,$CY$2&amp;DD$2)</f>
        <v>0</v>
      </c>
      <c r="DE188" s="208">
        <f>SUMIFS(領用表!$L:$L,領用表!$A:$A,DE$2,領用表!$E:$E,B188)</f>
        <v>0</v>
      </c>
      <c r="DF188" s="296">
        <f>SUMIFS(領用表!$L:$L,領用表!$E:$E,$B188,領用表!$B:$B,DE$2&amp;DF$2)</f>
        <v>0</v>
      </c>
      <c r="DG188" s="296">
        <f>SUMIFS(領用表!$L:$L,領用表!$E:$E,$B188,領用表!$B:$B,$DE$2&amp;DG$2)</f>
        <v>0</v>
      </c>
      <c r="DH188" s="296">
        <f>SUMIFS(領用表!$L:$L,領用表!$E:$E,$B188,領用表!$B:$B,$DE$2&amp;DH$2)</f>
        <v>0</v>
      </c>
      <c r="DI188" s="296">
        <f>SUMIFS(領用表!$L:$L,領用表!$E:$E,$B188,領用表!$B:$B,$DE$2&amp;DI$2)</f>
        <v>0</v>
      </c>
      <c r="DJ188" s="296">
        <f>SUMIFS(領用表!$L:$L,領用表!$E:$E,$B188,領用表!$B:$B,$DE$2&amp;DJ$2)</f>
        <v>0</v>
      </c>
      <c r="DK188" s="208">
        <f>SUMIFS(領用表!$L:$L,領用表!$A:$A,DK$2,領用表!$E:$E,$B188)</f>
        <v>0</v>
      </c>
      <c r="DL188" s="296">
        <f>SUMIFS(領用表!$L:$L,領用表!$E:$E,$B188,領用表!$B:$B,DK$2&amp;DL$2)</f>
        <v>0</v>
      </c>
      <c r="DM188" s="296">
        <f>SUMIFS(領用表!$L:$L,領用表!$E:$E,$B188,領用表!$B:$B,$CY$2&amp;DM$2)</f>
        <v>0</v>
      </c>
      <c r="DN188" s="296">
        <f>SUMIFS(領用表!$L:$L,領用表!$E:$E,$B188,領用表!$B:$B,$DK$2&amp;DN$2)</f>
        <v>0</v>
      </c>
      <c r="DO188" s="296">
        <f>SUMIFS(領用表!$L:$L,領用表!$E:$E,$B188,領用表!$B:$B,$DK$2&amp;DO$2)</f>
        <v>0</v>
      </c>
      <c r="DP188" s="296">
        <f>SUMIFS(領用表!$L:$L,領用表!$E:$E,$B188,領用表!$B:$B,$DK$2&amp;DP$2)</f>
        <v>0</v>
      </c>
      <c r="DQ188" s="296">
        <f t="shared" si="56"/>
        <v>0</v>
      </c>
      <c r="DR188" s="296">
        <f t="shared" si="57"/>
        <v>0</v>
      </c>
      <c r="DS188" s="296">
        <f t="shared" si="48"/>
        <v>0</v>
      </c>
      <c r="DT188" s="296">
        <v>0</v>
      </c>
      <c r="DU188" s="296">
        <v>0</v>
      </c>
      <c r="DV188" s="296">
        <v>0</v>
      </c>
      <c r="DW188" s="296">
        <v>0</v>
      </c>
      <c r="DX188" s="258"/>
      <c r="DY188" s="340"/>
      <c r="DZ188" s="340"/>
      <c r="EA188" s="340"/>
      <c r="ED188" s="118">
        <f>IFERROR(VLOOKUP(A188,站前4樓!A:BF,57,0),0)</f>
        <v>0</v>
      </c>
      <c r="EE188" s="213">
        <f>IFERROR(VLOOKUP(A188,站前11樓!A:BE,57,0),0)</f>
        <v>0</v>
      </c>
      <c r="EF188" s="118">
        <f>IFERROR(VLOOKUP(A188,忠孝7樓!A:N,57,0),0)</f>
        <v>0</v>
      </c>
      <c r="EG188" s="118">
        <f>IFERROR(VLOOKUP(A188,忠孝國際醫學3樓!A:L,57,0),0)</f>
        <v>0</v>
      </c>
      <c r="EH188" s="118">
        <f t="shared" si="51"/>
        <v>0</v>
      </c>
    </row>
    <row r="189" spans="1:138" s="118" customFormat="1" ht="14.25" customHeight="1">
      <c r="A189" s="136" t="s">
        <v>217</v>
      </c>
      <c r="C189" s="136" t="s">
        <v>589</v>
      </c>
      <c r="D189" s="285"/>
      <c r="E189" s="198" t="s">
        <v>15</v>
      </c>
      <c r="F189" s="225">
        <f>SUMIF(站前4樓!B:B,B189,站前4樓!F:F)</f>
        <v>0</v>
      </c>
      <c r="G189" s="225">
        <f>SUMIF(站前11樓!B:B,B189,站前11樓!F:F)</f>
        <v>0</v>
      </c>
      <c r="H189" s="225">
        <f>SUMIF(忠孝7樓!B:B,B189,忠孝7樓!G:G)</f>
        <v>0</v>
      </c>
      <c r="I189" s="225">
        <f>SUMIF(忠孝國際醫學3樓!B:B,B189,忠孝國際醫學3樓!G:G)</f>
        <v>0</v>
      </c>
      <c r="J189" s="225">
        <f>SUMIF(忠孝健康7樓!B:B,B189,忠孝健康7樓!G:G)</f>
        <v>0</v>
      </c>
      <c r="AU189" s="201">
        <v>0</v>
      </c>
      <c r="AV189" s="347">
        <v>0</v>
      </c>
      <c r="AW189" s="347">
        <v>0</v>
      </c>
      <c r="AX189" s="201">
        <v>0</v>
      </c>
      <c r="AY189" s="201">
        <v>0</v>
      </c>
      <c r="AZ189" s="201">
        <v>54</v>
      </c>
      <c r="BA189" s="201">
        <v>0</v>
      </c>
      <c r="BB189" s="201">
        <v>0</v>
      </c>
      <c r="BC189" s="203">
        <f>SUMIFS(領用表!$L:$L,領用表!$A:$A,BC$2,領用表!$E:$E,B189)</f>
        <v>0</v>
      </c>
      <c r="BD189" s="296">
        <f>SUMIFS(領用表!$L:$L,領用表!$E:$E,$B189,領用表!$B:$B,BC$2&amp;BD$2)</f>
        <v>0</v>
      </c>
      <c r="BE189" s="296">
        <f>SUMIFS(領用表!$L:$L,領用表!$E:$E,$B189,領用表!$B:$B,$BC$2&amp;BE$2)</f>
        <v>0</v>
      </c>
      <c r="BF189" s="296">
        <f>SUMIFS(領用表!$L:$L,領用表!$E:$E,$B189,領用表!$B:$B,$BC$2&amp;BF$2)</f>
        <v>0</v>
      </c>
      <c r="BG189" s="296">
        <f>SUMIFS(領用表!$L:$L,領用表!$E:$E,$B189,領用表!$B:$B,$BC$2&amp;BG$2)</f>
        <v>0</v>
      </c>
      <c r="BH189" s="203">
        <f>SUMIFS(領用表!$L:$L,領用表!$A:$A,BH$2,領用表!$E:$E,B189)</f>
        <v>0</v>
      </c>
      <c r="BI189" s="260">
        <f>SUMIFS(領用表!$L:$L,領用表!$E:$E,$B189,領用表!$B:$B,BH$2&amp;BI$2)</f>
        <v>0</v>
      </c>
      <c r="BJ189" s="260">
        <f>SUMIFS(領用表!$L:$L,領用表!$E:$E,$B189,領用表!$B:$B,$BH$2&amp;BJ$2)</f>
        <v>0</v>
      </c>
      <c r="BK189" s="260">
        <f>SUMIFS(領用表!$L:$L,領用表!$E:$E,$B189,領用表!$B:$B,$BH$2&amp;BK$2)</f>
        <v>0</v>
      </c>
      <c r="BL189" s="260">
        <f>SUMIFS(領用表!$L:$L,領用表!$E:$E,$B189,領用表!$B:$B,$BH$2&amp;BL$2)</f>
        <v>0</v>
      </c>
      <c r="BM189" s="203">
        <f>SUMIFS(領用表!$L:$L,領用表!$A:$A,BM$2,領用表!$E:$E,B189)</f>
        <v>0</v>
      </c>
      <c r="BN189" s="331">
        <f>SUMIFS(領用表!$L:$L,領用表!$E:$E,$B189,領用表!$B:$B,BM$2&amp;BN$2)</f>
        <v>0</v>
      </c>
      <c r="BO189" s="331">
        <f>SUMIFS(領用表!$L:$L,領用表!$E:$E,$B189,領用表!$B:$B,$BM$2&amp;BO$2)</f>
        <v>0</v>
      </c>
      <c r="BP189" s="288">
        <f>SUMIFS(領用表!$L:$L,領用表!$E:$E,$B189,領用表!$B:$B,$BM$2&amp;BP$2)</f>
        <v>0</v>
      </c>
      <c r="BQ189" s="287">
        <f>SUMIFS(領用表!$L:$L,領用表!$E:$E,$B189,領用表!$B:$B,$BM$2&amp;BQ$2)</f>
        <v>0</v>
      </c>
      <c r="BR189" s="203">
        <f>SUMIFS(領用表!$L:$L,領用表!$A:$A,BR$2,領用表!$E:$E,B189)</f>
        <v>0</v>
      </c>
      <c r="BS189" s="260">
        <f>SUMIFS(領用表!$L:$L,領用表!$E:$E,$B189,領用表!$B:$B,BR$2&amp;BS$2)</f>
        <v>0</v>
      </c>
      <c r="BT189" s="260">
        <f>SUMIFS(領用表!$L:$L,領用表!$E:$E,$B189,領用表!$B:$B,$BR$2&amp;BT$2)</f>
        <v>0</v>
      </c>
      <c r="BU189" s="260">
        <f>SUMIFS(領用表!$L:$L,領用表!$E:$E,$B189,領用表!$B:$B,$BR$2&amp;BU$2)</f>
        <v>0</v>
      </c>
      <c r="BV189" s="220">
        <f>SUMIFS(領用表!$L:$L,領用表!$E:$E,$B189,領用表!$B:$B,$BR$2&amp;BV$2)</f>
        <v>0</v>
      </c>
      <c r="BW189" s="208">
        <f>SUMIFS(領用表!$L:$L,領用表!$A:$A,BW$2,領用表!$E:$E,B189)</f>
        <v>0</v>
      </c>
      <c r="BX189" s="296">
        <f>SUMIFS(領用表!$L:$L,領用表!$E:$E,$B189,領用表!$B:$B,BW$2&amp;BX$2)</f>
        <v>0</v>
      </c>
      <c r="BY189" s="296">
        <f>SUMIFS(領用表!$L:$L,領用表!$E:$E,$B189,領用表!$B:$B,$BW$2&amp;BY$2)</f>
        <v>0</v>
      </c>
      <c r="BZ189" s="296">
        <f>SUMIFS(領用表!$L:$L,領用表!$E:$E,$B189,領用表!$B:$B,$BW$2&amp;BZ$2)</f>
        <v>0</v>
      </c>
      <c r="CA189" s="296">
        <f>SUMIFS(領用表!$L:$L,領用表!$E:$E,$B189,領用表!$B:$B,$BW$2&amp;CA$2)</f>
        <v>0</v>
      </c>
      <c r="CB189" s="208">
        <f>SUMIFS(領用表!$L:$L,領用表!$A:$A,CB$2,領用表!$E:$E,B189)</f>
        <v>0</v>
      </c>
      <c r="CC189" s="339">
        <f>SUMIFS(領用表!$L:$L,領用表!$E:$E,$B189,領用表!$B:$B,CB$2&amp;CC$2)</f>
        <v>0</v>
      </c>
      <c r="CD189" s="339">
        <f>SUMIFS(領用表!$L:$L,領用表!$E:$E,$B189,領用表!$B:$B,$CB$2&amp;CD$2)</f>
        <v>0</v>
      </c>
      <c r="CE189" s="339">
        <f>SUMIFS(領用表!$L:$L,領用表!$E:$E,$B189,領用表!$B:$B,$CB$2&amp;CE$2)</f>
        <v>0</v>
      </c>
      <c r="CF189" s="339">
        <f>SUMIFS(領用表!$L:$L,領用表!$E:$E,$B189,領用表!$B:$B,$CB$2&amp;CF$2)</f>
        <v>0</v>
      </c>
      <c r="CG189" s="335">
        <f>SUMIFS(領用表!$L:$L,領用表!$A:$A,CG$2,領用表!$E:$E,B189)</f>
        <v>0</v>
      </c>
      <c r="CH189" s="296">
        <f>SUMIFS(領用表!$L:$L,領用表!$E:$E,$B189,領用表!$B:$B,CG$2&amp;CH$2)</f>
        <v>0</v>
      </c>
      <c r="CI189" s="296">
        <f>SUMIFS(領用表!$L:$L,領用表!$E:$E,$B189,領用表!$B:$B,CG$2&amp;CI$2)</f>
        <v>0</v>
      </c>
      <c r="CJ189" s="296">
        <f>SUMIFS(領用表!$L:$L,領用表!$E:$E,$B189,領用表!$B:$B,CG$2&amp;CJ$2)</f>
        <v>0</v>
      </c>
      <c r="CK189" s="296">
        <f>SUMIFS(領用表!$L:$L,領用表!$E:$E,$B189,領用表!$B:$B,$CG$2&amp;CK$2)</f>
        <v>0</v>
      </c>
      <c r="CL189" s="207">
        <f t="shared" si="54"/>
        <v>54</v>
      </c>
      <c r="CM189" s="207">
        <f t="shared" si="55"/>
        <v>4.5</v>
      </c>
      <c r="CN189" s="208">
        <f>SUMIFS(領用表!$L:$L,領用表!$A:$A,CN$2,領用表!$E:$E,B189)</f>
        <v>0</v>
      </c>
      <c r="CO189" s="206">
        <f>SUMIFS(領用表!$L:$L,領用表!$E:$E,$B189,領用表!$B:$B,CN$2&amp;CO$2)</f>
        <v>0</v>
      </c>
      <c r="CP189" s="206">
        <f>SUMIFS(領用表!$L:$L,領用表!$E:$E,$B189,領用表!$B:$B,$CN$2&amp;CP$2)</f>
        <v>0</v>
      </c>
      <c r="CQ189" s="206">
        <f>SUMIFS(領用表!$L:$L,領用表!$E:$E,$B189,領用表!$B:$B,$CN$2&amp;CQ$2)</f>
        <v>0</v>
      </c>
      <c r="CR189" s="296">
        <f>SUMIFS(領用表!$L:$L,領用表!$E:$E,$B189,領用表!$B:$B,$CN$2&amp;CR$2)</f>
        <v>0</v>
      </c>
      <c r="CS189" s="208">
        <f>SUMIFS(領用表!$L:$L,領用表!$A:$A,CS$2,領用表!$E:$E,B189)</f>
        <v>0</v>
      </c>
      <c r="CT189" s="206">
        <f>SUMIFS(領用表!$L:$L,領用表!$E:$E,$B189,領用表!$B:$B,CS$2&amp;CT$2)</f>
        <v>0</v>
      </c>
      <c r="CU189" s="206">
        <f>SUMIFS(領用表!$L:$L,領用表!$E:$E,$B189,領用表!$B:$B,$CS$2&amp;CU$2)</f>
        <v>0</v>
      </c>
      <c r="CV189" s="206">
        <f>SUMIFS(領用表!$L:$L,領用表!$E:$E,$B189,領用表!$B:$B,$CS$2&amp;CV$2)</f>
        <v>0</v>
      </c>
      <c r="CW189" s="206">
        <f>SUMIFS(領用表!$L:$L,領用表!$E:$E,$B189,領用表!$B:$B,$CS$2&amp;CW$2)</f>
        <v>0</v>
      </c>
      <c r="CX189" s="206">
        <f>SUMIFS(領用表!$L:$L,領用表!$E:$E,$B189,領用表!$B:$B,$CS$2&amp;CX$2)</f>
        <v>0</v>
      </c>
      <c r="CY189" s="208">
        <f>SUMIFS(領用表!$L:$L,領用表!$A:$A,CY$2,領用表!$E:$E,B189)</f>
        <v>0</v>
      </c>
      <c r="CZ189" s="296">
        <f>SUMIFS(領用表!$L:$L,領用表!$E:$E,$B189,領用表!$B:$B,CY$2&amp;CZ$2)</f>
        <v>0</v>
      </c>
      <c r="DA189" s="296">
        <f>SUMIFS(領用表!$L:$L,領用表!$E:$E,$B189,領用表!$B:$B,$CY$2&amp;DA$2)</f>
        <v>0</v>
      </c>
      <c r="DB189" s="296">
        <f>SUMIFS(領用表!$L:$L,領用表!$E:$E,$B189,領用表!$B:$B,$CY$2&amp;DB$2)</f>
        <v>0</v>
      </c>
      <c r="DC189" s="296">
        <f>SUMIFS(領用表!$L:$L,領用表!$E:$E,$B189,領用表!$B:$B,$CY$2&amp;DC$2)</f>
        <v>0</v>
      </c>
      <c r="DD189" s="296">
        <f>SUMIFS(領用表!$L:$L,領用表!$E:$E,$B189,領用表!$B:$B,$CY$2&amp;DD$2)</f>
        <v>0</v>
      </c>
      <c r="DE189" s="208">
        <f>SUMIFS(領用表!$L:$L,領用表!$A:$A,DE$2,領用表!$E:$E,B189)</f>
        <v>0</v>
      </c>
      <c r="DF189" s="296">
        <f>SUMIFS(領用表!$L:$L,領用表!$E:$E,$B189,領用表!$B:$B,DE$2&amp;DF$2)</f>
        <v>0</v>
      </c>
      <c r="DG189" s="296">
        <f>SUMIFS(領用表!$L:$L,領用表!$E:$E,$B189,領用表!$B:$B,$DE$2&amp;DG$2)</f>
        <v>0</v>
      </c>
      <c r="DH189" s="296">
        <f>SUMIFS(領用表!$L:$L,領用表!$E:$E,$B189,領用表!$B:$B,$DE$2&amp;DH$2)</f>
        <v>0</v>
      </c>
      <c r="DI189" s="296">
        <f>SUMIFS(領用表!$L:$L,領用表!$E:$E,$B189,領用表!$B:$B,$DE$2&amp;DI$2)</f>
        <v>0</v>
      </c>
      <c r="DJ189" s="296">
        <f>SUMIFS(領用表!$L:$L,領用表!$E:$E,$B189,領用表!$B:$B,$DE$2&amp;DJ$2)</f>
        <v>0</v>
      </c>
      <c r="DK189" s="208">
        <f>SUMIFS(領用表!$L:$L,領用表!$A:$A,DK$2,領用表!$E:$E,$B189)</f>
        <v>0</v>
      </c>
      <c r="DL189" s="296">
        <f>SUMIFS(領用表!$L:$L,領用表!$E:$E,$B189,領用表!$B:$B,DK$2&amp;DL$2)</f>
        <v>0</v>
      </c>
      <c r="DM189" s="296">
        <f>SUMIFS(領用表!$L:$L,領用表!$E:$E,$B189,領用表!$B:$B,$CY$2&amp;DM$2)</f>
        <v>0</v>
      </c>
      <c r="DN189" s="296">
        <f>SUMIFS(領用表!$L:$L,領用表!$E:$E,$B189,領用表!$B:$B,$DK$2&amp;DN$2)</f>
        <v>0</v>
      </c>
      <c r="DO189" s="296">
        <f>SUMIFS(領用表!$L:$L,領用表!$E:$E,$B189,領用表!$B:$B,$DK$2&amp;DO$2)</f>
        <v>0</v>
      </c>
      <c r="DP189" s="296">
        <f>SUMIFS(領用表!$L:$L,領用表!$E:$E,$B189,領用表!$B:$B,$DK$2&amp;DP$2)</f>
        <v>0</v>
      </c>
      <c r="DQ189" s="330">
        <f t="shared" si="56"/>
        <v>0</v>
      </c>
      <c r="DR189" s="330">
        <f t="shared" si="57"/>
        <v>0</v>
      </c>
      <c r="DS189" s="330">
        <f t="shared" si="48"/>
        <v>0</v>
      </c>
      <c r="DT189" s="330">
        <v>0</v>
      </c>
      <c r="DU189" s="330">
        <v>0</v>
      </c>
      <c r="DV189" s="330">
        <v>0</v>
      </c>
      <c r="DW189" s="330">
        <v>0</v>
      </c>
      <c r="DX189" s="338"/>
      <c r="DY189" s="342"/>
      <c r="DZ189" s="341"/>
      <c r="EA189" s="340"/>
      <c r="ED189" s="118">
        <f>IFERROR(VLOOKUP(A189,站前4樓!A:BF,57,0),0)</f>
        <v>0</v>
      </c>
      <c r="EE189" s="213">
        <f>IFERROR(VLOOKUP(A189,站前11樓!A:BE,57,0),0)</f>
        <v>0</v>
      </c>
      <c r="EF189" s="118">
        <f>IFERROR(VLOOKUP(A189,忠孝7樓!A:N,57,0),0)</f>
        <v>0</v>
      </c>
      <c r="EG189" s="118">
        <f>IFERROR(VLOOKUP(A189,忠孝國際醫學3樓!A:L,57,0),0)</f>
        <v>0</v>
      </c>
      <c r="EH189" s="118">
        <f t="shared" si="51"/>
        <v>0</v>
      </c>
    </row>
    <row r="190" spans="1:138" s="118" customFormat="1" ht="15">
      <c r="A190" s="136" t="s">
        <v>218</v>
      </c>
      <c r="C190" s="136" t="s">
        <v>590</v>
      </c>
      <c r="D190" s="285"/>
      <c r="E190" s="198" t="s">
        <v>15</v>
      </c>
      <c r="F190" s="225">
        <f>SUMIF(站前4樓!B:B,B190,站前4樓!F:F)</f>
        <v>0</v>
      </c>
      <c r="G190" s="225">
        <f>SUMIF(站前11樓!B:B,B190,站前11樓!F:F)</f>
        <v>0</v>
      </c>
      <c r="H190" s="225">
        <f>SUMIF(忠孝7樓!B:B,B190,忠孝7樓!G:G)</f>
        <v>0</v>
      </c>
      <c r="I190" s="225">
        <f>SUMIF(忠孝國際醫學3樓!B:B,B190,忠孝國際醫學3樓!G:G)</f>
        <v>0</v>
      </c>
      <c r="J190" s="225">
        <f>SUMIF(忠孝健康7樓!B:B,B190,忠孝健康7樓!G:G)</f>
        <v>0</v>
      </c>
      <c r="AV190" s="347" t="s">
        <v>49</v>
      </c>
      <c r="AW190" s="347" t="s">
        <v>49</v>
      </c>
      <c r="AX190" s="347" t="s">
        <v>49</v>
      </c>
      <c r="AY190" s="347" t="s">
        <v>49</v>
      </c>
      <c r="AZ190" s="347" t="s">
        <v>49</v>
      </c>
      <c r="BA190" s="347" t="s">
        <v>49</v>
      </c>
      <c r="BB190" s="292">
        <v>72</v>
      </c>
      <c r="BC190" s="203">
        <f>SUMIFS(領用表!$L:$L,領用表!$A:$A,BC$2,領用表!$E:$E,B190)</f>
        <v>0</v>
      </c>
      <c r="BD190" s="296">
        <f>SUMIFS(領用表!$L:$L,領用表!$E:$E,$B190,領用表!$B:$B,BC$2&amp;BD$2)</f>
        <v>0</v>
      </c>
      <c r="BE190" s="296">
        <f>SUMIFS(領用表!$L:$L,領用表!$E:$E,$B190,領用表!$B:$B,$BC$2&amp;BE$2)</f>
        <v>0</v>
      </c>
      <c r="BF190" s="296">
        <f>SUMIFS(領用表!$L:$L,領用表!$E:$E,$B190,領用表!$B:$B,$BC$2&amp;BF$2)</f>
        <v>0</v>
      </c>
      <c r="BG190" s="296">
        <f>SUMIFS(領用表!$L:$L,領用表!$E:$E,$B190,領用表!$B:$B,$BC$2&amp;BG$2)</f>
        <v>0</v>
      </c>
      <c r="BH190" s="203">
        <f>SUMIFS(領用表!$L:$L,領用表!$A:$A,BH$2,領用表!$E:$E,B190)</f>
        <v>0</v>
      </c>
      <c r="BI190" s="260">
        <f>SUMIFS(領用表!$L:$L,領用表!$E:$E,$B190,領用表!$B:$B,BH$2&amp;BI$2)</f>
        <v>0</v>
      </c>
      <c r="BJ190" s="260">
        <f>SUMIFS(領用表!$L:$L,領用表!$E:$E,$B190,領用表!$B:$B,$BH$2&amp;BJ$2)</f>
        <v>0</v>
      </c>
      <c r="BK190" s="260">
        <f>SUMIFS(領用表!$L:$L,領用表!$E:$E,$B190,領用表!$B:$B,$BH$2&amp;BK$2)</f>
        <v>0</v>
      </c>
      <c r="BL190" s="260">
        <f>SUMIFS(領用表!$L:$L,領用表!$E:$E,$B190,領用表!$B:$B,$BH$2&amp;BL$2)</f>
        <v>0</v>
      </c>
      <c r="BM190" s="203">
        <f>SUMIFS(領用表!$L:$L,領用表!$A:$A,BM$2,領用表!$E:$E,B190)</f>
        <v>0</v>
      </c>
      <c r="BN190" s="331">
        <f>SUMIFS(領用表!$L:$L,領用表!$E:$E,$B190,領用表!$B:$B,BM$2&amp;BN$2)</f>
        <v>0</v>
      </c>
      <c r="BO190" s="331">
        <f>SUMIFS(領用表!$L:$L,領用表!$E:$E,$B190,領用表!$B:$B,$BM$2&amp;BO$2)</f>
        <v>0</v>
      </c>
      <c r="BP190" s="288">
        <f>SUMIFS(領用表!$L:$L,領用表!$E:$E,$B190,領用表!$B:$B,$BM$2&amp;BP$2)</f>
        <v>0</v>
      </c>
      <c r="BQ190" s="287">
        <f>SUMIFS(領用表!$L:$L,領用表!$E:$E,$B190,領用表!$B:$B,$BM$2&amp;BQ$2)</f>
        <v>0</v>
      </c>
      <c r="BR190" s="203">
        <f>SUMIFS(領用表!$L:$L,領用表!$A:$A,BR$2,領用表!$E:$E,B190)</f>
        <v>0</v>
      </c>
      <c r="BS190" s="260">
        <f>SUMIFS(領用表!$L:$L,領用表!$E:$E,$B190,領用表!$B:$B,BR$2&amp;BS$2)</f>
        <v>0</v>
      </c>
      <c r="BT190" s="260">
        <f>SUMIFS(領用表!$L:$L,領用表!$E:$E,$B190,領用表!$B:$B,$BR$2&amp;BT$2)</f>
        <v>0</v>
      </c>
      <c r="BU190" s="260">
        <f>SUMIFS(領用表!$L:$L,領用表!$E:$E,$B190,領用表!$B:$B,$BR$2&amp;BU$2)</f>
        <v>0</v>
      </c>
      <c r="BV190" s="220">
        <f>SUMIFS(領用表!$L:$L,領用表!$E:$E,$B190,領用表!$B:$B,$BR$2&amp;BV$2)</f>
        <v>0</v>
      </c>
      <c r="BW190" s="208">
        <f>SUMIFS(領用表!$L:$L,領用表!$A:$A,BW$2,領用表!$E:$E,B190)</f>
        <v>0</v>
      </c>
      <c r="BX190" s="296">
        <f>SUMIFS(領用表!$L:$L,領用表!$E:$E,$B190,領用表!$B:$B,BW$2&amp;BX$2)</f>
        <v>0</v>
      </c>
      <c r="BY190" s="296">
        <f>SUMIFS(領用表!$L:$L,領用表!$E:$E,$B190,領用表!$B:$B,$BW$2&amp;BY$2)</f>
        <v>0</v>
      </c>
      <c r="BZ190" s="296">
        <f>SUMIFS(領用表!$L:$L,領用表!$E:$E,$B190,領用表!$B:$B,$BW$2&amp;BZ$2)</f>
        <v>0</v>
      </c>
      <c r="CA190" s="296">
        <f>SUMIFS(領用表!$L:$L,領用表!$E:$E,$B190,領用表!$B:$B,$BW$2&amp;CA$2)</f>
        <v>0</v>
      </c>
      <c r="CB190" s="208">
        <f>SUMIFS(領用表!$L:$L,領用表!$A:$A,CB$2,領用表!$E:$E,B190)</f>
        <v>0</v>
      </c>
      <c r="CC190" s="296">
        <f>SUMIFS(領用表!$L:$L,領用表!$E:$E,$B190,領用表!$B:$B,CB$2&amp;CC$2)</f>
        <v>0</v>
      </c>
      <c r="CD190" s="296">
        <f>SUMIFS(領用表!$L:$L,領用表!$E:$E,$B190,領用表!$B:$B,$CB$2&amp;CD$2)</f>
        <v>0</v>
      </c>
      <c r="CE190" s="296">
        <f>SUMIFS(領用表!$L:$L,領用表!$E:$E,$B190,領用表!$B:$B,$CB$2&amp;CE$2)</f>
        <v>0</v>
      </c>
      <c r="CF190" s="296">
        <f>SUMIFS(領用表!$L:$L,領用表!$E:$E,$B190,領用表!$B:$B,$CB$2&amp;CF$2)</f>
        <v>0</v>
      </c>
      <c r="CG190" s="335">
        <f>SUMIFS(領用表!$L:$L,領用表!$A:$A,CG$2,領用表!$E:$E,B190)</f>
        <v>0</v>
      </c>
      <c r="CH190" s="296">
        <f>SUMIFS(領用表!$L:$L,領用表!$E:$E,$B190,領用表!$B:$B,CG$2&amp;CH$2)</f>
        <v>0</v>
      </c>
      <c r="CI190" s="296">
        <f>SUMIFS(領用表!$L:$L,領用表!$E:$E,$B190,領用表!$B:$B,CG$2&amp;CI$2)</f>
        <v>0</v>
      </c>
      <c r="CJ190" s="296">
        <f>SUMIFS(領用表!$L:$L,領用表!$E:$E,$B190,領用表!$B:$B,CG$2&amp;CJ$2)</f>
        <v>0</v>
      </c>
      <c r="CK190" s="296">
        <f>SUMIFS(領用表!$L:$L,領用表!$E:$E,$B190,領用表!$B:$B,$CG$2&amp;CK$2)</f>
        <v>0</v>
      </c>
      <c r="CL190" s="197">
        <f t="shared" si="54"/>
        <v>72</v>
      </c>
      <c r="CM190" s="207">
        <f t="shared" si="55"/>
        <v>9</v>
      </c>
      <c r="CN190" s="208">
        <f>SUMIFS(領用表!$L:$L,領用表!$A:$A,CN$2,領用表!$E:$E,B190)</f>
        <v>0</v>
      </c>
      <c r="CO190" s="206">
        <f>SUMIFS(領用表!$L:$L,領用表!$E:$E,$B190,領用表!$B:$B,CN$2&amp;CO$2)</f>
        <v>0</v>
      </c>
      <c r="CP190" s="206">
        <f>SUMIFS(領用表!$L:$L,領用表!$E:$E,$B190,領用表!$B:$B,$CN$2&amp;CP$2)</f>
        <v>0</v>
      </c>
      <c r="CQ190" s="206">
        <f>SUMIFS(領用表!$L:$L,領用表!$E:$E,$B190,領用表!$B:$B,$CN$2&amp;CQ$2)</f>
        <v>0</v>
      </c>
      <c r="CR190" s="296">
        <f>SUMIFS(領用表!$L:$L,領用表!$E:$E,$B190,領用表!$B:$B,$CN$2&amp;CR$2)</f>
        <v>0</v>
      </c>
      <c r="CS190" s="208">
        <f>SUMIFS(領用表!$L:$L,領用表!$A:$A,CS$2,領用表!$E:$E,B190)</f>
        <v>0</v>
      </c>
      <c r="CT190" s="206">
        <f>SUMIFS(領用表!$L:$L,領用表!$E:$E,$B190,領用表!$B:$B,CS$2&amp;CT$2)</f>
        <v>0</v>
      </c>
      <c r="CU190" s="206">
        <f>SUMIFS(領用表!$L:$L,領用表!$E:$E,$B190,領用表!$B:$B,$CS$2&amp;CU$2)</f>
        <v>0</v>
      </c>
      <c r="CV190" s="206">
        <f>SUMIFS(領用表!$L:$L,領用表!$E:$E,$B190,領用表!$B:$B,$CS$2&amp;CV$2)</f>
        <v>0</v>
      </c>
      <c r="CW190" s="206">
        <f>SUMIFS(領用表!$L:$L,領用表!$E:$E,$B190,領用表!$B:$B,$CS$2&amp;CW$2)</f>
        <v>0</v>
      </c>
      <c r="CX190" s="206">
        <f>SUMIFS(領用表!$L:$L,領用表!$E:$E,$B190,領用表!$B:$B,$CS$2&amp;CX$2)</f>
        <v>0</v>
      </c>
      <c r="CY190" s="208">
        <f>SUMIFS(領用表!$L:$L,領用表!$A:$A,CY$2,領用表!$E:$E,B190)</f>
        <v>0</v>
      </c>
      <c r="CZ190" s="296">
        <f>SUMIFS(領用表!$L:$L,領用表!$E:$E,$B190,領用表!$B:$B,CY$2&amp;CZ$2)</f>
        <v>0</v>
      </c>
      <c r="DA190" s="296">
        <f>SUMIFS(領用表!$L:$L,領用表!$E:$E,$B190,領用表!$B:$B,$CY$2&amp;DA$2)</f>
        <v>0</v>
      </c>
      <c r="DB190" s="296">
        <f>SUMIFS(領用表!$L:$L,領用表!$E:$E,$B190,領用表!$B:$B,$CY$2&amp;DB$2)</f>
        <v>0</v>
      </c>
      <c r="DC190" s="296">
        <f>SUMIFS(領用表!$L:$L,領用表!$E:$E,$B190,領用表!$B:$B,$CY$2&amp;DC$2)</f>
        <v>0</v>
      </c>
      <c r="DD190" s="296">
        <f>SUMIFS(領用表!$L:$L,領用表!$E:$E,$B190,領用表!$B:$B,$CY$2&amp;DD$2)</f>
        <v>0</v>
      </c>
      <c r="DE190" s="208">
        <f>SUMIFS(領用表!$L:$L,領用表!$A:$A,DE$2,領用表!$E:$E,B190)</f>
        <v>0</v>
      </c>
      <c r="DF190" s="296">
        <f>SUMIFS(領用表!$L:$L,領用表!$E:$E,$B190,領用表!$B:$B,DE$2&amp;DF$2)</f>
        <v>0</v>
      </c>
      <c r="DG190" s="296">
        <f>SUMIFS(領用表!$L:$L,領用表!$E:$E,$B190,領用表!$B:$B,$DE$2&amp;DG$2)</f>
        <v>0</v>
      </c>
      <c r="DH190" s="296">
        <f>SUMIFS(領用表!$L:$L,領用表!$E:$E,$B190,領用表!$B:$B,$DE$2&amp;DH$2)</f>
        <v>0</v>
      </c>
      <c r="DI190" s="296">
        <f>SUMIFS(領用表!$L:$L,領用表!$E:$E,$B190,領用表!$B:$B,$DE$2&amp;DI$2)</f>
        <v>0</v>
      </c>
      <c r="DJ190" s="296">
        <f>SUMIFS(領用表!$L:$L,領用表!$E:$E,$B190,領用表!$B:$B,$DE$2&amp;DJ$2)</f>
        <v>0</v>
      </c>
      <c r="DK190" s="208">
        <f>SUMIFS(領用表!$L:$L,領用表!$A:$A,DK$2,領用表!$E:$E,$B190)</f>
        <v>0</v>
      </c>
      <c r="DL190" s="296">
        <f>SUMIFS(領用表!$L:$L,領用表!$E:$E,$B190,領用表!$B:$B,DK$2&amp;DL$2)</f>
        <v>0</v>
      </c>
      <c r="DM190" s="296">
        <f>SUMIFS(領用表!$L:$L,領用表!$E:$E,$B190,領用表!$B:$B,$CY$2&amp;DM$2)</f>
        <v>0</v>
      </c>
      <c r="DN190" s="296">
        <f>SUMIFS(領用表!$L:$L,領用表!$E:$E,$B190,領用表!$B:$B,$DK$2&amp;DN$2)</f>
        <v>0</v>
      </c>
      <c r="DO190" s="296">
        <f>SUMIFS(領用表!$L:$L,領用表!$E:$E,$B190,領用表!$B:$B,$DK$2&amp;DO$2)</f>
        <v>0</v>
      </c>
      <c r="DP190" s="296">
        <f>SUMIFS(領用表!$L:$L,領用表!$E:$E,$B190,領用表!$B:$B,$DK$2&amp;DP$2)</f>
        <v>0</v>
      </c>
      <c r="DQ190" s="330">
        <f t="shared" si="56"/>
        <v>0</v>
      </c>
      <c r="DR190" s="330">
        <f t="shared" si="57"/>
        <v>0</v>
      </c>
      <c r="DS190" s="330">
        <f t="shared" si="48"/>
        <v>0</v>
      </c>
      <c r="DT190" s="330">
        <v>0</v>
      </c>
      <c r="DU190" s="330">
        <v>0</v>
      </c>
      <c r="DV190" s="330">
        <v>0</v>
      </c>
      <c r="DW190" s="330">
        <v>0</v>
      </c>
      <c r="DX190" s="305"/>
      <c r="DY190" s="342"/>
      <c r="DZ190" s="340"/>
      <c r="EA190" s="340"/>
      <c r="ED190" s="118">
        <f>IFERROR(VLOOKUP(A190,站前4樓!A:BF,57,0),0)</f>
        <v>0</v>
      </c>
      <c r="EE190" s="213">
        <f>IFERROR(VLOOKUP(A190,站前11樓!A:BE,57,0),0)</f>
        <v>0</v>
      </c>
      <c r="EF190" s="118">
        <f>IFERROR(VLOOKUP(A190,忠孝7樓!A:N,57,0),0)</f>
        <v>0</v>
      </c>
      <c r="EG190" s="118">
        <f>IFERROR(VLOOKUP(A190,忠孝國際醫學3樓!A:L,57,0),0)</f>
        <v>0</v>
      </c>
      <c r="EH190" s="118">
        <f t="shared" si="51"/>
        <v>0</v>
      </c>
    </row>
    <row r="191" spans="1:138" s="118" customFormat="1" ht="15">
      <c r="A191" s="136" t="s">
        <v>219</v>
      </c>
      <c r="C191" s="136" t="s">
        <v>591</v>
      </c>
      <c r="D191" s="285"/>
      <c r="E191" s="198" t="s">
        <v>15</v>
      </c>
      <c r="F191" s="225">
        <f>SUMIF(站前4樓!B:B,B191,站前4樓!F:F)</f>
        <v>0</v>
      </c>
      <c r="G191" s="225">
        <f>SUMIF(站前11樓!B:B,B191,站前11樓!F:F)</f>
        <v>0</v>
      </c>
      <c r="H191" s="225">
        <f>SUMIF(忠孝7樓!B:B,B191,忠孝7樓!G:G)</f>
        <v>0</v>
      </c>
      <c r="I191" s="225">
        <f>SUMIF(忠孝國際醫學3樓!B:B,B191,忠孝國際醫學3樓!G:G)</f>
        <v>0</v>
      </c>
      <c r="J191" s="225">
        <f>SUMIF(忠孝健康7樓!B:B,B191,忠孝健康7樓!G:G)</f>
        <v>0</v>
      </c>
      <c r="AV191" s="347" t="s">
        <v>49</v>
      </c>
      <c r="AW191" s="347" t="s">
        <v>49</v>
      </c>
      <c r="AX191" s="347" t="s">
        <v>49</v>
      </c>
      <c r="AY191" s="347" t="s">
        <v>49</v>
      </c>
      <c r="AZ191" s="347" t="s">
        <v>49</v>
      </c>
      <c r="BA191" s="347" t="s">
        <v>49</v>
      </c>
      <c r="BC191" s="203">
        <f>SUMIFS(領用表!$L:$L,領用表!$A:$A,BC$2,領用表!$E:$E,B191)</f>
        <v>0</v>
      </c>
      <c r="BD191" s="296">
        <f>SUMIFS(領用表!$L:$L,領用表!$E:$E,$B191,領用表!$B:$B,BC$2&amp;BD$2)</f>
        <v>0</v>
      </c>
      <c r="BE191" s="296">
        <f>SUMIFS(領用表!$L:$L,領用表!$E:$E,$B191,領用表!$B:$B,$BC$2&amp;BE$2)</f>
        <v>0</v>
      </c>
      <c r="BF191" s="296">
        <f>SUMIFS(領用表!$L:$L,領用表!$E:$E,$B191,領用表!$B:$B,$BC$2&amp;BF$2)</f>
        <v>0</v>
      </c>
      <c r="BG191" s="296">
        <f>SUMIFS(領用表!$L:$L,領用表!$E:$E,$B191,領用表!$B:$B,$BC$2&amp;BG$2)</f>
        <v>0</v>
      </c>
      <c r="BH191" s="203">
        <f>SUMIFS(領用表!$L:$L,領用表!$A:$A,BH$2,領用表!$E:$E,B191)</f>
        <v>0</v>
      </c>
      <c r="BI191" s="260">
        <f>SUMIFS(領用表!$L:$L,領用表!$E:$E,$B191,領用表!$B:$B,BH$2&amp;BI$2)</f>
        <v>0</v>
      </c>
      <c r="BJ191" s="260">
        <f>SUMIFS(領用表!$L:$L,領用表!$E:$E,$B191,領用表!$B:$B,$BH$2&amp;BJ$2)</f>
        <v>0</v>
      </c>
      <c r="BK191" s="260">
        <f>SUMIFS(領用表!$L:$L,領用表!$E:$E,$B191,領用表!$B:$B,$BH$2&amp;BK$2)</f>
        <v>0</v>
      </c>
      <c r="BL191" s="260">
        <f>SUMIFS(領用表!$L:$L,領用表!$E:$E,$B191,領用表!$B:$B,$BH$2&amp;BL$2)</f>
        <v>0</v>
      </c>
      <c r="BM191" s="203">
        <f>SUMIFS(領用表!$L:$L,領用表!$A:$A,BM$2,領用表!$E:$E,B191)</f>
        <v>0</v>
      </c>
      <c r="BN191" s="331">
        <f>SUMIFS(領用表!$L:$L,領用表!$E:$E,$B191,領用表!$B:$B,BM$2&amp;BN$2)</f>
        <v>0</v>
      </c>
      <c r="BO191" s="331">
        <f>SUMIFS(領用表!$L:$L,領用表!$E:$E,$B191,領用表!$B:$B,$BM$2&amp;BO$2)</f>
        <v>0</v>
      </c>
      <c r="BP191" s="288">
        <f>SUMIFS(領用表!$L:$L,領用表!$E:$E,$B191,領用表!$B:$B,$BM$2&amp;BP$2)</f>
        <v>0</v>
      </c>
      <c r="BQ191" s="287">
        <f>SUMIFS(領用表!$L:$L,領用表!$E:$E,$B191,領用表!$B:$B,$BM$2&amp;BQ$2)</f>
        <v>0</v>
      </c>
      <c r="BR191" s="203">
        <f>SUMIFS(領用表!$L:$L,領用表!$A:$A,BR$2,領用表!$E:$E,B191)</f>
        <v>0</v>
      </c>
      <c r="BS191" s="260">
        <f>SUMIFS(領用表!$L:$L,領用表!$E:$E,$B191,領用表!$B:$B,BR$2&amp;BS$2)</f>
        <v>0</v>
      </c>
      <c r="BT191" s="260">
        <f>SUMIFS(領用表!$L:$L,領用表!$E:$E,$B191,領用表!$B:$B,$BR$2&amp;BT$2)</f>
        <v>0</v>
      </c>
      <c r="BU191" s="260">
        <f>SUMIFS(領用表!$L:$L,領用表!$E:$E,$B191,領用表!$B:$B,$BR$2&amp;BU$2)</f>
        <v>0</v>
      </c>
      <c r="BV191" s="220">
        <f>SUMIFS(領用表!$L:$L,領用表!$E:$E,$B191,領用表!$B:$B,$BR$2&amp;BV$2)</f>
        <v>0</v>
      </c>
      <c r="BW191" s="208">
        <f>SUMIFS(領用表!$L:$L,領用表!$A:$A,BW$2,領用表!$E:$E,B191)</f>
        <v>0</v>
      </c>
      <c r="BX191" s="296">
        <f>SUMIFS(領用表!$L:$L,領用表!$E:$E,$B191,領用表!$B:$B,BW$2&amp;BX$2)</f>
        <v>0</v>
      </c>
      <c r="BY191" s="296">
        <f>SUMIFS(領用表!$L:$L,領用表!$E:$E,$B191,領用表!$B:$B,$BW$2&amp;BY$2)</f>
        <v>0</v>
      </c>
      <c r="BZ191" s="296">
        <f>SUMIFS(領用表!$L:$L,領用表!$E:$E,$B191,領用表!$B:$B,$BW$2&amp;BZ$2)</f>
        <v>0</v>
      </c>
      <c r="CA191" s="296">
        <f>SUMIFS(領用表!$L:$L,領用表!$E:$E,$B191,領用表!$B:$B,$BW$2&amp;CA$2)</f>
        <v>0</v>
      </c>
      <c r="CB191" s="208">
        <f>SUMIFS(領用表!$L:$L,領用表!$A:$A,CB$2,領用表!$E:$E,B191)</f>
        <v>0</v>
      </c>
      <c r="CC191" s="296">
        <f>SUMIFS(領用表!$L:$L,領用表!$E:$E,$B191,領用表!$B:$B,CB$2&amp;CC$2)</f>
        <v>0</v>
      </c>
      <c r="CD191" s="296">
        <f>SUMIFS(領用表!$L:$L,領用表!$E:$E,$B191,領用表!$B:$B,$CB$2&amp;CD$2)</f>
        <v>0</v>
      </c>
      <c r="CE191" s="296">
        <f>SUMIFS(領用表!$L:$L,領用表!$E:$E,$B191,領用表!$B:$B,$CB$2&amp;CE$2)</f>
        <v>0</v>
      </c>
      <c r="CF191" s="296">
        <f>SUMIFS(領用表!$L:$L,領用表!$E:$E,$B191,領用表!$B:$B,$CB$2&amp;CF$2)</f>
        <v>0</v>
      </c>
      <c r="CG191" s="335">
        <f>SUMIFS(領用表!$L:$L,領用表!$A:$A,CG$2,領用表!$E:$E,B191)</f>
        <v>0</v>
      </c>
      <c r="CH191" s="296">
        <f>SUMIFS(領用表!$L:$L,領用表!$E:$E,$B191,領用表!$B:$B,CG$2&amp;CH$2)</f>
        <v>0</v>
      </c>
      <c r="CI191" s="296">
        <f>SUMIFS(領用表!$L:$L,領用表!$E:$E,$B191,領用表!$B:$B,CG$2&amp;CI$2)</f>
        <v>0</v>
      </c>
      <c r="CJ191" s="296">
        <f>SUMIFS(領用表!$L:$L,領用表!$E:$E,$B191,領用表!$B:$B,CG$2&amp;CJ$2)</f>
        <v>0</v>
      </c>
      <c r="CK191" s="296">
        <f>SUMIFS(領用表!$L:$L,領用表!$E:$E,$B191,領用表!$B:$B,$CG$2&amp;CK$2)</f>
        <v>0</v>
      </c>
      <c r="CL191" s="207">
        <f t="shared" si="54"/>
        <v>0</v>
      </c>
      <c r="CM191" s="207">
        <f t="shared" si="55"/>
        <v>0</v>
      </c>
      <c r="CN191" s="208">
        <f>SUMIFS(領用表!$L:$L,領用表!$A:$A,CN$2,領用表!$E:$E,B191)</f>
        <v>0</v>
      </c>
      <c r="CO191" s="206">
        <f>SUMIFS(領用表!$L:$L,領用表!$E:$E,$B191,領用表!$B:$B,CN$2&amp;CO$2)</f>
        <v>0</v>
      </c>
      <c r="CP191" s="206">
        <f>SUMIFS(領用表!$L:$L,領用表!$E:$E,$B191,領用表!$B:$B,$CN$2&amp;CP$2)</f>
        <v>0</v>
      </c>
      <c r="CQ191" s="206">
        <f>SUMIFS(領用表!$L:$L,領用表!$E:$E,$B191,領用表!$B:$B,$CN$2&amp;CQ$2)</f>
        <v>0</v>
      </c>
      <c r="CR191" s="296">
        <f>SUMIFS(領用表!$L:$L,領用表!$E:$E,$B191,領用表!$B:$B,$CN$2&amp;CR$2)</f>
        <v>0</v>
      </c>
      <c r="CS191" s="208">
        <f>SUMIFS(領用表!$L:$L,領用表!$A:$A,CS$2,領用表!$E:$E,B191)</f>
        <v>0</v>
      </c>
      <c r="CT191" s="206">
        <f>SUMIFS(領用表!$L:$L,領用表!$E:$E,$B191,領用表!$B:$B,CS$2&amp;CT$2)</f>
        <v>0</v>
      </c>
      <c r="CU191" s="206">
        <f>SUMIFS(領用表!$L:$L,領用表!$E:$E,$B191,領用表!$B:$B,$CS$2&amp;CU$2)</f>
        <v>0</v>
      </c>
      <c r="CV191" s="206">
        <f>SUMIFS(領用表!$L:$L,領用表!$E:$E,$B191,領用表!$B:$B,$CS$2&amp;CV$2)</f>
        <v>0</v>
      </c>
      <c r="CW191" s="206">
        <f>SUMIFS(領用表!$L:$L,領用表!$E:$E,$B191,領用表!$B:$B,$CS$2&amp;CW$2)</f>
        <v>0</v>
      </c>
      <c r="CX191" s="206">
        <f>SUMIFS(領用表!$L:$L,領用表!$E:$E,$B191,領用表!$B:$B,$CS$2&amp;CX$2)</f>
        <v>0</v>
      </c>
      <c r="CY191" s="208">
        <f>SUMIFS(領用表!$L:$L,領用表!$A:$A,CY$2,領用表!$E:$E,B191)</f>
        <v>0</v>
      </c>
      <c r="CZ191" s="296">
        <f>SUMIFS(領用表!$L:$L,領用表!$E:$E,$B191,領用表!$B:$B,CY$2&amp;CZ$2)</f>
        <v>0</v>
      </c>
      <c r="DA191" s="296">
        <f>SUMIFS(領用表!$L:$L,領用表!$E:$E,$B191,領用表!$B:$B,$CY$2&amp;DA$2)</f>
        <v>0</v>
      </c>
      <c r="DB191" s="296">
        <f>SUMIFS(領用表!$L:$L,領用表!$E:$E,$B191,領用表!$B:$B,$CY$2&amp;DB$2)</f>
        <v>0</v>
      </c>
      <c r="DC191" s="296">
        <f>SUMIFS(領用表!$L:$L,領用表!$E:$E,$B191,領用表!$B:$B,$CY$2&amp;DC$2)</f>
        <v>0</v>
      </c>
      <c r="DD191" s="296">
        <f>SUMIFS(領用表!$L:$L,領用表!$E:$E,$B191,領用表!$B:$B,$CY$2&amp;DD$2)</f>
        <v>0</v>
      </c>
      <c r="DE191" s="208">
        <f>SUMIFS(領用表!$L:$L,領用表!$A:$A,DE$2,領用表!$E:$E,B191)</f>
        <v>0</v>
      </c>
      <c r="DF191" s="296">
        <f>SUMIFS(領用表!$L:$L,領用表!$E:$E,$B191,領用表!$B:$B,DE$2&amp;DF$2)</f>
        <v>0</v>
      </c>
      <c r="DG191" s="296">
        <f>SUMIFS(領用表!$L:$L,領用表!$E:$E,$B191,領用表!$B:$B,$DE$2&amp;DG$2)</f>
        <v>0</v>
      </c>
      <c r="DH191" s="296">
        <f>SUMIFS(領用表!$L:$L,領用表!$E:$E,$B191,領用表!$B:$B,$DE$2&amp;DH$2)</f>
        <v>0</v>
      </c>
      <c r="DI191" s="296">
        <f>SUMIFS(領用表!$L:$L,領用表!$E:$E,$B191,領用表!$B:$B,$DE$2&amp;DI$2)</f>
        <v>0</v>
      </c>
      <c r="DJ191" s="296">
        <f>SUMIFS(領用表!$L:$L,領用表!$E:$E,$B191,領用表!$B:$B,$DE$2&amp;DJ$2)</f>
        <v>0</v>
      </c>
      <c r="DK191" s="208">
        <f>SUMIFS(領用表!$L:$L,領用表!$A:$A,DK$2,領用表!$E:$E,$B191)</f>
        <v>0</v>
      </c>
      <c r="DL191" s="296">
        <f>SUMIFS(領用表!$L:$L,領用表!$E:$E,$B191,領用表!$B:$B,DK$2&amp;DL$2)</f>
        <v>0</v>
      </c>
      <c r="DM191" s="296">
        <f>SUMIFS(領用表!$L:$L,領用表!$E:$E,$B191,領用表!$B:$B,$CY$2&amp;DM$2)</f>
        <v>0</v>
      </c>
      <c r="DN191" s="296">
        <f>SUMIFS(領用表!$L:$L,領用表!$E:$E,$B191,領用表!$B:$B,$DK$2&amp;DN$2)</f>
        <v>0</v>
      </c>
      <c r="DO191" s="296">
        <f>SUMIFS(領用表!$L:$L,領用表!$E:$E,$B191,領用表!$B:$B,$DK$2&amp;DO$2)</f>
        <v>0</v>
      </c>
      <c r="DP191" s="296">
        <f>SUMIFS(領用表!$L:$L,領用表!$E:$E,$B191,領用表!$B:$B,$DK$2&amp;DP$2)</f>
        <v>0</v>
      </c>
      <c r="DQ191" s="330">
        <f t="shared" si="56"/>
        <v>0</v>
      </c>
      <c r="DR191" s="330">
        <f t="shared" si="57"/>
        <v>0</v>
      </c>
      <c r="DS191" s="330">
        <f t="shared" si="48"/>
        <v>0</v>
      </c>
      <c r="DT191" s="330">
        <v>0</v>
      </c>
      <c r="DU191" s="330">
        <v>0</v>
      </c>
      <c r="DV191" s="330">
        <v>0</v>
      </c>
      <c r="DW191" s="330">
        <v>0</v>
      </c>
      <c r="DX191" s="305"/>
      <c r="DY191" s="342"/>
      <c r="DZ191" s="340"/>
      <c r="EA191" s="340"/>
      <c r="ED191" s="118">
        <f>IFERROR(VLOOKUP(A191,站前4樓!A:BF,57,0),0)</f>
        <v>0</v>
      </c>
      <c r="EE191" s="213">
        <f>IFERROR(VLOOKUP(A191,站前11樓!A:BE,57,0),0)</f>
        <v>0</v>
      </c>
      <c r="EF191" s="118">
        <f>IFERROR(VLOOKUP(A191,忠孝7樓!A:N,57,0),0)</f>
        <v>0</v>
      </c>
      <c r="EG191" s="118">
        <f>IFERROR(VLOOKUP(A191,忠孝國際醫學3樓!A:L,57,0),0)</f>
        <v>0</v>
      </c>
      <c r="EH191" s="118">
        <f t="shared" si="51"/>
        <v>0</v>
      </c>
    </row>
    <row r="192" spans="1:138" s="118" customFormat="1" ht="15">
      <c r="A192" s="136" t="s">
        <v>220</v>
      </c>
      <c r="C192" s="136" t="s">
        <v>592</v>
      </c>
      <c r="D192" s="285"/>
      <c r="E192" s="198" t="s">
        <v>15</v>
      </c>
      <c r="F192" s="225">
        <f>SUMIF(站前4樓!B:B,B192,站前4樓!F:F)</f>
        <v>0</v>
      </c>
      <c r="G192" s="225">
        <f>SUMIF(站前11樓!B:B,B192,站前11樓!F:F)</f>
        <v>0</v>
      </c>
      <c r="H192" s="225">
        <f>SUMIF(忠孝7樓!B:B,B192,忠孝7樓!G:G)</f>
        <v>0</v>
      </c>
      <c r="I192" s="225">
        <f>SUMIF(忠孝國際醫學3樓!B:B,B192,忠孝國際醫學3樓!G:G)</f>
        <v>0</v>
      </c>
      <c r="J192" s="225">
        <f>SUMIF(忠孝健康7樓!B:B,B192,忠孝健康7樓!G:G)</f>
        <v>0</v>
      </c>
      <c r="BC192" s="203">
        <f>SUMIFS(領用表!$L:$L,領用表!$A:$A,BC$2,領用表!$E:$E,B192)</f>
        <v>0</v>
      </c>
      <c r="BD192" s="296">
        <f>SUMIFS(領用表!$L:$L,領用表!$E:$E,$B192,領用表!$B:$B,BC$2&amp;BD$2)</f>
        <v>0</v>
      </c>
      <c r="BE192" s="296">
        <f>SUMIFS(領用表!$L:$L,領用表!$E:$E,$B192,領用表!$B:$B,$BC$2&amp;BE$2)</f>
        <v>0</v>
      </c>
      <c r="BF192" s="296">
        <f>SUMIFS(領用表!$L:$L,領用表!$E:$E,$B192,領用表!$B:$B,$BC$2&amp;BF$2)</f>
        <v>0</v>
      </c>
      <c r="BG192" s="296">
        <f>SUMIFS(領用表!$L:$L,領用表!$E:$E,$B192,領用表!$B:$B,$BC$2&amp;BG$2)</f>
        <v>0</v>
      </c>
      <c r="BH192" s="203">
        <f>SUMIFS(領用表!$L:$L,領用表!$A:$A,BH$2,領用表!$E:$E,B192)</f>
        <v>0</v>
      </c>
      <c r="BI192" s="260">
        <f>SUMIFS(領用表!$L:$L,領用表!$E:$E,$B192,領用表!$B:$B,BH$2&amp;BI$2)</f>
        <v>0</v>
      </c>
      <c r="BJ192" s="260">
        <f>SUMIFS(領用表!$L:$L,領用表!$E:$E,$B192,領用表!$B:$B,$BH$2&amp;BJ$2)</f>
        <v>0</v>
      </c>
      <c r="BK192" s="260">
        <f>SUMIFS(領用表!$L:$L,領用表!$E:$E,$B192,領用表!$B:$B,$BH$2&amp;BK$2)</f>
        <v>0</v>
      </c>
      <c r="BL192" s="260">
        <f>SUMIFS(領用表!$L:$L,領用表!$E:$E,$B192,領用表!$B:$B,$BH$2&amp;BL$2)</f>
        <v>0</v>
      </c>
      <c r="BM192" s="203">
        <f>SUMIFS(領用表!$L:$L,領用表!$A:$A,BM$2,領用表!$E:$E,B192)</f>
        <v>0</v>
      </c>
      <c r="BN192" s="206">
        <f>SUMIFS(領用表!$L:$L,領用表!$E:$E,$B192,領用表!$B:$B,BM$2&amp;BN$2)</f>
        <v>0</v>
      </c>
      <c r="BO192" s="206">
        <f>SUMIFS(領用表!$L:$L,領用表!$E:$E,$B192,領用表!$B:$B,$BM$2&amp;BO$2)</f>
        <v>0</v>
      </c>
      <c r="BP192" s="288">
        <f>SUMIFS(領用表!$L:$L,領用表!$E:$E,$B192,領用表!$B:$B,$BM$2&amp;BP$2)</f>
        <v>0</v>
      </c>
      <c r="BQ192" s="287">
        <f>SUMIFS(領用表!$L:$L,領用表!$E:$E,$B192,領用表!$B:$B,$BM$2&amp;BQ$2)</f>
        <v>0</v>
      </c>
      <c r="BR192" s="203">
        <f>SUMIFS(領用表!$L:$L,領用表!$A:$A,BR$2,領用表!$E:$E,B192)</f>
        <v>0</v>
      </c>
      <c r="BS192" s="260">
        <f>SUMIFS(領用表!$L:$L,領用表!$E:$E,$B192,領用表!$B:$B,BR$2&amp;BS$2)</f>
        <v>0</v>
      </c>
      <c r="BT192" s="260">
        <f>SUMIFS(領用表!$L:$L,領用表!$E:$E,$B192,領用表!$B:$B,$BR$2&amp;BT$2)</f>
        <v>0</v>
      </c>
      <c r="BU192" s="260">
        <f>SUMIFS(領用表!$L:$L,領用表!$E:$E,$B192,領用表!$B:$B,$BR$2&amp;BU$2)</f>
        <v>0</v>
      </c>
      <c r="BV192" s="220">
        <f>SUMIFS(領用表!$L:$L,領用表!$E:$E,$B192,領用表!$B:$B,$BR$2&amp;BV$2)</f>
        <v>0</v>
      </c>
      <c r="BW192" s="208">
        <f>SUMIFS(領用表!$L:$L,領用表!$A:$A,BW$2,領用表!$E:$E,B192)</f>
        <v>0</v>
      </c>
      <c r="BX192" s="296">
        <f>SUMIFS(領用表!$L:$L,領用表!$E:$E,$B192,領用表!$B:$B,BW$2&amp;BX$2)</f>
        <v>0</v>
      </c>
      <c r="BY192" s="296">
        <f>SUMIFS(領用表!$L:$L,領用表!$E:$E,$B192,領用表!$B:$B,$BW$2&amp;BY$2)</f>
        <v>0</v>
      </c>
      <c r="BZ192" s="296">
        <f>SUMIFS(領用表!$L:$L,領用表!$E:$E,$B192,領用表!$B:$B,$BW$2&amp;BZ$2)</f>
        <v>0</v>
      </c>
      <c r="CA192" s="296">
        <f>SUMIFS(領用表!$L:$L,領用表!$E:$E,$B192,領用表!$B:$B,$BW$2&amp;CA$2)</f>
        <v>0</v>
      </c>
      <c r="CB192" s="208">
        <f>SUMIFS(領用表!$L:$L,領用表!$A:$A,CB$2,領用表!$E:$E,B192)</f>
        <v>0</v>
      </c>
      <c r="CC192" s="296">
        <f>SUMIFS(領用表!$L:$L,領用表!$E:$E,$B192,領用表!$B:$B,CB$2&amp;CC$2)</f>
        <v>0</v>
      </c>
      <c r="CD192" s="296">
        <f>SUMIFS(領用表!$L:$L,領用表!$E:$E,$B192,領用表!$B:$B,$CB$2&amp;CD$2)</f>
        <v>0</v>
      </c>
      <c r="CE192" s="296">
        <f>SUMIFS(領用表!$L:$L,領用表!$E:$E,$B192,領用表!$B:$B,$CB$2&amp;CE$2)</f>
        <v>0</v>
      </c>
      <c r="CF192" s="296">
        <f>SUMIFS(領用表!$L:$L,領用表!$E:$E,$B192,領用表!$B:$B,$CB$2&amp;CF$2)</f>
        <v>0</v>
      </c>
      <c r="CG192" s="335">
        <f>SUMIFS(領用表!$L:$L,領用表!$A:$A,CG$2,領用表!$E:$E,B192)</f>
        <v>0</v>
      </c>
      <c r="CH192" s="296">
        <f>SUMIFS(領用表!$L:$L,領用表!$E:$E,$B192,領用表!$B:$B,CG$2&amp;CH$2)</f>
        <v>0</v>
      </c>
      <c r="CI192" s="296">
        <f>SUMIFS(領用表!$L:$L,領用表!$E:$E,$B192,領用表!$B:$B,CG$2&amp;CI$2)</f>
        <v>0</v>
      </c>
      <c r="CJ192" s="296">
        <f>SUMIFS(領用表!$L:$L,領用表!$E:$E,$B192,領用表!$B:$B,CG$2&amp;CJ$2)</f>
        <v>0</v>
      </c>
      <c r="CK192" s="296">
        <f>SUMIFS(領用表!$L:$L,領用表!$E:$E,$B192,領用表!$B:$B,$CG$2&amp;CK$2)</f>
        <v>0</v>
      </c>
      <c r="CL192" s="207">
        <f t="shared" si="54"/>
        <v>0</v>
      </c>
      <c r="CM192" s="207">
        <f t="shared" si="55"/>
        <v>0</v>
      </c>
      <c r="CN192" s="208">
        <f>SUMIFS(領用表!$L:$L,領用表!$A:$A,CN$2,領用表!$E:$E,B192)</f>
        <v>0</v>
      </c>
      <c r="CO192" s="206">
        <f>SUMIFS(領用表!$L:$L,領用表!$E:$E,$B192,領用表!$B:$B,CN$2&amp;CO$2)</f>
        <v>0</v>
      </c>
      <c r="CP192" s="206">
        <f>SUMIFS(領用表!$L:$L,領用表!$E:$E,$B192,領用表!$B:$B,$CN$2&amp;CP$2)</f>
        <v>0</v>
      </c>
      <c r="CQ192" s="206">
        <f>SUMIFS(領用表!$L:$L,領用表!$E:$E,$B192,領用表!$B:$B,$CN$2&amp;CQ$2)</f>
        <v>0</v>
      </c>
      <c r="CR192" s="296">
        <f>SUMIFS(領用表!$L:$L,領用表!$E:$E,$B192,領用表!$B:$B,$CN$2&amp;CR$2)</f>
        <v>0</v>
      </c>
      <c r="CS192" s="208">
        <f>SUMIFS(領用表!$L:$L,領用表!$A:$A,CS$2,領用表!$E:$E,B192)</f>
        <v>0</v>
      </c>
      <c r="CT192" s="206">
        <f>SUMIFS(領用表!$L:$L,領用表!$E:$E,$B192,領用表!$B:$B,CS$2&amp;CT$2)</f>
        <v>0</v>
      </c>
      <c r="CU192" s="206">
        <f>SUMIFS(領用表!$L:$L,領用表!$E:$E,$B192,領用表!$B:$B,$CS$2&amp;CU$2)</f>
        <v>0</v>
      </c>
      <c r="CV192" s="206">
        <f>SUMIFS(領用表!$L:$L,領用表!$E:$E,$B192,領用表!$B:$B,$CS$2&amp;CV$2)</f>
        <v>0</v>
      </c>
      <c r="CW192" s="206">
        <f>SUMIFS(領用表!$L:$L,領用表!$E:$E,$B192,領用表!$B:$B,$CS$2&amp;CW$2)</f>
        <v>0</v>
      </c>
      <c r="CX192" s="206">
        <f>SUMIFS(領用表!$L:$L,領用表!$E:$E,$B192,領用表!$B:$B,$CS$2&amp;CX$2)</f>
        <v>0</v>
      </c>
      <c r="CY192" s="208">
        <f>SUMIFS(領用表!$L:$L,領用表!$A:$A,CY$2,領用表!$E:$E,B192)</f>
        <v>0</v>
      </c>
      <c r="CZ192" s="296">
        <f>SUMIFS(領用表!$L:$L,領用表!$E:$E,$B192,領用表!$B:$B,CY$2&amp;CZ$2)</f>
        <v>0</v>
      </c>
      <c r="DA192" s="296">
        <f>SUMIFS(領用表!$L:$L,領用表!$E:$E,$B192,領用表!$B:$B,$CY$2&amp;DA$2)</f>
        <v>0</v>
      </c>
      <c r="DB192" s="296">
        <f>SUMIFS(領用表!$L:$L,領用表!$E:$E,$B192,領用表!$B:$B,$CY$2&amp;DB$2)</f>
        <v>0</v>
      </c>
      <c r="DC192" s="296">
        <f>SUMIFS(領用表!$L:$L,領用表!$E:$E,$B192,領用表!$B:$B,$CY$2&amp;DC$2)</f>
        <v>0</v>
      </c>
      <c r="DD192" s="296">
        <f>SUMIFS(領用表!$L:$L,領用表!$E:$E,$B192,領用表!$B:$B,$CY$2&amp;DD$2)</f>
        <v>0</v>
      </c>
      <c r="DE192" s="208">
        <f>SUMIFS(領用表!$L:$L,領用表!$A:$A,DE$2,領用表!$E:$E,B192)</f>
        <v>0</v>
      </c>
      <c r="DF192" s="296">
        <f>SUMIFS(領用表!$L:$L,領用表!$E:$E,$B192,領用表!$B:$B,DE$2&amp;DF$2)</f>
        <v>0</v>
      </c>
      <c r="DG192" s="296">
        <f>SUMIFS(領用表!$L:$L,領用表!$E:$E,$B192,領用表!$B:$B,$DE$2&amp;DG$2)</f>
        <v>0</v>
      </c>
      <c r="DH192" s="296">
        <f>SUMIFS(領用表!$L:$L,領用表!$E:$E,$B192,領用表!$B:$B,$DE$2&amp;DH$2)</f>
        <v>0</v>
      </c>
      <c r="DI192" s="296">
        <f>SUMIFS(領用表!$L:$L,領用表!$E:$E,$B192,領用表!$B:$B,$DE$2&amp;DI$2)</f>
        <v>0</v>
      </c>
      <c r="DJ192" s="296">
        <f>SUMIFS(領用表!$L:$L,領用表!$E:$E,$B192,領用表!$B:$B,$DE$2&amp;DJ$2)</f>
        <v>0</v>
      </c>
      <c r="DK192" s="208">
        <f>SUMIFS(領用表!$L:$L,領用表!$A:$A,DK$2,領用表!$E:$E,$B192)</f>
        <v>0</v>
      </c>
      <c r="DL192" s="296">
        <f>SUMIFS(領用表!$L:$L,領用表!$E:$E,$B192,領用表!$B:$B,DK$2&amp;DL$2)</f>
        <v>0</v>
      </c>
      <c r="DM192" s="296">
        <f>SUMIFS(領用表!$L:$L,領用表!$E:$E,$B192,領用表!$B:$B,$CY$2&amp;DM$2)</f>
        <v>0</v>
      </c>
      <c r="DN192" s="296">
        <f>SUMIFS(領用表!$L:$L,領用表!$E:$E,$B192,領用表!$B:$B,$DK$2&amp;DN$2)</f>
        <v>0</v>
      </c>
      <c r="DO192" s="296">
        <f>SUMIFS(領用表!$L:$L,領用表!$E:$E,$B192,領用表!$B:$B,$DK$2&amp;DO$2)</f>
        <v>0</v>
      </c>
      <c r="DP192" s="296">
        <f>SUMIFS(領用表!$L:$L,領用表!$E:$E,$B192,領用表!$B:$B,$DK$2&amp;DP$2)</f>
        <v>0</v>
      </c>
      <c r="DQ192" s="330">
        <f t="shared" si="56"/>
        <v>0</v>
      </c>
      <c r="DR192" s="330">
        <f t="shared" si="57"/>
        <v>0</v>
      </c>
      <c r="DS192" s="330">
        <f t="shared" si="48"/>
        <v>0</v>
      </c>
      <c r="DT192" s="330">
        <v>0</v>
      </c>
      <c r="DU192" s="330">
        <v>0</v>
      </c>
      <c r="DV192" s="330">
        <v>0</v>
      </c>
      <c r="DW192" s="330">
        <v>0</v>
      </c>
      <c r="DX192" s="305"/>
      <c r="DY192" s="342"/>
      <c r="DZ192" s="341"/>
      <c r="EA192" s="341" t="s">
        <v>221</v>
      </c>
      <c r="ED192" s="118">
        <f>IFERROR(VLOOKUP(A192,站前4樓!A:BF,57,0),0)</f>
        <v>0</v>
      </c>
      <c r="EE192" s="213">
        <f>IFERROR(VLOOKUP(A192,站前11樓!A:BE,57,0),0)</f>
        <v>0</v>
      </c>
      <c r="EF192" s="118">
        <f>IFERROR(VLOOKUP(A192,忠孝7樓!A:N,57,0),0)</f>
        <v>0</v>
      </c>
      <c r="EG192" s="118">
        <f>IFERROR(VLOOKUP(A192,忠孝國際醫學3樓!A:L,57,0),0)</f>
        <v>0</v>
      </c>
      <c r="EH192" s="118">
        <f t="shared" si="51"/>
        <v>0</v>
      </c>
    </row>
    <row r="193" spans="1:138" s="118" customFormat="1" ht="15">
      <c r="A193" s="136" t="s">
        <v>222</v>
      </c>
      <c r="C193" s="136" t="s">
        <v>588</v>
      </c>
      <c r="D193" s="285"/>
      <c r="E193" s="198" t="s">
        <v>15</v>
      </c>
      <c r="F193" s="225">
        <f>SUMIF(站前4樓!B:B,B193,站前4樓!F:F)</f>
        <v>0</v>
      </c>
      <c r="G193" s="225">
        <f>SUMIF(站前11樓!B:B,B193,站前11樓!F:F)</f>
        <v>0</v>
      </c>
      <c r="H193" s="225">
        <f>SUMIF(忠孝7樓!B:B,B193,忠孝7樓!G:G)</f>
        <v>0</v>
      </c>
      <c r="I193" s="225">
        <f>SUMIF(忠孝國際醫學3樓!B:B,B193,忠孝國際醫學3樓!G:G)</f>
        <v>0</v>
      </c>
      <c r="J193" s="225">
        <f>SUMIF(忠孝健康7樓!B:B,B193,忠孝健康7樓!G:G)</f>
        <v>0</v>
      </c>
      <c r="BC193" s="203">
        <f>SUMIFS(領用表!$L:$L,領用表!$A:$A,BC$2,領用表!$E:$E,B193)</f>
        <v>0</v>
      </c>
      <c r="BD193" s="296">
        <f>SUMIFS(領用表!$L:$L,領用表!$E:$E,$B193,領用表!$B:$B,BC$2&amp;BD$2)</f>
        <v>0</v>
      </c>
      <c r="BE193" s="296">
        <f>SUMIFS(領用表!$L:$L,領用表!$E:$E,$B193,領用表!$B:$B,$BC$2&amp;BE$2)</f>
        <v>0</v>
      </c>
      <c r="BF193" s="296">
        <f>SUMIFS(領用表!$L:$L,領用表!$E:$E,$B193,領用表!$B:$B,$BC$2&amp;BF$2)</f>
        <v>0</v>
      </c>
      <c r="BG193" s="296">
        <f>SUMIFS(領用表!$L:$L,領用表!$E:$E,$B193,領用表!$B:$B,$BC$2&amp;BG$2)</f>
        <v>0</v>
      </c>
      <c r="BH193" s="203">
        <f>SUMIFS(領用表!$L:$L,領用表!$A:$A,BH$2,領用表!$E:$E,B193)</f>
        <v>0</v>
      </c>
      <c r="BI193" s="260">
        <f>SUMIFS(領用表!$L:$L,領用表!$E:$E,$B193,領用表!$B:$B,BH$2&amp;BI$2)</f>
        <v>0</v>
      </c>
      <c r="BJ193" s="260">
        <f>SUMIFS(領用表!$L:$L,領用表!$E:$E,$B193,領用表!$B:$B,$BH$2&amp;BJ$2)</f>
        <v>0</v>
      </c>
      <c r="BK193" s="260">
        <f>SUMIFS(領用表!$L:$L,領用表!$E:$E,$B193,領用表!$B:$B,$BH$2&amp;BK$2)</f>
        <v>0</v>
      </c>
      <c r="BL193" s="260">
        <f>SUMIFS(領用表!$L:$L,領用表!$E:$E,$B193,領用表!$B:$B,$BH$2&amp;BL$2)</f>
        <v>0</v>
      </c>
      <c r="BM193" s="203">
        <f>SUMIFS(領用表!$L:$L,領用表!$A:$A,BM$2,領用表!$E:$E,B193)</f>
        <v>0</v>
      </c>
      <c r="BN193" s="206">
        <f>SUMIFS(領用表!$L:$L,領用表!$E:$E,$B193,領用表!$B:$B,BM$2&amp;BN$2)</f>
        <v>0</v>
      </c>
      <c r="BO193" s="206">
        <f>SUMIFS(領用表!$L:$L,領用表!$E:$E,$B193,領用表!$B:$B,$BM$2&amp;BO$2)</f>
        <v>0</v>
      </c>
      <c r="BP193" s="288">
        <f>SUMIFS(領用表!$L:$L,領用表!$E:$E,$B193,領用表!$B:$B,$BM$2&amp;BP$2)</f>
        <v>0</v>
      </c>
      <c r="BQ193" s="287">
        <f>SUMIFS(領用表!$L:$L,領用表!$E:$E,$B193,領用表!$B:$B,$BM$2&amp;BQ$2)</f>
        <v>0</v>
      </c>
      <c r="BR193" s="203">
        <f>SUMIFS(領用表!$L:$L,領用表!$A:$A,BR$2,領用表!$E:$E,B193)</f>
        <v>0</v>
      </c>
      <c r="BS193" s="260">
        <f>SUMIFS(領用表!$L:$L,領用表!$E:$E,$B193,領用表!$B:$B,BR$2&amp;BS$2)</f>
        <v>0</v>
      </c>
      <c r="BT193" s="260">
        <f>SUMIFS(領用表!$L:$L,領用表!$E:$E,$B193,領用表!$B:$B,$BR$2&amp;BT$2)</f>
        <v>0</v>
      </c>
      <c r="BU193" s="260">
        <f>SUMIFS(領用表!$L:$L,領用表!$E:$E,$B193,領用表!$B:$B,$BR$2&amp;BU$2)</f>
        <v>0</v>
      </c>
      <c r="BV193" s="220">
        <f>SUMIFS(領用表!$L:$L,領用表!$E:$E,$B193,領用表!$B:$B,$BR$2&amp;BV$2)</f>
        <v>0</v>
      </c>
      <c r="BW193" s="208">
        <f>SUMIFS(領用表!$L:$L,領用表!$A:$A,BW$2,領用表!$E:$E,B193)</f>
        <v>0</v>
      </c>
      <c r="BX193" s="296">
        <f>SUMIFS(領用表!$L:$L,領用表!$E:$E,$B193,領用表!$B:$B,BW$2&amp;BX$2)</f>
        <v>0</v>
      </c>
      <c r="BY193" s="296">
        <f>SUMIFS(領用表!$L:$L,領用表!$E:$E,$B193,領用表!$B:$B,$BW$2&amp;BY$2)</f>
        <v>0</v>
      </c>
      <c r="BZ193" s="296">
        <f>SUMIFS(領用表!$L:$L,領用表!$E:$E,$B193,領用表!$B:$B,$BW$2&amp;BZ$2)</f>
        <v>0</v>
      </c>
      <c r="CA193" s="296">
        <f>SUMIFS(領用表!$L:$L,領用表!$E:$E,$B193,領用表!$B:$B,$BW$2&amp;CA$2)</f>
        <v>0</v>
      </c>
      <c r="CB193" s="208">
        <f>SUMIFS(領用表!$L:$L,領用表!$A:$A,CB$2,領用表!$E:$E,B193)</f>
        <v>0</v>
      </c>
      <c r="CC193" s="296">
        <f>SUMIFS(領用表!$L:$L,領用表!$E:$E,$B193,領用表!$B:$B,CB$2&amp;CC$2)</f>
        <v>0</v>
      </c>
      <c r="CD193" s="296">
        <f>SUMIFS(領用表!$L:$L,領用表!$E:$E,$B193,領用表!$B:$B,$CB$2&amp;CD$2)</f>
        <v>0</v>
      </c>
      <c r="CE193" s="296">
        <f>SUMIFS(領用表!$L:$L,領用表!$E:$E,$B193,領用表!$B:$B,$CB$2&amp;CE$2)</f>
        <v>0</v>
      </c>
      <c r="CF193" s="296">
        <f>SUMIFS(領用表!$L:$L,領用表!$E:$E,$B193,領用表!$B:$B,$CB$2&amp;CF$2)</f>
        <v>0</v>
      </c>
      <c r="CG193" s="335">
        <f>SUMIFS(領用表!$L:$L,領用表!$A:$A,CG$2,領用表!$E:$E,B193)</f>
        <v>0</v>
      </c>
      <c r="CH193" s="296">
        <f>SUMIFS(領用表!$L:$L,領用表!$E:$E,$B193,領用表!$B:$B,CG$2&amp;CH$2)</f>
        <v>0</v>
      </c>
      <c r="CI193" s="296">
        <f>SUMIFS(領用表!$L:$L,領用表!$E:$E,$B193,領用表!$B:$B,CG$2&amp;CI$2)</f>
        <v>0</v>
      </c>
      <c r="CJ193" s="296">
        <f>SUMIFS(領用表!$L:$L,領用表!$E:$E,$B193,領用表!$B:$B,CG$2&amp;CJ$2)</f>
        <v>0</v>
      </c>
      <c r="CK193" s="296">
        <f>SUMIFS(領用表!$L:$L,領用表!$E:$E,$B193,領用表!$B:$B,$CG$2&amp;CK$2)</f>
        <v>0</v>
      </c>
      <c r="CL193" s="207">
        <f t="shared" si="54"/>
        <v>0</v>
      </c>
      <c r="CM193" s="207">
        <f t="shared" si="55"/>
        <v>0</v>
      </c>
      <c r="CN193" s="208">
        <f>SUMIFS(領用表!$L:$L,領用表!$A:$A,CN$2,領用表!$E:$E,B193)</f>
        <v>0</v>
      </c>
      <c r="CO193" s="206">
        <f>SUMIFS(領用表!$L:$L,領用表!$E:$E,$B193,領用表!$B:$B,CN$2&amp;CO$2)</f>
        <v>0</v>
      </c>
      <c r="CP193" s="206">
        <f>SUMIFS(領用表!$L:$L,領用表!$E:$E,$B193,領用表!$B:$B,$CN$2&amp;CP$2)</f>
        <v>0</v>
      </c>
      <c r="CQ193" s="206">
        <f>SUMIFS(領用表!$L:$L,領用表!$E:$E,$B193,領用表!$B:$B,$CN$2&amp;CQ$2)</f>
        <v>0</v>
      </c>
      <c r="CR193" s="296">
        <f>SUMIFS(領用表!$L:$L,領用表!$E:$E,$B193,領用表!$B:$B,$CN$2&amp;CR$2)</f>
        <v>0</v>
      </c>
      <c r="CS193" s="208">
        <f>SUMIFS(領用表!$L:$L,領用表!$A:$A,CS$2,領用表!$E:$E,B193)</f>
        <v>0</v>
      </c>
      <c r="CT193" s="206">
        <f>SUMIFS(領用表!$L:$L,領用表!$E:$E,$B193,領用表!$B:$B,CS$2&amp;CT$2)</f>
        <v>0</v>
      </c>
      <c r="CU193" s="206">
        <f>SUMIFS(領用表!$L:$L,領用表!$E:$E,$B193,領用表!$B:$B,$CS$2&amp;CU$2)</f>
        <v>0</v>
      </c>
      <c r="CV193" s="206">
        <f>SUMIFS(領用表!$L:$L,領用表!$E:$E,$B193,領用表!$B:$B,$CS$2&amp;CV$2)</f>
        <v>0</v>
      </c>
      <c r="CW193" s="206">
        <f>SUMIFS(領用表!$L:$L,領用表!$E:$E,$B193,領用表!$B:$B,$CS$2&amp;CW$2)</f>
        <v>0</v>
      </c>
      <c r="CX193" s="206">
        <f>SUMIFS(領用表!$L:$L,領用表!$E:$E,$B193,領用表!$B:$B,$CS$2&amp;CX$2)</f>
        <v>0</v>
      </c>
      <c r="CY193" s="208">
        <f>SUMIFS(領用表!$L:$L,領用表!$A:$A,CY$2,領用表!$E:$E,B193)</f>
        <v>0</v>
      </c>
      <c r="CZ193" s="296">
        <f>SUMIFS(領用表!$L:$L,領用表!$E:$E,$B193,領用表!$B:$B,CY$2&amp;CZ$2)</f>
        <v>0</v>
      </c>
      <c r="DA193" s="296">
        <f>SUMIFS(領用表!$L:$L,領用表!$E:$E,$B193,領用表!$B:$B,$CY$2&amp;DA$2)</f>
        <v>0</v>
      </c>
      <c r="DB193" s="296">
        <f>SUMIFS(領用表!$L:$L,領用表!$E:$E,$B193,領用表!$B:$B,$CY$2&amp;DB$2)</f>
        <v>0</v>
      </c>
      <c r="DC193" s="296">
        <f>SUMIFS(領用表!$L:$L,領用表!$E:$E,$B193,領用表!$B:$B,$CY$2&amp;DC$2)</f>
        <v>0</v>
      </c>
      <c r="DD193" s="296">
        <f>SUMIFS(領用表!$L:$L,領用表!$E:$E,$B193,領用表!$B:$B,$CY$2&amp;DD$2)</f>
        <v>0</v>
      </c>
      <c r="DE193" s="208">
        <f>SUMIFS(領用表!$L:$L,領用表!$A:$A,DE$2,領用表!$E:$E,B193)</f>
        <v>0</v>
      </c>
      <c r="DF193" s="296">
        <f>SUMIFS(領用表!$L:$L,領用表!$E:$E,$B193,領用表!$B:$B,DE$2&amp;DF$2)</f>
        <v>0</v>
      </c>
      <c r="DG193" s="296">
        <f>SUMIFS(領用表!$L:$L,領用表!$E:$E,$B193,領用表!$B:$B,$DE$2&amp;DG$2)</f>
        <v>0</v>
      </c>
      <c r="DH193" s="296">
        <f>SUMIFS(領用表!$L:$L,領用表!$E:$E,$B193,領用表!$B:$B,$DE$2&amp;DH$2)</f>
        <v>0</v>
      </c>
      <c r="DI193" s="296">
        <f>SUMIFS(領用表!$L:$L,領用表!$E:$E,$B193,領用表!$B:$B,$DE$2&amp;DI$2)</f>
        <v>0</v>
      </c>
      <c r="DJ193" s="296">
        <f>SUMIFS(領用表!$L:$L,領用表!$E:$E,$B193,領用表!$B:$B,$DE$2&amp;DJ$2)</f>
        <v>0</v>
      </c>
      <c r="DK193" s="208">
        <f>SUMIFS(領用表!$L:$L,領用表!$A:$A,DK$2,領用表!$E:$E,$B193)</f>
        <v>0</v>
      </c>
      <c r="DL193" s="296">
        <f>SUMIFS(領用表!$L:$L,領用表!$E:$E,$B193,領用表!$B:$B,DK$2&amp;DL$2)</f>
        <v>0</v>
      </c>
      <c r="DM193" s="296">
        <f>SUMIFS(領用表!$L:$L,領用表!$E:$E,$B193,領用表!$B:$B,$CY$2&amp;DM$2)</f>
        <v>0</v>
      </c>
      <c r="DN193" s="296">
        <f>SUMIFS(領用表!$L:$L,領用表!$E:$E,$B193,領用表!$B:$B,$DK$2&amp;DN$2)</f>
        <v>0</v>
      </c>
      <c r="DO193" s="296">
        <f>SUMIFS(領用表!$L:$L,領用表!$E:$E,$B193,領用表!$B:$B,$DK$2&amp;DO$2)</f>
        <v>0</v>
      </c>
      <c r="DP193" s="296">
        <f>SUMIFS(領用表!$L:$L,領用表!$E:$E,$B193,領用表!$B:$B,$DK$2&amp;DP$2)</f>
        <v>0</v>
      </c>
      <c r="DQ193" s="330">
        <f t="shared" si="56"/>
        <v>0</v>
      </c>
      <c r="DR193" s="330">
        <f t="shared" si="57"/>
        <v>0</v>
      </c>
      <c r="DS193" s="330">
        <f t="shared" si="48"/>
        <v>0</v>
      </c>
      <c r="DT193" s="330">
        <v>0</v>
      </c>
      <c r="DU193" s="330">
        <v>0</v>
      </c>
      <c r="DV193" s="330">
        <v>0</v>
      </c>
      <c r="DW193" s="330">
        <v>0</v>
      </c>
      <c r="DX193" s="305"/>
      <c r="DY193" s="342"/>
      <c r="DZ193" s="341"/>
      <c r="EA193" s="341" t="s">
        <v>223</v>
      </c>
      <c r="ED193" s="118">
        <f>IFERROR(VLOOKUP(A193,站前4樓!A:BF,57,0),0)</f>
        <v>0</v>
      </c>
      <c r="EE193" s="213">
        <f>IFERROR(VLOOKUP(A193,站前11樓!A:BE,57,0),0)</f>
        <v>0</v>
      </c>
      <c r="EF193" s="118">
        <f>IFERROR(VLOOKUP(A193,忠孝7樓!A:N,57,0),0)</f>
        <v>0</v>
      </c>
      <c r="EG193" s="118">
        <f>IFERROR(VLOOKUP(A193,忠孝國際醫學3樓!A:L,57,0),0)</f>
        <v>0</v>
      </c>
      <c r="EH193" s="118">
        <f t="shared" si="51"/>
        <v>0</v>
      </c>
    </row>
    <row r="194" spans="1:138" s="118" customFormat="1" ht="15">
      <c r="A194" s="136" t="s">
        <v>224</v>
      </c>
      <c r="C194" s="136" t="s">
        <v>593</v>
      </c>
      <c r="D194" s="285"/>
      <c r="E194" s="198" t="s">
        <v>15</v>
      </c>
      <c r="F194" s="225">
        <f>SUMIF(站前4樓!B:B,B194,站前4樓!F:F)</f>
        <v>0</v>
      </c>
      <c r="G194" s="225">
        <f>SUMIF(站前11樓!B:B,B194,站前11樓!F:F)</f>
        <v>0</v>
      </c>
      <c r="H194" s="225">
        <f>SUMIF(忠孝7樓!B:B,B194,忠孝7樓!G:G)</f>
        <v>0</v>
      </c>
      <c r="I194" s="225">
        <f>SUMIF(忠孝國際醫學3樓!B:B,B194,忠孝國際醫學3樓!G:G)</f>
        <v>0</v>
      </c>
      <c r="J194" s="225">
        <f>SUMIF(忠孝健康7樓!B:B,B194,忠孝健康7樓!G:G)</f>
        <v>0</v>
      </c>
      <c r="BC194" s="203">
        <f>SUMIFS(領用表!$L:$L,領用表!$A:$A,BC$2,領用表!$E:$E,B194)</f>
        <v>0</v>
      </c>
      <c r="BD194" s="296">
        <f>SUMIFS(領用表!$L:$L,領用表!$E:$E,$B194,領用表!$B:$B,BC$2&amp;BD$2)</f>
        <v>0</v>
      </c>
      <c r="BE194" s="296">
        <f>SUMIFS(領用表!$L:$L,領用表!$E:$E,$B194,領用表!$B:$B,$BC$2&amp;BE$2)</f>
        <v>0</v>
      </c>
      <c r="BF194" s="296">
        <f>SUMIFS(領用表!$L:$L,領用表!$E:$E,$B194,領用表!$B:$B,$BC$2&amp;BF$2)</f>
        <v>0</v>
      </c>
      <c r="BG194" s="296">
        <f>SUMIFS(領用表!$L:$L,領用表!$E:$E,$B194,領用表!$B:$B,$BC$2&amp;BG$2)</f>
        <v>0</v>
      </c>
      <c r="BH194" s="203">
        <f>SUMIFS(領用表!$L:$L,領用表!$A:$A,BH$2,領用表!$E:$E,B194)</f>
        <v>0</v>
      </c>
      <c r="BI194" s="260">
        <f>SUMIFS(領用表!$L:$L,領用表!$E:$E,$B194,領用表!$B:$B,BH$2&amp;BI$2)</f>
        <v>0</v>
      </c>
      <c r="BJ194" s="260">
        <f>SUMIFS(領用表!$L:$L,領用表!$E:$E,$B194,領用表!$B:$B,$BH$2&amp;BJ$2)</f>
        <v>0</v>
      </c>
      <c r="BK194" s="260">
        <f>SUMIFS(領用表!$L:$L,領用表!$E:$E,$B194,領用表!$B:$B,$BH$2&amp;BK$2)</f>
        <v>0</v>
      </c>
      <c r="BL194" s="260">
        <f>SUMIFS(領用表!$L:$L,領用表!$E:$E,$B194,領用表!$B:$B,$BH$2&amp;BL$2)</f>
        <v>0</v>
      </c>
      <c r="BM194" s="203">
        <f>SUMIFS(領用表!$L:$L,領用表!$A:$A,BM$2,領用表!$E:$E,B194)</f>
        <v>0</v>
      </c>
      <c r="BN194" s="206">
        <f>SUMIFS(領用表!$L:$L,領用表!$E:$E,$B194,領用表!$B:$B,BM$2&amp;BN$2)</f>
        <v>0</v>
      </c>
      <c r="BO194" s="206">
        <f>SUMIFS(領用表!$L:$L,領用表!$E:$E,$B194,領用表!$B:$B,$BM$2&amp;BO$2)</f>
        <v>0</v>
      </c>
      <c r="BP194" s="288">
        <f>SUMIFS(領用表!$L:$L,領用表!$E:$E,$B194,領用表!$B:$B,$BM$2&amp;BP$2)</f>
        <v>0</v>
      </c>
      <c r="BQ194" s="287">
        <f>SUMIFS(領用表!$L:$L,領用表!$E:$E,$B194,領用表!$B:$B,$BM$2&amp;BQ$2)</f>
        <v>0</v>
      </c>
      <c r="BR194" s="203">
        <f>SUMIFS(領用表!$L:$L,領用表!$A:$A,BR$2,領用表!$E:$E,B194)</f>
        <v>0</v>
      </c>
      <c r="BS194" s="260">
        <f>SUMIFS(領用表!$L:$L,領用表!$E:$E,$B194,領用表!$B:$B,BR$2&amp;BS$2)</f>
        <v>0</v>
      </c>
      <c r="BT194" s="260">
        <f>SUMIFS(領用表!$L:$L,領用表!$E:$E,$B194,領用表!$B:$B,$BR$2&amp;BT$2)</f>
        <v>0</v>
      </c>
      <c r="BU194" s="260">
        <f>SUMIFS(領用表!$L:$L,領用表!$E:$E,$B194,領用表!$B:$B,$BR$2&amp;BU$2)</f>
        <v>0</v>
      </c>
      <c r="BV194" s="220">
        <f>SUMIFS(領用表!$L:$L,領用表!$E:$E,$B194,領用表!$B:$B,$BR$2&amp;BV$2)</f>
        <v>0</v>
      </c>
      <c r="BW194" s="208">
        <f>SUMIFS(領用表!$L:$L,領用表!$A:$A,BW$2,領用表!$E:$E,B194)</f>
        <v>0</v>
      </c>
      <c r="BX194" s="296">
        <f>SUMIFS(領用表!$L:$L,領用表!$E:$E,$B194,領用表!$B:$B,BW$2&amp;BX$2)</f>
        <v>0</v>
      </c>
      <c r="BY194" s="296">
        <f>SUMIFS(領用表!$L:$L,領用表!$E:$E,$B194,領用表!$B:$B,$BW$2&amp;BY$2)</f>
        <v>0</v>
      </c>
      <c r="BZ194" s="296">
        <f>SUMIFS(領用表!$L:$L,領用表!$E:$E,$B194,領用表!$B:$B,$BW$2&amp;BZ$2)</f>
        <v>0</v>
      </c>
      <c r="CA194" s="296">
        <f>SUMIFS(領用表!$L:$L,領用表!$E:$E,$B194,領用表!$B:$B,$BW$2&amp;CA$2)</f>
        <v>0</v>
      </c>
      <c r="CB194" s="208">
        <f>SUMIFS(領用表!$L:$L,領用表!$A:$A,CB$2,領用表!$E:$E,B194)</f>
        <v>0</v>
      </c>
      <c r="CC194" s="296">
        <f>SUMIFS(領用表!$L:$L,領用表!$E:$E,$B194,領用表!$B:$B,CB$2&amp;CC$2)</f>
        <v>0</v>
      </c>
      <c r="CD194" s="296">
        <f>SUMIFS(領用表!$L:$L,領用表!$E:$E,$B194,領用表!$B:$B,$CB$2&amp;CD$2)</f>
        <v>0</v>
      </c>
      <c r="CE194" s="296">
        <f>SUMIFS(領用表!$L:$L,領用表!$E:$E,$B194,領用表!$B:$B,$CB$2&amp;CE$2)</f>
        <v>0</v>
      </c>
      <c r="CF194" s="296">
        <f>SUMIFS(領用表!$L:$L,領用表!$E:$E,$B194,領用表!$B:$B,$CB$2&amp;CF$2)</f>
        <v>0</v>
      </c>
      <c r="CG194" s="335">
        <f>SUMIFS(領用表!$L:$L,領用表!$A:$A,CG$2,領用表!$E:$E,B194)</f>
        <v>0</v>
      </c>
      <c r="CH194" s="296">
        <f>SUMIFS(領用表!$L:$L,領用表!$E:$E,$B194,領用表!$B:$B,CG$2&amp;CH$2)</f>
        <v>0</v>
      </c>
      <c r="CI194" s="296">
        <f>SUMIFS(領用表!$L:$L,領用表!$E:$E,$B194,領用表!$B:$B,CG$2&amp;CI$2)</f>
        <v>0</v>
      </c>
      <c r="CJ194" s="296">
        <f>SUMIFS(領用表!$L:$L,領用表!$E:$E,$B194,領用表!$B:$B,CG$2&amp;CJ$2)</f>
        <v>0</v>
      </c>
      <c r="CK194" s="296">
        <f>SUMIFS(領用表!$L:$L,領用表!$E:$E,$B194,領用表!$B:$B,$CG$2&amp;CK$2)</f>
        <v>0</v>
      </c>
      <c r="CL194" s="207">
        <f t="shared" si="54"/>
        <v>0</v>
      </c>
      <c r="CM194" s="207">
        <f t="shared" si="55"/>
        <v>0</v>
      </c>
      <c r="CN194" s="208">
        <f>SUMIFS(領用表!$L:$L,領用表!$A:$A,CN$2,領用表!$E:$E,B194)</f>
        <v>0</v>
      </c>
      <c r="CO194" s="206">
        <f>SUMIFS(領用表!$L:$L,領用表!$E:$E,$B194,領用表!$B:$B,CN$2&amp;CO$2)</f>
        <v>0</v>
      </c>
      <c r="CP194" s="206">
        <f>SUMIFS(領用表!$L:$L,領用表!$E:$E,$B194,領用表!$B:$B,$CN$2&amp;CP$2)</f>
        <v>0</v>
      </c>
      <c r="CQ194" s="206">
        <f>SUMIFS(領用表!$L:$L,領用表!$E:$E,$B194,領用表!$B:$B,$CN$2&amp;CQ$2)</f>
        <v>0</v>
      </c>
      <c r="CR194" s="296">
        <f>SUMIFS(領用表!$L:$L,領用表!$E:$E,$B194,領用表!$B:$B,$CN$2&amp;CR$2)</f>
        <v>0</v>
      </c>
      <c r="CS194" s="208">
        <f>SUMIFS(領用表!$L:$L,領用表!$A:$A,CS$2,領用表!$E:$E,B194)</f>
        <v>0</v>
      </c>
      <c r="CT194" s="206">
        <f>SUMIFS(領用表!$L:$L,領用表!$E:$E,$B194,領用表!$B:$B,CS$2&amp;CT$2)</f>
        <v>0</v>
      </c>
      <c r="CU194" s="206">
        <f>SUMIFS(領用表!$L:$L,領用表!$E:$E,$B194,領用表!$B:$B,$CS$2&amp;CU$2)</f>
        <v>0</v>
      </c>
      <c r="CV194" s="206">
        <f>SUMIFS(領用表!$L:$L,領用表!$E:$E,$B194,領用表!$B:$B,$CS$2&amp;CV$2)</f>
        <v>0</v>
      </c>
      <c r="CW194" s="206">
        <f>SUMIFS(領用表!$L:$L,領用表!$E:$E,$B194,領用表!$B:$B,$CS$2&amp;CW$2)</f>
        <v>0</v>
      </c>
      <c r="CX194" s="206">
        <f>SUMIFS(領用表!$L:$L,領用表!$E:$E,$B194,領用表!$B:$B,$CS$2&amp;CX$2)</f>
        <v>0</v>
      </c>
      <c r="CY194" s="208">
        <f>SUMIFS(領用表!$L:$L,領用表!$A:$A,CY$2,領用表!$E:$E,B194)</f>
        <v>0</v>
      </c>
      <c r="CZ194" s="296">
        <f>SUMIFS(領用表!$L:$L,領用表!$E:$E,$B194,領用表!$B:$B,CY$2&amp;CZ$2)</f>
        <v>0</v>
      </c>
      <c r="DA194" s="296">
        <f>SUMIFS(領用表!$L:$L,領用表!$E:$E,$B194,領用表!$B:$B,$CY$2&amp;DA$2)</f>
        <v>0</v>
      </c>
      <c r="DB194" s="296">
        <f>SUMIFS(領用表!$L:$L,領用表!$E:$E,$B194,領用表!$B:$B,$CY$2&amp;DB$2)</f>
        <v>0</v>
      </c>
      <c r="DC194" s="296">
        <f>SUMIFS(領用表!$L:$L,領用表!$E:$E,$B194,領用表!$B:$B,$CY$2&amp;DC$2)</f>
        <v>0</v>
      </c>
      <c r="DD194" s="296">
        <f>SUMIFS(領用表!$L:$L,領用表!$E:$E,$B194,領用表!$B:$B,$CY$2&amp;DD$2)</f>
        <v>0</v>
      </c>
      <c r="DE194" s="208">
        <f>SUMIFS(領用表!$L:$L,領用表!$A:$A,DE$2,領用表!$E:$E,B194)</f>
        <v>0</v>
      </c>
      <c r="DF194" s="296">
        <f>SUMIFS(領用表!$L:$L,領用表!$E:$E,$B194,領用表!$B:$B,DE$2&amp;DF$2)</f>
        <v>0</v>
      </c>
      <c r="DG194" s="296">
        <f>SUMIFS(領用表!$L:$L,領用表!$E:$E,$B194,領用表!$B:$B,$DE$2&amp;DG$2)</f>
        <v>0</v>
      </c>
      <c r="DH194" s="296">
        <f>SUMIFS(領用表!$L:$L,領用表!$E:$E,$B194,領用表!$B:$B,$DE$2&amp;DH$2)</f>
        <v>0</v>
      </c>
      <c r="DI194" s="296">
        <f>SUMIFS(領用表!$L:$L,領用表!$E:$E,$B194,領用表!$B:$B,$DE$2&amp;DI$2)</f>
        <v>0</v>
      </c>
      <c r="DJ194" s="296">
        <f>SUMIFS(領用表!$L:$L,領用表!$E:$E,$B194,領用表!$B:$B,$DE$2&amp;DJ$2)</f>
        <v>0</v>
      </c>
      <c r="DK194" s="208">
        <f>SUMIFS(領用表!$L:$L,領用表!$A:$A,DK$2,領用表!$E:$E,$B194)</f>
        <v>0</v>
      </c>
      <c r="DL194" s="296">
        <f>SUMIFS(領用表!$L:$L,領用表!$E:$E,$B194,領用表!$B:$B,DK$2&amp;DL$2)</f>
        <v>0</v>
      </c>
      <c r="DM194" s="296">
        <f>SUMIFS(領用表!$L:$L,領用表!$E:$E,$B194,領用表!$B:$B,$CY$2&amp;DM$2)</f>
        <v>0</v>
      </c>
      <c r="DN194" s="296">
        <f>SUMIFS(領用表!$L:$L,領用表!$E:$E,$B194,領用表!$B:$B,$DK$2&amp;DN$2)</f>
        <v>0</v>
      </c>
      <c r="DO194" s="296">
        <f>SUMIFS(領用表!$L:$L,領用表!$E:$E,$B194,領用表!$B:$B,$DK$2&amp;DO$2)</f>
        <v>0</v>
      </c>
      <c r="DP194" s="296">
        <f>SUMIFS(領用表!$L:$L,領用表!$E:$E,$B194,領用表!$B:$B,$DK$2&amp;DP$2)</f>
        <v>0</v>
      </c>
      <c r="DQ194" s="330">
        <f t="shared" si="56"/>
        <v>0</v>
      </c>
      <c r="DR194" s="330">
        <f t="shared" si="57"/>
        <v>0</v>
      </c>
      <c r="DS194" s="330">
        <f t="shared" si="48"/>
        <v>0</v>
      </c>
      <c r="DT194" s="330">
        <v>0</v>
      </c>
      <c r="DU194" s="330">
        <v>0</v>
      </c>
      <c r="DV194" s="330">
        <v>0</v>
      </c>
      <c r="DW194" s="330">
        <v>0</v>
      </c>
      <c r="DX194" s="305"/>
      <c r="DY194" s="342"/>
      <c r="DZ194" s="341"/>
      <c r="EA194" s="341"/>
      <c r="ED194" s="118">
        <f>IFERROR(VLOOKUP(A194,站前4樓!A:BF,57,0),0)</f>
        <v>0</v>
      </c>
      <c r="EE194" s="213">
        <f>IFERROR(VLOOKUP(A194,站前11樓!A:BE,57,0),0)</f>
        <v>0</v>
      </c>
      <c r="EF194" s="118">
        <f>IFERROR(VLOOKUP(A194,忠孝7樓!A:N,57,0),0)</f>
        <v>0</v>
      </c>
      <c r="EG194" s="118">
        <f>IFERROR(VLOOKUP(A194,忠孝國際醫學3樓!A:L,57,0),0)</f>
        <v>0</v>
      </c>
      <c r="EH194" s="118">
        <f t="shared" si="51"/>
        <v>0</v>
      </c>
    </row>
    <row r="195" spans="1:138" s="118" customFormat="1" ht="15">
      <c r="A195" s="136" t="s">
        <v>225</v>
      </c>
      <c r="C195" s="136" t="s">
        <v>594</v>
      </c>
      <c r="D195" s="285"/>
      <c r="E195" s="198" t="s">
        <v>15</v>
      </c>
      <c r="F195" s="225">
        <f>SUMIF(站前4樓!B:B,B195,站前4樓!F:F)</f>
        <v>0</v>
      </c>
      <c r="G195" s="225">
        <f>SUMIF(站前11樓!B:B,B195,站前11樓!F:F)</f>
        <v>0</v>
      </c>
      <c r="H195" s="225">
        <f>SUMIF(忠孝7樓!B:B,B195,忠孝7樓!G:G)</f>
        <v>0</v>
      </c>
      <c r="I195" s="225">
        <f>SUMIF(忠孝國際醫學3樓!B:B,B195,忠孝國際醫學3樓!G:G)</f>
        <v>0</v>
      </c>
      <c r="J195" s="225">
        <f>SUMIF(忠孝健康7樓!B:B,B195,忠孝健康7樓!G:G)</f>
        <v>0</v>
      </c>
      <c r="BC195" s="203">
        <f>SUMIFS(領用表!$L:$L,領用表!$A:$A,BC$2,領用表!$E:$E,B195)</f>
        <v>0</v>
      </c>
      <c r="BD195" s="296">
        <f>SUMIFS(領用表!$L:$L,領用表!$E:$E,$B195,領用表!$B:$B,BC$2&amp;BD$2)</f>
        <v>0</v>
      </c>
      <c r="BE195" s="296">
        <f>SUMIFS(領用表!$L:$L,領用表!$E:$E,$B195,領用表!$B:$B,$BC$2&amp;BE$2)</f>
        <v>0</v>
      </c>
      <c r="BF195" s="296">
        <f>SUMIFS(領用表!$L:$L,領用表!$E:$E,$B195,領用表!$B:$B,$BC$2&amp;BF$2)</f>
        <v>0</v>
      </c>
      <c r="BG195" s="296">
        <f>SUMIFS(領用表!$L:$L,領用表!$E:$E,$B195,領用表!$B:$B,$BC$2&amp;BG$2)</f>
        <v>0</v>
      </c>
      <c r="BH195" s="203">
        <f>SUMIFS(領用表!$L:$L,領用表!$A:$A,BH$2,領用表!$E:$E,B195)</f>
        <v>0</v>
      </c>
      <c r="BI195" s="260">
        <f>SUMIFS(領用表!$L:$L,領用表!$E:$E,$B195,領用表!$B:$B,BH$2&amp;BI$2)</f>
        <v>0</v>
      </c>
      <c r="BJ195" s="260">
        <f>SUMIFS(領用表!$L:$L,領用表!$E:$E,$B195,領用表!$B:$B,$BH$2&amp;BJ$2)</f>
        <v>0</v>
      </c>
      <c r="BK195" s="260">
        <f>SUMIFS(領用表!$L:$L,領用表!$E:$E,$B195,領用表!$B:$B,$BH$2&amp;BK$2)</f>
        <v>0</v>
      </c>
      <c r="BL195" s="260">
        <f>SUMIFS(領用表!$L:$L,領用表!$E:$E,$B195,領用表!$B:$B,$BH$2&amp;BL$2)</f>
        <v>0</v>
      </c>
      <c r="BM195" s="203">
        <f>SUMIFS(領用表!$L:$L,領用表!$A:$A,BM$2,領用表!$E:$E,B195)</f>
        <v>0</v>
      </c>
      <c r="BN195" s="206">
        <f>SUMIFS(領用表!$L:$L,領用表!$E:$E,$B195,領用表!$B:$B,BM$2&amp;BN$2)</f>
        <v>0</v>
      </c>
      <c r="BO195" s="206">
        <f>SUMIFS(領用表!$L:$L,領用表!$E:$E,$B195,領用表!$B:$B,$BM$2&amp;BO$2)</f>
        <v>0</v>
      </c>
      <c r="BP195" s="288">
        <f>SUMIFS(領用表!$L:$L,領用表!$E:$E,$B195,領用表!$B:$B,$BM$2&amp;BP$2)</f>
        <v>0</v>
      </c>
      <c r="BQ195" s="287">
        <f>SUMIFS(領用表!$L:$L,領用表!$E:$E,$B195,領用表!$B:$B,$BM$2&amp;BQ$2)</f>
        <v>0</v>
      </c>
      <c r="BR195" s="203">
        <f>SUMIFS(領用表!$L:$L,領用表!$A:$A,BR$2,領用表!$E:$E,B195)</f>
        <v>0</v>
      </c>
      <c r="BS195" s="260">
        <f>SUMIFS(領用表!$L:$L,領用表!$E:$E,$B195,領用表!$B:$B,BR$2&amp;BS$2)</f>
        <v>0</v>
      </c>
      <c r="BT195" s="260">
        <f>SUMIFS(領用表!$L:$L,領用表!$E:$E,$B195,領用表!$B:$B,$BR$2&amp;BT$2)</f>
        <v>0</v>
      </c>
      <c r="BU195" s="260">
        <f>SUMIFS(領用表!$L:$L,領用表!$E:$E,$B195,領用表!$B:$B,$BR$2&amp;BU$2)</f>
        <v>0</v>
      </c>
      <c r="BV195" s="220">
        <f>SUMIFS(領用表!$L:$L,領用表!$E:$E,$B195,領用表!$B:$B,$BR$2&amp;BV$2)</f>
        <v>0</v>
      </c>
      <c r="BW195" s="208">
        <f>SUMIFS(領用表!$L:$L,領用表!$A:$A,BW$2,領用表!$E:$E,B195)</f>
        <v>0</v>
      </c>
      <c r="BX195" s="296">
        <f>SUMIFS(領用表!$L:$L,領用表!$E:$E,$B195,領用表!$B:$B,BW$2&amp;BX$2)</f>
        <v>0</v>
      </c>
      <c r="BY195" s="296">
        <f>SUMIFS(領用表!$L:$L,領用表!$E:$E,$B195,領用表!$B:$B,$BW$2&amp;BY$2)</f>
        <v>0</v>
      </c>
      <c r="BZ195" s="296">
        <f>SUMIFS(領用表!$L:$L,領用表!$E:$E,$B195,領用表!$B:$B,$BW$2&amp;BZ$2)</f>
        <v>0</v>
      </c>
      <c r="CA195" s="296">
        <f>SUMIFS(領用表!$L:$L,領用表!$E:$E,$B195,領用表!$B:$B,$BW$2&amp;CA$2)</f>
        <v>0</v>
      </c>
      <c r="CB195" s="208">
        <f>SUMIFS(領用表!$L:$L,領用表!$A:$A,CB$2,領用表!$E:$E,B195)</f>
        <v>0</v>
      </c>
      <c r="CC195" s="296">
        <f>SUMIFS(領用表!$L:$L,領用表!$E:$E,$B195,領用表!$B:$B,CB$2&amp;CC$2)</f>
        <v>0</v>
      </c>
      <c r="CD195" s="296">
        <f>SUMIFS(領用表!$L:$L,領用表!$E:$E,$B195,領用表!$B:$B,$CB$2&amp;CD$2)</f>
        <v>0</v>
      </c>
      <c r="CE195" s="296">
        <f>SUMIFS(領用表!$L:$L,領用表!$E:$E,$B195,領用表!$B:$B,$CB$2&amp;CE$2)</f>
        <v>0</v>
      </c>
      <c r="CF195" s="296">
        <f>SUMIFS(領用表!$L:$L,領用表!$E:$E,$B195,領用表!$B:$B,$CB$2&amp;CF$2)</f>
        <v>0</v>
      </c>
      <c r="CG195" s="335">
        <f>SUMIFS(領用表!$L:$L,領用表!$A:$A,CG$2,領用表!$E:$E,B195)</f>
        <v>0</v>
      </c>
      <c r="CH195" s="296">
        <f>SUMIFS(領用表!$L:$L,領用表!$E:$E,$B195,領用表!$B:$B,CG$2&amp;CH$2)</f>
        <v>0</v>
      </c>
      <c r="CI195" s="296">
        <f>SUMIFS(領用表!$L:$L,領用表!$E:$E,$B195,領用表!$B:$B,CG$2&amp;CI$2)</f>
        <v>0</v>
      </c>
      <c r="CJ195" s="296">
        <f>SUMIFS(領用表!$L:$L,領用表!$E:$E,$B195,領用表!$B:$B,CG$2&amp;CJ$2)</f>
        <v>0</v>
      </c>
      <c r="CK195" s="296">
        <f>SUMIFS(領用表!$L:$L,領用表!$E:$E,$B195,領用表!$B:$B,$CG$2&amp;CK$2)</f>
        <v>0</v>
      </c>
      <c r="CL195" s="207">
        <f t="shared" si="54"/>
        <v>0</v>
      </c>
      <c r="CM195" s="207">
        <f t="shared" si="55"/>
        <v>0</v>
      </c>
      <c r="CN195" s="208">
        <f>SUMIFS(領用表!$L:$L,領用表!$A:$A,CN$2,領用表!$E:$E,B195)</f>
        <v>0</v>
      </c>
      <c r="CO195" s="206">
        <f>SUMIFS(領用表!$L:$L,領用表!$E:$E,$B195,領用表!$B:$B,CN$2&amp;CO$2)</f>
        <v>0</v>
      </c>
      <c r="CP195" s="206">
        <f>SUMIFS(領用表!$L:$L,領用表!$E:$E,$B195,領用表!$B:$B,$CN$2&amp;CP$2)</f>
        <v>0</v>
      </c>
      <c r="CQ195" s="206">
        <f>SUMIFS(領用表!$L:$L,領用表!$E:$E,$B195,領用表!$B:$B,$CN$2&amp;CQ$2)</f>
        <v>0</v>
      </c>
      <c r="CR195" s="296">
        <f>SUMIFS(領用表!$L:$L,領用表!$E:$E,$B195,領用表!$B:$B,$CN$2&amp;CR$2)</f>
        <v>0</v>
      </c>
      <c r="CS195" s="208">
        <f>SUMIFS(領用表!$L:$L,領用表!$A:$A,CS$2,領用表!$E:$E,B195)</f>
        <v>0</v>
      </c>
      <c r="CT195" s="206">
        <f>SUMIFS(領用表!$L:$L,領用表!$E:$E,$B195,領用表!$B:$B,CS$2&amp;CT$2)</f>
        <v>0</v>
      </c>
      <c r="CU195" s="206">
        <f>SUMIFS(領用表!$L:$L,領用表!$E:$E,$B195,領用表!$B:$B,$CS$2&amp;CU$2)</f>
        <v>0</v>
      </c>
      <c r="CV195" s="206">
        <f>SUMIFS(領用表!$L:$L,領用表!$E:$E,$B195,領用表!$B:$B,$CS$2&amp;CV$2)</f>
        <v>0</v>
      </c>
      <c r="CW195" s="206">
        <f>SUMIFS(領用表!$L:$L,領用表!$E:$E,$B195,領用表!$B:$B,$CS$2&amp;CW$2)</f>
        <v>0</v>
      </c>
      <c r="CX195" s="206">
        <f>SUMIFS(領用表!$L:$L,領用表!$E:$E,$B195,領用表!$B:$B,$CS$2&amp;CX$2)</f>
        <v>0</v>
      </c>
      <c r="CY195" s="208">
        <f>SUMIFS(領用表!$L:$L,領用表!$A:$A,CY$2,領用表!$E:$E,B195)</f>
        <v>0</v>
      </c>
      <c r="CZ195" s="296">
        <f>SUMIFS(領用表!$L:$L,領用表!$E:$E,$B195,領用表!$B:$B,CY$2&amp;CZ$2)</f>
        <v>0</v>
      </c>
      <c r="DA195" s="296">
        <f>SUMIFS(領用表!$L:$L,領用表!$E:$E,$B195,領用表!$B:$B,$CY$2&amp;DA$2)</f>
        <v>0</v>
      </c>
      <c r="DB195" s="296">
        <f>SUMIFS(領用表!$L:$L,領用表!$E:$E,$B195,領用表!$B:$B,$CY$2&amp;DB$2)</f>
        <v>0</v>
      </c>
      <c r="DC195" s="296">
        <f>SUMIFS(領用表!$L:$L,領用表!$E:$E,$B195,領用表!$B:$B,$CY$2&amp;DC$2)</f>
        <v>0</v>
      </c>
      <c r="DD195" s="296">
        <f>SUMIFS(領用表!$L:$L,領用表!$E:$E,$B195,領用表!$B:$B,$CY$2&amp;DD$2)</f>
        <v>0</v>
      </c>
      <c r="DE195" s="208">
        <f>SUMIFS(領用表!$L:$L,領用表!$A:$A,DE$2,領用表!$E:$E,B195)</f>
        <v>0</v>
      </c>
      <c r="DF195" s="296">
        <f>SUMIFS(領用表!$L:$L,領用表!$E:$E,$B195,領用表!$B:$B,DE$2&amp;DF$2)</f>
        <v>0</v>
      </c>
      <c r="DG195" s="296">
        <f>SUMIFS(領用表!$L:$L,領用表!$E:$E,$B195,領用表!$B:$B,$DE$2&amp;DG$2)</f>
        <v>0</v>
      </c>
      <c r="DH195" s="296">
        <f>SUMIFS(領用表!$L:$L,領用表!$E:$E,$B195,領用表!$B:$B,$DE$2&amp;DH$2)</f>
        <v>0</v>
      </c>
      <c r="DI195" s="296">
        <f>SUMIFS(領用表!$L:$L,領用表!$E:$E,$B195,領用表!$B:$B,$DE$2&amp;DI$2)</f>
        <v>0</v>
      </c>
      <c r="DJ195" s="296">
        <f>SUMIFS(領用表!$L:$L,領用表!$E:$E,$B195,領用表!$B:$B,$DE$2&amp;DJ$2)</f>
        <v>0</v>
      </c>
      <c r="DK195" s="208">
        <f>SUMIFS(領用表!$L:$L,領用表!$A:$A,DK$2,領用表!$E:$E,$B195)</f>
        <v>0</v>
      </c>
      <c r="DL195" s="296">
        <f>SUMIFS(領用表!$L:$L,領用表!$E:$E,$B195,領用表!$B:$B,DK$2&amp;DL$2)</f>
        <v>0</v>
      </c>
      <c r="DM195" s="296">
        <f>SUMIFS(領用表!$L:$L,領用表!$E:$E,$B195,領用表!$B:$B,$CY$2&amp;DM$2)</f>
        <v>0</v>
      </c>
      <c r="DN195" s="296">
        <f>SUMIFS(領用表!$L:$L,領用表!$E:$E,$B195,領用表!$B:$B,$DK$2&amp;DN$2)</f>
        <v>0</v>
      </c>
      <c r="DO195" s="296">
        <f>SUMIFS(領用表!$L:$L,領用表!$E:$E,$B195,領用表!$B:$B,$DK$2&amp;DO$2)</f>
        <v>0</v>
      </c>
      <c r="DP195" s="296">
        <f>SUMIFS(領用表!$L:$L,領用表!$E:$E,$B195,領用表!$B:$B,$DK$2&amp;DP$2)</f>
        <v>0</v>
      </c>
      <c r="DQ195" s="330">
        <f t="shared" si="56"/>
        <v>0</v>
      </c>
      <c r="DR195" s="330">
        <f t="shared" si="57"/>
        <v>0</v>
      </c>
      <c r="DS195" s="330">
        <f t="shared" si="48"/>
        <v>0</v>
      </c>
      <c r="DT195" s="330">
        <v>0</v>
      </c>
      <c r="DU195" s="330">
        <v>0</v>
      </c>
      <c r="DV195" s="330">
        <v>0</v>
      </c>
      <c r="DW195" s="330">
        <v>0</v>
      </c>
      <c r="DX195" s="305"/>
      <c r="DY195" s="342"/>
      <c r="DZ195" s="341"/>
      <c r="EA195" s="341"/>
      <c r="ED195" s="118">
        <f>IFERROR(VLOOKUP(A195,站前4樓!A:BF,57,0),0)</f>
        <v>0</v>
      </c>
      <c r="EE195" s="213">
        <f>IFERROR(VLOOKUP(A195,站前11樓!A:BE,57,0),0)</f>
        <v>0</v>
      </c>
      <c r="EF195" s="118">
        <f>IFERROR(VLOOKUP(A195,忠孝7樓!A:N,57,0),0)</f>
        <v>0</v>
      </c>
      <c r="EG195" s="118">
        <f>IFERROR(VLOOKUP(A195,忠孝國際醫學3樓!A:L,57,0),0)</f>
        <v>0</v>
      </c>
      <c r="EH195" s="118">
        <f t="shared" si="51"/>
        <v>0</v>
      </c>
    </row>
    <row r="196" spans="1:138">
      <c r="B196" s="118">
        <v>6080011</v>
      </c>
      <c r="C196" s="136" t="s">
        <v>887</v>
      </c>
      <c r="D196" s="11"/>
      <c r="E196" s="198" t="s">
        <v>15</v>
      </c>
      <c r="F196" s="225">
        <f>SUMIF(站前4樓!B:B,B196,站前4樓!F:F)</f>
        <v>0</v>
      </c>
      <c r="G196" s="225">
        <f>SUMIF(站前11樓!B:B,B196,站前11樓!F:F)</f>
        <v>450</v>
      </c>
      <c r="H196" s="225">
        <f>SUMIF(忠孝7樓!B:B,B196,忠孝7樓!G:G)</f>
        <v>0</v>
      </c>
      <c r="I196" s="225">
        <f>SUMIF(忠孝國際醫學3樓!B:B,B196,忠孝國際醫學3樓!G:G)</f>
        <v>0</v>
      </c>
      <c r="J196" s="225">
        <f>SUMIF(忠孝健康7樓!B:B,B196,忠孝健康7樓!G:G)</f>
        <v>0</v>
      </c>
      <c r="BD196" s="11"/>
      <c r="BE196" s="11"/>
      <c r="BF196" s="11"/>
      <c r="BG196" s="11"/>
      <c r="BK196" s="11"/>
      <c r="BL196" s="11"/>
      <c r="BP196" s="12"/>
      <c r="BQ196" s="400"/>
      <c r="CB196" s="180"/>
      <c r="CC196" s="180"/>
      <c r="CD196" s="180"/>
      <c r="CE196" s="180"/>
      <c r="CF196" s="180"/>
      <c r="CG196" s="180"/>
      <c r="CH196" s="180"/>
      <c r="CI196" s="180"/>
      <c r="CJ196" s="180"/>
      <c r="CK196" s="180"/>
      <c r="CN196" s="208">
        <f>SUMIFS(領用表!$L:$L,領用表!$A:$A,CN$2,領用表!$E:$E,B196)</f>
        <v>0</v>
      </c>
      <c r="CO196" s="206">
        <f>SUMIFS(領用表!$L:$L,領用表!$E:$E,$B196,領用表!$B:$B,CN$2&amp;CO$2)</f>
        <v>0</v>
      </c>
      <c r="CP196" s="206">
        <f>SUMIFS(領用表!$L:$L,領用表!$E:$E,$B196,領用表!$B:$B,$CN$2&amp;CP$2)</f>
        <v>0</v>
      </c>
      <c r="CQ196" s="206">
        <f>SUMIFS(領用表!$L:$L,領用表!$E:$E,$B196,領用表!$B:$B,$CN$2&amp;CQ$2)</f>
        <v>0</v>
      </c>
      <c r="CR196" s="296">
        <f>SUMIFS(領用表!$L:$L,領用表!$E:$E,$B196,領用表!$B:$B,$CN$2&amp;CR$2)</f>
        <v>0</v>
      </c>
      <c r="CS196" s="208">
        <f>SUMIFS(領用表!$L:$L,領用表!$A:$A,CS$2,領用表!$E:$E,B196)</f>
        <v>0</v>
      </c>
      <c r="CT196" s="180"/>
      <c r="CU196" s="180"/>
      <c r="CV196" s="180"/>
      <c r="CW196" s="180"/>
      <c r="CX196" s="180"/>
      <c r="CY196" s="208">
        <f>SUMIFS(領用表!$L:$L,領用表!$A:$A,CY$2,領用表!$E:$E,B196)</f>
        <v>1657</v>
      </c>
      <c r="CZ196" s="296">
        <f>SUMIFS(領用表!$L:$L,領用表!$E:$E,$B196,領用表!$B:$B,CY$2&amp;CZ$2)</f>
        <v>0</v>
      </c>
      <c r="DA196" s="296">
        <f>SUMIFS(領用表!$L:$L,領用表!$E:$E,$B196,領用表!$B:$B,$CY$2&amp;DA$2)</f>
        <v>0</v>
      </c>
      <c r="DB196" s="296">
        <f>SUMIFS(領用表!$L:$L,領用表!$E:$E,$B196,領用表!$B:$B,$CY$2&amp;DB$2)</f>
        <v>1657</v>
      </c>
      <c r="DC196" s="296">
        <f>SUMIFS(領用表!$L:$L,領用表!$E:$E,$B196,領用表!$B:$B,$CY$2&amp;DC$2)</f>
        <v>0</v>
      </c>
      <c r="DD196" s="296">
        <f>SUMIFS(領用表!$L:$L,領用表!$E:$E,$B196,領用表!$B:$B,$CY$2&amp;DD$2)</f>
        <v>0</v>
      </c>
      <c r="DE196" s="208">
        <f>SUMIFS(領用表!$L:$L,領用表!$A:$A,DE$2,領用表!$E:$E,B196)</f>
        <v>2000</v>
      </c>
      <c r="DF196" s="296">
        <f>SUMIFS(領用表!$L:$L,領用表!$E:$E,$B196,領用表!$B:$B,DE$2&amp;DF$2)</f>
        <v>0</v>
      </c>
      <c r="DG196" s="296">
        <f>SUMIFS(領用表!$L:$L,領用表!$E:$E,$B196,領用表!$B:$B,$DE$2&amp;DG$2)</f>
        <v>0</v>
      </c>
      <c r="DH196" s="296">
        <f>SUMIFS(領用表!$L:$L,領用表!$E:$E,$B196,領用表!$B:$B,$DE$2&amp;DH$2)</f>
        <v>2000</v>
      </c>
      <c r="DI196" s="296">
        <f>SUMIFS(領用表!$L:$L,領用表!$E:$E,$B196,領用表!$B:$B,$DE$2&amp;DI$2)</f>
        <v>0</v>
      </c>
      <c r="DJ196" s="296">
        <f>SUMIFS(領用表!$L:$L,領用表!$E:$E,$B196,領用表!$B:$B,$DE$2&amp;DJ$2)</f>
        <v>0</v>
      </c>
      <c r="DK196" s="208">
        <f>SUMIFS(領用表!$L:$L,領用表!$A:$A,DK$2,領用表!$E:$E,$B196)</f>
        <v>700</v>
      </c>
      <c r="DL196" s="296">
        <f>SUMIFS(領用表!$L:$L,領用表!$E:$E,$B196,領用表!$B:$B,DK$2&amp;DL$2)</f>
        <v>0</v>
      </c>
      <c r="DM196" s="296">
        <f>SUMIFS(領用表!$L:$L,領用表!$E:$E,$B196,領用表!$B:$B,$CY$2&amp;DM$2)</f>
        <v>0</v>
      </c>
      <c r="DN196" s="296">
        <f>SUMIFS(領用表!$L:$L,領用表!$E:$E,$B196,領用表!$B:$B,$DK$2&amp;DN$2)</f>
        <v>700</v>
      </c>
      <c r="DO196" s="296">
        <f>SUMIFS(領用表!$L:$L,領用表!$E:$E,$B196,領用表!$B:$B,$DK$2&amp;DO$2)</f>
        <v>0</v>
      </c>
      <c r="DP196" s="296">
        <f>SUMIFS(領用表!$L:$L,領用表!$E:$E,$B196,領用表!$B:$B,$DK$2&amp;DP$2)</f>
        <v>0</v>
      </c>
      <c r="DQ196" s="330">
        <f t="shared" si="56"/>
        <v>4357</v>
      </c>
      <c r="DR196" s="412">
        <f t="shared" si="57"/>
        <v>871.4</v>
      </c>
      <c r="DS196" s="330">
        <f t="shared" ref="DS196:DS197" si="58">SUM(DT196:DW196)</f>
        <v>0</v>
      </c>
      <c r="DT196" s="180"/>
      <c r="DU196" s="180"/>
      <c r="DV196" s="180"/>
      <c r="DW196" s="180"/>
    </row>
    <row r="197" spans="1:138">
      <c r="B197" s="118">
        <v>6080012</v>
      </c>
      <c r="C197" s="136" t="s">
        <v>890</v>
      </c>
      <c r="D197" s="11"/>
      <c r="E197" s="79" t="s">
        <v>891</v>
      </c>
      <c r="F197" s="225">
        <f>SUMIF(站前4樓!B:B,B197,站前4樓!F:F)</f>
        <v>0</v>
      </c>
      <c r="G197" s="225">
        <f>SUMIF(站前11樓!B:B,B197,站前11樓!F:F)</f>
        <v>50</v>
      </c>
      <c r="H197" s="225">
        <f>SUMIF(忠孝7樓!B:B,B197,忠孝7樓!G:G)</f>
        <v>3100</v>
      </c>
      <c r="I197" s="225">
        <f>SUMIF(忠孝國際醫學3樓!B:B,B197,忠孝國際醫學3樓!G:G)</f>
        <v>0</v>
      </c>
      <c r="J197" s="225">
        <f>SUMIF(忠孝健康7樓!B:B,B197,忠孝健康7樓!G:G)</f>
        <v>1100</v>
      </c>
      <c r="BD197" s="11"/>
      <c r="BE197" s="11"/>
      <c r="BF197" s="11"/>
      <c r="BG197" s="11"/>
      <c r="BK197" s="11"/>
      <c r="BL197" s="11"/>
      <c r="BP197" s="12"/>
      <c r="BQ197" s="400"/>
      <c r="CN197" s="208">
        <f>SUMIFS(領用表!$L:$L,領用表!$A:$A,CN$2,領用表!$E:$E,B197)</f>
        <v>0</v>
      </c>
      <c r="CO197" s="206">
        <f>SUMIFS(領用表!$L:$L,領用表!$E:$E,$B197,領用表!$B:$B,CN$2&amp;CO$2)</f>
        <v>0</v>
      </c>
      <c r="CP197" s="206">
        <f>SUMIFS(領用表!$L:$L,領用表!$E:$E,$B197,領用表!$B:$B,$CN$2&amp;CP$2)</f>
        <v>0</v>
      </c>
      <c r="CQ197" s="206">
        <f>SUMIFS(領用表!$L:$L,領用表!$E:$E,$B197,領用表!$B:$B,$CN$2&amp;CQ$2)</f>
        <v>0</v>
      </c>
      <c r="CR197" s="296">
        <f>SUMIFS(領用表!$L:$L,領用表!$E:$E,$B197,領用表!$B:$B,$CN$2&amp;CR$2)</f>
        <v>0</v>
      </c>
      <c r="CS197" s="208">
        <f>SUMIFS(領用表!$L:$L,領用表!$A:$A,CS$2,領用表!$E:$E,B197)</f>
        <v>0</v>
      </c>
      <c r="CY197" s="208">
        <f>SUMIFS(領用表!$L:$L,領用表!$A:$A,CY$2,領用表!$E:$E,B197)</f>
        <v>50</v>
      </c>
      <c r="CZ197" s="296">
        <f>SUMIFS(領用表!$L:$L,領用表!$E:$E,$B197,領用表!$B:$B,CY$2&amp;CZ$2)</f>
        <v>0</v>
      </c>
      <c r="DA197" s="296">
        <f>SUMIFS(領用表!$L:$L,領用表!$E:$E,$B197,領用表!$B:$B,$CY$2&amp;DA$2)</f>
        <v>0</v>
      </c>
      <c r="DB197" s="296">
        <f>SUMIFS(領用表!$L:$L,領用表!$E:$E,$B197,領用表!$B:$B,$CY$2&amp;DB$2)</f>
        <v>50</v>
      </c>
      <c r="DC197" s="296">
        <f>SUMIFS(領用表!$L:$L,領用表!$E:$E,$B197,領用表!$B:$B,$CY$2&amp;DC$2)</f>
        <v>0</v>
      </c>
      <c r="DD197" s="296">
        <f>SUMIFS(領用表!$L:$L,領用表!$E:$E,$B197,領用表!$B:$B,$CY$2&amp;DD$2)</f>
        <v>0</v>
      </c>
      <c r="DE197" s="208">
        <f>SUMIFS(領用表!$L:$L,領用表!$A:$A,DE$2,領用表!$E:$E,B197)</f>
        <v>1375</v>
      </c>
      <c r="DF197" s="296">
        <f>SUMIFS(領用表!$L:$L,領用表!$E:$E,$B197,領用表!$B:$B,DE$2&amp;DF$2)</f>
        <v>0</v>
      </c>
      <c r="DG197" s="296">
        <f>SUMIFS(領用表!$L:$L,領用表!$E:$E,$B197,領用表!$B:$B,$DE$2&amp;DG$2)</f>
        <v>0</v>
      </c>
      <c r="DH197" s="296">
        <f>SUMIFS(領用表!$L:$L,領用表!$E:$E,$B197,領用表!$B:$B,$DE$2&amp;DH$2)</f>
        <v>1125</v>
      </c>
      <c r="DI197" s="296">
        <f>SUMIFS(領用表!$L:$L,領用表!$E:$E,$B197,領用表!$B:$B,$DE$2&amp;DI$2)</f>
        <v>0</v>
      </c>
      <c r="DJ197" s="296">
        <f>SUMIFS(領用表!$L:$L,領用表!$E:$E,$B197,領用表!$B:$B,$DE$2&amp;DJ$2)</f>
        <v>250</v>
      </c>
      <c r="DK197" s="208">
        <f>SUMIFS(領用表!$L:$L,領用表!$A:$A,DK$2,領用表!$E:$E,$B197)</f>
        <v>1650</v>
      </c>
      <c r="DL197" s="296">
        <f>SUMIFS(領用表!$L:$L,領用表!$E:$E,$B197,領用表!$B:$B,DK$2&amp;DL$2)</f>
        <v>0</v>
      </c>
      <c r="DM197" s="296">
        <f>SUMIFS(領用表!$L:$L,領用表!$E:$E,$B197,領用表!$B:$B,$CY$2&amp;DM$2)</f>
        <v>0</v>
      </c>
      <c r="DN197" s="296">
        <f>SUMIFS(領用表!$L:$L,領用表!$E:$E,$B197,領用表!$B:$B,$DK$2&amp;DN$2)</f>
        <v>1000</v>
      </c>
      <c r="DO197" s="296">
        <f>SUMIFS(領用表!$L:$L,領用表!$E:$E,$B197,領用表!$B:$B,$DK$2&amp;DO$2)</f>
        <v>0</v>
      </c>
      <c r="DP197" s="296">
        <f>SUMIFS(領用表!$L:$L,領用表!$E:$E,$B197,領用表!$B:$B,$DK$2&amp;DP$2)</f>
        <v>650</v>
      </c>
      <c r="DQ197" s="330">
        <f t="shared" si="56"/>
        <v>3075</v>
      </c>
      <c r="DR197" s="412">
        <f t="shared" si="57"/>
        <v>615</v>
      </c>
      <c r="DS197" s="330">
        <f t="shared" si="58"/>
        <v>0</v>
      </c>
    </row>
    <row r="198" spans="1:138">
      <c r="D198" s="11"/>
      <c r="E198" s="79"/>
      <c r="F198" s="85"/>
      <c r="G198" s="85"/>
      <c r="H198" s="85"/>
      <c r="I198" s="85"/>
      <c r="J198" s="85"/>
      <c r="BD198" s="11"/>
      <c r="BE198" s="11"/>
      <c r="BF198" s="11"/>
      <c r="BG198" s="11"/>
      <c r="BK198" s="11"/>
      <c r="BL198" s="11"/>
      <c r="BP198" s="12"/>
      <c r="BQ198" s="400"/>
      <c r="DS198" s="180"/>
      <c r="DT198" s="180">
        <f t="shared" ref="DT198" si="59">DT197-DT196</f>
        <v>0</v>
      </c>
      <c r="DU198" s="180">
        <f t="shared" ref="DU198" si="60">DU197-DU196</f>
        <v>0</v>
      </c>
      <c r="DV198" s="180">
        <f t="shared" ref="DV198" si="61">DV197-DV196</f>
        <v>0</v>
      </c>
      <c r="DW198" s="180">
        <f t="shared" ref="DW198" si="62">DW197-DW196</f>
        <v>0</v>
      </c>
    </row>
    <row r="199" spans="1:138">
      <c r="D199" s="11"/>
      <c r="E199" s="79"/>
      <c r="F199" s="85"/>
      <c r="G199" s="85"/>
      <c r="H199" s="85"/>
      <c r="I199" s="85"/>
      <c r="J199" s="85"/>
      <c r="BD199" s="11"/>
      <c r="BE199" s="11"/>
      <c r="BF199" s="11"/>
      <c r="BG199" s="11"/>
      <c r="BK199" s="11"/>
      <c r="BL199" s="11"/>
      <c r="BP199" s="12"/>
      <c r="BQ199" s="400"/>
      <c r="DK199" s="180">
        <f>SUM(DK4:DK198)</f>
        <v>1880239.32</v>
      </c>
      <c r="DL199" s="180">
        <f t="shared" ref="DL199:DP199" si="63">SUM(DL4:DL198)</f>
        <v>724821</v>
      </c>
      <c r="DM199" s="180">
        <f t="shared" si="63"/>
        <v>9202.119999999999</v>
      </c>
      <c r="DN199" s="180">
        <f t="shared" si="63"/>
        <v>774697</v>
      </c>
      <c r="DO199" s="180">
        <f t="shared" si="63"/>
        <v>15098.2</v>
      </c>
      <c r="DP199" s="180">
        <f t="shared" si="63"/>
        <v>356421</v>
      </c>
    </row>
    <row r="200" spans="1:138">
      <c r="D200" s="11"/>
      <c r="E200" s="79"/>
      <c r="F200" s="85"/>
      <c r="G200" s="85"/>
      <c r="H200" s="85"/>
      <c r="I200" s="85"/>
      <c r="J200" s="85"/>
      <c r="BD200" s="11"/>
      <c r="BE200" s="11"/>
      <c r="BF200" s="11"/>
      <c r="BG200" s="11"/>
      <c r="BK200" s="11"/>
      <c r="BL200" s="11"/>
      <c r="BP200" s="12"/>
      <c r="BQ200" s="400"/>
      <c r="DK200" s="180">
        <f>DK199-DL199-DM199-DN199-DO199-DP199</f>
        <v>0</v>
      </c>
    </row>
    <row r="201" spans="1:138">
      <c r="D201" s="11"/>
      <c r="E201" s="79"/>
      <c r="F201" s="85"/>
      <c r="G201" s="85"/>
      <c r="H201" s="85"/>
      <c r="I201" s="85"/>
      <c r="J201" s="85"/>
      <c r="BD201" s="11"/>
      <c r="BE201" s="11"/>
      <c r="BF201" s="11"/>
      <c r="BG201" s="11"/>
      <c r="BK201" s="11"/>
      <c r="BL201" s="11"/>
      <c r="BP201" s="12"/>
      <c r="BQ201" s="400"/>
    </row>
    <row r="202" spans="1:138">
      <c r="D202" s="11"/>
      <c r="E202" s="79"/>
      <c r="F202" s="85"/>
      <c r="G202" s="85"/>
      <c r="H202" s="85"/>
      <c r="I202" s="85"/>
      <c r="J202" s="85"/>
      <c r="BD202" s="11"/>
      <c r="BE202" s="11"/>
      <c r="BF202" s="11"/>
      <c r="BG202" s="11"/>
      <c r="BK202" s="11"/>
      <c r="BL202" s="11"/>
      <c r="BP202" s="12"/>
      <c r="BQ202" s="400"/>
    </row>
    <row r="203" spans="1:138">
      <c r="D203" s="11"/>
      <c r="E203" s="79"/>
      <c r="F203" s="85"/>
      <c r="G203" s="85"/>
      <c r="H203" s="85"/>
      <c r="I203" s="85"/>
      <c r="J203" s="85"/>
      <c r="BD203" s="11"/>
      <c r="BE203" s="11"/>
      <c r="BF203" s="11"/>
      <c r="BG203" s="11"/>
      <c r="BK203" s="11"/>
      <c r="BL203" s="11"/>
      <c r="BP203" s="12"/>
      <c r="BQ203" s="400"/>
    </row>
    <row r="204" spans="1:138">
      <c r="D204" s="11"/>
      <c r="E204" s="79"/>
      <c r="F204" s="85"/>
      <c r="G204" s="85"/>
      <c r="H204" s="85"/>
      <c r="I204" s="85"/>
      <c r="J204" s="85"/>
      <c r="BD204" s="11"/>
      <c r="BE204" s="11"/>
      <c r="BF204" s="11"/>
      <c r="BG204" s="11"/>
      <c r="BK204" s="11"/>
      <c r="BL204" s="11"/>
      <c r="BP204" s="12"/>
      <c r="BQ204" s="400"/>
    </row>
    <row r="205" spans="1:138">
      <c r="D205" s="11"/>
      <c r="E205" s="79"/>
      <c r="F205" s="85"/>
      <c r="G205" s="85"/>
      <c r="H205" s="85"/>
      <c r="I205" s="85"/>
      <c r="J205" s="85"/>
      <c r="BD205" s="11"/>
      <c r="BE205" s="11"/>
      <c r="BF205" s="11"/>
      <c r="BG205" s="11"/>
      <c r="BK205" s="11"/>
      <c r="BL205" s="11"/>
      <c r="BP205" s="12"/>
      <c r="BQ205" s="400"/>
    </row>
    <row r="206" spans="1:138">
      <c r="D206" s="11"/>
      <c r="E206" s="79"/>
      <c r="F206" s="85"/>
      <c r="G206" s="85"/>
      <c r="H206" s="85"/>
      <c r="I206" s="85"/>
      <c r="J206" s="85"/>
      <c r="BD206" s="11"/>
      <c r="BE206" s="11"/>
      <c r="BF206" s="11"/>
      <c r="BG206" s="11"/>
      <c r="BK206" s="11"/>
      <c r="BL206" s="11"/>
      <c r="BP206" s="12"/>
      <c r="BQ206" s="400"/>
    </row>
    <row r="207" spans="1:138">
      <c r="D207" s="11"/>
      <c r="E207" s="86"/>
      <c r="F207" s="85"/>
      <c r="G207" s="85"/>
      <c r="H207" s="85"/>
      <c r="I207" s="85"/>
      <c r="J207" s="85"/>
      <c r="BD207" s="11"/>
      <c r="BE207" s="11"/>
      <c r="BF207" s="11"/>
      <c r="BG207" s="11"/>
      <c r="BK207" s="11"/>
      <c r="BL207" s="11"/>
      <c r="BP207" s="12"/>
      <c r="BQ207" s="400"/>
    </row>
    <row r="208" spans="1:138">
      <c r="D208" s="11"/>
      <c r="E208" s="86"/>
      <c r="F208" s="85"/>
      <c r="G208" s="85"/>
      <c r="H208" s="85"/>
      <c r="I208" s="85"/>
      <c r="J208" s="85"/>
      <c r="BD208" s="11"/>
      <c r="BE208" s="11"/>
      <c r="BF208" s="11"/>
      <c r="BG208" s="11"/>
      <c r="BK208" s="11"/>
      <c r="BL208" s="11"/>
      <c r="BP208" s="12"/>
      <c r="BQ208" s="400"/>
    </row>
    <row r="209" spans="4:69">
      <c r="D209" s="11"/>
      <c r="E209" s="86"/>
      <c r="F209" s="85"/>
      <c r="G209" s="85"/>
      <c r="H209" s="85"/>
      <c r="I209" s="85"/>
      <c r="J209" s="85"/>
      <c r="BD209" s="11"/>
      <c r="BE209" s="11"/>
      <c r="BF209" s="11"/>
      <c r="BG209" s="11"/>
      <c r="BK209" s="11"/>
      <c r="BL209" s="11"/>
      <c r="BP209" s="12"/>
      <c r="BQ209" s="400"/>
    </row>
    <row r="210" spans="4:69">
      <c r="D210" s="11"/>
      <c r="E210" s="86"/>
      <c r="F210" s="85"/>
      <c r="G210" s="85"/>
      <c r="H210" s="85"/>
      <c r="I210" s="85"/>
      <c r="J210" s="85"/>
      <c r="BD210" s="11"/>
      <c r="BE210" s="11"/>
      <c r="BF210" s="11"/>
      <c r="BG210" s="11"/>
      <c r="BK210" s="11"/>
      <c r="BL210" s="11"/>
      <c r="BP210" s="12"/>
      <c r="BQ210" s="400"/>
    </row>
    <row r="211" spans="4:69">
      <c r="D211" s="11"/>
      <c r="E211" s="86"/>
      <c r="F211" s="85"/>
      <c r="G211" s="85"/>
      <c r="H211" s="85"/>
      <c r="I211" s="85"/>
      <c r="J211" s="85"/>
      <c r="BD211" s="11"/>
      <c r="BE211" s="11"/>
      <c r="BF211" s="11"/>
      <c r="BG211" s="11"/>
      <c r="BK211" s="11"/>
      <c r="BL211" s="11"/>
      <c r="BP211" s="12"/>
      <c r="BQ211" s="400"/>
    </row>
    <row r="212" spans="4:69">
      <c r="D212" s="11"/>
      <c r="E212" s="86"/>
      <c r="F212" s="85"/>
      <c r="G212" s="85"/>
      <c r="H212" s="85"/>
      <c r="I212" s="85"/>
      <c r="J212" s="85"/>
      <c r="BD212" s="11"/>
      <c r="BE212" s="11"/>
      <c r="BF212" s="11"/>
      <c r="BG212" s="11"/>
      <c r="BK212" s="11"/>
      <c r="BL212" s="11"/>
      <c r="BP212" s="12"/>
      <c r="BQ212" s="400"/>
    </row>
    <row r="213" spans="4:69">
      <c r="D213" s="11"/>
      <c r="E213" s="86"/>
      <c r="F213" s="85"/>
      <c r="G213" s="85"/>
      <c r="H213" s="85"/>
      <c r="I213" s="85"/>
      <c r="J213" s="85"/>
      <c r="BD213" s="11"/>
      <c r="BE213" s="11"/>
      <c r="BF213" s="11"/>
      <c r="BG213" s="11"/>
      <c r="BK213" s="11"/>
      <c r="BL213" s="11"/>
      <c r="BP213" s="12"/>
      <c r="BQ213" s="400"/>
    </row>
    <row r="214" spans="4:69">
      <c r="D214" s="11"/>
      <c r="E214" s="86"/>
      <c r="F214" s="85"/>
      <c r="G214" s="85"/>
      <c r="H214" s="85"/>
      <c r="I214" s="85"/>
      <c r="J214" s="85"/>
      <c r="BD214" s="11"/>
      <c r="BE214" s="11"/>
      <c r="BF214" s="11"/>
      <c r="BG214" s="11"/>
      <c r="BK214" s="11"/>
      <c r="BL214" s="11"/>
      <c r="BP214" s="12"/>
      <c r="BQ214" s="400"/>
    </row>
    <row r="215" spans="4:69">
      <c r="D215" s="11"/>
      <c r="E215" s="86"/>
      <c r="F215" s="85"/>
      <c r="G215" s="85"/>
      <c r="H215" s="85"/>
      <c r="I215" s="85"/>
      <c r="J215" s="85"/>
      <c r="BD215" s="11"/>
      <c r="BE215" s="11"/>
      <c r="BF215" s="11"/>
      <c r="BG215" s="11"/>
      <c r="BK215" s="11"/>
      <c r="BL215" s="11"/>
      <c r="BP215" s="12"/>
      <c r="BQ215" s="400"/>
    </row>
    <row r="216" spans="4:69">
      <c r="D216" s="11"/>
      <c r="E216" s="86"/>
      <c r="F216" s="85"/>
      <c r="G216" s="85"/>
      <c r="H216" s="85"/>
      <c r="I216" s="85"/>
      <c r="J216" s="85"/>
      <c r="BD216" s="11"/>
      <c r="BE216" s="11"/>
      <c r="BF216" s="11"/>
      <c r="BG216" s="11"/>
      <c r="BK216" s="11"/>
      <c r="BL216" s="11"/>
      <c r="BP216" s="12"/>
      <c r="BQ216" s="400"/>
    </row>
    <row r="217" spans="4:69">
      <c r="D217" s="11"/>
      <c r="E217" s="86"/>
      <c r="F217" s="85"/>
      <c r="G217" s="85"/>
      <c r="H217" s="85"/>
      <c r="I217" s="85"/>
      <c r="J217" s="85"/>
      <c r="BD217" s="11"/>
      <c r="BE217" s="11"/>
      <c r="BF217" s="11"/>
      <c r="BG217" s="11"/>
      <c r="BK217" s="11"/>
      <c r="BL217" s="11"/>
      <c r="BP217" s="12"/>
      <c r="BQ217" s="400"/>
    </row>
    <row r="218" spans="4:69">
      <c r="D218" s="11"/>
      <c r="E218" s="86"/>
      <c r="F218" s="85"/>
      <c r="G218" s="85"/>
      <c r="H218" s="85"/>
      <c r="I218" s="85"/>
      <c r="J218" s="85"/>
      <c r="BD218" s="11"/>
      <c r="BE218" s="11"/>
      <c r="BF218" s="11"/>
      <c r="BG218" s="11"/>
      <c r="BK218" s="11"/>
      <c r="BL218" s="11"/>
      <c r="BP218" s="12"/>
      <c r="BQ218" s="400"/>
    </row>
    <row r="219" spans="4:69">
      <c r="D219" s="11"/>
      <c r="E219" s="86"/>
      <c r="F219" s="85"/>
      <c r="G219" s="85"/>
      <c r="H219" s="85"/>
      <c r="I219" s="85"/>
      <c r="J219" s="85"/>
      <c r="BD219" s="11"/>
      <c r="BE219" s="11"/>
      <c r="BF219" s="11"/>
      <c r="BG219" s="11"/>
      <c r="BK219" s="11"/>
      <c r="BL219" s="11"/>
      <c r="BP219" s="12"/>
      <c r="BQ219" s="400"/>
    </row>
    <row r="220" spans="4:69">
      <c r="D220" s="11"/>
      <c r="E220" s="86"/>
      <c r="F220" s="85"/>
      <c r="G220" s="85"/>
      <c r="H220" s="85"/>
      <c r="I220" s="85"/>
      <c r="J220" s="85"/>
      <c r="BD220" s="11"/>
      <c r="BE220" s="11"/>
      <c r="BF220" s="11"/>
      <c r="BG220" s="11"/>
      <c r="BK220" s="11"/>
      <c r="BL220" s="11"/>
      <c r="BP220" s="12"/>
      <c r="BQ220" s="400"/>
    </row>
    <row r="221" spans="4:69">
      <c r="D221" s="11"/>
      <c r="E221" s="86"/>
      <c r="F221" s="85"/>
      <c r="G221" s="85"/>
      <c r="H221" s="85"/>
      <c r="I221" s="85"/>
      <c r="J221" s="85"/>
      <c r="BD221" s="11"/>
      <c r="BE221" s="11"/>
      <c r="BF221" s="11"/>
      <c r="BG221" s="11"/>
      <c r="BK221" s="11"/>
      <c r="BL221" s="11"/>
      <c r="BP221" s="12"/>
      <c r="BQ221" s="400"/>
    </row>
    <row r="222" spans="4:69">
      <c r="D222" s="11"/>
      <c r="E222" s="86"/>
      <c r="F222" s="85"/>
      <c r="G222" s="85"/>
      <c r="H222" s="85"/>
      <c r="I222" s="85"/>
      <c r="J222" s="85"/>
      <c r="BD222" s="11"/>
      <c r="BE222" s="11"/>
      <c r="BF222" s="11"/>
      <c r="BG222" s="11"/>
      <c r="BK222" s="11"/>
      <c r="BL222" s="11"/>
      <c r="BP222" s="12"/>
      <c r="BQ222" s="400"/>
    </row>
    <row r="223" spans="4:69">
      <c r="D223" s="11"/>
      <c r="E223" s="86"/>
      <c r="F223" s="85"/>
      <c r="G223" s="85"/>
      <c r="H223" s="85"/>
      <c r="I223" s="85"/>
      <c r="J223" s="85"/>
      <c r="BD223" s="11"/>
      <c r="BE223" s="11"/>
      <c r="BF223" s="11"/>
      <c r="BG223" s="11"/>
      <c r="BK223" s="11"/>
      <c r="BL223" s="11"/>
      <c r="BP223" s="12"/>
      <c r="BQ223" s="400"/>
    </row>
    <row r="224" spans="4:69">
      <c r="D224" s="11"/>
      <c r="E224" s="86"/>
      <c r="F224" s="85"/>
      <c r="G224" s="85"/>
      <c r="H224" s="85"/>
      <c r="I224" s="85"/>
      <c r="J224" s="85"/>
      <c r="BD224" s="11"/>
      <c r="BE224" s="11"/>
      <c r="BF224" s="11"/>
      <c r="BG224" s="11"/>
      <c r="BK224" s="11"/>
      <c r="BL224" s="11"/>
      <c r="BP224" s="12"/>
      <c r="BQ224" s="400"/>
    </row>
    <row r="225" spans="4:69">
      <c r="D225" s="11"/>
      <c r="E225" s="86"/>
      <c r="F225" s="85"/>
      <c r="G225" s="85"/>
      <c r="H225" s="85"/>
      <c r="I225" s="85"/>
      <c r="J225" s="85"/>
      <c r="BD225" s="11"/>
      <c r="BE225" s="11"/>
      <c r="BF225" s="11"/>
      <c r="BG225" s="11"/>
      <c r="BK225" s="11"/>
      <c r="BL225" s="11"/>
      <c r="BP225" s="12"/>
      <c r="BQ225" s="400"/>
    </row>
    <row r="226" spans="4:69">
      <c r="D226" s="11"/>
      <c r="E226" s="86"/>
      <c r="F226" s="85"/>
      <c r="G226" s="85"/>
      <c r="H226" s="85"/>
      <c r="I226" s="85"/>
      <c r="J226" s="85"/>
      <c r="BD226" s="11"/>
      <c r="BE226" s="11"/>
      <c r="BF226" s="11"/>
      <c r="BG226" s="11"/>
      <c r="BK226" s="11"/>
      <c r="BL226" s="11"/>
      <c r="BP226" s="12"/>
      <c r="BQ226" s="400"/>
    </row>
    <row r="227" spans="4:69">
      <c r="D227" s="11"/>
      <c r="E227" s="86"/>
      <c r="F227" s="85"/>
      <c r="G227" s="85"/>
      <c r="H227" s="85"/>
      <c r="I227" s="85"/>
      <c r="J227" s="85"/>
      <c r="BD227" s="11"/>
      <c r="BE227" s="11"/>
      <c r="BF227" s="11"/>
      <c r="BG227" s="11"/>
      <c r="BK227" s="11"/>
      <c r="BL227" s="11"/>
      <c r="BP227" s="12"/>
      <c r="BQ227" s="400"/>
    </row>
    <row r="228" spans="4:69">
      <c r="D228" s="11"/>
      <c r="E228" s="86"/>
      <c r="F228" s="85"/>
      <c r="G228" s="85"/>
      <c r="H228" s="85"/>
      <c r="I228" s="85"/>
      <c r="J228" s="85"/>
      <c r="BD228" s="11"/>
      <c r="BE228" s="11"/>
      <c r="BF228" s="11"/>
      <c r="BG228" s="11"/>
      <c r="BK228" s="11"/>
      <c r="BL228" s="11"/>
      <c r="BP228" s="12"/>
      <c r="BQ228" s="400"/>
    </row>
    <row r="229" spans="4:69">
      <c r="D229" s="11"/>
      <c r="E229" s="86"/>
      <c r="F229" s="85"/>
      <c r="G229" s="85"/>
      <c r="H229" s="85"/>
      <c r="I229" s="85"/>
      <c r="J229" s="85"/>
      <c r="BD229" s="11"/>
      <c r="BE229" s="11"/>
      <c r="BF229" s="11"/>
      <c r="BG229" s="11"/>
      <c r="BK229" s="11"/>
      <c r="BL229" s="11"/>
      <c r="BP229" s="12"/>
      <c r="BQ229" s="400"/>
    </row>
    <row r="230" spans="4:69">
      <c r="D230" s="11"/>
      <c r="E230" s="86"/>
      <c r="F230" s="85"/>
      <c r="G230" s="85"/>
      <c r="H230" s="85"/>
      <c r="I230" s="85"/>
      <c r="J230" s="85"/>
      <c r="BD230" s="11"/>
      <c r="BE230" s="11"/>
      <c r="BF230" s="11"/>
      <c r="BG230" s="11"/>
      <c r="BK230" s="11"/>
      <c r="BL230" s="11"/>
      <c r="BP230" s="12"/>
      <c r="BQ230" s="400"/>
    </row>
    <row r="231" spans="4:69">
      <c r="D231" s="11"/>
      <c r="E231" s="86"/>
      <c r="F231" s="85"/>
      <c r="G231" s="85"/>
      <c r="H231" s="85"/>
      <c r="I231" s="85"/>
      <c r="J231" s="85"/>
      <c r="BD231" s="11"/>
      <c r="BE231" s="11"/>
      <c r="BF231" s="11"/>
      <c r="BG231" s="11"/>
      <c r="BK231" s="11"/>
      <c r="BL231" s="11"/>
      <c r="BP231" s="12"/>
      <c r="BQ231" s="400"/>
    </row>
    <row r="232" spans="4:69">
      <c r="D232" s="11"/>
      <c r="E232" s="86"/>
      <c r="F232" s="85"/>
      <c r="G232" s="85"/>
      <c r="H232" s="85"/>
      <c r="I232" s="85"/>
      <c r="J232" s="85"/>
      <c r="BD232" s="11"/>
      <c r="BE232" s="11"/>
      <c r="BF232" s="11"/>
      <c r="BG232" s="11"/>
      <c r="BK232" s="11"/>
      <c r="BL232" s="11"/>
      <c r="BP232" s="12"/>
      <c r="BQ232" s="400"/>
    </row>
    <row r="233" spans="4:69">
      <c r="D233" s="11"/>
      <c r="E233" s="86"/>
      <c r="F233" s="85"/>
      <c r="G233" s="85"/>
      <c r="H233" s="85"/>
      <c r="I233" s="85"/>
      <c r="J233" s="85"/>
      <c r="BD233" s="11"/>
      <c r="BE233" s="11"/>
      <c r="BF233" s="11"/>
      <c r="BG233" s="11"/>
      <c r="BK233" s="11"/>
      <c r="BL233" s="11"/>
      <c r="BP233" s="12"/>
      <c r="BQ233" s="400"/>
    </row>
    <row r="234" spans="4:69">
      <c r="D234" s="11"/>
      <c r="E234" s="86"/>
      <c r="F234" s="85"/>
      <c r="G234" s="85"/>
      <c r="H234" s="85"/>
      <c r="I234" s="85"/>
      <c r="J234" s="85"/>
      <c r="BD234" s="11"/>
      <c r="BE234" s="11"/>
      <c r="BF234" s="11"/>
      <c r="BG234" s="11"/>
      <c r="BK234" s="11"/>
      <c r="BL234" s="11"/>
      <c r="BP234" s="12"/>
      <c r="BQ234" s="400"/>
    </row>
    <row r="235" spans="4:69">
      <c r="D235" s="11"/>
      <c r="E235" s="86"/>
      <c r="F235" s="85"/>
      <c r="G235" s="85"/>
      <c r="H235" s="85"/>
      <c r="I235" s="85"/>
      <c r="J235" s="85"/>
      <c r="BD235" s="11"/>
      <c r="BE235" s="11"/>
      <c r="BF235" s="11"/>
      <c r="BG235" s="11"/>
      <c r="BK235" s="11"/>
      <c r="BL235" s="11"/>
      <c r="BP235" s="12"/>
      <c r="BQ235" s="400"/>
    </row>
    <row r="236" spans="4:69">
      <c r="D236" s="11"/>
      <c r="E236" s="86"/>
      <c r="F236" s="85"/>
      <c r="G236" s="85"/>
      <c r="H236" s="85"/>
      <c r="I236" s="85"/>
      <c r="J236" s="85"/>
      <c r="BD236" s="11"/>
      <c r="BE236" s="11"/>
      <c r="BF236" s="11"/>
      <c r="BG236" s="11"/>
      <c r="BK236" s="11"/>
      <c r="BL236" s="11"/>
      <c r="BP236" s="12"/>
      <c r="BQ236" s="400"/>
    </row>
    <row r="237" spans="4:69">
      <c r="D237" s="11"/>
      <c r="E237" s="86"/>
      <c r="F237" s="85"/>
      <c r="G237" s="85"/>
      <c r="H237" s="85"/>
      <c r="I237" s="85"/>
      <c r="J237" s="85"/>
      <c r="BD237" s="11"/>
      <c r="BE237" s="11"/>
      <c r="BF237" s="11"/>
      <c r="BG237" s="11"/>
      <c r="BK237" s="11"/>
      <c r="BL237" s="11"/>
      <c r="BP237" s="12"/>
      <c r="BQ237" s="400"/>
    </row>
    <row r="238" spans="4:69">
      <c r="D238" s="11"/>
      <c r="E238" s="86"/>
      <c r="F238" s="85"/>
      <c r="G238" s="85"/>
      <c r="H238" s="85"/>
      <c r="I238" s="85"/>
      <c r="J238" s="85"/>
      <c r="BD238" s="11"/>
      <c r="BE238" s="11"/>
      <c r="BF238" s="11"/>
      <c r="BG238" s="11"/>
      <c r="BK238" s="11"/>
      <c r="BL238" s="11"/>
      <c r="BP238" s="12"/>
      <c r="BQ238" s="400"/>
    </row>
    <row r="239" spans="4:69">
      <c r="D239" s="11"/>
      <c r="E239" s="86"/>
      <c r="F239" s="85"/>
      <c r="G239" s="85"/>
      <c r="H239" s="85"/>
      <c r="I239" s="85"/>
      <c r="J239" s="85"/>
      <c r="BD239" s="11"/>
      <c r="BE239" s="11"/>
      <c r="BF239" s="11"/>
      <c r="BG239" s="11"/>
      <c r="BK239" s="11"/>
      <c r="BL239" s="11"/>
      <c r="BP239" s="12"/>
      <c r="BQ239" s="400"/>
    </row>
    <row r="240" spans="4:69">
      <c r="D240" s="11"/>
      <c r="E240" s="86"/>
      <c r="F240" s="85"/>
      <c r="G240" s="85"/>
      <c r="H240" s="85"/>
      <c r="I240" s="85"/>
      <c r="J240" s="85"/>
      <c r="BD240" s="11"/>
      <c r="BE240" s="11"/>
      <c r="BF240" s="11"/>
      <c r="BG240" s="11"/>
      <c r="BK240" s="11"/>
      <c r="BL240" s="11"/>
      <c r="BP240" s="12"/>
      <c r="BQ240" s="400"/>
    </row>
    <row r="241" spans="4:69">
      <c r="D241" s="11"/>
      <c r="E241" s="86"/>
      <c r="F241" s="85"/>
      <c r="G241" s="85"/>
      <c r="H241" s="85"/>
      <c r="I241" s="85"/>
      <c r="J241" s="85"/>
      <c r="BD241" s="11"/>
      <c r="BE241" s="11"/>
      <c r="BF241" s="11"/>
      <c r="BG241" s="11"/>
      <c r="BK241" s="11"/>
      <c r="BL241" s="11"/>
      <c r="BP241" s="12"/>
      <c r="BQ241" s="400"/>
    </row>
    <row r="242" spans="4:69">
      <c r="D242" s="11"/>
      <c r="E242" s="86"/>
      <c r="F242" s="85"/>
      <c r="G242" s="85"/>
      <c r="H242" s="85"/>
      <c r="I242" s="85"/>
      <c r="J242" s="85"/>
      <c r="BD242" s="11"/>
      <c r="BE242" s="11"/>
      <c r="BF242" s="11"/>
      <c r="BG242" s="11"/>
      <c r="BK242" s="11"/>
      <c r="BL242" s="11"/>
      <c r="BP242" s="12"/>
      <c r="BQ242" s="400"/>
    </row>
    <row r="243" spans="4:69">
      <c r="D243" s="11"/>
      <c r="E243" s="86"/>
      <c r="F243" s="85"/>
      <c r="G243" s="85"/>
      <c r="H243" s="85"/>
      <c r="I243" s="85"/>
      <c r="J243" s="85"/>
      <c r="BD243" s="11"/>
      <c r="BE243" s="11"/>
      <c r="BF243" s="11"/>
      <c r="BG243" s="11"/>
      <c r="BK243" s="11"/>
      <c r="BL243" s="11"/>
      <c r="BP243" s="12"/>
      <c r="BQ243" s="400"/>
    </row>
    <row r="244" spans="4:69">
      <c r="D244" s="11"/>
      <c r="E244" s="86"/>
      <c r="F244" s="85"/>
      <c r="G244" s="85"/>
      <c r="H244" s="85"/>
      <c r="I244" s="85"/>
      <c r="J244" s="85"/>
      <c r="BD244" s="11"/>
      <c r="BE244" s="11"/>
      <c r="BF244" s="11"/>
      <c r="BG244" s="11"/>
      <c r="BK244" s="11"/>
      <c r="BL244" s="11"/>
      <c r="BP244" s="12"/>
      <c r="BQ244" s="400"/>
    </row>
    <row r="245" spans="4:69">
      <c r="D245" s="11"/>
      <c r="E245" s="86"/>
      <c r="F245" s="85"/>
      <c r="G245" s="85"/>
      <c r="H245" s="85"/>
      <c r="I245" s="85"/>
      <c r="J245" s="85"/>
      <c r="BD245" s="11"/>
      <c r="BE245" s="11"/>
      <c r="BF245" s="11"/>
      <c r="BG245" s="11"/>
      <c r="BK245" s="11"/>
      <c r="BL245" s="11"/>
      <c r="BP245" s="12"/>
      <c r="BQ245" s="400"/>
    </row>
    <row r="246" spans="4:69">
      <c r="D246" s="11"/>
      <c r="E246" s="86"/>
      <c r="F246" s="85"/>
      <c r="G246" s="85"/>
      <c r="H246" s="85"/>
      <c r="I246" s="85"/>
      <c r="J246" s="85"/>
      <c r="BD246" s="11"/>
      <c r="BE246" s="11"/>
      <c r="BF246" s="11"/>
      <c r="BG246" s="11"/>
      <c r="BK246" s="11"/>
      <c r="BL246" s="11"/>
      <c r="BP246" s="12"/>
      <c r="BQ246" s="400"/>
    </row>
    <row r="247" spans="4:69">
      <c r="D247" s="11"/>
      <c r="E247" s="86"/>
      <c r="F247" s="85"/>
      <c r="G247" s="85"/>
      <c r="H247" s="85"/>
      <c r="I247" s="85"/>
      <c r="J247" s="85"/>
      <c r="BD247" s="11"/>
      <c r="BE247" s="11"/>
      <c r="BF247" s="11"/>
      <c r="BG247" s="11"/>
      <c r="BK247" s="11"/>
      <c r="BL247" s="11"/>
      <c r="BP247" s="12"/>
      <c r="BQ247" s="400"/>
    </row>
    <row r="248" spans="4:69">
      <c r="D248" s="11"/>
      <c r="E248" s="86"/>
      <c r="F248" s="85"/>
      <c r="G248" s="85"/>
      <c r="H248" s="85"/>
      <c r="I248" s="85"/>
      <c r="J248" s="85"/>
      <c r="BD248" s="11"/>
      <c r="BE248" s="11"/>
      <c r="BF248" s="11"/>
      <c r="BG248" s="11"/>
      <c r="BK248" s="11"/>
      <c r="BL248" s="11"/>
      <c r="BP248" s="12"/>
      <c r="BQ248" s="400"/>
    </row>
    <row r="249" spans="4:69">
      <c r="D249" s="11"/>
      <c r="E249" s="86"/>
      <c r="F249" s="85"/>
      <c r="G249" s="85"/>
      <c r="H249" s="85"/>
      <c r="I249" s="85"/>
      <c r="J249" s="85"/>
      <c r="BD249" s="11"/>
      <c r="BE249" s="11"/>
      <c r="BF249" s="11"/>
      <c r="BG249" s="11"/>
      <c r="BK249" s="11"/>
      <c r="BL249" s="11"/>
      <c r="BP249" s="12"/>
      <c r="BQ249" s="400"/>
    </row>
    <row r="250" spans="4:69">
      <c r="D250" s="11"/>
      <c r="E250" s="86"/>
      <c r="F250" s="85"/>
      <c r="G250" s="85"/>
      <c r="H250" s="85"/>
      <c r="I250" s="85"/>
      <c r="J250" s="85"/>
      <c r="BD250" s="11"/>
      <c r="BE250" s="11"/>
      <c r="BF250" s="11"/>
      <c r="BG250" s="11"/>
      <c r="BK250" s="11"/>
      <c r="BL250" s="11"/>
      <c r="BP250" s="12"/>
      <c r="BQ250" s="400"/>
    </row>
    <row r="251" spans="4:69">
      <c r="D251" s="11"/>
      <c r="E251" s="86"/>
      <c r="F251" s="85"/>
      <c r="G251" s="85"/>
      <c r="H251" s="85"/>
      <c r="I251" s="85"/>
      <c r="J251" s="85"/>
      <c r="BD251" s="11"/>
      <c r="BE251" s="11"/>
      <c r="BF251" s="11"/>
      <c r="BG251" s="11"/>
      <c r="BK251" s="11"/>
      <c r="BL251" s="11"/>
      <c r="BP251" s="12"/>
      <c r="BQ251" s="400"/>
    </row>
    <row r="252" spans="4:69">
      <c r="D252" s="11"/>
      <c r="E252" s="86"/>
      <c r="F252" s="85"/>
      <c r="G252" s="85"/>
      <c r="H252" s="85"/>
      <c r="I252" s="85"/>
      <c r="J252" s="85"/>
      <c r="BD252" s="11"/>
      <c r="BE252" s="11"/>
      <c r="BF252" s="11"/>
      <c r="BG252" s="11"/>
      <c r="BK252" s="11"/>
      <c r="BL252" s="11"/>
      <c r="BP252" s="12"/>
      <c r="BQ252" s="400"/>
    </row>
    <row r="253" spans="4:69">
      <c r="D253" s="11"/>
      <c r="E253" s="86"/>
      <c r="F253" s="85"/>
      <c r="G253" s="85"/>
      <c r="H253" s="85"/>
      <c r="I253" s="85"/>
      <c r="J253" s="85"/>
      <c r="BD253" s="11"/>
      <c r="BE253" s="11"/>
      <c r="BF253" s="11"/>
      <c r="BG253" s="11"/>
      <c r="BK253" s="11"/>
      <c r="BL253" s="11"/>
      <c r="BP253" s="12"/>
      <c r="BQ253" s="400"/>
    </row>
    <row r="254" spans="4:69">
      <c r="D254" s="11"/>
      <c r="E254" s="86"/>
      <c r="F254" s="85"/>
      <c r="G254" s="85"/>
      <c r="H254" s="85"/>
      <c r="I254" s="85"/>
      <c r="J254" s="85"/>
      <c r="BD254" s="11"/>
      <c r="BE254" s="11"/>
      <c r="BF254" s="11"/>
      <c r="BG254" s="11"/>
      <c r="BK254" s="11"/>
      <c r="BL254" s="11"/>
      <c r="BP254" s="12"/>
      <c r="BQ254" s="400"/>
    </row>
    <row r="255" spans="4:69">
      <c r="D255" s="11"/>
      <c r="E255" s="86"/>
      <c r="F255" s="85"/>
      <c r="G255" s="85"/>
      <c r="H255" s="85"/>
      <c r="I255" s="85"/>
      <c r="J255" s="85"/>
      <c r="BD255" s="11"/>
      <c r="BE255" s="11"/>
      <c r="BF255" s="11"/>
      <c r="BG255" s="11"/>
      <c r="BK255" s="11"/>
      <c r="BL255" s="11"/>
      <c r="BP255" s="12"/>
      <c r="BQ255" s="400"/>
    </row>
    <row r="256" spans="4:69">
      <c r="D256" s="11"/>
      <c r="E256" s="86"/>
      <c r="F256" s="85"/>
      <c r="G256" s="85"/>
      <c r="H256" s="85"/>
      <c r="I256" s="85"/>
      <c r="J256" s="85"/>
      <c r="BD256" s="11"/>
      <c r="BE256" s="11"/>
      <c r="BF256" s="11"/>
      <c r="BG256" s="11"/>
      <c r="BK256" s="11"/>
      <c r="BL256" s="11"/>
      <c r="BP256" s="12"/>
      <c r="BQ256" s="400"/>
    </row>
    <row r="257" spans="4:69">
      <c r="D257" s="11"/>
      <c r="E257" s="86"/>
      <c r="F257" s="85"/>
      <c r="G257" s="85"/>
      <c r="H257" s="85"/>
      <c r="I257" s="85"/>
      <c r="J257" s="85"/>
      <c r="BD257" s="11"/>
      <c r="BE257" s="11"/>
      <c r="BF257" s="11"/>
      <c r="BG257" s="11"/>
      <c r="BK257" s="11"/>
      <c r="BL257" s="11"/>
      <c r="BP257" s="12"/>
      <c r="BQ257" s="400"/>
    </row>
    <row r="258" spans="4:69">
      <c r="D258" s="11"/>
      <c r="E258" s="86"/>
      <c r="F258" s="85"/>
      <c r="G258" s="85"/>
      <c r="H258" s="85"/>
      <c r="I258" s="85"/>
      <c r="J258" s="85"/>
      <c r="BD258" s="11"/>
      <c r="BE258" s="11"/>
      <c r="BF258" s="11"/>
      <c r="BG258" s="11"/>
      <c r="BK258" s="11"/>
      <c r="BL258" s="11"/>
      <c r="BP258" s="12"/>
      <c r="BQ258" s="400"/>
    </row>
    <row r="259" spans="4:69">
      <c r="D259" s="11"/>
      <c r="E259" s="86"/>
      <c r="F259" s="85"/>
      <c r="G259" s="85"/>
      <c r="H259" s="85"/>
      <c r="I259" s="85"/>
      <c r="J259" s="85"/>
      <c r="BD259" s="11"/>
      <c r="BE259" s="11"/>
      <c r="BF259" s="11"/>
      <c r="BG259" s="11"/>
      <c r="BK259" s="11"/>
      <c r="BL259" s="11"/>
      <c r="BP259" s="12"/>
      <c r="BQ259" s="400"/>
    </row>
    <row r="260" spans="4:69">
      <c r="D260" s="11"/>
      <c r="E260" s="86"/>
      <c r="F260" s="85"/>
      <c r="G260" s="85"/>
      <c r="H260" s="85"/>
      <c r="I260" s="85"/>
      <c r="J260" s="85"/>
      <c r="BD260" s="11"/>
      <c r="BE260" s="11"/>
      <c r="BF260" s="11"/>
      <c r="BG260" s="11"/>
      <c r="BK260" s="11"/>
      <c r="BL260" s="11"/>
      <c r="BP260" s="12"/>
      <c r="BQ260" s="400"/>
    </row>
    <row r="261" spans="4:69">
      <c r="D261" s="11"/>
      <c r="E261" s="86"/>
      <c r="F261" s="85"/>
      <c r="G261" s="85"/>
      <c r="H261" s="85"/>
      <c r="I261" s="85"/>
      <c r="J261" s="85"/>
      <c r="BD261" s="11"/>
      <c r="BE261" s="11"/>
      <c r="BF261" s="11"/>
      <c r="BG261" s="11"/>
      <c r="BK261" s="11"/>
      <c r="BL261" s="11"/>
      <c r="BP261" s="12"/>
      <c r="BQ261" s="400"/>
    </row>
    <row r="262" spans="4:69">
      <c r="D262" s="11"/>
      <c r="E262" s="86"/>
      <c r="F262" s="85"/>
      <c r="G262" s="85"/>
      <c r="H262" s="85"/>
      <c r="I262" s="85"/>
      <c r="J262" s="85"/>
      <c r="BD262" s="11"/>
      <c r="BE262" s="11"/>
      <c r="BF262" s="11"/>
      <c r="BG262" s="11"/>
      <c r="BK262" s="11"/>
      <c r="BL262" s="11"/>
      <c r="BP262" s="12"/>
      <c r="BQ262" s="400"/>
    </row>
    <row r="263" spans="4:69">
      <c r="D263" s="11"/>
      <c r="E263" s="86"/>
      <c r="F263" s="85"/>
      <c r="G263" s="85"/>
      <c r="H263" s="85"/>
      <c r="I263" s="85"/>
      <c r="J263" s="85"/>
      <c r="BD263" s="11"/>
      <c r="BE263" s="11"/>
      <c r="BF263" s="11"/>
      <c r="BG263" s="11"/>
      <c r="BK263" s="11"/>
      <c r="BL263" s="11"/>
      <c r="BP263" s="12"/>
      <c r="BQ263" s="400"/>
    </row>
    <row r="264" spans="4:69">
      <c r="D264" s="11"/>
      <c r="E264" s="86"/>
      <c r="F264" s="85"/>
      <c r="G264" s="85"/>
      <c r="H264" s="85"/>
      <c r="I264" s="85"/>
      <c r="J264" s="85"/>
      <c r="BD264" s="11"/>
      <c r="BE264" s="11"/>
      <c r="BF264" s="11"/>
      <c r="BG264" s="11"/>
      <c r="BK264" s="11"/>
      <c r="BL264" s="11"/>
      <c r="BP264" s="12"/>
      <c r="BQ264" s="400"/>
    </row>
    <row r="265" spans="4:69">
      <c r="D265" s="11"/>
      <c r="E265" s="86"/>
      <c r="F265" s="85"/>
      <c r="G265" s="85"/>
      <c r="H265" s="85"/>
      <c r="I265" s="85"/>
      <c r="J265" s="85"/>
      <c r="BD265" s="11"/>
      <c r="BE265" s="11"/>
      <c r="BF265" s="11"/>
      <c r="BG265" s="11"/>
      <c r="BK265" s="11"/>
      <c r="BL265" s="11"/>
      <c r="BP265" s="12"/>
      <c r="BQ265" s="400"/>
    </row>
    <row r="266" spans="4:69">
      <c r="D266" s="11"/>
      <c r="E266" s="86"/>
      <c r="F266" s="85"/>
      <c r="G266" s="85"/>
      <c r="H266" s="85"/>
      <c r="I266" s="85"/>
      <c r="J266" s="85"/>
      <c r="BD266" s="11"/>
      <c r="BE266" s="11"/>
      <c r="BF266" s="11"/>
      <c r="BG266" s="11"/>
      <c r="BK266" s="11"/>
      <c r="BL266" s="11"/>
      <c r="BP266" s="12"/>
      <c r="BQ266" s="400"/>
    </row>
    <row r="267" spans="4:69">
      <c r="D267" s="11"/>
      <c r="E267" s="86"/>
      <c r="F267" s="85"/>
      <c r="G267" s="85"/>
      <c r="H267" s="85"/>
      <c r="I267" s="85"/>
      <c r="J267" s="85"/>
      <c r="BD267" s="11"/>
      <c r="BE267" s="11"/>
      <c r="BF267" s="11"/>
      <c r="BG267" s="11"/>
      <c r="BK267" s="11"/>
      <c r="BL267" s="11"/>
      <c r="BP267" s="12"/>
      <c r="BQ267" s="400"/>
    </row>
    <row r="268" spans="4:69">
      <c r="D268" s="11"/>
      <c r="E268" s="86"/>
      <c r="F268" s="85"/>
      <c r="G268" s="85"/>
      <c r="H268" s="85"/>
      <c r="I268" s="85"/>
      <c r="J268" s="85"/>
      <c r="BD268" s="11"/>
      <c r="BE268" s="11"/>
      <c r="BF268" s="11"/>
      <c r="BG268" s="11"/>
      <c r="BK268" s="11"/>
      <c r="BL268" s="11"/>
      <c r="BP268" s="12"/>
      <c r="BQ268" s="400"/>
    </row>
    <row r="269" spans="4:69">
      <c r="D269" s="11"/>
      <c r="E269" s="86"/>
      <c r="F269" s="85"/>
      <c r="G269" s="85"/>
      <c r="H269" s="85"/>
      <c r="I269" s="85"/>
      <c r="J269" s="85"/>
      <c r="BD269" s="11"/>
      <c r="BE269" s="11"/>
      <c r="BF269" s="11"/>
      <c r="BG269" s="11"/>
      <c r="BK269" s="11"/>
      <c r="BL269" s="11"/>
      <c r="BP269" s="12"/>
      <c r="BQ269" s="400"/>
    </row>
    <row r="270" spans="4:69">
      <c r="D270" s="11"/>
      <c r="E270" s="86"/>
      <c r="F270" s="85"/>
      <c r="G270" s="85"/>
      <c r="H270" s="85"/>
      <c r="I270" s="85"/>
      <c r="J270" s="85"/>
      <c r="BD270" s="11"/>
      <c r="BE270" s="11"/>
      <c r="BF270" s="11"/>
      <c r="BG270" s="11"/>
      <c r="BK270" s="11"/>
      <c r="BL270" s="11"/>
      <c r="BP270" s="12"/>
      <c r="BQ270" s="400"/>
    </row>
    <row r="271" spans="4:69">
      <c r="D271" s="11"/>
      <c r="E271" s="86"/>
      <c r="F271" s="85"/>
      <c r="G271" s="85"/>
      <c r="H271" s="85"/>
      <c r="I271" s="85"/>
      <c r="J271" s="85"/>
      <c r="BD271" s="11"/>
      <c r="BE271" s="11"/>
      <c r="BF271" s="11"/>
      <c r="BG271" s="11"/>
      <c r="BK271" s="11"/>
      <c r="BL271" s="11"/>
      <c r="BP271" s="12"/>
      <c r="BQ271" s="400"/>
    </row>
    <row r="272" spans="4:69">
      <c r="D272" s="11"/>
      <c r="E272" s="86"/>
      <c r="F272" s="85"/>
      <c r="G272" s="85"/>
      <c r="H272" s="85"/>
      <c r="I272" s="85"/>
      <c r="J272" s="85"/>
      <c r="BD272" s="11"/>
      <c r="BE272" s="11"/>
      <c r="BF272" s="11"/>
      <c r="BG272" s="11"/>
      <c r="BK272" s="11"/>
      <c r="BL272" s="11"/>
      <c r="BP272" s="12"/>
      <c r="BQ272" s="400"/>
    </row>
    <row r="273" spans="4:69">
      <c r="D273" s="11"/>
      <c r="E273" s="86"/>
      <c r="F273" s="85"/>
      <c r="G273" s="85"/>
      <c r="H273" s="85"/>
      <c r="I273" s="85"/>
      <c r="J273" s="85"/>
      <c r="BD273" s="11"/>
      <c r="BE273" s="11"/>
      <c r="BF273" s="11"/>
      <c r="BG273" s="11"/>
      <c r="BK273" s="11"/>
      <c r="BL273" s="11"/>
      <c r="BP273" s="12"/>
      <c r="BQ273" s="400"/>
    </row>
    <row r="274" spans="4:69">
      <c r="D274" s="11"/>
      <c r="E274" s="86"/>
      <c r="F274" s="85"/>
      <c r="G274" s="85"/>
      <c r="H274" s="85"/>
      <c r="I274" s="85"/>
      <c r="J274" s="85"/>
      <c r="BD274" s="11"/>
      <c r="BE274" s="11"/>
      <c r="BF274" s="11"/>
      <c r="BG274" s="11"/>
      <c r="BK274" s="11"/>
      <c r="BL274" s="11"/>
      <c r="BP274" s="12"/>
      <c r="BQ274" s="400"/>
    </row>
    <row r="275" spans="4:69">
      <c r="D275" s="11"/>
      <c r="E275" s="86"/>
      <c r="F275" s="85"/>
      <c r="G275" s="85"/>
      <c r="H275" s="85"/>
      <c r="I275" s="85"/>
      <c r="J275" s="85"/>
      <c r="BD275" s="11"/>
      <c r="BE275" s="11"/>
      <c r="BF275" s="11"/>
      <c r="BG275" s="11"/>
      <c r="BK275" s="11"/>
      <c r="BL275" s="11"/>
      <c r="BP275" s="12"/>
      <c r="BQ275" s="400"/>
    </row>
    <row r="276" spans="4:69">
      <c r="D276" s="11"/>
      <c r="E276" s="86"/>
      <c r="F276" s="85"/>
      <c r="G276" s="85"/>
      <c r="H276" s="85"/>
      <c r="I276" s="85"/>
      <c r="J276" s="85"/>
      <c r="BD276" s="11"/>
      <c r="BE276" s="11"/>
      <c r="BF276" s="11"/>
      <c r="BG276" s="11"/>
      <c r="BK276" s="11"/>
      <c r="BL276" s="11"/>
      <c r="BP276" s="12"/>
      <c r="BQ276" s="400"/>
    </row>
    <row r="277" spans="4:69">
      <c r="D277" s="11"/>
      <c r="E277" s="86"/>
      <c r="F277" s="85"/>
      <c r="G277" s="85"/>
      <c r="H277" s="85"/>
      <c r="I277" s="85"/>
      <c r="J277" s="85"/>
      <c r="BD277" s="11"/>
      <c r="BE277" s="11"/>
      <c r="BF277" s="11"/>
      <c r="BG277" s="11"/>
      <c r="BK277" s="11"/>
      <c r="BL277" s="11"/>
      <c r="BP277" s="12"/>
      <c r="BQ277" s="400"/>
    </row>
    <row r="278" spans="4:69">
      <c r="D278" s="11"/>
      <c r="E278" s="86"/>
      <c r="F278" s="85"/>
      <c r="G278" s="85"/>
      <c r="H278" s="85"/>
      <c r="I278" s="85"/>
      <c r="J278" s="85"/>
      <c r="BD278" s="11"/>
      <c r="BE278" s="11"/>
      <c r="BF278" s="11"/>
      <c r="BG278" s="11"/>
      <c r="BK278" s="11"/>
      <c r="BL278" s="11"/>
      <c r="BP278" s="12"/>
      <c r="BQ278" s="400"/>
    </row>
    <row r="279" spans="4:69">
      <c r="D279" s="11"/>
      <c r="E279" s="86"/>
      <c r="F279" s="85"/>
      <c r="G279" s="85"/>
      <c r="H279" s="85"/>
      <c r="I279" s="85"/>
      <c r="J279" s="85"/>
      <c r="BD279" s="11"/>
      <c r="BE279" s="11"/>
      <c r="BF279" s="11"/>
      <c r="BG279" s="11"/>
      <c r="BK279" s="11"/>
      <c r="BL279" s="11"/>
      <c r="BP279" s="12"/>
      <c r="BQ279" s="400"/>
    </row>
    <row r="280" spans="4:69">
      <c r="D280" s="11"/>
      <c r="E280" s="86"/>
      <c r="F280" s="85"/>
      <c r="G280" s="85"/>
      <c r="H280" s="85"/>
      <c r="I280" s="85"/>
      <c r="J280" s="85"/>
      <c r="BD280" s="11"/>
      <c r="BE280" s="11"/>
      <c r="BF280" s="11"/>
      <c r="BG280" s="11"/>
      <c r="BK280" s="11"/>
      <c r="BL280" s="11"/>
      <c r="BP280" s="12"/>
      <c r="BQ280" s="400"/>
    </row>
    <row r="281" spans="4:69">
      <c r="D281" s="11"/>
      <c r="E281" s="86"/>
      <c r="F281" s="85"/>
      <c r="G281" s="85"/>
      <c r="H281" s="85"/>
      <c r="I281" s="85"/>
      <c r="J281" s="85"/>
      <c r="BD281" s="11"/>
      <c r="BE281" s="11"/>
      <c r="BF281" s="11"/>
      <c r="BG281" s="11"/>
      <c r="BK281" s="11"/>
      <c r="BL281" s="11"/>
      <c r="BP281" s="12"/>
      <c r="BQ281" s="400"/>
    </row>
    <row r="282" spans="4:69">
      <c r="D282" s="11"/>
      <c r="E282" s="86"/>
      <c r="F282" s="85"/>
      <c r="G282" s="85"/>
      <c r="H282" s="85"/>
      <c r="I282" s="85"/>
      <c r="J282" s="85"/>
      <c r="BD282" s="11"/>
      <c r="BE282" s="11"/>
      <c r="BF282" s="11"/>
      <c r="BG282" s="11"/>
      <c r="BK282" s="11"/>
      <c r="BL282" s="11"/>
      <c r="BP282" s="12"/>
      <c r="BQ282" s="400"/>
    </row>
    <row r="283" spans="4:69">
      <c r="D283" s="11"/>
      <c r="E283" s="86"/>
      <c r="F283" s="85"/>
      <c r="G283" s="85"/>
      <c r="H283" s="85"/>
      <c r="I283" s="85"/>
      <c r="J283" s="85"/>
      <c r="BD283" s="11"/>
      <c r="BE283" s="11"/>
      <c r="BF283" s="11"/>
      <c r="BG283" s="11"/>
      <c r="BK283" s="11"/>
      <c r="BL283" s="11"/>
      <c r="BP283" s="12"/>
      <c r="BQ283" s="400"/>
    </row>
    <row r="284" spans="4:69">
      <c r="D284" s="11"/>
      <c r="E284" s="86"/>
      <c r="F284" s="85"/>
      <c r="G284" s="85"/>
      <c r="H284" s="85"/>
      <c r="I284" s="85"/>
      <c r="J284" s="85"/>
      <c r="BD284" s="11"/>
      <c r="BE284" s="11"/>
      <c r="BF284" s="11"/>
      <c r="BG284" s="11"/>
      <c r="BK284" s="11"/>
      <c r="BL284" s="11"/>
      <c r="BP284" s="12"/>
      <c r="BQ284" s="400"/>
    </row>
    <row r="285" spans="4:69">
      <c r="D285" s="11"/>
      <c r="E285" s="86"/>
      <c r="F285" s="85"/>
      <c r="G285" s="85"/>
      <c r="H285" s="85"/>
      <c r="I285" s="85"/>
      <c r="J285" s="85"/>
      <c r="BD285" s="11"/>
      <c r="BE285" s="11"/>
      <c r="BF285" s="11"/>
      <c r="BG285" s="11"/>
      <c r="BK285" s="11"/>
      <c r="BL285" s="11"/>
      <c r="BP285" s="12"/>
      <c r="BQ285" s="400"/>
    </row>
    <row r="286" spans="4:69">
      <c r="D286" s="11"/>
      <c r="E286" s="86"/>
      <c r="F286" s="85"/>
      <c r="G286" s="85"/>
      <c r="H286" s="85"/>
      <c r="I286" s="85"/>
      <c r="J286" s="85"/>
      <c r="BD286" s="11"/>
      <c r="BE286" s="11"/>
      <c r="BF286" s="11"/>
      <c r="BG286" s="11"/>
      <c r="BK286" s="11"/>
      <c r="BL286" s="11"/>
      <c r="BP286" s="12"/>
      <c r="BQ286" s="400"/>
    </row>
    <row r="287" spans="4:69">
      <c r="D287" s="11"/>
      <c r="E287" s="86"/>
      <c r="F287" s="85"/>
      <c r="G287" s="85"/>
      <c r="H287" s="85"/>
      <c r="I287" s="85"/>
      <c r="J287" s="85"/>
      <c r="BD287" s="11"/>
      <c r="BE287" s="11"/>
      <c r="BF287" s="11"/>
      <c r="BG287" s="11"/>
      <c r="BK287" s="11"/>
      <c r="BL287" s="11"/>
      <c r="BP287" s="12"/>
      <c r="BQ287" s="400"/>
    </row>
    <row r="288" spans="4:69">
      <c r="D288" s="11"/>
      <c r="E288" s="86"/>
      <c r="F288" s="85"/>
      <c r="G288" s="85"/>
      <c r="H288" s="85"/>
      <c r="I288" s="85"/>
      <c r="J288" s="85"/>
      <c r="BD288" s="11"/>
      <c r="BE288" s="11"/>
      <c r="BF288" s="11"/>
      <c r="BG288" s="11"/>
      <c r="BK288" s="11"/>
      <c r="BL288" s="11"/>
      <c r="BP288" s="12"/>
      <c r="BQ288" s="400"/>
    </row>
    <row r="289" spans="4:69">
      <c r="D289" s="11"/>
      <c r="E289" s="86"/>
      <c r="F289" s="85"/>
      <c r="G289" s="85"/>
      <c r="H289" s="85"/>
      <c r="I289" s="85"/>
      <c r="J289" s="85"/>
      <c r="BD289" s="11"/>
      <c r="BE289" s="11"/>
      <c r="BF289" s="11"/>
      <c r="BG289" s="11"/>
      <c r="BK289" s="11"/>
      <c r="BL289" s="11"/>
      <c r="BP289" s="12"/>
      <c r="BQ289" s="400"/>
    </row>
    <row r="290" spans="4:69">
      <c r="D290" s="11"/>
      <c r="E290" s="86"/>
      <c r="F290" s="85"/>
      <c r="G290" s="85"/>
      <c r="H290" s="85"/>
      <c r="I290" s="85"/>
      <c r="J290" s="85"/>
      <c r="BD290" s="11"/>
      <c r="BE290" s="11"/>
      <c r="BF290" s="11"/>
      <c r="BG290" s="11"/>
      <c r="BK290" s="11"/>
      <c r="BL290" s="11"/>
      <c r="BP290" s="12"/>
      <c r="BQ290" s="400"/>
    </row>
    <row r="291" spans="4:69">
      <c r="D291" s="11"/>
      <c r="E291" s="86"/>
      <c r="F291" s="85"/>
      <c r="G291" s="85"/>
      <c r="H291" s="85"/>
      <c r="I291" s="85"/>
      <c r="J291" s="85"/>
      <c r="BD291" s="11"/>
      <c r="BE291" s="11"/>
      <c r="BF291" s="11"/>
      <c r="BG291" s="11"/>
      <c r="BK291" s="11"/>
      <c r="BL291" s="11"/>
      <c r="BP291" s="12"/>
      <c r="BQ291" s="400"/>
    </row>
    <row r="292" spans="4:69">
      <c r="D292" s="11"/>
      <c r="E292" s="86"/>
      <c r="F292" s="85"/>
      <c r="G292" s="85"/>
      <c r="H292" s="85"/>
      <c r="I292" s="85"/>
      <c r="J292" s="85"/>
      <c r="BD292" s="11"/>
      <c r="BE292" s="11"/>
      <c r="BF292" s="11"/>
      <c r="BG292" s="11"/>
      <c r="BK292" s="11"/>
      <c r="BL292" s="11"/>
      <c r="BP292" s="12"/>
      <c r="BQ292" s="400"/>
    </row>
    <row r="293" spans="4:69">
      <c r="D293" s="11"/>
      <c r="E293" s="86"/>
      <c r="F293" s="85"/>
      <c r="G293" s="85"/>
      <c r="H293" s="85"/>
      <c r="I293" s="85"/>
      <c r="J293" s="85"/>
      <c r="BD293" s="11"/>
      <c r="BE293" s="11"/>
      <c r="BF293" s="11"/>
      <c r="BG293" s="11"/>
      <c r="BK293" s="11"/>
      <c r="BL293" s="11"/>
      <c r="BP293" s="12"/>
      <c r="BQ293" s="400"/>
    </row>
    <row r="294" spans="4:69">
      <c r="D294" s="11"/>
      <c r="E294" s="86"/>
      <c r="F294" s="85"/>
      <c r="G294" s="85"/>
      <c r="H294" s="85"/>
      <c r="I294" s="85"/>
      <c r="J294" s="85"/>
      <c r="BD294" s="11"/>
      <c r="BE294" s="11"/>
      <c r="BF294" s="11"/>
      <c r="BG294" s="11"/>
      <c r="BK294" s="11"/>
      <c r="BL294" s="11"/>
      <c r="BP294" s="12"/>
      <c r="BQ294" s="400"/>
    </row>
    <row r="295" spans="4:69">
      <c r="D295" s="11"/>
      <c r="E295" s="86"/>
      <c r="F295" s="85"/>
      <c r="G295" s="85"/>
      <c r="H295" s="85"/>
      <c r="I295" s="85"/>
      <c r="J295" s="85"/>
      <c r="BD295" s="11"/>
      <c r="BE295" s="11"/>
      <c r="BF295" s="11"/>
      <c r="BG295" s="11"/>
      <c r="BK295" s="11"/>
      <c r="BL295" s="11"/>
      <c r="BP295" s="12"/>
      <c r="BQ295" s="400"/>
    </row>
    <row r="296" spans="4:69">
      <c r="D296" s="11"/>
      <c r="E296" s="86"/>
      <c r="F296" s="85"/>
      <c r="G296" s="85"/>
      <c r="H296" s="85"/>
      <c r="I296" s="85"/>
      <c r="J296" s="85"/>
      <c r="BD296" s="11"/>
      <c r="BE296" s="11"/>
      <c r="BF296" s="11"/>
      <c r="BG296" s="11"/>
      <c r="BK296" s="11"/>
      <c r="BL296" s="11"/>
      <c r="BP296" s="12"/>
      <c r="BQ296" s="400"/>
    </row>
    <row r="297" spans="4:69">
      <c r="D297" s="11"/>
      <c r="E297" s="86"/>
      <c r="F297" s="85"/>
      <c r="G297" s="85"/>
      <c r="H297" s="85"/>
      <c r="I297" s="85"/>
      <c r="J297" s="85"/>
      <c r="BD297" s="11"/>
      <c r="BE297" s="11"/>
      <c r="BF297" s="11"/>
      <c r="BG297" s="11"/>
      <c r="BK297" s="11"/>
      <c r="BL297" s="11"/>
      <c r="BP297" s="12"/>
      <c r="BQ297" s="400"/>
    </row>
    <row r="298" spans="4:69">
      <c r="D298" s="11"/>
      <c r="E298" s="86"/>
      <c r="F298" s="85"/>
      <c r="G298" s="85"/>
      <c r="H298" s="85"/>
      <c r="I298" s="85"/>
      <c r="J298" s="85"/>
      <c r="BD298" s="11"/>
      <c r="BE298" s="11"/>
      <c r="BF298" s="11"/>
      <c r="BG298" s="11"/>
      <c r="BK298" s="11"/>
      <c r="BL298" s="11"/>
      <c r="BP298" s="12"/>
      <c r="BQ298" s="400"/>
    </row>
    <row r="299" spans="4:69">
      <c r="D299" s="11"/>
      <c r="E299" s="86"/>
      <c r="F299" s="85"/>
      <c r="G299" s="85"/>
      <c r="H299" s="85"/>
      <c r="I299" s="85"/>
      <c r="J299" s="85"/>
      <c r="BD299" s="11"/>
      <c r="BE299" s="11"/>
      <c r="BF299" s="11"/>
      <c r="BG299" s="11"/>
      <c r="BK299" s="11"/>
      <c r="BL299" s="11"/>
      <c r="BP299" s="12"/>
      <c r="BQ299" s="400"/>
    </row>
    <row r="300" spans="4:69">
      <c r="D300" s="11"/>
      <c r="E300" s="86"/>
      <c r="F300" s="85"/>
      <c r="G300" s="85"/>
      <c r="H300" s="85"/>
      <c r="I300" s="85"/>
      <c r="J300" s="85"/>
      <c r="BD300" s="11"/>
      <c r="BE300" s="11"/>
      <c r="BF300" s="11"/>
      <c r="BG300" s="11"/>
      <c r="BK300" s="11"/>
      <c r="BL300" s="11"/>
      <c r="BP300" s="12"/>
      <c r="BQ300" s="400"/>
    </row>
    <row r="301" spans="4:69">
      <c r="D301" s="11"/>
      <c r="E301" s="86"/>
      <c r="F301" s="85"/>
      <c r="G301" s="85"/>
      <c r="H301" s="85"/>
      <c r="I301" s="85"/>
      <c r="J301" s="85"/>
      <c r="BD301" s="11"/>
      <c r="BE301" s="11"/>
      <c r="BF301" s="11"/>
      <c r="BG301" s="11"/>
      <c r="BK301" s="11"/>
      <c r="BL301" s="11"/>
      <c r="BP301" s="12"/>
      <c r="BQ301" s="400"/>
    </row>
    <row r="302" spans="4:69">
      <c r="D302" s="11"/>
      <c r="E302" s="86"/>
      <c r="F302" s="85"/>
      <c r="G302" s="85"/>
      <c r="H302" s="85"/>
      <c r="I302" s="85"/>
      <c r="J302" s="85"/>
      <c r="BD302" s="11"/>
      <c r="BE302" s="11"/>
      <c r="BF302" s="11"/>
      <c r="BG302" s="11"/>
      <c r="BK302" s="11"/>
      <c r="BL302" s="11"/>
      <c r="BP302" s="12"/>
      <c r="BQ302" s="400"/>
    </row>
    <row r="303" spans="4:69">
      <c r="D303" s="11"/>
      <c r="E303" s="86"/>
      <c r="F303" s="85"/>
      <c r="G303" s="85"/>
      <c r="H303" s="85"/>
      <c r="I303" s="85"/>
      <c r="J303" s="85"/>
      <c r="BD303" s="11"/>
      <c r="BE303" s="11"/>
      <c r="BF303" s="11"/>
      <c r="BG303" s="11"/>
      <c r="BK303" s="11"/>
      <c r="BL303" s="11"/>
      <c r="BP303" s="12"/>
      <c r="BQ303" s="400"/>
    </row>
    <row r="304" spans="4:69">
      <c r="D304" s="11"/>
      <c r="E304" s="86"/>
      <c r="F304" s="85"/>
      <c r="G304" s="85"/>
      <c r="H304" s="85"/>
      <c r="I304" s="85"/>
      <c r="J304" s="85"/>
      <c r="BD304" s="11"/>
      <c r="BE304" s="11"/>
      <c r="BF304" s="11"/>
      <c r="BG304" s="11"/>
      <c r="BK304" s="11"/>
      <c r="BL304" s="11"/>
      <c r="BP304" s="12"/>
      <c r="BQ304" s="400"/>
    </row>
    <row r="305" spans="4:69">
      <c r="D305" s="11"/>
      <c r="E305" s="86"/>
      <c r="F305" s="85"/>
      <c r="G305" s="85"/>
      <c r="H305" s="85"/>
      <c r="I305" s="85"/>
      <c r="J305" s="85"/>
      <c r="BD305" s="11"/>
      <c r="BE305" s="11"/>
      <c r="BF305" s="11"/>
      <c r="BG305" s="11"/>
      <c r="BK305" s="11"/>
      <c r="BL305" s="11"/>
      <c r="BP305" s="12"/>
      <c r="BQ305" s="400"/>
    </row>
    <row r="306" spans="4:69">
      <c r="D306" s="11"/>
      <c r="E306" s="86"/>
      <c r="F306" s="85"/>
      <c r="G306" s="85"/>
      <c r="H306" s="85"/>
      <c r="I306" s="85"/>
      <c r="J306" s="85"/>
      <c r="BD306" s="11"/>
      <c r="BE306" s="11"/>
      <c r="BF306" s="11"/>
      <c r="BG306" s="11"/>
      <c r="BK306" s="11"/>
      <c r="BL306" s="11"/>
      <c r="BP306" s="12"/>
      <c r="BQ306" s="400"/>
    </row>
    <row r="307" spans="4:69">
      <c r="D307" s="11"/>
      <c r="E307" s="86"/>
      <c r="F307" s="85"/>
      <c r="G307" s="85"/>
      <c r="H307" s="85"/>
      <c r="I307" s="85"/>
      <c r="J307" s="85"/>
      <c r="BD307" s="11"/>
      <c r="BE307" s="11"/>
      <c r="BF307" s="11"/>
      <c r="BG307" s="11"/>
      <c r="BK307" s="11"/>
      <c r="BL307" s="11"/>
      <c r="BP307" s="12"/>
      <c r="BQ307" s="400"/>
    </row>
    <row r="308" spans="4:69">
      <c r="D308" s="11"/>
      <c r="E308" s="86"/>
      <c r="F308" s="85"/>
      <c r="G308" s="85"/>
      <c r="H308" s="85"/>
      <c r="I308" s="85"/>
      <c r="J308" s="85"/>
      <c r="BD308" s="11"/>
      <c r="BE308" s="11"/>
      <c r="BF308" s="11"/>
      <c r="BG308" s="11"/>
      <c r="BK308" s="11"/>
      <c r="BL308" s="11"/>
      <c r="BP308" s="12"/>
      <c r="BQ308" s="400"/>
    </row>
    <row r="309" spans="4:69">
      <c r="D309" s="11"/>
      <c r="E309" s="86"/>
      <c r="F309" s="85"/>
      <c r="G309" s="85"/>
      <c r="H309" s="85"/>
      <c r="I309" s="85"/>
      <c r="J309" s="85"/>
      <c r="BD309" s="11"/>
      <c r="BE309" s="11"/>
      <c r="BF309" s="11"/>
      <c r="BG309" s="11"/>
      <c r="BK309" s="11"/>
      <c r="BL309" s="11"/>
      <c r="BP309" s="12"/>
      <c r="BQ309" s="400"/>
    </row>
    <row r="310" spans="4:69">
      <c r="D310" s="11"/>
      <c r="E310" s="86"/>
      <c r="F310" s="85"/>
      <c r="G310" s="85"/>
      <c r="H310" s="85"/>
      <c r="I310" s="85"/>
      <c r="J310" s="85"/>
      <c r="BD310" s="11"/>
      <c r="BE310" s="11"/>
      <c r="BF310" s="11"/>
      <c r="BG310" s="11"/>
      <c r="BK310" s="11"/>
      <c r="BL310" s="11"/>
      <c r="BP310" s="12"/>
      <c r="BQ310" s="400"/>
    </row>
    <row r="311" spans="4:69">
      <c r="D311" s="11"/>
      <c r="E311" s="86"/>
      <c r="F311" s="85"/>
      <c r="G311" s="85"/>
      <c r="H311" s="85"/>
      <c r="I311" s="85"/>
      <c r="J311" s="85"/>
      <c r="BD311" s="11"/>
      <c r="BE311" s="11"/>
      <c r="BF311" s="11"/>
      <c r="BG311" s="11"/>
      <c r="BK311" s="11"/>
      <c r="BL311" s="11"/>
      <c r="BP311" s="12"/>
      <c r="BQ311" s="400"/>
    </row>
    <row r="312" spans="4:69">
      <c r="D312" s="11"/>
      <c r="E312" s="86"/>
      <c r="F312" s="85"/>
      <c r="G312" s="85"/>
      <c r="H312" s="85"/>
      <c r="I312" s="85"/>
      <c r="J312" s="85"/>
      <c r="BD312" s="11"/>
      <c r="BE312" s="11"/>
      <c r="BF312" s="11"/>
      <c r="BG312" s="11"/>
      <c r="BK312" s="11"/>
      <c r="BL312" s="11"/>
      <c r="BP312" s="12"/>
      <c r="BQ312" s="400"/>
    </row>
    <row r="313" spans="4:69">
      <c r="D313" s="11"/>
      <c r="E313" s="86"/>
      <c r="F313" s="85"/>
      <c r="G313" s="85"/>
      <c r="H313" s="85"/>
      <c r="I313" s="85"/>
      <c r="J313" s="85"/>
      <c r="BD313" s="11"/>
      <c r="BE313" s="11"/>
      <c r="BF313" s="11"/>
      <c r="BG313" s="11"/>
      <c r="BK313" s="11"/>
      <c r="BL313" s="11"/>
      <c r="BP313" s="12"/>
      <c r="BQ313" s="400"/>
    </row>
    <row r="314" spans="4:69">
      <c r="D314" s="11"/>
      <c r="E314" s="86"/>
      <c r="F314" s="85"/>
      <c r="G314" s="85"/>
      <c r="H314" s="85"/>
      <c r="I314" s="85"/>
      <c r="J314" s="85"/>
      <c r="BD314" s="11"/>
      <c r="BE314" s="11"/>
      <c r="BF314" s="11"/>
      <c r="BG314" s="11"/>
      <c r="BK314" s="11"/>
      <c r="BL314" s="11"/>
      <c r="BP314" s="12"/>
      <c r="BQ314" s="400"/>
    </row>
    <row r="315" spans="4:69">
      <c r="D315" s="11"/>
      <c r="E315" s="86"/>
      <c r="F315" s="85"/>
      <c r="G315" s="85"/>
      <c r="H315" s="85"/>
      <c r="I315" s="85"/>
      <c r="J315" s="85"/>
      <c r="BD315" s="11"/>
      <c r="BE315" s="11"/>
      <c r="BF315" s="11"/>
      <c r="BG315" s="11"/>
      <c r="BK315" s="11"/>
      <c r="BL315" s="11"/>
      <c r="BP315" s="12"/>
      <c r="BQ315" s="400"/>
    </row>
    <row r="316" spans="4:69">
      <c r="D316" s="11"/>
      <c r="E316" s="86"/>
      <c r="F316" s="85"/>
      <c r="G316" s="85"/>
      <c r="H316" s="85"/>
      <c r="I316" s="85"/>
      <c r="J316" s="85"/>
      <c r="BD316" s="11"/>
      <c r="BE316" s="11"/>
      <c r="BF316" s="11"/>
      <c r="BG316" s="11"/>
      <c r="BK316" s="11"/>
      <c r="BL316" s="11"/>
      <c r="BP316" s="12"/>
      <c r="BQ316" s="400"/>
    </row>
    <row r="317" spans="4:69">
      <c r="D317" s="11"/>
      <c r="E317" s="86"/>
      <c r="F317" s="85"/>
      <c r="G317" s="85"/>
      <c r="H317" s="85"/>
      <c r="I317" s="85"/>
      <c r="J317" s="85"/>
      <c r="BD317" s="11"/>
      <c r="BE317" s="11"/>
      <c r="BF317" s="11"/>
      <c r="BG317" s="11"/>
      <c r="BK317" s="11"/>
      <c r="BL317" s="11"/>
      <c r="BP317" s="12"/>
      <c r="BQ317" s="400"/>
    </row>
    <row r="318" spans="4:69">
      <c r="D318" s="11"/>
      <c r="E318" s="86"/>
      <c r="F318" s="85"/>
      <c r="G318" s="85"/>
      <c r="H318" s="85"/>
      <c r="I318" s="85"/>
      <c r="J318" s="85"/>
      <c r="BD318" s="11"/>
      <c r="BE318" s="11"/>
      <c r="BF318" s="11"/>
      <c r="BG318" s="11"/>
      <c r="BK318" s="11"/>
      <c r="BL318" s="11"/>
      <c r="BP318" s="12"/>
      <c r="BQ318" s="400"/>
    </row>
    <row r="319" spans="4:69">
      <c r="D319" s="11"/>
      <c r="E319" s="86"/>
      <c r="F319" s="85"/>
      <c r="G319" s="85"/>
      <c r="H319" s="85"/>
      <c r="I319" s="85"/>
      <c r="J319" s="85"/>
      <c r="BD319" s="11"/>
      <c r="BE319" s="11"/>
      <c r="BF319" s="11"/>
      <c r="BG319" s="11"/>
      <c r="BK319" s="11"/>
      <c r="BL319" s="11"/>
      <c r="BP319" s="12"/>
      <c r="BQ319" s="400"/>
    </row>
    <row r="320" spans="4:69">
      <c r="D320" s="11"/>
      <c r="E320" s="86"/>
      <c r="F320" s="85"/>
      <c r="G320" s="85"/>
      <c r="H320" s="85"/>
      <c r="I320" s="85"/>
      <c r="J320" s="85"/>
      <c r="BD320" s="11"/>
      <c r="BE320" s="11"/>
      <c r="BF320" s="11"/>
      <c r="BG320" s="11"/>
      <c r="BK320" s="11"/>
      <c r="BL320" s="11"/>
      <c r="BP320" s="12"/>
      <c r="BQ320" s="400"/>
    </row>
    <row r="321" spans="4:69">
      <c r="D321" s="11"/>
      <c r="E321" s="86"/>
      <c r="F321" s="85"/>
      <c r="G321" s="85"/>
      <c r="H321" s="85"/>
      <c r="I321" s="85"/>
      <c r="J321" s="85"/>
      <c r="BD321" s="11"/>
      <c r="BE321" s="11"/>
      <c r="BF321" s="11"/>
      <c r="BG321" s="11"/>
      <c r="BK321" s="11"/>
      <c r="BL321" s="11"/>
      <c r="BP321" s="12"/>
      <c r="BQ321" s="400"/>
    </row>
    <row r="322" spans="4:69">
      <c r="D322" s="11"/>
      <c r="E322" s="86"/>
      <c r="F322" s="85"/>
      <c r="G322" s="85"/>
      <c r="H322" s="85"/>
      <c r="I322" s="85"/>
      <c r="J322" s="85"/>
      <c r="BD322" s="11"/>
      <c r="BE322" s="11"/>
      <c r="BF322" s="11"/>
      <c r="BG322" s="11"/>
      <c r="BK322" s="11"/>
      <c r="BL322" s="11"/>
      <c r="BP322" s="12"/>
      <c r="BQ322" s="400"/>
    </row>
    <row r="323" spans="4:69">
      <c r="D323" s="11"/>
      <c r="E323" s="86"/>
      <c r="F323" s="85"/>
      <c r="G323" s="85"/>
      <c r="H323" s="85"/>
      <c r="I323" s="85"/>
      <c r="J323" s="85"/>
      <c r="BD323" s="11"/>
      <c r="BE323" s="11"/>
      <c r="BF323" s="11"/>
      <c r="BG323" s="11"/>
      <c r="BK323" s="11"/>
      <c r="BL323" s="11"/>
      <c r="BP323" s="12"/>
      <c r="BQ323" s="400"/>
    </row>
    <row r="324" spans="4:69">
      <c r="D324" s="11"/>
      <c r="E324" s="86"/>
      <c r="F324" s="85"/>
      <c r="G324" s="85"/>
      <c r="H324" s="85"/>
      <c r="I324" s="85"/>
      <c r="J324" s="85"/>
      <c r="BD324" s="11"/>
      <c r="BE324" s="11"/>
      <c r="BF324" s="11"/>
      <c r="BG324" s="11"/>
      <c r="BK324" s="11"/>
      <c r="BL324" s="11"/>
      <c r="BP324" s="12"/>
      <c r="BQ324" s="400"/>
    </row>
    <row r="325" spans="4:69">
      <c r="D325" s="11"/>
      <c r="E325" s="86"/>
      <c r="F325" s="85"/>
      <c r="G325" s="85"/>
      <c r="H325" s="85"/>
      <c r="I325" s="85"/>
      <c r="J325" s="85"/>
      <c r="BD325" s="11"/>
      <c r="BE325" s="11"/>
      <c r="BF325" s="11"/>
      <c r="BG325" s="11"/>
      <c r="BK325" s="11"/>
      <c r="BL325" s="11"/>
      <c r="BP325" s="12"/>
      <c r="BQ325" s="400"/>
    </row>
    <row r="326" spans="4:69">
      <c r="D326" s="11"/>
      <c r="E326" s="86"/>
      <c r="F326" s="85"/>
      <c r="G326" s="85"/>
      <c r="H326" s="85"/>
      <c r="I326" s="85"/>
      <c r="J326" s="85"/>
      <c r="BD326" s="11"/>
      <c r="BE326" s="11"/>
      <c r="BF326" s="11"/>
      <c r="BG326" s="11"/>
      <c r="BK326" s="11"/>
      <c r="BL326" s="11"/>
      <c r="BP326" s="12"/>
      <c r="BQ326" s="400"/>
    </row>
    <row r="327" spans="4:69">
      <c r="D327" s="11"/>
      <c r="E327" s="86"/>
      <c r="F327" s="85"/>
      <c r="G327" s="85"/>
      <c r="H327" s="85"/>
      <c r="I327" s="85"/>
      <c r="J327" s="85"/>
      <c r="BD327" s="11"/>
      <c r="BE327" s="11"/>
      <c r="BF327" s="11"/>
      <c r="BG327" s="11"/>
      <c r="BK327" s="11"/>
      <c r="BL327" s="11"/>
      <c r="BP327" s="12"/>
      <c r="BQ327" s="400"/>
    </row>
    <row r="328" spans="4:69">
      <c r="D328" s="11"/>
      <c r="E328" s="86"/>
      <c r="F328" s="85"/>
      <c r="G328" s="85"/>
      <c r="H328" s="85"/>
      <c r="I328" s="85"/>
      <c r="J328" s="85"/>
      <c r="BD328" s="11"/>
      <c r="BE328" s="11"/>
      <c r="BF328" s="11"/>
      <c r="BG328" s="11"/>
      <c r="BK328" s="11"/>
      <c r="BL328" s="11"/>
      <c r="BP328" s="12"/>
      <c r="BQ328" s="400"/>
    </row>
    <row r="329" spans="4:69">
      <c r="D329" s="11"/>
      <c r="E329" s="86"/>
      <c r="F329" s="85"/>
      <c r="G329" s="85"/>
      <c r="H329" s="85"/>
      <c r="I329" s="85"/>
      <c r="J329" s="85"/>
      <c r="BD329" s="11"/>
      <c r="BE329" s="11"/>
      <c r="BF329" s="11"/>
      <c r="BG329" s="11"/>
      <c r="BK329" s="11"/>
      <c r="BL329" s="11"/>
      <c r="BP329" s="12"/>
      <c r="BQ329" s="400"/>
    </row>
    <row r="330" spans="4:69">
      <c r="D330" s="11"/>
      <c r="E330" s="86"/>
      <c r="F330" s="85"/>
      <c r="G330" s="85"/>
      <c r="H330" s="85"/>
      <c r="I330" s="85"/>
      <c r="J330" s="85"/>
      <c r="BD330" s="11"/>
      <c r="BE330" s="11"/>
      <c r="BF330" s="11"/>
      <c r="BG330" s="11"/>
      <c r="BK330" s="11"/>
      <c r="BL330" s="11"/>
      <c r="BP330" s="12"/>
      <c r="BQ330" s="400"/>
    </row>
    <row r="331" spans="4:69">
      <c r="D331" s="11"/>
      <c r="E331" s="86"/>
      <c r="F331" s="85"/>
      <c r="G331" s="85"/>
      <c r="H331" s="85"/>
      <c r="I331" s="85"/>
      <c r="J331" s="85"/>
      <c r="BD331" s="11"/>
      <c r="BE331" s="11"/>
      <c r="BF331" s="11"/>
      <c r="BG331" s="11"/>
      <c r="BK331" s="11"/>
      <c r="BL331" s="11"/>
      <c r="BP331" s="12"/>
      <c r="BQ331" s="400"/>
    </row>
    <row r="332" spans="4:69">
      <c r="D332" s="11"/>
      <c r="E332" s="86"/>
      <c r="F332" s="85"/>
      <c r="G332" s="85"/>
      <c r="H332" s="85"/>
      <c r="I332" s="85"/>
      <c r="J332" s="85"/>
      <c r="BD332" s="11"/>
      <c r="BE332" s="11"/>
      <c r="BF332" s="11"/>
      <c r="BG332" s="11"/>
      <c r="BK332" s="11"/>
      <c r="BL332" s="11"/>
      <c r="BP332" s="12"/>
      <c r="BQ332" s="400"/>
    </row>
    <row r="333" spans="4:69">
      <c r="D333" s="11"/>
      <c r="E333" s="86"/>
      <c r="F333" s="85"/>
      <c r="G333" s="85"/>
      <c r="H333" s="85"/>
      <c r="I333" s="85"/>
      <c r="J333" s="85"/>
      <c r="BD333" s="11"/>
      <c r="BE333" s="11"/>
      <c r="BF333" s="11"/>
      <c r="BG333" s="11"/>
      <c r="BK333" s="11"/>
      <c r="BL333" s="11"/>
      <c r="BP333" s="12"/>
      <c r="BQ333" s="400"/>
    </row>
    <row r="334" spans="4:69">
      <c r="D334" s="11"/>
      <c r="E334" s="86"/>
      <c r="F334" s="85"/>
      <c r="G334" s="85"/>
      <c r="H334" s="85"/>
      <c r="I334" s="85"/>
      <c r="J334" s="85"/>
      <c r="BD334" s="11"/>
      <c r="BE334" s="11"/>
      <c r="BF334" s="11"/>
      <c r="BG334" s="11"/>
      <c r="BK334" s="11"/>
      <c r="BL334" s="11"/>
      <c r="BP334" s="12"/>
      <c r="BQ334" s="400"/>
    </row>
    <row r="335" spans="4:69">
      <c r="D335" s="11"/>
      <c r="E335" s="86"/>
      <c r="F335" s="85"/>
      <c r="G335" s="85"/>
      <c r="H335" s="85"/>
      <c r="I335" s="85"/>
      <c r="J335" s="85"/>
      <c r="BD335" s="11"/>
      <c r="BE335" s="11"/>
      <c r="BF335" s="11"/>
      <c r="BG335" s="11"/>
      <c r="BK335" s="11"/>
      <c r="BL335" s="11"/>
      <c r="BP335" s="12"/>
      <c r="BQ335" s="400"/>
    </row>
    <row r="336" spans="4:69">
      <c r="D336" s="11"/>
      <c r="E336" s="86"/>
      <c r="F336" s="85"/>
      <c r="G336" s="85"/>
      <c r="H336" s="85"/>
      <c r="I336" s="85"/>
      <c r="J336" s="85"/>
      <c r="BD336" s="11"/>
      <c r="BE336" s="11"/>
      <c r="BF336" s="11"/>
      <c r="BG336" s="11"/>
      <c r="BK336" s="11"/>
      <c r="BL336" s="11"/>
      <c r="BP336" s="12"/>
      <c r="BQ336" s="400"/>
    </row>
    <row r="337" spans="4:69">
      <c r="D337" s="11"/>
      <c r="E337" s="86"/>
      <c r="F337" s="85"/>
      <c r="G337" s="85"/>
      <c r="H337" s="85"/>
      <c r="I337" s="85"/>
      <c r="J337" s="85"/>
      <c r="BD337" s="11"/>
      <c r="BE337" s="11"/>
      <c r="BF337" s="11"/>
      <c r="BG337" s="11"/>
      <c r="BK337" s="11"/>
      <c r="BL337" s="11"/>
      <c r="BP337" s="12"/>
      <c r="BQ337" s="400"/>
    </row>
    <row r="338" spans="4:69">
      <c r="D338" s="11"/>
      <c r="E338" s="86"/>
      <c r="F338" s="85"/>
      <c r="G338" s="85"/>
      <c r="H338" s="85"/>
      <c r="I338" s="85"/>
      <c r="J338" s="85"/>
      <c r="BD338" s="11"/>
      <c r="BE338" s="11"/>
      <c r="BF338" s="11"/>
      <c r="BG338" s="11"/>
      <c r="BK338" s="11"/>
      <c r="BL338" s="11"/>
      <c r="BP338" s="12"/>
      <c r="BQ338" s="400"/>
    </row>
    <row r="339" spans="4:69">
      <c r="D339" s="11"/>
      <c r="E339" s="86"/>
      <c r="F339" s="85"/>
      <c r="G339" s="85"/>
      <c r="H339" s="85"/>
      <c r="I339" s="85"/>
      <c r="J339" s="85"/>
      <c r="BD339" s="11"/>
      <c r="BE339" s="11"/>
      <c r="BF339" s="11"/>
      <c r="BG339" s="11"/>
      <c r="BK339" s="11"/>
      <c r="BL339" s="11"/>
      <c r="BP339" s="12"/>
      <c r="BQ339" s="400"/>
    </row>
    <row r="340" spans="4:69">
      <c r="D340" s="11"/>
      <c r="E340" s="86"/>
      <c r="F340" s="85"/>
      <c r="G340" s="85"/>
      <c r="H340" s="85"/>
      <c r="I340" s="85"/>
      <c r="J340" s="85"/>
      <c r="BD340" s="11"/>
      <c r="BE340" s="11"/>
      <c r="BF340" s="11"/>
      <c r="BG340" s="11"/>
      <c r="BK340" s="11"/>
      <c r="BL340" s="11"/>
      <c r="BP340" s="12"/>
      <c r="BQ340" s="400"/>
    </row>
    <row r="341" spans="4:69">
      <c r="D341" s="11"/>
      <c r="E341" s="86"/>
      <c r="F341" s="85"/>
      <c r="G341" s="85"/>
      <c r="H341" s="85"/>
      <c r="I341" s="85"/>
      <c r="J341" s="85"/>
      <c r="BD341" s="11"/>
      <c r="BE341" s="11"/>
      <c r="BF341" s="11"/>
      <c r="BG341" s="11"/>
      <c r="BK341" s="11"/>
      <c r="BL341" s="11"/>
      <c r="BP341" s="12"/>
      <c r="BQ341" s="400"/>
    </row>
    <row r="342" spans="4:69">
      <c r="D342" s="11"/>
      <c r="E342" s="86"/>
      <c r="F342" s="85"/>
      <c r="G342" s="85"/>
      <c r="H342" s="85"/>
      <c r="I342" s="85"/>
      <c r="J342" s="85"/>
      <c r="BD342" s="11"/>
      <c r="BE342" s="11"/>
      <c r="BF342" s="11"/>
      <c r="BG342" s="11"/>
      <c r="BK342" s="11"/>
      <c r="BL342" s="11"/>
      <c r="BP342" s="12"/>
      <c r="BQ342" s="400"/>
    </row>
    <row r="343" spans="4:69">
      <c r="D343" s="11"/>
      <c r="E343" s="86"/>
      <c r="F343" s="85"/>
      <c r="G343" s="85"/>
      <c r="H343" s="85"/>
      <c r="I343" s="85"/>
      <c r="J343" s="85"/>
      <c r="BD343" s="11"/>
      <c r="BE343" s="11"/>
      <c r="BF343" s="11"/>
      <c r="BG343" s="11"/>
      <c r="BK343" s="11"/>
      <c r="BL343" s="11"/>
      <c r="BP343" s="12"/>
      <c r="BQ343" s="400"/>
    </row>
    <row r="344" spans="4:69">
      <c r="D344" s="11"/>
      <c r="E344" s="86"/>
      <c r="F344" s="85"/>
      <c r="G344" s="85"/>
      <c r="H344" s="85"/>
      <c r="I344" s="85"/>
      <c r="J344" s="85"/>
      <c r="BD344" s="11"/>
      <c r="BE344" s="11"/>
      <c r="BF344" s="11"/>
      <c r="BG344" s="11"/>
      <c r="BK344" s="11"/>
      <c r="BL344" s="11"/>
      <c r="BP344" s="12"/>
      <c r="BQ344" s="400"/>
    </row>
    <row r="345" spans="4:69">
      <c r="D345" s="11"/>
      <c r="E345" s="86"/>
      <c r="F345" s="85"/>
      <c r="G345" s="85"/>
      <c r="H345" s="85"/>
      <c r="I345" s="85"/>
      <c r="J345" s="85"/>
      <c r="BD345" s="11"/>
      <c r="BE345" s="11"/>
      <c r="BF345" s="11"/>
      <c r="BG345" s="11"/>
      <c r="BK345" s="11"/>
      <c r="BL345" s="11"/>
      <c r="BP345" s="12"/>
      <c r="BQ345" s="400"/>
    </row>
    <row r="346" spans="4:69">
      <c r="D346" s="11"/>
      <c r="E346" s="86"/>
      <c r="F346" s="85"/>
      <c r="G346" s="85"/>
      <c r="H346" s="85"/>
      <c r="I346" s="85"/>
      <c r="J346" s="85"/>
      <c r="BD346" s="11"/>
      <c r="BE346" s="11"/>
      <c r="BF346" s="11"/>
      <c r="BG346" s="11"/>
      <c r="BK346" s="11"/>
      <c r="BL346" s="11"/>
      <c r="BP346" s="12"/>
      <c r="BQ346" s="400"/>
    </row>
    <row r="347" spans="4:69">
      <c r="D347" s="11"/>
      <c r="E347" s="86"/>
      <c r="F347" s="85"/>
      <c r="G347" s="85"/>
      <c r="H347" s="85"/>
      <c r="I347" s="85"/>
      <c r="J347" s="85"/>
      <c r="BD347" s="11"/>
      <c r="BE347" s="11"/>
      <c r="BF347" s="11"/>
      <c r="BG347" s="11"/>
      <c r="BK347" s="11"/>
      <c r="BL347" s="11"/>
      <c r="BP347" s="12"/>
      <c r="BQ347" s="400"/>
    </row>
    <row r="348" spans="4:69">
      <c r="D348" s="11"/>
      <c r="E348" s="86"/>
      <c r="F348" s="85"/>
      <c r="G348" s="85"/>
      <c r="H348" s="85"/>
      <c r="I348" s="85"/>
      <c r="J348" s="85"/>
      <c r="BD348" s="11"/>
      <c r="BE348" s="11"/>
      <c r="BF348" s="11"/>
      <c r="BG348" s="11"/>
      <c r="BK348" s="11"/>
      <c r="BL348" s="11"/>
      <c r="BP348" s="12"/>
      <c r="BQ348" s="400"/>
    </row>
    <row r="349" spans="4:69">
      <c r="D349" s="11"/>
      <c r="E349" s="86"/>
      <c r="F349" s="85"/>
      <c r="G349" s="85"/>
      <c r="H349" s="85"/>
      <c r="I349" s="85"/>
      <c r="J349" s="85"/>
      <c r="BD349" s="11"/>
      <c r="BE349" s="11"/>
      <c r="BF349" s="11"/>
      <c r="BG349" s="11"/>
      <c r="BK349" s="11"/>
      <c r="BL349" s="11"/>
      <c r="BP349" s="12"/>
      <c r="BQ349" s="400"/>
    </row>
    <row r="350" spans="4:69">
      <c r="D350" s="11"/>
      <c r="E350" s="86"/>
      <c r="F350" s="85"/>
      <c r="G350" s="85"/>
      <c r="H350" s="85"/>
      <c r="I350" s="85"/>
      <c r="J350" s="85"/>
      <c r="BD350" s="11"/>
      <c r="BE350" s="11"/>
      <c r="BF350" s="11"/>
      <c r="BG350" s="11"/>
      <c r="BK350" s="11"/>
      <c r="BL350" s="11"/>
      <c r="BP350" s="12"/>
      <c r="BQ350" s="400"/>
    </row>
    <row r="351" spans="4:69">
      <c r="D351" s="11"/>
      <c r="E351" s="86"/>
      <c r="F351" s="85"/>
      <c r="G351" s="85"/>
      <c r="H351" s="85"/>
      <c r="I351" s="85"/>
      <c r="J351" s="85"/>
      <c r="BD351" s="11"/>
      <c r="BE351" s="11"/>
      <c r="BF351" s="11"/>
      <c r="BG351" s="11"/>
      <c r="BK351" s="11"/>
      <c r="BL351" s="11"/>
      <c r="BP351" s="12"/>
      <c r="BQ351" s="400"/>
    </row>
    <row r="352" spans="4:69">
      <c r="D352" s="11"/>
      <c r="E352" s="86"/>
      <c r="F352" s="85"/>
      <c r="G352" s="85"/>
      <c r="H352" s="85"/>
      <c r="I352" s="85"/>
      <c r="J352" s="85"/>
      <c r="BD352" s="11"/>
      <c r="BE352" s="11"/>
      <c r="BF352" s="11"/>
      <c r="BG352" s="11"/>
      <c r="BK352" s="11"/>
      <c r="BL352" s="11"/>
      <c r="BP352" s="12"/>
      <c r="BQ352" s="400"/>
    </row>
    <row r="353" spans="4:69">
      <c r="D353" s="11"/>
      <c r="E353" s="86"/>
      <c r="F353" s="85"/>
      <c r="G353" s="85"/>
      <c r="H353" s="85"/>
      <c r="I353" s="85"/>
      <c r="J353" s="85"/>
      <c r="BD353" s="11"/>
      <c r="BE353" s="11"/>
      <c r="BF353" s="11"/>
      <c r="BG353" s="11"/>
      <c r="BK353" s="11"/>
      <c r="BL353" s="11"/>
      <c r="BP353" s="12"/>
      <c r="BQ353" s="400"/>
    </row>
    <row r="354" spans="4:69">
      <c r="D354" s="11"/>
      <c r="E354" s="86"/>
      <c r="F354" s="85"/>
      <c r="G354" s="85"/>
      <c r="H354" s="85"/>
      <c r="I354" s="85"/>
      <c r="J354" s="85"/>
      <c r="BD354" s="11"/>
      <c r="BE354" s="11"/>
      <c r="BF354" s="11"/>
      <c r="BG354" s="11"/>
      <c r="BK354" s="11"/>
      <c r="BL354" s="11"/>
      <c r="BP354" s="12"/>
      <c r="BQ354" s="400"/>
    </row>
    <row r="355" spans="4:69">
      <c r="D355" s="11"/>
      <c r="E355" s="86"/>
      <c r="F355" s="85"/>
      <c r="G355" s="85"/>
      <c r="H355" s="85"/>
      <c r="I355" s="85"/>
      <c r="J355" s="85"/>
      <c r="BD355" s="11"/>
      <c r="BE355" s="11"/>
      <c r="BF355" s="11"/>
      <c r="BG355" s="11"/>
      <c r="BK355" s="11"/>
      <c r="BL355" s="11"/>
      <c r="BP355" s="12"/>
      <c r="BQ355" s="400"/>
    </row>
    <row r="356" spans="4:69">
      <c r="D356" s="11"/>
      <c r="E356" s="86"/>
      <c r="F356" s="85"/>
      <c r="G356" s="85"/>
      <c r="H356" s="85"/>
      <c r="I356" s="85"/>
      <c r="J356" s="85"/>
      <c r="BD356" s="11"/>
      <c r="BE356" s="11"/>
      <c r="BF356" s="11"/>
      <c r="BG356" s="11"/>
      <c r="BK356" s="11"/>
      <c r="BL356" s="11"/>
      <c r="BP356" s="12"/>
      <c r="BQ356" s="400"/>
    </row>
    <row r="357" spans="4:69">
      <c r="D357" s="11"/>
      <c r="E357" s="86"/>
      <c r="F357" s="85"/>
      <c r="G357" s="85"/>
      <c r="H357" s="85"/>
      <c r="I357" s="85"/>
      <c r="J357" s="85"/>
      <c r="BD357" s="11"/>
      <c r="BE357" s="11"/>
      <c r="BF357" s="11"/>
      <c r="BG357" s="11"/>
      <c r="BK357" s="11"/>
      <c r="BL357" s="11"/>
      <c r="BP357" s="12"/>
      <c r="BQ357" s="400"/>
    </row>
    <row r="358" spans="4:69">
      <c r="D358" s="11"/>
      <c r="E358" s="86"/>
      <c r="F358" s="85"/>
      <c r="G358" s="85"/>
      <c r="H358" s="85"/>
      <c r="I358" s="85"/>
      <c r="J358" s="85"/>
      <c r="BD358" s="11"/>
      <c r="BE358" s="11"/>
      <c r="BF358" s="11"/>
      <c r="BG358" s="11"/>
      <c r="BK358" s="11"/>
      <c r="BL358" s="11"/>
      <c r="BP358" s="12"/>
      <c r="BQ358" s="400"/>
    </row>
    <row r="359" spans="4:69">
      <c r="D359" s="11"/>
      <c r="E359" s="86"/>
      <c r="F359" s="85"/>
      <c r="G359" s="85"/>
      <c r="H359" s="85"/>
      <c r="I359" s="85"/>
      <c r="J359" s="85"/>
      <c r="BD359" s="11"/>
      <c r="BE359" s="11"/>
      <c r="BF359" s="11"/>
      <c r="BG359" s="11"/>
      <c r="BK359" s="11"/>
      <c r="BL359" s="11"/>
      <c r="BP359" s="12"/>
      <c r="BQ359" s="400"/>
    </row>
    <row r="360" spans="4:69">
      <c r="D360" s="11"/>
      <c r="E360" s="86"/>
      <c r="F360" s="85"/>
      <c r="G360" s="85"/>
      <c r="H360" s="85"/>
      <c r="I360" s="85"/>
      <c r="J360" s="85"/>
      <c r="BD360" s="11"/>
      <c r="BE360" s="11"/>
      <c r="BF360" s="11"/>
      <c r="BG360" s="11"/>
      <c r="BK360" s="11"/>
      <c r="BL360" s="11"/>
      <c r="BP360" s="12"/>
      <c r="BQ360" s="400"/>
    </row>
    <row r="361" spans="4:69">
      <c r="D361" s="11"/>
      <c r="E361" s="86"/>
      <c r="F361" s="85"/>
      <c r="G361" s="85"/>
      <c r="H361" s="85"/>
      <c r="I361" s="85"/>
      <c r="J361" s="85"/>
      <c r="BD361" s="11"/>
      <c r="BE361" s="11"/>
      <c r="BF361" s="11"/>
      <c r="BG361" s="11"/>
      <c r="BK361" s="11"/>
      <c r="BL361" s="11"/>
      <c r="BP361" s="12"/>
      <c r="BQ361" s="400"/>
    </row>
    <row r="362" spans="4:69">
      <c r="D362" s="11"/>
      <c r="E362" s="86"/>
      <c r="F362" s="85"/>
      <c r="G362" s="85"/>
      <c r="H362" s="85"/>
      <c r="I362" s="85"/>
      <c r="J362" s="85"/>
      <c r="BD362" s="11"/>
      <c r="BE362" s="11"/>
      <c r="BF362" s="11"/>
      <c r="BG362" s="11"/>
      <c r="BK362" s="11"/>
      <c r="BL362" s="11"/>
      <c r="BP362" s="12"/>
      <c r="BQ362" s="400"/>
    </row>
    <row r="363" spans="4:69">
      <c r="D363" s="11"/>
      <c r="E363" s="86"/>
      <c r="F363" s="85"/>
      <c r="G363" s="85"/>
      <c r="H363" s="85"/>
      <c r="I363" s="85"/>
      <c r="J363" s="85"/>
      <c r="BD363" s="11"/>
      <c r="BE363" s="11"/>
      <c r="BF363" s="11"/>
      <c r="BG363" s="11"/>
      <c r="BK363" s="11"/>
      <c r="BL363" s="11"/>
      <c r="BP363" s="12"/>
      <c r="BQ363" s="400"/>
    </row>
    <row r="364" spans="4:69">
      <c r="D364" s="11"/>
      <c r="E364" s="86"/>
      <c r="F364" s="85"/>
      <c r="G364" s="85"/>
      <c r="H364" s="85"/>
      <c r="I364" s="85"/>
      <c r="J364" s="85"/>
      <c r="BD364" s="11"/>
      <c r="BE364" s="11"/>
      <c r="BF364" s="11"/>
      <c r="BG364" s="11"/>
      <c r="BK364" s="11"/>
      <c r="BL364" s="11"/>
      <c r="BP364" s="12"/>
      <c r="BQ364" s="400"/>
    </row>
    <row r="365" spans="4:69">
      <c r="D365" s="11"/>
      <c r="E365" s="86"/>
      <c r="F365" s="85"/>
      <c r="G365" s="85"/>
      <c r="H365" s="85"/>
      <c r="I365" s="85"/>
      <c r="J365" s="85"/>
      <c r="BD365" s="11"/>
      <c r="BE365" s="11"/>
      <c r="BF365" s="11"/>
      <c r="BG365" s="11"/>
      <c r="BK365" s="11"/>
      <c r="BL365" s="11"/>
      <c r="BP365" s="12"/>
      <c r="BQ365" s="400"/>
    </row>
    <row r="366" spans="4:69">
      <c r="D366" s="11"/>
      <c r="E366" s="86"/>
      <c r="F366" s="85"/>
      <c r="G366" s="85"/>
      <c r="H366" s="85"/>
      <c r="I366" s="85"/>
      <c r="J366" s="85"/>
      <c r="BD366" s="11"/>
      <c r="BE366" s="11"/>
      <c r="BF366" s="11"/>
      <c r="BG366" s="11"/>
      <c r="BK366" s="11"/>
      <c r="BL366" s="11"/>
      <c r="BP366" s="12"/>
      <c r="BQ366" s="400"/>
    </row>
    <row r="367" spans="4:69">
      <c r="D367" s="11"/>
      <c r="E367" s="86"/>
      <c r="F367" s="85"/>
      <c r="G367" s="85"/>
      <c r="H367" s="85"/>
      <c r="I367" s="85"/>
      <c r="J367" s="85"/>
      <c r="BD367" s="11"/>
      <c r="BE367" s="11"/>
      <c r="BF367" s="11"/>
      <c r="BG367" s="11"/>
      <c r="BK367" s="11"/>
      <c r="BL367" s="11"/>
      <c r="BP367" s="12"/>
      <c r="BQ367" s="400"/>
    </row>
    <row r="368" spans="4:69">
      <c r="D368" s="11"/>
      <c r="E368" s="86"/>
      <c r="F368" s="85"/>
      <c r="G368" s="85"/>
      <c r="H368" s="85"/>
      <c r="I368" s="85"/>
      <c r="J368" s="85"/>
      <c r="BD368" s="11"/>
      <c r="BE368" s="11"/>
      <c r="BF368" s="11"/>
      <c r="BG368" s="11"/>
      <c r="BK368" s="11"/>
      <c r="BL368" s="11"/>
      <c r="BP368" s="12"/>
      <c r="BQ368" s="400"/>
    </row>
    <row r="369" spans="4:69">
      <c r="D369" s="11"/>
      <c r="E369" s="86"/>
      <c r="F369" s="85"/>
      <c r="G369" s="85"/>
      <c r="H369" s="85"/>
      <c r="I369" s="85"/>
      <c r="J369" s="85"/>
      <c r="BD369" s="11"/>
      <c r="BE369" s="11"/>
      <c r="BF369" s="11"/>
      <c r="BG369" s="11"/>
      <c r="BK369" s="11"/>
      <c r="BL369" s="11"/>
      <c r="BP369" s="12"/>
      <c r="BQ369" s="400"/>
    </row>
    <row r="370" spans="4:69">
      <c r="D370" s="11"/>
      <c r="E370" s="86"/>
      <c r="F370" s="85"/>
      <c r="G370" s="85"/>
      <c r="H370" s="85"/>
      <c r="I370" s="85"/>
      <c r="J370" s="85"/>
      <c r="BD370" s="11"/>
      <c r="BE370" s="11"/>
      <c r="BF370" s="11"/>
      <c r="BG370" s="11"/>
      <c r="BK370" s="11"/>
      <c r="BL370" s="11"/>
      <c r="BP370" s="12"/>
      <c r="BQ370" s="400"/>
    </row>
    <row r="371" spans="4:69">
      <c r="D371" s="11"/>
      <c r="E371" s="86"/>
      <c r="F371" s="85"/>
      <c r="G371" s="85"/>
      <c r="H371" s="85"/>
      <c r="I371" s="85"/>
      <c r="J371" s="85"/>
      <c r="BD371" s="11"/>
      <c r="BE371" s="11"/>
      <c r="BF371" s="11"/>
      <c r="BG371" s="11"/>
      <c r="BK371" s="11"/>
      <c r="BL371" s="11"/>
      <c r="BP371" s="12"/>
      <c r="BQ371" s="400"/>
    </row>
    <row r="372" spans="4:69">
      <c r="D372" s="11"/>
      <c r="E372" s="86"/>
      <c r="F372" s="85"/>
      <c r="G372" s="85"/>
      <c r="H372" s="85"/>
      <c r="I372" s="85"/>
      <c r="J372" s="85"/>
      <c r="BD372" s="11"/>
      <c r="BE372" s="11"/>
      <c r="BF372" s="11"/>
      <c r="BG372" s="11"/>
      <c r="BK372" s="11"/>
      <c r="BL372" s="11"/>
      <c r="BP372" s="12"/>
      <c r="BQ372" s="400"/>
    </row>
    <row r="373" spans="4:69">
      <c r="D373" s="11"/>
      <c r="E373" s="86"/>
      <c r="F373" s="85"/>
      <c r="G373" s="85"/>
      <c r="H373" s="85"/>
      <c r="I373" s="85"/>
      <c r="J373" s="85"/>
      <c r="BD373" s="11"/>
      <c r="BE373" s="11"/>
      <c r="BF373" s="11"/>
      <c r="BG373" s="11"/>
      <c r="BK373" s="11"/>
      <c r="BL373" s="11"/>
      <c r="BP373" s="12"/>
      <c r="BQ373" s="400"/>
    </row>
    <row r="374" spans="4:69">
      <c r="D374" s="11"/>
      <c r="E374" s="86"/>
      <c r="F374" s="85"/>
      <c r="G374" s="85"/>
      <c r="H374" s="85"/>
      <c r="I374" s="85"/>
      <c r="J374" s="85"/>
      <c r="BD374" s="11"/>
      <c r="BE374" s="11"/>
      <c r="BF374" s="11"/>
      <c r="BG374" s="11"/>
      <c r="BK374" s="11"/>
      <c r="BL374" s="11"/>
      <c r="BP374" s="12"/>
      <c r="BQ374" s="400"/>
    </row>
    <row r="375" spans="4:69">
      <c r="D375" s="11"/>
      <c r="E375" s="86"/>
      <c r="F375" s="85"/>
      <c r="G375" s="85"/>
      <c r="H375" s="85"/>
      <c r="I375" s="85"/>
      <c r="J375" s="85"/>
      <c r="BD375" s="11"/>
      <c r="BE375" s="11"/>
      <c r="BF375" s="11"/>
      <c r="BG375" s="11"/>
      <c r="BK375" s="11"/>
      <c r="BL375" s="11"/>
      <c r="BP375" s="12"/>
      <c r="BQ375" s="400"/>
    </row>
    <row r="376" spans="4:69">
      <c r="D376" s="11"/>
      <c r="E376" s="86"/>
      <c r="F376" s="85"/>
      <c r="G376" s="85"/>
      <c r="H376" s="85"/>
      <c r="I376" s="85"/>
      <c r="J376" s="85"/>
      <c r="BD376" s="11"/>
      <c r="BE376" s="11"/>
      <c r="BF376" s="11"/>
      <c r="BG376" s="11"/>
      <c r="BK376" s="11"/>
      <c r="BL376" s="11"/>
      <c r="BP376" s="12"/>
      <c r="BQ376" s="400"/>
    </row>
    <row r="377" spans="4:69">
      <c r="D377" s="11"/>
      <c r="E377" s="86"/>
      <c r="F377" s="85"/>
      <c r="G377" s="85"/>
      <c r="H377" s="85"/>
      <c r="I377" s="85"/>
      <c r="J377" s="85"/>
      <c r="BD377" s="11"/>
      <c r="BE377" s="11"/>
      <c r="BF377" s="11"/>
      <c r="BG377" s="11"/>
      <c r="BK377" s="11"/>
      <c r="BL377" s="11"/>
      <c r="BP377" s="12"/>
      <c r="BQ377" s="400"/>
    </row>
    <row r="378" spans="4:69">
      <c r="D378" s="11"/>
      <c r="E378" s="86"/>
      <c r="F378" s="85"/>
      <c r="G378" s="85"/>
      <c r="H378" s="85"/>
      <c r="I378" s="85"/>
      <c r="J378" s="85"/>
      <c r="BD378" s="11"/>
      <c r="BE378" s="11"/>
      <c r="BF378" s="11"/>
      <c r="BG378" s="11"/>
      <c r="BK378" s="11"/>
      <c r="BL378" s="11"/>
      <c r="BP378" s="12"/>
      <c r="BQ378" s="400"/>
    </row>
    <row r="379" spans="4:69">
      <c r="D379" s="11"/>
      <c r="E379" s="86"/>
      <c r="F379" s="85"/>
      <c r="G379" s="85"/>
      <c r="H379" s="85"/>
      <c r="I379" s="85"/>
      <c r="J379" s="85"/>
      <c r="BD379" s="11"/>
      <c r="BE379" s="11"/>
      <c r="BF379" s="11"/>
      <c r="BG379" s="11"/>
      <c r="BK379" s="11"/>
      <c r="BL379" s="11"/>
      <c r="BP379" s="12"/>
      <c r="BQ379" s="400"/>
    </row>
    <row r="380" spans="4:69">
      <c r="D380" s="11"/>
      <c r="E380" s="86"/>
      <c r="F380" s="85"/>
      <c r="G380" s="85"/>
      <c r="H380" s="85"/>
      <c r="I380" s="85"/>
      <c r="J380" s="85"/>
      <c r="BD380" s="11"/>
      <c r="BE380" s="11"/>
      <c r="BF380" s="11"/>
      <c r="BG380" s="11"/>
      <c r="BK380" s="11"/>
      <c r="BL380" s="11"/>
      <c r="BP380" s="12"/>
      <c r="BQ380" s="400"/>
    </row>
    <row r="381" spans="4:69">
      <c r="D381" s="11"/>
      <c r="E381" s="86"/>
      <c r="F381" s="85"/>
      <c r="G381" s="85"/>
      <c r="H381" s="85"/>
      <c r="I381" s="85"/>
      <c r="J381" s="85"/>
      <c r="BD381" s="11"/>
      <c r="BE381" s="11"/>
      <c r="BF381" s="11"/>
      <c r="BG381" s="11"/>
      <c r="BK381" s="11"/>
      <c r="BL381" s="11"/>
      <c r="BP381" s="12"/>
      <c r="BQ381" s="400"/>
    </row>
    <row r="382" spans="4:69">
      <c r="D382" s="11"/>
      <c r="E382" s="86"/>
      <c r="F382" s="85"/>
      <c r="G382" s="85"/>
      <c r="H382" s="85"/>
      <c r="I382" s="85"/>
      <c r="J382" s="85"/>
      <c r="BD382" s="11"/>
      <c r="BE382" s="11"/>
      <c r="BF382" s="11"/>
      <c r="BG382" s="11"/>
      <c r="BK382" s="11"/>
      <c r="BL382" s="11"/>
      <c r="BP382" s="12"/>
      <c r="BQ382" s="400"/>
    </row>
    <row r="383" spans="4:69">
      <c r="D383" s="11"/>
      <c r="E383" s="86"/>
      <c r="F383" s="85"/>
      <c r="G383" s="85"/>
      <c r="H383" s="85"/>
      <c r="I383" s="85"/>
      <c r="J383" s="85"/>
      <c r="BD383" s="11"/>
      <c r="BE383" s="11"/>
      <c r="BF383" s="11"/>
      <c r="BG383" s="11"/>
      <c r="BK383" s="11"/>
      <c r="BL383" s="11"/>
      <c r="BP383" s="12"/>
      <c r="BQ383" s="400"/>
    </row>
    <row r="384" spans="4:69">
      <c r="D384" s="11"/>
      <c r="E384" s="86"/>
      <c r="F384" s="85"/>
      <c r="G384" s="85"/>
      <c r="H384" s="85"/>
      <c r="I384" s="85"/>
      <c r="J384" s="85"/>
      <c r="BD384" s="11"/>
      <c r="BE384" s="11"/>
      <c r="BF384" s="11"/>
      <c r="BG384" s="11"/>
      <c r="BK384" s="11"/>
      <c r="BL384" s="11"/>
      <c r="BP384" s="12"/>
      <c r="BQ384" s="400"/>
    </row>
    <row r="385" spans="4:69">
      <c r="D385" s="11"/>
      <c r="E385" s="86"/>
      <c r="F385" s="85"/>
      <c r="G385" s="85"/>
      <c r="H385" s="85"/>
      <c r="I385" s="85"/>
      <c r="J385" s="85"/>
      <c r="BD385" s="11"/>
      <c r="BE385" s="11"/>
      <c r="BF385" s="11"/>
      <c r="BG385" s="11"/>
      <c r="BK385" s="11"/>
      <c r="BL385" s="11"/>
      <c r="BP385" s="12"/>
      <c r="BQ385" s="400"/>
    </row>
    <row r="386" spans="4:69">
      <c r="D386" s="11"/>
      <c r="E386" s="86"/>
      <c r="F386" s="85"/>
      <c r="G386" s="85"/>
      <c r="H386" s="85"/>
      <c r="I386" s="85"/>
      <c r="J386" s="85"/>
      <c r="BD386" s="11"/>
      <c r="BE386" s="11"/>
      <c r="BF386" s="11"/>
      <c r="BG386" s="11"/>
      <c r="BK386" s="11"/>
      <c r="BL386" s="11"/>
      <c r="BP386" s="12"/>
      <c r="BQ386" s="400"/>
    </row>
    <row r="387" spans="4:69">
      <c r="D387" s="11"/>
      <c r="E387" s="86"/>
      <c r="F387" s="85"/>
      <c r="G387" s="85"/>
      <c r="H387" s="85"/>
      <c r="I387" s="85"/>
      <c r="J387" s="85"/>
      <c r="BD387" s="11"/>
      <c r="BE387" s="11"/>
      <c r="BF387" s="11"/>
      <c r="BG387" s="11"/>
      <c r="BK387" s="11"/>
      <c r="BL387" s="11"/>
      <c r="BP387" s="12"/>
      <c r="BQ387" s="400"/>
    </row>
    <row r="388" spans="4:69">
      <c r="D388" s="11"/>
      <c r="E388" s="86"/>
      <c r="F388" s="85"/>
      <c r="G388" s="85"/>
      <c r="H388" s="85"/>
      <c r="I388" s="85"/>
      <c r="J388" s="85"/>
      <c r="BD388" s="11"/>
      <c r="BE388" s="11"/>
      <c r="BF388" s="11"/>
      <c r="BG388" s="11"/>
      <c r="BK388" s="11"/>
      <c r="BL388" s="11"/>
      <c r="BP388" s="12"/>
      <c r="BQ388" s="400"/>
    </row>
    <row r="389" spans="4:69">
      <c r="D389" s="11"/>
      <c r="E389" s="86"/>
      <c r="F389" s="85"/>
      <c r="G389" s="85"/>
      <c r="H389" s="85"/>
      <c r="I389" s="85"/>
      <c r="J389" s="85"/>
      <c r="BD389" s="11"/>
      <c r="BE389" s="11"/>
      <c r="BF389" s="11"/>
      <c r="BG389" s="11"/>
      <c r="BK389" s="11"/>
      <c r="BL389" s="11"/>
      <c r="BP389" s="12"/>
      <c r="BQ389" s="400"/>
    </row>
    <row r="390" spans="4:69">
      <c r="D390" s="11"/>
      <c r="E390" s="86"/>
      <c r="F390" s="85"/>
      <c r="G390" s="85"/>
      <c r="H390" s="85"/>
      <c r="I390" s="85"/>
      <c r="J390" s="85"/>
      <c r="BD390" s="11"/>
      <c r="BE390" s="11"/>
      <c r="BF390" s="11"/>
      <c r="BG390" s="11"/>
      <c r="BK390" s="11"/>
      <c r="BL390" s="11"/>
      <c r="BP390" s="12"/>
      <c r="BQ390" s="400"/>
    </row>
    <row r="391" spans="4:69">
      <c r="D391" s="11"/>
      <c r="E391" s="86"/>
      <c r="F391" s="85"/>
      <c r="G391" s="85"/>
      <c r="H391" s="85"/>
      <c r="I391" s="85"/>
      <c r="J391" s="85"/>
      <c r="BD391" s="11"/>
      <c r="BE391" s="11"/>
      <c r="BF391" s="11"/>
      <c r="BG391" s="11"/>
      <c r="BK391" s="11"/>
      <c r="BL391" s="11"/>
      <c r="BP391" s="12"/>
      <c r="BQ391" s="400"/>
    </row>
    <row r="392" spans="4:69">
      <c r="D392" s="11"/>
      <c r="E392" s="86"/>
      <c r="F392" s="85"/>
      <c r="G392" s="85"/>
      <c r="H392" s="85"/>
      <c r="I392" s="85"/>
      <c r="J392" s="85"/>
      <c r="BD392" s="11"/>
      <c r="BE392" s="11"/>
      <c r="BF392" s="11"/>
      <c r="BG392" s="11"/>
      <c r="BK392" s="11"/>
      <c r="BL392" s="11"/>
      <c r="BP392" s="12"/>
      <c r="BQ392" s="400"/>
    </row>
    <row r="393" spans="4:69">
      <c r="D393" s="11"/>
      <c r="E393" s="86"/>
      <c r="F393" s="85"/>
      <c r="G393" s="85"/>
      <c r="H393" s="85"/>
      <c r="I393" s="85"/>
      <c r="J393" s="85"/>
      <c r="BD393" s="11"/>
      <c r="BE393" s="11"/>
      <c r="BF393" s="11"/>
      <c r="BG393" s="11"/>
      <c r="BK393" s="11"/>
      <c r="BL393" s="11"/>
      <c r="BP393" s="12"/>
      <c r="BQ393" s="400"/>
    </row>
    <row r="394" spans="4:69">
      <c r="D394" s="11"/>
      <c r="E394" s="86"/>
      <c r="F394" s="85"/>
      <c r="G394" s="85"/>
      <c r="H394" s="85"/>
      <c r="I394" s="85"/>
      <c r="J394" s="85"/>
      <c r="BD394" s="11"/>
      <c r="BE394" s="11"/>
      <c r="BF394" s="11"/>
      <c r="BG394" s="11"/>
      <c r="BK394" s="11"/>
      <c r="BL394" s="11"/>
      <c r="BP394" s="12"/>
      <c r="BQ394" s="400"/>
    </row>
    <row r="395" spans="4:69">
      <c r="D395" s="11"/>
      <c r="E395" s="86"/>
      <c r="F395" s="85"/>
      <c r="G395" s="85"/>
      <c r="H395" s="85"/>
      <c r="I395" s="85"/>
      <c r="J395" s="85"/>
      <c r="BD395" s="11"/>
      <c r="BE395" s="11"/>
      <c r="BF395" s="11"/>
      <c r="BG395" s="11"/>
      <c r="BK395" s="11"/>
      <c r="BL395" s="11"/>
      <c r="BP395" s="12"/>
      <c r="BQ395" s="400"/>
    </row>
    <row r="396" spans="4:69">
      <c r="D396" s="11"/>
      <c r="E396" s="86"/>
      <c r="F396" s="85"/>
      <c r="G396" s="85"/>
      <c r="H396" s="85"/>
      <c r="I396" s="85"/>
      <c r="J396" s="85"/>
      <c r="BD396" s="11"/>
      <c r="BE396" s="11"/>
      <c r="BF396" s="11"/>
      <c r="BG396" s="11"/>
      <c r="BK396" s="11"/>
      <c r="BL396" s="11"/>
      <c r="BP396" s="12"/>
      <c r="BQ396" s="400"/>
    </row>
    <row r="397" spans="4:69">
      <c r="D397" s="11"/>
      <c r="E397" s="86"/>
      <c r="F397" s="85"/>
      <c r="G397" s="85"/>
      <c r="H397" s="85"/>
      <c r="I397" s="85"/>
      <c r="J397" s="85"/>
      <c r="BD397" s="11"/>
      <c r="BE397" s="11"/>
      <c r="BF397" s="11"/>
      <c r="BG397" s="11"/>
      <c r="BK397" s="11"/>
      <c r="BL397" s="11"/>
      <c r="BP397" s="12"/>
      <c r="BQ397" s="400"/>
    </row>
    <row r="398" spans="4:69">
      <c r="D398" s="11"/>
      <c r="E398" s="86"/>
      <c r="F398" s="85"/>
      <c r="G398" s="85"/>
      <c r="H398" s="85"/>
      <c r="I398" s="85"/>
      <c r="J398" s="85"/>
      <c r="BD398" s="11"/>
      <c r="BE398" s="11"/>
      <c r="BF398" s="11"/>
      <c r="BG398" s="11"/>
      <c r="BK398" s="11"/>
      <c r="BL398" s="11"/>
      <c r="BP398" s="12"/>
      <c r="BQ398" s="400"/>
    </row>
    <row r="399" spans="4:69">
      <c r="D399" s="11"/>
      <c r="E399" s="86"/>
      <c r="F399" s="85"/>
      <c r="G399" s="85"/>
      <c r="H399" s="85"/>
      <c r="I399" s="85"/>
      <c r="J399" s="85"/>
      <c r="BD399" s="11"/>
      <c r="BE399" s="11"/>
      <c r="BF399" s="11"/>
      <c r="BG399" s="11"/>
      <c r="BK399" s="11"/>
      <c r="BL399" s="11"/>
      <c r="BP399" s="12"/>
      <c r="BQ399" s="400"/>
    </row>
    <row r="400" spans="4:69">
      <c r="D400" s="11"/>
      <c r="E400" s="86"/>
      <c r="F400" s="85"/>
      <c r="G400" s="85"/>
      <c r="H400" s="85"/>
      <c r="I400" s="85"/>
      <c r="J400" s="85"/>
      <c r="BD400" s="11"/>
      <c r="BE400" s="11"/>
      <c r="BF400" s="11"/>
      <c r="BG400" s="11"/>
      <c r="BK400" s="11"/>
      <c r="BL400" s="11"/>
      <c r="BP400" s="12"/>
      <c r="BQ400" s="400"/>
    </row>
    <row r="401" spans="4:69">
      <c r="D401" s="11"/>
      <c r="E401" s="86"/>
      <c r="F401" s="85"/>
      <c r="G401" s="85"/>
      <c r="H401" s="85"/>
      <c r="I401" s="85"/>
      <c r="J401" s="85"/>
      <c r="BD401" s="11"/>
      <c r="BE401" s="11"/>
      <c r="BF401" s="11"/>
      <c r="BG401" s="11"/>
      <c r="BK401" s="11"/>
      <c r="BL401" s="11"/>
      <c r="BP401" s="12"/>
      <c r="BQ401" s="400"/>
    </row>
    <row r="402" spans="4:69">
      <c r="D402" s="11"/>
      <c r="E402" s="86"/>
      <c r="F402" s="85"/>
      <c r="G402" s="85"/>
      <c r="H402" s="85"/>
      <c r="I402" s="85"/>
      <c r="J402" s="85"/>
      <c r="BD402" s="11"/>
      <c r="BE402" s="11"/>
      <c r="BF402" s="11"/>
      <c r="BG402" s="11"/>
      <c r="BK402" s="11"/>
      <c r="BL402" s="11"/>
      <c r="BP402" s="12"/>
      <c r="BQ402" s="400"/>
    </row>
    <row r="403" spans="4:69">
      <c r="D403" s="11"/>
      <c r="E403" s="86"/>
      <c r="F403" s="85"/>
      <c r="G403" s="85"/>
      <c r="H403" s="85"/>
      <c r="I403" s="85"/>
      <c r="J403" s="85"/>
      <c r="BD403" s="11"/>
      <c r="BE403" s="11"/>
      <c r="BF403" s="11"/>
      <c r="BG403" s="11"/>
      <c r="BK403" s="11"/>
      <c r="BL403" s="11"/>
      <c r="BP403" s="12"/>
      <c r="BQ403" s="400"/>
    </row>
    <row r="404" spans="4:69">
      <c r="D404" s="11"/>
      <c r="E404" s="86"/>
      <c r="F404" s="85"/>
      <c r="G404" s="85"/>
      <c r="H404" s="85"/>
      <c r="I404" s="85"/>
      <c r="J404" s="85"/>
      <c r="BD404" s="11"/>
      <c r="BE404" s="11"/>
      <c r="BF404" s="11"/>
      <c r="BG404" s="11"/>
      <c r="BK404" s="11"/>
      <c r="BL404" s="11"/>
      <c r="BP404" s="12"/>
      <c r="BQ404" s="400"/>
    </row>
    <row r="405" spans="4:69">
      <c r="D405" s="11"/>
      <c r="E405" s="86"/>
      <c r="F405" s="85"/>
      <c r="G405" s="85"/>
      <c r="H405" s="85"/>
      <c r="I405" s="85"/>
      <c r="J405" s="85"/>
      <c r="BD405" s="11"/>
      <c r="BE405" s="11"/>
      <c r="BF405" s="11"/>
      <c r="BG405" s="11"/>
      <c r="BK405" s="11"/>
      <c r="BL405" s="11"/>
      <c r="BP405" s="12"/>
      <c r="BQ405" s="400"/>
    </row>
    <row r="406" spans="4:69">
      <c r="D406" s="11"/>
      <c r="E406" s="86"/>
      <c r="F406" s="85"/>
      <c r="G406" s="85"/>
      <c r="H406" s="85"/>
      <c r="I406" s="85"/>
      <c r="J406" s="85"/>
      <c r="BD406" s="11"/>
      <c r="BE406" s="11"/>
      <c r="BF406" s="11"/>
      <c r="BG406" s="11"/>
      <c r="BK406" s="11"/>
      <c r="BL406" s="11"/>
      <c r="BP406" s="12"/>
      <c r="BQ406" s="400"/>
    </row>
    <row r="407" spans="4:69">
      <c r="D407" s="11"/>
      <c r="E407" s="86"/>
      <c r="F407" s="85"/>
      <c r="G407" s="85"/>
      <c r="H407" s="85"/>
      <c r="I407" s="85"/>
      <c r="J407" s="85"/>
      <c r="BD407" s="11"/>
      <c r="BE407" s="11"/>
      <c r="BF407" s="11"/>
      <c r="BG407" s="11"/>
      <c r="BK407" s="11"/>
      <c r="BL407" s="11"/>
      <c r="BP407" s="12"/>
      <c r="BQ407" s="400"/>
    </row>
    <row r="408" spans="4:69">
      <c r="D408" s="11"/>
      <c r="E408" s="86"/>
      <c r="F408" s="85"/>
      <c r="G408" s="85"/>
      <c r="H408" s="85"/>
      <c r="I408" s="85"/>
      <c r="J408" s="85"/>
      <c r="BD408" s="11"/>
      <c r="BE408" s="11"/>
      <c r="BF408" s="11"/>
      <c r="BG408" s="11"/>
      <c r="BK408" s="11"/>
      <c r="BL408" s="11"/>
      <c r="BP408" s="12"/>
      <c r="BQ408" s="400"/>
    </row>
    <row r="409" spans="4:69">
      <c r="D409" s="11"/>
      <c r="E409" s="86"/>
      <c r="F409" s="85"/>
      <c r="G409" s="85"/>
      <c r="H409" s="85"/>
      <c r="I409" s="85"/>
      <c r="J409" s="85"/>
      <c r="BD409" s="11"/>
      <c r="BE409" s="11"/>
      <c r="BF409" s="11"/>
      <c r="BG409" s="11"/>
      <c r="BK409" s="11"/>
      <c r="BL409" s="11"/>
      <c r="BP409" s="12"/>
      <c r="BQ409" s="400"/>
    </row>
    <row r="410" spans="4:69">
      <c r="D410" s="11"/>
      <c r="E410" s="86"/>
      <c r="F410" s="85"/>
      <c r="G410" s="85"/>
      <c r="H410" s="85"/>
      <c r="I410" s="85"/>
      <c r="J410" s="85"/>
      <c r="BD410" s="11"/>
      <c r="BE410" s="11"/>
      <c r="BF410" s="11"/>
      <c r="BG410" s="11"/>
      <c r="BK410" s="11"/>
      <c r="BL410" s="11"/>
      <c r="BP410" s="12"/>
      <c r="BQ410" s="400"/>
    </row>
    <row r="411" spans="4:69">
      <c r="D411" s="11"/>
      <c r="E411" s="86"/>
      <c r="F411" s="85"/>
      <c r="G411" s="85"/>
      <c r="H411" s="85"/>
      <c r="I411" s="85"/>
      <c r="J411" s="85"/>
      <c r="BD411" s="11"/>
      <c r="BE411" s="11"/>
      <c r="BF411" s="11"/>
      <c r="BG411" s="11"/>
      <c r="BK411" s="11"/>
      <c r="BL411" s="11"/>
      <c r="BP411" s="12"/>
      <c r="BQ411" s="400"/>
    </row>
    <row r="412" spans="4:69">
      <c r="D412" s="11"/>
      <c r="E412" s="86"/>
      <c r="F412" s="85"/>
      <c r="G412" s="85"/>
      <c r="H412" s="85"/>
      <c r="I412" s="85"/>
      <c r="J412" s="85"/>
      <c r="BD412" s="11"/>
      <c r="BE412" s="11"/>
      <c r="BF412" s="11"/>
      <c r="BG412" s="11"/>
      <c r="BK412" s="11"/>
      <c r="BL412" s="11"/>
      <c r="BP412" s="12"/>
      <c r="BQ412" s="400"/>
    </row>
    <row r="413" spans="4:69">
      <c r="D413" s="11"/>
      <c r="E413" s="86"/>
      <c r="F413" s="85"/>
      <c r="G413" s="85"/>
      <c r="H413" s="85"/>
      <c r="I413" s="85"/>
      <c r="J413" s="85"/>
      <c r="BD413" s="11"/>
      <c r="BE413" s="11"/>
      <c r="BF413" s="11"/>
      <c r="BG413" s="11"/>
      <c r="BK413" s="11"/>
      <c r="BL413" s="11"/>
      <c r="BP413" s="12"/>
      <c r="BQ413" s="400"/>
    </row>
    <row r="414" spans="4:69">
      <c r="D414" s="11"/>
      <c r="E414" s="86"/>
      <c r="F414" s="85"/>
      <c r="G414" s="85"/>
      <c r="H414" s="85"/>
      <c r="I414" s="85"/>
      <c r="J414" s="85"/>
      <c r="BD414" s="11"/>
      <c r="BE414" s="11"/>
      <c r="BF414" s="11"/>
      <c r="BG414" s="11"/>
      <c r="BK414" s="11"/>
      <c r="BL414" s="11"/>
      <c r="BP414" s="12"/>
      <c r="BQ414" s="400"/>
    </row>
    <row r="415" spans="4:69">
      <c r="D415" s="11"/>
      <c r="E415" s="86"/>
      <c r="F415" s="85"/>
      <c r="G415" s="85"/>
      <c r="H415" s="85"/>
      <c r="I415" s="85"/>
      <c r="J415" s="85"/>
      <c r="BD415" s="11"/>
      <c r="BE415" s="11"/>
      <c r="BF415" s="11"/>
      <c r="BG415" s="11"/>
      <c r="BK415" s="11"/>
      <c r="BL415" s="11"/>
      <c r="BP415" s="12"/>
      <c r="BQ415" s="400"/>
    </row>
    <row r="416" spans="4:69">
      <c r="D416" s="11"/>
      <c r="E416" s="86"/>
      <c r="F416" s="85"/>
      <c r="G416" s="85"/>
      <c r="H416" s="85"/>
      <c r="I416" s="85"/>
      <c r="J416" s="85"/>
      <c r="BD416" s="11"/>
      <c r="BE416" s="11"/>
      <c r="BF416" s="11"/>
      <c r="BG416" s="11"/>
      <c r="BK416" s="11"/>
      <c r="BL416" s="11"/>
      <c r="BP416" s="12"/>
      <c r="BQ416" s="400"/>
    </row>
    <row r="417" spans="4:69">
      <c r="D417" s="11"/>
      <c r="E417" s="86"/>
      <c r="F417" s="85"/>
      <c r="G417" s="85"/>
      <c r="H417" s="85"/>
      <c r="I417" s="85"/>
      <c r="J417" s="85"/>
      <c r="BD417" s="11"/>
      <c r="BE417" s="11"/>
      <c r="BF417" s="11"/>
      <c r="BG417" s="11"/>
      <c r="BK417" s="11"/>
      <c r="BL417" s="11"/>
      <c r="BP417" s="12"/>
      <c r="BQ417" s="400"/>
    </row>
    <row r="418" spans="4:69">
      <c r="D418" s="11"/>
      <c r="E418" s="86"/>
      <c r="F418" s="85"/>
      <c r="G418" s="85"/>
      <c r="H418" s="85"/>
      <c r="I418" s="85"/>
      <c r="J418" s="85"/>
      <c r="BD418" s="11"/>
      <c r="BE418" s="11"/>
      <c r="BF418" s="11"/>
      <c r="BG418" s="11"/>
      <c r="BK418" s="11"/>
      <c r="BL418" s="11"/>
      <c r="BP418" s="12"/>
      <c r="BQ418" s="400"/>
    </row>
    <row r="419" spans="4:69">
      <c r="D419" s="11"/>
      <c r="E419" s="86"/>
      <c r="F419" s="85"/>
      <c r="G419" s="85"/>
      <c r="H419" s="85"/>
      <c r="I419" s="85"/>
      <c r="J419" s="85"/>
      <c r="BD419" s="11"/>
      <c r="BE419" s="11"/>
      <c r="BF419" s="11"/>
      <c r="BG419" s="11"/>
      <c r="BK419" s="11"/>
      <c r="BL419" s="11"/>
      <c r="BP419" s="12"/>
      <c r="BQ419" s="400"/>
    </row>
    <row r="420" spans="4:69">
      <c r="D420" s="11"/>
      <c r="E420" s="86"/>
      <c r="F420" s="85"/>
      <c r="G420" s="85"/>
      <c r="H420" s="85"/>
      <c r="I420" s="85"/>
      <c r="J420" s="85"/>
      <c r="BD420" s="11"/>
      <c r="BE420" s="11"/>
      <c r="BF420" s="11"/>
      <c r="BG420" s="11"/>
      <c r="BK420" s="11"/>
      <c r="BL420" s="11"/>
      <c r="BP420" s="12"/>
      <c r="BQ420" s="400"/>
    </row>
    <row r="421" spans="4:69">
      <c r="D421" s="11"/>
      <c r="E421" s="86"/>
      <c r="F421" s="85"/>
      <c r="G421" s="85"/>
      <c r="H421" s="85"/>
      <c r="I421" s="85"/>
      <c r="J421" s="85"/>
      <c r="BD421" s="11"/>
      <c r="BE421" s="11"/>
      <c r="BF421" s="11"/>
      <c r="BG421" s="11"/>
      <c r="BK421" s="11"/>
      <c r="BL421" s="11"/>
      <c r="BP421" s="12"/>
      <c r="BQ421" s="400"/>
    </row>
    <row r="422" spans="4:69">
      <c r="D422" s="11"/>
      <c r="E422" s="86"/>
      <c r="F422" s="85"/>
      <c r="G422" s="85"/>
      <c r="H422" s="85"/>
      <c r="I422" s="85"/>
      <c r="J422" s="85"/>
      <c r="BD422" s="11"/>
      <c r="BE422" s="11"/>
      <c r="BF422" s="11"/>
      <c r="BG422" s="11"/>
      <c r="BK422" s="11"/>
      <c r="BL422" s="11"/>
      <c r="BP422" s="12"/>
      <c r="BQ422" s="400"/>
    </row>
    <row r="423" spans="4:69">
      <c r="D423" s="11"/>
      <c r="E423" s="86"/>
      <c r="F423" s="85"/>
      <c r="G423" s="85"/>
      <c r="H423" s="85"/>
      <c r="I423" s="85"/>
      <c r="J423" s="85"/>
      <c r="BD423" s="11"/>
      <c r="BE423" s="11"/>
      <c r="BF423" s="11"/>
      <c r="BG423" s="11"/>
      <c r="BK423" s="11"/>
      <c r="BL423" s="11"/>
      <c r="BP423" s="12"/>
      <c r="BQ423" s="400"/>
    </row>
    <row r="424" spans="4:69">
      <c r="D424" s="11"/>
      <c r="E424" s="86"/>
      <c r="F424" s="85"/>
      <c r="G424" s="85"/>
      <c r="H424" s="85"/>
      <c r="I424" s="85"/>
      <c r="J424" s="85"/>
      <c r="BD424" s="11"/>
      <c r="BE424" s="11"/>
      <c r="BF424" s="11"/>
      <c r="BG424" s="11"/>
      <c r="BK424" s="11"/>
      <c r="BL424" s="11"/>
      <c r="BP424" s="12"/>
      <c r="BQ424" s="400"/>
    </row>
    <row r="425" spans="4:69">
      <c r="D425" s="11"/>
      <c r="E425" s="86"/>
      <c r="F425" s="85"/>
      <c r="G425" s="85"/>
      <c r="H425" s="85"/>
      <c r="I425" s="85"/>
      <c r="J425" s="85"/>
      <c r="BD425" s="11"/>
      <c r="BE425" s="11"/>
      <c r="BF425" s="11"/>
      <c r="BG425" s="11"/>
      <c r="BK425" s="11"/>
      <c r="BL425" s="11"/>
      <c r="BP425" s="12"/>
      <c r="BQ425" s="400"/>
    </row>
    <row r="426" spans="4:69">
      <c r="D426" s="11"/>
      <c r="E426" s="86"/>
      <c r="F426" s="85"/>
      <c r="G426" s="85"/>
      <c r="H426" s="85"/>
      <c r="I426" s="85"/>
      <c r="J426" s="85"/>
      <c r="BD426" s="11"/>
      <c r="BE426" s="11"/>
      <c r="BF426" s="11"/>
      <c r="BG426" s="11"/>
      <c r="BK426" s="11"/>
      <c r="BL426" s="11"/>
      <c r="BP426" s="12"/>
      <c r="BQ426" s="400"/>
    </row>
    <row r="427" spans="4:69">
      <c r="D427" s="11"/>
      <c r="E427" s="86"/>
      <c r="F427" s="85"/>
      <c r="G427" s="85"/>
      <c r="H427" s="85"/>
      <c r="I427" s="85"/>
      <c r="J427" s="85"/>
      <c r="BD427" s="11"/>
      <c r="BE427" s="11"/>
      <c r="BF427" s="11"/>
      <c r="BG427" s="11"/>
      <c r="BK427" s="11"/>
      <c r="BL427" s="11"/>
      <c r="BP427" s="12"/>
      <c r="BQ427" s="400"/>
    </row>
    <row r="428" spans="4:69">
      <c r="D428" s="11"/>
      <c r="E428" s="86"/>
      <c r="F428" s="85"/>
      <c r="G428" s="85"/>
      <c r="H428" s="85"/>
      <c r="I428" s="85"/>
      <c r="J428" s="85"/>
      <c r="BD428" s="11"/>
      <c r="BE428" s="11"/>
      <c r="BF428" s="11"/>
      <c r="BG428" s="11"/>
      <c r="BK428" s="11"/>
      <c r="BL428" s="11"/>
      <c r="BP428" s="12"/>
      <c r="BQ428" s="400"/>
    </row>
    <row r="429" spans="4:69">
      <c r="D429" s="11"/>
      <c r="E429" s="86"/>
      <c r="F429" s="85"/>
      <c r="G429" s="85"/>
      <c r="H429" s="85"/>
      <c r="I429" s="85"/>
      <c r="J429" s="85"/>
      <c r="BD429" s="11"/>
      <c r="BE429" s="11"/>
      <c r="BF429" s="11"/>
      <c r="BG429" s="11"/>
      <c r="BK429" s="11"/>
      <c r="BL429" s="11"/>
      <c r="BP429" s="12"/>
      <c r="BQ429" s="400"/>
    </row>
    <row r="430" spans="4:69">
      <c r="D430" s="11"/>
      <c r="E430" s="86"/>
      <c r="F430" s="85"/>
      <c r="G430" s="85"/>
      <c r="H430" s="85"/>
      <c r="I430" s="85"/>
      <c r="J430" s="85"/>
      <c r="BD430" s="11"/>
      <c r="BE430" s="11"/>
      <c r="BF430" s="11"/>
      <c r="BG430" s="11"/>
      <c r="BK430" s="11"/>
      <c r="BL430" s="11"/>
      <c r="BP430" s="12"/>
      <c r="BQ430" s="400"/>
    </row>
    <row r="431" spans="4:69">
      <c r="D431" s="11"/>
      <c r="E431" s="86"/>
      <c r="F431" s="85"/>
      <c r="G431" s="85"/>
      <c r="H431" s="85"/>
      <c r="I431" s="85"/>
      <c r="J431" s="85"/>
      <c r="BD431" s="11"/>
      <c r="BE431" s="11"/>
      <c r="BF431" s="11"/>
      <c r="BG431" s="11"/>
      <c r="BK431" s="11"/>
      <c r="BL431" s="11"/>
      <c r="BP431" s="12"/>
      <c r="BQ431" s="400"/>
    </row>
    <row r="432" spans="4:69">
      <c r="D432" s="11"/>
      <c r="E432" s="86"/>
      <c r="F432" s="85"/>
      <c r="G432" s="85"/>
      <c r="H432" s="85"/>
      <c r="I432" s="85"/>
      <c r="J432" s="85"/>
      <c r="BD432" s="11"/>
      <c r="BE432" s="11"/>
      <c r="BF432" s="11"/>
      <c r="BG432" s="11"/>
      <c r="BK432" s="11"/>
      <c r="BL432" s="11"/>
      <c r="BP432" s="12"/>
      <c r="BQ432" s="400"/>
    </row>
    <row r="433" spans="4:69">
      <c r="D433" s="11"/>
      <c r="E433" s="86"/>
      <c r="F433" s="85"/>
      <c r="G433" s="85"/>
      <c r="H433" s="85"/>
      <c r="I433" s="85"/>
      <c r="J433" s="85"/>
      <c r="BD433" s="11"/>
      <c r="BE433" s="11"/>
      <c r="BF433" s="11"/>
      <c r="BG433" s="11"/>
      <c r="BK433" s="11"/>
      <c r="BL433" s="11"/>
      <c r="BP433" s="12"/>
      <c r="BQ433" s="400"/>
    </row>
    <row r="434" spans="4:69">
      <c r="D434" s="11"/>
      <c r="E434" s="86"/>
      <c r="F434" s="85"/>
      <c r="G434" s="85"/>
      <c r="H434" s="85"/>
      <c r="I434" s="85"/>
      <c r="J434" s="85"/>
      <c r="BD434" s="11"/>
      <c r="BE434" s="11"/>
      <c r="BF434" s="11"/>
      <c r="BG434" s="11"/>
      <c r="BK434" s="11"/>
      <c r="BL434" s="11"/>
      <c r="BP434" s="12"/>
      <c r="BQ434" s="400"/>
    </row>
    <row r="435" spans="4:69">
      <c r="D435" s="11"/>
      <c r="E435" s="86"/>
      <c r="F435" s="85"/>
      <c r="G435" s="85"/>
      <c r="H435" s="85"/>
      <c r="I435" s="85"/>
      <c r="J435" s="85"/>
      <c r="BD435" s="11"/>
      <c r="BE435" s="11"/>
      <c r="BF435" s="11"/>
      <c r="BG435" s="11"/>
      <c r="BK435" s="11"/>
      <c r="BL435" s="11"/>
      <c r="BP435" s="12"/>
      <c r="BQ435" s="400"/>
    </row>
    <row r="436" spans="4:69">
      <c r="D436" s="11"/>
      <c r="E436" s="86"/>
      <c r="F436" s="85"/>
      <c r="G436" s="85"/>
      <c r="H436" s="85"/>
      <c r="I436" s="85"/>
      <c r="J436" s="85"/>
      <c r="BD436" s="11"/>
      <c r="BE436" s="11"/>
      <c r="BF436" s="11"/>
      <c r="BG436" s="11"/>
      <c r="BK436" s="11"/>
      <c r="BL436" s="11"/>
      <c r="BP436" s="12"/>
      <c r="BQ436" s="400"/>
    </row>
    <row r="437" spans="4:69">
      <c r="D437" s="11"/>
      <c r="E437" s="86"/>
      <c r="F437" s="85"/>
      <c r="G437" s="85"/>
      <c r="H437" s="85"/>
      <c r="I437" s="85"/>
      <c r="J437" s="85"/>
      <c r="BD437" s="11"/>
      <c r="BE437" s="11"/>
      <c r="BF437" s="11"/>
      <c r="BG437" s="11"/>
      <c r="BK437" s="11"/>
      <c r="BL437" s="11"/>
      <c r="BP437" s="12"/>
      <c r="BQ437" s="400"/>
    </row>
    <row r="438" spans="4:69">
      <c r="D438" s="11"/>
      <c r="E438" s="86"/>
      <c r="F438" s="85"/>
      <c r="G438" s="85"/>
      <c r="H438" s="85"/>
      <c r="I438" s="85"/>
      <c r="J438" s="85"/>
      <c r="BD438" s="11"/>
      <c r="BE438" s="11"/>
      <c r="BF438" s="11"/>
      <c r="BG438" s="11"/>
      <c r="BK438" s="11"/>
      <c r="BL438" s="11"/>
      <c r="BP438" s="12"/>
      <c r="BQ438" s="400"/>
    </row>
    <row r="439" spans="4:69">
      <c r="D439" s="11"/>
      <c r="E439" s="86"/>
      <c r="F439" s="85"/>
      <c r="G439" s="85"/>
      <c r="H439" s="85"/>
      <c r="I439" s="85"/>
      <c r="J439" s="85"/>
      <c r="BD439" s="11"/>
      <c r="BE439" s="11"/>
      <c r="BF439" s="11"/>
      <c r="BG439" s="11"/>
      <c r="BK439" s="11"/>
      <c r="BL439" s="11"/>
      <c r="BP439" s="12"/>
      <c r="BQ439" s="400"/>
    </row>
    <row r="440" spans="4:69">
      <c r="D440" s="11"/>
      <c r="E440" s="86"/>
      <c r="F440" s="85"/>
      <c r="G440" s="85"/>
      <c r="H440" s="85"/>
      <c r="I440" s="85"/>
      <c r="J440" s="85"/>
      <c r="BD440" s="11"/>
      <c r="BE440" s="11"/>
      <c r="BF440" s="11"/>
      <c r="BG440" s="11"/>
      <c r="BK440" s="11"/>
      <c r="BL440" s="11"/>
      <c r="BP440" s="12"/>
      <c r="BQ440" s="400"/>
    </row>
    <row r="441" spans="4:69">
      <c r="D441" s="11"/>
      <c r="E441" s="86"/>
      <c r="F441" s="85"/>
      <c r="G441" s="85"/>
      <c r="H441" s="85"/>
      <c r="I441" s="85"/>
      <c r="J441" s="85"/>
      <c r="BD441" s="11"/>
      <c r="BE441" s="11"/>
      <c r="BF441" s="11"/>
      <c r="BG441" s="11"/>
      <c r="BK441" s="11"/>
      <c r="BL441" s="11"/>
      <c r="BP441" s="12"/>
      <c r="BQ441" s="400"/>
    </row>
    <row r="442" spans="4:69">
      <c r="D442" s="11"/>
      <c r="E442" s="86"/>
      <c r="F442" s="85"/>
      <c r="G442" s="85"/>
      <c r="H442" s="85"/>
      <c r="I442" s="85"/>
      <c r="J442" s="85"/>
      <c r="BD442" s="11"/>
      <c r="BE442" s="11"/>
      <c r="BF442" s="11"/>
      <c r="BG442" s="11"/>
      <c r="BK442" s="11"/>
      <c r="BL442" s="11"/>
      <c r="BP442" s="12"/>
      <c r="BQ442" s="400"/>
    </row>
    <row r="443" spans="4:69">
      <c r="D443" s="11"/>
      <c r="E443" s="86"/>
      <c r="F443" s="85"/>
      <c r="G443" s="85"/>
      <c r="H443" s="85"/>
      <c r="I443" s="85"/>
      <c r="J443" s="85"/>
      <c r="BD443" s="11"/>
      <c r="BE443" s="11"/>
      <c r="BF443" s="11"/>
      <c r="BG443" s="11"/>
      <c r="BK443" s="11"/>
      <c r="BL443" s="11"/>
      <c r="BP443" s="12"/>
      <c r="BQ443" s="400"/>
    </row>
    <row r="444" spans="4:69">
      <c r="D444" s="11"/>
      <c r="E444" s="86"/>
      <c r="F444" s="85"/>
      <c r="G444" s="85"/>
      <c r="H444" s="85"/>
      <c r="I444" s="85"/>
      <c r="J444" s="85"/>
      <c r="BD444" s="11"/>
      <c r="BE444" s="11"/>
      <c r="BF444" s="11"/>
      <c r="BG444" s="11"/>
      <c r="BK444" s="11"/>
      <c r="BL444" s="11"/>
      <c r="BP444" s="12"/>
      <c r="BQ444" s="400"/>
    </row>
    <row r="445" spans="4:69">
      <c r="D445" s="11"/>
      <c r="E445" s="86"/>
      <c r="F445" s="85"/>
      <c r="G445" s="85"/>
      <c r="H445" s="85"/>
      <c r="I445" s="85"/>
      <c r="J445" s="85"/>
      <c r="BD445" s="11"/>
      <c r="BE445" s="11"/>
      <c r="BF445" s="11"/>
      <c r="BG445" s="11"/>
      <c r="BK445" s="11"/>
      <c r="BL445" s="11"/>
      <c r="BP445" s="12"/>
      <c r="BQ445" s="400"/>
    </row>
    <row r="446" spans="4:69">
      <c r="D446" s="11"/>
      <c r="E446" s="86"/>
      <c r="F446" s="85"/>
      <c r="G446" s="85"/>
      <c r="H446" s="85"/>
      <c r="I446" s="85"/>
      <c r="J446" s="85"/>
      <c r="BD446" s="11"/>
      <c r="BE446" s="11"/>
      <c r="BF446" s="11"/>
      <c r="BG446" s="11"/>
      <c r="BK446" s="11"/>
      <c r="BL446" s="11"/>
      <c r="BP446" s="12"/>
      <c r="BQ446" s="400"/>
    </row>
    <row r="447" spans="4:69">
      <c r="D447" s="11"/>
      <c r="E447" s="86"/>
      <c r="F447" s="85"/>
      <c r="G447" s="85"/>
      <c r="H447" s="85"/>
      <c r="I447" s="85"/>
      <c r="J447" s="85"/>
      <c r="BD447" s="11"/>
      <c r="BE447" s="11"/>
      <c r="BF447" s="11"/>
      <c r="BG447" s="11"/>
      <c r="BK447" s="11"/>
      <c r="BL447" s="11"/>
      <c r="BP447" s="12"/>
      <c r="BQ447" s="400"/>
    </row>
    <row r="448" spans="4:69">
      <c r="D448" s="11"/>
      <c r="E448" s="86"/>
      <c r="F448" s="85"/>
      <c r="G448" s="85"/>
      <c r="H448" s="85"/>
      <c r="I448" s="85"/>
      <c r="J448" s="85"/>
      <c r="BD448" s="11"/>
      <c r="BE448" s="11"/>
      <c r="BF448" s="11"/>
      <c r="BG448" s="11"/>
      <c r="BK448" s="11"/>
      <c r="BL448" s="11"/>
      <c r="BP448" s="12"/>
      <c r="BQ448" s="400"/>
    </row>
    <row r="449" spans="4:69">
      <c r="D449" s="11"/>
      <c r="E449" s="86"/>
      <c r="F449" s="85"/>
      <c r="G449" s="85"/>
      <c r="H449" s="85"/>
      <c r="I449" s="85"/>
      <c r="J449" s="85"/>
      <c r="BD449" s="11"/>
      <c r="BE449" s="11"/>
      <c r="BF449" s="11"/>
      <c r="BG449" s="11"/>
      <c r="BK449" s="11"/>
      <c r="BL449" s="11"/>
      <c r="BP449" s="12"/>
      <c r="BQ449" s="400"/>
    </row>
    <row r="450" spans="4:69">
      <c r="D450" s="11"/>
      <c r="E450" s="86"/>
      <c r="F450" s="85"/>
      <c r="G450" s="85"/>
      <c r="H450" s="85"/>
      <c r="I450" s="85"/>
      <c r="J450" s="85"/>
      <c r="BD450" s="11"/>
      <c r="BE450" s="11"/>
      <c r="BF450" s="11"/>
      <c r="BG450" s="11"/>
      <c r="BK450" s="11"/>
      <c r="BL450" s="11"/>
      <c r="BP450" s="12"/>
      <c r="BQ450" s="400"/>
    </row>
    <row r="451" spans="4:69">
      <c r="D451" s="11"/>
      <c r="E451" s="86"/>
      <c r="F451" s="85"/>
      <c r="G451" s="85"/>
      <c r="H451" s="85"/>
      <c r="I451" s="85"/>
      <c r="J451" s="85"/>
      <c r="BD451" s="11"/>
      <c r="BE451" s="11"/>
      <c r="BF451" s="11"/>
      <c r="BG451" s="11"/>
      <c r="BK451" s="11"/>
      <c r="BL451" s="11"/>
      <c r="BP451" s="12"/>
      <c r="BQ451" s="400"/>
    </row>
    <row r="452" spans="4:69">
      <c r="D452" s="11"/>
      <c r="E452" s="86"/>
      <c r="F452" s="85"/>
      <c r="G452" s="85"/>
      <c r="H452" s="85"/>
      <c r="I452" s="85"/>
      <c r="J452" s="85"/>
      <c r="BD452" s="11"/>
      <c r="BE452" s="11"/>
      <c r="BF452" s="11"/>
      <c r="BG452" s="11"/>
      <c r="BK452" s="11"/>
      <c r="BL452" s="11"/>
      <c r="BP452" s="12"/>
      <c r="BQ452" s="400"/>
    </row>
    <row r="453" spans="4:69">
      <c r="D453" s="11"/>
      <c r="E453" s="86"/>
      <c r="F453" s="85"/>
      <c r="G453" s="85"/>
      <c r="H453" s="85"/>
      <c r="I453" s="85"/>
      <c r="J453" s="85"/>
      <c r="BD453" s="11"/>
      <c r="BE453" s="11"/>
      <c r="BF453" s="11"/>
      <c r="BG453" s="11"/>
      <c r="BK453" s="11"/>
      <c r="BL453" s="11"/>
      <c r="BP453" s="12"/>
      <c r="BQ453" s="400"/>
    </row>
    <row r="454" spans="4:69">
      <c r="D454" s="11"/>
      <c r="E454" s="86"/>
      <c r="F454" s="85"/>
      <c r="G454" s="85"/>
      <c r="H454" s="85"/>
      <c r="I454" s="85"/>
      <c r="J454" s="85"/>
      <c r="BD454" s="11"/>
      <c r="BE454" s="11"/>
      <c r="BF454" s="11"/>
      <c r="BG454" s="11"/>
      <c r="BK454" s="11"/>
      <c r="BL454" s="11"/>
      <c r="BP454" s="12"/>
      <c r="BQ454" s="400"/>
    </row>
    <row r="455" spans="4:69">
      <c r="D455" s="11"/>
      <c r="E455" s="86"/>
      <c r="F455" s="85"/>
      <c r="G455" s="85"/>
      <c r="H455" s="85"/>
      <c r="I455" s="85"/>
      <c r="J455" s="85"/>
      <c r="BD455" s="11"/>
      <c r="BE455" s="11"/>
      <c r="BF455" s="11"/>
      <c r="BG455" s="11"/>
      <c r="BK455" s="11"/>
      <c r="BL455" s="11"/>
      <c r="BP455" s="12"/>
      <c r="BQ455" s="400"/>
    </row>
    <row r="456" spans="4:69">
      <c r="D456" s="11"/>
      <c r="E456" s="86"/>
      <c r="F456" s="85"/>
      <c r="G456" s="85"/>
      <c r="H456" s="85"/>
      <c r="I456" s="85"/>
      <c r="J456" s="85"/>
      <c r="BD456" s="11"/>
      <c r="BE456" s="11"/>
      <c r="BF456" s="11"/>
      <c r="BG456" s="11"/>
      <c r="BK456" s="11"/>
      <c r="BL456" s="11"/>
      <c r="BP456" s="12"/>
      <c r="BQ456" s="400"/>
    </row>
    <row r="457" spans="4:69">
      <c r="D457" s="11"/>
      <c r="E457" s="86"/>
      <c r="F457" s="85"/>
      <c r="G457" s="85"/>
      <c r="H457" s="85"/>
      <c r="I457" s="85"/>
      <c r="J457" s="85"/>
      <c r="BD457" s="11"/>
      <c r="BE457" s="11"/>
      <c r="BF457" s="11"/>
      <c r="BG457" s="11"/>
      <c r="BK457" s="11"/>
      <c r="BL457" s="11"/>
      <c r="BP457" s="12"/>
      <c r="BQ457" s="400"/>
    </row>
    <row r="458" spans="4:69">
      <c r="D458" s="11"/>
      <c r="E458" s="86"/>
      <c r="F458" s="85"/>
      <c r="G458" s="85"/>
      <c r="H458" s="85"/>
      <c r="I458" s="85"/>
      <c r="J458" s="85"/>
      <c r="BD458" s="11"/>
      <c r="BE458" s="11"/>
      <c r="BF458" s="11"/>
      <c r="BG458" s="11"/>
      <c r="BK458" s="11"/>
      <c r="BL458" s="11"/>
      <c r="BP458" s="12"/>
      <c r="BQ458" s="400"/>
    </row>
    <row r="459" spans="4:69">
      <c r="D459" s="11"/>
      <c r="E459" s="86"/>
      <c r="F459" s="85"/>
      <c r="G459" s="85"/>
      <c r="H459" s="85"/>
      <c r="I459" s="85"/>
      <c r="J459" s="85"/>
      <c r="BD459" s="11"/>
      <c r="BE459" s="11"/>
      <c r="BF459" s="11"/>
      <c r="BG459" s="11"/>
      <c r="BK459" s="11"/>
      <c r="BL459" s="11"/>
      <c r="BP459" s="12"/>
      <c r="BQ459" s="400"/>
    </row>
    <row r="460" spans="4:69">
      <c r="D460" s="11"/>
      <c r="E460" s="86"/>
      <c r="F460" s="85"/>
      <c r="G460" s="85"/>
      <c r="H460" s="85"/>
      <c r="I460" s="85"/>
      <c r="J460" s="85"/>
      <c r="BD460" s="11"/>
      <c r="BE460" s="11"/>
      <c r="BF460" s="11"/>
      <c r="BG460" s="11"/>
      <c r="BK460" s="11"/>
      <c r="BL460" s="11"/>
      <c r="BP460" s="12"/>
      <c r="BQ460" s="400"/>
    </row>
    <row r="461" spans="4:69">
      <c r="D461" s="11"/>
      <c r="E461" s="86"/>
      <c r="F461" s="85"/>
      <c r="G461" s="85"/>
      <c r="H461" s="85"/>
      <c r="I461" s="85"/>
      <c r="J461" s="85"/>
      <c r="BD461" s="11"/>
      <c r="BE461" s="11"/>
      <c r="BF461" s="11"/>
      <c r="BG461" s="11"/>
      <c r="BK461" s="11"/>
      <c r="BL461" s="11"/>
      <c r="BP461" s="12"/>
      <c r="BQ461" s="400"/>
    </row>
    <row r="462" spans="4:69">
      <c r="D462" s="11"/>
      <c r="E462" s="86"/>
      <c r="F462" s="85"/>
      <c r="G462" s="85"/>
      <c r="H462" s="85"/>
      <c r="I462" s="85"/>
      <c r="J462" s="85"/>
      <c r="BD462" s="11"/>
      <c r="BE462" s="11"/>
      <c r="BF462" s="11"/>
      <c r="BG462" s="11"/>
      <c r="BK462" s="11"/>
      <c r="BL462" s="11"/>
      <c r="BP462" s="12"/>
      <c r="BQ462" s="400"/>
    </row>
    <row r="463" spans="4:69">
      <c r="D463" s="11"/>
      <c r="E463" s="86"/>
      <c r="F463" s="85"/>
      <c r="G463" s="85"/>
      <c r="H463" s="85"/>
      <c r="I463" s="85"/>
      <c r="J463" s="85"/>
      <c r="BD463" s="11"/>
      <c r="BE463" s="11"/>
      <c r="BF463" s="11"/>
      <c r="BG463" s="11"/>
      <c r="BK463" s="11"/>
      <c r="BL463" s="11"/>
      <c r="BP463" s="12"/>
      <c r="BQ463" s="400"/>
    </row>
    <row r="464" spans="4:69">
      <c r="D464" s="11"/>
      <c r="E464" s="86"/>
      <c r="F464" s="85"/>
      <c r="G464" s="85"/>
      <c r="H464" s="85"/>
      <c r="I464" s="85"/>
      <c r="J464" s="85"/>
      <c r="BD464" s="11"/>
      <c r="BE464" s="11"/>
      <c r="BF464" s="11"/>
      <c r="BG464" s="11"/>
      <c r="BK464" s="11"/>
      <c r="BL464" s="11"/>
      <c r="BP464" s="12"/>
      <c r="BQ464" s="400"/>
    </row>
    <row r="465" spans="4:69">
      <c r="D465" s="11"/>
      <c r="E465" s="86"/>
      <c r="F465" s="85"/>
      <c r="G465" s="85"/>
      <c r="H465" s="85"/>
      <c r="I465" s="85"/>
      <c r="J465" s="85"/>
      <c r="BD465" s="11"/>
      <c r="BE465" s="11"/>
      <c r="BF465" s="11"/>
      <c r="BG465" s="11"/>
      <c r="BK465" s="11"/>
      <c r="BL465" s="11"/>
      <c r="BP465" s="12"/>
      <c r="BQ465" s="400"/>
    </row>
    <row r="466" spans="4:69">
      <c r="D466" s="11"/>
      <c r="E466" s="86"/>
      <c r="F466" s="85"/>
      <c r="G466" s="85"/>
      <c r="H466" s="85"/>
      <c r="I466" s="85"/>
      <c r="J466" s="85"/>
      <c r="BD466" s="11"/>
      <c r="BE466" s="11"/>
      <c r="BF466" s="11"/>
      <c r="BG466" s="11"/>
      <c r="BK466" s="11"/>
      <c r="BL466" s="11"/>
      <c r="BP466" s="12"/>
      <c r="BQ466" s="400"/>
    </row>
    <row r="467" spans="4:69">
      <c r="D467" s="11"/>
      <c r="E467" s="86"/>
      <c r="F467" s="85"/>
      <c r="G467" s="85"/>
      <c r="H467" s="85"/>
      <c r="I467" s="85"/>
      <c r="J467" s="85"/>
      <c r="BD467" s="11"/>
      <c r="BE467" s="11"/>
      <c r="BF467" s="11"/>
      <c r="BG467" s="11"/>
      <c r="BK467" s="11"/>
      <c r="BL467" s="11"/>
      <c r="BP467" s="12"/>
      <c r="BQ467" s="400"/>
    </row>
    <row r="468" spans="4:69">
      <c r="D468" s="11"/>
      <c r="E468" s="86"/>
      <c r="F468" s="85"/>
      <c r="G468" s="85"/>
      <c r="H468" s="85"/>
      <c r="I468" s="85"/>
      <c r="J468" s="85"/>
      <c r="BD468" s="11"/>
      <c r="BE468" s="11"/>
      <c r="BF468" s="11"/>
      <c r="BG468" s="11"/>
      <c r="BK468" s="11"/>
      <c r="BL468" s="11"/>
      <c r="BP468" s="12"/>
      <c r="BQ468" s="400"/>
    </row>
    <row r="469" spans="4:69">
      <c r="D469" s="11"/>
      <c r="E469" s="86"/>
      <c r="F469" s="85"/>
      <c r="G469" s="85"/>
      <c r="H469" s="85"/>
      <c r="I469" s="85"/>
      <c r="J469" s="85"/>
      <c r="BD469" s="11"/>
      <c r="BE469" s="11"/>
      <c r="BF469" s="11"/>
      <c r="BG469" s="11"/>
      <c r="BK469" s="11"/>
      <c r="BL469" s="11"/>
      <c r="BP469" s="12"/>
      <c r="BQ469" s="400"/>
    </row>
    <row r="470" spans="4:69">
      <c r="D470" s="11"/>
      <c r="E470" s="86"/>
      <c r="F470" s="85"/>
      <c r="G470" s="85"/>
      <c r="H470" s="85"/>
      <c r="I470" s="85"/>
      <c r="J470" s="85"/>
      <c r="BD470" s="11"/>
      <c r="BE470" s="11"/>
      <c r="BF470" s="11"/>
      <c r="BG470" s="11"/>
      <c r="BK470" s="11"/>
      <c r="BL470" s="11"/>
      <c r="BP470" s="12"/>
      <c r="BQ470" s="400"/>
    </row>
    <row r="471" spans="4:69">
      <c r="D471" s="11"/>
      <c r="E471" s="86"/>
      <c r="F471" s="85"/>
      <c r="G471" s="85"/>
      <c r="H471" s="85"/>
      <c r="I471" s="85"/>
      <c r="J471" s="85"/>
      <c r="BD471" s="11"/>
      <c r="BE471" s="11"/>
      <c r="BF471" s="11"/>
      <c r="BG471" s="11"/>
      <c r="BK471" s="11"/>
      <c r="BL471" s="11"/>
      <c r="BP471" s="12"/>
      <c r="BQ471" s="400"/>
    </row>
    <row r="472" spans="4:69">
      <c r="D472" s="11"/>
      <c r="E472" s="86"/>
      <c r="F472" s="85"/>
      <c r="G472" s="85"/>
      <c r="H472" s="85"/>
      <c r="I472" s="85"/>
      <c r="J472" s="85"/>
      <c r="BD472" s="11"/>
      <c r="BE472" s="11"/>
      <c r="BF472" s="11"/>
      <c r="BG472" s="11"/>
      <c r="BK472" s="11"/>
      <c r="BL472" s="11"/>
      <c r="BP472" s="12"/>
      <c r="BQ472" s="400"/>
    </row>
    <row r="473" spans="4:69">
      <c r="D473" s="11"/>
      <c r="E473" s="86"/>
      <c r="F473" s="85"/>
      <c r="G473" s="85"/>
      <c r="H473" s="85"/>
      <c r="I473" s="85"/>
      <c r="J473" s="85"/>
      <c r="BD473" s="11"/>
      <c r="BE473" s="11"/>
      <c r="BF473" s="11"/>
      <c r="BG473" s="11"/>
      <c r="BK473" s="11"/>
      <c r="BL473" s="11"/>
      <c r="BP473" s="12"/>
      <c r="BQ473" s="400"/>
    </row>
    <row r="474" spans="4:69">
      <c r="D474" s="11"/>
      <c r="E474" s="86"/>
      <c r="F474" s="85"/>
      <c r="G474" s="85"/>
      <c r="H474" s="85"/>
      <c r="I474" s="85"/>
      <c r="J474" s="85"/>
      <c r="BD474" s="11"/>
      <c r="BE474" s="11"/>
      <c r="BF474" s="11"/>
      <c r="BG474" s="11"/>
      <c r="BK474" s="11"/>
      <c r="BL474" s="11"/>
      <c r="BP474" s="12"/>
      <c r="BQ474" s="400"/>
    </row>
    <row r="475" spans="4:69">
      <c r="D475" s="11"/>
      <c r="E475" s="86"/>
      <c r="F475" s="85"/>
      <c r="G475" s="85"/>
      <c r="H475" s="85"/>
      <c r="I475" s="85"/>
      <c r="J475" s="85"/>
      <c r="BD475" s="11"/>
      <c r="BE475" s="11"/>
      <c r="BF475" s="11"/>
      <c r="BG475" s="11"/>
      <c r="BK475" s="11"/>
      <c r="BL475" s="11"/>
      <c r="BP475" s="12"/>
      <c r="BQ475" s="400"/>
    </row>
    <row r="476" spans="4:69">
      <c r="D476" s="11"/>
      <c r="E476" s="86"/>
      <c r="F476" s="85"/>
      <c r="G476" s="85"/>
      <c r="H476" s="85"/>
      <c r="I476" s="85"/>
      <c r="J476" s="85"/>
      <c r="BD476" s="11"/>
      <c r="BE476" s="11"/>
      <c r="BF476" s="11"/>
      <c r="BG476" s="11"/>
      <c r="BK476" s="11"/>
      <c r="BL476" s="11"/>
      <c r="BP476" s="12"/>
      <c r="BQ476" s="400"/>
    </row>
    <row r="477" spans="4:69">
      <c r="D477" s="11"/>
      <c r="E477" s="86"/>
      <c r="F477" s="85"/>
      <c r="G477" s="85"/>
      <c r="H477" s="85"/>
      <c r="I477" s="85"/>
      <c r="J477" s="85"/>
      <c r="BD477" s="11"/>
      <c r="BE477" s="11"/>
      <c r="BF477" s="11"/>
      <c r="BG477" s="11"/>
      <c r="BK477" s="11"/>
      <c r="BL477" s="11"/>
      <c r="BP477" s="12"/>
      <c r="BQ477" s="400"/>
    </row>
    <row r="478" spans="4:69">
      <c r="D478" s="11"/>
      <c r="E478" s="86"/>
      <c r="F478" s="85"/>
      <c r="G478" s="85"/>
      <c r="H478" s="85"/>
      <c r="I478" s="85"/>
      <c r="J478" s="85"/>
      <c r="BD478" s="11"/>
      <c r="BE478" s="11"/>
      <c r="BF478" s="11"/>
      <c r="BG478" s="11"/>
      <c r="BK478" s="11"/>
      <c r="BL478" s="11"/>
      <c r="BP478" s="12"/>
      <c r="BQ478" s="400"/>
    </row>
    <row r="479" spans="4:69">
      <c r="D479" s="11"/>
      <c r="E479" s="86"/>
      <c r="F479" s="85"/>
      <c r="G479" s="85"/>
      <c r="H479" s="85"/>
      <c r="I479" s="85"/>
      <c r="J479" s="85"/>
      <c r="BD479" s="11"/>
      <c r="BE479" s="11"/>
      <c r="BF479" s="11"/>
      <c r="BG479" s="11"/>
      <c r="BK479" s="11"/>
      <c r="BL479" s="11"/>
      <c r="BP479" s="12"/>
      <c r="BQ479" s="400"/>
    </row>
    <row r="480" spans="4:69">
      <c r="D480" s="11"/>
      <c r="E480" s="86"/>
      <c r="F480" s="85"/>
      <c r="G480" s="85"/>
      <c r="H480" s="85"/>
      <c r="I480" s="85"/>
      <c r="J480" s="85"/>
      <c r="BD480" s="11"/>
      <c r="BE480" s="11"/>
      <c r="BF480" s="11"/>
      <c r="BG480" s="11"/>
      <c r="BK480" s="11"/>
      <c r="BL480" s="11"/>
      <c r="BP480" s="12"/>
      <c r="BQ480" s="400"/>
    </row>
    <row r="481" spans="4:69">
      <c r="D481" s="11"/>
      <c r="E481" s="86"/>
      <c r="F481" s="85"/>
      <c r="G481" s="85"/>
      <c r="H481" s="85"/>
      <c r="I481" s="85"/>
      <c r="J481" s="85"/>
      <c r="BD481" s="11"/>
      <c r="BE481" s="11"/>
      <c r="BF481" s="11"/>
      <c r="BG481" s="11"/>
      <c r="BK481" s="11"/>
      <c r="BL481" s="11"/>
      <c r="BP481" s="12"/>
      <c r="BQ481" s="400"/>
    </row>
    <row r="482" spans="4:69">
      <c r="D482" s="11"/>
      <c r="E482" s="86"/>
      <c r="F482" s="85"/>
      <c r="G482" s="85"/>
      <c r="H482" s="85"/>
      <c r="I482" s="85"/>
      <c r="J482" s="85"/>
      <c r="BD482" s="11"/>
      <c r="BE482" s="11"/>
      <c r="BF482" s="11"/>
      <c r="BG482" s="11"/>
      <c r="BK482" s="11"/>
      <c r="BL482" s="11"/>
      <c r="BP482" s="12"/>
      <c r="BQ482" s="400"/>
    </row>
    <row r="483" spans="4:69">
      <c r="D483" s="11"/>
      <c r="E483" s="86"/>
      <c r="F483" s="85"/>
      <c r="G483" s="85"/>
      <c r="H483" s="85"/>
      <c r="I483" s="85"/>
      <c r="J483" s="85"/>
      <c r="BD483" s="11"/>
      <c r="BE483" s="11"/>
      <c r="BF483" s="11"/>
      <c r="BG483" s="11"/>
      <c r="BK483" s="11"/>
      <c r="BL483" s="11"/>
      <c r="BP483" s="12"/>
      <c r="BQ483" s="400"/>
    </row>
    <row r="484" spans="4:69">
      <c r="D484" s="11"/>
      <c r="E484" s="86"/>
      <c r="F484" s="85"/>
      <c r="G484" s="85"/>
      <c r="H484" s="85"/>
      <c r="I484" s="85"/>
      <c r="J484" s="85"/>
      <c r="BD484" s="11"/>
      <c r="BE484" s="11"/>
      <c r="BF484" s="11"/>
      <c r="BG484" s="11"/>
      <c r="BK484" s="11"/>
      <c r="BL484" s="11"/>
      <c r="BP484" s="12"/>
      <c r="BQ484" s="400"/>
    </row>
    <row r="485" spans="4:69">
      <c r="D485" s="11"/>
      <c r="E485" s="86"/>
      <c r="F485" s="85"/>
      <c r="G485" s="85"/>
      <c r="H485" s="85"/>
      <c r="I485" s="85"/>
      <c r="J485" s="85"/>
      <c r="BD485" s="11"/>
      <c r="BE485" s="11"/>
      <c r="BF485" s="11"/>
      <c r="BG485" s="11"/>
      <c r="BK485" s="11"/>
      <c r="BL485" s="11"/>
      <c r="BP485" s="12"/>
      <c r="BQ485" s="400"/>
    </row>
    <row r="486" spans="4:69">
      <c r="D486" s="11"/>
      <c r="E486" s="86"/>
      <c r="F486" s="85"/>
      <c r="G486" s="85"/>
      <c r="H486" s="85"/>
      <c r="I486" s="85"/>
      <c r="J486" s="85"/>
      <c r="BD486" s="11"/>
      <c r="BE486" s="11"/>
      <c r="BF486" s="11"/>
      <c r="BG486" s="11"/>
      <c r="BK486" s="11"/>
      <c r="BL486" s="11"/>
      <c r="BP486" s="12"/>
      <c r="BQ486" s="400"/>
    </row>
    <row r="487" spans="4:69">
      <c r="D487" s="11"/>
      <c r="E487" s="86"/>
      <c r="F487" s="85"/>
      <c r="G487" s="85"/>
      <c r="H487" s="85"/>
      <c r="I487" s="85"/>
      <c r="J487" s="85"/>
      <c r="BD487" s="11"/>
      <c r="BE487" s="11"/>
      <c r="BF487" s="11"/>
      <c r="BG487" s="11"/>
      <c r="BK487" s="11"/>
      <c r="BL487" s="11"/>
      <c r="BP487" s="12"/>
      <c r="BQ487" s="400"/>
    </row>
    <row r="488" spans="4:69">
      <c r="D488" s="11"/>
      <c r="E488" s="86"/>
      <c r="F488" s="85"/>
      <c r="G488" s="85"/>
      <c r="H488" s="85"/>
      <c r="I488" s="85"/>
      <c r="J488" s="85"/>
      <c r="BD488" s="11"/>
      <c r="BE488" s="11"/>
      <c r="BF488" s="11"/>
      <c r="BG488" s="11"/>
      <c r="BK488" s="11"/>
      <c r="BL488" s="11"/>
      <c r="BP488" s="12"/>
      <c r="BQ488" s="400"/>
    </row>
    <row r="489" spans="4:69">
      <c r="D489" s="11"/>
      <c r="E489" s="86"/>
      <c r="F489" s="85"/>
      <c r="G489" s="85"/>
      <c r="H489" s="85"/>
      <c r="I489" s="85"/>
      <c r="J489" s="85"/>
      <c r="BD489" s="11"/>
      <c r="BE489" s="11"/>
      <c r="BF489" s="11"/>
      <c r="BG489" s="11"/>
      <c r="BK489" s="11"/>
      <c r="BL489" s="11"/>
      <c r="BP489" s="12"/>
      <c r="BQ489" s="400"/>
    </row>
    <row r="490" spans="4:69">
      <c r="D490" s="11"/>
      <c r="E490" s="86"/>
      <c r="F490" s="85"/>
      <c r="G490" s="85"/>
      <c r="H490" s="85"/>
      <c r="I490" s="85"/>
      <c r="J490" s="85"/>
      <c r="BD490" s="11"/>
      <c r="BE490" s="11"/>
      <c r="BF490" s="11"/>
      <c r="BG490" s="11"/>
      <c r="BK490" s="11"/>
      <c r="BL490" s="11"/>
      <c r="BP490" s="12"/>
      <c r="BQ490" s="400"/>
    </row>
    <row r="491" spans="4:69">
      <c r="D491" s="11"/>
      <c r="E491" s="86"/>
      <c r="F491" s="85"/>
      <c r="G491" s="85"/>
      <c r="H491" s="85"/>
      <c r="I491" s="85"/>
      <c r="J491" s="85"/>
      <c r="BD491" s="11"/>
      <c r="BE491" s="11"/>
      <c r="BF491" s="11"/>
      <c r="BG491" s="11"/>
      <c r="BK491" s="11"/>
      <c r="BL491" s="11"/>
      <c r="BP491" s="12"/>
      <c r="BQ491" s="400"/>
    </row>
    <row r="492" spans="4:69">
      <c r="D492" s="11"/>
      <c r="E492" s="86"/>
      <c r="F492" s="85"/>
      <c r="G492" s="85"/>
      <c r="H492" s="85"/>
      <c r="I492" s="85"/>
      <c r="J492" s="85"/>
      <c r="BD492" s="11"/>
      <c r="BE492" s="11"/>
      <c r="BF492" s="11"/>
      <c r="BG492" s="11"/>
      <c r="BK492" s="11"/>
      <c r="BL492" s="11"/>
      <c r="BP492" s="12"/>
      <c r="BQ492" s="400"/>
    </row>
    <row r="493" spans="4:69">
      <c r="D493" s="11"/>
      <c r="E493" s="86"/>
      <c r="F493" s="85"/>
      <c r="G493" s="85"/>
      <c r="H493" s="85"/>
      <c r="I493" s="85"/>
      <c r="J493" s="85"/>
      <c r="BD493" s="11"/>
      <c r="BE493" s="11"/>
      <c r="BF493" s="11"/>
      <c r="BG493" s="11"/>
      <c r="BK493" s="11"/>
      <c r="BL493" s="11"/>
      <c r="BP493" s="12"/>
      <c r="BQ493" s="400"/>
    </row>
    <row r="494" spans="4:69">
      <c r="D494" s="11"/>
      <c r="E494" s="86"/>
      <c r="F494" s="85"/>
      <c r="G494" s="85"/>
      <c r="H494" s="85"/>
      <c r="I494" s="85"/>
      <c r="J494" s="85"/>
      <c r="BD494" s="11"/>
      <c r="BE494" s="11"/>
      <c r="BF494" s="11"/>
      <c r="BG494" s="11"/>
      <c r="BK494" s="11"/>
      <c r="BL494" s="11"/>
      <c r="BP494" s="12"/>
      <c r="BQ494" s="400"/>
    </row>
    <row r="495" spans="4:69">
      <c r="D495" s="11"/>
      <c r="E495" s="86"/>
      <c r="F495" s="85"/>
      <c r="G495" s="85"/>
      <c r="H495" s="85"/>
      <c r="I495" s="85"/>
      <c r="J495" s="85"/>
      <c r="BD495" s="11"/>
      <c r="BE495" s="11"/>
      <c r="BF495" s="11"/>
      <c r="BG495" s="11"/>
      <c r="BK495" s="11"/>
      <c r="BL495" s="11"/>
      <c r="BP495" s="12"/>
      <c r="BQ495" s="400"/>
    </row>
    <row r="496" spans="4:69">
      <c r="D496" s="11"/>
      <c r="E496" s="86"/>
      <c r="F496" s="85"/>
      <c r="G496" s="85"/>
      <c r="H496" s="85"/>
      <c r="I496" s="85"/>
      <c r="J496" s="85"/>
      <c r="BD496" s="11"/>
      <c r="BE496" s="11"/>
      <c r="BF496" s="11"/>
      <c r="BG496" s="11"/>
      <c r="BK496" s="11"/>
      <c r="BL496" s="11"/>
      <c r="BP496" s="12"/>
      <c r="BQ496" s="400"/>
    </row>
    <row r="497" spans="4:69">
      <c r="D497" s="11"/>
      <c r="E497" s="86"/>
      <c r="F497" s="85"/>
      <c r="G497" s="85"/>
      <c r="H497" s="85"/>
      <c r="I497" s="85"/>
      <c r="J497" s="85"/>
      <c r="BD497" s="11"/>
      <c r="BE497" s="11"/>
      <c r="BF497" s="11"/>
      <c r="BG497" s="11"/>
      <c r="BK497" s="11"/>
      <c r="BL497" s="11"/>
      <c r="BP497" s="12"/>
      <c r="BQ497" s="400"/>
    </row>
    <row r="498" spans="4:69">
      <c r="D498" s="11"/>
      <c r="E498" s="86"/>
      <c r="F498" s="85"/>
      <c r="G498" s="85"/>
      <c r="H498" s="85"/>
      <c r="I498" s="85"/>
      <c r="J498" s="85"/>
      <c r="BD498" s="11"/>
      <c r="BE498" s="11"/>
      <c r="BF498" s="11"/>
      <c r="BG498" s="11"/>
      <c r="BK498" s="11"/>
      <c r="BL498" s="11"/>
      <c r="BP498" s="12"/>
      <c r="BQ498" s="400"/>
    </row>
    <row r="499" spans="4:69">
      <c r="D499" s="11"/>
      <c r="E499" s="86"/>
      <c r="F499" s="85"/>
      <c r="G499" s="85"/>
      <c r="H499" s="85"/>
      <c r="I499" s="85"/>
      <c r="J499" s="85"/>
      <c r="BD499" s="11"/>
      <c r="BE499" s="11"/>
      <c r="BF499" s="11"/>
      <c r="BG499" s="11"/>
      <c r="BK499" s="11"/>
      <c r="BL499" s="11"/>
      <c r="BP499" s="12"/>
      <c r="BQ499" s="400"/>
    </row>
    <row r="500" spans="4:69">
      <c r="D500" s="11"/>
      <c r="E500" s="86"/>
      <c r="F500" s="85"/>
      <c r="G500" s="85"/>
      <c r="H500" s="85"/>
      <c r="I500" s="85"/>
      <c r="J500" s="85"/>
      <c r="BD500" s="11"/>
      <c r="BE500" s="11"/>
      <c r="BF500" s="11"/>
      <c r="BG500" s="11"/>
      <c r="BK500" s="11"/>
      <c r="BL500" s="11"/>
      <c r="BP500" s="12"/>
      <c r="BQ500" s="400"/>
    </row>
    <row r="501" spans="4:69">
      <c r="D501" s="11"/>
      <c r="E501" s="86"/>
      <c r="F501" s="85"/>
      <c r="G501" s="85"/>
      <c r="H501" s="85"/>
      <c r="I501" s="85"/>
      <c r="J501" s="85"/>
      <c r="BD501" s="11"/>
      <c r="BE501" s="11"/>
      <c r="BF501" s="11"/>
      <c r="BG501" s="11"/>
      <c r="BK501" s="11"/>
      <c r="BL501" s="11"/>
      <c r="BP501" s="12"/>
      <c r="BQ501" s="400"/>
    </row>
    <row r="502" spans="4:69">
      <c r="D502" s="11"/>
      <c r="E502" s="86"/>
      <c r="F502" s="85"/>
      <c r="G502" s="85"/>
      <c r="H502" s="85"/>
      <c r="I502" s="85"/>
      <c r="J502" s="85"/>
      <c r="BD502" s="11"/>
      <c r="BE502" s="11"/>
      <c r="BF502" s="11"/>
      <c r="BG502" s="11"/>
      <c r="BK502" s="11"/>
      <c r="BL502" s="11"/>
      <c r="BP502" s="12"/>
      <c r="BQ502" s="400"/>
    </row>
    <row r="503" spans="4:69">
      <c r="D503" s="11"/>
      <c r="E503" s="86"/>
      <c r="F503" s="85"/>
      <c r="G503" s="85"/>
      <c r="H503" s="85"/>
      <c r="I503" s="85"/>
      <c r="J503" s="85"/>
      <c r="BD503" s="11"/>
      <c r="BE503" s="11"/>
      <c r="BF503" s="11"/>
      <c r="BG503" s="11"/>
      <c r="BK503" s="11"/>
      <c r="BL503" s="11"/>
      <c r="BP503" s="12"/>
      <c r="BQ503" s="400"/>
    </row>
    <row r="504" spans="4:69">
      <c r="D504" s="11"/>
      <c r="E504" s="86"/>
      <c r="F504" s="85"/>
      <c r="G504" s="85"/>
      <c r="H504" s="85"/>
      <c r="I504" s="85"/>
      <c r="J504" s="85"/>
      <c r="BD504" s="11"/>
      <c r="BE504" s="11"/>
      <c r="BF504" s="11"/>
      <c r="BG504" s="11"/>
      <c r="BK504" s="11"/>
      <c r="BL504" s="11"/>
      <c r="BP504" s="12"/>
      <c r="BQ504" s="400"/>
    </row>
    <row r="505" spans="4:69">
      <c r="D505" s="11"/>
      <c r="E505" s="86"/>
      <c r="F505" s="85"/>
      <c r="G505" s="85"/>
      <c r="H505" s="85"/>
      <c r="I505" s="85"/>
      <c r="J505" s="85"/>
      <c r="BD505" s="11"/>
      <c r="BE505" s="11"/>
      <c r="BF505" s="11"/>
      <c r="BG505" s="11"/>
      <c r="BK505" s="11"/>
      <c r="BL505" s="11"/>
      <c r="BP505" s="12"/>
      <c r="BQ505" s="400"/>
    </row>
    <row r="506" spans="4:69">
      <c r="D506" s="11"/>
      <c r="E506" s="86"/>
      <c r="F506" s="85"/>
      <c r="G506" s="85"/>
      <c r="H506" s="85"/>
      <c r="I506" s="85"/>
      <c r="J506" s="85"/>
      <c r="BD506" s="11"/>
      <c r="BE506" s="11"/>
      <c r="BF506" s="11"/>
      <c r="BG506" s="11"/>
      <c r="BK506" s="11"/>
      <c r="BL506" s="11"/>
      <c r="BP506" s="12"/>
      <c r="BQ506" s="400"/>
    </row>
    <row r="507" spans="4:69">
      <c r="D507" s="11"/>
      <c r="E507" s="86"/>
      <c r="F507" s="85"/>
      <c r="G507" s="85"/>
      <c r="H507" s="85"/>
      <c r="I507" s="85"/>
      <c r="J507" s="85"/>
      <c r="BD507" s="11"/>
      <c r="BE507" s="11"/>
      <c r="BF507" s="11"/>
      <c r="BG507" s="11"/>
      <c r="BK507" s="11"/>
      <c r="BL507" s="11"/>
      <c r="BP507" s="12"/>
      <c r="BQ507" s="400"/>
    </row>
    <row r="508" spans="4:69">
      <c r="D508" s="11"/>
      <c r="E508" s="86"/>
      <c r="F508" s="85"/>
      <c r="G508" s="85"/>
      <c r="H508" s="85"/>
      <c r="I508" s="85"/>
      <c r="J508" s="85"/>
      <c r="BD508" s="11"/>
      <c r="BE508" s="11"/>
      <c r="BF508" s="11"/>
      <c r="BG508" s="11"/>
      <c r="BK508" s="11"/>
      <c r="BL508" s="11"/>
      <c r="BP508" s="12"/>
      <c r="BQ508" s="400"/>
    </row>
    <row r="509" spans="4:69">
      <c r="D509" s="11"/>
      <c r="E509" s="86"/>
      <c r="F509" s="85"/>
      <c r="G509" s="85"/>
      <c r="H509" s="85"/>
      <c r="I509" s="85"/>
      <c r="J509" s="85"/>
      <c r="BD509" s="11"/>
      <c r="BE509" s="11"/>
      <c r="BF509" s="11"/>
      <c r="BG509" s="11"/>
      <c r="BK509" s="11"/>
      <c r="BL509" s="11"/>
      <c r="BP509" s="12"/>
      <c r="BQ509" s="400"/>
    </row>
    <row r="510" spans="4:69">
      <c r="D510" s="11"/>
      <c r="E510" s="86"/>
      <c r="F510" s="85"/>
      <c r="G510" s="85"/>
      <c r="H510" s="85"/>
      <c r="I510" s="85"/>
      <c r="J510" s="85"/>
      <c r="BD510" s="11"/>
      <c r="BE510" s="11"/>
      <c r="BF510" s="11"/>
      <c r="BG510" s="11"/>
      <c r="BK510" s="11"/>
      <c r="BL510" s="11"/>
      <c r="BP510" s="12"/>
      <c r="BQ510" s="400"/>
    </row>
    <row r="511" spans="4:69">
      <c r="D511" s="11"/>
      <c r="E511" s="86"/>
      <c r="F511" s="85"/>
      <c r="G511" s="85"/>
      <c r="H511" s="85"/>
      <c r="I511" s="85"/>
      <c r="J511" s="85"/>
      <c r="BD511" s="11"/>
      <c r="BE511" s="11"/>
      <c r="BF511" s="11"/>
      <c r="BG511" s="11"/>
      <c r="BK511" s="11"/>
      <c r="BL511" s="11"/>
      <c r="BP511" s="12"/>
      <c r="BQ511" s="400"/>
    </row>
    <row r="512" spans="4:69">
      <c r="D512" s="11"/>
      <c r="E512" s="86"/>
      <c r="F512" s="85"/>
      <c r="G512" s="85"/>
      <c r="H512" s="85"/>
      <c r="I512" s="85"/>
      <c r="J512" s="85"/>
      <c r="BD512" s="11"/>
      <c r="BE512" s="11"/>
      <c r="BF512" s="11"/>
      <c r="BG512" s="11"/>
      <c r="BK512" s="11"/>
      <c r="BL512" s="11"/>
      <c r="BP512" s="12"/>
      <c r="BQ512" s="400"/>
    </row>
    <row r="513" spans="4:69">
      <c r="D513" s="11"/>
      <c r="E513" s="86"/>
      <c r="F513" s="85"/>
      <c r="G513" s="85"/>
      <c r="H513" s="85"/>
      <c r="I513" s="85"/>
      <c r="J513" s="85"/>
      <c r="BD513" s="11"/>
      <c r="BE513" s="11"/>
      <c r="BF513" s="11"/>
      <c r="BG513" s="11"/>
      <c r="BK513" s="11"/>
      <c r="BL513" s="11"/>
      <c r="BP513" s="12"/>
      <c r="BQ513" s="400"/>
    </row>
    <row r="514" spans="4:69">
      <c r="D514" s="11"/>
      <c r="E514" s="86"/>
      <c r="F514" s="85"/>
      <c r="G514" s="85"/>
      <c r="H514" s="85"/>
      <c r="I514" s="85"/>
      <c r="J514" s="85"/>
      <c r="BD514" s="11"/>
      <c r="BE514" s="11"/>
      <c r="BF514" s="11"/>
      <c r="BG514" s="11"/>
      <c r="BK514" s="11"/>
      <c r="BL514" s="11"/>
      <c r="BP514" s="12"/>
      <c r="BQ514" s="400"/>
    </row>
    <row r="515" spans="4:69">
      <c r="D515" s="11"/>
      <c r="E515" s="86"/>
      <c r="F515" s="85"/>
      <c r="G515" s="85"/>
      <c r="H515" s="85"/>
      <c r="I515" s="85"/>
      <c r="J515" s="85"/>
      <c r="BD515" s="11"/>
      <c r="BE515" s="11"/>
      <c r="BF515" s="11"/>
      <c r="BG515" s="11"/>
      <c r="BK515" s="11"/>
      <c r="BL515" s="11"/>
      <c r="BP515" s="12"/>
      <c r="BQ515" s="400"/>
    </row>
    <row r="516" spans="4:69">
      <c r="D516" s="11"/>
      <c r="E516" s="86"/>
      <c r="F516" s="85"/>
      <c r="G516" s="85"/>
      <c r="H516" s="85"/>
      <c r="I516" s="85"/>
      <c r="J516" s="85"/>
      <c r="BD516" s="11"/>
      <c r="BE516" s="11"/>
      <c r="BF516" s="11"/>
      <c r="BG516" s="11"/>
      <c r="BK516" s="11"/>
      <c r="BL516" s="11"/>
      <c r="BP516" s="12"/>
      <c r="BQ516" s="400"/>
    </row>
    <row r="517" spans="4:69">
      <c r="D517" s="11"/>
      <c r="E517" s="86"/>
      <c r="F517" s="85"/>
      <c r="G517" s="85"/>
      <c r="H517" s="85"/>
      <c r="I517" s="85"/>
      <c r="J517" s="85"/>
      <c r="BD517" s="11"/>
      <c r="BE517" s="11"/>
      <c r="BF517" s="11"/>
      <c r="BG517" s="11"/>
      <c r="BK517" s="11"/>
      <c r="BL517" s="11"/>
      <c r="BP517" s="12"/>
      <c r="BQ517" s="400"/>
    </row>
    <row r="518" spans="4:69">
      <c r="D518" s="11"/>
      <c r="E518" s="86"/>
      <c r="F518" s="85"/>
      <c r="G518" s="85"/>
      <c r="H518" s="85"/>
      <c r="I518" s="85"/>
      <c r="J518" s="85"/>
      <c r="BD518" s="11"/>
      <c r="BE518" s="11"/>
      <c r="BF518" s="11"/>
      <c r="BG518" s="11"/>
      <c r="BK518" s="11"/>
      <c r="BL518" s="11"/>
      <c r="BP518" s="12"/>
      <c r="BQ518" s="400"/>
    </row>
    <row r="519" spans="4:69">
      <c r="D519" s="11"/>
      <c r="E519" s="86"/>
      <c r="F519" s="85"/>
      <c r="G519" s="85"/>
      <c r="H519" s="85"/>
      <c r="I519" s="85"/>
      <c r="J519" s="85"/>
      <c r="BD519" s="11"/>
      <c r="BE519" s="11"/>
      <c r="BF519" s="11"/>
      <c r="BG519" s="11"/>
      <c r="BK519" s="11"/>
      <c r="BL519" s="11"/>
      <c r="BP519" s="12"/>
      <c r="BQ519" s="400"/>
    </row>
    <row r="520" spans="4:69">
      <c r="D520" s="11"/>
      <c r="E520" s="86"/>
      <c r="F520" s="85"/>
      <c r="G520" s="85"/>
      <c r="H520" s="85"/>
      <c r="I520" s="85"/>
      <c r="J520" s="85"/>
      <c r="BD520" s="11"/>
      <c r="BE520" s="11"/>
      <c r="BF520" s="11"/>
      <c r="BG520" s="11"/>
      <c r="BK520" s="11"/>
      <c r="BL520" s="11"/>
      <c r="BP520" s="12"/>
      <c r="BQ520" s="400"/>
    </row>
    <row r="521" spans="4:69">
      <c r="D521" s="11"/>
      <c r="E521" s="86"/>
      <c r="F521" s="85"/>
      <c r="G521" s="85"/>
      <c r="H521" s="85"/>
      <c r="I521" s="85"/>
      <c r="J521" s="85"/>
      <c r="BD521" s="11"/>
      <c r="BE521" s="11"/>
      <c r="BF521" s="11"/>
      <c r="BG521" s="11"/>
      <c r="BK521" s="11"/>
      <c r="BL521" s="11"/>
      <c r="BP521" s="12"/>
      <c r="BQ521" s="400"/>
    </row>
    <row r="522" spans="4:69">
      <c r="D522" s="11"/>
      <c r="E522" s="86"/>
      <c r="F522" s="85"/>
      <c r="G522" s="85"/>
      <c r="H522" s="85"/>
      <c r="I522" s="85"/>
      <c r="J522" s="85"/>
      <c r="BD522" s="11"/>
      <c r="BE522" s="11"/>
      <c r="BF522" s="11"/>
      <c r="BG522" s="11"/>
      <c r="BK522" s="11"/>
      <c r="BL522" s="11"/>
      <c r="BP522" s="12"/>
      <c r="BQ522" s="400"/>
    </row>
    <row r="523" spans="4:69">
      <c r="D523" s="11"/>
      <c r="E523" s="86"/>
      <c r="F523" s="85"/>
      <c r="G523" s="85"/>
      <c r="H523" s="85"/>
      <c r="I523" s="85"/>
      <c r="J523" s="85"/>
      <c r="BD523" s="11"/>
      <c r="BE523" s="11"/>
      <c r="BF523" s="11"/>
      <c r="BG523" s="11"/>
      <c r="BK523" s="11"/>
      <c r="BL523" s="11"/>
      <c r="BP523" s="12"/>
      <c r="BQ523" s="400"/>
    </row>
    <row r="524" spans="4:69">
      <c r="D524" s="11"/>
      <c r="E524" s="86"/>
      <c r="F524" s="85"/>
      <c r="G524" s="85"/>
      <c r="H524" s="85"/>
      <c r="I524" s="85"/>
      <c r="J524" s="85"/>
      <c r="BD524" s="11"/>
      <c r="BE524" s="11"/>
      <c r="BF524" s="11"/>
      <c r="BG524" s="11"/>
      <c r="BK524" s="11"/>
      <c r="BL524" s="11"/>
      <c r="BP524" s="12"/>
      <c r="BQ524" s="400"/>
    </row>
    <row r="525" spans="4:69">
      <c r="D525" s="11"/>
      <c r="E525" s="86"/>
      <c r="F525" s="85"/>
      <c r="G525" s="85"/>
      <c r="H525" s="85"/>
      <c r="I525" s="85"/>
      <c r="J525" s="85"/>
      <c r="BD525" s="11"/>
      <c r="BE525" s="11"/>
      <c r="BF525" s="11"/>
      <c r="BG525" s="11"/>
      <c r="BK525" s="11"/>
      <c r="BL525" s="11"/>
      <c r="BP525" s="12"/>
      <c r="BQ525" s="400"/>
    </row>
    <row r="526" spans="4:69">
      <c r="D526" s="11"/>
      <c r="E526" s="86"/>
      <c r="F526" s="85"/>
      <c r="G526" s="85"/>
      <c r="H526" s="85"/>
      <c r="I526" s="85"/>
      <c r="J526" s="85"/>
      <c r="BD526" s="11"/>
      <c r="BE526" s="11"/>
      <c r="BF526" s="11"/>
      <c r="BG526" s="11"/>
      <c r="BK526" s="11"/>
      <c r="BL526" s="11"/>
      <c r="BP526" s="12"/>
      <c r="BQ526" s="400"/>
    </row>
    <row r="527" spans="4:69">
      <c r="D527" s="11"/>
      <c r="E527" s="86"/>
      <c r="F527" s="85"/>
      <c r="G527" s="85"/>
      <c r="H527" s="85"/>
      <c r="I527" s="85"/>
      <c r="J527" s="85"/>
      <c r="BD527" s="11"/>
      <c r="BE527" s="11"/>
      <c r="BF527" s="11"/>
      <c r="BG527" s="11"/>
      <c r="BK527" s="11"/>
      <c r="BL527" s="11"/>
      <c r="BP527" s="12"/>
      <c r="BQ527" s="400"/>
    </row>
    <row r="528" spans="4:69">
      <c r="D528" s="11"/>
      <c r="E528" s="86"/>
      <c r="F528" s="85"/>
      <c r="G528" s="85"/>
      <c r="H528" s="85"/>
      <c r="I528" s="85"/>
      <c r="J528" s="85"/>
      <c r="BD528" s="11"/>
      <c r="BE528" s="11"/>
      <c r="BF528" s="11"/>
      <c r="BG528" s="11"/>
      <c r="BK528" s="11"/>
      <c r="BL528" s="11"/>
      <c r="BP528" s="12"/>
      <c r="BQ528" s="400"/>
    </row>
    <row r="529" spans="4:69">
      <c r="D529" s="11"/>
      <c r="E529" s="86"/>
      <c r="F529" s="85"/>
      <c r="G529" s="85"/>
      <c r="H529" s="85"/>
      <c r="I529" s="85"/>
      <c r="J529" s="85"/>
      <c r="BD529" s="11"/>
      <c r="BE529" s="11"/>
      <c r="BF529" s="11"/>
      <c r="BG529" s="11"/>
      <c r="BK529" s="11"/>
      <c r="BL529" s="11"/>
      <c r="BP529" s="12"/>
      <c r="BQ529" s="400"/>
    </row>
    <row r="530" spans="4:69">
      <c r="D530" s="11"/>
      <c r="E530" s="86"/>
      <c r="F530" s="85"/>
      <c r="G530" s="85"/>
      <c r="H530" s="85"/>
      <c r="I530" s="85"/>
      <c r="J530" s="85"/>
      <c r="BD530" s="11"/>
      <c r="BE530" s="11"/>
      <c r="BF530" s="11"/>
      <c r="BG530" s="11"/>
      <c r="BK530" s="11"/>
      <c r="BL530" s="11"/>
      <c r="BP530" s="12"/>
      <c r="BQ530" s="400"/>
    </row>
    <row r="531" spans="4:69">
      <c r="D531" s="11"/>
      <c r="E531" s="86"/>
      <c r="F531" s="85"/>
      <c r="G531" s="85"/>
      <c r="H531" s="85"/>
      <c r="I531" s="85"/>
      <c r="J531" s="85"/>
      <c r="BD531" s="11"/>
      <c r="BE531" s="11"/>
      <c r="BF531" s="11"/>
      <c r="BG531" s="11"/>
      <c r="BK531" s="11"/>
      <c r="BL531" s="11"/>
      <c r="BP531" s="12"/>
      <c r="BQ531" s="400"/>
    </row>
    <row r="532" spans="4:69">
      <c r="D532" s="11"/>
      <c r="E532" s="86"/>
      <c r="F532" s="85"/>
      <c r="G532" s="85"/>
      <c r="H532" s="85"/>
      <c r="I532" s="85"/>
      <c r="J532" s="85"/>
      <c r="BD532" s="11"/>
      <c r="BE532" s="11"/>
      <c r="BF532" s="11"/>
      <c r="BG532" s="11"/>
      <c r="BK532" s="11"/>
      <c r="BL532" s="11"/>
      <c r="BP532" s="12"/>
      <c r="BQ532" s="400"/>
    </row>
    <row r="533" spans="4:69">
      <c r="D533" s="11"/>
      <c r="E533" s="86"/>
      <c r="F533" s="85"/>
      <c r="G533" s="85"/>
      <c r="H533" s="85"/>
      <c r="I533" s="85"/>
      <c r="J533" s="85"/>
      <c r="BD533" s="11"/>
      <c r="BE533" s="11"/>
      <c r="BF533" s="11"/>
      <c r="BG533" s="11"/>
      <c r="BK533" s="11"/>
      <c r="BL533" s="11"/>
      <c r="BP533" s="12"/>
      <c r="BQ533" s="400"/>
    </row>
    <row r="534" spans="4:69">
      <c r="D534" s="11"/>
      <c r="E534" s="86"/>
      <c r="F534" s="85"/>
      <c r="G534" s="85"/>
      <c r="H534" s="85"/>
      <c r="I534" s="85"/>
      <c r="J534" s="85"/>
      <c r="BD534" s="11"/>
      <c r="BE534" s="11"/>
      <c r="BF534" s="11"/>
      <c r="BG534" s="11"/>
      <c r="BK534" s="11"/>
      <c r="BL534" s="11"/>
      <c r="BP534" s="12"/>
      <c r="BQ534" s="400"/>
    </row>
    <row r="535" spans="4:69">
      <c r="D535" s="11"/>
      <c r="E535" s="86"/>
      <c r="F535" s="85"/>
      <c r="G535" s="85"/>
      <c r="H535" s="85"/>
      <c r="I535" s="85"/>
      <c r="J535" s="85"/>
      <c r="BD535" s="11"/>
      <c r="BE535" s="11"/>
      <c r="BF535" s="11"/>
      <c r="BG535" s="11"/>
      <c r="BK535" s="11"/>
      <c r="BL535" s="11"/>
      <c r="BP535" s="12"/>
      <c r="BQ535" s="400"/>
    </row>
    <row r="536" spans="4:69">
      <c r="D536" s="11"/>
      <c r="E536" s="86"/>
      <c r="F536" s="85"/>
      <c r="G536" s="85"/>
      <c r="H536" s="85"/>
      <c r="I536" s="85"/>
      <c r="J536" s="85"/>
      <c r="BD536" s="11"/>
      <c r="BE536" s="11"/>
      <c r="BF536" s="11"/>
      <c r="BG536" s="11"/>
      <c r="BK536" s="11"/>
      <c r="BL536" s="11"/>
      <c r="BP536" s="12"/>
      <c r="BQ536" s="400"/>
    </row>
    <row r="537" spans="4:69">
      <c r="D537" s="11"/>
      <c r="E537" s="86"/>
      <c r="F537" s="85"/>
      <c r="G537" s="85"/>
      <c r="H537" s="85"/>
      <c r="I537" s="85"/>
      <c r="J537" s="85"/>
      <c r="BD537" s="11"/>
      <c r="BE537" s="11"/>
      <c r="BF537" s="11"/>
      <c r="BG537" s="11"/>
      <c r="BK537" s="11"/>
      <c r="BL537" s="11"/>
      <c r="BP537" s="12"/>
      <c r="BQ537" s="400"/>
    </row>
    <row r="538" spans="4:69">
      <c r="D538" s="11"/>
      <c r="E538" s="86"/>
      <c r="F538" s="85"/>
      <c r="G538" s="85"/>
      <c r="H538" s="85"/>
      <c r="I538" s="85"/>
      <c r="J538" s="85"/>
      <c r="BD538" s="11"/>
      <c r="BE538" s="11"/>
      <c r="BF538" s="11"/>
      <c r="BG538" s="11"/>
      <c r="BK538" s="11"/>
      <c r="BL538" s="11"/>
      <c r="BP538" s="12"/>
      <c r="BQ538" s="400"/>
    </row>
    <row r="539" spans="4:69">
      <c r="D539" s="11"/>
      <c r="E539" s="86"/>
      <c r="F539" s="85"/>
      <c r="G539" s="85"/>
      <c r="H539" s="85"/>
      <c r="I539" s="85"/>
      <c r="J539" s="85"/>
      <c r="BD539" s="11"/>
      <c r="BE539" s="11"/>
      <c r="BF539" s="11"/>
      <c r="BG539" s="11"/>
      <c r="BK539" s="11"/>
      <c r="BL539" s="11"/>
      <c r="BP539" s="12"/>
      <c r="BQ539" s="400"/>
    </row>
    <row r="540" spans="4:69">
      <c r="D540" s="11"/>
      <c r="E540" s="86"/>
      <c r="F540" s="85"/>
      <c r="G540" s="85"/>
      <c r="H540" s="85"/>
      <c r="I540" s="85"/>
      <c r="J540" s="85"/>
      <c r="BD540" s="11"/>
      <c r="BE540" s="11"/>
      <c r="BF540" s="11"/>
      <c r="BG540" s="11"/>
      <c r="BK540" s="11"/>
      <c r="BL540" s="11"/>
      <c r="BP540" s="12"/>
      <c r="BQ540" s="400"/>
    </row>
    <row r="541" spans="4:69">
      <c r="D541" s="11"/>
      <c r="E541" s="86"/>
      <c r="F541" s="85"/>
      <c r="G541" s="85"/>
      <c r="H541" s="85"/>
      <c r="I541" s="85"/>
      <c r="J541" s="85"/>
      <c r="BD541" s="11"/>
      <c r="BE541" s="11"/>
      <c r="BF541" s="11"/>
      <c r="BG541" s="11"/>
      <c r="BK541" s="11"/>
      <c r="BL541" s="11"/>
      <c r="BP541" s="12"/>
      <c r="BQ541" s="400"/>
    </row>
    <row r="542" spans="4:69">
      <c r="D542" s="11"/>
      <c r="E542" s="86"/>
      <c r="F542" s="85"/>
      <c r="G542" s="85"/>
      <c r="H542" s="85"/>
      <c r="I542" s="85"/>
      <c r="J542" s="85"/>
      <c r="BD542" s="11"/>
      <c r="BE542" s="11"/>
      <c r="BF542" s="11"/>
      <c r="BG542" s="11"/>
      <c r="BK542" s="11"/>
      <c r="BL542" s="11"/>
      <c r="BP542" s="12"/>
      <c r="BQ542" s="400"/>
    </row>
    <row r="543" spans="4:69">
      <c r="D543" s="11"/>
      <c r="E543" s="86"/>
      <c r="F543" s="85"/>
      <c r="G543" s="85"/>
      <c r="H543" s="85"/>
      <c r="I543" s="85"/>
      <c r="J543" s="85"/>
      <c r="BD543" s="11"/>
      <c r="BE543" s="11"/>
      <c r="BF543" s="11"/>
      <c r="BG543" s="11"/>
      <c r="BK543" s="11"/>
      <c r="BL543" s="11"/>
      <c r="BP543" s="12"/>
      <c r="BQ543" s="400"/>
    </row>
    <row r="544" spans="4:69">
      <c r="D544" s="11"/>
      <c r="E544" s="86"/>
      <c r="F544" s="85"/>
      <c r="G544" s="85"/>
      <c r="H544" s="85"/>
      <c r="I544" s="85"/>
      <c r="J544" s="85"/>
      <c r="BD544" s="11"/>
      <c r="BE544" s="11"/>
      <c r="BF544" s="11"/>
      <c r="BG544" s="11"/>
      <c r="BK544" s="11"/>
      <c r="BL544" s="11"/>
      <c r="BP544" s="12"/>
      <c r="BQ544" s="400"/>
    </row>
    <row r="545" spans="4:69">
      <c r="D545" s="11"/>
      <c r="E545" s="86"/>
      <c r="F545" s="85"/>
      <c r="G545" s="85"/>
      <c r="H545" s="85"/>
      <c r="I545" s="85"/>
      <c r="J545" s="85"/>
      <c r="BD545" s="11"/>
      <c r="BE545" s="11"/>
      <c r="BF545" s="11"/>
      <c r="BG545" s="11"/>
      <c r="BK545" s="11"/>
      <c r="BL545" s="11"/>
      <c r="BP545" s="12"/>
      <c r="BQ545" s="400"/>
    </row>
    <row r="546" spans="4:69">
      <c r="D546" s="11"/>
      <c r="E546" s="86"/>
      <c r="F546" s="85"/>
      <c r="G546" s="85"/>
      <c r="H546" s="85"/>
      <c r="I546" s="85"/>
      <c r="J546" s="85"/>
      <c r="BD546" s="11"/>
      <c r="BE546" s="11"/>
      <c r="BF546" s="11"/>
      <c r="BG546" s="11"/>
      <c r="BK546" s="11"/>
      <c r="BL546" s="11"/>
      <c r="BP546" s="12"/>
      <c r="BQ546" s="400"/>
    </row>
    <row r="547" spans="4:69">
      <c r="D547" s="11"/>
      <c r="E547" s="86"/>
      <c r="F547" s="85"/>
      <c r="G547" s="85"/>
      <c r="H547" s="85"/>
      <c r="I547" s="85"/>
      <c r="J547" s="85"/>
      <c r="BD547" s="11"/>
      <c r="BE547" s="11"/>
      <c r="BF547" s="11"/>
      <c r="BG547" s="11"/>
      <c r="BK547" s="11"/>
      <c r="BL547" s="11"/>
      <c r="BP547" s="12"/>
      <c r="BQ547" s="400"/>
    </row>
    <row r="548" spans="4:69">
      <c r="D548" s="11"/>
      <c r="E548" s="86"/>
      <c r="F548" s="85"/>
      <c r="G548" s="85"/>
      <c r="H548" s="85"/>
      <c r="I548" s="85"/>
      <c r="J548" s="85"/>
      <c r="BD548" s="11"/>
      <c r="BE548" s="11"/>
      <c r="BF548" s="11"/>
      <c r="BG548" s="11"/>
      <c r="BK548" s="11"/>
      <c r="BL548" s="11"/>
      <c r="BP548" s="12"/>
      <c r="BQ548" s="400"/>
    </row>
    <row r="549" spans="4:69">
      <c r="D549" s="11"/>
      <c r="E549" s="86"/>
      <c r="F549" s="85"/>
      <c r="G549" s="85"/>
      <c r="H549" s="85"/>
      <c r="I549" s="85"/>
      <c r="J549" s="85"/>
      <c r="BD549" s="11"/>
      <c r="BE549" s="11"/>
      <c r="BF549" s="11"/>
      <c r="BG549" s="11"/>
      <c r="BK549" s="11"/>
      <c r="BL549" s="11"/>
      <c r="BP549" s="12"/>
      <c r="BQ549" s="400"/>
    </row>
    <row r="550" spans="4:69">
      <c r="D550" s="11"/>
      <c r="E550" s="86"/>
      <c r="F550" s="85"/>
      <c r="G550" s="85"/>
      <c r="H550" s="85"/>
      <c r="I550" s="85"/>
      <c r="J550" s="85"/>
      <c r="BD550" s="11"/>
      <c r="BE550" s="11"/>
      <c r="BF550" s="11"/>
      <c r="BG550" s="11"/>
      <c r="BK550" s="11"/>
      <c r="BL550" s="11"/>
      <c r="BP550" s="12"/>
      <c r="BQ550" s="400"/>
    </row>
    <row r="551" spans="4:69">
      <c r="D551" s="11"/>
      <c r="E551" s="86"/>
      <c r="F551" s="85"/>
      <c r="G551" s="85"/>
      <c r="H551" s="85"/>
      <c r="I551" s="85"/>
      <c r="J551" s="85"/>
      <c r="BD551" s="11"/>
      <c r="BE551" s="11"/>
      <c r="BF551" s="11"/>
      <c r="BG551" s="11"/>
      <c r="BK551" s="11"/>
      <c r="BL551" s="11"/>
      <c r="BP551" s="12"/>
      <c r="BQ551" s="400"/>
    </row>
    <row r="552" spans="4:69">
      <c r="D552" s="11"/>
      <c r="E552" s="86"/>
      <c r="F552" s="85"/>
      <c r="G552" s="85"/>
      <c r="H552" s="85"/>
      <c r="I552" s="85"/>
      <c r="J552" s="85"/>
      <c r="BD552" s="11"/>
      <c r="BE552" s="11"/>
      <c r="BF552" s="11"/>
      <c r="BG552" s="11"/>
      <c r="BK552" s="11"/>
      <c r="BL552" s="11"/>
      <c r="BP552" s="12"/>
      <c r="BQ552" s="400"/>
    </row>
    <row r="553" spans="4:69">
      <c r="D553" s="11"/>
      <c r="E553" s="86"/>
      <c r="F553" s="85"/>
      <c r="G553" s="85"/>
      <c r="H553" s="85"/>
      <c r="I553" s="85"/>
      <c r="J553" s="85"/>
      <c r="BD553" s="11"/>
      <c r="BE553" s="11"/>
      <c r="BF553" s="11"/>
      <c r="BG553" s="11"/>
      <c r="BK553" s="11"/>
      <c r="BL553" s="11"/>
      <c r="BP553" s="12"/>
      <c r="BQ553" s="400"/>
    </row>
    <row r="554" spans="4:69">
      <c r="D554" s="11"/>
      <c r="E554" s="86"/>
      <c r="F554" s="85"/>
      <c r="G554" s="85"/>
      <c r="H554" s="85"/>
      <c r="I554" s="85"/>
      <c r="J554" s="85"/>
      <c r="BD554" s="11"/>
      <c r="BE554" s="11"/>
      <c r="BF554" s="11"/>
      <c r="BG554" s="11"/>
      <c r="BK554" s="11"/>
      <c r="BL554" s="11"/>
      <c r="BP554" s="12"/>
      <c r="BQ554" s="400"/>
    </row>
    <row r="555" spans="4:69">
      <c r="D555" s="11"/>
      <c r="E555" s="86"/>
      <c r="F555" s="85"/>
      <c r="G555" s="85"/>
      <c r="H555" s="85"/>
      <c r="I555" s="85"/>
      <c r="J555" s="85"/>
      <c r="BD555" s="11"/>
      <c r="BE555" s="11"/>
      <c r="BF555" s="11"/>
      <c r="BG555" s="11"/>
      <c r="BK555" s="11"/>
      <c r="BL555" s="11"/>
      <c r="BP555" s="12"/>
      <c r="BQ555" s="400"/>
    </row>
    <row r="556" spans="4:69">
      <c r="D556" s="11"/>
      <c r="E556" s="86"/>
      <c r="F556" s="85"/>
      <c r="G556" s="85"/>
      <c r="H556" s="85"/>
      <c r="I556" s="85"/>
      <c r="J556" s="85"/>
      <c r="BD556" s="11"/>
      <c r="BE556" s="11"/>
      <c r="BF556" s="11"/>
      <c r="BG556" s="11"/>
      <c r="BK556" s="11"/>
      <c r="BL556" s="11"/>
      <c r="BP556" s="12"/>
      <c r="BQ556" s="400"/>
    </row>
    <row r="557" spans="4:69">
      <c r="D557" s="11"/>
      <c r="E557" s="86"/>
      <c r="F557" s="85"/>
      <c r="G557" s="85"/>
      <c r="H557" s="85"/>
      <c r="I557" s="85"/>
      <c r="J557" s="85"/>
      <c r="BD557" s="11"/>
      <c r="BE557" s="11"/>
      <c r="BF557" s="11"/>
      <c r="BG557" s="11"/>
      <c r="BK557" s="11"/>
      <c r="BL557" s="11"/>
      <c r="BP557" s="12"/>
      <c r="BQ557" s="400"/>
    </row>
    <row r="558" spans="4:69">
      <c r="D558" s="11"/>
      <c r="E558" s="86"/>
      <c r="F558" s="85"/>
      <c r="G558" s="85"/>
      <c r="H558" s="85"/>
      <c r="I558" s="85"/>
      <c r="J558" s="85"/>
      <c r="BD558" s="11"/>
      <c r="BE558" s="11"/>
      <c r="BF558" s="11"/>
      <c r="BG558" s="11"/>
      <c r="BK558" s="11"/>
      <c r="BL558" s="11"/>
      <c r="BP558" s="12"/>
      <c r="BQ558" s="400"/>
    </row>
    <row r="559" spans="4:69">
      <c r="D559" s="11"/>
      <c r="E559" s="86"/>
      <c r="F559" s="85"/>
      <c r="G559" s="85"/>
      <c r="H559" s="85"/>
      <c r="I559" s="85"/>
      <c r="J559" s="85"/>
      <c r="BD559" s="11"/>
      <c r="BE559" s="11"/>
      <c r="BF559" s="11"/>
      <c r="BG559" s="11"/>
      <c r="BK559" s="11"/>
      <c r="BL559" s="11"/>
      <c r="BP559" s="12"/>
      <c r="BQ559" s="400"/>
    </row>
    <row r="560" spans="4:69">
      <c r="D560" s="11"/>
      <c r="E560" s="86"/>
      <c r="F560" s="85"/>
      <c r="G560" s="85"/>
      <c r="H560" s="85"/>
      <c r="I560" s="85"/>
      <c r="J560" s="85"/>
      <c r="BD560" s="11"/>
      <c r="BE560" s="11"/>
      <c r="BF560" s="11"/>
      <c r="BG560" s="11"/>
      <c r="BK560" s="11"/>
      <c r="BL560" s="11"/>
      <c r="BP560" s="12"/>
      <c r="BQ560" s="400"/>
    </row>
    <row r="561" spans="4:69">
      <c r="D561" s="11"/>
      <c r="E561" s="86"/>
      <c r="F561" s="85"/>
      <c r="G561" s="85"/>
      <c r="H561" s="85"/>
      <c r="I561" s="85"/>
      <c r="J561" s="85"/>
      <c r="BD561" s="11"/>
      <c r="BE561" s="11"/>
      <c r="BF561" s="11"/>
      <c r="BG561" s="11"/>
      <c r="BK561" s="11"/>
      <c r="BL561" s="11"/>
      <c r="BP561" s="12"/>
      <c r="BQ561" s="400"/>
    </row>
    <row r="562" spans="4:69">
      <c r="D562" s="11"/>
      <c r="E562" s="86"/>
      <c r="F562" s="85"/>
      <c r="G562" s="85"/>
      <c r="H562" s="85"/>
      <c r="I562" s="85"/>
      <c r="J562" s="85"/>
      <c r="BD562" s="11"/>
      <c r="BE562" s="11"/>
      <c r="BF562" s="11"/>
      <c r="BG562" s="11"/>
      <c r="BK562" s="11"/>
      <c r="BL562" s="11"/>
      <c r="BP562" s="12"/>
      <c r="BQ562" s="400"/>
    </row>
    <row r="563" spans="4:69">
      <c r="D563" s="11"/>
      <c r="E563" s="86"/>
      <c r="F563" s="85"/>
      <c r="G563" s="85"/>
      <c r="H563" s="85"/>
      <c r="I563" s="85"/>
      <c r="J563" s="85"/>
      <c r="BD563" s="11"/>
      <c r="BE563" s="11"/>
      <c r="BF563" s="11"/>
      <c r="BG563" s="11"/>
      <c r="BK563" s="11"/>
      <c r="BL563" s="11"/>
      <c r="BP563" s="12"/>
      <c r="BQ563" s="400"/>
    </row>
    <row r="564" spans="4:69">
      <c r="D564" s="11"/>
      <c r="E564" s="86"/>
      <c r="F564" s="85"/>
      <c r="G564" s="85"/>
      <c r="H564" s="85"/>
      <c r="I564" s="85"/>
      <c r="J564" s="85"/>
      <c r="BD564" s="11"/>
      <c r="BE564" s="11"/>
      <c r="BF564" s="11"/>
      <c r="BG564" s="11"/>
      <c r="BK564" s="11"/>
      <c r="BL564" s="11"/>
      <c r="BP564" s="12"/>
      <c r="BQ564" s="400"/>
    </row>
    <row r="565" spans="4:69">
      <c r="D565" s="11"/>
      <c r="E565" s="86"/>
      <c r="F565" s="85"/>
      <c r="G565" s="85"/>
      <c r="H565" s="85"/>
      <c r="I565" s="85"/>
      <c r="J565" s="85"/>
      <c r="BD565" s="11"/>
      <c r="BE565" s="11"/>
      <c r="BF565" s="11"/>
      <c r="BG565" s="11"/>
      <c r="BK565" s="11"/>
      <c r="BL565" s="11"/>
      <c r="BP565" s="12"/>
      <c r="BQ565" s="400"/>
    </row>
    <row r="566" spans="4:69">
      <c r="D566" s="11"/>
      <c r="E566" s="86"/>
      <c r="F566" s="85"/>
      <c r="G566" s="85"/>
      <c r="H566" s="85"/>
      <c r="I566" s="85"/>
      <c r="J566" s="85"/>
      <c r="BD566" s="11"/>
      <c r="BE566" s="11"/>
      <c r="BF566" s="11"/>
      <c r="BG566" s="11"/>
      <c r="BK566" s="11"/>
      <c r="BL566" s="11"/>
      <c r="BP566" s="12"/>
      <c r="BQ566" s="400"/>
    </row>
    <row r="567" spans="4:69">
      <c r="D567" s="11"/>
      <c r="E567" s="86"/>
      <c r="F567" s="85"/>
      <c r="G567" s="85"/>
      <c r="H567" s="85"/>
      <c r="I567" s="85"/>
      <c r="J567" s="85"/>
      <c r="BD567" s="11"/>
      <c r="BE567" s="11"/>
      <c r="BF567" s="11"/>
      <c r="BG567" s="11"/>
      <c r="BK567" s="11"/>
      <c r="BL567" s="11"/>
      <c r="BP567" s="12"/>
      <c r="BQ567" s="400"/>
    </row>
    <row r="568" spans="4:69">
      <c r="D568" s="11"/>
      <c r="E568" s="86"/>
      <c r="F568" s="85"/>
      <c r="G568" s="85"/>
      <c r="H568" s="85"/>
      <c r="I568" s="85"/>
      <c r="J568" s="85"/>
      <c r="BD568" s="11"/>
      <c r="BE568" s="11"/>
      <c r="BF568" s="11"/>
      <c r="BG568" s="11"/>
      <c r="BK568" s="11"/>
      <c r="BL568" s="11"/>
      <c r="BP568" s="12"/>
      <c r="BQ568" s="400"/>
    </row>
    <row r="569" spans="4:69">
      <c r="D569" s="11"/>
      <c r="E569" s="86"/>
      <c r="F569" s="85"/>
      <c r="G569" s="85"/>
      <c r="H569" s="85"/>
      <c r="I569" s="85"/>
      <c r="J569" s="85"/>
      <c r="BD569" s="11"/>
      <c r="BE569" s="11"/>
      <c r="BF569" s="11"/>
      <c r="BG569" s="11"/>
      <c r="BK569" s="11"/>
      <c r="BL569" s="11"/>
      <c r="BP569" s="12"/>
      <c r="BQ569" s="400"/>
    </row>
    <row r="570" spans="4:69">
      <c r="D570" s="11"/>
      <c r="E570" s="86"/>
      <c r="F570" s="85"/>
      <c r="G570" s="85"/>
      <c r="H570" s="85"/>
      <c r="I570" s="85"/>
      <c r="J570" s="85"/>
      <c r="BD570" s="11"/>
      <c r="BE570" s="11"/>
      <c r="BF570" s="11"/>
      <c r="BG570" s="11"/>
      <c r="BK570" s="11"/>
      <c r="BL570" s="11"/>
      <c r="BP570" s="12"/>
      <c r="BQ570" s="400"/>
    </row>
    <row r="571" spans="4:69">
      <c r="D571" s="11"/>
      <c r="E571" s="86"/>
      <c r="F571" s="85"/>
      <c r="G571" s="85"/>
      <c r="H571" s="85"/>
      <c r="I571" s="85"/>
      <c r="J571" s="85"/>
      <c r="BD571" s="11"/>
      <c r="BE571" s="11"/>
      <c r="BF571" s="11"/>
      <c r="BG571" s="11"/>
      <c r="BK571" s="11"/>
      <c r="BL571" s="11"/>
      <c r="BP571" s="12"/>
      <c r="BQ571" s="400"/>
    </row>
    <row r="572" spans="4:69">
      <c r="D572" s="11"/>
      <c r="E572" s="86"/>
      <c r="F572" s="85"/>
      <c r="G572" s="85"/>
      <c r="H572" s="85"/>
      <c r="I572" s="85"/>
      <c r="J572" s="85"/>
      <c r="BD572" s="11"/>
      <c r="BE572" s="11"/>
      <c r="BF572" s="11"/>
      <c r="BG572" s="11"/>
      <c r="BK572" s="11"/>
      <c r="BL572" s="11"/>
      <c r="BP572" s="12"/>
      <c r="BQ572" s="400"/>
    </row>
    <row r="573" spans="4:69">
      <c r="D573" s="11"/>
      <c r="E573" s="86"/>
      <c r="F573" s="85"/>
      <c r="G573" s="85"/>
      <c r="H573" s="85"/>
      <c r="I573" s="85"/>
      <c r="J573" s="85"/>
      <c r="BD573" s="11"/>
      <c r="BE573" s="11"/>
      <c r="BF573" s="11"/>
      <c r="BG573" s="11"/>
      <c r="BK573" s="11"/>
      <c r="BL573" s="11"/>
      <c r="BP573" s="12"/>
      <c r="BQ573" s="400"/>
    </row>
    <row r="574" spans="4:69">
      <c r="D574" s="11"/>
      <c r="E574" s="86"/>
      <c r="F574" s="85"/>
      <c r="G574" s="85"/>
      <c r="H574" s="85"/>
      <c r="I574" s="85"/>
      <c r="J574" s="85"/>
      <c r="BD574" s="11"/>
      <c r="BE574" s="11"/>
      <c r="BF574" s="11"/>
      <c r="BG574" s="11"/>
      <c r="BK574" s="11"/>
      <c r="BL574" s="11"/>
      <c r="BP574" s="12"/>
      <c r="BQ574" s="400"/>
    </row>
    <row r="575" spans="4:69">
      <c r="D575" s="11"/>
      <c r="E575" s="86"/>
      <c r="F575" s="85"/>
      <c r="G575" s="85"/>
      <c r="H575" s="85"/>
      <c r="I575" s="85"/>
      <c r="J575" s="85"/>
      <c r="BD575" s="11"/>
      <c r="BE575" s="11"/>
      <c r="BF575" s="11"/>
      <c r="BG575" s="11"/>
      <c r="BK575" s="11"/>
      <c r="BL575" s="11"/>
      <c r="BP575" s="12"/>
      <c r="BQ575" s="400"/>
    </row>
    <row r="576" spans="4:69">
      <c r="D576" s="11"/>
      <c r="E576" s="86"/>
      <c r="F576" s="85"/>
      <c r="G576" s="85"/>
      <c r="H576" s="85"/>
      <c r="I576" s="85"/>
      <c r="J576" s="85"/>
      <c r="BD576" s="11"/>
      <c r="BE576" s="11"/>
      <c r="BF576" s="11"/>
      <c r="BG576" s="11"/>
      <c r="BK576" s="11"/>
      <c r="BL576" s="11"/>
      <c r="BP576" s="12"/>
      <c r="BQ576" s="400"/>
    </row>
    <row r="577" spans="4:69">
      <c r="D577" s="11"/>
      <c r="E577" s="86"/>
      <c r="F577" s="85"/>
      <c r="G577" s="85"/>
      <c r="H577" s="85"/>
      <c r="I577" s="85"/>
      <c r="J577" s="85"/>
      <c r="BD577" s="11"/>
      <c r="BE577" s="11"/>
      <c r="BF577" s="11"/>
      <c r="BG577" s="11"/>
      <c r="BK577" s="11"/>
      <c r="BL577" s="11"/>
      <c r="BP577" s="12"/>
      <c r="BQ577" s="400"/>
    </row>
    <row r="578" spans="4:69">
      <c r="D578" s="11"/>
      <c r="E578" s="86"/>
      <c r="F578" s="85"/>
      <c r="G578" s="85"/>
      <c r="H578" s="85"/>
      <c r="I578" s="85"/>
      <c r="J578" s="85"/>
      <c r="BD578" s="11"/>
      <c r="BE578" s="11"/>
      <c r="BF578" s="11"/>
      <c r="BG578" s="11"/>
      <c r="BK578" s="11"/>
      <c r="BL578" s="11"/>
      <c r="BP578" s="12"/>
      <c r="BQ578" s="400"/>
    </row>
    <row r="579" spans="4:69">
      <c r="D579" s="11"/>
      <c r="E579" s="86"/>
      <c r="F579" s="85"/>
      <c r="G579" s="85"/>
      <c r="H579" s="85"/>
      <c r="I579" s="85"/>
      <c r="J579" s="85"/>
      <c r="BD579" s="11"/>
      <c r="BE579" s="11"/>
      <c r="BF579" s="11"/>
      <c r="BG579" s="11"/>
      <c r="BK579" s="11"/>
      <c r="BL579" s="11"/>
      <c r="BP579" s="12"/>
      <c r="BQ579" s="400"/>
    </row>
    <row r="580" spans="4:69">
      <c r="D580" s="11"/>
      <c r="E580" s="86"/>
      <c r="F580" s="85"/>
      <c r="G580" s="85"/>
      <c r="H580" s="85"/>
      <c r="I580" s="85"/>
      <c r="J580" s="85"/>
      <c r="BD580" s="11"/>
      <c r="BE580" s="11"/>
      <c r="BF580" s="11"/>
      <c r="BG580" s="11"/>
      <c r="BK580" s="11"/>
      <c r="BL580" s="11"/>
      <c r="BP580" s="12"/>
      <c r="BQ580" s="400"/>
    </row>
    <row r="581" spans="4:69">
      <c r="D581" s="11"/>
      <c r="E581" s="86"/>
      <c r="F581" s="85"/>
      <c r="G581" s="85"/>
      <c r="H581" s="85"/>
      <c r="I581" s="85"/>
      <c r="J581" s="85"/>
      <c r="BD581" s="11"/>
      <c r="BE581" s="11"/>
      <c r="BF581" s="11"/>
      <c r="BG581" s="11"/>
      <c r="BK581" s="11"/>
      <c r="BL581" s="11"/>
      <c r="BP581" s="12"/>
      <c r="BQ581" s="400"/>
    </row>
    <row r="582" spans="4:69">
      <c r="D582" s="11"/>
      <c r="E582" s="86"/>
      <c r="F582" s="85"/>
      <c r="G582" s="85"/>
      <c r="H582" s="85"/>
      <c r="I582" s="85"/>
      <c r="J582" s="85"/>
      <c r="BD582" s="11"/>
      <c r="BE582" s="11"/>
      <c r="BF582" s="11"/>
      <c r="BG582" s="11"/>
      <c r="BK582" s="11"/>
      <c r="BL582" s="11"/>
      <c r="BP582" s="12"/>
      <c r="BQ582" s="400"/>
    </row>
    <row r="583" spans="4:69">
      <c r="D583" s="11"/>
      <c r="E583" s="86"/>
      <c r="F583" s="85"/>
      <c r="G583" s="85"/>
      <c r="H583" s="85"/>
      <c r="I583" s="85"/>
      <c r="J583" s="85"/>
      <c r="BD583" s="11"/>
      <c r="BE583" s="11"/>
      <c r="BF583" s="11"/>
      <c r="BG583" s="11"/>
      <c r="BK583" s="11"/>
      <c r="BL583" s="11"/>
      <c r="BP583" s="12"/>
      <c r="BQ583" s="400"/>
    </row>
    <row r="584" spans="4:69">
      <c r="D584" s="11"/>
      <c r="E584" s="86"/>
      <c r="F584" s="85"/>
      <c r="G584" s="85"/>
      <c r="H584" s="85"/>
      <c r="I584" s="85"/>
      <c r="J584" s="85"/>
      <c r="BD584" s="11"/>
      <c r="BE584" s="11"/>
      <c r="BF584" s="11"/>
      <c r="BG584" s="11"/>
      <c r="BK584" s="11"/>
      <c r="BL584" s="11"/>
      <c r="BP584" s="12"/>
      <c r="BQ584" s="400"/>
    </row>
    <row r="585" spans="4:69">
      <c r="D585" s="11"/>
      <c r="E585" s="86"/>
      <c r="F585" s="85"/>
      <c r="G585" s="85"/>
      <c r="H585" s="85"/>
      <c r="I585" s="85"/>
      <c r="J585" s="85"/>
      <c r="BD585" s="11"/>
      <c r="BE585" s="11"/>
      <c r="BF585" s="11"/>
      <c r="BG585" s="11"/>
      <c r="BK585" s="11"/>
      <c r="BL585" s="11"/>
      <c r="BP585" s="12"/>
      <c r="BQ585" s="400"/>
    </row>
    <row r="586" spans="4:69">
      <c r="D586" s="11"/>
      <c r="E586" s="86"/>
      <c r="F586" s="85"/>
      <c r="G586" s="85"/>
      <c r="H586" s="85"/>
      <c r="I586" s="85"/>
      <c r="J586" s="85"/>
      <c r="BD586" s="11"/>
      <c r="BE586" s="11"/>
      <c r="BF586" s="11"/>
      <c r="BG586" s="11"/>
      <c r="BK586" s="11"/>
      <c r="BL586" s="11"/>
      <c r="BP586" s="12"/>
      <c r="BQ586" s="400"/>
    </row>
    <row r="587" spans="4:69">
      <c r="D587" s="11"/>
      <c r="E587" s="86"/>
      <c r="F587" s="85"/>
      <c r="G587" s="85"/>
      <c r="H587" s="85"/>
      <c r="I587" s="85"/>
      <c r="J587" s="85"/>
      <c r="BD587" s="11"/>
      <c r="BE587" s="11"/>
      <c r="BF587" s="11"/>
      <c r="BG587" s="11"/>
      <c r="BK587" s="11"/>
      <c r="BL587" s="11"/>
      <c r="BP587" s="12"/>
      <c r="BQ587" s="400"/>
    </row>
    <row r="588" spans="4:69">
      <c r="D588" s="11"/>
      <c r="E588" s="86"/>
      <c r="F588" s="85"/>
      <c r="G588" s="85"/>
      <c r="H588" s="85"/>
      <c r="I588" s="85"/>
      <c r="J588" s="85"/>
      <c r="BD588" s="11"/>
      <c r="BE588" s="11"/>
      <c r="BF588" s="11"/>
      <c r="BG588" s="11"/>
      <c r="BK588" s="11"/>
      <c r="BL588" s="11"/>
      <c r="BP588" s="12"/>
      <c r="BQ588" s="400"/>
    </row>
    <row r="589" spans="4:69">
      <c r="D589" s="11"/>
      <c r="E589" s="86"/>
      <c r="F589" s="85"/>
      <c r="G589" s="85"/>
      <c r="H589" s="85"/>
      <c r="I589" s="85"/>
      <c r="J589" s="85"/>
      <c r="BD589" s="11"/>
      <c r="BE589" s="11"/>
      <c r="BF589" s="11"/>
      <c r="BG589" s="11"/>
      <c r="BK589" s="11"/>
      <c r="BL589" s="11"/>
      <c r="BP589" s="12"/>
      <c r="BQ589" s="400"/>
    </row>
    <row r="590" spans="4:69">
      <c r="D590" s="11"/>
      <c r="E590" s="86"/>
      <c r="F590" s="85"/>
      <c r="G590" s="85"/>
      <c r="H590" s="85"/>
      <c r="I590" s="85"/>
      <c r="J590" s="85"/>
      <c r="BD590" s="11"/>
      <c r="BE590" s="11"/>
      <c r="BF590" s="11"/>
      <c r="BG590" s="11"/>
      <c r="BK590" s="11"/>
      <c r="BL590" s="11"/>
      <c r="BP590" s="12"/>
      <c r="BQ590" s="400"/>
    </row>
    <row r="591" spans="4:69">
      <c r="D591" s="11"/>
      <c r="E591" s="86"/>
      <c r="F591" s="85"/>
      <c r="G591" s="85"/>
      <c r="H591" s="85"/>
      <c r="I591" s="85"/>
      <c r="J591" s="85"/>
      <c r="BD591" s="11"/>
      <c r="BE591" s="11"/>
      <c r="BF591" s="11"/>
      <c r="BG591" s="11"/>
      <c r="BK591" s="11"/>
      <c r="BL591" s="11"/>
      <c r="BP591" s="12"/>
      <c r="BQ591" s="400"/>
    </row>
    <row r="592" spans="4:69">
      <c r="D592" s="11"/>
      <c r="E592" s="86"/>
      <c r="F592" s="85"/>
      <c r="G592" s="85"/>
      <c r="H592" s="85"/>
      <c r="I592" s="85"/>
      <c r="J592" s="85"/>
      <c r="BD592" s="11"/>
      <c r="BE592" s="11"/>
      <c r="BF592" s="11"/>
      <c r="BG592" s="11"/>
      <c r="BK592" s="11"/>
      <c r="BL592" s="11"/>
      <c r="BP592" s="12"/>
      <c r="BQ592" s="400"/>
    </row>
    <row r="593" spans="4:69">
      <c r="D593" s="11"/>
      <c r="E593" s="86"/>
      <c r="F593" s="85"/>
      <c r="G593" s="85"/>
      <c r="H593" s="85"/>
      <c r="I593" s="85"/>
      <c r="J593" s="85"/>
      <c r="BD593" s="11"/>
      <c r="BE593" s="11"/>
      <c r="BF593" s="11"/>
      <c r="BG593" s="11"/>
      <c r="BK593" s="11"/>
      <c r="BL593" s="11"/>
      <c r="BP593" s="12"/>
      <c r="BQ593" s="400"/>
    </row>
    <row r="594" spans="4:69">
      <c r="D594" s="11"/>
      <c r="E594" s="86"/>
      <c r="F594" s="85"/>
      <c r="G594" s="85"/>
      <c r="H594" s="85"/>
      <c r="I594" s="85"/>
      <c r="J594" s="85"/>
      <c r="BD594" s="11"/>
      <c r="BE594" s="11"/>
      <c r="BF594" s="11"/>
      <c r="BG594" s="11"/>
      <c r="BK594" s="11"/>
      <c r="BL594" s="11"/>
      <c r="BP594" s="12"/>
      <c r="BQ594" s="400"/>
    </row>
    <row r="595" spans="4:69">
      <c r="D595" s="11"/>
      <c r="E595" s="86"/>
      <c r="F595" s="85"/>
      <c r="G595" s="85"/>
      <c r="H595" s="85"/>
      <c r="I595" s="85"/>
      <c r="J595" s="85"/>
      <c r="BD595" s="11"/>
      <c r="BE595" s="11"/>
      <c r="BF595" s="11"/>
      <c r="BG595" s="11"/>
      <c r="BK595" s="11"/>
      <c r="BL595" s="11"/>
      <c r="BP595" s="12"/>
      <c r="BQ595" s="400"/>
    </row>
    <row r="596" spans="4:69">
      <c r="D596" s="11"/>
      <c r="E596" s="86"/>
      <c r="F596" s="85"/>
      <c r="G596" s="85"/>
      <c r="H596" s="85"/>
      <c r="I596" s="85"/>
      <c r="J596" s="85"/>
      <c r="BD596" s="11"/>
      <c r="BE596" s="11"/>
      <c r="BF596" s="11"/>
      <c r="BG596" s="11"/>
      <c r="BK596" s="11"/>
      <c r="BL596" s="11"/>
      <c r="BP596" s="12"/>
      <c r="BQ596" s="400"/>
    </row>
    <row r="597" spans="4:69">
      <c r="D597" s="11"/>
      <c r="E597" s="86"/>
      <c r="F597" s="85"/>
      <c r="G597" s="85"/>
      <c r="H597" s="85"/>
      <c r="I597" s="85"/>
      <c r="J597" s="85"/>
      <c r="BD597" s="11"/>
      <c r="BE597" s="11"/>
      <c r="BF597" s="11"/>
      <c r="BG597" s="11"/>
      <c r="BK597" s="11"/>
      <c r="BL597" s="11"/>
      <c r="BP597" s="12"/>
      <c r="BQ597" s="400"/>
    </row>
    <row r="598" spans="4:69">
      <c r="D598" s="11"/>
      <c r="E598" s="86"/>
      <c r="F598" s="85"/>
      <c r="G598" s="85"/>
      <c r="H598" s="85"/>
      <c r="I598" s="85"/>
      <c r="J598" s="85"/>
      <c r="BD598" s="11"/>
      <c r="BE598" s="11"/>
      <c r="BF598" s="11"/>
      <c r="BG598" s="11"/>
      <c r="BK598" s="11"/>
      <c r="BL598" s="11"/>
      <c r="BP598" s="12"/>
      <c r="BQ598" s="400"/>
    </row>
    <row r="599" spans="4:69">
      <c r="D599" s="11"/>
      <c r="E599" s="86"/>
      <c r="F599" s="85"/>
      <c r="G599" s="85"/>
      <c r="H599" s="85"/>
      <c r="I599" s="85"/>
      <c r="J599" s="85"/>
      <c r="BD599" s="11"/>
      <c r="BE599" s="11"/>
      <c r="BF599" s="11"/>
      <c r="BG599" s="11"/>
      <c r="BK599" s="11"/>
      <c r="BL599" s="11"/>
      <c r="BP599" s="12"/>
      <c r="BQ599" s="400"/>
    </row>
    <row r="600" spans="4:69">
      <c r="D600" s="11"/>
      <c r="E600" s="86"/>
      <c r="F600" s="85"/>
      <c r="G600" s="85"/>
      <c r="H600" s="85"/>
      <c r="I600" s="85"/>
      <c r="J600" s="85"/>
      <c r="BD600" s="11"/>
      <c r="BE600" s="11"/>
      <c r="BF600" s="11"/>
      <c r="BG600" s="11"/>
      <c r="BK600" s="11"/>
      <c r="BL600" s="11"/>
      <c r="BP600" s="12"/>
      <c r="BQ600" s="400"/>
    </row>
    <row r="601" spans="4:69">
      <c r="D601" s="11"/>
      <c r="E601" s="86"/>
      <c r="F601" s="85"/>
      <c r="G601" s="85"/>
      <c r="H601" s="85"/>
      <c r="I601" s="85"/>
      <c r="J601" s="85"/>
      <c r="BD601" s="11"/>
      <c r="BE601" s="11"/>
      <c r="BF601" s="11"/>
      <c r="BG601" s="11"/>
      <c r="BK601" s="11"/>
      <c r="BL601" s="11"/>
      <c r="BP601" s="12"/>
      <c r="BQ601" s="400"/>
    </row>
    <row r="602" spans="4:69">
      <c r="D602" s="11"/>
      <c r="E602" s="86"/>
      <c r="F602" s="85"/>
      <c r="G602" s="85"/>
      <c r="H602" s="85"/>
      <c r="I602" s="85"/>
      <c r="J602" s="85"/>
      <c r="BD602" s="11"/>
      <c r="BE602" s="11"/>
      <c r="BF602" s="11"/>
      <c r="BG602" s="11"/>
      <c r="BK602" s="11"/>
      <c r="BL602" s="11"/>
      <c r="BP602" s="12"/>
      <c r="BQ602" s="400"/>
    </row>
    <row r="603" spans="4:69">
      <c r="D603" s="11"/>
      <c r="E603" s="86"/>
      <c r="F603" s="85"/>
      <c r="G603" s="85"/>
      <c r="H603" s="85"/>
      <c r="I603" s="85"/>
      <c r="J603" s="85"/>
      <c r="BD603" s="11"/>
      <c r="BE603" s="11"/>
      <c r="BF603" s="11"/>
      <c r="BG603" s="11"/>
      <c r="BK603" s="11"/>
      <c r="BL603" s="11"/>
      <c r="BP603" s="12"/>
      <c r="BQ603" s="400"/>
    </row>
    <row r="604" spans="4:69">
      <c r="D604" s="11"/>
      <c r="E604" s="86"/>
      <c r="F604" s="85"/>
      <c r="G604" s="85"/>
      <c r="H604" s="85"/>
      <c r="I604" s="85"/>
      <c r="J604" s="85"/>
      <c r="BD604" s="11"/>
      <c r="BE604" s="11"/>
      <c r="BF604" s="11"/>
      <c r="BG604" s="11"/>
      <c r="BK604" s="11"/>
      <c r="BL604" s="11"/>
      <c r="BP604" s="12"/>
      <c r="BQ604" s="400"/>
    </row>
    <row r="605" spans="4:69">
      <c r="D605" s="11"/>
      <c r="E605" s="86"/>
      <c r="F605" s="85"/>
      <c r="G605" s="85"/>
      <c r="H605" s="85"/>
      <c r="I605" s="85"/>
      <c r="J605" s="85"/>
      <c r="BD605" s="11"/>
      <c r="BE605" s="11"/>
      <c r="BF605" s="11"/>
      <c r="BG605" s="11"/>
      <c r="BK605" s="11"/>
      <c r="BL605" s="11"/>
      <c r="BP605" s="12"/>
      <c r="BQ605" s="400"/>
    </row>
    <row r="606" spans="4:69">
      <c r="D606" s="11"/>
      <c r="E606" s="86"/>
      <c r="F606" s="85"/>
      <c r="G606" s="85"/>
      <c r="H606" s="85"/>
      <c r="I606" s="85"/>
      <c r="J606" s="85"/>
      <c r="BD606" s="11"/>
      <c r="BE606" s="11"/>
      <c r="BF606" s="11"/>
      <c r="BG606" s="11"/>
      <c r="BK606" s="11"/>
      <c r="BL606" s="11"/>
      <c r="BP606" s="12"/>
      <c r="BQ606" s="400"/>
    </row>
    <row r="607" spans="4:69">
      <c r="D607" s="11"/>
      <c r="E607" s="86"/>
      <c r="F607" s="85"/>
      <c r="G607" s="85"/>
      <c r="H607" s="85"/>
      <c r="I607" s="85"/>
      <c r="J607" s="85"/>
      <c r="BD607" s="11"/>
      <c r="BE607" s="11"/>
      <c r="BF607" s="11"/>
      <c r="BG607" s="11"/>
      <c r="BK607" s="11"/>
      <c r="BL607" s="11"/>
      <c r="BP607" s="12"/>
      <c r="BQ607" s="400"/>
    </row>
    <row r="608" spans="4:69">
      <c r="D608" s="11"/>
      <c r="E608" s="86"/>
      <c r="F608" s="85"/>
      <c r="G608" s="85"/>
      <c r="H608" s="85"/>
      <c r="I608" s="85"/>
      <c r="J608" s="85"/>
      <c r="BD608" s="11"/>
      <c r="BE608" s="11"/>
      <c r="BF608" s="11"/>
      <c r="BG608" s="11"/>
      <c r="BK608" s="11"/>
      <c r="BL608" s="11"/>
      <c r="BP608" s="12"/>
      <c r="BQ608" s="400"/>
    </row>
    <row r="609" spans="4:69">
      <c r="D609" s="11"/>
      <c r="E609" s="86"/>
      <c r="F609" s="85"/>
      <c r="G609" s="85"/>
      <c r="H609" s="85"/>
      <c r="I609" s="85"/>
      <c r="J609" s="85"/>
      <c r="BD609" s="11"/>
      <c r="BE609" s="11"/>
      <c r="BF609" s="11"/>
      <c r="BG609" s="11"/>
      <c r="BK609" s="11"/>
      <c r="BL609" s="11"/>
      <c r="BP609" s="12"/>
      <c r="BQ609" s="400"/>
    </row>
    <row r="610" spans="4:69">
      <c r="D610" s="11"/>
      <c r="E610" s="86"/>
      <c r="F610" s="85"/>
      <c r="G610" s="85"/>
      <c r="H610" s="85"/>
      <c r="I610" s="85"/>
      <c r="J610" s="85"/>
      <c r="BD610" s="11"/>
      <c r="BE610" s="11"/>
      <c r="BF610" s="11"/>
      <c r="BG610" s="11"/>
      <c r="BK610" s="11"/>
      <c r="BL610" s="11"/>
      <c r="BP610" s="12"/>
      <c r="BQ610" s="400"/>
    </row>
    <row r="611" spans="4:69">
      <c r="D611" s="11"/>
      <c r="E611" s="86"/>
      <c r="F611" s="85"/>
      <c r="G611" s="85"/>
      <c r="H611" s="85"/>
      <c r="I611" s="85"/>
      <c r="J611" s="85"/>
      <c r="BD611" s="11"/>
      <c r="BE611" s="11"/>
      <c r="BF611" s="11"/>
      <c r="BG611" s="11"/>
      <c r="BK611" s="11"/>
      <c r="BL611" s="11"/>
      <c r="BP611" s="12"/>
      <c r="BQ611" s="400"/>
    </row>
    <row r="612" spans="4:69">
      <c r="D612" s="11"/>
      <c r="E612" s="86"/>
      <c r="F612" s="85"/>
      <c r="G612" s="85"/>
      <c r="H612" s="85"/>
      <c r="I612" s="85"/>
      <c r="J612" s="85"/>
      <c r="BD612" s="11"/>
      <c r="BE612" s="11"/>
      <c r="BF612" s="11"/>
      <c r="BG612" s="11"/>
      <c r="BK612" s="11"/>
      <c r="BL612" s="11"/>
      <c r="BP612" s="12"/>
      <c r="BQ612" s="400"/>
    </row>
    <row r="613" spans="4:69">
      <c r="D613" s="11"/>
      <c r="E613" s="86"/>
      <c r="F613" s="85"/>
      <c r="G613" s="85"/>
      <c r="H613" s="85"/>
      <c r="I613" s="85"/>
      <c r="J613" s="85"/>
      <c r="BD613" s="11"/>
      <c r="BE613" s="11"/>
      <c r="BF613" s="11"/>
      <c r="BG613" s="11"/>
      <c r="BK613" s="11"/>
      <c r="BL613" s="11"/>
      <c r="BP613" s="12"/>
      <c r="BQ613" s="400"/>
    </row>
    <row r="614" spans="4:69">
      <c r="D614" s="11"/>
      <c r="E614" s="86"/>
      <c r="F614" s="85"/>
      <c r="G614" s="85"/>
      <c r="H614" s="85"/>
      <c r="I614" s="85"/>
      <c r="J614" s="85"/>
      <c r="BD614" s="11"/>
      <c r="BE614" s="11"/>
      <c r="BF614" s="11"/>
      <c r="BG614" s="11"/>
      <c r="BK614" s="11"/>
      <c r="BL614" s="11"/>
      <c r="BP614" s="12"/>
      <c r="BQ614" s="400"/>
    </row>
    <row r="615" spans="4:69">
      <c r="D615" s="11"/>
      <c r="E615" s="86"/>
      <c r="F615" s="85"/>
      <c r="G615" s="85"/>
      <c r="H615" s="85"/>
      <c r="I615" s="85"/>
      <c r="J615" s="85"/>
      <c r="BD615" s="11"/>
      <c r="BE615" s="11"/>
      <c r="BF615" s="11"/>
      <c r="BG615" s="11"/>
      <c r="BK615" s="11"/>
      <c r="BL615" s="11"/>
      <c r="BP615" s="12"/>
      <c r="BQ615" s="400"/>
    </row>
    <row r="616" spans="4:69">
      <c r="D616" s="11"/>
      <c r="E616" s="86"/>
      <c r="F616" s="85"/>
      <c r="G616" s="85"/>
      <c r="H616" s="85"/>
      <c r="I616" s="85"/>
      <c r="J616" s="85"/>
      <c r="BD616" s="11"/>
      <c r="BE616" s="11"/>
      <c r="BF616" s="11"/>
      <c r="BG616" s="11"/>
      <c r="BK616" s="11"/>
      <c r="BL616" s="11"/>
      <c r="BP616" s="12"/>
      <c r="BQ616" s="400"/>
    </row>
    <row r="617" spans="4:69">
      <c r="D617" s="11"/>
      <c r="E617" s="86"/>
      <c r="F617" s="85"/>
      <c r="G617" s="85"/>
      <c r="H617" s="85"/>
      <c r="I617" s="85"/>
      <c r="J617" s="85"/>
      <c r="BD617" s="11"/>
      <c r="BE617" s="11"/>
      <c r="BF617" s="11"/>
      <c r="BG617" s="11"/>
      <c r="BK617" s="11"/>
      <c r="BL617" s="11"/>
      <c r="BP617" s="12"/>
      <c r="BQ617" s="400"/>
    </row>
    <row r="618" spans="4:69">
      <c r="D618" s="11"/>
      <c r="E618" s="86"/>
      <c r="F618" s="85"/>
      <c r="G618" s="85"/>
      <c r="H618" s="85"/>
      <c r="I618" s="85"/>
      <c r="J618" s="85"/>
      <c r="BD618" s="11"/>
      <c r="BE618" s="11"/>
      <c r="BF618" s="11"/>
      <c r="BG618" s="11"/>
      <c r="BK618" s="11"/>
      <c r="BL618" s="11"/>
      <c r="BP618" s="12"/>
      <c r="BQ618" s="400"/>
    </row>
    <row r="619" spans="4:69">
      <c r="D619" s="11"/>
      <c r="E619" s="86"/>
      <c r="F619" s="85"/>
      <c r="G619" s="85"/>
      <c r="H619" s="85"/>
      <c r="I619" s="85"/>
      <c r="J619" s="85"/>
      <c r="BD619" s="11"/>
      <c r="BE619" s="11"/>
      <c r="BF619" s="11"/>
      <c r="BG619" s="11"/>
      <c r="BK619" s="11"/>
      <c r="BL619" s="11"/>
      <c r="BP619" s="12"/>
      <c r="BQ619" s="400"/>
    </row>
    <row r="620" spans="4:69">
      <c r="D620" s="11"/>
      <c r="E620" s="86"/>
      <c r="F620" s="85"/>
      <c r="G620" s="85"/>
      <c r="H620" s="85"/>
      <c r="I620" s="85"/>
      <c r="J620" s="85"/>
      <c r="BD620" s="11"/>
      <c r="BE620" s="11"/>
      <c r="BF620" s="11"/>
      <c r="BG620" s="11"/>
      <c r="BK620" s="11"/>
      <c r="BL620" s="11"/>
      <c r="BP620" s="12"/>
      <c r="BQ620" s="400"/>
    </row>
    <row r="621" spans="4:69">
      <c r="D621" s="11"/>
      <c r="E621" s="86"/>
      <c r="F621" s="85"/>
      <c r="G621" s="85"/>
      <c r="H621" s="85"/>
      <c r="I621" s="85"/>
      <c r="J621" s="85"/>
      <c r="BD621" s="11"/>
      <c r="BE621" s="11"/>
      <c r="BF621" s="11"/>
      <c r="BG621" s="11"/>
      <c r="BK621" s="11"/>
      <c r="BL621" s="11"/>
      <c r="BP621" s="12"/>
      <c r="BQ621" s="400"/>
    </row>
    <row r="622" spans="4:69">
      <c r="D622" s="11"/>
      <c r="E622" s="86"/>
      <c r="F622" s="85"/>
      <c r="G622" s="85"/>
      <c r="H622" s="85"/>
      <c r="I622" s="85"/>
      <c r="J622" s="85"/>
      <c r="BD622" s="11"/>
      <c r="BE622" s="11"/>
      <c r="BF622" s="11"/>
      <c r="BG622" s="11"/>
      <c r="BK622" s="11"/>
      <c r="BL622" s="11"/>
      <c r="BP622" s="12"/>
      <c r="BQ622" s="400"/>
    </row>
    <row r="623" spans="4:69">
      <c r="D623" s="11"/>
      <c r="E623" s="86"/>
      <c r="F623" s="85"/>
      <c r="G623" s="85"/>
      <c r="H623" s="85"/>
      <c r="I623" s="85"/>
      <c r="J623" s="85"/>
      <c r="BD623" s="11"/>
      <c r="BE623" s="11"/>
      <c r="BF623" s="11"/>
      <c r="BG623" s="11"/>
      <c r="BK623" s="11"/>
      <c r="BL623" s="11"/>
      <c r="BP623" s="12"/>
      <c r="BQ623" s="400"/>
    </row>
    <row r="624" spans="4:69">
      <c r="D624" s="11"/>
      <c r="E624" s="86"/>
      <c r="F624" s="85"/>
      <c r="G624" s="85"/>
      <c r="H624" s="85"/>
      <c r="I624" s="85"/>
      <c r="J624" s="85"/>
      <c r="BD624" s="11"/>
      <c r="BE624" s="11"/>
      <c r="BF624" s="11"/>
      <c r="BG624" s="11"/>
      <c r="BK624" s="11"/>
      <c r="BL624" s="11"/>
      <c r="BP624" s="12"/>
      <c r="BQ624" s="400"/>
    </row>
    <row r="625" spans="4:69">
      <c r="D625" s="11"/>
      <c r="E625" s="86"/>
      <c r="F625" s="85"/>
      <c r="G625" s="85"/>
      <c r="H625" s="85"/>
      <c r="I625" s="85"/>
      <c r="J625" s="85"/>
      <c r="BD625" s="11"/>
      <c r="BE625" s="11"/>
      <c r="BF625" s="11"/>
      <c r="BG625" s="11"/>
      <c r="BK625" s="11"/>
      <c r="BL625" s="11"/>
      <c r="BP625" s="12"/>
      <c r="BQ625" s="400"/>
    </row>
    <row r="626" spans="4:69">
      <c r="D626" s="11"/>
      <c r="E626" s="86"/>
      <c r="F626" s="85"/>
      <c r="G626" s="85"/>
      <c r="H626" s="85"/>
      <c r="I626" s="85"/>
      <c r="J626" s="85"/>
      <c r="BD626" s="11"/>
      <c r="BE626" s="11"/>
      <c r="BF626" s="11"/>
      <c r="BG626" s="11"/>
      <c r="BK626" s="11"/>
      <c r="BL626" s="11"/>
      <c r="BP626" s="12"/>
      <c r="BQ626" s="400"/>
    </row>
    <row r="627" spans="4:69">
      <c r="D627" s="11"/>
      <c r="E627" s="86"/>
      <c r="F627" s="85"/>
      <c r="G627" s="85"/>
      <c r="H627" s="85"/>
      <c r="I627" s="85"/>
      <c r="J627" s="85"/>
      <c r="BD627" s="11"/>
      <c r="BE627" s="11"/>
      <c r="BF627" s="11"/>
      <c r="BG627" s="11"/>
      <c r="BK627" s="11"/>
      <c r="BL627" s="11"/>
      <c r="BP627" s="12"/>
      <c r="BQ627" s="400"/>
    </row>
    <row r="628" spans="4:69">
      <c r="D628" s="11"/>
      <c r="E628" s="86"/>
      <c r="F628" s="85"/>
      <c r="G628" s="85"/>
      <c r="H628" s="85"/>
      <c r="I628" s="85"/>
      <c r="J628" s="85"/>
      <c r="BD628" s="11"/>
      <c r="BE628" s="11"/>
      <c r="BF628" s="11"/>
      <c r="BG628" s="11"/>
      <c r="BK628" s="11"/>
      <c r="BL628" s="11"/>
      <c r="BP628" s="12"/>
      <c r="BQ628" s="400"/>
    </row>
    <row r="629" spans="4:69">
      <c r="D629" s="11"/>
      <c r="E629" s="86"/>
      <c r="F629" s="85"/>
      <c r="G629" s="85"/>
      <c r="H629" s="85"/>
      <c r="I629" s="85"/>
      <c r="J629" s="85"/>
      <c r="BD629" s="11"/>
      <c r="BE629" s="11"/>
      <c r="BF629" s="11"/>
      <c r="BG629" s="11"/>
      <c r="BK629" s="11"/>
      <c r="BL629" s="11"/>
      <c r="BP629" s="12"/>
      <c r="BQ629" s="400"/>
    </row>
    <row r="630" spans="4:69">
      <c r="D630" s="11"/>
      <c r="E630" s="86"/>
      <c r="F630" s="85"/>
      <c r="G630" s="85"/>
      <c r="H630" s="85"/>
      <c r="I630" s="85"/>
      <c r="J630" s="85"/>
      <c r="BD630" s="11"/>
      <c r="BE630" s="11"/>
      <c r="BF630" s="11"/>
      <c r="BG630" s="11"/>
      <c r="BK630" s="11"/>
      <c r="BL630" s="11"/>
      <c r="BP630" s="12"/>
      <c r="BQ630" s="400"/>
    </row>
    <row r="631" spans="4:69">
      <c r="D631" s="11"/>
      <c r="E631" s="86"/>
      <c r="F631" s="85"/>
      <c r="G631" s="85"/>
      <c r="H631" s="85"/>
      <c r="I631" s="85"/>
      <c r="J631" s="85"/>
      <c r="BD631" s="11"/>
      <c r="BE631" s="11"/>
      <c r="BF631" s="11"/>
      <c r="BG631" s="11"/>
      <c r="BK631" s="11"/>
      <c r="BL631" s="11"/>
      <c r="BP631" s="12"/>
      <c r="BQ631" s="400"/>
    </row>
    <row r="632" spans="4:69">
      <c r="D632" s="11"/>
      <c r="E632" s="86"/>
      <c r="F632" s="85"/>
      <c r="G632" s="85"/>
      <c r="H632" s="85"/>
      <c r="I632" s="85"/>
      <c r="J632" s="85"/>
      <c r="BD632" s="11"/>
      <c r="BE632" s="11"/>
      <c r="BF632" s="11"/>
      <c r="BG632" s="11"/>
      <c r="BK632" s="11"/>
      <c r="BL632" s="11"/>
      <c r="BP632" s="12"/>
      <c r="BQ632" s="400"/>
    </row>
    <row r="633" spans="4:69">
      <c r="D633" s="11"/>
      <c r="E633" s="86"/>
      <c r="F633" s="85"/>
      <c r="G633" s="85"/>
      <c r="H633" s="85"/>
      <c r="I633" s="85"/>
      <c r="J633" s="85"/>
      <c r="BD633" s="11"/>
      <c r="BE633" s="11"/>
      <c r="BF633" s="11"/>
      <c r="BG633" s="11"/>
      <c r="BK633" s="11"/>
      <c r="BL633" s="11"/>
      <c r="BP633" s="12"/>
      <c r="BQ633" s="400"/>
    </row>
    <row r="634" spans="4:69">
      <c r="D634" s="11"/>
      <c r="E634" s="86"/>
      <c r="F634" s="85"/>
      <c r="G634" s="85"/>
      <c r="H634" s="85"/>
      <c r="I634" s="85"/>
      <c r="J634" s="85"/>
      <c r="BD634" s="11"/>
      <c r="BE634" s="11"/>
      <c r="BF634" s="11"/>
      <c r="BG634" s="11"/>
      <c r="BK634" s="11"/>
      <c r="BL634" s="11"/>
      <c r="BP634" s="12"/>
      <c r="BQ634" s="400"/>
    </row>
    <row r="635" spans="4:69">
      <c r="D635" s="11"/>
      <c r="E635" s="86"/>
      <c r="F635" s="85"/>
      <c r="G635" s="85"/>
      <c r="H635" s="85"/>
      <c r="I635" s="85"/>
      <c r="J635" s="85"/>
      <c r="BD635" s="11"/>
      <c r="BE635" s="11"/>
      <c r="BF635" s="11"/>
      <c r="BG635" s="11"/>
      <c r="BK635" s="11"/>
      <c r="BL635" s="11"/>
      <c r="BP635" s="12"/>
      <c r="BQ635" s="400"/>
    </row>
    <row r="636" spans="4:69">
      <c r="D636" s="11"/>
      <c r="E636" s="86"/>
      <c r="F636" s="85"/>
      <c r="G636" s="85"/>
      <c r="H636" s="85"/>
      <c r="I636" s="85"/>
      <c r="J636" s="85"/>
      <c r="BD636" s="11"/>
      <c r="BE636" s="11"/>
      <c r="BF636" s="11"/>
      <c r="BG636" s="11"/>
      <c r="BK636" s="11"/>
      <c r="BL636" s="11"/>
      <c r="BP636" s="12"/>
      <c r="BQ636" s="400"/>
    </row>
    <row r="637" spans="4:69">
      <c r="D637" s="11"/>
      <c r="E637" s="86"/>
      <c r="F637" s="85"/>
      <c r="G637" s="85"/>
      <c r="H637" s="85"/>
      <c r="I637" s="85"/>
      <c r="J637" s="85"/>
      <c r="BD637" s="11"/>
      <c r="BE637" s="11"/>
      <c r="BF637" s="11"/>
      <c r="BG637" s="11"/>
      <c r="BK637" s="11"/>
      <c r="BL637" s="11"/>
      <c r="BP637" s="12"/>
      <c r="BQ637" s="400"/>
    </row>
    <row r="638" spans="4:69">
      <c r="D638" s="11"/>
      <c r="E638" s="86"/>
      <c r="F638" s="85"/>
      <c r="G638" s="85"/>
      <c r="H638" s="85"/>
      <c r="I638" s="85"/>
      <c r="J638" s="85"/>
      <c r="BD638" s="11"/>
      <c r="BE638" s="11"/>
      <c r="BF638" s="11"/>
      <c r="BG638" s="11"/>
      <c r="BK638" s="11"/>
      <c r="BL638" s="11"/>
      <c r="BP638" s="12"/>
      <c r="BQ638" s="400"/>
    </row>
    <row r="639" spans="4:69">
      <c r="D639" s="11"/>
      <c r="E639" s="86"/>
      <c r="F639" s="85"/>
      <c r="G639" s="85"/>
      <c r="H639" s="85"/>
      <c r="I639" s="85"/>
      <c r="J639" s="85"/>
      <c r="BD639" s="11"/>
      <c r="BE639" s="11"/>
      <c r="BF639" s="11"/>
      <c r="BG639" s="11"/>
      <c r="BK639" s="11"/>
      <c r="BL639" s="11"/>
      <c r="BP639" s="12"/>
      <c r="BQ639" s="400"/>
    </row>
    <row r="640" spans="4:69">
      <c r="D640" s="11"/>
      <c r="E640" s="86"/>
      <c r="F640" s="85"/>
      <c r="G640" s="85"/>
      <c r="H640" s="85"/>
      <c r="I640" s="85"/>
      <c r="J640" s="85"/>
      <c r="BD640" s="11"/>
      <c r="BE640" s="11"/>
      <c r="BF640" s="11"/>
      <c r="BG640" s="11"/>
      <c r="BK640" s="11"/>
      <c r="BL640" s="11"/>
      <c r="BP640" s="12"/>
      <c r="BQ640" s="400"/>
    </row>
    <row r="641" spans="4:69">
      <c r="D641" s="11"/>
      <c r="E641" s="86"/>
      <c r="F641" s="85"/>
      <c r="G641" s="85"/>
      <c r="H641" s="85"/>
      <c r="I641" s="85"/>
      <c r="J641" s="85"/>
      <c r="BD641" s="11"/>
      <c r="BE641" s="11"/>
      <c r="BF641" s="11"/>
      <c r="BG641" s="11"/>
      <c r="BK641" s="11"/>
      <c r="BL641" s="11"/>
      <c r="BP641" s="12"/>
      <c r="BQ641" s="400"/>
    </row>
    <row r="642" spans="4:69">
      <c r="D642" s="11"/>
      <c r="E642" s="86"/>
      <c r="F642" s="85"/>
      <c r="G642" s="85"/>
      <c r="H642" s="85"/>
      <c r="I642" s="85"/>
      <c r="J642" s="85"/>
      <c r="BD642" s="11"/>
      <c r="BE642" s="11"/>
      <c r="BF642" s="11"/>
      <c r="BG642" s="11"/>
      <c r="BK642" s="11"/>
      <c r="BL642" s="11"/>
      <c r="BP642" s="12"/>
      <c r="BQ642" s="400"/>
    </row>
    <row r="643" spans="4:69">
      <c r="D643" s="11"/>
      <c r="E643" s="86"/>
      <c r="F643" s="85"/>
      <c r="G643" s="85"/>
      <c r="H643" s="85"/>
      <c r="I643" s="85"/>
      <c r="J643" s="85"/>
      <c r="BD643" s="11"/>
      <c r="BE643" s="11"/>
      <c r="BF643" s="11"/>
      <c r="BG643" s="11"/>
      <c r="BK643" s="11"/>
      <c r="BL643" s="11"/>
      <c r="BP643" s="12"/>
      <c r="BQ643" s="400"/>
    </row>
    <row r="644" spans="4:69">
      <c r="D644" s="11"/>
      <c r="E644" s="86"/>
      <c r="F644" s="85"/>
      <c r="G644" s="85"/>
      <c r="H644" s="85"/>
      <c r="I644" s="85"/>
      <c r="J644" s="85"/>
      <c r="BD644" s="11"/>
      <c r="BE644" s="11"/>
      <c r="BF644" s="11"/>
      <c r="BG644" s="11"/>
      <c r="BK644" s="11"/>
      <c r="BL644" s="11"/>
      <c r="BP644" s="12"/>
      <c r="BQ644" s="400"/>
    </row>
    <row r="645" spans="4:69">
      <c r="D645" s="11"/>
      <c r="E645" s="86"/>
      <c r="F645" s="85"/>
      <c r="G645" s="85"/>
      <c r="H645" s="85"/>
      <c r="I645" s="85"/>
      <c r="J645" s="85"/>
      <c r="BD645" s="11"/>
      <c r="BE645" s="11"/>
      <c r="BF645" s="11"/>
      <c r="BG645" s="11"/>
      <c r="BK645" s="11"/>
      <c r="BL645" s="11"/>
      <c r="BP645" s="12"/>
      <c r="BQ645" s="400"/>
    </row>
    <row r="646" spans="4:69">
      <c r="D646" s="11"/>
      <c r="E646" s="86"/>
      <c r="F646" s="85"/>
      <c r="G646" s="85"/>
      <c r="H646" s="85"/>
      <c r="I646" s="85"/>
      <c r="J646" s="85"/>
      <c r="BD646" s="11"/>
      <c r="BE646" s="11"/>
      <c r="BF646" s="11"/>
      <c r="BG646" s="11"/>
      <c r="BK646" s="11"/>
      <c r="BL646" s="11"/>
      <c r="BP646" s="12"/>
      <c r="BQ646" s="400"/>
    </row>
    <row r="647" spans="4:69">
      <c r="D647" s="11"/>
      <c r="E647" s="86"/>
      <c r="F647" s="85"/>
      <c r="G647" s="85"/>
      <c r="H647" s="85"/>
      <c r="I647" s="85"/>
      <c r="J647" s="85"/>
      <c r="BD647" s="11"/>
      <c r="BE647" s="11"/>
      <c r="BF647" s="11"/>
      <c r="BG647" s="11"/>
      <c r="BK647" s="11"/>
      <c r="BL647" s="11"/>
      <c r="BP647" s="12"/>
      <c r="BQ647" s="400"/>
    </row>
    <row r="648" spans="4:69">
      <c r="D648" s="11"/>
      <c r="E648" s="86"/>
      <c r="F648" s="85"/>
      <c r="G648" s="85"/>
      <c r="H648" s="85"/>
      <c r="I648" s="85"/>
      <c r="J648" s="85"/>
      <c r="BD648" s="11"/>
      <c r="BE648" s="11"/>
      <c r="BF648" s="11"/>
      <c r="BG648" s="11"/>
      <c r="BK648" s="11"/>
      <c r="BL648" s="11"/>
      <c r="BP648" s="12"/>
      <c r="BQ648" s="400"/>
    </row>
    <row r="649" spans="4:69">
      <c r="D649" s="11"/>
      <c r="E649" s="86"/>
      <c r="F649" s="85"/>
      <c r="G649" s="85"/>
      <c r="H649" s="85"/>
      <c r="I649" s="85"/>
      <c r="J649" s="85"/>
      <c r="BD649" s="11"/>
      <c r="BE649" s="11"/>
      <c r="BF649" s="11"/>
      <c r="BG649" s="11"/>
      <c r="BK649" s="11"/>
      <c r="BL649" s="11"/>
      <c r="BP649" s="12"/>
      <c r="BQ649" s="400"/>
    </row>
    <row r="650" spans="4:69">
      <c r="D650" s="11"/>
      <c r="E650" s="86"/>
      <c r="F650" s="85"/>
      <c r="G650" s="85"/>
      <c r="H650" s="85"/>
      <c r="I650" s="85"/>
      <c r="J650" s="85"/>
      <c r="BD650" s="11"/>
      <c r="BE650" s="11"/>
      <c r="BF650" s="11"/>
      <c r="BG650" s="11"/>
      <c r="BK650" s="11"/>
      <c r="BL650" s="11"/>
      <c r="BP650" s="12"/>
      <c r="BQ650" s="400"/>
    </row>
    <row r="651" spans="4:69">
      <c r="D651" s="11"/>
      <c r="E651" s="86"/>
      <c r="F651" s="85"/>
      <c r="G651" s="85"/>
      <c r="H651" s="85"/>
      <c r="I651" s="85"/>
      <c r="J651" s="85"/>
      <c r="BD651" s="11"/>
      <c r="BE651" s="11"/>
      <c r="BF651" s="11"/>
      <c r="BG651" s="11"/>
      <c r="BK651" s="11"/>
      <c r="BL651" s="11"/>
      <c r="BP651" s="12"/>
      <c r="BQ651" s="400"/>
    </row>
    <row r="652" spans="4:69">
      <c r="D652" s="11"/>
      <c r="E652" s="86"/>
      <c r="F652" s="85"/>
      <c r="G652" s="85"/>
      <c r="H652" s="85"/>
      <c r="I652" s="85"/>
      <c r="J652" s="85"/>
      <c r="BD652" s="11"/>
      <c r="BE652" s="11"/>
      <c r="BF652" s="11"/>
      <c r="BG652" s="11"/>
      <c r="BK652" s="11"/>
      <c r="BL652" s="11"/>
      <c r="BP652" s="12"/>
      <c r="BQ652" s="400"/>
    </row>
    <row r="653" spans="4:69">
      <c r="D653" s="11"/>
      <c r="E653" s="86"/>
      <c r="F653" s="85"/>
      <c r="G653" s="85"/>
      <c r="H653" s="85"/>
      <c r="I653" s="85"/>
      <c r="J653" s="85"/>
      <c r="BD653" s="11"/>
      <c r="BE653" s="11"/>
      <c r="BF653" s="11"/>
      <c r="BG653" s="11"/>
      <c r="BK653" s="11"/>
      <c r="BL653" s="11"/>
      <c r="BP653" s="12"/>
      <c r="BQ653" s="400"/>
    </row>
    <row r="654" spans="4:69">
      <c r="D654" s="11"/>
      <c r="E654" s="86"/>
      <c r="F654" s="85"/>
      <c r="G654" s="85"/>
      <c r="H654" s="85"/>
      <c r="I654" s="85"/>
      <c r="J654" s="85"/>
      <c r="BD654" s="11"/>
      <c r="BE654" s="11"/>
      <c r="BF654" s="11"/>
      <c r="BG654" s="11"/>
      <c r="BK654" s="11"/>
      <c r="BL654" s="11"/>
      <c r="BP654" s="12"/>
      <c r="BQ654" s="400"/>
    </row>
    <row r="655" spans="4:69">
      <c r="D655" s="11"/>
      <c r="E655" s="86"/>
      <c r="F655" s="85"/>
      <c r="G655" s="85"/>
      <c r="H655" s="85"/>
      <c r="I655" s="85"/>
      <c r="J655" s="85"/>
      <c r="BD655" s="11"/>
      <c r="BE655" s="11"/>
      <c r="BF655" s="11"/>
      <c r="BG655" s="11"/>
      <c r="BK655" s="11"/>
      <c r="BL655" s="11"/>
      <c r="BP655" s="12"/>
      <c r="BQ655" s="400"/>
    </row>
    <row r="656" spans="4:69">
      <c r="D656" s="11"/>
      <c r="E656" s="86"/>
      <c r="F656" s="85"/>
      <c r="G656" s="85"/>
      <c r="H656" s="85"/>
      <c r="I656" s="85"/>
      <c r="J656" s="85"/>
      <c r="BD656" s="11"/>
      <c r="BE656" s="11"/>
      <c r="BF656" s="11"/>
      <c r="BG656" s="11"/>
      <c r="BK656" s="11"/>
      <c r="BL656" s="11"/>
      <c r="BP656" s="12"/>
      <c r="BQ656" s="400"/>
    </row>
    <row r="657" spans="4:69">
      <c r="D657" s="11"/>
      <c r="E657" s="86"/>
      <c r="F657" s="85"/>
      <c r="G657" s="85"/>
      <c r="H657" s="85"/>
      <c r="I657" s="85"/>
      <c r="J657" s="85"/>
      <c r="BD657" s="11"/>
      <c r="BE657" s="11"/>
      <c r="BF657" s="11"/>
      <c r="BG657" s="11"/>
      <c r="BK657" s="11"/>
      <c r="BL657" s="11"/>
      <c r="BP657" s="12"/>
      <c r="BQ657" s="400"/>
    </row>
    <row r="658" spans="4:69">
      <c r="D658" s="11"/>
      <c r="E658" s="86"/>
      <c r="F658" s="85"/>
      <c r="G658" s="85"/>
      <c r="H658" s="85"/>
      <c r="I658" s="85"/>
      <c r="J658" s="85"/>
      <c r="BD658" s="11"/>
      <c r="BE658" s="11"/>
      <c r="BF658" s="11"/>
      <c r="BG658" s="11"/>
      <c r="BK658" s="11"/>
      <c r="BL658" s="11"/>
      <c r="BP658" s="12"/>
      <c r="BQ658" s="400"/>
    </row>
    <row r="659" spans="4:69">
      <c r="D659" s="11"/>
      <c r="E659" s="86"/>
      <c r="F659" s="85"/>
      <c r="G659" s="85"/>
      <c r="H659" s="85"/>
      <c r="I659" s="85"/>
      <c r="J659" s="85"/>
      <c r="BD659" s="11"/>
      <c r="BE659" s="11"/>
      <c r="BF659" s="11"/>
      <c r="BG659" s="11"/>
      <c r="BK659" s="11"/>
      <c r="BL659" s="11"/>
      <c r="BP659" s="12"/>
      <c r="BQ659" s="400"/>
    </row>
    <row r="660" spans="4:69">
      <c r="D660" s="11"/>
      <c r="E660" s="86"/>
      <c r="F660" s="85"/>
      <c r="G660" s="85"/>
      <c r="H660" s="85"/>
      <c r="I660" s="85"/>
      <c r="J660" s="85"/>
      <c r="BD660" s="11"/>
      <c r="BE660" s="11"/>
      <c r="BF660" s="11"/>
      <c r="BG660" s="11"/>
      <c r="BK660" s="11"/>
      <c r="BL660" s="11"/>
      <c r="BP660" s="12"/>
      <c r="BQ660" s="400"/>
    </row>
    <row r="661" spans="4:69">
      <c r="D661" s="11"/>
      <c r="E661" s="86"/>
      <c r="F661" s="85"/>
      <c r="G661" s="85"/>
      <c r="H661" s="85"/>
      <c r="I661" s="85"/>
      <c r="J661" s="85"/>
      <c r="BD661" s="11"/>
      <c r="BE661" s="11"/>
      <c r="BF661" s="11"/>
      <c r="BG661" s="11"/>
      <c r="BK661" s="11"/>
      <c r="BL661" s="11"/>
      <c r="BP661" s="12"/>
      <c r="BQ661" s="400"/>
    </row>
    <row r="662" spans="4:69">
      <c r="D662" s="11"/>
      <c r="E662" s="86"/>
      <c r="F662" s="85"/>
      <c r="G662" s="85"/>
      <c r="H662" s="85"/>
      <c r="I662" s="85"/>
      <c r="J662" s="85"/>
      <c r="BD662" s="11"/>
      <c r="BE662" s="11"/>
      <c r="BF662" s="11"/>
      <c r="BG662" s="11"/>
      <c r="BK662" s="11"/>
      <c r="BL662" s="11"/>
      <c r="BP662" s="12"/>
      <c r="BQ662" s="400"/>
    </row>
    <row r="663" spans="4:69">
      <c r="D663" s="11"/>
      <c r="E663" s="86"/>
      <c r="F663" s="85"/>
      <c r="G663" s="85"/>
      <c r="H663" s="85"/>
      <c r="I663" s="85"/>
      <c r="J663" s="85"/>
      <c r="BD663" s="11"/>
      <c r="BE663" s="11"/>
      <c r="BF663" s="11"/>
      <c r="BG663" s="11"/>
      <c r="BK663" s="11"/>
      <c r="BL663" s="11"/>
      <c r="BP663" s="12"/>
      <c r="BQ663" s="400"/>
    </row>
    <row r="664" spans="4:69">
      <c r="D664" s="11"/>
      <c r="E664" s="86"/>
      <c r="F664" s="85"/>
      <c r="G664" s="85"/>
      <c r="H664" s="85"/>
      <c r="I664" s="85"/>
      <c r="J664" s="85"/>
      <c r="BD664" s="11"/>
      <c r="BE664" s="11"/>
      <c r="BF664" s="11"/>
      <c r="BG664" s="11"/>
      <c r="BK664" s="11"/>
      <c r="BL664" s="11"/>
      <c r="BP664" s="12"/>
      <c r="BQ664" s="400"/>
    </row>
    <row r="665" spans="4:69">
      <c r="D665" s="11"/>
      <c r="E665" s="86"/>
      <c r="F665" s="85"/>
      <c r="G665" s="85"/>
      <c r="H665" s="85"/>
      <c r="I665" s="85"/>
      <c r="J665" s="85"/>
      <c r="BD665" s="11"/>
      <c r="BE665" s="11"/>
      <c r="BF665" s="11"/>
      <c r="BG665" s="11"/>
      <c r="BK665" s="11"/>
      <c r="BL665" s="11"/>
      <c r="BP665" s="12"/>
      <c r="BQ665" s="400"/>
    </row>
    <row r="666" spans="4:69">
      <c r="D666" s="11"/>
      <c r="E666" s="86"/>
      <c r="F666" s="85"/>
      <c r="G666" s="85"/>
      <c r="H666" s="85"/>
      <c r="I666" s="85"/>
      <c r="J666" s="85"/>
      <c r="BD666" s="11"/>
      <c r="BE666" s="11"/>
      <c r="BF666" s="11"/>
      <c r="BG666" s="11"/>
      <c r="BK666" s="11"/>
      <c r="BL666" s="11"/>
      <c r="BP666" s="12"/>
      <c r="BQ666" s="400"/>
    </row>
    <row r="667" spans="4:69">
      <c r="D667" s="11"/>
      <c r="E667" s="86"/>
      <c r="F667" s="85"/>
      <c r="G667" s="85"/>
      <c r="H667" s="85"/>
      <c r="I667" s="85"/>
      <c r="J667" s="85"/>
      <c r="BD667" s="11"/>
      <c r="BE667" s="11"/>
      <c r="BF667" s="11"/>
      <c r="BG667" s="11"/>
      <c r="BK667" s="11"/>
      <c r="BL667" s="11"/>
      <c r="BP667" s="12"/>
      <c r="BQ667" s="400"/>
    </row>
    <row r="668" spans="4:69">
      <c r="D668" s="11"/>
      <c r="E668" s="86"/>
      <c r="F668" s="85"/>
      <c r="G668" s="85"/>
      <c r="H668" s="85"/>
      <c r="I668" s="85"/>
      <c r="J668" s="85"/>
      <c r="BD668" s="11"/>
      <c r="BE668" s="11"/>
      <c r="BF668" s="11"/>
      <c r="BG668" s="11"/>
      <c r="BK668" s="11"/>
      <c r="BL668" s="11"/>
      <c r="BP668" s="12"/>
      <c r="BQ668" s="400"/>
    </row>
    <row r="669" spans="4:69">
      <c r="D669" s="11"/>
      <c r="E669" s="86"/>
      <c r="F669" s="85"/>
      <c r="G669" s="85"/>
      <c r="H669" s="85"/>
      <c r="I669" s="85"/>
      <c r="J669" s="85"/>
      <c r="BD669" s="11"/>
      <c r="BE669" s="11"/>
      <c r="BF669" s="11"/>
      <c r="BG669" s="11"/>
      <c r="BK669" s="11"/>
      <c r="BL669" s="11"/>
      <c r="BP669" s="12"/>
      <c r="BQ669" s="400"/>
    </row>
    <row r="670" spans="4:69">
      <c r="D670" s="11"/>
      <c r="E670" s="86"/>
      <c r="F670" s="85"/>
      <c r="G670" s="85"/>
      <c r="H670" s="85"/>
      <c r="I670" s="85"/>
      <c r="J670" s="85"/>
      <c r="BD670" s="11"/>
      <c r="BE670" s="11"/>
      <c r="BF670" s="11"/>
      <c r="BG670" s="11"/>
      <c r="BK670" s="11"/>
      <c r="BL670" s="11"/>
      <c r="BP670" s="12"/>
      <c r="BQ670" s="400"/>
    </row>
    <row r="671" spans="4:69">
      <c r="D671" s="11"/>
      <c r="E671" s="86"/>
      <c r="F671" s="85"/>
      <c r="G671" s="85"/>
      <c r="H671" s="85"/>
      <c r="I671" s="85"/>
      <c r="J671" s="85"/>
      <c r="BD671" s="11"/>
      <c r="BE671" s="11"/>
      <c r="BF671" s="11"/>
      <c r="BG671" s="11"/>
      <c r="BK671" s="11"/>
      <c r="BL671" s="11"/>
      <c r="BP671" s="12"/>
      <c r="BQ671" s="400"/>
    </row>
    <row r="672" spans="4:69">
      <c r="D672" s="11"/>
      <c r="E672" s="86"/>
      <c r="F672" s="85"/>
      <c r="G672" s="85"/>
      <c r="H672" s="85"/>
      <c r="I672" s="85"/>
      <c r="J672" s="85"/>
      <c r="BD672" s="11"/>
      <c r="BE672" s="11"/>
      <c r="BF672" s="11"/>
      <c r="BG672" s="11"/>
      <c r="BK672" s="11"/>
      <c r="BL672" s="11"/>
      <c r="BP672" s="12"/>
      <c r="BQ672" s="400"/>
    </row>
    <row r="673" spans="4:69">
      <c r="D673" s="11"/>
      <c r="E673" s="86"/>
      <c r="F673" s="85"/>
      <c r="G673" s="85"/>
      <c r="H673" s="85"/>
      <c r="I673" s="85"/>
      <c r="J673" s="85"/>
      <c r="BD673" s="11"/>
      <c r="BE673" s="11"/>
      <c r="BF673" s="11"/>
      <c r="BG673" s="11"/>
      <c r="BK673" s="11"/>
      <c r="BL673" s="11"/>
      <c r="BP673" s="12"/>
      <c r="BQ673" s="400"/>
    </row>
    <row r="674" spans="4:69">
      <c r="D674" s="11"/>
      <c r="E674" s="86"/>
      <c r="F674" s="85"/>
      <c r="G674" s="85"/>
      <c r="H674" s="85"/>
      <c r="I674" s="85"/>
      <c r="J674" s="85"/>
      <c r="BD674" s="11"/>
      <c r="BE674" s="11"/>
      <c r="BF674" s="11"/>
      <c r="BG674" s="11"/>
      <c r="BK674" s="11"/>
      <c r="BL674" s="11"/>
      <c r="BP674" s="12"/>
      <c r="BQ674" s="400"/>
    </row>
    <row r="675" spans="4:69">
      <c r="D675" s="11"/>
      <c r="E675" s="86"/>
      <c r="F675" s="85"/>
      <c r="G675" s="85"/>
      <c r="H675" s="85"/>
      <c r="I675" s="85"/>
      <c r="J675" s="85"/>
      <c r="BD675" s="11"/>
      <c r="BE675" s="11"/>
      <c r="BF675" s="11"/>
      <c r="BG675" s="11"/>
      <c r="BK675" s="11"/>
      <c r="BL675" s="11"/>
      <c r="BP675" s="12"/>
      <c r="BQ675" s="400"/>
    </row>
    <row r="676" spans="4:69">
      <c r="D676" s="11"/>
      <c r="E676" s="86"/>
      <c r="F676" s="85"/>
      <c r="G676" s="85"/>
      <c r="H676" s="85"/>
      <c r="I676" s="85"/>
      <c r="J676" s="85"/>
      <c r="BD676" s="11"/>
      <c r="BE676" s="11"/>
      <c r="BF676" s="11"/>
      <c r="BG676" s="11"/>
      <c r="BK676" s="11"/>
      <c r="BL676" s="11"/>
      <c r="BP676" s="12"/>
      <c r="BQ676" s="400"/>
    </row>
    <row r="677" spans="4:69">
      <c r="D677" s="11"/>
      <c r="E677" s="86"/>
      <c r="F677" s="85"/>
      <c r="G677" s="85"/>
      <c r="H677" s="85"/>
      <c r="I677" s="85"/>
      <c r="J677" s="85"/>
      <c r="BD677" s="11"/>
      <c r="BE677" s="11"/>
      <c r="BF677" s="11"/>
      <c r="BG677" s="11"/>
      <c r="BK677" s="11"/>
      <c r="BL677" s="11"/>
      <c r="BP677" s="12"/>
      <c r="BQ677" s="400"/>
    </row>
    <row r="678" spans="4:69">
      <c r="D678" s="11"/>
      <c r="E678" s="86"/>
      <c r="F678" s="85"/>
      <c r="G678" s="85"/>
      <c r="H678" s="85"/>
      <c r="I678" s="85"/>
      <c r="J678" s="85"/>
      <c r="BD678" s="11"/>
      <c r="BE678" s="11"/>
      <c r="BF678" s="11"/>
      <c r="BG678" s="11"/>
      <c r="BK678" s="11"/>
      <c r="BL678" s="11"/>
      <c r="BP678" s="12"/>
      <c r="BQ678" s="400"/>
    </row>
    <row r="679" spans="4:69">
      <c r="D679" s="11"/>
      <c r="E679" s="86"/>
      <c r="F679" s="85"/>
      <c r="G679" s="85"/>
      <c r="H679" s="85"/>
      <c r="I679" s="85"/>
      <c r="J679" s="85"/>
      <c r="BD679" s="11"/>
      <c r="BE679" s="11"/>
      <c r="BF679" s="11"/>
      <c r="BG679" s="11"/>
      <c r="BK679" s="11"/>
      <c r="BL679" s="11"/>
      <c r="BP679" s="12"/>
      <c r="BQ679" s="400"/>
    </row>
    <row r="680" spans="4:69">
      <c r="D680" s="11"/>
      <c r="E680" s="86"/>
      <c r="F680" s="85"/>
      <c r="G680" s="85"/>
      <c r="H680" s="85"/>
      <c r="I680" s="85"/>
      <c r="J680" s="85"/>
      <c r="BD680" s="11"/>
      <c r="BE680" s="11"/>
      <c r="BF680" s="11"/>
      <c r="BG680" s="11"/>
      <c r="BK680" s="11"/>
      <c r="BL680" s="11"/>
      <c r="BP680" s="12"/>
      <c r="BQ680" s="400"/>
    </row>
    <row r="681" spans="4:69">
      <c r="D681" s="11"/>
      <c r="E681" s="86"/>
      <c r="F681" s="85"/>
      <c r="G681" s="85"/>
      <c r="H681" s="85"/>
      <c r="I681" s="85"/>
      <c r="J681" s="85"/>
      <c r="BD681" s="11"/>
      <c r="BE681" s="11"/>
      <c r="BF681" s="11"/>
      <c r="BG681" s="11"/>
      <c r="BK681" s="11"/>
      <c r="BL681" s="11"/>
      <c r="BP681" s="12"/>
      <c r="BQ681" s="400"/>
    </row>
    <row r="682" spans="4:69">
      <c r="D682" s="11"/>
      <c r="E682" s="86"/>
      <c r="F682" s="85"/>
      <c r="G682" s="85"/>
      <c r="H682" s="85"/>
      <c r="I682" s="85"/>
      <c r="J682" s="85"/>
      <c r="BD682" s="11"/>
      <c r="BE682" s="11"/>
      <c r="BF682" s="11"/>
      <c r="BG682" s="11"/>
      <c r="BK682" s="11"/>
      <c r="BL682" s="11"/>
      <c r="BP682" s="12"/>
      <c r="BQ682" s="400"/>
    </row>
    <row r="683" spans="4:69">
      <c r="D683" s="11"/>
      <c r="E683" s="86"/>
      <c r="F683" s="85"/>
      <c r="G683" s="85"/>
      <c r="H683" s="85"/>
      <c r="I683" s="85"/>
      <c r="J683" s="85"/>
      <c r="BD683" s="11"/>
      <c r="BE683" s="11"/>
      <c r="BF683" s="11"/>
      <c r="BG683" s="11"/>
      <c r="BK683" s="11"/>
      <c r="BL683" s="11"/>
      <c r="BP683" s="12"/>
      <c r="BQ683" s="400"/>
    </row>
    <row r="684" spans="4:69">
      <c r="D684" s="11"/>
      <c r="E684" s="86"/>
      <c r="F684" s="85"/>
      <c r="G684" s="85"/>
      <c r="H684" s="85"/>
      <c r="I684" s="85"/>
      <c r="J684" s="85"/>
      <c r="BD684" s="11"/>
      <c r="BE684" s="11"/>
      <c r="BF684" s="11"/>
      <c r="BG684" s="11"/>
      <c r="BK684" s="11"/>
      <c r="BL684" s="11"/>
      <c r="BP684" s="12"/>
      <c r="BQ684" s="400"/>
    </row>
    <row r="685" spans="4:69">
      <c r="D685" s="11"/>
      <c r="E685" s="86"/>
      <c r="F685" s="85"/>
      <c r="G685" s="85"/>
      <c r="H685" s="85"/>
      <c r="I685" s="85"/>
      <c r="J685" s="85"/>
      <c r="BD685" s="11"/>
      <c r="BE685" s="11"/>
      <c r="BF685" s="11"/>
      <c r="BG685" s="11"/>
      <c r="BK685" s="11"/>
      <c r="BL685" s="11"/>
      <c r="BP685" s="12"/>
      <c r="BQ685" s="400"/>
    </row>
    <row r="686" spans="4:69">
      <c r="D686" s="11"/>
      <c r="E686" s="86"/>
      <c r="F686" s="85"/>
      <c r="G686" s="85"/>
      <c r="H686" s="85"/>
      <c r="I686" s="85"/>
      <c r="J686" s="85"/>
      <c r="BD686" s="11"/>
      <c r="BE686" s="11"/>
      <c r="BF686" s="11"/>
      <c r="BG686" s="11"/>
      <c r="BK686" s="11"/>
      <c r="BL686" s="11"/>
      <c r="BP686" s="12"/>
      <c r="BQ686" s="400"/>
    </row>
    <row r="687" spans="4:69">
      <c r="D687" s="11"/>
      <c r="E687" s="86"/>
      <c r="F687" s="85"/>
      <c r="G687" s="85"/>
      <c r="H687" s="85"/>
      <c r="I687" s="85"/>
      <c r="J687" s="85"/>
      <c r="BD687" s="11"/>
      <c r="BE687" s="11"/>
      <c r="BF687" s="11"/>
      <c r="BG687" s="11"/>
      <c r="BK687" s="11"/>
      <c r="BL687" s="11"/>
      <c r="BP687" s="12"/>
      <c r="BQ687" s="400"/>
    </row>
    <row r="688" spans="4:69">
      <c r="D688" s="11"/>
      <c r="E688" s="86"/>
      <c r="F688" s="85"/>
      <c r="G688" s="85"/>
      <c r="H688" s="85"/>
      <c r="I688" s="85"/>
      <c r="J688" s="85"/>
      <c r="BD688" s="11"/>
      <c r="BE688" s="11"/>
      <c r="BF688" s="11"/>
      <c r="BG688" s="11"/>
      <c r="BK688" s="11"/>
      <c r="BL688" s="11"/>
      <c r="BP688" s="12"/>
      <c r="BQ688" s="400"/>
    </row>
    <row r="689" spans="4:69">
      <c r="D689" s="11"/>
      <c r="E689" s="86"/>
      <c r="F689" s="85"/>
      <c r="G689" s="85"/>
      <c r="H689" s="85"/>
      <c r="I689" s="85"/>
      <c r="J689" s="85"/>
      <c r="BD689" s="11"/>
      <c r="BE689" s="11"/>
      <c r="BF689" s="11"/>
      <c r="BG689" s="11"/>
      <c r="BK689" s="11"/>
      <c r="BL689" s="11"/>
      <c r="BP689" s="12"/>
      <c r="BQ689" s="400"/>
    </row>
    <row r="690" spans="4:69">
      <c r="D690" s="11"/>
      <c r="E690" s="86"/>
      <c r="F690" s="85"/>
      <c r="G690" s="85"/>
      <c r="H690" s="85"/>
      <c r="I690" s="85"/>
      <c r="J690" s="85"/>
      <c r="BD690" s="11"/>
      <c r="BE690" s="11"/>
      <c r="BF690" s="11"/>
      <c r="BG690" s="11"/>
      <c r="BK690" s="11"/>
      <c r="BL690" s="11"/>
      <c r="BP690" s="12"/>
      <c r="BQ690" s="400"/>
    </row>
    <row r="691" spans="4:69">
      <c r="D691" s="11"/>
      <c r="E691" s="86"/>
      <c r="F691" s="85"/>
      <c r="G691" s="85"/>
      <c r="H691" s="85"/>
      <c r="I691" s="85"/>
      <c r="J691" s="85"/>
      <c r="BD691" s="11"/>
      <c r="BE691" s="11"/>
      <c r="BF691" s="11"/>
      <c r="BG691" s="11"/>
      <c r="BK691" s="11"/>
      <c r="BL691" s="11"/>
      <c r="BP691" s="12"/>
      <c r="BQ691" s="400"/>
    </row>
    <row r="692" spans="4:69">
      <c r="D692" s="11"/>
      <c r="E692" s="86"/>
      <c r="F692" s="85"/>
      <c r="G692" s="85"/>
      <c r="H692" s="85"/>
      <c r="I692" s="85"/>
      <c r="J692" s="85"/>
      <c r="BD692" s="11"/>
      <c r="BE692" s="11"/>
      <c r="BF692" s="11"/>
      <c r="BG692" s="11"/>
      <c r="BK692" s="11"/>
      <c r="BL692" s="11"/>
      <c r="BP692" s="12"/>
      <c r="BQ692" s="400"/>
    </row>
    <row r="693" spans="4:69">
      <c r="D693" s="11"/>
      <c r="E693" s="86"/>
      <c r="F693" s="85"/>
      <c r="G693" s="85"/>
      <c r="H693" s="85"/>
      <c r="I693" s="85"/>
      <c r="J693" s="85"/>
      <c r="BD693" s="11"/>
      <c r="BE693" s="11"/>
      <c r="BF693" s="11"/>
      <c r="BG693" s="11"/>
      <c r="BK693" s="11"/>
      <c r="BL693" s="11"/>
      <c r="BP693" s="12"/>
      <c r="BQ693" s="400"/>
    </row>
    <row r="694" spans="4:69">
      <c r="D694" s="11"/>
      <c r="E694" s="86"/>
      <c r="F694" s="85"/>
      <c r="G694" s="85"/>
      <c r="H694" s="85"/>
      <c r="I694" s="85"/>
      <c r="J694" s="85"/>
      <c r="BD694" s="11"/>
      <c r="BE694" s="11"/>
      <c r="BF694" s="11"/>
      <c r="BG694" s="11"/>
      <c r="BK694" s="11"/>
      <c r="BL694" s="11"/>
      <c r="BP694" s="12"/>
      <c r="BQ694" s="400"/>
    </row>
    <row r="695" spans="4:69">
      <c r="D695" s="11"/>
      <c r="E695" s="86"/>
      <c r="F695" s="85"/>
      <c r="G695" s="85"/>
      <c r="H695" s="85"/>
      <c r="I695" s="85"/>
      <c r="J695" s="85"/>
      <c r="BD695" s="11"/>
      <c r="BE695" s="11"/>
      <c r="BF695" s="11"/>
      <c r="BG695" s="11"/>
      <c r="BK695" s="11"/>
      <c r="BL695" s="11"/>
      <c r="BP695" s="12"/>
      <c r="BQ695" s="400"/>
    </row>
    <row r="696" spans="4:69">
      <c r="D696" s="11"/>
      <c r="E696" s="86"/>
      <c r="F696" s="85"/>
      <c r="G696" s="85"/>
      <c r="H696" s="85"/>
      <c r="I696" s="85"/>
      <c r="J696" s="85"/>
      <c r="BD696" s="11"/>
      <c r="BE696" s="11"/>
      <c r="BF696" s="11"/>
      <c r="BG696" s="11"/>
      <c r="BK696" s="11"/>
      <c r="BL696" s="11"/>
      <c r="BP696" s="12"/>
      <c r="BQ696" s="400"/>
    </row>
    <row r="697" spans="4:69">
      <c r="D697" s="11"/>
      <c r="E697" s="86"/>
      <c r="F697" s="85"/>
      <c r="G697" s="85"/>
      <c r="H697" s="85"/>
      <c r="I697" s="85"/>
      <c r="J697" s="85"/>
      <c r="BD697" s="11"/>
      <c r="BE697" s="11"/>
      <c r="BF697" s="11"/>
      <c r="BG697" s="11"/>
      <c r="BK697" s="11"/>
      <c r="BL697" s="11"/>
      <c r="BP697" s="12"/>
      <c r="BQ697" s="400"/>
    </row>
    <row r="698" spans="4:69">
      <c r="D698" s="11"/>
      <c r="E698" s="86"/>
      <c r="F698" s="85"/>
      <c r="G698" s="85"/>
      <c r="H698" s="85"/>
      <c r="I698" s="85"/>
      <c r="J698" s="85"/>
      <c r="BD698" s="11"/>
      <c r="BE698" s="11"/>
      <c r="BF698" s="11"/>
      <c r="BG698" s="11"/>
      <c r="BK698" s="11"/>
      <c r="BL698" s="11"/>
      <c r="BP698" s="12"/>
      <c r="BQ698" s="400"/>
    </row>
    <row r="699" spans="4:69">
      <c r="D699" s="11"/>
      <c r="E699" s="86"/>
      <c r="F699" s="85"/>
      <c r="G699" s="85"/>
      <c r="H699" s="85"/>
      <c r="I699" s="85"/>
      <c r="J699" s="85"/>
      <c r="BD699" s="11"/>
      <c r="BE699" s="11"/>
      <c r="BF699" s="11"/>
      <c r="BG699" s="11"/>
      <c r="BK699" s="11"/>
      <c r="BL699" s="11"/>
      <c r="BP699" s="12"/>
      <c r="BQ699" s="400"/>
    </row>
    <row r="700" spans="4:69">
      <c r="D700" s="11"/>
      <c r="E700" s="86"/>
      <c r="F700" s="85"/>
      <c r="G700" s="85"/>
      <c r="H700" s="85"/>
      <c r="I700" s="85"/>
      <c r="J700" s="85"/>
      <c r="BD700" s="11"/>
      <c r="BE700" s="11"/>
      <c r="BF700" s="11"/>
      <c r="BG700" s="11"/>
      <c r="BK700" s="11"/>
      <c r="BL700" s="11"/>
      <c r="BP700" s="12"/>
      <c r="BQ700" s="400"/>
    </row>
    <row r="701" spans="4:69">
      <c r="D701" s="11"/>
      <c r="E701" s="86"/>
      <c r="F701" s="85"/>
      <c r="G701" s="85"/>
      <c r="H701" s="85"/>
      <c r="I701" s="85"/>
      <c r="J701" s="85"/>
      <c r="BD701" s="11"/>
      <c r="BE701" s="11"/>
      <c r="BF701" s="11"/>
      <c r="BG701" s="11"/>
      <c r="BK701" s="11"/>
      <c r="BL701" s="11"/>
      <c r="BP701" s="12"/>
      <c r="BQ701" s="400"/>
    </row>
    <row r="702" spans="4:69">
      <c r="D702" s="11"/>
      <c r="E702" s="86"/>
      <c r="F702" s="85"/>
      <c r="G702" s="85"/>
      <c r="H702" s="85"/>
      <c r="I702" s="85"/>
      <c r="J702" s="85"/>
      <c r="BD702" s="11"/>
      <c r="BE702" s="11"/>
      <c r="BF702" s="11"/>
      <c r="BG702" s="11"/>
      <c r="BK702" s="11"/>
      <c r="BL702" s="11"/>
      <c r="BP702" s="12"/>
      <c r="BQ702" s="400"/>
    </row>
    <row r="703" spans="4:69">
      <c r="D703" s="11"/>
      <c r="E703" s="86"/>
      <c r="F703" s="85"/>
      <c r="G703" s="85"/>
      <c r="H703" s="85"/>
      <c r="I703" s="85"/>
      <c r="J703" s="85"/>
      <c r="BD703" s="11"/>
      <c r="BE703" s="11"/>
      <c r="BF703" s="11"/>
      <c r="BG703" s="11"/>
      <c r="BK703" s="11"/>
      <c r="BL703" s="11"/>
      <c r="BP703" s="12"/>
      <c r="BQ703" s="400"/>
    </row>
    <row r="704" spans="4:69">
      <c r="D704" s="11"/>
      <c r="E704" s="86"/>
      <c r="F704" s="85"/>
      <c r="G704" s="85"/>
      <c r="H704" s="85"/>
      <c r="I704" s="85"/>
      <c r="J704" s="85"/>
      <c r="BD704" s="11"/>
      <c r="BE704" s="11"/>
      <c r="BF704" s="11"/>
      <c r="BG704" s="11"/>
      <c r="BK704" s="11"/>
      <c r="BL704" s="11"/>
      <c r="BP704" s="12"/>
      <c r="BQ704" s="400"/>
    </row>
    <row r="705" spans="4:69">
      <c r="D705" s="11"/>
      <c r="E705" s="86"/>
      <c r="F705" s="85"/>
      <c r="G705" s="85"/>
      <c r="H705" s="85"/>
      <c r="I705" s="85"/>
      <c r="J705" s="85"/>
      <c r="BD705" s="11"/>
      <c r="BE705" s="11"/>
      <c r="BF705" s="11"/>
      <c r="BG705" s="11"/>
      <c r="BK705" s="11"/>
      <c r="BL705" s="11"/>
      <c r="BP705" s="12"/>
      <c r="BQ705" s="400"/>
    </row>
    <row r="706" spans="4:69">
      <c r="D706" s="11"/>
      <c r="E706" s="86"/>
      <c r="F706" s="85"/>
      <c r="G706" s="85"/>
      <c r="H706" s="85"/>
      <c r="I706" s="85"/>
      <c r="J706" s="85"/>
      <c r="BD706" s="11"/>
      <c r="BE706" s="11"/>
      <c r="BF706" s="11"/>
      <c r="BG706" s="11"/>
      <c r="BK706" s="11"/>
      <c r="BL706" s="11"/>
      <c r="BP706" s="12"/>
      <c r="BQ706" s="400"/>
    </row>
    <row r="707" spans="4:69">
      <c r="D707" s="11"/>
      <c r="E707" s="86"/>
      <c r="F707" s="85"/>
      <c r="G707" s="85"/>
      <c r="H707" s="85"/>
      <c r="I707" s="85"/>
      <c r="J707" s="85"/>
      <c r="BD707" s="11"/>
      <c r="BE707" s="11"/>
      <c r="BF707" s="11"/>
      <c r="BG707" s="11"/>
      <c r="BK707" s="11"/>
      <c r="BL707" s="11"/>
      <c r="BP707" s="12"/>
      <c r="BQ707" s="400"/>
    </row>
    <row r="708" spans="4:69">
      <c r="D708" s="11"/>
      <c r="E708" s="86"/>
      <c r="F708" s="85"/>
      <c r="G708" s="85"/>
      <c r="H708" s="85"/>
      <c r="I708" s="85"/>
      <c r="J708" s="85"/>
      <c r="BD708" s="11"/>
      <c r="BE708" s="11"/>
      <c r="BF708" s="11"/>
      <c r="BG708" s="11"/>
      <c r="BK708" s="11"/>
      <c r="BL708" s="11"/>
      <c r="BP708" s="12"/>
      <c r="BQ708" s="400"/>
    </row>
    <row r="709" spans="4:69">
      <c r="D709" s="11"/>
      <c r="E709" s="86"/>
      <c r="F709" s="85"/>
      <c r="G709" s="85"/>
      <c r="H709" s="85"/>
      <c r="I709" s="85"/>
      <c r="J709" s="85"/>
      <c r="BD709" s="11"/>
      <c r="BE709" s="11"/>
      <c r="BF709" s="11"/>
      <c r="BG709" s="11"/>
      <c r="BK709" s="11"/>
      <c r="BL709" s="11"/>
      <c r="BP709" s="12"/>
      <c r="BQ709" s="400"/>
    </row>
    <row r="710" spans="4:69">
      <c r="D710" s="11"/>
      <c r="E710" s="86"/>
      <c r="F710" s="85"/>
      <c r="G710" s="85"/>
      <c r="H710" s="85"/>
      <c r="I710" s="85"/>
      <c r="J710" s="85"/>
      <c r="BD710" s="11"/>
      <c r="BE710" s="11"/>
      <c r="BF710" s="11"/>
      <c r="BG710" s="11"/>
      <c r="BK710" s="11"/>
      <c r="BL710" s="11"/>
      <c r="BP710" s="12"/>
      <c r="BQ710" s="400"/>
    </row>
    <row r="711" spans="4:69">
      <c r="D711" s="11"/>
      <c r="E711" s="86"/>
      <c r="F711" s="85"/>
      <c r="G711" s="85"/>
      <c r="H711" s="85"/>
      <c r="I711" s="85"/>
      <c r="J711" s="85"/>
      <c r="BD711" s="11"/>
      <c r="BE711" s="11"/>
      <c r="BF711" s="11"/>
      <c r="BG711" s="11"/>
      <c r="BK711" s="11"/>
      <c r="BL711" s="11"/>
      <c r="BP711" s="12"/>
      <c r="BQ711" s="400"/>
    </row>
    <row r="712" spans="4:69">
      <c r="D712" s="11"/>
      <c r="E712" s="86"/>
      <c r="F712" s="85"/>
      <c r="G712" s="85"/>
      <c r="H712" s="85"/>
      <c r="I712" s="85"/>
      <c r="J712" s="85"/>
      <c r="BD712" s="11"/>
      <c r="BE712" s="11"/>
      <c r="BF712" s="11"/>
      <c r="BG712" s="11"/>
      <c r="BK712" s="11"/>
      <c r="BL712" s="11"/>
      <c r="BP712" s="12"/>
      <c r="BQ712" s="400"/>
    </row>
    <row r="713" spans="4:69">
      <c r="D713" s="11"/>
      <c r="E713" s="86"/>
      <c r="F713" s="85"/>
      <c r="G713" s="85"/>
      <c r="H713" s="85"/>
      <c r="I713" s="85"/>
      <c r="J713" s="85"/>
      <c r="BD713" s="11"/>
      <c r="BE713" s="11"/>
      <c r="BF713" s="11"/>
      <c r="BG713" s="11"/>
      <c r="BK713" s="11"/>
      <c r="BL713" s="11"/>
      <c r="BP713" s="12"/>
      <c r="BQ713" s="400"/>
    </row>
    <row r="714" spans="4:69">
      <c r="D714" s="11"/>
      <c r="E714" s="86"/>
      <c r="F714" s="85"/>
      <c r="G714" s="85"/>
      <c r="H714" s="85"/>
      <c r="I714" s="85"/>
      <c r="J714" s="85"/>
      <c r="BD714" s="11"/>
      <c r="BE714" s="11"/>
      <c r="BF714" s="11"/>
      <c r="BG714" s="11"/>
      <c r="BK714" s="11"/>
      <c r="BL714" s="11"/>
      <c r="BP714" s="12"/>
      <c r="BQ714" s="400"/>
    </row>
    <row r="715" spans="4:69">
      <c r="D715" s="11"/>
      <c r="E715" s="86"/>
      <c r="F715" s="85"/>
      <c r="G715" s="85"/>
      <c r="H715" s="85"/>
      <c r="I715" s="85"/>
      <c r="J715" s="85"/>
      <c r="BD715" s="11"/>
      <c r="BE715" s="11"/>
      <c r="BF715" s="11"/>
      <c r="BG715" s="11"/>
      <c r="BK715" s="11"/>
      <c r="BL715" s="11"/>
      <c r="BP715" s="12"/>
      <c r="BQ715" s="400"/>
    </row>
    <row r="716" spans="4:69">
      <c r="D716" s="11"/>
      <c r="E716" s="86"/>
      <c r="F716" s="85"/>
      <c r="G716" s="85"/>
      <c r="H716" s="85"/>
      <c r="I716" s="85"/>
      <c r="J716" s="85"/>
      <c r="BD716" s="11"/>
      <c r="BE716" s="11"/>
      <c r="BF716" s="11"/>
      <c r="BG716" s="11"/>
      <c r="BK716" s="11"/>
      <c r="BL716" s="11"/>
      <c r="BP716" s="12"/>
      <c r="BQ716" s="400"/>
    </row>
    <row r="717" spans="4:69">
      <c r="D717" s="11"/>
      <c r="E717" s="86"/>
      <c r="F717" s="85"/>
      <c r="G717" s="85"/>
      <c r="H717" s="85"/>
      <c r="I717" s="85"/>
      <c r="J717" s="85"/>
      <c r="BD717" s="11"/>
      <c r="BE717" s="11"/>
      <c r="BF717" s="11"/>
      <c r="BG717" s="11"/>
      <c r="BK717" s="11"/>
      <c r="BL717" s="11"/>
      <c r="BP717" s="12"/>
      <c r="BQ717" s="400"/>
    </row>
    <row r="718" spans="4:69">
      <c r="D718" s="11"/>
      <c r="E718" s="86"/>
      <c r="F718" s="85"/>
      <c r="G718" s="85"/>
      <c r="H718" s="85"/>
      <c r="I718" s="85"/>
      <c r="J718" s="85"/>
      <c r="BD718" s="11"/>
      <c r="BE718" s="11"/>
      <c r="BF718" s="11"/>
      <c r="BG718" s="11"/>
      <c r="BK718" s="11"/>
      <c r="BL718" s="11"/>
      <c r="BP718" s="12"/>
      <c r="BQ718" s="400"/>
    </row>
    <row r="719" spans="4:69">
      <c r="D719" s="11"/>
      <c r="E719" s="86"/>
      <c r="F719" s="85"/>
      <c r="G719" s="85"/>
      <c r="H719" s="85"/>
      <c r="I719" s="85"/>
      <c r="J719" s="85"/>
      <c r="BD719" s="11"/>
      <c r="BE719" s="11"/>
      <c r="BF719" s="11"/>
      <c r="BG719" s="11"/>
      <c r="BK719" s="11"/>
      <c r="BL719" s="11"/>
      <c r="BP719" s="12"/>
      <c r="BQ719" s="400"/>
    </row>
    <row r="720" spans="4:69">
      <c r="D720" s="11"/>
      <c r="E720" s="86"/>
      <c r="F720" s="85"/>
      <c r="G720" s="85"/>
      <c r="H720" s="85"/>
      <c r="I720" s="85"/>
      <c r="J720" s="85"/>
      <c r="BD720" s="11"/>
      <c r="BE720" s="11"/>
      <c r="BF720" s="11"/>
      <c r="BG720" s="11"/>
      <c r="BK720" s="11"/>
      <c r="BL720" s="11"/>
      <c r="BP720" s="12"/>
      <c r="BQ720" s="400"/>
    </row>
    <row r="721" spans="4:69">
      <c r="D721" s="11"/>
      <c r="E721" s="86"/>
      <c r="F721" s="85"/>
      <c r="G721" s="85"/>
      <c r="H721" s="85"/>
      <c r="I721" s="85"/>
      <c r="J721" s="85"/>
      <c r="BD721" s="11"/>
      <c r="BE721" s="11"/>
      <c r="BF721" s="11"/>
      <c r="BG721" s="11"/>
      <c r="BK721" s="11"/>
      <c r="BL721" s="11"/>
      <c r="BP721" s="12"/>
      <c r="BQ721" s="400"/>
    </row>
    <row r="722" spans="4:69">
      <c r="D722" s="11"/>
      <c r="E722" s="86"/>
      <c r="F722" s="85"/>
      <c r="G722" s="85"/>
      <c r="H722" s="85"/>
      <c r="I722" s="85"/>
      <c r="J722" s="85"/>
      <c r="BD722" s="11"/>
      <c r="BE722" s="11"/>
      <c r="BF722" s="11"/>
      <c r="BG722" s="11"/>
      <c r="BK722" s="11"/>
      <c r="BL722" s="11"/>
      <c r="BP722" s="12"/>
      <c r="BQ722" s="400"/>
    </row>
    <row r="723" spans="4:69">
      <c r="D723" s="11"/>
      <c r="E723" s="86"/>
      <c r="F723" s="85"/>
      <c r="G723" s="85"/>
      <c r="H723" s="85"/>
      <c r="I723" s="85"/>
      <c r="J723" s="85"/>
      <c r="BD723" s="11"/>
      <c r="BE723" s="11"/>
      <c r="BF723" s="11"/>
      <c r="BG723" s="11"/>
      <c r="BK723" s="11"/>
      <c r="BL723" s="11"/>
      <c r="BP723" s="12"/>
      <c r="BQ723" s="400"/>
    </row>
    <row r="724" spans="4:69">
      <c r="D724" s="11"/>
      <c r="E724" s="86"/>
      <c r="F724" s="85"/>
      <c r="G724" s="85"/>
      <c r="H724" s="85"/>
      <c r="I724" s="85"/>
      <c r="J724" s="85"/>
      <c r="BD724" s="11"/>
      <c r="BE724" s="11"/>
      <c r="BF724" s="11"/>
      <c r="BG724" s="11"/>
      <c r="BK724" s="11"/>
      <c r="BL724" s="11"/>
      <c r="BP724" s="12"/>
      <c r="BQ724" s="400"/>
    </row>
    <row r="725" spans="4:69">
      <c r="D725" s="11"/>
      <c r="E725" s="86"/>
      <c r="F725" s="85"/>
      <c r="G725" s="85"/>
      <c r="H725" s="85"/>
      <c r="I725" s="85"/>
      <c r="J725" s="85"/>
      <c r="BD725" s="11"/>
      <c r="BE725" s="11"/>
      <c r="BF725" s="11"/>
      <c r="BG725" s="11"/>
      <c r="BK725" s="11"/>
      <c r="BL725" s="11"/>
      <c r="BP725" s="12"/>
      <c r="BQ725" s="400"/>
    </row>
    <row r="726" spans="4:69">
      <c r="D726" s="11"/>
      <c r="E726" s="86"/>
      <c r="F726" s="85"/>
      <c r="G726" s="85"/>
      <c r="H726" s="85"/>
      <c r="I726" s="85"/>
      <c r="J726" s="85"/>
      <c r="BD726" s="11"/>
      <c r="BE726" s="11"/>
      <c r="BF726" s="11"/>
      <c r="BG726" s="11"/>
      <c r="BK726" s="11"/>
      <c r="BL726" s="11"/>
      <c r="BP726" s="12"/>
      <c r="BQ726" s="400"/>
    </row>
    <row r="727" spans="4:69">
      <c r="D727" s="11"/>
      <c r="E727" s="86"/>
      <c r="F727" s="85"/>
      <c r="G727" s="85"/>
      <c r="H727" s="85"/>
      <c r="I727" s="85"/>
      <c r="J727" s="85"/>
      <c r="BD727" s="11"/>
      <c r="BE727" s="11"/>
      <c r="BF727" s="11"/>
      <c r="BG727" s="11"/>
      <c r="BK727" s="11"/>
      <c r="BL727" s="11"/>
      <c r="BP727" s="12"/>
      <c r="BQ727" s="400"/>
    </row>
    <row r="728" spans="4:69">
      <c r="D728" s="11"/>
      <c r="E728" s="86"/>
      <c r="F728" s="85"/>
      <c r="G728" s="85"/>
      <c r="H728" s="85"/>
      <c r="I728" s="85"/>
      <c r="J728" s="85"/>
      <c r="BD728" s="11"/>
      <c r="BE728" s="11"/>
      <c r="BF728" s="11"/>
      <c r="BG728" s="11"/>
      <c r="BK728" s="11"/>
      <c r="BL728" s="11"/>
      <c r="BP728" s="12"/>
      <c r="BQ728" s="400"/>
    </row>
    <row r="729" spans="4:69">
      <c r="D729" s="11"/>
      <c r="E729" s="86"/>
      <c r="F729" s="85"/>
      <c r="G729" s="85"/>
      <c r="H729" s="85"/>
      <c r="I729" s="85"/>
      <c r="J729" s="85"/>
      <c r="BD729" s="11"/>
      <c r="BE729" s="11"/>
      <c r="BF729" s="11"/>
      <c r="BG729" s="11"/>
      <c r="BK729" s="11"/>
      <c r="BL729" s="11"/>
      <c r="BP729" s="12"/>
      <c r="BQ729" s="400"/>
    </row>
    <row r="730" spans="4:69">
      <c r="D730" s="11"/>
      <c r="E730" s="86"/>
      <c r="F730" s="85"/>
      <c r="G730" s="85"/>
      <c r="H730" s="85"/>
      <c r="I730" s="85"/>
      <c r="J730" s="85"/>
      <c r="BD730" s="11"/>
      <c r="BE730" s="11"/>
      <c r="BF730" s="11"/>
      <c r="BG730" s="11"/>
      <c r="BK730" s="11"/>
      <c r="BL730" s="11"/>
      <c r="BP730" s="12"/>
      <c r="BQ730" s="400"/>
    </row>
    <row r="731" spans="4:69">
      <c r="D731" s="11"/>
      <c r="E731" s="86"/>
      <c r="F731" s="85"/>
      <c r="G731" s="85"/>
      <c r="H731" s="85"/>
      <c r="I731" s="85"/>
      <c r="J731" s="85"/>
      <c r="BD731" s="11"/>
      <c r="BE731" s="11"/>
      <c r="BF731" s="11"/>
      <c r="BG731" s="11"/>
      <c r="BK731" s="11"/>
      <c r="BL731" s="11"/>
      <c r="BP731" s="12"/>
      <c r="BQ731" s="400"/>
    </row>
    <row r="732" spans="4:69">
      <c r="D732" s="11"/>
      <c r="E732" s="86"/>
      <c r="F732" s="85"/>
      <c r="G732" s="85"/>
      <c r="H732" s="85"/>
      <c r="I732" s="85"/>
      <c r="J732" s="85"/>
      <c r="BD732" s="11"/>
      <c r="BE732" s="11"/>
      <c r="BF732" s="11"/>
      <c r="BG732" s="11"/>
      <c r="BK732" s="11"/>
      <c r="BL732" s="11"/>
      <c r="BP732" s="12"/>
      <c r="BQ732" s="400"/>
    </row>
    <row r="733" spans="4:69">
      <c r="D733" s="11"/>
      <c r="E733" s="86"/>
      <c r="F733" s="85"/>
      <c r="G733" s="85"/>
      <c r="H733" s="85"/>
      <c r="I733" s="85"/>
      <c r="J733" s="85"/>
      <c r="BD733" s="11"/>
      <c r="BE733" s="11"/>
      <c r="BF733" s="11"/>
      <c r="BG733" s="11"/>
      <c r="BK733" s="11"/>
      <c r="BL733" s="11"/>
      <c r="BP733" s="12"/>
      <c r="BQ733" s="400"/>
    </row>
    <row r="734" spans="4:69">
      <c r="D734" s="11"/>
      <c r="E734" s="86"/>
      <c r="F734" s="85"/>
      <c r="G734" s="85"/>
      <c r="H734" s="85"/>
      <c r="I734" s="85"/>
      <c r="J734" s="85"/>
      <c r="BD734" s="11"/>
      <c r="BE734" s="11"/>
      <c r="BF734" s="11"/>
      <c r="BG734" s="11"/>
      <c r="BK734" s="11"/>
      <c r="BL734" s="11"/>
      <c r="BP734" s="12"/>
      <c r="BQ734" s="400"/>
    </row>
    <row r="735" spans="4:69">
      <c r="D735" s="11"/>
      <c r="E735" s="86"/>
      <c r="F735" s="85"/>
      <c r="G735" s="85"/>
      <c r="H735" s="85"/>
      <c r="I735" s="85"/>
      <c r="J735" s="85"/>
      <c r="BD735" s="11"/>
      <c r="BE735" s="11"/>
      <c r="BF735" s="11"/>
      <c r="BG735" s="11"/>
      <c r="BK735" s="11"/>
      <c r="BL735" s="11"/>
      <c r="BP735" s="12"/>
      <c r="BQ735" s="400"/>
    </row>
    <row r="736" spans="4:69">
      <c r="D736" s="11"/>
      <c r="E736" s="86"/>
      <c r="F736" s="85"/>
      <c r="G736" s="85"/>
      <c r="H736" s="85"/>
      <c r="I736" s="85"/>
      <c r="J736" s="85"/>
      <c r="BD736" s="11"/>
      <c r="BE736" s="11"/>
      <c r="BF736" s="11"/>
      <c r="BG736" s="11"/>
      <c r="BK736" s="11"/>
      <c r="BL736" s="11"/>
      <c r="BP736" s="12"/>
      <c r="BQ736" s="400"/>
    </row>
    <row r="737" spans="4:69">
      <c r="D737" s="11"/>
      <c r="E737" s="86"/>
      <c r="F737" s="85"/>
      <c r="G737" s="85"/>
      <c r="H737" s="85"/>
      <c r="I737" s="85"/>
      <c r="J737" s="85"/>
      <c r="BD737" s="11"/>
      <c r="BE737" s="11"/>
      <c r="BF737" s="11"/>
      <c r="BG737" s="11"/>
      <c r="BK737" s="11"/>
      <c r="BL737" s="11"/>
      <c r="BP737" s="12"/>
      <c r="BQ737" s="400"/>
    </row>
    <row r="738" spans="4:69">
      <c r="D738" s="11"/>
      <c r="E738" s="86"/>
      <c r="F738" s="85"/>
      <c r="G738" s="85"/>
      <c r="H738" s="85"/>
      <c r="I738" s="85"/>
      <c r="J738" s="85"/>
      <c r="BD738" s="11"/>
      <c r="BE738" s="11"/>
      <c r="BF738" s="11"/>
      <c r="BG738" s="11"/>
      <c r="BK738" s="11"/>
      <c r="BL738" s="11"/>
      <c r="BP738" s="12"/>
      <c r="BQ738" s="400"/>
    </row>
    <row r="739" spans="4:69">
      <c r="D739" s="11"/>
      <c r="E739" s="86"/>
      <c r="F739" s="85"/>
      <c r="G739" s="85"/>
      <c r="H739" s="85"/>
      <c r="I739" s="85"/>
      <c r="J739" s="85"/>
      <c r="BD739" s="11"/>
      <c r="BE739" s="11"/>
      <c r="BF739" s="11"/>
      <c r="BG739" s="11"/>
      <c r="BK739" s="11"/>
      <c r="BL739" s="11"/>
      <c r="BP739" s="12"/>
      <c r="BQ739" s="400"/>
    </row>
    <row r="740" spans="4:69">
      <c r="D740" s="11"/>
      <c r="E740" s="86"/>
      <c r="F740" s="85"/>
      <c r="G740" s="85"/>
      <c r="H740" s="85"/>
      <c r="I740" s="85"/>
      <c r="J740" s="85"/>
      <c r="BD740" s="11"/>
      <c r="BE740" s="11"/>
      <c r="BF740" s="11"/>
      <c r="BG740" s="11"/>
      <c r="BK740" s="11"/>
      <c r="BL740" s="11"/>
      <c r="BP740" s="12"/>
      <c r="BQ740" s="400"/>
    </row>
    <row r="741" spans="4:69">
      <c r="D741" s="11"/>
      <c r="E741" s="86"/>
      <c r="F741" s="85"/>
      <c r="G741" s="85"/>
      <c r="H741" s="85"/>
      <c r="I741" s="85"/>
      <c r="J741" s="85"/>
      <c r="BD741" s="11"/>
      <c r="BE741" s="11"/>
      <c r="BF741" s="11"/>
      <c r="BG741" s="11"/>
      <c r="BK741" s="11"/>
      <c r="BL741" s="11"/>
      <c r="BP741" s="12"/>
      <c r="BQ741" s="400"/>
    </row>
    <row r="742" spans="4:69">
      <c r="D742" s="11"/>
      <c r="E742" s="86"/>
      <c r="F742" s="85"/>
      <c r="G742" s="85"/>
      <c r="H742" s="85"/>
      <c r="I742" s="85"/>
      <c r="J742" s="85"/>
      <c r="BD742" s="11"/>
      <c r="BE742" s="11"/>
      <c r="BF742" s="11"/>
      <c r="BG742" s="11"/>
      <c r="BK742" s="11"/>
      <c r="BL742" s="11"/>
      <c r="BP742" s="12"/>
      <c r="BQ742" s="400"/>
    </row>
    <row r="743" spans="4:69">
      <c r="D743" s="11"/>
      <c r="E743" s="86"/>
      <c r="F743" s="85"/>
      <c r="G743" s="85"/>
      <c r="H743" s="85"/>
      <c r="I743" s="85"/>
      <c r="J743" s="85"/>
      <c r="BD743" s="11"/>
      <c r="BE743" s="11"/>
      <c r="BF743" s="11"/>
      <c r="BG743" s="11"/>
      <c r="BK743" s="11"/>
      <c r="BL743" s="11"/>
      <c r="BP743" s="12"/>
      <c r="BQ743" s="400"/>
    </row>
    <row r="744" spans="4:69">
      <c r="D744" s="11"/>
      <c r="E744" s="86"/>
      <c r="F744" s="85"/>
      <c r="G744" s="85"/>
      <c r="H744" s="85"/>
      <c r="I744" s="85"/>
      <c r="J744" s="85"/>
      <c r="BD744" s="11"/>
      <c r="BE744" s="11"/>
      <c r="BF744" s="11"/>
      <c r="BG744" s="11"/>
      <c r="BK744" s="11"/>
      <c r="BL744" s="11"/>
      <c r="BP744" s="12"/>
      <c r="BQ744" s="400"/>
    </row>
    <row r="745" spans="4:69">
      <c r="D745" s="11"/>
      <c r="E745" s="86"/>
      <c r="F745" s="85"/>
      <c r="G745" s="85"/>
      <c r="H745" s="85"/>
      <c r="I745" s="85"/>
      <c r="J745" s="85"/>
      <c r="BD745" s="11"/>
      <c r="BE745" s="11"/>
      <c r="BF745" s="11"/>
      <c r="BG745" s="11"/>
      <c r="BK745" s="11"/>
      <c r="BL745" s="11"/>
      <c r="BP745" s="12"/>
      <c r="BQ745" s="400"/>
    </row>
    <row r="746" spans="4:69">
      <c r="D746" s="11"/>
      <c r="E746" s="86"/>
      <c r="F746" s="85"/>
      <c r="G746" s="85"/>
      <c r="H746" s="85"/>
      <c r="I746" s="85"/>
      <c r="J746" s="85"/>
      <c r="BD746" s="11"/>
      <c r="BE746" s="11"/>
      <c r="BF746" s="11"/>
      <c r="BG746" s="11"/>
      <c r="BK746" s="11"/>
      <c r="BL746" s="11"/>
      <c r="BP746" s="12"/>
      <c r="BQ746" s="400"/>
    </row>
    <row r="747" spans="4:69">
      <c r="D747" s="11"/>
      <c r="E747" s="86"/>
      <c r="F747" s="85"/>
      <c r="G747" s="85"/>
      <c r="H747" s="85"/>
      <c r="I747" s="85"/>
      <c r="J747" s="85"/>
      <c r="BD747" s="11"/>
      <c r="BE747" s="11"/>
      <c r="BF747" s="11"/>
      <c r="BG747" s="11"/>
      <c r="BK747" s="11"/>
      <c r="BL747" s="11"/>
      <c r="BP747" s="12"/>
      <c r="BQ747" s="400"/>
    </row>
    <row r="748" spans="4:69">
      <c r="D748" s="11"/>
      <c r="E748" s="86"/>
      <c r="F748" s="85"/>
      <c r="G748" s="85"/>
      <c r="H748" s="85"/>
      <c r="I748" s="85"/>
      <c r="J748" s="85"/>
      <c r="BD748" s="11"/>
      <c r="BE748" s="11"/>
      <c r="BF748" s="11"/>
      <c r="BG748" s="11"/>
      <c r="BK748" s="11"/>
      <c r="BL748" s="11"/>
      <c r="BP748" s="12"/>
      <c r="BQ748" s="400"/>
    </row>
    <row r="749" spans="4:69">
      <c r="D749" s="11"/>
      <c r="E749" s="86"/>
      <c r="F749" s="85"/>
      <c r="G749" s="85"/>
      <c r="H749" s="85"/>
      <c r="I749" s="85"/>
      <c r="J749" s="85"/>
      <c r="BD749" s="11"/>
      <c r="BE749" s="11"/>
      <c r="BF749" s="11"/>
      <c r="BG749" s="11"/>
      <c r="BK749" s="11"/>
      <c r="BL749" s="11"/>
      <c r="BP749" s="12"/>
      <c r="BQ749" s="400"/>
    </row>
    <row r="750" spans="4:69">
      <c r="D750" s="11"/>
      <c r="E750" s="86"/>
      <c r="F750" s="85"/>
      <c r="G750" s="85"/>
      <c r="H750" s="85"/>
      <c r="I750" s="85"/>
      <c r="J750" s="85"/>
      <c r="BD750" s="11"/>
      <c r="BE750" s="11"/>
      <c r="BF750" s="11"/>
      <c r="BG750" s="11"/>
      <c r="BK750" s="11"/>
      <c r="BL750" s="11"/>
      <c r="BP750" s="12"/>
      <c r="BQ750" s="400"/>
    </row>
    <row r="751" spans="4:69">
      <c r="D751" s="11"/>
      <c r="E751" s="86"/>
      <c r="F751" s="85"/>
      <c r="G751" s="85"/>
      <c r="H751" s="85"/>
      <c r="I751" s="85"/>
      <c r="J751" s="85"/>
      <c r="BD751" s="11"/>
      <c r="BE751" s="11"/>
      <c r="BF751" s="11"/>
      <c r="BG751" s="11"/>
      <c r="BK751" s="11"/>
      <c r="BL751" s="11"/>
      <c r="BP751" s="12"/>
      <c r="BQ751" s="400"/>
    </row>
    <row r="752" spans="4:69">
      <c r="D752" s="11"/>
      <c r="E752" s="86"/>
      <c r="F752" s="85"/>
      <c r="G752" s="85"/>
      <c r="H752" s="85"/>
      <c r="I752" s="85"/>
      <c r="J752" s="85"/>
      <c r="BD752" s="11"/>
      <c r="BE752" s="11"/>
      <c r="BF752" s="11"/>
      <c r="BG752" s="11"/>
      <c r="BK752" s="11"/>
      <c r="BL752" s="11"/>
      <c r="BP752" s="12"/>
      <c r="BQ752" s="400"/>
    </row>
    <row r="753" spans="4:69">
      <c r="D753" s="11"/>
      <c r="E753" s="86"/>
      <c r="F753" s="85"/>
      <c r="G753" s="85"/>
      <c r="H753" s="85"/>
      <c r="I753" s="85"/>
      <c r="J753" s="85"/>
      <c r="BD753" s="11"/>
      <c r="BE753" s="11"/>
      <c r="BF753" s="11"/>
      <c r="BG753" s="11"/>
      <c r="BK753" s="11"/>
      <c r="BL753" s="11"/>
      <c r="BP753" s="12"/>
      <c r="BQ753" s="400"/>
    </row>
    <row r="754" spans="4:69">
      <c r="D754" s="11"/>
      <c r="E754" s="86"/>
      <c r="F754" s="85"/>
      <c r="G754" s="85"/>
      <c r="H754" s="85"/>
      <c r="I754" s="85"/>
      <c r="J754" s="85"/>
      <c r="BD754" s="11"/>
      <c r="BE754" s="11"/>
      <c r="BF754" s="11"/>
      <c r="BG754" s="11"/>
      <c r="BK754" s="11"/>
      <c r="BL754" s="11"/>
      <c r="BP754" s="12"/>
      <c r="BQ754" s="400"/>
    </row>
    <row r="755" spans="4:69">
      <c r="D755" s="11"/>
      <c r="E755" s="86"/>
      <c r="F755" s="85"/>
      <c r="G755" s="85"/>
      <c r="H755" s="85"/>
      <c r="I755" s="85"/>
      <c r="J755" s="85"/>
      <c r="BD755" s="11"/>
      <c r="BE755" s="11"/>
      <c r="BF755" s="11"/>
      <c r="BG755" s="11"/>
      <c r="BK755" s="11"/>
      <c r="BL755" s="11"/>
      <c r="BP755" s="12"/>
      <c r="BQ755" s="400"/>
    </row>
    <row r="756" spans="4:69">
      <c r="D756" s="11"/>
      <c r="E756" s="86"/>
      <c r="F756" s="85"/>
      <c r="G756" s="85"/>
      <c r="H756" s="85"/>
      <c r="I756" s="85"/>
      <c r="J756" s="85"/>
      <c r="BD756" s="11"/>
      <c r="BE756" s="11"/>
      <c r="BF756" s="11"/>
      <c r="BG756" s="11"/>
      <c r="BK756" s="11"/>
      <c r="BL756" s="11"/>
      <c r="BP756" s="12"/>
      <c r="BQ756" s="400"/>
    </row>
    <row r="757" spans="4:69">
      <c r="D757" s="11"/>
      <c r="E757" s="86"/>
      <c r="F757" s="85"/>
      <c r="G757" s="85"/>
      <c r="H757" s="85"/>
      <c r="I757" s="85"/>
      <c r="J757" s="85"/>
      <c r="BD757" s="11"/>
      <c r="BE757" s="11"/>
      <c r="BF757" s="11"/>
      <c r="BG757" s="11"/>
      <c r="BK757" s="11"/>
      <c r="BL757" s="11"/>
      <c r="BP757" s="12"/>
      <c r="BQ757" s="400"/>
    </row>
    <row r="758" spans="4:69">
      <c r="D758" s="11"/>
      <c r="E758" s="86"/>
      <c r="F758" s="85"/>
      <c r="G758" s="85"/>
      <c r="H758" s="85"/>
      <c r="I758" s="85"/>
      <c r="J758" s="85"/>
      <c r="BD758" s="11"/>
      <c r="BE758" s="11"/>
      <c r="BF758" s="11"/>
      <c r="BG758" s="11"/>
      <c r="BK758" s="11"/>
      <c r="BL758" s="11"/>
      <c r="BP758" s="12"/>
      <c r="BQ758" s="400"/>
    </row>
    <row r="759" spans="4:69">
      <c r="D759" s="11"/>
      <c r="E759" s="86"/>
      <c r="F759" s="85"/>
      <c r="G759" s="85"/>
      <c r="H759" s="85"/>
      <c r="I759" s="85"/>
      <c r="J759" s="85"/>
      <c r="BD759" s="11"/>
      <c r="BE759" s="11"/>
      <c r="BF759" s="11"/>
      <c r="BG759" s="11"/>
      <c r="BK759" s="11"/>
      <c r="BL759" s="11"/>
      <c r="BP759" s="12"/>
      <c r="BQ759" s="400"/>
    </row>
    <row r="760" spans="4:69">
      <c r="D760" s="11"/>
      <c r="E760" s="86"/>
      <c r="F760" s="85"/>
      <c r="G760" s="85"/>
      <c r="H760" s="85"/>
      <c r="I760" s="85"/>
      <c r="J760" s="85"/>
      <c r="BD760" s="11"/>
      <c r="BE760" s="11"/>
      <c r="BF760" s="11"/>
      <c r="BG760" s="11"/>
      <c r="BK760" s="11"/>
      <c r="BL760" s="11"/>
      <c r="BP760" s="12"/>
      <c r="BQ760" s="400"/>
    </row>
    <row r="761" spans="4:69">
      <c r="D761" s="11"/>
      <c r="E761" s="86"/>
      <c r="F761" s="85"/>
      <c r="G761" s="85"/>
      <c r="H761" s="85"/>
      <c r="I761" s="85"/>
      <c r="J761" s="85"/>
      <c r="BD761" s="11"/>
      <c r="BE761" s="11"/>
      <c r="BF761" s="11"/>
      <c r="BG761" s="11"/>
      <c r="BK761" s="11"/>
      <c r="BL761" s="11"/>
      <c r="BP761" s="12"/>
      <c r="BQ761" s="400"/>
    </row>
    <row r="762" spans="4:69">
      <c r="D762" s="11"/>
      <c r="E762" s="86"/>
      <c r="F762" s="85"/>
      <c r="G762" s="85"/>
      <c r="H762" s="85"/>
      <c r="I762" s="85"/>
      <c r="J762" s="85"/>
      <c r="BD762" s="11"/>
      <c r="BE762" s="11"/>
      <c r="BF762" s="11"/>
      <c r="BG762" s="11"/>
      <c r="BK762" s="11"/>
      <c r="BL762" s="11"/>
      <c r="BP762" s="12"/>
      <c r="BQ762" s="400"/>
    </row>
    <row r="763" spans="4:69">
      <c r="D763" s="11"/>
      <c r="E763" s="86"/>
      <c r="F763" s="85"/>
      <c r="G763" s="85"/>
      <c r="H763" s="85"/>
      <c r="I763" s="85"/>
      <c r="J763" s="85"/>
      <c r="BD763" s="11"/>
      <c r="BE763" s="11"/>
      <c r="BF763" s="11"/>
      <c r="BG763" s="11"/>
      <c r="BK763" s="11"/>
      <c r="BL763" s="11"/>
      <c r="BP763" s="12"/>
      <c r="BQ763" s="400"/>
    </row>
    <row r="764" spans="4:69">
      <c r="D764" s="11"/>
      <c r="E764" s="86"/>
      <c r="F764" s="85"/>
      <c r="G764" s="85"/>
      <c r="H764" s="85"/>
      <c r="I764" s="85"/>
      <c r="J764" s="85"/>
      <c r="BD764" s="11"/>
      <c r="BE764" s="11"/>
      <c r="BF764" s="11"/>
      <c r="BG764" s="11"/>
      <c r="BK764" s="11"/>
      <c r="BL764" s="11"/>
      <c r="BP764" s="12"/>
      <c r="BQ764" s="400"/>
    </row>
    <row r="765" spans="4:69">
      <c r="D765" s="11"/>
      <c r="E765" s="86"/>
      <c r="F765" s="85"/>
      <c r="G765" s="85"/>
      <c r="H765" s="85"/>
      <c r="I765" s="85"/>
      <c r="J765" s="85"/>
      <c r="BD765" s="11"/>
      <c r="BE765" s="11"/>
      <c r="BF765" s="11"/>
      <c r="BG765" s="11"/>
      <c r="BK765" s="11"/>
      <c r="BL765" s="11"/>
      <c r="BP765" s="12"/>
      <c r="BQ765" s="400"/>
    </row>
    <row r="766" spans="4:69">
      <c r="D766" s="11"/>
      <c r="E766" s="86"/>
      <c r="F766" s="85"/>
      <c r="G766" s="85"/>
      <c r="H766" s="85"/>
      <c r="I766" s="85"/>
      <c r="J766" s="85"/>
      <c r="BD766" s="11"/>
      <c r="BE766" s="11"/>
      <c r="BF766" s="11"/>
      <c r="BG766" s="11"/>
      <c r="BK766" s="11"/>
      <c r="BL766" s="11"/>
      <c r="BP766" s="12"/>
      <c r="BQ766" s="400"/>
    </row>
    <row r="767" spans="4:69">
      <c r="D767" s="11"/>
      <c r="E767" s="86"/>
      <c r="F767" s="85"/>
      <c r="G767" s="85"/>
      <c r="H767" s="85"/>
      <c r="I767" s="85"/>
      <c r="J767" s="85"/>
      <c r="BD767" s="11"/>
      <c r="BE767" s="11"/>
      <c r="BF767" s="11"/>
      <c r="BG767" s="11"/>
      <c r="BK767" s="11"/>
      <c r="BL767" s="11"/>
      <c r="BP767" s="12"/>
      <c r="BQ767" s="400"/>
    </row>
    <row r="768" spans="4:69">
      <c r="D768" s="11"/>
      <c r="E768" s="86"/>
      <c r="F768" s="85"/>
      <c r="G768" s="85"/>
      <c r="H768" s="85"/>
      <c r="I768" s="85"/>
      <c r="J768" s="85"/>
      <c r="BD768" s="11"/>
      <c r="BE768" s="11"/>
      <c r="BF768" s="11"/>
      <c r="BG768" s="11"/>
      <c r="BK768" s="11"/>
      <c r="BL768" s="11"/>
      <c r="BP768" s="12"/>
      <c r="BQ768" s="400"/>
    </row>
    <row r="769" spans="4:69">
      <c r="D769" s="11"/>
      <c r="E769" s="86"/>
      <c r="F769" s="85"/>
      <c r="G769" s="85"/>
      <c r="H769" s="85"/>
      <c r="I769" s="85"/>
      <c r="J769" s="85"/>
      <c r="BD769" s="11"/>
      <c r="BE769" s="11"/>
      <c r="BF769" s="11"/>
      <c r="BG769" s="11"/>
      <c r="BK769" s="11"/>
      <c r="BL769" s="11"/>
      <c r="BP769" s="12"/>
      <c r="BQ769" s="400"/>
    </row>
    <row r="770" spans="4:69">
      <c r="D770" s="11"/>
      <c r="E770" s="86"/>
      <c r="F770" s="85"/>
      <c r="G770" s="85"/>
      <c r="H770" s="85"/>
      <c r="I770" s="85"/>
      <c r="J770" s="85"/>
      <c r="BD770" s="11"/>
      <c r="BE770" s="11"/>
      <c r="BF770" s="11"/>
      <c r="BG770" s="11"/>
      <c r="BK770" s="11"/>
      <c r="BL770" s="11"/>
      <c r="BP770" s="12"/>
      <c r="BQ770" s="400"/>
    </row>
    <row r="771" spans="4:69">
      <c r="D771" s="11"/>
      <c r="E771" s="86"/>
      <c r="F771" s="85"/>
      <c r="G771" s="85"/>
      <c r="H771" s="85"/>
      <c r="I771" s="85"/>
      <c r="J771" s="85"/>
      <c r="BD771" s="11"/>
      <c r="BE771" s="11"/>
      <c r="BF771" s="11"/>
      <c r="BG771" s="11"/>
      <c r="BK771" s="11"/>
      <c r="BL771" s="11"/>
      <c r="BP771" s="12"/>
      <c r="BQ771" s="400"/>
    </row>
    <row r="772" spans="4:69">
      <c r="D772" s="11"/>
      <c r="E772" s="86"/>
      <c r="F772" s="85"/>
      <c r="G772" s="85"/>
      <c r="H772" s="85"/>
      <c r="I772" s="85"/>
      <c r="J772" s="85"/>
      <c r="BD772" s="11"/>
      <c r="BE772" s="11"/>
      <c r="BF772" s="11"/>
      <c r="BG772" s="11"/>
      <c r="BK772" s="11"/>
      <c r="BL772" s="11"/>
      <c r="BP772" s="12"/>
      <c r="BQ772" s="400"/>
    </row>
    <row r="773" spans="4:69">
      <c r="D773" s="11"/>
      <c r="E773" s="86"/>
      <c r="F773" s="85"/>
      <c r="G773" s="85"/>
      <c r="H773" s="85"/>
      <c r="I773" s="85"/>
      <c r="J773" s="85"/>
      <c r="BD773" s="11"/>
      <c r="BE773" s="11"/>
      <c r="BF773" s="11"/>
      <c r="BG773" s="11"/>
      <c r="BK773" s="11"/>
      <c r="BL773" s="11"/>
      <c r="BP773" s="12"/>
      <c r="BQ773" s="400"/>
    </row>
    <row r="774" spans="4:69">
      <c r="D774" s="11"/>
      <c r="E774" s="86"/>
      <c r="F774" s="85"/>
      <c r="G774" s="85"/>
      <c r="H774" s="85"/>
      <c r="I774" s="85"/>
      <c r="J774" s="85"/>
      <c r="BD774" s="11"/>
      <c r="BE774" s="11"/>
      <c r="BF774" s="11"/>
      <c r="BG774" s="11"/>
      <c r="BK774" s="11"/>
      <c r="BL774" s="11"/>
      <c r="BP774" s="12"/>
      <c r="BQ774" s="400"/>
    </row>
    <row r="775" spans="4:69">
      <c r="D775" s="11"/>
      <c r="E775" s="86"/>
      <c r="F775" s="85"/>
      <c r="G775" s="85"/>
      <c r="H775" s="85"/>
      <c r="I775" s="85"/>
      <c r="J775" s="85"/>
      <c r="BD775" s="11"/>
      <c r="BE775" s="11"/>
      <c r="BF775" s="11"/>
      <c r="BG775" s="11"/>
      <c r="BK775" s="11"/>
      <c r="BL775" s="11"/>
      <c r="BP775" s="12"/>
      <c r="BQ775" s="400"/>
    </row>
    <row r="776" spans="4:69">
      <c r="D776" s="11"/>
      <c r="E776" s="86"/>
      <c r="F776" s="85"/>
      <c r="G776" s="85"/>
      <c r="H776" s="85"/>
      <c r="I776" s="85"/>
      <c r="J776" s="85"/>
      <c r="BD776" s="11"/>
      <c r="BE776" s="11"/>
      <c r="BF776" s="11"/>
      <c r="BG776" s="11"/>
      <c r="BK776" s="11"/>
      <c r="BL776" s="11"/>
      <c r="BP776" s="12"/>
      <c r="BQ776" s="400"/>
    </row>
    <row r="777" spans="4:69">
      <c r="D777" s="11"/>
      <c r="E777" s="86"/>
      <c r="F777" s="85"/>
      <c r="G777" s="85"/>
      <c r="H777" s="85"/>
      <c r="I777" s="85"/>
      <c r="J777" s="85"/>
      <c r="BD777" s="11"/>
      <c r="BE777" s="11"/>
      <c r="BF777" s="11"/>
      <c r="BG777" s="11"/>
      <c r="BK777" s="11"/>
      <c r="BL777" s="11"/>
      <c r="BP777" s="12"/>
      <c r="BQ777" s="400"/>
    </row>
    <row r="778" spans="4:69">
      <c r="D778" s="11"/>
      <c r="E778" s="86"/>
      <c r="F778" s="85"/>
      <c r="G778" s="85"/>
      <c r="H778" s="85"/>
      <c r="I778" s="85"/>
      <c r="J778" s="85"/>
      <c r="BD778" s="11"/>
      <c r="BE778" s="11"/>
      <c r="BF778" s="11"/>
      <c r="BG778" s="11"/>
      <c r="BK778" s="11"/>
      <c r="BL778" s="11"/>
      <c r="BP778" s="12"/>
      <c r="BQ778" s="400"/>
    </row>
    <row r="779" spans="4:69">
      <c r="D779" s="11"/>
      <c r="E779" s="86"/>
      <c r="F779" s="85"/>
      <c r="G779" s="85"/>
      <c r="H779" s="85"/>
      <c r="I779" s="85"/>
      <c r="J779" s="85"/>
      <c r="BD779" s="11"/>
      <c r="BE779" s="11"/>
      <c r="BF779" s="11"/>
      <c r="BG779" s="11"/>
      <c r="BK779" s="11"/>
      <c r="BL779" s="11"/>
      <c r="BP779" s="12"/>
      <c r="BQ779" s="400"/>
    </row>
    <row r="780" spans="4:69">
      <c r="D780" s="11"/>
      <c r="E780" s="86"/>
      <c r="F780" s="85"/>
      <c r="G780" s="85"/>
      <c r="H780" s="85"/>
      <c r="I780" s="85"/>
      <c r="J780" s="85"/>
      <c r="BD780" s="11"/>
      <c r="BE780" s="11"/>
      <c r="BF780" s="11"/>
      <c r="BG780" s="11"/>
      <c r="BK780" s="11"/>
      <c r="BL780" s="11"/>
      <c r="BP780" s="12"/>
      <c r="BQ780" s="400"/>
    </row>
    <row r="781" spans="4:69">
      <c r="D781" s="11"/>
      <c r="E781" s="86"/>
      <c r="F781" s="85"/>
      <c r="G781" s="85"/>
      <c r="H781" s="85"/>
      <c r="I781" s="85"/>
      <c r="J781" s="85"/>
      <c r="BD781" s="11"/>
      <c r="BE781" s="11"/>
      <c r="BF781" s="11"/>
      <c r="BG781" s="11"/>
      <c r="BK781" s="11"/>
      <c r="BL781" s="11"/>
      <c r="BP781" s="12"/>
      <c r="BQ781" s="400"/>
    </row>
    <row r="782" spans="4:69">
      <c r="D782" s="11"/>
      <c r="E782" s="86"/>
      <c r="F782" s="85"/>
      <c r="G782" s="85"/>
      <c r="H782" s="85"/>
      <c r="I782" s="85"/>
      <c r="J782" s="85"/>
      <c r="BD782" s="11"/>
      <c r="BE782" s="11"/>
      <c r="BF782" s="11"/>
      <c r="BG782" s="11"/>
      <c r="BK782" s="11"/>
      <c r="BL782" s="11"/>
      <c r="BP782" s="12"/>
      <c r="BQ782" s="400"/>
    </row>
    <row r="783" spans="4:69">
      <c r="D783" s="11"/>
      <c r="E783" s="86"/>
      <c r="F783" s="85"/>
      <c r="G783" s="85"/>
      <c r="H783" s="85"/>
      <c r="I783" s="85"/>
      <c r="J783" s="85"/>
      <c r="BD783" s="11"/>
      <c r="BE783" s="11"/>
      <c r="BF783" s="11"/>
      <c r="BG783" s="11"/>
      <c r="BK783" s="11"/>
      <c r="BL783" s="11"/>
      <c r="BP783" s="12"/>
      <c r="BQ783" s="400"/>
    </row>
    <row r="784" spans="4:69">
      <c r="D784" s="11"/>
      <c r="E784" s="86"/>
      <c r="F784" s="85"/>
      <c r="G784" s="85"/>
      <c r="H784" s="85"/>
      <c r="I784" s="85"/>
      <c r="J784" s="85"/>
      <c r="BD784" s="11"/>
      <c r="BE784" s="11"/>
      <c r="BF784" s="11"/>
      <c r="BG784" s="11"/>
      <c r="BK784" s="11"/>
      <c r="BL784" s="11"/>
      <c r="BP784" s="12"/>
      <c r="BQ784" s="400"/>
    </row>
    <row r="785" spans="4:69">
      <c r="D785" s="11"/>
      <c r="E785" s="86"/>
      <c r="F785" s="85"/>
      <c r="G785" s="85"/>
      <c r="H785" s="85"/>
      <c r="I785" s="85"/>
      <c r="J785" s="85"/>
      <c r="BD785" s="11"/>
      <c r="BE785" s="11"/>
      <c r="BF785" s="11"/>
      <c r="BG785" s="11"/>
      <c r="BK785" s="11"/>
      <c r="BL785" s="11"/>
      <c r="BP785" s="12"/>
      <c r="BQ785" s="400"/>
    </row>
    <row r="786" spans="4:69">
      <c r="D786" s="11"/>
      <c r="E786" s="86"/>
      <c r="F786" s="85"/>
      <c r="G786" s="85"/>
      <c r="H786" s="85"/>
      <c r="I786" s="85"/>
      <c r="J786" s="85"/>
      <c r="BD786" s="11"/>
      <c r="BE786" s="11"/>
      <c r="BF786" s="11"/>
      <c r="BG786" s="11"/>
      <c r="BK786" s="11"/>
      <c r="BL786" s="11"/>
      <c r="BP786" s="12"/>
      <c r="BQ786" s="400"/>
    </row>
    <row r="787" spans="4:69">
      <c r="D787" s="11"/>
      <c r="E787" s="86"/>
      <c r="F787" s="85"/>
      <c r="G787" s="85"/>
      <c r="H787" s="85"/>
      <c r="I787" s="85"/>
      <c r="J787" s="85"/>
      <c r="BD787" s="11"/>
      <c r="BE787" s="11"/>
      <c r="BF787" s="11"/>
      <c r="BG787" s="11"/>
      <c r="BK787" s="11"/>
      <c r="BL787" s="11"/>
      <c r="BP787" s="12"/>
      <c r="BQ787" s="400"/>
    </row>
    <row r="788" spans="4:69">
      <c r="D788" s="11"/>
      <c r="E788" s="86"/>
      <c r="F788" s="85"/>
      <c r="G788" s="85"/>
      <c r="H788" s="85"/>
      <c r="I788" s="85"/>
      <c r="J788" s="85"/>
      <c r="BD788" s="11"/>
      <c r="BE788" s="11"/>
      <c r="BF788" s="11"/>
      <c r="BG788" s="11"/>
      <c r="BK788" s="11"/>
      <c r="BL788" s="11"/>
      <c r="BP788" s="12"/>
      <c r="BQ788" s="400"/>
    </row>
    <row r="789" spans="4:69">
      <c r="D789" s="11"/>
      <c r="E789" s="86"/>
      <c r="F789" s="85"/>
      <c r="G789" s="85"/>
      <c r="H789" s="85"/>
      <c r="I789" s="85"/>
      <c r="J789" s="85"/>
      <c r="BD789" s="11"/>
      <c r="BE789" s="11"/>
      <c r="BF789" s="11"/>
      <c r="BG789" s="11"/>
      <c r="BK789" s="11"/>
      <c r="BL789" s="11"/>
      <c r="BP789" s="12"/>
      <c r="BQ789" s="400"/>
    </row>
    <row r="790" spans="4:69">
      <c r="D790" s="11"/>
      <c r="E790" s="86"/>
      <c r="F790" s="85"/>
      <c r="G790" s="85"/>
      <c r="H790" s="85"/>
      <c r="I790" s="85"/>
      <c r="J790" s="85"/>
      <c r="BD790" s="11"/>
      <c r="BE790" s="11"/>
      <c r="BF790" s="11"/>
      <c r="BG790" s="11"/>
      <c r="BK790" s="11"/>
      <c r="BL790" s="11"/>
      <c r="BP790" s="12"/>
      <c r="BQ790" s="400"/>
    </row>
    <row r="791" spans="4:69">
      <c r="D791" s="11"/>
      <c r="E791" s="86"/>
      <c r="F791" s="85"/>
      <c r="G791" s="85"/>
      <c r="H791" s="85"/>
      <c r="I791" s="85"/>
      <c r="J791" s="85"/>
      <c r="BD791" s="11"/>
      <c r="BE791" s="11"/>
      <c r="BF791" s="11"/>
      <c r="BG791" s="11"/>
      <c r="BK791" s="11"/>
      <c r="BL791" s="11"/>
      <c r="BP791" s="12"/>
      <c r="BQ791" s="400"/>
    </row>
    <row r="792" spans="4:69">
      <c r="D792" s="11"/>
      <c r="E792" s="86"/>
      <c r="F792" s="85"/>
      <c r="G792" s="85"/>
      <c r="H792" s="85"/>
      <c r="I792" s="85"/>
      <c r="J792" s="85"/>
      <c r="BD792" s="11"/>
      <c r="BE792" s="11"/>
      <c r="BF792" s="11"/>
      <c r="BG792" s="11"/>
      <c r="BK792" s="11"/>
      <c r="BL792" s="11"/>
      <c r="BP792" s="12"/>
      <c r="BQ792" s="400"/>
    </row>
    <row r="793" spans="4:69">
      <c r="D793" s="11"/>
      <c r="E793" s="86"/>
      <c r="F793" s="85"/>
      <c r="G793" s="85"/>
      <c r="H793" s="85"/>
      <c r="I793" s="85"/>
      <c r="J793" s="85"/>
      <c r="BD793" s="11"/>
      <c r="BE793" s="11"/>
      <c r="BF793" s="11"/>
      <c r="BG793" s="11"/>
      <c r="BK793" s="11"/>
      <c r="BL793" s="11"/>
      <c r="BP793" s="12"/>
      <c r="BQ793" s="400"/>
    </row>
    <row r="794" spans="4:69">
      <c r="D794" s="11"/>
      <c r="E794" s="86"/>
      <c r="F794" s="85"/>
      <c r="G794" s="85"/>
      <c r="H794" s="85"/>
      <c r="I794" s="85"/>
      <c r="J794" s="85"/>
      <c r="BD794" s="11"/>
      <c r="BE794" s="11"/>
      <c r="BF794" s="11"/>
      <c r="BG794" s="11"/>
      <c r="BK794" s="11"/>
      <c r="BL794" s="11"/>
      <c r="BP794" s="12"/>
      <c r="BQ794" s="400"/>
    </row>
    <row r="795" spans="4:69">
      <c r="D795" s="11"/>
      <c r="E795" s="86"/>
      <c r="F795" s="85"/>
      <c r="G795" s="85"/>
      <c r="H795" s="85"/>
      <c r="I795" s="85"/>
      <c r="J795" s="85"/>
      <c r="BD795" s="11"/>
      <c r="BE795" s="11"/>
      <c r="BF795" s="11"/>
      <c r="BG795" s="11"/>
      <c r="BK795" s="11"/>
      <c r="BL795" s="11"/>
      <c r="BP795" s="12"/>
      <c r="BQ795" s="400"/>
    </row>
    <row r="796" spans="4:69">
      <c r="D796" s="11"/>
      <c r="E796" s="86"/>
      <c r="F796" s="85"/>
      <c r="G796" s="85"/>
      <c r="H796" s="85"/>
      <c r="I796" s="85"/>
      <c r="J796" s="85"/>
      <c r="BD796" s="11"/>
      <c r="BE796" s="11"/>
      <c r="BF796" s="11"/>
      <c r="BG796" s="11"/>
      <c r="BK796" s="11"/>
      <c r="BL796" s="11"/>
      <c r="BP796" s="12"/>
      <c r="BQ796" s="400"/>
    </row>
    <row r="797" spans="4:69">
      <c r="D797" s="11"/>
      <c r="E797" s="86"/>
      <c r="F797" s="85"/>
      <c r="G797" s="85"/>
      <c r="H797" s="85"/>
      <c r="I797" s="85"/>
      <c r="J797" s="85"/>
      <c r="BD797" s="11"/>
      <c r="BE797" s="11"/>
      <c r="BF797" s="11"/>
      <c r="BG797" s="11"/>
      <c r="BK797" s="11"/>
      <c r="BL797" s="11"/>
      <c r="BP797" s="12"/>
      <c r="BQ797" s="400"/>
    </row>
    <row r="798" spans="4:69">
      <c r="D798" s="11"/>
      <c r="E798" s="86"/>
      <c r="F798" s="85"/>
      <c r="G798" s="85"/>
      <c r="H798" s="85"/>
      <c r="I798" s="85"/>
      <c r="J798" s="85"/>
      <c r="BD798" s="11"/>
      <c r="BE798" s="11"/>
      <c r="BF798" s="11"/>
      <c r="BG798" s="11"/>
      <c r="BK798" s="11"/>
      <c r="BL798" s="11"/>
      <c r="BP798" s="12"/>
      <c r="BQ798" s="400"/>
    </row>
    <row r="799" spans="4:69">
      <c r="D799" s="11"/>
      <c r="E799" s="86"/>
      <c r="F799" s="85"/>
      <c r="G799" s="85"/>
      <c r="H799" s="85"/>
      <c r="I799" s="85"/>
      <c r="J799" s="85"/>
      <c r="BD799" s="11"/>
      <c r="BE799" s="11"/>
      <c r="BF799" s="11"/>
      <c r="BG799" s="11"/>
      <c r="BK799" s="11"/>
      <c r="BL799" s="11"/>
      <c r="BP799" s="12"/>
      <c r="BQ799" s="400"/>
    </row>
    <row r="800" spans="4:69">
      <c r="D800" s="11"/>
      <c r="E800" s="86"/>
      <c r="F800" s="85"/>
      <c r="G800" s="85"/>
      <c r="H800" s="85"/>
      <c r="I800" s="85"/>
      <c r="J800" s="85"/>
      <c r="BD800" s="11"/>
      <c r="BE800" s="11"/>
      <c r="BF800" s="11"/>
      <c r="BG800" s="11"/>
      <c r="BK800" s="11"/>
      <c r="BL800" s="11"/>
      <c r="BP800" s="12"/>
      <c r="BQ800" s="400"/>
    </row>
    <row r="801" spans="4:69">
      <c r="D801" s="11"/>
      <c r="E801" s="86"/>
      <c r="F801" s="85"/>
      <c r="G801" s="85"/>
      <c r="H801" s="85"/>
      <c r="I801" s="85"/>
      <c r="J801" s="85"/>
      <c r="BD801" s="11"/>
      <c r="BE801" s="11"/>
      <c r="BF801" s="11"/>
      <c r="BG801" s="11"/>
      <c r="BK801" s="11"/>
      <c r="BL801" s="11"/>
      <c r="BP801" s="12"/>
      <c r="BQ801" s="400"/>
    </row>
    <row r="802" spans="4:69">
      <c r="D802" s="11"/>
      <c r="E802" s="86"/>
      <c r="F802" s="85"/>
      <c r="G802" s="85"/>
      <c r="H802" s="85"/>
      <c r="I802" s="85"/>
      <c r="J802" s="85"/>
      <c r="BD802" s="11"/>
      <c r="BE802" s="11"/>
      <c r="BF802" s="11"/>
      <c r="BG802" s="11"/>
      <c r="BK802" s="11"/>
      <c r="BL802" s="11"/>
      <c r="BP802" s="12"/>
      <c r="BQ802" s="400"/>
    </row>
    <row r="803" spans="4:69">
      <c r="D803" s="11"/>
      <c r="E803" s="86"/>
      <c r="F803" s="85"/>
      <c r="G803" s="85"/>
      <c r="H803" s="85"/>
      <c r="I803" s="85"/>
      <c r="J803" s="85"/>
      <c r="BD803" s="11"/>
      <c r="BE803" s="11"/>
      <c r="BF803" s="11"/>
      <c r="BG803" s="11"/>
      <c r="BK803" s="11"/>
      <c r="BL803" s="11"/>
      <c r="BP803" s="12"/>
      <c r="BQ803" s="400"/>
    </row>
    <row r="804" spans="4:69">
      <c r="D804" s="11"/>
      <c r="E804" s="86"/>
      <c r="F804" s="85"/>
      <c r="G804" s="85"/>
      <c r="H804" s="85"/>
      <c r="I804" s="85"/>
      <c r="J804" s="85"/>
      <c r="BD804" s="11"/>
      <c r="BE804" s="11"/>
      <c r="BF804" s="11"/>
      <c r="BG804" s="11"/>
      <c r="BK804" s="11"/>
      <c r="BL804" s="11"/>
      <c r="BP804" s="12"/>
      <c r="BQ804" s="400"/>
    </row>
    <row r="805" spans="4:69">
      <c r="D805" s="11"/>
      <c r="E805" s="86"/>
      <c r="F805" s="85"/>
      <c r="G805" s="85"/>
      <c r="H805" s="85"/>
      <c r="I805" s="85"/>
      <c r="J805" s="85"/>
      <c r="BD805" s="11"/>
      <c r="BE805" s="11"/>
      <c r="BF805" s="11"/>
      <c r="BG805" s="11"/>
      <c r="BK805" s="11"/>
      <c r="BL805" s="11"/>
      <c r="BP805" s="12"/>
      <c r="BQ805" s="400"/>
    </row>
    <row r="806" spans="4:69">
      <c r="D806" s="11"/>
      <c r="E806" s="86"/>
      <c r="F806" s="85"/>
      <c r="G806" s="85"/>
      <c r="H806" s="85"/>
      <c r="I806" s="85"/>
      <c r="J806" s="85"/>
      <c r="BD806" s="11"/>
      <c r="BE806" s="11"/>
      <c r="BF806" s="11"/>
      <c r="BG806" s="11"/>
      <c r="BK806" s="11"/>
      <c r="BL806" s="11"/>
      <c r="BP806" s="12"/>
      <c r="BQ806" s="400"/>
    </row>
    <row r="807" spans="4:69">
      <c r="D807" s="11"/>
      <c r="E807" s="86"/>
      <c r="F807" s="85"/>
      <c r="G807" s="85"/>
      <c r="H807" s="85"/>
      <c r="I807" s="85"/>
      <c r="J807" s="85"/>
      <c r="BD807" s="11"/>
      <c r="BE807" s="11"/>
      <c r="BF807" s="11"/>
      <c r="BG807" s="11"/>
      <c r="BK807" s="11"/>
      <c r="BL807" s="11"/>
      <c r="BP807" s="12"/>
      <c r="BQ807" s="400"/>
    </row>
    <row r="808" spans="4:69">
      <c r="D808" s="11"/>
      <c r="E808" s="86"/>
      <c r="F808" s="85"/>
      <c r="G808" s="85"/>
      <c r="H808" s="85"/>
      <c r="I808" s="85"/>
      <c r="J808" s="85"/>
      <c r="BD808" s="11"/>
      <c r="BE808" s="11"/>
      <c r="BF808" s="11"/>
      <c r="BG808" s="11"/>
      <c r="BK808" s="11"/>
      <c r="BL808" s="11"/>
      <c r="BP808" s="12"/>
      <c r="BQ808" s="400"/>
    </row>
    <row r="809" spans="4:69">
      <c r="D809" s="11"/>
      <c r="E809" s="86"/>
      <c r="F809" s="85"/>
      <c r="G809" s="85"/>
      <c r="H809" s="85"/>
      <c r="I809" s="85"/>
      <c r="J809" s="85"/>
      <c r="BD809" s="11"/>
      <c r="BE809" s="11"/>
      <c r="BF809" s="11"/>
      <c r="BG809" s="11"/>
      <c r="BK809" s="11"/>
      <c r="BL809" s="11"/>
      <c r="BP809" s="12"/>
      <c r="BQ809" s="400"/>
    </row>
    <row r="810" spans="4:69">
      <c r="D810" s="11"/>
      <c r="E810" s="86"/>
      <c r="F810" s="85"/>
      <c r="G810" s="85"/>
      <c r="H810" s="85"/>
      <c r="I810" s="85"/>
      <c r="J810" s="85"/>
      <c r="BD810" s="11"/>
      <c r="BE810" s="11"/>
      <c r="BF810" s="11"/>
      <c r="BG810" s="11"/>
      <c r="BK810" s="11"/>
      <c r="BL810" s="11"/>
      <c r="BP810" s="12"/>
      <c r="BQ810" s="400"/>
    </row>
    <row r="811" spans="4:69">
      <c r="D811" s="11"/>
      <c r="E811" s="86"/>
      <c r="F811" s="85"/>
      <c r="G811" s="85"/>
      <c r="H811" s="85"/>
      <c r="I811" s="85"/>
      <c r="J811" s="85"/>
      <c r="BD811" s="11"/>
      <c r="BE811" s="11"/>
      <c r="BF811" s="11"/>
      <c r="BG811" s="11"/>
      <c r="BK811" s="11"/>
      <c r="BL811" s="11"/>
      <c r="BP811" s="12"/>
      <c r="BQ811" s="400"/>
    </row>
    <row r="812" spans="4:69">
      <c r="D812" s="11"/>
      <c r="E812" s="86"/>
      <c r="F812" s="85"/>
      <c r="G812" s="85"/>
      <c r="H812" s="85"/>
      <c r="I812" s="85"/>
      <c r="J812" s="85"/>
      <c r="BD812" s="11"/>
      <c r="BE812" s="11"/>
      <c r="BF812" s="11"/>
      <c r="BG812" s="11"/>
      <c r="BK812" s="11"/>
      <c r="BL812" s="11"/>
      <c r="BP812" s="12"/>
      <c r="BQ812" s="400"/>
    </row>
    <row r="813" spans="4:69">
      <c r="D813" s="11"/>
      <c r="E813" s="86"/>
      <c r="F813" s="85"/>
      <c r="G813" s="85"/>
      <c r="H813" s="85"/>
      <c r="I813" s="85"/>
      <c r="J813" s="85"/>
      <c r="BD813" s="11"/>
      <c r="BE813" s="11"/>
      <c r="BF813" s="11"/>
      <c r="BG813" s="11"/>
      <c r="BK813" s="11"/>
      <c r="BL813" s="11"/>
      <c r="BP813" s="12"/>
      <c r="BQ813" s="400"/>
    </row>
    <row r="814" spans="4:69">
      <c r="D814" s="11"/>
      <c r="E814" s="86"/>
      <c r="F814" s="85"/>
      <c r="G814" s="85"/>
      <c r="H814" s="85"/>
      <c r="I814" s="85"/>
      <c r="J814" s="85"/>
      <c r="BD814" s="11"/>
      <c r="BE814" s="11"/>
      <c r="BF814" s="11"/>
      <c r="BG814" s="11"/>
      <c r="BK814" s="11"/>
      <c r="BL814" s="11"/>
      <c r="BP814" s="12"/>
      <c r="BQ814" s="400"/>
    </row>
    <row r="815" spans="4:69">
      <c r="D815" s="11"/>
      <c r="E815" s="86"/>
      <c r="F815" s="85"/>
      <c r="G815" s="85"/>
      <c r="H815" s="85"/>
      <c r="I815" s="85"/>
      <c r="J815" s="85"/>
      <c r="BD815" s="11"/>
      <c r="BE815" s="11"/>
      <c r="BF815" s="11"/>
      <c r="BG815" s="11"/>
      <c r="BK815" s="11"/>
      <c r="BL815" s="11"/>
      <c r="BP815" s="12"/>
      <c r="BQ815" s="400"/>
    </row>
    <row r="816" spans="4:69">
      <c r="D816" s="11"/>
      <c r="E816" s="86"/>
      <c r="F816" s="85"/>
      <c r="G816" s="85"/>
      <c r="H816" s="85"/>
      <c r="I816" s="85"/>
      <c r="J816" s="85"/>
      <c r="BD816" s="11"/>
      <c r="BE816" s="11"/>
      <c r="BF816" s="11"/>
      <c r="BG816" s="11"/>
      <c r="BK816" s="11"/>
      <c r="BL816" s="11"/>
      <c r="BP816" s="12"/>
      <c r="BQ816" s="400"/>
    </row>
    <row r="817" spans="4:69">
      <c r="D817" s="11"/>
      <c r="E817" s="86"/>
      <c r="F817" s="85"/>
      <c r="G817" s="85"/>
      <c r="H817" s="85"/>
      <c r="I817" s="85"/>
      <c r="J817" s="85"/>
      <c r="BD817" s="11"/>
      <c r="BE817" s="11"/>
      <c r="BF817" s="11"/>
      <c r="BG817" s="11"/>
      <c r="BK817" s="11"/>
      <c r="BL817" s="11"/>
      <c r="BP817" s="12"/>
      <c r="BQ817" s="400"/>
    </row>
    <row r="818" spans="4:69">
      <c r="D818" s="11"/>
      <c r="E818" s="86"/>
      <c r="F818" s="85"/>
      <c r="G818" s="85"/>
      <c r="H818" s="85"/>
      <c r="I818" s="85"/>
      <c r="J818" s="85"/>
      <c r="BD818" s="11"/>
      <c r="BE818" s="11"/>
      <c r="BF818" s="11"/>
      <c r="BG818" s="11"/>
      <c r="BK818" s="11"/>
      <c r="BL818" s="11"/>
      <c r="BP818" s="12"/>
      <c r="BQ818" s="400"/>
    </row>
    <row r="819" spans="4:69">
      <c r="D819" s="11"/>
      <c r="E819" s="86"/>
      <c r="F819" s="85"/>
      <c r="G819" s="85"/>
      <c r="H819" s="85"/>
      <c r="I819" s="85"/>
      <c r="J819" s="85"/>
      <c r="BD819" s="11"/>
      <c r="BE819" s="11"/>
      <c r="BF819" s="11"/>
      <c r="BG819" s="11"/>
      <c r="BK819" s="11"/>
      <c r="BL819" s="11"/>
      <c r="BP819" s="12"/>
      <c r="BQ819" s="400"/>
    </row>
    <row r="820" spans="4:69">
      <c r="D820" s="11"/>
      <c r="E820" s="86"/>
      <c r="F820" s="85"/>
      <c r="G820" s="85"/>
      <c r="H820" s="85"/>
      <c r="I820" s="85"/>
      <c r="J820" s="85"/>
      <c r="BD820" s="11"/>
      <c r="BE820" s="11"/>
      <c r="BF820" s="11"/>
      <c r="BG820" s="11"/>
      <c r="BK820" s="11"/>
      <c r="BL820" s="11"/>
      <c r="BP820" s="12"/>
      <c r="BQ820" s="400"/>
    </row>
    <row r="821" spans="4:69">
      <c r="D821" s="11"/>
      <c r="E821" s="86"/>
      <c r="F821" s="85"/>
      <c r="G821" s="85"/>
      <c r="H821" s="85"/>
      <c r="I821" s="85"/>
      <c r="J821" s="85"/>
      <c r="BD821" s="11"/>
      <c r="BE821" s="11"/>
      <c r="BF821" s="11"/>
      <c r="BG821" s="11"/>
      <c r="BK821" s="11"/>
      <c r="BL821" s="11"/>
      <c r="BP821" s="12"/>
      <c r="BQ821" s="400"/>
    </row>
    <row r="822" spans="4:69">
      <c r="D822" s="11"/>
      <c r="E822" s="86"/>
      <c r="F822" s="85"/>
      <c r="G822" s="85"/>
      <c r="H822" s="85"/>
      <c r="I822" s="85"/>
      <c r="J822" s="85"/>
      <c r="BD822" s="11"/>
      <c r="BE822" s="11"/>
      <c r="BF822" s="11"/>
      <c r="BG822" s="11"/>
      <c r="BK822" s="11"/>
      <c r="BL822" s="11"/>
      <c r="BP822" s="12"/>
      <c r="BQ822" s="400"/>
    </row>
    <row r="823" spans="4:69">
      <c r="D823" s="11"/>
      <c r="E823" s="86"/>
      <c r="F823" s="85"/>
      <c r="G823" s="85"/>
      <c r="H823" s="85"/>
      <c r="I823" s="85"/>
      <c r="J823" s="85"/>
      <c r="BD823" s="11"/>
      <c r="BE823" s="11"/>
      <c r="BF823" s="11"/>
      <c r="BG823" s="11"/>
      <c r="BK823" s="11"/>
      <c r="BL823" s="11"/>
      <c r="BP823" s="12"/>
      <c r="BQ823" s="400"/>
    </row>
    <row r="824" spans="4:69">
      <c r="D824" s="11"/>
      <c r="E824" s="86"/>
      <c r="F824" s="85"/>
      <c r="G824" s="85"/>
      <c r="H824" s="85"/>
      <c r="I824" s="85"/>
      <c r="J824" s="85"/>
      <c r="BD824" s="11"/>
      <c r="BE824" s="11"/>
      <c r="BF824" s="11"/>
      <c r="BG824" s="11"/>
      <c r="BK824" s="11"/>
      <c r="BL824" s="11"/>
      <c r="BP824" s="12"/>
      <c r="BQ824" s="400"/>
    </row>
    <row r="825" spans="4:69">
      <c r="D825" s="11"/>
      <c r="E825" s="86"/>
      <c r="F825" s="85"/>
      <c r="G825" s="85"/>
      <c r="H825" s="85"/>
      <c r="I825" s="85"/>
      <c r="J825" s="85"/>
      <c r="BD825" s="11"/>
      <c r="BE825" s="11"/>
      <c r="BF825" s="11"/>
      <c r="BG825" s="11"/>
      <c r="BK825" s="11"/>
      <c r="BL825" s="11"/>
      <c r="BP825" s="12"/>
      <c r="BQ825" s="400"/>
    </row>
    <row r="826" spans="4:69">
      <c r="D826" s="11"/>
      <c r="E826" s="86"/>
      <c r="F826" s="85"/>
      <c r="G826" s="85"/>
      <c r="H826" s="85"/>
      <c r="I826" s="85"/>
      <c r="J826" s="85"/>
      <c r="BD826" s="11"/>
      <c r="BE826" s="11"/>
      <c r="BF826" s="11"/>
      <c r="BG826" s="11"/>
      <c r="BK826" s="11"/>
      <c r="BL826" s="11"/>
      <c r="BP826" s="12"/>
      <c r="BQ826" s="400"/>
    </row>
    <row r="827" spans="4:69">
      <c r="D827" s="11"/>
      <c r="E827" s="86"/>
      <c r="F827" s="85"/>
      <c r="G827" s="85"/>
      <c r="H827" s="85"/>
      <c r="I827" s="85"/>
      <c r="J827" s="85"/>
      <c r="BD827" s="11"/>
      <c r="BE827" s="11"/>
      <c r="BF827" s="11"/>
      <c r="BG827" s="11"/>
      <c r="BK827" s="11"/>
      <c r="BL827" s="11"/>
      <c r="BP827" s="12"/>
      <c r="BQ827" s="400"/>
    </row>
    <row r="828" spans="4:69">
      <c r="D828" s="11"/>
      <c r="E828" s="86"/>
      <c r="F828" s="85"/>
      <c r="G828" s="85"/>
      <c r="H828" s="85"/>
      <c r="I828" s="85"/>
      <c r="J828" s="85"/>
      <c r="BD828" s="11"/>
      <c r="BE828" s="11"/>
      <c r="BF828" s="11"/>
      <c r="BG828" s="11"/>
      <c r="BK828" s="11"/>
      <c r="BL828" s="11"/>
      <c r="BP828" s="12"/>
      <c r="BQ828" s="400"/>
    </row>
    <row r="829" spans="4:69">
      <c r="D829" s="11"/>
      <c r="E829" s="86"/>
      <c r="F829" s="85"/>
      <c r="G829" s="85"/>
      <c r="H829" s="85"/>
      <c r="I829" s="85"/>
      <c r="J829" s="85"/>
      <c r="BD829" s="11"/>
      <c r="BE829" s="11"/>
      <c r="BF829" s="11"/>
      <c r="BG829" s="11"/>
      <c r="BK829" s="11"/>
      <c r="BL829" s="11"/>
      <c r="BP829" s="12"/>
      <c r="BQ829" s="400"/>
    </row>
    <row r="830" spans="4:69">
      <c r="D830" s="11"/>
      <c r="E830" s="86"/>
      <c r="F830" s="85"/>
      <c r="G830" s="85"/>
      <c r="H830" s="85"/>
      <c r="I830" s="85"/>
      <c r="J830" s="85"/>
      <c r="BD830" s="11"/>
      <c r="BE830" s="11"/>
      <c r="BF830" s="11"/>
      <c r="BG830" s="11"/>
      <c r="BK830" s="11"/>
      <c r="BL830" s="11"/>
      <c r="BP830" s="12"/>
      <c r="BQ830" s="400"/>
    </row>
    <row r="831" spans="4:69">
      <c r="D831" s="11"/>
      <c r="E831" s="86"/>
      <c r="F831" s="85"/>
      <c r="G831" s="85"/>
      <c r="H831" s="85"/>
      <c r="I831" s="85"/>
      <c r="J831" s="85"/>
      <c r="BD831" s="11"/>
      <c r="BE831" s="11"/>
      <c r="BF831" s="11"/>
      <c r="BG831" s="11"/>
      <c r="BK831" s="11"/>
      <c r="BL831" s="11"/>
      <c r="BP831" s="12"/>
      <c r="BQ831" s="400"/>
    </row>
    <row r="832" spans="4:69">
      <c r="D832" s="11"/>
      <c r="E832" s="86"/>
      <c r="F832" s="85"/>
      <c r="G832" s="85"/>
      <c r="H832" s="85"/>
      <c r="I832" s="85"/>
      <c r="J832" s="85"/>
      <c r="BD832" s="11"/>
      <c r="BE832" s="11"/>
      <c r="BF832" s="11"/>
      <c r="BG832" s="11"/>
      <c r="BK832" s="11"/>
      <c r="BL832" s="11"/>
      <c r="BP832" s="12"/>
      <c r="BQ832" s="400"/>
    </row>
    <row r="833" spans="4:69">
      <c r="D833" s="11"/>
      <c r="E833" s="86"/>
      <c r="F833" s="85"/>
      <c r="G833" s="85"/>
      <c r="H833" s="85"/>
      <c r="I833" s="85"/>
      <c r="J833" s="85"/>
      <c r="BD833" s="11"/>
      <c r="BE833" s="11"/>
      <c r="BF833" s="11"/>
      <c r="BG833" s="11"/>
      <c r="BK833" s="11"/>
      <c r="BL833" s="11"/>
      <c r="BP833" s="12"/>
      <c r="BQ833" s="400"/>
    </row>
    <row r="834" spans="4:69">
      <c r="D834" s="11"/>
      <c r="E834" s="86"/>
      <c r="F834" s="85"/>
      <c r="G834" s="85"/>
      <c r="H834" s="85"/>
      <c r="I834" s="85"/>
      <c r="J834" s="85"/>
      <c r="BD834" s="11"/>
      <c r="BE834" s="11"/>
      <c r="BF834" s="11"/>
      <c r="BG834" s="11"/>
      <c r="BK834" s="11"/>
      <c r="BL834" s="11"/>
      <c r="BP834" s="12"/>
      <c r="BQ834" s="400"/>
    </row>
    <row r="835" spans="4:69">
      <c r="D835" s="11"/>
      <c r="E835" s="86"/>
      <c r="F835" s="85"/>
      <c r="G835" s="85"/>
      <c r="H835" s="85"/>
      <c r="I835" s="85"/>
      <c r="J835" s="85"/>
      <c r="BD835" s="11"/>
      <c r="BE835" s="11"/>
      <c r="BF835" s="11"/>
      <c r="BG835" s="11"/>
      <c r="BK835" s="11"/>
      <c r="BL835" s="11"/>
      <c r="BP835" s="12"/>
      <c r="BQ835" s="400"/>
    </row>
    <row r="836" spans="4:69">
      <c r="D836" s="11"/>
      <c r="E836" s="86"/>
      <c r="F836" s="85"/>
      <c r="G836" s="85"/>
      <c r="H836" s="85"/>
      <c r="I836" s="85"/>
      <c r="J836" s="85"/>
      <c r="BD836" s="11"/>
      <c r="BE836" s="11"/>
      <c r="BF836" s="11"/>
      <c r="BG836" s="11"/>
      <c r="BK836" s="11"/>
      <c r="BL836" s="11"/>
      <c r="BP836" s="12"/>
      <c r="BQ836" s="400"/>
    </row>
    <row r="837" spans="4:69">
      <c r="D837" s="11"/>
      <c r="E837" s="86"/>
      <c r="F837" s="85"/>
      <c r="G837" s="85"/>
      <c r="H837" s="85"/>
      <c r="I837" s="85"/>
      <c r="J837" s="85"/>
      <c r="BD837" s="11"/>
      <c r="BE837" s="11"/>
      <c r="BF837" s="11"/>
      <c r="BG837" s="11"/>
      <c r="BK837" s="11"/>
      <c r="BL837" s="11"/>
      <c r="BP837" s="12"/>
      <c r="BQ837" s="400"/>
    </row>
    <row r="838" spans="4:69">
      <c r="D838" s="11"/>
      <c r="E838" s="86"/>
      <c r="F838" s="85"/>
      <c r="G838" s="85"/>
      <c r="H838" s="85"/>
      <c r="I838" s="85"/>
      <c r="J838" s="85"/>
      <c r="BD838" s="11"/>
      <c r="BE838" s="11"/>
      <c r="BF838" s="11"/>
      <c r="BG838" s="11"/>
      <c r="BK838" s="11"/>
      <c r="BL838" s="11"/>
      <c r="BP838" s="12"/>
      <c r="BQ838" s="400"/>
    </row>
    <row r="839" spans="4:69">
      <c r="D839" s="11"/>
      <c r="E839" s="86"/>
      <c r="F839" s="85"/>
      <c r="G839" s="85"/>
      <c r="H839" s="85"/>
      <c r="I839" s="85"/>
      <c r="J839" s="85"/>
      <c r="BD839" s="11"/>
      <c r="BE839" s="11"/>
      <c r="BF839" s="11"/>
      <c r="BG839" s="11"/>
      <c r="BK839" s="11"/>
      <c r="BL839" s="11"/>
      <c r="BP839" s="12"/>
      <c r="BQ839" s="400"/>
    </row>
    <row r="840" spans="4:69">
      <c r="D840" s="11"/>
      <c r="E840" s="86"/>
      <c r="F840" s="85"/>
      <c r="G840" s="85"/>
      <c r="H840" s="85"/>
      <c r="I840" s="85"/>
      <c r="J840" s="85"/>
      <c r="BD840" s="11"/>
      <c r="BE840" s="11"/>
      <c r="BF840" s="11"/>
      <c r="BG840" s="11"/>
      <c r="BK840" s="11"/>
      <c r="BL840" s="11"/>
      <c r="BP840" s="12"/>
      <c r="BQ840" s="400"/>
    </row>
    <row r="841" spans="4:69">
      <c r="D841" s="11"/>
      <c r="E841" s="86"/>
      <c r="F841" s="85"/>
      <c r="G841" s="85"/>
      <c r="H841" s="85"/>
      <c r="I841" s="85"/>
      <c r="J841" s="85"/>
      <c r="BD841" s="11"/>
      <c r="BE841" s="11"/>
      <c r="BF841" s="11"/>
      <c r="BG841" s="11"/>
      <c r="BK841" s="11"/>
      <c r="BL841" s="11"/>
      <c r="BP841" s="12"/>
      <c r="BQ841" s="400"/>
    </row>
    <row r="842" spans="4:69">
      <c r="D842" s="11"/>
      <c r="E842" s="86"/>
      <c r="F842" s="85"/>
      <c r="G842" s="85"/>
      <c r="H842" s="85"/>
      <c r="I842" s="85"/>
      <c r="J842" s="85"/>
      <c r="BD842" s="11"/>
      <c r="BE842" s="11"/>
      <c r="BF842" s="11"/>
      <c r="BG842" s="11"/>
      <c r="BK842" s="11"/>
      <c r="BL842" s="11"/>
      <c r="BP842" s="12"/>
      <c r="BQ842" s="400"/>
    </row>
    <row r="843" spans="4:69">
      <c r="D843" s="11"/>
      <c r="E843" s="86"/>
      <c r="F843" s="85"/>
      <c r="G843" s="85"/>
      <c r="H843" s="85"/>
      <c r="I843" s="85"/>
      <c r="J843" s="85"/>
      <c r="BD843" s="11"/>
      <c r="BE843" s="11"/>
      <c r="BF843" s="11"/>
      <c r="BG843" s="11"/>
      <c r="BK843" s="11"/>
      <c r="BL843" s="11"/>
      <c r="BP843" s="12"/>
      <c r="BQ843" s="400"/>
    </row>
    <row r="844" spans="4:69">
      <c r="D844" s="11"/>
      <c r="E844" s="86"/>
      <c r="F844" s="85"/>
      <c r="G844" s="85"/>
      <c r="H844" s="85"/>
      <c r="I844" s="85"/>
      <c r="J844" s="85"/>
      <c r="BD844" s="11"/>
      <c r="BE844" s="11"/>
      <c r="BF844" s="11"/>
      <c r="BG844" s="11"/>
      <c r="BK844" s="11"/>
      <c r="BL844" s="11"/>
      <c r="BP844" s="12"/>
      <c r="BQ844" s="400"/>
    </row>
    <row r="845" spans="4:69">
      <c r="D845" s="11"/>
      <c r="E845" s="86"/>
      <c r="F845" s="85"/>
      <c r="G845" s="85"/>
      <c r="H845" s="85"/>
      <c r="I845" s="85"/>
      <c r="J845" s="85"/>
      <c r="BD845" s="11"/>
      <c r="BE845" s="11"/>
      <c r="BF845" s="11"/>
      <c r="BG845" s="11"/>
      <c r="BK845" s="11"/>
      <c r="BL845" s="11"/>
      <c r="BP845" s="12"/>
      <c r="BQ845" s="400"/>
    </row>
    <row r="846" spans="4:69">
      <c r="D846" s="11"/>
      <c r="E846" s="86"/>
      <c r="F846" s="85"/>
      <c r="G846" s="85"/>
      <c r="H846" s="85"/>
      <c r="I846" s="85"/>
      <c r="J846" s="85"/>
      <c r="BD846" s="11"/>
      <c r="BE846" s="11"/>
      <c r="BF846" s="11"/>
      <c r="BG846" s="11"/>
      <c r="BK846" s="11"/>
      <c r="BL846" s="11"/>
      <c r="BP846" s="12"/>
      <c r="BQ846" s="400"/>
    </row>
    <row r="847" spans="4:69">
      <c r="D847" s="11"/>
      <c r="E847" s="86"/>
      <c r="F847" s="85"/>
      <c r="G847" s="85"/>
      <c r="H847" s="85"/>
      <c r="I847" s="85"/>
      <c r="J847" s="85"/>
      <c r="BD847" s="11"/>
      <c r="BE847" s="11"/>
      <c r="BF847" s="11"/>
      <c r="BG847" s="11"/>
      <c r="BK847" s="11"/>
      <c r="BL847" s="11"/>
      <c r="BP847" s="12"/>
      <c r="BQ847" s="400"/>
    </row>
    <row r="848" spans="4:69">
      <c r="D848" s="11"/>
      <c r="E848" s="86"/>
      <c r="F848" s="85"/>
      <c r="G848" s="85"/>
      <c r="H848" s="85"/>
      <c r="I848" s="85"/>
      <c r="J848" s="85"/>
      <c r="BD848" s="11"/>
      <c r="BE848" s="11"/>
      <c r="BF848" s="11"/>
      <c r="BG848" s="11"/>
      <c r="BK848" s="11"/>
      <c r="BL848" s="11"/>
      <c r="BP848" s="12"/>
      <c r="BQ848" s="400"/>
    </row>
    <row r="849" spans="4:69">
      <c r="D849" s="11"/>
      <c r="E849" s="86"/>
      <c r="F849" s="85"/>
      <c r="G849" s="85"/>
      <c r="H849" s="85"/>
      <c r="I849" s="85"/>
      <c r="J849" s="85"/>
      <c r="BD849" s="11"/>
      <c r="BE849" s="11"/>
      <c r="BF849" s="11"/>
      <c r="BG849" s="11"/>
      <c r="BK849" s="11"/>
      <c r="BL849" s="11"/>
      <c r="BP849" s="12"/>
      <c r="BQ849" s="400"/>
    </row>
    <row r="850" spans="4:69">
      <c r="D850" s="11"/>
      <c r="E850" s="86"/>
      <c r="F850" s="85"/>
      <c r="G850" s="85"/>
      <c r="H850" s="85"/>
      <c r="I850" s="85"/>
      <c r="J850" s="85"/>
      <c r="BD850" s="11"/>
      <c r="BE850" s="11"/>
      <c r="BF850" s="11"/>
      <c r="BG850" s="11"/>
      <c r="BK850" s="11"/>
      <c r="BL850" s="11"/>
      <c r="BP850" s="12"/>
      <c r="BQ850" s="400"/>
    </row>
    <row r="851" spans="4:69">
      <c r="D851" s="11"/>
      <c r="E851" s="86"/>
      <c r="F851" s="85"/>
      <c r="G851" s="85"/>
      <c r="H851" s="85"/>
      <c r="I851" s="85"/>
      <c r="J851" s="85"/>
      <c r="BD851" s="11"/>
      <c r="BE851" s="11"/>
      <c r="BF851" s="11"/>
      <c r="BG851" s="11"/>
      <c r="BK851" s="11"/>
      <c r="BL851" s="11"/>
      <c r="BP851" s="12"/>
      <c r="BQ851" s="400"/>
    </row>
    <row r="852" spans="4:69">
      <c r="D852" s="11"/>
      <c r="E852" s="86"/>
      <c r="F852" s="85"/>
      <c r="G852" s="85"/>
      <c r="H852" s="85"/>
      <c r="I852" s="85"/>
      <c r="J852" s="85"/>
      <c r="BD852" s="11"/>
      <c r="BE852" s="11"/>
      <c r="BF852" s="11"/>
      <c r="BG852" s="11"/>
      <c r="BK852" s="11"/>
      <c r="BL852" s="11"/>
      <c r="BP852" s="12"/>
      <c r="BQ852" s="400"/>
    </row>
    <row r="853" spans="4:69">
      <c r="D853" s="11"/>
      <c r="E853" s="86"/>
      <c r="F853" s="85"/>
      <c r="G853" s="85"/>
      <c r="H853" s="85"/>
      <c r="I853" s="85"/>
      <c r="J853" s="85"/>
      <c r="BD853" s="11"/>
      <c r="BE853" s="11"/>
      <c r="BF853" s="11"/>
      <c r="BG853" s="11"/>
      <c r="BK853" s="11"/>
      <c r="BL853" s="11"/>
      <c r="BP853" s="12"/>
      <c r="BQ853" s="400"/>
    </row>
    <row r="854" spans="4:69">
      <c r="D854" s="11"/>
      <c r="E854" s="86"/>
      <c r="F854" s="85"/>
      <c r="G854" s="85"/>
      <c r="H854" s="85"/>
      <c r="I854" s="85"/>
      <c r="J854" s="85"/>
      <c r="BD854" s="11"/>
      <c r="BE854" s="11"/>
      <c r="BF854" s="11"/>
      <c r="BG854" s="11"/>
      <c r="BK854" s="11"/>
      <c r="BL854" s="11"/>
      <c r="BP854" s="12"/>
      <c r="BQ854" s="400"/>
    </row>
    <row r="855" spans="4:69">
      <c r="D855" s="11"/>
      <c r="E855" s="86"/>
      <c r="F855" s="85"/>
      <c r="G855" s="85"/>
      <c r="H855" s="85"/>
      <c r="I855" s="85"/>
      <c r="J855" s="85"/>
      <c r="BD855" s="11"/>
      <c r="BE855" s="11"/>
      <c r="BF855" s="11"/>
      <c r="BG855" s="11"/>
      <c r="BK855" s="11"/>
      <c r="BL855" s="11"/>
      <c r="BP855" s="12"/>
      <c r="BQ855" s="400"/>
    </row>
    <row r="856" spans="4:69">
      <c r="D856" s="11"/>
      <c r="E856" s="86"/>
      <c r="F856" s="85"/>
      <c r="G856" s="85"/>
      <c r="H856" s="85"/>
      <c r="I856" s="85"/>
      <c r="J856" s="85"/>
      <c r="BD856" s="11"/>
      <c r="BE856" s="11"/>
      <c r="BF856" s="11"/>
      <c r="BG856" s="11"/>
      <c r="BK856" s="11"/>
      <c r="BL856" s="11"/>
      <c r="BP856" s="12"/>
      <c r="BQ856" s="400"/>
    </row>
    <row r="857" spans="4:69">
      <c r="D857" s="11"/>
      <c r="E857" s="86"/>
      <c r="F857" s="85"/>
      <c r="G857" s="85"/>
      <c r="H857" s="85"/>
      <c r="I857" s="85"/>
      <c r="J857" s="85"/>
      <c r="BD857" s="11"/>
      <c r="BE857" s="11"/>
      <c r="BF857" s="11"/>
      <c r="BG857" s="11"/>
      <c r="BK857" s="11"/>
      <c r="BL857" s="11"/>
      <c r="BP857" s="12"/>
      <c r="BQ857" s="400"/>
    </row>
    <row r="858" spans="4:69">
      <c r="D858" s="11"/>
      <c r="E858" s="86"/>
      <c r="F858" s="85"/>
      <c r="G858" s="85"/>
      <c r="H858" s="85"/>
      <c r="I858" s="85"/>
      <c r="J858" s="85"/>
      <c r="BD858" s="11"/>
      <c r="BE858" s="11"/>
      <c r="BF858" s="11"/>
      <c r="BG858" s="11"/>
      <c r="BK858" s="11"/>
      <c r="BL858" s="11"/>
      <c r="BP858" s="12"/>
      <c r="BQ858" s="400"/>
    </row>
    <row r="859" spans="4:69">
      <c r="D859" s="11"/>
      <c r="E859" s="86"/>
      <c r="F859" s="85"/>
      <c r="G859" s="85"/>
      <c r="H859" s="85"/>
      <c r="I859" s="85"/>
      <c r="J859" s="85"/>
      <c r="BD859" s="11"/>
      <c r="BE859" s="11"/>
      <c r="BF859" s="11"/>
      <c r="BG859" s="11"/>
      <c r="BK859" s="11"/>
      <c r="BL859" s="11"/>
      <c r="BP859" s="12"/>
      <c r="BQ859" s="400"/>
    </row>
    <row r="860" spans="4:69">
      <c r="D860" s="11"/>
      <c r="E860" s="86"/>
      <c r="F860" s="85"/>
      <c r="G860" s="85"/>
      <c r="H860" s="85"/>
      <c r="I860" s="85"/>
      <c r="J860" s="85"/>
      <c r="BD860" s="11"/>
      <c r="BE860" s="11"/>
      <c r="BF860" s="11"/>
      <c r="BG860" s="11"/>
      <c r="BK860" s="11"/>
      <c r="BL860" s="11"/>
      <c r="BP860" s="12"/>
      <c r="BQ860" s="400"/>
    </row>
    <row r="861" spans="4:69">
      <c r="D861" s="11"/>
      <c r="E861" s="86"/>
      <c r="F861" s="85"/>
      <c r="G861" s="85"/>
      <c r="H861" s="85"/>
      <c r="I861" s="85"/>
      <c r="J861" s="85"/>
      <c r="BD861" s="11"/>
      <c r="BE861" s="11"/>
      <c r="BF861" s="11"/>
      <c r="BG861" s="11"/>
      <c r="BK861" s="11"/>
      <c r="BL861" s="11"/>
      <c r="BP861" s="12"/>
      <c r="BQ861" s="400"/>
    </row>
    <row r="862" spans="4:69">
      <c r="D862" s="11"/>
      <c r="E862" s="86"/>
      <c r="F862" s="85"/>
      <c r="G862" s="85"/>
      <c r="H862" s="85"/>
      <c r="I862" s="85"/>
      <c r="J862" s="85"/>
      <c r="BD862" s="11"/>
      <c r="BE862" s="11"/>
      <c r="BF862" s="11"/>
      <c r="BG862" s="11"/>
      <c r="BK862" s="11"/>
      <c r="BL862" s="11"/>
      <c r="BP862" s="12"/>
      <c r="BQ862" s="400"/>
    </row>
    <row r="863" spans="4:69">
      <c r="D863" s="11"/>
      <c r="E863" s="86"/>
      <c r="F863" s="85"/>
      <c r="G863" s="85"/>
      <c r="H863" s="85"/>
      <c r="I863" s="85"/>
      <c r="J863" s="85"/>
      <c r="BD863" s="11"/>
      <c r="BE863" s="11"/>
      <c r="BF863" s="11"/>
      <c r="BG863" s="11"/>
      <c r="BK863" s="11"/>
      <c r="BL863" s="11"/>
      <c r="BP863" s="12"/>
      <c r="BQ863" s="400"/>
    </row>
    <row r="864" spans="4:69">
      <c r="D864" s="11"/>
      <c r="E864" s="86"/>
      <c r="F864" s="85"/>
      <c r="G864" s="85"/>
      <c r="H864" s="85"/>
      <c r="I864" s="85"/>
      <c r="J864" s="85"/>
      <c r="BD864" s="11"/>
      <c r="BE864" s="11"/>
      <c r="BF864" s="11"/>
      <c r="BG864" s="11"/>
      <c r="BK864" s="11"/>
      <c r="BL864" s="11"/>
      <c r="BP864" s="12"/>
      <c r="BQ864" s="400"/>
    </row>
    <row r="865" spans="4:69">
      <c r="D865" s="11"/>
      <c r="E865" s="86"/>
      <c r="F865" s="85"/>
      <c r="G865" s="85"/>
      <c r="H865" s="85"/>
      <c r="I865" s="85"/>
      <c r="J865" s="85"/>
      <c r="BD865" s="11"/>
      <c r="BE865" s="11"/>
      <c r="BF865" s="11"/>
      <c r="BG865" s="11"/>
      <c r="BK865" s="11"/>
      <c r="BL865" s="11"/>
      <c r="BP865" s="12"/>
      <c r="BQ865" s="400"/>
    </row>
    <row r="866" spans="4:69">
      <c r="D866" s="11"/>
      <c r="E866" s="86"/>
      <c r="F866" s="85"/>
      <c r="G866" s="85"/>
      <c r="H866" s="85"/>
      <c r="I866" s="85"/>
      <c r="J866" s="85"/>
      <c r="BD866" s="11"/>
      <c r="BE866" s="11"/>
      <c r="BF866" s="11"/>
      <c r="BG866" s="11"/>
      <c r="BK866" s="11"/>
      <c r="BL866" s="11"/>
      <c r="BP866" s="12"/>
      <c r="BQ866" s="400"/>
    </row>
    <row r="867" spans="4:69">
      <c r="D867" s="11"/>
      <c r="E867" s="86"/>
      <c r="F867" s="85"/>
      <c r="G867" s="85"/>
      <c r="H867" s="85"/>
      <c r="I867" s="85"/>
      <c r="J867" s="85"/>
      <c r="BD867" s="11"/>
      <c r="BE867" s="11"/>
      <c r="BF867" s="11"/>
      <c r="BG867" s="11"/>
      <c r="BK867" s="11"/>
      <c r="BL867" s="11"/>
      <c r="BP867" s="12"/>
      <c r="BQ867" s="400"/>
    </row>
    <row r="868" spans="4:69">
      <c r="D868" s="11"/>
      <c r="E868" s="86"/>
      <c r="F868" s="85"/>
      <c r="G868" s="85"/>
      <c r="H868" s="85"/>
      <c r="I868" s="85"/>
      <c r="J868" s="85"/>
      <c r="BD868" s="11"/>
      <c r="BE868" s="11"/>
      <c r="BF868" s="11"/>
      <c r="BG868" s="11"/>
      <c r="BK868" s="11"/>
      <c r="BL868" s="11"/>
      <c r="BP868" s="12"/>
      <c r="BQ868" s="400"/>
    </row>
    <row r="869" spans="4:69">
      <c r="D869" s="11"/>
      <c r="E869" s="86"/>
      <c r="F869" s="85"/>
      <c r="G869" s="85"/>
      <c r="H869" s="85"/>
      <c r="I869" s="85"/>
      <c r="J869" s="85"/>
      <c r="BD869" s="11"/>
      <c r="BE869" s="11"/>
      <c r="BF869" s="11"/>
      <c r="BG869" s="11"/>
      <c r="BK869" s="11"/>
      <c r="BL869" s="11"/>
      <c r="BP869" s="12"/>
      <c r="BQ869" s="400"/>
    </row>
    <row r="870" spans="4:69">
      <c r="D870" s="11"/>
      <c r="E870" s="86"/>
      <c r="F870" s="85"/>
      <c r="G870" s="85"/>
      <c r="H870" s="85"/>
      <c r="I870" s="85"/>
      <c r="J870" s="85"/>
      <c r="BD870" s="11"/>
      <c r="BE870" s="11"/>
      <c r="BF870" s="11"/>
      <c r="BG870" s="11"/>
      <c r="BK870" s="11"/>
      <c r="BL870" s="11"/>
      <c r="BP870" s="12"/>
      <c r="BQ870" s="400"/>
    </row>
    <row r="871" spans="4:69">
      <c r="D871" s="11"/>
      <c r="E871" s="86"/>
      <c r="F871" s="85"/>
      <c r="G871" s="85"/>
      <c r="H871" s="85"/>
      <c r="I871" s="85"/>
      <c r="J871" s="85"/>
      <c r="BD871" s="11"/>
      <c r="BE871" s="11"/>
      <c r="BF871" s="11"/>
      <c r="BG871" s="11"/>
      <c r="BK871" s="11"/>
      <c r="BL871" s="11"/>
      <c r="BP871" s="12"/>
      <c r="BQ871" s="400"/>
    </row>
    <row r="872" spans="4:69">
      <c r="D872" s="11"/>
      <c r="E872" s="86"/>
      <c r="F872" s="85"/>
      <c r="G872" s="85"/>
      <c r="H872" s="85"/>
      <c r="I872" s="85"/>
      <c r="J872" s="85"/>
      <c r="BD872" s="11"/>
      <c r="BE872" s="11"/>
      <c r="BF872" s="11"/>
      <c r="BG872" s="11"/>
      <c r="BK872" s="11"/>
      <c r="BL872" s="11"/>
      <c r="BP872" s="12"/>
      <c r="BQ872" s="400"/>
    </row>
    <row r="873" spans="4:69">
      <c r="D873" s="11"/>
      <c r="E873" s="86"/>
      <c r="F873" s="85"/>
      <c r="G873" s="85"/>
      <c r="H873" s="85"/>
      <c r="I873" s="85"/>
      <c r="J873" s="85"/>
      <c r="BD873" s="11"/>
      <c r="BE873" s="11"/>
      <c r="BF873" s="11"/>
      <c r="BG873" s="11"/>
      <c r="BK873" s="11"/>
      <c r="BL873" s="11"/>
      <c r="BP873" s="12"/>
      <c r="BQ873" s="400"/>
    </row>
    <row r="874" spans="4:69">
      <c r="D874" s="11"/>
      <c r="E874" s="86"/>
      <c r="F874" s="85"/>
      <c r="G874" s="85"/>
      <c r="H874" s="85"/>
      <c r="I874" s="85"/>
      <c r="J874" s="85"/>
      <c r="BD874" s="11"/>
      <c r="BE874" s="11"/>
      <c r="BF874" s="11"/>
      <c r="BG874" s="11"/>
      <c r="BK874" s="11"/>
      <c r="BL874" s="11"/>
      <c r="BP874" s="12"/>
      <c r="BQ874" s="400"/>
    </row>
    <row r="875" spans="4:69">
      <c r="D875" s="11"/>
      <c r="E875" s="86"/>
      <c r="F875" s="85"/>
      <c r="G875" s="85"/>
      <c r="H875" s="85"/>
      <c r="I875" s="85"/>
      <c r="J875" s="85"/>
      <c r="BD875" s="11"/>
      <c r="BE875" s="11"/>
      <c r="BF875" s="11"/>
      <c r="BG875" s="11"/>
      <c r="BK875" s="11"/>
      <c r="BL875" s="11"/>
      <c r="BP875" s="12"/>
      <c r="BQ875" s="400"/>
    </row>
    <row r="876" spans="4:69">
      <c r="D876" s="11"/>
      <c r="E876" s="86"/>
      <c r="F876" s="85"/>
      <c r="G876" s="85"/>
      <c r="H876" s="85"/>
      <c r="I876" s="85"/>
      <c r="J876" s="85"/>
      <c r="BD876" s="11"/>
      <c r="BE876" s="11"/>
      <c r="BF876" s="11"/>
      <c r="BG876" s="11"/>
      <c r="BK876" s="11"/>
      <c r="BL876" s="11"/>
      <c r="BP876" s="12"/>
      <c r="BQ876" s="400"/>
    </row>
    <row r="877" spans="4:69">
      <c r="D877" s="11"/>
      <c r="E877" s="86"/>
      <c r="F877" s="85"/>
      <c r="G877" s="85"/>
      <c r="H877" s="85"/>
      <c r="I877" s="85"/>
      <c r="J877" s="85"/>
      <c r="BD877" s="11"/>
      <c r="BE877" s="11"/>
      <c r="BF877" s="11"/>
      <c r="BG877" s="11"/>
      <c r="BK877" s="11"/>
      <c r="BL877" s="11"/>
      <c r="BP877" s="12"/>
      <c r="BQ877" s="400"/>
    </row>
    <row r="878" spans="4:69">
      <c r="D878" s="11"/>
      <c r="E878" s="86"/>
      <c r="F878" s="85"/>
      <c r="G878" s="85"/>
      <c r="H878" s="85"/>
      <c r="I878" s="85"/>
      <c r="J878" s="85"/>
      <c r="BD878" s="11"/>
      <c r="BE878" s="11"/>
      <c r="BF878" s="11"/>
      <c r="BG878" s="11"/>
      <c r="BK878" s="11"/>
      <c r="BL878" s="11"/>
      <c r="BP878" s="12"/>
      <c r="BQ878" s="400"/>
    </row>
    <row r="879" spans="4:69">
      <c r="D879" s="11"/>
      <c r="E879" s="86"/>
      <c r="F879" s="85"/>
      <c r="G879" s="85"/>
      <c r="H879" s="85"/>
      <c r="I879" s="85"/>
      <c r="J879" s="85"/>
      <c r="BD879" s="11"/>
      <c r="BE879" s="11"/>
      <c r="BF879" s="11"/>
      <c r="BG879" s="11"/>
      <c r="BK879" s="11"/>
      <c r="BL879" s="11"/>
      <c r="BP879" s="12"/>
      <c r="BQ879" s="400"/>
    </row>
    <row r="880" spans="4:69">
      <c r="D880" s="11"/>
      <c r="E880" s="86"/>
      <c r="F880" s="85"/>
      <c r="G880" s="85"/>
      <c r="H880" s="85"/>
      <c r="I880" s="85"/>
      <c r="J880" s="85"/>
      <c r="BD880" s="11"/>
      <c r="BE880" s="11"/>
      <c r="BF880" s="11"/>
      <c r="BG880" s="11"/>
      <c r="BK880" s="11"/>
      <c r="BL880" s="11"/>
      <c r="BP880" s="12"/>
      <c r="BQ880" s="400"/>
    </row>
    <row r="881" spans="4:69">
      <c r="D881" s="11"/>
      <c r="E881" s="86"/>
      <c r="F881" s="85"/>
      <c r="G881" s="85"/>
      <c r="H881" s="85"/>
      <c r="I881" s="85"/>
      <c r="J881" s="85"/>
      <c r="BD881" s="11"/>
      <c r="BE881" s="11"/>
      <c r="BF881" s="11"/>
      <c r="BG881" s="11"/>
      <c r="BK881" s="11"/>
      <c r="BL881" s="11"/>
      <c r="BP881" s="12"/>
      <c r="BQ881" s="400"/>
    </row>
    <row r="882" spans="4:69">
      <c r="D882" s="11"/>
      <c r="E882" s="86"/>
      <c r="F882" s="85"/>
      <c r="G882" s="85"/>
      <c r="H882" s="85"/>
      <c r="I882" s="85"/>
      <c r="J882" s="85"/>
      <c r="BD882" s="11"/>
      <c r="BE882" s="11"/>
      <c r="BF882" s="11"/>
      <c r="BG882" s="11"/>
      <c r="BK882" s="11"/>
      <c r="BL882" s="11"/>
      <c r="BP882" s="12"/>
      <c r="BQ882" s="400"/>
    </row>
    <row r="883" spans="4:69">
      <c r="D883" s="11"/>
      <c r="E883" s="86"/>
      <c r="F883" s="85"/>
      <c r="G883" s="85"/>
      <c r="H883" s="85"/>
      <c r="I883" s="85"/>
      <c r="J883" s="85"/>
      <c r="BD883" s="11"/>
      <c r="BE883" s="11"/>
      <c r="BF883" s="11"/>
      <c r="BG883" s="11"/>
      <c r="BK883" s="11"/>
      <c r="BL883" s="11"/>
      <c r="BP883" s="12"/>
      <c r="BQ883" s="400"/>
    </row>
    <row r="884" spans="4:69">
      <c r="D884" s="11"/>
      <c r="E884" s="86"/>
      <c r="F884" s="85"/>
      <c r="G884" s="85"/>
      <c r="H884" s="85"/>
      <c r="I884" s="85"/>
      <c r="J884" s="85"/>
      <c r="BD884" s="11"/>
      <c r="BE884" s="11"/>
      <c r="BF884" s="11"/>
      <c r="BG884" s="11"/>
      <c r="BK884" s="11"/>
      <c r="BL884" s="11"/>
      <c r="BP884" s="12"/>
      <c r="BQ884" s="400"/>
    </row>
    <row r="885" spans="4:69">
      <c r="D885" s="11"/>
      <c r="E885" s="86"/>
      <c r="F885" s="85"/>
      <c r="G885" s="85"/>
      <c r="H885" s="85"/>
      <c r="I885" s="85"/>
      <c r="J885" s="85"/>
      <c r="BD885" s="11"/>
      <c r="BE885" s="11"/>
      <c r="BF885" s="11"/>
      <c r="BG885" s="11"/>
      <c r="BK885" s="11"/>
      <c r="BL885" s="11"/>
      <c r="BP885" s="12"/>
      <c r="BQ885" s="400"/>
    </row>
    <row r="886" spans="4:69">
      <c r="D886" s="11"/>
      <c r="E886" s="86"/>
      <c r="F886" s="85"/>
      <c r="G886" s="85"/>
      <c r="H886" s="85"/>
      <c r="I886" s="85"/>
      <c r="J886" s="85"/>
      <c r="BD886" s="11"/>
      <c r="BE886" s="11"/>
      <c r="BF886" s="11"/>
      <c r="BG886" s="11"/>
      <c r="BK886" s="11"/>
      <c r="BL886" s="11"/>
      <c r="BP886" s="12"/>
      <c r="BQ886" s="400"/>
    </row>
    <row r="887" spans="4:69">
      <c r="D887" s="11"/>
      <c r="E887" s="86"/>
      <c r="F887" s="85"/>
      <c r="G887" s="85"/>
      <c r="H887" s="85"/>
      <c r="I887" s="85"/>
      <c r="J887" s="85"/>
      <c r="BD887" s="11"/>
      <c r="BE887" s="11"/>
      <c r="BF887" s="11"/>
      <c r="BG887" s="11"/>
      <c r="BK887" s="11"/>
      <c r="BL887" s="11"/>
      <c r="BP887" s="12"/>
      <c r="BQ887" s="400"/>
    </row>
    <row r="888" spans="4:69">
      <c r="D888" s="11"/>
      <c r="E888" s="86"/>
      <c r="F888" s="85"/>
      <c r="G888" s="85"/>
      <c r="H888" s="85"/>
      <c r="I888" s="85"/>
      <c r="J888" s="85"/>
      <c r="BD888" s="11"/>
      <c r="BE888" s="11"/>
      <c r="BF888" s="11"/>
      <c r="BG888" s="11"/>
      <c r="BK888" s="11"/>
      <c r="BL888" s="11"/>
      <c r="BP888" s="12"/>
      <c r="BQ888" s="400"/>
    </row>
    <row r="889" spans="4:69">
      <c r="D889" s="11"/>
      <c r="E889" s="86"/>
      <c r="F889" s="85"/>
      <c r="G889" s="85"/>
      <c r="H889" s="85"/>
      <c r="I889" s="85"/>
      <c r="J889" s="85"/>
      <c r="BD889" s="11"/>
      <c r="BE889" s="11"/>
      <c r="BF889" s="11"/>
      <c r="BG889" s="11"/>
      <c r="BK889" s="11"/>
      <c r="BL889" s="11"/>
      <c r="BP889" s="12"/>
      <c r="BQ889" s="400"/>
    </row>
    <row r="890" spans="4:69">
      <c r="D890" s="11"/>
      <c r="E890" s="86"/>
      <c r="F890" s="85"/>
      <c r="G890" s="85"/>
      <c r="H890" s="85"/>
      <c r="I890" s="85"/>
      <c r="J890" s="85"/>
      <c r="BD890" s="11"/>
      <c r="BE890" s="11"/>
      <c r="BF890" s="11"/>
      <c r="BG890" s="11"/>
      <c r="BK890" s="11"/>
      <c r="BL890" s="11"/>
      <c r="BP890" s="12"/>
      <c r="BQ890" s="400"/>
    </row>
    <row r="891" spans="4:69">
      <c r="D891" s="11"/>
      <c r="E891" s="86"/>
      <c r="F891" s="85"/>
      <c r="G891" s="85"/>
      <c r="H891" s="85"/>
      <c r="I891" s="85"/>
      <c r="J891" s="85"/>
      <c r="BD891" s="11"/>
      <c r="BE891" s="11"/>
      <c r="BF891" s="11"/>
      <c r="BG891" s="11"/>
      <c r="BK891" s="11"/>
      <c r="BL891" s="11"/>
      <c r="BP891" s="12"/>
      <c r="BQ891" s="400"/>
    </row>
    <row r="892" spans="4:69">
      <c r="D892" s="11"/>
      <c r="E892" s="86"/>
      <c r="F892" s="85"/>
      <c r="G892" s="85"/>
      <c r="H892" s="85"/>
      <c r="I892" s="85"/>
      <c r="J892" s="85"/>
      <c r="BD892" s="11"/>
      <c r="BE892" s="11"/>
      <c r="BF892" s="11"/>
      <c r="BG892" s="11"/>
      <c r="BK892" s="11"/>
      <c r="BL892" s="11"/>
      <c r="BP892" s="12"/>
      <c r="BQ892" s="400"/>
    </row>
    <row r="893" spans="4:69">
      <c r="D893" s="11"/>
      <c r="E893" s="86"/>
      <c r="F893" s="85"/>
      <c r="G893" s="85"/>
      <c r="H893" s="85"/>
      <c r="I893" s="85"/>
      <c r="J893" s="85"/>
      <c r="BD893" s="11"/>
      <c r="BE893" s="11"/>
      <c r="BF893" s="11"/>
      <c r="BG893" s="11"/>
      <c r="BK893" s="11"/>
      <c r="BL893" s="11"/>
      <c r="BP893" s="12"/>
      <c r="BQ893" s="400"/>
    </row>
    <row r="894" spans="4:69">
      <c r="D894" s="11"/>
      <c r="E894" s="86"/>
      <c r="F894" s="85"/>
      <c r="G894" s="85"/>
      <c r="H894" s="85"/>
      <c r="I894" s="85"/>
      <c r="J894" s="85"/>
      <c r="BD894" s="11"/>
      <c r="BE894" s="11"/>
      <c r="BF894" s="11"/>
      <c r="BG894" s="11"/>
      <c r="BK894" s="11"/>
      <c r="BL894" s="11"/>
      <c r="BP894" s="12"/>
      <c r="BQ894" s="400"/>
    </row>
    <row r="895" spans="4:69">
      <c r="D895" s="11"/>
      <c r="E895" s="86"/>
      <c r="F895" s="85"/>
      <c r="G895" s="85"/>
      <c r="H895" s="85"/>
      <c r="I895" s="85"/>
      <c r="J895" s="85"/>
      <c r="BD895" s="11"/>
      <c r="BE895" s="11"/>
      <c r="BF895" s="11"/>
      <c r="BG895" s="11"/>
      <c r="BK895" s="11"/>
      <c r="BL895" s="11"/>
      <c r="BP895" s="12"/>
      <c r="BQ895" s="400"/>
    </row>
    <row r="896" spans="4:69">
      <c r="D896" s="11"/>
      <c r="E896" s="86"/>
      <c r="F896" s="85"/>
      <c r="G896" s="85"/>
      <c r="H896" s="85"/>
      <c r="I896" s="85"/>
      <c r="J896" s="85"/>
      <c r="BD896" s="11"/>
      <c r="BE896" s="11"/>
      <c r="BF896" s="11"/>
      <c r="BG896" s="11"/>
      <c r="BK896" s="11"/>
      <c r="BL896" s="11"/>
      <c r="BP896" s="12"/>
      <c r="BQ896" s="400"/>
    </row>
    <row r="897" spans="4:69">
      <c r="D897" s="11"/>
      <c r="E897" s="86"/>
      <c r="F897" s="85"/>
      <c r="G897" s="85"/>
      <c r="H897" s="85"/>
      <c r="I897" s="85"/>
      <c r="J897" s="85"/>
      <c r="BD897" s="11"/>
      <c r="BE897" s="11"/>
      <c r="BF897" s="11"/>
      <c r="BG897" s="11"/>
      <c r="BK897" s="11"/>
      <c r="BL897" s="11"/>
      <c r="BP897" s="12"/>
      <c r="BQ897" s="400"/>
    </row>
    <row r="898" spans="4:69">
      <c r="D898" s="11"/>
      <c r="E898" s="86"/>
      <c r="F898" s="85"/>
      <c r="G898" s="85"/>
      <c r="H898" s="85"/>
      <c r="I898" s="85"/>
      <c r="J898" s="85"/>
      <c r="BD898" s="11"/>
      <c r="BE898" s="11"/>
      <c r="BF898" s="11"/>
      <c r="BG898" s="11"/>
      <c r="BK898" s="11"/>
      <c r="BL898" s="11"/>
      <c r="BP898" s="12"/>
      <c r="BQ898" s="400"/>
    </row>
    <row r="899" spans="4:69">
      <c r="D899" s="11"/>
      <c r="E899" s="86"/>
      <c r="F899" s="85"/>
      <c r="G899" s="85"/>
      <c r="H899" s="85"/>
      <c r="I899" s="85"/>
      <c r="J899" s="85"/>
      <c r="BD899" s="11"/>
      <c r="BE899" s="11"/>
      <c r="BF899" s="11"/>
      <c r="BG899" s="11"/>
      <c r="BK899" s="11"/>
      <c r="BL899" s="11"/>
      <c r="BP899" s="12"/>
      <c r="BQ899" s="400"/>
    </row>
    <row r="900" spans="4:69">
      <c r="D900" s="11"/>
      <c r="E900" s="86"/>
      <c r="F900" s="85"/>
      <c r="G900" s="85"/>
      <c r="H900" s="85"/>
      <c r="I900" s="85"/>
      <c r="J900" s="85"/>
      <c r="BD900" s="11"/>
      <c r="BE900" s="11"/>
      <c r="BF900" s="11"/>
      <c r="BG900" s="11"/>
      <c r="BK900" s="11"/>
      <c r="BL900" s="11"/>
      <c r="BP900" s="12"/>
      <c r="BQ900" s="400"/>
    </row>
    <row r="901" spans="4:69">
      <c r="D901" s="11"/>
      <c r="E901" s="86"/>
      <c r="F901" s="85"/>
      <c r="G901" s="85"/>
      <c r="H901" s="85"/>
      <c r="I901" s="85"/>
      <c r="J901" s="85"/>
      <c r="BD901" s="11"/>
      <c r="BE901" s="11"/>
      <c r="BF901" s="11"/>
      <c r="BG901" s="11"/>
      <c r="BK901" s="11"/>
      <c r="BL901" s="11"/>
      <c r="BP901" s="12"/>
      <c r="BQ901" s="400"/>
    </row>
    <row r="902" spans="4:69">
      <c r="D902" s="11"/>
      <c r="E902" s="86"/>
      <c r="F902" s="85"/>
      <c r="G902" s="85"/>
      <c r="H902" s="85"/>
      <c r="I902" s="85"/>
      <c r="J902" s="85"/>
      <c r="BD902" s="11"/>
      <c r="BE902" s="11"/>
      <c r="BF902" s="11"/>
      <c r="BG902" s="11"/>
      <c r="BK902" s="11"/>
      <c r="BL902" s="11"/>
      <c r="BP902" s="12"/>
      <c r="BQ902" s="400"/>
    </row>
    <row r="903" spans="4:69">
      <c r="D903" s="11"/>
      <c r="E903" s="86"/>
      <c r="F903" s="85"/>
      <c r="G903" s="85"/>
      <c r="H903" s="85"/>
      <c r="I903" s="85"/>
      <c r="J903" s="85"/>
      <c r="BD903" s="11"/>
      <c r="BE903" s="11"/>
      <c r="BF903" s="11"/>
      <c r="BG903" s="11"/>
      <c r="BK903" s="11"/>
      <c r="BL903" s="11"/>
      <c r="BP903" s="12"/>
      <c r="BQ903" s="400"/>
    </row>
    <row r="904" spans="4:69">
      <c r="D904" s="11"/>
      <c r="E904" s="86"/>
      <c r="F904" s="85"/>
      <c r="G904" s="85"/>
      <c r="H904" s="85"/>
      <c r="I904" s="85"/>
      <c r="J904" s="85"/>
      <c r="BD904" s="11"/>
      <c r="BE904" s="11"/>
      <c r="BF904" s="11"/>
      <c r="BG904" s="11"/>
      <c r="BK904" s="11"/>
      <c r="BL904" s="11"/>
      <c r="BP904" s="12"/>
      <c r="BQ904" s="400"/>
    </row>
    <row r="905" spans="4:69">
      <c r="D905" s="11"/>
      <c r="E905" s="86"/>
      <c r="F905" s="85"/>
      <c r="G905" s="85"/>
      <c r="H905" s="85"/>
      <c r="I905" s="85"/>
      <c r="J905" s="85"/>
      <c r="BD905" s="11"/>
      <c r="BE905" s="11"/>
      <c r="BF905" s="11"/>
      <c r="BG905" s="11"/>
      <c r="BK905" s="11"/>
      <c r="BL905" s="11"/>
      <c r="BP905" s="12"/>
      <c r="BQ905" s="400"/>
    </row>
    <row r="906" spans="4:69">
      <c r="D906" s="11"/>
      <c r="E906" s="86"/>
      <c r="F906" s="85"/>
      <c r="G906" s="85"/>
      <c r="H906" s="85"/>
      <c r="I906" s="85"/>
      <c r="J906" s="85"/>
      <c r="BD906" s="11"/>
      <c r="BE906" s="11"/>
      <c r="BF906" s="11"/>
      <c r="BG906" s="11"/>
      <c r="BK906" s="11"/>
      <c r="BL906" s="11"/>
      <c r="BP906" s="12"/>
      <c r="BQ906" s="400"/>
    </row>
    <row r="907" spans="4:69">
      <c r="D907" s="11"/>
      <c r="E907" s="86"/>
      <c r="F907" s="85"/>
      <c r="G907" s="85"/>
      <c r="H907" s="85"/>
      <c r="I907" s="85"/>
      <c r="J907" s="85"/>
      <c r="BD907" s="11"/>
      <c r="BE907" s="11"/>
      <c r="BF907" s="11"/>
      <c r="BG907" s="11"/>
      <c r="BK907" s="11"/>
      <c r="BL907" s="11"/>
      <c r="BP907" s="12"/>
      <c r="BQ907" s="400"/>
    </row>
    <row r="908" spans="4:69">
      <c r="D908" s="11"/>
      <c r="E908" s="86"/>
      <c r="F908" s="85"/>
      <c r="G908" s="85"/>
      <c r="H908" s="85"/>
      <c r="I908" s="85"/>
      <c r="J908" s="85"/>
      <c r="BD908" s="11"/>
      <c r="BE908" s="11"/>
      <c r="BF908" s="11"/>
      <c r="BG908" s="11"/>
      <c r="BK908" s="11"/>
      <c r="BL908" s="11"/>
      <c r="BP908" s="12"/>
      <c r="BQ908" s="400"/>
    </row>
    <row r="909" spans="4:69">
      <c r="D909" s="11"/>
      <c r="E909" s="86"/>
      <c r="F909" s="85"/>
      <c r="G909" s="85"/>
      <c r="H909" s="85"/>
      <c r="I909" s="85"/>
      <c r="J909" s="85"/>
      <c r="BD909" s="11"/>
      <c r="BE909" s="11"/>
      <c r="BF909" s="11"/>
      <c r="BG909" s="11"/>
      <c r="BK909" s="11"/>
      <c r="BL909" s="11"/>
      <c r="BP909" s="12"/>
      <c r="BQ909" s="400"/>
    </row>
    <row r="910" spans="4:69">
      <c r="D910" s="11"/>
      <c r="E910" s="86"/>
      <c r="F910" s="85"/>
      <c r="G910" s="85"/>
      <c r="H910" s="85"/>
      <c r="I910" s="85"/>
      <c r="J910" s="85"/>
      <c r="BD910" s="11"/>
      <c r="BE910" s="11"/>
      <c r="BF910" s="11"/>
      <c r="BG910" s="11"/>
      <c r="BK910" s="11"/>
      <c r="BL910" s="11"/>
      <c r="BP910" s="12"/>
      <c r="BQ910" s="400"/>
    </row>
    <row r="911" spans="4:69">
      <c r="D911" s="11"/>
      <c r="E911" s="86"/>
      <c r="F911" s="85"/>
      <c r="G911" s="85"/>
      <c r="H911" s="85"/>
      <c r="I911" s="85"/>
      <c r="J911" s="85"/>
      <c r="BD911" s="11"/>
      <c r="BE911" s="11"/>
      <c r="BF911" s="11"/>
      <c r="BG911" s="11"/>
      <c r="BK911" s="11"/>
      <c r="BL911" s="11"/>
      <c r="BP911" s="12"/>
      <c r="BQ911" s="400"/>
    </row>
    <row r="912" spans="4:69">
      <c r="D912" s="11"/>
      <c r="E912" s="86"/>
      <c r="F912" s="85"/>
      <c r="G912" s="85"/>
      <c r="H912" s="85"/>
      <c r="I912" s="85"/>
      <c r="J912" s="85"/>
      <c r="BD912" s="11"/>
      <c r="BE912" s="11"/>
      <c r="BF912" s="11"/>
      <c r="BG912" s="11"/>
      <c r="BK912" s="11"/>
      <c r="BL912" s="11"/>
      <c r="BP912" s="12"/>
      <c r="BQ912" s="400"/>
    </row>
    <row r="913" spans="4:69">
      <c r="D913" s="11"/>
      <c r="E913" s="86"/>
      <c r="F913" s="85"/>
      <c r="G913" s="85"/>
      <c r="H913" s="85"/>
      <c r="I913" s="85"/>
      <c r="J913" s="85"/>
      <c r="BD913" s="11"/>
      <c r="BE913" s="11"/>
      <c r="BF913" s="11"/>
      <c r="BG913" s="11"/>
      <c r="BK913" s="11"/>
      <c r="BL913" s="11"/>
      <c r="BP913" s="12"/>
      <c r="BQ913" s="400"/>
    </row>
    <row r="914" spans="4:69">
      <c r="D914" s="11"/>
      <c r="E914" s="86"/>
      <c r="F914" s="85"/>
      <c r="G914" s="85"/>
      <c r="H914" s="85"/>
      <c r="I914" s="85"/>
      <c r="J914" s="85"/>
      <c r="BD914" s="11"/>
      <c r="BE914" s="11"/>
      <c r="BF914" s="11"/>
      <c r="BG914" s="11"/>
      <c r="BK914" s="11"/>
      <c r="BL914" s="11"/>
      <c r="BP914" s="12"/>
      <c r="BQ914" s="400"/>
    </row>
    <row r="915" spans="4:69">
      <c r="D915" s="11"/>
      <c r="E915" s="86"/>
      <c r="F915" s="85"/>
      <c r="G915" s="85"/>
      <c r="H915" s="85"/>
      <c r="I915" s="85"/>
      <c r="J915" s="85"/>
      <c r="BD915" s="11"/>
      <c r="BE915" s="11"/>
      <c r="BF915" s="11"/>
      <c r="BG915" s="11"/>
      <c r="BK915" s="11"/>
      <c r="BL915" s="11"/>
      <c r="BP915" s="12"/>
      <c r="BQ915" s="400"/>
    </row>
    <row r="916" spans="4:69">
      <c r="D916" s="11"/>
      <c r="E916" s="86"/>
      <c r="F916" s="85"/>
      <c r="G916" s="85"/>
      <c r="H916" s="85"/>
      <c r="I916" s="85"/>
      <c r="J916" s="85"/>
      <c r="BD916" s="11"/>
      <c r="BE916" s="11"/>
      <c r="BF916" s="11"/>
      <c r="BG916" s="11"/>
      <c r="BK916" s="11"/>
      <c r="BL916" s="11"/>
      <c r="BP916" s="12"/>
      <c r="BQ916" s="400"/>
    </row>
    <row r="917" spans="4:69">
      <c r="D917" s="11"/>
      <c r="E917" s="86"/>
      <c r="F917" s="85"/>
      <c r="G917" s="85"/>
      <c r="H917" s="85"/>
      <c r="I917" s="85"/>
      <c r="J917" s="85"/>
      <c r="BD917" s="11"/>
      <c r="BE917" s="11"/>
      <c r="BF917" s="11"/>
      <c r="BG917" s="11"/>
      <c r="BK917" s="11"/>
      <c r="BL917" s="11"/>
      <c r="BP917" s="12"/>
      <c r="BQ917" s="400"/>
    </row>
    <row r="918" spans="4:69">
      <c r="D918" s="11"/>
      <c r="E918" s="86"/>
      <c r="F918" s="85"/>
      <c r="G918" s="85"/>
      <c r="H918" s="85"/>
      <c r="I918" s="85"/>
      <c r="J918" s="85"/>
      <c r="BD918" s="11"/>
      <c r="BE918" s="11"/>
      <c r="BF918" s="11"/>
      <c r="BG918" s="11"/>
      <c r="BK918" s="11"/>
      <c r="BL918" s="11"/>
      <c r="BP918" s="12"/>
      <c r="BQ918" s="400"/>
    </row>
    <row r="919" spans="4:69">
      <c r="D919" s="11"/>
      <c r="E919" s="86"/>
      <c r="F919" s="85"/>
      <c r="G919" s="85"/>
      <c r="H919" s="85"/>
      <c r="I919" s="85"/>
      <c r="J919" s="85"/>
      <c r="BD919" s="11"/>
      <c r="BE919" s="11"/>
      <c r="BF919" s="11"/>
      <c r="BG919" s="11"/>
      <c r="BK919" s="11"/>
      <c r="BL919" s="11"/>
      <c r="BP919" s="12"/>
      <c r="BQ919" s="400"/>
    </row>
    <row r="920" spans="4:69">
      <c r="D920" s="11"/>
      <c r="E920" s="86"/>
      <c r="F920" s="85"/>
      <c r="G920" s="85"/>
      <c r="H920" s="85"/>
      <c r="I920" s="85"/>
      <c r="J920" s="85"/>
      <c r="BD920" s="11"/>
      <c r="BE920" s="11"/>
      <c r="BF920" s="11"/>
      <c r="BG920" s="11"/>
      <c r="BK920" s="11"/>
      <c r="BL920" s="11"/>
      <c r="BP920" s="12"/>
      <c r="BQ920" s="400"/>
    </row>
    <row r="921" spans="4:69">
      <c r="D921" s="11"/>
      <c r="E921" s="86"/>
      <c r="F921" s="85"/>
      <c r="G921" s="85"/>
      <c r="H921" s="85"/>
      <c r="I921" s="85"/>
      <c r="J921" s="85"/>
      <c r="BD921" s="11"/>
      <c r="BE921" s="11"/>
      <c r="BF921" s="11"/>
      <c r="BG921" s="11"/>
      <c r="BK921" s="11"/>
      <c r="BL921" s="11"/>
      <c r="BP921" s="12"/>
      <c r="BQ921" s="400"/>
    </row>
    <row r="922" spans="4:69">
      <c r="D922" s="11"/>
      <c r="E922" s="86"/>
      <c r="F922" s="85"/>
      <c r="G922" s="85"/>
      <c r="H922" s="85"/>
      <c r="I922" s="85"/>
      <c r="J922" s="85"/>
      <c r="BD922" s="11"/>
      <c r="BE922" s="11"/>
      <c r="BF922" s="11"/>
      <c r="BG922" s="11"/>
      <c r="BK922" s="11"/>
      <c r="BL922" s="11"/>
      <c r="BP922" s="12"/>
      <c r="BQ922" s="400"/>
    </row>
    <row r="923" spans="4:69">
      <c r="D923" s="11"/>
      <c r="E923" s="86"/>
      <c r="F923" s="85"/>
      <c r="G923" s="85"/>
      <c r="H923" s="85"/>
      <c r="I923" s="85"/>
      <c r="J923" s="85"/>
      <c r="BD923" s="11"/>
      <c r="BE923" s="11"/>
      <c r="BF923" s="11"/>
      <c r="BG923" s="11"/>
      <c r="BK923" s="11"/>
      <c r="BL923" s="11"/>
      <c r="BP923" s="12"/>
      <c r="BQ923" s="400"/>
    </row>
    <row r="924" spans="4:69">
      <c r="D924" s="11"/>
      <c r="E924" s="86"/>
      <c r="F924" s="85"/>
      <c r="G924" s="85"/>
      <c r="H924" s="85"/>
      <c r="I924" s="85"/>
      <c r="J924" s="85"/>
      <c r="BD924" s="11"/>
      <c r="BE924" s="11"/>
      <c r="BF924" s="11"/>
      <c r="BG924" s="11"/>
      <c r="BK924" s="11"/>
      <c r="BL924" s="11"/>
      <c r="BP924" s="12"/>
      <c r="BQ924" s="400"/>
    </row>
    <row r="925" spans="4:69">
      <c r="D925" s="11"/>
      <c r="E925" s="86"/>
      <c r="F925" s="85"/>
      <c r="G925" s="85"/>
      <c r="H925" s="85"/>
      <c r="I925" s="85"/>
      <c r="J925" s="85"/>
      <c r="BD925" s="11"/>
      <c r="BE925" s="11"/>
      <c r="BF925" s="11"/>
      <c r="BG925" s="11"/>
      <c r="BK925" s="11"/>
      <c r="BL925" s="11"/>
      <c r="BP925" s="12"/>
      <c r="BQ925" s="400"/>
    </row>
    <row r="926" spans="4:69">
      <c r="D926" s="11"/>
      <c r="E926" s="86"/>
      <c r="F926" s="85"/>
      <c r="G926" s="85"/>
      <c r="H926" s="85"/>
      <c r="I926" s="85"/>
      <c r="J926" s="85"/>
      <c r="BD926" s="11"/>
      <c r="BE926" s="11"/>
      <c r="BF926" s="11"/>
      <c r="BG926" s="11"/>
      <c r="BK926" s="11"/>
      <c r="BL926" s="11"/>
      <c r="BP926" s="12"/>
      <c r="BQ926" s="400"/>
    </row>
    <row r="927" spans="4:69">
      <c r="D927" s="11"/>
      <c r="E927" s="86"/>
      <c r="F927" s="85"/>
      <c r="G927" s="85"/>
      <c r="H927" s="85"/>
      <c r="I927" s="85"/>
      <c r="J927" s="85"/>
      <c r="BD927" s="11"/>
      <c r="BE927" s="11"/>
      <c r="BF927" s="11"/>
      <c r="BG927" s="11"/>
      <c r="BK927" s="11"/>
      <c r="BL927" s="11"/>
      <c r="BP927" s="12"/>
      <c r="BQ927" s="400"/>
    </row>
    <row r="928" spans="4:69">
      <c r="D928" s="11"/>
      <c r="E928" s="86"/>
      <c r="F928" s="85"/>
      <c r="G928" s="85"/>
      <c r="H928" s="85"/>
      <c r="I928" s="85"/>
      <c r="J928" s="85"/>
      <c r="BD928" s="11"/>
      <c r="BE928" s="11"/>
      <c r="BF928" s="11"/>
      <c r="BG928" s="11"/>
      <c r="BK928" s="11"/>
      <c r="BL928" s="11"/>
      <c r="BP928" s="12"/>
      <c r="BQ928" s="400"/>
    </row>
    <row r="929" spans="4:69">
      <c r="D929" s="11"/>
      <c r="E929" s="86"/>
      <c r="F929" s="85"/>
      <c r="G929" s="85"/>
      <c r="H929" s="85"/>
      <c r="I929" s="85"/>
      <c r="J929" s="85"/>
      <c r="BD929" s="11"/>
      <c r="BE929" s="11"/>
      <c r="BF929" s="11"/>
      <c r="BG929" s="11"/>
      <c r="BK929" s="11"/>
      <c r="BL929" s="11"/>
      <c r="BP929" s="12"/>
      <c r="BQ929" s="400"/>
    </row>
    <row r="930" spans="4:69">
      <c r="D930" s="11"/>
      <c r="E930" s="86"/>
      <c r="F930" s="85"/>
      <c r="G930" s="85"/>
      <c r="H930" s="85"/>
      <c r="I930" s="85"/>
      <c r="J930" s="85"/>
      <c r="BD930" s="11"/>
      <c r="BE930" s="11"/>
      <c r="BF930" s="11"/>
      <c r="BG930" s="11"/>
      <c r="BK930" s="11"/>
      <c r="BL930" s="11"/>
      <c r="BP930" s="12"/>
      <c r="BQ930" s="400"/>
    </row>
    <row r="931" spans="4:69">
      <c r="D931" s="11"/>
      <c r="E931" s="86"/>
      <c r="F931" s="85"/>
      <c r="G931" s="85"/>
      <c r="H931" s="85"/>
      <c r="I931" s="85"/>
      <c r="J931" s="85"/>
      <c r="BD931" s="11"/>
      <c r="BE931" s="11"/>
      <c r="BF931" s="11"/>
      <c r="BG931" s="11"/>
      <c r="BK931" s="11"/>
      <c r="BL931" s="11"/>
      <c r="BP931" s="12"/>
      <c r="BQ931" s="400"/>
    </row>
    <row r="932" spans="4:69">
      <c r="D932" s="11"/>
      <c r="E932" s="86"/>
      <c r="F932" s="85"/>
      <c r="G932" s="85"/>
      <c r="H932" s="85"/>
      <c r="I932" s="85"/>
      <c r="J932" s="85"/>
      <c r="BD932" s="11"/>
      <c r="BE932" s="11"/>
      <c r="BF932" s="11"/>
      <c r="BG932" s="11"/>
      <c r="BK932" s="11"/>
      <c r="BL932" s="11"/>
      <c r="BP932" s="12"/>
      <c r="BQ932" s="400"/>
    </row>
    <row r="933" spans="4:69">
      <c r="D933" s="11"/>
      <c r="E933" s="86"/>
      <c r="F933" s="85"/>
      <c r="G933" s="85"/>
      <c r="H933" s="85"/>
      <c r="I933" s="85"/>
      <c r="J933" s="85"/>
      <c r="BD933" s="11"/>
      <c r="BE933" s="11"/>
      <c r="BF933" s="11"/>
      <c r="BG933" s="11"/>
      <c r="BK933" s="11"/>
      <c r="BL933" s="11"/>
      <c r="BP933" s="12"/>
      <c r="BQ933" s="400"/>
    </row>
    <row r="934" spans="4:69">
      <c r="D934" s="11"/>
      <c r="E934" s="86"/>
      <c r="F934" s="85"/>
      <c r="G934" s="85"/>
      <c r="H934" s="85"/>
      <c r="I934" s="85"/>
      <c r="J934" s="85"/>
      <c r="BD934" s="11"/>
      <c r="BE934" s="11"/>
      <c r="BF934" s="11"/>
      <c r="BG934" s="11"/>
      <c r="BK934" s="11"/>
      <c r="BL934" s="11"/>
      <c r="BP934" s="12"/>
      <c r="BQ934" s="400"/>
    </row>
    <row r="935" spans="4:69">
      <c r="D935" s="11"/>
      <c r="E935" s="86"/>
      <c r="F935" s="85"/>
      <c r="G935" s="85"/>
      <c r="H935" s="85"/>
      <c r="I935" s="85"/>
      <c r="J935" s="85"/>
      <c r="BD935" s="11"/>
      <c r="BE935" s="11"/>
      <c r="BF935" s="11"/>
      <c r="BG935" s="11"/>
      <c r="BK935" s="11"/>
      <c r="BL935" s="11"/>
      <c r="BP935" s="12"/>
      <c r="BQ935" s="400"/>
    </row>
    <row r="936" spans="4:69">
      <c r="D936" s="11"/>
      <c r="E936" s="86"/>
      <c r="F936" s="85"/>
      <c r="G936" s="85"/>
      <c r="H936" s="85"/>
      <c r="I936" s="85"/>
      <c r="J936" s="85"/>
      <c r="BD936" s="11"/>
      <c r="BE936" s="11"/>
      <c r="BF936" s="11"/>
      <c r="BG936" s="11"/>
      <c r="BK936" s="11"/>
      <c r="BL936" s="11"/>
      <c r="BP936" s="12"/>
      <c r="BQ936" s="400"/>
    </row>
    <row r="937" spans="4:69">
      <c r="D937" s="11"/>
      <c r="E937" s="86"/>
      <c r="F937" s="85"/>
      <c r="G937" s="85"/>
      <c r="H937" s="85"/>
      <c r="I937" s="85"/>
      <c r="J937" s="85"/>
      <c r="BD937" s="11"/>
      <c r="BE937" s="11"/>
      <c r="BF937" s="11"/>
      <c r="BG937" s="11"/>
      <c r="BK937" s="11"/>
      <c r="BL937" s="11"/>
      <c r="BP937" s="12"/>
      <c r="BQ937" s="400"/>
    </row>
    <row r="938" spans="4:69">
      <c r="D938" s="11"/>
      <c r="E938" s="86"/>
      <c r="F938" s="85"/>
      <c r="G938" s="85"/>
      <c r="H938" s="85"/>
      <c r="I938" s="85"/>
      <c r="J938" s="85"/>
      <c r="BD938" s="11"/>
      <c r="BE938" s="11"/>
      <c r="BF938" s="11"/>
      <c r="BG938" s="11"/>
      <c r="BK938" s="11"/>
      <c r="BL938" s="11"/>
      <c r="BP938" s="12"/>
      <c r="BQ938" s="400"/>
    </row>
    <row r="939" spans="4:69">
      <c r="D939" s="11"/>
      <c r="E939" s="86"/>
      <c r="F939" s="85"/>
      <c r="G939" s="85"/>
      <c r="H939" s="85"/>
      <c r="I939" s="85"/>
      <c r="J939" s="85"/>
      <c r="BD939" s="11"/>
      <c r="BE939" s="11"/>
      <c r="BF939" s="11"/>
      <c r="BG939" s="11"/>
      <c r="BK939" s="11"/>
      <c r="BL939" s="11"/>
      <c r="BP939" s="12"/>
      <c r="BQ939" s="400"/>
    </row>
    <row r="940" spans="4:69">
      <c r="D940" s="11"/>
      <c r="E940" s="86"/>
      <c r="F940" s="85"/>
      <c r="G940" s="85"/>
      <c r="H940" s="85"/>
      <c r="I940" s="85"/>
      <c r="J940" s="85"/>
      <c r="BD940" s="11"/>
      <c r="BE940" s="11"/>
      <c r="BF940" s="11"/>
      <c r="BG940" s="11"/>
      <c r="BK940" s="11"/>
      <c r="BL940" s="11"/>
      <c r="BP940" s="12"/>
      <c r="BQ940" s="400"/>
    </row>
    <row r="941" spans="4:69">
      <c r="D941" s="11"/>
      <c r="E941" s="86"/>
      <c r="F941" s="85"/>
      <c r="G941" s="85"/>
      <c r="H941" s="85"/>
      <c r="I941" s="85"/>
      <c r="J941" s="85"/>
      <c r="BD941" s="11"/>
      <c r="BE941" s="11"/>
      <c r="BF941" s="11"/>
      <c r="BG941" s="11"/>
      <c r="BK941" s="11"/>
      <c r="BL941" s="11"/>
      <c r="BP941" s="12"/>
      <c r="BQ941" s="400"/>
    </row>
    <row r="942" spans="4:69">
      <c r="D942" s="11"/>
      <c r="E942" s="86"/>
      <c r="F942" s="85"/>
      <c r="G942" s="85"/>
      <c r="H942" s="85"/>
      <c r="I942" s="85"/>
      <c r="J942" s="85"/>
      <c r="BD942" s="11"/>
      <c r="BE942" s="11"/>
      <c r="BF942" s="11"/>
      <c r="BG942" s="11"/>
      <c r="BK942" s="11"/>
      <c r="BL942" s="11"/>
      <c r="BP942" s="12"/>
      <c r="BQ942" s="400"/>
    </row>
    <row r="943" spans="4:69">
      <c r="D943" s="11"/>
      <c r="E943" s="86"/>
      <c r="F943" s="85"/>
      <c r="G943" s="85"/>
      <c r="H943" s="85"/>
      <c r="I943" s="85"/>
      <c r="J943" s="85"/>
      <c r="BD943" s="11"/>
      <c r="BE943" s="11"/>
      <c r="BF943" s="11"/>
      <c r="BG943" s="11"/>
      <c r="BK943" s="11"/>
      <c r="BL943" s="11"/>
      <c r="BP943" s="12"/>
      <c r="BQ943" s="400"/>
    </row>
    <row r="944" spans="4:69">
      <c r="D944" s="11"/>
      <c r="E944" s="86"/>
      <c r="F944" s="85"/>
      <c r="G944" s="85"/>
      <c r="H944" s="85"/>
      <c r="I944" s="85"/>
      <c r="J944" s="85"/>
      <c r="BD944" s="11"/>
      <c r="BE944" s="11"/>
      <c r="BF944" s="11"/>
      <c r="BG944" s="11"/>
      <c r="BK944" s="11"/>
      <c r="BL944" s="11"/>
      <c r="BP944" s="12"/>
      <c r="BQ944" s="400"/>
    </row>
    <row r="945" spans="4:69">
      <c r="D945" s="11"/>
      <c r="E945" s="86"/>
      <c r="F945" s="85"/>
      <c r="G945" s="85"/>
      <c r="H945" s="85"/>
      <c r="I945" s="85"/>
      <c r="J945" s="85"/>
      <c r="BD945" s="11"/>
      <c r="BE945" s="11"/>
      <c r="BF945" s="11"/>
      <c r="BG945" s="11"/>
      <c r="BK945" s="11"/>
      <c r="BL945" s="11"/>
      <c r="BP945" s="12"/>
      <c r="BQ945" s="400"/>
    </row>
    <row r="946" spans="4:69">
      <c r="D946" s="11"/>
      <c r="E946" s="86"/>
      <c r="F946" s="85"/>
      <c r="G946" s="85"/>
      <c r="H946" s="85"/>
      <c r="I946" s="85"/>
      <c r="J946" s="85"/>
      <c r="BD946" s="11"/>
      <c r="BE946" s="11"/>
      <c r="BF946" s="11"/>
      <c r="BG946" s="11"/>
      <c r="BK946" s="11"/>
      <c r="BL946" s="11"/>
      <c r="BP946" s="12"/>
      <c r="BQ946" s="400"/>
    </row>
    <row r="947" spans="4:69">
      <c r="D947" s="11"/>
      <c r="E947" s="86"/>
      <c r="F947" s="85"/>
      <c r="G947" s="85"/>
      <c r="H947" s="85"/>
      <c r="I947" s="85"/>
      <c r="J947" s="85"/>
      <c r="BD947" s="11"/>
      <c r="BE947" s="11"/>
      <c r="BF947" s="11"/>
      <c r="BG947" s="11"/>
      <c r="BK947" s="11"/>
      <c r="BL947" s="11"/>
      <c r="BP947" s="12"/>
      <c r="BQ947" s="400"/>
    </row>
    <row r="948" spans="4:69">
      <c r="D948" s="11"/>
      <c r="E948" s="86"/>
      <c r="F948" s="85"/>
      <c r="G948" s="85"/>
      <c r="H948" s="85"/>
      <c r="I948" s="85"/>
      <c r="J948" s="85"/>
      <c r="BD948" s="11"/>
      <c r="BE948" s="11"/>
      <c r="BF948" s="11"/>
      <c r="BG948" s="11"/>
      <c r="BK948" s="11"/>
      <c r="BL948" s="11"/>
      <c r="BP948" s="12"/>
      <c r="BQ948" s="400"/>
    </row>
    <row r="949" spans="4:69">
      <c r="D949" s="11"/>
      <c r="E949" s="86"/>
      <c r="F949" s="85"/>
      <c r="G949" s="85"/>
      <c r="H949" s="85"/>
      <c r="I949" s="85"/>
      <c r="J949" s="85"/>
      <c r="BD949" s="11"/>
      <c r="BE949" s="11"/>
      <c r="BF949" s="11"/>
      <c r="BG949" s="11"/>
      <c r="BK949" s="11"/>
      <c r="BL949" s="11"/>
      <c r="BP949" s="12"/>
      <c r="BQ949" s="400"/>
    </row>
    <row r="950" spans="4:69">
      <c r="D950" s="11"/>
      <c r="E950" s="86"/>
      <c r="F950" s="85"/>
      <c r="G950" s="85"/>
      <c r="H950" s="85"/>
      <c r="I950" s="85"/>
      <c r="J950" s="85"/>
      <c r="BD950" s="11"/>
      <c r="BE950" s="11"/>
      <c r="BF950" s="11"/>
      <c r="BG950" s="11"/>
      <c r="BK950" s="11"/>
      <c r="BL950" s="11"/>
      <c r="BP950" s="12"/>
      <c r="BQ950" s="400"/>
    </row>
    <row r="951" spans="4:69">
      <c r="D951" s="11"/>
      <c r="E951" s="86"/>
      <c r="F951" s="85"/>
      <c r="G951" s="85"/>
      <c r="H951" s="85"/>
      <c r="I951" s="85"/>
      <c r="J951" s="85"/>
      <c r="BD951" s="11"/>
      <c r="BE951" s="11"/>
      <c r="BF951" s="11"/>
      <c r="BG951" s="11"/>
      <c r="BK951" s="11"/>
      <c r="BL951" s="11"/>
      <c r="BP951" s="12"/>
      <c r="BQ951" s="400"/>
    </row>
    <row r="952" spans="4:69">
      <c r="D952" s="11"/>
      <c r="E952" s="86"/>
      <c r="F952" s="85"/>
      <c r="G952" s="85"/>
      <c r="H952" s="85"/>
      <c r="I952" s="85"/>
      <c r="J952" s="85"/>
      <c r="BD952" s="11"/>
      <c r="BE952" s="11"/>
      <c r="BF952" s="11"/>
      <c r="BG952" s="11"/>
      <c r="BK952" s="11"/>
      <c r="BL952" s="11"/>
      <c r="BP952" s="12"/>
      <c r="BQ952" s="400"/>
    </row>
    <row r="953" spans="4:69">
      <c r="D953" s="11"/>
      <c r="E953" s="86"/>
      <c r="F953" s="85"/>
      <c r="G953" s="85"/>
      <c r="H953" s="85"/>
      <c r="I953" s="85"/>
      <c r="J953" s="85"/>
      <c r="BD953" s="11"/>
      <c r="BE953" s="11"/>
      <c r="BF953" s="11"/>
      <c r="BG953" s="11"/>
      <c r="BK953" s="11"/>
      <c r="BL953" s="11"/>
      <c r="BP953" s="12"/>
      <c r="BQ953" s="400"/>
    </row>
    <row r="954" spans="4:69">
      <c r="D954" s="11"/>
      <c r="E954" s="86"/>
      <c r="F954" s="85"/>
      <c r="G954" s="85"/>
      <c r="H954" s="85"/>
      <c r="I954" s="85"/>
      <c r="J954" s="85"/>
      <c r="BD954" s="11"/>
      <c r="BE954" s="11"/>
      <c r="BF954" s="11"/>
      <c r="BG954" s="11"/>
      <c r="BK954" s="11"/>
      <c r="BL954" s="11"/>
      <c r="BP954" s="12"/>
      <c r="BQ954" s="400"/>
    </row>
    <row r="955" spans="4:69">
      <c r="D955" s="11"/>
      <c r="E955" s="86"/>
      <c r="F955" s="85"/>
      <c r="G955" s="85"/>
      <c r="H955" s="85"/>
      <c r="I955" s="85"/>
      <c r="J955" s="85"/>
      <c r="BD955" s="11"/>
      <c r="BE955" s="11"/>
      <c r="BF955" s="11"/>
      <c r="BG955" s="11"/>
      <c r="BK955" s="11"/>
      <c r="BL955" s="11"/>
      <c r="BP955" s="12"/>
      <c r="BQ955" s="400"/>
    </row>
    <row r="956" spans="4:69">
      <c r="D956" s="11"/>
      <c r="E956" s="86"/>
      <c r="F956" s="85"/>
      <c r="G956" s="85"/>
      <c r="H956" s="85"/>
      <c r="I956" s="85"/>
      <c r="J956" s="85"/>
      <c r="BD956" s="11"/>
      <c r="BE956" s="11"/>
      <c r="BF956" s="11"/>
      <c r="BG956" s="11"/>
      <c r="BK956" s="11"/>
      <c r="BL956" s="11"/>
      <c r="BP956" s="12"/>
      <c r="BQ956" s="400"/>
    </row>
    <row r="957" spans="4:69">
      <c r="D957" s="11"/>
      <c r="E957" s="86"/>
      <c r="F957" s="85"/>
      <c r="G957" s="85"/>
      <c r="H957" s="85"/>
      <c r="I957" s="85"/>
      <c r="J957" s="85"/>
      <c r="BD957" s="11"/>
      <c r="BE957" s="11"/>
      <c r="BF957" s="11"/>
      <c r="BG957" s="11"/>
      <c r="BK957" s="11"/>
      <c r="BL957" s="11"/>
      <c r="BP957" s="12"/>
      <c r="BQ957" s="400"/>
    </row>
    <row r="958" spans="4:69">
      <c r="D958" s="11"/>
      <c r="E958" s="86"/>
      <c r="F958" s="85"/>
      <c r="G958" s="85"/>
      <c r="H958" s="85"/>
      <c r="I958" s="85"/>
      <c r="J958" s="85"/>
      <c r="BD958" s="11"/>
      <c r="BE958" s="11"/>
      <c r="BF958" s="11"/>
      <c r="BG958" s="11"/>
      <c r="BK958" s="11"/>
      <c r="BL958" s="11"/>
      <c r="BP958" s="12"/>
      <c r="BQ958" s="400"/>
    </row>
    <row r="959" spans="4:69">
      <c r="D959" s="11"/>
      <c r="E959" s="86"/>
      <c r="F959" s="85"/>
      <c r="G959" s="85"/>
      <c r="H959" s="85"/>
      <c r="I959" s="85"/>
      <c r="J959" s="85"/>
      <c r="BD959" s="11"/>
      <c r="BE959" s="11"/>
      <c r="BF959" s="11"/>
      <c r="BG959" s="11"/>
      <c r="BK959" s="11"/>
      <c r="BL959" s="11"/>
      <c r="BP959" s="12"/>
      <c r="BQ959" s="400"/>
    </row>
    <row r="960" spans="4:69">
      <c r="D960" s="11"/>
      <c r="E960" s="86"/>
      <c r="F960" s="85"/>
      <c r="G960" s="85"/>
      <c r="H960" s="85"/>
      <c r="I960" s="85"/>
      <c r="J960" s="85"/>
      <c r="BD960" s="11"/>
      <c r="BE960" s="11"/>
      <c r="BF960" s="11"/>
      <c r="BG960" s="11"/>
      <c r="BK960" s="11"/>
      <c r="BL960" s="11"/>
      <c r="BP960" s="12"/>
      <c r="BQ960" s="400"/>
    </row>
    <row r="961" spans="4:69">
      <c r="D961" s="11"/>
      <c r="E961" s="86"/>
      <c r="F961" s="85"/>
      <c r="G961" s="85"/>
      <c r="H961" s="85"/>
      <c r="I961" s="85"/>
      <c r="J961" s="85"/>
      <c r="BD961" s="11"/>
      <c r="BE961" s="11"/>
      <c r="BF961" s="11"/>
      <c r="BG961" s="11"/>
      <c r="BK961" s="11"/>
      <c r="BL961" s="11"/>
      <c r="BP961" s="12"/>
      <c r="BQ961" s="400"/>
    </row>
    <row r="962" spans="4:69">
      <c r="D962" s="11"/>
      <c r="E962" s="86"/>
      <c r="F962" s="85"/>
      <c r="G962" s="85"/>
      <c r="H962" s="85"/>
      <c r="I962" s="85"/>
      <c r="J962" s="85"/>
      <c r="BD962" s="11"/>
      <c r="BE962" s="11"/>
      <c r="BF962" s="11"/>
      <c r="BG962" s="11"/>
      <c r="BK962" s="11"/>
      <c r="BL962" s="11"/>
      <c r="BP962" s="12"/>
      <c r="BQ962" s="400"/>
    </row>
    <row r="963" spans="4:69">
      <c r="D963" s="11"/>
      <c r="E963" s="86"/>
      <c r="F963" s="85"/>
      <c r="G963" s="85"/>
      <c r="H963" s="85"/>
      <c r="I963" s="85"/>
      <c r="J963" s="85"/>
      <c r="BD963" s="11"/>
      <c r="BE963" s="11"/>
      <c r="BF963" s="11"/>
      <c r="BG963" s="11"/>
      <c r="BK963" s="11"/>
      <c r="BL963" s="11"/>
      <c r="BP963" s="12"/>
      <c r="BQ963" s="400"/>
    </row>
    <row r="964" spans="4:69">
      <c r="D964" s="11"/>
      <c r="E964" s="86"/>
      <c r="F964" s="85"/>
      <c r="G964" s="85"/>
      <c r="H964" s="85"/>
      <c r="I964" s="85"/>
      <c r="J964" s="85"/>
      <c r="BD964" s="11"/>
      <c r="BE964" s="11"/>
      <c r="BF964" s="11"/>
      <c r="BG964" s="11"/>
      <c r="BK964" s="11"/>
      <c r="BL964" s="11"/>
      <c r="BP964" s="12"/>
      <c r="BQ964" s="400"/>
    </row>
    <row r="965" spans="4:69">
      <c r="D965" s="11"/>
      <c r="E965" s="86"/>
      <c r="F965" s="85"/>
      <c r="G965" s="85"/>
      <c r="H965" s="85"/>
      <c r="I965" s="85"/>
      <c r="J965" s="85"/>
      <c r="BD965" s="11"/>
      <c r="BE965" s="11"/>
      <c r="BF965" s="11"/>
      <c r="BG965" s="11"/>
      <c r="BK965" s="11"/>
      <c r="BL965" s="11"/>
      <c r="BP965" s="12"/>
      <c r="BQ965" s="400"/>
    </row>
    <row r="966" spans="4:69">
      <c r="D966" s="11"/>
      <c r="E966" s="86"/>
      <c r="F966" s="85"/>
      <c r="G966" s="85"/>
      <c r="H966" s="85"/>
      <c r="I966" s="85"/>
      <c r="J966" s="85"/>
      <c r="BD966" s="11"/>
      <c r="BE966" s="11"/>
      <c r="BF966" s="11"/>
      <c r="BG966" s="11"/>
      <c r="BK966" s="11"/>
      <c r="BL966" s="11"/>
      <c r="BP966" s="12"/>
      <c r="BQ966" s="400"/>
    </row>
    <row r="967" spans="4:69">
      <c r="D967" s="11"/>
      <c r="E967" s="86"/>
      <c r="F967" s="85"/>
      <c r="G967" s="85"/>
      <c r="H967" s="85"/>
      <c r="I967" s="85"/>
      <c r="J967" s="85"/>
      <c r="BD967" s="11"/>
      <c r="BE967" s="11"/>
      <c r="BF967" s="11"/>
      <c r="BG967" s="11"/>
      <c r="BK967" s="11"/>
      <c r="BL967" s="11"/>
      <c r="BP967" s="12"/>
      <c r="BQ967" s="400"/>
    </row>
    <row r="968" spans="4:69">
      <c r="D968" s="11"/>
      <c r="E968" s="86"/>
      <c r="F968" s="85"/>
      <c r="G968" s="85"/>
      <c r="H968" s="85"/>
      <c r="I968" s="85"/>
      <c r="J968" s="85"/>
      <c r="BD968" s="11"/>
      <c r="BE968" s="11"/>
      <c r="BF968" s="11"/>
      <c r="BG968" s="11"/>
      <c r="BK968" s="11"/>
      <c r="BL968" s="11"/>
      <c r="BP968" s="12"/>
      <c r="BQ968" s="400"/>
    </row>
    <row r="969" spans="4:69">
      <c r="D969" s="11"/>
      <c r="E969" s="86"/>
      <c r="F969" s="85"/>
      <c r="G969" s="85"/>
      <c r="H969" s="85"/>
      <c r="I969" s="85"/>
      <c r="J969" s="85"/>
      <c r="BD969" s="11"/>
      <c r="BE969" s="11"/>
      <c r="BF969" s="11"/>
      <c r="BG969" s="11"/>
      <c r="BK969" s="11"/>
      <c r="BL969" s="11"/>
      <c r="BP969" s="12"/>
      <c r="BQ969" s="400"/>
    </row>
    <row r="970" spans="4:69">
      <c r="D970" s="11"/>
      <c r="E970" s="86"/>
      <c r="F970" s="85"/>
      <c r="G970" s="85"/>
      <c r="H970" s="85"/>
      <c r="I970" s="85"/>
      <c r="J970" s="85"/>
      <c r="BD970" s="11"/>
      <c r="BE970" s="11"/>
      <c r="BF970" s="11"/>
      <c r="BG970" s="11"/>
      <c r="BK970" s="11"/>
      <c r="BL970" s="11"/>
      <c r="BP970" s="12"/>
      <c r="BQ970" s="400"/>
    </row>
    <row r="971" spans="4:69">
      <c r="D971" s="11"/>
      <c r="E971" s="86"/>
      <c r="F971" s="85"/>
      <c r="G971" s="85"/>
      <c r="H971" s="85"/>
      <c r="I971" s="85"/>
      <c r="J971" s="85"/>
      <c r="BD971" s="11"/>
      <c r="BE971" s="11"/>
      <c r="BF971" s="11"/>
      <c r="BG971" s="11"/>
      <c r="BK971" s="11"/>
      <c r="BL971" s="11"/>
      <c r="BP971" s="12"/>
      <c r="BQ971" s="400"/>
    </row>
    <row r="972" spans="4:69">
      <c r="D972" s="11"/>
      <c r="E972" s="86"/>
      <c r="F972" s="85"/>
      <c r="G972" s="85"/>
      <c r="H972" s="85"/>
      <c r="I972" s="85"/>
      <c r="J972" s="85"/>
      <c r="BD972" s="11"/>
      <c r="BE972" s="11"/>
      <c r="BF972" s="11"/>
      <c r="BG972" s="11"/>
      <c r="BK972" s="11"/>
      <c r="BL972" s="11"/>
      <c r="BP972" s="12"/>
      <c r="BQ972" s="400"/>
    </row>
    <row r="973" spans="4:69">
      <c r="D973" s="11"/>
      <c r="E973" s="86"/>
      <c r="F973" s="85"/>
      <c r="G973" s="85"/>
      <c r="H973" s="85"/>
      <c r="I973" s="85"/>
      <c r="J973" s="85"/>
      <c r="BD973" s="11"/>
      <c r="BE973" s="11"/>
      <c r="BF973" s="11"/>
      <c r="BG973" s="11"/>
      <c r="BK973" s="11"/>
      <c r="BL973" s="11"/>
      <c r="BP973" s="12"/>
      <c r="BQ973" s="400"/>
    </row>
    <row r="974" spans="4:69">
      <c r="D974" s="11"/>
      <c r="E974" s="86"/>
      <c r="F974" s="85"/>
      <c r="G974" s="85"/>
      <c r="H974" s="85"/>
      <c r="I974" s="85"/>
      <c r="J974" s="85"/>
      <c r="BD974" s="11"/>
      <c r="BE974" s="11"/>
      <c r="BF974" s="11"/>
      <c r="BG974" s="11"/>
      <c r="BK974" s="11"/>
      <c r="BL974" s="11"/>
      <c r="BP974" s="12"/>
      <c r="BQ974" s="400"/>
    </row>
    <row r="975" spans="4:69">
      <c r="D975" s="11"/>
      <c r="E975" s="86"/>
      <c r="F975" s="85"/>
      <c r="G975" s="85"/>
      <c r="H975" s="85"/>
      <c r="I975" s="85"/>
      <c r="J975" s="85"/>
      <c r="BD975" s="11"/>
      <c r="BE975" s="11"/>
      <c r="BF975" s="11"/>
      <c r="BG975" s="11"/>
      <c r="BK975" s="11"/>
      <c r="BL975" s="11"/>
      <c r="BP975" s="12"/>
      <c r="BQ975" s="400"/>
    </row>
    <row r="976" spans="4:69">
      <c r="D976" s="11"/>
      <c r="E976" s="86"/>
      <c r="F976" s="85"/>
      <c r="G976" s="85"/>
      <c r="H976" s="85"/>
      <c r="I976" s="85"/>
      <c r="J976" s="85"/>
      <c r="BD976" s="11"/>
      <c r="BE976" s="11"/>
      <c r="BF976" s="11"/>
      <c r="BG976" s="11"/>
      <c r="BK976" s="11"/>
      <c r="BL976" s="11"/>
      <c r="BP976" s="12"/>
      <c r="BQ976" s="400"/>
    </row>
    <row r="977" spans="4:69">
      <c r="D977" s="11"/>
      <c r="E977" s="86"/>
      <c r="F977" s="85"/>
      <c r="G977" s="85"/>
      <c r="H977" s="85"/>
      <c r="I977" s="85"/>
      <c r="J977" s="85"/>
      <c r="BD977" s="11"/>
      <c r="BE977" s="11"/>
      <c r="BF977" s="11"/>
      <c r="BG977" s="11"/>
      <c r="BK977" s="11"/>
      <c r="BL977" s="11"/>
      <c r="BP977" s="12"/>
      <c r="BQ977" s="400"/>
    </row>
    <row r="978" spans="4:69">
      <c r="D978" s="11"/>
      <c r="E978" s="86"/>
      <c r="F978" s="85"/>
      <c r="G978" s="85"/>
      <c r="H978" s="85"/>
      <c r="I978" s="85"/>
      <c r="J978" s="85"/>
      <c r="BD978" s="11"/>
      <c r="BE978" s="11"/>
      <c r="BF978" s="11"/>
      <c r="BG978" s="11"/>
      <c r="BK978" s="11"/>
      <c r="BL978" s="11"/>
      <c r="BP978" s="12"/>
      <c r="BQ978" s="400"/>
    </row>
    <row r="979" spans="4:69">
      <c r="D979" s="11"/>
      <c r="E979" s="86"/>
      <c r="F979" s="85"/>
      <c r="G979" s="85"/>
      <c r="H979" s="85"/>
      <c r="I979" s="85"/>
      <c r="J979" s="85"/>
      <c r="BD979" s="11"/>
      <c r="BE979" s="11"/>
      <c r="BF979" s="11"/>
      <c r="BG979" s="11"/>
      <c r="BK979" s="11"/>
      <c r="BL979" s="11"/>
      <c r="BP979" s="12"/>
      <c r="BQ979" s="400"/>
    </row>
    <row r="980" spans="4:69">
      <c r="D980" s="11"/>
      <c r="E980" s="86"/>
      <c r="F980" s="85"/>
      <c r="G980" s="85"/>
      <c r="H980" s="85"/>
      <c r="I980" s="85"/>
      <c r="J980" s="85"/>
      <c r="BD980" s="11"/>
      <c r="BE980" s="11"/>
      <c r="BF980" s="11"/>
      <c r="BG980" s="11"/>
      <c r="BK980" s="11"/>
      <c r="BL980" s="11"/>
      <c r="BP980" s="12"/>
      <c r="BQ980" s="400"/>
    </row>
    <row r="981" spans="4:69">
      <c r="D981" s="11"/>
      <c r="E981" s="86"/>
      <c r="F981" s="85"/>
      <c r="G981" s="85"/>
      <c r="H981" s="85"/>
      <c r="I981" s="85"/>
      <c r="J981" s="85"/>
      <c r="BD981" s="11"/>
      <c r="BE981" s="11"/>
      <c r="BF981" s="11"/>
      <c r="BG981" s="11"/>
      <c r="BK981" s="11"/>
      <c r="BL981" s="11"/>
      <c r="BP981" s="12"/>
      <c r="BQ981" s="400"/>
    </row>
    <row r="982" spans="4:69">
      <c r="D982" s="11"/>
      <c r="E982" s="86"/>
      <c r="F982" s="85"/>
      <c r="G982" s="85"/>
      <c r="H982" s="85"/>
      <c r="I982" s="85"/>
      <c r="J982" s="85"/>
      <c r="BD982" s="11"/>
      <c r="BE982" s="11"/>
      <c r="BF982" s="11"/>
      <c r="BG982" s="11"/>
      <c r="BK982" s="11"/>
      <c r="BL982" s="11"/>
      <c r="BP982" s="12"/>
      <c r="BQ982" s="400"/>
    </row>
    <row r="983" spans="4:69">
      <c r="D983" s="11"/>
      <c r="E983" s="86"/>
      <c r="F983" s="85"/>
      <c r="G983" s="85"/>
      <c r="H983" s="85"/>
      <c r="I983" s="85"/>
      <c r="J983" s="85"/>
      <c r="BD983" s="11"/>
      <c r="BE983" s="11"/>
      <c r="BF983" s="11"/>
      <c r="BG983" s="11"/>
      <c r="BK983" s="11"/>
      <c r="BL983" s="11"/>
      <c r="BP983" s="12"/>
      <c r="BQ983" s="400"/>
    </row>
    <row r="984" spans="4:69">
      <c r="D984" s="11"/>
      <c r="E984" s="86"/>
      <c r="F984" s="85"/>
      <c r="G984" s="85"/>
      <c r="H984" s="85"/>
      <c r="I984" s="85"/>
      <c r="J984" s="85"/>
      <c r="BD984" s="11"/>
      <c r="BE984" s="11"/>
      <c r="BF984" s="11"/>
      <c r="BG984" s="11"/>
      <c r="BK984" s="11"/>
      <c r="BL984" s="11"/>
      <c r="BP984" s="12"/>
      <c r="BQ984" s="400"/>
    </row>
    <row r="985" spans="4:69">
      <c r="D985" s="11"/>
      <c r="E985" s="86"/>
      <c r="F985" s="85"/>
      <c r="G985" s="85"/>
      <c r="H985" s="85"/>
      <c r="I985" s="85"/>
      <c r="J985" s="85"/>
      <c r="BD985" s="11"/>
      <c r="BE985" s="11"/>
      <c r="BF985" s="11"/>
      <c r="BG985" s="11"/>
      <c r="BK985" s="11"/>
      <c r="BL985" s="11"/>
      <c r="BP985" s="12"/>
      <c r="BQ985" s="400"/>
    </row>
    <row r="986" spans="4:69">
      <c r="D986" s="11"/>
      <c r="E986" s="86"/>
      <c r="F986" s="85"/>
      <c r="G986" s="85"/>
      <c r="H986" s="85"/>
      <c r="I986" s="85"/>
      <c r="J986" s="85"/>
      <c r="BD986" s="11"/>
      <c r="BE986" s="11"/>
      <c r="BF986" s="11"/>
      <c r="BG986" s="11"/>
      <c r="BK986" s="11"/>
      <c r="BL986" s="11"/>
      <c r="BP986" s="12"/>
      <c r="BQ986" s="400"/>
    </row>
    <row r="987" spans="4:69">
      <c r="D987" s="11"/>
      <c r="E987" s="86"/>
      <c r="F987" s="85"/>
      <c r="G987" s="85"/>
      <c r="H987" s="85"/>
      <c r="I987" s="85"/>
      <c r="J987" s="85"/>
      <c r="BD987" s="11"/>
      <c r="BE987" s="11"/>
      <c r="BF987" s="11"/>
      <c r="BG987" s="11"/>
      <c r="BK987" s="11"/>
      <c r="BL987" s="11"/>
      <c r="BP987" s="12"/>
      <c r="BQ987" s="400"/>
    </row>
    <row r="988" spans="4:69">
      <c r="D988" s="11"/>
      <c r="E988" s="86"/>
      <c r="F988" s="85"/>
      <c r="G988" s="85"/>
      <c r="H988" s="85"/>
      <c r="I988" s="85"/>
      <c r="J988" s="85"/>
      <c r="BD988" s="11"/>
      <c r="BE988" s="11"/>
      <c r="BF988" s="11"/>
      <c r="BG988" s="11"/>
      <c r="BK988" s="11"/>
      <c r="BL988" s="11"/>
      <c r="BP988" s="12"/>
      <c r="BQ988" s="400"/>
    </row>
    <row r="989" spans="4:69">
      <c r="D989" s="11"/>
      <c r="E989" s="86"/>
      <c r="F989" s="85"/>
      <c r="G989" s="85"/>
      <c r="H989" s="85"/>
      <c r="I989" s="85"/>
      <c r="J989" s="85"/>
      <c r="BD989" s="11"/>
      <c r="BE989" s="11"/>
      <c r="BF989" s="11"/>
      <c r="BG989" s="11"/>
      <c r="BK989" s="11"/>
      <c r="BL989" s="11"/>
      <c r="BP989" s="12"/>
      <c r="BQ989" s="400"/>
    </row>
    <row r="990" spans="4:69">
      <c r="D990" s="11"/>
      <c r="E990" s="86"/>
      <c r="F990" s="85"/>
      <c r="G990" s="85"/>
      <c r="H990" s="85"/>
      <c r="I990" s="85"/>
      <c r="J990" s="85"/>
      <c r="BD990" s="11"/>
      <c r="BE990" s="11"/>
      <c r="BF990" s="11"/>
      <c r="BG990" s="11"/>
      <c r="BK990" s="11"/>
      <c r="BL990" s="11"/>
      <c r="BP990" s="12"/>
      <c r="BQ990" s="400"/>
    </row>
    <row r="991" spans="4:69">
      <c r="D991" s="11"/>
      <c r="E991" s="86"/>
      <c r="F991" s="85"/>
      <c r="G991" s="85"/>
      <c r="H991" s="85"/>
      <c r="I991" s="85"/>
      <c r="J991" s="85"/>
      <c r="BD991" s="11"/>
      <c r="BE991" s="11"/>
      <c r="BF991" s="11"/>
      <c r="BG991" s="11"/>
      <c r="BK991" s="11"/>
      <c r="BL991" s="11"/>
      <c r="BP991" s="12"/>
      <c r="BQ991" s="400"/>
    </row>
    <row r="992" spans="4:69">
      <c r="D992" s="11"/>
      <c r="E992" s="86"/>
      <c r="F992" s="85"/>
      <c r="G992" s="85"/>
      <c r="H992" s="85"/>
      <c r="I992" s="85"/>
      <c r="J992" s="85"/>
      <c r="BD992" s="11"/>
      <c r="BE992" s="11"/>
      <c r="BF992" s="11"/>
      <c r="BG992" s="11"/>
      <c r="BK992" s="11"/>
      <c r="BL992" s="11"/>
      <c r="BP992" s="12"/>
      <c r="BQ992" s="400"/>
    </row>
    <row r="993" spans="4:69">
      <c r="D993" s="11"/>
      <c r="E993" s="86"/>
      <c r="F993" s="85"/>
      <c r="G993" s="85"/>
      <c r="H993" s="85"/>
      <c r="I993" s="85"/>
      <c r="J993" s="85"/>
      <c r="BD993" s="11"/>
      <c r="BE993" s="11"/>
      <c r="BF993" s="11"/>
      <c r="BG993" s="11"/>
      <c r="BK993" s="11"/>
      <c r="BL993" s="11"/>
      <c r="BP993" s="12"/>
      <c r="BQ993" s="400"/>
    </row>
    <row r="994" spans="4:69">
      <c r="D994" s="11"/>
      <c r="E994" s="86"/>
      <c r="F994" s="85"/>
      <c r="G994" s="85"/>
      <c r="H994" s="85"/>
      <c r="I994" s="85"/>
      <c r="J994" s="85"/>
      <c r="BD994" s="11"/>
      <c r="BE994" s="11"/>
      <c r="BF994" s="11"/>
      <c r="BG994" s="11"/>
      <c r="BK994" s="11"/>
      <c r="BL994" s="11"/>
      <c r="BP994" s="12"/>
      <c r="BQ994" s="400"/>
    </row>
    <row r="995" spans="4:69">
      <c r="D995" s="11"/>
      <c r="E995" s="86"/>
      <c r="F995" s="85"/>
      <c r="G995" s="85"/>
      <c r="H995" s="85"/>
      <c r="I995" s="85"/>
      <c r="J995" s="85"/>
      <c r="BD995" s="11"/>
      <c r="BE995" s="11"/>
      <c r="BF995" s="11"/>
      <c r="BG995" s="11"/>
      <c r="BK995" s="11"/>
      <c r="BL995" s="11"/>
      <c r="BP995" s="12"/>
      <c r="BQ995" s="400"/>
    </row>
    <row r="996" spans="4:69">
      <c r="D996" s="11"/>
      <c r="E996" s="86"/>
      <c r="F996" s="85"/>
      <c r="G996" s="85"/>
      <c r="H996" s="85"/>
      <c r="I996" s="85"/>
      <c r="J996" s="85"/>
      <c r="BD996" s="11"/>
      <c r="BE996" s="11"/>
      <c r="BF996" s="11"/>
      <c r="BG996" s="11"/>
      <c r="BK996" s="11"/>
      <c r="BL996" s="11"/>
      <c r="BP996" s="12"/>
      <c r="BQ996" s="400"/>
    </row>
    <row r="997" spans="4:69">
      <c r="D997" s="11"/>
      <c r="E997" s="86"/>
      <c r="F997" s="85"/>
      <c r="G997" s="85"/>
      <c r="H997" s="85"/>
      <c r="I997" s="85"/>
      <c r="J997" s="85"/>
      <c r="BD997" s="11"/>
      <c r="BE997" s="11"/>
      <c r="BF997" s="11"/>
      <c r="BG997" s="11"/>
      <c r="BK997" s="11"/>
      <c r="BL997" s="11"/>
      <c r="BP997" s="12"/>
      <c r="BQ997" s="400"/>
    </row>
    <row r="998" spans="4:69">
      <c r="D998" s="11"/>
      <c r="E998" s="86"/>
      <c r="F998" s="85"/>
      <c r="G998" s="85"/>
      <c r="H998" s="85"/>
      <c r="I998" s="85"/>
      <c r="J998" s="85"/>
      <c r="BD998" s="11"/>
      <c r="BE998" s="11"/>
      <c r="BF998" s="11"/>
      <c r="BG998" s="11"/>
      <c r="BK998" s="11"/>
      <c r="BL998" s="11"/>
      <c r="BP998" s="12"/>
      <c r="BQ998" s="400"/>
    </row>
    <row r="999" spans="4:69">
      <c r="D999" s="11"/>
      <c r="E999" s="86"/>
      <c r="F999" s="85"/>
      <c r="G999" s="85"/>
      <c r="H999" s="85"/>
      <c r="I999" s="85"/>
      <c r="J999" s="85"/>
      <c r="BD999" s="11"/>
      <c r="BE999" s="11"/>
      <c r="BF999" s="11"/>
      <c r="BG999" s="11"/>
      <c r="BK999" s="11"/>
      <c r="BL999" s="11"/>
      <c r="BP999" s="12"/>
      <c r="BQ999" s="400"/>
    </row>
    <row r="1000" spans="4:69">
      <c r="D1000" s="11"/>
      <c r="E1000" s="86"/>
      <c r="F1000" s="85"/>
      <c r="G1000" s="85"/>
      <c r="H1000" s="85"/>
      <c r="I1000" s="85"/>
      <c r="J1000" s="85"/>
      <c r="BD1000" s="11"/>
      <c r="BE1000" s="11"/>
      <c r="BF1000" s="11"/>
      <c r="BG1000" s="11"/>
      <c r="BK1000" s="11"/>
      <c r="BL1000" s="11"/>
      <c r="BP1000" s="12"/>
      <c r="BQ1000" s="400"/>
    </row>
    <row r="1001" spans="4:69">
      <c r="D1001" s="11"/>
      <c r="E1001" s="86"/>
      <c r="F1001" s="85"/>
      <c r="G1001" s="85"/>
      <c r="H1001" s="85"/>
      <c r="I1001" s="85"/>
      <c r="J1001" s="85"/>
      <c r="BD1001" s="11"/>
      <c r="BE1001" s="11"/>
      <c r="BF1001" s="11"/>
      <c r="BG1001" s="11"/>
      <c r="BK1001" s="11"/>
      <c r="BL1001" s="11"/>
      <c r="BP1001" s="12"/>
      <c r="BQ1001" s="400"/>
    </row>
    <row r="1002" spans="4:69">
      <c r="D1002" s="11"/>
      <c r="E1002" s="86"/>
      <c r="F1002" s="85"/>
      <c r="G1002" s="85"/>
      <c r="H1002" s="85"/>
      <c r="I1002" s="85"/>
      <c r="J1002" s="85"/>
      <c r="BD1002" s="11"/>
      <c r="BE1002" s="11"/>
      <c r="BF1002" s="11"/>
      <c r="BG1002" s="11"/>
      <c r="BK1002" s="11"/>
      <c r="BL1002" s="11"/>
      <c r="BP1002" s="12"/>
      <c r="BQ1002" s="400"/>
    </row>
    <row r="1003" spans="4:69">
      <c r="D1003" s="11"/>
      <c r="E1003" s="86"/>
      <c r="F1003" s="85"/>
      <c r="G1003" s="85"/>
      <c r="H1003" s="85"/>
      <c r="I1003" s="85"/>
      <c r="J1003" s="85"/>
      <c r="BD1003" s="11"/>
      <c r="BE1003" s="11"/>
      <c r="BF1003" s="11"/>
      <c r="BG1003" s="11"/>
      <c r="BK1003" s="11"/>
      <c r="BL1003" s="11"/>
      <c r="BP1003" s="12"/>
      <c r="BQ1003" s="400"/>
    </row>
    <row r="1004" spans="4:69">
      <c r="D1004" s="11"/>
      <c r="E1004" s="86"/>
      <c r="F1004" s="85"/>
      <c r="G1004" s="85"/>
      <c r="H1004" s="85"/>
      <c r="I1004" s="85"/>
      <c r="J1004" s="85"/>
      <c r="BD1004" s="11"/>
      <c r="BE1004" s="11"/>
      <c r="BF1004" s="11"/>
      <c r="BG1004" s="11"/>
      <c r="BK1004" s="11"/>
      <c r="BL1004" s="11"/>
      <c r="BP1004" s="12"/>
      <c r="BQ1004" s="400"/>
    </row>
    <row r="1005" spans="4:69">
      <c r="D1005" s="11"/>
      <c r="E1005" s="86"/>
      <c r="F1005" s="85"/>
      <c r="G1005" s="85"/>
      <c r="H1005" s="85"/>
      <c r="I1005" s="85"/>
      <c r="J1005" s="85"/>
      <c r="BD1005" s="11"/>
      <c r="BE1005" s="11"/>
      <c r="BF1005" s="11"/>
      <c r="BG1005" s="11"/>
      <c r="BK1005" s="11"/>
      <c r="BL1005" s="11"/>
      <c r="BP1005" s="12"/>
      <c r="BQ1005" s="400"/>
    </row>
    <row r="1006" spans="4:69">
      <c r="D1006" s="11"/>
      <c r="E1006" s="86"/>
      <c r="F1006" s="85"/>
      <c r="G1006" s="85"/>
      <c r="H1006" s="85"/>
      <c r="I1006" s="85"/>
      <c r="J1006" s="85"/>
      <c r="BD1006" s="11"/>
      <c r="BE1006" s="11"/>
      <c r="BF1006" s="11"/>
      <c r="BG1006" s="11"/>
      <c r="BK1006" s="11"/>
      <c r="BL1006" s="11"/>
      <c r="BP1006" s="12"/>
      <c r="BQ1006" s="400"/>
    </row>
    <row r="1007" spans="4:69">
      <c r="D1007" s="11"/>
      <c r="E1007" s="86"/>
      <c r="F1007" s="85"/>
      <c r="G1007" s="85"/>
      <c r="H1007" s="85"/>
      <c r="I1007" s="85"/>
      <c r="J1007" s="85"/>
      <c r="BD1007" s="11"/>
      <c r="BE1007" s="11"/>
      <c r="BF1007" s="11"/>
      <c r="BG1007" s="11"/>
      <c r="BK1007" s="11"/>
      <c r="BL1007" s="11"/>
      <c r="BP1007" s="12"/>
      <c r="BQ1007" s="400"/>
    </row>
    <row r="1008" spans="4:69">
      <c r="D1008" s="11"/>
      <c r="E1008" s="86"/>
      <c r="F1008" s="85"/>
      <c r="G1008" s="85"/>
      <c r="H1008" s="85"/>
      <c r="I1008" s="85"/>
      <c r="J1008" s="85"/>
      <c r="BD1008" s="11"/>
      <c r="BE1008" s="11"/>
      <c r="BF1008" s="11"/>
      <c r="BG1008" s="11"/>
      <c r="BK1008" s="11"/>
      <c r="BL1008" s="11"/>
      <c r="BP1008" s="12"/>
      <c r="BQ1008" s="400"/>
    </row>
    <row r="1009" spans="4:69">
      <c r="D1009" s="11"/>
      <c r="E1009" s="86"/>
      <c r="F1009" s="85"/>
      <c r="G1009" s="85"/>
      <c r="H1009" s="85"/>
      <c r="I1009" s="85"/>
      <c r="J1009" s="85"/>
      <c r="BD1009" s="11"/>
      <c r="BE1009" s="11"/>
      <c r="BF1009" s="11"/>
      <c r="BG1009" s="11"/>
      <c r="BK1009" s="11"/>
      <c r="BL1009" s="11"/>
      <c r="BP1009" s="12"/>
      <c r="BQ1009" s="400"/>
    </row>
    <row r="1010" spans="4:69">
      <c r="D1010" s="11"/>
      <c r="E1010" s="86"/>
      <c r="F1010" s="85"/>
      <c r="G1010" s="85"/>
      <c r="H1010" s="85"/>
      <c r="I1010" s="85"/>
      <c r="J1010" s="85"/>
      <c r="BD1010" s="11"/>
      <c r="BE1010" s="11"/>
      <c r="BF1010" s="11"/>
      <c r="BG1010" s="11"/>
      <c r="BK1010" s="11"/>
      <c r="BL1010" s="11"/>
      <c r="BP1010" s="12"/>
      <c r="BQ1010" s="400"/>
    </row>
    <row r="1011" spans="4:69">
      <c r="D1011" s="11"/>
      <c r="E1011" s="86"/>
      <c r="F1011" s="85"/>
      <c r="G1011" s="85"/>
      <c r="H1011" s="85"/>
      <c r="I1011" s="85"/>
      <c r="J1011" s="85"/>
      <c r="BD1011" s="11"/>
      <c r="BE1011" s="11"/>
      <c r="BF1011" s="11"/>
      <c r="BG1011" s="11"/>
      <c r="BK1011" s="11"/>
      <c r="BL1011" s="11"/>
      <c r="BP1011" s="12"/>
      <c r="BQ1011" s="400"/>
    </row>
    <row r="1012" spans="4:69">
      <c r="D1012" s="11"/>
      <c r="E1012" s="86"/>
      <c r="F1012" s="85"/>
      <c r="G1012" s="85"/>
      <c r="H1012" s="85"/>
      <c r="I1012" s="85"/>
      <c r="J1012" s="85"/>
      <c r="BD1012" s="11"/>
      <c r="BE1012" s="11"/>
      <c r="BF1012" s="11"/>
      <c r="BG1012" s="11"/>
      <c r="BK1012" s="11"/>
      <c r="BL1012" s="11"/>
      <c r="BP1012" s="12"/>
      <c r="BQ1012" s="400"/>
    </row>
    <row r="1013" spans="4:69">
      <c r="D1013" s="11"/>
      <c r="E1013" s="86"/>
      <c r="F1013" s="85"/>
      <c r="G1013" s="85"/>
      <c r="H1013" s="85"/>
      <c r="I1013" s="85"/>
      <c r="J1013" s="85"/>
      <c r="BD1013" s="11"/>
      <c r="BE1013" s="11"/>
      <c r="BF1013" s="11"/>
      <c r="BG1013" s="11"/>
      <c r="BK1013" s="11"/>
      <c r="BL1013" s="11"/>
      <c r="BP1013" s="12"/>
      <c r="BQ1013" s="400"/>
    </row>
    <row r="1014" spans="4:69">
      <c r="D1014" s="11"/>
      <c r="E1014" s="86"/>
      <c r="F1014" s="85"/>
      <c r="G1014" s="85"/>
      <c r="H1014" s="85"/>
      <c r="I1014" s="85"/>
      <c r="J1014" s="85"/>
      <c r="BD1014" s="11"/>
      <c r="BE1014" s="11"/>
      <c r="BF1014" s="11"/>
      <c r="BG1014" s="11"/>
      <c r="BK1014" s="11"/>
      <c r="BL1014" s="11"/>
      <c r="BP1014" s="12"/>
      <c r="BQ1014" s="400"/>
    </row>
    <row r="1015" spans="4:69">
      <c r="D1015" s="11"/>
      <c r="E1015" s="86"/>
      <c r="F1015" s="85"/>
      <c r="G1015" s="85"/>
      <c r="H1015" s="85"/>
      <c r="I1015" s="85"/>
      <c r="J1015" s="85"/>
      <c r="BD1015" s="11"/>
      <c r="BE1015" s="11"/>
      <c r="BF1015" s="11"/>
      <c r="BG1015" s="11"/>
      <c r="BK1015" s="11"/>
      <c r="BL1015" s="11"/>
      <c r="BP1015" s="12"/>
      <c r="BQ1015" s="400"/>
    </row>
    <row r="1016" spans="4:69">
      <c r="D1016" s="11"/>
      <c r="E1016" s="86"/>
      <c r="F1016" s="85"/>
      <c r="G1016" s="85"/>
      <c r="H1016" s="85"/>
      <c r="I1016" s="85"/>
      <c r="J1016" s="85"/>
      <c r="BD1016" s="11"/>
      <c r="BE1016" s="11"/>
      <c r="BF1016" s="11"/>
      <c r="BG1016" s="11"/>
      <c r="BK1016" s="11"/>
      <c r="BL1016" s="11"/>
      <c r="BP1016" s="12"/>
      <c r="BQ1016" s="400"/>
    </row>
    <row r="1017" spans="4:69">
      <c r="D1017" s="11"/>
      <c r="E1017" s="86"/>
      <c r="F1017" s="85"/>
      <c r="G1017" s="85"/>
      <c r="H1017" s="85"/>
      <c r="I1017" s="85"/>
      <c r="J1017" s="85"/>
      <c r="BD1017" s="11"/>
      <c r="BE1017" s="11"/>
      <c r="BF1017" s="11"/>
      <c r="BG1017" s="11"/>
      <c r="BK1017" s="11"/>
      <c r="BL1017" s="11"/>
      <c r="BP1017" s="12"/>
      <c r="BQ1017" s="400"/>
    </row>
    <row r="1018" spans="4:69">
      <c r="D1018" s="11"/>
      <c r="E1018" s="86"/>
      <c r="F1018" s="85"/>
      <c r="G1018" s="85"/>
      <c r="H1018" s="85"/>
      <c r="I1018" s="85"/>
      <c r="J1018" s="85"/>
      <c r="BD1018" s="11"/>
      <c r="BE1018" s="11"/>
      <c r="BF1018" s="11"/>
      <c r="BG1018" s="11"/>
      <c r="BK1018" s="11"/>
      <c r="BL1018" s="11"/>
      <c r="BP1018" s="12"/>
      <c r="BQ1018" s="400"/>
    </row>
    <row r="1019" spans="4:69">
      <c r="D1019" s="11"/>
      <c r="E1019" s="86"/>
      <c r="F1019" s="85"/>
      <c r="G1019" s="85"/>
      <c r="H1019" s="85"/>
      <c r="I1019" s="85"/>
      <c r="J1019" s="85"/>
      <c r="BD1019" s="11"/>
      <c r="BE1019" s="11"/>
      <c r="BF1019" s="11"/>
      <c r="BG1019" s="11"/>
      <c r="BK1019" s="11"/>
      <c r="BL1019" s="11"/>
      <c r="BP1019" s="12"/>
      <c r="BQ1019" s="400"/>
    </row>
    <row r="1020" spans="4:69">
      <c r="D1020" s="11"/>
      <c r="E1020" s="86"/>
      <c r="F1020" s="85"/>
      <c r="G1020" s="85"/>
      <c r="H1020" s="85"/>
      <c r="I1020" s="85"/>
      <c r="J1020" s="85"/>
      <c r="BD1020" s="11"/>
      <c r="BE1020" s="11"/>
      <c r="BF1020" s="11"/>
      <c r="BG1020" s="11"/>
      <c r="BK1020" s="11"/>
      <c r="BL1020" s="11"/>
      <c r="BP1020" s="12"/>
      <c r="BQ1020" s="400"/>
    </row>
    <row r="1021" spans="4:69">
      <c r="D1021" s="11"/>
      <c r="E1021" s="86"/>
      <c r="F1021" s="85"/>
      <c r="G1021" s="85"/>
      <c r="H1021" s="85"/>
      <c r="I1021" s="85"/>
      <c r="J1021" s="85"/>
      <c r="BD1021" s="11"/>
      <c r="BE1021" s="11"/>
      <c r="BF1021" s="11"/>
      <c r="BG1021" s="11"/>
      <c r="BK1021" s="11"/>
      <c r="BL1021" s="11"/>
      <c r="BP1021" s="12"/>
      <c r="BQ1021" s="400"/>
    </row>
    <row r="1022" spans="4:69">
      <c r="D1022" s="11"/>
      <c r="E1022" s="86"/>
      <c r="F1022" s="85"/>
      <c r="G1022" s="85"/>
      <c r="H1022" s="85"/>
      <c r="I1022" s="85"/>
      <c r="J1022" s="85"/>
      <c r="BD1022" s="11"/>
      <c r="BE1022" s="11"/>
      <c r="BF1022" s="11"/>
      <c r="BG1022" s="11"/>
      <c r="BK1022" s="11"/>
      <c r="BL1022" s="11"/>
      <c r="BP1022" s="12"/>
      <c r="BQ1022" s="400"/>
    </row>
    <row r="1023" spans="4:69">
      <c r="D1023" s="11"/>
      <c r="E1023" s="86"/>
      <c r="F1023" s="85"/>
      <c r="G1023" s="85"/>
      <c r="H1023" s="85"/>
      <c r="I1023" s="85"/>
      <c r="J1023" s="85"/>
      <c r="BD1023" s="11"/>
      <c r="BE1023" s="11"/>
      <c r="BF1023" s="11"/>
      <c r="BG1023" s="11"/>
      <c r="BK1023" s="11"/>
      <c r="BL1023" s="11"/>
      <c r="BP1023" s="12"/>
      <c r="BQ1023" s="400"/>
    </row>
    <row r="1024" spans="4:69">
      <c r="D1024" s="11"/>
      <c r="E1024" s="86"/>
      <c r="F1024" s="85"/>
      <c r="G1024" s="85"/>
      <c r="H1024" s="85"/>
      <c r="I1024" s="85"/>
      <c r="J1024" s="85"/>
      <c r="BD1024" s="11"/>
      <c r="BE1024" s="11"/>
      <c r="BF1024" s="11"/>
      <c r="BG1024" s="11"/>
      <c r="BK1024" s="11"/>
      <c r="BL1024" s="11"/>
      <c r="BP1024" s="12"/>
      <c r="BQ1024" s="400"/>
    </row>
    <row r="1025" spans="4:69">
      <c r="D1025" s="11"/>
      <c r="E1025" s="86"/>
      <c r="F1025" s="85"/>
      <c r="G1025" s="85"/>
      <c r="H1025" s="85"/>
      <c r="I1025" s="85"/>
      <c r="J1025" s="85"/>
      <c r="BD1025" s="11"/>
      <c r="BE1025" s="11"/>
      <c r="BF1025" s="11"/>
      <c r="BG1025" s="11"/>
      <c r="BK1025" s="11"/>
      <c r="BL1025" s="11"/>
      <c r="BP1025" s="12"/>
      <c r="BQ1025" s="400"/>
    </row>
    <row r="1026" spans="4:69">
      <c r="D1026" s="11"/>
      <c r="E1026" s="86"/>
      <c r="F1026" s="85"/>
      <c r="G1026" s="85"/>
      <c r="H1026" s="85"/>
      <c r="I1026" s="85"/>
      <c r="J1026" s="85"/>
      <c r="BD1026" s="11"/>
      <c r="BE1026" s="11"/>
      <c r="BF1026" s="11"/>
      <c r="BG1026" s="11"/>
      <c r="BK1026" s="11"/>
      <c r="BL1026" s="11"/>
      <c r="BP1026" s="12"/>
      <c r="BQ1026" s="400"/>
    </row>
    <row r="1027" spans="4:69">
      <c r="D1027" s="11"/>
      <c r="E1027" s="86"/>
      <c r="F1027" s="85"/>
      <c r="G1027" s="85"/>
      <c r="H1027" s="85"/>
      <c r="I1027" s="85"/>
      <c r="J1027" s="85"/>
      <c r="BD1027" s="11"/>
      <c r="BE1027" s="11"/>
      <c r="BF1027" s="11"/>
      <c r="BG1027" s="11"/>
      <c r="BK1027" s="11"/>
      <c r="BL1027" s="11"/>
      <c r="BP1027" s="12"/>
      <c r="BQ1027" s="400"/>
    </row>
    <row r="1028" spans="4:69">
      <c r="D1028" s="11"/>
      <c r="E1028" s="86"/>
      <c r="F1028" s="85"/>
      <c r="G1028" s="85"/>
      <c r="H1028" s="85"/>
      <c r="I1028" s="85"/>
      <c r="J1028" s="85"/>
      <c r="BD1028" s="11"/>
      <c r="BE1028" s="11"/>
      <c r="BF1028" s="11"/>
      <c r="BG1028" s="11"/>
      <c r="BK1028" s="11"/>
      <c r="BL1028" s="11"/>
      <c r="BP1028" s="12"/>
      <c r="BQ1028" s="400"/>
    </row>
    <row r="1029" spans="4:69">
      <c r="D1029" s="11"/>
      <c r="E1029" s="86"/>
      <c r="F1029" s="85"/>
      <c r="G1029" s="85"/>
      <c r="H1029" s="85"/>
      <c r="I1029" s="85"/>
      <c r="J1029" s="85"/>
      <c r="BD1029" s="11"/>
      <c r="BE1029" s="11"/>
      <c r="BF1029" s="11"/>
      <c r="BG1029" s="11"/>
      <c r="BK1029" s="11"/>
      <c r="BL1029" s="11"/>
      <c r="BP1029" s="12"/>
      <c r="BQ1029" s="400"/>
    </row>
    <row r="1030" spans="4:69">
      <c r="D1030" s="11"/>
      <c r="E1030" s="86"/>
      <c r="F1030" s="85"/>
      <c r="G1030" s="85"/>
      <c r="H1030" s="85"/>
      <c r="I1030" s="85"/>
      <c r="J1030" s="85"/>
      <c r="BD1030" s="11"/>
      <c r="BE1030" s="11"/>
      <c r="BF1030" s="11"/>
      <c r="BG1030" s="11"/>
      <c r="BK1030" s="11"/>
      <c r="BL1030" s="11"/>
      <c r="BP1030" s="12"/>
      <c r="BQ1030" s="400"/>
    </row>
    <row r="1031" spans="4:69">
      <c r="D1031" s="11"/>
      <c r="E1031" s="86"/>
      <c r="F1031" s="85"/>
      <c r="G1031" s="85"/>
      <c r="H1031" s="85"/>
      <c r="I1031" s="85"/>
      <c r="J1031" s="85"/>
      <c r="BD1031" s="11"/>
      <c r="BE1031" s="11"/>
      <c r="BF1031" s="11"/>
      <c r="BG1031" s="11"/>
      <c r="BK1031" s="11"/>
      <c r="BL1031" s="11"/>
      <c r="BP1031" s="12"/>
      <c r="BQ1031" s="400"/>
    </row>
    <row r="1032" spans="4:69">
      <c r="D1032" s="11"/>
      <c r="E1032" s="86"/>
      <c r="F1032" s="85"/>
      <c r="G1032" s="85"/>
      <c r="H1032" s="85"/>
      <c r="I1032" s="85"/>
      <c r="J1032" s="85"/>
      <c r="BD1032" s="11"/>
      <c r="BE1032" s="11"/>
      <c r="BF1032" s="11"/>
      <c r="BG1032" s="11"/>
      <c r="BK1032" s="11"/>
      <c r="BL1032" s="11"/>
      <c r="BP1032" s="12"/>
      <c r="BQ1032" s="400"/>
    </row>
    <row r="1033" spans="4:69">
      <c r="D1033" s="11"/>
      <c r="E1033" s="86"/>
      <c r="F1033" s="85"/>
      <c r="G1033" s="85"/>
      <c r="H1033" s="85"/>
      <c r="I1033" s="85"/>
      <c r="J1033" s="85"/>
      <c r="BD1033" s="11"/>
      <c r="BE1033" s="11"/>
      <c r="BF1033" s="11"/>
      <c r="BG1033" s="11"/>
      <c r="BK1033" s="11"/>
      <c r="BL1033" s="11"/>
      <c r="BP1033" s="12"/>
      <c r="BQ1033" s="400"/>
    </row>
    <row r="1034" spans="4:69">
      <c r="D1034" s="11"/>
      <c r="E1034" s="86"/>
      <c r="F1034" s="85"/>
      <c r="G1034" s="85"/>
      <c r="H1034" s="85"/>
      <c r="I1034" s="85"/>
      <c r="J1034" s="85"/>
      <c r="BD1034" s="11"/>
      <c r="BE1034" s="11"/>
      <c r="BF1034" s="11"/>
      <c r="BG1034" s="11"/>
      <c r="BK1034" s="11"/>
      <c r="BL1034" s="11"/>
      <c r="BP1034" s="12"/>
      <c r="BQ1034" s="400"/>
    </row>
    <row r="1035" spans="4:69">
      <c r="D1035" s="11"/>
      <c r="E1035" s="86"/>
      <c r="F1035" s="85"/>
      <c r="G1035" s="85"/>
      <c r="H1035" s="85"/>
      <c r="I1035" s="85"/>
      <c r="J1035" s="85"/>
      <c r="BD1035" s="11"/>
      <c r="BE1035" s="11"/>
      <c r="BF1035" s="11"/>
      <c r="BG1035" s="11"/>
      <c r="BK1035" s="11"/>
      <c r="BL1035" s="11"/>
      <c r="BP1035" s="12"/>
      <c r="BQ1035" s="400"/>
    </row>
    <row r="1036" spans="4:69">
      <c r="D1036" s="11"/>
      <c r="E1036" s="86"/>
      <c r="F1036" s="85"/>
      <c r="G1036" s="85"/>
      <c r="H1036" s="85"/>
      <c r="I1036" s="85"/>
      <c r="J1036" s="85"/>
      <c r="BD1036" s="11"/>
      <c r="BE1036" s="11"/>
      <c r="BF1036" s="11"/>
      <c r="BG1036" s="11"/>
      <c r="BK1036" s="11"/>
      <c r="BL1036" s="11"/>
      <c r="BP1036" s="12"/>
      <c r="BQ1036" s="400"/>
    </row>
    <row r="1037" spans="4:69">
      <c r="D1037" s="11"/>
      <c r="E1037" s="86"/>
      <c r="F1037" s="85"/>
      <c r="G1037" s="85"/>
      <c r="H1037" s="85"/>
      <c r="I1037" s="85"/>
      <c r="J1037" s="85"/>
      <c r="BD1037" s="11"/>
      <c r="BE1037" s="11"/>
      <c r="BF1037" s="11"/>
      <c r="BG1037" s="11"/>
      <c r="BK1037" s="11"/>
      <c r="BL1037" s="11"/>
      <c r="BP1037" s="12"/>
      <c r="BQ1037" s="400"/>
    </row>
    <row r="1038" spans="4:69">
      <c r="D1038" s="11"/>
      <c r="E1038" s="86"/>
      <c r="F1038" s="85"/>
      <c r="G1038" s="85"/>
      <c r="H1038" s="85"/>
      <c r="I1038" s="85"/>
      <c r="J1038" s="85"/>
      <c r="BD1038" s="11"/>
      <c r="BE1038" s="11"/>
      <c r="BF1038" s="11"/>
      <c r="BG1038" s="11"/>
      <c r="BK1038" s="11"/>
      <c r="BL1038" s="11"/>
      <c r="BP1038" s="12"/>
      <c r="BQ1038" s="400"/>
    </row>
    <row r="1039" spans="4:69">
      <c r="D1039" s="11"/>
      <c r="E1039" s="86"/>
      <c r="F1039" s="85"/>
      <c r="G1039" s="85"/>
      <c r="H1039" s="85"/>
      <c r="I1039" s="85"/>
      <c r="J1039" s="85"/>
      <c r="BD1039" s="11"/>
      <c r="BE1039" s="11"/>
      <c r="BF1039" s="11"/>
      <c r="BG1039" s="11"/>
      <c r="BK1039" s="11"/>
      <c r="BL1039" s="11"/>
      <c r="BP1039" s="12"/>
      <c r="BQ1039" s="400"/>
    </row>
    <row r="1040" spans="4:69">
      <c r="D1040" s="11"/>
      <c r="E1040" s="86"/>
      <c r="F1040" s="85"/>
      <c r="G1040" s="85"/>
      <c r="H1040" s="85"/>
      <c r="I1040" s="85"/>
      <c r="J1040" s="85"/>
      <c r="BD1040" s="11"/>
      <c r="BE1040" s="11"/>
      <c r="BF1040" s="11"/>
      <c r="BG1040" s="11"/>
      <c r="BK1040" s="11"/>
      <c r="BL1040" s="11"/>
      <c r="BP1040" s="12"/>
      <c r="BQ1040" s="400"/>
    </row>
    <row r="1041" spans="4:69">
      <c r="D1041" s="11"/>
      <c r="E1041" s="86"/>
      <c r="F1041" s="85"/>
      <c r="G1041" s="85"/>
      <c r="H1041" s="85"/>
      <c r="I1041" s="85"/>
      <c r="J1041" s="85"/>
      <c r="BD1041" s="11"/>
      <c r="BE1041" s="11"/>
      <c r="BF1041" s="11"/>
      <c r="BG1041" s="11"/>
      <c r="BK1041" s="11"/>
      <c r="BL1041" s="11"/>
      <c r="BP1041" s="12"/>
      <c r="BQ1041" s="400"/>
    </row>
    <row r="1042" spans="4:69">
      <c r="D1042" s="11"/>
      <c r="E1042" s="86"/>
      <c r="F1042" s="85"/>
      <c r="G1042" s="85"/>
      <c r="H1042" s="85"/>
      <c r="I1042" s="85"/>
      <c r="J1042" s="85"/>
      <c r="BD1042" s="11"/>
      <c r="BE1042" s="11"/>
      <c r="BF1042" s="11"/>
      <c r="BG1042" s="11"/>
      <c r="BK1042" s="11"/>
      <c r="BL1042" s="11"/>
      <c r="BP1042" s="12"/>
      <c r="BQ1042" s="400"/>
    </row>
    <row r="1043" spans="4:69">
      <c r="D1043" s="11"/>
      <c r="E1043" s="86"/>
      <c r="F1043" s="85"/>
      <c r="G1043" s="85"/>
      <c r="H1043" s="85"/>
      <c r="I1043" s="85"/>
      <c r="J1043" s="85"/>
      <c r="BD1043" s="11"/>
      <c r="BE1043" s="11"/>
      <c r="BF1043" s="11"/>
      <c r="BG1043" s="11"/>
      <c r="BK1043" s="11"/>
      <c r="BL1043" s="11"/>
      <c r="BP1043" s="12"/>
      <c r="BQ1043" s="400"/>
    </row>
    <row r="1044" spans="4:69">
      <c r="D1044" s="11"/>
      <c r="E1044" s="86"/>
      <c r="F1044" s="85"/>
      <c r="G1044" s="85"/>
      <c r="H1044" s="85"/>
      <c r="I1044" s="85"/>
      <c r="J1044" s="85"/>
      <c r="BD1044" s="11"/>
      <c r="BE1044" s="11"/>
      <c r="BF1044" s="11"/>
      <c r="BG1044" s="11"/>
      <c r="BK1044" s="11"/>
      <c r="BL1044" s="11"/>
      <c r="BP1044" s="12"/>
      <c r="BQ1044" s="400"/>
    </row>
    <row r="1045" spans="4:69">
      <c r="D1045" s="11"/>
      <c r="E1045" s="86"/>
      <c r="F1045" s="85"/>
      <c r="G1045" s="85"/>
      <c r="H1045" s="85"/>
      <c r="I1045" s="85"/>
      <c r="J1045" s="85"/>
      <c r="BD1045" s="11"/>
      <c r="BE1045" s="11"/>
      <c r="BF1045" s="11"/>
      <c r="BG1045" s="11"/>
      <c r="BK1045" s="11"/>
      <c r="BL1045" s="11"/>
      <c r="BP1045" s="12"/>
      <c r="BQ1045" s="400"/>
    </row>
    <row r="1046" spans="4:69">
      <c r="D1046" s="11"/>
      <c r="E1046" s="86"/>
      <c r="F1046" s="85"/>
      <c r="G1046" s="85"/>
      <c r="H1046" s="85"/>
      <c r="I1046" s="85"/>
      <c r="J1046" s="85"/>
      <c r="BD1046" s="11"/>
      <c r="BE1046" s="11"/>
      <c r="BF1046" s="11"/>
      <c r="BG1046" s="11"/>
      <c r="BK1046" s="11"/>
      <c r="BL1046" s="11"/>
      <c r="BP1046" s="12"/>
      <c r="BQ1046" s="400"/>
    </row>
    <row r="1047" spans="4:69">
      <c r="D1047" s="11"/>
      <c r="E1047" s="86"/>
      <c r="F1047" s="85"/>
      <c r="G1047" s="85"/>
      <c r="H1047" s="85"/>
      <c r="I1047" s="85"/>
      <c r="J1047" s="85"/>
      <c r="BD1047" s="11"/>
      <c r="BE1047" s="11"/>
      <c r="BF1047" s="11"/>
      <c r="BG1047" s="11"/>
      <c r="BK1047" s="11"/>
      <c r="BL1047" s="11"/>
      <c r="BP1047" s="12"/>
      <c r="BQ1047" s="400"/>
    </row>
    <row r="1048" spans="4:69">
      <c r="D1048" s="11"/>
      <c r="E1048" s="86"/>
      <c r="F1048" s="85"/>
      <c r="G1048" s="85"/>
      <c r="H1048" s="85"/>
      <c r="I1048" s="85"/>
      <c r="J1048" s="85"/>
      <c r="BD1048" s="11"/>
      <c r="BE1048" s="11"/>
      <c r="BF1048" s="11"/>
      <c r="BG1048" s="11"/>
      <c r="BK1048" s="11"/>
      <c r="BL1048" s="11"/>
      <c r="BP1048" s="12"/>
      <c r="BQ1048" s="400"/>
    </row>
    <row r="1049" spans="4:69">
      <c r="D1049" s="11"/>
      <c r="E1049" s="86"/>
      <c r="F1049" s="85"/>
      <c r="G1049" s="85"/>
      <c r="H1049" s="85"/>
      <c r="I1049" s="85"/>
      <c r="J1049" s="85"/>
      <c r="BD1049" s="11"/>
      <c r="BE1049" s="11"/>
      <c r="BF1049" s="11"/>
      <c r="BG1049" s="11"/>
      <c r="BK1049" s="11"/>
      <c r="BL1049" s="11"/>
      <c r="BP1049" s="12"/>
      <c r="BQ1049" s="400"/>
    </row>
    <row r="1050" spans="4:69">
      <c r="D1050" s="11"/>
      <c r="E1050" s="86"/>
      <c r="F1050" s="85"/>
      <c r="G1050" s="85"/>
      <c r="H1050" s="85"/>
      <c r="I1050" s="85"/>
      <c r="J1050" s="85"/>
      <c r="BD1050" s="11"/>
      <c r="BE1050" s="11"/>
      <c r="BF1050" s="11"/>
      <c r="BG1050" s="11"/>
      <c r="BK1050" s="11"/>
      <c r="BL1050" s="11"/>
      <c r="BP1050" s="12"/>
      <c r="BQ1050" s="400"/>
    </row>
    <row r="1051" spans="4:69">
      <c r="D1051" s="11"/>
      <c r="E1051" s="86"/>
      <c r="F1051" s="85"/>
      <c r="G1051" s="85"/>
      <c r="H1051" s="85"/>
      <c r="I1051" s="85"/>
      <c r="J1051" s="85"/>
      <c r="BD1051" s="11"/>
      <c r="BE1051" s="11"/>
      <c r="BF1051" s="11"/>
      <c r="BG1051" s="11"/>
      <c r="BK1051" s="11"/>
      <c r="BL1051" s="11"/>
      <c r="BP1051" s="12"/>
      <c r="BQ1051" s="400"/>
    </row>
    <row r="1052" spans="4:69">
      <c r="D1052" s="11"/>
      <c r="E1052" s="86"/>
      <c r="F1052" s="85"/>
      <c r="G1052" s="85"/>
      <c r="H1052" s="85"/>
      <c r="I1052" s="85"/>
      <c r="J1052" s="85"/>
      <c r="BD1052" s="11"/>
      <c r="BE1052" s="11"/>
      <c r="BF1052" s="11"/>
      <c r="BG1052" s="11"/>
      <c r="BK1052" s="11"/>
      <c r="BL1052" s="11"/>
      <c r="BP1052" s="12"/>
      <c r="BQ1052" s="400"/>
    </row>
    <row r="1053" spans="4:69">
      <c r="D1053" s="11"/>
      <c r="E1053" s="86"/>
      <c r="F1053" s="85"/>
      <c r="G1053" s="85"/>
      <c r="H1053" s="85"/>
      <c r="I1053" s="85"/>
      <c r="J1053" s="85"/>
      <c r="BD1053" s="11"/>
      <c r="BE1053" s="11"/>
      <c r="BF1053" s="11"/>
      <c r="BG1053" s="11"/>
      <c r="BK1053" s="11"/>
      <c r="BL1053" s="11"/>
      <c r="BP1053" s="12"/>
      <c r="BQ1053" s="400"/>
    </row>
    <row r="1054" spans="4:69">
      <c r="D1054" s="11"/>
      <c r="E1054" s="86"/>
      <c r="F1054" s="85"/>
      <c r="G1054" s="85"/>
      <c r="H1054" s="85"/>
      <c r="I1054" s="85"/>
      <c r="J1054" s="85"/>
      <c r="BD1054" s="11"/>
      <c r="BE1054" s="11"/>
      <c r="BF1054" s="11"/>
      <c r="BG1054" s="11"/>
      <c r="BK1054" s="11"/>
      <c r="BL1054" s="11"/>
      <c r="BP1054" s="12"/>
      <c r="BQ1054" s="400"/>
    </row>
    <row r="1055" spans="4:69">
      <c r="D1055" s="11"/>
      <c r="E1055" s="86"/>
      <c r="F1055" s="85"/>
      <c r="G1055" s="85"/>
      <c r="H1055" s="85"/>
      <c r="I1055" s="85"/>
      <c r="J1055" s="85"/>
      <c r="BD1055" s="11"/>
      <c r="BE1055" s="11"/>
      <c r="BF1055" s="11"/>
      <c r="BG1055" s="11"/>
      <c r="BK1055" s="11"/>
      <c r="BL1055" s="11"/>
      <c r="BP1055" s="12"/>
      <c r="BQ1055" s="400"/>
    </row>
    <row r="1056" spans="4:69">
      <c r="D1056" s="11"/>
      <c r="E1056" s="86"/>
      <c r="F1056" s="85"/>
      <c r="G1056" s="85"/>
      <c r="H1056" s="85"/>
      <c r="I1056" s="85"/>
      <c r="J1056" s="85"/>
      <c r="BD1056" s="11"/>
      <c r="BE1056" s="11"/>
      <c r="BF1056" s="11"/>
      <c r="BG1056" s="23"/>
      <c r="BK1056" s="11"/>
      <c r="BL1056" s="11"/>
      <c r="BP1056" s="12"/>
      <c r="BQ1056" s="400"/>
    </row>
  </sheetData>
  <mergeCells count="29">
    <mergeCell ref="DY51:DY54"/>
    <mergeCell ref="DY55:DY59"/>
    <mergeCell ref="DY63:DY64"/>
    <mergeCell ref="DY65:DY71"/>
    <mergeCell ref="DY11:DY16"/>
    <mergeCell ref="DY22:DY23"/>
    <mergeCell ref="DY26:DY27"/>
    <mergeCell ref="DY28:DY29"/>
    <mergeCell ref="DY38:DY39"/>
    <mergeCell ref="DY40:DY41"/>
    <mergeCell ref="A2:A3"/>
    <mergeCell ref="C2:C3"/>
    <mergeCell ref="D2:D3"/>
    <mergeCell ref="E2:E3"/>
    <mergeCell ref="AV2:AV3"/>
    <mergeCell ref="B2:B3"/>
    <mergeCell ref="DQ2:DQ3"/>
    <mergeCell ref="DR2:DR3"/>
    <mergeCell ref="F2:J2"/>
    <mergeCell ref="EC2:EC3"/>
    <mergeCell ref="F1:I1"/>
    <mergeCell ref="DZ1:EA1"/>
    <mergeCell ref="AW2:AW3"/>
    <mergeCell ref="CL2:CL3"/>
    <mergeCell ref="CM2:CM3"/>
    <mergeCell ref="DX2:DX3"/>
    <mergeCell ref="DY2:DY3"/>
    <mergeCell ref="DZ2:EA2"/>
    <mergeCell ref="EB2:EB3"/>
  </mergeCells>
  <phoneticPr fontId="54" type="noConversion"/>
  <conditionalFormatting sqref="A137:A1048576 A1:A36 A38:A77 A79:A105">
    <cfRule type="duplicateValues" dxfId="9" priority="3"/>
  </conditionalFormatting>
  <conditionalFormatting sqref="B197">
    <cfRule type="duplicateValues" dxfId="8" priority="1"/>
  </conditionalFormatting>
  <conditionalFormatting sqref="B198:B1048576 B1:B8 B156:B187 B189:B196 B11:B32 B35:B154">
    <cfRule type="duplicateValues" dxfId="7" priority="2"/>
  </conditionalFormatting>
  <printOptions horizontalCentered="1" gridLines="1"/>
  <pageMargins left="0.7" right="0.7" top="0.75" bottom="0.75" header="0" footer="0"/>
  <pageSetup paperSize="9" scale="28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  <pageSetUpPr fitToPage="1"/>
  </sheetPr>
  <dimension ref="A1:CE1060"/>
  <sheetViews>
    <sheetView zoomScale="90" zoomScaleNormal="90" workbookViewId="0">
      <pane xSplit="7" ySplit="3" topLeftCell="H4" activePane="bottomRight" state="frozen"/>
      <selection pane="topRight" activeCell="J1" sqref="J1"/>
      <selection pane="bottomLeft" activeCell="A4" sqref="A4"/>
      <selection pane="bottomRight" activeCell="F73" sqref="F73"/>
    </sheetView>
  </sheetViews>
  <sheetFormatPr defaultColWidth="12.5703125" defaultRowHeight="15.75" customHeight="1" outlineLevelCol="1"/>
  <cols>
    <col min="1" max="1" width="10.5703125" customWidth="1"/>
    <col min="2" max="2" width="11" customWidth="1"/>
    <col min="3" max="3" width="75.7109375" style="98" bestFit="1" customWidth="1"/>
    <col min="4" max="4" width="10.28515625" bestFit="1" customWidth="1"/>
    <col min="5" max="5" width="8.85546875" customWidth="1"/>
    <col min="6" max="6" width="12.28515625" customWidth="1"/>
    <col min="7" max="7" width="10.7109375" hidden="1" customWidth="1" collapsed="1"/>
    <col min="8" max="44" width="0" hidden="1" customWidth="1" outlineLevel="1"/>
    <col min="45" max="46" width="0" hidden="1" customWidth="1"/>
    <col min="47" max="49" width="8.28515625" hidden="1" customWidth="1"/>
    <col min="50" max="50" width="8.7109375" hidden="1" customWidth="1"/>
    <col min="51" max="51" width="9.42578125" hidden="1" customWidth="1"/>
    <col min="52" max="52" width="11.140625" customWidth="1"/>
    <col min="53" max="53" width="10.5703125" customWidth="1"/>
    <col min="54" max="54" width="9.85546875" customWidth="1"/>
    <col min="55" max="55" width="11.7109375" customWidth="1"/>
    <col min="56" max="58" width="12.140625" customWidth="1"/>
    <col min="59" max="60" width="11.42578125" customWidth="1"/>
    <col min="61" max="64" width="12.140625" customWidth="1"/>
    <col min="65" max="65" width="12.140625" customWidth="1" collapsed="1"/>
    <col min="66" max="72" width="12.140625" hidden="1" customWidth="1" outlineLevel="1"/>
    <col min="73" max="75" width="12.140625" customWidth="1"/>
    <col min="76" max="76" width="10.140625" style="110" customWidth="1"/>
    <col min="77" max="77" width="13.85546875" hidden="1" customWidth="1"/>
    <col min="78" max="79" width="15" customWidth="1"/>
    <col min="80" max="80" width="38.140625" customWidth="1"/>
    <col min="82" max="83" width="9.28515625" customWidth="1"/>
  </cols>
  <sheetData>
    <row r="1" spans="1:83" ht="17.25">
      <c r="A1" s="87" t="s">
        <v>0</v>
      </c>
      <c r="B1" s="87"/>
      <c r="C1" s="97"/>
      <c r="D1" s="1"/>
      <c r="E1" s="2"/>
      <c r="F1" s="452"/>
      <c r="G1" s="45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5"/>
      <c r="AR1" s="5"/>
      <c r="AS1" s="6"/>
      <c r="AT1" s="6"/>
      <c r="AU1" s="5"/>
      <c r="AV1" s="5"/>
      <c r="AW1" s="7"/>
      <c r="AX1" s="8" t="s">
        <v>1</v>
      </c>
      <c r="AY1" s="9"/>
      <c r="AZ1" s="10"/>
      <c r="BD1" s="6"/>
      <c r="BE1" s="6"/>
      <c r="BF1" s="6"/>
      <c r="BG1" s="6"/>
      <c r="BH1" s="6"/>
      <c r="BI1" s="12" t="s">
        <v>236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99"/>
      <c r="BY1" s="3"/>
      <c r="BZ1" s="452"/>
      <c r="CA1" s="453"/>
      <c r="CB1" s="13"/>
      <c r="CC1" s="13"/>
      <c r="CD1" s="14"/>
      <c r="CE1" s="14"/>
    </row>
    <row r="2" spans="1:83" s="92" customFormat="1" ht="33" customHeight="1">
      <c r="A2" s="460" t="s">
        <v>2</v>
      </c>
      <c r="B2" s="461"/>
      <c r="C2" s="461" t="s">
        <v>3</v>
      </c>
      <c r="D2" s="461" t="s">
        <v>4</v>
      </c>
      <c r="E2" s="473" t="s">
        <v>671</v>
      </c>
      <c r="F2" s="448">
        <f>Summary!F2</f>
        <v>46173</v>
      </c>
      <c r="G2" s="459"/>
      <c r="H2" s="88">
        <v>44531</v>
      </c>
      <c r="I2" s="88">
        <v>44562</v>
      </c>
      <c r="J2" s="88">
        <v>44593</v>
      </c>
      <c r="K2" s="88">
        <v>44621</v>
      </c>
      <c r="L2" s="88">
        <v>44652</v>
      </c>
      <c r="M2" s="88">
        <v>44682</v>
      </c>
      <c r="N2" s="88">
        <v>44713</v>
      </c>
      <c r="O2" s="88">
        <v>44743</v>
      </c>
      <c r="P2" s="88">
        <v>44774</v>
      </c>
      <c r="Q2" s="88">
        <v>44805</v>
      </c>
      <c r="R2" s="88">
        <v>44835</v>
      </c>
      <c r="S2" s="88">
        <v>44866</v>
      </c>
      <c r="T2" s="88">
        <v>44896</v>
      </c>
      <c r="U2" s="88">
        <v>44927</v>
      </c>
      <c r="V2" s="88">
        <v>44958</v>
      </c>
      <c r="W2" s="88">
        <v>44986</v>
      </c>
      <c r="X2" s="88">
        <v>45017</v>
      </c>
      <c r="Y2" s="88">
        <v>45047</v>
      </c>
      <c r="Z2" s="88">
        <v>45078</v>
      </c>
      <c r="AA2" s="88">
        <v>45108</v>
      </c>
      <c r="AB2" s="88">
        <v>45139</v>
      </c>
      <c r="AC2" s="88">
        <v>45170</v>
      </c>
      <c r="AD2" s="88">
        <v>45200</v>
      </c>
      <c r="AE2" s="88">
        <v>45231</v>
      </c>
      <c r="AF2" s="88">
        <v>45261</v>
      </c>
      <c r="AG2" s="88">
        <v>45292</v>
      </c>
      <c r="AH2" s="88">
        <v>45323</v>
      </c>
      <c r="AI2" s="88">
        <v>45352</v>
      </c>
      <c r="AJ2" s="88">
        <v>45383</v>
      </c>
      <c r="AK2" s="88">
        <v>45413</v>
      </c>
      <c r="AL2" s="88">
        <v>45444</v>
      </c>
      <c r="AM2" s="88">
        <v>45474</v>
      </c>
      <c r="AN2" s="88">
        <v>45505</v>
      </c>
      <c r="AO2" s="88">
        <v>45536</v>
      </c>
      <c r="AP2" s="89">
        <v>45566</v>
      </c>
      <c r="AQ2" s="89">
        <v>45597</v>
      </c>
      <c r="AR2" s="89">
        <v>45627</v>
      </c>
      <c r="AS2" s="454" t="s">
        <v>637</v>
      </c>
      <c r="AT2" s="454" t="s">
        <v>636</v>
      </c>
      <c r="AU2" s="90">
        <v>45658</v>
      </c>
      <c r="AV2" s="90">
        <v>45689</v>
      </c>
      <c r="AW2" s="90">
        <v>45717</v>
      </c>
      <c r="AX2" s="90">
        <v>45748</v>
      </c>
      <c r="AY2" s="90">
        <v>45778</v>
      </c>
      <c r="AZ2" s="115" t="s">
        <v>456</v>
      </c>
      <c r="BA2" s="115" t="s">
        <v>455</v>
      </c>
      <c r="BB2" s="115" t="s">
        <v>453</v>
      </c>
      <c r="BC2" s="115" t="s">
        <v>454</v>
      </c>
      <c r="BD2" s="115" t="s">
        <v>457</v>
      </c>
      <c r="BE2" s="115" t="s">
        <v>458</v>
      </c>
      <c r="BF2" s="115" t="s">
        <v>459</v>
      </c>
      <c r="BG2" s="445" t="s">
        <v>228</v>
      </c>
      <c r="BH2" s="445" t="s">
        <v>229</v>
      </c>
      <c r="BI2" s="115" t="s">
        <v>673</v>
      </c>
      <c r="BJ2" s="115" t="s">
        <v>853</v>
      </c>
      <c r="BK2" s="115" t="s">
        <v>855</v>
      </c>
      <c r="BL2" s="115" t="s">
        <v>857</v>
      </c>
      <c r="BM2" s="115" t="s">
        <v>866</v>
      </c>
      <c r="BN2" s="115" t="s">
        <v>867</v>
      </c>
      <c r="BO2" s="115" t="s">
        <v>868</v>
      </c>
      <c r="BP2" s="115" t="s">
        <v>869</v>
      </c>
      <c r="BQ2" s="115" t="s">
        <v>870</v>
      </c>
      <c r="BR2" s="115" t="s">
        <v>871</v>
      </c>
      <c r="BS2" s="115" t="s">
        <v>872</v>
      </c>
      <c r="BT2" s="115" t="s">
        <v>873</v>
      </c>
      <c r="BU2" s="445" t="s">
        <v>859</v>
      </c>
      <c r="BV2" s="445" t="s">
        <v>860</v>
      </c>
      <c r="BW2" s="115" t="s">
        <v>949</v>
      </c>
      <c r="BX2" s="455" t="s">
        <v>8</v>
      </c>
      <c r="BY2" s="457" t="s">
        <v>9</v>
      </c>
      <c r="BZ2" s="458" t="s">
        <v>10</v>
      </c>
      <c r="CA2" s="459"/>
      <c r="CB2" s="450" t="s">
        <v>11</v>
      </c>
      <c r="CC2" s="450"/>
      <c r="CD2" s="91"/>
      <c r="CE2" s="91"/>
    </row>
    <row r="3" spans="1:83" s="92" customFormat="1" ht="33">
      <c r="A3" s="451"/>
      <c r="B3" s="462"/>
      <c r="C3" s="462"/>
      <c r="D3" s="451"/>
      <c r="E3" s="451"/>
      <c r="F3" s="189" t="s">
        <v>743</v>
      </c>
      <c r="G3" s="93" t="s">
        <v>227</v>
      </c>
      <c r="H3" s="94" t="s">
        <v>12</v>
      </c>
      <c r="I3" s="94" t="s">
        <v>12</v>
      </c>
      <c r="J3" s="94" t="s">
        <v>12</v>
      </c>
      <c r="K3" s="94" t="s">
        <v>12</v>
      </c>
      <c r="L3" s="94" t="s">
        <v>12</v>
      </c>
      <c r="M3" s="94" t="s">
        <v>12</v>
      </c>
      <c r="N3" s="94" t="s">
        <v>12</v>
      </c>
      <c r="O3" s="94" t="s">
        <v>12</v>
      </c>
      <c r="P3" s="94" t="s">
        <v>12</v>
      </c>
      <c r="Q3" s="94" t="s">
        <v>12</v>
      </c>
      <c r="R3" s="94" t="s">
        <v>12</v>
      </c>
      <c r="S3" s="94" t="s">
        <v>12</v>
      </c>
      <c r="T3" s="94" t="s">
        <v>12</v>
      </c>
      <c r="U3" s="94" t="s">
        <v>12</v>
      </c>
      <c r="V3" s="94" t="s">
        <v>12</v>
      </c>
      <c r="W3" s="94" t="s">
        <v>12</v>
      </c>
      <c r="X3" s="94" t="s">
        <v>12</v>
      </c>
      <c r="Y3" s="94" t="s">
        <v>12</v>
      </c>
      <c r="Z3" s="94" t="s">
        <v>12</v>
      </c>
      <c r="AA3" s="94" t="s">
        <v>12</v>
      </c>
      <c r="AB3" s="94" t="s">
        <v>12</v>
      </c>
      <c r="AC3" s="94" t="s">
        <v>12</v>
      </c>
      <c r="AD3" s="94" t="s">
        <v>12</v>
      </c>
      <c r="AE3" s="94" t="s">
        <v>12</v>
      </c>
      <c r="AF3" s="94" t="s">
        <v>12</v>
      </c>
      <c r="AG3" s="94" t="s">
        <v>12</v>
      </c>
      <c r="AH3" s="94" t="s">
        <v>12</v>
      </c>
      <c r="AI3" s="94" t="s">
        <v>12</v>
      </c>
      <c r="AJ3" s="94" t="s">
        <v>12</v>
      </c>
      <c r="AK3" s="94" t="s">
        <v>12</v>
      </c>
      <c r="AL3" s="94" t="s">
        <v>12</v>
      </c>
      <c r="AM3" s="94" t="s">
        <v>12</v>
      </c>
      <c r="AN3" s="94" t="s">
        <v>12</v>
      </c>
      <c r="AO3" s="94" t="s">
        <v>12</v>
      </c>
      <c r="AP3" s="94" t="s">
        <v>12</v>
      </c>
      <c r="AQ3" s="94" t="s">
        <v>12</v>
      </c>
      <c r="AR3" s="94" t="s">
        <v>12</v>
      </c>
      <c r="AS3" s="451"/>
      <c r="AT3" s="451"/>
      <c r="AU3" s="95" t="s">
        <v>12</v>
      </c>
      <c r="AV3" s="95" t="s">
        <v>12</v>
      </c>
      <c r="AW3" s="95" t="s">
        <v>12</v>
      </c>
      <c r="AX3" s="95" t="s">
        <v>12</v>
      </c>
      <c r="AY3" s="95" t="s">
        <v>12</v>
      </c>
      <c r="AZ3" s="95" t="s">
        <v>12</v>
      </c>
      <c r="BA3" s="95" t="s">
        <v>12</v>
      </c>
      <c r="BB3" s="95" t="s">
        <v>12</v>
      </c>
      <c r="BC3" s="95" t="s">
        <v>12</v>
      </c>
      <c r="BD3" s="95" t="s">
        <v>12</v>
      </c>
      <c r="BE3" s="95" t="s">
        <v>12</v>
      </c>
      <c r="BF3" s="95" t="s">
        <v>12</v>
      </c>
      <c r="BG3" s="451"/>
      <c r="BH3" s="451"/>
      <c r="BI3" s="95" t="s">
        <v>12</v>
      </c>
      <c r="BJ3" s="95" t="s">
        <v>12</v>
      </c>
      <c r="BK3" s="95" t="s">
        <v>12</v>
      </c>
      <c r="BL3" s="95" t="s">
        <v>12</v>
      </c>
      <c r="BM3" s="95" t="s">
        <v>12</v>
      </c>
      <c r="BN3" s="95" t="s">
        <v>12</v>
      </c>
      <c r="BO3" s="95" t="s">
        <v>12</v>
      </c>
      <c r="BP3" s="95" t="s">
        <v>12</v>
      </c>
      <c r="BQ3" s="95" t="s">
        <v>12</v>
      </c>
      <c r="BR3" s="95" t="s">
        <v>12</v>
      </c>
      <c r="BS3" s="95" t="s">
        <v>12</v>
      </c>
      <c r="BT3" s="95" t="s">
        <v>12</v>
      </c>
      <c r="BU3" s="446"/>
      <c r="BV3" s="446"/>
      <c r="BW3" s="403" t="s">
        <v>13</v>
      </c>
      <c r="BX3" s="456"/>
      <c r="BY3" s="451"/>
      <c r="BZ3" s="113" t="s">
        <v>230</v>
      </c>
      <c r="CA3" s="113" t="s">
        <v>231</v>
      </c>
      <c r="CB3" s="451"/>
      <c r="CC3" s="451"/>
      <c r="CD3" s="91"/>
      <c r="CE3" s="91"/>
    </row>
    <row r="4" spans="1:83" s="118" customFormat="1" ht="16.5" customHeight="1">
      <c r="A4" s="136" t="s">
        <v>14</v>
      </c>
      <c r="B4" s="118">
        <v>6150001</v>
      </c>
      <c r="C4" s="118" t="s">
        <v>595</v>
      </c>
      <c r="D4" s="197">
        <v>2</v>
      </c>
      <c r="E4" s="198" t="s">
        <v>15</v>
      </c>
      <c r="F4" s="349">
        <v>100</v>
      </c>
      <c r="G4" s="349"/>
      <c r="H4" s="200">
        <v>3</v>
      </c>
      <c r="I4" s="200">
        <v>3</v>
      </c>
      <c r="J4" s="200">
        <v>2</v>
      </c>
      <c r="K4" s="200">
        <v>5</v>
      </c>
      <c r="L4" s="200">
        <v>4</v>
      </c>
      <c r="M4" s="200">
        <v>6</v>
      </c>
      <c r="N4" s="200">
        <v>0</v>
      </c>
      <c r="O4" s="200">
        <v>0</v>
      </c>
      <c r="P4" s="200">
        <v>14</v>
      </c>
      <c r="Q4" s="200">
        <v>0</v>
      </c>
      <c r="R4" s="200">
        <v>6</v>
      </c>
      <c r="S4" s="200">
        <v>6</v>
      </c>
      <c r="T4" s="200">
        <v>20</v>
      </c>
      <c r="U4" s="200">
        <v>4</v>
      </c>
      <c r="V4" s="200">
        <v>3</v>
      </c>
      <c r="W4" s="200">
        <v>0</v>
      </c>
      <c r="X4" s="200">
        <v>2</v>
      </c>
      <c r="Y4" s="200">
        <v>1</v>
      </c>
      <c r="Z4" s="200">
        <v>9</v>
      </c>
      <c r="AA4" s="200">
        <v>16</v>
      </c>
      <c r="AB4" s="200">
        <v>2</v>
      </c>
      <c r="AC4" s="200">
        <v>3</v>
      </c>
      <c r="AD4" s="200">
        <v>3</v>
      </c>
      <c r="AE4" s="200">
        <v>2</v>
      </c>
      <c r="AF4" s="200">
        <v>6</v>
      </c>
      <c r="AG4" s="201">
        <v>7.5</v>
      </c>
      <c r="AH4" s="201">
        <v>6.5</v>
      </c>
      <c r="AI4" s="201">
        <v>11</v>
      </c>
      <c r="AJ4" s="201">
        <v>11.5</v>
      </c>
      <c r="AK4" s="201">
        <v>11.5</v>
      </c>
      <c r="AL4" s="201">
        <v>21</v>
      </c>
      <c r="AM4" s="201">
        <v>9.5</v>
      </c>
      <c r="AN4" s="201">
        <v>11</v>
      </c>
      <c r="AO4" s="201">
        <v>17</v>
      </c>
      <c r="AP4" s="201">
        <v>8.5</v>
      </c>
      <c r="AQ4" s="202">
        <v>19.5</v>
      </c>
      <c r="AR4" s="203">
        <v>18</v>
      </c>
      <c r="AS4" s="204">
        <f t="shared" ref="AS4:AS20" si="0">SUM(AG4:AR4)</f>
        <v>152.5</v>
      </c>
      <c r="AT4" s="205">
        <f t="shared" ref="AT4:AT20" si="1">AS4/12</f>
        <v>12.708333333333334</v>
      </c>
      <c r="AU4" s="203">
        <v>64</v>
      </c>
      <c r="AV4" s="203">
        <v>29</v>
      </c>
      <c r="AW4" s="203">
        <v>54</v>
      </c>
      <c r="AX4" s="203">
        <v>60</v>
      </c>
      <c r="AY4" s="203">
        <v>75</v>
      </c>
      <c r="AZ4" s="203">
        <f>SUMIFS(領用表!$L:$L,領用表!$E:$E,$B4,領用表!$B:$B,AZ$2&amp;$BI$1)</f>
        <v>47</v>
      </c>
      <c r="BA4" s="203">
        <f>SUMIFS(領用表!$L:$L,領用表!$E:$E,$B4,領用表!$B:$B,BA$2&amp;$BI$1)</f>
        <v>63</v>
      </c>
      <c r="BB4" s="203">
        <f>SUMIFS(領用表!$L:$L,領用表!$E:$E,$B4,領用表!$B:$B,BB$2&amp;$BI$1)</f>
        <v>64</v>
      </c>
      <c r="BC4" s="203">
        <f>SUMIFS(領用表!$L:$L,領用表!$E:$E,$B4,領用表!$B:$B,BC$2&amp;$BI$1)</f>
        <v>64</v>
      </c>
      <c r="BD4" s="208">
        <f>SUMIFS(領用表!$L:$L,領用表!$E:$E,$B4,領用表!$B:$B,BD$2&amp;$BI$1)</f>
        <v>68</v>
      </c>
      <c r="BE4" s="208">
        <f>SUMIFS(領用表!$L:$L,領用表!$E:$E,$B4,領用表!$B:$B,BE$2&amp;$BI$1)</f>
        <v>87</v>
      </c>
      <c r="BF4" s="208">
        <f>SUMIFS(領用表!$L:$L,領用表!$E:$E,$B4,領用表!$B:$B,BF$2&amp;$BI$1)</f>
        <v>116</v>
      </c>
      <c r="BG4" s="207">
        <f t="shared" ref="BG4:BG40" si="2">SUM(AU4,AV4,AW4,AX4,AY4,AZ4,BA4,BB4,BC4,BD4,BE4,BF4)</f>
        <v>791</v>
      </c>
      <c r="BH4" s="207">
        <f t="shared" ref="BH4:BH40" si="3">AVERAGE(AU4,AV4,AW4,AX4,AY4,AZ4,BA4,BB4,BC4,BD4,BE4,BF4)</f>
        <v>65.916666666666671</v>
      </c>
      <c r="BI4" s="208">
        <f>SUMIFS(領用表!$L:$L,領用表!$E:$E,$B4,領用表!$B:$B,BI$2&amp;$BI$1)</f>
        <v>150</v>
      </c>
      <c r="BJ4" s="208">
        <f>SUMIFS(領用表!$L:$L,領用表!$E:$E,$B4,領用表!$B:$B,BJ$2&amp;$BI$1)</f>
        <v>220</v>
      </c>
      <c r="BK4" s="208">
        <f>SUMIFS(領用表!$L:$L,領用表!$E:$E,$B4,領用表!$B:$B,BK$2&amp;$BI$1)</f>
        <v>176</v>
      </c>
      <c r="BL4" s="208">
        <f>SUMIFS(領用表!$L:$L,領用表!$E:$E,$B4,領用表!$B:$B,BL$2&amp;$BI$1)</f>
        <v>150</v>
      </c>
      <c r="BM4" s="208">
        <f>SUMIFS(領用表!$L:$L,領用表!$E:$E,$B4,領用表!$B:$B,BM$2&amp;$BI$1)</f>
        <v>183</v>
      </c>
      <c r="BN4" s="208">
        <f>SUMIFS(領用表!$L:$L,領用表!$E:$E,$B4,領用表!$B:$B,BN$2&amp;$BI$1)</f>
        <v>0</v>
      </c>
      <c r="BO4" s="208">
        <f>SUMIFS(領用表!$L:$L,領用表!$E:$E,$B4,領用表!$B:$B,BO$2&amp;$BI$1)</f>
        <v>0</v>
      </c>
      <c r="BP4" s="208">
        <f>SUMIFS(領用表!$L:$L,領用表!$E:$E,$B4,領用表!$B:$B,BP$2&amp;$BI$1)</f>
        <v>0</v>
      </c>
      <c r="BQ4" s="208">
        <f>SUMIFS(領用表!$L:$L,領用表!$E:$E,$B4,領用表!$B:$B,BQ$2&amp;$BI$1)</f>
        <v>0</v>
      </c>
      <c r="BR4" s="208">
        <f>SUMIFS(領用表!$L:$L,領用表!$E:$E,$B4,領用表!$B:$B,BR$2&amp;$BI$1)</f>
        <v>0</v>
      </c>
      <c r="BS4" s="208">
        <f>SUMIFS(領用表!$L:$L,領用表!$E:$E,$B4,領用表!$B:$B,BS$2&amp;$BI$1)</f>
        <v>0</v>
      </c>
      <c r="BT4" s="208">
        <f>SUMIFS(領用表!$L:$L,領用表!$E:$E,$B4,領用表!$B:$B,BT$2&amp;$BI$1)</f>
        <v>0</v>
      </c>
      <c r="BU4" s="208">
        <f>SUM(BI4,BJ4,BK4,BL4,BM4)</f>
        <v>879</v>
      </c>
      <c r="BV4" s="208">
        <f>AVERAGE(BI4,BJ4,BK4,BL4,BM4)</f>
        <v>175.8</v>
      </c>
      <c r="BW4" s="208">
        <f>SUMIF(Summary!B:B,B4,Summary!DT:DT)</f>
        <v>120</v>
      </c>
      <c r="BX4" s="209"/>
      <c r="BY4" s="210">
        <v>0</v>
      </c>
      <c r="BZ4" s="211" t="s">
        <v>781</v>
      </c>
      <c r="CA4" s="211" t="s">
        <v>782</v>
      </c>
      <c r="CB4" s="136"/>
      <c r="CC4" s="212"/>
      <c r="CE4" s="213"/>
    </row>
    <row r="5" spans="1:83" s="118" customFormat="1" ht="15.75" customHeight="1">
      <c r="A5" s="136" t="s">
        <v>18</v>
      </c>
      <c r="B5" s="118">
        <v>6150002</v>
      </c>
      <c r="C5" s="411" t="s">
        <v>963</v>
      </c>
      <c r="D5" s="197">
        <v>2</v>
      </c>
      <c r="E5" s="198" t="s">
        <v>15</v>
      </c>
      <c r="F5" s="349">
        <v>4</v>
      </c>
      <c r="G5" s="349"/>
      <c r="H5" s="200">
        <v>0</v>
      </c>
      <c r="I5" s="200">
        <v>3</v>
      </c>
      <c r="J5" s="200">
        <v>0</v>
      </c>
      <c r="K5" s="200">
        <v>3</v>
      </c>
      <c r="L5" s="200">
        <v>0</v>
      </c>
      <c r="M5" s="200">
        <v>0</v>
      </c>
      <c r="N5" s="200">
        <v>0</v>
      </c>
      <c r="O5" s="200">
        <v>0</v>
      </c>
      <c r="P5" s="200">
        <v>3</v>
      </c>
      <c r="Q5" s="200">
        <v>0</v>
      </c>
      <c r="R5" s="200">
        <v>2</v>
      </c>
      <c r="S5" s="200">
        <v>0</v>
      </c>
      <c r="T5" s="200">
        <v>2</v>
      </c>
      <c r="U5" s="200">
        <v>5</v>
      </c>
      <c r="V5" s="200">
        <v>0</v>
      </c>
      <c r="W5" s="200">
        <v>0</v>
      </c>
      <c r="X5" s="200">
        <v>0</v>
      </c>
      <c r="Y5" s="200">
        <v>1</v>
      </c>
      <c r="Z5" s="200">
        <v>0</v>
      </c>
      <c r="AA5" s="200">
        <v>4</v>
      </c>
      <c r="AB5" s="200">
        <v>0</v>
      </c>
      <c r="AC5" s="200">
        <v>1</v>
      </c>
      <c r="AD5" s="200">
        <v>1</v>
      </c>
      <c r="AE5" s="200">
        <v>3</v>
      </c>
      <c r="AF5" s="200">
        <v>19</v>
      </c>
      <c r="AG5" s="201">
        <v>4.5</v>
      </c>
      <c r="AH5" s="201">
        <v>0.5</v>
      </c>
      <c r="AI5" s="201">
        <v>3.5</v>
      </c>
      <c r="AJ5" s="201">
        <v>0.5</v>
      </c>
      <c r="AK5" s="201">
        <v>3</v>
      </c>
      <c r="AL5" s="201">
        <v>5.5</v>
      </c>
      <c r="AM5" s="201">
        <v>4.5</v>
      </c>
      <c r="AN5" s="201">
        <v>3.5</v>
      </c>
      <c r="AO5" s="201">
        <v>1</v>
      </c>
      <c r="AP5" s="201">
        <v>1</v>
      </c>
      <c r="AQ5" s="202">
        <v>3</v>
      </c>
      <c r="AR5" s="203">
        <v>6</v>
      </c>
      <c r="AS5" s="204">
        <f t="shared" si="0"/>
        <v>36.5</v>
      </c>
      <c r="AT5" s="205">
        <f t="shared" si="1"/>
        <v>3.0416666666666665</v>
      </c>
      <c r="AU5" s="203">
        <v>11</v>
      </c>
      <c r="AV5" s="203">
        <v>2</v>
      </c>
      <c r="AW5" s="203">
        <v>1</v>
      </c>
      <c r="AX5" s="203">
        <v>9</v>
      </c>
      <c r="AY5" s="203">
        <v>3</v>
      </c>
      <c r="AZ5" s="203">
        <f>SUMIFS(領用表!$L:$L,領用表!$E:$E,$B5,領用表!$B:$B,AZ$2&amp;$BI$1)</f>
        <v>3</v>
      </c>
      <c r="BA5" s="203">
        <f>SUMIFS(領用表!$L:$L,領用表!$E:$E,$B5,領用表!$B:$B,BA$2&amp;$BI$1)</f>
        <v>10</v>
      </c>
      <c r="BB5" s="203">
        <f>SUMIFS(領用表!$L:$L,領用表!$E:$E,$B5,領用表!$B:$B,BB$2&amp;$BI$1)</f>
        <v>3</v>
      </c>
      <c r="BC5" s="203">
        <f>SUMIFS(領用表!$L:$L,領用表!$E:$E,$B5,領用表!$B:$B,BC$2&amp;$BI$1)</f>
        <v>9</v>
      </c>
      <c r="BD5" s="208">
        <f>SUMIFS(領用表!$L:$L,領用表!$E:$E,$B5,領用表!$B:$B,BD$2&amp;$BI$1)</f>
        <v>5</v>
      </c>
      <c r="BE5" s="208">
        <f>SUMIFS(領用表!$L:$L,領用表!$E:$E,$B5,領用表!$B:$B,BE$2&amp;$BI$1)</f>
        <v>2</v>
      </c>
      <c r="BF5" s="208">
        <f>SUMIFS(領用表!$L:$L,領用表!$E:$E,$B5,領用表!$B:$B,BF$2&amp;$BI$1)</f>
        <v>3</v>
      </c>
      <c r="BG5" s="207">
        <f t="shared" si="2"/>
        <v>61</v>
      </c>
      <c r="BH5" s="207">
        <f t="shared" si="3"/>
        <v>5.083333333333333</v>
      </c>
      <c r="BI5" s="208">
        <f>SUMIFS(領用表!$L:$L,領用表!$E:$E,$B5,領用表!$B:$B,BI$2&amp;$BI$1)</f>
        <v>6</v>
      </c>
      <c r="BJ5" s="208">
        <f>SUMIFS(領用表!$L:$L,領用表!$E:$E,$B5,領用表!$B:$B,BJ$2&amp;$BI$1)</f>
        <v>7</v>
      </c>
      <c r="BK5" s="208">
        <f>SUMIFS(領用表!$L:$L,領用表!$E:$E,$B5,領用表!$B:$B,BK$2&amp;$BI$1)</f>
        <v>11</v>
      </c>
      <c r="BL5" s="208">
        <f>SUMIFS(領用表!$L:$L,領用表!$E:$E,$B5,領用表!$B:$B,BL$2&amp;$BI$1)</f>
        <v>7</v>
      </c>
      <c r="BM5" s="208">
        <f>SUMIFS(領用表!$L:$L,領用表!$E:$E,$B5,領用表!$B:$B,BM$2&amp;$BI$1)</f>
        <v>6</v>
      </c>
      <c r="BN5" s="208">
        <f>SUMIFS(領用表!$L:$L,領用表!$E:$E,$B5,領用表!$B:$B,BN$2&amp;$BI$1)</f>
        <v>0</v>
      </c>
      <c r="BO5" s="208">
        <f>SUMIFS(領用表!$L:$L,領用表!$E:$E,$B5,領用表!$B:$B,BO$2&amp;$BI$1)</f>
        <v>0</v>
      </c>
      <c r="BP5" s="208">
        <f>SUMIFS(領用表!$L:$L,領用表!$E:$E,$B5,領用表!$B:$B,BP$2&amp;$BI$1)</f>
        <v>0</v>
      </c>
      <c r="BQ5" s="208">
        <f>SUMIFS(領用表!$L:$L,領用表!$E:$E,$B5,領用表!$B:$B,BQ$2&amp;$BI$1)</f>
        <v>0</v>
      </c>
      <c r="BR5" s="208">
        <f>SUMIFS(領用表!$L:$L,領用表!$E:$E,$B5,領用表!$B:$B,BR$2&amp;$BI$1)</f>
        <v>0</v>
      </c>
      <c r="BS5" s="208">
        <f>SUMIFS(領用表!$L:$L,領用表!$E:$E,$B5,領用表!$B:$B,BS$2&amp;$BI$1)</f>
        <v>0</v>
      </c>
      <c r="BT5" s="208">
        <f>SUMIFS(領用表!$L:$L,領用表!$E:$E,$B5,領用表!$B:$B,BT$2&amp;$BI$1)</f>
        <v>0</v>
      </c>
      <c r="BU5" s="208">
        <f t="shared" ref="BU5:BU70" si="4">SUM(BI5,BJ5,BK5,BL5,BM5)</f>
        <v>37</v>
      </c>
      <c r="BV5" s="208">
        <f t="shared" ref="BV5:BV70" si="5">AVERAGE(BI5,BJ5,BK5,BL5,BM5)</f>
        <v>7.4</v>
      </c>
      <c r="BW5" s="208">
        <f>SUMIF(Summary!B:B,B5,Summary!DT:DT)</f>
        <v>8</v>
      </c>
      <c r="BX5" s="209"/>
      <c r="BY5" s="210">
        <v>0</v>
      </c>
      <c r="BZ5" s="211"/>
      <c r="CA5" s="211" t="s">
        <v>782</v>
      </c>
      <c r="CB5" s="136"/>
      <c r="CC5" s="212"/>
      <c r="CE5" s="213"/>
    </row>
    <row r="6" spans="1:83" s="118" customFormat="1" ht="15.75" customHeight="1">
      <c r="A6" s="136" t="s">
        <v>19</v>
      </c>
      <c r="B6" s="118">
        <v>6150003</v>
      </c>
      <c r="C6" s="118" t="s">
        <v>597</v>
      </c>
      <c r="D6" s="197">
        <v>2</v>
      </c>
      <c r="E6" s="198" t="s">
        <v>15</v>
      </c>
      <c r="F6" s="349">
        <v>4</v>
      </c>
      <c r="G6" s="349"/>
      <c r="H6" s="200">
        <v>1</v>
      </c>
      <c r="I6" s="200">
        <v>1</v>
      </c>
      <c r="J6" s="200">
        <v>0</v>
      </c>
      <c r="K6" s="200">
        <v>0</v>
      </c>
      <c r="L6" s="200">
        <v>2</v>
      </c>
      <c r="M6" s="200">
        <v>1</v>
      </c>
      <c r="N6" s="200">
        <v>0</v>
      </c>
      <c r="O6" s="200">
        <v>0</v>
      </c>
      <c r="P6" s="200">
        <v>2</v>
      </c>
      <c r="Q6" s="200">
        <v>0</v>
      </c>
      <c r="R6" s="200">
        <v>0</v>
      </c>
      <c r="S6" s="200">
        <v>1</v>
      </c>
      <c r="T6" s="200">
        <v>6</v>
      </c>
      <c r="U6" s="200">
        <v>3</v>
      </c>
      <c r="V6" s="200">
        <v>0</v>
      </c>
      <c r="W6" s="200">
        <v>0</v>
      </c>
      <c r="X6" s="200">
        <v>0</v>
      </c>
      <c r="Y6" s="200">
        <v>2</v>
      </c>
      <c r="Z6" s="200">
        <v>1</v>
      </c>
      <c r="AA6" s="200">
        <v>3</v>
      </c>
      <c r="AB6" s="200">
        <v>0</v>
      </c>
      <c r="AC6" s="200">
        <v>0</v>
      </c>
      <c r="AD6" s="200">
        <v>0</v>
      </c>
      <c r="AE6" s="200">
        <v>2</v>
      </c>
      <c r="AF6" s="200">
        <v>10</v>
      </c>
      <c r="AG6" s="201">
        <v>1</v>
      </c>
      <c r="AH6" s="201">
        <v>0</v>
      </c>
      <c r="AI6" s="201">
        <v>0.5</v>
      </c>
      <c r="AJ6" s="201">
        <v>0.5</v>
      </c>
      <c r="AK6" s="201">
        <v>0</v>
      </c>
      <c r="AL6" s="201">
        <v>2.5</v>
      </c>
      <c r="AM6" s="201">
        <v>0.5</v>
      </c>
      <c r="AN6" s="201">
        <v>0.5</v>
      </c>
      <c r="AO6" s="201">
        <v>7</v>
      </c>
      <c r="AP6" s="201">
        <v>10</v>
      </c>
      <c r="AQ6" s="202">
        <v>0.5</v>
      </c>
      <c r="AR6" s="203">
        <v>0</v>
      </c>
      <c r="AS6" s="204">
        <f t="shared" si="0"/>
        <v>23</v>
      </c>
      <c r="AT6" s="205">
        <f t="shared" si="1"/>
        <v>1.9166666666666667</v>
      </c>
      <c r="AU6" s="203">
        <v>1</v>
      </c>
      <c r="AV6" s="203">
        <v>0</v>
      </c>
      <c r="AW6" s="203">
        <v>0</v>
      </c>
      <c r="AX6" s="214">
        <v>1</v>
      </c>
      <c r="AY6" s="203">
        <v>6</v>
      </c>
      <c r="AZ6" s="203">
        <f>SUMIFS(領用表!$L:$L,領用表!$E:$E,$B6,領用表!$B:$B,AZ$2&amp;$BI$1)</f>
        <v>3</v>
      </c>
      <c r="BA6" s="203">
        <f>SUMIFS(領用表!$L:$L,領用表!$E:$E,$B6,領用表!$B:$B,BA$2&amp;$BI$1)</f>
        <v>6</v>
      </c>
      <c r="BB6" s="203">
        <f>SUMIFS(領用表!$L:$L,領用表!$E:$E,$B6,領用表!$B:$B,BB$2&amp;$BI$1)</f>
        <v>7</v>
      </c>
      <c r="BC6" s="203">
        <f>SUMIFS(領用表!$L:$L,領用表!$E:$E,$B6,領用表!$B:$B,BC$2&amp;$BI$1)</f>
        <v>0</v>
      </c>
      <c r="BD6" s="208">
        <f>SUMIFS(領用表!$L:$L,領用表!$E:$E,$B6,領用表!$B:$B,BD$2&amp;$BI$1)</f>
        <v>1</v>
      </c>
      <c r="BE6" s="208">
        <f>SUMIFS(領用表!$L:$L,領用表!$E:$E,$B6,領用表!$B:$B,BE$2&amp;$BI$1)</f>
        <v>3</v>
      </c>
      <c r="BF6" s="208">
        <f>SUMIFS(領用表!$L:$L,領用表!$E:$E,$B6,領用表!$B:$B,BF$2&amp;$BI$1)</f>
        <v>4</v>
      </c>
      <c r="BG6" s="207">
        <f t="shared" si="2"/>
        <v>32</v>
      </c>
      <c r="BH6" s="207">
        <f t="shared" si="3"/>
        <v>2.6666666666666665</v>
      </c>
      <c r="BI6" s="208">
        <f>SUMIFS(領用表!$L:$L,領用表!$E:$E,$B6,領用表!$B:$B,BI$2&amp;$BI$1)</f>
        <v>10</v>
      </c>
      <c r="BJ6" s="208">
        <f>SUMIFS(領用表!$L:$L,領用表!$E:$E,$B6,領用表!$B:$B,BJ$2&amp;$BI$1)</f>
        <v>6</v>
      </c>
      <c r="BK6" s="208">
        <f>SUMIFS(領用表!$L:$L,領用表!$E:$E,$B6,領用表!$B:$B,BK$2&amp;$BI$1)</f>
        <v>4</v>
      </c>
      <c r="BL6" s="208">
        <f>SUMIFS(領用表!$L:$L,領用表!$E:$E,$B6,領用表!$B:$B,BL$2&amp;$BI$1)</f>
        <v>3</v>
      </c>
      <c r="BM6" s="208">
        <f>SUMIFS(領用表!$L:$L,領用表!$E:$E,$B6,領用表!$B:$B,BM$2&amp;$BI$1)</f>
        <v>2</v>
      </c>
      <c r="BN6" s="208">
        <f>SUMIFS(領用表!$L:$L,領用表!$E:$E,$B6,領用表!$B:$B,BN$2&amp;$BI$1)</f>
        <v>0</v>
      </c>
      <c r="BO6" s="208">
        <f>SUMIFS(領用表!$L:$L,領用表!$E:$E,$B6,領用表!$B:$B,BO$2&amp;$BI$1)</f>
        <v>0</v>
      </c>
      <c r="BP6" s="208">
        <f>SUMIFS(領用表!$L:$L,領用表!$E:$E,$B6,領用表!$B:$B,BP$2&amp;$BI$1)</f>
        <v>0</v>
      </c>
      <c r="BQ6" s="208">
        <f>SUMIFS(領用表!$L:$L,領用表!$E:$E,$B6,領用表!$B:$B,BQ$2&amp;$BI$1)</f>
        <v>0</v>
      </c>
      <c r="BR6" s="208">
        <f>SUMIFS(領用表!$L:$L,領用表!$E:$E,$B6,領用表!$B:$B,BR$2&amp;$BI$1)</f>
        <v>0</v>
      </c>
      <c r="BS6" s="208">
        <f>SUMIFS(領用表!$L:$L,領用表!$E:$E,$B6,領用表!$B:$B,BS$2&amp;$BI$1)</f>
        <v>0</v>
      </c>
      <c r="BT6" s="208">
        <f>SUMIFS(領用表!$L:$L,領用表!$E:$E,$B6,領用表!$B:$B,BT$2&amp;$BI$1)</f>
        <v>0</v>
      </c>
      <c r="BU6" s="208">
        <f t="shared" si="4"/>
        <v>25</v>
      </c>
      <c r="BV6" s="208">
        <f t="shared" si="5"/>
        <v>5</v>
      </c>
      <c r="BW6" s="208">
        <f>SUMIF(Summary!B:B,B6,Summary!DT:DT)</f>
        <v>10</v>
      </c>
      <c r="BX6" s="215"/>
      <c r="BY6" s="210">
        <v>0</v>
      </c>
      <c r="BZ6" s="211"/>
      <c r="CA6" s="211"/>
      <c r="CB6" s="136"/>
      <c r="CC6" s="212"/>
      <c r="CE6" s="213"/>
    </row>
    <row r="7" spans="1:83" s="118" customFormat="1" ht="15.75" customHeight="1">
      <c r="A7" s="136" t="s">
        <v>20</v>
      </c>
      <c r="B7" s="118">
        <v>6150004</v>
      </c>
      <c r="C7" s="118" t="s">
        <v>598</v>
      </c>
      <c r="D7" s="197">
        <v>2</v>
      </c>
      <c r="E7" s="198" t="s">
        <v>15</v>
      </c>
      <c r="F7" s="349">
        <v>10</v>
      </c>
      <c r="G7" s="349"/>
      <c r="H7" s="200">
        <v>2</v>
      </c>
      <c r="I7" s="200">
        <v>2</v>
      </c>
      <c r="J7" s="200">
        <v>0</v>
      </c>
      <c r="K7" s="200">
        <v>2</v>
      </c>
      <c r="L7" s="200">
        <v>2</v>
      </c>
      <c r="M7" s="200">
        <v>2</v>
      </c>
      <c r="N7" s="200">
        <v>0</v>
      </c>
      <c r="O7" s="200">
        <v>0</v>
      </c>
      <c r="P7" s="200">
        <v>2</v>
      </c>
      <c r="Q7" s="200">
        <v>3</v>
      </c>
      <c r="R7" s="200">
        <v>0</v>
      </c>
      <c r="S7" s="200">
        <v>3</v>
      </c>
      <c r="T7" s="200">
        <v>1</v>
      </c>
      <c r="U7" s="200">
        <v>3</v>
      </c>
      <c r="V7" s="200">
        <v>4</v>
      </c>
      <c r="W7" s="200">
        <v>4</v>
      </c>
      <c r="X7" s="200">
        <v>5</v>
      </c>
      <c r="Y7" s="200">
        <v>1</v>
      </c>
      <c r="Z7" s="200">
        <v>4</v>
      </c>
      <c r="AA7" s="200">
        <v>8</v>
      </c>
      <c r="AB7" s="200">
        <v>1</v>
      </c>
      <c r="AC7" s="200">
        <v>2</v>
      </c>
      <c r="AD7" s="200">
        <v>5</v>
      </c>
      <c r="AE7" s="200">
        <v>1</v>
      </c>
      <c r="AF7" s="200">
        <v>3</v>
      </c>
      <c r="AG7" s="201">
        <v>2</v>
      </c>
      <c r="AH7" s="201">
        <v>0.5</v>
      </c>
      <c r="AI7" s="201">
        <v>1.5</v>
      </c>
      <c r="AJ7" s="201">
        <v>0.5</v>
      </c>
      <c r="AK7" s="201">
        <v>2.5</v>
      </c>
      <c r="AL7" s="201">
        <v>1.5</v>
      </c>
      <c r="AM7" s="201">
        <v>2.5</v>
      </c>
      <c r="AN7" s="201">
        <v>5.5</v>
      </c>
      <c r="AO7" s="201">
        <v>6</v>
      </c>
      <c r="AP7" s="201">
        <v>4</v>
      </c>
      <c r="AQ7" s="202">
        <v>2.5</v>
      </c>
      <c r="AR7" s="203">
        <v>1</v>
      </c>
      <c r="AS7" s="204">
        <f t="shared" si="0"/>
        <v>30</v>
      </c>
      <c r="AT7" s="205">
        <f t="shared" si="1"/>
        <v>2.5</v>
      </c>
      <c r="AU7" s="203">
        <v>6</v>
      </c>
      <c r="AV7" s="203">
        <v>5</v>
      </c>
      <c r="AW7" s="203">
        <v>16</v>
      </c>
      <c r="AX7" s="203">
        <v>26</v>
      </c>
      <c r="AY7" s="203">
        <v>19</v>
      </c>
      <c r="AZ7" s="203">
        <f>SUMIFS(領用表!$L:$L,領用表!$E:$E,$B7,領用表!$B:$B,AZ$2&amp;$BI$1)</f>
        <v>14</v>
      </c>
      <c r="BA7" s="203">
        <f>SUMIFS(領用表!$L:$L,領用表!$E:$E,$B7,領用表!$B:$B,BA$2&amp;$BI$1)</f>
        <v>13</v>
      </c>
      <c r="BB7" s="203">
        <f>SUMIFS(領用表!$L:$L,領用表!$E:$E,$B7,領用表!$B:$B,BB$2&amp;$BI$1)</f>
        <v>10</v>
      </c>
      <c r="BC7" s="203">
        <f>SUMIFS(領用表!$L:$L,領用表!$E:$E,$B7,領用表!$B:$B,BC$2&amp;$BI$1)</f>
        <v>10</v>
      </c>
      <c r="BD7" s="208">
        <f>SUMIFS(領用表!$L:$L,領用表!$E:$E,$B7,領用表!$B:$B,BD$2&amp;$BI$1)</f>
        <v>12</v>
      </c>
      <c r="BE7" s="208">
        <f>SUMIFS(領用表!$L:$L,領用表!$E:$E,$B7,領用表!$B:$B,BE$2&amp;$BI$1)</f>
        <v>8</v>
      </c>
      <c r="BF7" s="208">
        <f>SUMIFS(領用表!$L:$L,領用表!$E:$E,$B7,領用表!$B:$B,BF$2&amp;$BI$1)</f>
        <v>13</v>
      </c>
      <c r="BG7" s="207">
        <f t="shared" si="2"/>
        <v>152</v>
      </c>
      <c r="BH7" s="207">
        <f t="shared" si="3"/>
        <v>12.666666666666666</v>
      </c>
      <c r="BI7" s="208">
        <f>SUMIFS(領用表!$L:$L,領用表!$E:$E,$B7,領用表!$B:$B,BI$2&amp;$BI$1)</f>
        <v>12</v>
      </c>
      <c r="BJ7" s="208">
        <f>SUMIFS(領用表!$L:$L,領用表!$E:$E,$B7,領用表!$B:$B,BJ$2&amp;$BI$1)</f>
        <v>14</v>
      </c>
      <c r="BK7" s="208">
        <f>SUMIFS(領用表!$L:$L,領用表!$E:$E,$B7,領用表!$B:$B,BK$2&amp;$BI$1)</f>
        <v>14</v>
      </c>
      <c r="BL7" s="208">
        <f>SUMIFS(領用表!$L:$L,領用表!$E:$E,$B7,領用表!$B:$B,BL$2&amp;$BI$1)</f>
        <v>14</v>
      </c>
      <c r="BM7" s="208">
        <f>SUMIFS(領用表!$L:$L,領用表!$E:$E,$B7,領用表!$B:$B,BM$2&amp;$BI$1)</f>
        <v>9</v>
      </c>
      <c r="BN7" s="208">
        <f>SUMIFS(領用表!$L:$L,領用表!$E:$E,$B7,領用表!$B:$B,BN$2&amp;$BI$1)</f>
        <v>0</v>
      </c>
      <c r="BO7" s="208">
        <f>SUMIFS(領用表!$L:$L,領用表!$E:$E,$B7,領用表!$B:$B,BO$2&amp;$BI$1)</f>
        <v>0</v>
      </c>
      <c r="BP7" s="208">
        <f>SUMIFS(領用表!$L:$L,領用表!$E:$E,$B7,領用表!$B:$B,BP$2&amp;$BI$1)</f>
        <v>0</v>
      </c>
      <c r="BQ7" s="208">
        <f>SUMIFS(領用表!$L:$L,領用表!$E:$E,$B7,領用表!$B:$B,BQ$2&amp;$BI$1)</f>
        <v>0</v>
      </c>
      <c r="BR7" s="208">
        <f>SUMIFS(領用表!$L:$L,領用表!$E:$E,$B7,領用表!$B:$B,BR$2&amp;$BI$1)</f>
        <v>0</v>
      </c>
      <c r="BS7" s="208">
        <f>SUMIFS(領用表!$L:$L,領用表!$E:$E,$B7,領用表!$B:$B,BS$2&amp;$BI$1)</f>
        <v>0</v>
      </c>
      <c r="BT7" s="208">
        <f>SUMIFS(領用表!$L:$L,領用表!$E:$E,$B7,領用表!$B:$B,BT$2&amp;$BI$1)</f>
        <v>0</v>
      </c>
      <c r="BU7" s="208">
        <f t="shared" si="4"/>
        <v>63</v>
      </c>
      <c r="BV7" s="208">
        <f t="shared" si="5"/>
        <v>12.6</v>
      </c>
      <c r="BW7" s="208">
        <f>SUMIF(Summary!B:B,B7,Summary!DT:DT)</f>
        <v>15</v>
      </c>
      <c r="BX7" s="215">
        <v>20</v>
      </c>
      <c r="BY7" s="210">
        <v>0</v>
      </c>
      <c r="BZ7" s="211"/>
      <c r="CA7" s="211" t="s">
        <v>783</v>
      </c>
      <c r="CB7" s="136"/>
      <c r="CC7" s="212"/>
      <c r="CE7" s="213"/>
    </row>
    <row r="8" spans="1:83" s="118" customFormat="1" ht="15.75" customHeight="1">
      <c r="A8" s="136" t="s">
        <v>22</v>
      </c>
      <c r="B8" s="118">
        <v>6150005</v>
      </c>
      <c r="C8" s="118" t="s">
        <v>599</v>
      </c>
      <c r="D8" s="197">
        <v>2</v>
      </c>
      <c r="E8" s="198" t="s">
        <v>15</v>
      </c>
      <c r="F8" s="349"/>
      <c r="G8" s="349"/>
      <c r="H8" s="200">
        <v>0</v>
      </c>
      <c r="I8" s="200">
        <v>0</v>
      </c>
      <c r="J8" s="200">
        <v>0</v>
      </c>
      <c r="K8" s="200">
        <v>0</v>
      </c>
      <c r="L8" s="200">
        <v>0</v>
      </c>
      <c r="M8" s="200">
        <v>0</v>
      </c>
      <c r="N8" s="200">
        <v>3</v>
      </c>
      <c r="O8" s="200">
        <v>0</v>
      </c>
      <c r="P8" s="200">
        <v>0</v>
      </c>
      <c r="Q8" s="200">
        <v>0</v>
      </c>
      <c r="R8" s="200">
        <v>3</v>
      </c>
      <c r="S8" s="200">
        <v>2</v>
      </c>
      <c r="T8" s="200">
        <v>2</v>
      </c>
      <c r="U8" s="200">
        <v>1</v>
      </c>
      <c r="V8" s="200">
        <v>1</v>
      </c>
      <c r="W8" s="200">
        <v>0</v>
      </c>
      <c r="X8" s="200">
        <v>0</v>
      </c>
      <c r="Y8" s="200">
        <v>0</v>
      </c>
      <c r="Z8" s="200">
        <v>0</v>
      </c>
      <c r="AA8" s="200">
        <v>0</v>
      </c>
      <c r="AB8" s="200">
        <v>0</v>
      </c>
      <c r="AC8" s="200">
        <v>0</v>
      </c>
      <c r="AD8" s="200">
        <v>5</v>
      </c>
      <c r="AE8" s="200">
        <v>0</v>
      </c>
      <c r="AF8" s="200">
        <v>0</v>
      </c>
      <c r="AG8" s="201">
        <v>0.5</v>
      </c>
      <c r="AH8" s="201">
        <v>1.5</v>
      </c>
      <c r="AI8" s="201">
        <v>2</v>
      </c>
      <c r="AJ8" s="201">
        <v>2.5</v>
      </c>
      <c r="AK8" s="201">
        <v>2</v>
      </c>
      <c r="AL8" s="201">
        <v>5.5</v>
      </c>
      <c r="AM8" s="201">
        <v>2.5</v>
      </c>
      <c r="AN8" s="201">
        <v>7</v>
      </c>
      <c r="AO8" s="201">
        <v>2</v>
      </c>
      <c r="AP8" s="201">
        <v>1</v>
      </c>
      <c r="AQ8" s="202">
        <v>0.5</v>
      </c>
      <c r="AR8" s="203">
        <v>4</v>
      </c>
      <c r="AS8" s="204">
        <f t="shared" si="0"/>
        <v>31</v>
      </c>
      <c r="AT8" s="205">
        <f t="shared" si="1"/>
        <v>2.5833333333333335</v>
      </c>
      <c r="AU8" s="203">
        <v>2</v>
      </c>
      <c r="AV8" s="203">
        <v>3</v>
      </c>
      <c r="AW8" s="203">
        <v>6</v>
      </c>
      <c r="AX8" s="214">
        <v>2</v>
      </c>
      <c r="AY8" s="203">
        <v>3</v>
      </c>
      <c r="AZ8" s="203">
        <f>SUMIFS(領用表!$L:$L,領用表!$E:$E,$B8,領用表!$B:$B,AZ$2&amp;$BI$1)</f>
        <v>0</v>
      </c>
      <c r="BA8" s="203">
        <f>SUMIFS(領用表!$L:$L,領用表!$E:$E,$B8,領用表!$B:$B,BA$2&amp;$BI$1)</f>
        <v>2</v>
      </c>
      <c r="BB8" s="203">
        <f>SUMIFS(領用表!$L:$L,領用表!$E:$E,$B8,領用表!$B:$B,BB$2&amp;$BI$1)</f>
        <v>5</v>
      </c>
      <c r="BC8" s="203">
        <f>SUMIFS(領用表!$L:$L,領用表!$E:$E,$B8,領用表!$B:$B,BC$2&amp;$BI$1)</f>
        <v>2</v>
      </c>
      <c r="BD8" s="208">
        <f>SUMIFS(領用表!$L:$L,領用表!$E:$E,$B8,領用表!$B:$B,BD$2&amp;$BI$1)</f>
        <v>1</v>
      </c>
      <c r="BE8" s="208">
        <f>SUMIFS(領用表!$L:$L,領用表!$E:$E,$B8,領用表!$B:$B,BE$2&amp;$BI$1)</f>
        <v>3</v>
      </c>
      <c r="BF8" s="208">
        <f>SUMIFS(領用表!$L:$L,領用表!$E:$E,$B8,領用表!$B:$B,BF$2&amp;$BI$1)</f>
        <v>4</v>
      </c>
      <c r="BG8" s="207">
        <f t="shared" si="2"/>
        <v>33</v>
      </c>
      <c r="BH8" s="207">
        <f t="shared" si="3"/>
        <v>2.75</v>
      </c>
      <c r="BI8" s="208">
        <f>SUMIFS(領用表!$L:$L,領用表!$E:$E,$B8,領用表!$B:$B,BI$2&amp;$BI$1)</f>
        <v>3</v>
      </c>
      <c r="BJ8" s="208">
        <f>SUMIFS(領用表!$L:$L,領用表!$E:$E,$B8,領用表!$B:$B,BJ$2&amp;$BI$1)</f>
        <v>4</v>
      </c>
      <c r="BK8" s="208">
        <f>SUMIFS(領用表!$L:$L,領用表!$E:$E,$B8,領用表!$B:$B,BK$2&amp;$BI$1)</f>
        <v>3</v>
      </c>
      <c r="BL8" s="208">
        <f>SUMIFS(領用表!$L:$L,領用表!$E:$E,$B8,領用表!$B:$B,BL$2&amp;$BI$1)</f>
        <v>1</v>
      </c>
      <c r="BM8" s="208">
        <f>SUMIFS(領用表!$L:$L,領用表!$E:$E,$B8,領用表!$B:$B,BM$2&amp;$BI$1)</f>
        <v>4</v>
      </c>
      <c r="BN8" s="208">
        <f>SUMIFS(領用表!$L:$L,領用表!$E:$E,$B8,領用表!$B:$B,BN$2&amp;$BI$1)</f>
        <v>0</v>
      </c>
      <c r="BO8" s="208">
        <f>SUMIFS(領用表!$L:$L,領用表!$E:$E,$B8,領用表!$B:$B,BO$2&amp;$BI$1)</f>
        <v>0</v>
      </c>
      <c r="BP8" s="208">
        <f>SUMIFS(領用表!$L:$L,領用表!$E:$E,$B8,領用表!$B:$B,BP$2&amp;$BI$1)</f>
        <v>0</v>
      </c>
      <c r="BQ8" s="208">
        <f>SUMIFS(領用表!$L:$L,領用表!$E:$E,$B8,領用表!$B:$B,BQ$2&amp;$BI$1)</f>
        <v>0</v>
      </c>
      <c r="BR8" s="208">
        <f>SUMIFS(領用表!$L:$L,領用表!$E:$E,$B8,領用表!$B:$B,BR$2&amp;$BI$1)</f>
        <v>0</v>
      </c>
      <c r="BS8" s="208">
        <f>SUMIFS(領用表!$L:$L,領用表!$E:$E,$B8,領用表!$B:$B,BS$2&amp;$BI$1)</f>
        <v>0</v>
      </c>
      <c r="BT8" s="208">
        <f>SUMIFS(領用表!$L:$L,領用表!$E:$E,$B8,領用表!$B:$B,BT$2&amp;$BI$1)</f>
        <v>0</v>
      </c>
      <c r="BU8" s="208">
        <f t="shared" si="4"/>
        <v>15</v>
      </c>
      <c r="BV8" s="208">
        <f t="shared" si="5"/>
        <v>3</v>
      </c>
      <c r="BW8" s="208">
        <f>SUMIF(Summary!B:B,B8,Summary!DT:DT)</f>
        <v>5</v>
      </c>
      <c r="BX8" s="215">
        <v>3</v>
      </c>
      <c r="BY8" s="210">
        <v>0</v>
      </c>
      <c r="BZ8" s="211"/>
      <c r="CA8" s="211"/>
      <c r="CB8" s="136"/>
      <c r="CC8" s="212"/>
      <c r="CE8" s="213"/>
    </row>
    <row r="9" spans="1:83" s="118" customFormat="1" ht="15.75" customHeight="1">
      <c r="A9" s="136"/>
      <c r="B9" s="118">
        <v>6150015</v>
      </c>
      <c r="C9" s="118" t="s">
        <v>906</v>
      </c>
      <c r="D9" s="197">
        <v>2</v>
      </c>
      <c r="E9" s="198" t="s">
        <v>15</v>
      </c>
      <c r="F9" s="349">
        <v>2</v>
      </c>
      <c r="G9" s="349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2"/>
      <c r="AR9" s="203"/>
      <c r="AS9" s="204"/>
      <c r="AT9" s="205"/>
      <c r="AU9" s="203"/>
      <c r="AV9" s="203"/>
      <c r="AW9" s="203"/>
      <c r="AX9" s="214"/>
      <c r="AY9" s="203"/>
      <c r="AZ9" s="203">
        <f>SUMIFS(領用表!$L:$L,領用表!$E:$E,$B9,領用表!$B:$B,AZ$2&amp;$BI$1)</f>
        <v>0</v>
      </c>
      <c r="BA9" s="203">
        <f>SUMIFS(領用表!$L:$L,領用表!$E:$E,$B9,領用表!$B:$B,BA$2&amp;$BI$1)</f>
        <v>0</v>
      </c>
      <c r="BB9" s="203">
        <f>SUMIFS(領用表!$L:$L,領用表!$E:$E,$B9,領用表!$B:$B,BB$2&amp;$BI$1)</f>
        <v>0</v>
      </c>
      <c r="BC9" s="203">
        <f>SUMIFS(領用表!$L:$L,領用表!$E:$E,$B9,領用表!$B:$B,BC$2&amp;$BI$1)</f>
        <v>0</v>
      </c>
      <c r="BD9" s="208">
        <f>SUMIFS(領用表!$L:$L,領用表!$E:$E,$B9,領用表!$B:$B,BD$2&amp;$BI$1)</f>
        <v>0</v>
      </c>
      <c r="BE9" s="208">
        <f>SUMIFS(領用表!$L:$L,領用表!$E:$E,$B9,領用表!$B:$B,BE$2&amp;$BI$1)</f>
        <v>0</v>
      </c>
      <c r="BF9" s="208">
        <f>SUMIFS(領用表!$L:$L,領用表!$E:$E,$B9,領用表!$B:$B,BF$2&amp;$BI$1)</f>
        <v>0</v>
      </c>
      <c r="BG9" s="207">
        <f t="shared" ref="BG9" si="6">SUM(AU9,AV9,AW9,AX9,AY9,AZ9,BA9,BB9,BC9,BD9,BE9,BF9)</f>
        <v>0</v>
      </c>
      <c r="BH9" s="207">
        <f t="shared" ref="BH9" si="7">AVERAGE(AU9,AV9,AW9,AX9,AY9,AZ9,BA9,BB9,BC9,BD9,BE9,BF9)</f>
        <v>0</v>
      </c>
      <c r="BI9" s="208">
        <f>SUMIFS(領用表!$L:$L,領用表!$E:$E,$B9,領用表!$B:$B,BI$2&amp;$BI$1)</f>
        <v>0</v>
      </c>
      <c r="BJ9" s="208">
        <f>SUMIFS(領用表!$L:$L,領用表!$E:$E,$B9,領用表!$B:$B,BJ$2&amp;$BI$1)</f>
        <v>0</v>
      </c>
      <c r="BK9" s="208">
        <f>SUMIFS(領用表!$L:$L,領用表!$E:$E,$B9,領用表!$B:$B,BK$2&amp;$BI$1)</f>
        <v>0</v>
      </c>
      <c r="BL9" s="208">
        <f>SUMIFS(領用表!$L:$L,領用表!$E:$E,$B9,領用表!$B:$B,BL$2&amp;$BI$1)</f>
        <v>2</v>
      </c>
      <c r="BM9" s="208">
        <f>SUMIFS(領用表!$L:$L,領用表!$E:$E,$B9,領用表!$B:$B,BM$2&amp;$BI$1)</f>
        <v>8</v>
      </c>
      <c r="BN9" s="208"/>
      <c r="BO9" s="208"/>
      <c r="BP9" s="208"/>
      <c r="BQ9" s="208"/>
      <c r="BR9" s="208"/>
      <c r="BS9" s="208"/>
      <c r="BT9" s="208"/>
      <c r="BU9" s="208">
        <f t="shared" si="4"/>
        <v>10</v>
      </c>
      <c r="BV9" s="208">
        <f t="shared" si="5"/>
        <v>2</v>
      </c>
      <c r="BW9" s="208">
        <f>SUMIF(Summary!B:B,B9,Summary!DT:DT)</f>
        <v>0</v>
      </c>
      <c r="BX9" s="215"/>
      <c r="BY9" s="219"/>
      <c r="BZ9" s="211"/>
      <c r="CA9" s="211"/>
      <c r="CB9" s="136"/>
      <c r="CC9" s="212"/>
      <c r="CE9" s="213"/>
    </row>
    <row r="10" spans="1:83" s="118" customFormat="1" ht="15.75" customHeight="1">
      <c r="A10" s="136"/>
      <c r="B10" s="118">
        <v>6150016</v>
      </c>
      <c r="C10" s="432" t="s">
        <v>962</v>
      </c>
      <c r="D10" s="197">
        <v>1</v>
      </c>
      <c r="E10" s="198" t="s">
        <v>891</v>
      </c>
      <c r="F10" s="349">
        <v>10</v>
      </c>
      <c r="G10" s="349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2"/>
      <c r="AR10" s="203"/>
      <c r="AS10" s="204"/>
      <c r="AT10" s="205"/>
      <c r="AU10" s="203"/>
      <c r="AV10" s="203"/>
      <c r="AW10" s="203"/>
      <c r="AX10" s="203"/>
      <c r="AY10" s="203"/>
      <c r="AZ10" s="203"/>
      <c r="BA10" s="203"/>
      <c r="BB10" s="203"/>
      <c r="BC10" s="203"/>
      <c r="BD10" s="208"/>
      <c r="BE10" s="208"/>
      <c r="BF10" s="208"/>
      <c r="BG10" s="207"/>
      <c r="BH10" s="207"/>
      <c r="BI10" s="208"/>
      <c r="BJ10" s="208"/>
      <c r="BK10" s="208"/>
      <c r="BL10" s="208"/>
      <c r="BM10" s="208">
        <f>SUMIFS(領用表!$L:$L,領用表!$E:$E,$B10,領用表!$B:$B,BM$2&amp;$BI$1)</f>
        <v>0</v>
      </c>
      <c r="BN10" s="208"/>
      <c r="BO10" s="208"/>
      <c r="BP10" s="208"/>
      <c r="BQ10" s="208"/>
      <c r="BR10" s="208"/>
      <c r="BS10" s="208"/>
      <c r="BT10" s="208"/>
      <c r="BU10" s="208"/>
      <c r="BV10" s="208"/>
      <c r="BW10" s="208"/>
      <c r="BX10" s="215"/>
      <c r="BY10" s="210"/>
      <c r="BZ10" s="211"/>
      <c r="CA10" s="211"/>
      <c r="CB10" s="136"/>
      <c r="CC10" s="212"/>
      <c r="CE10" s="213"/>
    </row>
    <row r="11" spans="1:83" s="118" customFormat="1" ht="15.75" customHeight="1">
      <c r="A11" s="136" t="s">
        <v>23</v>
      </c>
      <c r="B11" s="118">
        <v>6180015</v>
      </c>
      <c r="C11" s="118" t="s">
        <v>600</v>
      </c>
      <c r="D11" s="197">
        <v>2</v>
      </c>
      <c r="E11" s="198" t="s">
        <v>15</v>
      </c>
      <c r="F11" s="349">
        <v>2</v>
      </c>
      <c r="G11" s="349"/>
      <c r="H11" s="200">
        <v>0</v>
      </c>
      <c r="I11" s="200">
        <v>0</v>
      </c>
      <c r="J11" s="200">
        <v>0</v>
      </c>
      <c r="K11" s="200">
        <v>0</v>
      </c>
      <c r="L11" s="200">
        <v>0</v>
      </c>
      <c r="M11" s="200">
        <v>0</v>
      </c>
      <c r="N11" s="200">
        <v>0</v>
      </c>
      <c r="O11" s="200">
        <v>0</v>
      </c>
      <c r="P11" s="200">
        <v>0</v>
      </c>
      <c r="Q11" s="200">
        <v>0</v>
      </c>
      <c r="R11" s="200">
        <v>0</v>
      </c>
      <c r="S11" s="200">
        <v>0</v>
      </c>
      <c r="T11" s="200">
        <v>0</v>
      </c>
      <c r="U11" s="200">
        <v>0</v>
      </c>
      <c r="V11" s="200">
        <v>0</v>
      </c>
      <c r="W11" s="200">
        <v>0</v>
      </c>
      <c r="X11" s="200">
        <v>0</v>
      </c>
      <c r="Y11" s="200">
        <v>0</v>
      </c>
      <c r="Z11" s="200">
        <v>0</v>
      </c>
      <c r="AA11" s="200">
        <v>0</v>
      </c>
      <c r="AB11" s="200">
        <v>0</v>
      </c>
      <c r="AC11" s="200">
        <v>0</v>
      </c>
      <c r="AD11" s="200">
        <v>0</v>
      </c>
      <c r="AE11" s="200">
        <v>0</v>
      </c>
      <c r="AF11" s="200">
        <v>0</v>
      </c>
      <c r="AG11" s="201">
        <v>0</v>
      </c>
      <c r="AH11" s="201">
        <v>0</v>
      </c>
      <c r="AI11" s="201">
        <v>0</v>
      </c>
      <c r="AJ11" s="201">
        <v>2</v>
      </c>
      <c r="AK11" s="201">
        <v>0</v>
      </c>
      <c r="AL11" s="201">
        <v>0</v>
      </c>
      <c r="AM11" s="201">
        <v>0</v>
      </c>
      <c r="AN11" s="201">
        <v>0</v>
      </c>
      <c r="AO11" s="201">
        <v>1</v>
      </c>
      <c r="AP11" s="201">
        <v>0</v>
      </c>
      <c r="AQ11" s="202">
        <v>0</v>
      </c>
      <c r="AR11" s="203">
        <v>0</v>
      </c>
      <c r="AS11" s="204">
        <f t="shared" si="0"/>
        <v>3</v>
      </c>
      <c r="AT11" s="205">
        <f t="shared" si="1"/>
        <v>0.25</v>
      </c>
      <c r="AU11" s="203">
        <v>0</v>
      </c>
      <c r="AV11" s="203">
        <v>0</v>
      </c>
      <c r="AW11" s="203">
        <v>2</v>
      </c>
      <c r="AX11" s="203">
        <v>0</v>
      </c>
      <c r="AY11" s="203">
        <v>2</v>
      </c>
      <c r="AZ11" s="203">
        <f>SUMIFS(領用表!$L:$L,領用表!$E:$E,$B11,領用表!$B:$B,AZ$2&amp;$BI$1)</f>
        <v>0</v>
      </c>
      <c r="BA11" s="203">
        <f>SUMIFS(領用表!$L:$L,領用表!$E:$E,$B11,領用表!$B:$B,BA$2&amp;$BI$1)</f>
        <v>0</v>
      </c>
      <c r="BB11" s="203">
        <f>SUMIFS(領用表!$L:$L,領用表!$E:$E,$B11,領用表!$B:$B,BB$2&amp;$BI$1)</f>
        <v>0</v>
      </c>
      <c r="BC11" s="203">
        <f>SUMIFS(領用表!$L:$L,領用表!$E:$E,$B11,領用表!$B:$B,BC$2&amp;$BI$1)</f>
        <v>0</v>
      </c>
      <c r="BD11" s="208">
        <f>SUMIFS(領用表!$L:$L,領用表!$E:$E,$B11,領用表!$B:$B,BD$2&amp;$BI$1)</f>
        <v>0</v>
      </c>
      <c r="BE11" s="208">
        <f>SUMIFS(領用表!$L:$L,領用表!$E:$E,$B11,領用表!$B:$B,BE$2&amp;$BI$1)</f>
        <v>0</v>
      </c>
      <c r="BF11" s="208">
        <f>SUMIFS(領用表!$L:$L,領用表!$E:$E,$B11,領用表!$B:$B,BF$2&amp;$BI$1)</f>
        <v>0</v>
      </c>
      <c r="BG11" s="207">
        <f t="shared" si="2"/>
        <v>4</v>
      </c>
      <c r="BH11" s="207">
        <f t="shared" si="3"/>
        <v>0.33333333333333331</v>
      </c>
      <c r="BI11" s="208">
        <f>SUMIFS(領用表!$L:$L,領用表!$E:$E,$B11,領用表!$B:$B,BI$2&amp;$BI$1)</f>
        <v>0</v>
      </c>
      <c r="BJ11" s="208">
        <f>SUMIFS(領用表!$L:$L,領用表!$E:$E,$B11,領用表!$B:$B,BJ$2&amp;$BI$1)</f>
        <v>0</v>
      </c>
      <c r="BK11" s="208">
        <f>SUMIFS(領用表!$L:$L,領用表!$E:$E,$B11,領用表!$B:$B,BK$2&amp;$BI$1)</f>
        <v>0</v>
      </c>
      <c r="BL11" s="208">
        <f>SUMIFS(領用表!$L:$L,領用表!$E:$E,$B11,領用表!$B:$B,BL$2&amp;$BI$1)</f>
        <v>0</v>
      </c>
      <c r="BM11" s="208">
        <f>SUMIFS(領用表!$L:$L,領用表!$E:$E,$B11,領用表!$B:$B,BM$2&amp;$BI$1)</f>
        <v>0</v>
      </c>
      <c r="BN11" s="208">
        <f>SUMIFS(領用表!$L:$L,領用表!$E:$E,$B11,領用表!$B:$B,BN$2&amp;$BI$1)</f>
        <v>0</v>
      </c>
      <c r="BO11" s="208">
        <f>SUMIFS(領用表!$L:$L,領用表!$E:$E,$B11,領用表!$B:$B,BO$2&amp;$BI$1)</f>
        <v>0</v>
      </c>
      <c r="BP11" s="208">
        <f>SUMIFS(領用表!$L:$L,領用表!$E:$E,$B11,領用表!$B:$B,BP$2&amp;$BI$1)</f>
        <v>0</v>
      </c>
      <c r="BQ11" s="208">
        <f>SUMIFS(領用表!$L:$L,領用表!$E:$E,$B11,領用表!$B:$B,BQ$2&amp;$BI$1)</f>
        <v>0</v>
      </c>
      <c r="BR11" s="208">
        <f>SUMIFS(領用表!$L:$L,領用表!$E:$E,$B11,領用表!$B:$B,BR$2&amp;$BI$1)</f>
        <v>0</v>
      </c>
      <c r="BS11" s="208">
        <f>SUMIFS(領用表!$L:$L,領用表!$E:$E,$B11,領用表!$B:$B,BS$2&amp;$BI$1)</f>
        <v>0</v>
      </c>
      <c r="BT11" s="208">
        <f>SUMIFS(領用表!$L:$L,領用表!$E:$E,$B11,領用表!$B:$B,BT$2&amp;$BI$1)</f>
        <v>0</v>
      </c>
      <c r="BU11" s="208">
        <f t="shared" si="4"/>
        <v>0</v>
      </c>
      <c r="BV11" s="208">
        <f t="shared" si="5"/>
        <v>0</v>
      </c>
      <c r="BW11" s="208">
        <f>SUMIF(Summary!B:B,B11,Summary!DT:DT)</f>
        <v>1</v>
      </c>
      <c r="BX11" s="215">
        <v>5</v>
      </c>
      <c r="BY11" s="469"/>
      <c r="BZ11" s="211"/>
      <c r="CA11" s="211"/>
      <c r="CB11" s="136"/>
      <c r="CC11" s="212"/>
      <c r="CE11" s="213"/>
    </row>
    <row r="12" spans="1:83" s="118" customFormat="1" ht="15.75" customHeight="1">
      <c r="A12" s="136" t="s">
        <v>24</v>
      </c>
      <c r="B12" s="118">
        <v>6180005</v>
      </c>
      <c r="C12" s="118" t="s">
        <v>601</v>
      </c>
      <c r="D12" s="197">
        <v>20</v>
      </c>
      <c r="E12" s="198" t="s">
        <v>15</v>
      </c>
      <c r="F12" s="349">
        <v>0</v>
      </c>
      <c r="G12" s="349"/>
      <c r="H12" s="200">
        <v>0</v>
      </c>
      <c r="I12" s="200">
        <v>0</v>
      </c>
      <c r="J12" s="200">
        <v>0</v>
      </c>
      <c r="K12" s="200">
        <v>0</v>
      </c>
      <c r="L12" s="200">
        <v>0</v>
      </c>
      <c r="M12" s="200">
        <v>0</v>
      </c>
      <c r="N12" s="200">
        <v>0</v>
      </c>
      <c r="O12" s="200">
        <v>0</v>
      </c>
      <c r="P12" s="200">
        <v>0</v>
      </c>
      <c r="Q12" s="200">
        <v>0</v>
      </c>
      <c r="R12" s="200">
        <v>0</v>
      </c>
      <c r="S12" s="200">
        <v>0</v>
      </c>
      <c r="T12" s="200">
        <v>0</v>
      </c>
      <c r="U12" s="200">
        <v>0</v>
      </c>
      <c r="V12" s="200">
        <v>0</v>
      </c>
      <c r="W12" s="200">
        <v>0</v>
      </c>
      <c r="X12" s="200">
        <v>0</v>
      </c>
      <c r="Y12" s="200">
        <v>0</v>
      </c>
      <c r="Z12" s="200">
        <v>0</v>
      </c>
      <c r="AA12" s="200">
        <v>0</v>
      </c>
      <c r="AB12" s="200">
        <v>0</v>
      </c>
      <c r="AC12" s="200">
        <v>0</v>
      </c>
      <c r="AD12" s="200">
        <v>0</v>
      </c>
      <c r="AE12" s="200">
        <v>0</v>
      </c>
      <c r="AF12" s="200">
        <v>32</v>
      </c>
      <c r="AG12" s="201">
        <v>1.2</v>
      </c>
      <c r="AH12" s="201">
        <v>2.2000000000000002</v>
      </c>
      <c r="AI12" s="201">
        <v>2.2000000000000002</v>
      </c>
      <c r="AJ12" s="201">
        <v>1.6</v>
      </c>
      <c r="AK12" s="201">
        <v>3.4</v>
      </c>
      <c r="AL12" s="201">
        <v>2.2000000000000002</v>
      </c>
      <c r="AM12" s="201">
        <v>0.4</v>
      </c>
      <c r="AN12" s="201">
        <v>0.6</v>
      </c>
      <c r="AO12" s="201">
        <v>0.4</v>
      </c>
      <c r="AP12" s="201">
        <v>0.2</v>
      </c>
      <c r="AQ12" s="202">
        <v>0.4</v>
      </c>
      <c r="AR12" s="203">
        <v>28</v>
      </c>
      <c r="AS12" s="204">
        <f t="shared" si="0"/>
        <v>42.8</v>
      </c>
      <c r="AT12" s="205">
        <f t="shared" si="1"/>
        <v>3.5666666666666664</v>
      </c>
      <c r="AU12" s="203">
        <v>0</v>
      </c>
      <c r="AV12" s="203">
        <v>8</v>
      </c>
      <c r="AW12" s="203">
        <v>0</v>
      </c>
      <c r="AX12" s="203">
        <v>0</v>
      </c>
      <c r="AY12" s="203">
        <v>0</v>
      </c>
      <c r="AZ12" s="203">
        <f>SUMIFS(領用表!$L:$L,領用表!$E:$E,$B12,領用表!$B:$B,AZ$2&amp;$BI$1)</f>
        <v>12</v>
      </c>
      <c r="BA12" s="203">
        <f>SUMIFS(領用表!$L:$L,領用表!$E:$E,$B12,領用表!$B:$B,BA$2&amp;$BI$1)</f>
        <v>4</v>
      </c>
      <c r="BB12" s="203">
        <f>SUMIFS(領用表!$L:$L,領用表!$E:$E,$B12,領用表!$B:$B,BB$2&amp;$BI$1)</f>
        <v>0</v>
      </c>
      <c r="BC12" s="203">
        <f>SUMIFS(領用表!$L:$L,領用表!$E:$E,$B12,領用表!$B:$B,BC$2&amp;$BI$1)</f>
        <v>0</v>
      </c>
      <c r="BD12" s="208">
        <f>SUMIFS(領用表!$L:$L,領用表!$E:$E,$B12,領用表!$B:$B,BD$2&amp;$BI$1)</f>
        <v>8</v>
      </c>
      <c r="BE12" s="208">
        <f>SUMIFS(領用表!$L:$L,領用表!$E:$E,$B12,領用表!$B:$B,BE$2&amp;$BI$1)</f>
        <v>0</v>
      </c>
      <c r="BF12" s="208">
        <f>SUMIFS(領用表!$L:$L,領用表!$E:$E,$B12,領用表!$B:$B,BF$2&amp;$BI$1)</f>
        <v>8</v>
      </c>
      <c r="BG12" s="207">
        <f t="shared" si="2"/>
        <v>40</v>
      </c>
      <c r="BH12" s="207">
        <f t="shared" si="3"/>
        <v>3.3333333333333335</v>
      </c>
      <c r="BI12" s="208">
        <f>SUMIFS(領用表!$L:$L,領用表!$E:$E,$B12,領用表!$B:$B,BI$2&amp;$BI$1)</f>
        <v>0</v>
      </c>
      <c r="BJ12" s="208">
        <f>SUMIFS(領用表!$L:$L,領用表!$E:$E,$B12,領用表!$B:$B,BJ$2&amp;$BI$1)</f>
        <v>12</v>
      </c>
      <c r="BK12" s="208">
        <f>SUMIFS(領用表!$L:$L,領用表!$E:$E,$B12,領用表!$B:$B,BK$2&amp;$BI$1)</f>
        <v>12</v>
      </c>
      <c r="BL12" s="208">
        <f>SUMIFS(領用表!$L:$L,領用表!$E:$E,$B12,領用表!$B:$B,BL$2&amp;$BI$1)</f>
        <v>4</v>
      </c>
      <c r="BM12" s="208">
        <f>SUMIFS(領用表!$L:$L,領用表!$E:$E,$B12,領用表!$B:$B,BM$2&amp;$BI$1)</f>
        <v>16</v>
      </c>
      <c r="BN12" s="208">
        <f>SUMIFS(領用表!$L:$L,領用表!$E:$E,$B12,領用表!$B:$B,BN$2&amp;$BI$1)</f>
        <v>0</v>
      </c>
      <c r="BO12" s="208">
        <f>SUMIFS(領用表!$L:$L,領用表!$E:$E,$B12,領用表!$B:$B,BO$2&amp;$BI$1)</f>
        <v>0</v>
      </c>
      <c r="BP12" s="208">
        <f>SUMIFS(領用表!$L:$L,領用表!$E:$E,$B12,領用表!$B:$B,BP$2&amp;$BI$1)</f>
        <v>0</v>
      </c>
      <c r="BQ12" s="208">
        <f>SUMIFS(領用表!$L:$L,領用表!$E:$E,$B12,領用表!$B:$B,BQ$2&amp;$BI$1)</f>
        <v>0</v>
      </c>
      <c r="BR12" s="208">
        <f>SUMIFS(領用表!$L:$L,領用表!$E:$E,$B12,領用表!$B:$B,BR$2&amp;$BI$1)</f>
        <v>0</v>
      </c>
      <c r="BS12" s="208">
        <f>SUMIFS(領用表!$L:$L,領用表!$E:$E,$B12,領用表!$B:$B,BS$2&amp;$BI$1)</f>
        <v>0</v>
      </c>
      <c r="BT12" s="208">
        <f>SUMIFS(領用表!$L:$L,領用表!$E:$E,$B12,領用表!$B:$B,BT$2&amp;$BI$1)</f>
        <v>0</v>
      </c>
      <c r="BU12" s="208">
        <f t="shared" si="4"/>
        <v>44</v>
      </c>
      <c r="BV12" s="208">
        <f t="shared" si="5"/>
        <v>8.8000000000000007</v>
      </c>
      <c r="BW12" s="208">
        <f>SUMIF(Summary!B:B,B12,Summary!DT:DT)</f>
        <v>4</v>
      </c>
      <c r="BX12" s="215">
        <v>5</v>
      </c>
      <c r="BY12" s="465"/>
      <c r="BZ12" s="211"/>
      <c r="CA12" s="211"/>
      <c r="CB12" s="136"/>
      <c r="CC12" s="212"/>
      <c r="CE12" s="213"/>
    </row>
    <row r="13" spans="1:83" s="118" customFormat="1" ht="15.75" customHeight="1">
      <c r="A13" s="136" t="s">
        <v>25</v>
      </c>
      <c r="B13" s="118">
        <v>6180013</v>
      </c>
      <c r="C13" s="118" t="s">
        <v>602</v>
      </c>
      <c r="D13" s="197">
        <v>20</v>
      </c>
      <c r="E13" s="198" t="s">
        <v>15</v>
      </c>
      <c r="F13" s="349">
        <v>24</v>
      </c>
      <c r="G13" s="349"/>
      <c r="H13" s="200">
        <v>0</v>
      </c>
      <c r="I13" s="200">
        <v>0</v>
      </c>
      <c r="J13" s="200">
        <v>0</v>
      </c>
      <c r="K13" s="200">
        <v>0</v>
      </c>
      <c r="L13" s="200">
        <v>0</v>
      </c>
      <c r="M13" s="200">
        <v>0</v>
      </c>
      <c r="N13" s="200">
        <v>0</v>
      </c>
      <c r="O13" s="200">
        <v>0</v>
      </c>
      <c r="P13" s="200">
        <v>0</v>
      </c>
      <c r="Q13" s="200">
        <v>0</v>
      </c>
      <c r="R13" s="200">
        <v>0</v>
      </c>
      <c r="S13" s="200">
        <v>0</v>
      </c>
      <c r="T13" s="200">
        <v>0</v>
      </c>
      <c r="U13" s="200">
        <v>0</v>
      </c>
      <c r="V13" s="200">
        <v>0</v>
      </c>
      <c r="W13" s="200">
        <v>0</v>
      </c>
      <c r="X13" s="200">
        <v>0</v>
      </c>
      <c r="Y13" s="200">
        <v>0</v>
      </c>
      <c r="Z13" s="200">
        <v>0</v>
      </c>
      <c r="AA13" s="200">
        <v>0</v>
      </c>
      <c r="AB13" s="200">
        <v>0</v>
      </c>
      <c r="AC13" s="200">
        <v>0</v>
      </c>
      <c r="AD13" s="200">
        <v>0</v>
      </c>
      <c r="AE13" s="200">
        <v>0</v>
      </c>
      <c r="AF13" s="200">
        <v>0</v>
      </c>
      <c r="AG13" s="201">
        <v>0</v>
      </c>
      <c r="AH13" s="201">
        <v>0</v>
      </c>
      <c r="AI13" s="201">
        <v>0</v>
      </c>
      <c r="AJ13" s="201">
        <v>0.4</v>
      </c>
      <c r="AK13" s="201">
        <v>0</v>
      </c>
      <c r="AL13" s="201">
        <v>0.4</v>
      </c>
      <c r="AM13" s="201">
        <v>0.2</v>
      </c>
      <c r="AN13" s="201">
        <v>0.8</v>
      </c>
      <c r="AO13" s="201">
        <v>0.2</v>
      </c>
      <c r="AP13" s="201">
        <v>0.6</v>
      </c>
      <c r="AQ13" s="202">
        <v>0</v>
      </c>
      <c r="AR13" s="203">
        <v>0</v>
      </c>
      <c r="AS13" s="204">
        <f t="shared" si="0"/>
        <v>2.6</v>
      </c>
      <c r="AT13" s="205">
        <f t="shared" si="1"/>
        <v>0.21666666666666667</v>
      </c>
      <c r="AU13" s="203">
        <v>23</v>
      </c>
      <c r="AV13" s="203">
        <v>0</v>
      </c>
      <c r="AW13" s="203">
        <v>0</v>
      </c>
      <c r="AX13" s="203">
        <v>0</v>
      </c>
      <c r="AY13" s="203">
        <v>8</v>
      </c>
      <c r="AZ13" s="203">
        <f>SUMIFS(領用表!$L:$L,領用表!$E:$E,$B13,領用表!$B:$B,AZ$2&amp;$BI$1)</f>
        <v>4</v>
      </c>
      <c r="BA13" s="203">
        <f>SUMIFS(領用表!$L:$L,領用表!$E:$E,$B13,領用表!$B:$B,BA$2&amp;$BI$1)</f>
        <v>8</v>
      </c>
      <c r="BB13" s="203">
        <f>SUMIFS(領用表!$L:$L,領用表!$E:$E,$B13,領用表!$B:$B,BB$2&amp;$BI$1)</f>
        <v>0</v>
      </c>
      <c r="BC13" s="203">
        <f>SUMIFS(領用表!$L:$L,領用表!$E:$E,$B13,領用表!$B:$B,BC$2&amp;$BI$1)</f>
        <v>0</v>
      </c>
      <c r="BD13" s="208">
        <f>SUMIFS(領用表!$L:$L,領用表!$E:$E,$B13,領用表!$B:$B,BD$2&amp;$BI$1)</f>
        <v>0</v>
      </c>
      <c r="BE13" s="208">
        <f>SUMIFS(領用表!$L:$L,領用表!$E:$E,$B13,領用表!$B:$B,BE$2&amp;$BI$1)</f>
        <v>0</v>
      </c>
      <c r="BF13" s="208">
        <f>SUMIFS(領用表!$L:$L,領用表!$E:$E,$B13,領用表!$B:$B,BF$2&amp;$BI$1)</f>
        <v>0</v>
      </c>
      <c r="BG13" s="207">
        <f t="shared" si="2"/>
        <v>43</v>
      </c>
      <c r="BH13" s="207">
        <f t="shared" si="3"/>
        <v>3.5833333333333335</v>
      </c>
      <c r="BI13" s="208">
        <f>SUMIFS(領用表!$L:$L,領用表!$E:$E,$B13,領用表!$B:$B,BI$2&amp;$BI$1)</f>
        <v>0</v>
      </c>
      <c r="BJ13" s="208">
        <f>SUMIFS(領用表!$L:$L,領用表!$E:$E,$B13,領用表!$B:$B,BJ$2&amp;$BI$1)</f>
        <v>0</v>
      </c>
      <c r="BK13" s="208">
        <f>SUMIFS(領用表!$L:$L,領用表!$E:$E,$B13,領用表!$B:$B,BK$2&amp;$BI$1)</f>
        <v>0</v>
      </c>
      <c r="BL13" s="208">
        <f>SUMIFS(領用表!$L:$L,領用表!$E:$E,$B13,領用表!$B:$B,BL$2&amp;$BI$1)</f>
        <v>0</v>
      </c>
      <c r="BM13" s="208">
        <f>SUMIFS(領用表!$L:$L,領用表!$E:$E,$B13,領用表!$B:$B,BM$2&amp;$BI$1)</f>
        <v>4</v>
      </c>
      <c r="BN13" s="208">
        <f>SUMIFS(領用表!$L:$L,領用表!$E:$E,$B13,領用表!$B:$B,BN$2&amp;$BI$1)</f>
        <v>0</v>
      </c>
      <c r="BO13" s="208">
        <f>SUMIFS(領用表!$L:$L,領用表!$E:$E,$B13,領用表!$B:$B,BO$2&amp;$BI$1)</f>
        <v>0</v>
      </c>
      <c r="BP13" s="208">
        <f>SUMIFS(領用表!$L:$L,領用表!$E:$E,$B13,領用表!$B:$B,BP$2&amp;$BI$1)</f>
        <v>0</v>
      </c>
      <c r="BQ13" s="208">
        <f>SUMIFS(領用表!$L:$L,領用表!$E:$E,$B13,領用表!$B:$B,BQ$2&amp;$BI$1)</f>
        <v>0</v>
      </c>
      <c r="BR13" s="208">
        <f>SUMIFS(領用表!$L:$L,領用表!$E:$E,$B13,領用表!$B:$B,BR$2&amp;$BI$1)</f>
        <v>0</v>
      </c>
      <c r="BS13" s="208">
        <f>SUMIFS(領用表!$L:$L,領用表!$E:$E,$B13,領用表!$B:$B,BS$2&amp;$BI$1)</f>
        <v>0</v>
      </c>
      <c r="BT13" s="208">
        <f>SUMIFS(領用表!$L:$L,領用表!$E:$E,$B13,領用表!$B:$B,BT$2&amp;$BI$1)</f>
        <v>0</v>
      </c>
      <c r="BU13" s="208">
        <f t="shared" si="4"/>
        <v>4</v>
      </c>
      <c r="BV13" s="208">
        <f t="shared" si="5"/>
        <v>0.8</v>
      </c>
      <c r="BW13" s="208">
        <f>SUMIF(Summary!B:B,B13,Summary!DT:DT)</f>
        <v>1</v>
      </c>
      <c r="BX13" s="215">
        <v>8</v>
      </c>
      <c r="BY13" s="465"/>
      <c r="BZ13" s="211"/>
      <c r="CA13" s="211"/>
      <c r="CB13" s="136"/>
      <c r="CC13" s="212"/>
      <c r="CE13" s="213"/>
    </row>
    <row r="14" spans="1:83" s="118" customFormat="1" ht="15.75" customHeight="1">
      <c r="A14" s="136" t="s">
        <v>26</v>
      </c>
      <c r="B14" s="118">
        <v>6180007</v>
      </c>
      <c r="C14" s="118" t="s">
        <v>603</v>
      </c>
      <c r="D14" s="197">
        <v>20</v>
      </c>
      <c r="E14" s="198" t="s">
        <v>15</v>
      </c>
      <c r="F14" s="349">
        <v>0</v>
      </c>
      <c r="G14" s="349"/>
      <c r="H14" s="200">
        <v>0</v>
      </c>
      <c r="I14" s="200">
        <v>0</v>
      </c>
      <c r="J14" s="200">
        <v>0</v>
      </c>
      <c r="K14" s="200">
        <v>0</v>
      </c>
      <c r="L14" s="200">
        <v>0</v>
      </c>
      <c r="M14" s="200">
        <v>0</v>
      </c>
      <c r="N14" s="200">
        <v>0</v>
      </c>
      <c r="O14" s="200">
        <v>0</v>
      </c>
      <c r="P14" s="200">
        <v>0</v>
      </c>
      <c r="Q14" s="200">
        <v>0</v>
      </c>
      <c r="R14" s="200">
        <v>0</v>
      </c>
      <c r="S14" s="200">
        <v>0</v>
      </c>
      <c r="T14" s="200">
        <v>0</v>
      </c>
      <c r="U14" s="200">
        <v>0</v>
      </c>
      <c r="V14" s="200">
        <v>0</v>
      </c>
      <c r="W14" s="200">
        <v>0</v>
      </c>
      <c r="X14" s="200">
        <v>0</v>
      </c>
      <c r="Y14" s="200">
        <v>0</v>
      </c>
      <c r="Z14" s="200">
        <v>0</v>
      </c>
      <c r="AA14" s="200">
        <v>0</v>
      </c>
      <c r="AB14" s="200">
        <v>0</v>
      </c>
      <c r="AC14" s="200">
        <v>0</v>
      </c>
      <c r="AD14" s="200">
        <v>0</v>
      </c>
      <c r="AE14" s="200">
        <v>0</v>
      </c>
      <c r="AF14" s="200">
        <v>0</v>
      </c>
      <c r="AG14" s="201">
        <v>0</v>
      </c>
      <c r="AH14" s="201">
        <v>0</v>
      </c>
      <c r="AI14" s="201">
        <v>1</v>
      </c>
      <c r="AJ14" s="201">
        <v>1.8</v>
      </c>
      <c r="AK14" s="201">
        <v>1.2</v>
      </c>
      <c r="AL14" s="201">
        <v>1.6</v>
      </c>
      <c r="AM14" s="201">
        <v>0.6</v>
      </c>
      <c r="AN14" s="201">
        <v>2.2000000000000002</v>
      </c>
      <c r="AO14" s="201">
        <v>0.8</v>
      </c>
      <c r="AP14" s="201">
        <v>1.2</v>
      </c>
      <c r="AQ14" s="202">
        <v>0.6</v>
      </c>
      <c r="AR14" s="203">
        <v>24</v>
      </c>
      <c r="AS14" s="204">
        <f t="shared" si="0"/>
        <v>35</v>
      </c>
      <c r="AT14" s="205">
        <f t="shared" si="1"/>
        <v>2.9166666666666665</v>
      </c>
      <c r="AU14" s="203">
        <v>56</v>
      </c>
      <c r="AV14" s="203">
        <v>16</v>
      </c>
      <c r="AW14" s="203">
        <v>0</v>
      </c>
      <c r="AX14" s="203">
        <v>0</v>
      </c>
      <c r="AY14" s="203">
        <v>4</v>
      </c>
      <c r="AZ14" s="203">
        <f>SUMIFS(領用表!$L:$L,領用表!$E:$E,$B14,領用表!$B:$B,AZ$2&amp;$BI$1)</f>
        <v>16</v>
      </c>
      <c r="BA14" s="203">
        <f>SUMIFS(領用表!$L:$L,領用表!$E:$E,$B14,領用表!$B:$B,BA$2&amp;$BI$1)</f>
        <v>4</v>
      </c>
      <c r="BB14" s="203">
        <f>SUMIFS(領用表!$L:$L,領用表!$E:$E,$B14,領用表!$B:$B,BB$2&amp;$BI$1)</f>
        <v>0</v>
      </c>
      <c r="BC14" s="203">
        <f>SUMIFS(領用表!$L:$L,領用表!$E:$E,$B14,領用表!$B:$B,BC$2&amp;$BI$1)</f>
        <v>0</v>
      </c>
      <c r="BD14" s="208">
        <f>SUMIFS(領用表!$L:$L,領用表!$E:$E,$B14,領用表!$B:$B,BD$2&amp;$BI$1)</f>
        <v>0</v>
      </c>
      <c r="BE14" s="208">
        <f>SUMIFS(領用表!$L:$L,領用表!$E:$E,$B14,領用表!$B:$B,BE$2&amp;$BI$1)</f>
        <v>0</v>
      </c>
      <c r="BF14" s="208">
        <f>SUMIFS(領用表!$L:$L,領用表!$E:$E,$B14,領用表!$B:$B,BF$2&amp;$BI$1)</f>
        <v>4</v>
      </c>
      <c r="BG14" s="207">
        <f t="shared" si="2"/>
        <v>100</v>
      </c>
      <c r="BH14" s="207">
        <f t="shared" si="3"/>
        <v>8.3333333333333339</v>
      </c>
      <c r="BI14" s="208">
        <f>SUMIFS(領用表!$L:$L,領用表!$E:$E,$B14,領用表!$B:$B,BI$2&amp;$BI$1)</f>
        <v>0</v>
      </c>
      <c r="BJ14" s="208">
        <f>SUMIFS(領用表!$L:$L,領用表!$E:$E,$B14,領用表!$B:$B,BJ$2&amp;$BI$1)</f>
        <v>0</v>
      </c>
      <c r="BK14" s="208">
        <f>SUMIFS(領用表!$L:$L,領用表!$E:$E,$B14,領用表!$B:$B,BK$2&amp;$BI$1)</f>
        <v>0</v>
      </c>
      <c r="BL14" s="208">
        <f>SUMIFS(領用表!$L:$L,領用表!$E:$E,$B14,領用表!$B:$B,BL$2&amp;$BI$1)</f>
        <v>0</v>
      </c>
      <c r="BM14" s="208">
        <f>SUMIFS(領用表!$L:$L,領用表!$E:$E,$B14,領用表!$B:$B,BM$2&amp;$BI$1)</f>
        <v>8</v>
      </c>
      <c r="BN14" s="208">
        <f>SUMIFS(領用表!$L:$L,領用表!$E:$E,$B14,領用表!$B:$B,BN$2&amp;$BI$1)</f>
        <v>0</v>
      </c>
      <c r="BO14" s="208">
        <f>SUMIFS(領用表!$L:$L,領用表!$E:$E,$B14,領用表!$B:$B,BO$2&amp;$BI$1)</f>
        <v>0</v>
      </c>
      <c r="BP14" s="208">
        <f>SUMIFS(領用表!$L:$L,領用表!$E:$E,$B14,領用表!$B:$B,BP$2&amp;$BI$1)</f>
        <v>0</v>
      </c>
      <c r="BQ14" s="208">
        <f>SUMIFS(領用表!$L:$L,領用表!$E:$E,$B14,領用表!$B:$B,BQ$2&amp;$BI$1)</f>
        <v>0</v>
      </c>
      <c r="BR14" s="208">
        <f>SUMIFS(領用表!$L:$L,領用表!$E:$E,$B14,領用表!$B:$B,BR$2&amp;$BI$1)</f>
        <v>0</v>
      </c>
      <c r="BS14" s="208">
        <f>SUMIFS(領用表!$L:$L,領用表!$E:$E,$B14,領用表!$B:$B,BS$2&amp;$BI$1)</f>
        <v>0</v>
      </c>
      <c r="BT14" s="208">
        <f>SUMIFS(領用表!$L:$L,領用表!$E:$E,$B14,領用表!$B:$B,BT$2&amp;$BI$1)</f>
        <v>0</v>
      </c>
      <c r="BU14" s="208">
        <f t="shared" si="4"/>
        <v>8</v>
      </c>
      <c r="BV14" s="208">
        <f t="shared" si="5"/>
        <v>1.6</v>
      </c>
      <c r="BW14" s="208">
        <f>SUMIF(Summary!B:B,B14,Summary!DT:DT)</f>
        <v>4</v>
      </c>
      <c r="BX14" s="215">
        <v>15</v>
      </c>
      <c r="BY14" s="465"/>
      <c r="BZ14" s="211"/>
      <c r="CA14" s="211"/>
      <c r="CB14" s="136"/>
      <c r="CC14" s="212"/>
      <c r="CE14" s="213"/>
    </row>
    <row r="15" spans="1:83" s="118" customFormat="1" ht="15.75" customHeight="1">
      <c r="A15" s="136" t="s">
        <v>27</v>
      </c>
      <c r="B15" s="118">
        <v>6180009</v>
      </c>
      <c r="C15" s="118" t="s">
        <v>604</v>
      </c>
      <c r="D15" s="197">
        <v>10</v>
      </c>
      <c r="E15" s="198" t="s">
        <v>15</v>
      </c>
      <c r="F15" s="349">
        <v>22</v>
      </c>
      <c r="G15" s="349"/>
      <c r="H15" s="200">
        <v>0</v>
      </c>
      <c r="I15" s="200">
        <v>0</v>
      </c>
      <c r="J15" s="200">
        <v>0</v>
      </c>
      <c r="K15" s="200">
        <v>0</v>
      </c>
      <c r="L15" s="200">
        <v>0</v>
      </c>
      <c r="M15" s="200">
        <v>0</v>
      </c>
      <c r="N15" s="200">
        <v>0</v>
      </c>
      <c r="O15" s="200">
        <v>0</v>
      </c>
      <c r="P15" s="200">
        <v>0</v>
      </c>
      <c r="Q15" s="200">
        <v>0</v>
      </c>
      <c r="R15" s="200">
        <v>0</v>
      </c>
      <c r="S15" s="200">
        <v>0</v>
      </c>
      <c r="T15" s="200">
        <v>0</v>
      </c>
      <c r="U15" s="200">
        <v>0</v>
      </c>
      <c r="V15" s="200">
        <v>0</v>
      </c>
      <c r="W15" s="200">
        <v>0</v>
      </c>
      <c r="X15" s="200">
        <v>0</v>
      </c>
      <c r="Y15" s="200">
        <v>0</v>
      </c>
      <c r="Z15" s="200">
        <v>0</v>
      </c>
      <c r="AA15" s="200">
        <v>0</v>
      </c>
      <c r="AB15" s="200">
        <v>0</v>
      </c>
      <c r="AC15" s="200">
        <v>0</v>
      </c>
      <c r="AD15" s="200">
        <v>0</v>
      </c>
      <c r="AE15" s="200">
        <v>0</v>
      </c>
      <c r="AF15" s="200">
        <v>0</v>
      </c>
      <c r="AG15" s="201">
        <v>0.4</v>
      </c>
      <c r="AH15" s="201">
        <v>0.2</v>
      </c>
      <c r="AI15" s="201">
        <v>0.8</v>
      </c>
      <c r="AJ15" s="201">
        <v>0.2</v>
      </c>
      <c r="AK15" s="201">
        <v>1.4</v>
      </c>
      <c r="AL15" s="201">
        <v>0.8</v>
      </c>
      <c r="AM15" s="201">
        <v>0.6</v>
      </c>
      <c r="AN15" s="201">
        <v>0.6</v>
      </c>
      <c r="AO15" s="201">
        <v>0.4</v>
      </c>
      <c r="AP15" s="201">
        <v>0.6</v>
      </c>
      <c r="AQ15" s="202">
        <v>0.6</v>
      </c>
      <c r="AR15" s="203">
        <v>0</v>
      </c>
      <c r="AS15" s="204">
        <f t="shared" si="0"/>
        <v>6.5999999999999988</v>
      </c>
      <c r="AT15" s="205">
        <f t="shared" si="1"/>
        <v>0.54999999999999993</v>
      </c>
      <c r="AU15" s="203">
        <v>4</v>
      </c>
      <c r="AV15" s="203">
        <v>4</v>
      </c>
      <c r="AW15" s="203">
        <v>12</v>
      </c>
      <c r="AX15" s="203">
        <v>0</v>
      </c>
      <c r="AY15" s="203">
        <v>8</v>
      </c>
      <c r="AZ15" s="203">
        <f>SUMIFS(領用表!$L:$L,領用表!$E:$E,$B15,領用表!$B:$B,AZ$2&amp;$BI$1)</f>
        <v>0</v>
      </c>
      <c r="BA15" s="203">
        <f>SUMIFS(領用表!$L:$L,領用表!$E:$E,$B15,領用表!$B:$B,BA$2&amp;$BI$1)</f>
        <v>4</v>
      </c>
      <c r="BB15" s="203">
        <f>SUMIFS(領用表!$L:$L,領用表!$E:$E,$B15,領用表!$B:$B,BB$2&amp;$BI$1)</f>
        <v>8</v>
      </c>
      <c r="BC15" s="203">
        <f>SUMIFS(領用表!$L:$L,領用表!$E:$E,$B15,領用表!$B:$B,BC$2&amp;$BI$1)</f>
        <v>8</v>
      </c>
      <c r="BD15" s="208">
        <f>SUMIFS(領用表!$L:$L,領用表!$E:$E,$B15,領用表!$B:$B,BD$2&amp;$BI$1)</f>
        <v>4</v>
      </c>
      <c r="BE15" s="208">
        <f>SUMIFS(領用表!$L:$L,領用表!$E:$E,$B15,領用表!$B:$B,BE$2&amp;$BI$1)</f>
        <v>12</v>
      </c>
      <c r="BF15" s="208">
        <f>SUMIFS(領用表!$L:$L,領用表!$E:$E,$B15,領用表!$B:$B,BF$2&amp;$BI$1)</f>
        <v>0</v>
      </c>
      <c r="BG15" s="207">
        <f t="shared" si="2"/>
        <v>64</v>
      </c>
      <c r="BH15" s="207">
        <f t="shared" si="3"/>
        <v>5.333333333333333</v>
      </c>
      <c r="BI15" s="208">
        <f>SUMIFS(領用表!$L:$L,領用表!$E:$E,$B15,領用表!$B:$B,BI$2&amp;$BI$1)</f>
        <v>16</v>
      </c>
      <c r="BJ15" s="208">
        <f>SUMIFS(領用表!$L:$L,領用表!$E:$E,$B15,領用表!$B:$B,BJ$2&amp;$BI$1)</f>
        <v>12</v>
      </c>
      <c r="BK15" s="208">
        <f>SUMIFS(領用表!$L:$L,領用表!$E:$E,$B15,領用表!$B:$B,BK$2&amp;$BI$1)</f>
        <v>4</v>
      </c>
      <c r="BL15" s="208">
        <f>SUMIFS(領用表!$L:$L,領用表!$E:$E,$B15,領用表!$B:$B,BL$2&amp;$BI$1)</f>
        <v>0</v>
      </c>
      <c r="BM15" s="208">
        <f>SUMIFS(領用表!$L:$L,領用表!$E:$E,$B15,領用表!$B:$B,BM$2&amp;$BI$1)</f>
        <v>0</v>
      </c>
      <c r="BN15" s="208">
        <f>SUMIFS(領用表!$L:$L,領用表!$E:$E,$B15,領用表!$B:$B,BN$2&amp;$BI$1)</f>
        <v>0</v>
      </c>
      <c r="BO15" s="208">
        <f>SUMIFS(領用表!$L:$L,領用表!$E:$E,$B15,領用表!$B:$B,BO$2&amp;$BI$1)</f>
        <v>0</v>
      </c>
      <c r="BP15" s="208">
        <f>SUMIFS(領用表!$L:$L,領用表!$E:$E,$B15,領用表!$B:$B,BP$2&amp;$BI$1)</f>
        <v>0</v>
      </c>
      <c r="BQ15" s="208">
        <f>SUMIFS(領用表!$L:$L,領用表!$E:$E,$B15,領用表!$B:$B,BQ$2&amp;$BI$1)</f>
        <v>0</v>
      </c>
      <c r="BR15" s="208">
        <f>SUMIFS(領用表!$L:$L,領用表!$E:$E,$B15,領用表!$B:$B,BR$2&amp;$BI$1)</f>
        <v>0</v>
      </c>
      <c r="BS15" s="208">
        <f>SUMIFS(領用表!$L:$L,領用表!$E:$E,$B15,領用表!$B:$B,BS$2&amp;$BI$1)</f>
        <v>0</v>
      </c>
      <c r="BT15" s="208">
        <f>SUMIFS(領用表!$L:$L,領用表!$E:$E,$B15,領用表!$B:$B,BT$2&amp;$BI$1)</f>
        <v>0</v>
      </c>
      <c r="BU15" s="208">
        <f t="shared" si="4"/>
        <v>32</v>
      </c>
      <c r="BV15" s="208">
        <f t="shared" si="5"/>
        <v>6.4</v>
      </c>
      <c r="BW15" s="208">
        <f>SUMIF(Summary!B:B,B15,Summary!DT:DT)</f>
        <v>8</v>
      </c>
      <c r="BX15" s="215">
        <v>8</v>
      </c>
      <c r="BY15" s="465"/>
      <c r="BZ15" s="211"/>
      <c r="CA15" s="211"/>
      <c r="CB15" s="136"/>
      <c r="CC15" s="212"/>
      <c r="CE15" s="213"/>
    </row>
    <row r="16" spans="1:83" s="118" customFormat="1" ht="15.75" customHeight="1">
      <c r="A16" s="136" t="s">
        <v>28</v>
      </c>
      <c r="B16" s="118">
        <v>6180011</v>
      </c>
      <c r="C16" s="118" t="s">
        <v>605</v>
      </c>
      <c r="D16" s="197">
        <v>10</v>
      </c>
      <c r="E16" s="198" t="s">
        <v>15</v>
      </c>
      <c r="F16" s="349">
        <v>16</v>
      </c>
      <c r="G16" s="349"/>
      <c r="H16" s="200">
        <v>0</v>
      </c>
      <c r="I16" s="200">
        <v>0</v>
      </c>
      <c r="J16" s="200">
        <v>0</v>
      </c>
      <c r="K16" s="200">
        <v>0</v>
      </c>
      <c r="L16" s="200">
        <v>0</v>
      </c>
      <c r="M16" s="200">
        <v>0</v>
      </c>
      <c r="N16" s="200">
        <v>0</v>
      </c>
      <c r="O16" s="200">
        <v>0</v>
      </c>
      <c r="P16" s="200">
        <v>0</v>
      </c>
      <c r="Q16" s="200">
        <v>0</v>
      </c>
      <c r="R16" s="200">
        <v>0</v>
      </c>
      <c r="S16" s="200">
        <v>0</v>
      </c>
      <c r="T16" s="200">
        <v>0</v>
      </c>
      <c r="U16" s="200">
        <v>0</v>
      </c>
      <c r="V16" s="200">
        <v>0</v>
      </c>
      <c r="W16" s="200">
        <v>0</v>
      </c>
      <c r="X16" s="200">
        <v>0</v>
      </c>
      <c r="Y16" s="200">
        <v>0</v>
      </c>
      <c r="Z16" s="200">
        <v>0</v>
      </c>
      <c r="AA16" s="200">
        <v>0</v>
      </c>
      <c r="AB16" s="200">
        <v>0</v>
      </c>
      <c r="AC16" s="200">
        <v>0</v>
      </c>
      <c r="AD16" s="200">
        <v>0</v>
      </c>
      <c r="AE16" s="200">
        <v>0</v>
      </c>
      <c r="AF16" s="200">
        <v>0</v>
      </c>
      <c r="AG16" s="201">
        <v>1.2</v>
      </c>
      <c r="AH16" s="201">
        <v>1.2</v>
      </c>
      <c r="AI16" s="201">
        <v>2.8</v>
      </c>
      <c r="AJ16" s="201">
        <v>0.8</v>
      </c>
      <c r="AK16" s="201">
        <v>4</v>
      </c>
      <c r="AL16" s="201">
        <v>1</v>
      </c>
      <c r="AM16" s="201">
        <v>1.2</v>
      </c>
      <c r="AN16" s="201">
        <v>0</v>
      </c>
      <c r="AO16" s="201">
        <v>0</v>
      </c>
      <c r="AP16" s="201">
        <v>0</v>
      </c>
      <c r="AQ16" s="202">
        <v>0</v>
      </c>
      <c r="AR16" s="203">
        <v>4</v>
      </c>
      <c r="AS16" s="204">
        <f t="shared" si="0"/>
        <v>16.2</v>
      </c>
      <c r="AT16" s="205">
        <f t="shared" si="1"/>
        <v>1.3499999999999999</v>
      </c>
      <c r="AU16" s="203">
        <v>12</v>
      </c>
      <c r="AV16" s="203">
        <v>0</v>
      </c>
      <c r="AW16" s="203">
        <v>40</v>
      </c>
      <c r="AX16" s="203">
        <v>4</v>
      </c>
      <c r="AY16" s="203">
        <v>16</v>
      </c>
      <c r="AZ16" s="203">
        <f>SUMIFS(領用表!$L:$L,領用表!$E:$E,$B16,領用表!$B:$B,AZ$2&amp;$BI$1)</f>
        <v>8</v>
      </c>
      <c r="BA16" s="203">
        <f>SUMIFS(領用表!$L:$L,領用表!$E:$E,$B16,領用表!$B:$B,BA$2&amp;$BI$1)</f>
        <v>12</v>
      </c>
      <c r="BB16" s="203">
        <f>SUMIFS(領用表!$L:$L,領用表!$E:$E,$B16,領用表!$B:$B,BB$2&amp;$BI$1)</f>
        <v>16</v>
      </c>
      <c r="BC16" s="203">
        <f>SUMIFS(領用表!$L:$L,領用表!$E:$E,$B16,領用表!$B:$B,BC$2&amp;$BI$1)</f>
        <v>16</v>
      </c>
      <c r="BD16" s="208">
        <f>SUMIFS(領用表!$L:$L,領用表!$E:$E,$B16,領用表!$B:$B,BD$2&amp;$BI$1)</f>
        <v>20</v>
      </c>
      <c r="BE16" s="208">
        <f>SUMIFS(領用表!$L:$L,領用表!$E:$E,$B16,領用表!$B:$B,BE$2&amp;$BI$1)</f>
        <v>0</v>
      </c>
      <c r="BF16" s="208">
        <f>SUMIFS(領用表!$L:$L,領用表!$E:$E,$B16,領用表!$B:$B,BF$2&amp;$BI$1)</f>
        <v>8</v>
      </c>
      <c r="BG16" s="207">
        <f t="shared" si="2"/>
        <v>152</v>
      </c>
      <c r="BH16" s="207">
        <f t="shared" si="3"/>
        <v>12.666666666666666</v>
      </c>
      <c r="BI16" s="208">
        <f>SUMIFS(領用表!$L:$L,領用表!$E:$E,$B16,領用表!$B:$B,BI$2&amp;$BI$1)</f>
        <v>8</v>
      </c>
      <c r="BJ16" s="208">
        <f>SUMIFS(領用表!$L:$L,領用表!$E:$E,$B16,領用表!$B:$B,BJ$2&amp;$BI$1)</f>
        <v>36</v>
      </c>
      <c r="BK16" s="208">
        <f>SUMIFS(領用表!$L:$L,領用表!$E:$E,$B16,領用表!$B:$B,BK$2&amp;$BI$1)</f>
        <v>4</v>
      </c>
      <c r="BL16" s="208">
        <f>SUMIFS(領用表!$L:$L,領用表!$E:$E,$B16,領用表!$B:$B,BL$2&amp;$BI$1)</f>
        <v>8</v>
      </c>
      <c r="BM16" s="208">
        <f>SUMIFS(領用表!$L:$L,領用表!$E:$E,$B16,領用表!$B:$B,BM$2&amp;$BI$1)</f>
        <v>20</v>
      </c>
      <c r="BN16" s="208">
        <f>SUMIFS(領用表!$L:$L,領用表!$E:$E,$B16,領用表!$B:$B,BN$2&amp;$BI$1)</f>
        <v>0</v>
      </c>
      <c r="BO16" s="208">
        <f>SUMIFS(領用表!$L:$L,領用表!$E:$E,$B16,領用表!$B:$B,BO$2&amp;$BI$1)</f>
        <v>0</v>
      </c>
      <c r="BP16" s="208">
        <f>SUMIFS(領用表!$L:$L,領用表!$E:$E,$B16,領用表!$B:$B,BP$2&amp;$BI$1)</f>
        <v>0</v>
      </c>
      <c r="BQ16" s="208">
        <f>SUMIFS(領用表!$L:$L,領用表!$E:$E,$B16,領用表!$B:$B,BQ$2&amp;$BI$1)</f>
        <v>0</v>
      </c>
      <c r="BR16" s="208">
        <f>SUMIFS(領用表!$L:$L,領用表!$E:$E,$B16,領用表!$B:$B,BR$2&amp;$BI$1)</f>
        <v>0</v>
      </c>
      <c r="BS16" s="208">
        <f>SUMIFS(領用表!$L:$L,領用表!$E:$E,$B16,領用表!$B:$B,BS$2&amp;$BI$1)</f>
        <v>0</v>
      </c>
      <c r="BT16" s="208">
        <f>SUMIFS(領用表!$L:$L,領用表!$E:$E,$B16,領用表!$B:$B,BT$2&amp;$BI$1)</f>
        <v>0</v>
      </c>
      <c r="BU16" s="208">
        <f t="shared" si="4"/>
        <v>76</v>
      </c>
      <c r="BV16" s="208">
        <f t="shared" si="5"/>
        <v>15.2</v>
      </c>
      <c r="BW16" s="208">
        <f>SUMIF(Summary!B:B,B16,Summary!DT:DT)</f>
        <v>8</v>
      </c>
      <c r="BX16" s="215">
        <v>16</v>
      </c>
      <c r="BY16" s="466"/>
      <c r="BZ16" s="211"/>
      <c r="CA16" s="211"/>
      <c r="CB16" s="136"/>
      <c r="CC16" s="136"/>
      <c r="CE16" s="213"/>
    </row>
    <row r="17" spans="1:83" s="118" customFormat="1" ht="15.75" customHeight="1">
      <c r="A17" s="136" t="s">
        <v>29</v>
      </c>
      <c r="B17" s="118">
        <v>6210001</v>
      </c>
      <c r="C17" s="411" t="s">
        <v>951</v>
      </c>
      <c r="D17" s="197">
        <v>20</v>
      </c>
      <c r="E17" s="198" t="s">
        <v>15</v>
      </c>
      <c r="F17" s="349">
        <v>15</v>
      </c>
      <c r="G17" s="349"/>
      <c r="H17" s="200">
        <v>0</v>
      </c>
      <c r="I17" s="200">
        <v>0</v>
      </c>
      <c r="J17" s="200">
        <v>0</v>
      </c>
      <c r="K17" s="200">
        <v>0</v>
      </c>
      <c r="L17" s="200">
        <v>0</v>
      </c>
      <c r="M17" s="200">
        <v>0</v>
      </c>
      <c r="N17" s="200">
        <v>0</v>
      </c>
      <c r="O17" s="200">
        <v>0</v>
      </c>
      <c r="P17" s="200">
        <v>0</v>
      </c>
      <c r="Q17" s="200">
        <v>0</v>
      </c>
      <c r="R17" s="200">
        <v>0</v>
      </c>
      <c r="S17" s="200">
        <v>0</v>
      </c>
      <c r="T17" s="200">
        <v>0</v>
      </c>
      <c r="U17" s="200">
        <v>0</v>
      </c>
      <c r="V17" s="200">
        <v>0</v>
      </c>
      <c r="W17" s="200">
        <v>0</v>
      </c>
      <c r="X17" s="200">
        <v>0</v>
      </c>
      <c r="Y17" s="200">
        <v>1</v>
      </c>
      <c r="Z17" s="200">
        <v>0</v>
      </c>
      <c r="AA17" s="200">
        <v>0</v>
      </c>
      <c r="AB17" s="200">
        <v>0</v>
      </c>
      <c r="AC17" s="200">
        <v>0</v>
      </c>
      <c r="AD17" s="200">
        <v>1</v>
      </c>
      <c r="AE17" s="200">
        <v>0</v>
      </c>
      <c r="AF17" s="200">
        <v>0</v>
      </c>
      <c r="AG17" s="201">
        <v>0.05</v>
      </c>
      <c r="AH17" s="201">
        <v>0.1</v>
      </c>
      <c r="AI17" s="201">
        <v>0.15</v>
      </c>
      <c r="AJ17" s="201">
        <v>0.15</v>
      </c>
      <c r="AK17" s="201">
        <v>0.05</v>
      </c>
      <c r="AL17" s="201">
        <v>0.35</v>
      </c>
      <c r="AM17" s="201">
        <v>0.65</v>
      </c>
      <c r="AN17" s="201">
        <v>1.2</v>
      </c>
      <c r="AO17" s="201">
        <v>0</v>
      </c>
      <c r="AP17" s="201">
        <v>0.3</v>
      </c>
      <c r="AQ17" s="202">
        <v>0</v>
      </c>
      <c r="AR17" s="203">
        <v>0</v>
      </c>
      <c r="AS17" s="204">
        <f t="shared" si="0"/>
        <v>3</v>
      </c>
      <c r="AT17" s="205">
        <f t="shared" si="1"/>
        <v>0.25</v>
      </c>
      <c r="AU17" s="203">
        <v>6</v>
      </c>
      <c r="AV17" s="203">
        <v>1</v>
      </c>
      <c r="AW17" s="203">
        <v>7</v>
      </c>
      <c r="AX17" s="203">
        <v>10</v>
      </c>
      <c r="AY17" s="203">
        <v>0</v>
      </c>
      <c r="AZ17" s="203">
        <f>SUMIFS(領用表!$L:$L,領用表!$E:$E,$B17,領用表!$B:$B,AZ$2&amp;$BI$1)</f>
        <v>2</v>
      </c>
      <c r="BA17" s="203">
        <f>SUMIFS(領用表!$L:$L,領用表!$E:$E,$B17,領用表!$B:$B,BA$2&amp;$BI$1)</f>
        <v>2</v>
      </c>
      <c r="BB17" s="203">
        <f>SUMIFS(領用表!$L:$L,領用表!$E:$E,$B17,領用表!$B:$B,BB$2&amp;$BI$1)</f>
        <v>0</v>
      </c>
      <c r="BC17" s="203">
        <f>SUMIFS(領用表!$L:$L,領用表!$E:$E,$B17,領用表!$B:$B,BC$2&amp;$BI$1)</f>
        <v>0</v>
      </c>
      <c r="BD17" s="208">
        <f>SUMIFS(領用表!$L:$L,領用表!$E:$E,$B17,領用表!$B:$B,BD$2&amp;$BI$1)</f>
        <v>2</v>
      </c>
      <c r="BE17" s="208">
        <f>SUMIFS(領用表!$L:$L,領用表!$E:$E,$B17,領用表!$B:$B,BE$2&amp;$BI$1)</f>
        <v>2</v>
      </c>
      <c r="BF17" s="208">
        <f>SUMIFS(領用表!$L:$L,領用表!$E:$E,$B17,領用表!$B:$B,BF$2&amp;$BI$1)</f>
        <v>0</v>
      </c>
      <c r="BG17" s="207">
        <f t="shared" si="2"/>
        <v>32</v>
      </c>
      <c r="BH17" s="207">
        <f t="shared" si="3"/>
        <v>2.6666666666666665</v>
      </c>
      <c r="BI17" s="208">
        <f>SUMIFS(領用表!$L:$L,領用表!$E:$E,$B17,領用表!$B:$B,BI$2&amp;$BI$1)</f>
        <v>2</v>
      </c>
      <c r="BJ17" s="208">
        <f>SUMIFS(領用表!$L:$L,領用表!$E:$E,$B17,領用表!$B:$B,BJ$2&amp;$BI$1)</f>
        <v>4</v>
      </c>
      <c r="BK17" s="208">
        <f>SUMIFS(領用表!$L:$L,領用表!$E:$E,$B17,領用表!$B:$B,BK$2&amp;$BI$1)</f>
        <v>0</v>
      </c>
      <c r="BL17" s="208">
        <f>SUMIFS(領用表!$L:$L,領用表!$E:$E,$B17,領用表!$B:$B,BL$2&amp;$BI$1)</f>
        <v>0</v>
      </c>
      <c r="BM17" s="208">
        <f>SUMIFS(領用表!$L:$L,領用表!$E:$E,$B17,領用表!$B:$B,BM$2&amp;$BI$1)</f>
        <v>0</v>
      </c>
      <c r="BN17" s="208">
        <f>SUMIFS(領用表!$L:$L,領用表!$E:$E,$B17,領用表!$B:$B,BN$2&amp;$BI$1)</f>
        <v>0</v>
      </c>
      <c r="BO17" s="208">
        <f>SUMIFS(領用表!$L:$L,領用表!$E:$E,$B17,領用表!$B:$B,BO$2&amp;$BI$1)</f>
        <v>0</v>
      </c>
      <c r="BP17" s="208">
        <f>SUMIFS(領用表!$L:$L,領用表!$E:$E,$B17,領用表!$B:$B,BP$2&amp;$BI$1)</f>
        <v>0</v>
      </c>
      <c r="BQ17" s="208">
        <f>SUMIFS(領用表!$L:$L,領用表!$E:$E,$B17,領用表!$B:$B,BQ$2&amp;$BI$1)</f>
        <v>0</v>
      </c>
      <c r="BR17" s="208">
        <f>SUMIFS(領用表!$L:$L,領用表!$E:$E,$B17,領用表!$B:$B,BR$2&amp;$BI$1)</f>
        <v>0</v>
      </c>
      <c r="BS17" s="208">
        <f>SUMIFS(領用表!$L:$L,領用表!$E:$E,$B17,領用表!$B:$B,BS$2&amp;$BI$1)</f>
        <v>0</v>
      </c>
      <c r="BT17" s="208">
        <f>SUMIFS(領用表!$L:$L,領用表!$E:$E,$B17,領用表!$B:$B,BT$2&amp;$BI$1)</f>
        <v>0</v>
      </c>
      <c r="BU17" s="208">
        <f t="shared" si="4"/>
        <v>6</v>
      </c>
      <c r="BV17" s="208">
        <f t="shared" si="5"/>
        <v>1.2</v>
      </c>
      <c r="BW17" s="208">
        <f>SUMIF(Summary!B:B,B17,Summary!DT:DT)</f>
        <v>5</v>
      </c>
      <c r="BX17" s="215">
        <v>5</v>
      </c>
      <c r="BY17" s="219"/>
      <c r="BZ17" s="211"/>
      <c r="CA17" s="211"/>
      <c r="CB17" s="136"/>
      <c r="CC17" s="212"/>
      <c r="CE17" s="213"/>
    </row>
    <row r="18" spans="1:83" s="118" customFormat="1" ht="15.75" customHeight="1">
      <c r="A18" s="136" t="s">
        <v>30</v>
      </c>
      <c r="B18" s="118">
        <v>6210002</v>
      </c>
      <c r="C18" s="118" t="s">
        <v>607</v>
      </c>
      <c r="D18" s="197">
        <v>20</v>
      </c>
      <c r="E18" s="198" t="s">
        <v>15</v>
      </c>
      <c r="F18" s="349">
        <v>106</v>
      </c>
      <c r="G18" s="349"/>
      <c r="H18" s="200">
        <v>0</v>
      </c>
      <c r="I18" s="200">
        <v>0</v>
      </c>
      <c r="J18" s="200">
        <v>0</v>
      </c>
      <c r="K18" s="200">
        <v>0</v>
      </c>
      <c r="L18" s="200">
        <v>0</v>
      </c>
      <c r="M18" s="200">
        <v>0</v>
      </c>
      <c r="N18" s="200">
        <v>0</v>
      </c>
      <c r="O18" s="200">
        <v>0</v>
      </c>
      <c r="P18" s="200">
        <v>0</v>
      </c>
      <c r="Q18" s="200">
        <v>0</v>
      </c>
      <c r="R18" s="200">
        <v>0</v>
      </c>
      <c r="S18" s="200">
        <v>0</v>
      </c>
      <c r="T18" s="200">
        <v>0</v>
      </c>
      <c r="U18" s="200">
        <v>0</v>
      </c>
      <c r="V18" s="200">
        <v>0</v>
      </c>
      <c r="W18" s="200">
        <v>0</v>
      </c>
      <c r="X18" s="200">
        <v>0</v>
      </c>
      <c r="Y18" s="200">
        <v>0</v>
      </c>
      <c r="Z18" s="200">
        <v>0</v>
      </c>
      <c r="AA18" s="200">
        <v>0</v>
      </c>
      <c r="AB18" s="200">
        <v>0</v>
      </c>
      <c r="AC18" s="200">
        <v>0</v>
      </c>
      <c r="AD18" s="200">
        <v>0</v>
      </c>
      <c r="AE18" s="200">
        <v>0</v>
      </c>
      <c r="AF18" s="200">
        <v>0</v>
      </c>
      <c r="AG18" s="201">
        <v>0</v>
      </c>
      <c r="AH18" s="201">
        <v>0</v>
      </c>
      <c r="AI18" s="201">
        <v>0</v>
      </c>
      <c r="AJ18" s="201">
        <v>0</v>
      </c>
      <c r="AK18" s="201">
        <v>0</v>
      </c>
      <c r="AL18" s="201">
        <v>0</v>
      </c>
      <c r="AM18" s="201">
        <v>0</v>
      </c>
      <c r="AN18" s="201">
        <v>0</v>
      </c>
      <c r="AO18" s="201">
        <v>0.9</v>
      </c>
      <c r="AP18" s="201">
        <v>1.1000000000000001</v>
      </c>
      <c r="AQ18" s="202">
        <v>0.65</v>
      </c>
      <c r="AR18" s="203">
        <v>9</v>
      </c>
      <c r="AS18" s="204">
        <f t="shared" si="0"/>
        <v>11.65</v>
      </c>
      <c r="AT18" s="205">
        <f t="shared" si="1"/>
        <v>0.97083333333333333</v>
      </c>
      <c r="AU18" s="203">
        <v>22</v>
      </c>
      <c r="AV18" s="203">
        <v>36</v>
      </c>
      <c r="AW18" s="203">
        <v>35</v>
      </c>
      <c r="AX18" s="203">
        <v>26</v>
      </c>
      <c r="AY18" s="203">
        <v>17</v>
      </c>
      <c r="AZ18" s="203">
        <f>SUMIFS(領用表!$L:$L,領用表!$E:$E,$B18,領用表!$B:$B,AZ$2&amp;$BI$1)</f>
        <v>26</v>
      </c>
      <c r="BA18" s="203">
        <f>SUMIFS(領用表!$L:$L,領用表!$E:$E,$B18,領用表!$B:$B,BA$2&amp;$BI$1)</f>
        <v>28</v>
      </c>
      <c r="BB18" s="203">
        <f>SUMIFS(領用表!$L:$L,領用表!$E:$E,$B18,領用表!$B:$B,BB$2&amp;$BI$1)</f>
        <v>39</v>
      </c>
      <c r="BC18" s="203">
        <f>SUMIFS(領用表!$L:$L,領用表!$E:$E,$B18,領用表!$B:$B,BC$2&amp;$BI$1)</f>
        <v>54</v>
      </c>
      <c r="BD18" s="208">
        <f>SUMIFS(領用表!$L:$L,領用表!$E:$E,$B18,領用表!$B:$B,BD$2&amp;$BI$1)</f>
        <v>76</v>
      </c>
      <c r="BE18" s="208">
        <f>SUMIFS(領用表!$L:$L,領用表!$E:$E,$B18,領用表!$B:$B,BE$2&amp;$BI$1)</f>
        <v>74</v>
      </c>
      <c r="BF18" s="208">
        <f>SUMIFS(領用表!$L:$L,領用表!$E:$E,$B18,領用表!$B:$B,BF$2&amp;$BI$1)</f>
        <v>97</v>
      </c>
      <c r="BG18" s="207">
        <f t="shared" si="2"/>
        <v>530</v>
      </c>
      <c r="BH18" s="207">
        <f t="shared" si="3"/>
        <v>44.166666666666664</v>
      </c>
      <c r="BI18" s="208">
        <f>SUMIFS(領用表!$L:$L,領用表!$E:$E,$B18,領用表!$B:$B,BI$2&amp;$BI$1)</f>
        <v>176</v>
      </c>
      <c r="BJ18" s="208">
        <f>SUMIFS(領用表!$L:$L,領用表!$E:$E,$B18,領用表!$B:$B,BJ$2&amp;$BI$1)</f>
        <v>153</v>
      </c>
      <c r="BK18" s="208">
        <f>SUMIFS(領用表!$L:$L,領用表!$E:$E,$B18,領用表!$B:$B,BK$2&amp;$BI$1)</f>
        <v>184</v>
      </c>
      <c r="BL18" s="208">
        <f>SUMIFS(領用表!$L:$L,領用表!$E:$E,$B18,領用表!$B:$B,BL$2&amp;$BI$1)</f>
        <v>179</v>
      </c>
      <c r="BM18" s="208">
        <f>SUMIFS(領用表!$L:$L,領用表!$E:$E,$B18,領用表!$B:$B,BM$2&amp;$BI$1)</f>
        <v>189</v>
      </c>
      <c r="BN18" s="208">
        <f>SUMIFS(領用表!$L:$L,領用表!$E:$E,$B18,領用表!$B:$B,BN$2&amp;$BI$1)</f>
        <v>0</v>
      </c>
      <c r="BO18" s="208">
        <f>SUMIFS(領用表!$L:$L,領用表!$E:$E,$B18,領用表!$B:$B,BO$2&amp;$BI$1)</f>
        <v>0</v>
      </c>
      <c r="BP18" s="208">
        <f>SUMIFS(領用表!$L:$L,領用表!$E:$E,$B18,領用表!$B:$B,BP$2&amp;$BI$1)</f>
        <v>0</v>
      </c>
      <c r="BQ18" s="208">
        <f>SUMIFS(領用表!$L:$L,領用表!$E:$E,$B18,領用表!$B:$B,BQ$2&amp;$BI$1)</f>
        <v>0</v>
      </c>
      <c r="BR18" s="208">
        <f>SUMIFS(領用表!$L:$L,領用表!$E:$E,$B18,領用表!$B:$B,BR$2&amp;$BI$1)</f>
        <v>0</v>
      </c>
      <c r="BS18" s="208">
        <f>SUMIFS(領用表!$L:$L,領用表!$E:$E,$B18,領用表!$B:$B,BS$2&amp;$BI$1)</f>
        <v>0</v>
      </c>
      <c r="BT18" s="208">
        <f>SUMIFS(領用表!$L:$L,領用表!$E:$E,$B18,領用表!$B:$B,BT$2&amp;$BI$1)</f>
        <v>0</v>
      </c>
      <c r="BU18" s="208">
        <f t="shared" si="4"/>
        <v>881</v>
      </c>
      <c r="BV18" s="208">
        <f t="shared" si="5"/>
        <v>176.2</v>
      </c>
      <c r="BW18" s="208">
        <f>SUMIF(Summary!B:B,B18,Summary!DT:DT)</f>
        <v>130</v>
      </c>
      <c r="BX18" s="215">
        <v>35</v>
      </c>
      <c r="BY18" s="219"/>
      <c r="BZ18" s="211" t="s">
        <v>784</v>
      </c>
      <c r="CA18" s="211" t="s">
        <v>785</v>
      </c>
      <c r="CB18" s="136"/>
      <c r="CC18" s="136"/>
      <c r="CE18" s="213"/>
    </row>
    <row r="19" spans="1:83" s="118" customFormat="1" ht="15.75" customHeight="1">
      <c r="A19" s="136" t="s">
        <v>33</v>
      </c>
      <c r="B19" s="118">
        <v>6210003</v>
      </c>
      <c r="C19" s="411" t="s">
        <v>966</v>
      </c>
      <c r="D19" s="197">
        <v>20</v>
      </c>
      <c r="E19" s="198" t="s">
        <v>15</v>
      </c>
      <c r="F19" s="349">
        <v>14</v>
      </c>
      <c r="G19" s="349"/>
      <c r="H19" s="200">
        <v>0</v>
      </c>
      <c r="I19" s="200">
        <v>0</v>
      </c>
      <c r="J19" s="200">
        <v>0</v>
      </c>
      <c r="K19" s="200">
        <v>0</v>
      </c>
      <c r="L19" s="200">
        <v>0</v>
      </c>
      <c r="M19" s="200">
        <v>0</v>
      </c>
      <c r="N19" s="200">
        <v>0</v>
      </c>
      <c r="O19" s="200">
        <v>0</v>
      </c>
      <c r="P19" s="200">
        <v>0</v>
      </c>
      <c r="Q19" s="200">
        <v>0</v>
      </c>
      <c r="R19" s="200">
        <v>0</v>
      </c>
      <c r="S19" s="200">
        <v>0</v>
      </c>
      <c r="T19" s="200">
        <v>0</v>
      </c>
      <c r="U19" s="200">
        <v>0</v>
      </c>
      <c r="V19" s="200">
        <v>0</v>
      </c>
      <c r="W19" s="200">
        <v>0</v>
      </c>
      <c r="X19" s="200">
        <v>0</v>
      </c>
      <c r="Y19" s="200">
        <v>1</v>
      </c>
      <c r="Z19" s="200">
        <v>0</v>
      </c>
      <c r="AA19" s="200">
        <v>0</v>
      </c>
      <c r="AB19" s="200">
        <v>0</v>
      </c>
      <c r="AC19" s="200">
        <v>0</v>
      </c>
      <c r="AD19" s="200">
        <v>0</v>
      </c>
      <c r="AE19" s="200">
        <v>0</v>
      </c>
      <c r="AF19" s="200">
        <v>0</v>
      </c>
      <c r="AG19" s="201">
        <v>0.05</v>
      </c>
      <c r="AH19" s="201">
        <v>0.05</v>
      </c>
      <c r="AI19" s="201">
        <v>0</v>
      </c>
      <c r="AJ19" s="201">
        <v>0.15</v>
      </c>
      <c r="AK19" s="201">
        <v>0.05</v>
      </c>
      <c r="AL19" s="201">
        <v>0.2</v>
      </c>
      <c r="AM19" s="201">
        <v>0.25</v>
      </c>
      <c r="AN19" s="201">
        <v>1.7</v>
      </c>
      <c r="AO19" s="201">
        <v>0.35</v>
      </c>
      <c r="AP19" s="201">
        <v>0</v>
      </c>
      <c r="AQ19" s="202">
        <v>0.35</v>
      </c>
      <c r="AR19" s="203">
        <v>2</v>
      </c>
      <c r="AS19" s="204">
        <f t="shared" si="0"/>
        <v>5.15</v>
      </c>
      <c r="AT19" s="205">
        <f t="shared" si="1"/>
        <v>0.4291666666666667</v>
      </c>
      <c r="AU19" s="203">
        <v>4</v>
      </c>
      <c r="AV19" s="203">
        <v>3</v>
      </c>
      <c r="AW19" s="203">
        <v>5</v>
      </c>
      <c r="AX19" s="203">
        <v>13</v>
      </c>
      <c r="AY19" s="203">
        <v>8</v>
      </c>
      <c r="AZ19" s="203">
        <f>SUMIFS(領用表!$L:$L,領用表!$E:$E,$B19,領用表!$B:$B,AZ$2&amp;$BI$1)</f>
        <v>32</v>
      </c>
      <c r="BA19" s="203">
        <f>SUMIFS(領用表!$L:$L,領用表!$E:$E,$B19,領用表!$B:$B,BA$2&amp;$BI$1)</f>
        <v>38</v>
      </c>
      <c r="BB19" s="203">
        <f>SUMIFS(領用表!$L:$L,領用表!$E:$E,$B19,領用表!$B:$B,BB$2&amp;$BI$1)</f>
        <v>48</v>
      </c>
      <c r="BC19" s="203">
        <f>SUMIFS(領用表!$L:$L,領用表!$E:$E,$B19,領用表!$B:$B,BC$2&amp;$BI$1)</f>
        <v>28</v>
      </c>
      <c r="BD19" s="208">
        <f>SUMIFS(領用表!$L:$L,領用表!$E:$E,$B19,領用表!$B:$B,BD$2&amp;$BI$1)</f>
        <v>18</v>
      </c>
      <c r="BE19" s="208">
        <f>SUMIFS(領用表!$L:$L,領用表!$E:$E,$B19,領用表!$B:$B,BE$2&amp;$BI$1)</f>
        <v>19</v>
      </c>
      <c r="BF19" s="208">
        <f>SUMIFS(領用表!$L:$L,領用表!$E:$E,$B19,領用表!$B:$B,BF$2&amp;$BI$1)</f>
        <v>24</v>
      </c>
      <c r="BG19" s="207">
        <f t="shared" si="2"/>
        <v>240</v>
      </c>
      <c r="BH19" s="207">
        <f t="shared" si="3"/>
        <v>20</v>
      </c>
      <c r="BI19" s="208">
        <f>SUMIFS(領用表!$L:$L,領用表!$E:$E,$B19,領用表!$B:$B,BI$2&amp;$BI$1)</f>
        <v>15</v>
      </c>
      <c r="BJ19" s="208">
        <f>SUMIFS(領用表!$L:$L,領用表!$E:$E,$B19,領用表!$B:$B,BJ$2&amp;$BI$1)</f>
        <v>9</v>
      </c>
      <c r="BK19" s="208">
        <f>SUMIFS(領用表!$L:$L,領用表!$E:$E,$B19,領用表!$B:$B,BK$2&amp;$BI$1)</f>
        <v>15</v>
      </c>
      <c r="BL19" s="208">
        <f>SUMIFS(領用表!$L:$L,領用表!$E:$E,$B19,領用表!$B:$B,BL$2&amp;$BI$1)</f>
        <v>14</v>
      </c>
      <c r="BM19" s="208">
        <f>SUMIFS(領用表!$L:$L,領用表!$E:$E,$B19,領用表!$B:$B,BM$2&amp;$BI$1)</f>
        <v>18</v>
      </c>
      <c r="BN19" s="208">
        <f>SUMIFS(領用表!$L:$L,領用表!$E:$E,$B19,領用表!$B:$B,BN$2&amp;$BI$1)</f>
        <v>0</v>
      </c>
      <c r="BO19" s="208">
        <f>SUMIFS(領用表!$L:$L,領用表!$E:$E,$B19,領用表!$B:$B,BO$2&amp;$BI$1)</f>
        <v>0</v>
      </c>
      <c r="BP19" s="208">
        <f>SUMIFS(領用表!$L:$L,領用表!$E:$E,$B19,領用表!$B:$B,BP$2&amp;$BI$1)</f>
        <v>0</v>
      </c>
      <c r="BQ19" s="208">
        <f>SUMIFS(領用表!$L:$L,領用表!$E:$E,$B19,領用表!$B:$B,BQ$2&amp;$BI$1)</f>
        <v>0</v>
      </c>
      <c r="BR19" s="208">
        <f>SUMIFS(領用表!$L:$L,領用表!$E:$E,$B19,領用表!$B:$B,BR$2&amp;$BI$1)</f>
        <v>0</v>
      </c>
      <c r="BS19" s="208">
        <f>SUMIFS(領用表!$L:$L,領用表!$E:$E,$B19,領用表!$B:$B,BS$2&amp;$BI$1)</f>
        <v>0</v>
      </c>
      <c r="BT19" s="208">
        <f>SUMIFS(領用表!$L:$L,領用表!$E:$E,$B19,領用表!$B:$B,BT$2&amp;$BI$1)</f>
        <v>0</v>
      </c>
      <c r="BU19" s="208">
        <f t="shared" si="4"/>
        <v>71</v>
      </c>
      <c r="BV19" s="208">
        <f t="shared" si="5"/>
        <v>14.2</v>
      </c>
      <c r="BW19" s="208">
        <f>SUMIF(Summary!B:B,B19,Summary!DT:DT)</f>
        <v>20</v>
      </c>
      <c r="BX19" s="215">
        <v>25</v>
      </c>
      <c r="BY19" s="219"/>
      <c r="BZ19" s="211" t="s">
        <v>786</v>
      </c>
      <c r="CA19" s="211" t="s">
        <v>787</v>
      </c>
      <c r="CB19" s="136"/>
      <c r="CC19" s="212"/>
      <c r="CE19" s="213"/>
    </row>
    <row r="20" spans="1:83" s="118" customFormat="1" ht="15.75" customHeight="1">
      <c r="A20" s="136" t="s">
        <v>36</v>
      </c>
      <c r="B20" s="118">
        <v>6210005</v>
      </c>
      <c r="C20" s="428" t="s">
        <v>952</v>
      </c>
      <c r="D20" s="197">
        <v>20</v>
      </c>
      <c r="E20" s="198" t="s">
        <v>15</v>
      </c>
      <c r="F20" s="349">
        <v>7</v>
      </c>
      <c r="G20" s="349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1"/>
      <c r="AH20" s="221"/>
      <c r="AI20" s="221"/>
      <c r="AJ20" s="221"/>
      <c r="AK20" s="221"/>
      <c r="AL20" s="221"/>
      <c r="AM20" s="221"/>
      <c r="AN20" s="221">
        <v>0</v>
      </c>
      <c r="AO20" s="221">
        <v>0</v>
      </c>
      <c r="AP20" s="201">
        <v>0</v>
      </c>
      <c r="AQ20" s="202">
        <v>0</v>
      </c>
      <c r="AR20" s="203">
        <v>0</v>
      </c>
      <c r="AS20" s="204">
        <f t="shared" si="0"/>
        <v>0</v>
      </c>
      <c r="AT20" s="205">
        <f t="shared" si="1"/>
        <v>0</v>
      </c>
      <c r="AU20" s="203">
        <v>0</v>
      </c>
      <c r="AV20" s="203">
        <v>63</v>
      </c>
      <c r="AW20" s="203">
        <v>1</v>
      </c>
      <c r="AX20" s="203">
        <v>3</v>
      </c>
      <c r="AY20" s="203">
        <v>3</v>
      </c>
      <c r="AZ20" s="203">
        <f>SUMIFS(領用表!$L:$L,領用表!$E:$E,$B20,領用表!$B:$B,AZ$2&amp;$BI$1)</f>
        <v>1</v>
      </c>
      <c r="BA20" s="203">
        <f>SUMIFS(領用表!$L:$L,領用表!$E:$E,$B20,領用表!$B:$B,BA$2&amp;$BI$1)</f>
        <v>2</v>
      </c>
      <c r="BB20" s="203">
        <f>SUMIFS(領用表!$L:$L,領用表!$E:$E,$B20,領用表!$B:$B,BB$2&amp;$BI$1)</f>
        <v>1</v>
      </c>
      <c r="BC20" s="203">
        <f>SUMIFS(領用表!$L:$L,領用表!$E:$E,$B20,領用表!$B:$B,BC$2&amp;$BI$1)</f>
        <v>6</v>
      </c>
      <c r="BD20" s="208">
        <f>SUMIFS(領用表!$L:$L,領用表!$E:$E,$B20,領用表!$B:$B,BD$2&amp;$BI$1)</f>
        <v>4</v>
      </c>
      <c r="BE20" s="208">
        <f>SUMIFS(領用表!$L:$L,領用表!$E:$E,$B20,領用表!$B:$B,BE$2&amp;$BI$1)</f>
        <v>3</v>
      </c>
      <c r="BF20" s="208">
        <f>SUMIFS(領用表!$L:$L,領用表!$E:$E,$B20,領用表!$B:$B,BF$2&amp;$BI$1)</f>
        <v>5</v>
      </c>
      <c r="BG20" s="207">
        <f t="shared" si="2"/>
        <v>92</v>
      </c>
      <c r="BH20" s="207">
        <f t="shared" si="3"/>
        <v>7.666666666666667</v>
      </c>
      <c r="BI20" s="208">
        <f>SUMIFS(領用表!$L:$L,領用表!$E:$E,$B20,領用表!$B:$B,BI$2&amp;$BI$1)</f>
        <v>1</v>
      </c>
      <c r="BJ20" s="208">
        <f>SUMIFS(領用表!$L:$L,領用表!$E:$E,$B20,領用表!$B:$B,BJ$2&amp;$BI$1)</f>
        <v>1</v>
      </c>
      <c r="BK20" s="208">
        <f>SUMIFS(領用表!$L:$L,領用表!$E:$E,$B20,領用表!$B:$B,BK$2&amp;$BI$1)</f>
        <v>6</v>
      </c>
      <c r="BL20" s="208">
        <f>SUMIFS(領用表!$L:$L,領用表!$E:$E,$B20,領用表!$B:$B,BL$2&amp;$BI$1)</f>
        <v>0</v>
      </c>
      <c r="BM20" s="208">
        <f>SUMIFS(領用表!$L:$L,領用表!$E:$E,$B20,領用表!$B:$B,BM$2&amp;$BI$1)</f>
        <v>0</v>
      </c>
      <c r="BN20" s="208">
        <f>SUMIFS(領用表!$L:$L,領用表!$E:$E,$B20,領用表!$B:$B,BN$2&amp;$BI$1)</f>
        <v>0</v>
      </c>
      <c r="BO20" s="208">
        <f>SUMIFS(領用表!$L:$L,領用表!$E:$E,$B20,領用表!$B:$B,BO$2&amp;$BI$1)</f>
        <v>0</v>
      </c>
      <c r="BP20" s="208">
        <f>SUMIFS(領用表!$L:$L,領用表!$E:$E,$B20,領用表!$B:$B,BP$2&amp;$BI$1)</f>
        <v>0</v>
      </c>
      <c r="BQ20" s="208">
        <f>SUMIFS(領用表!$L:$L,領用表!$E:$E,$B20,領用表!$B:$B,BQ$2&amp;$BI$1)</f>
        <v>0</v>
      </c>
      <c r="BR20" s="208">
        <f>SUMIFS(領用表!$L:$L,領用表!$E:$E,$B20,領用表!$B:$B,BR$2&amp;$BI$1)</f>
        <v>0</v>
      </c>
      <c r="BS20" s="208">
        <f>SUMIFS(領用表!$L:$L,領用表!$E:$E,$B20,領用表!$B:$B,BS$2&amp;$BI$1)</f>
        <v>0</v>
      </c>
      <c r="BT20" s="208">
        <f>SUMIFS(領用表!$L:$L,領用表!$E:$E,$B20,領用表!$B:$B,BT$2&amp;$BI$1)</f>
        <v>0</v>
      </c>
      <c r="BU20" s="208">
        <f t="shared" si="4"/>
        <v>8</v>
      </c>
      <c r="BV20" s="208">
        <f t="shared" si="5"/>
        <v>1.6</v>
      </c>
      <c r="BW20" s="208">
        <f>SUMIF(Summary!B:B,B20,Summary!DT:DT)</f>
        <v>5</v>
      </c>
      <c r="BX20" s="215">
        <v>10</v>
      </c>
      <c r="BY20" s="210"/>
      <c r="BZ20" s="211"/>
      <c r="CA20" s="211"/>
      <c r="CB20" s="222"/>
      <c r="CC20" s="223"/>
      <c r="CE20" s="213"/>
    </row>
    <row r="21" spans="1:83" s="118" customFormat="1" ht="15.75" customHeight="1">
      <c r="A21" s="136" t="s">
        <v>37</v>
      </c>
      <c r="B21" s="118">
        <v>6210008</v>
      </c>
      <c r="C21" s="428" t="s">
        <v>972</v>
      </c>
      <c r="D21" s="197">
        <v>33</v>
      </c>
      <c r="E21" s="198" t="s">
        <v>15</v>
      </c>
      <c r="F21" s="349">
        <v>34</v>
      </c>
      <c r="G21" s="349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1"/>
      <c r="AH21" s="201"/>
      <c r="AI21" s="201"/>
      <c r="AJ21" s="201"/>
      <c r="AK21" s="201"/>
      <c r="AL21" s="201"/>
      <c r="AM21" s="201"/>
      <c r="AN21" s="201"/>
      <c r="AO21" s="201"/>
      <c r="AP21" s="201"/>
      <c r="AQ21" s="202"/>
      <c r="AR21" s="203"/>
      <c r="AS21" s="204"/>
      <c r="AT21" s="205"/>
      <c r="AU21" s="203"/>
      <c r="AV21" s="203"/>
      <c r="AW21" s="203"/>
      <c r="AX21" s="203"/>
      <c r="AY21" s="203"/>
      <c r="AZ21" s="203">
        <f>SUMIFS(領用表!$L:$L,領用表!$E:$E,$B21,領用表!$B:$B,AZ$2&amp;$BI$1)</f>
        <v>0</v>
      </c>
      <c r="BA21" s="203">
        <f>SUMIFS(領用表!$L:$L,領用表!$E:$E,$B21,領用表!$B:$B,BA$2&amp;$BI$1)</f>
        <v>0</v>
      </c>
      <c r="BB21" s="203">
        <f>SUMIFS(領用表!$L:$L,領用表!$E:$E,$B21,領用表!$B:$B,BB$2&amp;$BI$1)</f>
        <v>0</v>
      </c>
      <c r="BC21" s="203">
        <f>SUMIFS(領用表!$L:$L,領用表!$E:$E,$B21,領用表!$B:$B,BC$2&amp;$BI$1)</f>
        <v>0</v>
      </c>
      <c r="BD21" s="208">
        <f>SUMIFS(領用表!$L:$L,領用表!$E:$E,$B21,領用表!$B:$B,BD$2&amp;$BI$1)</f>
        <v>0</v>
      </c>
      <c r="BE21" s="208">
        <f>SUMIFS(領用表!$L:$L,領用表!$E:$E,$B21,領用表!$B:$B,BE$2&amp;$BI$1)</f>
        <v>0</v>
      </c>
      <c r="BF21" s="208">
        <f>SUMIFS(領用表!$L:$L,領用表!$E:$E,$B21,領用表!$B:$B,BF$2&amp;$BI$1)</f>
        <v>3</v>
      </c>
      <c r="BG21" s="207">
        <f t="shared" si="2"/>
        <v>3</v>
      </c>
      <c r="BH21" s="207">
        <f t="shared" si="3"/>
        <v>0.42857142857142855</v>
      </c>
      <c r="BI21" s="208">
        <f>SUMIFS(領用表!$L:$L,領用表!$E:$E,$B21,領用表!$B:$B,BI$2&amp;$BI$1)</f>
        <v>3</v>
      </c>
      <c r="BJ21" s="208">
        <f>SUMIFS(領用表!$L:$L,領用表!$E:$E,$B21,領用表!$B:$B,BJ$2&amp;$BI$1)</f>
        <v>5</v>
      </c>
      <c r="BK21" s="208">
        <f>SUMIFS(領用表!$L:$L,領用表!$E:$E,$B21,領用表!$B:$B,BK$2&amp;$BI$1)</f>
        <v>5</v>
      </c>
      <c r="BL21" s="208">
        <f>SUMIFS(領用表!$L:$L,領用表!$E:$E,$B21,領用表!$B:$B,BL$2&amp;$BI$1)</f>
        <v>6</v>
      </c>
      <c r="BM21" s="208">
        <f>SUMIFS(領用表!$L:$L,領用表!$E:$E,$B21,領用表!$B:$B,BM$2&amp;$BI$1)</f>
        <v>9</v>
      </c>
      <c r="BN21" s="208">
        <f>SUMIFS(領用表!$L:$L,領用表!$E:$E,$B21,領用表!$B:$B,BN$2&amp;$BI$1)</f>
        <v>0</v>
      </c>
      <c r="BO21" s="208">
        <f>SUMIFS(領用表!$L:$L,領用表!$E:$E,$B21,領用表!$B:$B,BO$2&amp;$BI$1)</f>
        <v>0</v>
      </c>
      <c r="BP21" s="208">
        <f>SUMIFS(領用表!$L:$L,領用表!$E:$E,$B21,領用表!$B:$B,BP$2&amp;$BI$1)</f>
        <v>0</v>
      </c>
      <c r="BQ21" s="208">
        <f>SUMIFS(領用表!$L:$L,領用表!$E:$E,$B21,領用表!$B:$B,BQ$2&amp;$BI$1)</f>
        <v>0</v>
      </c>
      <c r="BR21" s="208">
        <f>SUMIFS(領用表!$L:$L,領用表!$E:$E,$B21,領用表!$B:$B,BR$2&amp;$BI$1)</f>
        <v>0</v>
      </c>
      <c r="BS21" s="208">
        <f>SUMIFS(領用表!$L:$L,領用表!$E:$E,$B21,領用表!$B:$B,BS$2&amp;$BI$1)</f>
        <v>0</v>
      </c>
      <c r="BT21" s="208">
        <f>SUMIFS(領用表!$L:$L,領用表!$E:$E,$B21,領用表!$B:$B,BT$2&amp;$BI$1)</f>
        <v>0</v>
      </c>
      <c r="BU21" s="208">
        <f t="shared" si="4"/>
        <v>28</v>
      </c>
      <c r="BV21" s="208">
        <f t="shared" si="5"/>
        <v>5.6</v>
      </c>
      <c r="BW21" s="208">
        <f>SUMIF(Summary!B:B,B21,Summary!DT:DT)</f>
        <v>3</v>
      </c>
      <c r="BX21" s="215">
        <v>0</v>
      </c>
      <c r="BY21" s="224" t="s">
        <v>788</v>
      </c>
      <c r="BZ21" s="211"/>
      <c r="CA21" s="211"/>
      <c r="CB21" s="136"/>
      <c r="CC21" s="212"/>
      <c r="CE21" s="213"/>
    </row>
    <row r="22" spans="1:83" s="118" customFormat="1" ht="15.75" hidden="1" customHeight="1">
      <c r="A22" s="136" t="s">
        <v>39</v>
      </c>
      <c r="B22" s="118" t="e">
        <v>#N/A</v>
      </c>
      <c r="C22" s="132" t="s">
        <v>469</v>
      </c>
      <c r="D22" s="350">
        <v>1</v>
      </c>
      <c r="E22" s="351" t="s">
        <v>15</v>
      </c>
      <c r="F22" s="349"/>
      <c r="G22" s="349"/>
      <c r="H22" s="352">
        <v>0</v>
      </c>
      <c r="I22" s="352">
        <v>0</v>
      </c>
      <c r="J22" s="352">
        <v>0</v>
      </c>
      <c r="K22" s="352">
        <v>0</v>
      </c>
      <c r="L22" s="352">
        <v>0</v>
      </c>
      <c r="M22" s="352">
        <v>0</v>
      </c>
      <c r="N22" s="352">
        <v>0</v>
      </c>
      <c r="O22" s="352">
        <v>0</v>
      </c>
      <c r="P22" s="352">
        <v>0</v>
      </c>
      <c r="Q22" s="352">
        <v>0</v>
      </c>
      <c r="R22" s="352">
        <v>0</v>
      </c>
      <c r="S22" s="352">
        <v>0</v>
      </c>
      <c r="T22" s="352">
        <v>0</v>
      </c>
      <c r="U22" s="352">
        <v>0</v>
      </c>
      <c r="V22" s="352">
        <v>0</v>
      </c>
      <c r="W22" s="352">
        <v>0</v>
      </c>
      <c r="X22" s="352">
        <v>0</v>
      </c>
      <c r="Y22" s="352">
        <v>0</v>
      </c>
      <c r="Z22" s="352">
        <v>0</v>
      </c>
      <c r="AA22" s="352">
        <v>0</v>
      </c>
      <c r="AB22" s="352">
        <v>0</v>
      </c>
      <c r="AC22" s="352">
        <v>0</v>
      </c>
      <c r="AD22" s="352">
        <v>0</v>
      </c>
      <c r="AE22" s="352">
        <v>0</v>
      </c>
      <c r="AF22" s="352">
        <v>0</v>
      </c>
      <c r="AG22" s="353">
        <v>0</v>
      </c>
      <c r="AH22" s="353">
        <v>0</v>
      </c>
      <c r="AI22" s="353">
        <v>0</v>
      </c>
      <c r="AJ22" s="353">
        <v>0</v>
      </c>
      <c r="AK22" s="353">
        <v>0</v>
      </c>
      <c r="AL22" s="353">
        <v>0</v>
      </c>
      <c r="AM22" s="353">
        <v>0</v>
      </c>
      <c r="AN22" s="353">
        <v>0</v>
      </c>
      <c r="AO22" s="353">
        <v>3</v>
      </c>
      <c r="AP22" s="353">
        <v>9</v>
      </c>
      <c r="AQ22" s="354">
        <v>9</v>
      </c>
      <c r="AR22" s="355">
        <v>16</v>
      </c>
      <c r="AS22" s="356">
        <f>SUM(AG22:AR22)</f>
        <v>37</v>
      </c>
      <c r="AT22" s="357">
        <f>AS22/4</f>
        <v>9.25</v>
      </c>
      <c r="AU22" s="355">
        <v>25</v>
      </c>
      <c r="AV22" s="355">
        <v>28</v>
      </c>
      <c r="AW22" s="355">
        <v>23</v>
      </c>
      <c r="AX22" s="355">
        <v>30</v>
      </c>
      <c r="AY22" s="355">
        <v>31</v>
      </c>
      <c r="AZ22" s="355">
        <f>SUMIFS(領用表!$L:$L,領用表!$E:$E,$B22,領用表!$B:$B,AZ$2&amp;$BI$1)</f>
        <v>0</v>
      </c>
      <c r="BA22" s="355">
        <f>SUMIFS(領用表!$L:$L,領用表!$E:$E,$B22,領用表!$B:$B,BA$2&amp;$BI$1)</f>
        <v>0</v>
      </c>
      <c r="BB22" s="355">
        <f>SUMIFS(領用表!$L:$L,領用表!$E:$E,$B22,領用表!$B:$B,BB$2&amp;$BI$1)</f>
        <v>0</v>
      </c>
      <c r="BC22" s="355">
        <f>SUMIFS(領用表!$L:$L,領用表!$E:$E,$B22,領用表!$B:$B,BC$2&amp;$BI$1)</f>
        <v>0</v>
      </c>
      <c r="BD22" s="208">
        <f>SUMIFS(領用表!$L:$L,領用表!$E:$E,$B22,領用表!$B:$B,BD$2&amp;$BI$1)</f>
        <v>0</v>
      </c>
      <c r="BE22" s="208">
        <f>SUMIFS(領用表!$L:$L,領用表!$E:$E,$B22,領用表!$B:$B,BE$2&amp;$BI$1)</f>
        <v>0</v>
      </c>
      <c r="BF22" s="208">
        <f>SUMIFS(領用表!$L:$L,領用表!$E:$E,$B22,領用表!$B:$B,BF$2&amp;$BI$1)</f>
        <v>0</v>
      </c>
      <c r="BG22" s="358">
        <f t="shared" si="2"/>
        <v>137</v>
      </c>
      <c r="BH22" s="358">
        <f t="shared" si="3"/>
        <v>11.416666666666666</v>
      </c>
      <c r="BI22" s="208">
        <f>SUMIFS(領用表!$L:$L,領用表!$E:$E,$B22,領用表!$B:$B,BI$2&amp;$BI$1)</f>
        <v>0</v>
      </c>
      <c r="BJ22" s="208">
        <f>SUMIFS(領用表!$L:$L,領用表!$E:$E,$B22,領用表!$B:$B,BJ$2&amp;$BI$1)</f>
        <v>0</v>
      </c>
      <c r="BK22" s="208">
        <f>SUMIFS(領用表!$L:$L,領用表!$E:$E,$B22,領用表!$B:$B,BK$2&amp;$BI$1)</f>
        <v>0</v>
      </c>
      <c r="BL22" s="208">
        <f>SUMIFS(領用表!$L:$L,領用表!$E:$E,$B22,領用表!$B:$B,BL$2&amp;$BI$1)</f>
        <v>0</v>
      </c>
      <c r="BM22" s="208">
        <f>SUMIFS(領用表!$L:$L,領用表!$E:$E,$B22,領用表!$B:$B,BM$2&amp;$BI$1)</f>
        <v>0</v>
      </c>
      <c r="BN22" s="208">
        <f>SUMIFS(領用表!$L:$L,領用表!$E:$E,$B22,領用表!$B:$B,BN$2&amp;$BI$1)</f>
        <v>0</v>
      </c>
      <c r="BO22" s="208">
        <f>SUMIFS(領用表!$L:$L,領用表!$E:$E,$B22,領用表!$B:$B,BO$2&amp;$BI$1)</f>
        <v>0</v>
      </c>
      <c r="BP22" s="208">
        <f>SUMIFS(領用表!$L:$L,領用表!$E:$E,$B22,領用表!$B:$B,BP$2&amp;$BI$1)</f>
        <v>0</v>
      </c>
      <c r="BQ22" s="208">
        <f>SUMIFS(領用表!$L:$L,領用表!$E:$E,$B22,領用表!$B:$B,BQ$2&amp;$BI$1)</f>
        <v>0</v>
      </c>
      <c r="BR22" s="208">
        <f>SUMIFS(領用表!$L:$L,領用表!$E:$E,$B22,領用表!$B:$B,BR$2&amp;$BI$1)</f>
        <v>0</v>
      </c>
      <c r="BS22" s="208">
        <f>SUMIFS(領用表!$L:$L,領用表!$E:$E,$B22,領用表!$B:$B,BS$2&amp;$BI$1)</f>
        <v>0</v>
      </c>
      <c r="BT22" s="208">
        <f>SUMIFS(領用表!$L:$L,領用表!$E:$E,$B22,領用表!$B:$B,BT$2&amp;$BI$1)</f>
        <v>0</v>
      </c>
      <c r="BU22" s="208">
        <f t="shared" si="4"/>
        <v>0</v>
      </c>
      <c r="BV22" s="208">
        <f t="shared" si="5"/>
        <v>0</v>
      </c>
      <c r="BW22" s="208">
        <f>SUMIF(Summary!B:B,B22,Summary!DT:DT)</f>
        <v>0</v>
      </c>
      <c r="BX22" s="359"/>
      <c r="BY22" s="469"/>
      <c r="BZ22" s="211"/>
      <c r="CA22" s="211"/>
      <c r="CB22" s="136"/>
      <c r="CC22" s="212"/>
      <c r="CE22" s="213"/>
    </row>
    <row r="23" spans="1:83" s="118" customFormat="1" ht="15" hidden="1" customHeight="1">
      <c r="A23" s="136" t="s">
        <v>40</v>
      </c>
      <c r="B23" s="118" t="e">
        <v>#N/A</v>
      </c>
      <c r="C23" s="132" t="s">
        <v>470</v>
      </c>
      <c r="D23" s="350">
        <v>1</v>
      </c>
      <c r="E23" s="351" t="s">
        <v>15</v>
      </c>
      <c r="F23" s="349"/>
      <c r="G23" s="349"/>
      <c r="H23" s="352">
        <v>0</v>
      </c>
      <c r="I23" s="352">
        <v>0</v>
      </c>
      <c r="J23" s="352">
        <v>0</v>
      </c>
      <c r="K23" s="352">
        <v>0</v>
      </c>
      <c r="L23" s="352">
        <v>0</v>
      </c>
      <c r="M23" s="352">
        <v>0</v>
      </c>
      <c r="N23" s="352">
        <v>0</v>
      </c>
      <c r="O23" s="352">
        <v>0</v>
      </c>
      <c r="P23" s="352">
        <v>0</v>
      </c>
      <c r="Q23" s="352">
        <v>0</v>
      </c>
      <c r="R23" s="352">
        <v>0</v>
      </c>
      <c r="S23" s="352">
        <v>0</v>
      </c>
      <c r="T23" s="352">
        <v>0</v>
      </c>
      <c r="U23" s="352">
        <v>0</v>
      </c>
      <c r="V23" s="352">
        <v>0</v>
      </c>
      <c r="W23" s="352">
        <v>0</v>
      </c>
      <c r="X23" s="352">
        <v>0</v>
      </c>
      <c r="Y23" s="352">
        <v>0</v>
      </c>
      <c r="Z23" s="352">
        <v>0</v>
      </c>
      <c r="AA23" s="352">
        <v>0</v>
      </c>
      <c r="AB23" s="352">
        <v>0</v>
      </c>
      <c r="AC23" s="352">
        <v>0</v>
      </c>
      <c r="AD23" s="352">
        <v>0</v>
      </c>
      <c r="AE23" s="352">
        <v>0</v>
      </c>
      <c r="AF23" s="352">
        <v>0</v>
      </c>
      <c r="AG23" s="353">
        <v>0</v>
      </c>
      <c r="AH23" s="353">
        <v>0</v>
      </c>
      <c r="AI23" s="353">
        <v>0</v>
      </c>
      <c r="AJ23" s="353">
        <v>0</v>
      </c>
      <c r="AK23" s="353">
        <v>0</v>
      </c>
      <c r="AL23" s="353">
        <v>0</v>
      </c>
      <c r="AM23" s="353">
        <v>0</v>
      </c>
      <c r="AN23" s="353">
        <v>0</v>
      </c>
      <c r="AO23" s="353">
        <v>3</v>
      </c>
      <c r="AP23" s="353">
        <v>11</v>
      </c>
      <c r="AQ23" s="354">
        <v>15</v>
      </c>
      <c r="AR23" s="355">
        <v>15</v>
      </c>
      <c r="AS23" s="356">
        <f>SUM(AG23:AR23)</f>
        <v>44</v>
      </c>
      <c r="AT23" s="357">
        <f>AS23/4</f>
        <v>11</v>
      </c>
      <c r="AU23" s="355">
        <v>15</v>
      </c>
      <c r="AV23" s="355">
        <v>11</v>
      </c>
      <c r="AW23" s="355">
        <v>27</v>
      </c>
      <c r="AX23" s="355">
        <v>30</v>
      </c>
      <c r="AY23" s="355">
        <v>28</v>
      </c>
      <c r="AZ23" s="355">
        <f>SUMIFS(領用表!$L:$L,領用表!$E:$E,$B23,領用表!$B:$B,AZ$2&amp;$BI$1)</f>
        <v>0</v>
      </c>
      <c r="BA23" s="355">
        <f>SUMIFS(領用表!$L:$L,領用表!$E:$E,$B23,領用表!$B:$B,BA$2&amp;$BI$1)</f>
        <v>0</v>
      </c>
      <c r="BB23" s="355">
        <f>SUMIFS(領用表!$L:$L,領用表!$E:$E,$B23,領用表!$B:$B,BB$2&amp;$BI$1)</f>
        <v>0</v>
      </c>
      <c r="BC23" s="355">
        <f>SUMIFS(領用表!$L:$L,領用表!$E:$E,$B23,領用表!$B:$B,BC$2&amp;$BI$1)</f>
        <v>0</v>
      </c>
      <c r="BD23" s="208">
        <f>SUMIFS(領用表!$L:$L,領用表!$E:$E,$B23,領用表!$B:$B,BD$2&amp;$BI$1)</f>
        <v>0</v>
      </c>
      <c r="BE23" s="208">
        <f>SUMIFS(領用表!$L:$L,領用表!$E:$E,$B23,領用表!$B:$B,BE$2&amp;$BI$1)</f>
        <v>0</v>
      </c>
      <c r="BF23" s="208">
        <f>SUMIFS(領用表!$L:$L,領用表!$E:$E,$B23,領用表!$B:$B,BF$2&amp;$BI$1)</f>
        <v>0</v>
      </c>
      <c r="BG23" s="358">
        <f t="shared" si="2"/>
        <v>111</v>
      </c>
      <c r="BH23" s="358">
        <f t="shared" si="3"/>
        <v>9.25</v>
      </c>
      <c r="BI23" s="208">
        <f>SUMIFS(領用表!$L:$L,領用表!$E:$E,$B23,領用表!$B:$B,BI$2&amp;$BI$1)</f>
        <v>0</v>
      </c>
      <c r="BJ23" s="208">
        <f>SUMIFS(領用表!$L:$L,領用表!$E:$E,$B23,領用表!$B:$B,BJ$2&amp;$BI$1)</f>
        <v>0</v>
      </c>
      <c r="BK23" s="208">
        <f>SUMIFS(領用表!$L:$L,領用表!$E:$E,$B23,領用表!$B:$B,BK$2&amp;$BI$1)</f>
        <v>0</v>
      </c>
      <c r="BL23" s="208">
        <f>SUMIFS(領用表!$L:$L,領用表!$E:$E,$B23,領用表!$B:$B,BL$2&amp;$BI$1)</f>
        <v>0</v>
      </c>
      <c r="BM23" s="208">
        <f>SUMIFS(領用表!$L:$L,領用表!$E:$E,$B23,領用表!$B:$B,BM$2&amp;$BI$1)</f>
        <v>0</v>
      </c>
      <c r="BN23" s="208">
        <f>SUMIFS(領用表!$L:$L,領用表!$E:$E,$B23,領用表!$B:$B,BN$2&amp;$BI$1)</f>
        <v>0</v>
      </c>
      <c r="BO23" s="208">
        <f>SUMIFS(領用表!$L:$L,領用表!$E:$E,$B23,領用表!$B:$B,BO$2&amp;$BI$1)</f>
        <v>0</v>
      </c>
      <c r="BP23" s="208">
        <f>SUMIFS(領用表!$L:$L,領用表!$E:$E,$B23,領用表!$B:$B,BP$2&amp;$BI$1)</f>
        <v>0</v>
      </c>
      <c r="BQ23" s="208">
        <f>SUMIFS(領用表!$L:$L,領用表!$E:$E,$B23,領用表!$B:$B,BQ$2&amp;$BI$1)</f>
        <v>0</v>
      </c>
      <c r="BR23" s="208">
        <f>SUMIFS(領用表!$L:$L,領用表!$E:$E,$B23,領用表!$B:$B,BR$2&amp;$BI$1)</f>
        <v>0</v>
      </c>
      <c r="BS23" s="208">
        <f>SUMIFS(領用表!$L:$L,領用表!$E:$E,$B23,領用表!$B:$B,BS$2&amp;$BI$1)</f>
        <v>0</v>
      </c>
      <c r="BT23" s="208">
        <f>SUMIFS(領用表!$L:$L,領用表!$E:$E,$B23,領用表!$B:$B,BT$2&amp;$BI$1)</f>
        <v>0</v>
      </c>
      <c r="BU23" s="208">
        <f t="shared" si="4"/>
        <v>0</v>
      </c>
      <c r="BV23" s="208">
        <f t="shared" si="5"/>
        <v>0</v>
      </c>
      <c r="BW23" s="208">
        <f>SUMIF(Summary!B:B,B23,Summary!DT:DT)</f>
        <v>0</v>
      </c>
      <c r="BX23" s="359"/>
      <c r="BY23" s="466"/>
      <c r="BZ23" s="211"/>
      <c r="CA23" s="211"/>
      <c r="CB23" s="136"/>
      <c r="CC23" s="212"/>
      <c r="CE23" s="213"/>
    </row>
    <row r="24" spans="1:83" s="118" customFormat="1" ht="15.75" customHeight="1">
      <c r="A24" s="136" t="s">
        <v>41</v>
      </c>
      <c r="B24" s="118">
        <v>6160008</v>
      </c>
      <c r="C24" s="133" t="s">
        <v>471</v>
      </c>
      <c r="D24" s="197">
        <v>6</v>
      </c>
      <c r="E24" s="198" t="s">
        <v>42</v>
      </c>
      <c r="F24" s="349">
        <f>(D24*53)+0</f>
        <v>318</v>
      </c>
      <c r="G24" s="349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4"/>
      <c r="AT24" s="204"/>
      <c r="AU24" s="204"/>
      <c r="AV24" s="204"/>
      <c r="AW24" s="204"/>
      <c r="AX24" s="203"/>
      <c r="AY24" s="203"/>
      <c r="AZ24" s="203">
        <f>SUMIFS(領用表!$L:$L,領用表!$E:$E,$B24,領用表!$B:$B,AZ$2&amp;$BI$1)</f>
        <v>196</v>
      </c>
      <c r="BA24" s="203">
        <f>SUMIFS(領用表!$L:$L,領用表!$E:$E,$B24,領用表!$B:$B,BA$2&amp;$BI$1)</f>
        <v>25</v>
      </c>
      <c r="BB24" s="203">
        <f>SUMIFS(領用表!$L:$L,領用表!$E:$E,$B24,領用表!$B:$B,BB$2&amp;$BI$1)</f>
        <v>19</v>
      </c>
      <c r="BC24" s="203">
        <f>SUMIFS(領用表!$L:$L,領用表!$E:$E,$B24,領用表!$B:$B,BC$2&amp;$BI$1)</f>
        <v>40</v>
      </c>
      <c r="BD24" s="208">
        <f>SUMIFS(領用表!$L:$L,領用表!$E:$E,$B24,領用表!$B:$B,BD$2&amp;$BI$1)</f>
        <v>221</v>
      </c>
      <c r="BE24" s="208">
        <f>SUMIFS(領用表!$L:$L,領用表!$E:$E,$B24,領用表!$B:$B,BE$2&amp;$BI$1)</f>
        <v>188</v>
      </c>
      <c r="BF24" s="208">
        <f>SUMIFS(領用表!$L:$L,領用表!$E:$E,$B24,領用表!$B:$B,BF$2&amp;$BI$1)</f>
        <v>108</v>
      </c>
      <c r="BG24" s="207">
        <f t="shared" si="2"/>
        <v>797</v>
      </c>
      <c r="BH24" s="207">
        <f t="shared" si="3"/>
        <v>113.85714285714286</v>
      </c>
      <c r="BI24" s="208">
        <f>SUMIFS(領用表!$L:$L,領用表!$E:$E,$B24,領用表!$B:$B,BI$2&amp;$BI$1)</f>
        <v>202</v>
      </c>
      <c r="BJ24" s="208">
        <f>SUMIFS(領用表!$L:$L,領用表!$E:$E,$B24,領用表!$B:$B,BJ$2&amp;$BI$1)</f>
        <v>8</v>
      </c>
      <c r="BK24" s="208">
        <f>SUMIFS(領用表!$L:$L,領用表!$E:$E,$B24,領用表!$B:$B,BK$2&amp;$BI$1)</f>
        <v>0</v>
      </c>
      <c r="BL24" s="208">
        <f>SUMIFS(領用表!$L:$L,領用表!$E:$E,$B24,領用表!$B:$B,BL$2&amp;$BI$1)</f>
        <v>0</v>
      </c>
      <c r="BM24" s="208">
        <f>SUMIFS(領用表!$L:$L,領用表!$E:$E,$B24,領用表!$B:$B,BM$2&amp;$BI$1)</f>
        <v>97</v>
      </c>
      <c r="BN24" s="208">
        <f>SUMIFS(領用表!$L:$L,領用表!$E:$E,$B24,領用表!$B:$B,BN$2&amp;$BI$1)</f>
        <v>0</v>
      </c>
      <c r="BO24" s="208">
        <f>SUMIFS(領用表!$L:$L,領用表!$E:$E,$B24,領用表!$B:$B,BO$2&amp;$BI$1)</f>
        <v>0</v>
      </c>
      <c r="BP24" s="208">
        <f>SUMIFS(領用表!$L:$L,領用表!$E:$E,$B24,領用表!$B:$B,BP$2&amp;$BI$1)</f>
        <v>0</v>
      </c>
      <c r="BQ24" s="208">
        <f>SUMIFS(領用表!$L:$L,領用表!$E:$E,$B24,領用表!$B:$B,BQ$2&amp;$BI$1)</f>
        <v>0</v>
      </c>
      <c r="BR24" s="208">
        <f>SUMIFS(領用表!$L:$L,領用表!$E:$E,$B24,領用表!$B:$B,BR$2&amp;$BI$1)</f>
        <v>0</v>
      </c>
      <c r="BS24" s="208">
        <f>SUMIFS(領用表!$L:$L,領用表!$E:$E,$B24,領用表!$B:$B,BS$2&amp;$BI$1)</f>
        <v>0</v>
      </c>
      <c r="BT24" s="208">
        <f>SUMIFS(領用表!$L:$L,領用表!$E:$E,$B24,領用表!$B:$B,BT$2&amp;$BI$1)</f>
        <v>0</v>
      </c>
      <c r="BU24" s="208">
        <f t="shared" si="4"/>
        <v>307</v>
      </c>
      <c r="BV24" s="208">
        <f t="shared" si="5"/>
        <v>61.4</v>
      </c>
      <c r="BW24" s="208">
        <f>SUMIF(Summary!B:B,B24,Summary!DT:DT)</f>
        <v>35</v>
      </c>
      <c r="BX24" s="215">
        <v>80</v>
      </c>
      <c r="BY24" s="210"/>
      <c r="BZ24" s="211" t="s">
        <v>789</v>
      </c>
      <c r="CA24" s="211" t="s">
        <v>790</v>
      </c>
      <c r="CB24" s="136"/>
      <c r="CC24" s="212"/>
      <c r="CE24" s="213"/>
    </row>
    <row r="25" spans="1:83" s="118" customFormat="1" ht="15.75" customHeight="1">
      <c r="A25" s="136" t="s">
        <v>45</v>
      </c>
      <c r="B25" s="118">
        <v>6160009</v>
      </c>
      <c r="C25" s="133" t="s">
        <v>472</v>
      </c>
      <c r="D25" s="197">
        <v>8</v>
      </c>
      <c r="E25" s="198" t="s">
        <v>42</v>
      </c>
      <c r="F25" s="349">
        <f>(D25*14)+7</f>
        <v>119</v>
      </c>
      <c r="G25" s="349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0"/>
      <c r="AR25" s="200"/>
      <c r="AS25" s="204"/>
      <c r="AT25" s="204"/>
      <c r="AU25" s="204"/>
      <c r="AV25" s="204"/>
      <c r="AW25" s="204"/>
      <c r="AX25" s="203"/>
      <c r="AY25" s="203"/>
      <c r="AZ25" s="203">
        <f>SUMIFS(領用表!$L:$L,領用表!$E:$E,$B25,領用表!$B:$B,AZ$2&amp;$BI$1)</f>
        <v>210</v>
      </c>
      <c r="BA25" s="203">
        <f>SUMIFS(領用表!$L:$L,領用表!$E:$E,$B25,領用表!$B:$B,BA$2&amp;$BI$1)</f>
        <v>19</v>
      </c>
      <c r="BB25" s="203">
        <f>SUMIFS(領用表!$L:$L,領用表!$E:$E,$B25,領用表!$B:$B,BB$2&amp;$BI$1)</f>
        <v>20</v>
      </c>
      <c r="BC25" s="203">
        <f>SUMIFS(領用表!$L:$L,領用表!$E:$E,$B25,領用表!$B:$B,BC$2&amp;$BI$1)</f>
        <v>4</v>
      </c>
      <c r="BD25" s="208">
        <f>SUMIFS(領用表!$L:$L,領用表!$E:$E,$B25,領用表!$B:$B,BD$2&amp;$BI$1)</f>
        <v>67</v>
      </c>
      <c r="BE25" s="208">
        <f>SUMIFS(領用表!$L:$L,領用表!$E:$E,$B25,領用表!$B:$B,BE$2&amp;$BI$1)</f>
        <v>45</v>
      </c>
      <c r="BF25" s="208">
        <f>SUMIFS(領用表!$L:$L,領用表!$E:$E,$B25,領用表!$B:$B,BF$2&amp;$BI$1)</f>
        <v>22</v>
      </c>
      <c r="BG25" s="207">
        <f t="shared" si="2"/>
        <v>387</v>
      </c>
      <c r="BH25" s="207">
        <f t="shared" si="3"/>
        <v>55.285714285714285</v>
      </c>
      <c r="BI25" s="208">
        <f>SUMIFS(領用表!$L:$L,領用表!$E:$E,$B25,領用表!$B:$B,BI$2&amp;$BI$1)</f>
        <v>8</v>
      </c>
      <c r="BJ25" s="208">
        <f>SUMIFS(領用表!$L:$L,領用表!$E:$E,$B25,領用表!$B:$B,BJ$2&amp;$BI$1)</f>
        <v>27</v>
      </c>
      <c r="BK25" s="208">
        <f>SUMIFS(領用表!$L:$L,領用表!$E:$E,$B25,領用表!$B:$B,BK$2&amp;$BI$1)</f>
        <v>83</v>
      </c>
      <c r="BL25" s="208">
        <f>SUMIFS(領用表!$L:$L,領用表!$E:$E,$B25,領用表!$B:$B,BL$2&amp;$BI$1)</f>
        <v>63</v>
      </c>
      <c r="BM25" s="208">
        <f>SUMIFS(領用表!$L:$L,領用表!$E:$E,$B25,領用表!$B:$B,BM$2&amp;$BI$1)</f>
        <v>97</v>
      </c>
      <c r="BN25" s="208">
        <f>SUMIFS(領用表!$L:$L,領用表!$E:$E,$B25,領用表!$B:$B,BN$2&amp;$BI$1)</f>
        <v>0</v>
      </c>
      <c r="BO25" s="208">
        <f>SUMIFS(領用表!$L:$L,領用表!$E:$E,$B25,領用表!$B:$B,BO$2&amp;$BI$1)</f>
        <v>0</v>
      </c>
      <c r="BP25" s="208">
        <f>SUMIFS(領用表!$L:$L,領用表!$E:$E,$B25,領用表!$B:$B,BP$2&amp;$BI$1)</f>
        <v>0</v>
      </c>
      <c r="BQ25" s="208">
        <f>SUMIFS(領用表!$L:$L,領用表!$E:$E,$B25,領用表!$B:$B,BQ$2&amp;$BI$1)</f>
        <v>0</v>
      </c>
      <c r="BR25" s="208">
        <f>SUMIFS(領用表!$L:$L,領用表!$E:$E,$B25,領用表!$B:$B,BR$2&amp;$BI$1)</f>
        <v>0</v>
      </c>
      <c r="BS25" s="208">
        <f>SUMIFS(領用表!$L:$L,領用表!$E:$E,$B25,領用表!$B:$B,BS$2&amp;$BI$1)</f>
        <v>0</v>
      </c>
      <c r="BT25" s="208">
        <f>SUMIFS(領用表!$L:$L,領用表!$E:$E,$B25,領用表!$B:$B,BT$2&amp;$BI$1)</f>
        <v>0</v>
      </c>
      <c r="BU25" s="208">
        <f t="shared" si="4"/>
        <v>278</v>
      </c>
      <c r="BV25" s="208">
        <f t="shared" si="5"/>
        <v>55.6</v>
      </c>
      <c r="BW25" s="208">
        <f>SUMIF(Summary!B:B,B25,Summary!DT:DT)</f>
        <v>20</v>
      </c>
      <c r="BX25" s="215">
        <v>70</v>
      </c>
      <c r="BY25" s="210"/>
      <c r="BZ25" s="211" t="s">
        <v>791</v>
      </c>
      <c r="CA25" s="211" t="s">
        <v>792</v>
      </c>
      <c r="CB25" s="136"/>
      <c r="CC25" s="212"/>
      <c r="CE25" s="213"/>
    </row>
    <row r="26" spans="1:83" s="118" customFormat="1" ht="15.75" hidden="1" customHeight="1">
      <c r="A26" s="136" t="s">
        <v>48</v>
      </c>
      <c r="B26" s="118" t="e">
        <v>#N/A</v>
      </c>
      <c r="C26" s="134" t="s">
        <v>473</v>
      </c>
      <c r="D26" s="350">
        <v>1</v>
      </c>
      <c r="E26" s="351" t="s">
        <v>15</v>
      </c>
      <c r="F26" s="349"/>
      <c r="G26" s="349"/>
      <c r="H26" s="352">
        <v>0</v>
      </c>
      <c r="I26" s="352">
        <v>0</v>
      </c>
      <c r="J26" s="352">
        <v>0</v>
      </c>
      <c r="K26" s="352">
        <v>0</v>
      </c>
      <c r="L26" s="352">
        <v>0</v>
      </c>
      <c r="M26" s="352">
        <v>0</v>
      </c>
      <c r="N26" s="352">
        <v>0</v>
      </c>
      <c r="O26" s="352">
        <v>0</v>
      </c>
      <c r="P26" s="352">
        <v>0</v>
      </c>
      <c r="Q26" s="352">
        <v>0</v>
      </c>
      <c r="R26" s="352">
        <v>0</v>
      </c>
      <c r="S26" s="352">
        <v>0</v>
      </c>
      <c r="T26" s="352">
        <v>0</v>
      </c>
      <c r="U26" s="352">
        <v>0</v>
      </c>
      <c r="V26" s="352">
        <v>0</v>
      </c>
      <c r="W26" s="352">
        <v>0</v>
      </c>
      <c r="X26" s="352">
        <v>0</v>
      </c>
      <c r="Y26" s="352">
        <v>0</v>
      </c>
      <c r="Z26" s="352">
        <v>0</v>
      </c>
      <c r="AA26" s="352">
        <v>0</v>
      </c>
      <c r="AB26" s="352">
        <v>0</v>
      </c>
      <c r="AC26" s="352">
        <v>0</v>
      </c>
      <c r="AD26" s="352">
        <v>0</v>
      </c>
      <c r="AE26" s="352">
        <v>0</v>
      </c>
      <c r="AF26" s="352">
        <v>0</v>
      </c>
      <c r="AG26" s="352">
        <v>0</v>
      </c>
      <c r="AH26" s="352">
        <v>0</v>
      </c>
      <c r="AI26" s="352">
        <v>0</v>
      </c>
      <c r="AJ26" s="352">
        <v>0</v>
      </c>
      <c r="AK26" s="352">
        <v>0</v>
      </c>
      <c r="AL26" s="352">
        <v>0</v>
      </c>
      <c r="AM26" s="352">
        <v>0</v>
      </c>
      <c r="AN26" s="352">
        <v>0</v>
      </c>
      <c r="AO26" s="352">
        <v>0</v>
      </c>
      <c r="AP26" s="352">
        <v>0</v>
      </c>
      <c r="AQ26" s="352">
        <v>0</v>
      </c>
      <c r="AR26" s="352">
        <v>0</v>
      </c>
      <c r="AS26" s="356" t="s">
        <v>49</v>
      </c>
      <c r="AT26" s="356" t="s">
        <v>49</v>
      </c>
      <c r="AU26" s="356" t="s">
        <v>49</v>
      </c>
      <c r="AV26" s="356" t="s">
        <v>49</v>
      </c>
      <c r="AW26" s="356" t="s">
        <v>49</v>
      </c>
      <c r="AX26" s="355">
        <v>0</v>
      </c>
      <c r="AY26" s="355">
        <v>0</v>
      </c>
      <c r="AZ26" s="355">
        <f>SUMIFS(領用表!$L:$L,領用表!$E:$E,$B26,領用表!$B:$B,AZ$2&amp;$BI$1)</f>
        <v>0</v>
      </c>
      <c r="BA26" s="355">
        <f>SUMIFS(領用表!$L:$L,領用表!$E:$E,$B26,領用表!$B:$B,BA$2&amp;$BI$1)</f>
        <v>0</v>
      </c>
      <c r="BB26" s="355">
        <f>SUMIFS(領用表!$L:$L,領用表!$E:$E,$B26,領用表!$B:$B,BB$2&amp;$BI$1)</f>
        <v>0</v>
      </c>
      <c r="BC26" s="355">
        <f>SUMIFS(領用表!$L:$L,領用表!$E:$E,$B26,領用表!$B:$B,BC$2&amp;$BI$1)</f>
        <v>0</v>
      </c>
      <c r="BD26" s="208">
        <f>SUMIFS(領用表!$L:$L,領用表!$E:$E,$B26,領用表!$B:$B,BD$2&amp;$BI$1)</f>
        <v>0</v>
      </c>
      <c r="BE26" s="208">
        <f>SUMIFS(領用表!$L:$L,領用表!$E:$E,$B26,領用表!$B:$B,BE$2&amp;$BI$1)</f>
        <v>0</v>
      </c>
      <c r="BF26" s="208">
        <f>SUMIFS(領用表!$L:$L,領用表!$E:$E,$B26,領用表!$B:$B,BF$2&amp;$BI$1)</f>
        <v>0</v>
      </c>
      <c r="BG26" s="358">
        <f t="shared" si="2"/>
        <v>0</v>
      </c>
      <c r="BH26" s="358">
        <f t="shared" si="3"/>
        <v>0</v>
      </c>
      <c r="BI26" s="208">
        <f>SUMIFS(領用表!$L:$L,領用表!$E:$E,$B26,領用表!$B:$B,BI$2&amp;$BI$1)</f>
        <v>0</v>
      </c>
      <c r="BJ26" s="208">
        <f>SUMIFS(領用表!$L:$L,領用表!$E:$E,$B26,領用表!$B:$B,BJ$2&amp;$BI$1)</f>
        <v>0</v>
      </c>
      <c r="BK26" s="208">
        <f>SUMIFS(領用表!$L:$L,領用表!$E:$E,$B26,領用表!$B:$B,BK$2&amp;$BI$1)</f>
        <v>0</v>
      </c>
      <c r="BL26" s="208">
        <f>SUMIFS(領用表!$L:$L,領用表!$E:$E,$B26,領用表!$B:$B,BL$2&amp;$BI$1)</f>
        <v>0</v>
      </c>
      <c r="BM26" s="208">
        <f>SUMIFS(領用表!$L:$L,領用表!$E:$E,$B26,領用表!$B:$B,BM$2&amp;$BI$1)</f>
        <v>0</v>
      </c>
      <c r="BN26" s="208">
        <f>SUMIFS(領用表!$L:$L,領用表!$E:$E,$B26,領用表!$B:$B,BN$2&amp;$BI$1)</f>
        <v>0</v>
      </c>
      <c r="BO26" s="208">
        <f>SUMIFS(領用表!$L:$L,領用表!$E:$E,$B26,領用表!$B:$B,BO$2&amp;$BI$1)</f>
        <v>0</v>
      </c>
      <c r="BP26" s="208">
        <f>SUMIFS(領用表!$L:$L,領用表!$E:$E,$B26,領用表!$B:$B,BP$2&amp;$BI$1)</f>
        <v>0</v>
      </c>
      <c r="BQ26" s="208">
        <f>SUMIFS(領用表!$L:$L,領用表!$E:$E,$B26,領用表!$B:$B,BQ$2&amp;$BI$1)</f>
        <v>0</v>
      </c>
      <c r="BR26" s="208">
        <f>SUMIFS(領用表!$L:$L,領用表!$E:$E,$B26,領用表!$B:$B,BR$2&amp;$BI$1)</f>
        <v>0</v>
      </c>
      <c r="BS26" s="208">
        <f>SUMIFS(領用表!$L:$L,領用表!$E:$E,$B26,領用表!$B:$B,BS$2&amp;$BI$1)</f>
        <v>0</v>
      </c>
      <c r="BT26" s="208">
        <f>SUMIFS(領用表!$L:$L,領用表!$E:$E,$B26,領用表!$B:$B,BT$2&amp;$BI$1)</f>
        <v>0</v>
      </c>
      <c r="BU26" s="208">
        <f t="shared" si="4"/>
        <v>0</v>
      </c>
      <c r="BV26" s="208">
        <f t="shared" si="5"/>
        <v>0</v>
      </c>
      <c r="BW26" s="208">
        <f>SUMIF(Summary!B:B,B26,Summary!DT:DT)</f>
        <v>0</v>
      </c>
      <c r="BX26" s="359"/>
      <c r="BY26" s="464"/>
      <c r="BZ26" s="211"/>
      <c r="CA26" s="211"/>
      <c r="CB26" s="136" t="s">
        <v>793</v>
      </c>
      <c r="CC26" s="212"/>
      <c r="CE26" s="213"/>
    </row>
    <row r="27" spans="1:83" s="118" customFormat="1" ht="15.75" hidden="1" customHeight="1">
      <c r="A27" s="136" t="s">
        <v>51</v>
      </c>
      <c r="B27" s="118" t="e">
        <v>#N/A</v>
      </c>
      <c r="C27" s="134" t="s">
        <v>474</v>
      </c>
      <c r="D27" s="350">
        <v>1</v>
      </c>
      <c r="E27" s="351" t="s">
        <v>15</v>
      </c>
      <c r="F27" s="349"/>
      <c r="G27" s="349"/>
      <c r="H27" s="352">
        <v>0</v>
      </c>
      <c r="I27" s="352">
        <v>0</v>
      </c>
      <c r="J27" s="352">
        <v>0</v>
      </c>
      <c r="K27" s="352">
        <v>0</v>
      </c>
      <c r="L27" s="352">
        <v>0</v>
      </c>
      <c r="M27" s="352">
        <v>0</v>
      </c>
      <c r="N27" s="352">
        <v>0</v>
      </c>
      <c r="O27" s="352">
        <v>0</v>
      </c>
      <c r="P27" s="352">
        <v>0</v>
      </c>
      <c r="Q27" s="352">
        <v>0</v>
      </c>
      <c r="R27" s="352">
        <v>0</v>
      </c>
      <c r="S27" s="352">
        <v>0</v>
      </c>
      <c r="T27" s="352">
        <v>0</v>
      </c>
      <c r="U27" s="352">
        <v>0</v>
      </c>
      <c r="V27" s="352">
        <v>0</v>
      </c>
      <c r="W27" s="352">
        <v>0</v>
      </c>
      <c r="X27" s="352">
        <v>0</v>
      </c>
      <c r="Y27" s="352">
        <v>0</v>
      </c>
      <c r="Z27" s="352">
        <v>0</v>
      </c>
      <c r="AA27" s="352">
        <v>0</v>
      </c>
      <c r="AB27" s="352">
        <v>0</v>
      </c>
      <c r="AC27" s="352">
        <v>0</v>
      </c>
      <c r="AD27" s="352">
        <v>0</v>
      </c>
      <c r="AE27" s="352">
        <v>0</v>
      </c>
      <c r="AF27" s="352">
        <v>0</v>
      </c>
      <c r="AG27" s="352">
        <v>0</v>
      </c>
      <c r="AH27" s="352">
        <v>0</v>
      </c>
      <c r="AI27" s="352">
        <v>0</v>
      </c>
      <c r="AJ27" s="352">
        <v>0</v>
      </c>
      <c r="AK27" s="352">
        <v>0</v>
      </c>
      <c r="AL27" s="352">
        <v>0</v>
      </c>
      <c r="AM27" s="352">
        <v>0</v>
      </c>
      <c r="AN27" s="352">
        <v>0</v>
      </c>
      <c r="AO27" s="352">
        <v>0</v>
      </c>
      <c r="AP27" s="352">
        <v>0</v>
      </c>
      <c r="AQ27" s="352">
        <v>0</v>
      </c>
      <c r="AR27" s="352">
        <v>0</v>
      </c>
      <c r="AS27" s="356" t="s">
        <v>49</v>
      </c>
      <c r="AT27" s="356" t="s">
        <v>49</v>
      </c>
      <c r="AU27" s="356" t="s">
        <v>49</v>
      </c>
      <c r="AV27" s="356" t="s">
        <v>49</v>
      </c>
      <c r="AW27" s="356" t="s">
        <v>49</v>
      </c>
      <c r="AX27" s="355">
        <v>0</v>
      </c>
      <c r="AY27" s="355">
        <v>10</v>
      </c>
      <c r="AZ27" s="355">
        <f>SUMIFS(領用表!$L:$L,領用表!$E:$E,$B27,領用表!$B:$B,AZ$2&amp;$BI$1)</f>
        <v>0</v>
      </c>
      <c r="BA27" s="355">
        <f>SUMIFS(領用表!$L:$L,領用表!$E:$E,$B27,領用表!$B:$B,BA$2&amp;$BI$1)</f>
        <v>0</v>
      </c>
      <c r="BB27" s="355">
        <f>SUMIFS(領用表!$L:$L,領用表!$E:$E,$B27,領用表!$B:$B,BB$2&amp;$BI$1)</f>
        <v>0</v>
      </c>
      <c r="BC27" s="355">
        <f>SUMIFS(領用表!$L:$L,領用表!$E:$E,$B27,領用表!$B:$B,BC$2&amp;$BI$1)</f>
        <v>0</v>
      </c>
      <c r="BD27" s="208">
        <f>SUMIFS(領用表!$L:$L,領用表!$E:$E,$B27,領用表!$B:$B,BD$2&amp;$BI$1)</f>
        <v>0</v>
      </c>
      <c r="BE27" s="208">
        <f>SUMIFS(領用表!$L:$L,領用表!$E:$E,$B27,領用表!$B:$B,BE$2&amp;$BI$1)</f>
        <v>0</v>
      </c>
      <c r="BF27" s="208">
        <f>SUMIFS(領用表!$L:$L,領用表!$E:$E,$B27,領用表!$B:$B,BF$2&amp;$BI$1)</f>
        <v>0</v>
      </c>
      <c r="BG27" s="358">
        <f t="shared" si="2"/>
        <v>10</v>
      </c>
      <c r="BH27" s="358">
        <f t="shared" si="3"/>
        <v>1.1111111111111112</v>
      </c>
      <c r="BI27" s="208">
        <f>SUMIFS(領用表!$L:$L,領用表!$E:$E,$B27,領用表!$B:$B,BI$2&amp;$BI$1)</f>
        <v>0</v>
      </c>
      <c r="BJ27" s="208">
        <f>SUMIFS(領用表!$L:$L,領用表!$E:$E,$B27,領用表!$B:$B,BJ$2&amp;$BI$1)</f>
        <v>0</v>
      </c>
      <c r="BK27" s="208">
        <f>SUMIFS(領用表!$L:$L,領用表!$E:$E,$B27,領用表!$B:$B,BK$2&amp;$BI$1)</f>
        <v>0</v>
      </c>
      <c r="BL27" s="208">
        <f>SUMIFS(領用表!$L:$L,領用表!$E:$E,$B27,領用表!$B:$B,BL$2&amp;$BI$1)</f>
        <v>0</v>
      </c>
      <c r="BM27" s="208">
        <f>SUMIFS(領用表!$L:$L,領用表!$E:$E,$B27,領用表!$B:$B,BM$2&amp;$BI$1)</f>
        <v>0</v>
      </c>
      <c r="BN27" s="208">
        <f>SUMIFS(領用表!$L:$L,領用表!$E:$E,$B27,領用表!$B:$B,BN$2&amp;$BI$1)</f>
        <v>0</v>
      </c>
      <c r="BO27" s="208">
        <f>SUMIFS(領用表!$L:$L,領用表!$E:$E,$B27,領用表!$B:$B,BO$2&amp;$BI$1)</f>
        <v>0</v>
      </c>
      <c r="BP27" s="208">
        <f>SUMIFS(領用表!$L:$L,領用表!$E:$E,$B27,領用表!$B:$B,BP$2&amp;$BI$1)</f>
        <v>0</v>
      </c>
      <c r="BQ27" s="208">
        <f>SUMIFS(領用表!$L:$L,領用表!$E:$E,$B27,領用表!$B:$B,BQ$2&amp;$BI$1)</f>
        <v>0</v>
      </c>
      <c r="BR27" s="208">
        <f>SUMIFS(領用表!$L:$L,領用表!$E:$E,$B27,領用表!$B:$B,BR$2&amp;$BI$1)</f>
        <v>0</v>
      </c>
      <c r="BS27" s="208">
        <f>SUMIFS(領用表!$L:$L,領用表!$E:$E,$B27,領用表!$B:$B,BS$2&amp;$BI$1)</f>
        <v>0</v>
      </c>
      <c r="BT27" s="208">
        <f>SUMIFS(領用表!$L:$L,領用表!$E:$E,$B27,領用表!$B:$B,BT$2&amp;$BI$1)</f>
        <v>0</v>
      </c>
      <c r="BU27" s="208">
        <f t="shared" si="4"/>
        <v>0</v>
      </c>
      <c r="BV27" s="208">
        <f t="shared" si="5"/>
        <v>0</v>
      </c>
      <c r="BW27" s="208">
        <f>SUMIF(Summary!B:B,B27,Summary!DT:DT)</f>
        <v>0</v>
      </c>
      <c r="BX27" s="359"/>
      <c r="BY27" s="466"/>
      <c r="BZ27" s="211"/>
      <c r="CA27" s="211"/>
      <c r="CB27" s="136" t="s">
        <v>793</v>
      </c>
      <c r="CC27" s="212"/>
      <c r="CE27" s="213"/>
    </row>
    <row r="28" spans="1:83" s="118" customFormat="1" ht="15.75" customHeight="1">
      <c r="A28" s="136" t="s">
        <v>52</v>
      </c>
      <c r="B28" s="118">
        <v>6160011</v>
      </c>
      <c r="C28" s="133" t="s">
        <v>475</v>
      </c>
      <c r="D28" s="197">
        <v>6</v>
      </c>
      <c r="E28" s="198" t="s">
        <v>42</v>
      </c>
      <c r="F28" s="349">
        <f>(D28*25)+5</f>
        <v>155</v>
      </c>
      <c r="G28" s="349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3"/>
      <c r="AS28" s="204"/>
      <c r="AT28" s="205"/>
      <c r="AU28" s="203"/>
      <c r="AV28" s="203"/>
      <c r="AW28" s="203"/>
      <c r="AX28" s="203"/>
      <c r="AY28" s="203"/>
      <c r="AZ28" s="203">
        <f>SUMIFS(領用表!$L:$L,領用表!$E:$E,$B28,領用表!$B:$B,AZ$2&amp;$BI$1)</f>
        <v>153</v>
      </c>
      <c r="BA28" s="203">
        <f>SUMIFS(領用表!$L:$L,領用表!$E:$E,$B28,領用表!$B:$B,BA$2&amp;$BI$1)</f>
        <v>278</v>
      </c>
      <c r="BB28" s="203">
        <f>SUMIFS(領用表!$L:$L,領用表!$E:$E,$B28,領用表!$B:$B,BB$2&amp;$BI$1)</f>
        <v>285</v>
      </c>
      <c r="BC28" s="203">
        <f>SUMIFS(領用表!$L:$L,領用表!$E:$E,$B28,領用表!$B:$B,BC$2&amp;$BI$1)</f>
        <v>227</v>
      </c>
      <c r="BD28" s="208">
        <f>SUMIFS(領用表!$L:$L,領用表!$E:$E,$B28,領用表!$B:$B,BD$2&amp;$BI$1)</f>
        <v>74</v>
      </c>
      <c r="BE28" s="208">
        <f>SUMIFS(領用表!$L:$L,領用表!$E:$E,$B28,領用表!$B:$B,BE$2&amp;$BI$1)</f>
        <v>114</v>
      </c>
      <c r="BF28" s="208">
        <f>SUMIFS(領用表!$L:$L,領用表!$E:$E,$B28,領用表!$B:$B,BF$2&amp;$BI$1)</f>
        <v>240</v>
      </c>
      <c r="BG28" s="207">
        <f t="shared" si="2"/>
        <v>1371</v>
      </c>
      <c r="BH28" s="207">
        <f t="shared" si="3"/>
        <v>195.85714285714286</v>
      </c>
      <c r="BI28" s="208">
        <f>SUMIFS(領用表!$L:$L,領用表!$E:$E,$B28,領用表!$B:$B,BI$2&amp;$BI$1)</f>
        <v>356</v>
      </c>
      <c r="BJ28" s="208">
        <f>SUMIFS(領用表!$L:$L,領用表!$E:$E,$B28,領用表!$B:$B,BJ$2&amp;$BI$1)</f>
        <v>452</v>
      </c>
      <c r="BK28" s="208">
        <f>SUMIFS(領用表!$L:$L,領用表!$E:$E,$B28,領用表!$B:$B,BK$2&amp;$BI$1)</f>
        <v>520</v>
      </c>
      <c r="BL28" s="208">
        <f>SUMIFS(領用表!$L:$L,領用表!$E:$E,$B28,領用表!$B:$B,BL$2&amp;$BI$1)</f>
        <v>508</v>
      </c>
      <c r="BM28" s="208">
        <f>SUMIFS(領用表!$L:$L,領用表!$E:$E,$B28,領用表!$B:$B,BM$2&amp;$BI$1)</f>
        <v>422</v>
      </c>
      <c r="BN28" s="208">
        <f>SUMIFS(領用表!$L:$L,領用表!$E:$E,$B28,領用表!$B:$B,BN$2&amp;$BI$1)</f>
        <v>0</v>
      </c>
      <c r="BO28" s="208">
        <f>SUMIFS(領用表!$L:$L,領用表!$E:$E,$B28,領用表!$B:$B,BO$2&amp;$BI$1)</f>
        <v>0</v>
      </c>
      <c r="BP28" s="208">
        <f>SUMIFS(領用表!$L:$L,領用表!$E:$E,$B28,領用表!$B:$B,BP$2&amp;$BI$1)</f>
        <v>0</v>
      </c>
      <c r="BQ28" s="208">
        <f>SUMIFS(領用表!$L:$L,領用表!$E:$E,$B28,領用表!$B:$B,BQ$2&amp;$BI$1)</f>
        <v>0</v>
      </c>
      <c r="BR28" s="208">
        <f>SUMIFS(領用表!$L:$L,領用表!$E:$E,$B28,領用表!$B:$B,BR$2&amp;$BI$1)</f>
        <v>0</v>
      </c>
      <c r="BS28" s="208">
        <f>SUMIFS(領用表!$L:$L,領用表!$E:$E,$B28,領用表!$B:$B,BS$2&amp;$BI$1)</f>
        <v>0</v>
      </c>
      <c r="BT28" s="208">
        <f>SUMIFS(領用表!$L:$L,領用表!$E:$E,$B28,領用表!$B:$B,BT$2&amp;$BI$1)</f>
        <v>0</v>
      </c>
      <c r="BU28" s="208">
        <f t="shared" si="4"/>
        <v>2258</v>
      </c>
      <c r="BV28" s="208">
        <f t="shared" si="5"/>
        <v>451.6</v>
      </c>
      <c r="BW28" s="208">
        <f>SUMIF(Summary!B:B,B28,Summary!DT:DT)</f>
        <v>350</v>
      </c>
      <c r="BX28" s="215">
        <v>250</v>
      </c>
      <c r="BY28" s="472" t="s">
        <v>794</v>
      </c>
      <c r="BZ28" s="211" t="s">
        <v>795</v>
      </c>
      <c r="CA28" s="211"/>
      <c r="CB28" s="136" t="s">
        <v>793</v>
      </c>
      <c r="CC28" s="212"/>
      <c r="CE28" s="213"/>
    </row>
    <row r="29" spans="1:83" s="118" customFormat="1" ht="15.75" customHeight="1">
      <c r="A29" s="136" t="s">
        <v>55</v>
      </c>
      <c r="B29" s="118">
        <v>6160010</v>
      </c>
      <c r="C29" s="133" t="s">
        <v>476</v>
      </c>
      <c r="D29" s="197">
        <v>8</v>
      </c>
      <c r="E29" s="198" t="s">
        <v>42</v>
      </c>
      <c r="F29" s="349">
        <f>(D29*10)</f>
        <v>80</v>
      </c>
      <c r="G29" s="349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3"/>
      <c r="AS29" s="204"/>
      <c r="AT29" s="205"/>
      <c r="AU29" s="203"/>
      <c r="AV29" s="203"/>
      <c r="AW29" s="203"/>
      <c r="AX29" s="203"/>
      <c r="AY29" s="203"/>
      <c r="AZ29" s="203">
        <f>SUMIFS(領用表!$L:$L,領用表!$E:$E,$B29,領用表!$B:$B,AZ$2&amp;$BI$1)</f>
        <v>38</v>
      </c>
      <c r="BA29" s="203">
        <f>SUMIFS(領用表!$L:$L,領用表!$E:$E,$B29,領用表!$B:$B,BA$2&amp;$BI$1)</f>
        <v>85</v>
      </c>
      <c r="BB29" s="203">
        <f>SUMIFS(領用表!$L:$L,領用表!$E:$E,$B29,領用表!$B:$B,BB$2&amp;$BI$1)</f>
        <v>49</v>
      </c>
      <c r="BC29" s="203">
        <f>SUMIFS(領用表!$L:$L,領用表!$E:$E,$B29,領用表!$B:$B,BC$2&amp;$BI$1)</f>
        <v>76</v>
      </c>
      <c r="BD29" s="208">
        <f>SUMIFS(領用表!$L:$L,領用表!$E:$E,$B29,領用表!$B:$B,BD$2&amp;$BI$1)</f>
        <v>19</v>
      </c>
      <c r="BE29" s="208">
        <f>SUMIFS(領用表!$L:$L,領用表!$E:$E,$B29,領用表!$B:$B,BE$2&amp;$BI$1)</f>
        <v>10</v>
      </c>
      <c r="BF29" s="208">
        <f>SUMIFS(領用表!$L:$L,領用表!$E:$E,$B29,領用表!$B:$B,BF$2&amp;$BI$1)</f>
        <v>96</v>
      </c>
      <c r="BG29" s="207">
        <f t="shared" si="2"/>
        <v>373</v>
      </c>
      <c r="BH29" s="207">
        <f t="shared" si="3"/>
        <v>53.285714285714285</v>
      </c>
      <c r="BI29" s="208">
        <f>SUMIFS(領用表!$L:$L,領用表!$E:$E,$B29,領用表!$B:$B,BI$2&amp;$BI$1)</f>
        <v>68</v>
      </c>
      <c r="BJ29" s="208">
        <f>SUMIFS(領用表!$L:$L,領用表!$E:$E,$B29,領用表!$B:$B,BJ$2&amp;$BI$1)</f>
        <v>83</v>
      </c>
      <c r="BK29" s="208">
        <f>SUMIFS(領用表!$L:$L,領用表!$E:$E,$B29,領用表!$B:$B,BK$2&amp;$BI$1)</f>
        <v>61</v>
      </c>
      <c r="BL29" s="208">
        <f>SUMIFS(領用表!$L:$L,領用表!$E:$E,$B29,領用表!$B:$B,BL$2&amp;$BI$1)</f>
        <v>9</v>
      </c>
      <c r="BM29" s="208">
        <f>SUMIFS(領用表!$L:$L,領用表!$E:$E,$B29,領用表!$B:$B,BM$2&amp;$BI$1)</f>
        <v>84</v>
      </c>
      <c r="BN29" s="208">
        <f>SUMIFS(領用表!$L:$L,領用表!$E:$E,$B29,領用表!$B:$B,BN$2&amp;$BI$1)</f>
        <v>0</v>
      </c>
      <c r="BO29" s="208">
        <f>SUMIFS(領用表!$L:$L,領用表!$E:$E,$B29,領用表!$B:$B,BO$2&amp;$BI$1)</f>
        <v>0</v>
      </c>
      <c r="BP29" s="208">
        <f>SUMIFS(領用表!$L:$L,領用表!$E:$E,$B29,領用表!$B:$B,BP$2&amp;$BI$1)</f>
        <v>0</v>
      </c>
      <c r="BQ29" s="208">
        <f>SUMIFS(領用表!$L:$L,領用表!$E:$E,$B29,領用表!$B:$B,BQ$2&amp;$BI$1)</f>
        <v>0</v>
      </c>
      <c r="BR29" s="208">
        <f>SUMIFS(領用表!$L:$L,領用表!$E:$E,$B29,領用表!$B:$B,BR$2&amp;$BI$1)</f>
        <v>0</v>
      </c>
      <c r="BS29" s="208">
        <f>SUMIFS(領用表!$L:$L,領用表!$E:$E,$B29,領用表!$B:$B,BS$2&amp;$BI$1)</f>
        <v>0</v>
      </c>
      <c r="BT29" s="208">
        <f>SUMIFS(領用表!$L:$L,領用表!$E:$E,$B29,領用表!$B:$B,BT$2&amp;$BI$1)</f>
        <v>0</v>
      </c>
      <c r="BU29" s="208">
        <f t="shared" si="4"/>
        <v>305</v>
      </c>
      <c r="BV29" s="208">
        <f t="shared" si="5"/>
        <v>61</v>
      </c>
      <c r="BW29" s="208">
        <f>SUMIF(Summary!B:B,B29,Summary!DT:DT)</f>
        <v>60</v>
      </c>
      <c r="BX29" s="215">
        <v>70</v>
      </c>
      <c r="BY29" s="466"/>
      <c r="BZ29" s="211"/>
      <c r="CA29" s="211" t="s">
        <v>795</v>
      </c>
      <c r="CB29" s="136" t="s">
        <v>793</v>
      </c>
      <c r="CC29" s="212"/>
      <c r="CE29" s="213"/>
    </row>
    <row r="30" spans="1:83" s="118" customFormat="1" ht="15.75" customHeight="1">
      <c r="A30" s="136" t="s">
        <v>56</v>
      </c>
      <c r="B30" s="118">
        <v>6190002</v>
      </c>
      <c r="C30" s="118" t="s">
        <v>609</v>
      </c>
      <c r="D30" s="197">
        <v>6</v>
      </c>
      <c r="E30" s="198" t="s">
        <v>57</v>
      </c>
      <c r="F30" s="349">
        <v>39</v>
      </c>
      <c r="G30" s="349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1">
        <v>0</v>
      </c>
      <c r="AH30" s="201">
        <v>0</v>
      </c>
      <c r="AI30" s="201">
        <v>0</v>
      </c>
      <c r="AJ30" s="201">
        <v>2</v>
      </c>
      <c r="AK30" s="201">
        <v>1</v>
      </c>
      <c r="AL30" s="201">
        <v>0</v>
      </c>
      <c r="AM30" s="201">
        <v>3</v>
      </c>
      <c r="AN30" s="201">
        <v>1</v>
      </c>
      <c r="AO30" s="201">
        <v>0</v>
      </c>
      <c r="AP30" s="201">
        <v>0</v>
      </c>
      <c r="AQ30" s="201">
        <v>1</v>
      </c>
      <c r="AR30" s="203">
        <f>36/D30</f>
        <v>6</v>
      </c>
      <c r="AS30" s="204">
        <f>SUM(AG30:AR30)</f>
        <v>14</v>
      </c>
      <c r="AT30" s="205">
        <f>AS30/12</f>
        <v>1.1666666666666667</v>
      </c>
      <c r="AU30" s="203">
        <v>36</v>
      </c>
      <c r="AV30" s="203">
        <v>0</v>
      </c>
      <c r="AW30" s="203">
        <v>2</v>
      </c>
      <c r="AX30" s="203">
        <v>2</v>
      </c>
      <c r="AY30" s="203">
        <v>0</v>
      </c>
      <c r="AZ30" s="203">
        <f>SUMIFS(領用表!$L:$L,領用表!$E:$E,$B30,領用表!$B:$B,AZ$2&amp;$BI$1)</f>
        <v>0</v>
      </c>
      <c r="BA30" s="203">
        <f>SUMIFS(領用表!$L:$L,領用表!$E:$E,$B30,領用表!$B:$B,BA$2&amp;$BI$1)</f>
        <v>0</v>
      </c>
      <c r="BB30" s="203">
        <f>SUMIFS(領用表!$L:$L,領用表!$E:$E,$B30,領用表!$B:$B,BB$2&amp;$BI$1)</f>
        <v>0</v>
      </c>
      <c r="BC30" s="203">
        <f>SUMIFS(領用表!$L:$L,領用表!$E:$E,$B30,領用表!$B:$B,BC$2&amp;$BI$1)</f>
        <v>0</v>
      </c>
      <c r="BD30" s="208">
        <f>SUMIFS(領用表!$L:$L,領用表!$E:$E,$B30,領用表!$B:$B,BD$2&amp;$BI$1)</f>
        <v>0</v>
      </c>
      <c r="BE30" s="208">
        <f>SUMIFS(領用表!$L:$L,領用表!$E:$E,$B30,領用表!$B:$B,BE$2&amp;$BI$1)</f>
        <v>3</v>
      </c>
      <c r="BF30" s="208">
        <f>SUMIFS(領用表!$L:$L,領用表!$E:$E,$B30,領用表!$B:$B,BF$2&amp;$BI$1)</f>
        <v>3</v>
      </c>
      <c r="BG30" s="207">
        <f t="shared" si="2"/>
        <v>46</v>
      </c>
      <c r="BH30" s="207">
        <f t="shared" si="3"/>
        <v>3.8333333333333335</v>
      </c>
      <c r="BI30" s="208">
        <f>SUMIFS(領用表!$L:$L,領用表!$E:$E,$B30,領用表!$B:$B,BI$2&amp;$BI$1)</f>
        <v>3</v>
      </c>
      <c r="BJ30" s="208">
        <f>SUMIFS(領用表!$L:$L,領用表!$E:$E,$B30,領用表!$B:$B,BJ$2&amp;$BI$1)</f>
        <v>0</v>
      </c>
      <c r="BK30" s="208">
        <f>SUMIFS(領用表!$L:$L,領用表!$E:$E,$B30,領用表!$B:$B,BK$2&amp;$BI$1)</f>
        <v>5</v>
      </c>
      <c r="BL30" s="208">
        <f>SUMIFS(領用表!$L:$L,領用表!$E:$E,$B30,領用表!$B:$B,BL$2&amp;$BI$1)</f>
        <v>0</v>
      </c>
      <c r="BM30" s="208">
        <f>SUMIFS(領用表!$L:$L,領用表!$E:$E,$B30,領用表!$B:$B,BM$2&amp;$BI$1)</f>
        <v>3</v>
      </c>
      <c r="BN30" s="208">
        <f>SUMIFS(領用表!$L:$L,領用表!$E:$E,$B30,領用表!$B:$B,BN$2&amp;$BI$1)</f>
        <v>0</v>
      </c>
      <c r="BO30" s="208">
        <f>SUMIFS(領用表!$L:$L,領用表!$E:$E,$B30,領用表!$B:$B,BO$2&amp;$BI$1)</f>
        <v>0</v>
      </c>
      <c r="BP30" s="208">
        <f>SUMIFS(領用表!$L:$L,領用表!$E:$E,$B30,領用表!$B:$B,BP$2&amp;$BI$1)</f>
        <v>0</v>
      </c>
      <c r="BQ30" s="208">
        <f>SUMIFS(領用表!$L:$L,領用表!$E:$E,$B30,領用表!$B:$B,BQ$2&amp;$BI$1)</f>
        <v>0</v>
      </c>
      <c r="BR30" s="208">
        <f>SUMIFS(領用表!$L:$L,領用表!$E:$E,$B30,領用表!$B:$B,BR$2&amp;$BI$1)</f>
        <v>0</v>
      </c>
      <c r="BS30" s="208">
        <f>SUMIFS(領用表!$L:$L,領用表!$E:$E,$B30,領用表!$B:$B,BS$2&amp;$BI$1)</f>
        <v>0</v>
      </c>
      <c r="BT30" s="208">
        <f>SUMIFS(領用表!$L:$L,領用表!$E:$E,$B30,領用表!$B:$B,BT$2&amp;$BI$1)</f>
        <v>0</v>
      </c>
      <c r="BU30" s="208">
        <f t="shared" si="4"/>
        <v>11</v>
      </c>
      <c r="BV30" s="208">
        <f t="shared" si="5"/>
        <v>2.2000000000000002</v>
      </c>
      <c r="BW30" s="208">
        <f>SUMIF(Summary!B:B,B30,Summary!DT:DT)</f>
        <v>3</v>
      </c>
      <c r="BX30" s="215">
        <v>6</v>
      </c>
      <c r="BY30" s="210">
        <v>0</v>
      </c>
      <c r="BZ30" s="211"/>
      <c r="CA30" s="211"/>
      <c r="CB30" s="136"/>
      <c r="CC30" s="212"/>
      <c r="CE30" s="213"/>
    </row>
    <row r="31" spans="1:83" s="118" customFormat="1" ht="15.75" customHeight="1">
      <c r="A31" s="136" t="s">
        <v>58</v>
      </c>
      <c r="B31" s="118">
        <v>6190003</v>
      </c>
      <c r="C31" s="118" t="s">
        <v>610</v>
      </c>
      <c r="D31" s="197">
        <v>10</v>
      </c>
      <c r="E31" s="198" t="s">
        <v>57</v>
      </c>
      <c r="F31" s="349">
        <v>60</v>
      </c>
      <c r="G31" s="349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1">
        <v>0</v>
      </c>
      <c r="AH31" s="201">
        <v>0</v>
      </c>
      <c r="AI31" s="201">
        <v>0</v>
      </c>
      <c r="AJ31" s="201">
        <v>1</v>
      </c>
      <c r="AK31" s="201">
        <v>0</v>
      </c>
      <c r="AL31" s="201">
        <v>0</v>
      </c>
      <c r="AM31" s="201">
        <v>7</v>
      </c>
      <c r="AN31" s="201">
        <v>5</v>
      </c>
      <c r="AO31" s="201">
        <v>1</v>
      </c>
      <c r="AP31" s="201">
        <v>0</v>
      </c>
      <c r="AQ31" s="201">
        <v>0</v>
      </c>
      <c r="AR31" s="203">
        <f>10/D31</f>
        <v>1</v>
      </c>
      <c r="AS31" s="204">
        <f>SUM(AG31:AR31)</f>
        <v>15</v>
      </c>
      <c r="AT31" s="205">
        <f>AS31/12</f>
        <v>1.25</v>
      </c>
      <c r="AU31" s="203">
        <v>10</v>
      </c>
      <c r="AV31" s="203">
        <v>20</v>
      </c>
      <c r="AW31" s="203">
        <v>12</v>
      </c>
      <c r="AX31" s="203">
        <v>2</v>
      </c>
      <c r="AY31" s="203">
        <v>4</v>
      </c>
      <c r="AZ31" s="203">
        <f>SUMIFS(領用表!$L:$L,領用表!$E:$E,$B31,領用表!$B:$B,AZ$2&amp;$BI$1)</f>
        <v>0</v>
      </c>
      <c r="BA31" s="203">
        <f>SUMIFS(領用表!$L:$L,領用表!$E:$E,$B31,領用表!$B:$B,BA$2&amp;$BI$1)</f>
        <v>0</v>
      </c>
      <c r="BB31" s="203">
        <f>SUMIFS(領用表!$L:$L,領用表!$E:$E,$B31,領用表!$B:$B,BB$2&amp;$BI$1)</f>
        <v>0</v>
      </c>
      <c r="BC31" s="203">
        <f>SUMIFS(領用表!$L:$L,領用表!$E:$E,$B31,領用表!$B:$B,BC$2&amp;$BI$1)</f>
        <v>0</v>
      </c>
      <c r="BD31" s="208">
        <f>SUMIFS(領用表!$L:$L,領用表!$E:$E,$B31,領用表!$B:$B,BD$2&amp;$BI$1)</f>
        <v>9</v>
      </c>
      <c r="BE31" s="208">
        <f>SUMIFS(領用表!$L:$L,領用表!$E:$E,$B31,領用表!$B:$B,BE$2&amp;$BI$1)</f>
        <v>7</v>
      </c>
      <c r="BF31" s="208">
        <f>SUMIFS(領用表!$L:$L,領用表!$E:$E,$B31,領用表!$B:$B,BF$2&amp;$BI$1)</f>
        <v>14</v>
      </c>
      <c r="BG31" s="207">
        <f t="shared" si="2"/>
        <v>78</v>
      </c>
      <c r="BH31" s="207">
        <f t="shared" si="3"/>
        <v>6.5</v>
      </c>
      <c r="BI31" s="208">
        <f>SUMIFS(領用表!$L:$L,領用表!$E:$E,$B31,領用表!$B:$B,BI$2&amp;$BI$1)</f>
        <v>16</v>
      </c>
      <c r="BJ31" s="208">
        <f>SUMIFS(領用表!$L:$L,領用表!$E:$E,$B31,領用表!$B:$B,BJ$2&amp;$BI$1)</f>
        <v>7</v>
      </c>
      <c r="BK31" s="208">
        <f>SUMIFS(領用表!$L:$L,領用表!$E:$E,$B31,領用表!$B:$B,BK$2&amp;$BI$1)</f>
        <v>4</v>
      </c>
      <c r="BL31" s="208">
        <f>SUMIFS(領用表!$L:$L,領用表!$E:$E,$B31,領用表!$B:$B,BL$2&amp;$BI$1)</f>
        <v>5</v>
      </c>
      <c r="BM31" s="208">
        <f>SUMIFS(領用表!$L:$L,領用表!$E:$E,$B31,領用表!$B:$B,BM$2&amp;$BI$1)</f>
        <v>2</v>
      </c>
      <c r="BN31" s="208">
        <f>SUMIFS(領用表!$L:$L,領用表!$E:$E,$B31,領用表!$B:$B,BN$2&amp;$BI$1)</f>
        <v>0</v>
      </c>
      <c r="BO31" s="208">
        <f>SUMIFS(領用表!$L:$L,領用表!$E:$E,$B31,領用表!$B:$B,BO$2&amp;$BI$1)</f>
        <v>0</v>
      </c>
      <c r="BP31" s="208">
        <f>SUMIFS(領用表!$L:$L,領用表!$E:$E,$B31,領用表!$B:$B,BP$2&amp;$BI$1)</f>
        <v>0</v>
      </c>
      <c r="BQ31" s="208">
        <f>SUMIFS(領用表!$L:$L,領用表!$E:$E,$B31,領用表!$B:$B,BQ$2&amp;$BI$1)</f>
        <v>0</v>
      </c>
      <c r="BR31" s="208">
        <f>SUMIFS(領用表!$L:$L,領用表!$E:$E,$B31,領用表!$B:$B,BR$2&amp;$BI$1)</f>
        <v>0</v>
      </c>
      <c r="BS31" s="208">
        <f>SUMIFS(領用表!$L:$L,領用表!$E:$E,$B31,領用表!$B:$B,BS$2&amp;$BI$1)</f>
        <v>0</v>
      </c>
      <c r="BT31" s="208">
        <f>SUMIFS(領用表!$L:$L,領用表!$E:$E,$B31,領用表!$B:$B,BT$2&amp;$BI$1)</f>
        <v>0</v>
      </c>
      <c r="BU31" s="208">
        <f t="shared" si="4"/>
        <v>34</v>
      </c>
      <c r="BV31" s="208">
        <f t="shared" si="5"/>
        <v>6.8</v>
      </c>
      <c r="BW31" s="208">
        <f>SUMIF(Summary!B:B,B31,Summary!DT:DT)</f>
        <v>10</v>
      </c>
      <c r="BX31" s="215">
        <v>8</v>
      </c>
      <c r="BY31" s="210">
        <v>0</v>
      </c>
      <c r="BZ31" s="211"/>
      <c r="CA31" s="211"/>
      <c r="CB31" s="136"/>
      <c r="CC31" s="212"/>
      <c r="CE31" s="213"/>
    </row>
    <row r="32" spans="1:83" s="118" customFormat="1" ht="15.75" customHeight="1">
      <c r="A32" s="136" t="s">
        <v>59</v>
      </c>
      <c r="B32" s="118">
        <v>6190004</v>
      </c>
      <c r="C32" s="118" t="s">
        <v>611</v>
      </c>
      <c r="D32" s="197">
        <v>20</v>
      </c>
      <c r="E32" s="198" t="s">
        <v>57</v>
      </c>
      <c r="F32" s="349">
        <v>176</v>
      </c>
      <c r="G32" s="349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1">
        <v>0</v>
      </c>
      <c r="AH32" s="201">
        <v>0</v>
      </c>
      <c r="AI32" s="201">
        <v>2</v>
      </c>
      <c r="AJ32" s="201">
        <v>0</v>
      </c>
      <c r="AK32" s="201">
        <v>1</v>
      </c>
      <c r="AL32" s="201">
        <v>6</v>
      </c>
      <c r="AM32" s="201">
        <v>2</v>
      </c>
      <c r="AN32" s="201">
        <v>6</v>
      </c>
      <c r="AO32" s="201">
        <v>6</v>
      </c>
      <c r="AP32" s="201">
        <v>6</v>
      </c>
      <c r="AQ32" s="201">
        <v>1</v>
      </c>
      <c r="AR32" s="203">
        <f>60/D32</f>
        <v>3</v>
      </c>
      <c r="AS32" s="204">
        <f>SUM(AG32:AR32)</f>
        <v>33</v>
      </c>
      <c r="AT32" s="205">
        <f>AS32/12</f>
        <v>2.75</v>
      </c>
      <c r="AU32" s="203" t="s">
        <v>49</v>
      </c>
      <c r="AV32" s="203">
        <v>40</v>
      </c>
      <c r="AW32" s="203">
        <v>31</v>
      </c>
      <c r="AX32" s="203">
        <v>14</v>
      </c>
      <c r="AY32" s="203">
        <v>25</v>
      </c>
      <c r="AZ32" s="203">
        <f>SUMIFS(領用表!$L:$L,領用表!$E:$E,$B32,領用表!$B:$B,AZ$2&amp;$BI$1)</f>
        <v>0</v>
      </c>
      <c r="BA32" s="203">
        <f>SUMIFS(領用表!$L:$L,領用表!$E:$E,$B32,領用表!$B:$B,BA$2&amp;$BI$1)</f>
        <v>0</v>
      </c>
      <c r="BB32" s="203">
        <f>SUMIFS(領用表!$L:$L,領用表!$E:$E,$B32,領用表!$B:$B,BB$2&amp;$BI$1)</f>
        <v>0</v>
      </c>
      <c r="BC32" s="203">
        <f>SUMIFS(領用表!$L:$L,領用表!$E:$E,$B32,領用表!$B:$B,BC$2&amp;$BI$1)</f>
        <v>0</v>
      </c>
      <c r="BD32" s="208">
        <f>SUMIFS(領用表!$L:$L,領用表!$E:$E,$B32,領用表!$B:$B,BD$2&amp;$BI$1)</f>
        <v>15</v>
      </c>
      <c r="BE32" s="208">
        <f>SUMIFS(領用表!$L:$L,領用表!$E:$E,$B32,領用表!$B:$B,BE$2&amp;$BI$1)</f>
        <v>41</v>
      </c>
      <c r="BF32" s="208">
        <f>SUMIFS(領用表!$L:$L,領用表!$E:$E,$B32,領用表!$B:$B,BF$2&amp;$BI$1)</f>
        <v>29</v>
      </c>
      <c r="BG32" s="207">
        <f t="shared" si="2"/>
        <v>195</v>
      </c>
      <c r="BH32" s="207">
        <f t="shared" si="3"/>
        <v>17.727272727272727</v>
      </c>
      <c r="BI32" s="208">
        <f>SUMIFS(領用表!$L:$L,領用表!$E:$E,$B32,領用表!$B:$B,BI$2&amp;$BI$1)</f>
        <v>32</v>
      </c>
      <c r="BJ32" s="208">
        <f>SUMIFS(領用表!$L:$L,領用表!$E:$E,$B32,領用表!$B:$B,BJ$2&amp;$BI$1)</f>
        <v>23</v>
      </c>
      <c r="BK32" s="208">
        <f>SUMIFS(領用表!$L:$L,領用表!$E:$E,$B32,領用表!$B:$B,BK$2&amp;$BI$1)</f>
        <v>35</v>
      </c>
      <c r="BL32" s="208">
        <f>SUMIFS(領用表!$L:$L,領用表!$E:$E,$B32,領用表!$B:$B,BL$2&amp;$BI$1)</f>
        <v>15</v>
      </c>
      <c r="BM32" s="208">
        <f>SUMIFS(領用表!$L:$L,領用表!$E:$E,$B32,領用表!$B:$B,BM$2&amp;$BI$1)</f>
        <v>33</v>
      </c>
      <c r="BN32" s="208">
        <f>SUMIFS(領用表!$L:$L,領用表!$E:$E,$B32,領用表!$B:$B,BN$2&amp;$BI$1)</f>
        <v>0</v>
      </c>
      <c r="BO32" s="208">
        <f>SUMIFS(領用表!$L:$L,領用表!$E:$E,$B32,領用表!$B:$B,BO$2&amp;$BI$1)</f>
        <v>0</v>
      </c>
      <c r="BP32" s="208">
        <f>SUMIFS(領用表!$L:$L,領用表!$E:$E,$B32,領用表!$B:$B,BP$2&amp;$BI$1)</f>
        <v>0</v>
      </c>
      <c r="BQ32" s="208">
        <f>SUMIFS(領用表!$L:$L,領用表!$E:$E,$B32,領用表!$B:$B,BQ$2&amp;$BI$1)</f>
        <v>0</v>
      </c>
      <c r="BR32" s="208">
        <f>SUMIFS(領用表!$L:$L,領用表!$E:$E,$B32,領用表!$B:$B,BR$2&amp;$BI$1)</f>
        <v>0</v>
      </c>
      <c r="BS32" s="208">
        <f>SUMIFS(領用表!$L:$L,領用表!$E:$E,$B32,領用表!$B:$B,BS$2&amp;$BI$1)</f>
        <v>0</v>
      </c>
      <c r="BT32" s="208">
        <f>SUMIFS(領用表!$L:$L,領用表!$E:$E,$B32,領用表!$B:$B,BT$2&amp;$BI$1)</f>
        <v>0</v>
      </c>
      <c r="BU32" s="208">
        <f t="shared" si="4"/>
        <v>138</v>
      </c>
      <c r="BV32" s="208">
        <f t="shared" si="5"/>
        <v>27.6</v>
      </c>
      <c r="BW32" s="208">
        <f>SUMIF(Summary!B:B,B32,Summary!DT:DT)</f>
        <v>25</v>
      </c>
      <c r="BX32" s="215">
        <v>15</v>
      </c>
      <c r="BY32" s="210">
        <v>0</v>
      </c>
      <c r="BZ32" s="211"/>
      <c r="CA32" s="211"/>
      <c r="CB32" s="136"/>
      <c r="CC32" s="212"/>
      <c r="CE32" s="213"/>
    </row>
    <row r="33" spans="1:83" s="118" customFormat="1" ht="15.75" customHeight="1">
      <c r="A33" s="136"/>
      <c r="B33" s="14">
        <v>6190006</v>
      </c>
      <c r="C33" s="118" t="s">
        <v>937</v>
      </c>
      <c r="D33" s="197">
        <v>1</v>
      </c>
      <c r="E33" s="198" t="s">
        <v>15</v>
      </c>
      <c r="F33" s="349">
        <v>107</v>
      </c>
      <c r="G33" s="349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3"/>
      <c r="AS33" s="204"/>
      <c r="AT33" s="205"/>
      <c r="AU33" s="203"/>
      <c r="AV33" s="203"/>
      <c r="AW33" s="203"/>
      <c r="AX33" s="203"/>
      <c r="AY33" s="203"/>
      <c r="AZ33" s="203"/>
      <c r="BA33" s="203"/>
      <c r="BB33" s="203"/>
      <c r="BC33" s="203"/>
      <c r="BD33" s="208"/>
      <c r="BE33" s="208"/>
      <c r="BF33" s="208"/>
      <c r="BG33" s="207"/>
      <c r="BH33" s="207"/>
      <c r="BI33" s="208">
        <f>SUMIFS(領用表!$L:$L,領用表!$E:$E,$B33,領用表!$B:$B,BI$2&amp;$BI$1)</f>
        <v>0</v>
      </c>
      <c r="BJ33" s="208">
        <f>SUMIFS(領用表!$L:$L,領用表!$E:$E,$B33,領用表!$B:$B,BJ$2&amp;$BI$1)</f>
        <v>0</v>
      </c>
      <c r="BK33" s="208">
        <f>SUMIFS(領用表!$L:$L,領用表!$E:$E,$B33,領用表!$B:$B,BK$2&amp;$BI$1)</f>
        <v>0</v>
      </c>
      <c r="BL33" s="208">
        <f>SUMIFS(領用表!$L:$L,領用表!$E:$E,$B33,領用表!$B:$B,BL$2&amp;$BI$1)</f>
        <v>31</v>
      </c>
      <c r="BM33" s="208">
        <f>SUMIFS(領用表!$L:$L,領用表!$E:$E,$B33,領用表!$B:$B,BM$2&amp;$BI$1)</f>
        <v>61</v>
      </c>
      <c r="BN33" s="208"/>
      <c r="BO33" s="208"/>
      <c r="BP33" s="208"/>
      <c r="BQ33" s="208"/>
      <c r="BR33" s="208"/>
      <c r="BS33" s="208"/>
      <c r="BT33" s="208"/>
      <c r="BU33" s="208">
        <f t="shared" si="4"/>
        <v>92</v>
      </c>
      <c r="BV33" s="208">
        <f t="shared" si="5"/>
        <v>18.399999999999999</v>
      </c>
      <c r="BW33" s="208">
        <f>SUMIF(Summary!B:B,B33,Summary!DT:DT)</f>
        <v>0</v>
      </c>
      <c r="BX33" s="215"/>
      <c r="BY33" s="210"/>
      <c r="BZ33" s="211"/>
      <c r="CA33" s="211"/>
      <c r="CB33" s="136"/>
      <c r="CC33" s="212"/>
      <c r="CE33" s="213"/>
    </row>
    <row r="34" spans="1:83" s="118" customFormat="1" ht="15.75" customHeight="1">
      <c r="A34" s="136"/>
      <c r="B34" s="433">
        <v>6050010</v>
      </c>
      <c r="C34" s="14" t="s">
        <v>967</v>
      </c>
      <c r="D34" s="426">
        <v>1</v>
      </c>
      <c r="E34" s="17" t="s">
        <v>15</v>
      </c>
      <c r="F34" s="349">
        <v>99</v>
      </c>
      <c r="G34" s="349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1"/>
      <c r="AR34" s="203"/>
      <c r="AS34" s="204"/>
      <c r="AT34" s="205"/>
      <c r="AU34" s="203"/>
      <c r="AV34" s="203"/>
      <c r="AW34" s="203"/>
      <c r="AX34" s="203"/>
      <c r="AY34" s="203"/>
      <c r="AZ34" s="203"/>
      <c r="BA34" s="203"/>
      <c r="BB34" s="203"/>
      <c r="BC34" s="203"/>
      <c r="BD34" s="208"/>
      <c r="BE34" s="208"/>
      <c r="BF34" s="208"/>
      <c r="BG34" s="207"/>
      <c r="BH34" s="207"/>
      <c r="BI34" s="208"/>
      <c r="BJ34" s="208"/>
      <c r="BK34" s="208"/>
      <c r="BL34" s="208"/>
      <c r="BM34" s="208">
        <f>SUMIFS(領用表!$L:$L,領用表!$E:$E,$B34,領用表!$B:$B,BM$2&amp;$BI$1)</f>
        <v>1</v>
      </c>
      <c r="BN34" s="208"/>
      <c r="BO34" s="208"/>
      <c r="BP34" s="208"/>
      <c r="BQ34" s="208"/>
      <c r="BR34" s="208"/>
      <c r="BS34" s="208"/>
      <c r="BT34" s="208"/>
      <c r="BU34" s="208">
        <f t="shared" ref="BU34" si="8">SUM(BI34,BJ34,BK34,BL34,BM34)</f>
        <v>1</v>
      </c>
      <c r="BV34" s="208">
        <f t="shared" ref="BV34" si="9">AVERAGE(BI34,BJ34,BK34,BL34,BM34)</f>
        <v>1</v>
      </c>
      <c r="BW34" s="208">
        <f>SUMIF(Summary!B:B,B34,Summary!DT:DT)</f>
        <v>0</v>
      </c>
      <c r="BX34" s="215"/>
      <c r="BY34" s="210"/>
      <c r="BZ34" s="211"/>
      <c r="CA34" s="211"/>
      <c r="CB34" s="136"/>
      <c r="CC34" s="212"/>
      <c r="CE34" s="213"/>
    </row>
    <row r="35" spans="1:83" s="118" customFormat="1" ht="15.75" customHeight="1">
      <c r="A35" s="136" t="s">
        <v>60</v>
      </c>
      <c r="B35" s="118">
        <v>6160001</v>
      </c>
      <c r="C35" s="131" t="s">
        <v>477</v>
      </c>
      <c r="D35" s="228">
        <v>1</v>
      </c>
      <c r="E35" s="198" t="s">
        <v>15</v>
      </c>
      <c r="F35" s="349">
        <v>11</v>
      </c>
      <c r="G35" s="349"/>
      <c r="H35" s="220">
        <v>0</v>
      </c>
      <c r="I35" s="220">
        <v>0.05</v>
      </c>
      <c r="J35" s="200">
        <v>1</v>
      </c>
      <c r="K35" s="200">
        <v>11</v>
      </c>
      <c r="L35" s="200">
        <v>12</v>
      </c>
      <c r="M35" s="200">
        <v>2</v>
      </c>
      <c r="N35" s="200">
        <v>2</v>
      </c>
      <c r="O35" s="200">
        <v>3</v>
      </c>
      <c r="P35" s="200">
        <v>2</v>
      </c>
      <c r="Q35" s="200">
        <v>0</v>
      </c>
      <c r="R35" s="200">
        <v>1</v>
      </c>
      <c r="S35" s="200">
        <v>1</v>
      </c>
      <c r="T35" s="200">
        <v>5</v>
      </c>
      <c r="U35" s="200">
        <v>2</v>
      </c>
      <c r="V35" s="200">
        <v>1</v>
      </c>
      <c r="W35" s="200">
        <v>0</v>
      </c>
      <c r="X35" s="200">
        <v>2</v>
      </c>
      <c r="Y35" s="200">
        <v>1</v>
      </c>
      <c r="Z35" s="200">
        <v>0</v>
      </c>
      <c r="AA35" s="200">
        <v>0</v>
      </c>
      <c r="AB35" s="200">
        <v>0</v>
      </c>
      <c r="AC35" s="200">
        <v>0</v>
      </c>
      <c r="AD35" s="200">
        <v>0</v>
      </c>
      <c r="AE35" s="200">
        <v>0</v>
      </c>
      <c r="AF35" s="200">
        <v>0</v>
      </c>
      <c r="AG35" s="201">
        <v>1</v>
      </c>
      <c r="AH35" s="201">
        <v>2</v>
      </c>
      <c r="AI35" s="201">
        <v>2</v>
      </c>
      <c r="AJ35" s="201">
        <v>7</v>
      </c>
      <c r="AK35" s="201">
        <v>4</v>
      </c>
      <c r="AL35" s="201">
        <v>4</v>
      </c>
      <c r="AM35" s="201">
        <v>4</v>
      </c>
      <c r="AN35" s="201">
        <v>9</v>
      </c>
      <c r="AO35" s="201">
        <v>5</v>
      </c>
      <c r="AP35" s="201">
        <v>3</v>
      </c>
      <c r="AQ35" s="202">
        <v>0</v>
      </c>
      <c r="AR35" s="203">
        <v>1</v>
      </c>
      <c r="AS35" s="204">
        <f>SUM(AG35:AR35)</f>
        <v>42</v>
      </c>
      <c r="AT35" s="205">
        <f>AS35/12</f>
        <v>3.5</v>
      </c>
      <c r="AU35" s="203">
        <v>5</v>
      </c>
      <c r="AV35" s="203">
        <v>3</v>
      </c>
      <c r="AW35" s="203">
        <v>0</v>
      </c>
      <c r="AX35" s="203">
        <v>0</v>
      </c>
      <c r="AY35" s="203">
        <v>0</v>
      </c>
      <c r="AZ35" s="203">
        <f>SUMIFS(領用表!$L:$L,領用表!$E:$E,$B35,領用表!$B:$B,AZ$2&amp;$BI$1)</f>
        <v>0</v>
      </c>
      <c r="BA35" s="203">
        <f>SUMIFS(領用表!$L:$L,領用表!$E:$E,$B35,領用表!$B:$B,BA$2&amp;$BI$1)</f>
        <v>0</v>
      </c>
      <c r="BB35" s="203">
        <f>SUMIFS(領用表!$L:$L,領用表!$E:$E,$B35,領用表!$B:$B,BB$2&amp;$BI$1)</f>
        <v>0</v>
      </c>
      <c r="BC35" s="203">
        <f>SUMIFS(領用表!$L:$L,領用表!$E:$E,$B35,領用表!$B:$B,BC$2&amp;$BI$1)</f>
        <v>0</v>
      </c>
      <c r="BD35" s="208">
        <f>SUMIFS(領用表!$L:$L,領用表!$E:$E,$B35,領用表!$B:$B,BD$2&amp;$BI$1)</f>
        <v>0</v>
      </c>
      <c r="BE35" s="208">
        <f>SUMIFS(領用表!$L:$L,領用表!$E:$E,$B35,領用表!$B:$B,BE$2&amp;$BI$1)</f>
        <v>0</v>
      </c>
      <c r="BF35" s="208">
        <f>SUMIFS(領用表!$L:$L,領用表!$E:$E,$B35,領用表!$B:$B,BF$2&amp;$BI$1)</f>
        <v>3</v>
      </c>
      <c r="BG35" s="207">
        <f t="shared" si="2"/>
        <v>11</v>
      </c>
      <c r="BH35" s="207">
        <f t="shared" si="3"/>
        <v>0.91666666666666663</v>
      </c>
      <c r="BI35" s="208">
        <f>SUMIFS(領用表!$L:$L,領用表!$E:$E,$B35,領用表!$B:$B,BI$2&amp;$BI$1)</f>
        <v>5</v>
      </c>
      <c r="BJ35" s="208">
        <f>SUMIFS(領用表!$L:$L,領用表!$E:$E,$B35,領用表!$B:$B,BJ$2&amp;$BI$1)</f>
        <v>2</v>
      </c>
      <c r="BK35" s="208">
        <f>SUMIFS(領用表!$L:$L,領用表!$E:$E,$B35,領用表!$B:$B,BK$2&amp;$BI$1)</f>
        <v>1</v>
      </c>
      <c r="BL35" s="208">
        <f>SUMIFS(領用表!$L:$L,領用表!$E:$E,$B35,領用表!$B:$B,BL$2&amp;$BI$1)</f>
        <v>2</v>
      </c>
      <c r="BM35" s="208">
        <f>SUMIFS(領用表!$L:$L,領用表!$E:$E,$B35,領用表!$B:$B,BM$2&amp;$BI$1)</f>
        <v>0</v>
      </c>
      <c r="BN35" s="208">
        <f>SUMIFS(領用表!$L:$L,領用表!$E:$E,$B35,領用表!$B:$B,BN$2&amp;$BI$1)</f>
        <v>0</v>
      </c>
      <c r="BO35" s="208">
        <f>SUMIFS(領用表!$L:$L,領用表!$E:$E,$B35,領用表!$B:$B,BO$2&amp;$BI$1)</f>
        <v>0</v>
      </c>
      <c r="BP35" s="208">
        <f>SUMIFS(領用表!$L:$L,領用表!$E:$E,$B35,領用表!$B:$B,BP$2&amp;$BI$1)</f>
        <v>0</v>
      </c>
      <c r="BQ35" s="208">
        <f>SUMIFS(領用表!$L:$L,領用表!$E:$E,$B35,領用表!$B:$B,BQ$2&amp;$BI$1)</f>
        <v>0</v>
      </c>
      <c r="BR35" s="208">
        <f>SUMIFS(領用表!$L:$L,領用表!$E:$E,$B35,領用表!$B:$B,BR$2&amp;$BI$1)</f>
        <v>0</v>
      </c>
      <c r="BS35" s="208">
        <f>SUMIFS(領用表!$L:$L,領用表!$E:$E,$B35,領用表!$B:$B,BS$2&amp;$BI$1)</f>
        <v>0</v>
      </c>
      <c r="BT35" s="208">
        <f>SUMIFS(領用表!$L:$L,領用表!$E:$E,$B35,領用表!$B:$B,BT$2&amp;$BI$1)</f>
        <v>0</v>
      </c>
      <c r="BU35" s="208">
        <f t="shared" si="4"/>
        <v>10</v>
      </c>
      <c r="BV35" s="208">
        <f t="shared" si="5"/>
        <v>2</v>
      </c>
      <c r="BW35" s="208">
        <f>SUMIF(Summary!B:B,B35,Summary!DT:DT)</f>
        <v>3</v>
      </c>
      <c r="BX35" s="215">
        <v>3</v>
      </c>
      <c r="BY35" s="210"/>
      <c r="BZ35" s="211"/>
      <c r="CA35" s="211"/>
      <c r="CB35" s="136"/>
      <c r="CC35" s="212"/>
      <c r="CE35" s="213"/>
    </row>
    <row r="36" spans="1:83" s="118" customFormat="1" ht="15.75" customHeight="1">
      <c r="A36" s="136" t="s">
        <v>61</v>
      </c>
      <c r="B36" s="118">
        <v>6150012</v>
      </c>
      <c r="C36" s="131" t="s">
        <v>478</v>
      </c>
      <c r="D36" s="228">
        <v>1</v>
      </c>
      <c r="E36" s="198" t="s">
        <v>15</v>
      </c>
      <c r="F36" s="349">
        <v>13</v>
      </c>
      <c r="G36" s="349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  <c r="AQ36" s="202"/>
      <c r="AR36" s="203"/>
      <c r="AS36" s="204" t="s">
        <v>49</v>
      </c>
      <c r="AT36" s="205" t="s">
        <v>49</v>
      </c>
      <c r="AU36" s="205" t="s">
        <v>49</v>
      </c>
      <c r="AV36" s="205" t="s">
        <v>49</v>
      </c>
      <c r="AW36" s="205" t="s">
        <v>49</v>
      </c>
      <c r="AX36" s="203" t="s">
        <v>49</v>
      </c>
      <c r="AY36" s="203" t="s">
        <v>49</v>
      </c>
      <c r="AZ36" s="203">
        <f>SUMIFS(領用表!$L:$L,領用表!$E:$E,$B36,領用表!$B:$B,AZ$2&amp;$BI$1)</f>
        <v>0</v>
      </c>
      <c r="BA36" s="203">
        <f>SUMIFS(領用表!$L:$L,領用表!$E:$E,$B36,領用表!$B:$B,BA$2&amp;$BI$1)</f>
        <v>0</v>
      </c>
      <c r="BB36" s="203">
        <f>SUMIFS(領用表!$L:$L,領用表!$E:$E,$B36,領用表!$B:$B,BB$2&amp;$BI$1)</f>
        <v>0</v>
      </c>
      <c r="BC36" s="203">
        <f>SUMIFS(領用表!$L:$L,領用表!$E:$E,$B36,領用表!$B:$B,BC$2&amp;$BI$1)</f>
        <v>0</v>
      </c>
      <c r="BD36" s="208">
        <f>SUMIFS(領用表!$L:$L,領用表!$E:$E,$B36,領用表!$B:$B,BD$2&amp;$BI$1)</f>
        <v>0</v>
      </c>
      <c r="BE36" s="208">
        <f>SUMIFS(領用表!$L:$L,領用表!$E:$E,$B36,領用表!$B:$B,BE$2&amp;$BI$1)</f>
        <v>0</v>
      </c>
      <c r="BF36" s="208">
        <f>SUMIFS(領用表!$L:$L,領用表!$E:$E,$B36,領用表!$B:$B,BF$2&amp;$BI$1)</f>
        <v>0</v>
      </c>
      <c r="BG36" s="207">
        <f t="shared" si="2"/>
        <v>0</v>
      </c>
      <c r="BH36" s="207">
        <f t="shared" si="3"/>
        <v>0</v>
      </c>
      <c r="BI36" s="208">
        <f>SUMIFS(領用表!$L:$L,領用表!$E:$E,$B36,領用表!$B:$B,BI$2&amp;$BI$1)</f>
        <v>0</v>
      </c>
      <c r="BJ36" s="208">
        <f>SUMIFS(領用表!$L:$L,領用表!$E:$E,$B36,領用表!$B:$B,BJ$2&amp;$BI$1)</f>
        <v>0</v>
      </c>
      <c r="BK36" s="208">
        <f>SUMIFS(領用表!$L:$L,領用表!$E:$E,$B36,領用表!$B:$B,BK$2&amp;$BI$1)</f>
        <v>0</v>
      </c>
      <c r="BL36" s="208">
        <f>SUMIFS(領用表!$L:$L,領用表!$E:$E,$B36,領用表!$B:$B,BL$2&amp;$BI$1)</f>
        <v>0</v>
      </c>
      <c r="BM36" s="208">
        <f>SUMIFS(領用表!$L:$L,領用表!$E:$E,$B36,領用表!$B:$B,BM$2&amp;$BI$1)</f>
        <v>0</v>
      </c>
      <c r="BN36" s="208">
        <f>SUMIFS(領用表!$L:$L,領用表!$E:$E,$B36,領用表!$B:$B,BN$2&amp;$BI$1)</f>
        <v>0</v>
      </c>
      <c r="BO36" s="208">
        <f>SUMIFS(領用表!$L:$L,領用表!$E:$E,$B36,領用表!$B:$B,BO$2&amp;$BI$1)</f>
        <v>0</v>
      </c>
      <c r="BP36" s="208">
        <f>SUMIFS(領用表!$L:$L,領用表!$E:$E,$B36,領用表!$B:$B,BP$2&amp;$BI$1)</f>
        <v>0</v>
      </c>
      <c r="BQ36" s="208">
        <f>SUMIFS(領用表!$L:$L,領用表!$E:$E,$B36,領用表!$B:$B,BQ$2&amp;$BI$1)</f>
        <v>0</v>
      </c>
      <c r="BR36" s="208">
        <f>SUMIFS(領用表!$L:$L,領用表!$E:$E,$B36,領用表!$B:$B,BR$2&amp;$BI$1)</f>
        <v>0</v>
      </c>
      <c r="BS36" s="208">
        <f>SUMIFS(領用表!$L:$L,領用表!$E:$E,$B36,領用表!$B:$B,BS$2&amp;$BI$1)</f>
        <v>0</v>
      </c>
      <c r="BT36" s="208">
        <f>SUMIFS(領用表!$L:$L,領用表!$E:$E,$B36,領用表!$B:$B,BT$2&amp;$BI$1)</f>
        <v>0</v>
      </c>
      <c r="BU36" s="208">
        <f t="shared" si="4"/>
        <v>0</v>
      </c>
      <c r="BV36" s="208">
        <f t="shared" si="5"/>
        <v>0</v>
      </c>
      <c r="BW36" s="208">
        <f>SUMIF(Summary!B:B,B36,Summary!DT:DT)</f>
        <v>0</v>
      </c>
      <c r="BX36" s="215">
        <v>0</v>
      </c>
      <c r="BY36" s="224"/>
      <c r="BZ36" s="211"/>
      <c r="CA36" s="211"/>
      <c r="CB36" s="136"/>
      <c r="CC36" s="212"/>
      <c r="CE36" s="213"/>
    </row>
    <row r="37" spans="1:83" s="118" customFormat="1" ht="15.75" customHeight="1">
      <c r="A37" s="248" t="s">
        <v>748</v>
      </c>
      <c r="B37" s="128">
        <v>6150014</v>
      </c>
      <c r="C37" s="398" t="s">
        <v>749</v>
      </c>
      <c r="D37" s="399">
        <v>2.5</v>
      </c>
      <c r="E37" s="311" t="s">
        <v>750</v>
      </c>
      <c r="F37" s="409">
        <f>F36*D37</f>
        <v>32.5</v>
      </c>
      <c r="G37" s="349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  <c r="AQ37" s="202"/>
      <c r="AR37" s="203"/>
      <c r="AS37" s="204"/>
      <c r="AT37" s="205"/>
      <c r="AU37" s="205"/>
      <c r="AV37" s="205"/>
      <c r="AW37" s="205"/>
      <c r="AX37" s="203"/>
      <c r="AY37" s="203"/>
      <c r="AZ37" s="203">
        <f>SUMIFS(領用表!$L:$L,領用表!$E:$E,$B37,領用表!$B:$B,AZ$2&amp;$BI$1)</f>
        <v>0</v>
      </c>
      <c r="BA37" s="203">
        <f>SUMIFS(領用表!$L:$L,領用表!$E:$E,$B37,領用表!$B:$B,BA$2&amp;$BI$1)</f>
        <v>0</v>
      </c>
      <c r="BB37" s="203">
        <f>SUMIFS(領用表!$L:$L,領用表!$E:$E,$B37,領用表!$B:$B,BB$2&amp;$BI$1)</f>
        <v>0</v>
      </c>
      <c r="BC37" s="203">
        <f>SUMIFS(領用表!$L:$L,領用表!$E:$E,$B37,領用表!$B:$B,BC$2&amp;$BI$1)</f>
        <v>0</v>
      </c>
      <c r="BD37" s="208">
        <f>SUMIFS(領用表!$L:$L,領用表!$E:$E,$B37,領用表!$B:$B,BD$2&amp;$BI$1)</f>
        <v>1</v>
      </c>
      <c r="BE37" s="208">
        <f>SUMIFS(領用表!$L:$L,領用表!$E:$E,$B37,領用表!$B:$B,BE$2&amp;$BI$1)</f>
        <v>0</v>
      </c>
      <c r="BF37" s="208">
        <f>SUMIFS(領用表!$L:$L,領用表!$E:$E,$B37,領用表!$B:$B,BF$2&amp;$BI$1)</f>
        <v>0</v>
      </c>
      <c r="BG37" s="207">
        <f t="shared" ref="BG37" si="10">SUM(AU37,AV37,AW37,AX37,AY37,AZ37,BA37,BB37,BC37,BD37,BE37,BF37)</f>
        <v>1</v>
      </c>
      <c r="BH37" s="207">
        <f t="shared" ref="BH37" si="11">AVERAGE(AU37,AV37,AW37,AX37,AY37,AZ37,BA37,BB37,BC37,BD37,BE37,BF37)</f>
        <v>0.14285714285714285</v>
      </c>
      <c r="BI37" s="208">
        <f>SUMIFS(領用表!$L:$L,領用表!$E:$E,$B37,領用表!$B:$B,BI$2&amp;$BI$1)</f>
        <v>0</v>
      </c>
      <c r="BJ37" s="208">
        <f>SUMIFS(領用表!$L:$L,領用表!$E:$E,$B37,領用表!$B:$B,BJ$2&amp;$BI$1)</f>
        <v>0</v>
      </c>
      <c r="BK37" s="208">
        <f>SUMIFS(領用表!$L:$L,領用表!$E:$E,$B37,領用表!$B:$B,BK$2&amp;$BI$1)</f>
        <v>0</v>
      </c>
      <c r="BL37" s="208">
        <f>SUMIFS(領用表!$L:$L,領用表!$E:$E,$B37,領用表!$B:$B,BL$2&amp;$BI$1)</f>
        <v>0</v>
      </c>
      <c r="BM37" s="208">
        <f>SUMIFS(領用表!$L:$L,領用表!$E:$E,$B37,領用表!$B:$B,BM$2&amp;$BI$1)</f>
        <v>0</v>
      </c>
      <c r="BN37" s="208">
        <f>SUMIFS(領用表!$L:$L,領用表!$E:$E,$B37,領用表!$B:$B,BN$2&amp;$BI$1)</f>
        <v>0</v>
      </c>
      <c r="BO37" s="208">
        <f>SUMIFS(領用表!$L:$L,領用表!$E:$E,$B37,領用表!$B:$B,BO$2&amp;$BI$1)</f>
        <v>0</v>
      </c>
      <c r="BP37" s="208">
        <f>SUMIFS(領用表!$L:$L,領用表!$E:$E,$B37,領用表!$B:$B,BP$2&amp;$BI$1)</f>
        <v>0</v>
      </c>
      <c r="BQ37" s="208">
        <f>SUMIFS(領用表!$L:$L,領用表!$E:$E,$B37,領用表!$B:$B,BQ$2&amp;$BI$1)</f>
        <v>0</v>
      </c>
      <c r="BR37" s="208">
        <f>SUMIFS(領用表!$L:$L,領用表!$E:$E,$B37,領用表!$B:$B,BR$2&amp;$BI$1)</f>
        <v>0</v>
      </c>
      <c r="BS37" s="208">
        <f>SUMIFS(領用表!$L:$L,領用表!$E:$E,$B37,領用表!$B:$B,BS$2&amp;$BI$1)</f>
        <v>0</v>
      </c>
      <c r="BT37" s="208">
        <f>SUMIFS(領用表!$L:$L,領用表!$E:$E,$B37,領用表!$B:$B,BT$2&amp;$BI$1)</f>
        <v>0</v>
      </c>
      <c r="BU37" s="208">
        <f t="shared" si="4"/>
        <v>0</v>
      </c>
      <c r="BV37" s="208">
        <f t="shared" si="5"/>
        <v>0</v>
      </c>
      <c r="BW37" s="208">
        <f>SUMIF(Summary!B:B,B37,Summary!DT:DT)</f>
        <v>0</v>
      </c>
      <c r="BX37" s="215">
        <v>0</v>
      </c>
      <c r="BY37" s="218"/>
      <c r="BZ37" s="211"/>
      <c r="CA37" s="211"/>
      <c r="CB37" s="136"/>
      <c r="CC37" s="212"/>
      <c r="CE37" s="213"/>
    </row>
    <row r="38" spans="1:83" s="118" customFormat="1" ht="15.75" customHeight="1">
      <c r="A38" s="136" t="s">
        <v>62</v>
      </c>
      <c r="B38" s="118">
        <v>6210006</v>
      </c>
      <c r="C38" s="131" t="s">
        <v>847</v>
      </c>
      <c r="D38" s="228">
        <v>3</v>
      </c>
      <c r="E38" s="198" t="s">
        <v>63</v>
      </c>
      <c r="F38" s="349">
        <v>9</v>
      </c>
      <c r="G38" s="36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2"/>
      <c r="AR38" s="203"/>
      <c r="AS38" s="204" t="s">
        <v>49</v>
      </c>
      <c r="AT38" s="204" t="s">
        <v>49</v>
      </c>
      <c r="AU38" s="204" t="s">
        <v>49</v>
      </c>
      <c r="AV38" s="204" t="s">
        <v>49</v>
      </c>
      <c r="AW38" s="204" t="s">
        <v>49</v>
      </c>
      <c r="AX38" s="204" t="s">
        <v>49</v>
      </c>
      <c r="AY38" s="204" t="s">
        <v>49</v>
      </c>
      <c r="AZ38" s="204">
        <f>SUMIFS(領用表!$L:$L,領用表!$E:$E,$B38,領用表!$B:$B,AZ$2&amp;$BI$1)</f>
        <v>0</v>
      </c>
      <c r="BA38" s="203">
        <f>SUMIFS(領用表!$L:$L,領用表!$E:$E,$B38,領用表!$B:$B,BA$2&amp;$BI$1)</f>
        <v>0</v>
      </c>
      <c r="BB38" s="203">
        <f>SUMIFS(領用表!$L:$L,領用表!$E:$E,$B38,領用表!$B:$B,BB$2&amp;$BI$1)</f>
        <v>8</v>
      </c>
      <c r="BC38" s="203">
        <f>SUMIFS(領用表!$L:$L,領用表!$E:$E,$B38,領用表!$B:$B,BC$2&amp;$BI$1)</f>
        <v>3</v>
      </c>
      <c r="BD38" s="208">
        <f>SUMIFS(領用表!$L:$L,領用表!$E:$E,$B38,領用表!$B:$B,BD$2&amp;$BI$1)</f>
        <v>6</v>
      </c>
      <c r="BE38" s="208">
        <f>SUMIFS(領用表!$L:$L,領用表!$E:$E,$B38,領用表!$B:$B,BE$2&amp;$BI$1)</f>
        <v>4</v>
      </c>
      <c r="BF38" s="208">
        <f>SUMIFS(領用表!$L:$L,領用表!$E:$E,$B38,領用表!$B:$B,BF$2&amp;$BI$1)</f>
        <v>4</v>
      </c>
      <c r="BG38" s="207">
        <f t="shared" si="2"/>
        <v>25</v>
      </c>
      <c r="BH38" s="207">
        <f t="shared" si="3"/>
        <v>3.5714285714285716</v>
      </c>
      <c r="BI38" s="208">
        <f>SUMIFS(領用表!$L:$L,領用表!$E:$E,$B38,領用表!$B:$B,BI$2&amp;$BI$1)</f>
        <v>11</v>
      </c>
      <c r="BJ38" s="208">
        <f>SUMIFS(領用表!$L:$L,領用表!$E:$E,$B38,領用表!$B:$B,BJ$2&amp;$BI$1)</f>
        <v>4</v>
      </c>
      <c r="BK38" s="208">
        <f>SUMIFS(領用表!$L:$L,領用表!$E:$E,$B38,領用表!$B:$B,BK$2&amp;$BI$1)</f>
        <v>10</v>
      </c>
      <c r="BL38" s="208">
        <f>SUMIFS(領用表!$L:$L,領用表!$E:$E,$B38,領用表!$B:$B,BL$2&amp;$BI$1)</f>
        <v>5</v>
      </c>
      <c r="BM38" s="208">
        <f>SUMIFS(領用表!$L:$L,領用表!$E:$E,$B38,領用表!$B:$B,BM$2&amp;$BI$1)</f>
        <v>1</v>
      </c>
      <c r="BN38" s="208">
        <f>SUMIFS(領用表!$L:$L,領用表!$E:$E,$B38,領用表!$B:$B,BN$2&amp;$BI$1)</f>
        <v>0</v>
      </c>
      <c r="BO38" s="208">
        <f>SUMIFS(領用表!$L:$L,領用表!$E:$E,$B38,領用表!$B:$B,BO$2&amp;$BI$1)</f>
        <v>0</v>
      </c>
      <c r="BP38" s="208">
        <f>SUMIFS(領用表!$L:$L,領用表!$E:$E,$B38,領用表!$B:$B,BP$2&amp;$BI$1)</f>
        <v>0</v>
      </c>
      <c r="BQ38" s="208">
        <f>SUMIFS(領用表!$L:$L,領用表!$E:$E,$B38,領用表!$B:$B,BQ$2&amp;$BI$1)</f>
        <v>0</v>
      </c>
      <c r="BR38" s="208">
        <f>SUMIFS(領用表!$L:$L,領用表!$E:$E,$B38,領用表!$B:$B,BR$2&amp;$BI$1)</f>
        <v>0</v>
      </c>
      <c r="BS38" s="208">
        <f>SUMIFS(領用表!$L:$L,領用表!$E:$E,$B38,領用表!$B:$B,BS$2&amp;$BI$1)</f>
        <v>0</v>
      </c>
      <c r="BT38" s="208">
        <f>SUMIFS(領用表!$L:$L,領用表!$E:$E,$B38,領用表!$B:$B,BT$2&amp;$BI$1)</f>
        <v>0</v>
      </c>
      <c r="BU38" s="208">
        <f t="shared" si="4"/>
        <v>31</v>
      </c>
      <c r="BV38" s="208">
        <f t="shared" si="5"/>
        <v>6.2</v>
      </c>
      <c r="BW38" s="208">
        <f>SUMIF(Summary!B:B,B38,Summary!DT:DT)</f>
        <v>8</v>
      </c>
      <c r="BX38" s="215">
        <v>5</v>
      </c>
      <c r="BY38" s="469"/>
      <c r="BZ38" s="211"/>
      <c r="CA38" s="211"/>
      <c r="CB38" s="136"/>
      <c r="CC38" s="212"/>
      <c r="CE38" s="213"/>
    </row>
    <row r="39" spans="1:83" s="118" customFormat="1" ht="15.75" customHeight="1">
      <c r="A39" s="136" t="s">
        <v>64</v>
      </c>
      <c r="B39" s="118">
        <v>6210007</v>
      </c>
      <c r="C39" s="131" t="s">
        <v>480</v>
      </c>
      <c r="D39" s="228">
        <v>3</v>
      </c>
      <c r="E39" s="198" t="s">
        <v>63</v>
      </c>
      <c r="F39" s="349">
        <v>21</v>
      </c>
      <c r="G39" s="36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  <c r="AQ39" s="202"/>
      <c r="AR39" s="203"/>
      <c r="AS39" s="204" t="s">
        <v>49</v>
      </c>
      <c r="AT39" s="204" t="s">
        <v>49</v>
      </c>
      <c r="AU39" s="204" t="s">
        <v>49</v>
      </c>
      <c r="AV39" s="204" t="s">
        <v>49</v>
      </c>
      <c r="AW39" s="204" t="s">
        <v>49</v>
      </c>
      <c r="AX39" s="204" t="s">
        <v>49</v>
      </c>
      <c r="AY39" s="204" t="s">
        <v>49</v>
      </c>
      <c r="AZ39" s="204">
        <f>SUMIFS(領用表!$L:$L,領用表!$E:$E,$B39,領用表!$B:$B,AZ$2&amp;$BI$1)</f>
        <v>0</v>
      </c>
      <c r="BA39" s="203">
        <f>SUMIFS(領用表!$L:$L,領用表!$E:$E,$B39,領用表!$B:$B,BA$2&amp;$BI$1)</f>
        <v>0</v>
      </c>
      <c r="BB39" s="203">
        <f>SUMIFS(領用表!$L:$L,領用表!$E:$E,$B39,領用表!$B:$B,BB$2&amp;$BI$1)</f>
        <v>4</v>
      </c>
      <c r="BC39" s="203">
        <f>SUMIFS(領用表!$L:$L,領用表!$E:$E,$B39,領用表!$B:$B,BC$2&amp;$BI$1)</f>
        <v>7</v>
      </c>
      <c r="BD39" s="208">
        <f>SUMIFS(領用表!$L:$L,領用表!$E:$E,$B39,領用表!$B:$B,BD$2&amp;$BI$1)</f>
        <v>8</v>
      </c>
      <c r="BE39" s="208">
        <f>SUMIFS(領用表!$L:$L,領用表!$E:$E,$B39,領用表!$B:$B,BE$2&amp;$BI$1)</f>
        <v>4</v>
      </c>
      <c r="BF39" s="208">
        <f>SUMIFS(領用表!$L:$L,領用表!$E:$E,$B39,領用表!$B:$B,BF$2&amp;$BI$1)</f>
        <v>4</v>
      </c>
      <c r="BG39" s="207">
        <f t="shared" si="2"/>
        <v>27</v>
      </c>
      <c r="BH39" s="207">
        <f t="shared" si="3"/>
        <v>3.8571428571428572</v>
      </c>
      <c r="BI39" s="208">
        <f>SUMIFS(領用表!$L:$L,領用表!$E:$E,$B39,領用表!$B:$B,BI$2&amp;$BI$1)</f>
        <v>5</v>
      </c>
      <c r="BJ39" s="208">
        <f>SUMIFS(領用表!$L:$L,領用表!$E:$E,$B39,領用表!$B:$B,BJ$2&amp;$BI$1)</f>
        <v>3</v>
      </c>
      <c r="BK39" s="208">
        <f>SUMIFS(領用表!$L:$L,領用表!$E:$E,$B39,領用表!$B:$B,BK$2&amp;$BI$1)</f>
        <v>5</v>
      </c>
      <c r="BL39" s="208">
        <f>SUMIFS(領用表!$L:$L,領用表!$E:$E,$B39,領用表!$B:$B,BL$2&amp;$BI$1)</f>
        <v>5</v>
      </c>
      <c r="BM39" s="208">
        <f>SUMIFS(領用表!$L:$L,領用表!$E:$E,$B39,領用表!$B:$B,BM$2&amp;$BI$1)</f>
        <v>2</v>
      </c>
      <c r="BN39" s="208">
        <f>SUMIFS(領用表!$L:$L,領用表!$E:$E,$B39,領用表!$B:$B,BN$2&amp;$BI$1)</f>
        <v>0</v>
      </c>
      <c r="BO39" s="208">
        <f>SUMIFS(領用表!$L:$L,領用表!$E:$E,$B39,領用表!$B:$B,BO$2&amp;$BI$1)</f>
        <v>0</v>
      </c>
      <c r="BP39" s="208">
        <f>SUMIFS(領用表!$L:$L,領用表!$E:$E,$B39,領用表!$B:$B,BP$2&amp;$BI$1)</f>
        <v>0</v>
      </c>
      <c r="BQ39" s="208">
        <f>SUMIFS(領用表!$L:$L,領用表!$E:$E,$B39,領用表!$B:$B,BQ$2&amp;$BI$1)</f>
        <v>0</v>
      </c>
      <c r="BR39" s="208">
        <f>SUMIFS(領用表!$L:$L,領用表!$E:$E,$B39,領用表!$B:$B,BR$2&amp;$BI$1)</f>
        <v>0</v>
      </c>
      <c r="BS39" s="208">
        <f>SUMIFS(領用表!$L:$L,領用表!$E:$E,$B39,領用表!$B:$B,BS$2&amp;$BI$1)</f>
        <v>0</v>
      </c>
      <c r="BT39" s="208">
        <f>SUMIFS(領用表!$L:$L,領用表!$E:$E,$B39,領用表!$B:$B,BT$2&amp;$BI$1)</f>
        <v>0</v>
      </c>
      <c r="BU39" s="208">
        <f t="shared" si="4"/>
        <v>20</v>
      </c>
      <c r="BV39" s="208">
        <f t="shared" si="5"/>
        <v>4</v>
      </c>
      <c r="BW39" s="208">
        <f>SUMIF(Summary!B:B,B39,Summary!DT:DT)</f>
        <v>8</v>
      </c>
      <c r="BX39" s="215">
        <v>5</v>
      </c>
      <c r="BY39" s="466"/>
      <c r="BZ39" s="211"/>
      <c r="CA39" s="211"/>
      <c r="CB39" s="136"/>
      <c r="CC39" s="212"/>
      <c r="CE39" s="213"/>
    </row>
    <row r="40" spans="1:83" s="118" customFormat="1" ht="15.75" customHeight="1">
      <c r="A40" s="136" t="s">
        <v>65</v>
      </c>
      <c r="B40" s="118">
        <v>6150010</v>
      </c>
      <c r="C40" s="131" t="s">
        <v>481</v>
      </c>
      <c r="D40" s="228">
        <v>1</v>
      </c>
      <c r="E40" s="198" t="s">
        <v>15</v>
      </c>
      <c r="F40" s="349">
        <v>47</v>
      </c>
      <c r="G40" s="349">
        <v>43</v>
      </c>
      <c r="H40" s="349">
        <v>43</v>
      </c>
      <c r="I40" s="349">
        <v>43</v>
      </c>
      <c r="J40" s="349">
        <v>43</v>
      </c>
      <c r="K40" s="349">
        <v>43</v>
      </c>
      <c r="L40" s="349">
        <v>43</v>
      </c>
      <c r="M40" s="349">
        <v>43</v>
      </c>
      <c r="N40" s="349">
        <v>43</v>
      </c>
      <c r="O40" s="349">
        <v>43</v>
      </c>
      <c r="P40" s="349">
        <v>43</v>
      </c>
      <c r="Q40" s="349">
        <v>43</v>
      </c>
      <c r="R40" s="349">
        <v>43</v>
      </c>
      <c r="S40" s="349">
        <v>43</v>
      </c>
      <c r="T40" s="349">
        <v>43</v>
      </c>
      <c r="U40" s="349">
        <v>43</v>
      </c>
      <c r="V40" s="349">
        <v>43</v>
      </c>
      <c r="W40" s="349">
        <v>43</v>
      </c>
      <c r="X40" s="349">
        <v>43</v>
      </c>
      <c r="Y40" s="349">
        <v>43</v>
      </c>
      <c r="Z40" s="349">
        <v>43</v>
      </c>
      <c r="AA40" s="349">
        <v>43</v>
      </c>
      <c r="AB40" s="349">
        <v>43</v>
      </c>
      <c r="AC40" s="349">
        <v>43</v>
      </c>
      <c r="AD40" s="349">
        <v>43</v>
      </c>
      <c r="AE40" s="349">
        <v>43</v>
      </c>
      <c r="AF40" s="349">
        <v>43</v>
      </c>
      <c r="AG40" s="349">
        <v>43</v>
      </c>
      <c r="AH40" s="349">
        <v>43</v>
      </c>
      <c r="AI40" s="349">
        <v>43</v>
      </c>
      <c r="AJ40" s="349">
        <v>43</v>
      </c>
      <c r="AK40" s="349">
        <v>43</v>
      </c>
      <c r="AL40" s="349">
        <v>43</v>
      </c>
      <c r="AM40" s="349">
        <v>43</v>
      </c>
      <c r="AN40" s="349">
        <v>43</v>
      </c>
      <c r="AO40" s="349">
        <v>43</v>
      </c>
      <c r="AP40" s="349">
        <v>43</v>
      </c>
      <c r="AQ40" s="349">
        <v>43</v>
      </c>
      <c r="AR40" s="349">
        <v>43</v>
      </c>
      <c r="AS40" s="349">
        <v>43</v>
      </c>
      <c r="AT40" s="349">
        <v>43</v>
      </c>
      <c r="AU40" s="349">
        <v>43</v>
      </c>
      <c r="AV40" s="349">
        <v>43</v>
      </c>
      <c r="AW40" s="349">
        <v>43</v>
      </c>
      <c r="AX40" s="349">
        <v>43</v>
      </c>
      <c r="AY40" s="349">
        <v>43</v>
      </c>
      <c r="AZ40" s="203">
        <f>SUMIFS(領用表!$L:$L,領用表!$E:$E,$B40,領用表!$B:$B,AZ$2&amp;$BI$1)</f>
        <v>72</v>
      </c>
      <c r="BA40" s="203">
        <f>SUMIFS(領用表!$L:$L,領用表!$E:$E,$B40,領用表!$B:$B,BA$2&amp;$BI$1)</f>
        <v>27</v>
      </c>
      <c r="BB40" s="203">
        <f>SUMIFS(領用表!$L:$L,領用表!$E:$E,$B40,領用表!$B:$B,BB$2&amp;$BI$1)</f>
        <v>34</v>
      </c>
      <c r="BC40" s="203">
        <f>SUMIFS(領用表!$L:$L,領用表!$E:$E,$B40,領用表!$B:$B,BC$2&amp;$BI$1)</f>
        <v>36</v>
      </c>
      <c r="BD40" s="208">
        <f>SUMIFS(領用表!$L:$L,領用表!$E:$E,$B40,領用表!$B:$B,BD$2&amp;$BI$1)</f>
        <v>43</v>
      </c>
      <c r="BE40" s="208">
        <f>SUMIFS(領用表!$L:$L,領用表!$E:$E,$B40,領用表!$B:$B,BE$2&amp;$BI$1)</f>
        <v>32</v>
      </c>
      <c r="BF40" s="208">
        <f>SUMIFS(領用表!$L:$L,領用表!$E:$E,$B40,領用表!$B:$B,BF$2&amp;$BI$1)</f>
        <v>43</v>
      </c>
      <c r="BG40" s="207">
        <f t="shared" si="2"/>
        <v>502</v>
      </c>
      <c r="BH40" s="207">
        <f t="shared" si="3"/>
        <v>41.833333333333336</v>
      </c>
      <c r="BI40" s="208">
        <f>SUMIFS(領用表!$L:$L,領用表!$E:$E,$B40,領用表!$B:$B,BI$2&amp;$BI$1)</f>
        <v>45</v>
      </c>
      <c r="BJ40" s="208">
        <f>SUMIFS(領用表!$L:$L,領用表!$E:$E,$B40,領用表!$B:$B,BJ$2&amp;$BI$1)</f>
        <v>37</v>
      </c>
      <c r="BK40" s="208">
        <f>SUMIFS(領用表!$L:$L,領用表!$E:$E,$B40,領用表!$B:$B,BK$2&amp;$BI$1)</f>
        <v>44</v>
      </c>
      <c r="BL40" s="208">
        <f>SUMIFS(領用表!$L:$L,領用表!$E:$E,$B40,領用表!$B:$B,BL$2&amp;$BI$1)</f>
        <v>31</v>
      </c>
      <c r="BM40" s="208">
        <f>SUMIFS(領用表!$L:$L,領用表!$E:$E,$B40,領用表!$B:$B,BM$2&amp;$BI$1)</f>
        <v>17</v>
      </c>
      <c r="BN40" s="208">
        <f>SUMIFS(領用表!$L:$L,領用表!$E:$E,$B40,領用表!$B:$B,BN$2&amp;$BI$1)</f>
        <v>0</v>
      </c>
      <c r="BO40" s="208">
        <f>SUMIFS(領用表!$L:$L,領用表!$E:$E,$B40,領用表!$B:$B,BO$2&amp;$BI$1)</f>
        <v>0</v>
      </c>
      <c r="BP40" s="208">
        <f>SUMIFS(領用表!$L:$L,領用表!$E:$E,$B40,領用表!$B:$B,BP$2&amp;$BI$1)</f>
        <v>0</v>
      </c>
      <c r="BQ40" s="208">
        <f>SUMIFS(領用表!$L:$L,領用表!$E:$E,$B40,領用表!$B:$B,BQ$2&amp;$BI$1)</f>
        <v>0</v>
      </c>
      <c r="BR40" s="208">
        <f>SUMIFS(領用表!$L:$L,領用表!$E:$E,$B40,領用表!$B:$B,BR$2&amp;$BI$1)</f>
        <v>0</v>
      </c>
      <c r="BS40" s="208">
        <f>SUMIFS(領用表!$L:$L,領用表!$E:$E,$B40,領用表!$B:$B,BS$2&amp;$BI$1)</f>
        <v>0</v>
      </c>
      <c r="BT40" s="208">
        <f>SUMIFS(領用表!$L:$L,領用表!$E:$E,$B40,領用表!$B:$B,BT$2&amp;$BI$1)</f>
        <v>0</v>
      </c>
      <c r="BU40" s="208">
        <f t="shared" si="4"/>
        <v>174</v>
      </c>
      <c r="BV40" s="208">
        <f t="shared" si="5"/>
        <v>34.799999999999997</v>
      </c>
      <c r="BW40" s="208">
        <f>SUMIF(Summary!B:B,B40,Summary!DT:DT)</f>
        <v>50</v>
      </c>
      <c r="BX40" s="215">
        <v>60</v>
      </c>
      <c r="BY40" s="469"/>
      <c r="BZ40" s="211" t="s">
        <v>796</v>
      </c>
      <c r="CA40" s="211" t="s">
        <v>781</v>
      </c>
      <c r="CB40" s="136"/>
      <c r="CC40" s="212"/>
      <c r="CE40" s="213"/>
    </row>
    <row r="41" spans="1:83" s="118" customFormat="1" ht="15.75" customHeight="1">
      <c r="A41" s="136" t="s">
        <v>67</v>
      </c>
      <c r="B41" s="118">
        <v>6150011</v>
      </c>
      <c r="C41" s="131" t="s">
        <v>482</v>
      </c>
      <c r="D41" s="228">
        <v>1</v>
      </c>
      <c r="E41" s="198" t="s">
        <v>15</v>
      </c>
      <c r="F41" s="349">
        <v>5</v>
      </c>
      <c r="G41" s="349"/>
      <c r="H41" s="200">
        <v>0</v>
      </c>
      <c r="I41" s="200">
        <v>0</v>
      </c>
      <c r="J41" s="200">
        <v>0</v>
      </c>
      <c r="K41" s="200">
        <v>0</v>
      </c>
      <c r="L41" s="200">
        <v>0</v>
      </c>
      <c r="M41" s="200">
        <v>0</v>
      </c>
      <c r="N41" s="200">
        <v>0</v>
      </c>
      <c r="O41" s="200">
        <v>0</v>
      </c>
      <c r="P41" s="200">
        <v>0</v>
      </c>
      <c r="Q41" s="200">
        <v>0</v>
      </c>
      <c r="R41" s="200">
        <v>0</v>
      </c>
      <c r="S41" s="200">
        <v>0</v>
      </c>
      <c r="T41" s="200">
        <v>0</v>
      </c>
      <c r="U41" s="200">
        <v>0</v>
      </c>
      <c r="V41" s="200">
        <v>0</v>
      </c>
      <c r="W41" s="200">
        <v>0</v>
      </c>
      <c r="X41" s="200">
        <v>0</v>
      </c>
      <c r="Y41" s="200">
        <v>0</v>
      </c>
      <c r="Z41" s="200">
        <v>0</v>
      </c>
      <c r="AA41" s="200">
        <v>0</v>
      </c>
      <c r="AB41" s="200">
        <v>0</v>
      </c>
      <c r="AC41" s="200">
        <v>0</v>
      </c>
      <c r="AD41" s="200">
        <v>0</v>
      </c>
      <c r="AE41" s="200">
        <v>0</v>
      </c>
      <c r="AF41" s="200">
        <v>0</v>
      </c>
      <c r="AG41" s="201">
        <v>0</v>
      </c>
      <c r="AH41" s="201">
        <v>0</v>
      </c>
      <c r="AI41" s="201">
        <v>0</v>
      </c>
      <c r="AJ41" s="201">
        <v>0</v>
      </c>
      <c r="AK41" s="201">
        <v>0</v>
      </c>
      <c r="AL41" s="201">
        <v>0</v>
      </c>
      <c r="AM41" s="201">
        <v>0</v>
      </c>
      <c r="AN41" s="201">
        <v>0</v>
      </c>
      <c r="AO41" s="201">
        <v>0</v>
      </c>
      <c r="AP41" s="201">
        <v>0</v>
      </c>
      <c r="AQ41" s="202">
        <v>0</v>
      </c>
      <c r="AR41" s="203">
        <v>5.5</v>
      </c>
      <c r="AS41" s="204">
        <f>SUM(AG41:AR41)</f>
        <v>5.5</v>
      </c>
      <c r="AT41" s="205">
        <f>AS41/12</f>
        <v>0.45833333333333331</v>
      </c>
      <c r="AU41" s="203">
        <v>2</v>
      </c>
      <c r="AV41" s="203">
        <v>5</v>
      </c>
      <c r="AW41" s="203">
        <v>4</v>
      </c>
      <c r="AX41" s="203">
        <v>18</v>
      </c>
      <c r="AY41" s="203">
        <v>9</v>
      </c>
      <c r="AZ41" s="203">
        <f>SUMIFS(領用表!$L:$L,領用表!$E:$E,$B41,領用表!$B:$B,AZ$2&amp;$BI$1)</f>
        <v>10</v>
      </c>
      <c r="BA41" s="203">
        <f>SUMIFS(領用表!$L:$L,領用表!$E:$E,$B41,領用表!$B:$B,BA$2&amp;$BI$1)</f>
        <v>4</v>
      </c>
      <c r="BB41" s="203">
        <f>SUMIFS(領用表!$L:$L,領用表!$E:$E,$B41,領用表!$B:$B,BB$2&amp;$BI$1)</f>
        <v>7</v>
      </c>
      <c r="BC41" s="203">
        <f>SUMIFS(領用表!$L:$L,領用表!$E:$E,$B41,領用表!$B:$B,BC$2&amp;$BI$1)</f>
        <v>3</v>
      </c>
      <c r="BD41" s="208">
        <f>SUMIFS(領用表!$L:$L,領用表!$E:$E,$B41,領用表!$B:$B,BD$2&amp;$BI$1)</f>
        <v>4</v>
      </c>
      <c r="BE41" s="208">
        <f>SUMIFS(領用表!$L:$L,領用表!$E:$E,$B41,領用表!$B:$B,BE$2&amp;$BI$1)</f>
        <v>2</v>
      </c>
      <c r="BF41" s="208">
        <f>SUMIFS(領用表!$L:$L,領用表!$E:$E,$B41,領用表!$B:$B,BF$2&amp;$BI$1)</f>
        <v>5</v>
      </c>
      <c r="BG41" s="207">
        <f t="shared" ref="BG41:BG72" si="12">SUM(AU41,AV41,AW41,AX41,AY41,AZ41,BA41,BB41,BC41,BD41,BE41,BF41)</f>
        <v>73</v>
      </c>
      <c r="BH41" s="207">
        <f t="shared" ref="BH41:BH72" si="13">AVERAGE(AU41,AV41,AW41,AX41,AY41,AZ41,BA41,BB41,BC41,BD41,BE41,BF41)</f>
        <v>6.083333333333333</v>
      </c>
      <c r="BI41" s="208">
        <f>SUMIFS(領用表!$L:$L,領用表!$E:$E,$B41,領用表!$B:$B,BI$2&amp;$BI$1)</f>
        <v>1</v>
      </c>
      <c r="BJ41" s="208">
        <f>SUMIFS(領用表!$L:$L,領用表!$E:$E,$B41,領用表!$B:$B,BJ$2&amp;$BI$1)</f>
        <v>5</v>
      </c>
      <c r="BK41" s="208">
        <f>SUMIFS(領用表!$L:$L,領用表!$E:$E,$B41,領用表!$B:$B,BK$2&amp;$BI$1)</f>
        <v>4</v>
      </c>
      <c r="BL41" s="208">
        <f>SUMIFS(領用表!$L:$L,領用表!$E:$E,$B41,領用表!$B:$B,BL$2&amp;$BI$1)</f>
        <v>0</v>
      </c>
      <c r="BM41" s="208">
        <f>SUMIFS(領用表!$L:$L,領用表!$E:$E,$B41,領用表!$B:$B,BM$2&amp;$BI$1)</f>
        <v>0</v>
      </c>
      <c r="BN41" s="208">
        <f>SUMIFS(領用表!$L:$L,領用表!$E:$E,$B41,領用表!$B:$B,BN$2&amp;$BI$1)</f>
        <v>0</v>
      </c>
      <c r="BO41" s="208">
        <f>SUMIFS(領用表!$L:$L,領用表!$E:$E,$B41,領用表!$B:$B,BO$2&amp;$BI$1)</f>
        <v>0</v>
      </c>
      <c r="BP41" s="208">
        <f>SUMIFS(領用表!$L:$L,領用表!$E:$E,$B41,領用表!$B:$B,BP$2&amp;$BI$1)</f>
        <v>0</v>
      </c>
      <c r="BQ41" s="208">
        <f>SUMIFS(領用表!$L:$L,領用表!$E:$E,$B41,領用表!$B:$B,BQ$2&amp;$BI$1)</f>
        <v>0</v>
      </c>
      <c r="BR41" s="208">
        <f>SUMIFS(領用表!$L:$L,領用表!$E:$E,$B41,領用表!$B:$B,BR$2&amp;$BI$1)</f>
        <v>0</v>
      </c>
      <c r="BS41" s="208">
        <f>SUMIFS(領用表!$L:$L,領用表!$E:$E,$B41,領用表!$B:$B,BS$2&amp;$BI$1)</f>
        <v>0</v>
      </c>
      <c r="BT41" s="208">
        <f>SUMIFS(領用表!$L:$L,領用表!$E:$E,$B41,領用表!$B:$B,BT$2&amp;$BI$1)</f>
        <v>0</v>
      </c>
      <c r="BU41" s="208">
        <f t="shared" si="4"/>
        <v>10</v>
      </c>
      <c r="BV41" s="208">
        <f t="shared" si="5"/>
        <v>2</v>
      </c>
      <c r="BW41" s="208">
        <f>SUMIF(Summary!B:B,B41,Summary!DT:DT)</f>
        <v>5</v>
      </c>
      <c r="BX41" s="215">
        <v>10</v>
      </c>
      <c r="BY41" s="466"/>
      <c r="BZ41" s="211"/>
      <c r="CA41" s="211"/>
      <c r="CB41" s="136"/>
      <c r="CC41" s="212"/>
      <c r="CE41" s="213"/>
    </row>
    <row r="42" spans="1:83" s="118" customFormat="1">
      <c r="A42" s="136" t="s">
        <v>68</v>
      </c>
      <c r="B42" s="118">
        <v>6160002</v>
      </c>
      <c r="C42" s="411" t="s">
        <v>874</v>
      </c>
      <c r="D42" s="197">
        <v>2</v>
      </c>
      <c r="E42" s="198" t="s">
        <v>15</v>
      </c>
      <c r="F42" s="349">
        <v>50</v>
      </c>
      <c r="G42" s="349"/>
      <c r="H42" s="200">
        <v>1</v>
      </c>
      <c r="I42" s="200">
        <v>2</v>
      </c>
      <c r="J42" s="200">
        <v>0</v>
      </c>
      <c r="K42" s="200">
        <v>1</v>
      </c>
      <c r="L42" s="200">
        <v>0</v>
      </c>
      <c r="M42" s="200">
        <v>1.5</v>
      </c>
      <c r="N42" s="200">
        <v>0.5</v>
      </c>
      <c r="O42" s="200">
        <v>0.5</v>
      </c>
      <c r="P42" s="200">
        <v>4.5</v>
      </c>
      <c r="Q42" s="200">
        <v>6.5</v>
      </c>
      <c r="R42" s="200">
        <v>3.5</v>
      </c>
      <c r="S42" s="200">
        <v>7</v>
      </c>
      <c r="T42" s="200">
        <v>3.5</v>
      </c>
      <c r="U42" s="200">
        <v>18</v>
      </c>
      <c r="V42" s="200">
        <v>9.5</v>
      </c>
      <c r="W42" s="200">
        <v>18</v>
      </c>
      <c r="X42" s="200">
        <v>17</v>
      </c>
      <c r="Y42" s="200">
        <v>14</v>
      </c>
      <c r="Z42" s="200">
        <v>4</v>
      </c>
      <c r="AA42" s="200">
        <v>22.5</v>
      </c>
      <c r="AB42" s="200">
        <v>23.5</v>
      </c>
      <c r="AC42" s="200">
        <v>13</v>
      </c>
      <c r="AD42" s="200">
        <v>13.5</v>
      </c>
      <c r="AE42" s="200">
        <v>21</v>
      </c>
      <c r="AF42" s="200">
        <v>16.5</v>
      </c>
      <c r="AG42" s="201">
        <v>41</v>
      </c>
      <c r="AH42" s="201">
        <v>10.5</v>
      </c>
      <c r="AI42" s="201">
        <v>16</v>
      </c>
      <c r="AJ42" s="201">
        <v>17.5</v>
      </c>
      <c r="AK42" s="201">
        <v>11.5</v>
      </c>
      <c r="AL42" s="201">
        <v>27</v>
      </c>
      <c r="AM42" s="201">
        <v>16.5</v>
      </c>
      <c r="AN42" s="201">
        <v>69</v>
      </c>
      <c r="AO42" s="201">
        <v>37</v>
      </c>
      <c r="AP42" s="201">
        <v>22</v>
      </c>
      <c r="AQ42" s="202">
        <v>33.5</v>
      </c>
      <c r="AR42" s="203">
        <v>81</v>
      </c>
      <c r="AS42" s="204">
        <f>SUM(AG42:AR42)</f>
        <v>382.5</v>
      </c>
      <c r="AT42" s="205">
        <f>AS42/12</f>
        <v>31.875</v>
      </c>
      <c r="AU42" s="203">
        <v>83</v>
      </c>
      <c r="AV42" s="203">
        <v>92</v>
      </c>
      <c r="AW42" s="203">
        <v>76</v>
      </c>
      <c r="AX42" s="214">
        <v>106</v>
      </c>
      <c r="AY42" s="203">
        <v>106</v>
      </c>
      <c r="AZ42" s="203">
        <f>SUMIFS(領用表!$L:$L,領用表!$E:$E,$B42,領用表!$B:$B,AZ$2&amp;$BI$1)</f>
        <v>78</v>
      </c>
      <c r="BA42" s="203">
        <f>SUMIFS(領用表!$L:$L,領用表!$E:$E,$B42,領用表!$B:$B,BA$2&amp;$BI$1)</f>
        <v>58</v>
      </c>
      <c r="BB42" s="203">
        <f>SUMIFS(領用表!$L:$L,領用表!$E:$E,$B42,領用表!$B:$B,BB$2&amp;$BI$1)</f>
        <v>83</v>
      </c>
      <c r="BC42" s="203">
        <f>SUMIFS(領用表!$L:$L,領用表!$E:$E,$B42,領用表!$B:$B,BC$2&amp;$BI$1)</f>
        <v>53</v>
      </c>
      <c r="BD42" s="208">
        <f>SUMIFS(領用表!$L:$L,領用表!$E:$E,$B42,領用表!$B:$B,BD$2&amp;$BI$1)</f>
        <v>78</v>
      </c>
      <c r="BE42" s="208">
        <f>SUMIFS(領用表!$L:$L,領用表!$E:$E,$B42,領用表!$B:$B,BE$2&amp;$BI$1)</f>
        <v>48</v>
      </c>
      <c r="BF42" s="208">
        <f>SUMIFS(領用表!$L:$L,領用表!$E:$E,$B42,領用表!$B:$B,BF$2&amp;$BI$1)</f>
        <v>58</v>
      </c>
      <c r="BG42" s="207">
        <f t="shared" si="12"/>
        <v>919</v>
      </c>
      <c r="BH42" s="207">
        <f t="shared" si="13"/>
        <v>76.583333333333329</v>
      </c>
      <c r="BI42" s="208">
        <f>SUMIFS(領用表!$L:$L,領用表!$E:$E,$B42,領用表!$B:$B,BI$2&amp;$BI$1)</f>
        <v>69</v>
      </c>
      <c r="BJ42" s="208">
        <f>SUMIFS(領用表!$L:$L,領用表!$E:$E,$B42,領用表!$B:$B,BJ$2&amp;$BI$1)</f>
        <v>82</v>
      </c>
      <c r="BK42" s="208">
        <f>SUMIFS(領用表!$L:$L,領用表!$E:$E,$B42,領用表!$B:$B,BK$2&amp;$BI$1)</f>
        <v>43</v>
      </c>
      <c r="BL42" s="208">
        <f>SUMIFS(領用表!$L:$L,領用表!$E:$E,$B42,領用表!$B:$B,BL$2&amp;$BI$1)</f>
        <v>88</v>
      </c>
      <c r="BM42" s="208">
        <f>SUMIFS(領用表!$L:$L,領用表!$E:$E,$B42,領用表!$B:$B,BM$2&amp;$BI$1)</f>
        <v>69</v>
      </c>
      <c r="BN42" s="208">
        <f>SUMIFS(領用表!$L:$L,領用表!$E:$E,$B42,領用表!$B:$B,BN$2&amp;$BI$1)</f>
        <v>0</v>
      </c>
      <c r="BO42" s="208">
        <f>SUMIFS(領用表!$L:$L,領用表!$E:$E,$B42,領用表!$B:$B,BO$2&amp;$BI$1)</f>
        <v>0</v>
      </c>
      <c r="BP42" s="208">
        <f>SUMIFS(領用表!$L:$L,領用表!$E:$E,$B42,領用表!$B:$B,BP$2&amp;$BI$1)</f>
        <v>0</v>
      </c>
      <c r="BQ42" s="208">
        <f>SUMIFS(領用表!$L:$L,領用表!$E:$E,$B42,領用表!$B:$B,BQ$2&amp;$BI$1)</f>
        <v>0</v>
      </c>
      <c r="BR42" s="208">
        <f>SUMIFS(領用表!$L:$L,領用表!$E:$E,$B42,領用表!$B:$B,BR$2&amp;$BI$1)</f>
        <v>0</v>
      </c>
      <c r="BS42" s="208">
        <f>SUMIFS(領用表!$L:$L,領用表!$E:$E,$B42,領用表!$B:$B,BS$2&amp;$BI$1)</f>
        <v>0</v>
      </c>
      <c r="BT42" s="208">
        <f>SUMIFS(領用表!$L:$L,領用表!$E:$E,$B42,領用表!$B:$B,BT$2&amp;$BI$1)</f>
        <v>0</v>
      </c>
      <c r="BU42" s="208">
        <f t="shared" si="4"/>
        <v>351</v>
      </c>
      <c r="BV42" s="208">
        <f t="shared" si="5"/>
        <v>70.2</v>
      </c>
      <c r="BW42" s="208">
        <f>SUMIF(Summary!B:B,B42,Summary!DT:DT)</f>
        <v>70</v>
      </c>
      <c r="BX42" s="215">
        <v>90</v>
      </c>
      <c r="BY42" s="210"/>
      <c r="BZ42" s="211" t="s">
        <v>797</v>
      </c>
      <c r="CA42" s="211" t="s">
        <v>798</v>
      </c>
      <c r="CB42" s="136"/>
      <c r="CC42" s="212"/>
      <c r="CE42" s="213"/>
    </row>
    <row r="43" spans="1:83" s="118" customFormat="1" ht="15" customHeight="1">
      <c r="A43" s="136" t="s">
        <v>71</v>
      </c>
      <c r="B43" s="118">
        <v>6160003</v>
      </c>
      <c r="C43" s="411" t="s">
        <v>876</v>
      </c>
      <c r="D43" s="197">
        <v>2</v>
      </c>
      <c r="E43" s="198" t="s">
        <v>15</v>
      </c>
      <c r="F43" s="349">
        <v>10</v>
      </c>
      <c r="G43" s="349"/>
      <c r="H43" s="251">
        <v>0.5</v>
      </c>
      <c r="I43" s="251">
        <v>0</v>
      </c>
      <c r="J43" s="251">
        <v>0</v>
      </c>
      <c r="K43" s="251">
        <v>0</v>
      </c>
      <c r="L43" s="251">
        <v>0</v>
      </c>
      <c r="M43" s="251">
        <v>0</v>
      </c>
      <c r="N43" s="251">
        <v>1</v>
      </c>
      <c r="O43" s="251">
        <v>0</v>
      </c>
      <c r="P43" s="251">
        <v>1</v>
      </c>
      <c r="Q43" s="251">
        <v>0</v>
      </c>
      <c r="R43" s="251">
        <v>0</v>
      </c>
      <c r="S43" s="251">
        <v>0</v>
      </c>
      <c r="T43" s="251">
        <v>0</v>
      </c>
      <c r="U43" s="251">
        <v>1</v>
      </c>
      <c r="V43" s="251">
        <v>3.5</v>
      </c>
      <c r="W43" s="251">
        <v>5.5</v>
      </c>
      <c r="X43" s="251">
        <v>4</v>
      </c>
      <c r="Y43" s="251">
        <v>2</v>
      </c>
      <c r="Z43" s="251">
        <v>0</v>
      </c>
      <c r="AA43" s="251">
        <v>2</v>
      </c>
      <c r="AB43" s="251">
        <v>0</v>
      </c>
      <c r="AC43" s="251">
        <v>0</v>
      </c>
      <c r="AD43" s="251">
        <v>1.5</v>
      </c>
      <c r="AE43" s="251">
        <v>1</v>
      </c>
      <c r="AF43" s="251">
        <v>0</v>
      </c>
      <c r="AG43" s="252">
        <v>4.5</v>
      </c>
      <c r="AH43" s="252">
        <v>0</v>
      </c>
      <c r="AI43" s="252">
        <v>4</v>
      </c>
      <c r="AJ43" s="252">
        <v>3</v>
      </c>
      <c r="AK43" s="252">
        <v>6</v>
      </c>
      <c r="AL43" s="252">
        <v>2</v>
      </c>
      <c r="AM43" s="252">
        <v>9</v>
      </c>
      <c r="AN43" s="252">
        <v>17</v>
      </c>
      <c r="AO43" s="252">
        <v>10.5</v>
      </c>
      <c r="AP43" s="252">
        <v>4.5</v>
      </c>
      <c r="AQ43" s="253">
        <v>6</v>
      </c>
      <c r="AR43" s="254">
        <v>28</v>
      </c>
      <c r="AS43" s="204">
        <f>SUM(AG43:AR43)</f>
        <v>94.5</v>
      </c>
      <c r="AT43" s="205">
        <f>AS43/12</f>
        <v>7.875</v>
      </c>
      <c r="AU43" s="203">
        <v>3</v>
      </c>
      <c r="AV43" s="203">
        <v>6</v>
      </c>
      <c r="AW43" s="203">
        <v>16</v>
      </c>
      <c r="AX43" s="203">
        <v>12</v>
      </c>
      <c r="AY43" s="203">
        <v>9</v>
      </c>
      <c r="AZ43" s="203">
        <f>SUMIFS(領用表!$L:$L,領用表!$E:$E,$B43,領用表!$B:$B,AZ$2&amp;$BI$1)</f>
        <v>11</v>
      </c>
      <c r="BA43" s="203">
        <f>SUMIFS(領用表!$L:$L,領用表!$E:$E,$B43,領用表!$B:$B,BA$2&amp;$BI$1)</f>
        <v>4</v>
      </c>
      <c r="BB43" s="203">
        <f>SUMIFS(領用表!$L:$L,領用表!$E:$E,$B43,領用表!$B:$B,BB$2&amp;$BI$1)</f>
        <v>11</v>
      </c>
      <c r="BC43" s="203">
        <f>SUMIFS(領用表!$L:$L,領用表!$E:$E,$B43,領用表!$B:$B,BC$2&amp;$BI$1)</f>
        <v>6</v>
      </c>
      <c r="BD43" s="208">
        <f>SUMIFS(領用表!$L:$L,領用表!$E:$E,$B43,領用表!$B:$B,BD$2&amp;$BI$1)</f>
        <v>23</v>
      </c>
      <c r="BE43" s="208">
        <f>SUMIFS(領用表!$L:$L,領用表!$E:$E,$B43,領用表!$B:$B,BE$2&amp;$BI$1)</f>
        <v>14</v>
      </c>
      <c r="BF43" s="208">
        <f>SUMIFS(領用表!$L:$L,領用表!$E:$E,$B43,領用表!$B:$B,BF$2&amp;$BI$1)</f>
        <v>20</v>
      </c>
      <c r="BG43" s="207">
        <f t="shared" si="12"/>
        <v>135</v>
      </c>
      <c r="BH43" s="207">
        <f t="shared" si="13"/>
        <v>11.25</v>
      </c>
      <c r="BI43" s="208">
        <f>SUMIFS(領用表!$L:$L,領用表!$E:$E,$B43,領用表!$B:$B,BI$2&amp;$BI$1)</f>
        <v>13</v>
      </c>
      <c r="BJ43" s="208">
        <f>SUMIFS(領用表!$L:$L,領用表!$E:$E,$B43,領用表!$B:$B,BJ$2&amp;$BI$1)</f>
        <v>6</v>
      </c>
      <c r="BK43" s="208">
        <f>SUMIFS(領用表!$L:$L,領用表!$E:$E,$B43,領用表!$B:$B,BK$2&amp;$BI$1)</f>
        <v>32</v>
      </c>
      <c r="BL43" s="208">
        <f>SUMIFS(領用表!$L:$L,領用表!$E:$E,$B43,領用表!$B:$B,BL$2&amp;$BI$1)</f>
        <v>13</v>
      </c>
      <c r="BM43" s="208">
        <f>SUMIFS(領用表!$L:$L,領用表!$E:$E,$B43,領用表!$B:$B,BM$2&amp;$BI$1)</f>
        <v>13</v>
      </c>
      <c r="BN43" s="208">
        <f>SUMIFS(領用表!$L:$L,領用表!$E:$E,$B43,領用表!$B:$B,BN$2&amp;$BI$1)</f>
        <v>0</v>
      </c>
      <c r="BO43" s="208">
        <f>SUMIFS(領用表!$L:$L,領用表!$E:$E,$B43,領用表!$B:$B,BO$2&amp;$BI$1)</f>
        <v>0</v>
      </c>
      <c r="BP43" s="208">
        <f>SUMIFS(領用表!$L:$L,領用表!$E:$E,$B43,領用表!$B:$B,BP$2&amp;$BI$1)</f>
        <v>0</v>
      </c>
      <c r="BQ43" s="208">
        <f>SUMIFS(領用表!$L:$L,領用表!$E:$E,$B43,領用表!$B:$B,BQ$2&amp;$BI$1)</f>
        <v>0</v>
      </c>
      <c r="BR43" s="208">
        <f>SUMIFS(領用表!$L:$L,領用表!$E:$E,$B43,領用表!$B:$B,BR$2&amp;$BI$1)</f>
        <v>0</v>
      </c>
      <c r="BS43" s="208">
        <f>SUMIFS(領用表!$L:$L,領用表!$E:$E,$B43,領用表!$B:$B,BS$2&amp;$BI$1)</f>
        <v>0</v>
      </c>
      <c r="BT43" s="208">
        <f>SUMIFS(領用表!$L:$L,領用表!$E:$E,$B43,領用表!$B:$B,BT$2&amp;$BI$1)</f>
        <v>0</v>
      </c>
      <c r="BU43" s="208">
        <f t="shared" si="4"/>
        <v>77</v>
      </c>
      <c r="BV43" s="208">
        <f t="shared" si="5"/>
        <v>15.4</v>
      </c>
      <c r="BW43" s="208">
        <f>SUMIF(Summary!B:B,B43,Summary!DT:DT)</f>
        <v>20</v>
      </c>
      <c r="BX43" s="215">
        <v>12</v>
      </c>
      <c r="BY43" s="210">
        <v>0</v>
      </c>
      <c r="BZ43" s="211"/>
      <c r="CA43" s="211"/>
      <c r="CB43" s="255"/>
      <c r="CC43" s="256"/>
      <c r="CD43" s="361"/>
      <c r="CE43" s="362"/>
    </row>
    <row r="44" spans="1:83" s="118" customFormat="1" ht="15.75" customHeight="1">
      <c r="A44" s="136" t="s">
        <v>72</v>
      </c>
      <c r="B44" s="118">
        <v>6150013</v>
      </c>
      <c r="C44" s="131" t="s">
        <v>483</v>
      </c>
      <c r="D44" s="197">
        <v>1</v>
      </c>
      <c r="E44" s="198" t="s">
        <v>15</v>
      </c>
      <c r="F44" s="349">
        <v>11</v>
      </c>
      <c r="G44" s="349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200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  <c r="AQ44" s="202"/>
      <c r="AR44" s="203"/>
      <c r="AS44" s="204"/>
      <c r="AT44" s="205"/>
      <c r="AU44" s="203"/>
      <c r="AV44" s="203"/>
      <c r="AW44" s="203"/>
      <c r="AX44" s="203"/>
      <c r="AY44" s="203"/>
      <c r="AZ44" s="203">
        <f>SUMIFS(領用表!$L:$L,領用表!$E:$E,$B44,領用表!$B:$B,AZ$2&amp;$BI$1)</f>
        <v>0</v>
      </c>
      <c r="BA44" s="203">
        <f>SUMIFS(領用表!$L:$L,領用表!$E:$E,$B44,領用表!$B:$B,BA$2&amp;$BI$1)</f>
        <v>0</v>
      </c>
      <c r="BB44" s="203">
        <f>SUMIFS(領用表!$L:$L,領用表!$E:$E,$B44,領用表!$B:$B,BB$2&amp;$BI$1)</f>
        <v>8</v>
      </c>
      <c r="BC44" s="203">
        <f>SUMIFS(領用表!$L:$L,領用表!$E:$E,$B44,領用表!$B:$B,BC$2&amp;$BI$1)</f>
        <v>17</v>
      </c>
      <c r="BD44" s="208">
        <f>SUMIFS(領用表!$L:$L,領用表!$E:$E,$B44,領用表!$B:$B,BD$2&amp;$BI$1)</f>
        <v>25</v>
      </c>
      <c r="BE44" s="208">
        <f>SUMIFS(領用表!$L:$L,領用表!$E:$E,$B44,領用表!$B:$B,BE$2&amp;$BI$1)</f>
        <v>17</v>
      </c>
      <c r="BF44" s="208">
        <f>SUMIFS(領用表!$L:$L,領用表!$E:$E,$B44,領用表!$B:$B,BF$2&amp;$BI$1)</f>
        <v>11</v>
      </c>
      <c r="BG44" s="207">
        <f t="shared" si="12"/>
        <v>78</v>
      </c>
      <c r="BH44" s="207">
        <f t="shared" si="13"/>
        <v>11.142857142857142</v>
      </c>
      <c r="BI44" s="208">
        <f>SUMIFS(領用表!$L:$L,領用表!$E:$E,$B44,領用表!$B:$B,BI$2&amp;$BI$1)</f>
        <v>13</v>
      </c>
      <c r="BJ44" s="208">
        <f>SUMIFS(領用表!$L:$L,領用表!$E:$E,$B44,領用表!$B:$B,BJ$2&amp;$BI$1)</f>
        <v>14</v>
      </c>
      <c r="BK44" s="208">
        <f>SUMIFS(領用表!$L:$L,領用表!$E:$E,$B44,領用表!$B:$B,BK$2&amp;$BI$1)</f>
        <v>14</v>
      </c>
      <c r="BL44" s="208">
        <f>SUMIFS(領用表!$L:$L,領用表!$E:$E,$B44,領用表!$B:$B,BL$2&amp;$BI$1)</f>
        <v>20</v>
      </c>
      <c r="BM44" s="208">
        <f>SUMIFS(領用表!$L:$L,領用表!$E:$E,$B44,領用表!$B:$B,BM$2&amp;$BI$1)</f>
        <v>20</v>
      </c>
      <c r="BN44" s="208">
        <f>SUMIFS(領用表!$L:$L,領用表!$E:$E,$B44,領用表!$B:$B,BN$2&amp;$BI$1)</f>
        <v>0</v>
      </c>
      <c r="BO44" s="208">
        <f>SUMIFS(領用表!$L:$L,領用表!$E:$E,$B44,領用表!$B:$B,BO$2&amp;$BI$1)</f>
        <v>0</v>
      </c>
      <c r="BP44" s="208">
        <f>SUMIFS(領用表!$L:$L,領用表!$E:$E,$B44,領用表!$B:$B,BP$2&amp;$BI$1)</f>
        <v>0</v>
      </c>
      <c r="BQ44" s="208">
        <f>SUMIFS(領用表!$L:$L,領用表!$E:$E,$B44,領用表!$B:$B,BQ$2&amp;$BI$1)</f>
        <v>0</v>
      </c>
      <c r="BR44" s="208">
        <f>SUMIFS(領用表!$L:$L,領用表!$E:$E,$B44,領用表!$B:$B,BR$2&amp;$BI$1)</f>
        <v>0</v>
      </c>
      <c r="BS44" s="208">
        <f>SUMIFS(領用表!$L:$L,領用表!$E:$E,$B44,領用表!$B:$B,BS$2&amp;$BI$1)</f>
        <v>0</v>
      </c>
      <c r="BT44" s="208">
        <f>SUMIFS(領用表!$L:$L,領用表!$E:$E,$B44,領用表!$B:$B,BT$2&amp;$BI$1)</f>
        <v>0</v>
      </c>
      <c r="BU44" s="208">
        <f t="shared" si="4"/>
        <v>81</v>
      </c>
      <c r="BV44" s="208">
        <f t="shared" si="5"/>
        <v>16.2</v>
      </c>
      <c r="BW44" s="208">
        <f>SUMIF(Summary!B:B,B44,Summary!DT:DT)</f>
        <v>16</v>
      </c>
      <c r="BX44" s="215">
        <v>8</v>
      </c>
      <c r="BY44" s="210"/>
      <c r="BZ44" s="211" t="s">
        <v>799</v>
      </c>
      <c r="CA44" s="211" t="s">
        <v>800</v>
      </c>
      <c r="CB44" s="136"/>
      <c r="CC44" s="212"/>
      <c r="CE44" s="213"/>
    </row>
    <row r="45" spans="1:83" s="118" customFormat="1" ht="15.75" customHeight="1">
      <c r="A45" s="136" t="s">
        <v>75</v>
      </c>
      <c r="B45" s="118">
        <v>6160005</v>
      </c>
      <c r="C45" s="133" t="s">
        <v>484</v>
      </c>
      <c r="D45" s="197">
        <v>1</v>
      </c>
      <c r="E45" s="198" t="s">
        <v>15</v>
      </c>
      <c r="F45" s="349">
        <v>61</v>
      </c>
      <c r="G45" s="349">
        <v>45</v>
      </c>
      <c r="H45" s="200">
        <v>0</v>
      </c>
      <c r="I45" s="200">
        <v>0</v>
      </c>
      <c r="J45" s="200">
        <v>0</v>
      </c>
      <c r="K45" s="200">
        <v>0</v>
      </c>
      <c r="L45" s="200">
        <v>0</v>
      </c>
      <c r="M45" s="200">
        <v>0</v>
      </c>
      <c r="N45" s="200">
        <v>0</v>
      </c>
      <c r="O45" s="200">
        <v>0</v>
      </c>
      <c r="P45" s="200">
        <v>0</v>
      </c>
      <c r="Q45" s="200">
        <v>0</v>
      </c>
      <c r="R45" s="200">
        <v>0</v>
      </c>
      <c r="S45" s="200">
        <v>0</v>
      </c>
      <c r="T45" s="200">
        <v>0</v>
      </c>
      <c r="U45" s="200">
        <v>0</v>
      </c>
      <c r="V45" s="200">
        <v>0</v>
      </c>
      <c r="W45" s="200">
        <v>0</v>
      </c>
      <c r="X45" s="200">
        <v>0</v>
      </c>
      <c r="Y45" s="200">
        <v>0</v>
      </c>
      <c r="Z45" s="200">
        <v>0</v>
      </c>
      <c r="AA45" s="200">
        <v>0</v>
      </c>
      <c r="AB45" s="200">
        <v>0</v>
      </c>
      <c r="AC45" s="200">
        <v>0</v>
      </c>
      <c r="AD45" s="200">
        <v>0</v>
      </c>
      <c r="AE45" s="200">
        <v>0</v>
      </c>
      <c r="AF45" s="200">
        <v>0</v>
      </c>
      <c r="AG45" s="201">
        <v>0</v>
      </c>
      <c r="AH45" s="201">
        <v>0</v>
      </c>
      <c r="AI45" s="201">
        <v>0</v>
      </c>
      <c r="AJ45" s="201">
        <v>0</v>
      </c>
      <c r="AK45" s="201">
        <v>0</v>
      </c>
      <c r="AL45" s="201">
        <v>0</v>
      </c>
      <c r="AM45" s="201">
        <v>0</v>
      </c>
      <c r="AN45" s="201">
        <v>2</v>
      </c>
      <c r="AO45" s="201">
        <v>3</v>
      </c>
      <c r="AP45" s="201">
        <v>1</v>
      </c>
      <c r="AQ45" s="202">
        <v>0</v>
      </c>
      <c r="AR45" s="203">
        <v>4</v>
      </c>
      <c r="AS45" s="204">
        <f>SUM(AG45:AR45)</f>
        <v>10</v>
      </c>
      <c r="AT45" s="205">
        <f>AS45/12</f>
        <v>0.83333333333333337</v>
      </c>
      <c r="AU45" s="203">
        <v>3</v>
      </c>
      <c r="AV45" s="203">
        <v>4</v>
      </c>
      <c r="AW45" s="203">
        <v>3</v>
      </c>
      <c r="AX45" s="203">
        <v>2</v>
      </c>
      <c r="AY45" s="203">
        <v>6</v>
      </c>
      <c r="AZ45" s="203">
        <f>SUMIFS(領用表!$L:$L,領用表!$E:$E,$B45,領用表!$B:$B,AZ$2&amp;$BI$1)</f>
        <v>4</v>
      </c>
      <c r="BA45" s="203">
        <f>SUMIFS(領用表!$L:$L,領用表!$E:$E,$B45,領用表!$B:$B,BA$2&amp;$BI$1)</f>
        <v>8</v>
      </c>
      <c r="BB45" s="203">
        <f>SUMIFS(領用表!$L:$L,領用表!$E:$E,$B45,領用表!$B:$B,BB$2&amp;$BI$1)</f>
        <v>20</v>
      </c>
      <c r="BC45" s="203">
        <f>SUMIFS(領用表!$L:$L,領用表!$E:$E,$B45,領用表!$B:$B,BC$2&amp;$BI$1)</f>
        <v>14</v>
      </c>
      <c r="BD45" s="208">
        <f>SUMIFS(領用表!$L:$L,領用表!$E:$E,$B45,領用表!$B:$B,BD$2&amp;$BI$1)</f>
        <v>35</v>
      </c>
      <c r="BE45" s="208">
        <f>SUMIFS(領用表!$L:$L,領用表!$E:$E,$B45,領用表!$B:$B,BE$2&amp;$BI$1)</f>
        <v>26</v>
      </c>
      <c r="BF45" s="208">
        <f>SUMIFS(領用表!$L:$L,領用表!$E:$E,$B45,領用表!$B:$B,BF$2&amp;$BI$1)</f>
        <v>31</v>
      </c>
      <c r="BG45" s="207">
        <f t="shared" si="12"/>
        <v>156</v>
      </c>
      <c r="BH45" s="207">
        <f t="shared" si="13"/>
        <v>13</v>
      </c>
      <c r="BI45" s="208">
        <f>SUMIFS(領用表!$L:$L,領用表!$E:$E,$B45,領用表!$B:$B,BI$2&amp;$BI$1)</f>
        <v>23</v>
      </c>
      <c r="BJ45" s="208">
        <f>SUMIFS(領用表!$L:$L,領用表!$E:$E,$B45,領用表!$B:$B,BJ$2&amp;$BI$1)</f>
        <v>43</v>
      </c>
      <c r="BK45" s="208">
        <f>SUMIFS(領用表!$L:$L,領用表!$E:$E,$B45,領用表!$B:$B,BK$2&amp;$BI$1)</f>
        <v>70</v>
      </c>
      <c r="BL45" s="208">
        <f>SUMIFS(領用表!$L:$L,領用表!$E:$E,$B45,領用表!$B:$B,BL$2&amp;$BI$1)</f>
        <v>103</v>
      </c>
      <c r="BM45" s="208">
        <f>SUMIFS(領用表!$L:$L,領用表!$E:$E,$B45,領用表!$B:$B,BM$2&amp;$BI$1)</f>
        <v>67</v>
      </c>
      <c r="BN45" s="208">
        <f>SUMIFS(領用表!$L:$L,領用表!$E:$E,$B45,領用表!$B:$B,BN$2&amp;$BI$1)</f>
        <v>0</v>
      </c>
      <c r="BO45" s="208">
        <f>SUMIFS(領用表!$L:$L,領用表!$E:$E,$B45,領用表!$B:$B,BO$2&amp;$BI$1)</f>
        <v>0</v>
      </c>
      <c r="BP45" s="208">
        <f>SUMIFS(領用表!$L:$L,領用表!$E:$E,$B45,領用表!$B:$B,BP$2&amp;$BI$1)</f>
        <v>0</v>
      </c>
      <c r="BQ45" s="208">
        <f>SUMIFS(領用表!$L:$L,領用表!$E:$E,$B45,領用表!$B:$B,BQ$2&amp;$BI$1)</f>
        <v>0</v>
      </c>
      <c r="BR45" s="208">
        <f>SUMIFS(領用表!$L:$L,領用表!$E:$E,$B45,領用表!$B:$B,BR$2&amp;$BI$1)</f>
        <v>0</v>
      </c>
      <c r="BS45" s="208">
        <f>SUMIFS(領用表!$L:$L,領用表!$E:$E,$B45,領用表!$B:$B,BS$2&amp;$BI$1)</f>
        <v>0</v>
      </c>
      <c r="BT45" s="208">
        <f>SUMIFS(領用表!$L:$L,領用表!$E:$E,$B45,領用表!$B:$B,BT$2&amp;$BI$1)</f>
        <v>0</v>
      </c>
      <c r="BU45" s="208">
        <f t="shared" si="4"/>
        <v>306</v>
      </c>
      <c r="BV45" s="208">
        <f t="shared" si="5"/>
        <v>61.2</v>
      </c>
      <c r="BW45" s="208">
        <f>SUMIF(Summary!B:B,B45,Summary!DT:DT)</f>
        <v>30</v>
      </c>
      <c r="BX45" s="215">
        <v>10</v>
      </c>
      <c r="BY45" s="210">
        <v>0</v>
      </c>
      <c r="BZ45" s="211" t="s">
        <v>801</v>
      </c>
      <c r="CA45" s="211" t="s">
        <v>801</v>
      </c>
      <c r="CB45" s="136"/>
      <c r="CC45" s="212"/>
      <c r="CE45" s="213"/>
    </row>
    <row r="46" spans="1:83" s="118" customFormat="1" ht="15.75" customHeight="1">
      <c r="A46" s="136" t="s">
        <v>77</v>
      </c>
      <c r="B46" s="118">
        <v>6170034</v>
      </c>
      <c r="C46" s="133" t="s">
        <v>485</v>
      </c>
      <c r="D46" s="207">
        <v>900</v>
      </c>
      <c r="E46" s="198" t="s">
        <v>78</v>
      </c>
      <c r="F46" s="349">
        <f>(D46*36)+262</f>
        <v>32662</v>
      </c>
      <c r="G46" s="349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21"/>
      <c r="AH46" s="221"/>
      <c r="AI46" s="221"/>
      <c r="AJ46" s="221"/>
      <c r="AK46" s="221"/>
      <c r="AL46" s="221"/>
      <c r="AM46" s="221"/>
      <c r="AN46" s="221"/>
      <c r="AO46" s="221"/>
      <c r="AP46" s="201"/>
      <c r="AQ46" s="202"/>
      <c r="AR46" s="203"/>
      <c r="AS46" s="204"/>
      <c r="AT46" s="205"/>
      <c r="AU46" s="205" t="s">
        <v>49</v>
      </c>
      <c r="AV46" s="205" t="s">
        <v>49</v>
      </c>
      <c r="AW46" s="205" t="s">
        <v>49</v>
      </c>
      <c r="AX46" s="205" t="s">
        <v>49</v>
      </c>
      <c r="AY46" s="205" t="s">
        <v>49</v>
      </c>
      <c r="AZ46" s="205">
        <f>SUMIFS(領用表!$L:$L,領用表!$E:$E,$B46,領用表!$B:$B,AZ$2&amp;$BI$1)</f>
        <v>0</v>
      </c>
      <c r="BA46" s="203">
        <f>SUMIFS(領用表!$L:$L,領用表!$E:$E,$B46,領用表!$B:$B,BA$2&amp;$BI$1)</f>
        <v>12404</v>
      </c>
      <c r="BB46" s="203">
        <f>SUMIFS(領用表!$L:$L,領用表!$E:$E,$B46,領用表!$B:$B,BB$2&amp;$BI$1)</f>
        <v>18400</v>
      </c>
      <c r="BC46" s="203">
        <f>SUMIFS(領用表!$L:$L,領用表!$E:$E,$B46,領用表!$B:$B,BC$2&amp;$BI$1)</f>
        <v>15401</v>
      </c>
      <c r="BD46" s="208">
        <f>SUMIFS(領用表!$L:$L,領用表!$E:$E,$B46,領用表!$B:$B,BD$2&amp;$BI$1)</f>
        <v>15700</v>
      </c>
      <c r="BE46" s="208">
        <f>SUMIFS(領用表!$L:$L,領用表!$E:$E,$B46,領用表!$B:$B,BE$2&amp;$BI$1)</f>
        <v>15300</v>
      </c>
      <c r="BF46" s="208">
        <f>SUMIFS(領用表!$L:$L,領用表!$E:$E,$B46,領用表!$B:$B,BF$2&amp;$BI$1)</f>
        <v>25700</v>
      </c>
      <c r="BG46" s="207">
        <f t="shared" si="12"/>
        <v>102905</v>
      </c>
      <c r="BH46" s="207">
        <f t="shared" si="13"/>
        <v>14700.714285714286</v>
      </c>
      <c r="BI46" s="208">
        <f>SUMIFS(領用表!$L:$L,領用表!$E:$E,$B46,領用表!$B:$B,BI$2&amp;$BI$1)</f>
        <v>53151</v>
      </c>
      <c r="BJ46" s="208">
        <f>SUMIFS(領用表!$L:$L,領用表!$E:$E,$B46,領用表!$B:$B,BJ$2&amp;$BI$1)</f>
        <v>63103</v>
      </c>
      <c r="BK46" s="208">
        <f>SUMIFS(領用表!$L:$L,領用表!$E:$E,$B46,領用表!$B:$B,BK$2&amp;$BI$1)</f>
        <v>91001</v>
      </c>
      <c r="BL46" s="208">
        <f>SUMIFS(領用表!$L:$L,領用表!$E:$E,$B46,領用表!$B:$B,BL$2&amp;$BI$1)</f>
        <v>72505</v>
      </c>
      <c r="BM46" s="208">
        <f>SUMIFS(領用表!$L:$L,領用表!$E:$E,$B46,領用表!$B:$B,BM$2&amp;$BI$1)</f>
        <v>107705</v>
      </c>
      <c r="BN46" s="208">
        <f>SUMIFS(領用表!$L:$L,領用表!$E:$E,$B46,領用表!$B:$B,BN$2&amp;$BI$1)</f>
        <v>0</v>
      </c>
      <c r="BO46" s="208">
        <f>SUMIFS(領用表!$L:$L,領用表!$E:$E,$B46,領用表!$B:$B,BO$2&amp;$BI$1)</f>
        <v>0</v>
      </c>
      <c r="BP46" s="208">
        <f>SUMIFS(領用表!$L:$L,領用表!$E:$E,$B46,領用表!$B:$B,BP$2&amp;$BI$1)</f>
        <v>0</v>
      </c>
      <c r="BQ46" s="208">
        <f>SUMIFS(領用表!$L:$L,領用表!$E:$E,$B46,領用表!$B:$B,BQ$2&amp;$BI$1)</f>
        <v>0</v>
      </c>
      <c r="BR46" s="208">
        <f>SUMIFS(領用表!$L:$L,領用表!$E:$E,$B46,領用表!$B:$B,BR$2&amp;$BI$1)</f>
        <v>0</v>
      </c>
      <c r="BS46" s="208">
        <f>SUMIFS(領用表!$L:$L,領用表!$E:$E,$B46,領用表!$B:$B,BS$2&amp;$BI$1)</f>
        <v>0</v>
      </c>
      <c r="BT46" s="208">
        <f>SUMIFS(領用表!$L:$L,領用表!$E:$E,$B46,領用表!$B:$B,BT$2&amp;$BI$1)</f>
        <v>0</v>
      </c>
      <c r="BU46" s="208">
        <f t="shared" si="4"/>
        <v>387465</v>
      </c>
      <c r="BV46" s="208">
        <f t="shared" si="5"/>
        <v>77493</v>
      </c>
      <c r="BW46" s="208">
        <f>SUMIF(Summary!B:B,B46,Summary!DT:DT)</f>
        <v>60000</v>
      </c>
      <c r="BX46" s="257">
        <v>12000</v>
      </c>
      <c r="BY46" s="210"/>
      <c r="BZ46" s="211" t="s">
        <v>802</v>
      </c>
      <c r="CA46" s="211" t="s">
        <v>802</v>
      </c>
      <c r="CB46" s="345"/>
      <c r="CC46" s="212"/>
      <c r="CE46" s="213"/>
    </row>
    <row r="47" spans="1:83" s="118" customFormat="1" ht="15">
      <c r="A47" s="136" t="s">
        <v>80</v>
      </c>
      <c r="B47" s="118">
        <v>6170035</v>
      </c>
      <c r="C47" s="133" t="s">
        <v>486</v>
      </c>
      <c r="D47" s="207">
        <v>600</v>
      </c>
      <c r="E47" s="198" t="s">
        <v>78</v>
      </c>
      <c r="F47" s="349">
        <f>(D47*3)+489</f>
        <v>2289</v>
      </c>
      <c r="G47" s="349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21"/>
      <c r="AH47" s="221"/>
      <c r="AI47" s="221"/>
      <c r="AJ47" s="221"/>
      <c r="AK47" s="221"/>
      <c r="AL47" s="221"/>
      <c r="AM47" s="221"/>
      <c r="AN47" s="221"/>
      <c r="AO47" s="221"/>
      <c r="AP47" s="201"/>
      <c r="AQ47" s="202"/>
      <c r="AR47" s="203"/>
      <c r="AS47" s="204"/>
      <c r="AT47" s="205"/>
      <c r="AU47" s="205" t="s">
        <v>49</v>
      </c>
      <c r="AV47" s="205" t="s">
        <v>49</v>
      </c>
      <c r="AW47" s="205" t="s">
        <v>49</v>
      </c>
      <c r="AX47" s="205" t="s">
        <v>49</v>
      </c>
      <c r="AY47" s="205" t="s">
        <v>49</v>
      </c>
      <c r="AZ47" s="205">
        <f>SUMIFS(領用表!$L:$L,領用表!$E:$E,$B47,領用表!$B:$B,AZ$2&amp;$BI$1)</f>
        <v>0</v>
      </c>
      <c r="BA47" s="203">
        <f>SUMIFS(領用表!$L:$L,領用表!$E:$E,$B47,領用表!$B:$B,BA$2&amp;$BI$1)</f>
        <v>5200</v>
      </c>
      <c r="BB47" s="203">
        <f>SUMIFS(領用表!$L:$L,領用表!$E:$E,$B47,領用表!$B:$B,BB$2&amp;$BI$1)</f>
        <v>6200</v>
      </c>
      <c r="BC47" s="203">
        <f>SUMIFS(領用表!$L:$L,領用表!$E:$E,$B47,領用表!$B:$B,BC$2&amp;$BI$1)</f>
        <v>7600</v>
      </c>
      <c r="BD47" s="208">
        <f>SUMIFS(領用表!$L:$L,領用表!$E:$E,$B47,領用表!$B:$B,BD$2&amp;$BI$1)</f>
        <v>5000</v>
      </c>
      <c r="BE47" s="208">
        <f>SUMIFS(領用表!$L:$L,領用表!$E:$E,$B47,領用表!$B:$B,BE$2&amp;$BI$1)</f>
        <v>3400</v>
      </c>
      <c r="BF47" s="208">
        <f>SUMIFS(領用表!$L:$L,領用表!$E:$E,$B47,領用表!$B:$B,BF$2&amp;$BI$1)</f>
        <v>10319</v>
      </c>
      <c r="BG47" s="207">
        <f t="shared" si="12"/>
        <v>37719</v>
      </c>
      <c r="BH47" s="207">
        <f t="shared" si="13"/>
        <v>5388.4285714285716</v>
      </c>
      <c r="BI47" s="208">
        <f>SUMIFS(領用表!$L:$L,領用表!$E:$E,$B47,領用表!$B:$B,BI$2&amp;$BI$1)</f>
        <v>14250</v>
      </c>
      <c r="BJ47" s="208">
        <f>SUMIFS(領用表!$L:$L,領用表!$E:$E,$B47,領用表!$B:$B,BJ$2&amp;$BI$1)</f>
        <v>13700</v>
      </c>
      <c r="BK47" s="208">
        <f>SUMIFS(領用表!$L:$L,領用表!$E:$E,$B47,領用表!$B:$B,BK$2&amp;$BI$1)</f>
        <v>22604</v>
      </c>
      <c r="BL47" s="208">
        <f>SUMIFS(領用表!$L:$L,領用表!$E:$E,$B47,領用表!$B:$B,BL$2&amp;$BI$1)</f>
        <v>20002</v>
      </c>
      <c r="BM47" s="208">
        <f>SUMIFS(領用表!$L:$L,領用表!$E:$E,$B47,領用表!$B:$B,BM$2&amp;$BI$1)</f>
        <v>26100</v>
      </c>
      <c r="BN47" s="208">
        <f>SUMIFS(領用表!$L:$L,領用表!$E:$E,$B47,領用表!$B:$B,BN$2&amp;$BI$1)</f>
        <v>0</v>
      </c>
      <c r="BO47" s="208">
        <f>SUMIFS(領用表!$L:$L,領用表!$E:$E,$B47,領用表!$B:$B,BO$2&amp;$BI$1)</f>
        <v>0</v>
      </c>
      <c r="BP47" s="208">
        <f>SUMIFS(領用表!$L:$L,領用表!$E:$E,$B47,領用表!$B:$B,BP$2&amp;$BI$1)</f>
        <v>0</v>
      </c>
      <c r="BQ47" s="208">
        <f>SUMIFS(領用表!$L:$L,領用表!$E:$E,$B47,領用表!$B:$B,BQ$2&amp;$BI$1)</f>
        <v>0</v>
      </c>
      <c r="BR47" s="208">
        <f>SUMIFS(領用表!$L:$L,領用表!$E:$E,$B47,領用表!$B:$B,BR$2&amp;$BI$1)</f>
        <v>0</v>
      </c>
      <c r="BS47" s="208">
        <f>SUMIFS(領用表!$L:$L,領用表!$E:$E,$B47,領用表!$B:$B,BS$2&amp;$BI$1)</f>
        <v>0</v>
      </c>
      <c r="BT47" s="208">
        <f>SUMIFS(領用表!$L:$L,領用表!$E:$E,$B47,領用表!$B:$B,BT$2&amp;$BI$1)</f>
        <v>0</v>
      </c>
      <c r="BU47" s="208">
        <f t="shared" si="4"/>
        <v>96656</v>
      </c>
      <c r="BV47" s="208">
        <f t="shared" si="5"/>
        <v>19331.2</v>
      </c>
      <c r="BW47" s="208">
        <f>SUMIF(Summary!B:B,B47,Summary!DT:DT)</f>
        <v>16000</v>
      </c>
      <c r="BX47" s="257">
        <v>5000</v>
      </c>
      <c r="BY47" s="210"/>
      <c r="BZ47" s="211"/>
      <c r="CA47" s="211" t="s">
        <v>802</v>
      </c>
      <c r="CB47" s="345"/>
      <c r="CC47" s="212"/>
      <c r="CE47" s="213"/>
    </row>
    <row r="48" spans="1:83" s="118" customFormat="1" ht="15.75" customHeight="1">
      <c r="A48" s="136" t="s">
        <v>81</v>
      </c>
      <c r="B48" s="118">
        <v>6170028</v>
      </c>
      <c r="C48" s="133" t="s">
        <v>487</v>
      </c>
      <c r="D48" s="207">
        <v>6050</v>
      </c>
      <c r="E48" s="198" t="s">
        <v>78</v>
      </c>
      <c r="F48" s="349">
        <f>(D48*0)+(82)+(0)</f>
        <v>82</v>
      </c>
      <c r="G48" s="349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00"/>
      <c r="AF48" s="200"/>
      <c r="AG48" s="221"/>
      <c r="AH48" s="221"/>
      <c r="AI48" s="221"/>
      <c r="AJ48" s="221"/>
      <c r="AK48" s="221"/>
      <c r="AL48" s="221"/>
      <c r="AM48" s="221"/>
      <c r="AN48" s="221"/>
      <c r="AO48" s="221"/>
      <c r="AP48" s="201"/>
      <c r="AQ48" s="202"/>
      <c r="AR48" s="203" t="s">
        <v>49</v>
      </c>
      <c r="AS48" s="204" t="s">
        <v>49</v>
      </c>
      <c r="AT48" s="205" t="s">
        <v>49</v>
      </c>
      <c r="AU48" s="205" t="s">
        <v>49</v>
      </c>
      <c r="AV48" s="205" t="s">
        <v>49</v>
      </c>
      <c r="AW48" s="205" t="s">
        <v>49</v>
      </c>
      <c r="AX48" s="203">
        <v>8701</v>
      </c>
      <c r="AY48" s="203">
        <v>10901</v>
      </c>
      <c r="AZ48" s="203">
        <f>SUMIFS(領用表!$L:$L,領用表!$E:$E,$B48,領用表!$B:$B,AZ$2&amp;$BI$1)</f>
        <v>14398</v>
      </c>
      <c r="BA48" s="203">
        <f>SUMIFS(領用表!$L:$L,領用表!$E:$E,$B48,領用表!$B:$B,BA$2&amp;$BI$1)</f>
        <v>6000</v>
      </c>
      <c r="BB48" s="203">
        <f>SUMIFS(領用表!$L:$L,領用表!$E:$E,$B48,領用表!$B:$B,BB$2&amp;$BI$1)</f>
        <v>6700</v>
      </c>
      <c r="BC48" s="203">
        <f>SUMIFS(領用表!$L:$L,領用表!$E:$E,$B48,領用表!$B:$B,BC$2&amp;$BI$1)</f>
        <v>2600</v>
      </c>
      <c r="BD48" s="208">
        <f>SUMIFS(領用表!$L:$L,領用表!$E:$E,$B48,領用表!$B:$B,BD$2&amp;$BI$1)</f>
        <v>6151</v>
      </c>
      <c r="BE48" s="208">
        <f>SUMIFS(領用表!$L:$L,領用表!$E:$E,$B48,領用表!$B:$B,BE$2&amp;$BI$1)</f>
        <v>2498</v>
      </c>
      <c r="BF48" s="208">
        <f>SUMIFS(領用表!$L:$L,領用表!$E:$E,$B48,領用表!$B:$B,BF$2&amp;$BI$1)</f>
        <v>4720</v>
      </c>
      <c r="BG48" s="207">
        <f t="shared" si="12"/>
        <v>62669</v>
      </c>
      <c r="BH48" s="207">
        <f t="shared" si="13"/>
        <v>6963.2222222222226</v>
      </c>
      <c r="BI48" s="208">
        <f>SUMIFS(領用表!$L:$L,領用表!$E:$E,$B48,領用表!$B:$B,BI$2&amp;$BI$1)</f>
        <v>4380</v>
      </c>
      <c r="BJ48" s="208">
        <f>SUMIFS(領用表!$L:$L,領用表!$E:$E,$B48,領用表!$B:$B,BJ$2&amp;$BI$1)</f>
        <v>6801</v>
      </c>
      <c r="BK48" s="208">
        <f>SUMIFS(領用表!$L:$L,領用表!$E:$E,$B48,領用表!$B:$B,BK$2&amp;$BI$1)</f>
        <v>5201</v>
      </c>
      <c r="BL48" s="208">
        <f>SUMIFS(領用表!$L:$L,領用表!$E:$E,$B48,領用表!$B:$B,BL$2&amp;$BI$1)</f>
        <v>4650</v>
      </c>
      <c r="BM48" s="208">
        <f>SUMIFS(領用表!$L:$L,領用表!$E:$E,$B48,領用表!$B:$B,BM$2&amp;$BI$1)</f>
        <v>4600</v>
      </c>
      <c r="BN48" s="208">
        <f>SUMIFS(領用表!$L:$L,領用表!$E:$E,$B48,領用表!$B:$B,BN$2&amp;$BI$1)</f>
        <v>0</v>
      </c>
      <c r="BO48" s="208">
        <f>SUMIFS(領用表!$L:$L,領用表!$E:$E,$B48,領用表!$B:$B,BO$2&amp;$BI$1)</f>
        <v>0</v>
      </c>
      <c r="BP48" s="208">
        <f>SUMIFS(領用表!$L:$L,領用表!$E:$E,$B48,領用表!$B:$B,BP$2&amp;$BI$1)</f>
        <v>0</v>
      </c>
      <c r="BQ48" s="208">
        <f>SUMIFS(領用表!$L:$L,領用表!$E:$E,$B48,領用表!$B:$B,BQ$2&amp;$BI$1)</f>
        <v>0</v>
      </c>
      <c r="BR48" s="208">
        <f>SUMIFS(領用表!$L:$L,領用表!$E:$E,$B48,領用表!$B:$B,BR$2&amp;$BI$1)</f>
        <v>0</v>
      </c>
      <c r="BS48" s="208">
        <f>SUMIFS(領用表!$L:$L,領用表!$E:$E,$B48,領用表!$B:$B,BS$2&amp;$BI$1)</f>
        <v>0</v>
      </c>
      <c r="BT48" s="208">
        <f>SUMIFS(領用表!$L:$L,領用表!$E:$E,$B48,領用表!$B:$B,BT$2&amp;$BI$1)</f>
        <v>0</v>
      </c>
      <c r="BU48" s="208">
        <f t="shared" si="4"/>
        <v>25632</v>
      </c>
      <c r="BV48" s="208">
        <f t="shared" si="5"/>
        <v>5126.3999999999996</v>
      </c>
      <c r="BW48" s="208">
        <f>SUMIF(Summary!B:B,B48,Summary!DT:DT)</f>
        <v>8000</v>
      </c>
      <c r="BX48" s="257">
        <v>10000</v>
      </c>
      <c r="BY48" s="210">
        <v>0</v>
      </c>
      <c r="BZ48" s="211" t="s">
        <v>803</v>
      </c>
      <c r="CA48" s="211" t="s">
        <v>804</v>
      </c>
      <c r="CB48" s="346" t="s">
        <v>840</v>
      </c>
      <c r="CC48" s="212"/>
      <c r="CE48" s="213"/>
    </row>
    <row r="49" spans="1:83" s="118" customFormat="1" ht="15.75" customHeight="1">
      <c r="A49" s="136" t="s">
        <v>85</v>
      </c>
      <c r="B49" s="118">
        <v>6170029</v>
      </c>
      <c r="C49" s="133" t="s">
        <v>488</v>
      </c>
      <c r="D49" s="207">
        <v>4000</v>
      </c>
      <c r="E49" s="198" t="s">
        <v>78</v>
      </c>
      <c r="F49" s="349"/>
      <c r="G49" s="349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21"/>
      <c r="AH49" s="221"/>
      <c r="AI49" s="221"/>
      <c r="AJ49" s="221"/>
      <c r="AK49" s="221"/>
      <c r="AL49" s="221"/>
      <c r="AM49" s="221"/>
      <c r="AN49" s="221"/>
      <c r="AO49" s="221"/>
      <c r="AP49" s="201"/>
      <c r="AQ49" s="202"/>
      <c r="AR49" s="203" t="s">
        <v>49</v>
      </c>
      <c r="AS49" s="204" t="s">
        <v>49</v>
      </c>
      <c r="AT49" s="205" t="s">
        <v>49</v>
      </c>
      <c r="AU49" s="205" t="s">
        <v>49</v>
      </c>
      <c r="AV49" s="205" t="s">
        <v>49</v>
      </c>
      <c r="AW49" s="205" t="s">
        <v>49</v>
      </c>
      <c r="AX49" s="203">
        <v>6054</v>
      </c>
      <c r="AY49" s="203">
        <v>32205</v>
      </c>
      <c r="AZ49" s="203">
        <f>SUMIFS(領用表!$L:$L,領用表!$E:$E,$B49,領用表!$B:$B,AZ$2&amp;$BI$1)</f>
        <v>37902</v>
      </c>
      <c r="BA49" s="203">
        <f>SUMIFS(領用表!$L:$L,領用表!$E:$E,$B49,領用表!$B:$B,BA$2&amp;$BI$1)</f>
        <v>18150</v>
      </c>
      <c r="BB49" s="203">
        <f>SUMIFS(領用表!$L:$L,領用表!$E:$E,$B49,領用表!$B:$B,BB$2&amp;$BI$1)</f>
        <v>7400</v>
      </c>
      <c r="BC49" s="203">
        <f>SUMIFS(領用表!$L:$L,領用表!$E:$E,$B49,領用表!$B:$B,BC$2&amp;$BI$1)</f>
        <v>3700</v>
      </c>
      <c r="BD49" s="208">
        <f>SUMIFS(領用表!$L:$L,領用表!$E:$E,$B49,領用表!$B:$B,BD$2&amp;$BI$1)</f>
        <v>17151</v>
      </c>
      <c r="BE49" s="208">
        <f>SUMIFS(領用表!$L:$L,領用表!$E:$E,$B49,領用表!$B:$B,BE$2&amp;$BI$1)</f>
        <v>23341</v>
      </c>
      <c r="BF49" s="208">
        <f>SUMIFS(領用表!$L:$L,領用表!$E:$E,$B49,領用表!$B:$B,BF$2&amp;$BI$1)</f>
        <v>0</v>
      </c>
      <c r="BG49" s="207">
        <f t="shared" si="12"/>
        <v>145903</v>
      </c>
      <c r="BH49" s="207">
        <f t="shared" si="13"/>
        <v>16211.444444444445</v>
      </c>
      <c r="BI49" s="208">
        <f>SUMIFS(領用表!$L:$L,領用表!$E:$E,$B49,領用表!$B:$B,BI$2&amp;$BI$1)</f>
        <v>0</v>
      </c>
      <c r="BJ49" s="208">
        <f>SUMIFS(領用表!$L:$L,領用表!$E:$E,$B49,領用表!$B:$B,BJ$2&amp;$BI$1)</f>
        <v>600</v>
      </c>
      <c r="BK49" s="208">
        <f>SUMIFS(領用表!$L:$L,領用表!$E:$E,$B49,領用表!$B:$B,BK$2&amp;$BI$1)</f>
        <v>0</v>
      </c>
      <c r="BL49" s="208">
        <f>SUMIFS(領用表!$L:$L,領用表!$E:$E,$B49,領用表!$B:$B,BL$2&amp;$BI$1)</f>
        <v>0</v>
      </c>
      <c r="BM49" s="208">
        <f>SUMIFS(領用表!$L:$L,領用表!$E:$E,$B49,領用表!$B:$B,BM$2&amp;$BI$1)</f>
        <v>0</v>
      </c>
      <c r="BN49" s="208">
        <f>SUMIFS(領用表!$L:$L,領用表!$E:$E,$B49,領用表!$B:$B,BN$2&amp;$BI$1)</f>
        <v>0</v>
      </c>
      <c r="BO49" s="208">
        <f>SUMIFS(領用表!$L:$L,領用表!$E:$E,$B49,領用表!$B:$B,BO$2&amp;$BI$1)</f>
        <v>0</v>
      </c>
      <c r="BP49" s="208">
        <f>SUMIFS(領用表!$L:$L,領用表!$E:$E,$B49,領用表!$B:$B,BP$2&amp;$BI$1)</f>
        <v>0</v>
      </c>
      <c r="BQ49" s="208">
        <f>SUMIFS(領用表!$L:$L,領用表!$E:$E,$B49,領用表!$B:$B,BQ$2&amp;$BI$1)</f>
        <v>0</v>
      </c>
      <c r="BR49" s="208">
        <f>SUMIFS(領用表!$L:$L,領用表!$E:$E,$B49,領用表!$B:$B,BR$2&amp;$BI$1)</f>
        <v>0</v>
      </c>
      <c r="BS49" s="208">
        <f>SUMIFS(領用表!$L:$L,領用表!$E:$E,$B49,領用表!$B:$B,BS$2&amp;$BI$1)</f>
        <v>0</v>
      </c>
      <c r="BT49" s="208">
        <f>SUMIFS(領用表!$L:$L,領用表!$E:$E,$B49,領用表!$B:$B,BT$2&amp;$BI$1)</f>
        <v>0</v>
      </c>
      <c r="BU49" s="208">
        <f t="shared" si="4"/>
        <v>600</v>
      </c>
      <c r="BV49" s="208">
        <f t="shared" si="5"/>
        <v>120</v>
      </c>
      <c r="BW49" s="208">
        <f>SUMIF(Summary!B:B,B49,Summary!DT:DT)</f>
        <v>15000</v>
      </c>
      <c r="BX49" s="257">
        <v>20000</v>
      </c>
      <c r="BY49" s="210">
        <v>0</v>
      </c>
      <c r="BZ49" s="211" t="s">
        <v>805</v>
      </c>
      <c r="CA49" s="211" t="s">
        <v>805</v>
      </c>
      <c r="CB49" s="346" t="s">
        <v>840</v>
      </c>
      <c r="CC49" s="212"/>
      <c r="CE49" s="213"/>
    </row>
    <row r="50" spans="1:83" s="118" customFormat="1" ht="15.75" customHeight="1">
      <c r="A50" s="136" t="s">
        <v>87</v>
      </c>
      <c r="B50" s="118">
        <v>6170030</v>
      </c>
      <c r="C50" s="133" t="s">
        <v>489</v>
      </c>
      <c r="D50" s="207">
        <v>3050</v>
      </c>
      <c r="E50" s="198" t="s">
        <v>78</v>
      </c>
      <c r="F50" s="349">
        <f>(D50*8)+(2203)+(825)</f>
        <v>27428</v>
      </c>
      <c r="G50" s="349"/>
      <c r="H50" s="352"/>
      <c r="I50" s="352"/>
      <c r="J50" s="352"/>
      <c r="K50" s="352"/>
      <c r="L50" s="352"/>
      <c r="M50" s="352"/>
      <c r="N50" s="352"/>
      <c r="O50" s="352"/>
      <c r="P50" s="352"/>
      <c r="Q50" s="352"/>
      <c r="R50" s="352"/>
      <c r="S50" s="352"/>
      <c r="T50" s="352"/>
      <c r="U50" s="352"/>
      <c r="V50" s="352"/>
      <c r="W50" s="352"/>
      <c r="X50" s="352"/>
      <c r="Y50" s="352"/>
      <c r="Z50" s="352"/>
      <c r="AA50" s="352"/>
      <c r="AB50" s="352"/>
      <c r="AC50" s="352"/>
      <c r="AD50" s="352"/>
      <c r="AE50" s="352"/>
      <c r="AF50" s="352"/>
      <c r="AG50" s="363"/>
      <c r="AH50" s="363"/>
      <c r="AI50" s="363"/>
      <c r="AJ50" s="363"/>
      <c r="AK50" s="363"/>
      <c r="AL50" s="363"/>
      <c r="AM50" s="363"/>
      <c r="AN50" s="363"/>
      <c r="AO50" s="363"/>
      <c r="AP50" s="353"/>
      <c r="AQ50" s="354"/>
      <c r="AR50" s="355" t="s">
        <v>49</v>
      </c>
      <c r="AS50" s="356" t="s">
        <v>49</v>
      </c>
      <c r="AT50" s="357" t="s">
        <v>49</v>
      </c>
      <c r="AU50" s="357" t="s">
        <v>49</v>
      </c>
      <c r="AV50" s="357" t="s">
        <v>49</v>
      </c>
      <c r="AW50" s="357" t="s">
        <v>49</v>
      </c>
      <c r="AX50" s="355">
        <v>12000</v>
      </c>
      <c r="AY50" s="355"/>
      <c r="AZ50" s="203">
        <f>SUMIFS(領用表!$L:$L,領用表!$E:$E,$B50,領用表!$B:$B,AZ$2&amp;$BI$1)</f>
        <v>0</v>
      </c>
      <c r="BA50" s="203">
        <f>SUMIFS(領用表!$L:$L,領用表!$E:$E,$B50,領用表!$B:$B,BA$2&amp;$BI$1)</f>
        <v>0</v>
      </c>
      <c r="BB50" s="203">
        <f>SUMIFS(領用表!$L:$L,領用表!$E:$E,$B50,領用表!$B:$B,BB$2&amp;$BI$1)</f>
        <v>0</v>
      </c>
      <c r="BC50" s="203">
        <f>SUMIFS(領用表!$L:$L,領用表!$E:$E,$B50,領用表!$B:$B,BC$2&amp;$BI$1)</f>
        <v>0</v>
      </c>
      <c r="BD50" s="208">
        <f>SUMIFS(領用表!$L:$L,領用表!$E:$E,$B50,領用表!$B:$B,BD$2&amp;$BI$1)</f>
        <v>0</v>
      </c>
      <c r="BE50" s="208">
        <f>SUMIFS(領用表!$L:$L,領用表!$E:$E,$B50,領用表!$B:$B,BE$2&amp;$BI$1)</f>
        <v>5661</v>
      </c>
      <c r="BF50" s="208">
        <f>SUMIFS(領用表!$L:$L,領用表!$E:$E,$B50,領用表!$B:$B,BF$2&amp;$BI$1)</f>
        <v>30120</v>
      </c>
      <c r="BG50" s="207">
        <f t="shared" si="12"/>
        <v>47781</v>
      </c>
      <c r="BH50" s="207">
        <f t="shared" si="13"/>
        <v>5972.625</v>
      </c>
      <c r="BI50" s="208">
        <f>SUMIFS(領用表!$L:$L,領用表!$E:$E,$B50,領用表!$B:$B,BI$2&amp;$BI$1)</f>
        <v>27220</v>
      </c>
      <c r="BJ50" s="208">
        <f>SUMIFS(領用表!$L:$L,領用表!$E:$E,$B50,領用表!$B:$B,BJ$2&amp;$BI$1)</f>
        <v>30800</v>
      </c>
      <c r="BK50" s="208">
        <f>SUMIFS(領用表!$L:$L,領用表!$E:$E,$B50,領用表!$B:$B,BK$2&amp;$BI$1)</f>
        <v>21200</v>
      </c>
      <c r="BL50" s="208">
        <f>SUMIFS(領用表!$L:$L,領用表!$E:$E,$B50,領用表!$B:$B,BL$2&amp;$BI$1)</f>
        <v>29150</v>
      </c>
      <c r="BM50" s="208">
        <f>SUMIFS(領用表!$L:$L,領用表!$E:$E,$B50,領用表!$B:$B,BM$2&amp;$BI$1)</f>
        <v>38101</v>
      </c>
      <c r="BN50" s="208">
        <f>SUMIFS(領用表!$L:$L,領用表!$E:$E,$B50,領用表!$B:$B,BN$2&amp;$BI$1)</f>
        <v>0</v>
      </c>
      <c r="BO50" s="208">
        <f>SUMIFS(領用表!$L:$L,領用表!$E:$E,$B50,領用表!$B:$B,BO$2&amp;$BI$1)</f>
        <v>0</v>
      </c>
      <c r="BP50" s="208">
        <f>SUMIFS(領用表!$L:$L,領用表!$E:$E,$B50,領用表!$B:$B,BP$2&amp;$BI$1)</f>
        <v>0</v>
      </c>
      <c r="BQ50" s="208">
        <f>SUMIFS(領用表!$L:$L,領用表!$E:$E,$B50,領用表!$B:$B,BQ$2&amp;$BI$1)</f>
        <v>0</v>
      </c>
      <c r="BR50" s="208">
        <f>SUMIFS(領用表!$L:$L,領用表!$E:$E,$B50,領用表!$B:$B,BR$2&amp;$BI$1)</f>
        <v>0</v>
      </c>
      <c r="BS50" s="208">
        <f>SUMIFS(領用表!$L:$L,領用表!$E:$E,$B50,領用表!$B:$B,BS$2&amp;$BI$1)</f>
        <v>0</v>
      </c>
      <c r="BT50" s="208">
        <f>SUMIFS(領用表!$L:$L,領用表!$E:$E,$B50,領用表!$B:$B,BT$2&amp;$BI$1)</f>
        <v>0</v>
      </c>
      <c r="BU50" s="208">
        <f t="shared" si="4"/>
        <v>146471</v>
      </c>
      <c r="BV50" s="208">
        <f t="shared" si="5"/>
        <v>29294.2</v>
      </c>
      <c r="BW50" s="208">
        <f>SUMIF(Summary!B:B,B50,Summary!DT:DT)</f>
        <v>30000</v>
      </c>
      <c r="BX50" s="364">
        <v>2500</v>
      </c>
      <c r="BY50" s="356">
        <v>0</v>
      </c>
      <c r="BZ50" s="356"/>
      <c r="CA50" s="356"/>
      <c r="CB50" s="394" t="s">
        <v>841</v>
      </c>
      <c r="CC50" s="365"/>
      <c r="CE50" s="213"/>
    </row>
    <row r="51" spans="1:83" s="118" customFormat="1" ht="15.75" customHeight="1">
      <c r="A51" s="136" t="s">
        <v>89</v>
      </c>
      <c r="B51" s="118">
        <v>6170005</v>
      </c>
      <c r="C51" s="118" t="s">
        <v>614</v>
      </c>
      <c r="D51" s="207">
        <v>20099</v>
      </c>
      <c r="E51" s="198" t="s">
        <v>78</v>
      </c>
      <c r="F51" s="349">
        <f>(D51*3)+(2628)+(5540)+(18076)</f>
        <v>86541</v>
      </c>
      <c r="G51" s="349"/>
      <c r="H51" s="200">
        <v>0</v>
      </c>
      <c r="I51" s="200">
        <v>0.02</v>
      </c>
      <c r="J51" s="200">
        <v>0.01</v>
      </c>
      <c r="K51" s="200">
        <v>0.04</v>
      </c>
      <c r="L51" s="200">
        <v>0.09</v>
      </c>
      <c r="M51" s="200">
        <v>0.03</v>
      </c>
      <c r="N51" s="200">
        <v>0</v>
      </c>
      <c r="O51" s="200">
        <v>0</v>
      </c>
      <c r="P51" s="200">
        <v>0.01</v>
      </c>
      <c r="Q51" s="200">
        <v>0.02</v>
      </c>
      <c r="R51" s="200">
        <v>0.02</v>
      </c>
      <c r="S51" s="200">
        <v>0.03</v>
      </c>
      <c r="T51" s="200">
        <v>0.06</v>
      </c>
      <c r="U51" s="200">
        <v>0.05</v>
      </c>
      <c r="V51" s="200">
        <v>0.01</v>
      </c>
      <c r="W51" s="200">
        <v>0.02</v>
      </c>
      <c r="X51" s="200">
        <v>0</v>
      </c>
      <c r="Y51" s="200">
        <v>0.01</v>
      </c>
      <c r="Z51" s="200">
        <v>0.01</v>
      </c>
      <c r="AA51" s="200">
        <v>0.01</v>
      </c>
      <c r="AB51" s="200">
        <v>0.01</v>
      </c>
      <c r="AC51" s="200">
        <v>0.04</v>
      </c>
      <c r="AD51" s="200">
        <v>0.04</v>
      </c>
      <c r="AE51" s="200">
        <v>0.06</v>
      </c>
      <c r="AF51" s="200">
        <v>0.17</v>
      </c>
      <c r="AG51" s="221">
        <v>0.1681</v>
      </c>
      <c r="AH51" s="221">
        <v>0.2626</v>
      </c>
      <c r="AI51" s="221">
        <v>0.1749</v>
      </c>
      <c r="AJ51" s="221">
        <v>0.16875000000000001</v>
      </c>
      <c r="AK51" s="221">
        <v>0.35815000000000002</v>
      </c>
      <c r="AL51" s="221">
        <v>0.33200000000000002</v>
      </c>
      <c r="AM51" s="221">
        <v>0.43054999999999999</v>
      </c>
      <c r="AN51" s="221">
        <v>0.6341</v>
      </c>
      <c r="AO51" s="221">
        <v>0.90239999999999998</v>
      </c>
      <c r="AP51" s="201">
        <v>1</v>
      </c>
      <c r="AQ51" s="202">
        <v>3.314294243</v>
      </c>
      <c r="AR51" s="259">
        <f>1124/D51</f>
        <v>5.5923180257724261E-2</v>
      </c>
      <c r="AS51" s="204">
        <f>SUM(AG51:AR51)</f>
        <v>7.8017674232577239</v>
      </c>
      <c r="AT51" s="205">
        <f>AS51/12</f>
        <v>0.65014728527147703</v>
      </c>
      <c r="AU51" s="203">
        <v>44000</v>
      </c>
      <c r="AV51" s="203">
        <v>49059</v>
      </c>
      <c r="AW51" s="203">
        <v>33632</v>
      </c>
      <c r="AX51" s="203">
        <v>19872</v>
      </c>
      <c r="AY51" s="203">
        <v>17874</v>
      </c>
      <c r="AZ51" s="203">
        <f>SUMIFS(領用表!$L:$L,領用表!$E:$E,$B51,領用表!$B:$B,AZ$2&amp;$BI$1)</f>
        <v>13469</v>
      </c>
      <c r="BA51" s="203">
        <f>SUMIFS(領用表!$L:$L,領用表!$E:$E,$B51,領用表!$B:$B,BA$2&amp;$BI$1)</f>
        <v>14787</v>
      </c>
      <c r="BB51" s="203">
        <f>SUMIFS(領用表!$L:$L,領用表!$E:$E,$B51,領用表!$B:$B,BB$2&amp;$BI$1)</f>
        <v>17257</v>
      </c>
      <c r="BC51" s="203">
        <f>SUMIFS(領用表!$L:$L,領用表!$E:$E,$B51,領用表!$B:$B,BC$2&amp;$BI$1)</f>
        <v>11675</v>
      </c>
      <c r="BD51" s="208">
        <f>SUMIFS(領用表!$L:$L,領用表!$E:$E,$B51,領用表!$B:$B,BD$2&amp;$BI$1)</f>
        <v>14427</v>
      </c>
      <c r="BE51" s="208">
        <f>SUMIFS(領用表!$L:$L,領用表!$E:$E,$B51,領用表!$B:$B,BE$2&amp;$BI$1)</f>
        <v>12875</v>
      </c>
      <c r="BF51" s="208">
        <f>SUMIFS(領用表!$L:$L,領用表!$E:$E,$B51,領用表!$B:$B,BF$2&amp;$BI$1)</f>
        <v>18698</v>
      </c>
      <c r="BG51" s="207">
        <f t="shared" si="12"/>
        <v>267625</v>
      </c>
      <c r="BH51" s="207">
        <f t="shared" si="13"/>
        <v>22302.083333333332</v>
      </c>
      <c r="BI51" s="208">
        <f>SUMIFS(領用表!$L:$L,領用表!$E:$E,$B51,領用表!$B:$B,BI$2&amp;$BI$1)</f>
        <v>24935</v>
      </c>
      <c r="BJ51" s="208">
        <f>SUMIFS(領用表!$L:$L,領用表!$E:$E,$B51,領用表!$B:$B,BJ$2&amp;$BI$1)</f>
        <v>17792</v>
      </c>
      <c r="BK51" s="208">
        <f>SUMIFS(領用表!$L:$L,領用表!$E:$E,$B51,領用表!$B:$B,BK$2&amp;$BI$1)</f>
        <v>12446</v>
      </c>
      <c r="BL51" s="208">
        <f>SUMIFS(領用表!$L:$L,領用表!$E:$E,$B51,領用表!$B:$B,BL$2&amp;$BI$1)</f>
        <v>8326</v>
      </c>
      <c r="BM51" s="208">
        <f>SUMIFS(領用表!$L:$L,領用表!$E:$E,$B51,領用表!$B:$B,BM$2&amp;$BI$1)</f>
        <v>13123</v>
      </c>
      <c r="BN51" s="208">
        <f>SUMIFS(領用表!$L:$L,領用表!$E:$E,$B51,領用表!$B:$B,BN$2&amp;$BI$1)</f>
        <v>0</v>
      </c>
      <c r="BO51" s="208">
        <f>SUMIFS(領用表!$L:$L,領用表!$E:$E,$B51,領用表!$B:$B,BO$2&amp;$BI$1)</f>
        <v>0</v>
      </c>
      <c r="BP51" s="208">
        <f>SUMIFS(領用表!$L:$L,領用表!$E:$E,$B51,領用表!$B:$B,BP$2&amp;$BI$1)</f>
        <v>0</v>
      </c>
      <c r="BQ51" s="208">
        <f>SUMIFS(領用表!$L:$L,領用表!$E:$E,$B51,領用表!$B:$B,BQ$2&amp;$BI$1)</f>
        <v>0</v>
      </c>
      <c r="BR51" s="208">
        <f>SUMIFS(領用表!$L:$L,領用表!$E:$E,$B51,領用表!$B:$B,BR$2&amp;$BI$1)</f>
        <v>0</v>
      </c>
      <c r="BS51" s="208">
        <f>SUMIFS(領用表!$L:$L,領用表!$E:$E,$B51,領用表!$B:$B,BS$2&amp;$BI$1)</f>
        <v>0</v>
      </c>
      <c r="BT51" s="208">
        <f>SUMIFS(領用表!$L:$L,領用表!$E:$E,$B51,領用表!$B:$B,BT$2&amp;$BI$1)</f>
        <v>0</v>
      </c>
      <c r="BU51" s="208">
        <f t="shared" si="4"/>
        <v>76622</v>
      </c>
      <c r="BV51" s="208">
        <f t="shared" si="5"/>
        <v>15324.4</v>
      </c>
      <c r="BW51" s="208">
        <f>SUMIF(Summary!B:B,B51,Summary!DT:DT)</f>
        <v>25000</v>
      </c>
      <c r="BX51" s="215">
        <v>28000</v>
      </c>
      <c r="BY51" s="464" t="s">
        <v>806</v>
      </c>
      <c r="BZ51" s="210"/>
      <c r="CA51" s="261"/>
      <c r="CB51" s="346">
        <v>20000</v>
      </c>
      <c r="CC51" s="212"/>
      <c r="CE51" s="213"/>
    </row>
    <row r="52" spans="1:83" s="118" customFormat="1" ht="15.75" customHeight="1">
      <c r="A52" s="136" t="s">
        <v>91</v>
      </c>
      <c r="B52" s="118">
        <v>6170007</v>
      </c>
      <c r="C52" s="118" t="s">
        <v>615</v>
      </c>
      <c r="D52" s="207">
        <v>20099</v>
      </c>
      <c r="E52" s="198" t="s">
        <v>78</v>
      </c>
      <c r="F52" s="349">
        <f>(D52*1)+(17104)+(3565)+(15476)</f>
        <v>56244</v>
      </c>
      <c r="G52" s="349"/>
      <c r="H52" s="200">
        <v>0</v>
      </c>
      <c r="I52" s="200">
        <v>0.02</v>
      </c>
      <c r="J52" s="200">
        <v>0.02</v>
      </c>
      <c r="K52" s="200">
        <v>0.13</v>
      </c>
      <c r="L52" s="200">
        <v>0.08</v>
      </c>
      <c r="M52" s="200">
        <v>0.06</v>
      </c>
      <c r="N52" s="200">
        <v>0.02</v>
      </c>
      <c r="O52" s="200">
        <v>0.01</v>
      </c>
      <c r="P52" s="200">
        <v>0.04</v>
      </c>
      <c r="Q52" s="200">
        <v>0.02</v>
      </c>
      <c r="R52" s="200">
        <v>0.04</v>
      </c>
      <c r="S52" s="200">
        <v>0.18</v>
      </c>
      <c r="T52" s="200">
        <v>0.18</v>
      </c>
      <c r="U52" s="200">
        <v>0.08</v>
      </c>
      <c r="V52" s="200">
        <v>0.11</v>
      </c>
      <c r="W52" s="200">
        <v>0.12</v>
      </c>
      <c r="X52" s="200">
        <v>0.04</v>
      </c>
      <c r="Y52" s="200">
        <v>0.04</v>
      </c>
      <c r="Z52" s="200">
        <v>0</v>
      </c>
      <c r="AA52" s="200">
        <v>0.05</v>
      </c>
      <c r="AB52" s="200">
        <v>0.24</v>
      </c>
      <c r="AC52" s="200">
        <v>0.18</v>
      </c>
      <c r="AD52" s="200">
        <v>0.18</v>
      </c>
      <c r="AE52" s="200">
        <v>0.2</v>
      </c>
      <c r="AF52" s="200">
        <v>0.47</v>
      </c>
      <c r="AG52" s="221">
        <v>0.52470000000000006</v>
      </c>
      <c r="AH52" s="221">
        <v>0.63759999999999994</v>
      </c>
      <c r="AI52" s="221">
        <v>0.45415</v>
      </c>
      <c r="AJ52" s="221">
        <v>0.60724999999999996</v>
      </c>
      <c r="AK52" s="221">
        <v>0.96135000000000004</v>
      </c>
      <c r="AL52" s="221">
        <v>1.04125</v>
      </c>
      <c r="AM52" s="221">
        <v>1.1995</v>
      </c>
      <c r="AN52" s="221">
        <v>1.4194</v>
      </c>
      <c r="AO52" s="221">
        <v>1.99865</v>
      </c>
      <c r="AP52" s="201">
        <v>0</v>
      </c>
      <c r="AQ52" s="202">
        <v>3.6449077070000002</v>
      </c>
      <c r="AR52" s="203">
        <f>35435.97/D52</f>
        <v>1.7630712970794566</v>
      </c>
      <c r="AS52" s="204">
        <f>SUM(AG52:AR52)</f>
        <v>14.251829004079456</v>
      </c>
      <c r="AT52" s="205">
        <f>AS52/12</f>
        <v>1.1876524170066214</v>
      </c>
      <c r="AU52" s="203">
        <v>80000</v>
      </c>
      <c r="AV52" s="203">
        <v>103553</v>
      </c>
      <c r="AW52" s="203">
        <v>64539</v>
      </c>
      <c r="AX52" s="203">
        <v>44692</v>
      </c>
      <c r="AY52" s="203">
        <v>39890</v>
      </c>
      <c r="AZ52" s="203">
        <f>SUMIFS(領用表!$L:$L,領用表!$E:$E,$B52,領用表!$B:$B,AZ$2&amp;$BI$1)</f>
        <v>40840</v>
      </c>
      <c r="BA52" s="203">
        <f>SUMIFS(領用表!$L:$L,領用表!$E:$E,$B52,領用表!$B:$B,BA$2&amp;$BI$1)</f>
        <v>31868</v>
      </c>
      <c r="BB52" s="203">
        <f>SUMIFS(領用表!$L:$L,領用表!$E:$E,$B52,領用表!$B:$B,BB$2&amp;$BI$1)</f>
        <v>39271</v>
      </c>
      <c r="BC52" s="203">
        <f>SUMIFS(領用表!$L:$L,領用表!$E:$E,$B52,領用表!$B:$B,BC$2&amp;$BI$1)</f>
        <v>20640</v>
      </c>
      <c r="BD52" s="208">
        <f>SUMIFS(領用表!$L:$L,領用表!$E:$E,$B52,領用表!$B:$B,BD$2&amp;$BI$1)</f>
        <v>23112</v>
      </c>
      <c r="BE52" s="208">
        <f>SUMIFS(領用表!$L:$L,領用表!$E:$E,$B52,領用表!$B:$B,BE$2&amp;$BI$1)</f>
        <v>33827</v>
      </c>
      <c r="BF52" s="208">
        <f>SUMIFS(領用表!$L:$L,領用表!$E:$E,$B52,領用表!$B:$B,BF$2&amp;$BI$1)</f>
        <v>51090</v>
      </c>
      <c r="BG52" s="207">
        <f t="shared" si="12"/>
        <v>573322</v>
      </c>
      <c r="BH52" s="207">
        <f t="shared" si="13"/>
        <v>47776.833333333336</v>
      </c>
      <c r="BI52" s="208">
        <f>SUMIFS(領用表!$L:$L,領用表!$E:$E,$B52,領用表!$B:$B,BI$2&amp;$BI$1)</f>
        <v>49732</v>
      </c>
      <c r="BJ52" s="208">
        <f>SUMIFS(領用表!$L:$L,領用表!$E:$E,$B52,領用表!$B:$B,BJ$2&amp;$BI$1)</f>
        <v>44725</v>
      </c>
      <c r="BK52" s="208">
        <f>SUMIFS(領用表!$L:$L,領用表!$E:$E,$B52,領用表!$B:$B,BK$2&amp;$BI$1)</f>
        <v>39981</v>
      </c>
      <c r="BL52" s="208">
        <f>SUMIFS(領用表!$L:$L,領用表!$E:$E,$B52,領用表!$B:$B,BL$2&amp;$BI$1)</f>
        <v>32190</v>
      </c>
      <c r="BM52" s="208">
        <f>SUMIFS(領用表!$L:$L,領用表!$E:$E,$B52,領用表!$B:$B,BM$2&amp;$BI$1)</f>
        <v>39668</v>
      </c>
      <c r="BN52" s="208">
        <f>SUMIFS(領用表!$L:$L,領用表!$E:$E,$B52,領用表!$B:$B,BN$2&amp;$BI$1)</f>
        <v>0</v>
      </c>
      <c r="BO52" s="208">
        <f>SUMIFS(領用表!$L:$L,領用表!$E:$E,$B52,領用表!$B:$B,BO$2&amp;$BI$1)</f>
        <v>0</v>
      </c>
      <c r="BP52" s="208">
        <f>SUMIFS(領用表!$L:$L,領用表!$E:$E,$B52,領用表!$B:$B,BP$2&amp;$BI$1)</f>
        <v>0</v>
      </c>
      <c r="BQ52" s="208">
        <f>SUMIFS(領用表!$L:$L,領用表!$E:$E,$B52,領用表!$B:$B,BQ$2&amp;$BI$1)</f>
        <v>0</v>
      </c>
      <c r="BR52" s="208">
        <f>SUMIFS(領用表!$L:$L,領用表!$E:$E,$B52,領用表!$B:$B,BR$2&amp;$BI$1)</f>
        <v>0</v>
      </c>
      <c r="BS52" s="208">
        <f>SUMIFS(領用表!$L:$L,領用表!$E:$E,$B52,領用表!$B:$B,BS$2&amp;$BI$1)</f>
        <v>0</v>
      </c>
      <c r="BT52" s="208">
        <f>SUMIFS(領用表!$L:$L,領用表!$E:$E,$B52,領用表!$B:$B,BT$2&amp;$BI$1)</f>
        <v>0</v>
      </c>
      <c r="BU52" s="208">
        <f t="shared" si="4"/>
        <v>206296</v>
      </c>
      <c r="BV52" s="208">
        <f t="shared" si="5"/>
        <v>41259.199999999997</v>
      </c>
      <c r="BW52" s="208">
        <f>SUMIF(Summary!B:B,B52,Summary!DT:DT)</f>
        <v>50000</v>
      </c>
      <c r="BX52" s="215">
        <v>55000</v>
      </c>
      <c r="BY52" s="465"/>
      <c r="BZ52" s="210"/>
      <c r="CA52" s="261"/>
      <c r="CB52" s="346">
        <v>20000</v>
      </c>
      <c r="CC52" s="212"/>
      <c r="CE52" s="213"/>
    </row>
    <row r="53" spans="1:83" s="118" customFormat="1" ht="15.75" customHeight="1">
      <c r="A53" s="136" t="s">
        <v>92</v>
      </c>
      <c r="B53" s="118">
        <v>6170009</v>
      </c>
      <c r="C53" s="118" t="s">
        <v>616</v>
      </c>
      <c r="D53" s="207">
        <v>20099</v>
      </c>
      <c r="E53" s="198" t="s">
        <v>78</v>
      </c>
      <c r="F53" s="349">
        <f>(D53*0)+(17621)+(16881)+(3674)</f>
        <v>38176</v>
      </c>
      <c r="G53" s="349"/>
      <c r="H53" s="200">
        <v>0</v>
      </c>
      <c r="I53" s="200">
        <v>0.05</v>
      </c>
      <c r="J53" s="200">
        <v>0.05</v>
      </c>
      <c r="K53" s="200">
        <v>0.28000000000000003</v>
      </c>
      <c r="L53" s="200">
        <v>0.15</v>
      </c>
      <c r="M53" s="200">
        <v>0.1</v>
      </c>
      <c r="N53" s="200">
        <v>0.02</v>
      </c>
      <c r="O53" s="200">
        <v>7.0000000000000007E-2</v>
      </c>
      <c r="P53" s="200">
        <v>7.0000000000000007E-2</v>
      </c>
      <c r="Q53" s="200">
        <v>0.03</v>
      </c>
      <c r="R53" s="200">
        <v>0.08</v>
      </c>
      <c r="S53" s="200">
        <v>0.28000000000000003</v>
      </c>
      <c r="T53" s="200">
        <v>0.34</v>
      </c>
      <c r="U53" s="200">
        <v>0.43</v>
      </c>
      <c r="V53" s="200">
        <v>0.22</v>
      </c>
      <c r="W53" s="200">
        <v>0.27</v>
      </c>
      <c r="X53" s="200">
        <v>0.19</v>
      </c>
      <c r="Y53" s="200">
        <v>0.17</v>
      </c>
      <c r="Z53" s="200">
        <v>0.08</v>
      </c>
      <c r="AA53" s="200">
        <v>0.17</v>
      </c>
      <c r="AB53" s="200">
        <v>0.49</v>
      </c>
      <c r="AC53" s="200">
        <v>0.33</v>
      </c>
      <c r="AD53" s="200">
        <v>0.36</v>
      </c>
      <c r="AE53" s="200">
        <v>0.55000000000000004</v>
      </c>
      <c r="AF53" s="200">
        <v>1.18</v>
      </c>
      <c r="AG53" s="221">
        <v>1.1897500000000001</v>
      </c>
      <c r="AH53" s="221">
        <v>1.7077500000000001</v>
      </c>
      <c r="AI53" s="221">
        <v>1.1122000000000001</v>
      </c>
      <c r="AJ53" s="221">
        <v>1.5160499999999999</v>
      </c>
      <c r="AK53" s="221">
        <v>1.7877000000000001</v>
      </c>
      <c r="AL53" s="221">
        <v>1.9861</v>
      </c>
      <c r="AM53" s="221">
        <v>1.8072999999999999</v>
      </c>
      <c r="AN53" s="221">
        <v>2.97675</v>
      </c>
      <c r="AO53" s="221">
        <v>3.9359000000000002</v>
      </c>
      <c r="AP53" s="201">
        <v>2</v>
      </c>
      <c r="AQ53" s="202">
        <v>4.666898851</v>
      </c>
      <c r="AR53" s="203">
        <f>111583.65/D53</f>
        <v>5.5517015771928948</v>
      </c>
      <c r="AS53" s="204">
        <f>SUM(AG53:AR53)</f>
        <v>30.238100428192894</v>
      </c>
      <c r="AT53" s="205">
        <f>AS53/12</f>
        <v>2.519841702349408</v>
      </c>
      <c r="AU53" s="203">
        <v>136000</v>
      </c>
      <c r="AV53" s="203">
        <v>191154</v>
      </c>
      <c r="AW53" s="203">
        <v>112945</v>
      </c>
      <c r="AX53" s="203">
        <v>91969</v>
      </c>
      <c r="AY53" s="203">
        <v>71243</v>
      </c>
      <c r="AZ53" s="203">
        <f>SUMIFS(領用表!$L:$L,領用表!$E:$E,$B53,領用表!$B:$B,AZ$2&amp;$BI$1)</f>
        <v>71389</v>
      </c>
      <c r="BA53" s="203">
        <f>SUMIFS(領用表!$L:$L,領用表!$E:$E,$B53,領用表!$B:$B,BA$2&amp;$BI$1)</f>
        <v>47994</v>
      </c>
      <c r="BB53" s="203">
        <f>SUMIFS(領用表!$L:$L,領用表!$E:$E,$B53,領用表!$B:$B,BB$2&amp;$BI$1)</f>
        <v>54598</v>
      </c>
      <c r="BC53" s="203">
        <f>SUMIFS(領用表!$L:$L,領用表!$E:$E,$B53,領用表!$B:$B,BC$2&amp;$BI$1)</f>
        <v>33493</v>
      </c>
      <c r="BD53" s="208">
        <f>SUMIFS(領用表!$L:$L,領用表!$E:$E,$B53,領用表!$B:$B,BD$2&amp;$BI$1)</f>
        <v>44631</v>
      </c>
      <c r="BE53" s="208">
        <f>SUMIFS(領用表!$L:$L,領用表!$E:$E,$B53,領用表!$B:$B,BE$2&amp;$BI$1)</f>
        <v>50478</v>
      </c>
      <c r="BF53" s="208">
        <f>SUMIFS(領用表!$L:$L,領用表!$E:$E,$B53,領用表!$B:$B,BF$2&amp;$BI$1)</f>
        <v>66310</v>
      </c>
      <c r="BG53" s="207">
        <f t="shared" si="12"/>
        <v>972204</v>
      </c>
      <c r="BH53" s="207">
        <f t="shared" si="13"/>
        <v>81017</v>
      </c>
      <c r="BI53" s="208">
        <f>SUMIFS(領用表!$L:$L,領用表!$E:$E,$B53,領用表!$B:$B,BI$2&amp;$BI$1)</f>
        <v>68813</v>
      </c>
      <c r="BJ53" s="208">
        <f>SUMIFS(領用表!$L:$L,領用表!$E:$E,$B53,領用表!$B:$B,BJ$2&amp;$BI$1)</f>
        <v>63886</v>
      </c>
      <c r="BK53" s="208">
        <f>SUMIFS(領用表!$L:$L,領用表!$E:$E,$B53,領用表!$B:$B,BK$2&amp;$BI$1)</f>
        <v>49751</v>
      </c>
      <c r="BL53" s="208">
        <f>SUMIFS(領用表!$L:$L,領用表!$E:$E,$B53,領用表!$B:$B,BL$2&amp;$BI$1)</f>
        <v>35526</v>
      </c>
      <c r="BM53" s="208">
        <f>SUMIFS(領用表!$L:$L,領用表!$E:$E,$B53,領用表!$B:$B,BM$2&amp;$BI$1)</f>
        <v>53546</v>
      </c>
      <c r="BN53" s="208">
        <f>SUMIFS(領用表!$L:$L,領用表!$E:$E,$B53,領用表!$B:$B,BN$2&amp;$BI$1)</f>
        <v>0</v>
      </c>
      <c r="BO53" s="208">
        <f>SUMIFS(領用表!$L:$L,領用表!$E:$E,$B53,領用表!$B:$B,BO$2&amp;$BI$1)</f>
        <v>0</v>
      </c>
      <c r="BP53" s="208">
        <f>SUMIFS(領用表!$L:$L,領用表!$E:$E,$B53,領用表!$B:$B,BP$2&amp;$BI$1)</f>
        <v>0</v>
      </c>
      <c r="BQ53" s="208">
        <f>SUMIFS(領用表!$L:$L,領用表!$E:$E,$B53,領用表!$B:$B,BQ$2&amp;$BI$1)</f>
        <v>0</v>
      </c>
      <c r="BR53" s="208">
        <f>SUMIFS(領用表!$L:$L,領用表!$E:$E,$B53,領用表!$B:$B,BR$2&amp;$BI$1)</f>
        <v>0</v>
      </c>
      <c r="BS53" s="208">
        <f>SUMIFS(領用表!$L:$L,領用表!$E:$E,$B53,領用表!$B:$B,BS$2&amp;$BI$1)</f>
        <v>0</v>
      </c>
      <c r="BT53" s="208">
        <f>SUMIFS(領用表!$L:$L,領用表!$E:$E,$B53,領用表!$B:$B,BT$2&amp;$BI$1)</f>
        <v>0</v>
      </c>
      <c r="BU53" s="208">
        <f t="shared" si="4"/>
        <v>271522</v>
      </c>
      <c r="BV53" s="208">
        <f t="shared" si="5"/>
        <v>54304.4</v>
      </c>
      <c r="BW53" s="208">
        <f>SUMIF(Summary!B:B,B53,Summary!DT:DT)</f>
        <v>70000</v>
      </c>
      <c r="BX53" s="215">
        <v>95000</v>
      </c>
      <c r="BY53" s="465"/>
      <c r="BZ53" s="210"/>
      <c r="CA53" s="262" t="s">
        <v>803</v>
      </c>
      <c r="CB53" s="346">
        <v>20000</v>
      </c>
      <c r="CC53" s="212"/>
      <c r="CE53" s="213"/>
    </row>
    <row r="54" spans="1:83" s="118" customFormat="1" ht="15">
      <c r="A54" s="136" t="s">
        <v>93</v>
      </c>
      <c r="B54" s="118">
        <v>6170011</v>
      </c>
      <c r="C54" s="118" t="s">
        <v>617</v>
      </c>
      <c r="D54" s="207">
        <v>30099</v>
      </c>
      <c r="E54" s="198" t="s">
        <v>78</v>
      </c>
      <c r="F54" s="349">
        <f>(D54*7)+(13071)+(7384)+(19384)</f>
        <v>250532</v>
      </c>
      <c r="G54" s="349"/>
      <c r="H54" s="200">
        <v>0</v>
      </c>
      <c r="I54" s="200">
        <v>0.02</v>
      </c>
      <c r="J54" s="200">
        <v>0.03</v>
      </c>
      <c r="K54" s="200">
        <v>0.02</v>
      </c>
      <c r="L54" s="200">
        <v>0.04</v>
      </c>
      <c r="M54" s="200">
        <v>0.03</v>
      </c>
      <c r="N54" s="200">
        <v>0.01</v>
      </c>
      <c r="O54" s="200">
        <v>0.01</v>
      </c>
      <c r="P54" s="200">
        <v>0.01</v>
      </c>
      <c r="Q54" s="200">
        <v>0</v>
      </c>
      <c r="R54" s="200">
        <v>0.03</v>
      </c>
      <c r="S54" s="200">
        <v>0</v>
      </c>
      <c r="T54" s="200">
        <v>0.04</v>
      </c>
      <c r="U54" s="200">
        <v>7.0000000000000007E-2</v>
      </c>
      <c r="V54" s="200">
        <v>0.01</v>
      </c>
      <c r="W54" s="200">
        <v>0.01</v>
      </c>
      <c r="X54" s="200">
        <v>0.01</v>
      </c>
      <c r="Y54" s="200">
        <v>0</v>
      </c>
      <c r="Z54" s="200">
        <v>0</v>
      </c>
      <c r="AA54" s="200">
        <v>0.02</v>
      </c>
      <c r="AB54" s="200">
        <v>0.01</v>
      </c>
      <c r="AC54" s="200">
        <v>0.06</v>
      </c>
      <c r="AD54" s="200">
        <v>0.01</v>
      </c>
      <c r="AE54" s="200">
        <v>0.17</v>
      </c>
      <c r="AF54" s="200">
        <v>0.31</v>
      </c>
      <c r="AG54" s="221">
        <v>0.152</v>
      </c>
      <c r="AH54" s="221">
        <v>0.20136999999999999</v>
      </c>
      <c r="AI54" s="221">
        <v>0.26756999999999997</v>
      </c>
      <c r="AJ54" s="221">
        <v>0.2903</v>
      </c>
      <c r="AK54" s="221">
        <v>0.36523</v>
      </c>
      <c r="AL54" s="221">
        <v>0.41682999999999998</v>
      </c>
      <c r="AM54" s="221">
        <v>0.41356999999999999</v>
      </c>
      <c r="AN54" s="221">
        <v>0.52527000000000001</v>
      </c>
      <c r="AO54" s="221">
        <v>0.49406666700000001</v>
      </c>
      <c r="AP54" s="201">
        <v>2</v>
      </c>
      <c r="AQ54" s="202">
        <v>1.9896447880000001</v>
      </c>
      <c r="AR54" s="203">
        <f>27359.04/D54</f>
        <v>0.90896840426592251</v>
      </c>
      <c r="AS54" s="204">
        <f>SUM(AG54:AR54)</f>
        <v>8.0248198592659215</v>
      </c>
      <c r="AT54" s="205">
        <f>AS54/12</f>
        <v>0.66873498827216016</v>
      </c>
      <c r="AU54" s="203">
        <v>60000</v>
      </c>
      <c r="AV54" s="203">
        <v>49482</v>
      </c>
      <c r="AW54" s="203">
        <v>46552</v>
      </c>
      <c r="AX54" s="203">
        <v>41345</v>
      </c>
      <c r="AY54" s="203">
        <v>22589</v>
      </c>
      <c r="AZ54" s="203">
        <f>SUMIFS(領用表!$L:$L,領用表!$E:$E,$B54,領用表!$B:$B,AZ$2&amp;$BI$1)</f>
        <v>23379</v>
      </c>
      <c r="BA54" s="203">
        <f>SUMIFS(領用表!$L:$L,領用表!$E:$E,$B54,領用表!$B:$B,BA$2&amp;$BI$1)</f>
        <v>11614</v>
      </c>
      <c r="BB54" s="203">
        <f>SUMIFS(領用表!$L:$L,領用表!$E:$E,$B54,領用表!$B:$B,BB$2&amp;$BI$1)</f>
        <v>13634</v>
      </c>
      <c r="BC54" s="203">
        <f>SUMIFS(領用表!$L:$L,領用表!$E:$E,$B54,領用表!$B:$B,BC$2&amp;$BI$1)</f>
        <v>10598</v>
      </c>
      <c r="BD54" s="208">
        <f>SUMIFS(領用表!$L:$L,領用表!$E:$E,$B54,領用表!$B:$B,BD$2&amp;$BI$1)</f>
        <v>11785</v>
      </c>
      <c r="BE54" s="208">
        <f>SUMIFS(領用表!$L:$L,領用表!$E:$E,$B54,領用表!$B:$B,BE$2&amp;$BI$1)</f>
        <v>12161</v>
      </c>
      <c r="BF54" s="208">
        <f>SUMIFS(領用表!$L:$L,領用表!$E:$E,$B54,領用表!$B:$B,BF$2&amp;$BI$1)</f>
        <v>21539</v>
      </c>
      <c r="BG54" s="207">
        <f t="shared" si="12"/>
        <v>324678</v>
      </c>
      <c r="BH54" s="207">
        <f t="shared" si="13"/>
        <v>27056.5</v>
      </c>
      <c r="BI54" s="208">
        <f>SUMIFS(領用表!$L:$L,領用表!$E:$E,$B54,領用表!$B:$B,BI$2&amp;$BI$1)</f>
        <v>22645</v>
      </c>
      <c r="BJ54" s="208">
        <f>SUMIFS(領用表!$L:$L,領用表!$E:$E,$B54,領用表!$B:$B,BJ$2&amp;$BI$1)</f>
        <v>25505</v>
      </c>
      <c r="BK54" s="208">
        <f>SUMIFS(領用表!$L:$L,領用表!$E:$E,$B54,領用表!$B:$B,BK$2&amp;$BI$1)</f>
        <v>19026</v>
      </c>
      <c r="BL54" s="208">
        <f>SUMIFS(領用表!$L:$L,領用表!$E:$E,$B54,領用表!$B:$B,BL$2&amp;$BI$1)</f>
        <v>14761</v>
      </c>
      <c r="BM54" s="208">
        <f>SUMIFS(領用表!$L:$L,領用表!$E:$E,$B54,領用表!$B:$B,BM$2&amp;$BI$1)</f>
        <v>14989</v>
      </c>
      <c r="BN54" s="208">
        <f>SUMIFS(領用表!$L:$L,領用表!$E:$E,$B54,領用表!$B:$B,BN$2&amp;$BI$1)</f>
        <v>0</v>
      </c>
      <c r="BO54" s="208">
        <f>SUMIFS(領用表!$L:$L,領用表!$E:$E,$B54,領用表!$B:$B,BO$2&amp;$BI$1)</f>
        <v>0</v>
      </c>
      <c r="BP54" s="208">
        <f>SUMIFS(領用表!$L:$L,領用表!$E:$E,$B54,領用表!$B:$B,BP$2&amp;$BI$1)</f>
        <v>0</v>
      </c>
      <c r="BQ54" s="208">
        <f>SUMIFS(領用表!$L:$L,領用表!$E:$E,$B54,領用表!$B:$B,BQ$2&amp;$BI$1)</f>
        <v>0</v>
      </c>
      <c r="BR54" s="208">
        <f>SUMIFS(領用表!$L:$L,領用表!$E:$E,$B54,領用表!$B:$B,BR$2&amp;$BI$1)</f>
        <v>0</v>
      </c>
      <c r="BS54" s="208">
        <f>SUMIFS(領用表!$L:$L,領用表!$E:$E,$B54,領用表!$B:$B,BS$2&amp;$BI$1)</f>
        <v>0</v>
      </c>
      <c r="BT54" s="208">
        <f>SUMIFS(領用表!$L:$L,領用表!$E:$E,$B54,領用表!$B:$B,BT$2&amp;$BI$1)</f>
        <v>0</v>
      </c>
      <c r="BU54" s="208">
        <f t="shared" si="4"/>
        <v>96926</v>
      </c>
      <c r="BV54" s="208">
        <f t="shared" si="5"/>
        <v>19385.2</v>
      </c>
      <c r="BW54" s="208">
        <f>SUMIF(Summary!B:B,B54,Summary!DT:DT)</f>
        <v>24000</v>
      </c>
      <c r="BX54" s="215">
        <v>35000</v>
      </c>
      <c r="BY54" s="466"/>
      <c r="BZ54" s="210"/>
      <c r="CA54" s="262" t="s">
        <v>807</v>
      </c>
      <c r="CB54" s="346">
        <v>30000</v>
      </c>
      <c r="CC54" s="212"/>
      <c r="CE54" s="213"/>
    </row>
    <row r="55" spans="1:83" s="118" customFormat="1" ht="15.75" customHeight="1">
      <c r="A55" s="136" t="s">
        <v>95</v>
      </c>
      <c r="B55" s="118">
        <v>6170019</v>
      </c>
      <c r="C55" s="133" t="s">
        <v>490</v>
      </c>
      <c r="D55" s="207">
        <v>20099</v>
      </c>
      <c r="E55" s="198" t="s">
        <v>78</v>
      </c>
      <c r="F55" s="349">
        <f>(D55*4)+(16544)+(17009)</f>
        <v>113949</v>
      </c>
      <c r="G55" s="349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21"/>
      <c r="AH55" s="221"/>
      <c r="AI55" s="221"/>
      <c r="AJ55" s="221"/>
      <c r="AK55" s="221"/>
      <c r="AL55" s="221"/>
      <c r="AM55" s="221"/>
      <c r="AN55" s="221"/>
      <c r="AO55" s="221"/>
      <c r="AP55" s="201"/>
      <c r="AQ55" s="202"/>
      <c r="AR55" s="203" t="s">
        <v>49</v>
      </c>
      <c r="AS55" s="204" t="s">
        <v>49</v>
      </c>
      <c r="AT55" s="205" t="s">
        <v>49</v>
      </c>
      <c r="AU55" s="205" t="s">
        <v>49</v>
      </c>
      <c r="AV55" s="205" t="s">
        <v>49</v>
      </c>
      <c r="AW55" s="205" t="s">
        <v>49</v>
      </c>
      <c r="AX55" s="203">
        <v>1420</v>
      </c>
      <c r="AY55" s="203">
        <v>5352</v>
      </c>
      <c r="AZ55" s="203">
        <f>SUMIFS(領用表!$L:$L,領用表!$E:$E,$B55,領用表!$B:$B,AZ$2&amp;$BI$1)</f>
        <v>2946</v>
      </c>
      <c r="BA55" s="203">
        <f>SUMIFS(領用表!$L:$L,領用表!$E:$E,$B55,領用表!$B:$B,BA$2&amp;$BI$1)</f>
        <v>1201</v>
      </c>
      <c r="BB55" s="203">
        <f>SUMIFS(領用表!$L:$L,領用表!$E:$E,$B55,領用表!$B:$B,BB$2&amp;$BI$1)</f>
        <v>1092</v>
      </c>
      <c r="BC55" s="203">
        <f>SUMIFS(領用表!$L:$L,領用表!$E:$E,$B55,領用表!$B:$B,BC$2&amp;$BI$1)</f>
        <v>1299</v>
      </c>
      <c r="BD55" s="208">
        <f>SUMIFS(領用表!$L:$L,領用表!$E:$E,$B55,領用表!$B:$B,BD$2&amp;$BI$1)</f>
        <v>4343</v>
      </c>
      <c r="BE55" s="208">
        <f>SUMIFS(領用表!$L:$L,領用表!$E:$E,$B55,領用表!$B:$B,BE$2&amp;$BI$1)</f>
        <v>3881</v>
      </c>
      <c r="BF55" s="208">
        <f>SUMIFS(領用表!$L:$L,領用表!$E:$E,$B55,領用表!$B:$B,BF$2&amp;$BI$1)</f>
        <v>4913</v>
      </c>
      <c r="BG55" s="207">
        <f t="shared" si="12"/>
        <v>26447</v>
      </c>
      <c r="BH55" s="207">
        <f t="shared" si="13"/>
        <v>2938.5555555555557</v>
      </c>
      <c r="BI55" s="208">
        <f>SUMIFS(領用表!$L:$L,領用表!$E:$E,$B55,領用表!$B:$B,BI$2&amp;$BI$1)</f>
        <v>4556</v>
      </c>
      <c r="BJ55" s="208">
        <f>SUMIFS(領用表!$L:$L,領用表!$E:$E,$B55,領用表!$B:$B,BJ$2&amp;$BI$1)</f>
        <v>4359</v>
      </c>
      <c r="BK55" s="208">
        <f>SUMIFS(領用表!$L:$L,領用表!$E:$E,$B55,領用表!$B:$B,BK$2&amp;$BI$1)</f>
        <v>2099</v>
      </c>
      <c r="BL55" s="208">
        <f>SUMIFS(領用表!$L:$L,領用表!$E:$E,$B55,領用表!$B:$B,BL$2&amp;$BI$1)</f>
        <v>2664</v>
      </c>
      <c r="BM55" s="208">
        <f>SUMIFS(領用表!$L:$L,領用表!$E:$E,$B55,領用表!$B:$B,BM$2&amp;$BI$1)</f>
        <v>5179</v>
      </c>
      <c r="BN55" s="208">
        <f>SUMIFS(領用表!$L:$L,領用表!$E:$E,$B55,領用表!$B:$B,BN$2&amp;$BI$1)</f>
        <v>0</v>
      </c>
      <c r="BO55" s="208">
        <f>SUMIFS(領用表!$L:$L,領用表!$E:$E,$B55,領用表!$B:$B,BO$2&amp;$BI$1)</f>
        <v>0</v>
      </c>
      <c r="BP55" s="208">
        <f>SUMIFS(領用表!$L:$L,領用表!$E:$E,$B55,領用表!$B:$B,BP$2&amp;$BI$1)</f>
        <v>0</v>
      </c>
      <c r="BQ55" s="208">
        <f>SUMIFS(領用表!$L:$L,領用表!$E:$E,$B55,領用表!$B:$B,BQ$2&amp;$BI$1)</f>
        <v>0</v>
      </c>
      <c r="BR55" s="208">
        <f>SUMIFS(領用表!$L:$L,領用表!$E:$E,$B55,領用表!$B:$B,BR$2&amp;$BI$1)</f>
        <v>0</v>
      </c>
      <c r="BS55" s="208">
        <f>SUMIFS(領用表!$L:$L,領用表!$E:$E,$B55,領用表!$B:$B,BS$2&amp;$BI$1)</f>
        <v>0</v>
      </c>
      <c r="BT55" s="208">
        <f>SUMIFS(領用表!$L:$L,領用表!$E:$E,$B55,領用表!$B:$B,BT$2&amp;$BI$1)</f>
        <v>0</v>
      </c>
      <c r="BU55" s="208">
        <f t="shared" si="4"/>
        <v>18857</v>
      </c>
      <c r="BV55" s="208">
        <f t="shared" si="5"/>
        <v>3771.4</v>
      </c>
      <c r="BW55" s="208">
        <f>SUMIF(Summary!B:B,B55,Summary!DT:DT)</f>
        <v>4600</v>
      </c>
      <c r="BX55" s="215">
        <v>2500</v>
      </c>
      <c r="BY55" s="464">
        <v>0</v>
      </c>
      <c r="BZ55" s="210"/>
      <c r="CA55" s="261"/>
      <c r="CB55" s="346" t="s">
        <v>842</v>
      </c>
      <c r="CC55" s="212"/>
      <c r="CE55" s="213"/>
    </row>
    <row r="56" spans="1:83" s="118" customFormat="1" ht="15.75" customHeight="1">
      <c r="A56" s="136" t="s">
        <v>97</v>
      </c>
      <c r="B56" s="118">
        <v>6170020</v>
      </c>
      <c r="C56" s="133" t="s">
        <v>491</v>
      </c>
      <c r="D56" s="207">
        <v>20099</v>
      </c>
      <c r="E56" s="198" t="s">
        <v>78</v>
      </c>
      <c r="F56" s="349">
        <f>(D56*4)+(190)+(5192)</f>
        <v>85778</v>
      </c>
      <c r="G56" s="349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21"/>
      <c r="AH56" s="221"/>
      <c r="AI56" s="221"/>
      <c r="AJ56" s="221"/>
      <c r="AK56" s="221"/>
      <c r="AL56" s="221"/>
      <c r="AM56" s="221"/>
      <c r="AN56" s="221"/>
      <c r="AO56" s="221"/>
      <c r="AP56" s="201"/>
      <c r="AQ56" s="202"/>
      <c r="AR56" s="203" t="s">
        <v>49</v>
      </c>
      <c r="AS56" s="204" t="s">
        <v>49</v>
      </c>
      <c r="AT56" s="205" t="s">
        <v>49</v>
      </c>
      <c r="AU56" s="205" t="s">
        <v>49</v>
      </c>
      <c r="AV56" s="205" t="s">
        <v>49</v>
      </c>
      <c r="AW56" s="205" t="s">
        <v>49</v>
      </c>
      <c r="AX56" s="203">
        <v>5501</v>
      </c>
      <c r="AY56" s="203">
        <v>12905</v>
      </c>
      <c r="AZ56" s="203">
        <f>SUMIFS(領用表!$L:$L,領用表!$E:$E,$B56,領用表!$B:$B,AZ$2&amp;$BI$1)</f>
        <v>9079</v>
      </c>
      <c r="BA56" s="203">
        <f>SUMIFS(領用表!$L:$L,領用表!$E:$E,$B56,領用表!$B:$B,BA$2&amp;$BI$1)</f>
        <v>5033</v>
      </c>
      <c r="BB56" s="203">
        <f>SUMIFS(領用表!$L:$L,領用表!$E:$E,$B56,領用表!$B:$B,BB$2&amp;$BI$1)</f>
        <v>3252</v>
      </c>
      <c r="BC56" s="203">
        <f>SUMIFS(領用表!$L:$L,領用表!$E:$E,$B56,領用表!$B:$B,BC$2&amp;$BI$1)</f>
        <v>3659</v>
      </c>
      <c r="BD56" s="208">
        <f>SUMIFS(領用表!$L:$L,領用表!$E:$E,$B56,領用表!$B:$B,BD$2&amp;$BI$1)</f>
        <v>8851</v>
      </c>
      <c r="BE56" s="208">
        <f>SUMIFS(領用表!$L:$L,領用表!$E:$E,$B56,領用表!$B:$B,BE$2&amp;$BI$1)</f>
        <v>8562</v>
      </c>
      <c r="BF56" s="208">
        <f>SUMIFS(領用表!$L:$L,領用表!$E:$E,$B56,領用表!$B:$B,BF$2&amp;$BI$1)</f>
        <v>9125</v>
      </c>
      <c r="BG56" s="207">
        <f t="shared" si="12"/>
        <v>65967</v>
      </c>
      <c r="BH56" s="207">
        <f t="shared" si="13"/>
        <v>7329.666666666667</v>
      </c>
      <c r="BI56" s="208">
        <f>SUMIFS(領用表!$L:$L,領用表!$E:$E,$B56,領用表!$B:$B,BI$2&amp;$BI$1)</f>
        <v>9844</v>
      </c>
      <c r="BJ56" s="208">
        <f>SUMIFS(領用表!$L:$L,領用表!$E:$E,$B56,領用表!$B:$B,BJ$2&amp;$BI$1)</f>
        <v>7769</v>
      </c>
      <c r="BK56" s="208">
        <f>SUMIFS(領用表!$L:$L,領用表!$E:$E,$B56,領用表!$B:$B,BK$2&amp;$BI$1)</f>
        <v>5909</v>
      </c>
      <c r="BL56" s="208">
        <f>SUMIFS(領用表!$L:$L,領用表!$E:$E,$B56,領用表!$B:$B,BL$2&amp;$BI$1)</f>
        <v>7903</v>
      </c>
      <c r="BM56" s="208">
        <f>SUMIFS(領用表!$L:$L,領用表!$E:$E,$B56,領用表!$B:$B,BM$2&amp;$BI$1)</f>
        <v>13259</v>
      </c>
      <c r="BN56" s="208">
        <f>SUMIFS(領用表!$L:$L,領用表!$E:$E,$B56,領用表!$B:$B,BN$2&amp;$BI$1)</f>
        <v>0</v>
      </c>
      <c r="BO56" s="208">
        <f>SUMIFS(領用表!$L:$L,領用表!$E:$E,$B56,領用表!$B:$B,BO$2&amp;$BI$1)</f>
        <v>0</v>
      </c>
      <c r="BP56" s="208">
        <f>SUMIFS(領用表!$L:$L,領用表!$E:$E,$B56,領用表!$B:$B,BP$2&amp;$BI$1)</f>
        <v>0</v>
      </c>
      <c r="BQ56" s="208">
        <f>SUMIFS(領用表!$L:$L,領用表!$E:$E,$B56,領用表!$B:$B,BQ$2&amp;$BI$1)</f>
        <v>0</v>
      </c>
      <c r="BR56" s="208">
        <f>SUMIFS(領用表!$L:$L,領用表!$E:$E,$B56,領用表!$B:$B,BR$2&amp;$BI$1)</f>
        <v>0</v>
      </c>
      <c r="BS56" s="208">
        <f>SUMIFS(領用表!$L:$L,領用表!$E:$E,$B56,領用表!$B:$B,BS$2&amp;$BI$1)</f>
        <v>0</v>
      </c>
      <c r="BT56" s="208">
        <f>SUMIFS(領用表!$L:$L,領用表!$E:$E,$B56,領用表!$B:$B,BT$2&amp;$BI$1)</f>
        <v>0</v>
      </c>
      <c r="BU56" s="208">
        <f t="shared" si="4"/>
        <v>44684</v>
      </c>
      <c r="BV56" s="208">
        <f t="shared" si="5"/>
        <v>8936.7999999999993</v>
      </c>
      <c r="BW56" s="208">
        <f>SUMIF(Summary!B:B,B56,Summary!DT:DT)</f>
        <v>9500</v>
      </c>
      <c r="BX56" s="215">
        <v>7000</v>
      </c>
      <c r="BY56" s="465"/>
      <c r="BZ56" s="210"/>
      <c r="CA56" s="261"/>
      <c r="CB56" s="346" t="s">
        <v>842</v>
      </c>
      <c r="CC56" s="212"/>
      <c r="CE56" s="213"/>
    </row>
    <row r="57" spans="1:83" s="118" customFormat="1" ht="15.75" customHeight="1">
      <c r="A57" s="136" t="s">
        <v>98</v>
      </c>
      <c r="B57" s="118">
        <v>6170021</v>
      </c>
      <c r="C57" s="133" t="s">
        <v>492</v>
      </c>
      <c r="D57" s="207">
        <v>20099</v>
      </c>
      <c r="E57" s="198" t="s">
        <v>78</v>
      </c>
      <c r="F57" s="349">
        <f>(D57*2)+(2119)+(3529)</f>
        <v>45846</v>
      </c>
      <c r="G57" s="349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21"/>
      <c r="AH57" s="221"/>
      <c r="AI57" s="221"/>
      <c r="AJ57" s="221"/>
      <c r="AK57" s="221"/>
      <c r="AL57" s="221"/>
      <c r="AM57" s="221"/>
      <c r="AN57" s="221"/>
      <c r="AO57" s="221"/>
      <c r="AP57" s="201"/>
      <c r="AQ57" s="202"/>
      <c r="AR57" s="203" t="s">
        <v>49</v>
      </c>
      <c r="AS57" s="204" t="s">
        <v>49</v>
      </c>
      <c r="AT57" s="205" t="s">
        <v>49</v>
      </c>
      <c r="AU57" s="205" t="s">
        <v>49</v>
      </c>
      <c r="AV57" s="205" t="s">
        <v>49</v>
      </c>
      <c r="AW57" s="205" t="s">
        <v>49</v>
      </c>
      <c r="AX57" s="203">
        <v>17125</v>
      </c>
      <c r="AY57" s="203">
        <v>32157</v>
      </c>
      <c r="AZ57" s="203">
        <f>SUMIFS(領用表!$L:$L,領用表!$E:$E,$B57,領用表!$B:$B,AZ$2&amp;$BI$1)</f>
        <v>18643</v>
      </c>
      <c r="BA57" s="203">
        <f>SUMIFS(領用表!$L:$L,領用表!$E:$E,$B57,領用表!$B:$B,BA$2&amp;$BI$1)</f>
        <v>10416</v>
      </c>
      <c r="BB57" s="203">
        <f>SUMIFS(領用表!$L:$L,領用表!$E:$E,$B57,領用表!$B:$B,BB$2&amp;$BI$1)</f>
        <v>7356</v>
      </c>
      <c r="BC57" s="203">
        <f>SUMIFS(領用表!$L:$L,領用表!$E:$E,$B57,領用表!$B:$B,BC$2&amp;$BI$1)</f>
        <v>6916</v>
      </c>
      <c r="BD57" s="208">
        <f>SUMIFS(領用表!$L:$L,領用表!$E:$E,$B57,領用表!$B:$B,BD$2&amp;$BI$1)</f>
        <v>17271</v>
      </c>
      <c r="BE57" s="208">
        <f>SUMIFS(領用表!$L:$L,領用表!$E:$E,$B57,領用表!$B:$B,BE$2&amp;$BI$1)</f>
        <v>14059</v>
      </c>
      <c r="BF57" s="208">
        <f>SUMIFS(領用表!$L:$L,領用表!$E:$E,$B57,領用表!$B:$B,BF$2&amp;$BI$1)</f>
        <v>20204</v>
      </c>
      <c r="BG57" s="207">
        <f t="shared" si="12"/>
        <v>144147</v>
      </c>
      <c r="BH57" s="207">
        <f t="shared" si="13"/>
        <v>16016.333333333334</v>
      </c>
      <c r="BI57" s="208">
        <f>SUMIFS(領用表!$L:$L,領用表!$E:$E,$B57,領用表!$B:$B,BI$2&amp;$BI$1)</f>
        <v>18334</v>
      </c>
      <c r="BJ57" s="208">
        <f>SUMIFS(領用表!$L:$L,領用表!$E:$E,$B57,領用表!$B:$B,BJ$2&amp;$BI$1)</f>
        <v>15685</v>
      </c>
      <c r="BK57" s="208">
        <f>SUMIFS(領用表!$L:$L,領用表!$E:$E,$B57,領用表!$B:$B,BK$2&amp;$BI$1)</f>
        <v>10370</v>
      </c>
      <c r="BL57" s="208">
        <f>SUMIFS(領用表!$L:$L,領用表!$E:$E,$B57,領用表!$B:$B,BL$2&amp;$BI$1)</f>
        <v>14896</v>
      </c>
      <c r="BM57" s="208">
        <f>SUMIFS(領用表!$L:$L,領用表!$E:$E,$B57,領用表!$B:$B,BM$2&amp;$BI$1)</f>
        <v>21459</v>
      </c>
      <c r="BN57" s="208">
        <f>SUMIFS(領用表!$L:$L,領用表!$E:$E,$B57,領用表!$B:$B,BN$2&amp;$BI$1)</f>
        <v>0</v>
      </c>
      <c r="BO57" s="208">
        <f>SUMIFS(領用表!$L:$L,領用表!$E:$E,$B57,領用表!$B:$B,BO$2&amp;$BI$1)</f>
        <v>0</v>
      </c>
      <c r="BP57" s="208">
        <f>SUMIFS(領用表!$L:$L,領用表!$E:$E,$B57,領用表!$B:$B,BP$2&amp;$BI$1)</f>
        <v>0</v>
      </c>
      <c r="BQ57" s="208">
        <f>SUMIFS(領用表!$L:$L,領用表!$E:$E,$B57,領用表!$B:$B,BQ$2&amp;$BI$1)</f>
        <v>0</v>
      </c>
      <c r="BR57" s="208">
        <f>SUMIFS(領用表!$L:$L,領用表!$E:$E,$B57,領用表!$B:$B,BR$2&amp;$BI$1)</f>
        <v>0</v>
      </c>
      <c r="BS57" s="208">
        <f>SUMIFS(領用表!$L:$L,領用表!$E:$E,$B57,領用表!$B:$B,BS$2&amp;$BI$1)</f>
        <v>0</v>
      </c>
      <c r="BT57" s="208">
        <f>SUMIFS(領用表!$L:$L,領用表!$E:$E,$B57,領用表!$B:$B,BT$2&amp;$BI$1)</f>
        <v>0</v>
      </c>
      <c r="BU57" s="208">
        <f t="shared" si="4"/>
        <v>80744</v>
      </c>
      <c r="BV57" s="208">
        <f t="shared" si="5"/>
        <v>16148.8</v>
      </c>
      <c r="BW57" s="208">
        <f>SUMIF(Summary!B:B,B57,Summary!DT:DT)</f>
        <v>20000</v>
      </c>
      <c r="BX57" s="215">
        <v>17000</v>
      </c>
      <c r="BY57" s="465"/>
      <c r="BZ57" s="210"/>
      <c r="CA57" s="262" t="s">
        <v>804</v>
      </c>
      <c r="CB57" s="346" t="s">
        <v>842</v>
      </c>
      <c r="CC57" s="212"/>
      <c r="CE57" s="213"/>
    </row>
    <row r="58" spans="1:83" s="118" customFormat="1" ht="15.75" customHeight="1">
      <c r="A58" s="136" t="s">
        <v>99</v>
      </c>
      <c r="B58" s="118">
        <v>6170022</v>
      </c>
      <c r="C58" s="133" t="s">
        <v>493</v>
      </c>
      <c r="D58" s="207">
        <v>20099</v>
      </c>
      <c r="E58" s="198" t="s">
        <v>78</v>
      </c>
      <c r="F58" s="349">
        <f>(D58*3)+(12386)+(12476)</f>
        <v>85159</v>
      </c>
      <c r="G58" s="349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21"/>
      <c r="AH58" s="221"/>
      <c r="AI58" s="221"/>
      <c r="AJ58" s="221"/>
      <c r="AK58" s="221"/>
      <c r="AL58" s="221"/>
      <c r="AM58" s="221"/>
      <c r="AN58" s="221"/>
      <c r="AO58" s="221"/>
      <c r="AP58" s="201"/>
      <c r="AQ58" s="202"/>
      <c r="AR58" s="203"/>
      <c r="AS58" s="204" t="s">
        <v>49</v>
      </c>
      <c r="AT58" s="205" t="s">
        <v>49</v>
      </c>
      <c r="AU58" s="205" t="s">
        <v>49</v>
      </c>
      <c r="AV58" s="205" t="s">
        <v>49</v>
      </c>
      <c r="AW58" s="205" t="s">
        <v>49</v>
      </c>
      <c r="AX58" s="203">
        <v>5766</v>
      </c>
      <c r="AY58" s="203">
        <v>15433</v>
      </c>
      <c r="AZ58" s="203">
        <f>SUMIFS(領用表!$L:$L,領用表!$E:$E,$B58,領用表!$B:$B,AZ$2&amp;$BI$1)</f>
        <v>5735</v>
      </c>
      <c r="BA58" s="203">
        <f>SUMIFS(領用表!$L:$L,領用表!$E:$E,$B58,領用表!$B:$B,BA$2&amp;$BI$1)</f>
        <v>6354</v>
      </c>
      <c r="BB58" s="203">
        <f>SUMIFS(領用表!$L:$L,領用表!$E:$E,$B58,領用表!$B:$B,BB$2&amp;$BI$1)</f>
        <v>2301</v>
      </c>
      <c r="BC58" s="203">
        <f>SUMIFS(領用表!$L:$L,領用表!$E:$E,$B58,領用表!$B:$B,BC$2&amp;$BI$1)</f>
        <v>1976</v>
      </c>
      <c r="BD58" s="208">
        <f>SUMIFS(領用表!$L:$L,領用表!$E:$E,$B58,領用表!$B:$B,BD$2&amp;$BI$1)</f>
        <v>6688</v>
      </c>
      <c r="BE58" s="208">
        <f>SUMIFS(領用表!$L:$L,領用表!$E:$E,$B58,領用表!$B:$B,BE$2&amp;$BI$1)</f>
        <v>6900</v>
      </c>
      <c r="BF58" s="208">
        <f>SUMIFS(領用表!$L:$L,領用表!$E:$E,$B58,領用表!$B:$B,BF$2&amp;$BI$1)</f>
        <v>9513</v>
      </c>
      <c r="BG58" s="207">
        <f t="shared" si="12"/>
        <v>60666</v>
      </c>
      <c r="BH58" s="207">
        <f t="shared" si="13"/>
        <v>6740.666666666667</v>
      </c>
      <c r="BI58" s="208">
        <f>SUMIFS(領用表!$L:$L,領用表!$E:$E,$B58,領用表!$B:$B,BI$2&amp;$BI$1)</f>
        <v>5994</v>
      </c>
      <c r="BJ58" s="208">
        <f>SUMIFS(領用表!$L:$L,領用表!$E:$E,$B58,領用表!$B:$B,BJ$2&amp;$BI$1)</f>
        <v>9541</v>
      </c>
      <c r="BK58" s="208">
        <f>SUMIFS(領用表!$L:$L,領用表!$E:$E,$B58,領用表!$B:$B,BK$2&amp;$BI$1)</f>
        <v>7422</v>
      </c>
      <c r="BL58" s="208">
        <f>SUMIFS(領用表!$L:$L,領用表!$E:$E,$B58,領用表!$B:$B,BL$2&amp;$BI$1)</f>
        <v>6487</v>
      </c>
      <c r="BM58" s="208">
        <f>SUMIFS(領用表!$L:$L,領用表!$E:$E,$B58,領用表!$B:$B,BM$2&amp;$BI$1)</f>
        <v>9810</v>
      </c>
      <c r="BN58" s="208">
        <f>SUMIFS(領用表!$L:$L,領用表!$E:$E,$B58,領用表!$B:$B,BN$2&amp;$BI$1)</f>
        <v>0</v>
      </c>
      <c r="BO58" s="208">
        <f>SUMIFS(領用表!$L:$L,領用表!$E:$E,$B58,領用表!$B:$B,BO$2&amp;$BI$1)</f>
        <v>0</v>
      </c>
      <c r="BP58" s="208">
        <f>SUMIFS(領用表!$L:$L,領用表!$E:$E,$B58,領用表!$B:$B,BP$2&amp;$BI$1)</f>
        <v>0</v>
      </c>
      <c r="BQ58" s="208">
        <f>SUMIFS(領用表!$L:$L,領用表!$E:$E,$B58,領用表!$B:$B,BQ$2&amp;$BI$1)</f>
        <v>0</v>
      </c>
      <c r="BR58" s="208">
        <f>SUMIFS(領用表!$L:$L,領用表!$E:$E,$B58,領用表!$B:$B,BR$2&amp;$BI$1)</f>
        <v>0</v>
      </c>
      <c r="BS58" s="208">
        <f>SUMIFS(領用表!$L:$L,領用表!$E:$E,$B58,領用表!$B:$B,BS$2&amp;$BI$1)</f>
        <v>0</v>
      </c>
      <c r="BT58" s="208">
        <f>SUMIFS(領用表!$L:$L,領用表!$E:$E,$B58,領用表!$B:$B,BT$2&amp;$BI$1)</f>
        <v>0</v>
      </c>
      <c r="BU58" s="208">
        <f t="shared" si="4"/>
        <v>39254</v>
      </c>
      <c r="BV58" s="208">
        <f t="shared" si="5"/>
        <v>7850.8</v>
      </c>
      <c r="BW58" s="208">
        <f>SUMIF(Summary!B:B,B58,Summary!DT:DT)</f>
        <v>6000</v>
      </c>
      <c r="BX58" s="215">
        <v>6500</v>
      </c>
      <c r="BY58" s="465"/>
      <c r="BZ58" s="210"/>
      <c r="CA58" s="261"/>
      <c r="CB58" s="346" t="s">
        <v>842</v>
      </c>
      <c r="CC58" s="212"/>
      <c r="CE58" s="213"/>
    </row>
    <row r="59" spans="1:83" s="118" customFormat="1" ht="15.75" customHeight="1">
      <c r="A59" s="136" t="s">
        <v>100</v>
      </c>
      <c r="B59" s="118">
        <v>6170025</v>
      </c>
      <c r="C59" s="133" t="s">
        <v>494</v>
      </c>
      <c r="D59" s="207">
        <v>20099</v>
      </c>
      <c r="E59" s="198" t="s">
        <v>78</v>
      </c>
      <c r="F59" s="349">
        <f>(D59*1)+(19877)+(18800)</f>
        <v>58776</v>
      </c>
      <c r="G59" s="349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21"/>
      <c r="AH59" s="221"/>
      <c r="AI59" s="221"/>
      <c r="AJ59" s="221"/>
      <c r="AK59" s="221"/>
      <c r="AL59" s="221"/>
      <c r="AM59" s="221"/>
      <c r="AN59" s="221"/>
      <c r="AO59" s="221"/>
      <c r="AP59" s="201"/>
      <c r="AQ59" s="202"/>
      <c r="AR59" s="203" t="s">
        <v>49</v>
      </c>
      <c r="AS59" s="204" t="s">
        <v>49</v>
      </c>
      <c r="AT59" s="205" t="s">
        <v>49</v>
      </c>
      <c r="AU59" s="203" t="s">
        <v>49</v>
      </c>
      <c r="AV59" s="203" t="s">
        <v>49</v>
      </c>
      <c r="AW59" s="203" t="s">
        <v>49</v>
      </c>
      <c r="AX59" s="203">
        <v>201</v>
      </c>
      <c r="AY59" s="203">
        <v>710</v>
      </c>
      <c r="AZ59" s="203">
        <f>SUMIFS(領用表!$L:$L,領用表!$E:$E,$B59,領用表!$B:$B,AZ$2&amp;$BI$1)</f>
        <v>0</v>
      </c>
      <c r="BA59" s="203">
        <f>SUMIFS(領用表!$L:$L,領用表!$E:$E,$B59,領用表!$B:$B,BA$2&amp;$BI$1)</f>
        <v>0</v>
      </c>
      <c r="BB59" s="203">
        <f>SUMIFS(領用表!$L:$L,領用表!$E:$E,$B59,領用表!$B:$B,BB$2&amp;$BI$1)</f>
        <v>0</v>
      </c>
      <c r="BC59" s="203">
        <f>SUMIFS(領用表!$L:$L,領用表!$E:$E,$B59,領用表!$B:$B,BC$2&amp;$BI$1)</f>
        <v>0</v>
      </c>
      <c r="BD59" s="208">
        <f>SUMIFS(領用表!$L:$L,領用表!$E:$E,$B59,領用表!$B:$B,BD$2&amp;$BI$1)</f>
        <v>0</v>
      </c>
      <c r="BE59" s="208">
        <f>SUMIFS(領用表!$L:$L,領用表!$E:$E,$B59,領用表!$B:$B,BE$2&amp;$BI$1)</f>
        <v>0</v>
      </c>
      <c r="BF59" s="208">
        <f>SUMIFS(領用表!$L:$L,領用表!$E:$E,$B59,領用表!$B:$B,BF$2&amp;$BI$1)</f>
        <v>0</v>
      </c>
      <c r="BG59" s="207">
        <f t="shared" si="12"/>
        <v>911</v>
      </c>
      <c r="BH59" s="207">
        <f t="shared" si="13"/>
        <v>101.22222222222223</v>
      </c>
      <c r="BI59" s="208">
        <f>SUMIFS(領用表!$L:$L,領用表!$E:$E,$B59,領用表!$B:$B,BI$2&amp;$BI$1)</f>
        <v>74</v>
      </c>
      <c r="BJ59" s="208">
        <f>SUMIFS(領用表!$L:$L,領用表!$E:$E,$B59,領用表!$B:$B,BJ$2&amp;$BI$1)</f>
        <v>0</v>
      </c>
      <c r="BK59" s="208">
        <f>SUMIFS(領用表!$L:$L,領用表!$E:$E,$B59,領用表!$B:$B,BK$2&amp;$BI$1)</f>
        <v>0</v>
      </c>
      <c r="BL59" s="208">
        <f>SUMIFS(領用表!$L:$L,領用表!$E:$E,$B59,領用表!$B:$B,BL$2&amp;$BI$1)</f>
        <v>0</v>
      </c>
      <c r="BM59" s="208">
        <f>SUMIFS(領用表!$L:$L,領用表!$E:$E,$B59,領用表!$B:$B,BM$2&amp;$BI$1)</f>
        <v>294</v>
      </c>
      <c r="BN59" s="208">
        <f>SUMIFS(領用表!$L:$L,領用表!$E:$E,$B59,領用表!$B:$B,BN$2&amp;$BI$1)</f>
        <v>0</v>
      </c>
      <c r="BO59" s="208">
        <f>SUMIFS(領用表!$L:$L,領用表!$E:$E,$B59,領用表!$B:$B,BO$2&amp;$BI$1)</f>
        <v>0</v>
      </c>
      <c r="BP59" s="208">
        <f>SUMIFS(領用表!$L:$L,領用表!$E:$E,$B59,領用表!$B:$B,BP$2&amp;$BI$1)</f>
        <v>0</v>
      </c>
      <c r="BQ59" s="208">
        <f>SUMIFS(領用表!$L:$L,領用表!$E:$E,$B59,領用表!$B:$B,BQ$2&amp;$BI$1)</f>
        <v>0</v>
      </c>
      <c r="BR59" s="208">
        <f>SUMIFS(領用表!$L:$L,領用表!$E:$E,$B59,領用表!$B:$B,BR$2&amp;$BI$1)</f>
        <v>0</v>
      </c>
      <c r="BS59" s="208">
        <f>SUMIFS(領用表!$L:$L,領用表!$E:$E,$B59,領用表!$B:$B,BS$2&amp;$BI$1)</f>
        <v>0</v>
      </c>
      <c r="BT59" s="208">
        <f>SUMIFS(領用表!$L:$L,領用表!$E:$E,$B59,領用表!$B:$B,BT$2&amp;$BI$1)</f>
        <v>0</v>
      </c>
      <c r="BU59" s="208">
        <f t="shared" si="4"/>
        <v>368</v>
      </c>
      <c r="BV59" s="208">
        <f t="shared" si="5"/>
        <v>73.599999999999994</v>
      </c>
      <c r="BW59" s="208">
        <f>SUMIF(Summary!B:B,B59,Summary!DT:DT)</f>
        <v>0</v>
      </c>
      <c r="BX59" s="215">
        <v>175</v>
      </c>
      <c r="BY59" s="466"/>
      <c r="BZ59" s="210"/>
      <c r="CA59" s="262"/>
      <c r="CB59" s="346" t="s">
        <v>842</v>
      </c>
      <c r="CC59" s="212"/>
      <c r="CE59" s="213"/>
    </row>
    <row r="60" spans="1:83" s="118" customFormat="1" ht="15.75" customHeight="1">
      <c r="A60" s="136" t="s">
        <v>101</v>
      </c>
      <c r="B60" s="118">
        <v>6200004</v>
      </c>
      <c r="C60" s="118" t="s">
        <v>618</v>
      </c>
      <c r="D60" s="197">
        <v>50</v>
      </c>
      <c r="E60" s="198" t="s">
        <v>102</v>
      </c>
      <c r="F60" s="349"/>
      <c r="G60" s="360"/>
      <c r="H60" s="291">
        <v>0</v>
      </c>
      <c r="I60" s="291">
        <v>0</v>
      </c>
      <c r="J60" s="291">
        <v>0</v>
      </c>
      <c r="K60" s="291">
        <v>0.84</v>
      </c>
      <c r="L60" s="291">
        <v>1.18</v>
      </c>
      <c r="M60" s="291">
        <v>0.94</v>
      </c>
      <c r="N60" s="291">
        <v>1.44</v>
      </c>
      <c r="O60" s="291">
        <v>1.24</v>
      </c>
      <c r="P60" s="291">
        <v>1.52</v>
      </c>
      <c r="Q60" s="291">
        <v>0.66</v>
      </c>
      <c r="R60" s="291">
        <v>1.66</v>
      </c>
      <c r="S60" s="291">
        <v>1.2</v>
      </c>
      <c r="T60" s="291">
        <v>1.1000000000000001</v>
      </c>
      <c r="U60" s="291">
        <v>1.06</v>
      </c>
      <c r="V60" s="291">
        <v>0.84</v>
      </c>
      <c r="W60" s="291">
        <v>1.76</v>
      </c>
      <c r="X60" s="291">
        <v>2</v>
      </c>
      <c r="Y60" s="291">
        <v>3.06</v>
      </c>
      <c r="Z60" s="291">
        <v>2.46</v>
      </c>
      <c r="AA60" s="291">
        <v>3.08</v>
      </c>
      <c r="AB60" s="291">
        <v>3.38</v>
      </c>
      <c r="AC60" s="291">
        <v>3.04</v>
      </c>
      <c r="AD60" s="291">
        <v>2.34</v>
      </c>
      <c r="AE60" s="291">
        <v>2.3199999999999998</v>
      </c>
      <c r="AF60" s="291">
        <v>2.1800000000000002</v>
      </c>
      <c r="AG60" s="201">
        <v>2.2400000000000002</v>
      </c>
      <c r="AH60" s="201">
        <v>1.5</v>
      </c>
      <c r="AI60" s="201">
        <v>2.04</v>
      </c>
      <c r="AJ60" s="201">
        <v>3.1</v>
      </c>
      <c r="AK60" s="201">
        <v>4.74</v>
      </c>
      <c r="AL60" s="201">
        <v>4.24</v>
      </c>
      <c r="AM60" s="201">
        <v>8.32</v>
      </c>
      <c r="AN60" s="201">
        <v>10.7</v>
      </c>
      <c r="AO60" s="292">
        <v>5.74</v>
      </c>
      <c r="AP60" s="201">
        <v>15.42</v>
      </c>
      <c r="AQ60" s="204"/>
      <c r="AR60" s="203">
        <f>842/D60</f>
        <v>16.84</v>
      </c>
      <c r="AS60" s="204">
        <f>SUM(AG60:AR60)</f>
        <v>74.88</v>
      </c>
      <c r="AT60" s="205">
        <f>AS60/12</f>
        <v>6.2399999999999993</v>
      </c>
      <c r="AU60" s="203">
        <v>1105</v>
      </c>
      <c r="AV60" s="203">
        <v>1682</v>
      </c>
      <c r="AW60" s="203">
        <v>2156</v>
      </c>
      <c r="AX60" s="203">
        <v>2205</v>
      </c>
      <c r="AY60" s="203">
        <v>2266</v>
      </c>
      <c r="AZ60" s="203">
        <f>SUMIFS(領用表!$L:$L,領用表!$E:$E,$B60,領用表!$B:$B,AZ$2&amp;$BI$1)</f>
        <v>0</v>
      </c>
      <c r="BA60" s="203">
        <f>SUMIFS(領用表!$L:$L,領用表!$E:$E,$B60,領用表!$B:$B,BA$2&amp;$BI$1)</f>
        <v>0</v>
      </c>
      <c r="BB60" s="203">
        <f>SUMIFS(領用表!$L:$L,領用表!$E:$E,$B60,領用表!$B:$B,BB$2&amp;$BI$1)</f>
        <v>0</v>
      </c>
      <c r="BC60" s="203">
        <f>SUMIFS(領用表!$L:$L,領用表!$E:$E,$B60,領用表!$B:$B,BC$2&amp;$BI$1)</f>
        <v>0</v>
      </c>
      <c r="BD60" s="208">
        <f>SUMIFS(領用表!$L:$L,領用表!$E:$E,$B60,領用表!$B:$B,BD$2&amp;$BI$1)</f>
        <v>0</v>
      </c>
      <c r="BE60" s="208">
        <f>SUMIFS(領用表!$L:$L,領用表!$E:$E,$B60,領用表!$B:$B,BE$2&amp;$BI$1)</f>
        <v>0</v>
      </c>
      <c r="BF60" s="208">
        <f>SUMIFS(領用表!$L:$L,領用表!$E:$E,$B60,領用表!$B:$B,BF$2&amp;$BI$1)</f>
        <v>0</v>
      </c>
      <c r="BG60" s="207">
        <f t="shared" si="12"/>
        <v>9414</v>
      </c>
      <c r="BH60" s="207">
        <f t="shared" si="13"/>
        <v>784.5</v>
      </c>
      <c r="BI60" s="208">
        <f>SUMIFS(領用表!$L:$L,領用表!$E:$E,$B60,領用表!$B:$B,BI$2&amp;$BI$1)</f>
        <v>0</v>
      </c>
      <c r="BJ60" s="208">
        <f>SUMIFS(領用表!$L:$L,領用表!$E:$E,$B60,領用表!$B:$B,BJ$2&amp;$BI$1)</f>
        <v>0</v>
      </c>
      <c r="BK60" s="208">
        <f>SUMIFS(領用表!$L:$L,領用表!$E:$E,$B60,領用表!$B:$B,BK$2&amp;$BI$1)</f>
        <v>0</v>
      </c>
      <c r="BL60" s="208">
        <f>SUMIFS(領用表!$L:$L,領用表!$E:$E,$B60,領用表!$B:$B,BL$2&amp;$BI$1)</f>
        <v>0</v>
      </c>
      <c r="BM60" s="208">
        <f>SUMIFS(領用表!$L:$L,領用表!$E:$E,$B60,領用表!$B:$B,BM$2&amp;$BI$1)</f>
        <v>0</v>
      </c>
      <c r="BN60" s="208">
        <f>SUMIFS(領用表!$L:$L,領用表!$E:$E,$B60,領用表!$B:$B,BN$2&amp;$BI$1)</f>
        <v>0</v>
      </c>
      <c r="BO60" s="208">
        <f>SUMIFS(領用表!$L:$L,領用表!$E:$E,$B60,領用表!$B:$B,BO$2&amp;$BI$1)</f>
        <v>0</v>
      </c>
      <c r="BP60" s="208">
        <f>SUMIFS(領用表!$L:$L,領用表!$E:$E,$B60,領用表!$B:$B,BP$2&amp;$BI$1)</f>
        <v>0</v>
      </c>
      <c r="BQ60" s="208">
        <f>SUMIFS(領用表!$L:$L,領用表!$E:$E,$B60,領用表!$B:$B,BQ$2&amp;$BI$1)</f>
        <v>0</v>
      </c>
      <c r="BR60" s="208">
        <f>SUMIFS(領用表!$L:$L,領用表!$E:$E,$B60,領用表!$B:$B,BR$2&amp;$BI$1)</f>
        <v>0</v>
      </c>
      <c r="BS60" s="208">
        <f>SUMIFS(領用表!$L:$L,領用表!$E:$E,$B60,領用表!$B:$B,BS$2&amp;$BI$1)</f>
        <v>0</v>
      </c>
      <c r="BT60" s="208">
        <f>SUMIFS(領用表!$L:$L,領用表!$E:$E,$B60,領用表!$B:$B,BT$2&amp;$BI$1)</f>
        <v>0</v>
      </c>
      <c r="BU60" s="208">
        <f t="shared" si="4"/>
        <v>0</v>
      </c>
      <c r="BV60" s="208">
        <f t="shared" si="5"/>
        <v>0</v>
      </c>
      <c r="BW60" s="208">
        <f>SUMIF(Summary!B:B,B60,Summary!DT:DT)</f>
        <v>0</v>
      </c>
      <c r="BX60" s="215">
        <v>1200</v>
      </c>
      <c r="BY60" s="210" t="s">
        <v>821</v>
      </c>
      <c r="BZ60" s="262" t="s">
        <v>845</v>
      </c>
      <c r="CA60" s="262" t="s">
        <v>846</v>
      </c>
      <c r="CB60" s="136"/>
      <c r="CC60" s="212"/>
      <c r="CE60" s="213"/>
    </row>
    <row r="61" spans="1:83" s="118" customFormat="1" ht="15.75" customHeight="1">
      <c r="A61" s="136" t="s">
        <v>106</v>
      </c>
      <c r="B61" s="118">
        <v>6190005</v>
      </c>
      <c r="C61" s="118" t="s">
        <v>619</v>
      </c>
      <c r="D61" s="197">
        <v>50</v>
      </c>
      <c r="E61" s="198" t="s">
        <v>63</v>
      </c>
      <c r="F61" s="349"/>
      <c r="G61" s="349"/>
      <c r="H61" s="291">
        <v>0</v>
      </c>
      <c r="I61" s="291">
        <v>0</v>
      </c>
      <c r="J61" s="291">
        <v>0</v>
      </c>
      <c r="K61" s="291">
        <v>0.02</v>
      </c>
      <c r="L61" s="291">
        <v>0</v>
      </c>
      <c r="M61" s="291">
        <v>0</v>
      </c>
      <c r="N61" s="291">
        <v>0</v>
      </c>
      <c r="O61" s="291">
        <v>0</v>
      </c>
      <c r="P61" s="291">
        <v>0</v>
      </c>
      <c r="Q61" s="291">
        <v>0</v>
      </c>
      <c r="R61" s="291">
        <v>0</v>
      </c>
      <c r="S61" s="291">
        <v>0</v>
      </c>
      <c r="T61" s="291">
        <v>0</v>
      </c>
      <c r="U61" s="291">
        <v>0</v>
      </c>
      <c r="V61" s="291">
        <v>0</v>
      </c>
      <c r="W61" s="291">
        <v>0</v>
      </c>
      <c r="X61" s="291">
        <v>0</v>
      </c>
      <c r="Y61" s="291">
        <v>0</v>
      </c>
      <c r="Z61" s="291">
        <v>0</v>
      </c>
      <c r="AA61" s="291">
        <v>0</v>
      </c>
      <c r="AB61" s="291">
        <v>0.42</v>
      </c>
      <c r="AC61" s="291">
        <v>0.36</v>
      </c>
      <c r="AD61" s="291">
        <v>0.62</v>
      </c>
      <c r="AE61" s="291">
        <v>0.32</v>
      </c>
      <c r="AF61" s="291">
        <v>0.22</v>
      </c>
      <c r="AG61" s="201">
        <v>0.14000000000000001</v>
      </c>
      <c r="AH61" s="201">
        <v>0.14000000000000001</v>
      </c>
      <c r="AI61" s="201">
        <v>0.02</v>
      </c>
      <c r="AJ61" s="201">
        <v>0.76</v>
      </c>
      <c r="AK61" s="201">
        <v>0.46</v>
      </c>
      <c r="AL61" s="201">
        <v>0.12</v>
      </c>
      <c r="AM61" s="201">
        <v>0.08</v>
      </c>
      <c r="AN61" s="201">
        <v>1.34</v>
      </c>
      <c r="AO61" s="201">
        <v>1.62</v>
      </c>
      <c r="AP61" s="201">
        <v>1.34</v>
      </c>
      <c r="AQ61" s="201">
        <v>2.6</v>
      </c>
      <c r="AR61" s="203">
        <f>173/D61</f>
        <v>3.46</v>
      </c>
      <c r="AS61" s="204">
        <f>SUM(AG61:AR61)</f>
        <v>12.080000000000002</v>
      </c>
      <c r="AT61" s="205">
        <f>AS61/12</f>
        <v>1.0066666666666668</v>
      </c>
      <c r="AU61" s="203">
        <v>85</v>
      </c>
      <c r="AV61" s="203">
        <v>54</v>
      </c>
      <c r="AW61" s="203">
        <v>31</v>
      </c>
      <c r="AX61" s="214">
        <v>80</v>
      </c>
      <c r="AY61" s="203">
        <v>62</v>
      </c>
      <c r="AZ61" s="203">
        <f>SUMIFS(領用表!$L:$L,領用表!$E:$E,$B61,領用表!$B:$B,AZ$2&amp;$BI$1)</f>
        <v>0</v>
      </c>
      <c r="BA61" s="203">
        <f>SUMIFS(領用表!$L:$L,領用表!$E:$E,$B61,領用表!$B:$B,BA$2&amp;$BI$1)</f>
        <v>0</v>
      </c>
      <c r="BB61" s="203">
        <f>SUMIFS(領用表!$L:$L,領用表!$E:$E,$B61,領用表!$B:$B,BB$2&amp;$BI$1)</f>
        <v>0</v>
      </c>
      <c r="BC61" s="203">
        <f>SUMIFS(領用表!$L:$L,領用表!$E:$E,$B61,領用表!$B:$B,BC$2&amp;$BI$1)</f>
        <v>0</v>
      </c>
      <c r="BD61" s="208">
        <f>SUMIFS(領用表!$L:$L,領用表!$E:$E,$B61,領用表!$B:$B,BD$2&amp;$BI$1)</f>
        <v>0</v>
      </c>
      <c r="BE61" s="208">
        <f>SUMIFS(領用表!$L:$L,領用表!$E:$E,$B61,領用表!$B:$B,BE$2&amp;$BI$1)</f>
        <v>0</v>
      </c>
      <c r="BF61" s="208">
        <f>SUMIFS(領用表!$L:$L,領用表!$E:$E,$B61,領用表!$B:$B,BF$2&amp;$BI$1)</f>
        <v>0</v>
      </c>
      <c r="BG61" s="207">
        <f t="shared" si="12"/>
        <v>312</v>
      </c>
      <c r="BH61" s="207">
        <f t="shared" si="13"/>
        <v>26</v>
      </c>
      <c r="BI61" s="208">
        <f>SUMIFS(領用表!$L:$L,領用表!$E:$E,$B61,領用表!$B:$B,BI$2&amp;$BI$1)</f>
        <v>0</v>
      </c>
      <c r="BJ61" s="208">
        <f>SUMIFS(領用表!$L:$L,領用表!$E:$E,$B61,領用表!$B:$B,BJ$2&amp;$BI$1)</f>
        <v>0</v>
      </c>
      <c r="BK61" s="208">
        <f>SUMIFS(領用表!$L:$L,領用表!$E:$E,$B61,領用表!$B:$B,BK$2&amp;$BI$1)</f>
        <v>0</v>
      </c>
      <c r="BL61" s="208">
        <f>SUMIFS(領用表!$L:$L,領用表!$E:$E,$B61,領用表!$B:$B,BL$2&amp;$BI$1)</f>
        <v>0</v>
      </c>
      <c r="BM61" s="208">
        <f>SUMIFS(領用表!$L:$L,領用表!$E:$E,$B61,領用表!$B:$B,BM$2&amp;$BI$1)</f>
        <v>0</v>
      </c>
      <c r="BN61" s="208">
        <f>SUMIFS(領用表!$L:$L,領用表!$E:$E,$B61,領用表!$B:$B,BN$2&amp;$BI$1)</f>
        <v>0</v>
      </c>
      <c r="BO61" s="208">
        <f>SUMIFS(領用表!$L:$L,領用表!$E:$E,$B61,領用表!$B:$B,BO$2&amp;$BI$1)</f>
        <v>0</v>
      </c>
      <c r="BP61" s="208">
        <f>SUMIFS(領用表!$L:$L,領用表!$E:$E,$B61,領用表!$B:$B,BP$2&amp;$BI$1)</f>
        <v>0</v>
      </c>
      <c r="BQ61" s="208">
        <f>SUMIFS(領用表!$L:$L,領用表!$E:$E,$B61,領用表!$B:$B,BQ$2&amp;$BI$1)</f>
        <v>0</v>
      </c>
      <c r="BR61" s="208">
        <f>SUMIFS(領用表!$L:$L,領用表!$E:$E,$B61,領用表!$B:$B,BR$2&amp;$BI$1)</f>
        <v>0</v>
      </c>
      <c r="BS61" s="208">
        <f>SUMIFS(領用表!$L:$L,領用表!$E:$E,$B61,領用表!$B:$B,BS$2&amp;$BI$1)</f>
        <v>0</v>
      </c>
      <c r="BT61" s="208">
        <f>SUMIFS(領用表!$L:$L,領用表!$E:$E,$B61,領用表!$B:$B,BT$2&amp;$BI$1)</f>
        <v>0</v>
      </c>
      <c r="BU61" s="208">
        <f t="shared" si="4"/>
        <v>0</v>
      </c>
      <c r="BV61" s="208">
        <f t="shared" si="5"/>
        <v>0</v>
      </c>
      <c r="BW61" s="208">
        <f>SUMIF(Summary!B:B,B61,Summary!DT:DT)</f>
        <v>0</v>
      </c>
      <c r="BX61" s="215">
        <v>40</v>
      </c>
      <c r="BY61" s="210"/>
      <c r="BZ61" s="211"/>
      <c r="CA61" s="211"/>
      <c r="CB61" s="136"/>
      <c r="CC61" s="212"/>
      <c r="CE61" s="213"/>
    </row>
    <row r="62" spans="1:83" s="118" customFormat="1" ht="15.75" customHeight="1">
      <c r="A62" s="136" t="s">
        <v>107</v>
      </c>
      <c r="B62" s="118">
        <v>6170016</v>
      </c>
      <c r="C62" s="133" t="s">
        <v>495</v>
      </c>
      <c r="D62" s="207">
        <v>2000</v>
      </c>
      <c r="E62" s="198" t="s">
        <v>78</v>
      </c>
      <c r="F62" s="349"/>
      <c r="G62" s="349"/>
      <c r="H62" s="200">
        <v>0</v>
      </c>
      <c r="I62" s="200">
        <v>0.28000000000000003</v>
      </c>
      <c r="J62" s="200">
        <v>0.99</v>
      </c>
      <c r="K62" s="200">
        <v>1.97</v>
      </c>
      <c r="L62" s="200">
        <v>1.55</v>
      </c>
      <c r="M62" s="200">
        <v>2.4300000000000002</v>
      </c>
      <c r="N62" s="200">
        <v>2.17</v>
      </c>
      <c r="O62" s="200">
        <v>0.7</v>
      </c>
      <c r="P62" s="200">
        <v>0.56000000000000005</v>
      </c>
      <c r="Q62" s="200">
        <v>0.15</v>
      </c>
      <c r="R62" s="200">
        <v>0.48</v>
      </c>
      <c r="S62" s="200">
        <v>0.85</v>
      </c>
      <c r="T62" s="200">
        <v>0.77</v>
      </c>
      <c r="U62" s="200">
        <v>0.39</v>
      </c>
      <c r="V62" s="200">
        <v>0.35</v>
      </c>
      <c r="W62" s="200">
        <v>0.2</v>
      </c>
      <c r="X62" s="200">
        <v>0</v>
      </c>
      <c r="Y62" s="200">
        <v>0.28000000000000003</v>
      </c>
      <c r="Z62" s="200">
        <v>0.28000000000000003</v>
      </c>
      <c r="AA62" s="200">
        <v>0.15</v>
      </c>
      <c r="AB62" s="200">
        <v>0</v>
      </c>
      <c r="AC62" s="200">
        <v>0.11</v>
      </c>
      <c r="AD62" s="200">
        <v>0</v>
      </c>
      <c r="AE62" s="200">
        <v>0</v>
      </c>
      <c r="AF62" s="200">
        <v>0.3</v>
      </c>
      <c r="AG62" s="221">
        <v>0.1</v>
      </c>
      <c r="AH62" s="221">
        <v>0.1</v>
      </c>
      <c r="AI62" s="221">
        <v>0</v>
      </c>
      <c r="AJ62" s="221">
        <v>0</v>
      </c>
      <c r="AK62" s="221">
        <v>0</v>
      </c>
      <c r="AL62" s="221">
        <v>0</v>
      </c>
      <c r="AM62" s="221">
        <v>0</v>
      </c>
      <c r="AN62" s="221">
        <v>0</v>
      </c>
      <c r="AO62" s="221">
        <v>0</v>
      </c>
      <c r="AP62" s="201">
        <v>0</v>
      </c>
      <c r="AQ62" s="202">
        <v>0</v>
      </c>
      <c r="AR62" s="203">
        <v>0</v>
      </c>
      <c r="AS62" s="204">
        <f>SUM(AG62:AR62)</f>
        <v>0.2</v>
      </c>
      <c r="AT62" s="205">
        <f>AS62/12</f>
        <v>1.6666666666666666E-2</v>
      </c>
      <c r="AU62" s="203" t="s">
        <v>49</v>
      </c>
      <c r="AV62" s="203">
        <v>0</v>
      </c>
      <c r="AW62" s="203">
        <v>0</v>
      </c>
      <c r="AX62" s="203">
        <v>0</v>
      </c>
      <c r="AY62" s="203">
        <v>278</v>
      </c>
      <c r="AZ62" s="203">
        <f>SUMIFS(領用表!$L:$L,領用表!$E:$E,$B62,領用表!$B:$B,AZ$2&amp;$BI$1)</f>
        <v>0</v>
      </c>
      <c r="BA62" s="203">
        <f>SUMIFS(領用表!$L:$L,領用表!$E:$E,$B62,領用表!$B:$B,BA$2&amp;$BI$1)</f>
        <v>0</v>
      </c>
      <c r="BB62" s="203">
        <f>SUMIFS(領用表!$L:$L,領用表!$E:$E,$B62,領用表!$B:$B,BB$2&amp;$BI$1)</f>
        <v>0</v>
      </c>
      <c r="BC62" s="203">
        <f>SUMIFS(領用表!$L:$L,領用表!$E:$E,$B62,領用表!$B:$B,BC$2&amp;$BI$1)</f>
        <v>0</v>
      </c>
      <c r="BD62" s="208">
        <f>SUMIFS(領用表!$L:$L,領用表!$E:$E,$B62,領用表!$B:$B,BD$2&amp;$BI$1)</f>
        <v>0</v>
      </c>
      <c r="BE62" s="208">
        <f>SUMIFS(領用表!$L:$L,領用表!$E:$E,$B62,領用表!$B:$B,BE$2&amp;$BI$1)</f>
        <v>100</v>
      </c>
      <c r="BF62" s="208">
        <f>SUMIFS(領用表!$L:$L,領用表!$E:$E,$B62,領用表!$B:$B,BF$2&amp;$BI$1)</f>
        <v>0</v>
      </c>
      <c r="BG62" s="207">
        <f t="shared" si="12"/>
        <v>378</v>
      </c>
      <c r="BH62" s="207">
        <f t="shared" si="13"/>
        <v>34.363636363636367</v>
      </c>
      <c r="BI62" s="208">
        <f>SUMIFS(領用表!$L:$L,領用表!$E:$E,$B62,領用表!$B:$B,BI$2&amp;$BI$1)</f>
        <v>0</v>
      </c>
      <c r="BJ62" s="208">
        <f>SUMIFS(領用表!$L:$L,領用表!$E:$E,$B62,領用表!$B:$B,BJ$2&amp;$BI$1)</f>
        <v>0</v>
      </c>
      <c r="BK62" s="208">
        <f>SUMIFS(領用表!$L:$L,領用表!$E:$E,$B62,領用表!$B:$B,BK$2&amp;$BI$1)</f>
        <v>0</v>
      </c>
      <c r="BL62" s="208">
        <f>SUMIFS(領用表!$L:$L,領用表!$E:$E,$B62,領用表!$B:$B,BL$2&amp;$BI$1)</f>
        <v>0</v>
      </c>
      <c r="BM62" s="208">
        <f>SUMIFS(領用表!$L:$L,領用表!$E:$E,$B62,領用表!$B:$B,BM$2&amp;$BI$1)</f>
        <v>0</v>
      </c>
      <c r="BN62" s="208">
        <f>SUMIFS(領用表!$L:$L,領用表!$E:$E,$B62,領用表!$B:$B,BN$2&amp;$BI$1)</f>
        <v>0</v>
      </c>
      <c r="BO62" s="208">
        <f>SUMIFS(領用表!$L:$L,領用表!$E:$E,$B62,領用表!$B:$B,BO$2&amp;$BI$1)</f>
        <v>0</v>
      </c>
      <c r="BP62" s="208">
        <f>SUMIFS(領用表!$L:$L,領用表!$E:$E,$B62,領用表!$B:$B,BP$2&amp;$BI$1)</f>
        <v>0</v>
      </c>
      <c r="BQ62" s="208">
        <f>SUMIFS(領用表!$L:$L,領用表!$E:$E,$B62,領用表!$B:$B,BQ$2&amp;$BI$1)</f>
        <v>0</v>
      </c>
      <c r="BR62" s="208">
        <f>SUMIFS(領用表!$L:$L,領用表!$E:$E,$B62,領用表!$B:$B,BR$2&amp;$BI$1)</f>
        <v>0</v>
      </c>
      <c r="BS62" s="208">
        <f>SUMIFS(領用表!$L:$L,領用表!$E:$E,$B62,領用表!$B:$B,BS$2&amp;$BI$1)</f>
        <v>0</v>
      </c>
      <c r="BT62" s="208">
        <f>SUMIFS(領用表!$L:$L,領用表!$E:$E,$B62,領用表!$B:$B,BT$2&amp;$BI$1)</f>
        <v>0</v>
      </c>
      <c r="BU62" s="208">
        <f t="shared" si="4"/>
        <v>0</v>
      </c>
      <c r="BV62" s="208">
        <f t="shared" si="5"/>
        <v>0</v>
      </c>
      <c r="BW62" s="208">
        <f>SUMIF(Summary!B:B,B62,Summary!DT:DT)</f>
        <v>0</v>
      </c>
      <c r="BX62" s="215">
        <v>40</v>
      </c>
      <c r="BY62" s="210"/>
      <c r="BZ62" s="210"/>
      <c r="CA62" s="210"/>
      <c r="CB62" s="263"/>
      <c r="CC62" s="212"/>
      <c r="CE62" s="213"/>
    </row>
    <row r="63" spans="1:83" s="118" customFormat="1" ht="15.75" hidden="1" customHeight="1">
      <c r="A63" s="136" t="s">
        <v>108</v>
      </c>
      <c r="B63" s="118" t="e">
        <v>#N/A</v>
      </c>
      <c r="C63" s="133" t="s">
        <v>496</v>
      </c>
      <c r="D63" s="356">
        <v>150000</v>
      </c>
      <c r="E63" s="351" t="s">
        <v>78</v>
      </c>
      <c r="F63" s="349"/>
      <c r="G63" s="366"/>
      <c r="H63" s="367">
        <v>0</v>
      </c>
      <c r="I63" s="367">
        <v>0.05</v>
      </c>
      <c r="J63" s="367">
        <v>0.01</v>
      </c>
      <c r="K63" s="367">
        <v>0.02</v>
      </c>
      <c r="L63" s="367">
        <v>0</v>
      </c>
      <c r="M63" s="367">
        <v>0.02</v>
      </c>
      <c r="N63" s="367">
        <v>0.02</v>
      </c>
      <c r="O63" s="367">
        <v>0.04</v>
      </c>
      <c r="P63" s="367">
        <v>0</v>
      </c>
      <c r="Q63" s="367">
        <v>0.01</v>
      </c>
      <c r="R63" s="367">
        <v>0.03</v>
      </c>
      <c r="S63" s="367">
        <v>0.02</v>
      </c>
      <c r="T63" s="367">
        <v>0.02</v>
      </c>
      <c r="U63" s="367">
        <v>0.02</v>
      </c>
      <c r="V63" s="367">
        <v>0</v>
      </c>
      <c r="W63" s="367">
        <v>0.01</v>
      </c>
      <c r="X63" s="367">
        <v>0</v>
      </c>
      <c r="Y63" s="367">
        <v>0.01</v>
      </c>
      <c r="Z63" s="367">
        <v>0</v>
      </c>
      <c r="AA63" s="367">
        <v>0</v>
      </c>
      <c r="AB63" s="367">
        <v>0.01</v>
      </c>
      <c r="AC63" s="367">
        <v>0.02</v>
      </c>
      <c r="AD63" s="367">
        <v>0.21</v>
      </c>
      <c r="AE63" s="367">
        <v>0.24</v>
      </c>
      <c r="AF63" s="367">
        <v>0.32</v>
      </c>
      <c r="AG63" s="368">
        <v>0.94359000000000004</v>
      </c>
      <c r="AH63" s="368">
        <v>0.57643</v>
      </c>
      <c r="AI63" s="368">
        <v>0.55047000000000001</v>
      </c>
      <c r="AJ63" s="368">
        <v>0.33072000000000001</v>
      </c>
      <c r="AK63" s="368">
        <v>0.31357000000000002</v>
      </c>
      <c r="AL63" s="368">
        <v>0.13586000000000001</v>
      </c>
      <c r="AM63" s="368">
        <v>0.19914999999999999</v>
      </c>
      <c r="AN63" s="368">
        <v>0.67237999999999998</v>
      </c>
      <c r="AO63" s="368">
        <v>0.57685333299999997</v>
      </c>
      <c r="AP63" s="369">
        <v>1.7</v>
      </c>
      <c r="AQ63" s="370">
        <v>2.3464399999999999</v>
      </c>
      <c r="AR63" s="366">
        <f>305068/D63</f>
        <v>2.0337866666666669</v>
      </c>
      <c r="AS63" s="356">
        <f>SUM(AG63:AR63)</f>
        <v>10.379249999666666</v>
      </c>
      <c r="AT63" s="357">
        <f>AS63/12</f>
        <v>0.86493749997222213</v>
      </c>
      <c r="AU63" s="355">
        <v>495000</v>
      </c>
      <c r="AV63" s="355">
        <v>229276</v>
      </c>
      <c r="AW63" s="355">
        <v>351487</v>
      </c>
      <c r="AX63" s="355">
        <v>315069</v>
      </c>
      <c r="AY63" s="355">
        <v>221559</v>
      </c>
      <c r="AZ63" s="355">
        <f>SUMIFS(領用表!$L:$L,領用表!$E:$E,$B63,領用表!$B:$B,AZ$2&amp;$BI$1)</f>
        <v>0</v>
      </c>
      <c r="BA63" s="355">
        <f>SUMIFS(領用表!$L:$L,領用表!$E:$E,$B63,領用表!$B:$B,BA$2&amp;$BI$1)</f>
        <v>0</v>
      </c>
      <c r="BB63" s="355">
        <f>SUMIFS(領用表!$L:$L,領用表!$E:$E,$B63,領用表!$B:$B,BB$2&amp;$BI$1)</f>
        <v>0</v>
      </c>
      <c r="BC63" s="355">
        <f>SUMIFS(領用表!$L:$L,領用表!$E:$E,$B63,領用表!$B:$B,BC$2&amp;$BI$1)</f>
        <v>0</v>
      </c>
      <c r="BD63" s="208">
        <f>SUMIFS(領用表!$L:$L,領用表!$E:$E,$B63,領用表!$B:$B,BD$2&amp;$BI$1)</f>
        <v>0</v>
      </c>
      <c r="BE63" s="208">
        <f>SUMIFS(領用表!$L:$L,領用表!$E:$E,$B63,領用表!$B:$B,BE$2&amp;$BI$1)</f>
        <v>0</v>
      </c>
      <c r="BF63" s="208">
        <f>SUMIFS(領用表!$L:$L,領用表!$E:$E,$B63,領用表!$B:$B,BF$2&amp;$BI$1)</f>
        <v>0</v>
      </c>
      <c r="BG63" s="358">
        <f t="shared" si="12"/>
        <v>1612391</v>
      </c>
      <c r="BH63" s="358">
        <f t="shared" si="13"/>
        <v>134365.91666666666</v>
      </c>
      <c r="BI63" s="208">
        <f>SUMIFS(領用表!$L:$L,領用表!$E:$E,$B63,領用表!$B:$B,BI$2&amp;$BI$1)</f>
        <v>0</v>
      </c>
      <c r="BJ63" s="208">
        <f>SUMIFS(領用表!$L:$L,領用表!$E:$E,$B63,領用表!$B:$B,BJ$2&amp;$BI$1)</f>
        <v>0</v>
      </c>
      <c r="BK63" s="208">
        <f>SUMIFS(領用表!$L:$L,領用表!$E:$E,$B63,領用表!$B:$B,BK$2&amp;$BI$1)</f>
        <v>0</v>
      </c>
      <c r="BL63" s="208">
        <f>SUMIFS(領用表!$L:$L,領用表!$E:$E,$B63,領用表!$B:$B,BL$2&amp;$BI$1)</f>
        <v>0</v>
      </c>
      <c r="BM63" s="208">
        <f>SUMIFS(領用表!$L:$L,領用表!$E:$E,$B63,領用表!$B:$B,BM$2&amp;$BI$1)</f>
        <v>0</v>
      </c>
      <c r="BN63" s="208">
        <f>SUMIFS(領用表!$L:$L,領用表!$E:$E,$B63,領用表!$B:$B,BN$2&amp;$BI$1)</f>
        <v>0</v>
      </c>
      <c r="BO63" s="208">
        <f>SUMIFS(領用表!$L:$L,領用表!$E:$E,$B63,領用表!$B:$B,BO$2&amp;$BI$1)</f>
        <v>0</v>
      </c>
      <c r="BP63" s="208">
        <f>SUMIFS(領用表!$L:$L,領用表!$E:$E,$B63,領用表!$B:$B,BP$2&amp;$BI$1)</f>
        <v>0</v>
      </c>
      <c r="BQ63" s="208">
        <f>SUMIFS(領用表!$L:$L,領用表!$E:$E,$B63,領用表!$B:$B,BQ$2&amp;$BI$1)</f>
        <v>0</v>
      </c>
      <c r="BR63" s="208">
        <f>SUMIFS(領用表!$L:$L,領用表!$E:$E,$B63,領用表!$B:$B,BR$2&amp;$BI$1)</f>
        <v>0</v>
      </c>
      <c r="BS63" s="208">
        <f>SUMIFS(領用表!$L:$L,領用表!$E:$E,$B63,領用表!$B:$B,BS$2&amp;$BI$1)</f>
        <v>0</v>
      </c>
      <c r="BT63" s="208">
        <f>SUMIFS(領用表!$L:$L,領用表!$E:$E,$B63,領用表!$B:$B,BT$2&amp;$BI$1)</f>
        <v>0</v>
      </c>
      <c r="BU63" s="208">
        <f t="shared" si="4"/>
        <v>0</v>
      </c>
      <c r="BV63" s="208">
        <f t="shared" si="5"/>
        <v>0</v>
      </c>
      <c r="BW63" s="208">
        <f>SUMIF(Summary!B:B,B63,Summary!DT:DT)</f>
        <v>0</v>
      </c>
      <c r="BX63" s="359"/>
      <c r="BY63" s="371"/>
      <c r="BZ63" s="356"/>
      <c r="CA63" s="356"/>
      <c r="CB63" s="394" t="s">
        <v>843</v>
      </c>
      <c r="CC63" s="372"/>
      <c r="CE63" s="213"/>
    </row>
    <row r="64" spans="1:83" s="118" customFormat="1" ht="15.75" hidden="1" customHeight="1">
      <c r="A64" s="136" t="s">
        <v>110</v>
      </c>
      <c r="B64" s="118" t="e">
        <v>#N/A</v>
      </c>
      <c r="C64" s="133" t="s">
        <v>497</v>
      </c>
      <c r="D64" s="356">
        <v>150000</v>
      </c>
      <c r="E64" s="351" t="s">
        <v>78</v>
      </c>
      <c r="F64" s="349"/>
      <c r="G64" s="366"/>
      <c r="H64" s="367">
        <v>0</v>
      </c>
      <c r="I64" s="367">
        <v>0.05</v>
      </c>
      <c r="J64" s="367">
        <v>0.01</v>
      </c>
      <c r="K64" s="367">
        <v>0.1</v>
      </c>
      <c r="L64" s="367">
        <v>0.03</v>
      </c>
      <c r="M64" s="367">
        <v>0.01</v>
      </c>
      <c r="N64" s="367">
        <v>0.01</v>
      </c>
      <c r="O64" s="367">
        <v>0.01</v>
      </c>
      <c r="P64" s="367">
        <v>0.01</v>
      </c>
      <c r="Q64" s="367">
        <v>0.03</v>
      </c>
      <c r="R64" s="367">
        <v>0.05</v>
      </c>
      <c r="S64" s="367">
        <v>0.03</v>
      </c>
      <c r="T64" s="367">
        <v>0.09</v>
      </c>
      <c r="U64" s="367">
        <v>0</v>
      </c>
      <c r="V64" s="367">
        <v>0</v>
      </c>
      <c r="W64" s="367">
        <v>0.02</v>
      </c>
      <c r="X64" s="367">
        <v>0.02</v>
      </c>
      <c r="Y64" s="367">
        <v>0</v>
      </c>
      <c r="Z64" s="367">
        <v>0.04</v>
      </c>
      <c r="AA64" s="367">
        <v>0.05</v>
      </c>
      <c r="AB64" s="367">
        <v>0.01</v>
      </c>
      <c r="AC64" s="367">
        <v>0.04</v>
      </c>
      <c r="AD64" s="367">
        <v>0.02</v>
      </c>
      <c r="AE64" s="367">
        <v>0.03</v>
      </c>
      <c r="AF64" s="367">
        <v>0.02</v>
      </c>
      <c r="AG64" s="368">
        <v>1.8890000000000001E-2</v>
      </c>
      <c r="AH64" s="368">
        <v>0</v>
      </c>
      <c r="AI64" s="368">
        <v>1.0200000000000001E-2</v>
      </c>
      <c r="AJ64" s="368">
        <v>1.333E-2</v>
      </c>
      <c r="AK64" s="368">
        <v>4.3580000000000001E-2</v>
      </c>
      <c r="AL64" s="368">
        <v>2.5649999999999999E-2</v>
      </c>
      <c r="AM64" s="368">
        <v>2.103E-2</v>
      </c>
      <c r="AN64" s="368">
        <v>7.2669999999999998E-2</v>
      </c>
      <c r="AO64" s="368">
        <v>0.13272</v>
      </c>
      <c r="AP64" s="369">
        <v>0.23</v>
      </c>
      <c r="AQ64" s="370">
        <v>0.49098000000000003</v>
      </c>
      <c r="AR64" s="366">
        <f>389748/D64</f>
        <v>2.5983200000000002</v>
      </c>
      <c r="AS64" s="356">
        <f>SUM(AG64:AR64)</f>
        <v>3.6573700000000002</v>
      </c>
      <c r="AT64" s="357">
        <f>AS64/12</f>
        <v>0.30478083333333333</v>
      </c>
      <c r="AU64" s="355">
        <v>270000</v>
      </c>
      <c r="AV64" s="355">
        <v>77502</v>
      </c>
      <c r="AW64" s="355">
        <v>152733</v>
      </c>
      <c r="AX64" s="355">
        <v>178837</v>
      </c>
      <c r="AY64" s="355">
        <v>286928</v>
      </c>
      <c r="AZ64" s="355">
        <f>SUMIFS(領用表!$L:$L,領用表!$E:$E,$B64,領用表!$B:$B,AZ$2&amp;$BI$1)</f>
        <v>0</v>
      </c>
      <c r="BA64" s="355">
        <f>SUMIFS(領用表!$L:$L,領用表!$E:$E,$B64,領用表!$B:$B,BA$2&amp;$BI$1)</f>
        <v>0</v>
      </c>
      <c r="BB64" s="355">
        <f>SUMIFS(領用表!$L:$L,領用表!$E:$E,$B64,領用表!$B:$B,BB$2&amp;$BI$1)</f>
        <v>0</v>
      </c>
      <c r="BC64" s="355">
        <f>SUMIFS(領用表!$L:$L,領用表!$E:$E,$B64,領用表!$B:$B,BC$2&amp;$BI$1)</f>
        <v>0</v>
      </c>
      <c r="BD64" s="208">
        <f>SUMIFS(領用表!$L:$L,領用表!$E:$E,$B64,領用表!$B:$B,BD$2&amp;$BI$1)</f>
        <v>0</v>
      </c>
      <c r="BE64" s="208">
        <f>SUMIFS(領用表!$L:$L,領用表!$E:$E,$B64,領用表!$B:$B,BE$2&amp;$BI$1)</f>
        <v>0</v>
      </c>
      <c r="BF64" s="208">
        <f>SUMIFS(領用表!$L:$L,領用表!$E:$E,$B64,領用表!$B:$B,BF$2&amp;$BI$1)</f>
        <v>0</v>
      </c>
      <c r="BG64" s="358">
        <f t="shared" si="12"/>
        <v>966000</v>
      </c>
      <c r="BH64" s="358">
        <f t="shared" si="13"/>
        <v>80500</v>
      </c>
      <c r="BI64" s="208">
        <f>SUMIFS(領用表!$L:$L,領用表!$E:$E,$B64,領用表!$B:$B,BI$2&amp;$BI$1)</f>
        <v>0</v>
      </c>
      <c r="BJ64" s="208">
        <f>SUMIFS(領用表!$L:$L,領用表!$E:$E,$B64,領用表!$B:$B,BJ$2&amp;$BI$1)</f>
        <v>0</v>
      </c>
      <c r="BK64" s="208">
        <f>SUMIFS(領用表!$L:$L,領用表!$E:$E,$B64,領用表!$B:$B,BK$2&amp;$BI$1)</f>
        <v>0</v>
      </c>
      <c r="BL64" s="208">
        <f>SUMIFS(領用表!$L:$L,領用表!$E:$E,$B64,領用表!$B:$B,BL$2&amp;$BI$1)</f>
        <v>0</v>
      </c>
      <c r="BM64" s="208">
        <f>SUMIFS(領用表!$L:$L,領用表!$E:$E,$B64,領用表!$B:$B,BM$2&amp;$BI$1)</f>
        <v>0</v>
      </c>
      <c r="BN64" s="208">
        <f>SUMIFS(領用表!$L:$L,領用表!$E:$E,$B64,領用表!$B:$B,BN$2&amp;$BI$1)</f>
        <v>0</v>
      </c>
      <c r="BO64" s="208">
        <f>SUMIFS(領用表!$L:$L,領用表!$E:$E,$B64,領用表!$B:$B,BO$2&amp;$BI$1)</f>
        <v>0</v>
      </c>
      <c r="BP64" s="208">
        <f>SUMIFS(領用表!$L:$L,領用表!$E:$E,$B64,領用表!$B:$B,BP$2&amp;$BI$1)</f>
        <v>0</v>
      </c>
      <c r="BQ64" s="208">
        <f>SUMIFS(領用表!$L:$L,領用表!$E:$E,$B64,領用表!$B:$B,BQ$2&amp;$BI$1)</f>
        <v>0</v>
      </c>
      <c r="BR64" s="208">
        <f>SUMIFS(領用表!$L:$L,領用表!$E:$E,$B64,領用表!$B:$B,BR$2&amp;$BI$1)</f>
        <v>0</v>
      </c>
      <c r="BS64" s="208">
        <f>SUMIFS(領用表!$L:$L,領用表!$E:$E,$B64,領用表!$B:$B,BS$2&amp;$BI$1)</f>
        <v>0</v>
      </c>
      <c r="BT64" s="208">
        <f>SUMIFS(領用表!$L:$L,領用表!$E:$E,$B64,領用表!$B:$B,BT$2&amp;$BI$1)</f>
        <v>0</v>
      </c>
      <c r="BU64" s="208">
        <f t="shared" si="4"/>
        <v>0</v>
      </c>
      <c r="BV64" s="208">
        <f t="shared" si="5"/>
        <v>0</v>
      </c>
      <c r="BW64" s="208">
        <f>SUMIF(Summary!B:B,B64,Summary!DT:DT)</f>
        <v>0</v>
      </c>
      <c r="BX64" s="359"/>
      <c r="BY64" s="371"/>
      <c r="BZ64" s="356"/>
      <c r="CA64" s="356"/>
      <c r="CB64" s="394" t="s">
        <v>843</v>
      </c>
      <c r="CC64" s="372"/>
      <c r="CE64" s="213"/>
    </row>
    <row r="65" spans="1:83" s="118" customFormat="1" ht="15.75" customHeight="1">
      <c r="A65" s="136" t="s">
        <v>111</v>
      </c>
      <c r="B65" s="118">
        <v>6170032</v>
      </c>
      <c r="C65" s="133" t="s">
        <v>498</v>
      </c>
      <c r="D65" s="23">
        <v>240500</v>
      </c>
      <c r="E65" s="282" t="s">
        <v>78</v>
      </c>
      <c r="F65" s="349">
        <f>(D65*2)+(29958)+(210353)</f>
        <v>721311</v>
      </c>
      <c r="G65" s="36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00"/>
      <c r="AC65" s="200"/>
      <c r="AD65" s="200"/>
      <c r="AE65" s="200"/>
      <c r="AF65" s="200"/>
      <c r="AG65" s="221"/>
      <c r="AH65" s="221"/>
      <c r="AI65" s="221"/>
      <c r="AJ65" s="221"/>
      <c r="AK65" s="221"/>
      <c r="AL65" s="221"/>
      <c r="AM65" s="221"/>
      <c r="AN65" s="221"/>
      <c r="AO65" s="221"/>
      <c r="AP65" s="201"/>
      <c r="AQ65" s="202"/>
      <c r="AR65" s="203"/>
      <c r="AS65" s="204" t="s">
        <v>49</v>
      </c>
      <c r="AT65" s="204" t="s">
        <v>49</v>
      </c>
      <c r="AU65" s="204" t="s">
        <v>49</v>
      </c>
      <c r="AV65" s="204" t="s">
        <v>49</v>
      </c>
      <c r="AW65" s="204" t="s">
        <v>49</v>
      </c>
      <c r="AX65" s="204" t="s">
        <v>49</v>
      </c>
      <c r="AY65" s="203">
        <v>104015</v>
      </c>
      <c r="AZ65" s="203">
        <f>SUMIFS(領用表!$L:$L,領用表!$E:$E,$B65,領用表!$B:$B,AZ$2&amp;$BI$1)</f>
        <v>262702</v>
      </c>
      <c r="BA65" s="203">
        <f>SUMIFS(領用表!$L:$L,領用表!$E:$E,$B65,領用表!$B:$B,BA$2&amp;$BI$1)</f>
        <v>208921</v>
      </c>
      <c r="BB65" s="203">
        <f>SUMIFS(領用表!$L:$L,領用表!$E:$E,$B65,領用表!$B:$B,BB$2&amp;$BI$1)</f>
        <v>245203</v>
      </c>
      <c r="BC65" s="203">
        <f>SUMIFS(領用表!$L:$L,領用表!$E:$E,$B65,領用表!$B:$B,BC$2&amp;$BI$1)</f>
        <v>185300</v>
      </c>
      <c r="BD65" s="208">
        <f>SUMIFS(領用表!$L:$L,領用表!$E:$E,$B65,領用表!$B:$B,BD$2&amp;$BI$1)</f>
        <v>243501</v>
      </c>
      <c r="BE65" s="208">
        <f>SUMIFS(領用表!$L:$L,領用表!$E:$E,$B65,領用表!$B:$B,BE$2&amp;$BI$1)</f>
        <v>255474</v>
      </c>
      <c r="BF65" s="208">
        <f>SUMIFS(領用表!$L:$L,領用表!$E:$E,$B65,領用表!$B:$B,BF$2&amp;$BI$1)</f>
        <v>376203</v>
      </c>
      <c r="BG65" s="207">
        <f t="shared" si="12"/>
        <v>1881319</v>
      </c>
      <c r="BH65" s="207">
        <f t="shared" si="13"/>
        <v>235164.875</v>
      </c>
      <c r="BI65" s="208">
        <f>SUMIFS(領用表!$L:$L,領用表!$E:$E,$B65,領用表!$B:$B,BI$2&amp;$BI$1)</f>
        <v>397432</v>
      </c>
      <c r="BJ65" s="208">
        <f>SUMIFS(領用表!$L:$L,領用表!$E:$E,$B65,領用表!$B:$B,BJ$2&amp;$BI$1)</f>
        <v>342412</v>
      </c>
      <c r="BK65" s="208">
        <f>SUMIFS(領用表!$L:$L,領用表!$E:$E,$B65,領用表!$B:$B,BK$2&amp;$BI$1)</f>
        <v>219500</v>
      </c>
      <c r="BL65" s="208">
        <f>SUMIFS(領用表!$L:$L,領用表!$E:$E,$B65,領用表!$B:$B,BL$2&amp;$BI$1)</f>
        <v>200340</v>
      </c>
      <c r="BM65" s="208">
        <f>SUMIFS(領用表!$L:$L,領用表!$E:$E,$B65,領用表!$B:$B,BM$2&amp;$BI$1)</f>
        <v>230515</v>
      </c>
      <c r="BN65" s="208">
        <f>SUMIFS(領用表!$L:$L,領用表!$E:$E,$B65,領用表!$B:$B,BN$2&amp;$BI$1)</f>
        <v>0</v>
      </c>
      <c r="BO65" s="208">
        <f>SUMIFS(領用表!$L:$L,領用表!$E:$E,$B65,領用表!$B:$B,BO$2&amp;$BI$1)</f>
        <v>0</v>
      </c>
      <c r="BP65" s="208">
        <f>SUMIFS(領用表!$L:$L,領用表!$E:$E,$B65,領用表!$B:$B,BP$2&amp;$BI$1)</f>
        <v>0</v>
      </c>
      <c r="BQ65" s="208">
        <f>SUMIFS(領用表!$L:$L,領用表!$E:$E,$B65,領用表!$B:$B,BQ$2&amp;$BI$1)</f>
        <v>0</v>
      </c>
      <c r="BR65" s="208">
        <f>SUMIFS(領用表!$L:$L,領用表!$E:$E,$B65,領用表!$B:$B,BR$2&amp;$BI$1)</f>
        <v>0</v>
      </c>
      <c r="BS65" s="208">
        <f>SUMIFS(領用表!$L:$L,領用表!$E:$E,$B65,領用表!$B:$B,BS$2&amp;$BI$1)</f>
        <v>0</v>
      </c>
      <c r="BT65" s="208">
        <f>SUMIFS(領用表!$L:$L,領用表!$E:$E,$B65,領用表!$B:$B,BT$2&amp;$BI$1)</f>
        <v>0</v>
      </c>
      <c r="BU65" s="208">
        <f t="shared" si="4"/>
        <v>1390199</v>
      </c>
      <c r="BV65" s="208">
        <f t="shared" si="5"/>
        <v>278039.8</v>
      </c>
      <c r="BW65" s="208">
        <f>SUMIF(Summary!B:B,B65,Summary!DT:DT)</f>
        <v>320000</v>
      </c>
      <c r="BX65" s="215">
        <v>220000</v>
      </c>
      <c r="BY65" s="474">
        <v>3455980</v>
      </c>
      <c r="BZ65" s="262" t="s">
        <v>808</v>
      </c>
      <c r="CA65" s="262" t="s">
        <v>809</v>
      </c>
      <c r="CB65" s="346" t="s">
        <v>844</v>
      </c>
      <c r="CC65" s="136"/>
      <c r="CE65" s="213"/>
    </row>
    <row r="66" spans="1:83" s="118" customFormat="1" ht="15.75" customHeight="1">
      <c r="A66" s="136" t="s">
        <v>115</v>
      </c>
      <c r="B66" s="118">
        <v>6170033</v>
      </c>
      <c r="C66" s="133" t="s">
        <v>499</v>
      </c>
      <c r="D66" s="23">
        <v>240500</v>
      </c>
      <c r="E66" s="282" t="s">
        <v>78</v>
      </c>
      <c r="F66" s="349">
        <f>(D66*2)+(48889)+(68507)</f>
        <v>598396</v>
      </c>
      <c r="G66" s="36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0"/>
      <c r="AB66" s="200"/>
      <c r="AC66" s="200"/>
      <c r="AD66" s="200"/>
      <c r="AE66" s="200"/>
      <c r="AF66" s="200"/>
      <c r="AG66" s="221"/>
      <c r="AH66" s="221"/>
      <c r="AI66" s="221"/>
      <c r="AJ66" s="221"/>
      <c r="AK66" s="221"/>
      <c r="AL66" s="221"/>
      <c r="AM66" s="221"/>
      <c r="AN66" s="221"/>
      <c r="AO66" s="221"/>
      <c r="AP66" s="201"/>
      <c r="AQ66" s="202"/>
      <c r="AR66" s="203"/>
      <c r="AS66" s="204" t="s">
        <v>49</v>
      </c>
      <c r="AT66" s="204" t="s">
        <v>49</v>
      </c>
      <c r="AU66" s="204" t="s">
        <v>49</v>
      </c>
      <c r="AV66" s="204" t="s">
        <v>49</v>
      </c>
      <c r="AW66" s="204" t="s">
        <v>49</v>
      </c>
      <c r="AX66" s="204" t="s">
        <v>49</v>
      </c>
      <c r="AY66" s="203">
        <v>51108</v>
      </c>
      <c r="AZ66" s="203">
        <f>SUMIFS(領用表!$L:$L,領用表!$E:$E,$B66,領用表!$B:$B,AZ$2&amp;$BI$1)</f>
        <v>140600</v>
      </c>
      <c r="BA66" s="203">
        <f>SUMIFS(領用表!$L:$L,領用表!$E:$E,$B66,領用表!$B:$B,BA$2&amp;$BI$1)</f>
        <v>66280</v>
      </c>
      <c r="BB66" s="203">
        <f>SUMIFS(領用表!$L:$L,領用表!$E:$E,$B66,領用表!$B:$B,BB$2&amp;$BI$1)</f>
        <v>85897</v>
      </c>
      <c r="BC66" s="203">
        <f>SUMIFS(領用表!$L:$L,領用表!$E:$E,$B66,領用表!$B:$B,BC$2&amp;$BI$1)</f>
        <v>73950</v>
      </c>
      <c r="BD66" s="208">
        <f>SUMIFS(領用表!$L:$L,領用表!$E:$E,$B66,領用表!$B:$B,BD$2&amp;$BI$1)</f>
        <v>72200</v>
      </c>
      <c r="BE66" s="208">
        <f>SUMIFS(領用表!$L:$L,領用表!$E:$E,$B66,領用表!$B:$B,BE$2&amp;$BI$1)</f>
        <v>120526</v>
      </c>
      <c r="BF66" s="208">
        <f>SUMIFS(領用表!$L:$L,領用表!$E:$E,$B66,領用表!$B:$B,BF$2&amp;$BI$1)</f>
        <v>115752</v>
      </c>
      <c r="BG66" s="207">
        <f t="shared" si="12"/>
        <v>726313</v>
      </c>
      <c r="BH66" s="207">
        <f t="shared" si="13"/>
        <v>90789.125</v>
      </c>
      <c r="BI66" s="208">
        <f>SUMIFS(領用表!$L:$L,領用表!$E:$E,$B66,領用表!$B:$B,BI$2&amp;$BI$1)</f>
        <v>139998</v>
      </c>
      <c r="BJ66" s="208">
        <f>SUMIFS(領用表!$L:$L,領用表!$E:$E,$B66,領用表!$B:$B,BJ$2&amp;$BI$1)</f>
        <v>104295</v>
      </c>
      <c r="BK66" s="208">
        <f>SUMIFS(領用表!$L:$L,領用表!$E:$E,$B66,領用表!$B:$B,BK$2&amp;$BI$1)</f>
        <v>87750</v>
      </c>
      <c r="BL66" s="208">
        <f>SUMIFS(領用表!$L:$L,領用表!$E:$E,$B66,領用表!$B:$B,BL$2&amp;$BI$1)</f>
        <v>91690</v>
      </c>
      <c r="BM66" s="208">
        <f>SUMIFS(領用表!$L:$L,領用表!$E:$E,$B66,領用表!$B:$B,BM$2&amp;$BI$1)</f>
        <v>91100</v>
      </c>
      <c r="BN66" s="208">
        <f>SUMIFS(領用表!$L:$L,領用表!$E:$E,$B66,領用表!$B:$B,BN$2&amp;$BI$1)</f>
        <v>0</v>
      </c>
      <c r="BO66" s="208">
        <f>SUMIFS(領用表!$L:$L,領用表!$E:$E,$B66,領用表!$B:$B,BO$2&amp;$BI$1)</f>
        <v>0</v>
      </c>
      <c r="BP66" s="208">
        <f>SUMIFS(領用表!$L:$L,領用表!$E:$E,$B66,領用表!$B:$B,BP$2&amp;$BI$1)</f>
        <v>0</v>
      </c>
      <c r="BQ66" s="208">
        <f>SUMIFS(領用表!$L:$L,領用表!$E:$E,$B66,領用表!$B:$B,BQ$2&amp;$BI$1)</f>
        <v>0</v>
      </c>
      <c r="BR66" s="208">
        <f>SUMIFS(領用表!$L:$L,領用表!$E:$E,$B66,領用表!$B:$B,BR$2&amp;$BI$1)</f>
        <v>0</v>
      </c>
      <c r="BS66" s="208">
        <f>SUMIFS(領用表!$L:$L,領用表!$E:$E,$B66,領用表!$B:$B,BS$2&amp;$BI$1)</f>
        <v>0</v>
      </c>
      <c r="BT66" s="208">
        <f>SUMIFS(領用表!$L:$L,領用表!$E:$E,$B66,領用表!$B:$B,BT$2&amp;$BI$1)</f>
        <v>0</v>
      </c>
      <c r="BU66" s="208">
        <f t="shared" si="4"/>
        <v>514833</v>
      </c>
      <c r="BV66" s="208">
        <f t="shared" si="5"/>
        <v>102966.6</v>
      </c>
      <c r="BW66" s="208">
        <f>SUMIF(Summary!B:B,B66,Summary!DT:DT)</f>
        <v>120000</v>
      </c>
      <c r="BX66" s="215">
        <v>88000</v>
      </c>
      <c r="BY66" s="466"/>
      <c r="BZ66" s="262" t="s">
        <v>810</v>
      </c>
      <c r="CA66" s="262" t="s">
        <v>809</v>
      </c>
      <c r="CB66" s="346" t="s">
        <v>844</v>
      </c>
      <c r="CC66" s="136"/>
      <c r="CE66" s="213"/>
    </row>
    <row r="67" spans="1:83" s="118" customFormat="1" ht="15.75" customHeight="1">
      <c r="A67" s="136" t="s">
        <v>117</v>
      </c>
      <c r="B67" s="118">
        <v>6220005</v>
      </c>
      <c r="C67" s="118" t="s">
        <v>620</v>
      </c>
      <c r="D67" s="207">
        <v>15</v>
      </c>
      <c r="E67" s="198" t="s">
        <v>15</v>
      </c>
      <c r="F67" s="349">
        <v>316</v>
      </c>
      <c r="G67" s="349"/>
      <c r="H67" s="200">
        <v>7.0000000000000007E-2</v>
      </c>
      <c r="I67" s="200">
        <v>0</v>
      </c>
      <c r="J67" s="200">
        <v>7.0000000000000007E-2</v>
      </c>
      <c r="K67" s="200">
        <v>1.33</v>
      </c>
      <c r="L67" s="200">
        <v>1.93</v>
      </c>
      <c r="M67" s="200">
        <v>2.4700000000000002</v>
      </c>
      <c r="N67" s="200">
        <v>2.73</v>
      </c>
      <c r="O67" s="200">
        <v>3.47</v>
      </c>
      <c r="P67" s="200">
        <v>4.13</v>
      </c>
      <c r="Q67" s="200">
        <v>4.7300000000000004</v>
      </c>
      <c r="R67" s="200">
        <v>6.2</v>
      </c>
      <c r="S67" s="200">
        <v>7.33</v>
      </c>
      <c r="T67" s="200">
        <v>7.13</v>
      </c>
      <c r="U67" s="200">
        <v>4.53</v>
      </c>
      <c r="V67" s="200">
        <v>4.2</v>
      </c>
      <c r="W67" s="200">
        <v>5.67</v>
      </c>
      <c r="X67" s="200">
        <v>5.27</v>
      </c>
      <c r="Y67" s="200">
        <v>5.8</v>
      </c>
      <c r="Z67" s="200">
        <v>6.67</v>
      </c>
      <c r="AA67" s="200">
        <v>8.1999999999999993</v>
      </c>
      <c r="AB67" s="200">
        <v>6.87</v>
      </c>
      <c r="AC67" s="200">
        <v>8.07</v>
      </c>
      <c r="AD67" s="200">
        <v>7.2</v>
      </c>
      <c r="AE67" s="200">
        <v>6</v>
      </c>
      <c r="AF67" s="200">
        <v>6.87</v>
      </c>
      <c r="AG67" s="221">
        <v>8.4</v>
      </c>
      <c r="AH67" s="221">
        <v>8.1999999999999993</v>
      </c>
      <c r="AI67" s="221">
        <v>9.4</v>
      </c>
      <c r="AJ67" s="221">
        <v>8.6</v>
      </c>
      <c r="AK67" s="221">
        <v>10.7333</v>
      </c>
      <c r="AL67" s="221">
        <v>12</v>
      </c>
      <c r="AM67" s="221">
        <v>15.4</v>
      </c>
      <c r="AN67" s="221">
        <v>30.7333</v>
      </c>
      <c r="AO67" s="221">
        <v>25.533333330000001</v>
      </c>
      <c r="AP67" s="201">
        <v>24.8</v>
      </c>
      <c r="AQ67" s="202">
        <v>27.8</v>
      </c>
      <c r="AR67" s="203">
        <f>435/D67</f>
        <v>29</v>
      </c>
      <c r="AS67" s="204">
        <f t="shared" ref="AS67:AS73" si="14">SUM(AG67:AR67)</f>
        <v>210.59993333000003</v>
      </c>
      <c r="AT67" s="205">
        <f t="shared" ref="AT67:AT73" si="15">AS67/12</f>
        <v>17.549994444166668</v>
      </c>
      <c r="AU67" s="203">
        <v>813</v>
      </c>
      <c r="AV67" s="203">
        <v>567</v>
      </c>
      <c r="AW67" s="203">
        <v>731</v>
      </c>
      <c r="AX67" s="203">
        <v>552</v>
      </c>
      <c r="AY67" s="203">
        <v>572</v>
      </c>
      <c r="AZ67" s="203">
        <f>SUMIFS(領用表!$L:$L,領用表!$E:$E,$B67,領用表!$B:$B,AZ$2&amp;$BI$1)</f>
        <v>636</v>
      </c>
      <c r="BA67" s="203">
        <f>SUMIFS(領用表!$L:$L,領用表!$E:$E,$B67,領用表!$B:$B,BA$2&amp;$BI$1)</f>
        <v>569</v>
      </c>
      <c r="BB67" s="203">
        <f>SUMIFS(領用表!$L:$L,領用表!$E:$E,$B67,領用表!$B:$B,BB$2&amp;$BI$1)</f>
        <v>565</v>
      </c>
      <c r="BC67" s="203">
        <f>SUMIFS(領用表!$L:$L,領用表!$E:$E,$B67,領用表!$B:$B,BC$2&amp;$BI$1)</f>
        <v>590</v>
      </c>
      <c r="BD67" s="208">
        <f>SUMIFS(領用表!$L:$L,領用表!$E:$E,$B67,領用表!$B:$B,BD$2&amp;$BI$1)</f>
        <v>672</v>
      </c>
      <c r="BE67" s="208">
        <f>SUMIFS(領用表!$L:$L,領用表!$E:$E,$B67,領用表!$B:$B,BE$2&amp;$BI$1)</f>
        <v>658</v>
      </c>
      <c r="BF67" s="208">
        <f>SUMIFS(領用表!$L:$L,領用表!$E:$E,$B67,領用表!$B:$B,BF$2&amp;$BI$1)</f>
        <v>725</v>
      </c>
      <c r="BG67" s="207">
        <f t="shared" si="12"/>
        <v>7650</v>
      </c>
      <c r="BH67" s="207">
        <f t="shared" si="13"/>
        <v>637.5</v>
      </c>
      <c r="BI67" s="208">
        <f>SUMIFS(領用表!$L:$L,領用表!$E:$E,$B67,領用表!$B:$B,BI$2&amp;$BI$1)</f>
        <v>648</v>
      </c>
      <c r="BJ67" s="208">
        <f>SUMIFS(領用表!$L:$L,領用表!$E:$E,$B67,領用表!$B:$B,BJ$2&amp;$BI$1)</f>
        <v>495</v>
      </c>
      <c r="BK67" s="208">
        <f>SUMIFS(領用表!$L:$L,領用表!$E:$E,$B67,領用表!$B:$B,BK$2&amp;$BI$1)</f>
        <v>602</v>
      </c>
      <c r="BL67" s="208">
        <f>SUMIFS(領用表!$L:$L,領用表!$E:$E,$B67,領用表!$B:$B,BL$2&amp;$BI$1)</f>
        <v>530</v>
      </c>
      <c r="BM67" s="208">
        <f>SUMIFS(領用表!$L:$L,領用表!$E:$E,$B67,領用表!$B:$B,BM$2&amp;$BI$1)</f>
        <v>562</v>
      </c>
      <c r="BN67" s="208">
        <f>SUMIFS(領用表!$L:$L,領用表!$E:$E,$B67,領用表!$B:$B,BN$2&amp;$BI$1)</f>
        <v>0</v>
      </c>
      <c r="BO67" s="208">
        <f>SUMIFS(領用表!$L:$L,領用表!$E:$E,$B67,領用表!$B:$B,BO$2&amp;$BI$1)</f>
        <v>0</v>
      </c>
      <c r="BP67" s="208">
        <f>SUMIFS(領用表!$L:$L,領用表!$E:$E,$B67,領用表!$B:$B,BP$2&amp;$BI$1)</f>
        <v>0</v>
      </c>
      <c r="BQ67" s="208">
        <f>SUMIFS(領用表!$L:$L,領用表!$E:$E,$B67,領用表!$B:$B,BQ$2&amp;$BI$1)</f>
        <v>0</v>
      </c>
      <c r="BR67" s="208">
        <f>SUMIFS(領用表!$L:$L,領用表!$E:$E,$B67,領用表!$B:$B,BR$2&amp;$BI$1)</f>
        <v>0</v>
      </c>
      <c r="BS67" s="208">
        <f>SUMIFS(領用表!$L:$L,領用表!$E:$E,$B67,領用表!$B:$B,BS$2&amp;$BI$1)</f>
        <v>0</v>
      </c>
      <c r="BT67" s="208">
        <f>SUMIFS(領用表!$L:$L,領用表!$E:$E,$B67,領用表!$B:$B,BT$2&amp;$BI$1)</f>
        <v>0</v>
      </c>
      <c r="BU67" s="208">
        <f t="shared" si="4"/>
        <v>2837</v>
      </c>
      <c r="BV67" s="208">
        <f t="shared" si="5"/>
        <v>567.4</v>
      </c>
      <c r="BW67" s="208">
        <f>SUMIF(Summary!B:B,B67,Summary!DT:DT)</f>
        <v>550</v>
      </c>
      <c r="BX67" s="215">
        <v>650</v>
      </c>
      <c r="BY67" s="475"/>
      <c r="BZ67" s="262" t="s">
        <v>118</v>
      </c>
      <c r="CA67" s="262" t="s">
        <v>119</v>
      </c>
      <c r="CB67" s="136"/>
      <c r="CC67" s="136"/>
      <c r="CE67" s="213"/>
    </row>
    <row r="68" spans="1:83" s="118" customFormat="1" ht="15.75" customHeight="1">
      <c r="A68" s="136" t="s">
        <v>120</v>
      </c>
      <c r="B68" s="118">
        <v>6220006</v>
      </c>
      <c r="C68" s="118" t="s">
        <v>621</v>
      </c>
      <c r="D68" s="207">
        <v>15</v>
      </c>
      <c r="E68" s="198" t="s">
        <v>15</v>
      </c>
      <c r="F68" s="349">
        <v>316</v>
      </c>
      <c r="G68" s="349"/>
      <c r="H68" s="200">
        <v>7.0000000000000007E-2</v>
      </c>
      <c r="I68" s="200">
        <v>0</v>
      </c>
      <c r="J68" s="200">
        <v>7.0000000000000007E-2</v>
      </c>
      <c r="K68" s="200">
        <v>1.33</v>
      </c>
      <c r="L68" s="200">
        <v>1.93</v>
      </c>
      <c r="M68" s="200">
        <v>2.4700000000000002</v>
      </c>
      <c r="N68" s="200">
        <v>2.73</v>
      </c>
      <c r="O68" s="200">
        <v>3.47</v>
      </c>
      <c r="P68" s="200">
        <v>4.13</v>
      </c>
      <c r="Q68" s="200">
        <v>4.7300000000000004</v>
      </c>
      <c r="R68" s="200">
        <v>6.2</v>
      </c>
      <c r="S68" s="200">
        <v>7.33</v>
      </c>
      <c r="T68" s="200">
        <v>7.13</v>
      </c>
      <c r="U68" s="200">
        <v>4.53</v>
      </c>
      <c r="V68" s="200">
        <v>4.2</v>
      </c>
      <c r="W68" s="200">
        <v>5.67</v>
      </c>
      <c r="X68" s="200">
        <v>5.27</v>
      </c>
      <c r="Y68" s="200">
        <v>5.8</v>
      </c>
      <c r="Z68" s="200">
        <v>6.67</v>
      </c>
      <c r="AA68" s="200">
        <v>8.1999999999999993</v>
      </c>
      <c r="AB68" s="200">
        <v>6.87</v>
      </c>
      <c r="AC68" s="200">
        <v>8.07</v>
      </c>
      <c r="AD68" s="200">
        <v>7.2</v>
      </c>
      <c r="AE68" s="200">
        <v>6</v>
      </c>
      <c r="AF68" s="200">
        <v>6.87</v>
      </c>
      <c r="AG68" s="221">
        <v>8.4</v>
      </c>
      <c r="AH68" s="221">
        <v>8.1999999999999993</v>
      </c>
      <c r="AI68" s="221">
        <v>9.4</v>
      </c>
      <c r="AJ68" s="221">
        <v>8.6</v>
      </c>
      <c r="AK68" s="221">
        <v>10.7333</v>
      </c>
      <c r="AL68" s="221">
        <v>12</v>
      </c>
      <c r="AM68" s="221">
        <v>15.4</v>
      </c>
      <c r="AN68" s="221">
        <v>30.7333</v>
      </c>
      <c r="AO68" s="221">
        <v>25.533333330000001</v>
      </c>
      <c r="AP68" s="201">
        <v>24.8</v>
      </c>
      <c r="AQ68" s="202">
        <v>27.8</v>
      </c>
      <c r="AR68" s="203">
        <f>435/D68</f>
        <v>29</v>
      </c>
      <c r="AS68" s="204">
        <f t="shared" si="14"/>
        <v>210.59993333000003</v>
      </c>
      <c r="AT68" s="205">
        <f t="shared" si="15"/>
        <v>17.549994444166668</v>
      </c>
      <c r="AU68" s="203">
        <v>813</v>
      </c>
      <c r="AV68" s="203">
        <v>567</v>
      </c>
      <c r="AW68" s="203">
        <v>731</v>
      </c>
      <c r="AX68" s="203">
        <v>552</v>
      </c>
      <c r="AY68" s="203">
        <v>572</v>
      </c>
      <c r="AZ68" s="203">
        <f>SUMIFS(領用表!$L:$L,領用表!$E:$E,$B68,領用表!$B:$B,AZ$2&amp;$BI$1)</f>
        <v>636</v>
      </c>
      <c r="BA68" s="203">
        <f>SUMIFS(領用表!$L:$L,領用表!$E:$E,$B68,領用表!$B:$B,BA$2&amp;$BI$1)</f>
        <v>569</v>
      </c>
      <c r="BB68" s="203">
        <f>SUMIFS(領用表!$L:$L,領用表!$E:$E,$B68,領用表!$B:$B,BB$2&amp;$BI$1)</f>
        <v>565</v>
      </c>
      <c r="BC68" s="203">
        <f>SUMIFS(領用表!$L:$L,領用表!$E:$E,$B68,領用表!$B:$B,BC$2&amp;$BI$1)</f>
        <v>590</v>
      </c>
      <c r="BD68" s="208">
        <f>SUMIFS(領用表!$L:$L,領用表!$E:$E,$B68,領用表!$B:$B,BD$2&amp;$BI$1)</f>
        <v>672</v>
      </c>
      <c r="BE68" s="208">
        <f>SUMIFS(領用表!$L:$L,領用表!$E:$E,$B68,領用表!$B:$B,BE$2&amp;$BI$1)</f>
        <v>658</v>
      </c>
      <c r="BF68" s="208">
        <f>SUMIFS(領用表!$L:$L,領用表!$E:$E,$B68,領用表!$B:$B,BF$2&amp;$BI$1)</f>
        <v>725</v>
      </c>
      <c r="BG68" s="207">
        <f t="shared" si="12"/>
        <v>7650</v>
      </c>
      <c r="BH68" s="207">
        <f t="shared" si="13"/>
        <v>637.5</v>
      </c>
      <c r="BI68" s="208">
        <f>SUMIFS(領用表!$L:$L,領用表!$E:$E,$B68,領用表!$B:$B,BI$2&amp;$BI$1)</f>
        <v>648</v>
      </c>
      <c r="BJ68" s="208">
        <f>SUMIFS(領用表!$L:$L,領用表!$E:$E,$B68,領用表!$B:$B,BJ$2&amp;$BI$1)</f>
        <v>495</v>
      </c>
      <c r="BK68" s="208">
        <f>SUMIFS(領用表!$L:$L,領用表!$E:$E,$B68,領用表!$B:$B,BK$2&amp;$BI$1)</f>
        <v>602</v>
      </c>
      <c r="BL68" s="208">
        <f>SUMIFS(領用表!$L:$L,領用表!$E:$E,$B68,領用表!$B:$B,BL$2&amp;$BI$1)</f>
        <v>530</v>
      </c>
      <c r="BM68" s="208">
        <f>SUMIFS(領用表!$L:$L,領用表!$E:$E,$B68,領用表!$B:$B,BM$2&amp;$BI$1)</f>
        <v>562</v>
      </c>
      <c r="BN68" s="208">
        <f>SUMIFS(領用表!$L:$L,領用表!$E:$E,$B68,領用表!$B:$B,BN$2&amp;$BI$1)</f>
        <v>0</v>
      </c>
      <c r="BO68" s="208">
        <f>SUMIFS(領用表!$L:$L,領用表!$E:$E,$B68,領用表!$B:$B,BO$2&amp;$BI$1)</f>
        <v>0</v>
      </c>
      <c r="BP68" s="208">
        <f>SUMIFS(領用表!$L:$L,領用表!$E:$E,$B68,領用表!$B:$B,BP$2&amp;$BI$1)</f>
        <v>0</v>
      </c>
      <c r="BQ68" s="208">
        <f>SUMIFS(領用表!$L:$L,領用表!$E:$E,$B68,領用表!$B:$B,BQ$2&amp;$BI$1)</f>
        <v>0</v>
      </c>
      <c r="BR68" s="208">
        <f>SUMIFS(領用表!$L:$L,領用表!$E:$E,$B68,領用表!$B:$B,BR$2&amp;$BI$1)</f>
        <v>0</v>
      </c>
      <c r="BS68" s="208">
        <f>SUMIFS(領用表!$L:$L,領用表!$E:$E,$B68,領用表!$B:$B,BS$2&amp;$BI$1)</f>
        <v>0</v>
      </c>
      <c r="BT68" s="208">
        <f>SUMIFS(領用表!$L:$L,領用表!$E:$E,$B68,領用表!$B:$B,BT$2&amp;$BI$1)</f>
        <v>0</v>
      </c>
      <c r="BU68" s="208">
        <f t="shared" si="4"/>
        <v>2837</v>
      </c>
      <c r="BV68" s="208">
        <f t="shared" si="5"/>
        <v>567.4</v>
      </c>
      <c r="BW68" s="208">
        <f>SUMIF(Summary!B:B,B68,Summary!DT:DT)</f>
        <v>550</v>
      </c>
      <c r="BX68" s="215">
        <v>650</v>
      </c>
      <c r="BY68" s="465"/>
      <c r="BZ68" s="262" t="s">
        <v>118</v>
      </c>
      <c r="CA68" s="262" t="s">
        <v>119</v>
      </c>
      <c r="CB68" s="136"/>
      <c r="CC68" s="136"/>
      <c r="CE68" s="213"/>
    </row>
    <row r="69" spans="1:83" s="118" customFormat="1" ht="15.75" customHeight="1">
      <c r="A69" s="136" t="s">
        <v>121</v>
      </c>
      <c r="B69" s="118">
        <v>6220007</v>
      </c>
      <c r="C69" s="118" t="s">
        <v>622</v>
      </c>
      <c r="D69" s="207">
        <v>15</v>
      </c>
      <c r="E69" s="198" t="s">
        <v>15</v>
      </c>
      <c r="F69" s="349">
        <v>316</v>
      </c>
      <c r="G69" s="349"/>
      <c r="H69" s="200">
        <v>7.0000000000000007E-2</v>
      </c>
      <c r="I69" s="200">
        <v>0</v>
      </c>
      <c r="J69" s="200">
        <v>7.0000000000000007E-2</v>
      </c>
      <c r="K69" s="200">
        <v>1.33</v>
      </c>
      <c r="L69" s="200">
        <v>1.93</v>
      </c>
      <c r="M69" s="200">
        <v>2.4700000000000002</v>
      </c>
      <c r="N69" s="200">
        <v>2.73</v>
      </c>
      <c r="O69" s="200">
        <v>3.47</v>
      </c>
      <c r="P69" s="200">
        <v>4.13</v>
      </c>
      <c r="Q69" s="200">
        <v>4.7300000000000004</v>
      </c>
      <c r="R69" s="200">
        <v>6.2</v>
      </c>
      <c r="S69" s="200">
        <v>7.33</v>
      </c>
      <c r="T69" s="200">
        <v>7.13</v>
      </c>
      <c r="U69" s="200">
        <v>4.53</v>
      </c>
      <c r="V69" s="200">
        <v>4.2</v>
      </c>
      <c r="W69" s="200">
        <v>5.67</v>
      </c>
      <c r="X69" s="200">
        <v>5.27</v>
      </c>
      <c r="Y69" s="200">
        <v>5.8</v>
      </c>
      <c r="Z69" s="200">
        <v>6.67</v>
      </c>
      <c r="AA69" s="200">
        <v>8.1999999999999993</v>
      </c>
      <c r="AB69" s="200">
        <v>6.87</v>
      </c>
      <c r="AC69" s="200">
        <v>8.07</v>
      </c>
      <c r="AD69" s="200">
        <v>7.2</v>
      </c>
      <c r="AE69" s="200">
        <v>6</v>
      </c>
      <c r="AF69" s="200">
        <v>6.87</v>
      </c>
      <c r="AG69" s="221">
        <v>8.4</v>
      </c>
      <c r="AH69" s="221">
        <v>8.1999999999999993</v>
      </c>
      <c r="AI69" s="221">
        <v>9.4</v>
      </c>
      <c r="AJ69" s="221">
        <v>8.6</v>
      </c>
      <c r="AK69" s="221">
        <v>10.7333</v>
      </c>
      <c r="AL69" s="221">
        <v>12</v>
      </c>
      <c r="AM69" s="221">
        <v>15.4</v>
      </c>
      <c r="AN69" s="221">
        <v>30.7333</v>
      </c>
      <c r="AO69" s="221">
        <v>25.533333330000001</v>
      </c>
      <c r="AP69" s="201">
        <v>24.8</v>
      </c>
      <c r="AQ69" s="202">
        <v>27.8</v>
      </c>
      <c r="AR69" s="203">
        <f>435/D69</f>
        <v>29</v>
      </c>
      <c r="AS69" s="204">
        <f t="shared" si="14"/>
        <v>210.59993333000003</v>
      </c>
      <c r="AT69" s="205">
        <f t="shared" si="15"/>
        <v>17.549994444166668</v>
      </c>
      <c r="AU69" s="203">
        <v>813</v>
      </c>
      <c r="AV69" s="203">
        <v>567</v>
      </c>
      <c r="AW69" s="203">
        <v>731</v>
      </c>
      <c r="AX69" s="203">
        <v>552</v>
      </c>
      <c r="AY69" s="203">
        <v>572</v>
      </c>
      <c r="AZ69" s="203">
        <f>SUMIFS(領用表!$L:$L,領用表!$E:$E,$B69,領用表!$B:$B,AZ$2&amp;$BI$1)</f>
        <v>636</v>
      </c>
      <c r="BA69" s="203">
        <f>SUMIFS(領用表!$L:$L,領用表!$E:$E,$B69,領用表!$B:$B,BA$2&amp;$BI$1)</f>
        <v>569</v>
      </c>
      <c r="BB69" s="203">
        <f>SUMIFS(領用表!$L:$L,領用表!$E:$E,$B69,領用表!$B:$B,BB$2&amp;$BI$1)</f>
        <v>565</v>
      </c>
      <c r="BC69" s="203">
        <f>SUMIFS(領用表!$L:$L,領用表!$E:$E,$B69,領用表!$B:$B,BC$2&amp;$BI$1)</f>
        <v>590</v>
      </c>
      <c r="BD69" s="208">
        <f>SUMIFS(領用表!$L:$L,領用表!$E:$E,$B69,領用表!$B:$B,BD$2&amp;$BI$1)</f>
        <v>672</v>
      </c>
      <c r="BE69" s="208">
        <f>SUMIFS(領用表!$L:$L,領用表!$E:$E,$B69,領用表!$B:$B,BE$2&amp;$BI$1)</f>
        <v>658</v>
      </c>
      <c r="BF69" s="208">
        <f>SUMIFS(領用表!$L:$L,領用表!$E:$E,$B69,領用表!$B:$B,BF$2&amp;$BI$1)</f>
        <v>725</v>
      </c>
      <c r="BG69" s="207">
        <f t="shared" si="12"/>
        <v>7650</v>
      </c>
      <c r="BH69" s="207">
        <f t="shared" si="13"/>
        <v>637.5</v>
      </c>
      <c r="BI69" s="208">
        <f>SUMIFS(領用表!$L:$L,領用表!$E:$E,$B69,領用表!$B:$B,BI$2&amp;$BI$1)</f>
        <v>648</v>
      </c>
      <c r="BJ69" s="208">
        <f>SUMIFS(領用表!$L:$L,領用表!$E:$E,$B69,領用表!$B:$B,BJ$2&amp;$BI$1)</f>
        <v>495</v>
      </c>
      <c r="BK69" s="208">
        <f>SUMIFS(領用表!$L:$L,領用表!$E:$E,$B69,領用表!$B:$B,BK$2&amp;$BI$1)</f>
        <v>602</v>
      </c>
      <c r="BL69" s="208">
        <f>SUMIFS(領用表!$L:$L,領用表!$E:$E,$B69,領用表!$B:$B,BL$2&amp;$BI$1)</f>
        <v>530</v>
      </c>
      <c r="BM69" s="208">
        <f>SUMIFS(領用表!$L:$L,領用表!$E:$E,$B69,領用表!$B:$B,BM$2&amp;$BI$1)</f>
        <v>562</v>
      </c>
      <c r="BN69" s="208">
        <f>SUMIFS(領用表!$L:$L,領用表!$E:$E,$B69,領用表!$B:$B,BN$2&amp;$BI$1)</f>
        <v>0</v>
      </c>
      <c r="BO69" s="208">
        <f>SUMIFS(領用表!$L:$L,領用表!$E:$E,$B69,領用表!$B:$B,BO$2&amp;$BI$1)</f>
        <v>0</v>
      </c>
      <c r="BP69" s="208">
        <f>SUMIFS(領用表!$L:$L,領用表!$E:$E,$B69,領用表!$B:$B,BP$2&amp;$BI$1)</f>
        <v>0</v>
      </c>
      <c r="BQ69" s="208">
        <f>SUMIFS(領用表!$L:$L,領用表!$E:$E,$B69,領用表!$B:$B,BQ$2&amp;$BI$1)</f>
        <v>0</v>
      </c>
      <c r="BR69" s="208">
        <f>SUMIFS(領用表!$L:$L,領用表!$E:$E,$B69,領用表!$B:$B,BR$2&amp;$BI$1)</f>
        <v>0</v>
      </c>
      <c r="BS69" s="208">
        <f>SUMIFS(領用表!$L:$L,領用表!$E:$E,$B69,領用表!$B:$B,BS$2&amp;$BI$1)</f>
        <v>0</v>
      </c>
      <c r="BT69" s="208">
        <f>SUMIFS(領用表!$L:$L,領用表!$E:$E,$B69,領用表!$B:$B,BT$2&amp;$BI$1)</f>
        <v>0</v>
      </c>
      <c r="BU69" s="208">
        <f t="shared" si="4"/>
        <v>2837</v>
      </c>
      <c r="BV69" s="208">
        <f t="shared" si="5"/>
        <v>567.4</v>
      </c>
      <c r="BW69" s="208">
        <f>SUMIF(Summary!B:B,B69,Summary!DT:DT)</f>
        <v>550</v>
      </c>
      <c r="BX69" s="215">
        <v>650</v>
      </c>
      <c r="BY69" s="465"/>
      <c r="BZ69" s="262" t="s">
        <v>118</v>
      </c>
      <c r="CA69" s="262" t="s">
        <v>119</v>
      </c>
      <c r="CB69" s="136" t="s">
        <v>811</v>
      </c>
      <c r="CC69" s="136"/>
      <c r="CE69" s="213"/>
    </row>
    <row r="70" spans="1:83" s="118" customFormat="1" ht="15.75" customHeight="1">
      <c r="A70" s="136" t="s">
        <v>123</v>
      </c>
      <c r="B70" s="118">
        <v>6220012</v>
      </c>
      <c r="C70" s="118" t="s">
        <v>623</v>
      </c>
      <c r="D70" s="207">
        <v>236</v>
      </c>
      <c r="E70" s="198" t="s">
        <v>124</v>
      </c>
      <c r="F70" s="349">
        <f>(D70*17)+(D70*3)</f>
        <v>4720</v>
      </c>
      <c r="G70" s="349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1">
        <v>11</v>
      </c>
      <c r="AH70" s="201">
        <v>9</v>
      </c>
      <c r="AI70" s="201">
        <v>10</v>
      </c>
      <c r="AJ70" s="201">
        <v>10</v>
      </c>
      <c r="AK70" s="201">
        <v>8</v>
      </c>
      <c r="AL70" s="201">
        <v>33</v>
      </c>
      <c r="AM70" s="201">
        <v>10</v>
      </c>
      <c r="AN70" s="201">
        <v>41</v>
      </c>
      <c r="AO70" s="201">
        <v>34</v>
      </c>
      <c r="AP70" s="201">
        <v>24</v>
      </c>
      <c r="AQ70" s="201">
        <v>25</v>
      </c>
      <c r="AR70" s="203">
        <f>6608/D70</f>
        <v>28</v>
      </c>
      <c r="AS70" s="204">
        <f t="shared" si="14"/>
        <v>243</v>
      </c>
      <c r="AT70" s="205">
        <f t="shared" si="15"/>
        <v>20.25</v>
      </c>
      <c r="AU70" s="373">
        <v>6136</v>
      </c>
      <c r="AV70" s="373">
        <v>6608</v>
      </c>
      <c r="AW70" s="373">
        <v>7316</v>
      </c>
      <c r="AX70" s="203">
        <v>6372</v>
      </c>
      <c r="AY70" s="203">
        <v>7316</v>
      </c>
      <c r="AZ70" s="203">
        <f>SUMIFS(領用表!$L:$L,領用表!$E:$E,$B70,領用表!$B:$B,AZ$2&amp;$BI$1)</f>
        <v>9525</v>
      </c>
      <c r="BA70" s="203">
        <f>SUMIFS(領用表!$L:$L,領用表!$E:$E,$B70,領用表!$B:$B,BA$2&amp;$BI$1)</f>
        <v>8521</v>
      </c>
      <c r="BB70" s="203">
        <f>SUMIFS(領用表!$L:$L,領用表!$E:$E,$B70,領用表!$B:$B,BB$2&amp;$BI$1)</f>
        <v>8475</v>
      </c>
      <c r="BC70" s="203">
        <f>SUMIFS(領用表!$L:$L,領用表!$E:$E,$B70,領用表!$B:$B,BC$2&amp;$BI$1)</f>
        <v>8850</v>
      </c>
      <c r="BD70" s="208">
        <f>SUMIFS(領用表!$L:$L,領用表!$E:$E,$B70,領用表!$B:$B,BD$2&amp;$BI$1)</f>
        <v>10080</v>
      </c>
      <c r="BE70" s="208">
        <f>SUMIFS(領用表!$L:$L,領用表!$E:$E,$B70,領用表!$B:$B,BE$2&amp;$BI$1)</f>
        <v>9870</v>
      </c>
      <c r="BF70" s="208">
        <f>SUMIFS(領用表!$L:$L,領用表!$E:$E,$B70,領用表!$B:$B,BF$2&amp;$BI$1)</f>
        <v>10861</v>
      </c>
      <c r="BG70" s="207">
        <f t="shared" si="12"/>
        <v>99930</v>
      </c>
      <c r="BH70" s="207">
        <f t="shared" si="13"/>
        <v>8327.5</v>
      </c>
      <c r="BI70" s="208">
        <f>SUMIFS(領用表!$L:$L,領用表!$E:$E,$B70,領用表!$B:$B,BI$2&amp;$BI$1)</f>
        <v>9720</v>
      </c>
      <c r="BJ70" s="208">
        <f>SUMIFS(領用表!$L:$L,領用表!$E:$E,$B70,領用表!$B:$B,BJ$2&amp;$BI$1)</f>
        <v>7410</v>
      </c>
      <c r="BK70" s="208">
        <f>SUMIFS(領用表!$L:$L,領用表!$E:$E,$B70,領用表!$B:$B,BK$2&amp;$BI$1)</f>
        <v>9030</v>
      </c>
      <c r="BL70" s="208">
        <f>SUMIFS(領用表!$L:$L,領用表!$E:$E,$B70,領用表!$B:$B,BL$2&amp;$BI$1)</f>
        <v>7950</v>
      </c>
      <c r="BM70" s="208">
        <f>SUMIFS(領用表!$L:$L,領用表!$E:$E,$B70,領用表!$B:$B,BM$2&amp;$BI$1)</f>
        <v>8430</v>
      </c>
      <c r="BN70" s="208">
        <f>SUMIFS(領用表!$L:$L,領用表!$E:$E,$B70,領用表!$B:$B,BN$2&amp;$BI$1)</f>
        <v>0</v>
      </c>
      <c r="BO70" s="208">
        <f>SUMIFS(領用表!$L:$L,領用表!$E:$E,$B70,領用表!$B:$B,BO$2&amp;$BI$1)</f>
        <v>0</v>
      </c>
      <c r="BP70" s="208">
        <f>SUMIFS(領用表!$L:$L,領用表!$E:$E,$B70,領用表!$B:$B,BP$2&amp;$BI$1)</f>
        <v>0</v>
      </c>
      <c r="BQ70" s="208">
        <f>SUMIFS(領用表!$L:$L,領用表!$E:$E,$B70,領用表!$B:$B,BQ$2&amp;$BI$1)</f>
        <v>0</v>
      </c>
      <c r="BR70" s="208">
        <f>SUMIFS(領用表!$L:$L,領用表!$E:$E,$B70,領用表!$B:$B,BR$2&amp;$BI$1)</f>
        <v>0</v>
      </c>
      <c r="BS70" s="208">
        <f>SUMIFS(領用表!$L:$L,領用表!$E:$E,$B70,領用表!$B:$B,BS$2&amp;$BI$1)</f>
        <v>0</v>
      </c>
      <c r="BT70" s="208">
        <f>SUMIFS(領用表!$L:$L,領用表!$E:$E,$B70,領用表!$B:$B,BT$2&amp;$BI$1)</f>
        <v>0</v>
      </c>
      <c r="BU70" s="208">
        <f t="shared" si="4"/>
        <v>42540</v>
      </c>
      <c r="BV70" s="208">
        <f t="shared" si="5"/>
        <v>8508</v>
      </c>
      <c r="BW70" s="208">
        <f>SUMIF(Summary!B:B,B70,Summary!DT:DT)</f>
        <v>8250</v>
      </c>
      <c r="BX70" s="215">
        <v>8500</v>
      </c>
      <c r="BY70" s="465"/>
      <c r="BZ70" s="262" t="s">
        <v>812</v>
      </c>
      <c r="CA70" s="262" t="s">
        <v>813</v>
      </c>
      <c r="CB70" s="136" t="s">
        <v>811</v>
      </c>
      <c r="CC70" s="212"/>
      <c r="CE70" s="213"/>
    </row>
    <row r="71" spans="1:83" s="118" customFormat="1" ht="15.75" customHeight="1">
      <c r="A71" s="136" t="s">
        <v>127</v>
      </c>
      <c r="B71" s="118">
        <v>6220013</v>
      </c>
      <c r="C71" s="118" t="s">
        <v>624</v>
      </c>
      <c r="D71" s="207">
        <v>236</v>
      </c>
      <c r="E71" s="198" t="s">
        <v>124</v>
      </c>
      <c r="F71" s="349">
        <f>(D71*25)+(D71*0)</f>
        <v>5900</v>
      </c>
      <c r="G71" s="349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200"/>
      <c r="AG71" s="201">
        <v>4</v>
      </c>
      <c r="AH71" s="201">
        <v>11</v>
      </c>
      <c r="AI71" s="201">
        <v>11</v>
      </c>
      <c r="AJ71" s="201">
        <v>15</v>
      </c>
      <c r="AK71" s="201">
        <v>15</v>
      </c>
      <c r="AL71" s="201">
        <v>42</v>
      </c>
      <c r="AM71" s="201">
        <v>24</v>
      </c>
      <c r="AN71" s="201">
        <v>45</v>
      </c>
      <c r="AO71" s="201">
        <v>57</v>
      </c>
      <c r="AP71" s="201">
        <v>47</v>
      </c>
      <c r="AQ71" s="201">
        <v>38</v>
      </c>
      <c r="AR71" s="203">
        <f>8968/D71</f>
        <v>38</v>
      </c>
      <c r="AS71" s="204">
        <f t="shared" si="14"/>
        <v>347</v>
      </c>
      <c r="AT71" s="205">
        <f t="shared" si="15"/>
        <v>28.916666666666668</v>
      </c>
      <c r="AU71" s="373">
        <v>11800</v>
      </c>
      <c r="AV71" s="373">
        <v>12272</v>
      </c>
      <c r="AW71" s="373">
        <v>12744</v>
      </c>
      <c r="AX71" s="203">
        <v>11092</v>
      </c>
      <c r="AY71" s="203">
        <v>11328</v>
      </c>
      <c r="AZ71" s="203">
        <f>SUMIFS(領用表!$L:$L,領用表!$E:$E,$B71,領用表!$B:$B,AZ$2&amp;$BI$1)</f>
        <v>9525</v>
      </c>
      <c r="BA71" s="203">
        <f>SUMIFS(領用表!$L:$L,領用表!$E:$E,$B71,領用表!$B:$B,BA$2&amp;$BI$1)</f>
        <v>8521</v>
      </c>
      <c r="BB71" s="203">
        <f>SUMIFS(領用表!$L:$L,領用表!$E:$E,$B71,領用表!$B:$B,BB$2&amp;$BI$1)</f>
        <v>8475</v>
      </c>
      <c r="BC71" s="203">
        <f>SUMIFS(領用表!$L:$L,領用表!$E:$E,$B71,領用表!$B:$B,BC$2&amp;$BI$1)</f>
        <v>8850</v>
      </c>
      <c r="BD71" s="208">
        <f>SUMIFS(領用表!$L:$L,領用表!$E:$E,$B71,領用表!$B:$B,BD$2&amp;$BI$1)</f>
        <v>10080</v>
      </c>
      <c r="BE71" s="208">
        <f>SUMIFS(領用表!$L:$L,領用表!$E:$E,$B71,領用表!$B:$B,BE$2&amp;$BI$1)</f>
        <v>9870</v>
      </c>
      <c r="BF71" s="208">
        <f>SUMIFS(領用表!$L:$L,領用表!$E:$E,$B71,領用表!$B:$B,BF$2&amp;$BI$1)</f>
        <v>10861</v>
      </c>
      <c r="BG71" s="207">
        <f t="shared" si="12"/>
        <v>125418</v>
      </c>
      <c r="BH71" s="207">
        <f t="shared" si="13"/>
        <v>10451.5</v>
      </c>
      <c r="BI71" s="208">
        <f>SUMIFS(領用表!$L:$L,領用表!$E:$E,$B71,領用表!$B:$B,BI$2&amp;$BI$1)</f>
        <v>9720</v>
      </c>
      <c r="BJ71" s="208">
        <f>SUMIFS(領用表!$L:$L,領用表!$E:$E,$B71,領用表!$B:$B,BJ$2&amp;$BI$1)</f>
        <v>7410</v>
      </c>
      <c r="BK71" s="208">
        <f>SUMIFS(領用表!$L:$L,領用表!$E:$E,$B71,領用表!$B:$B,BK$2&amp;$BI$1)</f>
        <v>9030</v>
      </c>
      <c r="BL71" s="208">
        <f>SUMIFS(領用表!$L:$L,領用表!$E:$E,$B71,領用表!$B:$B,BL$2&amp;$BI$1)</f>
        <v>7950</v>
      </c>
      <c r="BM71" s="208">
        <f>SUMIFS(領用表!$L:$L,領用表!$E:$E,$B71,領用表!$B:$B,BM$2&amp;$BI$1)</f>
        <v>8430</v>
      </c>
      <c r="BN71" s="208">
        <f>SUMIFS(領用表!$L:$L,領用表!$E:$E,$B71,領用表!$B:$B,BN$2&amp;$BI$1)</f>
        <v>0</v>
      </c>
      <c r="BO71" s="208">
        <f>SUMIFS(領用表!$L:$L,領用表!$E:$E,$B71,領用表!$B:$B,BO$2&amp;$BI$1)</f>
        <v>0</v>
      </c>
      <c r="BP71" s="208">
        <f>SUMIFS(領用表!$L:$L,領用表!$E:$E,$B71,領用表!$B:$B,BP$2&amp;$BI$1)</f>
        <v>0</v>
      </c>
      <c r="BQ71" s="208">
        <f>SUMIFS(領用表!$L:$L,領用表!$E:$E,$B71,領用表!$B:$B,BQ$2&amp;$BI$1)</f>
        <v>0</v>
      </c>
      <c r="BR71" s="208">
        <f>SUMIFS(領用表!$L:$L,領用表!$E:$E,$B71,領用表!$B:$B,BR$2&amp;$BI$1)</f>
        <v>0</v>
      </c>
      <c r="BS71" s="208">
        <f>SUMIFS(領用表!$L:$L,領用表!$E:$E,$B71,領用表!$B:$B,BS$2&amp;$BI$1)</f>
        <v>0</v>
      </c>
      <c r="BT71" s="208">
        <f>SUMIFS(領用表!$L:$L,領用表!$E:$E,$B71,領用表!$B:$B,BT$2&amp;$BI$1)</f>
        <v>0</v>
      </c>
      <c r="BU71" s="208">
        <f t="shared" ref="BU71:BU134" si="16">SUM(BI71,BJ71,BK71,BL71,BM71)</f>
        <v>42540</v>
      </c>
      <c r="BV71" s="208">
        <f t="shared" ref="BV71:BV73" si="17">AVERAGE(BI71,BJ71,BK71,BL71,BM71)</f>
        <v>8508</v>
      </c>
      <c r="BW71" s="208">
        <f>SUMIF(Summary!B:B,B71,Summary!DT:DT)</f>
        <v>8250</v>
      </c>
      <c r="BX71" s="215">
        <v>12000</v>
      </c>
      <c r="BY71" s="465"/>
      <c r="BZ71" s="262" t="s">
        <v>813</v>
      </c>
      <c r="CA71" s="262" t="s">
        <v>813</v>
      </c>
      <c r="CB71" s="136" t="s">
        <v>814</v>
      </c>
      <c r="CC71" s="212"/>
      <c r="CE71" s="213"/>
    </row>
    <row r="72" spans="1:83" s="118" customFormat="1" ht="15.75" customHeight="1">
      <c r="A72" s="136" t="s">
        <v>129</v>
      </c>
      <c r="B72" s="118">
        <v>6220014</v>
      </c>
      <c r="C72" s="118" t="s">
        <v>625</v>
      </c>
      <c r="D72" s="207">
        <v>236</v>
      </c>
      <c r="E72" s="198" t="s">
        <v>124</v>
      </c>
      <c r="F72" s="349">
        <f>(D72*51)</f>
        <v>12036</v>
      </c>
      <c r="G72" s="349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1">
        <v>3</v>
      </c>
      <c r="AH72" s="201">
        <v>3</v>
      </c>
      <c r="AI72" s="201">
        <v>3</v>
      </c>
      <c r="AJ72" s="201">
        <v>4</v>
      </c>
      <c r="AK72" s="201">
        <v>4</v>
      </c>
      <c r="AL72" s="201">
        <v>17</v>
      </c>
      <c r="AM72" s="201">
        <v>6</v>
      </c>
      <c r="AN72" s="201">
        <v>16</v>
      </c>
      <c r="AO72" s="201">
        <v>24</v>
      </c>
      <c r="AP72" s="201">
        <v>14</v>
      </c>
      <c r="AQ72" s="201">
        <v>25</v>
      </c>
      <c r="AR72" s="203">
        <f>2360/D72</f>
        <v>10</v>
      </c>
      <c r="AS72" s="204">
        <f t="shared" si="14"/>
        <v>129</v>
      </c>
      <c r="AT72" s="205">
        <f t="shared" si="15"/>
        <v>10.75</v>
      </c>
      <c r="AU72" s="373">
        <v>4484</v>
      </c>
      <c r="AV72" s="373">
        <v>2832</v>
      </c>
      <c r="AW72" s="373">
        <v>4012</v>
      </c>
      <c r="AX72" s="203">
        <v>3540</v>
      </c>
      <c r="AY72" s="203">
        <v>2832</v>
      </c>
      <c r="AZ72" s="203">
        <f>SUMIFS(領用表!$L:$L,領用表!$E:$E,$B72,領用表!$B:$B,AZ$2&amp;$BI$1)</f>
        <v>9525</v>
      </c>
      <c r="BA72" s="203">
        <f>SUMIFS(領用表!$L:$L,領用表!$E:$E,$B72,領用表!$B:$B,BA$2&amp;$BI$1)</f>
        <v>8521</v>
      </c>
      <c r="BB72" s="203">
        <f>SUMIFS(領用表!$L:$L,領用表!$E:$E,$B72,領用表!$B:$B,BB$2&amp;$BI$1)</f>
        <v>8475</v>
      </c>
      <c r="BC72" s="203">
        <f>SUMIFS(領用表!$L:$L,領用表!$E:$E,$B72,領用表!$B:$B,BC$2&amp;$BI$1)</f>
        <v>8850</v>
      </c>
      <c r="BD72" s="208">
        <f>SUMIFS(領用表!$L:$L,領用表!$E:$E,$B72,領用表!$B:$B,BD$2&amp;$BI$1)</f>
        <v>10080</v>
      </c>
      <c r="BE72" s="208">
        <f>SUMIFS(領用表!$L:$L,領用表!$E:$E,$B72,領用表!$B:$B,BE$2&amp;$BI$1)</f>
        <v>9870</v>
      </c>
      <c r="BF72" s="208">
        <f>SUMIFS(領用表!$L:$L,領用表!$E:$E,$B72,領用表!$B:$B,BF$2&amp;$BI$1)</f>
        <v>10861</v>
      </c>
      <c r="BG72" s="207">
        <f t="shared" si="12"/>
        <v>83882</v>
      </c>
      <c r="BH72" s="207">
        <f t="shared" si="13"/>
        <v>6990.166666666667</v>
      </c>
      <c r="BI72" s="208">
        <f>SUMIFS(領用表!$L:$L,領用表!$E:$E,$B72,領用表!$B:$B,BI$2&amp;$BI$1)</f>
        <v>9720</v>
      </c>
      <c r="BJ72" s="208">
        <f>SUMIFS(領用表!$L:$L,領用表!$E:$E,$B72,領用表!$B:$B,BJ$2&amp;$BI$1)</f>
        <v>7410</v>
      </c>
      <c r="BK72" s="208">
        <f>SUMIFS(領用表!$L:$L,領用表!$E:$E,$B72,領用表!$B:$B,BK$2&amp;$BI$1)</f>
        <v>9030</v>
      </c>
      <c r="BL72" s="208">
        <f>SUMIFS(領用表!$L:$L,領用表!$E:$E,$B72,領用表!$B:$B,BL$2&amp;$BI$1)</f>
        <v>7950</v>
      </c>
      <c r="BM72" s="208">
        <f>SUMIFS(領用表!$L:$L,領用表!$E:$E,$B72,領用表!$B:$B,BM$2&amp;$BI$1)</f>
        <v>8430</v>
      </c>
      <c r="BN72" s="208">
        <f>SUMIFS(領用表!$L:$L,領用表!$E:$E,$B72,領用表!$B:$B,BN$2&amp;$BI$1)</f>
        <v>0</v>
      </c>
      <c r="BO72" s="208">
        <f>SUMIFS(領用表!$L:$L,領用表!$E:$E,$B72,領用表!$B:$B,BO$2&amp;$BI$1)</f>
        <v>0</v>
      </c>
      <c r="BP72" s="208">
        <f>SUMIFS(領用表!$L:$L,領用表!$E:$E,$B72,領用表!$B:$B,BP$2&amp;$BI$1)</f>
        <v>0</v>
      </c>
      <c r="BQ72" s="208">
        <f>SUMIFS(領用表!$L:$L,領用表!$E:$E,$B72,領用表!$B:$B,BQ$2&amp;$BI$1)</f>
        <v>0</v>
      </c>
      <c r="BR72" s="208">
        <f>SUMIFS(領用表!$L:$L,領用表!$E:$E,$B72,領用表!$B:$B,BR$2&amp;$BI$1)</f>
        <v>0</v>
      </c>
      <c r="BS72" s="208">
        <f>SUMIFS(領用表!$L:$L,領用表!$E:$E,$B72,領用表!$B:$B,BS$2&amp;$BI$1)</f>
        <v>0</v>
      </c>
      <c r="BT72" s="208">
        <f>SUMIFS(領用表!$L:$L,領用表!$E:$E,$B72,領用表!$B:$B,BT$2&amp;$BI$1)</f>
        <v>0</v>
      </c>
      <c r="BU72" s="208">
        <f t="shared" si="16"/>
        <v>42540</v>
      </c>
      <c r="BV72" s="208">
        <f t="shared" si="17"/>
        <v>8508</v>
      </c>
      <c r="BW72" s="208">
        <f>SUMIF(Summary!B:B,B72,Summary!DT:DT)</f>
        <v>8250</v>
      </c>
      <c r="BX72" s="215">
        <v>6500</v>
      </c>
      <c r="BY72" s="465"/>
      <c r="BZ72" s="262" t="s">
        <v>815</v>
      </c>
      <c r="CA72" s="262" t="s">
        <v>813</v>
      </c>
      <c r="CB72" s="136"/>
      <c r="CC72" s="212"/>
      <c r="CE72" s="213"/>
    </row>
    <row r="73" spans="1:83" s="118" customFormat="1" ht="15.75" customHeight="1">
      <c r="A73" s="136" t="s">
        <v>131</v>
      </c>
      <c r="B73" s="118">
        <v>6220015</v>
      </c>
      <c r="C73" s="118" t="s">
        <v>626</v>
      </c>
      <c r="D73" s="207">
        <v>236</v>
      </c>
      <c r="E73" s="198" t="s">
        <v>124</v>
      </c>
      <c r="F73" s="349">
        <f>(D73*32)+(D73*31)</f>
        <v>14868</v>
      </c>
      <c r="G73" s="349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1">
        <v>0</v>
      </c>
      <c r="AH73" s="201">
        <v>1</v>
      </c>
      <c r="AI73" s="201">
        <v>1</v>
      </c>
      <c r="AJ73" s="201">
        <v>2</v>
      </c>
      <c r="AK73" s="201">
        <v>1</v>
      </c>
      <c r="AL73" s="201">
        <v>14</v>
      </c>
      <c r="AM73" s="201">
        <v>2</v>
      </c>
      <c r="AN73" s="201">
        <v>3</v>
      </c>
      <c r="AO73" s="201">
        <v>0</v>
      </c>
      <c r="AP73" s="201">
        <v>0</v>
      </c>
      <c r="AQ73" s="201">
        <v>0</v>
      </c>
      <c r="AR73" s="203">
        <f>708/D73</f>
        <v>3</v>
      </c>
      <c r="AS73" s="204">
        <f t="shared" si="14"/>
        <v>27</v>
      </c>
      <c r="AT73" s="205">
        <f t="shared" si="15"/>
        <v>2.25</v>
      </c>
      <c r="AU73" s="373">
        <v>1416</v>
      </c>
      <c r="AV73" s="373">
        <v>1416</v>
      </c>
      <c r="AW73" s="373">
        <v>1652</v>
      </c>
      <c r="AX73" s="203">
        <v>708</v>
      </c>
      <c r="AY73" s="203">
        <v>1652</v>
      </c>
      <c r="AZ73" s="203">
        <f>SUMIFS(領用表!$L:$L,領用表!$E:$E,$B73,領用表!$B:$B,AZ$2&amp;$BI$1)</f>
        <v>0</v>
      </c>
      <c r="BA73" s="203">
        <f>SUMIFS(領用表!$L:$L,領用表!$E:$E,$B73,領用表!$B:$B,BA$2&amp;$BI$1)</f>
        <v>1</v>
      </c>
      <c r="BB73" s="203">
        <f>SUMIFS(領用表!$L:$L,領用表!$E:$E,$B73,領用表!$B:$B,BB$2&amp;$BI$1)</f>
        <v>3960</v>
      </c>
      <c r="BC73" s="203">
        <f>SUMIFS(領用表!$L:$L,領用表!$E:$E,$B73,領用表!$B:$B,BC$2&amp;$BI$1)</f>
        <v>8850</v>
      </c>
      <c r="BD73" s="208">
        <f>SUMIFS(領用表!$L:$L,領用表!$E:$E,$B73,領用表!$B:$B,BD$2&amp;$BI$1)</f>
        <v>10080</v>
      </c>
      <c r="BE73" s="208">
        <f>SUMIFS(領用表!$L:$L,領用表!$E:$E,$B73,領用表!$B:$B,BE$2&amp;$BI$1)</f>
        <v>9870</v>
      </c>
      <c r="BF73" s="208">
        <f>SUMIFS(領用表!$L:$L,領用表!$E:$E,$B73,領用表!$B:$B,BF$2&amp;$BI$1)</f>
        <v>10861</v>
      </c>
      <c r="BG73" s="207">
        <f t="shared" ref="BG73:BG110" si="18">SUM(AU73,AV73,AW73,AX73,AY73,AZ73,BA73,BB73,BC73,BD73,BE73,BF73)</f>
        <v>50466</v>
      </c>
      <c r="BH73" s="207">
        <f t="shared" ref="BH73:BH110" si="19">AVERAGE(AU73,AV73,AW73,AX73,AY73,AZ73,BA73,BB73,BC73,BD73,BE73,BF73)</f>
        <v>4205.5</v>
      </c>
      <c r="BI73" s="208">
        <f>SUMIFS(領用表!$L:$L,領用表!$E:$E,$B73,領用表!$B:$B,BI$2&amp;$BI$1)</f>
        <v>9720</v>
      </c>
      <c r="BJ73" s="208">
        <f>SUMIFS(領用表!$L:$L,領用表!$E:$E,$B73,領用表!$B:$B,BJ$2&amp;$BI$1)</f>
        <v>7410</v>
      </c>
      <c r="BK73" s="208">
        <f>SUMIFS(領用表!$L:$L,領用表!$E:$E,$B73,領用表!$B:$B,BK$2&amp;$BI$1)</f>
        <v>9030</v>
      </c>
      <c r="BL73" s="208">
        <f>SUMIFS(領用表!$L:$L,領用表!$E:$E,$B73,領用表!$B:$B,BL$2&amp;$BI$1)</f>
        <v>7950</v>
      </c>
      <c r="BM73" s="208">
        <f>SUMIFS(領用表!$L:$L,領用表!$E:$E,$B73,領用表!$B:$B,BM$2&amp;$BI$1)</f>
        <v>8430</v>
      </c>
      <c r="BN73" s="208">
        <f>SUMIFS(領用表!$L:$L,領用表!$E:$E,$B73,領用表!$B:$B,BN$2&amp;$BI$1)</f>
        <v>0</v>
      </c>
      <c r="BO73" s="208">
        <f>SUMIFS(領用表!$L:$L,領用表!$E:$E,$B73,領用表!$B:$B,BO$2&amp;$BI$1)</f>
        <v>0</v>
      </c>
      <c r="BP73" s="208">
        <f>SUMIFS(領用表!$L:$L,領用表!$E:$E,$B73,領用表!$B:$B,BP$2&amp;$BI$1)</f>
        <v>0</v>
      </c>
      <c r="BQ73" s="208">
        <f>SUMIFS(領用表!$L:$L,領用表!$E:$E,$B73,領用表!$B:$B,BQ$2&amp;$BI$1)</f>
        <v>0</v>
      </c>
      <c r="BR73" s="208">
        <f>SUMIFS(領用表!$L:$L,領用表!$E:$E,$B73,領用表!$B:$B,BR$2&amp;$BI$1)</f>
        <v>0</v>
      </c>
      <c r="BS73" s="208">
        <f>SUMIFS(領用表!$L:$L,領用表!$E:$E,$B73,領用表!$B:$B,BS$2&amp;$BI$1)</f>
        <v>0</v>
      </c>
      <c r="BT73" s="208">
        <f>SUMIFS(領用表!$L:$L,領用表!$E:$E,$B73,領用表!$B:$B,BT$2&amp;$BI$1)</f>
        <v>0</v>
      </c>
      <c r="BU73" s="208">
        <f t="shared" si="16"/>
        <v>42540</v>
      </c>
      <c r="BV73" s="208">
        <f t="shared" si="17"/>
        <v>8508</v>
      </c>
      <c r="BW73" s="208">
        <f>SUMIF(Summary!B:B,B73,Summary!DT:DT)</f>
        <v>8250</v>
      </c>
      <c r="BX73" s="209">
        <v>2500</v>
      </c>
      <c r="BY73" s="466"/>
      <c r="BZ73" s="262" t="s">
        <v>816</v>
      </c>
      <c r="CA73" s="262" t="s">
        <v>817</v>
      </c>
      <c r="CB73" s="136"/>
      <c r="CC73" s="212"/>
      <c r="CE73" s="213"/>
    </row>
    <row r="74" spans="1:83" s="381" customFormat="1" ht="15.75" customHeight="1">
      <c r="A74" s="374"/>
      <c r="B74" s="374"/>
      <c r="C74" s="144"/>
      <c r="D74" s="375"/>
      <c r="E74" s="376"/>
      <c r="F74" s="377"/>
      <c r="G74" s="377"/>
      <c r="H74" s="374"/>
      <c r="I74" s="374"/>
      <c r="J74" s="374"/>
      <c r="K74" s="374"/>
      <c r="L74" s="374"/>
      <c r="M74" s="374"/>
      <c r="N74" s="374"/>
      <c r="O74" s="374"/>
      <c r="P74" s="374"/>
      <c r="Q74" s="374"/>
      <c r="R74" s="374"/>
      <c r="S74" s="374"/>
      <c r="T74" s="374"/>
      <c r="U74" s="374"/>
      <c r="V74" s="374"/>
      <c r="W74" s="374"/>
      <c r="X74" s="374"/>
      <c r="Y74" s="374"/>
      <c r="Z74" s="374"/>
      <c r="AA74" s="374"/>
      <c r="AB74" s="374"/>
      <c r="AC74" s="374"/>
      <c r="AD74" s="374"/>
      <c r="AE74" s="374"/>
      <c r="AF74" s="374"/>
      <c r="AG74" s="374"/>
      <c r="AH74" s="374"/>
      <c r="AI74" s="374"/>
      <c r="AJ74" s="374"/>
      <c r="AK74" s="374"/>
      <c r="AL74" s="374"/>
      <c r="AM74" s="374"/>
      <c r="AN74" s="378"/>
      <c r="AO74" s="378"/>
      <c r="AP74" s="378"/>
      <c r="AQ74" s="374"/>
      <c r="AR74" s="374"/>
      <c r="AS74" s="374"/>
      <c r="AT74" s="374"/>
      <c r="AU74" s="374"/>
      <c r="AV74" s="374"/>
      <c r="AW74" s="374"/>
      <c r="AX74" s="374"/>
      <c r="AY74" s="374"/>
      <c r="AZ74" s="374"/>
      <c r="BA74" s="374"/>
      <c r="BB74" s="379"/>
      <c r="BC74" s="379"/>
      <c r="BD74" s="379"/>
      <c r="BE74" s="379"/>
      <c r="BF74" s="379"/>
      <c r="BG74" s="379"/>
      <c r="BH74" s="379"/>
      <c r="BI74" s="379"/>
      <c r="BJ74" s="379"/>
      <c r="BK74" s="379"/>
      <c r="BL74" s="379"/>
      <c r="BM74" s="379"/>
      <c r="BN74" s="379"/>
      <c r="BO74" s="379"/>
      <c r="BP74" s="379"/>
      <c r="BQ74" s="379"/>
      <c r="BR74" s="379"/>
      <c r="BS74" s="379"/>
      <c r="BT74" s="379"/>
      <c r="BU74" s="379"/>
      <c r="BV74" s="379"/>
      <c r="BW74" s="379"/>
      <c r="BX74" s="380"/>
      <c r="BY74" s="374"/>
      <c r="BZ74" s="374"/>
      <c r="CA74" s="374"/>
      <c r="CB74" s="374"/>
      <c r="CC74" s="374"/>
      <c r="CE74" s="382"/>
    </row>
    <row r="75" spans="1:83" s="118" customFormat="1" ht="15.75" customHeight="1">
      <c r="A75" s="136" t="s">
        <v>134</v>
      </c>
      <c r="B75" s="118">
        <v>6170014</v>
      </c>
      <c r="C75" s="118" t="s">
        <v>627</v>
      </c>
      <c r="D75" s="228">
        <v>1</v>
      </c>
      <c r="E75" s="198" t="s">
        <v>15</v>
      </c>
      <c r="F75" s="349"/>
      <c r="G75" s="349"/>
      <c r="H75" s="200">
        <v>0</v>
      </c>
      <c r="I75" s="200">
        <v>0</v>
      </c>
      <c r="J75" s="200">
        <v>0</v>
      </c>
      <c r="K75" s="200">
        <v>0</v>
      </c>
      <c r="L75" s="200">
        <v>3</v>
      </c>
      <c r="M75" s="200">
        <v>3</v>
      </c>
      <c r="N75" s="200">
        <v>0</v>
      </c>
      <c r="O75" s="200">
        <v>0</v>
      </c>
      <c r="P75" s="200">
        <v>2</v>
      </c>
      <c r="Q75" s="200">
        <v>0</v>
      </c>
      <c r="R75" s="200">
        <v>0</v>
      </c>
      <c r="S75" s="200">
        <v>0</v>
      </c>
      <c r="T75" s="200">
        <v>2</v>
      </c>
      <c r="U75" s="200">
        <v>4</v>
      </c>
      <c r="V75" s="200">
        <v>3</v>
      </c>
      <c r="W75" s="200">
        <v>2</v>
      </c>
      <c r="X75" s="200">
        <v>1</v>
      </c>
      <c r="Y75" s="200">
        <v>2</v>
      </c>
      <c r="Z75" s="200">
        <v>1</v>
      </c>
      <c r="AA75" s="200">
        <v>5</v>
      </c>
      <c r="AB75" s="200"/>
      <c r="AC75" s="200"/>
      <c r="AD75" s="200">
        <v>3</v>
      </c>
      <c r="AE75" s="200">
        <v>3</v>
      </c>
      <c r="AF75" s="200">
        <v>6</v>
      </c>
      <c r="AG75" s="201">
        <v>12</v>
      </c>
      <c r="AH75" s="201">
        <v>1</v>
      </c>
      <c r="AI75" s="201">
        <v>3</v>
      </c>
      <c r="AJ75" s="201">
        <v>6</v>
      </c>
      <c r="AK75" s="201">
        <v>4</v>
      </c>
      <c r="AL75" s="201">
        <v>7</v>
      </c>
      <c r="AM75" s="201">
        <v>15</v>
      </c>
      <c r="AN75" s="201">
        <v>12</v>
      </c>
      <c r="AO75" s="201">
        <v>7</v>
      </c>
      <c r="AP75" s="201">
        <v>12</v>
      </c>
      <c r="AQ75" s="202">
        <v>19</v>
      </c>
      <c r="AR75" s="203">
        <v>18</v>
      </c>
      <c r="AS75" s="204">
        <v>15</v>
      </c>
      <c r="AT75" s="205">
        <f t="shared" ref="AT75:AT81" si="20">AS75/12</f>
        <v>1.25</v>
      </c>
      <c r="AU75" s="203">
        <v>10</v>
      </c>
      <c r="AV75" s="203">
        <v>9</v>
      </c>
      <c r="AW75" s="203">
        <v>12</v>
      </c>
      <c r="AX75" s="201">
        <v>9</v>
      </c>
      <c r="AY75" s="201">
        <v>6</v>
      </c>
      <c r="AZ75" s="203">
        <f>SUMIFS(領用表!$L:$L,領用表!$E:$E,$B75,領用表!$B:$B,AZ$2&amp;$BI$1)</f>
        <v>7</v>
      </c>
      <c r="BA75" s="203">
        <f>SUMIFS(領用表!$L:$L,領用表!$E:$E,$B75,領用表!$B:$B,BA$2&amp;$BI$1)</f>
        <v>1</v>
      </c>
      <c r="BB75" s="203">
        <f>SUMIFS(領用表!$L:$L,領用表!$E:$E,$B75,領用表!$B:$B,BB$2&amp;$BI$1)</f>
        <v>3</v>
      </c>
      <c r="BC75" s="203">
        <f>SUMIFS(領用表!$L:$L,領用表!$E:$E,$B75,領用表!$B:$B,BC$2&amp;$BI$1)</f>
        <v>2</v>
      </c>
      <c r="BD75" s="208">
        <f>SUMIFS(領用表!$L:$L,領用表!$E:$E,$B75,領用表!$B:$B,BD$2&amp;$BI$1)</f>
        <v>0</v>
      </c>
      <c r="BE75" s="208">
        <f>SUMIFS(領用表!$L:$L,領用表!$E:$E,$B75,領用表!$B:$B,BE$2&amp;$BI$1)</f>
        <v>0</v>
      </c>
      <c r="BF75" s="208">
        <f>SUMIFS(領用表!$L:$L,領用表!$E:$E,$B75,領用表!$B:$B,BF$2&amp;$BI$1)</f>
        <v>0</v>
      </c>
      <c r="BG75" s="207">
        <f t="shared" si="18"/>
        <v>59</v>
      </c>
      <c r="BH75" s="207">
        <f t="shared" si="19"/>
        <v>4.916666666666667</v>
      </c>
      <c r="BI75" s="208">
        <f>SUMIFS(領用表!$L:$L,領用表!$E:$E,$B75,領用表!$B:$B,BI$2&amp;$BI$1)</f>
        <v>0</v>
      </c>
      <c r="BJ75" s="208">
        <f>SUMIFS(領用表!$L:$L,領用表!$E:$E,$B75,領用表!$B:$B,BJ$2&amp;$BI$1)</f>
        <v>0</v>
      </c>
      <c r="BK75" s="208">
        <f>SUMIFS(領用表!$L:$L,領用表!$E:$E,$B75,領用表!$B:$B,BK$2&amp;$BI$1)</f>
        <v>0</v>
      </c>
      <c r="BL75" s="208">
        <f>SUMIFS(領用表!$L:$L,領用表!$E:$E,$B75,領用表!$B:$B,BL$2&amp;$BI$1)</f>
        <v>0</v>
      </c>
      <c r="BM75" s="208">
        <f>SUMIFS(領用表!$L:$L,領用表!$E:$E,$B75,領用表!$B:$B,BM$2&amp;$BI$1)</f>
        <v>0</v>
      </c>
      <c r="BN75" s="208">
        <f>SUMIFS(領用表!$L:$L,領用表!$E:$E,$B75,領用表!$B:$B,BN$2&amp;$BI$1)</f>
        <v>0</v>
      </c>
      <c r="BO75" s="208">
        <f>SUMIFS(領用表!$L:$L,領用表!$E:$E,$B75,領用表!$B:$B,BO$2&amp;$BI$1)</f>
        <v>0</v>
      </c>
      <c r="BP75" s="208">
        <f>SUMIFS(領用表!$L:$L,領用表!$E:$E,$B75,領用表!$B:$B,BP$2&amp;$BI$1)</f>
        <v>0</v>
      </c>
      <c r="BQ75" s="208">
        <f>SUMIFS(領用表!$L:$L,領用表!$E:$E,$B75,領用表!$B:$B,BQ$2&amp;$BI$1)</f>
        <v>0</v>
      </c>
      <c r="BR75" s="208">
        <f>SUMIFS(領用表!$L:$L,領用表!$E:$E,$B75,領用表!$B:$B,BR$2&amp;$BI$1)</f>
        <v>0</v>
      </c>
      <c r="BS75" s="208">
        <f>SUMIFS(領用表!$L:$L,領用表!$E:$E,$B75,領用表!$B:$B,BS$2&amp;$BI$1)</f>
        <v>0</v>
      </c>
      <c r="BT75" s="208">
        <f>SUMIFS(領用表!$L:$L,領用表!$E:$E,$B75,領用表!$B:$B,BT$2&amp;$BI$1)</f>
        <v>0</v>
      </c>
      <c r="BU75" s="208">
        <f t="shared" si="16"/>
        <v>0</v>
      </c>
      <c r="BV75" s="208">
        <f t="shared" ref="BV75:BV138" si="21">AVERAGE(BI75,BJ75,BK75,BL75,BM75)</f>
        <v>0</v>
      </c>
      <c r="BW75" s="208">
        <f>SUMIF(Summary!B:B,B75,Summary!DT:DT)</f>
        <v>0</v>
      </c>
      <c r="BX75" s="383"/>
      <c r="BY75" s="210"/>
      <c r="BZ75" s="340"/>
      <c r="CA75" s="210" t="s">
        <v>136</v>
      </c>
      <c r="CB75" s="136"/>
      <c r="CC75" s="212"/>
      <c r="CE75" s="213"/>
    </row>
    <row r="76" spans="1:83" s="118" customFormat="1" ht="15.75" customHeight="1">
      <c r="A76" s="136" t="s">
        <v>137</v>
      </c>
      <c r="B76" s="118">
        <v>6170013</v>
      </c>
      <c r="C76" s="118" t="s">
        <v>628</v>
      </c>
      <c r="D76" s="228">
        <v>1</v>
      </c>
      <c r="E76" s="198" t="s">
        <v>15</v>
      </c>
      <c r="F76" s="349"/>
      <c r="G76" s="349"/>
      <c r="H76" s="200">
        <v>0</v>
      </c>
      <c r="I76" s="200">
        <v>2</v>
      </c>
      <c r="J76" s="200">
        <v>1</v>
      </c>
      <c r="K76" s="200">
        <v>3</v>
      </c>
      <c r="L76" s="200">
        <v>7</v>
      </c>
      <c r="M76" s="200">
        <v>12</v>
      </c>
      <c r="N76" s="200">
        <v>9</v>
      </c>
      <c r="O76" s="200">
        <v>6</v>
      </c>
      <c r="P76" s="200">
        <v>3</v>
      </c>
      <c r="Q76" s="200">
        <v>1</v>
      </c>
      <c r="R76" s="200">
        <v>5</v>
      </c>
      <c r="S76" s="200">
        <v>9</v>
      </c>
      <c r="T76" s="200">
        <v>10</v>
      </c>
      <c r="U76" s="200">
        <v>11</v>
      </c>
      <c r="V76" s="200">
        <v>7</v>
      </c>
      <c r="W76" s="200">
        <v>6</v>
      </c>
      <c r="X76" s="200">
        <v>10</v>
      </c>
      <c r="Y76" s="200">
        <v>5</v>
      </c>
      <c r="Z76" s="200">
        <v>6</v>
      </c>
      <c r="AA76" s="200">
        <v>5</v>
      </c>
      <c r="AB76" s="200">
        <v>5</v>
      </c>
      <c r="AC76" s="200">
        <v>4</v>
      </c>
      <c r="AD76" s="200">
        <v>5</v>
      </c>
      <c r="AE76" s="200">
        <v>9</v>
      </c>
      <c r="AF76" s="200">
        <v>5</v>
      </c>
      <c r="AG76" s="201">
        <v>9</v>
      </c>
      <c r="AH76" s="201">
        <v>1</v>
      </c>
      <c r="AI76" s="201">
        <v>7</v>
      </c>
      <c r="AJ76" s="201">
        <v>7</v>
      </c>
      <c r="AK76" s="201">
        <v>4</v>
      </c>
      <c r="AL76" s="201">
        <v>2</v>
      </c>
      <c r="AM76" s="201">
        <v>16</v>
      </c>
      <c r="AN76" s="201">
        <v>9</v>
      </c>
      <c r="AO76" s="201">
        <v>10</v>
      </c>
      <c r="AP76" s="201">
        <v>18</v>
      </c>
      <c r="AQ76" s="202">
        <v>24</v>
      </c>
      <c r="AR76" s="203">
        <v>28</v>
      </c>
      <c r="AS76" s="204">
        <f t="shared" ref="AS76:AS81" si="22">SUM(AG76:AR76)</f>
        <v>135</v>
      </c>
      <c r="AT76" s="205">
        <f t="shared" si="20"/>
        <v>11.25</v>
      </c>
      <c r="AU76" s="203">
        <v>33</v>
      </c>
      <c r="AV76" s="203">
        <v>25</v>
      </c>
      <c r="AW76" s="203">
        <v>45</v>
      </c>
      <c r="AX76" s="201">
        <v>25</v>
      </c>
      <c r="AY76" s="201">
        <v>14</v>
      </c>
      <c r="AZ76" s="203">
        <f>SUMIFS(領用表!$L:$L,領用表!$E:$E,$B76,領用表!$B:$B,AZ$2&amp;$BI$1)</f>
        <v>11</v>
      </c>
      <c r="BA76" s="203">
        <f>SUMIFS(領用表!$L:$L,領用表!$E:$E,$B76,領用表!$B:$B,BA$2&amp;$BI$1)</f>
        <v>10</v>
      </c>
      <c r="BB76" s="203">
        <f>SUMIFS(領用表!$L:$L,領用表!$E:$E,$B76,領用表!$B:$B,BB$2&amp;$BI$1)</f>
        <v>10</v>
      </c>
      <c r="BC76" s="203">
        <f>SUMIFS(領用表!$L:$L,領用表!$E:$E,$B76,領用表!$B:$B,BC$2&amp;$BI$1)</f>
        <v>4</v>
      </c>
      <c r="BD76" s="208">
        <f>SUMIFS(領用表!$L:$L,領用表!$E:$E,$B76,領用表!$B:$B,BD$2&amp;$BI$1)</f>
        <v>0</v>
      </c>
      <c r="BE76" s="208">
        <f>SUMIFS(領用表!$L:$L,領用表!$E:$E,$B76,領用表!$B:$B,BE$2&amp;$BI$1)</f>
        <v>0</v>
      </c>
      <c r="BF76" s="208">
        <f>SUMIFS(領用表!$L:$L,領用表!$E:$E,$B76,領用表!$B:$B,BF$2&amp;$BI$1)</f>
        <v>0</v>
      </c>
      <c r="BG76" s="207">
        <f t="shared" si="18"/>
        <v>177</v>
      </c>
      <c r="BH76" s="207">
        <f t="shared" si="19"/>
        <v>14.75</v>
      </c>
      <c r="BI76" s="208">
        <f>SUMIFS(領用表!$L:$L,領用表!$E:$E,$B76,領用表!$B:$B,BI$2&amp;$BI$1)</f>
        <v>0</v>
      </c>
      <c r="BJ76" s="208">
        <f>SUMIFS(領用表!$L:$L,領用表!$E:$E,$B76,領用表!$B:$B,BJ$2&amp;$BI$1)</f>
        <v>0</v>
      </c>
      <c r="BK76" s="208">
        <f>SUMIFS(領用表!$L:$L,領用表!$E:$E,$B76,領用表!$B:$B,BK$2&amp;$BI$1)</f>
        <v>0</v>
      </c>
      <c r="BL76" s="208">
        <f>SUMIFS(領用表!$L:$L,領用表!$E:$E,$B76,領用表!$B:$B,BL$2&amp;$BI$1)</f>
        <v>0</v>
      </c>
      <c r="BM76" s="208">
        <f>SUMIFS(領用表!$L:$L,領用表!$E:$E,$B76,領用表!$B:$B,BM$2&amp;$BI$1)</f>
        <v>0</v>
      </c>
      <c r="BN76" s="208">
        <f>SUMIFS(領用表!$L:$L,領用表!$E:$E,$B76,領用表!$B:$B,BN$2&amp;$BI$1)</f>
        <v>0</v>
      </c>
      <c r="BO76" s="208">
        <f>SUMIFS(領用表!$L:$L,領用表!$E:$E,$B76,領用表!$B:$B,BO$2&amp;$BI$1)</f>
        <v>0</v>
      </c>
      <c r="BP76" s="208">
        <f>SUMIFS(領用表!$L:$L,領用表!$E:$E,$B76,領用表!$B:$B,BP$2&amp;$BI$1)</f>
        <v>0</v>
      </c>
      <c r="BQ76" s="208">
        <f>SUMIFS(領用表!$L:$L,領用表!$E:$E,$B76,領用表!$B:$B,BQ$2&amp;$BI$1)</f>
        <v>0</v>
      </c>
      <c r="BR76" s="208">
        <f>SUMIFS(領用表!$L:$L,領用表!$E:$E,$B76,領用表!$B:$B,BR$2&amp;$BI$1)</f>
        <v>0</v>
      </c>
      <c r="BS76" s="208">
        <f>SUMIFS(領用表!$L:$L,領用表!$E:$E,$B76,領用表!$B:$B,BS$2&amp;$BI$1)</f>
        <v>0</v>
      </c>
      <c r="BT76" s="208">
        <f>SUMIFS(領用表!$L:$L,領用表!$E:$E,$B76,領用表!$B:$B,BT$2&amp;$BI$1)</f>
        <v>0</v>
      </c>
      <c r="BU76" s="208">
        <f t="shared" si="16"/>
        <v>0</v>
      </c>
      <c r="BV76" s="208">
        <f t="shared" si="21"/>
        <v>0</v>
      </c>
      <c r="BW76" s="208">
        <f>SUMIF(Summary!B:B,B76,Summary!DT:DT)</f>
        <v>0</v>
      </c>
      <c r="BX76" s="383"/>
      <c r="BY76" s="210"/>
      <c r="BZ76" s="210"/>
      <c r="CA76" s="210" t="s">
        <v>139</v>
      </c>
      <c r="CB76" s="284"/>
      <c r="CC76" s="212"/>
      <c r="CE76" s="213"/>
    </row>
    <row r="77" spans="1:83" s="118" customFormat="1" ht="15.75" customHeight="1">
      <c r="A77" s="136" t="s">
        <v>140</v>
      </c>
      <c r="B77" s="118">
        <v>6170015</v>
      </c>
      <c r="C77" s="411" t="s">
        <v>865</v>
      </c>
      <c r="D77" s="228">
        <v>1</v>
      </c>
      <c r="E77" s="198" t="s">
        <v>15</v>
      </c>
      <c r="F77" s="349"/>
      <c r="G77" s="349"/>
      <c r="H77" s="200">
        <v>0</v>
      </c>
      <c r="I77" s="200">
        <v>0</v>
      </c>
      <c r="J77" s="200">
        <v>0</v>
      </c>
      <c r="K77" s="200">
        <v>1</v>
      </c>
      <c r="L77" s="200">
        <v>0</v>
      </c>
      <c r="M77" s="200">
        <v>0</v>
      </c>
      <c r="N77" s="200">
        <v>1</v>
      </c>
      <c r="O77" s="200">
        <v>2</v>
      </c>
      <c r="P77" s="200">
        <v>1</v>
      </c>
      <c r="Q77" s="200">
        <v>0</v>
      </c>
      <c r="R77" s="200">
        <v>0</v>
      </c>
      <c r="S77" s="200">
        <v>0</v>
      </c>
      <c r="T77" s="200">
        <v>0</v>
      </c>
      <c r="U77" s="200">
        <v>0</v>
      </c>
      <c r="V77" s="200">
        <v>0</v>
      </c>
      <c r="W77" s="200">
        <v>0</v>
      </c>
      <c r="X77" s="200">
        <v>0</v>
      </c>
      <c r="Y77" s="200">
        <v>0</v>
      </c>
      <c r="Z77" s="200">
        <v>0</v>
      </c>
      <c r="AA77" s="200">
        <v>0</v>
      </c>
      <c r="AB77" s="200">
        <v>0</v>
      </c>
      <c r="AC77" s="200">
        <v>0</v>
      </c>
      <c r="AD77" s="200">
        <v>0</v>
      </c>
      <c r="AE77" s="200">
        <v>0</v>
      </c>
      <c r="AF77" s="200">
        <v>0</v>
      </c>
      <c r="AG77" s="201">
        <v>0</v>
      </c>
      <c r="AH77" s="201">
        <v>0</v>
      </c>
      <c r="AI77" s="201">
        <v>0</v>
      </c>
      <c r="AJ77" s="201">
        <v>0</v>
      </c>
      <c r="AK77" s="201">
        <v>0</v>
      </c>
      <c r="AL77" s="201">
        <v>1</v>
      </c>
      <c r="AM77" s="201">
        <v>0</v>
      </c>
      <c r="AN77" s="201">
        <v>0</v>
      </c>
      <c r="AO77" s="201">
        <v>0</v>
      </c>
      <c r="AP77" s="201">
        <v>0</v>
      </c>
      <c r="AQ77" s="202">
        <v>0</v>
      </c>
      <c r="AR77" s="203">
        <v>0</v>
      </c>
      <c r="AS77" s="204">
        <f t="shared" si="22"/>
        <v>1</v>
      </c>
      <c r="AT77" s="205">
        <f t="shared" si="20"/>
        <v>8.3333333333333329E-2</v>
      </c>
      <c r="AU77" s="203" t="s">
        <v>49</v>
      </c>
      <c r="AV77" s="203">
        <v>0</v>
      </c>
      <c r="AW77" s="203">
        <v>0</v>
      </c>
      <c r="AX77" s="201">
        <v>0</v>
      </c>
      <c r="AY77" s="201">
        <v>0</v>
      </c>
      <c r="AZ77" s="203">
        <f>SUMIFS(領用表!$L:$L,領用表!$E:$E,$B77,領用表!$B:$B,AZ$2&amp;$BI$1)</f>
        <v>0</v>
      </c>
      <c r="BA77" s="203">
        <f>SUMIFS(領用表!$L:$L,領用表!$E:$E,$B77,領用表!$B:$B,BA$2&amp;$BI$1)</f>
        <v>0</v>
      </c>
      <c r="BB77" s="203">
        <f>SUMIFS(領用表!$L:$L,領用表!$E:$E,$B77,領用表!$B:$B,BB$2&amp;$BI$1)</f>
        <v>0</v>
      </c>
      <c r="BC77" s="203">
        <f>SUMIFS(領用表!$L:$L,領用表!$E:$E,$B77,領用表!$B:$B,BC$2&amp;$BI$1)</f>
        <v>0</v>
      </c>
      <c r="BD77" s="208">
        <f>SUMIFS(領用表!$L:$L,領用表!$E:$E,$B77,領用表!$B:$B,BD$2&amp;$BI$1)</f>
        <v>0</v>
      </c>
      <c r="BE77" s="208">
        <f>SUMIFS(領用表!$L:$L,領用表!$E:$E,$B77,領用表!$B:$B,BE$2&amp;$BI$1)</f>
        <v>0</v>
      </c>
      <c r="BF77" s="208">
        <f>SUMIFS(領用表!$L:$L,領用表!$E:$E,$B77,領用表!$B:$B,BF$2&amp;$BI$1)</f>
        <v>0</v>
      </c>
      <c r="BG77" s="207">
        <f t="shared" si="18"/>
        <v>0</v>
      </c>
      <c r="BH77" s="207">
        <f t="shared" si="19"/>
        <v>0</v>
      </c>
      <c r="BI77" s="208">
        <f>SUMIFS(領用表!$L:$L,領用表!$E:$E,$B77,領用表!$B:$B,BI$2&amp;$BI$1)</f>
        <v>0</v>
      </c>
      <c r="BJ77" s="208">
        <f>SUMIFS(領用表!$L:$L,領用表!$E:$E,$B77,領用表!$B:$B,BJ$2&amp;$BI$1)</f>
        <v>0</v>
      </c>
      <c r="BK77" s="208">
        <f>SUMIFS(領用表!$L:$L,領用表!$E:$E,$B77,領用表!$B:$B,BK$2&amp;$BI$1)</f>
        <v>0</v>
      </c>
      <c r="BL77" s="208">
        <f>SUMIFS(領用表!$L:$L,領用表!$E:$E,$B77,領用表!$B:$B,BL$2&amp;$BI$1)</f>
        <v>0</v>
      </c>
      <c r="BM77" s="208">
        <f>SUMIFS(領用表!$L:$L,領用表!$E:$E,$B77,領用表!$B:$B,BM$2&amp;$BI$1)</f>
        <v>0</v>
      </c>
      <c r="BN77" s="208">
        <f>SUMIFS(領用表!$L:$L,領用表!$E:$E,$B77,領用表!$B:$B,BN$2&amp;$BI$1)</f>
        <v>0</v>
      </c>
      <c r="BO77" s="208">
        <f>SUMIFS(領用表!$L:$L,領用表!$E:$E,$B77,領用表!$B:$B,BO$2&amp;$BI$1)</f>
        <v>0</v>
      </c>
      <c r="BP77" s="208">
        <f>SUMIFS(領用表!$L:$L,領用表!$E:$E,$B77,領用表!$B:$B,BP$2&amp;$BI$1)</f>
        <v>0</v>
      </c>
      <c r="BQ77" s="208">
        <f>SUMIFS(領用表!$L:$L,領用表!$E:$E,$B77,領用表!$B:$B,BQ$2&amp;$BI$1)</f>
        <v>0</v>
      </c>
      <c r="BR77" s="208">
        <f>SUMIFS(領用表!$L:$L,領用表!$E:$E,$B77,領用表!$B:$B,BR$2&amp;$BI$1)</f>
        <v>0</v>
      </c>
      <c r="BS77" s="208">
        <f>SUMIFS(領用表!$L:$L,領用表!$E:$E,$B77,領用表!$B:$B,BS$2&amp;$BI$1)</f>
        <v>0</v>
      </c>
      <c r="BT77" s="208">
        <f>SUMIFS(領用表!$L:$L,領用表!$E:$E,$B77,領用表!$B:$B,BT$2&amp;$BI$1)</f>
        <v>0</v>
      </c>
      <c r="BU77" s="208">
        <f t="shared" si="16"/>
        <v>0</v>
      </c>
      <c r="BV77" s="208">
        <f t="shared" si="21"/>
        <v>0</v>
      </c>
      <c r="BW77" s="208">
        <f>SUMIF(Summary!B:B,B77,Summary!DT:DT)</f>
        <v>0</v>
      </c>
      <c r="BX77" s="383"/>
      <c r="BY77" s="210"/>
      <c r="BZ77" s="340"/>
      <c r="CA77" s="340"/>
      <c r="CB77" s="263"/>
      <c r="CC77" s="212"/>
      <c r="CE77" s="213"/>
    </row>
    <row r="78" spans="1:83" s="118" customFormat="1" ht="15.75" customHeight="1">
      <c r="A78" s="136" t="s">
        <v>638</v>
      </c>
      <c r="B78" s="118">
        <v>6140001</v>
      </c>
      <c r="C78" s="411" t="s">
        <v>950</v>
      </c>
      <c r="D78" s="285">
        <v>100</v>
      </c>
      <c r="E78" s="198" t="s">
        <v>141</v>
      </c>
      <c r="F78" s="349">
        <f>(D78*40)+72</f>
        <v>4072</v>
      </c>
      <c r="G78" s="349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83"/>
      <c r="AB78" s="283"/>
      <c r="AC78" s="283"/>
      <c r="AD78" s="283"/>
      <c r="AE78" s="283"/>
      <c r="AF78" s="283"/>
      <c r="AG78" s="201">
        <v>1299</v>
      </c>
      <c r="AH78" s="201">
        <v>412</v>
      </c>
      <c r="AI78" s="201">
        <v>1360</v>
      </c>
      <c r="AJ78" s="201">
        <v>1029</v>
      </c>
      <c r="AK78" s="201">
        <v>1039</v>
      </c>
      <c r="AL78" s="201">
        <v>856</v>
      </c>
      <c r="AM78" s="201">
        <v>1736</v>
      </c>
      <c r="AN78" s="201">
        <v>1284</v>
      </c>
      <c r="AO78" s="201">
        <v>1556</v>
      </c>
      <c r="AP78" s="201">
        <v>2374</v>
      </c>
      <c r="AQ78" s="201">
        <v>1860</v>
      </c>
      <c r="AR78" s="201">
        <v>2408</v>
      </c>
      <c r="AS78" s="283">
        <f t="shared" si="22"/>
        <v>17213</v>
      </c>
      <c r="AT78" s="286">
        <f t="shared" si="20"/>
        <v>1434.4166666666667</v>
      </c>
      <c r="AU78" s="201">
        <v>1847</v>
      </c>
      <c r="AV78" s="201">
        <v>1154</v>
      </c>
      <c r="AW78" s="201">
        <v>2146</v>
      </c>
      <c r="AX78" s="201">
        <v>3235</v>
      </c>
      <c r="AY78" s="201">
        <v>3520</v>
      </c>
      <c r="AZ78" s="203">
        <f>SUMIFS(領用表!$L:$L,領用表!$E:$E,$B78,領用表!$B:$B,AZ$2&amp;$BI$1)</f>
        <v>3519</v>
      </c>
      <c r="BA78" s="203">
        <f>SUMIFS(領用表!$L:$L,領用表!$E:$E,$B78,領用表!$B:$B,BA$2&amp;$BI$1)</f>
        <v>2909</v>
      </c>
      <c r="BB78" s="203">
        <f>SUMIFS(領用表!$L:$L,領用表!$E:$E,$B78,領用表!$B:$B,BB$2&amp;$BI$1)</f>
        <v>2629</v>
      </c>
      <c r="BC78" s="203">
        <f>SUMIFS(領用表!$L:$L,領用表!$E:$E,$B78,領用表!$B:$B,BC$2&amp;$BI$1)</f>
        <v>2637</v>
      </c>
      <c r="BD78" s="208">
        <f>SUMIFS(領用表!$L:$L,領用表!$E:$E,$B78,領用表!$B:$B,BD$2&amp;$BI$1)</f>
        <v>3699</v>
      </c>
      <c r="BE78" s="208">
        <f>SUMIFS(領用表!$L:$L,領用表!$E:$E,$B78,領用表!$B:$B,BE$2&amp;$BI$1)</f>
        <v>4633</v>
      </c>
      <c r="BF78" s="208">
        <f>SUMIFS(領用表!$L:$L,領用表!$E:$E,$B78,領用表!$B:$B,BF$2&amp;$BI$1)</f>
        <v>5034</v>
      </c>
      <c r="BG78" s="207">
        <f t="shared" si="18"/>
        <v>36962</v>
      </c>
      <c r="BH78" s="207">
        <f t="shared" si="19"/>
        <v>3080.1666666666665</v>
      </c>
      <c r="BI78" s="208">
        <f>SUMIFS(領用表!$L:$L,領用表!$E:$E,$B78,領用表!$B:$B,BI$2&amp;$BI$1)</f>
        <v>3775</v>
      </c>
      <c r="BJ78" s="208">
        <f>SUMIFS(領用表!$L:$L,領用表!$E:$E,$B78,領用表!$B:$B,BJ$2&amp;$BI$1)</f>
        <v>4168</v>
      </c>
      <c r="BK78" s="208">
        <f>SUMIFS(領用表!$L:$L,領用表!$E:$E,$B78,領用表!$B:$B,BK$2&amp;$BI$1)</f>
        <v>3876</v>
      </c>
      <c r="BL78" s="208">
        <f>SUMIFS(領用表!$L:$L,領用表!$E:$E,$B78,領用表!$B:$B,BL$2&amp;$BI$1)</f>
        <v>4062</v>
      </c>
      <c r="BM78" s="208">
        <f>SUMIFS(領用表!$L:$L,領用表!$E:$E,$B78,領用表!$B:$B,BM$2&amp;$BI$1)</f>
        <v>4130</v>
      </c>
      <c r="BN78" s="208">
        <f>SUMIFS(領用表!$L:$L,領用表!$E:$E,$B78,領用表!$B:$B,BN$2&amp;$BI$1)</f>
        <v>0</v>
      </c>
      <c r="BO78" s="208">
        <f>SUMIFS(領用表!$L:$L,領用表!$E:$E,$B78,領用表!$B:$B,BO$2&amp;$BI$1)</f>
        <v>0</v>
      </c>
      <c r="BP78" s="208">
        <f>SUMIFS(領用表!$L:$L,領用表!$E:$E,$B78,領用表!$B:$B,BP$2&amp;$BI$1)</f>
        <v>0</v>
      </c>
      <c r="BQ78" s="208">
        <f>SUMIFS(領用表!$L:$L,領用表!$E:$E,$B78,領用表!$B:$B,BQ$2&amp;$BI$1)</f>
        <v>0</v>
      </c>
      <c r="BR78" s="208">
        <f>SUMIFS(領用表!$L:$L,領用表!$E:$E,$B78,領用表!$B:$B,BR$2&amp;$BI$1)</f>
        <v>0</v>
      </c>
      <c r="BS78" s="208">
        <f>SUMIFS(領用表!$L:$L,領用表!$E:$E,$B78,領用表!$B:$B,BS$2&amp;$BI$1)</f>
        <v>0</v>
      </c>
      <c r="BT78" s="208">
        <f>SUMIFS(領用表!$L:$L,領用表!$E:$E,$B78,領用表!$B:$B,BT$2&amp;$BI$1)</f>
        <v>0</v>
      </c>
      <c r="BU78" s="208">
        <f t="shared" si="16"/>
        <v>20011</v>
      </c>
      <c r="BV78" s="208">
        <f t="shared" si="21"/>
        <v>4002.2</v>
      </c>
      <c r="BW78" s="208">
        <f>SUMIF(Summary!B:B,B78,Summary!DT:DT)</f>
        <v>4400</v>
      </c>
      <c r="BX78" s="384"/>
      <c r="BY78" s="340"/>
      <c r="BZ78" s="340" t="s">
        <v>142</v>
      </c>
      <c r="CA78" s="340" t="s">
        <v>143</v>
      </c>
      <c r="CB78" s="136"/>
      <c r="CC78" s="289"/>
      <c r="CE78" s="213"/>
    </row>
    <row r="79" spans="1:83" s="118" customFormat="1" ht="15.75" customHeight="1">
      <c r="A79" s="136" t="s">
        <v>639</v>
      </c>
      <c r="B79" s="118">
        <v>6140003</v>
      </c>
      <c r="C79" s="118" t="s">
        <v>630</v>
      </c>
      <c r="D79" s="285">
        <v>200</v>
      </c>
      <c r="E79" s="198" t="s">
        <v>141</v>
      </c>
      <c r="F79" s="349">
        <f>(D79*42)+194</f>
        <v>8594</v>
      </c>
      <c r="G79" s="349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83"/>
      <c r="AB79" s="283"/>
      <c r="AC79" s="283"/>
      <c r="AD79" s="283"/>
      <c r="AE79" s="283"/>
      <c r="AF79" s="283"/>
      <c r="AG79" s="201">
        <v>2152</v>
      </c>
      <c r="AH79" s="201">
        <v>1842</v>
      </c>
      <c r="AI79" s="201">
        <v>1188</v>
      </c>
      <c r="AJ79" s="201">
        <v>821</v>
      </c>
      <c r="AK79" s="201">
        <v>405</v>
      </c>
      <c r="AL79" s="201">
        <v>528</v>
      </c>
      <c r="AM79" s="201">
        <v>1232</v>
      </c>
      <c r="AN79" s="201">
        <v>1504</v>
      </c>
      <c r="AO79" s="201">
        <v>1412</v>
      </c>
      <c r="AP79" s="201">
        <f>1940+950</f>
        <v>2890</v>
      </c>
      <c r="AQ79" s="201">
        <v>3782</v>
      </c>
      <c r="AR79" s="201">
        <v>4839</v>
      </c>
      <c r="AS79" s="283">
        <f t="shared" si="22"/>
        <v>22595</v>
      </c>
      <c r="AT79" s="286">
        <f t="shared" si="20"/>
        <v>1882.9166666666667</v>
      </c>
      <c r="AU79" s="201">
        <v>6565</v>
      </c>
      <c r="AV79" s="201">
        <v>5543</v>
      </c>
      <c r="AW79" s="201">
        <v>8513</v>
      </c>
      <c r="AX79" s="201">
        <v>6602</v>
      </c>
      <c r="AY79" s="201">
        <v>6922</v>
      </c>
      <c r="AZ79" s="203">
        <f>SUMIFS(領用表!$L:$L,領用表!$E:$E,$B79,領用表!$B:$B,AZ$2&amp;$BI$1)</f>
        <v>5258</v>
      </c>
      <c r="BA79" s="203">
        <f>SUMIFS(領用表!$L:$L,領用表!$E:$E,$B79,領用表!$B:$B,BA$2&amp;$BI$1)</f>
        <v>3695</v>
      </c>
      <c r="BB79" s="203">
        <f>SUMIFS(領用表!$L:$L,領用表!$E:$E,$B79,領用表!$B:$B,BB$2&amp;$BI$1)</f>
        <v>2677</v>
      </c>
      <c r="BC79" s="203">
        <f>SUMIFS(領用表!$L:$L,領用表!$E:$E,$B79,領用表!$B:$B,BC$2&amp;$BI$1)</f>
        <v>2573</v>
      </c>
      <c r="BD79" s="208">
        <f>SUMIFS(領用表!$L:$L,領用表!$E:$E,$B79,領用表!$B:$B,BD$2&amp;$BI$1)</f>
        <v>4109</v>
      </c>
      <c r="BE79" s="208">
        <f>SUMIFS(領用表!$L:$L,領用表!$E:$E,$B79,領用表!$B:$B,BE$2&amp;$BI$1)</f>
        <v>6276</v>
      </c>
      <c r="BF79" s="208">
        <f>SUMIFS(領用表!$L:$L,領用表!$E:$E,$B79,領用表!$B:$B,BF$2&amp;$BI$1)</f>
        <v>5439</v>
      </c>
      <c r="BG79" s="207">
        <f t="shared" si="18"/>
        <v>64172</v>
      </c>
      <c r="BH79" s="207">
        <f t="shared" si="19"/>
        <v>5347.666666666667</v>
      </c>
      <c r="BI79" s="208">
        <f>SUMIFS(領用表!$L:$L,領用表!$E:$E,$B79,領用表!$B:$B,BI$2&amp;$BI$1)</f>
        <v>6112</v>
      </c>
      <c r="BJ79" s="208">
        <f>SUMIFS(領用表!$L:$L,領用表!$E:$E,$B79,領用表!$B:$B,BJ$2&amp;$BI$1)</f>
        <v>7116</v>
      </c>
      <c r="BK79" s="208">
        <f>SUMIFS(領用表!$L:$L,領用表!$E:$E,$B79,領用表!$B:$B,BK$2&amp;$BI$1)</f>
        <v>10519</v>
      </c>
      <c r="BL79" s="208">
        <f>SUMIFS(領用表!$L:$L,領用表!$E:$E,$B79,領用表!$B:$B,BL$2&amp;$BI$1)</f>
        <v>8901</v>
      </c>
      <c r="BM79" s="208">
        <f>SUMIFS(領用表!$L:$L,領用表!$E:$E,$B79,領用表!$B:$B,BM$2&amp;$BI$1)</f>
        <v>5665</v>
      </c>
      <c r="BN79" s="208">
        <f>SUMIFS(領用表!$L:$L,領用表!$E:$E,$B79,領用表!$B:$B,BN$2&amp;$BI$1)</f>
        <v>0</v>
      </c>
      <c r="BO79" s="208">
        <f>SUMIFS(領用表!$L:$L,領用表!$E:$E,$B79,領用表!$B:$B,BO$2&amp;$BI$1)</f>
        <v>0</v>
      </c>
      <c r="BP79" s="208">
        <f>SUMIFS(領用表!$L:$L,領用表!$E:$E,$B79,領用表!$B:$B,BP$2&amp;$BI$1)</f>
        <v>0</v>
      </c>
      <c r="BQ79" s="208">
        <f>SUMIFS(領用表!$L:$L,領用表!$E:$E,$B79,領用表!$B:$B,BQ$2&amp;$BI$1)</f>
        <v>0</v>
      </c>
      <c r="BR79" s="208">
        <f>SUMIFS(領用表!$L:$L,領用表!$E:$E,$B79,領用表!$B:$B,BR$2&amp;$BI$1)</f>
        <v>0</v>
      </c>
      <c r="BS79" s="208">
        <f>SUMIFS(領用表!$L:$L,領用表!$E:$E,$B79,領用表!$B:$B,BS$2&amp;$BI$1)</f>
        <v>0</v>
      </c>
      <c r="BT79" s="208">
        <f>SUMIFS(領用表!$L:$L,領用表!$E:$E,$B79,領用表!$B:$B,BT$2&amp;$BI$1)</f>
        <v>0</v>
      </c>
      <c r="BU79" s="208">
        <f t="shared" si="16"/>
        <v>38313</v>
      </c>
      <c r="BV79" s="208">
        <f t="shared" si="21"/>
        <v>7662.6</v>
      </c>
      <c r="BW79" s="208">
        <f>SUMIF(Summary!B:B,B79,Summary!DT:DT)</f>
        <v>5500</v>
      </c>
      <c r="BX79" s="384"/>
      <c r="BY79" s="340"/>
      <c r="BZ79" s="340" t="s">
        <v>144</v>
      </c>
      <c r="CA79" s="340"/>
      <c r="CB79" s="136"/>
      <c r="CC79" s="289"/>
      <c r="CE79" s="213"/>
    </row>
    <row r="80" spans="1:83" s="118" customFormat="1" ht="15.75" customHeight="1">
      <c r="A80" s="136" t="s">
        <v>640</v>
      </c>
      <c r="B80" s="118">
        <v>6140005</v>
      </c>
      <c r="C80" s="118" t="s">
        <v>631</v>
      </c>
      <c r="D80" s="285">
        <v>200</v>
      </c>
      <c r="E80" s="198" t="s">
        <v>141</v>
      </c>
      <c r="F80" s="349">
        <f>(D80*13)+98</f>
        <v>2698</v>
      </c>
      <c r="G80" s="349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83"/>
      <c r="AB80" s="283"/>
      <c r="AC80" s="283"/>
      <c r="AD80" s="283"/>
      <c r="AE80" s="283"/>
      <c r="AF80" s="283"/>
      <c r="AG80" s="201">
        <v>0</v>
      </c>
      <c r="AH80" s="201">
        <v>0</v>
      </c>
      <c r="AI80" s="201">
        <v>1154</v>
      </c>
      <c r="AJ80" s="201">
        <v>2465</v>
      </c>
      <c r="AK80" s="201">
        <v>2607</v>
      </c>
      <c r="AL80" s="201">
        <v>2330</v>
      </c>
      <c r="AM80" s="201">
        <v>1488</v>
      </c>
      <c r="AN80" s="201">
        <v>6126</v>
      </c>
      <c r="AO80" s="201">
        <v>2454</v>
      </c>
      <c r="AP80" s="201">
        <v>3438</v>
      </c>
      <c r="AQ80" s="201">
        <v>3180</v>
      </c>
      <c r="AR80" s="201">
        <v>3251</v>
      </c>
      <c r="AS80" s="283">
        <f t="shared" si="22"/>
        <v>28493</v>
      </c>
      <c r="AT80" s="286">
        <f t="shared" si="20"/>
        <v>2374.4166666666665</v>
      </c>
      <c r="AU80" s="201">
        <v>2150</v>
      </c>
      <c r="AV80" s="201">
        <v>2385</v>
      </c>
      <c r="AW80" s="201">
        <v>2782</v>
      </c>
      <c r="AX80" s="201">
        <v>2692</v>
      </c>
      <c r="AY80" s="201">
        <v>2952</v>
      </c>
      <c r="AZ80" s="203">
        <f>SUMIFS(領用表!$L:$L,領用表!$E:$E,$B80,領用表!$B:$B,AZ$2&amp;$BI$1)</f>
        <v>2484</v>
      </c>
      <c r="BA80" s="203">
        <f>SUMIFS(領用表!$L:$L,領用表!$E:$E,$B80,領用表!$B:$B,BA$2&amp;$BI$1)</f>
        <v>1450</v>
      </c>
      <c r="BB80" s="203">
        <f>SUMIFS(領用表!$L:$L,領用表!$E:$E,$B80,領用表!$B:$B,BB$2&amp;$BI$1)</f>
        <v>3081</v>
      </c>
      <c r="BC80" s="203">
        <f>SUMIFS(領用表!$L:$L,領用表!$E:$E,$B80,領用表!$B:$B,BC$2&amp;$BI$1)</f>
        <v>1603</v>
      </c>
      <c r="BD80" s="208">
        <f>SUMIFS(領用表!$L:$L,領用表!$E:$E,$B80,領用表!$B:$B,BD$2&amp;$BI$1)</f>
        <v>2254</v>
      </c>
      <c r="BE80" s="208">
        <f>SUMIFS(領用表!$L:$L,領用表!$E:$E,$B80,領用表!$B:$B,BE$2&amp;$BI$1)</f>
        <v>1623</v>
      </c>
      <c r="BF80" s="208">
        <f>SUMIFS(領用表!$L:$L,領用表!$E:$E,$B80,領用表!$B:$B,BF$2&amp;$BI$1)</f>
        <v>1438</v>
      </c>
      <c r="BG80" s="207">
        <f t="shared" si="18"/>
        <v>26894</v>
      </c>
      <c r="BH80" s="207">
        <f t="shared" si="19"/>
        <v>2241.1666666666665</v>
      </c>
      <c r="BI80" s="208">
        <f>SUMIFS(領用表!$L:$L,領用表!$E:$E,$B80,領用表!$B:$B,BI$2&amp;$BI$1)</f>
        <v>1267</v>
      </c>
      <c r="BJ80" s="208">
        <f>SUMIFS(領用表!$L:$L,領用表!$E:$E,$B80,領用表!$B:$B,BJ$2&amp;$BI$1)</f>
        <v>1291</v>
      </c>
      <c r="BK80" s="208">
        <f>SUMIFS(領用表!$L:$L,領用表!$E:$E,$B80,領用表!$B:$B,BK$2&amp;$BI$1)</f>
        <v>3495</v>
      </c>
      <c r="BL80" s="208">
        <f>SUMIFS(領用表!$L:$L,領用表!$E:$E,$B80,領用表!$B:$B,BL$2&amp;$BI$1)</f>
        <v>4861</v>
      </c>
      <c r="BM80" s="208">
        <f>SUMIFS(領用表!$L:$L,領用表!$E:$E,$B80,領用表!$B:$B,BM$2&amp;$BI$1)</f>
        <v>7896</v>
      </c>
      <c r="BN80" s="208">
        <f>SUMIFS(領用表!$L:$L,領用表!$E:$E,$B80,領用表!$B:$B,BN$2&amp;$BI$1)</f>
        <v>0</v>
      </c>
      <c r="BO80" s="208">
        <f>SUMIFS(領用表!$L:$L,領用表!$E:$E,$B80,領用表!$B:$B,BO$2&amp;$BI$1)</f>
        <v>0</v>
      </c>
      <c r="BP80" s="208">
        <f>SUMIFS(領用表!$L:$L,領用表!$E:$E,$B80,領用表!$B:$B,BP$2&amp;$BI$1)</f>
        <v>0</v>
      </c>
      <c r="BQ80" s="208">
        <f>SUMIFS(領用表!$L:$L,領用表!$E:$E,$B80,領用表!$B:$B,BQ$2&amp;$BI$1)</f>
        <v>0</v>
      </c>
      <c r="BR80" s="208">
        <f>SUMIFS(領用表!$L:$L,領用表!$E:$E,$B80,領用表!$B:$B,BR$2&amp;$BI$1)</f>
        <v>0</v>
      </c>
      <c r="BS80" s="208">
        <f>SUMIFS(領用表!$L:$L,領用表!$E:$E,$B80,領用表!$B:$B,BS$2&amp;$BI$1)</f>
        <v>0</v>
      </c>
      <c r="BT80" s="208">
        <f>SUMIFS(領用表!$L:$L,領用表!$E:$E,$B80,領用表!$B:$B,BT$2&amp;$BI$1)</f>
        <v>0</v>
      </c>
      <c r="BU80" s="208">
        <f t="shared" si="16"/>
        <v>18810</v>
      </c>
      <c r="BV80" s="208">
        <f t="shared" si="21"/>
        <v>3762</v>
      </c>
      <c r="BW80" s="208">
        <f>SUMIF(Summary!B:B,B80,Summary!DT:DT)</f>
        <v>1200</v>
      </c>
      <c r="BX80" s="384"/>
      <c r="BY80" s="340"/>
      <c r="BZ80" s="340"/>
      <c r="CA80" s="340"/>
      <c r="CB80" s="136"/>
      <c r="CC80" s="289"/>
      <c r="CE80" s="213"/>
    </row>
    <row r="81" spans="1:83" s="118" customFormat="1" ht="15.75" customHeight="1">
      <c r="A81" s="136"/>
      <c r="B81" s="118" t="e">
        <v>#N/A</v>
      </c>
      <c r="C81" s="118" t="s">
        <v>632</v>
      </c>
      <c r="D81" s="285">
        <v>3</v>
      </c>
      <c r="E81" s="198" t="s">
        <v>823</v>
      </c>
      <c r="F81" s="349"/>
      <c r="G81" s="349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83"/>
      <c r="AB81" s="283"/>
      <c r="AC81" s="283"/>
      <c r="AD81" s="283"/>
      <c r="AE81" s="283"/>
      <c r="AF81" s="283"/>
      <c r="AG81" s="201"/>
      <c r="AH81" s="201"/>
      <c r="AI81" s="201"/>
      <c r="AJ81" s="201"/>
      <c r="AK81" s="201"/>
      <c r="AL81" s="201"/>
      <c r="AM81" s="201">
        <v>159</v>
      </c>
      <c r="AN81" s="201">
        <v>291</v>
      </c>
      <c r="AO81" s="201">
        <v>533</v>
      </c>
      <c r="AP81" s="201">
        <v>138.33000000000001</v>
      </c>
      <c r="AQ81" s="201">
        <v>95.67</v>
      </c>
      <c r="AR81" s="201">
        <f>3*167.33</f>
        <v>501.99</v>
      </c>
      <c r="AS81" s="283">
        <f t="shared" si="22"/>
        <v>1718.99</v>
      </c>
      <c r="AT81" s="286">
        <f t="shared" si="20"/>
        <v>143.24916666666667</v>
      </c>
      <c r="AU81" s="201">
        <f>3*148.97</f>
        <v>446.90999999999997</v>
      </c>
      <c r="AV81" s="201">
        <f>3*82.7</f>
        <v>248.10000000000002</v>
      </c>
      <c r="AW81" s="201">
        <v>312</v>
      </c>
      <c r="AX81" s="201">
        <v>359</v>
      </c>
      <c r="AY81" s="201">
        <v>268</v>
      </c>
      <c r="AZ81" s="203">
        <f>SUMIFS(領用表!$L:$L,領用表!$E:$E,$B81,領用表!$B:$B,AZ$2&amp;$BI$1)</f>
        <v>0</v>
      </c>
      <c r="BA81" s="203">
        <f>SUMIFS(領用表!$L:$L,領用表!$E:$E,$B81,領用表!$B:$B,BA$2&amp;$BI$1)</f>
        <v>0</v>
      </c>
      <c r="BB81" s="203">
        <f>SUMIFS(領用表!$L:$L,領用表!$E:$E,$B81,領用表!$B:$B,BB$2&amp;$BI$1)</f>
        <v>0</v>
      </c>
      <c r="BC81" s="203">
        <f>SUMIFS(領用表!$L:$L,領用表!$E:$E,$B81,領用表!$B:$B,BC$2&amp;$BI$1)</f>
        <v>0</v>
      </c>
      <c r="BD81" s="208">
        <f>SUMIFS(領用表!$L:$L,領用表!$E:$E,$B81,領用表!$B:$B,BD$2&amp;$BI$1)</f>
        <v>0</v>
      </c>
      <c r="BE81" s="208">
        <f>SUMIFS(領用表!$L:$L,領用表!$E:$E,$B81,領用表!$B:$B,BE$2&amp;$BI$1)</f>
        <v>0</v>
      </c>
      <c r="BF81" s="208">
        <f>SUMIFS(領用表!$L:$L,領用表!$E:$E,$B81,領用表!$B:$B,BF$2&amp;$BI$1)</f>
        <v>0</v>
      </c>
      <c r="BG81" s="207">
        <f t="shared" si="18"/>
        <v>1634.01</v>
      </c>
      <c r="BH81" s="207">
        <f t="shared" si="19"/>
        <v>136.16749999999999</v>
      </c>
      <c r="BI81" s="208">
        <f>SUMIFS(領用表!$L:$L,領用表!$E:$E,$B81,領用表!$B:$B,BI$2&amp;$BI$1)</f>
        <v>0</v>
      </c>
      <c r="BJ81" s="208">
        <f>SUMIFS(領用表!$L:$L,領用表!$E:$E,$B81,領用表!$B:$B,BJ$2&amp;$BI$1)</f>
        <v>0</v>
      </c>
      <c r="BK81" s="208">
        <f>SUMIFS(領用表!$L:$L,領用表!$E:$E,$B81,領用表!$B:$B,BK$2&amp;$BI$1)</f>
        <v>0</v>
      </c>
      <c r="BL81" s="208">
        <f>SUMIFS(領用表!$L:$L,領用表!$E:$E,$B81,領用表!$B:$B,BL$2&amp;$BI$1)</f>
        <v>0</v>
      </c>
      <c r="BM81" s="208">
        <f>SUMIFS(領用表!$L:$L,領用表!$E:$E,$B81,領用表!$B:$B,BM$2&amp;$BI$1)</f>
        <v>0</v>
      </c>
      <c r="BN81" s="208">
        <f>SUMIFS(領用表!$L:$L,領用表!$E:$E,$B81,領用表!$B:$B,BN$2&amp;$BI$1)</f>
        <v>0</v>
      </c>
      <c r="BO81" s="208">
        <f>SUMIFS(領用表!$L:$L,領用表!$E:$E,$B81,領用表!$B:$B,BO$2&amp;$BI$1)</f>
        <v>0</v>
      </c>
      <c r="BP81" s="208">
        <f>SUMIFS(領用表!$L:$L,領用表!$E:$E,$B81,領用表!$B:$B,BP$2&amp;$BI$1)</f>
        <v>0</v>
      </c>
      <c r="BQ81" s="208">
        <f>SUMIFS(領用表!$L:$L,領用表!$E:$E,$B81,領用表!$B:$B,BQ$2&amp;$BI$1)</f>
        <v>0</v>
      </c>
      <c r="BR81" s="208">
        <f>SUMIFS(領用表!$L:$L,領用表!$E:$E,$B81,領用表!$B:$B,BR$2&amp;$BI$1)</f>
        <v>0</v>
      </c>
      <c r="BS81" s="208">
        <f>SUMIFS(領用表!$L:$L,領用表!$E:$E,$B81,領用表!$B:$B,BS$2&amp;$BI$1)</f>
        <v>0</v>
      </c>
      <c r="BT81" s="208">
        <f>SUMIFS(領用表!$L:$L,領用表!$E:$E,$B81,領用表!$B:$B,BT$2&amp;$BI$1)</f>
        <v>0</v>
      </c>
      <c r="BU81" s="208">
        <f t="shared" si="16"/>
        <v>0</v>
      </c>
      <c r="BV81" s="208">
        <f t="shared" si="21"/>
        <v>0</v>
      </c>
      <c r="BW81" s="208">
        <f>SUMIF(Summary!B:B,B81,Summary!DT:DT)</f>
        <v>0</v>
      </c>
      <c r="BX81" s="384"/>
      <c r="BY81" s="340"/>
      <c r="BZ81" s="340"/>
      <c r="CA81" s="340"/>
      <c r="CB81" s="136"/>
      <c r="CC81" s="289"/>
      <c r="CE81" s="213"/>
    </row>
    <row r="82" spans="1:83" s="118" customFormat="1" ht="15.75" customHeight="1">
      <c r="A82" s="136"/>
      <c r="B82" s="118" t="e">
        <v>#N/A</v>
      </c>
      <c r="C82" s="135" t="s">
        <v>500</v>
      </c>
      <c r="D82" s="285">
        <v>100</v>
      </c>
      <c r="E82" s="198" t="s">
        <v>825</v>
      </c>
      <c r="F82" s="349"/>
      <c r="G82" s="349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  <c r="AA82" s="283"/>
      <c r="AB82" s="283"/>
      <c r="AC82" s="283"/>
      <c r="AD82" s="283"/>
      <c r="AE82" s="283"/>
      <c r="AF82" s="283"/>
      <c r="AG82" s="201"/>
      <c r="AH82" s="201"/>
      <c r="AI82" s="201"/>
      <c r="AJ82" s="201"/>
      <c r="AK82" s="201"/>
      <c r="AL82" s="201"/>
      <c r="AM82" s="201"/>
      <c r="AN82" s="201"/>
      <c r="AO82" s="201"/>
      <c r="AP82" s="201"/>
      <c r="AQ82" s="201"/>
      <c r="AR82" s="201"/>
      <c r="AS82" s="205" t="s">
        <v>49</v>
      </c>
      <c r="AT82" s="205" t="s">
        <v>49</v>
      </c>
      <c r="AU82" s="205" t="s">
        <v>49</v>
      </c>
      <c r="AV82" s="205" t="s">
        <v>49</v>
      </c>
      <c r="AW82" s="205" t="s">
        <v>49</v>
      </c>
      <c r="AX82" s="201" t="s">
        <v>49</v>
      </c>
      <c r="AY82" s="201" t="s">
        <v>49</v>
      </c>
      <c r="AZ82" s="295">
        <f>SUMIFS(領用表!$L:$L,領用表!$E:$E,$B82,領用表!$B:$B,AZ$2&amp;$BI$1)</f>
        <v>0</v>
      </c>
      <c r="BA82" s="203">
        <f>SUMIFS(領用表!$L:$L,領用表!$E:$E,$B82,領用表!$B:$B,BA$2&amp;$BI$1)</f>
        <v>0</v>
      </c>
      <c r="BB82" s="203">
        <f>SUMIFS(領用表!$L:$L,領用表!$E:$E,$B82,領用表!$B:$B,BB$2&amp;$BI$1)</f>
        <v>0</v>
      </c>
      <c r="BC82" s="203">
        <f>SUMIFS(領用表!$L:$L,領用表!$E:$E,$B82,領用表!$B:$B,BC$2&amp;$BI$1)</f>
        <v>0</v>
      </c>
      <c r="BD82" s="208">
        <f>SUMIFS(領用表!$L:$L,領用表!$E:$E,$B82,領用表!$B:$B,BD$2&amp;$BI$1)</f>
        <v>0</v>
      </c>
      <c r="BE82" s="208">
        <f>SUMIFS(領用表!$L:$L,領用表!$E:$E,$B82,領用表!$B:$B,BE$2&amp;$BI$1)</f>
        <v>0</v>
      </c>
      <c r="BF82" s="208">
        <f>SUMIFS(領用表!$L:$L,領用表!$E:$E,$B82,領用表!$B:$B,BF$2&amp;$BI$1)</f>
        <v>0</v>
      </c>
      <c r="BG82" s="207">
        <f t="shared" si="18"/>
        <v>0</v>
      </c>
      <c r="BH82" s="207">
        <f t="shared" si="19"/>
        <v>0</v>
      </c>
      <c r="BI82" s="208">
        <f>SUMIFS(領用表!$L:$L,領用表!$E:$E,$B82,領用表!$B:$B,BI$2&amp;$BI$1)</f>
        <v>0</v>
      </c>
      <c r="BJ82" s="208">
        <f>SUMIFS(領用表!$L:$L,領用表!$E:$E,$B82,領用表!$B:$B,BJ$2&amp;$BI$1)</f>
        <v>0</v>
      </c>
      <c r="BK82" s="208">
        <f>SUMIFS(領用表!$L:$L,領用表!$E:$E,$B82,領用表!$B:$B,BK$2&amp;$BI$1)</f>
        <v>0</v>
      </c>
      <c r="BL82" s="208">
        <f>SUMIFS(領用表!$L:$L,領用表!$E:$E,$B82,領用表!$B:$B,BL$2&amp;$BI$1)</f>
        <v>0</v>
      </c>
      <c r="BM82" s="208">
        <f>SUMIFS(領用表!$L:$L,領用表!$E:$E,$B82,領用表!$B:$B,BM$2&amp;$BI$1)</f>
        <v>0</v>
      </c>
      <c r="BN82" s="208">
        <f>SUMIFS(領用表!$L:$L,領用表!$E:$E,$B82,領用表!$B:$B,BN$2&amp;$BI$1)</f>
        <v>0</v>
      </c>
      <c r="BO82" s="208">
        <f>SUMIFS(領用表!$L:$L,領用表!$E:$E,$B82,領用表!$B:$B,BO$2&amp;$BI$1)</f>
        <v>0</v>
      </c>
      <c r="BP82" s="208">
        <f>SUMIFS(領用表!$L:$L,領用表!$E:$E,$B82,領用表!$B:$B,BP$2&amp;$BI$1)</f>
        <v>0</v>
      </c>
      <c r="BQ82" s="208">
        <f>SUMIFS(領用表!$L:$L,領用表!$E:$E,$B82,領用表!$B:$B,BQ$2&amp;$BI$1)</f>
        <v>0</v>
      </c>
      <c r="BR82" s="208">
        <f>SUMIFS(領用表!$L:$L,領用表!$E:$E,$B82,領用表!$B:$B,BR$2&amp;$BI$1)</f>
        <v>0</v>
      </c>
      <c r="BS82" s="208">
        <f>SUMIFS(領用表!$L:$L,領用表!$E:$E,$B82,領用表!$B:$B,BS$2&amp;$BI$1)</f>
        <v>0</v>
      </c>
      <c r="BT82" s="208">
        <f>SUMIFS(領用表!$L:$L,領用表!$E:$E,$B82,領用表!$B:$B,BT$2&amp;$BI$1)</f>
        <v>0</v>
      </c>
      <c r="BU82" s="208">
        <f t="shared" si="16"/>
        <v>0</v>
      </c>
      <c r="BV82" s="208">
        <f t="shared" si="21"/>
        <v>0</v>
      </c>
      <c r="BW82" s="208">
        <f>SUMIF(Summary!B:B,B82,Summary!DT:DT)</f>
        <v>0</v>
      </c>
      <c r="BX82" s="384"/>
      <c r="BY82" s="340"/>
      <c r="BZ82" s="340"/>
      <c r="CA82" s="340"/>
      <c r="CB82" s="136"/>
      <c r="CC82" s="289"/>
      <c r="CE82" s="213"/>
    </row>
    <row r="83" spans="1:83" s="118" customFormat="1" ht="15.75" customHeight="1">
      <c r="A83" s="136" t="s">
        <v>147</v>
      </c>
      <c r="B83" s="118">
        <v>6200008</v>
      </c>
      <c r="C83" s="135" t="s">
        <v>501</v>
      </c>
      <c r="D83" s="285">
        <v>1</v>
      </c>
      <c r="E83" s="198" t="s">
        <v>823</v>
      </c>
      <c r="F83" s="349"/>
      <c r="G83" s="349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  <c r="Y83" s="283"/>
      <c r="Z83" s="283"/>
      <c r="AA83" s="283"/>
      <c r="AB83" s="283"/>
      <c r="AC83" s="283"/>
      <c r="AD83" s="283"/>
      <c r="AE83" s="283"/>
      <c r="AF83" s="283"/>
      <c r="AG83" s="201"/>
      <c r="AH83" s="201"/>
      <c r="AI83" s="201"/>
      <c r="AJ83" s="201"/>
      <c r="AK83" s="201"/>
      <c r="AL83" s="201"/>
      <c r="AM83" s="201"/>
      <c r="AN83" s="201"/>
      <c r="AO83" s="201"/>
      <c r="AP83" s="201"/>
      <c r="AQ83" s="201"/>
      <c r="AR83" s="201"/>
      <c r="AS83" s="205" t="s">
        <v>49</v>
      </c>
      <c r="AT83" s="205" t="s">
        <v>49</v>
      </c>
      <c r="AU83" s="205" t="s">
        <v>49</v>
      </c>
      <c r="AV83" s="205" t="s">
        <v>49</v>
      </c>
      <c r="AW83" s="205" t="s">
        <v>49</v>
      </c>
      <c r="AX83" s="201">
        <v>4</v>
      </c>
      <c r="AY83" s="201">
        <v>17</v>
      </c>
      <c r="AZ83" s="203">
        <f>SUMIFS(領用表!$L:$L,領用表!$E:$E,$B83,領用表!$B:$B,AZ$2&amp;$BI$1)</f>
        <v>0</v>
      </c>
      <c r="BA83" s="203">
        <f>SUMIFS(領用表!$L:$L,領用表!$E:$E,$B83,領用表!$B:$B,BA$2&amp;$BI$1)</f>
        <v>0</v>
      </c>
      <c r="BB83" s="203">
        <f>SUMIFS(領用表!$L:$L,領用表!$E:$E,$B83,領用表!$B:$B,BB$2&amp;$BI$1)</f>
        <v>0</v>
      </c>
      <c r="BC83" s="203">
        <f>SUMIFS(領用表!$L:$L,領用表!$E:$E,$B83,領用表!$B:$B,BC$2&amp;$BI$1)</f>
        <v>0</v>
      </c>
      <c r="BD83" s="208">
        <f>SUMIFS(領用表!$L:$L,領用表!$E:$E,$B83,領用表!$B:$B,BD$2&amp;$BI$1)</f>
        <v>0</v>
      </c>
      <c r="BE83" s="208">
        <f>SUMIFS(領用表!$L:$L,領用表!$E:$E,$B83,領用表!$B:$B,BE$2&amp;$BI$1)</f>
        <v>0</v>
      </c>
      <c r="BF83" s="208">
        <f>SUMIFS(領用表!$L:$L,領用表!$E:$E,$B83,領用表!$B:$B,BF$2&amp;$BI$1)</f>
        <v>0</v>
      </c>
      <c r="BG83" s="207">
        <f t="shared" si="18"/>
        <v>21</v>
      </c>
      <c r="BH83" s="207">
        <f t="shared" si="19"/>
        <v>2.3333333333333335</v>
      </c>
      <c r="BI83" s="208">
        <f>SUMIFS(領用表!$L:$L,領用表!$E:$E,$B83,領用表!$B:$B,BI$2&amp;$BI$1)</f>
        <v>0</v>
      </c>
      <c r="BJ83" s="208">
        <f>SUMIFS(領用表!$L:$L,領用表!$E:$E,$B83,領用表!$B:$B,BJ$2&amp;$BI$1)</f>
        <v>0</v>
      </c>
      <c r="BK83" s="208">
        <f>SUMIFS(領用表!$L:$L,領用表!$E:$E,$B83,領用表!$B:$B,BK$2&amp;$BI$1)</f>
        <v>0</v>
      </c>
      <c r="BL83" s="208">
        <f>SUMIFS(領用表!$L:$L,領用表!$E:$E,$B83,領用表!$B:$B,BL$2&amp;$BI$1)</f>
        <v>0</v>
      </c>
      <c r="BM83" s="208">
        <f>SUMIFS(領用表!$L:$L,領用表!$E:$E,$B83,領用表!$B:$B,BM$2&amp;$BI$1)</f>
        <v>0</v>
      </c>
      <c r="BN83" s="208">
        <f>SUMIFS(領用表!$L:$L,領用表!$E:$E,$B83,領用表!$B:$B,BN$2&amp;$BI$1)</f>
        <v>0</v>
      </c>
      <c r="BO83" s="208">
        <f>SUMIFS(領用表!$L:$L,領用表!$E:$E,$B83,領用表!$B:$B,BO$2&amp;$BI$1)</f>
        <v>0</v>
      </c>
      <c r="BP83" s="208">
        <f>SUMIFS(領用表!$L:$L,領用表!$E:$E,$B83,領用表!$B:$B,BP$2&amp;$BI$1)</f>
        <v>0</v>
      </c>
      <c r="BQ83" s="208">
        <f>SUMIFS(領用表!$L:$L,領用表!$E:$E,$B83,領用表!$B:$B,BQ$2&amp;$BI$1)</f>
        <v>0</v>
      </c>
      <c r="BR83" s="208">
        <f>SUMIFS(領用表!$L:$L,領用表!$E:$E,$B83,領用表!$B:$B,BR$2&amp;$BI$1)</f>
        <v>0</v>
      </c>
      <c r="BS83" s="208">
        <f>SUMIFS(領用表!$L:$L,領用表!$E:$E,$B83,領用表!$B:$B,BS$2&amp;$BI$1)</f>
        <v>0</v>
      </c>
      <c r="BT83" s="208">
        <f>SUMIFS(領用表!$L:$L,領用表!$E:$E,$B83,領用表!$B:$B,BT$2&amp;$BI$1)</f>
        <v>0</v>
      </c>
      <c r="BU83" s="208">
        <f t="shared" si="16"/>
        <v>0</v>
      </c>
      <c r="BV83" s="208">
        <f t="shared" si="21"/>
        <v>0</v>
      </c>
      <c r="BW83" s="208">
        <f>SUMIF(Summary!B:B,B83,Summary!DT:DT)</f>
        <v>0</v>
      </c>
      <c r="BX83" s="384"/>
      <c r="BY83" s="340"/>
      <c r="BZ83" s="340"/>
      <c r="CA83" s="340"/>
      <c r="CB83" s="136"/>
      <c r="CC83" s="289"/>
      <c r="CE83" s="213"/>
    </row>
    <row r="84" spans="1:83" s="118" customFormat="1" ht="15.75" customHeight="1">
      <c r="A84" s="136" t="s">
        <v>148</v>
      </c>
      <c r="B84" s="118">
        <v>6200010</v>
      </c>
      <c r="C84" s="135" t="s">
        <v>502</v>
      </c>
      <c r="D84" s="285">
        <v>1</v>
      </c>
      <c r="E84" s="198" t="s">
        <v>823</v>
      </c>
      <c r="F84" s="349"/>
      <c r="G84" s="349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83"/>
      <c r="AB84" s="283"/>
      <c r="AC84" s="283"/>
      <c r="AD84" s="283"/>
      <c r="AE84" s="283"/>
      <c r="AF84" s="283"/>
      <c r="AG84" s="201"/>
      <c r="AH84" s="201"/>
      <c r="AI84" s="201"/>
      <c r="AJ84" s="201"/>
      <c r="AK84" s="201"/>
      <c r="AL84" s="201"/>
      <c r="AM84" s="201"/>
      <c r="AN84" s="201"/>
      <c r="AO84" s="201"/>
      <c r="AP84" s="201"/>
      <c r="AQ84" s="201"/>
      <c r="AR84" s="201"/>
      <c r="AS84" s="205" t="s">
        <v>49</v>
      </c>
      <c r="AT84" s="205" t="s">
        <v>49</v>
      </c>
      <c r="AU84" s="205" t="s">
        <v>49</v>
      </c>
      <c r="AV84" s="205" t="s">
        <v>49</v>
      </c>
      <c r="AW84" s="205" t="s">
        <v>49</v>
      </c>
      <c r="AX84" s="201">
        <v>1</v>
      </c>
      <c r="AY84" s="201">
        <v>36</v>
      </c>
      <c r="AZ84" s="203">
        <f>SUMIFS(領用表!$L:$L,領用表!$E:$E,$B84,領用表!$B:$B,AZ$2&amp;$BI$1)</f>
        <v>0</v>
      </c>
      <c r="BA84" s="203">
        <f>SUMIFS(領用表!$L:$L,領用表!$E:$E,$B84,領用表!$B:$B,BA$2&amp;$BI$1)</f>
        <v>0</v>
      </c>
      <c r="BB84" s="203">
        <f>SUMIFS(領用表!$L:$L,領用表!$E:$E,$B84,領用表!$B:$B,BB$2&amp;$BI$1)</f>
        <v>0</v>
      </c>
      <c r="BC84" s="203">
        <f>SUMIFS(領用表!$L:$L,領用表!$E:$E,$B84,領用表!$B:$B,BC$2&amp;$BI$1)</f>
        <v>0</v>
      </c>
      <c r="BD84" s="208">
        <f>SUMIFS(領用表!$L:$L,領用表!$E:$E,$B84,領用表!$B:$B,BD$2&amp;$BI$1)</f>
        <v>0</v>
      </c>
      <c r="BE84" s="208">
        <f>SUMIFS(領用表!$L:$L,領用表!$E:$E,$B84,領用表!$B:$B,BE$2&amp;$BI$1)</f>
        <v>0</v>
      </c>
      <c r="BF84" s="208">
        <f>SUMIFS(領用表!$L:$L,領用表!$E:$E,$B84,領用表!$B:$B,BF$2&amp;$BI$1)</f>
        <v>0</v>
      </c>
      <c r="BG84" s="207">
        <f t="shared" si="18"/>
        <v>37</v>
      </c>
      <c r="BH84" s="207">
        <f t="shared" si="19"/>
        <v>4.1111111111111107</v>
      </c>
      <c r="BI84" s="208">
        <f>SUMIFS(領用表!$L:$L,領用表!$E:$E,$B84,領用表!$B:$B,BI$2&amp;$BI$1)</f>
        <v>0</v>
      </c>
      <c r="BJ84" s="208">
        <f>SUMIFS(領用表!$L:$L,領用表!$E:$E,$B84,領用表!$B:$B,BJ$2&amp;$BI$1)</f>
        <v>0</v>
      </c>
      <c r="BK84" s="208">
        <f>SUMIFS(領用表!$L:$L,領用表!$E:$E,$B84,領用表!$B:$B,BK$2&amp;$BI$1)</f>
        <v>0</v>
      </c>
      <c r="BL84" s="208">
        <f>SUMIFS(領用表!$L:$L,領用表!$E:$E,$B84,領用表!$B:$B,BL$2&amp;$BI$1)</f>
        <v>0</v>
      </c>
      <c r="BM84" s="208">
        <f>SUMIFS(領用表!$L:$L,領用表!$E:$E,$B84,領用表!$B:$B,BM$2&amp;$BI$1)</f>
        <v>0</v>
      </c>
      <c r="BN84" s="208">
        <f>SUMIFS(領用表!$L:$L,領用表!$E:$E,$B84,領用表!$B:$B,BN$2&amp;$BI$1)</f>
        <v>0</v>
      </c>
      <c r="BO84" s="208">
        <f>SUMIFS(領用表!$L:$L,領用表!$E:$E,$B84,領用表!$B:$B,BO$2&amp;$BI$1)</f>
        <v>0</v>
      </c>
      <c r="BP84" s="208">
        <f>SUMIFS(領用表!$L:$L,領用表!$E:$E,$B84,領用表!$B:$B,BP$2&amp;$BI$1)</f>
        <v>0</v>
      </c>
      <c r="BQ84" s="208">
        <f>SUMIFS(領用表!$L:$L,領用表!$E:$E,$B84,領用表!$B:$B,BQ$2&amp;$BI$1)</f>
        <v>0</v>
      </c>
      <c r="BR84" s="208">
        <f>SUMIFS(領用表!$L:$L,領用表!$E:$E,$B84,領用表!$B:$B,BR$2&amp;$BI$1)</f>
        <v>0</v>
      </c>
      <c r="BS84" s="208">
        <f>SUMIFS(領用表!$L:$L,領用表!$E:$E,$B84,領用表!$B:$B,BS$2&amp;$BI$1)</f>
        <v>0</v>
      </c>
      <c r="BT84" s="208">
        <f>SUMIFS(領用表!$L:$L,領用表!$E:$E,$B84,領用表!$B:$B,BT$2&amp;$BI$1)</f>
        <v>0</v>
      </c>
      <c r="BU84" s="208">
        <f t="shared" si="16"/>
        <v>0</v>
      </c>
      <c r="BV84" s="208">
        <f t="shared" si="21"/>
        <v>0</v>
      </c>
      <c r="BW84" s="208">
        <f>SUMIF(Summary!B:B,B84,Summary!DT:DT)</f>
        <v>0</v>
      </c>
      <c r="BX84" s="384"/>
      <c r="BY84" s="340"/>
      <c r="BZ84" s="340"/>
      <c r="CA84" s="340"/>
      <c r="CB84" s="136"/>
      <c r="CC84" s="289"/>
      <c r="CE84" s="213"/>
    </row>
    <row r="85" spans="1:83" s="118" customFormat="1" ht="15.75" customHeight="1">
      <c r="A85" s="136" t="s">
        <v>149</v>
      </c>
      <c r="B85" s="118">
        <v>6200012</v>
      </c>
      <c r="C85" s="135" t="s">
        <v>503</v>
      </c>
      <c r="D85" s="285">
        <v>1</v>
      </c>
      <c r="E85" s="198" t="s">
        <v>823</v>
      </c>
      <c r="F85" s="349"/>
      <c r="G85" s="349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83"/>
      <c r="AB85" s="283"/>
      <c r="AC85" s="283"/>
      <c r="AD85" s="283"/>
      <c r="AE85" s="283"/>
      <c r="AF85" s="283"/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  <c r="AQ85" s="201"/>
      <c r="AR85" s="201"/>
      <c r="AS85" s="205" t="s">
        <v>49</v>
      </c>
      <c r="AT85" s="205" t="s">
        <v>49</v>
      </c>
      <c r="AU85" s="205" t="s">
        <v>49</v>
      </c>
      <c r="AV85" s="205" t="s">
        <v>49</v>
      </c>
      <c r="AW85" s="205" t="s">
        <v>49</v>
      </c>
      <c r="AX85" s="201">
        <v>0</v>
      </c>
      <c r="AY85" s="298">
        <v>6</v>
      </c>
      <c r="AZ85" s="203">
        <f>SUMIFS(領用表!$L:$L,領用表!$E:$E,$B85,領用表!$B:$B,AZ$2&amp;$BI$1)</f>
        <v>0</v>
      </c>
      <c r="BA85" s="203">
        <f>SUMIFS(領用表!$L:$L,領用表!$E:$E,$B85,領用表!$B:$B,BA$2&amp;$BI$1)</f>
        <v>0</v>
      </c>
      <c r="BB85" s="203">
        <f>SUMIFS(領用表!$L:$L,領用表!$E:$E,$B85,領用表!$B:$B,BB$2&amp;$BI$1)</f>
        <v>0</v>
      </c>
      <c r="BC85" s="203">
        <f>SUMIFS(領用表!$L:$L,領用表!$E:$E,$B85,領用表!$B:$B,BC$2&amp;$BI$1)</f>
        <v>0</v>
      </c>
      <c r="BD85" s="208">
        <f>SUMIFS(領用表!$L:$L,領用表!$E:$E,$B85,領用表!$B:$B,BD$2&amp;$BI$1)</f>
        <v>0</v>
      </c>
      <c r="BE85" s="208">
        <f>SUMIFS(領用表!$L:$L,領用表!$E:$E,$B85,領用表!$B:$B,BE$2&amp;$BI$1)</f>
        <v>0</v>
      </c>
      <c r="BF85" s="208">
        <f>SUMIFS(領用表!$L:$L,領用表!$E:$E,$B85,領用表!$B:$B,BF$2&amp;$BI$1)</f>
        <v>0</v>
      </c>
      <c r="BG85" s="207">
        <f t="shared" si="18"/>
        <v>6</v>
      </c>
      <c r="BH85" s="207">
        <f t="shared" si="19"/>
        <v>0.66666666666666663</v>
      </c>
      <c r="BI85" s="208">
        <f>SUMIFS(領用表!$L:$L,領用表!$E:$E,$B85,領用表!$B:$B,BI$2&amp;$BI$1)</f>
        <v>0</v>
      </c>
      <c r="BJ85" s="208">
        <f>SUMIFS(領用表!$L:$L,領用表!$E:$E,$B85,領用表!$B:$B,BJ$2&amp;$BI$1)</f>
        <v>0</v>
      </c>
      <c r="BK85" s="208">
        <f>SUMIFS(領用表!$L:$L,領用表!$E:$E,$B85,領用表!$B:$B,BK$2&amp;$BI$1)</f>
        <v>0</v>
      </c>
      <c r="BL85" s="208">
        <f>SUMIFS(領用表!$L:$L,領用表!$E:$E,$B85,領用表!$B:$B,BL$2&amp;$BI$1)</f>
        <v>0</v>
      </c>
      <c r="BM85" s="208">
        <f>SUMIFS(領用表!$L:$L,領用表!$E:$E,$B85,領用表!$B:$B,BM$2&amp;$BI$1)</f>
        <v>0</v>
      </c>
      <c r="BN85" s="208">
        <f>SUMIFS(領用表!$L:$L,領用表!$E:$E,$B85,領用表!$B:$B,BN$2&amp;$BI$1)</f>
        <v>0</v>
      </c>
      <c r="BO85" s="208">
        <f>SUMIFS(領用表!$L:$L,領用表!$E:$E,$B85,領用表!$B:$B,BO$2&amp;$BI$1)</f>
        <v>0</v>
      </c>
      <c r="BP85" s="208">
        <f>SUMIFS(領用表!$L:$L,領用表!$E:$E,$B85,領用表!$B:$B,BP$2&amp;$BI$1)</f>
        <v>0</v>
      </c>
      <c r="BQ85" s="208">
        <f>SUMIFS(領用表!$L:$L,領用表!$E:$E,$B85,領用表!$B:$B,BQ$2&amp;$BI$1)</f>
        <v>0</v>
      </c>
      <c r="BR85" s="208">
        <f>SUMIFS(領用表!$L:$L,領用表!$E:$E,$B85,領用表!$B:$B,BR$2&amp;$BI$1)</f>
        <v>0</v>
      </c>
      <c r="BS85" s="208">
        <f>SUMIFS(領用表!$L:$L,領用表!$E:$E,$B85,領用表!$B:$B,BS$2&amp;$BI$1)</f>
        <v>0</v>
      </c>
      <c r="BT85" s="208">
        <f>SUMIFS(領用表!$L:$L,領用表!$E:$E,$B85,領用表!$B:$B,BT$2&amp;$BI$1)</f>
        <v>0</v>
      </c>
      <c r="BU85" s="208">
        <f t="shared" si="16"/>
        <v>0</v>
      </c>
      <c r="BV85" s="208">
        <f t="shared" si="21"/>
        <v>0</v>
      </c>
      <c r="BW85" s="208">
        <f>SUMIF(Summary!B:B,B85,Summary!DT:DT)</f>
        <v>0</v>
      </c>
      <c r="BX85" s="384"/>
      <c r="BY85" s="340"/>
      <c r="BZ85" s="340"/>
      <c r="CA85" s="340"/>
      <c r="CB85" s="136"/>
      <c r="CC85" s="289"/>
      <c r="CE85" s="213"/>
    </row>
    <row r="86" spans="1:83" s="118" customFormat="1" ht="15.75" customHeight="1">
      <c r="A86" s="136" t="s">
        <v>641</v>
      </c>
      <c r="B86" s="118">
        <v>6200013</v>
      </c>
      <c r="C86" s="135" t="s">
        <v>504</v>
      </c>
      <c r="D86" s="285">
        <v>1</v>
      </c>
      <c r="E86" s="198" t="s">
        <v>823</v>
      </c>
      <c r="F86" s="349"/>
      <c r="G86" s="349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83"/>
      <c r="AB86" s="283"/>
      <c r="AC86" s="283"/>
      <c r="AD86" s="283"/>
      <c r="AE86" s="283"/>
      <c r="AF86" s="283"/>
      <c r="AG86" s="201"/>
      <c r="AH86" s="201"/>
      <c r="AI86" s="201"/>
      <c r="AJ86" s="201"/>
      <c r="AK86" s="201"/>
      <c r="AL86" s="201"/>
      <c r="AM86" s="201"/>
      <c r="AN86" s="201"/>
      <c r="AO86" s="201"/>
      <c r="AP86" s="201"/>
      <c r="AQ86" s="201"/>
      <c r="AR86" s="201"/>
      <c r="AS86" s="283"/>
      <c r="AT86" s="286"/>
      <c r="AU86" s="201" t="s">
        <v>49</v>
      </c>
      <c r="AV86" s="201" t="s">
        <v>49</v>
      </c>
      <c r="AW86" s="201" t="s">
        <v>49</v>
      </c>
      <c r="AX86" s="201" t="s">
        <v>49</v>
      </c>
      <c r="AY86" s="201" t="s">
        <v>49</v>
      </c>
      <c r="AZ86" s="203">
        <f>SUMIFS(領用表!$L:$L,領用表!$E:$E,$B86,領用表!$B:$B,AZ$2&amp;$BI$1)</f>
        <v>0</v>
      </c>
      <c r="BA86" s="203">
        <f>SUMIFS(領用表!$L:$L,領用表!$E:$E,$B86,領用表!$B:$B,BA$2&amp;$BI$1)</f>
        <v>0</v>
      </c>
      <c r="BB86" s="203">
        <f>SUMIFS(領用表!$L:$L,領用表!$E:$E,$B86,領用表!$B:$B,BB$2&amp;$BI$1)</f>
        <v>0</v>
      </c>
      <c r="BC86" s="203">
        <f>SUMIFS(領用表!$L:$L,領用表!$E:$E,$B86,領用表!$B:$B,BC$2&amp;$BI$1)</f>
        <v>0</v>
      </c>
      <c r="BD86" s="208">
        <f>SUMIFS(領用表!$L:$L,領用表!$E:$E,$B86,領用表!$B:$B,BD$2&amp;$BI$1)</f>
        <v>0</v>
      </c>
      <c r="BE86" s="208">
        <f>SUMIFS(領用表!$L:$L,領用表!$E:$E,$B86,領用表!$B:$B,BE$2&amp;$BI$1)</f>
        <v>0</v>
      </c>
      <c r="BF86" s="208">
        <f>SUMIFS(領用表!$L:$L,領用表!$E:$E,$B86,領用表!$B:$B,BF$2&amp;$BI$1)</f>
        <v>0</v>
      </c>
      <c r="BG86" s="207">
        <f t="shared" si="18"/>
        <v>0</v>
      </c>
      <c r="BH86" s="207">
        <f t="shared" si="19"/>
        <v>0</v>
      </c>
      <c r="BI86" s="208">
        <f>SUMIFS(領用表!$L:$L,領用表!$E:$E,$B86,領用表!$B:$B,BI$2&amp;$BI$1)</f>
        <v>0</v>
      </c>
      <c r="BJ86" s="208">
        <f>SUMIFS(領用表!$L:$L,領用表!$E:$E,$B86,領用表!$B:$B,BJ$2&amp;$BI$1)</f>
        <v>0</v>
      </c>
      <c r="BK86" s="208">
        <f>SUMIFS(領用表!$L:$L,領用表!$E:$E,$B86,領用表!$B:$B,BK$2&amp;$BI$1)</f>
        <v>0</v>
      </c>
      <c r="BL86" s="208">
        <f>SUMIFS(領用表!$L:$L,領用表!$E:$E,$B86,領用表!$B:$B,BL$2&amp;$BI$1)</f>
        <v>0</v>
      </c>
      <c r="BM86" s="208">
        <f>SUMIFS(領用表!$L:$L,領用表!$E:$E,$B86,領用表!$B:$B,BM$2&amp;$BI$1)</f>
        <v>0</v>
      </c>
      <c r="BN86" s="208">
        <f>SUMIFS(領用表!$L:$L,領用表!$E:$E,$B86,領用表!$B:$B,BN$2&amp;$BI$1)</f>
        <v>0</v>
      </c>
      <c r="BO86" s="208">
        <f>SUMIFS(領用表!$L:$L,領用表!$E:$E,$B86,領用表!$B:$B,BO$2&amp;$BI$1)</f>
        <v>0</v>
      </c>
      <c r="BP86" s="208">
        <f>SUMIFS(領用表!$L:$L,領用表!$E:$E,$B86,領用表!$B:$B,BP$2&amp;$BI$1)</f>
        <v>0</v>
      </c>
      <c r="BQ86" s="208">
        <f>SUMIFS(領用表!$L:$L,領用表!$E:$E,$B86,領用表!$B:$B,BQ$2&amp;$BI$1)</f>
        <v>0</v>
      </c>
      <c r="BR86" s="208">
        <f>SUMIFS(領用表!$L:$L,領用表!$E:$E,$B86,領用表!$B:$B,BR$2&amp;$BI$1)</f>
        <v>0</v>
      </c>
      <c r="BS86" s="208">
        <f>SUMIFS(領用表!$L:$L,領用表!$E:$E,$B86,領用表!$B:$B,BS$2&amp;$BI$1)</f>
        <v>0</v>
      </c>
      <c r="BT86" s="208">
        <f>SUMIFS(領用表!$L:$L,領用表!$E:$E,$B86,領用表!$B:$B,BT$2&amp;$BI$1)</f>
        <v>0</v>
      </c>
      <c r="BU86" s="208">
        <f t="shared" si="16"/>
        <v>0</v>
      </c>
      <c r="BV86" s="208">
        <f t="shared" si="21"/>
        <v>0</v>
      </c>
      <c r="BW86" s="208">
        <f>SUMIF(Summary!B:B,B86,Summary!DT:DT)</f>
        <v>0</v>
      </c>
      <c r="BX86" s="384"/>
      <c r="BY86" s="340"/>
      <c r="BZ86" s="340"/>
      <c r="CA86" s="385"/>
      <c r="CB86" s="136"/>
      <c r="CC86" s="289"/>
      <c r="CE86" s="213"/>
    </row>
    <row r="87" spans="1:83" s="118" customFormat="1" ht="15.75" customHeight="1">
      <c r="A87" s="136" t="s">
        <v>642</v>
      </c>
      <c r="B87" s="118">
        <v>6200014</v>
      </c>
      <c r="C87" s="135" t="s">
        <v>505</v>
      </c>
      <c r="D87" s="285">
        <v>1</v>
      </c>
      <c r="E87" s="198" t="s">
        <v>823</v>
      </c>
      <c r="F87" s="349"/>
      <c r="G87" s="349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G87" s="201"/>
      <c r="AH87" s="201"/>
      <c r="AI87" s="201"/>
      <c r="AJ87" s="201"/>
      <c r="AK87" s="201"/>
      <c r="AL87" s="201"/>
      <c r="AM87" s="201"/>
      <c r="AN87" s="201"/>
      <c r="AO87" s="201"/>
      <c r="AP87" s="201"/>
      <c r="AQ87" s="201"/>
      <c r="AR87" s="201"/>
      <c r="AS87" s="283"/>
      <c r="AT87" s="286"/>
      <c r="AU87" s="201" t="s">
        <v>49</v>
      </c>
      <c r="AV87" s="201" t="s">
        <v>49</v>
      </c>
      <c r="AW87" s="201" t="s">
        <v>49</v>
      </c>
      <c r="AX87" s="201" t="s">
        <v>49</v>
      </c>
      <c r="AY87" s="201" t="s">
        <v>49</v>
      </c>
      <c r="AZ87" s="203">
        <f>SUMIFS(領用表!$L:$L,領用表!$E:$E,$B87,領用表!$B:$B,AZ$2&amp;$BI$1)</f>
        <v>0</v>
      </c>
      <c r="BA87" s="203">
        <f>SUMIFS(領用表!$L:$L,領用表!$E:$E,$B87,領用表!$B:$B,BA$2&amp;$BI$1)</f>
        <v>0</v>
      </c>
      <c r="BB87" s="203">
        <f>SUMIFS(領用表!$L:$L,領用表!$E:$E,$B87,領用表!$B:$B,BB$2&amp;$BI$1)</f>
        <v>0</v>
      </c>
      <c r="BC87" s="203">
        <f>SUMIFS(領用表!$L:$L,領用表!$E:$E,$B87,領用表!$B:$B,BC$2&amp;$BI$1)</f>
        <v>0</v>
      </c>
      <c r="BD87" s="208">
        <f>SUMIFS(領用表!$L:$L,領用表!$E:$E,$B87,領用表!$B:$B,BD$2&amp;$BI$1)</f>
        <v>0</v>
      </c>
      <c r="BE87" s="208">
        <f>SUMIFS(領用表!$L:$L,領用表!$E:$E,$B87,領用表!$B:$B,BE$2&amp;$BI$1)</f>
        <v>0</v>
      </c>
      <c r="BF87" s="208">
        <f>SUMIFS(領用表!$L:$L,領用表!$E:$E,$B87,領用表!$B:$B,BF$2&amp;$BI$1)</f>
        <v>0</v>
      </c>
      <c r="BG87" s="207">
        <f t="shared" si="18"/>
        <v>0</v>
      </c>
      <c r="BH87" s="207">
        <f t="shared" si="19"/>
        <v>0</v>
      </c>
      <c r="BI87" s="208">
        <f>SUMIFS(領用表!$L:$L,領用表!$E:$E,$B87,領用表!$B:$B,BI$2&amp;$BI$1)</f>
        <v>0</v>
      </c>
      <c r="BJ87" s="208">
        <f>SUMIFS(領用表!$L:$L,領用表!$E:$E,$B87,領用表!$B:$B,BJ$2&amp;$BI$1)</f>
        <v>0</v>
      </c>
      <c r="BK87" s="208">
        <f>SUMIFS(領用表!$L:$L,領用表!$E:$E,$B87,領用表!$B:$B,BK$2&amp;$BI$1)</f>
        <v>0</v>
      </c>
      <c r="BL87" s="208">
        <f>SUMIFS(領用表!$L:$L,領用表!$E:$E,$B87,領用表!$B:$B,BL$2&amp;$BI$1)</f>
        <v>0</v>
      </c>
      <c r="BM87" s="208">
        <f>SUMIFS(領用表!$L:$L,領用表!$E:$E,$B87,領用表!$B:$B,BM$2&amp;$BI$1)</f>
        <v>0</v>
      </c>
      <c r="BN87" s="208">
        <f>SUMIFS(領用表!$L:$L,領用表!$E:$E,$B87,領用表!$B:$B,BN$2&amp;$BI$1)</f>
        <v>0</v>
      </c>
      <c r="BO87" s="208">
        <f>SUMIFS(領用表!$L:$L,領用表!$E:$E,$B87,領用表!$B:$B,BO$2&amp;$BI$1)</f>
        <v>0</v>
      </c>
      <c r="BP87" s="208">
        <f>SUMIFS(領用表!$L:$L,領用表!$E:$E,$B87,領用表!$B:$B,BP$2&amp;$BI$1)</f>
        <v>0</v>
      </c>
      <c r="BQ87" s="208">
        <f>SUMIFS(領用表!$L:$L,領用表!$E:$E,$B87,領用表!$B:$B,BQ$2&amp;$BI$1)</f>
        <v>0</v>
      </c>
      <c r="BR87" s="208">
        <f>SUMIFS(領用表!$L:$L,領用表!$E:$E,$B87,領用表!$B:$B,BR$2&amp;$BI$1)</f>
        <v>0</v>
      </c>
      <c r="BS87" s="208">
        <f>SUMIFS(領用表!$L:$L,領用表!$E:$E,$B87,領用表!$B:$B,BS$2&amp;$BI$1)</f>
        <v>0</v>
      </c>
      <c r="BT87" s="208">
        <f>SUMIFS(領用表!$L:$L,領用表!$E:$E,$B87,領用表!$B:$B,BT$2&amp;$BI$1)</f>
        <v>0</v>
      </c>
      <c r="BU87" s="208">
        <f t="shared" si="16"/>
        <v>0</v>
      </c>
      <c r="BV87" s="208">
        <f t="shared" si="21"/>
        <v>0</v>
      </c>
      <c r="BW87" s="208">
        <f>SUMIF(Summary!B:B,B87,Summary!DT:DT)</f>
        <v>0</v>
      </c>
      <c r="BX87" s="384"/>
      <c r="BY87" s="340"/>
      <c r="BZ87" s="262"/>
      <c r="CA87" s="262" t="s">
        <v>150</v>
      </c>
      <c r="CB87" s="136"/>
      <c r="CC87" s="289"/>
      <c r="CE87" s="213"/>
    </row>
    <row r="88" spans="1:83" s="118" customFormat="1" ht="15.75" customHeight="1">
      <c r="A88" s="136" t="s">
        <v>643</v>
      </c>
      <c r="B88" s="118">
        <v>6200015</v>
      </c>
      <c r="C88" s="135" t="s">
        <v>506</v>
      </c>
      <c r="D88" s="285">
        <v>1</v>
      </c>
      <c r="E88" s="198" t="s">
        <v>823</v>
      </c>
      <c r="F88" s="349"/>
      <c r="G88" s="349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  <c r="AA88" s="283"/>
      <c r="AB88" s="283"/>
      <c r="AC88" s="283"/>
      <c r="AD88" s="283"/>
      <c r="AE88" s="283"/>
      <c r="AF88" s="283"/>
      <c r="AG88" s="201"/>
      <c r="AH88" s="201"/>
      <c r="AI88" s="201"/>
      <c r="AJ88" s="201"/>
      <c r="AK88" s="201"/>
      <c r="AL88" s="201"/>
      <c r="AM88" s="201"/>
      <c r="AN88" s="201"/>
      <c r="AO88" s="201"/>
      <c r="AP88" s="201"/>
      <c r="AQ88" s="201"/>
      <c r="AR88" s="201"/>
      <c r="AS88" s="283"/>
      <c r="AT88" s="286"/>
      <c r="AU88" s="201"/>
      <c r="AV88" s="201"/>
      <c r="AW88" s="201"/>
      <c r="AX88" s="201"/>
      <c r="AY88" s="201"/>
      <c r="AZ88" s="203">
        <f>SUMIFS(領用表!$L:$L,領用表!$E:$E,$B88,領用表!$B:$B,AZ$2&amp;$BI$1)</f>
        <v>0</v>
      </c>
      <c r="BA88" s="203">
        <f>SUMIFS(領用表!$L:$L,領用表!$E:$E,$B88,領用表!$B:$B,BA$2&amp;$BI$1)</f>
        <v>0</v>
      </c>
      <c r="BB88" s="203">
        <f>SUMIFS(領用表!$L:$L,領用表!$E:$E,$B88,領用表!$B:$B,BB$2&amp;$BI$1)</f>
        <v>0</v>
      </c>
      <c r="BC88" s="203">
        <f>SUMIFS(領用表!$L:$L,領用表!$E:$E,$B88,領用表!$B:$B,BC$2&amp;$BI$1)</f>
        <v>0</v>
      </c>
      <c r="BD88" s="208">
        <f>SUMIFS(領用表!$L:$L,領用表!$E:$E,$B88,領用表!$B:$B,BD$2&amp;$BI$1)</f>
        <v>0</v>
      </c>
      <c r="BE88" s="208">
        <f>SUMIFS(領用表!$L:$L,領用表!$E:$E,$B88,領用表!$B:$B,BE$2&amp;$BI$1)</f>
        <v>0</v>
      </c>
      <c r="BF88" s="208">
        <f>SUMIFS(領用表!$L:$L,領用表!$E:$E,$B88,領用表!$B:$B,BF$2&amp;$BI$1)</f>
        <v>0</v>
      </c>
      <c r="BG88" s="207">
        <f t="shared" si="18"/>
        <v>0</v>
      </c>
      <c r="BH88" s="207">
        <f t="shared" si="19"/>
        <v>0</v>
      </c>
      <c r="BI88" s="208">
        <f>SUMIFS(領用表!$L:$L,領用表!$E:$E,$B88,領用表!$B:$B,BI$2&amp;$BI$1)</f>
        <v>0</v>
      </c>
      <c r="BJ88" s="208">
        <f>SUMIFS(領用表!$L:$L,領用表!$E:$E,$B88,領用表!$B:$B,BJ$2&amp;$BI$1)</f>
        <v>0</v>
      </c>
      <c r="BK88" s="208">
        <f>SUMIFS(領用表!$L:$L,領用表!$E:$E,$B88,領用表!$B:$B,BK$2&amp;$BI$1)</f>
        <v>0</v>
      </c>
      <c r="BL88" s="208">
        <f>SUMIFS(領用表!$L:$L,領用表!$E:$E,$B88,領用表!$B:$B,BL$2&amp;$BI$1)</f>
        <v>0</v>
      </c>
      <c r="BM88" s="208">
        <f>SUMIFS(領用表!$L:$L,領用表!$E:$E,$B88,領用表!$B:$B,BM$2&amp;$BI$1)</f>
        <v>0</v>
      </c>
      <c r="BN88" s="208">
        <f>SUMIFS(領用表!$L:$L,領用表!$E:$E,$B88,領用表!$B:$B,BN$2&amp;$BI$1)</f>
        <v>0</v>
      </c>
      <c r="BO88" s="208">
        <f>SUMIFS(領用表!$L:$L,領用表!$E:$E,$B88,領用表!$B:$B,BO$2&amp;$BI$1)</f>
        <v>0</v>
      </c>
      <c r="BP88" s="208">
        <f>SUMIFS(領用表!$L:$L,領用表!$E:$E,$B88,領用表!$B:$B,BP$2&amp;$BI$1)</f>
        <v>0</v>
      </c>
      <c r="BQ88" s="208">
        <f>SUMIFS(領用表!$L:$L,領用表!$E:$E,$B88,領用表!$B:$B,BQ$2&amp;$BI$1)</f>
        <v>0</v>
      </c>
      <c r="BR88" s="208">
        <f>SUMIFS(領用表!$L:$L,領用表!$E:$E,$B88,領用表!$B:$B,BR$2&amp;$BI$1)</f>
        <v>0</v>
      </c>
      <c r="BS88" s="208">
        <f>SUMIFS(領用表!$L:$L,領用表!$E:$E,$B88,領用表!$B:$B,BS$2&amp;$BI$1)</f>
        <v>0</v>
      </c>
      <c r="BT88" s="208">
        <f>SUMIFS(領用表!$L:$L,領用表!$E:$E,$B88,領用表!$B:$B,BT$2&amp;$BI$1)</f>
        <v>0</v>
      </c>
      <c r="BU88" s="208">
        <f t="shared" si="16"/>
        <v>0</v>
      </c>
      <c r="BV88" s="208">
        <f t="shared" si="21"/>
        <v>0</v>
      </c>
      <c r="BW88" s="208">
        <f>SUMIF(Summary!B:B,B88,Summary!DT:DT)</f>
        <v>0</v>
      </c>
      <c r="BX88" s="384"/>
      <c r="BY88" s="340"/>
      <c r="BZ88" s="340"/>
      <c r="CA88" s="340" t="s">
        <v>150</v>
      </c>
      <c r="CB88" s="136"/>
      <c r="CC88" s="289"/>
      <c r="CE88" s="213"/>
    </row>
    <row r="89" spans="1:83" s="118" customFormat="1" ht="15.75" customHeight="1">
      <c r="A89" s="136" t="s">
        <v>644</v>
      </c>
      <c r="B89" s="118">
        <v>6200016</v>
      </c>
      <c r="C89" s="135" t="s">
        <v>507</v>
      </c>
      <c r="D89" s="285">
        <v>1</v>
      </c>
      <c r="E89" s="198" t="s">
        <v>823</v>
      </c>
      <c r="F89" s="349"/>
      <c r="G89" s="349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83"/>
      <c r="AB89" s="283"/>
      <c r="AC89" s="283"/>
      <c r="AD89" s="283"/>
      <c r="AE89" s="283"/>
      <c r="AF89" s="283"/>
      <c r="AG89" s="201"/>
      <c r="AH89" s="201"/>
      <c r="AI89" s="201"/>
      <c r="AJ89" s="201"/>
      <c r="AK89" s="201"/>
      <c r="AL89" s="201"/>
      <c r="AM89" s="201"/>
      <c r="AN89" s="201"/>
      <c r="AO89" s="201"/>
      <c r="AP89" s="201"/>
      <c r="AQ89" s="201"/>
      <c r="AR89" s="201"/>
      <c r="AS89" s="283"/>
      <c r="AT89" s="286"/>
      <c r="AU89" s="201" t="s">
        <v>49</v>
      </c>
      <c r="AV89" s="201" t="s">
        <v>49</v>
      </c>
      <c r="AW89" s="201" t="s">
        <v>49</v>
      </c>
      <c r="AX89" s="201" t="s">
        <v>49</v>
      </c>
      <c r="AY89" s="201" t="s">
        <v>49</v>
      </c>
      <c r="AZ89" s="203">
        <f>SUMIFS(領用表!$L:$L,領用表!$E:$E,$B89,領用表!$B:$B,AZ$2&amp;$BI$1)</f>
        <v>0</v>
      </c>
      <c r="BA89" s="203">
        <f>SUMIFS(領用表!$L:$L,領用表!$E:$E,$B89,領用表!$B:$B,BA$2&amp;$BI$1)</f>
        <v>0</v>
      </c>
      <c r="BB89" s="203">
        <f>SUMIFS(領用表!$L:$L,領用表!$E:$E,$B89,領用表!$B:$B,BB$2&amp;$BI$1)</f>
        <v>0</v>
      </c>
      <c r="BC89" s="203">
        <f>SUMIFS(領用表!$L:$L,領用表!$E:$E,$B89,領用表!$B:$B,BC$2&amp;$BI$1)</f>
        <v>0</v>
      </c>
      <c r="BD89" s="208">
        <f>SUMIFS(領用表!$L:$L,領用表!$E:$E,$B89,領用表!$B:$B,BD$2&amp;$BI$1)</f>
        <v>0</v>
      </c>
      <c r="BE89" s="208">
        <f>SUMIFS(領用表!$L:$L,領用表!$E:$E,$B89,領用表!$B:$B,BE$2&amp;$BI$1)</f>
        <v>0</v>
      </c>
      <c r="BF89" s="208">
        <f>SUMIFS(領用表!$L:$L,領用表!$E:$E,$B89,領用表!$B:$B,BF$2&amp;$BI$1)</f>
        <v>0</v>
      </c>
      <c r="BG89" s="207">
        <f t="shared" si="18"/>
        <v>0</v>
      </c>
      <c r="BH89" s="207">
        <f t="shared" si="19"/>
        <v>0</v>
      </c>
      <c r="BI89" s="208">
        <f>SUMIFS(領用表!$L:$L,領用表!$E:$E,$B89,領用表!$B:$B,BI$2&amp;$BI$1)</f>
        <v>0</v>
      </c>
      <c r="BJ89" s="208">
        <f>SUMIFS(領用表!$L:$L,領用表!$E:$E,$B89,領用表!$B:$B,BJ$2&amp;$BI$1)</f>
        <v>0</v>
      </c>
      <c r="BK89" s="208">
        <f>SUMIFS(領用表!$L:$L,領用表!$E:$E,$B89,領用表!$B:$B,BK$2&amp;$BI$1)</f>
        <v>0</v>
      </c>
      <c r="BL89" s="208">
        <f>SUMIFS(領用表!$L:$L,領用表!$E:$E,$B89,領用表!$B:$B,BL$2&amp;$BI$1)</f>
        <v>0</v>
      </c>
      <c r="BM89" s="208">
        <f>SUMIFS(領用表!$L:$L,領用表!$E:$E,$B89,領用表!$B:$B,BM$2&amp;$BI$1)</f>
        <v>0</v>
      </c>
      <c r="BN89" s="208">
        <f>SUMIFS(領用表!$L:$L,領用表!$E:$E,$B89,領用表!$B:$B,BN$2&amp;$BI$1)</f>
        <v>0</v>
      </c>
      <c r="BO89" s="208">
        <f>SUMIFS(領用表!$L:$L,領用表!$E:$E,$B89,領用表!$B:$B,BO$2&amp;$BI$1)</f>
        <v>0</v>
      </c>
      <c r="BP89" s="208">
        <f>SUMIFS(領用表!$L:$L,領用表!$E:$E,$B89,領用表!$B:$B,BP$2&amp;$BI$1)</f>
        <v>0</v>
      </c>
      <c r="BQ89" s="208">
        <f>SUMIFS(領用表!$L:$L,領用表!$E:$E,$B89,領用表!$B:$B,BQ$2&amp;$BI$1)</f>
        <v>0</v>
      </c>
      <c r="BR89" s="208">
        <f>SUMIFS(領用表!$L:$L,領用表!$E:$E,$B89,領用表!$B:$B,BR$2&amp;$BI$1)</f>
        <v>0</v>
      </c>
      <c r="BS89" s="208">
        <f>SUMIFS(領用表!$L:$L,領用表!$E:$E,$B89,領用表!$B:$B,BS$2&amp;$BI$1)</f>
        <v>0</v>
      </c>
      <c r="BT89" s="208">
        <f>SUMIFS(領用表!$L:$L,領用表!$E:$E,$B89,領用表!$B:$B,BT$2&amp;$BI$1)</f>
        <v>0</v>
      </c>
      <c r="BU89" s="208">
        <f t="shared" si="16"/>
        <v>0</v>
      </c>
      <c r="BV89" s="208">
        <f t="shared" si="21"/>
        <v>0</v>
      </c>
      <c r="BW89" s="208">
        <f>SUMIF(Summary!B:B,B89,Summary!DT:DT)</f>
        <v>0</v>
      </c>
      <c r="BX89" s="384"/>
      <c r="BY89" s="340"/>
      <c r="BZ89" s="262"/>
      <c r="CA89" s="262" t="s">
        <v>829</v>
      </c>
      <c r="CB89" s="136"/>
      <c r="CC89" s="289"/>
      <c r="CE89" s="213"/>
    </row>
    <row r="90" spans="1:83" s="118" customFormat="1" ht="15.75" customHeight="1">
      <c r="A90" s="136" t="s">
        <v>152</v>
      </c>
      <c r="B90" s="118">
        <v>6120001</v>
      </c>
      <c r="C90" s="118" t="s">
        <v>633</v>
      </c>
      <c r="D90" s="285">
        <v>20</v>
      </c>
      <c r="E90" s="198" t="s">
        <v>15</v>
      </c>
      <c r="F90" s="349"/>
      <c r="G90" s="349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283"/>
      <c r="AB90" s="283"/>
      <c r="AC90" s="283"/>
      <c r="AD90" s="283"/>
      <c r="AE90" s="283"/>
      <c r="AF90" s="283"/>
      <c r="AG90" s="201">
        <v>40</v>
      </c>
      <c r="AH90" s="201">
        <v>31</v>
      </c>
      <c r="AI90" s="201">
        <v>28</v>
      </c>
      <c r="AJ90" s="201">
        <v>47</v>
      </c>
      <c r="AK90" s="201">
        <v>74</v>
      </c>
      <c r="AL90" s="201">
        <v>82</v>
      </c>
      <c r="AM90" s="201">
        <v>94</v>
      </c>
      <c r="AN90" s="201">
        <v>150</v>
      </c>
      <c r="AO90" s="201">
        <v>286</v>
      </c>
      <c r="AP90" s="201">
        <v>262</v>
      </c>
      <c r="AQ90" s="201">
        <v>257</v>
      </c>
      <c r="AR90" s="201">
        <v>283</v>
      </c>
      <c r="AS90" s="283">
        <f t="shared" ref="AS90:AS135" si="23">SUM(AG90:AR90)</f>
        <v>1634</v>
      </c>
      <c r="AT90" s="286">
        <f t="shared" ref="AT90:AT135" si="24">AS90/12</f>
        <v>136.16666666666666</v>
      </c>
      <c r="AU90" s="201">
        <v>250</v>
      </c>
      <c r="AV90" s="201">
        <v>33</v>
      </c>
      <c r="AW90" s="201">
        <v>299</v>
      </c>
      <c r="AX90" s="201">
        <v>390</v>
      </c>
      <c r="AY90" s="201">
        <f>2+364</f>
        <v>366</v>
      </c>
      <c r="AZ90" s="203">
        <f>SUMIFS(領用表!$L:$L,領用表!$E:$E,$B90,領用表!$B:$B,AZ$2&amp;$BI$1)</f>
        <v>0</v>
      </c>
      <c r="BA90" s="203">
        <f>SUMIFS(領用表!$L:$L,領用表!$E:$E,$B90,領用表!$B:$B,BA$2&amp;$BI$1)</f>
        <v>1</v>
      </c>
      <c r="BB90" s="203">
        <f>SUMIFS(領用表!$L:$L,領用表!$E:$E,$B90,領用表!$B:$B,BB$2&amp;$BI$1)</f>
        <v>0</v>
      </c>
      <c r="BC90" s="203">
        <f>SUMIFS(領用表!$L:$L,領用表!$E:$E,$B90,領用表!$B:$B,BC$2&amp;$BI$1)</f>
        <v>0</v>
      </c>
      <c r="BD90" s="208">
        <f>SUMIFS(領用表!$L:$L,領用表!$E:$E,$B90,領用表!$B:$B,BD$2&amp;$BI$1)</f>
        <v>0</v>
      </c>
      <c r="BE90" s="208">
        <f>SUMIFS(領用表!$L:$L,領用表!$E:$E,$B90,領用表!$B:$B,BE$2&amp;$BI$1)</f>
        <v>0</v>
      </c>
      <c r="BF90" s="208">
        <f>SUMIFS(領用表!$L:$L,領用表!$E:$E,$B90,領用表!$B:$B,BF$2&amp;$BI$1)</f>
        <v>0</v>
      </c>
      <c r="BG90" s="207">
        <f t="shared" si="18"/>
        <v>1339</v>
      </c>
      <c r="BH90" s="207">
        <f t="shared" si="19"/>
        <v>111.58333333333333</v>
      </c>
      <c r="BI90" s="208">
        <f>SUMIFS(領用表!$L:$L,領用表!$E:$E,$B90,領用表!$B:$B,BI$2&amp;$BI$1)</f>
        <v>0</v>
      </c>
      <c r="BJ90" s="208">
        <f>SUMIFS(領用表!$L:$L,領用表!$E:$E,$B90,領用表!$B:$B,BJ$2&amp;$BI$1)</f>
        <v>0</v>
      </c>
      <c r="BK90" s="208">
        <f>SUMIFS(領用表!$L:$L,領用表!$E:$E,$B90,領用表!$B:$B,BK$2&amp;$BI$1)</f>
        <v>0</v>
      </c>
      <c r="BL90" s="208">
        <f>SUMIFS(領用表!$L:$L,領用表!$E:$E,$B90,領用表!$B:$B,BL$2&amp;$BI$1)</f>
        <v>0</v>
      </c>
      <c r="BM90" s="208">
        <f>SUMIFS(領用表!$L:$L,領用表!$E:$E,$B90,領用表!$B:$B,BM$2&amp;$BI$1)</f>
        <v>0</v>
      </c>
      <c r="BN90" s="208">
        <f>SUMIFS(領用表!$L:$L,領用表!$E:$E,$B90,領用表!$B:$B,BN$2&amp;$BI$1)</f>
        <v>0</v>
      </c>
      <c r="BO90" s="208">
        <f>SUMIFS(領用表!$L:$L,領用表!$E:$E,$B90,領用表!$B:$B,BO$2&amp;$BI$1)</f>
        <v>0</v>
      </c>
      <c r="BP90" s="208">
        <f>SUMIFS(領用表!$L:$L,領用表!$E:$E,$B90,領用表!$B:$B,BP$2&amp;$BI$1)</f>
        <v>0</v>
      </c>
      <c r="BQ90" s="208">
        <f>SUMIFS(領用表!$L:$L,領用表!$E:$E,$B90,領用表!$B:$B,BQ$2&amp;$BI$1)</f>
        <v>0</v>
      </c>
      <c r="BR90" s="208">
        <f>SUMIFS(領用表!$L:$L,領用表!$E:$E,$B90,領用表!$B:$B,BR$2&amp;$BI$1)</f>
        <v>0</v>
      </c>
      <c r="BS90" s="208">
        <f>SUMIFS(領用表!$L:$L,領用表!$E:$E,$B90,領用表!$B:$B,BS$2&amp;$BI$1)</f>
        <v>0</v>
      </c>
      <c r="BT90" s="208">
        <f>SUMIFS(領用表!$L:$L,領用表!$E:$E,$B90,領用表!$B:$B,BT$2&amp;$BI$1)</f>
        <v>0</v>
      </c>
      <c r="BU90" s="208">
        <f t="shared" si="16"/>
        <v>0</v>
      </c>
      <c r="BV90" s="208">
        <f t="shared" si="21"/>
        <v>0</v>
      </c>
      <c r="BW90" s="208">
        <f>SUMIF(Summary!B:B,B90,Summary!DT:DT)</f>
        <v>0</v>
      </c>
      <c r="BX90" s="384"/>
      <c r="BY90" s="340"/>
      <c r="BZ90" s="340" t="s">
        <v>153</v>
      </c>
      <c r="CA90" s="340" t="s">
        <v>154</v>
      </c>
      <c r="CB90" s="136"/>
      <c r="CC90" s="289"/>
      <c r="CE90" s="213"/>
    </row>
    <row r="91" spans="1:83" s="118" customFormat="1" ht="15.75" customHeight="1">
      <c r="A91" s="136" t="s">
        <v>155</v>
      </c>
      <c r="B91" s="118">
        <v>6120002</v>
      </c>
      <c r="C91" s="118" t="s">
        <v>634</v>
      </c>
      <c r="D91" s="285">
        <v>20</v>
      </c>
      <c r="E91" s="198" t="s">
        <v>15</v>
      </c>
      <c r="F91" s="349"/>
      <c r="G91" s="349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83"/>
      <c r="AB91" s="283"/>
      <c r="AC91" s="283"/>
      <c r="AD91" s="283"/>
      <c r="AE91" s="283"/>
      <c r="AF91" s="283"/>
      <c r="AG91" s="201">
        <v>40</v>
      </c>
      <c r="AH91" s="201">
        <v>31</v>
      </c>
      <c r="AI91" s="201">
        <v>29</v>
      </c>
      <c r="AJ91" s="201">
        <v>48</v>
      </c>
      <c r="AK91" s="201">
        <v>74</v>
      </c>
      <c r="AL91" s="201">
        <v>84</v>
      </c>
      <c r="AM91" s="201">
        <v>105</v>
      </c>
      <c r="AN91" s="201">
        <v>160</v>
      </c>
      <c r="AO91" s="201">
        <v>304</v>
      </c>
      <c r="AP91" s="201">
        <v>288.5</v>
      </c>
      <c r="AQ91" s="201">
        <v>306</v>
      </c>
      <c r="AR91" s="201">
        <v>362.5</v>
      </c>
      <c r="AS91" s="283">
        <f t="shared" si="23"/>
        <v>1832</v>
      </c>
      <c r="AT91" s="286">
        <f t="shared" si="24"/>
        <v>152.66666666666666</v>
      </c>
      <c r="AU91" s="201">
        <v>359.5</v>
      </c>
      <c r="AV91" s="201">
        <v>165</v>
      </c>
      <c r="AW91" s="201">
        <v>419.5</v>
      </c>
      <c r="AX91" s="201">
        <v>490</v>
      </c>
      <c r="AY91" s="201">
        <f>2+478</f>
        <v>480</v>
      </c>
      <c r="AZ91" s="203">
        <f>SUMIFS(領用表!$L:$L,領用表!$E:$E,$B91,領用表!$B:$B,AZ$2&amp;$BI$1)</f>
        <v>0.5</v>
      </c>
      <c r="BA91" s="203">
        <f>SUMIFS(領用表!$L:$L,領用表!$E:$E,$B91,領用表!$B:$B,BA$2&amp;$BI$1)</f>
        <v>1</v>
      </c>
      <c r="BB91" s="203">
        <f>SUMIFS(領用表!$L:$L,領用表!$E:$E,$B91,領用表!$B:$B,BB$2&amp;$BI$1)</f>
        <v>0</v>
      </c>
      <c r="BC91" s="203">
        <f>SUMIFS(領用表!$L:$L,領用表!$E:$E,$B91,領用表!$B:$B,BC$2&amp;$BI$1)</f>
        <v>0</v>
      </c>
      <c r="BD91" s="208">
        <f>SUMIFS(領用表!$L:$L,領用表!$E:$E,$B91,領用表!$B:$B,BD$2&amp;$BI$1)</f>
        <v>0</v>
      </c>
      <c r="BE91" s="208">
        <f>SUMIFS(領用表!$L:$L,領用表!$E:$E,$B91,領用表!$B:$B,BE$2&amp;$BI$1)</f>
        <v>0</v>
      </c>
      <c r="BF91" s="208">
        <f>SUMIFS(領用表!$L:$L,領用表!$E:$E,$B91,領用表!$B:$B,BF$2&amp;$BI$1)</f>
        <v>0</v>
      </c>
      <c r="BG91" s="207">
        <f t="shared" si="18"/>
        <v>1915.5</v>
      </c>
      <c r="BH91" s="207">
        <f t="shared" si="19"/>
        <v>159.625</v>
      </c>
      <c r="BI91" s="208">
        <f>SUMIFS(領用表!$L:$L,領用表!$E:$E,$B91,領用表!$B:$B,BI$2&amp;$BI$1)</f>
        <v>0</v>
      </c>
      <c r="BJ91" s="208">
        <f>SUMIFS(領用表!$L:$L,領用表!$E:$E,$B91,領用表!$B:$B,BJ$2&amp;$BI$1)</f>
        <v>0</v>
      </c>
      <c r="BK91" s="208">
        <f>SUMIFS(領用表!$L:$L,領用表!$E:$E,$B91,領用表!$B:$B,BK$2&amp;$BI$1)</f>
        <v>0</v>
      </c>
      <c r="BL91" s="208">
        <f>SUMIFS(領用表!$L:$L,領用表!$E:$E,$B91,領用表!$B:$B,BL$2&amp;$BI$1)</f>
        <v>0</v>
      </c>
      <c r="BM91" s="208">
        <f>SUMIFS(領用表!$L:$L,領用表!$E:$E,$B91,領用表!$B:$B,BM$2&amp;$BI$1)</f>
        <v>0</v>
      </c>
      <c r="BN91" s="208">
        <f>SUMIFS(領用表!$L:$L,領用表!$E:$E,$B91,領用表!$B:$B,BN$2&amp;$BI$1)</f>
        <v>0</v>
      </c>
      <c r="BO91" s="208">
        <f>SUMIFS(領用表!$L:$L,領用表!$E:$E,$B91,領用表!$B:$B,BO$2&amp;$BI$1)</f>
        <v>0</v>
      </c>
      <c r="BP91" s="208">
        <f>SUMIFS(領用表!$L:$L,領用表!$E:$E,$B91,領用表!$B:$B,BP$2&amp;$BI$1)</f>
        <v>0</v>
      </c>
      <c r="BQ91" s="208">
        <f>SUMIFS(領用表!$L:$L,領用表!$E:$E,$B91,領用表!$B:$B,BQ$2&amp;$BI$1)</f>
        <v>0</v>
      </c>
      <c r="BR91" s="208">
        <f>SUMIFS(領用表!$L:$L,領用表!$E:$E,$B91,領用表!$B:$B,BR$2&amp;$BI$1)</f>
        <v>0</v>
      </c>
      <c r="BS91" s="208">
        <f>SUMIFS(領用表!$L:$L,領用表!$E:$E,$B91,領用表!$B:$B,BS$2&amp;$BI$1)</f>
        <v>0</v>
      </c>
      <c r="BT91" s="208">
        <f>SUMIFS(領用表!$L:$L,領用表!$E:$E,$B91,領用表!$B:$B,BT$2&amp;$BI$1)</f>
        <v>0</v>
      </c>
      <c r="BU91" s="208">
        <f t="shared" si="16"/>
        <v>0</v>
      </c>
      <c r="BV91" s="208">
        <f t="shared" si="21"/>
        <v>0</v>
      </c>
      <c r="BW91" s="208">
        <f>SUMIF(Summary!B:B,B91,Summary!DT:DT)</f>
        <v>0</v>
      </c>
      <c r="BX91" s="384"/>
      <c r="BY91" s="340"/>
      <c r="BZ91" s="340" t="s">
        <v>153</v>
      </c>
      <c r="CA91" s="340" t="s">
        <v>156</v>
      </c>
      <c r="CB91" s="136"/>
      <c r="CC91" s="289"/>
      <c r="CE91" s="213"/>
    </row>
    <row r="92" spans="1:83" s="118" customFormat="1" ht="15.75" customHeight="1">
      <c r="A92" s="136" t="s">
        <v>648</v>
      </c>
      <c r="B92" s="118">
        <v>6120003</v>
      </c>
      <c r="C92" s="118" t="s">
        <v>833</v>
      </c>
      <c r="D92" s="285">
        <v>10</v>
      </c>
      <c r="E92" s="198" t="s">
        <v>15</v>
      </c>
      <c r="F92" s="349">
        <v>37</v>
      </c>
      <c r="G92" s="349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83"/>
      <c r="AB92" s="283"/>
      <c r="AC92" s="283"/>
      <c r="AD92" s="283"/>
      <c r="AE92" s="283"/>
      <c r="AF92" s="283"/>
      <c r="AG92" s="201">
        <v>3</v>
      </c>
      <c r="AH92" s="201">
        <v>2</v>
      </c>
      <c r="AI92" s="201">
        <v>0</v>
      </c>
      <c r="AJ92" s="201">
        <v>4</v>
      </c>
      <c r="AK92" s="201">
        <v>5</v>
      </c>
      <c r="AL92" s="201">
        <v>5</v>
      </c>
      <c r="AM92" s="201">
        <v>5</v>
      </c>
      <c r="AN92" s="201">
        <v>8</v>
      </c>
      <c r="AO92" s="201">
        <v>12</v>
      </c>
      <c r="AP92" s="201">
        <v>3</v>
      </c>
      <c r="AQ92" s="201">
        <v>4</v>
      </c>
      <c r="AR92" s="201">
        <v>9</v>
      </c>
      <c r="AS92" s="283">
        <f t="shared" si="23"/>
        <v>60</v>
      </c>
      <c r="AT92" s="286">
        <f t="shared" si="24"/>
        <v>5</v>
      </c>
      <c r="AU92" s="201">
        <v>0</v>
      </c>
      <c r="AV92" s="201">
        <v>1</v>
      </c>
      <c r="AW92" s="201">
        <v>7</v>
      </c>
      <c r="AX92" s="201">
        <v>5</v>
      </c>
      <c r="AY92" s="201">
        <f>0+3</f>
        <v>3</v>
      </c>
      <c r="AZ92" s="203">
        <f>SUMIFS(領用表!$L:$L,領用表!$E:$E,$B92,領用表!$B:$B,AZ$2&amp;$BI$1)</f>
        <v>3</v>
      </c>
      <c r="BA92" s="203">
        <f>SUMIFS(領用表!$L:$L,領用表!$E:$E,$B92,領用表!$B:$B,BA$2&amp;$BI$1)</f>
        <v>0</v>
      </c>
      <c r="BB92" s="203">
        <f>SUMIFS(領用表!$L:$L,領用表!$E:$E,$B92,領用表!$B:$B,BB$2&amp;$BI$1)</f>
        <v>1</v>
      </c>
      <c r="BC92" s="203">
        <f>SUMIFS(領用表!$L:$L,領用表!$E:$E,$B92,領用表!$B:$B,BC$2&amp;$BI$1)</f>
        <v>0</v>
      </c>
      <c r="BD92" s="208">
        <f>SUMIFS(領用表!$L:$L,領用表!$E:$E,$B92,領用表!$B:$B,BD$2&amp;$BI$1)</f>
        <v>5</v>
      </c>
      <c r="BE92" s="208">
        <f>SUMIFS(領用表!$L:$L,領用表!$E:$E,$B92,領用表!$B:$B,BE$2&amp;$BI$1)</f>
        <v>12</v>
      </c>
      <c r="BF92" s="208">
        <f>SUMIFS(領用表!$L:$L,領用表!$E:$E,$B92,領用表!$B:$B,BF$2&amp;$BI$1)</f>
        <v>14</v>
      </c>
      <c r="BG92" s="207">
        <f t="shared" si="18"/>
        <v>51</v>
      </c>
      <c r="BH92" s="207">
        <f t="shared" si="19"/>
        <v>4.25</v>
      </c>
      <c r="BI92" s="208">
        <f>SUMIFS(領用表!$L:$L,領用表!$E:$E,$B92,領用表!$B:$B,BI$2&amp;$BI$1)</f>
        <v>3</v>
      </c>
      <c r="BJ92" s="208">
        <f>SUMIFS(領用表!$L:$L,領用表!$E:$E,$B92,領用表!$B:$B,BJ$2&amp;$BI$1)</f>
        <v>1</v>
      </c>
      <c r="BK92" s="208">
        <f>SUMIFS(領用表!$L:$L,領用表!$E:$E,$B92,領用表!$B:$B,BK$2&amp;$BI$1)</f>
        <v>2</v>
      </c>
      <c r="BL92" s="208">
        <f>SUMIFS(領用表!$L:$L,領用表!$E:$E,$B92,領用表!$B:$B,BL$2&amp;$BI$1)</f>
        <v>0</v>
      </c>
      <c r="BM92" s="208">
        <f>SUMIFS(領用表!$L:$L,領用表!$E:$E,$B92,領用表!$B:$B,BM$2&amp;$BI$1)</f>
        <v>0</v>
      </c>
      <c r="BN92" s="208">
        <f>SUMIFS(領用表!$L:$L,領用表!$E:$E,$B92,領用表!$B:$B,BN$2&amp;$BI$1)</f>
        <v>0</v>
      </c>
      <c r="BO92" s="208">
        <f>SUMIFS(領用表!$L:$L,領用表!$E:$E,$B92,領用表!$B:$B,BO$2&amp;$BI$1)</f>
        <v>0</v>
      </c>
      <c r="BP92" s="208">
        <f>SUMIFS(領用表!$L:$L,領用表!$E:$E,$B92,領用表!$B:$B,BP$2&amp;$BI$1)</f>
        <v>0</v>
      </c>
      <c r="BQ92" s="208">
        <f>SUMIFS(領用表!$L:$L,領用表!$E:$E,$B92,領用表!$B:$B,BQ$2&amp;$BI$1)</f>
        <v>0</v>
      </c>
      <c r="BR92" s="208">
        <f>SUMIFS(領用表!$L:$L,領用表!$E:$E,$B92,領用表!$B:$B,BR$2&amp;$BI$1)</f>
        <v>0</v>
      </c>
      <c r="BS92" s="208">
        <f>SUMIFS(領用表!$L:$L,領用表!$E:$E,$B92,領用表!$B:$B,BS$2&amp;$BI$1)</f>
        <v>0</v>
      </c>
      <c r="BT92" s="208">
        <f>SUMIFS(領用表!$L:$L,領用表!$E:$E,$B92,領用表!$B:$B,BT$2&amp;$BI$1)</f>
        <v>0</v>
      </c>
      <c r="BU92" s="208">
        <f t="shared" si="16"/>
        <v>6</v>
      </c>
      <c r="BV92" s="208">
        <f t="shared" si="21"/>
        <v>1.2</v>
      </c>
      <c r="BW92" s="208">
        <f>SUMIF(Summary!B:B,B92,Summary!DT:DT)</f>
        <v>5</v>
      </c>
      <c r="BX92" s="384"/>
      <c r="BY92" s="340"/>
      <c r="BZ92" s="340"/>
      <c r="CA92" s="340"/>
      <c r="CB92" s="136"/>
      <c r="CC92" s="289"/>
      <c r="CE92" s="213"/>
    </row>
    <row r="93" spans="1:83" s="118" customFormat="1" ht="15.75" customHeight="1">
      <c r="A93" s="136" t="s">
        <v>649</v>
      </c>
      <c r="B93" s="118">
        <v>6120036</v>
      </c>
      <c r="C93" s="118" t="s">
        <v>834</v>
      </c>
      <c r="D93" s="285">
        <v>10</v>
      </c>
      <c r="E93" s="198" t="s">
        <v>15</v>
      </c>
      <c r="F93" s="349"/>
      <c r="G93" s="349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  <c r="AA93" s="283"/>
      <c r="AB93" s="283"/>
      <c r="AC93" s="283"/>
      <c r="AD93" s="283"/>
      <c r="AE93" s="283"/>
      <c r="AF93" s="283"/>
      <c r="AG93" s="201"/>
      <c r="AH93" s="201"/>
      <c r="AI93" s="201"/>
      <c r="AJ93" s="201"/>
      <c r="AK93" s="201"/>
      <c r="AL93" s="201"/>
      <c r="AM93" s="201"/>
      <c r="AN93" s="201"/>
      <c r="AO93" s="201"/>
      <c r="AP93" s="201"/>
      <c r="AQ93" s="201"/>
      <c r="AR93" s="201"/>
      <c r="AS93" s="283"/>
      <c r="AT93" s="286"/>
      <c r="AU93" s="201"/>
      <c r="AV93" s="201"/>
      <c r="AW93" s="201"/>
      <c r="AX93" s="201"/>
      <c r="AY93" s="201"/>
      <c r="AZ93" s="203"/>
      <c r="BA93" s="203"/>
      <c r="BB93" s="203"/>
      <c r="BC93" s="203"/>
      <c r="BD93" s="208">
        <f>SUMIFS(領用表!$L:$L,領用表!$E:$E,$B93,領用表!$B:$B,BD$2&amp;$BI$1)</f>
        <v>0</v>
      </c>
      <c r="BE93" s="208">
        <f>SUMIFS(領用表!$L:$L,領用表!$E:$E,$B93,領用表!$B:$B,BE$2&amp;$BI$1)</f>
        <v>0</v>
      </c>
      <c r="BF93" s="208">
        <f>SUMIFS(領用表!$L:$L,領用表!$E:$E,$B93,領用表!$B:$B,BF$2&amp;$BI$1)</f>
        <v>15</v>
      </c>
      <c r="BG93" s="207">
        <f t="shared" si="18"/>
        <v>15</v>
      </c>
      <c r="BH93" s="207">
        <f t="shared" si="19"/>
        <v>5</v>
      </c>
      <c r="BI93" s="208">
        <f>SUMIFS(領用表!$L:$L,領用表!$E:$E,$B93,領用表!$B:$B,BI$2&amp;$BI$1)</f>
        <v>13</v>
      </c>
      <c r="BJ93" s="208">
        <f>SUMIFS(領用表!$L:$L,領用表!$E:$E,$B93,領用表!$B:$B,BJ$2&amp;$BI$1)</f>
        <v>11</v>
      </c>
      <c r="BK93" s="208">
        <f>SUMIFS(領用表!$L:$L,領用表!$E:$E,$B93,領用表!$B:$B,BK$2&amp;$BI$1)</f>
        <v>22</v>
      </c>
      <c r="BL93" s="208">
        <f>SUMIFS(領用表!$L:$L,領用表!$E:$E,$B93,領用表!$B:$B,BL$2&amp;$BI$1)</f>
        <v>20</v>
      </c>
      <c r="BM93" s="208">
        <f>SUMIFS(領用表!$L:$L,領用表!$E:$E,$B93,領用表!$B:$B,BM$2&amp;$BI$1)</f>
        <v>20</v>
      </c>
      <c r="BN93" s="208">
        <f>SUMIFS(領用表!$L:$L,領用表!$E:$E,$B93,領用表!$B:$B,BN$2&amp;$BI$1)</f>
        <v>0</v>
      </c>
      <c r="BO93" s="208">
        <f>SUMIFS(領用表!$L:$L,領用表!$E:$E,$B93,領用表!$B:$B,BO$2&amp;$BI$1)</f>
        <v>0</v>
      </c>
      <c r="BP93" s="208">
        <f>SUMIFS(領用表!$L:$L,領用表!$E:$E,$B93,領用表!$B:$B,BP$2&amp;$BI$1)</f>
        <v>0</v>
      </c>
      <c r="BQ93" s="208">
        <f>SUMIFS(領用表!$L:$L,領用表!$E:$E,$B93,領用表!$B:$B,BQ$2&amp;$BI$1)</f>
        <v>0</v>
      </c>
      <c r="BR93" s="208">
        <f>SUMIFS(領用表!$L:$L,領用表!$E:$E,$B93,領用表!$B:$B,BR$2&amp;$BI$1)</f>
        <v>0</v>
      </c>
      <c r="BS93" s="208">
        <f>SUMIFS(領用表!$L:$L,領用表!$E:$E,$B93,領用表!$B:$B,BS$2&amp;$BI$1)</f>
        <v>0</v>
      </c>
      <c r="BT93" s="208">
        <f>SUMIFS(領用表!$L:$L,領用表!$E:$E,$B93,領用表!$B:$B,BT$2&amp;$BI$1)</f>
        <v>0</v>
      </c>
      <c r="BU93" s="208">
        <f t="shared" si="16"/>
        <v>86</v>
      </c>
      <c r="BV93" s="208">
        <f t="shared" si="21"/>
        <v>17.2</v>
      </c>
      <c r="BW93" s="208">
        <f>SUMIF(Summary!B:B,B93,Summary!DT:DT)</f>
        <v>0</v>
      </c>
      <c r="BX93" s="384"/>
      <c r="BY93" s="340"/>
      <c r="BZ93" s="340"/>
      <c r="CA93" s="340"/>
      <c r="CB93" s="136"/>
      <c r="CC93" s="289"/>
      <c r="CE93" s="213"/>
    </row>
    <row r="94" spans="1:83" s="118" customFormat="1" ht="15.75" customHeight="1">
      <c r="A94" s="136" t="s">
        <v>650</v>
      </c>
      <c r="B94" s="118">
        <v>6200003</v>
      </c>
      <c r="C94" s="118" t="s">
        <v>835</v>
      </c>
      <c r="D94" s="285">
        <v>1</v>
      </c>
      <c r="E94" s="198" t="s">
        <v>15</v>
      </c>
      <c r="F94" s="349">
        <v>4</v>
      </c>
      <c r="G94" s="349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01">
        <v>4</v>
      </c>
      <c r="AH94" s="201">
        <v>5</v>
      </c>
      <c r="AI94" s="201">
        <v>7</v>
      </c>
      <c r="AJ94" s="201">
        <v>2</v>
      </c>
      <c r="AK94" s="201">
        <v>2</v>
      </c>
      <c r="AL94" s="201">
        <v>2</v>
      </c>
      <c r="AM94" s="201">
        <v>7</v>
      </c>
      <c r="AN94" s="201">
        <v>6</v>
      </c>
      <c r="AO94" s="201">
        <v>6</v>
      </c>
      <c r="AP94" s="201">
        <v>9</v>
      </c>
      <c r="AQ94" s="201">
        <v>8</v>
      </c>
      <c r="AR94" s="201">
        <v>10</v>
      </c>
      <c r="AS94" s="283">
        <f t="shared" si="23"/>
        <v>68</v>
      </c>
      <c r="AT94" s="286">
        <f t="shared" si="24"/>
        <v>5.666666666666667</v>
      </c>
      <c r="AU94" s="201">
        <v>9</v>
      </c>
      <c r="AV94" s="201">
        <v>12</v>
      </c>
      <c r="AW94" s="201">
        <v>17</v>
      </c>
      <c r="AX94" s="201">
        <v>14</v>
      </c>
      <c r="AY94" s="201">
        <v>0</v>
      </c>
      <c r="AZ94" s="203">
        <f>SUMIFS(領用表!$L:$L,領用表!$E:$E,$B94,領用表!$B:$B,AZ$2&amp;$BI$1)</f>
        <v>1</v>
      </c>
      <c r="BA94" s="203">
        <f>SUMIFS(領用表!$L:$L,領用表!$E:$E,$B94,領用表!$B:$B,BA$2&amp;$BI$1)</f>
        <v>5</v>
      </c>
      <c r="BB94" s="203">
        <f>SUMIFS(領用表!$L:$L,領用表!$E:$E,$B94,領用表!$B:$B,BB$2&amp;$BI$1)</f>
        <v>0</v>
      </c>
      <c r="BC94" s="203">
        <f>SUMIFS(領用表!$L:$L,領用表!$E:$E,$B94,領用表!$B:$B,BC$2&amp;$BI$1)</f>
        <v>4</v>
      </c>
      <c r="BD94" s="208">
        <f>SUMIFS(領用表!$L:$L,領用表!$E:$E,$B94,領用表!$B:$B,BD$2&amp;$BI$1)</f>
        <v>3</v>
      </c>
      <c r="BE94" s="208">
        <f>SUMIFS(領用表!$L:$L,領用表!$E:$E,$B94,領用表!$B:$B,BE$2&amp;$BI$1)</f>
        <v>4</v>
      </c>
      <c r="BF94" s="208">
        <f>SUMIFS(領用表!$L:$L,領用表!$E:$E,$B94,領用表!$B:$B,BF$2&amp;$BI$1)</f>
        <v>0</v>
      </c>
      <c r="BG94" s="207">
        <f t="shared" si="18"/>
        <v>69</v>
      </c>
      <c r="BH94" s="207">
        <f t="shared" si="19"/>
        <v>5.75</v>
      </c>
      <c r="BI94" s="208">
        <f>SUMIFS(領用表!$L:$L,領用表!$E:$E,$B94,領用表!$B:$B,BI$2&amp;$BI$1)</f>
        <v>2</v>
      </c>
      <c r="BJ94" s="208">
        <f>SUMIFS(領用表!$L:$L,領用表!$E:$E,$B94,領用表!$B:$B,BJ$2&amp;$BI$1)</f>
        <v>1</v>
      </c>
      <c r="BK94" s="208">
        <f>SUMIFS(領用表!$L:$L,領用表!$E:$E,$B94,領用表!$B:$B,BK$2&amp;$BI$1)</f>
        <v>5</v>
      </c>
      <c r="BL94" s="208">
        <f>SUMIFS(領用表!$L:$L,領用表!$E:$E,$B94,領用表!$B:$B,BL$2&amp;$BI$1)</f>
        <v>0</v>
      </c>
      <c r="BM94" s="208">
        <f>SUMIFS(領用表!$L:$L,領用表!$E:$E,$B94,領用表!$B:$B,BM$2&amp;$BI$1)</f>
        <v>0</v>
      </c>
      <c r="BN94" s="208">
        <f>SUMIFS(領用表!$L:$L,領用表!$E:$E,$B94,領用表!$B:$B,BN$2&amp;$BI$1)</f>
        <v>0</v>
      </c>
      <c r="BO94" s="208">
        <f>SUMIFS(領用表!$L:$L,領用表!$E:$E,$B94,領用表!$B:$B,BO$2&amp;$BI$1)</f>
        <v>0</v>
      </c>
      <c r="BP94" s="208">
        <f>SUMIFS(領用表!$L:$L,領用表!$E:$E,$B94,領用表!$B:$B,BP$2&amp;$BI$1)</f>
        <v>0</v>
      </c>
      <c r="BQ94" s="208">
        <f>SUMIFS(領用表!$L:$L,領用表!$E:$E,$B94,領用表!$B:$B,BQ$2&amp;$BI$1)</f>
        <v>0</v>
      </c>
      <c r="BR94" s="208">
        <f>SUMIFS(領用表!$L:$L,領用表!$E:$E,$B94,領用表!$B:$B,BR$2&amp;$BI$1)</f>
        <v>0</v>
      </c>
      <c r="BS94" s="208">
        <f>SUMIFS(領用表!$L:$L,領用表!$E:$E,$B94,領用表!$B:$B,BS$2&amp;$BI$1)</f>
        <v>0</v>
      </c>
      <c r="BT94" s="208">
        <f>SUMIFS(領用表!$L:$L,領用表!$E:$E,$B94,領用表!$B:$B,BT$2&amp;$BI$1)</f>
        <v>0</v>
      </c>
      <c r="BU94" s="208">
        <f t="shared" si="16"/>
        <v>8</v>
      </c>
      <c r="BV94" s="208">
        <f t="shared" si="21"/>
        <v>1.6</v>
      </c>
      <c r="BW94" s="208">
        <f>SUMIF(Summary!B:B,B94,Summary!DT:DT)</f>
        <v>0</v>
      </c>
      <c r="BX94" s="384"/>
      <c r="BY94" s="340"/>
      <c r="BZ94" s="340"/>
      <c r="CA94" s="340"/>
      <c r="CB94" s="136"/>
      <c r="CC94" s="289"/>
      <c r="CE94" s="213"/>
    </row>
    <row r="95" spans="1:83" s="118" customFormat="1" ht="15.75" customHeight="1">
      <c r="A95" s="136" t="s">
        <v>651</v>
      </c>
      <c r="B95" s="118">
        <v>6200006</v>
      </c>
      <c r="C95" s="136" t="s">
        <v>508</v>
      </c>
      <c r="D95" s="285">
        <v>1</v>
      </c>
      <c r="E95" s="198" t="s">
        <v>15</v>
      </c>
      <c r="F95" s="349">
        <v>4</v>
      </c>
      <c r="G95" s="349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83"/>
      <c r="AB95" s="283"/>
      <c r="AC95" s="283"/>
      <c r="AD95" s="283"/>
      <c r="AE95" s="283"/>
      <c r="AF95" s="283"/>
      <c r="AG95" s="201"/>
      <c r="AH95" s="201"/>
      <c r="AI95" s="201"/>
      <c r="AJ95" s="201"/>
      <c r="AK95" s="201"/>
      <c r="AL95" s="201"/>
      <c r="AM95" s="201"/>
      <c r="AN95" s="201">
        <v>0</v>
      </c>
      <c r="AO95" s="201">
        <v>0</v>
      </c>
      <c r="AP95" s="201">
        <v>0</v>
      </c>
      <c r="AQ95" s="201">
        <v>0</v>
      </c>
      <c r="AR95" s="201">
        <v>1</v>
      </c>
      <c r="AS95" s="283">
        <f t="shared" si="23"/>
        <v>1</v>
      </c>
      <c r="AT95" s="286">
        <f t="shared" si="24"/>
        <v>8.3333333333333329E-2</v>
      </c>
      <c r="AU95" s="201">
        <v>1</v>
      </c>
      <c r="AV95" s="201">
        <v>3</v>
      </c>
      <c r="AW95" s="201">
        <v>6</v>
      </c>
      <c r="AX95" s="201">
        <v>10</v>
      </c>
      <c r="AY95" s="201">
        <v>1</v>
      </c>
      <c r="AZ95" s="203">
        <f>SUMIFS(領用表!$L:$L,領用表!$E:$E,$B95,領用表!$B:$B,AZ$2&amp;$BI$1)</f>
        <v>1</v>
      </c>
      <c r="BA95" s="203">
        <f>SUMIFS(領用表!$L:$L,領用表!$E:$E,$B95,領用表!$B:$B,BA$2&amp;$BI$1)</f>
        <v>0</v>
      </c>
      <c r="BB95" s="203">
        <f>SUMIFS(領用表!$L:$L,領用表!$E:$E,$B95,領用表!$B:$B,BB$2&amp;$BI$1)</f>
        <v>0</v>
      </c>
      <c r="BC95" s="203">
        <f>SUMIFS(領用表!$L:$L,領用表!$E:$E,$B95,領用表!$B:$B,BC$2&amp;$BI$1)</f>
        <v>1</v>
      </c>
      <c r="BD95" s="208">
        <f>SUMIFS(領用表!$L:$L,領用表!$E:$E,$B95,領用表!$B:$B,BD$2&amp;$BI$1)</f>
        <v>1</v>
      </c>
      <c r="BE95" s="208">
        <f>SUMIFS(領用表!$L:$L,領用表!$E:$E,$B95,領用表!$B:$B,BE$2&amp;$BI$1)</f>
        <v>3</v>
      </c>
      <c r="BF95" s="208">
        <f>SUMIFS(領用表!$L:$L,領用表!$E:$E,$B95,領用表!$B:$B,BF$2&amp;$BI$1)</f>
        <v>0</v>
      </c>
      <c r="BG95" s="207">
        <f t="shared" si="18"/>
        <v>27</v>
      </c>
      <c r="BH95" s="207">
        <f t="shared" si="19"/>
        <v>2.25</v>
      </c>
      <c r="BI95" s="208">
        <f>SUMIFS(領用表!$L:$L,領用表!$E:$E,$B95,領用表!$B:$B,BI$2&amp;$BI$1)</f>
        <v>0</v>
      </c>
      <c r="BJ95" s="208">
        <f>SUMIFS(領用表!$L:$L,領用表!$E:$E,$B95,領用表!$B:$B,BJ$2&amp;$BI$1)</f>
        <v>2</v>
      </c>
      <c r="BK95" s="208">
        <f>SUMIFS(領用表!$L:$L,領用表!$E:$E,$B95,領用表!$B:$B,BK$2&amp;$BI$1)</f>
        <v>0</v>
      </c>
      <c r="BL95" s="208">
        <f>SUMIFS(領用表!$L:$L,領用表!$E:$E,$B95,領用表!$B:$B,BL$2&amp;$BI$1)</f>
        <v>7</v>
      </c>
      <c r="BM95" s="208">
        <f>SUMIFS(領用表!$L:$L,領用表!$E:$E,$B95,領用表!$B:$B,BM$2&amp;$BI$1)</f>
        <v>4</v>
      </c>
      <c r="BN95" s="208">
        <f>SUMIFS(領用表!$L:$L,領用表!$E:$E,$B95,領用表!$B:$B,BN$2&amp;$BI$1)</f>
        <v>0</v>
      </c>
      <c r="BO95" s="208">
        <f>SUMIFS(領用表!$L:$L,領用表!$E:$E,$B95,領用表!$B:$B,BO$2&amp;$BI$1)</f>
        <v>0</v>
      </c>
      <c r="BP95" s="208">
        <f>SUMIFS(領用表!$L:$L,領用表!$E:$E,$B95,領用表!$B:$B,BP$2&amp;$BI$1)</f>
        <v>0</v>
      </c>
      <c r="BQ95" s="208">
        <f>SUMIFS(領用表!$L:$L,領用表!$E:$E,$B95,領用表!$B:$B,BQ$2&amp;$BI$1)</f>
        <v>0</v>
      </c>
      <c r="BR95" s="208">
        <f>SUMIFS(領用表!$L:$L,領用表!$E:$E,$B95,領用表!$B:$B,BR$2&amp;$BI$1)</f>
        <v>0</v>
      </c>
      <c r="BS95" s="208">
        <f>SUMIFS(領用表!$L:$L,領用表!$E:$E,$B95,領用表!$B:$B,BS$2&amp;$BI$1)</f>
        <v>0</v>
      </c>
      <c r="BT95" s="208">
        <f>SUMIFS(領用表!$L:$L,領用表!$E:$E,$B95,領用表!$B:$B,BT$2&amp;$BI$1)</f>
        <v>0</v>
      </c>
      <c r="BU95" s="208">
        <f t="shared" si="16"/>
        <v>13</v>
      </c>
      <c r="BV95" s="208">
        <f t="shared" si="21"/>
        <v>2.6</v>
      </c>
      <c r="BW95" s="208">
        <f>SUMIF(Summary!B:B,B95,Summary!DT:DT)</f>
        <v>3</v>
      </c>
      <c r="BX95" s="384"/>
      <c r="BY95" s="340"/>
      <c r="BZ95" s="340"/>
      <c r="CA95" s="340"/>
      <c r="CB95" s="136"/>
      <c r="CC95" s="136"/>
      <c r="CE95" s="213"/>
    </row>
    <row r="96" spans="1:83" s="118" customFormat="1" ht="15.75" customHeight="1">
      <c r="A96" s="136"/>
      <c r="B96" s="118">
        <v>6120004</v>
      </c>
      <c r="C96" s="135" t="s">
        <v>509</v>
      </c>
      <c r="D96" s="285">
        <v>10</v>
      </c>
      <c r="E96" s="198" t="s">
        <v>831</v>
      </c>
      <c r="F96" s="349">
        <v>14</v>
      </c>
      <c r="G96" s="349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83"/>
      <c r="AB96" s="283"/>
      <c r="AC96" s="283"/>
      <c r="AD96" s="283"/>
      <c r="AE96" s="283"/>
      <c r="AF96" s="283"/>
      <c r="AG96" s="201"/>
      <c r="AH96" s="201"/>
      <c r="AI96" s="201"/>
      <c r="AJ96" s="201"/>
      <c r="AK96" s="201"/>
      <c r="AL96" s="201"/>
      <c r="AM96" s="201"/>
      <c r="AN96" s="201"/>
      <c r="AO96" s="201"/>
      <c r="AP96" s="201"/>
      <c r="AQ96" s="201"/>
      <c r="AR96" s="201">
        <v>0</v>
      </c>
      <c r="AS96" s="283">
        <f t="shared" si="23"/>
        <v>0</v>
      </c>
      <c r="AT96" s="286">
        <f t="shared" si="24"/>
        <v>0</v>
      </c>
      <c r="AU96" s="201">
        <v>0</v>
      </c>
      <c r="AV96" s="201">
        <v>20</v>
      </c>
      <c r="AW96" s="201">
        <v>19</v>
      </c>
      <c r="AX96" s="201">
        <v>28</v>
      </c>
      <c r="AY96" s="201">
        <f>0+8</f>
        <v>8</v>
      </c>
      <c r="AZ96" s="203">
        <f>SUMIFS(領用表!$L:$L,領用表!$E:$E,$B96,領用表!$B:$B,AZ$2&amp;$BI$1)</f>
        <v>6</v>
      </c>
      <c r="BA96" s="203">
        <f>SUMIFS(領用表!$L:$L,領用表!$E:$E,$B96,領用表!$B:$B,BA$2&amp;$BI$1)</f>
        <v>0</v>
      </c>
      <c r="BB96" s="203">
        <f>SUMIFS(領用表!$L:$L,領用表!$E:$E,$B96,領用表!$B:$B,BB$2&amp;$BI$1)</f>
        <v>2</v>
      </c>
      <c r="BC96" s="203">
        <f>SUMIFS(領用表!$L:$L,領用表!$E:$E,$B96,領用表!$B:$B,BC$2&amp;$BI$1)</f>
        <v>2</v>
      </c>
      <c r="BD96" s="208">
        <f>SUMIFS(領用表!$L:$L,領用表!$E:$E,$B96,領用表!$B:$B,BD$2&amp;$BI$1)</f>
        <v>5</v>
      </c>
      <c r="BE96" s="208">
        <f>SUMIFS(領用表!$L:$L,領用表!$E:$E,$B96,領用表!$B:$B,BE$2&amp;$BI$1)</f>
        <v>12</v>
      </c>
      <c r="BF96" s="208">
        <f>SUMIFS(領用表!$L:$L,領用表!$E:$E,$B96,領用表!$B:$B,BF$2&amp;$BI$1)</f>
        <v>29</v>
      </c>
      <c r="BG96" s="207">
        <f t="shared" si="18"/>
        <v>131</v>
      </c>
      <c r="BH96" s="207">
        <f t="shared" si="19"/>
        <v>10.916666666666666</v>
      </c>
      <c r="BI96" s="208">
        <f>SUMIFS(領用表!$L:$L,領用表!$E:$E,$B96,領用表!$B:$B,BI$2&amp;$BI$1)</f>
        <v>16</v>
      </c>
      <c r="BJ96" s="208">
        <f>SUMIFS(領用表!$L:$L,領用表!$E:$E,$B96,領用表!$B:$B,BJ$2&amp;$BI$1)</f>
        <v>12</v>
      </c>
      <c r="BK96" s="208">
        <f>SUMIFS(領用表!$L:$L,領用表!$E:$E,$B96,領用表!$B:$B,BK$2&amp;$BI$1)</f>
        <v>24</v>
      </c>
      <c r="BL96" s="208">
        <f>SUMIFS(領用表!$L:$L,領用表!$E:$E,$B96,領用表!$B:$B,BL$2&amp;$BI$1)</f>
        <v>20</v>
      </c>
      <c r="BM96" s="208">
        <f>SUMIFS(領用表!$L:$L,領用表!$E:$E,$B96,領用表!$B:$B,BM$2&amp;$BI$1)</f>
        <v>20</v>
      </c>
      <c r="BN96" s="208">
        <f>SUMIFS(領用表!$L:$L,領用表!$E:$E,$B96,領用表!$B:$B,BN$2&amp;$BI$1)</f>
        <v>0</v>
      </c>
      <c r="BO96" s="208">
        <f>SUMIFS(領用表!$L:$L,領用表!$E:$E,$B96,領用表!$B:$B,BO$2&amp;$BI$1)</f>
        <v>0</v>
      </c>
      <c r="BP96" s="208">
        <f>SUMIFS(領用表!$L:$L,領用表!$E:$E,$B96,領用表!$B:$B,BP$2&amp;$BI$1)</f>
        <v>0</v>
      </c>
      <c r="BQ96" s="208">
        <f>SUMIFS(領用表!$L:$L,領用表!$E:$E,$B96,領用表!$B:$B,BQ$2&amp;$BI$1)</f>
        <v>0</v>
      </c>
      <c r="BR96" s="208">
        <f>SUMIFS(領用表!$L:$L,領用表!$E:$E,$B96,領用表!$B:$B,BR$2&amp;$BI$1)</f>
        <v>0</v>
      </c>
      <c r="BS96" s="208">
        <f>SUMIFS(領用表!$L:$L,領用表!$E:$E,$B96,領用表!$B:$B,BS$2&amp;$BI$1)</f>
        <v>0</v>
      </c>
      <c r="BT96" s="208">
        <f>SUMIFS(領用表!$L:$L,領用表!$E:$E,$B96,領用表!$B:$B,BT$2&amp;$BI$1)</f>
        <v>0</v>
      </c>
      <c r="BU96" s="208">
        <f t="shared" si="16"/>
        <v>92</v>
      </c>
      <c r="BV96" s="208">
        <f t="shared" si="21"/>
        <v>18.399999999999999</v>
      </c>
      <c r="BW96" s="208">
        <f>SUMIF(Summary!B:B,B96,Summary!DT:DT)</f>
        <v>1</v>
      </c>
      <c r="BX96" s="384"/>
      <c r="BY96" s="340"/>
      <c r="BZ96" s="340"/>
      <c r="CA96" s="340"/>
      <c r="CB96" s="136"/>
      <c r="CC96" s="136"/>
      <c r="CE96" s="213"/>
    </row>
    <row r="97" spans="1:83" s="118" customFormat="1" ht="15.75" customHeight="1">
      <c r="A97" s="136"/>
      <c r="B97" s="118">
        <v>6120006</v>
      </c>
      <c r="C97" s="136" t="s">
        <v>514</v>
      </c>
      <c r="D97" s="307">
        <v>100</v>
      </c>
      <c r="E97" s="198" t="s">
        <v>15</v>
      </c>
      <c r="F97" s="349">
        <v>169</v>
      </c>
      <c r="G97" s="349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83"/>
      <c r="AB97" s="283"/>
      <c r="AC97" s="283"/>
      <c r="AD97" s="283"/>
      <c r="AE97" s="283"/>
      <c r="AF97" s="283"/>
      <c r="AG97" s="201"/>
      <c r="AH97" s="201"/>
      <c r="AI97" s="201"/>
      <c r="AJ97" s="201"/>
      <c r="AK97" s="201"/>
      <c r="AL97" s="201"/>
      <c r="AM97" s="201"/>
      <c r="AN97" s="201">
        <v>0</v>
      </c>
      <c r="AO97" s="201">
        <v>0</v>
      </c>
      <c r="AP97" s="201">
        <v>0</v>
      </c>
      <c r="AQ97" s="201">
        <v>0</v>
      </c>
      <c r="AR97" s="201">
        <v>0</v>
      </c>
      <c r="AS97" s="283">
        <f t="shared" ref="AS97:AS109" si="25">SUM(AG97:AR97)</f>
        <v>0</v>
      </c>
      <c r="AT97" s="286">
        <f t="shared" ref="AT97:AT109" si="26">AS97/12</f>
        <v>0</v>
      </c>
      <c r="AU97" s="201">
        <v>0</v>
      </c>
      <c r="AV97" s="201">
        <v>0</v>
      </c>
      <c r="AW97" s="201">
        <v>246</v>
      </c>
      <c r="AX97" s="201">
        <v>227</v>
      </c>
      <c r="AY97" s="201">
        <f>7+223</f>
        <v>230</v>
      </c>
      <c r="AZ97" s="203">
        <f>SUMIFS(領用表!$L:$L,領用表!$E:$E,$B97,領用表!$B:$B,AZ$2&amp;$BI$1)</f>
        <v>1</v>
      </c>
      <c r="BA97" s="203">
        <f>SUMIFS(領用表!$L:$L,領用表!$E:$E,$B97,領用表!$B:$B,BA$2&amp;$BI$1)</f>
        <v>0</v>
      </c>
      <c r="BB97" s="203">
        <f>SUMIFS(領用表!$L:$L,領用表!$E:$E,$B97,領用表!$B:$B,BB$2&amp;$BI$1)</f>
        <v>0</v>
      </c>
      <c r="BC97" s="203">
        <f>SUMIFS(領用表!$L:$L,領用表!$E:$E,$B97,領用表!$B:$B,BC$2&amp;$BI$1)</f>
        <v>0</v>
      </c>
      <c r="BD97" s="208">
        <f>SUMIFS(領用表!$L:$L,領用表!$E:$E,$B97,領用表!$B:$B,BD$2&amp;$BI$1)</f>
        <v>6</v>
      </c>
      <c r="BE97" s="208">
        <f>SUMIFS(領用表!$L:$L,領用表!$E:$E,$B97,領用表!$B:$B,BE$2&amp;$BI$1)</f>
        <v>16</v>
      </c>
      <c r="BF97" s="208">
        <f>SUMIFS(領用表!$L:$L,領用表!$E:$E,$B97,領用表!$B:$B,BF$2&amp;$BI$1)</f>
        <v>30</v>
      </c>
      <c r="BG97" s="207">
        <f t="shared" ref="BG97:BG108" si="27">SUM(AU97,AV97,AW97,AX97,AY97,AZ97,BA97,BB97,BC97,BD97,BE97,BF97)</f>
        <v>756</v>
      </c>
      <c r="BH97" s="207">
        <f t="shared" ref="BH97:BH108" si="28">AVERAGE(AU97,AV97,AW97,AX97,AY97,AZ97,BA97,BB97,BC97,BD97,BE97,BF97)</f>
        <v>63</v>
      </c>
      <c r="BI97" s="208">
        <f>SUMIFS(領用表!$L:$L,領用表!$E:$E,$B97,領用表!$B:$B,BI$2&amp;$BI$1)</f>
        <v>19</v>
      </c>
      <c r="BJ97" s="208">
        <f>SUMIFS(領用表!$L:$L,領用表!$E:$E,$B97,領用表!$B:$B,BJ$2&amp;$BI$1)</f>
        <v>14</v>
      </c>
      <c r="BK97" s="208">
        <f>SUMIFS(領用表!$L:$L,領用表!$E:$E,$B97,領用表!$B:$B,BK$2&amp;$BI$1)</f>
        <v>24</v>
      </c>
      <c r="BL97" s="208">
        <f>SUMIFS(領用表!$L:$L,領用表!$E:$E,$B97,領用表!$B:$B,BL$2&amp;$BI$1)</f>
        <v>21</v>
      </c>
      <c r="BM97" s="208">
        <f>SUMIFS(領用表!$L:$L,領用表!$E:$E,$B97,領用表!$B:$B,BM$2&amp;$BI$1)</f>
        <v>20</v>
      </c>
      <c r="BN97" s="208">
        <f>SUMIFS(領用表!$L:$L,領用表!$E:$E,$B97,領用表!$B:$B,BN$2&amp;$BI$1)</f>
        <v>0</v>
      </c>
      <c r="BO97" s="208">
        <f>SUMIFS(領用表!$L:$L,領用表!$E:$E,$B97,領用表!$B:$B,BO$2&amp;$BI$1)</f>
        <v>0</v>
      </c>
      <c r="BP97" s="208">
        <f>SUMIFS(領用表!$L:$L,領用表!$E:$E,$B97,領用表!$B:$B,BP$2&amp;$BI$1)</f>
        <v>0</v>
      </c>
      <c r="BQ97" s="208">
        <f>SUMIFS(領用表!$L:$L,領用表!$E:$E,$B97,領用表!$B:$B,BQ$2&amp;$BI$1)</f>
        <v>0</v>
      </c>
      <c r="BR97" s="208">
        <f>SUMIFS(領用表!$L:$L,領用表!$E:$E,$B97,領用表!$B:$B,BR$2&amp;$BI$1)</f>
        <v>0</v>
      </c>
      <c r="BS97" s="208">
        <f>SUMIFS(領用表!$L:$L,領用表!$E:$E,$B97,領用表!$B:$B,BS$2&amp;$BI$1)</f>
        <v>0</v>
      </c>
      <c r="BT97" s="208">
        <f>SUMIFS(領用表!$L:$L,領用表!$E:$E,$B97,領用表!$B:$B,BT$2&amp;$BI$1)</f>
        <v>0</v>
      </c>
      <c r="BU97" s="208">
        <f t="shared" si="16"/>
        <v>98</v>
      </c>
      <c r="BV97" s="208">
        <f t="shared" si="21"/>
        <v>19.600000000000001</v>
      </c>
      <c r="BW97" s="208">
        <f>SUMIF(Summary!B:B,B97,Summary!DT:DT)</f>
        <v>0</v>
      </c>
      <c r="BX97" s="384"/>
      <c r="BY97" s="340"/>
      <c r="BZ97" s="340" t="s">
        <v>161</v>
      </c>
      <c r="CA97" s="340" t="s">
        <v>162</v>
      </c>
      <c r="CB97" s="136"/>
      <c r="CC97" s="289"/>
    </row>
    <row r="98" spans="1:83" s="118" customFormat="1" ht="15.75" customHeight="1">
      <c r="A98" s="136"/>
      <c r="B98" s="118">
        <v>6120007</v>
      </c>
      <c r="C98" s="136" t="s">
        <v>530</v>
      </c>
      <c r="D98" s="307">
        <v>100</v>
      </c>
      <c r="E98" s="198" t="s">
        <v>15</v>
      </c>
      <c r="F98" s="349">
        <v>42</v>
      </c>
      <c r="G98" s="349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83"/>
      <c r="AB98" s="283"/>
      <c r="AC98" s="283"/>
      <c r="AD98" s="283"/>
      <c r="AE98" s="283"/>
      <c r="AF98" s="283"/>
      <c r="AG98" s="201"/>
      <c r="AH98" s="201"/>
      <c r="AI98" s="201"/>
      <c r="AJ98" s="201"/>
      <c r="AK98" s="201"/>
      <c r="AL98" s="201"/>
      <c r="AM98" s="201"/>
      <c r="AN98" s="201">
        <v>0</v>
      </c>
      <c r="AO98" s="201">
        <v>0</v>
      </c>
      <c r="AP98" s="201">
        <v>0</v>
      </c>
      <c r="AQ98" s="201">
        <v>0</v>
      </c>
      <c r="AR98" s="201">
        <v>0</v>
      </c>
      <c r="AS98" s="283">
        <f t="shared" si="25"/>
        <v>0</v>
      </c>
      <c r="AT98" s="286">
        <f t="shared" si="26"/>
        <v>0</v>
      </c>
      <c r="AU98" s="201">
        <v>0</v>
      </c>
      <c r="AV98" s="201">
        <v>0</v>
      </c>
      <c r="AW98" s="201">
        <v>1</v>
      </c>
      <c r="AX98" s="201">
        <v>13</v>
      </c>
      <c r="AY98" s="201">
        <v>2</v>
      </c>
      <c r="AZ98" s="203">
        <f>SUMIFS(領用表!$L:$L,領用表!$E:$E,$B98,領用表!$B:$B,AZ$2&amp;$BI$1)</f>
        <v>0</v>
      </c>
      <c r="BA98" s="203">
        <f>SUMIFS(領用表!$L:$L,領用表!$E:$E,$B98,領用表!$B:$B,BA$2&amp;$BI$1)</f>
        <v>0</v>
      </c>
      <c r="BB98" s="203">
        <f>SUMIFS(領用表!$L:$L,領用表!$E:$E,$B98,領用表!$B:$B,BB$2&amp;$BI$1)</f>
        <v>0</v>
      </c>
      <c r="BC98" s="203">
        <f>SUMIFS(領用表!$L:$L,領用表!$E:$E,$B98,領用表!$B:$B,BC$2&amp;$BI$1)</f>
        <v>0</v>
      </c>
      <c r="BD98" s="208">
        <f>SUMIFS(領用表!$L:$L,領用表!$E:$E,$B98,領用表!$B:$B,BD$2&amp;$BI$1)</f>
        <v>0</v>
      </c>
      <c r="BE98" s="208">
        <f>SUMIFS(領用表!$L:$L,領用表!$E:$E,$B98,領用表!$B:$B,BE$2&amp;$BI$1)</f>
        <v>0</v>
      </c>
      <c r="BF98" s="208">
        <f>SUMIFS(領用表!$L:$L,領用表!$E:$E,$B98,領用表!$B:$B,BF$2&amp;$BI$1)</f>
        <v>0</v>
      </c>
      <c r="BG98" s="207">
        <f t="shared" si="27"/>
        <v>16</v>
      </c>
      <c r="BH98" s="207">
        <f t="shared" si="28"/>
        <v>1.3333333333333333</v>
      </c>
      <c r="BI98" s="208">
        <f>SUMIFS(領用表!$L:$L,領用表!$E:$E,$B98,領用表!$B:$B,BI$2&amp;$BI$1)</f>
        <v>0</v>
      </c>
      <c r="BJ98" s="208">
        <f>SUMIFS(領用表!$L:$L,領用表!$E:$E,$B98,領用表!$B:$B,BJ$2&amp;$BI$1)</f>
        <v>1</v>
      </c>
      <c r="BK98" s="208">
        <f>SUMIFS(領用表!$L:$L,領用表!$E:$E,$B98,領用表!$B:$B,BK$2&amp;$BI$1)</f>
        <v>0</v>
      </c>
      <c r="BL98" s="208">
        <f>SUMIFS(領用表!$L:$L,領用表!$E:$E,$B98,領用表!$B:$B,BL$2&amp;$BI$1)</f>
        <v>0</v>
      </c>
      <c r="BM98" s="208">
        <f>SUMIFS(領用表!$L:$L,領用表!$E:$E,$B98,領用表!$B:$B,BM$2&amp;$BI$1)</f>
        <v>0</v>
      </c>
      <c r="BN98" s="208">
        <f>SUMIFS(領用表!$L:$L,領用表!$E:$E,$B98,領用表!$B:$B,BN$2&amp;$BI$1)</f>
        <v>0</v>
      </c>
      <c r="BO98" s="208">
        <f>SUMIFS(領用表!$L:$L,領用表!$E:$E,$B98,領用表!$B:$B,BO$2&amp;$BI$1)</f>
        <v>0</v>
      </c>
      <c r="BP98" s="208">
        <f>SUMIFS(領用表!$L:$L,領用表!$E:$E,$B98,領用表!$B:$B,BP$2&amp;$BI$1)</f>
        <v>0</v>
      </c>
      <c r="BQ98" s="208">
        <f>SUMIFS(領用表!$L:$L,領用表!$E:$E,$B98,領用表!$B:$B,BQ$2&amp;$BI$1)</f>
        <v>0</v>
      </c>
      <c r="BR98" s="208">
        <f>SUMIFS(領用表!$L:$L,領用表!$E:$E,$B98,領用表!$B:$B,BR$2&amp;$BI$1)</f>
        <v>0</v>
      </c>
      <c r="BS98" s="208">
        <f>SUMIFS(領用表!$L:$L,領用表!$E:$E,$B98,領用表!$B:$B,BS$2&amp;$BI$1)</f>
        <v>0</v>
      </c>
      <c r="BT98" s="208">
        <f>SUMIFS(領用表!$L:$L,領用表!$E:$E,$B98,領用表!$B:$B,BT$2&amp;$BI$1)</f>
        <v>0</v>
      </c>
      <c r="BU98" s="208">
        <f t="shared" si="16"/>
        <v>1</v>
      </c>
      <c r="BV98" s="208">
        <f t="shared" si="21"/>
        <v>0.2</v>
      </c>
      <c r="BW98" s="208">
        <f>SUMIF(Summary!B:B,B98,Summary!DT:DT)</f>
        <v>0</v>
      </c>
      <c r="BX98" s="258"/>
      <c r="BY98" s="340"/>
      <c r="BZ98" s="340"/>
      <c r="CA98" s="340"/>
      <c r="CB98" s="136"/>
      <c r="CC98" s="289"/>
    </row>
    <row r="99" spans="1:83" s="118" customFormat="1" ht="15.75" customHeight="1">
      <c r="A99" s="136"/>
      <c r="B99" s="118">
        <v>6120008</v>
      </c>
      <c r="C99" s="136" t="s">
        <v>531</v>
      </c>
      <c r="D99" s="307">
        <v>100</v>
      </c>
      <c r="E99" s="198" t="s">
        <v>15</v>
      </c>
      <c r="F99" s="349">
        <v>4</v>
      </c>
      <c r="G99" s="349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  <c r="Z99" s="283"/>
      <c r="AA99" s="283"/>
      <c r="AB99" s="283"/>
      <c r="AC99" s="283"/>
      <c r="AD99" s="283"/>
      <c r="AE99" s="283"/>
      <c r="AF99" s="283"/>
      <c r="AG99" s="201"/>
      <c r="AH99" s="201"/>
      <c r="AI99" s="201"/>
      <c r="AJ99" s="201"/>
      <c r="AK99" s="201"/>
      <c r="AL99" s="201"/>
      <c r="AM99" s="201"/>
      <c r="AN99" s="201">
        <v>0</v>
      </c>
      <c r="AO99" s="201">
        <v>0</v>
      </c>
      <c r="AP99" s="201">
        <v>0</v>
      </c>
      <c r="AQ99" s="201">
        <v>0</v>
      </c>
      <c r="AR99" s="201">
        <v>0</v>
      </c>
      <c r="AS99" s="283">
        <f t="shared" si="25"/>
        <v>0</v>
      </c>
      <c r="AT99" s="286">
        <f t="shared" si="26"/>
        <v>0</v>
      </c>
      <c r="AU99" s="201">
        <v>0</v>
      </c>
      <c r="AV99" s="201">
        <v>0</v>
      </c>
      <c r="AW99" s="201">
        <v>1</v>
      </c>
      <c r="AX99" s="201">
        <v>3</v>
      </c>
      <c r="AY99" s="201">
        <v>0</v>
      </c>
      <c r="AZ99" s="203">
        <f>SUMIFS(領用表!$L:$L,領用表!$E:$E,$B99,領用表!$B:$B,AZ$2&amp;$BI$1)</f>
        <v>0</v>
      </c>
      <c r="BA99" s="203">
        <f>SUMIFS(領用表!$L:$L,領用表!$E:$E,$B99,領用表!$B:$B,BA$2&amp;$BI$1)</f>
        <v>0</v>
      </c>
      <c r="BB99" s="203">
        <f>SUMIFS(領用表!$L:$L,領用表!$E:$E,$B99,領用表!$B:$B,BB$2&amp;$BI$1)</f>
        <v>0</v>
      </c>
      <c r="BC99" s="203">
        <f>SUMIFS(領用表!$L:$L,領用表!$E:$E,$B99,領用表!$B:$B,BC$2&amp;$BI$1)</f>
        <v>0</v>
      </c>
      <c r="BD99" s="208">
        <f>SUMIFS(領用表!$L:$L,領用表!$E:$E,$B99,領用表!$B:$B,BD$2&amp;$BI$1)</f>
        <v>0</v>
      </c>
      <c r="BE99" s="208">
        <f>SUMIFS(領用表!$L:$L,領用表!$E:$E,$B99,領用表!$B:$B,BE$2&amp;$BI$1)</f>
        <v>0</v>
      </c>
      <c r="BF99" s="208">
        <f>SUMIFS(領用表!$L:$L,領用表!$E:$E,$B99,領用表!$B:$B,BF$2&amp;$BI$1)</f>
        <v>0</v>
      </c>
      <c r="BG99" s="207">
        <f t="shared" si="27"/>
        <v>4</v>
      </c>
      <c r="BH99" s="207">
        <f t="shared" si="28"/>
        <v>0.33333333333333331</v>
      </c>
      <c r="BI99" s="208">
        <f>SUMIFS(領用表!$L:$L,領用表!$E:$E,$B99,領用表!$B:$B,BI$2&amp;$BI$1)</f>
        <v>0</v>
      </c>
      <c r="BJ99" s="208">
        <f>SUMIFS(領用表!$L:$L,領用表!$E:$E,$B99,領用表!$B:$B,BJ$2&amp;$BI$1)</f>
        <v>0</v>
      </c>
      <c r="BK99" s="208">
        <f>SUMIFS(領用表!$L:$L,領用表!$E:$E,$B99,領用表!$B:$B,BK$2&amp;$BI$1)</f>
        <v>0</v>
      </c>
      <c r="BL99" s="208">
        <f>SUMIFS(領用表!$L:$L,領用表!$E:$E,$B99,領用表!$B:$B,BL$2&amp;$BI$1)</f>
        <v>0</v>
      </c>
      <c r="BM99" s="208">
        <f>SUMIFS(領用表!$L:$L,領用表!$E:$E,$B99,領用表!$B:$B,BM$2&amp;$BI$1)</f>
        <v>0</v>
      </c>
      <c r="BN99" s="208">
        <f>SUMIFS(領用表!$L:$L,領用表!$E:$E,$B99,領用表!$B:$B,BN$2&amp;$BI$1)</f>
        <v>0</v>
      </c>
      <c r="BO99" s="208">
        <f>SUMIFS(領用表!$L:$L,領用表!$E:$E,$B99,領用表!$B:$B,BO$2&amp;$BI$1)</f>
        <v>0</v>
      </c>
      <c r="BP99" s="208">
        <f>SUMIFS(領用表!$L:$L,領用表!$E:$E,$B99,領用表!$B:$B,BP$2&amp;$BI$1)</f>
        <v>0</v>
      </c>
      <c r="BQ99" s="208">
        <f>SUMIFS(領用表!$L:$L,領用表!$E:$E,$B99,領用表!$B:$B,BQ$2&amp;$BI$1)</f>
        <v>0</v>
      </c>
      <c r="BR99" s="208">
        <f>SUMIFS(領用表!$L:$L,領用表!$E:$E,$B99,領用表!$B:$B,BR$2&amp;$BI$1)</f>
        <v>0</v>
      </c>
      <c r="BS99" s="208">
        <f>SUMIFS(領用表!$L:$L,領用表!$E:$E,$B99,領用表!$B:$B,BS$2&amp;$BI$1)</f>
        <v>0</v>
      </c>
      <c r="BT99" s="208">
        <f>SUMIFS(領用表!$L:$L,領用表!$E:$E,$B99,領用表!$B:$B,BT$2&amp;$BI$1)</f>
        <v>0</v>
      </c>
      <c r="BU99" s="208">
        <f t="shared" si="16"/>
        <v>0</v>
      </c>
      <c r="BV99" s="208">
        <f t="shared" si="21"/>
        <v>0</v>
      </c>
      <c r="BW99" s="208">
        <f>SUMIF(Summary!B:B,B99,Summary!DT:DT)</f>
        <v>0</v>
      </c>
      <c r="BX99" s="258"/>
      <c r="BY99" s="340"/>
      <c r="BZ99" s="340"/>
      <c r="CA99" s="340"/>
      <c r="CB99" s="136"/>
      <c r="CC99" s="289"/>
    </row>
    <row r="100" spans="1:83" s="118" customFormat="1" ht="15.75" customHeight="1">
      <c r="A100" s="136"/>
      <c r="B100" s="118">
        <v>6120009</v>
      </c>
      <c r="C100" s="136" t="s">
        <v>515</v>
      </c>
      <c r="D100" s="307">
        <v>100</v>
      </c>
      <c r="E100" s="198" t="s">
        <v>15</v>
      </c>
      <c r="F100" s="349">
        <v>0</v>
      </c>
      <c r="G100" s="349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83"/>
      <c r="AB100" s="283"/>
      <c r="AC100" s="283"/>
      <c r="AD100" s="283"/>
      <c r="AE100" s="283"/>
      <c r="AF100" s="283"/>
      <c r="AG100" s="201"/>
      <c r="AH100" s="201"/>
      <c r="AI100" s="201"/>
      <c r="AJ100" s="201"/>
      <c r="AK100" s="201"/>
      <c r="AL100" s="201"/>
      <c r="AM100" s="201"/>
      <c r="AN100" s="201">
        <v>0</v>
      </c>
      <c r="AO100" s="201">
        <v>0</v>
      </c>
      <c r="AP100" s="201">
        <v>0</v>
      </c>
      <c r="AQ100" s="201">
        <v>0</v>
      </c>
      <c r="AR100" s="201">
        <v>0</v>
      </c>
      <c r="AS100" s="283">
        <f t="shared" si="25"/>
        <v>0</v>
      </c>
      <c r="AT100" s="286">
        <f t="shared" si="26"/>
        <v>0</v>
      </c>
      <c r="AU100" s="201">
        <v>0</v>
      </c>
      <c r="AV100" s="201">
        <v>0</v>
      </c>
      <c r="AW100" s="201">
        <v>10</v>
      </c>
      <c r="AX100" s="201">
        <v>9</v>
      </c>
      <c r="AY100" s="201">
        <f>0+2</f>
        <v>2</v>
      </c>
      <c r="AZ100" s="203">
        <f>SUMIFS(領用表!$L:$L,領用表!$E:$E,$B100,領用表!$B:$B,AZ$2&amp;$BI$1)</f>
        <v>0</v>
      </c>
      <c r="BA100" s="203">
        <f>SUMIFS(領用表!$L:$L,領用表!$E:$E,$B100,領用表!$B:$B,BA$2&amp;$BI$1)</f>
        <v>0</v>
      </c>
      <c r="BB100" s="203">
        <f>SUMIFS(領用表!$L:$L,領用表!$E:$E,$B100,領用表!$B:$B,BB$2&amp;$BI$1)</f>
        <v>0</v>
      </c>
      <c r="BC100" s="203">
        <f>SUMIFS(領用表!$L:$L,領用表!$E:$E,$B100,領用表!$B:$B,BC$2&amp;$BI$1)</f>
        <v>0</v>
      </c>
      <c r="BD100" s="208">
        <f>SUMIFS(領用表!$L:$L,領用表!$E:$E,$B100,領用表!$B:$B,BD$2&amp;$BI$1)</f>
        <v>0</v>
      </c>
      <c r="BE100" s="208">
        <f>SUMIFS(領用表!$L:$L,領用表!$E:$E,$B100,領用表!$B:$B,BE$2&amp;$BI$1)</f>
        <v>0</v>
      </c>
      <c r="BF100" s="208">
        <f>SUMIFS(領用表!$L:$L,領用表!$E:$E,$B100,領用表!$B:$B,BF$2&amp;$BI$1)</f>
        <v>0</v>
      </c>
      <c r="BG100" s="207">
        <f t="shared" si="27"/>
        <v>21</v>
      </c>
      <c r="BH100" s="207">
        <f t="shared" si="28"/>
        <v>1.75</v>
      </c>
      <c r="BI100" s="208">
        <f>SUMIFS(領用表!$L:$L,領用表!$E:$E,$B100,領用表!$B:$B,BI$2&amp;$BI$1)</f>
        <v>0</v>
      </c>
      <c r="BJ100" s="208">
        <f>SUMIFS(領用表!$L:$L,領用表!$E:$E,$B100,領用表!$B:$B,BJ$2&amp;$BI$1)</f>
        <v>0</v>
      </c>
      <c r="BK100" s="208">
        <f>SUMIFS(領用表!$L:$L,領用表!$E:$E,$B100,領用表!$B:$B,BK$2&amp;$BI$1)</f>
        <v>0</v>
      </c>
      <c r="BL100" s="208">
        <f>SUMIFS(領用表!$L:$L,領用表!$E:$E,$B100,領用表!$B:$B,BL$2&amp;$BI$1)</f>
        <v>0</v>
      </c>
      <c r="BM100" s="208">
        <f>SUMIFS(領用表!$L:$L,領用表!$E:$E,$B100,領用表!$B:$B,BM$2&amp;$BI$1)</f>
        <v>0</v>
      </c>
      <c r="BN100" s="208">
        <f>SUMIFS(領用表!$L:$L,領用表!$E:$E,$B100,領用表!$B:$B,BN$2&amp;$BI$1)</f>
        <v>0</v>
      </c>
      <c r="BO100" s="208">
        <f>SUMIFS(領用表!$L:$L,領用表!$E:$E,$B100,領用表!$B:$B,BO$2&amp;$BI$1)</f>
        <v>0</v>
      </c>
      <c r="BP100" s="208">
        <f>SUMIFS(領用表!$L:$L,領用表!$E:$E,$B100,領用表!$B:$B,BP$2&amp;$BI$1)</f>
        <v>0</v>
      </c>
      <c r="BQ100" s="208">
        <f>SUMIFS(領用表!$L:$L,領用表!$E:$E,$B100,領用表!$B:$B,BQ$2&amp;$BI$1)</f>
        <v>0</v>
      </c>
      <c r="BR100" s="208">
        <f>SUMIFS(領用表!$L:$L,領用表!$E:$E,$B100,領用表!$B:$B,BR$2&amp;$BI$1)</f>
        <v>0</v>
      </c>
      <c r="BS100" s="208">
        <f>SUMIFS(領用表!$L:$L,領用表!$E:$E,$B100,領用表!$B:$B,BS$2&amp;$BI$1)</f>
        <v>0</v>
      </c>
      <c r="BT100" s="208">
        <f>SUMIFS(領用表!$L:$L,領用表!$E:$E,$B100,領用表!$B:$B,BT$2&amp;$BI$1)</f>
        <v>0</v>
      </c>
      <c r="BU100" s="208">
        <f t="shared" si="16"/>
        <v>0</v>
      </c>
      <c r="BV100" s="208">
        <f t="shared" si="21"/>
        <v>0</v>
      </c>
      <c r="BW100" s="208">
        <f>SUMIF(Summary!B:B,B100,Summary!DT:DT)</f>
        <v>0</v>
      </c>
      <c r="BX100" s="384"/>
      <c r="BY100" s="340"/>
      <c r="BZ100" s="340"/>
      <c r="CA100" s="340"/>
      <c r="CB100" s="136"/>
      <c r="CC100" s="289"/>
    </row>
    <row r="101" spans="1:83" s="118" customFormat="1" ht="15.75" customHeight="1">
      <c r="A101" s="136"/>
      <c r="B101" s="118">
        <v>6120011</v>
      </c>
      <c r="C101" s="136" t="s">
        <v>527</v>
      </c>
      <c r="D101" s="307">
        <v>10</v>
      </c>
      <c r="E101" s="198" t="s">
        <v>15</v>
      </c>
      <c r="F101" s="349">
        <v>15</v>
      </c>
      <c r="G101" s="349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83"/>
      <c r="AB101" s="283"/>
      <c r="AC101" s="283"/>
      <c r="AD101" s="283"/>
      <c r="AE101" s="283"/>
      <c r="AF101" s="283"/>
      <c r="AG101" s="201"/>
      <c r="AH101" s="201"/>
      <c r="AI101" s="201"/>
      <c r="AJ101" s="201"/>
      <c r="AK101" s="201"/>
      <c r="AL101" s="201"/>
      <c r="AM101" s="201"/>
      <c r="AN101" s="201">
        <v>0</v>
      </c>
      <c r="AO101" s="201">
        <v>0</v>
      </c>
      <c r="AP101" s="201">
        <v>0</v>
      </c>
      <c r="AQ101" s="201">
        <v>0</v>
      </c>
      <c r="AR101" s="201">
        <v>0</v>
      </c>
      <c r="AS101" s="283">
        <f t="shared" si="25"/>
        <v>0</v>
      </c>
      <c r="AT101" s="286">
        <f t="shared" si="26"/>
        <v>0</v>
      </c>
      <c r="AU101" s="201">
        <v>0</v>
      </c>
      <c r="AV101" s="201">
        <v>0</v>
      </c>
      <c r="AW101" s="201">
        <v>2</v>
      </c>
      <c r="AX101" s="201">
        <v>12</v>
      </c>
      <c r="AY101" s="201">
        <f>0+2</f>
        <v>2</v>
      </c>
      <c r="AZ101" s="203">
        <f>SUMIFS(領用表!$L:$L,領用表!$E:$E,$B101,領用表!$B:$B,AZ$2&amp;$BI$1)</f>
        <v>0</v>
      </c>
      <c r="BA101" s="203">
        <f>SUMIFS(領用表!$L:$L,領用表!$E:$E,$B101,領用表!$B:$B,BA$2&amp;$BI$1)</f>
        <v>0</v>
      </c>
      <c r="BB101" s="203">
        <f>SUMIFS(領用表!$L:$L,領用表!$E:$E,$B101,領用表!$B:$B,BB$2&amp;$BI$1)</f>
        <v>0</v>
      </c>
      <c r="BC101" s="203">
        <f>SUMIFS(領用表!$L:$L,領用表!$E:$E,$B101,領用表!$B:$B,BC$2&amp;$BI$1)</f>
        <v>0</v>
      </c>
      <c r="BD101" s="208">
        <f>SUMIFS(領用表!$L:$L,領用表!$E:$E,$B101,領用表!$B:$B,BD$2&amp;$BI$1)</f>
        <v>0</v>
      </c>
      <c r="BE101" s="208">
        <f>SUMIFS(領用表!$L:$L,領用表!$E:$E,$B101,領用表!$B:$B,BE$2&amp;$BI$1)</f>
        <v>0</v>
      </c>
      <c r="BF101" s="208">
        <f>SUMIFS(領用表!$L:$L,領用表!$E:$E,$B101,領用表!$B:$B,BF$2&amp;$BI$1)</f>
        <v>0</v>
      </c>
      <c r="BG101" s="207">
        <f t="shared" si="27"/>
        <v>16</v>
      </c>
      <c r="BH101" s="207">
        <f t="shared" si="28"/>
        <v>1.3333333333333333</v>
      </c>
      <c r="BI101" s="208">
        <f>SUMIFS(領用表!$L:$L,領用表!$E:$E,$B101,領用表!$B:$B,BI$2&amp;$BI$1)</f>
        <v>0</v>
      </c>
      <c r="BJ101" s="208">
        <f>SUMIFS(領用表!$L:$L,領用表!$E:$E,$B101,領用表!$B:$B,BJ$2&amp;$BI$1)</f>
        <v>0</v>
      </c>
      <c r="BK101" s="208">
        <f>SUMIFS(領用表!$L:$L,領用表!$E:$E,$B101,領用表!$B:$B,BK$2&amp;$BI$1)</f>
        <v>0</v>
      </c>
      <c r="BL101" s="208">
        <f>SUMIFS(領用表!$L:$L,領用表!$E:$E,$B101,領用表!$B:$B,BL$2&amp;$BI$1)</f>
        <v>0</v>
      </c>
      <c r="BM101" s="208">
        <f>SUMIFS(領用表!$L:$L,領用表!$E:$E,$B101,領用表!$B:$B,BM$2&amp;$BI$1)</f>
        <v>0</v>
      </c>
      <c r="BN101" s="208">
        <f>SUMIFS(領用表!$L:$L,領用表!$E:$E,$B101,領用表!$B:$B,BN$2&amp;$BI$1)</f>
        <v>0</v>
      </c>
      <c r="BO101" s="208">
        <f>SUMIFS(領用表!$L:$L,領用表!$E:$E,$B101,領用表!$B:$B,BO$2&amp;$BI$1)</f>
        <v>0</v>
      </c>
      <c r="BP101" s="208">
        <f>SUMIFS(領用表!$L:$L,領用表!$E:$E,$B101,領用表!$B:$B,BP$2&amp;$BI$1)</f>
        <v>0</v>
      </c>
      <c r="BQ101" s="208">
        <f>SUMIFS(領用表!$L:$L,領用表!$E:$E,$B101,領用表!$B:$B,BQ$2&amp;$BI$1)</f>
        <v>0</v>
      </c>
      <c r="BR101" s="208">
        <f>SUMIFS(領用表!$L:$L,領用表!$E:$E,$B101,領用表!$B:$B,BR$2&amp;$BI$1)</f>
        <v>0</v>
      </c>
      <c r="BS101" s="208">
        <f>SUMIFS(領用表!$L:$L,領用表!$E:$E,$B101,領用表!$B:$B,BS$2&amp;$BI$1)</f>
        <v>0</v>
      </c>
      <c r="BT101" s="208">
        <f>SUMIFS(領用表!$L:$L,領用表!$E:$E,$B101,領用表!$B:$B,BT$2&amp;$BI$1)</f>
        <v>0</v>
      </c>
      <c r="BU101" s="208">
        <f t="shared" si="16"/>
        <v>0</v>
      </c>
      <c r="BV101" s="208">
        <f t="shared" si="21"/>
        <v>0</v>
      </c>
      <c r="BW101" s="208">
        <f>SUMIF(Summary!B:B,B101,Summary!DT:DT)</f>
        <v>0</v>
      </c>
      <c r="BX101" s="258"/>
      <c r="BY101" s="340"/>
      <c r="BZ101" s="340" t="s">
        <v>166</v>
      </c>
      <c r="CA101" s="340"/>
      <c r="CB101" s="136"/>
      <c r="CC101" s="289"/>
    </row>
    <row r="102" spans="1:83" s="118" customFormat="1" ht="15.75" customHeight="1">
      <c r="A102" s="136"/>
      <c r="B102" s="118">
        <v>6120013</v>
      </c>
      <c r="C102" s="135" t="s">
        <v>511</v>
      </c>
      <c r="D102" s="285"/>
      <c r="E102" s="198" t="s">
        <v>831</v>
      </c>
      <c r="F102" s="349">
        <v>72</v>
      </c>
      <c r="G102" s="349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83"/>
      <c r="AB102" s="283"/>
      <c r="AC102" s="283"/>
      <c r="AD102" s="283"/>
      <c r="AE102" s="283"/>
      <c r="AF102" s="283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>
        <v>0</v>
      </c>
      <c r="AS102" s="283">
        <f t="shared" si="25"/>
        <v>0</v>
      </c>
      <c r="AT102" s="286">
        <f t="shared" si="26"/>
        <v>0</v>
      </c>
      <c r="AU102" s="201">
        <v>0</v>
      </c>
      <c r="AV102" s="201">
        <v>0</v>
      </c>
      <c r="AW102" s="201">
        <v>192</v>
      </c>
      <c r="AX102" s="201">
        <v>434</v>
      </c>
      <c r="AY102" s="201">
        <f>74+439</f>
        <v>513</v>
      </c>
      <c r="AZ102" s="203">
        <f>SUMIFS(領用表!$L:$L,領用表!$E:$E,$B102,領用表!$B:$B,AZ$2&amp;$BI$1)</f>
        <v>37</v>
      </c>
      <c r="BA102" s="203">
        <f>SUMIFS(領用表!$L:$L,領用表!$E:$E,$B102,領用表!$B:$B,BA$2&amp;$BI$1)</f>
        <v>87</v>
      </c>
      <c r="BB102" s="203">
        <f>SUMIFS(領用表!$L:$L,領用表!$E:$E,$B102,領用表!$B:$B,BB$2&amp;$BI$1)</f>
        <v>169</v>
      </c>
      <c r="BC102" s="203">
        <f>SUMIFS(領用表!$L:$L,領用表!$E:$E,$B102,領用表!$B:$B,BC$2&amp;$BI$1)</f>
        <v>202</v>
      </c>
      <c r="BD102" s="208">
        <f>SUMIFS(領用表!$L:$L,領用表!$E:$E,$B102,領用表!$B:$B,BD$2&amp;$BI$1)</f>
        <v>204</v>
      </c>
      <c r="BE102" s="208">
        <f>SUMIFS(領用表!$L:$L,領用表!$E:$E,$B102,領用表!$B:$B,BE$2&amp;$BI$1)</f>
        <v>251</v>
      </c>
      <c r="BF102" s="208">
        <f>SUMIFS(領用表!$L:$L,領用表!$E:$E,$B102,領用表!$B:$B,BF$2&amp;$BI$1)</f>
        <v>209</v>
      </c>
      <c r="BG102" s="207">
        <f t="shared" si="27"/>
        <v>2298</v>
      </c>
      <c r="BH102" s="207">
        <f t="shared" si="28"/>
        <v>191.5</v>
      </c>
      <c r="BI102" s="208">
        <f>SUMIFS(領用表!$L:$L,領用表!$E:$E,$B102,領用表!$B:$B,BI$2&amp;$BI$1)</f>
        <v>207</v>
      </c>
      <c r="BJ102" s="208">
        <f>SUMIFS(領用表!$L:$L,領用表!$E:$E,$B102,領用表!$B:$B,BJ$2&amp;$BI$1)</f>
        <v>135</v>
      </c>
      <c r="BK102" s="208">
        <f>SUMIFS(領用表!$L:$L,領用表!$E:$E,$B102,領用表!$B:$B,BK$2&amp;$BI$1)</f>
        <v>145</v>
      </c>
      <c r="BL102" s="208">
        <f>SUMIFS(領用表!$L:$L,領用表!$E:$E,$B102,領用表!$B:$B,BL$2&amp;$BI$1)</f>
        <v>132</v>
      </c>
      <c r="BM102" s="208">
        <f>SUMIFS(領用表!$L:$L,領用表!$E:$E,$B102,領用表!$B:$B,BM$2&amp;$BI$1)</f>
        <v>130</v>
      </c>
      <c r="BN102" s="208">
        <f>SUMIFS(領用表!$L:$L,領用表!$E:$E,$B102,領用表!$B:$B,BN$2&amp;$BI$1)</f>
        <v>0</v>
      </c>
      <c r="BO102" s="208">
        <f>SUMIFS(領用表!$L:$L,領用表!$E:$E,$B102,領用表!$B:$B,BO$2&amp;$BI$1)</f>
        <v>0</v>
      </c>
      <c r="BP102" s="208">
        <f>SUMIFS(領用表!$L:$L,領用表!$E:$E,$B102,領用表!$B:$B,BP$2&amp;$BI$1)</f>
        <v>0</v>
      </c>
      <c r="BQ102" s="208">
        <f>SUMIFS(領用表!$L:$L,領用表!$E:$E,$B102,領用表!$B:$B,BQ$2&amp;$BI$1)</f>
        <v>0</v>
      </c>
      <c r="BR102" s="208">
        <f>SUMIFS(領用表!$L:$L,領用表!$E:$E,$B102,領用表!$B:$B,BR$2&amp;$BI$1)</f>
        <v>0</v>
      </c>
      <c r="BS102" s="208">
        <f>SUMIFS(領用表!$L:$L,領用表!$E:$E,$B102,領用表!$B:$B,BS$2&amp;$BI$1)</f>
        <v>0</v>
      </c>
      <c r="BT102" s="208">
        <f>SUMIFS(領用表!$L:$L,領用表!$E:$E,$B102,領用表!$B:$B,BT$2&amp;$BI$1)</f>
        <v>0</v>
      </c>
      <c r="BU102" s="208">
        <f t="shared" si="16"/>
        <v>749</v>
      </c>
      <c r="BV102" s="208">
        <f t="shared" si="21"/>
        <v>149.80000000000001</v>
      </c>
      <c r="BW102" s="208">
        <f>SUMIF(Summary!B:B,B102,Summary!DT:DT)</f>
        <v>0</v>
      </c>
      <c r="BX102" s="384"/>
      <c r="BY102" s="340"/>
      <c r="BZ102" s="341"/>
      <c r="CA102" s="340"/>
      <c r="CB102" s="136"/>
      <c r="CC102" s="136"/>
      <c r="CE102" s="213"/>
    </row>
    <row r="103" spans="1:83" s="118" customFormat="1" ht="15.75" customHeight="1">
      <c r="A103" s="136"/>
      <c r="B103" s="118">
        <v>6120014</v>
      </c>
      <c r="C103" s="135" t="s">
        <v>510</v>
      </c>
      <c r="D103" s="285"/>
      <c r="E103" s="198" t="s">
        <v>831</v>
      </c>
      <c r="F103" s="349"/>
      <c r="G103" s="349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83"/>
      <c r="AB103" s="283"/>
      <c r="AC103" s="283"/>
      <c r="AD103" s="283"/>
      <c r="AE103" s="283"/>
      <c r="AF103" s="283"/>
      <c r="AG103" s="201"/>
      <c r="AH103" s="201"/>
      <c r="AI103" s="201"/>
      <c r="AJ103" s="201"/>
      <c r="AK103" s="201"/>
      <c r="AL103" s="201"/>
      <c r="AM103" s="201"/>
      <c r="AN103" s="201"/>
      <c r="AO103" s="201"/>
      <c r="AP103" s="201"/>
      <c r="AQ103" s="201"/>
      <c r="AR103" s="201">
        <v>0</v>
      </c>
      <c r="AS103" s="283">
        <f t="shared" si="25"/>
        <v>0</v>
      </c>
      <c r="AT103" s="286">
        <f t="shared" si="26"/>
        <v>0</v>
      </c>
      <c r="AU103" s="201">
        <v>0</v>
      </c>
      <c r="AV103" s="201">
        <v>0</v>
      </c>
      <c r="AW103" s="201">
        <v>92</v>
      </c>
      <c r="AX103" s="201">
        <v>60</v>
      </c>
      <c r="AY103" s="201">
        <f>0+80</f>
        <v>80</v>
      </c>
      <c r="AZ103" s="203">
        <f>SUMIFS(領用表!$L:$L,領用表!$E:$E,$B103,領用表!$B:$B,AZ$2&amp;$BI$1)</f>
        <v>0</v>
      </c>
      <c r="BA103" s="203">
        <f>SUMIFS(領用表!$L:$L,領用表!$E:$E,$B103,領用表!$B:$B,BA$2&amp;$BI$1)</f>
        <v>0</v>
      </c>
      <c r="BB103" s="203">
        <f>SUMIFS(領用表!$L:$L,領用表!$E:$E,$B103,領用表!$B:$B,BB$2&amp;$BI$1)</f>
        <v>0</v>
      </c>
      <c r="BC103" s="203">
        <f>SUMIFS(領用表!$L:$L,領用表!$E:$E,$B103,領用表!$B:$B,BC$2&amp;$BI$1)</f>
        <v>0</v>
      </c>
      <c r="BD103" s="208">
        <f>SUMIFS(領用表!$L:$L,領用表!$E:$E,$B103,領用表!$B:$B,BD$2&amp;$BI$1)</f>
        <v>0</v>
      </c>
      <c r="BE103" s="208">
        <f>SUMIFS(領用表!$L:$L,領用表!$E:$E,$B103,領用表!$B:$B,BE$2&amp;$BI$1)</f>
        <v>0</v>
      </c>
      <c r="BF103" s="208">
        <f>SUMIFS(領用表!$L:$L,領用表!$E:$E,$B103,領用表!$B:$B,BF$2&amp;$BI$1)</f>
        <v>0</v>
      </c>
      <c r="BG103" s="207">
        <f t="shared" si="27"/>
        <v>232</v>
      </c>
      <c r="BH103" s="207">
        <f t="shared" si="28"/>
        <v>19.333333333333332</v>
      </c>
      <c r="BI103" s="208">
        <f>SUMIFS(領用表!$L:$L,領用表!$E:$E,$B103,領用表!$B:$B,BI$2&amp;$BI$1)</f>
        <v>0</v>
      </c>
      <c r="BJ103" s="208">
        <f>SUMIFS(領用表!$L:$L,領用表!$E:$E,$B103,領用表!$B:$B,BJ$2&amp;$BI$1)</f>
        <v>0</v>
      </c>
      <c r="BK103" s="208">
        <f>SUMIFS(領用表!$L:$L,領用表!$E:$E,$B103,領用表!$B:$B,BK$2&amp;$BI$1)</f>
        <v>0</v>
      </c>
      <c r="BL103" s="208">
        <f>SUMIFS(領用表!$L:$L,領用表!$E:$E,$B103,領用表!$B:$B,BL$2&amp;$BI$1)</f>
        <v>0</v>
      </c>
      <c r="BM103" s="208">
        <f>SUMIFS(領用表!$L:$L,領用表!$E:$E,$B103,領用表!$B:$B,BM$2&amp;$BI$1)</f>
        <v>0</v>
      </c>
      <c r="BN103" s="208">
        <f>SUMIFS(領用表!$L:$L,領用表!$E:$E,$B103,領用表!$B:$B,BN$2&amp;$BI$1)</f>
        <v>0</v>
      </c>
      <c r="BO103" s="208">
        <f>SUMIFS(領用表!$L:$L,領用表!$E:$E,$B103,領用表!$B:$B,BO$2&amp;$BI$1)</f>
        <v>0</v>
      </c>
      <c r="BP103" s="208">
        <f>SUMIFS(領用表!$L:$L,領用表!$E:$E,$B103,領用表!$B:$B,BP$2&amp;$BI$1)</f>
        <v>0</v>
      </c>
      <c r="BQ103" s="208">
        <f>SUMIFS(領用表!$L:$L,領用表!$E:$E,$B103,領用表!$B:$B,BQ$2&amp;$BI$1)</f>
        <v>0</v>
      </c>
      <c r="BR103" s="208">
        <f>SUMIFS(領用表!$L:$L,領用表!$E:$E,$B103,領用表!$B:$B,BR$2&amp;$BI$1)</f>
        <v>0</v>
      </c>
      <c r="BS103" s="208">
        <f>SUMIFS(領用表!$L:$L,領用表!$E:$E,$B103,領用表!$B:$B,BS$2&amp;$BI$1)</f>
        <v>0</v>
      </c>
      <c r="BT103" s="208">
        <f>SUMIFS(領用表!$L:$L,領用表!$E:$E,$B103,領用表!$B:$B,BT$2&amp;$BI$1)</f>
        <v>0</v>
      </c>
      <c r="BU103" s="208">
        <f t="shared" si="16"/>
        <v>0</v>
      </c>
      <c r="BV103" s="208">
        <f t="shared" si="21"/>
        <v>0</v>
      </c>
      <c r="BW103" s="208">
        <f>SUMIF(Summary!B:B,B103,Summary!DT:DT)</f>
        <v>0</v>
      </c>
      <c r="BX103" s="384"/>
      <c r="BY103" s="340"/>
      <c r="BZ103" s="340"/>
      <c r="CA103" s="340"/>
      <c r="CB103" s="136"/>
      <c r="CC103" s="136"/>
      <c r="CE103" s="213"/>
    </row>
    <row r="104" spans="1:83" s="118" customFormat="1" ht="15.75" customHeight="1">
      <c r="A104" s="136"/>
      <c r="B104" s="118">
        <v>6120015</v>
      </c>
      <c r="C104" s="136" t="s">
        <v>517</v>
      </c>
      <c r="D104" s="307"/>
      <c r="E104" s="198" t="s">
        <v>15</v>
      </c>
      <c r="F104" s="349"/>
      <c r="G104" s="349"/>
      <c r="H104" s="349"/>
      <c r="I104" s="349"/>
      <c r="J104" s="349"/>
      <c r="K104" s="349"/>
      <c r="L104" s="349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  <c r="X104" s="283"/>
      <c r="Y104" s="283"/>
      <c r="Z104" s="283"/>
      <c r="AA104" s="283"/>
      <c r="AB104" s="283"/>
      <c r="AC104" s="283"/>
      <c r="AD104" s="283"/>
      <c r="AE104" s="283"/>
      <c r="AF104" s="283"/>
      <c r="AG104" s="201"/>
      <c r="AH104" s="201"/>
      <c r="AI104" s="201"/>
      <c r="AJ104" s="201"/>
      <c r="AK104" s="201"/>
      <c r="AL104" s="201"/>
      <c r="AM104" s="201"/>
      <c r="AN104" s="201">
        <v>0</v>
      </c>
      <c r="AO104" s="201">
        <v>0</v>
      </c>
      <c r="AP104" s="201">
        <v>0</v>
      </c>
      <c r="AQ104" s="201">
        <v>0</v>
      </c>
      <c r="AR104" s="201">
        <v>0</v>
      </c>
      <c r="AS104" s="283">
        <f t="shared" si="25"/>
        <v>0</v>
      </c>
      <c r="AT104" s="286">
        <f t="shared" si="26"/>
        <v>0</v>
      </c>
      <c r="AU104" s="201">
        <v>0</v>
      </c>
      <c r="AV104" s="201">
        <v>0</v>
      </c>
      <c r="AW104" s="201">
        <v>10</v>
      </c>
      <c r="AX104" s="201">
        <v>32</v>
      </c>
      <c r="AY104" s="201">
        <f>76+7</f>
        <v>83</v>
      </c>
      <c r="AZ104" s="203">
        <f>SUMIFS(領用表!$L:$L,領用表!$E:$E,$B104,領用表!$B:$B,AZ$2&amp;$BI$1)</f>
        <v>40</v>
      </c>
      <c r="BA104" s="203">
        <f>SUMIFS(領用表!$L:$L,領用表!$E:$E,$B104,領用表!$B:$B,BA$2&amp;$BI$1)</f>
        <v>84</v>
      </c>
      <c r="BB104" s="203">
        <f>SUMIFS(領用表!$L:$L,領用表!$E:$E,$B104,領用表!$B:$B,BB$2&amp;$BI$1)</f>
        <v>168</v>
      </c>
      <c r="BC104" s="203">
        <f>SUMIFS(領用表!$L:$L,領用表!$E:$E,$B104,領用表!$B:$B,BC$2&amp;$BI$1)</f>
        <v>204</v>
      </c>
      <c r="BD104" s="208">
        <f>SUMIFS(領用表!$L:$L,領用表!$E:$E,$B104,領用表!$B:$B,BD$2&amp;$BI$1)</f>
        <v>207</v>
      </c>
      <c r="BE104" s="208">
        <f>SUMIFS(領用表!$L:$L,領用表!$E:$E,$B104,領用表!$B:$B,BE$2&amp;$BI$1)</f>
        <v>259</v>
      </c>
      <c r="BF104" s="208">
        <f>SUMIFS(領用表!$L:$L,領用表!$E:$E,$B104,領用表!$B:$B,BF$2&amp;$BI$1)</f>
        <v>237</v>
      </c>
      <c r="BG104" s="207">
        <f t="shared" si="27"/>
        <v>1324</v>
      </c>
      <c r="BH104" s="207">
        <f t="shared" si="28"/>
        <v>110.33333333333333</v>
      </c>
      <c r="BI104" s="208">
        <f>SUMIFS(領用表!$L:$L,領用表!$E:$E,$B104,領用表!$B:$B,BI$2&amp;$BI$1)</f>
        <v>220</v>
      </c>
      <c r="BJ104" s="208">
        <f>SUMIFS(領用表!$L:$L,領用表!$E:$E,$B104,領用表!$B:$B,BJ$2&amp;$BI$1)</f>
        <v>145</v>
      </c>
      <c r="BK104" s="208">
        <f>SUMIFS(領用表!$L:$L,領用表!$E:$E,$B104,領用表!$B:$B,BK$2&amp;$BI$1)</f>
        <v>169</v>
      </c>
      <c r="BL104" s="208">
        <f>SUMIFS(領用表!$L:$L,領用表!$E:$E,$B104,領用表!$B:$B,BL$2&amp;$BI$1)</f>
        <v>151</v>
      </c>
      <c r="BM104" s="208">
        <f>SUMIFS(領用表!$L:$L,領用表!$E:$E,$B104,領用表!$B:$B,BM$2&amp;$BI$1)</f>
        <v>150</v>
      </c>
      <c r="BN104" s="208">
        <f>SUMIFS(領用表!$L:$L,領用表!$E:$E,$B104,領用表!$B:$B,BN$2&amp;$BI$1)</f>
        <v>0</v>
      </c>
      <c r="BO104" s="208">
        <f>SUMIFS(領用表!$L:$L,領用表!$E:$E,$B104,領用表!$B:$B,BO$2&amp;$BI$1)</f>
        <v>0</v>
      </c>
      <c r="BP104" s="208">
        <f>SUMIFS(領用表!$L:$L,領用表!$E:$E,$B104,領用表!$B:$B,BP$2&amp;$BI$1)</f>
        <v>0</v>
      </c>
      <c r="BQ104" s="208">
        <f>SUMIFS(領用表!$L:$L,領用表!$E:$E,$B104,領用表!$B:$B,BQ$2&amp;$BI$1)</f>
        <v>0</v>
      </c>
      <c r="BR104" s="208">
        <f>SUMIFS(領用表!$L:$L,領用表!$E:$E,$B104,領用表!$B:$B,BR$2&amp;$BI$1)</f>
        <v>0</v>
      </c>
      <c r="BS104" s="208">
        <f>SUMIFS(領用表!$L:$L,領用表!$E:$E,$B104,領用表!$B:$B,BS$2&amp;$BI$1)</f>
        <v>0</v>
      </c>
      <c r="BT104" s="208">
        <f>SUMIFS(領用表!$L:$L,領用表!$E:$E,$B104,領用表!$B:$B,BT$2&amp;$BI$1)</f>
        <v>0</v>
      </c>
      <c r="BU104" s="208">
        <f t="shared" si="16"/>
        <v>835</v>
      </c>
      <c r="BV104" s="208">
        <f t="shared" si="21"/>
        <v>167</v>
      </c>
      <c r="BW104" s="208">
        <f>SUMIF(Summary!B:B,B104,Summary!DT:DT)</f>
        <v>0</v>
      </c>
      <c r="BX104" s="384"/>
      <c r="BY104" s="340"/>
      <c r="BZ104" s="341" t="s">
        <v>159</v>
      </c>
      <c r="CA104" s="340"/>
      <c r="CB104" s="136"/>
      <c r="CC104" s="289"/>
    </row>
    <row r="105" spans="1:83" s="118" customFormat="1" ht="15.75" customHeight="1">
      <c r="A105" s="136"/>
      <c r="B105" s="118">
        <v>6120016</v>
      </c>
      <c r="C105" s="136" t="s">
        <v>518</v>
      </c>
      <c r="D105" s="307"/>
      <c r="E105" s="198" t="s">
        <v>15</v>
      </c>
      <c r="F105" s="349">
        <v>459</v>
      </c>
      <c r="G105" s="349"/>
      <c r="H105" s="349"/>
      <c r="I105" s="349"/>
      <c r="J105" s="349"/>
      <c r="K105" s="349"/>
      <c r="L105" s="349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  <c r="AA105" s="283"/>
      <c r="AB105" s="283"/>
      <c r="AC105" s="283"/>
      <c r="AD105" s="283"/>
      <c r="AE105" s="283"/>
      <c r="AF105" s="283"/>
      <c r="AG105" s="201"/>
      <c r="AH105" s="201"/>
      <c r="AI105" s="201"/>
      <c r="AJ105" s="201"/>
      <c r="AK105" s="201"/>
      <c r="AL105" s="201"/>
      <c r="AM105" s="201"/>
      <c r="AN105" s="201">
        <v>0</v>
      </c>
      <c r="AO105" s="201">
        <v>0</v>
      </c>
      <c r="AP105" s="201">
        <v>0</v>
      </c>
      <c r="AQ105" s="201">
        <v>0</v>
      </c>
      <c r="AR105" s="201">
        <v>0</v>
      </c>
      <c r="AS105" s="283">
        <f t="shared" si="25"/>
        <v>0</v>
      </c>
      <c r="AT105" s="286">
        <f t="shared" si="26"/>
        <v>0</v>
      </c>
      <c r="AU105" s="201">
        <v>0</v>
      </c>
      <c r="AV105" s="201">
        <v>0</v>
      </c>
      <c r="AW105" s="201">
        <v>10</v>
      </c>
      <c r="AX105" s="201">
        <v>94</v>
      </c>
      <c r="AY105" s="201">
        <f>21+57</f>
        <v>78</v>
      </c>
      <c r="AZ105" s="203">
        <f>SUMIFS(領用表!$L:$L,領用表!$E:$E,$B105,領用表!$B:$B,AZ$2&amp;$BI$1)</f>
        <v>38</v>
      </c>
      <c r="BA105" s="203">
        <f>SUMIFS(領用表!$L:$L,領用表!$E:$E,$B105,領用表!$B:$B,BA$2&amp;$BI$1)</f>
        <v>84</v>
      </c>
      <c r="BB105" s="203">
        <f>SUMIFS(領用表!$L:$L,領用表!$E:$E,$B105,領用表!$B:$B,BB$2&amp;$BI$1)</f>
        <v>167</v>
      </c>
      <c r="BC105" s="203">
        <f>SUMIFS(領用表!$L:$L,領用表!$E:$E,$B105,領用表!$B:$B,BC$2&amp;$BI$1)</f>
        <v>204</v>
      </c>
      <c r="BD105" s="208">
        <f>SUMIFS(領用表!$L:$L,領用表!$E:$E,$B105,領用表!$B:$B,BD$2&amp;$BI$1)</f>
        <v>207</v>
      </c>
      <c r="BE105" s="208">
        <f>SUMIFS(領用表!$L:$L,領用表!$E:$E,$B105,領用表!$B:$B,BE$2&amp;$BI$1)</f>
        <v>259</v>
      </c>
      <c r="BF105" s="208">
        <f>SUMIFS(領用表!$L:$L,領用表!$E:$E,$B105,領用表!$B:$B,BF$2&amp;$BI$1)</f>
        <v>237</v>
      </c>
      <c r="BG105" s="207">
        <f t="shared" si="27"/>
        <v>1378</v>
      </c>
      <c r="BH105" s="207">
        <f t="shared" si="28"/>
        <v>114.83333333333333</v>
      </c>
      <c r="BI105" s="208">
        <f>SUMIFS(領用表!$L:$L,領用表!$E:$E,$B105,領用表!$B:$B,BI$2&amp;$BI$1)</f>
        <v>220</v>
      </c>
      <c r="BJ105" s="208">
        <f>SUMIFS(領用表!$L:$L,領用表!$E:$E,$B105,領用表!$B:$B,BJ$2&amp;$BI$1)</f>
        <v>144</v>
      </c>
      <c r="BK105" s="208">
        <f>SUMIFS(領用表!$L:$L,領用表!$E:$E,$B105,領用表!$B:$B,BK$2&amp;$BI$1)</f>
        <v>169</v>
      </c>
      <c r="BL105" s="208">
        <f>SUMIFS(領用表!$L:$L,領用表!$E:$E,$B105,領用表!$B:$B,BL$2&amp;$BI$1)</f>
        <v>151</v>
      </c>
      <c r="BM105" s="208">
        <f>SUMIFS(領用表!$L:$L,領用表!$E:$E,$B105,領用表!$B:$B,BM$2&amp;$BI$1)</f>
        <v>150</v>
      </c>
      <c r="BN105" s="208">
        <f>SUMIFS(領用表!$L:$L,領用表!$E:$E,$B105,領用表!$B:$B,BN$2&amp;$BI$1)</f>
        <v>0</v>
      </c>
      <c r="BO105" s="208">
        <f>SUMIFS(領用表!$L:$L,領用表!$E:$E,$B105,領用表!$B:$B,BO$2&amp;$BI$1)</f>
        <v>0</v>
      </c>
      <c r="BP105" s="208">
        <f>SUMIFS(領用表!$L:$L,領用表!$E:$E,$B105,領用表!$B:$B,BP$2&amp;$BI$1)</f>
        <v>0</v>
      </c>
      <c r="BQ105" s="208">
        <f>SUMIFS(領用表!$L:$L,領用表!$E:$E,$B105,領用表!$B:$B,BQ$2&amp;$BI$1)</f>
        <v>0</v>
      </c>
      <c r="BR105" s="208">
        <f>SUMIFS(領用表!$L:$L,領用表!$E:$E,$B105,領用表!$B:$B,BR$2&amp;$BI$1)</f>
        <v>0</v>
      </c>
      <c r="BS105" s="208">
        <f>SUMIFS(領用表!$L:$L,領用表!$E:$E,$B105,領用表!$B:$B,BS$2&amp;$BI$1)</f>
        <v>0</v>
      </c>
      <c r="BT105" s="208">
        <f>SUMIFS(領用表!$L:$L,領用表!$E:$E,$B105,領用表!$B:$B,BT$2&amp;$BI$1)</f>
        <v>0</v>
      </c>
      <c r="BU105" s="208">
        <f t="shared" si="16"/>
        <v>834</v>
      </c>
      <c r="BV105" s="208">
        <f t="shared" si="21"/>
        <v>166.8</v>
      </c>
      <c r="BW105" s="208">
        <f>SUMIF(Summary!B:B,B105,Summary!DT:DT)</f>
        <v>0</v>
      </c>
      <c r="BX105" s="384"/>
      <c r="BY105" s="340"/>
      <c r="BZ105" s="341" t="s">
        <v>163</v>
      </c>
      <c r="CA105" s="340" t="s">
        <v>164</v>
      </c>
      <c r="CB105" s="136"/>
      <c r="CC105" s="289"/>
    </row>
    <row r="106" spans="1:83" s="118" customFormat="1" ht="15.75" customHeight="1">
      <c r="A106" s="136"/>
      <c r="B106" s="118">
        <v>6120017</v>
      </c>
      <c r="C106" s="136" t="s">
        <v>528</v>
      </c>
      <c r="D106" s="307"/>
      <c r="E106" s="198" t="s">
        <v>15</v>
      </c>
      <c r="F106" s="349">
        <v>0</v>
      </c>
      <c r="G106" s="349"/>
      <c r="H106" s="349"/>
      <c r="I106" s="349"/>
      <c r="J106" s="349"/>
      <c r="K106" s="349"/>
      <c r="L106" s="349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283"/>
      <c r="AD106" s="283"/>
      <c r="AE106" s="283"/>
      <c r="AF106" s="283"/>
      <c r="AG106" s="201"/>
      <c r="AH106" s="201"/>
      <c r="AI106" s="201"/>
      <c r="AJ106" s="201"/>
      <c r="AK106" s="201"/>
      <c r="AL106" s="201"/>
      <c r="AM106" s="201"/>
      <c r="AN106" s="201">
        <v>0</v>
      </c>
      <c r="AO106" s="201">
        <v>0</v>
      </c>
      <c r="AP106" s="201">
        <v>0</v>
      </c>
      <c r="AQ106" s="201">
        <v>0</v>
      </c>
      <c r="AR106" s="201">
        <v>0</v>
      </c>
      <c r="AS106" s="283">
        <f t="shared" si="25"/>
        <v>0</v>
      </c>
      <c r="AT106" s="286">
        <f t="shared" si="26"/>
        <v>0</v>
      </c>
      <c r="AU106" s="201">
        <v>0</v>
      </c>
      <c r="AV106" s="201">
        <v>0</v>
      </c>
      <c r="AW106" s="201">
        <v>0</v>
      </c>
      <c r="AX106" s="201">
        <v>1</v>
      </c>
      <c r="AY106" s="201">
        <f>0+3</f>
        <v>3</v>
      </c>
      <c r="AZ106" s="203">
        <f>SUMIFS(領用表!$L:$L,領用表!$E:$E,$B106,領用表!$B:$B,AZ$2&amp;$BI$1)</f>
        <v>0</v>
      </c>
      <c r="BA106" s="203">
        <f>SUMIFS(領用表!$L:$L,領用表!$E:$E,$B106,領用表!$B:$B,BA$2&amp;$BI$1)</f>
        <v>0</v>
      </c>
      <c r="BB106" s="203">
        <f>SUMIFS(領用表!$L:$L,領用表!$E:$E,$B106,領用表!$B:$B,BB$2&amp;$BI$1)</f>
        <v>0</v>
      </c>
      <c r="BC106" s="203">
        <f>SUMIFS(領用表!$L:$L,領用表!$E:$E,$B106,領用表!$B:$B,BC$2&amp;$BI$1)</f>
        <v>0</v>
      </c>
      <c r="BD106" s="208">
        <f>SUMIFS(領用表!$L:$L,領用表!$E:$E,$B106,領用表!$B:$B,BD$2&amp;$BI$1)</f>
        <v>0</v>
      </c>
      <c r="BE106" s="208">
        <f>SUMIFS(領用表!$L:$L,領用表!$E:$E,$B106,領用表!$B:$B,BE$2&amp;$BI$1)</f>
        <v>0</v>
      </c>
      <c r="BF106" s="208">
        <f>SUMIFS(領用表!$L:$L,領用表!$E:$E,$B106,領用表!$B:$B,BF$2&amp;$BI$1)</f>
        <v>0</v>
      </c>
      <c r="BG106" s="207">
        <f t="shared" si="27"/>
        <v>4</v>
      </c>
      <c r="BH106" s="207">
        <f t="shared" si="28"/>
        <v>0.33333333333333331</v>
      </c>
      <c r="BI106" s="208">
        <f>SUMIFS(領用表!$L:$L,領用表!$E:$E,$B106,領用表!$B:$B,BI$2&amp;$BI$1)</f>
        <v>0</v>
      </c>
      <c r="BJ106" s="208">
        <f>SUMIFS(領用表!$L:$L,領用表!$E:$E,$B106,領用表!$B:$B,BJ$2&amp;$BI$1)</f>
        <v>1</v>
      </c>
      <c r="BK106" s="208">
        <f>SUMIFS(領用表!$L:$L,領用表!$E:$E,$B106,領用表!$B:$B,BK$2&amp;$BI$1)</f>
        <v>0</v>
      </c>
      <c r="BL106" s="208">
        <f>SUMIFS(領用表!$L:$L,領用表!$E:$E,$B106,領用表!$B:$B,BL$2&amp;$BI$1)</f>
        <v>0</v>
      </c>
      <c r="BM106" s="208">
        <f>SUMIFS(領用表!$L:$L,領用表!$E:$E,$B106,領用表!$B:$B,BM$2&amp;$BI$1)</f>
        <v>0</v>
      </c>
      <c r="BN106" s="208">
        <f>SUMIFS(領用表!$L:$L,領用表!$E:$E,$B106,領用表!$B:$B,BN$2&amp;$BI$1)</f>
        <v>0</v>
      </c>
      <c r="BO106" s="208">
        <f>SUMIFS(領用表!$L:$L,領用表!$E:$E,$B106,領用表!$B:$B,BO$2&amp;$BI$1)</f>
        <v>0</v>
      </c>
      <c r="BP106" s="208">
        <f>SUMIFS(領用表!$L:$L,領用表!$E:$E,$B106,領用表!$B:$B,BP$2&amp;$BI$1)</f>
        <v>0</v>
      </c>
      <c r="BQ106" s="208">
        <f>SUMIFS(領用表!$L:$L,領用表!$E:$E,$B106,領用表!$B:$B,BQ$2&amp;$BI$1)</f>
        <v>0</v>
      </c>
      <c r="BR106" s="208">
        <f>SUMIFS(領用表!$L:$L,領用表!$E:$E,$B106,領用表!$B:$B,BR$2&amp;$BI$1)</f>
        <v>0</v>
      </c>
      <c r="BS106" s="208">
        <f>SUMIFS(領用表!$L:$L,領用表!$E:$E,$B106,領用表!$B:$B,BS$2&amp;$BI$1)</f>
        <v>0</v>
      </c>
      <c r="BT106" s="208">
        <f>SUMIFS(領用表!$L:$L,領用表!$E:$E,$B106,領用表!$B:$B,BT$2&amp;$BI$1)</f>
        <v>0</v>
      </c>
      <c r="BU106" s="208">
        <f t="shared" si="16"/>
        <v>1</v>
      </c>
      <c r="BV106" s="208">
        <f t="shared" si="21"/>
        <v>0.2</v>
      </c>
      <c r="BW106" s="208">
        <f>SUMIF(Summary!B:B,B106,Summary!DT:DT)</f>
        <v>0</v>
      </c>
      <c r="BX106" s="258"/>
      <c r="BY106" s="340"/>
      <c r="BZ106" s="340"/>
      <c r="CA106" s="340"/>
      <c r="CB106" s="136"/>
      <c r="CC106" s="289"/>
    </row>
    <row r="107" spans="1:83" s="118" customFormat="1" ht="15.75" customHeight="1">
      <c r="A107" s="136"/>
      <c r="B107" s="118">
        <v>6120018</v>
      </c>
      <c r="C107" s="136" t="s">
        <v>526</v>
      </c>
      <c r="D107" s="307"/>
      <c r="E107" s="198" t="s">
        <v>15</v>
      </c>
      <c r="F107" s="349">
        <v>146</v>
      </c>
      <c r="G107" s="349"/>
      <c r="H107" s="349"/>
      <c r="I107" s="349"/>
      <c r="J107" s="349"/>
      <c r="K107" s="349"/>
      <c r="L107" s="349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83"/>
      <c r="AB107" s="283"/>
      <c r="AC107" s="283"/>
      <c r="AD107" s="283"/>
      <c r="AE107" s="283"/>
      <c r="AF107" s="283"/>
      <c r="AG107" s="201"/>
      <c r="AH107" s="201"/>
      <c r="AI107" s="201"/>
      <c r="AJ107" s="201"/>
      <c r="AK107" s="201"/>
      <c r="AL107" s="201"/>
      <c r="AM107" s="201"/>
      <c r="AN107" s="201">
        <v>0</v>
      </c>
      <c r="AO107" s="201">
        <v>0</v>
      </c>
      <c r="AP107" s="201">
        <v>0</v>
      </c>
      <c r="AQ107" s="201">
        <v>0</v>
      </c>
      <c r="AR107" s="201">
        <v>0</v>
      </c>
      <c r="AS107" s="283">
        <f t="shared" si="25"/>
        <v>0</v>
      </c>
      <c r="AT107" s="286">
        <f t="shared" si="26"/>
        <v>0</v>
      </c>
      <c r="AU107" s="201">
        <v>0</v>
      </c>
      <c r="AV107" s="201">
        <v>0</v>
      </c>
      <c r="AW107" s="201">
        <v>17</v>
      </c>
      <c r="AX107" s="201">
        <v>13</v>
      </c>
      <c r="AY107" s="201">
        <v>9</v>
      </c>
      <c r="AZ107" s="203">
        <f>SUMIFS(領用表!$L:$L,領用表!$E:$E,$B107,領用表!$B:$B,AZ$2&amp;$BI$1)</f>
        <v>9</v>
      </c>
      <c r="BA107" s="203">
        <f>SUMIFS(領用表!$L:$L,領用表!$E:$E,$B107,領用表!$B:$B,BA$2&amp;$BI$1)</f>
        <v>11</v>
      </c>
      <c r="BB107" s="203">
        <f>SUMIFS(領用表!$L:$L,領用表!$E:$E,$B107,領用表!$B:$B,BB$2&amp;$BI$1)</f>
        <v>14</v>
      </c>
      <c r="BC107" s="203">
        <f>SUMIFS(領用表!$L:$L,領用表!$E:$E,$B107,領用表!$B:$B,BC$2&amp;$BI$1)</f>
        <v>18</v>
      </c>
      <c r="BD107" s="208">
        <f>SUMIFS(領用表!$L:$L,領用表!$E:$E,$B107,領用表!$B:$B,BD$2&amp;$BI$1)</f>
        <v>30</v>
      </c>
      <c r="BE107" s="208">
        <f>SUMIFS(領用表!$L:$L,領用表!$E:$E,$B107,領用表!$B:$B,BE$2&amp;$BI$1)</f>
        <v>32</v>
      </c>
      <c r="BF107" s="208">
        <f>SUMIFS(領用表!$L:$L,領用表!$E:$E,$B107,領用表!$B:$B,BF$2&amp;$BI$1)</f>
        <v>20</v>
      </c>
      <c r="BG107" s="207">
        <f t="shared" si="27"/>
        <v>173</v>
      </c>
      <c r="BH107" s="207">
        <f t="shared" si="28"/>
        <v>14.416666666666666</v>
      </c>
      <c r="BI107" s="208">
        <f>SUMIFS(領用表!$L:$L,領用表!$E:$E,$B107,領用表!$B:$B,BI$2&amp;$BI$1)</f>
        <v>49</v>
      </c>
      <c r="BJ107" s="208">
        <f>SUMIFS(領用表!$L:$L,領用表!$E:$E,$B107,領用表!$B:$B,BJ$2&amp;$BI$1)</f>
        <v>51</v>
      </c>
      <c r="BK107" s="208">
        <f>SUMIFS(領用表!$L:$L,領用表!$E:$E,$B107,領用表!$B:$B,BK$2&amp;$BI$1)</f>
        <v>84</v>
      </c>
      <c r="BL107" s="208">
        <f>SUMIFS(領用表!$L:$L,領用表!$E:$E,$B107,領用表!$B:$B,BL$2&amp;$BI$1)</f>
        <v>87</v>
      </c>
      <c r="BM107" s="208">
        <f>SUMIFS(領用表!$L:$L,領用表!$E:$E,$B107,領用表!$B:$B,BM$2&amp;$BI$1)</f>
        <v>100</v>
      </c>
      <c r="BN107" s="208">
        <f>SUMIFS(領用表!$L:$L,領用表!$E:$E,$B107,領用表!$B:$B,BN$2&amp;$BI$1)</f>
        <v>0</v>
      </c>
      <c r="BO107" s="208">
        <f>SUMIFS(領用表!$L:$L,領用表!$E:$E,$B107,領用表!$B:$B,BO$2&amp;$BI$1)</f>
        <v>0</v>
      </c>
      <c r="BP107" s="208">
        <f>SUMIFS(領用表!$L:$L,領用表!$E:$E,$B107,領用表!$B:$B,BP$2&amp;$BI$1)</f>
        <v>0</v>
      </c>
      <c r="BQ107" s="208">
        <f>SUMIFS(領用表!$L:$L,領用表!$E:$E,$B107,領用表!$B:$B,BQ$2&amp;$BI$1)</f>
        <v>0</v>
      </c>
      <c r="BR107" s="208">
        <f>SUMIFS(領用表!$L:$L,領用表!$E:$E,$B107,領用表!$B:$B,BR$2&amp;$BI$1)</f>
        <v>0</v>
      </c>
      <c r="BS107" s="208">
        <f>SUMIFS(領用表!$L:$L,領用表!$E:$E,$B107,領用表!$B:$B,BS$2&amp;$BI$1)</f>
        <v>0</v>
      </c>
      <c r="BT107" s="208">
        <f>SUMIFS(領用表!$L:$L,領用表!$E:$E,$B107,領用表!$B:$B,BT$2&amp;$BI$1)</f>
        <v>0</v>
      </c>
      <c r="BU107" s="208">
        <f t="shared" si="16"/>
        <v>371</v>
      </c>
      <c r="BV107" s="208">
        <f t="shared" si="21"/>
        <v>74.2</v>
      </c>
      <c r="BW107" s="208">
        <f>SUMIF(Summary!B:B,B107,Summary!DT:DT)</f>
        <v>0</v>
      </c>
      <c r="BX107" s="258"/>
      <c r="BY107" s="340"/>
      <c r="BZ107" s="341" t="s">
        <v>165</v>
      </c>
      <c r="CA107" s="340"/>
      <c r="CB107" s="136"/>
      <c r="CC107" s="289"/>
    </row>
    <row r="108" spans="1:83" s="118" customFormat="1" ht="15.75" customHeight="1">
      <c r="A108" s="136"/>
      <c r="B108" s="118">
        <v>6120019</v>
      </c>
      <c r="C108" s="136" t="s">
        <v>537</v>
      </c>
      <c r="D108" s="285"/>
      <c r="E108" s="198" t="s">
        <v>15</v>
      </c>
      <c r="F108" s="349">
        <v>0</v>
      </c>
      <c r="G108" s="349"/>
      <c r="H108" s="349"/>
      <c r="I108" s="349"/>
      <c r="J108" s="349"/>
      <c r="K108" s="349"/>
      <c r="L108" s="349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83"/>
      <c r="AB108" s="283"/>
      <c r="AC108" s="283"/>
      <c r="AD108" s="283"/>
      <c r="AE108" s="283"/>
      <c r="AF108" s="283"/>
      <c r="AG108" s="201"/>
      <c r="AH108" s="201"/>
      <c r="AI108" s="201"/>
      <c r="AJ108" s="201"/>
      <c r="AK108" s="201"/>
      <c r="AL108" s="201"/>
      <c r="AM108" s="201"/>
      <c r="AN108" s="201"/>
      <c r="AO108" s="201"/>
      <c r="AP108" s="201"/>
      <c r="AQ108" s="201"/>
      <c r="AR108" s="201"/>
      <c r="AS108" s="283">
        <f t="shared" si="25"/>
        <v>0</v>
      </c>
      <c r="AT108" s="286">
        <f t="shared" si="26"/>
        <v>0</v>
      </c>
      <c r="AU108" s="201">
        <v>0</v>
      </c>
      <c r="AV108" s="201">
        <v>0</v>
      </c>
      <c r="AW108" s="201">
        <v>0</v>
      </c>
      <c r="AX108" s="201">
        <v>0</v>
      </c>
      <c r="AY108" s="201">
        <v>5</v>
      </c>
      <c r="AZ108" s="203">
        <f>SUMIFS(領用表!$L:$L,領用表!$E:$E,$B108,領用表!$B:$B,AZ$2&amp;$BI$1)</f>
        <v>0</v>
      </c>
      <c r="BA108" s="203">
        <f>SUMIFS(領用表!$L:$L,領用表!$E:$E,$B108,領用表!$B:$B,BA$2&amp;$BI$1)</f>
        <v>0</v>
      </c>
      <c r="BB108" s="203">
        <f>SUMIFS(領用表!$L:$L,領用表!$E:$E,$B108,領用表!$B:$B,BB$2&amp;$BI$1)</f>
        <v>0</v>
      </c>
      <c r="BC108" s="203">
        <f>SUMIFS(領用表!$L:$L,領用表!$E:$E,$B108,領用表!$B:$B,BC$2&amp;$BI$1)</f>
        <v>0</v>
      </c>
      <c r="BD108" s="208">
        <f>SUMIFS(領用表!$L:$L,領用表!$E:$E,$B108,領用表!$B:$B,BD$2&amp;$BI$1)</f>
        <v>0</v>
      </c>
      <c r="BE108" s="208">
        <f>SUMIFS(領用表!$L:$L,領用表!$E:$E,$B108,領用表!$B:$B,BE$2&amp;$BI$1)</f>
        <v>0</v>
      </c>
      <c r="BF108" s="208">
        <f>SUMIFS(領用表!$L:$L,領用表!$E:$E,$B108,領用表!$B:$B,BF$2&amp;$BI$1)</f>
        <v>0</v>
      </c>
      <c r="BG108" s="207">
        <f t="shared" si="27"/>
        <v>5</v>
      </c>
      <c r="BH108" s="207">
        <f t="shared" si="28"/>
        <v>0.41666666666666669</v>
      </c>
      <c r="BI108" s="208">
        <f>SUMIFS(領用表!$L:$L,領用表!$E:$E,$B108,領用表!$B:$B,BI$2&amp;$BI$1)</f>
        <v>0</v>
      </c>
      <c r="BJ108" s="208">
        <f>SUMIFS(領用表!$L:$L,領用表!$E:$E,$B108,領用表!$B:$B,BJ$2&amp;$BI$1)</f>
        <v>0</v>
      </c>
      <c r="BK108" s="208">
        <f>SUMIFS(領用表!$L:$L,領用表!$E:$E,$B108,領用表!$B:$B,BK$2&amp;$BI$1)</f>
        <v>0</v>
      </c>
      <c r="BL108" s="208">
        <f>SUMIFS(領用表!$L:$L,領用表!$E:$E,$B108,領用表!$B:$B,BL$2&amp;$BI$1)</f>
        <v>0</v>
      </c>
      <c r="BM108" s="208">
        <f>SUMIFS(領用表!$L:$L,領用表!$E:$E,$B108,領用表!$B:$B,BM$2&amp;$BI$1)</f>
        <v>0</v>
      </c>
      <c r="BN108" s="208">
        <f>SUMIFS(領用表!$L:$L,領用表!$E:$E,$B108,領用表!$B:$B,BN$2&amp;$BI$1)</f>
        <v>0</v>
      </c>
      <c r="BO108" s="208">
        <f>SUMIFS(領用表!$L:$L,領用表!$E:$E,$B108,領用表!$B:$B,BO$2&amp;$BI$1)</f>
        <v>0</v>
      </c>
      <c r="BP108" s="208">
        <f>SUMIFS(領用表!$L:$L,領用表!$E:$E,$B108,領用表!$B:$B,BP$2&amp;$BI$1)</f>
        <v>0</v>
      </c>
      <c r="BQ108" s="208">
        <f>SUMIFS(領用表!$L:$L,領用表!$E:$E,$B108,領用表!$B:$B,BQ$2&amp;$BI$1)</f>
        <v>0</v>
      </c>
      <c r="BR108" s="208">
        <f>SUMIFS(領用表!$L:$L,領用表!$E:$E,$B108,領用表!$B:$B,BR$2&amp;$BI$1)</f>
        <v>0</v>
      </c>
      <c r="BS108" s="208">
        <f>SUMIFS(領用表!$L:$L,領用表!$E:$E,$B108,領用表!$B:$B,BS$2&amp;$BI$1)</f>
        <v>0</v>
      </c>
      <c r="BT108" s="208">
        <f>SUMIFS(領用表!$L:$L,領用表!$E:$E,$B108,領用表!$B:$B,BT$2&amp;$BI$1)</f>
        <v>0</v>
      </c>
      <c r="BU108" s="208">
        <f t="shared" si="16"/>
        <v>0</v>
      </c>
      <c r="BV108" s="208">
        <f t="shared" si="21"/>
        <v>0</v>
      </c>
      <c r="BW108" s="208">
        <f>SUMIF(Summary!B:B,B108,Summary!DT:DT)</f>
        <v>0</v>
      </c>
      <c r="BX108" s="258"/>
      <c r="BY108" s="340"/>
      <c r="BZ108" s="340"/>
      <c r="CA108" s="340"/>
      <c r="CB108" s="136"/>
      <c r="CC108" s="136"/>
      <c r="CE108" s="213"/>
    </row>
    <row r="109" spans="1:83" s="118" customFormat="1" ht="15.75" customHeight="1">
      <c r="A109" s="136"/>
      <c r="B109" s="118">
        <v>6120020</v>
      </c>
      <c r="C109" s="425" t="s">
        <v>929</v>
      </c>
      <c r="D109" s="285">
        <v>100</v>
      </c>
      <c r="E109" s="198" t="s">
        <v>15</v>
      </c>
      <c r="F109" s="349">
        <v>38</v>
      </c>
      <c r="G109" s="349"/>
      <c r="H109" s="349"/>
      <c r="I109" s="349"/>
      <c r="J109" s="349"/>
      <c r="K109" s="349"/>
      <c r="L109" s="349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83"/>
      <c r="AB109" s="283"/>
      <c r="AC109" s="283"/>
      <c r="AD109" s="283"/>
      <c r="AE109" s="283"/>
      <c r="AF109" s="283"/>
      <c r="AG109" s="201"/>
      <c r="AH109" s="201"/>
      <c r="AI109" s="201"/>
      <c r="AJ109" s="201"/>
      <c r="AK109" s="201"/>
      <c r="AL109" s="201"/>
      <c r="AM109" s="201"/>
      <c r="AN109" s="201"/>
      <c r="AO109" s="201"/>
      <c r="AP109" s="201"/>
      <c r="AQ109" s="201"/>
      <c r="AR109" s="201"/>
      <c r="AS109" s="283">
        <f t="shared" si="25"/>
        <v>0</v>
      </c>
      <c r="AT109" s="286">
        <f t="shared" si="26"/>
        <v>0</v>
      </c>
      <c r="AU109" s="201">
        <v>0</v>
      </c>
      <c r="AV109" s="201">
        <v>0</v>
      </c>
      <c r="AW109" s="201">
        <v>81</v>
      </c>
      <c r="AX109" s="201">
        <v>17</v>
      </c>
      <c r="AY109" s="201">
        <v>11</v>
      </c>
      <c r="AZ109" s="203">
        <f>SUMIFS(領用表!$L:$L,領用表!$E:$E,$B109,領用表!$B:$B,AZ$2&amp;$BI$1)</f>
        <v>33</v>
      </c>
      <c r="BA109" s="203">
        <f>SUMIFS(領用表!$L:$L,領用表!$E:$E,$B109,領用表!$B:$B,BA$2&amp;$BI$1)</f>
        <v>52</v>
      </c>
      <c r="BB109" s="203">
        <f>SUMIFS(領用表!$L:$L,領用表!$E:$E,$B109,領用表!$B:$B,BB$2&amp;$BI$1)</f>
        <v>67</v>
      </c>
      <c r="BC109" s="203">
        <f>SUMIFS(領用表!$L:$L,領用表!$E:$E,$B109,領用表!$B:$B,BC$2&amp;$BI$1)</f>
        <v>76</v>
      </c>
      <c r="BD109" s="208">
        <f>SUMIFS(領用表!$L:$L,領用表!$E:$E,$B109,領用表!$B:$B,BD$2&amp;$BI$1)</f>
        <v>91</v>
      </c>
      <c r="BE109" s="208">
        <f>SUMIFS(領用表!$L:$L,領用表!$E:$E,$B109,領用表!$B:$B,BE$2&amp;$BI$1)</f>
        <v>86</v>
      </c>
      <c r="BF109" s="208">
        <f>SUMIFS(領用表!$L:$L,領用表!$E:$E,$B109,領用表!$B:$B,BF$2&amp;$BI$1)</f>
        <v>102</v>
      </c>
      <c r="BG109" s="207">
        <f t="shared" si="18"/>
        <v>616</v>
      </c>
      <c r="BH109" s="207">
        <f t="shared" si="19"/>
        <v>51.333333333333336</v>
      </c>
      <c r="BI109" s="208">
        <f>SUMIFS(領用表!$L:$L,領用表!$E:$E,$B109,領用表!$B:$B,BI$2&amp;$BI$1)</f>
        <v>178</v>
      </c>
      <c r="BJ109" s="208">
        <f>SUMIFS(領用表!$L:$L,領用表!$E:$E,$B109,領用表!$B:$B,BJ$2&amp;$BI$1)</f>
        <v>157</v>
      </c>
      <c r="BK109" s="208">
        <f>SUMIFS(領用表!$L:$L,領用表!$E:$E,$B109,領用表!$B:$B,BK$2&amp;$BI$1)</f>
        <v>187</v>
      </c>
      <c r="BL109" s="208">
        <f>SUMIFS(領用表!$L:$L,領用表!$E:$E,$B109,領用表!$B:$B,BL$2&amp;$BI$1)</f>
        <v>78</v>
      </c>
      <c r="BM109" s="208">
        <f>SUMIFS(領用表!$L:$L,領用表!$E:$E,$B109,領用表!$B:$B,BM$2&amp;$BI$1)</f>
        <v>36</v>
      </c>
      <c r="BN109" s="208">
        <f>SUMIFS(領用表!$L:$L,領用表!$E:$E,$B109,領用表!$B:$B,BN$2&amp;$BI$1)</f>
        <v>0</v>
      </c>
      <c r="BO109" s="208">
        <f>SUMIFS(領用表!$L:$L,領用表!$E:$E,$B109,領用表!$B:$B,BO$2&amp;$BI$1)</f>
        <v>0</v>
      </c>
      <c r="BP109" s="208">
        <f>SUMIFS(領用表!$L:$L,領用表!$E:$E,$B109,領用表!$B:$B,BP$2&amp;$BI$1)</f>
        <v>0</v>
      </c>
      <c r="BQ109" s="208">
        <f>SUMIFS(領用表!$L:$L,領用表!$E:$E,$B109,領用表!$B:$B,BQ$2&amp;$BI$1)</f>
        <v>0</v>
      </c>
      <c r="BR109" s="208">
        <f>SUMIFS(領用表!$L:$L,領用表!$E:$E,$B109,領用表!$B:$B,BR$2&amp;$BI$1)</f>
        <v>0</v>
      </c>
      <c r="BS109" s="208">
        <f>SUMIFS(領用表!$L:$L,領用表!$E:$E,$B109,領用表!$B:$B,BS$2&amp;$BI$1)</f>
        <v>0</v>
      </c>
      <c r="BT109" s="208">
        <f>SUMIFS(領用表!$L:$L,領用表!$E:$E,$B109,領用表!$B:$B,BT$2&amp;$BI$1)</f>
        <v>0</v>
      </c>
      <c r="BU109" s="208">
        <f t="shared" si="16"/>
        <v>636</v>
      </c>
      <c r="BV109" s="208">
        <f t="shared" si="21"/>
        <v>127.2</v>
      </c>
      <c r="BW109" s="208">
        <f>SUMIF(Summary!B:B,B109,Summary!DT:DT)</f>
        <v>0</v>
      </c>
      <c r="BX109" s="384"/>
      <c r="BY109" s="340"/>
      <c r="BZ109" s="341" t="s">
        <v>159</v>
      </c>
      <c r="CA109" s="340" t="s">
        <v>160</v>
      </c>
      <c r="CB109" s="136"/>
      <c r="CC109" s="136"/>
      <c r="CE109" s="213"/>
    </row>
    <row r="110" spans="1:83" s="118" customFormat="1" ht="15.75" customHeight="1">
      <c r="A110" s="136"/>
      <c r="B110" s="386">
        <v>6120021</v>
      </c>
      <c r="C110" s="136" t="s">
        <v>836</v>
      </c>
      <c r="D110" s="285"/>
      <c r="E110" s="198"/>
      <c r="F110" s="349">
        <v>37</v>
      </c>
      <c r="G110" s="349"/>
      <c r="H110" s="349"/>
      <c r="I110" s="349"/>
      <c r="J110" s="349"/>
      <c r="K110" s="349"/>
      <c r="L110" s="349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  <c r="X110" s="283"/>
      <c r="Y110" s="283"/>
      <c r="Z110" s="283"/>
      <c r="AA110" s="283"/>
      <c r="AB110" s="283"/>
      <c r="AC110" s="283"/>
      <c r="AD110" s="283"/>
      <c r="AE110" s="283"/>
      <c r="AF110" s="283"/>
      <c r="AG110" s="201"/>
      <c r="AH110" s="201"/>
      <c r="AI110" s="201"/>
      <c r="AJ110" s="201"/>
      <c r="AK110" s="201"/>
      <c r="AL110" s="201"/>
      <c r="AM110" s="201"/>
      <c r="AN110" s="201"/>
      <c r="AO110" s="201"/>
      <c r="AP110" s="201"/>
      <c r="AQ110" s="201"/>
      <c r="AR110" s="201"/>
      <c r="AS110" s="283"/>
      <c r="AT110" s="286"/>
      <c r="AU110" s="201"/>
      <c r="AV110" s="201"/>
      <c r="AW110" s="201"/>
      <c r="AX110" s="201"/>
      <c r="AY110" s="201"/>
      <c r="AZ110" s="203">
        <f>SUMIFS(領用表!$L:$L,領用表!$E:$E,$B110,領用表!$B:$B,AZ$2&amp;$BI$1)</f>
        <v>40</v>
      </c>
      <c r="BA110" s="203">
        <f>SUMIFS(領用表!$L:$L,領用表!$E:$E,$B110,領用表!$B:$B,BA$2&amp;$BI$1)</f>
        <v>85</v>
      </c>
      <c r="BB110" s="203">
        <f>SUMIFS(領用表!$L:$L,領用表!$E:$E,$B110,領用表!$B:$B,BB$2&amp;$BI$1)</f>
        <v>169</v>
      </c>
      <c r="BC110" s="203">
        <f>SUMIFS(領用表!$L:$L,領用表!$E:$E,$B110,領用表!$B:$B,BC$2&amp;$BI$1)</f>
        <v>205</v>
      </c>
      <c r="BD110" s="208">
        <f>SUMIFS(領用表!$L:$L,領用表!$E:$E,$B110,領用表!$B:$B,BD$2&amp;$BI$1)</f>
        <v>209</v>
      </c>
      <c r="BE110" s="208">
        <f>SUMIFS(領用表!$L:$L,領用表!$E:$E,$B110,領用表!$B:$B,BE$2&amp;$BI$1)</f>
        <v>259</v>
      </c>
      <c r="BF110" s="208">
        <f>SUMIFS(領用表!$L:$L,領用表!$E:$E,$B110,領用表!$B:$B,BF$2&amp;$BI$1)</f>
        <v>237</v>
      </c>
      <c r="BG110" s="207">
        <f t="shared" si="18"/>
        <v>1204</v>
      </c>
      <c r="BH110" s="207">
        <f t="shared" si="19"/>
        <v>172</v>
      </c>
      <c r="BI110" s="208">
        <f>SUMIFS(領用表!$L:$L,領用表!$E:$E,$B110,領用表!$B:$B,BI$2&amp;$BI$1)</f>
        <v>226</v>
      </c>
      <c r="BJ110" s="208">
        <f>SUMIFS(領用表!$L:$L,領用表!$E:$E,$B110,領用表!$B:$B,BJ$2&amp;$BI$1)</f>
        <v>152</v>
      </c>
      <c r="BK110" s="208">
        <f>SUMIFS(領用表!$L:$L,領用表!$E:$E,$B110,領用表!$B:$B,BK$2&amp;$BI$1)</f>
        <v>185</v>
      </c>
      <c r="BL110" s="208">
        <f>SUMIFS(領用表!$L:$L,領用表!$E:$E,$B110,領用表!$B:$B,BL$2&amp;$BI$1)</f>
        <v>168</v>
      </c>
      <c r="BM110" s="208">
        <f>SUMIFS(領用表!$L:$L,領用表!$E:$E,$B110,領用表!$B:$B,BM$2&amp;$BI$1)</f>
        <v>181</v>
      </c>
      <c r="BN110" s="208">
        <f>SUMIFS(領用表!$L:$L,領用表!$E:$E,$B110,領用表!$B:$B,BN$2&amp;$BI$1)</f>
        <v>0</v>
      </c>
      <c r="BO110" s="208">
        <f>SUMIFS(領用表!$L:$L,領用表!$E:$E,$B110,領用表!$B:$B,BO$2&amp;$BI$1)</f>
        <v>0</v>
      </c>
      <c r="BP110" s="208">
        <f>SUMIFS(領用表!$L:$L,領用表!$E:$E,$B110,領用表!$B:$B,BP$2&amp;$BI$1)</f>
        <v>0</v>
      </c>
      <c r="BQ110" s="208">
        <f>SUMIFS(領用表!$L:$L,領用表!$E:$E,$B110,領用表!$B:$B,BQ$2&amp;$BI$1)</f>
        <v>0</v>
      </c>
      <c r="BR110" s="208">
        <f>SUMIFS(領用表!$L:$L,領用表!$E:$E,$B110,領用表!$B:$B,BR$2&amp;$BI$1)</f>
        <v>0</v>
      </c>
      <c r="BS110" s="208">
        <f>SUMIFS(領用表!$L:$L,領用表!$E:$E,$B110,領用表!$B:$B,BS$2&amp;$BI$1)</f>
        <v>0</v>
      </c>
      <c r="BT110" s="208">
        <f>SUMIFS(領用表!$L:$L,領用表!$E:$E,$B110,領用表!$B:$B,BT$2&amp;$BI$1)</f>
        <v>0</v>
      </c>
      <c r="BU110" s="208">
        <f t="shared" si="16"/>
        <v>912</v>
      </c>
      <c r="BV110" s="208">
        <f t="shared" si="21"/>
        <v>182.4</v>
      </c>
      <c r="BW110" s="208">
        <f>SUMIF(Summary!B:B,B110,Summary!DT:DT)</f>
        <v>0</v>
      </c>
      <c r="BX110" s="384"/>
      <c r="BY110" s="340"/>
      <c r="BZ110" s="341"/>
      <c r="CA110" s="340"/>
      <c r="CB110" s="136"/>
      <c r="CC110" s="136"/>
      <c r="CE110" s="213"/>
    </row>
    <row r="111" spans="1:83" s="118" customFormat="1" ht="15.75" customHeight="1">
      <c r="A111" s="136"/>
      <c r="B111" s="118">
        <v>6120022</v>
      </c>
      <c r="C111" s="136" t="s">
        <v>519</v>
      </c>
      <c r="D111" s="307"/>
      <c r="E111" s="198" t="s">
        <v>15</v>
      </c>
      <c r="F111" s="349">
        <v>53</v>
      </c>
      <c r="G111" s="349"/>
      <c r="H111" s="349"/>
      <c r="I111" s="349"/>
      <c r="J111" s="349"/>
      <c r="K111" s="349"/>
      <c r="L111" s="349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83"/>
      <c r="AB111" s="283"/>
      <c r="AC111" s="283"/>
      <c r="AD111" s="283"/>
      <c r="AE111" s="283"/>
      <c r="AF111" s="283"/>
      <c r="AG111" s="201"/>
      <c r="AH111" s="201"/>
      <c r="AI111" s="201"/>
      <c r="AJ111" s="201"/>
      <c r="AK111" s="201"/>
      <c r="AL111" s="201"/>
      <c r="AM111" s="201"/>
      <c r="AN111" s="201">
        <v>0</v>
      </c>
      <c r="AO111" s="201">
        <v>0</v>
      </c>
      <c r="AP111" s="201">
        <v>0</v>
      </c>
      <c r="AQ111" s="201">
        <v>0</v>
      </c>
      <c r="AR111" s="201">
        <v>0</v>
      </c>
      <c r="AS111" s="283">
        <f t="shared" ref="AS111:AS120" si="29">SUM(AG111:AR111)</f>
        <v>0</v>
      </c>
      <c r="AT111" s="286">
        <f t="shared" ref="AT111:AT120" si="30">AS111/12</f>
        <v>0</v>
      </c>
      <c r="AU111" s="201">
        <v>0</v>
      </c>
      <c r="AV111" s="201">
        <v>0</v>
      </c>
      <c r="AW111" s="201">
        <v>2</v>
      </c>
      <c r="AX111" s="201">
        <v>10</v>
      </c>
      <c r="AY111" s="201">
        <v>0</v>
      </c>
      <c r="AZ111" s="203">
        <f>SUMIFS(領用表!$L:$L,領用表!$E:$E,$B111,領用表!$B:$B,AZ$2&amp;$BI$1)</f>
        <v>0</v>
      </c>
      <c r="BA111" s="203">
        <f>SUMIFS(領用表!$L:$L,領用表!$E:$E,$B111,領用表!$B:$B,BA$2&amp;$BI$1)</f>
        <v>0</v>
      </c>
      <c r="BB111" s="203">
        <f>SUMIFS(領用表!$L:$L,領用表!$E:$E,$B111,領用表!$B:$B,BB$2&amp;$BI$1)</f>
        <v>0</v>
      </c>
      <c r="BC111" s="203">
        <f>SUMIFS(領用表!$L:$L,領用表!$E:$E,$B111,領用表!$B:$B,BC$2&amp;$BI$1)</f>
        <v>0</v>
      </c>
      <c r="BD111" s="208">
        <f>SUMIFS(領用表!$L:$L,領用表!$E:$E,$B111,領用表!$B:$B,BD$2&amp;$BI$1)</f>
        <v>0</v>
      </c>
      <c r="BE111" s="208">
        <f>SUMIFS(領用表!$L:$L,領用表!$E:$E,$B111,領用表!$B:$B,BE$2&amp;$BI$1)</f>
        <v>0</v>
      </c>
      <c r="BF111" s="208">
        <f>SUMIFS(領用表!$L:$L,領用表!$E:$E,$B111,領用表!$B:$B,BF$2&amp;$BI$1)</f>
        <v>0</v>
      </c>
      <c r="BG111" s="207">
        <f t="shared" ref="BG111:BG120" si="31">SUM(AU111,AV111,AW111,AX111,AY111,AZ111,BA111,BB111,BC111,BD111,BE111,BF111)</f>
        <v>12</v>
      </c>
      <c r="BH111" s="207">
        <f t="shared" ref="BH111:BH120" si="32">AVERAGE(AU111,AV111,AW111,AX111,AY111,AZ111,BA111,BB111,BC111,BD111,BE111,BF111)</f>
        <v>1</v>
      </c>
      <c r="BI111" s="208">
        <f>SUMIFS(領用表!$L:$L,領用表!$E:$E,$B111,領用表!$B:$B,BI$2&amp;$BI$1)</f>
        <v>0</v>
      </c>
      <c r="BJ111" s="208">
        <f>SUMIFS(領用表!$L:$L,領用表!$E:$E,$B111,領用表!$B:$B,BJ$2&amp;$BI$1)</f>
        <v>1</v>
      </c>
      <c r="BK111" s="208">
        <f>SUMIFS(領用表!$L:$L,領用表!$E:$E,$B111,領用表!$B:$B,BK$2&amp;$BI$1)</f>
        <v>0</v>
      </c>
      <c r="BL111" s="208">
        <f>SUMIFS(領用表!$L:$L,領用表!$E:$E,$B111,領用表!$B:$B,BL$2&amp;$BI$1)</f>
        <v>0</v>
      </c>
      <c r="BM111" s="208">
        <f>SUMIFS(領用表!$L:$L,領用表!$E:$E,$B111,領用表!$B:$B,BM$2&amp;$BI$1)</f>
        <v>0</v>
      </c>
      <c r="BN111" s="208">
        <f>SUMIFS(領用表!$L:$L,領用表!$E:$E,$B111,領用表!$B:$B,BN$2&amp;$BI$1)</f>
        <v>0</v>
      </c>
      <c r="BO111" s="208">
        <f>SUMIFS(領用表!$L:$L,領用表!$E:$E,$B111,領用表!$B:$B,BO$2&amp;$BI$1)</f>
        <v>0</v>
      </c>
      <c r="BP111" s="208">
        <f>SUMIFS(領用表!$L:$L,領用表!$E:$E,$B111,領用表!$B:$B,BP$2&amp;$BI$1)</f>
        <v>0</v>
      </c>
      <c r="BQ111" s="208">
        <f>SUMIFS(領用表!$L:$L,領用表!$E:$E,$B111,領用表!$B:$B,BQ$2&amp;$BI$1)</f>
        <v>0</v>
      </c>
      <c r="BR111" s="208">
        <f>SUMIFS(領用表!$L:$L,領用表!$E:$E,$B111,領用表!$B:$B,BR$2&amp;$BI$1)</f>
        <v>0</v>
      </c>
      <c r="BS111" s="208">
        <f>SUMIFS(領用表!$L:$L,領用表!$E:$E,$B111,領用表!$B:$B,BS$2&amp;$BI$1)</f>
        <v>0</v>
      </c>
      <c r="BT111" s="208">
        <f>SUMIFS(領用表!$L:$L,領用表!$E:$E,$B111,領用表!$B:$B,BT$2&amp;$BI$1)</f>
        <v>0</v>
      </c>
      <c r="BU111" s="208">
        <f t="shared" si="16"/>
        <v>1</v>
      </c>
      <c r="BV111" s="208">
        <f t="shared" si="21"/>
        <v>0.2</v>
      </c>
      <c r="BW111" s="208">
        <f>SUMIF(Summary!B:B,B111,Summary!DT:DT)</f>
        <v>0</v>
      </c>
      <c r="BX111" s="384"/>
      <c r="BY111" s="340"/>
      <c r="BZ111" s="340"/>
      <c r="CA111" s="340"/>
      <c r="CB111" s="136"/>
      <c r="CC111" s="289"/>
    </row>
    <row r="112" spans="1:83" s="118" customFormat="1" ht="15.75" customHeight="1">
      <c r="A112" s="136"/>
      <c r="B112" s="118">
        <v>6120023</v>
      </c>
      <c r="C112" s="136" t="s">
        <v>521</v>
      </c>
      <c r="D112" s="285"/>
      <c r="E112" s="198" t="s">
        <v>15</v>
      </c>
      <c r="F112" s="349">
        <v>55</v>
      </c>
      <c r="G112" s="349"/>
      <c r="H112" s="349"/>
      <c r="I112" s="349"/>
      <c r="J112" s="349"/>
      <c r="K112" s="349"/>
      <c r="L112" s="349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83"/>
      <c r="AB112" s="283"/>
      <c r="AC112" s="283"/>
      <c r="AD112" s="283"/>
      <c r="AE112" s="283"/>
      <c r="AF112" s="283"/>
      <c r="AG112" s="201"/>
      <c r="AH112" s="201"/>
      <c r="AI112" s="201"/>
      <c r="AJ112" s="201"/>
      <c r="AK112" s="201"/>
      <c r="AL112" s="201"/>
      <c r="AM112" s="201"/>
      <c r="AN112" s="201"/>
      <c r="AO112" s="201"/>
      <c r="AP112" s="201"/>
      <c r="AQ112" s="201"/>
      <c r="AR112" s="201"/>
      <c r="AS112" s="283">
        <f t="shared" si="29"/>
        <v>0</v>
      </c>
      <c r="AT112" s="286">
        <f t="shared" si="30"/>
        <v>0</v>
      </c>
      <c r="AU112" s="201">
        <v>0</v>
      </c>
      <c r="AV112" s="201">
        <v>0</v>
      </c>
      <c r="AW112" s="201">
        <v>2</v>
      </c>
      <c r="AX112" s="201">
        <v>3</v>
      </c>
      <c r="AY112" s="201">
        <v>6</v>
      </c>
      <c r="AZ112" s="203">
        <f>SUMIFS(領用表!$L:$L,領用表!$E:$E,$B112,領用表!$B:$B,AZ$2&amp;$BI$1)</f>
        <v>0</v>
      </c>
      <c r="BA112" s="203">
        <f>SUMIFS(領用表!$L:$L,領用表!$E:$E,$B112,領用表!$B:$B,BA$2&amp;$BI$1)</f>
        <v>0</v>
      </c>
      <c r="BB112" s="203">
        <f>SUMIFS(領用表!$L:$L,領用表!$E:$E,$B112,領用表!$B:$B,BB$2&amp;$BI$1)</f>
        <v>0</v>
      </c>
      <c r="BC112" s="203">
        <f>SUMIFS(領用表!$L:$L,領用表!$E:$E,$B112,領用表!$B:$B,BC$2&amp;$BI$1)</f>
        <v>0</v>
      </c>
      <c r="BD112" s="208">
        <f>SUMIFS(領用表!$L:$L,領用表!$E:$E,$B112,領用表!$B:$B,BD$2&amp;$BI$1)</f>
        <v>0</v>
      </c>
      <c r="BE112" s="208">
        <f>SUMIFS(領用表!$L:$L,領用表!$E:$E,$B112,領用表!$B:$B,BE$2&amp;$BI$1)</f>
        <v>0</v>
      </c>
      <c r="BF112" s="208">
        <f>SUMIFS(領用表!$L:$L,領用表!$E:$E,$B112,領用表!$B:$B,BF$2&amp;$BI$1)</f>
        <v>0</v>
      </c>
      <c r="BG112" s="207">
        <f t="shared" si="31"/>
        <v>11</v>
      </c>
      <c r="BH112" s="207">
        <f t="shared" si="32"/>
        <v>0.91666666666666663</v>
      </c>
      <c r="BI112" s="208">
        <f>SUMIFS(領用表!$L:$L,領用表!$E:$E,$B112,領用表!$B:$B,BI$2&amp;$BI$1)</f>
        <v>0</v>
      </c>
      <c r="BJ112" s="208">
        <f>SUMIFS(領用表!$L:$L,領用表!$E:$E,$B112,領用表!$B:$B,BJ$2&amp;$BI$1)</f>
        <v>0</v>
      </c>
      <c r="BK112" s="208">
        <f>SUMIFS(領用表!$L:$L,領用表!$E:$E,$B112,領用表!$B:$B,BK$2&amp;$BI$1)</f>
        <v>0</v>
      </c>
      <c r="BL112" s="208">
        <f>SUMIFS(領用表!$L:$L,領用表!$E:$E,$B112,領用表!$B:$B,BL$2&amp;$BI$1)</f>
        <v>0</v>
      </c>
      <c r="BM112" s="208">
        <f>SUMIFS(領用表!$L:$L,領用表!$E:$E,$B112,領用表!$B:$B,BM$2&amp;$BI$1)</f>
        <v>0</v>
      </c>
      <c r="BN112" s="208">
        <f>SUMIFS(領用表!$L:$L,領用表!$E:$E,$B112,領用表!$B:$B,BN$2&amp;$BI$1)</f>
        <v>0</v>
      </c>
      <c r="BO112" s="208">
        <f>SUMIFS(領用表!$L:$L,領用表!$E:$E,$B112,領用表!$B:$B,BO$2&amp;$BI$1)</f>
        <v>0</v>
      </c>
      <c r="BP112" s="208">
        <f>SUMIFS(領用表!$L:$L,領用表!$E:$E,$B112,領用表!$B:$B,BP$2&amp;$BI$1)</f>
        <v>0</v>
      </c>
      <c r="BQ112" s="208">
        <f>SUMIFS(領用表!$L:$L,領用表!$E:$E,$B112,領用表!$B:$B,BQ$2&amp;$BI$1)</f>
        <v>0</v>
      </c>
      <c r="BR112" s="208">
        <f>SUMIFS(領用表!$L:$L,領用表!$E:$E,$B112,領用表!$B:$B,BR$2&amp;$BI$1)</f>
        <v>0</v>
      </c>
      <c r="BS112" s="208">
        <f>SUMIFS(領用表!$L:$L,領用表!$E:$E,$B112,領用表!$B:$B,BS$2&amp;$BI$1)</f>
        <v>0</v>
      </c>
      <c r="BT112" s="208">
        <f>SUMIFS(領用表!$L:$L,領用表!$E:$E,$B112,領用表!$B:$B,BT$2&amp;$BI$1)</f>
        <v>0</v>
      </c>
      <c r="BU112" s="208">
        <f t="shared" si="16"/>
        <v>0</v>
      </c>
      <c r="BV112" s="208">
        <f t="shared" si="21"/>
        <v>0</v>
      </c>
      <c r="BW112" s="208">
        <f>SUMIF(Summary!B:B,B112,Summary!DT:DT)</f>
        <v>0</v>
      </c>
      <c r="BX112" s="384"/>
      <c r="BY112" s="340"/>
      <c r="BZ112" s="340"/>
      <c r="CA112" s="340"/>
      <c r="CB112" s="136"/>
      <c r="CC112" s="136"/>
      <c r="CE112" s="213"/>
    </row>
    <row r="113" spans="1:83" s="118" customFormat="1" ht="15.75" customHeight="1">
      <c r="A113" s="136"/>
      <c r="B113" s="118">
        <v>6120024</v>
      </c>
      <c r="C113" s="136" t="s">
        <v>522</v>
      </c>
      <c r="D113" s="285"/>
      <c r="E113" s="198" t="s">
        <v>15</v>
      </c>
      <c r="F113" s="349"/>
      <c r="G113" s="349"/>
      <c r="H113" s="349"/>
      <c r="I113" s="349"/>
      <c r="J113" s="349"/>
      <c r="K113" s="349"/>
      <c r="L113" s="349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83"/>
      <c r="AB113" s="283"/>
      <c r="AC113" s="283"/>
      <c r="AD113" s="283"/>
      <c r="AE113" s="283"/>
      <c r="AF113" s="283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  <c r="AQ113" s="201"/>
      <c r="AR113" s="201"/>
      <c r="AS113" s="283">
        <f t="shared" si="29"/>
        <v>0</v>
      </c>
      <c r="AT113" s="286">
        <f t="shared" si="30"/>
        <v>0</v>
      </c>
      <c r="AU113" s="201">
        <v>0</v>
      </c>
      <c r="AV113" s="201">
        <v>0</v>
      </c>
      <c r="AW113" s="201">
        <v>2</v>
      </c>
      <c r="AX113" s="201">
        <v>4</v>
      </c>
      <c r="AY113" s="201">
        <v>2</v>
      </c>
      <c r="AZ113" s="203">
        <f>SUMIFS(領用表!$L:$L,領用表!$E:$E,$B113,領用表!$B:$B,AZ$2&amp;$BI$1)</f>
        <v>0</v>
      </c>
      <c r="BA113" s="203">
        <f>SUMIFS(領用表!$L:$L,領用表!$E:$E,$B113,領用表!$B:$B,BA$2&amp;$BI$1)</f>
        <v>0</v>
      </c>
      <c r="BB113" s="203">
        <f>SUMIFS(領用表!$L:$L,領用表!$E:$E,$B113,領用表!$B:$B,BB$2&amp;$BI$1)</f>
        <v>1</v>
      </c>
      <c r="BC113" s="203">
        <f>SUMIFS(領用表!$L:$L,領用表!$E:$E,$B113,領用表!$B:$B,BC$2&amp;$BI$1)</f>
        <v>0</v>
      </c>
      <c r="BD113" s="208">
        <f>SUMIFS(領用表!$L:$L,領用表!$E:$E,$B113,領用表!$B:$B,BD$2&amp;$BI$1)</f>
        <v>0</v>
      </c>
      <c r="BE113" s="208">
        <f>SUMIFS(領用表!$L:$L,領用表!$E:$E,$B113,領用表!$B:$B,BE$2&amp;$BI$1)</f>
        <v>0</v>
      </c>
      <c r="BF113" s="208">
        <f>SUMIFS(領用表!$L:$L,領用表!$E:$E,$B113,領用表!$B:$B,BF$2&amp;$BI$1)</f>
        <v>0</v>
      </c>
      <c r="BG113" s="207">
        <f t="shared" si="31"/>
        <v>9</v>
      </c>
      <c r="BH113" s="207">
        <f t="shared" si="32"/>
        <v>0.75</v>
      </c>
      <c r="BI113" s="208">
        <f>SUMIFS(領用表!$L:$L,領用表!$E:$E,$B113,領用表!$B:$B,BI$2&amp;$BI$1)</f>
        <v>0</v>
      </c>
      <c r="BJ113" s="208">
        <f>SUMIFS(領用表!$L:$L,領用表!$E:$E,$B113,領用表!$B:$B,BJ$2&amp;$BI$1)</f>
        <v>0</v>
      </c>
      <c r="BK113" s="208">
        <f>SUMIFS(領用表!$L:$L,領用表!$E:$E,$B113,領用表!$B:$B,BK$2&amp;$BI$1)</f>
        <v>0</v>
      </c>
      <c r="BL113" s="208">
        <f>SUMIFS(領用表!$L:$L,領用表!$E:$E,$B113,領用表!$B:$B,BL$2&amp;$BI$1)</f>
        <v>0</v>
      </c>
      <c r="BM113" s="208">
        <f>SUMIFS(領用表!$L:$L,領用表!$E:$E,$B113,領用表!$B:$B,BM$2&amp;$BI$1)</f>
        <v>0</v>
      </c>
      <c r="BN113" s="208">
        <f>SUMIFS(領用表!$L:$L,領用表!$E:$E,$B113,領用表!$B:$B,BN$2&amp;$BI$1)</f>
        <v>0</v>
      </c>
      <c r="BO113" s="208">
        <f>SUMIFS(領用表!$L:$L,領用表!$E:$E,$B113,領用表!$B:$B,BO$2&amp;$BI$1)</f>
        <v>0</v>
      </c>
      <c r="BP113" s="208">
        <f>SUMIFS(領用表!$L:$L,領用表!$E:$E,$B113,領用表!$B:$B,BP$2&amp;$BI$1)</f>
        <v>0</v>
      </c>
      <c r="BQ113" s="208">
        <f>SUMIFS(領用表!$L:$L,領用表!$E:$E,$B113,領用表!$B:$B,BQ$2&amp;$BI$1)</f>
        <v>0</v>
      </c>
      <c r="BR113" s="208">
        <f>SUMIFS(領用表!$L:$L,領用表!$E:$E,$B113,領用表!$B:$B,BR$2&amp;$BI$1)</f>
        <v>0</v>
      </c>
      <c r="BS113" s="208">
        <f>SUMIFS(領用表!$L:$L,領用表!$E:$E,$B113,領用表!$B:$B,BS$2&amp;$BI$1)</f>
        <v>0</v>
      </c>
      <c r="BT113" s="208">
        <f>SUMIFS(領用表!$L:$L,領用表!$E:$E,$B113,領用表!$B:$B,BT$2&amp;$BI$1)</f>
        <v>0</v>
      </c>
      <c r="BU113" s="208">
        <f t="shared" si="16"/>
        <v>0</v>
      </c>
      <c r="BV113" s="208">
        <f t="shared" si="21"/>
        <v>0</v>
      </c>
      <c r="BW113" s="208">
        <f>SUMIF(Summary!B:B,B113,Summary!DT:DT)</f>
        <v>0</v>
      </c>
      <c r="BX113" s="258"/>
      <c r="BY113" s="340"/>
      <c r="BZ113" s="340"/>
      <c r="CA113" s="340"/>
      <c r="CB113" s="136"/>
      <c r="CC113" s="136"/>
      <c r="CE113" s="213"/>
    </row>
    <row r="114" spans="1:83" s="118" customFormat="1" ht="15.75" customHeight="1">
      <c r="A114" s="136"/>
      <c r="B114" s="118">
        <v>6120025</v>
      </c>
      <c r="C114" s="136" t="s">
        <v>523</v>
      </c>
      <c r="D114" s="285"/>
      <c r="E114" s="198" t="s">
        <v>15</v>
      </c>
      <c r="F114" s="349">
        <v>32</v>
      </c>
      <c r="G114" s="349"/>
      <c r="H114" s="349"/>
      <c r="I114" s="349"/>
      <c r="J114" s="349"/>
      <c r="K114" s="349"/>
      <c r="L114" s="349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83"/>
      <c r="AB114" s="283"/>
      <c r="AC114" s="283"/>
      <c r="AD114" s="283"/>
      <c r="AE114" s="283"/>
      <c r="AF114" s="283"/>
      <c r="AG114" s="201"/>
      <c r="AH114" s="201"/>
      <c r="AI114" s="201"/>
      <c r="AJ114" s="201"/>
      <c r="AK114" s="201"/>
      <c r="AL114" s="201"/>
      <c r="AM114" s="201"/>
      <c r="AN114" s="201"/>
      <c r="AO114" s="201"/>
      <c r="AP114" s="201"/>
      <c r="AQ114" s="201"/>
      <c r="AR114" s="201"/>
      <c r="AS114" s="283">
        <f t="shared" si="29"/>
        <v>0</v>
      </c>
      <c r="AT114" s="286">
        <f t="shared" si="30"/>
        <v>0</v>
      </c>
      <c r="AU114" s="201">
        <v>0</v>
      </c>
      <c r="AV114" s="201">
        <v>0</v>
      </c>
      <c r="AW114" s="201">
        <v>0</v>
      </c>
      <c r="AX114" s="201">
        <v>1</v>
      </c>
      <c r="AY114" s="201">
        <v>1</v>
      </c>
      <c r="AZ114" s="203">
        <f>SUMIFS(領用表!$L:$L,領用表!$E:$E,$B114,領用表!$B:$B,AZ$2&amp;$BI$1)</f>
        <v>0</v>
      </c>
      <c r="BA114" s="203">
        <f>SUMIFS(領用表!$L:$L,領用表!$E:$E,$B114,領用表!$B:$B,BA$2&amp;$BI$1)</f>
        <v>0</v>
      </c>
      <c r="BB114" s="203">
        <f>SUMIFS(領用表!$L:$L,領用表!$E:$E,$B114,領用表!$B:$B,BB$2&amp;$BI$1)</f>
        <v>0</v>
      </c>
      <c r="BC114" s="203">
        <f>SUMIFS(領用表!$L:$L,領用表!$E:$E,$B114,領用表!$B:$B,BC$2&amp;$BI$1)</f>
        <v>0</v>
      </c>
      <c r="BD114" s="208">
        <f>SUMIFS(領用表!$L:$L,領用表!$E:$E,$B114,領用表!$B:$B,BD$2&amp;$BI$1)</f>
        <v>0</v>
      </c>
      <c r="BE114" s="208">
        <f>SUMIFS(領用表!$L:$L,領用表!$E:$E,$B114,領用表!$B:$B,BE$2&amp;$BI$1)</f>
        <v>0</v>
      </c>
      <c r="BF114" s="208">
        <f>SUMIFS(領用表!$L:$L,領用表!$E:$E,$B114,領用表!$B:$B,BF$2&amp;$BI$1)</f>
        <v>0</v>
      </c>
      <c r="BG114" s="207">
        <f t="shared" si="31"/>
        <v>2</v>
      </c>
      <c r="BH114" s="207">
        <f t="shared" si="32"/>
        <v>0.16666666666666666</v>
      </c>
      <c r="BI114" s="208">
        <f>SUMIFS(領用表!$L:$L,領用表!$E:$E,$B114,領用表!$B:$B,BI$2&amp;$BI$1)</f>
        <v>0</v>
      </c>
      <c r="BJ114" s="208">
        <f>SUMIFS(領用表!$L:$L,領用表!$E:$E,$B114,領用表!$B:$B,BJ$2&amp;$BI$1)</f>
        <v>0</v>
      </c>
      <c r="BK114" s="208">
        <f>SUMIFS(領用表!$L:$L,領用表!$E:$E,$B114,領用表!$B:$B,BK$2&amp;$BI$1)</f>
        <v>0</v>
      </c>
      <c r="BL114" s="208">
        <f>SUMIFS(領用表!$L:$L,領用表!$E:$E,$B114,領用表!$B:$B,BL$2&amp;$BI$1)</f>
        <v>0</v>
      </c>
      <c r="BM114" s="208">
        <f>SUMIFS(領用表!$L:$L,領用表!$E:$E,$B114,領用表!$B:$B,BM$2&amp;$BI$1)</f>
        <v>0</v>
      </c>
      <c r="BN114" s="208">
        <f>SUMIFS(領用表!$L:$L,領用表!$E:$E,$B114,領用表!$B:$B,BN$2&amp;$BI$1)</f>
        <v>0</v>
      </c>
      <c r="BO114" s="208">
        <f>SUMIFS(領用表!$L:$L,領用表!$E:$E,$B114,領用表!$B:$B,BO$2&amp;$BI$1)</f>
        <v>0</v>
      </c>
      <c r="BP114" s="208">
        <f>SUMIFS(領用表!$L:$L,領用表!$E:$E,$B114,領用表!$B:$B,BP$2&amp;$BI$1)</f>
        <v>0</v>
      </c>
      <c r="BQ114" s="208">
        <f>SUMIFS(領用表!$L:$L,領用表!$E:$E,$B114,領用表!$B:$B,BQ$2&amp;$BI$1)</f>
        <v>0</v>
      </c>
      <c r="BR114" s="208">
        <f>SUMIFS(領用表!$L:$L,領用表!$E:$E,$B114,領用表!$B:$B,BR$2&amp;$BI$1)</f>
        <v>0</v>
      </c>
      <c r="BS114" s="208">
        <f>SUMIFS(領用表!$L:$L,領用表!$E:$E,$B114,領用表!$B:$B,BS$2&amp;$BI$1)</f>
        <v>0</v>
      </c>
      <c r="BT114" s="208">
        <f>SUMIFS(領用表!$L:$L,領用表!$E:$E,$B114,領用表!$B:$B,BT$2&amp;$BI$1)</f>
        <v>0</v>
      </c>
      <c r="BU114" s="208">
        <f t="shared" si="16"/>
        <v>0</v>
      </c>
      <c r="BV114" s="208">
        <f t="shared" si="21"/>
        <v>0</v>
      </c>
      <c r="BW114" s="208">
        <f>SUMIF(Summary!B:B,B114,Summary!DT:DT)</f>
        <v>0</v>
      </c>
      <c r="BX114" s="258"/>
      <c r="BY114" s="340"/>
      <c r="BZ114" s="340"/>
      <c r="CA114" s="340"/>
      <c r="CB114" s="136"/>
      <c r="CC114" s="136"/>
      <c r="CE114" s="213"/>
    </row>
    <row r="115" spans="1:83" s="118" customFormat="1" ht="15.75" customHeight="1">
      <c r="A115" s="136"/>
      <c r="B115" s="118">
        <v>6120027</v>
      </c>
      <c r="C115" s="136" t="s">
        <v>525</v>
      </c>
      <c r="D115" s="307"/>
      <c r="E115" s="198" t="s">
        <v>15</v>
      </c>
      <c r="F115" s="349"/>
      <c r="G115" s="349"/>
      <c r="H115" s="349"/>
      <c r="I115" s="349"/>
      <c r="J115" s="349"/>
      <c r="K115" s="349"/>
      <c r="L115" s="349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83"/>
      <c r="AB115" s="283"/>
      <c r="AC115" s="283"/>
      <c r="AD115" s="283"/>
      <c r="AE115" s="283"/>
      <c r="AF115" s="283"/>
      <c r="AG115" s="201"/>
      <c r="AH115" s="201"/>
      <c r="AI115" s="201"/>
      <c r="AJ115" s="201"/>
      <c r="AK115" s="201"/>
      <c r="AL115" s="201"/>
      <c r="AM115" s="201"/>
      <c r="AN115" s="201"/>
      <c r="AO115" s="201"/>
      <c r="AP115" s="201"/>
      <c r="AQ115" s="201"/>
      <c r="AR115" s="201">
        <v>0</v>
      </c>
      <c r="AS115" s="283">
        <f t="shared" si="29"/>
        <v>0</v>
      </c>
      <c r="AT115" s="286">
        <f t="shared" si="30"/>
        <v>0</v>
      </c>
      <c r="AU115" s="201">
        <v>0</v>
      </c>
      <c r="AV115" s="201">
        <v>0</v>
      </c>
      <c r="AW115" s="201">
        <v>12</v>
      </c>
      <c r="AX115" s="201">
        <v>0</v>
      </c>
      <c r="AY115" s="201">
        <v>0</v>
      </c>
      <c r="AZ115" s="203">
        <f>SUMIFS(領用表!$L:$L,領用表!$E:$E,$B115,領用表!$B:$B,AZ$2&amp;$BI$1)</f>
        <v>0</v>
      </c>
      <c r="BA115" s="203">
        <f>SUMIFS(領用表!$L:$L,領用表!$E:$E,$B115,領用表!$B:$B,BA$2&amp;$BI$1)</f>
        <v>0</v>
      </c>
      <c r="BB115" s="203">
        <f>SUMIFS(領用表!$L:$L,領用表!$E:$E,$B115,領用表!$B:$B,BB$2&amp;$BI$1)</f>
        <v>0</v>
      </c>
      <c r="BC115" s="203">
        <f>SUMIFS(領用表!$L:$L,領用表!$E:$E,$B115,領用表!$B:$B,BC$2&amp;$BI$1)</f>
        <v>0</v>
      </c>
      <c r="BD115" s="208">
        <f>SUMIFS(領用表!$L:$L,領用表!$E:$E,$B115,領用表!$B:$B,BD$2&amp;$BI$1)</f>
        <v>0</v>
      </c>
      <c r="BE115" s="208">
        <f>SUMIFS(領用表!$L:$L,領用表!$E:$E,$B115,領用表!$B:$B,BE$2&amp;$BI$1)</f>
        <v>0</v>
      </c>
      <c r="BF115" s="208">
        <f>SUMIFS(領用表!$L:$L,領用表!$E:$E,$B115,領用表!$B:$B,BF$2&amp;$BI$1)</f>
        <v>0</v>
      </c>
      <c r="BG115" s="207">
        <f t="shared" si="31"/>
        <v>12</v>
      </c>
      <c r="BH115" s="207">
        <f t="shared" si="32"/>
        <v>1</v>
      </c>
      <c r="BI115" s="208">
        <f>SUMIFS(領用表!$L:$L,領用表!$E:$E,$B115,領用表!$B:$B,BI$2&amp;$BI$1)</f>
        <v>0</v>
      </c>
      <c r="BJ115" s="208">
        <f>SUMIFS(領用表!$L:$L,領用表!$E:$E,$B115,領用表!$B:$B,BJ$2&amp;$BI$1)</f>
        <v>0</v>
      </c>
      <c r="BK115" s="208">
        <f>SUMIFS(領用表!$L:$L,領用表!$E:$E,$B115,領用表!$B:$B,BK$2&amp;$BI$1)</f>
        <v>0</v>
      </c>
      <c r="BL115" s="208">
        <f>SUMIFS(領用表!$L:$L,領用表!$E:$E,$B115,領用表!$B:$B,BL$2&amp;$BI$1)</f>
        <v>0</v>
      </c>
      <c r="BM115" s="208">
        <f>SUMIFS(領用表!$L:$L,領用表!$E:$E,$B115,領用表!$B:$B,BM$2&amp;$BI$1)</f>
        <v>0</v>
      </c>
      <c r="BN115" s="208">
        <f>SUMIFS(領用表!$L:$L,領用表!$E:$E,$B115,領用表!$B:$B,BN$2&amp;$BI$1)</f>
        <v>0</v>
      </c>
      <c r="BO115" s="208">
        <f>SUMIFS(領用表!$L:$L,領用表!$E:$E,$B115,領用表!$B:$B,BO$2&amp;$BI$1)</f>
        <v>0</v>
      </c>
      <c r="BP115" s="208">
        <f>SUMIFS(領用表!$L:$L,領用表!$E:$E,$B115,領用表!$B:$B,BP$2&amp;$BI$1)</f>
        <v>0</v>
      </c>
      <c r="BQ115" s="208">
        <f>SUMIFS(領用表!$L:$L,領用表!$E:$E,$B115,領用表!$B:$B,BQ$2&amp;$BI$1)</f>
        <v>0</v>
      </c>
      <c r="BR115" s="208">
        <f>SUMIFS(領用表!$L:$L,領用表!$E:$E,$B115,領用表!$B:$B,BR$2&amp;$BI$1)</f>
        <v>0</v>
      </c>
      <c r="BS115" s="208">
        <f>SUMIFS(領用表!$L:$L,領用表!$E:$E,$B115,領用表!$B:$B,BS$2&amp;$BI$1)</f>
        <v>0</v>
      </c>
      <c r="BT115" s="208">
        <f>SUMIFS(領用表!$L:$L,領用表!$E:$E,$B115,領用表!$B:$B,BT$2&amp;$BI$1)</f>
        <v>0</v>
      </c>
      <c r="BU115" s="208">
        <f t="shared" si="16"/>
        <v>0</v>
      </c>
      <c r="BV115" s="208">
        <f t="shared" si="21"/>
        <v>0</v>
      </c>
      <c r="BW115" s="208">
        <f>SUMIF(Summary!B:B,B115,Summary!DT:DT)</f>
        <v>0</v>
      </c>
      <c r="BX115" s="258"/>
      <c r="BY115" s="340"/>
      <c r="BZ115" s="340"/>
      <c r="CA115" s="341"/>
      <c r="CB115" s="136"/>
      <c r="CC115" s="289"/>
    </row>
    <row r="116" spans="1:83" s="118" customFormat="1" ht="15.75" customHeight="1">
      <c r="A116" s="136"/>
      <c r="B116" s="118">
        <v>6120028</v>
      </c>
      <c r="C116" s="136" t="s">
        <v>529</v>
      </c>
      <c r="D116" s="285"/>
      <c r="E116" s="198" t="s">
        <v>15</v>
      </c>
      <c r="F116" s="349">
        <v>0</v>
      </c>
      <c r="G116" s="349"/>
      <c r="H116" s="349"/>
      <c r="I116" s="349"/>
      <c r="J116" s="349"/>
      <c r="K116" s="349"/>
      <c r="L116" s="349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  <c r="AA116" s="283"/>
      <c r="AB116" s="283"/>
      <c r="AC116" s="283"/>
      <c r="AD116" s="283"/>
      <c r="AE116" s="283"/>
      <c r="AF116" s="283"/>
      <c r="AG116" s="201"/>
      <c r="AH116" s="201"/>
      <c r="AI116" s="201"/>
      <c r="AJ116" s="201"/>
      <c r="AK116" s="201"/>
      <c r="AL116" s="201"/>
      <c r="AM116" s="201"/>
      <c r="AN116" s="201"/>
      <c r="AO116" s="201"/>
      <c r="AP116" s="201"/>
      <c r="AQ116" s="201"/>
      <c r="AR116" s="201"/>
      <c r="AS116" s="283">
        <f t="shared" si="29"/>
        <v>0</v>
      </c>
      <c r="AT116" s="286">
        <f t="shared" si="30"/>
        <v>0</v>
      </c>
      <c r="AU116" s="201">
        <v>0</v>
      </c>
      <c r="AV116" s="201">
        <v>0</v>
      </c>
      <c r="AW116" s="201">
        <v>15</v>
      </c>
      <c r="AX116" s="201">
        <v>0</v>
      </c>
      <c r="AY116" s="201">
        <f>0+2</f>
        <v>2</v>
      </c>
      <c r="AZ116" s="203">
        <f>SUMIFS(領用表!$L:$L,領用表!$E:$E,$B116,領用表!$B:$B,AZ$2&amp;$BI$1)</f>
        <v>0</v>
      </c>
      <c r="BA116" s="203">
        <f>SUMIFS(領用表!$L:$L,領用表!$E:$E,$B116,領用表!$B:$B,BA$2&amp;$BI$1)</f>
        <v>0</v>
      </c>
      <c r="BB116" s="203">
        <f>SUMIFS(領用表!$L:$L,領用表!$E:$E,$B116,領用表!$B:$B,BB$2&amp;$BI$1)</f>
        <v>0</v>
      </c>
      <c r="BC116" s="203">
        <f>SUMIFS(領用表!$L:$L,領用表!$E:$E,$B116,領用表!$B:$B,BC$2&amp;$BI$1)</f>
        <v>0</v>
      </c>
      <c r="BD116" s="208">
        <f>SUMIFS(領用表!$L:$L,領用表!$E:$E,$B116,領用表!$B:$B,BD$2&amp;$BI$1)</f>
        <v>0</v>
      </c>
      <c r="BE116" s="208">
        <f>SUMIFS(領用表!$L:$L,領用表!$E:$E,$B116,領用表!$B:$B,BE$2&amp;$BI$1)</f>
        <v>0</v>
      </c>
      <c r="BF116" s="208">
        <f>SUMIFS(領用表!$L:$L,領用表!$E:$E,$B116,領用表!$B:$B,BF$2&amp;$BI$1)</f>
        <v>0</v>
      </c>
      <c r="BG116" s="207">
        <f t="shared" si="31"/>
        <v>17</v>
      </c>
      <c r="BH116" s="207">
        <f t="shared" si="32"/>
        <v>1.4166666666666667</v>
      </c>
      <c r="BI116" s="208">
        <f>SUMIFS(領用表!$L:$L,領用表!$E:$E,$B116,領用表!$B:$B,BI$2&amp;$BI$1)</f>
        <v>0</v>
      </c>
      <c r="BJ116" s="208">
        <f>SUMIFS(領用表!$L:$L,領用表!$E:$E,$B116,領用表!$B:$B,BJ$2&amp;$BI$1)</f>
        <v>0</v>
      </c>
      <c r="BK116" s="208">
        <f>SUMIFS(領用表!$L:$L,領用表!$E:$E,$B116,領用表!$B:$B,BK$2&amp;$BI$1)</f>
        <v>0</v>
      </c>
      <c r="BL116" s="208">
        <f>SUMIFS(領用表!$L:$L,領用表!$E:$E,$B116,領用表!$B:$B,BL$2&amp;$BI$1)</f>
        <v>0</v>
      </c>
      <c r="BM116" s="208">
        <f>SUMIFS(領用表!$L:$L,領用表!$E:$E,$B116,領用表!$B:$B,BM$2&amp;$BI$1)</f>
        <v>0</v>
      </c>
      <c r="BN116" s="208">
        <f>SUMIFS(領用表!$L:$L,領用表!$E:$E,$B116,領用表!$B:$B,BN$2&amp;$BI$1)</f>
        <v>0</v>
      </c>
      <c r="BO116" s="208">
        <f>SUMIFS(領用表!$L:$L,領用表!$E:$E,$B116,領用表!$B:$B,BO$2&amp;$BI$1)</f>
        <v>0</v>
      </c>
      <c r="BP116" s="208">
        <f>SUMIFS(領用表!$L:$L,領用表!$E:$E,$B116,領用表!$B:$B,BP$2&amp;$BI$1)</f>
        <v>0</v>
      </c>
      <c r="BQ116" s="208">
        <f>SUMIFS(領用表!$L:$L,領用表!$E:$E,$B116,領用表!$B:$B,BQ$2&amp;$BI$1)</f>
        <v>0</v>
      </c>
      <c r="BR116" s="208">
        <f>SUMIFS(領用表!$L:$L,領用表!$E:$E,$B116,領用表!$B:$B,BR$2&amp;$BI$1)</f>
        <v>0</v>
      </c>
      <c r="BS116" s="208">
        <f>SUMIFS(領用表!$L:$L,領用表!$E:$E,$B116,領用表!$B:$B,BS$2&amp;$BI$1)</f>
        <v>0</v>
      </c>
      <c r="BT116" s="208">
        <f>SUMIFS(領用表!$L:$L,領用表!$E:$E,$B116,領用表!$B:$B,BT$2&amp;$BI$1)</f>
        <v>0</v>
      </c>
      <c r="BU116" s="208">
        <f t="shared" si="16"/>
        <v>0</v>
      </c>
      <c r="BV116" s="208">
        <f t="shared" si="21"/>
        <v>0</v>
      </c>
      <c r="BW116" s="208">
        <f>SUMIF(Summary!B:B,B116,Summary!DT:DT)</f>
        <v>0</v>
      </c>
      <c r="BX116" s="258"/>
      <c r="BY116" s="340"/>
      <c r="BZ116" s="340"/>
      <c r="CA116" s="340"/>
      <c r="CB116" s="136"/>
      <c r="CC116" s="136"/>
      <c r="CE116" s="213"/>
    </row>
    <row r="117" spans="1:83" s="118" customFormat="1" ht="15.75" customHeight="1">
      <c r="A117" s="136"/>
      <c r="B117" s="118">
        <v>6120029</v>
      </c>
      <c r="C117" s="136" t="s">
        <v>532</v>
      </c>
      <c r="D117" s="285"/>
      <c r="E117" s="198" t="s">
        <v>15</v>
      </c>
      <c r="F117" s="349">
        <v>20</v>
      </c>
      <c r="G117" s="349"/>
      <c r="H117" s="349"/>
      <c r="I117" s="349"/>
      <c r="J117" s="349"/>
      <c r="K117" s="349"/>
      <c r="L117" s="349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  <c r="Z117" s="283"/>
      <c r="AA117" s="283"/>
      <c r="AB117" s="283"/>
      <c r="AC117" s="283"/>
      <c r="AD117" s="283"/>
      <c r="AE117" s="283"/>
      <c r="AF117" s="283"/>
      <c r="AG117" s="201"/>
      <c r="AH117" s="201"/>
      <c r="AI117" s="201"/>
      <c r="AJ117" s="201"/>
      <c r="AK117" s="201"/>
      <c r="AL117" s="201"/>
      <c r="AM117" s="201"/>
      <c r="AN117" s="201"/>
      <c r="AO117" s="201"/>
      <c r="AP117" s="201"/>
      <c r="AQ117" s="201"/>
      <c r="AR117" s="201"/>
      <c r="AS117" s="283">
        <f t="shared" si="29"/>
        <v>0</v>
      </c>
      <c r="AT117" s="286">
        <f t="shared" si="30"/>
        <v>0</v>
      </c>
      <c r="AU117" s="201">
        <v>0</v>
      </c>
      <c r="AV117" s="201">
        <v>0</v>
      </c>
      <c r="AW117" s="201">
        <v>8</v>
      </c>
      <c r="AX117" s="201">
        <v>0</v>
      </c>
      <c r="AY117" s="201">
        <v>3</v>
      </c>
      <c r="AZ117" s="203">
        <f>SUMIFS(領用表!$L:$L,領用表!$E:$E,$B117,領用表!$B:$B,AZ$2&amp;$BI$1)</f>
        <v>0</v>
      </c>
      <c r="BA117" s="203">
        <f>SUMIFS(領用表!$L:$L,領用表!$E:$E,$B117,領用表!$B:$B,BA$2&amp;$BI$1)</f>
        <v>0</v>
      </c>
      <c r="BB117" s="203">
        <f>SUMIFS(領用表!$L:$L,領用表!$E:$E,$B117,領用表!$B:$B,BB$2&amp;$BI$1)</f>
        <v>0</v>
      </c>
      <c r="BC117" s="203">
        <f>SUMIFS(領用表!$L:$L,領用表!$E:$E,$B117,領用表!$B:$B,BC$2&amp;$BI$1)</f>
        <v>0</v>
      </c>
      <c r="BD117" s="208">
        <f>SUMIFS(領用表!$L:$L,領用表!$E:$E,$B117,領用表!$B:$B,BD$2&amp;$BI$1)</f>
        <v>0</v>
      </c>
      <c r="BE117" s="208">
        <f>SUMIFS(領用表!$L:$L,領用表!$E:$E,$B117,領用表!$B:$B,BE$2&amp;$BI$1)</f>
        <v>0</v>
      </c>
      <c r="BF117" s="208">
        <f>SUMIFS(領用表!$L:$L,領用表!$E:$E,$B117,領用表!$B:$B,BF$2&amp;$BI$1)</f>
        <v>0</v>
      </c>
      <c r="BG117" s="207">
        <f t="shared" si="31"/>
        <v>11</v>
      </c>
      <c r="BH117" s="207">
        <f t="shared" si="32"/>
        <v>0.91666666666666663</v>
      </c>
      <c r="BI117" s="208">
        <f>SUMIFS(領用表!$L:$L,領用表!$E:$E,$B117,領用表!$B:$B,BI$2&amp;$BI$1)</f>
        <v>0</v>
      </c>
      <c r="BJ117" s="208">
        <f>SUMIFS(領用表!$L:$L,領用表!$E:$E,$B117,領用表!$B:$B,BJ$2&amp;$BI$1)</f>
        <v>0</v>
      </c>
      <c r="BK117" s="208">
        <f>SUMIFS(領用表!$L:$L,領用表!$E:$E,$B117,領用表!$B:$B,BK$2&amp;$BI$1)</f>
        <v>0</v>
      </c>
      <c r="BL117" s="208">
        <f>SUMIFS(領用表!$L:$L,領用表!$E:$E,$B117,領用表!$B:$B,BL$2&amp;$BI$1)</f>
        <v>0</v>
      </c>
      <c r="BM117" s="208">
        <f>SUMIFS(領用表!$L:$L,領用表!$E:$E,$B117,領用表!$B:$B,BM$2&amp;$BI$1)</f>
        <v>0</v>
      </c>
      <c r="BN117" s="208">
        <f>SUMIFS(領用表!$L:$L,領用表!$E:$E,$B117,領用表!$B:$B,BN$2&amp;$BI$1)</f>
        <v>0</v>
      </c>
      <c r="BO117" s="208">
        <f>SUMIFS(領用表!$L:$L,領用表!$E:$E,$B117,領用表!$B:$B,BO$2&amp;$BI$1)</f>
        <v>0</v>
      </c>
      <c r="BP117" s="208">
        <f>SUMIFS(領用表!$L:$L,領用表!$E:$E,$B117,領用表!$B:$B,BP$2&amp;$BI$1)</f>
        <v>0</v>
      </c>
      <c r="BQ117" s="208">
        <f>SUMIFS(領用表!$L:$L,領用表!$E:$E,$B117,領用表!$B:$B,BQ$2&amp;$BI$1)</f>
        <v>0</v>
      </c>
      <c r="BR117" s="208">
        <f>SUMIFS(領用表!$L:$L,領用表!$E:$E,$B117,領用表!$B:$B,BR$2&amp;$BI$1)</f>
        <v>0</v>
      </c>
      <c r="BS117" s="208">
        <f>SUMIFS(領用表!$L:$L,領用表!$E:$E,$B117,領用表!$B:$B,BS$2&amp;$BI$1)</f>
        <v>0</v>
      </c>
      <c r="BT117" s="208">
        <f>SUMIFS(領用表!$L:$L,領用表!$E:$E,$B117,領用表!$B:$B,BT$2&amp;$BI$1)</f>
        <v>0</v>
      </c>
      <c r="BU117" s="208">
        <f t="shared" si="16"/>
        <v>0</v>
      </c>
      <c r="BV117" s="208">
        <f t="shared" si="21"/>
        <v>0</v>
      </c>
      <c r="BW117" s="208">
        <f>SUMIF(Summary!B:B,B117,Summary!DT:DT)</f>
        <v>0</v>
      </c>
      <c r="BX117" s="258"/>
      <c r="BY117" s="340"/>
      <c r="BZ117" s="340"/>
      <c r="CA117" s="340" t="s">
        <v>167</v>
      </c>
      <c r="CB117" s="136"/>
      <c r="CC117" s="136"/>
      <c r="CE117" s="213"/>
    </row>
    <row r="118" spans="1:83" s="118" customFormat="1" ht="15.75" customHeight="1">
      <c r="A118" s="136"/>
      <c r="B118" s="118">
        <v>6120030</v>
      </c>
      <c r="C118" s="136" t="s">
        <v>533</v>
      </c>
      <c r="D118" s="285"/>
      <c r="E118" s="198" t="s">
        <v>15</v>
      </c>
      <c r="F118" s="349">
        <v>0</v>
      </c>
      <c r="G118" s="349"/>
      <c r="H118" s="349"/>
      <c r="I118" s="349"/>
      <c r="J118" s="349"/>
      <c r="K118" s="349"/>
      <c r="L118" s="349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83"/>
      <c r="AB118" s="283"/>
      <c r="AC118" s="283"/>
      <c r="AD118" s="283"/>
      <c r="AE118" s="283"/>
      <c r="AF118" s="283"/>
      <c r="AG118" s="201"/>
      <c r="AH118" s="201"/>
      <c r="AI118" s="201"/>
      <c r="AJ118" s="201"/>
      <c r="AK118" s="201"/>
      <c r="AL118" s="201"/>
      <c r="AM118" s="201"/>
      <c r="AN118" s="201"/>
      <c r="AO118" s="201"/>
      <c r="AP118" s="201"/>
      <c r="AQ118" s="201"/>
      <c r="AR118" s="201"/>
      <c r="AS118" s="283">
        <f t="shared" si="29"/>
        <v>0</v>
      </c>
      <c r="AT118" s="286">
        <f t="shared" si="30"/>
        <v>0</v>
      </c>
      <c r="AU118" s="201">
        <v>0</v>
      </c>
      <c r="AV118" s="201">
        <v>0</v>
      </c>
      <c r="AW118" s="201">
        <v>0</v>
      </c>
      <c r="AX118" s="201">
        <v>18</v>
      </c>
      <c r="AY118" s="201">
        <v>1</v>
      </c>
      <c r="AZ118" s="203">
        <f>SUMIFS(領用表!$L:$L,領用表!$E:$E,$B118,領用表!$B:$B,AZ$2&amp;$BI$1)</f>
        <v>2</v>
      </c>
      <c r="BA118" s="203">
        <f>SUMIFS(領用表!$L:$L,領用表!$E:$E,$B118,領用表!$B:$B,BA$2&amp;$BI$1)</f>
        <v>2</v>
      </c>
      <c r="BB118" s="203">
        <f>SUMIFS(領用表!$L:$L,領用表!$E:$E,$B118,領用表!$B:$B,BB$2&amp;$BI$1)</f>
        <v>3</v>
      </c>
      <c r="BC118" s="203">
        <f>SUMIFS(領用表!$L:$L,領用表!$E:$E,$B118,領用表!$B:$B,BC$2&amp;$BI$1)</f>
        <v>0</v>
      </c>
      <c r="BD118" s="208">
        <f>SUMIFS(領用表!$L:$L,領用表!$E:$E,$B118,領用表!$B:$B,BD$2&amp;$BI$1)</f>
        <v>1</v>
      </c>
      <c r="BE118" s="208">
        <f>SUMIFS(領用表!$L:$L,領用表!$E:$E,$B118,領用表!$B:$B,BE$2&amp;$BI$1)</f>
        <v>0</v>
      </c>
      <c r="BF118" s="208">
        <f>SUMIFS(領用表!$L:$L,領用表!$E:$E,$B118,領用表!$B:$B,BF$2&amp;$BI$1)</f>
        <v>0</v>
      </c>
      <c r="BG118" s="207">
        <f t="shared" si="31"/>
        <v>27</v>
      </c>
      <c r="BH118" s="207">
        <f t="shared" si="32"/>
        <v>2.25</v>
      </c>
      <c r="BI118" s="208">
        <f>SUMIFS(領用表!$L:$L,領用表!$E:$E,$B118,領用表!$B:$B,BI$2&amp;$BI$1)</f>
        <v>0</v>
      </c>
      <c r="BJ118" s="208">
        <f>SUMIFS(領用表!$L:$L,領用表!$E:$E,$B118,領用表!$B:$B,BJ$2&amp;$BI$1)</f>
        <v>1</v>
      </c>
      <c r="BK118" s="208">
        <f>SUMIFS(領用表!$L:$L,領用表!$E:$E,$B118,領用表!$B:$B,BK$2&amp;$BI$1)</f>
        <v>0</v>
      </c>
      <c r="BL118" s="208">
        <f>SUMIFS(領用表!$L:$L,領用表!$E:$E,$B118,領用表!$B:$B,BL$2&amp;$BI$1)</f>
        <v>0</v>
      </c>
      <c r="BM118" s="208">
        <f>SUMIFS(領用表!$L:$L,領用表!$E:$E,$B118,領用表!$B:$B,BM$2&amp;$BI$1)</f>
        <v>0</v>
      </c>
      <c r="BN118" s="208">
        <f>SUMIFS(領用表!$L:$L,領用表!$E:$E,$B118,領用表!$B:$B,BN$2&amp;$BI$1)</f>
        <v>0</v>
      </c>
      <c r="BO118" s="208">
        <f>SUMIFS(領用表!$L:$L,領用表!$E:$E,$B118,領用表!$B:$B,BO$2&amp;$BI$1)</f>
        <v>0</v>
      </c>
      <c r="BP118" s="208">
        <f>SUMIFS(領用表!$L:$L,領用表!$E:$E,$B118,領用表!$B:$B,BP$2&amp;$BI$1)</f>
        <v>0</v>
      </c>
      <c r="BQ118" s="208">
        <f>SUMIFS(領用表!$L:$L,領用表!$E:$E,$B118,領用表!$B:$B,BQ$2&amp;$BI$1)</f>
        <v>0</v>
      </c>
      <c r="BR118" s="208">
        <f>SUMIFS(領用表!$L:$L,領用表!$E:$E,$B118,領用表!$B:$B,BR$2&amp;$BI$1)</f>
        <v>0</v>
      </c>
      <c r="BS118" s="208">
        <f>SUMIFS(領用表!$L:$L,領用表!$E:$E,$B118,領用表!$B:$B,BS$2&amp;$BI$1)</f>
        <v>0</v>
      </c>
      <c r="BT118" s="208">
        <f>SUMIFS(領用表!$L:$L,領用表!$E:$E,$B118,領用表!$B:$B,BT$2&amp;$BI$1)</f>
        <v>0</v>
      </c>
      <c r="BU118" s="208">
        <f t="shared" si="16"/>
        <v>1</v>
      </c>
      <c r="BV118" s="208">
        <f t="shared" si="21"/>
        <v>0.2</v>
      </c>
      <c r="BW118" s="208">
        <f>SUMIF(Summary!B:B,B118,Summary!DT:DT)</f>
        <v>0</v>
      </c>
      <c r="BX118" s="258"/>
      <c r="BY118" s="340"/>
      <c r="BZ118" s="340"/>
      <c r="CA118" s="340"/>
      <c r="CB118" s="136"/>
      <c r="CC118" s="136"/>
      <c r="CE118" s="213"/>
    </row>
    <row r="119" spans="1:83" s="118" customFormat="1" ht="15.75" customHeight="1">
      <c r="A119" s="136"/>
      <c r="B119" s="118">
        <v>6120031</v>
      </c>
      <c r="C119" s="136" t="s">
        <v>534</v>
      </c>
      <c r="D119" s="285"/>
      <c r="E119" s="198" t="s">
        <v>15</v>
      </c>
      <c r="F119" s="349">
        <v>2</v>
      </c>
      <c r="G119" s="349"/>
      <c r="H119" s="349"/>
      <c r="I119" s="349"/>
      <c r="J119" s="349"/>
      <c r="K119" s="349"/>
      <c r="L119" s="349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83"/>
      <c r="AB119" s="283"/>
      <c r="AC119" s="283"/>
      <c r="AD119" s="283"/>
      <c r="AE119" s="283"/>
      <c r="AF119" s="283"/>
      <c r="AG119" s="201"/>
      <c r="AH119" s="201"/>
      <c r="AI119" s="201"/>
      <c r="AJ119" s="201"/>
      <c r="AK119" s="201"/>
      <c r="AL119" s="201"/>
      <c r="AM119" s="201"/>
      <c r="AN119" s="201"/>
      <c r="AO119" s="201"/>
      <c r="AP119" s="201"/>
      <c r="AQ119" s="201"/>
      <c r="AR119" s="201"/>
      <c r="AS119" s="283">
        <f t="shared" si="29"/>
        <v>0</v>
      </c>
      <c r="AT119" s="286">
        <f t="shared" si="30"/>
        <v>0</v>
      </c>
      <c r="AU119" s="201">
        <v>0</v>
      </c>
      <c r="AV119" s="201">
        <v>0</v>
      </c>
      <c r="AW119" s="201">
        <v>11</v>
      </c>
      <c r="AX119" s="201">
        <v>6</v>
      </c>
      <c r="AY119" s="201">
        <v>0</v>
      </c>
      <c r="AZ119" s="203">
        <f>SUMIFS(領用表!$L:$L,領用表!$E:$E,$B119,領用表!$B:$B,AZ$2&amp;$BI$1)</f>
        <v>0</v>
      </c>
      <c r="BA119" s="203">
        <f>SUMIFS(領用表!$L:$L,領用表!$E:$E,$B119,領用表!$B:$B,BA$2&amp;$BI$1)</f>
        <v>0</v>
      </c>
      <c r="BB119" s="203">
        <f>SUMIFS(領用表!$L:$L,領用表!$E:$E,$B119,領用表!$B:$B,BB$2&amp;$BI$1)</f>
        <v>0</v>
      </c>
      <c r="BC119" s="203">
        <f>SUMIFS(領用表!$L:$L,領用表!$E:$E,$B119,領用表!$B:$B,BC$2&amp;$BI$1)</f>
        <v>0</v>
      </c>
      <c r="BD119" s="208">
        <f>SUMIFS(領用表!$L:$L,領用表!$E:$E,$B119,領用表!$B:$B,BD$2&amp;$BI$1)</f>
        <v>0</v>
      </c>
      <c r="BE119" s="208">
        <f>SUMIFS(領用表!$L:$L,領用表!$E:$E,$B119,領用表!$B:$B,BE$2&amp;$BI$1)</f>
        <v>0</v>
      </c>
      <c r="BF119" s="208">
        <f>SUMIFS(領用表!$L:$L,領用表!$E:$E,$B119,領用表!$B:$B,BF$2&amp;$BI$1)</f>
        <v>0</v>
      </c>
      <c r="BG119" s="207">
        <f t="shared" si="31"/>
        <v>17</v>
      </c>
      <c r="BH119" s="207">
        <f t="shared" si="32"/>
        <v>1.4166666666666667</v>
      </c>
      <c r="BI119" s="208">
        <f>SUMIFS(領用表!$L:$L,領用表!$E:$E,$B119,領用表!$B:$B,BI$2&amp;$BI$1)</f>
        <v>0</v>
      </c>
      <c r="BJ119" s="208">
        <f>SUMIFS(領用表!$L:$L,領用表!$E:$E,$B119,領用表!$B:$B,BJ$2&amp;$BI$1)</f>
        <v>0</v>
      </c>
      <c r="BK119" s="208">
        <f>SUMIFS(領用表!$L:$L,領用表!$E:$E,$B119,領用表!$B:$B,BK$2&amp;$BI$1)</f>
        <v>0</v>
      </c>
      <c r="BL119" s="208">
        <f>SUMIFS(領用表!$L:$L,領用表!$E:$E,$B119,領用表!$B:$B,BL$2&amp;$BI$1)</f>
        <v>0</v>
      </c>
      <c r="BM119" s="208">
        <f>SUMIFS(領用表!$L:$L,領用表!$E:$E,$B119,領用表!$B:$B,BM$2&amp;$BI$1)</f>
        <v>0</v>
      </c>
      <c r="BN119" s="208">
        <f>SUMIFS(領用表!$L:$L,領用表!$E:$E,$B119,領用表!$B:$B,BN$2&amp;$BI$1)</f>
        <v>0</v>
      </c>
      <c r="BO119" s="208">
        <f>SUMIFS(領用表!$L:$L,領用表!$E:$E,$B119,領用表!$B:$B,BO$2&amp;$BI$1)</f>
        <v>0</v>
      </c>
      <c r="BP119" s="208">
        <f>SUMIFS(領用表!$L:$L,領用表!$E:$E,$B119,領用表!$B:$B,BP$2&amp;$BI$1)</f>
        <v>0</v>
      </c>
      <c r="BQ119" s="208">
        <f>SUMIFS(領用表!$L:$L,領用表!$E:$E,$B119,領用表!$B:$B,BQ$2&amp;$BI$1)</f>
        <v>0</v>
      </c>
      <c r="BR119" s="208">
        <f>SUMIFS(領用表!$L:$L,領用表!$E:$E,$B119,領用表!$B:$B,BR$2&amp;$BI$1)</f>
        <v>0</v>
      </c>
      <c r="BS119" s="208">
        <f>SUMIFS(領用表!$L:$L,領用表!$E:$E,$B119,領用表!$B:$B,BS$2&amp;$BI$1)</f>
        <v>0</v>
      </c>
      <c r="BT119" s="208">
        <f>SUMIFS(領用表!$L:$L,領用表!$E:$E,$B119,領用表!$B:$B,BT$2&amp;$BI$1)</f>
        <v>0</v>
      </c>
      <c r="BU119" s="208">
        <f t="shared" si="16"/>
        <v>0</v>
      </c>
      <c r="BV119" s="208">
        <f t="shared" si="21"/>
        <v>0</v>
      </c>
      <c r="BW119" s="208">
        <f>SUMIF(Summary!B:B,B119,Summary!DT:DT)</f>
        <v>0</v>
      </c>
      <c r="BX119" s="258"/>
      <c r="BY119" s="340"/>
      <c r="BZ119" s="340"/>
      <c r="CA119" s="340"/>
      <c r="CB119" s="136"/>
      <c r="CC119" s="136"/>
      <c r="CE119" s="213"/>
    </row>
    <row r="120" spans="1:83" s="118" customFormat="1" ht="15.75" customHeight="1" thickBot="1">
      <c r="A120" s="136"/>
      <c r="B120" s="118">
        <v>6120032</v>
      </c>
      <c r="C120" s="136" t="s">
        <v>535</v>
      </c>
      <c r="D120" s="285"/>
      <c r="E120" s="198" t="s">
        <v>15</v>
      </c>
      <c r="F120" s="349"/>
      <c r="G120" s="349"/>
      <c r="H120" s="349"/>
      <c r="I120" s="349"/>
      <c r="J120" s="349"/>
      <c r="K120" s="349"/>
      <c r="L120" s="349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83"/>
      <c r="AB120" s="283"/>
      <c r="AC120" s="283"/>
      <c r="AD120" s="283"/>
      <c r="AE120" s="283"/>
      <c r="AF120" s="283"/>
      <c r="AG120" s="201"/>
      <c r="AH120" s="201"/>
      <c r="AI120" s="201"/>
      <c r="AJ120" s="201"/>
      <c r="AK120" s="201"/>
      <c r="AL120" s="201"/>
      <c r="AM120" s="201"/>
      <c r="AN120" s="201"/>
      <c r="AO120" s="201"/>
      <c r="AP120" s="201"/>
      <c r="AQ120" s="201"/>
      <c r="AR120" s="201"/>
      <c r="AS120" s="283">
        <f t="shared" si="29"/>
        <v>0</v>
      </c>
      <c r="AT120" s="286">
        <f t="shared" si="30"/>
        <v>0</v>
      </c>
      <c r="AU120" s="201">
        <v>0</v>
      </c>
      <c r="AV120" s="201">
        <v>0</v>
      </c>
      <c r="AW120" s="201">
        <v>0</v>
      </c>
      <c r="AX120" s="201">
        <v>0</v>
      </c>
      <c r="AY120" s="201">
        <v>0</v>
      </c>
      <c r="AZ120" s="203">
        <f>SUMIFS(領用表!$L:$L,領用表!$E:$E,$B120,領用表!$B:$B,AZ$2&amp;$BI$1)</f>
        <v>0</v>
      </c>
      <c r="BA120" s="203">
        <f>SUMIFS(領用表!$L:$L,領用表!$E:$E,$B120,領用表!$B:$B,BA$2&amp;$BI$1)</f>
        <v>0</v>
      </c>
      <c r="BB120" s="203">
        <f>SUMIFS(領用表!$L:$L,領用表!$E:$E,$B120,領用表!$B:$B,BB$2&amp;$BI$1)</f>
        <v>0</v>
      </c>
      <c r="BC120" s="203">
        <f>SUMIFS(領用表!$L:$L,領用表!$E:$E,$B120,領用表!$B:$B,BC$2&amp;$BI$1)</f>
        <v>0</v>
      </c>
      <c r="BD120" s="208">
        <f>SUMIFS(領用表!$L:$L,領用表!$E:$E,$B120,領用表!$B:$B,BD$2&amp;$BI$1)</f>
        <v>0</v>
      </c>
      <c r="BE120" s="208">
        <f>SUMIFS(領用表!$L:$L,領用表!$E:$E,$B120,領用表!$B:$B,BE$2&amp;$BI$1)</f>
        <v>0</v>
      </c>
      <c r="BF120" s="208">
        <f>SUMIFS(領用表!$L:$L,領用表!$E:$E,$B120,領用表!$B:$B,BF$2&amp;$BI$1)</f>
        <v>0</v>
      </c>
      <c r="BG120" s="207">
        <f t="shared" si="31"/>
        <v>0</v>
      </c>
      <c r="BH120" s="207">
        <f t="shared" si="32"/>
        <v>0</v>
      </c>
      <c r="BI120" s="208">
        <f>SUMIFS(領用表!$L:$L,領用表!$E:$E,$B120,領用表!$B:$B,BI$2&amp;$BI$1)</f>
        <v>0</v>
      </c>
      <c r="BJ120" s="208">
        <f>SUMIFS(領用表!$L:$L,領用表!$E:$E,$B120,領用表!$B:$B,BJ$2&amp;$BI$1)</f>
        <v>0</v>
      </c>
      <c r="BK120" s="208">
        <f>SUMIFS(領用表!$L:$L,領用表!$E:$E,$B120,領用表!$B:$B,BK$2&amp;$BI$1)</f>
        <v>0</v>
      </c>
      <c r="BL120" s="208">
        <f>SUMIFS(領用表!$L:$L,領用表!$E:$E,$B120,領用表!$B:$B,BL$2&amp;$BI$1)</f>
        <v>0</v>
      </c>
      <c r="BM120" s="208">
        <f>SUMIFS(領用表!$L:$L,領用表!$E:$E,$B120,領用表!$B:$B,BM$2&amp;$BI$1)</f>
        <v>0</v>
      </c>
      <c r="BN120" s="208">
        <f>SUMIFS(領用表!$L:$L,領用表!$E:$E,$B120,領用表!$B:$B,BN$2&amp;$BI$1)</f>
        <v>0</v>
      </c>
      <c r="BO120" s="208">
        <f>SUMIFS(領用表!$L:$L,領用表!$E:$E,$B120,領用表!$B:$B,BO$2&amp;$BI$1)</f>
        <v>0</v>
      </c>
      <c r="BP120" s="208">
        <f>SUMIFS(領用表!$L:$L,領用表!$E:$E,$B120,領用表!$B:$B,BP$2&amp;$BI$1)</f>
        <v>0</v>
      </c>
      <c r="BQ120" s="208">
        <f>SUMIFS(領用表!$L:$L,領用表!$E:$E,$B120,領用表!$B:$B,BQ$2&amp;$BI$1)</f>
        <v>0</v>
      </c>
      <c r="BR120" s="208">
        <f>SUMIFS(領用表!$L:$L,領用表!$E:$E,$B120,領用表!$B:$B,BR$2&amp;$BI$1)</f>
        <v>0</v>
      </c>
      <c r="BS120" s="208">
        <f>SUMIFS(領用表!$L:$L,領用表!$E:$E,$B120,領用表!$B:$B,BS$2&amp;$BI$1)</f>
        <v>0</v>
      </c>
      <c r="BT120" s="208">
        <f>SUMIFS(領用表!$L:$L,領用表!$E:$E,$B120,領用表!$B:$B,BT$2&amp;$BI$1)</f>
        <v>0</v>
      </c>
      <c r="BU120" s="208">
        <f t="shared" si="16"/>
        <v>0</v>
      </c>
      <c r="BV120" s="208">
        <f t="shared" si="21"/>
        <v>0</v>
      </c>
      <c r="BW120" s="208">
        <f>SUMIF(Summary!B:B,B120,Summary!DT:DT)</f>
        <v>0</v>
      </c>
      <c r="BX120" s="258"/>
      <c r="BY120" s="340"/>
      <c r="BZ120" s="340"/>
      <c r="CA120" s="340"/>
      <c r="CB120" s="136"/>
      <c r="CC120" s="136"/>
      <c r="CE120" s="213"/>
    </row>
    <row r="121" spans="1:83" s="118" customFormat="1" ht="15.75" customHeight="1" thickBot="1">
      <c r="A121" s="308" t="s">
        <v>752</v>
      </c>
      <c r="B121" s="230">
        <v>6120037</v>
      </c>
      <c r="C121" s="309" t="s">
        <v>753</v>
      </c>
      <c r="D121" s="307"/>
      <c r="E121" s="198"/>
      <c r="F121" s="349"/>
      <c r="G121" s="349"/>
      <c r="H121" s="349"/>
      <c r="I121" s="349"/>
      <c r="J121" s="349"/>
      <c r="K121" s="349"/>
      <c r="L121" s="349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  <c r="AA121" s="283"/>
      <c r="AB121" s="283"/>
      <c r="AC121" s="283"/>
      <c r="AD121" s="283"/>
      <c r="AE121" s="283"/>
      <c r="AF121" s="283"/>
      <c r="AG121" s="201"/>
      <c r="AH121" s="201"/>
      <c r="AI121" s="201"/>
      <c r="AJ121" s="201"/>
      <c r="AK121" s="201"/>
      <c r="AL121" s="201"/>
      <c r="AM121" s="201"/>
      <c r="AN121" s="201"/>
      <c r="AO121" s="201"/>
      <c r="AP121" s="201"/>
      <c r="AQ121" s="201"/>
      <c r="AR121" s="201"/>
      <c r="AS121" s="283"/>
      <c r="AT121" s="286"/>
      <c r="AU121" s="201"/>
      <c r="AV121" s="201"/>
      <c r="AW121" s="201"/>
      <c r="AX121" s="201"/>
      <c r="AY121" s="201"/>
      <c r="AZ121" s="203">
        <f>SUMIFS(領用表!$L:$L,領用表!$E:$E,$B121,領用表!$B:$B,AZ$2&amp;$BI$1)</f>
        <v>0</v>
      </c>
      <c r="BA121" s="203">
        <f>SUMIFS(領用表!$L:$L,領用表!$E:$E,$B121,領用表!$B:$B,BA$2&amp;$BI$1)</f>
        <v>0</v>
      </c>
      <c r="BB121" s="203">
        <f>SUMIFS(領用表!$L:$L,領用表!$E:$E,$B121,領用表!$B:$B,BB$2&amp;$BI$1)</f>
        <v>0</v>
      </c>
      <c r="BC121" s="203">
        <f>SUMIFS(領用表!$L:$L,領用表!$E:$E,$B121,領用表!$B:$B,BC$2&amp;$BI$1)</f>
        <v>0</v>
      </c>
      <c r="BD121" s="208">
        <f>SUMIFS(領用表!$L:$L,領用表!$E:$E,$B121,領用表!$B:$B,BD$2&amp;$BI$1)</f>
        <v>0</v>
      </c>
      <c r="BE121" s="208">
        <f>SUMIFS(領用表!$L:$L,領用表!$E:$E,$B121,領用表!$B:$B,BE$2&amp;$BI$1)</f>
        <v>0</v>
      </c>
      <c r="BF121" s="208">
        <f>SUMIFS(領用表!$L:$L,領用表!$E:$E,$B121,領用表!$B:$B,BF$2&amp;$BI$1)</f>
        <v>0</v>
      </c>
      <c r="BG121" s="207">
        <f t="shared" ref="BG121:BG122" si="33">SUM(AU121,AV121,AW121,AX121,AY121,AZ121,BA121,BB121,BC121,BD121,BE121,BF121)</f>
        <v>0</v>
      </c>
      <c r="BH121" s="207">
        <f t="shared" ref="BH121:BH122" si="34">AVERAGE(AU121,AV121,AW121,AX121,AY121,AZ121,BA121,BB121,BC121,BD121,BE121,BF121)</f>
        <v>0</v>
      </c>
      <c r="BI121" s="208">
        <f>SUMIFS(領用表!$L:$L,領用表!$E:$E,$B121,領用表!$B:$B,BI$2&amp;$BI$1)</f>
        <v>0</v>
      </c>
      <c r="BJ121" s="208">
        <f>SUMIFS(領用表!$L:$L,領用表!$E:$E,$B121,領用表!$B:$B,BJ$2&amp;$BI$1)</f>
        <v>0</v>
      </c>
      <c r="BK121" s="208">
        <f>SUMIFS(領用表!$L:$L,領用表!$E:$E,$B121,領用表!$B:$B,BK$2&amp;$BI$1)</f>
        <v>0</v>
      </c>
      <c r="BL121" s="208">
        <f>SUMIFS(領用表!$L:$L,領用表!$E:$E,$B121,領用表!$B:$B,BL$2&amp;$BI$1)</f>
        <v>0</v>
      </c>
      <c r="BM121" s="208">
        <f>SUMIFS(領用表!$L:$L,領用表!$E:$E,$B121,領用表!$B:$B,BM$2&amp;$BI$1)</f>
        <v>0</v>
      </c>
      <c r="BN121" s="208">
        <f>SUMIFS(領用表!$L:$L,領用表!$E:$E,$B121,領用表!$B:$B,BN$2&amp;$BI$1)</f>
        <v>0</v>
      </c>
      <c r="BO121" s="208">
        <f>SUMIFS(領用表!$L:$L,領用表!$E:$E,$B121,領用表!$B:$B,BO$2&amp;$BI$1)</f>
        <v>0</v>
      </c>
      <c r="BP121" s="208">
        <f>SUMIFS(領用表!$L:$L,領用表!$E:$E,$B121,領用表!$B:$B,BP$2&amp;$BI$1)</f>
        <v>0</v>
      </c>
      <c r="BQ121" s="208">
        <f>SUMIFS(領用表!$L:$L,領用表!$E:$E,$B121,領用表!$B:$B,BQ$2&amp;$BI$1)</f>
        <v>0</v>
      </c>
      <c r="BR121" s="208">
        <f>SUMIFS(領用表!$L:$L,領用表!$E:$E,$B121,領用表!$B:$B,BR$2&amp;$BI$1)</f>
        <v>0</v>
      </c>
      <c r="BS121" s="208">
        <f>SUMIFS(領用表!$L:$L,領用表!$E:$E,$B121,領用表!$B:$B,BS$2&amp;$BI$1)</f>
        <v>0</v>
      </c>
      <c r="BT121" s="208">
        <f>SUMIFS(領用表!$L:$L,領用表!$E:$E,$B121,領用表!$B:$B,BT$2&amp;$BI$1)</f>
        <v>0</v>
      </c>
      <c r="BU121" s="208">
        <f t="shared" si="16"/>
        <v>0</v>
      </c>
      <c r="BV121" s="208">
        <f t="shared" si="21"/>
        <v>0</v>
      </c>
      <c r="BW121" s="208">
        <f>SUMIF(Summary!B:B,B121,Summary!DT:DT)</f>
        <v>0</v>
      </c>
      <c r="BX121" s="384"/>
      <c r="BY121" s="340"/>
      <c r="BZ121" s="341"/>
      <c r="CA121" s="340"/>
      <c r="CB121" s="136"/>
      <c r="CC121" s="289"/>
    </row>
    <row r="122" spans="1:83" s="118" customFormat="1" ht="15.75" customHeight="1" thickBot="1">
      <c r="A122" s="308" t="s">
        <v>754</v>
      </c>
      <c r="B122" s="230">
        <v>6120038</v>
      </c>
      <c r="C122" s="309" t="s">
        <v>755</v>
      </c>
      <c r="D122" s="307"/>
      <c r="E122" s="198"/>
      <c r="F122" s="349">
        <v>366</v>
      </c>
      <c r="G122" s="349"/>
      <c r="H122" s="349"/>
      <c r="I122" s="349"/>
      <c r="J122" s="349"/>
      <c r="K122" s="349"/>
      <c r="L122" s="349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83"/>
      <c r="AB122" s="283"/>
      <c r="AC122" s="283"/>
      <c r="AD122" s="283"/>
      <c r="AE122" s="283"/>
      <c r="AF122" s="283"/>
      <c r="AG122" s="201"/>
      <c r="AH122" s="201"/>
      <c r="AI122" s="201"/>
      <c r="AJ122" s="201"/>
      <c r="AK122" s="201"/>
      <c r="AL122" s="201"/>
      <c r="AM122" s="201"/>
      <c r="AN122" s="201"/>
      <c r="AO122" s="201"/>
      <c r="AP122" s="201"/>
      <c r="AQ122" s="201"/>
      <c r="AR122" s="201"/>
      <c r="AS122" s="283"/>
      <c r="AT122" s="286"/>
      <c r="AU122" s="201"/>
      <c r="AV122" s="201"/>
      <c r="AW122" s="201"/>
      <c r="AX122" s="201"/>
      <c r="AY122" s="201"/>
      <c r="AZ122" s="203">
        <f>SUMIFS(領用表!$L:$L,領用表!$E:$E,$B122,領用表!$B:$B,AZ$2&amp;$BI$1)</f>
        <v>0</v>
      </c>
      <c r="BA122" s="203">
        <f>SUMIFS(領用表!$L:$L,領用表!$E:$E,$B122,領用表!$B:$B,BA$2&amp;$BI$1)</f>
        <v>0</v>
      </c>
      <c r="BB122" s="203">
        <f>SUMIFS(領用表!$L:$L,領用表!$E:$E,$B122,領用表!$B:$B,BB$2&amp;$BI$1)</f>
        <v>0</v>
      </c>
      <c r="BC122" s="203">
        <f>SUMIFS(領用表!$L:$L,領用表!$E:$E,$B122,領用表!$B:$B,BC$2&amp;$BI$1)</f>
        <v>0</v>
      </c>
      <c r="BD122" s="208">
        <f>SUMIFS(領用表!$L:$L,領用表!$E:$E,$B122,領用表!$B:$B,BD$2&amp;$BI$1)</f>
        <v>0</v>
      </c>
      <c r="BE122" s="208">
        <f>SUMIFS(領用表!$L:$L,領用表!$E:$E,$B122,領用表!$B:$B,BE$2&amp;$BI$1)</f>
        <v>0</v>
      </c>
      <c r="BF122" s="208">
        <f>SUMIFS(領用表!$L:$L,領用表!$E:$E,$B122,領用表!$B:$B,BF$2&amp;$BI$1)</f>
        <v>0</v>
      </c>
      <c r="BG122" s="207">
        <f t="shared" si="33"/>
        <v>0</v>
      </c>
      <c r="BH122" s="207">
        <f t="shared" si="34"/>
        <v>0</v>
      </c>
      <c r="BI122" s="208">
        <f>SUMIFS(領用表!$L:$L,領用表!$E:$E,$B122,領用表!$B:$B,BI$2&amp;$BI$1)</f>
        <v>0</v>
      </c>
      <c r="BJ122" s="208">
        <f>SUMIFS(領用表!$L:$L,領用表!$E:$E,$B122,領用表!$B:$B,BJ$2&amp;$BI$1)</f>
        <v>0</v>
      </c>
      <c r="BK122" s="208">
        <f>SUMIFS(領用表!$L:$L,領用表!$E:$E,$B122,領用表!$B:$B,BK$2&amp;$BI$1)</f>
        <v>0</v>
      </c>
      <c r="BL122" s="208">
        <f>SUMIFS(領用表!$L:$L,領用表!$E:$E,$B122,領用表!$B:$B,BL$2&amp;$BI$1)</f>
        <v>0</v>
      </c>
      <c r="BM122" s="208">
        <f>SUMIFS(領用表!$L:$L,領用表!$E:$E,$B122,領用表!$B:$B,BM$2&amp;$BI$1)</f>
        <v>0</v>
      </c>
      <c r="BN122" s="208">
        <f>SUMIFS(領用表!$L:$L,領用表!$E:$E,$B122,領用表!$B:$B,BN$2&amp;$BI$1)</f>
        <v>0</v>
      </c>
      <c r="BO122" s="208">
        <f>SUMIFS(領用表!$L:$L,領用表!$E:$E,$B122,領用表!$B:$B,BO$2&amp;$BI$1)</f>
        <v>0</v>
      </c>
      <c r="BP122" s="208">
        <f>SUMIFS(領用表!$L:$L,領用表!$E:$E,$B122,領用表!$B:$B,BP$2&amp;$BI$1)</f>
        <v>0</v>
      </c>
      <c r="BQ122" s="208">
        <f>SUMIFS(領用表!$L:$L,領用表!$E:$E,$B122,領用表!$B:$B,BQ$2&amp;$BI$1)</f>
        <v>0</v>
      </c>
      <c r="BR122" s="208">
        <f>SUMIFS(領用表!$L:$L,領用表!$E:$E,$B122,領用表!$B:$B,BR$2&amp;$BI$1)</f>
        <v>0</v>
      </c>
      <c r="BS122" s="208">
        <f>SUMIFS(領用表!$L:$L,領用表!$E:$E,$B122,領用表!$B:$B,BS$2&amp;$BI$1)</f>
        <v>0</v>
      </c>
      <c r="BT122" s="208">
        <f>SUMIFS(領用表!$L:$L,領用表!$E:$E,$B122,領用表!$B:$B,BT$2&amp;$BI$1)</f>
        <v>0</v>
      </c>
      <c r="BU122" s="208">
        <f t="shared" si="16"/>
        <v>0</v>
      </c>
      <c r="BV122" s="208">
        <f t="shared" si="21"/>
        <v>0</v>
      </c>
      <c r="BW122" s="208">
        <f>SUMIF(Summary!B:B,B122,Summary!DT:DT)</f>
        <v>0</v>
      </c>
      <c r="BX122" s="384"/>
      <c r="BY122" s="340"/>
      <c r="BZ122" s="341"/>
      <c r="CA122" s="340"/>
      <c r="CB122" s="136"/>
      <c r="CC122" s="289"/>
    </row>
    <row r="123" spans="1:83" s="118" customFormat="1" ht="15.75" customHeight="1">
      <c r="A123" s="136"/>
      <c r="B123" s="118">
        <v>6120005</v>
      </c>
      <c r="C123" s="136" t="s">
        <v>512</v>
      </c>
      <c r="D123" s="307">
        <v>50</v>
      </c>
      <c r="E123" s="198" t="s">
        <v>15</v>
      </c>
      <c r="F123" s="349"/>
      <c r="G123" s="349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83"/>
      <c r="AB123" s="283"/>
      <c r="AC123" s="283"/>
      <c r="AD123" s="283"/>
      <c r="AE123" s="283"/>
      <c r="AF123" s="283"/>
      <c r="AG123" s="201"/>
      <c r="AH123" s="201"/>
      <c r="AI123" s="201"/>
      <c r="AJ123" s="201"/>
      <c r="AK123" s="201"/>
      <c r="AL123" s="201"/>
      <c r="AM123" s="201"/>
      <c r="AN123" s="201">
        <v>0</v>
      </c>
      <c r="AO123" s="201">
        <v>0</v>
      </c>
      <c r="AP123" s="201">
        <v>0</v>
      </c>
      <c r="AQ123" s="201">
        <v>0</v>
      </c>
      <c r="AR123" s="201">
        <v>0</v>
      </c>
      <c r="AS123" s="283">
        <f t="shared" ref="AS123" si="35">SUM(AG123:AR123)</f>
        <v>0</v>
      </c>
      <c r="AT123" s="286">
        <f t="shared" ref="AT123" si="36">AS123/12</f>
        <v>0</v>
      </c>
      <c r="AU123" s="201">
        <v>0</v>
      </c>
      <c r="AV123" s="201">
        <v>0</v>
      </c>
      <c r="AW123" s="201">
        <v>14</v>
      </c>
      <c r="AX123" s="201">
        <v>35</v>
      </c>
      <c r="AY123" s="201">
        <f>10+68</f>
        <v>78</v>
      </c>
      <c r="AZ123" s="203">
        <f>SUMIFS(領用表!$L:$L,領用表!$E:$E,$B123,領用表!$B:$B,AZ$2&amp;$BI$1)</f>
        <v>0</v>
      </c>
      <c r="BA123" s="203">
        <f>SUMIFS(領用表!$L:$L,領用表!$E:$E,$B123,領用表!$B:$B,BA$2&amp;$BI$1)</f>
        <v>0</v>
      </c>
      <c r="BB123" s="203">
        <f>SUMIFS(領用表!$L:$L,領用表!$E:$E,$B123,領用表!$B:$B,BB$2&amp;$BI$1)</f>
        <v>0</v>
      </c>
      <c r="BC123" s="203">
        <f>SUMIFS(領用表!$L:$L,領用表!$E:$E,$B123,領用表!$B:$B,BC$2&amp;$BI$1)</f>
        <v>0</v>
      </c>
      <c r="BD123" s="208">
        <f>SUMIFS(領用表!$L:$L,領用表!$E:$E,$B123,領用表!$B:$B,BD$2&amp;$BI$1)</f>
        <v>0</v>
      </c>
      <c r="BE123" s="208">
        <f>SUMIFS(領用表!$L:$L,領用表!$E:$E,$B123,領用表!$B:$B,BE$2&amp;$BI$1)</f>
        <v>0</v>
      </c>
      <c r="BF123" s="208">
        <f>SUMIFS(領用表!$L:$L,領用表!$E:$E,$B123,領用表!$B:$B,BF$2&amp;$BI$1)</f>
        <v>0</v>
      </c>
      <c r="BG123" s="207">
        <f t="shared" ref="BG123:BG141" si="37">SUM(AU123,AV123,AW123,AX123,AY123,AZ123,BA123,BB123,BC123,BD123,BE123,BF123)</f>
        <v>127</v>
      </c>
      <c r="BH123" s="207">
        <f t="shared" ref="BH123:BH141" si="38">AVERAGE(AU123,AV123,AW123,AX123,AY123,AZ123,BA123,BB123,BC123,BD123,BE123,BF123)</f>
        <v>10.583333333333334</v>
      </c>
      <c r="BI123" s="208">
        <f>SUMIFS(領用表!$L:$L,領用表!$E:$E,$B123,領用表!$B:$B,BI$2&amp;$BI$1)</f>
        <v>0</v>
      </c>
      <c r="BJ123" s="208">
        <f>SUMIFS(領用表!$L:$L,領用表!$E:$E,$B123,領用表!$B:$B,BJ$2&amp;$BI$1)</f>
        <v>0</v>
      </c>
      <c r="BK123" s="208">
        <f>SUMIFS(領用表!$L:$L,領用表!$E:$E,$B123,領用表!$B:$B,BK$2&amp;$BI$1)</f>
        <v>0</v>
      </c>
      <c r="BL123" s="208">
        <f>SUMIFS(領用表!$L:$L,領用表!$E:$E,$B123,領用表!$B:$B,BL$2&amp;$BI$1)</f>
        <v>0</v>
      </c>
      <c r="BM123" s="208">
        <f>SUMIFS(領用表!$L:$L,領用表!$E:$E,$B123,領用表!$B:$B,BM$2&amp;$BI$1)</f>
        <v>0</v>
      </c>
      <c r="BN123" s="208">
        <f>SUMIFS(領用表!$L:$L,領用表!$E:$E,$B123,領用表!$B:$B,BN$2&amp;$BI$1)</f>
        <v>0</v>
      </c>
      <c r="BO123" s="208">
        <f>SUMIFS(領用表!$L:$L,領用表!$E:$E,$B123,領用表!$B:$B,BO$2&amp;$BI$1)</f>
        <v>0</v>
      </c>
      <c r="BP123" s="208">
        <f>SUMIFS(領用表!$L:$L,領用表!$E:$E,$B123,領用表!$B:$B,BP$2&amp;$BI$1)</f>
        <v>0</v>
      </c>
      <c r="BQ123" s="208">
        <f>SUMIFS(領用表!$L:$L,領用表!$E:$E,$B123,領用表!$B:$B,BQ$2&amp;$BI$1)</f>
        <v>0</v>
      </c>
      <c r="BR123" s="208">
        <f>SUMIFS(領用表!$L:$L,領用表!$E:$E,$B123,領用表!$B:$B,BR$2&amp;$BI$1)</f>
        <v>0</v>
      </c>
      <c r="BS123" s="208">
        <f>SUMIFS(領用表!$L:$L,領用表!$E:$E,$B123,領用表!$B:$B,BS$2&amp;$BI$1)</f>
        <v>0</v>
      </c>
      <c r="BT123" s="208">
        <f>SUMIFS(領用表!$L:$L,領用表!$E:$E,$B123,領用表!$B:$B,BT$2&amp;$BI$1)</f>
        <v>0</v>
      </c>
      <c r="BU123" s="208">
        <f t="shared" si="16"/>
        <v>0</v>
      </c>
      <c r="BV123" s="208">
        <f t="shared" si="21"/>
        <v>0</v>
      </c>
      <c r="BW123" s="208">
        <f>SUMIF(Summary!B:B,B123,Summary!DT:DT)</f>
        <v>0</v>
      </c>
      <c r="BX123" s="384"/>
      <c r="BY123" s="340"/>
      <c r="BZ123" s="341" t="s">
        <v>158</v>
      </c>
      <c r="CA123" s="340"/>
      <c r="CB123" s="136"/>
      <c r="CC123" s="289"/>
    </row>
    <row r="124" spans="1:83" s="118" customFormat="1" ht="15.75" customHeight="1">
      <c r="A124" s="136"/>
      <c r="B124" s="118" t="e">
        <v>#N/A</v>
      </c>
      <c r="C124" s="136" t="s">
        <v>516</v>
      </c>
      <c r="D124" s="307">
        <v>100</v>
      </c>
      <c r="E124" s="198" t="s">
        <v>15</v>
      </c>
      <c r="F124" s="349"/>
      <c r="G124" s="349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83"/>
      <c r="AB124" s="283"/>
      <c r="AC124" s="283"/>
      <c r="AD124" s="283"/>
      <c r="AE124" s="283"/>
      <c r="AF124" s="283"/>
      <c r="AG124" s="201"/>
      <c r="AH124" s="201"/>
      <c r="AI124" s="201"/>
      <c r="AJ124" s="201"/>
      <c r="AK124" s="201"/>
      <c r="AL124" s="201"/>
      <c r="AM124" s="201"/>
      <c r="AN124" s="201">
        <v>0</v>
      </c>
      <c r="AO124" s="201">
        <v>0</v>
      </c>
      <c r="AP124" s="201">
        <v>0</v>
      </c>
      <c r="AQ124" s="201">
        <v>0</v>
      </c>
      <c r="AR124" s="201">
        <v>0</v>
      </c>
      <c r="AS124" s="283">
        <f t="shared" si="23"/>
        <v>0</v>
      </c>
      <c r="AT124" s="286">
        <f t="shared" si="24"/>
        <v>0</v>
      </c>
      <c r="AU124" s="201">
        <v>0</v>
      </c>
      <c r="AV124" s="201">
        <v>0</v>
      </c>
      <c r="AW124" s="201">
        <v>10</v>
      </c>
      <c r="AX124" s="201">
        <v>9</v>
      </c>
      <c r="AY124" s="201">
        <f>0+2</f>
        <v>2</v>
      </c>
      <c r="AZ124" s="203">
        <f>SUMIFS(領用表!$L:$L,領用表!$E:$E,$B124,領用表!$B:$B,AZ$2&amp;$BI$1)</f>
        <v>0</v>
      </c>
      <c r="BA124" s="203">
        <f>SUMIFS(領用表!$L:$L,領用表!$E:$E,$B124,領用表!$B:$B,BA$2&amp;$BI$1)</f>
        <v>0</v>
      </c>
      <c r="BB124" s="203">
        <f>SUMIFS(領用表!$L:$L,領用表!$E:$E,$B124,領用表!$B:$B,BB$2&amp;$BI$1)</f>
        <v>0</v>
      </c>
      <c r="BC124" s="203">
        <f>SUMIFS(領用表!$L:$L,領用表!$E:$E,$B124,領用表!$B:$B,BC$2&amp;$BI$1)</f>
        <v>0</v>
      </c>
      <c r="BD124" s="208">
        <f>SUMIFS(領用表!$L:$L,領用表!$E:$E,$B124,領用表!$B:$B,BD$2&amp;$BI$1)</f>
        <v>0</v>
      </c>
      <c r="BE124" s="208">
        <f>SUMIFS(領用表!$L:$L,領用表!$E:$E,$B124,領用表!$B:$B,BE$2&amp;$BI$1)</f>
        <v>0</v>
      </c>
      <c r="BF124" s="208">
        <f>SUMIFS(領用表!$L:$L,領用表!$E:$E,$B124,領用表!$B:$B,BF$2&amp;$BI$1)</f>
        <v>0</v>
      </c>
      <c r="BG124" s="207">
        <f t="shared" si="37"/>
        <v>21</v>
      </c>
      <c r="BH124" s="207">
        <f t="shared" si="38"/>
        <v>1.75</v>
      </c>
      <c r="BI124" s="208">
        <f>SUMIFS(領用表!$L:$L,領用表!$E:$E,$B124,領用表!$B:$B,BI$2&amp;$BI$1)</f>
        <v>0</v>
      </c>
      <c r="BJ124" s="208">
        <f>SUMIFS(領用表!$L:$L,領用表!$E:$E,$B124,領用表!$B:$B,BJ$2&amp;$BI$1)</f>
        <v>0</v>
      </c>
      <c r="BK124" s="208">
        <f>SUMIFS(領用表!$L:$L,領用表!$E:$E,$B124,領用表!$B:$B,BK$2&amp;$BI$1)</f>
        <v>0</v>
      </c>
      <c r="BL124" s="208">
        <f>SUMIFS(領用表!$L:$L,領用表!$E:$E,$B124,領用表!$B:$B,BL$2&amp;$BI$1)</f>
        <v>0</v>
      </c>
      <c r="BM124" s="208">
        <f>SUMIFS(領用表!$L:$L,領用表!$E:$E,$B124,領用表!$B:$B,BM$2&amp;$BI$1)</f>
        <v>0</v>
      </c>
      <c r="BN124" s="208">
        <f>SUMIFS(領用表!$L:$L,領用表!$E:$E,$B124,領用表!$B:$B,BN$2&amp;$BI$1)</f>
        <v>0</v>
      </c>
      <c r="BO124" s="208">
        <f>SUMIFS(領用表!$L:$L,領用表!$E:$E,$B124,領用表!$B:$B,BO$2&amp;$BI$1)</f>
        <v>0</v>
      </c>
      <c r="BP124" s="208">
        <f>SUMIFS(領用表!$L:$L,領用表!$E:$E,$B124,領用表!$B:$B,BP$2&amp;$BI$1)</f>
        <v>0</v>
      </c>
      <c r="BQ124" s="208">
        <f>SUMIFS(領用表!$L:$L,領用表!$E:$E,$B124,領用表!$B:$B,BQ$2&amp;$BI$1)</f>
        <v>0</v>
      </c>
      <c r="BR124" s="208">
        <f>SUMIFS(領用表!$L:$L,領用表!$E:$E,$B124,領用表!$B:$B,BR$2&amp;$BI$1)</f>
        <v>0</v>
      </c>
      <c r="BS124" s="208">
        <f>SUMIFS(領用表!$L:$L,領用表!$E:$E,$B124,領用表!$B:$B,BS$2&amp;$BI$1)</f>
        <v>0</v>
      </c>
      <c r="BT124" s="208">
        <f>SUMIFS(領用表!$L:$L,領用表!$E:$E,$B124,領用表!$B:$B,BT$2&amp;$BI$1)</f>
        <v>0</v>
      </c>
      <c r="BU124" s="208">
        <f t="shared" si="16"/>
        <v>0</v>
      </c>
      <c r="BV124" s="208">
        <f t="shared" si="21"/>
        <v>0</v>
      </c>
      <c r="BW124" s="208">
        <f>SUMIF(Summary!B:B,B124,Summary!DT:DT)</f>
        <v>0</v>
      </c>
      <c r="BX124" s="384"/>
      <c r="BY124" s="340"/>
      <c r="BZ124" s="340"/>
      <c r="CA124" s="340"/>
      <c r="CB124" s="136"/>
      <c r="CC124" s="289"/>
    </row>
    <row r="125" spans="1:83" s="118" customFormat="1" ht="15.75" customHeight="1">
      <c r="A125" s="136"/>
      <c r="B125" s="118" t="e">
        <v>#N/A</v>
      </c>
      <c r="C125" s="136" t="s">
        <v>520</v>
      </c>
      <c r="D125" s="285"/>
      <c r="E125" s="198" t="s">
        <v>15</v>
      </c>
      <c r="F125" s="349"/>
      <c r="G125" s="349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83"/>
      <c r="AB125" s="283"/>
      <c r="AC125" s="283"/>
      <c r="AD125" s="283"/>
      <c r="AE125" s="283"/>
      <c r="AF125" s="283"/>
      <c r="AG125" s="201"/>
      <c r="AH125" s="201"/>
      <c r="AI125" s="201"/>
      <c r="AJ125" s="201"/>
      <c r="AK125" s="201"/>
      <c r="AL125" s="201"/>
      <c r="AM125" s="201"/>
      <c r="AN125" s="201"/>
      <c r="AO125" s="201"/>
      <c r="AP125" s="201"/>
      <c r="AQ125" s="201"/>
      <c r="AR125" s="201"/>
      <c r="AS125" s="283">
        <f t="shared" si="23"/>
        <v>0</v>
      </c>
      <c r="AT125" s="286">
        <f t="shared" si="24"/>
        <v>0</v>
      </c>
      <c r="AU125" s="201">
        <v>0</v>
      </c>
      <c r="AV125" s="201">
        <v>0</v>
      </c>
      <c r="AW125" s="201">
        <v>1</v>
      </c>
      <c r="AX125" s="201">
        <v>0</v>
      </c>
      <c r="AY125" s="201">
        <v>0</v>
      </c>
      <c r="AZ125" s="203">
        <f>SUMIFS(領用表!$L:$L,領用表!$E:$E,$B125,領用表!$B:$B,AZ$2&amp;$BI$1)</f>
        <v>0</v>
      </c>
      <c r="BA125" s="203">
        <f>SUMIFS(領用表!$L:$L,領用表!$E:$E,$B125,領用表!$B:$B,BA$2&amp;$BI$1)</f>
        <v>0</v>
      </c>
      <c r="BB125" s="203">
        <f>SUMIFS(領用表!$L:$L,領用表!$E:$E,$B125,領用表!$B:$B,BB$2&amp;$BI$1)</f>
        <v>0</v>
      </c>
      <c r="BC125" s="203">
        <f>SUMIFS(領用表!$L:$L,領用表!$E:$E,$B125,領用表!$B:$B,BC$2&amp;$BI$1)</f>
        <v>0</v>
      </c>
      <c r="BD125" s="208">
        <f>SUMIFS(領用表!$L:$L,領用表!$E:$E,$B125,領用表!$B:$B,BD$2&amp;$BI$1)</f>
        <v>0</v>
      </c>
      <c r="BE125" s="208">
        <f>SUMIFS(領用表!$L:$L,領用表!$E:$E,$B125,領用表!$B:$B,BE$2&amp;$BI$1)</f>
        <v>0</v>
      </c>
      <c r="BF125" s="208">
        <f>SUMIFS(領用表!$L:$L,領用表!$E:$E,$B125,領用表!$B:$B,BF$2&amp;$BI$1)</f>
        <v>0</v>
      </c>
      <c r="BG125" s="207">
        <f t="shared" si="37"/>
        <v>1</v>
      </c>
      <c r="BH125" s="207">
        <f t="shared" si="38"/>
        <v>8.3333333333333329E-2</v>
      </c>
      <c r="BI125" s="208">
        <f>SUMIFS(領用表!$L:$L,領用表!$E:$E,$B125,領用表!$B:$B,BI$2&amp;$BI$1)</f>
        <v>0</v>
      </c>
      <c r="BJ125" s="208">
        <f>SUMIFS(領用表!$L:$L,領用表!$E:$E,$B125,領用表!$B:$B,BJ$2&amp;$BI$1)</f>
        <v>0</v>
      </c>
      <c r="BK125" s="208">
        <f>SUMIFS(領用表!$L:$L,領用表!$E:$E,$B125,領用表!$B:$B,BK$2&amp;$BI$1)</f>
        <v>0</v>
      </c>
      <c r="BL125" s="208">
        <f>SUMIFS(領用表!$L:$L,領用表!$E:$E,$B125,領用表!$B:$B,BL$2&amp;$BI$1)</f>
        <v>0</v>
      </c>
      <c r="BM125" s="208">
        <f>SUMIFS(領用表!$L:$L,領用表!$E:$E,$B125,領用表!$B:$B,BM$2&amp;$BI$1)</f>
        <v>0</v>
      </c>
      <c r="BN125" s="208">
        <f>SUMIFS(領用表!$L:$L,領用表!$E:$E,$B125,領用表!$B:$B,BN$2&amp;$BI$1)</f>
        <v>0</v>
      </c>
      <c r="BO125" s="208">
        <f>SUMIFS(領用表!$L:$L,領用表!$E:$E,$B125,領用表!$B:$B,BO$2&amp;$BI$1)</f>
        <v>0</v>
      </c>
      <c r="BP125" s="208">
        <f>SUMIFS(領用表!$L:$L,領用表!$E:$E,$B125,領用表!$B:$B,BP$2&amp;$BI$1)</f>
        <v>0</v>
      </c>
      <c r="BQ125" s="208">
        <f>SUMIFS(領用表!$L:$L,領用表!$E:$E,$B125,領用表!$B:$B,BQ$2&amp;$BI$1)</f>
        <v>0</v>
      </c>
      <c r="BR125" s="208">
        <f>SUMIFS(領用表!$L:$L,領用表!$E:$E,$B125,領用表!$B:$B,BR$2&amp;$BI$1)</f>
        <v>0</v>
      </c>
      <c r="BS125" s="208">
        <f>SUMIFS(領用表!$L:$L,領用表!$E:$E,$B125,領用表!$B:$B,BS$2&amp;$BI$1)</f>
        <v>0</v>
      </c>
      <c r="BT125" s="208">
        <f>SUMIFS(領用表!$L:$L,領用表!$E:$E,$B125,領用表!$B:$B,BT$2&amp;$BI$1)</f>
        <v>0</v>
      </c>
      <c r="BU125" s="208">
        <f t="shared" si="16"/>
        <v>0</v>
      </c>
      <c r="BV125" s="208">
        <f t="shared" si="21"/>
        <v>0</v>
      </c>
      <c r="BW125" s="208">
        <f>SUMIF(Summary!B:B,B125,Summary!DT:DT)</f>
        <v>0</v>
      </c>
      <c r="BX125" s="384"/>
      <c r="BY125" s="340"/>
      <c r="BZ125" s="340"/>
      <c r="CA125" s="340"/>
      <c r="CB125" s="136"/>
      <c r="CC125" s="136"/>
      <c r="CE125" s="213"/>
    </row>
    <row r="126" spans="1:83" s="118" customFormat="1" ht="15.75" customHeight="1">
      <c r="A126" s="136"/>
      <c r="B126" s="118" t="e">
        <v>#N/A</v>
      </c>
      <c r="C126" s="136" t="s">
        <v>524</v>
      </c>
      <c r="D126" s="285"/>
      <c r="E126" s="198" t="s">
        <v>15</v>
      </c>
      <c r="F126" s="349"/>
      <c r="G126" s="349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83"/>
      <c r="AB126" s="283"/>
      <c r="AC126" s="283"/>
      <c r="AD126" s="283"/>
      <c r="AE126" s="283"/>
      <c r="AF126" s="283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83">
        <f t="shared" si="23"/>
        <v>0</v>
      </c>
      <c r="AT126" s="286">
        <f t="shared" si="24"/>
        <v>0</v>
      </c>
      <c r="AU126" s="201">
        <v>0</v>
      </c>
      <c r="AV126" s="201">
        <v>0</v>
      </c>
      <c r="AW126" s="201">
        <v>0</v>
      </c>
      <c r="AX126" s="201">
        <v>0</v>
      </c>
      <c r="AY126" s="201">
        <v>0</v>
      </c>
      <c r="AZ126" s="203">
        <f>SUMIFS(領用表!$L:$L,領用表!$E:$E,$B126,領用表!$B:$B,AZ$2&amp;$BI$1)</f>
        <v>0</v>
      </c>
      <c r="BA126" s="203">
        <f>SUMIFS(領用表!$L:$L,領用表!$E:$E,$B126,領用表!$B:$B,BA$2&amp;$BI$1)</f>
        <v>0</v>
      </c>
      <c r="BB126" s="203">
        <f>SUMIFS(領用表!$L:$L,領用表!$E:$E,$B126,領用表!$B:$B,BB$2&amp;$BI$1)</f>
        <v>0</v>
      </c>
      <c r="BC126" s="203">
        <f>SUMIFS(領用表!$L:$L,領用表!$E:$E,$B126,領用表!$B:$B,BC$2&amp;$BI$1)</f>
        <v>0</v>
      </c>
      <c r="BD126" s="208">
        <f>SUMIFS(領用表!$L:$L,領用表!$E:$E,$B126,領用表!$B:$B,BD$2&amp;$BI$1)</f>
        <v>0</v>
      </c>
      <c r="BE126" s="208">
        <f>SUMIFS(領用表!$L:$L,領用表!$E:$E,$B126,領用表!$B:$B,BE$2&amp;$BI$1)</f>
        <v>0</v>
      </c>
      <c r="BF126" s="208">
        <f>SUMIFS(領用表!$L:$L,領用表!$E:$E,$B126,領用表!$B:$B,BF$2&amp;$BI$1)</f>
        <v>0</v>
      </c>
      <c r="BG126" s="207">
        <f t="shared" si="37"/>
        <v>0</v>
      </c>
      <c r="BH126" s="207">
        <f t="shared" si="38"/>
        <v>0</v>
      </c>
      <c r="BI126" s="208">
        <f>SUMIFS(領用表!$L:$L,領用表!$E:$E,$B126,領用表!$B:$B,BI$2&amp;$BI$1)</f>
        <v>0</v>
      </c>
      <c r="BJ126" s="208">
        <f>SUMIFS(領用表!$L:$L,領用表!$E:$E,$B126,領用表!$B:$B,BJ$2&amp;$BI$1)</f>
        <v>0</v>
      </c>
      <c r="BK126" s="208">
        <f>SUMIFS(領用表!$L:$L,領用表!$E:$E,$B126,領用表!$B:$B,BK$2&amp;$BI$1)</f>
        <v>0</v>
      </c>
      <c r="BL126" s="208">
        <f>SUMIFS(領用表!$L:$L,領用表!$E:$E,$B126,領用表!$B:$B,BL$2&amp;$BI$1)</f>
        <v>0</v>
      </c>
      <c r="BM126" s="208">
        <f>SUMIFS(領用表!$L:$L,領用表!$E:$E,$B126,領用表!$B:$B,BM$2&amp;$BI$1)</f>
        <v>0</v>
      </c>
      <c r="BN126" s="208">
        <f>SUMIFS(領用表!$L:$L,領用表!$E:$E,$B126,領用表!$B:$B,BN$2&amp;$BI$1)</f>
        <v>0</v>
      </c>
      <c r="BO126" s="208">
        <f>SUMIFS(領用表!$L:$L,領用表!$E:$E,$B126,領用表!$B:$B,BO$2&amp;$BI$1)</f>
        <v>0</v>
      </c>
      <c r="BP126" s="208">
        <f>SUMIFS(領用表!$L:$L,領用表!$E:$E,$B126,領用表!$B:$B,BP$2&amp;$BI$1)</f>
        <v>0</v>
      </c>
      <c r="BQ126" s="208">
        <f>SUMIFS(領用表!$L:$L,領用表!$E:$E,$B126,領用表!$B:$B,BQ$2&amp;$BI$1)</f>
        <v>0</v>
      </c>
      <c r="BR126" s="208">
        <f>SUMIFS(領用表!$L:$L,領用表!$E:$E,$B126,領用表!$B:$B,BR$2&amp;$BI$1)</f>
        <v>0</v>
      </c>
      <c r="BS126" s="208">
        <f>SUMIFS(領用表!$L:$L,領用表!$E:$E,$B126,領用表!$B:$B,BS$2&amp;$BI$1)</f>
        <v>0</v>
      </c>
      <c r="BT126" s="208">
        <f>SUMIFS(領用表!$L:$L,領用表!$E:$E,$B126,領用表!$B:$B,BT$2&amp;$BI$1)</f>
        <v>0</v>
      </c>
      <c r="BU126" s="208">
        <f t="shared" si="16"/>
        <v>0</v>
      </c>
      <c r="BV126" s="208">
        <f t="shared" si="21"/>
        <v>0</v>
      </c>
      <c r="BW126" s="208">
        <f>SUMIF(Summary!B:B,B126,Summary!DT:DT)</f>
        <v>0</v>
      </c>
      <c r="BX126" s="258"/>
      <c r="BY126" s="340"/>
      <c r="BZ126" s="340"/>
      <c r="CA126" s="340"/>
      <c r="CB126" s="136"/>
      <c r="CC126" s="136"/>
      <c r="CE126" s="213"/>
    </row>
    <row r="127" spans="1:83" s="118" customFormat="1" ht="15.75" customHeight="1">
      <c r="A127" s="136"/>
      <c r="B127" s="118">
        <v>6110004</v>
      </c>
      <c r="C127" s="136" t="s">
        <v>536</v>
      </c>
      <c r="D127" s="285">
        <v>60</v>
      </c>
      <c r="E127" s="198" t="s">
        <v>15</v>
      </c>
      <c r="F127" s="349"/>
      <c r="G127" s="349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83"/>
      <c r="AB127" s="283"/>
      <c r="AC127" s="283"/>
      <c r="AD127" s="283"/>
      <c r="AE127" s="283"/>
      <c r="AF127" s="283"/>
      <c r="AG127" s="201"/>
      <c r="AH127" s="201"/>
      <c r="AI127" s="201"/>
      <c r="AJ127" s="201"/>
      <c r="AK127" s="201"/>
      <c r="AL127" s="201"/>
      <c r="AM127" s="201"/>
      <c r="AN127" s="201"/>
      <c r="AO127" s="201"/>
      <c r="AP127" s="201"/>
      <c r="AQ127" s="201"/>
      <c r="AR127" s="201"/>
      <c r="AS127" s="283">
        <f t="shared" si="23"/>
        <v>0</v>
      </c>
      <c r="AT127" s="286">
        <f t="shared" si="24"/>
        <v>0</v>
      </c>
      <c r="AU127" s="201">
        <v>0</v>
      </c>
      <c r="AV127" s="201">
        <v>0</v>
      </c>
      <c r="AW127" s="201">
        <v>2</v>
      </c>
      <c r="AX127" s="201">
        <v>3</v>
      </c>
      <c r="AY127" s="201">
        <v>1</v>
      </c>
      <c r="AZ127" s="203">
        <f>SUMIFS(領用表!$L:$L,領用表!$E:$E,$B127,領用表!$B:$B,AZ$2&amp;$BI$1)</f>
        <v>0</v>
      </c>
      <c r="BA127" s="203">
        <f>SUMIFS(領用表!$L:$L,領用表!$E:$E,$B127,領用表!$B:$B,BA$2&amp;$BI$1)</f>
        <v>0</v>
      </c>
      <c r="BB127" s="203">
        <f>SUMIFS(領用表!$L:$L,領用表!$E:$E,$B127,領用表!$B:$B,BB$2&amp;$BI$1)</f>
        <v>0</v>
      </c>
      <c r="BC127" s="203">
        <f>SUMIFS(領用表!$L:$L,領用表!$E:$E,$B127,領用表!$B:$B,BC$2&amp;$BI$1)</f>
        <v>0</v>
      </c>
      <c r="BD127" s="208">
        <f>SUMIFS(領用表!$L:$L,領用表!$E:$E,$B127,領用表!$B:$B,BD$2&amp;$BI$1)</f>
        <v>0</v>
      </c>
      <c r="BE127" s="208">
        <f>SUMIFS(領用表!$L:$L,領用表!$E:$E,$B127,領用表!$B:$B,BE$2&amp;$BI$1)</f>
        <v>0</v>
      </c>
      <c r="BF127" s="208">
        <f>SUMIFS(領用表!$L:$L,領用表!$E:$E,$B127,領用表!$B:$B,BF$2&amp;$BI$1)</f>
        <v>0</v>
      </c>
      <c r="BG127" s="207">
        <f t="shared" si="37"/>
        <v>6</v>
      </c>
      <c r="BH127" s="207">
        <f t="shared" si="38"/>
        <v>0.5</v>
      </c>
      <c r="BI127" s="208">
        <f>SUMIFS(領用表!$L:$L,領用表!$E:$E,$B127,領用表!$B:$B,BI$2&amp;$BI$1)</f>
        <v>0</v>
      </c>
      <c r="BJ127" s="208">
        <f>SUMIFS(領用表!$L:$L,領用表!$E:$E,$B127,領用表!$B:$B,BJ$2&amp;$BI$1)</f>
        <v>0</v>
      </c>
      <c r="BK127" s="208">
        <f>SUMIFS(領用表!$L:$L,領用表!$E:$E,$B127,領用表!$B:$B,BK$2&amp;$BI$1)</f>
        <v>0</v>
      </c>
      <c r="BL127" s="208">
        <f>SUMIFS(領用表!$L:$L,領用表!$E:$E,$B127,領用表!$B:$B,BL$2&amp;$BI$1)</f>
        <v>0</v>
      </c>
      <c r="BM127" s="208">
        <f>SUMIFS(領用表!$L:$L,領用表!$E:$E,$B127,領用表!$B:$B,BM$2&amp;$BI$1)</f>
        <v>0</v>
      </c>
      <c r="BN127" s="208">
        <f>SUMIFS(領用表!$L:$L,領用表!$E:$E,$B127,領用表!$B:$B,BN$2&amp;$BI$1)</f>
        <v>0</v>
      </c>
      <c r="BO127" s="208">
        <f>SUMIFS(領用表!$L:$L,領用表!$E:$E,$B127,領用表!$B:$B,BO$2&amp;$BI$1)</f>
        <v>0</v>
      </c>
      <c r="BP127" s="208">
        <f>SUMIFS(領用表!$L:$L,領用表!$E:$E,$B127,領用表!$B:$B,BP$2&amp;$BI$1)</f>
        <v>0</v>
      </c>
      <c r="BQ127" s="208">
        <f>SUMIFS(領用表!$L:$L,領用表!$E:$E,$B127,領用表!$B:$B,BQ$2&amp;$BI$1)</f>
        <v>0</v>
      </c>
      <c r="BR127" s="208">
        <f>SUMIFS(領用表!$L:$L,領用表!$E:$E,$B127,領用表!$B:$B,BR$2&amp;$BI$1)</f>
        <v>0</v>
      </c>
      <c r="BS127" s="208">
        <f>SUMIFS(領用表!$L:$L,領用表!$E:$E,$B127,領用表!$B:$B,BS$2&amp;$BI$1)</f>
        <v>0</v>
      </c>
      <c r="BT127" s="208">
        <f>SUMIFS(領用表!$L:$L,領用表!$E:$E,$B127,領用表!$B:$B,BT$2&amp;$BI$1)</f>
        <v>0</v>
      </c>
      <c r="BU127" s="208">
        <f t="shared" si="16"/>
        <v>0</v>
      </c>
      <c r="BV127" s="208">
        <f t="shared" si="21"/>
        <v>0</v>
      </c>
      <c r="BW127" s="208">
        <f>SUMIF(Summary!B:B,B127,Summary!DT:DT)</f>
        <v>0</v>
      </c>
      <c r="BX127" s="258"/>
      <c r="BY127" s="340"/>
      <c r="BZ127" s="340"/>
      <c r="CA127" s="340"/>
      <c r="CB127" s="136"/>
      <c r="CC127" s="136"/>
      <c r="CE127" s="213"/>
    </row>
    <row r="128" spans="1:83" s="118" customFormat="1" ht="15.75" customHeight="1">
      <c r="A128" s="136"/>
      <c r="B128" s="118" t="e">
        <v>#N/A</v>
      </c>
      <c r="C128" s="136" t="s">
        <v>538</v>
      </c>
      <c r="D128" s="285"/>
      <c r="E128" s="198" t="s">
        <v>15</v>
      </c>
      <c r="F128" s="349"/>
      <c r="G128" s="349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83"/>
      <c r="AB128" s="283"/>
      <c r="AC128" s="283"/>
      <c r="AD128" s="283"/>
      <c r="AE128" s="283"/>
      <c r="AF128" s="283"/>
      <c r="AG128" s="201"/>
      <c r="AH128" s="201"/>
      <c r="AI128" s="201"/>
      <c r="AJ128" s="201"/>
      <c r="AK128" s="201"/>
      <c r="AL128" s="201"/>
      <c r="AM128" s="201"/>
      <c r="AN128" s="201"/>
      <c r="AO128" s="201"/>
      <c r="AP128" s="201"/>
      <c r="AQ128" s="201"/>
      <c r="AR128" s="201"/>
      <c r="AS128" s="283">
        <f t="shared" si="23"/>
        <v>0</v>
      </c>
      <c r="AT128" s="286">
        <f t="shared" si="24"/>
        <v>0</v>
      </c>
      <c r="AU128" s="201">
        <v>0</v>
      </c>
      <c r="AV128" s="201">
        <v>0</v>
      </c>
      <c r="AW128" s="201">
        <v>0</v>
      </c>
      <c r="AX128" s="201">
        <v>0</v>
      </c>
      <c r="AY128" s="201">
        <v>0</v>
      </c>
      <c r="AZ128" s="203">
        <f>SUMIFS(領用表!$L:$L,領用表!$E:$E,$B128,領用表!$B:$B,AZ$2&amp;$BI$1)</f>
        <v>0</v>
      </c>
      <c r="BA128" s="203">
        <f>SUMIFS(領用表!$L:$L,領用表!$E:$E,$B128,領用表!$B:$B,BA$2&amp;$BI$1)</f>
        <v>0</v>
      </c>
      <c r="BB128" s="203">
        <f>SUMIFS(領用表!$L:$L,領用表!$E:$E,$B128,領用表!$B:$B,BB$2&amp;$BI$1)</f>
        <v>0</v>
      </c>
      <c r="BC128" s="203">
        <f>SUMIFS(領用表!$L:$L,領用表!$E:$E,$B128,領用表!$B:$B,BC$2&amp;$BI$1)</f>
        <v>0</v>
      </c>
      <c r="BD128" s="208">
        <f>SUMIFS(領用表!$L:$L,領用表!$E:$E,$B128,領用表!$B:$B,BD$2&amp;$BI$1)</f>
        <v>0</v>
      </c>
      <c r="BE128" s="208">
        <f>SUMIFS(領用表!$L:$L,領用表!$E:$E,$B128,領用表!$B:$B,BE$2&amp;$BI$1)</f>
        <v>0</v>
      </c>
      <c r="BF128" s="208">
        <f>SUMIFS(領用表!$L:$L,領用表!$E:$E,$B128,領用表!$B:$B,BF$2&amp;$BI$1)</f>
        <v>0</v>
      </c>
      <c r="BG128" s="207">
        <f t="shared" si="37"/>
        <v>0</v>
      </c>
      <c r="BH128" s="207">
        <f t="shared" si="38"/>
        <v>0</v>
      </c>
      <c r="BI128" s="208">
        <f>SUMIFS(領用表!$L:$L,領用表!$E:$E,$B128,領用表!$B:$B,BI$2&amp;$BI$1)</f>
        <v>0</v>
      </c>
      <c r="BJ128" s="208">
        <f>SUMIFS(領用表!$L:$L,領用表!$E:$E,$B128,領用表!$B:$B,BJ$2&amp;$BI$1)</f>
        <v>0</v>
      </c>
      <c r="BK128" s="208">
        <f>SUMIFS(領用表!$L:$L,領用表!$E:$E,$B128,領用表!$B:$B,BK$2&amp;$BI$1)</f>
        <v>0</v>
      </c>
      <c r="BL128" s="208">
        <f>SUMIFS(領用表!$L:$L,領用表!$E:$E,$B128,領用表!$B:$B,BL$2&amp;$BI$1)</f>
        <v>0</v>
      </c>
      <c r="BM128" s="208">
        <f>SUMIFS(領用表!$L:$L,領用表!$E:$E,$B128,領用表!$B:$B,BM$2&amp;$BI$1)</f>
        <v>0</v>
      </c>
      <c r="BN128" s="208">
        <f>SUMIFS(領用表!$L:$L,領用表!$E:$E,$B128,領用表!$B:$B,BN$2&amp;$BI$1)</f>
        <v>0</v>
      </c>
      <c r="BO128" s="208">
        <f>SUMIFS(領用表!$L:$L,領用表!$E:$E,$B128,領用表!$B:$B,BO$2&amp;$BI$1)</f>
        <v>0</v>
      </c>
      <c r="BP128" s="208">
        <f>SUMIFS(領用表!$L:$L,領用表!$E:$E,$B128,領用表!$B:$B,BP$2&amp;$BI$1)</f>
        <v>0</v>
      </c>
      <c r="BQ128" s="208">
        <f>SUMIFS(領用表!$L:$L,領用表!$E:$E,$B128,領用表!$B:$B,BQ$2&amp;$BI$1)</f>
        <v>0</v>
      </c>
      <c r="BR128" s="208">
        <f>SUMIFS(領用表!$L:$L,領用表!$E:$E,$B128,領用表!$B:$B,BR$2&amp;$BI$1)</f>
        <v>0</v>
      </c>
      <c r="BS128" s="208">
        <f>SUMIFS(領用表!$L:$L,領用表!$E:$E,$B128,領用表!$B:$B,BS$2&amp;$BI$1)</f>
        <v>0</v>
      </c>
      <c r="BT128" s="208">
        <f>SUMIFS(領用表!$L:$L,領用表!$E:$E,$B128,領用表!$B:$B,BT$2&amp;$BI$1)</f>
        <v>0</v>
      </c>
      <c r="BU128" s="208">
        <f t="shared" si="16"/>
        <v>0</v>
      </c>
      <c r="BV128" s="208">
        <f t="shared" si="21"/>
        <v>0</v>
      </c>
      <c r="BW128" s="208">
        <f>SUMIF(Summary!B:B,B128,Summary!DT:DT)</f>
        <v>0</v>
      </c>
      <c r="BX128" s="258"/>
      <c r="BY128" s="340"/>
      <c r="BZ128" s="340"/>
      <c r="CA128" s="340"/>
      <c r="CB128" s="136"/>
      <c r="CC128" s="136"/>
      <c r="CE128" s="213"/>
    </row>
    <row r="129" spans="1:83" s="118" customFormat="1" ht="15.75" customHeight="1" thickBot="1">
      <c r="A129" s="136"/>
      <c r="B129" s="118">
        <v>6130001</v>
      </c>
      <c r="C129" s="136" t="s">
        <v>539</v>
      </c>
      <c r="D129" s="285"/>
      <c r="E129" s="198" t="s">
        <v>15</v>
      </c>
      <c r="F129" s="349"/>
      <c r="G129" s="349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  <c r="AA129" s="283"/>
      <c r="AB129" s="283"/>
      <c r="AC129" s="283"/>
      <c r="AD129" s="283"/>
      <c r="AE129" s="283"/>
      <c r="AF129" s="283"/>
      <c r="AG129" s="201"/>
      <c r="AH129" s="201"/>
      <c r="AI129" s="201"/>
      <c r="AJ129" s="201"/>
      <c r="AK129" s="201"/>
      <c r="AL129" s="201"/>
      <c r="AM129" s="201"/>
      <c r="AN129" s="201"/>
      <c r="AO129" s="201"/>
      <c r="AP129" s="201"/>
      <c r="AQ129" s="201"/>
      <c r="AR129" s="201"/>
      <c r="AS129" s="283">
        <f t="shared" si="23"/>
        <v>0</v>
      </c>
      <c r="AT129" s="286">
        <f t="shared" si="24"/>
        <v>0</v>
      </c>
      <c r="AU129" s="201">
        <v>0</v>
      </c>
      <c r="AV129" s="201">
        <v>0</v>
      </c>
      <c r="AW129" s="201">
        <v>0</v>
      </c>
      <c r="AX129" s="201">
        <v>0</v>
      </c>
      <c r="AY129" s="201">
        <v>5</v>
      </c>
      <c r="AZ129" s="203">
        <f>SUMIFS(領用表!$L:$L,領用表!$E:$E,$B129,領用表!$B:$B,AZ$2&amp;$BI$1)</f>
        <v>0</v>
      </c>
      <c r="BA129" s="203">
        <f>SUMIFS(領用表!$L:$L,領用表!$E:$E,$B129,領用表!$B:$B,BA$2&amp;$BI$1)</f>
        <v>0</v>
      </c>
      <c r="BB129" s="203">
        <f>SUMIFS(領用表!$L:$L,領用表!$E:$E,$B129,領用表!$B:$B,BB$2&amp;$BI$1)</f>
        <v>0</v>
      </c>
      <c r="BC129" s="203">
        <f>SUMIFS(領用表!$L:$L,領用表!$E:$E,$B129,領用表!$B:$B,BC$2&amp;$BI$1)</f>
        <v>0</v>
      </c>
      <c r="BD129" s="208">
        <f>SUMIFS(領用表!$L:$L,領用表!$E:$E,$B129,領用表!$B:$B,BD$2&amp;$BI$1)</f>
        <v>0</v>
      </c>
      <c r="BE129" s="208">
        <f>SUMIFS(領用表!$L:$L,領用表!$E:$E,$B129,領用表!$B:$B,BE$2&amp;$BI$1)</f>
        <v>0</v>
      </c>
      <c r="BF129" s="208">
        <f>SUMIFS(領用表!$L:$L,領用表!$E:$E,$B129,領用表!$B:$B,BF$2&amp;$BI$1)</f>
        <v>0</v>
      </c>
      <c r="BG129" s="207">
        <f t="shared" si="37"/>
        <v>5</v>
      </c>
      <c r="BH129" s="207">
        <f t="shared" si="38"/>
        <v>0.41666666666666669</v>
      </c>
      <c r="BI129" s="208">
        <f>SUMIFS(領用表!$L:$L,領用表!$E:$E,$B129,領用表!$B:$B,BI$2&amp;$BI$1)</f>
        <v>0</v>
      </c>
      <c r="BJ129" s="208">
        <f>SUMIFS(領用表!$L:$L,領用表!$E:$E,$B129,領用表!$B:$B,BJ$2&amp;$BI$1)</f>
        <v>0</v>
      </c>
      <c r="BK129" s="208">
        <f>SUMIFS(領用表!$L:$L,領用表!$E:$E,$B129,領用表!$B:$B,BK$2&amp;$BI$1)</f>
        <v>0</v>
      </c>
      <c r="BL129" s="208">
        <f>SUMIFS(領用表!$L:$L,領用表!$E:$E,$B129,領用表!$B:$B,BL$2&amp;$BI$1)</f>
        <v>0</v>
      </c>
      <c r="BM129" s="208">
        <f>SUMIFS(領用表!$L:$L,領用表!$E:$E,$B129,領用表!$B:$B,BM$2&amp;$BI$1)</f>
        <v>0</v>
      </c>
      <c r="BN129" s="208">
        <f>SUMIFS(領用表!$L:$L,領用表!$E:$E,$B129,領用表!$B:$B,BN$2&amp;$BI$1)</f>
        <v>0</v>
      </c>
      <c r="BO129" s="208">
        <f>SUMIFS(領用表!$L:$L,領用表!$E:$E,$B129,領用表!$B:$B,BO$2&amp;$BI$1)</f>
        <v>0</v>
      </c>
      <c r="BP129" s="208">
        <f>SUMIFS(領用表!$L:$L,領用表!$E:$E,$B129,領用表!$B:$B,BP$2&amp;$BI$1)</f>
        <v>0</v>
      </c>
      <c r="BQ129" s="208">
        <f>SUMIFS(領用表!$L:$L,領用表!$E:$E,$B129,領用表!$B:$B,BQ$2&amp;$BI$1)</f>
        <v>0</v>
      </c>
      <c r="BR129" s="208">
        <f>SUMIFS(領用表!$L:$L,領用表!$E:$E,$B129,領用表!$B:$B,BR$2&amp;$BI$1)</f>
        <v>0</v>
      </c>
      <c r="BS129" s="208">
        <f>SUMIFS(領用表!$L:$L,領用表!$E:$E,$B129,領用表!$B:$B,BS$2&amp;$BI$1)</f>
        <v>0</v>
      </c>
      <c r="BT129" s="208">
        <f>SUMIFS(領用表!$L:$L,領用表!$E:$E,$B129,領用表!$B:$B,BT$2&amp;$BI$1)</f>
        <v>0</v>
      </c>
      <c r="BU129" s="208">
        <f t="shared" si="16"/>
        <v>0</v>
      </c>
      <c r="BV129" s="208">
        <f t="shared" si="21"/>
        <v>0</v>
      </c>
      <c r="BW129" s="208">
        <f>SUMIF(Summary!B:B,B129,Summary!DT:DT)</f>
        <v>0</v>
      </c>
      <c r="BX129" s="258"/>
      <c r="BY129" s="340"/>
      <c r="BZ129" s="340"/>
      <c r="CA129" s="340"/>
      <c r="CB129" s="136"/>
      <c r="CC129" s="136"/>
      <c r="CE129" s="213"/>
    </row>
    <row r="130" spans="1:83" s="118" customFormat="1" ht="15.75" customHeight="1" thickBot="1">
      <c r="A130" s="324" t="s">
        <v>774</v>
      </c>
      <c r="B130" s="325">
        <v>6120042</v>
      </c>
      <c r="C130" s="136" t="s">
        <v>775</v>
      </c>
      <c r="D130" s="285"/>
      <c r="E130" s="198"/>
      <c r="F130" s="349">
        <v>49</v>
      </c>
      <c r="G130" s="349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  <c r="Z130" s="283"/>
      <c r="AA130" s="283"/>
      <c r="AB130" s="283"/>
      <c r="AC130" s="283"/>
      <c r="AD130" s="283"/>
      <c r="AE130" s="283"/>
      <c r="AF130" s="283"/>
      <c r="AG130" s="201"/>
      <c r="AH130" s="201"/>
      <c r="AI130" s="201"/>
      <c r="AJ130" s="201"/>
      <c r="AK130" s="201"/>
      <c r="AL130" s="201"/>
      <c r="AM130" s="201"/>
      <c r="AN130" s="201"/>
      <c r="AO130" s="201"/>
      <c r="AP130" s="201"/>
      <c r="AQ130" s="201"/>
      <c r="AR130" s="201"/>
      <c r="AS130" s="283"/>
      <c r="AT130" s="286"/>
      <c r="AU130" s="201"/>
      <c r="AV130" s="201"/>
      <c r="AW130" s="201"/>
      <c r="AX130" s="201"/>
      <c r="AY130" s="201"/>
      <c r="AZ130" s="203"/>
      <c r="BA130" s="203"/>
      <c r="BB130" s="203"/>
      <c r="BC130" s="203">
        <f>SUMIFS(領用表!$L:$L,領用表!$E:$E,$B130,領用表!$B:$B,BC$2&amp;$BI$1)</f>
        <v>0</v>
      </c>
      <c r="BD130" s="208">
        <f>SUMIFS(領用表!$L:$L,領用表!$E:$E,$B130,領用表!$B:$B,BD$2&amp;$BI$1)</f>
        <v>0</v>
      </c>
      <c r="BE130" s="208">
        <f>SUMIFS(領用表!$L:$L,領用表!$E:$E,$B130,領用表!$B:$B,BE$2&amp;$BI$1)</f>
        <v>0</v>
      </c>
      <c r="BF130" s="208">
        <f>SUMIFS(領用表!$L:$L,領用表!$E:$E,$B130,領用表!$B:$B,BF$2&amp;$BI$1)</f>
        <v>0</v>
      </c>
      <c r="BG130" s="207">
        <f t="shared" ref="BG130:BG132" si="39">SUM(AU130,AV130,AW130,AX130,AY130,AZ130,BA130,BB130,BC130,BD130,BE130,BF130)</f>
        <v>0</v>
      </c>
      <c r="BH130" s="207">
        <f t="shared" ref="BH130:BH132" si="40">AVERAGE(AU130,AV130,AW130,AX130,AY130,AZ130,BA130,BB130,BC130,BD130,BE130,BF130)</f>
        <v>0</v>
      </c>
      <c r="BI130" s="208">
        <f>SUMIFS(領用表!$L:$L,領用表!$E:$E,$B130,領用表!$B:$B,BI$2&amp;$BI$1)</f>
        <v>0</v>
      </c>
      <c r="BJ130" s="208">
        <f>SUMIFS(領用表!$L:$L,領用表!$E:$E,$B130,領用表!$B:$B,BJ$2&amp;$BI$1)</f>
        <v>0</v>
      </c>
      <c r="BK130" s="208">
        <f>SUMIFS(領用表!$L:$L,領用表!$E:$E,$B130,領用表!$B:$B,BK$2&amp;$BI$1)</f>
        <v>0</v>
      </c>
      <c r="BL130" s="208">
        <f>SUMIFS(領用表!$L:$L,領用表!$E:$E,$B130,領用表!$B:$B,BL$2&amp;$BI$1)</f>
        <v>0</v>
      </c>
      <c r="BM130" s="208">
        <f>SUMIFS(領用表!$L:$L,領用表!$E:$E,$B130,領用表!$B:$B,BM$2&amp;$BI$1)</f>
        <v>0</v>
      </c>
      <c r="BN130" s="208">
        <f>SUMIFS(領用表!$L:$L,領用表!$E:$E,$B130,領用表!$B:$B,BN$2&amp;$BI$1)</f>
        <v>0</v>
      </c>
      <c r="BO130" s="208">
        <f>SUMIFS(領用表!$L:$L,領用表!$E:$E,$B130,領用表!$B:$B,BO$2&amp;$BI$1)</f>
        <v>0</v>
      </c>
      <c r="BP130" s="208">
        <f>SUMIFS(領用表!$L:$L,領用表!$E:$E,$B130,領用表!$B:$B,BP$2&amp;$BI$1)</f>
        <v>0</v>
      </c>
      <c r="BQ130" s="208">
        <f>SUMIFS(領用表!$L:$L,領用表!$E:$E,$B130,領用表!$B:$B,BQ$2&amp;$BI$1)</f>
        <v>0</v>
      </c>
      <c r="BR130" s="208">
        <f>SUMIFS(領用表!$L:$L,領用表!$E:$E,$B130,領用表!$B:$B,BR$2&amp;$BI$1)</f>
        <v>0</v>
      </c>
      <c r="BS130" s="208">
        <f>SUMIFS(領用表!$L:$L,領用表!$E:$E,$B130,領用表!$B:$B,BS$2&amp;$BI$1)</f>
        <v>0</v>
      </c>
      <c r="BT130" s="208">
        <f>SUMIFS(領用表!$L:$L,領用表!$E:$E,$B130,領用表!$B:$B,BT$2&amp;$BI$1)</f>
        <v>0</v>
      </c>
      <c r="BU130" s="208">
        <f t="shared" si="16"/>
        <v>0</v>
      </c>
      <c r="BV130" s="208">
        <f t="shared" si="21"/>
        <v>0</v>
      </c>
      <c r="BW130" s="208">
        <f>SUMIF(Summary!B:B,B130,Summary!DT:DT)</f>
        <v>0</v>
      </c>
      <c r="BX130" s="258"/>
      <c r="BY130" s="340"/>
      <c r="BZ130" s="340"/>
      <c r="CA130" s="340"/>
      <c r="CB130" s="136"/>
      <c r="CC130" s="136"/>
      <c r="CE130" s="213"/>
    </row>
    <row r="131" spans="1:83" s="118" customFormat="1" ht="15.75" customHeight="1" thickBot="1">
      <c r="A131" s="320" t="s">
        <v>776</v>
      </c>
      <c r="B131" s="325">
        <v>6120043</v>
      </c>
      <c r="C131" s="136" t="s">
        <v>777</v>
      </c>
      <c r="D131" s="285"/>
      <c r="E131" s="198"/>
      <c r="F131" s="349"/>
      <c r="G131" s="349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83"/>
      <c r="AB131" s="283"/>
      <c r="AC131" s="283"/>
      <c r="AD131" s="283"/>
      <c r="AE131" s="283"/>
      <c r="AF131" s="283"/>
      <c r="AG131" s="201"/>
      <c r="AH131" s="201"/>
      <c r="AI131" s="201"/>
      <c r="AJ131" s="201"/>
      <c r="AK131" s="201"/>
      <c r="AL131" s="201"/>
      <c r="AM131" s="201"/>
      <c r="AN131" s="201"/>
      <c r="AO131" s="201"/>
      <c r="AP131" s="201"/>
      <c r="AQ131" s="201"/>
      <c r="AR131" s="201"/>
      <c r="AS131" s="283"/>
      <c r="AT131" s="286"/>
      <c r="AU131" s="201"/>
      <c r="AV131" s="201"/>
      <c r="AW131" s="201"/>
      <c r="AX131" s="201"/>
      <c r="AY131" s="201"/>
      <c r="AZ131" s="203"/>
      <c r="BA131" s="203"/>
      <c r="BB131" s="203"/>
      <c r="BC131" s="203">
        <f>SUMIFS(領用表!$L:$L,領用表!$E:$E,$B131,領用表!$B:$B,BC$2&amp;$BI$1)</f>
        <v>0</v>
      </c>
      <c r="BD131" s="208">
        <f>SUMIFS(領用表!$L:$L,領用表!$E:$E,$B131,領用表!$B:$B,BD$2&amp;$BI$1)</f>
        <v>0</v>
      </c>
      <c r="BE131" s="208">
        <f>SUMIFS(領用表!$L:$L,領用表!$E:$E,$B131,領用表!$B:$B,BE$2&amp;$BI$1)</f>
        <v>0</v>
      </c>
      <c r="BF131" s="208">
        <f>SUMIFS(領用表!$L:$L,領用表!$E:$E,$B131,領用表!$B:$B,BF$2&amp;$BI$1)</f>
        <v>0</v>
      </c>
      <c r="BG131" s="207">
        <f t="shared" si="39"/>
        <v>0</v>
      </c>
      <c r="BH131" s="207">
        <f t="shared" si="40"/>
        <v>0</v>
      </c>
      <c r="BI131" s="208">
        <f>SUMIFS(領用表!$L:$L,領用表!$E:$E,$B131,領用表!$B:$B,BI$2&amp;$BI$1)</f>
        <v>0</v>
      </c>
      <c r="BJ131" s="208">
        <f>SUMIFS(領用表!$L:$L,領用表!$E:$E,$B131,領用表!$B:$B,BJ$2&amp;$BI$1)</f>
        <v>0</v>
      </c>
      <c r="BK131" s="208">
        <f>SUMIFS(領用表!$L:$L,領用表!$E:$E,$B131,領用表!$B:$B,BK$2&amp;$BI$1)</f>
        <v>0</v>
      </c>
      <c r="BL131" s="208">
        <f>SUMIFS(領用表!$L:$L,領用表!$E:$E,$B131,領用表!$B:$B,BL$2&amp;$BI$1)</f>
        <v>0</v>
      </c>
      <c r="BM131" s="208">
        <f>SUMIFS(領用表!$L:$L,領用表!$E:$E,$B131,領用表!$B:$B,BM$2&amp;$BI$1)</f>
        <v>0</v>
      </c>
      <c r="BN131" s="208">
        <f>SUMIFS(領用表!$L:$L,領用表!$E:$E,$B131,領用表!$B:$B,BN$2&amp;$BI$1)</f>
        <v>0</v>
      </c>
      <c r="BO131" s="208">
        <f>SUMIFS(領用表!$L:$L,領用表!$E:$E,$B131,領用表!$B:$B,BO$2&amp;$BI$1)</f>
        <v>0</v>
      </c>
      <c r="BP131" s="208">
        <f>SUMIFS(領用表!$L:$L,領用表!$E:$E,$B131,領用表!$B:$B,BP$2&amp;$BI$1)</f>
        <v>0</v>
      </c>
      <c r="BQ131" s="208">
        <f>SUMIFS(領用表!$L:$L,領用表!$E:$E,$B131,領用表!$B:$B,BQ$2&amp;$BI$1)</f>
        <v>0</v>
      </c>
      <c r="BR131" s="208">
        <f>SUMIFS(領用表!$L:$L,領用表!$E:$E,$B131,領用表!$B:$B,BR$2&amp;$BI$1)</f>
        <v>0</v>
      </c>
      <c r="BS131" s="208">
        <f>SUMIFS(領用表!$L:$L,領用表!$E:$E,$B131,領用表!$B:$B,BS$2&amp;$BI$1)</f>
        <v>0</v>
      </c>
      <c r="BT131" s="208">
        <f>SUMIFS(領用表!$L:$L,領用表!$E:$E,$B131,領用表!$B:$B,BT$2&amp;$BI$1)</f>
        <v>0</v>
      </c>
      <c r="BU131" s="208">
        <f t="shared" si="16"/>
        <v>0</v>
      </c>
      <c r="BV131" s="208">
        <f t="shared" si="21"/>
        <v>0</v>
      </c>
      <c r="BW131" s="208">
        <f>SUMIF(Summary!B:B,B131,Summary!DT:DT)</f>
        <v>0</v>
      </c>
      <c r="BX131" s="258"/>
      <c r="BY131" s="340"/>
      <c r="BZ131" s="340"/>
      <c r="CA131" s="340"/>
      <c r="CB131" s="136"/>
      <c r="CC131" s="136"/>
      <c r="CE131" s="213"/>
    </row>
    <row r="132" spans="1:83" s="118" customFormat="1" ht="15.75" customHeight="1" thickBot="1">
      <c r="A132" s="308" t="s">
        <v>779</v>
      </c>
      <c r="B132" s="230">
        <v>6120044</v>
      </c>
      <c r="C132" s="328" t="s">
        <v>838</v>
      </c>
      <c r="D132" s="285"/>
      <c r="E132" s="198"/>
      <c r="F132" s="349"/>
      <c r="G132" s="349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83"/>
      <c r="AB132" s="283"/>
      <c r="AC132" s="283"/>
      <c r="AD132" s="283"/>
      <c r="AE132" s="283"/>
      <c r="AF132" s="283"/>
      <c r="AG132" s="201"/>
      <c r="AH132" s="201"/>
      <c r="AI132" s="201"/>
      <c r="AJ132" s="201"/>
      <c r="AK132" s="201"/>
      <c r="AL132" s="201"/>
      <c r="AM132" s="201"/>
      <c r="AN132" s="201"/>
      <c r="AO132" s="201"/>
      <c r="AP132" s="201"/>
      <c r="AQ132" s="201"/>
      <c r="AR132" s="201"/>
      <c r="AS132" s="283"/>
      <c r="AT132" s="286"/>
      <c r="AU132" s="201"/>
      <c r="AV132" s="201"/>
      <c r="AW132" s="201"/>
      <c r="AX132" s="201"/>
      <c r="AY132" s="201"/>
      <c r="AZ132" s="203"/>
      <c r="BA132" s="203"/>
      <c r="BB132" s="203"/>
      <c r="BC132" s="203">
        <f>SUMIFS(領用表!$L:$L,領用表!$E:$E,$B132,領用表!$B:$B,BC$2&amp;$BI$1)</f>
        <v>0</v>
      </c>
      <c r="BD132" s="208">
        <f>SUMIFS(領用表!$L:$L,領用表!$E:$E,$B132,領用表!$B:$B,BD$2&amp;$BI$1)</f>
        <v>0</v>
      </c>
      <c r="BE132" s="208">
        <f>SUMIFS(領用表!$L:$L,領用表!$E:$E,$B132,領用表!$B:$B,BE$2&amp;$BI$1)</f>
        <v>0</v>
      </c>
      <c r="BF132" s="208">
        <f>SUMIFS(領用表!$L:$L,領用表!$E:$E,$B132,領用表!$B:$B,BF$2&amp;$BI$1)</f>
        <v>0</v>
      </c>
      <c r="BG132" s="207">
        <f t="shared" si="39"/>
        <v>0</v>
      </c>
      <c r="BH132" s="207">
        <f t="shared" si="40"/>
        <v>0</v>
      </c>
      <c r="BI132" s="208">
        <f>SUMIFS(領用表!$L:$L,領用表!$E:$E,$B132,領用表!$B:$B,BI$2&amp;$BI$1)</f>
        <v>0</v>
      </c>
      <c r="BJ132" s="208">
        <f>SUMIFS(領用表!$L:$L,領用表!$E:$E,$B132,領用表!$B:$B,BJ$2&amp;$BI$1)</f>
        <v>0</v>
      </c>
      <c r="BK132" s="208">
        <f>SUMIFS(領用表!$L:$L,領用表!$E:$E,$B132,領用表!$B:$B,BK$2&amp;$BI$1)</f>
        <v>0</v>
      </c>
      <c r="BL132" s="208">
        <f>SUMIFS(領用表!$L:$L,領用表!$E:$E,$B132,領用表!$B:$B,BL$2&amp;$BI$1)</f>
        <v>0</v>
      </c>
      <c r="BM132" s="208">
        <f>SUMIFS(領用表!$L:$L,領用表!$E:$E,$B132,領用表!$B:$B,BM$2&amp;$BI$1)</f>
        <v>0</v>
      </c>
      <c r="BN132" s="208">
        <f>SUMIFS(領用表!$L:$L,領用表!$E:$E,$B132,領用表!$B:$B,BN$2&amp;$BI$1)</f>
        <v>0</v>
      </c>
      <c r="BO132" s="208">
        <f>SUMIFS(領用表!$L:$L,領用表!$E:$E,$B132,領用表!$B:$B,BO$2&amp;$BI$1)</f>
        <v>0</v>
      </c>
      <c r="BP132" s="208">
        <f>SUMIFS(領用表!$L:$L,領用表!$E:$E,$B132,領用表!$B:$B,BP$2&amp;$BI$1)</f>
        <v>0</v>
      </c>
      <c r="BQ132" s="208">
        <f>SUMIFS(領用表!$L:$L,領用表!$E:$E,$B132,領用表!$B:$B,BQ$2&amp;$BI$1)</f>
        <v>0</v>
      </c>
      <c r="BR132" s="208">
        <f>SUMIFS(領用表!$L:$L,領用表!$E:$E,$B132,領用表!$B:$B,BR$2&amp;$BI$1)</f>
        <v>0</v>
      </c>
      <c r="BS132" s="208">
        <f>SUMIFS(領用表!$L:$L,領用表!$E:$E,$B132,領用表!$B:$B,BS$2&amp;$BI$1)</f>
        <v>0</v>
      </c>
      <c r="BT132" s="208">
        <f>SUMIFS(領用表!$L:$L,領用表!$E:$E,$B132,領用表!$B:$B,BT$2&amp;$BI$1)</f>
        <v>0</v>
      </c>
      <c r="BU132" s="208">
        <f t="shared" si="16"/>
        <v>0</v>
      </c>
      <c r="BV132" s="208">
        <f t="shared" si="21"/>
        <v>0</v>
      </c>
      <c r="BW132" s="208">
        <f>SUMIF(Summary!B:B,B132,Summary!DT:DT)</f>
        <v>0</v>
      </c>
      <c r="BX132" s="258"/>
      <c r="BY132" s="340"/>
      <c r="BZ132" s="340"/>
      <c r="CA132" s="340"/>
      <c r="CB132" s="136"/>
      <c r="CC132" s="136"/>
      <c r="CE132" s="213"/>
    </row>
    <row r="133" spans="1:83" s="118" customFormat="1" ht="15.75" customHeight="1">
      <c r="A133" s="136"/>
      <c r="B133" s="128" t="e">
        <v>#N/A</v>
      </c>
      <c r="C133" s="136" t="s">
        <v>540</v>
      </c>
      <c r="D133" s="285"/>
      <c r="E133" s="198" t="s">
        <v>823</v>
      </c>
      <c r="F133" s="349"/>
      <c r="G133" s="349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83"/>
      <c r="AB133" s="283"/>
      <c r="AC133" s="283"/>
      <c r="AD133" s="283"/>
      <c r="AE133" s="283"/>
      <c r="AF133" s="283"/>
      <c r="AG133" s="201">
        <v>1</v>
      </c>
      <c r="AH133" s="201">
        <v>0</v>
      </c>
      <c r="AI133" s="201">
        <v>1</v>
      </c>
      <c r="AJ133" s="201">
        <v>0</v>
      </c>
      <c r="AK133" s="201">
        <v>0</v>
      </c>
      <c r="AL133" s="201">
        <v>0</v>
      </c>
      <c r="AM133" s="201"/>
      <c r="AN133" s="201">
        <v>0</v>
      </c>
      <c r="AO133" s="201">
        <v>0</v>
      </c>
      <c r="AP133" s="201">
        <v>0</v>
      </c>
      <c r="AQ133" s="201">
        <v>0</v>
      </c>
      <c r="AR133" s="201">
        <v>0</v>
      </c>
      <c r="AS133" s="283">
        <f t="shared" si="23"/>
        <v>2</v>
      </c>
      <c r="AT133" s="286">
        <f t="shared" si="24"/>
        <v>0.16666666666666666</v>
      </c>
      <c r="AU133" s="201">
        <v>0</v>
      </c>
      <c r="AV133" s="201">
        <v>0</v>
      </c>
      <c r="AW133" s="201">
        <v>0</v>
      </c>
      <c r="AX133" s="201">
        <v>0</v>
      </c>
      <c r="AY133" s="201">
        <v>2</v>
      </c>
      <c r="AZ133" s="203">
        <f>SUMIFS(領用表!$L:$L,領用表!$E:$E,$B133,領用表!$B:$B,AZ$2&amp;$BI$1)</f>
        <v>0</v>
      </c>
      <c r="BA133" s="203">
        <f>SUMIFS(領用表!$L:$L,領用表!$E:$E,$B133,領用表!$B:$B,BA$2&amp;$BI$1)</f>
        <v>0</v>
      </c>
      <c r="BB133" s="203">
        <f>SUMIFS(領用表!$L:$L,領用表!$E:$E,$B133,領用表!$B:$B,BB$2&amp;$BI$1)</f>
        <v>0</v>
      </c>
      <c r="BC133" s="203">
        <f>SUMIFS(領用表!$L:$L,領用表!$E:$E,$B133,領用表!$B:$B,BC$2&amp;$BI$1)</f>
        <v>0</v>
      </c>
      <c r="BD133" s="208">
        <f>SUMIFS(領用表!$L:$L,領用表!$E:$E,$B133,領用表!$B:$B,BD$2&amp;$BI$1)</f>
        <v>0</v>
      </c>
      <c r="BE133" s="208">
        <f>SUMIFS(領用表!$L:$L,領用表!$E:$E,$B133,領用表!$B:$B,BE$2&amp;$BI$1)</f>
        <v>0</v>
      </c>
      <c r="BF133" s="208">
        <f>SUMIFS(領用表!$L:$L,領用表!$E:$E,$B133,領用表!$B:$B,BF$2&amp;$BI$1)</f>
        <v>0</v>
      </c>
      <c r="BG133" s="207">
        <f t="shared" si="37"/>
        <v>2</v>
      </c>
      <c r="BH133" s="207">
        <f t="shared" si="38"/>
        <v>0.16666666666666666</v>
      </c>
      <c r="BI133" s="208">
        <f>SUMIFS(領用表!$L:$L,領用表!$E:$E,$B133,領用表!$B:$B,BI$2&amp;$BI$1)</f>
        <v>0</v>
      </c>
      <c r="BJ133" s="208">
        <f>SUMIFS(領用表!$L:$L,領用表!$E:$E,$B133,領用表!$B:$B,BJ$2&amp;$BI$1)</f>
        <v>0</v>
      </c>
      <c r="BK133" s="208">
        <f>SUMIFS(領用表!$L:$L,領用表!$E:$E,$B133,領用表!$B:$B,BK$2&amp;$BI$1)</f>
        <v>0</v>
      </c>
      <c r="BL133" s="208">
        <f>SUMIFS(領用表!$L:$L,領用表!$E:$E,$B133,領用表!$B:$B,BL$2&amp;$BI$1)</f>
        <v>0</v>
      </c>
      <c r="BM133" s="208">
        <f>SUMIFS(領用表!$L:$L,領用表!$E:$E,$B133,領用表!$B:$B,BM$2&amp;$BI$1)</f>
        <v>0</v>
      </c>
      <c r="BN133" s="208">
        <f>SUMIFS(領用表!$L:$L,領用表!$E:$E,$B133,領用表!$B:$B,BN$2&amp;$BI$1)</f>
        <v>0</v>
      </c>
      <c r="BO133" s="208">
        <f>SUMIFS(領用表!$L:$L,領用表!$E:$E,$B133,領用表!$B:$B,BO$2&amp;$BI$1)</f>
        <v>0</v>
      </c>
      <c r="BP133" s="208">
        <f>SUMIFS(領用表!$L:$L,領用表!$E:$E,$B133,領用表!$B:$B,BP$2&amp;$BI$1)</f>
        <v>0</v>
      </c>
      <c r="BQ133" s="208">
        <f>SUMIFS(領用表!$L:$L,領用表!$E:$E,$B133,領用表!$B:$B,BQ$2&amp;$BI$1)</f>
        <v>0</v>
      </c>
      <c r="BR133" s="208">
        <f>SUMIFS(領用表!$L:$L,領用表!$E:$E,$B133,領用表!$B:$B,BR$2&amp;$BI$1)</f>
        <v>0</v>
      </c>
      <c r="BS133" s="208">
        <f>SUMIFS(領用表!$L:$L,領用表!$E:$E,$B133,領用表!$B:$B,BS$2&amp;$BI$1)</f>
        <v>0</v>
      </c>
      <c r="BT133" s="208">
        <f>SUMIFS(領用表!$L:$L,領用表!$E:$E,$B133,領用表!$B:$B,BT$2&amp;$BI$1)</f>
        <v>0</v>
      </c>
      <c r="BU133" s="208">
        <f t="shared" si="16"/>
        <v>0</v>
      </c>
      <c r="BV133" s="208">
        <f t="shared" si="21"/>
        <v>0</v>
      </c>
      <c r="BW133" s="208">
        <f>SUMIF(Summary!B:B,B133,Summary!DT:DT)</f>
        <v>0</v>
      </c>
      <c r="BX133" s="258"/>
      <c r="BY133" s="340"/>
      <c r="BZ133" s="340"/>
      <c r="CA133" s="340"/>
      <c r="CB133" s="136"/>
      <c r="CC133" s="136"/>
      <c r="CE133" s="213"/>
    </row>
    <row r="134" spans="1:83" s="118" customFormat="1" ht="15.75" customHeight="1">
      <c r="A134" s="136"/>
      <c r="B134" s="128" t="e">
        <v>#N/A</v>
      </c>
      <c r="C134" s="136" t="s">
        <v>541</v>
      </c>
      <c r="D134" s="285"/>
      <c r="E134" s="198" t="s">
        <v>823</v>
      </c>
      <c r="F134" s="349"/>
      <c r="G134" s="349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  <c r="AA134" s="283"/>
      <c r="AB134" s="283"/>
      <c r="AC134" s="283"/>
      <c r="AD134" s="283"/>
      <c r="AE134" s="283"/>
      <c r="AF134" s="283"/>
      <c r="AG134" s="201">
        <v>4</v>
      </c>
      <c r="AH134" s="201">
        <v>2</v>
      </c>
      <c r="AI134" s="201">
        <v>0</v>
      </c>
      <c r="AJ134" s="201">
        <v>0</v>
      </c>
      <c r="AK134" s="201">
        <v>0</v>
      </c>
      <c r="AL134" s="201">
        <v>0</v>
      </c>
      <c r="AM134" s="201"/>
      <c r="AN134" s="201">
        <v>0</v>
      </c>
      <c r="AO134" s="201">
        <v>0</v>
      </c>
      <c r="AP134" s="201">
        <v>0</v>
      </c>
      <c r="AQ134" s="201">
        <v>0</v>
      </c>
      <c r="AR134" s="201">
        <v>0</v>
      </c>
      <c r="AS134" s="283">
        <f t="shared" si="23"/>
        <v>6</v>
      </c>
      <c r="AT134" s="286">
        <f t="shared" si="24"/>
        <v>0.5</v>
      </c>
      <c r="AU134" s="201">
        <v>0</v>
      </c>
      <c r="AV134" s="201">
        <v>0</v>
      </c>
      <c r="AW134" s="201">
        <v>0</v>
      </c>
      <c r="AX134" s="201">
        <v>0</v>
      </c>
      <c r="AY134" s="201">
        <v>0</v>
      </c>
      <c r="AZ134" s="203">
        <f>SUMIFS(領用表!$L:$L,領用表!$E:$E,$B134,領用表!$B:$B,AZ$2&amp;$BI$1)</f>
        <v>0</v>
      </c>
      <c r="BA134" s="203">
        <f>SUMIFS(領用表!$L:$L,領用表!$E:$E,$B134,領用表!$B:$B,BA$2&amp;$BI$1)</f>
        <v>0</v>
      </c>
      <c r="BB134" s="203">
        <f>SUMIFS(領用表!$L:$L,領用表!$E:$E,$B134,領用表!$B:$B,BB$2&amp;$BI$1)</f>
        <v>0</v>
      </c>
      <c r="BC134" s="203">
        <f>SUMIFS(領用表!$L:$L,領用表!$E:$E,$B134,領用表!$B:$B,BC$2&amp;$BI$1)</f>
        <v>0</v>
      </c>
      <c r="BD134" s="208">
        <f>SUMIFS(領用表!$L:$L,領用表!$E:$E,$B134,領用表!$B:$B,BD$2&amp;$BI$1)</f>
        <v>0</v>
      </c>
      <c r="BE134" s="208">
        <f>SUMIFS(領用表!$L:$L,領用表!$E:$E,$B134,領用表!$B:$B,BE$2&amp;$BI$1)</f>
        <v>0</v>
      </c>
      <c r="BF134" s="208">
        <f>SUMIFS(領用表!$L:$L,領用表!$E:$E,$B134,領用表!$B:$B,BF$2&amp;$BI$1)</f>
        <v>0</v>
      </c>
      <c r="BG134" s="207">
        <f t="shared" si="37"/>
        <v>0</v>
      </c>
      <c r="BH134" s="207">
        <f t="shared" si="38"/>
        <v>0</v>
      </c>
      <c r="BI134" s="208">
        <f>SUMIFS(領用表!$L:$L,領用表!$E:$E,$B134,領用表!$B:$B,BI$2&amp;$BI$1)</f>
        <v>0</v>
      </c>
      <c r="BJ134" s="208">
        <f>SUMIFS(領用表!$L:$L,領用表!$E:$E,$B134,領用表!$B:$B,BJ$2&amp;$BI$1)</f>
        <v>0</v>
      </c>
      <c r="BK134" s="208">
        <f>SUMIFS(領用表!$L:$L,領用表!$E:$E,$B134,領用表!$B:$B,BK$2&amp;$BI$1)</f>
        <v>0</v>
      </c>
      <c r="BL134" s="208">
        <f>SUMIFS(領用表!$L:$L,領用表!$E:$E,$B134,領用表!$B:$B,BL$2&amp;$BI$1)</f>
        <v>0</v>
      </c>
      <c r="BM134" s="208">
        <f>SUMIFS(領用表!$L:$L,領用表!$E:$E,$B134,領用表!$B:$B,BM$2&amp;$BI$1)</f>
        <v>0</v>
      </c>
      <c r="BN134" s="208">
        <f>SUMIFS(領用表!$L:$L,領用表!$E:$E,$B134,領用表!$B:$B,BN$2&amp;$BI$1)</f>
        <v>0</v>
      </c>
      <c r="BO134" s="208">
        <f>SUMIFS(領用表!$L:$L,領用表!$E:$E,$B134,領用表!$B:$B,BO$2&amp;$BI$1)</f>
        <v>0</v>
      </c>
      <c r="BP134" s="208">
        <f>SUMIFS(領用表!$L:$L,領用表!$E:$E,$B134,領用表!$B:$B,BP$2&amp;$BI$1)</f>
        <v>0</v>
      </c>
      <c r="BQ134" s="208">
        <f>SUMIFS(領用表!$L:$L,領用表!$E:$E,$B134,領用表!$B:$B,BQ$2&amp;$BI$1)</f>
        <v>0</v>
      </c>
      <c r="BR134" s="208">
        <f>SUMIFS(領用表!$L:$L,領用表!$E:$E,$B134,領用表!$B:$B,BR$2&amp;$BI$1)</f>
        <v>0</v>
      </c>
      <c r="BS134" s="208">
        <f>SUMIFS(領用表!$L:$L,領用表!$E:$E,$B134,領用表!$B:$B,BS$2&amp;$BI$1)</f>
        <v>0</v>
      </c>
      <c r="BT134" s="208">
        <f>SUMIFS(領用表!$L:$L,領用表!$E:$E,$B134,領用表!$B:$B,BT$2&amp;$BI$1)</f>
        <v>0</v>
      </c>
      <c r="BU134" s="208">
        <f t="shared" si="16"/>
        <v>0</v>
      </c>
      <c r="BV134" s="208">
        <f t="shared" si="21"/>
        <v>0</v>
      </c>
      <c r="BW134" s="208">
        <f>SUMIF(Summary!B:B,B134,Summary!DT:DT)</f>
        <v>0</v>
      </c>
      <c r="BX134" s="258"/>
      <c r="BY134" s="340"/>
      <c r="BZ134" s="340"/>
      <c r="CA134" s="340"/>
      <c r="CB134" s="136"/>
      <c r="CC134" s="136"/>
      <c r="CE134" s="213"/>
    </row>
    <row r="135" spans="1:83" s="118" customFormat="1" ht="15.75" customHeight="1">
      <c r="A135" s="136"/>
      <c r="B135" s="118" t="e">
        <v>#N/A</v>
      </c>
      <c r="C135" s="136" t="s">
        <v>542</v>
      </c>
      <c r="D135" s="285"/>
      <c r="E135" s="198" t="s">
        <v>823</v>
      </c>
      <c r="F135" s="349"/>
      <c r="G135" s="349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  <c r="AA135" s="283"/>
      <c r="AB135" s="283"/>
      <c r="AC135" s="283"/>
      <c r="AD135" s="283"/>
      <c r="AE135" s="283"/>
      <c r="AF135" s="283"/>
      <c r="AG135" s="201">
        <v>1</v>
      </c>
      <c r="AH135" s="201">
        <v>2</v>
      </c>
      <c r="AI135" s="201">
        <v>0</v>
      </c>
      <c r="AJ135" s="201">
        <v>0</v>
      </c>
      <c r="AK135" s="201">
        <v>0</v>
      </c>
      <c r="AL135" s="201">
        <v>0</v>
      </c>
      <c r="AM135" s="201"/>
      <c r="AN135" s="201">
        <v>0</v>
      </c>
      <c r="AO135" s="201">
        <v>0</v>
      </c>
      <c r="AP135" s="201">
        <v>0</v>
      </c>
      <c r="AQ135" s="201">
        <v>0</v>
      </c>
      <c r="AR135" s="201">
        <v>0</v>
      </c>
      <c r="AS135" s="283">
        <f t="shared" si="23"/>
        <v>3</v>
      </c>
      <c r="AT135" s="286">
        <f t="shared" si="24"/>
        <v>0.25</v>
      </c>
      <c r="AU135" s="201">
        <v>0</v>
      </c>
      <c r="AV135" s="201">
        <v>0</v>
      </c>
      <c r="AW135" s="201">
        <v>0</v>
      </c>
      <c r="AX135" s="201">
        <v>0</v>
      </c>
      <c r="AY135" s="201">
        <v>0</v>
      </c>
      <c r="AZ135" s="203">
        <f>SUMIFS(領用表!$L:$L,領用表!$E:$E,$B135,領用表!$B:$B,AZ$2&amp;$BI$1)</f>
        <v>0</v>
      </c>
      <c r="BA135" s="203">
        <f>SUMIFS(領用表!$L:$L,領用表!$E:$E,$B135,領用表!$B:$B,BA$2&amp;$BI$1)</f>
        <v>0</v>
      </c>
      <c r="BB135" s="203">
        <f>SUMIFS(領用表!$L:$L,領用表!$E:$E,$B135,領用表!$B:$B,BB$2&amp;$BI$1)</f>
        <v>0</v>
      </c>
      <c r="BC135" s="203">
        <f>SUMIFS(領用表!$L:$L,領用表!$E:$E,$B135,領用表!$B:$B,BC$2&amp;$BI$1)</f>
        <v>0</v>
      </c>
      <c r="BD135" s="208">
        <f>SUMIFS(領用表!$L:$L,領用表!$E:$E,$B135,領用表!$B:$B,BD$2&amp;$BI$1)</f>
        <v>0</v>
      </c>
      <c r="BE135" s="208">
        <f>SUMIFS(領用表!$L:$L,領用表!$E:$E,$B135,領用表!$B:$B,BE$2&amp;$BI$1)</f>
        <v>0</v>
      </c>
      <c r="BF135" s="208">
        <f>SUMIFS(領用表!$L:$L,領用表!$E:$E,$B135,領用表!$B:$B,BF$2&amp;$BI$1)</f>
        <v>0</v>
      </c>
      <c r="BG135" s="207">
        <f t="shared" si="37"/>
        <v>0</v>
      </c>
      <c r="BH135" s="207">
        <f t="shared" si="38"/>
        <v>0</v>
      </c>
      <c r="BI135" s="208">
        <f>SUMIFS(領用表!$L:$L,領用表!$E:$E,$B135,領用表!$B:$B,BI$2&amp;$BI$1)</f>
        <v>0</v>
      </c>
      <c r="BJ135" s="208">
        <f>SUMIFS(領用表!$L:$L,領用表!$E:$E,$B135,領用表!$B:$B,BJ$2&amp;$BI$1)</f>
        <v>0</v>
      </c>
      <c r="BK135" s="208">
        <f>SUMIFS(領用表!$L:$L,領用表!$E:$E,$B135,領用表!$B:$B,BK$2&amp;$BI$1)</f>
        <v>0</v>
      </c>
      <c r="BL135" s="208">
        <f>SUMIFS(領用表!$L:$L,領用表!$E:$E,$B135,領用表!$B:$B,BL$2&amp;$BI$1)</f>
        <v>0</v>
      </c>
      <c r="BM135" s="208">
        <f>SUMIFS(領用表!$L:$L,領用表!$E:$E,$B135,領用表!$B:$B,BM$2&amp;$BI$1)</f>
        <v>0</v>
      </c>
      <c r="BN135" s="208">
        <f>SUMIFS(領用表!$L:$L,領用表!$E:$E,$B135,領用表!$B:$B,BN$2&amp;$BI$1)</f>
        <v>0</v>
      </c>
      <c r="BO135" s="208">
        <f>SUMIFS(領用表!$L:$L,領用表!$E:$E,$B135,領用表!$B:$B,BO$2&amp;$BI$1)</f>
        <v>0</v>
      </c>
      <c r="BP135" s="208">
        <f>SUMIFS(領用表!$L:$L,領用表!$E:$E,$B135,領用表!$B:$B,BP$2&amp;$BI$1)</f>
        <v>0</v>
      </c>
      <c r="BQ135" s="208">
        <f>SUMIFS(領用表!$L:$L,領用表!$E:$E,$B135,領用表!$B:$B,BQ$2&amp;$BI$1)</f>
        <v>0</v>
      </c>
      <c r="BR135" s="208">
        <f>SUMIFS(領用表!$L:$L,領用表!$E:$E,$B135,領用表!$B:$B,BR$2&amp;$BI$1)</f>
        <v>0</v>
      </c>
      <c r="BS135" s="208">
        <f>SUMIFS(領用表!$L:$L,領用表!$E:$E,$B135,領用表!$B:$B,BS$2&amp;$BI$1)</f>
        <v>0</v>
      </c>
      <c r="BT135" s="208">
        <f>SUMIFS(領用表!$L:$L,領用表!$E:$E,$B135,領用表!$B:$B,BT$2&amp;$BI$1)</f>
        <v>0</v>
      </c>
      <c r="BU135" s="208">
        <f t="shared" ref="BU135:BU198" si="41">SUM(BI135,BJ135,BK135,BL135,BM135)</f>
        <v>0</v>
      </c>
      <c r="BV135" s="208">
        <f t="shared" si="21"/>
        <v>0</v>
      </c>
      <c r="BW135" s="208">
        <f>SUMIF(Summary!B:B,B135,Summary!DT:DT)</f>
        <v>0</v>
      </c>
      <c r="BX135" s="258"/>
      <c r="BY135" s="340"/>
      <c r="BZ135" s="340"/>
      <c r="CA135" s="340"/>
      <c r="CB135" s="136"/>
      <c r="CC135" s="136"/>
      <c r="CE135" s="213"/>
    </row>
    <row r="136" spans="1:83" s="118" customFormat="1" ht="15.75" customHeight="1">
      <c r="A136" s="136"/>
      <c r="B136" s="118" t="e">
        <v>#N/A</v>
      </c>
      <c r="C136" s="136" t="s">
        <v>543</v>
      </c>
      <c r="D136" s="285"/>
      <c r="E136" s="198" t="s">
        <v>823</v>
      </c>
      <c r="F136" s="349"/>
      <c r="G136" s="349"/>
      <c r="H136" s="283"/>
      <c r="I136" s="283"/>
      <c r="J136" s="283"/>
      <c r="K136" s="283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  <c r="Z136" s="283"/>
      <c r="AA136" s="283"/>
      <c r="AB136" s="283"/>
      <c r="AC136" s="283"/>
      <c r="AD136" s="283"/>
      <c r="AE136" s="283"/>
      <c r="AF136" s="283"/>
      <c r="AG136" s="201"/>
      <c r="AH136" s="201"/>
      <c r="AI136" s="201"/>
      <c r="AJ136" s="201"/>
      <c r="AK136" s="201"/>
      <c r="AL136" s="201"/>
      <c r="AM136" s="201"/>
      <c r="AN136" s="201"/>
      <c r="AO136" s="201"/>
      <c r="AP136" s="201"/>
      <c r="AQ136" s="201"/>
      <c r="AR136" s="201"/>
      <c r="AS136" s="283"/>
      <c r="AT136" s="286"/>
      <c r="AU136" s="201"/>
      <c r="AV136" s="201"/>
      <c r="AW136" s="201"/>
      <c r="AX136" s="201">
        <v>0</v>
      </c>
      <c r="AY136" s="201">
        <v>0</v>
      </c>
      <c r="AZ136" s="295">
        <f>SUMIFS(領用表!$L:$L,領用表!$E:$E,$B136,領用表!$B:$B,AZ$2&amp;$BI$1)</f>
        <v>0</v>
      </c>
      <c r="BA136" s="203">
        <f>SUMIFS(領用表!$L:$L,領用表!$E:$E,$B136,領用表!$B:$B,BA$2&amp;$BI$1)</f>
        <v>0</v>
      </c>
      <c r="BB136" s="203">
        <f>SUMIFS(領用表!$L:$L,領用表!$E:$E,$B136,領用表!$B:$B,BB$2&amp;$BI$1)</f>
        <v>0</v>
      </c>
      <c r="BC136" s="203">
        <f>SUMIFS(領用表!$L:$L,領用表!$E:$E,$B136,領用表!$B:$B,BC$2&amp;$BI$1)</f>
        <v>0</v>
      </c>
      <c r="BD136" s="208">
        <f>SUMIFS(領用表!$L:$L,領用表!$E:$E,$B136,領用表!$B:$B,BD$2&amp;$BI$1)</f>
        <v>0</v>
      </c>
      <c r="BE136" s="208">
        <f>SUMIFS(領用表!$L:$L,領用表!$E:$E,$B136,領用表!$B:$B,BE$2&amp;$BI$1)</f>
        <v>0</v>
      </c>
      <c r="BF136" s="208">
        <f>SUMIFS(領用表!$L:$L,領用表!$E:$E,$B136,領用表!$B:$B,BF$2&amp;$BI$1)</f>
        <v>0</v>
      </c>
      <c r="BG136" s="207">
        <f t="shared" si="37"/>
        <v>0</v>
      </c>
      <c r="BH136" s="207">
        <f t="shared" si="38"/>
        <v>0</v>
      </c>
      <c r="BI136" s="208">
        <f>SUMIFS(領用表!$L:$L,領用表!$E:$E,$B136,領用表!$B:$B,BI$2&amp;$BI$1)</f>
        <v>0</v>
      </c>
      <c r="BJ136" s="208">
        <f>SUMIFS(領用表!$L:$L,領用表!$E:$E,$B136,領用表!$B:$B,BJ$2&amp;$BI$1)</f>
        <v>0</v>
      </c>
      <c r="BK136" s="208">
        <f>SUMIFS(領用表!$L:$L,領用表!$E:$E,$B136,領用表!$B:$B,BK$2&amp;$BI$1)</f>
        <v>0</v>
      </c>
      <c r="BL136" s="208">
        <f>SUMIFS(領用表!$L:$L,領用表!$E:$E,$B136,領用表!$B:$B,BL$2&amp;$BI$1)</f>
        <v>0</v>
      </c>
      <c r="BM136" s="208">
        <f>SUMIFS(領用表!$L:$L,領用表!$E:$E,$B136,領用表!$B:$B,BM$2&amp;$BI$1)</f>
        <v>0</v>
      </c>
      <c r="BN136" s="208">
        <f>SUMIFS(領用表!$L:$L,領用表!$E:$E,$B136,領用表!$B:$B,BN$2&amp;$BI$1)</f>
        <v>0</v>
      </c>
      <c r="BO136" s="208">
        <f>SUMIFS(領用表!$L:$L,領用表!$E:$E,$B136,領用表!$B:$B,BO$2&amp;$BI$1)</f>
        <v>0</v>
      </c>
      <c r="BP136" s="208">
        <f>SUMIFS(領用表!$L:$L,領用表!$E:$E,$B136,領用表!$B:$B,BP$2&amp;$BI$1)</f>
        <v>0</v>
      </c>
      <c r="BQ136" s="208">
        <f>SUMIFS(領用表!$L:$L,領用表!$E:$E,$B136,領用表!$B:$B,BQ$2&amp;$BI$1)</f>
        <v>0</v>
      </c>
      <c r="BR136" s="208">
        <f>SUMIFS(領用表!$L:$L,領用表!$E:$E,$B136,領用表!$B:$B,BR$2&amp;$BI$1)</f>
        <v>0</v>
      </c>
      <c r="BS136" s="208">
        <f>SUMIFS(領用表!$L:$L,領用表!$E:$E,$B136,領用表!$B:$B,BS$2&amp;$BI$1)</f>
        <v>0</v>
      </c>
      <c r="BT136" s="208">
        <f>SUMIFS(領用表!$L:$L,領用表!$E:$E,$B136,領用表!$B:$B,BT$2&amp;$BI$1)</f>
        <v>0</v>
      </c>
      <c r="BU136" s="208">
        <f t="shared" si="41"/>
        <v>0</v>
      </c>
      <c r="BV136" s="208">
        <f t="shared" si="21"/>
        <v>0</v>
      </c>
      <c r="BW136" s="208">
        <f>SUMIF(Summary!B:B,B136,Summary!DT:DT)</f>
        <v>0</v>
      </c>
      <c r="BX136" s="258"/>
      <c r="BY136" s="340"/>
      <c r="BZ136" s="340"/>
      <c r="CA136" s="340"/>
      <c r="CB136" s="136"/>
      <c r="CC136" s="136"/>
      <c r="CE136" s="213"/>
    </row>
    <row r="137" spans="1:83" s="118" customFormat="1" ht="15.75" customHeight="1">
      <c r="A137" s="136"/>
      <c r="B137" s="118" t="e">
        <v>#N/A</v>
      </c>
      <c r="C137" s="136" t="s">
        <v>544</v>
      </c>
      <c r="D137" s="285"/>
      <c r="E137" s="198" t="s">
        <v>823</v>
      </c>
      <c r="F137" s="349"/>
      <c r="G137" s="349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83"/>
      <c r="AB137" s="283"/>
      <c r="AC137" s="283"/>
      <c r="AD137" s="283"/>
      <c r="AE137" s="283"/>
      <c r="AF137" s="283"/>
      <c r="AG137" s="201"/>
      <c r="AH137" s="201"/>
      <c r="AI137" s="201"/>
      <c r="AJ137" s="201"/>
      <c r="AK137" s="201"/>
      <c r="AL137" s="201"/>
      <c r="AM137" s="201"/>
      <c r="AN137" s="201"/>
      <c r="AO137" s="201"/>
      <c r="AP137" s="201"/>
      <c r="AQ137" s="201"/>
      <c r="AR137" s="201"/>
      <c r="AS137" s="283"/>
      <c r="AT137" s="286"/>
      <c r="AU137" s="201"/>
      <c r="AV137" s="201"/>
      <c r="AW137" s="201"/>
      <c r="AX137" s="201">
        <v>0</v>
      </c>
      <c r="AY137" s="201">
        <v>0</v>
      </c>
      <c r="AZ137" s="203">
        <f>SUMIFS(領用表!$L:$L,領用表!$E:$E,$B137,領用表!$B:$B,AZ$2&amp;$BI$1)</f>
        <v>0</v>
      </c>
      <c r="BA137" s="203">
        <f>SUMIFS(領用表!$L:$L,領用表!$E:$E,$B137,領用表!$B:$B,BA$2&amp;$BI$1)</f>
        <v>0</v>
      </c>
      <c r="BB137" s="203">
        <f>SUMIFS(領用表!$L:$L,領用表!$E:$E,$B137,領用表!$B:$B,BB$2&amp;$BI$1)</f>
        <v>0</v>
      </c>
      <c r="BC137" s="203">
        <f>SUMIFS(領用表!$L:$L,領用表!$E:$E,$B137,領用表!$B:$B,BC$2&amp;$BI$1)</f>
        <v>0</v>
      </c>
      <c r="BD137" s="208">
        <f>SUMIFS(領用表!$L:$L,領用表!$E:$E,$B137,領用表!$B:$B,BD$2&amp;$BI$1)</f>
        <v>0</v>
      </c>
      <c r="BE137" s="208">
        <f>SUMIFS(領用表!$L:$L,領用表!$E:$E,$B137,領用表!$B:$B,BE$2&amp;$BI$1)</f>
        <v>0</v>
      </c>
      <c r="BF137" s="208">
        <f>SUMIFS(領用表!$L:$L,領用表!$E:$E,$B137,領用表!$B:$B,BF$2&amp;$BI$1)</f>
        <v>0</v>
      </c>
      <c r="BG137" s="207">
        <f t="shared" si="37"/>
        <v>0</v>
      </c>
      <c r="BH137" s="207">
        <f t="shared" si="38"/>
        <v>0</v>
      </c>
      <c r="BI137" s="208">
        <f>SUMIFS(領用表!$L:$L,領用表!$E:$E,$B137,領用表!$B:$B,BI$2&amp;$BI$1)</f>
        <v>0</v>
      </c>
      <c r="BJ137" s="208">
        <f>SUMIFS(領用表!$L:$L,領用表!$E:$E,$B137,領用表!$B:$B,BJ$2&amp;$BI$1)</f>
        <v>0</v>
      </c>
      <c r="BK137" s="208">
        <f>SUMIFS(領用表!$L:$L,領用表!$E:$E,$B137,領用表!$B:$B,BK$2&amp;$BI$1)</f>
        <v>0</v>
      </c>
      <c r="BL137" s="208">
        <f>SUMIFS(領用表!$L:$L,領用表!$E:$E,$B137,領用表!$B:$B,BL$2&amp;$BI$1)</f>
        <v>0</v>
      </c>
      <c r="BM137" s="208">
        <f>SUMIFS(領用表!$L:$L,領用表!$E:$E,$B137,領用表!$B:$B,BM$2&amp;$BI$1)</f>
        <v>0</v>
      </c>
      <c r="BN137" s="208">
        <f>SUMIFS(領用表!$L:$L,領用表!$E:$E,$B137,領用表!$B:$B,BN$2&amp;$BI$1)</f>
        <v>0</v>
      </c>
      <c r="BO137" s="208">
        <f>SUMIFS(領用表!$L:$L,領用表!$E:$E,$B137,領用表!$B:$B,BO$2&amp;$BI$1)</f>
        <v>0</v>
      </c>
      <c r="BP137" s="208">
        <f>SUMIFS(領用表!$L:$L,領用表!$E:$E,$B137,領用表!$B:$B,BP$2&amp;$BI$1)</f>
        <v>0</v>
      </c>
      <c r="BQ137" s="208">
        <f>SUMIFS(領用表!$L:$L,領用表!$E:$E,$B137,領用表!$B:$B,BQ$2&amp;$BI$1)</f>
        <v>0</v>
      </c>
      <c r="BR137" s="208">
        <f>SUMIFS(領用表!$L:$L,領用表!$E:$E,$B137,領用表!$B:$B,BR$2&amp;$BI$1)</f>
        <v>0</v>
      </c>
      <c r="BS137" s="208">
        <f>SUMIFS(領用表!$L:$L,領用表!$E:$E,$B137,領用表!$B:$B,BS$2&amp;$BI$1)</f>
        <v>0</v>
      </c>
      <c r="BT137" s="208">
        <f>SUMIFS(領用表!$L:$L,領用表!$E:$E,$B137,領用表!$B:$B,BT$2&amp;$BI$1)</f>
        <v>0</v>
      </c>
      <c r="BU137" s="208">
        <f t="shared" si="41"/>
        <v>0</v>
      </c>
      <c r="BV137" s="208">
        <f t="shared" si="21"/>
        <v>0</v>
      </c>
      <c r="BW137" s="208">
        <f>SUMIF(Summary!B:B,B137,Summary!DT:DT)</f>
        <v>0</v>
      </c>
      <c r="BX137" s="258"/>
      <c r="BY137" s="340"/>
      <c r="BZ137" s="340"/>
      <c r="CA137" s="340"/>
      <c r="CB137" s="136"/>
      <c r="CC137" s="136"/>
      <c r="CE137" s="213"/>
    </row>
    <row r="138" spans="1:83" s="118" customFormat="1" ht="15.75" customHeight="1">
      <c r="A138" s="136"/>
      <c r="B138" s="118" t="e">
        <v>#N/A</v>
      </c>
      <c r="C138" s="136" t="s">
        <v>545</v>
      </c>
      <c r="D138" s="285"/>
      <c r="E138" s="198" t="s">
        <v>823</v>
      </c>
      <c r="F138" s="349"/>
      <c r="G138" s="349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83"/>
      <c r="AB138" s="283"/>
      <c r="AC138" s="283"/>
      <c r="AD138" s="283"/>
      <c r="AE138" s="283"/>
      <c r="AF138" s="283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83"/>
      <c r="AT138" s="286"/>
      <c r="AU138" s="201"/>
      <c r="AV138" s="201"/>
      <c r="AW138" s="201"/>
      <c r="AX138" s="201">
        <v>0</v>
      </c>
      <c r="AY138" s="201">
        <v>0</v>
      </c>
      <c r="AZ138" s="203">
        <f>SUMIFS(領用表!$L:$L,領用表!$E:$E,$B138,領用表!$B:$B,AZ$2&amp;$BI$1)</f>
        <v>0</v>
      </c>
      <c r="BA138" s="203">
        <f>SUMIFS(領用表!$L:$L,領用表!$E:$E,$B138,領用表!$B:$B,BA$2&amp;$BI$1)</f>
        <v>0</v>
      </c>
      <c r="BB138" s="203">
        <f>SUMIFS(領用表!$L:$L,領用表!$E:$E,$B138,領用表!$B:$B,BB$2&amp;$BI$1)</f>
        <v>0</v>
      </c>
      <c r="BC138" s="203">
        <f>SUMIFS(領用表!$L:$L,領用表!$E:$E,$B138,領用表!$B:$B,BC$2&amp;$BI$1)</f>
        <v>0</v>
      </c>
      <c r="BD138" s="208">
        <f>SUMIFS(領用表!$L:$L,領用表!$E:$E,$B138,領用表!$B:$B,BD$2&amp;$BI$1)</f>
        <v>0</v>
      </c>
      <c r="BE138" s="208">
        <f>SUMIFS(領用表!$L:$L,領用表!$E:$E,$B138,領用表!$B:$B,BE$2&amp;$BI$1)</f>
        <v>0</v>
      </c>
      <c r="BF138" s="208">
        <f>SUMIFS(領用表!$L:$L,領用表!$E:$E,$B138,領用表!$B:$B,BF$2&amp;$BI$1)</f>
        <v>0</v>
      </c>
      <c r="BG138" s="207">
        <f t="shared" si="37"/>
        <v>0</v>
      </c>
      <c r="BH138" s="207">
        <f t="shared" si="38"/>
        <v>0</v>
      </c>
      <c r="BI138" s="208">
        <f>SUMIFS(領用表!$L:$L,領用表!$E:$E,$B138,領用表!$B:$B,BI$2&amp;$BI$1)</f>
        <v>0</v>
      </c>
      <c r="BJ138" s="208">
        <f>SUMIFS(領用表!$L:$L,領用表!$E:$E,$B138,領用表!$B:$B,BJ$2&amp;$BI$1)</f>
        <v>0</v>
      </c>
      <c r="BK138" s="208">
        <f>SUMIFS(領用表!$L:$L,領用表!$E:$E,$B138,領用表!$B:$B,BK$2&amp;$BI$1)</f>
        <v>0</v>
      </c>
      <c r="BL138" s="208">
        <f>SUMIFS(領用表!$L:$L,領用表!$E:$E,$B138,領用表!$B:$B,BL$2&amp;$BI$1)</f>
        <v>0</v>
      </c>
      <c r="BM138" s="208">
        <f>SUMIFS(領用表!$L:$L,領用表!$E:$E,$B138,領用表!$B:$B,BM$2&amp;$BI$1)</f>
        <v>0</v>
      </c>
      <c r="BN138" s="208">
        <f>SUMIFS(領用表!$L:$L,領用表!$E:$E,$B138,領用表!$B:$B,BN$2&amp;$BI$1)</f>
        <v>0</v>
      </c>
      <c r="BO138" s="208">
        <f>SUMIFS(領用表!$L:$L,領用表!$E:$E,$B138,領用表!$B:$B,BO$2&amp;$BI$1)</f>
        <v>0</v>
      </c>
      <c r="BP138" s="208">
        <f>SUMIFS(領用表!$L:$L,領用表!$E:$E,$B138,領用表!$B:$B,BP$2&amp;$BI$1)</f>
        <v>0</v>
      </c>
      <c r="BQ138" s="208">
        <f>SUMIFS(領用表!$L:$L,領用表!$E:$E,$B138,領用表!$B:$B,BQ$2&amp;$BI$1)</f>
        <v>0</v>
      </c>
      <c r="BR138" s="208">
        <f>SUMIFS(領用表!$L:$L,領用表!$E:$E,$B138,領用表!$B:$B,BR$2&amp;$BI$1)</f>
        <v>0</v>
      </c>
      <c r="BS138" s="208">
        <f>SUMIFS(領用表!$L:$L,領用表!$E:$E,$B138,領用表!$B:$B,BS$2&amp;$BI$1)</f>
        <v>0</v>
      </c>
      <c r="BT138" s="208">
        <f>SUMIFS(領用表!$L:$L,領用表!$E:$E,$B138,領用表!$B:$B,BT$2&amp;$BI$1)</f>
        <v>0</v>
      </c>
      <c r="BU138" s="208">
        <f t="shared" si="41"/>
        <v>0</v>
      </c>
      <c r="BV138" s="208">
        <f t="shared" si="21"/>
        <v>0</v>
      </c>
      <c r="BW138" s="208">
        <f>SUMIF(Summary!B:B,B138,Summary!DT:DT)</f>
        <v>0</v>
      </c>
      <c r="BX138" s="258"/>
      <c r="BY138" s="340"/>
      <c r="BZ138" s="340"/>
      <c r="CA138" s="340"/>
      <c r="CB138" s="136"/>
      <c r="CC138" s="136"/>
      <c r="CE138" s="213"/>
    </row>
    <row r="139" spans="1:83" s="118" customFormat="1" ht="15.75" customHeight="1">
      <c r="A139" s="136"/>
      <c r="B139" s="118" t="e">
        <v>#N/A</v>
      </c>
      <c r="C139" s="136" t="s">
        <v>546</v>
      </c>
      <c r="D139" s="285"/>
      <c r="E139" s="198" t="s">
        <v>823</v>
      </c>
      <c r="F139" s="349"/>
      <c r="G139" s="349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83"/>
      <c r="AB139" s="283"/>
      <c r="AC139" s="283"/>
      <c r="AD139" s="283"/>
      <c r="AE139" s="283"/>
      <c r="AF139" s="283"/>
      <c r="AG139" s="201"/>
      <c r="AH139" s="201"/>
      <c r="AI139" s="201"/>
      <c r="AJ139" s="201"/>
      <c r="AK139" s="201"/>
      <c r="AL139" s="201"/>
      <c r="AM139" s="201"/>
      <c r="AN139" s="201"/>
      <c r="AO139" s="201"/>
      <c r="AP139" s="201"/>
      <c r="AQ139" s="201"/>
      <c r="AR139" s="201"/>
      <c r="AS139" s="283"/>
      <c r="AT139" s="286"/>
      <c r="AU139" s="201"/>
      <c r="AV139" s="201"/>
      <c r="AW139" s="201"/>
      <c r="AX139" s="201">
        <v>0</v>
      </c>
      <c r="AY139" s="201">
        <v>0</v>
      </c>
      <c r="AZ139" s="203">
        <f>SUMIFS(領用表!$L:$L,領用表!$E:$E,$B139,領用表!$B:$B,AZ$2&amp;$BI$1)</f>
        <v>0</v>
      </c>
      <c r="BA139" s="203">
        <f>SUMIFS(領用表!$L:$L,領用表!$E:$E,$B139,領用表!$B:$B,BA$2&amp;$BI$1)</f>
        <v>0</v>
      </c>
      <c r="BB139" s="203">
        <f>SUMIFS(領用表!$L:$L,領用表!$E:$E,$B139,領用表!$B:$B,BB$2&amp;$BI$1)</f>
        <v>0</v>
      </c>
      <c r="BC139" s="203">
        <f>SUMIFS(領用表!$L:$L,領用表!$E:$E,$B139,領用表!$B:$B,BC$2&amp;$BI$1)</f>
        <v>0</v>
      </c>
      <c r="BD139" s="208">
        <f>SUMIFS(領用表!$L:$L,領用表!$E:$E,$B139,領用表!$B:$B,BD$2&amp;$BI$1)</f>
        <v>0</v>
      </c>
      <c r="BE139" s="208">
        <f>SUMIFS(領用表!$L:$L,領用表!$E:$E,$B139,領用表!$B:$B,BE$2&amp;$BI$1)</f>
        <v>0</v>
      </c>
      <c r="BF139" s="208">
        <f>SUMIFS(領用表!$L:$L,領用表!$E:$E,$B139,領用表!$B:$B,BF$2&amp;$BI$1)</f>
        <v>0</v>
      </c>
      <c r="BG139" s="207">
        <f t="shared" si="37"/>
        <v>0</v>
      </c>
      <c r="BH139" s="207">
        <f t="shared" si="38"/>
        <v>0</v>
      </c>
      <c r="BI139" s="208">
        <f>SUMIFS(領用表!$L:$L,領用表!$E:$E,$B139,領用表!$B:$B,BI$2&amp;$BI$1)</f>
        <v>0</v>
      </c>
      <c r="BJ139" s="208">
        <f>SUMIFS(領用表!$L:$L,領用表!$E:$E,$B139,領用表!$B:$B,BJ$2&amp;$BI$1)</f>
        <v>0</v>
      </c>
      <c r="BK139" s="208">
        <f>SUMIFS(領用表!$L:$L,領用表!$E:$E,$B139,領用表!$B:$B,BK$2&amp;$BI$1)</f>
        <v>0</v>
      </c>
      <c r="BL139" s="208">
        <f>SUMIFS(領用表!$L:$L,領用表!$E:$E,$B139,領用表!$B:$B,BL$2&amp;$BI$1)</f>
        <v>0</v>
      </c>
      <c r="BM139" s="208">
        <f>SUMIFS(領用表!$L:$L,領用表!$E:$E,$B139,領用表!$B:$B,BM$2&amp;$BI$1)</f>
        <v>0</v>
      </c>
      <c r="BN139" s="208">
        <f>SUMIFS(領用表!$L:$L,領用表!$E:$E,$B139,領用表!$B:$B,BN$2&amp;$BI$1)</f>
        <v>0</v>
      </c>
      <c r="BO139" s="208">
        <f>SUMIFS(領用表!$L:$L,領用表!$E:$E,$B139,領用表!$B:$B,BO$2&amp;$BI$1)</f>
        <v>0</v>
      </c>
      <c r="BP139" s="208">
        <f>SUMIFS(領用表!$L:$L,領用表!$E:$E,$B139,領用表!$B:$B,BP$2&amp;$BI$1)</f>
        <v>0</v>
      </c>
      <c r="BQ139" s="208">
        <f>SUMIFS(領用表!$L:$L,領用表!$E:$E,$B139,領用表!$B:$B,BQ$2&amp;$BI$1)</f>
        <v>0</v>
      </c>
      <c r="BR139" s="208">
        <f>SUMIFS(領用表!$L:$L,領用表!$E:$E,$B139,領用表!$B:$B,BR$2&amp;$BI$1)</f>
        <v>0</v>
      </c>
      <c r="BS139" s="208">
        <f>SUMIFS(領用表!$L:$L,領用表!$E:$E,$B139,領用表!$B:$B,BS$2&amp;$BI$1)</f>
        <v>0</v>
      </c>
      <c r="BT139" s="208">
        <f>SUMIFS(領用表!$L:$L,領用表!$E:$E,$B139,領用表!$B:$B,BT$2&amp;$BI$1)</f>
        <v>0</v>
      </c>
      <c r="BU139" s="208">
        <f t="shared" si="41"/>
        <v>0</v>
      </c>
      <c r="BV139" s="208">
        <f t="shared" ref="BV139" si="42">AVERAGE(BI139,BJ139,BK139,BL139,BM139)</f>
        <v>0</v>
      </c>
      <c r="BW139" s="208">
        <f>SUMIF(Summary!B:B,B139,Summary!DT:DT)</f>
        <v>0</v>
      </c>
      <c r="BX139" s="258"/>
      <c r="BY139" s="340"/>
      <c r="BZ139" s="340"/>
      <c r="CA139" s="340"/>
      <c r="CB139" s="136"/>
      <c r="CC139" s="136"/>
      <c r="CE139" s="213"/>
    </row>
    <row r="140" spans="1:83" s="381" customFormat="1" ht="15.75" customHeight="1">
      <c r="A140" s="144"/>
      <c r="B140" s="144"/>
      <c r="C140" s="144"/>
      <c r="D140" s="375"/>
      <c r="E140" s="387"/>
      <c r="F140" s="388"/>
      <c r="G140" s="388"/>
      <c r="H140" s="389"/>
      <c r="I140" s="389"/>
      <c r="J140" s="389"/>
      <c r="K140" s="389"/>
      <c r="L140" s="389"/>
      <c r="M140" s="389"/>
      <c r="N140" s="389"/>
      <c r="O140" s="389"/>
      <c r="P140" s="389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  <c r="AC140" s="389"/>
      <c r="AD140" s="389"/>
      <c r="AE140" s="389"/>
      <c r="AF140" s="389"/>
      <c r="AG140" s="389"/>
      <c r="AH140" s="389"/>
      <c r="AI140" s="389"/>
      <c r="AJ140" s="389"/>
      <c r="AK140" s="389"/>
      <c r="AL140" s="389"/>
      <c r="AM140" s="389"/>
      <c r="AN140" s="390"/>
      <c r="AO140" s="390"/>
      <c r="AP140" s="390"/>
      <c r="AQ140" s="389"/>
      <c r="AR140" s="389"/>
      <c r="AS140" s="389"/>
      <c r="AT140" s="389"/>
      <c r="AU140" s="389"/>
      <c r="AV140" s="389"/>
      <c r="AW140" s="389"/>
      <c r="AX140" s="374"/>
      <c r="AY140" s="374"/>
      <c r="AZ140" s="378"/>
      <c r="BA140" s="374"/>
      <c r="BB140" s="379"/>
      <c r="BC140" s="391"/>
      <c r="BD140" s="391"/>
      <c r="BE140" s="391"/>
      <c r="BF140" s="391"/>
      <c r="BG140" s="391"/>
      <c r="BH140" s="391"/>
      <c r="BI140" s="391"/>
      <c r="BJ140" s="391"/>
      <c r="BK140" s="391"/>
      <c r="BL140" s="391"/>
      <c r="BM140" s="391"/>
      <c r="BN140" s="391"/>
      <c r="BO140" s="391"/>
      <c r="BP140" s="391"/>
      <c r="BQ140" s="391"/>
      <c r="BR140" s="391"/>
      <c r="BS140" s="391"/>
      <c r="BT140" s="391"/>
      <c r="BU140" s="391"/>
      <c r="BV140" s="391"/>
      <c r="BW140" s="391"/>
      <c r="BX140" s="391"/>
      <c r="BY140" s="389"/>
      <c r="BZ140" s="389"/>
      <c r="CA140" s="389"/>
      <c r="CB140" s="144"/>
      <c r="CC140" s="144"/>
    </row>
    <row r="141" spans="1:83" s="118" customFormat="1" ht="15.75" customHeight="1">
      <c r="A141" s="136" t="s">
        <v>168</v>
      </c>
      <c r="B141" s="118">
        <v>6090001</v>
      </c>
      <c r="C141" s="136" t="s">
        <v>547</v>
      </c>
      <c r="D141" s="285"/>
      <c r="E141" s="198" t="s">
        <v>15</v>
      </c>
      <c r="F141" s="349">
        <v>59</v>
      </c>
      <c r="G141" s="349"/>
      <c r="H141" s="349"/>
      <c r="I141" s="349"/>
      <c r="J141" s="349"/>
      <c r="K141" s="349"/>
      <c r="L141" s="349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  <c r="AA141" s="283"/>
      <c r="AB141" s="283"/>
      <c r="AC141" s="283"/>
      <c r="AD141" s="283"/>
      <c r="AE141" s="283"/>
      <c r="AF141" s="283"/>
      <c r="AG141" s="201"/>
      <c r="AH141" s="201"/>
      <c r="AI141" s="201"/>
      <c r="AJ141" s="201"/>
      <c r="AK141" s="201"/>
      <c r="AL141" s="201"/>
      <c r="AM141" s="201"/>
      <c r="AN141" s="201">
        <v>0</v>
      </c>
      <c r="AO141" s="201">
        <v>0</v>
      </c>
      <c r="AP141" s="201">
        <v>57</v>
      </c>
      <c r="AQ141" s="201">
        <v>30</v>
      </c>
      <c r="AR141" s="201">
        <v>120</v>
      </c>
      <c r="AS141" s="283">
        <f>SUM(AG141:AR141)</f>
        <v>207</v>
      </c>
      <c r="AT141" s="286">
        <f>AS141/12</f>
        <v>17.25</v>
      </c>
      <c r="AU141" s="201">
        <v>0</v>
      </c>
      <c r="AV141" s="201">
        <v>0</v>
      </c>
      <c r="AW141" s="201">
        <v>60</v>
      </c>
      <c r="AX141" s="201">
        <v>32</v>
      </c>
      <c r="AY141" s="201">
        <v>20</v>
      </c>
      <c r="AZ141" s="203">
        <f>SUMIFS(領用表!$L:$L,領用表!$E:$E,$B141,領用表!$B:$B,AZ$2&amp;$BI$1)</f>
        <v>0</v>
      </c>
      <c r="BA141" s="203">
        <f>SUMIFS(領用表!$L:$L,領用表!$E:$E,$B141,領用表!$B:$B,BA$2&amp;$BI$1)</f>
        <v>0</v>
      </c>
      <c r="BB141" s="203">
        <f>SUMIFS(領用表!$L:$L,領用表!$E:$E,$B141,領用表!$B:$B,BB$2&amp;$BI$1)</f>
        <v>0</v>
      </c>
      <c r="BC141" s="203">
        <f>SUMIFS(領用表!$L:$L,領用表!$E:$E,$B141,領用表!$B:$B,BC$2&amp;$BI$1)</f>
        <v>0</v>
      </c>
      <c r="BD141" s="208">
        <f>SUMIFS(領用表!$L:$L,領用表!$E:$E,$B141,領用表!$B:$B,BD$2&amp;$BI$1)</f>
        <v>0</v>
      </c>
      <c r="BE141" s="208">
        <f>SUMIFS(領用表!$L:$L,領用表!$E:$E,$B141,領用表!$B:$B,BE$2&amp;$BI$1)</f>
        <v>0</v>
      </c>
      <c r="BF141" s="208">
        <f>SUMIFS(領用表!$L:$L,領用表!$E:$E,$B141,領用表!$B:$B,BF$2&amp;$BI$1)</f>
        <v>0</v>
      </c>
      <c r="BG141" s="207">
        <f t="shared" si="37"/>
        <v>112</v>
      </c>
      <c r="BH141" s="207">
        <f t="shared" si="38"/>
        <v>9.3333333333333339</v>
      </c>
      <c r="BI141" s="208">
        <f>SUMIFS(領用表!$L:$L,領用表!$E:$E,$B141,領用表!$B:$B,BI$2&amp;$BI$1)</f>
        <v>0</v>
      </c>
      <c r="BJ141" s="208">
        <f>SUMIFS(領用表!$L:$L,領用表!$E:$E,$B141,領用表!$B:$B,BJ$2&amp;$BI$1)</f>
        <v>0</v>
      </c>
      <c r="BK141" s="208">
        <f>SUMIFS(領用表!$L:$L,領用表!$E:$E,$B141,領用表!$B:$B,BK$2&amp;$BI$1)</f>
        <v>0</v>
      </c>
      <c r="BL141" s="208">
        <f>SUMIFS(領用表!$L:$L,領用表!$E:$E,$B141,領用表!$B:$B,BL$2&amp;$BI$1)</f>
        <v>0</v>
      </c>
      <c r="BM141" s="208">
        <f>SUMIFS(領用表!$L:$L,領用表!$E:$E,$B141,領用表!$B:$B,BM$2&amp;$BI$1)</f>
        <v>0</v>
      </c>
      <c r="BN141" s="208">
        <f>SUMIFS(領用表!$L:$L,領用表!$E:$E,$B141,領用表!$B:$B,BN$2&amp;$BI$1)</f>
        <v>0</v>
      </c>
      <c r="BO141" s="208">
        <f>SUMIFS(領用表!$L:$L,領用表!$E:$E,$B141,領用表!$B:$B,BO$2&amp;$BI$1)</f>
        <v>0</v>
      </c>
      <c r="BP141" s="208">
        <f>SUMIFS(領用表!$L:$L,領用表!$E:$E,$B141,領用表!$B:$B,BP$2&amp;$BI$1)</f>
        <v>0</v>
      </c>
      <c r="BQ141" s="208">
        <f>SUMIFS(領用表!$L:$L,領用表!$E:$E,$B141,領用表!$B:$B,BQ$2&amp;$BI$1)</f>
        <v>0</v>
      </c>
      <c r="BR141" s="208">
        <f>SUMIFS(領用表!$L:$L,領用表!$E:$E,$B141,領用表!$B:$B,BR$2&amp;$BI$1)</f>
        <v>0</v>
      </c>
      <c r="BS141" s="208">
        <f>SUMIFS(領用表!$L:$L,領用表!$E:$E,$B141,領用表!$B:$B,BS$2&amp;$BI$1)</f>
        <v>0</v>
      </c>
      <c r="BT141" s="208">
        <f>SUMIFS(領用表!$L:$L,領用表!$E:$E,$B141,領用表!$B:$B,BT$2&amp;$BI$1)</f>
        <v>0</v>
      </c>
      <c r="BU141" s="208">
        <f t="shared" si="41"/>
        <v>0</v>
      </c>
      <c r="BV141" s="208">
        <f t="shared" ref="BV141:BV200" si="43">AVERAGE(BI141,BJ141,BK141,BL141,BM141)</f>
        <v>0</v>
      </c>
      <c r="BW141" s="208">
        <f>SUMIF(Summary!B:B,B141,Summary!DT:DT)</f>
        <v>0</v>
      </c>
      <c r="BX141" s="258"/>
      <c r="BY141" s="341"/>
      <c r="BZ141" s="341"/>
      <c r="CA141" s="341"/>
      <c r="CB141" s="136" t="s">
        <v>839</v>
      </c>
      <c r="CC141" s="136"/>
    </row>
    <row r="142" spans="1:83" s="118" customFormat="1" ht="15.75" customHeight="1">
      <c r="A142" s="393" t="s">
        <v>170</v>
      </c>
      <c r="B142" s="118">
        <v>6050006</v>
      </c>
      <c r="C142" s="136" t="s">
        <v>548</v>
      </c>
      <c r="D142" s="285"/>
      <c r="E142" s="198" t="s">
        <v>15</v>
      </c>
      <c r="F142" s="349">
        <f>8+53</f>
        <v>61</v>
      </c>
      <c r="G142" s="349"/>
      <c r="H142" s="349"/>
      <c r="I142" s="349"/>
      <c r="J142" s="349"/>
      <c r="K142" s="349"/>
      <c r="L142" s="349"/>
      <c r="AR142" s="201">
        <v>10</v>
      </c>
      <c r="AS142" s="347" t="s">
        <v>49</v>
      </c>
      <c r="AT142" s="347" t="s">
        <v>49</v>
      </c>
      <c r="AU142" s="201">
        <v>0</v>
      </c>
      <c r="AV142" s="201">
        <v>0</v>
      </c>
      <c r="AW142" s="201">
        <v>0</v>
      </c>
      <c r="AX142" s="201">
        <v>12</v>
      </c>
      <c r="AY142" s="201">
        <v>20</v>
      </c>
      <c r="AZ142" s="203">
        <f>SUMIFS(領用表!$L:$L,領用表!$E:$E,$B142,領用表!$B:$B,AZ$2&amp;$BI$1)</f>
        <v>0</v>
      </c>
      <c r="BA142" s="203">
        <f>SUMIFS(領用表!$L:$L,領用表!$E:$E,$B142,領用表!$B:$B,BA$2&amp;$BI$1)</f>
        <v>0</v>
      </c>
      <c r="BB142" s="203">
        <f>SUMIFS(領用表!$L:$L,領用表!$E:$E,$B142,領用表!$B:$B,BB$2&amp;$BI$1)</f>
        <v>0</v>
      </c>
      <c r="BC142" s="203">
        <f>SUMIFS(領用表!$L:$L,領用表!$E:$E,$B142,領用表!$B:$B,BC$2&amp;$BI$1)</f>
        <v>0</v>
      </c>
      <c r="BD142" s="208">
        <f>SUMIFS(領用表!$L:$L,領用表!$E:$E,$B142,領用表!$B:$B,BD$2&amp;$BI$1)</f>
        <v>0</v>
      </c>
      <c r="BE142" s="208">
        <f>SUMIFS(領用表!$L:$L,領用表!$E:$E,$B142,領用表!$B:$B,BE$2&amp;$BI$1)</f>
        <v>0</v>
      </c>
      <c r="BF142" s="208">
        <f>SUMIFS(領用表!$L:$L,領用表!$E:$E,$B142,領用表!$B:$B,BF$2&amp;$BI$1)</f>
        <v>0</v>
      </c>
      <c r="BG142" s="207">
        <f t="shared" ref="BG142:BG173" si="44">SUM(AU142,AV142,AW142,AX142,AY142,AZ142,BA142,BB142,BC142,BD142,BE142,BF142)</f>
        <v>32</v>
      </c>
      <c r="BH142" s="207">
        <f t="shared" ref="BH142:BH173" si="45">AVERAGE(AU142,AV142,AW142,AX142,AY142,AZ142,BA142,BB142,BC142,BD142,BE142,BF142)</f>
        <v>2.6666666666666665</v>
      </c>
      <c r="BI142" s="208">
        <f>SUMIFS(領用表!$L:$L,領用表!$E:$E,$B142,領用表!$B:$B,BI$2&amp;$BI$1)</f>
        <v>0</v>
      </c>
      <c r="BJ142" s="332">
        <f>SUMIFS(領用表!$L:$L,領用表!$E:$E,$B142,領用表!$B:$B,BJ$2&amp;$BI$1)</f>
        <v>0</v>
      </c>
      <c r="BK142" s="332">
        <f>SUMIFS(領用表!$L:$L,領用表!$E:$E,$B142,領用表!$B:$B,BK$2&amp;$BI$1)</f>
        <v>0</v>
      </c>
      <c r="BL142" s="332">
        <f>SUMIFS(領用表!$L:$L,領用表!$E:$E,$B142,領用表!$B:$B,BL$2&amp;$BI$1)</f>
        <v>0</v>
      </c>
      <c r="BM142" s="332">
        <f>SUMIFS(領用表!$L:$L,領用表!$E:$E,$B142,領用表!$B:$B,BM$2&amp;$BI$1)</f>
        <v>0</v>
      </c>
      <c r="BN142" s="332">
        <f>SUMIFS(領用表!$L:$L,領用表!$E:$E,$B142,領用表!$B:$B,BN$2&amp;$BI$1)</f>
        <v>0</v>
      </c>
      <c r="BO142" s="332">
        <f>SUMIFS(領用表!$L:$L,領用表!$E:$E,$B142,領用表!$B:$B,BO$2&amp;$BI$1)</f>
        <v>0</v>
      </c>
      <c r="BP142" s="332">
        <f>SUMIFS(領用表!$L:$L,領用表!$E:$E,$B142,領用表!$B:$B,BP$2&amp;$BI$1)</f>
        <v>0</v>
      </c>
      <c r="BQ142" s="332">
        <f>SUMIFS(領用表!$L:$L,領用表!$E:$E,$B142,領用表!$B:$B,BQ$2&amp;$BI$1)</f>
        <v>0</v>
      </c>
      <c r="BR142" s="332">
        <f>SUMIFS(領用表!$L:$L,領用表!$E:$E,$B142,領用表!$B:$B,BR$2&amp;$BI$1)</f>
        <v>0</v>
      </c>
      <c r="BS142" s="332">
        <f>SUMIFS(領用表!$L:$L,領用表!$E:$E,$B142,領用表!$B:$B,BS$2&amp;$BI$1)</f>
        <v>0</v>
      </c>
      <c r="BT142" s="332">
        <f>SUMIFS(領用表!$L:$L,領用表!$E:$E,$B142,領用表!$B:$B,BT$2&amp;$BI$1)</f>
        <v>0</v>
      </c>
      <c r="BU142" s="332">
        <f t="shared" si="41"/>
        <v>0</v>
      </c>
      <c r="BV142" s="332">
        <f t="shared" si="43"/>
        <v>0</v>
      </c>
      <c r="BW142" s="332">
        <f>SUMIF(Summary!B:B,B142,Summary!DT:DT)</f>
        <v>0</v>
      </c>
      <c r="BX142" s="305"/>
      <c r="BY142" s="342"/>
      <c r="BZ142" s="341"/>
      <c r="CA142" s="341"/>
    </row>
    <row r="143" spans="1:83" s="118" customFormat="1" ht="15.75" hidden="1" customHeight="1">
      <c r="A143" s="136" t="s">
        <v>171</v>
      </c>
      <c r="B143" s="118" t="e">
        <v>#N/A</v>
      </c>
      <c r="C143" s="136" t="s">
        <v>549</v>
      </c>
      <c r="D143" s="285"/>
      <c r="E143" s="198" t="s">
        <v>15</v>
      </c>
      <c r="F143" s="349"/>
      <c r="G143" s="349"/>
      <c r="H143" s="349"/>
      <c r="I143" s="349"/>
      <c r="J143" s="349"/>
      <c r="K143" s="349"/>
      <c r="L143" s="349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83"/>
      <c r="AB143" s="283"/>
      <c r="AC143" s="283"/>
      <c r="AD143" s="283"/>
      <c r="AE143" s="283"/>
      <c r="AF143" s="283"/>
      <c r="AG143" s="201"/>
      <c r="AH143" s="201"/>
      <c r="AI143" s="201"/>
      <c r="AJ143" s="201"/>
      <c r="AK143" s="292"/>
      <c r="AL143" s="334">
        <v>30</v>
      </c>
      <c r="AM143" s="201"/>
      <c r="AN143" s="201">
        <v>20</v>
      </c>
      <c r="AO143" s="201">
        <v>10</v>
      </c>
      <c r="AP143" s="201">
        <v>15</v>
      </c>
      <c r="AQ143" s="201">
        <v>20</v>
      </c>
      <c r="AR143" s="201">
        <v>60</v>
      </c>
      <c r="AS143" s="283">
        <f>SUM(AG143:AR143)</f>
        <v>155</v>
      </c>
      <c r="AT143" s="286">
        <f>AS143/12</f>
        <v>12.916666666666666</v>
      </c>
      <c r="AU143" s="201">
        <v>65</v>
      </c>
      <c r="AV143" s="201">
        <v>24</v>
      </c>
      <c r="AW143" s="347" t="s">
        <v>49</v>
      </c>
      <c r="AX143" s="347" t="s">
        <v>49</v>
      </c>
      <c r="AY143" s="347" t="s">
        <v>49</v>
      </c>
      <c r="AZ143" s="203">
        <f>SUMIFS(領用表!$L:$L,領用表!$E:$E,$B143,領用表!$B:$B,AZ$2&amp;$BI$1)</f>
        <v>0</v>
      </c>
      <c r="BA143" s="203">
        <f>SUMIFS(領用表!$L:$L,領用表!$E:$E,$B143,領用表!$B:$B,BA$2&amp;$BI$1)</f>
        <v>0</v>
      </c>
      <c r="BB143" s="203">
        <f>SUMIFS(領用表!$L:$L,領用表!$E:$E,$B143,領用表!$B:$B,BB$2&amp;$BI$1)</f>
        <v>0</v>
      </c>
      <c r="BC143" s="203">
        <f>SUMIFS(領用表!$L:$L,領用表!$E:$E,$B143,領用表!$B:$B,BC$2&amp;$BI$1)</f>
        <v>0</v>
      </c>
      <c r="BD143" s="208">
        <f>SUMIFS(領用表!$L:$L,領用表!$E:$E,$B143,領用表!$B:$B,BD$2&amp;$BI$1)</f>
        <v>0</v>
      </c>
      <c r="BE143" s="208">
        <f>SUMIFS(領用表!$L:$L,領用表!$E:$E,$B143,領用表!$B:$B,BE$2&amp;$BI$1)</f>
        <v>0</v>
      </c>
      <c r="BF143" s="208">
        <f>SUMIFS(領用表!$L:$L,領用表!$E:$E,$B143,領用表!$B:$B,BF$2&amp;$BI$1)</f>
        <v>0</v>
      </c>
      <c r="BG143" s="207">
        <f t="shared" si="44"/>
        <v>89</v>
      </c>
      <c r="BH143" s="207">
        <f t="shared" si="45"/>
        <v>9.8888888888888893</v>
      </c>
      <c r="BI143" s="208">
        <f>SUMIFS(領用表!$L:$L,領用表!$E:$E,$B143,領用表!$B:$B,BI$2&amp;$BI$1)</f>
        <v>0</v>
      </c>
      <c r="BJ143" s="208">
        <f>SUMIFS(領用表!$L:$L,領用表!$E:$E,$B143,領用表!$B:$B,BJ$2&amp;$BI$1)</f>
        <v>0</v>
      </c>
      <c r="BK143" s="208">
        <f>SUMIFS(領用表!$L:$L,領用表!$E:$E,$B143,領用表!$B:$B,BK$2&amp;$BI$1)</f>
        <v>0</v>
      </c>
      <c r="BL143" s="208">
        <f>SUMIFS(領用表!$L:$L,領用表!$E:$E,$B143,領用表!$B:$B,BL$2&amp;$BI$1)</f>
        <v>0</v>
      </c>
      <c r="BM143" s="208">
        <f>SUMIFS(領用表!$L:$L,領用表!$E:$E,$B143,領用表!$B:$B,BM$2&amp;$BI$1)</f>
        <v>0</v>
      </c>
      <c r="BN143" s="208">
        <f>SUMIFS(領用表!$L:$L,領用表!$E:$E,$B143,領用表!$B:$B,BN$2&amp;$BI$1)</f>
        <v>0</v>
      </c>
      <c r="BO143" s="208">
        <f>SUMIFS(領用表!$L:$L,領用表!$E:$E,$B143,領用表!$B:$B,BO$2&amp;$BI$1)</f>
        <v>0</v>
      </c>
      <c r="BP143" s="208">
        <f>SUMIFS(領用表!$L:$L,領用表!$E:$E,$B143,領用表!$B:$B,BP$2&amp;$BI$1)</f>
        <v>0</v>
      </c>
      <c r="BQ143" s="208">
        <f>SUMIFS(領用表!$L:$L,領用表!$E:$E,$B143,領用表!$B:$B,BQ$2&amp;$BI$1)</f>
        <v>0</v>
      </c>
      <c r="BR143" s="208">
        <f>SUMIFS(領用表!$L:$L,領用表!$E:$E,$B143,領用表!$B:$B,BR$2&amp;$BI$1)</f>
        <v>0</v>
      </c>
      <c r="BS143" s="208">
        <f>SUMIFS(領用表!$L:$L,領用表!$E:$E,$B143,領用表!$B:$B,BS$2&amp;$BI$1)</f>
        <v>0</v>
      </c>
      <c r="BT143" s="208">
        <f>SUMIFS(領用表!$L:$L,領用表!$E:$E,$B143,領用表!$B:$B,BT$2&amp;$BI$1)</f>
        <v>0</v>
      </c>
      <c r="BU143" s="208">
        <f t="shared" si="41"/>
        <v>0</v>
      </c>
      <c r="BV143" s="208">
        <f t="shared" si="43"/>
        <v>0</v>
      </c>
      <c r="BW143" s="208">
        <f>SUMIF(Summary!B:B,B143,Summary!DT:DT)</f>
        <v>0</v>
      </c>
      <c r="BX143" s="258"/>
      <c r="BY143" s="340"/>
      <c r="BZ143" s="341"/>
      <c r="CA143" s="341"/>
      <c r="CB143" s="136"/>
      <c r="CC143" s="136"/>
    </row>
    <row r="144" spans="1:83" s="118" customFormat="1" ht="15.75" hidden="1" customHeight="1">
      <c r="A144" s="136" t="s">
        <v>172</v>
      </c>
      <c r="B144" s="118">
        <v>6050005</v>
      </c>
      <c r="C144" s="136" t="s">
        <v>550</v>
      </c>
      <c r="D144" s="285"/>
      <c r="E144" s="198" t="s">
        <v>15</v>
      </c>
      <c r="F144" s="349"/>
      <c r="G144" s="349"/>
      <c r="H144" s="349"/>
      <c r="I144" s="349"/>
      <c r="J144" s="349"/>
      <c r="K144" s="349"/>
      <c r="L144" s="349"/>
      <c r="AG144" s="348"/>
      <c r="AH144" s="348"/>
      <c r="AI144" s="348"/>
      <c r="AJ144" s="348"/>
      <c r="AK144" s="348"/>
      <c r="AL144" s="348"/>
      <c r="AM144" s="348"/>
      <c r="AN144" s="201">
        <v>0</v>
      </c>
      <c r="AO144" s="201">
        <v>0</v>
      </c>
      <c r="AP144" s="201">
        <v>0</v>
      </c>
      <c r="AQ144" s="201">
        <v>0</v>
      </c>
      <c r="AR144" s="201">
        <v>0</v>
      </c>
      <c r="AS144" s="283">
        <f>SUM(AG144:AR144)</f>
        <v>0</v>
      </c>
      <c r="AT144" s="286">
        <f>AS144/12</f>
        <v>0</v>
      </c>
      <c r="AU144" s="201">
        <v>0</v>
      </c>
      <c r="AV144" s="201">
        <v>72</v>
      </c>
      <c r="AW144" s="201">
        <v>0</v>
      </c>
      <c r="AX144" s="283">
        <v>0</v>
      </c>
      <c r="AY144" s="283">
        <v>0</v>
      </c>
      <c r="AZ144" s="203">
        <f>SUMIFS(領用表!$L:$L,領用表!$E:$E,$B144,領用表!$B:$B,AZ$2&amp;$BI$1)</f>
        <v>0</v>
      </c>
      <c r="BA144" s="203">
        <f>SUMIFS(領用表!$L:$L,領用表!$E:$E,$B144,領用表!$B:$B,BA$2&amp;$BI$1)</f>
        <v>0</v>
      </c>
      <c r="BB144" s="203">
        <f>SUMIFS(領用表!$L:$L,領用表!$E:$E,$B144,領用表!$B:$B,BB$2&amp;$BI$1)</f>
        <v>0</v>
      </c>
      <c r="BC144" s="203">
        <f>SUMIFS(領用表!$L:$L,領用表!$E:$E,$B144,領用表!$B:$B,BC$2&amp;$BI$1)</f>
        <v>0</v>
      </c>
      <c r="BD144" s="208">
        <f>SUMIFS(領用表!$L:$L,領用表!$E:$E,$B144,領用表!$B:$B,BD$2&amp;$BI$1)</f>
        <v>0</v>
      </c>
      <c r="BE144" s="208">
        <f>SUMIFS(領用表!$L:$L,領用表!$E:$E,$B144,領用表!$B:$B,BE$2&amp;$BI$1)</f>
        <v>0</v>
      </c>
      <c r="BF144" s="208">
        <f>SUMIFS(領用表!$L:$L,領用表!$E:$E,$B144,領用表!$B:$B,BF$2&amp;$BI$1)</f>
        <v>0</v>
      </c>
      <c r="BG144" s="207">
        <f t="shared" si="44"/>
        <v>72</v>
      </c>
      <c r="BH144" s="207">
        <f t="shared" si="45"/>
        <v>6</v>
      </c>
      <c r="BI144" s="208">
        <f>SUMIFS(領用表!$L:$L,領用表!$E:$E,$B144,領用表!$B:$B,BI$2&amp;$BI$1)</f>
        <v>0</v>
      </c>
      <c r="BJ144" s="208">
        <f>SUMIFS(領用表!$L:$L,領用表!$E:$E,$B144,領用表!$B:$B,BJ$2&amp;$BI$1)</f>
        <v>0</v>
      </c>
      <c r="BK144" s="208">
        <f>SUMIFS(領用表!$L:$L,領用表!$E:$E,$B144,領用表!$B:$B,BK$2&amp;$BI$1)</f>
        <v>0</v>
      </c>
      <c r="BL144" s="208">
        <f>SUMIFS(領用表!$L:$L,領用表!$E:$E,$B144,領用表!$B:$B,BL$2&amp;$BI$1)</f>
        <v>0</v>
      </c>
      <c r="BM144" s="208">
        <f>SUMIFS(領用表!$L:$L,領用表!$E:$E,$B144,領用表!$B:$B,BM$2&amp;$BI$1)</f>
        <v>0</v>
      </c>
      <c r="BN144" s="208">
        <f>SUMIFS(領用表!$L:$L,領用表!$E:$E,$B144,領用表!$B:$B,BN$2&amp;$BI$1)</f>
        <v>0</v>
      </c>
      <c r="BO144" s="208">
        <f>SUMIFS(領用表!$L:$L,領用表!$E:$E,$B144,領用表!$B:$B,BO$2&amp;$BI$1)</f>
        <v>0</v>
      </c>
      <c r="BP144" s="208">
        <f>SUMIFS(領用表!$L:$L,領用表!$E:$E,$B144,領用表!$B:$B,BP$2&amp;$BI$1)</f>
        <v>0</v>
      </c>
      <c r="BQ144" s="208">
        <f>SUMIFS(領用表!$L:$L,領用表!$E:$E,$B144,領用表!$B:$B,BQ$2&amp;$BI$1)</f>
        <v>0</v>
      </c>
      <c r="BR144" s="208">
        <f>SUMIFS(領用表!$L:$L,領用表!$E:$E,$B144,領用表!$B:$B,BR$2&amp;$BI$1)</f>
        <v>0</v>
      </c>
      <c r="BS144" s="208">
        <f>SUMIFS(領用表!$L:$L,領用表!$E:$E,$B144,領用表!$B:$B,BS$2&amp;$BI$1)</f>
        <v>0</v>
      </c>
      <c r="BT144" s="208">
        <f>SUMIFS(領用表!$L:$L,領用表!$E:$E,$B144,領用表!$B:$B,BT$2&amp;$BI$1)</f>
        <v>0</v>
      </c>
      <c r="BU144" s="208">
        <f t="shared" si="41"/>
        <v>0</v>
      </c>
      <c r="BV144" s="208">
        <f t="shared" si="43"/>
        <v>0</v>
      </c>
      <c r="BW144" s="208">
        <f>SUMIF(Summary!B:B,B144,Summary!DT:DT)</f>
        <v>0</v>
      </c>
      <c r="BX144" s="258"/>
      <c r="BY144" s="340"/>
      <c r="BZ144" s="341"/>
      <c r="CA144" s="341"/>
    </row>
    <row r="145" spans="1:81" s="118" customFormat="1" ht="15.75" hidden="1" customHeight="1">
      <c r="A145" s="136" t="s">
        <v>173</v>
      </c>
      <c r="B145" s="118">
        <v>1080002</v>
      </c>
      <c r="C145" s="136" t="s">
        <v>551</v>
      </c>
      <c r="D145" s="285"/>
      <c r="E145" s="198" t="s">
        <v>15</v>
      </c>
      <c r="F145" s="349"/>
      <c r="G145" s="349"/>
      <c r="H145" s="349"/>
      <c r="I145" s="349"/>
      <c r="J145" s="349"/>
      <c r="K145" s="349"/>
      <c r="L145" s="349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83"/>
      <c r="AB145" s="283"/>
      <c r="AC145" s="283"/>
      <c r="AD145" s="283"/>
      <c r="AE145" s="283"/>
      <c r="AF145" s="283"/>
      <c r="AG145" s="201"/>
      <c r="AH145" s="201"/>
      <c r="AI145" s="201"/>
      <c r="AJ145" s="201"/>
      <c r="AK145" s="201"/>
      <c r="AL145" s="201"/>
      <c r="AM145" s="201"/>
      <c r="AN145" s="201">
        <v>800</v>
      </c>
      <c r="AO145" s="201">
        <v>800</v>
      </c>
      <c r="AP145" s="201">
        <v>800</v>
      </c>
      <c r="AQ145" s="201">
        <v>3200</v>
      </c>
      <c r="AR145" s="201">
        <v>4800</v>
      </c>
      <c r="AS145" s="283">
        <f>SUM(AG145:AR145)</f>
        <v>10400</v>
      </c>
      <c r="AT145" s="286">
        <f>AS145/12</f>
        <v>866.66666666666663</v>
      </c>
      <c r="AU145" s="201">
        <v>4649</v>
      </c>
      <c r="AV145" s="201">
        <v>2263</v>
      </c>
      <c r="AW145" s="201">
        <v>3200</v>
      </c>
      <c r="AX145" s="201">
        <v>3777</v>
      </c>
      <c r="AY145" s="201">
        <v>0</v>
      </c>
      <c r="AZ145" s="203">
        <f>SUMIFS(領用表!$L:$L,領用表!$E:$E,$B145,領用表!$B:$B,AZ$2&amp;$BI$1)</f>
        <v>0</v>
      </c>
      <c r="BA145" s="203">
        <f>SUMIFS(領用表!$L:$L,領用表!$E:$E,$B145,領用表!$B:$B,BA$2&amp;$BI$1)</f>
        <v>0</v>
      </c>
      <c r="BB145" s="203">
        <f>SUMIFS(領用表!$L:$L,領用表!$E:$E,$B145,領用表!$B:$B,BB$2&amp;$BI$1)</f>
        <v>0</v>
      </c>
      <c r="BC145" s="203">
        <f>SUMIFS(領用表!$L:$L,領用表!$E:$E,$B145,領用表!$B:$B,BC$2&amp;$BI$1)</f>
        <v>0</v>
      </c>
      <c r="BD145" s="208">
        <f>SUMIFS(領用表!$L:$L,領用表!$E:$E,$B145,領用表!$B:$B,BD$2&amp;$BI$1)</f>
        <v>0</v>
      </c>
      <c r="BE145" s="208">
        <f>SUMIFS(領用表!$L:$L,領用表!$E:$E,$B145,領用表!$B:$B,BE$2&amp;$BI$1)</f>
        <v>0</v>
      </c>
      <c r="BF145" s="208">
        <f>SUMIFS(領用表!$L:$L,領用表!$E:$E,$B145,領用表!$B:$B,BF$2&amp;$BI$1)</f>
        <v>0</v>
      </c>
      <c r="BG145" s="207">
        <f t="shared" si="44"/>
        <v>13889</v>
      </c>
      <c r="BH145" s="207">
        <f t="shared" si="45"/>
        <v>1157.4166666666667</v>
      </c>
      <c r="BI145" s="208">
        <f>SUMIFS(領用表!$L:$L,領用表!$E:$E,$B145,領用表!$B:$B,BI$2&amp;$BI$1)</f>
        <v>0</v>
      </c>
      <c r="BJ145" s="208">
        <f>SUMIFS(領用表!$L:$L,領用表!$E:$E,$B145,領用表!$B:$B,BJ$2&amp;$BI$1)</f>
        <v>0</v>
      </c>
      <c r="BK145" s="208">
        <f>SUMIFS(領用表!$L:$L,領用表!$E:$E,$B145,領用表!$B:$B,BK$2&amp;$BI$1)</f>
        <v>0</v>
      </c>
      <c r="BL145" s="208">
        <f>SUMIFS(領用表!$L:$L,領用表!$E:$E,$B145,領用表!$B:$B,BL$2&amp;$BI$1)</f>
        <v>0</v>
      </c>
      <c r="BM145" s="208">
        <f>SUMIFS(領用表!$L:$L,領用表!$E:$E,$B145,領用表!$B:$B,BM$2&amp;$BI$1)</f>
        <v>0</v>
      </c>
      <c r="BN145" s="208">
        <f>SUMIFS(領用表!$L:$L,領用表!$E:$E,$B145,領用表!$B:$B,BN$2&amp;$BI$1)</f>
        <v>0</v>
      </c>
      <c r="BO145" s="208">
        <f>SUMIFS(領用表!$L:$L,領用表!$E:$E,$B145,領用表!$B:$B,BO$2&amp;$BI$1)</f>
        <v>0</v>
      </c>
      <c r="BP145" s="208">
        <f>SUMIFS(領用表!$L:$L,領用表!$E:$E,$B145,領用表!$B:$B,BP$2&amp;$BI$1)</f>
        <v>0</v>
      </c>
      <c r="BQ145" s="208">
        <f>SUMIFS(領用表!$L:$L,領用表!$E:$E,$B145,領用表!$B:$B,BQ$2&amp;$BI$1)</f>
        <v>0</v>
      </c>
      <c r="BR145" s="208">
        <f>SUMIFS(領用表!$L:$L,領用表!$E:$E,$B145,領用表!$B:$B,BR$2&amp;$BI$1)</f>
        <v>0</v>
      </c>
      <c r="BS145" s="208">
        <f>SUMIFS(領用表!$L:$L,領用表!$E:$E,$B145,領用表!$B:$B,BS$2&amp;$BI$1)</f>
        <v>0</v>
      </c>
      <c r="BT145" s="208">
        <f>SUMIFS(領用表!$L:$L,領用表!$E:$E,$B145,領用表!$B:$B,BT$2&amp;$BI$1)</f>
        <v>0</v>
      </c>
      <c r="BU145" s="208">
        <f t="shared" si="41"/>
        <v>0</v>
      </c>
      <c r="BV145" s="208">
        <f t="shared" si="43"/>
        <v>0</v>
      </c>
      <c r="BW145" s="208">
        <f>SUMIF(Summary!B:B,B145,Summary!DT:DT)</f>
        <v>0</v>
      </c>
      <c r="BX145" s="258"/>
      <c r="BY145" s="340"/>
      <c r="BZ145" s="341"/>
      <c r="CA145" s="341"/>
      <c r="CB145" s="136"/>
      <c r="CC145" s="136"/>
    </row>
    <row r="146" spans="1:81" s="118" customFormat="1" ht="15.75" customHeight="1">
      <c r="A146" s="136" t="s">
        <v>174</v>
      </c>
      <c r="B146" s="118">
        <v>1080006</v>
      </c>
      <c r="C146" s="136" t="s">
        <v>552</v>
      </c>
      <c r="D146" s="285"/>
      <c r="E146" s="198" t="s">
        <v>15</v>
      </c>
      <c r="F146" s="349"/>
      <c r="G146" s="349"/>
      <c r="H146" s="349"/>
      <c r="I146" s="349"/>
      <c r="J146" s="349"/>
      <c r="K146" s="349"/>
      <c r="L146" s="349"/>
      <c r="AG146" s="348"/>
      <c r="AH146" s="348"/>
      <c r="AI146" s="348"/>
      <c r="AJ146" s="348"/>
      <c r="AK146" s="348"/>
      <c r="AL146" s="348"/>
      <c r="AM146" s="348"/>
      <c r="AN146" s="201">
        <v>0</v>
      </c>
      <c r="AO146" s="201">
        <v>0</v>
      </c>
      <c r="AP146" s="201">
        <v>0</v>
      </c>
      <c r="AQ146" s="201">
        <v>50</v>
      </c>
      <c r="AR146" s="201">
        <v>0</v>
      </c>
      <c r="AS146" s="283">
        <f>SUM(AG146:AR146)</f>
        <v>50</v>
      </c>
      <c r="AT146" s="286">
        <f>AS146/12</f>
        <v>4.166666666666667</v>
      </c>
      <c r="AU146" s="201">
        <v>0</v>
      </c>
      <c r="AV146" s="201">
        <v>4620</v>
      </c>
      <c r="AW146" s="201">
        <v>0</v>
      </c>
      <c r="AX146" s="201">
        <v>0</v>
      </c>
      <c r="AY146" s="201">
        <v>6400</v>
      </c>
      <c r="AZ146" s="203">
        <f>SUMIFS(領用表!$L:$L,領用表!$E:$E,$B146,領用表!$B:$B,AZ$2&amp;$BI$1)</f>
        <v>0</v>
      </c>
      <c r="BA146" s="203">
        <f>SUMIFS(領用表!$L:$L,領用表!$E:$E,$B146,領用表!$B:$B,BA$2&amp;$BI$1)</f>
        <v>0</v>
      </c>
      <c r="BB146" s="203">
        <f>SUMIFS(領用表!$L:$L,領用表!$E:$E,$B146,領用表!$B:$B,BB$2&amp;$BI$1)</f>
        <v>0</v>
      </c>
      <c r="BC146" s="203">
        <f>SUMIFS(領用表!$L:$L,領用表!$E:$E,$B146,領用表!$B:$B,BC$2&amp;$BI$1)</f>
        <v>0</v>
      </c>
      <c r="BD146" s="208">
        <f>SUMIFS(領用表!$L:$L,領用表!$E:$E,$B146,領用表!$B:$B,BD$2&amp;$BI$1)</f>
        <v>0</v>
      </c>
      <c r="BE146" s="208">
        <f>SUMIFS(領用表!$L:$L,領用表!$E:$E,$B146,領用表!$B:$B,BE$2&amp;$BI$1)</f>
        <v>0</v>
      </c>
      <c r="BF146" s="208">
        <f>SUMIFS(領用表!$L:$L,領用表!$E:$E,$B146,領用表!$B:$B,BF$2&amp;$BI$1)</f>
        <v>0</v>
      </c>
      <c r="BG146" s="207">
        <f t="shared" si="44"/>
        <v>11020</v>
      </c>
      <c r="BH146" s="207">
        <f t="shared" si="45"/>
        <v>918.33333333333337</v>
      </c>
      <c r="BI146" s="208">
        <f>SUMIFS(領用表!$L:$L,領用表!$E:$E,$B146,領用表!$B:$B,BI$2&amp;$BI$1)</f>
        <v>0</v>
      </c>
      <c r="BJ146" s="208">
        <f>SUMIFS(領用表!$L:$L,領用表!$E:$E,$B146,領用表!$B:$B,BJ$2&amp;$BI$1)</f>
        <v>0</v>
      </c>
      <c r="BK146" s="208">
        <f>SUMIFS(領用表!$L:$L,領用表!$E:$E,$B146,領用表!$B:$B,BK$2&amp;$BI$1)</f>
        <v>0</v>
      </c>
      <c r="BL146" s="208">
        <f>SUMIFS(領用表!$L:$L,領用表!$E:$E,$B146,領用表!$B:$B,BL$2&amp;$BI$1)</f>
        <v>0</v>
      </c>
      <c r="BM146" s="208">
        <f>SUMIFS(領用表!$L:$L,領用表!$E:$E,$B146,領用表!$B:$B,BM$2&amp;$BI$1)</f>
        <v>0</v>
      </c>
      <c r="BN146" s="208">
        <f>SUMIFS(領用表!$L:$L,領用表!$E:$E,$B146,領用表!$B:$B,BN$2&amp;$BI$1)</f>
        <v>0</v>
      </c>
      <c r="BO146" s="208">
        <f>SUMIFS(領用表!$L:$L,領用表!$E:$E,$B146,領用表!$B:$B,BO$2&amp;$BI$1)</f>
        <v>0</v>
      </c>
      <c r="BP146" s="208">
        <f>SUMIFS(領用表!$L:$L,領用表!$E:$E,$B146,領用表!$B:$B,BP$2&amp;$BI$1)</f>
        <v>0</v>
      </c>
      <c r="BQ146" s="208">
        <f>SUMIFS(領用表!$L:$L,領用表!$E:$E,$B146,領用表!$B:$B,BQ$2&amp;$BI$1)</f>
        <v>0</v>
      </c>
      <c r="BR146" s="208">
        <f>SUMIFS(領用表!$L:$L,領用表!$E:$E,$B146,領用表!$B:$B,BR$2&amp;$BI$1)</f>
        <v>0</v>
      </c>
      <c r="BS146" s="208">
        <f>SUMIFS(領用表!$L:$L,領用表!$E:$E,$B146,領用表!$B:$B,BS$2&amp;$BI$1)</f>
        <v>0</v>
      </c>
      <c r="BT146" s="208">
        <f>SUMIFS(領用表!$L:$L,領用表!$E:$E,$B146,領用表!$B:$B,BT$2&amp;$BI$1)</f>
        <v>0</v>
      </c>
      <c r="BU146" s="208">
        <f t="shared" si="41"/>
        <v>0</v>
      </c>
      <c r="BV146" s="208">
        <f t="shared" si="43"/>
        <v>0</v>
      </c>
      <c r="BW146" s="208">
        <f>SUMIF(Summary!B:B,B146,Summary!DT:DT)</f>
        <v>0</v>
      </c>
      <c r="BX146" s="258"/>
      <c r="BY146" s="340"/>
      <c r="BZ146" s="341"/>
      <c r="CA146" s="341"/>
    </row>
    <row r="147" spans="1:81" s="118" customFormat="1" ht="15.75" customHeight="1">
      <c r="A147" s="136" t="s">
        <v>175</v>
      </c>
      <c r="B147" s="118" t="e">
        <v>#N/A</v>
      </c>
      <c r="C147" s="136" t="s">
        <v>553</v>
      </c>
      <c r="D147" s="285"/>
      <c r="E147" s="198" t="s">
        <v>15</v>
      </c>
      <c r="F147" s="349"/>
      <c r="G147" s="349"/>
      <c r="H147" s="349"/>
      <c r="I147" s="349"/>
      <c r="J147" s="349"/>
      <c r="K147" s="349"/>
      <c r="L147" s="349"/>
      <c r="AG147" s="348"/>
      <c r="AH147" s="348"/>
      <c r="AI147" s="348"/>
      <c r="AJ147" s="348"/>
      <c r="AK147" s="348"/>
      <c r="AL147" s="348"/>
      <c r="AM147" s="348"/>
      <c r="AN147" s="201"/>
      <c r="AO147" s="201"/>
      <c r="AP147" s="201"/>
      <c r="AQ147" s="201"/>
      <c r="AR147" s="201"/>
      <c r="AS147" s="283"/>
      <c r="AT147" s="286"/>
      <c r="AU147" s="201"/>
      <c r="AV147" s="201"/>
      <c r="AW147" s="201"/>
      <c r="AX147" s="201"/>
      <c r="AY147" s="201"/>
      <c r="AZ147" s="203">
        <f>SUMIFS(領用表!$L:$L,領用表!$E:$E,$B147,領用表!$B:$B,AZ$2&amp;$BI$1)</f>
        <v>0</v>
      </c>
      <c r="BA147" s="203">
        <f>SUMIFS(領用表!$L:$L,領用表!$E:$E,$B147,領用表!$B:$B,BA$2&amp;$BI$1)</f>
        <v>0</v>
      </c>
      <c r="BB147" s="203">
        <f>SUMIFS(領用表!$L:$L,領用表!$E:$E,$B147,領用表!$B:$B,BB$2&amp;$BI$1)</f>
        <v>0</v>
      </c>
      <c r="BC147" s="203">
        <f>SUMIFS(領用表!$L:$L,領用表!$E:$E,$B147,領用表!$B:$B,BC$2&amp;$BI$1)</f>
        <v>0</v>
      </c>
      <c r="BD147" s="208">
        <f>SUMIFS(領用表!$L:$L,領用表!$E:$E,$B147,領用表!$B:$B,BD$2&amp;$BI$1)</f>
        <v>0</v>
      </c>
      <c r="BE147" s="208">
        <f>SUMIFS(領用表!$L:$L,領用表!$E:$E,$B147,領用表!$B:$B,BE$2&amp;$BI$1)</f>
        <v>0</v>
      </c>
      <c r="BF147" s="208">
        <f>SUMIFS(領用表!$L:$L,領用表!$E:$E,$B147,領用表!$B:$B,BF$2&amp;$BI$1)</f>
        <v>0</v>
      </c>
      <c r="BG147" s="207">
        <f t="shared" si="44"/>
        <v>0</v>
      </c>
      <c r="BH147" s="207">
        <f t="shared" si="45"/>
        <v>0</v>
      </c>
      <c r="BI147" s="208">
        <f>SUMIFS(領用表!$L:$L,領用表!$E:$E,$B147,領用表!$B:$B,BI$2&amp;$BI$1)</f>
        <v>0</v>
      </c>
      <c r="BJ147" s="208">
        <f>SUMIFS(領用表!$L:$L,領用表!$E:$E,$B147,領用表!$B:$B,BJ$2&amp;$BI$1)</f>
        <v>0</v>
      </c>
      <c r="BK147" s="208">
        <f>SUMIFS(領用表!$L:$L,領用表!$E:$E,$B147,領用表!$B:$B,BK$2&amp;$BI$1)</f>
        <v>0</v>
      </c>
      <c r="BL147" s="208">
        <f>SUMIFS(領用表!$L:$L,領用表!$E:$E,$B147,領用表!$B:$B,BL$2&amp;$BI$1)</f>
        <v>0</v>
      </c>
      <c r="BM147" s="208">
        <f>SUMIFS(領用表!$L:$L,領用表!$E:$E,$B147,領用表!$B:$B,BM$2&amp;$BI$1)</f>
        <v>0</v>
      </c>
      <c r="BN147" s="208">
        <f>SUMIFS(領用表!$L:$L,領用表!$E:$E,$B147,領用表!$B:$B,BN$2&amp;$BI$1)</f>
        <v>0</v>
      </c>
      <c r="BO147" s="208">
        <f>SUMIFS(領用表!$L:$L,領用表!$E:$E,$B147,領用表!$B:$B,BO$2&amp;$BI$1)</f>
        <v>0</v>
      </c>
      <c r="BP147" s="208">
        <f>SUMIFS(領用表!$L:$L,領用表!$E:$E,$B147,領用表!$B:$B,BP$2&amp;$BI$1)</f>
        <v>0</v>
      </c>
      <c r="BQ147" s="208">
        <f>SUMIFS(領用表!$L:$L,領用表!$E:$E,$B147,領用表!$B:$B,BQ$2&amp;$BI$1)</f>
        <v>0</v>
      </c>
      <c r="BR147" s="208">
        <f>SUMIFS(領用表!$L:$L,領用表!$E:$E,$B147,領用表!$B:$B,BR$2&amp;$BI$1)</f>
        <v>0</v>
      </c>
      <c r="BS147" s="208">
        <f>SUMIFS(領用表!$L:$L,領用表!$E:$E,$B147,領用表!$B:$B,BS$2&amp;$BI$1)</f>
        <v>0</v>
      </c>
      <c r="BT147" s="208">
        <f>SUMIFS(領用表!$L:$L,領用表!$E:$E,$B147,領用表!$B:$B,BT$2&amp;$BI$1)</f>
        <v>0</v>
      </c>
      <c r="BU147" s="208">
        <f t="shared" si="41"/>
        <v>0</v>
      </c>
      <c r="BV147" s="208">
        <f t="shared" si="43"/>
        <v>0</v>
      </c>
      <c r="BW147" s="208">
        <f>SUMIF(Summary!B:B,B147,Summary!DT:DT)</f>
        <v>0</v>
      </c>
      <c r="BX147" s="258"/>
      <c r="BY147" s="340"/>
      <c r="BZ147" s="341"/>
      <c r="CA147" s="341"/>
    </row>
    <row r="148" spans="1:81" s="118" customFormat="1" ht="15.75" customHeight="1">
      <c r="A148" s="136" t="s">
        <v>176</v>
      </c>
      <c r="B148" s="118">
        <v>6080005</v>
      </c>
      <c r="C148" s="136" t="s">
        <v>554</v>
      </c>
      <c r="D148" s="285"/>
      <c r="E148" s="198" t="s">
        <v>15</v>
      </c>
      <c r="F148" s="349"/>
      <c r="G148" s="349"/>
      <c r="H148" s="349"/>
      <c r="I148" s="349"/>
      <c r="J148" s="349"/>
      <c r="K148" s="349"/>
      <c r="L148" s="349"/>
      <c r="AG148" s="348"/>
      <c r="AH148" s="348"/>
      <c r="AI148" s="348"/>
      <c r="AJ148" s="348"/>
      <c r="AK148" s="348"/>
      <c r="AL148" s="348"/>
      <c r="AM148" s="348"/>
      <c r="AN148" s="201"/>
      <c r="AO148" s="201"/>
      <c r="AP148" s="201"/>
      <c r="AQ148" s="201"/>
      <c r="AR148" s="201"/>
      <c r="AS148" s="283">
        <v>0</v>
      </c>
      <c r="AT148" s="286">
        <v>0</v>
      </c>
      <c r="AU148" s="201">
        <v>0</v>
      </c>
      <c r="AV148" s="201">
        <v>0</v>
      </c>
      <c r="AW148" s="201">
        <v>0</v>
      </c>
      <c r="AX148" s="201">
        <v>2400</v>
      </c>
      <c r="AY148" s="201">
        <v>0</v>
      </c>
      <c r="AZ148" s="203">
        <f>SUMIFS(領用表!$L:$L,領用表!$E:$E,$B148,領用表!$B:$B,AZ$2&amp;$BI$1)</f>
        <v>0</v>
      </c>
      <c r="BA148" s="203">
        <f>SUMIFS(領用表!$L:$L,領用表!$E:$E,$B148,領用表!$B:$B,BA$2&amp;$BI$1)</f>
        <v>0</v>
      </c>
      <c r="BB148" s="203">
        <f>SUMIFS(領用表!$L:$L,領用表!$E:$E,$B148,領用表!$B:$B,BB$2&amp;$BI$1)</f>
        <v>0</v>
      </c>
      <c r="BC148" s="203">
        <f>SUMIFS(領用表!$L:$L,領用表!$E:$E,$B148,領用表!$B:$B,BC$2&amp;$BI$1)</f>
        <v>0</v>
      </c>
      <c r="BD148" s="208">
        <f>SUMIFS(領用表!$L:$L,領用表!$E:$E,$B148,領用表!$B:$B,BD$2&amp;$BI$1)</f>
        <v>0</v>
      </c>
      <c r="BE148" s="208">
        <f>SUMIFS(領用表!$L:$L,領用表!$E:$E,$B148,領用表!$B:$B,BE$2&amp;$BI$1)</f>
        <v>0</v>
      </c>
      <c r="BF148" s="208">
        <f>SUMIFS(領用表!$L:$L,領用表!$E:$E,$B148,領用表!$B:$B,BF$2&amp;$BI$1)</f>
        <v>0</v>
      </c>
      <c r="BG148" s="207">
        <f t="shared" si="44"/>
        <v>2400</v>
      </c>
      <c r="BH148" s="207">
        <f t="shared" si="45"/>
        <v>200</v>
      </c>
      <c r="BI148" s="208">
        <f>SUMIFS(領用表!$L:$L,領用表!$E:$E,$B148,領用表!$B:$B,BI$2&amp;$BI$1)</f>
        <v>0</v>
      </c>
      <c r="BJ148" s="208">
        <f>SUMIFS(領用表!$L:$L,領用表!$E:$E,$B148,領用表!$B:$B,BJ$2&amp;$BI$1)</f>
        <v>0</v>
      </c>
      <c r="BK148" s="208">
        <f>SUMIFS(領用表!$L:$L,領用表!$E:$E,$B148,領用表!$B:$B,BK$2&amp;$BI$1)</f>
        <v>0</v>
      </c>
      <c r="BL148" s="208">
        <f>SUMIFS(領用表!$L:$L,領用表!$E:$E,$B148,領用表!$B:$B,BL$2&amp;$BI$1)</f>
        <v>0</v>
      </c>
      <c r="BM148" s="208">
        <f>SUMIFS(領用表!$L:$L,領用表!$E:$E,$B148,領用表!$B:$B,BM$2&amp;$BI$1)</f>
        <v>0</v>
      </c>
      <c r="BN148" s="208">
        <f>SUMIFS(領用表!$L:$L,領用表!$E:$E,$B148,領用表!$B:$B,BN$2&amp;$BI$1)</f>
        <v>0</v>
      </c>
      <c r="BO148" s="208">
        <f>SUMIFS(領用表!$L:$L,領用表!$E:$E,$B148,領用表!$B:$B,BO$2&amp;$BI$1)</f>
        <v>0</v>
      </c>
      <c r="BP148" s="208">
        <f>SUMIFS(領用表!$L:$L,領用表!$E:$E,$B148,領用表!$B:$B,BP$2&amp;$BI$1)</f>
        <v>0</v>
      </c>
      <c r="BQ148" s="208">
        <f>SUMIFS(領用表!$L:$L,領用表!$E:$E,$B148,領用表!$B:$B,BQ$2&amp;$BI$1)</f>
        <v>0</v>
      </c>
      <c r="BR148" s="208">
        <f>SUMIFS(領用表!$L:$L,領用表!$E:$E,$B148,領用表!$B:$B,BR$2&amp;$BI$1)</f>
        <v>0</v>
      </c>
      <c r="BS148" s="208">
        <f>SUMIFS(領用表!$L:$L,領用表!$E:$E,$B148,領用表!$B:$B,BS$2&amp;$BI$1)</f>
        <v>0</v>
      </c>
      <c r="BT148" s="208">
        <f>SUMIFS(領用表!$L:$L,領用表!$E:$E,$B148,領用表!$B:$B,BT$2&amp;$BI$1)</f>
        <v>0</v>
      </c>
      <c r="BU148" s="208">
        <f t="shared" si="41"/>
        <v>0</v>
      </c>
      <c r="BV148" s="208">
        <f t="shared" si="43"/>
        <v>0</v>
      </c>
      <c r="BW148" s="208">
        <f>SUMIF(Summary!B:B,B148,Summary!DT:DT)</f>
        <v>0</v>
      </c>
      <c r="BX148" s="258"/>
      <c r="BY148" s="340"/>
      <c r="BZ148" s="343"/>
      <c r="CA148" s="341"/>
    </row>
    <row r="149" spans="1:81" s="118" customFormat="1" ht="15.75" customHeight="1">
      <c r="A149" s="136" t="s">
        <v>177</v>
      </c>
      <c r="B149" s="118">
        <v>6080007</v>
      </c>
      <c r="C149" s="136" t="s">
        <v>555</v>
      </c>
      <c r="D149" s="285"/>
      <c r="E149" s="198" t="s">
        <v>15</v>
      </c>
      <c r="F149" s="349"/>
      <c r="G149" s="349"/>
      <c r="H149" s="349"/>
      <c r="I149" s="349"/>
      <c r="J149" s="349"/>
      <c r="K149" s="349"/>
      <c r="L149" s="349"/>
      <c r="M149" s="333"/>
      <c r="N149" s="333"/>
      <c r="O149" s="333"/>
      <c r="P149" s="333"/>
      <c r="Q149" s="333"/>
      <c r="R149" s="333"/>
      <c r="S149" s="333"/>
      <c r="T149" s="333"/>
      <c r="U149" s="333"/>
      <c r="V149" s="333"/>
      <c r="W149" s="333"/>
      <c r="X149" s="333"/>
      <c r="Y149" s="333"/>
      <c r="Z149" s="333"/>
      <c r="AA149" s="333"/>
      <c r="AB149" s="333"/>
      <c r="AC149" s="333"/>
      <c r="AD149" s="333"/>
      <c r="AE149" s="333"/>
      <c r="AF149" s="333"/>
      <c r="AG149" s="292"/>
      <c r="AH149" s="292"/>
      <c r="AI149" s="292"/>
      <c r="AJ149" s="292"/>
      <c r="AK149" s="292"/>
      <c r="AL149" s="292"/>
      <c r="AM149" s="292"/>
      <c r="AN149" s="201"/>
      <c r="AO149" s="201"/>
      <c r="AP149" s="201"/>
      <c r="AQ149" s="201"/>
      <c r="AR149" s="201"/>
      <c r="AS149" s="283"/>
      <c r="AT149" s="286"/>
      <c r="AU149" s="201"/>
      <c r="AV149" s="201"/>
      <c r="AW149" s="201"/>
      <c r="AX149" s="201"/>
      <c r="AY149" s="201"/>
      <c r="AZ149" s="203">
        <f>SUMIFS(領用表!$L:$L,領用表!$E:$E,$B149,領用表!$B:$B,AZ$2&amp;$BI$1)</f>
        <v>0</v>
      </c>
      <c r="BA149" s="203">
        <f>SUMIFS(領用表!$L:$L,領用表!$E:$E,$B149,領用表!$B:$B,BA$2&amp;$BI$1)</f>
        <v>0</v>
      </c>
      <c r="BB149" s="203">
        <f>SUMIFS(領用表!$L:$L,領用表!$E:$E,$B149,領用表!$B:$B,BB$2&amp;$BI$1)</f>
        <v>0</v>
      </c>
      <c r="BC149" s="203">
        <f>SUMIFS(領用表!$L:$L,領用表!$E:$E,$B149,領用表!$B:$B,BC$2&amp;$BI$1)</f>
        <v>0</v>
      </c>
      <c r="BD149" s="208">
        <f>SUMIFS(領用表!$L:$L,領用表!$E:$E,$B149,領用表!$B:$B,BD$2&amp;$BI$1)</f>
        <v>0</v>
      </c>
      <c r="BE149" s="208">
        <f>SUMIFS(領用表!$L:$L,領用表!$E:$E,$B149,領用表!$B:$B,BE$2&amp;$BI$1)</f>
        <v>0</v>
      </c>
      <c r="BF149" s="208">
        <f>SUMIFS(領用表!$L:$L,領用表!$E:$E,$B149,領用表!$B:$B,BF$2&amp;$BI$1)</f>
        <v>0</v>
      </c>
      <c r="BG149" s="207">
        <f t="shared" si="44"/>
        <v>0</v>
      </c>
      <c r="BH149" s="207">
        <f t="shared" si="45"/>
        <v>0</v>
      </c>
      <c r="BI149" s="208">
        <f>SUMIFS(領用表!$L:$L,領用表!$E:$E,$B149,領用表!$B:$B,BI$2&amp;$BI$1)</f>
        <v>0</v>
      </c>
      <c r="BJ149" s="208">
        <f>SUMIFS(領用表!$L:$L,領用表!$E:$E,$B149,領用表!$B:$B,BJ$2&amp;$BI$1)</f>
        <v>0</v>
      </c>
      <c r="BK149" s="208">
        <f>SUMIFS(領用表!$L:$L,領用表!$E:$E,$B149,領用表!$B:$B,BK$2&amp;$BI$1)</f>
        <v>0</v>
      </c>
      <c r="BL149" s="208">
        <f>SUMIFS(領用表!$L:$L,領用表!$E:$E,$B149,領用表!$B:$B,BL$2&amp;$BI$1)</f>
        <v>0</v>
      </c>
      <c r="BM149" s="208">
        <f>SUMIFS(領用表!$L:$L,領用表!$E:$E,$B149,領用表!$B:$B,BM$2&amp;$BI$1)</f>
        <v>0</v>
      </c>
      <c r="BN149" s="208">
        <f>SUMIFS(領用表!$L:$L,領用表!$E:$E,$B149,領用表!$B:$B,BN$2&amp;$BI$1)</f>
        <v>0</v>
      </c>
      <c r="BO149" s="208">
        <f>SUMIFS(領用表!$L:$L,領用表!$E:$E,$B149,領用表!$B:$B,BO$2&amp;$BI$1)</f>
        <v>0</v>
      </c>
      <c r="BP149" s="208">
        <f>SUMIFS(領用表!$L:$L,領用表!$E:$E,$B149,領用表!$B:$B,BP$2&amp;$BI$1)</f>
        <v>0</v>
      </c>
      <c r="BQ149" s="208">
        <f>SUMIFS(領用表!$L:$L,領用表!$E:$E,$B149,領用表!$B:$B,BQ$2&amp;$BI$1)</f>
        <v>0</v>
      </c>
      <c r="BR149" s="208">
        <f>SUMIFS(領用表!$L:$L,領用表!$E:$E,$B149,領用表!$B:$B,BR$2&amp;$BI$1)</f>
        <v>0</v>
      </c>
      <c r="BS149" s="208">
        <f>SUMIFS(領用表!$L:$L,領用表!$E:$E,$B149,領用表!$B:$B,BS$2&amp;$BI$1)</f>
        <v>0</v>
      </c>
      <c r="BT149" s="208">
        <f>SUMIFS(領用表!$L:$L,領用表!$E:$E,$B149,領用表!$B:$B,BT$2&amp;$BI$1)</f>
        <v>0</v>
      </c>
      <c r="BU149" s="208">
        <f t="shared" si="41"/>
        <v>0</v>
      </c>
      <c r="BV149" s="208">
        <f t="shared" si="43"/>
        <v>0</v>
      </c>
      <c r="BW149" s="208">
        <f>SUMIF(Summary!B:B,B149,Summary!DT:DT)</f>
        <v>0</v>
      </c>
      <c r="BX149" s="258"/>
      <c r="BY149" s="340"/>
      <c r="BZ149" s="341"/>
      <c r="CA149" s="341"/>
    </row>
    <row r="150" spans="1:81" s="118" customFormat="1" ht="15.75" customHeight="1">
      <c r="A150" s="136" t="s">
        <v>178</v>
      </c>
      <c r="B150" s="118" t="e">
        <v>#N/A</v>
      </c>
      <c r="C150" s="136" t="s">
        <v>556</v>
      </c>
      <c r="D150" s="285"/>
      <c r="E150" s="198" t="s">
        <v>15</v>
      </c>
      <c r="F150" s="349"/>
      <c r="G150" s="349"/>
      <c r="H150" s="349"/>
      <c r="I150" s="349"/>
      <c r="J150" s="349"/>
      <c r="K150" s="349"/>
      <c r="L150" s="349"/>
      <c r="M150" s="333"/>
      <c r="N150" s="333"/>
      <c r="O150" s="333"/>
      <c r="P150" s="333"/>
      <c r="Q150" s="333"/>
      <c r="R150" s="333"/>
      <c r="S150" s="333"/>
      <c r="T150" s="333"/>
      <c r="U150" s="333"/>
      <c r="V150" s="333"/>
      <c r="W150" s="333"/>
      <c r="X150" s="333"/>
      <c r="Y150" s="333"/>
      <c r="Z150" s="333"/>
      <c r="AA150" s="333"/>
      <c r="AB150" s="333"/>
      <c r="AC150" s="333"/>
      <c r="AD150" s="333"/>
      <c r="AE150" s="333"/>
      <c r="AF150" s="333"/>
      <c r="AG150" s="292"/>
      <c r="AH150" s="292"/>
      <c r="AI150" s="292"/>
      <c r="AJ150" s="292"/>
      <c r="AK150" s="292"/>
      <c r="AL150" s="292"/>
      <c r="AM150" s="292"/>
      <c r="AN150" s="201"/>
      <c r="AO150" s="201"/>
      <c r="AP150" s="201"/>
      <c r="AQ150" s="201"/>
      <c r="AR150" s="201"/>
      <c r="AS150" s="283"/>
      <c r="AT150" s="286"/>
      <c r="AU150" s="201"/>
      <c r="AV150" s="201"/>
      <c r="AW150" s="201"/>
      <c r="AX150" s="201"/>
      <c r="AY150" s="201"/>
      <c r="AZ150" s="203">
        <f>SUMIFS(領用表!$L:$L,領用表!$E:$E,$B150,領用表!$B:$B,AZ$2&amp;$BI$1)</f>
        <v>0</v>
      </c>
      <c r="BA150" s="203">
        <f>SUMIFS(領用表!$L:$L,領用表!$E:$E,$B150,領用表!$B:$B,BA$2&amp;$BI$1)</f>
        <v>0</v>
      </c>
      <c r="BB150" s="203">
        <f>SUMIFS(領用表!$L:$L,領用表!$E:$E,$B150,領用表!$B:$B,BB$2&amp;$BI$1)</f>
        <v>0</v>
      </c>
      <c r="BC150" s="203">
        <f>SUMIFS(領用表!$L:$L,領用表!$E:$E,$B150,領用表!$B:$B,BC$2&amp;$BI$1)</f>
        <v>0</v>
      </c>
      <c r="BD150" s="208">
        <f>SUMIFS(領用表!$L:$L,領用表!$E:$E,$B150,領用表!$B:$B,BD$2&amp;$BI$1)</f>
        <v>0</v>
      </c>
      <c r="BE150" s="208">
        <f>SUMIFS(領用表!$L:$L,領用表!$E:$E,$B150,領用表!$B:$B,BE$2&amp;$BI$1)</f>
        <v>0</v>
      </c>
      <c r="BF150" s="208">
        <f>SUMIFS(領用表!$L:$L,領用表!$E:$E,$B150,領用表!$B:$B,BF$2&amp;$BI$1)</f>
        <v>0</v>
      </c>
      <c r="BG150" s="207">
        <f t="shared" si="44"/>
        <v>0</v>
      </c>
      <c r="BH150" s="207">
        <f t="shared" si="45"/>
        <v>0</v>
      </c>
      <c r="BI150" s="208">
        <f>SUMIFS(領用表!$L:$L,領用表!$E:$E,$B150,領用表!$B:$B,BI$2&amp;$BI$1)</f>
        <v>0</v>
      </c>
      <c r="BJ150" s="208">
        <f>SUMIFS(領用表!$L:$L,領用表!$E:$E,$B150,領用表!$B:$B,BJ$2&amp;$BI$1)</f>
        <v>0</v>
      </c>
      <c r="BK150" s="208">
        <f>SUMIFS(領用表!$L:$L,領用表!$E:$E,$B150,領用表!$B:$B,BK$2&amp;$BI$1)</f>
        <v>0</v>
      </c>
      <c r="BL150" s="208">
        <f>SUMIFS(領用表!$L:$L,領用表!$E:$E,$B150,領用表!$B:$B,BL$2&amp;$BI$1)</f>
        <v>0</v>
      </c>
      <c r="BM150" s="208">
        <f>SUMIFS(領用表!$L:$L,領用表!$E:$E,$B150,領用表!$B:$B,BM$2&amp;$BI$1)</f>
        <v>0</v>
      </c>
      <c r="BN150" s="208">
        <f>SUMIFS(領用表!$L:$L,領用表!$E:$E,$B150,領用表!$B:$B,BN$2&amp;$BI$1)</f>
        <v>0</v>
      </c>
      <c r="BO150" s="208">
        <f>SUMIFS(領用表!$L:$L,領用表!$E:$E,$B150,領用表!$B:$B,BO$2&amp;$BI$1)</f>
        <v>0</v>
      </c>
      <c r="BP150" s="208">
        <f>SUMIFS(領用表!$L:$L,領用表!$E:$E,$B150,領用表!$B:$B,BP$2&amp;$BI$1)</f>
        <v>0</v>
      </c>
      <c r="BQ150" s="208">
        <f>SUMIFS(領用表!$L:$L,領用表!$E:$E,$B150,領用表!$B:$B,BQ$2&amp;$BI$1)</f>
        <v>0</v>
      </c>
      <c r="BR150" s="208">
        <f>SUMIFS(領用表!$L:$L,領用表!$E:$E,$B150,領用表!$B:$B,BR$2&amp;$BI$1)</f>
        <v>0</v>
      </c>
      <c r="BS150" s="208">
        <f>SUMIFS(領用表!$L:$L,領用表!$E:$E,$B150,領用表!$B:$B,BS$2&amp;$BI$1)</f>
        <v>0</v>
      </c>
      <c r="BT150" s="208">
        <f>SUMIFS(領用表!$L:$L,領用表!$E:$E,$B150,領用表!$B:$B,BT$2&amp;$BI$1)</f>
        <v>0</v>
      </c>
      <c r="BU150" s="208">
        <f t="shared" si="41"/>
        <v>0</v>
      </c>
      <c r="BV150" s="208">
        <f t="shared" si="43"/>
        <v>0</v>
      </c>
      <c r="BW150" s="208">
        <f>SUMIF(Summary!B:B,B150,Summary!DT:DT)</f>
        <v>0</v>
      </c>
      <c r="BX150" s="258"/>
      <c r="BY150" s="340"/>
      <c r="BZ150" s="341" t="s">
        <v>179</v>
      </c>
      <c r="CA150" s="341"/>
    </row>
    <row r="151" spans="1:81" s="118" customFormat="1" ht="15.75" customHeight="1">
      <c r="A151" s="136" t="s">
        <v>180</v>
      </c>
      <c r="B151" s="118">
        <v>1050001</v>
      </c>
      <c r="C151" s="136" t="s">
        <v>557</v>
      </c>
      <c r="D151" s="285"/>
      <c r="E151" s="198" t="s">
        <v>15</v>
      </c>
      <c r="F151" s="349"/>
      <c r="G151" s="349"/>
      <c r="H151" s="349"/>
      <c r="I151" s="349"/>
      <c r="J151" s="349"/>
      <c r="K151" s="349"/>
      <c r="L151" s="349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83"/>
      <c r="AB151" s="283"/>
      <c r="AC151" s="283"/>
      <c r="AD151" s="283"/>
      <c r="AE151" s="283"/>
      <c r="AF151" s="283"/>
      <c r="AG151" s="201"/>
      <c r="AH151" s="201"/>
      <c r="AI151" s="201"/>
      <c r="AJ151" s="201"/>
      <c r="AK151" s="201"/>
      <c r="AL151" s="201"/>
      <c r="AM151" s="201"/>
      <c r="AN151" s="201">
        <v>0</v>
      </c>
      <c r="AO151" s="201">
        <v>0</v>
      </c>
      <c r="AP151" s="201">
        <v>0</v>
      </c>
      <c r="AQ151" s="201">
        <v>0</v>
      </c>
      <c r="AR151" s="201">
        <v>0</v>
      </c>
      <c r="AS151" s="283">
        <f>SUM(AG151:AR151)</f>
        <v>0</v>
      </c>
      <c r="AT151" s="286">
        <f>AS151/12</f>
        <v>0</v>
      </c>
      <c r="AU151" s="201">
        <v>0</v>
      </c>
      <c r="AV151" s="201">
        <v>0</v>
      </c>
      <c r="AW151" s="201">
        <v>0</v>
      </c>
      <c r="AX151" s="201">
        <v>48</v>
      </c>
      <c r="AY151" s="201">
        <v>24</v>
      </c>
      <c r="AZ151" s="203">
        <f>SUMIFS(領用表!$L:$L,領用表!$E:$E,$B151,領用表!$B:$B,AZ$2&amp;$BI$1)</f>
        <v>0</v>
      </c>
      <c r="BA151" s="203">
        <f>SUMIFS(領用表!$L:$L,領用表!$E:$E,$B151,領用表!$B:$B,BA$2&amp;$BI$1)</f>
        <v>0</v>
      </c>
      <c r="BB151" s="203">
        <f>SUMIFS(領用表!$L:$L,領用表!$E:$E,$B151,領用表!$B:$B,BB$2&amp;$BI$1)</f>
        <v>0</v>
      </c>
      <c r="BC151" s="203">
        <f>SUMIFS(領用表!$L:$L,領用表!$E:$E,$B151,領用表!$B:$B,BC$2&amp;$BI$1)</f>
        <v>0</v>
      </c>
      <c r="BD151" s="208">
        <f>SUMIFS(領用表!$L:$L,領用表!$E:$E,$B151,領用表!$B:$B,BD$2&amp;$BI$1)</f>
        <v>0</v>
      </c>
      <c r="BE151" s="208">
        <f>SUMIFS(領用表!$L:$L,領用表!$E:$E,$B151,領用表!$B:$B,BE$2&amp;$BI$1)</f>
        <v>0</v>
      </c>
      <c r="BF151" s="208">
        <f>SUMIFS(領用表!$L:$L,領用表!$E:$E,$B151,領用表!$B:$B,BF$2&amp;$BI$1)</f>
        <v>0</v>
      </c>
      <c r="BG151" s="207">
        <f t="shared" si="44"/>
        <v>72</v>
      </c>
      <c r="BH151" s="207">
        <f t="shared" si="45"/>
        <v>6</v>
      </c>
      <c r="BI151" s="208">
        <f>SUMIFS(領用表!$L:$L,領用表!$E:$E,$B151,領用表!$B:$B,BI$2&amp;$BI$1)</f>
        <v>0</v>
      </c>
      <c r="BJ151" s="208">
        <f>SUMIFS(領用表!$L:$L,領用表!$E:$E,$B151,領用表!$B:$B,BJ$2&amp;$BI$1)</f>
        <v>0</v>
      </c>
      <c r="BK151" s="208">
        <f>SUMIFS(領用表!$L:$L,領用表!$E:$E,$B151,領用表!$B:$B,BK$2&amp;$BI$1)</f>
        <v>0</v>
      </c>
      <c r="BL151" s="208">
        <f>SUMIFS(領用表!$L:$L,領用表!$E:$E,$B151,領用表!$B:$B,BL$2&amp;$BI$1)</f>
        <v>0</v>
      </c>
      <c r="BM151" s="208">
        <f>SUMIFS(領用表!$L:$L,領用表!$E:$E,$B151,領用表!$B:$B,BM$2&amp;$BI$1)</f>
        <v>0</v>
      </c>
      <c r="BN151" s="208">
        <f>SUMIFS(領用表!$L:$L,領用表!$E:$E,$B151,領用表!$B:$B,BN$2&amp;$BI$1)</f>
        <v>0</v>
      </c>
      <c r="BO151" s="208">
        <f>SUMIFS(領用表!$L:$L,領用表!$E:$E,$B151,領用表!$B:$B,BO$2&amp;$BI$1)</f>
        <v>0</v>
      </c>
      <c r="BP151" s="208">
        <f>SUMIFS(領用表!$L:$L,領用表!$E:$E,$B151,領用表!$B:$B,BP$2&amp;$BI$1)</f>
        <v>0</v>
      </c>
      <c r="BQ151" s="208">
        <f>SUMIFS(領用表!$L:$L,領用表!$E:$E,$B151,領用表!$B:$B,BQ$2&amp;$BI$1)</f>
        <v>0</v>
      </c>
      <c r="BR151" s="208">
        <f>SUMIFS(領用表!$L:$L,領用表!$E:$E,$B151,領用表!$B:$B,BR$2&amp;$BI$1)</f>
        <v>0</v>
      </c>
      <c r="BS151" s="208">
        <f>SUMIFS(領用表!$L:$L,領用表!$E:$E,$B151,領用表!$B:$B,BS$2&amp;$BI$1)</f>
        <v>0</v>
      </c>
      <c r="BT151" s="208">
        <f>SUMIFS(領用表!$L:$L,領用表!$E:$E,$B151,領用表!$B:$B,BT$2&amp;$BI$1)</f>
        <v>0</v>
      </c>
      <c r="BU151" s="208">
        <f t="shared" si="41"/>
        <v>0</v>
      </c>
      <c r="BV151" s="208">
        <f t="shared" si="43"/>
        <v>0</v>
      </c>
      <c r="BW151" s="208">
        <f>SUMIF(Summary!B:B,B151,Summary!DT:DT)</f>
        <v>0</v>
      </c>
      <c r="BX151" s="258"/>
      <c r="BY151" s="340"/>
      <c r="BZ151" s="341"/>
      <c r="CA151" s="341"/>
      <c r="CB151" s="136"/>
      <c r="CC151" s="136"/>
    </row>
    <row r="152" spans="1:81" s="118" customFormat="1" ht="15.75" customHeight="1">
      <c r="A152" s="136" t="s">
        <v>181</v>
      </c>
      <c r="B152" s="118">
        <v>1050002</v>
      </c>
      <c r="C152" s="136" t="s">
        <v>558</v>
      </c>
      <c r="D152" s="285"/>
      <c r="E152" s="198" t="s">
        <v>15</v>
      </c>
      <c r="F152" s="349"/>
      <c r="G152" s="349"/>
      <c r="H152" s="349"/>
      <c r="I152" s="349"/>
      <c r="J152" s="349"/>
      <c r="K152" s="349"/>
      <c r="L152" s="349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83"/>
      <c r="AB152" s="283"/>
      <c r="AC152" s="283"/>
      <c r="AD152" s="283"/>
      <c r="AE152" s="283"/>
      <c r="AF152" s="283"/>
      <c r="AG152" s="201"/>
      <c r="AH152" s="201"/>
      <c r="AI152" s="201"/>
      <c r="AJ152" s="201"/>
      <c r="AK152" s="201"/>
      <c r="AL152" s="201"/>
      <c r="AM152" s="201"/>
      <c r="AN152" s="201">
        <v>0</v>
      </c>
      <c r="AO152" s="201">
        <v>0</v>
      </c>
      <c r="AP152" s="201">
        <v>0</v>
      </c>
      <c r="AQ152" s="201">
        <v>0</v>
      </c>
      <c r="AR152" s="201">
        <v>0</v>
      </c>
      <c r="AS152" s="283">
        <f>SUM(AG152:AR152)</f>
        <v>0</v>
      </c>
      <c r="AT152" s="286">
        <f>AS152/12</f>
        <v>0</v>
      </c>
      <c r="AU152" s="201">
        <v>0</v>
      </c>
      <c r="AV152" s="201">
        <v>0</v>
      </c>
      <c r="AW152" s="201">
        <v>0</v>
      </c>
      <c r="AX152" s="201">
        <v>0</v>
      </c>
      <c r="AY152" s="201">
        <v>0</v>
      </c>
      <c r="AZ152" s="203">
        <f>SUMIFS(領用表!$L:$L,領用表!$E:$E,$B152,領用表!$B:$B,AZ$2&amp;$BI$1)</f>
        <v>0</v>
      </c>
      <c r="BA152" s="203">
        <f>SUMIFS(領用表!$L:$L,領用表!$E:$E,$B152,領用表!$B:$B,BA$2&amp;$BI$1)</f>
        <v>0</v>
      </c>
      <c r="BB152" s="203">
        <f>SUMIFS(領用表!$L:$L,領用表!$E:$E,$B152,領用表!$B:$B,BB$2&amp;$BI$1)</f>
        <v>0</v>
      </c>
      <c r="BC152" s="203">
        <f>SUMIFS(領用表!$L:$L,領用表!$E:$E,$B152,領用表!$B:$B,BC$2&amp;$BI$1)</f>
        <v>0</v>
      </c>
      <c r="BD152" s="208">
        <f>SUMIFS(領用表!$L:$L,領用表!$E:$E,$B152,領用表!$B:$B,BD$2&amp;$BI$1)</f>
        <v>0</v>
      </c>
      <c r="BE152" s="208">
        <f>SUMIFS(領用表!$L:$L,領用表!$E:$E,$B152,領用表!$B:$B,BE$2&amp;$BI$1)</f>
        <v>0</v>
      </c>
      <c r="BF152" s="208">
        <f>SUMIFS(領用表!$L:$L,領用表!$E:$E,$B152,領用表!$B:$B,BF$2&amp;$BI$1)</f>
        <v>0</v>
      </c>
      <c r="BG152" s="207">
        <f t="shared" si="44"/>
        <v>0</v>
      </c>
      <c r="BH152" s="207">
        <f t="shared" si="45"/>
        <v>0</v>
      </c>
      <c r="BI152" s="208">
        <f>SUMIFS(領用表!$L:$L,領用表!$E:$E,$B152,領用表!$B:$B,BI$2&amp;$BI$1)</f>
        <v>0</v>
      </c>
      <c r="BJ152" s="208">
        <f>SUMIFS(領用表!$L:$L,領用表!$E:$E,$B152,領用表!$B:$B,BJ$2&amp;$BI$1)</f>
        <v>0</v>
      </c>
      <c r="BK152" s="208">
        <f>SUMIFS(領用表!$L:$L,領用表!$E:$E,$B152,領用表!$B:$B,BK$2&amp;$BI$1)</f>
        <v>0</v>
      </c>
      <c r="BL152" s="208">
        <f>SUMIFS(領用表!$L:$L,領用表!$E:$E,$B152,領用表!$B:$B,BL$2&amp;$BI$1)</f>
        <v>0</v>
      </c>
      <c r="BM152" s="208">
        <f>SUMIFS(領用表!$L:$L,領用表!$E:$E,$B152,領用表!$B:$B,BM$2&amp;$BI$1)</f>
        <v>0</v>
      </c>
      <c r="BN152" s="208">
        <f>SUMIFS(領用表!$L:$L,領用表!$E:$E,$B152,領用表!$B:$B,BN$2&amp;$BI$1)</f>
        <v>0</v>
      </c>
      <c r="BO152" s="208">
        <f>SUMIFS(領用表!$L:$L,領用表!$E:$E,$B152,領用表!$B:$B,BO$2&amp;$BI$1)</f>
        <v>0</v>
      </c>
      <c r="BP152" s="208">
        <f>SUMIFS(領用表!$L:$L,領用表!$E:$E,$B152,領用表!$B:$B,BP$2&amp;$BI$1)</f>
        <v>0</v>
      </c>
      <c r="BQ152" s="208">
        <f>SUMIFS(領用表!$L:$L,領用表!$E:$E,$B152,領用表!$B:$B,BQ$2&amp;$BI$1)</f>
        <v>0</v>
      </c>
      <c r="BR152" s="208">
        <f>SUMIFS(領用表!$L:$L,領用表!$E:$E,$B152,領用表!$B:$B,BR$2&amp;$BI$1)</f>
        <v>0</v>
      </c>
      <c r="BS152" s="208">
        <f>SUMIFS(領用表!$L:$L,領用表!$E:$E,$B152,領用表!$B:$B,BS$2&amp;$BI$1)</f>
        <v>0</v>
      </c>
      <c r="BT152" s="208">
        <f>SUMIFS(領用表!$L:$L,領用表!$E:$E,$B152,領用表!$B:$B,BT$2&amp;$BI$1)</f>
        <v>0</v>
      </c>
      <c r="BU152" s="208">
        <f t="shared" si="41"/>
        <v>0</v>
      </c>
      <c r="BV152" s="208">
        <f t="shared" si="43"/>
        <v>0</v>
      </c>
      <c r="BW152" s="208">
        <f>SUMIF(Summary!B:B,B152,Summary!DT:DT)</f>
        <v>0</v>
      </c>
      <c r="BX152" s="258"/>
      <c r="BY152" s="340"/>
      <c r="BZ152" s="341"/>
      <c r="CA152" s="341"/>
      <c r="CB152" s="136"/>
      <c r="CC152" s="136"/>
    </row>
    <row r="153" spans="1:81" s="118" customFormat="1" ht="15.75" hidden="1" customHeight="1">
      <c r="A153" s="136" t="s">
        <v>182</v>
      </c>
      <c r="B153" s="118">
        <v>1050003</v>
      </c>
      <c r="C153" s="136" t="s">
        <v>559</v>
      </c>
      <c r="D153" s="285"/>
      <c r="E153" s="198" t="s">
        <v>15</v>
      </c>
      <c r="F153" s="349"/>
      <c r="G153" s="349"/>
      <c r="H153" s="349"/>
      <c r="I153" s="349"/>
      <c r="J153" s="349"/>
      <c r="K153" s="349"/>
      <c r="L153" s="349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83"/>
      <c r="AB153" s="283"/>
      <c r="AC153" s="283"/>
      <c r="AD153" s="283"/>
      <c r="AE153" s="283"/>
      <c r="AF153" s="283"/>
      <c r="AG153" s="201"/>
      <c r="AH153" s="201"/>
      <c r="AI153" s="201"/>
      <c r="AJ153" s="201"/>
      <c r="AK153" s="201"/>
      <c r="AL153" s="201"/>
      <c r="AM153" s="201"/>
      <c r="AN153" s="201">
        <v>0</v>
      </c>
      <c r="AO153" s="201">
        <v>0</v>
      </c>
      <c r="AP153" s="201">
        <v>0</v>
      </c>
      <c r="AQ153" s="201">
        <v>0</v>
      </c>
      <c r="AR153" s="201">
        <v>0</v>
      </c>
      <c r="AS153" s="283">
        <f>SUM(AG153:AR153)</f>
        <v>0</v>
      </c>
      <c r="AT153" s="286">
        <f>AS153/12</f>
        <v>0</v>
      </c>
      <c r="AU153" s="201">
        <v>0</v>
      </c>
      <c r="AV153" s="201">
        <v>0</v>
      </c>
      <c r="AW153" s="201">
        <v>0</v>
      </c>
      <c r="AX153" s="201">
        <v>0</v>
      </c>
      <c r="AY153" s="201">
        <v>0</v>
      </c>
      <c r="AZ153" s="203">
        <f>SUMIFS(領用表!$L:$L,領用表!$E:$E,$B153,領用表!$B:$B,AZ$2&amp;$BI$1)</f>
        <v>0</v>
      </c>
      <c r="BA153" s="203">
        <f>SUMIFS(領用表!$L:$L,領用表!$E:$E,$B153,領用表!$B:$B,BA$2&amp;$BI$1)</f>
        <v>0</v>
      </c>
      <c r="BB153" s="203">
        <f>SUMIFS(領用表!$L:$L,領用表!$E:$E,$B153,領用表!$B:$B,BB$2&amp;$BI$1)</f>
        <v>0</v>
      </c>
      <c r="BC153" s="203">
        <f>SUMIFS(領用表!$L:$L,領用表!$E:$E,$B153,領用表!$B:$B,BC$2&amp;$BI$1)</f>
        <v>0</v>
      </c>
      <c r="BD153" s="208">
        <f>SUMIFS(領用表!$L:$L,領用表!$E:$E,$B153,領用表!$B:$B,BD$2&amp;$BI$1)</f>
        <v>0</v>
      </c>
      <c r="BE153" s="208">
        <f>SUMIFS(領用表!$L:$L,領用表!$E:$E,$B153,領用表!$B:$B,BE$2&amp;$BI$1)</f>
        <v>0</v>
      </c>
      <c r="BF153" s="208">
        <f>SUMIFS(領用表!$L:$L,領用表!$E:$E,$B153,領用表!$B:$B,BF$2&amp;$BI$1)</f>
        <v>0</v>
      </c>
      <c r="BG153" s="207">
        <f t="shared" si="44"/>
        <v>0</v>
      </c>
      <c r="BH153" s="207">
        <f t="shared" si="45"/>
        <v>0</v>
      </c>
      <c r="BI153" s="208">
        <f>SUMIFS(領用表!$L:$L,領用表!$E:$E,$B153,領用表!$B:$B,BI$2&amp;$BI$1)</f>
        <v>0</v>
      </c>
      <c r="BJ153" s="208">
        <f>SUMIFS(領用表!$L:$L,領用表!$E:$E,$B153,領用表!$B:$B,BJ$2&amp;$BI$1)</f>
        <v>0</v>
      </c>
      <c r="BK153" s="208">
        <f>SUMIFS(領用表!$L:$L,領用表!$E:$E,$B153,領用表!$B:$B,BK$2&amp;$BI$1)</f>
        <v>0</v>
      </c>
      <c r="BL153" s="208">
        <f>SUMIFS(領用表!$L:$L,領用表!$E:$E,$B153,領用表!$B:$B,BL$2&amp;$BI$1)</f>
        <v>0</v>
      </c>
      <c r="BM153" s="208">
        <f>SUMIFS(領用表!$L:$L,領用表!$E:$E,$B153,領用表!$B:$B,BM$2&amp;$BI$1)</f>
        <v>0</v>
      </c>
      <c r="BN153" s="208">
        <f>SUMIFS(領用表!$L:$L,領用表!$E:$E,$B153,領用表!$B:$B,BN$2&amp;$BI$1)</f>
        <v>0</v>
      </c>
      <c r="BO153" s="208">
        <f>SUMIFS(領用表!$L:$L,領用表!$E:$E,$B153,領用表!$B:$B,BO$2&amp;$BI$1)</f>
        <v>0</v>
      </c>
      <c r="BP153" s="208">
        <f>SUMIFS(領用表!$L:$L,領用表!$E:$E,$B153,領用表!$B:$B,BP$2&amp;$BI$1)</f>
        <v>0</v>
      </c>
      <c r="BQ153" s="208">
        <f>SUMIFS(領用表!$L:$L,領用表!$E:$E,$B153,領用表!$B:$B,BQ$2&amp;$BI$1)</f>
        <v>0</v>
      </c>
      <c r="BR153" s="208">
        <f>SUMIFS(領用表!$L:$L,領用表!$E:$E,$B153,領用表!$B:$B,BR$2&amp;$BI$1)</f>
        <v>0</v>
      </c>
      <c r="BS153" s="208">
        <f>SUMIFS(領用表!$L:$L,領用表!$E:$E,$B153,領用表!$B:$B,BS$2&amp;$BI$1)</f>
        <v>0</v>
      </c>
      <c r="BT153" s="208">
        <f>SUMIFS(領用表!$L:$L,領用表!$E:$E,$B153,領用表!$B:$B,BT$2&amp;$BI$1)</f>
        <v>0</v>
      </c>
      <c r="BU153" s="208">
        <f t="shared" si="41"/>
        <v>0</v>
      </c>
      <c r="BV153" s="208">
        <f t="shared" si="43"/>
        <v>0</v>
      </c>
      <c r="BW153" s="208">
        <f>SUMIF(Summary!B:B,B153,Summary!DT:DT)</f>
        <v>0</v>
      </c>
      <c r="BX153" s="258"/>
      <c r="BY153" s="340"/>
      <c r="BZ153" s="341"/>
      <c r="CA153" s="341"/>
      <c r="CB153" s="136"/>
      <c r="CC153" s="136"/>
    </row>
    <row r="154" spans="1:81" s="118" customFormat="1" ht="15" customHeight="1">
      <c r="A154" s="136" t="s">
        <v>183</v>
      </c>
      <c r="B154" s="118">
        <v>6050008</v>
      </c>
      <c r="C154" s="136" t="s">
        <v>560</v>
      </c>
      <c r="D154" s="285"/>
      <c r="E154" s="198" t="s">
        <v>15</v>
      </c>
      <c r="F154" s="349">
        <v>72</v>
      </c>
      <c r="G154" s="349"/>
      <c r="H154" s="349"/>
      <c r="I154" s="349"/>
      <c r="J154" s="349"/>
      <c r="K154" s="349"/>
      <c r="L154" s="349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83"/>
      <c r="AB154" s="283"/>
      <c r="AC154" s="283"/>
      <c r="AD154" s="283"/>
      <c r="AE154" s="283"/>
      <c r="AF154" s="283"/>
      <c r="AG154" s="201"/>
      <c r="AH154" s="201"/>
      <c r="AI154" s="201"/>
      <c r="AJ154" s="201"/>
      <c r="AK154" s="201"/>
      <c r="AL154" s="201"/>
      <c r="AM154" s="201"/>
      <c r="AN154" s="201"/>
      <c r="AO154" s="201"/>
      <c r="AP154" s="201"/>
      <c r="AQ154" s="201"/>
      <c r="AR154" s="201"/>
      <c r="AS154" s="283"/>
      <c r="AT154" s="286"/>
      <c r="AU154" s="201"/>
      <c r="AV154" s="201"/>
      <c r="AW154" s="201"/>
      <c r="AX154" s="201"/>
      <c r="AY154" s="201"/>
      <c r="AZ154" s="203">
        <f>SUMIFS(領用表!$L:$L,領用表!$E:$E,$B154,領用表!$B:$B,AZ$2&amp;$BI$1)</f>
        <v>0</v>
      </c>
      <c r="BA154" s="203">
        <f>SUMIFS(領用表!$L:$L,領用表!$E:$E,$B154,領用表!$B:$B,BA$2&amp;$BI$1)</f>
        <v>0</v>
      </c>
      <c r="BB154" s="203">
        <f>SUMIFS(領用表!$L:$L,領用表!$E:$E,$B154,領用表!$B:$B,BB$2&amp;$BI$1)</f>
        <v>0</v>
      </c>
      <c r="BC154" s="203">
        <f>SUMIFS(領用表!$L:$L,領用表!$E:$E,$B154,領用表!$B:$B,BC$2&amp;$BI$1)</f>
        <v>0</v>
      </c>
      <c r="BD154" s="208">
        <f>SUMIFS(領用表!$L:$L,領用表!$E:$E,$B154,領用表!$B:$B,BD$2&amp;$BI$1)</f>
        <v>0</v>
      </c>
      <c r="BE154" s="208">
        <f>SUMIFS(領用表!$L:$L,領用表!$E:$E,$B154,領用表!$B:$B,BE$2&amp;$BI$1)</f>
        <v>0</v>
      </c>
      <c r="BF154" s="208">
        <f>SUMIFS(領用表!$L:$L,領用表!$E:$E,$B154,領用表!$B:$B,BF$2&amp;$BI$1)</f>
        <v>0</v>
      </c>
      <c r="BG154" s="207">
        <f t="shared" si="44"/>
        <v>0</v>
      </c>
      <c r="BH154" s="207">
        <f t="shared" si="45"/>
        <v>0</v>
      </c>
      <c r="BI154" s="208">
        <f>SUMIFS(領用表!$L:$L,領用表!$E:$E,$B154,領用表!$B:$B,BI$2&amp;$BI$1)</f>
        <v>0</v>
      </c>
      <c r="BJ154" s="208">
        <f>SUMIFS(領用表!$L:$L,領用表!$E:$E,$B154,領用表!$B:$B,BJ$2&amp;$BI$1)</f>
        <v>0</v>
      </c>
      <c r="BK154" s="208">
        <f>SUMIFS(領用表!$L:$L,領用表!$E:$E,$B154,領用表!$B:$B,BK$2&amp;$BI$1)</f>
        <v>0</v>
      </c>
      <c r="BL154" s="208">
        <f>SUMIFS(領用表!$L:$L,領用表!$E:$E,$B154,領用表!$B:$B,BL$2&amp;$BI$1)</f>
        <v>0</v>
      </c>
      <c r="BM154" s="208">
        <f>SUMIFS(領用表!$L:$L,領用表!$E:$E,$B154,領用表!$B:$B,BM$2&amp;$BI$1)</f>
        <v>0</v>
      </c>
      <c r="BN154" s="208">
        <f>SUMIFS(領用表!$L:$L,領用表!$E:$E,$B154,領用表!$B:$B,BN$2&amp;$BI$1)</f>
        <v>0</v>
      </c>
      <c r="BO154" s="208">
        <f>SUMIFS(領用表!$L:$L,領用表!$E:$E,$B154,領用表!$B:$B,BO$2&amp;$BI$1)</f>
        <v>0</v>
      </c>
      <c r="BP154" s="208">
        <f>SUMIFS(領用表!$L:$L,領用表!$E:$E,$B154,領用表!$B:$B,BP$2&amp;$BI$1)</f>
        <v>0</v>
      </c>
      <c r="BQ154" s="208">
        <f>SUMIFS(領用表!$L:$L,領用表!$E:$E,$B154,領用表!$B:$B,BQ$2&amp;$BI$1)</f>
        <v>0</v>
      </c>
      <c r="BR154" s="208">
        <f>SUMIFS(領用表!$L:$L,領用表!$E:$E,$B154,領用表!$B:$B,BR$2&amp;$BI$1)</f>
        <v>0</v>
      </c>
      <c r="BS154" s="208">
        <f>SUMIFS(領用表!$L:$L,領用表!$E:$E,$B154,領用表!$B:$B,BS$2&amp;$BI$1)</f>
        <v>0</v>
      </c>
      <c r="BT154" s="208">
        <f>SUMIFS(領用表!$L:$L,領用表!$E:$E,$B154,領用表!$B:$B,BT$2&amp;$BI$1)</f>
        <v>0</v>
      </c>
      <c r="BU154" s="208">
        <f t="shared" si="41"/>
        <v>0</v>
      </c>
      <c r="BV154" s="208">
        <f t="shared" si="43"/>
        <v>0</v>
      </c>
      <c r="BW154" s="208">
        <f>SUMIF(Summary!B:B,B154,Summary!DT:DT)</f>
        <v>0</v>
      </c>
      <c r="BX154" s="258"/>
      <c r="BY154" s="340"/>
      <c r="BZ154" s="341"/>
      <c r="CA154" s="341" t="s">
        <v>184</v>
      </c>
      <c r="CB154" s="136"/>
      <c r="CC154" s="136"/>
    </row>
    <row r="155" spans="1:81" s="118" customFormat="1" ht="15" customHeight="1">
      <c r="A155" s="136" t="s">
        <v>185</v>
      </c>
      <c r="B155" s="118">
        <v>1060001</v>
      </c>
      <c r="C155" s="136" t="s">
        <v>561</v>
      </c>
      <c r="D155" s="285"/>
      <c r="E155" s="198" t="s">
        <v>15</v>
      </c>
      <c r="F155" s="349">
        <v>21</v>
      </c>
      <c r="G155" s="349"/>
      <c r="H155" s="349"/>
      <c r="I155" s="349"/>
      <c r="J155" s="349"/>
      <c r="K155" s="349"/>
      <c r="L155" s="349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  <c r="AA155" s="283"/>
      <c r="AB155" s="283"/>
      <c r="AC155" s="283"/>
      <c r="AD155" s="283"/>
      <c r="AE155" s="283"/>
      <c r="AF155" s="283"/>
      <c r="AG155" s="201"/>
      <c r="AH155" s="201"/>
      <c r="AI155" s="201"/>
      <c r="AJ155" s="201"/>
      <c r="AK155" s="201"/>
      <c r="AL155" s="201"/>
      <c r="AM155" s="201"/>
      <c r="AN155" s="201"/>
      <c r="AO155" s="201"/>
      <c r="AP155" s="201"/>
      <c r="AQ155" s="201"/>
      <c r="AR155" s="201"/>
      <c r="AS155" s="283">
        <f>SUM(AG155:AR155)</f>
        <v>0</v>
      </c>
      <c r="AT155" s="286">
        <f>AS155/12</f>
        <v>0</v>
      </c>
      <c r="AU155" s="201">
        <v>10</v>
      </c>
      <c r="AV155" s="201">
        <v>16</v>
      </c>
      <c r="AW155" s="201">
        <v>10</v>
      </c>
      <c r="AX155" s="201">
        <v>20</v>
      </c>
      <c r="AY155" s="201">
        <v>20</v>
      </c>
      <c r="AZ155" s="203">
        <f>SUMIFS(領用表!$L:$L,領用表!$E:$E,$B155,領用表!$B:$B,AZ$2&amp;$BI$1)</f>
        <v>0</v>
      </c>
      <c r="BA155" s="203">
        <f>SUMIFS(領用表!$L:$L,領用表!$E:$E,$B155,領用表!$B:$B,BA$2&amp;$BI$1)</f>
        <v>0</v>
      </c>
      <c r="BB155" s="203">
        <f>SUMIFS(領用表!$L:$L,領用表!$E:$E,$B155,領用表!$B:$B,BB$2&amp;$BI$1)</f>
        <v>0</v>
      </c>
      <c r="BC155" s="203">
        <f>SUMIFS(領用表!$L:$L,領用表!$E:$E,$B155,領用表!$B:$B,BC$2&amp;$BI$1)</f>
        <v>0</v>
      </c>
      <c r="BD155" s="208">
        <f>SUMIFS(領用表!$L:$L,領用表!$E:$E,$B155,領用表!$B:$B,BD$2&amp;$BI$1)</f>
        <v>0</v>
      </c>
      <c r="BE155" s="208">
        <f>SUMIFS(領用表!$L:$L,領用表!$E:$E,$B155,領用表!$B:$B,BE$2&amp;$BI$1)</f>
        <v>0</v>
      </c>
      <c r="BF155" s="208">
        <f>SUMIFS(領用表!$L:$L,領用表!$E:$E,$B155,領用表!$B:$B,BF$2&amp;$BI$1)</f>
        <v>0</v>
      </c>
      <c r="BG155" s="207">
        <f t="shared" si="44"/>
        <v>76</v>
      </c>
      <c r="BH155" s="207">
        <f t="shared" si="45"/>
        <v>6.333333333333333</v>
      </c>
      <c r="BI155" s="208">
        <f>SUMIFS(領用表!$L:$L,領用表!$E:$E,$B155,領用表!$B:$B,BI$2&amp;$BI$1)</f>
        <v>0</v>
      </c>
      <c r="BJ155" s="208">
        <f>SUMIFS(領用表!$L:$L,領用表!$E:$E,$B155,領用表!$B:$B,BJ$2&amp;$BI$1)</f>
        <v>0</v>
      </c>
      <c r="BK155" s="208">
        <f>SUMIFS(領用表!$L:$L,領用表!$E:$E,$B155,領用表!$B:$B,BK$2&amp;$BI$1)</f>
        <v>0</v>
      </c>
      <c r="BL155" s="208">
        <f>SUMIFS(領用表!$L:$L,領用表!$E:$E,$B155,領用表!$B:$B,BL$2&amp;$BI$1)</f>
        <v>0</v>
      </c>
      <c r="BM155" s="208">
        <f>SUMIFS(領用表!$L:$L,領用表!$E:$E,$B155,領用表!$B:$B,BM$2&amp;$BI$1)</f>
        <v>0</v>
      </c>
      <c r="BN155" s="208">
        <f>SUMIFS(領用表!$L:$L,領用表!$E:$E,$B155,領用表!$B:$B,BN$2&amp;$BI$1)</f>
        <v>0</v>
      </c>
      <c r="BO155" s="208">
        <f>SUMIFS(領用表!$L:$L,領用表!$E:$E,$B155,領用表!$B:$B,BO$2&amp;$BI$1)</f>
        <v>0</v>
      </c>
      <c r="BP155" s="208">
        <f>SUMIFS(領用表!$L:$L,領用表!$E:$E,$B155,領用表!$B:$B,BP$2&amp;$BI$1)</f>
        <v>0</v>
      </c>
      <c r="BQ155" s="208">
        <f>SUMIFS(領用表!$L:$L,領用表!$E:$E,$B155,領用表!$B:$B,BQ$2&amp;$BI$1)</f>
        <v>0</v>
      </c>
      <c r="BR155" s="208">
        <f>SUMIFS(領用表!$L:$L,領用表!$E:$E,$B155,領用表!$B:$B,BR$2&amp;$BI$1)</f>
        <v>0</v>
      </c>
      <c r="BS155" s="208">
        <f>SUMIFS(領用表!$L:$L,領用表!$E:$E,$B155,領用表!$B:$B,BS$2&amp;$BI$1)</f>
        <v>0</v>
      </c>
      <c r="BT155" s="208">
        <f>SUMIFS(領用表!$L:$L,領用表!$E:$E,$B155,領用表!$B:$B,BT$2&amp;$BI$1)</f>
        <v>0</v>
      </c>
      <c r="BU155" s="208">
        <f t="shared" si="41"/>
        <v>0</v>
      </c>
      <c r="BV155" s="208">
        <f t="shared" si="43"/>
        <v>0</v>
      </c>
      <c r="BW155" s="208">
        <f>SUMIF(Summary!B:B,B155,Summary!DT:DT)</f>
        <v>0</v>
      </c>
      <c r="BX155" s="258"/>
      <c r="BY155" s="340"/>
      <c r="BZ155" s="341"/>
      <c r="CA155" s="341"/>
      <c r="CB155" s="136"/>
      <c r="CC155" s="136"/>
    </row>
    <row r="156" spans="1:81" s="118" customFormat="1" ht="15" customHeight="1">
      <c r="A156" s="136" t="s">
        <v>186</v>
      </c>
      <c r="B156" s="118">
        <v>6070002</v>
      </c>
      <c r="C156" s="136" t="s">
        <v>562</v>
      </c>
      <c r="D156" s="285"/>
      <c r="E156" s="198" t="s">
        <v>15</v>
      </c>
      <c r="F156" s="349"/>
      <c r="G156" s="349"/>
      <c r="H156" s="349"/>
      <c r="I156" s="349"/>
      <c r="J156" s="349"/>
      <c r="K156" s="349"/>
      <c r="L156" s="349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83"/>
      <c r="AB156" s="283"/>
      <c r="AC156" s="283"/>
      <c r="AD156" s="283"/>
      <c r="AE156" s="283"/>
      <c r="AF156" s="283"/>
      <c r="AG156" s="201"/>
      <c r="AH156" s="201"/>
      <c r="AI156" s="201"/>
      <c r="AJ156" s="201"/>
      <c r="AK156" s="201"/>
      <c r="AL156" s="201"/>
      <c r="AM156" s="201"/>
      <c r="AN156" s="201"/>
      <c r="AO156" s="201"/>
      <c r="AP156" s="201"/>
      <c r="AQ156" s="201"/>
      <c r="AR156" s="201"/>
      <c r="AS156" s="347" t="s">
        <v>49</v>
      </c>
      <c r="AT156" s="347" t="s">
        <v>49</v>
      </c>
      <c r="AU156" s="347" t="s">
        <v>49</v>
      </c>
      <c r="AV156" s="347" t="s">
        <v>49</v>
      </c>
      <c r="AW156" s="347" t="s">
        <v>49</v>
      </c>
      <c r="AX156" s="347" t="s">
        <v>49</v>
      </c>
      <c r="AY156" s="201">
        <v>60</v>
      </c>
      <c r="AZ156" s="203">
        <f>SUMIFS(領用表!$L:$L,領用表!$E:$E,$B156,領用表!$B:$B,AZ$2&amp;$BI$1)</f>
        <v>0</v>
      </c>
      <c r="BA156" s="203">
        <f>SUMIFS(領用表!$L:$L,領用表!$E:$E,$B156,領用表!$B:$B,BA$2&amp;$BI$1)</f>
        <v>0</v>
      </c>
      <c r="BB156" s="203">
        <f>SUMIFS(領用表!$L:$L,領用表!$E:$E,$B156,領用表!$B:$B,BB$2&amp;$BI$1)</f>
        <v>0</v>
      </c>
      <c r="BC156" s="203">
        <f>SUMIFS(領用表!$L:$L,領用表!$E:$E,$B156,領用表!$B:$B,BC$2&amp;$BI$1)</f>
        <v>0</v>
      </c>
      <c r="BD156" s="208">
        <f>SUMIFS(領用表!$L:$L,領用表!$E:$E,$B156,領用表!$B:$B,BD$2&amp;$BI$1)</f>
        <v>0</v>
      </c>
      <c r="BE156" s="208">
        <f>SUMIFS(領用表!$L:$L,領用表!$E:$E,$B156,領用表!$B:$B,BE$2&amp;$BI$1)</f>
        <v>0</v>
      </c>
      <c r="BF156" s="208">
        <f>SUMIFS(領用表!$L:$L,領用表!$E:$E,$B156,領用表!$B:$B,BF$2&amp;$BI$1)</f>
        <v>0</v>
      </c>
      <c r="BG156" s="207">
        <f t="shared" si="44"/>
        <v>60</v>
      </c>
      <c r="BH156" s="207">
        <f t="shared" si="45"/>
        <v>7.5</v>
      </c>
      <c r="BI156" s="208">
        <f>SUMIFS(領用表!$L:$L,領用表!$E:$E,$B156,領用表!$B:$B,BI$2&amp;$BI$1)</f>
        <v>0</v>
      </c>
      <c r="BJ156" s="332">
        <f>SUMIFS(領用表!$L:$L,領用表!$E:$E,$B156,領用表!$B:$B,BJ$2&amp;$BI$1)</f>
        <v>0</v>
      </c>
      <c r="BK156" s="332">
        <f>SUMIFS(領用表!$L:$L,領用表!$E:$E,$B156,領用表!$B:$B,BK$2&amp;$BI$1)</f>
        <v>0</v>
      </c>
      <c r="BL156" s="332">
        <f>SUMIFS(領用表!$L:$L,領用表!$E:$E,$B156,領用表!$B:$B,BL$2&amp;$BI$1)</f>
        <v>0</v>
      </c>
      <c r="BM156" s="332">
        <f>SUMIFS(領用表!$L:$L,領用表!$E:$E,$B156,領用表!$B:$B,BM$2&amp;$BI$1)</f>
        <v>0</v>
      </c>
      <c r="BN156" s="332">
        <f>SUMIFS(領用表!$L:$L,領用表!$E:$E,$B156,領用表!$B:$B,BN$2&amp;$BI$1)</f>
        <v>0</v>
      </c>
      <c r="BO156" s="332">
        <f>SUMIFS(領用表!$L:$L,領用表!$E:$E,$B156,領用表!$B:$B,BO$2&amp;$BI$1)</f>
        <v>0</v>
      </c>
      <c r="BP156" s="332">
        <f>SUMIFS(領用表!$L:$L,領用表!$E:$E,$B156,領用表!$B:$B,BP$2&amp;$BI$1)</f>
        <v>0</v>
      </c>
      <c r="BQ156" s="332">
        <f>SUMIFS(領用表!$L:$L,領用表!$E:$E,$B156,領用表!$B:$B,BQ$2&amp;$BI$1)</f>
        <v>0</v>
      </c>
      <c r="BR156" s="332">
        <f>SUMIFS(領用表!$L:$L,領用表!$E:$E,$B156,領用表!$B:$B,BR$2&amp;$BI$1)</f>
        <v>0</v>
      </c>
      <c r="BS156" s="332">
        <f>SUMIFS(領用表!$L:$L,領用表!$E:$E,$B156,領用表!$B:$B,BS$2&amp;$BI$1)</f>
        <v>0</v>
      </c>
      <c r="BT156" s="332">
        <f>SUMIFS(領用表!$L:$L,領用表!$E:$E,$B156,領用表!$B:$B,BT$2&amp;$BI$1)</f>
        <v>0</v>
      </c>
      <c r="BU156" s="332">
        <f t="shared" si="41"/>
        <v>0</v>
      </c>
      <c r="BV156" s="332">
        <f t="shared" si="43"/>
        <v>0</v>
      </c>
      <c r="BW156" s="332">
        <f>SUMIF(Summary!B:B,B156,Summary!DT:DT)</f>
        <v>0</v>
      </c>
      <c r="BX156" s="338"/>
      <c r="BY156" s="342"/>
      <c r="BZ156" s="341"/>
      <c r="CA156" s="341"/>
      <c r="CB156" s="136"/>
      <c r="CC156" s="136"/>
    </row>
    <row r="157" spans="1:81" s="118" customFormat="1" ht="15" customHeight="1">
      <c r="A157" s="136" t="s">
        <v>187</v>
      </c>
      <c r="B157" s="118" t="e">
        <v>#N/A</v>
      </c>
      <c r="C157" s="136" t="s">
        <v>563</v>
      </c>
      <c r="D157" s="285"/>
      <c r="E157" s="198" t="s">
        <v>15</v>
      </c>
      <c r="F157" s="349"/>
      <c r="G157" s="349"/>
      <c r="H157" s="349"/>
      <c r="I157" s="349"/>
      <c r="J157" s="349"/>
      <c r="K157" s="349"/>
      <c r="L157" s="349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83"/>
      <c r="AB157" s="283"/>
      <c r="AC157" s="283"/>
      <c r="AD157" s="283"/>
      <c r="AE157" s="283"/>
      <c r="AF157" s="283"/>
      <c r="AG157" s="201"/>
      <c r="AH157" s="201"/>
      <c r="AI157" s="201"/>
      <c r="AJ157" s="201"/>
      <c r="AK157" s="201"/>
      <c r="AL157" s="201"/>
      <c r="AM157" s="201"/>
      <c r="AN157" s="201"/>
      <c r="AO157" s="201"/>
      <c r="AP157" s="201"/>
      <c r="AQ157" s="201"/>
      <c r="AR157" s="201"/>
      <c r="AS157" s="333"/>
      <c r="AT157" s="337"/>
      <c r="AU157" s="292"/>
      <c r="AV157" s="292"/>
      <c r="AW157" s="292"/>
      <c r="AX157" s="292"/>
      <c r="AY157" s="201"/>
      <c r="AZ157" s="203">
        <f>SUMIFS(領用表!$L:$L,領用表!$E:$E,$B157,領用表!$B:$B,AZ$2&amp;$BI$1)</f>
        <v>0</v>
      </c>
      <c r="BA157" s="203">
        <f>SUMIFS(領用表!$L:$L,領用表!$E:$E,$B157,領用表!$B:$B,BA$2&amp;$BI$1)</f>
        <v>0</v>
      </c>
      <c r="BB157" s="203">
        <f>SUMIFS(領用表!$L:$L,領用表!$E:$E,$B157,領用表!$B:$B,BB$2&amp;$BI$1)</f>
        <v>0</v>
      </c>
      <c r="BC157" s="203">
        <f>SUMIFS(領用表!$L:$L,領用表!$E:$E,$B157,領用表!$B:$B,BC$2&amp;$BI$1)</f>
        <v>0</v>
      </c>
      <c r="BD157" s="208">
        <f>SUMIFS(領用表!$L:$L,領用表!$E:$E,$B157,領用表!$B:$B,BD$2&amp;$BI$1)</f>
        <v>0</v>
      </c>
      <c r="BE157" s="208">
        <f>SUMIFS(領用表!$L:$L,領用表!$E:$E,$B157,領用表!$B:$B,BE$2&amp;$BI$1)</f>
        <v>0</v>
      </c>
      <c r="BF157" s="208">
        <f>SUMIFS(領用表!$L:$L,領用表!$E:$E,$B157,領用表!$B:$B,BF$2&amp;$BI$1)</f>
        <v>0</v>
      </c>
      <c r="BG157" s="207">
        <f t="shared" si="44"/>
        <v>0</v>
      </c>
      <c r="BH157" s="207">
        <f t="shared" si="45"/>
        <v>0</v>
      </c>
      <c r="BI157" s="208">
        <f>SUMIFS(領用表!$L:$L,領用表!$E:$E,$B157,領用表!$B:$B,BI$2&amp;$BI$1)</f>
        <v>0</v>
      </c>
      <c r="BJ157" s="332">
        <f>SUMIFS(領用表!$L:$L,領用表!$E:$E,$B157,領用表!$B:$B,BJ$2&amp;$BI$1)</f>
        <v>0</v>
      </c>
      <c r="BK157" s="332">
        <f>SUMIFS(領用表!$L:$L,領用表!$E:$E,$B157,領用表!$B:$B,BK$2&amp;$BI$1)</f>
        <v>0</v>
      </c>
      <c r="BL157" s="332">
        <f>SUMIFS(領用表!$L:$L,領用表!$E:$E,$B157,領用表!$B:$B,BL$2&amp;$BI$1)</f>
        <v>0</v>
      </c>
      <c r="BM157" s="332">
        <f>SUMIFS(領用表!$L:$L,領用表!$E:$E,$B157,領用表!$B:$B,BM$2&amp;$BI$1)</f>
        <v>0</v>
      </c>
      <c r="BN157" s="332">
        <f>SUMIFS(領用表!$L:$L,領用表!$E:$E,$B157,領用表!$B:$B,BN$2&amp;$BI$1)</f>
        <v>0</v>
      </c>
      <c r="BO157" s="332">
        <f>SUMIFS(領用表!$L:$L,領用表!$E:$E,$B157,領用表!$B:$B,BO$2&amp;$BI$1)</f>
        <v>0</v>
      </c>
      <c r="BP157" s="332">
        <f>SUMIFS(領用表!$L:$L,領用表!$E:$E,$B157,領用表!$B:$B,BP$2&amp;$BI$1)</f>
        <v>0</v>
      </c>
      <c r="BQ157" s="332">
        <f>SUMIFS(領用表!$L:$L,領用表!$E:$E,$B157,領用表!$B:$B,BQ$2&amp;$BI$1)</f>
        <v>0</v>
      </c>
      <c r="BR157" s="332">
        <f>SUMIFS(領用表!$L:$L,領用表!$E:$E,$B157,領用表!$B:$B,BR$2&amp;$BI$1)</f>
        <v>0</v>
      </c>
      <c r="BS157" s="332">
        <f>SUMIFS(領用表!$L:$L,領用表!$E:$E,$B157,領用表!$B:$B,BS$2&amp;$BI$1)</f>
        <v>0</v>
      </c>
      <c r="BT157" s="332">
        <f>SUMIFS(領用表!$L:$L,領用表!$E:$E,$B157,領用表!$B:$B,BT$2&amp;$BI$1)</f>
        <v>0</v>
      </c>
      <c r="BU157" s="332">
        <f t="shared" si="41"/>
        <v>0</v>
      </c>
      <c r="BV157" s="332">
        <f t="shared" si="43"/>
        <v>0</v>
      </c>
      <c r="BW157" s="332">
        <f>SUMIF(Summary!B:B,B157,Summary!DT:DT)</f>
        <v>0</v>
      </c>
      <c r="BX157" s="338"/>
      <c r="BY157" s="342"/>
      <c r="BZ157" s="341" t="s">
        <v>188</v>
      </c>
      <c r="CA157" s="341"/>
      <c r="CB157" s="136"/>
      <c r="CC157" s="136"/>
    </row>
    <row r="158" spans="1:81" s="118" customFormat="1" ht="15" customHeight="1">
      <c r="A158" s="136" t="s">
        <v>189</v>
      </c>
      <c r="B158" s="118" t="e">
        <v>#N/A</v>
      </c>
      <c r="C158" s="136" t="s">
        <v>564</v>
      </c>
      <c r="D158" s="285"/>
      <c r="E158" s="198" t="s">
        <v>15</v>
      </c>
      <c r="F158" s="349"/>
      <c r="G158" s="349"/>
      <c r="H158" s="349"/>
      <c r="I158" s="349"/>
      <c r="J158" s="349"/>
      <c r="K158" s="349"/>
      <c r="L158" s="349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83"/>
      <c r="AB158" s="283"/>
      <c r="AC158" s="283"/>
      <c r="AD158" s="283"/>
      <c r="AE158" s="283"/>
      <c r="AF158" s="283"/>
      <c r="AG158" s="201"/>
      <c r="AH158" s="201"/>
      <c r="AI158" s="201"/>
      <c r="AJ158" s="201"/>
      <c r="AK158" s="201"/>
      <c r="AL158" s="201"/>
      <c r="AM158" s="201"/>
      <c r="AN158" s="201"/>
      <c r="AO158" s="201"/>
      <c r="AP158" s="201"/>
      <c r="AQ158" s="201"/>
      <c r="AR158" s="201"/>
      <c r="AS158" s="333"/>
      <c r="AT158" s="337"/>
      <c r="AU158" s="292"/>
      <c r="AV158" s="292"/>
      <c r="AW158" s="292"/>
      <c r="AX158" s="292"/>
      <c r="AY158" s="201"/>
      <c r="AZ158" s="203">
        <f>SUMIFS(領用表!$L:$L,領用表!$E:$E,$B158,領用表!$B:$B,AZ$2&amp;$BI$1)</f>
        <v>0</v>
      </c>
      <c r="BA158" s="203">
        <f>SUMIFS(領用表!$L:$L,領用表!$E:$E,$B158,領用表!$B:$B,BA$2&amp;$BI$1)</f>
        <v>0</v>
      </c>
      <c r="BB158" s="203">
        <f>SUMIFS(領用表!$L:$L,領用表!$E:$E,$B158,領用表!$B:$B,BB$2&amp;$BI$1)</f>
        <v>0</v>
      </c>
      <c r="BC158" s="203">
        <f>SUMIFS(領用表!$L:$L,領用表!$E:$E,$B158,領用表!$B:$B,BC$2&amp;$BI$1)</f>
        <v>0</v>
      </c>
      <c r="BD158" s="208">
        <f>SUMIFS(領用表!$L:$L,領用表!$E:$E,$B158,領用表!$B:$B,BD$2&amp;$BI$1)</f>
        <v>0</v>
      </c>
      <c r="BE158" s="208">
        <f>SUMIFS(領用表!$L:$L,領用表!$E:$E,$B158,領用表!$B:$B,BE$2&amp;$BI$1)</f>
        <v>0</v>
      </c>
      <c r="BF158" s="208">
        <f>SUMIFS(領用表!$L:$L,領用表!$E:$E,$B158,領用表!$B:$B,BF$2&amp;$BI$1)</f>
        <v>0</v>
      </c>
      <c r="BG158" s="207">
        <f t="shared" si="44"/>
        <v>0</v>
      </c>
      <c r="BH158" s="207">
        <f t="shared" si="45"/>
        <v>0</v>
      </c>
      <c r="BI158" s="208">
        <f>SUMIFS(領用表!$L:$L,領用表!$E:$E,$B158,領用表!$B:$B,BI$2&amp;$BI$1)</f>
        <v>0</v>
      </c>
      <c r="BJ158" s="332">
        <f>SUMIFS(領用表!$L:$L,領用表!$E:$E,$B158,領用表!$B:$B,BJ$2&amp;$BI$1)</f>
        <v>0</v>
      </c>
      <c r="BK158" s="332">
        <f>SUMIFS(領用表!$L:$L,領用表!$E:$E,$B158,領用表!$B:$B,BK$2&amp;$BI$1)</f>
        <v>0</v>
      </c>
      <c r="BL158" s="332">
        <f>SUMIFS(領用表!$L:$L,領用表!$E:$E,$B158,領用表!$B:$B,BL$2&amp;$BI$1)</f>
        <v>0</v>
      </c>
      <c r="BM158" s="332">
        <f>SUMIFS(領用表!$L:$L,領用表!$E:$E,$B158,領用表!$B:$B,BM$2&amp;$BI$1)</f>
        <v>0</v>
      </c>
      <c r="BN158" s="332">
        <f>SUMIFS(領用表!$L:$L,領用表!$E:$E,$B158,領用表!$B:$B,BN$2&amp;$BI$1)</f>
        <v>0</v>
      </c>
      <c r="BO158" s="332">
        <f>SUMIFS(領用表!$L:$L,領用表!$E:$E,$B158,領用表!$B:$B,BO$2&amp;$BI$1)</f>
        <v>0</v>
      </c>
      <c r="BP158" s="332">
        <f>SUMIFS(領用表!$L:$L,領用表!$E:$E,$B158,領用表!$B:$B,BP$2&amp;$BI$1)</f>
        <v>0</v>
      </c>
      <c r="BQ158" s="332">
        <f>SUMIFS(領用表!$L:$L,領用表!$E:$E,$B158,領用表!$B:$B,BQ$2&amp;$BI$1)</f>
        <v>0</v>
      </c>
      <c r="BR158" s="332">
        <f>SUMIFS(領用表!$L:$L,領用表!$E:$E,$B158,領用表!$B:$B,BR$2&amp;$BI$1)</f>
        <v>0</v>
      </c>
      <c r="BS158" s="332">
        <f>SUMIFS(領用表!$L:$L,領用表!$E:$E,$B158,領用表!$B:$B,BS$2&amp;$BI$1)</f>
        <v>0</v>
      </c>
      <c r="BT158" s="332">
        <f>SUMIFS(領用表!$L:$L,領用表!$E:$E,$B158,領用表!$B:$B,BT$2&amp;$BI$1)</f>
        <v>0</v>
      </c>
      <c r="BU158" s="332">
        <f t="shared" si="41"/>
        <v>0</v>
      </c>
      <c r="BV158" s="332">
        <f t="shared" si="43"/>
        <v>0</v>
      </c>
      <c r="BW158" s="332">
        <f>SUMIF(Summary!B:B,B158,Summary!DT:DT)</f>
        <v>0</v>
      </c>
      <c r="BX158" s="338"/>
      <c r="BY158" s="342"/>
      <c r="BZ158" s="341" t="s">
        <v>190</v>
      </c>
      <c r="CA158" s="341"/>
      <c r="CB158" s="136"/>
      <c r="CC158" s="136"/>
    </row>
    <row r="159" spans="1:81" s="118" customFormat="1" ht="15" customHeight="1">
      <c r="A159" s="136" t="s">
        <v>191</v>
      </c>
      <c r="B159" s="118">
        <v>6060001</v>
      </c>
      <c r="C159" s="136" t="s">
        <v>565</v>
      </c>
      <c r="D159" s="285"/>
      <c r="E159" s="198" t="s">
        <v>15</v>
      </c>
      <c r="F159" s="349"/>
      <c r="G159" s="349"/>
      <c r="H159" s="349"/>
      <c r="I159" s="349"/>
      <c r="J159" s="349"/>
      <c r="K159" s="349"/>
      <c r="L159" s="349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83"/>
      <c r="AB159" s="283"/>
      <c r="AC159" s="283"/>
      <c r="AD159" s="283"/>
      <c r="AE159" s="283"/>
      <c r="AF159" s="283"/>
      <c r="AG159" s="201"/>
      <c r="AH159" s="201"/>
      <c r="AI159" s="201"/>
      <c r="AJ159" s="201"/>
      <c r="AK159" s="201"/>
      <c r="AL159" s="201"/>
      <c r="AM159" s="201"/>
      <c r="AN159" s="201">
        <v>5</v>
      </c>
      <c r="AO159" s="201">
        <v>0</v>
      </c>
      <c r="AP159" s="201">
        <v>5</v>
      </c>
      <c r="AQ159" s="201">
        <v>7</v>
      </c>
      <c r="AR159" s="201">
        <v>0</v>
      </c>
      <c r="AS159" s="283">
        <f t="shared" ref="AS159:AS171" si="46">SUM(AG159:AR159)</f>
        <v>17</v>
      </c>
      <c r="AT159" s="286">
        <f t="shared" ref="AT159:AT171" si="47">AS159/12</f>
        <v>1.4166666666666667</v>
      </c>
      <c r="AU159" s="201">
        <v>10</v>
      </c>
      <c r="AV159" s="201">
        <v>16</v>
      </c>
      <c r="AW159" s="201">
        <v>10</v>
      </c>
      <c r="AX159" s="201">
        <v>0</v>
      </c>
      <c r="AY159" s="201">
        <v>0</v>
      </c>
      <c r="AZ159" s="203">
        <f>SUMIFS(領用表!$L:$L,領用表!$E:$E,$B159,領用表!$B:$B,AZ$2&amp;$BI$1)</f>
        <v>0</v>
      </c>
      <c r="BA159" s="203">
        <f>SUMIFS(領用表!$L:$L,領用表!$E:$E,$B159,領用表!$B:$B,BA$2&amp;$BI$1)</f>
        <v>0</v>
      </c>
      <c r="BB159" s="203">
        <f>SUMIFS(領用表!$L:$L,領用表!$E:$E,$B159,領用表!$B:$B,BB$2&amp;$BI$1)</f>
        <v>0</v>
      </c>
      <c r="BC159" s="203">
        <f>SUMIFS(領用表!$L:$L,領用表!$E:$E,$B159,領用表!$B:$B,BC$2&amp;$BI$1)</f>
        <v>0</v>
      </c>
      <c r="BD159" s="208">
        <f>SUMIFS(領用表!$L:$L,領用表!$E:$E,$B159,領用表!$B:$B,BD$2&amp;$BI$1)</f>
        <v>0</v>
      </c>
      <c r="BE159" s="208">
        <f>SUMIFS(領用表!$L:$L,領用表!$E:$E,$B159,領用表!$B:$B,BE$2&amp;$BI$1)</f>
        <v>0</v>
      </c>
      <c r="BF159" s="208">
        <f>SUMIFS(領用表!$L:$L,領用表!$E:$E,$B159,領用表!$B:$B,BF$2&amp;$BI$1)</f>
        <v>0</v>
      </c>
      <c r="BG159" s="207">
        <f t="shared" si="44"/>
        <v>36</v>
      </c>
      <c r="BH159" s="207">
        <f t="shared" si="45"/>
        <v>3</v>
      </c>
      <c r="BI159" s="208">
        <f>SUMIFS(領用表!$L:$L,領用表!$E:$E,$B159,領用表!$B:$B,BI$2&amp;$BI$1)</f>
        <v>0</v>
      </c>
      <c r="BJ159" s="208">
        <f>SUMIFS(領用表!$L:$L,領用表!$E:$E,$B159,領用表!$B:$B,BJ$2&amp;$BI$1)</f>
        <v>0</v>
      </c>
      <c r="BK159" s="208">
        <f>SUMIFS(領用表!$L:$L,領用表!$E:$E,$B159,領用表!$B:$B,BK$2&amp;$BI$1)</f>
        <v>0</v>
      </c>
      <c r="BL159" s="208">
        <f>SUMIFS(領用表!$L:$L,領用表!$E:$E,$B159,領用表!$B:$B,BL$2&amp;$BI$1)</f>
        <v>0</v>
      </c>
      <c r="BM159" s="208">
        <f>SUMIFS(領用表!$L:$L,領用表!$E:$E,$B159,領用表!$B:$B,BM$2&amp;$BI$1)</f>
        <v>0</v>
      </c>
      <c r="BN159" s="208">
        <f>SUMIFS(領用表!$L:$L,領用表!$E:$E,$B159,領用表!$B:$B,BN$2&amp;$BI$1)</f>
        <v>0</v>
      </c>
      <c r="BO159" s="208">
        <f>SUMIFS(領用表!$L:$L,領用表!$E:$E,$B159,領用表!$B:$B,BO$2&amp;$BI$1)</f>
        <v>0</v>
      </c>
      <c r="BP159" s="208">
        <f>SUMIFS(領用表!$L:$L,領用表!$E:$E,$B159,領用表!$B:$B,BP$2&amp;$BI$1)</f>
        <v>0</v>
      </c>
      <c r="BQ159" s="208">
        <f>SUMIFS(領用表!$L:$L,領用表!$E:$E,$B159,領用表!$B:$B,BQ$2&amp;$BI$1)</f>
        <v>0</v>
      </c>
      <c r="BR159" s="208">
        <f>SUMIFS(領用表!$L:$L,領用表!$E:$E,$B159,領用表!$B:$B,BR$2&amp;$BI$1)</f>
        <v>0</v>
      </c>
      <c r="BS159" s="208">
        <f>SUMIFS(領用表!$L:$L,領用表!$E:$E,$B159,領用表!$B:$B,BS$2&amp;$BI$1)</f>
        <v>0</v>
      </c>
      <c r="BT159" s="208">
        <f>SUMIFS(領用表!$L:$L,領用表!$E:$E,$B159,領用表!$B:$B,BT$2&amp;$BI$1)</f>
        <v>0</v>
      </c>
      <c r="BU159" s="208">
        <f t="shared" si="41"/>
        <v>0</v>
      </c>
      <c r="BV159" s="208">
        <f t="shared" si="43"/>
        <v>0</v>
      </c>
      <c r="BW159" s="208">
        <f>SUMIF(Summary!B:B,B159,Summary!DT:DT)</f>
        <v>0</v>
      </c>
      <c r="BX159" s="258"/>
      <c r="BY159" s="340"/>
      <c r="BZ159" s="341" t="s">
        <v>192</v>
      </c>
      <c r="CA159" s="341"/>
      <c r="CB159" s="136"/>
      <c r="CC159" s="136"/>
    </row>
    <row r="160" spans="1:81" s="118" customFormat="1" ht="15.75" customHeight="1">
      <c r="A160" s="136" t="s">
        <v>193</v>
      </c>
      <c r="B160" s="118">
        <v>6230002</v>
      </c>
      <c r="C160" s="136" t="s">
        <v>566</v>
      </c>
      <c r="D160" s="285"/>
      <c r="E160" s="198" t="s">
        <v>15</v>
      </c>
      <c r="F160" s="349">
        <v>50</v>
      </c>
      <c r="G160" s="349"/>
      <c r="H160" s="349"/>
      <c r="I160" s="349"/>
      <c r="J160" s="349"/>
      <c r="K160" s="349"/>
      <c r="L160" s="349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83"/>
      <c r="AB160" s="283"/>
      <c r="AC160" s="283"/>
      <c r="AD160" s="283"/>
      <c r="AE160" s="283"/>
      <c r="AF160" s="283"/>
      <c r="AG160" s="201"/>
      <c r="AH160" s="201"/>
      <c r="AI160" s="201"/>
      <c r="AJ160" s="201"/>
      <c r="AK160" s="201"/>
      <c r="AL160" s="201"/>
      <c r="AM160" s="201"/>
      <c r="AN160" s="201">
        <v>0</v>
      </c>
      <c r="AO160" s="201">
        <v>0</v>
      </c>
      <c r="AP160" s="201">
        <v>0</v>
      </c>
      <c r="AQ160" s="201">
        <v>0</v>
      </c>
      <c r="AR160" s="201">
        <v>0</v>
      </c>
      <c r="AS160" s="283">
        <f t="shared" si="46"/>
        <v>0</v>
      </c>
      <c r="AT160" s="286">
        <f t="shared" si="47"/>
        <v>0</v>
      </c>
      <c r="AU160" s="201">
        <v>0</v>
      </c>
      <c r="AV160" s="201">
        <v>80</v>
      </c>
      <c r="AW160" s="201">
        <v>0</v>
      </c>
      <c r="AX160" s="201">
        <v>0</v>
      </c>
      <c r="AY160" s="201">
        <v>0</v>
      </c>
      <c r="AZ160" s="203">
        <f>SUMIFS(領用表!$L:$L,領用表!$E:$E,$B160,領用表!$B:$B,AZ$2&amp;$BI$1)</f>
        <v>0</v>
      </c>
      <c r="BA160" s="203">
        <f>SUMIFS(領用表!$L:$L,領用表!$E:$E,$B160,領用表!$B:$B,BA$2&amp;$BI$1)</f>
        <v>0</v>
      </c>
      <c r="BB160" s="203">
        <f>SUMIFS(領用表!$L:$L,領用表!$E:$E,$B160,領用表!$B:$B,BB$2&amp;$BI$1)</f>
        <v>0</v>
      </c>
      <c r="BC160" s="203">
        <f>SUMIFS(領用表!$L:$L,領用表!$E:$E,$B160,領用表!$B:$B,BC$2&amp;$BI$1)</f>
        <v>0</v>
      </c>
      <c r="BD160" s="208">
        <f>SUMIFS(領用表!$L:$L,領用表!$E:$E,$B160,領用表!$B:$B,BD$2&amp;$BI$1)</f>
        <v>0</v>
      </c>
      <c r="BE160" s="208">
        <f>SUMIFS(領用表!$L:$L,領用表!$E:$E,$B160,領用表!$B:$B,BE$2&amp;$BI$1)</f>
        <v>0</v>
      </c>
      <c r="BF160" s="208">
        <f>SUMIFS(領用表!$L:$L,領用表!$E:$E,$B160,領用表!$B:$B,BF$2&amp;$BI$1)</f>
        <v>0</v>
      </c>
      <c r="BG160" s="207">
        <f t="shared" si="44"/>
        <v>80</v>
      </c>
      <c r="BH160" s="207">
        <f t="shared" si="45"/>
        <v>6.666666666666667</v>
      </c>
      <c r="BI160" s="208">
        <f>SUMIFS(領用表!$L:$L,領用表!$E:$E,$B160,領用表!$B:$B,BI$2&amp;$BI$1)</f>
        <v>0</v>
      </c>
      <c r="BJ160" s="208">
        <f>SUMIFS(領用表!$L:$L,領用表!$E:$E,$B160,領用表!$B:$B,BJ$2&amp;$BI$1)</f>
        <v>0</v>
      </c>
      <c r="BK160" s="208">
        <f>SUMIFS(領用表!$L:$L,領用表!$E:$E,$B160,領用表!$B:$B,BK$2&amp;$BI$1)</f>
        <v>0</v>
      </c>
      <c r="BL160" s="208">
        <f>SUMIFS(領用表!$L:$L,領用表!$E:$E,$B160,領用表!$B:$B,BL$2&amp;$BI$1)</f>
        <v>0</v>
      </c>
      <c r="BM160" s="208">
        <f>SUMIFS(領用表!$L:$L,領用表!$E:$E,$B160,領用表!$B:$B,BM$2&amp;$BI$1)</f>
        <v>0</v>
      </c>
      <c r="BN160" s="208">
        <f>SUMIFS(領用表!$L:$L,領用表!$E:$E,$B160,領用表!$B:$B,BN$2&amp;$BI$1)</f>
        <v>0</v>
      </c>
      <c r="BO160" s="208">
        <f>SUMIFS(領用表!$L:$L,領用表!$E:$E,$B160,領用表!$B:$B,BO$2&amp;$BI$1)</f>
        <v>0</v>
      </c>
      <c r="BP160" s="208">
        <f>SUMIFS(領用表!$L:$L,領用表!$E:$E,$B160,領用表!$B:$B,BP$2&amp;$BI$1)</f>
        <v>0</v>
      </c>
      <c r="BQ160" s="208">
        <f>SUMIFS(領用表!$L:$L,領用表!$E:$E,$B160,領用表!$B:$B,BQ$2&amp;$BI$1)</f>
        <v>0</v>
      </c>
      <c r="BR160" s="208">
        <f>SUMIFS(領用表!$L:$L,領用表!$E:$E,$B160,領用表!$B:$B,BR$2&amp;$BI$1)</f>
        <v>0</v>
      </c>
      <c r="BS160" s="208">
        <f>SUMIFS(領用表!$L:$L,領用表!$E:$E,$B160,領用表!$B:$B,BS$2&amp;$BI$1)</f>
        <v>0</v>
      </c>
      <c r="BT160" s="208">
        <f>SUMIFS(領用表!$L:$L,領用表!$E:$E,$B160,領用表!$B:$B,BT$2&amp;$BI$1)</f>
        <v>0</v>
      </c>
      <c r="BU160" s="208">
        <f t="shared" si="41"/>
        <v>0</v>
      </c>
      <c r="BV160" s="208">
        <f t="shared" si="43"/>
        <v>0</v>
      </c>
      <c r="BW160" s="208">
        <f>SUMIF(Summary!B:B,B160,Summary!DT:DT)</f>
        <v>0</v>
      </c>
      <c r="BX160" s="258"/>
      <c r="BY160" s="340"/>
      <c r="BZ160" s="341"/>
      <c r="CA160" s="341"/>
      <c r="CB160" s="136"/>
      <c r="CC160" s="136"/>
    </row>
    <row r="161" spans="1:81" s="118" customFormat="1" ht="15.75" hidden="1" customHeight="1">
      <c r="A161" s="136" t="s">
        <v>194</v>
      </c>
      <c r="B161" s="118" t="e">
        <v>#N/A</v>
      </c>
      <c r="C161" s="136" t="s">
        <v>567</v>
      </c>
      <c r="D161" s="285"/>
      <c r="E161" s="198" t="s">
        <v>15</v>
      </c>
      <c r="F161" s="349"/>
      <c r="G161" s="349"/>
      <c r="H161" s="349"/>
      <c r="I161" s="349"/>
      <c r="J161" s="349"/>
      <c r="K161" s="349"/>
      <c r="L161" s="349"/>
      <c r="AG161" s="348"/>
      <c r="AH161" s="348"/>
      <c r="AI161" s="348"/>
      <c r="AJ161" s="348"/>
      <c r="AK161" s="348"/>
      <c r="AL161" s="348"/>
      <c r="AM161" s="348"/>
      <c r="AN161" s="201">
        <v>0</v>
      </c>
      <c r="AO161" s="201">
        <v>0</v>
      </c>
      <c r="AP161" s="201">
        <v>0</v>
      </c>
      <c r="AQ161" s="201">
        <v>0</v>
      </c>
      <c r="AR161" s="201">
        <v>0</v>
      </c>
      <c r="AS161" s="283">
        <f t="shared" si="46"/>
        <v>0</v>
      </c>
      <c r="AT161" s="286">
        <f t="shared" si="47"/>
        <v>0</v>
      </c>
      <c r="AU161" s="201">
        <v>0</v>
      </c>
      <c r="AV161" s="201">
        <v>0</v>
      </c>
      <c r="AW161" s="201">
        <v>0</v>
      </c>
      <c r="AX161" s="201">
        <v>0</v>
      </c>
      <c r="AY161" s="201">
        <v>0</v>
      </c>
      <c r="AZ161" s="203">
        <f>SUMIFS(領用表!$L:$L,領用表!$E:$E,$B161,領用表!$B:$B,AZ$2&amp;$BI$1)</f>
        <v>0</v>
      </c>
      <c r="BA161" s="203">
        <f>SUMIFS(領用表!$L:$L,領用表!$E:$E,$B161,領用表!$B:$B,BA$2&amp;$BI$1)</f>
        <v>0</v>
      </c>
      <c r="BB161" s="203">
        <f>SUMIFS(領用表!$L:$L,領用表!$E:$E,$B161,領用表!$B:$B,BB$2&amp;$BI$1)</f>
        <v>0</v>
      </c>
      <c r="BC161" s="203">
        <f>SUMIFS(領用表!$L:$L,領用表!$E:$E,$B161,領用表!$B:$B,BC$2&amp;$BI$1)</f>
        <v>0</v>
      </c>
      <c r="BD161" s="208">
        <f>SUMIFS(領用表!$L:$L,領用表!$E:$E,$B161,領用表!$B:$B,BD$2&amp;$BI$1)</f>
        <v>0</v>
      </c>
      <c r="BE161" s="208">
        <f>SUMIFS(領用表!$L:$L,領用表!$E:$E,$B161,領用表!$B:$B,BE$2&amp;$BI$1)</f>
        <v>0</v>
      </c>
      <c r="BF161" s="208">
        <f>SUMIFS(領用表!$L:$L,領用表!$E:$E,$B161,領用表!$B:$B,BF$2&amp;$BI$1)</f>
        <v>0</v>
      </c>
      <c r="BG161" s="207">
        <f t="shared" si="44"/>
        <v>0</v>
      </c>
      <c r="BH161" s="207">
        <f t="shared" si="45"/>
        <v>0</v>
      </c>
      <c r="BI161" s="208">
        <f>SUMIFS(領用表!$L:$L,領用表!$E:$E,$B161,領用表!$B:$B,BI$2&amp;$BI$1)</f>
        <v>0</v>
      </c>
      <c r="BJ161" s="208">
        <f>SUMIFS(領用表!$L:$L,領用表!$E:$E,$B161,領用表!$B:$B,BJ$2&amp;$BI$1)</f>
        <v>0</v>
      </c>
      <c r="BK161" s="208">
        <f>SUMIFS(領用表!$L:$L,領用表!$E:$E,$B161,領用表!$B:$B,BK$2&amp;$BI$1)</f>
        <v>0</v>
      </c>
      <c r="BL161" s="208">
        <f>SUMIFS(領用表!$L:$L,領用表!$E:$E,$B161,領用表!$B:$B,BL$2&amp;$BI$1)</f>
        <v>0</v>
      </c>
      <c r="BM161" s="208">
        <f>SUMIFS(領用表!$L:$L,領用表!$E:$E,$B161,領用表!$B:$B,BM$2&amp;$BI$1)</f>
        <v>0</v>
      </c>
      <c r="BN161" s="208">
        <f>SUMIFS(領用表!$L:$L,領用表!$E:$E,$B161,領用表!$B:$B,BN$2&amp;$BI$1)</f>
        <v>0</v>
      </c>
      <c r="BO161" s="208">
        <f>SUMIFS(領用表!$L:$L,領用表!$E:$E,$B161,領用表!$B:$B,BO$2&amp;$BI$1)</f>
        <v>0</v>
      </c>
      <c r="BP161" s="208">
        <f>SUMIFS(領用表!$L:$L,領用表!$E:$E,$B161,領用表!$B:$B,BP$2&amp;$BI$1)</f>
        <v>0</v>
      </c>
      <c r="BQ161" s="208">
        <f>SUMIFS(領用表!$L:$L,領用表!$E:$E,$B161,領用表!$B:$B,BQ$2&amp;$BI$1)</f>
        <v>0</v>
      </c>
      <c r="BR161" s="208">
        <f>SUMIFS(領用表!$L:$L,領用表!$E:$E,$B161,領用表!$B:$B,BR$2&amp;$BI$1)</f>
        <v>0</v>
      </c>
      <c r="BS161" s="208">
        <f>SUMIFS(領用表!$L:$L,領用表!$E:$E,$B161,領用表!$B:$B,BS$2&amp;$BI$1)</f>
        <v>0</v>
      </c>
      <c r="BT161" s="208">
        <f>SUMIFS(領用表!$L:$L,領用表!$E:$E,$B161,領用表!$B:$B,BT$2&amp;$BI$1)</f>
        <v>0</v>
      </c>
      <c r="BU161" s="208">
        <f t="shared" si="41"/>
        <v>0</v>
      </c>
      <c r="BV161" s="208">
        <f t="shared" si="43"/>
        <v>0</v>
      </c>
      <c r="BW161" s="208">
        <f>SUMIF(Summary!B:B,B161,Summary!DT:DT)</f>
        <v>0</v>
      </c>
      <c r="BX161" s="258"/>
      <c r="BY161" s="340"/>
      <c r="BZ161" s="341"/>
      <c r="CA161" s="341"/>
    </row>
    <row r="162" spans="1:81" s="118" customFormat="1" ht="15.75" hidden="1" customHeight="1">
      <c r="A162" s="136" t="s">
        <v>195</v>
      </c>
      <c r="B162" s="118" t="e">
        <v>#N/A</v>
      </c>
      <c r="C162" s="136" t="s">
        <v>568</v>
      </c>
      <c r="D162" s="285"/>
      <c r="E162" s="198" t="s">
        <v>15</v>
      </c>
      <c r="F162" s="349"/>
      <c r="G162" s="349"/>
      <c r="H162" s="349"/>
      <c r="I162" s="349"/>
      <c r="J162" s="349"/>
      <c r="K162" s="349"/>
      <c r="L162" s="349"/>
      <c r="M162" s="333"/>
      <c r="N162" s="333"/>
      <c r="O162" s="333"/>
      <c r="P162" s="333"/>
      <c r="Q162" s="333"/>
      <c r="R162" s="333"/>
      <c r="S162" s="333"/>
      <c r="T162" s="333"/>
      <c r="U162" s="333"/>
      <c r="V162" s="333"/>
      <c r="W162" s="333"/>
      <c r="X162" s="333"/>
      <c r="Y162" s="333"/>
      <c r="Z162" s="333"/>
      <c r="AA162" s="333"/>
      <c r="AB162" s="333"/>
      <c r="AC162" s="333"/>
      <c r="AD162" s="333"/>
      <c r="AE162" s="333"/>
      <c r="AF162" s="333"/>
      <c r="AG162" s="292"/>
      <c r="AH162" s="292"/>
      <c r="AI162" s="292"/>
      <c r="AJ162" s="292"/>
      <c r="AK162" s="292"/>
      <c r="AL162" s="292"/>
      <c r="AM162" s="292"/>
      <c r="AN162" s="201">
        <v>0</v>
      </c>
      <c r="AO162" s="201">
        <v>0</v>
      </c>
      <c r="AP162" s="201">
        <v>0</v>
      </c>
      <c r="AQ162" s="201">
        <v>0</v>
      </c>
      <c r="AR162" s="201">
        <v>0</v>
      </c>
      <c r="AS162" s="283">
        <f t="shared" si="46"/>
        <v>0</v>
      </c>
      <c r="AT162" s="286">
        <f t="shared" si="47"/>
        <v>0</v>
      </c>
      <c r="AU162" s="201">
        <v>0</v>
      </c>
      <c r="AV162" s="201">
        <v>0</v>
      </c>
      <c r="AW162" s="201">
        <v>0</v>
      </c>
      <c r="AX162" s="201">
        <v>0</v>
      </c>
      <c r="AY162" s="201">
        <v>0</v>
      </c>
      <c r="AZ162" s="203">
        <f>SUMIFS(領用表!$L:$L,領用表!$E:$E,$B162,領用表!$B:$B,AZ$2&amp;$BI$1)</f>
        <v>0</v>
      </c>
      <c r="BA162" s="203">
        <f>SUMIFS(領用表!$L:$L,領用表!$E:$E,$B162,領用表!$B:$B,BA$2&amp;$BI$1)</f>
        <v>0</v>
      </c>
      <c r="BB162" s="203">
        <f>SUMIFS(領用表!$L:$L,領用表!$E:$E,$B162,領用表!$B:$B,BB$2&amp;$BI$1)</f>
        <v>0</v>
      </c>
      <c r="BC162" s="203">
        <f>SUMIFS(領用表!$L:$L,領用表!$E:$E,$B162,領用表!$B:$B,BC$2&amp;$BI$1)</f>
        <v>0</v>
      </c>
      <c r="BD162" s="208">
        <f>SUMIFS(領用表!$L:$L,領用表!$E:$E,$B162,領用表!$B:$B,BD$2&amp;$BI$1)</f>
        <v>0</v>
      </c>
      <c r="BE162" s="208">
        <f>SUMIFS(領用表!$L:$L,領用表!$E:$E,$B162,領用表!$B:$B,BE$2&amp;$BI$1)</f>
        <v>0</v>
      </c>
      <c r="BF162" s="208">
        <f>SUMIFS(領用表!$L:$L,領用表!$E:$E,$B162,領用表!$B:$B,BF$2&amp;$BI$1)</f>
        <v>0</v>
      </c>
      <c r="BG162" s="207">
        <f t="shared" si="44"/>
        <v>0</v>
      </c>
      <c r="BH162" s="207">
        <f t="shared" si="45"/>
        <v>0</v>
      </c>
      <c r="BI162" s="208">
        <f>SUMIFS(領用表!$L:$L,領用表!$E:$E,$B162,領用表!$B:$B,BI$2&amp;$BI$1)</f>
        <v>0</v>
      </c>
      <c r="BJ162" s="208">
        <f>SUMIFS(領用表!$L:$L,領用表!$E:$E,$B162,領用表!$B:$B,BJ$2&amp;$BI$1)</f>
        <v>0</v>
      </c>
      <c r="BK162" s="208">
        <f>SUMIFS(領用表!$L:$L,領用表!$E:$E,$B162,領用表!$B:$B,BK$2&amp;$BI$1)</f>
        <v>0</v>
      </c>
      <c r="BL162" s="208">
        <f>SUMIFS(領用表!$L:$L,領用表!$E:$E,$B162,領用表!$B:$B,BL$2&amp;$BI$1)</f>
        <v>0</v>
      </c>
      <c r="BM162" s="208">
        <f>SUMIFS(領用表!$L:$L,領用表!$E:$E,$B162,領用表!$B:$B,BM$2&amp;$BI$1)</f>
        <v>0</v>
      </c>
      <c r="BN162" s="208">
        <f>SUMIFS(領用表!$L:$L,領用表!$E:$E,$B162,領用表!$B:$B,BN$2&amp;$BI$1)</f>
        <v>0</v>
      </c>
      <c r="BO162" s="208">
        <f>SUMIFS(領用表!$L:$L,領用表!$E:$E,$B162,領用表!$B:$B,BO$2&amp;$BI$1)</f>
        <v>0</v>
      </c>
      <c r="BP162" s="208">
        <f>SUMIFS(領用表!$L:$L,領用表!$E:$E,$B162,領用表!$B:$B,BP$2&amp;$BI$1)</f>
        <v>0</v>
      </c>
      <c r="BQ162" s="208">
        <f>SUMIFS(領用表!$L:$L,領用表!$E:$E,$B162,領用表!$B:$B,BQ$2&amp;$BI$1)</f>
        <v>0</v>
      </c>
      <c r="BR162" s="208">
        <f>SUMIFS(領用表!$L:$L,領用表!$E:$E,$B162,領用表!$B:$B,BR$2&amp;$BI$1)</f>
        <v>0</v>
      </c>
      <c r="BS162" s="208">
        <f>SUMIFS(領用表!$L:$L,領用表!$E:$E,$B162,領用表!$B:$B,BS$2&amp;$BI$1)</f>
        <v>0</v>
      </c>
      <c r="BT162" s="208">
        <f>SUMIFS(領用表!$L:$L,領用表!$E:$E,$B162,領用表!$B:$B,BT$2&amp;$BI$1)</f>
        <v>0</v>
      </c>
      <c r="BU162" s="208">
        <f t="shared" si="41"/>
        <v>0</v>
      </c>
      <c r="BV162" s="208">
        <f t="shared" si="43"/>
        <v>0</v>
      </c>
      <c r="BW162" s="208">
        <f>SUMIF(Summary!B:B,B162,Summary!DT:DT)</f>
        <v>0</v>
      </c>
      <c r="BX162" s="258"/>
      <c r="BY162" s="340"/>
      <c r="BZ162" s="341"/>
      <c r="CA162" s="341"/>
    </row>
    <row r="163" spans="1:81" s="118" customFormat="1" ht="15.75" hidden="1" customHeight="1">
      <c r="A163" s="136" t="s">
        <v>196</v>
      </c>
      <c r="B163" s="118" t="e">
        <v>#N/A</v>
      </c>
      <c r="C163" s="136" t="s">
        <v>569</v>
      </c>
      <c r="D163" s="285"/>
      <c r="E163" s="198" t="s">
        <v>15</v>
      </c>
      <c r="F163" s="349"/>
      <c r="G163" s="349"/>
      <c r="H163" s="349"/>
      <c r="I163" s="349"/>
      <c r="J163" s="349"/>
      <c r="K163" s="349"/>
      <c r="L163" s="349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83"/>
      <c r="AB163" s="283"/>
      <c r="AC163" s="283"/>
      <c r="AD163" s="283"/>
      <c r="AE163" s="283"/>
      <c r="AF163" s="283"/>
      <c r="AG163" s="201"/>
      <c r="AH163" s="201"/>
      <c r="AI163" s="201"/>
      <c r="AJ163" s="201"/>
      <c r="AK163" s="201"/>
      <c r="AL163" s="201"/>
      <c r="AM163" s="201"/>
      <c r="AN163" s="201">
        <v>10</v>
      </c>
      <c r="AO163" s="201">
        <v>0</v>
      </c>
      <c r="AP163" s="201">
        <v>0</v>
      </c>
      <c r="AQ163" s="201">
        <v>0</v>
      </c>
      <c r="AR163" s="201">
        <v>0</v>
      </c>
      <c r="AS163" s="283">
        <f t="shared" si="46"/>
        <v>10</v>
      </c>
      <c r="AT163" s="286">
        <f t="shared" si="47"/>
        <v>0.83333333333333337</v>
      </c>
      <c r="AU163" s="201">
        <v>0</v>
      </c>
      <c r="AV163" s="201">
        <v>0</v>
      </c>
      <c r="AW163" s="201">
        <v>0</v>
      </c>
      <c r="AX163" s="201">
        <v>0</v>
      </c>
      <c r="AY163" s="201">
        <v>0</v>
      </c>
      <c r="AZ163" s="203">
        <f>SUMIFS(領用表!$L:$L,領用表!$E:$E,$B163,領用表!$B:$B,AZ$2&amp;$BI$1)</f>
        <v>0</v>
      </c>
      <c r="BA163" s="203">
        <f>SUMIFS(領用表!$L:$L,領用表!$E:$E,$B163,領用表!$B:$B,BA$2&amp;$BI$1)</f>
        <v>0</v>
      </c>
      <c r="BB163" s="203">
        <f>SUMIFS(領用表!$L:$L,領用表!$E:$E,$B163,領用表!$B:$B,BB$2&amp;$BI$1)</f>
        <v>0</v>
      </c>
      <c r="BC163" s="203">
        <f>SUMIFS(領用表!$L:$L,領用表!$E:$E,$B163,領用表!$B:$B,BC$2&amp;$BI$1)</f>
        <v>0</v>
      </c>
      <c r="BD163" s="208">
        <f>SUMIFS(領用表!$L:$L,領用表!$E:$E,$B163,領用表!$B:$B,BD$2&amp;$BI$1)</f>
        <v>0</v>
      </c>
      <c r="BE163" s="208">
        <f>SUMIFS(領用表!$L:$L,領用表!$E:$E,$B163,領用表!$B:$B,BE$2&amp;$BI$1)</f>
        <v>0</v>
      </c>
      <c r="BF163" s="208">
        <f>SUMIFS(領用表!$L:$L,領用表!$E:$E,$B163,領用表!$B:$B,BF$2&amp;$BI$1)</f>
        <v>0</v>
      </c>
      <c r="BG163" s="207">
        <f t="shared" si="44"/>
        <v>0</v>
      </c>
      <c r="BH163" s="207">
        <f t="shared" si="45"/>
        <v>0</v>
      </c>
      <c r="BI163" s="208">
        <f>SUMIFS(領用表!$L:$L,領用表!$E:$E,$B163,領用表!$B:$B,BI$2&amp;$BI$1)</f>
        <v>0</v>
      </c>
      <c r="BJ163" s="208">
        <f>SUMIFS(領用表!$L:$L,領用表!$E:$E,$B163,領用表!$B:$B,BJ$2&amp;$BI$1)</f>
        <v>0</v>
      </c>
      <c r="BK163" s="208">
        <f>SUMIFS(領用表!$L:$L,領用表!$E:$E,$B163,領用表!$B:$B,BK$2&amp;$BI$1)</f>
        <v>0</v>
      </c>
      <c r="BL163" s="208">
        <f>SUMIFS(領用表!$L:$L,領用表!$E:$E,$B163,領用表!$B:$B,BL$2&amp;$BI$1)</f>
        <v>0</v>
      </c>
      <c r="BM163" s="208">
        <f>SUMIFS(領用表!$L:$L,領用表!$E:$E,$B163,領用表!$B:$B,BM$2&amp;$BI$1)</f>
        <v>0</v>
      </c>
      <c r="BN163" s="208">
        <f>SUMIFS(領用表!$L:$L,領用表!$E:$E,$B163,領用表!$B:$B,BN$2&amp;$BI$1)</f>
        <v>0</v>
      </c>
      <c r="BO163" s="208">
        <f>SUMIFS(領用表!$L:$L,領用表!$E:$E,$B163,領用表!$B:$B,BO$2&amp;$BI$1)</f>
        <v>0</v>
      </c>
      <c r="BP163" s="208">
        <f>SUMIFS(領用表!$L:$L,領用表!$E:$E,$B163,領用表!$B:$B,BP$2&amp;$BI$1)</f>
        <v>0</v>
      </c>
      <c r="BQ163" s="208">
        <f>SUMIFS(領用表!$L:$L,領用表!$E:$E,$B163,領用表!$B:$B,BQ$2&amp;$BI$1)</f>
        <v>0</v>
      </c>
      <c r="BR163" s="208">
        <f>SUMIFS(領用表!$L:$L,領用表!$E:$E,$B163,領用表!$B:$B,BR$2&amp;$BI$1)</f>
        <v>0</v>
      </c>
      <c r="BS163" s="208">
        <f>SUMIFS(領用表!$L:$L,領用表!$E:$E,$B163,領用表!$B:$B,BS$2&amp;$BI$1)</f>
        <v>0</v>
      </c>
      <c r="BT163" s="208">
        <f>SUMIFS(領用表!$L:$L,領用表!$E:$E,$B163,領用表!$B:$B,BT$2&amp;$BI$1)</f>
        <v>0</v>
      </c>
      <c r="BU163" s="208">
        <f t="shared" si="41"/>
        <v>0</v>
      </c>
      <c r="BV163" s="208">
        <f t="shared" si="43"/>
        <v>0</v>
      </c>
      <c r="BW163" s="208">
        <f>SUMIF(Summary!B:B,B163,Summary!DT:DT)</f>
        <v>0</v>
      </c>
      <c r="BX163" s="258"/>
      <c r="BY163" s="340"/>
      <c r="BZ163" s="341"/>
      <c r="CA163" s="341"/>
      <c r="CB163" s="136"/>
      <c r="CC163" s="136"/>
    </row>
    <row r="164" spans="1:81" s="118" customFormat="1" ht="15.75" hidden="1" customHeight="1">
      <c r="A164" s="136" t="s">
        <v>197</v>
      </c>
      <c r="B164" s="118">
        <v>6050007</v>
      </c>
      <c r="C164" s="136" t="s">
        <v>570</v>
      </c>
      <c r="D164" s="285"/>
      <c r="E164" s="198" t="s">
        <v>15</v>
      </c>
      <c r="F164" s="349"/>
      <c r="G164" s="349"/>
      <c r="H164" s="349"/>
      <c r="I164" s="349"/>
      <c r="J164" s="349"/>
      <c r="K164" s="349"/>
      <c r="L164" s="349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83"/>
      <c r="AB164" s="283"/>
      <c r="AC164" s="283"/>
      <c r="AD164" s="283"/>
      <c r="AE164" s="283"/>
      <c r="AF164" s="283"/>
      <c r="AG164" s="201"/>
      <c r="AH164" s="201"/>
      <c r="AI164" s="201"/>
      <c r="AJ164" s="201"/>
      <c r="AK164" s="201"/>
      <c r="AL164" s="201"/>
      <c r="AM164" s="201"/>
      <c r="AN164" s="201">
        <v>0</v>
      </c>
      <c r="AO164" s="201">
        <v>0</v>
      </c>
      <c r="AP164" s="201">
        <v>10</v>
      </c>
      <c r="AQ164" s="201">
        <v>0</v>
      </c>
      <c r="AR164" s="201">
        <v>0</v>
      </c>
      <c r="AS164" s="283">
        <f t="shared" si="46"/>
        <v>10</v>
      </c>
      <c r="AT164" s="286">
        <f t="shared" si="47"/>
        <v>0.83333333333333337</v>
      </c>
      <c r="AU164" s="201">
        <v>0</v>
      </c>
      <c r="AV164" s="201">
        <v>0</v>
      </c>
      <c r="AW164" s="201">
        <v>0</v>
      </c>
      <c r="AX164" s="201">
        <v>0</v>
      </c>
      <c r="AY164" s="201">
        <v>0</v>
      </c>
      <c r="AZ164" s="203">
        <f>SUMIFS(領用表!$L:$L,領用表!$E:$E,$B164,領用表!$B:$B,AZ$2&amp;$BI$1)</f>
        <v>0</v>
      </c>
      <c r="BA164" s="203">
        <f>SUMIFS(領用表!$L:$L,領用表!$E:$E,$B164,領用表!$B:$B,BA$2&amp;$BI$1)</f>
        <v>0</v>
      </c>
      <c r="BB164" s="203">
        <f>SUMIFS(領用表!$L:$L,領用表!$E:$E,$B164,領用表!$B:$B,BB$2&amp;$BI$1)</f>
        <v>0</v>
      </c>
      <c r="BC164" s="203">
        <f>SUMIFS(領用表!$L:$L,領用表!$E:$E,$B164,領用表!$B:$B,BC$2&amp;$BI$1)</f>
        <v>0</v>
      </c>
      <c r="BD164" s="208">
        <f>SUMIFS(領用表!$L:$L,領用表!$E:$E,$B164,領用表!$B:$B,BD$2&amp;$BI$1)</f>
        <v>0</v>
      </c>
      <c r="BE164" s="208">
        <f>SUMIFS(領用表!$L:$L,領用表!$E:$E,$B164,領用表!$B:$B,BE$2&amp;$BI$1)</f>
        <v>0</v>
      </c>
      <c r="BF164" s="208">
        <f>SUMIFS(領用表!$L:$L,領用表!$E:$E,$B164,領用表!$B:$B,BF$2&amp;$BI$1)</f>
        <v>0</v>
      </c>
      <c r="BG164" s="207">
        <f t="shared" si="44"/>
        <v>0</v>
      </c>
      <c r="BH164" s="207">
        <f t="shared" si="45"/>
        <v>0</v>
      </c>
      <c r="BI164" s="208">
        <f>SUMIFS(領用表!$L:$L,領用表!$E:$E,$B164,領用表!$B:$B,BI$2&amp;$BI$1)</f>
        <v>0</v>
      </c>
      <c r="BJ164" s="208">
        <f>SUMIFS(領用表!$L:$L,領用表!$E:$E,$B164,領用表!$B:$B,BJ$2&amp;$BI$1)</f>
        <v>0</v>
      </c>
      <c r="BK164" s="208">
        <f>SUMIFS(領用表!$L:$L,領用表!$E:$E,$B164,領用表!$B:$B,BK$2&amp;$BI$1)</f>
        <v>0</v>
      </c>
      <c r="BL164" s="208">
        <f>SUMIFS(領用表!$L:$L,領用表!$E:$E,$B164,領用表!$B:$B,BL$2&amp;$BI$1)</f>
        <v>0</v>
      </c>
      <c r="BM164" s="208">
        <f>SUMIFS(領用表!$L:$L,領用表!$E:$E,$B164,領用表!$B:$B,BM$2&amp;$BI$1)</f>
        <v>0</v>
      </c>
      <c r="BN164" s="208">
        <f>SUMIFS(領用表!$L:$L,領用表!$E:$E,$B164,領用表!$B:$B,BN$2&amp;$BI$1)</f>
        <v>0</v>
      </c>
      <c r="BO164" s="208">
        <f>SUMIFS(領用表!$L:$L,領用表!$E:$E,$B164,領用表!$B:$B,BO$2&amp;$BI$1)</f>
        <v>0</v>
      </c>
      <c r="BP164" s="208">
        <f>SUMIFS(領用表!$L:$L,領用表!$E:$E,$B164,領用表!$B:$B,BP$2&amp;$BI$1)</f>
        <v>0</v>
      </c>
      <c r="BQ164" s="208">
        <f>SUMIFS(領用表!$L:$L,領用表!$E:$E,$B164,領用表!$B:$B,BQ$2&amp;$BI$1)</f>
        <v>0</v>
      </c>
      <c r="BR164" s="208">
        <f>SUMIFS(領用表!$L:$L,領用表!$E:$E,$B164,領用表!$B:$B,BR$2&amp;$BI$1)</f>
        <v>0</v>
      </c>
      <c r="BS164" s="208">
        <f>SUMIFS(領用表!$L:$L,領用表!$E:$E,$B164,領用表!$B:$B,BS$2&amp;$BI$1)</f>
        <v>0</v>
      </c>
      <c r="BT164" s="208">
        <f>SUMIFS(領用表!$L:$L,領用表!$E:$E,$B164,領用表!$B:$B,BT$2&amp;$BI$1)</f>
        <v>0</v>
      </c>
      <c r="BU164" s="208">
        <f t="shared" si="41"/>
        <v>0</v>
      </c>
      <c r="BV164" s="208">
        <f t="shared" si="43"/>
        <v>0</v>
      </c>
      <c r="BW164" s="208">
        <f>SUMIF(Summary!B:B,B164,Summary!DT:DT)</f>
        <v>0</v>
      </c>
      <c r="BX164" s="258"/>
      <c r="BY164" s="340"/>
      <c r="BZ164" s="341"/>
      <c r="CA164" s="341"/>
      <c r="CB164" s="136"/>
      <c r="CC164" s="136"/>
    </row>
    <row r="165" spans="1:81" s="118" customFormat="1" ht="15.75" customHeight="1">
      <c r="A165" s="136" t="s">
        <v>198</v>
      </c>
      <c r="B165" s="118">
        <v>6230002</v>
      </c>
      <c r="C165" s="136" t="s">
        <v>571</v>
      </c>
      <c r="D165" s="285"/>
      <c r="E165" s="198" t="s">
        <v>15</v>
      </c>
      <c r="F165" s="349"/>
      <c r="G165" s="349"/>
      <c r="H165" s="349"/>
      <c r="I165" s="349"/>
      <c r="J165" s="349"/>
      <c r="K165" s="349"/>
      <c r="L165" s="349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83"/>
      <c r="AB165" s="283"/>
      <c r="AC165" s="283"/>
      <c r="AD165" s="283"/>
      <c r="AE165" s="283"/>
      <c r="AF165" s="283"/>
      <c r="AG165" s="201"/>
      <c r="AH165" s="201"/>
      <c r="AI165" s="201"/>
      <c r="AJ165" s="201"/>
      <c r="AK165" s="201"/>
      <c r="AL165" s="201"/>
      <c r="AM165" s="201"/>
      <c r="AN165" s="201">
        <v>0</v>
      </c>
      <c r="AO165" s="201">
        <v>10</v>
      </c>
      <c r="AP165" s="201">
        <v>20</v>
      </c>
      <c r="AQ165" s="201">
        <v>0</v>
      </c>
      <c r="AR165" s="201">
        <v>0</v>
      </c>
      <c r="AS165" s="283">
        <f t="shared" si="46"/>
        <v>30</v>
      </c>
      <c r="AT165" s="286">
        <f t="shared" si="47"/>
        <v>2.5</v>
      </c>
      <c r="AU165" s="201">
        <v>0</v>
      </c>
      <c r="AV165" s="201">
        <v>0</v>
      </c>
      <c r="AW165" s="201">
        <v>0</v>
      </c>
      <c r="AX165" s="201">
        <v>0</v>
      </c>
      <c r="AY165" s="201">
        <v>0</v>
      </c>
      <c r="AZ165" s="203">
        <f>SUMIFS(領用表!$L:$L,領用表!$E:$E,$B165,領用表!$B:$B,AZ$2&amp;$BI$1)</f>
        <v>0</v>
      </c>
      <c r="BA165" s="203">
        <f>SUMIFS(領用表!$L:$L,領用表!$E:$E,$B165,領用表!$B:$B,BA$2&amp;$BI$1)</f>
        <v>0</v>
      </c>
      <c r="BB165" s="203">
        <f>SUMIFS(領用表!$L:$L,領用表!$E:$E,$B165,領用表!$B:$B,BB$2&amp;$BI$1)</f>
        <v>0</v>
      </c>
      <c r="BC165" s="203">
        <f>SUMIFS(領用表!$L:$L,領用表!$E:$E,$B165,領用表!$B:$B,BC$2&amp;$BI$1)</f>
        <v>0</v>
      </c>
      <c r="BD165" s="208">
        <f>SUMIFS(領用表!$L:$L,領用表!$E:$E,$B165,領用表!$B:$B,BD$2&amp;$BI$1)</f>
        <v>0</v>
      </c>
      <c r="BE165" s="208">
        <f>SUMIFS(領用表!$L:$L,領用表!$E:$E,$B165,領用表!$B:$B,BE$2&amp;$BI$1)</f>
        <v>0</v>
      </c>
      <c r="BF165" s="208">
        <f>SUMIFS(領用表!$L:$L,領用表!$E:$E,$B165,領用表!$B:$B,BF$2&amp;$BI$1)</f>
        <v>0</v>
      </c>
      <c r="BG165" s="207">
        <f t="shared" si="44"/>
        <v>0</v>
      </c>
      <c r="BH165" s="207">
        <f t="shared" si="45"/>
        <v>0</v>
      </c>
      <c r="BI165" s="208">
        <f>SUMIFS(領用表!$L:$L,領用表!$E:$E,$B165,領用表!$B:$B,BI$2&amp;$BI$1)</f>
        <v>0</v>
      </c>
      <c r="BJ165" s="208">
        <f>SUMIFS(領用表!$L:$L,領用表!$E:$E,$B165,領用表!$B:$B,BJ$2&amp;$BI$1)</f>
        <v>0</v>
      </c>
      <c r="BK165" s="208">
        <f>SUMIFS(領用表!$L:$L,領用表!$E:$E,$B165,領用表!$B:$B,BK$2&amp;$BI$1)</f>
        <v>0</v>
      </c>
      <c r="BL165" s="208">
        <f>SUMIFS(領用表!$L:$L,領用表!$E:$E,$B165,領用表!$B:$B,BL$2&amp;$BI$1)</f>
        <v>0</v>
      </c>
      <c r="BM165" s="208">
        <f>SUMIFS(領用表!$L:$L,領用表!$E:$E,$B165,領用表!$B:$B,BM$2&amp;$BI$1)</f>
        <v>0</v>
      </c>
      <c r="BN165" s="208">
        <f>SUMIFS(領用表!$L:$L,領用表!$E:$E,$B165,領用表!$B:$B,BN$2&amp;$BI$1)</f>
        <v>0</v>
      </c>
      <c r="BO165" s="208">
        <f>SUMIFS(領用表!$L:$L,領用表!$E:$E,$B165,領用表!$B:$B,BO$2&amp;$BI$1)</f>
        <v>0</v>
      </c>
      <c r="BP165" s="208">
        <f>SUMIFS(領用表!$L:$L,領用表!$E:$E,$B165,領用表!$B:$B,BP$2&amp;$BI$1)</f>
        <v>0</v>
      </c>
      <c r="BQ165" s="208">
        <f>SUMIFS(領用表!$L:$L,領用表!$E:$E,$B165,領用表!$B:$B,BQ$2&amp;$BI$1)</f>
        <v>0</v>
      </c>
      <c r="BR165" s="208">
        <f>SUMIFS(領用表!$L:$L,領用表!$E:$E,$B165,領用表!$B:$B,BR$2&amp;$BI$1)</f>
        <v>0</v>
      </c>
      <c r="BS165" s="208">
        <f>SUMIFS(領用表!$L:$L,領用表!$E:$E,$B165,領用表!$B:$B,BS$2&amp;$BI$1)</f>
        <v>0</v>
      </c>
      <c r="BT165" s="208">
        <f>SUMIFS(領用表!$L:$L,領用表!$E:$E,$B165,領用表!$B:$B,BT$2&amp;$BI$1)</f>
        <v>0</v>
      </c>
      <c r="BU165" s="208">
        <f t="shared" si="41"/>
        <v>0</v>
      </c>
      <c r="BV165" s="208">
        <f t="shared" si="43"/>
        <v>0</v>
      </c>
      <c r="BW165" s="208">
        <f>SUMIF(Summary!B:B,B165,Summary!DT:DT)</f>
        <v>0</v>
      </c>
      <c r="BX165" s="258"/>
      <c r="BY165" s="340"/>
      <c r="BZ165" s="341"/>
      <c r="CA165" s="341"/>
      <c r="CB165" s="136"/>
      <c r="CC165" s="136"/>
    </row>
    <row r="166" spans="1:81" s="118" customFormat="1" ht="15.75" hidden="1" customHeight="1">
      <c r="A166" s="136" t="s">
        <v>199</v>
      </c>
      <c r="B166" s="118" t="e">
        <v>#N/A</v>
      </c>
      <c r="C166" s="136" t="s">
        <v>572</v>
      </c>
      <c r="D166" s="285"/>
      <c r="E166" s="198" t="s">
        <v>15</v>
      </c>
      <c r="F166" s="349"/>
      <c r="G166" s="392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83"/>
      <c r="AB166" s="283"/>
      <c r="AC166" s="283"/>
      <c r="AD166" s="283"/>
      <c r="AE166" s="283"/>
      <c r="AF166" s="283"/>
      <c r="AG166" s="201"/>
      <c r="AH166" s="201"/>
      <c r="AI166" s="201"/>
      <c r="AJ166" s="201"/>
      <c r="AK166" s="201"/>
      <c r="AL166" s="201"/>
      <c r="AM166" s="201"/>
      <c r="AN166" s="201">
        <v>0</v>
      </c>
      <c r="AO166" s="201">
        <v>0</v>
      </c>
      <c r="AP166" s="201">
        <v>0</v>
      </c>
      <c r="AQ166" s="201">
        <v>0</v>
      </c>
      <c r="AR166" s="201">
        <v>10</v>
      </c>
      <c r="AS166" s="283">
        <f t="shared" si="46"/>
        <v>10</v>
      </c>
      <c r="AT166" s="286">
        <f t="shared" si="47"/>
        <v>0.83333333333333337</v>
      </c>
      <c r="AU166" s="201">
        <v>10</v>
      </c>
      <c r="AV166" s="201">
        <v>37</v>
      </c>
      <c r="AW166" s="201">
        <v>0</v>
      </c>
      <c r="AX166" s="201">
        <v>0</v>
      </c>
      <c r="AY166" s="201">
        <v>0</v>
      </c>
      <c r="AZ166" s="203">
        <f>SUMIFS(領用表!$L:$L,領用表!$E:$E,$B166,領用表!$B:$B,AZ$2&amp;$BI$1)</f>
        <v>0</v>
      </c>
      <c r="BA166" s="203">
        <f>SUMIFS(領用表!$L:$L,領用表!$E:$E,$B166,領用表!$B:$B,BA$2&amp;$BI$1)</f>
        <v>0</v>
      </c>
      <c r="BB166" s="203">
        <f>SUMIFS(領用表!$L:$L,領用表!$E:$E,$B166,領用表!$B:$B,BB$2&amp;$BI$1)</f>
        <v>0</v>
      </c>
      <c r="BC166" s="203">
        <f>SUMIFS(領用表!$L:$L,領用表!$E:$E,$B166,領用表!$B:$B,BC$2&amp;$BI$1)</f>
        <v>0</v>
      </c>
      <c r="BD166" s="208">
        <f>SUMIFS(領用表!$L:$L,領用表!$E:$E,$B166,領用表!$B:$B,BD$2&amp;$BI$1)</f>
        <v>0</v>
      </c>
      <c r="BE166" s="208">
        <f>SUMIFS(領用表!$L:$L,領用表!$E:$E,$B166,領用表!$B:$B,BE$2&amp;$BI$1)</f>
        <v>0</v>
      </c>
      <c r="BF166" s="208">
        <f>SUMIFS(領用表!$L:$L,領用表!$E:$E,$B166,領用表!$B:$B,BF$2&amp;$BI$1)</f>
        <v>0</v>
      </c>
      <c r="BG166" s="207">
        <f t="shared" si="44"/>
        <v>47</v>
      </c>
      <c r="BH166" s="207">
        <f t="shared" si="45"/>
        <v>3.9166666666666665</v>
      </c>
      <c r="BI166" s="208">
        <f>SUMIFS(領用表!$L:$L,領用表!$E:$E,$B166,領用表!$B:$B,BI$2&amp;$BI$1)</f>
        <v>0</v>
      </c>
      <c r="BJ166" s="208">
        <f>SUMIFS(領用表!$L:$L,領用表!$E:$E,$B166,領用表!$B:$B,BJ$2&amp;$BI$1)</f>
        <v>0</v>
      </c>
      <c r="BK166" s="208">
        <f>SUMIFS(領用表!$L:$L,領用表!$E:$E,$B166,領用表!$B:$B,BK$2&amp;$BI$1)</f>
        <v>0</v>
      </c>
      <c r="BL166" s="208">
        <f>SUMIFS(領用表!$L:$L,領用表!$E:$E,$B166,領用表!$B:$B,BL$2&amp;$BI$1)</f>
        <v>0</v>
      </c>
      <c r="BM166" s="208">
        <f>SUMIFS(領用表!$L:$L,領用表!$E:$E,$B166,領用表!$B:$B,BM$2&amp;$BI$1)</f>
        <v>0</v>
      </c>
      <c r="BN166" s="208">
        <f>SUMIFS(領用表!$L:$L,領用表!$E:$E,$B166,領用表!$B:$B,BN$2&amp;$BI$1)</f>
        <v>0</v>
      </c>
      <c r="BO166" s="208">
        <f>SUMIFS(領用表!$L:$L,領用表!$E:$E,$B166,領用表!$B:$B,BO$2&amp;$BI$1)</f>
        <v>0</v>
      </c>
      <c r="BP166" s="208">
        <f>SUMIFS(領用表!$L:$L,領用表!$E:$E,$B166,領用表!$B:$B,BP$2&amp;$BI$1)</f>
        <v>0</v>
      </c>
      <c r="BQ166" s="208">
        <f>SUMIFS(領用表!$L:$L,領用表!$E:$E,$B166,領用表!$B:$B,BQ$2&amp;$BI$1)</f>
        <v>0</v>
      </c>
      <c r="BR166" s="208">
        <f>SUMIFS(領用表!$L:$L,領用表!$E:$E,$B166,領用表!$B:$B,BR$2&amp;$BI$1)</f>
        <v>0</v>
      </c>
      <c r="BS166" s="208">
        <f>SUMIFS(領用表!$L:$L,領用表!$E:$E,$B166,領用表!$B:$B,BS$2&amp;$BI$1)</f>
        <v>0</v>
      </c>
      <c r="BT166" s="208">
        <f>SUMIFS(領用表!$L:$L,領用表!$E:$E,$B166,領用表!$B:$B,BT$2&amp;$BI$1)</f>
        <v>0</v>
      </c>
      <c r="BU166" s="208">
        <f t="shared" si="41"/>
        <v>0</v>
      </c>
      <c r="BV166" s="208">
        <f t="shared" si="43"/>
        <v>0</v>
      </c>
      <c r="BW166" s="208">
        <f>SUMIF(Summary!B:B,B166,Summary!DT:DT)</f>
        <v>0</v>
      </c>
      <c r="BX166" s="258"/>
      <c r="BY166" s="340"/>
      <c r="BZ166" s="340"/>
      <c r="CA166" s="340"/>
      <c r="CB166" s="136"/>
      <c r="CC166" s="136"/>
    </row>
    <row r="167" spans="1:81" s="118" customFormat="1" ht="15.75" customHeight="1">
      <c r="A167" s="136" t="s">
        <v>200</v>
      </c>
      <c r="B167" s="118">
        <v>6060002</v>
      </c>
      <c r="C167" s="136" t="s">
        <v>573</v>
      </c>
      <c r="D167" s="285"/>
      <c r="E167" s="198" t="s">
        <v>15</v>
      </c>
      <c r="F167" s="349"/>
      <c r="G167" s="392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83"/>
      <c r="AB167" s="283"/>
      <c r="AC167" s="283"/>
      <c r="AD167" s="283"/>
      <c r="AE167" s="283"/>
      <c r="AF167" s="283"/>
      <c r="AG167" s="201"/>
      <c r="AH167" s="201"/>
      <c r="AI167" s="201"/>
      <c r="AJ167" s="201"/>
      <c r="AK167" s="201"/>
      <c r="AL167" s="201"/>
      <c r="AM167" s="201"/>
      <c r="AN167" s="201">
        <v>0</v>
      </c>
      <c r="AO167" s="201">
        <v>0</v>
      </c>
      <c r="AP167" s="201">
        <v>0</v>
      </c>
      <c r="AQ167" s="201">
        <v>800</v>
      </c>
      <c r="AR167" s="201">
        <v>200</v>
      </c>
      <c r="AS167" s="283">
        <f t="shared" si="46"/>
        <v>1000</v>
      </c>
      <c r="AT167" s="286">
        <f t="shared" si="47"/>
        <v>83.333333333333329</v>
      </c>
      <c r="AU167" s="201">
        <v>0</v>
      </c>
      <c r="AV167" s="201">
        <v>0</v>
      </c>
      <c r="AW167" s="201">
        <v>200</v>
      </c>
      <c r="AX167" s="201">
        <v>0</v>
      </c>
      <c r="AY167" s="201">
        <v>0</v>
      </c>
      <c r="AZ167" s="203">
        <f>SUMIFS(領用表!$L:$L,領用表!$E:$E,$B167,領用表!$B:$B,AZ$2&amp;$BI$1)</f>
        <v>0</v>
      </c>
      <c r="BA167" s="203">
        <f>SUMIFS(領用表!$L:$L,領用表!$E:$E,$B167,領用表!$B:$B,BA$2&amp;$BI$1)</f>
        <v>0</v>
      </c>
      <c r="BB167" s="203">
        <f>SUMIFS(領用表!$L:$L,領用表!$E:$E,$B167,領用表!$B:$B,BB$2&amp;$BI$1)</f>
        <v>0</v>
      </c>
      <c r="BC167" s="203">
        <f>SUMIFS(領用表!$L:$L,領用表!$E:$E,$B167,領用表!$B:$B,BC$2&amp;$BI$1)</f>
        <v>0</v>
      </c>
      <c r="BD167" s="208">
        <f>SUMIFS(領用表!$L:$L,領用表!$E:$E,$B167,領用表!$B:$B,BD$2&amp;$BI$1)</f>
        <v>0</v>
      </c>
      <c r="BE167" s="208">
        <f>SUMIFS(領用表!$L:$L,領用表!$E:$E,$B167,領用表!$B:$B,BE$2&amp;$BI$1)</f>
        <v>0</v>
      </c>
      <c r="BF167" s="208">
        <f>SUMIFS(領用表!$L:$L,領用表!$E:$E,$B167,領用表!$B:$B,BF$2&amp;$BI$1)</f>
        <v>0</v>
      </c>
      <c r="BG167" s="207">
        <f t="shared" si="44"/>
        <v>200</v>
      </c>
      <c r="BH167" s="207">
        <f t="shared" si="45"/>
        <v>16.666666666666668</v>
      </c>
      <c r="BI167" s="208">
        <f>SUMIFS(領用表!$L:$L,領用表!$E:$E,$B167,領用表!$B:$B,BI$2&amp;$BI$1)</f>
        <v>0</v>
      </c>
      <c r="BJ167" s="208">
        <f>SUMIFS(領用表!$L:$L,領用表!$E:$E,$B167,領用表!$B:$B,BJ$2&amp;$BI$1)</f>
        <v>0</v>
      </c>
      <c r="BK167" s="208">
        <f>SUMIFS(領用表!$L:$L,領用表!$E:$E,$B167,領用表!$B:$B,BK$2&amp;$BI$1)</f>
        <v>0</v>
      </c>
      <c r="BL167" s="208">
        <f>SUMIFS(領用表!$L:$L,領用表!$E:$E,$B167,領用表!$B:$B,BL$2&amp;$BI$1)</f>
        <v>0</v>
      </c>
      <c r="BM167" s="208">
        <f>SUMIFS(領用表!$L:$L,領用表!$E:$E,$B167,領用表!$B:$B,BM$2&amp;$BI$1)</f>
        <v>0</v>
      </c>
      <c r="BN167" s="208">
        <f>SUMIFS(領用表!$L:$L,領用表!$E:$E,$B167,領用表!$B:$B,BN$2&amp;$BI$1)</f>
        <v>0</v>
      </c>
      <c r="BO167" s="208">
        <f>SUMIFS(領用表!$L:$L,領用表!$E:$E,$B167,領用表!$B:$B,BO$2&amp;$BI$1)</f>
        <v>0</v>
      </c>
      <c r="BP167" s="208">
        <f>SUMIFS(領用表!$L:$L,領用表!$E:$E,$B167,領用表!$B:$B,BP$2&amp;$BI$1)</f>
        <v>0</v>
      </c>
      <c r="BQ167" s="208">
        <f>SUMIFS(領用表!$L:$L,領用表!$E:$E,$B167,領用表!$B:$B,BQ$2&amp;$BI$1)</f>
        <v>0</v>
      </c>
      <c r="BR167" s="208">
        <f>SUMIFS(領用表!$L:$L,領用表!$E:$E,$B167,領用表!$B:$B,BR$2&amp;$BI$1)</f>
        <v>0</v>
      </c>
      <c r="BS167" s="208">
        <f>SUMIFS(領用表!$L:$L,領用表!$E:$E,$B167,領用表!$B:$B,BS$2&amp;$BI$1)</f>
        <v>0</v>
      </c>
      <c r="BT167" s="208">
        <f>SUMIFS(領用表!$L:$L,領用表!$E:$E,$B167,領用表!$B:$B,BT$2&amp;$BI$1)</f>
        <v>0</v>
      </c>
      <c r="BU167" s="208">
        <f t="shared" si="41"/>
        <v>0</v>
      </c>
      <c r="BV167" s="208">
        <f t="shared" si="43"/>
        <v>0</v>
      </c>
      <c r="BW167" s="208">
        <f>SUMIF(Summary!B:B,B167,Summary!DT:DT)</f>
        <v>0</v>
      </c>
      <c r="BX167" s="258"/>
      <c r="BY167" s="340"/>
      <c r="BZ167" s="340"/>
      <c r="CA167" s="340"/>
      <c r="CB167" s="136"/>
      <c r="CC167" s="136"/>
    </row>
    <row r="168" spans="1:81" s="118" customFormat="1" ht="15.75" customHeight="1">
      <c r="A168" s="136" t="s">
        <v>201</v>
      </c>
      <c r="B168" s="118">
        <v>6230001</v>
      </c>
      <c r="C168" s="136" t="s">
        <v>574</v>
      </c>
      <c r="D168" s="285"/>
      <c r="E168" s="198" t="s">
        <v>15</v>
      </c>
      <c r="F168" s="349"/>
      <c r="G168" s="392"/>
      <c r="AG168" s="348"/>
      <c r="AH168" s="348"/>
      <c r="AI168" s="348"/>
      <c r="AJ168" s="348"/>
      <c r="AK168" s="348"/>
      <c r="AL168" s="348"/>
      <c r="AM168" s="348"/>
      <c r="AN168" s="201">
        <v>0</v>
      </c>
      <c r="AO168" s="201">
        <v>0</v>
      </c>
      <c r="AP168" s="201">
        <v>0</v>
      </c>
      <c r="AQ168" s="201">
        <v>800</v>
      </c>
      <c r="AR168" s="201">
        <v>200</v>
      </c>
      <c r="AS168" s="283">
        <f t="shared" si="46"/>
        <v>1000</v>
      </c>
      <c r="AT168" s="286">
        <f t="shared" si="47"/>
        <v>83.333333333333329</v>
      </c>
      <c r="AU168" s="201">
        <v>0</v>
      </c>
      <c r="AV168" s="201">
        <v>0</v>
      </c>
      <c r="AW168" s="201">
        <v>200</v>
      </c>
      <c r="AX168" s="201">
        <v>0</v>
      </c>
      <c r="AY168" s="201">
        <v>0</v>
      </c>
      <c r="AZ168" s="203">
        <f>SUMIFS(領用表!$L:$L,領用表!$E:$E,$B168,領用表!$B:$B,AZ$2&amp;$BI$1)</f>
        <v>0</v>
      </c>
      <c r="BA168" s="203">
        <f>SUMIFS(領用表!$L:$L,領用表!$E:$E,$B168,領用表!$B:$B,BA$2&amp;$BI$1)</f>
        <v>0</v>
      </c>
      <c r="BB168" s="203">
        <f>SUMIFS(領用表!$L:$L,領用表!$E:$E,$B168,領用表!$B:$B,BB$2&amp;$BI$1)</f>
        <v>0</v>
      </c>
      <c r="BC168" s="203">
        <f>SUMIFS(領用表!$L:$L,領用表!$E:$E,$B168,領用表!$B:$B,BC$2&amp;$BI$1)</f>
        <v>0</v>
      </c>
      <c r="BD168" s="208">
        <f>SUMIFS(領用表!$L:$L,領用表!$E:$E,$B168,領用表!$B:$B,BD$2&amp;$BI$1)</f>
        <v>0</v>
      </c>
      <c r="BE168" s="208">
        <f>SUMIFS(領用表!$L:$L,領用表!$E:$E,$B168,領用表!$B:$B,BE$2&amp;$BI$1)</f>
        <v>0</v>
      </c>
      <c r="BF168" s="208">
        <f>SUMIFS(領用表!$L:$L,領用表!$E:$E,$B168,領用表!$B:$B,BF$2&amp;$BI$1)</f>
        <v>0</v>
      </c>
      <c r="BG168" s="207">
        <f t="shared" si="44"/>
        <v>200</v>
      </c>
      <c r="BH168" s="207">
        <f t="shared" si="45"/>
        <v>16.666666666666668</v>
      </c>
      <c r="BI168" s="208">
        <f>SUMIFS(領用表!$L:$L,領用表!$E:$E,$B168,領用表!$B:$B,BI$2&amp;$BI$1)</f>
        <v>0</v>
      </c>
      <c r="BJ168" s="208">
        <f>SUMIFS(領用表!$L:$L,領用表!$E:$E,$B168,領用表!$B:$B,BJ$2&amp;$BI$1)</f>
        <v>0</v>
      </c>
      <c r="BK168" s="208">
        <f>SUMIFS(領用表!$L:$L,領用表!$E:$E,$B168,領用表!$B:$B,BK$2&amp;$BI$1)</f>
        <v>0</v>
      </c>
      <c r="BL168" s="208">
        <f>SUMIFS(領用表!$L:$L,領用表!$E:$E,$B168,領用表!$B:$B,BL$2&amp;$BI$1)</f>
        <v>0</v>
      </c>
      <c r="BM168" s="208">
        <f>SUMIFS(領用表!$L:$L,領用表!$E:$E,$B168,領用表!$B:$B,BM$2&amp;$BI$1)</f>
        <v>0</v>
      </c>
      <c r="BN168" s="208">
        <f>SUMIFS(領用表!$L:$L,領用表!$E:$E,$B168,領用表!$B:$B,BN$2&amp;$BI$1)</f>
        <v>0</v>
      </c>
      <c r="BO168" s="208">
        <f>SUMIFS(領用表!$L:$L,領用表!$E:$E,$B168,領用表!$B:$B,BO$2&amp;$BI$1)</f>
        <v>0</v>
      </c>
      <c r="BP168" s="208">
        <f>SUMIFS(領用表!$L:$L,領用表!$E:$E,$B168,領用表!$B:$B,BP$2&amp;$BI$1)</f>
        <v>0</v>
      </c>
      <c r="BQ168" s="208">
        <f>SUMIFS(領用表!$L:$L,領用表!$E:$E,$B168,領用表!$B:$B,BQ$2&amp;$BI$1)</f>
        <v>0</v>
      </c>
      <c r="BR168" s="208">
        <f>SUMIFS(領用表!$L:$L,領用表!$E:$E,$B168,領用表!$B:$B,BR$2&amp;$BI$1)</f>
        <v>0</v>
      </c>
      <c r="BS168" s="208">
        <f>SUMIFS(領用表!$L:$L,領用表!$E:$E,$B168,領用表!$B:$B,BS$2&amp;$BI$1)</f>
        <v>0</v>
      </c>
      <c r="BT168" s="208">
        <f>SUMIFS(領用表!$L:$L,領用表!$E:$E,$B168,領用表!$B:$B,BT$2&amp;$BI$1)</f>
        <v>0</v>
      </c>
      <c r="BU168" s="208">
        <f t="shared" si="41"/>
        <v>0</v>
      </c>
      <c r="BV168" s="208">
        <f t="shared" si="43"/>
        <v>0</v>
      </c>
      <c r="BW168" s="208">
        <f>SUMIF(Summary!B:B,B168,Summary!DT:DT)</f>
        <v>0</v>
      </c>
      <c r="BX168" s="258"/>
      <c r="BY168" s="340"/>
      <c r="BZ168" s="340"/>
      <c r="CA168" s="340"/>
    </row>
    <row r="169" spans="1:81" s="118" customFormat="1" ht="15.75" customHeight="1">
      <c r="A169" s="136" t="s">
        <v>202</v>
      </c>
      <c r="B169" s="118">
        <v>6070001</v>
      </c>
      <c r="C169" s="136" t="s">
        <v>575</v>
      </c>
      <c r="D169" s="285"/>
      <c r="E169" s="198" t="s">
        <v>15</v>
      </c>
      <c r="F169" s="349"/>
      <c r="G169" s="392"/>
      <c r="AG169" s="348"/>
      <c r="AH169" s="348"/>
      <c r="AI169" s="348"/>
      <c r="AJ169" s="348"/>
      <c r="AK169" s="348"/>
      <c r="AL169" s="348"/>
      <c r="AM169" s="348"/>
      <c r="AN169" s="201">
        <v>0</v>
      </c>
      <c r="AO169" s="201">
        <v>0</v>
      </c>
      <c r="AP169" s="201">
        <v>0</v>
      </c>
      <c r="AQ169" s="201">
        <v>5</v>
      </c>
      <c r="AR169" s="201">
        <v>0</v>
      </c>
      <c r="AS169" s="283">
        <f t="shared" si="46"/>
        <v>5</v>
      </c>
      <c r="AT169" s="286">
        <f t="shared" si="47"/>
        <v>0.41666666666666669</v>
      </c>
      <c r="AU169" s="201">
        <v>0</v>
      </c>
      <c r="AV169" s="201">
        <v>6</v>
      </c>
      <c r="AW169" s="201">
        <v>0</v>
      </c>
      <c r="AX169" s="201">
        <v>0</v>
      </c>
      <c r="AY169" s="201">
        <v>0</v>
      </c>
      <c r="AZ169" s="203">
        <f>SUMIFS(領用表!$L:$L,領用表!$E:$E,$B169,領用表!$B:$B,AZ$2&amp;$BI$1)</f>
        <v>0</v>
      </c>
      <c r="BA169" s="203">
        <f>SUMIFS(領用表!$L:$L,領用表!$E:$E,$B169,領用表!$B:$B,BA$2&amp;$BI$1)</f>
        <v>0</v>
      </c>
      <c r="BB169" s="203">
        <f>SUMIFS(領用表!$L:$L,領用表!$E:$E,$B169,領用表!$B:$B,BB$2&amp;$BI$1)</f>
        <v>0</v>
      </c>
      <c r="BC169" s="203">
        <f>SUMIFS(領用表!$L:$L,領用表!$E:$E,$B169,領用表!$B:$B,BC$2&amp;$BI$1)</f>
        <v>0</v>
      </c>
      <c r="BD169" s="208">
        <f>SUMIFS(領用表!$L:$L,領用表!$E:$E,$B169,領用表!$B:$B,BD$2&amp;$BI$1)</f>
        <v>0</v>
      </c>
      <c r="BE169" s="208">
        <f>SUMIFS(領用表!$L:$L,領用表!$E:$E,$B169,領用表!$B:$B,BE$2&amp;$BI$1)</f>
        <v>0</v>
      </c>
      <c r="BF169" s="208">
        <f>SUMIFS(領用表!$L:$L,領用表!$E:$E,$B169,領用表!$B:$B,BF$2&amp;$BI$1)</f>
        <v>0</v>
      </c>
      <c r="BG169" s="207">
        <f t="shared" si="44"/>
        <v>6</v>
      </c>
      <c r="BH169" s="207">
        <f t="shared" si="45"/>
        <v>0.5</v>
      </c>
      <c r="BI169" s="208">
        <f>SUMIFS(領用表!$L:$L,領用表!$E:$E,$B169,領用表!$B:$B,BI$2&amp;$BI$1)</f>
        <v>0</v>
      </c>
      <c r="BJ169" s="208">
        <f>SUMIFS(領用表!$L:$L,領用表!$E:$E,$B169,領用表!$B:$B,BJ$2&amp;$BI$1)</f>
        <v>0</v>
      </c>
      <c r="BK169" s="208">
        <f>SUMIFS(領用表!$L:$L,領用表!$E:$E,$B169,領用表!$B:$B,BK$2&amp;$BI$1)</f>
        <v>0</v>
      </c>
      <c r="BL169" s="208">
        <f>SUMIFS(領用表!$L:$L,領用表!$E:$E,$B169,領用表!$B:$B,BL$2&amp;$BI$1)</f>
        <v>0</v>
      </c>
      <c r="BM169" s="208">
        <f>SUMIFS(領用表!$L:$L,領用表!$E:$E,$B169,領用表!$B:$B,BM$2&amp;$BI$1)</f>
        <v>0</v>
      </c>
      <c r="BN169" s="208">
        <f>SUMIFS(領用表!$L:$L,領用表!$E:$E,$B169,領用表!$B:$B,BN$2&amp;$BI$1)</f>
        <v>0</v>
      </c>
      <c r="BO169" s="208">
        <f>SUMIFS(領用表!$L:$L,領用表!$E:$E,$B169,領用表!$B:$B,BO$2&amp;$BI$1)</f>
        <v>0</v>
      </c>
      <c r="BP169" s="208">
        <f>SUMIFS(領用表!$L:$L,領用表!$E:$E,$B169,領用表!$B:$B,BP$2&amp;$BI$1)</f>
        <v>0</v>
      </c>
      <c r="BQ169" s="208">
        <f>SUMIFS(領用表!$L:$L,領用表!$E:$E,$B169,領用表!$B:$B,BQ$2&amp;$BI$1)</f>
        <v>0</v>
      </c>
      <c r="BR169" s="208">
        <f>SUMIFS(領用表!$L:$L,領用表!$E:$E,$B169,領用表!$B:$B,BR$2&amp;$BI$1)</f>
        <v>0</v>
      </c>
      <c r="BS169" s="208">
        <f>SUMIFS(領用表!$L:$L,領用表!$E:$E,$B169,領用表!$B:$B,BS$2&amp;$BI$1)</f>
        <v>0</v>
      </c>
      <c r="BT169" s="208">
        <f>SUMIFS(領用表!$L:$L,領用表!$E:$E,$B169,領用表!$B:$B,BT$2&amp;$BI$1)</f>
        <v>0</v>
      </c>
      <c r="BU169" s="208">
        <f t="shared" si="41"/>
        <v>0</v>
      </c>
      <c r="BV169" s="208">
        <f t="shared" si="43"/>
        <v>0</v>
      </c>
      <c r="BW169" s="208">
        <f>SUMIF(Summary!B:B,B169,Summary!DT:DT)</f>
        <v>0</v>
      </c>
      <c r="BX169" s="258"/>
      <c r="BY169" s="340"/>
      <c r="BZ169" s="340"/>
      <c r="CA169" s="340"/>
    </row>
    <row r="170" spans="1:81" s="118" customFormat="1" ht="15.75" hidden="1" customHeight="1">
      <c r="A170" s="136" t="s">
        <v>203</v>
      </c>
      <c r="B170" s="118" t="e">
        <v>#N/A</v>
      </c>
      <c r="C170" s="136" t="s">
        <v>635</v>
      </c>
      <c r="D170" s="285"/>
      <c r="E170" s="198" t="s">
        <v>15</v>
      </c>
      <c r="F170" s="349"/>
      <c r="G170" s="392"/>
      <c r="AG170" s="348"/>
      <c r="AH170" s="348"/>
      <c r="AI170" s="348"/>
      <c r="AJ170" s="348"/>
      <c r="AK170" s="348"/>
      <c r="AL170" s="348"/>
      <c r="AM170" s="348"/>
      <c r="AN170" s="201">
        <v>0</v>
      </c>
      <c r="AO170" s="201">
        <f>171/15</f>
        <v>11.4</v>
      </c>
      <c r="AP170" s="201">
        <v>0</v>
      </c>
      <c r="AQ170" s="201">
        <v>45</v>
      </c>
      <c r="AR170" s="201">
        <v>108</v>
      </c>
      <c r="AS170" s="283">
        <f t="shared" si="46"/>
        <v>164.4</v>
      </c>
      <c r="AT170" s="286">
        <f t="shared" si="47"/>
        <v>13.700000000000001</v>
      </c>
      <c r="AU170" s="201">
        <v>45</v>
      </c>
      <c r="AV170" s="201">
        <v>36</v>
      </c>
      <c r="AW170" s="201">
        <v>0</v>
      </c>
      <c r="AX170" s="201">
        <v>0</v>
      </c>
      <c r="AY170" s="201">
        <v>0</v>
      </c>
      <c r="AZ170" s="203">
        <f>SUMIFS(領用表!$L:$L,領用表!$E:$E,$B170,領用表!$B:$B,AZ$2&amp;$BI$1)</f>
        <v>0</v>
      </c>
      <c r="BA170" s="203">
        <f>SUMIFS(領用表!$L:$L,領用表!$E:$E,$B170,領用表!$B:$B,BA$2&amp;$BI$1)</f>
        <v>0</v>
      </c>
      <c r="BB170" s="203">
        <f>SUMIFS(領用表!$L:$L,領用表!$E:$E,$B170,領用表!$B:$B,BB$2&amp;$BI$1)</f>
        <v>0</v>
      </c>
      <c r="BC170" s="203">
        <f>SUMIFS(領用表!$L:$L,領用表!$E:$E,$B170,領用表!$B:$B,BC$2&amp;$BI$1)</f>
        <v>0</v>
      </c>
      <c r="BD170" s="208">
        <f>SUMIFS(領用表!$L:$L,領用表!$E:$E,$B170,領用表!$B:$B,BD$2&amp;$BI$1)</f>
        <v>0</v>
      </c>
      <c r="BE170" s="208">
        <f>SUMIFS(領用表!$L:$L,領用表!$E:$E,$B170,領用表!$B:$B,BE$2&amp;$BI$1)</f>
        <v>0</v>
      </c>
      <c r="BF170" s="208">
        <f>SUMIFS(領用表!$L:$L,領用表!$E:$E,$B170,領用表!$B:$B,BF$2&amp;$BI$1)</f>
        <v>0</v>
      </c>
      <c r="BG170" s="207">
        <f t="shared" si="44"/>
        <v>81</v>
      </c>
      <c r="BH170" s="207">
        <f t="shared" si="45"/>
        <v>6.75</v>
      </c>
      <c r="BI170" s="208">
        <f>SUMIFS(領用表!$L:$L,領用表!$E:$E,$B170,領用表!$B:$B,BI$2&amp;$BI$1)</f>
        <v>0</v>
      </c>
      <c r="BJ170" s="208">
        <f>SUMIFS(領用表!$L:$L,領用表!$E:$E,$B170,領用表!$B:$B,BJ$2&amp;$BI$1)</f>
        <v>0</v>
      </c>
      <c r="BK170" s="208">
        <f>SUMIFS(領用表!$L:$L,領用表!$E:$E,$B170,領用表!$B:$B,BK$2&amp;$BI$1)</f>
        <v>0</v>
      </c>
      <c r="BL170" s="208">
        <f>SUMIFS(領用表!$L:$L,領用表!$E:$E,$B170,領用表!$B:$B,BL$2&amp;$BI$1)</f>
        <v>0</v>
      </c>
      <c r="BM170" s="208">
        <f>SUMIFS(領用表!$L:$L,領用表!$E:$E,$B170,領用表!$B:$B,BM$2&amp;$BI$1)</f>
        <v>0</v>
      </c>
      <c r="BN170" s="208">
        <f>SUMIFS(領用表!$L:$L,領用表!$E:$E,$B170,領用表!$B:$B,BN$2&amp;$BI$1)</f>
        <v>0</v>
      </c>
      <c r="BO170" s="208">
        <f>SUMIFS(領用表!$L:$L,領用表!$E:$E,$B170,領用表!$B:$B,BO$2&amp;$BI$1)</f>
        <v>0</v>
      </c>
      <c r="BP170" s="208">
        <f>SUMIFS(領用表!$L:$L,領用表!$E:$E,$B170,領用表!$B:$B,BP$2&amp;$BI$1)</f>
        <v>0</v>
      </c>
      <c r="BQ170" s="208">
        <f>SUMIFS(領用表!$L:$L,領用表!$E:$E,$B170,領用表!$B:$B,BQ$2&amp;$BI$1)</f>
        <v>0</v>
      </c>
      <c r="BR170" s="208">
        <f>SUMIFS(領用表!$L:$L,領用表!$E:$E,$B170,領用表!$B:$B,BR$2&amp;$BI$1)</f>
        <v>0</v>
      </c>
      <c r="BS170" s="208">
        <f>SUMIFS(領用表!$L:$L,領用表!$E:$E,$B170,領用表!$B:$B,BS$2&amp;$BI$1)</f>
        <v>0</v>
      </c>
      <c r="BT170" s="208">
        <f>SUMIFS(領用表!$L:$L,領用表!$E:$E,$B170,領用表!$B:$B,BT$2&amp;$BI$1)</f>
        <v>0</v>
      </c>
      <c r="BU170" s="208">
        <f t="shared" si="41"/>
        <v>0</v>
      </c>
      <c r="BV170" s="208">
        <f t="shared" si="43"/>
        <v>0</v>
      </c>
      <c r="BW170" s="208">
        <f>SUMIF(Summary!B:B,B170,Summary!DT:DT)</f>
        <v>0</v>
      </c>
      <c r="BX170" s="258"/>
      <c r="BY170" s="340"/>
      <c r="BZ170" s="340"/>
      <c r="CA170" s="340"/>
    </row>
    <row r="171" spans="1:81" s="118" customFormat="1" ht="15.75" hidden="1" customHeight="1">
      <c r="A171" s="136" t="s">
        <v>204</v>
      </c>
      <c r="B171" s="118" t="e">
        <v>#N/A</v>
      </c>
      <c r="C171" s="136" t="s">
        <v>576</v>
      </c>
      <c r="D171" s="285"/>
      <c r="E171" s="198" t="s">
        <v>15</v>
      </c>
      <c r="F171" s="349"/>
      <c r="G171" s="392"/>
      <c r="AG171" s="348"/>
      <c r="AH171" s="348"/>
      <c r="AI171" s="348"/>
      <c r="AJ171" s="348"/>
      <c r="AK171" s="348"/>
      <c r="AL171" s="348"/>
      <c r="AM171" s="348"/>
      <c r="AN171" s="201">
        <v>0</v>
      </c>
      <c r="AO171" s="201">
        <v>0</v>
      </c>
      <c r="AP171" s="201">
        <v>0</v>
      </c>
      <c r="AQ171" s="201">
        <v>6</v>
      </c>
      <c r="AR171" s="201">
        <v>0</v>
      </c>
      <c r="AS171" s="283">
        <f t="shared" si="46"/>
        <v>6</v>
      </c>
      <c r="AT171" s="286">
        <f t="shared" si="47"/>
        <v>0.5</v>
      </c>
      <c r="AU171" s="201">
        <v>19</v>
      </c>
      <c r="AV171" s="201">
        <v>0</v>
      </c>
      <c r="AW171" s="201">
        <v>0</v>
      </c>
      <c r="AX171" s="201">
        <v>0</v>
      </c>
      <c r="AY171" s="201">
        <v>0</v>
      </c>
      <c r="AZ171" s="203">
        <f>SUMIFS(領用表!$L:$L,領用表!$E:$E,$B171,領用表!$B:$B,AZ$2&amp;$BI$1)</f>
        <v>0</v>
      </c>
      <c r="BA171" s="203">
        <f>SUMIFS(領用表!$L:$L,領用表!$E:$E,$B171,領用表!$B:$B,BA$2&amp;$BI$1)</f>
        <v>0</v>
      </c>
      <c r="BB171" s="203">
        <f>SUMIFS(領用表!$L:$L,領用表!$E:$E,$B171,領用表!$B:$B,BB$2&amp;$BI$1)</f>
        <v>0</v>
      </c>
      <c r="BC171" s="203">
        <f>SUMIFS(領用表!$L:$L,領用表!$E:$E,$B171,領用表!$B:$B,BC$2&amp;$BI$1)</f>
        <v>0</v>
      </c>
      <c r="BD171" s="208">
        <f>SUMIFS(領用表!$L:$L,領用表!$E:$E,$B171,領用表!$B:$B,BD$2&amp;$BI$1)</f>
        <v>0</v>
      </c>
      <c r="BE171" s="208">
        <f>SUMIFS(領用表!$L:$L,領用表!$E:$E,$B171,領用表!$B:$B,BE$2&amp;$BI$1)</f>
        <v>0</v>
      </c>
      <c r="BF171" s="208">
        <f>SUMIFS(領用表!$L:$L,領用表!$E:$E,$B171,領用表!$B:$B,BF$2&amp;$BI$1)</f>
        <v>0</v>
      </c>
      <c r="BG171" s="207">
        <f t="shared" si="44"/>
        <v>19</v>
      </c>
      <c r="BH171" s="207">
        <f t="shared" si="45"/>
        <v>1.5833333333333333</v>
      </c>
      <c r="BI171" s="208">
        <f>SUMIFS(領用表!$L:$L,領用表!$E:$E,$B171,領用表!$B:$B,BI$2&amp;$BI$1)</f>
        <v>0</v>
      </c>
      <c r="BJ171" s="208">
        <f>SUMIFS(領用表!$L:$L,領用表!$E:$E,$B171,領用表!$B:$B,BJ$2&amp;$BI$1)</f>
        <v>0</v>
      </c>
      <c r="BK171" s="208">
        <f>SUMIFS(領用表!$L:$L,領用表!$E:$E,$B171,領用表!$B:$B,BK$2&amp;$BI$1)</f>
        <v>0</v>
      </c>
      <c r="BL171" s="208">
        <f>SUMIFS(領用表!$L:$L,領用表!$E:$E,$B171,領用表!$B:$B,BL$2&amp;$BI$1)</f>
        <v>0</v>
      </c>
      <c r="BM171" s="208">
        <f>SUMIFS(領用表!$L:$L,領用表!$E:$E,$B171,領用表!$B:$B,BM$2&amp;$BI$1)</f>
        <v>0</v>
      </c>
      <c r="BN171" s="208">
        <f>SUMIFS(領用表!$L:$L,領用表!$E:$E,$B171,領用表!$B:$B,BN$2&amp;$BI$1)</f>
        <v>0</v>
      </c>
      <c r="BO171" s="208">
        <f>SUMIFS(領用表!$L:$L,領用表!$E:$E,$B171,領用表!$B:$B,BO$2&amp;$BI$1)</f>
        <v>0</v>
      </c>
      <c r="BP171" s="208">
        <f>SUMIFS(領用表!$L:$L,領用表!$E:$E,$B171,領用表!$B:$B,BP$2&amp;$BI$1)</f>
        <v>0</v>
      </c>
      <c r="BQ171" s="208">
        <f>SUMIFS(領用表!$L:$L,領用表!$E:$E,$B171,領用表!$B:$B,BQ$2&amp;$BI$1)</f>
        <v>0</v>
      </c>
      <c r="BR171" s="208">
        <f>SUMIFS(領用表!$L:$L,領用表!$E:$E,$B171,領用表!$B:$B,BR$2&amp;$BI$1)</f>
        <v>0</v>
      </c>
      <c r="BS171" s="208">
        <f>SUMIFS(領用表!$L:$L,領用表!$E:$E,$B171,領用表!$B:$B,BS$2&amp;$BI$1)</f>
        <v>0</v>
      </c>
      <c r="BT171" s="208">
        <f>SUMIFS(領用表!$L:$L,領用表!$E:$E,$B171,領用表!$B:$B,BT$2&amp;$BI$1)</f>
        <v>0</v>
      </c>
      <c r="BU171" s="208">
        <f t="shared" si="41"/>
        <v>0</v>
      </c>
      <c r="BV171" s="208">
        <f t="shared" si="43"/>
        <v>0</v>
      </c>
      <c r="BW171" s="208">
        <f>SUMIF(Summary!B:B,B171,Summary!DT:DT)</f>
        <v>0</v>
      </c>
      <c r="BX171" s="258"/>
      <c r="BY171" s="340"/>
      <c r="BZ171" s="340"/>
      <c r="CA171" s="340"/>
    </row>
    <row r="172" spans="1:81" s="118" customFormat="1" ht="15.75" hidden="1" customHeight="1">
      <c r="A172" s="136" t="s">
        <v>205</v>
      </c>
      <c r="B172" s="118" t="e">
        <v>#N/A</v>
      </c>
      <c r="C172" s="136" t="s">
        <v>577</v>
      </c>
      <c r="D172" s="285"/>
      <c r="E172" s="198" t="s">
        <v>15</v>
      </c>
      <c r="F172" s="349"/>
      <c r="G172" s="392"/>
      <c r="AR172" s="201">
        <v>0</v>
      </c>
      <c r="AS172" s="347">
        <v>0</v>
      </c>
      <c r="AT172" s="347">
        <v>0</v>
      </c>
      <c r="AU172" s="201">
        <v>280</v>
      </c>
      <c r="AV172" s="201">
        <v>840</v>
      </c>
      <c r="AW172" s="201">
        <v>584</v>
      </c>
      <c r="AX172" s="201">
        <v>120</v>
      </c>
      <c r="AY172" s="201">
        <v>0</v>
      </c>
      <c r="AZ172" s="203">
        <f>SUMIFS(領用表!$L:$L,領用表!$E:$E,$B172,領用表!$B:$B,AZ$2&amp;$BI$1)</f>
        <v>0</v>
      </c>
      <c r="BA172" s="203">
        <f>SUMIFS(領用表!$L:$L,領用表!$E:$E,$B172,領用表!$B:$B,BA$2&amp;$BI$1)</f>
        <v>0</v>
      </c>
      <c r="BB172" s="203">
        <f>SUMIFS(領用表!$L:$L,領用表!$E:$E,$B172,領用表!$B:$B,BB$2&amp;$BI$1)</f>
        <v>0</v>
      </c>
      <c r="BC172" s="203">
        <f>SUMIFS(領用表!$L:$L,領用表!$E:$E,$B172,領用表!$B:$B,BC$2&amp;$BI$1)</f>
        <v>0</v>
      </c>
      <c r="BD172" s="208">
        <f>SUMIFS(領用表!$L:$L,領用表!$E:$E,$B172,領用表!$B:$B,BD$2&amp;$BI$1)</f>
        <v>0</v>
      </c>
      <c r="BE172" s="208">
        <f>SUMIFS(領用表!$L:$L,領用表!$E:$E,$B172,領用表!$B:$B,BE$2&amp;$BI$1)</f>
        <v>0</v>
      </c>
      <c r="BF172" s="208">
        <f>SUMIFS(領用表!$L:$L,領用表!$E:$E,$B172,領用表!$B:$B,BF$2&amp;$BI$1)</f>
        <v>0</v>
      </c>
      <c r="BG172" s="207">
        <f t="shared" si="44"/>
        <v>1824</v>
      </c>
      <c r="BH172" s="207">
        <f t="shared" si="45"/>
        <v>152</v>
      </c>
      <c r="BI172" s="208">
        <f>SUMIFS(領用表!$L:$L,領用表!$E:$E,$B172,領用表!$B:$B,BI$2&amp;$BI$1)</f>
        <v>0</v>
      </c>
      <c r="BJ172" s="208">
        <f>SUMIFS(領用表!$L:$L,領用表!$E:$E,$B172,領用表!$B:$B,BJ$2&amp;$BI$1)</f>
        <v>0</v>
      </c>
      <c r="BK172" s="208">
        <f>SUMIFS(領用表!$L:$L,領用表!$E:$E,$B172,領用表!$B:$B,BK$2&amp;$BI$1)</f>
        <v>0</v>
      </c>
      <c r="BL172" s="208">
        <f>SUMIFS(領用表!$L:$L,領用表!$E:$E,$B172,領用表!$B:$B,BL$2&amp;$BI$1)</f>
        <v>0</v>
      </c>
      <c r="BM172" s="208">
        <f>SUMIFS(領用表!$L:$L,領用表!$E:$E,$B172,領用表!$B:$B,BM$2&amp;$BI$1)</f>
        <v>0</v>
      </c>
      <c r="BN172" s="208">
        <f>SUMIFS(領用表!$L:$L,領用表!$E:$E,$B172,領用表!$B:$B,BN$2&amp;$BI$1)</f>
        <v>0</v>
      </c>
      <c r="BO172" s="208">
        <f>SUMIFS(領用表!$L:$L,領用表!$E:$E,$B172,領用表!$B:$B,BO$2&amp;$BI$1)</f>
        <v>0</v>
      </c>
      <c r="BP172" s="208">
        <f>SUMIFS(領用表!$L:$L,領用表!$E:$E,$B172,領用表!$B:$B,BP$2&amp;$BI$1)</f>
        <v>0</v>
      </c>
      <c r="BQ172" s="208">
        <f>SUMIFS(領用表!$L:$L,領用表!$E:$E,$B172,領用表!$B:$B,BQ$2&amp;$BI$1)</f>
        <v>0</v>
      </c>
      <c r="BR172" s="208">
        <f>SUMIFS(領用表!$L:$L,領用表!$E:$E,$B172,領用表!$B:$B,BR$2&amp;$BI$1)</f>
        <v>0</v>
      </c>
      <c r="BS172" s="208">
        <f>SUMIFS(領用表!$L:$L,領用表!$E:$E,$B172,領用表!$B:$B,BS$2&amp;$BI$1)</f>
        <v>0</v>
      </c>
      <c r="BT172" s="208">
        <f>SUMIFS(領用表!$L:$L,領用表!$E:$E,$B172,領用表!$B:$B,BT$2&amp;$BI$1)</f>
        <v>0</v>
      </c>
      <c r="BU172" s="208">
        <f t="shared" si="41"/>
        <v>0</v>
      </c>
      <c r="BV172" s="208">
        <f t="shared" si="43"/>
        <v>0</v>
      </c>
      <c r="BW172" s="208">
        <f>SUMIF(Summary!B:B,B172,Summary!DT:DT)</f>
        <v>0</v>
      </c>
      <c r="BX172" s="258"/>
      <c r="BY172" s="340"/>
      <c r="BZ172" s="340"/>
      <c r="CA172" s="340"/>
    </row>
    <row r="173" spans="1:81" s="118" customFormat="1" ht="15.75" hidden="1" customHeight="1">
      <c r="A173" s="136" t="s">
        <v>206</v>
      </c>
      <c r="B173" s="118" t="e">
        <v>#N/A</v>
      </c>
      <c r="C173" s="136" t="s">
        <v>578</v>
      </c>
      <c r="D173" s="285"/>
      <c r="E173" s="198" t="s">
        <v>15</v>
      </c>
      <c r="F173" s="349"/>
      <c r="G173" s="392"/>
      <c r="AR173" s="201">
        <v>0</v>
      </c>
      <c r="AS173" s="347">
        <v>0</v>
      </c>
      <c r="AT173" s="347">
        <v>0</v>
      </c>
      <c r="AU173" s="201">
        <v>95</v>
      </c>
      <c r="AV173" s="201">
        <v>0</v>
      </c>
      <c r="AW173" s="201">
        <v>0</v>
      </c>
      <c r="AX173" s="201">
        <v>0</v>
      </c>
      <c r="AY173" s="201">
        <v>0</v>
      </c>
      <c r="AZ173" s="203">
        <f>SUMIFS(領用表!$L:$L,領用表!$E:$E,$B173,領用表!$B:$B,AZ$2&amp;$BI$1)</f>
        <v>0</v>
      </c>
      <c r="BA173" s="203">
        <f>SUMIFS(領用表!$L:$L,領用表!$E:$E,$B173,領用表!$B:$B,BA$2&amp;$BI$1)</f>
        <v>0</v>
      </c>
      <c r="BB173" s="203">
        <f>SUMIFS(領用表!$L:$L,領用表!$E:$E,$B173,領用表!$B:$B,BB$2&amp;$BI$1)</f>
        <v>0</v>
      </c>
      <c r="BC173" s="203">
        <f>SUMIFS(領用表!$L:$L,領用表!$E:$E,$B173,領用表!$B:$B,BC$2&amp;$BI$1)</f>
        <v>0</v>
      </c>
      <c r="BD173" s="208">
        <f>SUMIFS(領用表!$L:$L,領用表!$E:$E,$B173,領用表!$B:$B,BD$2&amp;$BI$1)</f>
        <v>0</v>
      </c>
      <c r="BE173" s="208">
        <f>SUMIFS(領用表!$L:$L,領用表!$E:$E,$B173,領用表!$B:$B,BE$2&amp;$BI$1)</f>
        <v>0</v>
      </c>
      <c r="BF173" s="208">
        <f>SUMIFS(領用表!$L:$L,領用表!$E:$E,$B173,領用表!$B:$B,BF$2&amp;$BI$1)</f>
        <v>0</v>
      </c>
      <c r="BG173" s="207">
        <f t="shared" si="44"/>
        <v>95</v>
      </c>
      <c r="BH173" s="207">
        <f t="shared" si="45"/>
        <v>7.916666666666667</v>
      </c>
      <c r="BI173" s="208">
        <f>SUMIFS(領用表!$L:$L,領用表!$E:$E,$B173,領用表!$B:$B,BI$2&amp;$BI$1)</f>
        <v>0</v>
      </c>
      <c r="BJ173" s="208">
        <f>SUMIFS(領用表!$L:$L,領用表!$E:$E,$B173,領用表!$B:$B,BJ$2&amp;$BI$1)</f>
        <v>0</v>
      </c>
      <c r="BK173" s="208">
        <f>SUMIFS(領用表!$L:$L,領用表!$E:$E,$B173,領用表!$B:$B,BK$2&amp;$BI$1)</f>
        <v>0</v>
      </c>
      <c r="BL173" s="208">
        <f>SUMIFS(領用表!$L:$L,領用表!$E:$E,$B173,領用表!$B:$B,BL$2&amp;$BI$1)</f>
        <v>0</v>
      </c>
      <c r="BM173" s="208">
        <f>SUMIFS(領用表!$L:$L,領用表!$E:$E,$B173,領用表!$B:$B,BM$2&amp;$BI$1)</f>
        <v>0</v>
      </c>
      <c r="BN173" s="208">
        <f>SUMIFS(領用表!$L:$L,領用表!$E:$E,$B173,領用表!$B:$B,BN$2&amp;$BI$1)</f>
        <v>0</v>
      </c>
      <c r="BO173" s="208">
        <f>SUMIFS(領用表!$L:$L,領用表!$E:$E,$B173,領用表!$B:$B,BO$2&amp;$BI$1)</f>
        <v>0</v>
      </c>
      <c r="BP173" s="208">
        <f>SUMIFS(領用表!$L:$L,領用表!$E:$E,$B173,領用表!$B:$B,BP$2&amp;$BI$1)</f>
        <v>0</v>
      </c>
      <c r="BQ173" s="208">
        <f>SUMIFS(領用表!$L:$L,領用表!$E:$E,$B173,領用表!$B:$B,BQ$2&amp;$BI$1)</f>
        <v>0</v>
      </c>
      <c r="BR173" s="208">
        <f>SUMIFS(領用表!$L:$L,領用表!$E:$E,$B173,領用表!$B:$B,BR$2&amp;$BI$1)</f>
        <v>0</v>
      </c>
      <c r="BS173" s="208">
        <f>SUMIFS(領用表!$L:$L,領用表!$E:$E,$B173,領用表!$B:$B,BS$2&amp;$BI$1)</f>
        <v>0</v>
      </c>
      <c r="BT173" s="208">
        <f>SUMIFS(領用表!$L:$L,領用表!$E:$E,$B173,領用表!$B:$B,BT$2&amp;$BI$1)</f>
        <v>0</v>
      </c>
      <c r="BU173" s="208">
        <f t="shared" si="41"/>
        <v>0</v>
      </c>
      <c r="BV173" s="208">
        <f t="shared" si="43"/>
        <v>0</v>
      </c>
      <c r="BW173" s="208">
        <f>SUMIF(Summary!B:B,B173,Summary!DT:DT)</f>
        <v>0</v>
      </c>
      <c r="BX173" s="258"/>
      <c r="BY173" s="340"/>
      <c r="BZ173" s="340"/>
      <c r="CA173" s="340"/>
    </row>
    <row r="174" spans="1:81" s="118" customFormat="1" ht="15.75" hidden="1" customHeight="1">
      <c r="A174" s="136" t="s">
        <v>207</v>
      </c>
      <c r="B174" s="118" t="e">
        <v>#N/A</v>
      </c>
      <c r="C174" s="136" t="s">
        <v>579</v>
      </c>
      <c r="D174" s="285"/>
      <c r="E174" s="198" t="s">
        <v>15</v>
      </c>
      <c r="F174" s="349"/>
      <c r="G174" s="392"/>
      <c r="AR174" s="201">
        <v>0</v>
      </c>
      <c r="AS174" s="347">
        <v>0</v>
      </c>
      <c r="AT174" s="347">
        <v>0</v>
      </c>
      <c r="AU174" s="201">
        <v>240</v>
      </c>
      <c r="AV174" s="201">
        <v>192</v>
      </c>
      <c r="AW174" s="201">
        <v>48</v>
      </c>
      <c r="AX174" s="201">
        <v>0</v>
      </c>
      <c r="AY174" s="201">
        <v>0</v>
      </c>
      <c r="AZ174" s="203">
        <f>SUMIFS(領用表!$L:$L,領用表!$E:$E,$B174,領用表!$B:$B,AZ$2&amp;$BI$1)</f>
        <v>0</v>
      </c>
      <c r="BA174" s="203">
        <f>SUMIFS(領用表!$L:$L,領用表!$E:$E,$B174,領用表!$B:$B,BA$2&amp;$BI$1)</f>
        <v>0</v>
      </c>
      <c r="BB174" s="203">
        <f>SUMIFS(領用表!$L:$L,領用表!$E:$E,$B174,領用表!$B:$B,BB$2&amp;$BI$1)</f>
        <v>0</v>
      </c>
      <c r="BC174" s="203">
        <f>SUMIFS(領用表!$L:$L,領用表!$E:$E,$B174,領用表!$B:$B,BC$2&amp;$BI$1)</f>
        <v>0</v>
      </c>
      <c r="BD174" s="208">
        <f>SUMIFS(領用表!$L:$L,領用表!$E:$E,$B174,領用表!$B:$B,BD$2&amp;$BI$1)</f>
        <v>0</v>
      </c>
      <c r="BE174" s="208">
        <f>SUMIFS(領用表!$L:$L,領用表!$E:$E,$B174,領用表!$B:$B,BE$2&amp;$BI$1)</f>
        <v>0</v>
      </c>
      <c r="BF174" s="208">
        <f>SUMIFS(領用表!$L:$L,領用表!$E:$E,$B174,領用表!$B:$B,BF$2&amp;$BI$1)</f>
        <v>0</v>
      </c>
      <c r="BG174" s="207">
        <f t="shared" ref="BG174:BG199" si="48">SUM(AU174,AV174,AW174,AX174,AY174,AZ174,BA174,BB174,BC174,BD174,BE174,BF174)</f>
        <v>480</v>
      </c>
      <c r="BH174" s="207">
        <f t="shared" ref="BH174:BH199" si="49">AVERAGE(AU174,AV174,AW174,AX174,AY174,AZ174,BA174,BB174,BC174,BD174,BE174,BF174)</f>
        <v>40</v>
      </c>
      <c r="BI174" s="208">
        <f>SUMIFS(領用表!$L:$L,領用表!$E:$E,$B174,領用表!$B:$B,BI$2&amp;$BI$1)</f>
        <v>0</v>
      </c>
      <c r="BJ174" s="208">
        <f>SUMIFS(領用表!$L:$L,領用表!$E:$E,$B174,領用表!$B:$B,BJ$2&amp;$BI$1)</f>
        <v>0</v>
      </c>
      <c r="BK174" s="208">
        <f>SUMIFS(領用表!$L:$L,領用表!$E:$E,$B174,領用表!$B:$B,BK$2&amp;$BI$1)</f>
        <v>0</v>
      </c>
      <c r="BL174" s="208">
        <f>SUMIFS(領用表!$L:$L,領用表!$E:$E,$B174,領用表!$B:$B,BL$2&amp;$BI$1)</f>
        <v>0</v>
      </c>
      <c r="BM174" s="208">
        <f>SUMIFS(領用表!$L:$L,領用表!$E:$E,$B174,領用表!$B:$B,BM$2&amp;$BI$1)</f>
        <v>0</v>
      </c>
      <c r="BN174" s="208">
        <f>SUMIFS(領用表!$L:$L,領用表!$E:$E,$B174,領用表!$B:$B,BN$2&amp;$BI$1)</f>
        <v>0</v>
      </c>
      <c r="BO174" s="208">
        <f>SUMIFS(領用表!$L:$L,領用表!$E:$E,$B174,領用表!$B:$B,BO$2&amp;$BI$1)</f>
        <v>0</v>
      </c>
      <c r="BP174" s="208">
        <f>SUMIFS(領用表!$L:$L,領用表!$E:$E,$B174,領用表!$B:$B,BP$2&amp;$BI$1)</f>
        <v>0</v>
      </c>
      <c r="BQ174" s="208">
        <f>SUMIFS(領用表!$L:$L,領用表!$E:$E,$B174,領用表!$B:$B,BQ$2&amp;$BI$1)</f>
        <v>0</v>
      </c>
      <c r="BR174" s="208">
        <f>SUMIFS(領用表!$L:$L,領用表!$E:$E,$B174,領用表!$B:$B,BR$2&amp;$BI$1)</f>
        <v>0</v>
      </c>
      <c r="BS174" s="208">
        <f>SUMIFS(領用表!$L:$L,領用表!$E:$E,$B174,領用表!$B:$B,BS$2&amp;$BI$1)</f>
        <v>0</v>
      </c>
      <c r="BT174" s="208">
        <f>SUMIFS(領用表!$L:$L,領用表!$E:$E,$B174,領用表!$B:$B,BT$2&amp;$BI$1)</f>
        <v>0</v>
      </c>
      <c r="BU174" s="208">
        <f t="shared" si="41"/>
        <v>0</v>
      </c>
      <c r="BV174" s="208">
        <f t="shared" si="43"/>
        <v>0</v>
      </c>
      <c r="BW174" s="208">
        <f>SUMIF(Summary!B:B,B174,Summary!DT:DT)</f>
        <v>0</v>
      </c>
      <c r="BX174" s="258"/>
      <c r="BY174" s="340"/>
      <c r="BZ174" s="340"/>
      <c r="CA174" s="340"/>
    </row>
    <row r="175" spans="1:81" s="118" customFormat="1" ht="15.75" customHeight="1">
      <c r="A175" s="136" t="s">
        <v>208</v>
      </c>
      <c r="B175" s="118" t="e">
        <v>#N/A</v>
      </c>
      <c r="C175" s="136" t="s">
        <v>580</v>
      </c>
      <c r="D175" s="285"/>
      <c r="E175" s="198" t="s">
        <v>15</v>
      </c>
      <c r="F175" s="349"/>
      <c r="G175" s="392"/>
      <c r="AR175" s="201">
        <v>0</v>
      </c>
      <c r="AS175" s="347">
        <v>0</v>
      </c>
      <c r="AT175" s="347">
        <v>0</v>
      </c>
      <c r="AU175" s="201">
        <v>0</v>
      </c>
      <c r="AV175" s="201">
        <v>0</v>
      </c>
      <c r="AW175" s="201">
        <v>10</v>
      </c>
      <c r="AX175" s="201">
        <v>0</v>
      </c>
      <c r="AY175" s="201">
        <v>40</v>
      </c>
      <c r="AZ175" s="203">
        <f>SUMIFS(領用表!$L:$L,領用表!$E:$E,$B175,領用表!$B:$B,AZ$2&amp;$BI$1)</f>
        <v>0</v>
      </c>
      <c r="BA175" s="203">
        <f>SUMIFS(領用表!$L:$L,領用表!$E:$E,$B175,領用表!$B:$B,BA$2&amp;$BI$1)</f>
        <v>0</v>
      </c>
      <c r="BB175" s="203">
        <f>SUMIFS(領用表!$L:$L,領用表!$E:$E,$B175,領用表!$B:$B,BB$2&amp;$BI$1)</f>
        <v>0</v>
      </c>
      <c r="BC175" s="203">
        <f>SUMIFS(領用表!$L:$L,領用表!$E:$E,$B175,領用表!$B:$B,BC$2&amp;$BI$1)</f>
        <v>0</v>
      </c>
      <c r="BD175" s="208">
        <f>SUMIFS(領用表!$L:$L,領用表!$E:$E,$B175,領用表!$B:$B,BD$2&amp;$BI$1)</f>
        <v>0</v>
      </c>
      <c r="BE175" s="208">
        <f>SUMIFS(領用表!$L:$L,領用表!$E:$E,$B175,領用表!$B:$B,BE$2&amp;$BI$1)</f>
        <v>0</v>
      </c>
      <c r="BF175" s="208">
        <f>SUMIFS(領用表!$L:$L,領用表!$E:$E,$B175,領用表!$B:$B,BF$2&amp;$BI$1)</f>
        <v>0</v>
      </c>
      <c r="BG175" s="207">
        <f t="shared" si="48"/>
        <v>50</v>
      </c>
      <c r="BH175" s="207">
        <f t="shared" si="49"/>
        <v>4.166666666666667</v>
      </c>
      <c r="BI175" s="208">
        <f>SUMIFS(領用表!$L:$L,領用表!$E:$E,$B175,領用表!$B:$B,BI$2&amp;$BI$1)</f>
        <v>0</v>
      </c>
      <c r="BJ175" s="332">
        <f>SUMIFS(領用表!$L:$L,領用表!$E:$E,$B175,領用表!$B:$B,BJ$2&amp;$BI$1)</f>
        <v>0</v>
      </c>
      <c r="BK175" s="332">
        <f>SUMIFS(領用表!$L:$L,領用表!$E:$E,$B175,領用表!$B:$B,BK$2&amp;$BI$1)</f>
        <v>0</v>
      </c>
      <c r="BL175" s="332">
        <f>SUMIFS(領用表!$L:$L,領用表!$E:$E,$B175,領用表!$B:$B,BL$2&amp;$BI$1)</f>
        <v>0</v>
      </c>
      <c r="BM175" s="332">
        <f>SUMIFS(領用表!$L:$L,領用表!$E:$E,$B175,領用表!$B:$B,BM$2&amp;$BI$1)</f>
        <v>0</v>
      </c>
      <c r="BN175" s="332">
        <f>SUMIFS(領用表!$L:$L,領用表!$E:$E,$B175,領用表!$B:$B,BN$2&amp;$BI$1)</f>
        <v>0</v>
      </c>
      <c r="BO175" s="332">
        <f>SUMIFS(領用表!$L:$L,領用表!$E:$E,$B175,領用表!$B:$B,BO$2&amp;$BI$1)</f>
        <v>0</v>
      </c>
      <c r="BP175" s="332">
        <f>SUMIFS(領用表!$L:$L,領用表!$E:$E,$B175,領用表!$B:$B,BP$2&amp;$BI$1)</f>
        <v>0</v>
      </c>
      <c r="BQ175" s="332">
        <f>SUMIFS(領用表!$L:$L,領用表!$E:$E,$B175,領用表!$B:$B,BQ$2&amp;$BI$1)</f>
        <v>0</v>
      </c>
      <c r="BR175" s="332">
        <f>SUMIFS(領用表!$L:$L,領用表!$E:$E,$B175,領用表!$B:$B,BR$2&amp;$BI$1)</f>
        <v>0</v>
      </c>
      <c r="BS175" s="332">
        <f>SUMIFS(領用表!$L:$L,領用表!$E:$E,$B175,領用表!$B:$B,BS$2&amp;$BI$1)</f>
        <v>0</v>
      </c>
      <c r="BT175" s="332">
        <f>SUMIFS(領用表!$L:$L,領用表!$E:$E,$B175,領用表!$B:$B,BT$2&amp;$BI$1)</f>
        <v>0</v>
      </c>
      <c r="BU175" s="332">
        <f t="shared" si="41"/>
        <v>0</v>
      </c>
      <c r="BV175" s="332">
        <f t="shared" si="43"/>
        <v>0</v>
      </c>
      <c r="BW175" s="332">
        <f>SUMIF(Summary!B:B,B175,Summary!DT:DT)</f>
        <v>0</v>
      </c>
      <c r="BX175" s="338"/>
      <c r="BY175" s="342"/>
      <c r="BZ175" s="343"/>
      <c r="CA175" s="343"/>
    </row>
    <row r="176" spans="1:81" s="118" customFormat="1" ht="15.75" customHeight="1">
      <c r="A176" s="136" t="s">
        <v>209</v>
      </c>
      <c r="B176" s="118">
        <v>6020002</v>
      </c>
      <c r="C176" s="136" t="s">
        <v>581</v>
      </c>
      <c r="D176" s="285"/>
      <c r="E176" s="198" t="s">
        <v>15</v>
      </c>
      <c r="F176" s="349"/>
      <c r="G176" s="392"/>
      <c r="AR176" s="201"/>
      <c r="AS176" s="347"/>
      <c r="AT176" s="347"/>
      <c r="AU176" s="201"/>
      <c r="AV176" s="201"/>
      <c r="AW176" s="201"/>
      <c r="AX176" s="201"/>
      <c r="AY176" s="201"/>
      <c r="AZ176" s="203">
        <f>SUMIFS(領用表!$L:$L,領用表!$E:$E,$B176,領用表!$B:$B,AZ$2&amp;$BI$1)</f>
        <v>0</v>
      </c>
      <c r="BA176" s="203">
        <f>SUMIFS(領用表!$L:$L,領用表!$E:$E,$B176,領用表!$B:$B,BA$2&amp;$BI$1)</f>
        <v>0</v>
      </c>
      <c r="BB176" s="203">
        <f>SUMIFS(領用表!$L:$L,領用表!$E:$E,$B176,領用表!$B:$B,BB$2&amp;$BI$1)</f>
        <v>0</v>
      </c>
      <c r="BC176" s="203">
        <f>SUMIFS(領用表!$L:$L,領用表!$E:$E,$B176,領用表!$B:$B,BC$2&amp;$BI$1)</f>
        <v>0</v>
      </c>
      <c r="BD176" s="208">
        <f>SUMIFS(領用表!$L:$L,領用表!$E:$E,$B176,領用表!$B:$B,BD$2&amp;$BI$1)</f>
        <v>0</v>
      </c>
      <c r="BE176" s="208">
        <f>SUMIFS(領用表!$L:$L,領用表!$E:$E,$B176,領用表!$B:$B,BE$2&amp;$BI$1)</f>
        <v>0</v>
      </c>
      <c r="BF176" s="208">
        <f>SUMIFS(領用表!$L:$L,領用表!$E:$E,$B176,領用表!$B:$B,BF$2&amp;$BI$1)</f>
        <v>0</v>
      </c>
      <c r="BG176" s="207">
        <f t="shared" si="48"/>
        <v>0</v>
      </c>
      <c r="BH176" s="207">
        <f t="shared" si="49"/>
        <v>0</v>
      </c>
      <c r="BI176" s="208">
        <f>SUMIFS(領用表!$L:$L,領用表!$E:$E,$B176,領用表!$B:$B,BI$2&amp;$BI$1)</f>
        <v>0</v>
      </c>
      <c r="BJ176" s="332">
        <f>SUMIFS(領用表!$L:$L,領用表!$E:$E,$B176,領用表!$B:$B,BJ$2&amp;$BI$1)</f>
        <v>0</v>
      </c>
      <c r="BK176" s="332">
        <f>SUMIFS(領用表!$L:$L,領用表!$E:$E,$B176,領用表!$B:$B,BK$2&amp;$BI$1)</f>
        <v>0</v>
      </c>
      <c r="BL176" s="332">
        <f>SUMIFS(領用表!$L:$L,領用表!$E:$E,$B176,領用表!$B:$B,BL$2&amp;$BI$1)</f>
        <v>0</v>
      </c>
      <c r="BM176" s="332">
        <f>SUMIFS(領用表!$L:$L,領用表!$E:$E,$B176,領用表!$B:$B,BM$2&amp;$BI$1)</f>
        <v>0</v>
      </c>
      <c r="BN176" s="332">
        <f>SUMIFS(領用表!$L:$L,領用表!$E:$E,$B176,領用表!$B:$B,BN$2&amp;$BI$1)</f>
        <v>0</v>
      </c>
      <c r="BO176" s="332">
        <f>SUMIFS(領用表!$L:$L,領用表!$E:$E,$B176,領用表!$B:$B,BO$2&amp;$BI$1)</f>
        <v>0</v>
      </c>
      <c r="BP176" s="332">
        <f>SUMIFS(領用表!$L:$L,領用表!$E:$E,$B176,領用表!$B:$B,BP$2&amp;$BI$1)</f>
        <v>0</v>
      </c>
      <c r="BQ176" s="332">
        <f>SUMIFS(領用表!$L:$L,領用表!$E:$E,$B176,領用表!$B:$B,BQ$2&amp;$BI$1)</f>
        <v>0</v>
      </c>
      <c r="BR176" s="332">
        <f>SUMIFS(領用表!$L:$L,領用表!$E:$E,$B176,領用表!$B:$B,BR$2&amp;$BI$1)</f>
        <v>0</v>
      </c>
      <c r="BS176" s="332">
        <f>SUMIFS(領用表!$L:$L,領用表!$E:$E,$B176,領用表!$B:$B,BS$2&amp;$BI$1)</f>
        <v>0</v>
      </c>
      <c r="BT176" s="332">
        <f>SUMIFS(領用表!$L:$L,領用表!$E:$E,$B176,領用表!$B:$B,BT$2&amp;$BI$1)</f>
        <v>0</v>
      </c>
      <c r="BU176" s="332">
        <f t="shared" si="41"/>
        <v>0</v>
      </c>
      <c r="BV176" s="332">
        <f t="shared" si="43"/>
        <v>0</v>
      </c>
      <c r="BW176" s="332">
        <f>SUMIF(Summary!B:B,B176,Summary!DT:DT)</f>
        <v>0</v>
      </c>
      <c r="BX176" s="338"/>
      <c r="BY176" s="342"/>
      <c r="BZ176" s="340"/>
      <c r="CA176" s="340"/>
    </row>
    <row r="177" spans="1:81" s="118" customFormat="1" ht="15.75" customHeight="1">
      <c r="A177" s="136" t="s">
        <v>210</v>
      </c>
      <c r="B177" s="118">
        <v>1080005</v>
      </c>
      <c r="C177" s="136" t="s">
        <v>582</v>
      </c>
      <c r="D177" s="285"/>
      <c r="E177" s="198" t="s">
        <v>15</v>
      </c>
      <c r="F177" s="349"/>
      <c r="G177" s="392"/>
      <c r="AG177" s="348"/>
      <c r="AH177" s="348"/>
      <c r="AI177" s="348"/>
      <c r="AJ177" s="348"/>
      <c r="AK177" s="348"/>
      <c r="AL177" s="348"/>
      <c r="AM177" s="348"/>
      <c r="AN177" s="201">
        <v>0</v>
      </c>
      <c r="AO177" s="201">
        <v>800</v>
      </c>
      <c r="AP177" s="201">
        <v>0</v>
      </c>
      <c r="AQ177" s="201">
        <v>1000</v>
      </c>
      <c r="AR177" s="201">
        <v>800</v>
      </c>
      <c r="AS177" s="283">
        <f>SUM(AG177:AR177)</f>
        <v>2600</v>
      </c>
      <c r="AT177" s="286">
        <f>AS177/12</f>
        <v>216.66666666666666</v>
      </c>
      <c r="AU177" s="201">
        <v>1400</v>
      </c>
      <c r="AV177" s="201">
        <v>2700</v>
      </c>
      <c r="AW177" s="201">
        <v>1200</v>
      </c>
      <c r="AX177" s="201">
        <v>1200</v>
      </c>
      <c r="AY177" s="201">
        <v>0</v>
      </c>
      <c r="AZ177" s="203">
        <f>SUMIFS(領用表!$L:$L,領用表!$E:$E,$B177,領用表!$B:$B,AZ$2&amp;$BI$1)</f>
        <v>0</v>
      </c>
      <c r="BA177" s="203">
        <f>SUMIFS(領用表!$L:$L,領用表!$E:$E,$B177,領用表!$B:$B,BA$2&amp;$BI$1)</f>
        <v>0</v>
      </c>
      <c r="BB177" s="203">
        <f>SUMIFS(領用表!$L:$L,領用表!$E:$E,$B177,領用表!$B:$B,BB$2&amp;$BI$1)</f>
        <v>0</v>
      </c>
      <c r="BC177" s="203">
        <f>SUMIFS(領用表!$L:$L,領用表!$E:$E,$B177,領用表!$B:$B,BC$2&amp;$BI$1)</f>
        <v>0</v>
      </c>
      <c r="BD177" s="208">
        <f>SUMIFS(領用表!$L:$L,領用表!$E:$E,$B177,領用表!$B:$B,BD$2&amp;$BI$1)</f>
        <v>0</v>
      </c>
      <c r="BE177" s="208">
        <f>SUMIFS(領用表!$L:$L,領用表!$E:$E,$B177,領用表!$B:$B,BE$2&amp;$BI$1)</f>
        <v>0</v>
      </c>
      <c r="BF177" s="208">
        <f>SUMIFS(領用表!$L:$L,領用表!$E:$E,$B177,領用表!$B:$B,BF$2&amp;$BI$1)</f>
        <v>0</v>
      </c>
      <c r="BG177" s="207">
        <f t="shared" si="48"/>
        <v>6500</v>
      </c>
      <c r="BH177" s="207">
        <f t="shared" si="49"/>
        <v>541.66666666666663</v>
      </c>
      <c r="BI177" s="208">
        <f>SUMIFS(領用表!$L:$L,領用表!$E:$E,$B177,領用表!$B:$B,BI$2&amp;$BI$1)</f>
        <v>0</v>
      </c>
      <c r="BJ177" s="208">
        <f>SUMIFS(領用表!$L:$L,領用表!$E:$E,$B177,領用表!$B:$B,BJ$2&amp;$BI$1)</f>
        <v>0</v>
      </c>
      <c r="BK177" s="208">
        <f>SUMIFS(領用表!$L:$L,領用表!$E:$E,$B177,領用表!$B:$B,BK$2&amp;$BI$1)</f>
        <v>0</v>
      </c>
      <c r="BL177" s="208">
        <f>SUMIFS(領用表!$L:$L,領用表!$E:$E,$B177,領用表!$B:$B,BL$2&amp;$BI$1)</f>
        <v>0</v>
      </c>
      <c r="BM177" s="208">
        <f>SUMIFS(領用表!$L:$L,領用表!$E:$E,$B177,領用表!$B:$B,BM$2&amp;$BI$1)</f>
        <v>0</v>
      </c>
      <c r="BN177" s="208">
        <f>SUMIFS(領用表!$L:$L,領用表!$E:$E,$B177,領用表!$B:$B,BN$2&amp;$BI$1)</f>
        <v>0</v>
      </c>
      <c r="BO177" s="208">
        <f>SUMIFS(領用表!$L:$L,領用表!$E:$E,$B177,領用表!$B:$B,BO$2&amp;$BI$1)</f>
        <v>0</v>
      </c>
      <c r="BP177" s="208">
        <f>SUMIFS(領用表!$L:$L,領用表!$E:$E,$B177,領用表!$B:$B,BP$2&amp;$BI$1)</f>
        <v>0</v>
      </c>
      <c r="BQ177" s="208">
        <f>SUMIFS(領用表!$L:$L,領用表!$E:$E,$B177,領用表!$B:$B,BQ$2&amp;$BI$1)</f>
        <v>0</v>
      </c>
      <c r="BR177" s="208">
        <f>SUMIFS(領用表!$L:$L,領用表!$E:$E,$B177,領用表!$B:$B,BR$2&amp;$BI$1)</f>
        <v>0</v>
      </c>
      <c r="BS177" s="208">
        <f>SUMIFS(領用表!$L:$L,領用表!$E:$E,$B177,領用表!$B:$B,BS$2&amp;$BI$1)</f>
        <v>0</v>
      </c>
      <c r="BT177" s="208">
        <f>SUMIFS(領用表!$L:$L,領用表!$E:$E,$B177,領用表!$B:$B,BT$2&amp;$BI$1)</f>
        <v>0</v>
      </c>
      <c r="BU177" s="208">
        <f t="shared" si="41"/>
        <v>0</v>
      </c>
      <c r="BV177" s="208">
        <f t="shared" si="43"/>
        <v>0</v>
      </c>
      <c r="BW177" s="208">
        <f>SUMIF(Summary!B:B,B177,Summary!DT:DT)</f>
        <v>0</v>
      </c>
      <c r="BX177" s="258"/>
      <c r="BY177" s="340"/>
      <c r="BZ177" s="340"/>
      <c r="CA177" s="340"/>
    </row>
    <row r="178" spans="1:81" s="118" customFormat="1" ht="15.75" customHeight="1">
      <c r="A178" s="136" t="s">
        <v>211</v>
      </c>
      <c r="B178" s="118">
        <v>1080008</v>
      </c>
      <c r="C178" s="136" t="s">
        <v>583</v>
      </c>
      <c r="D178" s="285"/>
      <c r="E178" s="198" t="s">
        <v>15</v>
      </c>
      <c r="F178" s="349"/>
      <c r="G178" s="392"/>
      <c r="AR178" s="201"/>
      <c r="AS178" s="347"/>
      <c r="AT178" s="347"/>
      <c r="AU178" s="201"/>
      <c r="AV178" s="201"/>
      <c r="AW178" s="201"/>
      <c r="AX178" s="201"/>
      <c r="AY178" s="201"/>
      <c r="AZ178" s="203">
        <f>SUMIFS(領用表!$L:$L,領用表!$E:$E,$B178,領用表!$B:$B,AZ$2&amp;$BI$1)</f>
        <v>0</v>
      </c>
      <c r="BA178" s="203">
        <f>SUMIFS(領用表!$L:$L,領用表!$E:$E,$B178,領用表!$B:$B,BA$2&amp;$BI$1)</f>
        <v>0</v>
      </c>
      <c r="BB178" s="203">
        <f>SUMIFS(領用表!$L:$L,領用表!$E:$E,$B178,領用表!$B:$B,BB$2&amp;$BI$1)</f>
        <v>0</v>
      </c>
      <c r="BC178" s="203">
        <f>SUMIFS(領用表!$L:$L,領用表!$E:$E,$B178,領用表!$B:$B,BC$2&amp;$BI$1)</f>
        <v>0</v>
      </c>
      <c r="BD178" s="208">
        <f>SUMIFS(領用表!$L:$L,領用表!$E:$E,$B178,領用表!$B:$B,BD$2&amp;$BI$1)</f>
        <v>0</v>
      </c>
      <c r="BE178" s="208">
        <f>SUMIFS(領用表!$L:$L,領用表!$E:$E,$B178,領用表!$B:$B,BE$2&amp;$BI$1)</f>
        <v>0</v>
      </c>
      <c r="BF178" s="208">
        <f>SUMIFS(領用表!$L:$L,領用表!$E:$E,$B178,領用表!$B:$B,BF$2&amp;$BI$1)</f>
        <v>0</v>
      </c>
      <c r="BG178" s="207">
        <f t="shared" si="48"/>
        <v>0</v>
      </c>
      <c r="BH178" s="207">
        <f t="shared" si="49"/>
        <v>0</v>
      </c>
      <c r="BI178" s="208">
        <f>SUMIFS(領用表!$L:$L,領用表!$E:$E,$B178,領用表!$B:$B,BI$2&amp;$BI$1)</f>
        <v>0</v>
      </c>
      <c r="BJ178" s="332">
        <f>SUMIFS(領用表!$L:$L,領用表!$E:$E,$B178,領用表!$B:$B,BJ$2&amp;$BI$1)</f>
        <v>0</v>
      </c>
      <c r="BK178" s="332">
        <f>SUMIFS(領用表!$L:$L,領用表!$E:$E,$B178,領用表!$B:$B,BK$2&amp;$BI$1)</f>
        <v>0</v>
      </c>
      <c r="BL178" s="332">
        <f>SUMIFS(領用表!$L:$L,領用表!$E:$E,$B178,領用表!$B:$B,BL$2&amp;$BI$1)</f>
        <v>0</v>
      </c>
      <c r="BM178" s="332">
        <f>SUMIFS(領用表!$L:$L,領用表!$E:$E,$B178,領用表!$B:$B,BM$2&amp;$BI$1)</f>
        <v>0</v>
      </c>
      <c r="BN178" s="332">
        <f>SUMIFS(領用表!$L:$L,領用表!$E:$E,$B178,領用表!$B:$B,BN$2&amp;$BI$1)</f>
        <v>0</v>
      </c>
      <c r="BO178" s="332">
        <f>SUMIFS(領用表!$L:$L,領用表!$E:$E,$B178,領用表!$B:$B,BO$2&amp;$BI$1)</f>
        <v>0</v>
      </c>
      <c r="BP178" s="332">
        <f>SUMIFS(領用表!$L:$L,領用表!$E:$E,$B178,領用表!$B:$B,BP$2&amp;$BI$1)</f>
        <v>0</v>
      </c>
      <c r="BQ178" s="332">
        <f>SUMIFS(領用表!$L:$L,領用表!$E:$E,$B178,領用表!$B:$B,BQ$2&amp;$BI$1)</f>
        <v>0</v>
      </c>
      <c r="BR178" s="332">
        <f>SUMIFS(領用表!$L:$L,領用表!$E:$E,$B178,領用表!$B:$B,BR$2&amp;$BI$1)</f>
        <v>0</v>
      </c>
      <c r="BS178" s="332">
        <f>SUMIFS(領用表!$L:$L,領用表!$E:$E,$B178,領用表!$B:$B,BS$2&amp;$BI$1)</f>
        <v>0</v>
      </c>
      <c r="BT178" s="332">
        <f>SUMIFS(領用表!$L:$L,領用表!$E:$E,$B178,領用表!$B:$B,BT$2&amp;$BI$1)</f>
        <v>0</v>
      </c>
      <c r="BU178" s="332">
        <f t="shared" si="41"/>
        <v>0</v>
      </c>
      <c r="BV178" s="332">
        <f t="shared" si="43"/>
        <v>0</v>
      </c>
      <c r="BW178" s="332">
        <f>SUMIF(Summary!B:B,B178,Summary!DT:DT)</f>
        <v>0</v>
      </c>
      <c r="BX178" s="338"/>
      <c r="BY178" s="342"/>
      <c r="BZ178" s="340"/>
      <c r="CA178" s="340"/>
    </row>
    <row r="179" spans="1:81" s="118" customFormat="1" ht="15.75" customHeight="1">
      <c r="A179" s="136" t="s">
        <v>212</v>
      </c>
      <c r="B179" s="118">
        <v>6230003</v>
      </c>
      <c r="C179" s="136" t="s">
        <v>584</v>
      </c>
      <c r="D179" s="285"/>
      <c r="E179" s="198" t="s">
        <v>15</v>
      </c>
      <c r="F179" s="349"/>
      <c r="G179" s="392"/>
      <c r="AR179" s="201"/>
      <c r="AS179" s="347"/>
      <c r="AT179" s="347"/>
      <c r="AU179" s="201"/>
      <c r="AV179" s="201"/>
      <c r="AW179" s="201"/>
      <c r="AX179" s="201"/>
      <c r="AY179" s="201"/>
      <c r="AZ179" s="203">
        <f>SUMIFS(領用表!$L:$L,領用表!$E:$E,$B179,領用表!$B:$B,AZ$2&amp;$BI$1)</f>
        <v>0</v>
      </c>
      <c r="BA179" s="203">
        <f>SUMIFS(領用表!$L:$L,領用表!$E:$E,$B179,領用表!$B:$B,BA$2&amp;$BI$1)</f>
        <v>0</v>
      </c>
      <c r="BB179" s="203">
        <f>SUMIFS(領用表!$L:$L,領用表!$E:$E,$B179,領用表!$B:$B,BB$2&amp;$BI$1)</f>
        <v>0</v>
      </c>
      <c r="BC179" s="203">
        <f>SUMIFS(領用表!$L:$L,領用表!$E:$E,$B179,領用表!$B:$B,BC$2&amp;$BI$1)</f>
        <v>0</v>
      </c>
      <c r="BD179" s="208">
        <f>SUMIFS(領用表!$L:$L,領用表!$E:$E,$B179,領用表!$B:$B,BD$2&amp;$BI$1)</f>
        <v>0</v>
      </c>
      <c r="BE179" s="208">
        <f>SUMIFS(領用表!$L:$L,領用表!$E:$E,$B179,領用表!$B:$B,BE$2&amp;$BI$1)</f>
        <v>0</v>
      </c>
      <c r="BF179" s="208">
        <f>SUMIFS(領用表!$L:$L,領用表!$E:$E,$B179,領用表!$B:$B,BF$2&amp;$BI$1)</f>
        <v>0</v>
      </c>
      <c r="BG179" s="207">
        <f t="shared" si="48"/>
        <v>0</v>
      </c>
      <c r="BH179" s="207">
        <f t="shared" si="49"/>
        <v>0</v>
      </c>
      <c r="BI179" s="208">
        <f>SUMIFS(領用表!$L:$L,領用表!$E:$E,$B179,領用表!$B:$B,BI$2&amp;$BI$1)</f>
        <v>0</v>
      </c>
      <c r="BJ179" s="332">
        <f>SUMIFS(領用表!$L:$L,領用表!$E:$E,$B179,領用表!$B:$B,BJ$2&amp;$BI$1)</f>
        <v>0</v>
      </c>
      <c r="BK179" s="332">
        <f>SUMIFS(領用表!$L:$L,領用表!$E:$E,$B179,領用表!$B:$B,BK$2&amp;$BI$1)</f>
        <v>0</v>
      </c>
      <c r="BL179" s="332">
        <f>SUMIFS(領用表!$L:$L,領用表!$E:$E,$B179,領用表!$B:$B,BL$2&amp;$BI$1)</f>
        <v>0</v>
      </c>
      <c r="BM179" s="332">
        <f>SUMIFS(領用表!$L:$L,領用表!$E:$E,$B179,領用表!$B:$B,BM$2&amp;$BI$1)</f>
        <v>0</v>
      </c>
      <c r="BN179" s="332">
        <f>SUMIFS(領用表!$L:$L,領用表!$E:$E,$B179,領用表!$B:$B,BN$2&amp;$BI$1)</f>
        <v>0</v>
      </c>
      <c r="BO179" s="332">
        <f>SUMIFS(領用表!$L:$L,領用表!$E:$E,$B179,領用表!$B:$B,BO$2&amp;$BI$1)</f>
        <v>0</v>
      </c>
      <c r="BP179" s="332">
        <f>SUMIFS(領用表!$L:$L,領用表!$E:$E,$B179,領用表!$B:$B,BP$2&amp;$BI$1)</f>
        <v>0</v>
      </c>
      <c r="BQ179" s="332">
        <f>SUMIFS(領用表!$L:$L,領用表!$E:$E,$B179,領用表!$B:$B,BQ$2&amp;$BI$1)</f>
        <v>0</v>
      </c>
      <c r="BR179" s="332">
        <f>SUMIFS(領用表!$L:$L,領用表!$E:$E,$B179,領用表!$B:$B,BR$2&amp;$BI$1)</f>
        <v>0</v>
      </c>
      <c r="BS179" s="332">
        <f>SUMIFS(領用表!$L:$L,領用表!$E:$E,$B179,領用表!$B:$B,BS$2&amp;$BI$1)</f>
        <v>0</v>
      </c>
      <c r="BT179" s="332">
        <f>SUMIFS(領用表!$L:$L,領用表!$E:$E,$B179,領用表!$B:$B,BT$2&amp;$BI$1)</f>
        <v>0</v>
      </c>
      <c r="BU179" s="332">
        <f t="shared" si="41"/>
        <v>0</v>
      </c>
      <c r="BV179" s="332">
        <f t="shared" si="43"/>
        <v>0</v>
      </c>
      <c r="BW179" s="332">
        <f>SUMIF(Summary!B:B,B179,Summary!DT:DT)</f>
        <v>0</v>
      </c>
      <c r="BX179" s="338"/>
      <c r="BY179" s="342"/>
      <c r="BZ179" s="341"/>
      <c r="CA179" s="343"/>
    </row>
    <row r="180" spans="1:81" s="118" customFormat="1" ht="15.75" customHeight="1">
      <c r="A180" s="136" t="s">
        <v>213</v>
      </c>
      <c r="B180" s="118" t="e">
        <v>#N/A</v>
      </c>
      <c r="C180" s="136" t="s">
        <v>585</v>
      </c>
      <c r="D180" s="285"/>
      <c r="E180" s="198" t="s">
        <v>15</v>
      </c>
      <c r="F180" s="349"/>
      <c r="G180" s="392"/>
      <c r="AR180" s="201"/>
      <c r="AS180" s="347"/>
      <c r="AT180" s="347"/>
      <c r="AU180" s="201"/>
      <c r="AV180" s="201"/>
      <c r="AW180" s="201"/>
      <c r="AX180" s="201"/>
      <c r="AY180" s="201"/>
      <c r="AZ180" s="203">
        <f>SUMIFS(領用表!$L:$L,領用表!$E:$E,$B180,領用表!$B:$B,AZ$2&amp;$BI$1)</f>
        <v>0</v>
      </c>
      <c r="BA180" s="203">
        <f>SUMIFS(領用表!$L:$L,領用表!$E:$E,$B180,領用表!$B:$B,BA$2&amp;$BI$1)</f>
        <v>0</v>
      </c>
      <c r="BB180" s="203">
        <f>SUMIFS(領用表!$L:$L,領用表!$E:$E,$B180,領用表!$B:$B,BB$2&amp;$BI$1)</f>
        <v>0</v>
      </c>
      <c r="BC180" s="203">
        <f>SUMIFS(領用表!$L:$L,領用表!$E:$E,$B180,領用表!$B:$B,BC$2&amp;$BI$1)</f>
        <v>0</v>
      </c>
      <c r="BD180" s="208">
        <f>SUMIFS(領用表!$L:$L,領用表!$E:$E,$B180,領用表!$B:$B,BD$2&amp;$BI$1)</f>
        <v>0</v>
      </c>
      <c r="BE180" s="208">
        <f>SUMIFS(領用表!$L:$L,領用表!$E:$E,$B180,領用表!$B:$B,BE$2&amp;$BI$1)</f>
        <v>0</v>
      </c>
      <c r="BF180" s="208">
        <f>SUMIFS(領用表!$L:$L,領用表!$E:$E,$B180,領用表!$B:$B,BF$2&amp;$BI$1)</f>
        <v>0</v>
      </c>
      <c r="BG180" s="207">
        <f t="shared" si="48"/>
        <v>0</v>
      </c>
      <c r="BH180" s="207">
        <f t="shared" si="49"/>
        <v>0</v>
      </c>
      <c r="BI180" s="208">
        <f>SUMIFS(領用表!$L:$L,領用表!$E:$E,$B180,領用表!$B:$B,BI$2&amp;$BI$1)</f>
        <v>0</v>
      </c>
      <c r="BJ180" s="332">
        <f>SUMIFS(領用表!$L:$L,領用表!$E:$E,$B180,領用表!$B:$B,BJ$2&amp;$BI$1)</f>
        <v>0</v>
      </c>
      <c r="BK180" s="332">
        <f>SUMIFS(領用表!$L:$L,領用表!$E:$E,$B180,領用表!$B:$B,BK$2&amp;$BI$1)</f>
        <v>0</v>
      </c>
      <c r="BL180" s="332">
        <f>SUMIFS(領用表!$L:$L,領用表!$E:$E,$B180,領用表!$B:$B,BL$2&amp;$BI$1)</f>
        <v>0</v>
      </c>
      <c r="BM180" s="332">
        <f>SUMIFS(領用表!$L:$L,領用表!$E:$E,$B180,領用表!$B:$B,BM$2&amp;$BI$1)</f>
        <v>0</v>
      </c>
      <c r="BN180" s="332">
        <f>SUMIFS(領用表!$L:$L,領用表!$E:$E,$B180,領用表!$B:$B,BN$2&amp;$BI$1)</f>
        <v>0</v>
      </c>
      <c r="BO180" s="332">
        <f>SUMIFS(領用表!$L:$L,領用表!$E:$E,$B180,領用表!$B:$B,BO$2&amp;$BI$1)</f>
        <v>0</v>
      </c>
      <c r="BP180" s="332">
        <f>SUMIFS(領用表!$L:$L,領用表!$E:$E,$B180,領用表!$B:$B,BP$2&amp;$BI$1)</f>
        <v>0</v>
      </c>
      <c r="BQ180" s="332">
        <f>SUMIFS(領用表!$L:$L,領用表!$E:$E,$B180,領用表!$B:$B,BQ$2&amp;$BI$1)</f>
        <v>0</v>
      </c>
      <c r="BR180" s="332">
        <f>SUMIFS(領用表!$L:$L,領用表!$E:$E,$B180,領用表!$B:$B,BR$2&amp;$BI$1)</f>
        <v>0</v>
      </c>
      <c r="BS180" s="332">
        <f>SUMIFS(領用表!$L:$L,領用表!$E:$E,$B180,領用表!$B:$B,BS$2&amp;$BI$1)</f>
        <v>0</v>
      </c>
      <c r="BT180" s="332">
        <f>SUMIFS(領用表!$L:$L,領用表!$E:$E,$B180,領用表!$B:$B,BT$2&amp;$BI$1)</f>
        <v>0</v>
      </c>
      <c r="BU180" s="332">
        <f t="shared" si="41"/>
        <v>0</v>
      </c>
      <c r="BV180" s="332">
        <f t="shared" si="43"/>
        <v>0</v>
      </c>
      <c r="BW180" s="332">
        <f>SUMIF(Summary!B:B,B180,Summary!DT:DT)</f>
        <v>0</v>
      </c>
      <c r="BX180" s="338"/>
      <c r="BY180" s="342"/>
      <c r="BZ180" s="340"/>
      <c r="CA180" s="340"/>
    </row>
    <row r="181" spans="1:81" s="118" customFormat="1" ht="15.75" customHeight="1">
      <c r="A181" s="136" t="s">
        <v>214</v>
      </c>
      <c r="B181" s="118" t="e">
        <v>#N/A</v>
      </c>
      <c r="C181" s="136" t="s">
        <v>586</v>
      </c>
      <c r="D181" s="285"/>
      <c r="E181" s="198" t="s">
        <v>15</v>
      </c>
      <c r="F181" s="349"/>
      <c r="G181" s="392"/>
      <c r="AR181" s="201"/>
      <c r="AS181" s="347"/>
      <c r="AT181" s="347"/>
      <c r="AU181" s="201"/>
      <c r="AV181" s="201"/>
      <c r="AW181" s="201"/>
      <c r="AX181" s="201"/>
      <c r="AY181" s="201"/>
      <c r="AZ181" s="203">
        <f>SUMIFS(領用表!$L:$L,領用表!$E:$E,$B181,領用表!$B:$B,AZ$2&amp;$BI$1)</f>
        <v>0</v>
      </c>
      <c r="BA181" s="203">
        <f>SUMIFS(領用表!$L:$L,領用表!$E:$E,$B181,領用表!$B:$B,BA$2&amp;$BI$1)</f>
        <v>0</v>
      </c>
      <c r="BB181" s="203">
        <f>SUMIFS(領用表!$L:$L,領用表!$E:$E,$B181,領用表!$B:$B,BB$2&amp;$BI$1)</f>
        <v>0</v>
      </c>
      <c r="BC181" s="203">
        <f>SUMIFS(領用表!$L:$L,領用表!$E:$E,$B181,領用表!$B:$B,BC$2&amp;$BI$1)</f>
        <v>0</v>
      </c>
      <c r="BD181" s="208">
        <f>SUMIFS(領用表!$L:$L,領用表!$E:$E,$B181,領用表!$B:$B,BD$2&amp;$BI$1)</f>
        <v>0</v>
      </c>
      <c r="BE181" s="208">
        <f>SUMIFS(領用表!$L:$L,領用表!$E:$E,$B181,領用表!$B:$B,BE$2&amp;$BI$1)</f>
        <v>0</v>
      </c>
      <c r="BF181" s="208">
        <f>SUMIFS(領用表!$L:$L,領用表!$E:$E,$B181,領用表!$B:$B,BF$2&amp;$BI$1)</f>
        <v>0</v>
      </c>
      <c r="BG181" s="207">
        <f t="shared" si="48"/>
        <v>0</v>
      </c>
      <c r="BH181" s="207">
        <f t="shared" si="49"/>
        <v>0</v>
      </c>
      <c r="BI181" s="208">
        <f>SUMIFS(領用表!$L:$L,領用表!$E:$E,$B181,領用表!$B:$B,BI$2&amp;$BI$1)</f>
        <v>0</v>
      </c>
      <c r="BJ181" s="332">
        <f>SUMIFS(領用表!$L:$L,領用表!$E:$E,$B181,領用表!$B:$B,BJ$2&amp;$BI$1)</f>
        <v>0</v>
      </c>
      <c r="BK181" s="332">
        <f>SUMIFS(領用表!$L:$L,領用表!$E:$E,$B181,領用表!$B:$B,BK$2&amp;$BI$1)</f>
        <v>0</v>
      </c>
      <c r="BL181" s="332">
        <f>SUMIFS(領用表!$L:$L,領用表!$E:$E,$B181,領用表!$B:$B,BL$2&amp;$BI$1)</f>
        <v>0</v>
      </c>
      <c r="BM181" s="332">
        <f>SUMIFS(領用表!$L:$L,領用表!$E:$E,$B181,領用表!$B:$B,BM$2&amp;$BI$1)</f>
        <v>0</v>
      </c>
      <c r="BN181" s="332">
        <f>SUMIFS(領用表!$L:$L,領用表!$E:$E,$B181,領用表!$B:$B,BN$2&amp;$BI$1)</f>
        <v>0</v>
      </c>
      <c r="BO181" s="332">
        <f>SUMIFS(領用表!$L:$L,領用表!$E:$E,$B181,領用表!$B:$B,BO$2&amp;$BI$1)</f>
        <v>0</v>
      </c>
      <c r="BP181" s="332">
        <f>SUMIFS(領用表!$L:$L,領用表!$E:$E,$B181,領用表!$B:$B,BP$2&amp;$BI$1)</f>
        <v>0</v>
      </c>
      <c r="BQ181" s="332">
        <f>SUMIFS(領用表!$L:$L,領用表!$E:$E,$B181,領用表!$B:$B,BQ$2&amp;$BI$1)</f>
        <v>0</v>
      </c>
      <c r="BR181" s="332">
        <f>SUMIFS(領用表!$L:$L,領用表!$E:$E,$B181,領用表!$B:$B,BR$2&amp;$BI$1)</f>
        <v>0</v>
      </c>
      <c r="BS181" s="332">
        <f>SUMIFS(領用表!$L:$L,領用表!$E:$E,$B181,領用表!$B:$B,BS$2&amp;$BI$1)</f>
        <v>0</v>
      </c>
      <c r="BT181" s="332">
        <f>SUMIFS(領用表!$L:$L,領用表!$E:$E,$B181,領用表!$B:$B,BT$2&amp;$BI$1)</f>
        <v>0</v>
      </c>
      <c r="BU181" s="332">
        <f t="shared" si="41"/>
        <v>0</v>
      </c>
      <c r="BV181" s="332">
        <f t="shared" si="43"/>
        <v>0</v>
      </c>
      <c r="BW181" s="332">
        <f>SUMIF(Summary!B:B,B181,Summary!DT:DT)</f>
        <v>0</v>
      </c>
      <c r="BX181" s="338"/>
      <c r="BY181" s="342"/>
      <c r="BZ181" s="340"/>
      <c r="CA181" s="340"/>
    </row>
    <row r="182" spans="1:81" s="118" customFormat="1" ht="15.75" customHeight="1">
      <c r="A182" s="136" t="s">
        <v>215</v>
      </c>
      <c r="B182" s="118" t="e">
        <v>#N/A</v>
      </c>
      <c r="C182" s="136" t="s">
        <v>587</v>
      </c>
      <c r="D182" s="285"/>
      <c r="E182" s="198" t="s">
        <v>15</v>
      </c>
      <c r="F182" s="349"/>
      <c r="G182" s="392"/>
      <c r="AR182" s="201"/>
      <c r="AS182" s="347"/>
      <c r="AT182" s="347"/>
      <c r="AU182" s="201"/>
      <c r="AV182" s="201"/>
      <c r="AW182" s="201"/>
      <c r="AX182" s="201"/>
      <c r="AY182" s="201"/>
      <c r="AZ182" s="203">
        <f>SUMIFS(領用表!$L:$L,領用表!$E:$E,$B182,領用表!$B:$B,AZ$2&amp;$BI$1)</f>
        <v>0</v>
      </c>
      <c r="BA182" s="203">
        <f>SUMIFS(領用表!$L:$L,領用表!$E:$E,$B182,領用表!$B:$B,BA$2&amp;$BI$1)</f>
        <v>0</v>
      </c>
      <c r="BB182" s="203">
        <f>SUMIFS(領用表!$L:$L,領用表!$E:$E,$B182,領用表!$B:$B,BB$2&amp;$BI$1)</f>
        <v>0</v>
      </c>
      <c r="BC182" s="203">
        <f>SUMIFS(領用表!$L:$L,領用表!$E:$E,$B182,領用表!$B:$B,BC$2&amp;$BI$1)</f>
        <v>0</v>
      </c>
      <c r="BD182" s="208">
        <f>SUMIFS(領用表!$L:$L,領用表!$E:$E,$B182,領用表!$B:$B,BD$2&amp;$BI$1)</f>
        <v>0</v>
      </c>
      <c r="BE182" s="208">
        <f>SUMIFS(領用表!$L:$L,領用表!$E:$E,$B182,領用表!$B:$B,BE$2&amp;$BI$1)</f>
        <v>0</v>
      </c>
      <c r="BF182" s="208">
        <f>SUMIFS(領用表!$L:$L,領用表!$E:$E,$B182,領用表!$B:$B,BF$2&amp;$BI$1)</f>
        <v>0</v>
      </c>
      <c r="BG182" s="207">
        <f t="shared" si="48"/>
        <v>0</v>
      </c>
      <c r="BH182" s="207">
        <f t="shared" si="49"/>
        <v>0</v>
      </c>
      <c r="BI182" s="208">
        <f>SUMIFS(領用表!$L:$L,領用表!$E:$E,$B182,領用表!$B:$B,BI$2&amp;$BI$1)</f>
        <v>0</v>
      </c>
      <c r="BJ182" s="332">
        <f>SUMIFS(領用表!$L:$L,領用表!$E:$E,$B182,領用表!$B:$B,BJ$2&amp;$BI$1)</f>
        <v>0</v>
      </c>
      <c r="BK182" s="332">
        <f>SUMIFS(領用表!$L:$L,領用表!$E:$E,$B182,領用表!$B:$B,BK$2&amp;$BI$1)</f>
        <v>0</v>
      </c>
      <c r="BL182" s="332">
        <f>SUMIFS(領用表!$L:$L,領用表!$E:$E,$B182,領用表!$B:$B,BL$2&amp;$BI$1)</f>
        <v>0</v>
      </c>
      <c r="BM182" s="332">
        <f>SUMIFS(領用表!$L:$L,領用表!$E:$E,$B182,領用表!$B:$B,BM$2&amp;$BI$1)</f>
        <v>0</v>
      </c>
      <c r="BN182" s="332">
        <f>SUMIFS(領用表!$L:$L,領用表!$E:$E,$B182,領用表!$B:$B,BN$2&amp;$BI$1)</f>
        <v>0</v>
      </c>
      <c r="BO182" s="332">
        <f>SUMIFS(領用表!$L:$L,領用表!$E:$E,$B182,領用表!$B:$B,BO$2&amp;$BI$1)</f>
        <v>0</v>
      </c>
      <c r="BP182" s="332">
        <f>SUMIFS(領用表!$L:$L,領用表!$E:$E,$B182,領用表!$B:$B,BP$2&amp;$BI$1)</f>
        <v>0</v>
      </c>
      <c r="BQ182" s="332">
        <f>SUMIFS(領用表!$L:$L,領用表!$E:$E,$B182,領用表!$B:$B,BQ$2&amp;$BI$1)</f>
        <v>0</v>
      </c>
      <c r="BR182" s="332">
        <f>SUMIFS(領用表!$L:$L,領用表!$E:$E,$B182,領用表!$B:$B,BR$2&amp;$BI$1)</f>
        <v>0</v>
      </c>
      <c r="BS182" s="332">
        <f>SUMIFS(領用表!$L:$L,領用表!$E:$E,$B182,領用表!$B:$B,BS$2&amp;$BI$1)</f>
        <v>0</v>
      </c>
      <c r="BT182" s="332">
        <f>SUMIFS(領用表!$L:$L,領用表!$E:$E,$B182,領用表!$B:$B,BT$2&amp;$BI$1)</f>
        <v>0</v>
      </c>
      <c r="BU182" s="332">
        <f t="shared" si="41"/>
        <v>0</v>
      </c>
      <c r="BV182" s="332">
        <f t="shared" si="43"/>
        <v>0</v>
      </c>
      <c r="BW182" s="332">
        <f>SUMIF(Summary!B:B,B182,Summary!DT:DT)</f>
        <v>0</v>
      </c>
      <c r="BX182" s="338"/>
      <c r="BY182" s="342"/>
      <c r="BZ182" s="340"/>
      <c r="CA182" s="340"/>
    </row>
    <row r="183" spans="1:81" s="118" customFormat="1" ht="15" hidden="1" customHeight="1">
      <c r="A183" s="136" t="s">
        <v>173</v>
      </c>
      <c r="B183" s="118">
        <v>1080002</v>
      </c>
      <c r="C183" s="136" t="s">
        <v>551</v>
      </c>
      <c r="D183" s="285"/>
      <c r="E183" s="198" t="s">
        <v>15</v>
      </c>
      <c r="F183" s="349"/>
      <c r="G183" s="392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83"/>
      <c r="AB183" s="283"/>
      <c r="AC183" s="283"/>
      <c r="AD183" s="283"/>
      <c r="AE183" s="283"/>
      <c r="AF183" s="283"/>
      <c r="AG183" s="201"/>
      <c r="AH183" s="201"/>
      <c r="AI183" s="201"/>
      <c r="AJ183" s="201"/>
      <c r="AK183" s="201"/>
      <c r="AL183" s="201"/>
      <c r="AM183" s="201"/>
      <c r="AN183" s="201">
        <v>800</v>
      </c>
      <c r="AO183" s="201">
        <v>800</v>
      </c>
      <c r="AP183" s="201">
        <v>800</v>
      </c>
      <c r="AQ183" s="201">
        <v>3200</v>
      </c>
      <c r="AR183" s="201">
        <v>4800</v>
      </c>
      <c r="AS183" s="283">
        <f>SUM(AG183:AR183)</f>
        <v>10400</v>
      </c>
      <c r="AT183" s="286">
        <f>AS183/12</f>
        <v>866.66666666666663</v>
      </c>
      <c r="AU183" s="201">
        <v>4649</v>
      </c>
      <c r="AV183" s="201">
        <v>2263</v>
      </c>
      <c r="AW183" s="201">
        <v>3200</v>
      </c>
      <c r="AX183" s="201">
        <v>800</v>
      </c>
      <c r="AY183" s="201">
        <v>0</v>
      </c>
      <c r="AZ183" s="203">
        <f>SUMIFS(領用表!$L:$L,領用表!$E:$E,$B183,領用表!$B:$B,AZ$2&amp;$BI$1)</f>
        <v>0</v>
      </c>
      <c r="BA183" s="203">
        <f>SUMIFS(領用表!$L:$L,領用表!$E:$E,$B183,領用表!$B:$B,BA$2&amp;$BI$1)</f>
        <v>0</v>
      </c>
      <c r="BB183" s="203">
        <f>SUMIFS(領用表!$L:$L,領用表!$E:$E,$B183,領用表!$B:$B,BB$2&amp;$BI$1)</f>
        <v>0</v>
      </c>
      <c r="BC183" s="203">
        <f>SUMIFS(領用表!$L:$L,領用表!$E:$E,$B183,領用表!$B:$B,BC$2&amp;$BI$1)</f>
        <v>0</v>
      </c>
      <c r="BD183" s="208">
        <f>SUMIFS(領用表!$L:$L,領用表!$E:$E,$B183,領用表!$B:$B,BD$2&amp;$BI$1)</f>
        <v>0</v>
      </c>
      <c r="BE183" s="208">
        <f>SUMIFS(領用表!$L:$L,領用表!$E:$E,$B183,領用表!$B:$B,BE$2&amp;$BI$1)</f>
        <v>0</v>
      </c>
      <c r="BF183" s="208">
        <f>SUMIFS(領用表!$L:$L,領用表!$E:$E,$B183,領用表!$B:$B,BF$2&amp;$BI$1)</f>
        <v>0</v>
      </c>
      <c r="BG183" s="207">
        <f t="shared" si="48"/>
        <v>10912</v>
      </c>
      <c r="BH183" s="207">
        <f t="shared" si="49"/>
        <v>909.33333333333337</v>
      </c>
      <c r="BI183" s="208">
        <f>SUMIFS(領用表!$L:$L,領用表!$E:$E,$B183,領用表!$B:$B,BI$2&amp;$BI$1)</f>
        <v>0</v>
      </c>
      <c r="BJ183" s="208">
        <f>SUMIFS(領用表!$L:$L,領用表!$E:$E,$B183,領用表!$B:$B,BJ$2&amp;$BI$1)</f>
        <v>0</v>
      </c>
      <c r="BK183" s="208">
        <f>SUMIFS(領用表!$L:$L,領用表!$E:$E,$B183,領用表!$B:$B,BK$2&amp;$BI$1)</f>
        <v>0</v>
      </c>
      <c r="BL183" s="208">
        <f>SUMIFS(領用表!$L:$L,領用表!$E:$E,$B183,領用表!$B:$B,BL$2&amp;$BI$1)</f>
        <v>0</v>
      </c>
      <c r="BM183" s="208">
        <f>SUMIFS(領用表!$L:$L,領用表!$E:$E,$B183,領用表!$B:$B,BM$2&amp;$BI$1)</f>
        <v>0</v>
      </c>
      <c r="BN183" s="208">
        <f>SUMIFS(領用表!$L:$L,領用表!$E:$E,$B183,領用表!$B:$B,BN$2&amp;$BI$1)</f>
        <v>0</v>
      </c>
      <c r="BO183" s="208">
        <f>SUMIFS(領用表!$L:$L,領用表!$E:$E,$B183,領用表!$B:$B,BO$2&amp;$BI$1)</f>
        <v>0</v>
      </c>
      <c r="BP183" s="208">
        <f>SUMIFS(領用表!$L:$L,領用表!$E:$E,$B183,領用表!$B:$B,BP$2&amp;$BI$1)</f>
        <v>0</v>
      </c>
      <c r="BQ183" s="208">
        <f>SUMIFS(領用表!$L:$L,領用表!$E:$E,$B183,領用表!$B:$B,BQ$2&amp;$BI$1)</f>
        <v>0</v>
      </c>
      <c r="BR183" s="208">
        <f>SUMIFS(領用表!$L:$L,領用表!$E:$E,$B183,領用表!$B:$B,BR$2&amp;$BI$1)</f>
        <v>0</v>
      </c>
      <c r="BS183" s="208">
        <f>SUMIFS(領用表!$L:$L,領用表!$E:$E,$B183,領用表!$B:$B,BS$2&amp;$BI$1)</f>
        <v>0</v>
      </c>
      <c r="BT183" s="208">
        <f>SUMIFS(領用表!$L:$L,領用表!$E:$E,$B183,領用表!$B:$B,BT$2&amp;$BI$1)</f>
        <v>0</v>
      </c>
      <c r="BU183" s="208">
        <f t="shared" si="41"/>
        <v>0</v>
      </c>
      <c r="BV183" s="208">
        <f t="shared" si="43"/>
        <v>0</v>
      </c>
      <c r="BW183" s="208">
        <f>SUMIF(Summary!B:B,B183,Summary!DT:DT)</f>
        <v>0</v>
      </c>
      <c r="BX183" s="258"/>
      <c r="BY183" s="340"/>
      <c r="BZ183" s="340"/>
      <c r="CA183" s="340"/>
      <c r="CB183" s="136"/>
      <c r="CC183" s="136"/>
    </row>
    <row r="184" spans="1:81" s="118" customFormat="1" ht="15" hidden="1" customHeight="1">
      <c r="A184" s="136" t="s">
        <v>174</v>
      </c>
      <c r="B184" s="118">
        <v>1080006</v>
      </c>
      <c r="C184" s="136" t="s">
        <v>552</v>
      </c>
      <c r="D184" s="285"/>
      <c r="E184" s="198" t="s">
        <v>15</v>
      </c>
      <c r="F184" s="349"/>
      <c r="G184" s="392"/>
      <c r="AG184" s="348"/>
      <c r="AH184" s="348"/>
      <c r="AI184" s="348"/>
      <c r="AJ184" s="348"/>
      <c r="AK184" s="348"/>
      <c r="AL184" s="348"/>
      <c r="AM184" s="348"/>
      <c r="AN184" s="201">
        <v>0</v>
      </c>
      <c r="AO184" s="201">
        <v>0</v>
      </c>
      <c r="AP184" s="201">
        <v>0</v>
      </c>
      <c r="AQ184" s="201">
        <v>50</v>
      </c>
      <c r="AR184" s="201">
        <v>0</v>
      </c>
      <c r="AS184" s="283">
        <f>SUM(AG184:AR184)</f>
        <v>50</v>
      </c>
      <c r="AT184" s="286">
        <f>AS184/12</f>
        <v>4.166666666666667</v>
      </c>
      <c r="AU184" s="201">
        <v>0</v>
      </c>
      <c r="AV184" s="201">
        <v>4620</v>
      </c>
      <c r="AW184" s="201">
        <v>0</v>
      </c>
      <c r="AX184" s="201">
        <v>0</v>
      </c>
      <c r="AY184" s="201">
        <v>2400</v>
      </c>
      <c r="AZ184" s="203">
        <f>SUMIFS(領用表!$L:$L,領用表!$E:$E,$B184,領用表!$B:$B,AZ$2&amp;$BI$1)</f>
        <v>0</v>
      </c>
      <c r="BA184" s="203">
        <f>SUMIFS(領用表!$L:$L,領用表!$E:$E,$B184,領用表!$B:$B,BA$2&amp;$BI$1)</f>
        <v>0</v>
      </c>
      <c r="BB184" s="203">
        <f>SUMIFS(領用表!$L:$L,領用表!$E:$E,$B184,領用表!$B:$B,BB$2&amp;$BI$1)</f>
        <v>0</v>
      </c>
      <c r="BC184" s="203">
        <f>SUMIFS(領用表!$L:$L,領用表!$E:$E,$B184,領用表!$B:$B,BC$2&amp;$BI$1)</f>
        <v>0</v>
      </c>
      <c r="BD184" s="208">
        <f>SUMIFS(領用表!$L:$L,領用表!$E:$E,$B184,領用表!$B:$B,BD$2&amp;$BI$1)</f>
        <v>0</v>
      </c>
      <c r="BE184" s="208">
        <f>SUMIFS(領用表!$L:$L,領用表!$E:$E,$B184,領用表!$B:$B,BE$2&amp;$BI$1)</f>
        <v>0</v>
      </c>
      <c r="BF184" s="208">
        <f>SUMIFS(領用表!$L:$L,領用表!$E:$E,$B184,領用表!$B:$B,BF$2&amp;$BI$1)</f>
        <v>0</v>
      </c>
      <c r="BG184" s="207">
        <f t="shared" si="48"/>
        <v>7020</v>
      </c>
      <c r="BH184" s="207">
        <f t="shared" si="49"/>
        <v>585</v>
      </c>
      <c r="BI184" s="208">
        <f>SUMIFS(領用表!$L:$L,領用表!$E:$E,$B184,領用表!$B:$B,BI$2&amp;$BI$1)</f>
        <v>0</v>
      </c>
      <c r="BJ184" s="208">
        <f>SUMIFS(領用表!$L:$L,領用表!$E:$E,$B184,領用表!$B:$B,BJ$2&amp;$BI$1)</f>
        <v>0</v>
      </c>
      <c r="BK184" s="208">
        <f>SUMIFS(領用表!$L:$L,領用表!$E:$E,$B184,領用表!$B:$B,BK$2&amp;$BI$1)</f>
        <v>0</v>
      </c>
      <c r="BL184" s="208">
        <f>SUMIFS(領用表!$L:$L,領用表!$E:$E,$B184,領用表!$B:$B,BL$2&amp;$BI$1)</f>
        <v>0</v>
      </c>
      <c r="BM184" s="208">
        <f>SUMIFS(領用表!$L:$L,領用表!$E:$E,$B184,領用表!$B:$B,BM$2&amp;$BI$1)</f>
        <v>0</v>
      </c>
      <c r="BN184" s="208">
        <f>SUMIFS(領用表!$L:$L,領用表!$E:$E,$B184,領用表!$B:$B,BN$2&amp;$BI$1)</f>
        <v>0</v>
      </c>
      <c r="BO184" s="208">
        <f>SUMIFS(領用表!$L:$L,領用表!$E:$E,$B184,領用表!$B:$B,BO$2&amp;$BI$1)</f>
        <v>0</v>
      </c>
      <c r="BP184" s="208">
        <f>SUMIFS(領用表!$L:$L,領用表!$E:$E,$B184,領用表!$B:$B,BP$2&amp;$BI$1)</f>
        <v>0</v>
      </c>
      <c r="BQ184" s="208">
        <f>SUMIFS(領用表!$L:$L,領用表!$E:$E,$B184,領用表!$B:$B,BQ$2&amp;$BI$1)</f>
        <v>0</v>
      </c>
      <c r="BR184" s="208">
        <f>SUMIFS(領用表!$L:$L,領用表!$E:$E,$B184,領用表!$B:$B,BR$2&amp;$BI$1)</f>
        <v>0</v>
      </c>
      <c r="BS184" s="208">
        <f>SUMIFS(領用表!$L:$L,領用表!$E:$E,$B184,領用表!$B:$B,BS$2&amp;$BI$1)</f>
        <v>0</v>
      </c>
      <c r="BT184" s="208">
        <f>SUMIFS(領用表!$L:$L,領用表!$E:$E,$B184,領用表!$B:$B,BT$2&amp;$BI$1)</f>
        <v>0</v>
      </c>
      <c r="BU184" s="208">
        <f t="shared" si="41"/>
        <v>0</v>
      </c>
      <c r="BV184" s="208">
        <f t="shared" si="43"/>
        <v>0</v>
      </c>
      <c r="BW184" s="208">
        <f>SUMIF(Summary!B:B,B184,Summary!DT:DT)</f>
        <v>0</v>
      </c>
      <c r="BX184" s="258"/>
      <c r="BY184" s="340"/>
      <c r="BZ184" s="340"/>
      <c r="CA184" s="341"/>
    </row>
    <row r="185" spans="1:81" s="118" customFormat="1" ht="15" hidden="1" customHeight="1">
      <c r="A185" s="136" t="s">
        <v>176</v>
      </c>
      <c r="B185" s="118">
        <v>6080005</v>
      </c>
      <c r="C185" s="136" t="s">
        <v>554</v>
      </c>
      <c r="D185" s="285"/>
      <c r="E185" s="198" t="s">
        <v>15</v>
      </c>
      <c r="F185" s="349"/>
      <c r="G185" s="392"/>
      <c r="AG185" s="348"/>
      <c r="AH185" s="348"/>
      <c r="AI185" s="348"/>
      <c r="AJ185" s="348"/>
      <c r="AK185" s="348"/>
      <c r="AL185" s="348"/>
      <c r="AM185" s="348"/>
      <c r="AN185" s="201"/>
      <c r="AO185" s="201"/>
      <c r="AP185" s="201"/>
      <c r="AQ185" s="201"/>
      <c r="AR185" s="201"/>
      <c r="AS185" s="283">
        <v>0</v>
      </c>
      <c r="AT185" s="286">
        <v>0</v>
      </c>
      <c r="AU185" s="201">
        <v>0</v>
      </c>
      <c r="AV185" s="201">
        <v>0</v>
      </c>
      <c r="AW185" s="201">
        <v>0</v>
      </c>
      <c r="AX185" s="201">
        <v>800</v>
      </c>
      <c r="AY185" s="201">
        <v>0</v>
      </c>
      <c r="AZ185" s="203">
        <f>SUMIFS(領用表!$L:$L,領用表!$E:$E,$B185,領用表!$B:$B,AZ$2&amp;$BI$1)</f>
        <v>0</v>
      </c>
      <c r="BA185" s="203">
        <f>SUMIFS(領用表!$L:$L,領用表!$E:$E,$B185,領用表!$B:$B,BA$2&amp;$BI$1)</f>
        <v>0</v>
      </c>
      <c r="BB185" s="203">
        <f>SUMIFS(領用表!$L:$L,領用表!$E:$E,$B185,領用表!$B:$B,BB$2&amp;$BI$1)</f>
        <v>0</v>
      </c>
      <c r="BC185" s="203">
        <f>SUMIFS(領用表!$L:$L,領用表!$E:$E,$B185,領用表!$B:$B,BC$2&amp;$BI$1)</f>
        <v>0</v>
      </c>
      <c r="BD185" s="208">
        <f>SUMIFS(領用表!$L:$L,領用表!$E:$E,$B185,領用表!$B:$B,BD$2&amp;$BI$1)</f>
        <v>0</v>
      </c>
      <c r="BE185" s="208">
        <f>SUMIFS(領用表!$L:$L,領用表!$E:$E,$B185,領用表!$B:$B,BE$2&amp;$BI$1)</f>
        <v>0</v>
      </c>
      <c r="BF185" s="208">
        <f>SUMIFS(領用表!$L:$L,領用表!$E:$E,$B185,領用表!$B:$B,BF$2&amp;$BI$1)</f>
        <v>0</v>
      </c>
      <c r="BG185" s="207">
        <f t="shared" si="48"/>
        <v>800</v>
      </c>
      <c r="BH185" s="207">
        <f t="shared" si="49"/>
        <v>66.666666666666671</v>
      </c>
      <c r="BI185" s="208">
        <f>SUMIFS(領用表!$L:$L,領用表!$E:$E,$B185,領用表!$B:$B,BI$2&amp;$BI$1)</f>
        <v>0</v>
      </c>
      <c r="BJ185" s="208">
        <f>SUMIFS(領用表!$L:$L,領用表!$E:$E,$B185,領用表!$B:$B,BJ$2&amp;$BI$1)</f>
        <v>0</v>
      </c>
      <c r="BK185" s="208">
        <f>SUMIFS(領用表!$L:$L,領用表!$E:$E,$B185,領用表!$B:$B,BK$2&amp;$BI$1)</f>
        <v>0</v>
      </c>
      <c r="BL185" s="208">
        <f>SUMIFS(領用表!$L:$L,領用表!$E:$E,$B185,領用表!$B:$B,BL$2&amp;$BI$1)</f>
        <v>0</v>
      </c>
      <c r="BM185" s="208">
        <f>SUMIFS(領用表!$L:$L,領用表!$E:$E,$B185,領用表!$B:$B,BM$2&amp;$BI$1)</f>
        <v>0</v>
      </c>
      <c r="BN185" s="208">
        <f>SUMIFS(領用表!$L:$L,領用表!$E:$E,$B185,領用表!$B:$B,BN$2&amp;$BI$1)</f>
        <v>0</v>
      </c>
      <c r="BO185" s="208">
        <f>SUMIFS(領用表!$L:$L,領用表!$E:$E,$B185,領用表!$B:$B,BO$2&amp;$BI$1)</f>
        <v>0</v>
      </c>
      <c r="BP185" s="208">
        <f>SUMIFS(領用表!$L:$L,領用表!$E:$E,$B185,領用表!$B:$B,BP$2&amp;$BI$1)</f>
        <v>0</v>
      </c>
      <c r="BQ185" s="208">
        <f>SUMIFS(領用表!$L:$L,領用表!$E:$E,$B185,領用表!$B:$B,BQ$2&amp;$BI$1)</f>
        <v>0</v>
      </c>
      <c r="BR185" s="208">
        <f>SUMIFS(領用表!$L:$L,領用表!$E:$E,$B185,領用表!$B:$B,BR$2&amp;$BI$1)</f>
        <v>0</v>
      </c>
      <c r="BS185" s="208">
        <f>SUMIFS(領用表!$L:$L,領用表!$E:$E,$B185,領用表!$B:$B,BS$2&amp;$BI$1)</f>
        <v>0</v>
      </c>
      <c r="BT185" s="208">
        <f>SUMIFS(領用表!$L:$L,領用表!$E:$E,$B185,領用表!$B:$B,BT$2&amp;$BI$1)</f>
        <v>0</v>
      </c>
      <c r="BU185" s="208">
        <f t="shared" si="41"/>
        <v>0</v>
      </c>
      <c r="BV185" s="208">
        <f t="shared" si="43"/>
        <v>0</v>
      </c>
      <c r="BW185" s="208">
        <f>SUMIF(Summary!B:B,B185,Summary!DT:DT)</f>
        <v>0</v>
      </c>
      <c r="BX185" s="258"/>
      <c r="BY185" s="340"/>
      <c r="BZ185" s="340"/>
      <c r="CA185" s="340"/>
    </row>
    <row r="186" spans="1:81" s="118" customFormat="1" ht="15" hidden="1" customHeight="1">
      <c r="A186" s="136" t="s">
        <v>210</v>
      </c>
      <c r="B186" s="118">
        <v>1080005</v>
      </c>
      <c r="C186" s="136" t="s">
        <v>582</v>
      </c>
      <c r="D186" s="285"/>
      <c r="E186" s="198" t="s">
        <v>15</v>
      </c>
      <c r="F186" s="349"/>
      <c r="G186" s="392"/>
      <c r="AG186" s="348"/>
      <c r="AH186" s="348"/>
      <c r="AI186" s="348"/>
      <c r="AJ186" s="348"/>
      <c r="AK186" s="348"/>
      <c r="AL186" s="348"/>
      <c r="AM186" s="348"/>
      <c r="AN186" s="201"/>
      <c r="AO186" s="201"/>
      <c r="AP186" s="201"/>
      <c r="AQ186" s="201"/>
      <c r="AR186" s="201"/>
      <c r="AS186" s="283">
        <f>SUM(AG186:AR186)</f>
        <v>0</v>
      </c>
      <c r="AT186" s="286">
        <f>AS186/12</f>
        <v>0</v>
      </c>
      <c r="AU186" s="201">
        <v>1400</v>
      </c>
      <c r="AV186" s="201">
        <v>2700</v>
      </c>
      <c r="AW186" s="201">
        <v>1200</v>
      </c>
      <c r="AX186" s="201">
        <v>0</v>
      </c>
      <c r="AY186" s="201">
        <v>0</v>
      </c>
      <c r="AZ186" s="203">
        <f>SUMIFS(領用表!$L:$L,領用表!$E:$E,$B186,領用表!$B:$B,AZ$2&amp;$BI$1)</f>
        <v>0</v>
      </c>
      <c r="BA186" s="203">
        <f>SUMIFS(領用表!$L:$L,領用表!$E:$E,$B186,領用表!$B:$B,BA$2&amp;$BI$1)</f>
        <v>0</v>
      </c>
      <c r="BB186" s="203">
        <f>SUMIFS(領用表!$L:$L,領用表!$E:$E,$B186,領用表!$B:$B,BB$2&amp;$BI$1)</f>
        <v>0</v>
      </c>
      <c r="BC186" s="203">
        <f>SUMIFS(領用表!$L:$L,領用表!$E:$E,$B186,領用表!$B:$B,BC$2&amp;$BI$1)</f>
        <v>0</v>
      </c>
      <c r="BD186" s="208">
        <f>SUMIFS(領用表!$L:$L,領用表!$E:$E,$B186,領用表!$B:$B,BD$2&amp;$BI$1)</f>
        <v>0</v>
      </c>
      <c r="BE186" s="208">
        <f>SUMIFS(領用表!$L:$L,領用表!$E:$E,$B186,領用表!$B:$B,BE$2&amp;$BI$1)</f>
        <v>0</v>
      </c>
      <c r="BF186" s="208">
        <f>SUMIFS(領用表!$L:$L,領用表!$E:$E,$B186,領用表!$B:$B,BF$2&amp;$BI$1)</f>
        <v>0</v>
      </c>
      <c r="BG186" s="207">
        <f t="shared" si="48"/>
        <v>5300</v>
      </c>
      <c r="BH186" s="207">
        <f t="shared" si="49"/>
        <v>441.66666666666669</v>
      </c>
      <c r="BI186" s="208">
        <f>SUMIFS(領用表!$L:$L,領用表!$E:$E,$B186,領用表!$B:$B,BI$2&amp;$BI$1)</f>
        <v>0</v>
      </c>
      <c r="BJ186" s="208">
        <f>SUMIFS(領用表!$L:$L,領用表!$E:$E,$B186,領用表!$B:$B,BJ$2&amp;$BI$1)</f>
        <v>0</v>
      </c>
      <c r="BK186" s="208">
        <f>SUMIFS(領用表!$L:$L,領用表!$E:$E,$B186,領用表!$B:$B,BK$2&amp;$BI$1)</f>
        <v>0</v>
      </c>
      <c r="BL186" s="208">
        <f>SUMIFS(領用表!$L:$L,領用表!$E:$E,$B186,領用表!$B:$B,BL$2&amp;$BI$1)</f>
        <v>0</v>
      </c>
      <c r="BM186" s="208">
        <f>SUMIFS(領用表!$L:$L,領用表!$E:$E,$B186,領用表!$B:$B,BM$2&amp;$BI$1)</f>
        <v>0</v>
      </c>
      <c r="BN186" s="208">
        <f>SUMIFS(領用表!$L:$L,領用表!$E:$E,$B186,領用表!$B:$B,BN$2&amp;$BI$1)</f>
        <v>0</v>
      </c>
      <c r="BO186" s="208">
        <f>SUMIFS(領用表!$L:$L,領用表!$E:$E,$B186,領用表!$B:$B,BO$2&amp;$BI$1)</f>
        <v>0</v>
      </c>
      <c r="BP186" s="208">
        <f>SUMIFS(領用表!$L:$L,領用表!$E:$E,$B186,領用表!$B:$B,BP$2&amp;$BI$1)</f>
        <v>0</v>
      </c>
      <c r="BQ186" s="208">
        <f>SUMIFS(領用表!$L:$L,領用表!$E:$E,$B186,領用表!$B:$B,BQ$2&amp;$BI$1)</f>
        <v>0</v>
      </c>
      <c r="BR186" s="208">
        <f>SUMIFS(領用表!$L:$L,領用表!$E:$E,$B186,領用表!$B:$B,BR$2&amp;$BI$1)</f>
        <v>0</v>
      </c>
      <c r="BS186" s="208">
        <f>SUMIFS(領用表!$L:$L,領用表!$E:$E,$B186,領用表!$B:$B,BS$2&amp;$BI$1)</f>
        <v>0</v>
      </c>
      <c r="BT186" s="208">
        <f>SUMIFS(領用表!$L:$L,領用表!$E:$E,$B186,領用表!$B:$B,BT$2&amp;$BI$1)</f>
        <v>0</v>
      </c>
      <c r="BU186" s="208">
        <f t="shared" si="41"/>
        <v>0</v>
      </c>
      <c r="BV186" s="208">
        <f t="shared" si="43"/>
        <v>0</v>
      </c>
      <c r="BW186" s="208">
        <f>SUMIF(Summary!B:B,B186,Summary!DT:DT)</f>
        <v>0</v>
      </c>
      <c r="BX186" s="258"/>
      <c r="BY186" s="340"/>
      <c r="BZ186" s="340"/>
      <c r="CA186" s="340"/>
    </row>
    <row r="187" spans="1:81" s="118" customFormat="1" ht="15" hidden="1" customHeight="1">
      <c r="A187" s="136" t="s">
        <v>216</v>
      </c>
      <c r="B187" s="118" t="e">
        <v>#N/A</v>
      </c>
      <c r="C187" s="136" t="s">
        <v>588</v>
      </c>
      <c r="D187" s="285"/>
      <c r="E187" s="198" t="s">
        <v>15</v>
      </c>
      <c r="F187" s="349"/>
      <c r="G187" s="392"/>
      <c r="AG187" s="348"/>
      <c r="AH187" s="348"/>
      <c r="AI187" s="348"/>
      <c r="AJ187" s="348"/>
      <c r="AK187" s="348"/>
      <c r="AL187" s="348"/>
      <c r="AM187" s="348"/>
      <c r="AN187" s="201">
        <v>0</v>
      </c>
      <c r="AO187" s="201">
        <v>0</v>
      </c>
      <c r="AP187" s="201">
        <v>0</v>
      </c>
      <c r="AQ187" s="201">
        <v>0</v>
      </c>
      <c r="AR187" s="201">
        <v>18</v>
      </c>
      <c r="AS187" s="283">
        <f>SUM(AG187:AR187)</f>
        <v>18</v>
      </c>
      <c r="AT187" s="286">
        <f>AS187/12</f>
        <v>1.5</v>
      </c>
      <c r="AU187" s="201">
        <v>18</v>
      </c>
      <c r="AV187" s="201">
        <v>0</v>
      </c>
      <c r="AW187" s="201">
        <v>0</v>
      </c>
      <c r="AX187" s="201">
        <v>360</v>
      </c>
      <c r="AY187" s="201">
        <v>0</v>
      </c>
      <c r="AZ187" s="203">
        <f>SUMIFS(領用表!$L:$L,領用表!$E:$E,$B187,領用表!$B:$B,AZ$2&amp;$BI$1)</f>
        <v>0</v>
      </c>
      <c r="BA187" s="203">
        <f>SUMIFS(領用表!$L:$L,領用表!$E:$E,$B187,領用表!$B:$B,BA$2&amp;$BI$1)</f>
        <v>0</v>
      </c>
      <c r="BB187" s="203">
        <f>SUMIFS(領用表!$L:$L,領用表!$E:$E,$B187,領用表!$B:$B,BB$2&amp;$BI$1)</f>
        <v>0</v>
      </c>
      <c r="BC187" s="203">
        <f>SUMIFS(領用表!$L:$L,領用表!$E:$E,$B187,領用表!$B:$B,BC$2&amp;$BI$1)</f>
        <v>0</v>
      </c>
      <c r="BD187" s="208">
        <f>SUMIFS(領用表!$L:$L,領用表!$E:$E,$B187,領用表!$B:$B,BD$2&amp;$BI$1)</f>
        <v>0</v>
      </c>
      <c r="BE187" s="208">
        <f>SUMIFS(領用表!$L:$L,領用表!$E:$E,$B187,領用表!$B:$B,BE$2&amp;$BI$1)</f>
        <v>0</v>
      </c>
      <c r="BF187" s="208">
        <f>SUMIFS(領用表!$L:$L,領用表!$E:$E,$B187,領用表!$B:$B,BF$2&amp;$BI$1)</f>
        <v>0</v>
      </c>
      <c r="BG187" s="207">
        <f t="shared" si="48"/>
        <v>378</v>
      </c>
      <c r="BH187" s="207">
        <f t="shared" si="49"/>
        <v>31.5</v>
      </c>
      <c r="BI187" s="208">
        <f>SUMIFS(領用表!$L:$L,領用表!$E:$E,$B187,領用表!$B:$B,BI$2&amp;$BI$1)</f>
        <v>0</v>
      </c>
      <c r="BJ187" s="208">
        <f>SUMIFS(領用表!$L:$L,領用表!$E:$E,$B187,領用表!$B:$B,BJ$2&amp;$BI$1)</f>
        <v>0</v>
      </c>
      <c r="BK187" s="208">
        <f>SUMIFS(領用表!$L:$L,領用表!$E:$E,$B187,領用表!$B:$B,BK$2&amp;$BI$1)</f>
        <v>0</v>
      </c>
      <c r="BL187" s="208">
        <f>SUMIFS(領用表!$L:$L,領用表!$E:$E,$B187,領用表!$B:$B,BL$2&amp;$BI$1)</f>
        <v>0</v>
      </c>
      <c r="BM187" s="208">
        <f>SUMIFS(領用表!$L:$L,領用表!$E:$E,$B187,領用表!$B:$B,BM$2&amp;$BI$1)</f>
        <v>0</v>
      </c>
      <c r="BN187" s="208">
        <f>SUMIFS(領用表!$L:$L,領用表!$E:$E,$B187,領用表!$B:$B,BN$2&amp;$BI$1)</f>
        <v>0</v>
      </c>
      <c r="BO187" s="208">
        <f>SUMIFS(領用表!$L:$L,領用表!$E:$E,$B187,領用表!$B:$B,BO$2&amp;$BI$1)</f>
        <v>0</v>
      </c>
      <c r="BP187" s="208">
        <f>SUMIFS(領用表!$L:$L,領用表!$E:$E,$B187,領用表!$B:$B,BP$2&amp;$BI$1)</f>
        <v>0</v>
      </c>
      <c r="BQ187" s="208">
        <f>SUMIFS(領用表!$L:$L,領用表!$E:$E,$B187,領用表!$B:$B,BQ$2&amp;$BI$1)</f>
        <v>0</v>
      </c>
      <c r="BR187" s="208">
        <f>SUMIFS(領用表!$L:$L,領用表!$E:$E,$B187,領用表!$B:$B,BR$2&amp;$BI$1)</f>
        <v>0</v>
      </c>
      <c r="BS187" s="208">
        <f>SUMIFS(領用表!$L:$L,領用表!$E:$E,$B187,領用表!$B:$B,BS$2&amp;$BI$1)</f>
        <v>0</v>
      </c>
      <c r="BT187" s="208">
        <f>SUMIFS(領用表!$L:$L,領用表!$E:$E,$B187,領用表!$B:$B,BT$2&amp;$BI$1)</f>
        <v>0</v>
      </c>
      <c r="BU187" s="208">
        <f t="shared" si="41"/>
        <v>0</v>
      </c>
      <c r="BV187" s="208">
        <f t="shared" si="43"/>
        <v>0</v>
      </c>
      <c r="BW187" s="208">
        <f>SUMIF(Summary!B:B,B187,Summary!DT:DT)</f>
        <v>0</v>
      </c>
      <c r="BX187" s="258"/>
      <c r="BY187" s="340"/>
      <c r="BZ187" s="340"/>
      <c r="CA187" s="340"/>
    </row>
    <row r="188" spans="1:81" s="118" customFormat="1" ht="15" hidden="1" customHeight="1">
      <c r="A188" s="136" t="s">
        <v>205</v>
      </c>
      <c r="B188" s="118" t="e">
        <v>#N/A</v>
      </c>
      <c r="C188" s="136" t="s">
        <v>577</v>
      </c>
      <c r="D188" s="285"/>
      <c r="E188" s="198" t="s">
        <v>15</v>
      </c>
      <c r="F188" s="349"/>
      <c r="G188" s="392"/>
      <c r="AR188" s="201">
        <v>0</v>
      </c>
      <c r="AS188" s="347">
        <v>0</v>
      </c>
      <c r="AT188" s="347">
        <v>0</v>
      </c>
      <c r="AU188" s="201">
        <v>280</v>
      </c>
      <c r="AV188" s="201">
        <v>840</v>
      </c>
      <c r="AW188" s="201">
        <v>584</v>
      </c>
      <c r="AX188" s="201">
        <v>0</v>
      </c>
      <c r="AY188" s="201">
        <v>0</v>
      </c>
      <c r="AZ188" s="203">
        <f>SUMIFS(領用表!$L:$L,領用表!$E:$E,$B188,領用表!$B:$B,AZ$2&amp;$BI$1)</f>
        <v>0</v>
      </c>
      <c r="BA188" s="203">
        <f>SUMIFS(領用表!$L:$L,領用表!$E:$E,$B188,領用表!$B:$B,BA$2&amp;$BI$1)</f>
        <v>0</v>
      </c>
      <c r="BB188" s="203">
        <f>SUMIFS(領用表!$L:$L,領用表!$E:$E,$B188,領用表!$B:$B,BB$2&amp;$BI$1)</f>
        <v>0</v>
      </c>
      <c r="BC188" s="203">
        <f>SUMIFS(領用表!$L:$L,領用表!$E:$E,$B188,領用表!$B:$B,BC$2&amp;$BI$1)</f>
        <v>0</v>
      </c>
      <c r="BD188" s="208">
        <f>SUMIFS(領用表!$L:$L,領用表!$E:$E,$B188,領用表!$B:$B,BD$2&amp;$BI$1)</f>
        <v>0</v>
      </c>
      <c r="BE188" s="208">
        <f>SUMIFS(領用表!$L:$L,領用表!$E:$E,$B188,領用表!$B:$B,BE$2&amp;$BI$1)</f>
        <v>0</v>
      </c>
      <c r="BF188" s="208">
        <f>SUMIFS(領用表!$L:$L,領用表!$E:$E,$B188,領用表!$B:$B,BF$2&amp;$BI$1)</f>
        <v>0</v>
      </c>
      <c r="BG188" s="207">
        <f t="shared" si="48"/>
        <v>1704</v>
      </c>
      <c r="BH188" s="207">
        <f t="shared" si="49"/>
        <v>142</v>
      </c>
      <c r="BI188" s="208">
        <f>SUMIFS(領用表!$L:$L,領用表!$E:$E,$B188,領用表!$B:$B,BI$2&amp;$BI$1)</f>
        <v>0</v>
      </c>
      <c r="BJ188" s="208">
        <f>SUMIFS(領用表!$L:$L,領用表!$E:$E,$B188,領用表!$B:$B,BJ$2&amp;$BI$1)</f>
        <v>0</v>
      </c>
      <c r="BK188" s="208">
        <f>SUMIFS(領用表!$L:$L,領用表!$E:$E,$B188,領用表!$B:$B,BK$2&amp;$BI$1)</f>
        <v>0</v>
      </c>
      <c r="BL188" s="208">
        <f>SUMIFS(領用表!$L:$L,領用表!$E:$E,$B188,領用表!$B:$B,BL$2&amp;$BI$1)</f>
        <v>0</v>
      </c>
      <c r="BM188" s="208">
        <f>SUMIFS(領用表!$L:$L,領用表!$E:$E,$B188,領用表!$B:$B,BM$2&amp;$BI$1)</f>
        <v>0</v>
      </c>
      <c r="BN188" s="208">
        <f>SUMIFS(領用表!$L:$L,領用表!$E:$E,$B188,領用表!$B:$B,BN$2&amp;$BI$1)</f>
        <v>0</v>
      </c>
      <c r="BO188" s="208">
        <f>SUMIFS(領用表!$L:$L,領用表!$E:$E,$B188,領用表!$B:$B,BO$2&amp;$BI$1)</f>
        <v>0</v>
      </c>
      <c r="BP188" s="208">
        <f>SUMIFS(領用表!$L:$L,領用表!$E:$E,$B188,領用表!$B:$B,BP$2&amp;$BI$1)</f>
        <v>0</v>
      </c>
      <c r="BQ188" s="208">
        <f>SUMIFS(領用表!$L:$L,領用表!$E:$E,$B188,領用表!$B:$B,BQ$2&amp;$BI$1)</f>
        <v>0</v>
      </c>
      <c r="BR188" s="208">
        <f>SUMIFS(領用表!$L:$L,領用表!$E:$E,$B188,領用表!$B:$B,BR$2&amp;$BI$1)</f>
        <v>0</v>
      </c>
      <c r="BS188" s="208">
        <f>SUMIFS(領用表!$L:$L,領用表!$E:$E,$B188,領用表!$B:$B,BS$2&amp;$BI$1)</f>
        <v>0</v>
      </c>
      <c r="BT188" s="208">
        <f>SUMIFS(領用表!$L:$L,領用表!$E:$E,$B188,領用表!$B:$B,BT$2&amp;$BI$1)</f>
        <v>0</v>
      </c>
      <c r="BU188" s="208">
        <f t="shared" si="41"/>
        <v>0</v>
      </c>
      <c r="BV188" s="208">
        <f t="shared" si="43"/>
        <v>0</v>
      </c>
      <c r="BW188" s="208">
        <f>SUMIF(Summary!B:B,B188,Summary!DT:DT)</f>
        <v>0</v>
      </c>
      <c r="BX188" s="258"/>
      <c r="BY188" s="340"/>
      <c r="BZ188" s="340"/>
      <c r="CA188" s="340"/>
    </row>
    <row r="189" spans="1:81" s="118" customFormat="1" ht="15" hidden="1" customHeight="1">
      <c r="A189" s="136" t="s">
        <v>206</v>
      </c>
      <c r="B189" s="118" t="e">
        <v>#N/A</v>
      </c>
      <c r="C189" s="136" t="s">
        <v>578</v>
      </c>
      <c r="D189" s="285"/>
      <c r="E189" s="198" t="s">
        <v>15</v>
      </c>
      <c r="F189" s="349"/>
      <c r="G189" s="392"/>
      <c r="AR189" s="201">
        <v>0</v>
      </c>
      <c r="AS189" s="347">
        <v>0</v>
      </c>
      <c r="AT189" s="347">
        <v>0</v>
      </c>
      <c r="AU189" s="201">
        <v>95</v>
      </c>
      <c r="AV189" s="201">
        <v>0</v>
      </c>
      <c r="AW189" s="201">
        <v>0</v>
      </c>
      <c r="AX189" s="201" t="s">
        <v>49</v>
      </c>
      <c r="AY189" s="201">
        <v>0</v>
      </c>
      <c r="AZ189" s="203">
        <f>SUMIFS(領用表!$L:$L,領用表!$E:$E,$B189,領用表!$B:$B,AZ$2&amp;$BI$1)</f>
        <v>0</v>
      </c>
      <c r="BA189" s="203">
        <f>SUMIFS(領用表!$L:$L,領用表!$E:$E,$B189,領用表!$B:$B,BA$2&amp;$BI$1)</f>
        <v>0</v>
      </c>
      <c r="BB189" s="203">
        <f>SUMIFS(領用表!$L:$L,領用表!$E:$E,$B189,領用表!$B:$B,BB$2&amp;$BI$1)</f>
        <v>0</v>
      </c>
      <c r="BC189" s="203">
        <f>SUMIFS(領用表!$L:$L,領用表!$E:$E,$B189,領用表!$B:$B,BC$2&amp;$BI$1)</f>
        <v>0</v>
      </c>
      <c r="BD189" s="208">
        <f>SUMIFS(領用表!$L:$L,領用表!$E:$E,$B189,領用表!$B:$B,BD$2&amp;$BI$1)</f>
        <v>0</v>
      </c>
      <c r="BE189" s="208">
        <f>SUMIFS(領用表!$L:$L,領用表!$E:$E,$B189,領用表!$B:$B,BE$2&amp;$BI$1)</f>
        <v>0</v>
      </c>
      <c r="BF189" s="208">
        <f>SUMIFS(領用表!$L:$L,領用表!$E:$E,$B189,領用表!$B:$B,BF$2&amp;$BI$1)</f>
        <v>0</v>
      </c>
      <c r="BG189" s="207">
        <f t="shared" si="48"/>
        <v>95</v>
      </c>
      <c r="BH189" s="207">
        <f t="shared" si="49"/>
        <v>8.6363636363636367</v>
      </c>
      <c r="BI189" s="208">
        <f>SUMIFS(領用表!$L:$L,領用表!$E:$E,$B189,領用表!$B:$B,BI$2&amp;$BI$1)</f>
        <v>0</v>
      </c>
      <c r="BJ189" s="208">
        <f>SUMIFS(領用表!$L:$L,領用表!$E:$E,$B189,領用表!$B:$B,BJ$2&amp;$BI$1)</f>
        <v>0</v>
      </c>
      <c r="BK189" s="208">
        <f>SUMIFS(領用表!$L:$L,領用表!$E:$E,$B189,領用表!$B:$B,BK$2&amp;$BI$1)</f>
        <v>0</v>
      </c>
      <c r="BL189" s="208">
        <f>SUMIFS(領用表!$L:$L,領用表!$E:$E,$B189,領用表!$B:$B,BL$2&amp;$BI$1)</f>
        <v>0</v>
      </c>
      <c r="BM189" s="208">
        <f>SUMIFS(領用表!$L:$L,領用表!$E:$E,$B189,領用表!$B:$B,BM$2&amp;$BI$1)</f>
        <v>0</v>
      </c>
      <c r="BN189" s="208">
        <f>SUMIFS(領用表!$L:$L,領用表!$E:$E,$B189,領用表!$B:$B,BN$2&amp;$BI$1)</f>
        <v>0</v>
      </c>
      <c r="BO189" s="208">
        <f>SUMIFS(領用表!$L:$L,領用表!$E:$E,$B189,領用表!$B:$B,BO$2&amp;$BI$1)</f>
        <v>0</v>
      </c>
      <c r="BP189" s="208">
        <f>SUMIFS(領用表!$L:$L,領用表!$E:$E,$B189,領用表!$B:$B,BP$2&amp;$BI$1)</f>
        <v>0</v>
      </c>
      <c r="BQ189" s="208">
        <f>SUMIFS(領用表!$L:$L,領用表!$E:$E,$B189,領用表!$B:$B,BQ$2&amp;$BI$1)</f>
        <v>0</v>
      </c>
      <c r="BR189" s="208">
        <f>SUMIFS(領用表!$L:$L,領用表!$E:$E,$B189,領用表!$B:$B,BR$2&amp;$BI$1)</f>
        <v>0</v>
      </c>
      <c r="BS189" s="208">
        <f>SUMIFS(領用表!$L:$L,領用表!$E:$E,$B189,領用表!$B:$B,BS$2&amp;$BI$1)</f>
        <v>0</v>
      </c>
      <c r="BT189" s="208">
        <f>SUMIFS(領用表!$L:$L,領用表!$E:$E,$B189,領用表!$B:$B,BT$2&amp;$BI$1)</f>
        <v>0</v>
      </c>
      <c r="BU189" s="208">
        <f t="shared" si="41"/>
        <v>0</v>
      </c>
      <c r="BV189" s="208">
        <f t="shared" si="43"/>
        <v>0</v>
      </c>
      <c r="BW189" s="208">
        <f>SUMIF(Summary!B:B,B189,Summary!DT:DT)</f>
        <v>0</v>
      </c>
      <c r="BX189" s="258"/>
      <c r="BY189" s="340"/>
      <c r="BZ189" s="340"/>
      <c r="CA189" s="340"/>
    </row>
    <row r="190" spans="1:81" s="118" customFormat="1" ht="14.25" hidden="1" customHeight="1">
      <c r="A190" s="136" t="s">
        <v>217</v>
      </c>
      <c r="B190" s="118" t="e">
        <v>#N/A</v>
      </c>
      <c r="C190" s="136" t="s">
        <v>589</v>
      </c>
      <c r="D190" s="285"/>
      <c r="E190" s="198" t="s">
        <v>15</v>
      </c>
      <c r="F190" s="349"/>
      <c r="G190" s="392"/>
      <c r="AR190" s="201">
        <v>0</v>
      </c>
      <c r="AS190" s="347">
        <v>0</v>
      </c>
      <c r="AT190" s="347">
        <v>0</v>
      </c>
      <c r="AU190" s="201">
        <v>0</v>
      </c>
      <c r="AV190" s="201">
        <v>0</v>
      </c>
      <c r="AW190" s="201">
        <v>54</v>
      </c>
      <c r="AX190" s="201">
        <v>0</v>
      </c>
      <c r="AY190" s="201">
        <v>0</v>
      </c>
      <c r="AZ190" s="203">
        <f>SUMIFS(領用表!$L:$L,領用表!$E:$E,$B190,領用表!$B:$B,AZ$2&amp;$BI$1)</f>
        <v>0</v>
      </c>
      <c r="BA190" s="203">
        <f>SUMIFS(領用表!$L:$L,領用表!$E:$E,$B190,領用表!$B:$B,BA$2&amp;$BI$1)</f>
        <v>0</v>
      </c>
      <c r="BB190" s="203">
        <f>SUMIFS(領用表!$L:$L,領用表!$E:$E,$B190,領用表!$B:$B,BB$2&amp;$BI$1)</f>
        <v>0</v>
      </c>
      <c r="BC190" s="203">
        <f>SUMIFS(領用表!$L:$L,領用表!$E:$E,$B190,領用表!$B:$B,BC$2&amp;$BI$1)</f>
        <v>0</v>
      </c>
      <c r="BD190" s="208">
        <f>SUMIFS(領用表!$L:$L,領用表!$E:$E,$B190,領用表!$B:$B,BD$2&amp;$BI$1)</f>
        <v>0</v>
      </c>
      <c r="BE190" s="208">
        <f>SUMIFS(領用表!$L:$L,領用表!$E:$E,$B190,領用表!$B:$B,BE$2&amp;$BI$1)</f>
        <v>0</v>
      </c>
      <c r="BF190" s="208">
        <f>SUMIFS(領用表!$L:$L,領用表!$E:$E,$B190,領用表!$B:$B,BF$2&amp;$BI$1)</f>
        <v>0</v>
      </c>
      <c r="BG190" s="207">
        <f t="shared" si="48"/>
        <v>54</v>
      </c>
      <c r="BH190" s="207">
        <f t="shared" si="49"/>
        <v>4.5</v>
      </c>
      <c r="BI190" s="208">
        <f>SUMIFS(領用表!$L:$L,領用表!$E:$E,$B190,領用表!$B:$B,BI$2&amp;$BI$1)</f>
        <v>0</v>
      </c>
      <c r="BJ190" s="332">
        <f>SUMIFS(領用表!$L:$L,領用表!$E:$E,$B190,領用表!$B:$B,BJ$2&amp;$BI$1)</f>
        <v>0</v>
      </c>
      <c r="BK190" s="332">
        <f>SUMIFS(領用表!$L:$L,領用表!$E:$E,$B190,領用表!$B:$B,BK$2&amp;$BI$1)</f>
        <v>0</v>
      </c>
      <c r="BL190" s="332">
        <f>SUMIFS(領用表!$L:$L,領用表!$E:$E,$B190,領用表!$B:$B,BL$2&amp;$BI$1)</f>
        <v>0</v>
      </c>
      <c r="BM190" s="332">
        <f>SUMIFS(領用表!$L:$L,領用表!$E:$E,$B190,領用表!$B:$B,BM$2&amp;$BI$1)</f>
        <v>0</v>
      </c>
      <c r="BN190" s="332">
        <f>SUMIFS(領用表!$L:$L,領用表!$E:$E,$B190,領用表!$B:$B,BN$2&amp;$BI$1)</f>
        <v>0</v>
      </c>
      <c r="BO190" s="332">
        <f>SUMIFS(領用表!$L:$L,領用表!$E:$E,$B190,領用表!$B:$B,BO$2&amp;$BI$1)</f>
        <v>0</v>
      </c>
      <c r="BP190" s="332">
        <f>SUMIFS(領用表!$L:$L,領用表!$E:$E,$B190,領用表!$B:$B,BP$2&amp;$BI$1)</f>
        <v>0</v>
      </c>
      <c r="BQ190" s="332">
        <f>SUMIFS(領用表!$L:$L,領用表!$E:$E,$B190,領用表!$B:$B,BQ$2&amp;$BI$1)</f>
        <v>0</v>
      </c>
      <c r="BR190" s="332">
        <f>SUMIFS(領用表!$L:$L,領用表!$E:$E,$B190,領用表!$B:$B,BR$2&amp;$BI$1)</f>
        <v>0</v>
      </c>
      <c r="BS190" s="332">
        <f>SUMIFS(領用表!$L:$L,領用表!$E:$E,$B190,領用表!$B:$B,BS$2&amp;$BI$1)</f>
        <v>0</v>
      </c>
      <c r="BT190" s="332">
        <f>SUMIFS(領用表!$L:$L,領用表!$E:$E,$B190,領用表!$B:$B,BT$2&amp;$BI$1)</f>
        <v>0</v>
      </c>
      <c r="BU190" s="332">
        <f t="shared" si="41"/>
        <v>0</v>
      </c>
      <c r="BV190" s="332">
        <f t="shared" si="43"/>
        <v>0</v>
      </c>
      <c r="BW190" s="332">
        <f>SUMIF(Summary!B:B,B190,Summary!DT:DT)</f>
        <v>0</v>
      </c>
      <c r="BX190" s="338"/>
      <c r="BY190" s="342"/>
      <c r="BZ190" s="341"/>
      <c r="CA190" s="340"/>
    </row>
    <row r="191" spans="1:81" s="118" customFormat="1" ht="15">
      <c r="A191" s="136" t="s">
        <v>218</v>
      </c>
      <c r="B191" s="118" t="e">
        <v>#N/A</v>
      </c>
      <c r="C191" s="136" t="s">
        <v>590</v>
      </c>
      <c r="D191" s="285"/>
      <c r="E191" s="198" t="s">
        <v>15</v>
      </c>
      <c r="F191" s="349"/>
      <c r="G191" s="392"/>
      <c r="AS191" s="347" t="s">
        <v>49</v>
      </c>
      <c r="AT191" s="347" t="s">
        <v>49</v>
      </c>
      <c r="AU191" s="347" t="s">
        <v>49</v>
      </c>
      <c r="AV191" s="347" t="s">
        <v>49</v>
      </c>
      <c r="AW191" s="347" t="s">
        <v>49</v>
      </c>
      <c r="AX191" s="347" t="s">
        <v>49</v>
      </c>
      <c r="AY191" s="292">
        <v>72</v>
      </c>
      <c r="AZ191" s="203">
        <f>SUMIFS(領用表!$L:$L,領用表!$E:$E,$B191,領用表!$B:$B,AZ$2&amp;$BI$1)</f>
        <v>0</v>
      </c>
      <c r="BA191" s="203">
        <f>SUMIFS(領用表!$L:$L,領用表!$E:$E,$B191,領用表!$B:$B,BA$2&amp;$BI$1)</f>
        <v>0</v>
      </c>
      <c r="BB191" s="203">
        <f>SUMIFS(領用表!$L:$L,領用表!$E:$E,$B191,領用表!$B:$B,BB$2&amp;$BI$1)</f>
        <v>0</v>
      </c>
      <c r="BC191" s="203">
        <f>SUMIFS(領用表!$L:$L,領用表!$E:$E,$B191,領用表!$B:$B,BC$2&amp;$BI$1)</f>
        <v>0</v>
      </c>
      <c r="BD191" s="208">
        <f>SUMIFS(領用表!$L:$L,領用表!$E:$E,$B191,領用表!$B:$B,BD$2&amp;$BI$1)</f>
        <v>0</v>
      </c>
      <c r="BE191" s="208">
        <f>SUMIFS(領用表!$L:$L,領用表!$E:$E,$B191,領用表!$B:$B,BE$2&amp;$BI$1)</f>
        <v>0</v>
      </c>
      <c r="BF191" s="208">
        <f>SUMIFS(領用表!$L:$L,領用表!$E:$E,$B191,領用表!$B:$B,BF$2&amp;$BI$1)</f>
        <v>0</v>
      </c>
      <c r="BG191" s="207">
        <f t="shared" si="48"/>
        <v>72</v>
      </c>
      <c r="BH191" s="207">
        <f t="shared" si="49"/>
        <v>9</v>
      </c>
      <c r="BI191" s="208">
        <f>SUMIFS(領用表!$L:$L,領用表!$E:$E,$B191,領用表!$B:$B,BI$2&amp;$BI$1)</f>
        <v>0</v>
      </c>
      <c r="BJ191" s="332">
        <f>SUMIFS(領用表!$L:$L,領用表!$E:$E,$B191,領用表!$B:$B,BJ$2&amp;$BI$1)</f>
        <v>0</v>
      </c>
      <c r="BK191" s="332">
        <f>SUMIFS(領用表!$L:$L,領用表!$E:$E,$B191,領用表!$B:$B,BK$2&amp;$BI$1)</f>
        <v>0</v>
      </c>
      <c r="BL191" s="332">
        <f>SUMIFS(領用表!$L:$L,領用表!$E:$E,$B191,領用表!$B:$B,BL$2&amp;$BI$1)</f>
        <v>0</v>
      </c>
      <c r="BM191" s="332">
        <f>SUMIFS(領用表!$L:$L,領用表!$E:$E,$B191,領用表!$B:$B,BM$2&amp;$BI$1)</f>
        <v>0</v>
      </c>
      <c r="BN191" s="332">
        <f>SUMIFS(領用表!$L:$L,領用表!$E:$E,$B191,領用表!$B:$B,BN$2&amp;$BI$1)</f>
        <v>0</v>
      </c>
      <c r="BO191" s="332">
        <f>SUMIFS(領用表!$L:$L,領用表!$E:$E,$B191,領用表!$B:$B,BO$2&amp;$BI$1)</f>
        <v>0</v>
      </c>
      <c r="BP191" s="332">
        <f>SUMIFS(領用表!$L:$L,領用表!$E:$E,$B191,領用表!$B:$B,BP$2&amp;$BI$1)</f>
        <v>0</v>
      </c>
      <c r="BQ191" s="332">
        <f>SUMIFS(領用表!$L:$L,領用表!$E:$E,$B191,領用表!$B:$B,BQ$2&amp;$BI$1)</f>
        <v>0</v>
      </c>
      <c r="BR191" s="332">
        <f>SUMIFS(領用表!$L:$L,領用表!$E:$E,$B191,領用表!$B:$B,BR$2&amp;$BI$1)</f>
        <v>0</v>
      </c>
      <c r="BS191" s="332">
        <f>SUMIFS(領用表!$L:$L,領用表!$E:$E,$B191,領用表!$B:$B,BS$2&amp;$BI$1)</f>
        <v>0</v>
      </c>
      <c r="BT191" s="332">
        <f>SUMIFS(領用表!$L:$L,領用表!$E:$E,$B191,領用表!$B:$B,BT$2&amp;$BI$1)</f>
        <v>0</v>
      </c>
      <c r="BU191" s="332">
        <f t="shared" si="41"/>
        <v>0</v>
      </c>
      <c r="BV191" s="332">
        <f t="shared" si="43"/>
        <v>0</v>
      </c>
      <c r="BW191" s="332">
        <f>SUMIF(Summary!B:B,B191,Summary!DT:DT)</f>
        <v>0</v>
      </c>
      <c r="BX191" s="305"/>
      <c r="BY191" s="342"/>
      <c r="BZ191" s="340"/>
      <c r="CA191" s="340"/>
    </row>
    <row r="192" spans="1:81" s="118" customFormat="1" ht="15.75" hidden="1" customHeight="1">
      <c r="A192" s="136" t="s">
        <v>203</v>
      </c>
      <c r="B192" s="118" t="e">
        <v>#N/A</v>
      </c>
      <c r="C192" s="136" t="s">
        <v>635</v>
      </c>
      <c r="D192" s="285"/>
      <c r="E192" s="198" t="s">
        <v>15</v>
      </c>
      <c r="F192" s="349"/>
      <c r="G192" s="392"/>
      <c r="AG192" s="348"/>
      <c r="AH192" s="348"/>
      <c r="AI192" s="348"/>
      <c r="AJ192" s="348"/>
      <c r="AK192" s="348"/>
      <c r="AL192" s="348"/>
      <c r="AM192" s="348"/>
      <c r="AN192" s="201">
        <v>0</v>
      </c>
      <c r="AO192" s="201">
        <f>171/15</f>
        <v>11.4</v>
      </c>
      <c r="AP192" s="201">
        <v>0</v>
      </c>
      <c r="AQ192" s="201">
        <v>45</v>
      </c>
      <c r="AR192" s="201">
        <v>108</v>
      </c>
      <c r="AS192" s="283">
        <f>SUM(AG192:AR192)</f>
        <v>164.4</v>
      </c>
      <c r="AT192" s="286">
        <f>AS192/12</f>
        <v>13.700000000000001</v>
      </c>
      <c r="AU192" s="201">
        <v>45</v>
      </c>
      <c r="AV192" s="201">
        <v>36</v>
      </c>
      <c r="AW192" s="201">
        <v>0</v>
      </c>
      <c r="AX192" s="201" t="s">
        <v>49</v>
      </c>
      <c r="AY192" s="201"/>
      <c r="AZ192" s="203">
        <f>SUMIFS(領用表!$L:$L,領用表!$E:$E,$B192,領用表!$B:$B,AZ$2&amp;$BI$1)</f>
        <v>0</v>
      </c>
      <c r="BA192" s="203">
        <f>SUMIFS(領用表!$L:$L,領用表!$E:$E,$B192,領用表!$B:$B,BA$2&amp;$BI$1)</f>
        <v>0</v>
      </c>
      <c r="BB192" s="203">
        <f>SUMIFS(領用表!$L:$L,領用表!$E:$E,$B192,領用表!$B:$B,BB$2&amp;$BI$1)</f>
        <v>0</v>
      </c>
      <c r="BC192" s="203">
        <f>SUMIFS(領用表!$L:$L,領用表!$E:$E,$B192,領用表!$B:$B,BC$2&amp;$BI$1)</f>
        <v>0</v>
      </c>
      <c r="BD192" s="208">
        <f>SUMIFS(領用表!$L:$L,領用表!$E:$E,$B192,領用表!$B:$B,BD$2&amp;$BI$1)</f>
        <v>0</v>
      </c>
      <c r="BE192" s="208">
        <f>SUMIFS(領用表!$L:$L,領用表!$E:$E,$B192,領用表!$B:$B,BE$2&amp;$BI$1)</f>
        <v>0</v>
      </c>
      <c r="BF192" s="208">
        <f>SUMIFS(領用表!$L:$L,領用表!$E:$E,$B192,領用表!$B:$B,BF$2&amp;$BI$1)</f>
        <v>0</v>
      </c>
      <c r="BG192" s="207">
        <f t="shared" si="48"/>
        <v>81</v>
      </c>
      <c r="BH192" s="207">
        <f t="shared" si="49"/>
        <v>8.1</v>
      </c>
      <c r="BI192" s="208">
        <f>SUMIFS(領用表!$L:$L,領用表!$E:$E,$B192,領用表!$B:$B,BI$2&amp;$BI$1)</f>
        <v>0</v>
      </c>
      <c r="BJ192" s="208">
        <f>SUMIFS(領用表!$L:$L,領用表!$E:$E,$B192,領用表!$B:$B,BJ$2&amp;$BI$1)</f>
        <v>0</v>
      </c>
      <c r="BK192" s="208">
        <f>SUMIFS(領用表!$L:$L,領用表!$E:$E,$B192,領用表!$B:$B,BK$2&amp;$BI$1)</f>
        <v>0</v>
      </c>
      <c r="BL192" s="208">
        <f>SUMIFS(領用表!$L:$L,領用表!$E:$E,$B192,領用表!$B:$B,BL$2&amp;$BI$1)</f>
        <v>0</v>
      </c>
      <c r="BM192" s="208">
        <f>SUMIFS(領用表!$L:$L,領用表!$E:$E,$B192,領用表!$B:$B,BM$2&amp;$BI$1)</f>
        <v>0</v>
      </c>
      <c r="BN192" s="208">
        <f>SUMIFS(領用表!$L:$L,領用表!$E:$E,$B192,領用表!$B:$B,BN$2&amp;$BI$1)</f>
        <v>0</v>
      </c>
      <c r="BO192" s="208">
        <f>SUMIFS(領用表!$L:$L,領用表!$E:$E,$B192,領用表!$B:$B,BO$2&amp;$BI$1)</f>
        <v>0</v>
      </c>
      <c r="BP192" s="208">
        <f>SUMIFS(領用表!$L:$L,領用表!$E:$E,$B192,領用表!$B:$B,BP$2&amp;$BI$1)</f>
        <v>0</v>
      </c>
      <c r="BQ192" s="208">
        <f>SUMIFS(領用表!$L:$L,領用表!$E:$E,$B192,領用表!$B:$B,BQ$2&amp;$BI$1)</f>
        <v>0</v>
      </c>
      <c r="BR192" s="208">
        <f>SUMIFS(領用表!$L:$L,領用表!$E:$E,$B192,領用表!$B:$B,BR$2&amp;$BI$1)</f>
        <v>0</v>
      </c>
      <c r="BS192" s="208">
        <f>SUMIFS(領用表!$L:$L,領用表!$E:$E,$B192,領用表!$B:$B,BS$2&amp;$BI$1)</f>
        <v>0</v>
      </c>
      <c r="BT192" s="208">
        <f>SUMIFS(領用表!$L:$L,領用表!$E:$E,$B192,領用表!$B:$B,BT$2&amp;$BI$1)</f>
        <v>0</v>
      </c>
      <c r="BU192" s="208">
        <f t="shared" si="41"/>
        <v>0</v>
      </c>
      <c r="BV192" s="208">
        <f t="shared" si="43"/>
        <v>0</v>
      </c>
      <c r="BW192" s="208">
        <f>SUMIF(Summary!B:B,B192,Summary!DT:DT)</f>
        <v>0</v>
      </c>
      <c r="BX192" s="258"/>
      <c r="BY192" s="342"/>
      <c r="BZ192" s="340"/>
      <c r="CA192" s="340"/>
    </row>
    <row r="193" spans="1:79" s="118" customFormat="1" ht="15" hidden="1" customHeight="1">
      <c r="A193" s="136" t="s">
        <v>204</v>
      </c>
      <c r="B193" s="118" t="e">
        <v>#N/A</v>
      </c>
      <c r="C193" s="136" t="s">
        <v>576</v>
      </c>
      <c r="D193" s="285"/>
      <c r="E193" s="198" t="s">
        <v>15</v>
      </c>
      <c r="F193" s="349"/>
      <c r="G193" s="392"/>
      <c r="AG193" s="348"/>
      <c r="AH193" s="348"/>
      <c r="AI193" s="348"/>
      <c r="AJ193" s="348"/>
      <c r="AK193" s="348"/>
      <c r="AL193" s="348"/>
      <c r="AM193" s="348"/>
      <c r="AN193" s="201">
        <v>0</v>
      </c>
      <c r="AO193" s="201">
        <v>0</v>
      </c>
      <c r="AP193" s="201">
        <v>0</v>
      </c>
      <c r="AQ193" s="201">
        <v>6</v>
      </c>
      <c r="AR193" s="201">
        <v>0</v>
      </c>
      <c r="AS193" s="283">
        <f>SUM(AG193:AR193)</f>
        <v>6</v>
      </c>
      <c r="AT193" s="286">
        <f>AS193/12</f>
        <v>0.5</v>
      </c>
      <c r="AU193" s="201">
        <v>19</v>
      </c>
      <c r="AV193" s="201">
        <v>0</v>
      </c>
      <c r="AW193" s="201">
        <v>0</v>
      </c>
      <c r="AX193" s="201" t="s">
        <v>49</v>
      </c>
      <c r="AY193" s="201"/>
      <c r="AZ193" s="203">
        <f>SUMIFS(領用表!$L:$L,領用表!$E:$E,$B193,領用表!$B:$B,AZ$2&amp;$BI$1)</f>
        <v>0</v>
      </c>
      <c r="BA193" s="203">
        <f>SUMIFS(領用表!$L:$L,領用表!$E:$E,$B193,領用表!$B:$B,BA$2&amp;$BI$1)</f>
        <v>0</v>
      </c>
      <c r="BB193" s="203">
        <f>SUMIFS(領用表!$L:$L,領用表!$E:$E,$B193,領用表!$B:$B,BB$2&amp;$BI$1)</f>
        <v>0</v>
      </c>
      <c r="BC193" s="203">
        <f>SUMIFS(領用表!$L:$L,領用表!$E:$E,$B193,領用表!$B:$B,BC$2&amp;$BI$1)</f>
        <v>0</v>
      </c>
      <c r="BD193" s="208">
        <f>SUMIFS(領用表!$L:$L,領用表!$E:$E,$B193,領用表!$B:$B,BD$2&amp;$BI$1)</f>
        <v>0</v>
      </c>
      <c r="BE193" s="208">
        <f>SUMIFS(領用表!$L:$L,領用表!$E:$E,$B193,領用表!$B:$B,BE$2&amp;$BI$1)</f>
        <v>0</v>
      </c>
      <c r="BF193" s="208">
        <f>SUMIFS(領用表!$L:$L,領用表!$E:$E,$B193,領用表!$B:$B,BF$2&amp;$BI$1)</f>
        <v>0</v>
      </c>
      <c r="BG193" s="207">
        <f t="shared" si="48"/>
        <v>19</v>
      </c>
      <c r="BH193" s="207">
        <f t="shared" si="49"/>
        <v>1.9</v>
      </c>
      <c r="BI193" s="208">
        <f>SUMIFS(領用表!$L:$L,領用表!$E:$E,$B193,領用表!$B:$B,BI$2&amp;$BI$1)</f>
        <v>0</v>
      </c>
      <c r="BJ193" s="208">
        <f>SUMIFS(領用表!$L:$L,領用表!$E:$E,$B193,領用表!$B:$B,BJ$2&amp;$BI$1)</f>
        <v>0</v>
      </c>
      <c r="BK193" s="208">
        <f>SUMIFS(領用表!$L:$L,領用表!$E:$E,$B193,領用表!$B:$B,BK$2&amp;$BI$1)</f>
        <v>0</v>
      </c>
      <c r="BL193" s="208">
        <f>SUMIFS(領用表!$L:$L,領用表!$E:$E,$B193,領用表!$B:$B,BL$2&amp;$BI$1)</f>
        <v>0</v>
      </c>
      <c r="BM193" s="208">
        <f>SUMIFS(領用表!$L:$L,領用表!$E:$E,$B193,領用表!$B:$B,BM$2&amp;$BI$1)</f>
        <v>0</v>
      </c>
      <c r="BN193" s="208">
        <f>SUMIFS(領用表!$L:$L,領用表!$E:$E,$B193,領用表!$B:$B,BN$2&amp;$BI$1)</f>
        <v>0</v>
      </c>
      <c r="BO193" s="208">
        <f>SUMIFS(領用表!$L:$L,領用表!$E:$E,$B193,領用表!$B:$B,BO$2&amp;$BI$1)</f>
        <v>0</v>
      </c>
      <c r="BP193" s="208">
        <f>SUMIFS(領用表!$L:$L,領用表!$E:$E,$B193,領用表!$B:$B,BP$2&amp;$BI$1)</f>
        <v>0</v>
      </c>
      <c r="BQ193" s="208">
        <f>SUMIFS(領用表!$L:$L,領用表!$E:$E,$B193,領用表!$B:$B,BQ$2&amp;$BI$1)</f>
        <v>0</v>
      </c>
      <c r="BR193" s="208">
        <f>SUMIFS(領用表!$L:$L,領用表!$E:$E,$B193,領用表!$B:$B,BR$2&amp;$BI$1)</f>
        <v>0</v>
      </c>
      <c r="BS193" s="208">
        <f>SUMIFS(領用表!$L:$L,領用表!$E:$E,$B193,領用表!$B:$B,BS$2&amp;$BI$1)</f>
        <v>0</v>
      </c>
      <c r="BT193" s="208">
        <f>SUMIFS(領用表!$L:$L,領用表!$E:$E,$B193,領用表!$B:$B,BT$2&amp;$BI$1)</f>
        <v>0</v>
      </c>
      <c r="BU193" s="208">
        <f t="shared" si="41"/>
        <v>0</v>
      </c>
      <c r="BV193" s="208">
        <f t="shared" si="43"/>
        <v>0</v>
      </c>
      <c r="BW193" s="208">
        <f>SUMIF(Summary!B:B,B193,Summary!DT:DT)</f>
        <v>0</v>
      </c>
      <c r="BX193" s="258"/>
      <c r="BY193" s="342"/>
      <c r="BZ193" s="340"/>
      <c r="CA193" s="340"/>
    </row>
    <row r="194" spans="1:79" s="118" customFormat="1" ht="15" hidden="1" customHeight="1">
      <c r="A194" s="136" t="s">
        <v>207</v>
      </c>
      <c r="B194" s="118" t="e">
        <v>#N/A</v>
      </c>
      <c r="C194" s="136" t="s">
        <v>579</v>
      </c>
      <c r="D194" s="285"/>
      <c r="E194" s="198" t="s">
        <v>15</v>
      </c>
      <c r="F194" s="349"/>
      <c r="G194" s="392"/>
      <c r="AR194" s="201">
        <v>0</v>
      </c>
      <c r="AS194" s="347">
        <v>0</v>
      </c>
      <c r="AT194" s="347">
        <v>0</v>
      </c>
      <c r="AU194" s="201">
        <v>240</v>
      </c>
      <c r="AV194" s="201">
        <v>192</v>
      </c>
      <c r="AW194" s="201">
        <v>48</v>
      </c>
      <c r="AX194" s="201" t="s">
        <v>49</v>
      </c>
      <c r="AY194" s="201"/>
      <c r="AZ194" s="203">
        <f>SUMIFS(領用表!$L:$L,領用表!$E:$E,$B194,領用表!$B:$B,AZ$2&amp;$BI$1)</f>
        <v>0</v>
      </c>
      <c r="BA194" s="203">
        <f>SUMIFS(領用表!$L:$L,領用表!$E:$E,$B194,領用表!$B:$B,BA$2&amp;$BI$1)</f>
        <v>0</v>
      </c>
      <c r="BB194" s="203">
        <f>SUMIFS(領用表!$L:$L,領用表!$E:$E,$B194,領用表!$B:$B,BB$2&amp;$BI$1)</f>
        <v>0</v>
      </c>
      <c r="BC194" s="203">
        <f>SUMIFS(領用表!$L:$L,領用表!$E:$E,$B194,領用表!$B:$B,BC$2&amp;$BI$1)</f>
        <v>0</v>
      </c>
      <c r="BD194" s="208">
        <f>SUMIFS(領用表!$L:$L,領用表!$E:$E,$B194,領用表!$B:$B,BD$2&amp;$BI$1)</f>
        <v>0</v>
      </c>
      <c r="BE194" s="208">
        <f>SUMIFS(領用表!$L:$L,領用表!$E:$E,$B194,領用表!$B:$B,BE$2&amp;$BI$1)</f>
        <v>0</v>
      </c>
      <c r="BF194" s="208">
        <f>SUMIFS(領用表!$L:$L,領用表!$E:$E,$B194,領用表!$B:$B,BF$2&amp;$BI$1)</f>
        <v>0</v>
      </c>
      <c r="BG194" s="207">
        <f t="shared" si="48"/>
        <v>480</v>
      </c>
      <c r="BH194" s="207">
        <f t="shared" si="49"/>
        <v>48</v>
      </c>
      <c r="BI194" s="208">
        <f>SUMIFS(領用表!$L:$L,領用表!$E:$E,$B194,領用表!$B:$B,BI$2&amp;$BI$1)</f>
        <v>0</v>
      </c>
      <c r="BJ194" s="208">
        <f>SUMIFS(領用表!$L:$L,領用表!$E:$E,$B194,領用表!$B:$B,BJ$2&amp;$BI$1)</f>
        <v>0</v>
      </c>
      <c r="BK194" s="208">
        <f>SUMIFS(領用表!$L:$L,領用表!$E:$E,$B194,領用表!$B:$B,BK$2&amp;$BI$1)</f>
        <v>0</v>
      </c>
      <c r="BL194" s="208">
        <f>SUMIFS(領用表!$L:$L,領用表!$E:$E,$B194,領用表!$B:$B,BL$2&amp;$BI$1)</f>
        <v>0</v>
      </c>
      <c r="BM194" s="208">
        <f>SUMIFS(領用表!$L:$L,領用表!$E:$E,$B194,領用表!$B:$B,BM$2&amp;$BI$1)</f>
        <v>0</v>
      </c>
      <c r="BN194" s="208">
        <f>SUMIFS(領用表!$L:$L,領用表!$E:$E,$B194,領用表!$B:$B,BN$2&amp;$BI$1)</f>
        <v>0</v>
      </c>
      <c r="BO194" s="208">
        <f>SUMIFS(領用表!$L:$L,領用表!$E:$E,$B194,領用表!$B:$B,BO$2&amp;$BI$1)</f>
        <v>0</v>
      </c>
      <c r="BP194" s="208">
        <f>SUMIFS(領用表!$L:$L,領用表!$E:$E,$B194,領用表!$B:$B,BP$2&amp;$BI$1)</f>
        <v>0</v>
      </c>
      <c r="BQ194" s="208">
        <f>SUMIFS(領用表!$L:$L,領用表!$E:$E,$B194,領用表!$B:$B,BQ$2&amp;$BI$1)</f>
        <v>0</v>
      </c>
      <c r="BR194" s="208">
        <f>SUMIFS(領用表!$L:$L,領用表!$E:$E,$B194,領用表!$B:$B,BR$2&amp;$BI$1)</f>
        <v>0</v>
      </c>
      <c r="BS194" s="208">
        <f>SUMIFS(領用表!$L:$L,領用表!$E:$E,$B194,領用表!$B:$B,BS$2&amp;$BI$1)</f>
        <v>0</v>
      </c>
      <c r="BT194" s="208">
        <f>SUMIFS(領用表!$L:$L,領用表!$E:$E,$B194,領用表!$B:$B,BT$2&amp;$BI$1)</f>
        <v>0</v>
      </c>
      <c r="BU194" s="208">
        <f t="shared" si="41"/>
        <v>0</v>
      </c>
      <c r="BV194" s="208">
        <f t="shared" si="43"/>
        <v>0</v>
      </c>
      <c r="BW194" s="208">
        <f>SUMIF(Summary!B:B,B194,Summary!DT:DT)</f>
        <v>0</v>
      </c>
      <c r="BX194" s="258"/>
      <c r="BY194" s="342"/>
      <c r="BZ194" s="340"/>
      <c r="CA194" s="340"/>
    </row>
    <row r="195" spans="1:79" s="118" customFormat="1" ht="15">
      <c r="A195" s="136" t="s">
        <v>219</v>
      </c>
      <c r="B195" s="118" t="e">
        <v>#N/A</v>
      </c>
      <c r="C195" s="136" t="s">
        <v>591</v>
      </c>
      <c r="D195" s="285"/>
      <c r="E195" s="198" t="s">
        <v>15</v>
      </c>
      <c r="F195" s="349"/>
      <c r="G195" s="392"/>
      <c r="AS195" s="347" t="s">
        <v>49</v>
      </c>
      <c r="AT195" s="347" t="s">
        <v>49</v>
      </c>
      <c r="AU195" s="347" t="s">
        <v>49</v>
      </c>
      <c r="AV195" s="347" t="s">
        <v>49</v>
      </c>
      <c r="AW195" s="347" t="s">
        <v>49</v>
      </c>
      <c r="AX195" s="347" t="s">
        <v>49</v>
      </c>
      <c r="AZ195" s="203">
        <f>SUMIFS(領用表!$L:$L,領用表!$E:$E,$B195,領用表!$B:$B,AZ$2&amp;$BI$1)</f>
        <v>0</v>
      </c>
      <c r="BA195" s="203">
        <f>SUMIFS(領用表!$L:$L,領用表!$E:$E,$B195,領用表!$B:$B,BA$2&amp;$BI$1)</f>
        <v>0</v>
      </c>
      <c r="BB195" s="203">
        <f>SUMIFS(領用表!$L:$L,領用表!$E:$E,$B195,領用表!$B:$B,BB$2&amp;$BI$1)</f>
        <v>0</v>
      </c>
      <c r="BC195" s="203">
        <f>SUMIFS(領用表!$L:$L,領用表!$E:$E,$B195,領用表!$B:$B,BC$2&amp;$BI$1)</f>
        <v>0</v>
      </c>
      <c r="BD195" s="208">
        <f>SUMIFS(領用表!$L:$L,領用表!$E:$E,$B195,領用表!$B:$B,BD$2&amp;$BI$1)</f>
        <v>0</v>
      </c>
      <c r="BE195" s="208">
        <f>SUMIFS(領用表!$L:$L,領用表!$E:$E,$B195,領用表!$B:$B,BE$2&amp;$BI$1)</f>
        <v>0</v>
      </c>
      <c r="BF195" s="208">
        <f>SUMIFS(領用表!$L:$L,領用表!$E:$E,$B195,領用表!$B:$B,BF$2&amp;$BI$1)</f>
        <v>0</v>
      </c>
      <c r="BG195" s="207">
        <f t="shared" si="48"/>
        <v>0</v>
      </c>
      <c r="BH195" s="207">
        <f t="shared" si="49"/>
        <v>0</v>
      </c>
      <c r="BI195" s="208">
        <f>SUMIFS(領用表!$L:$L,領用表!$E:$E,$B195,領用表!$B:$B,BI$2&amp;$BI$1)</f>
        <v>0</v>
      </c>
      <c r="BJ195" s="332">
        <f>SUMIFS(領用表!$L:$L,領用表!$E:$E,$B195,領用表!$B:$B,BJ$2&amp;$BI$1)</f>
        <v>0</v>
      </c>
      <c r="BK195" s="332">
        <f>SUMIFS(領用表!$L:$L,領用表!$E:$E,$B195,領用表!$B:$B,BK$2&amp;$BI$1)</f>
        <v>0</v>
      </c>
      <c r="BL195" s="332">
        <f>SUMIFS(領用表!$L:$L,領用表!$E:$E,$B195,領用表!$B:$B,BL$2&amp;$BI$1)</f>
        <v>0</v>
      </c>
      <c r="BM195" s="332">
        <f>SUMIFS(領用表!$L:$L,領用表!$E:$E,$B195,領用表!$B:$B,BM$2&amp;$BI$1)</f>
        <v>0</v>
      </c>
      <c r="BN195" s="332">
        <f>SUMIFS(領用表!$L:$L,領用表!$E:$E,$B195,領用表!$B:$B,BN$2&amp;$BI$1)</f>
        <v>0</v>
      </c>
      <c r="BO195" s="332">
        <f>SUMIFS(領用表!$L:$L,領用表!$E:$E,$B195,領用表!$B:$B,BO$2&amp;$BI$1)</f>
        <v>0</v>
      </c>
      <c r="BP195" s="332">
        <f>SUMIFS(領用表!$L:$L,領用表!$E:$E,$B195,領用表!$B:$B,BP$2&amp;$BI$1)</f>
        <v>0</v>
      </c>
      <c r="BQ195" s="332">
        <f>SUMIFS(領用表!$L:$L,領用表!$E:$E,$B195,領用表!$B:$B,BQ$2&amp;$BI$1)</f>
        <v>0</v>
      </c>
      <c r="BR195" s="332">
        <f>SUMIFS(領用表!$L:$L,領用表!$E:$E,$B195,領用表!$B:$B,BR$2&amp;$BI$1)</f>
        <v>0</v>
      </c>
      <c r="BS195" s="332">
        <f>SUMIFS(領用表!$L:$L,領用表!$E:$E,$B195,領用表!$B:$B,BS$2&amp;$BI$1)</f>
        <v>0</v>
      </c>
      <c r="BT195" s="332">
        <f>SUMIFS(領用表!$L:$L,領用表!$E:$E,$B195,領用表!$B:$B,BT$2&amp;$BI$1)</f>
        <v>0</v>
      </c>
      <c r="BU195" s="332">
        <f t="shared" si="41"/>
        <v>0</v>
      </c>
      <c r="BV195" s="332">
        <f t="shared" si="43"/>
        <v>0</v>
      </c>
      <c r="BW195" s="332">
        <f>SUMIF(Summary!B:B,B195,Summary!DT:DT)</f>
        <v>0</v>
      </c>
      <c r="BX195" s="305"/>
      <c r="BY195" s="342"/>
      <c r="BZ195" s="340"/>
      <c r="CA195" s="340"/>
    </row>
    <row r="196" spans="1:79" s="118" customFormat="1" ht="15">
      <c r="A196" s="136" t="s">
        <v>220</v>
      </c>
      <c r="B196" s="118" t="e">
        <v>#N/A</v>
      </c>
      <c r="C196" s="136" t="s">
        <v>592</v>
      </c>
      <c r="D196" s="285"/>
      <c r="E196" s="198" t="s">
        <v>15</v>
      </c>
      <c r="F196" s="349"/>
      <c r="G196" s="392"/>
      <c r="AZ196" s="203">
        <f>SUMIFS(領用表!$L:$L,領用表!$E:$E,$B196,領用表!$B:$B,AZ$2&amp;$BI$1)</f>
        <v>0</v>
      </c>
      <c r="BA196" s="203">
        <f>SUMIFS(領用表!$L:$L,領用表!$E:$E,$B196,領用表!$B:$B,BA$2&amp;$BI$1)</f>
        <v>0</v>
      </c>
      <c r="BB196" s="203">
        <f>SUMIFS(領用表!$L:$L,領用表!$E:$E,$B196,領用表!$B:$B,BB$2&amp;$BI$1)</f>
        <v>0</v>
      </c>
      <c r="BC196" s="203">
        <f>SUMIFS(領用表!$L:$L,領用表!$E:$E,$B196,領用表!$B:$B,BC$2&amp;$BI$1)</f>
        <v>0</v>
      </c>
      <c r="BD196" s="208">
        <f>SUMIFS(領用表!$L:$L,領用表!$E:$E,$B196,領用表!$B:$B,BD$2&amp;$BI$1)</f>
        <v>0</v>
      </c>
      <c r="BE196" s="208">
        <f>SUMIFS(領用表!$L:$L,領用表!$E:$E,$B196,領用表!$B:$B,BE$2&amp;$BI$1)</f>
        <v>0</v>
      </c>
      <c r="BF196" s="208">
        <f>SUMIFS(領用表!$L:$L,領用表!$E:$E,$B196,領用表!$B:$B,BF$2&amp;$BI$1)</f>
        <v>0</v>
      </c>
      <c r="BG196" s="207">
        <f t="shared" si="48"/>
        <v>0</v>
      </c>
      <c r="BH196" s="207">
        <f t="shared" si="49"/>
        <v>0</v>
      </c>
      <c r="BI196" s="208">
        <f>SUMIFS(領用表!$L:$L,領用表!$E:$E,$B196,領用表!$B:$B,BI$2&amp;$BI$1)</f>
        <v>0</v>
      </c>
      <c r="BJ196" s="332">
        <f>SUMIFS(領用表!$L:$L,領用表!$E:$E,$B196,領用表!$B:$B,BJ$2&amp;$BI$1)</f>
        <v>0</v>
      </c>
      <c r="BK196" s="332">
        <f>SUMIFS(領用表!$L:$L,領用表!$E:$E,$B196,領用表!$B:$B,BK$2&amp;$BI$1)</f>
        <v>0</v>
      </c>
      <c r="BL196" s="332">
        <f>SUMIFS(領用表!$L:$L,領用表!$E:$E,$B196,領用表!$B:$B,BL$2&amp;$BI$1)</f>
        <v>0</v>
      </c>
      <c r="BM196" s="332">
        <f>SUMIFS(領用表!$L:$L,領用表!$E:$E,$B196,領用表!$B:$B,BM$2&amp;$BI$1)</f>
        <v>0</v>
      </c>
      <c r="BN196" s="332">
        <f>SUMIFS(領用表!$L:$L,領用表!$E:$E,$B196,領用表!$B:$B,BN$2&amp;$BI$1)</f>
        <v>0</v>
      </c>
      <c r="BO196" s="332">
        <f>SUMIFS(領用表!$L:$L,領用表!$E:$E,$B196,領用表!$B:$B,BO$2&amp;$BI$1)</f>
        <v>0</v>
      </c>
      <c r="BP196" s="332">
        <f>SUMIFS(領用表!$L:$L,領用表!$E:$E,$B196,領用表!$B:$B,BP$2&amp;$BI$1)</f>
        <v>0</v>
      </c>
      <c r="BQ196" s="332">
        <f>SUMIFS(領用表!$L:$L,領用表!$E:$E,$B196,領用表!$B:$B,BQ$2&amp;$BI$1)</f>
        <v>0</v>
      </c>
      <c r="BR196" s="332">
        <f>SUMIFS(領用表!$L:$L,領用表!$E:$E,$B196,領用表!$B:$B,BR$2&amp;$BI$1)</f>
        <v>0</v>
      </c>
      <c r="BS196" s="332">
        <f>SUMIFS(領用表!$L:$L,領用表!$E:$E,$B196,領用表!$B:$B,BS$2&amp;$BI$1)</f>
        <v>0</v>
      </c>
      <c r="BT196" s="332">
        <f>SUMIFS(領用表!$L:$L,領用表!$E:$E,$B196,領用表!$B:$B,BT$2&amp;$BI$1)</f>
        <v>0</v>
      </c>
      <c r="BU196" s="332">
        <f t="shared" si="41"/>
        <v>0</v>
      </c>
      <c r="BV196" s="332">
        <f t="shared" si="43"/>
        <v>0</v>
      </c>
      <c r="BW196" s="332">
        <f>SUMIF(Summary!B:B,B196,Summary!DT:DT)</f>
        <v>0</v>
      </c>
      <c r="BX196" s="305"/>
      <c r="BY196" s="342"/>
      <c r="BZ196" s="341"/>
      <c r="CA196" s="341" t="s">
        <v>221</v>
      </c>
    </row>
    <row r="197" spans="1:79" s="118" customFormat="1" ht="15">
      <c r="A197" s="136" t="s">
        <v>222</v>
      </c>
      <c r="B197" s="118" t="e">
        <v>#N/A</v>
      </c>
      <c r="C197" s="136" t="s">
        <v>588</v>
      </c>
      <c r="D197" s="285"/>
      <c r="E197" s="198" t="s">
        <v>15</v>
      </c>
      <c r="F197" s="349"/>
      <c r="G197" s="392"/>
      <c r="AZ197" s="203">
        <f>SUMIFS(領用表!$L:$L,領用表!$E:$E,$B197,領用表!$B:$B,AZ$2&amp;$BI$1)</f>
        <v>0</v>
      </c>
      <c r="BA197" s="203">
        <f>SUMIFS(領用表!$L:$L,領用表!$E:$E,$B197,領用表!$B:$B,BA$2&amp;$BI$1)</f>
        <v>0</v>
      </c>
      <c r="BB197" s="203">
        <f>SUMIFS(領用表!$L:$L,領用表!$E:$E,$B197,領用表!$B:$B,BB$2&amp;$BI$1)</f>
        <v>0</v>
      </c>
      <c r="BC197" s="203">
        <f>SUMIFS(領用表!$L:$L,領用表!$E:$E,$B197,領用表!$B:$B,BC$2&amp;$BI$1)</f>
        <v>0</v>
      </c>
      <c r="BD197" s="208">
        <f>SUMIFS(領用表!$L:$L,領用表!$E:$E,$B197,領用表!$B:$B,BD$2&amp;$BI$1)</f>
        <v>0</v>
      </c>
      <c r="BE197" s="208">
        <f>SUMIFS(領用表!$L:$L,領用表!$E:$E,$B197,領用表!$B:$B,BE$2&amp;$BI$1)</f>
        <v>0</v>
      </c>
      <c r="BF197" s="208">
        <f>SUMIFS(領用表!$L:$L,領用表!$E:$E,$B197,領用表!$B:$B,BF$2&amp;$BI$1)</f>
        <v>0</v>
      </c>
      <c r="BG197" s="207">
        <f t="shared" si="48"/>
        <v>0</v>
      </c>
      <c r="BH197" s="207">
        <f t="shared" si="49"/>
        <v>0</v>
      </c>
      <c r="BI197" s="208">
        <f>SUMIFS(領用表!$L:$L,領用表!$E:$E,$B197,領用表!$B:$B,BI$2&amp;$BI$1)</f>
        <v>0</v>
      </c>
      <c r="BJ197" s="332">
        <f>SUMIFS(領用表!$L:$L,領用表!$E:$E,$B197,領用表!$B:$B,BJ$2&amp;$BI$1)</f>
        <v>0</v>
      </c>
      <c r="BK197" s="332">
        <f>SUMIFS(領用表!$L:$L,領用表!$E:$E,$B197,領用表!$B:$B,BK$2&amp;$BI$1)</f>
        <v>0</v>
      </c>
      <c r="BL197" s="332">
        <f>SUMIFS(領用表!$L:$L,領用表!$E:$E,$B197,領用表!$B:$B,BL$2&amp;$BI$1)</f>
        <v>0</v>
      </c>
      <c r="BM197" s="332">
        <f>SUMIFS(領用表!$L:$L,領用表!$E:$E,$B197,領用表!$B:$B,BM$2&amp;$BI$1)</f>
        <v>0</v>
      </c>
      <c r="BN197" s="332">
        <f>SUMIFS(領用表!$L:$L,領用表!$E:$E,$B197,領用表!$B:$B,BN$2&amp;$BI$1)</f>
        <v>0</v>
      </c>
      <c r="BO197" s="332">
        <f>SUMIFS(領用表!$L:$L,領用表!$E:$E,$B197,領用表!$B:$B,BO$2&amp;$BI$1)</f>
        <v>0</v>
      </c>
      <c r="BP197" s="332">
        <f>SUMIFS(領用表!$L:$L,領用表!$E:$E,$B197,領用表!$B:$B,BP$2&amp;$BI$1)</f>
        <v>0</v>
      </c>
      <c r="BQ197" s="332">
        <f>SUMIFS(領用表!$L:$L,領用表!$E:$E,$B197,領用表!$B:$B,BQ$2&amp;$BI$1)</f>
        <v>0</v>
      </c>
      <c r="BR197" s="332">
        <f>SUMIFS(領用表!$L:$L,領用表!$E:$E,$B197,領用表!$B:$B,BR$2&amp;$BI$1)</f>
        <v>0</v>
      </c>
      <c r="BS197" s="332">
        <f>SUMIFS(領用表!$L:$L,領用表!$E:$E,$B197,領用表!$B:$B,BS$2&amp;$BI$1)</f>
        <v>0</v>
      </c>
      <c r="BT197" s="332">
        <f>SUMIFS(領用表!$L:$L,領用表!$E:$E,$B197,領用表!$B:$B,BT$2&amp;$BI$1)</f>
        <v>0</v>
      </c>
      <c r="BU197" s="332">
        <f t="shared" si="41"/>
        <v>0</v>
      </c>
      <c r="BV197" s="332">
        <f t="shared" si="43"/>
        <v>0</v>
      </c>
      <c r="BW197" s="332">
        <f>SUMIF(Summary!B:B,B197,Summary!DT:DT)</f>
        <v>0</v>
      </c>
      <c r="BX197" s="305"/>
      <c r="BY197" s="342"/>
      <c r="BZ197" s="341"/>
      <c r="CA197" s="341" t="s">
        <v>223</v>
      </c>
    </row>
    <row r="198" spans="1:79" s="118" customFormat="1" ht="15">
      <c r="A198" s="136" t="s">
        <v>224</v>
      </c>
      <c r="B198" s="118" t="e">
        <v>#N/A</v>
      </c>
      <c r="C198" s="136" t="s">
        <v>593</v>
      </c>
      <c r="D198" s="285"/>
      <c r="E198" s="198" t="s">
        <v>15</v>
      </c>
      <c r="F198" s="349"/>
      <c r="G198" s="392"/>
      <c r="AZ198" s="203">
        <f>SUMIFS(領用表!$L:$L,領用表!$E:$E,$B198,領用表!$B:$B,AZ$2&amp;$BI$1)</f>
        <v>0</v>
      </c>
      <c r="BA198" s="203">
        <f>SUMIFS(領用表!$L:$L,領用表!$E:$E,$B198,領用表!$B:$B,BA$2&amp;$BI$1)</f>
        <v>0</v>
      </c>
      <c r="BB198" s="203">
        <f>SUMIFS(領用表!$L:$L,領用表!$E:$E,$B198,領用表!$B:$B,BB$2&amp;$BI$1)</f>
        <v>0</v>
      </c>
      <c r="BC198" s="203">
        <f>SUMIFS(領用表!$L:$L,領用表!$E:$E,$B198,領用表!$B:$B,BC$2&amp;$BI$1)</f>
        <v>0</v>
      </c>
      <c r="BD198" s="208">
        <f>SUMIFS(領用表!$L:$L,領用表!$E:$E,$B198,領用表!$B:$B,BD$2&amp;$BI$1)</f>
        <v>0</v>
      </c>
      <c r="BE198" s="208">
        <f>SUMIFS(領用表!$L:$L,領用表!$E:$E,$B198,領用表!$B:$B,BE$2&amp;$BI$1)</f>
        <v>0</v>
      </c>
      <c r="BF198" s="208">
        <f>SUMIFS(領用表!$L:$L,領用表!$E:$E,$B198,領用表!$B:$B,BF$2&amp;$BI$1)</f>
        <v>0</v>
      </c>
      <c r="BG198" s="207">
        <f t="shared" si="48"/>
        <v>0</v>
      </c>
      <c r="BH198" s="207">
        <f t="shared" si="49"/>
        <v>0</v>
      </c>
      <c r="BI198" s="208">
        <f>SUMIFS(領用表!$L:$L,領用表!$E:$E,$B198,領用表!$B:$B,BI$2&amp;$BI$1)</f>
        <v>0</v>
      </c>
      <c r="BJ198" s="332">
        <f>SUMIFS(領用表!$L:$L,領用表!$E:$E,$B198,領用表!$B:$B,BJ$2&amp;$BI$1)</f>
        <v>0</v>
      </c>
      <c r="BK198" s="332">
        <f>SUMIFS(領用表!$L:$L,領用表!$E:$E,$B198,領用表!$B:$B,BK$2&amp;$BI$1)</f>
        <v>0</v>
      </c>
      <c r="BL198" s="332">
        <f>SUMIFS(領用表!$L:$L,領用表!$E:$E,$B198,領用表!$B:$B,BL$2&amp;$BI$1)</f>
        <v>0</v>
      </c>
      <c r="BM198" s="332">
        <f>SUMIFS(領用表!$L:$L,領用表!$E:$E,$B198,領用表!$B:$B,BM$2&amp;$BI$1)</f>
        <v>0</v>
      </c>
      <c r="BN198" s="332">
        <f>SUMIFS(領用表!$L:$L,領用表!$E:$E,$B198,領用表!$B:$B,BN$2&amp;$BI$1)</f>
        <v>0</v>
      </c>
      <c r="BO198" s="332">
        <f>SUMIFS(領用表!$L:$L,領用表!$E:$E,$B198,領用表!$B:$B,BO$2&amp;$BI$1)</f>
        <v>0</v>
      </c>
      <c r="BP198" s="332">
        <f>SUMIFS(領用表!$L:$L,領用表!$E:$E,$B198,領用表!$B:$B,BP$2&amp;$BI$1)</f>
        <v>0</v>
      </c>
      <c r="BQ198" s="332">
        <f>SUMIFS(領用表!$L:$L,領用表!$E:$E,$B198,領用表!$B:$B,BQ$2&amp;$BI$1)</f>
        <v>0</v>
      </c>
      <c r="BR198" s="332">
        <f>SUMIFS(領用表!$L:$L,領用表!$E:$E,$B198,領用表!$B:$B,BR$2&amp;$BI$1)</f>
        <v>0</v>
      </c>
      <c r="BS198" s="332">
        <f>SUMIFS(領用表!$L:$L,領用表!$E:$E,$B198,領用表!$B:$B,BS$2&amp;$BI$1)</f>
        <v>0</v>
      </c>
      <c r="BT198" s="332">
        <f>SUMIFS(領用表!$L:$L,領用表!$E:$E,$B198,領用表!$B:$B,BT$2&amp;$BI$1)</f>
        <v>0</v>
      </c>
      <c r="BU198" s="332">
        <f t="shared" si="41"/>
        <v>0</v>
      </c>
      <c r="BV198" s="332">
        <f t="shared" si="43"/>
        <v>0</v>
      </c>
      <c r="BW198" s="332">
        <f>SUMIF(Summary!B:B,B198,Summary!DT:DT)</f>
        <v>0</v>
      </c>
      <c r="BX198" s="305"/>
      <c r="BY198" s="342"/>
      <c r="BZ198" s="341"/>
      <c r="CA198" s="341"/>
    </row>
    <row r="199" spans="1:79" s="118" customFormat="1" ht="15">
      <c r="A199" s="136" t="s">
        <v>225</v>
      </c>
      <c r="B199" s="118" t="e">
        <v>#N/A</v>
      </c>
      <c r="C199" s="136" t="s">
        <v>594</v>
      </c>
      <c r="D199" s="285"/>
      <c r="E199" s="198" t="s">
        <v>15</v>
      </c>
      <c r="F199" s="349"/>
      <c r="G199" s="392"/>
      <c r="AZ199" s="203">
        <f>SUMIFS(領用表!$L:$L,領用表!$E:$E,$B199,領用表!$B:$B,AZ$2&amp;$BI$1)</f>
        <v>0</v>
      </c>
      <c r="BA199" s="203">
        <f>SUMIFS(領用表!$L:$L,領用表!$E:$E,$B199,領用表!$B:$B,BA$2&amp;$BI$1)</f>
        <v>0</v>
      </c>
      <c r="BB199" s="203">
        <f>SUMIFS(領用表!$L:$L,領用表!$E:$E,$B199,領用表!$B:$B,BB$2&amp;$BI$1)</f>
        <v>0</v>
      </c>
      <c r="BC199" s="203">
        <f>SUMIFS(領用表!$L:$L,領用表!$E:$E,$B199,領用表!$B:$B,BC$2&amp;$BI$1)</f>
        <v>0</v>
      </c>
      <c r="BD199" s="208">
        <f>SUMIFS(領用表!$L:$L,領用表!$E:$E,$B199,領用表!$B:$B,BD$2&amp;$BI$1)</f>
        <v>0</v>
      </c>
      <c r="BE199" s="208">
        <f>SUMIFS(領用表!$L:$L,領用表!$E:$E,$B199,領用表!$B:$B,BE$2&amp;$BI$1)</f>
        <v>0</v>
      </c>
      <c r="BF199" s="208">
        <f>SUMIFS(領用表!$L:$L,領用表!$E:$E,$B199,領用表!$B:$B,BF$2&amp;$BI$1)</f>
        <v>0</v>
      </c>
      <c r="BG199" s="207">
        <f t="shared" si="48"/>
        <v>0</v>
      </c>
      <c r="BH199" s="207">
        <f t="shared" si="49"/>
        <v>0</v>
      </c>
      <c r="BI199" s="208">
        <f>SUMIFS(領用表!$L:$L,領用表!$E:$E,$B199,領用表!$B:$B,BI$2&amp;$BI$1)</f>
        <v>0</v>
      </c>
      <c r="BJ199" s="332">
        <f>SUMIFS(領用表!$L:$L,領用表!$E:$E,$B199,領用表!$B:$B,BJ$2&amp;$BI$1)</f>
        <v>0</v>
      </c>
      <c r="BK199" s="332">
        <f>SUMIFS(領用表!$L:$L,領用表!$E:$E,$B199,領用表!$B:$B,BK$2&amp;$BI$1)</f>
        <v>0</v>
      </c>
      <c r="BL199" s="332">
        <f>SUMIFS(領用表!$L:$L,領用表!$E:$E,$B199,領用表!$B:$B,BL$2&amp;$BI$1)</f>
        <v>0</v>
      </c>
      <c r="BM199" s="332">
        <f>SUMIFS(領用表!$L:$L,領用表!$E:$E,$B199,領用表!$B:$B,BM$2&amp;$BI$1)</f>
        <v>0</v>
      </c>
      <c r="BN199" s="332">
        <f>SUMIFS(領用表!$L:$L,領用表!$E:$E,$B199,領用表!$B:$B,BN$2&amp;$BI$1)</f>
        <v>0</v>
      </c>
      <c r="BO199" s="332">
        <f>SUMIFS(領用表!$L:$L,領用表!$E:$E,$B199,領用表!$B:$B,BO$2&amp;$BI$1)</f>
        <v>0</v>
      </c>
      <c r="BP199" s="332">
        <f>SUMIFS(領用表!$L:$L,領用表!$E:$E,$B199,領用表!$B:$B,BP$2&amp;$BI$1)</f>
        <v>0</v>
      </c>
      <c r="BQ199" s="332">
        <f>SUMIFS(領用表!$L:$L,領用表!$E:$E,$B199,領用表!$B:$B,BQ$2&amp;$BI$1)</f>
        <v>0</v>
      </c>
      <c r="BR199" s="332">
        <f>SUMIFS(領用表!$L:$L,領用表!$E:$E,$B199,領用表!$B:$B,BR$2&amp;$BI$1)</f>
        <v>0</v>
      </c>
      <c r="BS199" s="332">
        <f>SUMIFS(領用表!$L:$L,領用表!$E:$E,$B199,領用表!$B:$B,BS$2&amp;$BI$1)</f>
        <v>0</v>
      </c>
      <c r="BT199" s="332">
        <f>SUMIFS(領用表!$L:$L,領用表!$E:$E,$B199,領用表!$B:$B,BT$2&amp;$BI$1)</f>
        <v>0</v>
      </c>
      <c r="BU199" s="332">
        <f t="shared" ref="BU199:BU200" si="50">SUM(BI199,BJ199,BK199,BL199,BM199)</f>
        <v>0</v>
      </c>
      <c r="BV199" s="332">
        <f t="shared" si="43"/>
        <v>0</v>
      </c>
      <c r="BW199" s="332">
        <f>SUMIF(Summary!B:B,B199,Summary!DT:DT)</f>
        <v>0</v>
      </c>
      <c r="BX199" s="305"/>
      <c r="BY199" s="342"/>
      <c r="BZ199" s="341"/>
      <c r="CA199" s="341"/>
    </row>
    <row r="200" spans="1:79" ht="15">
      <c r="B200" s="118">
        <v>6080011</v>
      </c>
      <c r="C200" s="136" t="s">
        <v>887</v>
      </c>
      <c r="D200" s="11"/>
      <c r="E200" s="198" t="s">
        <v>15</v>
      </c>
      <c r="F200" s="349"/>
      <c r="G200" s="85"/>
      <c r="BI200" s="208">
        <f>SUMIFS(領用表!$L:$L,領用表!$E:$E,$B200,領用表!$B:$B,BI$2&amp;$BI$1)</f>
        <v>0</v>
      </c>
      <c r="BJ200" s="332">
        <f>SUMIFS(領用表!$L:$L,領用表!$E:$E,$B200,領用表!$B:$B,BJ$2&amp;$BI$1)</f>
        <v>0</v>
      </c>
      <c r="BK200" s="332">
        <f>SUMIFS(領用表!$L:$L,領用表!$E:$E,$B200,領用表!$B:$B,BK$2&amp;$BI$1)</f>
        <v>0</v>
      </c>
      <c r="BL200" s="332">
        <f>SUMIFS(領用表!$L:$L,領用表!$E:$E,$B200,領用表!$B:$B,BL$2&amp;$BI$1)</f>
        <v>0</v>
      </c>
      <c r="BM200" s="332">
        <f>SUMIFS(領用表!$L:$L,領用表!$E:$E,$B200,領用表!$B:$B,BM$2&amp;$BI$1)</f>
        <v>0</v>
      </c>
      <c r="BU200" s="332">
        <f t="shared" si="50"/>
        <v>0</v>
      </c>
      <c r="BV200" s="332">
        <f t="shared" si="43"/>
        <v>0</v>
      </c>
      <c r="BW200" s="332">
        <f>SUMIF(Summary!B:B,B200,Summary!DT:DT)</f>
        <v>0</v>
      </c>
    </row>
    <row r="201" spans="1:79" ht="13.5">
      <c r="D201" s="11"/>
      <c r="E201" s="79"/>
      <c r="F201" s="85"/>
      <c r="G201" s="85"/>
    </row>
    <row r="202" spans="1:79" ht="13.5">
      <c r="D202" s="11"/>
      <c r="E202" s="79"/>
      <c r="F202" s="85"/>
      <c r="G202" s="85"/>
    </row>
    <row r="203" spans="1:79" ht="13.5">
      <c r="D203" s="11"/>
      <c r="E203" s="79"/>
      <c r="F203" s="85"/>
      <c r="G203" s="85"/>
    </row>
    <row r="204" spans="1:79" ht="13.5">
      <c r="D204" s="11"/>
      <c r="E204" s="79"/>
      <c r="F204" s="85"/>
      <c r="G204" s="85"/>
    </row>
    <row r="205" spans="1:79" ht="13.5">
      <c r="D205" s="11"/>
      <c r="E205" s="79"/>
      <c r="F205" s="85"/>
      <c r="G205" s="85"/>
    </row>
    <row r="206" spans="1:79" ht="13.5">
      <c r="D206" s="11"/>
      <c r="E206" s="79"/>
      <c r="F206" s="85"/>
      <c r="G206" s="85"/>
    </row>
    <row r="207" spans="1:79" ht="13.5">
      <c r="D207" s="11"/>
      <c r="E207" s="79"/>
      <c r="F207" s="85"/>
      <c r="G207" s="85"/>
    </row>
    <row r="208" spans="1:79" ht="13.5">
      <c r="D208" s="11"/>
      <c r="E208" s="79"/>
      <c r="F208" s="85"/>
      <c r="G208" s="85"/>
    </row>
    <row r="209" spans="4:7" ht="13.5">
      <c r="D209" s="11"/>
      <c r="E209" s="79"/>
      <c r="F209" s="85"/>
      <c r="G209" s="85"/>
    </row>
    <row r="210" spans="4:7" ht="13.5">
      <c r="D210" s="11"/>
      <c r="E210" s="79"/>
      <c r="F210" s="85"/>
      <c r="G210" s="85"/>
    </row>
    <row r="211" spans="4:7" ht="13.5">
      <c r="D211" s="11"/>
      <c r="E211" s="86"/>
      <c r="F211" s="85"/>
      <c r="G211" s="85"/>
    </row>
    <row r="212" spans="4:7" ht="13.5">
      <c r="D212" s="11"/>
      <c r="E212" s="86"/>
      <c r="F212" s="85"/>
      <c r="G212" s="85"/>
    </row>
    <row r="213" spans="4:7" ht="13.5">
      <c r="D213" s="11"/>
      <c r="E213" s="86"/>
      <c r="F213" s="85"/>
      <c r="G213" s="85"/>
    </row>
    <row r="214" spans="4:7" ht="13.5">
      <c r="D214" s="11"/>
      <c r="E214" s="86"/>
      <c r="F214" s="85"/>
      <c r="G214" s="85"/>
    </row>
    <row r="215" spans="4:7" ht="13.5">
      <c r="D215" s="11"/>
      <c r="E215" s="86"/>
      <c r="F215" s="85"/>
      <c r="G215" s="85"/>
    </row>
    <row r="216" spans="4:7" ht="13.5">
      <c r="D216" s="11"/>
      <c r="E216" s="86"/>
      <c r="F216" s="85"/>
      <c r="G216" s="85"/>
    </row>
    <row r="217" spans="4:7" ht="13.5">
      <c r="D217" s="11"/>
      <c r="E217" s="86"/>
      <c r="F217" s="85"/>
      <c r="G217" s="85"/>
    </row>
    <row r="218" spans="4:7" ht="13.5">
      <c r="D218" s="11"/>
      <c r="E218" s="86"/>
      <c r="F218" s="85"/>
      <c r="G218" s="85"/>
    </row>
    <row r="219" spans="4:7" ht="13.5">
      <c r="D219" s="11"/>
      <c r="E219" s="86"/>
      <c r="F219" s="85"/>
      <c r="G219" s="85"/>
    </row>
    <row r="220" spans="4:7" ht="13.5">
      <c r="D220" s="11"/>
      <c r="E220" s="86"/>
      <c r="F220" s="85"/>
      <c r="G220" s="85"/>
    </row>
    <row r="221" spans="4:7" ht="13.5">
      <c r="D221" s="11"/>
      <c r="E221" s="86"/>
      <c r="F221" s="85"/>
      <c r="G221" s="85"/>
    </row>
    <row r="222" spans="4:7" ht="13.5">
      <c r="D222" s="11"/>
      <c r="E222" s="86"/>
      <c r="F222" s="85"/>
      <c r="G222" s="85"/>
    </row>
    <row r="223" spans="4:7" ht="13.5">
      <c r="D223" s="11"/>
      <c r="E223" s="86"/>
      <c r="F223" s="85"/>
      <c r="G223" s="85"/>
    </row>
    <row r="224" spans="4:7" ht="13.5">
      <c r="D224" s="11"/>
      <c r="E224" s="86"/>
      <c r="F224" s="85"/>
      <c r="G224" s="85"/>
    </row>
    <row r="225" spans="4:7" ht="13.5">
      <c r="D225" s="11"/>
      <c r="E225" s="86"/>
      <c r="F225" s="85"/>
      <c r="G225" s="85"/>
    </row>
    <row r="226" spans="4:7" ht="13.5">
      <c r="D226" s="11"/>
      <c r="E226" s="86"/>
      <c r="F226" s="85"/>
      <c r="G226" s="85"/>
    </row>
    <row r="227" spans="4:7" ht="13.5">
      <c r="D227" s="11"/>
      <c r="E227" s="86"/>
      <c r="F227" s="85"/>
      <c r="G227" s="85"/>
    </row>
    <row r="228" spans="4:7" ht="13.5">
      <c r="D228" s="11"/>
      <c r="E228" s="86"/>
      <c r="F228" s="85"/>
      <c r="G228" s="85"/>
    </row>
    <row r="229" spans="4:7" ht="13.5">
      <c r="D229" s="11"/>
      <c r="E229" s="86"/>
      <c r="F229" s="85"/>
      <c r="G229" s="85"/>
    </row>
    <row r="230" spans="4:7" ht="13.5">
      <c r="D230" s="11"/>
      <c r="E230" s="86"/>
      <c r="F230" s="85"/>
      <c r="G230" s="85"/>
    </row>
    <row r="231" spans="4:7" ht="13.5">
      <c r="D231" s="11"/>
      <c r="E231" s="86"/>
      <c r="F231" s="85"/>
      <c r="G231" s="85"/>
    </row>
    <row r="232" spans="4:7" ht="13.5">
      <c r="D232" s="11"/>
      <c r="E232" s="86"/>
      <c r="F232" s="85"/>
      <c r="G232" s="85"/>
    </row>
    <row r="233" spans="4:7" ht="13.5">
      <c r="D233" s="11"/>
      <c r="E233" s="86"/>
      <c r="F233" s="85"/>
      <c r="G233" s="85"/>
    </row>
    <row r="234" spans="4:7" ht="13.5">
      <c r="D234" s="11"/>
      <c r="E234" s="86"/>
      <c r="F234" s="85"/>
      <c r="G234" s="85"/>
    </row>
    <row r="235" spans="4:7" ht="13.5">
      <c r="D235" s="11"/>
      <c r="E235" s="86"/>
      <c r="F235" s="85"/>
      <c r="G235" s="85"/>
    </row>
    <row r="236" spans="4:7" ht="13.5">
      <c r="D236" s="11"/>
      <c r="E236" s="86"/>
      <c r="F236" s="85"/>
      <c r="G236" s="85"/>
    </row>
    <row r="237" spans="4:7" ht="13.5">
      <c r="D237" s="11"/>
      <c r="E237" s="86"/>
      <c r="F237" s="85"/>
      <c r="G237" s="85"/>
    </row>
    <row r="238" spans="4:7" ht="13.5">
      <c r="D238" s="11"/>
      <c r="E238" s="86"/>
      <c r="F238" s="85"/>
      <c r="G238" s="85"/>
    </row>
    <row r="239" spans="4:7" ht="13.5">
      <c r="D239" s="11"/>
      <c r="E239" s="86"/>
      <c r="F239" s="85"/>
      <c r="G239" s="85"/>
    </row>
    <row r="240" spans="4:7" ht="13.5">
      <c r="D240" s="11"/>
      <c r="E240" s="86"/>
      <c r="F240" s="85"/>
      <c r="G240" s="85"/>
    </row>
    <row r="241" spans="4:7" ht="13.5">
      <c r="D241" s="11"/>
      <c r="E241" s="86"/>
      <c r="F241" s="85"/>
      <c r="G241" s="85"/>
    </row>
    <row r="242" spans="4:7" ht="13.5">
      <c r="D242" s="11"/>
      <c r="E242" s="86"/>
      <c r="F242" s="85"/>
      <c r="G242" s="85"/>
    </row>
    <row r="243" spans="4:7" ht="13.5">
      <c r="D243" s="11"/>
      <c r="E243" s="86"/>
      <c r="F243" s="85"/>
      <c r="G243" s="85"/>
    </row>
    <row r="244" spans="4:7" ht="13.5">
      <c r="D244" s="11"/>
      <c r="E244" s="86"/>
      <c r="F244" s="85"/>
      <c r="G244" s="85"/>
    </row>
    <row r="245" spans="4:7" ht="13.5">
      <c r="D245" s="11"/>
      <c r="E245" s="86"/>
      <c r="F245" s="85"/>
      <c r="G245" s="85"/>
    </row>
    <row r="246" spans="4:7" ht="13.5">
      <c r="D246" s="11"/>
      <c r="E246" s="86"/>
      <c r="F246" s="85"/>
      <c r="G246" s="85"/>
    </row>
    <row r="247" spans="4:7" ht="13.5">
      <c r="D247" s="11"/>
      <c r="E247" s="86"/>
      <c r="F247" s="85"/>
      <c r="G247" s="85"/>
    </row>
    <row r="248" spans="4:7" ht="13.5">
      <c r="D248" s="11"/>
      <c r="E248" s="86"/>
      <c r="F248" s="85"/>
      <c r="G248" s="85"/>
    </row>
    <row r="249" spans="4:7" ht="13.5">
      <c r="D249" s="11"/>
      <c r="E249" s="86"/>
      <c r="F249" s="85"/>
      <c r="G249" s="85"/>
    </row>
    <row r="250" spans="4:7" ht="13.5">
      <c r="D250" s="11"/>
      <c r="E250" s="86"/>
      <c r="F250" s="85"/>
      <c r="G250" s="85"/>
    </row>
    <row r="251" spans="4:7" ht="13.5">
      <c r="D251" s="11"/>
      <c r="E251" s="86"/>
      <c r="F251" s="85"/>
      <c r="G251" s="85"/>
    </row>
    <row r="252" spans="4:7" ht="13.5">
      <c r="D252" s="11"/>
      <c r="E252" s="86"/>
      <c r="F252" s="85"/>
      <c r="G252" s="85"/>
    </row>
    <row r="253" spans="4:7" ht="13.5">
      <c r="D253" s="11"/>
      <c r="E253" s="86"/>
      <c r="F253" s="85"/>
      <c r="G253" s="85"/>
    </row>
    <row r="254" spans="4:7" ht="13.5">
      <c r="D254" s="11"/>
      <c r="E254" s="86"/>
      <c r="F254" s="85"/>
      <c r="G254" s="85"/>
    </row>
    <row r="255" spans="4:7" ht="13.5">
      <c r="D255" s="11"/>
      <c r="E255" s="86"/>
      <c r="F255" s="85"/>
      <c r="G255" s="85"/>
    </row>
    <row r="256" spans="4:7" ht="13.5">
      <c r="D256" s="11"/>
      <c r="E256" s="86"/>
      <c r="F256" s="85"/>
      <c r="G256" s="85"/>
    </row>
    <row r="257" spans="4:7" ht="13.5">
      <c r="D257" s="11"/>
      <c r="E257" s="86"/>
      <c r="F257" s="85"/>
      <c r="G257" s="85"/>
    </row>
    <row r="258" spans="4:7" ht="13.5">
      <c r="D258" s="11"/>
      <c r="E258" s="86"/>
      <c r="F258" s="85"/>
      <c r="G258" s="85"/>
    </row>
    <row r="259" spans="4:7" ht="13.5">
      <c r="D259" s="11"/>
      <c r="E259" s="86"/>
      <c r="F259" s="85"/>
      <c r="G259" s="85"/>
    </row>
    <row r="260" spans="4:7" ht="13.5">
      <c r="D260" s="11"/>
      <c r="E260" s="86"/>
      <c r="F260" s="85"/>
      <c r="G260" s="85"/>
    </row>
    <row r="261" spans="4:7" ht="13.5">
      <c r="D261" s="11"/>
      <c r="E261" s="86"/>
      <c r="F261" s="85"/>
      <c r="G261" s="85"/>
    </row>
    <row r="262" spans="4:7" ht="13.5">
      <c r="D262" s="11"/>
      <c r="E262" s="86"/>
      <c r="F262" s="85"/>
      <c r="G262" s="85"/>
    </row>
    <row r="263" spans="4:7" ht="13.5">
      <c r="D263" s="11"/>
      <c r="E263" s="86"/>
      <c r="F263" s="85"/>
      <c r="G263" s="85"/>
    </row>
    <row r="264" spans="4:7" ht="13.5">
      <c r="D264" s="11"/>
      <c r="E264" s="86"/>
      <c r="F264" s="85"/>
      <c r="G264" s="85"/>
    </row>
    <row r="265" spans="4:7" ht="13.5">
      <c r="D265" s="11"/>
      <c r="E265" s="86"/>
      <c r="F265" s="85"/>
      <c r="G265" s="85"/>
    </row>
    <row r="266" spans="4:7" ht="13.5">
      <c r="D266" s="11"/>
      <c r="E266" s="86"/>
      <c r="F266" s="85"/>
      <c r="G266" s="85"/>
    </row>
    <row r="267" spans="4:7" ht="13.5">
      <c r="D267" s="11"/>
      <c r="E267" s="86"/>
      <c r="F267" s="85"/>
      <c r="G267" s="85"/>
    </row>
    <row r="268" spans="4:7" ht="13.5">
      <c r="D268" s="11"/>
      <c r="E268" s="86"/>
      <c r="F268" s="85"/>
      <c r="G268" s="85"/>
    </row>
    <row r="269" spans="4:7" ht="13.5">
      <c r="D269" s="11"/>
      <c r="E269" s="86"/>
      <c r="F269" s="85"/>
      <c r="G269" s="85"/>
    </row>
    <row r="270" spans="4:7" ht="13.5">
      <c r="D270" s="11"/>
      <c r="E270" s="86"/>
      <c r="F270" s="85"/>
      <c r="G270" s="85"/>
    </row>
    <row r="271" spans="4:7" ht="13.5">
      <c r="D271" s="11"/>
      <c r="E271" s="86"/>
      <c r="F271" s="85"/>
      <c r="G271" s="85"/>
    </row>
    <row r="272" spans="4:7" ht="13.5">
      <c r="D272" s="11"/>
      <c r="E272" s="86"/>
      <c r="F272" s="85"/>
      <c r="G272" s="85"/>
    </row>
    <row r="273" spans="4:7" ht="13.5">
      <c r="D273" s="11"/>
      <c r="E273" s="86"/>
      <c r="F273" s="85"/>
      <c r="G273" s="85"/>
    </row>
    <row r="274" spans="4:7" ht="13.5">
      <c r="D274" s="11"/>
      <c r="E274" s="86"/>
      <c r="F274" s="85"/>
      <c r="G274" s="85"/>
    </row>
    <row r="275" spans="4:7" ht="13.5">
      <c r="D275" s="11"/>
      <c r="E275" s="86"/>
      <c r="F275" s="85"/>
      <c r="G275" s="85"/>
    </row>
    <row r="276" spans="4:7" ht="13.5">
      <c r="D276" s="11"/>
      <c r="E276" s="86"/>
      <c r="F276" s="85"/>
      <c r="G276" s="85"/>
    </row>
    <row r="277" spans="4:7" ht="13.5">
      <c r="D277" s="11"/>
      <c r="E277" s="86"/>
      <c r="F277" s="85"/>
      <c r="G277" s="85"/>
    </row>
    <row r="278" spans="4:7" ht="13.5">
      <c r="D278" s="11"/>
      <c r="E278" s="86"/>
      <c r="F278" s="85"/>
      <c r="G278" s="85"/>
    </row>
    <row r="279" spans="4:7" ht="13.5">
      <c r="D279" s="11"/>
      <c r="E279" s="86"/>
      <c r="F279" s="85"/>
      <c r="G279" s="85"/>
    </row>
    <row r="280" spans="4:7" ht="13.5">
      <c r="D280" s="11"/>
      <c r="E280" s="86"/>
      <c r="F280" s="85"/>
      <c r="G280" s="85"/>
    </row>
    <row r="281" spans="4:7" ht="13.5">
      <c r="D281" s="11"/>
      <c r="E281" s="86"/>
      <c r="F281" s="85"/>
      <c r="G281" s="85"/>
    </row>
    <row r="282" spans="4:7" ht="13.5">
      <c r="D282" s="11"/>
      <c r="E282" s="86"/>
      <c r="F282" s="85"/>
      <c r="G282" s="85"/>
    </row>
    <row r="283" spans="4:7" ht="13.5">
      <c r="D283" s="11"/>
      <c r="E283" s="86"/>
      <c r="F283" s="85"/>
      <c r="G283" s="85"/>
    </row>
    <row r="284" spans="4:7" ht="13.5">
      <c r="D284" s="11"/>
      <c r="E284" s="86"/>
      <c r="F284" s="85"/>
      <c r="G284" s="85"/>
    </row>
    <row r="285" spans="4:7" ht="13.5">
      <c r="D285" s="11"/>
      <c r="E285" s="86"/>
      <c r="F285" s="85"/>
      <c r="G285" s="85"/>
    </row>
    <row r="286" spans="4:7" ht="13.5">
      <c r="D286" s="11"/>
      <c r="E286" s="86"/>
      <c r="F286" s="85"/>
      <c r="G286" s="85"/>
    </row>
    <row r="287" spans="4:7" ht="13.5">
      <c r="D287" s="11"/>
      <c r="E287" s="86"/>
      <c r="F287" s="85"/>
      <c r="G287" s="85"/>
    </row>
    <row r="288" spans="4:7" ht="13.5">
      <c r="D288" s="11"/>
      <c r="E288" s="86"/>
      <c r="F288" s="85"/>
      <c r="G288" s="85"/>
    </row>
    <row r="289" spans="4:7" ht="13.5">
      <c r="D289" s="11"/>
      <c r="E289" s="86"/>
      <c r="F289" s="85"/>
      <c r="G289" s="85"/>
    </row>
    <row r="290" spans="4:7" ht="13.5">
      <c r="D290" s="11"/>
      <c r="E290" s="86"/>
      <c r="F290" s="85"/>
      <c r="G290" s="85"/>
    </row>
    <row r="291" spans="4:7" ht="13.5">
      <c r="D291" s="11"/>
      <c r="E291" s="86"/>
      <c r="F291" s="85"/>
      <c r="G291" s="85"/>
    </row>
    <row r="292" spans="4:7" ht="13.5">
      <c r="D292" s="11"/>
      <c r="E292" s="86"/>
      <c r="F292" s="85"/>
      <c r="G292" s="85"/>
    </row>
    <row r="293" spans="4:7" ht="13.5">
      <c r="D293" s="11"/>
      <c r="E293" s="86"/>
      <c r="F293" s="85"/>
      <c r="G293" s="85"/>
    </row>
    <row r="294" spans="4:7" ht="13.5">
      <c r="D294" s="11"/>
      <c r="E294" s="86"/>
      <c r="F294" s="85"/>
      <c r="G294" s="85"/>
    </row>
    <row r="295" spans="4:7" ht="13.5">
      <c r="D295" s="11"/>
      <c r="E295" s="86"/>
      <c r="F295" s="85"/>
      <c r="G295" s="85"/>
    </row>
    <row r="296" spans="4:7" ht="13.5">
      <c r="D296" s="11"/>
      <c r="E296" s="86"/>
      <c r="F296" s="85"/>
      <c r="G296" s="85"/>
    </row>
    <row r="297" spans="4:7" ht="13.5">
      <c r="D297" s="11"/>
      <c r="E297" s="86"/>
      <c r="F297" s="85"/>
      <c r="G297" s="85"/>
    </row>
    <row r="298" spans="4:7" ht="13.5">
      <c r="D298" s="11"/>
      <c r="E298" s="86"/>
      <c r="F298" s="85"/>
      <c r="G298" s="85"/>
    </row>
    <row r="299" spans="4:7" ht="13.5">
      <c r="D299" s="11"/>
      <c r="E299" s="86"/>
      <c r="F299" s="85"/>
      <c r="G299" s="85"/>
    </row>
    <row r="300" spans="4:7" ht="13.5">
      <c r="D300" s="11"/>
      <c r="E300" s="86"/>
      <c r="F300" s="85"/>
      <c r="G300" s="85"/>
    </row>
    <row r="301" spans="4:7" ht="13.5">
      <c r="D301" s="11"/>
      <c r="E301" s="86"/>
      <c r="F301" s="85"/>
      <c r="G301" s="85"/>
    </row>
    <row r="302" spans="4:7" ht="13.5">
      <c r="D302" s="11"/>
      <c r="E302" s="86"/>
      <c r="F302" s="85"/>
      <c r="G302" s="85"/>
    </row>
    <row r="303" spans="4:7" ht="13.5">
      <c r="D303" s="11"/>
      <c r="E303" s="86"/>
      <c r="F303" s="85"/>
      <c r="G303" s="85"/>
    </row>
    <row r="304" spans="4:7" ht="13.5">
      <c r="D304" s="11"/>
      <c r="E304" s="86"/>
      <c r="F304" s="85"/>
      <c r="G304" s="85"/>
    </row>
    <row r="305" spans="4:7" ht="13.5">
      <c r="D305" s="11"/>
      <c r="E305" s="86"/>
      <c r="F305" s="85"/>
      <c r="G305" s="85"/>
    </row>
    <row r="306" spans="4:7" ht="13.5">
      <c r="D306" s="11"/>
      <c r="E306" s="86"/>
      <c r="F306" s="85"/>
      <c r="G306" s="85"/>
    </row>
    <row r="307" spans="4:7" ht="13.5">
      <c r="D307" s="11"/>
      <c r="E307" s="86"/>
      <c r="F307" s="85"/>
      <c r="G307" s="85"/>
    </row>
    <row r="308" spans="4:7" ht="13.5">
      <c r="D308" s="11"/>
      <c r="E308" s="86"/>
      <c r="F308" s="85"/>
      <c r="G308" s="85"/>
    </row>
    <row r="309" spans="4:7" ht="13.5">
      <c r="D309" s="11"/>
      <c r="E309" s="86"/>
      <c r="F309" s="85"/>
      <c r="G309" s="85"/>
    </row>
    <row r="310" spans="4:7" ht="13.5">
      <c r="D310" s="11"/>
      <c r="E310" s="86"/>
      <c r="F310" s="85"/>
      <c r="G310" s="85"/>
    </row>
    <row r="311" spans="4:7" ht="13.5">
      <c r="D311" s="11"/>
      <c r="E311" s="86"/>
      <c r="F311" s="85"/>
      <c r="G311" s="85"/>
    </row>
    <row r="312" spans="4:7" ht="13.5">
      <c r="D312" s="11"/>
      <c r="E312" s="86"/>
      <c r="F312" s="85"/>
      <c r="G312" s="85"/>
    </row>
    <row r="313" spans="4:7" ht="13.5">
      <c r="D313" s="11"/>
      <c r="E313" s="86"/>
      <c r="F313" s="85"/>
      <c r="G313" s="85"/>
    </row>
    <row r="314" spans="4:7" ht="13.5">
      <c r="D314" s="11"/>
      <c r="E314" s="86"/>
      <c r="F314" s="85"/>
      <c r="G314" s="85"/>
    </row>
    <row r="315" spans="4:7" ht="13.5">
      <c r="D315" s="11"/>
      <c r="E315" s="86"/>
      <c r="F315" s="85"/>
      <c r="G315" s="85"/>
    </row>
    <row r="316" spans="4:7" ht="13.5">
      <c r="D316" s="11"/>
      <c r="E316" s="86"/>
      <c r="F316" s="85"/>
      <c r="G316" s="85"/>
    </row>
    <row r="317" spans="4:7" ht="13.5">
      <c r="D317" s="11"/>
      <c r="E317" s="86"/>
      <c r="F317" s="85"/>
      <c r="G317" s="85"/>
    </row>
    <row r="318" spans="4:7" ht="13.5">
      <c r="D318" s="11"/>
      <c r="E318" s="86"/>
      <c r="F318" s="85"/>
      <c r="G318" s="85"/>
    </row>
    <row r="319" spans="4:7" ht="13.5">
      <c r="D319" s="11"/>
      <c r="E319" s="86"/>
      <c r="F319" s="85"/>
      <c r="G319" s="85"/>
    </row>
    <row r="320" spans="4:7" ht="13.5">
      <c r="D320" s="11"/>
      <c r="E320" s="86"/>
      <c r="F320" s="85"/>
      <c r="G320" s="85"/>
    </row>
    <row r="321" spans="4:7" ht="13.5">
      <c r="D321" s="11"/>
      <c r="E321" s="86"/>
      <c r="F321" s="85"/>
      <c r="G321" s="85"/>
    </row>
    <row r="322" spans="4:7" ht="13.5">
      <c r="D322" s="11"/>
      <c r="E322" s="86"/>
      <c r="F322" s="85"/>
      <c r="G322" s="85"/>
    </row>
    <row r="323" spans="4:7" ht="13.5">
      <c r="D323" s="11"/>
      <c r="E323" s="86"/>
      <c r="F323" s="85"/>
      <c r="G323" s="85"/>
    </row>
    <row r="324" spans="4:7" ht="13.5">
      <c r="D324" s="11"/>
      <c r="E324" s="86"/>
      <c r="F324" s="85"/>
      <c r="G324" s="85"/>
    </row>
    <row r="325" spans="4:7" ht="13.5">
      <c r="D325" s="11"/>
      <c r="E325" s="86"/>
      <c r="F325" s="85"/>
      <c r="G325" s="85"/>
    </row>
    <row r="326" spans="4:7" ht="13.5">
      <c r="D326" s="11"/>
      <c r="E326" s="86"/>
      <c r="F326" s="85"/>
      <c r="G326" s="85"/>
    </row>
    <row r="327" spans="4:7" ht="13.5">
      <c r="D327" s="11"/>
      <c r="E327" s="86"/>
      <c r="F327" s="85"/>
      <c r="G327" s="85"/>
    </row>
    <row r="328" spans="4:7" ht="13.5">
      <c r="D328" s="11"/>
      <c r="E328" s="86"/>
      <c r="F328" s="85"/>
      <c r="G328" s="85"/>
    </row>
    <row r="329" spans="4:7" ht="13.5">
      <c r="D329" s="11"/>
      <c r="E329" s="86"/>
      <c r="F329" s="85"/>
      <c r="G329" s="85"/>
    </row>
    <row r="330" spans="4:7" ht="13.5">
      <c r="D330" s="11"/>
      <c r="E330" s="86"/>
      <c r="F330" s="85"/>
      <c r="G330" s="85"/>
    </row>
    <row r="331" spans="4:7" ht="13.5">
      <c r="D331" s="11"/>
      <c r="E331" s="86"/>
      <c r="F331" s="85"/>
      <c r="G331" s="85"/>
    </row>
    <row r="332" spans="4:7" ht="13.5">
      <c r="D332" s="11"/>
      <c r="E332" s="86"/>
      <c r="F332" s="85"/>
      <c r="G332" s="85"/>
    </row>
    <row r="333" spans="4:7" ht="13.5">
      <c r="D333" s="11"/>
      <c r="E333" s="86"/>
      <c r="F333" s="85"/>
      <c r="G333" s="85"/>
    </row>
    <row r="334" spans="4:7" ht="13.5">
      <c r="D334" s="11"/>
      <c r="E334" s="86"/>
      <c r="F334" s="85"/>
      <c r="G334" s="85"/>
    </row>
    <row r="335" spans="4:7" ht="13.5">
      <c r="D335" s="11"/>
      <c r="E335" s="86"/>
      <c r="F335" s="85"/>
      <c r="G335" s="85"/>
    </row>
    <row r="336" spans="4:7" ht="13.5">
      <c r="D336" s="11"/>
      <c r="E336" s="86"/>
      <c r="F336" s="85"/>
      <c r="G336" s="85"/>
    </row>
    <row r="337" spans="4:7" ht="13.5">
      <c r="D337" s="11"/>
      <c r="E337" s="86"/>
      <c r="F337" s="85"/>
      <c r="G337" s="85"/>
    </row>
    <row r="338" spans="4:7" ht="13.5">
      <c r="D338" s="11"/>
      <c r="E338" s="86"/>
      <c r="F338" s="85"/>
      <c r="G338" s="85"/>
    </row>
    <row r="339" spans="4:7" ht="13.5">
      <c r="D339" s="11"/>
      <c r="E339" s="86"/>
      <c r="F339" s="85"/>
      <c r="G339" s="85"/>
    </row>
    <row r="340" spans="4:7" ht="13.5">
      <c r="D340" s="11"/>
      <c r="E340" s="86"/>
      <c r="F340" s="85"/>
      <c r="G340" s="85"/>
    </row>
    <row r="341" spans="4:7" ht="13.5">
      <c r="D341" s="11"/>
      <c r="E341" s="86"/>
      <c r="F341" s="85"/>
      <c r="G341" s="85"/>
    </row>
    <row r="342" spans="4:7" ht="13.5">
      <c r="D342" s="11"/>
      <c r="E342" s="86"/>
      <c r="F342" s="85"/>
      <c r="G342" s="85"/>
    </row>
    <row r="343" spans="4:7" ht="13.5">
      <c r="D343" s="11"/>
      <c r="E343" s="86"/>
      <c r="F343" s="85"/>
      <c r="G343" s="85"/>
    </row>
    <row r="344" spans="4:7" ht="13.5">
      <c r="D344" s="11"/>
      <c r="E344" s="86"/>
      <c r="F344" s="85"/>
      <c r="G344" s="85"/>
    </row>
    <row r="345" spans="4:7" ht="13.5">
      <c r="D345" s="11"/>
      <c r="E345" s="86"/>
      <c r="F345" s="85"/>
      <c r="G345" s="85"/>
    </row>
    <row r="346" spans="4:7" ht="13.5">
      <c r="D346" s="11"/>
      <c r="E346" s="86"/>
      <c r="F346" s="85"/>
      <c r="G346" s="85"/>
    </row>
    <row r="347" spans="4:7" ht="13.5">
      <c r="D347" s="11"/>
      <c r="E347" s="86"/>
      <c r="F347" s="85"/>
      <c r="G347" s="85"/>
    </row>
    <row r="348" spans="4:7" ht="13.5">
      <c r="D348" s="11"/>
      <c r="E348" s="86"/>
      <c r="F348" s="85"/>
      <c r="G348" s="85"/>
    </row>
    <row r="349" spans="4:7" ht="13.5">
      <c r="D349" s="11"/>
      <c r="E349" s="86"/>
      <c r="F349" s="85"/>
      <c r="G349" s="85"/>
    </row>
    <row r="350" spans="4:7" ht="13.5">
      <c r="D350" s="11"/>
      <c r="E350" s="86"/>
      <c r="F350" s="85"/>
      <c r="G350" s="85"/>
    </row>
    <row r="351" spans="4:7" ht="13.5">
      <c r="D351" s="11"/>
      <c r="E351" s="86"/>
      <c r="F351" s="85"/>
      <c r="G351" s="85"/>
    </row>
    <row r="352" spans="4:7" ht="13.5">
      <c r="D352" s="11"/>
      <c r="E352" s="86"/>
      <c r="F352" s="85"/>
      <c r="G352" s="85"/>
    </row>
    <row r="353" spans="4:7" ht="13.5">
      <c r="D353" s="11"/>
      <c r="E353" s="86"/>
      <c r="F353" s="85"/>
      <c r="G353" s="85"/>
    </row>
    <row r="354" spans="4:7" ht="13.5">
      <c r="D354" s="11"/>
      <c r="E354" s="86"/>
      <c r="F354" s="85"/>
      <c r="G354" s="85"/>
    </row>
    <row r="355" spans="4:7" ht="13.5">
      <c r="D355" s="11"/>
      <c r="E355" s="86"/>
      <c r="F355" s="85"/>
      <c r="G355" s="85"/>
    </row>
    <row r="356" spans="4:7" ht="13.5">
      <c r="D356" s="11"/>
      <c r="E356" s="86"/>
      <c r="F356" s="85"/>
      <c r="G356" s="85"/>
    </row>
    <row r="357" spans="4:7" ht="13.5">
      <c r="D357" s="11"/>
      <c r="E357" s="86"/>
      <c r="F357" s="85"/>
      <c r="G357" s="85"/>
    </row>
    <row r="358" spans="4:7" ht="13.5">
      <c r="D358" s="11"/>
      <c r="E358" s="86"/>
      <c r="F358" s="85"/>
      <c r="G358" s="85"/>
    </row>
    <row r="359" spans="4:7" ht="13.5">
      <c r="D359" s="11"/>
      <c r="E359" s="86"/>
      <c r="F359" s="85"/>
      <c r="G359" s="85"/>
    </row>
    <row r="360" spans="4:7" ht="13.5">
      <c r="D360" s="11"/>
      <c r="E360" s="86"/>
      <c r="F360" s="85"/>
      <c r="G360" s="85"/>
    </row>
    <row r="361" spans="4:7" ht="13.5">
      <c r="D361" s="11"/>
      <c r="E361" s="86"/>
      <c r="F361" s="85"/>
      <c r="G361" s="85"/>
    </row>
    <row r="362" spans="4:7" ht="13.5">
      <c r="D362" s="11"/>
      <c r="E362" s="86"/>
      <c r="F362" s="85"/>
      <c r="G362" s="85"/>
    </row>
    <row r="363" spans="4:7" ht="13.5">
      <c r="D363" s="11"/>
      <c r="E363" s="86"/>
      <c r="F363" s="85"/>
      <c r="G363" s="85"/>
    </row>
    <row r="364" spans="4:7" ht="13.5">
      <c r="D364" s="11"/>
      <c r="E364" s="86"/>
      <c r="F364" s="85"/>
      <c r="G364" s="85"/>
    </row>
    <row r="365" spans="4:7" ht="13.5">
      <c r="D365" s="11"/>
      <c r="E365" s="86"/>
      <c r="F365" s="85"/>
      <c r="G365" s="85"/>
    </row>
    <row r="366" spans="4:7" ht="13.5">
      <c r="D366" s="11"/>
      <c r="E366" s="86"/>
      <c r="F366" s="85"/>
      <c r="G366" s="85"/>
    </row>
    <row r="367" spans="4:7" ht="13.5">
      <c r="D367" s="11"/>
      <c r="E367" s="86"/>
      <c r="F367" s="85"/>
      <c r="G367" s="85"/>
    </row>
    <row r="368" spans="4:7" ht="13.5">
      <c r="D368" s="11"/>
      <c r="E368" s="86"/>
      <c r="F368" s="85"/>
      <c r="G368" s="85"/>
    </row>
    <row r="369" spans="4:7" ht="13.5">
      <c r="D369" s="11"/>
      <c r="E369" s="86"/>
      <c r="F369" s="85"/>
      <c r="G369" s="85"/>
    </row>
    <row r="370" spans="4:7" ht="13.5">
      <c r="D370" s="11"/>
      <c r="E370" s="86"/>
      <c r="F370" s="85"/>
      <c r="G370" s="85"/>
    </row>
    <row r="371" spans="4:7" ht="13.5">
      <c r="D371" s="11"/>
      <c r="E371" s="86"/>
      <c r="F371" s="85"/>
      <c r="G371" s="85"/>
    </row>
    <row r="372" spans="4:7" ht="13.5">
      <c r="D372" s="11"/>
      <c r="E372" s="86"/>
      <c r="F372" s="85"/>
      <c r="G372" s="85"/>
    </row>
    <row r="373" spans="4:7" ht="13.5">
      <c r="D373" s="11"/>
      <c r="E373" s="86"/>
      <c r="F373" s="85"/>
      <c r="G373" s="85"/>
    </row>
    <row r="374" spans="4:7" ht="13.5">
      <c r="D374" s="11"/>
      <c r="E374" s="86"/>
      <c r="F374" s="85"/>
      <c r="G374" s="85"/>
    </row>
    <row r="375" spans="4:7" ht="13.5">
      <c r="D375" s="11"/>
      <c r="E375" s="86"/>
      <c r="F375" s="85"/>
      <c r="G375" s="85"/>
    </row>
    <row r="376" spans="4:7" ht="13.5">
      <c r="D376" s="11"/>
      <c r="E376" s="86"/>
      <c r="F376" s="85"/>
      <c r="G376" s="85"/>
    </row>
    <row r="377" spans="4:7" ht="13.5">
      <c r="D377" s="11"/>
      <c r="E377" s="86"/>
      <c r="F377" s="85"/>
      <c r="G377" s="85"/>
    </row>
    <row r="378" spans="4:7" ht="13.5">
      <c r="D378" s="11"/>
      <c r="E378" s="86"/>
      <c r="F378" s="85"/>
      <c r="G378" s="85"/>
    </row>
    <row r="379" spans="4:7" ht="13.5">
      <c r="D379" s="11"/>
      <c r="E379" s="86"/>
      <c r="F379" s="85"/>
      <c r="G379" s="85"/>
    </row>
    <row r="380" spans="4:7" ht="13.5">
      <c r="D380" s="11"/>
      <c r="E380" s="86"/>
      <c r="F380" s="85"/>
      <c r="G380" s="85"/>
    </row>
    <row r="381" spans="4:7" ht="13.5">
      <c r="D381" s="11"/>
      <c r="E381" s="86"/>
      <c r="F381" s="85"/>
      <c r="G381" s="85"/>
    </row>
    <row r="382" spans="4:7" ht="13.5">
      <c r="D382" s="11"/>
      <c r="E382" s="86"/>
      <c r="F382" s="85"/>
      <c r="G382" s="85"/>
    </row>
    <row r="383" spans="4:7" ht="13.5">
      <c r="D383" s="11"/>
      <c r="E383" s="86"/>
      <c r="F383" s="85"/>
      <c r="G383" s="85"/>
    </row>
    <row r="384" spans="4:7" ht="13.5">
      <c r="D384" s="11"/>
      <c r="E384" s="86"/>
      <c r="F384" s="85"/>
      <c r="G384" s="85"/>
    </row>
    <row r="385" spans="4:7" ht="13.5">
      <c r="D385" s="11"/>
      <c r="E385" s="86"/>
      <c r="F385" s="85"/>
      <c r="G385" s="85"/>
    </row>
    <row r="386" spans="4:7" ht="13.5">
      <c r="D386" s="11"/>
      <c r="E386" s="86"/>
      <c r="F386" s="85"/>
      <c r="G386" s="85"/>
    </row>
    <row r="387" spans="4:7" ht="13.5">
      <c r="D387" s="11"/>
      <c r="E387" s="86"/>
      <c r="F387" s="85"/>
      <c r="G387" s="85"/>
    </row>
    <row r="388" spans="4:7" ht="13.5">
      <c r="D388" s="11"/>
      <c r="E388" s="86"/>
      <c r="F388" s="85"/>
      <c r="G388" s="85"/>
    </row>
    <row r="389" spans="4:7" ht="13.5">
      <c r="D389" s="11"/>
      <c r="E389" s="86"/>
      <c r="F389" s="85"/>
      <c r="G389" s="85"/>
    </row>
    <row r="390" spans="4:7" ht="13.5">
      <c r="D390" s="11"/>
      <c r="E390" s="86"/>
      <c r="F390" s="85"/>
      <c r="G390" s="85"/>
    </row>
    <row r="391" spans="4:7" ht="13.5">
      <c r="D391" s="11"/>
      <c r="E391" s="86"/>
      <c r="F391" s="85"/>
      <c r="G391" s="85"/>
    </row>
    <row r="392" spans="4:7" ht="13.5">
      <c r="D392" s="11"/>
      <c r="E392" s="86"/>
      <c r="F392" s="85"/>
      <c r="G392" s="85"/>
    </row>
    <row r="393" spans="4:7" ht="13.5">
      <c r="D393" s="11"/>
      <c r="E393" s="86"/>
      <c r="F393" s="85"/>
      <c r="G393" s="85"/>
    </row>
    <row r="394" spans="4:7" ht="13.5">
      <c r="D394" s="11"/>
      <c r="E394" s="86"/>
      <c r="F394" s="85"/>
      <c r="G394" s="85"/>
    </row>
    <row r="395" spans="4:7" ht="13.5">
      <c r="D395" s="11"/>
      <c r="E395" s="86"/>
      <c r="F395" s="85"/>
      <c r="G395" s="85"/>
    </row>
    <row r="396" spans="4:7" ht="13.5">
      <c r="D396" s="11"/>
      <c r="E396" s="86"/>
      <c r="F396" s="85"/>
      <c r="G396" s="85"/>
    </row>
    <row r="397" spans="4:7" ht="13.5">
      <c r="D397" s="11"/>
      <c r="E397" s="86"/>
      <c r="F397" s="85"/>
      <c r="G397" s="85"/>
    </row>
    <row r="398" spans="4:7" ht="13.5">
      <c r="D398" s="11"/>
      <c r="E398" s="86"/>
      <c r="F398" s="85"/>
      <c r="G398" s="85"/>
    </row>
    <row r="399" spans="4:7" ht="13.5">
      <c r="D399" s="11"/>
      <c r="E399" s="86"/>
      <c r="F399" s="85"/>
      <c r="G399" s="85"/>
    </row>
    <row r="400" spans="4:7" ht="13.5">
      <c r="D400" s="11"/>
      <c r="E400" s="86"/>
      <c r="F400" s="85"/>
      <c r="G400" s="85"/>
    </row>
    <row r="401" spans="4:7" ht="13.5">
      <c r="D401" s="11"/>
      <c r="E401" s="86"/>
      <c r="F401" s="85"/>
      <c r="G401" s="85"/>
    </row>
    <row r="402" spans="4:7" ht="13.5">
      <c r="D402" s="11"/>
      <c r="E402" s="86"/>
      <c r="F402" s="85"/>
      <c r="G402" s="85"/>
    </row>
    <row r="403" spans="4:7" ht="13.5">
      <c r="D403" s="11"/>
      <c r="E403" s="86"/>
      <c r="F403" s="85"/>
      <c r="G403" s="85"/>
    </row>
    <row r="404" spans="4:7" ht="13.5">
      <c r="D404" s="11"/>
      <c r="E404" s="86"/>
      <c r="F404" s="85"/>
      <c r="G404" s="85"/>
    </row>
    <row r="405" spans="4:7" ht="13.5">
      <c r="D405" s="11"/>
      <c r="E405" s="86"/>
      <c r="F405" s="85"/>
      <c r="G405" s="85"/>
    </row>
    <row r="406" spans="4:7" ht="13.5">
      <c r="D406" s="11"/>
      <c r="E406" s="86"/>
      <c r="F406" s="85"/>
      <c r="G406" s="85"/>
    </row>
    <row r="407" spans="4:7" ht="13.5">
      <c r="D407" s="11"/>
      <c r="E407" s="86"/>
      <c r="F407" s="85"/>
      <c r="G407" s="85"/>
    </row>
    <row r="408" spans="4:7" ht="13.5">
      <c r="D408" s="11"/>
      <c r="E408" s="86"/>
      <c r="F408" s="85"/>
      <c r="G408" s="85"/>
    </row>
    <row r="409" spans="4:7" ht="13.5">
      <c r="D409" s="11"/>
      <c r="E409" s="86"/>
      <c r="F409" s="85"/>
      <c r="G409" s="85"/>
    </row>
    <row r="410" spans="4:7" ht="13.5">
      <c r="D410" s="11"/>
      <c r="E410" s="86"/>
      <c r="F410" s="85"/>
      <c r="G410" s="85"/>
    </row>
    <row r="411" spans="4:7" ht="13.5">
      <c r="D411" s="11"/>
      <c r="E411" s="86"/>
      <c r="F411" s="85"/>
      <c r="G411" s="85"/>
    </row>
    <row r="412" spans="4:7" ht="13.5">
      <c r="D412" s="11"/>
      <c r="E412" s="86"/>
      <c r="F412" s="85"/>
      <c r="G412" s="85"/>
    </row>
    <row r="413" spans="4:7" ht="13.5">
      <c r="D413" s="11"/>
      <c r="E413" s="86"/>
      <c r="F413" s="85"/>
      <c r="G413" s="85"/>
    </row>
    <row r="414" spans="4:7" ht="13.5">
      <c r="D414" s="11"/>
      <c r="E414" s="86"/>
      <c r="F414" s="85"/>
      <c r="G414" s="85"/>
    </row>
    <row r="415" spans="4:7" ht="13.5">
      <c r="D415" s="11"/>
      <c r="E415" s="86"/>
      <c r="F415" s="85"/>
      <c r="G415" s="85"/>
    </row>
    <row r="416" spans="4:7" ht="13.5">
      <c r="D416" s="11"/>
      <c r="E416" s="86"/>
      <c r="F416" s="85"/>
      <c r="G416" s="85"/>
    </row>
    <row r="417" spans="4:7" ht="13.5">
      <c r="D417" s="11"/>
      <c r="E417" s="86"/>
      <c r="F417" s="85"/>
      <c r="G417" s="85"/>
    </row>
    <row r="418" spans="4:7" ht="13.5">
      <c r="D418" s="11"/>
      <c r="E418" s="86"/>
      <c r="F418" s="85"/>
      <c r="G418" s="85"/>
    </row>
    <row r="419" spans="4:7" ht="13.5">
      <c r="D419" s="11"/>
      <c r="E419" s="86"/>
      <c r="F419" s="85"/>
      <c r="G419" s="85"/>
    </row>
    <row r="420" spans="4:7" ht="13.5">
      <c r="D420" s="11"/>
      <c r="E420" s="86"/>
      <c r="F420" s="85"/>
      <c r="G420" s="85"/>
    </row>
    <row r="421" spans="4:7" ht="13.5">
      <c r="D421" s="11"/>
      <c r="E421" s="86"/>
      <c r="F421" s="85"/>
      <c r="G421" s="85"/>
    </row>
    <row r="422" spans="4:7" ht="13.5">
      <c r="D422" s="11"/>
      <c r="E422" s="86"/>
      <c r="F422" s="85"/>
      <c r="G422" s="85"/>
    </row>
    <row r="423" spans="4:7" ht="13.5">
      <c r="D423" s="11"/>
      <c r="E423" s="86"/>
      <c r="F423" s="85"/>
      <c r="G423" s="85"/>
    </row>
    <row r="424" spans="4:7" ht="13.5">
      <c r="D424" s="11"/>
      <c r="E424" s="86"/>
      <c r="F424" s="85"/>
      <c r="G424" s="85"/>
    </row>
    <row r="425" spans="4:7" ht="13.5">
      <c r="D425" s="11"/>
      <c r="E425" s="86"/>
      <c r="F425" s="85"/>
      <c r="G425" s="85"/>
    </row>
    <row r="426" spans="4:7" ht="13.5">
      <c r="D426" s="11"/>
      <c r="E426" s="86"/>
      <c r="F426" s="85"/>
      <c r="G426" s="85"/>
    </row>
    <row r="427" spans="4:7" ht="13.5">
      <c r="D427" s="11"/>
      <c r="E427" s="86"/>
      <c r="F427" s="85"/>
      <c r="G427" s="85"/>
    </row>
    <row r="428" spans="4:7" ht="13.5">
      <c r="D428" s="11"/>
      <c r="E428" s="86"/>
      <c r="F428" s="85"/>
      <c r="G428" s="85"/>
    </row>
    <row r="429" spans="4:7" ht="13.5">
      <c r="D429" s="11"/>
      <c r="E429" s="86"/>
      <c r="F429" s="85"/>
      <c r="G429" s="85"/>
    </row>
    <row r="430" spans="4:7" ht="13.5">
      <c r="D430" s="11"/>
      <c r="E430" s="86"/>
      <c r="F430" s="85"/>
      <c r="G430" s="85"/>
    </row>
    <row r="431" spans="4:7" ht="13.5">
      <c r="D431" s="11"/>
      <c r="E431" s="86"/>
      <c r="F431" s="85"/>
      <c r="G431" s="85"/>
    </row>
    <row r="432" spans="4:7" ht="13.5">
      <c r="D432" s="11"/>
      <c r="E432" s="86"/>
      <c r="F432" s="85"/>
      <c r="G432" s="85"/>
    </row>
    <row r="433" spans="4:7" ht="13.5">
      <c r="D433" s="11"/>
      <c r="E433" s="86"/>
      <c r="F433" s="85"/>
      <c r="G433" s="85"/>
    </row>
    <row r="434" spans="4:7" ht="13.5">
      <c r="D434" s="11"/>
      <c r="E434" s="86"/>
      <c r="F434" s="85"/>
      <c r="G434" s="85"/>
    </row>
    <row r="435" spans="4:7" ht="13.5">
      <c r="D435" s="11"/>
      <c r="E435" s="86"/>
      <c r="F435" s="85"/>
      <c r="G435" s="85"/>
    </row>
    <row r="436" spans="4:7" ht="13.5">
      <c r="D436" s="11"/>
      <c r="E436" s="86"/>
      <c r="F436" s="85"/>
      <c r="G436" s="85"/>
    </row>
    <row r="437" spans="4:7" ht="13.5">
      <c r="D437" s="11"/>
      <c r="E437" s="86"/>
      <c r="F437" s="85"/>
      <c r="G437" s="85"/>
    </row>
    <row r="438" spans="4:7" ht="13.5">
      <c r="D438" s="11"/>
      <c r="E438" s="86"/>
      <c r="F438" s="85"/>
      <c r="G438" s="85"/>
    </row>
    <row r="439" spans="4:7" ht="13.5">
      <c r="D439" s="11"/>
      <c r="E439" s="86"/>
      <c r="F439" s="85"/>
      <c r="G439" s="85"/>
    </row>
    <row r="440" spans="4:7" ht="13.5">
      <c r="D440" s="11"/>
      <c r="E440" s="86"/>
      <c r="F440" s="85"/>
      <c r="G440" s="85"/>
    </row>
    <row r="441" spans="4:7" ht="13.5">
      <c r="D441" s="11"/>
      <c r="E441" s="86"/>
      <c r="F441" s="85"/>
      <c r="G441" s="85"/>
    </row>
    <row r="442" spans="4:7" ht="13.5">
      <c r="D442" s="11"/>
      <c r="E442" s="86"/>
      <c r="F442" s="85"/>
      <c r="G442" s="85"/>
    </row>
    <row r="443" spans="4:7" ht="13.5">
      <c r="D443" s="11"/>
      <c r="E443" s="86"/>
      <c r="F443" s="85"/>
      <c r="G443" s="85"/>
    </row>
    <row r="444" spans="4:7" ht="13.5">
      <c r="D444" s="11"/>
      <c r="E444" s="86"/>
      <c r="F444" s="85"/>
      <c r="G444" s="85"/>
    </row>
    <row r="445" spans="4:7" ht="13.5">
      <c r="D445" s="11"/>
      <c r="E445" s="86"/>
      <c r="F445" s="85"/>
      <c r="G445" s="85"/>
    </row>
    <row r="446" spans="4:7" ht="13.5">
      <c r="D446" s="11"/>
      <c r="E446" s="86"/>
      <c r="F446" s="85"/>
      <c r="G446" s="85"/>
    </row>
    <row r="447" spans="4:7" ht="13.5">
      <c r="D447" s="11"/>
      <c r="E447" s="86"/>
      <c r="F447" s="85"/>
      <c r="G447" s="85"/>
    </row>
    <row r="448" spans="4:7" ht="13.5">
      <c r="D448" s="11"/>
      <c r="E448" s="86"/>
      <c r="F448" s="85"/>
      <c r="G448" s="85"/>
    </row>
    <row r="449" spans="4:7" ht="13.5">
      <c r="D449" s="11"/>
      <c r="E449" s="86"/>
      <c r="F449" s="85"/>
      <c r="G449" s="85"/>
    </row>
    <row r="450" spans="4:7" ht="13.5">
      <c r="D450" s="11"/>
      <c r="E450" s="86"/>
      <c r="F450" s="85"/>
      <c r="G450" s="85"/>
    </row>
    <row r="451" spans="4:7" ht="13.5">
      <c r="D451" s="11"/>
      <c r="E451" s="86"/>
      <c r="F451" s="85"/>
      <c r="G451" s="85"/>
    </row>
    <row r="452" spans="4:7" ht="13.5">
      <c r="D452" s="11"/>
      <c r="E452" s="86"/>
      <c r="F452" s="85"/>
      <c r="G452" s="85"/>
    </row>
    <row r="453" spans="4:7" ht="13.5">
      <c r="D453" s="11"/>
      <c r="E453" s="86"/>
      <c r="F453" s="85"/>
      <c r="G453" s="85"/>
    </row>
    <row r="454" spans="4:7" ht="13.5">
      <c r="D454" s="11"/>
      <c r="E454" s="86"/>
      <c r="F454" s="85"/>
      <c r="G454" s="85"/>
    </row>
    <row r="455" spans="4:7" ht="13.5">
      <c r="D455" s="11"/>
      <c r="E455" s="86"/>
      <c r="F455" s="85"/>
      <c r="G455" s="85"/>
    </row>
    <row r="456" spans="4:7" ht="13.5">
      <c r="D456" s="11"/>
      <c r="E456" s="86"/>
      <c r="F456" s="85"/>
      <c r="G456" s="85"/>
    </row>
    <row r="457" spans="4:7" ht="13.5">
      <c r="D457" s="11"/>
      <c r="E457" s="86"/>
      <c r="F457" s="85"/>
      <c r="G457" s="85"/>
    </row>
    <row r="458" spans="4:7" ht="13.5">
      <c r="D458" s="11"/>
      <c r="E458" s="86"/>
      <c r="F458" s="85"/>
      <c r="G458" s="85"/>
    </row>
    <row r="459" spans="4:7" ht="13.5">
      <c r="D459" s="11"/>
      <c r="E459" s="86"/>
      <c r="F459" s="85"/>
      <c r="G459" s="85"/>
    </row>
    <row r="460" spans="4:7" ht="13.5">
      <c r="D460" s="11"/>
      <c r="E460" s="86"/>
      <c r="F460" s="85"/>
      <c r="G460" s="85"/>
    </row>
    <row r="461" spans="4:7" ht="13.5">
      <c r="D461" s="11"/>
      <c r="E461" s="86"/>
      <c r="F461" s="85"/>
      <c r="G461" s="85"/>
    </row>
    <row r="462" spans="4:7" ht="13.5">
      <c r="D462" s="11"/>
      <c r="E462" s="86"/>
      <c r="F462" s="85"/>
      <c r="G462" s="85"/>
    </row>
    <row r="463" spans="4:7" ht="13.5">
      <c r="D463" s="11"/>
      <c r="E463" s="86"/>
      <c r="F463" s="85"/>
      <c r="G463" s="85"/>
    </row>
    <row r="464" spans="4:7" ht="13.5">
      <c r="D464" s="11"/>
      <c r="E464" s="86"/>
      <c r="F464" s="85"/>
      <c r="G464" s="85"/>
    </row>
    <row r="465" spans="4:7" ht="13.5">
      <c r="D465" s="11"/>
      <c r="E465" s="86"/>
      <c r="F465" s="85"/>
      <c r="G465" s="85"/>
    </row>
    <row r="466" spans="4:7" ht="13.5">
      <c r="D466" s="11"/>
      <c r="E466" s="86"/>
      <c r="F466" s="85"/>
      <c r="G466" s="85"/>
    </row>
    <row r="467" spans="4:7" ht="13.5">
      <c r="D467" s="11"/>
      <c r="E467" s="86"/>
      <c r="F467" s="85"/>
      <c r="G467" s="85"/>
    </row>
    <row r="468" spans="4:7" ht="13.5">
      <c r="D468" s="11"/>
      <c r="E468" s="86"/>
      <c r="F468" s="85"/>
      <c r="G468" s="85"/>
    </row>
    <row r="469" spans="4:7" ht="13.5">
      <c r="D469" s="11"/>
      <c r="E469" s="86"/>
      <c r="F469" s="85"/>
      <c r="G469" s="85"/>
    </row>
    <row r="470" spans="4:7" ht="13.5">
      <c r="D470" s="11"/>
      <c r="E470" s="86"/>
      <c r="F470" s="85"/>
      <c r="G470" s="85"/>
    </row>
    <row r="471" spans="4:7" ht="13.5">
      <c r="D471" s="11"/>
      <c r="E471" s="86"/>
      <c r="F471" s="85"/>
      <c r="G471" s="85"/>
    </row>
    <row r="472" spans="4:7" ht="13.5">
      <c r="D472" s="11"/>
      <c r="E472" s="86"/>
      <c r="F472" s="85"/>
      <c r="G472" s="85"/>
    </row>
    <row r="473" spans="4:7" ht="13.5">
      <c r="D473" s="11"/>
      <c r="E473" s="86"/>
      <c r="F473" s="85"/>
      <c r="G473" s="85"/>
    </row>
    <row r="474" spans="4:7" ht="13.5">
      <c r="D474" s="11"/>
      <c r="E474" s="86"/>
      <c r="F474" s="85"/>
      <c r="G474" s="85"/>
    </row>
    <row r="475" spans="4:7" ht="13.5">
      <c r="D475" s="11"/>
      <c r="E475" s="86"/>
      <c r="F475" s="85"/>
      <c r="G475" s="85"/>
    </row>
    <row r="476" spans="4:7" ht="13.5">
      <c r="D476" s="11"/>
      <c r="E476" s="86"/>
      <c r="F476" s="85"/>
      <c r="G476" s="85"/>
    </row>
    <row r="477" spans="4:7" ht="13.5">
      <c r="D477" s="11"/>
      <c r="E477" s="86"/>
      <c r="F477" s="85"/>
      <c r="G477" s="85"/>
    </row>
    <row r="478" spans="4:7" ht="13.5">
      <c r="D478" s="11"/>
      <c r="E478" s="86"/>
      <c r="F478" s="85"/>
      <c r="G478" s="85"/>
    </row>
    <row r="479" spans="4:7" ht="13.5">
      <c r="D479" s="11"/>
      <c r="E479" s="86"/>
      <c r="F479" s="85"/>
      <c r="G479" s="85"/>
    </row>
    <row r="480" spans="4:7" ht="13.5">
      <c r="D480" s="11"/>
      <c r="E480" s="86"/>
      <c r="F480" s="85"/>
      <c r="G480" s="85"/>
    </row>
    <row r="481" spans="4:7" ht="13.5">
      <c r="D481" s="11"/>
      <c r="E481" s="86"/>
      <c r="F481" s="85"/>
      <c r="G481" s="85"/>
    </row>
    <row r="482" spans="4:7" ht="13.5">
      <c r="D482" s="11"/>
      <c r="E482" s="86"/>
      <c r="F482" s="85"/>
      <c r="G482" s="85"/>
    </row>
    <row r="483" spans="4:7" ht="13.5">
      <c r="D483" s="11"/>
      <c r="E483" s="86"/>
      <c r="F483" s="85"/>
      <c r="G483" s="85"/>
    </row>
    <row r="484" spans="4:7" ht="13.5">
      <c r="D484" s="11"/>
      <c r="E484" s="86"/>
      <c r="F484" s="85"/>
      <c r="G484" s="85"/>
    </row>
    <row r="485" spans="4:7" ht="13.5">
      <c r="D485" s="11"/>
      <c r="E485" s="86"/>
      <c r="F485" s="85"/>
      <c r="G485" s="85"/>
    </row>
    <row r="486" spans="4:7" ht="13.5">
      <c r="D486" s="11"/>
      <c r="E486" s="86"/>
      <c r="F486" s="85"/>
      <c r="G486" s="85"/>
    </row>
    <row r="487" spans="4:7" ht="13.5">
      <c r="D487" s="11"/>
      <c r="E487" s="86"/>
      <c r="F487" s="85"/>
      <c r="G487" s="85"/>
    </row>
    <row r="488" spans="4:7" ht="13.5">
      <c r="D488" s="11"/>
      <c r="E488" s="86"/>
      <c r="F488" s="85"/>
      <c r="G488" s="85"/>
    </row>
    <row r="489" spans="4:7" ht="13.5">
      <c r="D489" s="11"/>
      <c r="E489" s="86"/>
      <c r="F489" s="85"/>
      <c r="G489" s="85"/>
    </row>
    <row r="490" spans="4:7" ht="13.5">
      <c r="D490" s="11"/>
      <c r="E490" s="86"/>
      <c r="F490" s="85"/>
      <c r="G490" s="85"/>
    </row>
    <row r="491" spans="4:7" ht="13.5">
      <c r="D491" s="11"/>
      <c r="E491" s="86"/>
      <c r="F491" s="85"/>
      <c r="G491" s="85"/>
    </row>
    <row r="492" spans="4:7" ht="13.5">
      <c r="D492" s="11"/>
      <c r="E492" s="86"/>
      <c r="F492" s="85"/>
      <c r="G492" s="85"/>
    </row>
    <row r="493" spans="4:7" ht="13.5">
      <c r="D493" s="11"/>
      <c r="E493" s="86"/>
      <c r="F493" s="85"/>
      <c r="G493" s="85"/>
    </row>
    <row r="494" spans="4:7" ht="13.5">
      <c r="D494" s="11"/>
      <c r="E494" s="86"/>
      <c r="F494" s="85"/>
      <c r="G494" s="85"/>
    </row>
    <row r="495" spans="4:7" ht="13.5">
      <c r="D495" s="11"/>
      <c r="E495" s="86"/>
      <c r="F495" s="85"/>
      <c r="G495" s="85"/>
    </row>
    <row r="496" spans="4:7" ht="13.5">
      <c r="D496" s="11"/>
      <c r="E496" s="86"/>
      <c r="F496" s="85"/>
      <c r="G496" s="85"/>
    </row>
    <row r="497" spans="4:7" ht="13.5">
      <c r="D497" s="11"/>
      <c r="E497" s="86"/>
      <c r="F497" s="85"/>
      <c r="G497" s="85"/>
    </row>
    <row r="498" spans="4:7" ht="13.5">
      <c r="D498" s="11"/>
      <c r="E498" s="86"/>
      <c r="F498" s="85"/>
      <c r="G498" s="85"/>
    </row>
    <row r="499" spans="4:7" ht="13.5">
      <c r="D499" s="11"/>
      <c r="E499" s="86"/>
      <c r="F499" s="85"/>
      <c r="G499" s="85"/>
    </row>
    <row r="500" spans="4:7" ht="13.5">
      <c r="D500" s="11"/>
      <c r="E500" s="86"/>
      <c r="F500" s="85"/>
      <c r="G500" s="85"/>
    </row>
    <row r="501" spans="4:7" ht="13.5">
      <c r="D501" s="11"/>
      <c r="E501" s="86"/>
      <c r="F501" s="85"/>
      <c r="G501" s="85"/>
    </row>
    <row r="502" spans="4:7" ht="13.5">
      <c r="D502" s="11"/>
      <c r="E502" s="86"/>
      <c r="F502" s="85"/>
      <c r="G502" s="85"/>
    </row>
    <row r="503" spans="4:7" ht="13.5">
      <c r="D503" s="11"/>
      <c r="E503" s="86"/>
      <c r="F503" s="85"/>
      <c r="G503" s="85"/>
    </row>
    <row r="504" spans="4:7" ht="13.5">
      <c r="D504" s="11"/>
      <c r="E504" s="86"/>
      <c r="F504" s="85"/>
      <c r="G504" s="85"/>
    </row>
    <row r="505" spans="4:7" ht="13.5">
      <c r="D505" s="11"/>
      <c r="E505" s="86"/>
      <c r="F505" s="85"/>
      <c r="G505" s="85"/>
    </row>
    <row r="506" spans="4:7" ht="13.5">
      <c r="D506" s="11"/>
      <c r="E506" s="86"/>
      <c r="F506" s="85"/>
      <c r="G506" s="85"/>
    </row>
    <row r="507" spans="4:7" ht="13.5">
      <c r="D507" s="11"/>
      <c r="E507" s="86"/>
      <c r="F507" s="85"/>
      <c r="G507" s="85"/>
    </row>
    <row r="508" spans="4:7" ht="13.5">
      <c r="D508" s="11"/>
      <c r="E508" s="86"/>
      <c r="F508" s="85"/>
      <c r="G508" s="85"/>
    </row>
    <row r="509" spans="4:7" ht="13.5">
      <c r="D509" s="11"/>
      <c r="E509" s="86"/>
      <c r="F509" s="85"/>
      <c r="G509" s="85"/>
    </row>
    <row r="510" spans="4:7" ht="13.5">
      <c r="D510" s="11"/>
      <c r="E510" s="86"/>
      <c r="F510" s="85"/>
      <c r="G510" s="85"/>
    </row>
    <row r="511" spans="4:7" ht="13.5">
      <c r="D511" s="11"/>
      <c r="E511" s="86"/>
      <c r="F511" s="85"/>
      <c r="G511" s="85"/>
    </row>
    <row r="512" spans="4:7" ht="13.5">
      <c r="D512" s="11"/>
      <c r="E512" s="86"/>
      <c r="F512" s="85"/>
      <c r="G512" s="85"/>
    </row>
    <row r="513" spans="4:7" ht="13.5">
      <c r="D513" s="11"/>
      <c r="E513" s="86"/>
      <c r="F513" s="85"/>
      <c r="G513" s="85"/>
    </row>
    <row r="514" spans="4:7" ht="13.5">
      <c r="D514" s="11"/>
      <c r="E514" s="86"/>
      <c r="F514" s="85"/>
      <c r="G514" s="85"/>
    </row>
    <row r="515" spans="4:7" ht="13.5">
      <c r="D515" s="11"/>
      <c r="E515" s="86"/>
      <c r="F515" s="85"/>
      <c r="G515" s="85"/>
    </row>
    <row r="516" spans="4:7" ht="13.5">
      <c r="D516" s="11"/>
      <c r="E516" s="86"/>
      <c r="F516" s="85"/>
      <c r="G516" s="85"/>
    </row>
    <row r="517" spans="4:7" ht="13.5">
      <c r="D517" s="11"/>
      <c r="E517" s="86"/>
      <c r="F517" s="85"/>
      <c r="G517" s="85"/>
    </row>
    <row r="518" spans="4:7" ht="13.5">
      <c r="D518" s="11"/>
      <c r="E518" s="86"/>
      <c r="F518" s="85"/>
      <c r="G518" s="85"/>
    </row>
    <row r="519" spans="4:7" ht="13.5">
      <c r="D519" s="11"/>
      <c r="E519" s="86"/>
      <c r="F519" s="85"/>
      <c r="G519" s="85"/>
    </row>
    <row r="520" spans="4:7" ht="13.5">
      <c r="D520" s="11"/>
      <c r="E520" s="86"/>
      <c r="F520" s="85"/>
      <c r="G520" s="85"/>
    </row>
    <row r="521" spans="4:7" ht="13.5">
      <c r="D521" s="11"/>
      <c r="E521" s="86"/>
      <c r="F521" s="85"/>
      <c r="G521" s="85"/>
    </row>
    <row r="522" spans="4:7" ht="13.5">
      <c r="D522" s="11"/>
      <c r="E522" s="86"/>
      <c r="F522" s="85"/>
      <c r="G522" s="85"/>
    </row>
    <row r="523" spans="4:7" ht="13.5">
      <c r="D523" s="11"/>
      <c r="E523" s="86"/>
      <c r="F523" s="85"/>
      <c r="G523" s="85"/>
    </row>
    <row r="524" spans="4:7" ht="13.5">
      <c r="D524" s="11"/>
      <c r="E524" s="86"/>
      <c r="F524" s="85"/>
      <c r="G524" s="85"/>
    </row>
    <row r="525" spans="4:7" ht="13.5">
      <c r="D525" s="11"/>
      <c r="E525" s="86"/>
      <c r="F525" s="85"/>
      <c r="G525" s="85"/>
    </row>
    <row r="526" spans="4:7" ht="13.5">
      <c r="D526" s="11"/>
      <c r="E526" s="86"/>
      <c r="F526" s="85"/>
      <c r="G526" s="85"/>
    </row>
    <row r="527" spans="4:7" ht="13.5">
      <c r="D527" s="11"/>
      <c r="E527" s="86"/>
      <c r="F527" s="85"/>
      <c r="G527" s="85"/>
    </row>
    <row r="528" spans="4:7" ht="13.5">
      <c r="D528" s="11"/>
      <c r="E528" s="86"/>
      <c r="F528" s="85"/>
      <c r="G528" s="85"/>
    </row>
    <row r="529" spans="4:7" ht="13.5">
      <c r="D529" s="11"/>
      <c r="E529" s="86"/>
      <c r="F529" s="85"/>
      <c r="G529" s="85"/>
    </row>
    <row r="530" spans="4:7" ht="13.5">
      <c r="D530" s="11"/>
      <c r="E530" s="86"/>
      <c r="F530" s="85"/>
      <c r="G530" s="85"/>
    </row>
    <row r="531" spans="4:7" ht="13.5">
      <c r="D531" s="11"/>
      <c r="E531" s="86"/>
      <c r="F531" s="85"/>
      <c r="G531" s="85"/>
    </row>
    <row r="532" spans="4:7" ht="13.5">
      <c r="D532" s="11"/>
      <c r="E532" s="86"/>
      <c r="F532" s="85"/>
      <c r="G532" s="85"/>
    </row>
    <row r="533" spans="4:7" ht="13.5">
      <c r="D533" s="11"/>
      <c r="E533" s="86"/>
      <c r="F533" s="85"/>
      <c r="G533" s="85"/>
    </row>
    <row r="534" spans="4:7" ht="13.5">
      <c r="D534" s="11"/>
      <c r="E534" s="86"/>
      <c r="F534" s="85"/>
      <c r="G534" s="85"/>
    </row>
    <row r="535" spans="4:7" ht="13.5">
      <c r="D535" s="11"/>
      <c r="E535" s="86"/>
      <c r="F535" s="85"/>
      <c r="G535" s="85"/>
    </row>
    <row r="536" spans="4:7" ht="13.5">
      <c r="D536" s="11"/>
      <c r="E536" s="86"/>
      <c r="F536" s="85"/>
      <c r="G536" s="85"/>
    </row>
    <row r="537" spans="4:7" ht="13.5">
      <c r="D537" s="11"/>
      <c r="E537" s="86"/>
      <c r="F537" s="85"/>
      <c r="G537" s="85"/>
    </row>
    <row r="538" spans="4:7" ht="13.5">
      <c r="D538" s="11"/>
      <c r="E538" s="86"/>
      <c r="F538" s="85"/>
      <c r="G538" s="85"/>
    </row>
    <row r="539" spans="4:7" ht="13.5">
      <c r="D539" s="11"/>
      <c r="E539" s="86"/>
      <c r="F539" s="85"/>
      <c r="G539" s="85"/>
    </row>
    <row r="540" spans="4:7" ht="13.5">
      <c r="D540" s="11"/>
      <c r="E540" s="86"/>
      <c r="F540" s="85"/>
      <c r="G540" s="85"/>
    </row>
    <row r="541" spans="4:7" ht="13.5">
      <c r="D541" s="11"/>
      <c r="E541" s="86"/>
      <c r="F541" s="85"/>
      <c r="G541" s="85"/>
    </row>
    <row r="542" spans="4:7" ht="13.5">
      <c r="D542" s="11"/>
      <c r="E542" s="86"/>
      <c r="F542" s="85"/>
      <c r="G542" s="85"/>
    </row>
    <row r="543" spans="4:7" ht="13.5">
      <c r="D543" s="11"/>
      <c r="E543" s="86"/>
      <c r="F543" s="85"/>
      <c r="G543" s="85"/>
    </row>
    <row r="544" spans="4:7" ht="13.5">
      <c r="D544" s="11"/>
      <c r="E544" s="86"/>
      <c r="F544" s="85"/>
      <c r="G544" s="85"/>
    </row>
    <row r="545" spans="4:7" ht="13.5">
      <c r="D545" s="11"/>
      <c r="E545" s="86"/>
      <c r="F545" s="85"/>
      <c r="G545" s="85"/>
    </row>
    <row r="546" spans="4:7" ht="13.5">
      <c r="D546" s="11"/>
      <c r="E546" s="86"/>
      <c r="F546" s="85"/>
      <c r="G546" s="85"/>
    </row>
    <row r="547" spans="4:7" ht="13.5">
      <c r="D547" s="11"/>
      <c r="E547" s="86"/>
      <c r="F547" s="85"/>
      <c r="G547" s="85"/>
    </row>
    <row r="548" spans="4:7" ht="13.5">
      <c r="D548" s="11"/>
      <c r="E548" s="86"/>
      <c r="F548" s="85"/>
      <c r="G548" s="85"/>
    </row>
    <row r="549" spans="4:7" ht="13.5">
      <c r="D549" s="11"/>
      <c r="E549" s="86"/>
      <c r="F549" s="85"/>
      <c r="G549" s="85"/>
    </row>
    <row r="550" spans="4:7" ht="13.5">
      <c r="D550" s="11"/>
      <c r="E550" s="86"/>
      <c r="F550" s="85"/>
      <c r="G550" s="85"/>
    </row>
    <row r="551" spans="4:7" ht="13.5">
      <c r="D551" s="11"/>
      <c r="E551" s="86"/>
      <c r="F551" s="85"/>
      <c r="G551" s="85"/>
    </row>
    <row r="552" spans="4:7" ht="13.5">
      <c r="D552" s="11"/>
      <c r="E552" s="86"/>
      <c r="F552" s="85"/>
      <c r="G552" s="85"/>
    </row>
    <row r="553" spans="4:7" ht="13.5">
      <c r="D553" s="11"/>
      <c r="E553" s="86"/>
      <c r="F553" s="85"/>
      <c r="G553" s="85"/>
    </row>
    <row r="554" spans="4:7" ht="13.5">
      <c r="D554" s="11"/>
      <c r="E554" s="86"/>
      <c r="F554" s="85"/>
      <c r="G554" s="85"/>
    </row>
    <row r="555" spans="4:7" ht="13.5">
      <c r="D555" s="11"/>
      <c r="E555" s="86"/>
      <c r="F555" s="85"/>
      <c r="G555" s="85"/>
    </row>
    <row r="556" spans="4:7" ht="13.5">
      <c r="D556" s="11"/>
      <c r="E556" s="86"/>
      <c r="F556" s="85"/>
      <c r="G556" s="85"/>
    </row>
    <row r="557" spans="4:7" ht="13.5">
      <c r="D557" s="11"/>
      <c r="E557" s="86"/>
      <c r="F557" s="85"/>
      <c r="G557" s="85"/>
    </row>
    <row r="558" spans="4:7" ht="13.5">
      <c r="D558" s="11"/>
      <c r="E558" s="86"/>
      <c r="F558" s="85"/>
      <c r="G558" s="85"/>
    </row>
    <row r="559" spans="4:7" ht="13.5">
      <c r="D559" s="11"/>
      <c r="E559" s="86"/>
      <c r="F559" s="85"/>
      <c r="G559" s="85"/>
    </row>
    <row r="560" spans="4:7" ht="13.5">
      <c r="D560" s="11"/>
      <c r="E560" s="86"/>
      <c r="F560" s="85"/>
      <c r="G560" s="85"/>
    </row>
    <row r="561" spans="4:7" ht="13.5">
      <c r="D561" s="11"/>
      <c r="E561" s="86"/>
      <c r="F561" s="85"/>
      <c r="G561" s="85"/>
    </row>
    <row r="562" spans="4:7" ht="13.5">
      <c r="D562" s="11"/>
      <c r="E562" s="86"/>
      <c r="F562" s="85"/>
      <c r="G562" s="85"/>
    </row>
    <row r="563" spans="4:7" ht="13.5">
      <c r="D563" s="11"/>
      <c r="E563" s="86"/>
      <c r="F563" s="85"/>
      <c r="G563" s="85"/>
    </row>
    <row r="564" spans="4:7" ht="13.5">
      <c r="D564" s="11"/>
      <c r="E564" s="86"/>
      <c r="F564" s="85"/>
      <c r="G564" s="85"/>
    </row>
    <row r="565" spans="4:7" ht="13.5">
      <c r="D565" s="11"/>
      <c r="E565" s="86"/>
      <c r="F565" s="85"/>
      <c r="G565" s="85"/>
    </row>
    <row r="566" spans="4:7" ht="13.5">
      <c r="D566" s="11"/>
      <c r="E566" s="86"/>
      <c r="F566" s="85"/>
      <c r="G566" s="85"/>
    </row>
    <row r="567" spans="4:7" ht="13.5">
      <c r="D567" s="11"/>
      <c r="E567" s="86"/>
      <c r="F567" s="85"/>
      <c r="G567" s="85"/>
    </row>
    <row r="568" spans="4:7" ht="13.5">
      <c r="D568" s="11"/>
      <c r="E568" s="86"/>
      <c r="F568" s="85"/>
      <c r="G568" s="85"/>
    </row>
    <row r="569" spans="4:7" ht="13.5">
      <c r="D569" s="11"/>
      <c r="E569" s="86"/>
      <c r="F569" s="85"/>
      <c r="G569" s="85"/>
    </row>
    <row r="570" spans="4:7" ht="13.5">
      <c r="D570" s="11"/>
      <c r="E570" s="86"/>
      <c r="F570" s="85"/>
      <c r="G570" s="85"/>
    </row>
    <row r="571" spans="4:7" ht="13.5">
      <c r="D571" s="11"/>
      <c r="E571" s="86"/>
      <c r="F571" s="85"/>
      <c r="G571" s="85"/>
    </row>
    <row r="572" spans="4:7" ht="13.5">
      <c r="D572" s="11"/>
      <c r="E572" s="86"/>
      <c r="F572" s="85"/>
      <c r="G572" s="85"/>
    </row>
    <row r="573" spans="4:7" ht="13.5">
      <c r="D573" s="11"/>
      <c r="E573" s="86"/>
      <c r="F573" s="85"/>
      <c r="G573" s="85"/>
    </row>
    <row r="574" spans="4:7" ht="13.5">
      <c r="D574" s="11"/>
      <c r="E574" s="86"/>
      <c r="F574" s="85"/>
      <c r="G574" s="85"/>
    </row>
    <row r="575" spans="4:7" ht="13.5">
      <c r="D575" s="11"/>
      <c r="E575" s="86"/>
      <c r="F575" s="85"/>
      <c r="G575" s="85"/>
    </row>
    <row r="576" spans="4:7" ht="13.5">
      <c r="D576" s="11"/>
      <c r="E576" s="86"/>
      <c r="F576" s="85"/>
      <c r="G576" s="85"/>
    </row>
    <row r="577" spans="4:7" ht="13.5">
      <c r="D577" s="11"/>
      <c r="E577" s="86"/>
      <c r="F577" s="85"/>
      <c r="G577" s="85"/>
    </row>
    <row r="578" spans="4:7" ht="13.5">
      <c r="D578" s="11"/>
      <c r="E578" s="86"/>
      <c r="F578" s="85"/>
      <c r="G578" s="85"/>
    </row>
    <row r="579" spans="4:7" ht="13.5">
      <c r="D579" s="11"/>
      <c r="E579" s="86"/>
      <c r="F579" s="85"/>
      <c r="G579" s="85"/>
    </row>
    <row r="580" spans="4:7" ht="13.5">
      <c r="D580" s="11"/>
      <c r="E580" s="86"/>
      <c r="F580" s="85"/>
      <c r="G580" s="85"/>
    </row>
    <row r="581" spans="4:7" ht="13.5">
      <c r="D581" s="11"/>
      <c r="E581" s="86"/>
      <c r="F581" s="85"/>
      <c r="G581" s="85"/>
    </row>
    <row r="582" spans="4:7" ht="13.5">
      <c r="D582" s="11"/>
      <c r="E582" s="86"/>
      <c r="F582" s="85"/>
      <c r="G582" s="85"/>
    </row>
    <row r="583" spans="4:7" ht="13.5">
      <c r="D583" s="11"/>
      <c r="E583" s="86"/>
      <c r="F583" s="85"/>
      <c r="G583" s="85"/>
    </row>
    <row r="584" spans="4:7" ht="13.5">
      <c r="D584" s="11"/>
      <c r="E584" s="86"/>
      <c r="F584" s="85"/>
      <c r="G584" s="85"/>
    </row>
    <row r="585" spans="4:7" ht="13.5">
      <c r="D585" s="11"/>
      <c r="E585" s="86"/>
      <c r="F585" s="85"/>
      <c r="G585" s="85"/>
    </row>
    <row r="586" spans="4:7" ht="13.5">
      <c r="D586" s="11"/>
      <c r="E586" s="86"/>
      <c r="F586" s="85"/>
      <c r="G586" s="85"/>
    </row>
    <row r="587" spans="4:7" ht="13.5">
      <c r="D587" s="11"/>
      <c r="E587" s="86"/>
      <c r="F587" s="85"/>
      <c r="G587" s="85"/>
    </row>
    <row r="588" spans="4:7" ht="13.5">
      <c r="D588" s="11"/>
      <c r="E588" s="86"/>
      <c r="F588" s="85"/>
      <c r="G588" s="85"/>
    </row>
    <row r="589" spans="4:7" ht="13.5">
      <c r="D589" s="11"/>
      <c r="E589" s="86"/>
      <c r="F589" s="85"/>
      <c r="G589" s="85"/>
    </row>
    <row r="590" spans="4:7" ht="13.5">
      <c r="D590" s="11"/>
      <c r="E590" s="86"/>
      <c r="F590" s="85"/>
      <c r="G590" s="85"/>
    </row>
    <row r="591" spans="4:7" ht="13.5">
      <c r="D591" s="11"/>
      <c r="E591" s="86"/>
      <c r="F591" s="85"/>
      <c r="G591" s="85"/>
    </row>
    <row r="592" spans="4:7" ht="13.5">
      <c r="D592" s="11"/>
      <c r="E592" s="86"/>
      <c r="F592" s="85"/>
      <c r="G592" s="85"/>
    </row>
    <row r="593" spans="4:7" ht="13.5">
      <c r="D593" s="11"/>
      <c r="E593" s="86"/>
      <c r="F593" s="85"/>
      <c r="G593" s="85"/>
    </row>
    <row r="594" spans="4:7" ht="13.5">
      <c r="D594" s="11"/>
      <c r="E594" s="86"/>
      <c r="F594" s="85"/>
      <c r="G594" s="85"/>
    </row>
    <row r="595" spans="4:7" ht="13.5">
      <c r="D595" s="11"/>
      <c r="E595" s="86"/>
      <c r="F595" s="85"/>
      <c r="G595" s="85"/>
    </row>
    <row r="596" spans="4:7" ht="13.5">
      <c r="D596" s="11"/>
      <c r="E596" s="86"/>
      <c r="F596" s="85"/>
      <c r="G596" s="85"/>
    </row>
    <row r="597" spans="4:7" ht="13.5">
      <c r="D597" s="11"/>
      <c r="E597" s="86"/>
      <c r="F597" s="85"/>
      <c r="G597" s="85"/>
    </row>
    <row r="598" spans="4:7" ht="13.5">
      <c r="D598" s="11"/>
      <c r="E598" s="86"/>
      <c r="F598" s="85"/>
      <c r="G598" s="85"/>
    </row>
    <row r="599" spans="4:7" ht="13.5">
      <c r="D599" s="11"/>
      <c r="E599" s="86"/>
      <c r="F599" s="85"/>
      <c r="G599" s="85"/>
    </row>
    <row r="600" spans="4:7" ht="13.5">
      <c r="D600" s="11"/>
      <c r="E600" s="86"/>
      <c r="F600" s="85"/>
      <c r="G600" s="85"/>
    </row>
    <row r="601" spans="4:7" ht="13.5">
      <c r="D601" s="11"/>
      <c r="E601" s="86"/>
      <c r="F601" s="85"/>
      <c r="G601" s="85"/>
    </row>
    <row r="602" spans="4:7" ht="13.5">
      <c r="D602" s="11"/>
      <c r="E602" s="86"/>
      <c r="F602" s="85"/>
      <c r="G602" s="85"/>
    </row>
    <row r="603" spans="4:7" ht="13.5">
      <c r="D603" s="11"/>
      <c r="E603" s="86"/>
      <c r="F603" s="85"/>
      <c r="G603" s="85"/>
    </row>
    <row r="604" spans="4:7" ht="13.5">
      <c r="D604" s="11"/>
      <c r="E604" s="86"/>
      <c r="F604" s="85"/>
      <c r="G604" s="85"/>
    </row>
    <row r="605" spans="4:7" ht="13.5">
      <c r="D605" s="11"/>
      <c r="E605" s="86"/>
      <c r="F605" s="85"/>
      <c r="G605" s="85"/>
    </row>
    <row r="606" spans="4:7" ht="13.5">
      <c r="D606" s="11"/>
      <c r="E606" s="86"/>
      <c r="F606" s="85"/>
      <c r="G606" s="85"/>
    </row>
    <row r="607" spans="4:7" ht="13.5">
      <c r="D607" s="11"/>
      <c r="E607" s="86"/>
      <c r="F607" s="85"/>
      <c r="G607" s="85"/>
    </row>
    <row r="608" spans="4:7" ht="13.5">
      <c r="D608" s="11"/>
      <c r="E608" s="86"/>
      <c r="F608" s="85"/>
      <c r="G608" s="85"/>
    </row>
    <row r="609" spans="4:7" ht="13.5">
      <c r="D609" s="11"/>
      <c r="E609" s="86"/>
      <c r="F609" s="85"/>
      <c r="G609" s="85"/>
    </row>
    <row r="610" spans="4:7" ht="13.5">
      <c r="D610" s="11"/>
      <c r="E610" s="86"/>
      <c r="F610" s="85"/>
      <c r="G610" s="85"/>
    </row>
    <row r="611" spans="4:7" ht="13.5">
      <c r="D611" s="11"/>
      <c r="E611" s="86"/>
      <c r="F611" s="85"/>
      <c r="G611" s="85"/>
    </row>
    <row r="612" spans="4:7" ht="13.5">
      <c r="D612" s="11"/>
      <c r="E612" s="86"/>
      <c r="F612" s="85"/>
      <c r="G612" s="85"/>
    </row>
    <row r="613" spans="4:7" ht="13.5">
      <c r="D613" s="11"/>
      <c r="E613" s="86"/>
      <c r="F613" s="85"/>
      <c r="G613" s="85"/>
    </row>
    <row r="614" spans="4:7" ht="13.5">
      <c r="D614" s="11"/>
      <c r="E614" s="86"/>
      <c r="F614" s="85"/>
      <c r="G614" s="85"/>
    </row>
    <row r="615" spans="4:7" ht="13.5">
      <c r="D615" s="11"/>
      <c r="E615" s="86"/>
      <c r="F615" s="85"/>
      <c r="G615" s="85"/>
    </row>
    <row r="616" spans="4:7" ht="13.5">
      <c r="D616" s="11"/>
      <c r="E616" s="86"/>
      <c r="F616" s="85"/>
      <c r="G616" s="85"/>
    </row>
    <row r="617" spans="4:7" ht="13.5">
      <c r="D617" s="11"/>
      <c r="E617" s="86"/>
      <c r="F617" s="85"/>
      <c r="G617" s="85"/>
    </row>
    <row r="618" spans="4:7" ht="13.5">
      <c r="D618" s="11"/>
      <c r="E618" s="86"/>
      <c r="F618" s="85"/>
      <c r="G618" s="85"/>
    </row>
    <row r="619" spans="4:7" ht="13.5">
      <c r="D619" s="11"/>
      <c r="E619" s="86"/>
      <c r="F619" s="85"/>
      <c r="G619" s="85"/>
    </row>
    <row r="620" spans="4:7" ht="13.5">
      <c r="D620" s="11"/>
      <c r="E620" s="86"/>
      <c r="F620" s="85"/>
      <c r="G620" s="85"/>
    </row>
    <row r="621" spans="4:7" ht="13.5">
      <c r="D621" s="11"/>
      <c r="E621" s="86"/>
      <c r="F621" s="85"/>
      <c r="G621" s="85"/>
    </row>
    <row r="622" spans="4:7" ht="13.5">
      <c r="D622" s="11"/>
      <c r="E622" s="86"/>
      <c r="F622" s="85"/>
      <c r="G622" s="85"/>
    </row>
    <row r="623" spans="4:7" ht="13.5">
      <c r="D623" s="11"/>
      <c r="E623" s="86"/>
      <c r="F623" s="85"/>
      <c r="G623" s="85"/>
    </row>
    <row r="624" spans="4:7" ht="13.5">
      <c r="D624" s="11"/>
      <c r="E624" s="86"/>
      <c r="F624" s="85"/>
      <c r="G624" s="85"/>
    </row>
    <row r="625" spans="4:7" ht="13.5">
      <c r="D625" s="11"/>
      <c r="E625" s="86"/>
      <c r="F625" s="85"/>
      <c r="G625" s="85"/>
    </row>
    <row r="626" spans="4:7" ht="13.5">
      <c r="D626" s="11"/>
      <c r="E626" s="86"/>
      <c r="F626" s="85"/>
      <c r="G626" s="85"/>
    </row>
    <row r="627" spans="4:7" ht="13.5">
      <c r="D627" s="11"/>
      <c r="E627" s="86"/>
      <c r="F627" s="85"/>
      <c r="G627" s="85"/>
    </row>
    <row r="628" spans="4:7" ht="13.5">
      <c r="D628" s="11"/>
      <c r="E628" s="86"/>
      <c r="F628" s="85"/>
      <c r="G628" s="85"/>
    </row>
    <row r="629" spans="4:7" ht="13.5">
      <c r="D629" s="11"/>
      <c r="E629" s="86"/>
      <c r="F629" s="85"/>
      <c r="G629" s="85"/>
    </row>
    <row r="630" spans="4:7" ht="13.5">
      <c r="D630" s="11"/>
      <c r="E630" s="86"/>
      <c r="F630" s="85"/>
      <c r="G630" s="85"/>
    </row>
    <row r="631" spans="4:7" ht="13.5">
      <c r="D631" s="11"/>
      <c r="E631" s="86"/>
      <c r="F631" s="85"/>
      <c r="G631" s="85"/>
    </row>
    <row r="632" spans="4:7" ht="13.5">
      <c r="D632" s="11"/>
      <c r="E632" s="86"/>
      <c r="F632" s="85"/>
      <c r="G632" s="85"/>
    </row>
    <row r="633" spans="4:7" ht="13.5">
      <c r="D633" s="11"/>
      <c r="E633" s="86"/>
      <c r="F633" s="85"/>
      <c r="G633" s="85"/>
    </row>
    <row r="634" spans="4:7" ht="13.5">
      <c r="D634" s="11"/>
      <c r="E634" s="86"/>
      <c r="F634" s="85"/>
      <c r="G634" s="85"/>
    </row>
    <row r="635" spans="4:7" ht="13.5">
      <c r="D635" s="11"/>
      <c r="E635" s="86"/>
      <c r="F635" s="85"/>
      <c r="G635" s="85"/>
    </row>
    <row r="636" spans="4:7" ht="13.5">
      <c r="D636" s="11"/>
      <c r="E636" s="86"/>
      <c r="F636" s="85"/>
      <c r="G636" s="85"/>
    </row>
    <row r="637" spans="4:7" ht="13.5">
      <c r="D637" s="11"/>
      <c r="E637" s="86"/>
      <c r="F637" s="85"/>
      <c r="G637" s="85"/>
    </row>
    <row r="638" spans="4:7" ht="13.5">
      <c r="D638" s="11"/>
      <c r="E638" s="86"/>
      <c r="F638" s="85"/>
      <c r="G638" s="85"/>
    </row>
    <row r="639" spans="4:7" ht="13.5">
      <c r="D639" s="11"/>
      <c r="E639" s="86"/>
      <c r="F639" s="85"/>
      <c r="G639" s="85"/>
    </row>
    <row r="640" spans="4:7" ht="13.5">
      <c r="D640" s="11"/>
      <c r="E640" s="86"/>
      <c r="F640" s="85"/>
      <c r="G640" s="85"/>
    </row>
    <row r="641" spans="4:7" ht="13.5">
      <c r="D641" s="11"/>
      <c r="E641" s="86"/>
      <c r="F641" s="85"/>
      <c r="G641" s="85"/>
    </row>
    <row r="642" spans="4:7" ht="13.5">
      <c r="D642" s="11"/>
      <c r="E642" s="86"/>
      <c r="F642" s="85"/>
      <c r="G642" s="85"/>
    </row>
    <row r="643" spans="4:7" ht="13.5">
      <c r="D643" s="11"/>
      <c r="E643" s="86"/>
      <c r="F643" s="85"/>
      <c r="G643" s="85"/>
    </row>
    <row r="644" spans="4:7" ht="13.5">
      <c r="D644" s="11"/>
      <c r="E644" s="86"/>
      <c r="F644" s="85"/>
      <c r="G644" s="85"/>
    </row>
    <row r="645" spans="4:7" ht="13.5">
      <c r="D645" s="11"/>
      <c r="E645" s="86"/>
      <c r="F645" s="85"/>
      <c r="G645" s="85"/>
    </row>
    <row r="646" spans="4:7" ht="13.5">
      <c r="D646" s="11"/>
      <c r="E646" s="86"/>
      <c r="F646" s="85"/>
      <c r="G646" s="85"/>
    </row>
    <row r="647" spans="4:7" ht="13.5">
      <c r="D647" s="11"/>
      <c r="E647" s="86"/>
      <c r="F647" s="85"/>
      <c r="G647" s="85"/>
    </row>
    <row r="648" spans="4:7" ht="13.5">
      <c r="D648" s="11"/>
      <c r="E648" s="86"/>
      <c r="F648" s="85"/>
      <c r="G648" s="85"/>
    </row>
    <row r="649" spans="4:7" ht="13.5">
      <c r="D649" s="11"/>
      <c r="E649" s="86"/>
      <c r="F649" s="85"/>
      <c r="G649" s="85"/>
    </row>
    <row r="650" spans="4:7" ht="13.5">
      <c r="D650" s="11"/>
      <c r="E650" s="86"/>
      <c r="F650" s="85"/>
      <c r="G650" s="85"/>
    </row>
    <row r="651" spans="4:7" ht="13.5">
      <c r="D651" s="11"/>
      <c r="E651" s="86"/>
      <c r="F651" s="85"/>
      <c r="G651" s="85"/>
    </row>
    <row r="652" spans="4:7" ht="13.5">
      <c r="D652" s="11"/>
      <c r="E652" s="86"/>
      <c r="F652" s="85"/>
      <c r="G652" s="85"/>
    </row>
    <row r="653" spans="4:7" ht="13.5">
      <c r="D653" s="11"/>
      <c r="E653" s="86"/>
      <c r="F653" s="85"/>
      <c r="G653" s="85"/>
    </row>
    <row r="654" spans="4:7" ht="13.5">
      <c r="D654" s="11"/>
      <c r="E654" s="86"/>
      <c r="F654" s="85"/>
      <c r="G654" s="85"/>
    </row>
    <row r="655" spans="4:7" ht="13.5">
      <c r="D655" s="11"/>
      <c r="E655" s="86"/>
      <c r="F655" s="85"/>
      <c r="G655" s="85"/>
    </row>
    <row r="656" spans="4:7" ht="13.5">
      <c r="D656" s="11"/>
      <c r="E656" s="86"/>
      <c r="F656" s="85"/>
      <c r="G656" s="85"/>
    </row>
    <row r="657" spans="4:7" ht="13.5">
      <c r="D657" s="11"/>
      <c r="E657" s="86"/>
      <c r="F657" s="85"/>
      <c r="G657" s="85"/>
    </row>
    <row r="658" spans="4:7" ht="13.5">
      <c r="D658" s="11"/>
      <c r="E658" s="86"/>
      <c r="F658" s="85"/>
      <c r="G658" s="85"/>
    </row>
    <row r="659" spans="4:7" ht="13.5">
      <c r="D659" s="11"/>
      <c r="E659" s="86"/>
      <c r="F659" s="85"/>
      <c r="G659" s="85"/>
    </row>
    <row r="660" spans="4:7" ht="13.5">
      <c r="D660" s="11"/>
      <c r="E660" s="86"/>
      <c r="F660" s="85"/>
      <c r="G660" s="85"/>
    </row>
    <row r="661" spans="4:7" ht="13.5">
      <c r="D661" s="11"/>
      <c r="E661" s="86"/>
      <c r="F661" s="85"/>
      <c r="G661" s="85"/>
    </row>
    <row r="662" spans="4:7" ht="13.5">
      <c r="D662" s="11"/>
      <c r="E662" s="86"/>
      <c r="F662" s="85"/>
      <c r="G662" s="85"/>
    </row>
    <row r="663" spans="4:7" ht="13.5">
      <c r="D663" s="11"/>
      <c r="E663" s="86"/>
      <c r="F663" s="85"/>
      <c r="G663" s="85"/>
    </row>
    <row r="664" spans="4:7" ht="13.5">
      <c r="D664" s="11"/>
      <c r="E664" s="86"/>
      <c r="F664" s="85"/>
      <c r="G664" s="85"/>
    </row>
    <row r="665" spans="4:7" ht="13.5">
      <c r="D665" s="11"/>
      <c r="E665" s="86"/>
      <c r="F665" s="85"/>
      <c r="G665" s="85"/>
    </row>
    <row r="666" spans="4:7" ht="13.5">
      <c r="D666" s="11"/>
      <c r="E666" s="86"/>
      <c r="F666" s="85"/>
      <c r="G666" s="85"/>
    </row>
    <row r="667" spans="4:7" ht="13.5">
      <c r="D667" s="11"/>
      <c r="E667" s="86"/>
      <c r="F667" s="85"/>
      <c r="G667" s="85"/>
    </row>
    <row r="668" spans="4:7" ht="13.5">
      <c r="D668" s="11"/>
      <c r="E668" s="86"/>
      <c r="F668" s="85"/>
      <c r="G668" s="85"/>
    </row>
    <row r="669" spans="4:7" ht="13.5">
      <c r="D669" s="11"/>
      <c r="E669" s="86"/>
      <c r="F669" s="85"/>
      <c r="G669" s="85"/>
    </row>
    <row r="670" spans="4:7" ht="13.5">
      <c r="D670" s="11"/>
      <c r="E670" s="86"/>
      <c r="F670" s="85"/>
      <c r="G670" s="85"/>
    </row>
    <row r="671" spans="4:7" ht="13.5">
      <c r="D671" s="11"/>
      <c r="E671" s="86"/>
      <c r="F671" s="85"/>
      <c r="G671" s="85"/>
    </row>
    <row r="672" spans="4:7" ht="13.5">
      <c r="D672" s="11"/>
      <c r="E672" s="86"/>
      <c r="F672" s="85"/>
      <c r="G672" s="85"/>
    </row>
    <row r="673" spans="4:7" ht="13.5">
      <c r="D673" s="11"/>
      <c r="E673" s="86"/>
      <c r="F673" s="85"/>
      <c r="G673" s="85"/>
    </row>
    <row r="674" spans="4:7" ht="13.5">
      <c r="D674" s="11"/>
      <c r="E674" s="86"/>
      <c r="F674" s="85"/>
      <c r="G674" s="85"/>
    </row>
    <row r="675" spans="4:7" ht="13.5">
      <c r="D675" s="11"/>
      <c r="E675" s="86"/>
      <c r="F675" s="85"/>
      <c r="G675" s="85"/>
    </row>
    <row r="676" spans="4:7" ht="13.5">
      <c r="D676" s="11"/>
      <c r="E676" s="86"/>
      <c r="F676" s="85"/>
      <c r="G676" s="85"/>
    </row>
    <row r="677" spans="4:7" ht="13.5">
      <c r="D677" s="11"/>
      <c r="E677" s="86"/>
      <c r="F677" s="85"/>
      <c r="G677" s="85"/>
    </row>
    <row r="678" spans="4:7" ht="13.5">
      <c r="D678" s="11"/>
      <c r="E678" s="86"/>
      <c r="F678" s="85"/>
      <c r="G678" s="85"/>
    </row>
    <row r="679" spans="4:7" ht="13.5">
      <c r="D679" s="11"/>
      <c r="E679" s="86"/>
      <c r="F679" s="85"/>
      <c r="G679" s="85"/>
    </row>
    <row r="680" spans="4:7" ht="13.5">
      <c r="D680" s="11"/>
      <c r="E680" s="86"/>
      <c r="F680" s="85"/>
      <c r="G680" s="85"/>
    </row>
    <row r="681" spans="4:7" ht="13.5">
      <c r="D681" s="11"/>
      <c r="E681" s="86"/>
      <c r="F681" s="85"/>
      <c r="G681" s="85"/>
    </row>
    <row r="682" spans="4:7" ht="13.5">
      <c r="D682" s="11"/>
      <c r="E682" s="86"/>
      <c r="F682" s="85"/>
      <c r="G682" s="85"/>
    </row>
    <row r="683" spans="4:7" ht="13.5">
      <c r="D683" s="11"/>
      <c r="E683" s="86"/>
      <c r="F683" s="85"/>
      <c r="G683" s="85"/>
    </row>
    <row r="684" spans="4:7" ht="13.5">
      <c r="D684" s="11"/>
      <c r="E684" s="86"/>
      <c r="F684" s="85"/>
      <c r="G684" s="85"/>
    </row>
    <row r="685" spans="4:7" ht="13.5">
      <c r="D685" s="11"/>
      <c r="E685" s="86"/>
      <c r="F685" s="85"/>
      <c r="G685" s="85"/>
    </row>
    <row r="686" spans="4:7" ht="13.5">
      <c r="D686" s="11"/>
      <c r="E686" s="86"/>
      <c r="F686" s="85"/>
      <c r="G686" s="85"/>
    </row>
    <row r="687" spans="4:7" ht="13.5">
      <c r="D687" s="11"/>
      <c r="E687" s="86"/>
      <c r="F687" s="85"/>
      <c r="G687" s="85"/>
    </row>
    <row r="688" spans="4:7" ht="13.5">
      <c r="D688" s="11"/>
      <c r="E688" s="86"/>
      <c r="F688" s="85"/>
      <c r="G688" s="85"/>
    </row>
    <row r="689" spans="4:7" ht="13.5">
      <c r="D689" s="11"/>
      <c r="E689" s="86"/>
      <c r="F689" s="85"/>
      <c r="G689" s="85"/>
    </row>
    <row r="690" spans="4:7" ht="13.5">
      <c r="D690" s="11"/>
      <c r="E690" s="86"/>
      <c r="F690" s="85"/>
      <c r="G690" s="85"/>
    </row>
    <row r="691" spans="4:7" ht="13.5">
      <c r="D691" s="11"/>
      <c r="E691" s="86"/>
      <c r="F691" s="85"/>
      <c r="G691" s="85"/>
    </row>
    <row r="692" spans="4:7" ht="13.5">
      <c r="D692" s="11"/>
      <c r="E692" s="86"/>
      <c r="F692" s="85"/>
      <c r="G692" s="85"/>
    </row>
    <row r="693" spans="4:7" ht="13.5">
      <c r="D693" s="11"/>
      <c r="E693" s="86"/>
      <c r="F693" s="85"/>
      <c r="G693" s="85"/>
    </row>
    <row r="694" spans="4:7" ht="13.5">
      <c r="D694" s="11"/>
      <c r="E694" s="86"/>
      <c r="F694" s="85"/>
      <c r="G694" s="85"/>
    </row>
    <row r="695" spans="4:7" ht="13.5">
      <c r="D695" s="11"/>
      <c r="E695" s="86"/>
      <c r="F695" s="85"/>
      <c r="G695" s="85"/>
    </row>
    <row r="696" spans="4:7" ht="13.5">
      <c r="D696" s="11"/>
      <c r="E696" s="86"/>
      <c r="F696" s="85"/>
      <c r="G696" s="85"/>
    </row>
    <row r="697" spans="4:7" ht="13.5">
      <c r="D697" s="11"/>
      <c r="E697" s="86"/>
      <c r="F697" s="85"/>
      <c r="G697" s="85"/>
    </row>
    <row r="698" spans="4:7" ht="13.5">
      <c r="D698" s="11"/>
      <c r="E698" s="86"/>
      <c r="F698" s="85"/>
      <c r="G698" s="85"/>
    </row>
    <row r="699" spans="4:7" ht="13.5">
      <c r="D699" s="11"/>
      <c r="E699" s="86"/>
      <c r="F699" s="85"/>
      <c r="G699" s="85"/>
    </row>
    <row r="700" spans="4:7" ht="13.5">
      <c r="D700" s="11"/>
      <c r="E700" s="86"/>
      <c r="F700" s="85"/>
      <c r="G700" s="85"/>
    </row>
    <row r="701" spans="4:7" ht="13.5">
      <c r="D701" s="11"/>
      <c r="E701" s="86"/>
      <c r="F701" s="85"/>
      <c r="G701" s="85"/>
    </row>
    <row r="702" spans="4:7" ht="13.5">
      <c r="D702" s="11"/>
      <c r="E702" s="86"/>
      <c r="F702" s="85"/>
      <c r="G702" s="85"/>
    </row>
    <row r="703" spans="4:7" ht="13.5">
      <c r="D703" s="11"/>
      <c r="E703" s="86"/>
      <c r="F703" s="85"/>
      <c r="G703" s="85"/>
    </row>
    <row r="704" spans="4:7" ht="13.5">
      <c r="D704" s="11"/>
      <c r="E704" s="86"/>
      <c r="F704" s="85"/>
      <c r="G704" s="85"/>
    </row>
    <row r="705" spans="4:7" ht="13.5">
      <c r="D705" s="11"/>
      <c r="E705" s="86"/>
      <c r="F705" s="85"/>
      <c r="G705" s="85"/>
    </row>
    <row r="706" spans="4:7" ht="13.5">
      <c r="D706" s="11"/>
      <c r="E706" s="86"/>
      <c r="F706" s="85"/>
      <c r="G706" s="85"/>
    </row>
    <row r="707" spans="4:7" ht="13.5">
      <c r="D707" s="11"/>
      <c r="E707" s="86"/>
      <c r="F707" s="85"/>
      <c r="G707" s="85"/>
    </row>
    <row r="708" spans="4:7" ht="13.5">
      <c r="D708" s="11"/>
      <c r="E708" s="86"/>
      <c r="F708" s="85"/>
      <c r="G708" s="85"/>
    </row>
    <row r="709" spans="4:7" ht="13.5">
      <c r="D709" s="11"/>
      <c r="E709" s="86"/>
      <c r="F709" s="85"/>
      <c r="G709" s="85"/>
    </row>
    <row r="710" spans="4:7" ht="13.5">
      <c r="D710" s="11"/>
      <c r="E710" s="86"/>
      <c r="F710" s="85"/>
      <c r="G710" s="85"/>
    </row>
    <row r="711" spans="4:7" ht="13.5">
      <c r="D711" s="11"/>
      <c r="E711" s="86"/>
      <c r="F711" s="85"/>
      <c r="G711" s="85"/>
    </row>
    <row r="712" spans="4:7" ht="13.5">
      <c r="D712" s="11"/>
      <c r="E712" s="86"/>
      <c r="F712" s="85"/>
      <c r="G712" s="85"/>
    </row>
    <row r="713" spans="4:7" ht="13.5">
      <c r="D713" s="11"/>
      <c r="E713" s="86"/>
      <c r="F713" s="85"/>
      <c r="G713" s="85"/>
    </row>
    <row r="714" spans="4:7" ht="13.5">
      <c r="D714" s="11"/>
      <c r="E714" s="86"/>
      <c r="F714" s="85"/>
      <c r="G714" s="85"/>
    </row>
    <row r="715" spans="4:7" ht="13.5">
      <c r="D715" s="11"/>
      <c r="E715" s="86"/>
      <c r="F715" s="85"/>
      <c r="G715" s="85"/>
    </row>
    <row r="716" spans="4:7" ht="13.5">
      <c r="D716" s="11"/>
      <c r="E716" s="86"/>
      <c r="F716" s="85"/>
      <c r="G716" s="85"/>
    </row>
    <row r="717" spans="4:7" ht="13.5">
      <c r="D717" s="11"/>
      <c r="E717" s="86"/>
      <c r="F717" s="85"/>
      <c r="G717" s="85"/>
    </row>
    <row r="718" spans="4:7" ht="13.5">
      <c r="D718" s="11"/>
      <c r="E718" s="86"/>
      <c r="F718" s="85"/>
      <c r="G718" s="85"/>
    </row>
    <row r="719" spans="4:7" ht="13.5">
      <c r="D719" s="11"/>
      <c r="E719" s="86"/>
      <c r="F719" s="85"/>
      <c r="G719" s="85"/>
    </row>
    <row r="720" spans="4:7" ht="13.5">
      <c r="D720" s="11"/>
      <c r="E720" s="86"/>
      <c r="F720" s="85"/>
      <c r="G720" s="85"/>
    </row>
    <row r="721" spans="4:7" ht="13.5">
      <c r="D721" s="11"/>
      <c r="E721" s="86"/>
      <c r="F721" s="85"/>
      <c r="G721" s="85"/>
    </row>
    <row r="722" spans="4:7" ht="13.5">
      <c r="D722" s="11"/>
      <c r="E722" s="86"/>
      <c r="F722" s="85"/>
      <c r="G722" s="85"/>
    </row>
    <row r="723" spans="4:7" ht="13.5">
      <c r="D723" s="11"/>
      <c r="E723" s="86"/>
      <c r="F723" s="85"/>
      <c r="G723" s="85"/>
    </row>
    <row r="724" spans="4:7" ht="13.5">
      <c r="D724" s="11"/>
      <c r="E724" s="86"/>
      <c r="F724" s="85"/>
      <c r="G724" s="85"/>
    </row>
    <row r="725" spans="4:7" ht="13.5">
      <c r="D725" s="11"/>
      <c r="E725" s="86"/>
      <c r="F725" s="85"/>
      <c r="G725" s="85"/>
    </row>
    <row r="726" spans="4:7" ht="13.5">
      <c r="D726" s="11"/>
      <c r="E726" s="86"/>
      <c r="F726" s="85"/>
      <c r="G726" s="85"/>
    </row>
    <row r="727" spans="4:7" ht="13.5">
      <c r="D727" s="11"/>
      <c r="E727" s="86"/>
      <c r="F727" s="85"/>
      <c r="G727" s="85"/>
    </row>
    <row r="728" spans="4:7" ht="13.5">
      <c r="D728" s="11"/>
      <c r="E728" s="86"/>
      <c r="F728" s="85"/>
      <c r="G728" s="85"/>
    </row>
    <row r="729" spans="4:7" ht="13.5">
      <c r="D729" s="11"/>
      <c r="E729" s="86"/>
      <c r="F729" s="85"/>
      <c r="G729" s="85"/>
    </row>
    <row r="730" spans="4:7" ht="13.5">
      <c r="D730" s="11"/>
      <c r="E730" s="86"/>
      <c r="F730" s="85"/>
      <c r="G730" s="85"/>
    </row>
    <row r="731" spans="4:7" ht="13.5">
      <c r="D731" s="11"/>
      <c r="E731" s="86"/>
      <c r="F731" s="85"/>
      <c r="G731" s="85"/>
    </row>
    <row r="732" spans="4:7" ht="13.5">
      <c r="D732" s="11"/>
      <c r="E732" s="86"/>
      <c r="F732" s="85"/>
      <c r="G732" s="85"/>
    </row>
    <row r="733" spans="4:7" ht="13.5">
      <c r="D733" s="11"/>
      <c r="E733" s="86"/>
      <c r="F733" s="85"/>
      <c r="G733" s="85"/>
    </row>
    <row r="734" spans="4:7" ht="13.5">
      <c r="D734" s="11"/>
      <c r="E734" s="86"/>
      <c r="F734" s="85"/>
      <c r="G734" s="85"/>
    </row>
    <row r="735" spans="4:7" ht="13.5">
      <c r="D735" s="11"/>
      <c r="E735" s="86"/>
      <c r="F735" s="85"/>
      <c r="G735" s="85"/>
    </row>
    <row r="736" spans="4:7" ht="13.5">
      <c r="D736" s="11"/>
      <c r="E736" s="86"/>
      <c r="F736" s="85"/>
      <c r="G736" s="85"/>
    </row>
    <row r="737" spans="4:7" ht="13.5">
      <c r="D737" s="11"/>
      <c r="E737" s="86"/>
      <c r="F737" s="85"/>
      <c r="G737" s="85"/>
    </row>
    <row r="738" spans="4:7" ht="13.5">
      <c r="D738" s="11"/>
      <c r="E738" s="86"/>
      <c r="F738" s="85"/>
      <c r="G738" s="85"/>
    </row>
    <row r="739" spans="4:7" ht="13.5">
      <c r="D739" s="11"/>
      <c r="E739" s="86"/>
      <c r="F739" s="85"/>
      <c r="G739" s="85"/>
    </row>
    <row r="740" spans="4:7" ht="13.5">
      <c r="D740" s="11"/>
      <c r="E740" s="86"/>
      <c r="F740" s="85"/>
      <c r="G740" s="85"/>
    </row>
    <row r="741" spans="4:7" ht="13.5">
      <c r="D741" s="11"/>
      <c r="E741" s="86"/>
      <c r="F741" s="85"/>
      <c r="G741" s="85"/>
    </row>
    <row r="742" spans="4:7" ht="13.5">
      <c r="D742" s="11"/>
      <c r="E742" s="86"/>
      <c r="F742" s="85"/>
      <c r="G742" s="85"/>
    </row>
    <row r="743" spans="4:7" ht="13.5">
      <c r="D743" s="11"/>
      <c r="E743" s="86"/>
      <c r="F743" s="85"/>
      <c r="G743" s="85"/>
    </row>
    <row r="744" spans="4:7" ht="13.5">
      <c r="D744" s="11"/>
      <c r="E744" s="86"/>
      <c r="F744" s="85"/>
      <c r="G744" s="85"/>
    </row>
    <row r="745" spans="4:7" ht="13.5">
      <c r="D745" s="11"/>
      <c r="E745" s="86"/>
      <c r="F745" s="85"/>
      <c r="G745" s="85"/>
    </row>
    <row r="746" spans="4:7" ht="13.5">
      <c r="D746" s="11"/>
      <c r="E746" s="86"/>
      <c r="F746" s="85"/>
      <c r="G746" s="85"/>
    </row>
    <row r="747" spans="4:7" ht="13.5">
      <c r="D747" s="11"/>
      <c r="E747" s="86"/>
      <c r="F747" s="85"/>
      <c r="G747" s="85"/>
    </row>
    <row r="748" spans="4:7" ht="13.5">
      <c r="D748" s="11"/>
      <c r="E748" s="86"/>
      <c r="F748" s="85"/>
      <c r="G748" s="85"/>
    </row>
    <row r="749" spans="4:7" ht="13.5">
      <c r="D749" s="11"/>
      <c r="E749" s="86"/>
      <c r="F749" s="85"/>
      <c r="G749" s="85"/>
    </row>
    <row r="750" spans="4:7" ht="13.5">
      <c r="D750" s="11"/>
      <c r="E750" s="86"/>
      <c r="F750" s="85"/>
      <c r="G750" s="85"/>
    </row>
    <row r="751" spans="4:7" ht="13.5">
      <c r="D751" s="11"/>
      <c r="E751" s="86"/>
      <c r="F751" s="85"/>
      <c r="G751" s="85"/>
    </row>
    <row r="752" spans="4:7" ht="13.5">
      <c r="D752" s="11"/>
      <c r="E752" s="86"/>
      <c r="F752" s="85"/>
      <c r="G752" s="85"/>
    </row>
    <row r="753" spans="4:7" ht="13.5">
      <c r="D753" s="11"/>
      <c r="E753" s="86"/>
      <c r="F753" s="85"/>
      <c r="G753" s="85"/>
    </row>
    <row r="754" spans="4:7" ht="13.5">
      <c r="D754" s="11"/>
      <c r="E754" s="86"/>
      <c r="F754" s="85"/>
      <c r="G754" s="85"/>
    </row>
    <row r="755" spans="4:7" ht="13.5">
      <c r="D755" s="11"/>
      <c r="E755" s="86"/>
      <c r="F755" s="85"/>
      <c r="G755" s="85"/>
    </row>
    <row r="756" spans="4:7" ht="13.5">
      <c r="D756" s="11"/>
      <c r="E756" s="86"/>
      <c r="F756" s="85"/>
      <c r="G756" s="85"/>
    </row>
    <row r="757" spans="4:7" ht="13.5">
      <c r="D757" s="11"/>
      <c r="E757" s="86"/>
      <c r="F757" s="85"/>
      <c r="G757" s="85"/>
    </row>
    <row r="758" spans="4:7" ht="13.5">
      <c r="D758" s="11"/>
      <c r="E758" s="86"/>
      <c r="F758" s="85"/>
      <c r="G758" s="85"/>
    </row>
    <row r="759" spans="4:7" ht="13.5">
      <c r="D759" s="11"/>
      <c r="E759" s="86"/>
      <c r="F759" s="85"/>
      <c r="G759" s="85"/>
    </row>
    <row r="760" spans="4:7" ht="13.5">
      <c r="D760" s="11"/>
      <c r="E760" s="86"/>
      <c r="F760" s="85"/>
      <c r="G760" s="85"/>
    </row>
    <row r="761" spans="4:7" ht="13.5">
      <c r="D761" s="11"/>
      <c r="E761" s="86"/>
      <c r="F761" s="85"/>
      <c r="G761" s="85"/>
    </row>
    <row r="762" spans="4:7" ht="13.5">
      <c r="D762" s="11"/>
      <c r="E762" s="86"/>
      <c r="F762" s="85"/>
      <c r="G762" s="85"/>
    </row>
    <row r="763" spans="4:7" ht="13.5">
      <c r="D763" s="11"/>
      <c r="E763" s="86"/>
      <c r="F763" s="85"/>
      <c r="G763" s="85"/>
    </row>
    <row r="764" spans="4:7" ht="13.5">
      <c r="D764" s="11"/>
      <c r="E764" s="86"/>
      <c r="F764" s="85"/>
      <c r="G764" s="85"/>
    </row>
    <row r="765" spans="4:7" ht="13.5">
      <c r="D765" s="11"/>
      <c r="E765" s="86"/>
      <c r="F765" s="85"/>
      <c r="G765" s="85"/>
    </row>
    <row r="766" spans="4:7" ht="13.5">
      <c r="D766" s="11"/>
      <c r="E766" s="86"/>
      <c r="F766" s="85"/>
      <c r="G766" s="85"/>
    </row>
    <row r="767" spans="4:7" ht="13.5">
      <c r="D767" s="11"/>
      <c r="E767" s="86"/>
      <c r="F767" s="85"/>
      <c r="G767" s="85"/>
    </row>
    <row r="768" spans="4:7" ht="13.5">
      <c r="D768" s="11"/>
      <c r="E768" s="86"/>
      <c r="F768" s="85"/>
      <c r="G768" s="85"/>
    </row>
    <row r="769" spans="4:7" ht="13.5">
      <c r="D769" s="11"/>
      <c r="E769" s="86"/>
      <c r="F769" s="85"/>
      <c r="G769" s="85"/>
    </row>
    <row r="770" spans="4:7" ht="13.5">
      <c r="D770" s="11"/>
      <c r="E770" s="86"/>
      <c r="F770" s="85"/>
      <c r="G770" s="85"/>
    </row>
    <row r="771" spans="4:7" ht="13.5">
      <c r="D771" s="11"/>
      <c r="E771" s="86"/>
      <c r="F771" s="85"/>
      <c r="G771" s="85"/>
    </row>
    <row r="772" spans="4:7" ht="13.5">
      <c r="D772" s="11"/>
      <c r="E772" s="86"/>
      <c r="F772" s="85"/>
      <c r="G772" s="85"/>
    </row>
    <row r="773" spans="4:7" ht="13.5">
      <c r="D773" s="11"/>
      <c r="E773" s="86"/>
      <c r="F773" s="85"/>
      <c r="G773" s="85"/>
    </row>
    <row r="774" spans="4:7" ht="13.5">
      <c r="D774" s="11"/>
      <c r="E774" s="86"/>
      <c r="F774" s="85"/>
      <c r="G774" s="85"/>
    </row>
    <row r="775" spans="4:7" ht="13.5">
      <c r="D775" s="11"/>
      <c r="E775" s="86"/>
      <c r="F775" s="85"/>
      <c r="G775" s="85"/>
    </row>
    <row r="776" spans="4:7" ht="13.5">
      <c r="D776" s="11"/>
      <c r="E776" s="86"/>
      <c r="F776" s="85"/>
      <c r="G776" s="85"/>
    </row>
    <row r="777" spans="4:7" ht="13.5">
      <c r="D777" s="11"/>
      <c r="E777" s="86"/>
      <c r="F777" s="85"/>
      <c r="G777" s="85"/>
    </row>
    <row r="778" spans="4:7" ht="13.5">
      <c r="D778" s="11"/>
      <c r="E778" s="86"/>
      <c r="F778" s="85"/>
      <c r="G778" s="85"/>
    </row>
    <row r="779" spans="4:7" ht="13.5">
      <c r="D779" s="11"/>
      <c r="E779" s="86"/>
      <c r="F779" s="85"/>
      <c r="G779" s="85"/>
    </row>
    <row r="780" spans="4:7" ht="13.5">
      <c r="D780" s="11"/>
      <c r="E780" s="86"/>
      <c r="F780" s="85"/>
      <c r="G780" s="85"/>
    </row>
    <row r="781" spans="4:7" ht="13.5">
      <c r="D781" s="11"/>
      <c r="E781" s="86"/>
      <c r="F781" s="85"/>
      <c r="G781" s="85"/>
    </row>
    <row r="782" spans="4:7" ht="13.5">
      <c r="D782" s="11"/>
      <c r="E782" s="86"/>
      <c r="F782" s="85"/>
      <c r="G782" s="85"/>
    </row>
    <row r="783" spans="4:7" ht="13.5">
      <c r="D783" s="11"/>
      <c r="E783" s="86"/>
      <c r="F783" s="85"/>
      <c r="G783" s="85"/>
    </row>
    <row r="784" spans="4:7" ht="13.5">
      <c r="D784" s="11"/>
      <c r="E784" s="86"/>
      <c r="F784" s="85"/>
      <c r="G784" s="85"/>
    </row>
    <row r="785" spans="4:7" ht="13.5">
      <c r="D785" s="11"/>
      <c r="E785" s="86"/>
      <c r="F785" s="85"/>
      <c r="G785" s="85"/>
    </row>
    <row r="786" spans="4:7" ht="13.5">
      <c r="D786" s="11"/>
      <c r="E786" s="86"/>
      <c r="F786" s="85"/>
      <c r="G786" s="85"/>
    </row>
    <row r="787" spans="4:7" ht="13.5">
      <c r="D787" s="11"/>
      <c r="E787" s="86"/>
      <c r="F787" s="85"/>
      <c r="G787" s="85"/>
    </row>
    <row r="788" spans="4:7" ht="13.5">
      <c r="D788" s="11"/>
      <c r="E788" s="86"/>
      <c r="F788" s="85"/>
      <c r="G788" s="85"/>
    </row>
    <row r="789" spans="4:7" ht="13.5">
      <c r="D789" s="11"/>
      <c r="E789" s="86"/>
      <c r="F789" s="85"/>
      <c r="G789" s="85"/>
    </row>
    <row r="790" spans="4:7" ht="13.5">
      <c r="D790" s="11"/>
      <c r="E790" s="86"/>
      <c r="F790" s="85"/>
      <c r="G790" s="85"/>
    </row>
    <row r="791" spans="4:7" ht="13.5">
      <c r="D791" s="11"/>
      <c r="E791" s="86"/>
      <c r="F791" s="85"/>
      <c r="G791" s="85"/>
    </row>
    <row r="792" spans="4:7" ht="13.5">
      <c r="D792" s="11"/>
      <c r="E792" s="86"/>
      <c r="F792" s="85"/>
      <c r="G792" s="85"/>
    </row>
    <row r="793" spans="4:7" ht="13.5">
      <c r="D793" s="11"/>
      <c r="E793" s="86"/>
      <c r="F793" s="85"/>
      <c r="G793" s="85"/>
    </row>
    <row r="794" spans="4:7" ht="13.5">
      <c r="D794" s="11"/>
      <c r="E794" s="86"/>
      <c r="F794" s="85"/>
      <c r="G794" s="85"/>
    </row>
    <row r="795" spans="4:7" ht="13.5">
      <c r="D795" s="11"/>
      <c r="E795" s="86"/>
      <c r="F795" s="85"/>
      <c r="G795" s="85"/>
    </row>
    <row r="796" spans="4:7" ht="13.5">
      <c r="D796" s="11"/>
      <c r="E796" s="86"/>
      <c r="F796" s="85"/>
      <c r="G796" s="85"/>
    </row>
    <row r="797" spans="4:7" ht="13.5">
      <c r="D797" s="11"/>
      <c r="E797" s="86"/>
      <c r="F797" s="85"/>
      <c r="G797" s="85"/>
    </row>
    <row r="798" spans="4:7" ht="13.5">
      <c r="D798" s="11"/>
      <c r="E798" s="86"/>
      <c r="F798" s="85"/>
      <c r="G798" s="85"/>
    </row>
    <row r="799" spans="4:7" ht="13.5">
      <c r="D799" s="11"/>
      <c r="E799" s="86"/>
      <c r="F799" s="85"/>
      <c r="G799" s="85"/>
    </row>
    <row r="800" spans="4:7" ht="13.5">
      <c r="D800" s="11"/>
      <c r="E800" s="86"/>
      <c r="F800" s="85"/>
      <c r="G800" s="85"/>
    </row>
    <row r="801" spans="4:7" ht="13.5">
      <c r="D801" s="11"/>
      <c r="E801" s="86"/>
      <c r="F801" s="85"/>
      <c r="G801" s="85"/>
    </row>
    <row r="802" spans="4:7" ht="13.5">
      <c r="D802" s="11"/>
      <c r="E802" s="86"/>
      <c r="F802" s="85"/>
      <c r="G802" s="85"/>
    </row>
    <row r="803" spans="4:7" ht="13.5">
      <c r="D803" s="11"/>
      <c r="E803" s="86"/>
      <c r="F803" s="85"/>
      <c r="G803" s="85"/>
    </row>
    <row r="804" spans="4:7" ht="13.5">
      <c r="D804" s="11"/>
      <c r="E804" s="86"/>
      <c r="F804" s="85"/>
      <c r="G804" s="85"/>
    </row>
    <row r="805" spans="4:7" ht="13.5">
      <c r="D805" s="11"/>
      <c r="E805" s="86"/>
      <c r="F805" s="85"/>
      <c r="G805" s="85"/>
    </row>
    <row r="806" spans="4:7" ht="13.5">
      <c r="D806" s="11"/>
      <c r="E806" s="86"/>
      <c r="F806" s="85"/>
      <c r="G806" s="85"/>
    </row>
    <row r="807" spans="4:7" ht="13.5">
      <c r="D807" s="11"/>
      <c r="E807" s="86"/>
      <c r="F807" s="85"/>
      <c r="G807" s="85"/>
    </row>
    <row r="808" spans="4:7" ht="13.5">
      <c r="D808" s="11"/>
      <c r="E808" s="86"/>
      <c r="F808" s="85"/>
      <c r="G808" s="85"/>
    </row>
    <row r="809" spans="4:7" ht="13.5">
      <c r="D809" s="11"/>
      <c r="E809" s="86"/>
      <c r="F809" s="85"/>
      <c r="G809" s="85"/>
    </row>
    <row r="810" spans="4:7" ht="13.5">
      <c r="D810" s="11"/>
      <c r="E810" s="86"/>
      <c r="F810" s="85"/>
      <c r="G810" s="85"/>
    </row>
    <row r="811" spans="4:7" ht="13.5">
      <c r="D811" s="11"/>
      <c r="E811" s="86"/>
      <c r="F811" s="85"/>
      <c r="G811" s="85"/>
    </row>
    <row r="812" spans="4:7" ht="13.5">
      <c r="D812" s="11"/>
      <c r="E812" s="86"/>
      <c r="F812" s="85"/>
      <c r="G812" s="85"/>
    </row>
    <row r="813" spans="4:7" ht="13.5">
      <c r="D813" s="11"/>
      <c r="E813" s="86"/>
      <c r="F813" s="85"/>
      <c r="G813" s="85"/>
    </row>
    <row r="814" spans="4:7" ht="13.5">
      <c r="D814" s="11"/>
      <c r="E814" s="86"/>
      <c r="F814" s="85"/>
      <c r="G814" s="85"/>
    </row>
    <row r="815" spans="4:7" ht="13.5">
      <c r="D815" s="11"/>
      <c r="E815" s="86"/>
      <c r="F815" s="85"/>
      <c r="G815" s="85"/>
    </row>
    <row r="816" spans="4:7" ht="13.5">
      <c r="D816" s="11"/>
      <c r="E816" s="86"/>
      <c r="F816" s="85"/>
      <c r="G816" s="85"/>
    </row>
    <row r="817" spans="4:7" ht="13.5">
      <c r="D817" s="11"/>
      <c r="E817" s="86"/>
      <c r="F817" s="85"/>
      <c r="G817" s="85"/>
    </row>
    <row r="818" spans="4:7" ht="13.5">
      <c r="D818" s="11"/>
      <c r="E818" s="86"/>
      <c r="F818" s="85"/>
      <c r="G818" s="85"/>
    </row>
    <row r="819" spans="4:7" ht="13.5">
      <c r="D819" s="11"/>
      <c r="E819" s="86"/>
      <c r="F819" s="85"/>
      <c r="G819" s="85"/>
    </row>
    <row r="820" spans="4:7" ht="13.5">
      <c r="D820" s="11"/>
      <c r="E820" s="86"/>
      <c r="F820" s="85"/>
      <c r="G820" s="85"/>
    </row>
    <row r="821" spans="4:7" ht="13.5">
      <c r="D821" s="11"/>
      <c r="E821" s="86"/>
      <c r="F821" s="85"/>
      <c r="G821" s="85"/>
    </row>
    <row r="822" spans="4:7" ht="13.5">
      <c r="D822" s="11"/>
      <c r="E822" s="86"/>
      <c r="F822" s="85"/>
      <c r="G822" s="85"/>
    </row>
    <row r="823" spans="4:7" ht="13.5">
      <c r="D823" s="11"/>
      <c r="E823" s="86"/>
      <c r="F823" s="85"/>
      <c r="G823" s="85"/>
    </row>
    <row r="824" spans="4:7" ht="13.5">
      <c r="D824" s="11"/>
      <c r="E824" s="86"/>
      <c r="F824" s="85"/>
      <c r="G824" s="85"/>
    </row>
    <row r="825" spans="4:7" ht="13.5">
      <c r="D825" s="11"/>
      <c r="E825" s="86"/>
      <c r="F825" s="85"/>
      <c r="G825" s="85"/>
    </row>
    <row r="826" spans="4:7" ht="13.5">
      <c r="D826" s="11"/>
      <c r="E826" s="86"/>
      <c r="F826" s="85"/>
      <c r="G826" s="85"/>
    </row>
    <row r="827" spans="4:7" ht="13.5">
      <c r="D827" s="11"/>
      <c r="E827" s="86"/>
      <c r="F827" s="85"/>
      <c r="G827" s="85"/>
    </row>
    <row r="828" spans="4:7" ht="13.5">
      <c r="D828" s="11"/>
      <c r="E828" s="86"/>
      <c r="F828" s="85"/>
      <c r="G828" s="85"/>
    </row>
    <row r="829" spans="4:7" ht="13.5">
      <c r="D829" s="11"/>
      <c r="E829" s="86"/>
      <c r="F829" s="85"/>
      <c r="G829" s="85"/>
    </row>
    <row r="830" spans="4:7" ht="13.5">
      <c r="D830" s="11"/>
      <c r="E830" s="86"/>
      <c r="F830" s="85"/>
      <c r="G830" s="85"/>
    </row>
    <row r="831" spans="4:7" ht="13.5">
      <c r="D831" s="11"/>
      <c r="E831" s="86"/>
      <c r="F831" s="85"/>
      <c r="G831" s="85"/>
    </row>
    <row r="832" spans="4:7" ht="13.5">
      <c r="D832" s="11"/>
      <c r="E832" s="86"/>
      <c r="F832" s="85"/>
      <c r="G832" s="85"/>
    </row>
    <row r="833" spans="4:7" ht="13.5">
      <c r="D833" s="11"/>
      <c r="E833" s="86"/>
      <c r="F833" s="85"/>
      <c r="G833" s="85"/>
    </row>
    <row r="834" spans="4:7" ht="13.5">
      <c r="D834" s="11"/>
      <c r="E834" s="86"/>
      <c r="F834" s="85"/>
      <c r="G834" s="85"/>
    </row>
    <row r="835" spans="4:7" ht="13.5">
      <c r="D835" s="11"/>
      <c r="E835" s="86"/>
      <c r="F835" s="85"/>
      <c r="G835" s="85"/>
    </row>
    <row r="836" spans="4:7" ht="13.5">
      <c r="D836" s="11"/>
      <c r="E836" s="86"/>
      <c r="F836" s="85"/>
      <c r="G836" s="85"/>
    </row>
    <row r="837" spans="4:7" ht="13.5">
      <c r="D837" s="11"/>
      <c r="E837" s="86"/>
      <c r="F837" s="85"/>
      <c r="G837" s="85"/>
    </row>
    <row r="838" spans="4:7" ht="13.5">
      <c r="D838" s="11"/>
      <c r="E838" s="86"/>
      <c r="F838" s="85"/>
      <c r="G838" s="85"/>
    </row>
    <row r="839" spans="4:7" ht="13.5">
      <c r="D839" s="11"/>
      <c r="E839" s="86"/>
      <c r="F839" s="85"/>
      <c r="G839" s="85"/>
    </row>
    <row r="840" spans="4:7" ht="13.5">
      <c r="D840" s="11"/>
      <c r="E840" s="86"/>
      <c r="F840" s="85"/>
      <c r="G840" s="85"/>
    </row>
    <row r="841" spans="4:7" ht="13.5">
      <c r="D841" s="11"/>
      <c r="E841" s="86"/>
      <c r="F841" s="85"/>
      <c r="G841" s="85"/>
    </row>
    <row r="842" spans="4:7" ht="13.5">
      <c r="D842" s="11"/>
      <c r="E842" s="86"/>
      <c r="F842" s="85"/>
      <c r="G842" s="85"/>
    </row>
    <row r="843" spans="4:7" ht="13.5">
      <c r="D843" s="11"/>
      <c r="E843" s="86"/>
      <c r="F843" s="85"/>
      <c r="G843" s="85"/>
    </row>
    <row r="844" spans="4:7" ht="13.5">
      <c r="D844" s="11"/>
      <c r="E844" s="86"/>
      <c r="F844" s="85"/>
      <c r="G844" s="85"/>
    </row>
    <row r="845" spans="4:7" ht="13.5">
      <c r="D845" s="11"/>
      <c r="E845" s="86"/>
      <c r="F845" s="85"/>
      <c r="G845" s="85"/>
    </row>
    <row r="846" spans="4:7" ht="13.5">
      <c r="D846" s="11"/>
      <c r="E846" s="86"/>
      <c r="F846" s="85"/>
      <c r="G846" s="85"/>
    </row>
    <row r="847" spans="4:7" ht="13.5">
      <c r="D847" s="11"/>
      <c r="E847" s="86"/>
      <c r="F847" s="85"/>
      <c r="G847" s="85"/>
    </row>
    <row r="848" spans="4:7" ht="13.5">
      <c r="D848" s="11"/>
      <c r="E848" s="86"/>
      <c r="F848" s="85"/>
      <c r="G848" s="85"/>
    </row>
    <row r="849" spans="4:7" ht="13.5">
      <c r="D849" s="11"/>
      <c r="E849" s="86"/>
      <c r="F849" s="85"/>
      <c r="G849" s="85"/>
    </row>
    <row r="850" spans="4:7" ht="13.5">
      <c r="D850" s="11"/>
      <c r="E850" s="86"/>
      <c r="F850" s="85"/>
      <c r="G850" s="85"/>
    </row>
    <row r="851" spans="4:7" ht="13.5">
      <c r="D851" s="11"/>
      <c r="E851" s="86"/>
      <c r="F851" s="85"/>
      <c r="G851" s="85"/>
    </row>
    <row r="852" spans="4:7" ht="13.5">
      <c r="D852" s="11"/>
      <c r="E852" s="86"/>
      <c r="F852" s="85"/>
      <c r="G852" s="85"/>
    </row>
    <row r="853" spans="4:7" ht="13.5">
      <c r="D853" s="11"/>
      <c r="E853" s="86"/>
      <c r="F853" s="85"/>
      <c r="G853" s="85"/>
    </row>
    <row r="854" spans="4:7" ht="13.5">
      <c r="D854" s="11"/>
      <c r="E854" s="86"/>
      <c r="F854" s="85"/>
      <c r="G854" s="85"/>
    </row>
    <row r="855" spans="4:7" ht="13.5">
      <c r="D855" s="11"/>
      <c r="E855" s="86"/>
      <c r="F855" s="85"/>
      <c r="G855" s="85"/>
    </row>
    <row r="856" spans="4:7" ht="13.5">
      <c r="D856" s="11"/>
      <c r="E856" s="86"/>
      <c r="F856" s="85"/>
      <c r="G856" s="85"/>
    </row>
    <row r="857" spans="4:7" ht="13.5">
      <c r="D857" s="11"/>
      <c r="E857" s="86"/>
      <c r="F857" s="85"/>
      <c r="G857" s="85"/>
    </row>
    <row r="858" spans="4:7" ht="13.5">
      <c r="D858" s="11"/>
      <c r="E858" s="86"/>
      <c r="F858" s="85"/>
      <c r="G858" s="85"/>
    </row>
    <row r="859" spans="4:7" ht="13.5">
      <c r="D859" s="11"/>
      <c r="E859" s="86"/>
      <c r="F859" s="85"/>
      <c r="G859" s="85"/>
    </row>
    <row r="860" spans="4:7" ht="13.5">
      <c r="D860" s="11"/>
      <c r="E860" s="86"/>
      <c r="F860" s="85"/>
      <c r="G860" s="85"/>
    </row>
    <row r="861" spans="4:7" ht="13.5">
      <c r="D861" s="11"/>
      <c r="E861" s="86"/>
      <c r="F861" s="85"/>
      <c r="G861" s="85"/>
    </row>
    <row r="862" spans="4:7" ht="13.5">
      <c r="D862" s="11"/>
      <c r="E862" s="86"/>
      <c r="F862" s="85"/>
      <c r="G862" s="85"/>
    </row>
    <row r="863" spans="4:7" ht="13.5">
      <c r="D863" s="11"/>
      <c r="E863" s="86"/>
      <c r="F863" s="85"/>
      <c r="G863" s="85"/>
    </row>
    <row r="864" spans="4:7" ht="13.5">
      <c r="D864" s="11"/>
      <c r="E864" s="86"/>
      <c r="F864" s="85"/>
      <c r="G864" s="85"/>
    </row>
    <row r="865" spans="4:7" ht="13.5">
      <c r="D865" s="11"/>
      <c r="E865" s="86"/>
      <c r="F865" s="85"/>
      <c r="G865" s="85"/>
    </row>
    <row r="866" spans="4:7" ht="13.5">
      <c r="D866" s="11"/>
      <c r="E866" s="86"/>
      <c r="F866" s="85"/>
      <c r="G866" s="85"/>
    </row>
    <row r="867" spans="4:7" ht="13.5">
      <c r="D867" s="11"/>
      <c r="E867" s="86"/>
      <c r="F867" s="85"/>
      <c r="G867" s="85"/>
    </row>
    <row r="868" spans="4:7" ht="13.5">
      <c r="D868" s="11"/>
      <c r="E868" s="86"/>
      <c r="F868" s="85"/>
      <c r="G868" s="85"/>
    </row>
    <row r="869" spans="4:7" ht="13.5">
      <c r="D869" s="11"/>
      <c r="E869" s="86"/>
      <c r="F869" s="85"/>
      <c r="G869" s="85"/>
    </row>
    <row r="870" spans="4:7" ht="13.5">
      <c r="D870" s="11"/>
      <c r="E870" s="86"/>
      <c r="F870" s="85"/>
      <c r="G870" s="85"/>
    </row>
    <row r="871" spans="4:7" ht="13.5">
      <c r="D871" s="11"/>
      <c r="E871" s="86"/>
      <c r="F871" s="85"/>
      <c r="G871" s="85"/>
    </row>
    <row r="872" spans="4:7" ht="13.5">
      <c r="D872" s="11"/>
      <c r="E872" s="86"/>
      <c r="F872" s="85"/>
      <c r="G872" s="85"/>
    </row>
    <row r="873" spans="4:7" ht="13.5">
      <c r="D873" s="11"/>
      <c r="E873" s="86"/>
      <c r="F873" s="85"/>
      <c r="G873" s="85"/>
    </row>
    <row r="874" spans="4:7" ht="13.5">
      <c r="D874" s="11"/>
      <c r="E874" s="86"/>
      <c r="F874" s="85"/>
      <c r="G874" s="85"/>
    </row>
    <row r="875" spans="4:7" ht="13.5">
      <c r="D875" s="11"/>
      <c r="E875" s="86"/>
      <c r="F875" s="85"/>
      <c r="G875" s="85"/>
    </row>
    <row r="876" spans="4:7" ht="13.5">
      <c r="D876" s="11"/>
      <c r="E876" s="86"/>
      <c r="F876" s="85"/>
      <c r="G876" s="85"/>
    </row>
    <row r="877" spans="4:7" ht="13.5">
      <c r="D877" s="11"/>
      <c r="E877" s="86"/>
      <c r="F877" s="85"/>
      <c r="G877" s="85"/>
    </row>
    <row r="878" spans="4:7" ht="13.5">
      <c r="D878" s="11"/>
      <c r="E878" s="86"/>
      <c r="F878" s="85"/>
      <c r="G878" s="85"/>
    </row>
    <row r="879" spans="4:7" ht="13.5">
      <c r="D879" s="11"/>
      <c r="E879" s="86"/>
      <c r="F879" s="85"/>
      <c r="G879" s="85"/>
    </row>
    <row r="880" spans="4:7" ht="13.5">
      <c r="D880" s="11"/>
      <c r="E880" s="86"/>
      <c r="F880" s="85"/>
      <c r="G880" s="85"/>
    </row>
    <row r="881" spans="4:7" ht="13.5">
      <c r="D881" s="11"/>
      <c r="E881" s="86"/>
      <c r="F881" s="85"/>
      <c r="G881" s="85"/>
    </row>
    <row r="882" spans="4:7" ht="13.5">
      <c r="D882" s="11"/>
      <c r="E882" s="86"/>
      <c r="F882" s="85"/>
      <c r="G882" s="85"/>
    </row>
    <row r="883" spans="4:7" ht="13.5">
      <c r="D883" s="11"/>
      <c r="E883" s="86"/>
      <c r="F883" s="85"/>
      <c r="G883" s="85"/>
    </row>
    <row r="884" spans="4:7" ht="13.5">
      <c r="D884" s="11"/>
      <c r="E884" s="86"/>
      <c r="F884" s="85"/>
      <c r="G884" s="85"/>
    </row>
    <row r="885" spans="4:7" ht="13.5">
      <c r="D885" s="11"/>
      <c r="E885" s="86"/>
      <c r="F885" s="85"/>
      <c r="G885" s="85"/>
    </row>
    <row r="886" spans="4:7" ht="13.5">
      <c r="D886" s="11"/>
      <c r="E886" s="86"/>
      <c r="F886" s="85"/>
      <c r="G886" s="85"/>
    </row>
    <row r="887" spans="4:7" ht="13.5">
      <c r="D887" s="11"/>
      <c r="E887" s="86"/>
      <c r="F887" s="85"/>
      <c r="G887" s="85"/>
    </row>
    <row r="888" spans="4:7" ht="13.5">
      <c r="D888" s="11"/>
      <c r="E888" s="86"/>
      <c r="F888" s="85"/>
      <c r="G888" s="85"/>
    </row>
    <row r="889" spans="4:7" ht="13.5">
      <c r="D889" s="11"/>
      <c r="E889" s="86"/>
      <c r="F889" s="85"/>
      <c r="G889" s="85"/>
    </row>
    <row r="890" spans="4:7" ht="13.5">
      <c r="D890" s="11"/>
      <c r="E890" s="86"/>
      <c r="F890" s="85"/>
      <c r="G890" s="85"/>
    </row>
    <row r="891" spans="4:7" ht="13.5">
      <c r="D891" s="11"/>
      <c r="E891" s="86"/>
      <c r="F891" s="85"/>
      <c r="G891" s="85"/>
    </row>
    <row r="892" spans="4:7" ht="13.5">
      <c r="D892" s="11"/>
      <c r="E892" s="86"/>
      <c r="F892" s="85"/>
      <c r="G892" s="85"/>
    </row>
    <row r="893" spans="4:7" ht="13.5">
      <c r="D893" s="11"/>
      <c r="E893" s="86"/>
      <c r="F893" s="85"/>
      <c r="G893" s="85"/>
    </row>
    <row r="894" spans="4:7" ht="13.5">
      <c r="D894" s="11"/>
      <c r="E894" s="86"/>
      <c r="F894" s="85"/>
      <c r="G894" s="85"/>
    </row>
    <row r="895" spans="4:7" ht="13.5">
      <c r="D895" s="11"/>
      <c r="E895" s="86"/>
      <c r="F895" s="85"/>
      <c r="G895" s="85"/>
    </row>
    <row r="896" spans="4:7" ht="13.5">
      <c r="D896" s="11"/>
      <c r="E896" s="86"/>
      <c r="F896" s="85"/>
      <c r="G896" s="85"/>
    </row>
    <row r="897" spans="4:7" ht="13.5">
      <c r="D897" s="11"/>
      <c r="E897" s="86"/>
      <c r="F897" s="85"/>
      <c r="G897" s="85"/>
    </row>
    <row r="898" spans="4:7" ht="13.5">
      <c r="D898" s="11"/>
      <c r="E898" s="86"/>
      <c r="F898" s="85"/>
      <c r="G898" s="85"/>
    </row>
    <row r="899" spans="4:7" ht="13.5">
      <c r="D899" s="11"/>
      <c r="E899" s="86"/>
      <c r="F899" s="85"/>
      <c r="G899" s="85"/>
    </row>
    <row r="900" spans="4:7" ht="13.5">
      <c r="D900" s="11"/>
      <c r="E900" s="86"/>
      <c r="F900" s="85"/>
      <c r="G900" s="85"/>
    </row>
    <row r="901" spans="4:7" ht="13.5">
      <c r="D901" s="11"/>
      <c r="E901" s="86"/>
      <c r="F901" s="85"/>
      <c r="G901" s="85"/>
    </row>
    <row r="902" spans="4:7" ht="13.5">
      <c r="D902" s="11"/>
      <c r="E902" s="86"/>
      <c r="F902" s="85"/>
      <c r="G902" s="85"/>
    </row>
    <row r="903" spans="4:7" ht="13.5">
      <c r="D903" s="11"/>
      <c r="E903" s="86"/>
      <c r="F903" s="85"/>
      <c r="G903" s="85"/>
    </row>
    <row r="904" spans="4:7" ht="13.5">
      <c r="D904" s="11"/>
      <c r="E904" s="86"/>
      <c r="F904" s="85"/>
      <c r="G904" s="85"/>
    </row>
    <row r="905" spans="4:7" ht="13.5">
      <c r="D905" s="11"/>
      <c r="E905" s="86"/>
      <c r="F905" s="85"/>
      <c r="G905" s="85"/>
    </row>
    <row r="906" spans="4:7" ht="13.5">
      <c r="D906" s="11"/>
      <c r="E906" s="86"/>
      <c r="F906" s="85"/>
      <c r="G906" s="85"/>
    </row>
    <row r="907" spans="4:7" ht="13.5">
      <c r="D907" s="11"/>
      <c r="E907" s="86"/>
      <c r="F907" s="85"/>
      <c r="G907" s="85"/>
    </row>
    <row r="908" spans="4:7" ht="13.5">
      <c r="D908" s="11"/>
      <c r="E908" s="86"/>
      <c r="F908" s="85"/>
      <c r="G908" s="85"/>
    </row>
    <row r="909" spans="4:7" ht="13.5">
      <c r="D909" s="11"/>
      <c r="E909" s="86"/>
      <c r="F909" s="85"/>
      <c r="G909" s="85"/>
    </row>
    <row r="910" spans="4:7" ht="13.5">
      <c r="D910" s="11"/>
      <c r="E910" s="86"/>
      <c r="F910" s="85"/>
      <c r="G910" s="85"/>
    </row>
    <row r="911" spans="4:7" ht="13.5">
      <c r="D911" s="11"/>
      <c r="E911" s="86"/>
      <c r="F911" s="85"/>
      <c r="G911" s="85"/>
    </row>
    <row r="912" spans="4:7" ht="13.5">
      <c r="D912" s="11"/>
      <c r="E912" s="86"/>
      <c r="F912" s="85"/>
      <c r="G912" s="85"/>
    </row>
    <row r="913" spans="4:7" ht="13.5">
      <c r="D913" s="11"/>
      <c r="E913" s="86"/>
      <c r="F913" s="85"/>
      <c r="G913" s="85"/>
    </row>
    <row r="914" spans="4:7" ht="13.5">
      <c r="D914" s="11"/>
      <c r="E914" s="86"/>
      <c r="F914" s="85"/>
      <c r="G914" s="85"/>
    </row>
    <row r="915" spans="4:7" ht="13.5">
      <c r="D915" s="11"/>
      <c r="E915" s="86"/>
      <c r="F915" s="85"/>
      <c r="G915" s="85"/>
    </row>
    <row r="916" spans="4:7" ht="13.5">
      <c r="D916" s="11"/>
      <c r="E916" s="86"/>
      <c r="F916" s="85"/>
      <c r="G916" s="85"/>
    </row>
    <row r="917" spans="4:7" ht="13.5">
      <c r="D917" s="11"/>
      <c r="E917" s="86"/>
      <c r="F917" s="85"/>
      <c r="G917" s="85"/>
    </row>
    <row r="918" spans="4:7" ht="13.5">
      <c r="D918" s="11"/>
      <c r="E918" s="86"/>
      <c r="F918" s="85"/>
      <c r="G918" s="85"/>
    </row>
    <row r="919" spans="4:7" ht="13.5">
      <c r="D919" s="11"/>
      <c r="E919" s="86"/>
      <c r="F919" s="85"/>
      <c r="G919" s="85"/>
    </row>
    <row r="920" spans="4:7" ht="13.5">
      <c r="D920" s="11"/>
      <c r="E920" s="86"/>
      <c r="F920" s="85"/>
      <c r="G920" s="85"/>
    </row>
    <row r="921" spans="4:7" ht="13.5">
      <c r="D921" s="11"/>
      <c r="E921" s="86"/>
      <c r="F921" s="85"/>
      <c r="G921" s="85"/>
    </row>
    <row r="922" spans="4:7" ht="13.5">
      <c r="D922" s="11"/>
      <c r="E922" s="86"/>
      <c r="F922" s="85"/>
      <c r="G922" s="85"/>
    </row>
    <row r="923" spans="4:7" ht="13.5">
      <c r="D923" s="11"/>
      <c r="E923" s="86"/>
      <c r="F923" s="85"/>
      <c r="G923" s="85"/>
    </row>
    <row r="924" spans="4:7" ht="13.5">
      <c r="D924" s="11"/>
      <c r="E924" s="86"/>
      <c r="F924" s="85"/>
      <c r="G924" s="85"/>
    </row>
    <row r="925" spans="4:7" ht="13.5">
      <c r="D925" s="11"/>
      <c r="E925" s="86"/>
      <c r="F925" s="85"/>
      <c r="G925" s="85"/>
    </row>
    <row r="926" spans="4:7" ht="13.5">
      <c r="D926" s="11"/>
      <c r="E926" s="86"/>
      <c r="F926" s="85"/>
      <c r="G926" s="85"/>
    </row>
    <row r="927" spans="4:7" ht="13.5">
      <c r="D927" s="11"/>
      <c r="E927" s="86"/>
      <c r="F927" s="85"/>
      <c r="G927" s="85"/>
    </row>
    <row r="928" spans="4:7" ht="13.5">
      <c r="D928" s="11"/>
      <c r="E928" s="86"/>
      <c r="F928" s="85"/>
      <c r="G928" s="85"/>
    </row>
    <row r="929" spans="4:7" ht="13.5">
      <c r="D929" s="11"/>
      <c r="E929" s="86"/>
      <c r="F929" s="85"/>
      <c r="G929" s="85"/>
    </row>
    <row r="930" spans="4:7" ht="13.5">
      <c r="D930" s="11"/>
      <c r="E930" s="86"/>
      <c r="F930" s="85"/>
      <c r="G930" s="85"/>
    </row>
    <row r="931" spans="4:7" ht="13.5">
      <c r="D931" s="11"/>
      <c r="E931" s="86"/>
      <c r="F931" s="85"/>
      <c r="G931" s="85"/>
    </row>
    <row r="932" spans="4:7" ht="13.5">
      <c r="D932" s="11"/>
      <c r="E932" s="86"/>
      <c r="F932" s="85"/>
      <c r="G932" s="85"/>
    </row>
    <row r="933" spans="4:7" ht="13.5">
      <c r="D933" s="11"/>
      <c r="E933" s="86"/>
      <c r="F933" s="85"/>
      <c r="G933" s="85"/>
    </row>
    <row r="934" spans="4:7" ht="13.5">
      <c r="D934" s="11"/>
      <c r="E934" s="86"/>
      <c r="F934" s="85"/>
      <c r="G934" s="85"/>
    </row>
    <row r="935" spans="4:7" ht="13.5">
      <c r="D935" s="11"/>
      <c r="E935" s="86"/>
      <c r="F935" s="85"/>
      <c r="G935" s="85"/>
    </row>
    <row r="936" spans="4:7" ht="13.5">
      <c r="D936" s="11"/>
      <c r="E936" s="86"/>
      <c r="F936" s="85"/>
      <c r="G936" s="85"/>
    </row>
    <row r="937" spans="4:7" ht="13.5">
      <c r="D937" s="11"/>
      <c r="E937" s="86"/>
      <c r="F937" s="85"/>
      <c r="G937" s="85"/>
    </row>
    <row r="938" spans="4:7" ht="13.5">
      <c r="D938" s="11"/>
      <c r="E938" s="86"/>
      <c r="F938" s="85"/>
      <c r="G938" s="85"/>
    </row>
    <row r="939" spans="4:7" ht="13.5">
      <c r="D939" s="11"/>
      <c r="E939" s="86"/>
      <c r="F939" s="85"/>
      <c r="G939" s="85"/>
    </row>
    <row r="940" spans="4:7" ht="13.5">
      <c r="D940" s="11"/>
      <c r="E940" s="86"/>
      <c r="F940" s="85"/>
      <c r="G940" s="85"/>
    </row>
    <row r="941" spans="4:7" ht="13.5">
      <c r="D941" s="11"/>
      <c r="E941" s="86"/>
      <c r="F941" s="85"/>
      <c r="G941" s="85"/>
    </row>
    <row r="942" spans="4:7" ht="13.5">
      <c r="D942" s="11"/>
      <c r="E942" s="86"/>
      <c r="F942" s="85"/>
      <c r="G942" s="85"/>
    </row>
    <row r="943" spans="4:7" ht="13.5">
      <c r="D943" s="11"/>
      <c r="E943" s="86"/>
      <c r="F943" s="85"/>
      <c r="G943" s="85"/>
    </row>
    <row r="944" spans="4:7" ht="13.5">
      <c r="D944" s="11"/>
      <c r="E944" s="86"/>
      <c r="F944" s="85"/>
      <c r="G944" s="85"/>
    </row>
    <row r="945" spans="4:7" ht="13.5">
      <c r="D945" s="11"/>
      <c r="E945" s="86"/>
      <c r="F945" s="85"/>
      <c r="G945" s="85"/>
    </row>
    <row r="946" spans="4:7" ht="13.5">
      <c r="D946" s="11"/>
      <c r="E946" s="86"/>
      <c r="F946" s="85"/>
      <c r="G946" s="85"/>
    </row>
    <row r="947" spans="4:7" ht="13.5">
      <c r="D947" s="11"/>
      <c r="E947" s="86"/>
      <c r="F947" s="85"/>
      <c r="G947" s="85"/>
    </row>
    <row r="948" spans="4:7" ht="13.5">
      <c r="D948" s="11"/>
      <c r="E948" s="86"/>
      <c r="F948" s="85"/>
      <c r="G948" s="85"/>
    </row>
    <row r="949" spans="4:7" ht="13.5">
      <c r="D949" s="11"/>
      <c r="E949" s="86"/>
      <c r="F949" s="85"/>
      <c r="G949" s="85"/>
    </row>
    <row r="950" spans="4:7" ht="13.5">
      <c r="D950" s="11"/>
      <c r="E950" s="86"/>
      <c r="F950" s="85"/>
      <c r="G950" s="85"/>
    </row>
    <row r="951" spans="4:7" ht="13.5">
      <c r="D951" s="11"/>
      <c r="E951" s="86"/>
      <c r="F951" s="85"/>
      <c r="G951" s="85"/>
    </row>
    <row r="952" spans="4:7" ht="13.5">
      <c r="D952" s="11"/>
      <c r="E952" s="86"/>
      <c r="F952" s="85"/>
      <c r="G952" s="85"/>
    </row>
    <row r="953" spans="4:7" ht="13.5">
      <c r="D953" s="11"/>
      <c r="E953" s="86"/>
      <c r="F953" s="85"/>
      <c r="G953" s="85"/>
    </row>
    <row r="954" spans="4:7" ht="13.5">
      <c r="D954" s="11"/>
      <c r="E954" s="86"/>
      <c r="F954" s="85"/>
      <c r="G954" s="85"/>
    </row>
    <row r="955" spans="4:7" ht="13.5">
      <c r="D955" s="11"/>
      <c r="E955" s="86"/>
      <c r="F955" s="85"/>
      <c r="G955" s="85"/>
    </row>
    <row r="956" spans="4:7" ht="13.5">
      <c r="D956" s="11"/>
      <c r="E956" s="86"/>
      <c r="F956" s="85"/>
      <c r="G956" s="85"/>
    </row>
    <row r="957" spans="4:7" ht="13.5">
      <c r="D957" s="11"/>
      <c r="E957" s="86"/>
      <c r="F957" s="85"/>
      <c r="G957" s="85"/>
    </row>
    <row r="958" spans="4:7" ht="13.5">
      <c r="D958" s="11"/>
      <c r="E958" s="86"/>
      <c r="F958" s="85"/>
      <c r="G958" s="85"/>
    </row>
    <row r="959" spans="4:7" ht="13.5">
      <c r="D959" s="11"/>
      <c r="E959" s="86"/>
      <c r="F959" s="85"/>
      <c r="G959" s="85"/>
    </row>
    <row r="960" spans="4:7" ht="13.5">
      <c r="D960" s="11"/>
      <c r="E960" s="86"/>
      <c r="F960" s="85"/>
      <c r="G960" s="85"/>
    </row>
    <row r="961" spans="4:7" ht="13.5">
      <c r="D961" s="11"/>
      <c r="E961" s="86"/>
      <c r="F961" s="85"/>
      <c r="G961" s="85"/>
    </row>
    <row r="962" spans="4:7" ht="13.5">
      <c r="D962" s="11"/>
      <c r="E962" s="86"/>
      <c r="F962" s="85"/>
      <c r="G962" s="85"/>
    </row>
    <row r="963" spans="4:7" ht="13.5">
      <c r="D963" s="11"/>
      <c r="E963" s="86"/>
      <c r="F963" s="85"/>
      <c r="G963" s="85"/>
    </row>
    <row r="964" spans="4:7" ht="13.5">
      <c r="D964" s="11"/>
      <c r="E964" s="86"/>
      <c r="F964" s="85"/>
      <c r="G964" s="85"/>
    </row>
    <row r="965" spans="4:7" ht="13.5">
      <c r="D965" s="11"/>
      <c r="E965" s="86"/>
      <c r="F965" s="85"/>
      <c r="G965" s="85"/>
    </row>
    <row r="966" spans="4:7" ht="13.5">
      <c r="D966" s="11"/>
      <c r="E966" s="86"/>
      <c r="F966" s="85"/>
      <c r="G966" s="85"/>
    </row>
    <row r="967" spans="4:7" ht="13.5">
      <c r="D967" s="11"/>
      <c r="E967" s="86"/>
      <c r="F967" s="85"/>
      <c r="G967" s="85"/>
    </row>
    <row r="968" spans="4:7" ht="13.5">
      <c r="D968" s="11"/>
      <c r="E968" s="86"/>
      <c r="F968" s="85"/>
      <c r="G968" s="85"/>
    </row>
    <row r="969" spans="4:7" ht="13.5">
      <c r="D969" s="11"/>
      <c r="E969" s="86"/>
      <c r="F969" s="85"/>
      <c r="G969" s="85"/>
    </row>
    <row r="970" spans="4:7" ht="13.5">
      <c r="D970" s="11"/>
      <c r="E970" s="86"/>
      <c r="F970" s="85"/>
      <c r="G970" s="85"/>
    </row>
    <row r="971" spans="4:7" ht="13.5">
      <c r="D971" s="11"/>
      <c r="E971" s="86"/>
      <c r="F971" s="85"/>
      <c r="G971" s="85"/>
    </row>
    <row r="972" spans="4:7" ht="13.5">
      <c r="D972" s="11"/>
      <c r="E972" s="86"/>
      <c r="F972" s="85"/>
      <c r="G972" s="85"/>
    </row>
    <row r="973" spans="4:7" ht="13.5">
      <c r="D973" s="11"/>
      <c r="E973" s="86"/>
      <c r="F973" s="85"/>
      <c r="G973" s="85"/>
    </row>
    <row r="974" spans="4:7" ht="13.5">
      <c r="D974" s="11"/>
      <c r="E974" s="86"/>
      <c r="F974" s="85"/>
      <c r="G974" s="85"/>
    </row>
    <row r="975" spans="4:7" ht="13.5">
      <c r="D975" s="11"/>
      <c r="E975" s="86"/>
      <c r="F975" s="85"/>
      <c r="G975" s="85"/>
    </row>
    <row r="976" spans="4:7" ht="13.5">
      <c r="D976" s="11"/>
      <c r="E976" s="86"/>
      <c r="F976" s="85"/>
      <c r="G976" s="85"/>
    </row>
    <row r="977" spans="4:7" ht="13.5">
      <c r="D977" s="11"/>
      <c r="E977" s="86"/>
      <c r="F977" s="85"/>
      <c r="G977" s="85"/>
    </row>
    <row r="978" spans="4:7" ht="13.5">
      <c r="D978" s="11"/>
      <c r="E978" s="86"/>
      <c r="F978" s="85"/>
      <c r="G978" s="85"/>
    </row>
    <row r="979" spans="4:7" ht="13.5">
      <c r="D979" s="11"/>
      <c r="E979" s="86"/>
      <c r="F979" s="85"/>
      <c r="G979" s="85"/>
    </row>
    <row r="980" spans="4:7" ht="13.5">
      <c r="D980" s="11"/>
      <c r="E980" s="86"/>
      <c r="F980" s="85"/>
      <c r="G980" s="85"/>
    </row>
    <row r="981" spans="4:7" ht="13.5">
      <c r="D981" s="11"/>
      <c r="E981" s="86"/>
      <c r="F981" s="85"/>
      <c r="G981" s="85"/>
    </row>
    <row r="982" spans="4:7" ht="13.5">
      <c r="D982" s="11"/>
      <c r="E982" s="86"/>
      <c r="F982" s="85"/>
      <c r="G982" s="85"/>
    </row>
    <row r="983" spans="4:7" ht="13.5">
      <c r="D983" s="11"/>
      <c r="E983" s="86"/>
      <c r="F983" s="85"/>
      <c r="G983" s="85"/>
    </row>
    <row r="984" spans="4:7" ht="13.5">
      <c r="D984" s="11"/>
      <c r="E984" s="86"/>
      <c r="F984" s="85"/>
      <c r="G984" s="85"/>
    </row>
    <row r="985" spans="4:7" ht="13.5">
      <c r="D985" s="11"/>
      <c r="E985" s="86"/>
      <c r="F985" s="85"/>
      <c r="G985" s="85"/>
    </row>
    <row r="986" spans="4:7" ht="13.5">
      <c r="D986" s="11"/>
      <c r="E986" s="86"/>
      <c r="F986" s="85"/>
      <c r="G986" s="85"/>
    </row>
    <row r="987" spans="4:7" ht="13.5">
      <c r="D987" s="11"/>
      <c r="E987" s="86"/>
      <c r="F987" s="85"/>
      <c r="G987" s="85"/>
    </row>
    <row r="988" spans="4:7" ht="13.5">
      <c r="D988" s="11"/>
      <c r="E988" s="86"/>
      <c r="F988" s="85"/>
      <c r="G988" s="85"/>
    </row>
    <row r="989" spans="4:7" ht="13.5">
      <c r="D989" s="11"/>
      <c r="E989" s="86"/>
      <c r="F989" s="85"/>
      <c r="G989" s="85"/>
    </row>
    <row r="990" spans="4:7" ht="13.5">
      <c r="D990" s="11"/>
      <c r="E990" s="86"/>
      <c r="F990" s="85"/>
      <c r="G990" s="85"/>
    </row>
    <row r="991" spans="4:7" ht="13.5">
      <c r="D991" s="11"/>
      <c r="E991" s="86"/>
      <c r="F991" s="85"/>
      <c r="G991" s="85"/>
    </row>
    <row r="992" spans="4:7" ht="13.5">
      <c r="D992" s="11"/>
      <c r="E992" s="86"/>
      <c r="F992" s="85"/>
      <c r="G992" s="85"/>
    </row>
    <row r="993" spans="4:7" ht="13.5">
      <c r="D993" s="11"/>
      <c r="E993" s="86"/>
      <c r="F993" s="85"/>
      <c r="G993" s="85"/>
    </row>
    <row r="994" spans="4:7" ht="13.5">
      <c r="D994" s="11"/>
      <c r="E994" s="86"/>
      <c r="F994" s="85"/>
      <c r="G994" s="85"/>
    </row>
    <row r="995" spans="4:7" ht="13.5">
      <c r="D995" s="11"/>
      <c r="E995" s="86"/>
      <c r="F995" s="85"/>
      <c r="G995" s="85"/>
    </row>
    <row r="996" spans="4:7" ht="13.5">
      <c r="D996" s="11"/>
      <c r="E996" s="86"/>
      <c r="F996" s="85"/>
      <c r="G996" s="85"/>
    </row>
    <row r="997" spans="4:7" ht="13.5">
      <c r="D997" s="11"/>
      <c r="E997" s="86"/>
      <c r="F997" s="85"/>
      <c r="G997" s="85"/>
    </row>
    <row r="998" spans="4:7" ht="13.5">
      <c r="D998" s="11"/>
      <c r="E998" s="86"/>
      <c r="F998" s="85"/>
      <c r="G998" s="85"/>
    </row>
    <row r="999" spans="4:7" ht="13.5">
      <c r="D999" s="11"/>
      <c r="E999" s="86"/>
      <c r="F999" s="85"/>
      <c r="G999" s="85"/>
    </row>
    <row r="1000" spans="4:7" ht="13.5">
      <c r="D1000" s="11"/>
      <c r="E1000" s="86"/>
      <c r="F1000" s="85"/>
      <c r="G1000" s="85"/>
    </row>
    <row r="1001" spans="4:7" ht="13.5">
      <c r="D1001" s="11"/>
      <c r="E1001" s="86"/>
      <c r="F1001" s="85"/>
      <c r="G1001" s="85"/>
    </row>
    <row r="1002" spans="4:7" ht="13.5">
      <c r="D1002" s="11"/>
      <c r="E1002" s="86"/>
      <c r="F1002" s="85"/>
      <c r="G1002" s="85"/>
    </row>
    <row r="1003" spans="4:7" ht="13.5">
      <c r="D1003" s="11"/>
      <c r="E1003" s="86"/>
      <c r="F1003" s="85"/>
      <c r="G1003" s="85"/>
    </row>
    <row r="1004" spans="4:7" ht="13.5">
      <c r="D1004" s="11"/>
      <c r="E1004" s="86"/>
      <c r="F1004" s="85"/>
      <c r="G1004" s="85"/>
    </row>
    <row r="1005" spans="4:7" ht="13.5">
      <c r="D1005" s="11"/>
      <c r="E1005" s="86"/>
      <c r="F1005" s="85"/>
      <c r="G1005" s="85"/>
    </row>
    <row r="1006" spans="4:7" ht="13.5">
      <c r="D1006" s="11"/>
      <c r="E1006" s="86"/>
      <c r="F1006" s="85"/>
      <c r="G1006" s="85"/>
    </row>
    <row r="1007" spans="4:7" ht="13.5">
      <c r="D1007" s="11"/>
      <c r="E1007" s="86"/>
      <c r="F1007" s="85"/>
      <c r="G1007" s="85"/>
    </row>
    <row r="1008" spans="4:7" ht="13.5">
      <c r="D1008" s="11"/>
      <c r="E1008" s="86"/>
      <c r="F1008" s="85"/>
      <c r="G1008" s="85"/>
    </row>
    <row r="1009" spans="4:7" ht="13.5">
      <c r="D1009" s="11"/>
      <c r="E1009" s="86"/>
      <c r="F1009" s="85"/>
      <c r="G1009" s="85"/>
    </row>
    <row r="1010" spans="4:7" ht="13.5">
      <c r="D1010" s="11"/>
      <c r="E1010" s="86"/>
      <c r="F1010" s="85"/>
      <c r="G1010" s="85"/>
    </row>
    <row r="1011" spans="4:7" ht="13.5">
      <c r="D1011" s="11"/>
      <c r="E1011" s="86"/>
      <c r="F1011" s="85"/>
      <c r="G1011" s="85"/>
    </row>
    <row r="1012" spans="4:7" ht="13.5">
      <c r="D1012" s="11"/>
      <c r="E1012" s="86"/>
      <c r="F1012" s="85"/>
      <c r="G1012" s="85"/>
    </row>
    <row r="1013" spans="4:7" ht="13.5">
      <c r="D1013" s="11"/>
      <c r="E1013" s="86"/>
      <c r="F1013" s="85"/>
      <c r="G1013" s="85"/>
    </row>
    <row r="1014" spans="4:7" ht="13.5">
      <c r="D1014" s="11"/>
      <c r="E1014" s="86"/>
      <c r="F1014" s="85"/>
      <c r="G1014" s="85"/>
    </row>
    <row r="1015" spans="4:7" ht="13.5">
      <c r="D1015" s="11"/>
      <c r="E1015" s="86"/>
      <c r="F1015" s="85"/>
      <c r="G1015" s="85"/>
    </row>
    <row r="1016" spans="4:7" ht="13.5">
      <c r="D1016" s="11"/>
      <c r="E1016" s="86"/>
      <c r="F1016" s="85"/>
      <c r="G1016" s="85"/>
    </row>
    <row r="1017" spans="4:7" ht="13.5">
      <c r="D1017" s="11"/>
      <c r="E1017" s="86"/>
      <c r="F1017" s="85"/>
      <c r="G1017" s="85"/>
    </row>
    <row r="1018" spans="4:7" ht="13.5">
      <c r="D1018" s="11"/>
      <c r="E1018" s="86"/>
      <c r="F1018" s="85"/>
      <c r="G1018" s="85"/>
    </row>
    <row r="1019" spans="4:7" ht="13.5">
      <c r="D1019" s="11"/>
      <c r="E1019" s="86"/>
      <c r="F1019" s="85"/>
      <c r="G1019" s="85"/>
    </row>
    <row r="1020" spans="4:7" ht="13.5">
      <c r="D1020" s="11"/>
      <c r="E1020" s="86"/>
      <c r="F1020" s="85"/>
      <c r="G1020" s="85"/>
    </row>
    <row r="1021" spans="4:7" ht="13.5">
      <c r="D1021" s="11"/>
      <c r="E1021" s="86"/>
      <c r="F1021" s="85"/>
      <c r="G1021" s="85"/>
    </row>
    <row r="1022" spans="4:7" ht="13.5">
      <c r="D1022" s="11"/>
      <c r="E1022" s="86"/>
      <c r="F1022" s="85"/>
      <c r="G1022" s="85"/>
    </row>
    <row r="1023" spans="4:7" ht="13.5">
      <c r="D1023" s="11"/>
      <c r="E1023" s="86"/>
      <c r="F1023" s="85"/>
      <c r="G1023" s="85"/>
    </row>
    <row r="1024" spans="4:7" ht="13.5">
      <c r="D1024" s="11"/>
      <c r="E1024" s="86"/>
      <c r="F1024" s="85"/>
      <c r="G1024" s="85"/>
    </row>
    <row r="1025" spans="4:7" ht="13.5">
      <c r="D1025" s="11"/>
      <c r="E1025" s="86"/>
      <c r="F1025" s="85"/>
      <c r="G1025" s="85"/>
    </row>
    <row r="1026" spans="4:7" ht="13.5">
      <c r="D1026" s="11"/>
      <c r="E1026" s="86"/>
      <c r="F1026" s="85"/>
      <c r="G1026" s="85"/>
    </row>
    <row r="1027" spans="4:7" ht="13.5">
      <c r="D1027" s="11"/>
      <c r="E1027" s="86"/>
      <c r="F1027" s="85"/>
      <c r="G1027" s="85"/>
    </row>
    <row r="1028" spans="4:7" ht="13.5">
      <c r="D1028" s="11"/>
      <c r="E1028" s="86"/>
      <c r="F1028" s="85"/>
      <c r="G1028" s="85"/>
    </row>
    <row r="1029" spans="4:7" ht="13.5">
      <c r="D1029" s="11"/>
      <c r="E1029" s="86"/>
      <c r="F1029" s="85"/>
      <c r="G1029" s="85"/>
    </row>
    <row r="1030" spans="4:7" ht="13.5">
      <c r="D1030" s="11"/>
      <c r="E1030" s="86"/>
      <c r="F1030" s="85"/>
      <c r="G1030" s="85"/>
    </row>
    <row r="1031" spans="4:7" ht="13.5">
      <c r="D1031" s="11"/>
      <c r="E1031" s="86"/>
      <c r="F1031" s="85"/>
      <c r="G1031" s="85"/>
    </row>
    <row r="1032" spans="4:7" ht="13.5">
      <c r="D1032" s="11"/>
      <c r="E1032" s="86"/>
      <c r="F1032" s="85"/>
      <c r="G1032" s="85"/>
    </row>
    <row r="1033" spans="4:7" ht="13.5">
      <c r="D1033" s="11"/>
      <c r="E1033" s="86"/>
      <c r="F1033" s="85"/>
      <c r="G1033" s="85"/>
    </row>
    <row r="1034" spans="4:7" ht="13.5">
      <c r="D1034" s="11"/>
      <c r="E1034" s="86"/>
      <c r="F1034" s="85"/>
      <c r="G1034" s="85"/>
    </row>
    <row r="1035" spans="4:7" ht="13.5">
      <c r="D1035" s="11"/>
      <c r="E1035" s="86"/>
      <c r="F1035" s="85"/>
      <c r="G1035" s="85"/>
    </row>
    <row r="1036" spans="4:7" ht="13.5">
      <c r="D1036" s="11"/>
      <c r="E1036" s="86"/>
      <c r="F1036" s="85"/>
      <c r="G1036" s="85"/>
    </row>
    <row r="1037" spans="4:7" ht="13.5">
      <c r="D1037" s="11"/>
      <c r="E1037" s="86"/>
      <c r="F1037" s="85"/>
      <c r="G1037" s="85"/>
    </row>
    <row r="1038" spans="4:7" ht="13.5">
      <c r="D1038" s="11"/>
      <c r="E1038" s="86"/>
      <c r="F1038" s="85"/>
      <c r="G1038" s="85"/>
    </row>
    <row r="1039" spans="4:7" ht="13.5">
      <c r="D1039" s="11"/>
      <c r="E1039" s="86"/>
      <c r="F1039" s="85"/>
      <c r="G1039" s="85"/>
    </row>
    <row r="1040" spans="4:7" ht="13.5">
      <c r="D1040" s="11"/>
      <c r="E1040" s="86"/>
      <c r="F1040" s="85"/>
      <c r="G1040" s="85"/>
    </row>
    <row r="1041" spans="4:7" ht="13.5">
      <c r="D1041" s="11"/>
      <c r="E1041" s="86"/>
      <c r="F1041" s="85"/>
      <c r="G1041" s="85"/>
    </row>
    <row r="1042" spans="4:7" ht="13.5">
      <c r="D1042" s="11"/>
      <c r="E1042" s="86"/>
      <c r="F1042" s="85"/>
      <c r="G1042" s="85"/>
    </row>
    <row r="1043" spans="4:7" ht="13.5">
      <c r="D1043" s="11"/>
      <c r="E1043" s="86"/>
      <c r="F1043" s="85"/>
      <c r="G1043" s="85"/>
    </row>
    <row r="1044" spans="4:7" ht="13.5">
      <c r="D1044" s="11"/>
      <c r="E1044" s="86"/>
      <c r="F1044" s="85"/>
      <c r="G1044" s="85"/>
    </row>
    <row r="1045" spans="4:7" ht="13.5">
      <c r="D1045" s="11"/>
      <c r="E1045" s="86"/>
      <c r="F1045" s="85"/>
      <c r="G1045" s="85"/>
    </row>
    <row r="1046" spans="4:7" ht="13.5">
      <c r="D1046" s="11"/>
      <c r="E1046" s="86"/>
      <c r="F1046" s="85"/>
      <c r="G1046" s="85"/>
    </row>
    <row r="1047" spans="4:7" ht="13.5">
      <c r="D1047" s="11"/>
      <c r="E1047" s="86"/>
      <c r="F1047" s="85"/>
      <c r="G1047" s="85"/>
    </row>
    <row r="1048" spans="4:7" ht="13.5">
      <c r="D1048" s="11"/>
      <c r="E1048" s="86"/>
      <c r="F1048" s="85"/>
      <c r="G1048" s="85"/>
    </row>
    <row r="1049" spans="4:7" ht="13.5">
      <c r="D1049" s="11"/>
      <c r="E1049" s="86"/>
      <c r="F1049" s="85"/>
      <c r="G1049" s="85"/>
    </row>
    <row r="1050" spans="4:7" ht="13.5">
      <c r="D1050" s="11"/>
      <c r="E1050" s="86"/>
      <c r="F1050" s="85"/>
      <c r="G1050" s="85"/>
    </row>
    <row r="1051" spans="4:7" ht="13.5">
      <c r="D1051" s="11"/>
      <c r="E1051" s="86"/>
      <c r="F1051" s="85"/>
      <c r="G1051" s="85"/>
    </row>
    <row r="1052" spans="4:7" ht="13.5">
      <c r="D1052" s="11"/>
      <c r="E1052" s="86"/>
      <c r="F1052" s="85"/>
      <c r="G1052" s="85"/>
    </row>
    <row r="1053" spans="4:7" ht="13.5">
      <c r="D1053" s="11"/>
      <c r="E1053" s="86"/>
      <c r="F1053" s="85"/>
      <c r="G1053" s="85"/>
    </row>
    <row r="1054" spans="4:7" ht="13.5">
      <c r="D1054" s="11"/>
      <c r="E1054" s="86"/>
      <c r="F1054" s="85"/>
      <c r="G1054" s="85"/>
    </row>
    <row r="1055" spans="4:7" ht="13.5">
      <c r="D1055" s="11"/>
      <c r="E1055" s="86"/>
      <c r="F1055" s="85"/>
      <c r="G1055" s="85"/>
    </row>
    <row r="1056" spans="4:7" ht="13.5">
      <c r="D1056" s="11"/>
      <c r="E1056" s="86"/>
      <c r="F1056" s="85"/>
      <c r="G1056" s="85"/>
    </row>
    <row r="1057" spans="4:7" ht="13.5">
      <c r="D1057" s="11"/>
      <c r="E1057" s="86"/>
      <c r="F1057" s="85"/>
      <c r="G1057" s="85"/>
    </row>
    <row r="1058" spans="4:7" ht="13.5">
      <c r="D1058" s="11"/>
      <c r="E1058" s="86"/>
      <c r="F1058" s="85"/>
      <c r="G1058" s="85"/>
    </row>
    <row r="1059" spans="4:7" ht="13.5">
      <c r="D1059" s="11"/>
      <c r="E1059" s="86"/>
      <c r="F1059" s="85"/>
      <c r="G1059" s="85"/>
    </row>
    <row r="1060" spans="4:7" ht="13.5">
      <c r="D1060" s="11"/>
      <c r="E1060" s="86"/>
      <c r="F1060" s="85"/>
      <c r="G1060" s="85"/>
    </row>
  </sheetData>
  <mergeCells count="29">
    <mergeCell ref="BY51:BY54"/>
    <mergeCell ref="BY55:BY59"/>
    <mergeCell ref="BY65:BY66"/>
    <mergeCell ref="BY67:BY73"/>
    <mergeCell ref="BY11:BY16"/>
    <mergeCell ref="BY22:BY23"/>
    <mergeCell ref="BY26:BY27"/>
    <mergeCell ref="BY28:BY29"/>
    <mergeCell ref="BY38:BY39"/>
    <mergeCell ref="BY40:BY41"/>
    <mergeCell ref="A2:A3"/>
    <mergeCell ref="C2:C3"/>
    <mergeCell ref="D2:D3"/>
    <mergeCell ref="E2:E3"/>
    <mergeCell ref="F2:G2"/>
    <mergeCell ref="B2:B3"/>
    <mergeCell ref="BU2:BU3"/>
    <mergeCell ref="BV2:BV3"/>
    <mergeCell ref="CC2:CC3"/>
    <mergeCell ref="F1:G1"/>
    <mergeCell ref="BZ1:CA1"/>
    <mergeCell ref="AS2:AS3"/>
    <mergeCell ref="AT2:AT3"/>
    <mergeCell ref="BG2:BG3"/>
    <mergeCell ref="BH2:BH3"/>
    <mergeCell ref="BX2:BX3"/>
    <mergeCell ref="BY2:BY3"/>
    <mergeCell ref="BZ2:CA2"/>
    <mergeCell ref="CB2:CB3"/>
  </mergeCells>
  <phoneticPr fontId="54" type="noConversion"/>
  <conditionalFormatting sqref="B77">
    <cfRule type="duplicateValues" dxfId="6" priority="2"/>
  </conditionalFormatting>
  <conditionalFormatting sqref="B200">
    <cfRule type="duplicateValues" dxfId="5" priority="1"/>
  </conditionalFormatting>
  <printOptions horizontalCentered="1" gridLines="1"/>
  <pageMargins left="0.7" right="0.7" top="0.75" bottom="0.75" header="0" footer="0"/>
  <pageSetup paperSize="9" scale="32" fitToHeight="0" pageOrder="overThenDown" orientation="landscape" cellComments="atEnd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outlinePr summaryBelow="0" summaryRight="0"/>
    <pageSetUpPr fitToPage="1"/>
  </sheetPr>
  <dimension ref="A1:CE986"/>
  <sheetViews>
    <sheetView zoomScale="90" zoomScaleNormal="90" workbookViewId="0">
      <pane xSplit="7" ySplit="3" topLeftCell="AZ4" activePane="bottomRight" state="frozen"/>
      <selection pane="topRight" activeCell="J1" sqref="J1"/>
      <selection pane="bottomLeft" activeCell="A4" sqref="A4"/>
      <selection pane="bottomRight" activeCell="F16" sqref="F16"/>
    </sheetView>
  </sheetViews>
  <sheetFormatPr defaultColWidth="12.5703125" defaultRowHeight="15.75" customHeight="1" outlineLevelCol="1"/>
  <cols>
    <col min="1" max="1" width="9.5703125" customWidth="1"/>
    <col min="2" max="2" width="11" customWidth="1"/>
    <col min="3" max="3" width="45.7109375" style="98" customWidth="1"/>
    <col min="4" max="4" width="10.28515625" bestFit="1" customWidth="1"/>
    <col min="5" max="5" width="11.5703125" bestFit="1" customWidth="1"/>
    <col min="6" max="6" width="13.42578125" customWidth="1"/>
    <col min="7" max="7" width="11.85546875" hidden="1" customWidth="1" collapsed="1"/>
    <col min="8" max="44" width="12.5703125" hidden="1" outlineLevel="1"/>
    <col min="45" max="46" width="12.5703125" hidden="1"/>
    <col min="47" max="49" width="8.28515625" hidden="1" customWidth="1"/>
    <col min="50" max="50" width="8.7109375" hidden="1" customWidth="1"/>
    <col min="51" max="51" width="9.42578125" hidden="1" customWidth="1"/>
    <col min="52" max="52" width="11.140625" customWidth="1"/>
    <col min="53" max="53" width="10.5703125" customWidth="1"/>
    <col min="54" max="54" width="9.85546875" customWidth="1"/>
    <col min="55" max="55" width="11.7109375" customWidth="1"/>
    <col min="56" max="58" width="12.140625" customWidth="1"/>
    <col min="59" max="60" width="11.42578125" customWidth="1"/>
    <col min="61" max="64" width="12.140625" customWidth="1"/>
    <col min="65" max="65" width="12.140625" customWidth="1" collapsed="1"/>
    <col min="66" max="72" width="12.140625" hidden="1" customWidth="1" outlineLevel="1"/>
    <col min="73" max="75" width="12.140625" customWidth="1"/>
    <col min="76" max="76" width="10.140625" style="110" customWidth="1"/>
    <col min="77" max="77" width="13.85546875" hidden="1" customWidth="1"/>
    <col min="78" max="79" width="15" customWidth="1"/>
    <col min="80" max="80" width="38.140625" customWidth="1"/>
    <col min="82" max="83" width="9.28515625" customWidth="1"/>
  </cols>
  <sheetData>
    <row r="1" spans="1:83" ht="17.25">
      <c r="A1" s="87" t="s">
        <v>0</v>
      </c>
      <c r="B1" s="87"/>
      <c r="C1" s="97"/>
      <c r="D1" s="1"/>
      <c r="E1" s="2"/>
      <c r="F1" s="452"/>
      <c r="G1" s="45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5"/>
      <c r="AR1" s="5"/>
      <c r="AS1" s="6"/>
      <c r="AT1" s="6"/>
      <c r="AU1" s="5"/>
      <c r="AV1" s="5"/>
      <c r="AW1" s="7"/>
      <c r="AX1" s="8" t="s">
        <v>1</v>
      </c>
      <c r="AY1" s="9"/>
      <c r="AZ1" s="10"/>
      <c r="BD1" s="6"/>
      <c r="BE1" s="6"/>
      <c r="BF1" s="6"/>
      <c r="BG1" s="6"/>
      <c r="BH1" s="6"/>
      <c r="BI1" s="12" t="s">
        <v>374</v>
      </c>
      <c r="BU1" s="6"/>
      <c r="BV1" s="6"/>
      <c r="BW1" s="6"/>
      <c r="BX1" s="99"/>
      <c r="BY1" s="3"/>
      <c r="BZ1" s="452"/>
      <c r="CA1" s="453"/>
      <c r="CB1" s="13"/>
      <c r="CC1" s="13"/>
      <c r="CD1" s="14"/>
      <c r="CE1" s="14"/>
    </row>
    <row r="2" spans="1:83" s="92" customFormat="1" ht="33" customHeight="1">
      <c r="A2" s="460" t="s">
        <v>2</v>
      </c>
      <c r="B2" s="461"/>
      <c r="C2" s="461" t="s">
        <v>3</v>
      </c>
      <c r="D2" s="461" t="s">
        <v>4</v>
      </c>
      <c r="E2" s="463" t="s">
        <v>5</v>
      </c>
      <c r="F2" s="448">
        <f>站前4樓!F2</f>
        <v>46173</v>
      </c>
      <c r="G2" s="459"/>
      <c r="H2" s="88">
        <v>44531</v>
      </c>
      <c r="I2" s="88">
        <v>44562</v>
      </c>
      <c r="J2" s="88">
        <v>44593</v>
      </c>
      <c r="K2" s="88">
        <v>44621</v>
      </c>
      <c r="L2" s="88">
        <v>44652</v>
      </c>
      <c r="M2" s="88">
        <v>44682</v>
      </c>
      <c r="N2" s="88">
        <v>44713</v>
      </c>
      <c r="O2" s="88">
        <v>44743</v>
      </c>
      <c r="P2" s="88">
        <v>44774</v>
      </c>
      <c r="Q2" s="88">
        <v>44805</v>
      </c>
      <c r="R2" s="88">
        <v>44835</v>
      </c>
      <c r="S2" s="88">
        <v>44866</v>
      </c>
      <c r="T2" s="88">
        <v>44896</v>
      </c>
      <c r="U2" s="88">
        <v>44927</v>
      </c>
      <c r="V2" s="88">
        <v>44958</v>
      </c>
      <c r="W2" s="88">
        <v>44986</v>
      </c>
      <c r="X2" s="88">
        <v>45017</v>
      </c>
      <c r="Y2" s="88">
        <v>45047</v>
      </c>
      <c r="Z2" s="88">
        <v>45078</v>
      </c>
      <c r="AA2" s="88">
        <v>45108</v>
      </c>
      <c r="AB2" s="88">
        <v>45139</v>
      </c>
      <c r="AC2" s="88">
        <v>45170</v>
      </c>
      <c r="AD2" s="88">
        <v>45200</v>
      </c>
      <c r="AE2" s="88">
        <v>45231</v>
      </c>
      <c r="AF2" s="88">
        <v>45261</v>
      </c>
      <c r="AG2" s="88">
        <v>45292</v>
      </c>
      <c r="AH2" s="88">
        <v>45323</v>
      </c>
      <c r="AI2" s="88">
        <v>45352</v>
      </c>
      <c r="AJ2" s="88">
        <v>45383</v>
      </c>
      <c r="AK2" s="88">
        <v>45413</v>
      </c>
      <c r="AL2" s="88">
        <v>45444</v>
      </c>
      <c r="AM2" s="88">
        <v>45474</v>
      </c>
      <c r="AN2" s="88">
        <v>45505</v>
      </c>
      <c r="AO2" s="88">
        <v>45536</v>
      </c>
      <c r="AP2" s="89">
        <v>45566</v>
      </c>
      <c r="AQ2" s="89">
        <v>45597</v>
      </c>
      <c r="AR2" s="89">
        <v>45627</v>
      </c>
      <c r="AS2" s="476" t="s">
        <v>6</v>
      </c>
      <c r="AT2" s="476" t="s">
        <v>7</v>
      </c>
      <c r="AU2" s="90">
        <v>45658</v>
      </c>
      <c r="AV2" s="90">
        <v>45689</v>
      </c>
      <c r="AW2" s="90">
        <v>45717</v>
      </c>
      <c r="AX2" s="90">
        <v>45748</v>
      </c>
      <c r="AY2" s="90">
        <v>45778</v>
      </c>
      <c r="AZ2" s="115" t="s">
        <v>456</v>
      </c>
      <c r="BA2" s="115" t="s">
        <v>455</v>
      </c>
      <c r="BB2" s="115" t="s">
        <v>453</v>
      </c>
      <c r="BC2" s="115" t="s">
        <v>454</v>
      </c>
      <c r="BD2" s="115" t="s">
        <v>457</v>
      </c>
      <c r="BE2" s="115" t="s">
        <v>458</v>
      </c>
      <c r="BF2" s="115" t="s">
        <v>459</v>
      </c>
      <c r="BG2" s="445" t="s">
        <v>228</v>
      </c>
      <c r="BH2" s="445" t="s">
        <v>229</v>
      </c>
      <c r="BI2" s="115" t="s">
        <v>673</v>
      </c>
      <c r="BJ2" s="115" t="s">
        <v>853</v>
      </c>
      <c r="BK2" s="115" t="s">
        <v>855</v>
      </c>
      <c r="BL2" s="115" t="s">
        <v>857</v>
      </c>
      <c r="BM2" s="115" t="s">
        <v>866</v>
      </c>
      <c r="BN2" s="115" t="s">
        <v>867</v>
      </c>
      <c r="BO2" s="115" t="s">
        <v>868</v>
      </c>
      <c r="BP2" s="115" t="s">
        <v>869</v>
      </c>
      <c r="BQ2" s="115" t="s">
        <v>870</v>
      </c>
      <c r="BR2" s="115" t="s">
        <v>871</v>
      </c>
      <c r="BS2" s="115" t="s">
        <v>872</v>
      </c>
      <c r="BT2" s="115" t="s">
        <v>873</v>
      </c>
      <c r="BU2" s="445" t="s">
        <v>859</v>
      </c>
      <c r="BV2" s="445" t="s">
        <v>860</v>
      </c>
      <c r="BW2" s="115" t="s">
        <v>949</v>
      </c>
      <c r="BX2" s="455" t="s">
        <v>8</v>
      </c>
      <c r="BY2" s="457" t="s">
        <v>9</v>
      </c>
      <c r="BZ2" s="458" t="s">
        <v>10</v>
      </c>
      <c r="CA2" s="459"/>
      <c r="CB2" s="450" t="s">
        <v>11</v>
      </c>
      <c r="CC2" s="450"/>
      <c r="CD2" s="91"/>
      <c r="CE2" s="91"/>
    </row>
    <row r="3" spans="1:83" s="92" customFormat="1" ht="33">
      <c r="A3" s="451"/>
      <c r="B3" s="462"/>
      <c r="C3" s="462"/>
      <c r="D3" s="451"/>
      <c r="E3" s="451"/>
      <c r="F3" s="189" t="s">
        <v>744</v>
      </c>
      <c r="G3" s="93" t="s">
        <v>227</v>
      </c>
      <c r="H3" s="94" t="s">
        <v>12</v>
      </c>
      <c r="I3" s="94" t="s">
        <v>12</v>
      </c>
      <c r="J3" s="94" t="s">
        <v>12</v>
      </c>
      <c r="K3" s="94" t="s">
        <v>12</v>
      </c>
      <c r="L3" s="94" t="s">
        <v>12</v>
      </c>
      <c r="M3" s="94" t="s">
        <v>12</v>
      </c>
      <c r="N3" s="94" t="s">
        <v>12</v>
      </c>
      <c r="O3" s="94" t="s">
        <v>12</v>
      </c>
      <c r="P3" s="94" t="s">
        <v>12</v>
      </c>
      <c r="Q3" s="94" t="s">
        <v>12</v>
      </c>
      <c r="R3" s="94" t="s">
        <v>12</v>
      </c>
      <c r="S3" s="94" t="s">
        <v>12</v>
      </c>
      <c r="T3" s="94" t="s">
        <v>12</v>
      </c>
      <c r="U3" s="94" t="s">
        <v>12</v>
      </c>
      <c r="V3" s="94" t="s">
        <v>12</v>
      </c>
      <c r="W3" s="94" t="s">
        <v>12</v>
      </c>
      <c r="X3" s="94" t="s">
        <v>12</v>
      </c>
      <c r="Y3" s="94" t="s">
        <v>12</v>
      </c>
      <c r="Z3" s="94" t="s">
        <v>12</v>
      </c>
      <c r="AA3" s="94" t="s">
        <v>12</v>
      </c>
      <c r="AB3" s="94" t="s">
        <v>12</v>
      </c>
      <c r="AC3" s="94" t="s">
        <v>12</v>
      </c>
      <c r="AD3" s="94" t="s">
        <v>12</v>
      </c>
      <c r="AE3" s="94" t="s">
        <v>12</v>
      </c>
      <c r="AF3" s="94" t="s">
        <v>12</v>
      </c>
      <c r="AG3" s="94" t="s">
        <v>12</v>
      </c>
      <c r="AH3" s="94" t="s">
        <v>12</v>
      </c>
      <c r="AI3" s="94" t="s">
        <v>12</v>
      </c>
      <c r="AJ3" s="94" t="s">
        <v>12</v>
      </c>
      <c r="AK3" s="94" t="s">
        <v>12</v>
      </c>
      <c r="AL3" s="94" t="s">
        <v>12</v>
      </c>
      <c r="AM3" s="94" t="s">
        <v>12</v>
      </c>
      <c r="AN3" s="94" t="s">
        <v>12</v>
      </c>
      <c r="AO3" s="94" t="s">
        <v>12</v>
      </c>
      <c r="AP3" s="94" t="s">
        <v>12</v>
      </c>
      <c r="AQ3" s="94" t="s">
        <v>12</v>
      </c>
      <c r="AR3" s="94" t="s">
        <v>12</v>
      </c>
      <c r="AS3" s="451"/>
      <c r="AT3" s="451"/>
      <c r="AU3" s="95" t="s">
        <v>12</v>
      </c>
      <c r="AV3" s="95" t="s">
        <v>12</v>
      </c>
      <c r="AW3" s="95" t="s">
        <v>12</v>
      </c>
      <c r="AX3" s="95" t="s">
        <v>12</v>
      </c>
      <c r="AY3" s="95" t="s">
        <v>12</v>
      </c>
      <c r="AZ3" s="95" t="s">
        <v>12</v>
      </c>
      <c r="BA3" s="95" t="s">
        <v>12</v>
      </c>
      <c r="BB3" s="95" t="s">
        <v>12</v>
      </c>
      <c r="BC3" s="95" t="s">
        <v>12</v>
      </c>
      <c r="BD3" s="95" t="s">
        <v>12</v>
      </c>
      <c r="BE3" s="95" t="s">
        <v>12</v>
      </c>
      <c r="BF3" s="95" t="s">
        <v>12</v>
      </c>
      <c r="BG3" s="451"/>
      <c r="BH3" s="451"/>
      <c r="BI3" s="95" t="s">
        <v>12</v>
      </c>
      <c r="BJ3" s="95" t="s">
        <v>12</v>
      </c>
      <c r="BK3" s="95" t="s">
        <v>12</v>
      </c>
      <c r="BL3" s="95" t="s">
        <v>12</v>
      </c>
      <c r="BM3" s="95" t="s">
        <v>12</v>
      </c>
      <c r="BN3" s="95" t="s">
        <v>12</v>
      </c>
      <c r="BO3" s="95" t="s">
        <v>12</v>
      </c>
      <c r="BP3" s="95" t="s">
        <v>12</v>
      </c>
      <c r="BQ3" s="95" t="s">
        <v>12</v>
      </c>
      <c r="BR3" s="95" t="s">
        <v>12</v>
      </c>
      <c r="BS3" s="95" t="s">
        <v>12</v>
      </c>
      <c r="BT3" s="95" t="s">
        <v>12</v>
      </c>
      <c r="BU3" s="446"/>
      <c r="BV3" s="446"/>
      <c r="BW3" s="403" t="s">
        <v>13</v>
      </c>
      <c r="BX3" s="456"/>
      <c r="BY3" s="451"/>
      <c r="BZ3" s="113" t="s">
        <v>230</v>
      </c>
      <c r="CA3" s="113" t="s">
        <v>231</v>
      </c>
      <c r="CB3" s="451"/>
      <c r="CC3" s="451"/>
      <c r="CD3" s="91"/>
      <c r="CE3" s="91"/>
    </row>
    <row r="4" spans="1:83" ht="15.75" customHeight="1">
      <c r="A4" s="27" t="s">
        <v>101</v>
      </c>
      <c r="B4" s="14">
        <v>6200004</v>
      </c>
      <c r="C4" s="118" t="s">
        <v>618</v>
      </c>
      <c r="D4" s="16">
        <v>50</v>
      </c>
      <c r="E4" s="17" t="s">
        <v>102</v>
      </c>
      <c r="F4" s="18">
        <v>1339</v>
      </c>
      <c r="G4" s="44"/>
      <c r="H4" s="55">
        <v>0</v>
      </c>
      <c r="I4" s="55">
        <v>0</v>
      </c>
      <c r="J4" s="55">
        <v>0</v>
      </c>
      <c r="K4" s="55">
        <v>0.84</v>
      </c>
      <c r="L4" s="55">
        <v>1.18</v>
      </c>
      <c r="M4" s="55">
        <v>0.94</v>
      </c>
      <c r="N4" s="55">
        <v>1.44</v>
      </c>
      <c r="O4" s="55">
        <v>1.24</v>
      </c>
      <c r="P4" s="55">
        <v>1.52</v>
      </c>
      <c r="Q4" s="55">
        <v>0.66</v>
      </c>
      <c r="R4" s="55">
        <v>1.66</v>
      </c>
      <c r="S4" s="55">
        <v>1.2</v>
      </c>
      <c r="T4" s="55">
        <v>1.1000000000000001</v>
      </c>
      <c r="U4" s="55">
        <v>1.06</v>
      </c>
      <c r="V4" s="55">
        <v>0.84</v>
      </c>
      <c r="W4" s="55">
        <v>1.76</v>
      </c>
      <c r="X4" s="55">
        <v>2</v>
      </c>
      <c r="Y4" s="55">
        <v>3.06</v>
      </c>
      <c r="Z4" s="55">
        <v>2.46</v>
      </c>
      <c r="AA4" s="55">
        <v>3.08</v>
      </c>
      <c r="AB4" s="55">
        <v>3.38</v>
      </c>
      <c r="AC4" s="55">
        <v>3.04</v>
      </c>
      <c r="AD4" s="55">
        <v>2.34</v>
      </c>
      <c r="AE4" s="55">
        <v>2.3199999999999998</v>
      </c>
      <c r="AF4" s="55">
        <v>2.1800000000000002</v>
      </c>
      <c r="AG4" s="19">
        <v>2.2400000000000002</v>
      </c>
      <c r="AH4" s="19">
        <v>1.5</v>
      </c>
      <c r="AI4" s="19">
        <v>2.04</v>
      </c>
      <c r="AJ4" s="19">
        <v>3.1</v>
      </c>
      <c r="AK4" s="19">
        <v>4.74</v>
      </c>
      <c r="AL4" s="19">
        <v>4.24</v>
      </c>
      <c r="AM4" s="19">
        <v>8.32</v>
      </c>
      <c r="AN4" s="19">
        <v>10.7</v>
      </c>
      <c r="AO4" s="56">
        <v>5.74</v>
      </c>
      <c r="AP4" s="19">
        <v>15.42</v>
      </c>
      <c r="AQ4" s="21"/>
      <c r="AR4" s="20">
        <f>842/D4</f>
        <v>16.84</v>
      </c>
      <c r="AS4" s="21">
        <f>SUM(AG4:AR4)</f>
        <v>74.88</v>
      </c>
      <c r="AT4" s="22">
        <f>AS4/12</f>
        <v>6.2399999999999993</v>
      </c>
      <c r="AU4" s="20">
        <v>1105</v>
      </c>
      <c r="AV4" s="20">
        <v>1682</v>
      </c>
      <c r="AW4" s="20">
        <v>2156</v>
      </c>
      <c r="AX4" s="20">
        <v>2205</v>
      </c>
      <c r="AY4" s="20">
        <v>2266</v>
      </c>
      <c r="AZ4" s="20">
        <f>SUMIFS(領用表!$L:$L,領用表!$E:$E,$B4,領用表!$B:$B,AZ$2&amp;$BI$1)</f>
        <v>2010</v>
      </c>
      <c r="BA4" s="20">
        <f>SUMIFS(領用表!$L:$L,領用表!$E:$E,$B4,領用表!$B:$B,BA$2&amp;$BI$1)</f>
        <v>1382</v>
      </c>
      <c r="BB4" s="20">
        <f>SUMIFS(領用表!$L:$L,領用表!$E:$E,$B4,領用表!$B:$B,BB$2&amp;$BI$1)</f>
        <v>1188</v>
      </c>
      <c r="BC4" s="20">
        <f>SUMIFS(領用表!$L:$L,領用表!$E:$E,$B4,領用表!$B:$B,BC$2&amp;$BI$1)</f>
        <v>1349</v>
      </c>
      <c r="BD4" s="142">
        <f>SUMIFS(領用表!$L:$L,領用表!$E:$E,$B4,領用表!$B:$B,BD$2&amp;$BI$1)</f>
        <v>1446</v>
      </c>
      <c r="BE4" s="142">
        <f>SUMIFS(領用表!$L:$L,領用表!$E:$E,$B4,領用表!$B:$B,BE$2&amp;$BI$1)</f>
        <v>1475</v>
      </c>
      <c r="BF4" s="142">
        <f>SUMIFS(領用表!$L:$L,領用表!$E:$E,$B4,領用表!$B:$B,BF$2&amp;$BI$1)</f>
        <v>1390</v>
      </c>
      <c r="BG4" s="23">
        <f t="shared" ref="BG4:BG36" si="0">SUM(AU4,AV4,AW4,AX4,AY4,AZ4,BA4,BB4,BC4,BD4,BE4,BF4)</f>
        <v>19654</v>
      </c>
      <c r="BH4" s="23">
        <f t="shared" ref="BH4:BH36" si="1">AVERAGE(AU4,AV4,AW4,AX4,AY4,AZ4,BA4,BB4,BC4,BD4,BE4,BF4)</f>
        <v>1637.8333333333333</v>
      </c>
      <c r="BI4" s="142">
        <f>SUMIFS(領用表!$L:$L,領用表!$E:$E,$B4,領用表!$B:$B,BI$2&amp;$BI$1)</f>
        <v>1623</v>
      </c>
      <c r="BJ4" s="142">
        <f>SUMIFS(領用表!$L:$L,領用表!$E:$E,$B4,領用表!$B:$B,BJ$2&amp;$BI$1)</f>
        <v>1583</v>
      </c>
      <c r="BK4" s="142">
        <f>SUMIFS(領用表!$L:$L,領用表!$E:$E,$B4,領用表!$B:$B,BK$2&amp;$BI$1)</f>
        <v>2600</v>
      </c>
      <c r="BL4" s="142">
        <f>SUMIFS(領用表!$L:$L,領用表!$E:$E,$B4,領用表!$B:$B,BL$2&amp;$BI$1)</f>
        <v>2976</v>
      </c>
      <c r="BM4" s="142">
        <f>SUMIFS(領用表!$L:$L,領用表!$E:$E,$B4,領用表!$B:$B,BM$2&amp;$BI$1)</f>
        <v>3043</v>
      </c>
      <c r="BN4" s="142">
        <f>SUMIFS(領用表!$L:$L,領用表!$E:$E,$B4,領用表!$B:$B,BN$2&amp;$BI$1)</f>
        <v>0</v>
      </c>
      <c r="BO4" s="142">
        <f>SUMIFS(領用表!$L:$L,領用表!$E:$E,$B4,領用表!$B:$B,BO$2&amp;$BI$1)</f>
        <v>0</v>
      </c>
      <c r="BP4" s="142">
        <f>SUMIFS(領用表!$L:$L,領用表!$E:$E,$B4,領用表!$B:$B,BP$2&amp;$BI$1)</f>
        <v>0</v>
      </c>
      <c r="BQ4" s="142">
        <f>SUMIFS(領用表!$L:$L,領用表!$E:$E,$B4,領用表!$B:$B,BQ$2&amp;$BI$1)</f>
        <v>0</v>
      </c>
      <c r="BR4" s="142">
        <f>SUMIFS(領用表!$L:$L,領用表!$E:$E,$B4,領用表!$B:$B,BR$2&amp;$BI$1)</f>
        <v>0</v>
      </c>
      <c r="BS4" s="142">
        <f>SUMIFS(領用表!$L:$L,領用表!$E:$E,$B4,領用表!$B:$B,BS$2&amp;$BI$1)</f>
        <v>0</v>
      </c>
      <c r="BT4" s="142">
        <f>SUMIFS(領用表!$L:$L,領用表!$E:$E,$B4,領用表!$B:$B,BT$2&amp;$BI$1)</f>
        <v>0</v>
      </c>
      <c r="BU4" s="208">
        <f>SUM(BI4,BJ4,BK4,BL4,BM4)</f>
        <v>11825</v>
      </c>
      <c r="BV4" s="208">
        <f>AVERAGE(BI4,BJ4,BK4,BL4,BM4)</f>
        <v>2365</v>
      </c>
      <c r="BW4" s="142">
        <f>SUMIF(Summary!B:B,B4,Summary!DU:DU)</f>
        <v>1920</v>
      </c>
      <c r="BX4" s="101"/>
      <c r="BY4" s="24" t="s">
        <v>103</v>
      </c>
      <c r="BZ4" s="57" t="s">
        <v>104</v>
      </c>
      <c r="CA4" s="57" t="s">
        <v>105</v>
      </c>
      <c r="CB4" s="27"/>
      <c r="CC4" s="28"/>
      <c r="CD4" s="14"/>
      <c r="CE4" s="29"/>
    </row>
    <row r="5" spans="1:83" ht="15.75" customHeight="1">
      <c r="A5" s="27" t="s">
        <v>106</v>
      </c>
      <c r="B5" s="14">
        <v>6190005</v>
      </c>
      <c r="C5" s="118" t="s">
        <v>619</v>
      </c>
      <c r="D5" s="16">
        <v>50</v>
      </c>
      <c r="E5" s="17" t="s">
        <v>63</v>
      </c>
      <c r="F5" s="18">
        <v>102</v>
      </c>
      <c r="G5" s="18"/>
      <c r="H5" s="55">
        <v>0</v>
      </c>
      <c r="I5" s="55">
        <v>0</v>
      </c>
      <c r="J5" s="55">
        <v>0</v>
      </c>
      <c r="K5" s="55">
        <v>0.02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0.42</v>
      </c>
      <c r="AC5" s="55">
        <v>0.36</v>
      </c>
      <c r="AD5" s="55">
        <v>0.62</v>
      </c>
      <c r="AE5" s="55">
        <v>0.32</v>
      </c>
      <c r="AF5" s="55">
        <v>0.22</v>
      </c>
      <c r="AG5" s="19">
        <v>0.14000000000000001</v>
      </c>
      <c r="AH5" s="19">
        <v>0.14000000000000001</v>
      </c>
      <c r="AI5" s="19">
        <v>0.02</v>
      </c>
      <c r="AJ5" s="19">
        <v>0.76</v>
      </c>
      <c r="AK5" s="19">
        <v>0.46</v>
      </c>
      <c r="AL5" s="19">
        <v>0.12</v>
      </c>
      <c r="AM5" s="19">
        <v>0.08</v>
      </c>
      <c r="AN5" s="19">
        <v>1.34</v>
      </c>
      <c r="AO5" s="19">
        <v>1.62</v>
      </c>
      <c r="AP5" s="19">
        <v>1.34</v>
      </c>
      <c r="AQ5" s="19">
        <v>2.6</v>
      </c>
      <c r="AR5" s="20">
        <f>173/D5</f>
        <v>3.46</v>
      </c>
      <c r="AS5" s="21">
        <f>SUM(AG5:AR5)</f>
        <v>12.080000000000002</v>
      </c>
      <c r="AT5" s="22">
        <f>AS5/12</f>
        <v>1.0066666666666668</v>
      </c>
      <c r="AU5" s="20">
        <v>85</v>
      </c>
      <c r="AV5" s="20">
        <v>54</v>
      </c>
      <c r="AW5" s="20">
        <v>31</v>
      </c>
      <c r="AX5" s="30">
        <v>80</v>
      </c>
      <c r="AY5" s="20">
        <v>62</v>
      </c>
      <c r="AZ5" s="20">
        <f>SUMIFS(領用表!$L:$L,領用表!$E:$E,$B5,領用表!$B:$B,AZ$2&amp;$BI$1)</f>
        <v>64</v>
      </c>
      <c r="BA5" s="20">
        <f>SUMIFS(領用表!$L:$L,領用表!$E:$E,$B5,領用表!$B:$B,BA$2&amp;$BI$1)</f>
        <v>48</v>
      </c>
      <c r="BB5" s="20">
        <f>SUMIFS(領用表!$L:$L,領用表!$E:$E,$B5,領用表!$B:$B,BB$2&amp;$BI$1)</f>
        <v>63</v>
      </c>
      <c r="BC5" s="20">
        <f>SUMIFS(領用表!$L:$L,領用表!$E:$E,$B5,領用表!$B:$B,BC$2&amp;$BI$1)</f>
        <v>65</v>
      </c>
      <c r="BD5" s="142">
        <f>SUMIFS(領用表!$L:$L,領用表!$E:$E,$B5,領用表!$B:$B,BD$2&amp;$BI$1)</f>
        <v>42</v>
      </c>
      <c r="BE5" s="142">
        <f>SUMIFS(領用表!$L:$L,領用表!$E:$E,$B5,領用表!$B:$B,BE$2&amp;$BI$1)</f>
        <v>43</v>
      </c>
      <c r="BF5" s="142">
        <f>SUMIFS(領用表!$L:$L,領用表!$E:$E,$B5,領用表!$B:$B,BF$2&amp;$BI$1)</f>
        <v>20</v>
      </c>
      <c r="BG5" s="23">
        <f t="shared" si="0"/>
        <v>657</v>
      </c>
      <c r="BH5" s="23">
        <f t="shared" si="1"/>
        <v>54.75</v>
      </c>
      <c r="BI5" s="142">
        <f>SUMIFS(領用表!$L:$L,領用表!$E:$E,$B5,領用表!$B:$B,BI$2&amp;$BI$1)</f>
        <v>39</v>
      </c>
      <c r="BJ5" s="142">
        <f>SUMIFS(領用表!$L:$L,領用表!$E:$E,$B5,領用表!$B:$B,BJ$2&amp;$BI$1)</f>
        <v>19</v>
      </c>
      <c r="BK5" s="142">
        <f>SUMIFS(領用表!$L:$L,領用表!$E:$E,$B5,領用表!$B:$B,BK$2&amp;$BI$1)</f>
        <v>43</v>
      </c>
      <c r="BL5" s="142">
        <f>SUMIFS(領用表!$L:$L,領用表!$E:$E,$B5,領用表!$B:$B,BL$2&amp;$BI$1)</f>
        <v>55</v>
      </c>
      <c r="BM5" s="142">
        <f>SUMIFS(領用表!$L:$L,領用表!$E:$E,$B5,領用表!$B:$B,BM$2&amp;$BI$1)</f>
        <v>69</v>
      </c>
      <c r="BN5" s="142">
        <f>SUMIFS(領用表!$L:$L,領用表!$E:$E,$B5,領用表!$B:$B,BN$2&amp;$BI$1)</f>
        <v>0</v>
      </c>
      <c r="BO5" s="142">
        <f>SUMIFS(領用表!$L:$L,領用表!$E:$E,$B5,領用表!$B:$B,BO$2&amp;$BI$1)</f>
        <v>0</v>
      </c>
      <c r="BP5" s="142">
        <f>SUMIFS(領用表!$L:$L,領用表!$E:$E,$B5,領用表!$B:$B,BP$2&amp;$BI$1)</f>
        <v>0</v>
      </c>
      <c r="BQ5" s="142">
        <f>SUMIFS(領用表!$L:$L,領用表!$E:$E,$B5,領用表!$B:$B,BQ$2&amp;$BI$1)</f>
        <v>0</v>
      </c>
      <c r="BR5" s="142">
        <f>SUMIFS(領用表!$L:$L,領用表!$E:$E,$B5,領用表!$B:$B,BR$2&amp;$BI$1)</f>
        <v>0</v>
      </c>
      <c r="BS5" s="142">
        <f>SUMIFS(領用表!$L:$L,領用表!$E:$E,$B5,領用表!$B:$B,BS$2&amp;$BI$1)</f>
        <v>0</v>
      </c>
      <c r="BT5" s="142">
        <f>SUMIFS(領用表!$L:$L,領用表!$E:$E,$B5,領用表!$B:$B,BT$2&amp;$BI$1)</f>
        <v>0</v>
      </c>
      <c r="BU5" s="142">
        <f>SUM(BI5,BJ5,BK5,BL5,BM5)</f>
        <v>225</v>
      </c>
      <c r="BV5" s="142">
        <f>AVERAGE(BI5,BJ5,BK5,BL5,BM5)</f>
        <v>45</v>
      </c>
      <c r="BW5" s="142">
        <f>SUMIF(Summary!B:B,B5,Summary!DU:DU)</f>
        <v>50</v>
      </c>
      <c r="BX5" s="101"/>
      <c r="BY5" s="24"/>
      <c r="BZ5" s="25"/>
      <c r="CA5" s="25"/>
      <c r="CB5" s="27"/>
      <c r="CC5" s="28"/>
      <c r="CD5" s="14"/>
      <c r="CE5" s="29"/>
    </row>
    <row r="6" spans="1:83" s="154" customFormat="1" ht="15.75" customHeight="1">
      <c r="A6" s="143"/>
      <c r="B6" s="143"/>
      <c r="C6" s="144"/>
      <c r="D6" s="145"/>
      <c r="E6" s="146"/>
      <c r="F6" s="147"/>
      <c r="G6" s="147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8"/>
      <c r="AO6" s="148"/>
      <c r="AP6" s="148"/>
      <c r="AQ6" s="143"/>
      <c r="AR6" s="143"/>
      <c r="AS6" s="143"/>
      <c r="AT6" s="143"/>
      <c r="AU6" s="143"/>
      <c r="AV6" s="143"/>
      <c r="AW6" s="143"/>
      <c r="AX6" s="143"/>
      <c r="AY6" s="143"/>
      <c r="AZ6" s="150">
        <f>SUMIFS(領用表!$L:$L,領用表!$E:$E,$B6,領用表!$B:$B,AZ$2&amp;$BI$1)</f>
        <v>0</v>
      </c>
      <c r="BA6" s="150"/>
      <c r="BB6" s="150"/>
      <c r="BC6" s="150"/>
      <c r="BD6" s="150"/>
      <c r="BE6" s="150"/>
      <c r="BF6" s="150"/>
      <c r="BG6" s="150"/>
      <c r="BH6" s="150"/>
      <c r="BI6" s="150"/>
      <c r="BJ6" s="150"/>
      <c r="BK6" s="150"/>
      <c r="BL6" s="150"/>
      <c r="BM6" s="150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1"/>
      <c r="BY6" s="143"/>
      <c r="BZ6" s="143"/>
      <c r="CA6" s="143"/>
      <c r="CB6" s="143"/>
      <c r="CC6" s="143"/>
      <c r="CD6" s="152"/>
      <c r="CE6" s="153"/>
    </row>
    <row r="7" spans="1:83" ht="15.75" customHeight="1">
      <c r="A7" s="27" t="s">
        <v>638</v>
      </c>
      <c r="B7" s="14">
        <v>6140001</v>
      </c>
      <c r="C7" s="118" t="s">
        <v>629</v>
      </c>
      <c r="D7" s="67">
        <v>100</v>
      </c>
      <c r="E7" s="17" t="s">
        <v>141</v>
      </c>
      <c r="F7" s="18"/>
      <c r="G7" s="1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19">
        <v>1299</v>
      </c>
      <c r="AH7" s="19">
        <v>412</v>
      </c>
      <c r="AI7" s="19">
        <v>1360</v>
      </c>
      <c r="AJ7" s="19">
        <v>1029</v>
      </c>
      <c r="AK7" s="19">
        <v>1039</v>
      </c>
      <c r="AL7" s="19">
        <v>856</v>
      </c>
      <c r="AM7" s="19">
        <v>1736</v>
      </c>
      <c r="AN7" s="19">
        <v>1284</v>
      </c>
      <c r="AO7" s="19">
        <v>1556</v>
      </c>
      <c r="AP7" s="19">
        <v>2374</v>
      </c>
      <c r="AQ7" s="19">
        <v>1860</v>
      </c>
      <c r="AR7" s="19">
        <v>2408</v>
      </c>
      <c r="AS7" s="68">
        <f>SUM(AG7:AR7)</f>
        <v>17213</v>
      </c>
      <c r="AT7" s="26">
        <f>AS7/12</f>
        <v>1434.4166666666667</v>
      </c>
      <c r="AU7" s="19">
        <v>1847</v>
      </c>
      <c r="AV7" s="19">
        <v>1154</v>
      </c>
      <c r="AW7" s="19">
        <v>2146</v>
      </c>
      <c r="AX7" s="19">
        <v>3235</v>
      </c>
      <c r="AY7" s="19">
        <v>3520</v>
      </c>
      <c r="AZ7" s="20">
        <f>SUMIFS(領用表!$L:$L,領用表!$E:$E,$B7,領用表!$B:$B,AZ$2&amp;$BI$1)</f>
        <v>0</v>
      </c>
      <c r="BA7" s="20">
        <f>SUMIFS(領用表!$L:$L,領用表!$E:$E,$B7,領用表!$B:$B,BA$2&amp;$BI$1)</f>
        <v>0</v>
      </c>
      <c r="BB7" s="20">
        <f>SUMIFS(領用表!$L:$L,領用表!$E:$E,$B7,領用表!$B:$B,BB$2&amp;$BI$1)</f>
        <v>0</v>
      </c>
      <c r="BC7" s="20">
        <f>SUMIFS(領用表!$L:$L,領用表!$E:$E,$B7,領用表!$B:$B,BC$2&amp;$BI$1)</f>
        <v>0</v>
      </c>
      <c r="BD7" s="142">
        <f>SUMIFS(領用表!$L:$L,領用表!$E:$E,$B7,領用表!$B:$B,BD$2&amp;$BI$1)</f>
        <v>0</v>
      </c>
      <c r="BE7" s="142">
        <f>SUMIFS(領用表!$L:$L,領用表!$E:$E,$B7,領用表!$B:$B,BE$2&amp;$BI$1)</f>
        <v>0</v>
      </c>
      <c r="BF7" s="142">
        <f>SUMIFS(領用表!$L:$L,領用表!$E:$E,$B7,領用表!$B:$B,BF$2&amp;$BI$1)</f>
        <v>0</v>
      </c>
      <c r="BG7" s="23">
        <f t="shared" si="0"/>
        <v>11902</v>
      </c>
      <c r="BH7" s="23">
        <f t="shared" si="1"/>
        <v>991.83333333333337</v>
      </c>
      <c r="BI7" s="142">
        <f>SUMIFS(領用表!$L:$L,領用表!$E:$E,$B7,領用表!$B:$B,BI$2&amp;$BI$1)</f>
        <v>0</v>
      </c>
      <c r="BJ7" s="142">
        <f>SUMIFS(領用表!$L:$L,領用表!$E:$E,$B7,領用表!$B:$B,BJ$2&amp;$BI$1)</f>
        <v>0</v>
      </c>
      <c r="BK7" s="142">
        <f>SUMIFS(領用表!$L:$L,領用表!$E:$E,$B7,領用表!$B:$B,BK$2&amp;$BI$1)</f>
        <v>0</v>
      </c>
      <c r="BL7" s="142">
        <f>SUMIFS(領用表!$L:$L,領用表!$E:$E,$B7,領用表!$B:$B,BL$2&amp;$BI$1)</f>
        <v>0</v>
      </c>
      <c r="BM7" s="142">
        <f>SUMIFS(領用表!$L:$L,領用表!$E:$E,$B7,領用表!$B:$B,BM$2&amp;$BI$1)</f>
        <v>0</v>
      </c>
      <c r="BN7" s="142">
        <f>SUMIFS(領用表!$L:$L,領用表!$E:$E,$B7,領用表!$B:$B,BN$2&amp;$BI$1)</f>
        <v>0</v>
      </c>
      <c r="BO7" s="142">
        <f>SUMIFS(領用表!$L:$L,領用表!$E:$E,$B7,領用表!$B:$B,BO$2&amp;$BI$1)</f>
        <v>0</v>
      </c>
      <c r="BP7" s="142">
        <f>SUMIFS(領用表!$L:$L,領用表!$E:$E,$B7,領用表!$B:$B,BP$2&amp;$BI$1)</f>
        <v>0</v>
      </c>
      <c r="BQ7" s="142">
        <f>SUMIFS(領用表!$L:$L,領用表!$E:$E,$B7,領用表!$B:$B,BQ$2&amp;$BI$1)</f>
        <v>0</v>
      </c>
      <c r="BR7" s="142">
        <f>SUMIFS(領用表!$L:$L,領用表!$E:$E,$B7,領用表!$B:$B,BR$2&amp;$BI$1)</f>
        <v>0</v>
      </c>
      <c r="BS7" s="142">
        <f>SUMIFS(領用表!$L:$L,領用表!$E:$E,$B7,領用表!$B:$B,BS$2&amp;$BI$1)</f>
        <v>0</v>
      </c>
      <c r="BT7" s="142">
        <f>SUMIFS(領用表!$L:$L,領用表!$E:$E,$B7,領用表!$B:$B,BT$2&amp;$BI$1)</f>
        <v>0</v>
      </c>
      <c r="BU7" s="142">
        <f t="shared" ref="BU7:BU71" si="2">SUM(BI7,BJ7,BK7,BL7,BM7)</f>
        <v>0</v>
      </c>
      <c r="BV7" s="142">
        <f t="shared" ref="BV7:BV65" si="3">AVERAGE(BI7,BJ7,BK7,BL7,BM7)</f>
        <v>0</v>
      </c>
      <c r="BW7" s="142">
        <f>SUMIF(Summary!B:B,B7,Summary!DU:DU)</f>
        <v>0</v>
      </c>
      <c r="BX7" s="108"/>
      <c r="BY7" s="65"/>
      <c r="BZ7" s="65" t="s">
        <v>142</v>
      </c>
      <c r="CA7" s="65" t="s">
        <v>143</v>
      </c>
      <c r="CB7" s="27"/>
      <c r="CC7" s="69"/>
      <c r="CD7" s="14"/>
      <c r="CE7" s="29"/>
    </row>
    <row r="8" spans="1:83" ht="15.75" customHeight="1">
      <c r="A8" s="27" t="s">
        <v>639</v>
      </c>
      <c r="B8" s="14">
        <v>6140003</v>
      </c>
      <c r="C8" s="118" t="s">
        <v>630</v>
      </c>
      <c r="D8" s="67">
        <v>200</v>
      </c>
      <c r="E8" s="17" t="s">
        <v>141</v>
      </c>
      <c r="F8" s="18"/>
      <c r="G8" s="1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19">
        <v>2152</v>
      </c>
      <c r="AH8" s="19">
        <v>1842</v>
      </c>
      <c r="AI8" s="19">
        <v>1188</v>
      </c>
      <c r="AJ8" s="19">
        <v>821</v>
      </c>
      <c r="AK8" s="19">
        <v>405</v>
      </c>
      <c r="AL8" s="19">
        <v>528</v>
      </c>
      <c r="AM8" s="19">
        <v>1232</v>
      </c>
      <c r="AN8" s="19">
        <v>1504</v>
      </c>
      <c r="AO8" s="19">
        <v>1412</v>
      </c>
      <c r="AP8" s="19">
        <f>1940+950</f>
        <v>2890</v>
      </c>
      <c r="AQ8" s="19">
        <v>3782</v>
      </c>
      <c r="AR8" s="19">
        <v>4839</v>
      </c>
      <c r="AS8" s="68">
        <f>SUM(AG8:AR8)</f>
        <v>22595</v>
      </c>
      <c r="AT8" s="26">
        <f>AS8/12</f>
        <v>1882.9166666666667</v>
      </c>
      <c r="AU8" s="19">
        <v>6565</v>
      </c>
      <c r="AV8" s="19">
        <v>5543</v>
      </c>
      <c r="AW8" s="19">
        <v>8513</v>
      </c>
      <c r="AX8" s="19">
        <v>6602</v>
      </c>
      <c r="AY8" s="19">
        <v>6922</v>
      </c>
      <c r="AZ8" s="20">
        <f>SUMIFS(領用表!$L:$L,領用表!$E:$E,$B8,領用表!$B:$B,AZ$2&amp;$BI$1)</f>
        <v>0</v>
      </c>
      <c r="BA8" s="20">
        <f>SUMIFS(領用表!$L:$L,領用表!$E:$E,$B8,領用表!$B:$B,BA$2&amp;$BI$1)</f>
        <v>0</v>
      </c>
      <c r="BB8" s="20">
        <f>SUMIFS(領用表!$L:$L,領用表!$E:$E,$B8,領用表!$B:$B,BB$2&amp;$BI$1)</f>
        <v>0</v>
      </c>
      <c r="BC8" s="20">
        <f>SUMIFS(領用表!$L:$L,領用表!$E:$E,$B8,領用表!$B:$B,BC$2&amp;$BI$1)</f>
        <v>0</v>
      </c>
      <c r="BD8" s="142">
        <f>SUMIFS(領用表!$L:$L,領用表!$E:$E,$B8,領用表!$B:$B,BD$2&amp;$BI$1)</f>
        <v>0</v>
      </c>
      <c r="BE8" s="142">
        <f>SUMIFS(領用表!$L:$L,領用表!$E:$E,$B8,領用表!$B:$B,BE$2&amp;$BI$1)</f>
        <v>0</v>
      </c>
      <c r="BF8" s="142">
        <f>SUMIFS(領用表!$L:$L,領用表!$E:$E,$B8,領用表!$B:$B,BF$2&amp;$BI$1)</f>
        <v>0</v>
      </c>
      <c r="BG8" s="23">
        <f t="shared" si="0"/>
        <v>34145</v>
      </c>
      <c r="BH8" s="23">
        <f t="shared" si="1"/>
        <v>2845.4166666666665</v>
      </c>
      <c r="BI8" s="142">
        <f>SUMIFS(領用表!$L:$L,領用表!$E:$E,$B8,領用表!$B:$B,BI$2&amp;$BI$1)</f>
        <v>10</v>
      </c>
      <c r="BJ8" s="142">
        <f>SUMIFS(領用表!$L:$L,領用表!$E:$E,$B8,領用表!$B:$B,BJ$2&amp;$BI$1)</f>
        <v>0</v>
      </c>
      <c r="BK8" s="142">
        <f>SUMIFS(領用表!$L:$L,領用表!$E:$E,$B8,領用表!$B:$B,BK$2&amp;$BI$1)</f>
        <v>0</v>
      </c>
      <c r="BL8" s="142">
        <f>SUMIFS(領用表!$L:$L,領用表!$E:$E,$B8,領用表!$B:$B,BL$2&amp;$BI$1)</f>
        <v>0</v>
      </c>
      <c r="BM8" s="142">
        <f>SUMIFS(領用表!$L:$L,領用表!$E:$E,$B8,領用表!$B:$B,BM$2&amp;$BI$1)</f>
        <v>0</v>
      </c>
      <c r="BN8" s="142">
        <f>SUMIFS(領用表!$L:$L,領用表!$E:$E,$B8,領用表!$B:$B,BN$2&amp;$BI$1)</f>
        <v>0</v>
      </c>
      <c r="BO8" s="142">
        <f>SUMIFS(領用表!$L:$L,領用表!$E:$E,$B8,領用表!$B:$B,BO$2&amp;$BI$1)</f>
        <v>0</v>
      </c>
      <c r="BP8" s="142">
        <f>SUMIFS(領用表!$L:$L,領用表!$E:$E,$B8,領用表!$B:$B,BP$2&amp;$BI$1)</f>
        <v>0</v>
      </c>
      <c r="BQ8" s="142">
        <f>SUMIFS(領用表!$L:$L,領用表!$E:$E,$B8,領用表!$B:$B,BQ$2&amp;$BI$1)</f>
        <v>0</v>
      </c>
      <c r="BR8" s="142">
        <f>SUMIFS(領用表!$L:$L,領用表!$E:$E,$B8,領用表!$B:$B,BR$2&amp;$BI$1)</f>
        <v>0</v>
      </c>
      <c r="BS8" s="142">
        <f>SUMIFS(領用表!$L:$L,領用表!$E:$E,$B8,領用表!$B:$B,BS$2&amp;$BI$1)</f>
        <v>0</v>
      </c>
      <c r="BT8" s="142">
        <f>SUMIFS(領用表!$L:$L,領用表!$E:$E,$B8,領用表!$B:$B,BT$2&amp;$BI$1)</f>
        <v>0</v>
      </c>
      <c r="BU8" s="142">
        <f t="shared" si="2"/>
        <v>10</v>
      </c>
      <c r="BV8" s="142">
        <f t="shared" si="3"/>
        <v>2</v>
      </c>
      <c r="BW8" s="142">
        <f>SUMIF(Summary!B:B,B8,Summary!DU:DU)</f>
        <v>0</v>
      </c>
      <c r="BX8" s="108"/>
      <c r="BY8" s="65"/>
      <c r="BZ8" s="65" t="s">
        <v>144</v>
      </c>
      <c r="CA8" s="65"/>
      <c r="CB8" s="27"/>
      <c r="CC8" s="69"/>
      <c r="CD8" s="14"/>
      <c r="CE8" s="29"/>
    </row>
    <row r="9" spans="1:83" ht="15.75" customHeight="1">
      <c r="A9" s="27" t="s">
        <v>640</v>
      </c>
      <c r="B9" s="14">
        <v>6140005</v>
      </c>
      <c r="C9" s="118" t="s">
        <v>631</v>
      </c>
      <c r="D9" s="67">
        <v>200</v>
      </c>
      <c r="E9" s="17" t="s">
        <v>141</v>
      </c>
      <c r="F9" s="18"/>
      <c r="G9" s="1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19">
        <v>0</v>
      </c>
      <c r="AH9" s="19">
        <v>0</v>
      </c>
      <c r="AI9" s="19">
        <v>1154</v>
      </c>
      <c r="AJ9" s="19">
        <v>2465</v>
      </c>
      <c r="AK9" s="19">
        <v>2607</v>
      </c>
      <c r="AL9" s="19">
        <v>2330</v>
      </c>
      <c r="AM9" s="19">
        <v>1488</v>
      </c>
      <c r="AN9" s="19">
        <v>6126</v>
      </c>
      <c r="AO9" s="19">
        <v>2454</v>
      </c>
      <c r="AP9" s="19">
        <v>3438</v>
      </c>
      <c r="AQ9" s="19">
        <v>3180</v>
      </c>
      <c r="AR9" s="19">
        <v>3251</v>
      </c>
      <c r="AS9" s="68">
        <f>SUM(AG9:AR9)</f>
        <v>28493</v>
      </c>
      <c r="AT9" s="26">
        <f>AS9/12</f>
        <v>2374.4166666666665</v>
      </c>
      <c r="AU9" s="19">
        <v>2150</v>
      </c>
      <c r="AV9" s="19">
        <v>2385</v>
      </c>
      <c r="AW9" s="19">
        <v>2782</v>
      </c>
      <c r="AX9" s="19">
        <v>2692</v>
      </c>
      <c r="AY9" s="19">
        <v>2952</v>
      </c>
      <c r="AZ9" s="20">
        <f>SUMIFS(領用表!$L:$L,領用表!$E:$E,$B9,領用表!$B:$B,AZ$2&amp;$BI$1)</f>
        <v>0</v>
      </c>
      <c r="BA9" s="20">
        <f>SUMIFS(領用表!$L:$L,領用表!$E:$E,$B9,領用表!$B:$B,BA$2&amp;$BI$1)</f>
        <v>0</v>
      </c>
      <c r="BB9" s="20">
        <f>SUMIFS(領用表!$L:$L,領用表!$E:$E,$B9,領用表!$B:$B,BB$2&amp;$BI$1)</f>
        <v>0</v>
      </c>
      <c r="BC9" s="20">
        <f>SUMIFS(領用表!$L:$L,領用表!$E:$E,$B9,領用表!$B:$B,BC$2&amp;$BI$1)</f>
        <v>0</v>
      </c>
      <c r="BD9" s="142">
        <f>SUMIFS(領用表!$L:$L,領用表!$E:$E,$B9,領用表!$B:$B,BD$2&amp;$BI$1)</f>
        <v>0</v>
      </c>
      <c r="BE9" s="142">
        <f>SUMIFS(領用表!$L:$L,領用表!$E:$E,$B9,領用表!$B:$B,BE$2&amp;$BI$1)</f>
        <v>0</v>
      </c>
      <c r="BF9" s="142">
        <f>SUMIFS(領用表!$L:$L,領用表!$E:$E,$B9,領用表!$B:$B,BF$2&amp;$BI$1)</f>
        <v>0</v>
      </c>
      <c r="BG9" s="23">
        <f t="shared" si="0"/>
        <v>12961</v>
      </c>
      <c r="BH9" s="23">
        <f t="shared" si="1"/>
        <v>1080.0833333333333</v>
      </c>
      <c r="BI9" s="142">
        <f>SUMIFS(領用表!$L:$L,領用表!$E:$E,$B9,領用表!$B:$B,BI$2&amp;$BI$1)</f>
        <v>0</v>
      </c>
      <c r="BJ9" s="142">
        <f>SUMIFS(領用表!$L:$L,領用表!$E:$E,$B9,領用表!$B:$B,BJ$2&amp;$BI$1)</f>
        <v>0</v>
      </c>
      <c r="BK9" s="142">
        <f>SUMIFS(領用表!$L:$L,領用表!$E:$E,$B9,領用表!$B:$B,BK$2&amp;$BI$1)</f>
        <v>0</v>
      </c>
      <c r="BL9" s="142">
        <f>SUMIFS(領用表!$L:$L,領用表!$E:$E,$B9,領用表!$B:$B,BL$2&amp;$BI$1)</f>
        <v>0</v>
      </c>
      <c r="BM9" s="142">
        <f>SUMIFS(領用表!$L:$L,領用表!$E:$E,$B9,領用表!$B:$B,BM$2&amp;$BI$1)</f>
        <v>0</v>
      </c>
      <c r="BN9" s="142">
        <f>SUMIFS(領用表!$L:$L,領用表!$E:$E,$B9,領用表!$B:$B,BN$2&amp;$BI$1)</f>
        <v>0</v>
      </c>
      <c r="BO9" s="142">
        <f>SUMIFS(領用表!$L:$L,領用表!$E:$E,$B9,領用表!$B:$B,BO$2&amp;$BI$1)</f>
        <v>0</v>
      </c>
      <c r="BP9" s="142">
        <f>SUMIFS(領用表!$L:$L,領用表!$E:$E,$B9,領用表!$B:$B,BP$2&amp;$BI$1)</f>
        <v>0</v>
      </c>
      <c r="BQ9" s="142">
        <f>SUMIFS(領用表!$L:$L,領用表!$E:$E,$B9,領用表!$B:$B,BQ$2&amp;$BI$1)</f>
        <v>0</v>
      </c>
      <c r="BR9" s="142">
        <f>SUMIFS(領用表!$L:$L,領用表!$E:$E,$B9,領用表!$B:$B,BR$2&amp;$BI$1)</f>
        <v>0</v>
      </c>
      <c r="BS9" s="142">
        <f>SUMIFS(領用表!$L:$L,領用表!$E:$E,$B9,領用表!$B:$B,BS$2&amp;$BI$1)</f>
        <v>0</v>
      </c>
      <c r="BT9" s="142">
        <f>SUMIFS(領用表!$L:$L,領用表!$E:$E,$B9,領用表!$B:$B,BT$2&amp;$BI$1)</f>
        <v>0</v>
      </c>
      <c r="BU9" s="142">
        <f t="shared" si="2"/>
        <v>0</v>
      </c>
      <c r="BV9" s="142">
        <f t="shared" si="3"/>
        <v>0</v>
      </c>
      <c r="BW9" s="142">
        <f>SUMIF(Summary!B:B,B9,Summary!DU:DU)</f>
        <v>0</v>
      </c>
      <c r="BX9" s="108"/>
      <c r="BY9" s="65"/>
      <c r="BZ9" s="65"/>
      <c r="CA9" s="65"/>
      <c r="CB9" s="27"/>
      <c r="CC9" s="69"/>
      <c r="CD9" s="14"/>
      <c r="CE9" s="29"/>
    </row>
    <row r="10" spans="1:83" ht="15.75" customHeight="1">
      <c r="A10" s="27"/>
      <c r="B10" s="14">
        <v>6200001</v>
      </c>
      <c r="C10" s="118" t="s">
        <v>632</v>
      </c>
      <c r="D10" s="67">
        <v>3</v>
      </c>
      <c r="E10" s="17" t="s">
        <v>145</v>
      </c>
      <c r="F10" s="18"/>
      <c r="G10" s="1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19"/>
      <c r="AH10" s="19"/>
      <c r="AI10" s="19"/>
      <c r="AJ10" s="19"/>
      <c r="AK10" s="19"/>
      <c r="AL10" s="19"/>
      <c r="AM10" s="19">
        <v>159</v>
      </c>
      <c r="AN10" s="19">
        <v>291</v>
      </c>
      <c r="AO10" s="19">
        <v>533</v>
      </c>
      <c r="AP10" s="19">
        <v>138.33000000000001</v>
      </c>
      <c r="AQ10" s="19">
        <v>95.67</v>
      </c>
      <c r="AR10" s="19">
        <f>3*167.33</f>
        <v>501.99</v>
      </c>
      <c r="AS10" s="68">
        <f>SUM(AG10:AR10)</f>
        <v>1718.99</v>
      </c>
      <c r="AT10" s="26">
        <f>AS10/12</f>
        <v>143.24916666666667</v>
      </c>
      <c r="AU10" s="19">
        <f>3*148.97</f>
        <v>446.90999999999997</v>
      </c>
      <c r="AV10" s="19">
        <f>3*82.7</f>
        <v>248.10000000000002</v>
      </c>
      <c r="AW10" s="19">
        <v>312</v>
      </c>
      <c r="AX10" s="19">
        <v>359</v>
      </c>
      <c r="AY10" s="19">
        <v>268</v>
      </c>
      <c r="AZ10" s="20">
        <f>SUMIFS(領用表!$L:$L,領用表!$E:$E,$B10,領用表!$B:$B,AZ$2&amp;$BI$1)</f>
        <v>161</v>
      </c>
      <c r="BA10" s="20">
        <f>SUMIFS(領用表!$L:$L,領用表!$E:$E,$B10,領用表!$B:$B,BA$2&amp;$BI$1)</f>
        <v>2</v>
      </c>
      <c r="BB10" s="20">
        <f>SUMIFS(領用表!$L:$L,領用表!$E:$E,$B10,領用表!$B:$B,BB$2&amp;$BI$1)</f>
        <v>12</v>
      </c>
      <c r="BC10" s="20">
        <f>SUMIFS(領用表!$L:$L,領用表!$E:$E,$B10,領用表!$B:$B,BC$2&amp;$BI$1)</f>
        <v>0</v>
      </c>
      <c r="BD10" s="142">
        <f>SUMIFS(領用表!$L:$L,領用表!$E:$E,$B10,領用表!$B:$B,BD$2&amp;$BI$1)</f>
        <v>6</v>
      </c>
      <c r="BE10" s="142">
        <f>SUMIFS(領用表!$L:$L,領用表!$E:$E,$B10,領用表!$B:$B,BE$2&amp;$BI$1)</f>
        <v>4</v>
      </c>
      <c r="BF10" s="142">
        <f>SUMIFS(領用表!$L:$L,領用表!$E:$E,$B10,領用表!$B:$B,BF$2&amp;$BI$1)</f>
        <v>99</v>
      </c>
      <c r="BG10" s="23">
        <f t="shared" si="0"/>
        <v>1918.01</v>
      </c>
      <c r="BH10" s="23">
        <f t="shared" si="1"/>
        <v>159.83416666666668</v>
      </c>
      <c r="BI10" s="142">
        <f>SUMIFS(領用表!$L:$L,領用表!$E:$E,$B10,領用表!$B:$B,BI$2&amp;$BI$1)</f>
        <v>0</v>
      </c>
      <c r="BJ10" s="142">
        <f>SUMIFS(領用表!$L:$L,領用表!$E:$E,$B10,領用表!$B:$B,BJ$2&amp;$BI$1)</f>
        <v>0</v>
      </c>
      <c r="BK10" s="142">
        <f>SUMIFS(領用表!$L:$L,領用表!$E:$E,$B10,領用表!$B:$B,BK$2&amp;$BI$1)</f>
        <v>0</v>
      </c>
      <c r="BL10" s="142">
        <f>SUMIFS(領用表!$L:$L,領用表!$E:$E,$B10,領用表!$B:$B,BL$2&amp;$BI$1)</f>
        <v>0</v>
      </c>
      <c r="BM10" s="142">
        <f>SUMIFS(領用表!$L:$L,領用表!$E:$E,$B10,領用表!$B:$B,BM$2&amp;$BI$1)</f>
        <v>0</v>
      </c>
      <c r="BN10" s="142">
        <f>SUMIFS(領用表!$L:$L,領用表!$E:$E,$B10,領用表!$B:$B,BN$2&amp;$BI$1)</f>
        <v>0</v>
      </c>
      <c r="BO10" s="142">
        <f>SUMIFS(領用表!$L:$L,領用表!$E:$E,$B10,領用表!$B:$B,BO$2&amp;$BI$1)</f>
        <v>0</v>
      </c>
      <c r="BP10" s="142">
        <f>SUMIFS(領用表!$L:$L,領用表!$E:$E,$B10,領用表!$B:$B,BP$2&amp;$BI$1)</f>
        <v>0</v>
      </c>
      <c r="BQ10" s="142">
        <f>SUMIFS(領用表!$L:$L,領用表!$E:$E,$B10,領用表!$B:$B,BQ$2&amp;$BI$1)</f>
        <v>0</v>
      </c>
      <c r="BR10" s="142">
        <f>SUMIFS(領用表!$L:$L,領用表!$E:$E,$B10,領用表!$B:$B,BR$2&amp;$BI$1)</f>
        <v>0</v>
      </c>
      <c r="BS10" s="142">
        <f>SUMIFS(領用表!$L:$L,領用表!$E:$E,$B10,領用表!$B:$B,BS$2&amp;$BI$1)</f>
        <v>0</v>
      </c>
      <c r="BT10" s="142">
        <f>SUMIFS(領用表!$L:$L,領用表!$E:$E,$B10,領用表!$B:$B,BT$2&amp;$BI$1)</f>
        <v>0</v>
      </c>
      <c r="BU10" s="142">
        <f t="shared" si="2"/>
        <v>0</v>
      </c>
      <c r="BV10" s="142">
        <f t="shared" si="3"/>
        <v>0</v>
      </c>
      <c r="BW10" s="142">
        <f>SUMIF(Summary!B:B,B10,Summary!DU:DU)</f>
        <v>0</v>
      </c>
      <c r="BX10" s="108"/>
      <c r="BY10" s="65"/>
      <c r="BZ10" s="65"/>
      <c r="CA10" s="65"/>
      <c r="CB10" s="27"/>
      <c r="CC10" s="69"/>
      <c r="CD10" s="14"/>
      <c r="CE10" s="29"/>
    </row>
    <row r="11" spans="1:83" ht="15.75" customHeight="1">
      <c r="A11" s="27"/>
      <c r="B11" s="14">
        <v>6200007</v>
      </c>
      <c r="C11" s="425" t="s">
        <v>928</v>
      </c>
      <c r="D11" s="67">
        <v>100</v>
      </c>
      <c r="E11" s="17" t="s">
        <v>146</v>
      </c>
      <c r="F11" s="18">
        <v>478</v>
      </c>
      <c r="G11" s="1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22" t="s">
        <v>49</v>
      </c>
      <c r="AT11" s="22" t="s">
        <v>49</v>
      </c>
      <c r="AU11" s="22" t="s">
        <v>49</v>
      </c>
      <c r="AV11" s="22" t="s">
        <v>49</v>
      </c>
      <c r="AW11" s="22" t="s">
        <v>49</v>
      </c>
      <c r="AX11" s="19" t="s">
        <v>49</v>
      </c>
      <c r="AY11" s="19" t="s">
        <v>49</v>
      </c>
      <c r="AZ11" s="71">
        <f>SUMIFS(領用表!$L:$L,領用表!$E:$E,$B11,領用表!$B:$B,AZ$2&amp;$BI$1)</f>
        <v>0</v>
      </c>
      <c r="BA11" s="20">
        <f>SUMIFS(領用表!$L:$L,領用表!$E:$E,$B11,領用表!$B:$B,BA$2&amp;$BI$1)</f>
        <v>188</v>
      </c>
      <c r="BB11" s="20">
        <f>SUMIFS(領用表!$L:$L,領用表!$E:$E,$B11,領用表!$B:$B,BB$2&amp;$BI$1)</f>
        <v>196</v>
      </c>
      <c r="BC11" s="20">
        <f>SUMIFS(領用表!$L:$L,領用表!$E:$E,$B11,領用表!$B:$B,BC$2&amp;$BI$1)</f>
        <v>372</v>
      </c>
      <c r="BD11" s="142">
        <f>SUMIFS(領用表!$L:$L,領用表!$E:$E,$B11,領用表!$B:$B,BD$2&amp;$BI$1)</f>
        <v>64</v>
      </c>
      <c r="BE11" s="142">
        <f>SUMIFS(領用表!$L:$L,領用表!$E:$E,$B11,領用表!$B:$B,BE$2&amp;$BI$1)</f>
        <v>24</v>
      </c>
      <c r="BF11" s="142">
        <f>SUMIFS(領用表!$L:$L,領用表!$E:$E,$B11,領用表!$B:$B,BF$2&amp;$BI$1)</f>
        <v>0</v>
      </c>
      <c r="BG11" s="23">
        <f t="shared" si="0"/>
        <v>844</v>
      </c>
      <c r="BH11" s="23">
        <f t="shared" si="1"/>
        <v>120.57142857142857</v>
      </c>
      <c r="BI11" s="142">
        <f>SUMIFS(領用表!$L:$L,領用表!$E:$E,$B11,領用表!$B:$B,BI$2&amp;$BI$1)</f>
        <v>0</v>
      </c>
      <c r="BJ11" s="142">
        <f>SUMIFS(領用表!$L:$L,領用表!$E:$E,$B11,領用表!$B:$B,BJ$2&amp;$BI$1)</f>
        <v>0</v>
      </c>
      <c r="BK11" s="142">
        <f>SUMIFS(領用表!$L:$L,領用表!$E:$E,$B11,領用表!$B:$B,BK$2&amp;$BI$1)</f>
        <v>0</v>
      </c>
      <c r="BL11" s="142">
        <f>SUMIFS(領用表!$L:$L,領用表!$E:$E,$B11,領用表!$B:$B,BL$2&amp;$BI$1)</f>
        <v>0</v>
      </c>
      <c r="BM11" s="142">
        <f>SUMIFS(領用表!$L:$L,領用表!$E:$E,$B11,領用表!$B:$B,BM$2&amp;$BI$1)</f>
        <v>0</v>
      </c>
      <c r="BN11" s="142">
        <f>SUMIFS(領用表!$L:$L,領用表!$E:$E,$B11,領用表!$B:$B,BN$2&amp;$BI$1)</f>
        <v>0</v>
      </c>
      <c r="BO11" s="142">
        <f>SUMIFS(領用表!$L:$L,領用表!$E:$E,$B11,領用表!$B:$B,BO$2&amp;$BI$1)</f>
        <v>0</v>
      </c>
      <c r="BP11" s="142">
        <f>SUMIFS(領用表!$L:$L,領用表!$E:$E,$B11,領用表!$B:$B,BP$2&amp;$BI$1)</f>
        <v>0</v>
      </c>
      <c r="BQ11" s="142">
        <f>SUMIFS(領用表!$L:$L,領用表!$E:$E,$B11,領用表!$B:$B,BQ$2&amp;$BI$1)</f>
        <v>0</v>
      </c>
      <c r="BR11" s="142">
        <f>SUMIFS(領用表!$L:$L,領用表!$E:$E,$B11,領用表!$B:$B,BR$2&amp;$BI$1)</f>
        <v>0</v>
      </c>
      <c r="BS11" s="142">
        <f>SUMIFS(領用表!$L:$L,領用表!$E:$E,$B11,領用表!$B:$B,BS$2&amp;$BI$1)</f>
        <v>0</v>
      </c>
      <c r="BT11" s="142">
        <f>SUMIFS(領用表!$L:$L,領用表!$E:$E,$B11,領用表!$B:$B,BT$2&amp;$BI$1)</f>
        <v>0</v>
      </c>
      <c r="BU11" s="142">
        <f t="shared" si="2"/>
        <v>0</v>
      </c>
      <c r="BV11" s="142">
        <f t="shared" si="3"/>
        <v>0</v>
      </c>
      <c r="BW11" s="142">
        <f>SUMIF(Summary!B:B,B11,Summary!DU:DU)</f>
        <v>0</v>
      </c>
      <c r="BX11" s="108"/>
      <c r="BY11" s="65"/>
      <c r="BZ11" s="65"/>
      <c r="CA11" s="65"/>
      <c r="CB11" s="27"/>
      <c r="CC11" s="69"/>
      <c r="CD11" s="14"/>
      <c r="CE11" s="29"/>
    </row>
    <row r="12" spans="1:83" ht="15.75" customHeight="1">
      <c r="A12" s="27" t="s">
        <v>147</v>
      </c>
      <c r="B12" s="14">
        <v>6200008</v>
      </c>
      <c r="C12" s="135" t="s">
        <v>501</v>
      </c>
      <c r="D12" s="67">
        <v>1</v>
      </c>
      <c r="E12" s="17" t="s">
        <v>145</v>
      </c>
      <c r="F12" s="18">
        <v>12</v>
      </c>
      <c r="G12" s="1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22" t="s">
        <v>49</v>
      </c>
      <c r="AT12" s="22" t="s">
        <v>49</v>
      </c>
      <c r="AU12" s="22" t="s">
        <v>49</v>
      </c>
      <c r="AV12" s="22" t="s">
        <v>49</v>
      </c>
      <c r="AW12" s="22" t="s">
        <v>49</v>
      </c>
      <c r="AX12" s="19">
        <v>4</v>
      </c>
      <c r="AY12" s="19">
        <v>17</v>
      </c>
      <c r="AZ12" s="20">
        <f>SUMIFS(領用表!$L:$L,領用表!$E:$E,$B12,領用表!$B:$B,AZ$2&amp;$BI$1)</f>
        <v>40</v>
      </c>
      <c r="BA12" s="20">
        <f>SUMIFS(領用表!$L:$L,領用表!$E:$E,$B12,領用表!$B:$B,BA$2&amp;$BI$1)</f>
        <v>11</v>
      </c>
      <c r="BB12" s="20">
        <f>SUMIFS(領用表!$L:$L,領用表!$E:$E,$B12,領用表!$B:$B,BB$2&amp;$BI$1)</f>
        <v>7</v>
      </c>
      <c r="BC12" s="20">
        <f>SUMIFS(領用表!$L:$L,領用表!$E:$E,$B12,領用表!$B:$B,BC$2&amp;$BI$1)</f>
        <v>8</v>
      </c>
      <c r="BD12" s="142">
        <f>SUMIFS(領用表!$L:$L,領用表!$E:$E,$B12,領用表!$B:$B,BD$2&amp;$BI$1)</f>
        <v>13</v>
      </c>
      <c r="BE12" s="142">
        <f>SUMIFS(領用表!$L:$L,領用表!$E:$E,$B12,領用表!$B:$B,BE$2&amp;$BI$1)</f>
        <v>9</v>
      </c>
      <c r="BF12" s="142">
        <f>SUMIFS(領用表!$L:$L,領用表!$E:$E,$B12,領用表!$B:$B,BF$2&amp;$BI$1)</f>
        <v>6</v>
      </c>
      <c r="BG12" s="23">
        <f t="shared" si="0"/>
        <v>115</v>
      </c>
      <c r="BH12" s="23">
        <f t="shared" si="1"/>
        <v>12.777777777777779</v>
      </c>
      <c r="BI12" s="142">
        <f>SUMIFS(領用表!$L:$L,領用表!$E:$E,$B12,領用表!$B:$B,BI$2&amp;$BI$1)</f>
        <v>13</v>
      </c>
      <c r="BJ12" s="142">
        <f>SUMIFS(領用表!$L:$L,領用表!$E:$E,$B12,領用表!$B:$B,BJ$2&amp;$BI$1)</f>
        <v>2</v>
      </c>
      <c r="BK12" s="142">
        <f>SUMIFS(領用表!$L:$L,領用表!$E:$E,$B12,領用表!$B:$B,BK$2&amp;$BI$1)</f>
        <v>2</v>
      </c>
      <c r="BL12" s="142">
        <f>SUMIFS(領用表!$L:$L,領用表!$E:$E,$B12,領用表!$B:$B,BL$2&amp;$BI$1)</f>
        <v>1</v>
      </c>
      <c r="BM12" s="142">
        <f>SUMIFS(領用表!$L:$L,領用表!$E:$E,$B12,領用表!$B:$B,BM$2&amp;$BI$1)</f>
        <v>2</v>
      </c>
      <c r="BN12" s="142">
        <f>SUMIFS(領用表!$L:$L,領用表!$E:$E,$B12,領用表!$B:$B,BN$2&amp;$BI$1)</f>
        <v>0</v>
      </c>
      <c r="BO12" s="142">
        <f>SUMIFS(領用表!$L:$L,領用表!$E:$E,$B12,領用表!$B:$B,BO$2&amp;$BI$1)</f>
        <v>0</v>
      </c>
      <c r="BP12" s="142">
        <f>SUMIFS(領用表!$L:$L,領用表!$E:$E,$B12,領用表!$B:$B,BP$2&amp;$BI$1)</f>
        <v>0</v>
      </c>
      <c r="BQ12" s="142">
        <f>SUMIFS(領用表!$L:$L,領用表!$E:$E,$B12,領用表!$B:$B,BQ$2&amp;$BI$1)</f>
        <v>0</v>
      </c>
      <c r="BR12" s="142">
        <f>SUMIFS(領用表!$L:$L,領用表!$E:$E,$B12,領用表!$B:$B,BR$2&amp;$BI$1)</f>
        <v>0</v>
      </c>
      <c r="BS12" s="142">
        <f>SUMIFS(領用表!$L:$L,領用表!$E:$E,$B12,領用表!$B:$B,BS$2&amp;$BI$1)</f>
        <v>0</v>
      </c>
      <c r="BT12" s="142">
        <f>SUMIFS(領用表!$L:$L,領用表!$E:$E,$B12,領用表!$B:$B,BT$2&amp;$BI$1)</f>
        <v>0</v>
      </c>
      <c r="BU12" s="142">
        <f t="shared" si="2"/>
        <v>20</v>
      </c>
      <c r="BV12" s="142">
        <f t="shared" si="3"/>
        <v>4</v>
      </c>
      <c r="BW12" s="142">
        <f>SUMIF(Summary!B:B,B12,Summary!DU:DU)</f>
        <v>15</v>
      </c>
      <c r="BX12" s="108"/>
      <c r="BY12" s="65"/>
      <c r="BZ12" s="65"/>
      <c r="CA12" s="65"/>
      <c r="CB12" s="27"/>
      <c r="CC12" s="69"/>
      <c r="CD12" s="14"/>
      <c r="CE12" s="29"/>
    </row>
    <row r="13" spans="1:83" ht="15.75" customHeight="1">
      <c r="A13" s="27" t="s">
        <v>148</v>
      </c>
      <c r="B13" s="14">
        <v>6200010</v>
      </c>
      <c r="C13" s="135" t="s">
        <v>502</v>
      </c>
      <c r="D13" s="67">
        <v>1</v>
      </c>
      <c r="E13" s="17" t="s">
        <v>145</v>
      </c>
      <c r="F13" s="18">
        <v>23</v>
      </c>
      <c r="G13" s="1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22" t="s">
        <v>49</v>
      </c>
      <c r="AT13" s="22" t="s">
        <v>49</v>
      </c>
      <c r="AU13" s="22" t="s">
        <v>49</v>
      </c>
      <c r="AV13" s="22" t="s">
        <v>49</v>
      </c>
      <c r="AW13" s="22" t="s">
        <v>49</v>
      </c>
      <c r="AX13" s="19">
        <v>1</v>
      </c>
      <c r="AY13" s="19">
        <v>36</v>
      </c>
      <c r="AZ13" s="20">
        <f>SUMIFS(領用表!$L:$L,領用表!$E:$E,$B13,領用表!$B:$B,AZ$2&amp;$BI$1)</f>
        <v>66</v>
      </c>
      <c r="BA13" s="20">
        <f>SUMIFS(領用表!$L:$L,領用表!$E:$E,$B13,領用表!$B:$B,BA$2&amp;$BI$1)</f>
        <v>18</v>
      </c>
      <c r="BB13" s="20">
        <f>SUMIFS(領用表!$L:$L,領用表!$E:$E,$B13,領用表!$B:$B,BB$2&amp;$BI$1)</f>
        <v>4</v>
      </c>
      <c r="BC13" s="20">
        <f>SUMIFS(領用表!$L:$L,領用表!$E:$E,$B13,領用表!$B:$B,BC$2&amp;$BI$1)</f>
        <v>4</v>
      </c>
      <c r="BD13" s="142">
        <f>SUMIFS(領用表!$L:$L,領用表!$E:$E,$B13,領用表!$B:$B,BD$2&amp;$BI$1)</f>
        <v>5</v>
      </c>
      <c r="BE13" s="142">
        <f>SUMIFS(領用表!$L:$L,領用表!$E:$E,$B13,領用表!$B:$B,BE$2&amp;$BI$1)</f>
        <v>16</v>
      </c>
      <c r="BF13" s="142">
        <f>SUMIFS(領用表!$L:$L,領用表!$E:$E,$B13,領用表!$B:$B,BF$2&amp;$BI$1)</f>
        <v>9</v>
      </c>
      <c r="BG13" s="23">
        <f t="shared" si="0"/>
        <v>159</v>
      </c>
      <c r="BH13" s="23">
        <f t="shared" si="1"/>
        <v>17.666666666666668</v>
      </c>
      <c r="BI13" s="142">
        <f>SUMIFS(領用表!$L:$L,領用表!$E:$E,$B13,領用表!$B:$B,BI$2&amp;$BI$1)</f>
        <v>5</v>
      </c>
      <c r="BJ13" s="142">
        <f>SUMIFS(領用表!$L:$L,領用表!$E:$E,$B13,領用表!$B:$B,BJ$2&amp;$BI$1)</f>
        <v>1</v>
      </c>
      <c r="BK13" s="142">
        <f>SUMIFS(領用表!$L:$L,領用表!$E:$E,$B13,領用表!$B:$B,BK$2&amp;$BI$1)</f>
        <v>3</v>
      </c>
      <c r="BL13" s="142">
        <f>SUMIFS(領用表!$L:$L,領用表!$E:$E,$B13,領用表!$B:$B,BL$2&amp;$BI$1)</f>
        <v>11</v>
      </c>
      <c r="BM13" s="142">
        <f>SUMIFS(領用表!$L:$L,領用表!$E:$E,$B13,領用表!$B:$B,BM$2&amp;$BI$1)</f>
        <v>3</v>
      </c>
      <c r="BN13" s="142">
        <f>SUMIFS(領用表!$L:$L,領用表!$E:$E,$B13,領用表!$B:$B,BN$2&amp;$BI$1)</f>
        <v>0</v>
      </c>
      <c r="BO13" s="142">
        <f>SUMIFS(領用表!$L:$L,領用表!$E:$E,$B13,領用表!$B:$B,BO$2&amp;$BI$1)</f>
        <v>0</v>
      </c>
      <c r="BP13" s="142">
        <f>SUMIFS(領用表!$L:$L,領用表!$E:$E,$B13,領用表!$B:$B,BP$2&amp;$BI$1)</f>
        <v>0</v>
      </c>
      <c r="BQ13" s="142">
        <f>SUMIFS(領用表!$L:$L,領用表!$E:$E,$B13,領用表!$B:$B,BQ$2&amp;$BI$1)</f>
        <v>0</v>
      </c>
      <c r="BR13" s="142">
        <f>SUMIFS(領用表!$L:$L,領用表!$E:$E,$B13,領用表!$B:$B,BR$2&amp;$BI$1)</f>
        <v>0</v>
      </c>
      <c r="BS13" s="142">
        <f>SUMIFS(領用表!$L:$L,領用表!$E:$E,$B13,領用表!$B:$B,BS$2&amp;$BI$1)</f>
        <v>0</v>
      </c>
      <c r="BT13" s="142">
        <f>SUMIFS(領用表!$L:$L,領用表!$E:$E,$B13,領用表!$B:$B,BT$2&amp;$BI$1)</f>
        <v>0</v>
      </c>
      <c r="BU13" s="142">
        <f t="shared" si="2"/>
        <v>23</v>
      </c>
      <c r="BV13" s="142">
        <f t="shared" si="3"/>
        <v>4.5999999999999996</v>
      </c>
      <c r="BW13" s="142">
        <f>SUMIF(Summary!B:B,B13,Summary!DU:DU)</f>
        <v>10</v>
      </c>
      <c r="BX13" s="108"/>
      <c r="BY13" s="65"/>
      <c r="BZ13" s="65"/>
      <c r="CA13" s="65"/>
      <c r="CB13" s="27"/>
      <c r="CC13" s="69"/>
      <c r="CD13" s="14"/>
      <c r="CE13" s="29"/>
    </row>
    <row r="14" spans="1:83" ht="15.75" customHeight="1">
      <c r="A14" s="27" t="s">
        <v>149</v>
      </c>
      <c r="B14" s="14">
        <v>6200012</v>
      </c>
      <c r="C14" s="135" t="s">
        <v>503</v>
      </c>
      <c r="D14" s="67">
        <v>1</v>
      </c>
      <c r="E14" s="17" t="s">
        <v>145</v>
      </c>
      <c r="F14" s="18">
        <v>27</v>
      </c>
      <c r="G14" s="1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22" t="s">
        <v>49</v>
      </c>
      <c r="AT14" s="22" t="s">
        <v>49</v>
      </c>
      <c r="AU14" s="22" t="s">
        <v>49</v>
      </c>
      <c r="AV14" s="22" t="s">
        <v>49</v>
      </c>
      <c r="AW14" s="22" t="s">
        <v>49</v>
      </c>
      <c r="AX14" s="19">
        <v>0</v>
      </c>
      <c r="AY14" s="73">
        <v>6</v>
      </c>
      <c r="AZ14" s="20">
        <f>SUMIFS(領用表!$L:$L,領用表!$E:$E,$B14,領用表!$B:$B,AZ$2&amp;$BI$1)</f>
        <v>3</v>
      </c>
      <c r="BA14" s="20">
        <f>SUMIFS(領用表!$L:$L,領用表!$E:$E,$B14,領用表!$B:$B,BA$2&amp;$BI$1)</f>
        <v>0</v>
      </c>
      <c r="BB14" s="20">
        <f>SUMIFS(領用表!$L:$L,領用表!$E:$E,$B14,領用表!$B:$B,BB$2&amp;$BI$1)</f>
        <v>0</v>
      </c>
      <c r="BC14" s="20">
        <f>SUMIFS(領用表!$L:$L,領用表!$E:$E,$B14,領用表!$B:$B,BC$2&amp;$BI$1)</f>
        <v>0</v>
      </c>
      <c r="BD14" s="142">
        <f>SUMIFS(領用表!$L:$L,領用表!$E:$E,$B14,領用表!$B:$B,BD$2&amp;$BI$1)</f>
        <v>2</v>
      </c>
      <c r="BE14" s="142">
        <f>SUMIFS(領用表!$L:$L,領用表!$E:$E,$B14,領用表!$B:$B,BE$2&amp;$BI$1)</f>
        <v>1</v>
      </c>
      <c r="BF14" s="142">
        <f>SUMIFS(領用表!$L:$L,領用表!$E:$E,$B14,領用表!$B:$B,BF$2&amp;$BI$1)</f>
        <v>0</v>
      </c>
      <c r="BG14" s="23">
        <f t="shared" si="0"/>
        <v>12</v>
      </c>
      <c r="BH14" s="23">
        <f t="shared" si="1"/>
        <v>1.3333333333333333</v>
      </c>
      <c r="BI14" s="142">
        <f>SUMIFS(領用表!$L:$L,領用表!$E:$E,$B14,領用表!$B:$B,BI$2&amp;$BI$1)</f>
        <v>0</v>
      </c>
      <c r="BJ14" s="142">
        <f>SUMIFS(領用表!$L:$L,領用表!$E:$E,$B14,領用表!$B:$B,BJ$2&amp;$BI$1)</f>
        <v>0</v>
      </c>
      <c r="BK14" s="142">
        <f>SUMIFS(領用表!$L:$L,領用表!$E:$E,$B14,領用表!$B:$B,BK$2&amp;$BI$1)</f>
        <v>0</v>
      </c>
      <c r="BL14" s="142">
        <f>SUMIFS(領用表!$L:$L,領用表!$E:$E,$B14,領用表!$B:$B,BL$2&amp;$BI$1)</f>
        <v>0</v>
      </c>
      <c r="BM14" s="142">
        <f>SUMIFS(領用表!$L:$L,領用表!$E:$E,$B14,領用表!$B:$B,BM$2&amp;$BI$1)</f>
        <v>1</v>
      </c>
      <c r="BN14" s="142">
        <f>SUMIFS(領用表!$L:$L,領用表!$E:$E,$B14,領用表!$B:$B,BN$2&amp;$BI$1)</f>
        <v>0</v>
      </c>
      <c r="BO14" s="142">
        <f>SUMIFS(領用表!$L:$L,領用表!$E:$E,$B14,領用表!$B:$B,BO$2&amp;$BI$1)</f>
        <v>0</v>
      </c>
      <c r="BP14" s="142">
        <f>SUMIFS(領用表!$L:$L,領用表!$E:$E,$B14,領用表!$B:$B,BP$2&amp;$BI$1)</f>
        <v>0</v>
      </c>
      <c r="BQ14" s="142">
        <f>SUMIFS(領用表!$L:$L,領用表!$E:$E,$B14,領用表!$B:$B,BQ$2&amp;$BI$1)</f>
        <v>0</v>
      </c>
      <c r="BR14" s="142">
        <f>SUMIFS(領用表!$L:$L,領用表!$E:$E,$B14,領用表!$B:$B,BR$2&amp;$BI$1)</f>
        <v>0</v>
      </c>
      <c r="BS14" s="142">
        <f>SUMIFS(領用表!$L:$L,領用表!$E:$E,$B14,領用表!$B:$B,BS$2&amp;$BI$1)</f>
        <v>0</v>
      </c>
      <c r="BT14" s="142">
        <f>SUMIFS(領用表!$L:$L,領用表!$E:$E,$B14,領用表!$B:$B,BT$2&amp;$BI$1)</f>
        <v>0</v>
      </c>
      <c r="BU14" s="142">
        <f t="shared" si="2"/>
        <v>1</v>
      </c>
      <c r="BV14" s="142">
        <f t="shared" si="3"/>
        <v>0.2</v>
      </c>
      <c r="BW14" s="142">
        <f>SUMIF(Summary!B:B,B14,Summary!DU:DU)</f>
        <v>2</v>
      </c>
      <c r="BX14" s="108"/>
      <c r="BY14" s="65"/>
      <c r="BZ14" s="65"/>
      <c r="CA14" s="65"/>
      <c r="CB14" s="27"/>
      <c r="CC14" s="69"/>
      <c r="CD14" s="14"/>
      <c r="CE14" s="29"/>
    </row>
    <row r="15" spans="1:83" ht="15.75" customHeight="1">
      <c r="A15" s="27" t="s">
        <v>641</v>
      </c>
      <c r="B15" s="14">
        <v>6200013</v>
      </c>
      <c r="C15" s="135" t="s">
        <v>504</v>
      </c>
      <c r="D15" s="67">
        <v>1</v>
      </c>
      <c r="E15" s="17" t="s">
        <v>145</v>
      </c>
      <c r="F15" s="18">
        <v>0</v>
      </c>
      <c r="G15" s="1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68"/>
      <c r="AT15" s="26"/>
      <c r="AU15" s="19" t="s">
        <v>49</v>
      </c>
      <c r="AV15" s="19" t="s">
        <v>49</v>
      </c>
      <c r="AW15" s="19" t="s">
        <v>49</v>
      </c>
      <c r="AX15" s="19" t="s">
        <v>49</v>
      </c>
      <c r="AY15" s="19" t="s">
        <v>49</v>
      </c>
      <c r="AZ15" s="20">
        <f>SUMIFS(領用表!$L:$L,領用表!$E:$E,$B15,領用表!$B:$B,AZ$2&amp;$BI$1)</f>
        <v>0</v>
      </c>
      <c r="BA15" s="20">
        <f>SUMIFS(領用表!$L:$L,領用表!$E:$E,$B15,領用表!$B:$B,BA$2&amp;$BI$1)</f>
        <v>26</v>
      </c>
      <c r="BB15" s="20">
        <f>SUMIFS(領用表!$L:$L,領用表!$E:$E,$B15,領用表!$B:$B,BB$2&amp;$BI$1)</f>
        <v>24</v>
      </c>
      <c r="BC15" s="20">
        <f>SUMIFS(領用表!$L:$L,領用表!$E:$E,$B15,領用表!$B:$B,BC$2&amp;$BI$1)</f>
        <v>27</v>
      </c>
      <c r="BD15" s="142">
        <f>SUMIFS(領用表!$L:$L,領用表!$E:$E,$B15,領用表!$B:$B,BD$2&amp;$BI$1)</f>
        <v>5</v>
      </c>
      <c r="BE15" s="142">
        <f>SUMIFS(領用表!$L:$L,領用表!$E:$E,$B15,領用表!$B:$B,BE$2&amp;$BI$1)</f>
        <v>0</v>
      </c>
      <c r="BF15" s="142">
        <f>SUMIFS(領用表!$L:$L,領用表!$E:$E,$B15,領用表!$B:$B,BF$2&amp;$BI$1)</f>
        <v>0</v>
      </c>
      <c r="BG15" s="23">
        <f t="shared" si="0"/>
        <v>82</v>
      </c>
      <c r="BH15" s="23">
        <f t="shared" si="1"/>
        <v>11.714285714285714</v>
      </c>
      <c r="BI15" s="142">
        <f>SUMIFS(領用表!$L:$L,領用表!$E:$E,$B15,領用表!$B:$B,BI$2&amp;$BI$1)</f>
        <v>0</v>
      </c>
      <c r="BJ15" s="142">
        <f>SUMIFS(領用表!$L:$L,領用表!$E:$E,$B15,領用表!$B:$B,BJ$2&amp;$BI$1)</f>
        <v>0</v>
      </c>
      <c r="BK15" s="142">
        <f>SUMIFS(領用表!$L:$L,領用表!$E:$E,$B15,領用表!$B:$B,BK$2&amp;$BI$1)</f>
        <v>0</v>
      </c>
      <c r="BL15" s="142">
        <f>SUMIFS(領用表!$L:$L,領用表!$E:$E,$B15,領用表!$B:$B,BL$2&amp;$BI$1)</f>
        <v>13</v>
      </c>
      <c r="BM15" s="142">
        <f>SUMIFS(領用表!$L:$L,領用表!$E:$E,$B15,領用表!$B:$B,BM$2&amp;$BI$1)</f>
        <v>11</v>
      </c>
      <c r="BN15" s="142">
        <f>SUMIFS(領用表!$L:$L,領用表!$E:$E,$B15,領用表!$B:$B,BN$2&amp;$BI$1)</f>
        <v>0</v>
      </c>
      <c r="BO15" s="142">
        <f>SUMIFS(領用表!$L:$L,領用表!$E:$E,$B15,領用表!$B:$B,BO$2&amp;$BI$1)</f>
        <v>0</v>
      </c>
      <c r="BP15" s="142">
        <f>SUMIFS(領用表!$L:$L,領用表!$E:$E,$B15,領用表!$B:$B,BP$2&amp;$BI$1)</f>
        <v>0</v>
      </c>
      <c r="BQ15" s="142">
        <f>SUMIFS(領用表!$L:$L,領用表!$E:$E,$B15,領用表!$B:$B,BQ$2&amp;$BI$1)</f>
        <v>0</v>
      </c>
      <c r="BR15" s="142">
        <f>SUMIFS(領用表!$L:$L,領用表!$E:$E,$B15,領用表!$B:$B,BR$2&amp;$BI$1)</f>
        <v>0</v>
      </c>
      <c r="BS15" s="142">
        <f>SUMIFS(領用表!$L:$L,領用表!$E:$E,$B15,領用表!$B:$B,BS$2&amp;$BI$1)</f>
        <v>0</v>
      </c>
      <c r="BT15" s="142">
        <f>SUMIFS(領用表!$L:$L,領用表!$E:$E,$B15,領用表!$B:$B,BT$2&amp;$BI$1)</f>
        <v>0</v>
      </c>
      <c r="BU15" s="142">
        <f t="shared" si="2"/>
        <v>24</v>
      </c>
      <c r="BV15" s="142">
        <f t="shared" si="3"/>
        <v>4.8</v>
      </c>
      <c r="BW15" s="142">
        <f>SUMIF(Summary!B:B,B15,Summary!DU:DU)</f>
        <v>8</v>
      </c>
      <c r="BX15" s="108"/>
      <c r="BY15" s="65"/>
      <c r="BZ15" s="65"/>
      <c r="CA15" s="74"/>
      <c r="CB15" s="27"/>
      <c r="CC15" s="69"/>
      <c r="CD15" s="14"/>
      <c r="CE15" s="29"/>
    </row>
    <row r="16" spans="1:83" ht="15.75" customHeight="1">
      <c r="A16" s="27" t="s">
        <v>642</v>
      </c>
      <c r="B16" s="14">
        <v>6200014</v>
      </c>
      <c r="C16" s="135" t="s">
        <v>505</v>
      </c>
      <c r="D16" s="67">
        <v>1</v>
      </c>
      <c r="E16" s="17" t="s">
        <v>145</v>
      </c>
      <c r="F16" s="18">
        <v>0</v>
      </c>
      <c r="G16" s="1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68"/>
      <c r="AT16" s="26"/>
      <c r="AU16" s="19" t="s">
        <v>49</v>
      </c>
      <c r="AV16" s="19" t="s">
        <v>49</v>
      </c>
      <c r="AW16" s="19" t="s">
        <v>49</v>
      </c>
      <c r="AX16" s="19" t="s">
        <v>49</v>
      </c>
      <c r="AY16" s="19" t="s">
        <v>49</v>
      </c>
      <c r="AZ16" s="20">
        <f>SUMIFS(領用表!$L:$L,領用表!$E:$E,$B16,領用表!$B:$B,AZ$2&amp;$BI$1)</f>
        <v>0</v>
      </c>
      <c r="BA16" s="20">
        <f>SUMIFS(領用表!$L:$L,領用表!$E:$E,$B16,領用表!$B:$B,BA$2&amp;$BI$1)</f>
        <v>19</v>
      </c>
      <c r="BB16" s="20">
        <f>SUMIFS(領用表!$L:$L,領用表!$E:$E,$B16,領用表!$B:$B,BB$2&amp;$BI$1)</f>
        <v>14</v>
      </c>
      <c r="BC16" s="20">
        <f>SUMIFS(領用表!$L:$L,領用表!$E:$E,$B16,領用表!$B:$B,BC$2&amp;$BI$1)</f>
        <v>27</v>
      </c>
      <c r="BD16" s="142">
        <f>SUMIFS(領用表!$L:$L,領用表!$E:$E,$B16,領用表!$B:$B,BD$2&amp;$BI$1)</f>
        <v>0</v>
      </c>
      <c r="BE16" s="142">
        <f>SUMIFS(領用表!$L:$L,領用表!$E:$E,$B16,領用表!$B:$B,BE$2&amp;$BI$1)</f>
        <v>1</v>
      </c>
      <c r="BF16" s="142">
        <f>SUMIFS(領用表!$L:$L,領用表!$E:$E,$B16,領用表!$B:$B,BF$2&amp;$BI$1)</f>
        <v>0</v>
      </c>
      <c r="BG16" s="23">
        <f t="shared" si="0"/>
        <v>61</v>
      </c>
      <c r="BH16" s="23">
        <f t="shared" si="1"/>
        <v>8.7142857142857135</v>
      </c>
      <c r="BI16" s="142">
        <f>SUMIFS(領用表!$L:$L,領用表!$E:$E,$B16,領用表!$B:$B,BI$2&amp;$BI$1)</f>
        <v>0</v>
      </c>
      <c r="BJ16" s="142">
        <f>SUMIFS(領用表!$L:$L,領用表!$E:$E,$B16,領用表!$B:$B,BJ$2&amp;$BI$1)</f>
        <v>0</v>
      </c>
      <c r="BK16" s="142">
        <f>SUMIFS(領用表!$L:$L,領用表!$E:$E,$B16,領用表!$B:$B,BK$2&amp;$BI$1)</f>
        <v>0</v>
      </c>
      <c r="BL16" s="142">
        <f>SUMIFS(領用表!$L:$L,領用表!$E:$E,$B16,領用表!$B:$B,BL$2&amp;$BI$1)</f>
        <v>6</v>
      </c>
      <c r="BM16" s="142">
        <f>SUMIFS(領用表!$L:$L,領用表!$E:$E,$B16,領用表!$B:$B,BM$2&amp;$BI$1)</f>
        <v>8</v>
      </c>
      <c r="BN16" s="142">
        <f>SUMIFS(領用表!$L:$L,領用表!$E:$E,$B16,領用表!$B:$B,BN$2&amp;$BI$1)</f>
        <v>0</v>
      </c>
      <c r="BO16" s="142">
        <f>SUMIFS(領用表!$L:$L,領用表!$E:$E,$B16,領用表!$B:$B,BO$2&amp;$BI$1)</f>
        <v>0</v>
      </c>
      <c r="BP16" s="142">
        <f>SUMIFS(領用表!$L:$L,領用表!$E:$E,$B16,領用表!$B:$B,BP$2&amp;$BI$1)</f>
        <v>0</v>
      </c>
      <c r="BQ16" s="142">
        <f>SUMIFS(領用表!$L:$L,領用表!$E:$E,$B16,領用表!$B:$B,BQ$2&amp;$BI$1)</f>
        <v>0</v>
      </c>
      <c r="BR16" s="142">
        <f>SUMIFS(領用表!$L:$L,領用表!$E:$E,$B16,領用表!$B:$B,BR$2&amp;$BI$1)</f>
        <v>0</v>
      </c>
      <c r="BS16" s="142">
        <f>SUMIFS(領用表!$L:$L,領用表!$E:$E,$B16,領用表!$B:$B,BS$2&amp;$BI$1)</f>
        <v>0</v>
      </c>
      <c r="BT16" s="142">
        <f>SUMIFS(領用表!$L:$L,領用表!$E:$E,$B16,領用表!$B:$B,BT$2&amp;$BI$1)</f>
        <v>0</v>
      </c>
      <c r="BU16" s="142">
        <f t="shared" si="2"/>
        <v>14</v>
      </c>
      <c r="BV16" s="142">
        <f t="shared" si="3"/>
        <v>2.8</v>
      </c>
      <c r="BW16" s="142">
        <f>SUMIF(Summary!B:B,B16,Summary!DU:DU)</f>
        <v>8</v>
      </c>
      <c r="BX16" s="108"/>
      <c r="BY16" s="65"/>
      <c r="BZ16" s="54"/>
      <c r="CA16" s="54" t="s">
        <v>150</v>
      </c>
      <c r="CB16" s="27"/>
      <c r="CC16" s="69"/>
      <c r="CD16" s="14"/>
      <c r="CE16" s="29"/>
    </row>
    <row r="17" spans="1:83" ht="15.75" customHeight="1">
      <c r="A17" s="27" t="s">
        <v>643</v>
      </c>
      <c r="B17" s="14">
        <v>6200015</v>
      </c>
      <c r="C17" s="135" t="s">
        <v>506</v>
      </c>
      <c r="D17" s="67">
        <v>1</v>
      </c>
      <c r="E17" s="17" t="s">
        <v>145</v>
      </c>
      <c r="F17" s="18">
        <v>0</v>
      </c>
      <c r="G17" s="1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68"/>
      <c r="AT17" s="26"/>
      <c r="AU17" s="19"/>
      <c r="AV17" s="19"/>
      <c r="AW17" s="19"/>
      <c r="AX17" s="19"/>
      <c r="AY17" s="19"/>
      <c r="AZ17" s="20">
        <f>SUMIFS(領用表!$L:$L,領用表!$E:$E,$B17,領用表!$B:$B,AZ$2&amp;$BI$1)</f>
        <v>0</v>
      </c>
      <c r="BA17" s="20">
        <f>SUMIFS(領用表!$L:$L,領用表!$E:$E,$B17,領用表!$B:$B,BA$2&amp;$BI$1)</f>
        <v>0</v>
      </c>
      <c r="BB17" s="20">
        <f>SUMIFS(領用表!$L:$L,領用表!$E:$E,$B17,領用表!$B:$B,BB$2&amp;$BI$1)</f>
        <v>0</v>
      </c>
      <c r="BC17" s="20">
        <f>SUMIFS(領用表!$L:$L,領用表!$E:$E,$B17,領用表!$B:$B,BC$2&amp;$BI$1)</f>
        <v>4</v>
      </c>
      <c r="BD17" s="142">
        <f>SUMIFS(領用表!$L:$L,領用表!$E:$E,$B17,領用表!$B:$B,BD$2&amp;$BI$1)</f>
        <v>5</v>
      </c>
      <c r="BE17" s="142">
        <f>SUMIFS(領用表!$L:$L,領用表!$E:$E,$B17,領用表!$B:$B,BE$2&amp;$BI$1)</f>
        <v>2</v>
      </c>
      <c r="BF17" s="142">
        <f>SUMIFS(領用表!$L:$L,領用表!$E:$E,$B17,領用表!$B:$B,BF$2&amp;$BI$1)</f>
        <v>0</v>
      </c>
      <c r="BG17" s="23">
        <f t="shared" si="0"/>
        <v>11</v>
      </c>
      <c r="BH17" s="23">
        <f t="shared" si="1"/>
        <v>1.5714285714285714</v>
      </c>
      <c r="BI17" s="142">
        <f>SUMIFS(領用表!$L:$L,領用表!$E:$E,$B17,領用表!$B:$B,BI$2&amp;$BI$1)</f>
        <v>1</v>
      </c>
      <c r="BJ17" s="142">
        <f>SUMIFS(領用表!$L:$L,領用表!$E:$E,$B17,領用表!$B:$B,BJ$2&amp;$BI$1)</f>
        <v>0</v>
      </c>
      <c r="BK17" s="142">
        <f>SUMIFS(領用表!$L:$L,領用表!$E:$E,$B17,領用表!$B:$B,BK$2&amp;$BI$1)</f>
        <v>0</v>
      </c>
      <c r="BL17" s="142">
        <f>SUMIFS(領用表!$L:$L,領用表!$E:$E,$B17,領用表!$B:$B,BL$2&amp;$BI$1)</f>
        <v>0</v>
      </c>
      <c r="BM17" s="142">
        <f>SUMIFS(領用表!$L:$L,領用表!$E:$E,$B17,領用表!$B:$B,BM$2&amp;$BI$1)</f>
        <v>0</v>
      </c>
      <c r="BN17" s="142">
        <f>SUMIFS(領用表!$L:$L,領用表!$E:$E,$B17,領用表!$B:$B,BN$2&amp;$BI$1)</f>
        <v>0</v>
      </c>
      <c r="BO17" s="142">
        <f>SUMIFS(領用表!$L:$L,領用表!$E:$E,$B17,領用表!$B:$B,BO$2&amp;$BI$1)</f>
        <v>0</v>
      </c>
      <c r="BP17" s="142">
        <f>SUMIFS(領用表!$L:$L,領用表!$E:$E,$B17,領用表!$B:$B,BP$2&amp;$BI$1)</f>
        <v>0</v>
      </c>
      <c r="BQ17" s="142">
        <f>SUMIFS(領用表!$L:$L,領用表!$E:$E,$B17,領用表!$B:$B,BQ$2&amp;$BI$1)</f>
        <v>0</v>
      </c>
      <c r="BR17" s="142">
        <f>SUMIFS(領用表!$L:$L,領用表!$E:$E,$B17,領用表!$B:$B,BR$2&amp;$BI$1)</f>
        <v>0</v>
      </c>
      <c r="BS17" s="142">
        <f>SUMIFS(領用表!$L:$L,領用表!$E:$E,$B17,領用表!$B:$B,BS$2&amp;$BI$1)</f>
        <v>0</v>
      </c>
      <c r="BT17" s="142">
        <f>SUMIFS(領用表!$L:$L,領用表!$E:$E,$B17,領用表!$B:$B,BT$2&amp;$BI$1)</f>
        <v>0</v>
      </c>
      <c r="BU17" s="142">
        <f t="shared" si="2"/>
        <v>1</v>
      </c>
      <c r="BV17" s="142">
        <f t="shared" si="3"/>
        <v>0.2</v>
      </c>
      <c r="BW17" s="142">
        <f>SUMIF(Summary!B:B,B17,Summary!DU:DU)</f>
        <v>8</v>
      </c>
      <c r="BX17" s="108"/>
      <c r="BY17" s="65"/>
      <c r="BZ17" s="65"/>
      <c r="CA17" s="65" t="s">
        <v>150</v>
      </c>
      <c r="CB17" s="27"/>
      <c r="CC17" s="69"/>
      <c r="CD17" s="14"/>
      <c r="CE17" s="29"/>
    </row>
    <row r="18" spans="1:83" ht="15.75" customHeight="1">
      <c r="A18" s="27" t="s">
        <v>644</v>
      </c>
      <c r="B18" s="14">
        <v>6200016</v>
      </c>
      <c r="C18" s="135" t="s">
        <v>507</v>
      </c>
      <c r="D18" s="67">
        <v>1</v>
      </c>
      <c r="E18" s="17" t="s">
        <v>145</v>
      </c>
      <c r="F18" s="18">
        <v>3</v>
      </c>
      <c r="G18" s="1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68"/>
      <c r="AT18" s="26"/>
      <c r="AU18" s="19" t="s">
        <v>49</v>
      </c>
      <c r="AV18" s="19" t="s">
        <v>49</v>
      </c>
      <c r="AW18" s="19" t="s">
        <v>49</v>
      </c>
      <c r="AX18" s="19" t="s">
        <v>49</v>
      </c>
      <c r="AY18" s="19" t="s">
        <v>49</v>
      </c>
      <c r="AZ18" s="20">
        <f>SUMIFS(領用表!$L:$L,領用表!$E:$E,$B18,領用表!$B:$B,AZ$2&amp;$BI$1)</f>
        <v>0</v>
      </c>
      <c r="BA18" s="20">
        <f>SUMIFS(領用表!$L:$L,領用表!$E:$E,$B18,領用表!$B:$B,BA$2&amp;$BI$1)</f>
        <v>3</v>
      </c>
      <c r="BB18" s="20">
        <f>SUMIFS(領用表!$L:$L,領用表!$E:$E,$B18,領用表!$B:$B,BB$2&amp;$BI$1)</f>
        <v>11</v>
      </c>
      <c r="BC18" s="20">
        <f>SUMIFS(領用表!$L:$L,領用表!$E:$E,$B18,領用表!$B:$B,BC$2&amp;$BI$1)</f>
        <v>35</v>
      </c>
      <c r="BD18" s="142">
        <f>SUMIFS(領用表!$L:$L,領用表!$E:$E,$B18,領用表!$B:$B,BD$2&amp;$BI$1)</f>
        <v>0</v>
      </c>
      <c r="BE18" s="142">
        <f>SUMIFS(領用表!$L:$L,領用表!$E:$E,$B18,領用表!$B:$B,BE$2&amp;$BI$1)</f>
        <v>4</v>
      </c>
      <c r="BF18" s="142">
        <f>SUMIFS(領用表!$L:$L,領用表!$E:$E,$B18,領用表!$B:$B,BF$2&amp;$BI$1)</f>
        <v>6</v>
      </c>
      <c r="BG18" s="23">
        <f t="shared" si="0"/>
        <v>59</v>
      </c>
      <c r="BH18" s="23">
        <f t="shared" si="1"/>
        <v>8.4285714285714288</v>
      </c>
      <c r="BI18" s="142">
        <f>SUMIFS(領用表!$L:$L,領用表!$E:$E,$B18,領用表!$B:$B,BI$2&amp;$BI$1)</f>
        <v>7</v>
      </c>
      <c r="BJ18" s="142">
        <f>SUMIFS(領用表!$L:$L,領用表!$E:$E,$B18,領用表!$B:$B,BJ$2&amp;$BI$1)</f>
        <v>2</v>
      </c>
      <c r="BK18" s="142">
        <f>SUMIFS(領用表!$L:$L,領用表!$E:$E,$B18,領用表!$B:$B,BK$2&amp;$BI$1)</f>
        <v>9</v>
      </c>
      <c r="BL18" s="142">
        <f>SUMIFS(領用表!$L:$L,領用表!$E:$E,$B18,領用表!$B:$B,BL$2&amp;$BI$1)</f>
        <v>11</v>
      </c>
      <c r="BM18" s="142">
        <f>SUMIFS(領用表!$L:$L,領用表!$E:$E,$B18,領用表!$B:$B,BM$2&amp;$BI$1)</f>
        <v>6</v>
      </c>
      <c r="BN18" s="142">
        <f>SUMIFS(領用表!$L:$L,領用表!$E:$E,$B18,領用表!$B:$B,BN$2&amp;$BI$1)</f>
        <v>0</v>
      </c>
      <c r="BO18" s="142">
        <f>SUMIFS(領用表!$L:$L,領用表!$E:$E,$B18,領用表!$B:$B,BO$2&amp;$BI$1)</f>
        <v>0</v>
      </c>
      <c r="BP18" s="142">
        <f>SUMIFS(領用表!$L:$L,領用表!$E:$E,$B18,領用表!$B:$B,BP$2&amp;$BI$1)</f>
        <v>0</v>
      </c>
      <c r="BQ18" s="142">
        <f>SUMIFS(領用表!$L:$L,領用表!$E:$E,$B18,領用表!$B:$B,BQ$2&amp;$BI$1)</f>
        <v>0</v>
      </c>
      <c r="BR18" s="142">
        <f>SUMIFS(領用表!$L:$L,領用表!$E:$E,$B18,領用表!$B:$B,BR$2&amp;$BI$1)</f>
        <v>0</v>
      </c>
      <c r="BS18" s="142">
        <f>SUMIFS(領用表!$L:$L,領用表!$E:$E,$B18,領用表!$B:$B,BS$2&amp;$BI$1)</f>
        <v>0</v>
      </c>
      <c r="BT18" s="142">
        <f>SUMIFS(領用表!$L:$L,領用表!$E:$E,$B18,領用表!$B:$B,BT$2&amp;$BI$1)</f>
        <v>0</v>
      </c>
      <c r="BU18" s="142">
        <f t="shared" si="2"/>
        <v>35</v>
      </c>
      <c r="BV18" s="142">
        <f t="shared" si="3"/>
        <v>7</v>
      </c>
      <c r="BW18" s="142">
        <f>SUMIF(Summary!B:B,B18,Summary!DU:DU)</f>
        <v>12</v>
      </c>
      <c r="BX18" s="108"/>
      <c r="BY18" s="65"/>
      <c r="BZ18" s="54"/>
      <c r="CA18" s="54" t="s">
        <v>151</v>
      </c>
      <c r="CB18" s="27"/>
      <c r="CC18" s="69"/>
      <c r="CD18" s="14"/>
      <c r="CE18" s="29"/>
    </row>
    <row r="19" spans="1:83" ht="15.75" customHeight="1">
      <c r="A19" s="27"/>
      <c r="B19" s="178">
        <v>6200017</v>
      </c>
      <c r="C19" s="179" t="s">
        <v>432</v>
      </c>
      <c r="D19" s="67">
        <v>1</v>
      </c>
      <c r="E19" s="17"/>
      <c r="F19" s="18"/>
      <c r="G19" s="1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68"/>
      <c r="AT19" s="26"/>
      <c r="AU19" s="19" t="s">
        <v>49</v>
      </c>
      <c r="AV19" s="19" t="s">
        <v>49</v>
      </c>
      <c r="AW19" s="19" t="s">
        <v>49</v>
      </c>
      <c r="AX19" s="19" t="s">
        <v>49</v>
      </c>
      <c r="AY19" s="19" t="s">
        <v>49</v>
      </c>
      <c r="AZ19" s="20">
        <f>SUMIFS(領用表!$L:$L,領用表!$E:$E,$B19,領用表!$B:$B,AZ$2&amp;$BI$1)</f>
        <v>0</v>
      </c>
      <c r="BA19" s="20">
        <f>SUMIFS(領用表!$L:$L,領用表!$E:$E,$B19,領用表!$B:$B,BA$2&amp;$BI$1)</f>
        <v>0</v>
      </c>
      <c r="BB19" s="20">
        <f>SUMIFS(領用表!$L:$L,領用表!$E:$E,$B19,領用表!$B:$B,BB$2&amp;$BI$1)</f>
        <v>0</v>
      </c>
      <c r="BC19" s="20">
        <f>SUMIFS(領用表!$L:$L,領用表!$E:$E,$B19,領用表!$B:$B,BC$2&amp;$BI$1)</f>
        <v>0</v>
      </c>
      <c r="BD19" s="142">
        <f>SUMIFS(領用表!$L:$L,領用表!$E:$E,$B19,領用表!$B:$B,BD$2&amp;$BI$1)</f>
        <v>171</v>
      </c>
      <c r="BE19" s="142">
        <f>SUMIFS(領用表!$L:$L,領用表!$E:$E,$B19,領用表!$B:$B,BE$2&amp;$BI$1)</f>
        <v>0</v>
      </c>
      <c r="BF19" s="142">
        <f>SUMIFS(領用表!$L:$L,領用表!$E:$E,$B19,領用表!$B:$B,BF$2&amp;$BI$1)</f>
        <v>9</v>
      </c>
      <c r="BG19" s="23">
        <f t="shared" si="0"/>
        <v>180</v>
      </c>
      <c r="BH19" s="23">
        <f t="shared" si="1"/>
        <v>25.714285714285715</v>
      </c>
      <c r="BI19" s="142">
        <f>SUMIFS(領用表!$L:$L,領用表!$E:$E,$B19,領用表!$B:$B,BI$2&amp;$BI$1)</f>
        <v>500</v>
      </c>
      <c r="BJ19" s="142">
        <f>SUMIFS(領用表!$L:$L,領用表!$E:$E,$B19,領用表!$B:$B,BJ$2&amp;$BI$1)</f>
        <v>1</v>
      </c>
      <c r="BK19" s="142">
        <f>SUMIFS(領用表!$L:$L,領用表!$E:$E,$B19,領用表!$B:$B,BK$2&amp;$BI$1)</f>
        <v>639.79999999999995</v>
      </c>
      <c r="BL19" s="142">
        <f>SUMIFS(領用表!$L:$L,領用表!$E:$E,$B19,領用表!$B:$B,BL$2&amp;$BI$1)</f>
        <v>1444</v>
      </c>
      <c r="BM19" s="142">
        <f>SUMIFS(領用表!$L:$L,領用表!$E:$E,$B19,領用表!$B:$B,BM$2&amp;$BI$1)</f>
        <v>1127.1199999999999</v>
      </c>
      <c r="BN19" s="142">
        <f>SUMIFS(領用表!$L:$L,領用表!$E:$E,$B19,領用表!$B:$B,BN$2&amp;$BI$1)</f>
        <v>0</v>
      </c>
      <c r="BO19" s="142">
        <f>SUMIFS(領用表!$L:$L,領用表!$E:$E,$B19,領用表!$B:$B,BO$2&amp;$BI$1)</f>
        <v>0</v>
      </c>
      <c r="BP19" s="142">
        <f>SUMIFS(領用表!$L:$L,領用表!$E:$E,$B19,領用表!$B:$B,BP$2&amp;$BI$1)</f>
        <v>0</v>
      </c>
      <c r="BQ19" s="142">
        <f>SUMIFS(領用表!$L:$L,領用表!$E:$E,$B19,領用表!$B:$B,BQ$2&amp;$BI$1)</f>
        <v>0</v>
      </c>
      <c r="BR19" s="142">
        <f>SUMIFS(領用表!$L:$L,領用表!$E:$E,$B19,領用表!$B:$B,BR$2&amp;$BI$1)</f>
        <v>0</v>
      </c>
      <c r="BS19" s="142">
        <f>SUMIFS(領用表!$L:$L,領用表!$E:$E,$B19,領用表!$B:$B,BS$2&amp;$BI$1)</f>
        <v>0</v>
      </c>
      <c r="BT19" s="142">
        <f>SUMIFS(領用表!$L:$L,領用表!$E:$E,$B19,領用表!$B:$B,BT$2&amp;$BI$1)</f>
        <v>0</v>
      </c>
      <c r="BU19" s="142">
        <f t="shared" si="2"/>
        <v>3711.92</v>
      </c>
      <c r="BV19" s="142">
        <f t="shared" si="3"/>
        <v>742.38400000000001</v>
      </c>
      <c r="BW19" s="142">
        <f>SUMIF(Summary!B:B,B19,Summary!DU:DU)</f>
        <v>0</v>
      </c>
      <c r="BX19" s="108"/>
      <c r="BY19" s="65"/>
      <c r="BZ19" s="54"/>
      <c r="CA19" s="54" t="s">
        <v>151</v>
      </c>
      <c r="CB19" s="27"/>
      <c r="CC19" s="69"/>
      <c r="CD19" s="14"/>
      <c r="CE19" s="29"/>
    </row>
    <row r="20" spans="1:83" ht="15.75" customHeight="1">
      <c r="A20" s="27"/>
      <c r="B20" s="178">
        <v>6200018</v>
      </c>
      <c r="C20" s="179" t="s">
        <v>700</v>
      </c>
      <c r="D20" s="67">
        <v>1</v>
      </c>
      <c r="E20" s="17"/>
      <c r="F20" s="18"/>
      <c r="G20" s="1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68"/>
      <c r="AT20" s="26"/>
      <c r="AU20" s="19" t="s">
        <v>49</v>
      </c>
      <c r="AV20" s="19" t="s">
        <v>49</v>
      </c>
      <c r="AW20" s="19" t="s">
        <v>49</v>
      </c>
      <c r="AX20" s="19" t="s">
        <v>49</v>
      </c>
      <c r="AY20" s="19" t="s">
        <v>49</v>
      </c>
      <c r="AZ20" s="20">
        <f>SUMIFS(領用表!$L:$L,領用表!$E:$E,$B20,領用表!$B:$B,AZ$2&amp;$BI$1)</f>
        <v>0</v>
      </c>
      <c r="BA20" s="20">
        <f>SUMIFS(領用表!$L:$L,領用表!$E:$E,$B20,領用表!$B:$B,BA$2&amp;$BI$1)</f>
        <v>0</v>
      </c>
      <c r="BB20" s="20">
        <f>SUMIFS(領用表!$L:$L,領用表!$E:$E,$B20,領用表!$B:$B,BB$2&amp;$BI$1)</f>
        <v>0</v>
      </c>
      <c r="BC20" s="20">
        <f>SUMIFS(領用表!$L:$L,領用表!$E:$E,$B20,領用表!$B:$B,BC$2&amp;$BI$1)</f>
        <v>0</v>
      </c>
      <c r="BD20" s="142">
        <f>SUMIFS(領用表!$L:$L,領用表!$E:$E,$B20,領用表!$B:$B,BD$2&amp;$BI$1)</f>
        <v>0</v>
      </c>
      <c r="BE20" s="142">
        <f>SUMIFS(領用表!$L:$L,領用表!$E:$E,$B20,領用表!$B:$B,BE$2&amp;$BI$1)</f>
        <v>0</v>
      </c>
      <c r="BF20" s="142">
        <f>SUMIFS(領用表!$L:$L,領用表!$E:$E,$B20,領用表!$B:$B,BF$2&amp;$BI$1)</f>
        <v>0</v>
      </c>
      <c r="BG20" s="23">
        <f t="shared" si="0"/>
        <v>0</v>
      </c>
      <c r="BH20" s="23">
        <f t="shared" si="1"/>
        <v>0</v>
      </c>
      <c r="BI20" s="142">
        <f>SUMIFS(領用表!$L:$L,領用表!$E:$E,$B20,領用表!$B:$B,BI$2&amp;$BI$1)</f>
        <v>0</v>
      </c>
      <c r="BJ20" s="142">
        <f>SUMIFS(領用表!$L:$L,領用表!$E:$E,$B20,領用表!$B:$B,BJ$2&amp;$BI$1)</f>
        <v>0</v>
      </c>
      <c r="BK20" s="142">
        <f>SUMIFS(領用表!$L:$L,領用表!$E:$E,$B20,領用表!$B:$B,BK$2&amp;$BI$1)</f>
        <v>0</v>
      </c>
      <c r="BL20" s="142">
        <f>SUMIFS(領用表!$L:$L,領用表!$E:$E,$B20,領用表!$B:$B,BL$2&amp;$BI$1)</f>
        <v>0</v>
      </c>
      <c r="BM20" s="142">
        <f>SUMIFS(領用表!$L:$L,領用表!$E:$E,$B20,領用表!$B:$B,BM$2&amp;$BI$1)</f>
        <v>0</v>
      </c>
      <c r="BN20" s="142">
        <f>SUMIFS(領用表!$L:$L,領用表!$E:$E,$B20,領用表!$B:$B,BN$2&amp;$BI$1)</f>
        <v>0</v>
      </c>
      <c r="BO20" s="142">
        <f>SUMIFS(領用表!$L:$L,領用表!$E:$E,$B20,領用表!$B:$B,BO$2&amp;$BI$1)</f>
        <v>0</v>
      </c>
      <c r="BP20" s="142">
        <f>SUMIFS(領用表!$L:$L,領用表!$E:$E,$B20,領用表!$B:$B,BP$2&amp;$BI$1)</f>
        <v>0</v>
      </c>
      <c r="BQ20" s="142">
        <f>SUMIFS(領用表!$L:$L,領用表!$E:$E,$B20,領用表!$B:$B,BQ$2&amp;$BI$1)</f>
        <v>0</v>
      </c>
      <c r="BR20" s="142">
        <f>SUMIFS(領用表!$L:$L,領用表!$E:$E,$B20,領用表!$B:$B,BR$2&amp;$BI$1)</f>
        <v>0</v>
      </c>
      <c r="BS20" s="142">
        <f>SUMIFS(領用表!$L:$L,領用表!$E:$E,$B20,領用表!$B:$B,BS$2&amp;$BI$1)</f>
        <v>0</v>
      </c>
      <c r="BT20" s="142">
        <f>SUMIFS(領用表!$L:$L,領用表!$E:$E,$B20,領用表!$B:$B,BT$2&amp;$BI$1)</f>
        <v>0</v>
      </c>
      <c r="BU20" s="142">
        <f t="shared" si="2"/>
        <v>0</v>
      </c>
      <c r="BV20" s="142">
        <f t="shared" si="3"/>
        <v>0</v>
      </c>
      <c r="BW20" s="142">
        <f>SUMIF(Summary!B:B,B20,Summary!DU:DU)</f>
        <v>50</v>
      </c>
      <c r="BX20" s="108"/>
      <c r="BY20" s="65"/>
      <c r="BZ20" s="54"/>
      <c r="CA20" s="54" t="s">
        <v>151</v>
      </c>
      <c r="CB20" s="27"/>
      <c r="CC20" s="69"/>
      <c r="CD20" s="14"/>
      <c r="CE20" s="29"/>
    </row>
    <row r="21" spans="1:83" ht="15.75" customHeight="1">
      <c r="A21" s="27"/>
      <c r="B21" s="178">
        <v>6200020</v>
      </c>
      <c r="C21" s="179" t="s">
        <v>702</v>
      </c>
      <c r="D21" s="67">
        <v>1</v>
      </c>
      <c r="E21" s="17"/>
      <c r="F21" s="18"/>
      <c r="G21" s="1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68"/>
      <c r="AT21" s="26"/>
      <c r="AU21" s="19" t="s">
        <v>49</v>
      </c>
      <c r="AV21" s="19" t="s">
        <v>49</v>
      </c>
      <c r="AW21" s="19" t="s">
        <v>49</v>
      </c>
      <c r="AX21" s="19" t="s">
        <v>49</v>
      </c>
      <c r="AY21" s="19" t="s">
        <v>49</v>
      </c>
      <c r="AZ21" s="20">
        <f>SUMIFS(領用表!$L:$L,領用表!$E:$E,$B21,領用表!$B:$B,AZ$2&amp;$BI$1)</f>
        <v>0</v>
      </c>
      <c r="BA21" s="20">
        <f>SUMIFS(領用表!$L:$L,領用表!$E:$E,$B21,領用表!$B:$B,BA$2&amp;$BI$1)</f>
        <v>0</v>
      </c>
      <c r="BB21" s="20">
        <f>SUMIFS(領用表!$L:$L,領用表!$E:$E,$B21,領用表!$B:$B,BB$2&amp;$BI$1)</f>
        <v>0</v>
      </c>
      <c r="BC21" s="20">
        <f>SUMIFS(領用表!$L:$L,領用表!$E:$E,$B21,領用表!$B:$B,BC$2&amp;$BI$1)</f>
        <v>0</v>
      </c>
      <c r="BD21" s="142">
        <f>SUMIFS(領用表!$L:$L,領用表!$E:$E,$B21,領用表!$B:$B,BD$2&amp;$BI$1)</f>
        <v>0</v>
      </c>
      <c r="BE21" s="142">
        <f>SUMIFS(領用表!$L:$L,領用表!$E:$E,$B21,領用表!$B:$B,BE$2&amp;$BI$1)</f>
        <v>0</v>
      </c>
      <c r="BF21" s="142">
        <f>SUMIFS(領用表!$L:$L,領用表!$E:$E,$B21,領用表!$B:$B,BF$2&amp;$BI$1)</f>
        <v>1</v>
      </c>
      <c r="BG21" s="23">
        <f t="shared" si="0"/>
        <v>1</v>
      </c>
      <c r="BH21" s="23">
        <f t="shared" si="1"/>
        <v>0.14285714285714285</v>
      </c>
      <c r="BI21" s="142">
        <f>SUMIFS(領用表!$L:$L,領用表!$E:$E,$B21,領用表!$B:$B,BI$2&amp;$BI$1)</f>
        <v>1</v>
      </c>
      <c r="BJ21" s="142">
        <f>SUMIFS(領用表!$L:$L,領用表!$E:$E,$B21,領用表!$B:$B,BJ$2&amp;$BI$1)</f>
        <v>0</v>
      </c>
      <c r="BK21" s="142">
        <f>SUMIFS(領用表!$L:$L,領用表!$E:$E,$B21,領用表!$B:$B,BK$2&amp;$BI$1)</f>
        <v>4</v>
      </c>
      <c r="BL21" s="142">
        <f>SUMIFS(領用表!$L:$L,領用表!$E:$E,$B21,領用表!$B:$B,BL$2&amp;$BI$1)</f>
        <v>0</v>
      </c>
      <c r="BM21" s="142">
        <f>SUMIFS(領用表!$L:$L,領用表!$E:$E,$B21,領用表!$B:$B,BM$2&amp;$BI$1)</f>
        <v>0</v>
      </c>
      <c r="BN21" s="142">
        <f>SUMIFS(領用表!$L:$L,領用表!$E:$E,$B21,領用表!$B:$B,BN$2&amp;$BI$1)</f>
        <v>0</v>
      </c>
      <c r="BO21" s="142">
        <f>SUMIFS(領用表!$L:$L,領用表!$E:$E,$B21,領用表!$B:$B,BO$2&amp;$BI$1)</f>
        <v>0</v>
      </c>
      <c r="BP21" s="142">
        <f>SUMIFS(領用表!$L:$L,領用表!$E:$E,$B21,領用表!$B:$B,BP$2&amp;$BI$1)</f>
        <v>0</v>
      </c>
      <c r="BQ21" s="142">
        <f>SUMIFS(領用表!$L:$L,領用表!$E:$E,$B21,領用表!$B:$B,BQ$2&amp;$BI$1)</f>
        <v>0</v>
      </c>
      <c r="BR21" s="142">
        <f>SUMIFS(領用表!$L:$L,領用表!$E:$E,$B21,領用表!$B:$B,BR$2&amp;$BI$1)</f>
        <v>0</v>
      </c>
      <c r="BS21" s="142">
        <f>SUMIFS(領用表!$L:$L,領用表!$E:$E,$B21,領用表!$B:$B,BS$2&amp;$BI$1)</f>
        <v>0</v>
      </c>
      <c r="BT21" s="142">
        <f>SUMIFS(領用表!$L:$L,領用表!$E:$E,$B21,領用表!$B:$B,BT$2&amp;$BI$1)</f>
        <v>0</v>
      </c>
      <c r="BU21" s="142">
        <f t="shared" si="2"/>
        <v>5</v>
      </c>
      <c r="BV21" s="142">
        <f t="shared" si="3"/>
        <v>1</v>
      </c>
      <c r="BW21" s="142">
        <f>SUMIF(Summary!B:B,B21,Summary!DU:DU)</f>
        <v>0</v>
      </c>
      <c r="BX21" s="108"/>
      <c r="BY21" s="65"/>
      <c r="BZ21" s="54"/>
      <c r="CA21" s="54" t="s">
        <v>151</v>
      </c>
      <c r="CB21" s="27"/>
      <c r="CC21" s="69"/>
      <c r="CD21" s="14"/>
      <c r="CE21" s="29"/>
    </row>
    <row r="22" spans="1:83" ht="15.75" customHeight="1">
      <c r="A22" s="27"/>
      <c r="B22" s="178">
        <v>6200021</v>
      </c>
      <c r="C22" s="179" t="s">
        <v>694</v>
      </c>
      <c r="D22" s="67">
        <v>1</v>
      </c>
      <c r="E22" s="17"/>
      <c r="F22" s="18">
        <v>0</v>
      </c>
      <c r="G22" s="1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68"/>
      <c r="AT22" s="26"/>
      <c r="AU22" s="19" t="s">
        <v>49</v>
      </c>
      <c r="AV22" s="19" t="s">
        <v>49</v>
      </c>
      <c r="AW22" s="19" t="s">
        <v>49</v>
      </c>
      <c r="AX22" s="19" t="s">
        <v>49</v>
      </c>
      <c r="AY22" s="19" t="s">
        <v>49</v>
      </c>
      <c r="AZ22" s="20">
        <f>SUMIFS(領用表!$L:$L,領用表!$E:$E,$B22,領用表!$B:$B,AZ$2&amp;$BI$1)</f>
        <v>0</v>
      </c>
      <c r="BA22" s="20">
        <f>SUMIFS(領用表!$L:$L,領用表!$E:$E,$B22,領用表!$B:$B,BA$2&amp;$BI$1)</f>
        <v>0</v>
      </c>
      <c r="BB22" s="20">
        <f>SUMIFS(領用表!$L:$L,領用表!$E:$E,$B22,領用表!$B:$B,BB$2&amp;$BI$1)</f>
        <v>0</v>
      </c>
      <c r="BC22" s="20">
        <f>SUMIFS(領用表!$L:$L,領用表!$E:$E,$B22,領用表!$B:$B,BC$2&amp;$BI$1)</f>
        <v>0</v>
      </c>
      <c r="BD22" s="142">
        <f>SUMIFS(領用表!$L:$L,領用表!$E:$E,$B22,領用表!$B:$B,BD$2&amp;$BI$1)</f>
        <v>31</v>
      </c>
      <c r="BE22" s="142">
        <f>SUMIFS(領用表!$L:$L,領用表!$E:$E,$B22,領用表!$B:$B,BE$2&amp;$BI$1)</f>
        <v>436</v>
      </c>
      <c r="BF22" s="142">
        <f>SUMIFS(領用表!$L:$L,領用表!$E:$E,$B22,領用表!$B:$B,BF$2&amp;$BI$1)</f>
        <v>457</v>
      </c>
      <c r="BG22" s="23">
        <f t="shared" si="0"/>
        <v>924</v>
      </c>
      <c r="BH22" s="23">
        <f t="shared" si="1"/>
        <v>132</v>
      </c>
      <c r="BI22" s="142">
        <f>SUMIFS(領用表!$L:$L,領用表!$E:$E,$B22,領用表!$B:$B,BI$2&amp;$BI$1)</f>
        <v>327</v>
      </c>
      <c r="BJ22" s="142">
        <f>SUMIFS(領用表!$L:$L,領用表!$E:$E,$B22,領用表!$B:$B,BJ$2&amp;$BI$1)</f>
        <v>956.68000000000006</v>
      </c>
      <c r="BK22" s="142">
        <f>SUMIFS(領用表!$L:$L,領用表!$E:$E,$B22,領用表!$B:$B,BK$2&amp;$BI$1)</f>
        <v>840.5</v>
      </c>
      <c r="BL22" s="142">
        <f>SUMIFS(領用表!$L:$L,領用表!$E:$E,$B22,領用表!$B:$B,BL$2&amp;$BI$1)</f>
        <v>0</v>
      </c>
      <c r="BM22" s="142">
        <f>SUMIFS(領用表!$L:$L,領用表!$E:$E,$B22,領用表!$B:$B,BM$2&amp;$BI$1)</f>
        <v>0</v>
      </c>
      <c r="BN22" s="142">
        <f>SUMIFS(領用表!$L:$L,領用表!$E:$E,$B22,領用表!$B:$B,BN$2&amp;$BI$1)</f>
        <v>0</v>
      </c>
      <c r="BO22" s="142">
        <f>SUMIFS(領用表!$L:$L,領用表!$E:$E,$B22,領用表!$B:$B,BO$2&amp;$BI$1)</f>
        <v>0</v>
      </c>
      <c r="BP22" s="142">
        <f>SUMIFS(領用表!$L:$L,領用表!$E:$E,$B22,領用表!$B:$B,BP$2&amp;$BI$1)</f>
        <v>0</v>
      </c>
      <c r="BQ22" s="142">
        <f>SUMIFS(領用表!$L:$L,領用表!$E:$E,$B22,領用表!$B:$B,BQ$2&amp;$BI$1)</f>
        <v>0</v>
      </c>
      <c r="BR22" s="142">
        <f>SUMIFS(領用表!$L:$L,領用表!$E:$E,$B22,領用表!$B:$B,BR$2&amp;$BI$1)</f>
        <v>0</v>
      </c>
      <c r="BS22" s="142">
        <f>SUMIFS(領用表!$L:$L,領用表!$E:$E,$B22,領用表!$B:$B,BS$2&amp;$BI$1)</f>
        <v>0</v>
      </c>
      <c r="BT22" s="142">
        <f>SUMIFS(領用表!$L:$L,領用表!$E:$E,$B22,領用表!$B:$B,BT$2&amp;$BI$1)</f>
        <v>0</v>
      </c>
      <c r="BU22" s="142">
        <f t="shared" si="2"/>
        <v>2124.1800000000003</v>
      </c>
      <c r="BV22" s="142">
        <f t="shared" si="3"/>
        <v>424.83600000000007</v>
      </c>
      <c r="BW22" s="142">
        <f>SUMIF(Summary!B:B,B22,Summary!DU:DU)</f>
        <v>0</v>
      </c>
      <c r="BX22" s="108"/>
      <c r="BY22" s="65"/>
      <c r="BZ22" s="54"/>
      <c r="CA22" s="54" t="s">
        <v>151</v>
      </c>
      <c r="CB22" s="27"/>
      <c r="CC22" s="69"/>
      <c r="CD22" s="14"/>
      <c r="CE22" s="29"/>
    </row>
    <row r="23" spans="1:83" ht="15.75" customHeight="1">
      <c r="A23" s="27"/>
      <c r="B23" s="14">
        <v>6200022</v>
      </c>
      <c r="C23" s="429" t="s">
        <v>953</v>
      </c>
      <c r="D23" s="67"/>
      <c r="E23" s="17">
        <v>654</v>
      </c>
      <c r="F23" s="18">
        <f>642+654</f>
        <v>1296</v>
      </c>
      <c r="G23" s="1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68"/>
      <c r="AT23" s="26"/>
      <c r="AU23" s="19"/>
      <c r="AV23" s="19"/>
      <c r="AW23" s="19"/>
      <c r="AX23" s="19"/>
      <c r="AY23" s="19"/>
      <c r="AZ23" s="20"/>
      <c r="BA23" s="20"/>
      <c r="BB23" s="20"/>
      <c r="BC23" s="20"/>
      <c r="BD23" s="142"/>
      <c r="BE23" s="142"/>
      <c r="BF23" s="142"/>
      <c r="BG23" s="23"/>
      <c r="BH23" s="23"/>
      <c r="BI23" s="142">
        <f>SUMIFS(領用表!$L:$L,領用表!$E:$E,$B23,領用表!$B:$B,BI$2&amp;$BI$1)</f>
        <v>0</v>
      </c>
      <c r="BJ23" s="142">
        <f>SUMIFS(領用表!$L:$L,領用表!$E:$E,$B23,領用表!$B:$B,BJ$2&amp;$BI$1)</f>
        <v>0</v>
      </c>
      <c r="BK23" s="142">
        <f>SUMIFS(領用表!$L:$L,領用表!$E:$E,$B23,領用表!$B:$B,BK$2&amp;$BI$1)</f>
        <v>0</v>
      </c>
      <c r="BL23" s="142">
        <f>SUMIFS(領用表!$L:$L,領用表!$E:$E,$B23,領用表!$B:$B,BL$2&amp;$BI$1)</f>
        <v>0</v>
      </c>
      <c r="BM23" s="142">
        <f>SUMIFS(領用表!$L:$L,領用表!$E:$E,$B23,領用表!$B:$B,BM$2&amp;$BI$1)</f>
        <v>0</v>
      </c>
      <c r="BN23" s="142"/>
      <c r="BO23" s="142"/>
      <c r="BP23" s="142"/>
      <c r="BQ23" s="142"/>
      <c r="BR23" s="142"/>
      <c r="BS23" s="142"/>
      <c r="BT23" s="142"/>
      <c r="BU23" s="142">
        <f t="shared" ref="BU23" si="4">SUM(BI23,BJ23,BK23,BL23,BM23)</f>
        <v>0</v>
      </c>
      <c r="BV23" s="142">
        <f t="shared" ref="BV23" si="5">AVERAGE(BI23,BJ23,BK23,BL23,BM23)</f>
        <v>0</v>
      </c>
      <c r="BW23" s="142"/>
      <c r="BX23" s="108"/>
      <c r="BY23" s="65"/>
      <c r="BZ23" s="54"/>
      <c r="CA23" s="54"/>
      <c r="CB23" s="27"/>
      <c r="CC23" s="69"/>
      <c r="CD23" s="14"/>
      <c r="CE23" s="29"/>
    </row>
    <row r="24" spans="1:83" ht="15.75" customHeight="1">
      <c r="A24" s="27" t="s">
        <v>152</v>
      </c>
      <c r="B24" s="14">
        <v>6120001</v>
      </c>
      <c r="C24" s="411" t="s">
        <v>964</v>
      </c>
      <c r="D24" s="67">
        <v>20</v>
      </c>
      <c r="E24" s="17" t="s">
        <v>15</v>
      </c>
      <c r="F24" s="18">
        <v>738</v>
      </c>
      <c r="G24" s="1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19">
        <v>40</v>
      </c>
      <c r="AH24" s="19">
        <v>31</v>
      </c>
      <c r="AI24" s="19">
        <v>28</v>
      </c>
      <c r="AJ24" s="19">
        <v>47</v>
      </c>
      <c r="AK24" s="19">
        <v>74</v>
      </c>
      <c r="AL24" s="19">
        <v>82</v>
      </c>
      <c r="AM24" s="19">
        <v>94</v>
      </c>
      <c r="AN24" s="19">
        <v>150</v>
      </c>
      <c r="AO24" s="19">
        <v>286</v>
      </c>
      <c r="AP24" s="19">
        <v>262</v>
      </c>
      <c r="AQ24" s="19">
        <v>257</v>
      </c>
      <c r="AR24" s="19">
        <v>283</v>
      </c>
      <c r="AS24" s="68">
        <f t="shared" ref="AS24:AS62" si="6">SUM(AG24:AR24)</f>
        <v>1634</v>
      </c>
      <c r="AT24" s="26">
        <f t="shared" ref="AT24:AT62" si="7">AS24/12</f>
        <v>136.16666666666666</v>
      </c>
      <c r="AU24" s="19">
        <v>250</v>
      </c>
      <c r="AV24" s="19">
        <v>33</v>
      </c>
      <c r="AW24" s="19">
        <v>299</v>
      </c>
      <c r="AX24" s="19">
        <v>390</v>
      </c>
      <c r="AY24" s="19">
        <f>2+364</f>
        <v>366</v>
      </c>
      <c r="AZ24" s="20">
        <f>SUMIFS(領用表!$L:$L,領用表!$E:$E,$B24,領用表!$B:$B,AZ$2&amp;$BI$1)</f>
        <v>408</v>
      </c>
      <c r="BA24" s="20">
        <f>SUMIFS(領用表!$L:$L,領用表!$E:$E,$B24,領用表!$B:$B,BA$2&amp;$BI$1)</f>
        <v>321</v>
      </c>
      <c r="BB24" s="20">
        <f>SUMIFS(領用表!$L:$L,領用表!$E:$E,$B24,領用表!$B:$B,BB$2&amp;$BI$1)</f>
        <v>273</v>
      </c>
      <c r="BC24" s="20">
        <f>SUMIFS(領用表!$L:$L,領用表!$E:$E,$B24,領用表!$B:$B,BC$2&amp;$BI$1)</f>
        <v>330</v>
      </c>
      <c r="BD24" s="142">
        <f>SUMIFS(領用表!$L:$L,領用表!$E:$E,$B24,領用表!$B:$B,BD$2&amp;$BI$1)</f>
        <v>391</v>
      </c>
      <c r="BE24" s="142">
        <f>SUMIFS(領用表!$L:$L,領用表!$E:$E,$B24,領用表!$B:$B,BE$2&amp;$BI$1)</f>
        <v>527</v>
      </c>
      <c r="BF24" s="142">
        <f>SUMIFS(領用表!$L:$L,領用表!$E:$E,$B24,領用表!$B:$B,BF$2&amp;$BI$1)</f>
        <v>550</v>
      </c>
      <c r="BG24" s="23">
        <f t="shared" si="0"/>
        <v>4138</v>
      </c>
      <c r="BH24" s="23">
        <f t="shared" si="1"/>
        <v>344.83333333333331</v>
      </c>
      <c r="BI24" s="142">
        <f>SUMIFS(領用表!$L:$L,領用表!$E:$E,$B24,領用表!$B:$B,BI$2&amp;$BI$1)</f>
        <v>609</v>
      </c>
      <c r="BJ24" s="142">
        <f>SUMIFS(領用表!$L:$L,領用表!$E:$E,$B24,領用表!$B:$B,BJ$2&amp;$BI$1)</f>
        <v>526</v>
      </c>
      <c r="BK24" s="142">
        <f>SUMIFS(領用表!$L:$L,領用表!$E:$E,$B24,領用表!$B:$B,BK$2&amp;$BI$1)</f>
        <v>733</v>
      </c>
      <c r="BL24" s="142">
        <f>SUMIFS(領用表!$L:$L,領用表!$E:$E,$B24,領用表!$B:$B,BL$2&amp;$BI$1)</f>
        <v>1031</v>
      </c>
      <c r="BM24" s="142">
        <f>SUMIFS(領用表!$L:$L,領用表!$E:$E,$B24,領用表!$B:$B,BM$2&amp;$BI$1)</f>
        <v>1410</v>
      </c>
      <c r="BN24" s="142">
        <f>SUMIFS(領用表!$L:$L,領用表!$E:$E,$B24,領用表!$B:$B,BN$2&amp;$BI$1)</f>
        <v>0</v>
      </c>
      <c r="BO24" s="142">
        <f>SUMIFS(領用表!$L:$L,領用表!$E:$E,$B24,領用表!$B:$B,BO$2&amp;$BI$1)</f>
        <v>0</v>
      </c>
      <c r="BP24" s="142">
        <f>SUMIFS(領用表!$L:$L,領用表!$E:$E,$B24,領用表!$B:$B,BP$2&amp;$BI$1)</f>
        <v>0</v>
      </c>
      <c r="BQ24" s="142">
        <f>SUMIFS(領用表!$L:$L,領用表!$E:$E,$B24,領用表!$B:$B,BQ$2&amp;$BI$1)</f>
        <v>0</v>
      </c>
      <c r="BR24" s="142">
        <f>SUMIFS(領用表!$L:$L,領用表!$E:$E,$B24,領用表!$B:$B,BR$2&amp;$BI$1)</f>
        <v>0</v>
      </c>
      <c r="BS24" s="142">
        <f>SUMIFS(領用表!$L:$L,領用表!$E:$E,$B24,領用表!$B:$B,BS$2&amp;$BI$1)</f>
        <v>0</v>
      </c>
      <c r="BT24" s="142">
        <f>SUMIFS(領用表!$L:$L,領用表!$E:$E,$B24,領用表!$B:$B,BT$2&amp;$BI$1)</f>
        <v>0</v>
      </c>
      <c r="BU24" s="142">
        <f t="shared" si="2"/>
        <v>4309</v>
      </c>
      <c r="BV24" s="142">
        <f t="shared" si="3"/>
        <v>861.8</v>
      </c>
      <c r="BW24" s="142">
        <f>SUMIF(Summary!B:B,B24,Summary!DU:DU)</f>
        <v>1000</v>
      </c>
      <c r="BX24" s="108"/>
      <c r="BY24" s="65"/>
      <c r="BZ24" s="65" t="s">
        <v>153</v>
      </c>
      <c r="CA24" s="65" t="s">
        <v>154</v>
      </c>
      <c r="CB24" s="27"/>
      <c r="CC24" s="69"/>
      <c r="CD24" s="14"/>
      <c r="CE24" s="29"/>
    </row>
    <row r="25" spans="1:83" ht="15.75" customHeight="1">
      <c r="A25" s="27" t="s">
        <v>155</v>
      </c>
      <c r="B25" s="14">
        <v>6120002</v>
      </c>
      <c r="C25" s="411" t="s">
        <v>965</v>
      </c>
      <c r="D25" s="67">
        <v>20</v>
      </c>
      <c r="E25" s="17" t="s">
        <v>15</v>
      </c>
      <c r="F25" s="18">
        <v>300.5</v>
      </c>
      <c r="G25" s="1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19">
        <v>40</v>
      </c>
      <c r="AH25" s="19">
        <v>31</v>
      </c>
      <c r="AI25" s="19">
        <v>29</v>
      </c>
      <c r="AJ25" s="19">
        <v>48</v>
      </c>
      <c r="AK25" s="19">
        <v>74</v>
      </c>
      <c r="AL25" s="19">
        <v>84</v>
      </c>
      <c r="AM25" s="19">
        <v>105</v>
      </c>
      <c r="AN25" s="19">
        <v>160</v>
      </c>
      <c r="AO25" s="19">
        <v>304</v>
      </c>
      <c r="AP25" s="19">
        <v>288.5</v>
      </c>
      <c r="AQ25" s="19">
        <v>306</v>
      </c>
      <c r="AR25" s="19">
        <v>362.5</v>
      </c>
      <c r="AS25" s="68">
        <f t="shared" si="6"/>
        <v>1832</v>
      </c>
      <c r="AT25" s="26">
        <f t="shared" si="7"/>
        <v>152.66666666666666</v>
      </c>
      <c r="AU25" s="19">
        <v>359.5</v>
      </c>
      <c r="AV25" s="19">
        <v>165</v>
      </c>
      <c r="AW25" s="19">
        <v>419.5</v>
      </c>
      <c r="AX25" s="19">
        <v>490</v>
      </c>
      <c r="AY25" s="19">
        <f>2+478</f>
        <v>480</v>
      </c>
      <c r="AZ25" s="20">
        <f>SUMIFS(領用表!$L:$L,領用表!$E:$E,$B25,領用表!$B:$B,AZ$2&amp;$BI$1)</f>
        <v>480.5</v>
      </c>
      <c r="BA25" s="20">
        <f>SUMIFS(領用表!$L:$L,領用表!$E:$E,$B25,領用表!$B:$B,BA$2&amp;$BI$1)</f>
        <v>380</v>
      </c>
      <c r="BB25" s="20">
        <f>SUMIFS(領用表!$L:$L,領用表!$E:$E,$B25,領用表!$B:$B,BB$2&amp;$BI$1)</f>
        <v>358</v>
      </c>
      <c r="BC25" s="20">
        <f>SUMIFS(領用表!$L:$L,領用表!$E:$E,$B25,領用表!$B:$B,BC$2&amp;$BI$1)</f>
        <v>410</v>
      </c>
      <c r="BD25" s="142">
        <f>SUMIFS(領用表!$L:$L,領用表!$E:$E,$B25,領用表!$B:$B,BD$2&amp;$BI$1)</f>
        <v>484</v>
      </c>
      <c r="BE25" s="142">
        <f>SUMIFS(領用表!$L:$L,領用表!$E:$E,$B25,領用表!$B:$B,BE$2&amp;$BI$1)</f>
        <v>651.5</v>
      </c>
      <c r="BF25" s="142">
        <f>SUMIFS(領用表!$L:$L,領用表!$E:$E,$B25,領用表!$B:$B,BF$2&amp;$BI$1)</f>
        <v>673.5</v>
      </c>
      <c r="BG25" s="23">
        <f t="shared" si="0"/>
        <v>5351.5</v>
      </c>
      <c r="BH25" s="23">
        <f t="shared" si="1"/>
        <v>445.95833333333331</v>
      </c>
      <c r="BI25" s="142">
        <f>SUMIFS(領用表!$L:$L,領用表!$E:$E,$B25,領用表!$B:$B,BI$2&amp;$BI$1)</f>
        <v>768.5</v>
      </c>
      <c r="BJ25" s="142">
        <f>SUMIFS(領用表!$L:$L,領用表!$E:$E,$B25,領用表!$B:$B,BJ$2&amp;$BI$1)</f>
        <v>672.5</v>
      </c>
      <c r="BK25" s="142">
        <f>SUMIFS(領用表!$L:$L,領用表!$E:$E,$B25,領用表!$B:$B,BK$2&amp;$BI$1)</f>
        <v>964.5</v>
      </c>
      <c r="BL25" s="142">
        <f>SUMIFS(領用表!$L:$L,領用表!$E:$E,$B25,領用表!$B:$B,BL$2&amp;$BI$1)</f>
        <v>1213</v>
      </c>
      <c r="BM25" s="142">
        <f>SUMIFS(領用表!$L:$L,領用表!$E:$E,$B25,領用表!$B:$B,BM$2&amp;$BI$1)</f>
        <v>1541</v>
      </c>
      <c r="BN25" s="142">
        <f>SUMIFS(領用表!$L:$L,領用表!$E:$E,$B25,領用表!$B:$B,BN$2&amp;$BI$1)</f>
        <v>0</v>
      </c>
      <c r="BO25" s="142">
        <f>SUMIFS(領用表!$L:$L,領用表!$E:$E,$B25,領用表!$B:$B,BO$2&amp;$BI$1)</f>
        <v>0</v>
      </c>
      <c r="BP25" s="142">
        <f>SUMIFS(領用表!$L:$L,領用表!$E:$E,$B25,領用表!$B:$B,BP$2&amp;$BI$1)</f>
        <v>0</v>
      </c>
      <c r="BQ25" s="142">
        <f>SUMIFS(領用表!$L:$L,領用表!$E:$E,$B25,領用表!$B:$B,BQ$2&amp;$BI$1)</f>
        <v>0</v>
      </c>
      <c r="BR25" s="142">
        <f>SUMIFS(領用表!$L:$L,領用表!$E:$E,$B25,領用表!$B:$B,BR$2&amp;$BI$1)</f>
        <v>0</v>
      </c>
      <c r="BS25" s="142">
        <f>SUMIFS(領用表!$L:$L,領用表!$E:$E,$B25,領用表!$B:$B,BS$2&amp;$BI$1)</f>
        <v>0</v>
      </c>
      <c r="BT25" s="142">
        <f>SUMIFS(領用表!$L:$L,領用表!$E:$E,$B25,領用表!$B:$B,BT$2&amp;$BI$1)</f>
        <v>0</v>
      </c>
      <c r="BU25" s="142">
        <f t="shared" si="2"/>
        <v>5159.5</v>
      </c>
      <c r="BV25" s="142">
        <f t="shared" si="3"/>
        <v>1031.9000000000001</v>
      </c>
      <c r="BW25" s="142">
        <f>SUMIF(Summary!B:B,B25,Summary!DU:DU)</f>
        <v>1200</v>
      </c>
      <c r="BX25" s="108"/>
      <c r="BY25" s="65"/>
      <c r="BZ25" s="65" t="s">
        <v>153</v>
      </c>
      <c r="CA25" s="65" t="s">
        <v>156</v>
      </c>
      <c r="CB25" s="27"/>
      <c r="CC25" s="69"/>
      <c r="CD25" s="14"/>
      <c r="CE25" s="29"/>
    </row>
    <row r="26" spans="1:83" ht="15.75" customHeight="1">
      <c r="A26" s="27" t="s">
        <v>648</v>
      </c>
      <c r="B26" s="14">
        <v>6120003</v>
      </c>
      <c r="C26" s="14" t="s">
        <v>645</v>
      </c>
      <c r="D26" s="67">
        <v>10</v>
      </c>
      <c r="E26" s="17" t="s">
        <v>15</v>
      </c>
      <c r="F26" s="18">
        <v>58</v>
      </c>
      <c r="G26" s="18"/>
      <c r="H26" s="18"/>
      <c r="I26" s="18"/>
      <c r="J26" s="1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19">
        <v>3</v>
      </c>
      <c r="AH26" s="19">
        <v>2</v>
      </c>
      <c r="AI26" s="19">
        <v>0</v>
      </c>
      <c r="AJ26" s="19">
        <v>4</v>
      </c>
      <c r="AK26" s="19">
        <v>5</v>
      </c>
      <c r="AL26" s="19">
        <v>5</v>
      </c>
      <c r="AM26" s="19">
        <v>5</v>
      </c>
      <c r="AN26" s="19">
        <v>8</v>
      </c>
      <c r="AO26" s="19">
        <v>12</v>
      </c>
      <c r="AP26" s="19">
        <v>3</v>
      </c>
      <c r="AQ26" s="19">
        <v>4</v>
      </c>
      <c r="AR26" s="19">
        <v>9</v>
      </c>
      <c r="AS26" s="68">
        <f t="shared" si="6"/>
        <v>60</v>
      </c>
      <c r="AT26" s="26">
        <f t="shared" si="7"/>
        <v>5</v>
      </c>
      <c r="AU26" s="19">
        <v>0</v>
      </c>
      <c r="AV26" s="19">
        <v>1</v>
      </c>
      <c r="AW26" s="19">
        <v>7</v>
      </c>
      <c r="AX26" s="19">
        <v>5</v>
      </c>
      <c r="AY26" s="19">
        <f>0+3</f>
        <v>3</v>
      </c>
      <c r="AZ26" s="20">
        <f>SUMIFS(領用表!$L:$L,領用表!$E:$E,$B26,領用表!$B:$B,AZ$2&amp;$BI$1)</f>
        <v>3</v>
      </c>
      <c r="BA26" s="20">
        <f>SUMIFS(領用表!$L:$L,領用表!$E:$E,$B26,領用表!$B:$B,BA$2&amp;$BI$1)</f>
        <v>0</v>
      </c>
      <c r="BB26" s="20">
        <f>SUMIFS(領用表!$L:$L,領用表!$E:$E,$B26,領用表!$B:$B,BB$2&amp;$BI$1)</f>
        <v>2</v>
      </c>
      <c r="BC26" s="20">
        <f>SUMIFS(領用表!$L:$L,領用表!$E:$E,$B26,領用表!$B:$B,BC$2&amp;$BI$1)</f>
        <v>1</v>
      </c>
      <c r="BD26" s="142">
        <f>SUMIFS(領用表!$L:$L,領用表!$E:$E,$B26,領用表!$B:$B,BD$2&amp;$BI$1)</f>
        <v>9</v>
      </c>
      <c r="BE26" s="142">
        <f>SUMIFS(領用表!$L:$L,領用表!$E:$E,$B26,領用表!$B:$B,BE$2&amp;$BI$1)</f>
        <v>17</v>
      </c>
      <c r="BF26" s="142">
        <f>SUMIFS(領用表!$L:$L,領用表!$E:$E,$B26,領用表!$B:$B,BF$2&amp;$BI$1)</f>
        <v>11</v>
      </c>
      <c r="BG26" s="23">
        <f t="shared" si="0"/>
        <v>59</v>
      </c>
      <c r="BH26" s="23">
        <f t="shared" si="1"/>
        <v>4.916666666666667</v>
      </c>
      <c r="BI26" s="142">
        <f>SUMIFS(領用表!$L:$L,領用表!$E:$E,$B26,領用表!$B:$B,BI$2&amp;$BI$1)</f>
        <v>3</v>
      </c>
      <c r="BJ26" s="142">
        <f>SUMIFS(領用表!$L:$L,領用表!$E:$E,$B26,領用表!$B:$B,BJ$2&amp;$BI$1)</f>
        <v>4</v>
      </c>
      <c r="BK26" s="142">
        <f>SUMIFS(領用表!$L:$L,領用表!$E:$E,$B26,領用表!$B:$B,BK$2&amp;$BI$1)</f>
        <v>3</v>
      </c>
      <c r="BL26" s="142">
        <f>SUMIFS(領用表!$L:$L,領用表!$E:$E,$B26,領用表!$B:$B,BL$2&amp;$BI$1)</f>
        <v>4</v>
      </c>
      <c r="BM26" s="142">
        <f>SUMIFS(領用表!$L:$L,領用表!$E:$E,$B26,領用表!$B:$B,BM$2&amp;$BI$1)</f>
        <v>7</v>
      </c>
      <c r="BN26" s="142">
        <f>SUMIFS(領用表!$L:$L,領用表!$E:$E,$B26,領用表!$B:$B,BN$2&amp;$BI$1)</f>
        <v>0</v>
      </c>
      <c r="BO26" s="142">
        <f>SUMIFS(領用表!$L:$L,領用表!$E:$E,$B26,領用表!$B:$B,BO$2&amp;$BI$1)</f>
        <v>0</v>
      </c>
      <c r="BP26" s="142">
        <f>SUMIFS(領用表!$L:$L,領用表!$E:$E,$B26,領用表!$B:$B,BP$2&amp;$BI$1)</f>
        <v>0</v>
      </c>
      <c r="BQ26" s="142">
        <f>SUMIFS(領用表!$L:$L,領用表!$E:$E,$B26,領用表!$B:$B,BQ$2&amp;$BI$1)</f>
        <v>0</v>
      </c>
      <c r="BR26" s="142">
        <f>SUMIFS(領用表!$L:$L,領用表!$E:$E,$B26,領用表!$B:$B,BR$2&amp;$BI$1)</f>
        <v>0</v>
      </c>
      <c r="BS26" s="142">
        <f>SUMIFS(領用表!$L:$L,領用表!$E:$E,$B26,領用表!$B:$B,BS$2&amp;$BI$1)</f>
        <v>0</v>
      </c>
      <c r="BT26" s="142">
        <f>SUMIFS(領用表!$L:$L,領用表!$E:$E,$B26,領用表!$B:$B,BT$2&amp;$BI$1)</f>
        <v>0</v>
      </c>
      <c r="BU26" s="142">
        <f t="shared" si="2"/>
        <v>21</v>
      </c>
      <c r="BV26" s="142">
        <f t="shared" si="3"/>
        <v>4.2</v>
      </c>
      <c r="BW26" s="142">
        <f>SUMIF(Summary!B:B,B26,Summary!DU:DU)</f>
        <v>10</v>
      </c>
      <c r="BX26" s="108"/>
      <c r="BY26" s="65"/>
      <c r="BZ26" s="65"/>
      <c r="CA26" s="65"/>
      <c r="CB26" s="27"/>
      <c r="CC26" s="69"/>
      <c r="CD26" s="14"/>
      <c r="CE26" s="29"/>
    </row>
    <row r="27" spans="1:83" ht="15.75" customHeight="1">
      <c r="A27" s="27" t="s">
        <v>649</v>
      </c>
      <c r="B27" s="14">
        <v>6120036</v>
      </c>
      <c r="C27" s="14" t="s">
        <v>647</v>
      </c>
      <c r="D27" s="67">
        <v>10</v>
      </c>
      <c r="E27" s="17" t="s">
        <v>15</v>
      </c>
      <c r="F27" s="18">
        <v>11</v>
      </c>
      <c r="G27" s="18"/>
      <c r="H27" s="18"/>
      <c r="I27" s="18"/>
      <c r="J27" s="1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68"/>
      <c r="AT27" s="26"/>
      <c r="AU27" s="19"/>
      <c r="AV27" s="19"/>
      <c r="AW27" s="19"/>
      <c r="AX27" s="19"/>
      <c r="AY27" s="19"/>
      <c r="AZ27" s="20">
        <f>SUMIFS(領用表!$L:$L,領用表!$E:$E,$B27,領用表!$B:$B,AZ$2&amp;$BI$1)</f>
        <v>0</v>
      </c>
      <c r="BA27" s="20">
        <f>SUMIFS(領用表!$L:$L,領用表!$E:$E,$B27,領用表!$B:$B,BA$2&amp;$BI$1)</f>
        <v>0</v>
      </c>
      <c r="BB27" s="20">
        <f>SUMIFS(領用表!$L:$L,領用表!$E:$E,$B27,領用表!$B:$B,BB$2&amp;$BI$1)</f>
        <v>0</v>
      </c>
      <c r="BC27" s="20">
        <f>SUMIFS(領用表!$L:$L,領用表!$E:$E,$B27,領用表!$B:$B,BC$2&amp;$BI$1)</f>
        <v>0</v>
      </c>
      <c r="BD27" s="142">
        <f>SUMIFS(領用表!$L:$L,領用表!$E:$E,$B27,領用表!$B:$B,BD$2&amp;$BI$1)</f>
        <v>4</v>
      </c>
      <c r="BE27" s="142">
        <f>SUMIFS(領用表!$L:$L,領用表!$E:$E,$B27,領用表!$B:$B,BE$2&amp;$BI$1)</f>
        <v>3</v>
      </c>
      <c r="BF27" s="142">
        <f>SUMIFS(領用表!$L:$L,領用表!$E:$E,$B27,領用表!$B:$B,BF$2&amp;$BI$1)</f>
        <v>12</v>
      </c>
      <c r="BG27" s="23">
        <f t="shared" si="0"/>
        <v>19</v>
      </c>
      <c r="BH27" s="23">
        <f t="shared" si="1"/>
        <v>2.7142857142857144</v>
      </c>
      <c r="BI27" s="142">
        <f>SUMIFS(領用表!$L:$L,領用表!$E:$E,$B27,領用表!$B:$B,BI$2&amp;$BI$1)</f>
        <v>10</v>
      </c>
      <c r="BJ27" s="142">
        <f>SUMIFS(領用表!$L:$L,領用表!$E:$E,$B27,領用表!$B:$B,BJ$2&amp;$BI$1)</f>
        <v>9</v>
      </c>
      <c r="BK27" s="142">
        <f>SUMIFS(領用表!$L:$L,領用表!$E:$E,$B27,領用表!$B:$B,BK$2&amp;$BI$1)</f>
        <v>5</v>
      </c>
      <c r="BL27" s="142">
        <f>SUMIFS(領用表!$L:$L,領用表!$E:$E,$B27,領用表!$B:$B,BL$2&amp;$BI$1)</f>
        <v>10</v>
      </c>
      <c r="BM27" s="142">
        <f>SUMIFS(領用表!$L:$L,領用表!$E:$E,$B27,領用表!$B:$B,BM$2&amp;$BI$1)</f>
        <v>7</v>
      </c>
      <c r="BN27" s="142">
        <f>SUMIFS(領用表!$L:$L,領用表!$E:$E,$B27,領用表!$B:$B,BN$2&amp;$BI$1)</f>
        <v>0</v>
      </c>
      <c r="BO27" s="142">
        <f>SUMIFS(領用表!$L:$L,領用表!$E:$E,$B27,領用表!$B:$B,BO$2&amp;$BI$1)</f>
        <v>0</v>
      </c>
      <c r="BP27" s="142">
        <f>SUMIFS(領用表!$L:$L,領用表!$E:$E,$B27,領用表!$B:$B,BP$2&amp;$BI$1)</f>
        <v>0</v>
      </c>
      <c r="BQ27" s="142">
        <f>SUMIFS(領用表!$L:$L,領用表!$E:$E,$B27,領用表!$B:$B,BQ$2&amp;$BI$1)</f>
        <v>0</v>
      </c>
      <c r="BR27" s="142">
        <f>SUMIFS(領用表!$L:$L,領用表!$E:$E,$B27,領用表!$B:$B,BR$2&amp;$BI$1)</f>
        <v>0</v>
      </c>
      <c r="BS27" s="142">
        <f>SUMIFS(領用表!$L:$L,領用表!$E:$E,$B27,領用表!$B:$B,BS$2&amp;$BI$1)</f>
        <v>0</v>
      </c>
      <c r="BT27" s="142">
        <f>SUMIFS(領用表!$L:$L,領用表!$E:$E,$B27,領用表!$B:$B,BT$2&amp;$BI$1)</f>
        <v>0</v>
      </c>
      <c r="BU27" s="142">
        <f t="shared" si="2"/>
        <v>41</v>
      </c>
      <c r="BV27" s="142">
        <f t="shared" si="3"/>
        <v>8.1999999999999993</v>
      </c>
      <c r="BW27" s="142">
        <f>SUMIF(Summary!B:B,B27,Summary!DU:DU)</f>
        <v>0</v>
      </c>
      <c r="BX27" s="108"/>
      <c r="BY27" s="65"/>
      <c r="BZ27" s="65"/>
      <c r="CA27" s="65"/>
      <c r="CB27" s="27"/>
      <c r="CC27" s="69"/>
      <c r="CD27" s="14"/>
      <c r="CE27" s="29"/>
    </row>
    <row r="28" spans="1:83" ht="15.75" customHeight="1">
      <c r="A28" s="27" t="s">
        <v>650</v>
      </c>
      <c r="B28" s="14">
        <v>6200003</v>
      </c>
      <c r="C28" s="14" t="s">
        <v>646</v>
      </c>
      <c r="D28" s="75">
        <v>1</v>
      </c>
      <c r="E28" s="17" t="s">
        <v>15</v>
      </c>
      <c r="F28" s="18"/>
      <c r="G28" s="18"/>
      <c r="H28" s="18"/>
      <c r="I28" s="18"/>
      <c r="J28" s="1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19">
        <v>4</v>
      </c>
      <c r="AH28" s="19">
        <v>5</v>
      </c>
      <c r="AI28" s="19">
        <v>7</v>
      </c>
      <c r="AJ28" s="19">
        <v>2</v>
      </c>
      <c r="AK28" s="19">
        <v>2</v>
      </c>
      <c r="AL28" s="19">
        <v>2</v>
      </c>
      <c r="AM28" s="19">
        <v>7</v>
      </c>
      <c r="AN28" s="19">
        <v>6</v>
      </c>
      <c r="AO28" s="19">
        <v>6</v>
      </c>
      <c r="AP28" s="19">
        <v>9</v>
      </c>
      <c r="AQ28" s="19">
        <v>8</v>
      </c>
      <c r="AR28" s="19">
        <v>10</v>
      </c>
      <c r="AS28" s="68">
        <f t="shared" si="6"/>
        <v>68</v>
      </c>
      <c r="AT28" s="26">
        <f t="shared" si="7"/>
        <v>5.666666666666667</v>
      </c>
      <c r="AU28" s="19">
        <v>9</v>
      </c>
      <c r="AV28" s="19">
        <v>12</v>
      </c>
      <c r="AW28" s="19">
        <v>17</v>
      </c>
      <c r="AX28" s="19">
        <v>14</v>
      </c>
      <c r="AY28" s="19">
        <v>0</v>
      </c>
      <c r="AZ28" s="20">
        <f>SUMIFS(領用表!$L:$L,領用表!$E:$E,$B28,領用表!$B:$B,AZ$2&amp;$BI$1)</f>
        <v>0</v>
      </c>
      <c r="BA28" s="20">
        <f>SUMIFS(領用表!$L:$L,領用表!$E:$E,$B28,領用表!$B:$B,BA$2&amp;$BI$1)</f>
        <v>0</v>
      </c>
      <c r="BB28" s="20">
        <f>SUMIFS(領用表!$L:$L,領用表!$E:$E,$B28,領用表!$B:$B,BB$2&amp;$BI$1)</f>
        <v>0</v>
      </c>
      <c r="BC28" s="20">
        <f>SUMIFS(領用表!$L:$L,領用表!$E:$E,$B28,領用表!$B:$B,BC$2&amp;$BI$1)</f>
        <v>0</v>
      </c>
      <c r="BD28" s="142">
        <f>SUMIFS(領用表!$L:$L,領用表!$E:$E,$B28,領用表!$B:$B,BD$2&amp;$BI$1)</f>
        <v>0</v>
      </c>
      <c r="BE28" s="142">
        <f>SUMIFS(領用表!$L:$L,領用表!$E:$E,$B28,領用表!$B:$B,BE$2&amp;$BI$1)</f>
        <v>0</v>
      </c>
      <c r="BF28" s="142">
        <f>SUMIFS(領用表!$L:$L,領用表!$E:$E,$B28,領用表!$B:$B,BF$2&amp;$BI$1)</f>
        <v>0</v>
      </c>
      <c r="BG28" s="23">
        <f t="shared" si="0"/>
        <v>52</v>
      </c>
      <c r="BH28" s="23">
        <f t="shared" si="1"/>
        <v>4.333333333333333</v>
      </c>
      <c r="BI28" s="142">
        <f>SUMIFS(領用表!$L:$L,領用表!$E:$E,$B28,領用表!$B:$B,BI$2&amp;$BI$1)</f>
        <v>0</v>
      </c>
      <c r="BJ28" s="142">
        <f>SUMIFS(領用表!$L:$L,領用表!$E:$E,$B28,領用表!$B:$B,BJ$2&amp;$BI$1)</f>
        <v>0</v>
      </c>
      <c r="BK28" s="142">
        <f>SUMIFS(領用表!$L:$L,領用表!$E:$E,$B28,領用表!$B:$B,BK$2&amp;$BI$1)</f>
        <v>0</v>
      </c>
      <c r="BL28" s="142">
        <f>SUMIFS(領用表!$L:$L,領用表!$E:$E,$B28,領用表!$B:$B,BL$2&amp;$BI$1)</f>
        <v>0</v>
      </c>
      <c r="BM28" s="142">
        <f>SUMIFS(領用表!$L:$L,領用表!$E:$E,$B28,領用表!$B:$B,BM$2&amp;$BI$1)</f>
        <v>0</v>
      </c>
      <c r="BN28" s="142">
        <f>SUMIFS(領用表!$L:$L,領用表!$E:$E,$B28,領用表!$B:$B,BN$2&amp;$BI$1)</f>
        <v>0</v>
      </c>
      <c r="BO28" s="142">
        <f>SUMIFS(領用表!$L:$L,領用表!$E:$E,$B28,領用表!$B:$B,BO$2&amp;$BI$1)</f>
        <v>0</v>
      </c>
      <c r="BP28" s="142">
        <f>SUMIFS(領用表!$L:$L,領用表!$E:$E,$B28,領用表!$B:$B,BP$2&amp;$BI$1)</f>
        <v>0</v>
      </c>
      <c r="BQ28" s="142">
        <f>SUMIFS(領用表!$L:$L,領用表!$E:$E,$B28,領用表!$B:$B,BQ$2&amp;$BI$1)</f>
        <v>0</v>
      </c>
      <c r="BR28" s="142">
        <f>SUMIFS(領用表!$L:$L,領用表!$E:$E,$B28,領用表!$B:$B,BR$2&amp;$BI$1)</f>
        <v>0</v>
      </c>
      <c r="BS28" s="142">
        <f>SUMIFS(領用表!$L:$L,領用表!$E:$E,$B28,領用表!$B:$B,BS$2&amp;$BI$1)</f>
        <v>0</v>
      </c>
      <c r="BT28" s="142">
        <f>SUMIFS(領用表!$L:$L,領用表!$E:$E,$B28,領用表!$B:$B,BT$2&amp;$BI$1)</f>
        <v>0</v>
      </c>
      <c r="BU28" s="142">
        <f t="shared" si="2"/>
        <v>0</v>
      </c>
      <c r="BV28" s="142">
        <f t="shared" si="3"/>
        <v>0</v>
      </c>
      <c r="BW28" s="142">
        <f>SUMIF(Summary!B:B,B28,Summary!DU:DU)</f>
        <v>5</v>
      </c>
      <c r="BX28" s="108"/>
      <c r="BY28" s="65"/>
      <c r="BZ28" s="65"/>
      <c r="CA28" s="65"/>
      <c r="CB28" s="27"/>
      <c r="CC28" s="69"/>
      <c r="CD28" s="14"/>
      <c r="CE28" s="29"/>
    </row>
    <row r="29" spans="1:83" ht="15.75" customHeight="1">
      <c r="A29" s="27" t="s">
        <v>651</v>
      </c>
      <c r="B29" s="14">
        <v>6200006</v>
      </c>
      <c r="C29" s="136" t="s">
        <v>508</v>
      </c>
      <c r="D29" s="75">
        <v>1</v>
      </c>
      <c r="E29" s="17" t="s">
        <v>15</v>
      </c>
      <c r="F29" s="18"/>
      <c r="G29" s="18"/>
      <c r="H29" s="18"/>
      <c r="I29" s="18"/>
      <c r="J29" s="1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19"/>
      <c r="AH29" s="19"/>
      <c r="AI29" s="19"/>
      <c r="AJ29" s="19"/>
      <c r="AK29" s="19"/>
      <c r="AL29" s="19"/>
      <c r="AM29" s="19"/>
      <c r="AN29" s="19">
        <v>0</v>
      </c>
      <c r="AO29" s="19">
        <v>0</v>
      </c>
      <c r="AP29" s="19">
        <v>0</v>
      </c>
      <c r="AQ29" s="19">
        <v>0</v>
      </c>
      <c r="AR29" s="19">
        <v>1</v>
      </c>
      <c r="AS29" s="68">
        <f t="shared" si="6"/>
        <v>1</v>
      </c>
      <c r="AT29" s="26">
        <f t="shared" si="7"/>
        <v>8.3333333333333329E-2</v>
      </c>
      <c r="AU29" s="19">
        <v>1</v>
      </c>
      <c r="AV29" s="19">
        <v>3</v>
      </c>
      <c r="AW29" s="19">
        <v>6</v>
      </c>
      <c r="AX29" s="19">
        <v>10</v>
      </c>
      <c r="AY29" s="19">
        <v>1</v>
      </c>
      <c r="AZ29" s="20">
        <f>SUMIFS(領用表!$L:$L,領用表!$E:$E,$B29,領用表!$B:$B,AZ$2&amp;$BI$1)</f>
        <v>0</v>
      </c>
      <c r="BA29" s="20">
        <f>SUMIFS(領用表!$L:$L,領用表!$E:$E,$B29,領用表!$B:$B,BA$2&amp;$BI$1)</f>
        <v>0</v>
      </c>
      <c r="BB29" s="20">
        <f>SUMIFS(領用表!$L:$L,領用表!$E:$E,$B29,領用表!$B:$B,BB$2&amp;$BI$1)</f>
        <v>0</v>
      </c>
      <c r="BC29" s="20">
        <f>SUMIFS(領用表!$L:$L,領用表!$E:$E,$B29,領用表!$B:$B,BC$2&amp;$BI$1)</f>
        <v>0</v>
      </c>
      <c r="BD29" s="142">
        <f>SUMIFS(領用表!$L:$L,領用表!$E:$E,$B29,領用表!$B:$B,BD$2&amp;$BI$1)</f>
        <v>0</v>
      </c>
      <c r="BE29" s="142">
        <f>SUMIFS(領用表!$L:$L,領用表!$E:$E,$B29,領用表!$B:$B,BE$2&amp;$BI$1)</f>
        <v>0</v>
      </c>
      <c r="BF29" s="142">
        <f>SUMIFS(領用表!$L:$L,領用表!$E:$E,$B29,領用表!$B:$B,BF$2&amp;$BI$1)</f>
        <v>0</v>
      </c>
      <c r="BG29" s="23">
        <f t="shared" si="0"/>
        <v>21</v>
      </c>
      <c r="BH29" s="23">
        <f t="shared" si="1"/>
        <v>1.75</v>
      </c>
      <c r="BI29" s="142">
        <f>SUMIFS(領用表!$L:$L,領用表!$E:$E,$B29,領用表!$B:$B,BI$2&amp;$BI$1)</f>
        <v>0</v>
      </c>
      <c r="BJ29" s="142">
        <f>SUMIFS(領用表!$L:$L,領用表!$E:$E,$B29,領用表!$B:$B,BJ$2&amp;$BI$1)</f>
        <v>0</v>
      </c>
      <c r="BK29" s="142">
        <f>SUMIFS(領用表!$L:$L,領用表!$E:$E,$B29,領用表!$B:$B,BK$2&amp;$BI$1)</f>
        <v>0</v>
      </c>
      <c r="BL29" s="142">
        <f>SUMIFS(領用表!$L:$L,領用表!$E:$E,$B29,領用表!$B:$B,BL$2&amp;$BI$1)</f>
        <v>0</v>
      </c>
      <c r="BM29" s="142">
        <f>SUMIFS(領用表!$L:$L,領用表!$E:$E,$B29,領用表!$B:$B,BM$2&amp;$BI$1)</f>
        <v>0</v>
      </c>
      <c r="BN29" s="142">
        <f>SUMIFS(領用表!$L:$L,領用表!$E:$E,$B29,領用表!$B:$B,BN$2&amp;$BI$1)</f>
        <v>0</v>
      </c>
      <c r="BO29" s="142">
        <f>SUMIFS(領用表!$L:$L,領用表!$E:$E,$B29,領用表!$B:$B,BO$2&amp;$BI$1)</f>
        <v>0</v>
      </c>
      <c r="BP29" s="142">
        <f>SUMIFS(領用表!$L:$L,領用表!$E:$E,$B29,領用表!$B:$B,BP$2&amp;$BI$1)</f>
        <v>0</v>
      </c>
      <c r="BQ29" s="142">
        <f>SUMIFS(領用表!$L:$L,領用表!$E:$E,$B29,領用表!$B:$B,BQ$2&amp;$BI$1)</f>
        <v>0</v>
      </c>
      <c r="BR29" s="142">
        <f>SUMIFS(領用表!$L:$L,領用表!$E:$E,$B29,領用表!$B:$B,BR$2&amp;$BI$1)</f>
        <v>0</v>
      </c>
      <c r="BS29" s="142">
        <f>SUMIFS(領用表!$L:$L,領用表!$E:$E,$B29,領用表!$B:$B,BS$2&amp;$BI$1)</f>
        <v>0</v>
      </c>
      <c r="BT29" s="142">
        <f>SUMIFS(領用表!$L:$L,領用表!$E:$E,$B29,領用表!$B:$B,BT$2&amp;$BI$1)</f>
        <v>0</v>
      </c>
      <c r="BU29" s="142">
        <f t="shared" si="2"/>
        <v>0</v>
      </c>
      <c r="BV29" s="142">
        <f t="shared" si="3"/>
        <v>0</v>
      </c>
      <c r="BW29" s="142">
        <f>SUMIF(Summary!B:B,B29,Summary!DU:DU)</f>
        <v>0</v>
      </c>
      <c r="BX29" s="108"/>
      <c r="BY29" s="65"/>
      <c r="BZ29" s="65"/>
      <c r="CA29" s="65"/>
      <c r="CB29" s="27"/>
      <c r="CC29" s="27"/>
      <c r="CD29" s="14"/>
      <c r="CE29" s="29"/>
    </row>
    <row r="30" spans="1:83" ht="15.75" customHeight="1">
      <c r="A30" s="27"/>
      <c r="B30" s="14">
        <v>6120004</v>
      </c>
      <c r="C30" s="135" t="s">
        <v>509</v>
      </c>
      <c r="D30" s="75">
        <v>10</v>
      </c>
      <c r="E30" s="17" t="s">
        <v>157</v>
      </c>
      <c r="F30" s="18">
        <v>37</v>
      </c>
      <c r="G30" s="18"/>
      <c r="H30" s="18"/>
      <c r="I30" s="18"/>
      <c r="J30" s="1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>
        <v>0</v>
      </c>
      <c r="AS30" s="68">
        <f t="shared" si="6"/>
        <v>0</v>
      </c>
      <c r="AT30" s="26">
        <f t="shared" si="7"/>
        <v>0</v>
      </c>
      <c r="AU30" s="19">
        <v>0</v>
      </c>
      <c r="AV30" s="19">
        <v>20</v>
      </c>
      <c r="AW30" s="19">
        <v>19</v>
      </c>
      <c r="AX30" s="19">
        <v>28</v>
      </c>
      <c r="AY30" s="19">
        <f>0+8</f>
        <v>8</v>
      </c>
      <c r="AZ30" s="20">
        <f>SUMIFS(領用表!$L:$L,領用表!$E:$E,$B30,領用表!$B:$B,AZ$2&amp;$BI$1)</f>
        <v>7</v>
      </c>
      <c r="BA30" s="20">
        <f>SUMIFS(領用表!$L:$L,領用表!$E:$E,$B30,領用表!$B:$B,BA$2&amp;$BI$1)</f>
        <v>2</v>
      </c>
      <c r="BB30" s="20">
        <f>SUMIFS(領用表!$L:$L,領用表!$E:$E,$B30,領用表!$B:$B,BB$2&amp;$BI$1)</f>
        <v>3</v>
      </c>
      <c r="BC30" s="20">
        <f>SUMIFS(領用表!$L:$L,領用表!$E:$E,$B30,領用表!$B:$B,BC$2&amp;$BI$1)</f>
        <v>8</v>
      </c>
      <c r="BD30" s="142">
        <f>SUMIFS(領用表!$L:$L,領用表!$E:$E,$B30,領用表!$B:$B,BD$2&amp;$BI$1)</f>
        <v>17</v>
      </c>
      <c r="BE30" s="142">
        <f>SUMIFS(領用表!$L:$L,領用表!$E:$E,$B30,領用表!$B:$B,BE$2&amp;$BI$1)</f>
        <v>24</v>
      </c>
      <c r="BF30" s="142">
        <f>SUMIFS(領用表!$L:$L,領用表!$E:$E,$B30,領用表!$B:$B,BF$2&amp;$BI$1)</f>
        <v>32</v>
      </c>
      <c r="BG30" s="23">
        <f t="shared" si="0"/>
        <v>168</v>
      </c>
      <c r="BH30" s="23">
        <f t="shared" si="1"/>
        <v>14</v>
      </c>
      <c r="BI30" s="142">
        <f>SUMIFS(領用表!$L:$L,領用表!$E:$E,$B30,領用表!$B:$B,BI$2&amp;$BI$1)</f>
        <v>21</v>
      </c>
      <c r="BJ30" s="142">
        <f>SUMIFS(領用表!$L:$L,領用表!$E:$E,$B30,領用表!$B:$B,BJ$2&amp;$BI$1)</f>
        <v>24</v>
      </c>
      <c r="BK30" s="142">
        <f>SUMIFS(領用表!$L:$L,領用表!$E:$E,$B30,領用表!$B:$B,BK$2&amp;$BI$1)</f>
        <v>23</v>
      </c>
      <c r="BL30" s="142">
        <f>SUMIFS(領用表!$L:$L,領用表!$E:$E,$B30,領用表!$B:$B,BL$2&amp;$BI$1)</f>
        <v>28</v>
      </c>
      <c r="BM30" s="142">
        <f>SUMIFS(領用表!$L:$L,領用表!$E:$E,$B30,領用表!$B:$B,BM$2&amp;$BI$1)</f>
        <v>24</v>
      </c>
      <c r="BN30" s="142">
        <f>SUMIFS(領用表!$L:$L,領用表!$E:$E,$B30,領用表!$B:$B,BN$2&amp;$BI$1)</f>
        <v>0</v>
      </c>
      <c r="BO30" s="142">
        <f>SUMIFS(領用表!$L:$L,領用表!$E:$E,$B30,領用表!$B:$B,BO$2&amp;$BI$1)</f>
        <v>0</v>
      </c>
      <c r="BP30" s="142">
        <f>SUMIFS(領用表!$L:$L,領用表!$E:$E,$B30,領用表!$B:$B,BP$2&amp;$BI$1)</f>
        <v>0</v>
      </c>
      <c r="BQ30" s="142">
        <f>SUMIFS(領用表!$L:$L,領用表!$E:$E,$B30,領用表!$B:$B,BQ$2&amp;$BI$1)</f>
        <v>0</v>
      </c>
      <c r="BR30" s="142">
        <f>SUMIFS(領用表!$L:$L,領用表!$E:$E,$B30,領用表!$B:$B,BR$2&amp;$BI$1)</f>
        <v>0</v>
      </c>
      <c r="BS30" s="142">
        <f>SUMIFS(領用表!$L:$L,領用表!$E:$E,$B30,領用表!$B:$B,BS$2&amp;$BI$1)</f>
        <v>0</v>
      </c>
      <c r="BT30" s="142">
        <f>SUMIFS(領用表!$L:$L,領用表!$E:$E,$B30,領用表!$B:$B,BT$2&amp;$BI$1)</f>
        <v>0</v>
      </c>
      <c r="BU30" s="142">
        <f t="shared" si="2"/>
        <v>120</v>
      </c>
      <c r="BV30" s="142">
        <f t="shared" si="3"/>
        <v>24</v>
      </c>
      <c r="BW30" s="142">
        <f>SUMIF(Summary!B:B,B30,Summary!DU:DU)</f>
        <v>0</v>
      </c>
      <c r="BX30" s="108"/>
      <c r="BY30" s="65"/>
      <c r="BZ30" s="65"/>
      <c r="CA30" s="65"/>
      <c r="CB30" s="27"/>
      <c r="CC30" s="27"/>
      <c r="CD30" s="14"/>
      <c r="CE30" s="29"/>
    </row>
    <row r="31" spans="1:83" ht="15.75" customHeight="1">
      <c r="A31" s="27"/>
      <c r="B31" s="14">
        <v>6120014</v>
      </c>
      <c r="C31" s="135" t="s">
        <v>510</v>
      </c>
      <c r="D31" s="75"/>
      <c r="E31" s="17" t="s">
        <v>157</v>
      </c>
      <c r="F31" s="18">
        <v>302</v>
      </c>
      <c r="G31" s="18"/>
      <c r="H31" s="18"/>
      <c r="I31" s="18"/>
      <c r="J31" s="1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>
        <v>0</v>
      </c>
      <c r="AS31" s="68">
        <f t="shared" si="6"/>
        <v>0</v>
      </c>
      <c r="AT31" s="26">
        <f t="shared" si="7"/>
        <v>0</v>
      </c>
      <c r="AU31" s="19">
        <v>0</v>
      </c>
      <c r="AV31" s="19">
        <v>0</v>
      </c>
      <c r="AW31" s="19">
        <v>92</v>
      </c>
      <c r="AX31" s="19">
        <v>60</v>
      </c>
      <c r="AY31" s="19">
        <f>0+80</f>
        <v>80</v>
      </c>
      <c r="AZ31" s="20">
        <f>SUMIFS(領用表!$L:$L,領用表!$E:$E,$B31,領用表!$B:$B,AZ$2&amp;$BI$1)</f>
        <v>79</v>
      </c>
      <c r="BA31" s="20">
        <f>SUMIFS(領用表!$L:$L,領用表!$E:$E,$B31,領用表!$B:$B,BA$2&amp;$BI$1)</f>
        <v>0</v>
      </c>
      <c r="BB31" s="20">
        <f>SUMIFS(領用表!$L:$L,領用表!$E:$E,$B31,領用表!$B:$B,BB$2&amp;$BI$1)</f>
        <v>0</v>
      </c>
      <c r="BC31" s="20">
        <f>SUMIFS(領用表!$L:$L,領用表!$E:$E,$B31,領用表!$B:$B,BC$2&amp;$BI$1)</f>
        <v>65</v>
      </c>
      <c r="BD31" s="142">
        <f>SUMIFS(領用表!$L:$L,領用表!$E:$E,$B31,領用表!$B:$B,BD$2&amp;$BI$1)</f>
        <v>313</v>
      </c>
      <c r="BE31" s="142">
        <f>SUMIFS(領用表!$L:$L,領用表!$E:$E,$B31,領用表!$B:$B,BE$2&amp;$BI$1)</f>
        <v>442</v>
      </c>
      <c r="BF31" s="142">
        <f>SUMIFS(領用表!$L:$L,領用表!$E:$E,$B31,領用表!$B:$B,BF$2&amp;$BI$1)</f>
        <v>463</v>
      </c>
      <c r="BG31" s="23">
        <f t="shared" si="0"/>
        <v>1594</v>
      </c>
      <c r="BH31" s="23">
        <f t="shared" si="1"/>
        <v>132.83333333333334</v>
      </c>
      <c r="BI31" s="142">
        <f>SUMIFS(領用表!$L:$L,領用表!$E:$E,$B31,領用表!$B:$B,BI$2&amp;$BI$1)</f>
        <v>535</v>
      </c>
      <c r="BJ31" s="142">
        <f>SUMIFS(領用表!$L:$L,領用表!$E:$E,$B31,領用表!$B:$B,BJ$2&amp;$BI$1)</f>
        <v>461</v>
      </c>
      <c r="BK31" s="142">
        <f>SUMIFS(領用表!$L:$L,領用表!$E:$E,$B31,領用表!$B:$B,BK$2&amp;$BI$1)</f>
        <v>658</v>
      </c>
      <c r="BL31" s="142">
        <f>SUMIFS(領用表!$L:$L,領用表!$E:$E,$B31,領用表!$B:$B,BL$2&amp;$BI$1)</f>
        <v>940</v>
      </c>
      <c r="BM31" s="142">
        <f>SUMIFS(領用表!$L:$L,領用表!$E:$E,$B31,領用表!$B:$B,BM$2&amp;$BI$1)</f>
        <v>1273</v>
      </c>
      <c r="BN31" s="142">
        <f>SUMIFS(領用表!$L:$L,領用表!$E:$E,$B31,領用表!$B:$B,BN$2&amp;$BI$1)</f>
        <v>0</v>
      </c>
      <c r="BO31" s="142">
        <f>SUMIFS(領用表!$L:$L,領用表!$E:$E,$B31,領用表!$B:$B,BO$2&amp;$BI$1)</f>
        <v>0</v>
      </c>
      <c r="BP31" s="142">
        <f>SUMIFS(領用表!$L:$L,領用表!$E:$E,$B31,領用表!$B:$B,BP$2&amp;$BI$1)</f>
        <v>0</v>
      </c>
      <c r="BQ31" s="142">
        <f>SUMIFS(領用表!$L:$L,領用表!$E:$E,$B31,領用表!$B:$B,BQ$2&amp;$BI$1)</f>
        <v>0</v>
      </c>
      <c r="BR31" s="142">
        <f>SUMIFS(領用表!$L:$L,領用表!$E:$E,$B31,領用表!$B:$B,BR$2&amp;$BI$1)</f>
        <v>0</v>
      </c>
      <c r="BS31" s="142">
        <f>SUMIFS(領用表!$L:$L,領用表!$E:$E,$B31,領用表!$B:$B,BS$2&amp;$BI$1)</f>
        <v>0</v>
      </c>
      <c r="BT31" s="142">
        <f>SUMIFS(領用表!$L:$L,領用表!$E:$E,$B31,領用表!$B:$B,BT$2&amp;$BI$1)</f>
        <v>0</v>
      </c>
      <c r="BU31" s="142">
        <f t="shared" si="2"/>
        <v>3867</v>
      </c>
      <c r="BV31" s="142">
        <f t="shared" si="3"/>
        <v>773.4</v>
      </c>
      <c r="BW31" s="142">
        <f>SUMIF(Summary!B:B,B31,Summary!DU:DU)</f>
        <v>900</v>
      </c>
      <c r="BX31" s="108"/>
      <c r="BY31" s="65"/>
      <c r="BZ31" s="65"/>
      <c r="CA31" s="65"/>
      <c r="CB31" s="27"/>
      <c r="CC31" s="27"/>
      <c r="CD31" s="14"/>
      <c r="CE31" s="29"/>
    </row>
    <row r="32" spans="1:83" ht="15.75" customHeight="1">
      <c r="A32" s="27"/>
      <c r="B32" s="14">
        <v>6120013</v>
      </c>
      <c r="C32" s="135" t="s">
        <v>511</v>
      </c>
      <c r="D32" s="75"/>
      <c r="E32" s="17" t="s">
        <v>157</v>
      </c>
      <c r="F32" s="18">
        <v>687</v>
      </c>
      <c r="G32" s="18"/>
      <c r="H32" s="18"/>
      <c r="I32" s="18"/>
      <c r="J32" s="1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>
        <v>0</v>
      </c>
      <c r="AS32" s="68">
        <f t="shared" si="6"/>
        <v>0</v>
      </c>
      <c r="AT32" s="26">
        <f t="shared" si="7"/>
        <v>0</v>
      </c>
      <c r="AU32" s="19">
        <v>0</v>
      </c>
      <c r="AV32" s="19">
        <v>0</v>
      </c>
      <c r="AW32" s="19">
        <v>192</v>
      </c>
      <c r="AX32" s="19">
        <v>434</v>
      </c>
      <c r="AY32" s="19">
        <f>74+439</f>
        <v>513</v>
      </c>
      <c r="AZ32" s="20">
        <f>SUMIFS(領用表!$L:$L,領用表!$E:$E,$B32,領用表!$B:$B,AZ$2&amp;$BI$1)</f>
        <v>377</v>
      </c>
      <c r="BA32" s="20">
        <f>SUMIFS(領用表!$L:$L,領用表!$E:$E,$B32,領用表!$B:$B,BA$2&amp;$BI$1)</f>
        <v>373</v>
      </c>
      <c r="BB32" s="20">
        <f>SUMIFS(領用表!$L:$L,領用表!$E:$E,$B32,領用表!$B:$B,BB$2&amp;$BI$1)</f>
        <v>395</v>
      </c>
      <c r="BC32" s="20">
        <f>SUMIFS(領用表!$L:$L,領用表!$E:$E,$B32,領用表!$B:$B,BC$2&amp;$BI$1)</f>
        <v>353</v>
      </c>
      <c r="BD32" s="142">
        <f>SUMIFS(領用表!$L:$L,領用表!$E:$E,$B32,領用表!$B:$B,BD$2&amp;$BI$1)</f>
        <v>191</v>
      </c>
      <c r="BE32" s="142">
        <f>SUMIFS(領用表!$L:$L,領用表!$E:$E,$B32,領用表!$B:$B,BE$2&amp;$BI$1)</f>
        <v>260</v>
      </c>
      <c r="BF32" s="142">
        <f>SUMIFS(領用表!$L:$L,領用表!$E:$E,$B32,領用表!$B:$B,BF$2&amp;$BI$1)</f>
        <v>248</v>
      </c>
      <c r="BG32" s="23">
        <f t="shared" si="0"/>
        <v>3336</v>
      </c>
      <c r="BH32" s="23">
        <f t="shared" si="1"/>
        <v>278</v>
      </c>
      <c r="BI32" s="142">
        <f>SUMIFS(領用表!$L:$L,領用表!$E:$E,$B32,領用表!$B:$B,BI$2&amp;$BI$1)</f>
        <v>332</v>
      </c>
      <c r="BJ32" s="142">
        <f>SUMIFS(領用表!$L:$L,領用表!$E:$E,$B32,領用表!$B:$B,BJ$2&amp;$BI$1)</f>
        <v>301</v>
      </c>
      <c r="BK32" s="142">
        <f>SUMIFS(領用表!$L:$L,領用表!$E:$E,$B32,領用表!$B:$B,BK$2&amp;$BI$1)</f>
        <v>478</v>
      </c>
      <c r="BL32" s="142">
        <f>SUMIFS(領用表!$L:$L,領用表!$E:$E,$B32,領用表!$B:$B,BL$2&amp;$BI$1)</f>
        <v>375</v>
      </c>
      <c r="BM32" s="142">
        <f>SUMIFS(領用表!$L:$L,領用表!$E:$E,$B32,領用表!$B:$B,BM$2&amp;$BI$1)</f>
        <v>274</v>
      </c>
      <c r="BN32" s="142">
        <f>SUMIFS(領用表!$L:$L,領用表!$E:$E,$B32,領用表!$B:$B,BN$2&amp;$BI$1)</f>
        <v>0</v>
      </c>
      <c r="BO32" s="142">
        <f>SUMIFS(領用表!$L:$L,領用表!$E:$E,$B32,領用表!$B:$B,BO$2&amp;$BI$1)</f>
        <v>0</v>
      </c>
      <c r="BP32" s="142">
        <f>SUMIFS(領用表!$L:$L,領用表!$E:$E,$B32,領用表!$B:$B,BP$2&amp;$BI$1)</f>
        <v>0</v>
      </c>
      <c r="BQ32" s="142">
        <f>SUMIFS(領用表!$L:$L,領用表!$E:$E,$B32,領用表!$B:$B,BQ$2&amp;$BI$1)</f>
        <v>0</v>
      </c>
      <c r="BR32" s="142">
        <f>SUMIFS(領用表!$L:$L,領用表!$E:$E,$B32,領用表!$B:$B,BR$2&amp;$BI$1)</f>
        <v>0</v>
      </c>
      <c r="BS32" s="142">
        <f>SUMIFS(領用表!$L:$L,領用表!$E:$E,$B32,領用表!$B:$B,BS$2&amp;$BI$1)</f>
        <v>0</v>
      </c>
      <c r="BT32" s="142">
        <f>SUMIFS(領用表!$L:$L,領用表!$E:$E,$B32,領用表!$B:$B,BT$2&amp;$BI$1)</f>
        <v>0</v>
      </c>
      <c r="BU32" s="142">
        <f t="shared" si="2"/>
        <v>1760</v>
      </c>
      <c r="BV32" s="142">
        <f t="shared" si="3"/>
        <v>352</v>
      </c>
      <c r="BW32" s="142">
        <f>SUMIF(Summary!B:B,B32,Summary!DU:DU)</f>
        <v>540</v>
      </c>
      <c r="BX32" s="108"/>
      <c r="BY32" s="65"/>
      <c r="BZ32" s="76"/>
      <c r="CA32" s="65"/>
      <c r="CB32" s="27"/>
      <c r="CC32" s="27"/>
      <c r="CD32" s="14"/>
      <c r="CE32" s="29"/>
    </row>
    <row r="33" spans="1:83" ht="15.75" customHeight="1">
      <c r="A33" s="27"/>
      <c r="B33" s="14">
        <v>6120021</v>
      </c>
      <c r="C33" s="136" t="s">
        <v>512</v>
      </c>
      <c r="D33" s="72">
        <v>50</v>
      </c>
      <c r="E33" s="17" t="s">
        <v>15</v>
      </c>
      <c r="F33" s="18">
        <v>3</v>
      </c>
      <c r="G33" s="18"/>
      <c r="H33" s="18"/>
      <c r="I33" s="18"/>
      <c r="J33" s="1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19"/>
      <c r="AH33" s="19"/>
      <c r="AI33" s="19"/>
      <c r="AJ33" s="19"/>
      <c r="AK33" s="19"/>
      <c r="AL33" s="19"/>
      <c r="AM33" s="19"/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68">
        <f t="shared" si="6"/>
        <v>0</v>
      </c>
      <c r="AT33" s="26">
        <f t="shared" si="7"/>
        <v>0</v>
      </c>
      <c r="AU33" s="19">
        <v>0</v>
      </c>
      <c r="AV33" s="19">
        <v>0</v>
      </c>
      <c r="AW33" s="19">
        <v>14</v>
      </c>
      <c r="AX33" s="19">
        <v>35</v>
      </c>
      <c r="AY33" s="19">
        <f>10+68</f>
        <v>78</v>
      </c>
      <c r="AZ33" s="20">
        <f>SUMIFS(領用表!$L:$L,領用表!$E:$E,$B33,領用表!$B:$B,AZ$2&amp;$BI$1)</f>
        <v>1</v>
      </c>
      <c r="BA33" s="20">
        <f>SUMIFS(領用表!$L:$L,領用表!$E:$E,$B33,領用表!$B:$B,BA$2&amp;$BI$1)</f>
        <v>5</v>
      </c>
      <c r="BB33" s="20">
        <f>SUMIFS(領用表!$L:$L,領用表!$E:$E,$B33,領用表!$B:$B,BB$2&amp;$BI$1)</f>
        <v>2</v>
      </c>
      <c r="BC33" s="20">
        <f>SUMIFS(領用表!$L:$L,領用表!$E:$E,$B33,領用表!$B:$B,BC$2&amp;$BI$1)</f>
        <v>2</v>
      </c>
      <c r="BD33" s="142">
        <f>SUMIFS(領用表!$L:$L,領用表!$E:$E,$B33,領用表!$B:$B,BD$2&amp;$BI$1)</f>
        <v>19</v>
      </c>
      <c r="BE33" s="142">
        <f>SUMIFS(領用表!$L:$L,領用表!$E:$E,$B33,領用表!$B:$B,BE$2&amp;$BI$1)</f>
        <v>31</v>
      </c>
      <c r="BF33" s="142">
        <f>SUMIFS(領用表!$L:$L,領用表!$E:$E,$B33,領用表!$B:$B,BF$2&amp;$BI$1)</f>
        <v>26</v>
      </c>
      <c r="BG33" s="23">
        <f t="shared" si="0"/>
        <v>213</v>
      </c>
      <c r="BH33" s="23">
        <f t="shared" si="1"/>
        <v>17.75</v>
      </c>
      <c r="BI33" s="142">
        <f>SUMIFS(領用表!$L:$L,領用表!$E:$E,$B33,領用表!$B:$B,BI$2&amp;$BI$1)</f>
        <v>29</v>
      </c>
      <c r="BJ33" s="142">
        <f>SUMIFS(領用表!$L:$L,領用表!$E:$E,$B33,領用表!$B:$B,BJ$2&amp;$BI$1)</f>
        <v>22</v>
      </c>
      <c r="BK33" s="142">
        <f>SUMIFS(領用表!$L:$L,領用表!$E:$E,$B33,領用表!$B:$B,BK$2&amp;$BI$1)</f>
        <v>25</v>
      </c>
      <c r="BL33" s="142">
        <f>SUMIFS(領用表!$L:$L,領用表!$E:$E,$B33,領用表!$B:$B,BL$2&amp;$BI$1)</f>
        <v>27</v>
      </c>
      <c r="BM33" s="142">
        <f>SUMIFS(領用表!$L:$L,領用表!$E:$E,$B33,領用表!$B:$B,BM$2&amp;$BI$1)</f>
        <v>29</v>
      </c>
      <c r="BN33" s="142">
        <f>SUMIFS(領用表!$L:$L,領用表!$E:$E,$B33,領用表!$B:$B,BN$2&amp;$BI$1)</f>
        <v>0</v>
      </c>
      <c r="BO33" s="142">
        <f>SUMIFS(領用表!$L:$L,領用表!$E:$E,$B33,領用表!$B:$B,BO$2&amp;$BI$1)</f>
        <v>0</v>
      </c>
      <c r="BP33" s="142">
        <f>SUMIFS(領用表!$L:$L,領用表!$E:$E,$B33,領用表!$B:$B,BP$2&amp;$BI$1)</f>
        <v>0</v>
      </c>
      <c r="BQ33" s="142">
        <f>SUMIFS(領用表!$L:$L,領用表!$E:$E,$B33,領用表!$B:$B,BQ$2&amp;$BI$1)</f>
        <v>0</v>
      </c>
      <c r="BR33" s="142">
        <f>SUMIFS(領用表!$L:$L,領用表!$E:$E,$B33,領用表!$B:$B,BR$2&amp;$BI$1)</f>
        <v>0</v>
      </c>
      <c r="BS33" s="142">
        <f>SUMIFS(領用表!$L:$L,領用表!$E:$E,$B33,領用表!$B:$B,BS$2&amp;$BI$1)</f>
        <v>0</v>
      </c>
      <c r="BT33" s="142">
        <f>SUMIFS(領用表!$L:$L,領用表!$E:$E,$B33,領用表!$B:$B,BT$2&amp;$BI$1)</f>
        <v>0</v>
      </c>
      <c r="BU33" s="142">
        <f t="shared" si="2"/>
        <v>132</v>
      </c>
      <c r="BV33" s="142">
        <f t="shared" si="3"/>
        <v>26.4</v>
      </c>
      <c r="BW33" s="142">
        <f>SUMIF(Summary!B:B,B33,Summary!DU:DU)</f>
        <v>0</v>
      </c>
      <c r="BX33" s="108"/>
      <c r="BY33" s="65"/>
      <c r="BZ33" s="76" t="s">
        <v>158</v>
      </c>
      <c r="CA33" s="65"/>
      <c r="CB33" s="27"/>
      <c r="CC33" s="69"/>
      <c r="CD33" s="14"/>
      <c r="CE33" s="14"/>
    </row>
    <row r="34" spans="1:83" ht="15.75" customHeight="1">
      <c r="A34" s="27"/>
      <c r="B34" s="14">
        <v>6120006</v>
      </c>
      <c r="C34" s="136" t="s">
        <v>514</v>
      </c>
      <c r="D34" s="72">
        <v>100</v>
      </c>
      <c r="E34" s="17" t="s">
        <v>15</v>
      </c>
      <c r="F34" s="18">
        <v>406</v>
      </c>
      <c r="G34" s="18"/>
      <c r="H34" s="18"/>
      <c r="I34" s="18"/>
      <c r="J34" s="1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19"/>
      <c r="AH34" s="19"/>
      <c r="AI34" s="19"/>
      <c r="AJ34" s="19"/>
      <c r="AK34" s="19"/>
      <c r="AL34" s="19"/>
      <c r="AM34" s="19"/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68">
        <f t="shared" ref="AS34:AS46" si="8">SUM(AG34:AR34)</f>
        <v>0</v>
      </c>
      <c r="AT34" s="26">
        <f t="shared" ref="AT34:AT46" si="9">AS34/12</f>
        <v>0</v>
      </c>
      <c r="AU34" s="19">
        <v>0</v>
      </c>
      <c r="AV34" s="19">
        <v>0</v>
      </c>
      <c r="AW34" s="19">
        <v>246</v>
      </c>
      <c r="AX34" s="19">
        <v>227</v>
      </c>
      <c r="AY34" s="19">
        <f>7+223</f>
        <v>230</v>
      </c>
      <c r="AZ34" s="20">
        <f>SUMIFS(領用表!$L:$L,領用表!$E:$E,$B34,領用表!$B:$B,AZ$2&amp;$BI$1)</f>
        <v>142</v>
      </c>
      <c r="BA34" s="20">
        <f>SUMIFS(領用表!$L:$L,領用表!$E:$E,$B34,領用表!$B:$B,BA$2&amp;$BI$1)</f>
        <v>120</v>
      </c>
      <c r="BB34" s="20">
        <f>SUMIFS(領用表!$L:$L,領用表!$E:$E,$B34,領用表!$B:$B,BB$2&amp;$BI$1)</f>
        <v>167</v>
      </c>
      <c r="BC34" s="20">
        <f>SUMIFS(領用表!$L:$L,領用表!$E:$E,$B34,領用表!$B:$B,BC$2&amp;$BI$1)</f>
        <v>165</v>
      </c>
      <c r="BD34" s="142">
        <f>SUMIFS(領用表!$L:$L,領用表!$E:$E,$B34,領用表!$B:$B,BD$2&amp;$BI$1)</f>
        <v>200</v>
      </c>
      <c r="BE34" s="142">
        <f>SUMIFS(領用表!$L:$L,領用表!$E:$E,$B34,領用表!$B:$B,BE$2&amp;$BI$1)</f>
        <v>273</v>
      </c>
      <c r="BF34" s="142">
        <f>SUMIFS(領用表!$L:$L,領用表!$E:$E,$B34,領用表!$B:$B,BF$2&amp;$BI$1)</f>
        <v>276</v>
      </c>
      <c r="BG34" s="23">
        <f t="shared" si="0"/>
        <v>2046</v>
      </c>
      <c r="BH34" s="23">
        <f t="shared" si="1"/>
        <v>170.5</v>
      </c>
      <c r="BI34" s="142">
        <f>SUMIFS(領用表!$L:$L,領用表!$E:$E,$B34,領用表!$B:$B,BI$2&amp;$BI$1)</f>
        <v>340</v>
      </c>
      <c r="BJ34" s="142">
        <f>SUMIFS(領用表!$L:$L,領用表!$E:$E,$B34,領用表!$B:$B,BJ$2&amp;$BI$1)</f>
        <v>309</v>
      </c>
      <c r="BK34" s="142">
        <f>SUMIFS(領用表!$L:$L,領用表!$E:$E,$B34,領用表!$B:$B,BK$2&amp;$BI$1)</f>
        <v>474</v>
      </c>
      <c r="BL34" s="142">
        <f>SUMIFS(領用表!$L:$L,領用表!$E:$E,$B34,領用表!$B:$B,BL$2&amp;$BI$1)</f>
        <v>376</v>
      </c>
      <c r="BM34" s="142">
        <f>SUMIFS(領用表!$L:$L,領用表!$E:$E,$B34,領用表!$B:$B,BM$2&amp;$BI$1)</f>
        <v>271</v>
      </c>
      <c r="BN34" s="142">
        <f>SUMIFS(領用表!$L:$L,領用表!$E:$E,$B34,領用表!$B:$B,BN$2&amp;$BI$1)</f>
        <v>0</v>
      </c>
      <c r="BO34" s="142">
        <f>SUMIFS(領用表!$L:$L,領用表!$E:$E,$B34,領用表!$B:$B,BO$2&amp;$BI$1)</f>
        <v>0</v>
      </c>
      <c r="BP34" s="142">
        <f>SUMIFS(領用表!$L:$L,領用表!$E:$E,$B34,領用表!$B:$B,BP$2&amp;$BI$1)</f>
        <v>0</v>
      </c>
      <c r="BQ34" s="142">
        <f>SUMIFS(領用表!$L:$L,領用表!$E:$E,$B34,領用表!$B:$B,BQ$2&amp;$BI$1)</f>
        <v>0</v>
      </c>
      <c r="BR34" s="142">
        <f>SUMIFS(領用表!$L:$L,領用表!$E:$E,$B34,領用表!$B:$B,BR$2&amp;$BI$1)</f>
        <v>0</v>
      </c>
      <c r="BS34" s="142">
        <f>SUMIFS(領用表!$L:$L,領用表!$E:$E,$B34,領用表!$B:$B,BS$2&amp;$BI$1)</f>
        <v>0</v>
      </c>
      <c r="BT34" s="142">
        <f>SUMIFS(領用表!$L:$L,領用表!$E:$E,$B34,領用表!$B:$B,BT$2&amp;$BI$1)</f>
        <v>0</v>
      </c>
      <c r="BU34" s="142">
        <f t="shared" si="2"/>
        <v>1770</v>
      </c>
      <c r="BV34" s="142">
        <f t="shared" si="3"/>
        <v>354</v>
      </c>
      <c r="BW34" s="142">
        <f>SUMIF(Summary!B:B,B34,Summary!DU:DU)</f>
        <v>0</v>
      </c>
      <c r="BX34" s="108"/>
      <c r="BY34" s="65"/>
      <c r="BZ34" s="65" t="s">
        <v>161</v>
      </c>
      <c r="CA34" s="65" t="s">
        <v>162</v>
      </c>
      <c r="CB34" s="27"/>
      <c r="CC34" s="69"/>
      <c r="CD34" s="14"/>
      <c r="CE34" s="14"/>
    </row>
    <row r="35" spans="1:83" ht="15.75" customHeight="1">
      <c r="A35" s="27"/>
      <c r="B35" s="14">
        <v>6120009</v>
      </c>
      <c r="C35" s="136" t="s">
        <v>515</v>
      </c>
      <c r="D35" s="72">
        <v>100</v>
      </c>
      <c r="E35" s="17" t="s">
        <v>15</v>
      </c>
      <c r="F35" s="18">
        <v>7</v>
      </c>
      <c r="G35" s="18"/>
      <c r="H35" s="18"/>
      <c r="I35" s="18"/>
      <c r="J35" s="1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19"/>
      <c r="AH35" s="19"/>
      <c r="AI35" s="19"/>
      <c r="AJ35" s="19"/>
      <c r="AK35" s="19"/>
      <c r="AL35" s="19"/>
      <c r="AM35" s="19"/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68">
        <f t="shared" si="8"/>
        <v>0</v>
      </c>
      <c r="AT35" s="26">
        <f t="shared" si="9"/>
        <v>0</v>
      </c>
      <c r="AU35" s="19">
        <v>0</v>
      </c>
      <c r="AV35" s="19">
        <v>0</v>
      </c>
      <c r="AW35" s="19">
        <v>10</v>
      </c>
      <c r="AX35" s="19">
        <v>9</v>
      </c>
      <c r="AY35" s="19">
        <f>0+2</f>
        <v>2</v>
      </c>
      <c r="AZ35" s="20">
        <f>SUMIFS(領用表!$L:$L,領用表!$E:$E,$B35,領用表!$B:$B,AZ$2&amp;$BI$1)</f>
        <v>3</v>
      </c>
      <c r="BA35" s="20">
        <f>SUMIFS(領用表!$L:$L,領用表!$E:$E,$B35,領用表!$B:$B,BA$2&amp;$BI$1)</f>
        <v>2</v>
      </c>
      <c r="BB35" s="20">
        <f>SUMIFS(領用表!$L:$L,領用表!$E:$E,$B35,領用表!$B:$B,BB$2&amp;$BI$1)</f>
        <v>1</v>
      </c>
      <c r="BC35" s="20">
        <f>SUMIFS(領用表!$L:$L,領用表!$E:$E,$B35,領用表!$B:$B,BC$2&amp;$BI$1)</f>
        <v>6</v>
      </c>
      <c r="BD35" s="142">
        <f>SUMIFS(領用表!$L:$L,領用表!$E:$E,$B35,領用表!$B:$B,BD$2&amp;$BI$1)</f>
        <v>4</v>
      </c>
      <c r="BE35" s="142">
        <f>SUMIFS(領用表!$L:$L,領用表!$E:$E,$B35,領用表!$B:$B,BE$2&amp;$BI$1)</f>
        <v>4</v>
      </c>
      <c r="BF35" s="142">
        <f>SUMIFS(領用表!$L:$L,領用表!$E:$E,$B35,領用表!$B:$B,BF$2&amp;$BI$1)</f>
        <v>8</v>
      </c>
      <c r="BG35" s="23">
        <f t="shared" si="0"/>
        <v>49</v>
      </c>
      <c r="BH35" s="23">
        <f t="shared" si="1"/>
        <v>4.083333333333333</v>
      </c>
      <c r="BI35" s="142">
        <f>SUMIFS(領用表!$L:$L,領用表!$E:$E,$B35,領用表!$B:$B,BI$2&amp;$BI$1)</f>
        <v>5</v>
      </c>
      <c r="BJ35" s="142">
        <f>SUMIFS(領用表!$L:$L,領用表!$E:$E,$B35,領用表!$B:$B,BJ$2&amp;$BI$1)</f>
        <v>10</v>
      </c>
      <c r="BK35" s="142">
        <f>SUMIFS(領用表!$L:$L,領用表!$E:$E,$B35,領用表!$B:$B,BK$2&amp;$BI$1)</f>
        <v>14</v>
      </c>
      <c r="BL35" s="142">
        <f>SUMIFS(領用表!$L:$L,領用表!$E:$E,$B35,領用表!$B:$B,BL$2&amp;$BI$1)</f>
        <v>15</v>
      </c>
      <c r="BM35" s="142">
        <f>SUMIFS(領用表!$L:$L,領用表!$E:$E,$B35,領用表!$B:$B,BM$2&amp;$BI$1)</f>
        <v>10</v>
      </c>
      <c r="BN35" s="142">
        <f>SUMIFS(領用表!$L:$L,領用表!$E:$E,$B35,領用表!$B:$B,BN$2&amp;$BI$1)</f>
        <v>0</v>
      </c>
      <c r="BO35" s="142">
        <f>SUMIFS(領用表!$L:$L,領用表!$E:$E,$B35,領用表!$B:$B,BO$2&amp;$BI$1)</f>
        <v>0</v>
      </c>
      <c r="BP35" s="142">
        <f>SUMIFS(領用表!$L:$L,領用表!$E:$E,$B35,領用表!$B:$B,BP$2&amp;$BI$1)</f>
        <v>0</v>
      </c>
      <c r="BQ35" s="142">
        <f>SUMIFS(領用表!$L:$L,領用表!$E:$E,$B35,領用表!$B:$B,BQ$2&amp;$BI$1)</f>
        <v>0</v>
      </c>
      <c r="BR35" s="142">
        <f>SUMIFS(領用表!$L:$L,領用表!$E:$E,$B35,領用表!$B:$B,BR$2&amp;$BI$1)</f>
        <v>0</v>
      </c>
      <c r="BS35" s="142">
        <f>SUMIFS(領用表!$L:$L,領用表!$E:$E,$B35,領用表!$B:$B,BS$2&amp;$BI$1)</f>
        <v>0</v>
      </c>
      <c r="BT35" s="142">
        <f>SUMIFS(領用表!$L:$L,領用表!$E:$E,$B35,領用表!$B:$B,BT$2&amp;$BI$1)</f>
        <v>0</v>
      </c>
      <c r="BU35" s="142">
        <f t="shared" si="2"/>
        <v>54</v>
      </c>
      <c r="BV35" s="142">
        <f t="shared" si="3"/>
        <v>10.8</v>
      </c>
      <c r="BW35" s="142">
        <f>SUMIF(Summary!B:B,B35,Summary!DU:DU)</f>
        <v>0</v>
      </c>
      <c r="BX35" s="108"/>
      <c r="BY35" s="65"/>
      <c r="BZ35" s="65"/>
      <c r="CA35" s="65"/>
      <c r="CB35" s="27"/>
      <c r="CC35" s="69"/>
      <c r="CD35" s="14"/>
      <c r="CE35" s="14"/>
    </row>
    <row r="36" spans="1:83" ht="15.75" customHeight="1">
      <c r="A36" s="27"/>
      <c r="B36" s="14">
        <v>6120010</v>
      </c>
      <c r="C36" s="136" t="s">
        <v>516</v>
      </c>
      <c r="D36" s="72">
        <v>100</v>
      </c>
      <c r="E36" s="17" t="s">
        <v>15</v>
      </c>
      <c r="F36" s="18">
        <v>11</v>
      </c>
      <c r="G36" s="18"/>
      <c r="H36" s="18"/>
      <c r="I36" s="18"/>
      <c r="J36" s="1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19"/>
      <c r="AH36" s="19"/>
      <c r="AI36" s="19"/>
      <c r="AJ36" s="19"/>
      <c r="AK36" s="19"/>
      <c r="AL36" s="19"/>
      <c r="AM36" s="19"/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68">
        <f t="shared" si="8"/>
        <v>0</v>
      </c>
      <c r="AT36" s="26">
        <f t="shared" si="9"/>
        <v>0</v>
      </c>
      <c r="AU36" s="19">
        <v>0</v>
      </c>
      <c r="AV36" s="19">
        <v>0</v>
      </c>
      <c r="AW36" s="19">
        <v>10</v>
      </c>
      <c r="AX36" s="19">
        <v>9</v>
      </c>
      <c r="AY36" s="19">
        <f>0+2</f>
        <v>2</v>
      </c>
      <c r="AZ36" s="20">
        <f>SUMIFS(領用表!$L:$L,領用表!$E:$E,$B36,領用表!$B:$B,AZ$2&amp;$BI$1)</f>
        <v>3</v>
      </c>
      <c r="BA36" s="20">
        <f>SUMIFS(領用表!$L:$L,領用表!$E:$E,$B36,領用表!$B:$B,BA$2&amp;$BI$1)</f>
        <v>2</v>
      </c>
      <c r="BB36" s="20">
        <f>SUMIFS(領用表!$L:$L,領用表!$E:$E,$B36,領用表!$B:$B,BB$2&amp;$BI$1)</f>
        <v>1</v>
      </c>
      <c r="BC36" s="20">
        <f>SUMIFS(領用表!$L:$L,領用表!$E:$E,$B36,領用表!$B:$B,BC$2&amp;$BI$1)</f>
        <v>6</v>
      </c>
      <c r="BD36" s="142">
        <f>SUMIFS(領用表!$L:$L,領用表!$E:$E,$B36,領用表!$B:$B,BD$2&amp;$BI$1)</f>
        <v>4</v>
      </c>
      <c r="BE36" s="142">
        <f>SUMIFS(領用表!$L:$L,領用表!$E:$E,$B36,領用表!$B:$B,BE$2&amp;$BI$1)</f>
        <v>4</v>
      </c>
      <c r="BF36" s="142">
        <f>SUMIFS(領用表!$L:$L,領用表!$E:$E,$B36,領用表!$B:$B,BF$2&amp;$BI$1)</f>
        <v>8</v>
      </c>
      <c r="BG36" s="23">
        <f t="shared" si="0"/>
        <v>49</v>
      </c>
      <c r="BH36" s="23">
        <f t="shared" si="1"/>
        <v>4.083333333333333</v>
      </c>
      <c r="BI36" s="142">
        <f>SUMIFS(領用表!$L:$L,領用表!$E:$E,$B36,領用表!$B:$B,BI$2&amp;$BI$1)</f>
        <v>5</v>
      </c>
      <c r="BJ36" s="142">
        <f>SUMIFS(領用表!$L:$L,領用表!$E:$E,$B36,領用表!$B:$B,BJ$2&amp;$BI$1)</f>
        <v>10</v>
      </c>
      <c r="BK36" s="142">
        <f>SUMIFS(領用表!$L:$L,領用表!$E:$E,$B36,領用表!$B:$B,BK$2&amp;$BI$1)</f>
        <v>14</v>
      </c>
      <c r="BL36" s="142">
        <f>SUMIFS(領用表!$L:$L,領用表!$E:$E,$B36,領用表!$B:$B,BL$2&amp;$BI$1)</f>
        <v>15</v>
      </c>
      <c r="BM36" s="142">
        <f>SUMIFS(領用表!$L:$L,領用表!$E:$E,$B36,領用表!$B:$B,BM$2&amp;$BI$1)</f>
        <v>10</v>
      </c>
      <c r="BN36" s="142">
        <f>SUMIFS(領用表!$L:$L,領用表!$E:$E,$B36,領用表!$B:$B,BN$2&amp;$BI$1)</f>
        <v>0</v>
      </c>
      <c r="BO36" s="142">
        <f>SUMIFS(領用表!$L:$L,領用表!$E:$E,$B36,領用表!$B:$B,BO$2&amp;$BI$1)</f>
        <v>0</v>
      </c>
      <c r="BP36" s="142">
        <f>SUMIFS(領用表!$L:$L,領用表!$E:$E,$B36,領用表!$B:$B,BP$2&amp;$BI$1)</f>
        <v>0</v>
      </c>
      <c r="BQ36" s="142">
        <f>SUMIFS(領用表!$L:$L,領用表!$E:$E,$B36,領用表!$B:$B,BQ$2&amp;$BI$1)</f>
        <v>0</v>
      </c>
      <c r="BR36" s="142">
        <f>SUMIFS(領用表!$L:$L,領用表!$E:$E,$B36,領用表!$B:$B,BR$2&amp;$BI$1)</f>
        <v>0</v>
      </c>
      <c r="BS36" s="142">
        <f>SUMIFS(領用表!$L:$L,領用表!$E:$E,$B36,領用表!$B:$B,BS$2&amp;$BI$1)</f>
        <v>0</v>
      </c>
      <c r="BT36" s="142">
        <f>SUMIFS(領用表!$L:$L,領用表!$E:$E,$B36,領用表!$B:$B,BT$2&amp;$BI$1)</f>
        <v>0</v>
      </c>
      <c r="BU36" s="142">
        <f t="shared" si="2"/>
        <v>54</v>
      </c>
      <c r="BV36" s="142">
        <f t="shared" si="3"/>
        <v>10.8</v>
      </c>
      <c r="BW36" s="142">
        <f>SUMIF(Summary!B:B,B36,Summary!DU:DU)</f>
        <v>0</v>
      </c>
      <c r="BX36" s="108"/>
      <c r="BY36" s="65"/>
      <c r="BZ36" s="65"/>
      <c r="CA36" s="65"/>
      <c r="CB36" s="27"/>
      <c r="CC36" s="69"/>
      <c r="CD36" s="14"/>
      <c r="CE36" s="14"/>
    </row>
    <row r="37" spans="1:83" ht="15.75" customHeight="1" thickBot="1">
      <c r="A37" s="27"/>
      <c r="B37" s="14">
        <v>6120015</v>
      </c>
      <c r="C37" s="136" t="s">
        <v>517</v>
      </c>
      <c r="D37" s="72"/>
      <c r="E37" s="17" t="s">
        <v>15</v>
      </c>
      <c r="F37" s="18">
        <v>0</v>
      </c>
      <c r="G37" s="18"/>
      <c r="H37" s="18"/>
      <c r="I37" s="18"/>
      <c r="J37" s="1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19"/>
      <c r="AH37" s="19"/>
      <c r="AI37" s="19"/>
      <c r="AJ37" s="19"/>
      <c r="AK37" s="19"/>
      <c r="AL37" s="19"/>
      <c r="AM37" s="19"/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68">
        <f t="shared" si="8"/>
        <v>0</v>
      </c>
      <c r="AT37" s="26">
        <f t="shared" si="9"/>
        <v>0</v>
      </c>
      <c r="AU37" s="19">
        <v>0</v>
      </c>
      <c r="AV37" s="19">
        <v>0</v>
      </c>
      <c r="AW37" s="19">
        <v>10</v>
      </c>
      <c r="AX37" s="19">
        <v>32</v>
      </c>
      <c r="AY37" s="19">
        <f>76+7</f>
        <v>83</v>
      </c>
      <c r="AZ37" s="20">
        <f>SUMIFS(領用表!$L:$L,領用表!$E:$E,$B37,領用表!$B:$B,AZ$2&amp;$BI$1)</f>
        <v>1</v>
      </c>
      <c r="BA37" s="20">
        <f>SUMIFS(領用表!$L:$L,領用表!$E:$E,$B37,領用表!$B:$B,BA$2&amp;$BI$1)</f>
        <v>5</v>
      </c>
      <c r="BB37" s="20">
        <f>SUMIFS(領用表!$L:$L,領用表!$E:$E,$B37,領用表!$B:$B,BB$2&amp;$BI$1)</f>
        <v>2</v>
      </c>
      <c r="BC37" s="20">
        <f>SUMIFS(領用表!$L:$L,領用表!$E:$E,$B37,領用表!$B:$B,BC$2&amp;$BI$1)</f>
        <v>1</v>
      </c>
      <c r="BD37" s="142">
        <f>SUMIFS(領用表!$L:$L,領用表!$E:$E,$B37,領用表!$B:$B,BD$2&amp;$BI$1)</f>
        <v>19</v>
      </c>
      <c r="BE37" s="142">
        <f>SUMIFS(領用表!$L:$L,領用表!$E:$E,$B37,領用表!$B:$B,BE$2&amp;$BI$1)</f>
        <v>31</v>
      </c>
      <c r="BF37" s="142">
        <f>SUMIFS(領用表!$L:$L,領用表!$E:$E,$B37,領用表!$B:$B,BF$2&amp;$BI$1)</f>
        <v>25</v>
      </c>
      <c r="BG37" s="23">
        <f t="shared" ref="BG37:BG73" si="10">SUM(AU37,AV37,AW37,AX37,AY37,AZ37,BA37,BB37,BC37,BD37,BE37,BF37)</f>
        <v>209</v>
      </c>
      <c r="BH37" s="23">
        <f t="shared" ref="BH37:BH73" si="11">AVERAGE(AU37,AV37,AW37,AX37,AY37,AZ37,BA37,BB37,BC37,BD37,BE37,BF37)</f>
        <v>17.416666666666668</v>
      </c>
      <c r="BI37" s="142">
        <f>SUMIFS(領用表!$L:$L,領用表!$E:$E,$B37,領用表!$B:$B,BI$2&amp;$BI$1)</f>
        <v>26</v>
      </c>
      <c r="BJ37" s="142">
        <f>SUMIFS(領用表!$L:$L,領用表!$E:$E,$B37,領用表!$B:$B,BJ$2&amp;$BI$1)</f>
        <v>21</v>
      </c>
      <c r="BK37" s="142">
        <f>SUMIFS(領用表!$L:$L,領用表!$E:$E,$B37,領用表!$B:$B,BK$2&amp;$BI$1)</f>
        <v>24</v>
      </c>
      <c r="BL37" s="142">
        <f>SUMIFS(領用表!$L:$L,領用表!$E:$E,$B37,領用表!$B:$B,BL$2&amp;$BI$1)</f>
        <v>27</v>
      </c>
      <c r="BM37" s="142">
        <f>SUMIFS(領用表!$L:$L,領用表!$E:$E,$B37,領用表!$B:$B,BM$2&amp;$BI$1)</f>
        <v>29</v>
      </c>
      <c r="BN37" s="142">
        <f>SUMIFS(領用表!$L:$L,領用表!$E:$E,$B37,領用表!$B:$B,BN$2&amp;$BI$1)</f>
        <v>0</v>
      </c>
      <c r="BO37" s="142">
        <f>SUMIFS(領用表!$L:$L,領用表!$E:$E,$B37,領用表!$B:$B,BO$2&amp;$BI$1)</f>
        <v>0</v>
      </c>
      <c r="BP37" s="142">
        <f>SUMIFS(領用表!$L:$L,領用表!$E:$E,$B37,領用表!$B:$B,BP$2&amp;$BI$1)</f>
        <v>0</v>
      </c>
      <c r="BQ37" s="142">
        <f>SUMIFS(領用表!$L:$L,領用表!$E:$E,$B37,領用表!$B:$B,BQ$2&amp;$BI$1)</f>
        <v>0</v>
      </c>
      <c r="BR37" s="142">
        <f>SUMIFS(領用表!$L:$L,領用表!$E:$E,$B37,領用表!$B:$B,BR$2&amp;$BI$1)</f>
        <v>0</v>
      </c>
      <c r="BS37" s="142">
        <f>SUMIFS(領用表!$L:$L,領用表!$E:$E,$B37,領用表!$B:$B,BS$2&amp;$BI$1)</f>
        <v>0</v>
      </c>
      <c r="BT37" s="142">
        <f>SUMIFS(領用表!$L:$L,領用表!$E:$E,$B37,領用表!$B:$B,BT$2&amp;$BI$1)</f>
        <v>0</v>
      </c>
      <c r="BU37" s="142">
        <f t="shared" si="2"/>
        <v>127</v>
      </c>
      <c r="BV37" s="142">
        <f t="shared" si="3"/>
        <v>25.4</v>
      </c>
      <c r="BW37" s="142">
        <f>SUMIF(Summary!B:B,B37,Summary!DU:DU)</f>
        <v>0</v>
      </c>
      <c r="BX37" s="108"/>
      <c r="BY37" s="65"/>
      <c r="BZ37" s="76" t="s">
        <v>159</v>
      </c>
      <c r="CA37" s="65"/>
      <c r="CB37" s="27"/>
      <c r="CC37" s="69"/>
      <c r="CD37" s="14"/>
      <c r="CE37" s="14"/>
    </row>
    <row r="38" spans="1:83" ht="15.75" customHeight="1" thickBot="1">
      <c r="A38" s="192" t="s">
        <v>752</v>
      </c>
      <c r="B38" s="191">
        <v>6120037</v>
      </c>
      <c r="C38" s="193" t="s">
        <v>753</v>
      </c>
      <c r="D38" s="72"/>
      <c r="E38" s="17"/>
      <c r="F38" s="18"/>
      <c r="G38" s="18"/>
      <c r="H38" s="18"/>
      <c r="I38" s="18"/>
      <c r="J38" s="1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68"/>
      <c r="AT38" s="26"/>
      <c r="AU38" s="19"/>
      <c r="AV38" s="19"/>
      <c r="AW38" s="19"/>
      <c r="AX38" s="19"/>
      <c r="AY38" s="19"/>
      <c r="AZ38" s="20">
        <f>SUMIFS(領用表!$L:$L,領用表!$E:$E,$B38,領用表!$B:$B,AZ$2&amp;$BI$1)</f>
        <v>0</v>
      </c>
      <c r="BA38" s="20">
        <f>SUMIFS(領用表!$L:$L,領用表!$E:$E,$B38,領用表!$B:$B,BA$2&amp;$BI$1)</f>
        <v>0</v>
      </c>
      <c r="BB38" s="20">
        <f>SUMIFS(領用表!$L:$L,領用表!$E:$E,$B38,領用表!$B:$B,BB$2&amp;$BI$1)</f>
        <v>0</v>
      </c>
      <c r="BC38" s="20">
        <f>SUMIFS(領用表!$L:$L,領用表!$E:$E,$B38,領用表!$B:$B,BC$2&amp;$BI$1)</f>
        <v>0</v>
      </c>
      <c r="BD38" s="142">
        <f>SUMIFS(領用表!$L:$L,領用表!$E:$E,$B38,領用表!$B:$B,BD$2&amp;$BI$1)</f>
        <v>0</v>
      </c>
      <c r="BE38" s="142">
        <f>SUMIFS(領用表!$L:$L,領用表!$E:$E,$B38,領用表!$B:$B,BE$2&amp;$BI$1)</f>
        <v>0</v>
      </c>
      <c r="BF38" s="142">
        <f>SUMIFS(領用表!$L:$L,領用表!$E:$E,$B38,領用表!$B:$B,BF$2&amp;$BI$1)</f>
        <v>0</v>
      </c>
      <c r="BG38" s="23">
        <f t="shared" ref="BG38:BG39" si="12">SUM(AU38,AV38,AW38,AX38,AY38,AZ38,BA38,BB38,BC38,BD38,BE38,BF38)</f>
        <v>0</v>
      </c>
      <c r="BH38" s="23">
        <f t="shared" ref="BH38:BH39" si="13">AVERAGE(AU38,AV38,AW38,AX38,AY38,AZ38,BA38,BB38,BC38,BD38,BE38,BF38)</f>
        <v>0</v>
      </c>
      <c r="BI38" s="142">
        <f>SUMIFS(領用表!$L:$L,領用表!$E:$E,$B38,領用表!$B:$B,BI$2&amp;$BI$1)</f>
        <v>0</v>
      </c>
      <c r="BJ38" s="142">
        <f>SUMIFS(領用表!$L:$L,領用表!$E:$E,$B38,領用表!$B:$B,BJ$2&amp;$BI$1)</f>
        <v>0</v>
      </c>
      <c r="BK38" s="142">
        <f>SUMIFS(領用表!$L:$L,領用表!$E:$E,$B38,領用表!$B:$B,BK$2&amp;$BI$1)</f>
        <v>0</v>
      </c>
      <c r="BL38" s="142">
        <f>SUMIFS(領用表!$L:$L,領用表!$E:$E,$B38,領用表!$B:$B,BL$2&amp;$BI$1)</f>
        <v>0</v>
      </c>
      <c r="BM38" s="142">
        <f>SUMIFS(領用表!$L:$L,領用表!$E:$E,$B38,領用表!$B:$B,BM$2&amp;$BI$1)</f>
        <v>0</v>
      </c>
      <c r="BN38" s="142">
        <f>SUMIFS(領用表!$L:$L,領用表!$E:$E,$B38,領用表!$B:$B,BN$2&amp;$BI$1)</f>
        <v>0</v>
      </c>
      <c r="BO38" s="142">
        <f>SUMIFS(領用表!$L:$L,領用表!$E:$E,$B38,領用表!$B:$B,BO$2&amp;$BI$1)</f>
        <v>0</v>
      </c>
      <c r="BP38" s="142">
        <f>SUMIFS(領用表!$L:$L,領用表!$E:$E,$B38,領用表!$B:$B,BP$2&amp;$BI$1)</f>
        <v>0</v>
      </c>
      <c r="BQ38" s="142">
        <f>SUMIFS(領用表!$L:$L,領用表!$E:$E,$B38,領用表!$B:$B,BQ$2&amp;$BI$1)</f>
        <v>0</v>
      </c>
      <c r="BR38" s="142">
        <f>SUMIFS(領用表!$L:$L,領用表!$E:$E,$B38,領用表!$B:$B,BR$2&amp;$BI$1)</f>
        <v>0</v>
      </c>
      <c r="BS38" s="142">
        <f>SUMIFS(領用表!$L:$L,領用表!$E:$E,$B38,領用表!$B:$B,BS$2&amp;$BI$1)</f>
        <v>0</v>
      </c>
      <c r="BT38" s="142">
        <f>SUMIFS(領用表!$L:$L,領用表!$E:$E,$B38,領用表!$B:$B,BT$2&amp;$BI$1)</f>
        <v>0</v>
      </c>
      <c r="BU38" s="142">
        <f t="shared" si="2"/>
        <v>0</v>
      </c>
      <c r="BV38" s="142">
        <f t="shared" si="3"/>
        <v>0</v>
      </c>
      <c r="BW38" s="142">
        <f>SUMIF(Summary!B:B,B38,Summary!DU:DU)</f>
        <v>0</v>
      </c>
      <c r="BX38" s="108"/>
      <c r="BY38" s="65"/>
      <c r="BZ38" s="76"/>
      <c r="CA38" s="65"/>
      <c r="CB38" s="27"/>
      <c r="CC38" s="69"/>
      <c r="CD38" s="14"/>
      <c r="CE38" s="14"/>
    </row>
    <row r="39" spans="1:83" ht="15.75" customHeight="1" thickBot="1">
      <c r="A39" s="192" t="s">
        <v>754</v>
      </c>
      <c r="B39" s="191">
        <v>6120038</v>
      </c>
      <c r="C39" s="193" t="s">
        <v>755</v>
      </c>
      <c r="D39" s="72"/>
      <c r="E39" s="17"/>
      <c r="F39" s="18">
        <v>13</v>
      </c>
      <c r="G39" s="18"/>
      <c r="H39" s="18"/>
      <c r="I39" s="18"/>
      <c r="J39" s="1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68"/>
      <c r="AT39" s="26"/>
      <c r="AU39" s="19"/>
      <c r="AV39" s="19"/>
      <c r="AW39" s="19"/>
      <c r="AX39" s="19"/>
      <c r="AY39" s="19"/>
      <c r="AZ39" s="20">
        <f>SUMIFS(領用表!$L:$L,領用表!$E:$E,$B39,領用表!$B:$B,AZ$2&amp;$BI$1)</f>
        <v>0</v>
      </c>
      <c r="BA39" s="20">
        <f>SUMIFS(領用表!$L:$L,領用表!$E:$E,$B39,領用表!$B:$B,BA$2&amp;$BI$1)</f>
        <v>0</v>
      </c>
      <c r="BB39" s="20">
        <f>SUMIFS(領用表!$L:$L,領用表!$E:$E,$B39,領用表!$B:$B,BB$2&amp;$BI$1)</f>
        <v>0</v>
      </c>
      <c r="BC39" s="20">
        <f>SUMIFS(領用表!$L:$L,領用表!$E:$E,$B39,領用表!$B:$B,BC$2&amp;$BI$1)</f>
        <v>0</v>
      </c>
      <c r="BD39" s="142">
        <f>SUMIFS(領用表!$L:$L,領用表!$E:$E,$B39,領用表!$B:$B,BD$2&amp;$BI$1)</f>
        <v>0</v>
      </c>
      <c r="BE39" s="142">
        <f>SUMIFS(領用表!$L:$L,領用表!$E:$E,$B39,領用表!$B:$B,BE$2&amp;$BI$1)</f>
        <v>0</v>
      </c>
      <c r="BF39" s="142">
        <f>SUMIFS(領用表!$L:$L,領用表!$E:$E,$B39,領用表!$B:$B,BF$2&amp;$BI$1)</f>
        <v>0</v>
      </c>
      <c r="BG39" s="23">
        <f t="shared" si="12"/>
        <v>0</v>
      </c>
      <c r="BH39" s="23">
        <f t="shared" si="13"/>
        <v>0</v>
      </c>
      <c r="BI39" s="142">
        <f>SUMIFS(領用表!$L:$L,領用表!$E:$E,$B39,領用表!$B:$B,BI$2&amp;$BI$1)</f>
        <v>0</v>
      </c>
      <c r="BJ39" s="142">
        <f>SUMIFS(領用表!$L:$L,領用表!$E:$E,$B39,領用表!$B:$B,BJ$2&amp;$BI$1)</f>
        <v>0</v>
      </c>
      <c r="BK39" s="142">
        <f>SUMIFS(領用表!$L:$L,領用表!$E:$E,$B39,領用表!$B:$B,BK$2&amp;$BI$1)</f>
        <v>0</v>
      </c>
      <c r="BL39" s="142">
        <f>SUMIFS(領用表!$L:$L,領用表!$E:$E,$B39,領用表!$B:$B,BL$2&amp;$BI$1)</f>
        <v>1</v>
      </c>
      <c r="BM39" s="142">
        <f>SUMIFS(領用表!$L:$L,領用表!$E:$E,$B39,領用表!$B:$B,BM$2&amp;$BI$1)</f>
        <v>0</v>
      </c>
      <c r="BN39" s="142">
        <f>SUMIFS(領用表!$L:$L,領用表!$E:$E,$B39,領用表!$B:$B,BN$2&amp;$BI$1)</f>
        <v>0</v>
      </c>
      <c r="BO39" s="142">
        <f>SUMIFS(領用表!$L:$L,領用表!$E:$E,$B39,領用表!$B:$B,BO$2&amp;$BI$1)</f>
        <v>0</v>
      </c>
      <c r="BP39" s="142">
        <f>SUMIFS(領用表!$L:$L,領用表!$E:$E,$B39,領用表!$B:$B,BP$2&amp;$BI$1)</f>
        <v>0</v>
      </c>
      <c r="BQ39" s="142">
        <f>SUMIFS(領用表!$L:$L,領用表!$E:$E,$B39,領用表!$B:$B,BQ$2&amp;$BI$1)</f>
        <v>0</v>
      </c>
      <c r="BR39" s="142">
        <f>SUMIFS(領用表!$L:$L,領用表!$E:$E,$B39,領用表!$B:$B,BR$2&amp;$BI$1)</f>
        <v>0</v>
      </c>
      <c r="BS39" s="142">
        <f>SUMIFS(領用表!$L:$L,領用表!$E:$E,$B39,領用表!$B:$B,BS$2&amp;$BI$1)</f>
        <v>0</v>
      </c>
      <c r="BT39" s="142">
        <f>SUMIFS(領用表!$L:$L,領用表!$E:$E,$B39,領用表!$B:$B,BT$2&amp;$BI$1)</f>
        <v>0</v>
      </c>
      <c r="BU39" s="142">
        <f t="shared" si="2"/>
        <v>1</v>
      </c>
      <c r="BV39" s="142">
        <f t="shared" si="3"/>
        <v>0.2</v>
      </c>
      <c r="BW39" s="142">
        <f>SUMIF(Summary!B:B,B39,Summary!DU:DU)</f>
        <v>0</v>
      </c>
      <c r="BX39" s="108"/>
      <c r="BY39" s="65"/>
      <c r="BZ39" s="76"/>
      <c r="CA39" s="65"/>
      <c r="CB39" s="27"/>
      <c r="CC39" s="69"/>
      <c r="CD39" s="14"/>
      <c r="CE39" s="14"/>
    </row>
    <row r="40" spans="1:83" ht="15.75" customHeight="1">
      <c r="A40" s="27"/>
      <c r="B40" s="14">
        <v>6120016</v>
      </c>
      <c r="C40" s="136" t="s">
        <v>518</v>
      </c>
      <c r="D40" s="72"/>
      <c r="E40" s="17" t="s">
        <v>15</v>
      </c>
      <c r="F40" s="18">
        <v>51</v>
      </c>
      <c r="G40" s="18"/>
      <c r="H40" s="18"/>
      <c r="I40" s="18"/>
      <c r="J40" s="1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19"/>
      <c r="AH40" s="19"/>
      <c r="AI40" s="19"/>
      <c r="AJ40" s="19"/>
      <c r="AK40" s="19"/>
      <c r="AL40" s="19"/>
      <c r="AM40" s="19"/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68">
        <f t="shared" si="8"/>
        <v>0</v>
      </c>
      <c r="AT40" s="26">
        <f t="shared" si="9"/>
        <v>0</v>
      </c>
      <c r="AU40" s="19">
        <v>0</v>
      </c>
      <c r="AV40" s="19">
        <v>0</v>
      </c>
      <c r="AW40" s="19">
        <v>10</v>
      </c>
      <c r="AX40" s="19">
        <v>94</v>
      </c>
      <c r="AY40" s="19">
        <f>21+57</f>
        <v>78</v>
      </c>
      <c r="AZ40" s="20">
        <f>SUMIFS(領用表!$L:$L,領用表!$E:$E,$B40,領用表!$B:$B,AZ$2&amp;$BI$1)</f>
        <v>1</v>
      </c>
      <c r="BA40" s="20">
        <f>SUMIFS(領用表!$L:$L,領用表!$E:$E,$B40,領用表!$B:$B,BA$2&amp;$BI$1)</f>
        <v>5</v>
      </c>
      <c r="BB40" s="20">
        <f>SUMIFS(領用表!$L:$L,領用表!$E:$E,$B40,領用表!$B:$B,BB$2&amp;$BI$1)</f>
        <v>2</v>
      </c>
      <c r="BC40" s="20">
        <f>SUMIFS(領用表!$L:$L,領用表!$E:$E,$B40,領用表!$B:$B,BC$2&amp;$BI$1)</f>
        <v>1</v>
      </c>
      <c r="BD40" s="142">
        <f>SUMIFS(領用表!$L:$L,領用表!$E:$E,$B40,領用表!$B:$B,BD$2&amp;$BI$1)</f>
        <v>19</v>
      </c>
      <c r="BE40" s="142">
        <f>SUMIFS(領用表!$L:$L,領用表!$E:$E,$B40,領用表!$B:$B,BE$2&amp;$BI$1)</f>
        <v>31</v>
      </c>
      <c r="BF40" s="142">
        <f>SUMIFS(領用表!$L:$L,領用表!$E:$E,$B40,領用表!$B:$B,BF$2&amp;$BI$1)</f>
        <v>25</v>
      </c>
      <c r="BG40" s="23">
        <f t="shared" si="10"/>
        <v>266</v>
      </c>
      <c r="BH40" s="23">
        <f t="shared" si="11"/>
        <v>22.166666666666668</v>
      </c>
      <c r="BI40" s="142">
        <f>SUMIFS(領用表!$L:$L,領用表!$E:$E,$B40,領用表!$B:$B,BI$2&amp;$BI$1)</f>
        <v>26</v>
      </c>
      <c r="BJ40" s="142">
        <f>SUMIFS(領用表!$L:$L,領用表!$E:$E,$B40,領用表!$B:$B,BJ$2&amp;$BI$1)</f>
        <v>21</v>
      </c>
      <c r="BK40" s="142">
        <f>SUMIFS(領用表!$L:$L,領用表!$E:$E,$B40,領用表!$B:$B,BK$2&amp;$BI$1)</f>
        <v>23</v>
      </c>
      <c r="BL40" s="142">
        <f>SUMIFS(領用表!$L:$L,領用表!$E:$E,$B40,領用表!$B:$B,BL$2&amp;$BI$1)</f>
        <v>27</v>
      </c>
      <c r="BM40" s="142">
        <f>SUMIFS(領用表!$L:$L,領用表!$E:$E,$B40,領用表!$B:$B,BM$2&amp;$BI$1)</f>
        <v>29</v>
      </c>
      <c r="BN40" s="142">
        <f>SUMIFS(領用表!$L:$L,領用表!$E:$E,$B40,領用表!$B:$B,BN$2&amp;$BI$1)</f>
        <v>0</v>
      </c>
      <c r="BO40" s="142">
        <f>SUMIFS(領用表!$L:$L,領用表!$E:$E,$B40,領用表!$B:$B,BO$2&amp;$BI$1)</f>
        <v>0</v>
      </c>
      <c r="BP40" s="142">
        <f>SUMIFS(領用表!$L:$L,領用表!$E:$E,$B40,領用表!$B:$B,BP$2&amp;$BI$1)</f>
        <v>0</v>
      </c>
      <c r="BQ40" s="142">
        <f>SUMIFS(領用表!$L:$L,領用表!$E:$E,$B40,領用表!$B:$B,BQ$2&amp;$BI$1)</f>
        <v>0</v>
      </c>
      <c r="BR40" s="142">
        <f>SUMIFS(領用表!$L:$L,領用表!$E:$E,$B40,領用表!$B:$B,BR$2&amp;$BI$1)</f>
        <v>0</v>
      </c>
      <c r="BS40" s="142">
        <f>SUMIFS(領用表!$L:$L,領用表!$E:$E,$B40,領用表!$B:$B,BS$2&amp;$BI$1)</f>
        <v>0</v>
      </c>
      <c r="BT40" s="142">
        <f>SUMIFS(領用表!$L:$L,領用表!$E:$E,$B40,領用表!$B:$B,BT$2&amp;$BI$1)</f>
        <v>0</v>
      </c>
      <c r="BU40" s="142">
        <f t="shared" si="2"/>
        <v>126</v>
      </c>
      <c r="BV40" s="142">
        <f t="shared" si="3"/>
        <v>25.2</v>
      </c>
      <c r="BW40" s="142">
        <f>SUMIF(Summary!B:B,B40,Summary!DU:DU)</f>
        <v>0</v>
      </c>
      <c r="BX40" s="108"/>
      <c r="BY40" s="65"/>
      <c r="BZ40" s="76" t="s">
        <v>163</v>
      </c>
      <c r="CA40" s="65" t="s">
        <v>164</v>
      </c>
      <c r="CB40" s="27"/>
      <c r="CC40" s="69"/>
      <c r="CD40" s="14"/>
      <c r="CE40" s="14"/>
    </row>
    <row r="41" spans="1:83" ht="15.75" customHeight="1">
      <c r="A41" s="27"/>
      <c r="B41" s="14">
        <v>6120022</v>
      </c>
      <c r="C41" s="136" t="s">
        <v>519</v>
      </c>
      <c r="D41" s="72"/>
      <c r="E41" s="17" t="s">
        <v>15</v>
      </c>
      <c r="F41" s="18">
        <v>9</v>
      </c>
      <c r="G41" s="18"/>
      <c r="H41" s="18"/>
      <c r="I41" s="18"/>
      <c r="J41" s="1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19"/>
      <c r="AH41" s="19"/>
      <c r="AI41" s="19"/>
      <c r="AJ41" s="19"/>
      <c r="AK41" s="19"/>
      <c r="AL41" s="19"/>
      <c r="AM41" s="19"/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68">
        <f t="shared" si="8"/>
        <v>0</v>
      </c>
      <c r="AT41" s="26">
        <f t="shared" si="9"/>
        <v>0</v>
      </c>
      <c r="AU41" s="19">
        <v>0</v>
      </c>
      <c r="AV41" s="19">
        <v>0</v>
      </c>
      <c r="AW41" s="19">
        <v>2</v>
      </c>
      <c r="AX41" s="19">
        <v>10</v>
      </c>
      <c r="AY41" s="19">
        <v>0</v>
      </c>
      <c r="AZ41" s="20">
        <f>SUMIFS(領用表!$L:$L,領用表!$E:$E,$B41,領用表!$B:$B,AZ$2&amp;$BI$1)</f>
        <v>0</v>
      </c>
      <c r="BA41" s="20">
        <f>SUMIFS(領用表!$L:$L,領用表!$E:$E,$B41,領用表!$B:$B,BA$2&amp;$BI$1)</f>
        <v>0</v>
      </c>
      <c r="BB41" s="20">
        <f>SUMIFS(領用表!$L:$L,領用表!$E:$E,$B41,領用表!$B:$B,BB$2&amp;$BI$1)</f>
        <v>0</v>
      </c>
      <c r="BC41" s="20">
        <f>SUMIFS(領用表!$L:$L,領用表!$E:$E,$B41,領用表!$B:$B,BC$2&amp;$BI$1)</f>
        <v>0</v>
      </c>
      <c r="BD41" s="142">
        <f>SUMIFS(領用表!$L:$L,領用表!$E:$E,$B41,領用表!$B:$B,BD$2&amp;$BI$1)</f>
        <v>0</v>
      </c>
      <c r="BE41" s="142">
        <f>SUMIFS(領用表!$L:$L,領用表!$E:$E,$B41,領用表!$B:$B,BE$2&amp;$BI$1)</f>
        <v>0</v>
      </c>
      <c r="BF41" s="142">
        <f>SUMIFS(領用表!$L:$L,領用表!$E:$E,$B41,領用表!$B:$B,BF$2&amp;$BI$1)</f>
        <v>0</v>
      </c>
      <c r="BG41" s="23">
        <f t="shared" si="10"/>
        <v>12</v>
      </c>
      <c r="BH41" s="23">
        <f t="shared" si="11"/>
        <v>1</v>
      </c>
      <c r="BI41" s="142">
        <f>SUMIFS(領用表!$L:$L,領用表!$E:$E,$B41,領用表!$B:$B,BI$2&amp;$BI$1)</f>
        <v>0</v>
      </c>
      <c r="BJ41" s="142">
        <f>SUMIFS(領用表!$L:$L,領用表!$E:$E,$B41,領用表!$B:$B,BJ$2&amp;$BI$1)</f>
        <v>0</v>
      </c>
      <c r="BK41" s="142">
        <f>SUMIFS(領用表!$L:$L,領用表!$E:$E,$B41,領用表!$B:$B,BK$2&amp;$BI$1)</f>
        <v>1</v>
      </c>
      <c r="BL41" s="142">
        <f>SUMIFS(領用表!$L:$L,領用表!$E:$E,$B41,領用表!$B:$B,BL$2&amp;$BI$1)</f>
        <v>1</v>
      </c>
      <c r="BM41" s="142">
        <f>SUMIFS(領用表!$L:$L,領用表!$E:$E,$B41,領用表!$B:$B,BM$2&amp;$BI$1)</f>
        <v>0</v>
      </c>
      <c r="BN41" s="142">
        <f>SUMIFS(領用表!$L:$L,領用表!$E:$E,$B41,領用表!$B:$B,BN$2&amp;$BI$1)</f>
        <v>0</v>
      </c>
      <c r="BO41" s="142">
        <f>SUMIFS(領用表!$L:$L,領用表!$E:$E,$B41,領用表!$B:$B,BO$2&amp;$BI$1)</f>
        <v>0</v>
      </c>
      <c r="BP41" s="142">
        <f>SUMIFS(領用表!$L:$L,領用表!$E:$E,$B41,領用表!$B:$B,BP$2&amp;$BI$1)</f>
        <v>0</v>
      </c>
      <c r="BQ41" s="142">
        <f>SUMIFS(領用表!$L:$L,領用表!$E:$E,$B41,領用表!$B:$B,BQ$2&amp;$BI$1)</f>
        <v>0</v>
      </c>
      <c r="BR41" s="142">
        <f>SUMIFS(領用表!$L:$L,領用表!$E:$E,$B41,領用表!$B:$B,BR$2&amp;$BI$1)</f>
        <v>0</v>
      </c>
      <c r="BS41" s="142">
        <f>SUMIFS(領用表!$L:$L,領用表!$E:$E,$B41,領用表!$B:$B,BS$2&amp;$BI$1)</f>
        <v>0</v>
      </c>
      <c r="BT41" s="142">
        <f>SUMIFS(領用表!$L:$L,領用表!$E:$E,$B41,領用表!$B:$B,BT$2&amp;$BI$1)</f>
        <v>0</v>
      </c>
      <c r="BU41" s="142">
        <f t="shared" si="2"/>
        <v>2</v>
      </c>
      <c r="BV41" s="142">
        <f t="shared" si="3"/>
        <v>0.4</v>
      </c>
      <c r="BW41" s="142">
        <f>SUMIF(Summary!B:B,B41,Summary!DU:DU)</f>
        <v>0</v>
      </c>
      <c r="BX41" s="108"/>
      <c r="BY41" s="65"/>
      <c r="BZ41" s="65"/>
      <c r="CA41" s="65"/>
      <c r="CB41" s="27"/>
      <c r="CC41" s="69"/>
      <c r="CD41" s="14"/>
      <c r="CE41" s="14"/>
    </row>
    <row r="42" spans="1:83" ht="15.75" customHeight="1">
      <c r="A42" s="27"/>
      <c r="B42" s="14">
        <v>6120018</v>
      </c>
      <c r="C42" s="136" t="s">
        <v>526</v>
      </c>
      <c r="D42" s="72"/>
      <c r="E42" s="17" t="s">
        <v>15</v>
      </c>
      <c r="F42" s="18"/>
      <c r="G42" s="18"/>
      <c r="H42" s="18"/>
      <c r="I42" s="18"/>
      <c r="J42" s="1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19"/>
      <c r="AH42" s="19"/>
      <c r="AI42" s="19"/>
      <c r="AJ42" s="19"/>
      <c r="AK42" s="19"/>
      <c r="AL42" s="19"/>
      <c r="AM42" s="19"/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68">
        <f>SUM(AG42:AR42)</f>
        <v>0</v>
      </c>
      <c r="AT42" s="26">
        <f>AS42/12</f>
        <v>0</v>
      </c>
      <c r="AU42" s="19">
        <v>0</v>
      </c>
      <c r="AV42" s="19">
        <v>0</v>
      </c>
      <c r="AW42" s="19">
        <v>17</v>
      </c>
      <c r="AX42" s="19">
        <v>13</v>
      </c>
      <c r="AY42" s="19">
        <v>9</v>
      </c>
      <c r="AZ42" s="20">
        <f>SUMIFS(領用表!$L:$L,領用表!$E:$E,$B42,領用表!$B:$B,AZ$2&amp;$BI$1)</f>
        <v>0</v>
      </c>
      <c r="BA42" s="20">
        <f>SUMIFS(領用表!$L:$L,領用表!$E:$E,$B42,領用表!$B:$B,BA$2&amp;$BI$1)</f>
        <v>0</v>
      </c>
      <c r="BB42" s="20">
        <f>SUMIFS(領用表!$L:$L,領用表!$E:$E,$B42,領用表!$B:$B,BB$2&amp;$BI$1)</f>
        <v>0</v>
      </c>
      <c r="BC42" s="20">
        <f>SUMIFS(領用表!$L:$L,領用表!$E:$E,$B42,領用表!$B:$B,BC$2&amp;$BI$1)</f>
        <v>0</v>
      </c>
      <c r="BD42" s="142">
        <f>SUMIFS(領用表!$L:$L,領用表!$E:$E,$B42,領用表!$B:$B,BD$2&amp;$BI$1)</f>
        <v>0</v>
      </c>
      <c r="BE42" s="142">
        <f>SUMIFS(領用表!$L:$L,領用表!$E:$E,$B42,領用表!$B:$B,BE$2&amp;$BI$1)</f>
        <v>0</v>
      </c>
      <c r="BF42" s="142">
        <f>SUMIFS(領用表!$L:$L,領用表!$E:$E,$B42,領用表!$B:$B,BF$2&amp;$BI$1)</f>
        <v>0</v>
      </c>
      <c r="BG42" s="23">
        <f t="shared" si="10"/>
        <v>39</v>
      </c>
      <c r="BH42" s="23">
        <f t="shared" si="11"/>
        <v>3.25</v>
      </c>
      <c r="BI42" s="142">
        <f>SUMIFS(領用表!$L:$L,領用表!$E:$E,$B42,領用表!$B:$B,BI$2&amp;$BI$1)</f>
        <v>0</v>
      </c>
      <c r="BJ42" s="142">
        <f>SUMIFS(領用表!$L:$L,領用表!$E:$E,$B42,領用表!$B:$B,BJ$2&amp;$BI$1)</f>
        <v>0</v>
      </c>
      <c r="BK42" s="142">
        <f>SUMIFS(領用表!$L:$L,領用表!$E:$E,$B42,領用表!$B:$B,BK$2&amp;$BI$1)</f>
        <v>0</v>
      </c>
      <c r="BL42" s="142">
        <f>SUMIFS(領用表!$L:$L,領用表!$E:$E,$B42,領用表!$B:$B,BL$2&amp;$BI$1)</f>
        <v>0</v>
      </c>
      <c r="BM42" s="142">
        <f>SUMIFS(領用表!$L:$L,領用表!$E:$E,$B42,領用表!$B:$B,BM$2&amp;$BI$1)</f>
        <v>0</v>
      </c>
      <c r="BN42" s="142">
        <f>SUMIFS(領用表!$L:$L,領用表!$E:$E,$B42,領用表!$B:$B,BN$2&amp;$BI$1)</f>
        <v>0</v>
      </c>
      <c r="BO42" s="142">
        <f>SUMIFS(領用表!$L:$L,領用表!$E:$E,$B42,領用表!$B:$B,BO$2&amp;$BI$1)</f>
        <v>0</v>
      </c>
      <c r="BP42" s="142">
        <f>SUMIFS(領用表!$L:$L,領用表!$E:$E,$B42,領用表!$B:$B,BP$2&amp;$BI$1)</f>
        <v>0</v>
      </c>
      <c r="BQ42" s="142">
        <f>SUMIFS(領用表!$L:$L,領用表!$E:$E,$B42,領用表!$B:$B,BQ$2&amp;$BI$1)</f>
        <v>0</v>
      </c>
      <c r="BR42" s="142">
        <f>SUMIFS(領用表!$L:$L,領用表!$E:$E,$B42,領用表!$B:$B,BR$2&amp;$BI$1)</f>
        <v>0</v>
      </c>
      <c r="BS42" s="142">
        <f>SUMIFS(領用表!$L:$L,領用表!$E:$E,$B42,領用表!$B:$B,BS$2&amp;$BI$1)</f>
        <v>0</v>
      </c>
      <c r="BT42" s="142">
        <f>SUMIFS(領用表!$L:$L,領用表!$E:$E,$B42,領用表!$B:$B,BT$2&amp;$BI$1)</f>
        <v>0</v>
      </c>
      <c r="BU42" s="142">
        <f t="shared" si="2"/>
        <v>0</v>
      </c>
      <c r="BV42" s="142">
        <f t="shared" si="3"/>
        <v>0</v>
      </c>
      <c r="BW42" s="142">
        <f>SUMIF(Summary!B:B,B42,Summary!DU:DU)</f>
        <v>0</v>
      </c>
      <c r="BX42" s="109"/>
      <c r="BY42" s="65"/>
      <c r="BZ42" s="76" t="s">
        <v>165</v>
      </c>
      <c r="CA42" s="65"/>
      <c r="CB42" s="27"/>
      <c r="CC42" s="69"/>
      <c r="CD42" s="14"/>
      <c r="CE42" s="14"/>
    </row>
    <row r="43" spans="1:83" ht="15.75" customHeight="1">
      <c r="A43" s="27"/>
      <c r="B43" s="14">
        <v>6120011</v>
      </c>
      <c r="C43" s="136" t="s">
        <v>527</v>
      </c>
      <c r="D43" s="72">
        <v>10</v>
      </c>
      <c r="E43" s="17" t="s">
        <v>15</v>
      </c>
      <c r="F43" s="18">
        <v>24</v>
      </c>
      <c r="G43" s="18"/>
      <c r="H43" s="18"/>
      <c r="I43" s="18"/>
      <c r="J43" s="1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19"/>
      <c r="AH43" s="19"/>
      <c r="AI43" s="19"/>
      <c r="AJ43" s="19"/>
      <c r="AK43" s="19"/>
      <c r="AL43" s="19"/>
      <c r="AM43" s="19"/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68">
        <f t="shared" si="8"/>
        <v>0</v>
      </c>
      <c r="AT43" s="26">
        <f t="shared" si="9"/>
        <v>0</v>
      </c>
      <c r="AU43" s="19">
        <v>0</v>
      </c>
      <c r="AV43" s="19">
        <v>0</v>
      </c>
      <c r="AW43" s="19">
        <v>2</v>
      </c>
      <c r="AX43" s="19">
        <v>12</v>
      </c>
      <c r="AY43" s="19">
        <f>0+2</f>
        <v>2</v>
      </c>
      <c r="AZ43" s="20">
        <f>SUMIFS(領用表!$L:$L,領用表!$E:$E,$B43,領用表!$B:$B,AZ$2&amp;$BI$1)</f>
        <v>4</v>
      </c>
      <c r="BA43" s="20">
        <f>SUMIFS(領用表!$L:$L,領用表!$E:$E,$B43,領用表!$B:$B,BA$2&amp;$BI$1)</f>
        <v>4</v>
      </c>
      <c r="BB43" s="20">
        <f>SUMIFS(領用表!$L:$L,領用表!$E:$E,$B43,領用表!$B:$B,BB$2&amp;$BI$1)</f>
        <v>1</v>
      </c>
      <c r="BC43" s="20">
        <f>SUMIFS(領用表!$L:$L,領用表!$E:$E,$B43,領用表!$B:$B,BC$2&amp;$BI$1)</f>
        <v>6</v>
      </c>
      <c r="BD43" s="142">
        <f>SUMIFS(領用表!$L:$L,領用表!$E:$E,$B43,領用表!$B:$B,BD$2&amp;$BI$1)</f>
        <v>4</v>
      </c>
      <c r="BE43" s="142">
        <f>SUMIFS(領用表!$L:$L,領用表!$E:$E,$B43,領用表!$B:$B,BE$2&amp;$BI$1)</f>
        <v>5</v>
      </c>
      <c r="BF43" s="142">
        <f>SUMIFS(領用表!$L:$L,領用表!$E:$E,$B43,領用表!$B:$B,BF$2&amp;$BI$1)</f>
        <v>9</v>
      </c>
      <c r="BG43" s="23">
        <f t="shared" si="10"/>
        <v>49</v>
      </c>
      <c r="BH43" s="23">
        <f t="shared" si="11"/>
        <v>4.083333333333333</v>
      </c>
      <c r="BI43" s="142">
        <f>SUMIFS(領用表!$L:$L,領用表!$E:$E,$B43,領用表!$B:$B,BI$2&amp;$BI$1)</f>
        <v>5</v>
      </c>
      <c r="BJ43" s="142">
        <f>SUMIFS(領用表!$L:$L,領用表!$E:$E,$B43,領用表!$B:$B,BJ$2&amp;$BI$1)</f>
        <v>2</v>
      </c>
      <c r="BK43" s="142">
        <f>SUMIFS(領用表!$L:$L,領用表!$E:$E,$B43,領用表!$B:$B,BK$2&amp;$BI$1)</f>
        <v>4</v>
      </c>
      <c r="BL43" s="142">
        <f>SUMIFS(領用表!$L:$L,領用表!$E:$E,$B43,領用表!$B:$B,BL$2&amp;$BI$1)</f>
        <v>4</v>
      </c>
      <c r="BM43" s="142">
        <f>SUMIFS(領用表!$L:$L,領用表!$E:$E,$B43,領用表!$B:$B,BM$2&amp;$BI$1)</f>
        <v>5</v>
      </c>
      <c r="BN43" s="142">
        <f>SUMIFS(領用表!$L:$L,領用表!$E:$E,$B43,領用表!$B:$B,BN$2&amp;$BI$1)</f>
        <v>0</v>
      </c>
      <c r="BO43" s="142">
        <f>SUMIFS(領用表!$L:$L,領用表!$E:$E,$B43,領用表!$B:$B,BO$2&amp;$BI$1)</f>
        <v>0</v>
      </c>
      <c r="BP43" s="142">
        <f>SUMIFS(領用表!$L:$L,領用表!$E:$E,$B43,領用表!$B:$B,BP$2&amp;$BI$1)</f>
        <v>0</v>
      </c>
      <c r="BQ43" s="142">
        <f>SUMIFS(領用表!$L:$L,領用表!$E:$E,$B43,領用表!$B:$B,BQ$2&amp;$BI$1)</f>
        <v>0</v>
      </c>
      <c r="BR43" s="142">
        <f>SUMIFS(領用表!$L:$L,領用表!$E:$E,$B43,領用表!$B:$B,BR$2&amp;$BI$1)</f>
        <v>0</v>
      </c>
      <c r="BS43" s="142">
        <f>SUMIFS(領用表!$L:$L,領用表!$E:$E,$B43,領用表!$B:$B,BS$2&amp;$BI$1)</f>
        <v>0</v>
      </c>
      <c r="BT43" s="142">
        <f>SUMIFS(領用表!$L:$L,領用表!$E:$E,$B43,領用表!$B:$B,BT$2&amp;$BI$1)</f>
        <v>0</v>
      </c>
      <c r="BU43" s="142">
        <f t="shared" si="2"/>
        <v>20</v>
      </c>
      <c r="BV43" s="142">
        <f t="shared" si="3"/>
        <v>4</v>
      </c>
      <c r="BW43" s="142">
        <f>SUMIF(Summary!B:B,B43,Summary!DU:DU)</f>
        <v>0</v>
      </c>
      <c r="BX43" s="109"/>
      <c r="BY43" s="65"/>
      <c r="BZ43" s="65" t="s">
        <v>166</v>
      </c>
      <c r="CA43" s="65"/>
      <c r="CB43" s="27"/>
      <c r="CC43" s="69"/>
      <c r="CD43" s="14"/>
      <c r="CE43" s="14"/>
    </row>
    <row r="44" spans="1:83" ht="15.75" customHeight="1">
      <c r="A44" s="27"/>
      <c r="B44" s="14">
        <v>6120017</v>
      </c>
      <c r="C44" s="136" t="s">
        <v>528</v>
      </c>
      <c r="D44" s="72"/>
      <c r="E44" s="17" t="s">
        <v>15</v>
      </c>
      <c r="F44" s="18">
        <v>57</v>
      </c>
      <c r="G44" s="18"/>
      <c r="H44" s="18"/>
      <c r="I44" s="18"/>
      <c r="J44" s="1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19"/>
      <c r="AH44" s="19"/>
      <c r="AI44" s="19"/>
      <c r="AJ44" s="19"/>
      <c r="AK44" s="19"/>
      <c r="AL44" s="19"/>
      <c r="AM44" s="19"/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68">
        <f t="shared" si="8"/>
        <v>0</v>
      </c>
      <c r="AT44" s="26">
        <f t="shared" si="9"/>
        <v>0</v>
      </c>
      <c r="AU44" s="19">
        <v>0</v>
      </c>
      <c r="AV44" s="19">
        <v>0</v>
      </c>
      <c r="AW44" s="19">
        <v>0</v>
      </c>
      <c r="AX44" s="19">
        <v>1</v>
      </c>
      <c r="AY44" s="19">
        <f>0+3</f>
        <v>3</v>
      </c>
      <c r="AZ44" s="20">
        <f>SUMIFS(領用表!$L:$L,領用表!$E:$E,$B44,領用表!$B:$B,AZ$2&amp;$BI$1)</f>
        <v>3</v>
      </c>
      <c r="BA44" s="20">
        <f>SUMIFS(領用表!$L:$L,領用表!$E:$E,$B44,領用表!$B:$B,BA$2&amp;$BI$1)</f>
        <v>0</v>
      </c>
      <c r="BB44" s="20">
        <f>SUMIFS(領用表!$L:$L,領用表!$E:$E,$B44,領用表!$B:$B,BB$2&amp;$BI$1)</f>
        <v>2</v>
      </c>
      <c r="BC44" s="20">
        <f>SUMIFS(領用表!$L:$L,領用表!$E:$E,$B44,領用表!$B:$B,BC$2&amp;$BI$1)</f>
        <v>1</v>
      </c>
      <c r="BD44" s="142">
        <f>SUMIFS(領用表!$L:$L,領用表!$E:$E,$B44,領用表!$B:$B,BD$2&amp;$BI$1)</f>
        <v>1</v>
      </c>
      <c r="BE44" s="142">
        <f>SUMIFS(領用表!$L:$L,領用表!$E:$E,$B44,領用表!$B:$B,BE$2&amp;$BI$1)</f>
        <v>0</v>
      </c>
      <c r="BF44" s="142">
        <f>SUMIFS(領用表!$L:$L,領用表!$E:$E,$B44,領用表!$B:$B,BF$2&amp;$BI$1)</f>
        <v>1</v>
      </c>
      <c r="BG44" s="23">
        <f t="shared" si="10"/>
        <v>12</v>
      </c>
      <c r="BH44" s="23">
        <f t="shared" si="11"/>
        <v>1</v>
      </c>
      <c r="BI44" s="142">
        <f>SUMIFS(領用表!$L:$L,領用表!$E:$E,$B44,領用表!$B:$B,BI$2&amp;$BI$1)</f>
        <v>0</v>
      </c>
      <c r="BJ44" s="142">
        <f>SUMIFS(領用表!$L:$L,領用表!$E:$E,$B44,領用表!$B:$B,BJ$2&amp;$BI$1)</f>
        <v>0</v>
      </c>
      <c r="BK44" s="142">
        <f>SUMIFS(領用表!$L:$L,領用表!$E:$E,$B44,領用表!$B:$B,BK$2&amp;$BI$1)</f>
        <v>2</v>
      </c>
      <c r="BL44" s="142">
        <f>SUMIFS(領用表!$L:$L,領用表!$E:$E,$B44,領用表!$B:$B,BL$2&amp;$BI$1)</f>
        <v>3</v>
      </c>
      <c r="BM44" s="142">
        <f>SUMIFS(領用表!$L:$L,領用表!$E:$E,$B44,領用表!$B:$B,BM$2&amp;$BI$1)</f>
        <v>3</v>
      </c>
      <c r="BN44" s="142">
        <f>SUMIFS(領用表!$L:$L,領用表!$E:$E,$B44,領用表!$B:$B,BN$2&amp;$BI$1)</f>
        <v>0</v>
      </c>
      <c r="BO44" s="142">
        <f>SUMIFS(領用表!$L:$L,領用表!$E:$E,$B44,領用表!$B:$B,BO$2&amp;$BI$1)</f>
        <v>0</v>
      </c>
      <c r="BP44" s="142">
        <f>SUMIFS(領用表!$L:$L,領用表!$E:$E,$B44,領用表!$B:$B,BP$2&amp;$BI$1)</f>
        <v>0</v>
      </c>
      <c r="BQ44" s="142">
        <f>SUMIFS(領用表!$L:$L,領用表!$E:$E,$B44,領用表!$B:$B,BQ$2&amp;$BI$1)</f>
        <v>0</v>
      </c>
      <c r="BR44" s="142">
        <f>SUMIFS(領用表!$L:$L,領用表!$E:$E,$B44,領用表!$B:$B,BR$2&amp;$BI$1)</f>
        <v>0</v>
      </c>
      <c r="BS44" s="142">
        <f>SUMIFS(領用表!$L:$L,領用表!$E:$E,$B44,領用表!$B:$B,BS$2&amp;$BI$1)</f>
        <v>0</v>
      </c>
      <c r="BT44" s="142">
        <f>SUMIFS(領用表!$L:$L,領用表!$E:$E,$B44,領用表!$B:$B,BT$2&amp;$BI$1)</f>
        <v>0</v>
      </c>
      <c r="BU44" s="142">
        <f t="shared" si="2"/>
        <v>8</v>
      </c>
      <c r="BV44" s="142">
        <f t="shared" si="3"/>
        <v>1.6</v>
      </c>
      <c r="BW44" s="142">
        <f>SUMIF(Summary!B:B,B44,Summary!DU:DU)</f>
        <v>0</v>
      </c>
      <c r="BX44" s="109"/>
      <c r="BY44" s="65"/>
      <c r="BZ44" s="65"/>
      <c r="CA44" s="65"/>
      <c r="CB44" s="27"/>
      <c r="CC44" s="69"/>
      <c r="CD44" s="14"/>
      <c r="CE44" s="14"/>
    </row>
    <row r="45" spans="1:83" ht="15.75" customHeight="1">
      <c r="A45" s="27"/>
      <c r="B45" s="14">
        <v>6120007</v>
      </c>
      <c r="C45" s="136" t="s">
        <v>530</v>
      </c>
      <c r="D45" s="72">
        <v>100</v>
      </c>
      <c r="E45" s="17" t="s">
        <v>15</v>
      </c>
      <c r="F45" s="18">
        <v>59</v>
      </c>
      <c r="G45" s="18"/>
      <c r="H45" s="18"/>
      <c r="I45" s="18"/>
      <c r="J45" s="1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19"/>
      <c r="AH45" s="19"/>
      <c r="AI45" s="19"/>
      <c r="AJ45" s="19"/>
      <c r="AK45" s="19"/>
      <c r="AL45" s="19"/>
      <c r="AM45" s="19"/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68">
        <f t="shared" si="8"/>
        <v>0</v>
      </c>
      <c r="AT45" s="26">
        <f t="shared" si="9"/>
        <v>0</v>
      </c>
      <c r="AU45" s="19">
        <v>0</v>
      </c>
      <c r="AV45" s="19">
        <v>0</v>
      </c>
      <c r="AW45" s="19">
        <v>1</v>
      </c>
      <c r="AX45" s="19">
        <v>13</v>
      </c>
      <c r="AY45" s="19">
        <v>2</v>
      </c>
      <c r="AZ45" s="20">
        <f>SUMIFS(領用表!$L:$L,領用表!$E:$E,$B45,領用表!$B:$B,AZ$2&amp;$BI$1)</f>
        <v>3</v>
      </c>
      <c r="BA45" s="20">
        <f>SUMIFS(領用表!$L:$L,領用表!$E:$E,$B45,領用表!$B:$B,BA$2&amp;$BI$1)</f>
        <v>2</v>
      </c>
      <c r="BB45" s="20">
        <f>SUMIFS(領用表!$L:$L,領用表!$E:$E,$B45,領用表!$B:$B,BB$2&amp;$BI$1)</f>
        <v>1</v>
      </c>
      <c r="BC45" s="20">
        <f>SUMIFS(領用表!$L:$L,領用表!$E:$E,$B45,領用表!$B:$B,BC$2&amp;$BI$1)</f>
        <v>7</v>
      </c>
      <c r="BD45" s="142">
        <f>SUMIFS(領用表!$L:$L,領用表!$E:$E,$B45,領用表!$B:$B,BD$2&amp;$BI$1)</f>
        <v>4</v>
      </c>
      <c r="BE45" s="142">
        <f>SUMIFS(領用表!$L:$L,領用表!$E:$E,$B45,領用表!$B:$B,BE$2&amp;$BI$1)</f>
        <v>4</v>
      </c>
      <c r="BF45" s="142">
        <f>SUMIFS(領用表!$L:$L,領用表!$E:$E,$B45,領用表!$B:$B,BF$2&amp;$BI$1)</f>
        <v>9</v>
      </c>
      <c r="BG45" s="23">
        <f t="shared" si="10"/>
        <v>46</v>
      </c>
      <c r="BH45" s="23">
        <f t="shared" si="11"/>
        <v>3.8333333333333335</v>
      </c>
      <c r="BI45" s="142">
        <f>SUMIFS(領用表!$L:$L,領用表!$E:$E,$B45,領用表!$B:$B,BI$2&amp;$BI$1)</f>
        <v>8</v>
      </c>
      <c r="BJ45" s="142">
        <f>SUMIFS(領用表!$L:$L,領用表!$E:$E,$B45,領用表!$B:$B,BJ$2&amp;$BI$1)</f>
        <v>11</v>
      </c>
      <c r="BK45" s="142">
        <f>SUMIFS(領用表!$L:$L,領用表!$E:$E,$B45,領用表!$B:$B,BK$2&amp;$BI$1)</f>
        <v>15</v>
      </c>
      <c r="BL45" s="142">
        <f>SUMIFS(領用表!$L:$L,領用表!$E:$E,$B45,領用表!$B:$B,BL$2&amp;$BI$1)</f>
        <v>16</v>
      </c>
      <c r="BM45" s="142">
        <f>SUMIFS(領用表!$L:$L,領用表!$E:$E,$B45,領用表!$B:$B,BM$2&amp;$BI$1)</f>
        <v>10</v>
      </c>
      <c r="BN45" s="142">
        <f>SUMIFS(領用表!$L:$L,領用表!$E:$E,$B45,領用表!$B:$B,BN$2&amp;$BI$1)</f>
        <v>0</v>
      </c>
      <c r="BO45" s="142">
        <f>SUMIFS(領用表!$L:$L,領用表!$E:$E,$B45,領用表!$B:$B,BO$2&amp;$BI$1)</f>
        <v>0</v>
      </c>
      <c r="BP45" s="142">
        <f>SUMIFS(領用表!$L:$L,領用表!$E:$E,$B45,領用表!$B:$B,BP$2&amp;$BI$1)</f>
        <v>0</v>
      </c>
      <c r="BQ45" s="142">
        <f>SUMIFS(領用表!$L:$L,領用表!$E:$E,$B45,領用表!$B:$B,BQ$2&amp;$BI$1)</f>
        <v>0</v>
      </c>
      <c r="BR45" s="142">
        <f>SUMIFS(領用表!$L:$L,領用表!$E:$E,$B45,領用表!$B:$B,BR$2&amp;$BI$1)</f>
        <v>0</v>
      </c>
      <c r="BS45" s="142">
        <f>SUMIFS(領用表!$L:$L,領用表!$E:$E,$B45,領用表!$B:$B,BS$2&amp;$BI$1)</f>
        <v>0</v>
      </c>
      <c r="BT45" s="142">
        <f>SUMIFS(領用表!$L:$L,領用表!$E:$E,$B45,領用表!$B:$B,BT$2&amp;$BI$1)</f>
        <v>0</v>
      </c>
      <c r="BU45" s="142">
        <f t="shared" si="2"/>
        <v>60</v>
      </c>
      <c r="BV45" s="142">
        <f t="shared" si="3"/>
        <v>12</v>
      </c>
      <c r="BW45" s="142">
        <f>SUMIF(Summary!B:B,B45,Summary!DU:DU)</f>
        <v>0</v>
      </c>
      <c r="BX45" s="109"/>
      <c r="BY45" s="65"/>
      <c r="BZ45" s="65"/>
      <c r="CA45" s="65"/>
      <c r="CB45" s="27"/>
      <c r="CC45" s="69"/>
      <c r="CD45" s="14"/>
      <c r="CE45" s="14"/>
    </row>
    <row r="46" spans="1:83" ht="15.75" customHeight="1">
      <c r="A46" s="27"/>
      <c r="B46" s="14">
        <v>6120008</v>
      </c>
      <c r="C46" s="136" t="s">
        <v>531</v>
      </c>
      <c r="D46" s="72">
        <v>100</v>
      </c>
      <c r="E46" s="17" t="s">
        <v>15</v>
      </c>
      <c r="F46" s="18">
        <v>4</v>
      </c>
      <c r="G46" s="18"/>
      <c r="H46" s="18"/>
      <c r="I46" s="18"/>
      <c r="J46" s="1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19"/>
      <c r="AH46" s="19"/>
      <c r="AI46" s="19"/>
      <c r="AJ46" s="19"/>
      <c r="AK46" s="19"/>
      <c r="AL46" s="19"/>
      <c r="AM46" s="19"/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68">
        <f t="shared" si="8"/>
        <v>0</v>
      </c>
      <c r="AT46" s="26">
        <f t="shared" si="9"/>
        <v>0</v>
      </c>
      <c r="AU46" s="19">
        <v>0</v>
      </c>
      <c r="AV46" s="19">
        <v>0</v>
      </c>
      <c r="AW46" s="19">
        <v>1</v>
      </c>
      <c r="AX46" s="19">
        <v>3</v>
      </c>
      <c r="AY46" s="19">
        <v>0</v>
      </c>
      <c r="AZ46" s="20">
        <f>SUMIFS(領用表!$L:$L,領用表!$E:$E,$B46,領用表!$B:$B,AZ$2&amp;$BI$1)</f>
        <v>0</v>
      </c>
      <c r="BA46" s="20">
        <f>SUMIFS(領用表!$L:$L,領用表!$E:$E,$B46,領用表!$B:$B,BA$2&amp;$BI$1)</f>
        <v>0</v>
      </c>
      <c r="BB46" s="20">
        <f>SUMIFS(領用表!$L:$L,領用表!$E:$E,$B46,領用表!$B:$B,BB$2&amp;$BI$1)</f>
        <v>0</v>
      </c>
      <c r="BC46" s="20">
        <f>SUMIFS(領用表!$L:$L,領用表!$E:$E,$B46,領用表!$B:$B,BC$2&amp;$BI$1)</f>
        <v>1</v>
      </c>
      <c r="BD46" s="142">
        <f>SUMIFS(領用表!$L:$L,領用表!$E:$E,$B46,領用表!$B:$B,BD$2&amp;$BI$1)</f>
        <v>0</v>
      </c>
      <c r="BE46" s="142">
        <f>SUMIFS(領用表!$L:$L,領用表!$E:$E,$B46,領用表!$B:$B,BE$2&amp;$BI$1)</f>
        <v>0</v>
      </c>
      <c r="BF46" s="142">
        <f>SUMIFS(領用表!$L:$L,領用表!$E:$E,$B46,領用表!$B:$B,BF$2&amp;$BI$1)</f>
        <v>1</v>
      </c>
      <c r="BG46" s="23">
        <f t="shared" si="10"/>
        <v>6</v>
      </c>
      <c r="BH46" s="23">
        <f t="shared" si="11"/>
        <v>0.5</v>
      </c>
      <c r="BI46" s="142">
        <f>SUMIFS(領用表!$L:$L,領用表!$E:$E,$B46,領用表!$B:$B,BI$2&amp;$BI$1)</f>
        <v>3</v>
      </c>
      <c r="BJ46" s="142">
        <f>SUMIFS(領用表!$L:$L,領用表!$E:$E,$B46,領用表!$B:$B,BJ$2&amp;$BI$1)</f>
        <v>1</v>
      </c>
      <c r="BK46" s="142">
        <f>SUMIFS(領用表!$L:$L,領用表!$E:$E,$B46,領用表!$B:$B,BK$2&amp;$BI$1)</f>
        <v>1</v>
      </c>
      <c r="BL46" s="142">
        <f>SUMIFS(領用表!$L:$L,領用表!$E:$E,$B46,領用表!$B:$B,BL$2&amp;$BI$1)</f>
        <v>0</v>
      </c>
      <c r="BM46" s="142">
        <f>SUMIFS(領用表!$L:$L,領用表!$E:$E,$B46,領用表!$B:$B,BM$2&amp;$BI$1)</f>
        <v>0</v>
      </c>
      <c r="BN46" s="142">
        <f>SUMIFS(領用表!$L:$L,領用表!$E:$E,$B46,領用表!$B:$B,BN$2&amp;$BI$1)</f>
        <v>0</v>
      </c>
      <c r="BO46" s="142">
        <f>SUMIFS(領用表!$L:$L,領用表!$E:$E,$B46,領用表!$B:$B,BO$2&amp;$BI$1)</f>
        <v>0</v>
      </c>
      <c r="BP46" s="142">
        <f>SUMIFS(領用表!$L:$L,領用表!$E:$E,$B46,領用表!$B:$B,BP$2&amp;$BI$1)</f>
        <v>0</v>
      </c>
      <c r="BQ46" s="142">
        <f>SUMIFS(領用表!$L:$L,領用表!$E:$E,$B46,領用表!$B:$B,BQ$2&amp;$BI$1)</f>
        <v>0</v>
      </c>
      <c r="BR46" s="142">
        <f>SUMIFS(領用表!$L:$L,領用表!$E:$E,$B46,領用表!$B:$B,BR$2&amp;$BI$1)</f>
        <v>0</v>
      </c>
      <c r="BS46" s="142">
        <f>SUMIFS(領用表!$L:$L,領用表!$E:$E,$B46,領用表!$B:$B,BS$2&amp;$BI$1)</f>
        <v>0</v>
      </c>
      <c r="BT46" s="142">
        <f>SUMIFS(領用表!$L:$L,領用表!$E:$E,$B46,領用表!$B:$B,BT$2&amp;$BI$1)</f>
        <v>0</v>
      </c>
      <c r="BU46" s="142">
        <f t="shared" si="2"/>
        <v>5</v>
      </c>
      <c r="BV46" s="142">
        <f t="shared" si="3"/>
        <v>1</v>
      </c>
      <c r="BW46" s="142">
        <f>SUMIF(Summary!B:B,B46,Summary!DU:DU)</f>
        <v>0</v>
      </c>
      <c r="BX46" s="109"/>
      <c r="BY46" s="65"/>
      <c r="BZ46" s="65"/>
      <c r="CA46" s="65"/>
      <c r="CB46" s="27"/>
      <c r="CC46" s="69"/>
      <c r="CD46" s="14"/>
      <c r="CE46" s="14"/>
    </row>
    <row r="47" spans="1:83" ht="15.75" customHeight="1">
      <c r="A47" s="27"/>
      <c r="B47" s="14">
        <v>6120020</v>
      </c>
      <c r="C47" s="135" t="s">
        <v>513</v>
      </c>
      <c r="D47" s="77">
        <v>100</v>
      </c>
      <c r="E47" s="17" t="s">
        <v>15</v>
      </c>
      <c r="F47" s="18"/>
      <c r="G47" s="18"/>
      <c r="H47" s="18"/>
      <c r="I47" s="18"/>
      <c r="J47" s="1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68">
        <f t="shared" si="6"/>
        <v>0</v>
      </c>
      <c r="AT47" s="26">
        <f t="shared" si="7"/>
        <v>0</v>
      </c>
      <c r="AU47" s="19">
        <v>0</v>
      </c>
      <c r="AV47" s="19">
        <v>0</v>
      </c>
      <c r="AW47" s="19">
        <v>81</v>
      </c>
      <c r="AX47" s="19">
        <v>17</v>
      </c>
      <c r="AY47" s="19">
        <v>11</v>
      </c>
      <c r="AZ47" s="20">
        <f>SUMIFS(領用表!$L:$L,領用表!$E:$E,$B47,領用表!$B:$B,AZ$2&amp;$BI$1)</f>
        <v>0</v>
      </c>
      <c r="BA47" s="20">
        <f>SUMIFS(領用表!$L:$L,領用表!$E:$E,$B47,領用表!$B:$B,BA$2&amp;$BI$1)</f>
        <v>0</v>
      </c>
      <c r="BB47" s="20">
        <f>SUMIFS(領用表!$L:$L,領用表!$E:$E,$B47,領用表!$B:$B,BB$2&amp;$BI$1)</f>
        <v>0</v>
      </c>
      <c r="BC47" s="20">
        <f>SUMIFS(領用表!$L:$L,領用表!$E:$E,$B47,領用表!$B:$B,BC$2&amp;$BI$1)</f>
        <v>0</v>
      </c>
      <c r="BD47" s="142">
        <f>SUMIFS(領用表!$L:$L,領用表!$E:$E,$B47,領用表!$B:$B,BD$2&amp;$BI$1)</f>
        <v>0</v>
      </c>
      <c r="BE47" s="142">
        <f>SUMIFS(領用表!$L:$L,領用表!$E:$E,$B47,領用表!$B:$B,BE$2&amp;$BI$1)</f>
        <v>0</v>
      </c>
      <c r="BF47" s="142">
        <f>SUMIFS(領用表!$L:$L,領用表!$E:$E,$B47,領用表!$B:$B,BF$2&amp;$BI$1)</f>
        <v>0</v>
      </c>
      <c r="BG47" s="23">
        <f t="shared" si="10"/>
        <v>109</v>
      </c>
      <c r="BH47" s="23">
        <f t="shared" si="11"/>
        <v>9.0833333333333339</v>
      </c>
      <c r="BI47" s="142">
        <f>SUMIFS(領用表!$L:$L,領用表!$E:$E,$B47,領用表!$B:$B,BI$2&amp;$BI$1)</f>
        <v>1</v>
      </c>
      <c r="BJ47" s="142">
        <f>SUMIFS(領用表!$L:$L,領用表!$E:$E,$B47,領用表!$B:$B,BJ$2&amp;$BI$1)</f>
        <v>0</v>
      </c>
      <c r="BK47" s="142">
        <f>SUMIFS(領用表!$L:$L,領用表!$E:$E,$B47,領用表!$B:$B,BK$2&amp;$BI$1)</f>
        <v>0</v>
      </c>
      <c r="BL47" s="142">
        <f>SUMIFS(領用表!$L:$L,領用表!$E:$E,$B47,領用表!$B:$B,BL$2&amp;$BI$1)</f>
        <v>0</v>
      </c>
      <c r="BM47" s="142">
        <f>SUMIFS(領用表!$L:$L,領用表!$E:$E,$B47,領用表!$B:$B,BM$2&amp;$BI$1)</f>
        <v>0</v>
      </c>
      <c r="BN47" s="142">
        <f>SUMIFS(領用表!$L:$L,領用表!$E:$E,$B47,領用表!$B:$B,BN$2&amp;$BI$1)</f>
        <v>0</v>
      </c>
      <c r="BO47" s="142">
        <f>SUMIFS(領用表!$L:$L,領用表!$E:$E,$B47,領用表!$B:$B,BO$2&amp;$BI$1)</f>
        <v>0</v>
      </c>
      <c r="BP47" s="142">
        <f>SUMIFS(領用表!$L:$L,領用表!$E:$E,$B47,領用表!$B:$B,BP$2&amp;$BI$1)</f>
        <v>0</v>
      </c>
      <c r="BQ47" s="142">
        <f>SUMIFS(領用表!$L:$L,領用表!$E:$E,$B47,領用表!$B:$B,BQ$2&amp;$BI$1)</f>
        <v>0</v>
      </c>
      <c r="BR47" s="142">
        <f>SUMIFS(領用表!$L:$L,領用表!$E:$E,$B47,領用表!$B:$B,BR$2&amp;$BI$1)</f>
        <v>0</v>
      </c>
      <c r="BS47" s="142">
        <f>SUMIFS(領用表!$L:$L,領用表!$E:$E,$B47,領用表!$B:$B,BS$2&amp;$BI$1)</f>
        <v>0</v>
      </c>
      <c r="BT47" s="142">
        <f>SUMIFS(領用表!$L:$L,領用表!$E:$E,$B47,領用表!$B:$B,BT$2&amp;$BI$1)</f>
        <v>0</v>
      </c>
      <c r="BU47" s="142">
        <f t="shared" si="2"/>
        <v>1</v>
      </c>
      <c r="BV47" s="142">
        <f t="shared" si="3"/>
        <v>0.2</v>
      </c>
      <c r="BW47" s="142">
        <f>SUMIF(Summary!B:B,B47,Summary!DU:DU)</f>
        <v>0</v>
      </c>
      <c r="BX47" s="108"/>
      <c r="BY47" s="65"/>
      <c r="BZ47" s="76" t="s">
        <v>159</v>
      </c>
      <c r="CA47" s="65" t="s">
        <v>160</v>
      </c>
      <c r="CB47" s="27"/>
      <c r="CC47" s="27"/>
      <c r="CD47" s="14"/>
      <c r="CE47" s="29"/>
    </row>
    <row r="48" spans="1:83" ht="15.75" customHeight="1">
      <c r="A48" s="27"/>
      <c r="B48" s="14" t="e">
        <v>#N/A</v>
      </c>
      <c r="C48" s="136" t="s">
        <v>520</v>
      </c>
      <c r="D48" s="77"/>
      <c r="E48" s="17" t="s">
        <v>15</v>
      </c>
      <c r="F48" s="18"/>
      <c r="G48" s="18"/>
      <c r="H48" s="18"/>
      <c r="I48" s="18"/>
      <c r="J48" s="1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68">
        <f t="shared" si="6"/>
        <v>0</v>
      </c>
      <c r="AT48" s="26">
        <f t="shared" si="7"/>
        <v>0</v>
      </c>
      <c r="AU48" s="19">
        <v>0</v>
      </c>
      <c r="AV48" s="19">
        <v>0</v>
      </c>
      <c r="AW48" s="19">
        <v>1</v>
      </c>
      <c r="AX48" s="19">
        <v>0</v>
      </c>
      <c r="AY48" s="19">
        <v>0</v>
      </c>
      <c r="AZ48" s="20">
        <f>SUMIFS(領用表!$L:$L,領用表!$E:$E,$B48,領用表!$B:$B,AZ$2&amp;$BI$1)</f>
        <v>0</v>
      </c>
      <c r="BA48" s="20">
        <f>SUMIFS(領用表!$L:$L,領用表!$E:$E,$B48,領用表!$B:$B,BA$2&amp;$BI$1)</f>
        <v>0</v>
      </c>
      <c r="BB48" s="20">
        <f>SUMIFS(領用表!$L:$L,領用表!$E:$E,$B48,領用表!$B:$B,BB$2&amp;$BI$1)</f>
        <v>0</v>
      </c>
      <c r="BC48" s="20">
        <f>SUMIFS(領用表!$L:$L,領用表!$E:$E,$B48,領用表!$B:$B,BC$2&amp;$BI$1)</f>
        <v>0</v>
      </c>
      <c r="BD48" s="142">
        <f>SUMIFS(領用表!$L:$L,領用表!$E:$E,$B48,領用表!$B:$B,BD$2&amp;$BI$1)</f>
        <v>0</v>
      </c>
      <c r="BE48" s="142">
        <f>SUMIFS(領用表!$L:$L,領用表!$E:$E,$B48,領用表!$B:$B,BE$2&amp;$BI$1)</f>
        <v>0</v>
      </c>
      <c r="BF48" s="142">
        <f>SUMIFS(領用表!$L:$L,領用表!$E:$E,$B48,領用表!$B:$B,BF$2&amp;$BI$1)</f>
        <v>0</v>
      </c>
      <c r="BG48" s="23">
        <f t="shared" si="10"/>
        <v>1</v>
      </c>
      <c r="BH48" s="23">
        <f t="shared" si="11"/>
        <v>8.3333333333333329E-2</v>
      </c>
      <c r="BI48" s="142">
        <f>SUMIFS(領用表!$L:$L,領用表!$E:$E,$B48,領用表!$B:$B,BI$2&amp;$BI$1)</f>
        <v>0</v>
      </c>
      <c r="BJ48" s="142">
        <f>SUMIFS(領用表!$L:$L,領用表!$E:$E,$B48,領用表!$B:$B,BJ$2&amp;$BI$1)</f>
        <v>0</v>
      </c>
      <c r="BK48" s="142">
        <f>SUMIFS(領用表!$L:$L,領用表!$E:$E,$B48,領用表!$B:$B,BK$2&amp;$BI$1)</f>
        <v>0</v>
      </c>
      <c r="BL48" s="142">
        <f>SUMIFS(領用表!$L:$L,領用表!$E:$E,$B48,領用表!$B:$B,BL$2&amp;$BI$1)</f>
        <v>0</v>
      </c>
      <c r="BM48" s="142">
        <f>SUMIFS(領用表!$L:$L,領用表!$E:$E,$B48,領用表!$B:$B,BM$2&amp;$BI$1)</f>
        <v>0</v>
      </c>
      <c r="BN48" s="142">
        <f>SUMIFS(領用表!$L:$L,領用表!$E:$E,$B48,領用表!$B:$B,BN$2&amp;$BI$1)</f>
        <v>0</v>
      </c>
      <c r="BO48" s="142">
        <f>SUMIFS(領用表!$L:$L,領用表!$E:$E,$B48,領用表!$B:$B,BO$2&amp;$BI$1)</f>
        <v>0</v>
      </c>
      <c r="BP48" s="142">
        <f>SUMIFS(領用表!$L:$L,領用表!$E:$E,$B48,領用表!$B:$B,BP$2&amp;$BI$1)</f>
        <v>0</v>
      </c>
      <c r="BQ48" s="142">
        <f>SUMIFS(領用表!$L:$L,領用表!$E:$E,$B48,領用表!$B:$B,BQ$2&amp;$BI$1)</f>
        <v>0</v>
      </c>
      <c r="BR48" s="142">
        <f>SUMIFS(領用表!$L:$L,領用表!$E:$E,$B48,領用表!$B:$B,BR$2&amp;$BI$1)</f>
        <v>0</v>
      </c>
      <c r="BS48" s="142">
        <f>SUMIFS(領用表!$L:$L,領用表!$E:$E,$B48,領用表!$B:$B,BS$2&amp;$BI$1)</f>
        <v>0</v>
      </c>
      <c r="BT48" s="142">
        <f>SUMIFS(領用表!$L:$L,領用表!$E:$E,$B48,領用表!$B:$B,BT$2&amp;$BI$1)</f>
        <v>0</v>
      </c>
      <c r="BU48" s="142">
        <f t="shared" si="2"/>
        <v>0</v>
      </c>
      <c r="BV48" s="142">
        <f t="shared" si="3"/>
        <v>0</v>
      </c>
      <c r="BW48" s="142">
        <f>SUMIF(Summary!B:B,B48,Summary!DU:DU)</f>
        <v>0</v>
      </c>
      <c r="BX48" s="108"/>
      <c r="BY48" s="65"/>
      <c r="BZ48" s="65"/>
      <c r="CA48" s="65"/>
      <c r="CB48" s="27"/>
      <c r="CC48" s="27"/>
      <c r="CD48" s="14"/>
      <c r="CE48" s="29"/>
    </row>
    <row r="49" spans="1:83" ht="15.75" customHeight="1">
      <c r="A49" s="27"/>
      <c r="B49" s="14">
        <v>6120023</v>
      </c>
      <c r="C49" s="136" t="s">
        <v>521</v>
      </c>
      <c r="D49" s="77"/>
      <c r="E49" s="17" t="s">
        <v>15</v>
      </c>
      <c r="F49" s="18"/>
      <c r="G49" s="1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68">
        <f t="shared" si="6"/>
        <v>0</v>
      </c>
      <c r="AT49" s="26">
        <f t="shared" si="7"/>
        <v>0</v>
      </c>
      <c r="AU49" s="19">
        <v>0</v>
      </c>
      <c r="AV49" s="19">
        <v>0</v>
      </c>
      <c r="AW49" s="19">
        <v>2</v>
      </c>
      <c r="AX49" s="19">
        <v>3</v>
      </c>
      <c r="AY49" s="19">
        <v>6</v>
      </c>
      <c r="AZ49" s="20">
        <f>SUMIFS(領用表!$L:$L,領用表!$E:$E,$B49,領用表!$B:$B,AZ$2&amp;$BI$1)</f>
        <v>0</v>
      </c>
      <c r="BA49" s="20">
        <f>SUMIFS(領用表!$L:$L,領用表!$E:$E,$B49,領用表!$B:$B,BA$2&amp;$BI$1)</f>
        <v>0</v>
      </c>
      <c r="BB49" s="20">
        <f>SUMIFS(領用表!$L:$L,領用表!$E:$E,$B49,領用表!$B:$B,BB$2&amp;$BI$1)</f>
        <v>0</v>
      </c>
      <c r="BC49" s="20">
        <f>SUMIFS(領用表!$L:$L,領用表!$E:$E,$B49,領用表!$B:$B,BC$2&amp;$BI$1)</f>
        <v>0</v>
      </c>
      <c r="BD49" s="142">
        <f>SUMIFS(領用表!$L:$L,領用表!$E:$E,$B49,領用表!$B:$B,BD$2&amp;$BI$1)</f>
        <v>0</v>
      </c>
      <c r="BE49" s="142">
        <f>SUMIFS(領用表!$L:$L,領用表!$E:$E,$B49,領用表!$B:$B,BE$2&amp;$BI$1)</f>
        <v>0</v>
      </c>
      <c r="BF49" s="142">
        <f>SUMIFS(領用表!$L:$L,領用表!$E:$E,$B49,領用表!$B:$B,BF$2&amp;$BI$1)</f>
        <v>0</v>
      </c>
      <c r="BG49" s="23">
        <f t="shared" si="10"/>
        <v>11</v>
      </c>
      <c r="BH49" s="23">
        <f t="shared" si="11"/>
        <v>0.91666666666666663</v>
      </c>
      <c r="BI49" s="142">
        <f>SUMIFS(領用表!$L:$L,領用表!$E:$E,$B49,領用表!$B:$B,BI$2&amp;$BI$1)</f>
        <v>0</v>
      </c>
      <c r="BJ49" s="142">
        <f>SUMIFS(領用表!$L:$L,領用表!$E:$E,$B49,領用表!$B:$B,BJ$2&amp;$BI$1)</f>
        <v>0</v>
      </c>
      <c r="BK49" s="142">
        <f>SUMIFS(領用表!$L:$L,領用表!$E:$E,$B49,領用表!$B:$B,BK$2&amp;$BI$1)</f>
        <v>0</v>
      </c>
      <c r="BL49" s="142">
        <f>SUMIFS(領用表!$L:$L,領用表!$E:$E,$B49,領用表!$B:$B,BL$2&amp;$BI$1)</f>
        <v>0</v>
      </c>
      <c r="BM49" s="142">
        <f>SUMIFS(領用表!$L:$L,領用表!$E:$E,$B49,領用表!$B:$B,BM$2&amp;$BI$1)</f>
        <v>0</v>
      </c>
      <c r="BN49" s="142">
        <f>SUMIFS(領用表!$L:$L,領用表!$E:$E,$B49,領用表!$B:$B,BN$2&amp;$BI$1)</f>
        <v>0</v>
      </c>
      <c r="BO49" s="142">
        <f>SUMIFS(領用表!$L:$L,領用表!$E:$E,$B49,領用表!$B:$B,BO$2&amp;$BI$1)</f>
        <v>0</v>
      </c>
      <c r="BP49" s="142">
        <f>SUMIFS(領用表!$L:$L,領用表!$E:$E,$B49,領用表!$B:$B,BP$2&amp;$BI$1)</f>
        <v>0</v>
      </c>
      <c r="BQ49" s="142">
        <f>SUMIFS(領用表!$L:$L,領用表!$E:$E,$B49,領用表!$B:$B,BQ$2&amp;$BI$1)</f>
        <v>0</v>
      </c>
      <c r="BR49" s="142">
        <f>SUMIFS(領用表!$L:$L,領用表!$E:$E,$B49,領用表!$B:$B,BR$2&amp;$BI$1)</f>
        <v>0</v>
      </c>
      <c r="BS49" s="142">
        <f>SUMIFS(領用表!$L:$L,領用表!$E:$E,$B49,領用表!$B:$B,BS$2&amp;$BI$1)</f>
        <v>0</v>
      </c>
      <c r="BT49" s="142">
        <f>SUMIFS(領用表!$L:$L,領用表!$E:$E,$B49,領用表!$B:$B,BT$2&amp;$BI$1)</f>
        <v>0</v>
      </c>
      <c r="BU49" s="142">
        <f t="shared" si="2"/>
        <v>0</v>
      </c>
      <c r="BV49" s="142">
        <f t="shared" si="3"/>
        <v>0</v>
      </c>
      <c r="BW49" s="142">
        <f>SUMIF(Summary!B:B,B49,Summary!DU:DU)</f>
        <v>0</v>
      </c>
      <c r="BX49" s="108"/>
      <c r="BY49" s="65"/>
      <c r="BZ49" s="65"/>
      <c r="CA49" s="65"/>
      <c r="CB49" s="27"/>
      <c r="CC49" s="27"/>
      <c r="CD49" s="14"/>
      <c r="CE49" s="29"/>
    </row>
    <row r="50" spans="1:83" ht="15.75" customHeight="1">
      <c r="A50" s="27"/>
      <c r="B50" s="14">
        <v>6120024</v>
      </c>
      <c r="C50" s="136" t="s">
        <v>522</v>
      </c>
      <c r="D50" s="77"/>
      <c r="E50" s="17" t="s">
        <v>15</v>
      </c>
      <c r="F50" s="18"/>
      <c r="G50" s="1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68">
        <f t="shared" si="6"/>
        <v>0</v>
      </c>
      <c r="AT50" s="26">
        <f t="shared" si="7"/>
        <v>0</v>
      </c>
      <c r="AU50" s="19">
        <v>0</v>
      </c>
      <c r="AV50" s="19">
        <v>0</v>
      </c>
      <c r="AW50" s="19">
        <v>2</v>
      </c>
      <c r="AX50" s="19">
        <v>4</v>
      </c>
      <c r="AY50" s="19">
        <v>2</v>
      </c>
      <c r="AZ50" s="20">
        <f>SUMIFS(領用表!$L:$L,領用表!$E:$E,$B50,領用表!$B:$B,AZ$2&amp;$BI$1)</f>
        <v>0</v>
      </c>
      <c r="BA50" s="20">
        <f>SUMIFS(領用表!$L:$L,領用表!$E:$E,$B50,領用表!$B:$B,BA$2&amp;$BI$1)</f>
        <v>0</v>
      </c>
      <c r="BB50" s="20">
        <f>SUMIFS(領用表!$L:$L,領用表!$E:$E,$B50,領用表!$B:$B,BB$2&amp;$BI$1)</f>
        <v>0</v>
      </c>
      <c r="BC50" s="20">
        <f>SUMIFS(領用表!$L:$L,領用表!$E:$E,$B50,領用表!$B:$B,BC$2&amp;$BI$1)</f>
        <v>0</v>
      </c>
      <c r="BD50" s="142">
        <f>SUMIFS(領用表!$L:$L,領用表!$E:$E,$B50,領用表!$B:$B,BD$2&amp;$BI$1)</f>
        <v>0</v>
      </c>
      <c r="BE50" s="142">
        <f>SUMIFS(領用表!$L:$L,領用表!$E:$E,$B50,領用表!$B:$B,BE$2&amp;$BI$1)</f>
        <v>0</v>
      </c>
      <c r="BF50" s="142">
        <f>SUMIFS(領用表!$L:$L,領用表!$E:$E,$B50,領用表!$B:$B,BF$2&amp;$BI$1)</f>
        <v>0</v>
      </c>
      <c r="BG50" s="23">
        <f t="shared" si="10"/>
        <v>8</v>
      </c>
      <c r="BH50" s="23">
        <f t="shared" si="11"/>
        <v>0.66666666666666663</v>
      </c>
      <c r="BI50" s="142">
        <f>SUMIFS(領用表!$L:$L,領用表!$E:$E,$B50,領用表!$B:$B,BI$2&amp;$BI$1)</f>
        <v>0</v>
      </c>
      <c r="BJ50" s="142">
        <f>SUMIFS(領用表!$L:$L,領用表!$E:$E,$B50,領用表!$B:$B,BJ$2&amp;$BI$1)</f>
        <v>0</v>
      </c>
      <c r="BK50" s="142">
        <f>SUMIFS(領用表!$L:$L,領用表!$E:$E,$B50,領用表!$B:$B,BK$2&amp;$BI$1)</f>
        <v>0</v>
      </c>
      <c r="BL50" s="142">
        <f>SUMIFS(領用表!$L:$L,領用表!$E:$E,$B50,領用表!$B:$B,BL$2&amp;$BI$1)</f>
        <v>0</v>
      </c>
      <c r="BM50" s="142">
        <f>SUMIFS(領用表!$L:$L,領用表!$E:$E,$B50,領用表!$B:$B,BM$2&amp;$BI$1)</f>
        <v>0</v>
      </c>
      <c r="BN50" s="142">
        <f>SUMIFS(領用表!$L:$L,領用表!$E:$E,$B50,領用表!$B:$B,BN$2&amp;$BI$1)</f>
        <v>0</v>
      </c>
      <c r="BO50" s="142">
        <f>SUMIFS(領用表!$L:$L,領用表!$E:$E,$B50,領用表!$B:$B,BO$2&amp;$BI$1)</f>
        <v>0</v>
      </c>
      <c r="BP50" s="142">
        <f>SUMIFS(領用表!$L:$L,領用表!$E:$E,$B50,領用表!$B:$B,BP$2&amp;$BI$1)</f>
        <v>0</v>
      </c>
      <c r="BQ50" s="142">
        <f>SUMIFS(領用表!$L:$L,領用表!$E:$E,$B50,領用表!$B:$B,BQ$2&amp;$BI$1)</f>
        <v>0</v>
      </c>
      <c r="BR50" s="142">
        <f>SUMIFS(領用表!$L:$L,領用表!$E:$E,$B50,領用表!$B:$B,BR$2&amp;$BI$1)</f>
        <v>0</v>
      </c>
      <c r="BS50" s="142">
        <f>SUMIFS(領用表!$L:$L,領用表!$E:$E,$B50,領用表!$B:$B,BS$2&amp;$BI$1)</f>
        <v>0</v>
      </c>
      <c r="BT50" s="142">
        <f>SUMIFS(領用表!$L:$L,領用表!$E:$E,$B50,領用表!$B:$B,BT$2&amp;$BI$1)</f>
        <v>0</v>
      </c>
      <c r="BU50" s="142">
        <f t="shared" si="2"/>
        <v>0</v>
      </c>
      <c r="BV50" s="142">
        <f t="shared" si="3"/>
        <v>0</v>
      </c>
      <c r="BW50" s="142">
        <f>SUMIF(Summary!B:B,B50,Summary!DU:DU)</f>
        <v>0</v>
      </c>
      <c r="BX50" s="109"/>
      <c r="BY50" s="65"/>
      <c r="BZ50" s="65"/>
      <c r="CA50" s="65"/>
      <c r="CB50" s="27"/>
      <c r="CC50" s="27"/>
      <c r="CD50" s="14"/>
      <c r="CE50" s="29"/>
    </row>
    <row r="51" spans="1:83" ht="15.75" customHeight="1">
      <c r="A51" s="27"/>
      <c r="B51" s="14">
        <v>6120025</v>
      </c>
      <c r="C51" s="136" t="s">
        <v>523</v>
      </c>
      <c r="D51" s="77"/>
      <c r="E51" s="17" t="s">
        <v>15</v>
      </c>
      <c r="F51" s="18"/>
      <c r="G51" s="1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68">
        <f t="shared" si="6"/>
        <v>0</v>
      </c>
      <c r="AT51" s="26">
        <f t="shared" si="7"/>
        <v>0</v>
      </c>
      <c r="AU51" s="19">
        <v>0</v>
      </c>
      <c r="AV51" s="19">
        <v>0</v>
      </c>
      <c r="AW51" s="19">
        <v>0</v>
      </c>
      <c r="AX51" s="19">
        <v>1</v>
      </c>
      <c r="AY51" s="19">
        <v>1</v>
      </c>
      <c r="AZ51" s="20">
        <f>SUMIFS(領用表!$L:$L,領用表!$E:$E,$B51,領用表!$B:$B,AZ$2&amp;$BI$1)</f>
        <v>0</v>
      </c>
      <c r="BA51" s="20">
        <f>SUMIFS(領用表!$L:$L,領用表!$E:$E,$B51,領用表!$B:$B,BA$2&amp;$BI$1)</f>
        <v>0</v>
      </c>
      <c r="BB51" s="20">
        <f>SUMIFS(領用表!$L:$L,領用表!$E:$E,$B51,領用表!$B:$B,BB$2&amp;$BI$1)</f>
        <v>0</v>
      </c>
      <c r="BC51" s="20">
        <f>SUMIFS(領用表!$L:$L,領用表!$E:$E,$B51,領用表!$B:$B,BC$2&amp;$BI$1)</f>
        <v>0</v>
      </c>
      <c r="BD51" s="142">
        <f>SUMIFS(領用表!$L:$L,領用表!$E:$E,$B51,領用表!$B:$B,BD$2&amp;$BI$1)</f>
        <v>0</v>
      </c>
      <c r="BE51" s="142">
        <f>SUMIFS(領用表!$L:$L,領用表!$E:$E,$B51,領用表!$B:$B,BE$2&amp;$BI$1)</f>
        <v>0</v>
      </c>
      <c r="BF51" s="142">
        <f>SUMIFS(領用表!$L:$L,領用表!$E:$E,$B51,領用表!$B:$B,BF$2&amp;$BI$1)</f>
        <v>0</v>
      </c>
      <c r="BG51" s="23">
        <f t="shared" si="10"/>
        <v>2</v>
      </c>
      <c r="BH51" s="23">
        <f t="shared" si="11"/>
        <v>0.16666666666666666</v>
      </c>
      <c r="BI51" s="142">
        <f>SUMIFS(領用表!$L:$L,領用表!$E:$E,$B51,領用表!$B:$B,BI$2&amp;$BI$1)</f>
        <v>0</v>
      </c>
      <c r="BJ51" s="142">
        <f>SUMIFS(領用表!$L:$L,領用表!$E:$E,$B51,領用表!$B:$B,BJ$2&amp;$BI$1)</f>
        <v>0</v>
      </c>
      <c r="BK51" s="142">
        <f>SUMIFS(領用表!$L:$L,領用表!$E:$E,$B51,領用表!$B:$B,BK$2&amp;$BI$1)</f>
        <v>0</v>
      </c>
      <c r="BL51" s="142">
        <f>SUMIFS(領用表!$L:$L,領用表!$E:$E,$B51,領用表!$B:$B,BL$2&amp;$BI$1)</f>
        <v>0</v>
      </c>
      <c r="BM51" s="142">
        <f>SUMIFS(領用表!$L:$L,領用表!$E:$E,$B51,領用表!$B:$B,BM$2&amp;$BI$1)</f>
        <v>0</v>
      </c>
      <c r="BN51" s="142">
        <f>SUMIFS(領用表!$L:$L,領用表!$E:$E,$B51,領用表!$B:$B,BN$2&amp;$BI$1)</f>
        <v>0</v>
      </c>
      <c r="BO51" s="142">
        <f>SUMIFS(領用表!$L:$L,領用表!$E:$E,$B51,領用表!$B:$B,BO$2&amp;$BI$1)</f>
        <v>0</v>
      </c>
      <c r="BP51" s="142">
        <f>SUMIFS(領用表!$L:$L,領用表!$E:$E,$B51,領用表!$B:$B,BP$2&amp;$BI$1)</f>
        <v>0</v>
      </c>
      <c r="BQ51" s="142">
        <f>SUMIFS(領用表!$L:$L,領用表!$E:$E,$B51,領用表!$B:$B,BQ$2&amp;$BI$1)</f>
        <v>0</v>
      </c>
      <c r="BR51" s="142">
        <f>SUMIFS(領用表!$L:$L,領用表!$E:$E,$B51,領用表!$B:$B,BR$2&amp;$BI$1)</f>
        <v>0</v>
      </c>
      <c r="BS51" s="142">
        <f>SUMIFS(領用表!$L:$L,領用表!$E:$E,$B51,領用表!$B:$B,BS$2&amp;$BI$1)</f>
        <v>0</v>
      </c>
      <c r="BT51" s="142">
        <f>SUMIFS(領用表!$L:$L,領用表!$E:$E,$B51,領用表!$B:$B,BT$2&amp;$BI$1)</f>
        <v>0</v>
      </c>
      <c r="BU51" s="142">
        <f t="shared" si="2"/>
        <v>0</v>
      </c>
      <c r="BV51" s="142">
        <f t="shared" si="3"/>
        <v>0</v>
      </c>
      <c r="BW51" s="142">
        <f>SUMIF(Summary!B:B,B51,Summary!DU:DU)</f>
        <v>0</v>
      </c>
      <c r="BX51" s="109"/>
      <c r="BY51" s="65"/>
      <c r="BZ51" s="65"/>
      <c r="CA51" s="65"/>
      <c r="CB51" s="27"/>
      <c r="CC51" s="27"/>
      <c r="CD51" s="14"/>
      <c r="CE51" s="29"/>
    </row>
    <row r="52" spans="1:83" ht="15.75" customHeight="1">
      <c r="A52" s="27"/>
      <c r="B52" s="14" t="e">
        <v>#N/A</v>
      </c>
      <c r="C52" s="136" t="s">
        <v>524</v>
      </c>
      <c r="D52" s="77"/>
      <c r="E52" s="17" t="s">
        <v>15</v>
      </c>
      <c r="F52" s="18"/>
      <c r="G52" s="1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68">
        <f t="shared" si="6"/>
        <v>0</v>
      </c>
      <c r="AT52" s="26">
        <f t="shared" si="7"/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20">
        <f>SUMIFS(領用表!$L:$L,領用表!$E:$E,$B52,領用表!$B:$B,AZ$2&amp;$BI$1)</f>
        <v>0</v>
      </c>
      <c r="BA52" s="20">
        <f>SUMIFS(領用表!$L:$L,領用表!$E:$E,$B52,領用表!$B:$B,BA$2&amp;$BI$1)</f>
        <v>0</v>
      </c>
      <c r="BB52" s="20">
        <f>SUMIFS(領用表!$L:$L,領用表!$E:$E,$B52,領用表!$B:$B,BB$2&amp;$BI$1)</f>
        <v>0</v>
      </c>
      <c r="BC52" s="20">
        <f>SUMIFS(領用表!$L:$L,領用表!$E:$E,$B52,領用表!$B:$B,BC$2&amp;$BI$1)</f>
        <v>0</v>
      </c>
      <c r="BD52" s="142">
        <f>SUMIFS(領用表!$L:$L,領用表!$E:$E,$B52,領用表!$B:$B,BD$2&amp;$BI$1)</f>
        <v>0</v>
      </c>
      <c r="BE52" s="142">
        <f>SUMIFS(領用表!$L:$L,領用表!$E:$E,$B52,領用表!$B:$B,BE$2&amp;$BI$1)</f>
        <v>0</v>
      </c>
      <c r="BF52" s="142">
        <f>SUMIFS(領用表!$L:$L,領用表!$E:$E,$B52,領用表!$B:$B,BF$2&amp;$BI$1)</f>
        <v>0</v>
      </c>
      <c r="BG52" s="23">
        <f t="shared" si="10"/>
        <v>0</v>
      </c>
      <c r="BH52" s="23">
        <f t="shared" si="11"/>
        <v>0</v>
      </c>
      <c r="BI52" s="142">
        <f>SUMIFS(領用表!$L:$L,領用表!$E:$E,$B52,領用表!$B:$B,BI$2&amp;$BI$1)</f>
        <v>0</v>
      </c>
      <c r="BJ52" s="142">
        <f>SUMIFS(領用表!$L:$L,領用表!$E:$E,$B52,領用表!$B:$B,BJ$2&amp;$BI$1)</f>
        <v>0</v>
      </c>
      <c r="BK52" s="142">
        <f>SUMIFS(領用表!$L:$L,領用表!$E:$E,$B52,領用表!$B:$B,BK$2&amp;$BI$1)</f>
        <v>0</v>
      </c>
      <c r="BL52" s="142">
        <f>SUMIFS(領用表!$L:$L,領用表!$E:$E,$B52,領用表!$B:$B,BL$2&amp;$BI$1)</f>
        <v>0</v>
      </c>
      <c r="BM52" s="142">
        <f>SUMIFS(領用表!$L:$L,領用表!$E:$E,$B52,領用表!$B:$B,BM$2&amp;$BI$1)</f>
        <v>0</v>
      </c>
      <c r="BN52" s="142">
        <f>SUMIFS(領用表!$L:$L,領用表!$E:$E,$B52,領用表!$B:$B,BN$2&amp;$BI$1)</f>
        <v>0</v>
      </c>
      <c r="BO52" s="142">
        <f>SUMIFS(領用表!$L:$L,領用表!$E:$E,$B52,領用表!$B:$B,BO$2&amp;$BI$1)</f>
        <v>0</v>
      </c>
      <c r="BP52" s="142">
        <f>SUMIFS(領用表!$L:$L,領用表!$E:$E,$B52,領用表!$B:$B,BP$2&amp;$BI$1)</f>
        <v>0</v>
      </c>
      <c r="BQ52" s="142">
        <f>SUMIFS(領用表!$L:$L,領用表!$E:$E,$B52,領用表!$B:$B,BQ$2&amp;$BI$1)</f>
        <v>0</v>
      </c>
      <c r="BR52" s="142">
        <f>SUMIFS(領用表!$L:$L,領用表!$E:$E,$B52,領用表!$B:$B,BR$2&amp;$BI$1)</f>
        <v>0</v>
      </c>
      <c r="BS52" s="142">
        <f>SUMIFS(領用表!$L:$L,領用表!$E:$E,$B52,領用表!$B:$B,BS$2&amp;$BI$1)</f>
        <v>0</v>
      </c>
      <c r="BT52" s="142">
        <f>SUMIFS(領用表!$L:$L,領用表!$E:$E,$B52,領用表!$B:$B,BT$2&amp;$BI$1)</f>
        <v>0</v>
      </c>
      <c r="BU52" s="142">
        <f t="shared" si="2"/>
        <v>0</v>
      </c>
      <c r="BV52" s="142">
        <f t="shared" si="3"/>
        <v>0</v>
      </c>
      <c r="BW52" s="142">
        <f>SUMIF(Summary!B:B,B52,Summary!DU:DU)</f>
        <v>0</v>
      </c>
      <c r="BX52" s="109"/>
      <c r="BY52" s="65"/>
      <c r="BZ52" s="65"/>
      <c r="CA52" s="65"/>
      <c r="CB52" s="27"/>
      <c r="CC52" s="27"/>
      <c r="CD52" s="14"/>
      <c r="CE52" s="29"/>
    </row>
    <row r="53" spans="1:83" ht="15.75" customHeight="1">
      <c r="A53" s="27"/>
      <c r="B53" s="14">
        <v>6120027</v>
      </c>
      <c r="C53" s="136" t="s">
        <v>525</v>
      </c>
      <c r="D53" s="72"/>
      <c r="E53" s="17" t="s">
        <v>15</v>
      </c>
      <c r="F53" s="18"/>
      <c r="G53" s="1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>
        <v>0</v>
      </c>
      <c r="AS53" s="68">
        <f t="shared" si="6"/>
        <v>0</v>
      </c>
      <c r="AT53" s="26">
        <f t="shared" si="7"/>
        <v>0</v>
      </c>
      <c r="AU53" s="19">
        <v>0</v>
      </c>
      <c r="AV53" s="19">
        <v>0</v>
      </c>
      <c r="AW53" s="19">
        <v>12</v>
      </c>
      <c r="AX53" s="19">
        <v>0</v>
      </c>
      <c r="AY53" s="19">
        <v>0</v>
      </c>
      <c r="AZ53" s="20">
        <f>SUMIFS(領用表!$L:$L,領用表!$E:$E,$B53,領用表!$B:$B,AZ$2&amp;$BI$1)</f>
        <v>0</v>
      </c>
      <c r="BA53" s="20">
        <f>SUMIFS(領用表!$L:$L,領用表!$E:$E,$B53,領用表!$B:$B,BA$2&amp;$BI$1)</f>
        <v>0</v>
      </c>
      <c r="BB53" s="20">
        <f>SUMIFS(領用表!$L:$L,領用表!$E:$E,$B53,領用表!$B:$B,BB$2&amp;$BI$1)</f>
        <v>0</v>
      </c>
      <c r="BC53" s="20">
        <f>SUMIFS(領用表!$L:$L,領用表!$E:$E,$B53,領用表!$B:$B,BC$2&amp;$BI$1)</f>
        <v>0</v>
      </c>
      <c r="BD53" s="142">
        <f>SUMIFS(領用表!$L:$L,領用表!$E:$E,$B53,領用表!$B:$B,BD$2&amp;$BI$1)</f>
        <v>0</v>
      </c>
      <c r="BE53" s="142">
        <f>SUMIFS(領用表!$L:$L,領用表!$E:$E,$B53,領用表!$B:$B,BE$2&amp;$BI$1)</f>
        <v>0</v>
      </c>
      <c r="BF53" s="142">
        <f>SUMIFS(領用表!$L:$L,領用表!$E:$E,$B53,領用表!$B:$B,BF$2&amp;$BI$1)</f>
        <v>0</v>
      </c>
      <c r="BG53" s="23">
        <f t="shared" si="10"/>
        <v>12</v>
      </c>
      <c r="BH53" s="23">
        <f t="shared" si="11"/>
        <v>1</v>
      </c>
      <c r="BI53" s="142">
        <f>SUMIFS(領用表!$L:$L,領用表!$E:$E,$B53,領用表!$B:$B,BI$2&amp;$BI$1)</f>
        <v>0</v>
      </c>
      <c r="BJ53" s="142">
        <f>SUMIFS(領用表!$L:$L,領用表!$E:$E,$B53,領用表!$B:$B,BJ$2&amp;$BI$1)</f>
        <v>0</v>
      </c>
      <c r="BK53" s="142">
        <f>SUMIFS(領用表!$L:$L,領用表!$E:$E,$B53,領用表!$B:$B,BK$2&amp;$BI$1)</f>
        <v>0</v>
      </c>
      <c r="BL53" s="142">
        <f>SUMIFS(領用表!$L:$L,領用表!$E:$E,$B53,領用表!$B:$B,BL$2&amp;$BI$1)</f>
        <v>0</v>
      </c>
      <c r="BM53" s="142">
        <f>SUMIFS(領用表!$L:$L,領用表!$E:$E,$B53,領用表!$B:$B,BM$2&amp;$BI$1)</f>
        <v>0</v>
      </c>
      <c r="BN53" s="142">
        <f>SUMIFS(領用表!$L:$L,領用表!$E:$E,$B53,領用表!$B:$B,BN$2&amp;$BI$1)</f>
        <v>0</v>
      </c>
      <c r="BO53" s="142">
        <f>SUMIFS(領用表!$L:$L,領用表!$E:$E,$B53,領用表!$B:$B,BO$2&amp;$BI$1)</f>
        <v>0</v>
      </c>
      <c r="BP53" s="142">
        <f>SUMIFS(領用表!$L:$L,領用表!$E:$E,$B53,領用表!$B:$B,BP$2&amp;$BI$1)</f>
        <v>0</v>
      </c>
      <c r="BQ53" s="142">
        <f>SUMIFS(領用表!$L:$L,領用表!$E:$E,$B53,領用表!$B:$B,BQ$2&amp;$BI$1)</f>
        <v>0</v>
      </c>
      <c r="BR53" s="142">
        <f>SUMIFS(領用表!$L:$L,領用表!$E:$E,$B53,領用表!$B:$B,BR$2&amp;$BI$1)</f>
        <v>0</v>
      </c>
      <c r="BS53" s="142">
        <f>SUMIFS(領用表!$L:$L,領用表!$E:$E,$B53,領用表!$B:$B,BS$2&amp;$BI$1)</f>
        <v>0</v>
      </c>
      <c r="BT53" s="142">
        <f>SUMIFS(領用表!$L:$L,領用表!$E:$E,$B53,領用表!$B:$B,BT$2&amp;$BI$1)</f>
        <v>0</v>
      </c>
      <c r="BU53" s="142">
        <f t="shared" si="2"/>
        <v>0</v>
      </c>
      <c r="BV53" s="142">
        <f t="shared" si="3"/>
        <v>0</v>
      </c>
      <c r="BW53" s="142">
        <f>SUMIF(Summary!B:B,B53,Summary!DU:DU)</f>
        <v>0</v>
      </c>
      <c r="BX53" s="109"/>
      <c r="BY53" s="65"/>
      <c r="BZ53" s="65"/>
      <c r="CA53" s="76"/>
      <c r="CB53" s="27"/>
      <c r="CC53" s="69"/>
      <c r="CD53" s="14"/>
      <c r="CE53" s="14"/>
    </row>
    <row r="54" spans="1:83" ht="15.75" customHeight="1">
      <c r="A54" s="27"/>
      <c r="B54" s="14">
        <v>6120028</v>
      </c>
      <c r="C54" s="136" t="s">
        <v>529</v>
      </c>
      <c r="D54" s="77"/>
      <c r="E54" s="17" t="s">
        <v>15</v>
      </c>
      <c r="F54" s="18"/>
      <c r="G54" s="1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68">
        <f t="shared" si="6"/>
        <v>0</v>
      </c>
      <c r="AT54" s="26">
        <f t="shared" si="7"/>
        <v>0</v>
      </c>
      <c r="AU54" s="19">
        <v>0</v>
      </c>
      <c r="AV54" s="19">
        <v>0</v>
      </c>
      <c r="AW54" s="19">
        <v>15</v>
      </c>
      <c r="AX54" s="19">
        <v>0</v>
      </c>
      <c r="AY54" s="19">
        <f>0+2</f>
        <v>2</v>
      </c>
      <c r="AZ54" s="20">
        <f>SUMIFS(領用表!$L:$L,領用表!$E:$E,$B54,領用表!$B:$B,AZ$2&amp;$BI$1)</f>
        <v>0</v>
      </c>
      <c r="BA54" s="20">
        <f>SUMIFS(領用表!$L:$L,領用表!$E:$E,$B54,領用表!$B:$B,BA$2&amp;$BI$1)</f>
        <v>0</v>
      </c>
      <c r="BB54" s="20">
        <f>SUMIFS(領用表!$L:$L,領用表!$E:$E,$B54,領用表!$B:$B,BB$2&amp;$BI$1)</f>
        <v>0</v>
      </c>
      <c r="BC54" s="20">
        <f>SUMIFS(領用表!$L:$L,領用表!$E:$E,$B54,領用表!$B:$B,BC$2&amp;$BI$1)</f>
        <v>0</v>
      </c>
      <c r="BD54" s="142">
        <f>SUMIFS(領用表!$L:$L,領用表!$E:$E,$B54,領用表!$B:$B,BD$2&amp;$BI$1)</f>
        <v>0</v>
      </c>
      <c r="BE54" s="142">
        <f>SUMIFS(領用表!$L:$L,領用表!$E:$E,$B54,領用表!$B:$B,BE$2&amp;$BI$1)</f>
        <v>0</v>
      </c>
      <c r="BF54" s="142">
        <f>SUMIFS(領用表!$L:$L,領用表!$E:$E,$B54,領用表!$B:$B,BF$2&amp;$BI$1)</f>
        <v>0</v>
      </c>
      <c r="BG54" s="23">
        <f t="shared" si="10"/>
        <v>17</v>
      </c>
      <c r="BH54" s="23">
        <f t="shared" si="11"/>
        <v>1.4166666666666667</v>
      </c>
      <c r="BI54" s="142">
        <f>SUMIFS(領用表!$L:$L,領用表!$E:$E,$B54,領用表!$B:$B,BI$2&amp;$BI$1)</f>
        <v>0</v>
      </c>
      <c r="BJ54" s="142">
        <f>SUMIFS(領用表!$L:$L,領用表!$E:$E,$B54,領用表!$B:$B,BJ$2&amp;$BI$1)</f>
        <v>0</v>
      </c>
      <c r="BK54" s="142">
        <f>SUMIFS(領用表!$L:$L,領用表!$E:$E,$B54,領用表!$B:$B,BK$2&amp;$BI$1)</f>
        <v>0</v>
      </c>
      <c r="BL54" s="142">
        <f>SUMIFS(領用表!$L:$L,領用表!$E:$E,$B54,領用表!$B:$B,BL$2&amp;$BI$1)</f>
        <v>0</v>
      </c>
      <c r="BM54" s="142">
        <f>SUMIFS(領用表!$L:$L,領用表!$E:$E,$B54,領用表!$B:$B,BM$2&amp;$BI$1)</f>
        <v>0</v>
      </c>
      <c r="BN54" s="142">
        <f>SUMIFS(領用表!$L:$L,領用表!$E:$E,$B54,領用表!$B:$B,BN$2&amp;$BI$1)</f>
        <v>0</v>
      </c>
      <c r="BO54" s="142">
        <f>SUMIFS(領用表!$L:$L,領用表!$E:$E,$B54,領用表!$B:$B,BO$2&amp;$BI$1)</f>
        <v>0</v>
      </c>
      <c r="BP54" s="142">
        <f>SUMIFS(領用表!$L:$L,領用表!$E:$E,$B54,領用表!$B:$B,BP$2&amp;$BI$1)</f>
        <v>0</v>
      </c>
      <c r="BQ54" s="142">
        <f>SUMIFS(領用表!$L:$L,領用表!$E:$E,$B54,領用表!$B:$B,BQ$2&amp;$BI$1)</f>
        <v>0</v>
      </c>
      <c r="BR54" s="142">
        <f>SUMIFS(領用表!$L:$L,領用表!$E:$E,$B54,領用表!$B:$B,BR$2&amp;$BI$1)</f>
        <v>0</v>
      </c>
      <c r="BS54" s="142">
        <f>SUMIFS(領用表!$L:$L,領用表!$E:$E,$B54,領用表!$B:$B,BS$2&amp;$BI$1)</f>
        <v>0</v>
      </c>
      <c r="BT54" s="142">
        <f>SUMIFS(領用表!$L:$L,領用表!$E:$E,$B54,領用表!$B:$B,BT$2&amp;$BI$1)</f>
        <v>0</v>
      </c>
      <c r="BU54" s="142">
        <f t="shared" si="2"/>
        <v>0</v>
      </c>
      <c r="BV54" s="142">
        <f t="shared" si="3"/>
        <v>0</v>
      </c>
      <c r="BW54" s="142">
        <f>SUMIF(Summary!B:B,B54,Summary!DU:DU)</f>
        <v>0</v>
      </c>
      <c r="BX54" s="109"/>
      <c r="BY54" s="65"/>
      <c r="BZ54" s="65"/>
      <c r="CA54" s="65"/>
      <c r="CB54" s="27"/>
      <c r="CC54" s="27"/>
      <c r="CD54" s="14"/>
      <c r="CE54" s="29"/>
    </row>
    <row r="55" spans="1:83" ht="15.75" customHeight="1">
      <c r="A55" s="27"/>
      <c r="B55" s="14">
        <v>6120029</v>
      </c>
      <c r="C55" s="136" t="s">
        <v>532</v>
      </c>
      <c r="D55" s="77"/>
      <c r="E55" s="17" t="s">
        <v>15</v>
      </c>
      <c r="F55" s="18"/>
      <c r="G55" s="1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68">
        <f t="shared" si="6"/>
        <v>0</v>
      </c>
      <c r="AT55" s="26">
        <f t="shared" si="7"/>
        <v>0</v>
      </c>
      <c r="AU55" s="19">
        <v>0</v>
      </c>
      <c r="AV55" s="19">
        <v>0</v>
      </c>
      <c r="AW55" s="19">
        <v>8</v>
      </c>
      <c r="AX55" s="19">
        <v>0</v>
      </c>
      <c r="AY55" s="19">
        <v>3</v>
      </c>
      <c r="AZ55" s="20">
        <f>SUMIFS(領用表!$L:$L,領用表!$E:$E,$B55,領用表!$B:$B,AZ$2&amp;$BI$1)</f>
        <v>0</v>
      </c>
      <c r="BA55" s="20">
        <f>SUMIFS(領用表!$L:$L,領用表!$E:$E,$B55,領用表!$B:$B,BA$2&amp;$BI$1)</f>
        <v>0</v>
      </c>
      <c r="BB55" s="20">
        <f>SUMIFS(領用表!$L:$L,領用表!$E:$E,$B55,領用表!$B:$B,BB$2&amp;$BI$1)</f>
        <v>0</v>
      </c>
      <c r="BC55" s="20">
        <f>SUMIFS(領用表!$L:$L,領用表!$E:$E,$B55,領用表!$B:$B,BC$2&amp;$BI$1)</f>
        <v>0</v>
      </c>
      <c r="BD55" s="142">
        <f>SUMIFS(領用表!$L:$L,領用表!$E:$E,$B55,領用表!$B:$B,BD$2&amp;$BI$1)</f>
        <v>0</v>
      </c>
      <c r="BE55" s="142">
        <f>SUMIFS(領用表!$L:$L,領用表!$E:$E,$B55,領用表!$B:$B,BE$2&amp;$BI$1)</f>
        <v>0</v>
      </c>
      <c r="BF55" s="142">
        <f>SUMIFS(領用表!$L:$L,領用表!$E:$E,$B55,領用表!$B:$B,BF$2&amp;$BI$1)</f>
        <v>0</v>
      </c>
      <c r="BG55" s="23">
        <f t="shared" si="10"/>
        <v>11</v>
      </c>
      <c r="BH55" s="23">
        <f t="shared" si="11"/>
        <v>0.91666666666666663</v>
      </c>
      <c r="BI55" s="142">
        <f>SUMIFS(領用表!$L:$L,領用表!$E:$E,$B55,領用表!$B:$B,BI$2&amp;$BI$1)</f>
        <v>0</v>
      </c>
      <c r="BJ55" s="142">
        <f>SUMIFS(領用表!$L:$L,領用表!$E:$E,$B55,領用表!$B:$B,BJ$2&amp;$BI$1)</f>
        <v>0</v>
      </c>
      <c r="BK55" s="142">
        <f>SUMIFS(領用表!$L:$L,領用表!$E:$E,$B55,領用表!$B:$B,BK$2&amp;$BI$1)</f>
        <v>0</v>
      </c>
      <c r="BL55" s="142">
        <f>SUMIFS(領用表!$L:$L,領用表!$E:$E,$B55,領用表!$B:$B,BL$2&amp;$BI$1)</f>
        <v>0</v>
      </c>
      <c r="BM55" s="142">
        <f>SUMIFS(領用表!$L:$L,領用表!$E:$E,$B55,領用表!$B:$B,BM$2&amp;$BI$1)</f>
        <v>0</v>
      </c>
      <c r="BN55" s="142">
        <f>SUMIFS(領用表!$L:$L,領用表!$E:$E,$B55,領用表!$B:$B,BN$2&amp;$BI$1)</f>
        <v>0</v>
      </c>
      <c r="BO55" s="142">
        <f>SUMIFS(領用表!$L:$L,領用表!$E:$E,$B55,領用表!$B:$B,BO$2&amp;$BI$1)</f>
        <v>0</v>
      </c>
      <c r="BP55" s="142">
        <f>SUMIFS(領用表!$L:$L,領用表!$E:$E,$B55,領用表!$B:$B,BP$2&amp;$BI$1)</f>
        <v>0</v>
      </c>
      <c r="BQ55" s="142">
        <f>SUMIFS(領用表!$L:$L,領用表!$E:$E,$B55,領用表!$B:$B,BQ$2&amp;$BI$1)</f>
        <v>0</v>
      </c>
      <c r="BR55" s="142">
        <f>SUMIFS(領用表!$L:$L,領用表!$E:$E,$B55,領用表!$B:$B,BR$2&amp;$BI$1)</f>
        <v>0</v>
      </c>
      <c r="BS55" s="142">
        <f>SUMIFS(領用表!$L:$L,領用表!$E:$E,$B55,領用表!$B:$B,BS$2&amp;$BI$1)</f>
        <v>0</v>
      </c>
      <c r="BT55" s="142">
        <f>SUMIFS(領用表!$L:$L,領用表!$E:$E,$B55,領用表!$B:$B,BT$2&amp;$BI$1)</f>
        <v>0</v>
      </c>
      <c r="BU55" s="142">
        <f t="shared" si="2"/>
        <v>0</v>
      </c>
      <c r="BV55" s="142">
        <f t="shared" si="3"/>
        <v>0</v>
      </c>
      <c r="BW55" s="142">
        <f>SUMIF(Summary!B:B,B55,Summary!DU:DU)</f>
        <v>0</v>
      </c>
      <c r="BX55" s="109"/>
      <c r="BY55" s="65"/>
      <c r="BZ55" s="65"/>
      <c r="CA55" s="65" t="s">
        <v>167</v>
      </c>
      <c r="CB55" s="27"/>
      <c r="CC55" s="27"/>
      <c r="CD55" s="14"/>
      <c r="CE55" s="29"/>
    </row>
    <row r="56" spans="1:83" ht="15.75" customHeight="1">
      <c r="A56" s="27"/>
      <c r="B56" s="14">
        <v>6120030</v>
      </c>
      <c r="C56" s="136" t="s">
        <v>533</v>
      </c>
      <c r="D56" s="77"/>
      <c r="E56" s="17" t="s">
        <v>15</v>
      </c>
      <c r="F56" s="18"/>
      <c r="G56" s="1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68">
        <f t="shared" si="6"/>
        <v>0</v>
      </c>
      <c r="AT56" s="26">
        <f t="shared" si="7"/>
        <v>0</v>
      </c>
      <c r="AU56" s="19">
        <v>0</v>
      </c>
      <c r="AV56" s="19">
        <v>0</v>
      </c>
      <c r="AW56" s="19">
        <v>0</v>
      </c>
      <c r="AX56" s="19">
        <v>18</v>
      </c>
      <c r="AY56" s="19">
        <v>1</v>
      </c>
      <c r="AZ56" s="20">
        <f>SUMIFS(領用表!$L:$L,領用表!$E:$E,$B56,領用表!$B:$B,AZ$2&amp;$BI$1)</f>
        <v>0</v>
      </c>
      <c r="BA56" s="20">
        <f>SUMIFS(領用表!$L:$L,領用表!$E:$E,$B56,領用表!$B:$B,BA$2&amp;$BI$1)</f>
        <v>0</v>
      </c>
      <c r="BB56" s="20">
        <f>SUMIFS(領用表!$L:$L,領用表!$E:$E,$B56,領用表!$B:$B,BB$2&amp;$BI$1)</f>
        <v>0</v>
      </c>
      <c r="BC56" s="20">
        <f>SUMIFS(領用表!$L:$L,領用表!$E:$E,$B56,領用表!$B:$B,BC$2&amp;$BI$1)</f>
        <v>0</v>
      </c>
      <c r="BD56" s="142">
        <f>SUMIFS(領用表!$L:$L,領用表!$E:$E,$B56,領用表!$B:$B,BD$2&amp;$BI$1)</f>
        <v>0</v>
      </c>
      <c r="BE56" s="142">
        <f>SUMIFS(領用表!$L:$L,領用表!$E:$E,$B56,領用表!$B:$B,BE$2&amp;$BI$1)</f>
        <v>0</v>
      </c>
      <c r="BF56" s="142">
        <f>SUMIFS(領用表!$L:$L,領用表!$E:$E,$B56,領用表!$B:$B,BF$2&amp;$BI$1)</f>
        <v>0</v>
      </c>
      <c r="BG56" s="23">
        <f t="shared" si="10"/>
        <v>19</v>
      </c>
      <c r="BH56" s="23">
        <f t="shared" si="11"/>
        <v>1.5833333333333333</v>
      </c>
      <c r="BI56" s="142">
        <f>SUMIFS(領用表!$L:$L,領用表!$E:$E,$B56,領用表!$B:$B,BI$2&amp;$BI$1)</f>
        <v>0</v>
      </c>
      <c r="BJ56" s="142">
        <f>SUMIFS(領用表!$L:$L,領用表!$E:$E,$B56,領用表!$B:$B,BJ$2&amp;$BI$1)</f>
        <v>0</v>
      </c>
      <c r="BK56" s="142">
        <f>SUMIFS(領用表!$L:$L,領用表!$E:$E,$B56,領用表!$B:$B,BK$2&amp;$BI$1)</f>
        <v>0</v>
      </c>
      <c r="BL56" s="142">
        <f>SUMIFS(領用表!$L:$L,領用表!$E:$E,$B56,領用表!$B:$B,BL$2&amp;$BI$1)</f>
        <v>0</v>
      </c>
      <c r="BM56" s="142">
        <f>SUMIFS(領用表!$L:$L,領用表!$E:$E,$B56,領用表!$B:$B,BM$2&amp;$BI$1)</f>
        <v>0</v>
      </c>
      <c r="BN56" s="142">
        <f>SUMIFS(領用表!$L:$L,領用表!$E:$E,$B56,領用表!$B:$B,BN$2&amp;$BI$1)</f>
        <v>0</v>
      </c>
      <c r="BO56" s="142">
        <f>SUMIFS(領用表!$L:$L,領用表!$E:$E,$B56,領用表!$B:$B,BO$2&amp;$BI$1)</f>
        <v>0</v>
      </c>
      <c r="BP56" s="142">
        <f>SUMIFS(領用表!$L:$L,領用表!$E:$E,$B56,領用表!$B:$B,BP$2&amp;$BI$1)</f>
        <v>0</v>
      </c>
      <c r="BQ56" s="142">
        <f>SUMIFS(領用表!$L:$L,領用表!$E:$E,$B56,領用表!$B:$B,BQ$2&amp;$BI$1)</f>
        <v>0</v>
      </c>
      <c r="BR56" s="142">
        <f>SUMIFS(領用表!$L:$L,領用表!$E:$E,$B56,領用表!$B:$B,BR$2&amp;$BI$1)</f>
        <v>0</v>
      </c>
      <c r="BS56" s="142">
        <f>SUMIFS(領用表!$L:$L,領用表!$E:$E,$B56,領用表!$B:$B,BS$2&amp;$BI$1)</f>
        <v>0</v>
      </c>
      <c r="BT56" s="142">
        <f>SUMIFS(領用表!$L:$L,領用表!$E:$E,$B56,領用表!$B:$B,BT$2&amp;$BI$1)</f>
        <v>0</v>
      </c>
      <c r="BU56" s="142">
        <f t="shared" si="2"/>
        <v>0</v>
      </c>
      <c r="BV56" s="142">
        <f t="shared" si="3"/>
        <v>0</v>
      </c>
      <c r="BW56" s="142">
        <f>SUMIF(Summary!B:B,B56,Summary!DU:DU)</f>
        <v>0</v>
      </c>
      <c r="BX56" s="109"/>
      <c r="BY56" s="65"/>
      <c r="BZ56" s="65"/>
      <c r="CA56" s="65"/>
      <c r="CB56" s="27"/>
      <c r="CC56" s="27"/>
      <c r="CD56" s="14"/>
      <c r="CE56" s="29"/>
    </row>
    <row r="57" spans="1:83" ht="15.75" customHeight="1">
      <c r="A57" s="27"/>
      <c r="B57" s="14">
        <v>6120031</v>
      </c>
      <c r="C57" s="136" t="s">
        <v>534</v>
      </c>
      <c r="D57" s="77"/>
      <c r="E57" s="17" t="s">
        <v>15</v>
      </c>
      <c r="F57" s="18"/>
      <c r="G57" s="1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68">
        <f t="shared" si="6"/>
        <v>0</v>
      </c>
      <c r="AT57" s="26">
        <f t="shared" si="7"/>
        <v>0</v>
      </c>
      <c r="AU57" s="19">
        <v>0</v>
      </c>
      <c r="AV57" s="19">
        <v>0</v>
      </c>
      <c r="AW57" s="19">
        <v>11</v>
      </c>
      <c r="AX57" s="19">
        <v>6</v>
      </c>
      <c r="AY57" s="19">
        <v>0</v>
      </c>
      <c r="AZ57" s="20">
        <f>SUMIFS(領用表!$L:$L,領用表!$E:$E,$B57,領用表!$B:$B,AZ$2&amp;$BI$1)</f>
        <v>0</v>
      </c>
      <c r="BA57" s="20">
        <f>SUMIFS(領用表!$L:$L,領用表!$E:$E,$B57,領用表!$B:$B,BA$2&amp;$BI$1)</f>
        <v>0</v>
      </c>
      <c r="BB57" s="20">
        <f>SUMIFS(領用表!$L:$L,領用表!$E:$E,$B57,領用表!$B:$B,BB$2&amp;$BI$1)</f>
        <v>0</v>
      </c>
      <c r="BC57" s="20">
        <f>SUMIFS(領用表!$L:$L,領用表!$E:$E,$B57,領用表!$B:$B,BC$2&amp;$BI$1)</f>
        <v>0</v>
      </c>
      <c r="BD57" s="142">
        <f>SUMIFS(領用表!$L:$L,領用表!$E:$E,$B57,領用表!$B:$B,BD$2&amp;$BI$1)</f>
        <v>0</v>
      </c>
      <c r="BE57" s="142">
        <f>SUMIFS(領用表!$L:$L,領用表!$E:$E,$B57,領用表!$B:$B,BE$2&amp;$BI$1)</f>
        <v>0</v>
      </c>
      <c r="BF57" s="142">
        <f>SUMIFS(領用表!$L:$L,領用表!$E:$E,$B57,領用表!$B:$B,BF$2&amp;$BI$1)</f>
        <v>0</v>
      </c>
      <c r="BG57" s="23">
        <f t="shared" si="10"/>
        <v>17</v>
      </c>
      <c r="BH57" s="23">
        <f t="shared" si="11"/>
        <v>1.4166666666666667</v>
      </c>
      <c r="BI57" s="142">
        <f>SUMIFS(領用表!$L:$L,領用表!$E:$E,$B57,領用表!$B:$B,BI$2&amp;$BI$1)</f>
        <v>0</v>
      </c>
      <c r="BJ57" s="142">
        <f>SUMIFS(領用表!$L:$L,領用表!$E:$E,$B57,領用表!$B:$B,BJ$2&amp;$BI$1)</f>
        <v>0</v>
      </c>
      <c r="BK57" s="142">
        <f>SUMIFS(領用表!$L:$L,領用表!$E:$E,$B57,領用表!$B:$B,BK$2&amp;$BI$1)</f>
        <v>0</v>
      </c>
      <c r="BL57" s="142">
        <f>SUMIFS(領用表!$L:$L,領用表!$E:$E,$B57,領用表!$B:$B,BL$2&amp;$BI$1)</f>
        <v>0</v>
      </c>
      <c r="BM57" s="142">
        <f>SUMIFS(領用表!$L:$L,領用表!$E:$E,$B57,領用表!$B:$B,BM$2&amp;$BI$1)</f>
        <v>0</v>
      </c>
      <c r="BN57" s="142">
        <f>SUMIFS(領用表!$L:$L,領用表!$E:$E,$B57,領用表!$B:$B,BN$2&amp;$BI$1)</f>
        <v>0</v>
      </c>
      <c r="BO57" s="142">
        <f>SUMIFS(領用表!$L:$L,領用表!$E:$E,$B57,領用表!$B:$B,BO$2&amp;$BI$1)</f>
        <v>0</v>
      </c>
      <c r="BP57" s="142">
        <f>SUMIFS(領用表!$L:$L,領用表!$E:$E,$B57,領用表!$B:$B,BP$2&amp;$BI$1)</f>
        <v>0</v>
      </c>
      <c r="BQ57" s="142">
        <f>SUMIFS(領用表!$L:$L,領用表!$E:$E,$B57,領用表!$B:$B,BQ$2&amp;$BI$1)</f>
        <v>0</v>
      </c>
      <c r="BR57" s="142">
        <f>SUMIFS(領用表!$L:$L,領用表!$E:$E,$B57,領用表!$B:$B,BR$2&amp;$BI$1)</f>
        <v>0</v>
      </c>
      <c r="BS57" s="142">
        <f>SUMIFS(領用表!$L:$L,領用表!$E:$E,$B57,領用表!$B:$B,BS$2&amp;$BI$1)</f>
        <v>0</v>
      </c>
      <c r="BT57" s="142">
        <f>SUMIFS(領用表!$L:$L,領用表!$E:$E,$B57,領用表!$B:$B,BT$2&amp;$BI$1)</f>
        <v>0</v>
      </c>
      <c r="BU57" s="142">
        <f t="shared" si="2"/>
        <v>0</v>
      </c>
      <c r="BV57" s="142">
        <f t="shared" si="3"/>
        <v>0</v>
      </c>
      <c r="BW57" s="142">
        <f>SUMIF(Summary!B:B,B57,Summary!DU:DU)</f>
        <v>0</v>
      </c>
      <c r="BX57" s="109"/>
      <c r="BY57" s="65"/>
      <c r="BZ57" s="65"/>
      <c r="CA57" s="65"/>
      <c r="CB57" s="27"/>
      <c r="CC57" s="27"/>
      <c r="CD57" s="14"/>
      <c r="CE57" s="29"/>
    </row>
    <row r="58" spans="1:83" ht="15.75" customHeight="1">
      <c r="A58" s="27"/>
      <c r="B58" s="14">
        <v>6120032</v>
      </c>
      <c r="C58" s="136" t="s">
        <v>535</v>
      </c>
      <c r="D58" s="77"/>
      <c r="E58" s="17" t="s">
        <v>15</v>
      </c>
      <c r="F58" s="18"/>
      <c r="G58" s="1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68">
        <f t="shared" si="6"/>
        <v>0</v>
      </c>
      <c r="AT58" s="26">
        <f t="shared" si="7"/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20">
        <f>SUMIFS(領用表!$L:$L,領用表!$E:$E,$B58,領用表!$B:$B,AZ$2&amp;$BI$1)</f>
        <v>0</v>
      </c>
      <c r="BA58" s="20">
        <f>SUMIFS(領用表!$L:$L,領用表!$E:$E,$B58,領用表!$B:$B,BA$2&amp;$BI$1)</f>
        <v>0</v>
      </c>
      <c r="BB58" s="20">
        <f>SUMIFS(領用表!$L:$L,領用表!$E:$E,$B58,領用表!$B:$B,BB$2&amp;$BI$1)</f>
        <v>0</v>
      </c>
      <c r="BC58" s="20">
        <f>SUMIFS(領用表!$L:$L,領用表!$E:$E,$B58,領用表!$B:$B,BC$2&amp;$BI$1)</f>
        <v>0</v>
      </c>
      <c r="BD58" s="142">
        <f>SUMIFS(領用表!$L:$L,領用表!$E:$E,$B58,領用表!$B:$B,BD$2&amp;$BI$1)</f>
        <v>0</v>
      </c>
      <c r="BE58" s="142">
        <f>SUMIFS(領用表!$L:$L,領用表!$E:$E,$B58,領用表!$B:$B,BE$2&amp;$BI$1)</f>
        <v>0</v>
      </c>
      <c r="BF58" s="142">
        <f>SUMIFS(領用表!$L:$L,領用表!$E:$E,$B58,領用表!$B:$B,BF$2&amp;$BI$1)</f>
        <v>0</v>
      </c>
      <c r="BG58" s="23">
        <f t="shared" si="10"/>
        <v>0</v>
      </c>
      <c r="BH58" s="23">
        <f t="shared" si="11"/>
        <v>0</v>
      </c>
      <c r="BI58" s="142">
        <f>SUMIFS(領用表!$L:$L,領用表!$E:$E,$B58,領用表!$B:$B,BI$2&amp;$BI$1)</f>
        <v>0</v>
      </c>
      <c r="BJ58" s="142">
        <f>SUMIFS(領用表!$L:$L,領用表!$E:$E,$B58,領用表!$B:$B,BJ$2&amp;$BI$1)</f>
        <v>0</v>
      </c>
      <c r="BK58" s="142">
        <f>SUMIFS(領用表!$L:$L,領用表!$E:$E,$B58,領用表!$B:$B,BK$2&amp;$BI$1)</f>
        <v>0</v>
      </c>
      <c r="BL58" s="142">
        <f>SUMIFS(領用表!$L:$L,領用表!$E:$E,$B58,領用表!$B:$B,BL$2&amp;$BI$1)</f>
        <v>0</v>
      </c>
      <c r="BM58" s="142">
        <f>SUMIFS(領用表!$L:$L,領用表!$E:$E,$B58,領用表!$B:$B,BM$2&amp;$BI$1)</f>
        <v>0</v>
      </c>
      <c r="BN58" s="142">
        <f>SUMIFS(領用表!$L:$L,領用表!$E:$E,$B58,領用表!$B:$B,BN$2&amp;$BI$1)</f>
        <v>0</v>
      </c>
      <c r="BO58" s="142">
        <f>SUMIFS(領用表!$L:$L,領用表!$E:$E,$B58,領用表!$B:$B,BO$2&amp;$BI$1)</f>
        <v>0</v>
      </c>
      <c r="BP58" s="142">
        <f>SUMIFS(領用表!$L:$L,領用表!$E:$E,$B58,領用表!$B:$B,BP$2&amp;$BI$1)</f>
        <v>0</v>
      </c>
      <c r="BQ58" s="142">
        <f>SUMIFS(領用表!$L:$L,領用表!$E:$E,$B58,領用表!$B:$B,BQ$2&amp;$BI$1)</f>
        <v>0</v>
      </c>
      <c r="BR58" s="142">
        <f>SUMIFS(領用表!$L:$L,領用表!$E:$E,$B58,領用表!$B:$B,BR$2&amp;$BI$1)</f>
        <v>0</v>
      </c>
      <c r="BS58" s="142">
        <f>SUMIFS(領用表!$L:$L,領用表!$E:$E,$B58,領用表!$B:$B,BS$2&amp;$BI$1)</f>
        <v>0</v>
      </c>
      <c r="BT58" s="142">
        <f>SUMIFS(領用表!$L:$L,領用表!$E:$E,$B58,領用表!$B:$B,BT$2&amp;$BI$1)</f>
        <v>0</v>
      </c>
      <c r="BU58" s="142">
        <f t="shared" si="2"/>
        <v>0</v>
      </c>
      <c r="BV58" s="142">
        <f t="shared" si="3"/>
        <v>0</v>
      </c>
      <c r="BW58" s="142">
        <f>SUMIF(Summary!B:B,B58,Summary!DU:DU)</f>
        <v>0</v>
      </c>
      <c r="BX58" s="109"/>
      <c r="BY58" s="65"/>
      <c r="BZ58" s="65"/>
      <c r="CA58" s="65"/>
      <c r="CB58" s="27"/>
      <c r="CC58" s="27"/>
      <c r="CD58" s="14"/>
      <c r="CE58" s="29"/>
    </row>
    <row r="59" spans="1:83" ht="15.75" customHeight="1">
      <c r="A59" s="27"/>
      <c r="B59" s="14" t="e">
        <v>#N/A</v>
      </c>
      <c r="C59" s="136" t="s">
        <v>536</v>
      </c>
      <c r="D59" s="77">
        <v>60</v>
      </c>
      <c r="E59" s="17" t="s">
        <v>15</v>
      </c>
      <c r="F59" s="18"/>
      <c r="G59" s="1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68">
        <f t="shared" si="6"/>
        <v>0</v>
      </c>
      <c r="AT59" s="26">
        <f t="shared" si="7"/>
        <v>0</v>
      </c>
      <c r="AU59" s="19">
        <v>0</v>
      </c>
      <c r="AV59" s="19">
        <v>0</v>
      </c>
      <c r="AW59" s="19">
        <v>2</v>
      </c>
      <c r="AX59" s="19">
        <v>3</v>
      </c>
      <c r="AY59" s="19">
        <v>1</v>
      </c>
      <c r="AZ59" s="20">
        <f>SUMIFS(領用表!$L:$L,領用表!$E:$E,$B59,領用表!$B:$B,AZ$2&amp;$BI$1)</f>
        <v>0</v>
      </c>
      <c r="BA59" s="20">
        <f>SUMIFS(領用表!$L:$L,領用表!$E:$E,$B59,領用表!$B:$B,BA$2&amp;$BI$1)</f>
        <v>0</v>
      </c>
      <c r="BB59" s="20">
        <f>SUMIFS(領用表!$L:$L,領用表!$E:$E,$B59,領用表!$B:$B,BB$2&amp;$BI$1)</f>
        <v>0</v>
      </c>
      <c r="BC59" s="20">
        <f>SUMIFS(領用表!$L:$L,領用表!$E:$E,$B59,領用表!$B:$B,BC$2&amp;$BI$1)</f>
        <v>0</v>
      </c>
      <c r="BD59" s="142">
        <f>SUMIFS(領用表!$L:$L,領用表!$E:$E,$B59,領用表!$B:$B,BD$2&amp;$BI$1)</f>
        <v>0</v>
      </c>
      <c r="BE59" s="142">
        <f>SUMIFS(領用表!$L:$L,領用表!$E:$E,$B59,領用表!$B:$B,BE$2&amp;$BI$1)</f>
        <v>0</v>
      </c>
      <c r="BF59" s="142">
        <f>SUMIFS(領用表!$L:$L,領用表!$E:$E,$B59,領用表!$B:$B,BF$2&amp;$BI$1)</f>
        <v>0</v>
      </c>
      <c r="BG59" s="23">
        <f t="shared" si="10"/>
        <v>6</v>
      </c>
      <c r="BH59" s="23">
        <f t="shared" si="11"/>
        <v>0.5</v>
      </c>
      <c r="BI59" s="142">
        <f>SUMIFS(領用表!$L:$L,領用表!$E:$E,$B59,領用表!$B:$B,BI$2&amp;$BI$1)</f>
        <v>0</v>
      </c>
      <c r="BJ59" s="142">
        <f>SUMIFS(領用表!$L:$L,領用表!$E:$E,$B59,領用表!$B:$B,BJ$2&amp;$BI$1)</f>
        <v>0</v>
      </c>
      <c r="BK59" s="142">
        <f>SUMIFS(領用表!$L:$L,領用表!$E:$E,$B59,領用表!$B:$B,BK$2&amp;$BI$1)</f>
        <v>0</v>
      </c>
      <c r="BL59" s="142">
        <f>SUMIFS(領用表!$L:$L,領用表!$E:$E,$B59,領用表!$B:$B,BL$2&amp;$BI$1)</f>
        <v>0</v>
      </c>
      <c r="BM59" s="142">
        <f>SUMIFS(領用表!$L:$L,領用表!$E:$E,$B59,領用表!$B:$B,BM$2&amp;$BI$1)</f>
        <v>0</v>
      </c>
      <c r="BN59" s="142">
        <f>SUMIFS(領用表!$L:$L,領用表!$E:$E,$B59,領用表!$B:$B,BN$2&amp;$BI$1)</f>
        <v>0</v>
      </c>
      <c r="BO59" s="142">
        <f>SUMIFS(領用表!$L:$L,領用表!$E:$E,$B59,領用表!$B:$B,BO$2&amp;$BI$1)</f>
        <v>0</v>
      </c>
      <c r="BP59" s="142">
        <f>SUMIFS(領用表!$L:$L,領用表!$E:$E,$B59,領用表!$B:$B,BP$2&amp;$BI$1)</f>
        <v>0</v>
      </c>
      <c r="BQ59" s="142">
        <f>SUMIFS(領用表!$L:$L,領用表!$E:$E,$B59,領用表!$B:$B,BQ$2&amp;$BI$1)</f>
        <v>0</v>
      </c>
      <c r="BR59" s="142">
        <f>SUMIFS(領用表!$L:$L,領用表!$E:$E,$B59,領用表!$B:$B,BR$2&amp;$BI$1)</f>
        <v>0</v>
      </c>
      <c r="BS59" s="142">
        <f>SUMIFS(領用表!$L:$L,領用表!$E:$E,$B59,領用表!$B:$B,BS$2&amp;$BI$1)</f>
        <v>0</v>
      </c>
      <c r="BT59" s="142">
        <f>SUMIFS(領用表!$L:$L,領用表!$E:$E,$B59,領用表!$B:$B,BT$2&amp;$BI$1)</f>
        <v>0</v>
      </c>
      <c r="BU59" s="142">
        <f t="shared" si="2"/>
        <v>0</v>
      </c>
      <c r="BV59" s="142">
        <f t="shared" si="3"/>
        <v>0</v>
      </c>
      <c r="BW59" s="142">
        <f>SUMIF(Summary!B:B,B59,Summary!DU:DU)</f>
        <v>0</v>
      </c>
      <c r="BX59" s="109"/>
      <c r="BY59" s="65"/>
      <c r="BZ59" s="65"/>
      <c r="CA59" s="65"/>
      <c r="CB59" s="27"/>
      <c r="CC59" s="27"/>
      <c r="CD59" s="14"/>
      <c r="CE59" s="29"/>
    </row>
    <row r="60" spans="1:83" ht="15.75" customHeight="1">
      <c r="A60" s="27"/>
      <c r="B60" s="14">
        <v>6120019</v>
      </c>
      <c r="C60" s="136" t="s">
        <v>537</v>
      </c>
      <c r="D60" s="77"/>
      <c r="E60" s="17" t="s">
        <v>15</v>
      </c>
      <c r="F60" s="18"/>
      <c r="G60" s="1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68">
        <f t="shared" si="6"/>
        <v>0</v>
      </c>
      <c r="AT60" s="26">
        <f t="shared" si="7"/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5</v>
      </c>
      <c r="AZ60" s="20">
        <f>SUMIFS(領用表!$L:$L,領用表!$E:$E,$B60,領用表!$B:$B,AZ$2&amp;$BI$1)</f>
        <v>0</v>
      </c>
      <c r="BA60" s="20">
        <f>SUMIFS(領用表!$L:$L,領用表!$E:$E,$B60,領用表!$B:$B,BA$2&amp;$BI$1)</f>
        <v>0</v>
      </c>
      <c r="BB60" s="20">
        <f>SUMIFS(領用表!$L:$L,領用表!$E:$E,$B60,領用表!$B:$B,BB$2&amp;$BI$1)</f>
        <v>0</v>
      </c>
      <c r="BC60" s="20">
        <f>SUMIFS(領用表!$L:$L,領用表!$E:$E,$B60,領用表!$B:$B,BC$2&amp;$BI$1)</f>
        <v>0</v>
      </c>
      <c r="BD60" s="142">
        <f>SUMIFS(領用表!$L:$L,領用表!$E:$E,$B60,領用表!$B:$B,BD$2&amp;$BI$1)</f>
        <v>0</v>
      </c>
      <c r="BE60" s="142">
        <f>SUMIFS(領用表!$L:$L,領用表!$E:$E,$B60,領用表!$B:$B,BE$2&amp;$BI$1)</f>
        <v>0</v>
      </c>
      <c r="BF60" s="142">
        <f>SUMIFS(領用表!$L:$L,領用表!$E:$E,$B60,領用表!$B:$B,BF$2&amp;$BI$1)</f>
        <v>0</v>
      </c>
      <c r="BG60" s="23">
        <f t="shared" si="10"/>
        <v>5</v>
      </c>
      <c r="BH60" s="23">
        <f t="shared" si="11"/>
        <v>0.41666666666666669</v>
      </c>
      <c r="BI60" s="142">
        <f>SUMIFS(領用表!$L:$L,領用表!$E:$E,$B60,領用表!$B:$B,BI$2&amp;$BI$1)</f>
        <v>0</v>
      </c>
      <c r="BJ60" s="142">
        <f>SUMIFS(領用表!$L:$L,領用表!$E:$E,$B60,領用表!$B:$B,BJ$2&amp;$BI$1)</f>
        <v>0</v>
      </c>
      <c r="BK60" s="142">
        <f>SUMIFS(領用表!$L:$L,領用表!$E:$E,$B60,領用表!$B:$B,BK$2&amp;$BI$1)</f>
        <v>0</v>
      </c>
      <c r="BL60" s="142">
        <f>SUMIFS(領用表!$L:$L,領用表!$E:$E,$B60,領用表!$B:$B,BL$2&amp;$BI$1)</f>
        <v>0</v>
      </c>
      <c r="BM60" s="142">
        <f>SUMIFS(領用表!$L:$L,領用表!$E:$E,$B60,領用表!$B:$B,BM$2&amp;$BI$1)</f>
        <v>0</v>
      </c>
      <c r="BN60" s="142">
        <f>SUMIFS(領用表!$L:$L,領用表!$E:$E,$B60,領用表!$B:$B,BN$2&amp;$BI$1)</f>
        <v>0</v>
      </c>
      <c r="BO60" s="142">
        <f>SUMIFS(領用表!$L:$L,領用表!$E:$E,$B60,領用表!$B:$B,BO$2&amp;$BI$1)</f>
        <v>0</v>
      </c>
      <c r="BP60" s="142">
        <f>SUMIFS(領用表!$L:$L,領用表!$E:$E,$B60,領用表!$B:$B,BP$2&amp;$BI$1)</f>
        <v>0</v>
      </c>
      <c r="BQ60" s="142">
        <f>SUMIFS(領用表!$L:$L,領用表!$E:$E,$B60,領用表!$B:$B,BQ$2&amp;$BI$1)</f>
        <v>0</v>
      </c>
      <c r="BR60" s="142">
        <f>SUMIFS(領用表!$L:$L,領用表!$E:$E,$B60,領用表!$B:$B,BR$2&amp;$BI$1)</f>
        <v>0</v>
      </c>
      <c r="BS60" s="142">
        <f>SUMIFS(領用表!$L:$L,領用表!$E:$E,$B60,領用表!$B:$B,BS$2&amp;$BI$1)</f>
        <v>0</v>
      </c>
      <c r="BT60" s="142">
        <f>SUMIFS(領用表!$L:$L,領用表!$E:$E,$B60,領用表!$B:$B,BT$2&amp;$BI$1)</f>
        <v>0</v>
      </c>
      <c r="BU60" s="142">
        <f t="shared" si="2"/>
        <v>0</v>
      </c>
      <c r="BV60" s="142">
        <f t="shared" si="3"/>
        <v>0</v>
      </c>
      <c r="BW60" s="142">
        <f>SUMIF(Summary!B:B,B60,Summary!DU:DU)</f>
        <v>0</v>
      </c>
      <c r="BX60" s="109"/>
      <c r="BY60" s="65"/>
      <c r="BZ60" s="65"/>
      <c r="CA60" s="65"/>
      <c r="CB60" s="27"/>
      <c r="CC60" s="27"/>
      <c r="CD60" s="14"/>
      <c r="CE60" s="29"/>
    </row>
    <row r="61" spans="1:83" ht="15.75" customHeight="1">
      <c r="A61" s="27"/>
      <c r="B61" s="14" t="e">
        <v>#N/A</v>
      </c>
      <c r="C61" s="136" t="s">
        <v>538</v>
      </c>
      <c r="D61" s="77"/>
      <c r="E61" s="17" t="s">
        <v>15</v>
      </c>
      <c r="F61" s="18"/>
      <c r="G61" s="1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68">
        <f t="shared" si="6"/>
        <v>0</v>
      </c>
      <c r="AT61" s="26">
        <f t="shared" si="7"/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20">
        <f>SUMIFS(領用表!$L:$L,領用表!$E:$E,$B61,領用表!$B:$B,AZ$2&amp;$BI$1)</f>
        <v>0</v>
      </c>
      <c r="BA61" s="20">
        <f>SUMIFS(領用表!$L:$L,領用表!$E:$E,$B61,領用表!$B:$B,BA$2&amp;$BI$1)</f>
        <v>0</v>
      </c>
      <c r="BB61" s="20">
        <f>SUMIFS(領用表!$L:$L,領用表!$E:$E,$B61,領用表!$B:$B,BB$2&amp;$BI$1)</f>
        <v>0</v>
      </c>
      <c r="BC61" s="20">
        <f>SUMIFS(領用表!$L:$L,領用表!$E:$E,$B61,領用表!$B:$B,BC$2&amp;$BI$1)</f>
        <v>0</v>
      </c>
      <c r="BD61" s="142">
        <f>SUMIFS(領用表!$L:$L,領用表!$E:$E,$B61,領用表!$B:$B,BD$2&amp;$BI$1)</f>
        <v>0</v>
      </c>
      <c r="BE61" s="142">
        <f>SUMIFS(領用表!$L:$L,領用表!$E:$E,$B61,領用表!$B:$B,BE$2&amp;$BI$1)</f>
        <v>0</v>
      </c>
      <c r="BF61" s="142">
        <f>SUMIFS(領用表!$L:$L,領用表!$E:$E,$B61,領用表!$B:$B,BF$2&amp;$BI$1)</f>
        <v>0</v>
      </c>
      <c r="BG61" s="23">
        <f t="shared" si="10"/>
        <v>0</v>
      </c>
      <c r="BH61" s="23">
        <f t="shared" si="11"/>
        <v>0</v>
      </c>
      <c r="BI61" s="142">
        <f>SUMIFS(領用表!$L:$L,領用表!$E:$E,$B61,領用表!$B:$B,BI$2&amp;$BI$1)</f>
        <v>0</v>
      </c>
      <c r="BJ61" s="142">
        <f>SUMIFS(領用表!$L:$L,領用表!$E:$E,$B61,領用表!$B:$B,BJ$2&amp;$BI$1)</f>
        <v>0</v>
      </c>
      <c r="BK61" s="142">
        <f>SUMIFS(領用表!$L:$L,領用表!$E:$E,$B61,領用表!$B:$B,BK$2&amp;$BI$1)</f>
        <v>0</v>
      </c>
      <c r="BL61" s="142">
        <f>SUMIFS(領用表!$L:$L,領用表!$E:$E,$B61,領用表!$B:$B,BL$2&amp;$BI$1)</f>
        <v>0</v>
      </c>
      <c r="BM61" s="142">
        <f>SUMIFS(領用表!$L:$L,領用表!$E:$E,$B61,領用表!$B:$B,BM$2&amp;$BI$1)</f>
        <v>0</v>
      </c>
      <c r="BN61" s="142">
        <f>SUMIFS(領用表!$L:$L,領用表!$E:$E,$B61,領用表!$B:$B,BN$2&amp;$BI$1)</f>
        <v>0</v>
      </c>
      <c r="BO61" s="142">
        <f>SUMIFS(領用表!$L:$L,領用表!$E:$E,$B61,領用表!$B:$B,BO$2&amp;$BI$1)</f>
        <v>0</v>
      </c>
      <c r="BP61" s="142">
        <f>SUMIFS(領用表!$L:$L,領用表!$E:$E,$B61,領用表!$B:$B,BP$2&amp;$BI$1)</f>
        <v>0</v>
      </c>
      <c r="BQ61" s="142">
        <f>SUMIFS(領用表!$L:$L,領用表!$E:$E,$B61,領用表!$B:$B,BQ$2&amp;$BI$1)</f>
        <v>0</v>
      </c>
      <c r="BR61" s="142">
        <f>SUMIFS(領用表!$L:$L,領用表!$E:$E,$B61,領用表!$B:$B,BR$2&amp;$BI$1)</f>
        <v>0</v>
      </c>
      <c r="BS61" s="142">
        <f>SUMIFS(領用表!$L:$L,領用表!$E:$E,$B61,領用表!$B:$B,BS$2&amp;$BI$1)</f>
        <v>0</v>
      </c>
      <c r="BT61" s="142">
        <f>SUMIFS(領用表!$L:$L,領用表!$E:$E,$B61,領用表!$B:$B,BT$2&amp;$BI$1)</f>
        <v>0</v>
      </c>
      <c r="BU61" s="142">
        <f t="shared" si="2"/>
        <v>0</v>
      </c>
      <c r="BV61" s="142">
        <f t="shared" si="3"/>
        <v>0</v>
      </c>
      <c r="BW61" s="142">
        <f>SUMIF(Summary!B:B,B61,Summary!DU:DU)</f>
        <v>0</v>
      </c>
      <c r="BX61" s="109"/>
      <c r="BY61" s="65"/>
      <c r="BZ61" s="65"/>
      <c r="CA61" s="65"/>
      <c r="CB61" s="27"/>
      <c r="CC61" s="27"/>
      <c r="CD61" s="14"/>
      <c r="CE61" s="29"/>
    </row>
    <row r="62" spans="1:83" ht="15.75" customHeight="1" thickBot="1">
      <c r="A62" s="27"/>
      <c r="B62" s="14">
        <v>6130001</v>
      </c>
      <c r="C62" s="136" t="s">
        <v>539</v>
      </c>
      <c r="D62" s="77"/>
      <c r="E62" s="17" t="s">
        <v>15</v>
      </c>
      <c r="F62" s="18"/>
      <c r="G62" s="1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68">
        <f t="shared" si="6"/>
        <v>0</v>
      </c>
      <c r="AT62" s="26">
        <f t="shared" si="7"/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5</v>
      </c>
      <c r="AZ62" s="20">
        <f>SUMIFS(領用表!$L:$L,領用表!$E:$E,$B62,領用表!$B:$B,AZ$2&amp;$BI$1)</f>
        <v>0</v>
      </c>
      <c r="BA62" s="20">
        <f>SUMIFS(領用表!$L:$L,領用表!$E:$E,$B62,領用表!$B:$B,BA$2&amp;$BI$1)</f>
        <v>0</v>
      </c>
      <c r="BB62" s="20">
        <f>SUMIFS(領用表!$L:$L,領用表!$E:$E,$B62,領用表!$B:$B,BB$2&amp;$BI$1)</f>
        <v>0</v>
      </c>
      <c r="BC62" s="20">
        <f>SUMIFS(領用表!$L:$L,領用表!$E:$E,$B62,領用表!$B:$B,BC$2&amp;$BI$1)</f>
        <v>0</v>
      </c>
      <c r="BD62" s="142">
        <f>SUMIFS(領用表!$L:$L,領用表!$E:$E,$B62,領用表!$B:$B,BD$2&amp;$BI$1)</f>
        <v>0</v>
      </c>
      <c r="BE62" s="142">
        <f>SUMIFS(領用表!$L:$L,領用表!$E:$E,$B62,領用表!$B:$B,BE$2&amp;$BI$1)</f>
        <v>0</v>
      </c>
      <c r="BF62" s="142">
        <f>SUMIFS(領用表!$L:$L,領用表!$E:$E,$B62,領用表!$B:$B,BF$2&amp;$BI$1)</f>
        <v>0</v>
      </c>
      <c r="BG62" s="23">
        <f t="shared" si="10"/>
        <v>5</v>
      </c>
      <c r="BH62" s="23">
        <f t="shared" si="11"/>
        <v>0.41666666666666669</v>
      </c>
      <c r="BI62" s="142">
        <f>SUMIFS(領用表!$L:$L,領用表!$E:$E,$B62,領用表!$B:$B,BI$2&amp;$BI$1)</f>
        <v>0</v>
      </c>
      <c r="BJ62" s="142">
        <f>SUMIFS(領用表!$L:$L,領用表!$E:$E,$B62,領用表!$B:$B,BJ$2&amp;$BI$1)</f>
        <v>0</v>
      </c>
      <c r="BK62" s="142">
        <f>SUMIFS(領用表!$L:$L,領用表!$E:$E,$B62,領用表!$B:$B,BK$2&amp;$BI$1)</f>
        <v>0</v>
      </c>
      <c r="BL62" s="142">
        <f>SUMIFS(領用表!$L:$L,領用表!$E:$E,$B62,領用表!$B:$B,BL$2&amp;$BI$1)</f>
        <v>0</v>
      </c>
      <c r="BM62" s="142">
        <f>SUMIFS(領用表!$L:$L,領用表!$E:$E,$B62,領用表!$B:$B,BM$2&amp;$BI$1)</f>
        <v>0</v>
      </c>
      <c r="BN62" s="142">
        <f>SUMIFS(領用表!$L:$L,領用表!$E:$E,$B62,領用表!$B:$B,BN$2&amp;$BI$1)</f>
        <v>0</v>
      </c>
      <c r="BO62" s="142">
        <f>SUMIFS(領用表!$L:$L,領用表!$E:$E,$B62,領用表!$B:$B,BO$2&amp;$BI$1)</f>
        <v>0</v>
      </c>
      <c r="BP62" s="142">
        <f>SUMIFS(領用表!$L:$L,領用表!$E:$E,$B62,領用表!$B:$B,BP$2&amp;$BI$1)</f>
        <v>0</v>
      </c>
      <c r="BQ62" s="142">
        <f>SUMIFS(領用表!$L:$L,領用表!$E:$E,$B62,領用表!$B:$B,BQ$2&amp;$BI$1)</f>
        <v>0</v>
      </c>
      <c r="BR62" s="142">
        <f>SUMIFS(領用表!$L:$L,領用表!$E:$E,$B62,領用表!$B:$B,BR$2&amp;$BI$1)</f>
        <v>0</v>
      </c>
      <c r="BS62" s="142">
        <f>SUMIFS(領用表!$L:$L,領用表!$E:$E,$B62,領用表!$B:$B,BS$2&amp;$BI$1)</f>
        <v>0</v>
      </c>
      <c r="BT62" s="142">
        <f>SUMIFS(領用表!$L:$L,領用表!$E:$E,$B62,領用表!$B:$B,BT$2&amp;$BI$1)</f>
        <v>0</v>
      </c>
      <c r="BU62" s="142">
        <f t="shared" si="2"/>
        <v>0</v>
      </c>
      <c r="BV62" s="142">
        <f t="shared" si="3"/>
        <v>0</v>
      </c>
      <c r="BW62" s="142">
        <f>SUMIF(Summary!B:B,B62,Summary!DU:DU)</f>
        <v>0</v>
      </c>
      <c r="BX62" s="109"/>
      <c r="BY62" s="65"/>
      <c r="BZ62" s="65"/>
      <c r="CA62" s="65"/>
      <c r="CB62" s="27"/>
      <c r="CC62" s="27"/>
      <c r="CD62" s="14"/>
      <c r="CE62" s="29"/>
    </row>
    <row r="63" spans="1:83" ht="15.75" customHeight="1" thickBot="1">
      <c r="A63" s="27" t="s">
        <v>774</v>
      </c>
      <c r="B63" s="190">
        <v>6120042</v>
      </c>
      <c r="C63" s="136" t="s">
        <v>775</v>
      </c>
      <c r="D63" s="77"/>
      <c r="E63" s="17"/>
      <c r="F63" s="18"/>
      <c r="G63" s="1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68"/>
      <c r="AT63" s="26"/>
      <c r="AU63" s="19"/>
      <c r="AV63" s="19"/>
      <c r="AW63" s="19"/>
      <c r="AX63" s="19"/>
      <c r="AY63" s="19"/>
      <c r="AZ63" s="20"/>
      <c r="BA63" s="20"/>
      <c r="BB63" s="20"/>
      <c r="BC63" s="20"/>
      <c r="BD63" s="142">
        <f>SUMIFS(領用表!$L:$L,領用表!$E:$E,$B63,領用表!$B:$B,BD$2&amp;$BI$1)</f>
        <v>0</v>
      </c>
      <c r="BE63" s="142">
        <f>SUMIFS(領用表!$L:$L,領用表!$E:$E,$B63,領用表!$B:$B,BE$2&amp;$BI$1)</f>
        <v>0</v>
      </c>
      <c r="BF63" s="142">
        <f>SUMIFS(領用表!$L:$L,領用表!$E:$E,$B63,領用表!$B:$B,BF$2&amp;$BI$1)</f>
        <v>0</v>
      </c>
      <c r="BG63" s="23">
        <f t="shared" ref="BG63:BG65" si="14">SUM(AU63,AV63,AW63,AX63,AY63,AZ63,BA63,BB63,BC63,BD63,BE63,BF63)</f>
        <v>0</v>
      </c>
      <c r="BH63" s="23">
        <f t="shared" ref="BH63:BH65" si="15">AVERAGE(AU63,AV63,AW63,AX63,AY63,AZ63,BA63,BB63,BC63,BD63,BE63,BF63)</f>
        <v>0</v>
      </c>
      <c r="BI63" s="142">
        <f>SUMIFS(領用表!$L:$L,領用表!$E:$E,$B63,領用表!$B:$B,BI$2&amp;$BI$1)</f>
        <v>0</v>
      </c>
      <c r="BJ63" s="142">
        <f>SUMIFS(領用表!$L:$L,領用表!$E:$E,$B63,領用表!$B:$B,BJ$2&amp;$BI$1)</f>
        <v>0</v>
      </c>
      <c r="BK63" s="142">
        <f>SUMIFS(領用表!$L:$L,領用表!$E:$E,$B63,領用表!$B:$B,BK$2&amp;$BI$1)</f>
        <v>0</v>
      </c>
      <c r="BL63" s="142">
        <f>SUMIFS(領用表!$L:$L,領用表!$E:$E,$B63,領用表!$B:$B,BL$2&amp;$BI$1)</f>
        <v>0</v>
      </c>
      <c r="BM63" s="142">
        <f>SUMIFS(領用表!$L:$L,領用表!$E:$E,$B63,領用表!$B:$B,BM$2&amp;$BI$1)</f>
        <v>0</v>
      </c>
      <c r="BN63" s="142">
        <f>SUMIFS(領用表!$L:$L,領用表!$E:$E,$B63,領用表!$B:$B,BN$2&amp;$BI$1)</f>
        <v>0</v>
      </c>
      <c r="BO63" s="142">
        <f>SUMIFS(領用表!$L:$L,領用表!$E:$E,$B63,領用表!$B:$B,BO$2&amp;$BI$1)</f>
        <v>0</v>
      </c>
      <c r="BP63" s="142">
        <f>SUMIFS(領用表!$L:$L,領用表!$E:$E,$B63,領用表!$B:$B,BP$2&amp;$BI$1)</f>
        <v>0</v>
      </c>
      <c r="BQ63" s="142">
        <f>SUMIFS(領用表!$L:$L,領用表!$E:$E,$B63,領用表!$B:$B,BQ$2&amp;$BI$1)</f>
        <v>0</v>
      </c>
      <c r="BR63" s="142">
        <f>SUMIFS(領用表!$L:$L,領用表!$E:$E,$B63,領用表!$B:$B,BR$2&amp;$BI$1)</f>
        <v>0</v>
      </c>
      <c r="BS63" s="142">
        <f>SUMIFS(領用表!$L:$L,領用表!$E:$E,$B63,領用表!$B:$B,BS$2&amp;$BI$1)</f>
        <v>0</v>
      </c>
      <c r="BT63" s="142">
        <f>SUMIFS(領用表!$L:$L,領用表!$E:$E,$B63,領用表!$B:$B,BT$2&amp;$BI$1)</f>
        <v>0</v>
      </c>
      <c r="BU63" s="142">
        <f t="shared" si="2"/>
        <v>0</v>
      </c>
      <c r="BV63" s="142">
        <f t="shared" si="3"/>
        <v>0</v>
      </c>
      <c r="BW63" s="142">
        <f>SUMIF(Summary!B:B,B63,Summary!DU:DU)</f>
        <v>0</v>
      </c>
      <c r="BX63" s="109"/>
      <c r="BY63" s="65"/>
      <c r="BZ63" s="65"/>
      <c r="CA63" s="65"/>
      <c r="CB63" s="27"/>
      <c r="CC63" s="27"/>
      <c r="CD63" s="14"/>
      <c r="CE63" s="29"/>
    </row>
    <row r="64" spans="1:83" ht="15.75" customHeight="1" thickBot="1">
      <c r="A64" s="27" t="s">
        <v>776</v>
      </c>
      <c r="B64" s="190">
        <v>6120043</v>
      </c>
      <c r="C64" s="136" t="s">
        <v>777</v>
      </c>
      <c r="D64" s="77"/>
      <c r="E64" s="17"/>
      <c r="F64" s="18"/>
      <c r="G64" s="1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68"/>
      <c r="AT64" s="26"/>
      <c r="AU64" s="19"/>
      <c r="AV64" s="19"/>
      <c r="AW64" s="19"/>
      <c r="AX64" s="19"/>
      <c r="AY64" s="19"/>
      <c r="AZ64" s="20"/>
      <c r="BA64" s="20"/>
      <c r="BB64" s="20"/>
      <c r="BC64" s="20"/>
      <c r="BD64" s="142">
        <f>SUMIFS(領用表!$L:$L,領用表!$E:$E,$B64,領用表!$B:$B,BD$2&amp;$BI$1)</f>
        <v>0</v>
      </c>
      <c r="BE64" s="142">
        <f>SUMIFS(領用表!$L:$L,領用表!$E:$E,$B64,領用表!$B:$B,BE$2&amp;$BI$1)</f>
        <v>0</v>
      </c>
      <c r="BF64" s="142">
        <f>SUMIFS(領用表!$L:$L,領用表!$E:$E,$B64,領用表!$B:$B,BF$2&amp;$BI$1)</f>
        <v>0</v>
      </c>
      <c r="BG64" s="23">
        <f t="shared" si="14"/>
        <v>0</v>
      </c>
      <c r="BH64" s="23">
        <f t="shared" si="15"/>
        <v>0</v>
      </c>
      <c r="BI64" s="142">
        <f>SUMIFS(領用表!$L:$L,領用表!$E:$E,$B64,領用表!$B:$B,BI$2&amp;$BI$1)</f>
        <v>0</v>
      </c>
      <c r="BJ64" s="142">
        <f>SUMIFS(領用表!$L:$L,領用表!$E:$E,$B64,領用表!$B:$B,BJ$2&amp;$BI$1)</f>
        <v>0</v>
      </c>
      <c r="BK64" s="142">
        <f>SUMIFS(領用表!$L:$L,領用表!$E:$E,$B64,領用表!$B:$B,BK$2&amp;$BI$1)</f>
        <v>0</v>
      </c>
      <c r="BL64" s="142">
        <f>SUMIFS(領用表!$L:$L,領用表!$E:$E,$B64,領用表!$B:$B,BL$2&amp;$BI$1)</f>
        <v>0</v>
      </c>
      <c r="BM64" s="142">
        <f>SUMIFS(領用表!$L:$L,領用表!$E:$E,$B64,領用表!$B:$B,BM$2&amp;$BI$1)</f>
        <v>0</v>
      </c>
      <c r="BN64" s="142">
        <f>SUMIFS(領用表!$L:$L,領用表!$E:$E,$B64,領用表!$B:$B,BN$2&amp;$BI$1)</f>
        <v>0</v>
      </c>
      <c r="BO64" s="142">
        <f>SUMIFS(領用表!$L:$L,領用表!$E:$E,$B64,領用表!$B:$B,BO$2&amp;$BI$1)</f>
        <v>0</v>
      </c>
      <c r="BP64" s="142">
        <f>SUMIFS(領用表!$L:$L,領用表!$E:$E,$B64,領用表!$B:$B,BP$2&amp;$BI$1)</f>
        <v>0</v>
      </c>
      <c r="BQ64" s="142">
        <f>SUMIFS(領用表!$L:$L,領用表!$E:$E,$B64,領用表!$B:$B,BQ$2&amp;$BI$1)</f>
        <v>0</v>
      </c>
      <c r="BR64" s="142">
        <f>SUMIFS(領用表!$L:$L,領用表!$E:$E,$B64,領用表!$B:$B,BR$2&amp;$BI$1)</f>
        <v>0</v>
      </c>
      <c r="BS64" s="142">
        <f>SUMIFS(領用表!$L:$L,領用表!$E:$E,$B64,領用表!$B:$B,BS$2&amp;$BI$1)</f>
        <v>0</v>
      </c>
      <c r="BT64" s="142">
        <f>SUMIFS(領用表!$L:$L,領用表!$E:$E,$B64,領用表!$B:$B,BT$2&amp;$BI$1)</f>
        <v>0</v>
      </c>
      <c r="BU64" s="142">
        <f t="shared" si="2"/>
        <v>0</v>
      </c>
      <c r="BV64" s="142">
        <f t="shared" si="3"/>
        <v>0</v>
      </c>
      <c r="BW64" s="142">
        <f>SUMIF(Summary!B:B,B64,Summary!DU:DU)</f>
        <v>0</v>
      </c>
      <c r="BX64" s="109"/>
      <c r="BY64" s="65"/>
      <c r="BZ64" s="65"/>
      <c r="CA64" s="65"/>
      <c r="CB64" s="27"/>
      <c r="CC64" s="27"/>
      <c r="CD64" s="14"/>
      <c r="CE64" s="29"/>
    </row>
    <row r="65" spans="1:83" ht="15.75" customHeight="1" thickBot="1">
      <c r="A65" s="194" t="s">
        <v>779</v>
      </c>
      <c r="B65" s="191">
        <v>6120044</v>
      </c>
      <c r="C65" s="195" t="s">
        <v>778</v>
      </c>
      <c r="D65" s="77"/>
      <c r="E65" s="17"/>
      <c r="F65" s="18"/>
      <c r="G65" s="1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68"/>
      <c r="AT65" s="26"/>
      <c r="AU65" s="19"/>
      <c r="AV65" s="19"/>
      <c r="AW65" s="19"/>
      <c r="AX65" s="19"/>
      <c r="AY65" s="19"/>
      <c r="AZ65" s="20"/>
      <c r="BA65" s="20"/>
      <c r="BB65" s="20"/>
      <c r="BC65" s="20"/>
      <c r="BD65" s="142">
        <f>SUMIFS(領用表!$L:$L,領用表!$E:$E,$B65,領用表!$B:$B,BD$2&amp;$BI$1)</f>
        <v>0</v>
      </c>
      <c r="BE65" s="142">
        <f>SUMIFS(領用表!$L:$L,領用表!$E:$E,$B65,領用表!$B:$B,BE$2&amp;$BI$1)</f>
        <v>0</v>
      </c>
      <c r="BF65" s="142">
        <f>SUMIFS(領用表!$L:$L,領用表!$E:$E,$B65,領用表!$B:$B,BF$2&amp;$BI$1)</f>
        <v>0</v>
      </c>
      <c r="BG65" s="23">
        <f t="shared" si="14"/>
        <v>0</v>
      </c>
      <c r="BH65" s="23">
        <f t="shared" si="15"/>
        <v>0</v>
      </c>
      <c r="BI65" s="142">
        <f>SUMIFS(領用表!$L:$L,領用表!$E:$E,$B65,領用表!$B:$B,BI$2&amp;$BI$1)</f>
        <v>0</v>
      </c>
      <c r="BJ65" s="142">
        <f>SUMIFS(領用表!$L:$L,領用表!$E:$E,$B65,領用表!$B:$B,BJ$2&amp;$BI$1)</f>
        <v>0</v>
      </c>
      <c r="BK65" s="142">
        <f>SUMIFS(領用表!$L:$L,領用表!$E:$E,$B65,領用表!$B:$B,BK$2&amp;$BI$1)</f>
        <v>0</v>
      </c>
      <c r="BL65" s="142">
        <f>SUMIFS(領用表!$L:$L,領用表!$E:$E,$B65,領用表!$B:$B,BL$2&amp;$BI$1)</f>
        <v>0</v>
      </c>
      <c r="BM65" s="142">
        <f>SUMIFS(領用表!$L:$L,領用表!$E:$E,$B65,領用表!$B:$B,BM$2&amp;$BI$1)</f>
        <v>0</v>
      </c>
      <c r="BN65" s="142">
        <f>SUMIFS(領用表!$L:$L,領用表!$E:$E,$B65,領用表!$B:$B,BN$2&amp;$BI$1)</f>
        <v>0</v>
      </c>
      <c r="BO65" s="142">
        <f>SUMIFS(領用表!$L:$L,領用表!$E:$E,$B65,領用表!$B:$B,BO$2&amp;$BI$1)</f>
        <v>0</v>
      </c>
      <c r="BP65" s="142">
        <f>SUMIFS(領用表!$L:$L,領用表!$E:$E,$B65,領用表!$B:$B,BP$2&amp;$BI$1)</f>
        <v>0</v>
      </c>
      <c r="BQ65" s="142">
        <f>SUMIFS(領用表!$L:$L,領用表!$E:$E,$B65,領用表!$B:$B,BQ$2&amp;$BI$1)</f>
        <v>0</v>
      </c>
      <c r="BR65" s="142">
        <f>SUMIFS(領用表!$L:$L,領用表!$E:$E,$B65,領用表!$B:$B,BR$2&amp;$BI$1)</f>
        <v>0</v>
      </c>
      <c r="BS65" s="142">
        <f>SUMIFS(領用表!$L:$L,領用表!$E:$E,$B65,領用表!$B:$B,BS$2&amp;$BI$1)</f>
        <v>0</v>
      </c>
      <c r="BT65" s="142">
        <f>SUMIFS(領用表!$L:$L,領用表!$E:$E,$B65,領用表!$B:$B,BT$2&amp;$BI$1)</f>
        <v>0</v>
      </c>
      <c r="BU65" s="142">
        <f t="shared" si="2"/>
        <v>0</v>
      </c>
      <c r="BV65" s="142">
        <f t="shared" si="3"/>
        <v>0</v>
      </c>
      <c r="BW65" s="142">
        <f>SUMIF(Summary!B:B,B65,Summary!DU:DU)</f>
        <v>0</v>
      </c>
      <c r="BX65" s="109"/>
      <c r="BY65" s="65"/>
      <c r="BZ65" s="65"/>
      <c r="CA65" s="65"/>
      <c r="CB65" s="27"/>
      <c r="CC65" s="27"/>
      <c r="CD65" s="14"/>
      <c r="CE65" s="29"/>
    </row>
    <row r="66" spans="1:83" s="154" customFormat="1" ht="15.75" customHeight="1">
      <c r="A66" s="155"/>
      <c r="B66" s="155"/>
      <c r="C66" s="144"/>
      <c r="D66" s="156"/>
      <c r="E66" s="157"/>
      <c r="F66" s="158"/>
      <c r="G66" s="158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60"/>
      <c r="AO66" s="160"/>
      <c r="AP66" s="160"/>
      <c r="AQ66" s="159"/>
      <c r="AR66" s="159"/>
      <c r="AS66" s="159"/>
      <c r="AT66" s="159"/>
      <c r="AU66" s="159"/>
      <c r="AV66" s="159"/>
      <c r="AW66" s="159"/>
      <c r="AX66" s="143"/>
      <c r="AY66" s="143"/>
      <c r="AZ66" s="148"/>
      <c r="BA66" s="143"/>
      <c r="BB66" s="149"/>
      <c r="BC66" s="149"/>
      <c r="BD66" s="150"/>
      <c r="BE66" s="150"/>
      <c r="BF66" s="150"/>
      <c r="BG66" s="150"/>
      <c r="BH66" s="150"/>
      <c r="BI66" s="150"/>
      <c r="BJ66" s="150"/>
      <c r="BK66" s="150"/>
      <c r="BL66" s="150"/>
      <c r="BM66" s="150"/>
      <c r="BN66" s="150"/>
      <c r="BO66" s="150"/>
      <c r="BP66" s="150"/>
      <c r="BQ66" s="150"/>
      <c r="BR66" s="150"/>
      <c r="BS66" s="150"/>
      <c r="BT66" s="150"/>
      <c r="BU66" s="150"/>
      <c r="BV66" s="150"/>
      <c r="BW66" s="150"/>
      <c r="BX66" s="161"/>
      <c r="BY66" s="159"/>
      <c r="BZ66" s="159"/>
      <c r="CA66" s="159"/>
      <c r="CB66" s="155"/>
      <c r="CC66" s="155"/>
      <c r="CD66" s="152"/>
      <c r="CE66" s="152"/>
    </row>
    <row r="67" spans="1:83" ht="15.75" customHeight="1">
      <c r="A67" s="27" t="s">
        <v>168</v>
      </c>
      <c r="B67" s="14">
        <v>6090001</v>
      </c>
      <c r="C67" s="136" t="s">
        <v>547</v>
      </c>
      <c r="D67" s="77"/>
      <c r="E67" s="17" t="s">
        <v>15</v>
      </c>
      <c r="F67" s="18"/>
      <c r="G67" s="70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19"/>
      <c r="AH67" s="19"/>
      <c r="AI67" s="19"/>
      <c r="AJ67" s="19"/>
      <c r="AK67" s="19"/>
      <c r="AL67" s="19"/>
      <c r="AM67" s="19"/>
      <c r="AN67" s="19">
        <v>0</v>
      </c>
      <c r="AO67" s="19">
        <v>0</v>
      </c>
      <c r="AP67" s="19">
        <v>57</v>
      </c>
      <c r="AQ67" s="19">
        <v>30</v>
      </c>
      <c r="AR67" s="19">
        <v>120</v>
      </c>
      <c r="AS67" s="68">
        <f>SUM(AG67:AR67)</f>
        <v>207</v>
      </c>
      <c r="AT67" s="26">
        <f>AS67/12</f>
        <v>17.25</v>
      </c>
      <c r="AU67" s="19">
        <v>0</v>
      </c>
      <c r="AV67" s="19">
        <v>0</v>
      </c>
      <c r="AW67" s="19">
        <v>60</v>
      </c>
      <c r="AX67" s="19">
        <v>32</v>
      </c>
      <c r="AY67" s="19">
        <v>20</v>
      </c>
      <c r="AZ67" s="20">
        <f>SUMIFS(領用表!$L:$L,領用表!$E:$E,$B67,領用表!$B:$B,AZ$2&amp;$BI$1)</f>
        <v>0</v>
      </c>
      <c r="BA67" s="20">
        <f>SUMIFS(領用表!$L:$L,領用表!$E:$E,$B67,領用表!$B:$B,BA$2&amp;$BI$1)</f>
        <v>0</v>
      </c>
      <c r="BB67" s="20">
        <f>SUMIFS(領用表!$L:$L,領用表!$E:$E,$B67,領用表!$B:$B,BB$2&amp;$BI$1)</f>
        <v>0</v>
      </c>
      <c r="BC67" s="20">
        <f>SUMIFS(領用表!$L:$L,領用表!$E:$E,$B67,領用表!$B:$B,BC$2&amp;$BI$1)</f>
        <v>0</v>
      </c>
      <c r="BD67" s="142">
        <f>SUMIFS(領用表!$L:$L,領用表!$E:$E,$B67,領用表!$B:$B,BD$2&amp;$BI$1)</f>
        <v>0</v>
      </c>
      <c r="BE67" s="142">
        <f>SUMIFS(領用表!$L:$L,領用表!$E:$E,$B67,領用表!$B:$B,BE$2&amp;$BI$1)</f>
        <v>0</v>
      </c>
      <c r="BF67" s="142">
        <f>SUMIFS(領用表!$L:$L,領用表!$E:$E,$B67,領用表!$B:$B,BF$2&amp;$BI$1)</f>
        <v>0</v>
      </c>
      <c r="BG67" s="23">
        <f t="shared" si="10"/>
        <v>112</v>
      </c>
      <c r="BH67" s="23">
        <f t="shared" si="11"/>
        <v>9.3333333333333339</v>
      </c>
      <c r="BI67" s="142">
        <f>SUMIFS(領用表!$L:$L,領用表!$E:$E,$B67,領用表!$B:$B,BI$2&amp;$BI$1)</f>
        <v>0</v>
      </c>
      <c r="BJ67" s="142">
        <f>SUMIFS(領用表!$L:$L,領用表!$E:$E,$B67,領用表!$B:$B,BJ$2&amp;$BI$1)</f>
        <v>0</v>
      </c>
      <c r="BK67" s="142">
        <f>SUMIFS(領用表!$L:$L,領用表!$E:$E,$B67,領用表!$B:$B,BK$2&amp;$BI$1)</f>
        <v>0</v>
      </c>
      <c r="BL67" s="142">
        <f>SUMIFS(領用表!$L:$L,領用表!$E:$E,$B67,領用表!$B:$B,BL$2&amp;$BI$1)</f>
        <v>0</v>
      </c>
      <c r="BM67" s="142">
        <f>SUMIFS(領用表!$L:$L,領用表!$E:$E,$B67,領用表!$B:$B,BM$2&amp;$BI$1)</f>
        <v>0</v>
      </c>
      <c r="BN67" s="142">
        <f>SUMIFS(領用表!$L:$L,領用表!$E:$E,$B67,領用表!$B:$B,BN$2&amp;$BI$1)</f>
        <v>0</v>
      </c>
      <c r="BO67" s="142">
        <f>SUMIFS(領用表!$L:$L,領用表!$E:$E,$B67,領用表!$B:$B,BO$2&amp;$BI$1)</f>
        <v>0</v>
      </c>
      <c r="BP67" s="142">
        <f>SUMIFS(領用表!$L:$L,領用表!$E:$E,$B67,領用表!$B:$B,BP$2&amp;$BI$1)</f>
        <v>0</v>
      </c>
      <c r="BQ67" s="142">
        <f>SUMIFS(領用表!$L:$L,領用表!$E:$E,$B67,領用表!$B:$B,BQ$2&amp;$BI$1)</f>
        <v>0</v>
      </c>
      <c r="BR67" s="142">
        <f>SUMIFS(領用表!$L:$L,領用表!$E:$E,$B67,領用表!$B:$B,BR$2&amp;$BI$1)</f>
        <v>0</v>
      </c>
      <c r="BS67" s="142">
        <f>SUMIFS(領用表!$L:$L,領用表!$E:$E,$B67,領用表!$B:$B,BS$2&amp;$BI$1)</f>
        <v>0</v>
      </c>
      <c r="BT67" s="142">
        <f>SUMIFS(領用表!$L:$L,領用表!$E:$E,$B67,領用表!$B:$B,BT$2&amp;$BI$1)</f>
        <v>0</v>
      </c>
      <c r="BU67" s="142">
        <f t="shared" si="2"/>
        <v>0</v>
      </c>
      <c r="BV67" s="142">
        <f t="shared" ref="BV67:BV128" si="16">AVERAGE(BI67,BJ67,BK67,BL67,BM67)</f>
        <v>0</v>
      </c>
      <c r="BW67" s="142">
        <f>SUMIF(Summary!B:B,B67,Summary!DU:DU)</f>
        <v>0</v>
      </c>
      <c r="BX67" s="109"/>
      <c r="BY67" s="76"/>
      <c r="BZ67" s="76"/>
      <c r="CA67" s="76"/>
      <c r="CB67" s="27" t="s">
        <v>169</v>
      </c>
      <c r="CC67" s="27"/>
      <c r="CD67" s="14"/>
      <c r="CE67" s="14"/>
    </row>
    <row r="68" spans="1:83" ht="15.75" customHeight="1">
      <c r="A68" s="78" t="s">
        <v>170</v>
      </c>
      <c r="B68" s="14">
        <v>6050006</v>
      </c>
      <c r="C68" s="136" t="s">
        <v>548</v>
      </c>
      <c r="D68" s="77"/>
      <c r="E68" s="17" t="s">
        <v>15</v>
      </c>
      <c r="F68" s="18"/>
      <c r="G68" s="70"/>
      <c r="AR68" s="19">
        <v>10</v>
      </c>
      <c r="AS68" s="64" t="s">
        <v>49</v>
      </c>
      <c r="AT68" s="64" t="s">
        <v>49</v>
      </c>
      <c r="AU68" s="19">
        <v>0</v>
      </c>
      <c r="AV68" s="19">
        <v>0</v>
      </c>
      <c r="AW68" s="19">
        <v>0</v>
      </c>
      <c r="AX68" s="19">
        <v>12</v>
      </c>
      <c r="AY68" s="19">
        <v>20</v>
      </c>
      <c r="AZ68" s="20">
        <f>SUMIFS(領用表!$L:$L,領用表!$E:$E,$B68,領用表!$B:$B,AZ$2&amp;$BI$1)</f>
        <v>0</v>
      </c>
      <c r="BA68" s="20">
        <f>SUMIFS(領用表!$L:$L,領用表!$E:$E,$B68,領用表!$B:$B,BA$2&amp;$BI$1)</f>
        <v>0</v>
      </c>
      <c r="BB68" s="20">
        <f>SUMIFS(領用表!$L:$L,領用表!$E:$E,$B68,領用表!$B:$B,BB$2&amp;$BI$1)</f>
        <v>0</v>
      </c>
      <c r="BC68" s="20">
        <f>SUMIFS(領用表!$L:$L,領用表!$E:$E,$B68,領用表!$B:$B,BC$2&amp;$BI$1)</f>
        <v>0</v>
      </c>
      <c r="BD68" s="142">
        <f>SUMIFS(領用表!$L:$L,領用表!$E:$E,$B68,領用表!$B:$B,BD$2&amp;$BI$1)</f>
        <v>0</v>
      </c>
      <c r="BE68" s="142">
        <f>SUMIFS(領用表!$L:$L,領用表!$E:$E,$B68,領用表!$B:$B,BE$2&amp;$BI$1)</f>
        <v>0</v>
      </c>
      <c r="BF68" s="142">
        <f>SUMIFS(領用表!$L:$L,領用表!$E:$E,$B68,領用表!$B:$B,BF$2&amp;$BI$1)</f>
        <v>0</v>
      </c>
      <c r="BG68" s="23">
        <f t="shared" si="10"/>
        <v>32</v>
      </c>
      <c r="BH68" s="23">
        <f t="shared" si="11"/>
        <v>2.6666666666666665</v>
      </c>
      <c r="BI68" s="142">
        <f>SUMIFS(領用表!$L:$L,領用表!$E:$E,$B68,領用表!$B:$B,BI$2&amp;$BI$1)</f>
        <v>0</v>
      </c>
      <c r="BJ68" s="405">
        <f>SUMIFS(領用表!$L:$L,領用表!$E:$E,$B68,領用表!$B:$B,BJ$2&amp;$BI$1)</f>
        <v>0</v>
      </c>
      <c r="BK68" s="405">
        <f>SUMIFS(領用表!$L:$L,領用表!$E:$E,$B68,領用表!$B:$B,BK$2&amp;$BI$1)</f>
        <v>0</v>
      </c>
      <c r="BL68" s="405">
        <f>SUMIFS(領用表!$L:$L,領用表!$E:$E,$B68,領用表!$B:$B,BL$2&amp;$BI$1)</f>
        <v>0</v>
      </c>
      <c r="BM68" s="405">
        <f>SUMIFS(領用表!$L:$L,領用表!$E:$E,$B68,領用表!$B:$B,BM$2&amp;$BI$1)</f>
        <v>0</v>
      </c>
      <c r="BN68" s="405">
        <f>SUMIFS(領用表!$L:$L,領用表!$E:$E,$B68,領用表!$B:$B,BN$2&amp;$BI$1)</f>
        <v>0</v>
      </c>
      <c r="BO68" s="405">
        <f>SUMIFS(領用表!$L:$L,領用表!$E:$E,$B68,領用表!$B:$B,BO$2&amp;$BI$1)</f>
        <v>0</v>
      </c>
      <c r="BP68" s="405">
        <f>SUMIFS(領用表!$L:$L,領用表!$E:$E,$B68,領用表!$B:$B,BP$2&amp;$BI$1)</f>
        <v>0</v>
      </c>
      <c r="BQ68" s="405">
        <f>SUMIFS(領用表!$L:$L,領用表!$E:$E,$B68,領用表!$B:$B,BQ$2&amp;$BI$1)</f>
        <v>0</v>
      </c>
      <c r="BR68" s="405">
        <f>SUMIFS(領用表!$L:$L,領用表!$E:$E,$B68,領用表!$B:$B,BR$2&amp;$BI$1)</f>
        <v>0</v>
      </c>
      <c r="BS68" s="405">
        <f>SUMIFS(領用表!$L:$L,領用表!$E:$E,$B68,領用表!$B:$B,BS$2&amp;$BI$1)</f>
        <v>0</v>
      </c>
      <c r="BT68" s="405">
        <f>SUMIFS(領用表!$L:$L,領用表!$E:$E,$B68,領用表!$B:$B,BT$2&amp;$BI$1)</f>
        <v>0</v>
      </c>
      <c r="BU68" s="405">
        <f t="shared" si="2"/>
        <v>0</v>
      </c>
      <c r="BV68" s="405">
        <f t="shared" si="16"/>
        <v>0</v>
      </c>
      <c r="BW68" s="405">
        <f>SUMIF(Summary!B:B,B68,Summary!DU:DU)</f>
        <v>0</v>
      </c>
      <c r="BY68" s="80"/>
      <c r="BZ68" s="76"/>
      <c r="CA68" s="76"/>
    </row>
    <row r="69" spans="1:83" ht="15.75" hidden="1" customHeight="1">
      <c r="A69" s="27" t="s">
        <v>171</v>
      </c>
      <c r="B69" s="14" t="e">
        <v>#N/A</v>
      </c>
      <c r="C69" s="136" t="s">
        <v>549</v>
      </c>
      <c r="D69" s="77"/>
      <c r="E69" s="17" t="s">
        <v>15</v>
      </c>
      <c r="F69" s="18"/>
      <c r="G69" s="70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19"/>
      <c r="AH69" s="19"/>
      <c r="AI69" s="19"/>
      <c r="AJ69" s="19"/>
      <c r="AK69" s="56"/>
      <c r="AL69" s="81">
        <v>30</v>
      </c>
      <c r="AM69" s="19"/>
      <c r="AN69" s="19">
        <v>20</v>
      </c>
      <c r="AO69" s="19">
        <v>10</v>
      </c>
      <c r="AP69" s="19">
        <v>15</v>
      </c>
      <c r="AQ69" s="19">
        <v>20</v>
      </c>
      <c r="AR69" s="19">
        <v>60</v>
      </c>
      <c r="AS69" s="68">
        <f>SUM(AG69:AR69)</f>
        <v>155</v>
      </c>
      <c r="AT69" s="26">
        <f>AS69/12</f>
        <v>12.916666666666666</v>
      </c>
      <c r="AU69" s="19">
        <v>65</v>
      </c>
      <c r="AV69" s="19">
        <v>24</v>
      </c>
      <c r="AW69" s="64" t="s">
        <v>49</v>
      </c>
      <c r="AX69" s="64" t="s">
        <v>49</v>
      </c>
      <c r="AY69" s="64" t="s">
        <v>49</v>
      </c>
      <c r="AZ69" s="20">
        <f>SUMIFS(領用表!$L:$L,領用表!$E:$E,$B69,領用表!$B:$B,AZ$2&amp;$BI$1)</f>
        <v>0</v>
      </c>
      <c r="BA69" s="20">
        <f>SUMIFS(領用表!$L:$L,領用表!$E:$E,$B69,領用表!$B:$B,BA$2&amp;$BI$1)</f>
        <v>0</v>
      </c>
      <c r="BB69" s="20">
        <f>SUMIFS(領用表!$L:$L,領用表!$E:$E,$B69,領用表!$B:$B,BB$2&amp;$BI$1)</f>
        <v>0</v>
      </c>
      <c r="BC69" s="20">
        <f>SUMIFS(領用表!$L:$L,領用表!$E:$E,$B69,領用表!$B:$B,BC$2&amp;$BI$1)</f>
        <v>0</v>
      </c>
      <c r="BD69" s="142">
        <f>SUMIFS(領用表!$L:$L,領用表!$E:$E,$B69,領用表!$B:$B,BD$2&amp;$BI$1)</f>
        <v>0</v>
      </c>
      <c r="BE69" s="142">
        <f>SUMIFS(領用表!$L:$L,領用表!$E:$E,$B69,領用表!$B:$B,BE$2&amp;$BI$1)</f>
        <v>0</v>
      </c>
      <c r="BF69" s="142">
        <f>SUMIFS(領用表!$L:$L,領用表!$E:$E,$B69,領用表!$B:$B,BF$2&amp;$BI$1)</f>
        <v>0</v>
      </c>
      <c r="BG69" s="23">
        <f t="shared" si="10"/>
        <v>89</v>
      </c>
      <c r="BH69" s="23">
        <f t="shared" si="11"/>
        <v>9.8888888888888893</v>
      </c>
      <c r="BI69" s="142">
        <f>SUMIFS(領用表!$L:$L,領用表!$E:$E,$B69,領用表!$B:$B,BI$2&amp;$BI$1)</f>
        <v>0</v>
      </c>
      <c r="BJ69" s="142">
        <f>SUMIFS(領用表!$L:$L,領用表!$E:$E,$B69,領用表!$B:$B,BJ$2&amp;$BI$1)</f>
        <v>0</v>
      </c>
      <c r="BK69" s="142">
        <f>SUMIFS(領用表!$L:$L,領用表!$E:$E,$B69,領用表!$B:$B,BK$2&amp;$BI$1)</f>
        <v>0</v>
      </c>
      <c r="BL69" s="142">
        <f>SUMIFS(領用表!$L:$L,領用表!$E:$E,$B69,領用表!$B:$B,BL$2&amp;$BI$1)</f>
        <v>0</v>
      </c>
      <c r="BM69" s="142">
        <f>SUMIFS(領用表!$L:$L,領用表!$E:$E,$B69,領用表!$B:$B,BM$2&amp;$BI$1)</f>
        <v>0</v>
      </c>
      <c r="BN69" s="142">
        <f>SUMIFS(領用表!$L:$L,領用表!$E:$E,$B69,領用表!$B:$B,BN$2&amp;$BI$1)</f>
        <v>0</v>
      </c>
      <c r="BO69" s="142">
        <f>SUMIFS(領用表!$L:$L,領用表!$E:$E,$B69,領用表!$B:$B,BO$2&amp;$BI$1)</f>
        <v>0</v>
      </c>
      <c r="BP69" s="142">
        <f>SUMIFS(領用表!$L:$L,領用表!$E:$E,$B69,領用表!$B:$B,BP$2&amp;$BI$1)</f>
        <v>0</v>
      </c>
      <c r="BQ69" s="142">
        <f>SUMIFS(領用表!$L:$L,領用表!$E:$E,$B69,領用表!$B:$B,BQ$2&amp;$BI$1)</f>
        <v>0</v>
      </c>
      <c r="BR69" s="142">
        <f>SUMIFS(領用表!$L:$L,領用表!$E:$E,$B69,領用表!$B:$B,BR$2&amp;$BI$1)</f>
        <v>0</v>
      </c>
      <c r="BS69" s="142">
        <f>SUMIFS(領用表!$L:$L,領用表!$E:$E,$B69,領用表!$B:$B,BS$2&amp;$BI$1)</f>
        <v>0</v>
      </c>
      <c r="BT69" s="142">
        <f>SUMIFS(領用表!$L:$L,領用表!$E:$E,$B69,領用表!$B:$B,BT$2&amp;$BI$1)</f>
        <v>0</v>
      </c>
      <c r="BU69" s="142">
        <f t="shared" si="2"/>
        <v>0</v>
      </c>
      <c r="BV69" s="142">
        <f t="shared" si="16"/>
        <v>0</v>
      </c>
      <c r="BW69" s="142">
        <f>SUMIF(Summary!B:B,B69,Summary!DU:DU)</f>
        <v>0</v>
      </c>
      <c r="BX69" s="109"/>
      <c r="BY69" s="65"/>
      <c r="BZ69" s="76"/>
      <c r="CA69" s="76"/>
      <c r="CB69" s="27"/>
      <c r="CC69" s="27"/>
      <c r="CD69" s="14"/>
      <c r="CE69" s="14"/>
    </row>
    <row r="70" spans="1:83" ht="15.75" hidden="1" customHeight="1">
      <c r="A70" s="27" t="s">
        <v>172</v>
      </c>
      <c r="B70" s="14">
        <v>6050005</v>
      </c>
      <c r="C70" s="136" t="s">
        <v>550</v>
      </c>
      <c r="D70" s="77"/>
      <c r="E70" s="17" t="s">
        <v>15</v>
      </c>
      <c r="F70" s="18"/>
      <c r="G70" s="70"/>
      <c r="AG70" s="82"/>
      <c r="AH70" s="82"/>
      <c r="AI70" s="82"/>
      <c r="AJ70" s="82"/>
      <c r="AK70" s="82"/>
      <c r="AL70" s="82"/>
      <c r="AM70" s="82"/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68">
        <f>SUM(AG70:AR70)</f>
        <v>0</v>
      </c>
      <c r="AT70" s="26">
        <f>AS70/12</f>
        <v>0</v>
      </c>
      <c r="AU70" s="19">
        <v>0</v>
      </c>
      <c r="AV70" s="19">
        <v>72</v>
      </c>
      <c r="AW70" s="19">
        <v>0</v>
      </c>
      <c r="AX70" s="68">
        <v>0</v>
      </c>
      <c r="AY70" s="68">
        <v>0</v>
      </c>
      <c r="AZ70" s="20">
        <f>SUMIFS(領用表!$L:$L,領用表!$E:$E,$B70,領用表!$B:$B,AZ$2&amp;$BI$1)</f>
        <v>0</v>
      </c>
      <c r="BA70" s="20">
        <f>SUMIFS(領用表!$L:$L,領用表!$E:$E,$B70,領用表!$B:$B,BA$2&amp;$BI$1)</f>
        <v>0</v>
      </c>
      <c r="BB70" s="20">
        <f>SUMIFS(領用表!$L:$L,領用表!$E:$E,$B70,領用表!$B:$B,BB$2&amp;$BI$1)</f>
        <v>0</v>
      </c>
      <c r="BC70" s="20">
        <f>SUMIFS(領用表!$L:$L,領用表!$E:$E,$B70,領用表!$B:$B,BC$2&amp;$BI$1)</f>
        <v>0</v>
      </c>
      <c r="BD70" s="142">
        <f>SUMIFS(領用表!$L:$L,領用表!$E:$E,$B70,領用表!$B:$B,BD$2&amp;$BI$1)</f>
        <v>0</v>
      </c>
      <c r="BE70" s="142">
        <f>SUMIFS(領用表!$L:$L,領用表!$E:$E,$B70,領用表!$B:$B,BE$2&amp;$BI$1)</f>
        <v>0</v>
      </c>
      <c r="BF70" s="142">
        <f>SUMIFS(領用表!$L:$L,領用表!$E:$E,$B70,領用表!$B:$B,BF$2&amp;$BI$1)</f>
        <v>0</v>
      </c>
      <c r="BG70" s="23">
        <f t="shared" si="10"/>
        <v>72</v>
      </c>
      <c r="BH70" s="23">
        <f t="shared" si="11"/>
        <v>6</v>
      </c>
      <c r="BI70" s="142">
        <f>SUMIFS(領用表!$L:$L,領用表!$E:$E,$B70,領用表!$B:$B,BI$2&amp;$BI$1)</f>
        <v>0</v>
      </c>
      <c r="BJ70" s="142">
        <f>SUMIFS(領用表!$L:$L,領用表!$E:$E,$B70,領用表!$B:$B,BJ$2&amp;$BI$1)</f>
        <v>0</v>
      </c>
      <c r="BK70" s="142">
        <f>SUMIFS(領用表!$L:$L,領用表!$E:$E,$B70,領用表!$B:$B,BK$2&amp;$BI$1)</f>
        <v>0</v>
      </c>
      <c r="BL70" s="142">
        <f>SUMIFS(領用表!$L:$L,領用表!$E:$E,$B70,領用表!$B:$B,BL$2&amp;$BI$1)</f>
        <v>0</v>
      </c>
      <c r="BM70" s="142">
        <f>SUMIFS(領用表!$L:$L,領用表!$E:$E,$B70,領用表!$B:$B,BM$2&amp;$BI$1)</f>
        <v>0</v>
      </c>
      <c r="BN70" s="142">
        <f>SUMIFS(領用表!$L:$L,領用表!$E:$E,$B70,領用表!$B:$B,BN$2&amp;$BI$1)</f>
        <v>0</v>
      </c>
      <c r="BO70" s="142">
        <f>SUMIFS(領用表!$L:$L,領用表!$E:$E,$B70,領用表!$B:$B,BO$2&amp;$BI$1)</f>
        <v>0</v>
      </c>
      <c r="BP70" s="142">
        <f>SUMIFS(領用表!$L:$L,領用表!$E:$E,$B70,領用表!$B:$B,BP$2&amp;$BI$1)</f>
        <v>0</v>
      </c>
      <c r="BQ70" s="142">
        <f>SUMIFS(領用表!$L:$L,領用表!$E:$E,$B70,領用表!$B:$B,BQ$2&amp;$BI$1)</f>
        <v>0</v>
      </c>
      <c r="BR70" s="142">
        <f>SUMIFS(領用表!$L:$L,領用表!$E:$E,$B70,領用表!$B:$B,BR$2&amp;$BI$1)</f>
        <v>0</v>
      </c>
      <c r="BS70" s="142">
        <f>SUMIFS(領用表!$L:$L,領用表!$E:$E,$B70,領用表!$B:$B,BS$2&amp;$BI$1)</f>
        <v>0</v>
      </c>
      <c r="BT70" s="142">
        <f>SUMIFS(領用表!$L:$L,領用表!$E:$E,$B70,領用表!$B:$B,BT$2&amp;$BI$1)</f>
        <v>0</v>
      </c>
      <c r="BU70" s="142">
        <f t="shared" si="2"/>
        <v>0</v>
      </c>
      <c r="BV70" s="142">
        <f t="shared" si="16"/>
        <v>0</v>
      </c>
      <c r="BW70" s="142">
        <f>SUMIF(Summary!B:B,B70,Summary!DU:DU)</f>
        <v>0</v>
      </c>
      <c r="BX70" s="109"/>
      <c r="BY70" s="65"/>
      <c r="BZ70" s="76"/>
      <c r="CA70" s="76"/>
    </row>
    <row r="71" spans="1:83" ht="15.75" hidden="1" customHeight="1">
      <c r="A71" s="27" t="s">
        <v>173</v>
      </c>
      <c r="B71" s="14">
        <v>1080002</v>
      </c>
      <c r="C71" s="136" t="s">
        <v>551</v>
      </c>
      <c r="D71" s="77"/>
      <c r="E71" s="17" t="s">
        <v>15</v>
      </c>
      <c r="F71" s="18"/>
      <c r="G71" s="70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19"/>
      <c r="AH71" s="19"/>
      <c r="AI71" s="19"/>
      <c r="AJ71" s="19"/>
      <c r="AK71" s="19"/>
      <c r="AL71" s="19"/>
      <c r="AM71" s="19"/>
      <c r="AN71" s="19">
        <v>800</v>
      </c>
      <c r="AO71" s="19">
        <v>800</v>
      </c>
      <c r="AP71" s="19">
        <v>800</v>
      </c>
      <c r="AQ71" s="19">
        <v>3200</v>
      </c>
      <c r="AR71" s="19">
        <v>4800</v>
      </c>
      <c r="AS71" s="68">
        <f>SUM(AG71:AR71)</f>
        <v>10400</v>
      </c>
      <c r="AT71" s="26">
        <f>AS71/12</f>
        <v>866.66666666666663</v>
      </c>
      <c r="AU71" s="19">
        <v>4649</v>
      </c>
      <c r="AV71" s="19">
        <v>2263</v>
      </c>
      <c r="AW71" s="19">
        <v>3200</v>
      </c>
      <c r="AX71" s="19">
        <v>3777</v>
      </c>
      <c r="AY71" s="19">
        <v>0</v>
      </c>
      <c r="AZ71" s="20">
        <f>SUMIFS(領用表!$L:$L,領用表!$E:$E,$B71,領用表!$B:$B,AZ$2&amp;$BI$1)</f>
        <v>0</v>
      </c>
      <c r="BA71" s="20">
        <f>SUMIFS(領用表!$L:$L,領用表!$E:$E,$B71,領用表!$B:$B,BA$2&amp;$BI$1)</f>
        <v>0</v>
      </c>
      <c r="BB71" s="20">
        <f>SUMIFS(領用表!$L:$L,領用表!$E:$E,$B71,領用表!$B:$B,BB$2&amp;$BI$1)</f>
        <v>0</v>
      </c>
      <c r="BC71" s="20">
        <f>SUMIFS(領用表!$L:$L,領用表!$E:$E,$B71,領用表!$B:$B,BC$2&amp;$BI$1)</f>
        <v>0</v>
      </c>
      <c r="BD71" s="142">
        <f>SUMIFS(領用表!$L:$L,領用表!$E:$E,$B71,領用表!$B:$B,BD$2&amp;$BI$1)</f>
        <v>0</v>
      </c>
      <c r="BE71" s="142">
        <f>SUMIFS(領用表!$L:$L,領用表!$E:$E,$B71,領用表!$B:$B,BE$2&amp;$BI$1)</f>
        <v>0</v>
      </c>
      <c r="BF71" s="142">
        <f>SUMIFS(領用表!$L:$L,領用表!$E:$E,$B71,領用表!$B:$B,BF$2&amp;$BI$1)</f>
        <v>0</v>
      </c>
      <c r="BG71" s="23">
        <f t="shared" si="10"/>
        <v>13889</v>
      </c>
      <c r="BH71" s="23">
        <f t="shared" si="11"/>
        <v>1157.4166666666667</v>
      </c>
      <c r="BI71" s="142">
        <f>SUMIFS(領用表!$L:$L,領用表!$E:$E,$B71,領用表!$B:$B,BI$2&amp;$BI$1)</f>
        <v>0</v>
      </c>
      <c r="BJ71" s="142">
        <f>SUMIFS(領用表!$L:$L,領用表!$E:$E,$B71,領用表!$B:$B,BJ$2&amp;$BI$1)</f>
        <v>0</v>
      </c>
      <c r="BK71" s="142">
        <f>SUMIFS(領用表!$L:$L,領用表!$E:$E,$B71,領用表!$B:$B,BK$2&amp;$BI$1)</f>
        <v>0</v>
      </c>
      <c r="BL71" s="142">
        <f>SUMIFS(領用表!$L:$L,領用表!$E:$E,$B71,領用表!$B:$B,BL$2&amp;$BI$1)</f>
        <v>0</v>
      </c>
      <c r="BM71" s="142">
        <f>SUMIFS(領用表!$L:$L,領用表!$E:$E,$B71,領用表!$B:$B,BM$2&amp;$BI$1)</f>
        <v>0</v>
      </c>
      <c r="BN71" s="142">
        <f>SUMIFS(領用表!$L:$L,領用表!$E:$E,$B71,領用表!$B:$B,BN$2&amp;$BI$1)</f>
        <v>0</v>
      </c>
      <c r="BO71" s="142">
        <f>SUMIFS(領用表!$L:$L,領用表!$E:$E,$B71,領用表!$B:$B,BO$2&amp;$BI$1)</f>
        <v>0</v>
      </c>
      <c r="BP71" s="142">
        <f>SUMIFS(領用表!$L:$L,領用表!$E:$E,$B71,領用表!$B:$B,BP$2&amp;$BI$1)</f>
        <v>0</v>
      </c>
      <c r="BQ71" s="142">
        <f>SUMIFS(領用表!$L:$L,領用表!$E:$E,$B71,領用表!$B:$B,BQ$2&amp;$BI$1)</f>
        <v>0</v>
      </c>
      <c r="BR71" s="142">
        <f>SUMIFS(領用表!$L:$L,領用表!$E:$E,$B71,領用表!$B:$B,BR$2&amp;$BI$1)</f>
        <v>0</v>
      </c>
      <c r="BS71" s="142">
        <f>SUMIFS(領用表!$L:$L,領用表!$E:$E,$B71,領用表!$B:$B,BS$2&amp;$BI$1)</f>
        <v>0</v>
      </c>
      <c r="BT71" s="142">
        <f>SUMIFS(領用表!$L:$L,領用表!$E:$E,$B71,領用表!$B:$B,BT$2&amp;$BI$1)</f>
        <v>0</v>
      </c>
      <c r="BU71" s="142">
        <f t="shared" si="2"/>
        <v>0</v>
      </c>
      <c r="BV71" s="142">
        <f t="shared" si="16"/>
        <v>0</v>
      </c>
      <c r="BW71" s="142">
        <f>SUMIF(Summary!B:B,B71,Summary!DU:DU)</f>
        <v>0</v>
      </c>
      <c r="BX71" s="109"/>
      <c r="BY71" s="65"/>
      <c r="BZ71" s="76"/>
      <c r="CA71" s="76"/>
      <c r="CB71" s="27"/>
      <c r="CC71" s="27"/>
      <c r="CD71" s="14"/>
      <c r="CE71" s="14"/>
    </row>
    <row r="72" spans="1:83" ht="15.75" customHeight="1">
      <c r="A72" s="27" t="s">
        <v>174</v>
      </c>
      <c r="B72" s="14">
        <v>1080006</v>
      </c>
      <c r="C72" s="136" t="s">
        <v>552</v>
      </c>
      <c r="D72" s="77"/>
      <c r="E72" s="17" t="s">
        <v>15</v>
      </c>
      <c r="F72" s="18"/>
      <c r="G72" s="70"/>
      <c r="AG72" s="82"/>
      <c r="AH72" s="82"/>
      <c r="AI72" s="82"/>
      <c r="AJ72" s="82"/>
      <c r="AK72" s="82"/>
      <c r="AL72" s="82"/>
      <c r="AM72" s="82"/>
      <c r="AN72" s="19">
        <v>0</v>
      </c>
      <c r="AO72" s="19">
        <v>0</v>
      </c>
      <c r="AP72" s="19">
        <v>0</v>
      </c>
      <c r="AQ72" s="19">
        <v>50</v>
      </c>
      <c r="AR72" s="19">
        <v>0</v>
      </c>
      <c r="AS72" s="68">
        <f>SUM(AG72:AR72)</f>
        <v>50</v>
      </c>
      <c r="AT72" s="26">
        <f>AS72/12</f>
        <v>4.166666666666667</v>
      </c>
      <c r="AU72" s="19">
        <v>0</v>
      </c>
      <c r="AV72" s="19">
        <v>4620</v>
      </c>
      <c r="AW72" s="19">
        <v>0</v>
      </c>
      <c r="AX72" s="19">
        <v>0</v>
      </c>
      <c r="AY72" s="19">
        <v>6400</v>
      </c>
      <c r="AZ72" s="20">
        <f>SUMIFS(領用表!$L:$L,領用表!$E:$E,$B72,領用表!$B:$B,AZ$2&amp;$BI$1)</f>
        <v>0</v>
      </c>
      <c r="BA72" s="20">
        <f>SUMIFS(領用表!$L:$L,領用表!$E:$E,$B72,領用表!$B:$B,BA$2&amp;$BI$1)</f>
        <v>0</v>
      </c>
      <c r="BB72" s="20">
        <f>SUMIFS(領用表!$L:$L,領用表!$E:$E,$B72,領用表!$B:$B,BB$2&amp;$BI$1)</f>
        <v>0</v>
      </c>
      <c r="BC72" s="20">
        <f>SUMIFS(領用表!$L:$L,領用表!$E:$E,$B72,領用表!$B:$B,BC$2&amp;$BI$1)</f>
        <v>0</v>
      </c>
      <c r="BD72" s="142">
        <f>SUMIFS(領用表!$L:$L,領用表!$E:$E,$B72,領用表!$B:$B,BD$2&amp;$BI$1)</f>
        <v>0</v>
      </c>
      <c r="BE72" s="142">
        <f>SUMIFS(領用表!$L:$L,領用表!$E:$E,$B72,領用表!$B:$B,BE$2&amp;$BI$1)</f>
        <v>0</v>
      </c>
      <c r="BF72" s="142">
        <f>SUMIFS(領用表!$L:$L,領用表!$E:$E,$B72,領用表!$B:$B,BF$2&amp;$BI$1)</f>
        <v>0</v>
      </c>
      <c r="BG72" s="23">
        <f t="shared" si="10"/>
        <v>11020</v>
      </c>
      <c r="BH72" s="23">
        <f t="shared" si="11"/>
        <v>918.33333333333337</v>
      </c>
      <c r="BI72" s="142">
        <f>SUMIFS(領用表!$L:$L,領用表!$E:$E,$B72,領用表!$B:$B,BI$2&amp;$BI$1)</f>
        <v>0</v>
      </c>
      <c r="BJ72" s="142">
        <f>SUMIFS(領用表!$L:$L,領用表!$E:$E,$B72,領用表!$B:$B,BJ$2&amp;$BI$1)</f>
        <v>0</v>
      </c>
      <c r="BK72" s="142">
        <f>SUMIFS(領用表!$L:$L,領用表!$E:$E,$B72,領用表!$B:$B,BK$2&amp;$BI$1)</f>
        <v>0</v>
      </c>
      <c r="BL72" s="142">
        <f>SUMIFS(領用表!$L:$L,領用表!$E:$E,$B72,領用表!$B:$B,BL$2&amp;$BI$1)</f>
        <v>0</v>
      </c>
      <c r="BM72" s="142">
        <f>SUMIFS(領用表!$L:$L,領用表!$E:$E,$B72,領用表!$B:$B,BM$2&amp;$BI$1)</f>
        <v>0</v>
      </c>
      <c r="BN72" s="142">
        <f>SUMIFS(領用表!$L:$L,領用表!$E:$E,$B72,領用表!$B:$B,BN$2&amp;$BI$1)</f>
        <v>0</v>
      </c>
      <c r="BO72" s="142">
        <f>SUMIFS(領用表!$L:$L,領用表!$E:$E,$B72,領用表!$B:$B,BO$2&amp;$BI$1)</f>
        <v>0</v>
      </c>
      <c r="BP72" s="142">
        <f>SUMIFS(領用表!$L:$L,領用表!$E:$E,$B72,領用表!$B:$B,BP$2&amp;$BI$1)</f>
        <v>0</v>
      </c>
      <c r="BQ72" s="142">
        <f>SUMIFS(領用表!$L:$L,領用表!$E:$E,$B72,領用表!$B:$B,BQ$2&amp;$BI$1)</f>
        <v>0</v>
      </c>
      <c r="BR72" s="142">
        <f>SUMIFS(領用表!$L:$L,領用表!$E:$E,$B72,領用表!$B:$B,BR$2&amp;$BI$1)</f>
        <v>0</v>
      </c>
      <c r="BS72" s="142">
        <f>SUMIFS(領用表!$L:$L,領用表!$E:$E,$B72,領用表!$B:$B,BS$2&amp;$BI$1)</f>
        <v>0</v>
      </c>
      <c r="BT72" s="142">
        <f>SUMIFS(領用表!$L:$L,領用表!$E:$E,$B72,領用表!$B:$B,BT$2&amp;$BI$1)</f>
        <v>0</v>
      </c>
      <c r="BU72" s="142">
        <f t="shared" ref="BU72:BU128" si="17">SUM(BI72,BJ72,BK72,BL72,BM72)</f>
        <v>0</v>
      </c>
      <c r="BV72" s="142">
        <f t="shared" si="16"/>
        <v>0</v>
      </c>
      <c r="BW72" s="142">
        <f>SUMIF(Summary!B:B,B72,Summary!DU:DU)</f>
        <v>0</v>
      </c>
      <c r="BX72" s="109"/>
      <c r="BY72" s="65"/>
      <c r="BZ72" s="76"/>
      <c r="CA72" s="76"/>
    </row>
    <row r="73" spans="1:83" ht="15.75" customHeight="1">
      <c r="A73" s="27" t="s">
        <v>175</v>
      </c>
      <c r="B73" s="14" t="e">
        <v>#N/A</v>
      </c>
      <c r="C73" s="136" t="s">
        <v>553</v>
      </c>
      <c r="D73" s="77"/>
      <c r="E73" s="17" t="s">
        <v>15</v>
      </c>
      <c r="F73" s="18"/>
      <c r="G73" s="70"/>
      <c r="AG73" s="82"/>
      <c r="AH73" s="82"/>
      <c r="AI73" s="82"/>
      <c r="AJ73" s="82"/>
      <c r="AK73" s="82"/>
      <c r="AL73" s="82"/>
      <c r="AM73" s="82"/>
      <c r="AN73" s="19"/>
      <c r="AO73" s="19"/>
      <c r="AP73" s="19"/>
      <c r="AQ73" s="19"/>
      <c r="AR73" s="19"/>
      <c r="AS73" s="68"/>
      <c r="AT73" s="26"/>
      <c r="AU73" s="19"/>
      <c r="AV73" s="19"/>
      <c r="AW73" s="19"/>
      <c r="AX73" s="19"/>
      <c r="AY73" s="19"/>
      <c r="AZ73" s="20">
        <f>SUMIFS(領用表!$L:$L,領用表!$E:$E,$B73,領用表!$B:$B,AZ$2&amp;$BI$1)</f>
        <v>0</v>
      </c>
      <c r="BA73" s="20">
        <f>SUMIFS(領用表!$L:$L,領用表!$E:$E,$B73,領用表!$B:$B,BA$2&amp;$BI$1)</f>
        <v>0</v>
      </c>
      <c r="BB73" s="20">
        <f>SUMIFS(領用表!$L:$L,領用表!$E:$E,$B73,領用表!$B:$B,BB$2&amp;$BI$1)</f>
        <v>0</v>
      </c>
      <c r="BC73" s="20">
        <f>SUMIFS(領用表!$L:$L,領用表!$E:$E,$B73,領用表!$B:$B,BC$2&amp;$BI$1)</f>
        <v>0</v>
      </c>
      <c r="BD73" s="142">
        <f>SUMIFS(領用表!$L:$L,領用表!$E:$E,$B73,領用表!$B:$B,BD$2&amp;$BI$1)</f>
        <v>0</v>
      </c>
      <c r="BE73" s="142">
        <f>SUMIFS(領用表!$L:$L,領用表!$E:$E,$B73,領用表!$B:$B,BE$2&amp;$BI$1)</f>
        <v>0</v>
      </c>
      <c r="BF73" s="142">
        <f>SUMIFS(領用表!$L:$L,領用表!$E:$E,$B73,領用表!$B:$B,BF$2&amp;$BI$1)</f>
        <v>0</v>
      </c>
      <c r="BG73" s="23">
        <f t="shared" si="10"/>
        <v>0</v>
      </c>
      <c r="BH73" s="23">
        <f t="shared" si="11"/>
        <v>0</v>
      </c>
      <c r="BI73" s="142">
        <f>SUMIFS(領用表!$L:$L,領用表!$E:$E,$B73,領用表!$B:$B,BI$2&amp;$BI$1)</f>
        <v>0</v>
      </c>
      <c r="BJ73" s="142">
        <f>SUMIFS(領用表!$L:$L,領用表!$E:$E,$B73,領用表!$B:$B,BJ$2&amp;$BI$1)</f>
        <v>0</v>
      </c>
      <c r="BK73" s="142">
        <f>SUMIFS(領用表!$L:$L,領用表!$E:$E,$B73,領用表!$B:$B,BK$2&amp;$BI$1)</f>
        <v>0</v>
      </c>
      <c r="BL73" s="142">
        <f>SUMIFS(領用表!$L:$L,領用表!$E:$E,$B73,領用表!$B:$B,BL$2&amp;$BI$1)</f>
        <v>0</v>
      </c>
      <c r="BM73" s="142">
        <f>SUMIFS(領用表!$L:$L,領用表!$E:$E,$B73,領用表!$B:$B,BM$2&amp;$BI$1)</f>
        <v>0</v>
      </c>
      <c r="BN73" s="142">
        <f>SUMIFS(領用表!$L:$L,領用表!$E:$E,$B73,領用表!$B:$B,BN$2&amp;$BI$1)</f>
        <v>0</v>
      </c>
      <c r="BO73" s="142">
        <f>SUMIFS(領用表!$L:$L,領用表!$E:$E,$B73,領用表!$B:$B,BO$2&amp;$BI$1)</f>
        <v>0</v>
      </c>
      <c r="BP73" s="142">
        <f>SUMIFS(領用表!$L:$L,領用表!$E:$E,$B73,領用表!$B:$B,BP$2&amp;$BI$1)</f>
        <v>0</v>
      </c>
      <c r="BQ73" s="142">
        <f>SUMIFS(領用表!$L:$L,領用表!$E:$E,$B73,領用表!$B:$B,BQ$2&amp;$BI$1)</f>
        <v>0</v>
      </c>
      <c r="BR73" s="142">
        <f>SUMIFS(領用表!$L:$L,領用表!$E:$E,$B73,領用表!$B:$B,BR$2&amp;$BI$1)</f>
        <v>0</v>
      </c>
      <c r="BS73" s="142">
        <f>SUMIFS(領用表!$L:$L,領用表!$E:$E,$B73,領用表!$B:$B,BS$2&amp;$BI$1)</f>
        <v>0</v>
      </c>
      <c r="BT73" s="142">
        <f>SUMIFS(領用表!$L:$L,領用表!$E:$E,$B73,領用表!$B:$B,BT$2&amp;$BI$1)</f>
        <v>0</v>
      </c>
      <c r="BU73" s="142">
        <f t="shared" si="17"/>
        <v>0</v>
      </c>
      <c r="BV73" s="142">
        <f t="shared" si="16"/>
        <v>0</v>
      </c>
      <c r="BW73" s="142">
        <f>SUMIF(Summary!B:B,B73,Summary!DU:DU)</f>
        <v>0</v>
      </c>
      <c r="BX73" s="109"/>
      <c r="BY73" s="65"/>
      <c r="BZ73" s="76"/>
      <c r="CA73" s="76"/>
    </row>
    <row r="74" spans="1:83" ht="15.75" customHeight="1">
      <c r="A74" s="27" t="s">
        <v>176</v>
      </c>
      <c r="B74" s="14">
        <v>6080005</v>
      </c>
      <c r="C74" s="136" t="s">
        <v>554</v>
      </c>
      <c r="D74" s="77"/>
      <c r="E74" s="17" t="s">
        <v>15</v>
      </c>
      <c r="F74" s="18"/>
      <c r="G74" s="70"/>
      <c r="AG74" s="82"/>
      <c r="AH74" s="82"/>
      <c r="AI74" s="82"/>
      <c r="AJ74" s="82"/>
      <c r="AK74" s="82"/>
      <c r="AL74" s="82"/>
      <c r="AM74" s="82"/>
      <c r="AN74" s="19"/>
      <c r="AO74" s="19"/>
      <c r="AP74" s="19"/>
      <c r="AQ74" s="19"/>
      <c r="AR74" s="19"/>
      <c r="AS74" s="68">
        <v>0</v>
      </c>
      <c r="AT74" s="26">
        <v>0</v>
      </c>
      <c r="AU74" s="19">
        <v>0</v>
      </c>
      <c r="AV74" s="19">
        <v>0</v>
      </c>
      <c r="AW74" s="19">
        <v>0</v>
      </c>
      <c r="AX74" s="19">
        <v>2400</v>
      </c>
      <c r="AY74" s="19">
        <v>0</v>
      </c>
      <c r="AZ74" s="20">
        <f>SUMIFS(領用表!$L:$L,領用表!$E:$E,$B74,領用表!$B:$B,AZ$2&amp;$BI$1)</f>
        <v>0</v>
      </c>
      <c r="BA74" s="20">
        <f>SUMIFS(領用表!$L:$L,領用表!$E:$E,$B74,領用表!$B:$B,BA$2&amp;$BI$1)</f>
        <v>0</v>
      </c>
      <c r="BB74" s="20">
        <f>SUMIFS(領用表!$L:$L,領用表!$E:$E,$B74,領用表!$B:$B,BB$2&amp;$BI$1)</f>
        <v>0</v>
      </c>
      <c r="BC74" s="20">
        <f>SUMIFS(領用表!$L:$L,領用表!$E:$E,$B74,領用表!$B:$B,BC$2&amp;$BI$1)</f>
        <v>0</v>
      </c>
      <c r="BD74" s="142">
        <f>SUMIFS(領用表!$L:$L,領用表!$E:$E,$B74,領用表!$B:$B,BD$2&amp;$BI$1)</f>
        <v>0</v>
      </c>
      <c r="BE74" s="142">
        <f>SUMIFS(領用表!$L:$L,領用表!$E:$E,$B74,領用表!$B:$B,BE$2&amp;$BI$1)</f>
        <v>0</v>
      </c>
      <c r="BF74" s="142">
        <f>SUMIFS(領用表!$L:$L,領用表!$E:$E,$B74,領用表!$B:$B,BF$2&amp;$BI$1)</f>
        <v>0</v>
      </c>
      <c r="BG74" s="23">
        <f t="shared" ref="BG74:BG105" si="18">SUM(AU74,AV74,AW74,AX74,AY74,AZ74,BA74,BB74,BC74,BD74,BE74,BF74)</f>
        <v>2400</v>
      </c>
      <c r="BH74" s="23">
        <f t="shared" ref="BH74:BH105" si="19">AVERAGE(AU74,AV74,AW74,AX74,AY74,AZ74,BA74,BB74,BC74,BD74,BE74,BF74)</f>
        <v>200</v>
      </c>
      <c r="BI74" s="142">
        <f>SUMIFS(領用表!$L:$L,領用表!$E:$E,$B74,領用表!$B:$B,BI$2&amp;$BI$1)</f>
        <v>0</v>
      </c>
      <c r="BJ74" s="142">
        <f>SUMIFS(領用表!$L:$L,領用表!$E:$E,$B74,領用表!$B:$B,BJ$2&amp;$BI$1)</f>
        <v>0</v>
      </c>
      <c r="BK74" s="142">
        <f>SUMIFS(領用表!$L:$L,領用表!$E:$E,$B74,領用表!$B:$B,BK$2&amp;$BI$1)</f>
        <v>0</v>
      </c>
      <c r="BL74" s="142">
        <f>SUMIFS(領用表!$L:$L,領用表!$E:$E,$B74,領用表!$B:$B,BL$2&amp;$BI$1)</f>
        <v>0</v>
      </c>
      <c r="BM74" s="142">
        <f>SUMIFS(領用表!$L:$L,領用表!$E:$E,$B74,領用表!$B:$B,BM$2&amp;$BI$1)</f>
        <v>0</v>
      </c>
      <c r="BN74" s="142">
        <f>SUMIFS(領用表!$L:$L,領用表!$E:$E,$B74,領用表!$B:$B,BN$2&amp;$BI$1)</f>
        <v>0</v>
      </c>
      <c r="BO74" s="142">
        <f>SUMIFS(領用表!$L:$L,領用表!$E:$E,$B74,領用表!$B:$B,BO$2&amp;$BI$1)</f>
        <v>0</v>
      </c>
      <c r="BP74" s="142">
        <f>SUMIFS(領用表!$L:$L,領用表!$E:$E,$B74,領用表!$B:$B,BP$2&amp;$BI$1)</f>
        <v>0</v>
      </c>
      <c r="BQ74" s="142">
        <f>SUMIFS(領用表!$L:$L,領用表!$E:$E,$B74,領用表!$B:$B,BQ$2&amp;$BI$1)</f>
        <v>0</v>
      </c>
      <c r="BR74" s="142">
        <f>SUMIFS(領用表!$L:$L,領用表!$E:$E,$B74,領用表!$B:$B,BR$2&amp;$BI$1)</f>
        <v>0</v>
      </c>
      <c r="BS74" s="142">
        <f>SUMIFS(領用表!$L:$L,領用表!$E:$E,$B74,領用表!$B:$B,BS$2&amp;$BI$1)</f>
        <v>0</v>
      </c>
      <c r="BT74" s="142">
        <f>SUMIFS(領用表!$L:$L,領用表!$E:$E,$B74,領用表!$B:$B,BT$2&amp;$BI$1)</f>
        <v>0</v>
      </c>
      <c r="BU74" s="142">
        <f t="shared" si="17"/>
        <v>0</v>
      </c>
      <c r="BV74" s="142">
        <f t="shared" si="16"/>
        <v>0</v>
      </c>
      <c r="BW74" s="142">
        <f>SUMIF(Summary!B:B,B74,Summary!DU:DU)</f>
        <v>0</v>
      </c>
      <c r="BX74" s="109"/>
      <c r="BY74" s="65"/>
      <c r="BZ74" s="83"/>
      <c r="CA74" s="76"/>
    </row>
    <row r="75" spans="1:83" ht="15.75" customHeight="1">
      <c r="A75" s="27" t="s">
        <v>177</v>
      </c>
      <c r="B75" s="14">
        <v>6080007</v>
      </c>
      <c r="C75" s="136" t="s">
        <v>555</v>
      </c>
      <c r="D75" s="77"/>
      <c r="E75" s="17" t="s">
        <v>15</v>
      </c>
      <c r="F75" s="18"/>
      <c r="G75" s="70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56"/>
      <c r="AH75" s="56"/>
      <c r="AI75" s="56"/>
      <c r="AJ75" s="56"/>
      <c r="AK75" s="56"/>
      <c r="AL75" s="56"/>
      <c r="AM75" s="56"/>
      <c r="AN75" s="19"/>
      <c r="AO75" s="19"/>
      <c r="AP75" s="19"/>
      <c r="AQ75" s="19"/>
      <c r="AR75" s="19"/>
      <c r="AS75" s="68"/>
      <c r="AT75" s="26"/>
      <c r="AU75" s="19"/>
      <c r="AV75" s="19"/>
      <c r="AW75" s="19"/>
      <c r="AX75" s="19"/>
      <c r="AY75" s="19"/>
      <c r="AZ75" s="20">
        <f>SUMIFS(領用表!$L:$L,領用表!$E:$E,$B75,領用表!$B:$B,AZ$2&amp;$BI$1)</f>
        <v>0</v>
      </c>
      <c r="BA75" s="20">
        <f>SUMIFS(領用表!$L:$L,領用表!$E:$E,$B75,領用表!$B:$B,BA$2&amp;$BI$1)</f>
        <v>0</v>
      </c>
      <c r="BB75" s="20">
        <f>SUMIFS(領用表!$L:$L,領用表!$E:$E,$B75,領用表!$B:$B,BB$2&amp;$BI$1)</f>
        <v>0</v>
      </c>
      <c r="BC75" s="20">
        <f>SUMIFS(領用表!$L:$L,領用表!$E:$E,$B75,領用表!$B:$B,BC$2&amp;$BI$1)</f>
        <v>0</v>
      </c>
      <c r="BD75" s="142">
        <f>SUMIFS(領用表!$L:$L,領用表!$E:$E,$B75,領用表!$B:$B,BD$2&amp;$BI$1)</f>
        <v>0</v>
      </c>
      <c r="BE75" s="142">
        <f>SUMIFS(領用表!$L:$L,領用表!$E:$E,$B75,領用表!$B:$B,BE$2&amp;$BI$1)</f>
        <v>0</v>
      </c>
      <c r="BF75" s="142">
        <f>SUMIFS(領用表!$L:$L,領用表!$E:$E,$B75,領用表!$B:$B,BF$2&amp;$BI$1)</f>
        <v>0</v>
      </c>
      <c r="BG75" s="23">
        <f t="shared" si="18"/>
        <v>0</v>
      </c>
      <c r="BH75" s="23">
        <f t="shared" si="19"/>
        <v>0</v>
      </c>
      <c r="BI75" s="142">
        <f>SUMIFS(領用表!$L:$L,領用表!$E:$E,$B75,領用表!$B:$B,BI$2&amp;$BI$1)</f>
        <v>0</v>
      </c>
      <c r="BJ75" s="142">
        <f>SUMIFS(領用表!$L:$L,領用表!$E:$E,$B75,領用表!$B:$B,BJ$2&amp;$BI$1)</f>
        <v>0</v>
      </c>
      <c r="BK75" s="142">
        <f>SUMIFS(領用表!$L:$L,領用表!$E:$E,$B75,領用表!$B:$B,BK$2&amp;$BI$1)</f>
        <v>0</v>
      </c>
      <c r="BL75" s="142">
        <f>SUMIFS(領用表!$L:$L,領用表!$E:$E,$B75,領用表!$B:$B,BL$2&amp;$BI$1)</f>
        <v>0</v>
      </c>
      <c r="BM75" s="142">
        <f>SUMIFS(領用表!$L:$L,領用表!$E:$E,$B75,領用表!$B:$B,BM$2&amp;$BI$1)</f>
        <v>0</v>
      </c>
      <c r="BN75" s="142">
        <f>SUMIFS(領用表!$L:$L,領用表!$E:$E,$B75,領用表!$B:$B,BN$2&amp;$BI$1)</f>
        <v>0</v>
      </c>
      <c r="BO75" s="142">
        <f>SUMIFS(領用表!$L:$L,領用表!$E:$E,$B75,領用表!$B:$B,BO$2&amp;$BI$1)</f>
        <v>0</v>
      </c>
      <c r="BP75" s="142">
        <f>SUMIFS(領用表!$L:$L,領用表!$E:$E,$B75,領用表!$B:$B,BP$2&amp;$BI$1)</f>
        <v>0</v>
      </c>
      <c r="BQ75" s="142">
        <f>SUMIFS(領用表!$L:$L,領用表!$E:$E,$B75,領用表!$B:$B,BQ$2&amp;$BI$1)</f>
        <v>0</v>
      </c>
      <c r="BR75" s="142">
        <f>SUMIFS(領用表!$L:$L,領用表!$E:$E,$B75,領用表!$B:$B,BR$2&amp;$BI$1)</f>
        <v>0</v>
      </c>
      <c r="BS75" s="142">
        <f>SUMIFS(領用表!$L:$L,領用表!$E:$E,$B75,領用表!$B:$B,BS$2&amp;$BI$1)</f>
        <v>0</v>
      </c>
      <c r="BT75" s="142">
        <f>SUMIFS(領用表!$L:$L,領用表!$E:$E,$B75,領用表!$B:$B,BT$2&amp;$BI$1)</f>
        <v>0</v>
      </c>
      <c r="BU75" s="142">
        <f t="shared" si="17"/>
        <v>0</v>
      </c>
      <c r="BV75" s="142">
        <f t="shared" si="16"/>
        <v>0</v>
      </c>
      <c r="BW75" s="142">
        <f>SUMIF(Summary!B:B,B75,Summary!DU:DU)</f>
        <v>0</v>
      </c>
      <c r="BX75" s="109"/>
      <c r="BY75" s="65"/>
      <c r="BZ75" s="76"/>
      <c r="CA75" s="76"/>
      <c r="CB75" s="14"/>
      <c r="CC75" s="14"/>
      <c r="CD75" s="14"/>
      <c r="CE75" s="14"/>
    </row>
    <row r="76" spans="1:83" ht="15.75" customHeight="1">
      <c r="A76" s="27" t="s">
        <v>178</v>
      </c>
      <c r="B76" s="14">
        <v>6080008</v>
      </c>
      <c r="C76" s="136" t="s">
        <v>556</v>
      </c>
      <c r="D76" s="77"/>
      <c r="E76" s="17" t="s">
        <v>15</v>
      </c>
      <c r="F76" s="18">
        <v>1000</v>
      </c>
      <c r="G76" s="70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56"/>
      <c r="AH76" s="56"/>
      <c r="AI76" s="56"/>
      <c r="AJ76" s="56"/>
      <c r="AK76" s="56"/>
      <c r="AL76" s="56"/>
      <c r="AM76" s="56"/>
      <c r="AN76" s="19"/>
      <c r="AO76" s="19"/>
      <c r="AP76" s="19"/>
      <c r="AQ76" s="19"/>
      <c r="AR76" s="19"/>
      <c r="AS76" s="68"/>
      <c r="AT76" s="26"/>
      <c r="AU76" s="19"/>
      <c r="AV76" s="19"/>
      <c r="AW76" s="19"/>
      <c r="AX76" s="19"/>
      <c r="AY76" s="19"/>
      <c r="AZ76" s="20">
        <f>SUMIFS(領用表!$L:$L,領用表!$E:$E,$B76,領用表!$B:$B,AZ$2&amp;$BI$1)</f>
        <v>0</v>
      </c>
      <c r="BA76" s="20">
        <f>SUMIFS(領用表!$L:$L,領用表!$E:$E,$B76,領用表!$B:$B,BA$2&amp;$BI$1)</f>
        <v>0</v>
      </c>
      <c r="BB76" s="20">
        <f>SUMIFS(領用表!$L:$L,領用表!$E:$E,$B76,領用表!$B:$B,BB$2&amp;$BI$1)</f>
        <v>0</v>
      </c>
      <c r="BC76" s="20">
        <f>SUMIFS(領用表!$L:$L,領用表!$E:$E,$B76,領用表!$B:$B,BC$2&amp;$BI$1)</f>
        <v>0</v>
      </c>
      <c r="BD76" s="142">
        <f>SUMIFS(領用表!$L:$L,領用表!$E:$E,$B76,領用表!$B:$B,BD$2&amp;$BI$1)</f>
        <v>0</v>
      </c>
      <c r="BE76" s="142">
        <f>SUMIFS(領用表!$L:$L,領用表!$E:$E,$B76,領用表!$B:$B,BE$2&amp;$BI$1)</f>
        <v>0</v>
      </c>
      <c r="BF76" s="142">
        <f>SUMIFS(領用表!$L:$L,領用表!$E:$E,$B76,領用表!$B:$B,BF$2&amp;$BI$1)</f>
        <v>0</v>
      </c>
      <c r="BG76" s="23">
        <f t="shared" si="18"/>
        <v>0</v>
      </c>
      <c r="BH76" s="23">
        <f t="shared" si="19"/>
        <v>0</v>
      </c>
      <c r="BI76" s="142">
        <f>SUMIFS(領用表!$L:$L,領用表!$E:$E,$B76,領用表!$B:$B,BI$2&amp;$BI$1)</f>
        <v>0</v>
      </c>
      <c r="BJ76" s="142">
        <f>SUMIFS(領用表!$L:$L,領用表!$E:$E,$B76,領用表!$B:$B,BJ$2&amp;$BI$1)</f>
        <v>0</v>
      </c>
      <c r="BK76" s="142">
        <f>SUMIFS(領用表!$L:$L,領用表!$E:$E,$B76,領用表!$B:$B,BK$2&amp;$BI$1)</f>
        <v>0</v>
      </c>
      <c r="BL76" s="142">
        <f>SUMIFS(領用表!$L:$L,領用表!$E:$E,$B76,領用表!$B:$B,BL$2&amp;$BI$1)</f>
        <v>0</v>
      </c>
      <c r="BM76" s="142">
        <f>SUMIFS(領用表!$L:$L,領用表!$E:$E,$B76,領用表!$B:$B,BM$2&amp;$BI$1)</f>
        <v>0</v>
      </c>
      <c r="BN76" s="142">
        <f>SUMIFS(領用表!$L:$L,領用表!$E:$E,$B76,領用表!$B:$B,BN$2&amp;$BI$1)</f>
        <v>0</v>
      </c>
      <c r="BO76" s="142">
        <f>SUMIFS(領用表!$L:$L,領用表!$E:$E,$B76,領用表!$B:$B,BO$2&amp;$BI$1)</f>
        <v>0</v>
      </c>
      <c r="BP76" s="142">
        <f>SUMIFS(領用表!$L:$L,領用表!$E:$E,$B76,領用表!$B:$B,BP$2&amp;$BI$1)</f>
        <v>0</v>
      </c>
      <c r="BQ76" s="142">
        <f>SUMIFS(領用表!$L:$L,領用表!$E:$E,$B76,領用表!$B:$B,BQ$2&amp;$BI$1)</f>
        <v>0</v>
      </c>
      <c r="BR76" s="142">
        <f>SUMIFS(領用表!$L:$L,領用表!$E:$E,$B76,領用表!$B:$B,BR$2&amp;$BI$1)</f>
        <v>0</v>
      </c>
      <c r="BS76" s="142">
        <f>SUMIFS(領用表!$L:$L,領用表!$E:$E,$B76,領用表!$B:$B,BS$2&amp;$BI$1)</f>
        <v>0</v>
      </c>
      <c r="BT76" s="142">
        <f>SUMIFS(領用表!$L:$L,領用表!$E:$E,$B76,領用表!$B:$B,BT$2&amp;$BI$1)</f>
        <v>0</v>
      </c>
      <c r="BU76" s="142">
        <f t="shared" si="17"/>
        <v>0</v>
      </c>
      <c r="BV76" s="142">
        <f t="shared" si="16"/>
        <v>0</v>
      </c>
      <c r="BW76" s="142">
        <f>SUMIF(Summary!B:B,B76,Summary!DU:DU)</f>
        <v>0</v>
      </c>
      <c r="BX76" s="109"/>
      <c r="BY76" s="65"/>
      <c r="BZ76" s="76" t="s">
        <v>179</v>
      </c>
      <c r="CA76" s="76"/>
      <c r="CB76" s="14"/>
      <c r="CC76" s="14"/>
      <c r="CD76" s="14"/>
      <c r="CE76" s="14"/>
    </row>
    <row r="77" spans="1:83" ht="15.75" customHeight="1">
      <c r="A77" s="27" t="s">
        <v>180</v>
      </c>
      <c r="B77" s="14">
        <v>1050001</v>
      </c>
      <c r="C77" s="136" t="s">
        <v>557</v>
      </c>
      <c r="D77" s="77"/>
      <c r="E77" s="17" t="s">
        <v>15</v>
      </c>
      <c r="F77" s="18"/>
      <c r="G77" s="70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19"/>
      <c r="AH77" s="19"/>
      <c r="AI77" s="19"/>
      <c r="AJ77" s="19"/>
      <c r="AK77" s="19"/>
      <c r="AL77" s="19"/>
      <c r="AM77" s="19"/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68">
        <f>SUM(AG77:AR77)</f>
        <v>0</v>
      </c>
      <c r="AT77" s="26">
        <f>AS77/12</f>
        <v>0</v>
      </c>
      <c r="AU77" s="19">
        <v>0</v>
      </c>
      <c r="AV77" s="19">
        <v>0</v>
      </c>
      <c r="AW77" s="19">
        <v>0</v>
      </c>
      <c r="AX77" s="19">
        <v>48</v>
      </c>
      <c r="AY77" s="19">
        <v>24</v>
      </c>
      <c r="AZ77" s="20">
        <f>SUMIFS(領用表!$L:$L,領用表!$E:$E,$B77,領用表!$B:$B,AZ$2&amp;$BI$1)</f>
        <v>0</v>
      </c>
      <c r="BA77" s="20">
        <f>SUMIFS(領用表!$L:$L,領用表!$E:$E,$B77,領用表!$B:$B,BA$2&amp;$BI$1)</f>
        <v>0</v>
      </c>
      <c r="BB77" s="20">
        <f>SUMIFS(領用表!$L:$L,領用表!$E:$E,$B77,領用表!$B:$B,BB$2&amp;$BI$1)</f>
        <v>0</v>
      </c>
      <c r="BC77" s="20">
        <f>SUMIFS(領用表!$L:$L,領用表!$E:$E,$B77,領用表!$B:$B,BC$2&amp;$BI$1)</f>
        <v>0</v>
      </c>
      <c r="BD77" s="142">
        <f>SUMIFS(領用表!$L:$L,領用表!$E:$E,$B77,領用表!$B:$B,BD$2&amp;$BI$1)</f>
        <v>0</v>
      </c>
      <c r="BE77" s="142">
        <f>SUMIFS(領用表!$L:$L,領用表!$E:$E,$B77,領用表!$B:$B,BE$2&amp;$BI$1)</f>
        <v>0</v>
      </c>
      <c r="BF77" s="142">
        <f>SUMIFS(領用表!$L:$L,領用表!$E:$E,$B77,領用表!$B:$B,BF$2&amp;$BI$1)</f>
        <v>0</v>
      </c>
      <c r="BG77" s="23">
        <f t="shared" si="18"/>
        <v>72</v>
      </c>
      <c r="BH77" s="23">
        <f t="shared" si="19"/>
        <v>6</v>
      </c>
      <c r="BI77" s="142">
        <f>SUMIFS(領用表!$L:$L,領用表!$E:$E,$B77,領用表!$B:$B,BI$2&amp;$BI$1)</f>
        <v>0</v>
      </c>
      <c r="BJ77" s="142">
        <f>SUMIFS(領用表!$L:$L,領用表!$E:$E,$B77,領用表!$B:$B,BJ$2&amp;$BI$1)</f>
        <v>0</v>
      </c>
      <c r="BK77" s="142">
        <f>SUMIFS(領用表!$L:$L,領用表!$E:$E,$B77,領用表!$B:$B,BK$2&amp;$BI$1)</f>
        <v>0</v>
      </c>
      <c r="BL77" s="142">
        <f>SUMIFS(領用表!$L:$L,領用表!$E:$E,$B77,領用表!$B:$B,BL$2&amp;$BI$1)</f>
        <v>0</v>
      </c>
      <c r="BM77" s="142">
        <f>SUMIFS(領用表!$L:$L,領用表!$E:$E,$B77,領用表!$B:$B,BM$2&amp;$BI$1)</f>
        <v>0</v>
      </c>
      <c r="BN77" s="142">
        <f>SUMIFS(領用表!$L:$L,領用表!$E:$E,$B77,領用表!$B:$B,BN$2&amp;$BI$1)</f>
        <v>0</v>
      </c>
      <c r="BO77" s="142">
        <f>SUMIFS(領用表!$L:$L,領用表!$E:$E,$B77,領用表!$B:$B,BO$2&amp;$BI$1)</f>
        <v>0</v>
      </c>
      <c r="BP77" s="142">
        <f>SUMIFS(領用表!$L:$L,領用表!$E:$E,$B77,領用表!$B:$B,BP$2&amp;$BI$1)</f>
        <v>0</v>
      </c>
      <c r="BQ77" s="142">
        <f>SUMIFS(領用表!$L:$L,領用表!$E:$E,$B77,領用表!$B:$B,BQ$2&amp;$BI$1)</f>
        <v>0</v>
      </c>
      <c r="BR77" s="142">
        <f>SUMIFS(領用表!$L:$L,領用表!$E:$E,$B77,領用表!$B:$B,BR$2&amp;$BI$1)</f>
        <v>0</v>
      </c>
      <c r="BS77" s="142">
        <f>SUMIFS(領用表!$L:$L,領用表!$E:$E,$B77,領用表!$B:$B,BS$2&amp;$BI$1)</f>
        <v>0</v>
      </c>
      <c r="BT77" s="142">
        <f>SUMIFS(領用表!$L:$L,領用表!$E:$E,$B77,領用表!$B:$B,BT$2&amp;$BI$1)</f>
        <v>0</v>
      </c>
      <c r="BU77" s="142">
        <f t="shared" si="17"/>
        <v>0</v>
      </c>
      <c r="BV77" s="142">
        <f t="shared" si="16"/>
        <v>0</v>
      </c>
      <c r="BW77" s="142">
        <f>SUMIF(Summary!B:B,B77,Summary!DU:DU)</f>
        <v>0</v>
      </c>
      <c r="BX77" s="109"/>
      <c r="BY77" s="65"/>
      <c r="BZ77" s="76"/>
      <c r="CA77" s="76"/>
      <c r="CB77" s="27"/>
      <c r="CC77" s="27"/>
      <c r="CD77" s="14"/>
      <c r="CE77" s="14"/>
    </row>
    <row r="78" spans="1:83" ht="15.75" customHeight="1">
      <c r="A78" s="27" t="s">
        <v>181</v>
      </c>
      <c r="B78" s="14">
        <v>1050002</v>
      </c>
      <c r="C78" s="136" t="s">
        <v>558</v>
      </c>
      <c r="D78" s="77"/>
      <c r="E78" s="17" t="s">
        <v>15</v>
      </c>
      <c r="F78" s="18"/>
      <c r="G78" s="70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19"/>
      <c r="AH78" s="19"/>
      <c r="AI78" s="19"/>
      <c r="AJ78" s="19"/>
      <c r="AK78" s="19"/>
      <c r="AL78" s="19"/>
      <c r="AM78" s="19"/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68">
        <f>SUM(AG78:AR78)</f>
        <v>0</v>
      </c>
      <c r="AT78" s="26">
        <f>AS78/12</f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20">
        <f>SUMIFS(領用表!$L:$L,領用表!$E:$E,$B78,領用表!$B:$B,AZ$2&amp;$BI$1)</f>
        <v>0</v>
      </c>
      <c r="BA78" s="20">
        <f>SUMIFS(領用表!$L:$L,領用表!$E:$E,$B78,領用表!$B:$B,BA$2&amp;$BI$1)</f>
        <v>0</v>
      </c>
      <c r="BB78" s="20">
        <f>SUMIFS(領用表!$L:$L,領用表!$E:$E,$B78,領用表!$B:$B,BB$2&amp;$BI$1)</f>
        <v>0</v>
      </c>
      <c r="BC78" s="20">
        <f>SUMIFS(領用表!$L:$L,領用表!$E:$E,$B78,領用表!$B:$B,BC$2&amp;$BI$1)</f>
        <v>0</v>
      </c>
      <c r="BD78" s="142">
        <f>SUMIFS(領用表!$L:$L,領用表!$E:$E,$B78,領用表!$B:$B,BD$2&amp;$BI$1)</f>
        <v>0</v>
      </c>
      <c r="BE78" s="142">
        <f>SUMIFS(領用表!$L:$L,領用表!$E:$E,$B78,領用表!$B:$B,BE$2&amp;$BI$1)</f>
        <v>0</v>
      </c>
      <c r="BF78" s="142">
        <f>SUMIFS(領用表!$L:$L,領用表!$E:$E,$B78,領用表!$B:$B,BF$2&amp;$BI$1)</f>
        <v>0</v>
      </c>
      <c r="BG78" s="23">
        <f t="shared" si="18"/>
        <v>0</v>
      </c>
      <c r="BH78" s="23">
        <f t="shared" si="19"/>
        <v>0</v>
      </c>
      <c r="BI78" s="142">
        <f>SUMIFS(領用表!$L:$L,領用表!$E:$E,$B78,領用表!$B:$B,BI$2&amp;$BI$1)</f>
        <v>0</v>
      </c>
      <c r="BJ78" s="142">
        <f>SUMIFS(領用表!$L:$L,領用表!$E:$E,$B78,領用表!$B:$B,BJ$2&amp;$BI$1)</f>
        <v>0</v>
      </c>
      <c r="BK78" s="142">
        <f>SUMIFS(領用表!$L:$L,領用表!$E:$E,$B78,領用表!$B:$B,BK$2&amp;$BI$1)</f>
        <v>0</v>
      </c>
      <c r="BL78" s="142">
        <f>SUMIFS(領用表!$L:$L,領用表!$E:$E,$B78,領用表!$B:$B,BL$2&amp;$BI$1)</f>
        <v>0</v>
      </c>
      <c r="BM78" s="142">
        <f>SUMIFS(領用表!$L:$L,領用表!$E:$E,$B78,領用表!$B:$B,BM$2&amp;$BI$1)</f>
        <v>0</v>
      </c>
      <c r="BN78" s="142">
        <f>SUMIFS(領用表!$L:$L,領用表!$E:$E,$B78,領用表!$B:$B,BN$2&amp;$BI$1)</f>
        <v>0</v>
      </c>
      <c r="BO78" s="142">
        <f>SUMIFS(領用表!$L:$L,領用表!$E:$E,$B78,領用表!$B:$B,BO$2&amp;$BI$1)</f>
        <v>0</v>
      </c>
      <c r="BP78" s="142">
        <f>SUMIFS(領用表!$L:$L,領用表!$E:$E,$B78,領用表!$B:$B,BP$2&amp;$BI$1)</f>
        <v>0</v>
      </c>
      <c r="BQ78" s="142">
        <f>SUMIFS(領用表!$L:$L,領用表!$E:$E,$B78,領用表!$B:$B,BQ$2&amp;$BI$1)</f>
        <v>0</v>
      </c>
      <c r="BR78" s="142">
        <f>SUMIFS(領用表!$L:$L,領用表!$E:$E,$B78,領用表!$B:$B,BR$2&amp;$BI$1)</f>
        <v>0</v>
      </c>
      <c r="BS78" s="142">
        <f>SUMIFS(領用表!$L:$L,領用表!$E:$E,$B78,領用表!$B:$B,BS$2&amp;$BI$1)</f>
        <v>0</v>
      </c>
      <c r="BT78" s="142">
        <f>SUMIFS(領用表!$L:$L,領用表!$E:$E,$B78,領用表!$B:$B,BT$2&amp;$BI$1)</f>
        <v>0</v>
      </c>
      <c r="BU78" s="142">
        <f t="shared" si="17"/>
        <v>0</v>
      </c>
      <c r="BV78" s="142">
        <f t="shared" si="16"/>
        <v>0</v>
      </c>
      <c r="BW78" s="142">
        <f>SUMIF(Summary!B:B,B78,Summary!DU:DU)</f>
        <v>0</v>
      </c>
      <c r="BX78" s="109"/>
      <c r="BY78" s="65"/>
      <c r="BZ78" s="76"/>
      <c r="CA78" s="76"/>
      <c r="CB78" s="27"/>
      <c r="CC78" s="27"/>
      <c r="CD78" s="14"/>
      <c r="CE78" s="14"/>
    </row>
    <row r="79" spans="1:83" ht="15.75" hidden="1" customHeight="1">
      <c r="A79" s="27" t="s">
        <v>182</v>
      </c>
      <c r="B79" s="14">
        <v>1050003</v>
      </c>
      <c r="C79" s="136" t="s">
        <v>559</v>
      </c>
      <c r="D79" s="77"/>
      <c r="E79" s="17" t="s">
        <v>15</v>
      </c>
      <c r="F79" s="18"/>
      <c r="G79" s="70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19"/>
      <c r="AH79" s="19"/>
      <c r="AI79" s="19"/>
      <c r="AJ79" s="19"/>
      <c r="AK79" s="19"/>
      <c r="AL79" s="19"/>
      <c r="AM79" s="19"/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68">
        <f>SUM(AG79:AR79)</f>
        <v>0</v>
      </c>
      <c r="AT79" s="26">
        <f>AS79/12</f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20">
        <f>SUMIFS(領用表!$L:$L,領用表!$E:$E,$B79,領用表!$B:$B,AZ$2&amp;$BI$1)</f>
        <v>0</v>
      </c>
      <c r="BA79" s="20">
        <f>SUMIFS(領用表!$L:$L,領用表!$E:$E,$B79,領用表!$B:$B,BA$2&amp;$BI$1)</f>
        <v>0</v>
      </c>
      <c r="BB79" s="20">
        <f>SUMIFS(領用表!$L:$L,領用表!$E:$E,$B79,領用表!$B:$B,BB$2&amp;$BI$1)</f>
        <v>0</v>
      </c>
      <c r="BC79" s="20">
        <f>SUMIFS(領用表!$L:$L,領用表!$E:$E,$B79,領用表!$B:$B,BC$2&amp;$BI$1)</f>
        <v>0</v>
      </c>
      <c r="BD79" s="142">
        <f>SUMIFS(領用表!$L:$L,領用表!$E:$E,$B79,領用表!$B:$B,BD$2&amp;$BI$1)</f>
        <v>0</v>
      </c>
      <c r="BE79" s="142">
        <f>SUMIFS(領用表!$L:$L,領用表!$E:$E,$B79,領用表!$B:$B,BE$2&amp;$BI$1)</f>
        <v>0</v>
      </c>
      <c r="BF79" s="142">
        <f>SUMIFS(領用表!$L:$L,領用表!$E:$E,$B79,領用表!$B:$B,BF$2&amp;$BI$1)</f>
        <v>0</v>
      </c>
      <c r="BG79" s="23">
        <f t="shared" si="18"/>
        <v>0</v>
      </c>
      <c r="BH79" s="23">
        <f t="shared" si="19"/>
        <v>0</v>
      </c>
      <c r="BI79" s="142">
        <f>SUMIFS(領用表!$L:$L,領用表!$E:$E,$B79,領用表!$B:$B,BI$2&amp;$BI$1)</f>
        <v>0</v>
      </c>
      <c r="BJ79" s="142">
        <f>SUMIFS(領用表!$L:$L,領用表!$E:$E,$B79,領用表!$B:$B,BJ$2&amp;$BI$1)</f>
        <v>0</v>
      </c>
      <c r="BK79" s="142">
        <f>SUMIFS(領用表!$L:$L,領用表!$E:$E,$B79,領用表!$B:$B,BK$2&amp;$BI$1)</f>
        <v>0</v>
      </c>
      <c r="BL79" s="142">
        <f>SUMIFS(領用表!$L:$L,領用表!$E:$E,$B79,領用表!$B:$B,BL$2&amp;$BI$1)</f>
        <v>0</v>
      </c>
      <c r="BM79" s="142">
        <f>SUMIFS(領用表!$L:$L,領用表!$E:$E,$B79,領用表!$B:$B,BM$2&amp;$BI$1)</f>
        <v>0</v>
      </c>
      <c r="BN79" s="142">
        <f>SUMIFS(領用表!$L:$L,領用表!$E:$E,$B79,領用表!$B:$B,BN$2&amp;$BI$1)</f>
        <v>0</v>
      </c>
      <c r="BO79" s="142">
        <f>SUMIFS(領用表!$L:$L,領用表!$E:$E,$B79,領用表!$B:$B,BO$2&amp;$BI$1)</f>
        <v>0</v>
      </c>
      <c r="BP79" s="142">
        <f>SUMIFS(領用表!$L:$L,領用表!$E:$E,$B79,領用表!$B:$B,BP$2&amp;$BI$1)</f>
        <v>0</v>
      </c>
      <c r="BQ79" s="142">
        <f>SUMIFS(領用表!$L:$L,領用表!$E:$E,$B79,領用表!$B:$B,BQ$2&amp;$BI$1)</f>
        <v>0</v>
      </c>
      <c r="BR79" s="142">
        <f>SUMIFS(領用表!$L:$L,領用表!$E:$E,$B79,領用表!$B:$B,BR$2&amp;$BI$1)</f>
        <v>0</v>
      </c>
      <c r="BS79" s="142">
        <f>SUMIFS(領用表!$L:$L,領用表!$E:$E,$B79,領用表!$B:$B,BS$2&amp;$BI$1)</f>
        <v>0</v>
      </c>
      <c r="BT79" s="142">
        <f>SUMIFS(領用表!$L:$L,領用表!$E:$E,$B79,領用表!$B:$B,BT$2&amp;$BI$1)</f>
        <v>0</v>
      </c>
      <c r="BU79" s="142">
        <f t="shared" si="17"/>
        <v>0</v>
      </c>
      <c r="BV79" s="142">
        <f t="shared" si="16"/>
        <v>0</v>
      </c>
      <c r="BW79" s="142">
        <f>SUMIF(Summary!B:B,B79,Summary!DU:DU)</f>
        <v>0</v>
      </c>
      <c r="BX79" s="109"/>
      <c r="BY79" s="65"/>
      <c r="BZ79" s="76"/>
      <c r="CA79" s="76"/>
      <c r="CB79" s="27"/>
      <c r="CC79" s="27"/>
      <c r="CD79" s="14"/>
      <c r="CE79" s="14"/>
    </row>
    <row r="80" spans="1:83" ht="15" customHeight="1">
      <c r="A80" s="27" t="s">
        <v>183</v>
      </c>
      <c r="B80" s="14">
        <v>6050008</v>
      </c>
      <c r="C80" s="136" t="s">
        <v>560</v>
      </c>
      <c r="D80" s="77"/>
      <c r="E80" s="17" t="s">
        <v>15</v>
      </c>
      <c r="F80" s="18">
        <v>3204</v>
      </c>
      <c r="G80" s="70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68"/>
      <c r="AT80" s="26"/>
      <c r="AU80" s="19"/>
      <c r="AV80" s="19"/>
      <c r="AW80" s="19"/>
      <c r="AX80" s="19"/>
      <c r="AY80" s="19"/>
      <c r="AZ80" s="20">
        <f>SUMIFS(領用表!$L:$L,領用表!$E:$E,$B80,領用表!$B:$B,AZ$2&amp;$BI$1)</f>
        <v>0</v>
      </c>
      <c r="BA80" s="20">
        <f>SUMIFS(領用表!$L:$L,領用表!$E:$E,$B80,領用表!$B:$B,BA$2&amp;$BI$1)</f>
        <v>0</v>
      </c>
      <c r="BB80" s="20">
        <f>SUMIFS(領用表!$L:$L,領用表!$E:$E,$B80,領用表!$B:$B,BB$2&amp;$BI$1)</f>
        <v>0</v>
      </c>
      <c r="BC80" s="20">
        <f>SUMIFS(領用表!$L:$L,領用表!$E:$E,$B80,領用表!$B:$B,BC$2&amp;$BI$1)</f>
        <v>0</v>
      </c>
      <c r="BD80" s="142">
        <f>SUMIFS(領用表!$L:$L,領用表!$E:$E,$B80,領用表!$B:$B,BD$2&amp;$BI$1)</f>
        <v>0</v>
      </c>
      <c r="BE80" s="142">
        <f>SUMIFS(領用表!$L:$L,領用表!$E:$E,$B80,領用表!$B:$B,BE$2&amp;$BI$1)</f>
        <v>0</v>
      </c>
      <c r="BF80" s="142">
        <f>SUMIFS(領用表!$L:$L,領用表!$E:$E,$B80,領用表!$B:$B,BF$2&amp;$BI$1)</f>
        <v>0</v>
      </c>
      <c r="BG80" s="23">
        <f t="shared" si="18"/>
        <v>0</v>
      </c>
      <c r="BH80" s="23">
        <f t="shared" si="19"/>
        <v>0</v>
      </c>
      <c r="BI80" s="142">
        <f>SUMIFS(領用表!$L:$L,領用表!$E:$E,$B80,領用表!$B:$B,BI$2&amp;$BI$1)</f>
        <v>0</v>
      </c>
      <c r="BJ80" s="142">
        <f>SUMIFS(領用表!$L:$L,領用表!$E:$E,$B80,領用表!$B:$B,BJ$2&amp;$BI$1)</f>
        <v>0</v>
      </c>
      <c r="BK80" s="142">
        <f>SUMIFS(領用表!$L:$L,領用表!$E:$E,$B80,領用表!$B:$B,BK$2&amp;$BI$1)</f>
        <v>0</v>
      </c>
      <c r="BL80" s="142">
        <f>SUMIFS(領用表!$L:$L,領用表!$E:$E,$B80,領用表!$B:$B,BL$2&amp;$BI$1)</f>
        <v>0</v>
      </c>
      <c r="BM80" s="142">
        <f>SUMIFS(領用表!$L:$L,領用表!$E:$E,$B80,領用表!$B:$B,BM$2&amp;$BI$1)</f>
        <v>0</v>
      </c>
      <c r="BN80" s="142">
        <f>SUMIFS(領用表!$L:$L,領用表!$E:$E,$B80,領用表!$B:$B,BN$2&amp;$BI$1)</f>
        <v>0</v>
      </c>
      <c r="BO80" s="142">
        <f>SUMIFS(領用表!$L:$L,領用表!$E:$E,$B80,領用表!$B:$B,BO$2&amp;$BI$1)</f>
        <v>0</v>
      </c>
      <c r="BP80" s="142">
        <f>SUMIFS(領用表!$L:$L,領用表!$E:$E,$B80,領用表!$B:$B,BP$2&amp;$BI$1)</f>
        <v>0</v>
      </c>
      <c r="BQ80" s="142">
        <f>SUMIFS(領用表!$L:$L,領用表!$E:$E,$B80,領用表!$B:$B,BQ$2&amp;$BI$1)</f>
        <v>0</v>
      </c>
      <c r="BR80" s="142">
        <f>SUMIFS(領用表!$L:$L,領用表!$E:$E,$B80,領用表!$B:$B,BR$2&amp;$BI$1)</f>
        <v>0</v>
      </c>
      <c r="BS80" s="142">
        <f>SUMIFS(領用表!$L:$L,領用表!$E:$E,$B80,領用表!$B:$B,BS$2&amp;$BI$1)</f>
        <v>0</v>
      </c>
      <c r="BT80" s="142">
        <f>SUMIFS(領用表!$L:$L,領用表!$E:$E,$B80,領用表!$B:$B,BT$2&amp;$BI$1)</f>
        <v>0</v>
      </c>
      <c r="BU80" s="142">
        <f t="shared" si="17"/>
        <v>0</v>
      </c>
      <c r="BV80" s="142">
        <f t="shared" si="16"/>
        <v>0</v>
      </c>
      <c r="BW80" s="142">
        <f>SUMIF(Summary!B:B,B80,Summary!DU:DU)</f>
        <v>0</v>
      </c>
      <c r="BX80" s="109"/>
      <c r="BY80" s="65"/>
      <c r="BZ80" s="76"/>
      <c r="CA80" s="76" t="s">
        <v>184</v>
      </c>
      <c r="CB80" s="27"/>
      <c r="CC80" s="27"/>
      <c r="CD80" s="14"/>
      <c r="CE80" s="14"/>
    </row>
    <row r="81" spans="1:83" ht="15" customHeight="1">
      <c r="A81" s="27" t="s">
        <v>185</v>
      </c>
      <c r="B81" s="14">
        <v>1060001</v>
      </c>
      <c r="C81" s="136" t="s">
        <v>561</v>
      </c>
      <c r="D81" s="77"/>
      <c r="E81" s="17" t="s">
        <v>15</v>
      </c>
      <c r="F81" s="18"/>
      <c r="G81" s="70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68">
        <f>SUM(AG81:AR81)</f>
        <v>0</v>
      </c>
      <c r="AT81" s="26">
        <f>AS81/12</f>
        <v>0</v>
      </c>
      <c r="AU81" s="19">
        <v>10</v>
      </c>
      <c r="AV81" s="19">
        <v>16</v>
      </c>
      <c r="AW81" s="19">
        <v>10</v>
      </c>
      <c r="AX81" s="19">
        <v>20</v>
      </c>
      <c r="AY81" s="19">
        <v>20</v>
      </c>
      <c r="AZ81" s="20">
        <f>SUMIFS(領用表!$L:$L,領用表!$E:$E,$B81,領用表!$B:$B,AZ$2&amp;$BI$1)</f>
        <v>0</v>
      </c>
      <c r="BA81" s="20">
        <f>SUMIFS(領用表!$L:$L,領用表!$E:$E,$B81,領用表!$B:$B,BA$2&amp;$BI$1)</f>
        <v>0</v>
      </c>
      <c r="BB81" s="20">
        <f>SUMIFS(領用表!$L:$L,領用表!$E:$E,$B81,領用表!$B:$B,BB$2&amp;$BI$1)</f>
        <v>0</v>
      </c>
      <c r="BC81" s="20">
        <f>SUMIFS(領用表!$L:$L,領用表!$E:$E,$B81,領用表!$B:$B,BC$2&amp;$BI$1)</f>
        <v>0</v>
      </c>
      <c r="BD81" s="142">
        <f>SUMIFS(領用表!$L:$L,領用表!$E:$E,$B81,領用表!$B:$B,BD$2&amp;$BI$1)</f>
        <v>0</v>
      </c>
      <c r="BE81" s="142">
        <f>SUMIFS(領用表!$L:$L,領用表!$E:$E,$B81,領用表!$B:$B,BE$2&amp;$BI$1)</f>
        <v>0</v>
      </c>
      <c r="BF81" s="142">
        <f>SUMIFS(領用表!$L:$L,領用表!$E:$E,$B81,領用表!$B:$B,BF$2&amp;$BI$1)</f>
        <v>0</v>
      </c>
      <c r="BG81" s="23">
        <f t="shared" si="18"/>
        <v>76</v>
      </c>
      <c r="BH81" s="23">
        <f t="shared" si="19"/>
        <v>6.333333333333333</v>
      </c>
      <c r="BI81" s="142">
        <f>SUMIFS(領用表!$L:$L,領用表!$E:$E,$B81,領用表!$B:$B,BI$2&amp;$BI$1)</f>
        <v>0</v>
      </c>
      <c r="BJ81" s="142">
        <f>SUMIFS(領用表!$L:$L,領用表!$E:$E,$B81,領用表!$B:$B,BJ$2&amp;$BI$1)</f>
        <v>0</v>
      </c>
      <c r="BK81" s="142">
        <f>SUMIFS(領用表!$L:$L,領用表!$E:$E,$B81,領用表!$B:$B,BK$2&amp;$BI$1)</f>
        <v>0</v>
      </c>
      <c r="BL81" s="142">
        <f>SUMIFS(領用表!$L:$L,領用表!$E:$E,$B81,領用表!$B:$B,BL$2&amp;$BI$1)</f>
        <v>0</v>
      </c>
      <c r="BM81" s="142">
        <f>SUMIFS(領用表!$L:$L,領用表!$E:$E,$B81,領用表!$B:$B,BM$2&amp;$BI$1)</f>
        <v>0</v>
      </c>
      <c r="BN81" s="142">
        <f>SUMIFS(領用表!$L:$L,領用表!$E:$E,$B81,領用表!$B:$B,BN$2&amp;$BI$1)</f>
        <v>0</v>
      </c>
      <c r="BO81" s="142">
        <f>SUMIFS(領用表!$L:$L,領用表!$E:$E,$B81,領用表!$B:$B,BO$2&amp;$BI$1)</f>
        <v>0</v>
      </c>
      <c r="BP81" s="142">
        <f>SUMIFS(領用表!$L:$L,領用表!$E:$E,$B81,領用表!$B:$B,BP$2&amp;$BI$1)</f>
        <v>0</v>
      </c>
      <c r="BQ81" s="142">
        <f>SUMIFS(領用表!$L:$L,領用表!$E:$E,$B81,領用表!$B:$B,BQ$2&amp;$BI$1)</f>
        <v>0</v>
      </c>
      <c r="BR81" s="142">
        <f>SUMIFS(領用表!$L:$L,領用表!$E:$E,$B81,領用表!$B:$B,BR$2&amp;$BI$1)</f>
        <v>0</v>
      </c>
      <c r="BS81" s="142">
        <f>SUMIFS(領用表!$L:$L,領用表!$E:$E,$B81,領用表!$B:$B,BS$2&amp;$BI$1)</f>
        <v>0</v>
      </c>
      <c r="BT81" s="142">
        <f>SUMIFS(領用表!$L:$L,領用表!$E:$E,$B81,領用表!$B:$B,BT$2&amp;$BI$1)</f>
        <v>0</v>
      </c>
      <c r="BU81" s="142">
        <f t="shared" si="17"/>
        <v>0</v>
      </c>
      <c r="BV81" s="142">
        <f t="shared" si="16"/>
        <v>0</v>
      </c>
      <c r="BW81" s="142">
        <f>SUMIF(Summary!B:B,B81,Summary!DU:DU)</f>
        <v>0</v>
      </c>
      <c r="BX81" s="109"/>
      <c r="BY81" s="65"/>
      <c r="BZ81" s="76"/>
      <c r="CA81" s="76"/>
      <c r="CB81" s="27"/>
      <c r="CC81" s="27"/>
      <c r="CD81" s="14"/>
      <c r="CE81" s="14"/>
    </row>
    <row r="82" spans="1:83" ht="15" customHeight="1">
      <c r="A82" s="27" t="s">
        <v>186</v>
      </c>
      <c r="B82" s="14">
        <v>6070002</v>
      </c>
      <c r="C82" s="136" t="s">
        <v>562</v>
      </c>
      <c r="D82" s="77"/>
      <c r="E82" s="17" t="s">
        <v>15</v>
      </c>
      <c r="F82" s="18"/>
      <c r="G82" s="70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64" t="s">
        <v>49</v>
      </c>
      <c r="AT82" s="64" t="s">
        <v>49</v>
      </c>
      <c r="AU82" s="64" t="s">
        <v>49</v>
      </c>
      <c r="AV82" s="64" t="s">
        <v>49</v>
      </c>
      <c r="AW82" s="64" t="s">
        <v>49</v>
      </c>
      <c r="AX82" s="64" t="s">
        <v>49</v>
      </c>
      <c r="AY82" s="19">
        <v>60</v>
      </c>
      <c r="AZ82" s="20">
        <f>SUMIFS(領用表!$L:$L,領用表!$E:$E,$B82,領用表!$B:$B,AZ$2&amp;$BI$1)</f>
        <v>0</v>
      </c>
      <c r="BA82" s="20">
        <f>SUMIFS(領用表!$L:$L,領用表!$E:$E,$B82,領用表!$B:$B,BA$2&amp;$BI$1)</f>
        <v>0</v>
      </c>
      <c r="BB82" s="20">
        <f>SUMIFS(領用表!$L:$L,領用表!$E:$E,$B82,領用表!$B:$B,BB$2&amp;$BI$1)</f>
        <v>0</v>
      </c>
      <c r="BC82" s="20">
        <f>SUMIFS(領用表!$L:$L,領用表!$E:$E,$B82,領用表!$B:$B,BC$2&amp;$BI$1)</f>
        <v>0</v>
      </c>
      <c r="BD82" s="142">
        <f>SUMIFS(領用表!$L:$L,領用表!$E:$E,$B82,領用表!$B:$B,BD$2&amp;$BI$1)</f>
        <v>0</v>
      </c>
      <c r="BE82" s="142">
        <f>SUMIFS(領用表!$L:$L,領用表!$E:$E,$B82,領用表!$B:$B,BE$2&amp;$BI$1)</f>
        <v>0</v>
      </c>
      <c r="BF82" s="142">
        <f>SUMIFS(領用表!$L:$L,領用表!$E:$E,$B82,領用表!$B:$B,BF$2&amp;$BI$1)</f>
        <v>0</v>
      </c>
      <c r="BG82" s="23">
        <f t="shared" si="18"/>
        <v>60</v>
      </c>
      <c r="BH82" s="23">
        <f t="shared" si="19"/>
        <v>7.5</v>
      </c>
      <c r="BI82" s="142">
        <f>SUMIFS(領用表!$L:$L,領用表!$E:$E,$B82,領用表!$B:$B,BI$2&amp;$BI$1)</f>
        <v>0</v>
      </c>
      <c r="BJ82" s="405">
        <f>SUMIFS(領用表!$L:$L,領用表!$E:$E,$B82,領用表!$B:$B,BJ$2&amp;$BI$1)</f>
        <v>0</v>
      </c>
      <c r="BK82" s="405">
        <f>SUMIFS(領用表!$L:$L,領用表!$E:$E,$B82,領用表!$B:$B,BK$2&amp;$BI$1)</f>
        <v>0</v>
      </c>
      <c r="BL82" s="405">
        <f>SUMIFS(領用表!$L:$L,領用表!$E:$E,$B82,領用表!$B:$B,BL$2&amp;$BI$1)</f>
        <v>0</v>
      </c>
      <c r="BM82" s="405">
        <f>SUMIFS(領用表!$L:$L,領用表!$E:$E,$B82,領用表!$B:$B,BM$2&amp;$BI$1)</f>
        <v>0</v>
      </c>
      <c r="BN82" s="405">
        <f>SUMIFS(領用表!$L:$L,領用表!$E:$E,$B82,領用表!$B:$B,BN$2&amp;$BI$1)</f>
        <v>0</v>
      </c>
      <c r="BO82" s="405">
        <f>SUMIFS(領用表!$L:$L,領用表!$E:$E,$B82,領用表!$B:$B,BO$2&amp;$BI$1)</f>
        <v>0</v>
      </c>
      <c r="BP82" s="405">
        <f>SUMIFS(領用表!$L:$L,領用表!$E:$E,$B82,領用表!$B:$B,BP$2&amp;$BI$1)</f>
        <v>0</v>
      </c>
      <c r="BQ82" s="405">
        <f>SUMIFS(領用表!$L:$L,領用表!$E:$E,$B82,領用表!$B:$B,BQ$2&amp;$BI$1)</f>
        <v>0</v>
      </c>
      <c r="BR82" s="405">
        <f>SUMIFS(領用表!$L:$L,領用表!$E:$E,$B82,領用表!$B:$B,BR$2&amp;$BI$1)</f>
        <v>0</v>
      </c>
      <c r="BS82" s="405">
        <f>SUMIFS(領用表!$L:$L,領用表!$E:$E,$B82,領用表!$B:$B,BS$2&amp;$BI$1)</f>
        <v>0</v>
      </c>
      <c r="BT82" s="405">
        <f>SUMIFS(領用表!$L:$L,領用表!$E:$E,$B82,領用表!$B:$B,BT$2&amp;$BI$1)</f>
        <v>0</v>
      </c>
      <c r="BU82" s="405">
        <f t="shared" si="17"/>
        <v>0</v>
      </c>
      <c r="BV82" s="405">
        <f t="shared" si="16"/>
        <v>0</v>
      </c>
      <c r="BW82" s="405">
        <f>SUMIF(Summary!B:B,B82,Summary!DU:DU)</f>
        <v>0</v>
      </c>
      <c r="BX82" s="111"/>
      <c r="BY82" s="80"/>
      <c r="BZ82" s="76"/>
      <c r="CA82" s="76"/>
      <c r="CB82" s="27"/>
      <c r="CC82" s="27"/>
      <c r="CD82" s="14"/>
      <c r="CE82" s="14"/>
    </row>
    <row r="83" spans="1:83" ht="15" customHeight="1">
      <c r="A83" s="27" t="s">
        <v>187</v>
      </c>
      <c r="B83" s="14">
        <v>6050009</v>
      </c>
      <c r="C83" s="136" t="s">
        <v>563</v>
      </c>
      <c r="D83" s="77"/>
      <c r="E83" s="17" t="s">
        <v>15</v>
      </c>
      <c r="F83" s="18">
        <v>38</v>
      </c>
      <c r="G83" s="70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5"/>
      <c r="AT83" s="84"/>
      <c r="AU83" s="56"/>
      <c r="AV83" s="56"/>
      <c r="AW83" s="56"/>
      <c r="AX83" s="56"/>
      <c r="AY83" s="19"/>
      <c r="AZ83" s="20">
        <f>SUMIFS(領用表!$L:$L,領用表!$E:$E,$B83,領用表!$B:$B,AZ$2&amp;$BI$1)</f>
        <v>0</v>
      </c>
      <c r="BA83" s="20">
        <f>SUMIFS(領用表!$L:$L,領用表!$E:$E,$B83,領用表!$B:$B,BA$2&amp;$BI$1)</f>
        <v>0</v>
      </c>
      <c r="BB83" s="20">
        <f>SUMIFS(領用表!$L:$L,領用表!$E:$E,$B83,領用表!$B:$B,BB$2&amp;$BI$1)</f>
        <v>0</v>
      </c>
      <c r="BC83" s="20">
        <f>SUMIFS(領用表!$L:$L,領用表!$E:$E,$B83,領用表!$B:$B,BC$2&amp;$BI$1)</f>
        <v>0</v>
      </c>
      <c r="BD83" s="142">
        <f>SUMIFS(領用表!$L:$L,領用表!$E:$E,$B83,領用表!$B:$B,BD$2&amp;$BI$1)</f>
        <v>0</v>
      </c>
      <c r="BE83" s="142">
        <f>SUMIFS(領用表!$L:$L,領用表!$E:$E,$B83,領用表!$B:$B,BE$2&amp;$BI$1)</f>
        <v>0</v>
      </c>
      <c r="BF83" s="142">
        <f>SUMIFS(領用表!$L:$L,領用表!$E:$E,$B83,領用表!$B:$B,BF$2&amp;$BI$1)</f>
        <v>0</v>
      </c>
      <c r="BG83" s="23">
        <f t="shared" si="18"/>
        <v>0</v>
      </c>
      <c r="BH83" s="23">
        <f t="shared" si="19"/>
        <v>0</v>
      </c>
      <c r="BI83" s="142">
        <f>SUMIFS(領用表!$L:$L,領用表!$E:$E,$B83,領用表!$B:$B,BI$2&amp;$BI$1)</f>
        <v>0</v>
      </c>
      <c r="BJ83" s="405">
        <f>SUMIFS(領用表!$L:$L,領用表!$E:$E,$B83,領用表!$B:$B,BJ$2&amp;$BI$1)</f>
        <v>0</v>
      </c>
      <c r="BK83" s="405">
        <f>SUMIFS(領用表!$L:$L,領用表!$E:$E,$B83,領用表!$B:$B,BK$2&amp;$BI$1)</f>
        <v>0</v>
      </c>
      <c r="BL83" s="405">
        <f>SUMIFS(領用表!$L:$L,領用表!$E:$E,$B83,領用表!$B:$B,BL$2&amp;$BI$1)</f>
        <v>0</v>
      </c>
      <c r="BM83" s="405">
        <f>SUMIFS(領用表!$L:$L,領用表!$E:$E,$B83,領用表!$B:$B,BM$2&amp;$BI$1)</f>
        <v>0</v>
      </c>
      <c r="BN83" s="405">
        <f>SUMIFS(領用表!$L:$L,領用表!$E:$E,$B83,領用表!$B:$B,BN$2&amp;$BI$1)</f>
        <v>0</v>
      </c>
      <c r="BO83" s="405">
        <f>SUMIFS(領用表!$L:$L,領用表!$E:$E,$B83,領用表!$B:$B,BO$2&amp;$BI$1)</f>
        <v>0</v>
      </c>
      <c r="BP83" s="405">
        <f>SUMIFS(領用表!$L:$L,領用表!$E:$E,$B83,領用表!$B:$B,BP$2&amp;$BI$1)</f>
        <v>0</v>
      </c>
      <c r="BQ83" s="405">
        <f>SUMIFS(領用表!$L:$L,領用表!$E:$E,$B83,領用表!$B:$B,BQ$2&amp;$BI$1)</f>
        <v>0</v>
      </c>
      <c r="BR83" s="405">
        <f>SUMIFS(領用表!$L:$L,領用表!$E:$E,$B83,領用表!$B:$B,BR$2&amp;$BI$1)</f>
        <v>0</v>
      </c>
      <c r="BS83" s="405">
        <f>SUMIFS(領用表!$L:$L,領用表!$E:$E,$B83,領用表!$B:$B,BS$2&amp;$BI$1)</f>
        <v>0</v>
      </c>
      <c r="BT83" s="405">
        <f>SUMIFS(領用表!$L:$L,領用表!$E:$E,$B83,領用表!$B:$B,BT$2&amp;$BI$1)</f>
        <v>0</v>
      </c>
      <c r="BU83" s="405">
        <f t="shared" si="17"/>
        <v>0</v>
      </c>
      <c r="BV83" s="405">
        <f t="shared" si="16"/>
        <v>0</v>
      </c>
      <c r="BW83" s="405">
        <f>SUMIF(Summary!B:B,B83,Summary!DU:DU)</f>
        <v>0</v>
      </c>
      <c r="BX83" s="112"/>
      <c r="BY83" s="80"/>
      <c r="BZ83" s="76" t="s">
        <v>188</v>
      </c>
      <c r="CA83" s="76"/>
      <c r="CB83" s="27"/>
      <c r="CC83" s="27"/>
      <c r="CD83" s="14"/>
      <c r="CE83" s="14"/>
    </row>
    <row r="84" spans="1:83" ht="15" customHeight="1">
      <c r="A84" s="27" t="s">
        <v>189</v>
      </c>
      <c r="B84" s="14" t="e">
        <v>#N/A</v>
      </c>
      <c r="C84" s="136" t="s">
        <v>564</v>
      </c>
      <c r="D84" s="77"/>
      <c r="E84" s="17" t="s">
        <v>15</v>
      </c>
      <c r="F84" s="18"/>
      <c r="G84" s="70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5"/>
      <c r="AT84" s="84"/>
      <c r="AU84" s="56"/>
      <c r="AV84" s="56"/>
      <c r="AW84" s="56"/>
      <c r="AX84" s="56"/>
      <c r="AY84" s="19"/>
      <c r="AZ84" s="20">
        <f>SUMIFS(領用表!$L:$L,領用表!$E:$E,$B84,領用表!$B:$B,AZ$2&amp;$BI$1)</f>
        <v>0</v>
      </c>
      <c r="BA84" s="20">
        <f>SUMIFS(領用表!$L:$L,領用表!$E:$E,$B84,領用表!$B:$B,BA$2&amp;$BI$1)</f>
        <v>0</v>
      </c>
      <c r="BB84" s="20">
        <f>SUMIFS(領用表!$L:$L,領用表!$E:$E,$B84,領用表!$B:$B,BB$2&amp;$BI$1)</f>
        <v>0</v>
      </c>
      <c r="BC84" s="20">
        <f>SUMIFS(領用表!$L:$L,領用表!$E:$E,$B84,領用表!$B:$B,BC$2&amp;$BI$1)</f>
        <v>0</v>
      </c>
      <c r="BD84" s="142">
        <f>SUMIFS(領用表!$L:$L,領用表!$E:$E,$B84,領用表!$B:$B,BD$2&amp;$BI$1)</f>
        <v>0</v>
      </c>
      <c r="BE84" s="142">
        <f>SUMIFS(領用表!$L:$L,領用表!$E:$E,$B84,領用表!$B:$B,BE$2&amp;$BI$1)</f>
        <v>0</v>
      </c>
      <c r="BF84" s="142">
        <f>SUMIFS(領用表!$L:$L,領用表!$E:$E,$B84,領用表!$B:$B,BF$2&amp;$BI$1)</f>
        <v>0</v>
      </c>
      <c r="BG84" s="23">
        <f t="shared" si="18"/>
        <v>0</v>
      </c>
      <c r="BH84" s="23">
        <f t="shared" si="19"/>
        <v>0</v>
      </c>
      <c r="BI84" s="142">
        <f>SUMIFS(領用表!$L:$L,領用表!$E:$E,$B84,領用表!$B:$B,BI$2&amp;$BI$1)</f>
        <v>0</v>
      </c>
      <c r="BJ84" s="405">
        <f>SUMIFS(領用表!$L:$L,領用表!$E:$E,$B84,領用表!$B:$B,BJ$2&amp;$BI$1)</f>
        <v>0</v>
      </c>
      <c r="BK84" s="405">
        <f>SUMIFS(領用表!$L:$L,領用表!$E:$E,$B84,領用表!$B:$B,BK$2&amp;$BI$1)</f>
        <v>0</v>
      </c>
      <c r="BL84" s="405">
        <f>SUMIFS(領用表!$L:$L,領用表!$E:$E,$B84,領用表!$B:$B,BL$2&amp;$BI$1)</f>
        <v>0</v>
      </c>
      <c r="BM84" s="405">
        <f>SUMIFS(領用表!$L:$L,領用表!$E:$E,$B84,領用表!$B:$B,BM$2&amp;$BI$1)</f>
        <v>0</v>
      </c>
      <c r="BN84" s="405">
        <f>SUMIFS(領用表!$L:$L,領用表!$E:$E,$B84,領用表!$B:$B,BN$2&amp;$BI$1)</f>
        <v>0</v>
      </c>
      <c r="BO84" s="405">
        <f>SUMIFS(領用表!$L:$L,領用表!$E:$E,$B84,領用表!$B:$B,BO$2&amp;$BI$1)</f>
        <v>0</v>
      </c>
      <c r="BP84" s="405">
        <f>SUMIFS(領用表!$L:$L,領用表!$E:$E,$B84,領用表!$B:$B,BP$2&amp;$BI$1)</f>
        <v>0</v>
      </c>
      <c r="BQ84" s="405">
        <f>SUMIFS(領用表!$L:$L,領用表!$E:$E,$B84,領用表!$B:$B,BQ$2&amp;$BI$1)</f>
        <v>0</v>
      </c>
      <c r="BR84" s="405">
        <f>SUMIFS(領用表!$L:$L,領用表!$E:$E,$B84,領用表!$B:$B,BR$2&amp;$BI$1)</f>
        <v>0</v>
      </c>
      <c r="BS84" s="405">
        <f>SUMIFS(領用表!$L:$L,領用表!$E:$E,$B84,領用表!$B:$B,BS$2&amp;$BI$1)</f>
        <v>0</v>
      </c>
      <c r="BT84" s="405">
        <f>SUMIFS(領用表!$L:$L,領用表!$E:$E,$B84,領用表!$B:$B,BT$2&amp;$BI$1)</f>
        <v>0</v>
      </c>
      <c r="BU84" s="405">
        <f t="shared" si="17"/>
        <v>0</v>
      </c>
      <c r="BV84" s="405">
        <f t="shared" si="16"/>
        <v>0</v>
      </c>
      <c r="BW84" s="405">
        <f>SUMIF(Summary!B:B,B84,Summary!DU:DU)</f>
        <v>0</v>
      </c>
      <c r="BX84" s="112"/>
      <c r="BY84" s="80"/>
      <c r="BZ84" s="76" t="s">
        <v>190</v>
      </c>
      <c r="CA84" s="76"/>
      <c r="CB84" s="27"/>
      <c r="CC84" s="27"/>
      <c r="CD84" s="14"/>
      <c r="CE84" s="14"/>
    </row>
    <row r="85" spans="1:83" ht="15" customHeight="1">
      <c r="A85" s="27" t="s">
        <v>191</v>
      </c>
      <c r="B85" s="14">
        <v>6060001</v>
      </c>
      <c r="C85" s="136" t="s">
        <v>565</v>
      </c>
      <c r="D85" s="77"/>
      <c r="E85" s="17" t="s">
        <v>15</v>
      </c>
      <c r="F85" s="18"/>
      <c r="G85" s="70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19"/>
      <c r="AH85" s="19"/>
      <c r="AI85" s="19"/>
      <c r="AJ85" s="19"/>
      <c r="AK85" s="19"/>
      <c r="AL85" s="19"/>
      <c r="AM85" s="19"/>
      <c r="AN85" s="19">
        <v>5</v>
      </c>
      <c r="AO85" s="19">
        <v>0</v>
      </c>
      <c r="AP85" s="19">
        <v>5</v>
      </c>
      <c r="AQ85" s="19">
        <v>7</v>
      </c>
      <c r="AR85" s="19">
        <v>0</v>
      </c>
      <c r="AS85" s="68">
        <f t="shared" ref="AS85:AS97" si="20">SUM(AG85:AR85)</f>
        <v>17</v>
      </c>
      <c r="AT85" s="26">
        <f t="shared" ref="AT85:AT97" si="21">AS85/12</f>
        <v>1.4166666666666667</v>
      </c>
      <c r="AU85" s="19">
        <v>10</v>
      </c>
      <c r="AV85" s="19">
        <v>16</v>
      </c>
      <c r="AW85" s="19">
        <v>10</v>
      </c>
      <c r="AX85" s="19">
        <v>0</v>
      </c>
      <c r="AY85" s="19">
        <v>0</v>
      </c>
      <c r="AZ85" s="20">
        <f>SUMIFS(領用表!$L:$L,領用表!$E:$E,$B85,領用表!$B:$B,AZ$2&amp;$BI$1)</f>
        <v>0</v>
      </c>
      <c r="BA85" s="20">
        <f>SUMIFS(領用表!$L:$L,領用表!$E:$E,$B85,領用表!$B:$B,BA$2&amp;$BI$1)</f>
        <v>0</v>
      </c>
      <c r="BB85" s="20">
        <f>SUMIFS(領用表!$L:$L,領用表!$E:$E,$B85,領用表!$B:$B,BB$2&amp;$BI$1)</f>
        <v>0</v>
      </c>
      <c r="BC85" s="20">
        <f>SUMIFS(領用表!$L:$L,領用表!$E:$E,$B85,領用表!$B:$B,BC$2&amp;$BI$1)</f>
        <v>0</v>
      </c>
      <c r="BD85" s="142">
        <f>SUMIFS(領用表!$L:$L,領用表!$E:$E,$B85,領用表!$B:$B,BD$2&amp;$BI$1)</f>
        <v>0</v>
      </c>
      <c r="BE85" s="142">
        <f>SUMIFS(領用表!$L:$L,領用表!$E:$E,$B85,領用表!$B:$B,BE$2&amp;$BI$1)</f>
        <v>0</v>
      </c>
      <c r="BF85" s="142">
        <f>SUMIFS(領用表!$L:$L,領用表!$E:$E,$B85,領用表!$B:$B,BF$2&amp;$BI$1)</f>
        <v>0</v>
      </c>
      <c r="BG85" s="23">
        <f t="shared" si="18"/>
        <v>36</v>
      </c>
      <c r="BH85" s="23">
        <f t="shared" si="19"/>
        <v>3</v>
      </c>
      <c r="BI85" s="142">
        <f>SUMIFS(領用表!$L:$L,領用表!$E:$E,$B85,領用表!$B:$B,BI$2&amp;$BI$1)</f>
        <v>0</v>
      </c>
      <c r="BJ85" s="142">
        <f>SUMIFS(領用表!$L:$L,領用表!$E:$E,$B85,領用表!$B:$B,BJ$2&amp;$BI$1)</f>
        <v>0</v>
      </c>
      <c r="BK85" s="142">
        <f>SUMIFS(領用表!$L:$L,領用表!$E:$E,$B85,領用表!$B:$B,BK$2&amp;$BI$1)</f>
        <v>0</v>
      </c>
      <c r="BL85" s="142">
        <f>SUMIFS(領用表!$L:$L,領用表!$E:$E,$B85,領用表!$B:$B,BL$2&amp;$BI$1)</f>
        <v>0</v>
      </c>
      <c r="BM85" s="142">
        <f>SUMIFS(領用表!$L:$L,領用表!$E:$E,$B85,領用表!$B:$B,BM$2&amp;$BI$1)</f>
        <v>0</v>
      </c>
      <c r="BN85" s="142">
        <f>SUMIFS(領用表!$L:$L,領用表!$E:$E,$B85,領用表!$B:$B,BN$2&amp;$BI$1)</f>
        <v>0</v>
      </c>
      <c r="BO85" s="142">
        <f>SUMIFS(領用表!$L:$L,領用表!$E:$E,$B85,領用表!$B:$B,BO$2&amp;$BI$1)</f>
        <v>0</v>
      </c>
      <c r="BP85" s="142">
        <f>SUMIFS(領用表!$L:$L,領用表!$E:$E,$B85,領用表!$B:$B,BP$2&amp;$BI$1)</f>
        <v>0</v>
      </c>
      <c r="BQ85" s="142">
        <f>SUMIFS(領用表!$L:$L,領用表!$E:$E,$B85,領用表!$B:$B,BQ$2&amp;$BI$1)</f>
        <v>0</v>
      </c>
      <c r="BR85" s="142">
        <f>SUMIFS(領用表!$L:$L,領用表!$E:$E,$B85,領用表!$B:$B,BR$2&amp;$BI$1)</f>
        <v>0</v>
      </c>
      <c r="BS85" s="142">
        <f>SUMIFS(領用表!$L:$L,領用表!$E:$E,$B85,領用表!$B:$B,BS$2&amp;$BI$1)</f>
        <v>0</v>
      </c>
      <c r="BT85" s="142">
        <f>SUMIFS(領用表!$L:$L,領用表!$E:$E,$B85,領用表!$B:$B,BT$2&amp;$BI$1)</f>
        <v>0</v>
      </c>
      <c r="BU85" s="142">
        <f t="shared" si="17"/>
        <v>0</v>
      </c>
      <c r="BV85" s="142">
        <f t="shared" si="16"/>
        <v>0</v>
      </c>
      <c r="BW85" s="142">
        <f>SUMIF(Summary!B:B,B85,Summary!DU:DU)</f>
        <v>0</v>
      </c>
      <c r="BX85" s="109"/>
      <c r="BY85" s="65"/>
      <c r="BZ85" s="76" t="s">
        <v>192</v>
      </c>
      <c r="CA85" s="76"/>
      <c r="CB85" s="27"/>
      <c r="CC85" s="27"/>
      <c r="CD85" s="14"/>
      <c r="CE85" s="14"/>
    </row>
    <row r="86" spans="1:83" ht="15.75" customHeight="1">
      <c r="A86" s="27" t="s">
        <v>193</v>
      </c>
      <c r="B86" s="14" t="e">
        <v>#N/A</v>
      </c>
      <c r="C86" s="136" t="s">
        <v>566</v>
      </c>
      <c r="D86" s="77"/>
      <c r="E86" s="17" t="s">
        <v>15</v>
      </c>
      <c r="F86" s="18"/>
      <c r="G86" s="70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19"/>
      <c r="AH86" s="19"/>
      <c r="AI86" s="19"/>
      <c r="AJ86" s="19"/>
      <c r="AK86" s="19"/>
      <c r="AL86" s="19"/>
      <c r="AM86" s="19"/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68">
        <f t="shared" si="20"/>
        <v>0</v>
      </c>
      <c r="AT86" s="26">
        <f t="shared" si="21"/>
        <v>0</v>
      </c>
      <c r="AU86" s="19">
        <v>0</v>
      </c>
      <c r="AV86" s="19">
        <v>80</v>
      </c>
      <c r="AW86" s="19">
        <v>0</v>
      </c>
      <c r="AX86" s="19">
        <v>0</v>
      </c>
      <c r="AY86" s="19">
        <v>0</v>
      </c>
      <c r="AZ86" s="20">
        <f>SUMIFS(領用表!$L:$L,領用表!$E:$E,$B86,領用表!$B:$B,AZ$2&amp;$BI$1)</f>
        <v>0</v>
      </c>
      <c r="BA86" s="20">
        <f>SUMIFS(領用表!$L:$L,領用表!$E:$E,$B86,領用表!$B:$B,BA$2&amp;$BI$1)</f>
        <v>0</v>
      </c>
      <c r="BB86" s="20">
        <f>SUMIFS(領用表!$L:$L,領用表!$E:$E,$B86,領用表!$B:$B,BB$2&amp;$BI$1)</f>
        <v>0</v>
      </c>
      <c r="BC86" s="20">
        <f>SUMIFS(領用表!$L:$L,領用表!$E:$E,$B86,領用表!$B:$B,BC$2&amp;$BI$1)</f>
        <v>0</v>
      </c>
      <c r="BD86" s="142">
        <f>SUMIFS(領用表!$L:$L,領用表!$E:$E,$B86,領用表!$B:$B,BD$2&amp;$BI$1)</f>
        <v>0</v>
      </c>
      <c r="BE86" s="142">
        <f>SUMIFS(領用表!$L:$L,領用表!$E:$E,$B86,領用表!$B:$B,BE$2&amp;$BI$1)</f>
        <v>0</v>
      </c>
      <c r="BF86" s="142">
        <f>SUMIFS(領用表!$L:$L,領用表!$E:$E,$B86,領用表!$B:$B,BF$2&amp;$BI$1)</f>
        <v>0</v>
      </c>
      <c r="BG86" s="23">
        <f t="shared" si="18"/>
        <v>80</v>
      </c>
      <c r="BH86" s="23">
        <f t="shared" si="19"/>
        <v>6.666666666666667</v>
      </c>
      <c r="BI86" s="142">
        <f>SUMIFS(領用表!$L:$L,領用表!$E:$E,$B86,領用表!$B:$B,BI$2&amp;$BI$1)</f>
        <v>0</v>
      </c>
      <c r="BJ86" s="142">
        <f>SUMIFS(領用表!$L:$L,領用表!$E:$E,$B86,領用表!$B:$B,BJ$2&amp;$BI$1)</f>
        <v>0</v>
      </c>
      <c r="BK86" s="142">
        <f>SUMIFS(領用表!$L:$L,領用表!$E:$E,$B86,領用表!$B:$B,BK$2&amp;$BI$1)</f>
        <v>0</v>
      </c>
      <c r="BL86" s="142">
        <f>SUMIFS(領用表!$L:$L,領用表!$E:$E,$B86,領用表!$B:$B,BL$2&amp;$BI$1)</f>
        <v>0</v>
      </c>
      <c r="BM86" s="142">
        <f>SUMIFS(領用表!$L:$L,領用表!$E:$E,$B86,領用表!$B:$B,BM$2&amp;$BI$1)</f>
        <v>0</v>
      </c>
      <c r="BN86" s="142">
        <f>SUMIFS(領用表!$L:$L,領用表!$E:$E,$B86,領用表!$B:$B,BN$2&amp;$BI$1)</f>
        <v>0</v>
      </c>
      <c r="BO86" s="142">
        <f>SUMIFS(領用表!$L:$L,領用表!$E:$E,$B86,領用表!$B:$B,BO$2&amp;$BI$1)</f>
        <v>0</v>
      </c>
      <c r="BP86" s="142">
        <f>SUMIFS(領用表!$L:$L,領用表!$E:$E,$B86,領用表!$B:$B,BP$2&amp;$BI$1)</f>
        <v>0</v>
      </c>
      <c r="BQ86" s="142">
        <f>SUMIFS(領用表!$L:$L,領用表!$E:$E,$B86,領用表!$B:$B,BQ$2&amp;$BI$1)</f>
        <v>0</v>
      </c>
      <c r="BR86" s="142">
        <f>SUMIFS(領用表!$L:$L,領用表!$E:$E,$B86,領用表!$B:$B,BR$2&amp;$BI$1)</f>
        <v>0</v>
      </c>
      <c r="BS86" s="142">
        <f>SUMIFS(領用表!$L:$L,領用表!$E:$E,$B86,領用表!$B:$B,BS$2&amp;$BI$1)</f>
        <v>0</v>
      </c>
      <c r="BT86" s="142">
        <f>SUMIFS(領用表!$L:$L,領用表!$E:$E,$B86,領用表!$B:$B,BT$2&amp;$BI$1)</f>
        <v>0</v>
      </c>
      <c r="BU86" s="142">
        <f t="shared" si="17"/>
        <v>0</v>
      </c>
      <c r="BV86" s="142">
        <f t="shared" si="16"/>
        <v>0</v>
      </c>
      <c r="BW86" s="142">
        <f>SUMIF(Summary!B:B,B86,Summary!DU:DU)</f>
        <v>0</v>
      </c>
      <c r="BX86" s="109"/>
      <c r="BY86" s="65"/>
      <c r="BZ86" s="76"/>
      <c r="CA86" s="76"/>
      <c r="CB86" s="27"/>
      <c r="CC86" s="27"/>
      <c r="CD86" s="14"/>
      <c r="CE86" s="14"/>
    </row>
    <row r="87" spans="1:83" ht="15.75" hidden="1" customHeight="1">
      <c r="A87" s="27" t="s">
        <v>194</v>
      </c>
      <c r="B87" s="14" t="e">
        <v>#N/A</v>
      </c>
      <c r="C87" s="136" t="s">
        <v>567</v>
      </c>
      <c r="D87" s="77"/>
      <c r="E87" s="17" t="s">
        <v>15</v>
      </c>
      <c r="F87" s="18"/>
      <c r="G87" s="70"/>
      <c r="AG87" s="82"/>
      <c r="AH87" s="82"/>
      <c r="AI87" s="82"/>
      <c r="AJ87" s="82"/>
      <c r="AK87" s="82"/>
      <c r="AL87" s="82"/>
      <c r="AM87" s="82"/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68">
        <f t="shared" si="20"/>
        <v>0</v>
      </c>
      <c r="AT87" s="26">
        <f t="shared" si="21"/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20">
        <f>SUMIFS(領用表!$L:$L,領用表!$E:$E,$B87,領用表!$B:$B,AZ$2&amp;$BI$1)</f>
        <v>0</v>
      </c>
      <c r="BA87" s="20">
        <f>SUMIFS(領用表!$L:$L,領用表!$E:$E,$B87,領用表!$B:$B,BA$2&amp;$BI$1)</f>
        <v>0</v>
      </c>
      <c r="BB87" s="20">
        <f>SUMIFS(領用表!$L:$L,領用表!$E:$E,$B87,領用表!$B:$B,BB$2&amp;$BI$1)</f>
        <v>0</v>
      </c>
      <c r="BC87" s="20">
        <f>SUMIFS(領用表!$L:$L,領用表!$E:$E,$B87,領用表!$B:$B,BC$2&amp;$BI$1)</f>
        <v>0</v>
      </c>
      <c r="BD87" s="142">
        <f>SUMIFS(領用表!$L:$L,領用表!$E:$E,$B87,領用表!$B:$B,BD$2&amp;$BI$1)</f>
        <v>0</v>
      </c>
      <c r="BE87" s="142">
        <f>SUMIFS(領用表!$L:$L,領用表!$E:$E,$B87,領用表!$B:$B,BE$2&amp;$BI$1)</f>
        <v>0</v>
      </c>
      <c r="BF87" s="142">
        <f>SUMIFS(領用表!$L:$L,領用表!$E:$E,$B87,領用表!$B:$B,BF$2&amp;$BI$1)</f>
        <v>0</v>
      </c>
      <c r="BG87" s="23">
        <f t="shared" si="18"/>
        <v>0</v>
      </c>
      <c r="BH87" s="23">
        <f t="shared" si="19"/>
        <v>0</v>
      </c>
      <c r="BI87" s="142">
        <f>SUMIFS(領用表!$L:$L,領用表!$E:$E,$B87,領用表!$B:$B,BI$2&amp;$BI$1)</f>
        <v>0</v>
      </c>
      <c r="BJ87" s="142">
        <f>SUMIFS(領用表!$L:$L,領用表!$E:$E,$B87,領用表!$B:$B,BJ$2&amp;$BI$1)</f>
        <v>0</v>
      </c>
      <c r="BK87" s="142">
        <f>SUMIFS(領用表!$L:$L,領用表!$E:$E,$B87,領用表!$B:$B,BK$2&amp;$BI$1)</f>
        <v>0</v>
      </c>
      <c r="BL87" s="142">
        <f>SUMIFS(領用表!$L:$L,領用表!$E:$E,$B87,領用表!$B:$B,BL$2&amp;$BI$1)</f>
        <v>0</v>
      </c>
      <c r="BM87" s="142">
        <f>SUMIFS(領用表!$L:$L,領用表!$E:$E,$B87,領用表!$B:$B,BM$2&amp;$BI$1)</f>
        <v>0</v>
      </c>
      <c r="BN87" s="142">
        <f>SUMIFS(領用表!$L:$L,領用表!$E:$E,$B87,領用表!$B:$B,BN$2&amp;$BI$1)</f>
        <v>0</v>
      </c>
      <c r="BO87" s="142">
        <f>SUMIFS(領用表!$L:$L,領用表!$E:$E,$B87,領用表!$B:$B,BO$2&amp;$BI$1)</f>
        <v>0</v>
      </c>
      <c r="BP87" s="142">
        <f>SUMIFS(領用表!$L:$L,領用表!$E:$E,$B87,領用表!$B:$B,BP$2&amp;$BI$1)</f>
        <v>0</v>
      </c>
      <c r="BQ87" s="142">
        <f>SUMIFS(領用表!$L:$L,領用表!$E:$E,$B87,領用表!$B:$B,BQ$2&amp;$BI$1)</f>
        <v>0</v>
      </c>
      <c r="BR87" s="142">
        <f>SUMIFS(領用表!$L:$L,領用表!$E:$E,$B87,領用表!$B:$B,BR$2&amp;$BI$1)</f>
        <v>0</v>
      </c>
      <c r="BS87" s="142">
        <f>SUMIFS(領用表!$L:$L,領用表!$E:$E,$B87,領用表!$B:$B,BS$2&amp;$BI$1)</f>
        <v>0</v>
      </c>
      <c r="BT87" s="142">
        <f>SUMIFS(領用表!$L:$L,領用表!$E:$E,$B87,領用表!$B:$B,BT$2&amp;$BI$1)</f>
        <v>0</v>
      </c>
      <c r="BU87" s="142">
        <f t="shared" si="17"/>
        <v>0</v>
      </c>
      <c r="BV87" s="142">
        <f t="shared" si="16"/>
        <v>0</v>
      </c>
      <c r="BW87" s="142">
        <f>SUMIF(Summary!B:B,B87,Summary!DU:DU)</f>
        <v>0</v>
      </c>
      <c r="BX87" s="109"/>
      <c r="BY87" s="65"/>
      <c r="BZ87" s="76"/>
      <c r="CA87" s="76"/>
    </row>
    <row r="88" spans="1:83" ht="15.75" hidden="1" customHeight="1">
      <c r="A88" s="27" t="s">
        <v>195</v>
      </c>
      <c r="B88" s="14" t="e">
        <v>#N/A</v>
      </c>
      <c r="C88" s="136" t="s">
        <v>568</v>
      </c>
      <c r="D88" s="77"/>
      <c r="E88" s="17" t="s">
        <v>15</v>
      </c>
      <c r="F88" s="18"/>
      <c r="G88" s="70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56"/>
      <c r="AH88" s="56"/>
      <c r="AI88" s="56"/>
      <c r="AJ88" s="56"/>
      <c r="AK88" s="56"/>
      <c r="AL88" s="56"/>
      <c r="AM88" s="56"/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68">
        <f t="shared" si="20"/>
        <v>0</v>
      </c>
      <c r="AT88" s="26">
        <f t="shared" si="21"/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20">
        <f>SUMIFS(領用表!$L:$L,領用表!$E:$E,$B88,領用表!$B:$B,AZ$2&amp;$BI$1)</f>
        <v>0</v>
      </c>
      <c r="BA88" s="20">
        <f>SUMIFS(領用表!$L:$L,領用表!$E:$E,$B88,領用表!$B:$B,BA$2&amp;$BI$1)</f>
        <v>0</v>
      </c>
      <c r="BB88" s="20">
        <f>SUMIFS(領用表!$L:$L,領用表!$E:$E,$B88,領用表!$B:$B,BB$2&amp;$BI$1)</f>
        <v>0</v>
      </c>
      <c r="BC88" s="20">
        <f>SUMIFS(領用表!$L:$L,領用表!$E:$E,$B88,領用表!$B:$B,BC$2&amp;$BI$1)</f>
        <v>0</v>
      </c>
      <c r="BD88" s="142">
        <f>SUMIFS(領用表!$L:$L,領用表!$E:$E,$B88,領用表!$B:$B,BD$2&amp;$BI$1)</f>
        <v>0</v>
      </c>
      <c r="BE88" s="142">
        <f>SUMIFS(領用表!$L:$L,領用表!$E:$E,$B88,領用表!$B:$B,BE$2&amp;$BI$1)</f>
        <v>0</v>
      </c>
      <c r="BF88" s="142">
        <f>SUMIFS(領用表!$L:$L,領用表!$E:$E,$B88,領用表!$B:$B,BF$2&amp;$BI$1)</f>
        <v>0</v>
      </c>
      <c r="BG88" s="23">
        <f t="shared" si="18"/>
        <v>0</v>
      </c>
      <c r="BH88" s="23">
        <f t="shared" si="19"/>
        <v>0</v>
      </c>
      <c r="BI88" s="142">
        <f>SUMIFS(領用表!$L:$L,領用表!$E:$E,$B88,領用表!$B:$B,BI$2&amp;$BI$1)</f>
        <v>0</v>
      </c>
      <c r="BJ88" s="142">
        <f>SUMIFS(領用表!$L:$L,領用表!$E:$E,$B88,領用表!$B:$B,BJ$2&amp;$BI$1)</f>
        <v>0</v>
      </c>
      <c r="BK88" s="142">
        <f>SUMIFS(領用表!$L:$L,領用表!$E:$E,$B88,領用表!$B:$B,BK$2&amp;$BI$1)</f>
        <v>0</v>
      </c>
      <c r="BL88" s="142">
        <f>SUMIFS(領用表!$L:$L,領用表!$E:$E,$B88,領用表!$B:$B,BL$2&amp;$BI$1)</f>
        <v>0</v>
      </c>
      <c r="BM88" s="142">
        <f>SUMIFS(領用表!$L:$L,領用表!$E:$E,$B88,領用表!$B:$B,BM$2&amp;$BI$1)</f>
        <v>0</v>
      </c>
      <c r="BN88" s="142">
        <f>SUMIFS(領用表!$L:$L,領用表!$E:$E,$B88,領用表!$B:$B,BN$2&amp;$BI$1)</f>
        <v>0</v>
      </c>
      <c r="BO88" s="142">
        <f>SUMIFS(領用表!$L:$L,領用表!$E:$E,$B88,領用表!$B:$B,BO$2&amp;$BI$1)</f>
        <v>0</v>
      </c>
      <c r="BP88" s="142">
        <f>SUMIFS(領用表!$L:$L,領用表!$E:$E,$B88,領用表!$B:$B,BP$2&amp;$BI$1)</f>
        <v>0</v>
      </c>
      <c r="BQ88" s="142">
        <f>SUMIFS(領用表!$L:$L,領用表!$E:$E,$B88,領用表!$B:$B,BQ$2&amp;$BI$1)</f>
        <v>0</v>
      </c>
      <c r="BR88" s="142">
        <f>SUMIFS(領用表!$L:$L,領用表!$E:$E,$B88,領用表!$B:$B,BR$2&amp;$BI$1)</f>
        <v>0</v>
      </c>
      <c r="BS88" s="142">
        <f>SUMIFS(領用表!$L:$L,領用表!$E:$E,$B88,領用表!$B:$B,BS$2&amp;$BI$1)</f>
        <v>0</v>
      </c>
      <c r="BT88" s="142">
        <f>SUMIFS(領用表!$L:$L,領用表!$E:$E,$B88,領用表!$B:$B,BT$2&amp;$BI$1)</f>
        <v>0</v>
      </c>
      <c r="BU88" s="142">
        <f t="shared" si="17"/>
        <v>0</v>
      </c>
      <c r="BV88" s="142">
        <f t="shared" si="16"/>
        <v>0</v>
      </c>
      <c r="BW88" s="142">
        <f>SUMIF(Summary!B:B,B88,Summary!DU:DU)</f>
        <v>0</v>
      </c>
      <c r="BX88" s="109"/>
      <c r="BY88" s="65"/>
      <c r="BZ88" s="76"/>
      <c r="CA88" s="76"/>
      <c r="CB88" s="14"/>
      <c r="CC88" s="14"/>
      <c r="CD88" s="14"/>
      <c r="CE88" s="14"/>
    </row>
    <row r="89" spans="1:83" ht="15.75" hidden="1" customHeight="1">
      <c r="A89" s="27" t="s">
        <v>196</v>
      </c>
      <c r="B89" s="14" t="e">
        <v>#N/A</v>
      </c>
      <c r="C89" s="136" t="s">
        <v>569</v>
      </c>
      <c r="D89" s="77"/>
      <c r="E89" s="17" t="s">
        <v>15</v>
      </c>
      <c r="F89" s="18"/>
      <c r="G89" s="70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19"/>
      <c r="AH89" s="19"/>
      <c r="AI89" s="19"/>
      <c r="AJ89" s="19"/>
      <c r="AK89" s="19"/>
      <c r="AL89" s="19"/>
      <c r="AM89" s="19"/>
      <c r="AN89" s="19">
        <v>10</v>
      </c>
      <c r="AO89" s="19">
        <v>0</v>
      </c>
      <c r="AP89" s="19">
        <v>0</v>
      </c>
      <c r="AQ89" s="19">
        <v>0</v>
      </c>
      <c r="AR89" s="19">
        <v>0</v>
      </c>
      <c r="AS89" s="68">
        <f t="shared" si="20"/>
        <v>10</v>
      </c>
      <c r="AT89" s="26">
        <f t="shared" si="21"/>
        <v>0.83333333333333337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20">
        <f>SUMIFS(領用表!$L:$L,領用表!$E:$E,$B89,領用表!$B:$B,AZ$2&amp;$BI$1)</f>
        <v>0</v>
      </c>
      <c r="BA89" s="20">
        <f>SUMIFS(領用表!$L:$L,領用表!$E:$E,$B89,領用表!$B:$B,BA$2&amp;$BI$1)</f>
        <v>0</v>
      </c>
      <c r="BB89" s="20">
        <f>SUMIFS(領用表!$L:$L,領用表!$E:$E,$B89,領用表!$B:$B,BB$2&amp;$BI$1)</f>
        <v>0</v>
      </c>
      <c r="BC89" s="20">
        <f>SUMIFS(領用表!$L:$L,領用表!$E:$E,$B89,領用表!$B:$B,BC$2&amp;$BI$1)</f>
        <v>0</v>
      </c>
      <c r="BD89" s="142">
        <f>SUMIFS(領用表!$L:$L,領用表!$E:$E,$B89,領用表!$B:$B,BD$2&amp;$BI$1)</f>
        <v>0</v>
      </c>
      <c r="BE89" s="142">
        <f>SUMIFS(領用表!$L:$L,領用表!$E:$E,$B89,領用表!$B:$B,BE$2&amp;$BI$1)</f>
        <v>0</v>
      </c>
      <c r="BF89" s="142">
        <f>SUMIFS(領用表!$L:$L,領用表!$E:$E,$B89,領用表!$B:$B,BF$2&amp;$BI$1)</f>
        <v>0</v>
      </c>
      <c r="BG89" s="23">
        <f t="shared" si="18"/>
        <v>0</v>
      </c>
      <c r="BH89" s="23">
        <f t="shared" si="19"/>
        <v>0</v>
      </c>
      <c r="BI89" s="142">
        <f>SUMIFS(領用表!$L:$L,領用表!$E:$E,$B89,領用表!$B:$B,BI$2&amp;$BI$1)</f>
        <v>0</v>
      </c>
      <c r="BJ89" s="142">
        <f>SUMIFS(領用表!$L:$L,領用表!$E:$E,$B89,領用表!$B:$B,BJ$2&amp;$BI$1)</f>
        <v>0</v>
      </c>
      <c r="BK89" s="142">
        <f>SUMIFS(領用表!$L:$L,領用表!$E:$E,$B89,領用表!$B:$B,BK$2&amp;$BI$1)</f>
        <v>0</v>
      </c>
      <c r="BL89" s="142">
        <f>SUMIFS(領用表!$L:$L,領用表!$E:$E,$B89,領用表!$B:$B,BL$2&amp;$BI$1)</f>
        <v>0</v>
      </c>
      <c r="BM89" s="142">
        <f>SUMIFS(領用表!$L:$L,領用表!$E:$E,$B89,領用表!$B:$B,BM$2&amp;$BI$1)</f>
        <v>0</v>
      </c>
      <c r="BN89" s="142">
        <f>SUMIFS(領用表!$L:$L,領用表!$E:$E,$B89,領用表!$B:$B,BN$2&amp;$BI$1)</f>
        <v>0</v>
      </c>
      <c r="BO89" s="142">
        <f>SUMIFS(領用表!$L:$L,領用表!$E:$E,$B89,領用表!$B:$B,BO$2&amp;$BI$1)</f>
        <v>0</v>
      </c>
      <c r="BP89" s="142">
        <f>SUMIFS(領用表!$L:$L,領用表!$E:$E,$B89,領用表!$B:$B,BP$2&amp;$BI$1)</f>
        <v>0</v>
      </c>
      <c r="BQ89" s="142">
        <f>SUMIFS(領用表!$L:$L,領用表!$E:$E,$B89,領用表!$B:$B,BQ$2&amp;$BI$1)</f>
        <v>0</v>
      </c>
      <c r="BR89" s="142">
        <f>SUMIFS(領用表!$L:$L,領用表!$E:$E,$B89,領用表!$B:$B,BR$2&amp;$BI$1)</f>
        <v>0</v>
      </c>
      <c r="BS89" s="142">
        <f>SUMIFS(領用表!$L:$L,領用表!$E:$E,$B89,領用表!$B:$B,BS$2&amp;$BI$1)</f>
        <v>0</v>
      </c>
      <c r="BT89" s="142">
        <f>SUMIFS(領用表!$L:$L,領用表!$E:$E,$B89,領用表!$B:$B,BT$2&amp;$BI$1)</f>
        <v>0</v>
      </c>
      <c r="BU89" s="142">
        <f t="shared" si="17"/>
        <v>0</v>
      </c>
      <c r="BV89" s="142">
        <f t="shared" si="16"/>
        <v>0</v>
      </c>
      <c r="BW89" s="142">
        <f>SUMIF(Summary!B:B,B89,Summary!DU:DU)</f>
        <v>0</v>
      </c>
      <c r="BX89" s="109"/>
      <c r="BY89" s="65"/>
      <c r="BZ89" s="76"/>
      <c r="CA89" s="76"/>
      <c r="CB89" s="27"/>
      <c r="CC89" s="27"/>
      <c r="CD89" s="14"/>
      <c r="CE89" s="14"/>
    </row>
    <row r="90" spans="1:83" ht="15.75" hidden="1" customHeight="1">
      <c r="A90" s="27" t="s">
        <v>197</v>
      </c>
      <c r="B90" s="14">
        <v>6050007</v>
      </c>
      <c r="C90" s="136" t="s">
        <v>570</v>
      </c>
      <c r="D90" s="77"/>
      <c r="E90" s="17" t="s">
        <v>15</v>
      </c>
      <c r="F90" s="18"/>
      <c r="G90" s="70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19"/>
      <c r="AH90" s="19"/>
      <c r="AI90" s="19"/>
      <c r="AJ90" s="19"/>
      <c r="AK90" s="19"/>
      <c r="AL90" s="19"/>
      <c r="AM90" s="19"/>
      <c r="AN90" s="19">
        <v>0</v>
      </c>
      <c r="AO90" s="19">
        <v>0</v>
      </c>
      <c r="AP90" s="19">
        <v>10</v>
      </c>
      <c r="AQ90" s="19">
        <v>0</v>
      </c>
      <c r="AR90" s="19">
        <v>0</v>
      </c>
      <c r="AS90" s="68">
        <f t="shared" si="20"/>
        <v>10</v>
      </c>
      <c r="AT90" s="26">
        <f t="shared" si="21"/>
        <v>0.83333333333333337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20">
        <f>SUMIFS(領用表!$L:$L,領用表!$E:$E,$B90,領用表!$B:$B,AZ$2&amp;$BI$1)</f>
        <v>0</v>
      </c>
      <c r="BA90" s="20">
        <f>SUMIFS(領用表!$L:$L,領用表!$E:$E,$B90,領用表!$B:$B,BA$2&amp;$BI$1)</f>
        <v>0</v>
      </c>
      <c r="BB90" s="20">
        <f>SUMIFS(領用表!$L:$L,領用表!$E:$E,$B90,領用表!$B:$B,BB$2&amp;$BI$1)</f>
        <v>0</v>
      </c>
      <c r="BC90" s="20">
        <f>SUMIFS(領用表!$L:$L,領用表!$E:$E,$B90,領用表!$B:$B,BC$2&amp;$BI$1)</f>
        <v>0</v>
      </c>
      <c r="BD90" s="142">
        <f>SUMIFS(領用表!$L:$L,領用表!$E:$E,$B90,領用表!$B:$B,BD$2&amp;$BI$1)</f>
        <v>0</v>
      </c>
      <c r="BE90" s="142">
        <f>SUMIFS(領用表!$L:$L,領用表!$E:$E,$B90,領用表!$B:$B,BE$2&amp;$BI$1)</f>
        <v>0</v>
      </c>
      <c r="BF90" s="142">
        <f>SUMIFS(領用表!$L:$L,領用表!$E:$E,$B90,領用表!$B:$B,BF$2&amp;$BI$1)</f>
        <v>0</v>
      </c>
      <c r="BG90" s="23">
        <f t="shared" si="18"/>
        <v>0</v>
      </c>
      <c r="BH90" s="23">
        <f t="shared" si="19"/>
        <v>0</v>
      </c>
      <c r="BI90" s="142">
        <f>SUMIFS(領用表!$L:$L,領用表!$E:$E,$B90,領用表!$B:$B,BI$2&amp;$BI$1)</f>
        <v>0</v>
      </c>
      <c r="BJ90" s="142">
        <f>SUMIFS(領用表!$L:$L,領用表!$E:$E,$B90,領用表!$B:$B,BJ$2&amp;$BI$1)</f>
        <v>0</v>
      </c>
      <c r="BK90" s="142">
        <f>SUMIFS(領用表!$L:$L,領用表!$E:$E,$B90,領用表!$B:$B,BK$2&amp;$BI$1)</f>
        <v>0</v>
      </c>
      <c r="BL90" s="142">
        <f>SUMIFS(領用表!$L:$L,領用表!$E:$E,$B90,領用表!$B:$B,BL$2&amp;$BI$1)</f>
        <v>0</v>
      </c>
      <c r="BM90" s="142">
        <f>SUMIFS(領用表!$L:$L,領用表!$E:$E,$B90,領用表!$B:$B,BM$2&amp;$BI$1)</f>
        <v>0</v>
      </c>
      <c r="BN90" s="142">
        <f>SUMIFS(領用表!$L:$L,領用表!$E:$E,$B90,領用表!$B:$B,BN$2&amp;$BI$1)</f>
        <v>0</v>
      </c>
      <c r="BO90" s="142">
        <f>SUMIFS(領用表!$L:$L,領用表!$E:$E,$B90,領用表!$B:$B,BO$2&amp;$BI$1)</f>
        <v>0</v>
      </c>
      <c r="BP90" s="142">
        <f>SUMIFS(領用表!$L:$L,領用表!$E:$E,$B90,領用表!$B:$B,BP$2&amp;$BI$1)</f>
        <v>0</v>
      </c>
      <c r="BQ90" s="142">
        <f>SUMIFS(領用表!$L:$L,領用表!$E:$E,$B90,領用表!$B:$B,BQ$2&amp;$BI$1)</f>
        <v>0</v>
      </c>
      <c r="BR90" s="142">
        <f>SUMIFS(領用表!$L:$L,領用表!$E:$E,$B90,領用表!$B:$B,BR$2&amp;$BI$1)</f>
        <v>0</v>
      </c>
      <c r="BS90" s="142">
        <f>SUMIFS(領用表!$L:$L,領用表!$E:$E,$B90,領用表!$B:$B,BS$2&amp;$BI$1)</f>
        <v>0</v>
      </c>
      <c r="BT90" s="142">
        <f>SUMIFS(領用表!$L:$L,領用表!$E:$E,$B90,領用表!$B:$B,BT$2&amp;$BI$1)</f>
        <v>0</v>
      </c>
      <c r="BU90" s="142">
        <f t="shared" si="17"/>
        <v>0</v>
      </c>
      <c r="BV90" s="142">
        <f t="shared" si="16"/>
        <v>0</v>
      </c>
      <c r="BW90" s="142">
        <f>SUMIF(Summary!B:B,B90,Summary!DU:DU)</f>
        <v>0</v>
      </c>
      <c r="BX90" s="109"/>
      <c r="BY90" s="65"/>
      <c r="BZ90" s="76"/>
      <c r="CA90" s="76"/>
      <c r="CB90" s="27"/>
      <c r="CC90" s="27"/>
      <c r="CD90" s="14"/>
      <c r="CE90" s="14"/>
    </row>
    <row r="91" spans="1:83" ht="15.75" customHeight="1">
      <c r="A91" s="27" t="s">
        <v>198</v>
      </c>
      <c r="B91" s="14">
        <v>6230002</v>
      </c>
      <c r="C91" s="136" t="s">
        <v>571</v>
      </c>
      <c r="D91" s="77"/>
      <c r="E91" s="17" t="s">
        <v>15</v>
      </c>
      <c r="F91" s="18"/>
      <c r="G91" s="70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19"/>
      <c r="AH91" s="19"/>
      <c r="AI91" s="19"/>
      <c r="AJ91" s="19"/>
      <c r="AK91" s="19"/>
      <c r="AL91" s="19"/>
      <c r="AM91" s="19"/>
      <c r="AN91" s="19">
        <v>0</v>
      </c>
      <c r="AO91" s="19">
        <v>10</v>
      </c>
      <c r="AP91" s="19">
        <v>20</v>
      </c>
      <c r="AQ91" s="19">
        <v>0</v>
      </c>
      <c r="AR91" s="19">
        <v>0</v>
      </c>
      <c r="AS91" s="68">
        <f t="shared" si="20"/>
        <v>30</v>
      </c>
      <c r="AT91" s="26">
        <f t="shared" si="21"/>
        <v>2.5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20">
        <f>SUMIFS(領用表!$L:$L,領用表!$E:$E,$B91,領用表!$B:$B,AZ$2&amp;$BI$1)</f>
        <v>0</v>
      </c>
      <c r="BA91" s="20">
        <f>SUMIFS(領用表!$L:$L,領用表!$E:$E,$B91,領用表!$B:$B,BA$2&amp;$BI$1)</f>
        <v>0</v>
      </c>
      <c r="BB91" s="20">
        <f>SUMIFS(領用表!$L:$L,領用表!$E:$E,$B91,領用表!$B:$B,BB$2&amp;$BI$1)</f>
        <v>0</v>
      </c>
      <c r="BC91" s="20">
        <f>SUMIFS(領用表!$L:$L,領用表!$E:$E,$B91,領用表!$B:$B,BC$2&amp;$BI$1)</f>
        <v>0</v>
      </c>
      <c r="BD91" s="142">
        <f>SUMIFS(領用表!$L:$L,領用表!$E:$E,$B91,領用表!$B:$B,BD$2&amp;$BI$1)</f>
        <v>0</v>
      </c>
      <c r="BE91" s="142">
        <f>SUMIFS(領用表!$L:$L,領用表!$E:$E,$B91,領用表!$B:$B,BE$2&amp;$BI$1)</f>
        <v>0</v>
      </c>
      <c r="BF91" s="142">
        <f>SUMIFS(領用表!$L:$L,領用表!$E:$E,$B91,領用表!$B:$B,BF$2&amp;$BI$1)</f>
        <v>0</v>
      </c>
      <c r="BG91" s="23">
        <f t="shared" si="18"/>
        <v>0</v>
      </c>
      <c r="BH91" s="23">
        <f t="shared" si="19"/>
        <v>0</v>
      </c>
      <c r="BI91" s="142">
        <f>SUMIFS(領用表!$L:$L,領用表!$E:$E,$B91,領用表!$B:$B,BI$2&amp;$BI$1)</f>
        <v>0</v>
      </c>
      <c r="BJ91" s="142">
        <f>SUMIFS(領用表!$L:$L,領用表!$E:$E,$B91,領用表!$B:$B,BJ$2&amp;$BI$1)</f>
        <v>0</v>
      </c>
      <c r="BK91" s="142">
        <f>SUMIFS(領用表!$L:$L,領用表!$E:$E,$B91,領用表!$B:$B,BK$2&amp;$BI$1)</f>
        <v>0</v>
      </c>
      <c r="BL91" s="142">
        <f>SUMIFS(領用表!$L:$L,領用表!$E:$E,$B91,領用表!$B:$B,BL$2&amp;$BI$1)</f>
        <v>0</v>
      </c>
      <c r="BM91" s="142">
        <f>SUMIFS(領用表!$L:$L,領用表!$E:$E,$B91,領用表!$B:$B,BM$2&amp;$BI$1)</f>
        <v>0</v>
      </c>
      <c r="BN91" s="142">
        <f>SUMIFS(領用表!$L:$L,領用表!$E:$E,$B91,領用表!$B:$B,BN$2&amp;$BI$1)</f>
        <v>0</v>
      </c>
      <c r="BO91" s="142">
        <f>SUMIFS(領用表!$L:$L,領用表!$E:$E,$B91,領用表!$B:$B,BO$2&amp;$BI$1)</f>
        <v>0</v>
      </c>
      <c r="BP91" s="142">
        <f>SUMIFS(領用表!$L:$L,領用表!$E:$E,$B91,領用表!$B:$B,BP$2&amp;$BI$1)</f>
        <v>0</v>
      </c>
      <c r="BQ91" s="142">
        <f>SUMIFS(領用表!$L:$L,領用表!$E:$E,$B91,領用表!$B:$B,BQ$2&amp;$BI$1)</f>
        <v>0</v>
      </c>
      <c r="BR91" s="142">
        <f>SUMIFS(領用表!$L:$L,領用表!$E:$E,$B91,領用表!$B:$B,BR$2&amp;$BI$1)</f>
        <v>0</v>
      </c>
      <c r="BS91" s="142">
        <f>SUMIFS(領用表!$L:$L,領用表!$E:$E,$B91,領用表!$B:$B,BS$2&amp;$BI$1)</f>
        <v>0</v>
      </c>
      <c r="BT91" s="142">
        <f>SUMIFS(領用表!$L:$L,領用表!$E:$E,$B91,領用表!$B:$B,BT$2&amp;$BI$1)</f>
        <v>0</v>
      </c>
      <c r="BU91" s="142">
        <f t="shared" si="17"/>
        <v>0</v>
      </c>
      <c r="BV91" s="142">
        <f t="shared" si="16"/>
        <v>0</v>
      </c>
      <c r="BW91" s="142">
        <f>SUMIF(Summary!B:B,B91,Summary!DU:DU)</f>
        <v>0</v>
      </c>
      <c r="BX91" s="109"/>
      <c r="BY91" s="65"/>
      <c r="BZ91" s="76"/>
      <c r="CA91" s="76"/>
      <c r="CB91" s="27"/>
      <c r="CC91" s="27"/>
      <c r="CD91" s="14"/>
      <c r="CE91" s="14"/>
    </row>
    <row r="92" spans="1:83" ht="15.75" hidden="1" customHeight="1">
      <c r="A92" s="27" t="s">
        <v>199</v>
      </c>
      <c r="B92" s="14" t="e">
        <v>#N/A</v>
      </c>
      <c r="C92" s="136" t="s">
        <v>572</v>
      </c>
      <c r="D92" s="77"/>
      <c r="E92" s="17" t="s">
        <v>15</v>
      </c>
      <c r="F92" s="18"/>
      <c r="G92" s="70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19"/>
      <c r="AH92" s="19"/>
      <c r="AI92" s="19"/>
      <c r="AJ92" s="19"/>
      <c r="AK92" s="19"/>
      <c r="AL92" s="19"/>
      <c r="AM92" s="19"/>
      <c r="AN92" s="19">
        <v>0</v>
      </c>
      <c r="AO92" s="19">
        <v>0</v>
      </c>
      <c r="AP92" s="19">
        <v>0</v>
      </c>
      <c r="AQ92" s="19">
        <v>0</v>
      </c>
      <c r="AR92" s="19">
        <v>10</v>
      </c>
      <c r="AS92" s="68">
        <f t="shared" si="20"/>
        <v>10</v>
      </c>
      <c r="AT92" s="26">
        <f t="shared" si="21"/>
        <v>0.83333333333333337</v>
      </c>
      <c r="AU92" s="19">
        <v>10</v>
      </c>
      <c r="AV92" s="19">
        <v>37</v>
      </c>
      <c r="AW92" s="19">
        <v>0</v>
      </c>
      <c r="AX92" s="19">
        <v>0</v>
      </c>
      <c r="AY92" s="19">
        <v>0</v>
      </c>
      <c r="AZ92" s="20">
        <f>SUMIFS(領用表!$L:$L,領用表!$E:$E,$B92,領用表!$B:$B,AZ$2&amp;$BI$1)</f>
        <v>0</v>
      </c>
      <c r="BA92" s="20">
        <f>SUMIFS(領用表!$L:$L,領用表!$E:$E,$B92,領用表!$B:$B,BA$2&amp;$BI$1)</f>
        <v>0</v>
      </c>
      <c r="BB92" s="20">
        <f>SUMIFS(領用表!$L:$L,領用表!$E:$E,$B92,領用表!$B:$B,BB$2&amp;$BI$1)</f>
        <v>0</v>
      </c>
      <c r="BC92" s="20">
        <f>SUMIFS(領用表!$L:$L,領用表!$E:$E,$B92,領用表!$B:$B,BC$2&amp;$BI$1)</f>
        <v>0</v>
      </c>
      <c r="BD92" s="142">
        <f>SUMIFS(領用表!$L:$L,領用表!$E:$E,$B92,領用表!$B:$B,BD$2&amp;$BI$1)</f>
        <v>0</v>
      </c>
      <c r="BE92" s="142">
        <f>SUMIFS(領用表!$L:$L,領用表!$E:$E,$B92,領用表!$B:$B,BE$2&amp;$BI$1)</f>
        <v>0</v>
      </c>
      <c r="BF92" s="142">
        <f>SUMIFS(領用表!$L:$L,領用表!$E:$E,$B92,領用表!$B:$B,BF$2&amp;$BI$1)</f>
        <v>0</v>
      </c>
      <c r="BG92" s="23">
        <f t="shared" si="18"/>
        <v>47</v>
      </c>
      <c r="BH92" s="23">
        <f t="shared" si="19"/>
        <v>3.9166666666666665</v>
      </c>
      <c r="BI92" s="142">
        <f>SUMIFS(領用表!$L:$L,領用表!$E:$E,$B92,領用表!$B:$B,BI$2&amp;$BI$1)</f>
        <v>0</v>
      </c>
      <c r="BJ92" s="142">
        <f>SUMIFS(領用表!$L:$L,領用表!$E:$E,$B92,領用表!$B:$B,BJ$2&amp;$BI$1)</f>
        <v>0</v>
      </c>
      <c r="BK92" s="142">
        <f>SUMIFS(領用表!$L:$L,領用表!$E:$E,$B92,領用表!$B:$B,BK$2&amp;$BI$1)</f>
        <v>0</v>
      </c>
      <c r="BL92" s="142">
        <f>SUMIFS(領用表!$L:$L,領用表!$E:$E,$B92,領用表!$B:$B,BL$2&amp;$BI$1)</f>
        <v>0</v>
      </c>
      <c r="BM92" s="142">
        <f>SUMIFS(領用表!$L:$L,領用表!$E:$E,$B92,領用表!$B:$B,BM$2&amp;$BI$1)</f>
        <v>0</v>
      </c>
      <c r="BN92" s="142">
        <f>SUMIFS(領用表!$L:$L,領用表!$E:$E,$B92,領用表!$B:$B,BN$2&amp;$BI$1)</f>
        <v>0</v>
      </c>
      <c r="BO92" s="142">
        <f>SUMIFS(領用表!$L:$L,領用表!$E:$E,$B92,領用表!$B:$B,BO$2&amp;$BI$1)</f>
        <v>0</v>
      </c>
      <c r="BP92" s="142">
        <f>SUMIFS(領用表!$L:$L,領用表!$E:$E,$B92,領用表!$B:$B,BP$2&amp;$BI$1)</f>
        <v>0</v>
      </c>
      <c r="BQ92" s="142">
        <f>SUMIFS(領用表!$L:$L,領用表!$E:$E,$B92,領用表!$B:$B,BQ$2&amp;$BI$1)</f>
        <v>0</v>
      </c>
      <c r="BR92" s="142">
        <f>SUMIFS(領用表!$L:$L,領用表!$E:$E,$B92,領用表!$B:$B,BR$2&amp;$BI$1)</f>
        <v>0</v>
      </c>
      <c r="BS92" s="142">
        <f>SUMIFS(領用表!$L:$L,領用表!$E:$E,$B92,領用表!$B:$B,BS$2&amp;$BI$1)</f>
        <v>0</v>
      </c>
      <c r="BT92" s="142">
        <f>SUMIFS(領用表!$L:$L,領用表!$E:$E,$B92,領用表!$B:$B,BT$2&amp;$BI$1)</f>
        <v>0</v>
      </c>
      <c r="BU92" s="142">
        <f t="shared" si="17"/>
        <v>0</v>
      </c>
      <c r="BV92" s="142">
        <f t="shared" si="16"/>
        <v>0</v>
      </c>
      <c r="BW92" s="142">
        <f>SUMIF(Summary!B:B,B92,Summary!DU:DU)</f>
        <v>0</v>
      </c>
      <c r="BX92" s="109"/>
      <c r="BY92" s="65"/>
      <c r="BZ92" s="65"/>
      <c r="CA92" s="65"/>
      <c r="CB92" s="27"/>
      <c r="CC92" s="27"/>
      <c r="CD92" s="14"/>
      <c r="CE92" s="14"/>
    </row>
    <row r="93" spans="1:83" ht="15.75" customHeight="1">
      <c r="A93" s="27" t="s">
        <v>200</v>
      </c>
      <c r="B93" s="14">
        <v>6060002</v>
      </c>
      <c r="C93" s="136" t="s">
        <v>573</v>
      </c>
      <c r="D93" s="77"/>
      <c r="E93" s="17" t="s">
        <v>15</v>
      </c>
      <c r="F93" s="18"/>
      <c r="G93" s="70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19"/>
      <c r="AH93" s="19"/>
      <c r="AI93" s="19"/>
      <c r="AJ93" s="19"/>
      <c r="AK93" s="19"/>
      <c r="AL93" s="19"/>
      <c r="AM93" s="19"/>
      <c r="AN93" s="19">
        <v>0</v>
      </c>
      <c r="AO93" s="19">
        <v>0</v>
      </c>
      <c r="AP93" s="19">
        <v>0</v>
      </c>
      <c r="AQ93" s="19">
        <v>800</v>
      </c>
      <c r="AR93" s="19">
        <v>200</v>
      </c>
      <c r="AS93" s="68">
        <f t="shared" si="20"/>
        <v>1000</v>
      </c>
      <c r="AT93" s="26">
        <f t="shared" si="21"/>
        <v>83.333333333333329</v>
      </c>
      <c r="AU93" s="19">
        <v>0</v>
      </c>
      <c r="AV93" s="19">
        <v>0</v>
      </c>
      <c r="AW93" s="19">
        <v>200</v>
      </c>
      <c r="AX93" s="19">
        <v>0</v>
      </c>
      <c r="AY93" s="19">
        <v>0</v>
      </c>
      <c r="AZ93" s="20">
        <f>SUMIFS(領用表!$L:$L,領用表!$E:$E,$B93,領用表!$B:$B,AZ$2&amp;$BI$1)</f>
        <v>0</v>
      </c>
      <c r="BA93" s="20">
        <f>SUMIFS(領用表!$L:$L,領用表!$E:$E,$B93,領用表!$B:$B,BA$2&amp;$BI$1)</f>
        <v>0</v>
      </c>
      <c r="BB93" s="20">
        <f>SUMIFS(領用表!$L:$L,領用表!$E:$E,$B93,領用表!$B:$B,BB$2&amp;$BI$1)</f>
        <v>0</v>
      </c>
      <c r="BC93" s="20">
        <f>SUMIFS(領用表!$L:$L,領用表!$E:$E,$B93,領用表!$B:$B,BC$2&amp;$BI$1)</f>
        <v>0</v>
      </c>
      <c r="BD93" s="142">
        <f>SUMIFS(領用表!$L:$L,領用表!$E:$E,$B93,領用表!$B:$B,BD$2&amp;$BI$1)</f>
        <v>0</v>
      </c>
      <c r="BE93" s="142">
        <f>SUMIFS(領用表!$L:$L,領用表!$E:$E,$B93,領用表!$B:$B,BE$2&amp;$BI$1)</f>
        <v>0</v>
      </c>
      <c r="BF93" s="142">
        <f>SUMIFS(領用表!$L:$L,領用表!$E:$E,$B93,領用表!$B:$B,BF$2&amp;$BI$1)</f>
        <v>0</v>
      </c>
      <c r="BG93" s="23">
        <f t="shared" si="18"/>
        <v>200</v>
      </c>
      <c r="BH93" s="23">
        <f t="shared" si="19"/>
        <v>16.666666666666668</v>
      </c>
      <c r="BI93" s="142">
        <f>SUMIFS(領用表!$L:$L,領用表!$E:$E,$B93,領用表!$B:$B,BI$2&amp;$BI$1)</f>
        <v>0</v>
      </c>
      <c r="BJ93" s="142">
        <f>SUMIFS(領用表!$L:$L,領用表!$E:$E,$B93,領用表!$B:$B,BJ$2&amp;$BI$1)</f>
        <v>0</v>
      </c>
      <c r="BK93" s="142">
        <f>SUMIFS(領用表!$L:$L,領用表!$E:$E,$B93,領用表!$B:$B,BK$2&amp;$BI$1)</f>
        <v>0</v>
      </c>
      <c r="BL93" s="142">
        <f>SUMIFS(領用表!$L:$L,領用表!$E:$E,$B93,領用表!$B:$B,BL$2&amp;$BI$1)</f>
        <v>0</v>
      </c>
      <c r="BM93" s="142">
        <f>SUMIFS(領用表!$L:$L,領用表!$E:$E,$B93,領用表!$B:$B,BM$2&amp;$BI$1)</f>
        <v>0</v>
      </c>
      <c r="BN93" s="142">
        <f>SUMIFS(領用表!$L:$L,領用表!$E:$E,$B93,領用表!$B:$B,BN$2&amp;$BI$1)</f>
        <v>0</v>
      </c>
      <c r="BO93" s="142">
        <f>SUMIFS(領用表!$L:$L,領用表!$E:$E,$B93,領用表!$B:$B,BO$2&amp;$BI$1)</f>
        <v>0</v>
      </c>
      <c r="BP93" s="142">
        <f>SUMIFS(領用表!$L:$L,領用表!$E:$E,$B93,領用表!$B:$B,BP$2&amp;$BI$1)</f>
        <v>0</v>
      </c>
      <c r="BQ93" s="142">
        <f>SUMIFS(領用表!$L:$L,領用表!$E:$E,$B93,領用表!$B:$B,BQ$2&amp;$BI$1)</f>
        <v>0</v>
      </c>
      <c r="BR93" s="142">
        <f>SUMIFS(領用表!$L:$L,領用表!$E:$E,$B93,領用表!$B:$B,BR$2&amp;$BI$1)</f>
        <v>0</v>
      </c>
      <c r="BS93" s="142">
        <f>SUMIFS(領用表!$L:$L,領用表!$E:$E,$B93,領用表!$B:$B,BS$2&amp;$BI$1)</f>
        <v>0</v>
      </c>
      <c r="BT93" s="142">
        <f>SUMIFS(領用表!$L:$L,領用表!$E:$E,$B93,領用表!$B:$B,BT$2&amp;$BI$1)</f>
        <v>0</v>
      </c>
      <c r="BU93" s="142">
        <f t="shared" si="17"/>
        <v>0</v>
      </c>
      <c r="BV93" s="142">
        <f t="shared" si="16"/>
        <v>0</v>
      </c>
      <c r="BW93" s="142">
        <f>SUMIF(Summary!B:B,B93,Summary!DU:DU)</f>
        <v>0</v>
      </c>
      <c r="BX93" s="109"/>
      <c r="BY93" s="65"/>
      <c r="BZ93" s="65"/>
      <c r="CA93" s="65"/>
      <c r="CB93" s="27"/>
      <c r="CC93" s="27"/>
      <c r="CD93" s="14"/>
      <c r="CE93" s="14"/>
    </row>
    <row r="94" spans="1:83" ht="15.75" customHeight="1">
      <c r="A94" s="27" t="s">
        <v>201</v>
      </c>
      <c r="B94" s="14">
        <v>6230001</v>
      </c>
      <c r="C94" s="136" t="s">
        <v>574</v>
      </c>
      <c r="D94" s="77"/>
      <c r="E94" s="17" t="s">
        <v>15</v>
      </c>
      <c r="F94" s="18"/>
      <c r="G94" s="70"/>
      <c r="AG94" s="82"/>
      <c r="AH94" s="82"/>
      <c r="AI94" s="82"/>
      <c r="AJ94" s="82"/>
      <c r="AK94" s="82"/>
      <c r="AL94" s="82"/>
      <c r="AM94" s="82"/>
      <c r="AN94" s="19">
        <v>0</v>
      </c>
      <c r="AO94" s="19">
        <v>0</v>
      </c>
      <c r="AP94" s="19">
        <v>0</v>
      </c>
      <c r="AQ94" s="19">
        <v>800</v>
      </c>
      <c r="AR94" s="19">
        <v>200</v>
      </c>
      <c r="AS94" s="68">
        <f t="shared" si="20"/>
        <v>1000</v>
      </c>
      <c r="AT94" s="26">
        <f t="shared" si="21"/>
        <v>83.333333333333329</v>
      </c>
      <c r="AU94" s="19">
        <v>0</v>
      </c>
      <c r="AV94" s="19">
        <v>0</v>
      </c>
      <c r="AW94" s="19">
        <v>200</v>
      </c>
      <c r="AX94" s="19">
        <v>0</v>
      </c>
      <c r="AY94" s="19">
        <v>0</v>
      </c>
      <c r="AZ94" s="20">
        <f>SUMIFS(領用表!$L:$L,領用表!$E:$E,$B94,領用表!$B:$B,AZ$2&amp;$BI$1)</f>
        <v>0</v>
      </c>
      <c r="BA94" s="20">
        <f>SUMIFS(領用表!$L:$L,領用表!$E:$E,$B94,領用表!$B:$B,BA$2&amp;$BI$1)</f>
        <v>0</v>
      </c>
      <c r="BB94" s="20">
        <f>SUMIFS(領用表!$L:$L,領用表!$E:$E,$B94,領用表!$B:$B,BB$2&amp;$BI$1)</f>
        <v>0</v>
      </c>
      <c r="BC94" s="20">
        <f>SUMIFS(領用表!$L:$L,領用表!$E:$E,$B94,領用表!$B:$B,BC$2&amp;$BI$1)</f>
        <v>0</v>
      </c>
      <c r="BD94" s="142">
        <f>SUMIFS(領用表!$L:$L,領用表!$E:$E,$B94,領用表!$B:$B,BD$2&amp;$BI$1)</f>
        <v>0</v>
      </c>
      <c r="BE94" s="142">
        <f>SUMIFS(領用表!$L:$L,領用表!$E:$E,$B94,領用表!$B:$B,BE$2&amp;$BI$1)</f>
        <v>0</v>
      </c>
      <c r="BF94" s="142">
        <f>SUMIFS(領用表!$L:$L,領用表!$E:$E,$B94,領用表!$B:$B,BF$2&amp;$BI$1)</f>
        <v>0</v>
      </c>
      <c r="BG94" s="23">
        <f t="shared" si="18"/>
        <v>200</v>
      </c>
      <c r="BH94" s="23">
        <f t="shared" si="19"/>
        <v>16.666666666666668</v>
      </c>
      <c r="BI94" s="142">
        <f>SUMIFS(領用表!$L:$L,領用表!$E:$E,$B94,領用表!$B:$B,BI$2&amp;$BI$1)</f>
        <v>0</v>
      </c>
      <c r="BJ94" s="142">
        <f>SUMIFS(領用表!$L:$L,領用表!$E:$E,$B94,領用表!$B:$B,BJ$2&amp;$BI$1)</f>
        <v>0</v>
      </c>
      <c r="BK94" s="142">
        <f>SUMIFS(領用表!$L:$L,領用表!$E:$E,$B94,領用表!$B:$B,BK$2&amp;$BI$1)</f>
        <v>0</v>
      </c>
      <c r="BL94" s="142">
        <f>SUMIFS(領用表!$L:$L,領用表!$E:$E,$B94,領用表!$B:$B,BL$2&amp;$BI$1)</f>
        <v>0</v>
      </c>
      <c r="BM94" s="142">
        <f>SUMIFS(領用表!$L:$L,領用表!$E:$E,$B94,領用表!$B:$B,BM$2&amp;$BI$1)</f>
        <v>0</v>
      </c>
      <c r="BN94" s="142">
        <f>SUMIFS(領用表!$L:$L,領用表!$E:$E,$B94,領用表!$B:$B,BN$2&amp;$BI$1)</f>
        <v>0</v>
      </c>
      <c r="BO94" s="142">
        <f>SUMIFS(領用表!$L:$L,領用表!$E:$E,$B94,領用表!$B:$B,BO$2&amp;$BI$1)</f>
        <v>0</v>
      </c>
      <c r="BP94" s="142">
        <f>SUMIFS(領用表!$L:$L,領用表!$E:$E,$B94,領用表!$B:$B,BP$2&amp;$BI$1)</f>
        <v>0</v>
      </c>
      <c r="BQ94" s="142">
        <f>SUMIFS(領用表!$L:$L,領用表!$E:$E,$B94,領用表!$B:$B,BQ$2&amp;$BI$1)</f>
        <v>0</v>
      </c>
      <c r="BR94" s="142">
        <f>SUMIFS(領用表!$L:$L,領用表!$E:$E,$B94,領用表!$B:$B,BR$2&amp;$BI$1)</f>
        <v>0</v>
      </c>
      <c r="BS94" s="142">
        <f>SUMIFS(領用表!$L:$L,領用表!$E:$E,$B94,領用表!$B:$B,BS$2&amp;$BI$1)</f>
        <v>0</v>
      </c>
      <c r="BT94" s="142">
        <f>SUMIFS(領用表!$L:$L,領用表!$E:$E,$B94,領用表!$B:$B,BT$2&amp;$BI$1)</f>
        <v>0</v>
      </c>
      <c r="BU94" s="142">
        <f t="shared" si="17"/>
        <v>0</v>
      </c>
      <c r="BV94" s="142">
        <f t="shared" si="16"/>
        <v>0</v>
      </c>
      <c r="BW94" s="142">
        <f>SUMIF(Summary!B:B,B94,Summary!DU:DU)</f>
        <v>0</v>
      </c>
      <c r="BX94" s="109"/>
      <c r="BY94" s="65"/>
      <c r="BZ94" s="65"/>
      <c r="CA94" s="65"/>
    </row>
    <row r="95" spans="1:83" ht="15.75" customHeight="1">
      <c r="A95" s="27" t="s">
        <v>202</v>
      </c>
      <c r="B95" s="14">
        <v>6070001</v>
      </c>
      <c r="C95" s="136" t="s">
        <v>575</v>
      </c>
      <c r="D95" s="77"/>
      <c r="E95" s="17" t="s">
        <v>15</v>
      </c>
      <c r="F95" s="18"/>
      <c r="G95" s="70"/>
      <c r="AG95" s="82"/>
      <c r="AH95" s="82"/>
      <c r="AI95" s="82"/>
      <c r="AJ95" s="82"/>
      <c r="AK95" s="82"/>
      <c r="AL95" s="82"/>
      <c r="AM95" s="82"/>
      <c r="AN95" s="19">
        <v>0</v>
      </c>
      <c r="AO95" s="19">
        <v>0</v>
      </c>
      <c r="AP95" s="19">
        <v>0</v>
      </c>
      <c r="AQ95" s="19">
        <v>5</v>
      </c>
      <c r="AR95" s="19">
        <v>0</v>
      </c>
      <c r="AS95" s="68">
        <f t="shared" si="20"/>
        <v>5</v>
      </c>
      <c r="AT95" s="26">
        <f t="shared" si="21"/>
        <v>0.41666666666666669</v>
      </c>
      <c r="AU95" s="19">
        <v>0</v>
      </c>
      <c r="AV95" s="19">
        <v>6</v>
      </c>
      <c r="AW95" s="19">
        <v>0</v>
      </c>
      <c r="AX95" s="19">
        <v>0</v>
      </c>
      <c r="AY95" s="19">
        <v>0</v>
      </c>
      <c r="AZ95" s="20">
        <f>SUMIFS(領用表!$L:$L,領用表!$E:$E,$B95,領用表!$B:$B,AZ$2&amp;$BI$1)</f>
        <v>0</v>
      </c>
      <c r="BA95" s="20">
        <f>SUMIFS(領用表!$L:$L,領用表!$E:$E,$B95,領用表!$B:$B,BA$2&amp;$BI$1)</f>
        <v>0</v>
      </c>
      <c r="BB95" s="20">
        <f>SUMIFS(領用表!$L:$L,領用表!$E:$E,$B95,領用表!$B:$B,BB$2&amp;$BI$1)</f>
        <v>0</v>
      </c>
      <c r="BC95" s="20">
        <f>SUMIFS(領用表!$L:$L,領用表!$E:$E,$B95,領用表!$B:$B,BC$2&amp;$BI$1)</f>
        <v>0</v>
      </c>
      <c r="BD95" s="142">
        <f>SUMIFS(領用表!$L:$L,領用表!$E:$E,$B95,領用表!$B:$B,BD$2&amp;$BI$1)</f>
        <v>0</v>
      </c>
      <c r="BE95" s="142">
        <f>SUMIFS(領用表!$L:$L,領用表!$E:$E,$B95,領用表!$B:$B,BE$2&amp;$BI$1)</f>
        <v>0</v>
      </c>
      <c r="BF95" s="142">
        <f>SUMIFS(領用表!$L:$L,領用表!$E:$E,$B95,領用表!$B:$B,BF$2&amp;$BI$1)</f>
        <v>0</v>
      </c>
      <c r="BG95" s="23">
        <f t="shared" si="18"/>
        <v>6</v>
      </c>
      <c r="BH95" s="23">
        <f t="shared" si="19"/>
        <v>0.5</v>
      </c>
      <c r="BI95" s="142">
        <f>SUMIFS(領用表!$L:$L,領用表!$E:$E,$B95,領用表!$B:$B,BI$2&amp;$BI$1)</f>
        <v>0</v>
      </c>
      <c r="BJ95" s="142">
        <f>SUMIFS(領用表!$L:$L,領用表!$E:$E,$B95,領用表!$B:$B,BJ$2&amp;$BI$1)</f>
        <v>0</v>
      </c>
      <c r="BK95" s="142">
        <f>SUMIFS(領用表!$L:$L,領用表!$E:$E,$B95,領用表!$B:$B,BK$2&amp;$BI$1)</f>
        <v>0</v>
      </c>
      <c r="BL95" s="142">
        <f>SUMIFS(領用表!$L:$L,領用表!$E:$E,$B95,領用表!$B:$B,BL$2&amp;$BI$1)</f>
        <v>0</v>
      </c>
      <c r="BM95" s="142">
        <f>SUMIFS(領用表!$L:$L,領用表!$E:$E,$B95,領用表!$B:$B,BM$2&amp;$BI$1)</f>
        <v>0</v>
      </c>
      <c r="BN95" s="142">
        <f>SUMIFS(領用表!$L:$L,領用表!$E:$E,$B95,領用表!$B:$B,BN$2&amp;$BI$1)</f>
        <v>0</v>
      </c>
      <c r="BO95" s="142">
        <f>SUMIFS(領用表!$L:$L,領用表!$E:$E,$B95,領用表!$B:$B,BO$2&amp;$BI$1)</f>
        <v>0</v>
      </c>
      <c r="BP95" s="142">
        <f>SUMIFS(領用表!$L:$L,領用表!$E:$E,$B95,領用表!$B:$B,BP$2&amp;$BI$1)</f>
        <v>0</v>
      </c>
      <c r="BQ95" s="142">
        <f>SUMIFS(領用表!$L:$L,領用表!$E:$E,$B95,領用表!$B:$B,BQ$2&amp;$BI$1)</f>
        <v>0</v>
      </c>
      <c r="BR95" s="142">
        <f>SUMIFS(領用表!$L:$L,領用表!$E:$E,$B95,領用表!$B:$B,BR$2&amp;$BI$1)</f>
        <v>0</v>
      </c>
      <c r="BS95" s="142">
        <f>SUMIFS(領用表!$L:$L,領用表!$E:$E,$B95,領用表!$B:$B,BS$2&amp;$BI$1)</f>
        <v>0</v>
      </c>
      <c r="BT95" s="142">
        <f>SUMIFS(領用表!$L:$L,領用表!$E:$E,$B95,領用表!$B:$B,BT$2&amp;$BI$1)</f>
        <v>0</v>
      </c>
      <c r="BU95" s="142">
        <f t="shared" si="17"/>
        <v>0</v>
      </c>
      <c r="BV95" s="142">
        <f t="shared" si="16"/>
        <v>0</v>
      </c>
      <c r="BW95" s="142">
        <f>SUMIF(Summary!B:B,B95,Summary!DU:DU)</f>
        <v>0</v>
      </c>
      <c r="BX95" s="109"/>
      <c r="BY95" s="65"/>
      <c r="BZ95" s="65"/>
      <c r="CA95" s="65"/>
    </row>
    <row r="96" spans="1:83" ht="15.75" hidden="1" customHeight="1">
      <c r="A96" s="27" t="s">
        <v>203</v>
      </c>
      <c r="B96" s="14" t="e">
        <v>#N/A</v>
      </c>
      <c r="C96" s="136" t="s">
        <v>635</v>
      </c>
      <c r="D96" s="77"/>
      <c r="E96" s="17" t="s">
        <v>15</v>
      </c>
      <c r="F96" s="18"/>
      <c r="G96" s="70"/>
      <c r="AG96" s="82"/>
      <c r="AH96" s="82"/>
      <c r="AI96" s="82"/>
      <c r="AJ96" s="82"/>
      <c r="AK96" s="82"/>
      <c r="AL96" s="82"/>
      <c r="AM96" s="82"/>
      <c r="AN96" s="19">
        <v>0</v>
      </c>
      <c r="AO96" s="19">
        <f>171/15</f>
        <v>11.4</v>
      </c>
      <c r="AP96" s="19">
        <v>0</v>
      </c>
      <c r="AQ96" s="19">
        <v>45</v>
      </c>
      <c r="AR96" s="19">
        <v>108</v>
      </c>
      <c r="AS96" s="68">
        <f t="shared" si="20"/>
        <v>164.4</v>
      </c>
      <c r="AT96" s="26">
        <f t="shared" si="21"/>
        <v>13.700000000000001</v>
      </c>
      <c r="AU96" s="19">
        <v>45</v>
      </c>
      <c r="AV96" s="19">
        <v>36</v>
      </c>
      <c r="AW96" s="19">
        <v>0</v>
      </c>
      <c r="AX96" s="19">
        <v>0</v>
      </c>
      <c r="AY96" s="19">
        <v>0</v>
      </c>
      <c r="AZ96" s="20">
        <f>SUMIFS(領用表!$L:$L,領用表!$E:$E,$B96,領用表!$B:$B,AZ$2&amp;$BI$1)</f>
        <v>0</v>
      </c>
      <c r="BA96" s="20">
        <f>SUMIFS(領用表!$L:$L,領用表!$E:$E,$B96,領用表!$B:$B,BA$2&amp;$BI$1)</f>
        <v>0</v>
      </c>
      <c r="BB96" s="20">
        <f>SUMIFS(領用表!$L:$L,領用表!$E:$E,$B96,領用表!$B:$B,BB$2&amp;$BI$1)</f>
        <v>0</v>
      </c>
      <c r="BC96" s="20">
        <f>SUMIFS(領用表!$L:$L,領用表!$E:$E,$B96,領用表!$B:$B,BC$2&amp;$BI$1)</f>
        <v>0</v>
      </c>
      <c r="BD96" s="142">
        <f>SUMIFS(領用表!$L:$L,領用表!$E:$E,$B96,領用表!$B:$B,BD$2&amp;$BI$1)</f>
        <v>0</v>
      </c>
      <c r="BE96" s="142">
        <f>SUMIFS(領用表!$L:$L,領用表!$E:$E,$B96,領用表!$B:$B,BE$2&amp;$BI$1)</f>
        <v>0</v>
      </c>
      <c r="BF96" s="142">
        <f>SUMIFS(領用表!$L:$L,領用表!$E:$E,$B96,領用表!$B:$B,BF$2&amp;$BI$1)</f>
        <v>0</v>
      </c>
      <c r="BG96" s="23">
        <f t="shared" si="18"/>
        <v>81</v>
      </c>
      <c r="BH96" s="23">
        <f t="shared" si="19"/>
        <v>6.75</v>
      </c>
      <c r="BI96" s="142">
        <f>SUMIFS(領用表!$L:$L,領用表!$E:$E,$B96,領用表!$B:$B,BI$2&amp;$BI$1)</f>
        <v>0</v>
      </c>
      <c r="BJ96" s="142">
        <f>SUMIFS(領用表!$L:$L,領用表!$E:$E,$B96,領用表!$B:$B,BJ$2&amp;$BI$1)</f>
        <v>0</v>
      </c>
      <c r="BK96" s="142">
        <f>SUMIFS(領用表!$L:$L,領用表!$E:$E,$B96,領用表!$B:$B,BK$2&amp;$BI$1)</f>
        <v>0</v>
      </c>
      <c r="BL96" s="142">
        <f>SUMIFS(領用表!$L:$L,領用表!$E:$E,$B96,領用表!$B:$B,BL$2&amp;$BI$1)</f>
        <v>0</v>
      </c>
      <c r="BM96" s="142">
        <f>SUMIFS(領用表!$L:$L,領用表!$E:$E,$B96,領用表!$B:$B,BM$2&amp;$BI$1)</f>
        <v>0</v>
      </c>
      <c r="BN96" s="142">
        <f>SUMIFS(領用表!$L:$L,領用表!$E:$E,$B96,領用表!$B:$B,BN$2&amp;$BI$1)</f>
        <v>0</v>
      </c>
      <c r="BO96" s="142">
        <f>SUMIFS(領用表!$L:$L,領用表!$E:$E,$B96,領用表!$B:$B,BO$2&amp;$BI$1)</f>
        <v>0</v>
      </c>
      <c r="BP96" s="142">
        <f>SUMIFS(領用表!$L:$L,領用表!$E:$E,$B96,領用表!$B:$B,BP$2&amp;$BI$1)</f>
        <v>0</v>
      </c>
      <c r="BQ96" s="142">
        <f>SUMIFS(領用表!$L:$L,領用表!$E:$E,$B96,領用表!$B:$B,BQ$2&amp;$BI$1)</f>
        <v>0</v>
      </c>
      <c r="BR96" s="142">
        <f>SUMIFS(領用表!$L:$L,領用表!$E:$E,$B96,領用表!$B:$B,BR$2&amp;$BI$1)</f>
        <v>0</v>
      </c>
      <c r="BS96" s="142">
        <f>SUMIFS(領用表!$L:$L,領用表!$E:$E,$B96,領用表!$B:$B,BS$2&amp;$BI$1)</f>
        <v>0</v>
      </c>
      <c r="BT96" s="142">
        <f>SUMIFS(領用表!$L:$L,領用表!$E:$E,$B96,領用表!$B:$B,BT$2&amp;$BI$1)</f>
        <v>0</v>
      </c>
      <c r="BU96" s="142">
        <f t="shared" si="17"/>
        <v>0</v>
      </c>
      <c r="BV96" s="142">
        <f t="shared" si="16"/>
        <v>0</v>
      </c>
      <c r="BW96" s="142">
        <f>SUMIF(Summary!B:B,B96,Summary!DU:DU)</f>
        <v>0</v>
      </c>
      <c r="BX96" s="109"/>
      <c r="BY96" s="65"/>
      <c r="BZ96" s="65"/>
      <c r="CA96" s="65"/>
    </row>
    <row r="97" spans="1:81" ht="15.75" hidden="1" customHeight="1">
      <c r="A97" s="27" t="s">
        <v>204</v>
      </c>
      <c r="B97" s="14" t="e">
        <v>#N/A</v>
      </c>
      <c r="C97" s="136" t="s">
        <v>576</v>
      </c>
      <c r="D97" s="77"/>
      <c r="E97" s="17" t="s">
        <v>15</v>
      </c>
      <c r="F97" s="18"/>
      <c r="G97" s="70"/>
      <c r="AG97" s="82"/>
      <c r="AH97" s="82"/>
      <c r="AI97" s="82"/>
      <c r="AJ97" s="82"/>
      <c r="AK97" s="82"/>
      <c r="AL97" s="82"/>
      <c r="AM97" s="82"/>
      <c r="AN97" s="19">
        <v>0</v>
      </c>
      <c r="AO97" s="19">
        <v>0</v>
      </c>
      <c r="AP97" s="19">
        <v>0</v>
      </c>
      <c r="AQ97" s="19">
        <v>6</v>
      </c>
      <c r="AR97" s="19">
        <v>0</v>
      </c>
      <c r="AS97" s="68">
        <f t="shared" si="20"/>
        <v>6</v>
      </c>
      <c r="AT97" s="26">
        <f t="shared" si="21"/>
        <v>0.5</v>
      </c>
      <c r="AU97" s="19">
        <v>19</v>
      </c>
      <c r="AV97" s="19">
        <v>0</v>
      </c>
      <c r="AW97" s="19">
        <v>0</v>
      </c>
      <c r="AX97" s="19">
        <v>0</v>
      </c>
      <c r="AY97" s="19">
        <v>0</v>
      </c>
      <c r="AZ97" s="20">
        <f>SUMIFS(領用表!$L:$L,領用表!$E:$E,$B97,領用表!$B:$B,AZ$2&amp;$BI$1)</f>
        <v>0</v>
      </c>
      <c r="BA97" s="20">
        <f>SUMIFS(領用表!$L:$L,領用表!$E:$E,$B97,領用表!$B:$B,BA$2&amp;$BI$1)</f>
        <v>0</v>
      </c>
      <c r="BB97" s="20">
        <f>SUMIFS(領用表!$L:$L,領用表!$E:$E,$B97,領用表!$B:$B,BB$2&amp;$BI$1)</f>
        <v>0</v>
      </c>
      <c r="BC97" s="20">
        <f>SUMIFS(領用表!$L:$L,領用表!$E:$E,$B97,領用表!$B:$B,BC$2&amp;$BI$1)</f>
        <v>0</v>
      </c>
      <c r="BD97" s="142">
        <f>SUMIFS(領用表!$L:$L,領用表!$E:$E,$B97,領用表!$B:$B,BD$2&amp;$BI$1)</f>
        <v>0</v>
      </c>
      <c r="BE97" s="142">
        <f>SUMIFS(領用表!$L:$L,領用表!$E:$E,$B97,領用表!$B:$B,BE$2&amp;$BI$1)</f>
        <v>0</v>
      </c>
      <c r="BF97" s="142">
        <f>SUMIFS(領用表!$L:$L,領用表!$E:$E,$B97,領用表!$B:$B,BF$2&amp;$BI$1)</f>
        <v>0</v>
      </c>
      <c r="BG97" s="23">
        <f t="shared" si="18"/>
        <v>19</v>
      </c>
      <c r="BH97" s="23">
        <f t="shared" si="19"/>
        <v>1.5833333333333333</v>
      </c>
      <c r="BI97" s="142">
        <f>SUMIFS(領用表!$L:$L,領用表!$E:$E,$B97,領用表!$B:$B,BI$2&amp;$BI$1)</f>
        <v>0</v>
      </c>
      <c r="BJ97" s="142">
        <f>SUMIFS(領用表!$L:$L,領用表!$E:$E,$B97,領用表!$B:$B,BJ$2&amp;$BI$1)</f>
        <v>0</v>
      </c>
      <c r="BK97" s="142">
        <f>SUMIFS(領用表!$L:$L,領用表!$E:$E,$B97,領用表!$B:$B,BK$2&amp;$BI$1)</f>
        <v>0</v>
      </c>
      <c r="BL97" s="142">
        <f>SUMIFS(領用表!$L:$L,領用表!$E:$E,$B97,領用表!$B:$B,BL$2&amp;$BI$1)</f>
        <v>0</v>
      </c>
      <c r="BM97" s="142">
        <f>SUMIFS(領用表!$L:$L,領用表!$E:$E,$B97,領用表!$B:$B,BM$2&amp;$BI$1)</f>
        <v>0</v>
      </c>
      <c r="BN97" s="142">
        <f>SUMIFS(領用表!$L:$L,領用表!$E:$E,$B97,領用表!$B:$B,BN$2&amp;$BI$1)</f>
        <v>0</v>
      </c>
      <c r="BO97" s="142">
        <f>SUMIFS(領用表!$L:$L,領用表!$E:$E,$B97,領用表!$B:$B,BO$2&amp;$BI$1)</f>
        <v>0</v>
      </c>
      <c r="BP97" s="142">
        <f>SUMIFS(領用表!$L:$L,領用表!$E:$E,$B97,領用表!$B:$B,BP$2&amp;$BI$1)</f>
        <v>0</v>
      </c>
      <c r="BQ97" s="142">
        <f>SUMIFS(領用表!$L:$L,領用表!$E:$E,$B97,領用表!$B:$B,BQ$2&amp;$BI$1)</f>
        <v>0</v>
      </c>
      <c r="BR97" s="142">
        <f>SUMIFS(領用表!$L:$L,領用表!$E:$E,$B97,領用表!$B:$B,BR$2&amp;$BI$1)</f>
        <v>0</v>
      </c>
      <c r="BS97" s="142">
        <f>SUMIFS(領用表!$L:$L,領用表!$E:$E,$B97,領用表!$B:$B,BS$2&amp;$BI$1)</f>
        <v>0</v>
      </c>
      <c r="BT97" s="142">
        <f>SUMIFS(領用表!$L:$L,領用表!$E:$E,$B97,領用表!$B:$B,BT$2&amp;$BI$1)</f>
        <v>0</v>
      </c>
      <c r="BU97" s="142">
        <f t="shared" si="17"/>
        <v>0</v>
      </c>
      <c r="BV97" s="142">
        <f t="shared" si="16"/>
        <v>0</v>
      </c>
      <c r="BW97" s="142">
        <f>SUMIF(Summary!B:B,B97,Summary!DU:DU)</f>
        <v>0</v>
      </c>
      <c r="BX97" s="109"/>
      <c r="BY97" s="65"/>
      <c r="BZ97" s="65"/>
      <c r="CA97" s="65"/>
    </row>
    <row r="98" spans="1:81" ht="15.75" hidden="1" customHeight="1">
      <c r="A98" s="27" t="s">
        <v>205</v>
      </c>
      <c r="B98" s="14" t="e">
        <v>#N/A</v>
      </c>
      <c r="C98" s="136" t="s">
        <v>577</v>
      </c>
      <c r="D98" s="77"/>
      <c r="E98" s="17" t="s">
        <v>15</v>
      </c>
      <c r="F98" s="18"/>
      <c r="G98" s="70"/>
      <c r="AR98" s="19">
        <v>0</v>
      </c>
      <c r="AS98" s="64">
        <v>0</v>
      </c>
      <c r="AT98" s="64">
        <v>0</v>
      </c>
      <c r="AU98" s="19">
        <v>280</v>
      </c>
      <c r="AV98" s="19">
        <v>840</v>
      </c>
      <c r="AW98" s="19">
        <v>584</v>
      </c>
      <c r="AX98" s="19">
        <v>120</v>
      </c>
      <c r="AY98" s="19">
        <v>0</v>
      </c>
      <c r="AZ98" s="20">
        <f>SUMIFS(領用表!$L:$L,領用表!$E:$E,$B98,領用表!$B:$B,AZ$2&amp;$BI$1)</f>
        <v>0</v>
      </c>
      <c r="BA98" s="20">
        <f>SUMIFS(領用表!$L:$L,領用表!$E:$E,$B98,領用表!$B:$B,BA$2&amp;$BI$1)</f>
        <v>0</v>
      </c>
      <c r="BB98" s="20">
        <f>SUMIFS(領用表!$L:$L,領用表!$E:$E,$B98,領用表!$B:$B,BB$2&amp;$BI$1)</f>
        <v>0</v>
      </c>
      <c r="BC98" s="20">
        <f>SUMIFS(領用表!$L:$L,領用表!$E:$E,$B98,領用表!$B:$B,BC$2&amp;$BI$1)</f>
        <v>0</v>
      </c>
      <c r="BD98" s="142">
        <f>SUMIFS(領用表!$L:$L,領用表!$E:$E,$B98,領用表!$B:$B,BD$2&amp;$BI$1)</f>
        <v>0</v>
      </c>
      <c r="BE98" s="142">
        <f>SUMIFS(領用表!$L:$L,領用表!$E:$E,$B98,領用表!$B:$B,BE$2&amp;$BI$1)</f>
        <v>0</v>
      </c>
      <c r="BF98" s="142">
        <f>SUMIFS(領用表!$L:$L,領用表!$E:$E,$B98,領用表!$B:$B,BF$2&amp;$BI$1)</f>
        <v>0</v>
      </c>
      <c r="BG98" s="23">
        <f t="shared" si="18"/>
        <v>1824</v>
      </c>
      <c r="BH98" s="23">
        <f t="shared" si="19"/>
        <v>152</v>
      </c>
      <c r="BI98" s="142">
        <f>SUMIFS(領用表!$L:$L,領用表!$E:$E,$B98,領用表!$B:$B,BI$2&amp;$BI$1)</f>
        <v>0</v>
      </c>
      <c r="BJ98" s="142">
        <f>SUMIFS(領用表!$L:$L,領用表!$E:$E,$B98,領用表!$B:$B,BJ$2&amp;$BI$1)</f>
        <v>0</v>
      </c>
      <c r="BK98" s="142">
        <f>SUMIFS(領用表!$L:$L,領用表!$E:$E,$B98,領用表!$B:$B,BK$2&amp;$BI$1)</f>
        <v>0</v>
      </c>
      <c r="BL98" s="142">
        <f>SUMIFS(領用表!$L:$L,領用表!$E:$E,$B98,領用表!$B:$B,BL$2&amp;$BI$1)</f>
        <v>0</v>
      </c>
      <c r="BM98" s="142">
        <f>SUMIFS(領用表!$L:$L,領用表!$E:$E,$B98,領用表!$B:$B,BM$2&amp;$BI$1)</f>
        <v>0</v>
      </c>
      <c r="BN98" s="142">
        <f>SUMIFS(領用表!$L:$L,領用表!$E:$E,$B98,領用表!$B:$B,BN$2&amp;$BI$1)</f>
        <v>0</v>
      </c>
      <c r="BO98" s="142">
        <f>SUMIFS(領用表!$L:$L,領用表!$E:$E,$B98,領用表!$B:$B,BO$2&amp;$BI$1)</f>
        <v>0</v>
      </c>
      <c r="BP98" s="142">
        <f>SUMIFS(領用表!$L:$L,領用表!$E:$E,$B98,領用表!$B:$B,BP$2&amp;$BI$1)</f>
        <v>0</v>
      </c>
      <c r="BQ98" s="142">
        <f>SUMIFS(領用表!$L:$L,領用表!$E:$E,$B98,領用表!$B:$B,BQ$2&amp;$BI$1)</f>
        <v>0</v>
      </c>
      <c r="BR98" s="142">
        <f>SUMIFS(領用表!$L:$L,領用表!$E:$E,$B98,領用表!$B:$B,BR$2&amp;$BI$1)</f>
        <v>0</v>
      </c>
      <c r="BS98" s="142">
        <f>SUMIFS(領用表!$L:$L,領用表!$E:$E,$B98,領用表!$B:$B,BS$2&amp;$BI$1)</f>
        <v>0</v>
      </c>
      <c r="BT98" s="142">
        <f>SUMIFS(領用表!$L:$L,領用表!$E:$E,$B98,領用表!$B:$B,BT$2&amp;$BI$1)</f>
        <v>0</v>
      </c>
      <c r="BU98" s="142">
        <f t="shared" si="17"/>
        <v>0</v>
      </c>
      <c r="BV98" s="142">
        <f t="shared" si="16"/>
        <v>0</v>
      </c>
      <c r="BW98" s="142">
        <f>SUMIF(Summary!B:B,B98,Summary!DU:DU)</f>
        <v>0</v>
      </c>
      <c r="BX98" s="109"/>
      <c r="BY98" s="65"/>
      <c r="BZ98" s="65"/>
      <c r="CA98" s="65"/>
    </row>
    <row r="99" spans="1:81" ht="15.75" hidden="1" customHeight="1">
      <c r="A99" s="27" t="s">
        <v>206</v>
      </c>
      <c r="B99" s="14" t="e">
        <v>#N/A</v>
      </c>
      <c r="C99" s="136" t="s">
        <v>578</v>
      </c>
      <c r="D99" s="77"/>
      <c r="E99" s="17" t="s">
        <v>15</v>
      </c>
      <c r="F99" s="18"/>
      <c r="G99" s="70"/>
      <c r="AR99" s="19">
        <v>0</v>
      </c>
      <c r="AS99" s="64">
        <v>0</v>
      </c>
      <c r="AT99" s="64">
        <v>0</v>
      </c>
      <c r="AU99" s="19">
        <v>95</v>
      </c>
      <c r="AV99" s="19">
        <v>0</v>
      </c>
      <c r="AW99" s="19">
        <v>0</v>
      </c>
      <c r="AX99" s="19">
        <v>0</v>
      </c>
      <c r="AY99" s="19">
        <v>0</v>
      </c>
      <c r="AZ99" s="20">
        <f>SUMIFS(領用表!$L:$L,領用表!$E:$E,$B99,領用表!$B:$B,AZ$2&amp;$BI$1)</f>
        <v>0</v>
      </c>
      <c r="BA99" s="20">
        <f>SUMIFS(領用表!$L:$L,領用表!$E:$E,$B99,領用表!$B:$B,BA$2&amp;$BI$1)</f>
        <v>0</v>
      </c>
      <c r="BB99" s="20">
        <f>SUMIFS(領用表!$L:$L,領用表!$E:$E,$B99,領用表!$B:$B,BB$2&amp;$BI$1)</f>
        <v>0</v>
      </c>
      <c r="BC99" s="20">
        <f>SUMIFS(領用表!$L:$L,領用表!$E:$E,$B99,領用表!$B:$B,BC$2&amp;$BI$1)</f>
        <v>0</v>
      </c>
      <c r="BD99" s="142">
        <f>SUMIFS(領用表!$L:$L,領用表!$E:$E,$B99,領用表!$B:$B,BD$2&amp;$BI$1)</f>
        <v>0</v>
      </c>
      <c r="BE99" s="142">
        <f>SUMIFS(領用表!$L:$L,領用表!$E:$E,$B99,領用表!$B:$B,BE$2&amp;$BI$1)</f>
        <v>0</v>
      </c>
      <c r="BF99" s="142">
        <f>SUMIFS(領用表!$L:$L,領用表!$E:$E,$B99,領用表!$B:$B,BF$2&amp;$BI$1)</f>
        <v>0</v>
      </c>
      <c r="BG99" s="23">
        <f t="shared" si="18"/>
        <v>95</v>
      </c>
      <c r="BH99" s="23">
        <f t="shared" si="19"/>
        <v>7.916666666666667</v>
      </c>
      <c r="BI99" s="142">
        <f>SUMIFS(領用表!$L:$L,領用表!$E:$E,$B99,領用表!$B:$B,BI$2&amp;$BI$1)</f>
        <v>0</v>
      </c>
      <c r="BJ99" s="142">
        <f>SUMIFS(領用表!$L:$L,領用表!$E:$E,$B99,領用表!$B:$B,BJ$2&amp;$BI$1)</f>
        <v>0</v>
      </c>
      <c r="BK99" s="142">
        <f>SUMIFS(領用表!$L:$L,領用表!$E:$E,$B99,領用表!$B:$B,BK$2&amp;$BI$1)</f>
        <v>0</v>
      </c>
      <c r="BL99" s="142">
        <f>SUMIFS(領用表!$L:$L,領用表!$E:$E,$B99,領用表!$B:$B,BL$2&amp;$BI$1)</f>
        <v>0</v>
      </c>
      <c r="BM99" s="142">
        <f>SUMIFS(領用表!$L:$L,領用表!$E:$E,$B99,領用表!$B:$B,BM$2&amp;$BI$1)</f>
        <v>0</v>
      </c>
      <c r="BN99" s="142">
        <f>SUMIFS(領用表!$L:$L,領用表!$E:$E,$B99,領用表!$B:$B,BN$2&amp;$BI$1)</f>
        <v>0</v>
      </c>
      <c r="BO99" s="142">
        <f>SUMIFS(領用表!$L:$L,領用表!$E:$E,$B99,領用表!$B:$B,BO$2&amp;$BI$1)</f>
        <v>0</v>
      </c>
      <c r="BP99" s="142">
        <f>SUMIFS(領用表!$L:$L,領用表!$E:$E,$B99,領用表!$B:$B,BP$2&amp;$BI$1)</f>
        <v>0</v>
      </c>
      <c r="BQ99" s="142">
        <f>SUMIFS(領用表!$L:$L,領用表!$E:$E,$B99,領用表!$B:$B,BQ$2&amp;$BI$1)</f>
        <v>0</v>
      </c>
      <c r="BR99" s="142">
        <f>SUMIFS(領用表!$L:$L,領用表!$E:$E,$B99,領用表!$B:$B,BR$2&amp;$BI$1)</f>
        <v>0</v>
      </c>
      <c r="BS99" s="142">
        <f>SUMIFS(領用表!$L:$L,領用表!$E:$E,$B99,領用表!$B:$B,BS$2&amp;$BI$1)</f>
        <v>0</v>
      </c>
      <c r="BT99" s="142">
        <f>SUMIFS(領用表!$L:$L,領用表!$E:$E,$B99,領用表!$B:$B,BT$2&amp;$BI$1)</f>
        <v>0</v>
      </c>
      <c r="BU99" s="142">
        <f t="shared" si="17"/>
        <v>0</v>
      </c>
      <c r="BV99" s="142">
        <f t="shared" si="16"/>
        <v>0</v>
      </c>
      <c r="BW99" s="142">
        <f>SUMIF(Summary!B:B,B99,Summary!DU:DU)</f>
        <v>0</v>
      </c>
      <c r="BX99" s="109"/>
      <c r="BY99" s="65"/>
      <c r="BZ99" s="65"/>
      <c r="CA99" s="65"/>
    </row>
    <row r="100" spans="1:81" ht="15.75" hidden="1" customHeight="1">
      <c r="A100" s="27" t="s">
        <v>207</v>
      </c>
      <c r="B100" s="14" t="e">
        <v>#N/A</v>
      </c>
      <c r="C100" s="136" t="s">
        <v>579</v>
      </c>
      <c r="D100" s="77"/>
      <c r="E100" s="17" t="s">
        <v>15</v>
      </c>
      <c r="F100" s="18"/>
      <c r="G100" s="70"/>
      <c r="AR100" s="19">
        <v>0</v>
      </c>
      <c r="AS100" s="64">
        <v>0</v>
      </c>
      <c r="AT100" s="64">
        <v>0</v>
      </c>
      <c r="AU100" s="19">
        <v>240</v>
      </c>
      <c r="AV100" s="19">
        <v>192</v>
      </c>
      <c r="AW100" s="19">
        <v>48</v>
      </c>
      <c r="AX100" s="19">
        <v>0</v>
      </c>
      <c r="AY100" s="19">
        <v>0</v>
      </c>
      <c r="AZ100" s="20">
        <f>SUMIFS(領用表!$L:$L,領用表!$E:$E,$B100,領用表!$B:$B,AZ$2&amp;$BI$1)</f>
        <v>0</v>
      </c>
      <c r="BA100" s="20">
        <f>SUMIFS(領用表!$L:$L,領用表!$E:$E,$B100,領用表!$B:$B,BA$2&amp;$BI$1)</f>
        <v>0</v>
      </c>
      <c r="BB100" s="20">
        <f>SUMIFS(領用表!$L:$L,領用表!$E:$E,$B100,領用表!$B:$B,BB$2&amp;$BI$1)</f>
        <v>0</v>
      </c>
      <c r="BC100" s="20">
        <f>SUMIFS(領用表!$L:$L,領用表!$E:$E,$B100,領用表!$B:$B,BC$2&amp;$BI$1)</f>
        <v>0</v>
      </c>
      <c r="BD100" s="142">
        <f>SUMIFS(領用表!$L:$L,領用表!$E:$E,$B100,領用表!$B:$B,BD$2&amp;$BI$1)</f>
        <v>0</v>
      </c>
      <c r="BE100" s="142">
        <f>SUMIFS(領用表!$L:$L,領用表!$E:$E,$B100,領用表!$B:$B,BE$2&amp;$BI$1)</f>
        <v>0</v>
      </c>
      <c r="BF100" s="142">
        <f>SUMIFS(領用表!$L:$L,領用表!$E:$E,$B100,領用表!$B:$B,BF$2&amp;$BI$1)</f>
        <v>0</v>
      </c>
      <c r="BG100" s="23">
        <f t="shared" si="18"/>
        <v>480</v>
      </c>
      <c r="BH100" s="23">
        <f t="shared" si="19"/>
        <v>40</v>
      </c>
      <c r="BI100" s="142">
        <f>SUMIFS(領用表!$L:$L,領用表!$E:$E,$B100,領用表!$B:$B,BI$2&amp;$BI$1)</f>
        <v>0</v>
      </c>
      <c r="BJ100" s="142">
        <f>SUMIFS(領用表!$L:$L,領用表!$E:$E,$B100,領用表!$B:$B,BJ$2&amp;$BI$1)</f>
        <v>0</v>
      </c>
      <c r="BK100" s="142">
        <f>SUMIFS(領用表!$L:$L,領用表!$E:$E,$B100,領用表!$B:$B,BK$2&amp;$BI$1)</f>
        <v>0</v>
      </c>
      <c r="BL100" s="142">
        <f>SUMIFS(領用表!$L:$L,領用表!$E:$E,$B100,領用表!$B:$B,BL$2&amp;$BI$1)</f>
        <v>0</v>
      </c>
      <c r="BM100" s="142">
        <f>SUMIFS(領用表!$L:$L,領用表!$E:$E,$B100,領用表!$B:$B,BM$2&amp;$BI$1)</f>
        <v>0</v>
      </c>
      <c r="BN100" s="142">
        <f>SUMIFS(領用表!$L:$L,領用表!$E:$E,$B100,領用表!$B:$B,BN$2&amp;$BI$1)</f>
        <v>0</v>
      </c>
      <c r="BO100" s="142">
        <f>SUMIFS(領用表!$L:$L,領用表!$E:$E,$B100,領用表!$B:$B,BO$2&amp;$BI$1)</f>
        <v>0</v>
      </c>
      <c r="BP100" s="142">
        <f>SUMIFS(領用表!$L:$L,領用表!$E:$E,$B100,領用表!$B:$B,BP$2&amp;$BI$1)</f>
        <v>0</v>
      </c>
      <c r="BQ100" s="142">
        <f>SUMIFS(領用表!$L:$L,領用表!$E:$E,$B100,領用表!$B:$B,BQ$2&amp;$BI$1)</f>
        <v>0</v>
      </c>
      <c r="BR100" s="142">
        <f>SUMIFS(領用表!$L:$L,領用表!$E:$E,$B100,領用表!$B:$B,BR$2&amp;$BI$1)</f>
        <v>0</v>
      </c>
      <c r="BS100" s="142">
        <f>SUMIFS(領用表!$L:$L,領用表!$E:$E,$B100,領用表!$B:$B,BS$2&amp;$BI$1)</f>
        <v>0</v>
      </c>
      <c r="BT100" s="142">
        <f>SUMIFS(領用表!$L:$L,領用表!$E:$E,$B100,領用表!$B:$B,BT$2&amp;$BI$1)</f>
        <v>0</v>
      </c>
      <c r="BU100" s="142">
        <f t="shared" si="17"/>
        <v>0</v>
      </c>
      <c r="BV100" s="142">
        <f t="shared" si="16"/>
        <v>0</v>
      </c>
      <c r="BW100" s="142">
        <f>SUMIF(Summary!B:B,B100,Summary!DU:DU)</f>
        <v>0</v>
      </c>
      <c r="BX100" s="109"/>
      <c r="BY100" s="65"/>
      <c r="BZ100" s="65"/>
      <c r="CA100" s="65"/>
    </row>
    <row r="101" spans="1:81" ht="15.75" customHeight="1">
      <c r="A101" s="27" t="s">
        <v>208</v>
      </c>
      <c r="B101" s="14" t="e">
        <v>#N/A</v>
      </c>
      <c r="C101" s="136" t="s">
        <v>580</v>
      </c>
      <c r="D101" s="77"/>
      <c r="E101" s="17" t="s">
        <v>15</v>
      </c>
      <c r="F101" s="18"/>
      <c r="G101" s="70"/>
      <c r="AR101" s="19">
        <v>0</v>
      </c>
      <c r="AS101" s="64">
        <v>0</v>
      </c>
      <c r="AT101" s="64">
        <v>0</v>
      </c>
      <c r="AU101" s="19">
        <v>0</v>
      </c>
      <c r="AV101" s="19">
        <v>0</v>
      </c>
      <c r="AW101" s="19">
        <v>10</v>
      </c>
      <c r="AX101" s="19">
        <v>0</v>
      </c>
      <c r="AY101" s="19">
        <v>40</v>
      </c>
      <c r="AZ101" s="20">
        <f>SUMIFS(領用表!$L:$L,領用表!$E:$E,$B101,領用表!$B:$B,AZ$2&amp;$BI$1)</f>
        <v>0</v>
      </c>
      <c r="BA101" s="20">
        <f>SUMIFS(領用表!$L:$L,領用表!$E:$E,$B101,領用表!$B:$B,BA$2&amp;$BI$1)</f>
        <v>0</v>
      </c>
      <c r="BB101" s="20">
        <f>SUMIFS(領用表!$L:$L,領用表!$E:$E,$B101,領用表!$B:$B,BB$2&amp;$BI$1)</f>
        <v>0</v>
      </c>
      <c r="BC101" s="20">
        <f>SUMIFS(領用表!$L:$L,領用表!$E:$E,$B101,領用表!$B:$B,BC$2&amp;$BI$1)</f>
        <v>0</v>
      </c>
      <c r="BD101" s="142">
        <f>SUMIFS(領用表!$L:$L,領用表!$E:$E,$B101,領用表!$B:$B,BD$2&amp;$BI$1)</f>
        <v>0</v>
      </c>
      <c r="BE101" s="142">
        <f>SUMIFS(領用表!$L:$L,領用表!$E:$E,$B101,領用表!$B:$B,BE$2&amp;$BI$1)</f>
        <v>0</v>
      </c>
      <c r="BF101" s="142">
        <f>SUMIFS(領用表!$L:$L,領用表!$E:$E,$B101,領用表!$B:$B,BF$2&amp;$BI$1)</f>
        <v>0</v>
      </c>
      <c r="BG101" s="23">
        <f t="shared" si="18"/>
        <v>50</v>
      </c>
      <c r="BH101" s="23">
        <f t="shared" si="19"/>
        <v>4.166666666666667</v>
      </c>
      <c r="BI101" s="142">
        <f>SUMIFS(領用表!$L:$L,領用表!$E:$E,$B101,領用表!$B:$B,BI$2&amp;$BI$1)</f>
        <v>0</v>
      </c>
      <c r="BJ101" s="405">
        <f>SUMIFS(領用表!$L:$L,領用表!$E:$E,$B101,領用表!$B:$B,BJ$2&amp;$BI$1)</f>
        <v>0</v>
      </c>
      <c r="BK101" s="405">
        <f>SUMIFS(領用表!$L:$L,領用表!$E:$E,$B101,領用表!$B:$B,BK$2&amp;$BI$1)</f>
        <v>0</v>
      </c>
      <c r="BL101" s="405">
        <f>SUMIFS(領用表!$L:$L,領用表!$E:$E,$B101,領用表!$B:$B,BL$2&amp;$BI$1)</f>
        <v>0</v>
      </c>
      <c r="BM101" s="405">
        <f>SUMIFS(領用表!$L:$L,領用表!$E:$E,$B101,領用表!$B:$B,BM$2&amp;$BI$1)</f>
        <v>0</v>
      </c>
      <c r="BN101" s="405">
        <f>SUMIFS(領用表!$L:$L,領用表!$E:$E,$B101,領用表!$B:$B,BN$2&amp;$BI$1)</f>
        <v>0</v>
      </c>
      <c r="BO101" s="405">
        <f>SUMIFS(領用表!$L:$L,領用表!$E:$E,$B101,領用表!$B:$B,BO$2&amp;$BI$1)</f>
        <v>0</v>
      </c>
      <c r="BP101" s="405">
        <f>SUMIFS(領用表!$L:$L,領用表!$E:$E,$B101,領用表!$B:$B,BP$2&amp;$BI$1)</f>
        <v>0</v>
      </c>
      <c r="BQ101" s="405">
        <f>SUMIFS(領用表!$L:$L,領用表!$E:$E,$B101,領用表!$B:$B,BQ$2&amp;$BI$1)</f>
        <v>0</v>
      </c>
      <c r="BR101" s="405">
        <f>SUMIFS(領用表!$L:$L,領用表!$E:$E,$B101,領用表!$B:$B,BR$2&amp;$BI$1)</f>
        <v>0</v>
      </c>
      <c r="BS101" s="405">
        <f>SUMIFS(領用表!$L:$L,領用表!$E:$E,$B101,領用表!$B:$B,BS$2&amp;$BI$1)</f>
        <v>0</v>
      </c>
      <c r="BT101" s="405">
        <f>SUMIFS(領用表!$L:$L,領用表!$E:$E,$B101,領用表!$B:$B,BT$2&amp;$BI$1)</f>
        <v>0</v>
      </c>
      <c r="BU101" s="405">
        <f t="shared" si="17"/>
        <v>0</v>
      </c>
      <c r="BV101" s="405">
        <f t="shared" si="16"/>
        <v>0</v>
      </c>
      <c r="BW101" s="405">
        <f>SUMIF(Summary!B:B,B101,Summary!DU:DU)</f>
        <v>0</v>
      </c>
      <c r="BX101" s="111"/>
      <c r="BY101" s="80"/>
      <c r="BZ101" s="83"/>
      <c r="CA101" s="83"/>
    </row>
    <row r="102" spans="1:81" ht="15.75" customHeight="1">
      <c r="A102" s="27" t="s">
        <v>209</v>
      </c>
      <c r="B102" s="14">
        <v>6020002</v>
      </c>
      <c r="C102" s="136" t="s">
        <v>581</v>
      </c>
      <c r="D102" s="77"/>
      <c r="E102" s="17" t="s">
        <v>15</v>
      </c>
      <c r="F102" s="18"/>
      <c r="G102" s="70"/>
      <c r="AR102" s="19"/>
      <c r="AS102" s="64"/>
      <c r="AT102" s="64"/>
      <c r="AU102" s="19"/>
      <c r="AV102" s="19"/>
      <c r="AW102" s="19"/>
      <c r="AX102" s="19"/>
      <c r="AY102" s="19"/>
      <c r="AZ102" s="20">
        <f>SUMIFS(領用表!$L:$L,領用表!$E:$E,$B102,領用表!$B:$B,AZ$2&amp;$BI$1)</f>
        <v>0</v>
      </c>
      <c r="BA102" s="20">
        <f>SUMIFS(領用表!$L:$L,領用表!$E:$E,$B102,領用表!$B:$B,BA$2&amp;$BI$1)</f>
        <v>0</v>
      </c>
      <c r="BB102" s="20">
        <f>SUMIFS(領用表!$L:$L,領用表!$E:$E,$B102,領用表!$B:$B,BB$2&amp;$BI$1)</f>
        <v>0</v>
      </c>
      <c r="BC102" s="20">
        <f>SUMIFS(領用表!$L:$L,領用表!$E:$E,$B102,領用表!$B:$B,BC$2&amp;$BI$1)</f>
        <v>0</v>
      </c>
      <c r="BD102" s="142">
        <f>SUMIFS(領用表!$L:$L,領用表!$E:$E,$B102,領用表!$B:$B,BD$2&amp;$BI$1)</f>
        <v>0</v>
      </c>
      <c r="BE102" s="142">
        <f>SUMIFS(領用表!$L:$L,領用表!$E:$E,$B102,領用表!$B:$B,BE$2&amp;$BI$1)</f>
        <v>0</v>
      </c>
      <c r="BF102" s="142">
        <f>SUMIFS(領用表!$L:$L,領用表!$E:$E,$B102,領用表!$B:$B,BF$2&amp;$BI$1)</f>
        <v>0</v>
      </c>
      <c r="BG102" s="23">
        <f t="shared" si="18"/>
        <v>0</v>
      </c>
      <c r="BH102" s="23">
        <f t="shared" si="19"/>
        <v>0</v>
      </c>
      <c r="BI102" s="142">
        <f>SUMIFS(領用表!$L:$L,領用表!$E:$E,$B102,領用表!$B:$B,BI$2&amp;$BI$1)</f>
        <v>0</v>
      </c>
      <c r="BJ102" s="405">
        <f>SUMIFS(領用表!$L:$L,領用表!$E:$E,$B102,領用表!$B:$B,BJ$2&amp;$BI$1)</f>
        <v>0</v>
      </c>
      <c r="BK102" s="405">
        <f>SUMIFS(領用表!$L:$L,領用表!$E:$E,$B102,領用表!$B:$B,BK$2&amp;$BI$1)</f>
        <v>0</v>
      </c>
      <c r="BL102" s="405">
        <f>SUMIFS(領用表!$L:$L,領用表!$E:$E,$B102,領用表!$B:$B,BL$2&amp;$BI$1)</f>
        <v>0</v>
      </c>
      <c r="BM102" s="405">
        <f>SUMIFS(領用表!$L:$L,領用表!$E:$E,$B102,領用表!$B:$B,BM$2&amp;$BI$1)</f>
        <v>0</v>
      </c>
      <c r="BN102" s="405">
        <f>SUMIFS(領用表!$L:$L,領用表!$E:$E,$B102,領用表!$B:$B,BN$2&amp;$BI$1)</f>
        <v>0</v>
      </c>
      <c r="BO102" s="405">
        <f>SUMIFS(領用表!$L:$L,領用表!$E:$E,$B102,領用表!$B:$B,BO$2&amp;$BI$1)</f>
        <v>0</v>
      </c>
      <c r="BP102" s="405">
        <f>SUMIFS(領用表!$L:$L,領用表!$E:$E,$B102,領用表!$B:$B,BP$2&amp;$BI$1)</f>
        <v>0</v>
      </c>
      <c r="BQ102" s="405">
        <f>SUMIFS(領用表!$L:$L,領用表!$E:$E,$B102,領用表!$B:$B,BQ$2&amp;$BI$1)</f>
        <v>0</v>
      </c>
      <c r="BR102" s="405">
        <f>SUMIFS(領用表!$L:$L,領用表!$E:$E,$B102,領用表!$B:$B,BR$2&amp;$BI$1)</f>
        <v>0</v>
      </c>
      <c r="BS102" s="405">
        <f>SUMIFS(領用表!$L:$L,領用表!$E:$E,$B102,領用表!$B:$B,BS$2&amp;$BI$1)</f>
        <v>0</v>
      </c>
      <c r="BT102" s="405">
        <f>SUMIFS(領用表!$L:$L,領用表!$E:$E,$B102,領用表!$B:$B,BT$2&amp;$BI$1)</f>
        <v>0</v>
      </c>
      <c r="BU102" s="405">
        <f t="shared" si="17"/>
        <v>0</v>
      </c>
      <c r="BV102" s="405">
        <f t="shared" si="16"/>
        <v>0</v>
      </c>
      <c r="BW102" s="405">
        <f>SUMIF(Summary!B:B,B102,Summary!DU:DU)</f>
        <v>0</v>
      </c>
      <c r="BX102" s="111"/>
      <c r="BY102" s="80"/>
      <c r="BZ102" s="65"/>
      <c r="CA102" s="65"/>
    </row>
    <row r="103" spans="1:81" ht="15.75" customHeight="1">
      <c r="A103" s="27" t="s">
        <v>210</v>
      </c>
      <c r="B103" s="14">
        <v>1080005</v>
      </c>
      <c r="C103" s="136" t="s">
        <v>582</v>
      </c>
      <c r="D103" s="77"/>
      <c r="E103" s="17" t="s">
        <v>15</v>
      </c>
      <c r="F103" s="18"/>
      <c r="G103" s="70"/>
      <c r="AG103" s="82"/>
      <c r="AH103" s="82"/>
      <c r="AI103" s="82"/>
      <c r="AJ103" s="82"/>
      <c r="AK103" s="82"/>
      <c r="AL103" s="82"/>
      <c r="AM103" s="82"/>
      <c r="AN103" s="19">
        <v>0</v>
      </c>
      <c r="AO103" s="19">
        <v>800</v>
      </c>
      <c r="AP103" s="19">
        <v>0</v>
      </c>
      <c r="AQ103" s="19">
        <v>1000</v>
      </c>
      <c r="AR103" s="19">
        <v>800</v>
      </c>
      <c r="AS103" s="68">
        <f>SUM(AG103:AR103)</f>
        <v>2600</v>
      </c>
      <c r="AT103" s="26">
        <f>AS103/12</f>
        <v>216.66666666666666</v>
      </c>
      <c r="AU103" s="19">
        <v>1400</v>
      </c>
      <c r="AV103" s="19">
        <v>2700</v>
      </c>
      <c r="AW103" s="19">
        <v>1200</v>
      </c>
      <c r="AX103" s="19">
        <v>1200</v>
      </c>
      <c r="AY103" s="19">
        <v>0</v>
      </c>
      <c r="AZ103" s="20">
        <f>SUMIFS(領用表!$L:$L,領用表!$E:$E,$B103,領用表!$B:$B,AZ$2&amp;$BI$1)</f>
        <v>0</v>
      </c>
      <c r="BA103" s="20">
        <f>SUMIFS(領用表!$L:$L,領用表!$E:$E,$B103,領用表!$B:$B,BA$2&amp;$BI$1)</f>
        <v>0</v>
      </c>
      <c r="BB103" s="20">
        <f>SUMIFS(領用表!$L:$L,領用表!$E:$E,$B103,領用表!$B:$B,BB$2&amp;$BI$1)</f>
        <v>0</v>
      </c>
      <c r="BC103" s="20">
        <f>SUMIFS(領用表!$L:$L,領用表!$E:$E,$B103,領用表!$B:$B,BC$2&amp;$BI$1)</f>
        <v>0</v>
      </c>
      <c r="BD103" s="142">
        <f>SUMIFS(領用表!$L:$L,領用表!$E:$E,$B103,領用表!$B:$B,BD$2&amp;$BI$1)</f>
        <v>0</v>
      </c>
      <c r="BE103" s="142">
        <f>SUMIFS(領用表!$L:$L,領用表!$E:$E,$B103,領用表!$B:$B,BE$2&amp;$BI$1)</f>
        <v>0</v>
      </c>
      <c r="BF103" s="142">
        <f>SUMIFS(領用表!$L:$L,領用表!$E:$E,$B103,領用表!$B:$B,BF$2&amp;$BI$1)</f>
        <v>0</v>
      </c>
      <c r="BG103" s="23">
        <f t="shared" si="18"/>
        <v>6500</v>
      </c>
      <c r="BH103" s="23">
        <f t="shared" si="19"/>
        <v>541.66666666666663</v>
      </c>
      <c r="BI103" s="142">
        <f>SUMIFS(領用表!$L:$L,領用表!$E:$E,$B103,領用表!$B:$B,BI$2&amp;$BI$1)</f>
        <v>0</v>
      </c>
      <c r="BJ103" s="142">
        <f>SUMIFS(領用表!$L:$L,領用表!$E:$E,$B103,領用表!$B:$B,BJ$2&amp;$BI$1)</f>
        <v>0</v>
      </c>
      <c r="BK103" s="142">
        <f>SUMIFS(領用表!$L:$L,領用表!$E:$E,$B103,領用表!$B:$B,BK$2&amp;$BI$1)</f>
        <v>0</v>
      </c>
      <c r="BL103" s="142">
        <f>SUMIFS(領用表!$L:$L,領用表!$E:$E,$B103,領用表!$B:$B,BL$2&amp;$BI$1)</f>
        <v>0</v>
      </c>
      <c r="BM103" s="142">
        <f>SUMIFS(領用表!$L:$L,領用表!$E:$E,$B103,領用表!$B:$B,BM$2&amp;$BI$1)</f>
        <v>0</v>
      </c>
      <c r="BN103" s="142">
        <f>SUMIFS(領用表!$L:$L,領用表!$E:$E,$B103,領用表!$B:$B,BN$2&amp;$BI$1)</f>
        <v>0</v>
      </c>
      <c r="BO103" s="142">
        <f>SUMIFS(領用表!$L:$L,領用表!$E:$E,$B103,領用表!$B:$B,BO$2&amp;$BI$1)</f>
        <v>0</v>
      </c>
      <c r="BP103" s="142">
        <f>SUMIFS(領用表!$L:$L,領用表!$E:$E,$B103,領用表!$B:$B,BP$2&amp;$BI$1)</f>
        <v>0</v>
      </c>
      <c r="BQ103" s="142">
        <f>SUMIFS(領用表!$L:$L,領用表!$E:$E,$B103,領用表!$B:$B,BQ$2&amp;$BI$1)</f>
        <v>0</v>
      </c>
      <c r="BR103" s="142">
        <f>SUMIFS(領用表!$L:$L,領用表!$E:$E,$B103,領用表!$B:$B,BR$2&amp;$BI$1)</f>
        <v>0</v>
      </c>
      <c r="BS103" s="142">
        <f>SUMIFS(領用表!$L:$L,領用表!$E:$E,$B103,領用表!$B:$B,BS$2&amp;$BI$1)</f>
        <v>0</v>
      </c>
      <c r="BT103" s="142">
        <f>SUMIFS(領用表!$L:$L,領用表!$E:$E,$B103,領用表!$B:$B,BT$2&amp;$BI$1)</f>
        <v>0</v>
      </c>
      <c r="BU103" s="142">
        <f t="shared" si="17"/>
        <v>0</v>
      </c>
      <c r="BV103" s="142">
        <f t="shared" si="16"/>
        <v>0</v>
      </c>
      <c r="BW103" s="142">
        <f>SUMIF(Summary!B:B,B103,Summary!DU:DU)</f>
        <v>0</v>
      </c>
      <c r="BX103" s="109"/>
      <c r="BY103" s="65"/>
      <c r="BZ103" s="65"/>
      <c r="CA103" s="65"/>
    </row>
    <row r="104" spans="1:81" ht="15.75" customHeight="1">
      <c r="A104" s="27" t="s">
        <v>211</v>
      </c>
      <c r="B104" s="14">
        <v>1080008</v>
      </c>
      <c r="C104" s="136" t="s">
        <v>583</v>
      </c>
      <c r="D104" s="77"/>
      <c r="E104" s="17" t="s">
        <v>15</v>
      </c>
      <c r="F104" s="18"/>
      <c r="G104" s="70"/>
      <c r="AR104" s="19"/>
      <c r="AS104" s="64"/>
      <c r="AT104" s="64"/>
      <c r="AU104" s="19"/>
      <c r="AV104" s="19"/>
      <c r="AW104" s="19"/>
      <c r="AX104" s="19"/>
      <c r="AY104" s="19"/>
      <c r="AZ104" s="20">
        <f>SUMIFS(領用表!$L:$L,領用表!$E:$E,$B104,領用表!$B:$B,AZ$2&amp;$BI$1)</f>
        <v>0</v>
      </c>
      <c r="BA104" s="20">
        <f>SUMIFS(領用表!$L:$L,領用表!$E:$E,$B104,領用表!$B:$B,BA$2&amp;$BI$1)</f>
        <v>0</v>
      </c>
      <c r="BB104" s="20">
        <f>SUMIFS(領用表!$L:$L,領用表!$E:$E,$B104,領用表!$B:$B,BB$2&amp;$BI$1)</f>
        <v>0</v>
      </c>
      <c r="BC104" s="20">
        <f>SUMIFS(領用表!$L:$L,領用表!$E:$E,$B104,領用表!$B:$B,BC$2&amp;$BI$1)</f>
        <v>0</v>
      </c>
      <c r="BD104" s="142">
        <f>SUMIFS(領用表!$L:$L,領用表!$E:$E,$B104,領用表!$B:$B,BD$2&amp;$BI$1)</f>
        <v>0</v>
      </c>
      <c r="BE104" s="142">
        <f>SUMIFS(領用表!$L:$L,領用表!$E:$E,$B104,領用表!$B:$B,BE$2&amp;$BI$1)</f>
        <v>0</v>
      </c>
      <c r="BF104" s="142">
        <f>SUMIFS(領用表!$L:$L,領用表!$E:$E,$B104,領用表!$B:$B,BF$2&amp;$BI$1)</f>
        <v>0</v>
      </c>
      <c r="BG104" s="23">
        <f t="shared" si="18"/>
        <v>0</v>
      </c>
      <c r="BH104" s="23">
        <f t="shared" si="19"/>
        <v>0</v>
      </c>
      <c r="BI104" s="142">
        <f>SUMIFS(領用表!$L:$L,領用表!$E:$E,$B104,領用表!$B:$B,BI$2&amp;$BI$1)</f>
        <v>0</v>
      </c>
      <c r="BJ104" s="405">
        <f>SUMIFS(領用表!$L:$L,領用表!$E:$E,$B104,領用表!$B:$B,BJ$2&amp;$BI$1)</f>
        <v>0</v>
      </c>
      <c r="BK104" s="405">
        <f>SUMIFS(領用表!$L:$L,領用表!$E:$E,$B104,領用表!$B:$B,BK$2&amp;$BI$1)</f>
        <v>0</v>
      </c>
      <c r="BL104" s="405">
        <f>SUMIFS(領用表!$L:$L,領用表!$E:$E,$B104,領用表!$B:$B,BL$2&amp;$BI$1)</f>
        <v>0</v>
      </c>
      <c r="BM104" s="405">
        <f>SUMIFS(領用表!$L:$L,領用表!$E:$E,$B104,領用表!$B:$B,BM$2&amp;$BI$1)</f>
        <v>0</v>
      </c>
      <c r="BN104" s="405">
        <f>SUMIFS(領用表!$L:$L,領用表!$E:$E,$B104,領用表!$B:$B,BN$2&amp;$BI$1)</f>
        <v>0</v>
      </c>
      <c r="BO104" s="405">
        <f>SUMIFS(領用表!$L:$L,領用表!$E:$E,$B104,領用表!$B:$B,BO$2&amp;$BI$1)</f>
        <v>0</v>
      </c>
      <c r="BP104" s="405">
        <f>SUMIFS(領用表!$L:$L,領用表!$E:$E,$B104,領用表!$B:$B,BP$2&amp;$BI$1)</f>
        <v>0</v>
      </c>
      <c r="BQ104" s="405">
        <f>SUMIFS(領用表!$L:$L,領用表!$E:$E,$B104,領用表!$B:$B,BQ$2&amp;$BI$1)</f>
        <v>0</v>
      </c>
      <c r="BR104" s="405">
        <f>SUMIFS(領用表!$L:$L,領用表!$E:$E,$B104,領用表!$B:$B,BR$2&amp;$BI$1)</f>
        <v>0</v>
      </c>
      <c r="BS104" s="405">
        <f>SUMIFS(領用表!$L:$L,領用表!$E:$E,$B104,領用表!$B:$B,BS$2&amp;$BI$1)</f>
        <v>0</v>
      </c>
      <c r="BT104" s="405">
        <f>SUMIFS(領用表!$L:$L,領用表!$E:$E,$B104,領用表!$B:$B,BT$2&amp;$BI$1)</f>
        <v>0</v>
      </c>
      <c r="BU104" s="405">
        <f t="shared" si="17"/>
        <v>0</v>
      </c>
      <c r="BV104" s="405">
        <f t="shared" si="16"/>
        <v>0</v>
      </c>
      <c r="BW104" s="405">
        <f>SUMIF(Summary!B:B,B104,Summary!DU:DU)</f>
        <v>0</v>
      </c>
      <c r="BX104" s="111"/>
      <c r="BY104" s="80"/>
      <c r="BZ104" s="65"/>
      <c r="CA104" s="65"/>
    </row>
    <row r="105" spans="1:81" ht="15.75" customHeight="1">
      <c r="A105" s="27" t="s">
        <v>212</v>
      </c>
      <c r="B105" s="14">
        <v>6230003</v>
      </c>
      <c r="C105" s="136" t="s">
        <v>584</v>
      </c>
      <c r="D105" s="77"/>
      <c r="E105" s="17" t="s">
        <v>15</v>
      </c>
      <c r="F105" s="18"/>
      <c r="G105" s="70"/>
      <c r="AR105" s="19"/>
      <c r="AS105" s="64"/>
      <c r="AT105" s="64"/>
      <c r="AU105" s="19"/>
      <c r="AV105" s="19"/>
      <c r="AW105" s="19"/>
      <c r="AX105" s="19"/>
      <c r="AY105" s="19"/>
      <c r="AZ105" s="20">
        <f>SUMIFS(領用表!$L:$L,領用表!$E:$E,$B105,領用表!$B:$B,AZ$2&amp;$BI$1)</f>
        <v>0</v>
      </c>
      <c r="BA105" s="20">
        <f>SUMIFS(領用表!$L:$L,領用表!$E:$E,$B105,領用表!$B:$B,BA$2&amp;$BI$1)</f>
        <v>0</v>
      </c>
      <c r="BB105" s="20">
        <f>SUMIFS(領用表!$L:$L,領用表!$E:$E,$B105,領用表!$B:$B,BB$2&amp;$BI$1)</f>
        <v>0</v>
      </c>
      <c r="BC105" s="20">
        <f>SUMIFS(領用表!$L:$L,領用表!$E:$E,$B105,領用表!$B:$B,BC$2&amp;$BI$1)</f>
        <v>0</v>
      </c>
      <c r="BD105" s="142">
        <f>SUMIFS(領用表!$L:$L,領用表!$E:$E,$B105,領用表!$B:$B,BD$2&amp;$BI$1)</f>
        <v>0</v>
      </c>
      <c r="BE105" s="142">
        <f>SUMIFS(領用表!$L:$L,領用表!$E:$E,$B105,領用表!$B:$B,BE$2&amp;$BI$1)</f>
        <v>0</v>
      </c>
      <c r="BF105" s="142">
        <f>SUMIFS(領用表!$L:$L,領用表!$E:$E,$B105,領用表!$B:$B,BF$2&amp;$BI$1)</f>
        <v>0</v>
      </c>
      <c r="BG105" s="23">
        <f t="shared" si="18"/>
        <v>0</v>
      </c>
      <c r="BH105" s="23">
        <f t="shared" si="19"/>
        <v>0</v>
      </c>
      <c r="BI105" s="142">
        <f>SUMIFS(領用表!$L:$L,領用表!$E:$E,$B105,領用表!$B:$B,BI$2&amp;$BI$1)</f>
        <v>0</v>
      </c>
      <c r="BJ105" s="405">
        <f>SUMIFS(領用表!$L:$L,領用表!$E:$E,$B105,領用表!$B:$B,BJ$2&amp;$BI$1)</f>
        <v>0</v>
      </c>
      <c r="BK105" s="405">
        <f>SUMIFS(領用表!$L:$L,領用表!$E:$E,$B105,領用表!$B:$B,BK$2&amp;$BI$1)</f>
        <v>0</v>
      </c>
      <c r="BL105" s="405">
        <f>SUMIFS(領用表!$L:$L,領用表!$E:$E,$B105,領用表!$B:$B,BL$2&amp;$BI$1)</f>
        <v>0</v>
      </c>
      <c r="BM105" s="405">
        <f>SUMIFS(領用表!$L:$L,領用表!$E:$E,$B105,領用表!$B:$B,BM$2&amp;$BI$1)</f>
        <v>0</v>
      </c>
      <c r="BN105" s="405">
        <f>SUMIFS(領用表!$L:$L,領用表!$E:$E,$B105,領用表!$B:$B,BN$2&amp;$BI$1)</f>
        <v>0</v>
      </c>
      <c r="BO105" s="405">
        <f>SUMIFS(領用表!$L:$L,領用表!$E:$E,$B105,領用表!$B:$B,BO$2&amp;$BI$1)</f>
        <v>0</v>
      </c>
      <c r="BP105" s="405">
        <f>SUMIFS(領用表!$L:$L,領用表!$E:$E,$B105,領用表!$B:$B,BP$2&amp;$BI$1)</f>
        <v>0</v>
      </c>
      <c r="BQ105" s="405">
        <f>SUMIFS(領用表!$L:$L,領用表!$E:$E,$B105,領用表!$B:$B,BQ$2&amp;$BI$1)</f>
        <v>0</v>
      </c>
      <c r="BR105" s="405">
        <f>SUMIFS(領用表!$L:$L,領用表!$E:$E,$B105,領用表!$B:$B,BR$2&amp;$BI$1)</f>
        <v>0</v>
      </c>
      <c r="BS105" s="405">
        <f>SUMIFS(領用表!$L:$L,領用表!$E:$E,$B105,領用表!$B:$B,BS$2&amp;$BI$1)</f>
        <v>0</v>
      </c>
      <c r="BT105" s="405">
        <f>SUMIFS(領用表!$L:$L,領用表!$E:$E,$B105,領用表!$B:$B,BT$2&amp;$BI$1)</f>
        <v>0</v>
      </c>
      <c r="BU105" s="405">
        <f t="shared" si="17"/>
        <v>0</v>
      </c>
      <c r="BV105" s="405">
        <f t="shared" si="16"/>
        <v>0</v>
      </c>
      <c r="BW105" s="405">
        <f>SUMIF(Summary!B:B,B105,Summary!DU:DU)</f>
        <v>0</v>
      </c>
      <c r="BX105" s="111"/>
      <c r="BY105" s="80"/>
      <c r="BZ105" s="76"/>
      <c r="CA105" s="83"/>
    </row>
    <row r="106" spans="1:81" ht="15.75" customHeight="1">
      <c r="A106" s="27" t="s">
        <v>213</v>
      </c>
      <c r="B106" s="14" t="e">
        <v>#N/A</v>
      </c>
      <c r="C106" s="136" t="s">
        <v>585</v>
      </c>
      <c r="D106" s="77"/>
      <c r="E106" s="17" t="s">
        <v>15</v>
      </c>
      <c r="F106" s="18"/>
      <c r="G106" s="70"/>
      <c r="AR106" s="19"/>
      <c r="AS106" s="64"/>
      <c r="AT106" s="64"/>
      <c r="AU106" s="19"/>
      <c r="AV106" s="19"/>
      <c r="AW106" s="19"/>
      <c r="AX106" s="19"/>
      <c r="AY106" s="19"/>
      <c r="AZ106" s="20">
        <f>SUMIFS(領用表!$L:$L,領用表!$E:$E,$B106,領用表!$B:$B,AZ$2&amp;$BI$1)</f>
        <v>0</v>
      </c>
      <c r="BA106" s="20">
        <f>SUMIFS(領用表!$L:$L,領用表!$E:$E,$B106,領用表!$B:$B,BA$2&amp;$BI$1)</f>
        <v>0</v>
      </c>
      <c r="BB106" s="20">
        <f>SUMIFS(領用表!$L:$L,領用表!$E:$E,$B106,領用表!$B:$B,BB$2&amp;$BI$1)</f>
        <v>0</v>
      </c>
      <c r="BC106" s="20">
        <f>SUMIFS(領用表!$L:$L,領用表!$E:$E,$B106,領用表!$B:$B,BC$2&amp;$BI$1)</f>
        <v>0</v>
      </c>
      <c r="BD106" s="142">
        <f>SUMIFS(領用表!$L:$L,領用表!$E:$E,$B106,領用表!$B:$B,BD$2&amp;$BI$1)</f>
        <v>0</v>
      </c>
      <c r="BE106" s="142">
        <f>SUMIFS(領用表!$L:$L,領用表!$E:$E,$B106,領用表!$B:$B,BE$2&amp;$BI$1)</f>
        <v>0</v>
      </c>
      <c r="BF106" s="142">
        <f>SUMIFS(領用表!$L:$L,領用表!$E:$E,$B106,領用表!$B:$B,BF$2&amp;$BI$1)</f>
        <v>0</v>
      </c>
      <c r="BG106" s="23">
        <f t="shared" ref="BG106:BG125" si="22">SUM(AU106,AV106,AW106,AX106,AY106,AZ106,BA106,BB106,BC106,BD106,BE106,BF106)</f>
        <v>0</v>
      </c>
      <c r="BH106" s="23">
        <f t="shared" ref="BH106:BH125" si="23">AVERAGE(AU106,AV106,AW106,AX106,AY106,AZ106,BA106,BB106,BC106,BD106,BE106,BF106)</f>
        <v>0</v>
      </c>
      <c r="BI106" s="142">
        <f>SUMIFS(領用表!$L:$L,領用表!$E:$E,$B106,領用表!$B:$B,BI$2&amp;$BI$1)</f>
        <v>0</v>
      </c>
      <c r="BJ106" s="405">
        <f>SUMIFS(領用表!$L:$L,領用表!$E:$E,$B106,領用表!$B:$B,BJ$2&amp;$BI$1)</f>
        <v>0</v>
      </c>
      <c r="BK106" s="405">
        <f>SUMIFS(領用表!$L:$L,領用表!$E:$E,$B106,領用表!$B:$B,BK$2&amp;$BI$1)</f>
        <v>0</v>
      </c>
      <c r="BL106" s="405">
        <f>SUMIFS(領用表!$L:$L,領用表!$E:$E,$B106,領用表!$B:$B,BL$2&amp;$BI$1)</f>
        <v>0</v>
      </c>
      <c r="BM106" s="405">
        <f>SUMIFS(領用表!$L:$L,領用表!$E:$E,$B106,領用表!$B:$B,BM$2&amp;$BI$1)</f>
        <v>0</v>
      </c>
      <c r="BN106" s="405">
        <f>SUMIFS(領用表!$L:$L,領用表!$E:$E,$B106,領用表!$B:$B,BN$2&amp;$BI$1)</f>
        <v>0</v>
      </c>
      <c r="BO106" s="405">
        <f>SUMIFS(領用表!$L:$L,領用表!$E:$E,$B106,領用表!$B:$B,BO$2&amp;$BI$1)</f>
        <v>0</v>
      </c>
      <c r="BP106" s="405">
        <f>SUMIFS(領用表!$L:$L,領用表!$E:$E,$B106,領用表!$B:$B,BP$2&amp;$BI$1)</f>
        <v>0</v>
      </c>
      <c r="BQ106" s="405">
        <f>SUMIFS(領用表!$L:$L,領用表!$E:$E,$B106,領用表!$B:$B,BQ$2&amp;$BI$1)</f>
        <v>0</v>
      </c>
      <c r="BR106" s="405">
        <f>SUMIFS(領用表!$L:$L,領用表!$E:$E,$B106,領用表!$B:$B,BR$2&amp;$BI$1)</f>
        <v>0</v>
      </c>
      <c r="BS106" s="405">
        <f>SUMIFS(領用表!$L:$L,領用表!$E:$E,$B106,領用表!$B:$B,BS$2&amp;$BI$1)</f>
        <v>0</v>
      </c>
      <c r="BT106" s="405">
        <f>SUMIFS(領用表!$L:$L,領用表!$E:$E,$B106,領用表!$B:$B,BT$2&amp;$BI$1)</f>
        <v>0</v>
      </c>
      <c r="BU106" s="405">
        <f t="shared" si="17"/>
        <v>0</v>
      </c>
      <c r="BV106" s="405">
        <f t="shared" si="16"/>
        <v>0</v>
      </c>
      <c r="BW106" s="405">
        <f>SUMIF(Summary!B:B,B106,Summary!DU:DU)</f>
        <v>0</v>
      </c>
      <c r="BX106" s="111"/>
      <c r="BY106" s="80"/>
      <c r="BZ106" s="65"/>
      <c r="CA106" s="65"/>
    </row>
    <row r="107" spans="1:81" ht="15.75" customHeight="1">
      <c r="A107" s="27" t="s">
        <v>214</v>
      </c>
      <c r="B107" s="14" t="e">
        <v>#N/A</v>
      </c>
      <c r="C107" s="136" t="s">
        <v>586</v>
      </c>
      <c r="D107" s="77"/>
      <c r="E107" s="17" t="s">
        <v>15</v>
      </c>
      <c r="F107" s="18"/>
      <c r="G107" s="70"/>
      <c r="AR107" s="19"/>
      <c r="AS107" s="64"/>
      <c r="AT107" s="64"/>
      <c r="AU107" s="19"/>
      <c r="AV107" s="19"/>
      <c r="AW107" s="19"/>
      <c r="AX107" s="19"/>
      <c r="AY107" s="19"/>
      <c r="AZ107" s="20">
        <f>SUMIFS(領用表!$L:$L,領用表!$E:$E,$B107,領用表!$B:$B,AZ$2&amp;$BI$1)</f>
        <v>0</v>
      </c>
      <c r="BA107" s="20">
        <f>SUMIFS(領用表!$L:$L,領用表!$E:$E,$B107,領用表!$B:$B,BA$2&amp;$BI$1)</f>
        <v>0</v>
      </c>
      <c r="BB107" s="20">
        <f>SUMIFS(領用表!$L:$L,領用表!$E:$E,$B107,領用表!$B:$B,BB$2&amp;$BI$1)</f>
        <v>0</v>
      </c>
      <c r="BC107" s="20">
        <f>SUMIFS(領用表!$L:$L,領用表!$E:$E,$B107,領用表!$B:$B,BC$2&amp;$BI$1)</f>
        <v>0</v>
      </c>
      <c r="BD107" s="142">
        <f>SUMIFS(領用表!$L:$L,領用表!$E:$E,$B107,領用表!$B:$B,BD$2&amp;$BI$1)</f>
        <v>0</v>
      </c>
      <c r="BE107" s="142">
        <f>SUMIFS(領用表!$L:$L,領用表!$E:$E,$B107,領用表!$B:$B,BE$2&amp;$BI$1)</f>
        <v>0</v>
      </c>
      <c r="BF107" s="142">
        <f>SUMIFS(領用表!$L:$L,領用表!$E:$E,$B107,領用表!$B:$B,BF$2&amp;$BI$1)</f>
        <v>0</v>
      </c>
      <c r="BG107" s="23">
        <f t="shared" si="22"/>
        <v>0</v>
      </c>
      <c r="BH107" s="23">
        <f t="shared" si="23"/>
        <v>0</v>
      </c>
      <c r="BI107" s="142">
        <f>SUMIFS(領用表!$L:$L,領用表!$E:$E,$B107,領用表!$B:$B,BI$2&amp;$BI$1)</f>
        <v>0</v>
      </c>
      <c r="BJ107" s="405">
        <f>SUMIFS(領用表!$L:$L,領用表!$E:$E,$B107,領用表!$B:$B,BJ$2&amp;$BI$1)</f>
        <v>0</v>
      </c>
      <c r="BK107" s="405">
        <f>SUMIFS(領用表!$L:$L,領用表!$E:$E,$B107,領用表!$B:$B,BK$2&amp;$BI$1)</f>
        <v>0</v>
      </c>
      <c r="BL107" s="405">
        <f>SUMIFS(領用表!$L:$L,領用表!$E:$E,$B107,領用表!$B:$B,BL$2&amp;$BI$1)</f>
        <v>0</v>
      </c>
      <c r="BM107" s="405">
        <f>SUMIFS(領用表!$L:$L,領用表!$E:$E,$B107,領用表!$B:$B,BM$2&amp;$BI$1)</f>
        <v>0</v>
      </c>
      <c r="BN107" s="405">
        <f>SUMIFS(領用表!$L:$L,領用表!$E:$E,$B107,領用表!$B:$B,BN$2&amp;$BI$1)</f>
        <v>0</v>
      </c>
      <c r="BO107" s="405">
        <f>SUMIFS(領用表!$L:$L,領用表!$E:$E,$B107,領用表!$B:$B,BO$2&amp;$BI$1)</f>
        <v>0</v>
      </c>
      <c r="BP107" s="405">
        <f>SUMIFS(領用表!$L:$L,領用表!$E:$E,$B107,領用表!$B:$B,BP$2&amp;$BI$1)</f>
        <v>0</v>
      </c>
      <c r="BQ107" s="405">
        <f>SUMIFS(領用表!$L:$L,領用表!$E:$E,$B107,領用表!$B:$B,BQ$2&amp;$BI$1)</f>
        <v>0</v>
      </c>
      <c r="BR107" s="405">
        <f>SUMIFS(領用表!$L:$L,領用表!$E:$E,$B107,領用表!$B:$B,BR$2&amp;$BI$1)</f>
        <v>0</v>
      </c>
      <c r="BS107" s="405">
        <f>SUMIFS(領用表!$L:$L,領用表!$E:$E,$B107,領用表!$B:$B,BS$2&amp;$BI$1)</f>
        <v>0</v>
      </c>
      <c r="BT107" s="405">
        <f>SUMIFS(領用表!$L:$L,領用表!$E:$E,$B107,領用表!$B:$B,BT$2&amp;$BI$1)</f>
        <v>0</v>
      </c>
      <c r="BU107" s="405">
        <f t="shared" si="17"/>
        <v>0</v>
      </c>
      <c r="BV107" s="405">
        <f t="shared" si="16"/>
        <v>0</v>
      </c>
      <c r="BW107" s="405">
        <f>SUMIF(Summary!B:B,B107,Summary!DU:DU)</f>
        <v>0</v>
      </c>
      <c r="BX107" s="111"/>
      <c r="BY107" s="80"/>
      <c r="BZ107" s="65"/>
      <c r="CA107" s="65"/>
    </row>
    <row r="108" spans="1:81" ht="15.75" customHeight="1">
      <c r="A108" s="27" t="s">
        <v>215</v>
      </c>
      <c r="B108" s="14" t="e">
        <v>#N/A</v>
      </c>
      <c r="C108" s="136" t="s">
        <v>587</v>
      </c>
      <c r="D108" s="77"/>
      <c r="E108" s="17" t="s">
        <v>15</v>
      </c>
      <c r="F108" s="18"/>
      <c r="G108" s="70"/>
      <c r="AR108" s="19"/>
      <c r="AS108" s="64"/>
      <c r="AT108" s="64"/>
      <c r="AU108" s="19"/>
      <c r="AV108" s="19"/>
      <c r="AW108" s="19"/>
      <c r="AX108" s="19"/>
      <c r="AY108" s="19"/>
      <c r="AZ108" s="20">
        <f>SUMIFS(領用表!$L:$L,領用表!$E:$E,$B108,領用表!$B:$B,AZ$2&amp;$BI$1)</f>
        <v>0</v>
      </c>
      <c r="BA108" s="20">
        <f>SUMIFS(領用表!$L:$L,領用表!$E:$E,$B108,領用表!$B:$B,BA$2&amp;$BI$1)</f>
        <v>0</v>
      </c>
      <c r="BB108" s="20">
        <f>SUMIFS(領用表!$L:$L,領用表!$E:$E,$B108,領用表!$B:$B,BB$2&amp;$BI$1)</f>
        <v>0</v>
      </c>
      <c r="BC108" s="20">
        <f>SUMIFS(領用表!$L:$L,領用表!$E:$E,$B108,領用表!$B:$B,BC$2&amp;$BI$1)</f>
        <v>0</v>
      </c>
      <c r="BD108" s="142">
        <f>SUMIFS(領用表!$L:$L,領用表!$E:$E,$B108,領用表!$B:$B,BD$2&amp;$BI$1)</f>
        <v>0</v>
      </c>
      <c r="BE108" s="142">
        <f>SUMIFS(領用表!$L:$L,領用表!$E:$E,$B108,領用表!$B:$B,BE$2&amp;$BI$1)</f>
        <v>0</v>
      </c>
      <c r="BF108" s="142">
        <f>SUMIFS(領用表!$L:$L,領用表!$E:$E,$B108,領用表!$B:$B,BF$2&amp;$BI$1)</f>
        <v>0</v>
      </c>
      <c r="BG108" s="23">
        <f t="shared" si="22"/>
        <v>0</v>
      </c>
      <c r="BH108" s="23">
        <f t="shared" si="23"/>
        <v>0</v>
      </c>
      <c r="BI108" s="142">
        <f>SUMIFS(領用表!$L:$L,領用表!$E:$E,$B108,領用表!$B:$B,BI$2&amp;$BI$1)</f>
        <v>0</v>
      </c>
      <c r="BJ108" s="405">
        <f>SUMIFS(領用表!$L:$L,領用表!$E:$E,$B108,領用表!$B:$B,BJ$2&amp;$BI$1)</f>
        <v>0</v>
      </c>
      <c r="BK108" s="405">
        <f>SUMIFS(領用表!$L:$L,領用表!$E:$E,$B108,領用表!$B:$B,BK$2&amp;$BI$1)</f>
        <v>0</v>
      </c>
      <c r="BL108" s="405">
        <f>SUMIFS(領用表!$L:$L,領用表!$E:$E,$B108,領用表!$B:$B,BL$2&amp;$BI$1)</f>
        <v>0</v>
      </c>
      <c r="BM108" s="405">
        <f>SUMIFS(領用表!$L:$L,領用表!$E:$E,$B108,領用表!$B:$B,BM$2&amp;$BI$1)</f>
        <v>0</v>
      </c>
      <c r="BN108" s="405">
        <f>SUMIFS(領用表!$L:$L,領用表!$E:$E,$B108,領用表!$B:$B,BN$2&amp;$BI$1)</f>
        <v>0</v>
      </c>
      <c r="BO108" s="405">
        <f>SUMIFS(領用表!$L:$L,領用表!$E:$E,$B108,領用表!$B:$B,BO$2&amp;$BI$1)</f>
        <v>0</v>
      </c>
      <c r="BP108" s="405">
        <f>SUMIFS(領用表!$L:$L,領用表!$E:$E,$B108,領用表!$B:$B,BP$2&amp;$BI$1)</f>
        <v>0</v>
      </c>
      <c r="BQ108" s="405">
        <f>SUMIFS(領用表!$L:$L,領用表!$E:$E,$B108,領用表!$B:$B,BQ$2&amp;$BI$1)</f>
        <v>0</v>
      </c>
      <c r="BR108" s="405">
        <f>SUMIFS(領用表!$L:$L,領用表!$E:$E,$B108,領用表!$B:$B,BR$2&amp;$BI$1)</f>
        <v>0</v>
      </c>
      <c r="BS108" s="405">
        <f>SUMIFS(領用表!$L:$L,領用表!$E:$E,$B108,領用表!$B:$B,BS$2&amp;$BI$1)</f>
        <v>0</v>
      </c>
      <c r="BT108" s="405">
        <f>SUMIFS(領用表!$L:$L,領用表!$E:$E,$B108,領用表!$B:$B,BT$2&amp;$BI$1)</f>
        <v>0</v>
      </c>
      <c r="BU108" s="405">
        <f t="shared" si="17"/>
        <v>0</v>
      </c>
      <c r="BV108" s="405">
        <f t="shared" si="16"/>
        <v>0</v>
      </c>
      <c r="BW108" s="405">
        <f>SUMIF(Summary!B:B,B108,Summary!DU:DU)</f>
        <v>0</v>
      </c>
      <c r="BX108" s="111"/>
      <c r="BY108" s="80"/>
      <c r="BZ108" s="65"/>
      <c r="CA108" s="65"/>
    </row>
    <row r="109" spans="1:81" ht="16.5" hidden="1" customHeight="1">
      <c r="A109" s="27" t="s">
        <v>173</v>
      </c>
      <c r="B109" s="14">
        <v>1080002</v>
      </c>
      <c r="C109" s="136" t="s">
        <v>551</v>
      </c>
      <c r="D109" s="77"/>
      <c r="E109" s="17" t="s">
        <v>15</v>
      </c>
      <c r="F109" s="18"/>
      <c r="G109" s="70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19"/>
      <c r="AH109" s="19"/>
      <c r="AI109" s="19"/>
      <c r="AJ109" s="19"/>
      <c r="AK109" s="19"/>
      <c r="AL109" s="19"/>
      <c r="AM109" s="19"/>
      <c r="AN109" s="19">
        <v>800</v>
      </c>
      <c r="AO109" s="19">
        <v>800</v>
      </c>
      <c r="AP109" s="19">
        <v>800</v>
      </c>
      <c r="AQ109" s="19">
        <v>3200</v>
      </c>
      <c r="AR109" s="19">
        <v>4800</v>
      </c>
      <c r="AS109" s="68">
        <f>SUM(AG109:AR109)</f>
        <v>10400</v>
      </c>
      <c r="AT109" s="26">
        <f>AS109/12</f>
        <v>866.66666666666663</v>
      </c>
      <c r="AU109" s="19">
        <v>4649</v>
      </c>
      <c r="AV109" s="19">
        <v>2263</v>
      </c>
      <c r="AW109" s="19">
        <v>3200</v>
      </c>
      <c r="AX109" s="19">
        <v>800</v>
      </c>
      <c r="AY109" s="19">
        <v>0</v>
      </c>
      <c r="AZ109" s="20">
        <f>SUMIFS(領用表!$L:$L,領用表!$E:$E,$B109,領用表!$B:$B,AZ$2&amp;$BI$1)</f>
        <v>0</v>
      </c>
      <c r="BA109" s="20">
        <f>SUMIFS(領用表!$L:$L,領用表!$E:$E,$B109,領用表!$B:$B,BA$2&amp;$BI$1)</f>
        <v>0</v>
      </c>
      <c r="BB109" s="20">
        <f>SUMIFS(領用表!$L:$L,領用表!$E:$E,$B109,領用表!$B:$B,BB$2&amp;$BI$1)</f>
        <v>0</v>
      </c>
      <c r="BC109" s="20">
        <f>SUMIFS(領用表!$L:$L,領用表!$E:$E,$B109,領用表!$B:$B,BC$2&amp;$BI$1)</f>
        <v>0</v>
      </c>
      <c r="BD109" s="142">
        <f>SUMIFS(領用表!$L:$L,領用表!$E:$E,$B109,領用表!$B:$B,BD$2&amp;$BI$1)</f>
        <v>0</v>
      </c>
      <c r="BE109" s="142">
        <f>SUMIFS(領用表!$L:$L,領用表!$E:$E,$B109,領用表!$B:$B,BE$2&amp;$BI$1)</f>
        <v>0</v>
      </c>
      <c r="BF109" s="142">
        <f>SUMIFS(領用表!$L:$L,領用表!$E:$E,$B109,領用表!$B:$B,BF$2&amp;$BI$1)</f>
        <v>0</v>
      </c>
      <c r="BG109" s="23">
        <f t="shared" si="22"/>
        <v>10912</v>
      </c>
      <c r="BH109" s="23">
        <f t="shared" si="23"/>
        <v>909.33333333333337</v>
      </c>
      <c r="BI109" s="142">
        <f>SUMIFS(領用表!$L:$L,領用表!$E:$E,$B109,領用表!$B:$B,BI$2&amp;$BI$1)</f>
        <v>0</v>
      </c>
      <c r="BJ109" s="142">
        <f>SUMIFS(領用表!$L:$L,領用表!$E:$E,$B109,領用表!$B:$B,BJ$2&amp;$BI$1)</f>
        <v>0</v>
      </c>
      <c r="BK109" s="142">
        <f>SUMIFS(領用表!$L:$L,領用表!$E:$E,$B109,領用表!$B:$B,BK$2&amp;$BI$1)</f>
        <v>0</v>
      </c>
      <c r="BL109" s="142">
        <f>SUMIFS(領用表!$L:$L,領用表!$E:$E,$B109,領用表!$B:$B,BL$2&amp;$BI$1)</f>
        <v>0</v>
      </c>
      <c r="BM109" s="142">
        <f>SUMIFS(領用表!$L:$L,領用表!$E:$E,$B109,領用表!$B:$B,BM$2&amp;$BI$1)</f>
        <v>0</v>
      </c>
      <c r="BN109" s="142">
        <f>SUMIFS(領用表!$L:$L,領用表!$E:$E,$B109,領用表!$B:$B,BN$2&amp;$BI$1)</f>
        <v>0</v>
      </c>
      <c r="BO109" s="142">
        <f>SUMIFS(領用表!$L:$L,領用表!$E:$E,$B109,領用表!$B:$B,BO$2&amp;$BI$1)</f>
        <v>0</v>
      </c>
      <c r="BP109" s="142">
        <f>SUMIFS(領用表!$L:$L,領用表!$E:$E,$B109,領用表!$B:$B,BP$2&amp;$BI$1)</f>
        <v>0</v>
      </c>
      <c r="BQ109" s="142">
        <f>SUMIFS(領用表!$L:$L,領用表!$E:$E,$B109,領用表!$B:$B,BQ$2&amp;$BI$1)</f>
        <v>0</v>
      </c>
      <c r="BR109" s="142">
        <f>SUMIFS(領用表!$L:$L,領用表!$E:$E,$B109,領用表!$B:$B,BR$2&amp;$BI$1)</f>
        <v>0</v>
      </c>
      <c r="BS109" s="142">
        <f>SUMIFS(領用表!$L:$L,領用表!$E:$E,$B109,領用表!$B:$B,BS$2&amp;$BI$1)</f>
        <v>0</v>
      </c>
      <c r="BT109" s="142">
        <f>SUMIFS(領用表!$L:$L,領用表!$E:$E,$B109,領用表!$B:$B,BT$2&amp;$BI$1)</f>
        <v>0</v>
      </c>
      <c r="BU109" s="142">
        <f t="shared" si="17"/>
        <v>0</v>
      </c>
      <c r="BV109" s="142">
        <f t="shared" si="16"/>
        <v>0</v>
      </c>
      <c r="BW109" s="142">
        <f>SUMIF(Summary!B:B,B109,Summary!DU:DU)</f>
        <v>0</v>
      </c>
      <c r="BX109" s="109"/>
      <c r="BY109" s="65"/>
      <c r="BZ109" s="65"/>
      <c r="CA109" s="65"/>
      <c r="CB109" s="27"/>
      <c r="CC109" s="27"/>
    </row>
    <row r="110" spans="1:81" ht="16.5" hidden="1" customHeight="1">
      <c r="A110" s="27" t="s">
        <v>174</v>
      </c>
      <c r="B110" s="14">
        <v>1080006</v>
      </c>
      <c r="C110" s="136" t="s">
        <v>552</v>
      </c>
      <c r="D110" s="77"/>
      <c r="E110" s="17" t="s">
        <v>15</v>
      </c>
      <c r="F110" s="18"/>
      <c r="G110" s="70"/>
      <c r="AG110" s="82"/>
      <c r="AH110" s="82"/>
      <c r="AI110" s="82"/>
      <c r="AJ110" s="82"/>
      <c r="AK110" s="82"/>
      <c r="AL110" s="82"/>
      <c r="AM110" s="82"/>
      <c r="AN110" s="19">
        <v>0</v>
      </c>
      <c r="AO110" s="19">
        <v>0</v>
      </c>
      <c r="AP110" s="19">
        <v>0</v>
      </c>
      <c r="AQ110" s="19">
        <v>50</v>
      </c>
      <c r="AR110" s="19">
        <v>0</v>
      </c>
      <c r="AS110" s="68">
        <f>SUM(AG110:AR110)</f>
        <v>50</v>
      </c>
      <c r="AT110" s="26">
        <f>AS110/12</f>
        <v>4.166666666666667</v>
      </c>
      <c r="AU110" s="19">
        <v>0</v>
      </c>
      <c r="AV110" s="19">
        <v>4620</v>
      </c>
      <c r="AW110" s="19">
        <v>0</v>
      </c>
      <c r="AX110" s="19">
        <v>0</v>
      </c>
      <c r="AY110" s="19">
        <v>2400</v>
      </c>
      <c r="AZ110" s="20">
        <f>SUMIFS(領用表!$L:$L,領用表!$E:$E,$B110,領用表!$B:$B,AZ$2&amp;$BI$1)</f>
        <v>0</v>
      </c>
      <c r="BA110" s="20">
        <f>SUMIFS(領用表!$L:$L,領用表!$E:$E,$B110,領用表!$B:$B,BA$2&amp;$BI$1)</f>
        <v>0</v>
      </c>
      <c r="BB110" s="20">
        <f>SUMIFS(領用表!$L:$L,領用表!$E:$E,$B110,領用表!$B:$B,BB$2&amp;$BI$1)</f>
        <v>0</v>
      </c>
      <c r="BC110" s="20">
        <f>SUMIFS(領用表!$L:$L,領用表!$E:$E,$B110,領用表!$B:$B,BC$2&amp;$BI$1)</f>
        <v>0</v>
      </c>
      <c r="BD110" s="142">
        <f>SUMIFS(領用表!$L:$L,領用表!$E:$E,$B110,領用表!$B:$B,BD$2&amp;$BI$1)</f>
        <v>0</v>
      </c>
      <c r="BE110" s="142">
        <f>SUMIFS(領用表!$L:$L,領用表!$E:$E,$B110,領用表!$B:$B,BE$2&amp;$BI$1)</f>
        <v>0</v>
      </c>
      <c r="BF110" s="142">
        <f>SUMIFS(領用表!$L:$L,領用表!$E:$E,$B110,領用表!$B:$B,BF$2&amp;$BI$1)</f>
        <v>0</v>
      </c>
      <c r="BG110" s="23">
        <f t="shared" si="22"/>
        <v>7020</v>
      </c>
      <c r="BH110" s="23">
        <f t="shared" si="23"/>
        <v>585</v>
      </c>
      <c r="BI110" s="142">
        <f>SUMIFS(領用表!$L:$L,領用表!$E:$E,$B110,領用表!$B:$B,BI$2&amp;$BI$1)</f>
        <v>0</v>
      </c>
      <c r="BJ110" s="142">
        <f>SUMIFS(領用表!$L:$L,領用表!$E:$E,$B110,領用表!$B:$B,BJ$2&amp;$BI$1)</f>
        <v>0</v>
      </c>
      <c r="BK110" s="142">
        <f>SUMIFS(領用表!$L:$L,領用表!$E:$E,$B110,領用表!$B:$B,BK$2&amp;$BI$1)</f>
        <v>0</v>
      </c>
      <c r="BL110" s="142">
        <f>SUMIFS(領用表!$L:$L,領用表!$E:$E,$B110,領用表!$B:$B,BL$2&amp;$BI$1)</f>
        <v>0</v>
      </c>
      <c r="BM110" s="142">
        <f>SUMIFS(領用表!$L:$L,領用表!$E:$E,$B110,領用表!$B:$B,BM$2&amp;$BI$1)</f>
        <v>0</v>
      </c>
      <c r="BN110" s="142">
        <f>SUMIFS(領用表!$L:$L,領用表!$E:$E,$B110,領用表!$B:$B,BN$2&amp;$BI$1)</f>
        <v>0</v>
      </c>
      <c r="BO110" s="142">
        <f>SUMIFS(領用表!$L:$L,領用表!$E:$E,$B110,領用表!$B:$B,BO$2&amp;$BI$1)</f>
        <v>0</v>
      </c>
      <c r="BP110" s="142">
        <f>SUMIFS(領用表!$L:$L,領用表!$E:$E,$B110,領用表!$B:$B,BP$2&amp;$BI$1)</f>
        <v>0</v>
      </c>
      <c r="BQ110" s="142">
        <f>SUMIFS(領用表!$L:$L,領用表!$E:$E,$B110,領用表!$B:$B,BQ$2&amp;$BI$1)</f>
        <v>0</v>
      </c>
      <c r="BR110" s="142">
        <f>SUMIFS(領用表!$L:$L,領用表!$E:$E,$B110,領用表!$B:$B,BR$2&amp;$BI$1)</f>
        <v>0</v>
      </c>
      <c r="BS110" s="142">
        <f>SUMIFS(領用表!$L:$L,領用表!$E:$E,$B110,領用表!$B:$B,BS$2&amp;$BI$1)</f>
        <v>0</v>
      </c>
      <c r="BT110" s="142">
        <f>SUMIFS(領用表!$L:$L,領用表!$E:$E,$B110,領用表!$B:$B,BT$2&amp;$BI$1)</f>
        <v>0</v>
      </c>
      <c r="BU110" s="142">
        <f t="shared" si="17"/>
        <v>0</v>
      </c>
      <c r="BV110" s="142">
        <f t="shared" si="16"/>
        <v>0</v>
      </c>
      <c r="BW110" s="142">
        <f>SUMIF(Summary!B:B,B110,Summary!DU:DU)</f>
        <v>0</v>
      </c>
      <c r="BX110" s="109"/>
      <c r="BY110" s="65"/>
      <c r="BZ110" s="65"/>
      <c r="CA110" s="76"/>
    </row>
    <row r="111" spans="1:81" ht="16.5" hidden="1" customHeight="1">
      <c r="A111" s="27" t="s">
        <v>176</v>
      </c>
      <c r="B111" s="14">
        <v>6080005</v>
      </c>
      <c r="C111" s="136" t="s">
        <v>554</v>
      </c>
      <c r="D111" s="77"/>
      <c r="E111" s="17" t="s">
        <v>15</v>
      </c>
      <c r="F111" s="18"/>
      <c r="G111" s="70"/>
      <c r="AG111" s="82"/>
      <c r="AH111" s="82"/>
      <c r="AI111" s="82"/>
      <c r="AJ111" s="82"/>
      <c r="AK111" s="82"/>
      <c r="AL111" s="82"/>
      <c r="AM111" s="82"/>
      <c r="AN111" s="19"/>
      <c r="AO111" s="19"/>
      <c r="AP111" s="19"/>
      <c r="AQ111" s="19"/>
      <c r="AR111" s="19"/>
      <c r="AS111" s="68">
        <v>0</v>
      </c>
      <c r="AT111" s="26">
        <v>0</v>
      </c>
      <c r="AU111" s="19">
        <v>0</v>
      </c>
      <c r="AV111" s="19">
        <v>0</v>
      </c>
      <c r="AW111" s="19">
        <v>0</v>
      </c>
      <c r="AX111" s="19">
        <v>800</v>
      </c>
      <c r="AY111" s="19">
        <v>0</v>
      </c>
      <c r="AZ111" s="20">
        <f>SUMIFS(領用表!$L:$L,領用表!$E:$E,$B111,領用表!$B:$B,AZ$2&amp;$BI$1)</f>
        <v>0</v>
      </c>
      <c r="BA111" s="20">
        <f>SUMIFS(領用表!$L:$L,領用表!$E:$E,$B111,領用表!$B:$B,BA$2&amp;$BI$1)</f>
        <v>0</v>
      </c>
      <c r="BB111" s="20">
        <f>SUMIFS(領用表!$L:$L,領用表!$E:$E,$B111,領用表!$B:$B,BB$2&amp;$BI$1)</f>
        <v>0</v>
      </c>
      <c r="BC111" s="20">
        <f>SUMIFS(領用表!$L:$L,領用表!$E:$E,$B111,領用表!$B:$B,BC$2&amp;$BI$1)</f>
        <v>0</v>
      </c>
      <c r="BD111" s="142">
        <f>SUMIFS(領用表!$L:$L,領用表!$E:$E,$B111,領用表!$B:$B,BD$2&amp;$BI$1)</f>
        <v>0</v>
      </c>
      <c r="BE111" s="142">
        <f>SUMIFS(領用表!$L:$L,領用表!$E:$E,$B111,領用表!$B:$B,BE$2&amp;$BI$1)</f>
        <v>0</v>
      </c>
      <c r="BF111" s="142">
        <f>SUMIFS(領用表!$L:$L,領用表!$E:$E,$B111,領用表!$B:$B,BF$2&amp;$BI$1)</f>
        <v>0</v>
      </c>
      <c r="BG111" s="23">
        <f t="shared" si="22"/>
        <v>800</v>
      </c>
      <c r="BH111" s="23">
        <f t="shared" si="23"/>
        <v>66.666666666666671</v>
      </c>
      <c r="BI111" s="142">
        <f>SUMIFS(領用表!$L:$L,領用表!$E:$E,$B111,領用表!$B:$B,BI$2&amp;$BI$1)</f>
        <v>0</v>
      </c>
      <c r="BJ111" s="142">
        <f>SUMIFS(領用表!$L:$L,領用表!$E:$E,$B111,領用表!$B:$B,BJ$2&amp;$BI$1)</f>
        <v>0</v>
      </c>
      <c r="BK111" s="142">
        <f>SUMIFS(領用表!$L:$L,領用表!$E:$E,$B111,領用表!$B:$B,BK$2&amp;$BI$1)</f>
        <v>0</v>
      </c>
      <c r="BL111" s="142">
        <f>SUMIFS(領用表!$L:$L,領用表!$E:$E,$B111,領用表!$B:$B,BL$2&amp;$BI$1)</f>
        <v>0</v>
      </c>
      <c r="BM111" s="142">
        <f>SUMIFS(領用表!$L:$L,領用表!$E:$E,$B111,領用表!$B:$B,BM$2&amp;$BI$1)</f>
        <v>0</v>
      </c>
      <c r="BN111" s="142">
        <f>SUMIFS(領用表!$L:$L,領用表!$E:$E,$B111,領用表!$B:$B,BN$2&amp;$BI$1)</f>
        <v>0</v>
      </c>
      <c r="BO111" s="142">
        <f>SUMIFS(領用表!$L:$L,領用表!$E:$E,$B111,領用表!$B:$B,BO$2&amp;$BI$1)</f>
        <v>0</v>
      </c>
      <c r="BP111" s="142">
        <f>SUMIFS(領用表!$L:$L,領用表!$E:$E,$B111,領用表!$B:$B,BP$2&amp;$BI$1)</f>
        <v>0</v>
      </c>
      <c r="BQ111" s="142">
        <f>SUMIFS(領用表!$L:$L,領用表!$E:$E,$B111,領用表!$B:$B,BQ$2&amp;$BI$1)</f>
        <v>0</v>
      </c>
      <c r="BR111" s="142">
        <f>SUMIFS(領用表!$L:$L,領用表!$E:$E,$B111,領用表!$B:$B,BR$2&amp;$BI$1)</f>
        <v>0</v>
      </c>
      <c r="BS111" s="142">
        <f>SUMIFS(領用表!$L:$L,領用表!$E:$E,$B111,領用表!$B:$B,BS$2&amp;$BI$1)</f>
        <v>0</v>
      </c>
      <c r="BT111" s="142">
        <f>SUMIFS(領用表!$L:$L,領用表!$E:$E,$B111,領用表!$B:$B,BT$2&amp;$BI$1)</f>
        <v>0</v>
      </c>
      <c r="BU111" s="142">
        <f t="shared" si="17"/>
        <v>0</v>
      </c>
      <c r="BV111" s="142">
        <f t="shared" si="16"/>
        <v>0</v>
      </c>
      <c r="BW111" s="142">
        <f>SUMIF(Summary!B:B,B111,Summary!DU:DU)</f>
        <v>0</v>
      </c>
      <c r="BX111" s="109"/>
      <c r="BY111" s="65"/>
      <c r="BZ111" s="65"/>
      <c r="CA111" s="65"/>
    </row>
    <row r="112" spans="1:81" ht="16.5" hidden="1" customHeight="1">
      <c r="A112" s="27" t="s">
        <v>210</v>
      </c>
      <c r="B112" s="14">
        <v>1080005</v>
      </c>
      <c r="C112" s="136" t="s">
        <v>582</v>
      </c>
      <c r="D112" s="77"/>
      <c r="E112" s="17" t="s">
        <v>15</v>
      </c>
      <c r="F112" s="18"/>
      <c r="G112" s="70"/>
      <c r="AG112" s="82"/>
      <c r="AH112" s="82"/>
      <c r="AI112" s="82"/>
      <c r="AJ112" s="82"/>
      <c r="AK112" s="82"/>
      <c r="AL112" s="82"/>
      <c r="AM112" s="82"/>
      <c r="AN112" s="19"/>
      <c r="AO112" s="19"/>
      <c r="AP112" s="19"/>
      <c r="AQ112" s="19"/>
      <c r="AR112" s="19"/>
      <c r="AS112" s="68">
        <f>SUM(AG112:AR112)</f>
        <v>0</v>
      </c>
      <c r="AT112" s="26">
        <f>AS112/12</f>
        <v>0</v>
      </c>
      <c r="AU112" s="19">
        <v>1400</v>
      </c>
      <c r="AV112" s="19">
        <v>2700</v>
      </c>
      <c r="AW112" s="19">
        <v>1200</v>
      </c>
      <c r="AX112" s="19">
        <v>0</v>
      </c>
      <c r="AY112" s="19">
        <v>0</v>
      </c>
      <c r="AZ112" s="20">
        <f>SUMIFS(領用表!$L:$L,領用表!$E:$E,$B112,領用表!$B:$B,AZ$2&amp;$BI$1)</f>
        <v>0</v>
      </c>
      <c r="BA112" s="20">
        <f>SUMIFS(領用表!$L:$L,領用表!$E:$E,$B112,領用表!$B:$B,BA$2&amp;$BI$1)</f>
        <v>0</v>
      </c>
      <c r="BB112" s="20">
        <f>SUMIFS(領用表!$L:$L,領用表!$E:$E,$B112,領用表!$B:$B,BB$2&amp;$BI$1)</f>
        <v>0</v>
      </c>
      <c r="BC112" s="20">
        <f>SUMIFS(領用表!$L:$L,領用表!$E:$E,$B112,領用表!$B:$B,BC$2&amp;$BI$1)</f>
        <v>0</v>
      </c>
      <c r="BD112" s="142">
        <f>SUMIFS(領用表!$L:$L,領用表!$E:$E,$B112,領用表!$B:$B,BD$2&amp;$BI$1)</f>
        <v>0</v>
      </c>
      <c r="BE112" s="142">
        <f>SUMIFS(領用表!$L:$L,領用表!$E:$E,$B112,領用表!$B:$B,BE$2&amp;$BI$1)</f>
        <v>0</v>
      </c>
      <c r="BF112" s="142">
        <f>SUMIFS(領用表!$L:$L,領用表!$E:$E,$B112,領用表!$B:$B,BF$2&amp;$BI$1)</f>
        <v>0</v>
      </c>
      <c r="BG112" s="23">
        <f t="shared" si="22"/>
        <v>5300</v>
      </c>
      <c r="BH112" s="23">
        <f t="shared" si="23"/>
        <v>441.66666666666669</v>
      </c>
      <c r="BI112" s="142">
        <f>SUMIFS(領用表!$L:$L,領用表!$E:$E,$B112,領用表!$B:$B,BI$2&amp;$BI$1)</f>
        <v>0</v>
      </c>
      <c r="BJ112" s="142">
        <f>SUMIFS(領用表!$L:$L,領用表!$E:$E,$B112,領用表!$B:$B,BJ$2&amp;$BI$1)</f>
        <v>0</v>
      </c>
      <c r="BK112" s="142">
        <f>SUMIFS(領用表!$L:$L,領用表!$E:$E,$B112,領用表!$B:$B,BK$2&amp;$BI$1)</f>
        <v>0</v>
      </c>
      <c r="BL112" s="142">
        <f>SUMIFS(領用表!$L:$L,領用表!$E:$E,$B112,領用表!$B:$B,BL$2&amp;$BI$1)</f>
        <v>0</v>
      </c>
      <c r="BM112" s="142">
        <f>SUMIFS(領用表!$L:$L,領用表!$E:$E,$B112,領用表!$B:$B,BM$2&amp;$BI$1)</f>
        <v>0</v>
      </c>
      <c r="BN112" s="142">
        <f>SUMIFS(領用表!$L:$L,領用表!$E:$E,$B112,領用表!$B:$B,BN$2&amp;$BI$1)</f>
        <v>0</v>
      </c>
      <c r="BO112" s="142">
        <f>SUMIFS(領用表!$L:$L,領用表!$E:$E,$B112,領用表!$B:$B,BO$2&amp;$BI$1)</f>
        <v>0</v>
      </c>
      <c r="BP112" s="142">
        <f>SUMIFS(領用表!$L:$L,領用表!$E:$E,$B112,領用表!$B:$B,BP$2&amp;$BI$1)</f>
        <v>0</v>
      </c>
      <c r="BQ112" s="142">
        <f>SUMIFS(領用表!$L:$L,領用表!$E:$E,$B112,領用表!$B:$B,BQ$2&amp;$BI$1)</f>
        <v>0</v>
      </c>
      <c r="BR112" s="142">
        <f>SUMIFS(領用表!$L:$L,領用表!$E:$E,$B112,領用表!$B:$B,BR$2&amp;$BI$1)</f>
        <v>0</v>
      </c>
      <c r="BS112" s="142">
        <f>SUMIFS(領用表!$L:$L,領用表!$E:$E,$B112,領用表!$B:$B,BS$2&amp;$BI$1)</f>
        <v>0</v>
      </c>
      <c r="BT112" s="142">
        <f>SUMIFS(領用表!$L:$L,領用表!$E:$E,$B112,領用表!$B:$B,BT$2&amp;$BI$1)</f>
        <v>0</v>
      </c>
      <c r="BU112" s="142">
        <f t="shared" si="17"/>
        <v>0</v>
      </c>
      <c r="BV112" s="142">
        <f t="shared" si="16"/>
        <v>0</v>
      </c>
      <c r="BW112" s="142">
        <f>SUMIF(Summary!B:B,B112,Summary!DU:DU)</f>
        <v>0</v>
      </c>
      <c r="BX112" s="109"/>
      <c r="BY112" s="65"/>
      <c r="BZ112" s="65"/>
      <c r="CA112" s="65"/>
    </row>
    <row r="113" spans="1:79" ht="16.5" hidden="1" customHeight="1">
      <c r="A113" s="27" t="s">
        <v>216</v>
      </c>
      <c r="B113" s="14" t="e">
        <v>#N/A</v>
      </c>
      <c r="C113" s="136" t="s">
        <v>588</v>
      </c>
      <c r="D113" s="77"/>
      <c r="E113" s="17" t="s">
        <v>15</v>
      </c>
      <c r="F113" s="18"/>
      <c r="G113" s="70"/>
      <c r="AG113" s="82"/>
      <c r="AH113" s="82"/>
      <c r="AI113" s="82"/>
      <c r="AJ113" s="82"/>
      <c r="AK113" s="82"/>
      <c r="AL113" s="82"/>
      <c r="AM113" s="82"/>
      <c r="AN113" s="19">
        <v>0</v>
      </c>
      <c r="AO113" s="19">
        <v>0</v>
      </c>
      <c r="AP113" s="19">
        <v>0</v>
      </c>
      <c r="AQ113" s="19">
        <v>0</v>
      </c>
      <c r="AR113" s="19">
        <v>18</v>
      </c>
      <c r="AS113" s="68">
        <f>SUM(AG113:AR113)</f>
        <v>18</v>
      </c>
      <c r="AT113" s="26">
        <f>AS113/12</f>
        <v>1.5</v>
      </c>
      <c r="AU113" s="19">
        <v>18</v>
      </c>
      <c r="AV113" s="19">
        <v>0</v>
      </c>
      <c r="AW113" s="19">
        <v>0</v>
      </c>
      <c r="AX113" s="19">
        <v>360</v>
      </c>
      <c r="AY113" s="19">
        <v>0</v>
      </c>
      <c r="AZ113" s="20">
        <f>SUMIFS(領用表!$L:$L,領用表!$E:$E,$B113,領用表!$B:$B,AZ$2&amp;$BI$1)</f>
        <v>0</v>
      </c>
      <c r="BA113" s="20">
        <f>SUMIFS(領用表!$L:$L,領用表!$E:$E,$B113,領用表!$B:$B,BA$2&amp;$BI$1)</f>
        <v>0</v>
      </c>
      <c r="BB113" s="20">
        <f>SUMIFS(領用表!$L:$L,領用表!$E:$E,$B113,領用表!$B:$B,BB$2&amp;$BI$1)</f>
        <v>0</v>
      </c>
      <c r="BC113" s="20">
        <f>SUMIFS(領用表!$L:$L,領用表!$E:$E,$B113,領用表!$B:$B,BC$2&amp;$BI$1)</f>
        <v>0</v>
      </c>
      <c r="BD113" s="142">
        <f>SUMIFS(領用表!$L:$L,領用表!$E:$E,$B113,領用表!$B:$B,BD$2&amp;$BI$1)</f>
        <v>0</v>
      </c>
      <c r="BE113" s="142">
        <f>SUMIFS(領用表!$L:$L,領用表!$E:$E,$B113,領用表!$B:$B,BE$2&amp;$BI$1)</f>
        <v>0</v>
      </c>
      <c r="BF113" s="142">
        <f>SUMIFS(領用表!$L:$L,領用表!$E:$E,$B113,領用表!$B:$B,BF$2&amp;$BI$1)</f>
        <v>0</v>
      </c>
      <c r="BG113" s="23">
        <f t="shared" si="22"/>
        <v>378</v>
      </c>
      <c r="BH113" s="23">
        <f t="shared" si="23"/>
        <v>31.5</v>
      </c>
      <c r="BI113" s="142">
        <f>SUMIFS(領用表!$L:$L,領用表!$E:$E,$B113,領用表!$B:$B,BI$2&amp;$BI$1)</f>
        <v>0</v>
      </c>
      <c r="BJ113" s="142">
        <f>SUMIFS(領用表!$L:$L,領用表!$E:$E,$B113,領用表!$B:$B,BJ$2&amp;$BI$1)</f>
        <v>0</v>
      </c>
      <c r="BK113" s="142">
        <f>SUMIFS(領用表!$L:$L,領用表!$E:$E,$B113,領用表!$B:$B,BK$2&amp;$BI$1)</f>
        <v>0</v>
      </c>
      <c r="BL113" s="142">
        <f>SUMIFS(領用表!$L:$L,領用表!$E:$E,$B113,領用表!$B:$B,BL$2&amp;$BI$1)</f>
        <v>0</v>
      </c>
      <c r="BM113" s="142">
        <f>SUMIFS(領用表!$L:$L,領用表!$E:$E,$B113,領用表!$B:$B,BM$2&amp;$BI$1)</f>
        <v>0</v>
      </c>
      <c r="BN113" s="142">
        <f>SUMIFS(領用表!$L:$L,領用表!$E:$E,$B113,領用表!$B:$B,BN$2&amp;$BI$1)</f>
        <v>0</v>
      </c>
      <c r="BO113" s="142">
        <f>SUMIFS(領用表!$L:$L,領用表!$E:$E,$B113,領用表!$B:$B,BO$2&amp;$BI$1)</f>
        <v>0</v>
      </c>
      <c r="BP113" s="142">
        <f>SUMIFS(領用表!$L:$L,領用表!$E:$E,$B113,領用表!$B:$B,BP$2&amp;$BI$1)</f>
        <v>0</v>
      </c>
      <c r="BQ113" s="142">
        <f>SUMIFS(領用表!$L:$L,領用表!$E:$E,$B113,領用表!$B:$B,BQ$2&amp;$BI$1)</f>
        <v>0</v>
      </c>
      <c r="BR113" s="142">
        <f>SUMIFS(領用表!$L:$L,領用表!$E:$E,$B113,領用表!$B:$B,BR$2&amp;$BI$1)</f>
        <v>0</v>
      </c>
      <c r="BS113" s="142">
        <f>SUMIFS(領用表!$L:$L,領用表!$E:$E,$B113,領用表!$B:$B,BS$2&amp;$BI$1)</f>
        <v>0</v>
      </c>
      <c r="BT113" s="142">
        <f>SUMIFS(領用表!$L:$L,領用表!$E:$E,$B113,領用表!$B:$B,BT$2&amp;$BI$1)</f>
        <v>0</v>
      </c>
      <c r="BU113" s="142">
        <f t="shared" si="17"/>
        <v>0</v>
      </c>
      <c r="BV113" s="142">
        <f t="shared" si="16"/>
        <v>0</v>
      </c>
      <c r="BW113" s="142">
        <f>SUMIF(Summary!B:B,B113,Summary!DU:DU)</f>
        <v>0</v>
      </c>
      <c r="BX113" s="109"/>
      <c r="BY113" s="65"/>
      <c r="BZ113" s="65"/>
      <c r="CA113" s="65"/>
    </row>
    <row r="114" spans="1:79" ht="16.5" hidden="1" customHeight="1">
      <c r="A114" s="27" t="s">
        <v>205</v>
      </c>
      <c r="B114" s="14" t="e">
        <v>#N/A</v>
      </c>
      <c r="C114" s="136" t="s">
        <v>577</v>
      </c>
      <c r="D114" s="77"/>
      <c r="E114" s="17" t="s">
        <v>15</v>
      </c>
      <c r="F114" s="18"/>
      <c r="G114" s="70"/>
      <c r="AR114" s="19">
        <v>0</v>
      </c>
      <c r="AS114" s="64">
        <v>0</v>
      </c>
      <c r="AT114" s="64">
        <v>0</v>
      </c>
      <c r="AU114" s="19">
        <v>280</v>
      </c>
      <c r="AV114" s="19">
        <v>840</v>
      </c>
      <c r="AW114" s="19">
        <v>584</v>
      </c>
      <c r="AX114" s="19">
        <v>0</v>
      </c>
      <c r="AY114" s="19">
        <v>0</v>
      </c>
      <c r="AZ114" s="20">
        <f>SUMIFS(領用表!$L:$L,領用表!$E:$E,$B114,領用表!$B:$B,AZ$2&amp;$BI$1)</f>
        <v>0</v>
      </c>
      <c r="BA114" s="20">
        <f>SUMIFS(領用表!$L:$L,領用表!$E:$E,$B114,領用表!$B:$B,BA$2&amp;$BI$1)</f>
        <v>0</v>
      </c>
      <c r="BB114" s="20">
        <f>SUMIFS(領用表!$L:$L,領用表!$E:$E,$B114,領用表!$B:$B,BB$2&amp;$BI$1)</f>
        <v>0</v>
      </c>
      <c r="BC114" s="20">
        <f>SUMIFS(領用表!$L:$L,領用表!$E:$E,$B114,領用表!$B:$B,BC$2&amp;$BI$1)</f>
        <v>0</v>
      </c>
      <c r="BD114" s="142">
        <f>SUMIFS(領用表!$L:$L,領用表!$E:$E,$B114,領用表!$B:$B,BD$2&amp;$BI$1)</f>
        <v>0</v>
      </c>
      <c r="BE114" s="142">
        <f>SUMIFS(領用表!$L:$L,領用表!$E:$E,$B114,領用表!$B:$B,BE$2&amp;$BI$1)</f>
        <v>0</v>
      </c>
      <c r="BF114" s="142">
        <f>SUMIFS(領用表!$L:$L,領用表!$E:$E,$B114,領用表!$B:$B,BF$2&amp;$BI$1)</f>
        <v>0</v>
      </c>
      <c r="BG114" s="23">
        <f t="shared" si="22"/>
        <v>1704</v>
      </c>
      <c r="BH114" s="23">
        <f t="shared" si="23"/>
        <v>142</v>
      </c>
      <c r="BI114" s="142">
        <f>SUMIFS(領用表!$L:$L,領用表!$E:$E,$B114,領用表!$B:$B,BI$2&amp;$BI$1)</f>
        <v>0</v>
      </c>
      <c r="BJ114" s="142">
        <f>SUMIFS(領用表!$L:$L,領用表!$E:$E,$B114,領用表!$B:$B,BJ$2&amp;$BI$1)</f>
        <v>0</v>
      </c>
      <c r="BK114" s="142">
        <f>SUMIFS(領用表!$L:$L,領用表!$E:$E,$B114,領用表!$B:$B,BK$2&amp;$BI$1)</f>
        <v>0</v>
      </c>
      <c r="BL114" s="142">
        <f>SUMIFS(領用表!$L:$L,領用表!$E:$E,$B114,領用表!$B:$B,BL$2&amp;$BI$1)</f>
        <v>0</v>
      </c>
      <c r="BM114" s="142">
        <f>SUMIFS(領用表!$L:$L,領用表!$E:$E,$B114,領用表!$B:$B,BM$2&amp;$BI$1)</f>
        <v>0</v>
      </c>
      <c r="BN114" s="142">
        <f>SUMIFS(領用表!$L:$L,領用表!$E:$E,$B114,領用表!$B:$B,BN$2&amp;$BI$1)</f>
        <v>0</v>
      </c>
      <c r="BO114" s="142">
        <f>SUMIFS(領用表!$L:$L,領用表!$E:$E,$B114,領用表!$B:$B,BO$2&amp;$BI$1)</f>
        <v>0</v>
      </c>
      <c r="BP114" s="142">
        <f>SUMIFS(領用表!$L:$L,領用表!$E:$E,$B114,領用表!$B:$B,BP$2&amp;$BI$1)</f>
        <v>0</v>
      </c>
      <c r="BQ114" s="142">
        <f>SUMIFS(領用表!$L:$L,領用表!$E:$E,$B114,領用表!$B:$B,BQ$2&amp;$BI$1)</f>
        <v>0</v>
      </c>
      <c r="BR114" s="142">
        <f>SUMIFS(領用表!$L:$L,領用表!$E:$E,$B114,領用表!$B:$B,BR$2&amp;$BI$1)</f>
        <v>0</v>
      </c>
      <c r="BS114" s="142">
        <f>SUMIFS(領用表!$L:$L,領用表!$E:$E,$B114,領用表!$B:$B,BS$2&amp;$BI$1)</f>
        <v>0</v>
      </c>
      <c r="BT114" s="142">
        <f>SUMIFS(領用表!$L:$L,領用表!$E:$E,$B114,領用表!$B:$B,BT$2&amp;$BI$1)</f>
        <v>0</v>
      </c>
      <c r="BU114" s="142">
        <f t="shared" si="17"/>
        <v>0</v>
      </c>
      <c r="BV114" s="142">
        <f t="shared" si="16"/>
        <v>0</v>
      </c>
      <c r="BW114" s="142">
        <f>SUMIF(Summary!B:B,B114,Summary!DU:DU)</f>
        <v>0</v>
      </c>
      <c r="BX114" s="109"/>
      <c r="BY114" s="65"/>
      <c r="BZ114" s="65"/>
      <c r="CA114" s="65"/>
    </row>
    <row r="115" spans="1:79" ht="16.5" hidden="1" customHeight="1">
      <c r="A115" s="27" t="s">
        <v>206</v>
      </c>
      <c r="B115" s="14" t="e">
        <v>#N/A</v>
      </c>
      <c r="C115" s="136" t="s">
        <v>578</v>
      </c>
      <c r="D115" s="77"/>
      <c r="E115" s="17" t="s">
        <v>15</v>
      </c>
      <c r="F115" s="18"/>
      <c r="G115" s="70"/>
      <c r="AR115" s="19">
        <v>0</v>
      </c>
      <c r="AS115" s="64">
        <v>0</v>
      </c>
      <c r="AT115" s="64">
        <v>0</v>
      </c>
      <c r="AU115" s="19">
        <v>95</v>
      </c>
      <c r="AV115" s="19">
        <v>0</v>
      </c>
      <c r="AW115" s="19">
        <v>0</v>
      </c>
      <c r="AX115" s="19" t="s">
        <v>49</v>
      </c>
      <c r="AY115" s="19">
        <v>0</v>
      </c>
      <c r="AZ115" s="20">
        <f>SUMIFS(領用表!$L:$L,領用表!$E:$E,$B115,領用表!$B:$B,AZ$2&amp;$BI$1)</f>
        <v>0</v>
      </c>
      <c r="BA115" s="20">
        <f>SUMIFS(領用表!$L:$L,領用表!$E:$E,$B115,領用表!$B:$B,BA$2&amp;$BI$1)</f>
        <v>0</v>
      </c>
      <c r="BB115" s="20">
        <f>SUMIFS(領用表!$L:$L,領用表!$E:$E,$B115,領用表!$B:$B,BB$2&amp;$BI$1)</f>
        <v>0</v>
      </c>
      <c r="BC115" s="20">
        <f>SUMIFS(領用表!$L:$L,領用表!$E:$E,$B115,領用表!$B:$B,BC$2&amp;$BI$1)</f>
        <v>0</v>
      </c>
      <c r="BD115" s="142">
        <f>SUMIFS(領用表!$L:$L,領用表!$E:$E,$B115,領用表!$B:$B,BD$2&amp;$BI$1)</f>
        <v>0</v>
      </c>
      <c r="BE115" s="142">
        <f>SUMIFS(領用表!$L:$L,領用表!$E:$E,$B115,領用表!$B:$B,BE$2&amp;$BI$1)</f>
        <v>0</v>
      </c>
      <c r="BF115" s="142">
        <f>SUMIFS(領用表!$L:$L,領用表!$E:$E,$B115,領用表!$B:$B,BF$2&amp;$BI$1)</f>
        <v>0</v>
      </c>
      <c r="BG115" s="23">
        <f t="shared" si="22"/>
        <v>95</v>
      </c>
      <c r="BH115" s="23">
        <f t="shared" si="23"/>
        <v>8.6363636363636367</v>
      </c>
      <c r="BI115" s="142">
        <f>SUMIFS(領用表!$L:$L,領用表!$E:$E,$B115,領用表!$B:$B,BI$2&amp;$BI$1)</f>
        <v>0</v>
      </c>
      <c r="BJ115" s="142">
        <f>SUMIFS(領用表!$L:$L,領用表!$E:$E,$B115,領用表!$B:$B,BJ$2&amp;$BI$1)</f>
        <v>0</v>
      </c>
      <c r="BK115" s="142">
        <f>SUMIFS(領用表!$L:$L,領用表!$E:$E,$B115,領用表!$B:$B,BK$2&amp;$BI$1)</f>
        <v>0</v>
      </c>
      <c r="BL115" s="142">
        <f>SUMIFS(領用表!$L:$L,領用表!$E:$E,$B115,領用表!$B:$B,BL$2&amp;$BI$1)</f>
        <v>0</v>
      </c>
      <c r="BM115" s="142">
        <f>SUMIFS(領用表!$L:$L,領用表!$E:$E,$B115,領用表!$B:$B,BM$2&amp;$BI$1)</f>
        <v>0</v>
      </c>
      <c r="BN115" s="142">
        <f>SUMIFS(領用表!$L:$L,領用表!$E:$E,$B115,領用表!$B:$B,BN$2&amp;$BI$1)</f>
        <v>0</v>
      </c>
      <c r="BO115" s="142">
        <f>SUMIFS(領用表!$L:$L,領用表!$E:$E,$B115,領用表!$B:$B,BO$2&amp;$BI$1)</f>
        <v>0</v>
      </c>
      <c r="BP115" s="142">
        <f>SUMIFS(領用表!$L:$L,領用表!$E:$E,$B115,領用表!$B:$B,BP$2&amp;$BI$1)</f>
        <v>0</v>
      </c>
      <c r="BQ115" s="142">
        <f>SUMIFS(領用表!$L:$L,領用表!$E:$E,$B115,領用表!$B:$B,BQ$2&amp;$BI$1)</f>
        <v>0</v>
      </c>
      <c r="BR115" s="142">
        <f>SUMIFS(領用表!$L:$L,領用表!$E:$E,$B115,領用表!$B:$B,BR$2&amp;$BI$1)</f>
        <v>0</v>
      </c>
      <c r="BS115" s="142">
        <f>SUMIFS(領用表!$L:$L,領用表!$E:$E,$B115,領用表!$B:$B,BS$2&amp;$BI$1)</f>
        <v>0</v>
      </c>
      <c r="BT115" s="142">
        <f>SUMIFS(領用表!$L:$L,領用表!$E:$E,$B115,領用表!$B:$B,BT$2&amp;$BI$1)</f>
        <v>0</v>
      </c>
      <c r="BU115" s="142">
        <f t="shared" si="17"/>
        <v>0</v>
      </c>
      <c r="BV115" s="142">
        <f t="shared" si="16"/>
        <v>0</v>
      </c>
      <c r="BW115" s="142">
        <f>SUMIF(Summary!B:B,B115,Summary!DU:DU)</f>
        <v>0</v>
      </c>
      <c r="BX115" s="109"/>
      <c r="BY115" s="65"/>
      <c r="BZ115" s="65"/>
      <c r="CA115" s="65"/>
    </row>
    <row r="116" spans="1:79" ht="14.25" hidden="1" customHeight="1">
      <c r="A116" s="27" t="s">
        <v>217</v>
      </c>
      <c r="B116" s="14" t="e">
        <v>#N/A</v>
      </c>
      <c r="C116" s="136" t="s">
        <v>589</v>
      </c>
      <c r="D116" s="77"/>
      <c r="E116" s="17" t="s">
        <v>15</v>
      </c>
      <c r="F116" s="18"/>
      <c r="G116" s="70"/>
      <c r="AR116" s="19">
        <v>0</v>
      </c>
      <c r="AS116" s="64">
        <v>0</v>
      </c>
      <c r="AT116" s="64">
        <v>0</v>
      </c>
      <c r="AU116" s="19">
        <v>0</v>
      </c>
      <c r="AV116" s="19">
        <v>0</v>
      </c>
      <c r="AW116" s="19">
        <v>54</v>
      </c>
      <c r="AX116" s="19">
        <v>0</v>
      </c>
      <c r="AY116" s="19">
        <v>0</v>
      </c>
      <c r="AZ116" s="20">
        <f>SUMIFS(領用表!$L:$L,領用表!$E:$E,$B116,領用表!$B:$B,AZ$2&amp;$BI$1)</f>
        <v>0</v>
      </c>
      <c r="BA116" s="20">
        <f>SUMIFS(領用表!$L:$L,領用表!$E:$E,$B116,領用表!$B:$B,BA$2&amp;$BI$1)</f>
        <v>0</v>
      </c>
      <c r="BB116" s="20">
        <f>SUMIFS(領用表!$L:$L,領用表!$E:$E,$B116,領用表!$B:$B,BB$2&amp;$BI$1)</f>
        <v>0</v>
      </c>
      <c r="BC116" s="20">
        <f>SUMIFS(領用表!$L:$L,領用表!$E:$E,$B116,領用表!$B:$B,BC$2&amp;$BI$1)</f>
        <v>0</v>
      </c>
      <c r="BD116" s="142">
        <f>SUMIFS(領用表!$L:$L,領用表!$E:$E,$B116,領用表!$B:$B,BD$2&amp;$BI$1)</f>
        <v>0</v>
      </c>
      <c r="BE116" s="142">
        <f>SUMIFS(領用表!$L:$L,領用表!$E:$E,$B116,領用表!$B:$B,BE$2&amp;$BI$1)</f>
        <v>0</v>
      </c>
      <c r="BF116" s="142">
        <f>SUMIFS(領用表!$L:$L,領用表!$E:$E,$B116,領用表!$B:$B,BF$2&amp;$BI$1)</f>
        <v>0</v>
      </c>
      <c r="BG116" s="23">
        <f t="shared" si="22"/>
        <v>54</v>
      </c>
      <c r="BH116" s="23">
        <f t="shared" si="23"/>
        <v>4.5</v>
      </c>
      <c r="BI116" s="142">
        <f>SUMIFS(領用表!$L:$L,領用表!$E:$E,$B116,領用表!$B:$B,BI$2&amp;$BI$1)</f>
        <v>0</v>
      </c>
      <c r="BJ116" s="405">
        <f>SUMIFS(領用表!$L:$L,領用表!$E:$E,$B116,領用表!$B:$B,BJ$2&amp;$BI$1)</f>
        <v>0</v>
      </c>
      <c r="BK116" s="405">
        <f>SUMIFS(領用表!$L:$L,領用表!$E:$E,$B116,領用表!$B:$B,BK$2&amp;$BI$1)</f>
        <v>0</v>
      </c>
      <c r="BL116" s="405">
        <f>SUMIFS(領用表!$L:$L,領用表!$E:$E,$B116,領用表!$B:$B,BL$2&amp;$BI$1)</f>
        <v>0</v>
      </c>
      <c r="BM116" s="405">
        <f>SUMIFS(領用表!$L:$L,領用表!$E:$E,$B116,領用表!$B:$B,BM$2&amp;$BI$1)</f>
        <v>0</v>
      </c>
      <c r="BN116" s="405">
        <f>SUMIFS(領用表!$L:$L,領用表!$E:$E,$B116,領用表!$B:$B,BN$2&amp;$BI$1)</f>
        <v>0</v>
      </c>
      <c r="BO116" s="405">
        <f>SUMIFS(領用表!$L:$L,領用表!$E:$E,$B116,領用表!$B:$B,BO$2&amp;$BI$1)</f>
        <v>0</v>
      </c>
      <c r="BP116" s="405">
        <f>SUMIFS(領用表!$L:$L,領用表!$E:$E,$B116,領用表!$B:$B,BP$2&amp;$BI$1)</f>
        <v>0</v>
      </c>
      <c r="BQ116" s="405">
        <f>SUMIFS(領用表!$L:$L,領用表!$E:$E,$B116,領用表!$B:$B,BQ$2&amp;$BI$1)</f>
        <v>0</v>
      </c>
      <c r="BR116" s="405">
        <f>SUMIFS(領用表!$L:$L,領用表!$E:$E,$B116,領用表!$B:$B,BR$2&amp;$BI$1)</f>
        <v>0</v>
      </c>
      <c r="BS116" s="405">
        <f>SUMIFS(領用表!$L:$L,領用表!$E:$E,$B116,領用表!$B:$B,BS$2&amp;$BI$1)</f>
        <v>0</v>
      </c>
      <c r="BT116" s="405">
        <f>SUMIFS(領用表!$L:$L,領用表!$E:$E,$B116,領用表!$B:$B,BT$2&amp;$BI$1)</f>
        <v>0</v>
      </c>
      <c r="BU116" s="405">
        <f t="shared" si="17"/>
        <v>0</v>
      </c>
      <c r="BV116" s="405">
        <f t="shared" si="16"/>
        <v>0</v>
      </c>
      <c r="BW116" s="405">
        <f>SUMIF(Summary!B:B,B116,Summary!DU:DU)</f>
        <v>0</v>
      </c>
      <c r="BX116" s="111"/>
      <c r="BY116" s="80"/>
      <c r="BZ116" s="76"/>
      <c r="CA116" s="65"/>
    </row>
    <row r="117" spans="1:79" ht="16.5">
      <c r="A117" s="27" t="s">
        <v>218</v>
      </c>
      <c r="B117" s="14" t="e">
        <v>#N/A</v>
      </c>
      <c r="C117" s="136" t="s">
        <v>590</v>
      </c>
      <c r="D117" s="77"/>
      <c r="E117" s="17" t="s">
        <v>15</v>
      </c>
      <c r="F117" s="18"/>
      <c r="G117" s="70"/>
      <c r="AS117" s="64" t="s">
        <v>49</v>
      </c>
      <c r="AT117" s="64" t="s">
        <v>49</v>
      </c>
      <c r="AU117" s="64" t="s">
        <v>49</v>
      </c>
      <c r="AV117" s="64" t="s">
        <v>49</v>
      </c>
      <c r="AW117" s="64" t="s">
        <v>49</v>
      </c>
      <c r="AX117" s="64" t="s">
        <v>49</v>
      </c>
      <c r="AY117" s="56">
        <v>72</v>
      </c>
      <c r="AZ117" s="20">
        <f>SUMIFS(領用表!$L:$L,領用表!$E:$E,$B117,領用表!$B:$B,AZ$2&amp;$BI$1)</f>
        <v>0</v>
      </c>
      <c r="BA117" s="20">
        <f>SUMIFS(領用表!$L:$L,領用表!$E:$E,$B117,領用表!$B:$B,BA$2&amp;$BI$1)</f>
        <v>0</v>
      </c>
      <c r="BB117" s="20">
        <f>SUMIFS(領用表!$L:$L,領用表!$E:$E,$B117,領用表!$B:$B,BB$2&amp;$BI$1)</f>
        <v>0</v>
      </c>
      <c r="BC117" s="20">
        <f>SUMIFS(領用表!$L:$L,領用表!$E:$E,$B117,領用表!$B:$B,BC$2&amp;$BI$1)</f>
        <v>0</v>
      </c>
      <c r="BD117" s="142">
        <f>SUMIFS(領用表!$L:$L,領用表!$E:$E,$B117,領用表!$B:$B,BD$2&amp;$BI$1)</f>
        <v>0</v>
      </c>
      <c r="BE117" s="142">
        <f>SUMIFS(領用表!$L:$L,領用表!$E:$E,$B117,領用表!$B:$B,BE$2&amp;$BI$1)</f>
        <v>0</v>
      </c>
      <c r="BF117" s="142">
        <f>SUMIFS(領用表!$L:$L,領用表!$E:$E,$B117,領用表!$B:$B,BF$2&amp;$BI$1)</f>
        <v>0</v>
      </c>
      <c r="BG117" s="23">
        <f t="shared" si="22"/>
        <v>72</v>
      </c>
      <c r="BH117" s="23">
        <f t="shared" si="23"/>
        <v>9</v>
      </c>
      <c r="BI117" s="142">
        <f>SUMIFS(領用表!$L:$L,領用表!$E:$E,$B117,領用表!$B:$B,BI$2&amp;$BI$1)</f>
        <v>0</v>
      </c>
      <c r="BJ117" s="405">
        <f>SUMIFS(領用表!$L:$L,領用表!$E:$E,$B117,領用表!$B:$B,BJ$2&amp;$BI$1)</f>
        <v>0</v>
      </c>
      <c r="BK117" s="405">
        <f>SUMIFS(領用表!$L:$L,領用表!$E:$E,$B117,領用表!$B:$B,BK$2&amp;$BI$1)</f>
        <v>0</v>
      </c>
      <c r="BL117" s="405">
        <f>SUMIFS(領用表!$L:$L,領用表!$E:$E,$B117,領用表!$B:$B,BL$2&amp;$BI$1)</f>
        <v>0</v>
      </c>
      <c r="BM117" s="405">
        <f>SUMIFS(領用表!$L:$L,領用表!$E:$E,$B117,領用表!$B:$B,BM$2&amp;$BI$1)</f>
        <v>0</v>
      </c>
      <c r="BN117" s="405">
        <f>SUMIFS(領用表!$L:$L,領用表!$E:$E,$B117,領用表!$B:$B,BN$2&amp;$BI$1)</f>
        <v>0</v>
      </c>
      <c r="BO117" s="405">
        <f>SUMIFS(領用表!$L:$L,領用表!$E:$E,$B117,領用表!$B:$B,BO$2&amp;$BI$1)</f>
        <v>0</v>
      </c>
      <c r="BP117" s="405">
        <f>SUMIFS(領用表!$L:$L,領用表!$E:$E,$B117,領用表!$B:$B,BP$2&amp;$BI$1)</f>
        <v>0</v>
      </c>
      <c r="BQ117" s="405">
        <f>SUMIFS(領用表!$L:$L,領用表!$E:$E,$B117,領用表!$B:$B,BQ$2&amp;$BI$1)</f>
        <v>0</v>
      </c>
      <c r="BR117" s="405">
        <f>SUMIFS(領用表!$L:$L,領用表!$E:$E,$B117,領用表!$B:$B,BR$2&amp;$BI$1)</f>
        <v>0</v>
      </c>
      <c r="BS117" s="405">
        <f>SUMIFS(領用表!$L:$L,領用表!$E:$E,$B117,領用表!$B:$B,BS$2&amp;$BI$1)</f>
        <v>0</v>
      </c>
      <c r="BT117" s="405">
        <f>SUMIFS(領用表!$L:$L,領用表!$E:$E,$B117,領用表!$B:$B,BT$2&amp;$BI$1)</f>
        <v>0</v>
      </c>
      <c r="BU117" s="405">
        <f t="shared" si="17"/>
        <v>0</v>
      </c>
      <c r="BV117" s="405">
        <f t="shared" si="16"/>
        <v>0</v>
      </c>
      <c r="BW117" s="405">
        <f>SUMIF(Summary!B:B,B117,Summary!DU:DU)</f>
        <v>0</v>
      </c>
      <c r="BY117" s="80"/>
      <c r="BZ117" s="65"/>
      <c r="CA117" s="65"/>
    </row>
    <row r="118" spans="1:79" ht="16.5" hidden="1" customHeight="1">
      <c r="A118" s="27" t="s">
        <v>203</v>
      </c>
      <c r="B118" s="14" t="e">
        <v>#N/A</v>
      </c>
      <c r="C118" s="136" t="s">
        <v>635</v>
      </c>
      <c r="D118" s="77"/>
      <c r="E118" s="17" t="s">
        <v>15</v>
      </c>
      <c r="F118" s="18"/>
      <c r="G118" s="70"/>
      <c r="AG118" s="82"/>
      <c r="AH118" s="82"/>
      <c r="AI118" s="82"/>
      <c r="AJ118" s="82"/>
      <c r="AK118" s="82"/>
      <c r="AL118" s="82"/>
      <c r="AM118" s="82"/>
      <c r="AN118" s="19">
        <v>0</v>
      </c>
      <c r="AO118" s="19">
        <f>171/15</f>
        <v>11.4</v>
      </c>
      <c r="AP118" s="19">
        <v>0</v>
      </c>
      <c r="AQ118" s="19">
        <v>45</v>
      </c>
      <c r="AR118" s="19">
        <v>108</v>
      </c>
      <c r="AS118" s="68">
        <f>SUM(AG118:AR118)</f>
        <v>164.4</v>
      </c>
      <c r="AT118" s="26">
        <f>AS118/12</f>
        <v>13.700000000000001</v>
      </c>
      <c r="AU118" s="19">
        <v>45</v>
      </c>
      <c r="AV118" s="19">
        <v>36</v>
      </c>
      <c r="AW118" s="19">
        <v>0</v>
      </c>
      <c r="AX118" s="19" t="s">
        <v>49</v>
      </c>
      <c r="AY118" s="19"/>
      <c r="AZ118" s="20">
        <f>SUMIFS(領用表!$L:$L,領用表!$E:$E,$B118,領用表!$B:$B,AZ$2&amp;$BI$1)</f>
        <v>0</v>
      </c>
      <c r="BA118" s="20">
        <f>SUMIFS(領用表!$L:$L,領用表!$E:$E,$B118,領用表!$B:$B,BA$2&amp;$BI$1)</f>
        <v>0</v>
      </c>
      <c r="BB118" s="20">
        <f>SUMIFS(領用表!$L:$L,領用表!$E:$E,$B118,領用表!$B:$B,BB$2&amp;$BI$1)</f>
        <v>0</v>
      </c>
      <c r="BC118" s="20">
        <f>SUMIFS(領用表!$L:$L,領用表!$E:$E,$B118,領用表!$B:$B,BC$2&amp;$BI$1)</f>
        <v>0</v>
      </c>
      <c r="BD118" s="142">
        <f>SUMIFS(領用表!$L:$L,領用表!$E:$E,$B118,領用表!$B:$B,BD$2&amp;$BI$1)</f>
        <v>0</v>
      </c>
      <c r="BE118" s="142">
        <f>SUMIFS(領用表!$L:$L,領用表!$E:$E,$B118,領用表!$B:$B,BE$2&amp;$BI$1)</f>
        <v>0</v>
      </c>
      <c r="BF118" s="142">
        <f>SUMIFS(領用表!$L:$L,領用表!$E:$E,$B118,領用表!$B:$B,BF$2&amp;$BI$1)</f>
        <v>0</v>
      </c>
      <c r="BG118" s="23">
        <f t="shared" si="22"/>
        <v>81</v>
      </c>
      <c r="BH118" s="23">
        <f t="shared" si="23"/>
        <v>8.1</v>
      </c>
      <c r="BI118" s="142">
        <f>SUMIFS(領用表!$L:$L,領用表!$E:$E,$B118,領用表!$B:$B,BI$2&amp;$BI$1)</f>
        <v>0</v>
      </c>
      <c r="BJ118" s="142">
        <f>SUMIFS(領用表!$L:$L,領用表!$E:$E,$B118,領用表!$B:$B,BJ$2&amp;$BI$1)</f>
        <v>0</v>
      </c>
      <c r="BK118" s="142">
        <f>SUMIFS(領用表!$L:$L,領用表!$E:$E,$B118,領用表!$B:$B,BK$2&amp;$BI$1)</f>
        <v>0</v>
      </c>
      <c r="BL118" s="142">
        <f>SUMIFS(領用表!$L:$L,領用表!$E:$E,$B118,領用表!$B:$B,BL$2&amp;$BI$1)</f>
        <v>0</v>
      </c>
      <c r="BM118" s="142">
        <f>SUMIFS(領用表!$L:$L,領用表!$E:$E,$B118,領用表!$B:$B,BM$2&amp;$BI$1)</f>
        <v>0</v>
      </c>
      <c r="BN118" s="142">
        <f>SUMIFS(領用表!$L:$L,領用表!$E:$E,$B118,領用表!$B:$B,BN$2&amp;$BI$1)</f>
        <v>0</v>
      </c>
      <c r="BO118" s="142">
        <f>SUMIFS(領用表!$L:$L,領用表!$E:$E,$B118,領用表!$B:$B,BO$2&amp;$BI$1)</f>
        <v>0</v>
      </c>
      <c r="BP118" s="142">
        <f>SUMIFS(領用表!$L:$L,領用表!$E:$E,$B118,領用表!$B:$B,BP$2&amp;$BI$1)</f>
        <v>0</v>
      </c>
      <c r="BQ118" s="142">
        <f>SUMIFS(領用表!$L:$L,領用表!$E:$E,$B118,領用表!$B:$B,BQ$2&amp;$BI$1)</f>
        <v>0</v>
      </c>
      <c r="BR118" s="142">
        <f>SUMIFS(領用表!$L:$L,領用表!$E:$E,$B118,領用表!$B:$B,BR$2&amp;$BI$1)</f>
        <v>0</v>
      </c>
      <c r="BS118" s="142">
        <f>SUMIFS(領用表!$L:$L,領用表!$E:$E,$B118,領用表!$B:$B,BS$2&amp;$BI$1)</f>
        <v>0</v>
      </c>
      <c r="BT118" s="142">
        <f>SUMIFS(領用表!$L:$L,領用表!$E:$E,$B118,領用表!$B:$B,BT$2&amp;$BI$1)</f>
        <v>0</v>
      </c>
      <c r="BU118" s="142">
        <f t="shared" si="17"/>
        <v>0</v>
      </c>
      <c r="BV118" s="142">
        <f t="shared" si="16"/>
        <v>0</v>
      </c>
      <c r="BW118" s="142">
        <f>SUMIF(Summary!B:B,B118,Summary!DU:DU)</f>
        <v>0</v>
      </c>
      <c r="BX118" s="109"/>
      <c r="BY118" s="80"/>
      <c r="BZ118" s="65"/>
      <c r="CA118" s="65"/>
    </row>
    <row r="119" spans="1:79" ht="16.5" hidden="1" customHeight="1">
      <c r="A119" s="27" t="s">
        <v>204</v>
      </c>
      <c r="B119" s="14" t="e">
        <v>#N/A</v>
      </c>
      <c r="C119" s="136" t="s">
        <v>576</v>
      </c>
      <c r="D119" s="77"/>
      <c r="E119" s="17" t="s">
        <v>15</v>
      </c>
      <c r="F119" s="18"/>
      <c r="G119" s="70"/>
      <c r="AG119" s="82"/>
      <c r="AH119" s="82"/>
      <c r="AI119" s="82"/>
      <c r="AJ119" s="82"/>
      <c r="AK119" s="82"/>
      <c r="AL119" s="82"/>
      <c r="AM119" s="82"/>
      <c r="AN119" s="19">
        <v>0</v>
      </c>
      <c r="AO119" s="19">
        <v>0</v>
      </c>
      <c r="AP119" s="19">
        <v>0</v>
      </c>
      <c r="AQ119" s="19">
        <v>6</v>
      </c>
      <c r="AR119" s="19">
        <v>0</v>
      </c>
      <c r="AS119" s="68">
        <f>SUM(AG119:AR119)</f>
        <v>6</v>
      </c>
      <c r="AT119" s="26">
        <f>AS119/12</f>
        <v>0.5</v>
      </c>
      <c r="AU119" s="19">
        <v>19</v>
      </c>
      <c r="AV119" s="19">
        <v>0</v>
      </c>
      <c r="AW119" s="19">
        <v>0</v>
      </c>
      <c r="AX119" s="19" t="s">
        <v>49</v>
      </c>
      <c r="AY119" s="19"/>
      <c r="AZ119" s="20">
        <f>SUMIFS(領用表!$L:$L,領用表!$E:$E,$B119,領用表!$B:$B,AZ$2&amp;$BI$1)</f>
        <v>0</v>
      </c>
      <c r="BA119" s="20">
        <f>SUMIFS(領用表!$L:$L,領用表!$E:$E,$B119,領用表!$B:$B,BA$2&amp;$BI$1)</f>
        <v>0</v>
      </c>
      <c r="BB119" s="20">
        <f>SUMIFS(領用表!$L:$L,領用表!$E:$E,$B119,領用表!$B:$B,BB$2&amp;$BI$1)</f>
        <v>0</v>
      </c>
      <c r="BC119" s="20">
        <f>SUMIFS(領用表!$L:$L,領用表!$E:$E,$B119,領用表!$B:$B,BC$2&amp;$BI$1)</f>
        <v>0</v>
      </c>
      <c r="BD119" s="142">
        <f>SUMIFS(領用表!$L:$L,領用表!$E:$E,$B119,領用表!$B:$B,BD$2&amp;$BI$1)</f>
        <v>0</v>
      </c>
      <c r="BE119" s="142">
        <f>SUMIFS(領用表!$L:$L,領用表!$E:$E,$B119,領用表!$B:$B,BE$2&amp;$BI$1)</f>
        <v>0</v>
      </c>
      <c r="BF119" s="142">
        <f>SUMIFS(領用表!$L:$L,領用表!$E:$E,$B119,領用表!$B:$B,BF$2&amp;$BI$1)</f>
        <v>0</v>
      </c>
      <c r="BG119" s="23">
        <f t="shared" si="22"/>
        <v>19</v>
      </c>
      <c r="BH119" s="23">
        <f t="shared" si="23"/>
        <v>1.9</v>
      </c>
      <c r="BI119" s="142">
        <f>SUMIFS(領用表!$L:$L,領用表!$E:$E,$B119,領用表!$B:$B,BI$2&amp;$BI$1)</f>
        <v>0</v>
      </c>
      <c r="BJ119" s="142">
        <f>SUMIFS(領用表!$L:$L,領用表!$E:$E,$B119,領用表!$B:$B,BJ$2&amp;$BI$1)</f>
        <v>0</v>
      </c>
      <c r="BK119" s="142">
        <f>SUMIFS(領用表!$L:$L,領用表!$E:$E,$B119,領用表!$B:$B,BK$2&amp;$BI$1)</f>
        <v>0</v>
      </c>
      <c r="BL119" s="142">
        <f>SUMIFS(領用表!$L:$L,領用表!$E:$E,$B119,領用表!$B:$B,BL$2&amp;$BI$1)</f>
        <v>0</v>
      </c>
      <c r="BM119" s="142">
        <f>SUMIFS(領用表!$L:$L,領用表!$E:$E,$B119,領用表!$B:$B,BM$2&amp;$BI$1)</f>
        <v>0</v>
      </c>
      <c r="BN119" s="142">
        <f>SUMIFS(領用表!$L:$L,領用表!$E:$E,$B119,領用表!$B:$B,BN$2&amp;$BI$1)</f>
        <v>0</v>
      </c>
      <c r="BO119" s="142">
        <f>SUMIFS(領用表!$L:$L,領用表!$E:$E,$B119,領用表!$B:$B,BO$2&amp;$BI$1)</f>
        <v>0</v>
      </c>
      <c r="BP119" s="142">
        <f>SUMIFS(領用表!$L:$L,領用表!$E:$E,$B119,領用表!$B:$B,BP$2&amp;$BI$1)</f>
        <v>0</v>
      </c>
      <c r="BQ119" s="142">
        <f>SUMIFS(領用表!$L:$L,領用表!$E:$E,$B119,領用表!$B:$B,BQ$2&amp;$BI$1)</f>
        <v>0</v>
      </c>
      <c r="BR119" s="142">
        <f>SUMIFS(領用表!$L:$L,領用表!$E:$E,$B119,領用表!$B:$B,BR$2&amp;$BI$1)</f>
        <v>0</v>
      </c>
      <c r="BS119" s="142">
        <f>SUMIFS(領用表!$L:$L,領用表!$E:$E,$B119,領用表!$B:$B,BS$2&amp;$BI$1)</f>
        <v>0</v>
      </c>
      <c r="BT119" s="142">
        <f>SUMIFS(領用表!$L:$L,領用表!$E:$E,$B119,領用表!$B:$B,BT$2&amp;$BI$1)</f>
        <v>0</v>
      </c>
      <c r="BU119" s="142">
        <f t="shared" si="17"/>
        <v>0</v>
      </c>
      <c r="BV119" s="142">
        <f t="shared" si="16"/>
        <v>0</v>
      </c>
      <c r="BW119" s="142">
        <f>SUMIF(Summary!B:B,B119,Summary!DU:DU)</f>
        <v>0</v>
      </c>
      <c r="BX119" s="109"/>
      <c r="BY119" s="80"/>
      <c r="BZ119" s="65"/>
      <c r="CA119" s="65"/>
    </row>
    <row r="120" spans="1:79" ht="16.5" hidden="1" customHeight="1">
      <c r="A120" s="27" t="s">
        <v>207</v>
      </c>
      <c r="B120" s="14" t="e">
        <v>#N/A</v>
      </c>
      <c r="C120" s="136" t="s">
        <v>579</v>
      </c>
      <c r="D120" s="77"/>
      <c r="E120" s="17" t="s">
        <v>15</v>
      </c>
      <c r="F120" s="18"/>
      <c r="G120" s="70"/>
      <c r="AR120" s="19">
        <v>0</v>
      </c>
      <c r="AS120" s="64">
        <v>0</v>
      </c>
      <c r="AT120" s="64">
        <v>0</v>
      </c>
      <c r="AU120" s="19">
        <v>240</v>
      </c>
      <c r="AV120" s="19">
        <v>192</v>
      </c>
      <c r="AW120" s="19">
        <v>48</v>
      </c>
      <c r="AX120" s="19" t="s">
        <v>49</v>
      </c>
      <c r="AY120" s="19"/>
      <c r="AZ120" s="20">
        <f>SUMIFS(領用表!$L:$L,領用表!$E:$E,$B120,領用表!$B:$B,AZ$2&amp;$BI$1)</f>
        <v>0</v>
      </c>
      <c r="BA120" s="20">
        <f>SUMIFS(領用表!$L:$L,領用表!$E:$E,$B120,領用表!$B:$B,BA$2&amp;$BI$1)</f>
        <v>0</v>
      </c>
      <c r="BB120" s="20">
        <f>SUMIFS(領用表!$L:$L,領用表!$E:$E,$B120,領用表!$B:$B,BB$2&amp;$BI$1)</f>
        <v>0</v>
      </c>
      <c r="BC120" s="20">
        <f>SUMIFS(領用表!$L:$L,領用表!$E:$E,$B120,領用表!$B:$B,BC$2&amp;$BI$1)</f>
        <v>0</v>
      </c>
      <c r="BD120" s="142">
        <f>SUMIFS(領用表!$L:$L,領用表!$E:$E,$B120,領用表!$B:$B,BD$2&amp;$BI$1)</f>
        <v>0</v>
      </c>
      <c r="BE120" s="142">
        <f>SUMIFS(領用表!$L:$L,領用表!$E:$E,$B120,領用表!$B:$B,BE$2&amp;$BI$1)</f>
        <v>0</v>
      </c>
      <c r="BF120" s="142">
        <f>SUMIFS(領用表!$L:$L,領用表!$E:$E,$B120,領用表!$B:$B,BF$2&amp;$BI$1)</f>
        <v>0</v>
      </c>
      <c r="BG120" s="23">
        <f t="shared" si="22"/>
        <v>480</v>
      </c>
      <c r="BH120" s="23">
        <f t="shared" si="23"/>
        <v>48</v>
      </c>
      <c r="BI120" s="142">
        <f>SUMIFS(領用表!$L:$L,領用表!$E:$E,$B120,領用表!$B:$B,BI$2&amp;$BI$1)</f>
        <v>0</v>
      </c>
      <c r="BJ120" s="142">
        <f>SUMIFS(領用表!$L:$L,領用表!$E:$E,$B120,領用表!$B:$B,BJ$2&amp;$BI$1)</f>
        <v>0</v>
      </c>
      <c r="BK120" s="142">
        <f>SUMIFS(領用表!$L:$L,領用表!$E:$E,$B120,領用表!$B:$B,BK$2&amp;$BI$1)</f>
        <v>0</v>
      </c>
      <c r="BL120" s="142">
        <f>SUMIFS(領用表!$L:$L,領用表!$E:$E,$B120,領用表!$B:$B,BL$2&amp;$BI$1)</f>
        <v>0</v>
      </c>
      <c r="BM120" s="142">
        <f>SUMIFS(領用表!$L:$L,領用表!$E:$E,$B120,領用表!$B:$B,BM$2&amp;$BI$1)</f>
        <v>0</v>
      </c>
      <c r="BN120" s="142">
        <f>SUMIFS(領用表!$L:$L,領用表!$E:$E,$B120,領用表!$B:$B,BN$2&amp;$BI$1)</f>
        <v>0</v>
      </c>
      <c r="BO120" s="142">
        <f>SUMIFS(領用表!$L:$L,領用表!$E:$E,$B120,領用表!$B:$B,BO$2&amp;$BI$1)</f>
        <v>0</v>
      </c>
      <c r="BP120" s="142">
        <f>SUMIFS(領用表!$L:$L,領用表!$E:$E,$B120,領用表!$B:$B,BP$2&amp;$BI$1)</f>
        <v>0</v>
      </c>
      <c r="BQ120" s="142">
        <f>SUMIFS(領用表!$L:$L,領用表!$E:$E,$B120,領用表!$B:$B,BQ$2&amp;$BI$1)</f>
        <v>0</v>
      </c>
      <c r="BR120" s="142">
        <f>SUMIFS(領用表!$L:$L,領用表!$E:$E,$B120,領用表!$B:$B,BR$2&amp;$BI$1)</f>
        <v>0</v>
      </c>
      <c r="BS120" s="142">
        <f>SUMIFS(領用表!$L:$L,領用表!$E:$E,$B120,領用表!$B:$B,BS$2&amp;$BI$1)</f>
        <v>0</v>
      </c>
      <c r="BT120" s="142">
        <f>SUMIFS(領用表!$L:$L,領用表!$E:$E,$B120,領用表!$B:$B,BT$2&amp;$BI$1)</f>
        <v>0</v>
      </c>
      <c r="BU120" s="142">
        <f t="shared" si="17"/>
        <v>0</v>
      </c>
      <c r="BV120" s="142">
        <f t="shared" si="16"/>
        <v>0</v>
      </c>
      <c r="BW120" s="142">
        <f>SUMIF(Summary!B:B,B120,Summary!DU:DU)</f>
        <v>0</v>
      </c>
      <c r="BX120" s="109"/>
      <c r="BY120" s="80"/>
      <c r="BZ120" s="65"/>
      <c r="CA120" s="65"/>
    </row>
    <row r="121" spans="1:79" ht="16.5">
      <c r="A121" s="27" t="s">
        <v>219</v>
      </c>
      <c r="B121" s="14" t="e">
        <v>#N/A</v>
      </c>
      <c r="C121" s="136" t="s">
        <v>591</v>
      </c>
      <c r="D121" s="77"/>
      <c r="E121" s="17" t="s">
        <v>15</v>
      </c>
      <c r="F121" s="18"/>
      <c r="G121" s="70"/>
      <c r="AS121" s="64" t="s">
        <v>49</v>
      </c>
      <c r="AT121" s="64" t="s">
        <v>49</v>
      </c>
      <c r="AU121" s="64" t="s">
        <v>49</v>
      </c>
      <c r="AV121" s="64" t="s">
        <v>49</v>
      </c>
      <c r="AW121" s="64" t="s">
        <v>49</v>
      </c>
      <c r="AX121" s="64" t="s">
        <v>49</v>
      </c>
      <c r="AZ121" s="20">
        <f>SUMIFS(領用表!$L:$L,領用表!$E:$E,$B121,領用表!$B:$B,AZ$2&amp;$BI$1)</f>
        <v>0</v>
      </c>
      <c r="BA121" s="20">
        <f>SUMIFS(領用表!$L:$L,領用表!$E:$E,$B121,領用表!$B:$B,BA$2&amp;$BI$1)</f>
        <v>0</v>
      </c>
      <c r="BB121" s="20">
        <f>SUMIFS(領用表!$L:$L,領用表!$E:$E,$B121,領用表!$B:$B,BB$2&amp;$BI$1)</f>
        <v>0</v>
      </c>
      <c r="BC121" s="20">
        <f>SUMIFS(領用表!$L:$L,領用表!$E:$E,$B121,領用表!$B:$B,BC$2&amp;$BI$1)</f>
        <v>0</v>
      </c>
      <c r="BD121" s="142">
        <f>SUMIFS(領用表!$L:$L,領用表!$E:$E,$B121,領用表!$B:$B,BD$2&amp;$BI$1)</f>
        <v>0</v>
      </c>
      <c r="BE121" s="142">
        <f>SUMIFS(領用表!$L:$L,領用表!$E:$E,$B121,領用表!$B:$B,BE$2&amp;$BI$1)</f>
        <v>0</v>
      </c>
      <c r="BF121" s="142">
        <f>SUMIFS(領用表!$L:$L,領用表!$E:$E,$B121,領用表!$B:$B,BF$2&amp;$BI$1)</f>
        <v>0</v>
      </c>
      <c r="BG121" s="23">
        <f t="shared" si="22"/>
        <v>0</v>
      </c>
      <c r="BH121" s="23">
        <f t="shared" si="23"/>
        <v>0</v>
      </c>
      <c r="BI121" s="142">
        <f>SUMIFS(領用表!$L:$L,領用表!$E:$E,$B121,領用表!$B:$B,BI$2&amp;$BI$1)</f>
        <v>0</v>
      </c>
      <c r="BJ121" s="405">
        <f>SUMIFS(領用表!$L:$L,領用表!$E:$E,$B121,領用表!$B:$B,BJ$2&amp;$BI$1)</f>
        <v>0</v>
      </c>
      <c r="BK121" s="405">
        <f>SUMIFS(領用表!$L:$L,領用表!$E:$E,$B121,領用表!$B:$B,BK$2&amp;$BI$1)</f>
        <v>0</v>
      </c>
      <c r="BL121" s="405">
        <f>SUMIFS(領用表!$L:$L,領用表!$E:$E,$B121,領用表!$B:$B,BL$2&amp;$BI$1)</f>
        <v>0</v>
      </c>
      <c r="BM121" s="405">
        <f>SUMIFS(領用表!$L:$L,領用表!$E:$E,$B121,領用表!$B:$B,BM$2&amp;$BI$1)</f>
        <v>0</v>
      </c>
      <c r="BN121" s="405">
        <f>SUMIFS(領用表!$L:$L,領用表!$E:$E,$B121,領用表!$B:$B,BN$2&amp;$BI$1)</f>
        <v>0</v>
      </c>
      <c r="BO121" s="405">
        <f>SUMIFS(領用表!$L:$L,領用表!$E:$E,$B121,領用表!$B:$B,BO$2&amp;$BI$1)</f>
        <v>0</v>
      </c>
      <c r="BP121" s="405">
        <f>SUMIFS(領用表!$L:$L,領用表!$E:$E,$B121,領用表!$B:$B,BP$2&amp;$BI$1)</f>
        <v>0</v>
      </c>
      <c r="BQ121" s="405">
        <f>SUMIFS(領用表!$L:$L,領用表!$E:$E,$B121,領用表!$B:$B,BQ$2&amp;$BI$1)</f>
        <v>0</v>
      </c>
      <c r="BR121" s="405">
        <f>SUMIFS(領用表!$L:$L,領用表!$E:$E,$B121,領用表!$B:$B,BR$2&amp;$BI$1)</f>
        <v>0</v>
      </c>
      <c r="BS121" s="405">
        <f>SUMIFS(領用表!$L:$L,領用表!$E:$E,$B121,領用表!$B:$B,BS$2&amp;$BI$1)</f>
        <v>0</v>
      </c>
      <c r="BT121" s="405">
        <f>SUMIFS(領用表!$L:$L,領用表!$E:$E,$B121,領用表!$B:$B,BT$2&amp;$BI$1)</f>
        <v>0</v>
      </c>
      <c r="BU121" s="405">
        <f t="shared" si="17"/>
        <v>0</v>
      </c>
      <c r="BV121" s="405">
        <f t="shared" si="16"/>
        <v>0</v>
      </c>
      <c r="BW121" s="405">
        <f>SUMIF(Summary!B:B,B121,Summary!DU:DU)</f>
        <v>0</v>
      </c>
      <c r="BY121" s="80"/>
      <c r="BZ121" s="65"/>
      <c r="CA121" s="65"/>
    </row>
    <row r="122" spans="1:79" ht="16.5">
      <c r="A122" s="27" t="s">
        <v>220</v>
      </c>
      <c r="B122" s="14" t="e">
        <v>#N/A</v>
      </c>
      <c r="C122" s="136" t="s">
        <v>592</v>
      </c>
      <c r="D122" s="77"/>
      <c r="E122" s="17" t="s">
        <v>15</v>
      </c>
      <c r="F122" s="18">
        <v>64</v>
      </c>
      <c r="G122" s="70"/>
      <c r="AZ122" s="20">
        <f>SUMIFS(領用表!$L:$L,領用表!$E:$E,$B122,領用表!$B:$B,AZ$2&amp;$BI$1)</f>
        <v>0</v>
      </c>
      <c r="BA122" s="20">
        <f>SUMIFS(領用表!$L:$L,領用表!$E:$E,$B122,領用表!$B:$B,BA$2&amp;$BI$1)</f>
        <v>0</v>
      </c>
      <c r="BB122" s="20">
        <f>SUMIFS(領用表!$L:$L,領用表!$E:$E,$B122,領用表!$B:$B,BB$2&amp;$BI$1)</f>
        <v>0</v>
      </c>
      <c r="BC122" s="20">
        <f>SUMIFS(領用表!$L:$L,領用表!$E:$E,$B122,領用表!$B:$B,BC$2&amp;$BI$1)</f>
        <v>0</v>
      </c>
      <c r="BD122" s="142">
        <f>SUMIFS(領用表!$L:$L,領用表!$E:$E,$B122,領用表!$B:$B,BD$2&amp;$BI$1)</f>
        <v>0</v>
      </c>
      <c r="BE122" s="142">
        <f>SUMIFS(領用表!$L:$L,領用表!$E:$E,$B122,領用表!$B:$B,BE$2&amp;$BI$1)</f>
        <v>0</v>
      </c>
      <c r="BF122" s="142">
        <f>SUMIFS(領用表!$L:$L,領用表!$E:$E,$B122,領用表!$B:$B,BF$2&amp;$BI$1)</f>
        <v>0</v>
      </c>
      <c r="BG122" s="23">
        <f t="shared" si="22"/>
        <v>0</v>
      </c>
      <c r="BH122" s="23">
        <f t="shared" si="23"/>
        <v>0</v>
      </c>
      <c r="BI122" s="142">
        <f>SUMIFS(領用表!$L:$L,領用表!$E:$E,$B122,領用表!$B:$B,BI$2&amp;$BI$1)</f>
        <v>0</v>
      </c>
      <c r="BJ122" s="405">
        <f>SUMIFS(領用表!$L:$L,領用表!$E:$E,$B122,領用表!$B:$B,BJ$2&amp;$BI$1)</f>
        <v>0</v>
      </c>
      <c r="BK122" s="405">
        <f>SUMIFS(領用表!$L:$L,領用表!$E:$E,$B122,領用表!$B:$B,BK$2&amp;$BI$1)</f>
        <v>0</v>
      </c>
      <c r="BL122" s="405">
        <f>SUMIFS(領用表!$L:$L,領用表!$E:$E,$B122,領用表!$B:$B,BL$2&amp;$BI$1)</f>
        <v>0</v>
      </c>
      <c r="BM122" s="405">
        <f>SUMIFS(領用表!$L:$L,領用表!$E:$E,$B122,領用表!$B:$B,BM$2&amp;$BI$1)</f>
        <v>0</v>
      </c>
      <c r="BN122" s="405">
        <f>SUMIFS(領用表!$L:$L,領用表!$E:$E,$B122,領用表!$B:$B,BN$2&amp;$BI$1)</f>
        <v>0</v>
      </c>
      <c r="BO122" s="405">
        <f>SUMIFS(領用表!$L:$L,領用表!$E:$E,$B122,領用表!$B:$B,BO$2&amp;$BI$1)</f>
        <v>0</v>
      </c>
      <c r="BP122" s="405">
        <f>SUMIFS(領用表!$L:$L,領用表!$E:$E,$B122,領用表!$B:$B,BP$2&amp;$BI$1)</f>
        <v>0</v>
      </c>
      <c r="BQ122" s="405">
        <f>SUMIFS(領用表!$L:$L,領用表!$E:$E,$B122,領用表!$B:$B,BQ$2&amp;$BI$1)</f>
        <v>0</v>
      </c>
      <c r="BR122" s="405">
        <f>SUMIFS(領用表!$L:$L,領用表!$E:$E,$B122,領用表!$B:$B,BR$2&amp;$BI$1)</f>
        <v>0</v>
      </c>
      <c r="BS122" s="405">
        <f>SUMIFS(領用表!$L:$L,領用表!$E:$E,$B122,領用表!$B:$B,BS$2&amp;$BI$1)</f>
        <v>0</v>
      </c>
      <c r="BT122" s="405">
        <f>SUMIFS(領用表!$L:$L,領用表!$E:$E,$B122,領用表!$B:$B,BT$2&amp;$BI$1)</f>
        <v>0</v>
      </c>
      <c r="BU122" s="405">
        <f t="shared" si="17"/>
        <v>0</v>
      </c>
      <c r="BV122" s="405">
        <f t="shared" si="16"/>
        <v>0</v>
      </c>
      <c r="BW122" s="405">
        <f>SUMIF(Summary!B:B,B122,Summary!DU:DU)</f>
        <v>0</v>
      </c>
      <c r="BY122" s="80"/>
      <c r="BZ122" s="76"/>
      <c r="CA122" s="76" t="s">
        <v>221</v>
      </c>
    </row>
    <row r="123" spans="1:79" ht="16.5">
      <c r="A123" s="27" t="s">
        <v>222</v>
      </c>
      <c r="B123" s="14">
        <v>6100003</v>
      </c>
      <c r="C123" s="136" t="s">
        <v>588</v>
      </c>
      <c r="D123" s="77"/>
      <c r="E123" s="17" t="s">
        <v>15</v>
      </c>
      <c r="F123" s="18">
        <v>0</v>
      </c>
      <c r="G123" s="70"/>
      <c r="AZ123" s="20">
        <f>SUMIFS(領用表!$L:$L,領用表!$E:$E,$B123,領用表!$B:$B,AZ$2&amp;$BI$1)</f>
        <v>0</v>
      </c>
      <c r="BA123" s="20">
        <f>SUMIFS(領用表!$L:$L,領用表!$E:$E,$B123,領用表!$B:$B,BA$2&amp;$BI$1)</f>
        <v>0</v>
      </c>
      <c r="BB123" s="20">
        <f>SUMIFS(領用表!$L:$L,領用表!$E:$E,$B123,領用表!$B:$B,BB$2&amp;$BI$1)</f>
        <v>0</v>
      </c>
      <c r="BC123" s="20">
        <f>SUMIFS(領用表!$L:$L,領用表!$E:$E,$B123,領用表!$B:$B,BC$2&amp;$BI$1)</f>
        <v>0</v>
      </c>
      <c r="BD123" s="142">
        <f>SUMIFS(領用表!$L:$L,領用表!$E:$E,$B123,領用表!$B:$B,BD$2&amp;$BI$1)</f>
        <v>0</v>
      </c>
      <c r="BE123" s="142">
        <f>SUMIFS(領用表!$L:$L,領用表!$E:$E,$B123,領用表!$B:$B,BE$2&amp;$BI$1)</f>
        <v>0</v>
      </c>
      <c r="BF123" s="142">
        <f>SUMIFS(領用表!$L:$L,領用表!$E:$E,$B123,領用表!$B:$B,BF$2&amp;$BI$1)</f>
        <v>0</v>
      </c>
      <c r="BG123" s="23">
        <f t="shared" si="22"/>
        <v>0</v>
      </c>
      <c r="BH123" s="23">
        <f t="shared" si="23"/>
        <v>0</v>
      </c>
      <c r="BI123" s="142">
        <f>SUMIFS(領用表!$L:$L,領用表!$E:$E,$B123,領用表!$B:$B,BI$2&amp;$BI$1)</f>
        <v>0</v>
      </c>
      <c r="BJ123" s="405">
        <f>SUMIFS(領用表!$L:$L,領用表!$E:$E,$B123,領用表!$B:$B,BJ$2&amp;$BI$1)</f>
        <v>0</v>
      </c>
      <c r="BK123" s="405">
        <f>SUMIFS(領用表!$L:$L,領用表!$E:$E,$B123,領用表!$B:$B,BK$2&amp;$BI$1)</f>
        <v>0</v>
      </c>
      <c r="BL123" s="405">
        <f>SUMIFS(領用表!$L:$L,領用表!$E:$E,$B123,領用表!$B:$B,BL$2&amp;$BI$1)</f>
        <v>0</v>
      </c>
      <c r="BM123" s="405">
        <f>SUMIFS(領用表!$L:$L,領用表!$E:$E,$B123,領用表!$B:$B,BM$2&amp;$BI$1)</f>
        <v>0</v>
      </c>
      <c r="BN123" s="405">
        <f>SUMIFS(領用表!$L:$L,領用表!$E:$E,$B123,領用表!$B:$B,BN$2&amp;$BI$1)</f>
        <v>0</v>
      </c>
      <c r="BO123" s="405">
        <f>SUMIFS(領用表!$L:$L,領用表!$E:$E,$B123,領用表!$B:$B,BO$2&amp;$BI$1)</f>
        <v>0</v>
      </c>
      <c r="BP123" s="405">
        <f>SUMIFS(領用表!$L:$L,領用表!$E:$E,$B123,領用表!$B:$B,BP$2&amp;$BI$1)</f>
        <v>0</v>
      </c>
      <c r="BQ123" s="405">
        <f>SUMIFS(領用表!$L:$L,領用表!$E:$E,$B123,領用表!$B:$B,BQ$2&amp;$BI$1)</f>
        <v>0</v>
      </c>
      <c r="BR123" s="405">
        <f>SUMIFS(領用表!$L:$L,領用表!$E:$E,$B123,領用表!$B:$B,BR$2&amp;$BI$1)</f>
        <v>0</v>
      </c>
      <c r="BS123" s="405">
        <f>SUMIFS(領用表!$L:$L,領用表!$E:$E,$B123,領用表!$B:$B,BS$2&amp;$BI$1)</f>
        <v>0</v>
      </c>
      <c r="BT123" s="405">
        <f>SUMIFS(領用表!$L:$L,領用表!$E:$E,$B123,領用表!$B:$B,BT$2&amp;$BI$1)</f>
        <v>0</v>
      </c>
      <c r="BU123" s="405">
        <f t="shared" si="17"/>
        <v>0</v>
      </c>
      <c r="BV123" s="405">
        <f t="shared" si="16"/>
        <v>0</v>
      </c>
      <c r="BW123" s="405">
        <f>SUMIF(Summary!B:B,B123,Summary!DU:DU)</f>
        <v>0</v>
      </c>
      <c r="BY123" s="80"/>
      <c r="BZ123" s="76"/>
      <c r="CA123" s="76" t="s">
        <v>223</v>
      </c>
    </row>
    <row r="124" spans="1:79" ht="16.5">
      <c r="A124" s="27" t="s">
        <v>224</v>
      </c>
      <c r="B124" s="14" t="e">
        <v>#N/A</v>
      </c>
      <c r="C124" s="136" t="s">
        <v>593</v>
      </c>
      <c r="D124" s="77"/>
      <c r="E124" s="17" t="s">
        <v>15</v>
      </c>
      <c r="F124" s="18"/>
      <c r="G124" s="70"/>
      <c r="AZ124" s="20">
        <f>SUMIFS(領用表!$L:$L,領用表!$E:$E,$B124,領用表!$B:$B,AZ$2&amp;$BI$1)</f>
        <v>0</v>
      </c>
      <c r="BA124" s="20">
        <f>SUMIFS(領用表!$L:$L,領用表!$E:$E,$B124,領用表!$B:$B,BA$2&amp;$BI$1)</f>
        <v>0</v>
      </c>
      <c r="BB124" s="20">
        <f>SUMIFS(領用表!$L:$L,領用表!$E:$E,$B124,領用表!$B:$B,BB$2&amp;$BI$1)</f>
        <v>0</v>
      </c>
      <c r="BC124" s="20">
        <f>SUMIFS(領用表!$L:$L,領用表!$E:$E,$B124,領用表!$B:$B,BC$2&amp;$BI$1)</f>
        <v>0</v>
      </c>
      <c r="BD124" s="142">
        <f>SUMIFS(領用表!$L:$L,領用表!$E:$E,$B124,領用表!$B:$B,BD$2&amp;$BI$1)</f>
        <v>0</v>
      </c>
      <c r="BE124" s="142">
        <f>SUMIFS(領用表!$L:$L,領用表!$E:$E,$B124,領用表!$B:$B,BE$2&amp;$BI$1)</f>
        <v>0</v>
      </c>
      <c r="BF124" s="142">
        <f>SUMIFS(領用表!$L:$L,領用表!$E:$E,$B124,領用表!$B:$B,BF$2&amp;$BI$1)</f>
        <v>0</v>
      </c>
      <c r="BG124" s="23">
        <f t="shared" si="22"/>
        <v>0</v>
      </c>
      <c r="BH124" s="23">
        <f t="shared" si="23"/>
        <v>0</v>
      </c>
      <c r="BI124" s="142">
        <f>SUMIFS(領用表!$L:$L,領用表!$E:$E,$B124,領用表!$B:$B,BI$2&amp;$BI$1)</f>
        <v>0</v>
      </c>
      <c r="BJ124" s="405">
        <f>SUMIFS(領用表!$L:$L,領用表!$E:$E,$B124,領用表!$B:$B,BJ$2&amp;$BI$1)</f>
        <v>0</v>
      </c>
      <c r="BK124" s="405">
        <f>SUMIFS(領用表!$L:$L,領用表!$E:$E,$B124,領用表!$B:$B,BK$2&amp;$BI$1)</f>
        <v>0</v>
      </c>
      <c r="BL124" s="405">
        <f>SUMIFS(領用表!$L:$L,領用表!$E:$E,$B124,領用表!$B:$B,BL$2&amp;$BI$1)</f>
        <v>0</v>
      </c>
      <c r="BM124" s="405">
        <f>SUMIFS(領用表!$L:$L,領用表!$E:$E,$B124,領用表!$B:$B,BM$2&amp;$BI$1)</f>
        <v>0</v>
      </c>
      <c r="BN124" s="405">
        <f>SUMIFS(領用表!$L:$L,領用表!$E:$E,$B124,領用表!$B:$B,BN$2&amp;$BI$1)</f>
        <v>0</v>
      </c>
      <c r="BO124" s="405">
        <f>SUMIFS(領用表!$L:$L,領用表!$E:$E,$B124,領用表!$B:$B,BO$2&amp;$BI$1)</f>
        <v>0</v>
      </c>
      <c r="BP124" s="405">
        <f>SUMIFS(領用表!$L:$L,領用表!$E:$E,$B124,領用表!$B:$B,BP$2&amp;$BI$1)</f>
        <v>0</v>
      </c>
      <c r="BQ124" s="405">
        <f>SUMIFS(領用表!$L:$L,領用表!$E:$E,$B124,領用表!$B:$B,BQ$2&amp;$BI$1)</f>
        <v>0</v>
      </c>
      <c r="BR124" s="405">
        <f>SUMIFS(領用表!$L:$L,領用表!$E:$E,$B124,領用表!$B:$B,BR$2&amp;$BI$1)</f>
        <v>0</v>
      </c>
      <c r="BS124" s="405">
        <f>SUMIFS(領用表!$L:$L,領用表!$E:$E,$B124,領用表!$B:$B,BS$2&amp;$BI$1)</f>
        <v>0</v>
      </c>
      <c r="BT124" s="405">
        <f>SUMIFS(領用表!$L:$L,領用表!$E:$E,$B124,領用表!$B:$B,BT$2&amp;$BI$1)</f>
        <v>0</v>
      </c>
      <c r="BU124" s="405">
        <f t="shared" si="17"/>
        <v>0</v>
      </c>
      <c r="BV124" s="405">
        <f t="shared" si="16"/>
        <v>0</v>
      </c>
      <c r="BW124" s="405">
        <f>SUMIF(Summary!B:B,B124,Summary!DU:DU)</f>
        <v>0</v>
      </c>
      <c r="BY124" s="80"/>
      <c r="BZ124" s="76"/>
      <c r="CA124" s="76"/>
    </row>
    <row r="125" spans="1:79" ht="16.5">
      <c r="A125" s="27" t="s">
        <v>225</v>
      </c>
      <c r="B125" s="14" t="e">
        <v>#N/A</v>
      </c>
      <c r="C125" s="136" t="s">
        <v>594</v>
      </c>
      <c r="D125" s="77"/>
      <c r="E125" s="17" t="s">
        <v>15</v>
      </c>
      <c r="F125" s="18"/>
      <c r="G125" s="70"/>
      <c r="AZ125" s="20">
        <f>SUMIFS(領用表!$L:$L,領用表!$E:$E,$B125,領用表!$B:$B,AZ$2&amp;$BI$1)</f>
        <v>0</v>
      </c>
      <c r="BA125" s="20">
        <f>SUMIFS(領用表!$L:$L,領用表!$E:$E,$B125,領用表!$B:$B,BA$2&amp;$BI$1)</f>
        <v>0</v>
      </c>
      <c r="BB125" s="20">
        <f>SUMIFS(領用表!$L:$L,領用表!$E:$E,$B125,領用表!$B:$B,BB$2&amp;$BI$1)</f>
        <v>0</v>
      </c>
      <c r="BC125" s="20">
        <f>SUMIFS(領用表!$L:$L,領用表!$E:$E,$B125,領用表!$B:$B,BC$2&amp;$BI$1)</f>
        <v>0</v>
      </c>
      <c r="BD125" s="142">
        <f>SUMIFS(領用表!$L:$L,領用表!$E:$E,$B125,領用表!$B:$B,BD$2&amp;$BI$1)</f>
        <v>0</v>
      </c>
      <c r="BE125" s="142">
        <f>SUMIFS(領用表!$L:$L,領用表!$E:$E,$B125,領用表!$B:$B,BE$2&amp;$BI$1)</f>
        <v>0</v>
      </c>
      <c r="BF125" s="142">
        <f>SUMIFS(領用表!$L:$L,領用表!$E:$E,$B125,領用表!$B:$B,BF$2&amp;$BI$1)</f>
        <v>0</v>
      </c>
      <c r="BG125" s="23">
        <f t="shared" si="22"/>
        <v>0</v>
      </c>
      <c r="BH125" s="23">
        <f t="shared" si="23"/>
        <v>0</v>
      </c>
      <c r="BI125" s="142">
        <f>SUMIFS(領用表!$L:$L,領用表!$E:$E,$B125,領用表!$B:$B,BI$2&amp;$BI$1)</f>
        <v>0</v>
      </c>
      <c r="BJ125" s="405">
        <f>SUMIFS(領用表!$L:$L,領用表!$E:$E,$B125,領用表!$B:$B,BJ$2&amp;$BI$1)</f>
        <v>0</v>
      </c>
      <c r="BK125" s="405">
        <f>SUMIFS(領用表!$L:$L,領用表!$E:$E,$B125,領用表!$B:$B,BK$2&amp;$BI$1)</f>
        <v>0</v>
      </c>
      <c r="BL125" s="405">
        <f>SUMIFS(領用表!$L:$L,領用表!$E:$E,$B125,領用表!$B:$B,BL$2&amp;$BI$1)</f>
        <v>0</v>
      </c>
      <c r="BM125" s="405">
        <f>SUMIFS(領用表!$L:$L,領用表!$E:$E,$B125,領用表!$B:$B,BM$2&amp;$BI$1)</f>
        <v>0</v>
      </c>
      <c r="BN125" s="405">
        <f>SUMIFS(領用表!$L:$L,領用表!$E:$E,$B125,領用表!$B:$B,BN$2&amp;$BI$1)</f>
        <v>0</v>
      </c>
      <c r="BO125" s="405">
        <f>SUMIFS(領用表!$L:$L,領用表!$E:$E,$B125,領用表!$B:$B,BO$2&amp;$BI$1)</f>
        <v>0</v>
      </c>
      <c r="BP125" s="405">
        <f>SUMIFS(領用表!$L:$L,領用表!$E:$E,$B125,領用表!$B:$B,BP$2&amp;$BI$1)</f>
        <v>0</v>
      </c>
      <c r="BQ125" s="405">
        <f>SUMIFS(領用表!$L:$L,領用表!$E:$E,$B125,領用表!$B:$B,BQ$2&amp;$BI$1)</f>
        <v>0</v>
      </c>
      <c r="BR125" s="405">
        <f>SUMIFS(領用表!$L:$L,領用表!$E:$E,$B125,領用表!$B:$B,BR$2&amp;$BI$1)</f>
        <v>0</v>
      </c>
      <c r="BS125" s="405">
        <f>SUMIFS(領用表!$L:$L,領用表!$E:$E,$B125,領用表!$B:$B,BS$2&amp;$BI$1)</f>
        <v>0</v>
      </c>
      <c r="BT125" s="405">
        <f>SUMIFS(領用表!$L:$L,領用表!$E:$E,$B125,領用表!$B:$B,BT$2&amp;$BI$1)</f>
        <v>0</v>
      </c>
      <c r="BU125" s="405">
        <f t="shared" si="17"/>
        <v>0</v>
      </c>
      <c r="BV125" s="405">
        <f t="shared" si="16"/>
        <v>0</v>
      </c>
      <c r="BW125" s="405">
        <f>SUMIF(Summary!B:B,B125,Summary!DU:DU)</f>
        <v>0</v>
      </c>
      <c r="BY125" s="80"/>
      <c r="BZ125" s="76"/>
      <c r="CA125" s="76"/>
    </row>
    <row r="126" spans="1:79">
      <c r="B126" s="118">
        <v>6080011</v>
      </c>
      <c r="C126" s="136" t="s">
        <v>887</v>
      </c>
      <c r="D126" s="11"/>
      <c r="E126" s="198" t="s">
        <v>15</v>
      </c>
      <c r="F126" s="18">
        <v>450</v>
      </c>
      <c r="G126" s="85"/>
      <c r="BI126" s="142">
        <f>SUMIFS(領用表!$L:$L,領用表!$E:$E,$B126,領用表!$B:$B,BI$2&amp;$BI$1)</f>
        <v>0</v>
      </c>
      <c r="BJ126" s="405">
        <f>SUMIFS(領用表!$L:$L,領用表!$E:$E,$B126,領用表!$B:$B,BJ$2&amp;$BI$1)</f>
        <v>0</v>
      </c>
      <c r="BK126" s="405">
        <f>SUMIFS(領用表!$L:$L,領用表!$E:$E,$B126,領用表!$B:$B,BK$2&amp;$BI$1)</f>
        <v>0</v>
      </c>
      <c r="BL126" s="405">
        <f>SUMIFS(領用表!$L:$L,領用表!$E:$E,$B126,領用表!$B:$B,BL$2&amp;$BI$1)</f>
        <v>0</v>
      </c>
      <c r="BM126" s="405">
        <f>SUMIFS(領用表!$L:$L,領用表!$E:$E,$B126,領用表!$B:$B,BM$2&amp;$BI$1)</f>
        <v>0</v>
      </c>
      <c r="BN126" s="405">
        <f>SUMIFS(領用表!$L:$L,領用表!$E:$E,$B126,領用表!$B:$B,BN$2&amp;$BI$1)</f>
        <v>0</v>
      </c>
      <c r="BO126" s="405">
        <f>SUMIFS(領用表!$L:$L,領用表!$E:$E,$B126,領用表!$B:$B,BO$2&amp;$BI$1)</f>
        <v>0</v>
      </c>
      <c r="BP126" s="405">
        <f>SUMIFS(領用表!$L:$L,領用表!$E:$E,$B126,領用表!$B:$B,BP$2&amp;$BI$1)</f>
        <v>0</v>
      </c>
      <c r="BQ126" s="405">
        <f>SUMIFS(領用表!$L:$L,領用表!$E:$E,$B126,領用表!$B:$B,BQ$2&amp;$BI$1)</f>
        <v>0</v>
      </c>
      <c r="BR126" s="405">
        <f>SUMIFS(領用表!$L:$L,領用表!$E:$E,$B126,領用表!$B:$B,BR$2&amp;$BI$1)</f>
        <v>0</v>
      </c>
      <c r="BS126" s="405">
        <f>SUMIFS(領用表!$L:$L,領用表!$E:$E,$B126,領用表!$B:$B,BS$2&amp;$BI$1)</f>
        <v>0</v>
      </c>
      <c r="BT126" s="405">
        <f>SUMIFS(領用表!$L:$L,領用表!$E:$E,$B126,領用表!$B:$B,BT$2&amp;$BI$1)</f>
        <v>0</v>
      </c>
      <c r="BU126" s="405">
        <f t="shared" si="17"/>
        <v>0</v>
      </c>
      <c r="BV126" s="405">
        <f t="shared" si="16"/>
        <v>0</v>
      </c>
      <c r="BW126" s="405">
        <f>SUMIF(Summary!B:B,B126,Summary!DU:DU)</f>
        <v>0</v>
      </c>
    </row>
    <row r="127" spans="1:79">
      <c r="B127" s="118">
        <v>6080012</v>
      </c>
      <c r="C127" s="136" t="s">
        <v>890</v>
      </c>
      <c r="D127" s="11"/>
      <c r="E127" s="79" t="s">
        <v>891</v>
      </c>
      <c r="F127" s="18">
        <v>50</v>
      </c>
      <c r="G127" s="85"/>
      <c r="BI127" s="142">
        <f>SUMIFS(領用表!$L:$L,領用表!$E:$E,$B127,領用表!$B:$B,BI$2&amp;$BI$1)</f>
        <v>0</v>
      </c>
      <c r="BJ127" s="405">
        <f>SUMIFS(領用表!$L:$L,領用表!$E:$E,$B127,領用表!$B:$B,BJ$2&amp;$BI$1)</f>
        <v>0</v>
      </c>
      <c r="BK127" s="405">
        <f>SUMIFS(領用表!$L:$L,領用表!$E:$E,$B127,領用表!$B:$B,BK$2&amp;$BI$1)</f>
        <v>0</v>
      </c>
      <c r="BL127" s="405">
        <f>SUMIFS(領用表!$L:$L,領用表!$E:$E,$B127,領用表!$B:$B,BL$2&amp;$BI$1)</f>
        <v>0</v>
      </c>
      <c r="BM127" s="405">
        <f>SUMIFS(領用表!$L:$L,領用表!$E:$E,$B127,領用表!$B:$B,BM$2&amp;$BI$1)</f>
        <v>0</v>
      </c>
      <c r="BN127" s="405">
        <f>SUMIFS(領用表!$L:$L,領用表!$E:$E,$B127,領用表!$B:$B,BN$2&amp;$BI$1)</f>
        <v>0</v>
      </c>
      <c r="BO127" s="405">
        <f>SUMIFS(領用表!$L:$L,領用表!$E:$E,$B127,領用表!$B:$B,BO$2&amp;$BI$1)</f>
        <v>0</v>
      </c>
      <c r="BP127" s="405">
        <f>SUMIFS(領用表!$L:$L,領用表!$E:$E,$B127,領用表!$B:$B,BP$2&amp;$BI$1)</f>
        <v>0</v>
      </c>
      <c r="BQ127" s="405">
        <f>SUMIFS(領用表!$L:$L,領用表!$E:$E,$B127,領用表!$B:$B,BQ$2&amp;$BI$1)</f>
        <v>0</v>
      </c>
      <c r="BR127" s="405">
        <f>SUMIFS(領用表!$L:$L,領用表!$E:$E,$B127,領用表!$B:$B,BR$2&amp;$BI$1)</f>
        <v>0</v>
      </c>
      <c r="BS127" s="405">
        <f>SUMIFS(領用表!$L:$L,領用表!$E:$E,$B127,領用表!$B:$B,BS$2&amp;$BI$1)</f>
        <v>0</v>
      </c>
      <c r="BT127" s="405">
        <f>SUMIFS(領用表!$L:$L,領用表!$E:$E,$B127,領用表!$B:$B,BT$2&amp;$BI$1)</f>
        <v>0</v>
      </c>
      <c r="BU127" s="405">
        <f t="shared" si="17"/>
        <v>0</v>
      </c>
      <c r="BV127" s="405">
        <f t="shared" si="16"/>
        <v>0</v>
      </c>
      <c r="BW127" s="405">
        <f>SUMIF(Summary!B:B,B127,Summary!DU:DU)</f>
        <v>0</v>
      </c>
    </row>
    <row r="128" spans="1:79">
      <c r="D128" s="11"/>
      <c r="E128" s="79"/>
      <c r="F128" s="85"/>
      <c r="G128" s="85"/>
      <c r="BI128" s="142">
        <f>SUMIFS(領用表!$L:$L,領用表!$E:$E,$B128,領用表!$B:$B,BI$2&amp;$BI$1)</f>
        <v>0</v>
      </c>
      <c r="BJ128" s="405">
        <f>SUMIFS(領用表!$L:$L,領用表!$E:$E,$B128,領用表!$B:$B,BJ$2&amp;$BI$1)</f>
        <v>0</v>
      </c>
      <c r="BK128" s="405">
        <f>SUMIFS(領用表!$L:$L,領用表!$E:$E,$B128,領用表!$B:$B,BK$2&amp;$BI$1)</f>
        <v>0</v>
      </c>
      <c r="BL128" s="405">
        <f>SUMIFS(領用表!$L:$L,領用表!$E:$E,$B128,領用表!$B:$B,BL$2&amp;$BI$1)</f>
        <v>0</v>
      </c>
      <c r="BM128" s="405">
        <f>SUMIFS(領用表!$L:$L,領用表!$E:$E,$B128,領用表!$B:$B,BM$2&amp;$BI$1)</f>
        <v>0</v>
      </c>
      <c r="BN128" s="405">
        <f>SUMIFS(領用表!$L:$L,領用表!$E:$E,$B128,領用表!$B:$B,BN$2&amp;$BI$1)</f>
        <v>0</v>
      </c>
      <c r="BO128" s="405">
        <f>SUMIFS(領用表!$L:$L,領用表!$E:$E,$B128,領用表!$B:$B,BO$2&amp;$BI$1)</f>
        <v>0</v>
      </c>
      <c r="BP128" s="405">
        <f>SUMIFS(領用表!$L:$L,領用表!$E:$E,$B128,領用表!$B:$B,BP$2&amp;$BI$1)</f>
        <v>0</v>
      </c>
      <c r="BQ128" s="405">
        <f>SUMIFS(領用表!$L:$L,領用表!$E:$E,$B128,領用表!$B:$B,BQ$2&amp;$BI$1)</f>
        <v>0</v>
      </c>
      <c r="BR128" s="405">
        <f>SUMIFS(領用表!$L:$L,領用表!$E:$E,$B128,領用表!$B:$B,BR$2&amp;$BI$1)</f>
        <v>0</v>
      </c>
      <c r="BS128" s="405">
        <f>SUMIFS(領用表!$L:$L,領用表!$E:$E,$B128,領用表!$B:$B,BS$2&amp;$BI$1)</f>
        <v>0</v>
      </c>
      <c r="BT128" s="405">
        <f>SUMIFS(領用表!$L:$L,領用表!$E:$E,$B128,領用表!$B:$B,BT$2&amp;$BI$1)</f>
        <v>0</v>
      </c>
      <c r="BU128" s="405">
        <f t="shared" si="17"/>
        <v>0</v>
      </c>
      <c r="BV128" s="405">
        <f t="shared" si="16"/>
        <v>0</v>
      </c>
      <c r="BW128" s="405">
        <f>SUMIF(Summary!B:B,B128,Summary!DU:DU)</f>
        <v>0</v>
      </c>
    </row>
    <row r="129" spans="4:7" ht="13.5">
      <c r="D129" s="11"/>
      <c r="E129" s="79"/>
      <c r="F129" s="85"/>
      <c r="G129" s="85"/>
    </row>
    <row r="130" spans="4:7" ht="13.5">
      <c r="D130" s="11"/>
      <c r="E130" s="79"/>
      <c r="F130" s="85"/>
      <c r="G130" s="85"/>
    </row>
    <row r="131" spans="4:7" ht="13.5">
      <c r="D131" s="11"/>
      <c r="E131" s="79"/>
      <c r="F131" s="85"/>
      <c r="G131" s="85"/>
    </row>
    <row r="132" spans="4:7" ht="13.5">
      <c r="D132" s="11"/>
      <c r="E132" s="79"/>
      <c r="F132" s="85"/>
      <c r="G132" s="85"/>
    </row>
    <row r="133" spans="4:7" ht="13.5">
      <c r="D133" s="11"/>
      <c r="E133" s="79"/>
      <c r="F133" s="85"/>
      <c r="G133" s="85"/>
    </row>
    <row r="134" spans="4:7" ht="13.5">
      <c r="D134" s="11"/>
      <c r="E134" s="79"/>
      <c r="F134" s="85"/>
      <c r="G134" s="85"/>
    </row>
    <row r="135" spans="4:7" ht="13.5">
      <c r="D135" s="11"/>
      <c r="E135" s="79"/>
      <c r="F135" s="85"/>
      <c r="G135" s="85"/>
    </row>
    <row r="136" spans="4:7" ht="13.5">
      <c r="D136" s="11"/>
      <c r="E136" s="79"/>
      <c r="F136" s="85"/>
      <c r="G136" s="85"/>
    </row>
    <row r="137" spans="4:7" ht="13.5">
      <c r="D137" s="11"/>
      <c r="E137" s="86"/>
      <c r="F137" s="85"/>
      <c r="G137" s="85"/>
    </row>
    <row r="138" spans="4:7" ht="13.5">
      <c r="D138" s="11"/>
      <c r="E138" s="86"/>
      <c r="F138" s="85"/>
      <c r="G138" s="85"/>
    </row>
    <row r="139" spans="4:7" ht="13.5">
      <c r="D139" s="11"/>
      <c r="E139" s="86"/>
      <c r="F139" s="85"/>
      <c r="G139" s="85"/>
    </row>
    <row r="140" spans="4:7" ht="13.5">
      <c r="D140" s="11"/>
      <c r="E140" s="86"/>
      <c r="F140" s="85"/>
      <c r="G140" s="85"/>
    </row>
    <row r="141" spans="4:7" ht="13.5">
      <c r="D141" s="11"/>
      <c r="E141" s="86"/>
      <c r="F141" s="85"/>
      <c r="G141" s="85"/>
    </row>
    <row r="142" spans="4:7" ht="13.5">
      <c r="D142" s="11"/>
      <c r="E142" s="86"/>
      <c r="F142" s="85"/>
      <c r="G142" s="85"/>
    </row>
    <row r="143" spans="4:7" ht="13.5">
      <c r="D143" s="11"/>
      <c r="E143" s="86"/>
      <c r="F143" s="85"/>
      <c r="G143" s="85"/>
    </row>
    <row r="144" spans="4:7" ht="13.5">
      <c r="D144" s="11"/>
      <c r="E144" s="86"/>
      <c r="F144" s="85"/>
      <c r="G144" s="85"/>
    </row>
    <row r="145" spans="4:7" ht="13.5">
      <c r="D145" s="11"/>
      <c r="E145" s="86"/>
      <c r="F145" s="85"/>
      <c r="G145" s="85"/>
    </row>
    <row r="146" spans="4:7" ht="13.5">
      <c r="D146" s="11"/>
      <c r="E146" s="86"/>
      <c r="F146" s="85"/>
      <c r="G146" s="85"/>
    </row>
    <row r="147" spans="4:7" ht="13.5">
      <c r="D147" s="11"/>
      <c r="E147" s="86"/>
      <c r="F147" s="85"/>
      <c r="G147" s="85"/>
    </row>
    <row r="148" spans="4:7" ht="13.5">
      <c r="D148" s="11"/>
      <c r="E148" s="86"/>
      <c r="F148" s="85"/>
      <c r="G148" s="85"/>
    </row>
    <row r="149" spans="4:7" ht="13.5">
      <c r="D149" s="11"/>
      <c r="E149" s="86"/>
      <c r="F149" s="85"/>
      <c r="G149" s="85"/>
    </row>
    <row r="150" spans="4:7" ht="13.5">
      <c r="D150" s="11"/>
      <c r="E150" s="86"/>
      <c r="F150" s="85"/>
      <c r="G150" s="85"/>
    </row>
    <row r="151" spans="4:7" ht="13.5">
      <c r="D151" s="11"/>
      <c r="E151" s="86"/>
      <c r="F151" s="85"/>
      <c r="G151" s="85"/>
    </row>
    <row r="152" spans="4:7" ht="13.5">
      <c r="D152" s="11"/>
      <c r="E152" s="86"/>
      <c r="F152" s="85"/>
      <c r="G152" s="85"/>
    </row>
    <row r="153" spans="4:7" ht="13.5">
      <c r="D153" s="11"/>
      <c r="E153" s="86"/>
      <c r="F153" s="85"/>
      <c r="G153" s="85"/>
    </row>
    <row r="154" spans="4:7" ht="13.5">
      <c r="D154" s="11"/>
      <c r="E154" s="86"/>
      <c r="F154" s="85"/>
      <c r="G154" s="85"/>
    </row>
    <row r="155" spans="4:7" ht="13.5">
      <c r="D155" s="11"/>
      <c r="E155" s="86"/>
      <c r="F155" s="85"/>
      <c r="G155" s="85"/>
    </row>
    <row r="156" spans="4:7" ht="13.5">
      <c r="D156" s="11"/>
      <c r="E156" s="86"/>
      <c r="F156" s="85"/>
      <c r="G156" s="85"/>
    </row>
    <row r="157" spans="4:7" ht="13.5">
      <c r="D157" s="11"/>
      <c r="E157" s="86"/>
      <c r="F157" s="85"/>
      <c r="G157" s="85"/>
    </row>
    <row r="158" spans="4:7" ht="13.5">
      <c r="D158" s="11"/>
      <c r="E158" s="86"/>
      <c r="F158" s="85"/>
      <c r="G158" s="85"/>
    </row>
    <row r="159" spans="4:7" ht="13.5">
      <c r="D159" s="11"/>
      <c r="E159" s="86"/>
      <c r="F159" s="85"/>
      <c r="G159" s="85"/>
    </row>
    <row r="160" spans="4:7" ht="13.5">
      <c r="D160" s="11"/>
      <c r="E160" s="86"/>
      <c r="F160" s="85"/>
      <c r="G160" s="85"/>
    </row>
    <row r="161" spans="4:7" ht="13.5">
      <c r="D161" s="11"/>
      <c r="E161" s="86"/>
      <c r="F161" s="85"/>
      <c r="G161" s="85"/>
    </row>
    <row r="162" spans="4:7" ht="13.5">
      <c r="D162" s="11"/>
      <c r="E162" s="86"/>
      <c r="F162" s="85"/>
      <c r="G162" s="85"/>
    </row>
    <row r="163" spans="4:7" ht="13.5">
      <c r="D163" s="11"/>
      <c r="E163" s="86"/>
      <c r="F163" s="85"/>
      <c r="G163" s="85"/>
    </row>
    <row r="164" spans="4:7" ht="13.5">
      <c r="D164" s="11"/>
      <c r="E164" s="86"/>
      <c r="F164" s="85"/>
      <c r="G164" s="85"/>
    </row>
    <row r="165" spans="4:7" ht="13.5">
      <c r="D165" s="11"/>
      <c r="E165" s="86"/>
      <c r="F165" s="85"/>
      <c r="G165" s="85"/>
    </row>
    <row r="166" spans="4:7" ht="13.5">
      <c r="D166" s="11"/>
      <c r="E166" s="86"/>
      <c r="F166" s="85"/>
      <c r="G166" s="85"/>
    </row>
    <row r="167" spans="4:7" ht="13.5">
      <c r="D167" s="11"/>
      <c r="E167" s="86"/>
      <c r="F167" s="85"/>
      <c r="G167" s="85"/>
    </row>
    <row r="168" spans="4:7" ht="13.5">
      <c r="D168" s="11"/>
      <c r="E168" s="86"/>
      <c r="F168" s="85"/>
      <c r="G168" s="85"/>
    </row>
    <row r="169" spans="4:7" ht="13.5">
      <c r="D169" s="11"/>
      <c r="E169" s="86"/>
      <c r="F169" s="85"/>
      <c r="G169" s="85"/>
    </row>
    <row r="170" spans="4:7" ht="13.5">
      <c r="D170" s="11"/>
      <c r="E170" s="86"/>
      <c r="F170" s="85"/>
      <c r="G170" s="85"/>
    </row>
    <row r="171" spans="4:7" ht="13.5">
      <c r="D171" s="11"/>
      <c r="E171" s="86"/>
      <c r="F171" s="85"/>
      <c r="G171" s="85"/>
    </row>
    <row r="172" spans="4:7" ht="13.5">
      <c r="D172" s="11"/>
      <c r="E172" s="86"/>
      <c r="F172" s="85"/>
      <c r="G172" s="85"/>
    </row>
    <row r="173" spans="4:7" ht="13.5">
      <c r="D173" s="11"/>
      <c r="E173" s="86"/>
      <c r="F173" s="85"/>
      <c r="G173" s="85"/>
    </row>
    <row r="174" spans="4:7" ht="13.5">
      <c r="D174" s="11"/>
      <c r="E174" s="86"/>
      <c r="F174" s="85"/>
      <c r="G174" s="85"/>
    </row>
    <row r="175" spans="4:7" ht="13.5">
      <c r="D175" s="11"/>
      <c r="E175" s="86"/>
      <c r="F175" s="85"/>
      <c r="G175" s="85"/>
    </row>
    <row r="176" spans="4:7" ht="13.5">
      <c r="D176" s="11"/>
      <c r="E176" s="86"/>
      <c r="F176" s="85"/>
      <c r="G176" s="85"/>
    </row>
    <row r="177" spans="4:7" ht="13.5">
      <c r="D177" s="11"/>
      <c r="E177" s="86"/>
      <c r="F177" s="85"/>
      <c r="G177" s="85"/>
    </row>
    <row r="178" spans="4:7" ht="13.5">
      <c r="D178" s="11"/>
      <c r="E178" s="86"/>
      <c r="F178" s="85"/>
      <c r="G178" s="85"/>
    </row>
    <row r="179" spans="4:7" ht="13.5">
      <c r="D179" s="11"/>
      <c r="E179" s="86"/>
      <c r="F179" s="85"/>
      <c r="G179" s="85"/>
    </row>
    <row r="180" spans="4:7" ht="13.5">
      <c r="D180" s="11"/>
      <c r="E180" s="86"/>
      <c r="F180" s="85"/>
      <c r="G180" s="85"/>
    </row>
    <row r="181" spans="4:7" ht="13.5">
      <c r="D181" s="11"/>
      <c r="E181" s="86"/>
      <c r="F181" s="85"/>
      <c r="G181" s="85"/>
    </row>
    <row r="182" spans="4:7" ht="13.5">
      <c r="D182" s="11"/>
      <c r="E182" s="86"/>
      <c r="F182" s="85"/>
      <c r="G182" s="85"/>
    </row>
    <row r="183" spans="4:7" ht="13.5">
      <c r="D183" s="11"/>
      <c r="E183" s="86"/>
      <c r="F183" s="85"/>
      <c r="G183" s="85"/>
    </row>
    <row r="184" spans="4:7" ht="13.5">
      <c r="D184" s="11"/>
      <c r="E184" s="86"/>
      <c r="F184" s="85"/>
      <c r="G184" s="85"/>
    </row>
    <row r="185" spans="4:7" ht="13.5">
      <c r="D185" s="11"/>
      <c r="E185" s="86"/>
      <c r="F185" s="85"/>
      <c r="G185" s="85"/>
    </row>
    <row r="186" spans="4:7" ht="13.5">
      <c r="D186" s="11"/>
      <c r="E186" s="86"/>
      <c r="F186" s="85"/>
      <c r="G186" s="85"/>
    </row>
    <row r="187" spans="4:7" ht="13.5">
      <c r="D187" s="11"/>
      <c r="E187" s="86"/>
      <c r="F187" s="85"/>
      <c r="G187" s="85"/>
    </row>
    <row r="188" spans="4:7" ht="13.5">
      <c r="D188" s="11"/>
      <c r="E188" s="86"/>
      <c r="F188" s="85"/>
      <c r="G188" s="85"/>
    </row>
    <row r="189" spans="4:7" ht="13.5">
      <c r="D189" s="11"/>
      <c r="E189" s="86"/>
      <c r="F189" s="85"/>
      <c r="G189" s="85"/>
    </row>
    <row r="190" spans="4:7" ht="13.5">
      <c r="D190" s="11"/>
      <c r="E190" s="86"/>
      <c r="F190" s="85"/>
      <c r="G190" s="85"/>
    </row>
    <row r="191" spans="4:7" ht="13.5">
      <c r="D191" s="11"/>
      <c r="E191" s="86"/>
      <c r="F191" s="85"/>
      <c r="G191" s="85"/>
    </row>
    <row r="192" spans="4:7" ht="13.5">
      <c r="D192" s="11"/>
      <c r="E192" s="86"/>
      <c r="F192" s="85"/>
      <c r="G192" s="85"/>
    </row>
    <row r="193" spans="4:7" ht="13.5">
      <c r="D193" s="11"/>
      <c r="E193" s="86"/>
      <c r="F193" s="85"/>
      <c r="G193" s="85"/>
    </row>
    <row r="194" spans="4:7" ht="13.5">
      <c r="D194" s="11"/>
      <c r="E194" s="86"/>
      <c r="F194" s="85"/>
      <c r="G194" s="85"/>
    </row>
    <row r="195" spans="4:7" ht="13.5">
      <c r="D195" s="11"/>
      <c r="E195" s="86"/>
      <c r="F195" s="85"/>
      <c r="G195" s="85"/>
    </row>
    <row r="196" spans="4:7" ht="13.5">
      <c r="D196" s="11"/>
      <c r="E196" s="86"/>
      <c r="F196" s="85"/>
      <c r="G196" s="85"/>
    </row>
    <row r="197" spans="4:7" ht="13.5">
      <c r="D197" s="11"/>
      <c r="E197" s="86"/>
      <c r="F197" s="85"/>
      <c r="G197" s="85"/>
    </row>
    <row r="198" spans="4:7" ht="13.5">
      <c r="D198" s="11"/>
      <c r="E198" s="86"/>
      <c r="F198" s="85"/>
      <c r="G198" s="85"/>
    </row>
    <row r="199" spans="4:7" ht="13.5">
      <c r="D199" s="11"/>
      <c r="E199" s="86"/>
      <c r="F199" s="85"/>
      <c r="G199" s="85"/>
    </row>
    <row r="200" spans="4:7" ht="13.5">
      <c r="D200" s="11"/>
      <c r="E200" s="86"/>
      <c r="F200" s="85"/>
      <c r="G200" s="85"/>
    </row>
    <row r="201" spans="4:7" ht="13.5">
      <c r="D201" s="11"/>
      <c r="E201" s="86"/>
      <c r="F201" s="85"/>
      <c r="G201" s="85"/>
    </row>
    <row r="202" spans="4:7" ht="13.5">
      <c r="D202" s="11"/>
      <c r="E202" s="86"/>
      <c r="F202" s="85"/>
      <c r="G202" s="85"/>
    </row>
    <row r="203" spans="4:7" ht="13.5">
      <c r="D203" s="11"/>
      <c r="E203" s="86"/>
      <c r="F203" s="85"/>
      <c r="G203" s="85"/>
    </row>
    <row r="204" spans="4:7" ht="13.5">
      <c r="D204" s="11"/>
      <c r="E204" s="86"/>
      <c r="F204" s="85"/>
      <c r="G204" s="85"/>
    </row>
    <row r="205" spans="4:7" ht="13.5">
      <c r="D205" s="11"/>
      <c r="E205" s="86"/>
      <c r="F205" s="85"/>
      <c r="G205" s="85"/>
    </row>
    <row r="206" spans="4:7" ht="13.5">
      <c r="D206" s="11"/>
      <c r="E206" s="86"/>
      <c r="F206" s="85"/>
      <c r="G206" s="85"/>
    </row>
    <row r="207" spans="4:7" ht="13.5">
      <c r="D207" s="11"/>
      <c r="E207" s="86"/>
      <c r="F207" s="85"/>
      <c r="G207" s="85"/>
    </row>
    <row r="208" spans="4:7" ht="13.5">
      <c r="D208" s="11"/>
      <c r="E208" s="86"/>
      <c r="F208" s="85"/>
      <c r="G208" s="85"/>
    </row>
    <row r="209" spans="4:7" ht="13.5">
      <c r="D209" s="11"/>
      <c r="E209" s="86"/>
      <c r="F209" s="85"/>
      <c r="G209" s="85"/>
    </row>
    <row r="210" spans="4:7" ht="13.5">
      <c r="D210" s="11"/>
      <c r="E210" s="86"/>
      <c r="F210" s="85"/>
      <c r="G210" s="85"/>
    </row>
    <row r="211" spans="4:7" ht="13.5">
      <c r="D211" s="11"/>
      <c r="E211" s="86"/>
      <c r="F211" s="85"/>
      <c r="G211" s="85"/>
    </row>
    <row r="212" spans="4:7" ht="13.5">
      <c r="D212" s="11"/>
      <c r="E212" s="86"/>
      <c r="F212" s="85"/>
      <c r="G212" s="85"/>
    </row>
    <row r="213" spans="4:7" ht="13.5">
      <c r="D213" s="11"/>
      <c r="E213" s="86"/>
      <c r="F213" s="85"/>
      <c r="G213" s="85"/>
    </row>
    <row r="214" spans="4:7" ht="13.5">
      <c r="D214" s="11"/>
      <c r="E214" s="86"/>
      <c r="F214" s="85"/>
      <c r="G214" s="85"/>
    </row>
    <row r="215" spans="4:7" ht="13.5">
      <c r="D215" s="11"/>
      <c r="E215" s="86"/>
      <c r="F215" s="85"/>
      <c r="G215" s="85"/>
    </row>
    <row r="216" spans="4:7" ht="13.5">
      <c r="D216" s="11"/>
      <c r="E216" s="86"/>
      <c r="F216" s="85"/>
      <c r="G216" s="85"/>
    </row>
    <row r="217" spans="4:7" ht="13.5">
      <c r="D217" s="11"/>
      <c r="E217" s="86"/>
      <c r="F217" s="85"/>
      <c r="G217" s="85"/>
    </row>
    <row r="218" spans="4:7" ht="13.5">
      <c r="D218" s="11"/>
      <c r="E218" s="86"/>
      <c r="F218" s="85"/>
      <c r="G218" s="85"/>
    </row>
    <row r="219" spans="4:7" ht="13.5">
      <c r="D219" s="11"/>
      <c r="E219" s="86"/>
      <c r="F219" s="85"/>
      <c r="G219" s="85"/>
    </row>
    <row r="220" spans="4:7" ht="13.5">
      <c r="D220" s="11"/>
      <c r="E220" s="86"/>
      <c r="F220" s="85"/>
      <c r="G220" s="85"/>
    </row>
    <row r="221" spans="4:7" ht="13.5">
      <c r="D221" s="11"/>
      <c r="E221" s="86"/>
      <c r="F221" s="85"/>
      <c r="G221" s="85"/>
    </row>
    <row r="222" spans="4:7" ht="13.5">
      <c r="D222" s="11"/>
      <c r="E222" s="86"/>
      <c r="F222" s="85"/>
      <c r="G222" s="85"/>
    </row>
    <row r="223" spans="4:7" ht="13.5">
      <c r="D223" s="11"/>
      <c r="E223" s="86"/>
      <c r="F223" s="85"/>
      <c r="G223" s="85"/>
    </row>
    <row r="224" spans="4:7" ht="13.5">
      <c r="D224" s="11"/>
      <c r="E224" s="86"/>
      <c r="F224" s="85"/>
      <c r="G224" s="85"/>
    </row>
    <row r="225" spans="4:7" ht="13.5">
      <c r="D225" s="11"/>
      <c r="E225" s="86"/>
      <c r="F225" s="85"/>
      <c r="G225" s="85"/>
    </row>
    <row r="226" spans="4:7" ht="13.5">
      <c r="D226" s="11"/>
      <c r="E226" s="86"/>
      <c r="F226" s="85"/>
      <c r="G226" s="85"/>
    </row>
    <row r="227" spans="4:7" ht="13.5">
      <c r="D227" s="11"/>
      <c r="E227" s="86"/>
      <c r="F227" s="85"/>
      <c r="G227" s="85"/>
    </row>
    <row r="228" spans="4:7" ht="13.5">
      <c r="D228" s="11"/>
      <c r="E228" s="86"/>
      <c r="F228" s="85"/>
      <c r="G228" s="85"/>
    </row>
    <row r="229" spans="4:7" ht="13.5">
      <c r="D229" s="11"/>
      <c r="E229" s="86"/>
      <c r="F229" s="85"/>
      <c r="G229" s="85"/>
    </row>
    <row r="230" spans="4:7" ht="13.5">
      <c r="D230" s="11"/>
      <c r="E230" s="86"/>
      <c r="F230" s="85"/>
      <c r="G230" s="85"/>
    </row>
    <row r="231" spans="4:7" ht="13.5">
      <c r="D231" s="11"/>
      <c r="E231" s="86"/>
      <c r="F231" s="85"/>
      <c r="G231" s="85"/>
    </row>
    <row r="232" spans="4:7" ht="13.5">
      <c r="D232" s="11"/>
      <c r="E232" s="86"/>
      <c r="F232" s="85"/>
      <c r="G232" s="85"/>
    </row>
    <row r="233" spans="4:7" ht="13.5">
      <c r="D233" s="11"/>
      <c r="E233" s="86"/>
      <c r="F233" s="85"/>
      <c r="G233" s="85"/>
    </row>
    <row r="234" spans="4:7" ht="13.5">
      <c r="D234" s="11"/>
      <c r="E234" s="86"/>
      <c r="F234" s="85"/>
      <c r="G234" s="85"/>
    </row>
    <row r="235" spans="4:7" ht="13.5">
      <c r="D235" s="11"/>
      <c r="E235" s="86"/>
      <c r="F235" s="85"/>
      <c r="G235" s="85"/>
    </row>
    <row r="236" spans="4:7" ht="13.5">
      <c r="D236" s="11"/>
      <c r="E236" s="86"/>
      <c r="F236" s="85"/>
      <c r="G236" s="85"/>
    </row>
    <row r="237" spans="4:7" ht="13.5">
      <c r="D237" s="11"/>
      <c r="E237" s="86"/>
      <c r="F237" s="85"/>
      <c r="G237" s="85"/>
    </row>
    <row r="238" spans="4:7" ht="13.5">
      <c r="D238" s="11"/>
      <c r="E238" s="86"/>
      <c r="F238" s="85"/>
      <c r="G238" s="85"/>
    </row>
    <row r="239" spans="4:7" ht="13.5">
      <c r="D239" s="11"/>
      <c r="E239" s="86"/>
      <c r="F239" s="85"/>
      <c r="G239" s="85"/>
    </row>
    <row r="240" spans="4:7" ht="13.5">
      <c r="D240" s="11"/>
      <c r="E240" s="86"/>
      <c r="F240" s="85"/>
      <c r="G240" s="85"/>
    </row>
    <row r="241" spans="4:7" ht="13.5">
      <c r="D241" s="11"/>
      <c r="E241" s="86"/>
      <c r="F241" s="85"/>
      <c r="G241" s="85"/>
    </row>
    <row r="242" spans="4:7" ht="13.5">
      <c r="D242" s="11"/>
      <c r="E242" s="86"/>
      <c r="F242" s="85"/>
      <c r="G242" s="85"/>
    </row>
    <row r="243" spans="4:7" ht="13.5">
      <c r="D243" s="11"/>
      <c r="E243" s="86"/>
      <c r="F243" s="85"/>
      <c r="G243" s="85"/>
    </row>
    <row r="244" spans="4:7" ht="13.5">
      <c r="D244" s="11"/>
      <c r="E244" s="86"/>
      <c r="F244" s="85"/>
      <c r="G244" s="85"/>
    </row>
    <row r="245" spans="4:7" ht="13.5">
      <c r="D245" s="11"/>
      <c r="E245" s="86"/>
      <c r="F245" s="85"/>
      <c r="G245" s="85"/>
    </row>
    <row r="246" spans="4:7" ht="13.5">
      <c r="D246" s="11"/>
      <c r="E246" s="86"/>
      <c r="F246" s="85"/>
      <c r="G246" s="85"/>
    </row>
    <row r="247" spans="4:7" ht="13.5">
      <c r="D247" s="11"/>
      <c r="E247" s="86"/>
      <c r="F247" s="85"/>
      <c r="G247" s="85"/>
    </row>
    <row r="248" spans="4:7" ht="13.5">
      <c r="D248" s="11"/>
      <c r="E248" s="86"/>
      <c r="F248" s="85"/>
      <c r="G248" s="85"/>
    </row>
    <row r="249" spans="4:7" ht="13.5">
      <c r="D249" s="11"/>
      <c r="E249" s="86"/>
      <c r="F249" s="85"/>
      <c r="G249" s="85"/>
    </row>
    <row r="250" spans="4:7" ht="13.5">
      <c r="D250" s="11"/>
      <c r="E250" s="86"/>
      <c r="F250" s="85"/>
      <c r="G250" s="85"/>
    </row>
    <row r="251" spans="4:7" ht="13.5">
      <c r="D251" s="11"/>
      <c r="E251" s="86"/>
      <c r="F251" s="85"/>
      <c r="G251" s="85"/>
    </row>
    <row r="252" spans="4:7" ht="13.5">
      <c r="D252" s="11"/>
      <c r="E252" s="86"/>
      <c r="F252" s="85"/>
      <c r="G252" s="85"/>
    </row>
    <row r="253" spans="4:7" ht="13.5">
      <c r="D253" s="11"/>
      <c r="E253" s="86"/>
      <c r="F253" s="85"/>
      <c r="G253" s="85"/>
    </row>
    <row r="254" spans="4:7" ht="13.5">
      <c r="D254" s="11"/>
      <c r="E254" s="86"/>
      <c r="F254" s="85"/>
      <c r="G254" s="85"/>
    </row>
    <row r="255" spans="4:7" ht="13.5">
      <c r="D255" s="11"/>
      <c r="E255" s="86"/>
      <c r="F255" s="85"/>
      <c r="G255" s="85"/>
    </row>
    <row r="256" spans="4:7" ht="13.5">
      <c r="D256" s="11"/>
      <c r="E256" s="86"/>
      <c r="F256" s="85"/>
      <c r="G256" s="85"/>
    </row>
    <row r="257" spans="4:7" ht="13.5">
      <c r="D257" s="11"/>
      <c r="E257" s="86"/>
      <c r="F257" s="85"/>
      <c r="G257" s="85"/>
    </row>
    <row r="258" spans="4:7" ht="13.5">
      <c r="D258" s="11"/>
      <c r="E258" s="86"/>
      <c r="F258" s="85"/>
      <c r="G258" s="85"/>
    </row>
    <row r="259" spans="4:7" ht="13.5">
      <c r="D259" s="11"/>
      <c r="E259" s="86"/>
      <c r="F259" s="85"/>
      <c r="G259" s="85"/>
    </row>
    <row r="260" spans="4:7" ht="13.5">
      <c r="D260" s="11"/>
      <c r="E260" s="86"/>
      <c r="F260" s="85"/>
      <c r="G260" s="85"/>
    </row>
    <row r="261" spans="4:7" ht="13.5">
      <c r="D261" s="11"/>
      <c r="E261" s="86"/>
      <c r="F261" s="85"/>
      <c r="G261" s="85"/>
    </row>
    <row r="262" spans="4:7" ht="13.5">
      <c r="D262" s="11"/>
      <c r="E262" s="86"/>
      <c r="F262" s="85"/>
      <c r="G262" s="85"/>
    </row>
    <row r="263" spans="4:7" ht="13.5">
      <c r="D263" s="11"/>
      <c r="E263" s="86"/>
      <c r="F263" s="85"/>
      <c r="G263" s="85"/>
    </row>
    <row r="264" spans="4:7" ht="13.5">
      <c r="D264" s="11"/>
      <c r="E264" s="86"/>
      <c r="F264" s="85"/>
      <c r="G264" s="85"/>
    </row>
    <row r="265" spans="4:7" ht="13.5">
      <c r="D265" s="11"/>
      <c r="E265" s="86"/>
      <c r="F265" s="85"/>
      <c r="G265" s="85"/>
    </row>
    <row r="266" spans="4:7" ht="13.5">
      <c r="D266" s="11"/>
      <c r="E266" s="86"/>
      <c r="F266" s="85"/>
      <c r="G266" s="85"/>
    </row>
    <row r="267" spans="4:7" ht="13.5">
      <c r="D267" s="11"/>
      <c r="E267" s="86"/>
      <c r="F267" s="85"/>
      <c r="G267" s="85"/>
    </row>
    <row r="268" spans="4:7" ht="13.5">
      <c r="D268" s="11"/>
      <c r="E268" s="86"/>
      <c r="F268" s="85"/>
      <c r="G268" s="85"/>
    </row>
    <row r="269" spans="4:7" ht="13.5">
      <c r="D269" s="11"/>
      <c r="E269" s="86"/>
      <c r="F269" s="85"/>
      <c r="G269" s="85"/>
    </row>
    <row r="270" spans="4:7" ht="13.5">
      <c r="D270" s="11"/>
      <c r="E270" s="86"/>
      <c r="F270" s="85"/>
      <c r="G270" s="85"/>
    </row>
    <row r="271" spans="4:7" ht="13.5">
      <c r="D271" s="11"/>
      <c r="E271" s="86"/>
      <c r="F271" s="85"/>
      <c r="G271" s="85"/>
    </row>
    <row r="272" spans="4:7" ht="13.5">
      <c r="D272" s="11"/>
      <c r="E272" s="86"/>
      <c r="F272" s="85"/>
      <c r="G272" s="85"/>
    </row>
    <row r="273" spans="4:7" ht="13.5">
      <c r="D273" s="11"/>
      <c r="E273" s="86"/>
      <c r="F273" s="85"/>
      <c r="G273" s="85"/>
    </row>
    <row r="274" spans="4:7" ht="13.5">
      <c r="D274" s="11"/>
      <c r="E274" s="86"/>
      <c r="F274" s="85"/>
      <c r="G274" s="85"/>
    </row>
    <row r="275" spans="4:7" ht="13.5">
      <c r="D275" s="11"/>
      <c r="E275" s="86"/>
      <c r="F275" s="85"/>
      <c r="G275" s="85"/>
    </row>
    <row r="276" spans="4:7" ht="13.5">
      <c r="D276" s="11"/>
      <c r="E276" s="86"/>
      <c r="F276" s="85"/>
      <c r="G276" s="85"/>
    </row>
    <row r="277" spans="4:7" ht="13.5">
      <c r="D277" s="11"/>
      <c r="E277" s="86"/>
      <c r="F277" s="85"/>
      <c r="G277" s="85"/>
    </row>
    <row r="278" spans="4:7" ht="13.5">
      <c r="D278" s="11"/>
      <c r="E278" s="86"/>
      <c r="F278" s="85"/>
      <c r="G278" s="85"/>
    </row>
    <row r="279" spans="4:7" ht="13.5">
      <c r="D279" s="11"/>
      <c r="E279" s="86"/>
      <c r="F279" s="85"/>
      <c r="G279" s="85"/>
    </row>
    <row r="280" spans="4:7" ht="13.5">
      <c r="D280" s="11"/>
      <c r="E280" s="86"/>
      <c r="F280" s="85"/>
      <c r="G280" s="85"/>
    </row>
    <row r="281" spans="4:7" ht="13.5">
      <c r="D281" s="11"/>
      <c r="E281" s="86"/>
      <c r="F281" s="85"/>
      <c r="G281" s="85"/>
    </row>
    <row r="282" spans="4:7" ht="13.5">
      <c r="D282" s="11"/>
      <c r="E282" s="86"/>
      <c r="F282" s="85"/>
      <c r="G282" s="85"/>
    </row>
    <row r="283" spans="4:7" ht="13.5">
      <c r="D283" s="11"/>
      <c r="E283" s="86"/>
      <c r="F283" s="85"/>
      <c r="G283" s="85"/>
    </row>
    <row r="284" spans="4:7" ht="13.5">
      <c r="D284" s="11"/>
      <c r="E284" s="86"/>
      <c r="F284" s="85"/>
      <c r="G284" s="85"/>
    </row>
    <row r="285" spans="4:7" ht="13.5">
      <c r="D285" s="11"/>
      <c r="E285" s="86"/>
      <c r="F285" s="85"/>
      <c r="G285" s="85"/>
    </row>
    <row r="286" spans="4:7" ht="13.5">
      <c r="D286" s="11"/>
      <c r="E286" s="86"/>
      <c r="F286" s="85"/>
      <c r="G286" s="85"/>
    </row>
    <row r="287" spans="4:7" ht="13.5">
      <c r="D287" s="11"/>
      <c r="E287" s="86"/>
      <c r="F287" s="85"/>
      <c r="G287" s="85"/>
    </row>
    <row r="288" spans="4:7" ht="13.5">
      <c r="D288" s="11"/>
      <c r="E288" s="86"/>
      <c r="F288" s="85"/>
      <c r="G288" s="85"/>
    </row>
    <row r="289" spans="4:7" ht="13.5">
      <c r="D289" s="11"/>
      <c r="E289" s="86"/>
      <c r="F289" s="85"/>
      <c r="G289" s="85"/>
    </row>
    <row r="290" spans="4:7" ht="13.5">
      <c r="D290" s="11"/>
      <c r="E290" s="86"/>
      <c r="F290" s="85"/>
      <c r="G290" s="85"/>
    </row>
    <row r="291" spans="4:7" ht="13.5">
      <c r="D291" s="11"/>
      <c r="E291" s="86"/>
      <c r="F291" s="85"/>
      <c r="G291" s="85"/>
    </row>
    <row r="292" spans="4:7" ht="13.5">
      <c r="D292" s="11"/>
      <c r="E292" s="86"/>
      <c r="F292" s="85"/>
      <c r="G292" s="85"/>
    </row>
    <row r="293" spans="4:7" ht="13.5">
      <c r="D293" s="11"/>
      <c r="E293" s="86"/>
      <c r="F293" s="85"/>
      <c r="G293" s="85"/>
    </row>
    <row r="294" spans="4:7" ht="13.5">
      <c r="D294" s="11"/>
      <c r="E294" s="86"/>
      <c r="F294" s="85"/>
      <c r="G294" s="85"/>
    </row>
    <row r="295" spans="4:7" ht="13.5">
      <c r="D295" s="11"/>
      <c r="E295" s="86"/>
      <c r="F295" s="85"/>
      <c r="G295" s="85"/>
    </row>
    <row r="296" spans="4:7" ht="13.5">
      <c r="D296" s="11"/>
      <c r="E296" s="86"/>
      <c r="F296" s="85"/>
      <c r="G296" s="85"/>
    </row>
    <row r="297" spans="4:7" ht="13.5">
      <c r="D297" s="11"/>
      <c r="E297" s="86"/>
      <c r="F297" s="85"/>
      <c r="G297" s="85"/>
    </row>
    <row r="298" spans="4:7" ht="13.5">
      <c r="D298" s="11"/>
      <c r="E298" s="86"/>
      <c r="F298" s="85"/>
      <c r="G298" s="85"/>
    </row>
    <row r="299" spans="4:7" ht="13.5">
      <c r="D299" s="11"/>
      <c r="E299" s="86"/>
      <c r="F299" s="85"/>
      <c r="G299" s="85"/>
    </row>
    <row r="300" spans="4:7" ht="13.5">
      <c r="D300" s="11"/>
      <c r="E300" s="86"/>
      <c r="F300" s="85"/>
      <c r="G300" s="85"/>
    </row>
    <row r="301" spans="4:7" ht="13.5">
      <c r="D301" s="11"/>
      <c r="E301" s="86"/>
      <c r="F301" s="85"/>
      <c r="G301" s="85"/>
    </row>
    <row r="302" spans="4:7" ht="13.5">
      <c r="D302" s="11"/>
      <c r="E302" s="86"/>
      <c r="F302" s="85"/>
      <c r="G302" s="85"/>
    </row>
    <row r="303" spans="4:7" ht="13.5">
      <c r="D303" s="11"/>
      <c r="E303" s="86"/>
      <c r="F303" s="85"/>
      <c r="G303" s="85"/>
    </row>
    <row r="304" spans="4:7" ht="13.5">
      <c r="D304" s="11"/>
      <c r="E304" s="86"/>
      <c r="F304" s="85"/>
      <c r="G304" s="85"/>
    </row>
    <row r="305" spans="4:7" ht="13.5">
      <c r="D305" s="11"/>
      <c r="E305" s="86"/>
      <c r="F305" s="85"/>
      <c r="G305" s="85"/>
    </row>
    <row r="306" spans="4:7" ht="13.5">
      <c r="D306" s="11"/>
      <c r="E306" s="86"/>
      <c r="F306" s="85"/>
      <c r="G306" s="85"/>
    </row>
    <row r="307" spans="4:7" ht="13.5">
      <c r="D307" s="11"/>
      <c r="E307" s="86"/>
      <c r="F307" s="85"/>
      <c r="G307" s="85"/>
    </row>
    <row r="308" spans="4:7" ht="13.5">
      <c r="D308" s="11"/>
      <c r="E308" s="86"/>
      <c r="F308" s="85"/>
      <c r="G308" s="85"/>
    </row>
    <row r="309" spans="4:7" ht="13.5">
      <c r="D309" s="11"/>
      <c r="E309" s="86"/>
      <c r="F309" s="85"/>
      <c r="G309" s="85"/>
    </row>
    <row r="310" spans="4:7" ht="13.5">
      <c r="D310" s="11"/>
      <c r="E310" s="86"/>
      <c r="F310" s="85"/>
      <c r="G310" s="85"/>
    </row>
    <row r="311" spans="4:7" ht="13.5">
      <c r="D311" s="11"/>
      <c r="E311" s="86"/>
      <c r="F311" s="85"/>
      <c r="G311" s="85"/>
    </row>
    <row r="312" spans="4:7" ht="13.5">
      <c r="D312" s="11"/>
      <c r="E312" s="86"/>
      <c r="F312" s="85"/>
      <c r="G312" s="85"/>
    </row>
    <row r="313" spans="4:7" ht="13.5">
      <c r="D313" s="11"/>
      <c r="E313" s="86"/>
      <c r="F313" s="85"/>
      <c r="G313" s="85"/>
    </row>
    <row r="314" spans="4:7" ht="13.5">
      <c r="D314" s="11"/>
      <c r="E314" s="86"/>
      <c r="F314" s="85"/>
      <c r="G314" s="85"/>
    </row>
    <row r="315" spans="4:7" ht="13.5">
      <c r="D315" s="11"/>
      <c r="E315" s="86"/>
      <c r="F315" s="85"/>
      <c r="G315" s="85"/>
    </row>
    <row r="316" spans="4:7" ht="13.5">
      <c r="D316" s="11"/>
      <c r="E316" s="86"/>
      <c r="F316" s="85"/>
      <c r="G316" s="85"/>
    </row>
    <row r="317" spans="4:7" ht="13.5">
      <c r="D317" s="11"/>
      <c r="E317" s="86"/>
      <c r="F317" s="85"/>
      <c r="G317" s="85"/>
    </row>
    <row r="318" spans="4:7" ht="13.5">
      <c r="D318" s="11"/>
      <c r="E318" s="86"/>
      <c r="F318" s="85"/>
      <c r="G318" s="85"/>
    </row>
    <row r="319" spans="4:7" ht="13.5">
      <c r="D319" s="11"/>
      <c r="E319" s="86"/>
      <c r="F319" s="85"/>
      <c r="G319" s="85"/>
    </row>
    <row r="320" spans="4:7" ht="13.5">
      <c r="D320" s="11"/>
      <c r="E320" s="86"/>
      <c r="F320" s="85"/>
      <c r="G320" s="85"/>
    </row>
    <row r="321" spans="4:7" ht="13.5">
      <c r="D321" s="11"/>
      <c r="E321" s="86"/>
      <c r="F321" s="85"/>
      <c r="G321" s="85"/>
    </row>
    <row r="322" spans="4:7" ht="13.5">
      <c r="D322" s="11"/>
      <c r="E322" s="86"/>
      <c r="F322" s="85"/>
      <c r="G322" s="85"/>
    </row>
    <row r="323" spans="4:7" ht="13.5">
      <c r="D323" s="11"/>
      <c r="E323" s="86"/>
      <c r="F323" s="85"/>
      <c r="G323" s="85"/>
    </row>
    <row r="324" spans="4:7" ht="13.5">
      <c r="D324" s="11"/>
      <c r="E324" s="86"/>
      <c r="F324" s="85"/>
      <c r="G324" s="85"/>
    </row>
    <row r="325" spans="4:7" ht="13.5">
      <c r="D325" s="11"/>
      <c r="E325" s="86"/>
      <c r="F325" s="85"/>
      <c r="G325" s="85"/>
    </row>
    <row r="326" spans="4:7" ht="13.5">
      <c r="D326" s="11"/>
      <c r="E326" s="86"/>
      <c r="F326" s="85"/>
      <c r="G326" s="85"/>
    </row>
    <row r="327" spans="4:7" ht="13.5">
      <c r="D327" s="11"/>
      <c r="E327" s="86"/>
      <c r="F327" s="85"/>
      <c r="G327" s="85"/>
    </row>
    <row r="328" spans="4:7" ht="13.5">
      <c r="D328" s="11"/>
      <c r="E328" s="86"/>
      <c r="F328" s="85"/>
      <c r="G328" s="85"/>
    </row>
    <row r="329" spans="4:7" ht="13.5">
      <c r="D329" s="11"/>
      <c r="E329" s="86"/>
      <c r="F329" s="85"/>
      <c r="G329" s="85"/>
    </row>
    <row r="330" spans="4:7" ht="13.5">
      <c r="D330" s="11"/>
      <c r="E330" s="86"/>
      <c r="F330" s="85"/>
      <c r="G330" s="85"/>
    </row>
    <row r="331" spans="4:7" ht="13.5">
      <c r="D331" s="11"/>
      <c r="E331" s="86"/>
      <c r="F331" s="85"/>
      <c r="G331" s="85"/>
    </row>
    <row r="332" spans="4:7" ht="13.5">
      <c r="D332" s="11"/>
      <c r="E332" s="86"/>
      <c r="F332" s="85"/>
      <c r="G332" s="85"/>
    </row>
    <row r="333" spans="4:7" ht="13.5">
      <c r="D333" s="11"/>
      <c r="E333" s="86"/>
      <c r="F333" s="85"/>
      <c r="G333" s="85"/>
    </row>
    <row r="334" spans="4:7" ht="13.5">
      <c r="D334" s="11"/>
      <c r="E334" s="86"/>
      <c r="F334" s="85"/>
      <c r="G334" s="85"/>
    </row>
    <row r="335" spans="4:7" ht="13.5">
      <c r="D335" s="11"/>
      <c r="E335" s="86"/>
      <c r="F335" s="85"/>
      <c r="G335" s="85"/>
    </row>
    <row r="336" spans="4:7" ht="13.5">
      <c r="D336" s="11"/>
      <c r="E336" s="86"/>
      <c r="F336" s="85"/>
      <c r="G336" s="85"/>
    </row>
    <row r="337" spans="4:7" ht="13.5">
      <c r="D337" s="11"/>
      <c r="E337" s="86"/>
      <c r="F337" s="85"/>
      <c r="G337" s="85"/>
    </row>
    <row r="338" spans="4:7" ht="13.5">
      <c r="D338" s="11"/>
      <c r="E338" s="86"/>
      <c r="F338" s="85"/>
      <c r="G338" s="85"/>
    </row>
    <row r="339" spans="4:7" ht="13.5">
      <c r="D339" s="11"/>
      <c r="E339" s="86"/>
      <c r="F339" s="85"/>
      <c r="G339" s="85"/>
    </row>
    <row r="340" spans="4:7" ht="13.5">
      <c r="D340" s="11"/>
      <c r="E340" s="86"/>
      <c r="F340" s="85"/>
      <c r="G340" s="85"/>
    </row>
    <row r="341" spans="4:7" ht="13.5">
      <c r="D341" s="11"/>
      <c r="E341" s="86"/>
      <c r="F341" s="85"/>
      <c r="G341" s="85"/>
    </row>
    <row r="342" spans="4:7" ht="13.5">
      <c r="D342" s="11"/>
      <c r="E342" s="86"/>
      <c r="F342" s="85"/>
      <c r="G342" s="85"/>
    </row>
    <row r="343" spans="4:7" ht="13.5">
      <c r="D343" s="11"/>
      <c r="E343" s="86"/>
      <c r="F343" s="85"/>
      <c r="G343" s="85"/>
    </row>
    <row r="344" spans="4:7" ht="13.5">
      <c r="D344" s="11"/>
      <c r="E344" s="86"/>
      <c r="F344" s="85"/>
      <c r="G344" s="85"/>
    </row>
    <row r="345" spans="4:7" ht="13.5">
      <c r="D345" s="11"/>
      <c r="E345" s="86"/>
      <c r="F345" s="85"/>
      <c r="G345" s="85"/>
    </row>
    <row r="346" spans="4:7" ht="13.5">
      <c r="D346" s="11"/>
      <c r="E346" s="86"/>
      <c r="F346" s="85"/>
      <c r="G346" s="85"/>
    </row>
    <row r="347" spans="4:7" ht="13.5">
      <c r="D347" s="11"/>
      <c r="E347" s="86"/>
      <c r="F347" s="85"/>
      <c r="G347" s="85"/>
    </row>
    <row r="348" spans="4:7" ht="13.5">
      <c r="D348" s="11"/>
      <c r="E348" s="86"/>
      <c r="F348" s="85"/>
      <c r="G348" s="85"/>
    </row>
    <row r="349" spans="4:7" ht="13.5">
      <c r="D349" s="11"/>
      <c r="E349" s="86"/>
      <c r="F349" s="85"/>
      <c r="G349" s="85"/>
    </row>
    <row r="350" spans="4:7" ht="13.5">
      <c r="D350" s="11"/>
      <c r="E350" s="86"/>
      <c r="F350" s="85"/>
      <c r="G350" s="85"/>
    </row>
    <row r="351" spans="4:7" ht="13.5">
      <c r="D351" s="11"/>
      <c r="E351" s="86"/>
      <c r="F351" s="85"/>
      <c r="G351" s="85"/>
    </row>
    <row r="352" spans="4:7" ht="13.5">
      <c r="D352" s="11"/>
      <c r="E352" s="86"/>
      <c r="F352" s="85"/>
      <c r="G352" s="85"/>
    </row>
    <row r="353" spans="4:7" ht="13.5">
      <c r="D353" s="11"/>
      <c r="E353" s="86"/>
      <c r="F353" s="85"/>
      <c r="G353" s="85"/>
    </row>
    <row r="354" spans="4:7" ht="13.5">
      <c r="D354" s="11"/>
      <c r="E354" s="86"/>
      <c r="F354" s="85"/>
      <c r="G354" s="85"/>
    </row>
    <row r="355" spans="4:7" ht="13.5">
      <c r="D355" s="11"/>
      <c r="E355" s="86"/>
      <c r="F355" s="85"/>
      <c r="G355" s="85"/>
    </row>
    <row r="356" spans="4:7" ht="13.5">
      <c r="D356" s="11"/>
      <c r="E356" s="86"/>
      <c r="F356" s="85"/>
      <c r="G356" s="85"/>
    </row>
    <row r="357" spans="4:7" ht="13.5">
      <c r="D357" s="11"/>
      <c r="E357" s="86"/>
      <c r="F357" s="85"/>
      <c r="G357" s="85"/>
    </row>
    <row r="358" spans="4:7" ht="13.5">
      <c r="D358" s="11"/>
      <c r="E358" s="86"/>
      <c r="F358" s="85"/>
      <c r="G358" s="85"/>
    </row>
    <row r="359" spans="4:7" ht="13.5">
      <c r="D359" s="11"/>
      <c r="E359" s="86"/>
      <c r="F359" s="85"/>
      <c r="G359" s="85"/>
    </row>
    <row r="360" spans="4:7" ht="13.5">
      <c r="D360" s="11"/>
      <c r="E360" s="86"/>
      <c r="F360" s="85"/>
      <c r="G360" s="85"/>
    </row>
    <row r="361" spans="4:7" ht="13.5">
      <c r="D361" s="11"/>
      <c r="E361" s="86"/>
      <c r="F361" s="85"/>
      <c r="G361" s="85"/>
    </row>
    <row r="362" spans="4:7" ht="13.5">
      <c r="D362" s="11"/>
      <c r="E362" s="86"/>
      <c r="F362" s="85"/>
      <c r="G362" s="85"/>
    </row>
    <row r="363" spans="4:7" ht="13.5">
      <c r="D363" s="11"/>
      <c r="E363" s="86"/>
      <c r="F363" s="85"/>
      <c r="G363" s="85"/>
    </row>
    <row r="364" spans="4:7" ht="13.5">
      <c r="D364" s="11"/>
      <c r="E364" s="86"/>
      <c r="F364" s="85"/>
      <c r="G364" s="85"/>
    </row>
    <row r="365" spans="4:7" ht="13.5">
      <c r="D365" s="11"/>
      <c r="E365" s="86"/>
      <c r="F365" s="85"/>
      <c r="G365" s="85"/>
    </row>
    <row r="366" spans="4:7" ht="13.5">
      <c r="D366" s="11"/>
      <c r="E366" s="86"/>
      <c r="F366" s="85"/>
      <c r="G366" s="85"/>
    </row>
    <row r="367" spans="4:7" ht="13.5">
      <c r="D367" s="11"/>
      <c r="E367" s="86"/>
      <c r="F367" s="85"/>
      <c r="G367" s="85"/>
    </row>
    <row r="368" spans="4:7" ht="13.5">
      <c r="D368" s="11"/>
      <c r="E368" s="86"/>
      <c r="F368" s="85"/>
      <c r="G368" s="85"/>
    </row>
    <row r="369" spans="4:7" ht="13.5">
      <c r="D369" s="11"/>
      <c r="E369" s="86"/>
      <c r="F369" s="85"/>
      <c r="G369" s="85"/>
    </row>
    <row r="370" spans="4:7" ht="13.5">
      <c r="D370" s="11"/>
      <c r="E370" s="86"/>
      <c r="F370" s="85"/>
      <c r="G370" s="85"/>
    </row>
    <row r="371" spans="4:7" ht="13.5">
      <c r="D371" s="11"/>
      <c r="E371" s="86"/>
      <c r="F371" s="85"/>
      <c r="G371" s="85"/>
    </row>
    <row r="372" spans="4:7" ht="13.5">
      <c r="D372" s="11"/>
      <c r="E372" s="86"/>
      <c r="F372" s="85"/>
      <c r="G372" s="85"/>
    </row>
    <row r="373" spans="4:7" ht="13.5">
      <c r="D373" s="11"/>
      <c r="E373" s="86"/>
      <c r="F373" s="85"/>
      <c r="G373" s="85"/>
    </row>
    <row r="374" spans="4:7" ht="13.5">
      <c r="D374" s="11"/>
      <c r="E374" s="86"/>
      <c r="F374" s="85"/>
      <c r="G374" s="85"/>
    </row>
    <row r="375" spans="4:7" ht="13.5">
      <c r="D375" s="11"/>
      <c r="E375" s="86"/>
      <c r="F375" s="85"/>
      <c r="G375" s="85"/>
    </row>
    <row r="376" spans="4:7" ht="13.5">
      <c r="D376" s="11"/>
      <c r="E376" s="86"/>
      <c r="F376" s="85"/>
      <c r="G376" s="85"/>
    </row>
    <row r="377" spans="4:7" ht="13.5">
      <c r="D377" s="11"/>
      <c r="E377" s="86"/>
      <c r="F377" s="85"/>
      <c r="G377" s="85"/>
    </row>
    <row r="378" spans="4:7" ht="13.5">
      <c r="D378" s="11"/>
      <c r="E378" s="86"/>
      <c r="F378" s="85"/>
      <c r="G378" s="85"/>
    </row>
    <row r="379" spans="4:7" ht="13.5">
      <c r="D379" s="11"/>
      <c r="E379" s="86"/>
      <c r="F379" s="85"/>
      <c r="G379" s="85"/>
    </row>
    <row r="380" spans="4:7" ht="13.5">
      <c r="D380" s="11"/>
      <c r="E380" s="86"/>
      <c r="F380" s="85"/>
      <c r="G380" s="85"/>
    </row>
    <row r="381" spans="4:7" ht="13.5">
      <c r="D381" s="11"/>
      <c r="E381" s="86"/>
      <c r="F381" s="85"/>
      <c r="G381" s="85"/>
    </row>
    <row r="382" spans="4:7" ht="13.5">
      <c r="D382" s="11"/>
      <c r="E382" s="86"/>
      <c r="F382" s="85"/>
      <c r="G382" s="85"/>
    </row>
    <row r="383" spans="4:7" ht="13.5">
      <c r="D383" s="11"/>
      <c r="E383" s="86"/>
      <c r="F383" s="85"/>
      <c r="G383" s="85"/>
    </row>
    <row r="384" spans="4:7" ht="13.5">
      <c r="D384" s="11"/>
      <c r="E384" s="86"/>
      <c r="F384" s="85"/>
      <c r="G384" s="85"/>
    </row>
    <row r="385" spans="4:7" ht="13.5">
      <c r="D385" s="11"/>
      <c r="E385" s="86"/>
      <c r="F385" s="85"/>
      <c r="G385" s="85"/>
    </row>
    <row r="386" spans="4:7" ht="13.5">
      <c r="D386" s="11"/>
      <c r="E386" s="86"/>
      <c r="F386" s="85"/>
      <c r="G386" s="85"/>
    </row>
    <row r="387" spans="4:7" ht="13.5">
      <c r="D387" s="11"/>
      <c r="E387" s="86"/>
      <c r="F387" s="85"/>
      <c r="G387" s="85"/>
    </row>
    <row r="388" spans="4:7" ht="13.5">
      <c r="D388" s="11"/>
      <c r="E388" s="86"/>
      <c r="F388" s="85"/>
      <c r="G388" s="85"/>
    </row>
    <row r="389" spans="4:7" ht="13.5">
      <c r="D389" s="11"/>
      <c r="E389" s="86"/>
      <c r="F389" s="85"/>
      <c r="G389" s="85"/>
    </row>
    <row r="390" spans="4:7" ht="13.5">
      <c r="D390" s="11"/>
      <c r="E390" s="86"/>
      <c r="F390" s="85"/>
      <c r="G390" s="85"/>
    </row>
    <row r="391" spans="4:7" ht="13.5">
      <c r="D391" s="11"/>
      <c r="E391" s="86"/>
      <c r="F391" s="85"/>
      <c r="G391" s="85"/>
    </row>
    <row r="392" spans="4:7" ht="13.5">
      <c r="D392" s="11"/>
      <c r="E392" s="86"/>
      <c r="F392" s="85"/>
      <c r="G392" s="85"/>
    </row>
    <row r="393" spans="4:7" ht="13.5">
      <c r="D393" s="11"/>
      <c r="E393" s="86"/>
      <c r="F393" s="85"/>
      <c r="G393" s="85"/>
    </row>
    <row r="394" spans="4:7" ht="13.5">
      <c r="D394" s="11"/>
      <c r="E394" s="86"/>
      <c r="F394" s="85"/>
      <c r="G394" s="85"/>
    </row>
    <row r="395" spans="4:7" ht="13.5">
      <c r="D395" s="11"/>
      <c r="E395" s="86"/>
      <c r="F395" s="85"/>
      <c r="G395" s="85"/>
    </row>
    <row r="396" spans="4:7" ht="13.5">
      <c r="D396" s="11"/>
      <c r="E396" s="86"/>
      <c r="F396" s="85"/>
      <c r="G396" s="85"/>
    </row>
    <row r="397" spans="4:7" ht="13.5">
      <c r="D397" s="11"/>
      <c r="E397" s="86"/>
      <c r="F397" s="85"/>
      <c r="G397" s="85"/>
    </row>
    <row r="398" spans="4:7" ht="13.5">
      <c r="D398" s="11"/>
      <c r="E398" s="86"/>
      <c r="F398" s="85"/>
      <c r="G398" s="85"/>
    </row>
    <row r="399" spans="4:7" ht="13.5">
      <c r="D399" s="11"/>
      <c r="E399" s="86"/>
      <c r="F399" s="85"/>
      <c r="G399" s="85"/>
    </row>
    <row r="400" spans="4:7" ht="13.5">
      <c r="D400" s="11"/>
      <c r="E400" s="86"/>
      <c r="F400" s="85"/>
      <c r="G400" s="85"/>
    </row>
    <row r="401" spans="4:7" ht="13.5">
      <c r="D401" s="11"/>
      <c r="E401" s="86"/>
      <c r="F401" s="85"/>
      <c r="G401" s="85"/>
    </row>
    <row r="402" spans="4:7" ht="13.5">
      <c r="D402" s="11"/>
      <c r="E402" s="86"/>
      <c r="F402" s="85"/>
      <c r="G402" s="85"/>
    </row>
    <row r="403" spans="4:7" ht="13.5">
      <c r="D403" s="11"/>
      <c r="E403" s="86"/>
      <c r="F403" s="85"/>
      <c r="G403" s="85"/>
    </row>
    <row r="404" spans="4:7" ht="13.5">
      <c r="D404" s="11"/>
      <c r="E404" s="86"/>
      <c r="F404" s="85"/>
      <c r="G404" s="85"/>
    </row>
    <row r="405" spans="4:7" ht="13.5">
      <c r="D405" s="11"/>
      <c r="E405" s="86"/>
      <c r="F405" s="85"/>
      <c r="G405" s="85"/>
    </row>
    <row r="406" spans="4:7" ht="13.5">
      <c r="D406" s="11"/>
      <c r="E406" s="86"/>
      <c r="F406" s="85"/>
      <c r="G406" s="85"/>
    </row>
    <row r="407" spans="4:7" ht="13.5">
      <c r="D407" s="11"/>
      <c r="E407" s="86"/>
      <c r="F407" s="85"/>
      <c r="G407" s="85"/>
    </row>
    <row r="408" spans="4:7" ht="13.5">
      <c r="D408" s="11"/>
      <c r="E408" s="86"/>
      <c r="F408" s="85"/>
      <c r="G408" s="85"/>
    </row>
    <row r="409" spans="4:7" ht="13.5">
      <c r="D409" s="11"/>
      <c r="E409" s="86"/>
      <c r="F409" s="85"/>
      <c r="G409" s="85"/>
    </row>
    <row r="410" spans="4:7" ht="13.5">
      <c r="D410" s="11"/>
      <c r="E410" s="86"/>
      <c r="F410" s="85"/>
      <c r="G410" s="85"/>
    </row>
    <row r="411" spans="4:7" ht="13.5">
      <c r="D411" s="11"/>
      <c r="E411" s="86"/>
      <c r="F411" s="85"/>
      <c r="G411" s="85"/>
    </row>
    <row r="412" spans="4:7" ht="13.5">
      <c r="D412" s="11"/>
      <c r="E412" s="86"/>
      <c r="F412" s="85"/>
      <c r="G412" s="85"/>
    </row>
    <row r="413" spans="4:7" ht="13.5">
      <c r="D413" s="11"/>
      <c r="E413" s="86"/>
      <c r="F413" s="85"/>
      <c r="G413" s="85"/>
    </row>
    <row r="414" spans="4:7" ht="13.5">
      <c r="D414" s="11"/>
      <c r="E414" s="86"/>
      <c r="F414" s="85"/>
      <c r="G414" s="85"/>
    </row>
    <row r="415" spans="4:7" ht="13.5">
      <c r="D415" s="11"/>
      <c r="E415" s="86"/>
      <c r="F415" s="85"/>
      <c r="G415" s="85"/>
    </row>
    <row r="416" spans="4:7" ht="13.5">
      <c r="D416" s="11"/>
      <c r="E416" s="86"/>
      <c r="F416" s="85"/>
      <c r="G416" s="85"/>
    </row>
    <row r="417" spans="4:7" ht="13.5">
      <c r="D417" s="11"/>
      <c r="E417" s="86"/>
      <c r="F417" s="85"/>
      <c r="G417" s="85"/>
    </row>
    <row r="418" spans="4:7" ht="13.5">
      <c r="D418" s="11"/>
      <c r="E418" s="86"/>
      <c r="F418" s="85"/>
      <c r="G418" s="85"/>
    </row>
    <row r="419" spans="4:7" ht="13.5">
      <c r="D419" s="11"/>
      <c r="E419" s="86"/>
      <c r="F419" s="85"/>
      <c r="G419" s="85"/>
    </row>
    <row r="420" spans="4:7" ht="13.5">
      <c r="D420" s="11"/>
      <c r="E420" s="86"/>
      <c r="F420" s="85"/>
      <c r="G420" s="85"/>
    </row>
    <row r="421" spans="4:7" ht="13.5">
      <c r="D421" s="11"/>
      <c r="E421" s="86"/>
      <c r="F421" s="85"/>
      <c r="G421" s="85"/>
    </row>
    <row r="422" spans="4:7" ht="13.5">
      <c r="D422" s="11"/>
      <c r="E422" s="86"/>
      <c r="F422" s="85"/>
      <c r="G422" s="85"/>
    </row>
    <row r="423" spans="4:7" ht="13.5">
      <c r="D423" s="11"/>
      <c r="E423" s="86"/>
      <c r="F423" s="85"/>
      <c r="G423" s="85"/>
    </row>
    <row r="424" spans="4:7" ht="13.5">
      <c r="D424" s="11"/>
      <c r="E424" s="86"/>
      <c r="F424" s="85"/>
      <c r="G424" s="85"/>
    </row>
    <row r="425" spans="4:7" ht="13.5">
      <c r="D425" s="11"/>
      <c r="E425" s="86"/>
      <c r="F425" s="85"/>
      <c r="G425" s="85"/>
    </row>
    <row r="426" spans="4:7" ht="13.5">
      <c r="D426" s="11"/>
      <c r="E426" s="86"/>
      <c r="F426" s="85"/>
      <c r="G426" s="85"/>
    </row>
    <row r="427" spans="4:7" ht="13.5">
      <c r="D427" s="11"/>
      <c r="E427" s="86"/>
      <c r="F427" s="85"/>
      <c r="G427" s="85"/>
    </row>
    <row r="428" spans="4:7" ht="13.5">
      <c r="D428" s="11"/>
      <c r="E428" s="86"/>
      <c r="F428" s="85"/>
      <c r="G428" s="85"/>
    </row>
    <row r="429" spans="4:7" ht="13.5">
      <c r="D429" s="11"/>
      <c r="E429" s="86"/>
      <c r="F429" s="85"/>
      <c r="G429" s="85"/>
    </row>
    <row r="430" spans="4:7" ht="13.5">
      <c r="D430" s="11"/>
      <c r="E430" s="86"/>
      <c r="F430" s="85"/>
      <c r="G430" s="85"/>
    </row>
    <row r="431" spans="4:7" ht="13.5">
      <c r="D431" s="11"/>
      <c r="E431" s="86"/>
      <c r="F431" s="85"/>
      <c r="G431" s="85"/>
    </row>
    <row r="432" spans="4:7" ht="13.5">
      <c r="D432" s="11"/>
      <c r="E432" s="86"/>
      <c r="F432" s="85"/>
      <c r="G432" s="85"/>
    </row>
    <row r="433" spans="4:7" ht="13.5">
      <c r="D433" s="11"/>
      <c r="E433" s="86"/>
      <c r="F433" s="85"/>
      <c r="G433" s="85"/>
    </row>
    <row r="434" spans="4:7" ht="13.5">
      <c r="D434" s="11"/>
      <c r="E434" s="86"/>
      <c r="F434" s="85"/>
      <c r="G434" s="85"/>
    </row>
    <row r="435" spans="4:7" ht="13.5">
      <c r="D435" s="11"/>
      <c r="E435" s="86"/>
      <c r="F435" s="85"/>
      <c r="G435" s="85"/>
    </row>
    <row r="436" spans="4:7" ht="13.5">
      <c r="D436" s="11"/>
      <c r="E436" s="86"/>
      <c r="F436" s="85"/>
      <c r="G436" s="85"/>
    </row>
    <row r="437" spans="4:7" ht="13.5">
      <c r="D437" s="11"/>
      <c r="E437" s="86"/>
      <c r="F437" s="85"/>
      <c r="G437" s="85"/>
    </row>
    <row r="438" spans="4:7" ht="13.5">
      <c r="D438" s="11"/>
      <c r="E438" s="86"/>
      <c r="F438" s="85"/>
      <c r="G438" s="85"/>
    </row>
    <row r="439" spans="4:7" ht="13.5">
      <c r="D439" s="11"/>
      <c r="E439" s="86"/>
      <c r="F439" s="85"/>
      <c r="G439" s="85"/>
    </row>
    <row r="440" spans="4:7" ht="13.5">
      <c r="D440" s="11"/>
      <c r="E440" s="86"/>
      <c r="F440" s="85"/>
      <c r="G440" s="85"/>
    </row>
    <row r="441" spans="4:7" ht="13.5">
      <c r="D441" s="11"/>
      <c r="E441" s="86"/>
      <c r="F441" s="85"/>
      <c r="G441" s="85"/>
    </row>
    <row r="442" spans="4:7" ht="13.5">
      <c r="D442" s="11"/>
      <c r="E442" s="86"/>
      <c r="F442" s="85"/>
      <c r="G442" s="85"/>
    </row>
    <row r="443" spans="4:7" ht="13.5">
      <c r="D443" s="11"/>
      <c r="E443" s="86"/>
      <c r="F443" s="85"/>
      <c r="G443" s="85"/>
    </row>
    <row r="444" spans="4:7" ht="13.5">
      <c r="D444" s="11"/>
      <c r="E444" s="86"/>
      <c r="F444" s="85"/>
      <c r="G444" s="85"/>
    </row>
    <row r="445" spans="4:7" ht="13.5">
      <c r="D445" s="11"/>
      <c r="E445" s="86"/>
      <c r="F445" s="85"/>
      <c r="G445" s="85"/>
    </row>
    <row r="446" spans="4:7" ht="13.5">
      <c r="D446" s="11"/>
      <c r="E446" s="86"/>
      <c r="F446" s="85"/>
      <c r="G446" s="85"/>
    </row>
    <row r="447" spans="4:7" ht="13.5">
      <c r="D447" s="11"/>
      <c r="E447" s="86"/>
      <c r="F447" s="85"/>
      <c r="G447" s="85"/>
    </row>
    <row r="448" spans="4:7" ht="13.5">
      <c r="D448" s="11"/>
      <c r="E448" s="86"/>
      <c r="F448" s="85"/>
      <c r="G448" s="85"/>
    </row>
    <row r="449" spans="4:7" ht="13.5">
      <c r="D449" s="11"/>
      <c r="E449" s="86"/>
      <c r="F449" s="85"/>
      <c r="G449" s="85"/>
    </row>
    <row r="450" spans="4:7" ht="13.5">
      <c r="D450" s="11"/>
      <c r="E450" s="86"/>
      <c r="F450" s="85"/>
      <c r="G450" s="85"/>
    </row>
    <row r="451" spans="4:7" ht="13.5">
      <c r="D451" s="11"/>
      <c r="E451" s="86"/>
      <c r="F451" s="85"/>
      <c r="G451" s="85"/>
    </row>
    <row r="452" spans="4:7" ht="13.5">
      <c r="D452" s="11"/>
      <c r="E452" s="86"/>
      <c r="F452" s="85"/>
      <c r="G452" s="85"/>
    </row>
    <row r="453" spans="4:7" ht="13.5">
      <c r="D453" s="11"/>
      <c r="E453" s="86"/>
      <c r="F453" s="85"/>
      <c r="G453" s="85"/>
    </row>
    <row r="454" spans="4:7" ht="13.5">
      <c r="D454" s="11"/>
      <c r="E454" s="86"/>
      <c r="F454" s="85"/>
      <c r="G454" s="85"/>
    </row>
    <row r="455" spans="4:7" ht="13.5">
      <c r="D455" s="11"/>
      <c r="E455" s="86"/>
      <c r="F455" s="85"/>
      <c r="G455" s="85"/>
    </row>
    <row r="456" spans="4:7" ht="13.5">
      <c r="D456" s="11"/>
      <c r="E456" s="86"/>
      <c r="F456" s="85"/>
      <c r="G456" s="85"/>
    </row>
    <row r="457" spans="4:7" ht="13.5">
      <c r="D457" s="11"/>
      <c r="E457" s="86"/>
      <c r="F457" s="85"/>
      <c r="G457" s="85"/>
    </row>
    <row r="458" spans="4:7" ht="13.5">
      <c r="D458" s="11"/>
      <c r="E458" s="86"/>
      <c r="F458" s="85"/>
      <c r="G458" s="85"/>
    </row>
    <row r="459" spans="4:7" ht="13.5">
      <c r="D459" s="11"/>
      <c r="E459" s="86"/>
      <c r="F459" s="85"/>
      <c r="G459" s="85"/>
    </row>
    <row r="460" spans="4:7" ht="13.5">
      <c r="D460" s="11"/>
      <c r="E460" s="86"/>
      <c r="F460" s="85"/>
      <c r="G460" s="85"/>
    </row>
    <row r="461" spans="4:7" ht="13.5">
      <c r="D461" s="11"/>
      <c r="E461" s="86"/>
      <c r="F461" s="85"/>
      <c r="G461" s="85"/>
    </row>
    <row r="462" spans="4:7" ht="13.5">
      <c r="D462" s="11"/>
      <c r="E462" s="86"/>
      <c r="F462" s="85"/>
      <c r="G462" s="85"/>
    </row>
    <row r="463" spans="4:7" ht="13.5">
      <c r="D463" s="11"/>
      <c r="E463" s="86"/>
      <c r="F463" s="85"/>
      <c r="G463" s="85"/>
    </row>
    <row r="464" spans="4:7" ht="13.5">
      <c r="D464" s="11"/>
      <c r="E464" s="86"/>
      <c r="F464" s="85"/>
      <c r="G464" s="85"/>
    </row>
    <row r="465" spans="4:7" ht="13.5">
      <c r="D465" s="11"/>
      <c r="E465" s="86"/>
      <c r="F465" s="85"/>
      <c r="G465" s="85"/>
    </row>
    <row r="466" spans="4:7" ht="13.5">
      <c r="D466" s="11"/>
      <c r="E466" s="86"/>
      <c r="F466" s="85"/>
      <c r="G466" s="85"/>
    </row>
    <row r="467" spans="4:7" ht="13.5">
      <c r="D467" s="11"/>
      <c r="E467" s="86"/>
      <c r="F467" s="85"/>
      <c r="G467" s="85"/>
    </row>
    <row r="468" spans="4:7" ht="13.5">
      <c r="D468" s="11"/>
      <c r="E468" s="86"/>
      <c r="F468" s="85"/>
      <c r="G468" s="85"/>
    </row>
    <row r="469" spans="4:7" ht="13.5">
      <c r="D469" s="11"/>
      <c r="E469" s="86"/>
      <c r="F469" s="85"/>
      <c r="G469" s="85"/>
    </row>
    <row r="470" spans="4:7" ht="13.5">
      <c r="D470" s="11"/>
      <c r="E470" s="86"/>
      <c r="F470" s="85"/>
      <c r="G470" s="85"/>
    </row>
    <row r="471" spans="4:7" ht="13.5">
      <c r="D471" s="11"/>
      <c r="E471" s="86"/>
      <c r="F471" s="85"/>
      <c r="G471" s="85"/>
    </row>
    <row r="472" spans="4:7" ht="13.5">
      <c r="D472" s="11"/>
      <c r="E472" s="86"/>
      <c r="F472" s="85"/>
      <c r="G472" s="85"/>
    </row>
    <row r="473" spans="4:7" ht="13.5">
      <c r="D473" s="11"/>
      <c r="E473" s="86"/>
      <c r="F473" s="85"/>
      <c r="G473" s="85"/>
    </row>
    <row r="474" spans="4:7" ht="13.5">
      <c r="D474" s="11"/>
      <c r="E474" s="86"/>
      <c r="F474" s="85"/>
      <c r="G474" s="85"/>
    </row>
    <row r="475" spans="4:7" ht="13.5">
      <c r="D475" s="11"/>
      <c r="E475" s="86"/>
      <c r="F475" s="85"/>
      <c r="G475" s="85"/>
    </row>
    <row r="476" spans="4:7" ht="13.5">
      <c r="D476" s="11"/>
      <c r="E476" s="86"/>
      <c r="F476" s="85"/>
      <c r="G476" s="85"/>
    </row>
    <row r="477" spans="4:7" ht="13.5">
      <c r="D477" s="11"/>
      <c r="E477" s="86"/>
      <c r="F477" s="85"/>
      <c r="G477" s="85"/>
    </row>
    <row r="478" spans="4:7" ht="13.5">
      <c r="D478" s="11"/>
      <c r="E478" s="86"/>
      <c r="F478" s="85"/>
      <c r="G478" s="85"/>
    </row>
    <row r="479" spans="4:7" ht="13.5">
      <c r="D479" s="11"/>
      <c r="E479" s="86"/>
      <c r="F479" s="85"/>
      <c r="G479" s="85"/>
    </row>
    <row r="480" spans="4:7" ht="13.5">
      <c r="D480" s="11"/>
      <c r="E480" s="86"/>
      <c r="F480" s="85"/>
      <c r="G480" s="85"/>
    </row>
    <row r="481" spans="4:7" ht="13.5">
      <c r="D481" s="11"/>
      <c r="E481" s="86"/>
      <c r="F481" s="85"/>
      <c r="G481" s="85"/>
    </row>
    <row r="482" spans="4:7" ht="13.5">
      <c r="D482" s="11"/>
      <c r="E482" s="86"/>
      <c r="F482" s="85"/>
      <c r="G482" s="85"/>
    </row>
    <row r="483" spans="4:7" ht="13.5">
      <c r="D483" s="11"/>
      <c r="E483" s="86"/>
      <c r="F483" s="85"/>
      <c r="G483" s="85"/>
    </row>
    <row r="484" spans="4:7" ht="13.5">
      <c r="D484" s="11"/>
      <c r="E484" s="86"/>
      <c r="F484" s="85"/>
      <c r="G484" s="85"/>
    </row>
    <row r="485" spans="4:7" ht="13.5">
      <c r="D485" s="11"/>
      <c r="E485" s="86"/>
      <c r="F485" s="85"/>
      <c r="G485" s="85"/>
    </row>
    <row r="486" spans="4:7" ht="13.5">
      <c r="D486" s="11"/>
      <c r="E486" s="86"/>
      <c r="F486" s="85"/>
      <c r="G486" s="85"/>
    </row>
    <row r="487" spans="4:7" ht="13.5">
      <c r="D487" s="11"/>
      <c r="E487" s="86"/>
      <c r="F487" s="85"/>
      <c r="G487" s="85"/>
    </row>
    <row r="488" spans="4:7" ht="13.5">
      <c r="D488" s="11"/>
      <c r="E488" s="86"/>
      <c r="F488" s="85"/>
      <c r="G488" s="85"/>
    </row>
    <row r="489" spans="4:7" ht="13.5">
      <c r="D489" s="11"/>
      <c r="E489" s="86"/>
      <c r="F489" s="85"/>
      <c r="G489" s="85"/>
    </row>
    <row r="490" spans="4:7" ht="13.5">
      <c r="D490" s="11"/>
      <c r="E490" s="86"/>
      <c r="F490" s="85"/>
      <c r="G490" s="85"/>
    </row>
    <row r="491" spans="4:7" ht="13.5">
      <c r="D491" s="11"/>
      <c r="E491" s="86"/>
      <c r="F491" s="85"/>
      <c r="G491" s="85"/>
    </row>
    <row r="492" spans="4:7" ht="13.5">
      <c r="D492" s="11"/>
      <c r="E492" s="86"/>
      <c r="F492" s="85"/>
      <c r="G492" s="85"/>
    </row>
    <row r="493" spans="4:7" ht="13.5">
      <c r="D493" s="11"/>
      <c r="E493" s="86"/>
      <c r="F493" s="85"/>
      <c r="G493" s="85"/>
    </row>
    <row r="494" spans="4:7" ht="13.5">
      <c r="D494" s="11"/>
      <c r="E494" s="86"/>
      <c r="F494" s="85"/>
      <c r="G494" s="85"/>
    </row>
    <row r="495" spans="4:7" ht="13.5">
      <c r="D495" s="11"/>
      <c r="E495" s="86"/>
      <c r="F495" s="85"/>
      <c r="G495" s="85"/>
    </row>
    <row r="496" spans="4:7" ht="13.5">
      <c r="D496" s="11"/>
      <c r="E496" s="86"/>
      <c r="F496" s="85"/>
      <c r="G496" s="85"/>
    </row>
    <row r="497" spans="4:7" ht="13.5">
      <c r="D497" s="11"/>
      <c r="E497" s="86"/>
      <c r="F497" s="85"/>
      <c r="G497" s="85"/>
    </row>
    <row r="498" spans="4:7" ht="13.5">
      <c r="D498" s="11"/>
      <c r="E498" s="86"/>
      <c r="F498" s="85"/>
      <c r="G498" s="85"/>
    </row>
    <row r="499" spans="4:7" ht="13.5">
      <c r="D499" s="11"/>
      <c r="E499" s="86"/>
      <c r="F499" s="85"/>
      <c r="G499" s="85"/>
    </row>
    <row r="500" spans="4:7" ht="13.5">
      <c r="D500" s="11"/>
      <c r="E500" s="86"/>
      <c r="F500" s="85"/>
      <c r="G500" s="85"/>
    </row>
    <row r="501" spans="4:7" ht="13.5">
      <c r="D501" s="11"/>
      <c r="E501" s="86"/>
      <c r="F501" s="85"/>
      <c r="G501" s="85"/>
    </row>
    <row r="502" spans="4:7" ht="13.5">
      <c r="D502" s="11"/>
      <c r="E502" s="86"/>
      <c r="F502" s="85"/>
      <c r="G502" s="85"/>
    </row>
    <row r="503" spans="4:7" ht="13.5">
      <c r="D503" s="11"/>
      <c r="E503" s="86"/>
      <c r="F503" s="85"/>
      <c r="G503" s="85"/>
    </row>
    <row r="504" spans="4:7" ht="13.5">
      <c r="D504" s="11"/>
      <c r="E504" s="86"/>
      <c r="F504" s="85"/>
      <c r="G504" s="85"/>
    </row>
    <row r="505" spans="4:7" ht="13.5">
      <c r="D505" s="11"/>
      <c r="E505" s="86"/>
      <c r="F505" s="85"/>
      <c r="G505" s="85"/>
    </row>
    <row r="506" spans="4:7" ht="13.5">
      <c r="D506" s="11"/>
      <c r="E506" s="86"/>
      <c r="F506" s="85"/>
      <c r="G506" s="85"/>
    </row>
    <row r="507" spans="4:7" ht="13.5">
      <c r="D507" s="11"/>
      <c r="E507" s="86"/>
      <c r="F507" s="85"/>
      <c r="G507" s="85"/>
    </row>
    <row r="508" spans="4:7" ht="13.5">
      <c r="D508" s="11"/>
      <c r="E508" s="86"/>
      <c r="F508" s="85"/>
      <c r="G508" s="85"/>
    </row>
    <row r="509" spans="4:7" ht="13.5">
      <c r="D509" s="11"/>
      <c r="E509" s="86"/>
      <c r="F509" s="85"/>
      <c r="G509" s="85"/>
    </row>
    <row r="510" spans="4:7" ht="13.5">
      <c r="D510" s="11"/>
      <c r="E510" s="86"/>
      <c r="F510" s="85"/>
      <c r="G510" s="85"/>
    </row>
    <row r="511" spans="4:7" ht="13.5">
      <c r="D511" s="11"/>
      <c r="E511" s="86"/>
      <c r="F511" s="85"/>
      <c r="G511" s="85"/>
    </row>
    <row r="512" spans="4:7" ht="13.5">
      <c r="D512" s="11"/>
      <c r="E512" s="86"/>
      <c r="F512" s="85"/>
      <c r="G512" s="85"/>
    </row>
    <row r="513" spans="4:7" ht="13.5">
      <c r="D513" s="11"/>
      <c r="E513" s="86"/>
      <c r="F513" s="85"/>
      <c r="G513" s="85"/>
    </row>
    <row r="514" spans="4:7" ht="13.5">
      <c r="D514" s="11"/>
      <c r="E514" s="86"/>
      <c r="F514" s="85"/>
      <c r="G514" s="85"/>
    </row>
    <row r="515" spans="4:7" ht="13.5">
      <c r="D515" s="11"/>
      <c r="E515" s="86"/>
      <c r="F515" s="85"/>
      <c r="G515" s="85"/>
    </row>
    <row r="516" spans="4:7" ht="13.5">
      <c r="D516" s="11"/>
      <c r="E516" s="86"/>
      <c r="F516" s="85"/>
      <c r="G516" s="85"/>
    </row>
    <row r="517" spans="4:7" ht="13.5">
      <c r="D517" s="11"/>
      <c r="E517" s="86"/>
      <c r="F517" s="85"/>
      <c r="G517" s="85"/>
    </row>
    <row r="518" spans="4:7" ht="13.5">
      <c r="D518" s="11"/>
      <c r="E518" s="86"/>
      <c r="F518" s="85"/>
      <c r="G518" s="85"/>
    </row>
    <row r="519" spans="4:7" ht="13.5">
      <c r="D519" s="11"/>
      <c r="E519" s="86"/>
      <c r="F519" s="85"/>
      <c r="G519" s="85"/>
    </row>
    <row r="520" spans="4:7" ht="13.5">
      <c r="D520" s="11"/>
      <c r="E520" s="86"/>
      <c r="F520" s="85"/>
      <c r="G520" s="85"/>
    </row>
    <row r="521" spans="4:7" ht="13.5">
      <c r="D521" s="11"/>
      <c r="E521" s="86"/>
      <c r="F521" s="85"/>
      <c r="G521" s="85"/>
    </row>
    <row r="522" spans="4:7" ht="13.5">
      <c r="D522" s="11"/>
      <c r="E522" s="86"/>
      <c r="F522" s="85"/>
      <c r="G522" s="85"/>
    </row>
    <row r="523" spans="4:7" ht="13.5">
      <c r="D523" s="11"/>
      <c r="E523" s="86"/>
      <c r="F523" s="85"/>
      <c r="G523" s="85"/>
    </row>
    <row r="524" spans="4:7" ht="13.5">
      <c r="D524" s="11"/>
      <c r="E524" s="86"/>
      <c r="F524" s="85"/>
      <c r="G524" s="85"/>
    </row>
    <row r="525" spans="4:7" ht="13.5">
      <c r="D525" s="11"/>
      <c r="E525" s="86"/>
      <c r="F525" s="85"/>
      <c r="G525" s="85"/>
    </row>
    <row r="526" spans="4:7" ht="13.5">
      <c r="D526" s="11"/>
      <c r="E526" s="86"/>
      <c r="F526" s="85"/>
      <c r="G526" s="85"/>
    </row>
    <row r="527" spans="4:7" ht="13.5">
      <c r="D527" s="11"/>
      <c r="E527" s="86"/>
      <c r="F527" s="85"/>
      <c r="G527" s="85"/>
    </row>
    <row r="528" spans="4:7" ht="13.5">
      <c r="D528" s="11"/>
      <c r="E528" s="86"/>
      <c r="F528" s="85"/>
      <c r="G528" s="85"/>
    </row>
    <row r="529" spans="4:7" ht="13.5">
      <c r="D529" s="11"/>
      <c r="E529" s="86"/>
      <c r="F529" s="85"/>
      <c r="G529" s="85"/>
    </row>
    <row r="530" spans="4:7" ht="13.5">
      <c r="D530" s="11"/>
      <c r="E530" s="86"/>
      <c r="F530" s="85"/>
      <c r="G530" s="85"/>
    </row>
    <row r="531" spans="4:7" ht="13.5">
      <c r="D531" s="11"/>
      <c r="E531" s="86"/>
      <c r="F531" s="85"/>
      <c r="G531" s="85"/>
    </row>
    <row r="532" spans="4:7" ht="13.5">
      <c r="D532" s="11"/>
      <c r="E532" s="86"/>
      <c r="F532" s="85"/>
      <c r="G532" s="85"/>
    </row>
    <row r="533" spans="4:7" ht="13.5">
      <c r="D533" s="11"/>
      <c r="E533" s="86"/>
      <c r="F533" s="85"/>
      <c r="G533" s="85"/>
    </row>
    <row r="534" spans="4:7" ht="13.5">
      <c r="D534" s="11"/>
      <c r="E534" s="86"/>
      <c r="F534" s="85"/>
      <c r="G534" s="85"/>
    </row>
    <row r="535" spans="4:7" ht="13.5">
      <c r="D535" s="11"/>
      <c r="E535" s="86"/>
      <c r="F535" s="85"/>
      <c r="G535" s="85"/>
    </row>
    <row r="536" spans="4:7" ht="13.5">
      <c r="D536" s="11"/>
      <c r="E536" s="86"/>
      <c r="F536" s="85"/>
      <c r="G536" s="85"/>
    </row>
    <row r="537" spans="4:7" ht="13.5">
      <c r="D537" s="11"/>
      <c r="E537" s="86"/>
      <c r="F537" s="85"/>
      <c r="G537" s="85"/>
    </row>
    <row r="538" spans="4:7" ht="13.5">
      <c r="D538" s="11"/>
      <c r="E538" s="86"/>
      <c r="F538" s="85"/>
      <c r="G538" s="85"/>
    </row>
    <row r="539" spans="4:7" ht="13.5">
      <c r="D539" s="11"/>
      <c r="E539" s="86"/>
      <c r="F539" s="85"/>
      <c r="G539" s="85"/>
    </row>
    <row r="540" spans="4:7" ht="13.5">
      <c r="D540" s="11"/>
      <c r="E540" s="86"/>
      <c r="F540" s="85"/>
      <c r="G540" s="85"/>
    </row>
    <row r="541" spans="4:7" ht="13.5">
      <c r="D541" s="11"/>
      <c r="E541" s="86"/>
      <c r="F541" s="85"/>
      <c r="G541" s="85"/>
    </row>
    <row r="542" spans="4:7" ht="13.5">
      <c r="D542" s="11"/>
      <c r="E542" s="86"/>
      <c r="F542" s="85"/>
      <c r="G542" s="85"/>
    </row>
    <row r="543" spans="4:7" ht="13.5">
      <c r="D543" s="11"/>
      <c r="E543" s="86"/>
      <c r="F543" s="85"/>
      <c r="G543" s="85"/>
    </row>
    <row r="544" spans="4:7" ht="13.5">
      <c r="D544" s="11"/>
      <c r="E544" s="86"/>
      <c r="F544" s="85"/>
      <c r="G544" s="85"/>
    </row>
    <row r="545" spans="4:7" ht="13.5">
      <c r="D545" s="11"/>
      <c r="E545" s="86"/>
      <c r="F545" s="85"/>
      <c r="G545" s="85"/>
    </row>
    <row r="546" spans="4:7" ht="13.5">
      <c r="D546" s="11"/>
      <c r="E546" s="86"/>
      <c r="F546" s="85"/>
      <c r="G546" s="85"/>
    </row>
    <row r="547" spans="4:7" ht="13.5">
      <c r="D547" s="11"/>
      <c r="E547" s="86"/>
      <c r="F547" s="85"/>
      <c r="G547" s="85"/>
    </row>
    <row r="548" spans="4:7" ht="13.5">
      <c r="D548" s="11"/>
      <c r="E548" s="86"/>
      <c r="F548" s="85"/>
      <c r="G548" s="85"/>
    </row>
    <row r="549" spans="4:7" ht="13.5">
      <c r="D549" s="11"/>
      <c r="E549" s="86"/>
      <c r="F549" s="85"/>
      <c r="G549" s="85"/>
    </row>
    <row r="550" spans="4:7" ht="13.5">
      <c r="D550" s="11"/>
      <c r="E550" s="86"/>
      <c r="F550" s="85"/>
      <c r="G550" s="85"/>
    </row>
    <row r="551" spans="4:7" ht="13.5">
      <c r="D551" s="11"/>
      <c r="E551" s="86"/>
      <c r="F551" s="85"/>
      <c r="G551" s="85"/>
    </row>
    <row r="552" spans="4:7" ht="13.5">
      <c r="D552" s="11"/>
      <c r="E552" s="86"/>
      <c r="F552" s="85"/>
      <c r="G552" s="85"/>
    </row>
    <row r="553" spans="4:7" ht="13.5">
      <c r="D553" s="11"/>
      <c r="E553" s="86"/>
      <c r="F553" s="85"/>
      <c r="G553" s="85"/>
    </row>
    <row r="554" spans="4:7" ht="13.5">
      <c r="D554" s="11"/>
      <c r="E554" s="86"/>
      <c r="F554" s="85"/>
      <c r="G554" s="85"/>
    </row>
    <row r="555" spans="4:7" ht="13.5">
      <c r="D555" s="11"/>
      <c r="E555" s="86"/>
      <c r="F555" s="85"/>
      <c r="G555" s="85"/>
    </row>
    <row r="556" spans="4:7" ht="13.5">
      <c r="D556" s="11"/>
      <c r="E556" s="86"/>
      <c r="F556" s="85"/>
      <c r="G556" s="85"/>
    </row>
    <row r="557" spans="4:7" ht="13.5">
      <c r="D557" s="11"/>
      <c r="E557" s="86"/>
      <c r="F557" s="85"/>
      <c r="G557" s="85"/>
    </row>
    <row r="558" spans="4:7" ht="13.5">
      <c r="D558" s="11"/>
      <c r="E558" s="86"/>
      <c r="F558" s="85"/>
      <c r="G558" s="85"/>
    </row>
    <row r="559" spans="4:7" ht="13.5">
      <c r="D559" s="11"/>
      <c r="E559" s="86"/>
      <c r="F559" s="85"/>
      <c r="G559" s="85"/>
    </row>
    <row r="560" spans="4:7" ht="13.5">
      <c r="D560" s="11"/>
      <c r="E560" s="86"/>
      <c r="F560" s="85"/>
      <c r="G560" s="85"/>
    </row>
    <row r="561" spans="4:7" ht="13.5">
      <c r="D561" s="11"/>
      <c r="E561" s="86"/>
      <c r="F561" s="85"/>
      <c r="G561" s="85"/>
    </row>
    <row r="562" spans="4:7" ht="13.5">
      <c r="D562" s="11"/>
      <c r="E562" s="86"/>
      <c r="F562" s="85"/>
      <c r="G562" s="85"/>
    </row>
    <row r="563" spans="4:7" ht="13.5">
      <c r="D563" s="11"/>
      <c r="E563" s="86"/>
      <c r="F563" s="85"/>
      <c r="G563" s="85"/>
    </row>
    <row r="564" spans="4:7" ht="13.5">
      <c r="D564" s="11"/>
      <c r="E564" s="86"/>
      <c r="F564" s="85"/>
      <c r="G564" s="85"/>
    </row>
    <row r="565" spans="4:7" ht="13.5">
      <c r="D565" s="11"/>
      <c r="E565" s="86"/>
      <c r="F565" s="85"/>
      <c r="G565" s="85"/>
    </row>
    <row r="566" spans="4:7" ht="13.5">
      <c r="D566" s="11"/>
      <c r="E566" s="86"/>
      <c r="F566" s="85"/>
      <c r="G566" s="85"/>
    </row>
    <row r="567" spans="4:7" ht="13.5">
      <c r="D567" s="11"/>
      <c r="E567" s="86"/>
      <c r="F567" s="85"/>
      <c r="G567" s="85"/>
    </row>
    <row r="568" spans="4:7" ht="13.5">
      <c r="D568" s="11"/>
      <c r="E568" s="86"/>
      <c r="F568" s="85"/>
      <c r="G568" s="85"/>
    </row>
    <row r="569" spans="4:7" ht="13.5">
      <c r="D569" s="11"/>
      <c r="E569" s="86"/>
      <c r="F569" s="85"/>
      <c r="G569" s="85"/>
    </row>
    <row r="570" spans="4:7" ht="13.5">
      <c r="D570" s="11"/>
      <c r="E570" s="86"/>
      <c r="F570" s="85"/>
      <c r="G570" s="85"/>
    </row>
    <row r="571" spans="4:7" ht="13.5">
      <c r="D571" s="11"/>
      <c r="E571" s="86"/>
      <c r="F571" s="85"/>
      <c r="G571" s="85"/>
    </row>
    <row r="572" spans="4:7" ht="13.5">
      <c r="D572" s="11"/>
      <c r="E572" s="86"/>
      <c r="F572" s="85"/>
      <c r="G572" s="85"/>
    </row>
    <row r="573" spans="4:7" ht="13.5">
      <c r="D573" s="11"/>
      <c r="E573" s="86"/>
      <c r="F573" s="85"/>
      <c r="G573" s="85"/>
    </row>
    <row r="574" spans="4:7" ht="13.5">
      <c r="D574" s="11"/>
      <c r="E574" s="86"/>
      <c r="F574" s="85"/>
      <c r="G574" s="85"/>
    </row>
    <row r="575" spans="4:7" ht="13.5">
      <c r="D575" s="11"/>
      <c r="E575" s="86"/>
      <c r="F575" s="85"/>
      <c r="G575" s="85"/>
    </row>
    <row r="576" spans="4:7" ht="13.5">
      <c r="D576" s="11"/>
      <c r="E576" s="86"/>
      <c r="F576" s="85"/>
      <c r="G576" s="85"/>
    </row>
    <row r="577" spans="4:7" ht="13.5">
      <c r="D577" s="11"/>
      <c r="E577" s="86"/>
      <c r="F577" s="85"/>
      <c r="G577" s="85"/>
    </row>
    <row r="578" spans="4:7" ht="13.5">
      <c r="D578" s="11"/>
      <c r="E578" s="86"/>
      <c r="F578" s="85"/>
      <c r="G578" s="85"/>
    </row>
    <row r="579" spans="4:7" ht="13.5">
      <c r="D579" s="11"/>
      <c r="E579" s="86"/>
      <c r="F579" s="85"/>
      <c r="G579" s="85"/>
    </row>
    <row r="580" spans="4:7" ht="13.5">
      <c r="D580" s="11"/>
      <c r="E580" s="86"/>
      <c r="F580" s="85"/>
      <c r="G580" s="85"/>
    </row>
    <row r="581" spans="4:7" ht="13.5">
      <c r="D581" s="11"/>
      <c r="E581" s="86"/>
      <c r="F581" s="85"/>
      <c r="G581" s="85"/>
    </row>
    <row r="582" spans="4:7" ht="13.5">
      <c r="D582" s="11"/>
      <c r="E582" s="86"/>
      <c r="F582" s="85"/>
      <c r="G582" s="85"/>
    </row>
    <row r="583" spans="4:7" ht="13.5">
      <c r="D583" s="11"/>
      <c r="E583" s="86"/>
      <c r="F583" s="85"/>
      <c r="G583" s="85"/>
    </row>
    <row r="584" spans="4:7" ht="13.5">
      <c r="D584" s="11"/>
      <c r="E584" s="86"/>
      <c r="F584" s="85"/>
      <c r="G584" s="85"/>
    </row>
    <row r="585" spans="4:7" ht="13.5">
      <c r="D585" s="11"/>
      <c r="E585" s="86"/>
      <c r="F585" s="85"/>
      <c r="G585" s="85"/>
    </row>
    <row r="586" spans="4:7" ht="13.5">
      <c r="D586" s="11"/>
      <c r="E586" s="86"/>
      <c r="F586" s="85"/>
      <c r="G586" s="85"/>
    </row>
    <row r="587" spans="4:7" ht="13.5">
      <c r="D587" s="11"/>
      <c r="E587" s="86"/>
      <c r="F587" s="85"/>
      <c r="G587" s="85"/>
    </row>
    <row r="588" spans="4:7" ht="13.5">
      <c r="D588" s="11"/>
      <c r="E588" s="86"/>
      <c r="F588" s="85"/>
      <c r="G588" s="85"/>
    </row>
    <row r="589" spans="4:7" ht="13.5">
      <c r="D589" s="11"/>
      <c r="E589" s="86"/>
      <c r="F589" s="85"/>
      <c r="G589" s="85"/>
    </row>
    <row r="590" spans="4:7" ht="13.5">
      <c r="D590" s="11"/>
      <c r="E590" s="86"/>
      <c r="F590" s="85"/>
      <c r="G590" s="85"/>
    </row>
    <row r="591" spans="4:7" ht="13.5">
      <c r="D591" s="11"/>
      <c r="E591" s="86"/>
      <c r="F591" s="85"/>
      <c r="G591" s="85"/>
    </row>
    <row r="592" spans="4:7" ht="13.5">
      <c r="D592" s="11"/>
      <c r="E592" s="86"/>
      <c r="F592" s="85"/>
      <c r="G592" s="85"/>
    </row>
    <row r="593" spans="4:7" ht="13.5">
      <c r="D593" s="11"/>
      <c r="E593" s="86"/>
      <c r="F593" s="85"/>
      <c r="G593" s="85"/>
    </row>
    <row r="594" spans="4:7" ht="13.5">
      <c r="D594" s="11"/>
      <c r="E594" s="86"/>
      <c r="F594" s="85"/>
      <c r="G594" s="85"/>
    </row>
    <row r="595" spans="4:7" ht="13.5">
      <c r="D595" s="11"/>
      <c r="E595" s="86"/>
      <c r="F595" s="85"/>
      <c r="G595" s="85"/>
    </row>
    <row r="596" spans="4:7" ht="13.5">
      <c r="D596" s="11"/>
      <c r="E596" s="86"/>
      <c r="F596" s="85"/>
      <c r="G596" s="85"/>
    </row>
    <row r="597" spans="4:7" ht="13.5">
      <c r="D597" s="11"/>
      <c r="E597" s="86"/>
      <c r="F597" s="85"/>
      <c r="G597" s="85"/>
    </row>
    <row r="598" spans="4:7" ht="13.5">
      <c r="D598" s="11"/>
      <c r="E598" s="86"/>
      <c r="F598" s="85"/>
      <c r="G598" s="85"/>
    </row>
    <row r="599" spans="4:7" ht="13.5">
      <c r="D599" s="11"/>
      <c r="E599" s="86"/>
      <c r="F599" s="85"/>
      <c r="G599" s="85"/>
    </row>
    <row r="600" spans="4:7" ht="13.5">
      <c r="D600" s="11"/>
      <c r="E600" s="86"/>
      <c r="F600" s="85"/>
      <c r="G600" s="85"/>
    </row>
    <row r="601" spans="4:7" ht="13.5">
      <c r="D601" s="11"/>
      <c r="E601" s="86"/>
      <c r="F601" s="85"/>
      <c r="G601" s="85"/>
    </row>
    <row r="602" spans="4:7" ht="13.5">
      <c r="D602" s="11"/>
      <c r="E602" s="86"/>
      <c r="F602" s="85"/>
      <c r="G602" s="85"/>
    </row>
    <row r="603" spans="4:7" ht="13.5">
      <c r="D603" s="11"/>
      <c r="E603" s="86"/>
      <c r="F603" s="85"/>
      <c r="G603" s="85"/>
    </row>
    <row r="604" spans="4:7" ht="13.5">
      <c r="D604" s="11"/>
      <c r="E604" s="86"/>
      <c r="F604" s="85"/>
      <c r="G604" s="85"/>
    </row>
    <row r="605" spans="4:7" ht="13.5">
      <c r="D605" s="11"/>
      <c r="E605" s="86"/>
      <c r="F605" s="85"/>
      <c r="G605" s="85"/>
    </row>
    <row r="606" spans="4:7" ht="13.5">
      <c r="D606" s="11"/>
      <c r="E606" s="86"/>
      <c r="F606" s="85"/>
      <c r="G606" s="85"/>
    </row>
    <row r="607" spans="4:7" ht="13.5">
      <c r="D607" s="11"/>
      <c r="E607" s="86"/>
      <c r="F607" s="85"/>
      <c r="G607" s="85"/>
    </row>
    <row r="608" spans="4:7" ht="13.5">
      <c r="D608" s="11"/>
      <c r="E608" s="86"/>
      <c r="F608" s="85"/>
      <c r="G608" s="85"/>
    </row>
    <row r="609" spans="4:7" ht="13.5">
      <c r="D609" s="11"/>
      <c r="E609" s="86"/>
      <c r="F609" s="85"/>
      <c r="G609" s="85"/>
    </row>
    <row r="610" spans="4:7" ht="13.5">
      <c r="D610" s="11"/>
      <c r="E610" s="86"/>
      <c r="F610" s="85"/>
      <c r="G610" s="85"/>
    </row>
    <row r="611" spans="4:7" ht="13.5">
      <c r="D611" s="11"/>
      <c r="E611" s="86"/>
      <c r="F611" s="85"/>
      <c r="G611" s="85"/>
    </row>
    <row r="612" spans="4:7" ht="13.5">
      <c r="D612" s="11"/>
      <c r="E612" s="86"/>
      <c r="F612" s="85"/>
      <c r="G612" s="85"/>
    </row>
    <row r="613" spans="4:7" ht="13.5">
      <c r="D613" s="11"/>
      <c r="E613" s="86"/>
      <c r="F613" s="85"/>
      <c r="G613" s="85"/>
    </row>
    <row r="614" spans="4:7" ht="13.5">
      <c r="D614" s="11"/>
      <c r="E614" s="86"/>
      <c r="F614" s="85"/>
      <c r="G614" s="85"/>
    </row>
    <row r="615" spans="4:7" ht="13.5">
      <c r="D615" s="11"/>
      <c r="E615" s="86"/>
      <c r="F615" s="85"/>
      <c r="G615" s="85"/>
    </row>
    <row r="616" spans="4:7" ht="13.5">
      <c r="D616" s="11"/>
      <c r="E616" s="86"/>
      <c r="F616" s="85"/>
      <c r="G616" s="85"/>
    </row>
    <row r="617" spans="4:7" ht="13.5">
      <c r="D617" s="11"/>
      <c r="E617" s="86"/>
      <c r="F617" s="85"/>
      <c r="G617" s="85"/>
    </row>
    <row r="618" spans="4:7" ht="13.5">
      <c r="D618" s="11"/>
      <c r="E618" s="86"/>
      <c r="F618" s="85"/>
      <c r="G618" s="85"/>
    </row>
    <row r="619" spans="4:7" ht="13.5">
      <c r="D619" s="11"/>
      <c r="E619" s="86"/>
      <c r="F619" s="85"/>
      <c r="G619" s="85"/>
    </row>
    <row r="620" spans="4:7" ht="13.5">
      <c r="D620" s="11"/>
      <c r="E620" s="86"/>
      <c r="F620" s="85"/>
      <c r="G620" s="85"/>
    </row>
    <row r="621" spans="4:7" ht="13.5">
      <c r="D621" s="11"/>
      <c r="E621" s="86"/>
      <c r="F621" s="85"/>
      <c r="G621" s="85"/>
    </row>
    <row r="622" spans="4:7" ht="13.5">
      <c r="D622" s="11"/>
      <c r="E622" s="86"/>
      <c r="F622" s="85"/>
      <c r="G622" s="85"/>
    </row>
    <row r="623" spans="4:7" ht="13.5">
      <c r="D623" s="11"/>
      <c r="E623" s="86"/>
      <c r="F623" s="85"/>
      <c r="G623" s="85"/>
    </row>
    <row r="624" spans="4:7" ht="13.5">
      <c r="D624" s="11"/>
      <c r="E624" s="86"/>
      <c r="F624" s="85"/>
      <c r="G624" s="85"/>
    </row>
    <row r="625" spans="4:7" ht="13.5">
      <c r="D625" s="11"/>
      <c r="E625" s="86"/>
      <c r="F625" s="85"/>
      <c r="G625" s="85"/>
    </row>
    <row r="626" spans="4:7" ht="13.5">
      <c r="D626" s="11"/>
      <c r="E626" s="86"/>
      <c r="F626" s="85"/>
      <c r="G626" s="85"/>
    </row>
    <row r="627" spans="4:7" ht="13.5">
      <c r="D627" s="11"/>
      <c r="E627" s="86"/>
      <c r="F627" s="85"/>
      <c r="G627" s="85"/>
    </row>
    <row r="628" spans="4:7" ht="13.5">
      <c r="D628" s="11"/>
      <c r="E628" s="86"/>
      <c r="F628" s="85"/>
      <c r="G628" s="85"/>
    </row>
    <row r="629" spans="4:7" ht="13.5">
      <c r="D629" s="11"/>
      <c r="E629" s="86"/>
      <c r="F629" s="85"/>
      <c r="G629" s="85"/>
    </row>
    <row r="630" spans="4:7" ht="13.5">
      <c r="D630" s="11"/>
      <c r="E630" s="86"/>
      <c r="F630" s="85"/>
      <c r="G630" s="85"/>
    </row>
    <row r="631" spans="4:7" ht="13.5">
      <c r="D631" s="11"/>
      <c r="E631" s="86"/>
      <c r="F631" s="85"/>
      <c r="G631" s="85"/>
    </row>
    <row r="632" spans="4:7" ht="13.5">
      <c r="D632" s="11"/>
      <c r="E632" s="86"/>
      <c r="F632" s="85"/>
      <c r="G632" s="85"/>
    </row>
    <row r="633" spans="4:7" ht="13.5">
      <c r="D633" s="11"/>
      <c r="E633" s="86"/>
      <c r="F633" s="85"/>
      <c r="G633" s="85"/>
    </row>
    <row r="634" spans="4:7" ht="13.5">
      <c r="D634" s="11"/>
      <c r="E634" s="86"/>
      <c r="F634" s="85"/>
      <c r="G634" s="85"/>
    </row>
    <row r="635" spans="4:7" ht="13.5">
      <c r="D635" s="11"/>
      <c r="E635" s="86"/>
      <c r="F635" s="85"/>
      <c r="G635" s="85"/>
    </row>
    <row r="636" spans="4:7" ht="13.5">
      <c r="D636" s="11"/>
      <c r="E636" s="86"/>
      <c r="F636" s="85"/>
      <c r="G636" s="85"/>
    </row>
    <row r="637" spans="4:7" ht="13.5">
      <c r="D637" s="11"/>
      <c r="E637" s="86"/>
      <c r="F637" s="85"/>
      <c r="G637" s="85"/>
    </row>
    <row r="638" spans="4:7" ht="13.5">
      <c r="D638" s="11"/>
      <c r="E638" s="86"/>
      <c r="F638" s="85"/>
      <c r="G638" s="85"/>
    </row>
    <row r="639" spans="4:7" ht="13.5">
      <c r="D639" s="11"/>
      <c r="E639" s="86"/>
      <c r="F639" s="85"/>
      <c r="G639" s="85"/>
    </row>
    <row r="640" spans="4:7" ht="13.5">
      <c r="D640" s="11"/>
      <c r="E640" s="86"/>
      <c r="F640" s="85"/>
      <c r="G640" s="85"/>
    </row>
    <row r="641" spans="4:7" ht="13.5">
      <c r="D641" s="11"/>
      <c r="E641" s="86"/>
      <c r="F641" s="85"/>
      <c r="G641" s="85"/>
    </row>
    <row r="642" spans="4:7" ht="13.5">
      <c r="D642" s="11"/>
      <c r="E642" s="86"/>
      <c r="F642" s="85"/>
      <c r="G642" s="85"/>
    </row>
    <row r="643" spans="4:7" ht="13.5">
      <c r="D643" s="11"/>
      <c r="E643" s="86"/>
      <c r="F643" s="85"/>
      <c r="G643" s="85"/>
    </row>
    <row r="644" spans="4:7" ht="13.5">
      <c r="D644" s="11"/>
      <c r="E644" s="86"/>
      <c r="F644" s="85"/>
      <c r="G644" s="85"/>
    </row>
    <row r="645" spans="4:7" ht="13.5">
      <c r="D645" s="11"/>
      <c r="E645" s="86"/>
      <c r="F645" s="85"/>
      <c r="G645" s="85"/>
    </row>
    <row r="646" spans="4:7" ht="13.5">
      <c r="D646" s="11"/>
      <c r="E646" s="86"/>
      <c r="F646" s="85"/>
      <c r="G646" s="85"/>
    </row>
    <row r="647" spans="4:7" ht="13.5">
      <c r="D647" s="11"/>
      <c r="E647" s="86"/>
      <c r="F647" s="85"/>
      <c r="G647" s="85"/>
    </row>
    <row r="648" spans="4:7" ht="13.5">
      <c r="D648" s="11"/>
      <c r="E648" s="86"/>
      <c r="F648" s="85"/>
      <c r="G648" s="85"/>
    </row>
    <row r="649" spans="4:7" ht="13.5">
      <c r="D649" s="11"/>
      <c r="E649" s="86"/>
      <c r="F649" s="85"/>
      <c r="G649" s="85"/>
    </row>
    <row r="650" spans="4:7" ht="13.5">
      <c r="D650" s="11"/>
      <c r="E650" s="86"/>
      <c r="F650" s="85"/>
      <c r="G650" s="85"/>
    </row>
    <row r="651" spans="4:7" ht="13.5">
      <c r="D651" s="11"/>
      <c r="E651" s="86"/>
      <c r="F651" s="85"/>
      <c r="G651" s="85"/>
    </row>
    <row r="652" spans="4:7" ht="13.5">
      <c r="D652" s="11"/>
      <c r="E652" s="86"/>
      <c r="F652" s="85"/>
      <c r="G652" s="85"/>
    </row>
    <row r="653" spans="4:7" ht="13.5">
      <c r="D653" s="11"/>
      <c r="E653" s="86"/>
      <c r="F653" s="85"/>
      <c r="G653" s="85"/>
    </row>
    <row r="654" spans="4:7" ht="13.5">
      <c r="D654" s="11"/>
      <c r="E654" s="86"/>
      <c r="F654" s="85"/>
      <c r="G654" s="85"/>
    </row>
    <row r="655" spans="4:7" ht="13.5">
      <c r="D655" s="11"/>
      <c r="E655" s="86"/>
      <c r="F655" s="85"/>
      <c r="G655" s="85"/>
    </row>
    <row r="656" spans="4:7" ht="13.5">
      <c r="D656" s="11"/>
      <c r="E656" s="86"/>
      <c r="F656" s="85"/>
      <c r="G656" s="85"/>
    </row>
    <row r="657" spans="4:7" ht="13.5">
      <c r="D657" s="11"/>
      <c r="E657" s="86"/>
      <c r="F657" s="85"/>
      <c r="G657" s="85"/>
    </row>
    <row r="658" spans="4:7" ht="13.5">
      <c r="D658" s="11"/>
      <c r="E658" s="86"/>
      <c r="F658" s="85"/>
      <c r="G658" s="85"/>
    </row>
    <row r="659" spans="4:7" ht="13.5">
      <c r="D659" s="11"/>
      <c r="E659" s="86"/>
      <c r="F659" s="85"/>
      <c r="G659" s="85"/>
    </row>
    <row r="660" spans="4:7" ht="13.5">
      <c r="D660" s="11"/>
      <c r="E660" s="86"/>
      <c r="F660" s="85"/>
      <c r="G660" s="85"/>
    </row>
    <row r="661" spans="4:7" ht="13.5">
      <c r="D661" s="11"/>
      <c r="E661" s="86"/>
      <c r="F661" s="85"/>
      <c r="G661" s="85"/>
    </row>
    <row r="662" spans="4:7" ht="13.5">
      <c r="D662" s="11"/>
      <c r="E662" s="86"/>
      <c r="F662" s="85"/>
      <c r="G662" s="85"/>
    </row>
    <row r="663" spans="4:7" ht="13.5">
      <c r="D663" s="11"/>
      <c r="E663" s="86"/>
      <c r="F663" s="85"/>
      <c r="G663" s="85"/>
    </row>
    <row r="664" spans="4:7" ht="13.5">
      <c r="D664" s="11"/>
      <c r="E664" s="86"/>
      <c r="F664" s="85"/>
      <c r="G664" s="85"/>
    </row>
    <row r="665" spans="4:7" ht="13.5">
      <c r="D665" s="11"/>
      <c r="E665" s="86"/>
      <c r="F665" s="85"/>
      <c r="G665" s="85"/>
    </row>
    <row r="666" spans="4:7" ht="13.5">
      <c r="D666" s="11"/>
      <c r="E666" s="86"/>
      <c r="F666" s="85"/>
      <c r="G666" s="85"/>
    </row>
    <row r="667" spans="4:7" ht="13.5">
      <c r="D667" s="11"/>
      <c r="E667" s="86"/>
      <c r="F667" s="85"/>
      <c r="G667" s="85"/>
    </row>
    <row r="668" spans="4:7" ht="13.5">
      <c r="D668" s="11"/>
      <c r="E668" s="86"/>
      <c r="F668" s="85"/>
      <c r="G668" s="85"/>
    </row>
    <row r="669" spans="4:7" ht="13.5">
      <c r="D669" s="11"/>
      <c r="E669" s="86"/>
      <c r="F669" s="85"/>
      <c r="G669" s="85"/>
    </row>
    <row r="670" spans="4:7" ht="13.5">
      <c r="D670" s="11"/>
      <c r="E670" s="86"/>
      <c r="F670" s="85"/>
      <c r="G670" s="85"/>
    </row>
    <row r="671" spans="4:7" ht="13.5">
      <c r="D671" s="11"/>
      <c r="E671" s="86"/>
      <c r="F671" s="85"/>
      <c r="G671" s="85"/>
    </row>
    <row r="672" spans="4:7" ht="13.5">
      <c r="D672" s="11"/>
      <c r="E672" s="86"/>
      <c r="F672" s="85"/>
      <c r="G672" s="85"/>
    </row>
    <row r="673" spans="4:7" ht="13.5">
      <c r="D673" s="11"/>
      <c r="E673" s="86"/>
      <c r="F673" s="85"/>
      <c r="G673" s="85"/>
    </row>
    <row r="674" spans="4:7" ht="13.5">
      <c r="D674" s="11"/>
      <c r="E674" s="86"/>
      <c r="F674" s="85"/>
      <c r="G674" s="85"/>
    </row>
    <row r="675" spans="4:7" ht="13.5">
      <c r="D675" s="11"/>
      <c r="E675" s="86"/>
      <c r="F675" s="85"/>
      <c r="G675" s="85"/>
    </row>
    <row r="676" spans="4:7" ht="13.5">
      <c r="D676" s="11"/>
      <c r="E676" s="86"/>
      <c r="F676" s="85"/>
      <c r="G676" s="85"/>
    </row>
    <row r="677" spans="4:7" ht="13.5">
      <c r="D677" s="11"/>
      <c r="E677" s="86"/>
      <c r="F677" s="85"/>
      <c r="G677" s="85"/>
    </row>
    <row r="678" spans="4:7" ht="13.5">
      <c r="D678" s="11"/>
      <c r="E678" s="86"/>
      <c r="F678" s="85"/>
      <c r="G678" s="85"/>
    </row>
    <row r="679" spans="4:7" ht="13.5">
      <c r="D679" s="11"/>
      <c r="E679" s="86"/>
      <c r="F679" s="85"/>
      <c r="G679" s="85"/>
    </row>
    <row r="680" spans="4:7" ht="13.5">
      <c r="D680" s="11"/>
      <c r="E680" s="86"/>
      <c r="F680" s="85"/>
      <c r="G680" s="85"/>
    </row>
    <row r="681" spans="4:7" ht="13.5">
      <c r="D681" s="11"/>
      <c r="E681" s="86"/>
      <c r="F681" s="85"/>
      <c r="G681" s="85"/>
    </row>
    <row r="682" spans="4:7" ht="13.5">
      <c r="D682" s="11"/>
      <c r="E682" s="86"/>
      <c r="F682" s="85"/>
      <c r="G682" s="85"/>
    </row>
    <row r="683" spans="4:7" ht="13.5">
      <c r="D683" s="11"/>
      <c r="E683" s="86"/>
      <c r="F683" s="85"/>
      <c r="G683" s="85"/>
    </row>
    <row r="684" spans="4:7" ht="13.5">
      <c r="D684" s="11"/>
      <c r="E684" s="86"/>
      <c r="F684" s="85"/>
      <c r="G684" s="85"/>
    </row>
    <row r="685" spans="4:7" ht="13.5">
      <c r="D685" s="11"/>
      <c r="E685" s="86"/>
      <c r="F685" s="85"/>
      <c r="G685" s="85"/>
    </row>
    <row r="686" spans="4:7" ht="13.5">
      <c r="D686" s="11"/>
      <c r="E686" s="86"/>
      <c r="F686" s="85"/>
      <c r="G686" s="85"/>
    </row>
    <row r="687" spans="4:7" ht="13.5">
      <c r="D687" s="11"/>
      <c r="E687" s="86"/>
      <c r="F687" s="85"/>
      <c r="G687" s="85"/>
    </row>
    <row r="688" spans="4:7" ht="13.5">
      <c r="D688" s="11"/>
      <c r="E688" s="86"/>
      <c r="F688" s="85"/>
      <c r="G688" s="85"/>
    </row>
    <row r="689" spans="4:7" ht="13.5">
      <c r="D689" s="11"/>
      <c r="E689" s="86"/>
      <c r="F689" s="85"/>
      <c r="G689" s="85"/>
    </row>
    <row r="690" spans="4:7" ht="13.5">
      <c r="D690" s="11"/>
      <c r="E690" s="86"/>
      <c r="F690" s="85"/>
      <c r="G690" s="85"/>
    </row>
    <row r="691" spans="4:7" ht="13.5">
      <c r="D691" s="11"/>
      <c r="E691" s="86"/>
      <c r="F691" s="85"/>
      <c r="G691" s="85"/>
    </row>
    <row r="692" spans="4:7" ht="13.5">
      <c r="D692" s="11"/>
      <c r="E692" s="86"/>
      <c r="F692" s="85"/>
      <c r="G692" s="85"/>
    </row>
    <row r="693" spans="4:7" ht="13.5">
      <c r="D693" s="11"/>
      <c r="E693" s="86"/>
      <c r="F693" s="85"/>
      <c r="G693" s="85"/>
    </row>
    <row r="694" spans="4:7" ht="13.5">
      <c r="D694" s="11"/>
      <c r="E694" s="86"/>
      <c r="F694" s="85"/>
      <c r="G694" s="85"/>
    </row>
    <row r="695" spans="4:7" ht="13.5">
      <c r="D695" s="11"/>
      <c r="E695" s="86"/>
      <c r="F695" s="85"/>
      <c r="G695" s="85"/>
    </row>
    <row r="696" spans="4:7" ht="13.5">
      <c r="D696" s="11"/>
      <c r="E696" s="86"/>
      <c r="F696" s="85"/>
      <c r="G696" s="85"/>
    </row>
    <row r="697" spans="4:7" ht="13.5">
      <c r="D697" s="11"/>
      <c r="E697" s="86"/>
      <c r="F697" s="85"/>
      <c r="G697" s="85"/>
    </row>
    <row r="698" spans="4:7" ht="13.5">
      <c r="D698" s="11"/>
      <c r="E698" s="86"/>
      <c r="F698" s="85"/>
      <c r="G698" s="85"/>
    </row>
    <row r="699" spans="4:7" ht="13.5">
      <c r="D699" s="11"/>
      <c r="E699" s="86"/>
      <c r="F699" s="85"/>
      <c r="G699" s="85"/>
    </row>
    <row r="700" spans="4:7" ht="13.5">
      <c r="D700" s="11"/>
      <c r="E700" s="86"/>
      <c r="F700" s="85"/>
      <c r="G700" s="85"/>
    </row>
    <row r="701" spans="4:7" ht="13.5">
      <c r="D701" s="11"/>
      <c r="E701" s="86"/>
      <c r="F701" s="85"/>
      <c r="G701" s="85"/>
    </row>
    <row r="702" spans="4:7" ht="13.5">
      <c r="D702" s="11"/>
      <c r="E702" s="86"/>
      <c r="F702" s="85"/>
      <c r="G702" s="85"/>
    </row>
    <row r="703" spans="4:7" ht="13.5">
      <c r="D703" s="11"/>
      <c r="E703" s="86"/>
      <c r="F703" s="85"/>
      <c r="G703" s="85"/>
    </row>
    <row r="704" spans="4:7" ht="13.5">
      <c r="D704" s="11"/>
      <c r="E704" s="86"/>
      <c r="F704" s="85"/>
      <c r="G704" s="85"/>
    </row>
    <row r="705" spans="4:7" ht="13.5">
      <c r="D705" s="11"/>
      <c r="E705" s="86"/>
      <c r="F705" s="85"/>
      <c r="G705" s="85"/>
    </row>
    <row r="706" spans="4:7" ht="13.5">
      <c r="D706" s="11"/>
      <c r="E706" s="86"/>
      <c r="F706" s="85"/>
      <c r="G706" s="85"/>
    </row>
    <row r="707" spans="4:7" ht="13.5">
      <c r="D707" s="11"/>
      <c r="E707" s="86"/>
      <c r="F707" s="85"/>
      <c r="G707" s="85"/>
    </row>
    <row r="708" spans="4:7" ht="13.5">
      <c r="D708" s="11"/>
      <c r="E708" s="86"/>
      <c r="F708" s="85"/>
      <c r="G708" s="85"/>
    </row>
    <row r="709" spans="4:7" ht="13.5">
      <c r="D709" s="11"/>
      <c r="E709" s="86"/>
      <c r="F709" s="85"/>
      <c r="G709" s="85"/>
    </row>
    <row r="710" spans="4:7" ht="13.5">
      <c r="D710" s="11"/>
      <c r="E710" s="86"/>
      <c r="F710" s="85"/>
      <c r="G710" s="85"/>
    </row>
    <row r="711" spans="4:7" ht="13.5">
      <c r="D711" s="11"/>
      <c r="E711" s="86"/>
      <c r="F711" s="85"/>
      <c r="G711" s="85"/>
    </row>
    <row r="712" spans="4:7" ht="13.5">
      <c r="D712" s="11"/>
      <c r="E712" s="86"/>
      <c r="F712" s="85"/>
      <c r="G712" s="85"/>
    </row>
    <row r="713" spans="4:7" ht="13.5">
      <c r="D713" s="11"/>
      <c r="E713" s="86"/>
      <c r="F713" s="85"/>
      <c r="G713" s="85"/>
    </row>
    <row r="714" spans="4:7" ht="13.5">
      <c r="D714" s="11"/>
      <c r="E714" s="86"/>
      <c r="F714" s="85"/>
      <c r="G714" s="85"/>
    </row>
    <row r="715" spans="4:7" ht="13.5">
      <c r="D715" s="11"/>
      <c r="E715" s="86"/>
      <c r="F715" s="85"/>
      <c r="G715" s="85"/>
    </row>
    <row r="716" spans="4:7" ht="13.5">
      <c r="D716" s="11"/>
      <c r="E716" s="86"/>
      <c r="F716" s="85"/>
      <c r="G716" s="85"/>
    </row>
    <row r="717" spans="4:7" ht="13.5">
      <c r="D717" s="11"/>
      <c r="E717" s="86"/>
      <c r="F717" s="85"/>
      <c r="G717" s="85"/>
    </row>
    <row r="718" spans="4:7" ht="13.5">
      <c r="D718" s="11"/>
      <c r="E718" s="86"/>
      <c r="F718" s="85"/>
      <c r="G718" s="85"/>
    </row>
    <row r="719" spans="4:7" ht="13.5">
      <c r="D719" s="11"/>
      <c r="E719" s="86"/>
      <c r="F719" s="85"/>
      <c r="G719" s="85"/>
    </row>
    <row r="720" spans="4:7" ht="13.5">
      <c r="D720" s="11"/>
      <c r="E720" s="86"/>
      <c r="F720" s="85"/>
      <c r="G720" s="85"/>
    </row>
    <row r="721" spans="4:7" ht="13.5">
      <c r="D721" s="11"/>
      <c r="E721" s="86"/>
      <c r="F721" s="85"/>
      <c r="G721" s="85"/>
    </row>
    <row r="722" spans="4:7" ht="13.5">
      <c r="D722" s="11"/>
      <c r="E722" s="86"/>
      <c r="F722" s="85"/>
      <c r="G722" s="85"/>
    </row>
    <row r="723" spans="4:7" ht="13.5">
      <c r="D723" s="11"/>
      <c r="E723" s="86"/>
      <c r="F723" s="85"/>
      <c r="G723" s="85"/>
    </row>
    <row r="724" spans="4:7" ht="13.5">
      <c r="D724" s="11"/>
      <c r="E724" s="86"/>
      <c r="F724" s="85"/>
      <c r="G724" s="85"/>
    </row>
    <row r="725" spans="4:7" ht="13.5">
      <c r="D725" s="11"/>
      <c r="E725" s="86"/>
      <c r="F725" s="85"/>
      <c r="G725" s="85"/>
    </row>
    <row r="726" spans="4:7" ht="13.5">
      <c r="D726" s="11"/>
      <c r="E726" s="86"/>
      <c r="F726" s="85"/>
      <c r="G726" s="85"/>
    </row>
    <row r="727" spans="4:7" ht="13.5">
      <c r="D727" s="11"/>
      <c r="E727" s="86"/>
      <c r="F727" s="85"/>
      <c r="G727" s="85"/>
    </row>
    <row r="728" spans="4:7" ht="13.5">
      <c r="D728" s="11"/>
      <c r="E728" s="86"/>
      <c r="F728" s="85"/>
      <c r="G728" s="85"/>
    </row>
    <row r="729" spans="4:7" ht="13.5">
      <c r="D729" s="11"/>
      <c r="E729" s="86"/>
      <c r="F729" s="85"/>
      <c r="G729" s="85"/>
    </row>
    <row r="730" spans="4:7" ht="13.5">
      <c r="D730" s="11"/>
      <c r="E730" s="86"/>
      <c r="F730" s="85"/>
      <c r="G730" s="85"/>
    </row>
    <row r="731" spans="4:7" ht="13.5">
      <c r="D731" s="11"/>
      <c r="E731" s="86"/>
      <c r="F731" s="85"/>
      <c r="G731" s="85"/>
    </row>
    <row r="732" spans="4:7" ht="13.5">
      <c r="D732" s="11"/>
      <c r="E732" s="86"/>
      <c r="F732" s="85"/>
      <c r="G732" s="85"/>
    </row>
    <row r="733" spans="4:7" ht="13.5">
      <c r="D733" s="11"/>
      <c r="E733" s="86"/>
      <c r="F733" s="85"/>
      <c r="G733" s="85"/>
    </row>
    <row r="734" spans="4:7" ht="13.5">
      <c r="D734" s="11"/>
      <c r="E734" s="86"/>
      <c r="F734" s="85"/>
      <c r="G734" s="85"/>
    </row>
    <row r="735" spans="4:7" ht="13.5">
      <c r="D735" s="11"/>
      <c r="E735" s="86"/>
      <c r="F735" s="85"/>
      <c r="G735" s="85"/>
    </row>
    <row r="736" spans="4:7" ht="13.5">
      <c r="D736" s="11"/>
      <c r="E736" s="86"/>
      <c r="F736" s="85"/>
      <c r="G736" s="85"/>
    </row>
    <row r="737" spans="4:7" ht="13.5">
      <c r="D737" s="11"/>
      <c r="E737" s="86"/>
      <c r="F737" s="85"/>
      <c r="G737" s="85"/>
    </row>
    <row r="738" spans="4:7" ht="13.5">
      <c r="D738" s="11"/>
      <c r="E738" s="86"/>
      <c r="F738" s="85"/>
      <c r="G738" s="85"/>
    </row>
    <row r="739" spans="4:7" ht="13.5">
      <c r="D739" s="11"/>
      <c r="E739" s="86"/>
      <c r="F739" s="85"/>
      <c r="G739" s="85"/>
    </row>
    <row r="740" spans="4:7" ht="13.5">
      <c r="D740" s="11"/>
      <c r="E740" s="86"/>
      <c r="F740" s="85"/>
      <c r="G740" s="85"/>
    </row>
    <row r="741" spans="4:7" ht="13.5">
      <c r="D741" s="11"/>
      <c r="E741" s="86"/>
      <c r="F741" s="85"/>
      <c r="G741" s="85"/>
    </row>
    <row r="742" spans="4:7" ht="13.5">
      <c r="D742" s="11"/>
      <c r="E742" s="86"/>
      <c r="F742" s="85"/>
      <c r="G742" s="85"/>
    </row>
    <row r="743" spans="4:7" ht="13.5">
      <c r="D743" s="11"/>
      <c r="E743" s="86"/>
      <c r="F743" s="85"/>
      <c r="G743" s="85"/>
    </row>
    <row r="744" spans="4:7" ht="13.5">
      <c r="D744" s="11"/>
      <c r="E744" s="86"/>
      <c r="F744" s="85"/>
      <c r="G744" s="85"/>
    </row>
    <row r="745" spans="4:7" ht="13.5">
      <c r="D745" s="11"/>
      <c r="E745" s="86"/>
      <c r="F745" s="85"/>
      <c r="G745" s="85"/>
    </row>
    <row r="746" spans="4:7" ht="13.5">
      <c r="D746" s="11"/>
      <c r="E746" s="86"/>
      <c r="F746" s="85"/>
      <c r="G746" s="85"/>
    </row>
    <row r="747" spans="4:7" ht="13.5">
      <c r="D747" s="11"/>
      <c r="E747" s="86"/>
      <c r="F747" s="85"/>
      <c r="G747" s="85"/>
    </row>
    <row r="748" spans="4:7" ht="13.5">
      <c r="D748" s="11"/>
      <c r="E748" s="86"/>
      <c r="F748" s="85"/>
      <c r="G748" s="85"/>
    </row>
    <row r="749" spans="4:7" ht="13.5">
      <c r="D749" s="11"/>
      <c r="E749" s="86"/>
      <c r="F749" s="85"/>
      <c r="G749" s="85"/>
    </row>
    <row r="750" spans="4:7" ht="13.5">
      <c r="D750" s="11"/>
      <c r="E750" s="86"/>
      <c r="F750" s="85"/>
      <c r="G750" s="85"/>
    </row>
    <row r="751" spans="4:7" ht="13.5">
      <c r="D751" s="11"/>
      <c r="E751" s="86"/>
      <c r="F751" s="85"/>
      <c r="G751" s="85"/>
    </row>
    <row r="752" spans="4:7" ht="13.5">
      <c r="D752" s="11"/>
      <c r="E752" s="86"/>
      <c r="F752" s="85"/>
      <c r="G752" s="85"/>
    </row>
    <row r="753" spans="4:7" ht="13.5">
      <c r="D753" s="11"/>
      <c r="E753" s="86"/>
      <c r="F753" s="85"/>
      <c r="G753" s="85"/>
    </row>
    <row r="754" spans="4:7" ht="13.5">
      <c r="D754" s="11"/>
      <c r="E754" s="86"/>
      <c r="F754" s="85"/>
      <c r="G754" s="85"/>
    </row>
    <row r="755" spans="4:7" ht="13.5">
      <c r="D755" s="11"/>
      <c r="E755" s="86"/>
      <c r="F755" s="85"/>
      <c r="G755" s="85"/>
    </row>
    <row r="756" spans="4:7" ht="13.5">
      <c r="D756" s="11"/>
      <c r="E756" s="86"/>
      <c r="F756" s="85"/>
      <c r="G756" s="85"/>
    </row>
    <row r="757" spans="4:7" ht="13.5">
      <c r="D757" s="11"/>
      <c r="E757" s="86"/>
      <c r="F757" s="85"/>
      <c r="G757" s="85"/>
    </row>
    <row r="758" spans="4:7" ht="13.5">
      <c r="D758" s="11"/>
      <c r="E758" s="86"/>
      <c r="F758" s="85"/>
      <c r="G758" s="85"/>
    </row>
    <row r="759" spans="4:7" ht="13.5">
      <c r="D759" s="11"/>
      <c r="E759" s="86"/>
      <c r="F759" s="85"/>
      <c r="G759" s="85"/>
    </row>
    <row r="760" spans="4:7" ht="13.5">
      <c r="D760" s="11"/>
      <c r="E760" s="86"/>
      <c r="F760" s="85"/>
      <c r="G760" s="85"/>
    </row>
    <row r="761" spans="4:7" ht="13.5">
      <c r="D761" s="11"/>
      <c r="E761" s="86"/>
      <c r="F761" s="85"/>
      <c r="G761" s="85"/>
    </row>
    <row r="762" spans="4:7" ht="13.5">
      <c r="D762" s="11"/>
      <c r="E762" s="86"/>
      <c r="F762" s="85"/>
      <c r="G762" s="85"/>
    </row>
    <row r="763" spans="4:7" ht="13.5">
      <c r="D763" s="11"/>
      <c r="E763" s="86"/>
      <c r="F763" s="85"/>
      <c r="G763" s="85"/>
    </row>
    <row r="764" spans="4:7" ht="13.5">
      <c r="D764" s="11"/>
      <c r="E764" s="86"/>
      <c r="F764" s="85"/>
      <c r="G764" s="85"/>
    </row>
    <row r="765" spans="4:7" ht="13.5">
      <c r="D765" s="11"/>
      <c r="E765" s="86"/>
      <c r="F765" s="85"/>
      <c r="G765" s="85"/>
    </row>
    <row r="766" spans="4:7" ht="13.5">
      <c r="D766" s="11"/>
      <c r="E766" s="86"/>
      <c r="F766" s="85"/>
      <c r="G766" s="85"/>
    </row>
    <row r="767" spans="4:7" ht="13.5">
      <c r="D767" s="11"/>
      <c r="E767" s="86"/>
      <c r="F767" s="85"/>
      <c r="G767" s="85"/>
    </row>
    <row r="768" spans="4:7" ht="13.5">
      <c r="D768" s="11"/>
      <c r="E768" s="86"/>
      <c r="F768" s="85"/>
      <c r="G768" s="85"/>
    </row>
    <row r="769" spans="4:7" ht="13.5">
      <c r="D769" s="11"/>
      <c r="E769" s="86"/>
      <c r="F769" s="85"/>
      <c r="G769" s="85"/>
    </row>
    <row r="770" spans="4:7" ht="13.5">
      <c r="D770" s="11"/>
      <c r="E770" s="86"/>
      <c r="F770" s="85"/>
      <c r="G770" s="85"/>
    </row>
    <row r="771" spans="4:7" ht="13.5">
      <c r="D771" s="11"/>
      <c r="E771" s="86"/>
      <c r="F771" s="85"/>
      <c r="G771" s="85"/>
    </row>
    <row r="772" spans="4:7" ht="13.5">
      <c r="D772" s="11"/>
      <c r="E772" s="86"/>
      <c r="F772" s="85"/>
      <c r="G772" s="85"/>
    </row>
    <row r="773" spans="4:7" ht="13.5">
      <c r="D773" s="11"/>
      <c r="E773" s="86"/>
      <c r="F773" s="85"/>
      <c r="G773" s="85"/>
    </row>
    <row r="774" spans="4:7" ht="13.5">
      <c r="D774" s="11"/>
      <c r="E774" s="86"/>
      <c r="F774" s="85"/>
      <c r="G774" s="85"/>
    </row>
    <row r="775" spans="4:7" ht="13.5">
      <c r="D775" s="11"/>
      <c r="E775" s="86"/>
      <c r="F775" s="85"/>
      <c r="G775" s="85"/>
    </row>
    <row r="776" spans="4:7" ht="13.5">
      <c r="D776" s="11"/>
      <c r="E776" s="86"/>
      <c r="F776" s="85"/>
      <c r="G776" s="85"/>
    </row>
    <row r="777" spans="4:7" ht="13.5">
      <c r="D777" s="11"/>
      <c r="E777" s="86"/>
      <c r="F777" s="85"/>
      <c r="G777" s="85"/>
    </row>
    <row r="778" spans="4:7" ht="13.5">
      <c r="D778" s="11"/>
      <c r="E778" s="86"/>
      <c r="F778" s="85"/>
      <c r="G778" s="85"/>
    </row>
    <row r="779" spans="4:7" ht="13.5">
      <c r="D779" s="11"/>
      <c r="E779" s="86"/>
      <c r="F779" s="85"/>
      <c r="G779" s="85"/>
    </row>
    <row r="780" spans="4:7" ht="13.5">
      <c r="D780" s="11"/>
      <c r="E780" s="86"/>
      <c r="F780" s="85"/>
      <c r="G780" s="85"/>
    </row>
    <row r="781" spans="4:7" ht="13.5">
      <c r="D781" s="11"/>
      <c r="E781" s="86"/>
      <c r="F781" s="85"/>
      <c r="G781" s="85"/>
    </row>
    <row r="782" spans="4:7" ht="13.5">
      <c r="D782" s="11"/>
      <c r="E782" s="86"/>
      <c r="F782" s="85"/>
      <c r="G782" s="85"/>
    </row>
    <row r="783" spans="4:7" ht="13.5">
      <c r="D783" s="11"/>
      <c r="E783" s="86"/>
      <c r="F783" s="85"/>
      <c r="G783" s="85"/>
    </row>
    <row r="784" spans="4:7" ht="13.5">
      <c r="D784" s="11"/>
      <c r="E784" s="86"/>
      <c r="F784" s="85"/>
      <c r="G784" s="85"/>
    </row>
    <row r="785" spans="4:7" ht="13.5">
      <c r="D785" s="11"/>
      <c r="E785" s="86"/>
      <c r="F785" s="85"/>
      <c r="G785" s="85"/>
    </row>
    <row r="786" spans="4:7" ht="13.5">
      <c r="D786" s="11"/>
      <c r="E786" s="86"/>
      <c r="F786" s="85"/>
      <c r="G786" s="85"/>
    </row>
    <row r="787" spans="4:7" ht="13.5">
      <c r="D787" s="11"/>
      <c r="E787" s="86"/>
      <c r="F787" s="85"/>
      <c r="G787" s="85"/>
    </row>
    <row r="788" spans="4:7" ht="13.5">
      <c r="D788" s="11"/>
      <c r="E788" s="86"/>
      <c r="F788" s="85"/>
      <c r="G788" s="85"/>
    </row>
    <row r="789" spans="4:7" ht="13.5">
      <c r="D789" s="11"/>
      <c r="E789" s="86"/>
      <c r="F789" s="85"/>
      <c r="G789" s="85"/>
    </row>
    <row r="790" spans="4:7" ht="13.5">
      <c r="D790" s="11"/>
      <c r="E790" s="86"/>
      <c r="F790" s="85"/>
      <c r="G790" s="85"/>
    </row>
    <row r="791" spans="4:7" ht="13.5">
      <c r="D791" s="11"/>
      <c r="E791" s="86"/>
      <c r="F791" s="85"/>
      <c r="G791" s="85"/>
    </row>
    <row r="792" spans="4:7" ht="13.5">
      <c r="D792" s="11"/>
      <c r="E792" s="86"/>
      <c r="F792" s="85"/>
      <c r="G792" s="85"/>
    </row>
    <row r="793" spans="4:7" ht="13.5">
      <c r="D793" s="11"/>
      <c r="E793" s="86"/>
      <c r="F793" s="85"/>
      <c r="G793" s="85"/>
    </row>
    <row r="794" spans="4:7" ht="13.5">
      <c r="D794" s="11"/>
      <c r="E794" s="86"/>
      <c r="F794" s="85"/>
      <c r="G794" s="85"/>
    </row>
    <row r="795" spans="4:7" ht="13.5">
      <c r="D795" s="11"/>
      <c r="E795" s="86"/>
      <c r="F795" s="85"/>
      <c r="G795" s="85"/>
    </row>
    <row r="796" spans="4:7" ht="13.5">
      <c r="D796" s="11"/>
      <c r="E796" s="86"/>
      <c r="F796" s="85"/>
      <c r="G796" s="85"/>
    </row>
    <row r="797" spans="4:7" ht="13.5">
      <c r="D797" s="11"/>
      <c r="E797" s="86"/>
      <c r="F797" s="85"/>
      <c r="G797" s="85"/>
    </row>
    <row r="798" spans="4:7" ht="13.5">
      <c r="D798" s="11"/>
      <c r="E798" s="86"/>
      <c r="F798" s="85"/>
      <c r="G798" s="85"/>
    </row>
    <row r="799" spans="4:7" ht="13.5">
      <c r="D799" s="11"/>
      <c r="E799" s="86"/>
      <c r="F799" s="85"/>
      <c r="G799" s="85"/>
    </row>
    <row r="800" spans="4:7" ht="13.5">
      <c r="D800" s="11"/>
      <c r="E800" s="86"/>
      <c r="F800" s="85"/>
      <c r="G800" s="85"/>
    </row>
    <row r="801" spans="4:7" ht="13.5">
      <c r="D801" s="11"/>
      <c r="E801" s="86"/>
      <c r="F801" s="85"/>
      <c r="G801" s="85"/>
    </row>
    <row r="802" spans="4:7" ht="13.5">
      <c r="D802" s="11"/>
      <c r="E802" s="86"/>
      <c r="F802" s="85"/>
      <c r="G802" s="85"/>
    </row>
    <row r="803" spans="4:7" ht="13.5">
      <c r="D803" s="11"/>
      <c r="E803" s="86"/>
      <c r="F803" s="85"/>
      <c r="G803" s="85"/>
    </row>
    <row r="804" spans="4:7" ht="13.5">
      <c r="D804" s="11"/>
      <c r="E804" s="86"/>
      <c r="F804" s="85"/>
      <c r="G804" s="85"/>
    </row>
    <row r="805" spans="4:7" ht="13.5">
      <c r="D805" s="11"/>
      <c r="E805" s="86"/>
      <c r="F805" s="85"/>
      <c r="G805" s="85"/>
    </row>
    <row r="806" spans="4:7" ht="13.5">
      <c r="D806" s="11"/>
      <c r="E806" s="86"/>
      <c r="F806" s="85"/>
      <c r="G806" s="85"/>
    </row>
    <row r="807" spans="4:7" ht="13.5">
      <c r="D807" s="11"/>
      <c r="E807" s="86"/>
      <c r="F807" s="85"/>
      <c r="G807" s="85"/>
    </row>
    <row r="808" spans="4:7" ht="13.5">
      <c r="D808" s="11"/>
      <c r="E808" s="86"/>
      <c r="F808" s="85"/>
      <c r="G808" s="85"/>
    </row>
    <row r="809" spans="4:7" ht="13.5">
      <c r="D809" s="11"/>
      <c r="E809" s="86"/>
      <c r="F809" s="85"/>
      <c r="G809" s="85"/>
    </row>
    <row r="810" spans="4:7" ht="13.5">
      <c r="D810" s="11"/>
      <c r="E810" s="86"/>
      <c r="F810" s="85"/>
      <c r="G810" s="85"/>
    </row>
    <row r="811" spans="4:7" ht="13.5">
      <c r="D811" s="11"/>
      <c r="E811" s="86"/>
      <c r="F811" s="85"/>
      <c r="G811" s="85"/>
    </row>
    <row r="812" spans="4:7" ht="13.5">
      <c r="D812" s="11"/>
      <c r="E812" s="86"/>
      <c r="F812" s="85"/>
      <c r="G812" s="85"/>
    </row>
    <row r="813" spans="4:7" ht="13.5">
      <c r="D813" s="11"/>
      <c r="E813" s="86"/>
      <c r="F813" s="85"/>
      <c r="G813" s="85"/>
    </row>
    <row r="814" spans="4:7" ht="13.5">
      <c r="D814" s="11"/>
      <c r="E814" s="86"/>
      <c r="F814" s="85"/>
      <c r="G814" s="85"/>
    </row>
    <row r="815" spans="4:7" ht="13.5">
      <c r="D815" s="11"/>
      <c r="E815" s="86"/>
      <c r="F815" s="85"/>
      <c r="G815" s="85"/>
    </row>
    <row r="816" spans="4:7" ht="13.5">
      <c r="D816" s="11"/>
      <c r="E816" s="86"/>
      <c r="F816" s="85"/>
      <c r="G816" s="85"/>
    </row>
    <row r="817" spans="4:7" ht="13.5">
      <c r="D817" s="11"/>
      <c r="E817" s="86"/>
      <c r="F817" s="85"/>
      <c r="G817" s="85"/>
    </row>
    <row r="818" spans="4:7" ht="13.5">
      <c r="D818" s="11"/>
      <c r="E818" s="86"/>
      <c r="F818" s="85"/>
      <c r="G818" s="85"/>
    </row>
    <row r="819" spans="4:7" ht="13.5">
      <c r="D819" s="11"/>
      <c r="E819" s="86"/>
      <c r="F819" s="85"/>
      <c r="G819" s="85"/>
    </row>
    <row r="820" spans="4:7" ht="13.5">
      <c r="D820" s="11"/>
      <c r="E820" s="86"/>
      <c r="F820" s="85"/>
      <c r="G820" s="85"/>
    </row>
    <row r="821" spans="4:7" ht="13.5">
      <c r="D821" s="11"/>
      <c r="E821" s="86"/>
      <c r="F821" s="85"/>
      <c r="G821" s="85"/>
    </row>
    <row r="822" spans="4:7" ht="13.5">
      <c r="D822" s="11"/>
      <c r="E822" s="86"/>
      <c r="F822" s="85"/>
      <c r="G822" s="85"/>
    </row>
    <row r="823" spans="4:7" ht="13.5">
      <c r="D823" s="11"/>
      <c r="E823" s="86"/>
      <c r="F823" s="85"/>
      <c r="G823" s="85"/>
    </row>
    <row r="824" spans="4:7" ht="13.5">
      <c r="D824" s="11"/>
      <c r="E824" s="86"/>
      <c r="F824" s="85"/>
      <c r="G824" s="85"/>
    </row>
    <row r="825" spans="4:7" ht="13.5">
      <c r="D825" s="11"/>
      <c r="E825" s="86"/>
      <c r="F825" s="85"/>
      <c r="G825" s="85"/>
    </row>
    <row r="826" spans="4:7" ht="13.5">
      <c r="D826" s="11"/>
      <c r="E826" s="86"/>
      <c r="F826" s="85"/>
      <c r="G826" s="85"/>
    </row>
    <row r="827" spans="4:7" ht="13.5">
      <c r="D827" s="11"/>
      <c r="E827" s="86"/>
      <c r="F827" s="85"/>
      <c r="G827" s="85"/>
    </row>
    <row r="828" spans="4:7" ht="13.5">
      <c r="D828" s="11"/>
      <c r="E828" s="86"/>
      <c r="F828" s="85"/>
      <c r="G828" s="85"/>
    </row>
    <row r="829" spans="4:7" ht="13.5">
      <c r="D829" s="11"/>
      <c r="E829" s="86"/>
      <c r="F829" s="85"/>
      <c r="G829" s="85"/>
    </row>
    <row r="830" spans="4:7" ht="13.5">
      <c r="D830" s="11"/>
      <c r="E830" s="86"/>
      <c r="F830" s="85"/>
      <c r="G830" s="85"/>
    </row>
    <row r="831" spans="4:7" ht="13.5">
      <c r="D831" s="11"/>
      <c r="E831" s="86"/>
      <c r="F831" s="85"/>
      <c r="G831" s="85"/>
    </row>
    <row r="832" spans="4:7" ht="13.5">
      <c r="D832" s="11"/>
      <c r="E832" s="86"/>
      <c r="F832" s="85"/>
      <c r="G832" s="85"/>
    </row>
    <row r="833" spans="4:7" ht="13.5">
      <c r="D833" s="11"/>
      <c r="E833" s="86"/>
      <c r="F833" s="85"/>
      <c r="G833" s="85"/>
    </row>
    <row r="834" spans="4:7" ht="13.5">
      <c r="D834" s="11"/>
      <c r="E834" s="86"/>
      <c r="F834" s="85"/>
      <c r="G834" s="85"/>
    </row>
    <row r="835" spans="4:7" ht="13.5">
      <c r="D835" s="11"/>
      <c r="E835" s="86"/>
      <c r="F835" s="85"/>
      <c r="G835" s="85"/>
    </row>
    <row r="836" spans="4:7" ht="13.5">
      <c r="D836" s="11"/>
      <c r="E836" s="86"/>
      <c r="F836" s="85"/>
      <c r="G836" s="85"/>
    </row>
    <row r="837" spans="4:7" ht="13.5">
      <c r="D837" s="11"/>
      <c r="E837" s="86"/>
      <c r="F837" s="85"/>
      <c r="G837" s="85"/>
    </row>
    <row r="838" spans="4:7" ht="13.5">
      <c r="D838" s="11"/>
      <c r="E838" s="86"/>
      <c r="F838" s="85"/>
      <c r="G838" s="85"/>
    </row>
    <row r="839" spans="4:7" ht="13.5">
      <c r="D839" s="11"/>
      <c r="E839" s="86"/>
      <c r="F839" s="85"/>
      <c r="G839" s="85"/>
    </row>
    <row r="840" spans="4:7" ht="13.5">
      <c r="D840" s="11"/>
      <c r="E840" s="86"/>
      <c r="F840" s="85"/>
      <c r="G840" s="85"/>
    </row>
    <row r="841" spans="4:7" ht="13.5">
      <c r="D841" s="11"/>
      <c r="E841" s="86"/>
      <c r="F841" s="85"/>
      <c r="G841" s="85"/>
    </row>
    <row r="842" spans="4:7" ht="13.5">
      <c r="D842" s="11"/>
      <c r="E842" s="86"/>
      <c r="F842" s="85"/>
      <c r="G842" s="85"/>
    </row>
    <row r="843" spans="4:7" ht="13.5">
      <c r="D843" s="11"/>
      <c r="E843" s="86"/>
      <c r="F843" s="85"/>
      <c r="G843" s="85"/>
    </row>
    <row r="844" spans="4:7" ht="13.5">
      <c r="D844" s="11"/>
      <c r="E844" s="86"/>
      <c r="F844" s="85"/>
      <c r="G844" s="85"/>
    </row>
    <row r="845" spans="4:7" ht="13.5">
      <c r="D845" s="11"/>
      <c r="E845" s="86"/>
      <c r="F845" s="85"/>
      <c r="G845" s="85"/>
    </row>
    <row r="846" spans="4:7" ht="13.5">
      <c r="D846" s="11"/>
      <c r="E846" s="86"/>
      <c r="F846" s="85"/>
      <c r="G846" s="85"/>
    </row>
    <row r="847" spans="4:7" ht="13.5">
      <c r="D847" s="11"/>
      <c r="E847" s="86"/>
      <c r="F847" s="85"/>
      <c r="G847" s="85"/>
    </row>
    <row r="848" spans="4:7" ht="13.5">
      <c r="D848" s="11"/>
      <c r="E848" s="86"/>
      <c r="F848" s="85"/>
      <c r="G848" s="85"/>
    </row>
    <row r="849" spans="4:7" ht="13.5">
      <c r="D849" s="11"/>
      <c r="E849" s="86"/>
      <c r="F849" s="85"/>
      <c r="G849" s="85"/>
    </row>
    <row r="850" spans="4:7" ht="13.5">
      <c r="D850" s="11"/>
      <c r="E850" s="86"/>
      <c r="F850" s="85"/>
      <c r="G850" s="85"/>
    </row>
    <row r="851" spans="4:7" ht="13.5">
      <c r="D851" s="11"/>
      <c r="E851" s="86"/>
      <c r="F851" s="85"/>
      <c r="G851" s="85"/>
    </row>
    <row r="852" spans="4:7" ht="13.5">
      <c r="D852" s="11"/>
      <c r="E852" s="86"/>
      <c r="F852" s="85"/>
      <c r="G852" s="85"/>
    </row>
    <row r="853" spans="4:7" ht="13.5">
      <c r="D853" s="11"/>
      <c r="E853" s="86"/>
      <c r="F853" s="85"/>
      <c r="G853" s="85"/>
    </row>
    <row r="854" spans="4:7" ht="13.5">
      <c r="D854" s="11"/>
      <c r="E854" s="86"/>
      <c r="F854" s="85"/>
      <c r="G854" s="85"/>
    </row>
    <row r="855" spans="4:7" ht="13.5">
      <c r="D855" s="11"/>
      <c r="E855" s="86"/>
      <c r="F855" s="85"/>
      <c r="G855" s="85"/>
    </row>
    <row r="856" spans="4:7" ht="13.5">
      <c r="D856" s="11"/>
      <c r="E856" s="86"/>
      <c r="F856" s="85"/>
      <c r="G856" s="85"/>
    </row>
    <row r="857" spans="4:7" ht="13.5">
      <c r="D857" s="11"/>
      <c r="E857" s="86"/>
      <c r="F857" s="85"/>
      <c r="G857" s="85"/>
    </row>
    <row r="858" spans="4:7" ht="13.5">
      <c r="D858" s="11"/>
      <c r="E858" s="86"/>
      <c r="F858" s="85"/>
      <c r="G858" s="85"/>
    </row>
    <row r="859" spans="4:7" ht="13.5">
      <c r="D859" s="11"/>
      <c r="E859" s="86"/>
      <c r="F859" s="85"/>
      <c r="G859" s="85"/>
    </row>
    <row r="860" spans="4:7" ht="13.5">
      <c r="D860" s="11"/>
      <c r="E860" s="86"/>
      <c r="F860" s="85"/>
      <c r="G860" s="85"/>
    </row>
    <row r="861" spans="4:7" ht="13.5">
      <c r="D861" s="11"/>
      <c r="E861" s="86"/>
      <c r="F861" s="85"/>
      <c r="G861" s="85"/>
    </row>
    <row r="862" spans="4:7" ht="13.5">
      <c r="D862" s="11"/>
      <c r="E862" s="86"/>
      <c r="F862" s="85"/>
      <c r="G862" s="85"/>
    </row>
    <row r="863" spans="4:7" ht="13.5">
      <c r="D863" s="11"/>
      <c r="E863" s="86"/>
      <c r="F863" s="85"/>
      <c r="G863" s="85"/>
    </row>
    <row r="864" spans="4:7" ht="13.5">
      <c r="D864" s="11"/>
      <c r="E864" s="86"/>
      <c r="F864" s="85"/>
      <c r="G864" s="85"/>
    </row>
    <row r="865" spans="4:7" ht="13.5">
      <c r="D865" s="11"/>
      <c r="E865" s="86"/>
      <c r="F865" s="85"/>
      <c r="G865" s="85"/>
    </row>
    <row r="866" spans="4:7" ht="13.5">
      <c r="D866" s="11"/>
      <c r="E866" s="86"/>
      <c r="F866" s="85"/>
      <c r="G866" s="85"/>
    </row>
    <row r="867" spans="4:7" ht="13.5">
      <c r="D867" s="11"/>
      <c r="E867" s="86"/>
      <c r="F867" s="85"/>
      <c r="G867" s="85"/>
    </row>
    <row r="868" spans="4:7" ht="13.5">
      <c r="D868" s="11"/>
      <c r="E868" s="86"/>
      <c r="F868" s="85"/>
      <c r="G868" s="85"/>
    </row>
    <row r="869" spans="4:7" ht="13.5">
      <c r="D869" s="11"/>
      <c r="E869" s="86"/>
      <c r="F869" s="85"/>
      <c r="G869" s="85"/>
    </row>
    <row r="870" spans="4:7" ht="13.5">
      <c r="D870" s="11"/>
      <c r="E870" s="86"/>
      <c r="F870" s="85"/>
      <c r="G870" s="85"/>
    </row>
    <row r="871" spans="4:7" ht="13.5">
      <c r="D871" s="11"/>
      <c r="E871" s="86"/>
      <c r="F871" s="85"/>
      <c r="G871" s="85"/>
    </row>
    <row r="872" spans="4:7" ht="13.5">
      <c r="D872" s="11"/>
      <c r="E872" s="86"/>
      <c r="F872" s="85"/>
      <c r="G872" s="85"/>
    </row>
    <row r="873" spans="4:7" ht="13.5">
      <c r="D873" s="11"/>
      <c r="E873" s="86"/>
      <c r="F873" s="85"/>
      <c r="G873" s="85"/>
    </row>
    <row r="874" spans="4:7" ht="13.5">
      <c r="D874" s="11"/>
      <c r="E874" s="86"/>
      <c r="F874" s="85"/>
      <c r="G874" s="85"/>
    </row>
    <row r="875" spans="4:7" ht="13.5">
      <c r="D875" s="11"/>
      <c r="E875" s="86"/>
      <c r="F875" s="85"/>
      <c r="G875" s="85"/>
    </row>
    <row r="876" spans="4:7" ht="13.5">
      <c r="D876" s="11"/>
      <c r="E876" s="86"/>
      <c r="F876" s="85"/>
      <c r="G876" s="85"/>
    </row>
    <row r="877" spans="4:7" ht="13.5">
      <c r="D877" s="11"/>
      <c r="E877" s="86"/>
      <c r="F877" s="85"/>
      <c r="G877" s="85"/>
    </row>
    <row r="878" spans="4:7" ht="13.5">
      <c r="D878" s="11"/>
      <c r="E878" s="86"/>
      <c r="F878" s="85"/>
      <c r="G878" s="85"/>
    </row>
    <row r="879" spans="4:7" ht="13.5">
      <c r="D879" s="11"/>
      <c r="E879" s="86"/>
      <c r="F879" s="85"/>
      <c r="G879" s="85"/>
    </row>
    <row r="880" spans="4:7" ht="13.5">
      <c r="D880" s="11"/>
      <c r="E880" s="86"/>
      <c r="F880" s="85"/>
      <c r="G880" s="85"/>
    </row>
    <row r="881" spans="4:7" ht="13.5">
      <c r="D881" s="11"/>
      <c r="E881" s="86"/>
      <c r="F881" s="85"/>
      <c r="G881" s="85"/>
    </row>
    <row r="882" spans="4:7" ht="13.5">
      <c r="D882" s="11"/>
      <c r="E882" s="86"/>
      <c r="F882" s="85"/>
      <c r="G882" s="85"/>
    </row>
    <row r="883" spans="4:7" ht="13.5">
      <c r="D883" s="11"/>
      <c r="E883" s="86"/>
      <c r="F883" s="85"/>
      <c r="G883" s="85"/>
    </row>
    <row r="884" spans="4:7" ht="13.5">
      <c r="D884" s="11"/>
      <c r="E884" s="86"/>
      <c r="F884" s="85"/>
      <c r="G884" s="85"/>
    </row>
    <row r="885" spans="4:7" ht="13.5">
      <c r="D885" s="11"/>
      <c r="E885" s="86"/>
      <c r="F885" s="85"/>
      <c r="G885" s="85"/>
    </row>
    <row r="886" spans="4:7" ht="13.5">
      <c r="D886" s="11"/>
      <c r="E886" s="86"/>
      <c r="F886" s="85"/>
      <c r="G886" s="85"/>
    </row>
    <row r="887" spans="4:7" ht="13.5">
      <c r="D887" s="11"/>
      <c r="E887" s="86"/>
      <c r="F887" s="85"/>
      <c r="G887" s="85"/>
    </row>
    <row r="888" spans="4:7" ht="13.5">
      <c r="D888" s="11"/>
      <c r="E888" s="86"/>
      <c r="F888" s="85"/>
      <c r="G888" s="85"/>
    </row>
    <row r="889" spans="4:7" ht="13.5">
      <c r="D889" s="11"/>
      <c r="E889" s="86"/>
      <c r="F889" s="85"/>
      <c r="G889" s="85"/>
    </row>
    <row r="890" spans="4:7" ht="13.5">
      <c r="D890" s="11"/>
      <c r="E890" s="86"/>
      <c r="F890" s="85"/>
      <c r="G890" s="85"/>
    </row>
    <row r="891" spans="4:7" ht="13.5">
      <c r="D891" s="11"/>
      <c r="E891" s="86"/>
      <c r="F891" s="85"/>
      <c r="G891" s="85"/>
    </row>
    <row r="892" spans="4:7" ht="13.5">
      <c r="D892" s="11"/>
      <c r="E892" s="86"/>
      <c r="F892" s="85"/>
      <c r="G892" s="85"/>
    </row>
    <row r="893" spans="4:7" ht="13.5">
      <c r="D893" s="11"/>
      <c r="E893" s="86"/>
      <c r="F893" s="85"/>
      <c r="G893" s="85"/>
    </row>
    <row r="894" spans="4:7" ht="13.5">
      <c r="D894" s="11"/>
      <c r="E894" s="86"/>
      <c r="F894" s="85"/>
      <c r="G894" s="85"/>
    </row>
    <row r="895" spans="4:7" ht="13.5">
      <c r="D895" s="11"/>
      <c r="E895" s="86"/>
      <c r="F895" s="85"/>
      <c r="G895" s="85"/>
    </row>
    <row r="896" spans="4:7" ht="13.5">
      <c r="D896" s="11"/>
      <c r="E896" s="86"/>
      <c r="F896" s="85"/>
      <c r="G896" s="85"/>
    </row>
    <row r="897" spans="4:7" ht="13.5">
      <c r="D897" s="11"/>
      <c r="E897" s="86"/>
      <c r="F897" s="85"/>
      <c r="G897" s="85"/>
    </row>
    <row r="898" spans="4:7" ht="13.5">
      <c r="D898" s="11"/>
      <c r="E898" s="86"/>
      <c r="F898" s="85"/>
      <c r="G898" s="85"/>
    </row>
    <row r="899" spans="4:7" ht="13.5">
      <c r="D899" s="11"/>
      <c r="E899" s="86"/>
      <c r="F899" s="85"/>
      <c r="G899" s="85"/>
    </row>
    <row r="900" spans="4:7" ht="13.5">
      <c r="D900" s="11"/>
      <c r="E900" s="86"/>
      <c r="F900" s="85"/>
      <c r="G900" s="85"/>
    </row>
    <row r="901" spans="4:7" ht="13.5">
      <c r="D901" s="11"/>
      <c r="E901" s="86"/>
      <c r="F901" s="85"/>
      <c r="G901" s="85"/>
    </row>
    <row r="902" spans="4:7" ht="13.5">
      <c r="D902" s="11"/>
      <c r="E902" s="86"/>
      <c r="F902" s="85"/>
      <c r="G902" s="85"/>
    </row>
    <row r="903" spans="4:7" ht="13.5">
      <c r="D903" s="11"/>
      <c r="E903" s="86"/>
      <c r="F903" s="85"/>
      <c r="G903" s="85"/>
    </row>
    <row r="904" spans="4:7" ht="13.5">
      <c r="D904" s="11"/>
      <c r="E904" s="86"/>
      <c r="F904" s="85"/>
      <c r="G904" s="85"/>
    </row>
    <row r="905" spans="4:7" ht="13.5">
      <c r="D905" s="11"/>
      <c r="E905" s="86"/>
      <c r="F905" s="85"/>
      <c r="G905" s="85"/>
    </row>
    <row r="906" spans="4:7" ht="13.5">
      <c r="D906" s="11"/>
      <c r="E906" s="86"/>
      <c r="F906" s="85"/>
      <c r="G906" s="85"/>
    </row>
    <row r="907" spans="4:7" ht="13.5">
      <c r="D907" s="11"/>
      <c r="E907" s="86"/>
      <c r="F907" s="85"/>
      <c r="G907" s="85"/>
    </row>
    <row r="908" spans="4:7" ht="13.5">
      <c r="D908" s="11"/>
      <c r="E908" s="86"/>
      <c r="F908" s="85"/>
      <c r="G908" s="85"/>
    </row>
    <row r="909" spans="4:7" ht="13.5">
      <c r="D909" s="11"/>
      <c r="E909" s="86"/>
      <c r="F909" s="85"/>
      <c r="G909" s="85"/>
    </row>
    <row r="910" spans="4:7" ht="13.5">
      <c r="D910" s="11"/>
      <c r="E910" s="86"/>
      <c r="F910" s="85"/>
      <c r="G910" s="85"/>
    </row>
    <row r="911" spans="4:7" ht="13.5">
      <c r="D911" s="11"/>
      <c r="E911" s="86"/>
      <c r="F911" s="85"/>
      <c r="G911" s="85"/>
    </row>
    <row r="912" spans="4:7" ht="13.5">
      <c r="D912" s="11"/>
      <c r="E912" s="86"/>
      <c r="F912" s="85"/>
      <c r="G912" s="85"/>
    </row>
    <row r="913" spans="4:7" ht="13.5">
      <c r="D913" s="11"/>
      <c r="E913" s="86"/>
      <c r="F913" s="85"/>
      <c r="G913" s="85"/>
    </row>
    <row r="914" spans="4:7" ht="13.5">
      <c r="D914" s="11"/>
      <c r="E914" s="86"/>
      <c r="F914" s="85"/>
      <c r="G914" s="85"/>
    </row>
    <row r="915" spans="4:7" ht="13.5">
      <c r="D915" s="11"/>
      <c r="E915" s="86"/>
      <c r="F915" s="85"/>
      <c r="G915" s="85"/>
    </row>
    <row r="916" spans="4:7" ht="13.5">
      <c r="D916" s="11"/>
      <c r="E916" s="86"/>
      <c r="F916" s="85"/>
      <c r="G916" s="85"/>
    </row>
    <row r="917" spans="4:7" ht="13.5">
      <c r="D917" s="11"/>
      <c r="E917" s="86"/>
      <c r="F917" s="85"/>
      <c r="G917" s="85"/>
    </row>
    <row r="918" spans="4:7" ht="13.5">
      <c r="D918" s="11"/>
      <c r="E918" s="86"/>
      <c r="F918" s="85"/>
      <c r="G918" s="85"/>
    </row>
    <row r="919" spans="4:7" ht="13.5">
      <c r="D919" s="11"/>
      <c r="E919" s="86"/>
      <c r="F919" s="85"/>
      <c r="G919" s="85"/>
    </row>
    <row r="920" spans="4:7" ht="13.5">
      <c r="D920" s="11"/>
      <c r="E920" s="86"/>
      <c r="F920" s="85"/>
      <c r="G920" s="85"/>
    </row>
    <row r="921" spans="4:7" ht="13.5">
      <c r="D921" s="11"/>
      <c r="E921" s="86"/>
      <c r="F921" s="85"/>
      <c r="G921" s="85"/>
    </row>
    <row r="922" spans="4:7" ht="13.5">
      <c r="D922" s="11"/>
      <c r="E922" s="86"/>
      <c r="F922" s="85"/>
      <c r="G922" s="85"/>
    </row>
    <row r="923" spans="4:7" ht="13.5">
      <c r="D923" s="11"/>
      <c r="E923" s="86"/>
      <c r="F923" s="85"/>
      <c r="G923" s="85"/>
    </row>
    <row r="924" spans="4:7" ht="13.5">
      <c r="D924" s="11"/>
      <c r="E924" s="86"/>
      <c r="F924" s="85"/>
      <c r="G924" s="85"/>
    </row>
    <row r="925" spans="4:7" ht="13.5">
      <c r="D925" s="11"/>
      <c r="E925" s="86"/>
      <c r="F925" s="85"/>
      <c r="G925" s="85"/>
    </row>
    <row r="926" spans="4:7" ht="13.5">
      <c r="D926" s="11"/>
      <c r="E926" s="86"/>
      <c r="F926" s="85"/>
      <c r="G926" s="85"/>
    </row>
    <row r="927" spans="4:7" ht="13.5">
      <c r="D927" s="11"/>
      <c r="E927" s="86"/>
      <c r="F927" s="85"/>
      <c r="G927" s="85"/>
    </row>
    <row r="928" spans="4:7" ht="13.5">
      <c r="D928" s="11"/>
      <c r="E928" s="86"/>
      <c r="F928" s="85"/>
      <c r="G928" s="85"/>
    </row>
    <row r="929" spans="4:7" ht="13.5">
      <c r="D929" s="11"/>
      <c r="E929" s="86"/>
      <c r="F929" s="85"/>
      <c r="G929" s="85"/>
    </row>
    <row r="930" spans="4:7" ht="13.5">
      <c r="D930" s="11"/>
      <c r="E930" s="86"/>
      <c r="F930" s="85"/>
      <c r="G930" s="85"/>
    </row>
    <row r="931" spans="4:7" ht="13.5">
      <c r="D931" s="11"/>
      <c r="E931" s="86"/>
      <c r="F931" s="85"/>
      <c r="G931" s="85"/>
    </row>
    <row r="932" spans="4:7" ht="13.5">
      <c r="D932" s="11"/>
      <c r="E932" s="86"/>
      <c r="F932" s="85"/>
      <c r="G932" s="85"/>
    </row>
    <row r="933" spans="4:7" ht="13.5">
      <c r="D933" s="11"/>
      <c r="E933" s="86"/>
      <c r="F933" s="85"/>
      <c r="G933" s="85"/>
    </row>
    <row r="934" spans="4:7" ht="13.5">
      <c r="D934" s="11"/>
      <c r="E934" s="86"/>
      <c r="F934" s="85"/>
      <c r="G934" s="85"/>
    </row>
    <row r="935" spans="4:7" ht="13.5">
      <c r="D935" s="11"/>
      <c r="E935" s="86"/>
      <c r="F935" s="85"/>
      <c r="G935" s="85"/>
    </row>
    <row r="936" spans="4:7" ht="13.5">
      <c r="D936" s="11"/>
      <c r="E936" s="86"/>
      <c r="F936" s="85"/>
      <c r="G936" s="85"/>
    </row>
    <row r="937" spans="4:7" ht="13.5">
      <c r="D937" s="11"/>
      <c r="E937" s="86"/>
      <c r="F937" s="85"/>
      <c r="G937" s="85"/>
    </row>
    <row r="938" spans="4:7" ht="13.5">
      <c r="D938" s="11"/>
      <c r="E938" s="86"/>
      <c r="F938" s="85"/>
      <c r="G938" s="85"/>
    </row>
    <row r="939" spans="4:7" ht="13.5">
      <c r="D939" s="11"/>
      <c r="E939" s="86"/>
      <c r="F939" s="85"/>
      <c r="G939" s="85"/>
    </row>
    <row r="940" spans="4:7" ht="13.5">
      <c r="D940" s="11"/>
      <c r="E940" s="86"/>
      <c r="F940" s="85"/>
      <c r="G940" s="85"/>
    </row>
    <row r="941" spans="4:7" ht="13.5">
      <c r="D941" s="11"/>
      <c r="E941" s="86"/>
      <c r="F941" s="85"/>
      <c r="G941" s="85"/>
    </row>
    <row r="942" spans="4:7" ht="13.5">
      <c r="D942" s="11"/>
      <c r="E942" s="86"/>
      <c r="F942" s="85"/>
      <c r="G942" s="85"/>
    </row>
    <row r="943" spans="4:7" ht="13.5">
      <c r="D943" s="11"/>
      <c r="E943" s="86"/>
      <c r="F943" s="85"/>
      <c r="G943" s="85"/>
    </row>
    <row r="944" spans="4:7" ht="13.5">
      <c r="D944" s="11"/>
      <c r="E944" s="86"/>
      <c r="F944" s="85"/>
      <c r="G944" s="85"/>
    </row>
    <row r="945" spans="4:7" ht="13.5">
      <c r="D945" s="11"/>
      <c r="E945" s="86"/>
      <c r="F945" s="85"/>
      <c r="G945" s="85"/>
    </row>
    <row r="946" spans="4:7" ht="13.5">
      <c r="D946" s="11"/>
      <c r="E946" s="86"/>
      <c r="F946" s="85"/>
      <c r="G946" s="85"/>
    </row>
    <row r="947" spans="4:7" ht="13.5">
      <c r="D947" s="11"/>
      <c r="E947" s="86"/>
      <c r="F947" s="85"/>
      <c r="G947" s="85"/>
    </row>
    <row r="948" spans="4:7" ht="13.5">
      <c r="D948" s="11"/>
      <c r="E948" s="86"/>
      <c r="F948" s="85"/>
      <c r="G948" s="85"/>
    </row>
    <row r="949" spans="4:7" ht="13.5">
      <c r="D949" s="11"/>
      <c r="E949" s="86"/>
      <c r="F949" s="85"/>
      <c r="G949" s="85"/>
    </row>
    <row r="950" spans="4:7" ht="13.5">
      <c r="D950" s="11"/>
      <c r="E950" s="86"/>
      <c r="F950" s="85"/>
      <c r="G950" s="85"/>
    </row>
    <row r="951" spans="4:7" ht="13.5">
      <c r="D951" s="11"/>
      <c r="E951" s="86"/>
      <c r="F951" s="85"/>
      <c r="G951" s="85"/>
    </row>
    <row r="952" spans="4:7" ht="13.5">
      <c r="D952" s="11"/>
      <c r="E952" s="86"/>
      <c r="F952" s="85"/>
      <c r="G952" s="85"/>
    </row>
    <row r="953" spans="4:7" ht="13.5">
      <c r="D953" s="11"/>
      <c r="E953" s="86"/>
      <c r="F953" s="85"/>
      <c r="G953" s="85"/>
    </row>
    <row r="954" spans="4:7" ht="13.5">
      <c r="D954" s="11"/>
      <c r="E954" s="86"/>
      <c r="F954" s="85"/>
      <c r="G954" s="85"/>
    </row>
    <row r="955" spans="4:7" ht="13.5">
      <c r="D955" s="11"/>
      <c r="E955" s="86"/>
      <c r="F955" s="85"/>
      <c r="G955" s="85"/>
    </row>
    <row r="956" spans="4:7" ht="13.5">
      <c r="D956" s="11"/>
      <c r="E956" s="86"/>
      <c r="F956" s="85"/>
      <c r="G956" s="85"/>
    </row>
    <row r="957" spans="4:7" ht="13.5">
      <c r="D957" s="11"/>
      <c r="E957" s="86"/>
      <c r="F957" s="85"/>
      <c r="G957" s="85"/>
    </row>
    <row r="958" spans="4:7" ht="13.5">
      <c r="D958" s="11"/>
      <c r="E958" s="86"/>
      <c r="F958" s="85"/>
      <c r="G958" s="85"/>
    </row>
    <row r="959" spans="4:7" ht="13.5">
      <c r="D959" s="11"/>
      <c r="E959" s="86"/>
      <c r="F959" s="85"/>
      <c r="G959" s="85"/>
    </row>
    <row r="960" spans="4:7" ht="13.5">
      <c r="D960" s="11"/>
      <c r="E960" s="86"/>
      <c r="F960" s="85"/>
      <c r="G960" s="85"/>
    </row>
    <row r="961" spans="4:7" ht="13.5">
      <c r="D961" s="11"/>
      <c r="E961" s="86"/>
      <c r="F961" s="85"/>
      <c r="G961" s="85"/>
    </row>
    <row r="962" spans="4:7" ht="13.5">
      <c r="D962" s="11"/>
      <c r="E962" s="86"/>
      <c r="F962" s="85"/>
      <c r="G962" s="85"/>
    </row>
    <row r="963" spans="4:7" ht="13.5">
      <c r="D963" s="11"/>
      <c r="E963" s="86"/>
      <c r="F963" s="85"/>
      <c r="G963" s="85"/>
    </row>
    <row r="964" spans="4:7" ht="13.5">
      <c r="D964" s="11"/>
      <c r="E964" s="86"/>
      <c r="F964" s="85"/>
      <c r="G964" s="85"/>
    </row>
    <row r="965" spans="4:7" ht="13.5">
      <c r="D965" s="11"/>
      <c r="E965" s="86"/>
      <c r="F965" s="85"/>
      <c r="G965" s="85"/>
    </row>
    <row r="966" spans="4:7" ht="13.5">
      <c r="D966" s="11"/>
      <c r="E966" s="86"/>
      <c r="F966" s="85"/>
      <c r="G966" s="85"/>
    </row>
    <row r="967" spans="4:7" ht="13.5">
      <c r="D967" s="11"/>
      <c r="E967" s="86"/>
      <c r="F967" s="85"/>
      <c r="G967" s="85"/>
    </row>
    <row r="968" spans="4:7" ht="13.5">
      <c r="D968" s="11"/>
      <c r="E968" s="86"/>
      <c r="F968" s="85"/>
      <c r="G968" s="85"/>
    </row>
    <row r="969" spans="4:7" ht="13.5">
      <c r="D969" s="11"/>
      <c r="E969" s="86"/>
      <c r="F969" s="85"/>
      <c r="G969" s="85"/>
    </row>
    <row r="970" spans="4:7" ht="13.5">
      <c r="D970" s="11"/>
      <c r="E970" s="86"/>
      <c r="F970" s="85"/>
      <c r="G970" s="85"/>
    </row>
    <row r="971" spans="4:7" ht="13.5">
      <c r="D971" s="11"/>
      <c r="E971" s="86"/>
      <c r="F971" s="85"/>
      <c r="G971" s="85"/>
    </row>
    <row r="972" spans="4:7" ht="13.5">
      <c r="D972" s="11"/>
      <c r="E972" s="86"/>
      <c r="F972" s="85"/>
      <c r="G972" s="85"/>
    </row>
    <row r="973" spans="4:7" ht="13.5">
      <c r="D973" s="11"/>
      <c r="E973" s="86"/>
      <c r="F973" s="85"/>
      <c r="G973" s="85"/>
    </row>
    <row r="974" spans="4:7" ht="13.5">
      <c r="D974" s="11"/>
      <c r="E974" s="86"/>
      <c r="F974" s="85"/>
      <c r="G974" s="85"/>
    </row>
    <row r="975" spans="4:7" ht="13.5">
      <c r="D975" s="11"/>
      <c r="E975" s="86"/>
      <c r="F975" s="85"/>
      <c r="G975" s="85"/>
    </row>
    <row r="976" spans="4:7" ht="13.5">
      <c r="D976" s="11"/>
      <c r="E976" s="86"/>
      <c r="F976" s="85"/>
      <c r="G976" s="85"/>
    </row>
    <row r="977" spans="4:7" ht="13.5">
      <c r="D977" s="11"/>
      <c r="E977" s="86"/>
      <c r="F977" s="85"/>
      <c r="G977" s="85"/>
    </row>
    <row r="978" spans="4:7" ht="13.5">
      <c r="D978" s="11"/>
      <c r="E978" s="86"/>
      <c r="F978" s="85"/>
      <c r="G978" s="85"/>
    </row>
    <row r="979" spans="4:7" ht="13.5">
      <c r="D979" s="11"/>
      <c r="E979" s="86"/>
      <c r="F979" s="85"/>
      <c r="G979" s="85"/>
    </row>
    <row r="980" spans="4:7" ht="13.5">
      <c r="D980" s="11"/>
      <c r="E980" s="86"/>
      <c r="F980" s="85"/>
      <c r="G980" s="85"/>
    </row>
    <row r="981" spans="4:7" ht="13.5">
      <c r="D981" s="11"/>
      <c r="E981" s="86"/>
      <c r="F981" s="85"/>
      <c r="G981" s="85"/>
    </row>
    <row r="982" spans="4:7" ht="13.5">
      <c r="D982" s="11"/>
      <c r="E982" s="86"/>
      <c r="F982" s="85"/>
      <c r="G982" s="85"/>
    </row>
    <row r="983" spans="4:7" ht="13.5">
      <c r="D983" s="11"/>
      <c r="E983" s="86"/>
      <c r="F983" s="85"/>
      <c r="G983" s="85"/>
    </row>
    <row r="984" spans="4:7" ht="13.5">
      <c r="D984" s="11"/>
      <c r="E984" s="86"/>
      <c r="F984" s="85"/>
      <c r="G984" s="85"/>
    </row>
    <row r="985" spans="4:7" ht="13.5">
      <c r="D985" s="11"/>
      <c r="E985" s="86"/>
      <c r="F985" s="85"/>
      <c r="G985" s="85"/>
    </row>
    <row r="986" spans="4:7" ht="13.5">
      <c r="D986" s="11"/>
      <c r="E986" s="86"/>
      <c r="F986" s="85"/>
      <c r="G986" s="85"/>
    </row>
  </sheetData>
  <mergeCells count="19">
    <mergeCell ref="CB2:CB3"/>
    <mergeCell ref="CC2:CC3"/>
    <mergeCell ref="BZ1:CA1"/>
    <mergeCell ref="BZ2:CA2"/>
    <mergeCell ref="F1:G1"/>
    <mergeCell ref="A2:A3"/>
    <mergeCell ref="E2:E3"/>
    <mergeCell ref="BX2:BX3"/>
    <mergeCell ref="BY2:BY3"/>
    <mergeCell ref="AT2:AT3"/>
    <mergeCell ref="BG2:BG3"/>
    <mergeCell ref="BH2:BH3"/>
    <mergeCell ref="C2:C3"/>
    <mergeCell ref="D2:D3"/>
    <mergeCell ref="F2:G2"/>
    <mergeCell ref="AS2:AS3"/>
    <mergeCell ref="B2:B3"/>
    <mergeCell ref="BU2:BU3"/>
    <mergeCell ref="BV2:BV3"/>
  </mergeCells>
  <phoneticPr fontId="54" type="noConversion"/>
  <conditionalFormatting sqref="B126:B127">
    <cfRule type="duplicateValues" dxfId="4" priority="1"/>
  </conditionalFormatting>
  <printOptions horizontalCentered="1" gridLines="1"/>
  <pageMargins left="0.7" right="0.7" top="0.75" bottom="0.75" header="0" footer="0"/>
  <pageSetup paperSize="9" scale="34" fitToHeight="0" pageOrder="overThenDown" orientation="landscape" cellComments="atEnd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  <pageSetUpPr fitToPage="1"/>
  </sheetPr>
  <dimension ref="A1:AL990"/>
  <sheetViews>
    <sheetView zoomScale="90" zoomScaleNormal="90" workbookViewId="0">
      <pane xSplit="7" ySplit="3" topLeftCell="H4" activePane="bottomRight" state="frozen"/>
      <selection pane="topRight" activeCell="J1" sqref="J1"/>
      <selection pane="bottomLeft" activeCell="A4" sqref="A4"/>
      <selection pane="bottomRight" activeCell="G127" sqref="G127"/>
    </sheetView>
  </sheetViews>
  <sheetFormatPr defaultColWidth="12.5703125" defaultRowHeight="15.75" customHeight="1" outlineLevelCol="1"/>
  <cols>
    <col min="1" max="1" width="22.28515625" customWidth="1"/>
    <col min="2" max="2" width="11" customWidth="1"/>
    <col min="3" max="3" width="39.85546875" style="98" customWidth="1"/>
    <col min="4" max="4" width="10.28515625" bestFit="1" customWidth="1"/>
    <col min="5" max="5" width="11.5703125" bestFit="1" customWidth="1"/>
    <col min="6" max="6" width="11.85546875" hidden="1" customWidth="1"/>
    <col min="7" max="7" width="13.28515625" customWidth="1"/>
    <col min="8" max="8" width="10.5703125" customWidth="1"/>
    <col min="9" max="9" width="9.85546875" customWidth="1"/>
    <col min="10" max="10" width="11.7109375" customWidth="1"/>
    <col min="11" max="13" width="12.140625" customWidth="1"/>
    <col min="14" max="15" width="11.42578125" customWidth="1"/>
    <col min="16" max="19" width="12.140625" customWidth="1"/>
    <col min="20" max="20" width="12.140625" customWidth="1" collapsed="1"/>
    <col min="21" max="27" width="12.140625" hidden="1" customWidth="1" outlineLevel="1"/>
    <col min="28" max="30" width="12.140625" customWidth="1"/>
    <col min="31" max="31" width="10.140625" style="110" customWidth="1"/>
    <col min="32" max="32" width="13.85546875" hidden="1" customWidth="1"/>
    <col min="33" max="34" width="15" customWidth="1"/>
    <col min="35" max="35" width="38.140625" customWidth="1"/>
    <col min="37" max="38" width="9.28515625" customWidth="1"/>
  </cols>
  <sheetData>
    <row r="1" spans="1:38" ht="17.25">
      <c r="A1" s="87" t="s">
        <v>0</v>
      </c>
      <c r="B1" s="87"/>
      <c r="C1" s="97" t="s">
        <v>742</v>
      </c>
      <c r="D1" s="1"/>
      <c r="E1" s="2"/>
      <c r="F1" s="452"/>
      <c r="G1" s="453"/>
      <c r="K1" s="6"/>
      <c r="L1" s="6"/>
      <c r="M1" s="6"/>
      <c r="N1" s="6"/>
      <c r="O1" s="6"/>
      <c r="P1" s="397" t="s">
        <v>852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99"/>
      <c r="AF1" s="3"/>
      <c r="AG1" s="452"/>
      <c r="AH1" s="453"/>
      <c r="AI1" s="13"/>
      <c r="AJ1" s="13"/>
      <c r="AK1" s="14"/>
      <c r="AL1" s="14"/>
    </row>
    <row r="2" spans="1:38" s="92" customFormat="1" ht="33" customHeight="1">
      <c r="A2" s="460" t="s">
        <v>2</v>
      </c>
      <c r="B2" s="461"/>
      <c r="C2" s="461" t="s">
        <v>3</v>
      </c>
      <c r="D2" s="461" t="s">
        <v>4</v>
      </c>
      <c r="E2" s="463" t="s">
        <v>5</v>
      </c>
      <c r="F2" s="448">
        <f>站前4樓!F2</f>
        <v>46173</v>
      </c>
      <c r="G2" s="459"/>
      <c r="H2" s="115" t="s">
        <v>455</v>
      </c>
      <c r="I2" s="115" t="s">
        <v>453</v>
      </c>
      <c r="J2" s="115" t="s">
        <v>454</v>
      </c>
      <c r="K2" s="115" t="s">
        <v>457</v>
      </c>
      <c r="L2" s="115" t="s">
        <v>458</v>
      </c>
      <c r="M2" s="115" t="s">
        <v>459</v>
      </c>
      <c r="N2" s="445" t="s">
        <v>228</v>
      </c>
      <c r="O2" s="445" t="s">
        <v>229</v>
      </c>
      <c r="P2" s="115" t="s">
        <v>673</v>
      </c>
      <c r="Q2" s="115" t="s">
        <v>853</v>
      </c>
      <c r="R2" s="115" t="s">
        <v>855</v>
      </c>
      <c r="S2" s="115" t="s">
        <v>857</v>
      </c>
      <c r="T2" s="115" t="s">
        <v>866</v>
      </c>
      <c r="U2" s="115" t="s">
        <v>867</v>
      </c>
      <c r="V2" s="115" t="s">
        <v>868</v>
      </c>
      <c r="W2" s="115" t="s">
        <v>869</v>
      </c>
      <c r="X2" s="115" t="s">
        <v>870</v>
      </c>
      <c r="Y2" s="115" t="s">
        <v>871</v>
      </c>
      <c r="Z2" s="115" t="s">
        <v>872</v>
      </c>
      <c r="AA2" s="115" t="s">
        <v>873</v>
      </c>
      <c r="AB2" s="445" t="s">
        <v>859</v>
      </c>
      <c r="AC2" s="445" t="s">
        <v>860</v>
      </c>
      <c r="AD2" s="115" t="s">
        <v>949</v>
      </c>
      <c r="AE2" s="455" t="s">
        <v>8</v>
      </c>
      <c r="AF2" s="457" t="s">
        <v>9</v>
      </c>
      <c r="AG2" s="458" t="s">
        <v>10</v>
      </c>
      <c r="AH2" s="459"/>
      <c r="AI2" s="450" t="s">
        <v>11</v>
      </c>
      <c r="AJ2" s="450"/>
      <c r="AK2" s="91"/>
      <c r="AL2" s="91"/>
    </row>
    <row r="3" spans="1:38" s="92" customFormat="1" ht="49.5">
      <c r="A3" s="451"/>
      <c r="B3" s="462"/>
      <c r="C3" s="462"/>
      <c r="D3" s="451"/>
      <c r="E3" s="451"/>
      <c r="F3" s="93" t="s">
        <v>226</v>
      </c>
      <c r="G3" s="189" t="s">
        <v>851</v>
      </c>
      <c r="H3" s="95" t="s">
        <v>12</v>
      </c>
      <c r="I3" s="95" t="s">
        <v>12</v>
      </c>
      <c r="J3" s="95" t="s">
        <v>848</v>
      </c>
      <c r="K3" s="95" t="s">
        <v>12</v>
      </c>
      <c r="L3" s="95" t="s">
        <v>12</v>
      </c>
      <c r="M3" s="95" t="s">
        <v>12</v>
      </c>
      <c r="N3" s="451"/>
      <c r="O3" s="451"/>
      <c r="P3" s="95" t="s">
        <v>12</v>
      </c>
      <c r="Q3" s="95" t="s">
        <v>12</v>
      </c>
      <c r="R3" s="95" t="s">
        <v>12</v>
      </c>
      <c r="S3" s="95" t="s">
        <v>12</v>
      </c>
      <c r="T3" s="95" t="s">
        <v>12</v>
      </c>
      <c r="U3" s="95" t="s">
        <v>12</v>
      </c>
      <c r="V3" s="95" t="s">
        <v>12</v>
      </c>
      <c r="W3" s="95" t="s">
        <v>12</v>
      </c>
      <c r="X3" s="95" t="s">
        <v>12</v>
      </c>
      <c r="Y3" s="95" t="s">
        <v>12</v>
      </c>
      <c r="Z3" s="95" t="s">
        <v>12</v>
      </c>
      <c r="AA3" s="95" t="s">
        <v>12</v>
      </c>
      <c r="AB3" s="446"/>
      <c r="AC3" s="446"/>
      <c r="AD3" s="403" t="s">
        <v>13</v>
      </c>
      <c r="AE3" s="456"/>
      <c r="AF3" s="451"/>
      <c r="AG3" s="113" t="s">
        <v>230</v>
      </c>
      <c r="AH3" s="113" t="s">
        <v>231</v>
      </c>
      <c r="AI3" s="451"/>
      <c r="AJ3" s="451"/>
      <c r="AK3" s="91"/>
      <c r="AL3" s="91"/>
    </row>
    <row r="4" spans="1:38" ht="15.75" customHeight="1">
      <c r="A4" s="27" t="s">
        <v>101</v>
      </c>
      <c r="B4" s="14">
        <v>6200004</v>
      </c>
      <c r="C4" s="118" t="s">
        <v>618</v>
      </c>
      <c r="D4" s="16">
        <v>50</v>
      </c>
      <c r="E4" s="17" t="s">
        <v>102</v>
      </c>
      <c r="F4" s="18"/>
      <c r="G4" s="18">
        <v>1084</v>
      </c>
      <c r="H4" s="20">
        <f>SUMIFS(領用表!$L:$L,領用表!$E:$E,$B4,領用表!$B:$B,H$2&amp;$P$1)</f>
        <v>876</v>
      </c>
      <c r="I4" s="20">
        <f>SUMIFS(領用表!$L:$L,領用表!$E:$E,$B4,領用表!$B:$B,I$2&amp;$P$1)</f>
        <v>1433</v>
      </c>
      <c r="J4" s="20">
        <f>SUMIFS(領用表!$L:$L,領用表!$E:$E,$B4,領用表!$B:$B,J$2&amp;$P$1)</f>
        <v>1558</v>
      </c>
      <c r="K4" s="142">
        <f>SUMIFS(領用表!$L:$L,領用表!$E:$E,$B4,領用表!$B:$B,K$2&amp;$P$1)</f>
        <v>1672</v>
      </c>
      <c r="L4" s="142">
        <f>SUMIFS(領用表!$L:$L,領用表!$E:$E,$B4,領用表!$B:$B,L$2&amp;$P$1)</f>
        <v>1894</v>
      </c>
      <c r="M4" s="142">
        <f>SUMIFS(領用表!$L:$L,領用表!$E:$E,$B4,領用表!$B:$B,M$2&amp;$P$1)</f>
        <v>2011</v>
      </c>
      <c r="N4" s="23">
        <f>SUM(,H4,I4,J4,K4,L4,M4)</f>
        <v>9444</v>
      </c>
      <c r="O4" s="23">
        <f>AVERAGE(,H4,I4,J4,K4,L4,M4)</f>
        <v>1349.1428571428571</v>
      </c>
      <c r="P4" s="142">
        <f>SUMIFS(領用表!$L:$L,領用表!$E:$E,$B4,領用表!$B:$B,P$2&amp;$P$1)</f>
        <v>2328</v>
      </c>
      <c r="Q4" s="142">
        <f>SUMIFS(領用表!$L:$L,領用表!$E:$E,$B4,領用表!$B:$B,Q$2&amp;$P$1)</f>
        <v>2352</v>
      </c>
      <c r="R4" s="142">
        <f>SUMIFS(領用表!$L:$L,領用表!$E:$E,$B4,領用表!$B:$B,R$2&amp;$P$1)</f>
        <v>3752</v>
      </c>
      <c r="S4" s="142">
        <f>SUMIFS(領用表!$L:$L,領用表!$E:$E,$B4,領用表!$B:$B,S$2&amp;$P$1)</f>
        <v>4383</v>
      </c>
      <c r="T4" s="142">
        <f>SUMIFS(領用表!$L:$L,領用表!$E:$E,$B4,領用表!$B:$B,T$2&amp;$P$1)</f>
        <v>5184</v>
      </c>
      <c r="U4" s="142">
        <f>SUMIFS(領用表!$L:$L,領用表!$E:$E,$B4,領用表!$B:$B,U$2&amp;$P$1)</f>
        <v>0</v>
      </c>
      <c r="V4" s="142">
        <f>SUMIFS(領用表!$L:$L,領用表!$E:$E,$B4,領用表!$B:$B,V$2&amp;$P$1)</f>
        <v>0</v>
      </c>
      <c r="W4" s="142">
        <f>SUMIFS(領用表!$L:$L,領用表!$E:$E,$B4,領用表!$B:$B,W$2&amp;$P$1)</f>
        <v>0</v>
      </c>
      <c r="X4" s="142">
        <f>SUMIFS(領用表!$L:$L,領用表!$E:$E,$B4,領用表!$B:$B,X$2&amp;$P$1)</f>
        <v>0</v>
      </c>
      <c r="Y4" s="142">
        <f>SUMIFS(領用表!$L:$L,領用表!$E:$E,$B4,領用表!$B:$B,Y$2&amp;$P$1)</f>
        <v>0</v>
      </c>
      <c r="Z4" s="142">
        <f>SUMIFS(領用表!$L:$L,領用表!$E:$E,$B4,領用表!$B:$B,Z$2&amp;$P$1)</f>
        <v>0</v>
      </c>
      <c r="AA4" s="142">
        <f>SUMIFS(領用表!$L:$L,領用表!$E:$E,$B4,領用表!$B:$B,AA$2&amp;$P$1)</f>
        <v>0</v>
      </c>
      <c r="AB4" s="208">
        <f>SUM(P4,Q4,R4,S4,T4)</f>
        <v>17999</v>
      </c>
      <c r="AC4" s="208">
        <f>AVERAGE(P4,Q4,R4,S4,T4)</f>
        <v>3599.8</v>
      </c>
      <c r="AD4" s="142">
        <f>SUMIF(Summary!B:B,B4,Summary!DW:DW)</f>
        <v>2760</v>
      </c>
      <c r="AE4" s="101"/>
      <c r="AF4" s="24" t="s">
        <v>103</v>
      </c>
      <c r="AG4" s="57" t="s">
        <v>104</v>
      </c>
      <c r="AH4" s="57" t="s">
        <v>105</v>
      </c>
      <c r="AI4" s="27"/>
      <c r="AJ4" s="28"/>
      <c r="AK4" s="14"/>
      <c r="AL4" s="29"/>
    </row>
    <row r="5" spans="1:38" ht="15.75" customHeight="1">
      <c r="A5" s="34"/>
      <c r="B5" s="34"/>
      <c r="C5" s="136"/>
      <c r="D5" s="181"/>
      <c r="E5" s="182"/>
      <c r="F5" s="18"/>
      <c r="G5" s="18"/>
      <c r="H5" s="183"/>
      <c r="I5" s="183"/>
      <c r="J5" s="183"/>
      <c r="K5" s="142"/>
      <c r="L5" s="142"/>
      <c r="M5" s="142"/>
      <c r="N5" s="184"/>
      <c r="O5" s="184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85"/>
      <c r="AF5" s="34"/>
      <c r="AG5" s="34"/>
      <c r="AH5" s="34"/>
      <c r="AI5" s="34"/>
      <c r="AJ5" s="34"/>
      <c r="AK5" s="14"/>
      <c r="AL5" s="29"/>
    </row>
    <row r="6" spans="1:38" ht="15.75" customHeight="1">
      <c r="A6" s="27"/>
      <c r="B6" s="14" t="e">
        <v>#N/A</v>
      </c>
      <c r="C6" s="118" t="s">
        <v>632</v>
      </c>
      <c r="D6" s="67">
        <v>3</v>
      </c>
      <c r="E6" s="17" t="s">
        <v>145</v>
      </c>
      <c r="F6" s="18"/>
      <c r="G6" s="18"/>
      <c r="H6" s="20">
        <f>SUMIFS(領用表!$L:$L,領用表!$E:$E,$B6,領用表!$B:$B,H$2&amp;$P$1)</f>
        <v>0</v>
      </c>
      <c r="I6" s="20">
        <f>SUMIFS(領用表!$L:$L,領用表!$E:$E,$B6,領用表!$B:$B,I$2&amp;$P$1)</f>
        <v>0</v>
      </c>
      <c r="J6" s="20">
        <f>SUMIFS(領用表!$L:$L,領用表!$E:$E,$B6,領用表!$B:$B,J$2&amp;$P$1)</f>
        <v>0</v>
      </c>
      <c r="K6" s="142">
        <f>SUMIFS(領用表!$L:$L,領用表!$E:$E,$B6,領用表!$B:$B,K$2&amp;$P$1)</f>
        <v>0</v>
      </c>
      <c r="L6" s="142">
        <f>SUMIFS(領用表!$L:$L,領用表!$E:$E,$B6,領用表!$B:$B,L$2&amp;$P$1)</f>
        <v>0</v>
      </c>
      <c r="M6" s="142">
        <f>SUMIFS(領用表!$L:$L,領用表!$E:$E,$B6,領用表!$B:$B,M$2&amp;$P$1)</f>
        <v>0</v>
      </c>
      <c r="N6" s="23">
        <f t="shared" ref="N6:N75" si="0">SUM(,H6,I6,J6,K6,L6,M6)</f>
        <v>0</v>
      </c>
      <c r="O6" s="23">
        <f t="shared" ref="O6:O75" si="1">AVERAGE(,H6,I6,J6,K6,L6,M6)</f>
        <v>0</v>
      </c>
      <c r="P6" s="142">
        <f>SUMIFS(領用表!$L:$L,領用表!$E:$E,$B6,領用表!$B:$B,P$2&amp;$P$1)</f>
        <v>0</v>
      </c>
      <c r="Q6" s="142">
        <f>SUMIFS(領用表!$L:$L,領用表!$E:$E,$B6,領用表!$B:$B,Q$2&amp;$P$1)</f>
        <v>0</v>
      </c>
      <c r="R6" s="142">
        <f>SUMIFS(領用表!$L:$L,領用表!$E:$E,$B6,領用表!$B:$B,R$2&amp;$P$1)</f>
        <v>0</v>
      </c>
      <c r="S6" s="142">
        <f>SUMIFS(領用表!$L:$L,領用表!$E:$E,$B6,領用表!$B:$B,S$2&amp;$P$1)</f>
        <v>0</v>
      </c>
      <c r="T6" s="142">
        <f>SUMIFS(領用表!$L:$L,領用表!$E:$E,$B6,領用表!$B:$B,T$2&amp;$P$1)</f>
        <v>0</v>
      </c>
      <c r="U6" s="142">
        <f>SUMIFS(領用表!$L:$L,領用表!$E:$E,$B6,領用表!$B:$B,U$2&amp;$P$1)</f>
        <v>0</v>
      </c>
      <c r="V6" s="142">
        <f>SUMIFS(領用表!$L:$L,領用表!$E:$E,$B6,領用表!$B:$B,V$2&amp;$P$1)</f>
        <v>0</v>
      </c>
      <c r="W6" s="142">
        <f>SUMIFS(領用表!$L:$L,領用表!$E:$E,$B6,領用表!$B:$B,W$2&amp;$P$1)</f>
        <v>0</v>
      </c>
      <c r="X6" s="142">
        <f>SUMIFS(領用表!$L:$L,領用表!$E:$E,$B6,領用表!$B:$B,X$2&amp;$P$1)</f>
        <v>0</v>
      </c>
      <c r="Y6" s="142">
        <f>SUMIFS(領用表!$L:$L,領用表!$E:$E,$B6,領用表!$B:$B,Y$2&amp;$P$1)</f>
        <v>0</v>
      </c>
      <c r="Z6" s="142">
        <f>SUMIFS(領用表!$L:$L,領用表!$E:$E,$B6,領用表!$B:$B,Z$2&amp;$P$1)</f>
        <v>0</v>
      </c>
      <c r="AA6" s="142">
        <f>SUMIFS(領用表!$L:$L,領用表!$E:$E,$B6,領用表!$B:$B,AA$2&amp;$P$1)</f>
        <v>0</v>
      </c>
      <c r="AB6" s="142">
        <f t="shared" ref="AB6:AB69" si="2">SUM(P6,Q6,R6,S6,T6)</f>
        <v>0</v>
      </c>
      <c r="AC6" s="142">
        <f t="shared" ref="AC6:AC69" si="3">AVERAGE(P6,Q6,R6,S6,T6)</f>
        <v>0</v>
      </c>
      <c r="AD6" s="142">
        <f>SUMIF(Summary!B:B,B6,Summary!DW:DW)</f>
        <v>0</v>
      </c>
      <c r="AE6" s="108"/>
      <c r="AF6" s="65"/>
      <c r="AG6" s="65"/>
      <c r="AH6" s="65"/>
      <c r="AI6" s="27"/>
      <c r="AJ6" s="69"/>
      <c r="AK6" s="14"/>
      <c r="AL6" s="29"/>
    </row>
    <row r="7" spans="1:38" ht="15.75" customHeight="1">
      <c r="A7" s="27"/>
      <c r="B7" s="14">
        <v>6200007</v>
      </c>
      <c r="C7" s="135" t="s">
        <v>500</v>
      </c>
      <c r="D7" s="67">
        <v>100</v>
      </c>
      <c r="E7" s="17" t="s">
        <v>146</v>
      </c>
      <c r="F7" s="18"/>
      <c r="G7" s="18"/>
      <c r="H7" s="20">
        <f>SUMIFS(領用表!$L:$L,領用表!$E:$E,$B7,領用表!$B:$B,H$2&amp;$P$1)</f>
        <v>132</v>
      </c>
      <c r="I7" s="20">
        <f>SUMIFS(領用表!$L:$L,領用表!$E:$E,$B7,領用表!$B:$B,I$2&amp;$P$1)</f>
        <v>332</v>
      </c>
      <c r="J7" s="20">
        <f>SUMIFS(領用表!$L:$L,領用表!$E:$E,$B7,領用表!$B:$B,J$2&amp;$P$1)</f>
        <v>448</v>
      </c>
      <c r="K7" s="142">
        <f>SUMIFS(領用表!$L:$L,領用表!$E:$E,$B7,領用表!$B:$B,K$2&amp;$P$1)</f>
        <v>176</v>
      </c>
      <c r="L7" s="142">
        <f>SUMIFS(領用表!$L:$L,領用表!$E:$E,$B7,領用表!$B:$B,L$2&amp;$P$1)</f>
        <v>124</v>
      </c>
      <c r="M7" s="142">
        <f>SUMIFS(領用表!$L:$L,領用表!$E:$E,$B7,領用表!$B:$B,M$2&amp;$P$1)</f>
        <v>0</v>
      </c>
      <c r="N7" s="23">
        <f t="shared" si="0"/>
        <v>1212</v>
      </c>
      <c r="O7" s="23">
        <f t="shared" si="1"/>
        <v>173.14285714285714</v>
      </c>
      <c r="P7" s="142">
        <f>SUMIFS(領用表!$L:$L,領用表!$E:$E,$B7,領用表!$B:$B,P$2&amp;$P$1)</f>
        <v>0</v>
      </c>
      <c r="Q7" s="142">
        <f>SUMIFS(領用表!$L:$L,領用表!$E:$E,$B7,領用表!$B:$B,Q$2&amp;$P$1)</f>
        <v>0</v>
      </c>
      <c r="R7" s="142">
        <f>SUMIFS(領用表!$L:$L,領用表!$E:$E,$B7,領用表!$B:$B,R$2&amp;$P$1)</f>
        <v>0</v>
      </c>
      <c r="S7" s="142">
        <f>SUMIFS(領用表!$L:$L,領用表!$E:$E,$B7,領用表!$B:$B,S$2&amp;$P$1)</f>
        <v>0</v>
      </c>
      <c r="T7" s="142">
        <f>SUMIFS(領用表!$L:$L,領用表!$E:$E,$B7,領用表!$B:$B,T$2&amp;$P$1)</f>
        <v>0</v>
      </c>
      <c r="U7" s="142">
        <f>SUMIFS(領用表!$L:$L,領用表!$E:$E,$B7,領用表!$B:$B,U$2&amp;$P$1)</f>
        <v>0</v>
      </c>
      <c r="V7" s="142">
        <f>SUMIFS(領用表!$L:$L,領用表!$E:$E,$B7,領用表!$B:$B,V$2&amp;$P$1)</f>
        <v>0</v>
      </c>
      <c r="W7" s="142">
        <f>SUMIFS(領用表!$L:$L,領用表!$E:$E,$B7,領用表!$B:$B,W$2&amp;$P$1)</f>
        <v>0</v>
      </c>
      <c r="X7" s="142">
        <f>SUMIFS(領用表!$L:$L,領用表!$E:$E,$B7,領用表!$B:$B,X$2&amp;$P$1)</f>
        <v>0</v>
      </c>
      <c r="Y7" s="142">
        <f>SUMIFS(領用表!$L:$L,領用表!$E:$E,$B7,領用表!$B:$B,Y$2&amp;$P$1)</f>
        <v>0</v>
      </c>
      <c r="Z7" s="142">
        <f>SUMIFS(領用表!$L:$L,領用表!$E:$E,$B7,領用表!$B:$B,Z$2&amp;$P$1)</f>
        <v>0</v>
      </c>
      <c r="AA7" s="142">
        <f>SUMIFS(領用表!$L:$L,領用表!$E:$E,$B7,領用表!$B:$B,AA$2&amp;$P$1)</f>
        <v>0</v>
      </c>
      <c r="AB7" s="142">
        <f t="shared" si="2"/>
        <v>0</v>
      </c>
      <c r="AC7" s="142">
        <f t="shared" si="3"/>
        <v>0</v>
      </c>
      <c r="AD7" s="142">
        <f>SUMIF(Summary!B:B,B7,Summary!DW:DW)</f>
        <v>0</v>
      </c>
      <c r="AE7" s="108"/>
      <c r="AF7" s="65"/>
      <c r="AG7" s="65"/>
      <c r="AH7" s="65"/>
      <c r="AI7" s="27"/>
      <c r="AJ7" s="69"/>
      <c r="AK7" s="14"/>
      <c r="AL7" s="29"/>
    </row>
    <row r="8" spans="1:38" ht="15.75" customHeight="1">
      <c r="A8" s="27" t="s">
        <v>147</v>
      </c>
      <c r="B8" s="14">
        <v>6200008</v>
      </c>
      <c r="C8" s="135" t="s">
        <v>501</v>
      </c>
      <c r="D8" s="67">
        <v>1</v>
      </c>
      <c r="E8" s="17" t="s">
        <v>145</v>
      </c>
      <c r="F8" s="18"/>
      <c r="G8" s="18">
        <v>0</v>
      </c>
      <c r="H8" s="20">
        <f>SUMIFS(領用表!$L:$L,領用表!$E:$E,$B8,領用表!$B:$B,H$2&amp;$P$1)</f>
        <v>4</v>
      </c>
      <c r="I8" s="20">
        <f>SUMIFS(領用表!$L:$L,領用表!$E:$E,$B8,領用表!$B:$B,I$2&amp;$P$1)</f>
        <v>4</v>
      </c>
      <c r="J8" s="20">
        <f>SUMIFS(領用表!$L:$L,領用表!$E:$E,$B8,領用表!$B:$B,J$2&amp;$P$1)</f>
        <v>5</v>
      </c>
      <c r="K8" s="142">
        <f>SUMIFS(領用表!$L:$L,領用表!$E:$E,$B8,領用表!$B:$B,K$2&amp;$P$1)</f>
        <v>2</v>
      </c>
      <c r="L8" s="142">
        <f>SUMIFS(領用表!$L:$L,領用表!$E:$E,$B8,領用表!$B:$B,L$2&amp;$P$1)</f>
        <v>8</v>
      </c>
      <c r="M8" s="142">
        <f>SUMIFS(領用表!$L:$L,領用表!$E:$E,$B8,領用表!$B:$B,M$2&amp;$P$1)</f>
        <v>1</v>
      </c>
      <c r="N8" s="23">
        <f t="shared" si="0"/>
        <v>24</v>
      </c>
      <c r="O8" s="23">
        <f t="shared" si="1"/>
        <v>3.4285714285714284</v>
      </c>
      <c r="P8" s="142">
        <f>SUMIFS(領用表!$L:$L,領用表!$E:$E,$B8,領用表!$B:$B,P$2&amp;$P$1)</f>
        <v>4</v>
      </c>
      <c r="Q8" s="142">
        <f>SUMIFS(領用表!$L:$L,領用表!$E:$E,$B8,領用表!$B:$B,Q$2&amp;$P$1)</f>
        <v>9</v>
      </c>
      <c r="R8" s="142">
        <f>SUMIFS(領用表!$L:$L,領用表!$E:$E,$B8,領用表!$B:$B,R$2&amp;$P$1)</f>
        <v>5</v>
      </c>
      <c r="S8" s="142">
        <f>SUMIFS(領用表!$L:$L,領用表!$E:$E,$B8,領用表!$B:$B,S$2&amp;$P$1)</f>
        <v>7</v>
      </c>
      <c r="T8" s="142">
        <f>SUMIFS(領用表!$L:$L,領用表!$E:$E,$B8,領用表!$B:$B,T$2&amp;$P$1)</f>
        <v>5</v>
      </c>
      <c r="U8" s="142">
        <f>SUMIFS(領用表!$L:$L,領用表!$E:$E,$B8,領用表!$B:$B,U$2&amp;$P$1)</f>
        <v>0</v>
      </c>
      <c r="V8" s="142">
        <f>SUMIFS(領用表!$L:$L,領用表!$E:$E,$B8,領用表!$B:$B,V$2&amp;$P$1)</f>
        <v>0</v>
      </c>
      <c r="W8" s="142">
        <f>SUMIFS(領用表!$L:$L,領用表!$E:$E,$B8,領用表!$B:$B,W$2&amp;$P$1)</f>
        <v>0</v>
      </c>
      <c r="X8" s="142">
        <f>SUMIFS(領用表!$L:$L,領用表!$E:$E,$B8,領用表!$B:$B,X$2&amp;$P$1)</f>
        <v>0</v>
      </c>
      <c r="Y8" s="142">
        <f>SUMIFS(領用表!$L:$L,領用表!$E:$E,$B8,領用表!$B:$B,Y$2&amp;$P$1)</f>
        <v>0</v>
      </c>
      <c r="Z8" s="142">
        <f>SUMIFS(領用表!$L:$L,領用表!$E:$E,$B8,領用表!$B:$B,Z$2&amp;$P$1)</f>
        <v>0</v>
      </c>
      <c r="AA8" s="142">
        <f>SUMIFS(領用表!$L:$L,領用表!$E:$E,$B8,領用表!$B:$B,AA$2&amp;$P$1)</f>
        <v>0</v>
      </c>
      <c r="AB8" s="142">
        <f t="shared" si="2"/>
        <v>30</v>
      </c>
      <c r="AC8" s="142">
        <f t="shared" si="3"/>
        <v>6</v>
      </c>
      <c r="AD8" s="142">
        <f>SUMIF(Summary!B:B,B8,Summary!DW:DW)</f>
        <v>6</v>
      </c>
      <c r="AE8" s="108"/>
      <c r="AF8" s="65"/>
      <c r="AG8" s="65"/>
      <c r="AH8" s="65"/>
      <c r="AI8" s="27"/>
      <c r="AJ8" s="69"/>
      <c r="AK8" s="14"/>
      <c r="AL8" s="29"/>
    </row>
    <row r="9" spans="1:38" ht="15.75" customHeight="1">
      <c r="A9" s="27" t="s">
        <v>148</v>
      </c>
      <c r="B9" s="14">
        <v>6200010</v>
      </c>
      <c r="C9" s="135" t="s">
        <v>502</v>
      </c>
      <c r="D9" s="67">
        <v>1</v>
      </c>
      <c r="E9" s="17" t="s">
        <v>145</v>
      </c>
      <c r="F9" s="18"/>
      <c r="G9" s="18">
        <v>10</v>
      </c>
      <c r="H9" s="20">
        <f>SUMIFS(領用表!$L:$L,領用表!$E:$E,$B9,領用表!$B:$B,H$2&amp;$P$1)</f>
        <v>3</v>
      </c>
      <c r="I9" s="20">
        <f>SUMIFS(領用表!$L:$L,領用表!$E:$E,$B9,領用表!$B:$B,I$2&amp;$P$1)</f>
        <v>6</v>
      </c>
      <c r="J9" s="20">
        <f>SUMIFS(領用表!$L:$L,領用表!$E:$E,$B9,領用表!$B:$B,J$2&amp;$P$1)</f>
        <v>1</v>
      </c>
      <c r="K9" s="142">
        <f>SUMIFS(領用表!$L:$L,領用表!$E:$E,$B9,領用表!$B:$B,K$2&amp;$P$1)</f>
        <v>0</v>
      </c>
      <c r="L9" s="142">
        <f>SUMIFS(領用表!$L:$L,領用表!$E:$E,$B9,領用表!$B:$B,L$2&amp;$P$1)</f>
        <v>17</v>
      </c>
      <c r="M9" s="142">
        <f>SUMIFS(領用表!$L:$L,領用表!$E:$E,$B9,領用表!$B:$B,M$2&amp;$P$1)</f>
        <v>4</v>
      </c>
      <c r="N9" s="23">
        <f t="shared" si="0"/>
        <v>31</v>
      </c>
      <c r="O9" s="23">
        <f t="shared" si="1"/>
        <v>4.4285714285714288</v>
      </c>
      <c r="P9" s="142">
        <f>SUMIFS(領用表!$L:$L,領用表!$E:$E,$B9,領用表!$B:$B,P$2&amp;$P$1)</f>
        <v>7</v>
      </c>
      <c r="Q9" s="142">
        <f>SUMIFS(領用表!$L:$L,領用表!$E:$E,$B9,領用表!$B:$B,Q$2&amp;$P$1)</f>
        <v>5</v>
      </c>
      <c r="R9" s="142">
        <f>SUMIFS(領用表!$L:$L,領用表!$E:$E,$B9,領用表!$B:$B,R$2&amp;$P$1)</f>
        <v>13</v>
      </c>
      <c r="S9" s="142">
        <f>SUMIFS(領用表!$L:$L,領用表!$E:$E,$B9,領用表!$B:$B,S$2&amp;$P$1)</f>
        <v>4</v>
      </c>
      <c r="T9" s="142">
        <f>SUMIFS(領用表!$L:$L,領用表!$E:$E,$B9,領用表!$B:$B,T$2&amp;$P$1)</f>
        <v>4</v>
      </c>
      <c r="U9" s="142">
        <f>SUMIFS(領用表!$L:$L,領用表!$E:$E,$B9,領用表!$B:$B,U$2&amp;$P$1)</f>
        <v>0</v>
      </c>
      <c r="V9" s="142">
        <f>SUMIFS(領用表!$L:$L,領用表!$E:$E,$B9,領用表!$B:$B,V$2&amp;$P$1)</f>
        <v>0</v>
      </c>
      <c r="W9" s="142">
        <f>SUMIFS(領用表!$L:$L,領用表!$E:$E,$B9,領用表!$B:$B,W$2&amp;$P$1)</f>
        <v>0</v>
      </c>
      <c r="X9" s="142">
        <f>SUMIFS(領用表!$L:$L,領用表!$E:$E,$B9,領用表!$B:$B,X$2&amp;$P$1)</f>
        <v>0</v>
      </c>
      <c r="Y9" s="142">
        <f>SUMIFS(領用表!$L:$L,領用表!$E:$E,$B9,領用表!$B:$B,Y$2&amp;$P$1)</f>
        <v>0</v>
      </c>
      <c r="Z9" s="142">
        <f>SUMIFS(領用表!$L:$L,領用表!$E:$E,$B9,領用表!$B:$B,Z$2&amp;$P$1)</f>
        <v>0</v>
      </c>
      <c r="AA9" s="142">
        <f>SUMIFS(領用表!$L:$L,領用表!$E:$E,$B9,領用表!$B:$B,AA$2&amp;$P$1)</f>
        <v>0</v>
      </c>
      <c r="AB9" s="142">
        <f t="shared" si="2"/>
        <v>33</v>
      </c>
      <c r="AC9" s="142">
        <f t="shared" si="3"/>
        <v>6.6</v>
      </c>
      <c r="AD9" s="142">
        <f>SUMIF(Summary!B:B,B9,Summary!DW:DW)</f>
        <v>10</v>
      </c>
      <c r="AE9" s="108"/>
      <c r="AF9" s="65"/>
      <c r="AG9" s="65"/>
      <c r="AH9" s="65"/>
      <c r="AI9" s="27"/>
      <c r="AJ9" s="69"/>
      <c r="AK9" s="14"/>
      <c r="AL9" s="29"/>
    </row>
    <row r="10" spans="1:38" ht="15.75" customHeight="1">
      <c r="A10" s="27" t="s">
        <v>149</v>
      </c>
      <c r="B10" s="14">
        <v>6200012</v>
      </c>
      <c r="C10" s="135" t="s">
        <v>503</v>
      </c>
      <c r="D10" s="67">
        <v>1</v>
      </c>
      <c r="E10" s="17" t="s">
        <v>145</v>
      </c>
      <c r="F10" s="18"/>
      <c r="G10" s="18">
        <v>3</v>
      </c>
      <c r="H10" s="20">
        <f>SUMIFS(領用表!$L:$L,領用表!$E:$E,$B10,領用表!$B:$B,H$2&amp;$P$1)</f>
        <v>0</v>
      </c>
      <c r="I10" s="20">
        <f>SUMIFS(領用表!$L:$L,領用表!$E:$E,$B10,領用表!$B:$B,I$2&amp;$P$1)</f>
        <v>0</v>
      </c>
      <c r="J10" s="20">
        <f>SUMIFS(領用表!$L:$L,領用表!$E:$E,$B10,領用表!$B:$B,J$2&amp;$P$1)</f>
        <v>0</v>
      </c>
      <c r="K10" s="142">
        <f>SUMIFS(領用表!$L:$L,領用表!$E:$E,$B10,領用表!$B:$B,K$2&amp;$P$1)</f>
        <v>0</v>
      </c>
      <c r="L10" s="142">
        <f>SUMIFS(領用表!$L:$L,領用表!$E:$E,$B10,領用表!$B:$B,L$2&amp;$P$1)</f>
        <v>0</v>
      </c>
      <c r="M10" s="142">
        <f>SUMIFS(領用表!$L:$L,領用表!$E:$E,$B10,領用表!$B:$B,M$2&amp;$P$1)</f>
        <v>0</v>
      </c>
      <c r="N10" s="23">
        <f t="shared" si="0"/>
        <v>0</v>
      </c>
      <c r="O10" s="23">
        <f t="shared" si="1"/>
        <v>0</v>
      </c>
      <c r="P10" s="142">
        <f>SUMIFS(領用表!$L:$L,領用表!$E:$E,$B10,領用表!$B:$B,P$2&amp;$P$1)</f>
        <v>0</v>
      </c>
      <c r="Q10" s="142">
        <f>SUMIFS(領用表!$L:$L,領用表!$E:$E,$B10,領用表!$B:$B,Q$2&amp;$P$1)</f>
        <v>0</v>
      </c>
      <c r="R10" s="142">
        <f>SUMIFS(領用表!$L:$L,領用表!$E:$E,$B10,領用表!$B:$B,R$2&amp;$P$1)</f>
        <v>0</v>
      </c>
      <c r="S10" s="142">
        <f>SUMIFS(領用表!$L:$L,領用表!$E:$E,$B10,領用表!$B:$B,S$2&amp;$P$1)</f>
        <v>0</v>
      </c>
      <c r="T10" s="142">
        <f>SUMIFS(領用表!$L:$L,領用表!$E:$E,$B10,領用表!$B:$B,T$2&amp;$P$1)</f>
        <v>2</v>
      </c>
      <c r="U10" s="142">
        <f>SUMIFS(領用表!$L:$L,領用表!$E:$E,$B10,領用表!$B:$B,U$2&amp;$P$1)</f>
        <v>0</v>
      </c>
      <c r="V10" s="142">
        <f>SUMIFS(領用表!$L:$L,領用表!$E:$E,$B10,領用表!$B:$B,V$2&amp;$P$1)</f>
        <v>0</v>
      </c>
      <c r="W10" s="142">
        <f>SUMIFS(領用表!$L:$L,領用表!$E:$E,$B10,領用表!$B:$B,W$2&amp;$P$1)</f>
        <v>0</v>
      </c>
      <c r="X10" s="142">
        <f>SUMIFS(領用表!$L:$L,領用表!$E:$E,$B10,領用表!$B:$B,X$2&amp;$P$1)</f>
        <v>0</v>
      </c>
      <c r="Y10" s="142">
        <f>SUMIFS(領用表!$L:$L,領用表!$E:$E,$B10,領用表!$B:$B,Y$2&amp;$P$1)</f>
        <v>0</v>
      </c>
      <c r="Z10" s="142">
        <f>SUMIFS(領用表!$L:$L,領用表!$E:$E,$B10,領用表!$B:$B,Z$2&amp;$P$1)</f>
        <v>0</v>
      </c>
      <c r="AA10" s="142">
        <f>SUMIFS(領用表!$L:$L,領用表!$E:$E,$B10,領用表!$B:$B,AA$2&amp;$P$1)</f>
        <v>0</v>
      </c>
      <c r="AB10" s="142">
        <f t="shared" si="2"/>
        <v>2</v>
      </c>
      <c r="AC10" s="142">
        <f t="shared" si="3"/>
        <v>0.4</v>
      </c>
      <c r="AD10" s="142">
        <f>SUMIF(Summary!B:B,B10,Summary!DW:DW)</f>
        <v>2</v>
      </c>
      <c r="AE10" s="108"/>
      <c r="AF10" s="65"/>
      <c r="AG10" s="65"/>
      <c r="AH10" s="65"/>
      <c r="AI10" s="27"/>
      <c r="AJ10" s="69"/>
      <c r="AK10" s="14"/>
      <c r="AL10" s="29"/>
    </row>
    <row r="11" spans="1:38" ht="15.75" customHeight="1">
      <c r="A11" s="27" t="s">
        <v>641</v>
      </c>
      <c r="B11" s="14">
        <v>6200013</v>
      </c>
      <c r="C11" s="135" t="s">
        <v>504</v>
      </c>
      <c r="D11" s="67">
        <v>1</v>
      </c>
      <c r="E11" s="17" t="s">
        <v>145</v>
      </c>
      <c r="F11" s="18"/>
      <c r="G11" s="18">
        <v>0</v>
      </c>
      <c r="H11" s="20">
        <f>SUMIFS(領用表!$L:$L,領用表!$E:$E,$B11,領用表!$B:$B,H$2&amp;$P$1)</f>
        <v>14</v>
      </c>
      <c r="I11" s="20">
        <f>SUMIFS(領用表!$L:$L,領用表!$E:$E,$B11,領用表!$B:$B,I$2&amp;$P$1)</f>
        <v>32</v>
      </c>
      <c r="J11" s="20">
        <f>SUMIFS(領用表!$L:$L,領用表!$E:$E,$B11,領用表!$B:$B,J$2&amp;$P$1)</f>
        <v>58</v>
      </c>
      <c r="K11" s="142">
        <f>SUMIFS(領用表!$L:$L,領用表!$E:$E,$B11,領用表!$B:$B,K$2&amp;$P$1)</f>
        <v>10</v>
      </c>
      <c r="L11" s="142">
        <f>SUMIFS(領用表!$L:$L,領用表!$E:$E,$B11,領用表!$B:$B,L$2&amp;$P$1)</f>
        <v>3</v>
      </c>
      <c r="M11" s="142">
        <f>SUMIFS(領用表!$L:$L,領用表!$E:$E,$B11,領用表!$B:$B,M$2&amp;$P$1)</f>
        <v>6</v>
      </c>
      <c r="N11" s="23">
        <f t="shared" si="0"/>
        <v>123</v>
      </c>
      <c r="O11" s="23">
        <f t="shared" si="1"/>
        <v>17.571428571428573</v>
      </c>
      <c r="P11" s="142">
        <f>SUMIFS(領用表!$L:$L,領用表!$E:$E,$B11,領用表!$B:$B,P$2&amp;$P$1)</f>
        <v>0</v>
      </c>
      <c r="Q11" s="142">
        <f>SUMIFS(領用表!$L:$L,領用表!$E:$E,$B11,領用表!$B:$B,Q$2&amp;$P$1)</f>
        <v>1</v>
      </c>
      <c r="R11" s="142">
        <f>SUMIFS(領用表!$L:$L,領用表!$E:$E,$B11,領用表!$B:$B,R$2&amp;$P$1)</f>
        <v>0</v>
      </c>
      <c r="S11" s="142">
        <f>SUMIFS(領用表!$L:$L,領用表!$E:$E,$B11,領用表!$B:$B,S$2&amp;$P$1)</f>
        <v>2</v>
      </c>
      <c r="T11" s="142">
        <f>SUMIFS(領用表!$L:$L,領用表!$E:$E,$B11,領用表!$B:$B,T$2&amp;$P$1)</f>
        <v>0</v>
      </c>
      <c r="U11" s="142">
        <f>SUMIFS(領用表!$L:$L,領用表!$E:$E,$B11,領用表!$B:$B,U$2&amp;$P$1)</f>
        <v>0</v>
      </c>
      <c r="V11" s="142">
        <f>SUMIFS(領用表!$L:$L,領用表!$E:$E,$B11,領用表!$B:$B,V$2&amp;$P$1)</f>
        <v>0</v>
      </c>
      <c r="W11" s="142">
        <f>SUMIFS(領用表!$L:$L,領用表!$E:$E,$B11,領用表!$B:$B,W$2&amp;$P$1)</f>
        <v>0</v>
      </c>
      <c r="X11" s="142">
        <f>SUMIFS(領用表!$L:$L,領用表!$E:$E,$B11,領用表!$B:$B,X$2&amp;$P$1)</f>
        <v>0</v>
      </c>
      <c r="Y11" s="142">
        <f>SUMIFS(領用表!$L:$L,領用表!$E:$E,$B11,領用表!$B:$B,Y$2&amp;$P$1)</f>
        <v>0</v>
      </c>
      <c r="Z11" s="142">
        <f>SUMIFS(領用表!$L:$L,領用表!$E:$E,$B11,領用表!$B:$B,Z$2&amp;$P$1)</f>
        <v>0</v>
      </c>
      <c r="AA11" s="142">
        <f>SUMIFS(領用表!$L:$L,領用表!$E:$E,$B11,領用表!$B:$B,AA$2&amp;$P$1)</f>
        <v>0</v>
      </c>
      <c r="AB11" s="142">
        <f t="shared" si="2"/>
        <v>3</v>
      </c>
      <c r="AC11" s="142">
        <f t="shared" si="3"/>
        <v>0.6</v>
      </c>
      <c r="AD11" s="142">
        <f>SUMIF(Summary!B:B,B11,Summary!DW:DW)</f>
        <v>10</v>
      </c>
      <c r="AE11" s="108"/>
      <c r="AF11" s="65"/>
      <c r="AG11" s="65"/>
      <c r="AH11" s="74"/>
      <c r="AI11" s="27"/>
      <c r="AJ11" s="69"/>
      <c r="AK11" s="14"/>
      <c r="AL11" s="29"/>
    </row>
    <row r="12" spans="1:38" ht="15.75" customHeight="1">
      <c r="A12" s="27" t="s">
        <v>642</v>
      </c>
      <c r="B12" s="14">
        <v>6200014</v>
      </c>
      <c r="C12" s="135" t="s">
        <v>505</v>
      </c>
      <c r="D12" s="67">
        <v>1</v>
      </c>
      <c r="E12" s="17" t="s">
        <v>145</v>
      </c>
      <c r="F12" s="18"/>
      <c r="G12" s="18">
        <v>3</v>
      </c>
      <c r="H12" s="20">
        <f>SUMIFS(領用表!$L:$L,領用表!$E:$E,$B12,領用表!$B:$B,H$2&amp;$P$1)</f>
        <v>15</v>
      </c>
      <c r="I12" s="20">
        <f>SUMIFS(領用表!$L:$L,領用表!$E:$E,$B12,領用表!$B:$B,I$2&amp;$P$1)</f>
        <v>26</v>
      </c>
      <c r="J12" s="20">
        <f>SUMIFS(領用表!$L:$L,領用表!$E:$E,$B12,領用表!$B:$B,J$2&amp;$P$1)</f>
        <v>17</v>
      </c>
      <c r="K12" s="142">
        <f>SUMIFS(領用表!$L:$L,領用表!$E:$E,$B12,領用表!$B:$B,K$2&amp;$P$1)</f>
        <v>18</v>
      </c>
      <c r="L12" s="142">
        <f>SUMIFS(領用表!$L:$L,領用表!$E:$E,$B12,領用表!$B:$B,L$2&amp;$P$1)</f>
        <v>4</v>
      </c>
      <c r="M12" s="142">
        <f>SUMIFS(領用表!$L:$L,領用表!$E:$E,$B12,領用表!$B:$B,M$2&amp;$P$1)</f>
        <v>4</v>
      </c>
      <c r="N12" s="23">
        <f t="shared" si="0"/>
        <v>84</v>
      </c>
      <c r="O12" s="23">
        <f t="shared" si="1"/>
        <v>12</v>
      </c>
      <c r="P12" s="142">
        <f>SUMIFS(領用表!$L:$L,領用表!$E:$E,$B12,領用表!$B:$B,P$2&amp;$P$1)</f>
        <v>2</v>
      </c>
      <c r="Q12" s="142">
        <f>SUMIFS(領用表!$L:$L,領用表!$E:$E,$B12,領用表!$B:$B,Q$2&amp;$P$1)</f>
        <v>0</v>
      </c>
      <c r="R12" s="142">
        <f>SUMIFS(領用表!$L:$L,領用表!$E:$E,$B12,領用表!$B:$B,R$2&amp;$P$1)</f>
        <v>1</v>
      </c>
      <c r="S12" s="142">
        <f>SUMIFS(領用表!$L:$L,領用表!$E:$E,$B12,領用表!$B:$B,S$2&amp;$P$1)</f>
        <v>7</v>
      </c>
      <c r="T12" s="142">
        <f>SUMIFS(領用表!$L:$L,領用表!$E:$E,$B12,領用表!$B:$B,T$2&amp;$P$1)</f>
        <v>2</v>
      </c>
      <c r="U12" s="142">
        <f>SUMIFS(領用表!$L:$L,領用表!$E:$E,$B12,領用表!$B:$B,U$2&amp;$P$1)</f>
        <v>0</v>
      </c>
      <c r="V12" s="142">
        <f>SUMIFS(領用表!$L:$L,領用表!$E:$E,$B12,領用表!$B:$B,V$2&amp;$P$1)</f>
        <v>0</v>
      </c>
      <c r="W12" s="142">
        <f>SUMIFS(領用表!$L:$L,領用表!$E:$E,$B12,領用表!$B:$B,W$2&amp;$P$1)</f>
        <v>0</v>
      </c>
      <c r="X12" s="142">
        <f>SUMIFS(領用表!$L:$L,領用表!$E:$E,$B12,領用表!$B:$B,X$2&amp;$P$1)</f>
        <v>0</v>
      </c>
      <c r="Y12" s="142">
        <f>SUMIFS(領用表!$L:$L,領用表!$E:$E,$B12,領用表!$B:$B,Y$2&amp;$P$1)</f>
        <v>0</v>
      </c>
      <c r="Z12" s="142">
        <f>SUMIFS(領用表!$L:$L,領用表!$E:$E,$B12,領用表!$B:$B,Z$2&amp;$P$1)</f>
        <v>0</v>
      </c>
      <c r="AA12" s="142">
        <f>SUMIFS(領用表!$L:$L,領用表!$E:$E,$B12,領用表!$B:$B,AA$2&amp;$P$1)</f>
        <v>0</v>
      </c>
      <c r="AB12" s="142">
        <f t="shared" si="2"/>
        <v>12</v>
      </c>
      <c r="AC12" s="142">
        <f t="shared" si="3"/>
        <v>2.4</v>
      </c>
      <c r="AD12" s="142">
        <f>SUMIF(Summary!B:B,B12,Summary!DW:DW)</f>
        <v>16</v>
      </c>
      <c r="AE12" s="108"/>
      <c r="AF12" s="65"/>
      <c r="AG12" s="54"/>
      <c r="AH12" s="54" t="s">
        <v>150</v>
      </c>
      <c r="AI12" s="27"/>
      <c r="AJ12" s="69"/>
      <c r="AK12" s="14"/>
      <c r="AL12" s="29"/>
    </row>
    <row r="13" spans="1:38" ht="15.75" customHeight="1">
      <c r="A13" s="27" t="s">
        <v>643</v>
      </c>
      <c r="B13" s="14">
        <v>6200015</v>
      </c>
      <c r="C13" s="135" t="s">
        <v>506</v>
      </c>
      <c r="D13" s="67">
        <v>1</v>
      </c>
      <c r="E13" s="17" t="s">
        <v>145</v>
      </c>
      <c r="F13" s="18"/>
      <c r="G13" s="18">
        <v>0</v>
      </c>
      <c r="H13" s="20">
        <f>SUMIFS(領用表!$L:$L,領用表!$E:$E,$B13,領用表!$B:$B,H$2&amp;$P$1)</f>
        <v>0</v>
      </c>
      <c r="I13" s="20">
        <f>SUMIFS(領用表!$L:$L,領用表!$E:$E,$B13,領用表!$B:$B,I$2&amp;$P$1)</f>
        <v>2</v>
      </c>
      <c r="J13" s="20">
        <f>SUMIFS(領用表!$L:$L,領用表!$E:$E,$B13,領用表!$B:$B,J$2&amp;$P$1)</f>
        <v>24</v>
      </c>
      <c r="K13" s="142">
        <f>SUMIFS(領用表!$L:$L,領用表!$E:$E,$B13,領用表!$B:$B,K$2&amp;$P$1)</f>
        <v>6</v>
      </c>
      <c r="L13" s="142">
        <f>SUMIFS(領用表!$L:$L,領用表!$E:$E,$B13,領用表!$B:$B,L$2&amp;$P$1)</f>
        <v>5</v>
      </c>
      <c r="M13" s="142">
        <f>SUMIFS(領用表!$L:$L,領用表!$E:$E,$B13,領用表!$B:$B,M$2&amp;$P$1)</f>
        <v>3</v>
      </c>
      <c r="N13" s="23">
        <f t="shared" si="0"/>
        <v>40</v>
      </c>
      <c r="O13" s="23">
        <f t="shared" si="1"/>
        <v>5.7142857142857144</v>
      </c>
      <c r="P13" s="142">
        <f>SUMIFS(領用表!$L:$L,領用表!$E:$E,$B13,領用表!$B:$B,P$2&amp;$P$1)</f>
        <v>3</v>
      </c>
      <c r="Q13" s="142">
        <f>SUMIFS(領用表!$L:$L,領用表!$E:$E,$B13,領用表!$B:$B,Q$2&amp;$P$1)</f>
        <v>1</v>
      </c>
      <c r="R13" s="142">
        <f>SUMIFS(領用表!$L:$L,領用表!$E:$E,$B13,領用表!$B:$B,R$2&amp;$P$1)</f>
        <v>0</v>
      </c>
      <c r="S13" s="142">
        <f>SUMIFS(領用表!$L:$L,領用表!$E:$E,$B13,領用表!$B:$B,S$2&amp;$P$1)</f>
        <v>4</v>
      </c>
      <c r="T13" s="142">
        <f>SUMIFS(領用表!$L:$L,領用表!$E:$E,$B13,領用表!$B:$B,T$2&amp;$P$1)</f>
        <v>0</v>
      </c>
      <c r="U13" s="142">
        <f>SUMIFS(領用表!$L:$L,領用表!$E:$E,$B13,領用表!$B:$B,U$2&amp;$P$1)</f>
        <v>0</v>
      </c>
      <c r="V13" s="142">
        <f>SUMIFS(領用表!$L:$L,領用表!$E:$E,$B13,領用表!$B:$B,V$2&amp;$P$1)</f>
        <v>0</v>
      </c>
      <c r="W13" s="142">
        <f>SUMIFS(領用表!$L:$L,領用表!$E:$E,$B13,領用表!$B:$B,W$2&amp;$P$1)</f>
        <v>0</v>
      </c>
      <c r="X13" s="142">
        <f>SUMIFS(領用表!$L:$L,領用表!$E:$E,$B13,領用表!$B:$B,X$2&amp;$P$1)</f>
        <v>0</v>
      </c>
      <c r="Y13" s="142">
        <f>SUMIFS(領用表!$L:$L,領用表!$E:$E,$B13,領用表!$B:$B,Y$2&amp;$P$1)</f>
        <v>0</v>
      </c>
      <c r="Z13" s="142">
        <f>SUMIFS(領用表!$L:$L,領用表!$E:$E,$B13,領用表!$B:$B,Z$2&amp;$P$1)</f>
        <v>0</v>
      </c>
      <c r="AA13" s="142">
        <f>SUMIFS(領用表!$L:$L,領用表!$E:$E,$B13,領用表!$B:$B,AA$2&amp;$P$1)</f>
        <v>0</v>
      </c>
      <c r="AB13" s="142">
        <f t="shared" si="2"/>
        <v>8</v>
      </c>
      <c r="AC13" s="142">
        <f t="shared" si="3"/>
        <v>1.6</v>
      </c>
      <c r="AD13" s="142">
        <f>SUMIF(Summary!B:B,B13,Summary!DW:DW)</f>
        <v>5</v>
      </c>
      <c r="AE13" s="108"/>
      <c r="AF13" s="65"/>
      <c r="AG13" s="65"/>
      <c r="AH13" s="65" t="s">
        <v>150</v>
      </c>
      <c r="AI13" s="27"/>
      <c r="AJ13" s="69"/>
      <c r="AK13" s="14"/>
      <c r="AL13" s="29"/>
    </row>
    <row r="14" spans="1:38" ht="15.75" customHeight="1">
      <c r="A14" s="27" t="s">
        <v>644</v>
      </c>
      <c r="B14" s="14">
        <v>6200016</v>
      </c>
      <c r="C14" s="135" t="s">
        <v>507</v>
      </c>
      <c r="D14" s="67">
        <v>1</v>
      </c>
      <c r="E14" s="17" t="s">
        <v>145</v>
      </c>
      <c r="F14" s="18"/>
      <c r="G14" s="18">
        <v>11</v>
      </c>
      <c r="H14" s="20">
        <f>SUMIFS(領用表!$L:$L,領用表!$E:$E,$B14,領用表!$B:$B,H$2&amp;$P$1)</f>
        <v>4</v>
      </c>
      <c r="I14" s="20">
        <f>SUMIFS(領用表!$L:$L,領用表!$E:$E,$B14,領用表!$B:$B,I$2&amp;$P$1)</f>
        <v>23</v>
      </c>
      <c r="J14" s="20">
        <f>SUMIFS(領用表!$L:$L,領用表!$E:$E,$B14,領用表!$B:$B,J$2&amp;$P$1)</f>
        <v>13</v>
      </c>
      <c r="K14" s="142">
        <f>SUMIFS(領用表!$L:$L,領用表!$E:$E,$B14,領用表!$B:$B,K$2&amp;$P$1)</f>
        <v>0</v>
      </c>
      <c r="L14" s="142">
        <f>SUMIFS(領用表!$L:$L,領用表!$E:$E,$B14,領用表!$B:$B,L$2&amp;$P$1)</f>
        <v>24</v>
      </c>
      <c r="M14" s="142">
        <f>SUMIFS(領用表!$L:$L,領用表!$E:$E,$B14,領用表!$B:$B,M$2&amp;$P$1)</f>
        <v>16</v>
      </c>
      <c r="N14" s="23">
        <f t="shared" si="0"/>
        <v>80</v>
      </c>
      <c r="O14" s="23">
        <f t="shared" si="1"/>
        <v>11.428571428571429</v>
      </c>
      <c r="P14" s="142">
        <f>SUMIFS(領用表!$L:$L,領用表!$E:$E,$B14,領用表!$B:$B,P$2&amp;$P$1)</f>
        <v>7</v>
      </c>
      <c r="Q14" s="142">
        <f>SUMIFS(領用表!$L:$L,領用表!$E:$E,$B14,領用表!$B:$B,Q$2&amp;$P$1)</f>
        <v>16</v>
      </c>
      <c r="R14" s="142">
        <f>SUMIFS(領用表!$L:$L,領用表!$E:$E,$B14,領用表!$B:$B,R$2&amp;$P$1)</f>
        <v>9</v>
      </c>
      <c r="S14" s="142">
        <f>SUMIFS(領用表!$L:$L,領用表!$E:$E,$B14,領用表!$B:$B,S$2&amp;$P$1)</f>
        <v>8</v>
      </c>
      <c r="T14" s="142">
        <f>SUMIFS(領用表!$L:$L,領用表!$E:$E,$B14,領用表!$B:$B,T$2&amp;$P$1)</f>
        <v>1</v>
      </c>
      <c r="U14" s="142">
        <f>SUMIFS(領用表!$L:$L,領用表!$E:$E,$B14,領用表!$B:$B,U$2&amp;$P$1)</f>
        <v>0</v>
      </c>
      <c r="V14" s="142">
        <f>SUMIFS(領用表!$L:$L,領用表!$E:$E,$B14,領用表!$B:$B,V$2&amp;$P$1)</f>
        <v>0</v>
      </c>
      <c r="W14" s="142">
        <f>SUMIFS(領用表!$L:$L,領用表!$E:$E,$B14,領用表!$B:$B,W$2&amp;$P$1)</f>
        <v>0</v>
      </c>
      <c r="X14" s="142">
        <f>SUMIFS(領用表!$L:$L,領用表!$E:$E,$B14,領用表!$B:$B,X$2&amp;$P$1)</f>
        <v>0</v>
      </c>
      <c r="Y14" s="142">
        <f>SUMIFS(領用表!$L:$L,領用表!$E:$E,$B14,領用表!$B:$B,Y$2&amp;$P$1)</f>
        <v>0</v>
      </c>
      <c r="Z14" s="142">
        <f>SUMIFS(領用表!$L:$L,領用表!$E:$E,$B14,領用表!$B:$B,Z$2&amp;$P$1)</f>
        <v>0</v>
      </c>
      <c r="AA14" s="142">
        <f>SUMIFS(領用表!$L:$L,領用表!$E:$E,$B14,領用表!$B:$B,AA$2&amp;$P$1)</f>
        <v>0</v>
      </c>
      <c r="AB14" s="142">
        <f t="shared" si="2"/>
        <v>41</v>
      </c>
      <c r="AC14" s="142">
        <f t="shared" si="3"/>
        <v>8.1999999999999993</v>
      </c>
      <c r="AD14" s="142">
        <f>SUMIF(Summary!B:B,B14,Summary!DW:DW)</f>
        <v>12</v>
      </c>
      <c r="AE14" s="108"/>
      <c r="AF14" s="65"/>
      <c r="AG14" s="54"/>
      <c r="AH14" s="54" t="s">
        <v>151</v>
      </c>
      <c r="AI14" s="27"/>
      <c r="AJ14" s="69"/>
      <c r="AK14" s="14"/>
      <c r="AL14" s="29"/>
    </row>
    <row r="15" spans="1:38" ht="15.75" customHeight="1">
      <c r="A15" s="27"/>
      <c r="B15" s="178">
        <v>6200017</v>
      </c>
      <c r="C15" s="179" t="s">
        <v>713</v>
      </c>
      <c r="D15" s="67">
        <v>1</v>
      </c>
      <c r="E15" s="17" t="s">
        <v>145</v>
      </c>
      <c r="F15" s="18"/>
      <c r="G15" s="18"/>
      <c r="H15" s="20">
        <f>SUMIFS(領用表!$L:$L,領用表!$E:$E,$B15,領用表!$B:$B,H$2&amp;$P$1)</f>
        <v>0</v>
      </c>
      <c r="I15" s="20">
        <f>SUMIFS(領用表!$L:$L,領用表!$E:$E,$B15,領用表!$B:$B,I$2&amp;$P$1)</f>
        <v>0</v>
      </c>
      <c r="J15" s="20">
        <f>SUMIFS(領用表!$L:$L,領用表!$E:$E,$B15,領用表!$B:$B,J$2&amp;$P$1)</f>
        <v>3</v>
      </c>
      <c r="K15" s="142">
        <f>SUMIFS(領用表!$L:$L,領用表!$E:$E,$B15,領用表!$B:$B,K$2&amp;$P$1)</f>
        <v>167.5</v>
      </c>
      <c r="L15" s="142">
        <f>SUMIFS(領用表!$L:$L,領用表!$E:$E,$B15,領用表!$B:$B,L$2&amp;$P$1)</f>
        <v>0</v>
      </c>
      <c r="M15" s="142">
        <f>SUMIFS(領用表!$L:$L,領用表!$E:$E,$B15,領用表!$B:$B,M$2&amp;$P$1)</f>
        <v>509.5</v>
      </c>
      <c r="N15" s="23">
        <f t="shared" si="0"/>
        <v>680</v>
      </c>
      <c r="O15" s="23">
        <f t="shared" si="1"/>
        <v>97.142857142857139</v>
      </c>
      <c r="P15" s="142">
        <f>SUMIFS(領用表!$L:$L,領用表!$E:$E,$B15,領用表!$B:$B,P$2&amp;$P$1)</f>
        <v>37</v>
      </c>
      <c r="Q15" s="142">
        <f>SUMIFS(領用表!$L:$L,領用表!$E:$E,$B15,領用表!$B:$B,Q$2&amp;$P$1)</f>
        <v>201</v>
      </c>
      <c r="R15" s="142">
        <f>SUMIFS(領用表!$L:$L,領用表!$E:$E,$B15,領用表!$B:$B,R$2&amp;$P$1)</f>
        <v>1364.4499999999998</v>
      </c>
      <c r="S15" s="142">
        <f>SUMIFS(領用表!$L:$L,領用表!$E:$E,$B15,領用表!$B:$B,S$2&amp;$P$1)</f>
        <v>2393.3199999999997</v>
      </c>
      <c r="T15" s="142">
        <f>SUMIFS(領用表!$L:$L,領用表!$E:$E,$B15,領用表!$B:$B,T$2&amp;$P$1)</f>
        <v>2080.6999999999998</v>
      </c>
      <c r="U15" s="142">
        <f>SUMIFS(領用表!$L:$L,領用表!$E:$E,$B15,領用表!$B:$B,U$2&amp;$P$1)</f>
        <v>0</v>
      </c>
      <c r="V15" s="142">
        <f>SUMIFS(領用表!$L:$L,領用表!$E:$E,$B15,領用表!$B:$B,V$2&amp;$P$1)</f>
        <v>0</v>
      </c>
      <c r="W15" s="142">
        <f>SUMIFS(領用表!$L:$L,領用表!$E:$E,$B15,領用表!$B:$B,W$2&amp;$P$1)</f>
        <v>0</v>
      </c>
      <c r="X15" s="142">
        <f>SUMIFS(領用表!$L:$L,領用表!$E:$E,$B15,領用表!$B:$B,X$2&amp;$P$1)</f>
        <v>0</v>
      </c>
      <c r="Y15" s="142">
        <f>SUMIFS(領用表!$L:$L,領用表!$E:$E,$B15,領用表!$B:$B,Y$2&amp;$P$1)</f>
        <v>0</v>
      </c>
      <c r="Z15" s="142">
        <f>SUMIFS(領用表!$L:$L,領用表!$E:$E,$B15,領用表!$B:$B,Z$2&amp;$P$1)</f>
        <v>0</v>
      </c>
      <c r="AA15" s="142">
        <f>SUMIFS(領用表!$L:$L,領用表!$E:$E,$B15,領用表!$B:$B,AA$2&amp;$P$1)</f>
        <v>0</v>
      </c>
      <c r="AB15" s="142">
        <f t="shared" si="2"/>
        <v>6076.4699999999993</v>
      </c>
      <c r="AC15" s="142">
        <f t="shared" si="3"/>
        <v>1215.2939999999999</v>
      </c>
      <c r="AD15" s="142">
        <f>SUMIF(Summary!B:B,B15,Summary!DW:DW)</f>
        <v>0</v>
      </c>
      <c r="AE15" s="108"/>
      <c r="AF15" s="65"/>
      <c r="AG15" s="54"/>
      <c r="AH15" s="54" t="s">
        <v>151</v>
      </c>
      <c r="AI15" s="27"/>
      <c r="AJ15" s="69"/>
      <c r="AK15" s="14"/>
      <c r="AL15" s="29"/>
    </row>
    <row r="16" spans="1:38" ht="15.75" customHeight="1">
      <c r="A16" s="27"/>
      <c r="B16" s="178">
        <v>6200018</v>
      </c>
      <c r="C16" s="179" t="s">
        <v>715</v>
      </c>
      <c r="D16" s="67">
        <v>1</v>
      </c>
      <c r="E16" s="17" t="s">
        <v>145</v>
      </c>
      <c r="F16" s="18"/>
      <c r="G16" s="18"/>
      <c r="H16" s="20">
        <f>SUMIFS(領用表!$L:$L,領用表!$E:$E,$B16,領用表!$B:$B,H$2&amp;$P$1)</f>
        <v>0</v>
      </c>
      <c r="I16" s="20">
        <f>SUMIFS(領用表!$L:$L,領用表!$E:$E,$B16,領用表!$B:$B,I$2&amp;$P$1)</f>
        <v>0</v>
      </c>
      <c r="J16" s="20">
        <f>SUMIFS(領用表!$L:$L,領用表!$E:$E,$B16,領用表!$B:$B,J$2&amp;$P$1)</f>
        <v>0</v>
      </c>
      <c r="K16" s="142">
        <f>SUMIFS(領用表!$L:$L,領用表!$E:$E,$B16,領用表!$B:$B,K$2&amp;$P$1)</f>
        <v>3</v>
      </c>
      <c r="L16" s="142">
        <f>SUMIFS(領用表!$L:$L,領用表!$E:$E,$B16,領用表!$B:$B,L$2&amp;$P$1)</f>
        <v>0</v>
      </c>
      <c r="M16" s="142">
        <f>SUMIFS(領用表!$L:$L,領用表!$E:$E,$B16,領用表!$B:$B,M$2&amp;$P$1)</f>
        <v>0</v>
      </c>
      <c r="N16" s="23">
        <f t="shared" si="0"/>
        <v>3</v>
      </c>
      <c r="O16" s="23">
        <f t="shared" si="1"/>
        <v>0.42857142857142855</v>
      </c>
      <c r="P16" s="142">
        <f>SUMIFS(領用表!$L:$L,領用表!$E:$E,$B16,領用表!$B:$B,P$2&amp;$P$1)</f>
        <v>0</v>
      </c>
      <c r="Q16" s="142">
        <f>SUMIFS(領用表!$L:$L,領用表!$E:$E,$B16,領用表!$B:$B,Q$2&amp;$P$1)</f>
        <v>3</v>
      </c>
      <c r="R16" s="142">
        <f>SUMIFS(領用表!$L:$L,領用表!$E:$E,$B16,領用表!$B:$B,R$2&amp;$P$1)</f>
        <v>3</v>
      </c>
      <c r="S16" s="142">
        <f>SUMIFS(領用表!$L:$L,領用表!$E:$E,$B16,領用表!$B:$B,S$2&amp;$P$1)</f>
        <v>0</v>
      </c>
      <c r="T16" s="142">
        <f>SUMIFS(領用表!$L:$L,領用表!$E:$E,$B16,領用表!$B:$B,T$2&amp;$P$1)</f>
        <v>0</v>
      </c>
      <c r="U16" s="142">
        <f>SUMIFS(領用表!$L:$L,領用表!$E:$E,$B16,領用表!$B:$B,U$2&amp;$P$1)</f>
        <v>0</v>
      </c>
      <c r="V16" s="142">
        <f>SUMIFS(領用表!$L:$L,領用表!$E:$E,$B16,領用表!$B:$B,V$2&amp;$P$1)</f>
        <v>0</v>
      </c>
      <c r="W16" s="142">
        <f>SUMIFS(領用表!$L:$L,領用表!$E:$E,$B16,領用表!$B:$B,W$2&amp;$P$1)</f>
        <v>0</v>
      </c>
      <c r="X16" s="142">
        <f>SUMIFS(領用表!$L:$L,領用表!$E:$E,$B16,領用表!$B:$B,X$2&amp;$P$1)</f>
        <v>0</v>
      </c>
      <c r="Y16" s="142">
        <f>SUMIFS(領用表!$L:$L,領用表!$E:$E,$B16,領用表!$B:$B,Y$2&amp;$P$1)</f>
        <v>0</v>
      </c>
      <c r="Z16" s="142">
        <f>SUMIFS(領用表!$L:$L,領用表!$E:$E,$B16,領用表!$B:$B,Z$2&amp;$P$1)</f>
        <v>0</v>
      </c>
      <c r="AA16" s="142">
        <f>SUMIFS(領用表!$L:$L,領用表!$E:$E,$B16,領用表!$B:$B,AA$2&amp;$P$1)</f>
        <v>0</v>
      </c>
      <c r="AB16" s="142">
        <f t="shared" si="2"/>
        <v>6</v>
      </c>
      <c r="AC16" s="142">
        <f t="shared" si="3"/>
        <v>1.2</v>
      </c>
      <c r="AD16" s="142">
        <f>SUMIF(Summary!B:B,B16,Summary!DW:DW)</f>
        <v>120</v>
      </c>
      <c r="AE16" s="108"/>
      <c r="AF16" s="65"/>
      <c r="AG16" s="54"/>
      <c r="AH16" s="54" t="s">
        <v>151</v>
      </c>
      <c r="AI16" s="27"/>
      <c r="AJ16" s="69"/>
      <c r="AK16" s="14"/>
      <c r="AL16" s="29"/>
    </row>
    <row r="17" spans="1:38" ht="15.75" customHeight="1">
      <c r="A17" s="27"/>
      <c r="B17" s="178">
        <v>6200020</v>
      </c>
      <c r="C17" s="179" t="s">
        <v>717</v>
      </c>
      <c r="D17" s="67">
        <v>1</v>
      </c>
      <c r="E17" s="17" t="s">
        <v>145</v>
      </c>
      <c r="F17" s="18"/>
      <c r="G17" s="18"/>
      <c r="H17" s="20">
        <f>SUMIFS(領用表!$L:$L,領用表!$E:$E,$B17,領用表!$B:$B,H$2&amp;$P$1)</f>
        <v>0</v>
      </c>
      <c r="I17" s="20">
        <f>SUMIFS(領用表!$L:$L,領用表!$E:$E,$B17,領用表!$B:$B,I$2&amp;$P$1)</f>
        <v>0</v>
      </c>
      <c r="J17" s="20">
        <f>SUMIFS(領用表!$L:$L,領用表!$E:$E,$B17,領用表!$B:$B,J$2&amp;$P$1)</f>
        <v>0</v>
      </c>
      <c r="K17" s="142">
        <f>SUMIFS(領用表!$L:$L,領用表!$E:$E,$B17,領用表!$B:$B,K$2&amp;$P$1)</f>
        <v>111.5</v>
      </c>
      <c r="L17" s="142">
        <f>SUMIFS(領用表!$L:$L,領用表!$E:$E,$B17,領用表!$B:$B,L$2&amp;$P$1)</f>
        <v>0</v>
      </c>
      <c r="M17" s="142">
        <f>SUMIFS(領用表!$L:$L,領用表!$E:$E,$B17,領用表!$B:$B,M$2&amp;$P$1)</f>
        <v>3</v>
      </c>
      <c r="N17" s="23">
        <f t="shared" si="0"/>
        <v>114.5</v>
      </c>
      <c r="O17" s="23">
        <f t="shared" si="1"/>
        <v>16.357142857142858</v>
      </c>
      <c r="P17" s="142">
        <f>SUMIFS(領用表!$L:$L,領用表!$E:$E,$B17,領用表!$B:$B,P$2&amp;$P$1)</f>
        <v>4</v>
      </c>
      <c r="Q17" s="142">
        <f>SUMIFS(領用表!$L:$L,領用表!$E:$E,$B17,領用表!$B:$B,Q$2&amp;$P$1)</f>
        <v>2</v>
      </c>
      <c r="R17" s="142">
        <f>SUMIFS(領用表!$L:$L,領用表!$E:$E,$B17,領用表!$B:$B,R$2&amp;$P$1)</f>
        <v>2</v>
      </c>
      <c r="S17" s="142">
        <f>SUMIFS(領用表!$L:$L,領用表!$E:$E,$B17,領用表!$B:$B,S$2&amp;$P$1)</f>
        <v>5</v>
      </c>
      <c r="T17" s="142">
        <f>SUMIFS(領用表!$L:$L,領用表!$E:$E,$B17,領用表!$B:$B,T$2&amp;$P$1)</f>
        <v>7</v>
      </c>
      <c r="U17" s="142">
        <f>SUMIFS(領用表!$L:$L,領用表!$E:$E,$B17,領用表!$B:$B,U$2&amp;$P$1)</f>
        <v>0</v>
      </c>
      <c r="V17" s="142">
        <f>SUMIFS(領用表!$L:$L,領用表!$E:$E,$B17,領用表!$B:$B,V$2&amp;$P$1)</f>
        <v>0</v>
      </c>
      <c r="W17" s="142">
        <f>SUMIFS(領用表!$L:$L,領用表!$E:$E,$B17,領用表!$B:$B,W$2&amp;$P$1)</f>
        <v>0</v>
      </c>
      <c r="X17" s="142">
        <f>SUMIFS(領用表!$L:$L,領用表!$E:$E,$B17,領用表!$B:$B,X$2&amp;$P$1)</f>
        <v>0</v>
      </c>
      <c r="Y17" s="142">
        <f>SUMIFS(領用表!$L:$L,領用表!$E:$E,$B17,領用表!$B:$B,Y$2&amp;$P$1)</f>
        <v>0</v>
      </c>
      <c r="Z17" s="142">
        <f>SUMIFS(領用表!$L:$L,領用表!$E:$E,$B17,領用表!$B:$B,Z$2&amp;$P$1)</f>
        <v>0</v>
      </c>
      <c r="AA17" s="142">
        <f>SUMIFS(領用表!$L:$L,領用表!$E:$E,$B17,領用表!$B:$B,AA$2&amp;$P$1)</f>
        <v>0</v>
      </c>
      <c r="AB17" s="142">
        <f t="shared" si="2"/>
        <v>20</v>
      </c>
      <c r="AC17" s="142">
        <f t="shared" si="3"/>
        <v>4</v>
      </c>
      <c r="AD17" s="142">
        <f>SUMIF(Summary!B:B,B17,Summary!DW:DW)</f>
        <v>0</v>
      </c>
      <c r="AE17" s="108"/>
      <c r="AF17" s="65"/>
      <c r="AG17" s="54"/>
      <c r="AH17" s="54" t="s">
        <v>151</v>
      </c>
      <c r="AI17" s="27"/>
      <c r="AJ17" s="69"/>
      <c r="AK17" s="14"/>
      <c r="AL17" s="29"/>
    </row>
    <row r="18" spans="1:38" ht="15.75" customHeight="1">
      <c r="A18" s="27"/>
      <c r="B18" s="178">
        <v>6200021</v>
      </c>
      <c r="C18" s="179" t="s">
        <v>719</v>
      </c>
      <c r="D18" s="67">
        <v>1</v>
      </c>
      <c r="E18" s="17" t="s">
        <v>145</v>
      </c>
      <c r="F18" s="18"/>
      <c r="G18" s="18">
        <v>0</v>
      </c>
      <c r="H18" s="20">
        <f>SUMIFS(領用表!$L:$L,領用表!$E:$E,$B18,領用表!$B:$B,H$2&amp;$P$1)</f>
        <v>0</v>
      </c>
      <c r="I18" s="20">
        <f>SUMIFS(領用表!$L:$L,領用表!$E:$E,$B18,領用表!$B:$B,I$2&amp;$P$1)</f>
        <v>0</v>
      </c>
      <c r="J18" s="20">
        <f>SUMIFS(領用表!$L:$L,領用表!$E:$E,$B18,領用表!$B:$B,J$2&amp;$P$1)</f>
        <v>0</v>
      </c>
      <c r="K18" s="142">
        <f>SUMIFS(領用表!$L:$L,領用表!$E:$E,$B18,領用表!$B:$B,K$2&amp;$P$1)</f>
        <v>125</v>
      </c>
      <c r="L18" s="142">
        <f>SUMIFS(領用表!$L:$L,領用表!$E:$E,$B18,領用表!$B:$B,L$2&amp;$P$1)</f>
        <v>778.5</v>
      </c>
      <c r="M18" s="142">
        <f>SUMIFS(領用表!$L:$L,領用表!$E:$E,$B18,領用表!$B:$B,M$2&amp;$P$1)</f>
        <v>640</v>
      </c>
      <c r="N18" s="23">
        <f t="shared" si="0"/>
        <v>1543.5</v>
      </c>
      <c r="O18" s="23">
        <f t="shared" si="1"/>
        <v>220.5</v>
      </c>
      <c r="P18" s="142">
        <f>SUMIFS(領用表!$L:$L,領用表!$E:$E,$B18,領用表!$B:$B,P$2&amp;$P$1)</f>
        <v>1618.5</v>
      </c>
      <c r="Q18" s="142">
        <f>SUMIFS(領用表!$L:$L,領用表!$E:$E,$B18,領用表!$B:$B,Q$2&amp;$P$1)</f>
        <v>1269.5</v>
      </c>
      <c r="R18" s="142">
        <f>SUMIFS(領用表!$L:$L,領用表!$E:$E,$B18,領用表!$B:$B,R$2&amp;$P$1)</f>
        <v>1027.5</v>
      </c>
      <c r="S18" s="142">
        <f>SUMIFS(領用表!$L:$L,領用表!$E:$E,$B18,領用表!$B:$B,S$2&amp;$P$1)</f>
        <v>6</v>
      </c>
      <c r="T18" s="142">
        <f>SUMIFS(領用表!$L:$L,領用表!$E:$E,$B18,領用表!$B:$B,T$2&amp;$P$1)</f>
        <v>8</v>
      </c>
      <c r="U18" s="142">
        <f>SUMIFS(領用表!$L:$L,領用表!$E:$E,$B18,領用表!$B:$B,U$2&amp;$P$1)</f>
        <v>0</v>
      </c>
      <c r="V18" s="142">
        <f>SUMIFS(領用表!$L:$L,領用表!$E:$E,$B18,領用表!$B:$B,V$2&amp;$P$1)</f>
        <v>0</v>
      </c>
      <c r="W18" s="142">
        <f>SUMIFS(領用表!$L:$L,領用表!$E:$E,$B18,領用表!$B:$B,W$2&amp;$P$1)</f>
        <v>0</v>
      </c>
      <c r="X18" s="142">
        <f>SUMIFS(領用表!$L:$L,領用表!$E:$E,$B18,領用表!$B:$B,X$2&amp;$P$1)</f>
        <v>0</v>
      </c>
      <c r="Y18" s="142">
        <f>SUMIFS(領用表!$L:$L,領用表!$E:$E,$B18,領用表!$B:$B,Y$2&amp;$P$1)</f>
        <v>0</v>
      </c>
      <c r="Z18" s="142">
        <f>SUMIFS(領用表!$L:$L,領用表!$E:$E,$B18,領用表!$B:$B,Z$2&amp;$P$1)</f>
        <v>0</v>
      </c>
      <c r="AA18" s="142">
        <f>SUMIFS(領用表!$L:$L,領用表!$E:$E,$B18,領用表!$B:$B,AA$2&amp;$P$1)</f>
        <v>0</v>
      </c>
      <c r="AB18" s="142">
        <f t="shared" si="2"/>
        <v>3929.5</v>
      </c>
      <c r="AC18" s="142">
        <f t="shared" si="3"/>
        <v>785.9</v>
      </c>
      <c r="AD18" s="142">
        <f>SUMIF(Summary!B:B,B18,Summary!DW:DW)</f>
        <v>0</v>
      </c>
      <c r="AE18" s="108"/>
      <c r="AF18" s="65"/>
      <c r="AG18" s="54"/>
      <c r="AH18" s="54" t="s">
        <v>151</v>
      </c>
      <c r="AI18" s="27"/>
      <c r="AJ18" s="69"/>
      <c r="AK18" s="14"/>
      <c r="AL18" s="29"/>
    </row>
    <row r="19" spans="1:38" ht="15.75" customHeight="1">
      <c r="A19" s="27"/>
      <c r="B19" s="14">
        <v>6200022</v>
      </c>
      <c r="C19" s="429" t="s">
        <v>953</v>
      </c>
      <c r="D19" s="67"/>
      <c r="E19" s="17"/>
      <c r="F19" s="18"/>
      <c r="G19" s="18">
        <f>1923</f>
        <v>1923</v>
      </c>
      <c r="H19" s="20"/>
      <c r="I19" s="20"/>
      <c r="J19" s="20"/>
      <c r="K19" s="142"/>
      <c r="L19" s="142"/>
      <c r="M19" s="142"/>
      <c r="N19" s="23"/>
      <c r="O19" s="23"/>
      <c r="P19" s="142">
        <f>SUMIFS(領用表!$L:$L,領用表!$E:$E,$B19,領用表!$B:$B,P$2&amp;$P$1)</f>
        <v>0</v>
      </c>
      <c r="Q19" s="142">
        <f>SUMIFS(領用表!$L:$L,領用表!$E:$E,$B19,領用表!$B:$B,Q$2&amp;$P$1)</f>
        <v>0</v>
      </c>
      <c r="R19" s="142">
        <f>SUMIFS(領用表!$L:$L,領用表!$E:$E,$B19,領用表!$B:$B,R$2&amp;$P$1)</f>
        <v>0</v>
      </c>
      <c r="S19" s="142">
        <f>SUMIFS(領用表!$L:$L,領用表!$E:$E,$B19,領用表!$B:$B,S$2&amp;$P$1)</f>
        <v>0</v>
      </c>
      <c r="T19" s="142">
        <f>SUMIFS(領用表!$L:$L,領用表!$E:$E,$B19,領用表!$B:$B,T$2&amp;$P$1)</f>
        <v>6</v>
      </c>
      <c r="U19" s="142"/>
      <c r="V19" s="142"/>
      <c r="W19" s="142"/>
      <c r="X19" s="142"/>
      <c r="Y19" s="142"/>
      <c r="Z19" s="142"/>
      <c r="AA19" s="142"/>
      <c r="AB19" s="142">
        <f t="shared" ref="AB19" si="4">SUM(P19,Q19,R19,S19,T19)</f>
        <v>6</v>
      </c>
      <c r="AC19" s="142">
        <f t="shared" ref="AC19" si="5">AVERAGE(P19,Q19,R19,S19,T19)</f>
        <v>1.2</v>
      </c>
      <c r="AD19" s="142">
        <f>SUMIF(Summary!B:B,B19,Summary!DW:DW)</f>
        <v>0</v>
      </c>
      <c r="AE19" s="108"/>
      <c r="AF19" s="65"/>
      <c r="AG19" s="54"/>
      <c r="AH19" s="54"/>
      <c r="AI19" s="27"/>
      <c r="AJ19" s="69"/>
      <c r="AK19" s="14"/>
      <c r="AL19" s="29"/>
    </row>
    <row r="20" spans="1:38" ht="15.75" customHeight="1">
      <c r="A20" s="27"/>
      <c r="B20" s="14">
        <v>6190007</v>
      </c>
      <c r="C20" s="429" t="s">
        <v>954</v>
      </c>
      <c r="D20" s="67"/>
      <c r="E20" s="17"/>
      <c r="F20" s="18"/>
      <c r="G20" s="18">
        <v>1</v>
      </c>
      <c r="H20" s="20"/>
      <c r="I20" s="20"/>
      <c r="J20" s="20"/>
      <c r="K20" s="142"/>
      <c r="L20" s="142"/>
      <c r="M20" s="142"/>
      <c r="N20" s="23"/>
      <c r="O20" s="23"/>
      <c r="P20" s="142">
        <f>SUMIFS(領用表!$L:$L,領用表!$E:$E,$B20,領用表!$B:$B,P$2&amp;$P$1)</f>
        <v>0</v>
      </c>
      <c r="Q20" s="142">
        <f>SUMIFS(領用表!$L:$L,領用表!$E:$E,$B20,領用表!$B:$B,Q$2&amp;$P$1)</f>
        <v>0</v>
      </c>
      <c r="R20" s="142">
        <f>SUMIFS(領用表!$L:$L,領用表!$E:$E,$B20,領用表!$B:$B,R$2&amp;$P$1)</f>
        <v>0</v>
      </c>
      <c r="S20" s="142">
        <f>SUMIFS(領用表!$L:$L,領用表!$E:$E,$B20,領用表!$B:$B,S$2&amp;$P$1)</f>
        <v>0</v>
      </c>
      <c r="T20" s="142">
        <f>SUMIFS(領用表!$L:$L,領用表!$E:$E,$B20,領用表!$B:$B,T$2&amp;$P$1)</f>
        <v>0</v>
      </c>
      <c r="U20" s="142"/>
      <c r="V20" s="142"/>
      <c r="W20" s="142"/>
      <c r="X20" s="142"/>
      <c r="Y20" s="142"/>
      <c r="Z20" s="142"/>
      <c r="AA20" s="142"/>
      <c r="AB20" s="142">
        <f t="shared" ref="AB20" si="6">SUM(P20,Q20,R20,S20,T20)</f>
        <v>0</v>
      </c>
      <c r="AC20" s="142">
        <f t="shared" ref="AC20" si="7">AVERAGE(P20,Q20,R20,S20,T20)</f>
        <v>0</v>
      </c>
      <c r="AD20" s="142">
        <f>SUMIF(Summary!B:B,B20,Summary!DW:DW)</f>
        <v>0</v>
      </c>
      <c r="AE20" s="108"/>
      <c r="AF20" s="65"/>
      <c r="AG20" s="54"/>
      <c r="AH20" s="54"/>
      <c r="AI20" s="27"/>
      <c r="AJ20" s="69"/>
      <c r="AK20" s="14"/>
      <c r="AL20" s="29"/>
    </row>
    <row r="21" spans="1:38" ht="15.75" customHeight="1">
      <c r="A21" s="27" t="s">
        <v>152</v>
      </c>
      <c r="B21" s="14">
        <v>6120001</v>
      </c>
      <c r="C21" s="118" t="s">
        <v>633</v>
      </c>
      <c r="D21" s="67">
        <v>20</v>
      </c>
      <c r="E21" s="17" t="s">
        <v>15</v>
      </c>
      <c r="F21" s="18"/>
      <c r="G21" s="18">
        <f>1230+204</f>
        <v>1434</v>
      </c>
      <c r="H21" s="20">
        <f>SUMIFS(領用表!$L:$L,領用表!$E:$E,$B21,領用表!$B:$B,H$2&amp;$P$1)</f>
        <v>165</v>
      </c>
      <c r="I21" s="20">
        <f>SUMIFS(領用表!$L:$L,領用表!$E:$E,$B21,領用表!$B:$B,I$2&amp;$P$1)</f>
        <v>382</v>
      </c>
      <c r="J21" s="20">
        <f>SUMIFS(領用表!$L:$L,領用表!$E:$E,$B21,領用表!$B:$B,J$2&amp;$P$1)</f>
        <v>489</v>
      </c>
      <c r="K21" s="142">
        <f>SUMIFS(領用表!$L:$L,領用表!$E:$E,$B21,領用表!$B:$B,K$2&amp;$P$1)</f>
        <v>686</v>
      </c>
      <c r="L21" s="142">
        <f>SUMIFS(領用表!$L:$L,領用表!$E:$E,$B21,領用表!$B:$B,L$2&amp;$P$1)</f>
        <v>1000</v>
      </c>
      <c r="M21" s="142">
        <f>SUMIFS(領用表!$L:$L,領用表!$E:$E,$B21,領用表!$B:$B,M$2&amp;$P$1)</f>
        <v>1038</v>
      </c>
      <c r="N21" s="23">
        <f t="shared" si="0"/>
        <v>3760</v>
      </c>
      <c r="O21" s="23">
        <f t="shared" si="1"/>
        <v>537.14285714285711</v>
      </c>
      <c r="P21" s="142">
        <f>SUMIFS(領用表!$L:$L,領用表!$E:$E,$B21,領用表!$B:$B,P$2&amp;$P$1)</f>
        <v>1163</v>
      </c>
      <c r="Q21" s="142">
        <f>SUMIFS(領用表!$L:$L,領用表!$E:$E,$B21,領用表!$B:$B,Q$2&amp;$P$1)</f>
        <v>917</v>
      </c>
      <c r="R21" s="142">
        <f>SUMIFS(領用表!$L:$L,領用表!$E:$E,$B21,領用表!$B:$B,R$2&amp;$P$1)</f>
        <v>1204</v>
      </c>
      <c r="S21" s="142">
        <f>SUMIFS(領用表!$L:$L,領用表!$E:$E,$B21,領用表!$B:$B,S$2&amp;$P$1)</f>
        <v>1594</v>
      </c>
      <c r="T21" s="142">
        <f>SUMIFS(領用表!$L:$L,領用表!$E:$E,$B21,領用表!$B:$B,T$2&amp;$P$1)</f>
        <v>2359</v>
      </c>
      <c r="U21" s="142">
        <f>SUMIFS(領用表!$L:$L,領用表!$E:$E,$B21,領用表!$B:$B,U$2&amp;$P$1)</f>
        <v>0</v>
      </c>
      <c r="V21" s="142">
        <f>SUMIFS(領用表!$L:$L,領用表!$E:$E,$B21,領用表!$B:$B,V$2&amp;$P$1)</f>
        <v>0</v>
      </c>
      <c r="W21" s="142">
        <f>SUMIFS(領用表!$L:$L,領用表!$E:$E,$B21,領用表!$B:$B,W$2&amp;$P$1)</f>
        <v>0</v>
      </c>
      <c r="X21" s="142">
        <f>SUMIFS(領用表!$L:$L,領用表!$E:$E,$B21,領用表!$B:$B,X$2&amp;$P$1)</f>
        <v>0</v>
      </c>
      <c r="Y21" s="142">
        <f>SUMIFS(領用表!$L:$L,領用表!$E:$E,$B21,領用表!$B:$B,Y$2&amp;$P$1)</f>
        <v>0</v>
      </c>
      <c r="Z21" s="142">
        <f>SUMIFS(領用表!$L:$L,領用表!$E:$E,$B21,領用表!$B:$B,Z$2&amp;$P$1)</f>
        <v>0</v>
      </c>
      <c r="AA21" s="142">
        <f>SUMIFS(領用表!$L:$L,領用表!$E:$E,$B21,領用表!$B:$B,AA$2&amp;$P$1)</f>
        <v>0</v>
      </c>
      <c r="AB21" s="142">
        <f t="shared" si="2"/>
        <v>7237</v>
      </c>
      <c r="AC21" s="142">
        <f t="shared" si="3"/>
        <v>1447.4</v>
      </c>
      <c r="AD21" s="142">
        <f>SUMIF(Summary!B:B,B21,Summary!DW:DW)</f>
        <v>1850</v>
      </c>
      <c r="AE21" s="108"/>
      <c r="AF21" s="65"/>
      <c r="AG21" s="65" t="s">
        <v>153</v>
      </c>
      <c r="AH21" s="65" t="s">
        <v>154</v>
      </c>
      <c r="AI21" s="27"/>
      <c r="AJ21" s="69"/>
      <c r="AK21" s="14"/>
      <c r="AL21" s="29"/>
    </row>
    <row r="22" spans="1:38" ht="15.75" customHeight="1">
      <c r="A22" s="27" t="s">
        <v>155</v>
      </c>
      <c r="B22" s="14">
        <v>6120002</v>
      </c>
      <c r="C22" s="118" t="s">
        <v>634</v>
      </c>
      <c r="D22" s="67">
        <v>20</v>
      </c>
      <c r="E22" s="17" t="s">
        <v>15</v>
      </c>
      <c r="F22" s="18"/>
      <c r="G22" s="18">
        <f>105+988</f>
        <v>1093</v>
      </c>
      <c r="H22" s="20">
        <f>SUMIFS(領用表!$L:$L,領用表!$E:$E,$B22,領用表!$B:$B,H$2&amp;$P$1)</f>
        <v>210</v>
      </c>
      <c r="I22" s="20">
        <f>SUMIFS(領用表!$L:$L,領用表!$E:$E,$B22,領用表!$B:$B,I$2&amp;$P$1)</f>
        <v>491</v>
      </c>
      <c r="J22" s="20">
        <f>SUMIFS(領用表!$L:$L,領用表!$E:$E,$B22,領用表!$B:$B,J$2&amp;$P$1)</f>
        <v>625.5</v>
      </c>
      <c r="K22" s="142">
        <f>SUMIFS(領用表!$L:$L,領用表!$E:$E,$B22,領用表!$B:$B,K$2&amp;$P$1)</f>
        <v>867</v>
      </c>
      <c r="L22" s="142">
        <f>SUMIFS(領用表!$L:$L,領用表!$E:$E,$B22,領用表!$B:$B,L$2&amp;$P$1)</f>
        <v>1222</v>
      </c>
      <c r="M22" s="142">
        <f>SUMIFS(領用表!$L:$L,領用表!$E:$E,$B22,領用表!$B:$B,M$2&amp;$P$1)</f>
        <v>1289.5</v>
      </c>
      <c r="N22" s="23">
        <f t="shared" si="0"/>
        <v>4705</v>
      </c>
      <c r="O22" s="23">
        <f t="shared" si="1"/>
        <v>672.14285714285711</v>
      </c>
      <c r="P22" s="142">
        <f>SUMIFS(領用表!$L:$L,領用表!$E:$E,$B22,領用表!$B:$B,P$2&amp;$P$1)</f>
        <v>1486</v>
      </c>
      <c r="Q22" s="142">
        <f>SUMIFS(領用表!$L:$L,領用表!$E:$E,$B22,領用表!$B:$B,Q$2&amp;$P$1)</f>
        <v>1203.5</v>
      </c>
      <c r="R22" s="142">
        <f>SUMIFS(領用表!$L:$L,領用表!$E:$E,$B22,領用表!$B:$B,R$2&amp;$P$1)</f>
        <v>1635</v>
      </c>
      <c r="S22" s="142">
        <f>SUMIFS(領用表!$L:$L,領用表!$E:$E,$B22,領用表!$B:$B,S$2&amp;$P$1)</f>
        <v>1924.5</v>
      </c>
      <c r="T22" s="142">
        <f>SUMIFS(領用表!$L:$L,領用表!$E:$E,$B22,領用表!$B:$B,T$2&amp;$P$1)</f>
        <v>2619.5</v>
      </c>
      <c r="U22" s="142">
        <f>SUMIFS(領用表!$L:$L,領用表!$E:$E,$B22,領用表!$B:$B,U$2&amp;$P$1)</f>
        <v>0</v>
      </c>
      <c r="V22" s="142">
        <f>SUMIFS(領用表!$L:$L,領用表!$E:$E,$B22,領用表!$B:$B,V$2&amp;$P$1)</f>
        <v>0</v>
      </c>
      <c r="W22" s="142">
        <f>SUMIFS(領用表!$L:$L,領用表!$E:$E,$B22,領用表!$B:$B,W$2&amp;$P$1)</f>
        <v>0</v>
      </c>
      <c r="X22" s="142">
        <f>SUMIFS(領用表!$L:$L,領用表!$E:$E,$B22,領用表!$B:$B,X$2&amp;$P$1)</f>
        <v>0</v>
      </c>
      <c r="Y22" s="142">
        <f>SUMIFS(領用表!$L:$L,領用表!$E:$E,$B22,領用表!$B:$B,Y$2&amp;$P$1)</f>
        <v>0</v>
      </c>
      <c r="Z22" s="142">
        <f>SUMIFS(領用表!$L:$L,領用表!$E:$E,$B22,領用表!$B:$B,Z$2&amp;$P$1)</f>
        <v>0</v>
      </c>
      <c r="AA22" s="142">
        <f>SUMIFS(領用表!$L:$L,領用表!$E:$E,$B22,領用表!$B:$B,AA$2&amp;$P$1)</f>
        <v>0</v>
      </c>
      <c r="AB22" s="142">
        <f t="shared" si="2"/>
        <v>8868.5</v>
      </c>
      <c r="AC22" s="142">
        <f t="shared" si="3"/>
        <v>1773.7</v>
      </c>
      <c r="AD22" s="142">
        <f>SUMIF(Summary!B:B,B22,Summary!DW:DW)</f>
        <v>2300</v>
      </c>
      <c r="AE22" s="108"/>
      <c r="AF22" s="65"/>
      <c r="AG22" s="65" t="s">
        <v>153</v>
      </c>
      <c r="AH22" s="65" t="s">
        <v>156</v>
      </c>
      <c r="AI22" s="27"/>
      <c r="AJ22" s="69"/>
      <c r="AK22" s="14"/>
      <c r="AL22" s="29"/>
    </row>
    <row r="23" spans="1:38" ht="15.75" customHeight="1">
      <c r="A23" s="27" t="s">
        <v>648</v>
      </c>
      <c r="B23" s="14">
        <v>6120003</v>
      </c>
      <c r="C23" s="14" t="s">
        <v>645</v>
      </c>
      <c r="D23" s="67">
        <v>10</v>
      </c>
      <c r="E23" s="17" t="s">
        <v>15</v>
      </c>
      <c r="F23" s="18"/>
      <c r="G23" s="18">
        <v>26</v>
      </c>
      <c r="H23" s="20">
        <f>SUMIFS(領用表!$L:$L,領用表!$E:$E,$B23,領用表!$B:$B,H$2&amp;$P$1)</f>
        <v>0</v>
      </c>
      <c r="I23" s="20">
        <f>SUMIFS(領用表!$L:$L,領用表!$E:$E,$B23,領用表!$B:$B,I$2&amp;$P$1)</f>
        <v>0</v>
      </c>
      <c r="J23" s="20">
        <f>SUMIFS(領用表!$L:$L,領用表!$E:$E,$B23,領用表!$B:$B,J$2&amp;$P$1)</f>
        <v>2</v>
      </c>
      <c r="K23" s="142">
        <f>SUMIFS(領用表!$L:$L,領用表!$E:$E,$B23,領用表!$B:$B,K$2&amp;$P$1)</f>
        <v>9</v>
      </c>
      <c r="L23" s="142">
        <f>SUMIFS(領用表!$L:$L,領用表!$E:$E,$B23,領用表!$B:$B,L$2&amp;$P$1)</f>
        <v>11</v>
      </c>
      <c r="M23" s="142">
        <f>SUMIFS(領用表!$L:$L,領用表!$E:$E,$B23,領用表!$B:$B,M$2&amp;$P$1)</f>
        <v>9</v>
      </c>
      <c r="N23" s="23">
        <f t="shared" si="0"/>
        <v>31</v>
      </c>
      <c r="O23" s="23">
        <f t="shared" si="1"/>
        <v>4.4285714285714288</v>
      </c>
      <c r="P23" s="142">
        <f>SUMIFS(領用表!$L:$L,領用表!$E:$E,$B23,領用表!$B:$B,P$2&amp;$P$1)</f>
        <v>10</v>
      </c>
      <c r="Q23" s="142">
        <f>SUMIFS(領用表!$L:$L,領用表!$E:$E,$B23,領用表!$B:$B,Q$2&amp;$P$1)</f>
        <v>5</v>
      </c>
      <c r="R23" s="142">
        <f>SUMIFS(領用表!$L:$L,領用表!$E:$E,$B23,領用表!$B:$B,R$2&amp;$P$1)</f>
        <v>7</v>
      </c>
      <c r="S23" s="142">
        <f>SUMIFS(領用表!$L:$L,領用表!$E:$E,$B23,領用表!$B:$B,S$2&amp;$P$1)</f>
        <v>5</v>
      </c>
      <c r="T23" s="142">
        <f>SUMIFS(領用表!$L:$L,領用表!$E:$E,$B23,領用表!$B:$B,T$2&amp;$P$1)</f>
        <v>4</v>
      </c>
      <c r="U23" s="142">
        <f>SUMIFS(領用表!$L:$L,領用表!$E:$E,$B23,領用表!$B:$B,U$2&amp;$P$1)</f>
        <v>0</v>
      </c>
      <c r="V23" s="142">
        <f>SUMIFS(領用表!$L:$L,領用表!$E:$E,$B23,領用表!$B:$B,V$2&amp;$P$1)</f>
        <v>0</v>
      </c>
      <c r="W23" s="142">
        <f>SUMIFS(領用表!$L:$L,領用表!$E:$E,$B23,領用表!$B:$B,W$2&amp;$P$1)</f>
        <v>0</v>
      </c>
      <c r="X23" s="142">
        <f>SUMIFS(領用表!$L:$L,領用表!$E:$E,$B23,領用表!$B:$B,X$2&amp;$P$1)</f>
        <v>0</v>
      </c>
      <c r="Y23" s="142">
        <f>SUMIFS(領用表!$L:$L,領用表!$E:$E,$B23,領用表!$B:$B,Y$2&amp;$P$1)</f>
        <v>0</v>
      </c>
      <c r="Z23" s="142">
        <f>SUMIFS(領用表!$L:$L,領用表!$E:$E,$B23,領用表!$B:$B,Z$2&amp;$P$1)</f>
        <v>0</v>
      </c>
      <c r="AA23" s="142">
        <f>SUMIFS(領用表!$L:$L,領用表!$E:$E,$B23,領用表!$B:$B,AA$2&amp;$P$1)</f>
        <v>0</v>
      </c>
      <c r="AB23" s="142">
        <f t="shared" si="2"/>
        <v>31</v>
      </c>
      <c r="AC23" s="142">
        <f t="shared" si="3"/>
        <v>6.2</v>
      </c>
      <c r="AD23" s="142">
        <f>SUMIF(Summary!B:B,B23,Summary!DW:DW)</f>
        <v>9</v>
      </c>
      <c r="AE23" s="108"/>
      <c r="AF23" s="65"/>
      <c r="AG23" s="65"/>
      <c r="AH23" s="65"/>
      <c r="AI23" s="27"/>
      <c r="AJ23" s="69"/>
      <c r="AK23" s="14"/>
      <c r="AL23" s="29"/>
    </row>
    <row r="24" spans="1:38" ht="15.75" customHeight="1">
      <c r="A24" s="27" t="s">
        <v>649</v>
      </c>
      <c r="B24" s="14">
        <v>6120036</v>
      </c>
      <c r="C24" s="14" t="s">
        <v>647</v>
      </c>
      <c r="D24" s="67">
        <v>10</v>
      </c>
      <c r="E24" s="17" t="s">
        <v>15</v>
      </c>
      <c r="F24" s="18"/>
      <c r="G24" s="18">
        <v>53</v>
      </c>
      <c r="H24" s="20">
        <f>SUMIFS(領用表!$L:$L,領用表!$E:$E,$B24,領用表!$B:$B,H$2&amp;$P$1)</f>
        <v>0</v>
      </c>
      <c r="I24" s="20">
        <f>SUMIFS(領用表!$L:$L,領用表!$E:$E,$B24,領用表!$B:$B,I$2&amp;$P$1)</f>
        <v>0</v>
      </c>
      <c r="J24" s="20">
        <f>SUMIFS(領用表!$L:$L,領用表!$E:$E,$B24,領用表!$B:$B,J$2&amp;$P$1)</f>
        <v>0</v>
      </c>
      <c r="K24" s="142">
        <f>SUMIFS(領用表!$L:$L,領用表!$E:$E,$B24,領用表!$B:$B,K$2&amp;$P$1)</f>
        <v>3</v>
      </c>
      <c r="L24" s="142">
        <f>SUMIFS(領用表!$L:$L,領用表!$E:$E,$B24,領用表!$B:$B,L$2&amp;$P$1)</f>
        <v>3</v>
      </c>
      <c r="M24" s="142">
        <f>SUMIFS(領用表!$L:$L,領用表!$E:$E,$B24,領用表!$B:$B,M$2&amp;$P$1)</f>
        <v>3</v>
      </c>
      <c r="N24" s="23">
        <f t="shared" si="0"/>
        <v>9</v>
      </c>
      <c r="O24" s="23">
        <f t="shared" si="1"/>
        <v>1.2857142857142858</v>
      </c>
      <c r="P24" s="142">
        <f>SUMIFS(領用表!$L:$L,領用表!$E:$E,$B24,領用表!$B:$B,P$2&amp;$P$1)</f>
        <v>2</v>
      </c>
      <c r="Q24" s="142">
        <f>SUMIFS(領用表!$L:$L,領用表!$E:$E,$B24,領用表!$B:$B,Q$2&amp;$P$1)</f>
        <v>5</v>
      </c>
      <c r="R24" s="142">
        <f>SUMIFS(領用表!$L:$L,領用表!$E:$E,$B24,領用表!$B:$B,R$2&amp;$P$1)</f>
        <v>8</v>
      </c>
      <c r="S24" s="142">
        <f>SUMIFS(領用表!$L:$L,領用表!$E:$E,$B24,領用表!$B:$B,S$2&amp;$P$1)</f>
        <v>7</v>
      </c>
      <c r="T24" s="142">
        <f>SUMIFS(領用表!$L:$L,領用表!$E:$E,$B24,領用表!$B:$B,T$2&amp;$P$1)</f>
        <v>7</v>
      </c>
      <c r="U24" s="142">
        <f>SUMIFS(領用表!$L:$L,領用表!$E:$E,$B24,領用表!$B:$B,U$2&amp;$P$1)</f>
        <v>0</v>
      </c>
      <c r="V24" s="142">
        <f>SUMIFS(領用表!$L:$L,領用表!$E:$E,$B24,領用表!$B:$B,V$2&amp;$P$1)</f>
        <v>0</v>
      </c>
      <c r="W24" s="142">
        <f>SUMIFS(領用表!$L:$L,領用表!$E:$E,$B24,領用表!$B:$B,W$2&amp;$P$1)</f>
        <v>0</v>
      </c>
      <c r="X24" s="142">
        <f>SUMIFS(領用表!$L:$L,領用表!$E:$E,$B24,領用表!$B:$B,X$2&amp;$P$1)</f>
        <v>0</v>
      </c>
      <c r="Y24" s="142">
        <f>SUMIFS(領用表!$L:$L,領用表!$E:$E,$B24,領用表!$B:$B,Y$2&amp;$P$1)</f>
        <v>0</v>
      </c>
      <c r="Z24" s="142">
        <f>SUMIFS(領用表!$L:$L,領用表!$E:$E,$B24,領用表!$B:$B,Z$2&amp;$P$1)</f>
        <v>0</v>
      </c>
      <c r="AA24" s="142">
        <f>SUMIFS(領用表!$L:$L,領用表!$E:$E,$B24,領用表!$B:$B,AA$2&amp;$P$1)</f>
        <v>0</v>
      </c>
      <c r="AB24" s="142">
        <f t="shared" si="2"/>
        <v>29</v>
      </c>
      <c r="AC24" s="142">
        <f t="shared" si="3"/>
        <v>5.8</v>
      </c>
      <c r="AD24" s="142">
        <f>SUMIF(Summary!B:B,B24,Summary!DW:DW)</f>
        <v>0</v>
      </c>
      <c r="AE24" s="108"/>
      <c r="AF24" s="65"/>
      <c r="AG24" s="65"/>
      <c r="AH24" s="65"/>
      <c r="AI24" s="27"/>
      <c r="AJ24" s="69"/>
      <c r="AK24" s="14"/>
      <c r="AL24" s="29"/>
    </row>
    <row r="25" spans="1:38" ht="15.75" customHeight="1">
      <c r="A25" s="27" t="s">
        <v>650</v>
      </c>
      <c r="B25" s="14">
        <v>6200003</v>
      </c>
      <c r="C25" s="14" t="s">
        <v>646</v>
      </c>
      <c r="D25" s="75">
        <v>1</v>
      </c>
      <c r="E25" s="17" t="s">
        <v>15</v>
      </c>
      <c r="F25" s="18"/>
      <c r="G25" s="18"/>
      <c r="H25" s="20">
        <f>SUMIFS(領用表!$L:$L,領用表!$E:$E,$B25,領用表!$B:$B,H$2&amp;$P$1)</f>
        <v>0</v>
      </c>
      <c r="I25" s="20">
        <f>SUMIFS(領用表!$L:$L,領用表!$E:$E,$B25,領用表!$B:$B,I$2&amp;$P$1)</f>
        <v>0</v>
      </c>
      <c r="J25" s="20">
        <f>SUMIFS(領用表!$L:$L,領用表!$E:$E,$B25,領用表!$B:$B,J$2&amp;$P$1)</f>
        <v>0</v>
      </c>
      <c r="K25" s="142">
        <f>SUMIFS(領用表!$L:$L,領用表!$E:$E,$B25,領用表!$B:$B,K$2&amp;$P$1)</f>
        <v>0</v>
      </c>
      <c r="L25" s="142">
        <f>SUMIFS(領用表!$L:$L,領用表!$E:$E,$B25,領用表!$B:$B,L$2&amp;$P$1)</f>
        <v>0</v>
      </c>
      <c r="M25" s="142">
        <f>SUMIFS(領用表!$L:$L,領用表!$E:$E,$B25,領用表!$B:$B,M$2&amp;$P$1)</f>
        <v>0</v>
      </c>
      <c r="N25" s="23">
        <f t="shared" si="0"/>
        <v>0</v>
      </c>
      <c r="O25" s="23">
        <f t="shared" si="1"/>
        <v>0</v>
      </c>
      <c r="P25" s="142">
        <f>SUMIFS(領用表!$L:$L,領用表!$E:$E,$B25,領用表!$B:$B,P$2&amp;$P$1)</f>
        <v>0</v>
      </c>
      <c r="Q25" s="142">
        <f>SUMIFS(領用表!$L:$L,領用表!$E:$E,$B25,領用表!$B:$B,Q$2&amp;$P$1)</f>
        <v>0</v>
      </c>
      <c r="R25" s="142">
        <f>SUMIFS(領用表!$L:$L,領用表!$E:$E,$B25,領用表!$B:$B,R$2&amp;$P$1)</f>
        <v>0</v>
      </c>
      <c r="S25" s="142">
        <f>SUMIFS(領用表!$L:$L,領用表!$E:$E,$B25,領用表!$B:$B,S$2&amp;$P$1)</f>
        <v>0</v>
      </c>
      <c r="T25" s="142">
        <f>SUMIFS(領用表!$L:$L,領用表!$E:$E,$B25,領用表!$B:$B,T$2&amp;$P$1)</f>
        <v>0</v>
      </c>
      <c r="U25" s="142">
        <f>SUMIFS(領用表!$L:$L,領用表!$E:$E,$B25,領用表!$B:$B,U$2&amp;$P$1)</f>
        <v>0</v>
      </c>
      <c r="V25" s="142">
        <f>SUMIFS(領用表!$L:$L,領用表!$E:$E,$B25,領用表!$B:$B,V$2&amp;$P$1)</f>
        <v>0</v>
      </c>
      <c r="W25" s="142">
        <f>SUMIFS(領用表!$L:$L,領用表!$E:$E,$B25,領用表!$B:$B,W$2&amp;$P$1)</f>
        <v>0</v>
      </c>
      <c r="X25" s="142">
        <f>SUMIFS(領用表!$L:$L,領用表!$E:$E,$B25,領用表!$B:$B,X$2&amp;$P$1)</f>
        <v>0</v>
      </c>
      <c r="Y25" s="142">
        <f>SUMIFS(領用表!$L:$L,領用表!$E:$E,$B25,領用表!$B:$B,Y$2&amp;$P$1)</f>
        <v>0</v>
      </c>
      <c r="Z25" s="142">
        <f>SUMIFS(領用表!$L:$L,領用表!$E:$E,$B25,領用表!$B:$B,Z$2&amp;$P$1)</f>
        <v>0</v>
      </c>
      <c r="AA25" s="142">
        <f>SUMIFS(領用表!$L:$L,領用表!$E:$E,$B25,領用表!$B:$B,AA$2&amp;$P$1)</f>
        <v>0</v>
      </c>
      <c r="AB25" s="142">
        <f t="shared" si="2"/>
        <v>0</v>
      </c>
      <c r="AC25" s="142">
        <f t="shared" si="3"/>
        <v>0</v>
      </c>
      <c r="AD25" s="142">
        <f>SUMIF(Summary!B:B,B25,Summary!DW:DW)</f>
        <v>5</v>
      </c>
      <c r="AE25" s="108"/>
      <c r="AF25" s="65"/>
      <c r="AG25" s="65"/>
      <c r="AH25" s="65"/>
      <c r="AI25" s="27"/>
      <c r="AJ25" s="69"/>
      <c r="AK25" s="14"/>
      <c r="AL25" s="29"/>
    </row>
    <row r="26" spans="1:38" ht="15.75" customHeight="1">
      <c r="A26" s="27" t="s">
        <v>651</v>
      </c>
      <c r="B26" s="14">
        <v>6200006</v>
      </c>
      <c r="C26" s="136" t="s">
        <v>508</v>
      </c>
      <c r="D26" s="75">
        <v>1</v>
      </c>
      <c r="E26" s="17" t="s">
        <v>15</v>
      </c>
      <c r="F26" s="18"/>
      <c r="G26" s="18"/>
      <c r="H26" s="20">
        <f>SUMIFS(領用表!$L:$L,領用表!$E:$E,$B26,領用表!$B:$B,H$2&amp;$P$1)</f>
        <v>0</v>
      </c>
      <c r="I26" s="20">
        <f>SUMIFS(領用表!$L:$L,領用表!$E:$E,$B26,領用表!$B:$B,I$2&amp;$P$1)</f>
        <v>0</v>
      </c>
      <c r="J26" s="20">
        <f>SUMIFS(領用表!$L:$L,領用表!$E:$E,$B26,領用表!$B:$B,J$2&amp;$P$1)</f>
        <v>0</v>
      </c>
      <c r="K26" s="142">
        <f>SUMIFS(領用表!$L:$L,領用表!$E:$E,$B26,領用表!$B:$B,K$2&amp;$P$1)</f>
        <v>0</v>
      </c>
      <c r="L26" s="142">
        <f>SUMIFS(領用表!$L:$L,領用表!$E:$E,$B26,領用表!$B:$B,L$2&amp;$P$1)</f>
        <v>0</v>
      </c>
      <c r="M26" s="142">
        <f>SUMIFS(領用表!$L:$L,領用表!$E:$E,$B26,領用表!$B:$B,M$2&amp;$P$1)</f>
        <v>0</v>
      </c>
      <c r="N26" s="23">
        <f t="shared" si="0"/>
        <v>0</v>
      </c>
      <c r="O26" s="23">
        <f t="shared" si="1"/>
        <v>0</v>
      </c>
      <c r="P26" s="142">
        <f>SUMIFS(領用表!$L:$L,領用表!$E:$E,$B26,領用表!$B:$B,P$2&amp;$P$1)</f>
        <v>0</v>
      </c>
      <c r="Q26" s="142">
        <f>SUMIFS(領用表!$L:$L,領用表!$E:$E,$B26,領用表!$B:$B,Q$2&amp;$P$1)</f>
        <v>0</v>
      </c>
      <c r="R26" s="142">
        <f>SUMIFS(領用表!$L:$L,領用表!$E:$E,$B26,領用表!$B:$B,R$2&amp;$P$1)</f>
        <v>0</v>
      </c>
      <c r="S26" s="142">
        <f>SUMIFS(領用表!$L:$L,領用表!$E:$E,$B26,領用表!$B:$B,S$2&amp;$P$1)</f>
        <v>0</v>
      </c>
      <c r="T26" s="142">
        <f>SUMIFS(領用表!$L:$L,領用表!$E:$E,$B26,領用表!$B:$B,T$2&amp;$P$1)</f>
        <v>0</v>
      </c>
      <c r="U26" s="142">
        <f>SUMIFS(領用表!$L:$L,領用表!$E:$E,$B26,領用表!$B:$B,U$2&amp;$P$1)</f>
        <v>0</v>
      </c>
      <c r="V26" s="142">
        <f>SUMIFS(領用表!$L:$L,領用表!$E:$E,$B26,領用表!$B:$B,V$2&amp;$P$1)</f>
        <v>0</v>
      </c>
      <c r="W26" s="142">
        <f>SUMIFS(領用表!$L:$L,領用表!$E:$E,$B26,領用表!$B:$B,W$2&amp;$P$1)</f>
        <v>0</v>
      </c>
      <c r="X26" s="142">
        <f>SUMIFS(領用表!$L:$L,領用表!$E:$E,$B26,領用表!$B:$B,X$2&amp;$P$1)</f>
        <v>0</v>
      </c>
      <c r="Y26" s="142">
        <f>SUMIFS(領用表!$L:$L,領用表!$E:$E,$B26,領用表!$B:$B,Y$2&amp;$P$1)</f>
        <v>0</v>
      </c>
      <c r="Z26" s="142">
        <f>SUMIFS(領用表!$L:$L,領用表!$E:$E,$B26,領用表!$B:$B,Z$2&amp;$P$1)</f>
        <v>0</v>
      </c>
      <c r="AA26" s="142">
        <f>SUMIFS(領用表!$L:$L,領用表!$E:$E,$B26,領用表!$B:$B,AA$2&amp;$P$1)</f>
        <v>0</v>
      </c>
      <c r="AB26" s="142">
        <f t="shared" si="2"/>
        <v>0</v>
      </c>
      <c r="AC26" s="142">
        <f t="shared" si="3"/>
        <v>0</v>
      </c>
      <c r="AD26" s="142">
        <f>SUMIF(Summary!B:B,B26,Summary!DW:DW)</f>
        <v>0</v>
      </c>
      <c r="AE26" s="108"/>
      <c r="AF26" s="65"/>
      <c r="AG26" s="65"/>
      <c r="AH26" s="65"/>
      <c r="AI26" s="27"/>
      <c r="AJ26" s="27"/>
      <c r="AK26" s="14"/>
      <c r="AL26" s="29"/>
    </row>
    <row r="27" spans="1:38" ht="15.75" customHeight="1">
      <c r="A27" s="27"/>
      <c r="B27" s="14">
        <v>6120004</v>
      </c>
      <c r="C27" s="135" t="s">
        <v>509</v>
      </c>
      <c r="D27" s="75">
        <v>10</v>
      </c>
      <c r="E27" s="17" t="s">
        <v>157</v>
      </c>
      <c r="F27" s="18"/>
      <c r="G27" s="18">
        <v>66</v>
      </c>
      <c r="H27" s="20">
        <f>SUMIFS(領用表!$L:$L,領用表!$E:$E,$B27,領用表!$B:$B,H$2&amp;$P$1)</f>
        <v>9</v>
      </c>
      <c r="I27" s="20">
        <f>SUMIFS(領用表!$L:$L,領用表!$E:$E,$B27,領用表!$B:$B,I$2&amp;$P$1)</f>
        <v>9</v>
      </c>
      <c r="J27" s="20">
        <f>SUMIFS(領用表!$L:$L,領用表!$E:$E,$B27,領用表!$B:$B,J$2&amp;$P$1)</f>
        <v>11</v>
      </c>
      <c r="K27" s="142">
        <f>SUMIFS(領用表!$L:$L,領用表!$E:$E,$B27,領用表!$B:$B,K$2&amp;$P$1)</f>
        <v>18</v>
      </c>
      <c r="L27" s="142">
        <f>SUMIFS(領用表!$L:$L,領用表!$E:$E,$B27,領用表!$B:$B,L$2&amp;$P$1)</f>
        <v>22</v>
      </c>
      <c r="M27" s="142">
        <f>SUMIFS(領用表!$L:$L,領用表!$E:$E,$B27,領用表!$B:$B,M$2&amp;$P$1)</f>
        <v>23</v>
      </c>
      <c r="N27" s="23">
        <f t="shared" si="0"/>
        <v>92</v>
      </c>
      <c r="O27" s="23">
        <f t="shared" si="1"/>
        <v>13.142857142857142</v>
      </c>
      <c r="P27" s="142">
        <f>SUMIFS(領用表!$L:$L,領用表!$E:$E,$B27,領用表!$B:$B,P$2&amp;$P$1)</f>
        <v>19</v>
      </c>
      <c r="Q27" s="142">
        <f>SUMIFS(領用表!$L:$L,領用表!$E:$E,$B27,領用表!$B:$B,Q$2&amp;$P$1)</f>
        <v>14</v>
      </c>
      <c r="R27" s="142">
        <f>SUMIFS(領用表!$L:$L,領用表!$E:$E,$B27,領用表!$B:$B,R$2&amp;$P$1)</f>
        <v>24</v>
      </c>
      <c r="S27" s="142">
        <f>SUMIFS(領用表!$L:$L,領用表!$E:$E,$B27,領用表!$B:$B,S$2&amp;$P$1)</f>
        <v>30</v>
      </c>
      <c r="T27" s="142">
        <f>SUMIFS(領用表!$L:$L,領用表!$E:$E,$B27,領用表!$B:$B,T$2&amp;$P$1)</f>
        <v>18</v>
      </c>
      <c r="U27" s="142">
        <f>SUMIFS(領用表!$L:$L,領用表!$E:$E,$B27,領用表!$B:$B,U$2&amp;$P$1)</f>
        <v>0</v>
      </c>
      <c r="V27" s="142">
        <f>SUMIFS(領用表!$L:$L,領用表!$E:$E,$B27,領用表!$B:$B,V$2&amp;$P$1)</f>
        <v>0</v>
      </c>
      <c r="W27" s="142">
        <f>SUMIFS(領用表!$L:$L,領用表!$E:$E,$B27,領用表!$B:$B,W$2&amp;$P$1)</f>
        <v>0</v>
      </c>
      <c r="X27" s="142">
        <f>SUMIFS(領用表!$L:$L,領用表!$E:$E,$B27,領用表!$B:$B,X$2&amp;$P$1)</f>
        <v>0</v>
      </c>
      <c r="Y27" s="142">
        <f>SUMIFS(領用表!$L:$L,領用表!$E:$E,$B27,領用表!$B:$B,Y$2&amp;$P$1)</f>
        <v>0</v>
      </c>
      <c r="Z27" s="142">
        <f>SUMIFS(領用表!$L:$L,領用表!$E:$E,$B27,領用表!$B:$B,Z$2&amp;$P$1)</f>
        <v>0</v>
      </c>
      <c r="AA27" s="142">
        <f>SUMIFS(領用表!$L:$L,領用表!$E:$E,$B27,領用表!$B:$B,AA$2&amp;$P$1)</f>
        <v>0</v>
      </c>
      <c r="AB27" s="142">
        <f t="shared" si="2"/>
        <v>105</v>
      </c>
      <c r="AC27" s="142">
        <f t="shared" si="3"/>
        <v>21</v>
      </c>
      <c r="AD27" s="142">
        <f>SUMIF(Summary!B:B,B27,Summary!DW:DW)</f>
        <v>0</v>
      </c>
      <c r="AE27" s="108"/>
      <c r="AF27" s="65"/>
      <c r="AG27" s="65"/>
      <c r="AH27" s="65"/>
      <c r="AI27" s="27"/>
      <c r="AJ27" s="27"/>
      <c r="AK27" s="14"/>
      <c r="AL27" s="29"/>
    </row>
    <row r="28" spans="1:38" ht="15.75" customHeight="1">
      <c r="A28" s="27"/>
      <c r="B28" s="27">
        <v>6120014</v>
      </c>
      <c r="C28" s="135" t="s">
        <v>510</v>
      </c>
      <c r="D28" s="75"/>
      <c r="E28" s="17" t="s">
        <v>157</v>
      </c>
      <c r="F28" s="18"/>
      <c r="G28" s="18">
        <v>1650</v>
      </c>
      <c r="H28" s="20">
        <f>SUMIFS(領用表!$L:$L,領用表!$E:$E,$B28,領用表!$B:$B,H$2&amp;$P$1)</f>
        <v>0</v>
      </c>
      <c r="I28" s="20">
        <f>SUMIFS(領用表!$L:$L,領用表!$E:$E,$B28,領用表!$B:$B,I$2&amp;$P$1)</f>
        <v>0</v>
      </c>
      <c r="J28" s="20">
        <f>SUMIFS(領用表!$L:$L,領用表!$E:$E,$B28,領用表!$B:$B,J$2&amp;$P$1)</f>
        <v>92</v>
      </c>
      <c r="K28" s="142">
        <f>SUMIFS(領用表!$L:$L,領用表!$E:$E,$B28,領用表!$B:$B,K$2&amp;$P$1)</f>
        <v>541</v>
      </c>
      <c r="L28" s="142">
        <f>SUMIFS(領用表!$L:$L,領用表!$E:$E,$B28,領用表!$B:$B,L$2&amp;$P$1)</f>
        <v>796</v>
      </c>
      <c r="M28" s="142">
        <f>SUMIFS(領用表!$L:$L,領用表!$E:$E,$B28,領用表!$B:$B,M$2&amp;$P$1)</f>
        <v>833</v>
      </c>
      <c r="N28" s="23">
        <f t="shared" si="0"/>
        <v>2262</v>
      </c>
      <c r="O28" s="23">
        <f t="shared" si="1"/>
        <v>323.14285714285717</v>
      </c>
      <c r="P28" s="142">
        <f>SUMIFS(領用表!$L:$L,領用表!$E:$E,$B28,領用表!$B:$B,P$2&amp;$P$1)</f>
        <v>921</v>
      </c>
      <c r="Q28" s="142">
        <f>SUMIFS(領用表!$L:$L,領用表!$E:$E,$B28,領用表!$B:$B,Q$2&amp;$P$1)</f>
        <v>695</v>
      </c>
      <c r="R28" s="142">
        <f>SUMIFS(領用表!$L:$L,領用表!$E:$E,$B28,領用表!$B:$B,R$2&amp;$P$1)</f>
        <v>954</v>
      </c>
      <c r="S28" s="142">
        <f>SUMIFS(領用表!$L:$L,領用表!$E:$E,$B28,領用表!$B:$B,S$2&amp;$P$1)</f>
        <v>1252</v>
      </c>
      <c r="T28" s="142">
        <f>SUMIFS(領用表!$L:$L,領用表!$E:$E,$B28,領用表!$B:$B,T$2&amp;$P$1)</f>
        <v>1663</v>
      </c>
      <c r="U28" s="142">
        <f>SUMIFS(領用表!$L:$L,領用表!$E:$E,$B28,領用表!$B:$B,U$2&amp;$P$1)</f>
        <v>0</v>
      </c>
      <c r="V28" s="142">
        <f>SUMIFS(領用表!$L:$L,領用表!$E:$E,$B28,領用表!$B:$B,V$2&amp;$P$1)</f>
        <v>0</v>
      </c>
      <c r="W28" s="142">
        <f>SUMIFS(領用表!$L:$L,領用表!$E:$E,$B28,領用表!$B:$B,W$2&amp;$P$1)</f>
        <v>0</v>
      </c>
      <c r="X28" s="142">
        <f>SUMIFS(領用表!$L:$L,領用表!$E:$E,$B28,領用表!$B:$B,X$2&amp;$P$1)</f>
        <v>0</v>
      </c>
      <c r="Y28" s="142">
        <f>SUMIFS(領用表!$L:$L,領用表!$E:$E,$B28,領用表!$B:$B,Y$2&amp;$P$1)</f>
        <v>0</v>
      </c>
      <c r="Z28" s="142">
        <f>SUMIFS(領用表!$L:$L,領用表!$E:$E,$B28,領用表!$B:$B,Z$2&amp;$P$1)</f>
        <v>0</v>
      </c>
      <c r="AA28" s="142">
        <f>SUMIFS(領用表!$L:$L,領用表!$E:$E,$B28,領用表!$B:$B,AA$2&amp;$P$1)</f>
        <v>0</v>
      </c>
      <c r="AB28" s="142">
        <f t="shared" si="2"/>
        <v>5485</v>
      </c>
      <c r="AC28" s="142">
        <f t="shared" si="3"/>
        <v>1097</v>
      </c>
      <c r="AD28" s="142">
        <f>SUMIF(Summary!B:B,B28,Summary!DW:DW)</f>
        <v>1500</v>
      </c>
      <c r="AE28" s="108"/>
      <c r="AF28" s="65"/>
      <c r="AG28" s="65"/>
      <c r="AH28" s="65"/>
      <c r="AI28" s="27"/>
      <c r="AJ28" s="27"/>
      <c r="AK28" s="14"/>
      <c r="AL28" s="29"/>
    </row>
    <row r="29" spans="1:38" ht="15.75" customHeight="1">
      <c r="A29" s="27"/>
      <c r="B29" s="27">
        <v>6120013</v>
      </c>
      <c r="C29" s="135" t="s">
        <v>511</v>
      </c>
      <c r="D29" s="75"/>
      <c r="E29" s="17" t="s">
        <v>157</v>
      </c>
      <c r="F29" s="18"/>
      <c r="G29" s="18">
        <v>1117</v>
      </c>
      <c r="H29" s="20">
        <f>SUMIFS(領用表!$L:$L,領用表!$E:$E,$B29,領用表!$B:$B,H$2&amp;$P$1)</f>
        <v>242</v>
      </c>
      <c r="I29" s="20">
        <f>SUMIFS(領用表!$L:$L,領用表!$E:$E,$B29,領用表!$B:$B,I$2&amp;$P$1)</f>
        <v>506</v>
      </c>
      <c r="J29" s="20">
        <f>SUMIFS(領用表!$L:$L,領用表!$E:$E,$B29,領用表!$B:$B,J$2&amp;$P$1)</f>
        <v>518</v>
      </c>
      <c r="K29" s="142">
        <f>SUMIFS(領用表!$L:$L,領用表!$E:$E,$B29,領用表!$B:$B,K$2&amp;$P$1)</f>
        <v>365</v>
      </c>
      <c r="L29" s="142">
        <f>SUMIFS(領用表!$L:$L,領用表!$E:$E,$B29,領用表!$B:$B,L$2&amp;$P$1)</f>
        <v>442</v>
      </c>
      <c r="M29" s="142">
        <f>SUMIFS(領用表!$L:$L,領用表!$E:$E,$B29,領用表!$B:$B,M$2&amp;$P$1)</f>
        <v>494</v>
      </c>
      <c r="N29" s="23">
        <f t="shared" si="0"/>
        <v>2567</v>
      </c>
      <c r="O29" s="23">
        <f t="shared" si="1"/>
        <v>366.71428571428572</v>
      </c>
      <c r="P29" s="142">
        <f>SUMIFS(領用表!$L:$L,領用表!$E:$E,$B29,領用表!$B:$B,P$2&amp;$P$1)</f>
        <v>639</v>
      </c>
      <c r="Q29" s="142">
        <f>SUMIFS(領用表!$L:$L,領用表!$E:$E,$B29,領用表!$B:$B,Q$2&amp;$P$1)</f>
        <v>576</v>
      </c>
      <c r="R29" s="142">
        <f>SUMIFS(領用表!$L:$L,領用表!$E:$E,$B29,領用表!$B:$B,R$2&amp;$P$1)</f>
        <v>863</v>
      </c>
      <c r="S29" s="142">
        <f>SUMIFS(領用表!$L:$L,領用表!$E:$E,$B29,領用表!$B:$B,S$2&amp;$P$1)</f>
        <v>662</v>
      </c>
      <c r="T29" s="142">
        <f>SUMIFS(領用表!$L:$L,領用表!$E:$E,$B29,領用表!$B:$B,T$2&amp;$P$1)</f>
        <v>524</v>
      </c>
      <c r="U29" s="142">
        <f>SUMIFS(領用表!$L:$L,領用表!$E:$E,$B29,領用表!$B:$B,U$2&amp;$P$1)</f>
        <v>0</v>
      </c>
      <c r="V29" s="142">
        <f>SUMIFS(領用表!$L:$L,領用表!$E:$E,$B29,領用表!$B:$B,V$2&amp;$P$1)</f>
        <v>0</v>
      </c>
      <c r="W29" s="142">
        <f>SUMIFS(領用表!$L:$L,領用表!$E:$E,$B29,領用表!$B:$B,W$2&amp;$P$1)</f>
        <v>0</v>
      </c>
      <c r="X29" s="142">
        <f>SUMIFS(領用表!$L:$L,領用表!$E:$E,$B29,領用表!$B:$B,X$2&amp;$P$1)</f>
        <v>0</v>
      </c>
      <c r="Y29" s="142">
        <f>SUMIFS(領用表!$L:$L,領用表!$E:$E,$B29,領用表!$B:$B,Y$2&amp;$P$1)</f>
        <v>0</v>
      </c>
      <c r="Z29" s="142">
        <f>SUMIFS(領用表!$L:$L,領用表!$E:$E,$B29,領用表!$B:$B,Z$2&amp;$P$1)</f>
        <v>0</v>
      </c>
      <c r="AA29" s="142">
        <f>SUMIFS(領用表!$L:$L,領用表!$E:$E,$B29,領用表!$B:$B,AA$2&amp;$P$1)</f>
        <v>0</v>
      </c>
      <c r="AB29" s="142">
        <f t="shared" si="2"/>
        <v>3264</v>
      </c>
      <c r="AC29" s="142">
        <f t="shared" si="3"/>
        <v>652.79999999999995</v>
      </c>
      <c r="AD29" s="142">
        <f>SUMIF(Summary!B:B,B29,Summary!DW:DW)</f>
        <v>1000</v>
      </c>
      <c r="AE29" s="108"/>
      <c r="AF29" s="65"/>
      <c r="AG29" s="76"/>
      <c r="AH29" s="65"/>
      <c r="AI29" s="27"/>
      <c r="AJ29" s="27"/>
      <c r="AK29" s="14"/>
      <c r="AL29" s="29"/>
    </row>
    <row r="30" spans="1:38" ht="15.75" customHeight="1">
      <c r="A30" s="27"/>
      <c r="B30" s="14">
        <v>6120021</v>
      </c>
      <c r="C30" s="136" t="s">
        <v>512</v>
      </c>
      <c r="D30" s="72">
        <v>50</v>
      </c>
      <c r="E30" s="17" t="s">
        <v>15</v>
      </c>
      <c r="F30" s="18"/>
      <c r="G30" s="18">
        <v>45</v>
      </c>
      <c r="H30" s="20">
        <f>SUMIFS(領用表!$L:$L,領用表!$E:$E,$B30,領用表!$B:$B,H$2&amp;$P$1)</f>
        <v>33</v>
      </c>
      <c r="I30" s="20">
        <f>SUMIFS(領用表!$L:$L,領用表!$E:$E,$B30,領用表!$B:$B,I$2&amp;$P$1)</f>
        <v>10</v>
      </c>
      <c r="J30" s="20">
        <f>SUMIFS(領用表!$L:$L,領用表!$E:$E,$B30,領用表!$B:$B,J$2&amp;$P$1)</f>
        <v>8</v>
      </c>
      <c r="K30" s="142">
        <f>SUMIFS(領用表!$L:$L,領用表!$E:$E,$B30,領用表!$B:$B,K$2&amp;$P$1)</f>
        <v>14</v>
      </c>
      <c r="L30" s="142">
        <f>SUMIFS(領用表!$L:$L,領用表!$E:$E,$B30,領用表!$B:$B,L$2&amp;$P$1)</f>
        <v>13</v>
      </c>
      <c r="M30" s="142">
        <f>SUMIFS(領用表!$L:$L,領用表!$E:$E,$B30,領用表!$B:$B,M$2&amp;$P$1)</f>
        <v>12</v>
      </c>
      <c r="N30" s="23">
        <f t="shared" si="0"/>
        <v>90</v>
      </c>
      <c r="O30" s="23">
        <f t="shared" si="1"/>
        <v>12.857142857142858</v>
      </c>
      <c r="P30" s="142">
        <f>SUMIFS(領用表!$L:$L,領用表!$E:$E,$B30,領用表!$B:$B,P$2&amp;$P$1)</f>
        <v>12</v>
      </c>
      <c r="Q30" s="142">
        <f>SUMIFS(領用表!$L:$L,領用表!$E:$E,$B30,領用表!$B:$B,Q$2&amp;$P$1)</f>
        <v>16</v>
      </c>
      <c r="R30" s="142">
        <f>SUMIFS(領用表!$L:$L,領用表!$E:$E,$B30,領用表!$B:$B,R$2&amp;$P$1)</f>
        <v>17</v>
      </c>
      <c r="S30" s="142">
        <f>SUMIFS(領用表!$L:$L,領用表!$E:$E,$B30,領用表!$B:$B,S$2&amp;$P$1)</f>
        <v>21</v>
      </c>
      <c r="T30" s="142">
        <f>SUMIFS(領用表!$L:$L,領用表!$E:$E,$B30,領用表!$B:$B,T$2&amp;$P$1)</f>
        <v>18</v>
      </c>
      <c r="U30" s="142">
        <f>SUMIFS(領用表!$L:$L,領用表!$E:$E,$B30,領用表!$B:$B,U$2&amp;$P$1)</f>
        <v>0</v>
      </c>
      <c r="V30" s="142">
        <f>SUMIFS(領用表!$L:$L,領用表!$E:$E,$B30,領用表!$B:$B,V$2&amp;$P$1)</f>
        <v>0</v>
      </c>
      <c r="W30" s="142">
        <f>SUMIFS(領用表!$L:$L,領用表!$E:$E,$B30,領用表!$B:$B,W$2&amp;$P$1)</f>
        <v>0</v>
      </c>
      <c r="X30" s="142">
        <f>SUMIFS(領用表!$L:$L,領用表!$E:$E,$B30,領用表!$B:$B,X$2&amp;$P$1)</f>
        <v>0</v>
      </c>
      <c r="Y30" s="142">
        <f>SUMIFS(領用表!$L:$L,領用表!$E:$E,$B30,領用表!$B:$B,Y$2&amp;$P$1)</f>
        <v>0</v>
      </c>
      <c r="Z30" s="142">
        <f>SUMIFS(領用表!$L:$L,領用表!$E:$E,$B30,領用表!$B:$B,Z$2&amp;$P$1)</f>
        <v>0</v>
      </c>
      <c r="AA30" s="142">
        <f>SUMIFS(領用表!$L:$L,領用表!$E:$E,$B30,領用表!$B:$B,AA$2&amp;$P$1)</f>
        <v>0</v>
      </c>
      <c r="AB30" s="142">
        <f t="shared" si="2"/>
        <v>84</v>
      </c>
      <c r="AC30" s="142">
        <f t="shared" si="3"/>
        <v>16.8</v>
      </c>
      <c r="AD30" s="142">
        <f>SUMIF(Summary!B:B,B30,Summary!DW:DW)</f>
        <v>0</v>
      </c>
      <c r="AE30" s="108"/>
      <c r="AF30" s="65"/>
      <c r="AG30" s="76" t="s">
        <v>158</v>
      </c>
      <c r="AH30" s="65"/>
      <c r="AI30" s="27"/>
      <c r="AJ30" s="69"/>
      <c r="AK30" s="14"/>
      <c r="AL30" s="14"/>
    </row>
    <row r="31" spans="1:38" ht="15.75" customHeight="1">
      <c r="A31" s="27"/>
      <c r="B31" s="14">
        <v>6120020</v>
      </c>
      <c r="C31" s="135" t="s">
        <v>513</v>
      </c>
      <c r="D31" s="77">
        <v>100</v>
      </c>
      <c r="E31" s="17" t="s">
        <v>15</v>
      </c>
      <c r="F31" s="18"/>
      <c r="G31" s="18"/>
      <c r="H31" s="20">
        <f>SUMIFS(領用表!$L:$L,領用表!$E:$E,$B31,領用表!$B:$B,H$2&amp;$P$1)</f>
        <v>0</v>
      </c>
      <c r="I31" s="20">
        <f>SUMIFS(領用表!$L:$L,領用表!$E:$E,$B31,領用表!$B:$B,I$2&amp;$P$1)</f>
        <v>0</v>
      </c>
      <c r="J31" s="20">
        <f>SUMIFS(領用表!$L:$L,領用表!$E:$E,$B31,領用表!$B:$B,J$2&amp;$P$1)</f>
        <v>0</v>
      </c>
      <c r="K31" s="142">
        <f>SUMIFS(領用表!$L:$L,領用表!$E:$E,$B31,領用表!$B:$B,K$2&amp;$P$1)</f>
        <v>0</v>
      </c>
      <c r="L31" s="142">
        <f>SUMIFS(領用表!$L:$L,領用表!$E:$E,$B31,領用表!$B:$B,L$2&amp;$P$1)</f>
        <v>0</v>
      </c>
      <c r="M31" s="142">
        <f>SUMIFS(領用表!$L:$L,領用表!$E:$E,$B31,領用表!$B:$B,M$2&amp;$P$1)</f>
        <v>0</v>
      </c>
      <c r="N31" s="23">
        <f t="shared" si="0"/>
        <v>0</v>
      </c>
      <c r="O31" s="23">
        <f t="shared" si="1"/>
        <v>0</v>
      </c>
      <c r="P31" s="142">
        <f>SUMIFS(領用表!$L:$L,領用表!$E:$E,$B31,領用表!$B:$B,P$2&amp;$P$1)</f>
        <v>0</v>
      </c>
      <c r="Q31" s="142">
        <f>SUMIFS(領用表!$L:$L,領用表!$E:$E,$B31,領用表!$B:$B,Q$2&amp;$P$1)</f>
        <v>0</v>
      </c>
      <c r="R31" s="142">
        <f>SUMIFS(領用表!$L:$L,領用表!$E:$E,$B31,領用表!$B:$B,R$2&amp;$P$1)</f>
        <v>0</v>
      </c>
      <c r="S31" s="142">
        <f>SUMIFS(領用表!$L:$L,領用表!$E:$E,$B31,領用表!$B:$B,S$2&amp;$P$1)</f>
        <v>0</v>
      </c>
      <c r="T31" s="142">
        <f>SUMIFS(領用表!$L:$L,領用表!$E:$E,$B31,領用表!$B:$B,T$2&amp;$P$1)</f>
        <v>0</v>
      </c>
      <c r="U31" s="142">
        <f>SUMIFS(領用表!$L:$L,領用表!$E:$E,$B31,領用表!$B:$B,U$2&amp;$P$1)</f>
        <v>0</v>
      </c>
      <c r="V31" s="142">
        <f>SUMIFS(領用表!$L:$L,領用表!$E:$E,$B31,領用表!$B:$B,V$2&amp;$P$1)</f>
        <v>0</v>
      </c>
      <c r="W31" s="142">
        <f>SUMIFS(領用表!$L:$L,領用表!$E:$E,$B31,領用表!$B:$B,W$2&amp;$P$1)</f>
        <v>0</v>
      </c>
      <c r="X31" s="142">
        <f>SUMIFS(領用表!$L:$L,領用表!$E:$E,$B31,領用表!$B:$B,X$2&amp;$P$1)</f>
        <v>0</v>
      </c>
      <c r="Y31" s="142">
        <f>SUMIFS(領用表!$L:$L,領用表!$E:$E,$B31,領用表!$B:$B,Y$2&amp;$P$1)</f>
        <v>0</v>
      </c>
      <c r="Z31" s="142">
        <f>SUMIFS(領用表!$L:$L,領用表!$E:$E,$B31,領用表!$B:$B,Z$2&amp;$P$1)</f>
        <v>0</v>
      </c>
      <c r="AA31" s="142">
        <f>SUMIFS(領用表!$L:$L,領用表!$E:$E,$B31,領用表!$B:$B,AA$2&amp;$P$1)</f>
        <v>0</v>
      </c>
      <c r="AB31" s="142">
        <f t="shared" si="2"/>
        <v>0</v>
      </c>
      <c r="AC31" s="142">
        <f t="shared" si="3"/>
        <v>0</v>
      </c>
      <c r="AD31" s="142">
        <f>SUMIF(Summary!B:B,B31,Summary!DW:DW)</f>
        <v>0</v>
      </c>
      <c r="AE31" s="108"/>
      <c r="AF31" s="65"/>
      <c r="AG31" s="76" t="s">
        <v>159</v>
      </c>
      <c r="AH31" s="65" t="s">
        <v>160</v>
      </c>
      <c r="AI31" s="27"/>
      <c r="AJ31" s="27"/>
      <c r="AK31" s="14"/>
      <c r="AL31" s="29"/>
    </row>
    <row r="32" spans="1:38" ht="15.75" customHeight="1">
      <c r="A32" s="27"/>
      <c r="B32" s="14">
        <v>6120006</v>
      </c>
      <c r="C32" s="136" t="s">
        <v>514</v>
      </c>
      <c r="D32" s="72">
        <v>100</v>
      </c>
      <c r="E32" s="17" t="s">
        <v>15</v>
      </c>
      <c r="F32" s="18"/>
      <c r="G32" s="18">
        <f>1061+70</f>
        <v>1131</v>
      </c>
      <c r="H32" s="20">
        <f>SUMIFS(領用表!$L:$L,領用表!$E:$E,$B32,領用表!$B:$B,H$2&amp;$P$1)</f>
        <v>91</v>
      </c>
      <c r="I32" s="20">
        <f>SUMIFS(領用表!$L:$L,領用表!$E:$E,$B32,領用表!$B:$B,I$2&amp;$P$1)</f>
        <v>219</v>
      </c>
      <c r="J32" s="20">
        <f>SUMIFS(領用表!$L:$L,領用表!$E:$E,$B32,領用表!$B:$B,J$2&amp;$P$1)</f>
        <v>273</v>
      </c>
      <c r="K32" s="142">
        <f>SUMIFS(領用表!$L:$L,領用表!$E:$E,$B32,領用表!$B:$B,K$2&amp;$P$1)</f>
        <v>380</v>
      </c>
      <c r="L32" s="142">
        <f>SUMIFS(領用表!$L:$L,領用表!$E:$E,$B32,領用表!$B:$B,L$2&amp;$P$1)</f>
        <v>460</v>
      </c>
      <c r="M32" s="142">
        <f>SUMIFS(領用表!$L:$L,領用表!$E:$E,$B32,領用表!$B:$B,M$2&amp;$P$1)</f>
        <v>511</v>
      </c>
      <c r="N32" s="23">
        <f t="shared" si="0"/>
        <v>1934</v>
      </c>
      <c r="O32" s="23">
        <f t="shared" si="1"/>
        <v>276.28571428571428</v>
      </c>
      <c r="P32" s="142">
        <f>SUMIFS(領用表!$L:$L,領用表!$E:$E,$B32,領用表!$B:$B,P$2&amp;$P$1)</f>
        <v>644</v>
      </c>
      <c r="Q32" s="142">
        <f>SUMIFS(領用表!$L:$L,領用表!$E:$E,$B32,領用表!$B:$B,Q$2&amp;$P$1)</f>
        <v>578</v>
      </c>
      <c r="R32" s="142">
        <f>SUMIFS(領用表!$L:$L,領用表!$E:$E,$B32,領用表!$B:$B,R$2&amp;$P$1)</f>
        <v>883</v>
      </c>
      <c r="S32" s="142">
        <f>SUMIFS(領用表!$L:$L,領用表!$E:$E,$B32,領用表!$B:$B,S$2&amp;$P$1)</f>
        <v>685</v>
      </c>
      <c r="T32" s="142">
        <f>SUMIFS(領用表!$L:$L,領用表!$E:$E,$B32,領用表!$B:$B,T$2&amp;$P$1)</f>
        <v>534</v>
      </c>
      <c r="U32" s="142">
        <f>SUMIFS(領用表!$L:$L,領用表!$E:$E,$B32,領用表!$B:$B,U$2&amp;$P$1)</f>
        <v>0</v>
      </c>
      <c r="V32" s="142">
        <f>SUMIFS(領用表!$L:$L,領用表!$E:$E,$B32,領用表!$B:$B,V$2&amp;$P$1)</f>
        <v>0</v>
      </c>
      <c r="W32" s="142">
        <f>SUMIFS(領用表!$L:$L,領用表!$E:$E,$B32,領用表!$B:$B,W$2&amp;$P$1)</f>
        <v>0</v>
      </c>
      <c r="X32" s="142">
        <f>SUMIFS(領用表!$L:$L,領用表!$E:$E,$B32,領用表!$B:$B,X$2&amp;$P$1)</f>
        <v>0</v>
      </c>
      <c r="Y32" s="142">
        <f>SUMIFS(領用表!$L:$L,領用表!$E:$E,$B32,領用表!$B:$B,Y$2&amp;$P$1)</f>
        <v>0</v>
      </c>
      <c r="Z32" s="142">
        <f>SUMIFS(領用表!$L:$L,領用表!$E:$E,$B32,領用表!$B:$B,Z$2&amp;$P$1)</f>
        <v>0</v>
      </c>
      <c r="AA32" s="142">
        <f>SUMIFS(領用表!$L:$L,領用表!$E:$E,$B32,領用表!$B:$B,AA$2&amp;$P$1)</f>
        <v>0</v>
      </c>
      <c r="AB32" s="142">
        <f t="shared" si="2"/>
        <v>3324</v>
      </c>
      <c r="AC32" s="142">
        <f t="shared" si="3"/>
        <v>664.8</v>
      </c>
      <c r="AD32" s="142">
        <f>SUMIF(Summary!B:B,B32,Summary!DW:DW)</f>
        <v>0</v>
      </c>
      <c r="AE32" s="108"/>
      <c r="AF32" s="65"/>
      <c r="AG32" s="65" t="s">
        <v>161</v>
      </c>
      <c r="AH32" s="65" t="s">
        <v>162</v>
      </c>
      <c r="AI32" s="27"/>
      <c r="AJ32" s="69"/>
      <c r="AK32" s="14"/>
      <c r="AL32" s="14"/>
    </row>
    <row r="33" spans="1:38" ht="15.75" customHeight="1">
      <c r="A33" s="27"/>
      <c r="B33" s="14">
        <v>6120009</v>
      </c>
      <c r="C33" s="136" t="s">
        <v>515</v>
      </c>
      <c r="D33" s="72">
        <v>100</v>
      </c>
      <c r="E33" s="17" t="s">
        <v>15</v>
      </c>
      <c r="F33" s="18"/>
      <c r="G33" s="18">
        <v>139</v>
      </c>
      <c r="H33" s="20">
        <f>SUMIFS(領用表!$L:$L,領用表!$E:$E,$B33,領用表!$B:$B,H$2&amp;$P$1)</f>
        <v>1</v>
      </c>
      <c r="I33" s="20">
        <f>SUMIFS(領用表!$L:$L,領用表!$E:$E,$B33,領用表!$B:$B,I$2&amp;$P$1)</f>
        <v>0</v>
      </c>
      <c r="J33" s="20">
        <f>SUMIFS(領用表!$L:$L,領用表!$E:$E,$B33,領用表!$B:$B,J$2&amp;$P$1)</f>
        <v>2</v>
      </c>
      <c r="K33" s="142">
        <f>SUMIFS(領用表!$L:$L,領用表!$E:$E,$B33,領用表!$B:$B,K$2&amp;$P$1)</f>
        <v>7</v>
      </c>
      <c r="L33" s="142">
        <f>SUMIFS(領用表!$L:$L,領用表!$E:$E,$B33,領用表!$B:$B,L$2&amp;$P$1)</f>
        <v>9</v>
      </c>
      <c r="M33" s="142">
        <f>SUMIFS(領用表!$L:$L,領用表!$E:$E,$B33,領用表!$B:$B,M$2&amp;$P$1)</f>
        <v>7</v>
      </c>
      <c r="N33" s="23">
        <f t="shared" si="0"/>
        <v>26</v>
      </c>
      <c r="O33" s="23">
        <f t="shared" si="1"/>
        <v>3.7142857142857144</v>
      </c>
      <c r="P33" s="142">
        <f>SUMIFS(領用表!$L:$L,領用表!$E:$E,$B33,領用表!$B:$B,P$2&amp;$P$1)</f>
        <v>7</v>
      </c>
      <c r="Q33" s="142">
        <f>SUMIFS(領用表!$L:$L,領用表!$E:$E,$B33,領用表!$B:$B,Q$2&amp;$P$1)</f>
        <v>4</v>
      </c>
      <c r="R33" s="142">
        <f>SUMIFS(領用表!$L:$L,領用表!$E:$E,$B33,領用表!$B:$B,R$2&amp;$P$1)</f>
        <v>9</v>
      </c>
      <c r="S33" s="142">
        <f>SUMIFS(領用表!$L:$L,領用表!$E:$E,$B33,領用表!$B:$B,S$2&amp;$P$1)</f>
        <v>11</v>
      </c>
      <c r="T33" s="142">
        <f>SUMIFS(領用表!$L:$L,領用表!$E:$E,$B33,領用表!$B:$B,T$2&amp;$P$1)</f>
        <v>4</v>
      </c>
      <c r="U33" s="142">
        <f>SUMIFS(領用表!$L:$L,領用表!$E:$E,$B33,領用表!$B:$B,U$2&amp;$P$1)</f>
        <v>0</v>
      </c>
      <c r="V33" s="142">
        <f>SUMIFS(領用表!$L:$L,領用表!$E:$E,$B33,領用表!$B:$B,V$2&amp;$P$1)</f>
        <v>0</v>
      </c>
      <c r="W33" s="142">
        <f>SUMIFS(領用表!$L:$L,領用表!$E:$E,$B33,領用表!$B:$B,W$2&amp;$P$1)</f>
        <v>0</v>
      </c>
      <c r="X33" s="142">
        <f>SUMIFS(領用表!$L:$L,領用表!$E:$E,$B33,領用表!$B:$B,X$2&amp;$P$1)</f>
        <v>0</v>
      </c>
      <c r="Y33" s="142">
        <f>SUMIFS(領用表!$L:$L,領用表!$E:$E,$B33,領用表!$B:$B,Y$2&amp;$P$1)</f>
        <v>0</v>
      </c>
      <c r="Z33" s="142">
        <f>SUMIFS(領用表!$L:$L,領用表!$E:$E,$B33,領用表!$B:$B,Z$2&amp;$P$1)</f>
        <v>0</v>
      </c>
      <c r="AA33" s="142">
        <f>SUMIFS(領用表!$L:$L,領用表!$E:$E,$B33,領用表!$B:$B,AA$2&amp;$P$1)</f>
        <v>0</v>
      </c>
      <c r="AB33" s="142">
        <f t="shared" si="2"/>
        <v>35</v>
      </c>
      <c r="AC33" s="142">
        <f t="shared" si="3"/>
        <v>7</v>
      </c>
      <c r="AD33" s="142">
        <f>SUMIF(Summary!B:B,B33,Summary!DW:DW)</f>
        <v>0</v>
      </c>
      <c r="AE33" s="108"/>
      <c r="AF33" s="65"/>
      <c r="AG33" s="65"/>
      <c r="AH33" s="65"/>
      <c r="AI33" s="27"/>
      <c r="AJ33" s="69"/>
      <c r="AK33" s="14"/>
      <c r="AL33" s="14"/>
    </row>
    <row r="34" spans="1:38" ht="15.75" customHeight="1">
      <c r="A34" s="27"/>
      <c r="B34" s="14">
        <v>6120010</v>
      </c>
      <c r="C34" s="136" t="s">
        <v>516</v>
      </c>
      <c r="D34" s="72">
        <v>100</v>
      </c>
      <c r="E34" s="17" t="s">
        <v>15</v>
      </c>
      <c r="F34" s="18"/>
      <c r="G34" s="18">
        <v>109</v>
      </c>
      <c r="H34" s="20">
        <f>SUMIFS(領用表!$L:$L,領用表!$E:$E,$B34,領用表!$B:$B,H$2&amp;$P$1)</f>
        <v>1</v>
      </c>
      <c r="I34" s="20">
        <f>SUMIFS(領用表!$L:$L,領用表!$E:$E,$B34,領用表!$B:$B,I$2&amp;$P$1)</f>
        <v>0</v>
      </c>
      <c r="J34" s="20">
        <f>SUMIFS(領用表!$L:$L,領用表!$E:$E,$B34,領用表!$B:$B,J$2&amp;$P$1)</f>
        <v>2</v>
      </c>
      <c r="K34" s="142">
        <f>SUMIFS(領用表!$L:$L,領用表!$E:$E,$B34,領用表!$B:$B,K$2&amp;$P$1)</f>
        <v>7</v>
      </c>
      <c r="L34" s="142">
        <f>SUMIFS(領用表!$L:$L,領用表!$E:$E,$B34,領用表!$B:$B,L$2&amp;$P$1)</f>
        <v>9</v>
      </c>
      <c r="M34" s="142">
        <f>SUMIFS(領用表!$L:$L,領用表!$E:$E,$B34,領用表!$B:$B,M$2&amp;$P$1)</f>
        <v>7</v>
      </c>
      <c r="N34" s="23">
        <f t="shared" si="0"/>
        <v>26</v>
      </c>
      <c r="O34" s="23">
        <f t="shared" si="1"/>
        <v>3.7142857142857144</v>
      </c>
      <c r="P34" s="142">
        <f>SUMIFS(領用表!$L:$L,領用表!$E:$E,$B34,領用表!$B:$B,P$2&amp;$P$1)</f>
        <v>7</v>
      </c>
      <c r="Q34" s="142">
        <f>SUMIFS(領用表!$L:$L,領用表!$E:$E,$B34,領用表!$B:$B,Q$2&amp;$P$1)</f>
        <v>4</v>
      </c>
      <c r="R34" s="142">
        <f>SUMIFS(領用表!$L:$L,領用表!$E:$E,$B34,領用表!$B:$B,R$2&amp;$P$1)</f>
        <v>9</v>
      </c>
      <c r="S34" s="142">
        <f>SUMIFS(領用表!$L:$L,領用表!$E:$E,$B34,領用表!$B:$B,S$2&amp;$P$1)</f>
        <v>11</v>
      </c>
      <c r="T34" s="142">
        <f>SUMIFS(領用表!$L:$L,領用表!$E:$E,$B34,領用表!$B:$B,T$2&amp;$P$1)</f>
        <v>4</v>
      </c>
      <c r="U34" s="142">
        <f>SUMIFS(領用表!$L:$L,領用表!$E:$E,$B34,領用表!$B:$B,U$2&amp;$P$1)</f>
        <v>0</v>
      </c>
      <c r="V34" s="142">
        <f>SUMIFS(領用表!$L:$L,領用表!$E:$E,$B34,領用表!$B:$B,V$2&amp;$P$1)</f>
        <v>0</v>
      </c>
      <c r="W34" s="142">
        <f>SUMIFS(領用表!$L:$L,領用表!$E:$E,$B34,領用表!$B:$B,W$2&amp;$P$1)</f>
        <v>0</v>
      </c>
      <c r="X34" s="142">
        <f>SUMIFS(領用表!$L:$L,領用表!$E:$E,$B34,領用表!$B:$B,X$2&amp;$P$1)</f>
        <v>0</v>
      </c>
      <c r="Y34" s="142">
        <f>SUMIFS(領用表!$L:$L,領用表!$E:$E,$B34,領用表!$B:$B,Y$2&amp;$P$1)</f>
        <v>0</v>
      </c>
      <c r="Z34" s="142">
        <f>SUMIFS(領用表!$L:$L,領用表!$E:$E,$B34,領用表!$B:$B,Z$2&amp;$P$1)</f>
        <v>0</v>
      </c>
      <c r="AA34" s="142">
        <f>SUMIFS(領用表!$L:$L,領用表!$E:$E,$B34,領用表!$B:$B,AA$2&amp;$P$1)</f>
        <v>0</v>
      </c>
      <c r="AB34" s="142">
        <f t="shared" si="2"/>
        <v>35</v>
      </c>
      <c r="AC34" s="142">
        <f t="shared" si="3"/>
        <v>7</v>
      </c>
      <c r="AD34" s="142">
        <f>SUMIF(Summary!B:B,B34,Summary!DW:DW)</f>
        <v>0</v>
      </c>
      <c r="AE34" s="108"/>
      <c r="AF34" s="65"/>
      <c r="AG34" s="65"/>
      <c r="AH34" s="65"/>
      <c r="AI34" s="27"/>
      <c r="AJ34" s="69"/>
      <c r="AK34" s="14"/>
      <c r="AL34" s="14"/>
    </row>
    <row r="35" spans="1:38" ht="15.75" customHeight="1" thickBot="1">
      <c r="A35" s="27"/>
      <c r="B35" s="14">
        <v>6120015</v>
      </c>
      <c r="C35" s="136" t="s">
        <v>517</v>
      </c>
      <c r="D35" s="72"/>
      <c r="E35" s="17" t="s">
        <v>15</v>
      </c>
      <c r="F35" s="18"/>
      <c r="G35" s="18">
        <v>5</v>
      </c>
      <c r="H35" s="20">
        <f>SUMIFS(領用表!$L:$L,領用表!$E:$E,$B35,領用表!$B:$B,H$2&amp;$P$1)</f>
        <v>33</v>
      </c>
      <c r="I35" s="20">
        <f>SUMIFS(領用表!$L:$L,領用表!$E:$E,$B35,領用表!$B:$B,I$2&amp;$P$1)</f>
        <v>10</v>
      </c>
      <c r="J35" s="20">
        <f>SUMIFS(領用表!$L:$L,領用表!$E:$E,$B35,領用表!$B:$B,J$2&amp;$P$1)</f>
        <v>5</v>
      </c>
      <c r="K35" s="142">
        <f>SUMIFS(領用表!$L:$L,領用表!$E:$E,$B35,領用表!$B:$B,K$2&amp;$P$1)</f>
        <v>14</v>
      </c>
      <c r="L35" s="142">
        <f>SUMIFS(領用表!$L:$L,領用表!$E:$E,$B35,領用表!$B:$B,L$2&amp;$P$1)</f>
        <v>13</v>
      </c>
      <c r="M35" s="142">
        <f>SUMIFS(領用表!$L:$L,領用表!$E:$E,$B35,領用表!$B:$B,M$2&amp;$P$1)</f>
        <v>8</v>
      </c>
      <c r="N35" s="23">
        <f t="shared" si="0"/>
        <v>83</v>
      </c>
      <c r="O35" s="23">
        <f t="shared" si="1"/>
        <v>11.857142857142858</v>
      </c>
      <c r="P35" s="142">
        <f>SUMIFS(領用表!$L:$L,領用表!$E:$E,$B35,領用表!$B:$B,P$2&amp;$P$1)</f>
        <v>12</v>
      </c>
      <c r="Q35" s="142">
        <f>SUMIFS(領用表!$L:$L,領用表!$E:$E,$B35,領用表!$B:$B,Q$2&amp;$P$1)</f>
        <v>16</v>
      </c>
      <c r="R35" s="142">
        <f>SUMIFS(領用表!$L:$L,領用表!$E:$E,$B35,領用表!$B:$B,R$2&amp;$P$1)</f>
        <v>17</v>
      </c>
      <c r="S35" s="142">
        <f>SUMIFS(領用表!$L:$L,領用表!$E:$E,$B35,領用表!$B:$B,S$2&amp;$P$1)</f>
        <v>14</v>
      </c>
      <c r="T35" s="142">
        <f>SUMIFS(領用表!$L:$L,領用表!$E:$E,$B35,領用表!$B:$B,T$2&amp;$P$1)</f>
        <v>15</v>
      </c>
      <c r="U35" s="142">
        <f>SUMIFS(領用表!$L:$L,領用表!$E:$E,$B35,領用表!$B:$B,U$2&amp;$P$1)</f>
        <v>0</v>
      </c>
      <c r="V35" s="142">
        <f>SUMIFS(領用表!$L:$L,領用表!$E:$E,$B35,領用表!$B:$B,V$2&amp;$P$1)</f>
        <v>0</v>
      </c>
      <c r="W35" s="142">
        <f>SUMIFS(領用表!$L:$L,領用表!$E:$E,$B35,領用表!$B:$B,W$2&amp;$P$1)</f>
        <v>0</v>
      </c>
      <c r="X35" s="142">
        <f>SUMIFS(領用表!$L:$L,領用表!$E:$E,$B35,領用表!$B:$B,X$2&amp;$P$1)</f>
        <v>0</v>
      </c>
      <c r="Y35" s="142">
        <f>SUMIFS(領用表!$L:$L,領用表!$E:$E,$B35,領用表!$B:$B,Y$2&amp;$P$1)</f>
        <v>0</v>
      </c>
      <c r="Z35" s="142">
        <f>SUMIFS(領用表!$L:$L,領用表!$E:$E,$B35,領用表!$B:$B,Z$2&amp;$P$1)</f>
        <v>0</v>
      </c>
      <c r="AA35" s="142">
        <f>SUMIFS(領用表!$L:$L,領用表!$E:$E,$B35,領用表!$B:$B,AA$2&amp;$P$1)</f>
        <v>0</v>
      </c>
      <c r="AB35" s="142">
        <f t="shared" si="2"/>
        <v>74</v>
      </c>
      <c r="AC35" s="142">
        <f t="shared" si="3"/>
        <v>14.8</v>
      </c>
      <c r="AD35" s="142">
        <f>SUMIF(Summary!B:B,B35,Summary!DW:DW)</f>
        <v>0</v>
      </c>
      <c r="AE35" s="108"/>
      <c r="AF35" s="65"/>
      <c r="AG35" s="76" t="s">
        <v>159</v>
      </c>
      <c r="AH35" s="65"/>
      <c r="AI35" s="27"/>
      <c r="AJ35" s="69"/>
      <c r="AK35" s="14"/>
      <c r="AL35" s="14"/>
    </row>
    <row r="36" spans="1:38" ht="15.75" customHeight="1" thickBot="1">
      <c r="A36" s="196" t="s">
        <v>752</v>
      </c>
      <c r="B36" s="191">
        <v>6120037</v>
      </c>
      <c r="C36" s="193" t="s">
        <v>753</v>
      </c>
      <c r="D36" s="72"/>
      <c r="E36" s="17"/>
      <c r="F36" s="18"/>
      <c r="G36" s="18">
        <v>101</v>
      </c>
      <c r="H36" s="20">
        <f>SUMIFS(領用表!$L:$L,領用表!$E:$E,$B36,領用表!$B:$B,H$2&amp;$P$1)</f>
        <v>0</v>
      </c>
      <c r="I36" s="20">
        <f>SUMIFS(領用表!$L:$L,領用表!$E:$E,$B36,領用表!$B:$B,I$2&amp;$P$1)</f>
        <v>0</v>
      </c>
      <c r="J36" s="20">
        <f>SUMIFS(領用表!$L:$L,領用表!$E:$E,$B36,領用表!$B:$B,J$2&amp;$P$1)</f>
        <v>0</v>
      </c>
      <c r="K36" s="142">
        <f>SUMIFS(領用表!$L:$L,領用表!$E:$E,$B36,領用表!$B:$B,K$2&amp;$P$1)</f>
        <v>0</v>
      </c>
      <c r="L36" s="142">
        <f>SUMIFS(領用表!$L:$L,領用表!$E:$E,$B36,領用表!$B:$B,L$2&amp;$P$1)</f>
        <v>0</v>
      </c>
      <c r="M36" s="142">
        <f>SUMIFS(領用表!$L:$L,領用表!$E:$E,$B36,領用表!$B:$B,M$2&amp;$P$1)</f>
        <v>0</v>
      </c>
      <c r="N36" s="23">
        <f t="shared" ref="N36:N37" si="8">SUM(,H36,I36,J36,K36,L36,M36)</f>
        <v>0</v>
      </c>
      <c r="O36" s="23">
        <f t="shared" ref="O36:O37" si="9">AVERAGE(,H36,I36,J36,K36,L36,M36)</f>
        <v>0</v>
      </c>
      <c r="P36" s="142">
        <f>SUMIFS(領用表!$L:$L,領用表!$E:$E,$B36,領用表!$B:$B,P$2&amp;$P$1)</f>
        <v>0</v>
      </c>
      <c r="Q36" s="142">
        <f>SUMIFS(領用表!$L:$L,領用表!$E:$E,$B36,領用表!$B:$B,Q$2&amp;$P$1)</f>
        <v>0</v>
      </c>
      <c r="R36" s="142">
        <f>SUMIFS(領用表!$L:$L,領用表!$E:$E,$B36,領用表!$B:$B,R$2&amp;$P$1)</f>
        <v>0</v>
      </c>
      <c r="S36" s="142">
        <f>SUMIFS(領用表!$L:$L,領用表!$E:$E,$B36,領用表!$B:$B,S$2&amp;$P$1)</f>
        <v>0</v>
      </c>
      <c r="T36" s="142">
        <f>SUMIFS(領用表!$L:$L,領用表!$E:$E,$B36,領用表!$B:$B,T$2&amp;$P$1)</f>
        <v>0</v>
      </c>
      <c r="U36" s="142">
        <f>SUMIFS(領用表!$L:$L,領用表!$E:$E,$B36,領用表!$B:$B,U$2&amp;$P$1)</f>
        <v>0</v>
      </c>
      <c r="V36" s="142">
        <f>SUMIFS(領用表!$L:$L,領用表!$E:$E,$B36,領用表!$B:$B,V$2&amp;$P$1)</f>
        <v>0</v>
      </c>
      <c r="W36" s="142">
        <f>SUMIFS(領用表!$L:$L,領用表!$E:$E,$B36,領用表!$B:$B,W$2&amp;$P$1)</f>
        <v>0</v>
      </c>
      <c r="X36" s="142">
        <f>SUMIFS(領用表!$L:$L,領用表!$E:$E,$B36,領用表!$B:$B,X$2&amp;$P$1)</f>
        <v>0</v>
      </c>
      <c r="Y36" s="142">
        <f>SUMIFS(領用表!$L:$L,領用表!$E:$E,$B36,領用表!$B:$B,Y$2&amp;$P$1)</f>
        <v>0</v>
      </c>
      <c r="Z36" s="142">
        <f>SUMIFS(領用表!$L:$L,領用表!$E:$E,$B36,領用表!$B:$B,Z$2&amp;$P$1)</f>
        <v>0</v>
      </c>
      <c r="AA36" s="142">
        <f>SUMIFS(領用表!$L:$L,領用表!$E:$E,$B36,領用表!$B:$B,AA$2&amp;$P$1)</f>
        <v>0</v>
      </c>
      <c r="AB36" s="142">
        <f t="shared" si="2"/>
        <v>0</v>
      </c>
      <c r="AC36" s="142">
        <f t="shared" si="3"/>
        <v>0</v>
      </c>
      <c r="AD36" s="142">
        <f>SUMIF(Summary!B:B,B36,Summary!DW:DW)</f>
        <v>0</v>
      </c>
      <c r="AE36" s="108"/>
      <c r="AF36" s="65"/>
      <c r="AG36" s="76"/>
      <c r="AH36" s="65"/>
      <c r="AI36" s="27"/>
      <c r="AJ36" s="69"/>
      <c r="AK36" s="14"/>
      <c r="AL36" s="14"/>
    </row>
    <row r="37" spans="1:38" ht="15.75" customHeight="1" thickBot="1">
      <c r="A37" s="196" t="s">
        <v>754</v>
      </c>
      <c r="B37" s="191">
        <v>6120038</v>
      </c>
      <c r="C37" s="193" t="s">
        <v>755</v>
      </c>
      <c r="D37" s="72"/>
      <c r="E37" s="17"/>
      <c r="F37" s="18"/>
      <c r="G37" s="18">
        <v>42</v>
      </c>
      <c r="H37" s="20">
        <f>SUMIFS(領用表!$L:$L,領用表!$E:$E,$B37,領用表!$B:$B,H$2&amp;$P$1)</f>
        <v>0</v>
      </c>
      <c r="I37" s="20">
        <f>SUMIFS(領用表!$L:$L,領用表!$E:$E,$B37,領用表!$B:$B,I$2&amp;$P$1)</f>
        <v>0</v>
      </c>
      <c r="J37" s="20">
        <f>SUMIFS(領用表!$L:$L,領用表!$E:$E,$B37,領用表!$B:$B,J$2&amp;$P$1)</f>
        <v>0</v>
      </c>
      <c r="K37" s="142">
        <f>SUMIFS(領用表!$L:$L,領用表!$E:$E,$B37,領用表!$B:$B,K$2&amp;$P$1)</f>
        <v>0</v>
      </c>
      <c r="L37" s="142">
        <f>SUMIFS(領用表!$L:$L,領用表!$E:$E,$B37,領用表!$B:$B,L$2&amp;$P$1)</f>
        <v>0</v>
      </c>
      <c r="M37" s="142">
        <f>SUMIFS(領用表!$L:$L,領用表!$E:$E,$B37,領用表!$B:$B,M$2&amp;$P$1)</f>
        <v>0</v>
      </c>
      <c r="N37" s="23">
        <f t="shared" si="8"/>
        <v>0</v>
      </c>
      <c r="O37" s="23">
        <f t="shared" si="9"/>
        <v>0</v>
      </c>
      <c r="P37" s="142">
        <f>SUMIFS(領用表!$L:$L,領用表!$E:$E,$B37,領用表!$B:$B,P$2&amp;$P$1)</f>
        <v>0</v>
      </c>
      <c r="Q37" s="142">
        <f>SUMIFS(領用表!$L:$L,領用表!$E:$E,$B37,領用表!$B:$B,Q$2&amp;$P$1)</f>
        <v>0</v>
      </c>
      <c r="R37" s="142">
        <f>SUMIFS(領用表!$L:$L,領用表!$E:$E,$B37,領用表!$B:$B,R$2&amp;$P$1)</f>
        <v>0</v>
      </c>
      <c r="S37" s="142">
        <f>SUMIFS(領用表!$L:$L,領用表!$E:$E,$B37,領用表!$B:$B,S$2&amp;$P$1)</f>
        <v>0</v>
      </c>
      <c r="T37" s="142">
        <f>SUMIFS(領用表!$L:$L,領用表!$E:$E,$B37,領用表!$B:$B,T$2&amp;$P$1)</f>
        <v>0</v>
      </c>
      <c r="U37" s="142">
        <f>SUMIFS(領用表!$L:$L,領用表!$E:$E,$B37,領用表!$B:$B,U$2&amp;$P$1)</f>
        <v>0</v>
      </c>
      <c r="V37" s="142">
        <f>SUMIFS(領用表!$L:$L,領用表!$E:$E,$B37,領用表!$B:$B,V$2&amp;$P$1)</f>
        <v>0</v>
      </c>
      <c r="W37" s="142">
        <f>SUMIFS(領用表!$L:$L,領用表!$E:$E,$B37,領用表!$B:$B,W$2&amp;$P$1)</f>
        <v>0</v>
      </c>
      <c r="X37" s="142">
        <f>SUMIFS(領用表!$L:$L,領用表!$E:$E,$B37,領用表!$B:$B,X$2&amp;$P$1)</f>
        <v>0</v>
      </c>
      <c r="Y37" s="142">
        <f>SUMIFS(領用表!$L:$L,領用表!$E:$E,$B37,領用表!$B:$B,Y$2&amp;$P$1)</f>
        <v>0</v>
      </c>
      <c r="Z37" s="142">
        <f>SUMIFS(領用表!$L:$L,領用表!$E:$E,$B37,領用表!$B:$B,Z$2&amp;$P$1)</f>
        <v>0</v>
      </c>
      <c r="AA37" s="142">
        <f>SUMIFS(領用表!$L:$L,領用表!$E:$E,$B37,領用表!$B:$B,AA$2&amp;$P$1)</f>
        <v>0</v>
      </c>
      <c r="AB37" s="142">
        <f t="shared" si="2"/>
        <v>0</v>
      </c>
      <c r="AC37" s="142">
        <f t="shared" si="3"/>
        <v>0</v>
      </c>
      <c r="AD37" s="142">
        <f>SUMIF(Summary!B:B,B37,Summary!DW:DW)</f>
        <v>0</v>
      </c>
      <c r="AE37" s="108"/>
      <c r="AF37" s="65"/>
      <c r="AG37" s="76"/>
      <c r="AH37" s="65"/>
      <c r="AI37" s="27"/>
      <c r="AJ37" s="69"/>
      <c r="AK37" s="14"/>
      <c r="AL37" s="14"/>
    </row>
    <row r="38" spans="1:38" ht="15.75" customHeight="1">
      <c r="A38" s="27"/>
      <c r="B38" s="14">
        <v>6120016</v>
      </c>
      <c r="C38" s="136" t="s">
        <v>518</v>
      </c>
      <c r="D38" s="72"/>
      <c r="E38" s="17" t="s">
        <v>15</v>
      </c>
      <c r="F38" s="18"/>
      <c r="G38" s="18">
        <v>85</v>
      </c>
      <c r="H38" s="20">
        <f>SUMIFS(領用表!$L:$L,領用表!$E:$E,$B38,領用表!$B:$B,H$2&amp;$P$1)</f>
        <v>33</v>
      </c>
      <c r="I38" s="20">
        <f>SUMIFS(領用表!$L:$L,領用表!$E:$E,$B38,領用表!$B:$B,I$2&amp;$P$1)</f>
        <v>10</v>
      </c>
      <c r="J38" s="20">
        <f>SUMIFS(領用表!$L:$L,領用表!$E:$E,$B38,領用表!$B:$B,J$2&amp;$P$1)</f>
        <v>5</v>
      </c>
      <c r="K38" s="142">
        <f>SUMIFS(領用表!$L:$L,領用表!$E:$E,$B38,領用表!$B:$B,K$2&amp;$P$1)</f>
        <v>14</v>
      </c>
      <c r="L38" s="142">
        <f>SUMIFS(領用表!$L:$L,領用表!$E:$E,$B38,領用表!$B:$B,L$2&amp;$P$1)</f>
        <v>13</v>
      </c>
      <c r="M38" s="142">
        <f>SUMIFS(領用表!$L:$L,領用表!$E:$E,$B38,領用表!$B:$B,M$2&amp;$P$1)</f>
        <v>8</v>
      </c>
      <c r="N38" s="23">
        <f t="shared" si="0"/>
        <v>83</v>
      </c>
      <c r="O38" s="23">
        <f t="shared" si="1"/>
        <v>11.857142857142858</v>
      </c>
      <c r="P38" s="142">
        <f>SUMIFS(領用表!$L:$L,領用表!$E:$E,$B38,領用表!$B:$B,P$2&amp;$P$1)</f>
        <v>12</v>
      </c>
      <c r="Q38" s="142">
        <f>SUMIFS(領用表!$L:$L,領用表!$E:$E,$B38,領用表!$B:$B,Q$2&amp;$P$1)</f>
        <v>16</v>
      </c>
      <c r="R38" s="142">
        <f>SUMIFS(領用表!$L:$L,領用表!$E:$E,$B38,領用表!$B:$B,R$2&amp;$P$1)</f>
        <v>17</v>
      </c>
      <c r="S38" s="142">
        <f>SUMIFS(領用表!$L:$L,領用表!$E:$E,$B38,領用表!$B:$B,S$2&amp;$P$1)</f>
        <v>14</v>
      </c>
      <c r="T38" s="142">
        <f>SUMIFS(領用表!$L:$L,領用表!$E:$E,$B38,領用表!$B:$B,T$2&amp;$P$1)</f>
        <v>15</v>
      </c>
      <c r="U38" s="142">
        <f>SUMIFS(領用表!$L:$L,領用表!$E:$E,$B38,領用表!$B:$B,U$2&amp;$P$1)</f>
        <v>0</v>
      </c>
      <c r="V38" s="142">
        <f>SUMIFS(領用表!$L:$L,領用表!$E:$E,$B38,領用表!$B:$B,V$2&amp;$P$1)</f>
        <v>0</v>
      </c>
      <c r="W38" s="142">
        <f>SUMIFS(領用表!$L:$L,領用表!$E:$E,$B38,領用表!$B:$B,W$2&amp;$P$1)</f>
        <v>0</v>
      </c>
      <c r="X38" s="142">
        <f>SUMIFS(領用表!$L:$L,領用表!$E:$E,$B38,領用表!$B:$B,X$2&amp;$P$1)</f>
        <v>0</v>
      </c>
      <c r="Y38" s="142">
        <f>SUMIFS(領用表!$L:$L,領用表!$E:$E,$B38,領用表!$B:$B,Y$2&amp;$P$1)</f>
        <v>0</v>
      </c>
      <c r="Z38" s="142">
        <f>SUMIFS(領用表!$L:$L,領用表!$E:$E,$B38,領用表!$B:$B,Z$2&amp;$P$1)</f>
        <v>0</v>
      </c>
      <c r="AA38" s="142">
        <f>SUMIFS(領用表!$L:$L,領用表!$E:$E,$B38,領用表!$B:$B,AA$2&amp;$P$1)</f>
        <v>0</v>
      </c>
      <c r="AB38" s="142">
        <f t="shared" si="2"/>
        <v>74</v>
      </c>
      <c r="AC38" s="142">
        <f t="shared" si="3"/>
        <v>14.8</v>
      </c>
      <c r="AD38" s="142">
        <f>SUMIF(Summary!B:B,B38,Summary!DW:DW)</f>
        <v>0</v>
      </c>
      <c r="AE38" s="108"/>
      <c r="AF38" s="65"/>
      <c r="AG38" s="76" t="s">
        <v>163</v>
      </c>
      <c r="AH38" s="65" t="s">
        <v>164</v>
      </c>
      <c r="AI38" s="27"/>
      <c r="AJ38" s="69"/>
      <c r="AK38" s="14"/>
      <c r="AL38" s="14"/>
    </row>
    <row r="39" spans="1:38" ht="15.75" customHeight="1">
      <c r="A39" s="27"/>
      <c r="B39" s="14">
        <v>6120022</v>
      </c>
      <c r="C39" s="27" t="s">
        <v>971</v>
      </c>
      <c r="D39" s="72"/>
      <c r="E39" s="17" t="s">
        <v>15</v>
      </c>
      <c r="F39" s="18"/>
      <c r="G39" s="18">
        <v>50</v>
      </c>
      <c r="H39" s="20">
        <f>SUMIFS(領用表!$L:$L,領用表!$E:$E,$B39,領用表!$B:$B,H$2&amp;$P$1)</f>
        <v>0</v>
      </c>
      <c r="I39" s="20">
        <f>SUMIFS(領用表!$L:$L,領用表!$E:$E,$B39,領用表!$B:$B,I$2&amp;$P$1)</f>
        <v>0</v>
      </c>
      <c r="J39" s="20">
        <f>SUMIFS(領用表!$L:$L,領用表!$E:$E,$B39,領用表!$B:$B,J$2&amp;$P$1)</f>
        <v>0</v>
      </c>
      <c r="K39" s="142">
        <f>SUMIFS(領用表!$L:$L,領用表!$E:$E,$B39,領用表!$B:$B,K$2&amp;$P$1)</f>
        <v>0</v>
      </c>
      <c r="L39" s="142">
        <f>SUMIFS(領用表!$L:$L,領用表!$E:$E,$B39,領用表!$B:$B,L$2&amp;$P$1)</f>
        <v>0</v>
      </c>
      <c r="M39" s="142">
        <f>SUMIFS(領用表!$L:$L,領用表!$E:$E,$B39,領用表!$B:$B,M$2&amp;$P$1)</f>
        <v>0</v>
      </c>
      <c r="N39" s="23">
        <f t="shared" si="0"/>
        <v>0</v>
      </c>
      <c r="O39" s="23">
        <f t="shared" si="1"/>
        <v>0</v>
      </c>
      <c r="P39" s="142">
        <f>SUMIFS(領用表!$L:$L,領用表!$E:$E,$B39,領用表!$B:$B,P$2&amp;$P$1)</f>
        <v>0</v>
      </c>
      <c r="Q39" s="142">
        <f>SUMIFS(領用表!$L:$L,領用表!$E:$E,$B39,領用表!$B:$B,Q$2&amp;$P$1)</f>
        <v>0</v>
      </c>
      <c r="R39" s="142">
        <f>SUMIFS(領用表!$L:$L,領用表!$E:$E,$B39,領用表!$B:$B,R$2&amp;$P$1)</f>
        <v>0</v>
      </c>
      <c r="S39" s="142">
        <f>SUMIFS(領用表!$L:$L,領用表!$E:$E,$B39,領用表!$B:$B,S$2&amp;$P$1)</f>
        <v>0</v>
      </c>
      <c r="T39" s="142">
        <f>SUMIFS(領用表!$L:$L,領用表!$E:$E,$B39,領用表!$B:$B,T$2&amp;$P$1)</f>
        <v>0</v>
      </c>
      <c r="U39" s="142">
        <f>SUMIFS(領用表!$L:$L,領用表!$E:$E,$B39,領用表!$B:$B,U$2&amp;$P$1)</f>
        <v>0</v>
      </c>
      <c r="V39" s="142">
        <f>SUMIFS(領用表!$L:$L,領用表!$E:$E,$B39,領用表!$B:$B,V$2&amp;$P$1)</f>
        <v>0</v>
      </c>
      <c r="W39" s="142">
        <f>SUMIFS(領用表!$L:$L,領用表!$E:$E,$B39,領用表!$B:$B,W$2&amp;$P$1)</f>
        <v>0</v>
      </c>
      <c r="X39" s="142">
        <f>SUMIFS(領用表!$L:$L,領用表!$E:$E,$B39,領用表!$B:$B,X$2&amp;$P$1)</f>
        <v>0</v>
      </c>
      <c r="Y39" s="142">
        <f>SUMIFS(領用表!$L:$L,領用表!$E:$E,$B39,領用表!$B:$B,Y$2&amp;$P$1)</f>
        <v>0</v>
      </c>
      <c r="Z39" s="142">
        <f>SUMIFS(領用表!$L:$L,領用表!$E:$E,$B39,領用表!$B:$B,Z$2&amp;$P$1)</f>
        <v>0</v>
      </c>
      <c r="AA39" s="142">
        <f>SUMIFS(領用表!$L:$L,領用表!$E:$E,$B39,領用表!$B:$B,AA$2&amp;$P$1)</f>
        <v>0</v>
      </c>
      <c r="AB39" s="142">
        <f t="shared" si="2"/>
        <v>0</v>
      </c>
      <c r="AC39" s="142">
        <f t="shared" si="3"/>
        <v>0</v>
      </c>
      <c r="AD39" s="142">
        <f>SUMIF(Summary!B:B,B39,Summary!DW:DW)</f>
        <v>0</v>
      </c>
      <c r="AE39" s="108"/>
      <c r="AF39" s="65"/>
      <c r="AG39" s="65"/>
      <c r="AH39" s="65"/>
      <c r="AI39" s="27"/>
      <c r="AJ39" s="69"/>
      <c r="AK39" s="14"/>
      <c r="AL39" s="14"/>
    </row>
    <row r="40" spans="1:38" ht="15.75" customHeight="1">
      <c r="A40" s="27"/>
      <c r="B40" s="14" t="e">
        <v>#N/A</v>
      </c>
      <c r="C40" s="136" t="s">
        <v>520</v>
      </c>
      <c r="D40" s="77"/>
      <c r="E40" s="17" t="s">
        <v>15</v>
      </c>
      <c r="F40" s="18"/>
      <c r="G40" s="18"/>
      <c r="H40" s="20">
        <f>SUMIFS(領用表!$L:$L,領用表!$E:$E,$B40,領用表!$B:$B,H$2&amp;$P$1)</f>
        <v>0</v>
      </c>
      <c r="I40" s="20">
        <f>SUMIFS(領用表!$L:$L,領用表!$E:$E,$B40,領用表!$B:$B,I$2&amp;$P$1)</f>
        <v>0</v>
      </c>
      <c r="J40" s="20">
        <f>SUMIFS(領用表!$L:$L,領用表!$E:$E,$B40,領用表!$B:$B,J$2&amp;$P$1)</f>
        <v>0</v>
      </c>
      <c r="K40" s="142">
        <f>SUMIFS(領用表!$L:$L,領用表!$E:$E,$B40,領用表!$B:$B,K$2&amp;$P$1)</f>
        <v>0</v>
      </c>
      <c r="L40" s="142">
        <f>SUMIFS(領用表!$L:$L,領用表!$E:$E,$B40,領用表!$B:$B,L$2&amp;$P$1)</f>
        <v>0</v>
      </c>
      <c r="M40" s="142">
        <f>SUMIFS(領用表!$L:$L,領用表!$E:$E,$B40,領用表!$B:$B,M$2&amp;$P$1)</f>
        <v>0</v>
      </c>
      <c r="N40" s="23">
        <f t="shared" si="0"/>
        <v>0</v>
      </c>
      <c r="O40" s="23">
        <f t="shared" si="1"/>
        <v>0</v>
      </c>
      <c r="P40" s="142">
        <f>SUMIFS(領用表!$L:$L,領用表!$E:$E,$B40,領用表!$B:$B,P$2&amp;$P$1)</f>
        <v>0</v>
      </c>
      <c r="Q40" s="142">
        <f>SUMIFS(領用表!$L:$L,領用表!$E:$E,$B40,領用表!$B:$B,Q$2&amp;$P$1)</f>
        <v>0</v>
      </c>
      <c r="R40" s="142">
        <f>SUMIFS(領用表!$L:$L,領用表!$E:$E,$B40,領用表!$B:$B,R$2&amp;$P$1)</f>
        <v>0</v>
      </c>
      <c r="S40" s="142">
        <f>SUMIFS(領用表!$L:$L,領用表!$E:$E,$B40,領用表!$B:$B,S$2&amp;$P$1)</f>
        <v>0</v>
      </c>
      <c r="T40" s="142">
        <f>SUMIFS(領用表!$L:$L,領用表!$E:$E,$B40,領用表!$B:$B,T$2&amp;$P$1)</f>
        <v>0</v>
      </c>
      <c r="U40" s="142">
        <f>SUMIFS(領用表!$L:$L,領用表!$E:$E,$B40,領用表!$B:$B,U$2&amp;$P$1)</f>
        <v>0</v>
      </c>
      <c r="V40" s="142">
        <f>SUMIFS(領用表!$L:$L,領用表!$E:$E,$B40,領用表!$B:$B,V$2&amp;$P$1)</f>
        <v>0</v>
      </c>
      <c r="W40" s="142">
        <f>SUMIFS(領用表!$L:$L,領用表!$E:$E,$B40,領用表!$B:$B,W$2&amp;$P$1)</f>
        <v>0</v>
      </c>
      <c r="X40" s="142">
        <f>SUMIFS(領用表!$L:$L,領用表!$E:$E,$B40,領用表!$B:$B,X$2&amp;$P$1)</f>
        <v>0</v>
      </c>
      <c r="Y40" s="142">
        <f>SUMIFS(領用表!$L:$L,領用表!$E:$E,$B40,領用表!$B:$B,Y$2&amp;$P$1)</f>
        <v>0</v>
      </c>
      <c r="Z40" s="142">
        <f>SUMIFS(領用表!$L:$L,領用表!$E:$E,$B40,領用表!$B:$B,Z$2&amp;$P$1)</f>
        <v>0</v>
      </c>
      <c r="AA40" s="142">
        <f>SUMIFS(領用表!$L:$L,領用表!$E:$E,$B40,領用表!$B:$B,AA$2&amp;$P$1)</f>
        <v>0</v>
      </c>
      <c r="AB40" s="142">
        <f t="shared" si="2"/>
        <v>0</v>
      </c>
      <c r="AC40" s="142">
        <f t="shared" si="3"/>
        <v>0</v>
      </c>
      <c r="AD40" s="142">
        <f>SUMIF(Summary!B:B,B40,Summary!DW:DW)</f>
        <v>0</v>
      </c>
      <c r="AE40" s="108"/>
      <c r="AF40" s="65"/>
      <c r="AG40" s="65"/>
      <c r="AH40" s="65"/>
      <c r="AI40" s="27"/>
      <c r="AJ40" s="27"/>
      <c r="AK40" s="14"/>
      <c r="AL40" s="29"/>
    </row>
    <row r="41" spans="1:38" ht="15.75" customHeight="1">
      <c r="A41" s="27"/>
      <c r="B41" s="14">
        <v>6120023</v>
      </c>
      <c r="C41" s="136" t="s">
        <v>521</v>
      </c>
      <c r="D41" s="77"/>
      <c r="E41" s="17" t="s">
        <v>15</v>
      </c>
      <c r="F41" s="18"/>
      <c r="G41" s="18"/>
      <c r="H41" s="20">
        <f>SUMIFS(領用表!$L:$L,領用表!$E:$E,$B41,領用表!$B:$B,H$2&amp;$P$1)</f>
        <v>0</v>
      </c>
      <c r="I41" s="20">
        <f>SUMIFS(領用表!$L:$L,領用表!$E:$E,$B41,領用表!$B:$B,I$2&amp;$P$1)</f>
        <v>0</v>
      </c>
      <c r="J41" s="20">
        <f>SUMIFS(領用表!$L:$L,領用表!$E:$E,$B41,領用表!$B:$B,J$2&amp;$P$1)</f>
        <v>0</v>
      </c>
      <c r="K41" s="142">
        <f>SUMIFS(領用表!$L:$L,領用表!$E:$E,$B41,領用表!$B:$B,K$2&amp;$P$1)</f>
        <v>0</v>
      </c>
      <c r="L41" s="142">
        <f>SUMIFS(領用表!$L:$L,領用表!$E:$E,$B41,領用表!$B:$B,L$2&amp;$P$1)</f>
        <v>0</v>
      </c>
      <c r="M41" s="142">
        <f>SUMIFS(領用表!$L:$L,領用表!$E:$E,$B41,領用表!$B:$B,M$2&amp;$P$1)</f>
        <v>0</v>
      </c>
      <c r="N41" s="23">
        <f t="shared" si="0"/>
        <v>0</v>
      </c>
      <c r="O41" s="23">
        <f t="shared" si="1"/>
        <v>0</v>
      </c>
      <c r="P41" s="142">
        <f>SUMIFS(領用表!$L:$L,領用表!$E:$E,$B41,領用表!$B:$B,P$2&amp;$P$1)</f>
        <v>0</v>
      </c>
      <c r="Q41" s="142">
        <f>SUMIFS(領用表!$L:$L,領用表!$E:$E,$B41,領用表!$B:$B,Q$2&amp;$P$1)</f>
        <v>0</v>
      </c>
      <c r="R41" s="142">
        <f>SUMIFS(領用表!$L:$L,領用表!$E:$E,$B41,領用表!$B:$B,R$2&amp;$P$1)</f>
        <v>0</v>
      </c>
      <c r="S41" s="142">
        <f>SUMIFS(領用表!$L:$L,領用表!$E:$E,$B41,領用表!$B:$B,S$2&amp;$P$1)</f>
        <v>0</v>
      </c>
      <c r="T41" s="142">
        <f>SUMIFS(領用表!$L:$L,領用表!$E:$E,$B41,領用表!$B:$B,T$2&amp;$P$1)</f>
        <v>0</v>
      </c>
      <c r="U41" s="142">
        <f>SUMIFS(領用表!$L:$L,領用表!$E:$E,$B41,領用表!$B:$B,U$2&amp;$P$1)</f>
        <v>0</v>
      </c>
      <c r="V41" s="142">
        <f>SUMIFS(領用表!$L:$L,領用表!$E:$E,$B41,領用表!$B:$B,V$2&amp;$P$1)</f>
        <v>0</v>
      </c>
      <c r="W41" s="142">
        <f>SUMIFS(領用表!$L:$L,領用表!$E:$E,$B41,領用表!$B:$B,W$2&amp;$P$1)</f>
        <v>0</v>
      </c>
      <c r="X41" s="142">
        <f>SUMIFS(領用表!$L:$L,領用表!$E:$E,$B41,領用表!$B:$B,X$2&amp;$P$1)</f>
        <v>0</v>
      </c>
      <c r="Y41" s="142">
        <f>SUMIFS(領用表!$L:$L,領用表!$E:$E,$B41,領用表!$B:$B,Y$2&amp;$P$1)</f>
        <v>0</v>
      </c>
      <c r="Z41" s="142">
        <f>SUMIFS(領用表!$L:$L,領用表!$E:$E,$B41,領用表!$B:$B,Z$2&amp;$P$1)</f>
        <v>0</v>
      </c>
      <c r="AA41" s="142">
        <f>SUMIFS(領用表!$L:$L,領用表!$E:$E,$B41,領用表!$B:$B,AA$2&amp;$P$1)</f>
        <v>0</v>
      </c>
      <c r="AB41" s="142">
        <f t="shared" si="2"/>
        <v>0</v>
      </c>
      <c r="AC41" s="142">
        <f t="shared" si="3"/>
        <v>0</v>
      </c>
      <c r="AD41" s="142">
        <f>SUMIF(Summary!B:B,B41,Summary!DW:DW)</f>
        <v>0</v>
      </c>
      <c r="AE41" s="108"/>
      <c r="AF41" s="65"/>
      <c r="AG41" s="65"/>
      <c r="AH41" s="65"/>
      <c r="AI41" s="27"/>
      <c r="AJ41" s="27"/>
      <c r="AK41" s="14"/>
      <c r="AL41" s="29"/>
    </row>
    <row r="42" spans="1:38" ht="15.75" customHeight="1">
      <c r="A42" s="27"/>
      <c r="B42" s="14">
        <v>6120024</v>
      </c>
      <c r="C42" s="136" t="s">
        <v>522</v>
      </c>
      <c r="D42" s="77"/>
      <c r="E42" s="17" t="s">
        <v>15</v>
      </c>
      <c r="F42" s="18"/>
      <c r="G42" s="18"/>
      <c r="H42" s="20">
        <f>SUMIFS(領用表!$L:$L,領用表!$E:$E,$B42,領用表!$B:$B,H$2&amp;$P$1)</f>
        <v>0</v>
      </c>
      <c r="I42" s="20">
        <f>SUMIFS(領用表!$L:$L,領用表!$E:$E,$B42,領用表!$B:$B,I$2&amp;$P$1)</f>
        <v>0</v>
      </c>
      <c r="J42" s="20">
        <f>SUMIFS(領用表!$L:$L,領用表!$E:$E,$B42,領用表!$B:$B,J$2&amp;$P$1)</f>
        <v>0</v>
      </c>
      <c r="K42" s="142">
        <f>SUMIFS(領用表!$L:$L,領用表!$E:$E,$B42,領用表!$B:$B,K$2&amp;$P$1)</f>
        <v>0</v>
      </c>
      <c r="L42" s="142">
        <f>SUMIFS(領用表!$L:$L,領用表!$E:$E,$B42,領用表!$B:$B,L$2&amp;$P$1)</f>
        <v>0</v>
      </c>
      <c r="M42" s="142">
        <f>SUMIFS(領用表!$L:$L,領用表!$E:$E,$B42,領用表!$B:$B,M$2&amp;$P$1)</f>
        <v>0</v>
      </c>
      <c r="N42" s="23">
        <f t="shared" si="0"/>
        <v>0</v>
      </c>
      <c r="O42" s="23">
        <f t="shared" si="1"/>
        <v>0</v>
      </c>
      <c r="P42" s="142">
        <f>SUMIFS(領用表!$L:$L,領用表!$E:$E,$B42,領用表!$B:$B,P$2&amp;$P$1)</f>
        <v>0</v>
      </c>
      <c r="Q42" s="142">
        <f>SUMIFS(領用表!$L:$L,領用表!$E:$E,$B42,領用表!$B:$B,Q$2&amp;$P$1)</f>
        <v>0</v>
      </c>
      <c r="R42" s="142">
        <f>SUMIFS(領用表!$L:$L,領用表!$E:$E,$B42,領用表!$B:$B,R$2&amp;$P$1)</f>
        <v>0</v>
      </c>
      <c r="S42" s="142">
        <f>SUMIFS(領用表!$L:$L,領用表!$E:$E,$B42,領用表!$B:$B,S$2&amp;$P$1)</f>
        <v>0</v>
      </c>
      <c r="T42" s="142">
        <f>SUMIFS(領用表!$L:$L,領用表!$E:$E,$B42,領用表!$B:$B,T$2&amp;$P$1)</f>
        <v>0</v>
      </c>
      <c r="U42" s="142">
        <f>SUMIFS(領用表!$L:$L,領用表!$E:$E,$B42,領用表!$B:$B,U$2&amp;$P$1)</f>
        <v>0</v>
      </c>
      <c r="V42" s="142">
        <f>SUMIFS(領用表!$L:$L,領用表!$E:$E,$B42,領用表!$B:$B,V$2&amp;$P$1)</f>
        <v>0</v>
      </c>
      <c r="W42" s="142">
        <f>SUMIFS(領用表!$L:$L,領用表!$E:$E,$B42,領用表!$B:$B,W$2&amp;$P$1)</f>
        <v>0</v>
      </c>
      <c r="X42" s="142">
        <f>SUMIFS(領用表!$L:$L,領用表!$E:$E,$B42,領用表!$B:$B,X$2&amp;$P$1)</f>
        <v>0</v>
      </c>
      <c r="Y42" s="142">
        <f>SUMIFS(領用表!$L:$L,領用表!$E:$E,$B42,領用表!$B:$B,Y$2&amp;$P$1)</f>
        <v>0</v>
      </c>
      <c r="Z42" s="142">
        <f>SUMIFS(領用表!$L:$L,領用表!$E:$E,$B42,領用表!$B:$B,Z$2&amp;$P$1)</f>
        <v>0</v>
      </c>
      <c r="AA42" s="142">
        <f>SUMIFS(領用表!$L:$L,領用表!$E:$E,$B42,領用表!$B:$B,AA$2&amp;$P$1)</f>
        <v>0</v>
      </c>
      <c r="AB42" s="142">
        <f t="shared" si="2"/>
        <v>0</v>
      </c>
      <c r="AC42" s="142">
        <f t="shared" si="3"/>
        <v>0</v>
      </c>
      <c r="AD42" s="142">
        <f>SUMIF(Summary!B:B,B42,Summary!DW:DW)</f>
        <v>0</v>
      </c>
      <c r="AE42" s="109"/>
      <c r="AF42" s="65"/>
      <c r="AG42" s="65"/>
      <c r="AH42" s="65"/>
      <c r="AI42" s="27"/>
      <c r="AJ42" s="27"/>
      <c r="AK42" s="14"/>
      <c r="AL42" s="29"/>
    </row>
    <row r="43" spans="1:38" ht="15.75" customHeight="1">
      <c r="A43" s="27"/>
      <c r="B43" s="14">
        <v>6120025</v>
      </c>
      <c r="C43" s="136" t="s">
        <v>523</v>
      </c>
      <c r="D43" s="77"/>
      <c r="E43" s="17" t="s">
        <v>15</v>
      </c>
      <c r="F43" s="18"/>
      <c r="G43" s="18"/>
      <c r="H43" s="20">
        <f>SUMIFS(領用表!$L:$L,領用表!$E:$E,$B43,領用表!$B:$B,H$2&amp;$P$1)</f>
        <v>0</v>
      </c>
      <c r="I43" s="20">
        <f>SUMIFS(領用表!$L:$L,領用表!$E:$E,$B43,領用表!$B:$B,I$2&amp;$P$1)</f>
        <v>0</v>
      </c>
      <c r="J43" s="20">
        <f>SUMIFS(領用表!$L:$L,領用表!$E:$E,$B43,領用表!$B:$B,J$2&amp;$P$1)</f>
        <v>0</v>
      </c>
      <c r="K43" s="142">
        <f>SUMIFS(領用表!$L:$L,領用表!$E:$E,$B43,領用表!$B:$B,K$2&amp;$P$1)</f>
        <v>0</v>
      </c>
      <c r="L43" s="142">
        <f>SUMIFS(領用表!$L:$L,領用表!$E:$E,$B43,領用表!$B:$B,L$2&amp;$P$1)</f>
        <v>0</v>
      </c>
      <c r="M43" s="142">
        <f>SUMIFS(領用表!$L:$L,領用表!$E:$E,$B43,領用表!$B:$B,M$2&amp;$P$1)</f>
        <v>0</v>
      </c>
      <c r="N43" s="23">
        <f t="shared" si="0"/>
        <v>0</v>
      </c>
      <c r="O43" s="23">
        <f t="shared" si="1"/>
        <v>0</v>
      </c>
      <c r="P43" s="142">
        <f>SUMIFS(領用表!$L:$L,領用表!$E:$E,$B43,領用表!$B:$B,P$2&amp;$P$1)</f>
        <v>0</v>
      </c>
      <c r="Q43" s="142">
        <f>SUMIFS(領用表!$L:$L,領用表!$E:$E,$B43,領用表!$B:$B,Q$2&amp;$P$1)</f>
        <v>0</v>
      </c>
      <c r="R43" s="142">
        <f>SUMIFS(領用表!$L:$L,領用表!$E:$E,$B43,領用表!$B:$B,R$2&amp;$P$1)</f>
        <v>0</v>
      </c>
      <c r="S43" s="142">
        <f>SUMIFS(領用表!$L:$L,領用表!$E:$E,$B43,領用表!$B:$B,S$2&amp;$P$1)</f>
        <v>0</v>
      </c>
      <c r="T43" s="142">
        <f>SUMIFS(領用表!$L:$L,領用表!$E:$E,$B43,領用表!$B:$B,T$2&amp;$P$1)</f>
        <v>0</v>
      </c>
      <c r="U43" s="142">
        <f>SUMIFS(領用表!$L:$L,領用表!$E:$E,$B43,領用表!$B:$B,U$2&amp;$P$1)</f>
        <v>0</v>
      </c>
      <c r="V43" s="142">
        <f>SUMIFS(領用表!$L:$L,領用表!$E:$E,$B43,領用表!$B:$B,V$2&amp;$P$1)</f>
        <v>0</v>
      </c>
      <c r="W43" s="142">
        <f>SUMIFS(領用表!$L:$L,領用表!$E:$E,$B43,領用表!$B:$B,W$2&amp;$P$1)</f>
        <v>0</v>
      </c>
      <c r="X43" s="142">
        <f>SUMIFS(領用表!$L:$L,領用表!$E:$E,$B43,領用表!$B:$B,X$2&amp;$P$1)</f>
        <v>0</v>
      </c>
      <c r="Y43" s="142">
        <f>SUMIFS(領用表!$L:$L,領用表!$E:$E,$B43,領用表!$B:$B,Y$2&amp;$P$1)</f>
        <v>0</v>
      </c>
      <c r="Z43" s="142">
        <f>SUMIFS(領用表!$L:$L,領用表!$E:$E,$B43,領用表!$B:$B,Z$2&amp;$P$1)</f>
        <v>0</v>
      </c>
      <c r="AA43" s="142">
        <f>SUMIFS(領用表!$L:$L,領用表!$E:$E,$B43,領用表!$B:$B,AA$2&amp;$P$1)</f>
        <v>0</v>
      </c>
      <c r="AB43" s="142">
        <f t="shared" si="2"/>
        <v>0</v>
      </c>
      <c r="AC43" s="142">
        <f t="shared" si="3"/>
        <v>0</v>
      </c>
      <c r="AD43" s="142">
        <f>SUMIF(Summary!B:B,B43,Summary!DW:DW)</f>
        <v>0</v>
      </c>
      <c r="AE43" s="109"/>
      <c r="AF43" s="65"/>
      <c r="AG43" s="65"/>
      <c r="AH43" s="65"/>
      <c r="AI43" s="27"/>
      <c r="AJ43" s="27"/>
      <c r="AK43" s="14"/>
      <c r="AL43" s="29"/>
    </row>
    <row r="44" spans="1:38" ht="15.75" customHeight="1">
      <c r="A44" s="27"/>
      <c r="B44" s="14" t="e">
        <v>#N/A</v>
      </c>
      <c r="C44" s="136" t="s">
        <v>524</v>
      </c>
      <c r="D44" s="77"/>
      <c r="E44" s="17" t="s">
        <v>15</v>
      </c>
      <c r="F44" s="18"/>
      <c r="G44" s="18"/>
      <c r="H44" s="20">
        <f>SUMIFS(領用表!$L:$L,領用表!$E:$E,$B44,領用表!$B:$B,H$2&amp;$P$1)</f>
        <v>0</v>
      </c>
      <c r="I44" s="20">
        <f>SUMIFS(領用表!$L:$L,領用表!$E:$E,$B44,領用表!$B:$B,I$2&amp;$P$1)</f>
        <v>0</v>
      </c>
      <c r="J44" s="20">
        <f>SUMIFS(領用表!$L:$L,領用表!$E:$E,$B44,領用表!$B:$B,J$2&amp;$P$1)</f>
        <v>0</v>
      </c>
      <c r="K44" s="142">
        <f>SUMIFS(領用表!$L:$L,領用表!$E:$E,$B44,領用表!$B:$B,K$2&amp;$P$1)</f>
        <v>0</v>
      </c>
      <c r="L44" s="142">
        <f>SUMIFS(領用表!$L:$L,領用表!$E:$E,$B44,領用表!$B:$B,L$2&amp;$P$1)</f>
        <v>0</v>
      </c>
      <c r="M44" s="142">
        <f>SUMIFS(領用表!$L:$L,領用表!$E:$E,$B44,領用表!$B:$B,M$2&amp;$P$1)</f>
        <v>0</v>
      </c>
      <c r="N44" s="23">
        <f t="shared" si="0"/>
        <v>0</v>
      </c>
      <c r="O44" s="23">
        <f t="shared" si="1"/>
        <v>0</v>
      </c>
      <c r="P44" s="142">
        <f>SUMIFS(領用表!$L:$L,領用表!$E:$E,$B44,領用表!$B:$B,P$2&amp;$P$1)</f>
        <v>0</v>
      </c>
      <c r="Q44" s="142">
        <f>SUMIFS(領用表!$L:$L,領用表!$E:$E,$B44,領用表!$B:$B,Q$2&amp;$P$1)</f>
        <v>0</v>
      </c>
      <c r="R44" s="142">
        <f>SUMIFS(領用表!$L:$L,領用表!$E:$E,$B44,領用表!$B:$B,R$2&amp;$P$1)</f>
        <v>0</v>
      </c>
      <c r="S44" s="142">
        <f>SUMIFS(領用表!$L:$L,領用表!$E:$E,$B44,領用表!$B:$B,S$2&amp;$P$1)</f>
        <v>0</v>
      </c>
      <c r="T44" s="142">
        <f>SUMIFS(領用表!$L:$L,領用表!$E:$E,$B44,領用表!$B:$B,T$2&amp;$P$1)</f>
        <v>0</v>
      </c>
      <c r="U44" s="142">
        <f>SUMIFS(領用表!$L:$L,領用表!$E:$E,$B44,領用表!$B:$B,U$2&amp;$P$1)</f>
        <v>0</v>
      </c>
      <c r="V44" s="142">
        <f>SUMIFS(領用表!$L:$L,領用表!$E:$E,$B44,領用表!$B:$B,V$2&amp;$P$1)</f>
        <v>0</v>
      </c>
      <c r="W44" s="142">
        <f>SUMIFS(領用表!$L:$L,領用表!$E:$E,$B44,領用表!$B:$B,W$2&amp;$P$1)</f>
        <v>0</v>
      </c>
      <c r="X44" s="142">
        <f>SUMIFS(領用表!$L:$L,領用表!$E:$E,$B44,領用表!$B:$B,X$2&amp;$P$1)</f>
        <v>0</v>
      </c>
      <c r="Y44" s="142">
        <f>SUMIFS(領用表!$L:$L,領用表!$E:$E,$B44,領用表!$B:$B,Y$2&amp;$P$1)</f>
        <v>0</v>
      </c>
      <c r="Z44" s="142">
        <f>SUMIFS(領用表!$L:$L,領用表!$E:$E,$B44,領用表!$B:$B,Z$2&amp;$P$1)</f>
        <v>0</v>
      </c>
      <c r="AA44" s="142">
        <f>SUMIFS(領用表!$L:$L,領用表!$E:$E,$B44,領用表!$B:$B,AA$2&amp;$P$1)</f>
        <v>0</v>
      </c>
      <c r="AB44" s="142">
        <f t="shared" si="2"/>
        <v>0</v>
      </c>
      <c r="AC44" s="142">
        <f t="shared" si="3"/>
        <v>0</v>
      </c>
      <c r="AD44" s="142">
        <f>SUMIF(Summary!B:B,B44,Summary!DW:DW)</f>
        <v>0</v>
      </c>
      <c r="AE44" s="109"/>
      <c r="AF44" s="65"/>
      <c r="AG44" s="65"/>
      <c r="AH44" s="65"/>
      <c r="AI44" s="27"/>
      <c r="AJ44" s="27"/>
      <c r="AK44" s="14"/>
      <c r="AL44" s="29"/>
    </row>
    <row r="45" spans="1:38" ht="15.75" customHeight="1">
      <c r="A45" s="27"/>
      <c r="B45" s="14">
        <v>6120027</v>
      </c>
      <c r="C45" s="136" t="s">
        <v>525</v>
      </c>
      <c r="D45" s="72"/>
      <c r="E45" s="17" t="s">
        <v>15</v>
      </c>
      <c r="F45" s="18"/>
      <c r="G45" s="18"/>
      <c r="H45" s="20">
        <f>SUMIFS(領用表!$L:$L,領用表!$E:$E,$B45,領用表!$B:$B,H$2&amp;$P$1)</f>
        <v>0</v>
      </c>
      <c r="I45" s="20">
        <f>SUMIFS(領用表!$L:$L,領用表!$E:$E,$B45,領用表!$B:$B,I$2&amp;$P$1)</f>
        <v>0</v>
      </c>
      <c r="J45" s="20">
        <f>SUMIFS(領用表!$L:$L,領用表!$E:$E,$B45,領用表!$B:$B,J$2&amp;$P$1)</f>
        <v>0</v>
      </c>
      <c r="K45" s="142">
        <f>SUMIFS(領用表!$L:$L,領用表!$E:$E,$B45,領用表!$B:$B,K$2&amp;$P$1)</f>
        <v>0</v>
      </c>
      <c r="L45" s="142">
        <f>SUMIFS(領用表!$L:$L,領用表!$E:$E,$B45,領用表!$B:$B,L$2&amp;$P$1)</f>
        <v>0</v>
      </c>
      <c r="M45" s="142">
        <f>SUMIFS(領用表!$L:$L,領用表!$E:$E,$B45,領用表!$B:$B,M$2&amp;$P$1)</f>
        <v>0</v>
      </c>
      <c r="N45" s="23">
        <f t="shared" si="0"/>
        <v>0</v>
      </c>
      <c r="O45" s="23">
        <f t="shared" si="1"/>
        <v>0</v>
      </c>
      <c r="P45" s="142">
        <f>SUMIFS(領用表!$L:$L,領用表!$E:$E,$B45,領用表!$B:$B,P$2&amp;$P$1)</f>
        <v>0</v>
      </c>
      <c r="Q45" s="142">
        <f>SUMIFS(領用表!$L:$L,領用表!$E:$E,$B45,領用表!$B:$B,Q$2&amp;$P$1)</f>
        <v>0</v>
      </c>
      <c r="R45" s="142">
        <f>SUMIFS(領用表!$L:$L,領用表!$E:$E,$B45,領用表!$B:$B,R$2&amp;$P$1)</f>
        <v>0</v>
      </c>
      <c r="S45" s="142">
        <f>SUMIFS(領用表!$L:$L,領用表!$E:$E,$B45,領用表!$B:$B,S$2&amp;$P$1)</f>
        <v>0</v>
      </c>
      <c r="T45" s="142">
        <f>SUMIFS(領用表!$L:$L,領用表!$E:$E,$B45,領用表!$B:$B,T$2&amp;$P$1)</f>
        <v>0</v>
      </c>
      <c r="U45" s="142">
        <f>SUMIFS(領用表!$L:$L,領用表!$E:$E,$B45,領用表!$B:$B,U$2&amp;$P$1)</f>
        <v>0</v>
      </c>
      <c r="V45" s="142">
        <f>SUMIFS(領用表!$L:$L,領用表!$E:$E,$B45,領用表!$B:$B,V$2&amp;$P$1)</f>
        <v>0</v>
      </c>
      <c r="W45" s="142">
        <f>SUMIFS(領用表!$L:$L,領用表!$E:$E,$B45,領用表!$B:$B,W$2&amp;$P$1)</f>
        <v>0</v>
      </c>
      <c r="X45" s="142">
        <f>SUMIFS(領用表!$L:$L,領用表!$E:$E,$B45,領用表!$B:$B,X$2&amp;$P$1)</f>
        <v>0</v>
      </c>
      <c r="Y45" s="142">
        <f>SUMIFS(領用表!$L:$L,領用表!$E:$E,$B45,領用表!$B:$B,Y$2&amp;$P$1)</f>
        <v>0</v>
      </c>
      <c r="Z45" s="142">
        <f>SUMIFS(領用表!$L:$L,領用表!$E:$E,$B45,領用表!$B:$B,Z$2&amp;$P$1)</f>
        <v>0</v>
      </c>
      <c r="AA45" s="142">
        <f>SUMIFS(領用表!$L:$L,領用表!$E:$E,$B45,領用表!$B:$B,AA$2&amp;$P$1)</f>
        <v>0</v>
      </c>
      <c r="AB45" s="142">
        <f t="shared" si="2"/>
        <v>0</v>
      </c>
      <c r="AC45" s="142">
        <f t="shared" si="3"/>
        <v>0</v>
      </c>
      <c r="AD45" s="142">
        <f>SUMIF(Summary!B:B,B45,Summary!DW:DW)</f>
        <v>0</v>
      </c>
      <c r="AE45" s="109"/>
      <c r="AF45" s="65"/>
      <c r="AG45" s="65"/>
      <c r="AH45" s="76"/>
      <c r="AI45" s="27"/>
      <c r="AJ45" s="69"/>
      <c r="AK45" s="14"/>
      <c r="AL45" s="14"/>
    </row>
    <row r="46" spans="1:38" ht="15.75" customHeight="1">
      <c r="A46" s="27"/>
      <c r="B46" s="14">
        <v>6120018</v>
      </c>
      <c r="C46" s="136" t="s">
        <v>526</v>
      </c>
      <c r="D46" s="72"/>
      <c r="E46" s="17" t="s">
        <v>15</v>
      </c>
      <c r="F46" s="18"/>
      <c r="G46" s="18">
        <v>120</v>
      </c>
      <c r="H46" s="20">
        <f>SUMIFS(領用表!$L:$L,領用表!$E:$E,$B46,領用表!$B:$B,H$2&amp;$P$1)</f>
        <v>0</v>
      </c>
      <c r="I46" s="20">
        <f>SUMIFS(領用表!$L:$L,領用表!$E:$E,$B46,領用表!$B:$B,I$2&amp;$P$1)</f>
        <v>0</v>
      </c>
      <c r="J46" s="20">
        <f>SUMIFS(領用表!$L:$L,領用表!$E:$E,$B46,領用表!$B:$B,J$2&amp;$P$1)</f>
        <v>0</v>
      </c>
      <c r="K46" s="142">
        <f>SUMIFS(領用表!$L:$L,領用表!$E:$E,$B46,領用表!$B:$B,K$2&amp;$P$1)</f>
        <v>0</v>
      </c>
      <c r="L46" s="142">
        <f>SUMIFS(領用表!$L:$L,領用表!$E:$E,$B46,領用表!$B:$B,L$2&amp;$P$1)</f>
        <v>0</v>
      </c>
      <c r="M46" s="142">
        <f>SUMIFS(領用表!$L:$L,領用表!$E:$E,$B46,領用表!$B:$B,M$2&amp;$P$1)</f>
        <v>0</v>
      </c>
      <c r="N46" s="23">
        <f t="shared" si="0"/>
        <v>0</v>
      </c>
      <c r="O46" s="23">
        <f t="shared" si="1"/>
        <v>0</v>
      </c>
      <c r="P46" s="142">
        <f>SUMIFS(領用表!$L:$L,領用表!$E:$E,$B46,領用表!$B:$B,P$2&amp;$P$1)</f>
        <v>0</v>
      </c>
      <c r="Q46" s="142">
        <f>SUMIFS(領用表!$L:$L,領用表!$E:$E,$B46,領用表!$B:$B,Q$2&amp;$P$1)</f>
        <v>0</v>
      </c>
      <c r="R46" s="142">
        <f>SUMIFS(領用表!$L:$L,領用表!$E:$E,$B46,領用表!$B:$B,R$2&amp;$P$1)</f>
        <v>0</v>
      </c>
      <c r="S46" s="142">
        <f>SUMIFS(領用表!$L:$L,領用表!$E:$E,$B46,領用表!$B:$B,S$2&amp;$P$1)</f>
        <v>0</v>
      </c>
      <c r="T46" s="142">
        <f>SUMIFS(領用表!$L:$L,領用表!$E:$E,$B46,領用表!$B:$B,T$2&amp;$P$1)</f>
        <v>0</v>
      </c>
      <c r="U46" s="142">
        <f>SUMIFS(領用表!$L:$L,領用表!$E:$E,$B46,領用表!$B:$B,U$2&amp;$P$1)</f>
        <v>0</v>
      </c>
      <c r="V46" s="142">
        <f>SUMIFS(領用表!$L:$L,領用表!$E:$E,$B46,領用表!$B:$B,V$2&amp;$P$1)</f>
        <v>0</v>
      </c>
      <c r="W46" s="142">
        <f>SUMIFS(領用表!$L:$L,領用表!$E:$E,$B46,領用表!$B:$B,W$2&amp;$P$1)</f>
        <v>0</v>
      </c>
      <c r="X46" s="142">
        <f>SUMIFS(領用表!$L:$L,領用表!$E:$E,$B46,領用表!$B:$B,X$2&amp;$P$1)</f>
        <v>0</v>
      </c>
      <c r="Y46" s="142">
        <f>SUMIFS(領用表!$L:$L,領用表!$E:$E,$B46,領用表!$B:$B,Y$2&amp;$P$1)</f>
        <v>0</v>
      </c>
      <c r="Z46" s="142">
        <f>SUMIFS(領用表!$L:$L,領用表!$E:$E,$B46,領用表!$B:$B,Z$2&amp;$P$1)</f>
        <v>0</v>
      </c>
      <c r="AA46" s="142">
        <f>SUMIFS(領用表!$L:$L,領用表!$E:$E,$B46,領用表!$B:$B,AA$2&amp;$P$1)</f>
        <v>0</v>
      </c>
      <c r="AB46" s="142">
        <f t="shared" si="2"/>
        <v>0</v>
      </c>
      <c r="AC46" s="142">
        <f t="shared" si="3"/>
        <v>0</v>
      </c>
      <c r="AD46" s="142">
        <f>SUMIF(Summary!B:B,B46,Summary!DW:DW)</f>
        <v>0</v>
      </c>
      <c r="AE46" s="109"/>
      <c r="AF46" s="65"/>
      <c r="AG46" s="76" t="s">
        <v>165</v>
      </c>
      <c r="AH46" s="65"/>
      <c r="AI46" s="27"/>
      <c r="AJ46" s="69"/>
      <c r="AK46" s="14"/>
      <c r="AL46" s="14"/>
    </row>
    <row r="47" spans="1:38" ht="15.75" customHeight="1">
      <c r="A47" s="27"/>
      <c r="B47" s="14">
        <v>6120011</v>
      </c>
      <c r="C47" s="136" t="s">
        <v>527</v>
      </c>
      <c r="D47" s="72">
        <v>10</v>
      </c>
      <c r="E47" s="17" t="s">
        <v>15</v>
      </c>
      <c r="F47" s="18"/>
      <c r="G47" s="18">
        <v>26</v>
      </c>
      <c r="H47" s="20">
        <f>SUMIFS(領用表!$L:$L,領用表!$E:$E,$B47,領用表!$B:$B,H$2&amp;$P$1)</f>
        <v>2</v>
      </c>
      <c r="I47" s="20">
        <f>SUMIFS(領用表!$L:$L,領用表!$E:$E,$B47,領用表!$B:$B,I$2&amp;$P$1)</f>
        <v>0</v>
      </c>
      <c r="J47" s="20">
        <f>SUMIFS(領用表!$L:$L,領用表!$E:$E,$B47,領用表!$B:$B,J$2&amp;$P$1)</f>
        <v>4</v>
      </c>
      <c r="K47" s="142">
        <f>SUMIFS(領用表!$L:$L,領用表!$E:$E,$B47,領用表!$B:$B,K$2&amp;$P$1)</f>
        <v>10</v>
      </c>
      <c r="L47" s="142">
        <f>SUMIFS(領用表!$L:$L,領用表!$E:$E,$B47,領用表!$B:$B,L$2&amp;$P$1)</f>
        <v>12</v>
      </c>
      <c r="M47" s="142">
        <f>SUMIFS(領用表!$L:$L,領用表!$E:$E,$B47,領用表!$B:$B,M$2&amp;$P$1)</f>
        <v>10</v>
      </c>
      <c r="N47" s="23">
        <f t="shared" si="0"/>
        <v>38</v>
      </c>
      <c r="O47" s="23">
        <f t="shared" si="1"/>
        <v>5.4285714285714288</v>
      </c>
      <c r="P47" s="142">
        <f>SUMIFS(領用表!$L:$L,領用表!$E:$E,$B47,領用表!$B:$B,P$2&amp;$P$1)</f>
        <v>10</v>
      </c>
      <c r="Q47" s="142">
        <f>SUMIFS(領用表!$L:$L,領用表!$E:$E,$B47,領用表!$B:$B,Q$2&amp;$P$1)</f>
        <v>6</v>
      </c>
      <c r="R47" s="142">
        <f>SUMIFS(領用表!$L:$L,領用表!$E:$E,$B47,領用表!$B:$B,R$2&amp;$P$1)</f>
        <v>10</v>
      </c>
      <c r="S47" s="142">
        <f>SUMIFS(領用表!$L:$L,領用表!$E:$E,$B47,領用表!$B:$B,S$2&amp;$P$1)</f>
        <v>11</v>
      </c>
      <c r="T47" s="142">
        <f>SUMIFS(領用表!$L:$L,領用表!$E:$E,$B47,領用表!$B:$B,T$2&amp;$P$1)</f>
        <v>3</v>
      </c>
      <c r="U47" s="142">
        <f>SUMIFS(領用表!$L:$L,領用表!$E:$E,$B47,領用表!$B:$B,U$2&amp;$P$1)</f>
        <v>0</v>
      </c>
      <c r="V47" s="142">
        <f>SUMIFS(領用表!$L:$L,領用表!$E:$E,$B47,領用表!$B:$B,V$2&amp;$P$1)</f>
        <v>0</v>
      </c>
      <c r="W47" s="142">
        <f>SUMIFS(領用表!$L:$L,領用表!$E:$E,$B47,領用表!$B:$B,W$2&amp;$P$1)</f>
        <v>0</v>
      </c>
      <c r="X47" s="142">
        <f>SUMIFS(領用表!$L:$L,領用表!$E:$E,$B47,領用表!$B:$B,X$2&amp;$P$1)</f>
        <v>0</v>
      </c>
      <c r="Y47" s="142">
        <f>SUMIFS(領用表!$L:$L,領用表!$E:$E,$B47,領用表!$B:$B,Y$2&amp;$P$1)</f>
        <v>0</v>
      </c>
      <c r="Z47" s="142">
        <f>SUMIFS(領用表!$L:$L,領用表!$E:$E,$B47,領用表!$B:$B,Z$2&amp;$P$1)</f>
        <v>0</v>
      </c>
      <c r="AA47" s="142">
        <f>SUMIFS(領用表!$L:$L,領用表!$E:$E,$B47,領用表!$B:$B,AA$2&amp;$P$1)</f>
        <v>0</v>
      </c>
      <c r="AB47" s="142">
        <f t="shared" si="2"/>
        <v>40</v>
      </c>
      <c r="AC47" s="142">
        <f t="shared" si="3"/>
        <v>8</v>
      </c>
      <c r="AD47" s="142">
        <f>SUMIF(Summary!B:B,B47,Summary!DW:DW)</f>
        <v>0</v>
      </c>
      <c r="AE47" s="109"/>
      <c r="AF47" s="65"/>
      <c r="AG47" s="65" t="s">
        <v>166</v>
      </c>
      <c r="AH47" s="65"/>
      <c r="AI47" s="27"/>
      <c r="AJ47" s="69"/>
      <c r="AK47" s="14"/>
      <c r="AL47" s="14"/>
    </row>
    <row r="48" spans="1:38" ht="15.75" customHeight="1">
      <c r="A48" s="27"/>
      <c r="B48" s="14">
        <v>6120017</v>
      </c>
      <c r="C48" s="136" t="s">
        <v>528</v>
      </c>
      <c r="D48" s="72"/>
      <c r="E48" s="17" t="s">
        <v>15</v>
      </c>
      <c r="F48" s="18"/>
      <c r="G48" s="18">
        <v>70</v>
      </c>
      <c r="H48" s="20">
        <f>SUMIFS(領用表!$L:$L,領用表!$E:$E,$B48,領用表!$B:$B,H$2&amp;$P$1)</f>
        <v>0</v>
      </c>
      <c r="I48" s="20">
        <f>SUMIFS(領用表!$L:$L,領用表!$E:$E,$B48,領用表!$B:$B,I$2&amp;$P$1)</f>
        <v>0</v>
      </c>
      <c r="J48" s="20">
        <f>SUMIFS(領用表!$L:$L,領用表!$E:$E,$B48,領用表!$B:$B,J$2&amp;$P$1)</f>
        <v>2</v>
      </c>
      <c r="K48" s="142">
        <f>SUMIFS(領用表!$L:$L,領用表!$E:$E,$B48,領用表!$B:$B,K$2&amp;$P$1)</f>
        <v>0</v>
      </c>
      <c r="L48" s="142">
        <f>SUMIFS(領用表!$L:$L,領用表!$E:$E,$B48,領用表!$B:$B,L$2&amp;$P$1)</f>
        <v>2</v>
      </c>
      <c r="M48" s="142">
        <f>SUMIFS(領用表!$L:$L,領用表!$E:$E,$B48,領用表!$B:$B,M$2&amp;$P$1)</f>
        <v>5</v>
      </c>
      <c r="N48" s="23">
        <f t="shared" si="0"/>
        <v>9</v>
      </c>
      <c r="O48" s="23">
        <f t="shared" si="1"/>
        <v>1.2857142857142858</v>
      </c>
      <c r="P48" s="142">
        <f>SUMIFS(領用表!$L:$L,領用表!$E:$E,$B48,領用表!$B:$B,P$2&amp;$P$1)</f>
        <v>7</v>
      </c>
      <c r="Q48" s="142">
        <f>SUMIFS(領用表!$L:$L,領用表!$E:$E,$B48,領用表!$B:$B,Q$2&amp;$P$1)</f>
        <v>3</v>
      </c>
      <c r="R48" s="142">
        <f>SUMIFS(領用表!$L:$L,領用表!$E:$E,$B48,領用表!$B:$B,R$2&amp;$P$1)</f>
        <v>1</v>
      </c>
      <c r="S48" s="142">
        <f>SUMIFS(領用表!$L:$L,領用表!$E:$E,$B48,領用表!$B:$B,S$2&amp;$P$1)</f>
        <v>1</v>
      </c>
      <c r="T48" s="142">
        <f>SUMIFS(領用表!$L:$L,領用表!$E:$E,$B48,領用表!$B:$B,T$2&amp;$P$1)</f>
        <v>1</v>
      </c>
      <c r="U48" s="142">
        <f>SUMIFS(領用表!$L:$L,領用表!$E:$E,$B48,領用表!$B:$B,U$2&amp;$P$1)</f>
        <v>0</v>
      </c>
      <c r="V48" s="142">
        <f>SUMIFS(領用表!$L:$L,領用表!$E:$E,$B48,領用表!$B:$B,V$2&amp;$P$1)</f>
        <v>0</v>
      </c>
      <c r="W48" s="142">
        <f>SUMIFS(領用表!$L:$L,領用表!$E:$E,$B48,領用表!$B:$B,W$2&amp;$P$1)</f>
        <v>0</v>
      </c>
      <c r="X48" s="142">
        <f>SUMIFS(領用表!$L:$L,領用表!$E:$E,$B48,領用表!$B:$B,X$2&amp;$P$1)</f>
        <v>0</v>
      </c>
      <c r="Y48" s="142">
        <f>SUMIFS(領用表!$L:$L,領用表!$E:$E,$B48,領用表!$B:$B,Y$2&amp;$P$1)</f>
        <v>0</v>
      </c>
      <c r="Z48" s="142">
        <f>SUMIFS(領用表!$L:$L,領用表!$E:$E,$B48,領用表!$B:$B,Z$2&amp;$P$1)</f>
        <v>0</v>
      </c>
      <c r="AA48" s="142">
        <f>SUMIFS(領用表!$L:$L,領用表!$E:$E,$B48,領用表!$B:$B,AA$2&amp;$P$1)</f>
        <v>0</v>
      </c>
      <c r="AB48" s="142">
        <f t="shared" si="2"/>
        <v>13</v>
      </c>
      <c r="AC48" s="142">
        <f t="shared" si="3"/>
        <v>2.6</v>
      </c>
      <c r="AD48" s="142">
        <f>SUMIF(Summary!B:B,B48,Summary!DW:DW)</f>
        <v>0</v>
      </c>
      <c r="AE48" s="109"/>
      <c r="AF48" s="65"/>
      <c r="AG48" s="65"/>
      <c r="AH48" s="65"/>
      <c r="AI48" s="27"/>
      <c r="AJ48" s="69"/>
      <c r="AK48" s="14"/>
      <c r="AL48" s="14"/>
    </row>
    <row r="49" spans="1:38" ht="15.75" customHeight="1">
      <c r="A49" s="27"/>
      <c r="B49" s="14">
        <v>6120028</v>
      </c>
      <c r="C49" s="136" t="s">
        <v>529</v>
      </c>
      <c r="D49" s="77"/>
      <c r="E49" s="17" t="s">
        <v>15</v>
      </c>
      <c r="F49" s="18"/>
      <c r="G49" s="18"/>
      <c r="H49" s="20">
        <f>SUMIFS(領用表!$L:$L,領用表!$E:$E,$B49,領用表!$B:$B,H$2&amp;$P$1)</f>
        <v>0</v>
      </c>
      <c r="I49" s="20">
        <f>SUMIFS(領用表!$L:$L,領用表!$E:$E,$B49,領用表!$B:$B,I$2&amp;$P$1)</f>
        <v>0</v>
      </c>
      <c r="J49" s="20">
        <f>SUMIFS(領用表!$L:$L,領用表!$E:$E,$B49,領用表!$B:$B,J$2&amp;$P$1)</f>
        <v>0</v>
      </c>
      <c r="K49" s="142">
        <f>SUMIFS(領用表!$L:$L,領用表!$E:$E,$B49,領用表!$B:$B,K$2&amp;$P$1)</f>
        <v>0</v>
      </c>
      <c r="L49" s="142">
        <f>SUMIFS(領用表!$L:$L,領用表!$E:$E,$B49,領用表!$B:$B,L$2&amp;$P$1)</f>
        <v>0</v>
      </c>
      <c r="M49" s="142">
        <f>SUMIFS(領用表!$L:$L,領用表!$E:$E,$B49,領用表!$B:$B,M$2&amp;$P$1)</f>
        <v>0</v>
      </c>
      <c r="N49" s="23">
        <f t="shared" si="0"/>
        <v>0</v>
      </c>
      <c r="O49" s="23">
        <f t="shared" si="1"/>
        <v>0</v>
      </c>
      <c r="P49" s="142">
        <f>SUMIFS(領用表!$L:$L,領用表!$E:$E,$B49,領用表!$B:$B,P$2&amp;$P$1)</f>
        <v>0</v>
      </c>
      <c r="Q49" s="142">
        <f>SUMIFS(領用表!$L:$L,領用表!$E:$E,$B49,領用表!$B:$B,Q$2&amp;$P$1)</f>
        <v>0</v>
      </c>
      <c r="R49" s="142">
        <f>SUMIFS(領用表!$L:$L,領用表!$E:$E,$B49,領用表!$B:$B,R$2&amp;$P$1)</f>
        <v>0</v>
      </c>
      <c r="S49" s="142">
        <f>SUMIFS(領用表!$L:$L,領用表!$E:$E,$B49,領用表!$B:$B,S$2&amp;$P$1)</f>
        <v>0</v>
      </c>
      <c r="T49" s="142">
        <f>SUMIFS(領用表!$L:$L,領用表!$E:$E,$B49,領用表!$B:$B,T$2&amp;$P$1)</f>
        <v>0</v>
      </c>
      <c r="U49" s="142">
        <f>SUMIFS(領用表!$L:$L,領用表!$E:$E,$B49,領用表!$B:$B,U$2&amp;$P$1)</f>
        <v>0</v>
      </c>
      <c r="V49" s="142">
        <f>SUMIFS(領用表!$L:$L,領用表!$E:$E,$B49,領用表!$B:$B,V$2&amp;$P$1)</f>
        <v>0</v>
      </c>
      <c r="W49" s="142">
        <f>SUMIFS(領用表!$L:$L,領用表!$E:$E,$B49,領用表!$B:$B,W$2&amp;$P$1)</f>
        <v>0</v>
      </c>
      <c r="X49" s="142">
        <f>SUMIFS(領用表!$L:$L,領用表!$E:$E,$B49,領用表!$B:$B,X$2&amp;$P$1)</f>
        <v>0</v>
      </c>
      <c r="Y49" s="142">
        <f>SUMIFS(領用表!$L:$L,領用表!$E:$E,$B49,領用表!$B:$B,Y$2&amp;$P$1)</f>
        <v>0</v>
      </c>
      <c r="Z49" s="142">
        <f>SUMIFS(領用表!$L:$L,領用表!$E:$E,$B49,領用表!$B:$B,Z$2&amp;$P$1)</f>
        <v>0</v>
      </c>
      <c r="AA49" s="142">
        <f>SUMIFS(領用表!$L:$L,領用表!$E:$E,$B49,領用表!$B:$B,AA$2&amp;$P$1)</f>
        <v>0</v>
      </c>
      <c r="AB49" s="142">
        <f t="shared" si="2"/>
        <v>0</v>
      </c>
      <c r="AC49" s="142">
        <f t="shared" si="3"/>
        <v>0</v>
      </c>
      <c r="AD49" s="142">
        <f>SUMIF(Summary!B:B,B49,Summary!DW:DW)</f>
        <v>0</v>
      </c>
      <c r="AE49" s="109"/>
      <c r="AF49" s="65"/>
      <c r="AG49" s="65"/>
      <c r="AH49" s="65"/>
      <c r="AI49" s="27"/>
      <c r="AJ49" s="27"/>
      <c r="AK49" s="14"/>
      <c r="AL49" s="29"/>
    </row>
    <row r="50" spans="1:38" ht="15.75" customHeight="1">
      <c r="A50" s="27"/>
      <c r="B50" s="14">
        <v>6120007</v>
      </c>
      <c r="C50" s="136" t="s">
        <v>530</v>
      </c>
      <c r="D50" s="72">
        <v>100</v>
      </c>
      <c r="E50" s="17" t="s">
        <v>15</v>
      </c>
      <c r="F50" s="18"/>
      <c r="G50" s="18">
        <v>114</v>
      </c>
      <c r="H50" s="20">
        <f>SUMIFS(領用表!$L:$L,領用表!$E:$E,$B50,領用表!$B:$B,H$2&amp;$P$1)</f>
        <v>1</v>
      </c>
      <c r="I50" s="20">
        <f>SUMIFS(領用表!$L:$L,領用表!$E:$E,$B50,領用表!$B:$B,I$2&amp;$P$1)</f>
        <v>0</v>
      </c>
      <c r="J50" s="20">
        <f>SUMIFS(領用表!$L:$L,領用表!$E:$E,$B50,領用表!$B:$B,J$2&amp;$P$1)</f>
        <v>4</v>
      </c>
      <c r="K50" s="142">
        <f>SUMIFS(領用表!$L:$L,領用表!$E:$E,$B50,領用表!$B:$B,K$2&amp;$P$1)</f>
        <v>7</v>
      </c>
      <c r="L50" s="142">
        <f>SUMIFS(領用表!$L:$L,領用表!$E:$E,$B50,領用表!$B:$B,L$2&amp;$P$1)</f>
        <v>9</v>
      </c>
      <c r="M50" s="142">
        <f>SUMIFS(領用表!$L:$L,領用表!$E:$E,$B50,領用表!$B:$B,M$2&amp;$P$1)</f>
        <v>11</v>
      </c>
      <c r="N50" s="23">
        <f t="shared" si="0"/>
        <v>32</v>
      </c>
      <c r="O50" s="23">
        <f t="shared" si="1"/>
        <v>4.5714285714285712</v>
      </c>
      <c r="P50" s="142">
        <f>SUMIFS(領用表!$L:$L,領用表!$E:$E,$B50,領用表!$B:$B,P$2&amp;$P$1)</f>
        <v>7</v>
      </c>
      <c r="Q50" s="142">
        <f>SUMIFS(領用表!$L:$L,領用表!$E:$E,$B50,領用表!$B:$B,Q$2&amp;$P$1)</f>
        <v>4</v>
      </c>
      <c r="R50" s="142">
        <f>SUMIFS(領用表!$L:$L,領用表!$E:$E,$B50,領用表!$B:$B,R$2&amp;$P$1)</f>
        <v>9</v>
      </c>
      <c r="S50" s="142">
        <f>SUMIFS(領用表!$L:$L,領用表!$E:$E,$B50,領用表!$B:$B,S$2&amp;$P$1)</f>
        <v>18</v>
      </c>
      <c r="T50" s="142">
        <f>SUMIFS(領用表!$L:$L,領用表!$E:$E,$B50,領用表!$B:$B,T$2&amp;$P$1)</f>
        <v>7</v>
      </c>
      <c r="U50" s="142">
        <f>SUMIFS(領用表!$L:$L,領用表!$E:$E,$B50,領用表!$B:$B,U$2&amp;$P$1)</f>
        <v>0</v>
      </c>
      <c r="V50" s="142">
        <f>SUMIFS(領用表!$L:$L,領用表!$E:$E,$B50,領用表!$B:$B,V$2&amp;$P$1)</f>
        <v>0</v>
      </c>
      <c r="W50" s="142">
        <f>SUMIFS(領用表!$L:$L,領用表!$E:$E,$B50,領用表!$B:$B,W$2&amp;$P$1)</f>
        <v>0</v>
      </c>
      <c r="X50" s="142">
        <f>SUMIFS(領用表!$L:$L,領用表!$E:$E,$B50,領用表!$B:$B,X$2&amp;$P$1)</f>
        <v>0</v>
      </c>
      <c r="Y50" s="142">
        <f>SUMIFS(領用表!$L:$L,領用表!$E:$E,$B50,領用表!$B:$B,Y$2&amp;$P$1)</f>
        <v>0</v>
      </c>
      <c r="Z50" s="142">
        <f>SUMIFS(領用表!$L:$L,領用表!$E:$E,$B50,領用表!$B:$B,Z$2&amp;$P$1)</f>
        <v>0</v>
      </c>
      <c r="AA50" s="142">
        <f>SUMIFS(領用表!$L:$L,領用表!$E:$E,$B50,領用表!$B:$B,AA$2&amp;$P$1)</f>
        <v>0</v>
      </c>
      <c r="AB50" s="142">
        <f t="shared" si="2"/>
        <v>45</v>
      </c>
      <c r="AC50" s="142">
        <f t="shared" si="3"/>
        <v>9</v>
      </c>
      <c r="AD50" s="142">
        <f>SUMIF(Summary!B:B,B50,Summary!DW:DW)</f>
        <v>0</v>
      </c>
      <c r="AE50" s="109"/>
      <c r="AF50" s="65"/>
      <c r="AG50" s="65"/>
      <c r="AH50" s="65"/>
      <c r="AI50" s="27"/>
      <c r="AJ50" s="69"/>
      <c r="AK50" s="14"/>
      <c r="AL50" s="14"/>
    </row>
    <row r="51" spans="1:38" ht="15.75" customHeight="1">
      <c r="A51" s="27"/>
      <c r="B51" s="14">
        <v>6120008</v>
      </c>
      <c r="C51" s="136" t="s">
        <v>531</v>
      </c>
      <c r="D51" s="72">
        <v>100</v>
      </c>
      <c r="E51" s="17" t="s">
        <v>15</v>
      </c>
      <c r="F51" s="18"/>
      <c r="G51" s="18">
        <v>23</v>
      </c>
      <c r="H51" s="20">
        <f>SUMIFS(領用表!$L:$L,領用表!$E:$E,$B51,領用表!$B:$B,H$2&amp;$P$1)</f>
        <v>0</v>
      </c>
      <c r="I51" s="20">
        <f>SUMIFS(領用表!$L:$L,領用表!$E:$E,$B51,領用表!$B:$B,I$2&amp;$P$1)</f>
        <v>0</v>
      </c>
      <c r="J51" s="20">
        <f>SUMIFS(領用表!$L:$L,領用表!$E:$E,$B51,領用表!$B:$B,J$2&amp;$P$1)</f>
        <v>2</v>
      </c>
      <c r="K51" s="142">
        <f>SUMIFS(領用表!$L:$L,領用表!$E:$E,$B51,領用表!$B:$B,K$2&amp;$P$1)</f>
        <v>0</v>
      </c>
      <c r="L51" s="142">
        <f>SUMIFS(領用表!$L:$L,領用表!$E:$E,$B51,領用表!$B:$B,L$2&amp;$P$1)</f>
        <v>2</v>
      </c>
      <c r="M51" s="142">
        <f>SUMIFS(領用表!$L:$L,領用表!$E:$E,$B51,領用表!$B:$B,M$2&amp;$P$1)</f>
        <v>4</v>
      </c>
      <c r="N51" s="23">
        <f t="shared" si="0"/>
        <v>8</v>
      </c>
      <c r="O51" s="23">
        <f t="shared" si="1"/>
        <v>1.1428571428571428</v>
      </c>
      <c r="P51" s="142">
        <f>SUMIFS(領用表!$L:$L,領用表!$E:$E,$B51,領用表!$B:$B,P$2&amp;$P$1)</f>
        <v>0</v>
      </c>
      <c r="Q51" s="142">
        <f>SUMIFS(領用表!$L:$L,領用表!$E:$E,$B51,領用表!$B:$B,Q$2&amp;$P$1)</f>
        <v>0</v>
      </c>
      <c r="R51" s="142">
        <f>SUMIFS(領用表!$L:$L,領用表!$E:$E,$B51,領用表!$B:$B,R$2&amp;$P$1)</f>
        <v>0</v>
      </c>
      <c r="S51" s="142">
        <f>SUMIFS(領用表!$L:$L,領用表!$E:$E,$B51,領用表!$B:$B,S$2&amp;$P$1)</f>
        <v>7</v>
      </c>
      <c r="T51" s="142">
        <f>SUMIFS(領用表!$L:$L,領用表!$E:$E,$B51,領用表!$B:$B,T$2&amp;$P$1)</f>
        <v>3</v>
      </c>
      <c r="U51" s="142">
        <f>SUMIFS(領用表!$L:$L,領用表!$E:$E,$B51,領用表!$B:$B,U$2&amp;$P$1)</f>
        <v>0</v>
      </c>
      <c r="V51" s="142">
        <f>SUMIFS(領用表!$L:$L,領用表!$E:$E,$B51,領用表!$B:$B,V$2&amp;$P$1)</f>
        <v>0</v>
      </c>
      <c r="W51" s="142">
        <f>SUMIFS(領用表!$L:$L,領用表!$E:$E,$B51,領用表!$B:$B,W$2&amp;$P$1)</f>
        <v>0</v>
      </c>
      <c r="X51" s="142">
        <f>SUMIFS(領用表!$L:$L,領用表!$E:$E,$B51,領用表!$B:$B,X$2&amp;$P$1)</f>
        <v>0</v>
      </c>
      <c r="Y51" s="142">
        <f>SUMIFS(領用表!$L:$L,領用表!$E:$E,$B51,領用表!$B:$B,Y$2&amp;$P$1)</f>
        <v>0</v>
      </c>
      <c r="Z51" s="142">
        <f>SUMIFS(領用表!$L:$L,領用表!$E:$E,$B51,領用表!$B:$B,Z$2&amp;$P$1)</f>
        <v>0</v>
      </c>
      <c r="AA51" s="142">
        <f>SUMIFS(領用表!$L:$L,領用表!$E:$E,$B51,領用表!$B:$B,AA$2&amp;$P$1)</f>
        <v>0</v>
      </c>
      <c r="AB51" s="142">
        <f t="shared" si="2"/>
        <v>10</v>
      </c>
      <c r="AC51" s="142">
        <f t="shared" si="3"/>
        <v>2</v>
      </c>
      <c r="AD51" s="142">
        <f>SUMIF(Summary!B:B,B51,Summary!DW:DW)</f>
        <v>0</v>
      </c>
      <c r="AE51" s="109"/>
      <c r="AF51" s="65"/>
      <c r="AG51" s="65"/>
      <c r="AH51" s="65"/>
      <c r="AI51" s="27"/>
      <c r="AJ51" s="69"/>
      <c r="AK51" s="14"/>
      <c r="AL51" s="14"/>
    </row>
    <row r="52" spans="1:38" ht="15.75" customHeight="1">
      <c r="A52" s="27"/>
      <c r="B52" s="14">
        <v>6120029</v>
      </c>
      <c r="C52" s="136" t="s">
        <v>532</v>
      </c>
      <c r="D52" s="77"/>
      <c r="E52" s="17" t="s">
        <v>15</v>
      </c>
      <c r="F52" s="18"/>
      <c r="G52" s="18"/>
      <c r="H52" s="20">
        <f>SUMIFS(領用表!$L:$L,領用表!$E:$E,$B52,領用表!$B:$B,H$2&amp;$P$1)</f>
        <v>0</v>
      </c>
      <c r="I52" s="20">
        <f>SUMIFS(領用表!$L:$L,領用表!$E:$E,$B52,領用表!$B:$B,I$2&amp;$P$1)</f>
        <v>0</v>
      </c>
      <c r="J52" s="20">
        <f>SUMIFS(領用表!$L:$L,領用表!$E:$E,$B52,領用表!$B:$B,J$2&amp;$P$1)</f>
        <v>0</v>
      </c>
      <c r="K52" s="142">
        <f>SUMIFS(領用表!$L:$L,領用表!$E:$E,$B52,領用表!$B:$B,K$2&amp;$P$1)</f>
        <v>0</v>
      </c>
      <c r="L52" s="142">
        <f>SUMIFS(領用表!$L:$L,領用表!$E:$E,$B52,領用表!$B:$B,L$2&amp;$P$1)</f>
        <v>0</v>
      </c>
      <c r="M52" s="142">
        <f>SUMIFS(領用表!$L:$L,領用表!$E:$E,$B52,領用表!$B:$B,M$2&amp;$P$1)</f>
        <v>0</v>
      </c>
      <c r="N52" s="23">
        <f t="shared" si="0"/>
        <v>0</v>
      </c>
      <c r="O52" s="23">
        <f t="shared" si="1"/>
        <v>0</v>
      </c>
      <c r="P52" s="142">
        <f>SUMIFS(領用表!$L:$L,領用表!$E:$E,$B52,領用表!$B:$B,P$2&amp;$P$1)</f>
        <v>0</v>
      </c>
      <c r="Q52" s="142">
        <f>SUMIFS(領用表!$L:$L,領用表!$E:$E,$B52,領用表!$B:$B,Q$2&amp;$P$1)</f>
        <v>0</v>
      </c>
      <c r="R52" s="142">
        <f>SUMIFS(領用表!$L:$L,領用表!$E:$E,$B52,領用表!$B:$B,R$2&amp;$P$1)</f>
        <v>0</v>
      </c>
      <c r="S52" s="142">
        <f>SUMIFS(領用表!$L:$L,領用表!$E:$E,$B52,領用表!$B:$B,S$2&amp;$P$1)</f>
        <v>0</v>
      </c>
      <c r="T52" s="142">
        <f>SUMIFS(領用表!$L:$L,領用表!$E:$E,$B52,領用表!$B:$B,T$2&amp;$P$1)</f>
        <v>0</v>
      </c>
      <c r="U52" s="142">
        <f>SUMIFS(領用表!$L:$L,領用表!$E:$E,$B52,領用表!$B:$B,U$2&amp;$P$1)</f>
        <v>0</v>
      </c>
      <c r="V52" s="142">
        <f>SUMIFS(領用表!$L:$L,領用表!$E:$E,$B52,領用表!$B:$B,V$2&amp;$P$1)</f>
        <v>0</v>
      </c>
      <c r="W52" s="142">
        <f>SUMIFS(領用表!$L:$L,領用表!$E:$E,$B52,領用表!$B:$B,W$2&amp;$P$1)</f>
        <v>0</v>
      </c>
      <c r="X52" s="142">
        <f>SUMIFS(領用表!$L:$L,領用表!$E:$E,$B52,領用表!$B:$B,X$2&amp;$P$1)</f>
        <v>0</v>
      </c>
      <c r="Y52" s="142">
        <f>SUMIFS(領用表!$L:$L,領用表!$E:$E,$B52,領用表!$B:$B,Y$2&amp;$P$1)</f>
        <v>0</v>
      </c>
      <c r="Z52" s="142">
        <f>SUMIFS(領用表!$L:$L,領用表!$E:$E,$B52,領用表!$B:$B,Z$2&amp;$P$1)</f>
        <v>0</v>
      </c>
      <c r="AA52" s="142">
        <f>SUMIFS(領用表!$L:$L,領用表!$E:$E,$B52,領用表!$B:$B,AA$2&amp;$P$1)</f>
        <v>0</v>
      </c>
      <c r="AB52" s="142">
        <f t="shared" si="2"/>
        <v>0</v>
      </c>
      <c r="AC52" s="142">
        <f t="shared" si="3"/>
        <v>0</v>
      </c>
      <c r="AD52" s="142">
        <f>SUMIF(Summary!B:B,B52,Summary!DW:DW)</f>
        <v>0</v>
      </c>
      <c r="AE52" s="109"/>
      <c r="AF52" s="65"/>
      <c r="AG52" s="65"/>
      <c r="AH52" s="65" t="s">
        <v>167</v>
      </c>
      <c r="AI52" s="27"/>
      <c r="AJ52" s="27"/>
      <c r="AK52" s="14"/>
      <c r="AL52" s="29"/>
    </row>
    <row r="53" spans="1:38" ht="15.75" customHeight="1">
      <c r="A53" s="27"/>
      <c r="B53" s="14">
        <v>6120030</v>
      </c>
      <c r="C53" s="136" t="s">
        <v>533</v>
      </c>
      <c r="D53" s="77"/>
      <c r="E53" s="17" t="s">
        <v>15</v>
      </c>
      <c r="F53" s="18"/>
      <c r="G53" s="18"/>
      <c r="H53" s="20">
        <f>SUMIFS(領用表!$L:$L,領用表!$E:$E,$B53,領用表!$B:$B,H$2&amp;$P$1)</f>
        <v>0</v>
      </c>
      <c r="I53" s="20">
        <f>SUMIFS(領用表!$L:$L,領用表!$E:$E,$B53,領用表!$B:$B,I$2&amp;$P$1)</f>
        <v>0</v>
      </c>
      <c r="J53" s="20">
        <f>SUMIFS(領用表!$L:$L,領用表!$E:$E,$B53,領用表!$B:$B,J$2&amp;$P$1)</f>
        <v>0</v>
      </c>
      <c r="K53" s="142">
        <f>SUMIFS(領用表!$L:$L,領用表!$E:$E,$B53,領用表!$B:$B,K$2&amp;$P$1)</f>
        <v>0</v>
      </c>
      <c r="L53" s="142">
        <f>SUMIFS(領用表!$L:$L,領用表!$E:$E,$B53,領用表!$B:$B,L$2&amp;$P$1)</f>
        <v>0</v>
      </c>
      <c r="M53" s="142">
        <f>SUMIFS(領用表!$L:$L,領用表!$E:$E,$B53,領用表!$B:$B,M$2&amp;$P$1)</f>
        <v>0</v>
      </c>
      <c r="N53" s="23">
        <f t="shared" si="0"/>
        <v>0</v>
      </c>
      <c r="O53" s="23">
        <f t="shared" si="1"/>
        <v>0</v>
      </c>
      <c r="P53" s="142">
        <f>SUMIFS(領用表!$L:$L,領用表!$E:$E,$B53,領用表!$B:$B,P$2&amp;$P$1)</f>
        <v>0</v>
      </c>
      <c r="Q53" s="142">
        <f>SUMIFS(領用表!$L:$L,領用表!$E:$E,$B53,領用表!$B:$B,Q$2&amp;$P$1)</f>
        <v>0</v>
      </c>
      <c r="R53" s="142">
        <f>SUMIFS(領用表!$L:$L,領用表!$E:$E,$B53,領用表!$B:$B,R$2&amp;$P$1)</f>
        <v>0</v>
      </c>
      <c r="S53" s="142">
        <f>SUMIFS(領用表!$L:$L,領用表!$E:$E,$B53,領用表!$B:$B,S$2&amp;$P$1)</f>
        <v>0</v>
      </c>
      <c r="T53" s="142">
        <f>SUMIFS(領用表!$L:$L,領用表!$E:$E,$B53,領用表!$B:$B,T$2&amp;$P$1)</f>
        <v>0</v>
      </c>
      <c r="U53" s="142">
        <f>SUMIFS(領用表!$L:$L,領用表!$E:$E,$B53,領用表!$B:$B,U$2&amp;$P$1)</f>
        <v>0</v>
      </c>
      <c r="V53" s="142">
        <f>SUMIFS(領用表!$L:$L,領用表!$E:$E,$B53,領用表!$B:$B,V$2&amp;$P$1)</f>
        <v>0</v>
      </c>
      <c r="W53" s="142">
        <f>SUMIFS(領用表!$L:$L,領用表!$E:$E,$B53,領用表!$B:$B,W$2&amp;$P$1)</f>
        <v>0</v>
      </c>
      <c r="X53" s="142">
        <f>SUMIFS(領用表!$L:$L,領用表!$E:$E,$B53,領用表!$B:$B,X$2&amp;$P$1)</f>
        <v>0</v>
      </c>
      <c r="Y53" s="142">
        <f>SUMIFS(領用表!$L:$L,領用表!$E:$E,$B53,領用表!$B:$B,Y$2&amp;$P$1)</f>
        <v>0</v>
      </c>
      <c r="Z53" s="142">
        <f>SUMIFS(領用表!$L:$L,領用表!$E:$E,$B53,領用表!$B:$B,Z$2&amp;$P$1)</f>
        <v>0</v>
      </c>
      <c r="AA53" s="142">
        <f>SUMIFS(領用表!$L:$L,領用表!$E:$E,$B53,領用表!$B:$B,AA$2&amp;$P$1)</f>
        <v>0</v>
      </c>
      <c r="AB53" s="142">
        <f t="shared" si="2"/>
        <v>0</v>
      </c>
      <c r="AC53" s="142">
        <f t="shared" si="3"/>
        <v>0</v>
      </c>
      <c r="AD53" s="142">
        <f>SUMIF(Summary!B:B,B53,Summary!DW:DW)</f>
        <v>0</v>
      </c>
      <c r="AE53" s="109"/>
      <c r="AF53" s="65"/>
      <c r="AG53" s="65"/>
      <c r="AH53" s="65"/>
      <c r="AI53" s="27"/>
      <c r="AJ53" s="27"/>
      <c r="AK53" s="14"/>
      <c r="AL53" s="29"/>
    </row>
    <row r="54" spans="1:38" ht="15.75" customHeight="1">
      <c r="A54" s="27"/>
      <c r="B54" s="14">
        <v>6120031</v>
      </c>
      <c r="C54" s="136" t="s">
        <v>534</v>
      </c>
      <c r="D54" s="77"/>
      <c r="E54" s="17" t="s">
        <v>15</v>
      </c>
      <c r="F54" s="18"/>
      <c r="G54" s="18"/>
      <c r="H54" s="20">
        <f>SUMIFS(領用表!$L:$L,領用表!$E:$E,$B54,領用表!$B:$B,H$2&amp;$P$1)</f>
        <v>0</v>
      </c>
      <c r="I54" s="20">
        <f>SUMIFS(領用表!$L:$L,領用表!$E:$E,$B54,領用表!$B:$B,I$2&amp;$P$1)</f>
        <v>0</v>
      </c>
      <c r="J54" s="20">
        <f>SUMIFS(領用表!$L:$L,領用表!$E:$E,$B54,領用表!$B:$B,J$2&amp;$P$1)</f>
        <v>0</v>
      </c>
      <c r="K54" s="142">
        <f>SUMIFS(領用表!$L:$L,領用表!$E:$E,$B54,領用表!$B:$B,K$2&amp;$P$1)</f>
        <v>0</v>
      </c>
      <c r="L54" s="142">
        <f>SUMIFS(領用表!$L:$L,領用表!$E:$E,$B54,領用表!$B:$B,L$2&amp;$P$1)</f>
        <v>0</v>
      </c>
      <c r="M54" s="142">
        <f>SUMIFS(領用表!$L:$L,領用表!$E:$E,$B54,領用表!$B:$B,M$2&amp;$P$1)</f>
        <v>0</v>
      </c>
      <c r="N54" s="23">
        <f t="shared" si="0"/>
        <v>0</v>
      </c>
      <c r="O54" s="23">
        <f t="shared" si="1"/>
        <v>0</v>
      </c>
      <c r="P54" s="142">
        <f>SUMIFS(領用表!$L:$L,領用表!$E:$E,$B54,領用表!$B:$B,P$2&amp;$P$1)</f>
        <v>0</v>
      </c>
      <c r="Q54" s="142">
        <f>SUMIFS(領用表!$L:$L,領用表!$E:$E,$B54,領用表!$B:$B,Q$2&amp;$P$1)</f>
        <v>0</v>
      </c>
      <c r="R54" s="142">
        <f>SUMIFS(領用表!$L:$L,領用表!$E:$E,$B54,領用表!$B:$B,R$2&amp;$P$1)</f>
        <v>0</v>
      </c>
      <c r="S54" s="142">
        <f>SUMIFS(領用表!$L:$L,領用表!$E:$E,$B54,領用表!$B:$B,S$2&amp;$P$1)</f>
        <v>0</v>
      </c>
      <c r="T54" s="142">
        <f>SUMIFS(領用表!$L:$L,領用表!$E:$E,$B54,領用表!$B:$B,T$2&amp;$P$1)</f>
        <v>0</v>
      </c>
      <c r="U54" s="142">
        <f>SUMIFS(領用表!$L:$L,領用表!$E:$E,$B54,領用表!$B:$B,U$2&amp;$P$1)</f>
        <v>0</v>
      </c>
      <c r="V54" s="142">
        <f>SUMIFS(領用表!$L:$L,領用表!$E:$E,$B54,領用表!$B:$B,V$2&amp;$P$1)</f>
        <v>0</v>
      </c>
      <c r="W54" s="142">
        <f>SUMIFS(領用表!$L:$L,領用表!$E:$E,$B54,領用表!$B:$B,W$2&amp;$P$1)</f>
        <v>0</v>
      </c>
      <c r="X54" s="142">
        <f>SUMIFS(領用表!$L:$L,領用表!$E:$E,$B54,領用表!$B:$B,X$2&amp;$P$1)</f>
        <v>0</v>
      </c>
      <c r="Y54" s="142">
        <f>SUMIFS(領用表!$L:$L,領用表!$E:$E,$B54,領用表!$B:$B,Y$2&amp;$P$1)</f>
        <v>0</v>
      </c>
      <c r="Z54" s="142">
        <f>SUMIFS(領用表!$L:$L,領用表!$E:$E,$B54,領用表!$B:$B,Z$2&amp;$P$1)</f>
        <v>0</v>
      </c>
      <c r="AA54" s="142">
        <f>SUMIFS(領用表!$L:$L,領用表!$E:$E,$B54,領用表!$B:$B,AA$2&amp;$P$1)</f>
        <v>0</v>
      </c>
      <c r="AB54" s="142">
        <f t="shared" si="2"/>
        <v>0</v>
      </c>
      <c r="AC54" s="142">
        <f t="shared" si="3"/>
        <v>0</v>
      </c>
      <c r="AD54" s="142">
        <f>SUMIF(Summary!B:B,B54,Summary!DW:DW)</f>
        <v>0</v>
      </c>
      <c r="AE54" s="109"/>
      <c r="AF54" s="65"/>
      <c r="AG54" s="65"/>
      <c r="AH54" s="65"/>
      <c r="AI54" s="27"/>
      <c r="AJ54" s="27"/>
      <c r="AK54" s="14"/>
      <c r="AL54" s="29"/>
    </row>
    <row r="55" spans="1:38" ht="15.75" customHeight="1">
      <c r="A55" s="27"/>
      <c r="B55" s="14">
        <v>6120032</v>
      </c>
      <c r="C55" s="136" t="s">
        <v>535</v>
      </c>
      <c r="D55" s="77"/>
      <c r="E55" s="17" t="s">
        <v>15</v>
      </c>
      <c r="F55" s="18"/>
      <c r="G55" s="18"/>
      <c r="H55" s="20">
        <f>SUMIFS(領用表!$L:$L,領用表!$E:$E,$B55,領用表!$B:$B,H$2&amp;$P$1)</f>
        <v>0</v>
      </c>
      <c r="I55" s="20">
        <f>SUMIFS(領用表!$L:$L,領用表!$E:$E,$B55,領用表!$B:$B,I$2&amp;$P$1)</f>
        <v>0</v>
      </c>
      <c r="J55" s="20">
        <f>SUMIFS(領用表!$L:$L,領用表!$E:$E,$B55,領用表!$B:$B,J$2&amp;$P$1)</f>
        <v>0</v>
      </c>
      <c r="K55" s="142">
        <f>SUMIFS(領用表!$L:$L,領用表!$E:$E,$B55,領用表!$B:$B,K$2&amp;$P$1)</f>
        <v>0</v>
      </c>
      <c r="L55" s="142">
        <f>SUMIFS(領用表!$L:$L,領用表!$E:$E,$B55,領用表!$B:$B,L$2&amp;$P$1)</f>
        <v>0</v>
      </c>
      <c r="M55" s="142">
        <f>SUMIFS(領用表!$L:$L,領用表!$E:$E,$B55,領用表!$B:$B,M$2&amp;$P$1)</f>
        <v>0</v>
      </c>
      <c r="N55" s="23">
        <f t="shared" si="0"/>
        <v>0</v>
      </c>
      <c r="O55" s="23">
        <f t="shared" si="1"/>
        <v>0</v>
      </c>
      <c r="P55" s="142">
        <f>SUMIFS(領用表!$L:$L,領用表!$E:$E,$B55,領用表!$B:$B,P$2&amp;$P$1)</f>
        <v>0</v>
      </c>
      <c r="Q55" s="142">
        <f>SUMIFS(領用表!$L:$L,領用表!$E:$E,$B55,領用表!$B:$B,Q$2&amp;$P$1)</f>
        <v>0</v>
      </c>
      <c r="R55" s="142">
        <f>SUMIFS(領用表!$L:$L,領用表!$E:$E,$B55,領用表!$B:$B,R$2&amp;$P$1)</f>
        <v>0</v>
      </c>
      <c r="S55" s="142">
        <f>SUMIFS(領用表!$L:$L,領用表!$E:$E,$B55,領用表!$B:$B,S$2&amp;$P$1)</f>
        <v>0</v>
      </c>
      <c r="T55" s="142">
        <f>SUMIFS(領用表!$L:$L,領用表!$E:$E,$B55,領用表!$B:$B,T$2&amp;$P$1)</f>
        <v>0</v>
      </c>
      <c r="U55" s="142">
        <f>SUMIFS(領用表!$L:$L,領用表!$E:$E,$B55,領用表!$B:$B,U$2&amp;$P$1)</f>
        <v>0</v>
      </c>
      <c r="V55" s="142">
        <f>SUMIFS(領用表!$L:$L,領用表!$E:$E,$B55,領用表!$B:$B,V$2&amp;$P$1)</f>
        <v>0</v>
      </c>
      <c r="W55" s="142">
        <f>SUMIFS(領用表!$L:$L,領用表!$E:$E,$B55,領用表!$B:$B,W$2&amp;$P$1)</f>
        <v>0</v>
      </c>
      <c r="X55" s="142">
        <f>SUMIFS(領用表!$L:$L,領用表!$E:$E,$B55,領用表!$B:$B,X$2&amp;$P$1)</f>
        <v>0</v>
      </c>
      <c r="Y55" s="142">
        <f>SUMIFS(領用表!$L:$L,領用表!$E:$E,$B55,領用表!$B:$B,Y$2&amp;$P$1)</f>
        <v>0</v>
      </c>
      <c r="Z55" s="142">
        <f>SUMIFS(領用表!$L:$L,領用表!$E:$E,$B55,領用表!$B:$B,Z$2&amp;$P$1)</f>
        <v>0</v>
      </c>
      <c r="AA55" s="142">
        <f>SUMIFS(領用表!$L:$L,領用表!$E:$E,$B55,領用表!$B:$B,AA$2&amp;$P$1)</f>
        <v>0</v>
      </c>
      <c r="AB55" s="142">
        <f t="shared" si="2"/>
        <v>0</v>
      </c>
      <c r="AC55" s="142">
        <f t="shared" si="3"/>
        <v>0</v>
      </c>
      <c r="AD55" s="142">
        <f>SUMIF(Summary!B:B,B55,Summary!DW:DW)</f>
        <v>0</v>
      </c>
      <c r="AE55" s="109"/>
      <c r="AF55" s="65"/>
      <c r="AG55" s="65"/>
      <c r="AH55" s="65"/>
      <c r="AI55" s="27"/>
      <c r="AJ55" s="27"/>
      <c r="AK55" s="14"/>
      <c r="AL55" s="29"/>
    </row>
    <row r="56" spans="1:38" ht="15.75" customHeight="1">
      <c r="A56" s="27"/>
      <c r="B56" s="14" t="e">
        <v>#N/A</v>
      </c>
      <c r="C56" s="136" t="s">
        <v>536</v>
      </c>
      <c r="D56" s="77">
        <v>60</v>
      </c>
      <c r="E56" s="17" t="s">
        <v>15</v>
      </c>
      <c r="F56" s="18"/>
      <c r="G56" s="18"/>
      <c r="H56" s="20">
        <f>SUMIFS(領用表!$L:$L,領用表!$E:$E,$B56,領用表!$B:$B,H$2&amp;$P$1)</f>
        <v>0</v>
      </c>
      <c r="I56" s="20">
        <f>SUMIFS(領用表!$L:$L,領用表!$E:$E,$B56,領用表!$B:$B,I$2&amp;$P$1)</f>
        <v>0</v>
      </c>
      <c r="J56" s="20">
        <f>SUMIFS(領用表!$L:$L,領用表!$E:$E,$B56,領用表!$B:$B,J$2&amp;$P$1)</f>
        <v>0</v>
      </c>
      <c r="K56" s="142">
        <f>SUMIFS(領用表!$L:$L,領用表!$E:$E,$B56,領用表!$B:$B,K$2&amp;$P$1)</f>
        <v>0</v>
      </c>
      <c r="L56" s="142">
        <f>SUMIFS(領用表!$L:$L,領用表!$E:$E,$B56,領用表!$B:$B,L$2&amp;$P$1)</f>
        <v>0</v>
      </c>
      <c r="M56" s="142">
        <f>SUMIFS(領用表!$L:$L,領用表!$E:$E,$B56,領用表!$B:$B,M$2&amp;$P$1)</f>
        <v>0</v>
      </c>
      <c r="N56" s="23">
        <f t="shared" si="0"/>
        <v>0</v>
      </c>
      <c r="O56" s="23">
        <f t="shared" si="1"/>
        <v>0</v>
      </c>
      <c r="P56" s="142">
        <f>SUMIFS(領用表!$L:$L,領用表!$E:$E,$B56,領用表!$B:$B,P$2&amp;$P$1)</f>
        <v>0</v>
      </c>
      <c r="Q56" s="142">
        <f>SUMIFS(領用表!$L:$L,領用表!$E:$E,$B56,領用表!$B:$B,Q$2&amp;$P$1)</f>
        <v>0</v>
      </c>
      <c r="R56" s="142">
        <f>SUMIFS(領用表!$L:$L,領用表!$E:$E,$B56,領用表!$B:$B,R$2&amp;$P$1)</f>
        <v>0</v>
      </c>
      <c r="S56" s="142">
        <f>SUMIFS(領用表!$L:$L,領用表!$E:$E,$B56,領用表!$B:$B,S$2&amp;$P$1)</f>
        <v>0</v>
      </c>
      <c r="T56" s="142">
        <f>SUMIFS(領用表!$L:$L,領用表!$E:$E,$B56,領用表!$B:$B,T$2&amp;$P$1)</f>
        <v>0</v>
      </c>
      <c r="U56" s="142">
        <f>SUMIFS(領用表!$L:$L,領用表!$E:$E,$B56,領用表!$B:$B,U$2&amp;$P$1)</f>
        <v>0</v>
      </c>
      <c r="V56" s="142">
        <f>SUMIFS(領用表!$L:$L,領用表!$E:$E,$B56,領用表!$B:$B,V$2&amp;$P$1)</f>
        <v>0</v>
      </c>
      <c r="W56" s="142">
        <f>SUMIFS(領用表!$L:$L,領用表!$E:$E,$B56,領用表!$B:$B,W$2&amp;$P$1)</f>
        <v>0</v>
      </c>
      <c r="X56" s="142">
        <f>SUMIFS(領用表!$L:$L,領用表!$E:$E,$B56,領用表!$B:$B,X$2&amp;$P$1)</f>
        <v>0</v>
      </c>
      <c r="Y56" s="142">
        <f>SUMIFS(領用表!$L:$L,領用表!$E:$E,$B56,領用表!$B:$B,Y$2&amp;$P$1)</f>
        <v>0</v>
      </c>
      <c r="Z56" s="142">
        <f>SUMIFS(領用表!$L:$L,領用表!$E:$E,$B56,領用表!$B:$B,Z$2&amp;$P$1)</f>
        <v>0</v>
      </c>
      <c r="AA56" s="142">
        <f>SUMIFS(領用表!$L:$L,領用表!$E:$E,$B56,領用表!$B:$B,AA$2&amp;$P$1)</f>
        <v>0</v>
      </c>
      <c r="AB56" s="142">
        <f t="shared" si="2"/>
        <v>0</v>
      </c>
      <c r="AC56" s="142">
        <f t="shared" si="3"/>
        <v>0</v>
      </c>
      <c r="AD56" s="142">
        <f>SUMIF(Summary!B:B,B56,Summary!DW:DW)</f>
        <v>0</v>
      </c>
      <c r="AE56" s="109"/>
      <c r="AF56" s="65"/>
      <c r="AG56" s="65"/>
      <c r="AH56" s="65"/>
      <c r="AI56" s="27"/>
      <c r="AJ56" s="27"/>
      <c r="AK56" s="14"/>
      <c r="AL56" s="29"/>
    </row>
    <row r="57" spans="1:38" ht="15.75" customHeight="1">
      <c r="A57" s="27"/>
      <c r="B57" s="14">
        <v>6120019</v>
      </c>
      <c r="C57" s="136" t="s">
        <v>537</v>
      </c>
      <c r="D57" s="77"/>
      <c r="E57" s="17" t="s">
        <v>15</v>
      </c>
      <c r="F57" s="18"/>
      <c r="G57" s="18"/>
      <c r="H57" s="20">
        <f>SUMIFS(領用表!$L:$L,領用表!$E:$E,$B57,領用表!$B:$B,H$2&amp;$P$1)</f>
        <v>0</v>
      </c>
      <c r="I57" s="20">
        <f>SUMIFS(領用表!$L:$L,領用表!$E:$E,$B57,領用表!$B:$B,I$2&amp;$P$1)</f>
        <v>0</v>
      </c>
      <c r="J57" s="20">
        <f>SUMIFS(領用表!$L:$L,領用表!$E:$E,$B57,領用表!$B:$B,J$2&amp;$P$1)</f>
        <v>0</v>
      </c>
      <c r="K57" s="142">
        <f>SUMIFS(領用表!$L:$L,領用表!$E:$E,$B57,領用表!$B:$B,K$2&amp;$P$1)</f>
        <v>0</v>
      </c>
      <c r="L57" s="142">
        <f>SUMIFS(領用表!$L:$L,領用表!$E:$E,$B57,領用表!$B:$B,L$2&amp;$P$1)</f>
        <v>0</v>
      </c>
      <c r="M57" s="142">
        <f>SUMIFS(領用表!$L:$L,領用表!$E:$E,$B57,領用表!$B:$B,M$2&amp;$P$1)</f>
        <v>0</v>
      </c>
      <c r="N57" s="23">
        <f t="shared" si="0"/>
        <v>0</v>
      </c>
      <c r="O57" s="23">
        <f t="shared" si="1"/>
        <v>0</v>
      </c>
      <c r="P57" s="142">
        <f>SUMIFS(領用表!$L:$L,領用表!$E:$E,$B57,領用表!$B:$B,P$2&amp;$P$1)</f>
        <v>0</v>
      </c>
      <c r="Q57" s="142">
        <f>SUMIFS(領用表!$L:$L,領用表!$E:$E,$B57,領用表!$B:$B,Q$2&amp;$P$1)</f>
        <v>0</v>
      </c>
      <c r="R57" s="142">
        <f>SUMIFS(領用表!$L:$L,領用表!$E:$E,$B57,領用表!$B:$B,R$2&amp;$P$1)</f>
        <v>0</v>
      </c>
      <c r="S57" s="142">
        <f>SUMIFS(領用表!$L:$L,領用表!$E:$E,$B57,領用表!$B:$B,S$2&amp;$P$1)</f>
        <v>0</v>
      </c>
      <c r="T57" s="142">
        <f>SUMIFS(領用表!$L:$L,領用表!$E:$E,$B57,領用表!$B:$B,T$2&amp;$P$1)</f>
        <v>0</v>
      </c>
      <c r="U57" s="142">
        <f>SUMIFS(領用表!$L:$L,領用表!$E:$E,$B57,領用表!$B:$B,U$2&amp;$P$1)</f>
        <v>0</v>
      </c>
      <c r="V57" s="142">
        <f>SUMIFS(領用表!$L:$L,領用表!$E:$E,$B57,領用表!$B:$B,V$2&amp;$P$1)</f>
        <v>0</v>
      </c>
      <c r="W57" s="142">
        <f>SUMIFS(領用表!$L:$L,領用表!$E:$E,$B57,領用表!$B:$B,W$2&amp;$P$1)</f>
        <v>0</v>
      </c>
      <c r="X57" s="142">
        <f>SUMIFS(領用表!$L:$L,領用表!$E:$E,$B57,領用表!$B:$B,X$2&amp;$P$1)</f>
        <v>0</v>
      </c>
      <c r="Y57" s="142">
        <f>SUMIFS(領用表!$L:$L,領用表!$E:$E,$B57,領用表!$B:$B,Y$2&amp;$P$1)</f>
        <v>0</v>
      </c>
      <c r="Z57" s="142">
        <f>SUMIFS(領用表!$L:$L,領用表!$E:$E,$B57,領用表!$B:$B,Z$2&amp;$P$1)</f>
        <v>0</v>
      </c>
      <c r="AA57" s="142">
        <f>SUMIFS(領用表!$L:$L,領用表!$E:$E,$B57,領用表!$B:$B,AA$2&amp;$P$1)</f>
        <v>0</v>
      </c>
      <c r="AB57" s="142">
        <f t="shared" si="2"/>
        <v>0</v>
      </c>
      <c r="AC57" s="142">
        <f t="shared" si="3"/>
        <v>0</v>
      </c>
      <c r="AD57" s="142">
        <f>SUMIF(Summary!B:B,B57,Summary!DW:DW)</f>
        <v>0</v>
      </c>
      <c r="AE57" s="109"/>
      <c r="AF57" s="65"/>
      <c r="AG57" s="65"/>
      <c r="AH57" s="65"/>
      <c r="AI57" s="27"/>
      <c r="AJ57" s="27"/>
      <c r="AK57" s="14"/>
      <c r="AL57" s="29"/>
    </row>
    <row r="58" spans="1:38" ht="15.75" customHeight="1">
      <c r="A58" s="27"/>
      <c r="B58" s="14" t="e">
        <v>#N/A</v>
      </c>
      <c r="C58" s="136" t="s">
        <v>538</v>
      </c>
      <c r="D58" s="77"/>
      <c r="E58" s="17" t="s">
        <v>15</v>
      </c>
      <c r="F58" s="18"/>
      <c r="G58" s="18"/>
      <c r="H58" s="20">
        <f>SUMIFS(領用表!$L:$L,領用表!$E:$E,$B58,領用表!$B:$B,H$2&amp;$P$1)</f>
        <v>0</v>
      </c>
      <c r="I58" s="20">
        <f>SUMIFS(領用表!$L:$L,領用表!$E:$E,$B58,領用表!$B:$B,I$2&amp;$P$1)</f>
        <v>0</v>
      </c>
      <c r="J58" s="20">
        <f>SUMIFS(領用表!$L:$L,領用表!$E:$E,$B58,領用表!$B:$B,J$2&amp;$P$1)</f>
        <v>0</v>
      </c>
      <c r="K58" s="142">
        <f>SUMIFS(領用表!$L:$L,領用表!$E:$E,$B58,領用表!$B:$B,K$2&amp;$P$1)</f>
        <v>0</v>
      </c>
      <c r="L58" s="142">
        <f>SUMIFS(領用表!$L:$L,領用表!$E:$E,$B58,領用表!$B:$B,L$2&amp;$P$1)</f>
        <v>0</v>
      </c>
      <c r="M58" s="142">
        <f>SUMIFS(領用表!$L:$L,領用表!$E:$E,$B58,領用表!$B:$B,M$2&amp;$P$1)</f>
        <v>0</v>
      </c>
      <c r="N58" s="23">
        <f t="shared" si="0"/>
        <v>0</v>
      </c>
      <c r="O58" s="23">
        <f t="shared" si="1"/>
        <v>0</v>
      </c>
      <c r="P58" s="142">
        <f>SUMIFS(領用表!$L:$L,領用表!$E:$E,$B58,領用表!$B:$B,P$2&amp;$P$1)</f>
        <v>0</v>
      </c>
      <c r="Q58" s="142">
        <f>SUMIFS(領用表!$L:$L,領用表!$E:$E,$B58,領用表!$B:$B,Q$2&amp;$P$1)</f>
        <v>0</v>
      </c>
      <c r="R58" s="142">
        <f>SUMIFS(領用表!$L:$L,領用表!$E:$E,$B58,領用表!$B:$B,R$2&amp;$P$1)</f>
        <v>0</v>
      </c>
      <c r="S58" s="142">
        <f>SUMIFS(領用表!$L:$L,領用表!$E:$E,$B58,領用表!$B:$B,S$2&amp;$P$1)</f>
        <v>0</v>
      </c>
      <c r="T58" s="142">
        <f>SUMIFS(領用表!$L:$L,領用表!$E:$E,$B58,領用表!$B:$B,T$2&amp;$P$1)</f>
        <v>0</v>
      </c>
      <c r="U58" s="142">
        <f>SUMIFS(領用表!$L:$L,領用表!$E:$E,$B58,領用表!$B:$B,U$2&amp;$P$1)</f>
        <v>0</v>
      </c>
      <c r="V58" s="142">
        <f>SUMIFS(領用表!$L:$L,領用表!$E:$E,$B58,領用表!$B:$B,V$2&amp;$P$1)</f>
        <v>0</v>
      </c>
      <c r="W58" s="142">
        <f>SUMIFS(領用表!$L:$L,領用表!$E:$E,$B58,領用表!$B:$B,W$2&amp;$P$1)</f>
        <v>0</v>
      </c>
      <c r="X58" s="142">
        <f>SUMIFS(領用表!$L:$L,領用表!$E:$E,$B58,領用表!$B:$B,X$2&amp;$P$1)</f>
        <v>0</v>
      </c>
      <c r="Y58" s="142">
        <f>SUMIFS(領用表!$L:$L,領用表!$E:$E,$B58,領用表!$B:$B,Y$2&amp;$P$1)</f>
        <v>0</v>
      </c>
      <c r="Z58" s="142">
        <f>SUMIFS(領用表!$L:$L,領用表!$E:$E,$B58,領用表!$B:$B,Z$2&amp;$P$1)</f>
        <v>0</v>
      </c>
      <c r="AA58" s="142">
        <f>SUMIFS(領用表!$L:$L,領用表!$E:$E,$B58,領用表!$B:$B,AA$2&amp;$P$1)</f>
        <v>0</v>
      </c>
      <c r="AB58" s="142">
        <f t="shared" si="2"/>
        <v>0</v>
      </c>
      <c r="AC58" s="142">
        <f t="shared" si="3"/>
        <v>0</v>
      </c>
      <c r="AD58" s="142">
        <f>SUMIF(Summary!B:B,B58,Summary!DW:DW)</f>
        <v>0</v>
      </c>
      <c r="AE58" s="109"/>
      <c r="AF58" s="65"/>
      <c r="AG58" s="65"/>
      <c r="AH58" s="65"/>
      <c r="AI58" s="27"/>
      <c r="AJ58" s="27"/>
      <c r="AK58" s="14"/>
      <c r="AL58" s="29"/>
    </row>
    <row r="59" spans="1:38" ht="15.75" customHeight="1" thickBot="1">
      <c r="A59" s="27"/>
      <c r="B59" s="14">
        <v>6130001</v>
      </c>
      <c r="C59" s="136" t="s">
        <v>539</v>
      </c>
      <c r="D59" s="77"/>
      <c r="E59" s="17" t="s">
        <v>15</v>
      </c>
      <c r="F59" s="18"/>
      <c r="G59" s="18"/>
      <c r="H59" s="20">
        <f>SUMIFS(領用表!$L:$L,領用表!$E:$E,$B59,領用表!$B:$B,H$2&amp;$P$1)</f>
        <v>0</v>
      </c>
      <c r="I59" s="20">
        <f>SUMIFS(領用表!$L:$L,領用表!$E:$E,$B59,領用表!$B:$B,I$2&amp;$P$1)</f>
        <v>0</v>
      </c>
      <c r="J59" s="20">
        <f>SUMIFS(領用表!$L:$L,領用表!$E:$E,$B59,領用表!$B:$B,J$2&amp;$P$1)</f>
        <v>0</v>
      </c>
      <c r="K59" s="142">
        <f>SUMIFS(領用表!$L:$L,領用表!$E:$E,$B59,領用表!$B:$B,K$2&amp;$P$1)</f>
        <v>0</v>
      </c>
      <c r="L59" s="142">
        <f>SUMIFS(領用表!$L:$L,領用表!$E:$E,$B59,領用表!$B:$B,L$2&amp;$P$1)</f>
        <v>0</v>
      </c>
      <c r="M59" s="142">
        <f>SUMIFS(領用表!$L:$L,領用表!$E:$E,$B59,領用表!$B:$B,M$2&amp;$P$1)</f>
        <v>0</v>
      </c>
      <c r="N59" s="23">
        <f t="shared" si="0"/>
        <v>0</v>
      </c>
      <c r="O59" s="23">
        <f t="shared" si="1"/>
        <v>0</v>
      </c>
      <c r="P59" s="142">
        <f>SUMIFS(領用表!$L:$L,領用表!$E:$E,$B59,領用表!$B:$B,P$2&amp;$P$1)</f>
        <v>0</v>
      </c>
      <c r="Q59" s="142">
        <f>SUMIFS(領用表!$L:$L,領用表!$E:$E,$B59,領用表!$B:$B,Q$2&amp;$P$1)</f>
        <v>0</v>
      </c>
      <c r="R59" s="142">
        <f>SUMIFS(領用表!$L:$L,領用表!$E:$E,$B59,領用表!$B:$B,R$2&amp;$P$1)</f>
        <v>0</v>
      </c>
      <c r="S59" s="142">
        <f>SUMIFS(領用表!$L:$L,領用表!$E:$E,$B59,領用表!$B:$B,S$2&amp;$P$1)</f>
        <v>0</v>
      </c>
      <c r="T59" s="142">
        <f>SUMIFS(領用表!$L:$L,領用表!$E:$E,$B59,領用表!$B:$B,T$2&amp;$P$1)</f>
        <v>0</v>
      </c>
      <c r="U59" s="142">
        <f>SUMIFS(領用表!$L:$L,領用表!$E:$E,$B59,領用表!$B:$B,U$2&amp;$P$1)</f>
        <v>0</v>
      </c>
      <c r="V59" s="142">
        <f>SUMIFS(領用表!$L:$L,領用表!$E:$E,$B59,領用表!$B:$B,V$2&amp;$P$1)</f>
        <v>0</v>
      </c>
      <c r="W59" s="142">
        <f>SUMIFS(領用表!$L:$L,領用表!$E:$E,$B59,領用表!$B:$B,W$2&amp;$P$1)</f>
        <v>0</v>
      </c>
      <c r="X59" s="142">
        <f>SUMIFS(領用表!$L:$L,領用表!$E:$E,$B59,領用表!$B:$B,X$2&amp;$P$1)</f>
        <v>0</v>
      </c>
      <c r="Y59" s="142">
        <f>SUMIFS(領用表!$L:$L,領用表!$E:$E,$B59,領用表!$B:$B,Y$2&amp;$P$1)</f>
        <v>0</v>
      </c>
      <c r="Z59" s="142">
        <f>SUMIFS(領用表!$L:$L,領用表!$E:$E,$B59,領用表!$B:$B,Z$2&amp;$P$1)</f>
        <v>0</v>
      </c>
      <c r="AA59" s="142">
        <f>SUMIFS(領用表!$L:$L,領用表!$E:$E,$B59,領用表!$B:$B,AA$2&amp;$P$1)</f>
        <v>0</v>
      </c>
      <c r="AB59" s="142">
        <f t="shared" si="2"/>
        <v>0</v>
      </c>
      <c r="AC59" s="142">
        <f t="shared" si="3"/>
        <v>0</v>
      </c>
      <c r="AD59" s="142">
        <f>SUMIF(Summary!B:B,B59,Summary!DW:DW)</f>
        <v>0</v>
      </c>
      <c r="AE59" s="109"/>
      <c r="AF59" s="65"/>
      <c r="AG59" s="65"/>
      <c r="AH59" s="65"/>
      <c r="AI59" s="27"/>
      <c r="AJ59" s="27"/>
      <c r="AK59" s="14"/>
      <c r="AL59" s="29"/>
    </row>
    <row r="60" spans="1:38" ht="15.75" customHeight="1" thickBot="1">
      <c r="A60" s="78" t="s">
        <v>774</v>
      </c>
      <c r="B60" s="190">
        <v>6120042</v>
      </c>
      <c r="C60" s="136" t="s">
        <v>775</v>
      </c>
      <c r="D60" s="77"/>
      <c r="E60" s="17"/>
      <c r="F60" s="18"/>
      <c r="G60" s="18"/>
      <c r="H60" s="20">
        <f>SUMIFS(領用表!$L:$L,領用表!$E:$E,$B60,領用表!$B:$B,H$2&amp;$P$1)</f>
        <v>0</v>
      </c>
      <c r="I60" s="20">
        <f>SUMIFS(領用表!$L:$L,領用表!$E:$E,$B60,領用表!$B:$B,I$2&amp;$P$1)</f>
        <v>0</v>
      </c>
      <c r="J60" s="20">
        <f>SUMIFS(領用表!$L:$L,領用表!$E:$E,$B60,領用表!$B:$B,J$2&amp;$P$1)</f>
        <v>0</v>
      </c>
      <c r="K60" s="142">
        <f>SUMIFS(領用表!$L:$L,領用表!$E:$E,$B60,領用表!$B:$B,K$2&amp;$P$1)</f>
        <v>0</v>
      </c>
      <c r="L60" s="142">
        <f>SUMIFS(領用表!$L:$L,領用表!$E:$E,$B60,領用表!$B:$B,L$2&amp;$P$1)</f>
        <v>0</v>
      </c>
      <c r="M60" s="142">
        <f>SUMIFS(領用表!$L:$L,領用表!$E:$E,$B60,領用表!$B:$B,M$2&amp;$P$1)</f>
        <v>0</v>
      </c>
      <c r="N60" s="23">
        <f t="shared" ref="N60:N62" si="10">SUM(,H60,I60,J60,K60,L60,M60)</f>
        <v>0</v>
      </c>
      <c r="O60" s="23">
        <f t="shared" ref="O60:O62" si="11">AVERAGE(,H60,I60,J60,K60,L60,M60)</f>
        <v>0</v>
      </c>
      <c r="P60" s="142">
        <f>SUMIFS(領用表!$L:$L,領用表!$E:$E,$B60,領用表!$B:$B,P$2&amp;$P$1)</f>
        <v>0</v>
      </c>
      <c r="Q60" s="142">
        <f>SUMIFS(領用表!$L:$L,領用表!$E:$E,$B60,領用表!$B:$B,Q$2&amp;$P$1)</f>
        <v>0</v>
      </c>
      <c r="R60" s="142">
        <f>SUMIFS(領用表!$L:$L,領用表!$E:$E,$B60,領用表!$B:$B,R$2&amp;$P$1)</f>
        <v>0</v>
      </c>
      <c r="S60" s="142">
        <f>SUMIFS(領用表!$L:$L,領用表!$E:$E,$B60,領用表!$B:$B,S$2&amp;$P$1)</f>
        <v>0</v>
      </c>
      <c r="T60" s="142">
        <f>SUMIFS(領用表!$L:$L,領用表!$E:$E,$B60,領用表!$B:$B,T$2&amp;$P$1)</f>
        <v>0</v>
      </c>
      <c r="U60" s="142">
        <f>SUMIFS(領用表!$L:$L,領用表!$E:$E,$B60,領用表!$B:$B,U$2&amp;$P$1)</f>
        <v>0</v>
      </c>
      <c r="V60" s="142">
        <f>SUMIFS(領用表!$L:$L,領用表!$E:$E,$B60,領用表!$B:$B,V$2&amp;$P$1)</f>
        <v>0</v>
      </c>
      <c r="W60" s="142">
        <f>SUMIFS(領用表!$L:$L,領用表!$E:$E,$B60,領用表!$B:$B,W$2&amp;$P$1)</f>
        <v>0</v>
      </c>
      <c r="X60" s="142">
        <f>SUMIFS(領用表!$L:$L,領用表!$E:$E,$B60,領用表!$B:$B,X$2&amp;$P$1)</f>
        <v>0</v>
      </c>
      <c r="Y60" s="142">
        <f>SUMIFS(領用表!$L:$L,領用表!$E:$E,$B60,領用表!$B:$B,Y$2&amp;$P$1)</f>
        <v>0</v>
      </c>
      <c r="Z60" s="142">
        <f>SUMIFS(領用表!$L:$L,領用表!$E:$E,$B60,領用表!$B:$B,Z$2&amp;$P$1)</f>
        <v>0</v>
      </c>
      <c r="AA60" s="142">
        <f>SUMIFS(領用表!$L:$L,領用表!$E:$E,$B60,領用表!$B:$B,AA$2&amp;$P$1)</f>
        <v>0</v>
      </c>
      <c r="AB60" s="142">
        <f t="shared" si="2"/>
        <v>0</v>
      </c>
      <c r="AC60" s="142">
        <f t="shared" si="3"/>
        <v>0</v>
      </c>
      <c r="AD60" s="142">
        <f>SUMIF(Summary!B:B,B60,Summary!DW:DW)</f>
        <v>0</v>
      </c>
      <c r="AE60" s="109"/>
      <c r="AF60" s="65"/>
      <c r="AG60" s="65"/>
      <c r="AH60" s="65"/>
      <c r="AI60" s="27"/>
      <c r="AJ60" s="27"/>
      <c r="AK60" s="14"/>
      <c r="AL60" s="29"/>
    </row>
    <row r="61" spans="1:38" ht="15.75" customHeight="1" thickBot="1">
      <c r="A61" s="78" t="s">
        <v>776</v>
      </c>
      <c r="B61" s="190">
        <v>6120043</v>
      </c>
      <c r="C61" s="136" t="s">
        <v>777</v>
      </c>
      <c r="D61" s="77"/>
      <c r="E61" s="17"/>
      <c r="F61" s="18"/>
      <c r="G61" s="18"/>
      <c r="H61" s="20">
        <f>SUMIFS(領用表!$L:$L,領用表!$E:$E,$B61,領用表!$B:$B,H$2&amp;$P$1)</f>
        <v>0</v>
      </c>
      <c r="I61" s="20">
        <f>SUMIFS(領用表!$L:$L,領用表!$E:$E,$B61,領用表!$B:$B,I$2&amp;$P$1)</f>
        <v>0</v>
      </c>
      <c r="J61" s="20">
        <f>SUMIFS(領用表!$L:$L,領用表!$E:$E,$B61,領用表!$B:$B,J$2&amp;$P$1)</f>
        <v>0</v>
      </c>
      <c r="K61" s="142">
        <f>SUMIFS(領用表!$L:$L,領用表!$E:$E,$B61,領用表!$B:$B,K$2&amp;$P$1)</f>
        <v>0</v>
      </c>
      <c r="L61" s="142">
        <f>SUMIFS(領用表!$L:$L,領用表!$E:$E,$B61,領用表!$B:$B,L$2&amp;$P$1)</f>
        <v>0</v>
      </c>
      <c r="M61" s="142">
        <f>SUMIFS(領用表!$L:$L,領用表!$E:$E,$B61,領用表!$B:$B,M$2&amp;$P$1)</f>
        <v>0</v>
      </c>
      <c r="N61" s="23">
        <f t="shared" si="10"/>
        <v>0</v>
      </c>
      <c r="O61" s="23">
        <f t="shared" si="11"/>
        <v>0</v>
      </c>
      <c r="P61" s="142">
        <f>SUMIFS(領用表!$L:$L,領用表!$E:$E,$B61,領用表!$B:$B,P$2&amp;$P$1)</f>
        <v>0</v>
      </c>
      <c r="Q61" s="142">
        <f>SUMIFS(領用表!$L:$L,領用表!$E:$E,$B61,領用表!$B:$B,Q$2&amp;$P$1)</f>
        <v>0</v>
      </c>
      <c r="R61" s="142">
        <f>SUMIFS(領用表!$L:$L,領用表!$E:$E,$B61,領用表!$B:$B,R$2&amp;$P$1)</f>
        <v>0</v>
      </c>
      <c r="S61" s="142">
        <f>SUMIFS(領用表!$L:$L,領用表!$E:$E,$B61,領用表!$B:$B,S$2&amp;$P$1)</f>
        <v>0</v>
      </c>
      <c r="T61" s="142">
        <f>SUMIFS(領用表!$L:$L,領用表!$E:$E,$B61,領用表!$B:$B,T$2&amp;$P$1)</f>
        <v>0</v>
      </c>
      <c r="U61" s="142">
        <f>SUMIFS(領用表!$L:$L,領用表!$E:$E,$B61,領用表!$B:$B,U$2&amp;$P$1)</f>
        <v>0</v>
      </c>
      <c r="V61" s="142">
        <f>SUMIFS(領用表!$L:$L,領用表!$E:$E,$B61,領用表!$B:$B,V$2&amp;$P$1)</f>
        <v>0</v>
      </c>
      <c r="W61" s="142">
        <f>SUMIFS(領用表!$L:$L,領用表!$E:$E,$B61,領用表!$B:$B,W$2&amp;$P$1)</f>
        <v>0</v>
      </c>
      <c r="X61" s="142">
        <f>SUMIFS(領用表!$L:$L,領用表!$E:$E,$B61,領用表!$B:$B,X$2&amp;$P$1)</f>
        <v>0</v>
      </c>
      <c r="Y61" s="142">
        <f>SUMIFS(領用表!$L:$L,領用表!$E:$E,$B61,領用表!$B:$B,Y$2&amp;$P$1)</f>
        <v>0</v>
      </c>
      <c r="Z61" s="142">
        <f>SUMIFS(領用表!$L:$L,領用表!$E:$E,$B61,領用表!$B:$B,Z$2&amp;$P$1)</f>
        <v>0</v>
      </c>
      <c r="AA61" s="142">
        <f>SUMIFS(領用表!$L:$L,領用表!$E:$E,$B61,領用表!$B:$B,AA$2&amp;$P$1)</f>
        <v>0</v>
      </c>
      <c r="AB61" s="142">
        <f t="shared" si="2"/>
        <v>0</v>
      </c>
      <c r="AC61" s="142">
        <f t="shared" si="3"/>
        <v>0</v>
      </c>
      <c r="AD61" s="142">
        <f>SUMIF(Summary!B:B,B61,Summary!DW:DW)</f>
        <v>0</v>
      </c>
      <c r="AE61" s="109"/>
      <c r="AF61" s="65"/>
      <c r="AG61" s="65"/>
      <c r="AH61" s="65"/>
      <c r="AI61" s="27"/>
      <c r="AJ61" s="27"/>
      <c r="AK61" s="14"/>
      <c r="AL61" s="29"/>
    </row>
    <row r="62" spans="1:38" ht="15.75" customHeight="1" thickBot="1">
      <c r="A62" s="194" t="s">
        <v>779</v>
      </c>
      <c r="B62" s="191">
        <v>6120044</v>
      </c>
      <c r="C62" s="195" t="s">
        <v>778</v>
      </c>
      <c r="D62" s="77"/>
      <c r="E62" s="17"/>
      <c r="F62" s="18"/>
      <c r="G62" s="18"/>
      <c r="H62" s="20">
        <f>SUMIFS(領用表!$L:$L,領用表!$E:$E,$B62,領用表!$B:$B,H$2&amp;$P$1)</f>
        <v>0</v>
      </c>
      <c r="I62" s="20">
        <f>SUMIFS(領用表!$L:$L,領用表!$E:$E,$B62,領用表!$B:$B,I$2&amp;$P$1)</f>
        <v>0</v>
      </c>
      <c r="J62" s="20">
        <f>SUMIFS(領用表!$L:$L,領用表!$E:$E,$B62,領用表!$B:$B,J$2&amp;$P$1)</f>
        <v>0</v>
      </c>
      <c r="K62" s="142">
        <f>SUMIFS(領用表!$L:$L,領用表!$E:$E,$B62,領用表!$B:$B,K$2&amp;$P$1)</f>
        <v>0</v>
      </c>
      <c r="L62" s="142">
        <f>SUMIFS(領用表!$L:$L,領用表!$E:$E,$B62,領用表!$B:$B,L$2&amp;$P$1)</f>
        <v>0</v>
      </c>
      <c r="M62" s="142">
        <f>SUMIFS(領用表!$L:$L,領用表!$E:$E,$B62,領用表!$B:$B,M$2&amp;$P$1)</f>
        <v>0</v>
      </c>
      <c r="N62" s="23">
        <f t="shared" si="10"/>
        <v>0</v>
      </c>
      <c r="O62" s="23">
        <f t="shared" si="11"/>
        <v>0</v>
      </c>
      <c r="P62" s="142">
        <f>SUMIFS(領用表!$L:$L,領用表!$E:$E,$B62,領用表!$B:$B,P$2&amp;$P$1)</f>
        <v>0</v>
      </c>
      <c r="Q62" s="142">
        <f>SUMIFS(領用表!$L:$L,領用表!$E:$E,$B62,領用表!$B:$B,Q$2&amp;$P$1)</f>
        <v>0</v>
      </c>
      <c r="R62" s="142">
        <f>SUMIFS(領用表!$L:$L,領用表!$E:$E,$B62,領用表!$B:$B,R$2&amp;$P$1)</f>
        <v>0</v>
      </c>
      <c r="S62" s="142">
        <f>SUMIFS(領用表!$L:$L,領用表!$E:$E,$B62,領用表!$B:$B,S$2&amp;$P$1)</f>
        <v>0</v>
      </c>
      <c r="T62" s="142">
        <f>SUMIFS(領用表!$L:$L,領用表!$E:$E,$B62,領用表!$B:$B,T$2&amp;$P$1)</f>
        <v>0</v>
      </c>
      <c r="U62" s="142">
        <f>SUMIFS(領用表!$L:$L,領用表!$E:$E,$B62,領用表!$B:$B,U$2&amp;$P$1)</f>
        <v>0</v>
      </c>
      <c r="V62" s="142">
        <f>SUMIFS(領用表!$L:$L,領用表!$E:$E,$B62,領用表!$B:$B,V$2&amp;$P$1)</f>
        <v>0</v>
      </c>
      <c r="W62" s="142">
        <f>SUMIFS(領用表!$L:$L,領用表!$E:$E,$B62,領用表!$B:$B,W$2&amp;$P$1)</f>
        <v>0</v>
      </c>
      <c r="X62" s="142">
        <f>SUMIFS(領用表!$L:$L,領用表!$E:$E,$B62,領用表!$B:$B,X$2&amp;$P$1)</f>
        <v>0</v>
      </c>
      <c r="Y62" s="142">
        <f>SUMIFS(領用表!$L:$L,領用表!$E:$E,$B62,領用表!$B:$B,Y$2&amp;$P$1)</f>
        <v>0</v>
      </c>
      <c r="Z62" s="142">
        <f>SUMIFS(領用表!$L:$L,領用表!$E:$E,$B62,領用表!$B:$B,Z$2&amp;$P$1)</f>
        <v>0</v>
      </c>
      <c r="AA62" s="142">
        <f>SUMIFS(領用表!$L:$L,領用表!$E:$E,$B62,領用表!$B:$B,AA$2&amp;$P$1)</f>
        <v>0</v>
      </c>
      <c r="AB62" s="142">
        <f t="shared" si="2"/>
        <v>0</v>
      </c>
      <c r="AC62" s="142">
        <f t="shared" si="3"/>
        <v>0</v>
      </c>
      <c r="AD62" s="142">
        <f>SUMIF(Summary!B:B,B62,Summary!DW:DW)</f>
        <v>0</v>
      </c>
      <c r="AE62" s="109"/>
      <c r="AF62" s="65"/>
      <c r="AG62" s="65"/>
      <c r="AH62" s="65"/>
      <c r="AI62" s="27"/>
      <c r="AJ62" s="27"/>
      <c r="AK62" s="14"/>
      <c r="AL62" s="29"/>
    </row>
    <row r="63" spans="1:38" ht="15.75" customHeight="1">
      <c r="A63" s="27"/>
      <c r="B63" s="14" t="e">
        <v>#N/A</v>
      </c>
      <c r="C63" s="136" t="s">
        <v>540</v>
      </c>
      <c r="D63" s="77"/>
      <c r="E63" s="17" t="s">
        <v>145</v>
      </c>
      <c r="F63" s="18"/>
      <c r="G63" s="18"/>
      <c r="H63" s="20">
        <f>SUMIFS(領用表!$L:$L,領用表!$E:$E,$B63,領用表!$B:$B,H$2&amp;$P$1)</f>
        <v>0</v>
      </c>
      <c r="I63" s="20">
        <f>SUMIFS(領用表!$L:$L,領用表!$E:$E,$B63,領用表!$B:$B,I$2&amp;$P$1)</f>
        <v>0</v>
      </c>
      <c r="J63" s="20">
        <f>SUMIFS(領用表!$L:$L,領用表!$E:$E,$B63,領用表!$B:$B,J$2&amp;$P$1)</f>
        <v>0</v>
      </c>
      <c r="K63" s="142">
        <f>SUMIFS(領用表!$L:$L,領用表!$E:$E,$B63,領用表!$B:$B,K$2&amp;$P$1)</f>
        <v>0</v>
      </c>
      <c r="L63" s="142">
        <f>SUMIFS(領用表!$L:$L,領用表!$E:$E,$B63,領用表!$B:$B,L$2&amp;$P$1)</f>
        <v>0</v>
      </c>
      <c r="M63" s="142">
        <f>SUMIFS(領用表!$L:$L,領用表!$E:$E,$B63,領用表!$B:$B,M$2&amp;$P$1)</f>
        <v>0</v>
      </c>
      <c r="N63" s="23">
        <f t="shared" si="0"/>
        <v>0</v>
      </c>
      <c r="O63" s="23">
        <f t="shared" si="1"/>
        <v>0</v>
      </c>
      <c r="P63" s="142">
        <f>SUMIFS(領用表!$L:$L,領用表!$E:$E,$B63,領用表!$B:$B,P$2&amp;$P$1)</f>
        <v>0</v>
      </c>
      <c r="Q63" s="142">
        <f>SUMIFS(領用表!$L:$L,領用表!$E:$E,$B63,領用表!$B:$B,Q$2&amp;$P$1)</f>
        <v>0</v>
      </c>
      <c r="R63" s="142">
        <f>SUMIFS(領用表!$L:$L,領用表!$E:$E,$B63,領用表!$B:$B,R$2&amp;$P$1)</f>
        <v>0</v>
      </c>
      <c r="S63" s="142">
        <f>SUMIFS(領用表!$L:$L,領用表!$E:$E,$B63,領用表!$B:$B,S$2&amp;$P$1)</f>
        <v>0</v>
      </c>
      <c r="T63" s="142">
        <f>SUMIFS(領用表!$L:$L,領用表!$E:$E,$B63,領用表!$B:$B,T$2&amp;$P$1)</f>
        <v>0</v>
      </c>
      <c r="U63" s="142">
        <f>SUMIFS(領用表!$L:$L,領用表!$E:$E,$B63,領用表!$B:$B,U$2&amp;$P$1)</f>
        <v>0</v>
      </c>
      <c r="V63" s="142">
        <f>SUMIFS(領用表!$L:$L,領用表!$E:$E,$B63,領用表!$B:$B,V$2&amp;$P$1)</f>
        <v>0</v>
      </c>
      <c r="W63" s="142">
        <f>SUMIFS(領用表!$L:$L,領用表!$E:$E,$B63,領用表!$B:$B,W$2&amp;$P$1)</f>
        <v>0</v>
      </c>
      <c r="X63" s="142">
        <f>SUMIFS(領用表!$L:$L,領用表!$E:$E,$B63,領用表!$B:$B,X$2&amp;$P$1)</f>
        <v>0</v>
      </c>
      <c r="Y63" s="142">
        <f>SUMIFS(領用表!$L:$L,領用表!$E:$E,$B63,領用表!$B:$B,Y$2&amp;$P$1)</f>
        <v>0</v>
      </c>
      <c r="Z63" s="142">
        <f>SUMIFS(領用表!$L:$L,領用表!$E:$E,$B63,領用表!$B:$B,Z$2&amp;$P$1)</f>
        <v>0</v>
      </c>
      <c r="AA63" s="142">
        <f>SUMIFS(領用表!$L:$L,領用表!$E:$E,$B63,領用表!$B:$B,AA$2&amp;$P$1)</f>
        <v>0</v>
      </c>
      <c r="AB63" s="142">
        <f t="shared" si="2"/>
        <v>0</v>
      </c>
      <c r="AC63" s="142">
        <f t="shared" si="3"/>
        <v>0</v>
      </c>
      <c r="AD63" s="142">
        <f>SUMIF(Summary!B:B,B63,Summary!DW:DW)</f>
        <v>0</v>
      </c>
      <c r="AE63" s="109"/>
      <c r="AF63" s="65"/>
      <c r="AG63" s="65"/>
      <c r="AH63" s="65"/>
      <c r="AI63" s="27"/>
      <c r="AJ63" s="27"/>
      <c r="AK63" s="14"/>
      <c r="AL63" s="29"/>
    </row>
    <row r="64" spans="1:38" ht="15.75" customHeight="1">
      <c r="A64" s="27"/>
      <c r="B64" s="14" t="e">
        <v>#N/A</v>
      </c>
      <c r="C64" s="136" t="s">
        <v>541</v>
      </c>
      <c r="D64" s="77"/>
      <c r="E64" s="17" t="s">
        <v>145</v>
      </c>
      <c r="F64" s="18"/>
      <c r="G64" s="18"/>
      <c r="H64" s="20">
        <f>SUMIFS(領用表!$L:$L,領用表!$E:$E,$B64,領用表!$B:$B,H$2&amp;$P$1)</f>
        <v>0</v>
      </c>
      <c r="I64" s="20">
        <f>SUMIFS(領用表!$L:$L,領用表!$E:$E,$B64,領用表!$B:$B,I$2&amp;$P$1)</f>
        <v>0</v>
      </c>
      <c r="J64" s="20">
        <f>SUMIFS(領用表!$L:$L,領用表!$E:$E,$B64,領用表!$B:$B,J$2&amp;$P$1)</f>
        <v>0</v>
      </c>
      <c r="K64" s="142">
        <f>SUMIFS(領用表!$L:$L,領用表!$E:$E,$B64,領用表!$B:$B,K$2&amp;$P$1)</f>
        <v>0</v>
      </c>
      <c r="L64" s="142">
        <f>SUMIFS(領用表!$L:$L,領用表!$E:$E,$B64,領用表!$B:$B,L$2&amp;$P$1)</f>
        <v>0</v>
      </c>
      <c r="M64" s="142">
        <f>SUMIFS(領用表!$L:$L,領用表!$E:$E,$B64,領用表!$B:$B,M$2&amp;$P$1)</f>
        <v>0</v>
      </c>
      <c r="N64" s="23">
        <f t="shared" si="0"/>
        <v>0</v>
      </c>
      <c r="O64" s="23">
        <f t="shared" si="1"/>
        <v>0</v>
      </c>
      <c r="P64" s="142">
        <f>SUMIFS(領用表!$L:$L,領用表!$E:$E,$B64,領用表!$B:$B,P$2&amp;$P$1)</f>
        <v>0</v>
      </c>
      <c r="Q64" s="142">
        <f>SUMIFS(領用表!$L:$L,領用表!$E:$E,$B64,領用表!$B:$B,Q$2&amp;$P$1)</f>
        <v>0</v>
      </c>
      <c r="R64" s="142">
        <f>SUMIFS(領用表!$L:$L,領用表!$E:$E,$B64,領用表!$B:$B,R$2&amp;$P$1)</f>
        <v>0</v>
      </c>
      <c r="S64" s="142">
        <f>SUMIFS(領用表!$L:$L,領用表!$E:$E,$B64,領用表!$B:$B,S$2&amp;$P$1)</f>
        <v>0</v>
      </c>
      <c r="T64" s="142">
        <f>SUMIFS(領用表!$L:$L,領用表!$E:$E,$B64,領用表!$B:$B,T$2&amp;$P$1)</f>
        <v>0</v>
      </c>
      <c r="U64" s="142">
        <f>SUMIFS(領用表!$L:$L,領用表!$E:$E,$B64,領用表!$B:$B,U$2&amp;$P$1)</f>
        <v>0</v>
      </c>
      <c r="V64" s="142">
        <f>SUMIFS(領用表!$L:$L,領用表!$E:$E,$B64,領用表!$B:$B,V$2&amp;$P$1)</f>
        <v>0</v>
      </c>
      <c r="W64" s="142">
        <f>SUMIFS(領用表!$L:$L,領用表!$E:$E,$B64,領用表!$B:$B,W$2&amp;$P$1)</f>
        <v>0</v>
      </c>
      <c r="X64" s="142">
        <f>SUMIFS(領用表!$L:$L,領用表!$E:$E,$B64,領用表!$B:$B,X$2&amp;$P$1)</f>
        <v>0</v>
      </c>
      <c r="Y64" s="142">
        <f>SUMIFS(領用表!$L:$L,領用表!$E:$E,$B64,領用表!$B:$B,Y$2&amp;$P$1)</f>
        <v>0</v>
      </c>
      <c r="Z64" s="142">
        <f>SUMIFS(領用表!$L:$L,領用表!$E:$E,$B64,領用表!$B:$B,Z$2&amp;$P$1)</f>
        <v>0</v>
      </c>
      <c r="AA64" s="142">
        <f>SUMIFS(領用表!$L:$L,領用表!$E:$E,$B64,領用表!$B:$B,AA$2&amp;$P$1)</f>
        <v>0</v>
      </c>
      <c r="AB64" s="142">
        <f t="shared" si="2"/>
        <v>0</v>
      </c>
      <c r="AC64" s="142">
        <f t="shared" si="3"/>
        <v>0</v>
      </c>
      <c r="AD64" s="142">
        <f>SUMIF(Summary!B:B,B64,Summary!DW:DW)</f>
        <v>0</v>
      </c>
      <c r="AE64" s="109"/>
      <c r="AF64" s="65"/>
      <c r="AG64" s="65"/>
      <c r="AH64" s="65"/>
      <c r="AI64" s="27"/>
      <c r="AJ64" s="27"/>
      <c r="AK64" s="14"/>
      <c r="AL64" s="29"/>
    </row>
    <row r="65" spans="1:38" ht="15.75" customHeight="1">
      <c r="A65" s="27"/>
      <c r="B65" s="14" t="e">
        <v>#N/A</v>
      </c>
      <c r="C65" s="136" t="s">
        <v>542</v>
      </c>
      <c r="D65" s="77"/>
      <c r="E65" s="17" t="s">
        <v>145</v>
      </c>
      <c r="F65" s="18"/>
      <c r="G65" s="18"/>
      <c r="H65" s="20">
        <f>SUMIFS(領用表!$L:$L,領用表!$E:$E,$B65,領用表!$B:$B,H$2&amp;$P$1)</f>
        <v>0</v>
      </c>
      <c r="I65" s="20">
        <f>SUMIFS(領用表!$L:$L,領用表!$E:$E,$B65,領用表!$B:$B,I$2&amp;$P$1)</f>
        <v>0</v>
      </c>
      <c r="J65" s="20">
        <f>SUMIFS(領用表!$L:$L,領用表!$E:$E,$B65,領用表!$B:$B,J$2&amp;$P$1)</f>
        <v>0</v>
      </c>
      <c r="K65" s="142">
        <f>SUMIFS(領用表!$L:$L,領用表!$E:$E,$B65,領用表!$B:$B,K$2&amp;$P$1)</f>
        <v>0</v>
      </c>
      <c r="L65" s="142">
        <f>SUMIFS(領用表!$L:$L,領用表!$E:$E,$B65,領用表!$B:$B,L$2&amp;$P$1)</f>
        <v>0</v>
      </c>
      <c r="M65" s="142">
        <f>SUMIFS(領用表!$L:$L,領用表!$E:$E,$B65,領用表!$B:$B,M$2&amp;$P$1)</f>
        <v>0</v>
      </c>
      <c r="N65" s="23">
        <f t="shared" si="0"/>
        <v>0</v>
      </c>
      <c r="O65" s="23">
        <f t="shared" si="1"/>
        <v>0</v>
      </c>
      <c r="P65" s="142">
        <f>SUMIFS(領用表!$L:$L,領用表!$E:$E,$B65,領用表!$B:$B,P$2&amp;$P$1)</f>
        <v>0</v>
      </c>
      <c r="Q65" s="142">
        <f>SUMIFS(領用表!$L:$L,領用表!$E:$E,$B65,領用表!$B:$B,Q$2&amp;$P$1)</f>
        <v>0</v>
      </c>
      <c r="R65" s="142">
        <f>SUMIFS(領用表!$L:$L,領用表!$E:$E,$B65,領用表!$B:$B,R$2&amp;$P$1)</f>
        <v>0</v>
      </c>
      <c r="S65" s="142">
        <f>SUMIFS(領用表!$L:$L,領用表!$E:$E,$B65,領用表!$B:$B,S$2&amp;$P$1)</f>
        <v>0</v>
      </c>
      <c r="T65" s="142">
        <f>SUMIFS(領用表!$L:$L,領用表!$E:$E,$B65,領用表!$B:$B,T$2&amp;$P$1)</f>
        <v>0</v>
      </c>
      <c r="U65" s="142">
        <f>SUMIFS(領用表!$L:$L,領用表!$E:$E,$B65,領用表!$B:$B,U$2&amp;$P$1)</f>
        <v>0</v>
      </c>
      <c r="V65" s="142">
        <f>SUMIFS(領用表!$L:$L,領用表!$E:$E,$B65,領用表!$B:$B,V$2&amp;$P$1)</f>
        <v>0</v>
      </c>
      <c r="W65" s="142">
        <f>SUMIFS(領用表!$L:$L,領用表!$E:$E,$B65,領用表!$B:$B,W$2&amp;$P$1)</f>
        <v>0</v>
      </c>
      <c r="X65" s="142">
        <f>SUMIFS(領用表!$L:$L,領用表!$E:$E,$B65,領用表!$B:$B,X$2&amp;$P$1)</f>
        <v>0</v>
      </c>
      <c r="Y65" s="142">
        <f>SUMIFS(領用表!$L:$L,領用表!$E:$E,$B65,領用表!$B:$B,Y$2&amp;$P$1)</f>
        <v>0</v>
      </c>
      <c r="Z65" s="142">
        <f>SUMIFS(領用表!$L:$L,領用表!$E:$E,$B65,領用表!$B:$B,Z$2&amp;$P$1)</f>
        <v>0</v>
      </c>
      <c r="AA65" s="142">
        <f>SUMIFS(領用表!$L:$L,領用表!$E:$E,$B65,領用表!$B:$B,AA$2&amp;$P$1)</f>
        <v>0</v>
      </c>
      <c r="AB65" s="142">
        <f t="shared" si="2"/>
        <v>0</v>
      </c>
      <c r="AC65" s="142">
        <f t="shared" si="3"/>
        <v>0</v>
      </c>
      <c r="AD65" s="142">
        <f>SUMIF(Summary!B:B,B65,Summary!DW:DW)</f>
        <v>0</v>
      </c>
      <c r="AE65" s="109"/>
      <c r="AF65" s="65"/>
      <c r="AG65" s="65"/>
      <c r="AH65" s="65"/>
      <c r="AI65" s="27"/>
      <c r="AJ65" s="27"/>
      <c r="AK65" s="14"/>
      <c r="AL65" s="29"/>
    </row>
    <row r="66" spans="1:38" ht="15.75" customHeight="1">
      <c r="A66" s="27"/>
      <c r="B66" s="14" t="e">
        <v>#N/A</v>
      </c>
      <c r="C66" s="136" t="s">
        <v>543</v>
      </c>
      <c r="D66" s="77"/>
      <c r="E66" s="17" t="s">
        <v>145</v>
      </c>
      <c r="F66" s="18"/>
      <c r="G66" s="18"/>
      <c r="H66" s="20">
        <f>SUMIFS(領用表!$L:$L,領用表!$E:$E,$B66,領用表!$B:$B,H$2&amp;$P$1)</f>
        <v>0</v>
      </c>
      <c r="I66" s="20">
        <f>SUMIFS(領用表!$L:$L,領用表!$E:$E,$B66,領用表!$B:$B,I$2&amp;$P$1)</f>
        <v>0</v>
      </c>
      <c r="J66" s="20">
        <f>SUMIFS(領用表!$L:$L,領用表!$E:$E,$B66,領用表!$B:$B,J$2&amp;$P$1)</f>
        <v>0</v>
      </c>
      <c r="K66" s="142">
        <f>SUMIFS(領用表!$L:$L,領用表!$E:$E,$B66,領用表!$B:$B,K$2&amp;$P$1)</f>
        <v>0</v>
      </c>
      <c r="L66" s="142">
        <f>SUMIFS(領用表!$L:$L,領用表!$E:$E,$B66,領用表!$B:$B,L$2&amp;$P$1)</f>
        <v>0</v>
      </c>
      <c r="M66" s="142">
        <f>SUMIFS(領用表!$L:$L,領用表!$E:$E,$B66,領用表!$B:$B,M$2&amp;$P$1)</f>
        <v>0</v>
      </c>
      <c r="N66" s="23">
        <f t="shared" si="0"/>
        <v>0</v>
      </c>
      <c r="O66" s="23">
        <f t="shared" si="1"/>
        <v>0</v>
      </c>
      <c r="P66" s="142">
        <f>SUMIFS(領用表!$L:$L,領用表!$E:$E,$B66,領用表!$B:$B,P$2&amp;$P$1)</f>
        <v>0</v>
      </c>
      <c r="Q66" s="142">
        <f>SUMIFS(領用表!$L:$L,領用表!$E:$E,$B66,領用表!$B:$B,Q$2&amp;$P$1)</f>
        <v>0</v>
      </c>
      <c r="R66" s="142">
        <f>SUMIFS(領用表!$L:$L,領用表!$E:$E,$B66,領用表!$B:$B,R$2&amp;$P$1)</f>
        <v>0</v>
      </c>
      <c r="S66" s="142">
        <f>SUMIFS(領用表!$L:$L,領用表!$E:$E,$B66,領用表!$B:$B,S$2&amp;$P$1)</f>
        <v>0</v>
      </c>
      <c r="T66" s="142">
        <f>SUMIFS(領用表!$L:$L,領用表!$E:$E,$B66,領用表!$B:$B,T$2&amp;$P$1)</f>
        <v>0</v>
      </c>
      <c r="U66" s="142">
        <f>SUMIFS(領用表!$L:$L,領用表!$E:$E,$B66,領用表!$B:$B,U$2&amp;$P$1)</f>
        <v>0</v>
      </c>
      <c r="V66" s="142">
        <f>SUMIFS(領用表!$L:$L,領用表!$E:$E,$B66,領用表!$B:$B,V$2&amp;$P$1)</f>
        <v>0</v>
      </c>
      <c r="W66" s="142">
        <f>SUMIFS(領用表!$L:$L,領用表!$E:$E,$B66,領用表!$B:$B,W$2&amp;$P$1)</f>
        <v>0</v>
      </c>
      <c r="X66" s="142">
        <f>SUMIFS(領用表!$L:$L,領用表!$E:$E,$B66,領用表!$B:$B,X$2&amp;$P$1)</f>
        <v>0</v>
      </c>
      <c r="Y66" s="142">
        <f>SUMIFS(領用表!$L:$L,領用表!$E:$E,$B66,領用表!$B:$B,Y$2&amp;$P$1)</f>
        <v>0</v>
      </c>
      <c r="Z66" s="142">
        <f>SUMIFS(領用表!$L:$L,領用表!$E:$E,$B66,領用表!$B:$B,Z$2&amp;$P$1)</f>
        <v>0</v>
      </c>
      <c r="AA66" s="142">
        <f>SUMIFS(領用表!$L:$L,領用表!$E:$E,$B66,領用表!$B:$B,AA$2&amp;$P$1)</f>
        <v>0</v>
      </c>
      <c r="AB66" s="142">
        <f t="shared" si="2"/>
        <v>0</v>
      </c>
      <c r="AC66" s="142">
        <f t="shared" si="3"/>
        <v>0</v>
      </c>
      <c r="AD66" s="142">
        <f>SUMIF(Summary!B:B,B66,Summary!DW:DW)</f>
        <v>0</v>
      </c>
      <c r="AE66" s="109"/>
      <c r="AF66" s="65"/>
      <c r="AG66" s="65"/>
      <c r="AH66" s="65"/>
      <c r="AI66" s="27"/>
      <c r="AJ66" s="27"/>
      <c r="AK66" s="14"/>
      <c r="AL66" s="29"/>
    </row>
    <row r="67" spans="1:38" ht="15.75" customHeight="1">
      <c r="A67" s="27"/>
      <c r="B67" s="14" t="e">
        <v>#N/A</v>
      </c>
      <c r="C67" s="136" t="s">
        <v>544</v>
      </c>
      <c r="D67" s="77"/>
      <c r="E67" s="17" t="s">
        <v>145</v>
      </c>
      <c r="F67" s="18"/>
      <c r="G67" s="18"/>
      <c r="H67" s="20">
        <f>SUMIFS(領用表!$L:$L,領用表!$E:$E,$B67,領用表!$B:$B,H$2&amp;$P$1)</f>
        <v>0</v>
      </c>
      <c r="I67" s="20">
        <f>SUMIFS(領用表!$L:$L,領用表!$E:$E,$B67,領用表!$B:$B,I$2&amp;$P$1)</f>
        <v>0</v>
      </c>
      <c r="J67" s="20">
        <f>SUMIFS(領用表!$L:$L,領用表!$E:$E,$B67,領用表!$B:$B,J$2&amp;$P$1)</f>
        <v>0</v>
      </c>
      <c r="K67" s="142">
        <f>SUMIFS(領用表!$L:$L,領用表!$E:$E,$B67,領用表!$B:$B,K$2&amp;$P$1)</f>
        <v>0</v>
      </c>
      <c r="L67" s="142">
        <f>SUMIFS(領用表!$L:$L,領用表!$E:$E,$B67,領用表!$B:$B,L$2&amp;$P$1)</f>
        <v>0</v>
      </c>
      <c r="M67" s="142">
        <f>SUMIFS(領用表!$L:$L,領用表!$E:$E,$B67,領用表!$B:$B,M$2&amp;$P$1)</f>
        <v>0</v>
      </c>
      <c r="N67" s="23">
        <f t="shared" si="0"/>
        <v>0</v>
      </c>
      <c r="O67" s="23">
        <f t="shared" si="1"/>
        <v>0</v>
      </c>
      <c r="P67" s="142">
        <f>SUMIFS(領用表!$L:$L,領用表!$E:$E,$B67,領用表!$B:$B,P$2&amp;$P$1)</f>
        <v>0</v>
      </c>
      <c r="Q67" s="142">
        <f>SUMIFS(領用表!$L:$L,領用表!$E:$E,$B67,領用表!$B:$B,Q$2&amp;$P$1)</f>
        <v>0</v>
      </c>
      <c r="R67" s="142">
        <f>SUMIFS(領用表!$L:$L,領用表!$E:$E,$B67,領用表!$B:$B,R$2&amp;$P$1)</f>
        <v>0</v>
      </c>
      <c r="S67" s="142">
        <f>SUMIFS(領用表!$L:$L,領用表!$E:$E,$B67,領用表!$B:$B,S$2&amp;$P$1)</f>
        <v>0</v>
      </c>
      <c r="T67" s="142">
        <f>SUMIFS(領用表!$L:$L,領用表!$E:$E,$B67,領用表!$B:$B,T$2&amp;$P$1)</f>
        <v>0</v>
      </c>
      <c r="U67" s="142">
        <f>SUMIFS(領用表!$L:$L,領用表!$E:$E,$B67,領用表!$B:$B,U$2&amp;$P$1)</f>
        <v>0</v>
      </c>
      <c r="V67" s="142">
        <f>SUMIFS(領用表!$L:$L,領用表!$E:$E,$B67,領用表!$B:$B,V$2&amp;$P$1)</f>
        <v>0</v>
      </c>
      <c r="W67" s="142">
        <f>SUMIFS(領用表!$L:$L,領用表!$E:$E,$B67,領用表!$B:$B,W$2&amp;$P$1)</f>
        <v>0</v>
      </c>
      <c r="X67" s="142">
        <f>SUMIFS(領用表!$L:$L,領用表!$E:$E,$B67,領用表!$B:$B,X$2&amp;$P$1)</f>
        <v>0</v>
      </c>
      <c r="Y67" s="142">
        <f>SUMIFS(領用表!$L:$L,領用表!$E:$E,$B67,領用表!$B:$B,Y$2&amp;$P$1)</f>
        <v>0</v>
      </c>
      <c r="Z67" s="142">
        <f>SUMIFS(領用表!$L:$L,領用表!$E:$E,$B67,領用表!$B:$B,Z$2&amp;$P$1)</f>
        <v>0</v>
      </c>
      <c r="AA67" s="142">
        <f>SUMIFS(領用表!$L:$L,領用表!$E:$E,$B67,領用表!$B:$B,AA$2&amp;$P$1)</f>
        <v>0</v>
      </c>
      <c r="AB67" s="142">
        <f t="shared" si="2"/>
        <v>0</v>
      </c>
      <c r="AC67" s="142">
        <f t="shared" si="3"/>
        <v>0</v>
      </c>
      <c r="AD67" s="142">
        <f>SUMIF(Summary!B:B,B67,Summary!DW:DW)</f>
        <v>0</v>
      </c>
      <c r="AE67" s="109"/>
      <c r="AF67" s="65"/>
      <c r="AG67" s="65"/>
      <c r="AH67" s="65"/>
      <c r="AI67" s="27"/>
      <c r="AJ67" s="27"/>
      <c r="AK67" s="14"/>
      <c r="AL67" s="29"/>
    </row>
    <row r="68" spans="1:38" ht="15.75" customHeight="1">
      <c r="A68" s="27"/>
      <c r="B68" s="14" t="e">
        <v>#N/A</v>
      </c>
      <c r="C68" s="136" t="s">
        <v>545</v>
      </c>
      <c r="D68" s="77"/>
      <c r="E68" s="17" t="s">
        <v>145</v>
      </c>
      <c r="F68" s="18"/>
      <c r="G68" s="18"/>
      <c r="H68" s="20">
        <f>SUMIFS(領用表!$L:$L,領用表!$E:$E,$B68,領用表!$B:$B,H$2&amp;$P$1)</f>
        <v>0</v>
      </c>
      <c r="I68" s="20">
        <f>SUMIFS(領用表!$L:$L,領用表!$E:$E,$B68,領用表!$B:$B,I$2&amp;$P$1)</f>
        <v>0</v>
      </c>
      <c r="J68" s="20">
        <f>SUMIFS(領用表!$L:$L,領用表!$E:$E,$B68,領用表!$B:$B,J$2&amp;$P$1)</f>
        <v>0</v>
      </c>
      <c r="K68" s="142">
        <f>SUMIFS(領用表!$L:$L,領用表!$E:$E,$B68,領用表!$B:$B,K$2&amp;$P$1)</f>
        <v>0</v>
      </c>
      <c r="L68" s="142">
        <f>SUMIFS(領用表!$L:$L,領用表!$E:$E,$B68,領用表!$B:$B,L$2&amp;$P$1)</f>
        <v>0</v>
      </c>
      <c r="M68" s="142">
        <f>SUMIFS(領用表!$L:$L,領用表!$E:$E,$B68,領用表!$B:$B,M$2&amp;$P$1)</f>
        <v>0</v>
      </c>
      <c r="N68" s="23">
        <f t="shared" si="0"/>
        <v>0</v>
      </c>
      <c r="O68" s="23">
        <f t="shared" si="1"/>
        <v>0</v>
      </c>
      <c r="P68" s="142">
        <f>SUMIFS(領用表!$L:$L,領用表!$E:$E,$B68,領用表!$B:$B,P$2&amp;$P$1)</f>
        <v>0</v>
      </c>
      <c r="Q68" s="142">
        <f>SUMIFS(領用表!$L:$L,領用表!$E:$E,$B68,領用表!$B:$B,Q$2&amp;$P$1)</f>
        <v>0</v>
      </c>
      <c r="R68" s="142">
        <f>SUMIFS(領用表!$L:$L,領用表!$E:$E,$B68,領用表!$B:$B,R$2&amp;$P$1)</f>
        <v>0</v>
      </c>
      <c r="S68" s="142">
        <f>SUMIFS(領用表!$L:$L,領用表!$E:$E,$B68,領用表!$B:$B,S$2&amp;$P$1)</f>
        <v>0</v>
      </c>
      <c r="T68" s="142">
        <f>SUMIFS(領用表!$L:$L,領用表!$E:$E,$B68,領用表!$B:$B,T$2&amp;$P$1)</f>
        <v>0</v>
      </c>
      <c r="U68" s="142">
        <f>SUMIFS(領用表!$L:$L,領用表!$E:$E,$B68,領用表!$B:$B,U$2&amp;$P$1)</f>
        <v>0</v>
      </c>
      <c r="V68" s="142">
        <f>SUMIFS(領用表!$L:$L,領用表!$E:$E,$B68,領用表!$B:$B,V$2&amp;$P$1)</f>
        <v>0</v>
      </c>
      <c r="W68" s="142">
        <f>SUMIFS(領用表!$L:$L,領用表!$E:$E,$B68,領用表!$B:$B,W$2&amp;$P$1)</f>
        <v>0</v>
      </c>
      <c r="X68" s="142">
        <f>SUMIFS(領用表!$L:$L,領用表!$E:$E,$B68,領用表!$B:$B,X$2&amp;$P$1)</f>
        <v>0</v>
      </c>
      <c r="Y68" s="142">
        <f>SUMIFS(領用表!$L:$L,領用表!$E:$E,$B68,領用表!$B:$B,Y$2&amp;$P$1)</f>
        <v>0</v>
      </c>
      <c r="Z68" s="142">
        <f>SUMIFS(領用表!$L:$L,領用表!$E:$E,$B68,領用表!$B:$B,Z$2&amp;$P$1)</f>
        <v>0</v>
      </c>
      <c r="AA68" s="142">
        <f>SUMIFS(領用表!$L:$L,領用表!$E:$E,$B68,領用表!$B:$B,AA$2&amp;$P$1)</f>
        <v>0</v>
      </c>
      <c r="AB68" s="142">
        <f t="shared" si="2"/>
        <v>0</v>
      </c>
      <c r="AC68" s="142">
        <f t="shared" si="3"/>
        <v>0</v>
      </c>
      <c r="AD68" s="142">
        <f>SUMIF(Summary!B:B,B68,Summary!DW:DW)</f>
        <v>0</v>
      </c>
      <c r="AE68" s="109"/>
      <c r="AF68" s="65"/>
      <c r="AG68" s="65"/>
      <c r="AH68" s="65"/>
      <c r="AI68" s="27"/>
      <c r="AJ68" s="27"/>
      <c r="AK68" s="14"/>
      <c r="AL68" s="29"/>
    </row>
    <row r="69" spans="1:38" ht="15.75" customHeight="1">
      <c r="A69" s="27"/>
      <c r="B69" s="14" t="e">
        <v>#N/A</v>
      </c>
      <c r="C69" s="136" t="s">
        <v>546</v>
      </c>
      <c r="D69" s="77"/>
      <c r="E69" s="17" t="s">
        <v>145</v>
      </c>
      <c r="F69" s="18"/>
      <c r="G69" s="18"/>
      <c r="H69" s="20">
        <f>SUMIFS(領用表!$L:$L,領用表!$E:$E,$B69,領用表!$B:$B,H$2&amp;$P$1)</f>
        <v>0</v>
      </c>
      <c r="I69" s="20">
        <f>SUMIFS(領用表!$L:$L,領用表!$E:$E,$B69,領用表!$B:$B,I$2&amp;$P$1)</f>
        <v>0</v>
      </c>
      <c r="J69" s="20">
        <f>SUMIFS(領用表!$L:$L,領用表!$E:$E,$B69,領用表!$B:$B,J$2&amp;$P$1)</f>
        <v>0</v>
      </c>
      <c r="K69" s="142">
        <f>SUMIFS(領用表!$L:$L,領用表!$E:$E,$B69,領用表!$B:$B,K$2&amp;$P$1)</f>
        <v>0</v>
      </c>
      <c r="L69" s="142">
        <f>SUMIFS(領用表!$L:$L,領用表!$E:$E,$B69,領用表!$B:$B,L$2&amp;$P$1)</f>
        <v>0</v>
      </c>
      <c r="M69" s="142">
        <f>SUMIFS(領用表!$L:$L,領用表!$E:$E,$B69,領用表!$B:$B,M$2&amp;$P$1)</f>
        <v>0</v>
      </c>
      <c r="N69" s="23">
        <f t="shared" si="0"/>
        <v>0</v>
      </c>
      <c r="O69" s="23">
        <f t="shared" si="1"/>
        <v>0</v>
      </c>
      <c r="P69" s="142">
        <f>SUMIFS(領用表!$L:$L,領用表!$E:$E,$B69,領用表!$B:$B,P$2&amp;$P$1)</f>
        <v>0</v>
      </c>
      <c r="Q69" s="142">
        <f>SUMIFS(領用表!$L:$L,領用表!$E:$E,$B69,領用表!$B:$B,Q$2&amp;$P$1)</f>
        <v>0</v>
      </c>
      <c r="R69" s="142">
        <f>SUMIFS(領用表!$L:$L,領用表!$E:$E,$B69,領用表!$B:$B,R$2&amp;$P$1)</f>
        <v>0</v>
      </c>
      <c r="S69" s="142">
        <f>SUMIFS(領用表!$L:$L,領用表!$E:$E,$B69,領用表!$B:$B,S$2&amp;$P$1)</f>
        <v>0</v>
      </c>
      <c r="T69" s="142">
        <f>SUMIFS(領用表!$L:$L,領用表!$E:$E,$B69,領用表!$B:$B,T$2&amp;$P$1)</f>
        <v>0</v>
      </c>
      <c r="U69" s="142">
        <f>SUMIFS(領用表!$L:$L,領用表!$E:$E,$B69,領用表!$B:$B,U$2&amp;$P$1)</f>
        <v>0</v>
      </c>
      <c r="V69" s="142">
        <f>SUMIFS(領用表!$L:$L,領用表!$E:$E,$B69,領用表!$B:$B,V$2&amp;$P$1)</f>
        <v>0</v>
      </c>
      <c r="W69" s="142">
        <f>SUMIFS(領用表!$L:$L,領用表!$E:$E,$B69,領用表!$B:$B,W$2&amp;$P$1)</f>
        <v>0</v>
      </c>
      <c r="X69" s="142">
        <f>SUMIFS(領用表!$L:$L,領用表!$E:$E,$B69,領用表!$B:$B,X$2&amp;$P$1)</f>
        <v>0</v>
      </c>
      <c r="Y69" s="142">
        <f>SUMIFS(領用表!$L:$L,領用表!$E:$E,$B69,領用表!$B:$B,Y$2&amp;$P$1)</f>
        <v>0</v>
      </c>
      <c r="Z69" s="142">
        <f>SUMIFS(領用表!$L:$L,領用表!$E:$E,$B69,領用表!$B:$B,Z$2&amp;$P$1)</f>
        <v>0</v>
      </c>
      <c r="AA69" s="142">
        <f>SUMIFS(領用表!$L:$L,領用表!$E:$E,$B69,領用表!$B:$B,AA$2&amp;$P$1)</f>
        <v>0</v>
      </c>
      <c r="AB69" s="142">
        <f t="shared" si="2"/>
        <v>0</v>
      </c>
      <c r="AC69" s="142">
        <f t="shared" si="3"/>
        <v>0</v>
      </c>
      <c r="AD69" s="142">
        <f>SUMIF(Summary!B:B,B69,Summary!DW:DW)</f>
        <v>0</v>
      </c>
      <c r="AE69" s="109"/>
      <c r="AF69" s="65"/>
      <c r="AG69" s="65"/>
      <c r="AH69" s="65"/>
      <c r="AI69" s="27"/>
      <c r="AJ69" s="27"/>
      <c r="AK69" s="14"/>
      <c r="AL69" s="29"/>
    </row>
    <row r="70" spans="1:38" s="154" customFormat="1" ht="15.75" customHeight="1">
      <c r="A70" s="434"/>
      <c r="B70" s="434"/>
      <c r="C70" s="435"/>
      <c r="D70" s="436"/>
      <c r="E70" s="437"/>
      <c r="F70" s="438"/>
      <c r="G70" s="438"/>
      <c r="H70" s="439"/>
      <c r="I70" s="440"/>
      <c r="J70" s="440"/>
      <c r="K70" s="150"/>
      <c r="L70" s="150"/>
      <c r="M70" s="150"/>
      <c r="N70" s="441"/>
      <c r="O70" s="441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442"/>
      <c r="AF70" s="443"/>
      <c r="AG70" s="443"/>
      <c r="AH70" s="443"/>
      <c r="AI70" s="434"/>
      <c r="AJ70" s="434"/>
      <c r="AK70" s="152"/>
      <c r="AL70" s="152"/>
    </row>
    <row r="71" spans="1:38" ht="15.75" customHeight="1">
      <c r="A71" s="27" t="s">
        <v>168</v>
      </c>
      <c r="B71" s="14">
        <v>6090001</v>
      </c>
      <c r="C71" s="136" t="s">
        <v>547</v>
      </c>
      <c r="D71" s="77"/>
      <c r="E71" s="17" t="s">
        <v>15</v>
      </c>
      <c r="F71" s="18"/>
      <c r="G71" s="18"/>
      <c r="H71" s="20">
        <f>SUMIFS(領用表!$L:$L,領用表!$E:$E,$B71,領用表!$B:$B,H$2&amp;$P$1)</f>
        <v>0</v>
      </c>
      <c r="I71" s="20">
        <f>SUMIFS(領用表!$L:$L,領用表!$E:$E,$B71,領用表!$B:$B,I$2&amp;$P$1)</f>
        <v>0</v>
      </c>
      <c r="J71" s="20">
        <f>SUMIFS(領用表!$L:$L,領用表!$E:$E,$B71,領用表!$B:$B,J$2&amp;$P$1)</f>
        <v>0</v>
      </c>
      <c r="K71" s="142">
        <f>SUMIFS(領用表!$L:$L,領用表!$E:$E,$B71,領用表!$B:$B,K$2&amp;$P$1)</f>
        <v>0</v>
      </c>
      <c r="L71" s="142">
        <f>SUMIFS(領用表!$L:$L,領用表!$E:$E,$B71,領用表!$B:$B,L$2&amp;$P$1)</f>
        <v>0</v>
      </c>
      <c r="M71" s="142">
        <f>SUMIFS(領用表!$L:$L,領用表!$E:$E,$B71,領用表!$B:$B,M$2&amp;$P$1)</f>
        <v>0</v>
      </c>
      <c r="N71" s="23">
        <f t="shared" si="0"/>
        <v>0</v>
      </c>
      <c r="O71" s="23">
        <f t="shared" si="1"/>
        <v>0</v>
      </c>
      <c r="P71" s="142">
        <f>SUMIFS(領用表!$L:$L,領用表!$E:$E,$B71,領用表!$B:$B,P$2&amp;$P$1)</f>
        <v>0</v>
      </c>
      <c r="Q71" s="142">
        <f>SUMIFS(領用表!$L:$L,領用表!$E:$E,$B71,領用表!$B:$B,Q$2&amp;$P$1)</f>
        <v>0</v>
      </c>
      <c r="R71" s="142">
        <f>SUMIFS(領用表!$L:$L,領用表!$E:$E,$B71,領用表!$B:$B,R$2&amp;$P$1)</f>
        <v>0</v>
      </c>
      <c r="S71" s="142">
        <f>SUMIFS(領用表!$L:$L,領用表!$E:$E,$B71,領用表!$B:$B,S$2&amp;$P$1)</f>
        <v>0</v>
      </c>
      <c r="T71" s="142">
        <f>SUMIFS(領用表!$L:$L,領用表!$E:$E,$B71,領用表!$B:$B,T$2&amp;$P$1)</f>
        <v>0</v>
      </c>
      <c r="U71" s="142">
        <f>SUMIFS(領用表!$L:$L,領用表!$E:$E,$B71,領用表!$B:$B,U$2&amp;$P$1)</f>
        <v>0</v>
      </c>
      <c r="V71" s="142">
        <f>SUMIFS(領用表!$L:$L,領用表!$E:$E,$B71,領用表!$B:$B,V$2&amp;$P$1)</f>
        <v>0</v>
      </c>
      <c r="W71" s="142">
        <f>SUMIFS(領用表!$L:$L,領用表!$E:$E,$B71,領用表!$B:$B,W$2&amp;$P$1)</f>
        <v>0</v>
      </c>
      <c r="X71" s="142">
        <f>SUMIFS(領用表!$L:$L,領用表!$E:$E,$B71,領用表!$B:$B,X$2&amp;$P$1)</f>
        <v>0</v>
      </c>
      <c r="Y71" s="142">
        <f>SUMIFS(領用表!$L:$L,領用表!$E:$E,$B71,領用表!$B:$B,Y$2&amp;$P$1)</f>
        <v>0</v>
      </c>
      <c r="Z71" s="142">
        <f>SUMIFS(領用表!$L:$L,領用表!$E:$E,$B71,領用表!$B:$B,Z$2&amp;$P$1)</f>
        <v>0</v>
      </c>
      <c r="AA71" s="142">
        <f>SUMIFS(領用表!$L:$L,領用表!$E:$E,$B71,領用表!$B:$B,AA$2&amp;$P$1)</f>
        <v>0</v>
      </c>
      <c r="AB71" s="142">
        <f t="shared" ref="AB71:AB131" si="12">SUM(P71,Q71,R71,S71,T71)</f>
        <v>0</v>
      </c>
      <c r="AC71" s="142">
        <f t="shared" ref="AC71:AC131" si="13">AVERAGE(P71,Q71,R71,S71,T71)</f>
        <v>0</v>
      </c>
      <c r="AD71" s="142">
        <f>SUMIF(Summary!B:B,B71,Summary!DW:DW)</f>
        <v>0</v>
      </c>
      <c r="AE71" s="109"/>
      <c r="AF71" s="76"/>
      <c r="AG71" s="76"/>
      <c r="AH71" s="76"/>
      <c r="AI71" s="27" t="s">
        <v>169</v>
      </c>
      <c r="AJ71" s="27"/>
      <c r="AK71" s="14"/>
      <c r="AL71" s="14"/>
    </row>
    <row r="72" spans="1:38" ht="15.75" customHeight="1">
      <c r="A72" s="78" t="s">
        <v>170</v>
      </c>
      <c r="B72" s="14">
        <v>6050006</v>
      </c>
      <c r="C72" s="136" t="s">
        <v>548</v>
      </c>
      <c r="D72" s="77"/>
      <c r="E72" s="17" t="s">
        <v>15</v>
      </c>
      <c r="F72" s="18"/>
      <c r="G72" s="18"/>
      <c r="H72" s="20">
        <f>SUMIFS(領用表!$L:$L,領用表!$E:$E,$B72,領用表!$B:$B,H$2&amp;$P$1)</f>
        <v>0</v>
      </c>
      <c r="I72" s="20">
        <f>SUMIFS(領用表!$L:$L,領用表!$E:$E,$B72,領用表!$B:$B,I$2&amp;$P$1)</f>
        <v>0</v>
      </c>
      <c r="J72" s="20">
        <f>SUMIFS(領用表!$L:$L,領用表!$E:$E,$B72,領用表!$B:$B,J$2&amp;$P$1)</f>
        <v>0</v>
      </c>
      <c r="K72" s="142">
        <f>SUMIFS(領用表!$L:$L,領用表!$E:$E,$B72,領用表!$B:$B,K$2&amp;$P$1)</f>
        <v>0</v>
      </c>
      <c r="L72" s="142">
        <f>SUMIFS(領用表!$L:$L,領用表!$E:$E,$B72,領用表!$B:$B,L$2&amp;$P$1)</f>
        <v>0</v>
      </c>
      <c r="M72" s="142">
        <f>SUMIFS(領用表!$L:$L,領用表!$E:$E,$B72,領用表!$B:$B,M$2&amp;$P$1)</f>
        <v>0</v>
      </c>
      <c r="N72" s="23">
        <f t="shared" si="0"/>
        <v>0</v>
      </c>
      <c r="O72" s="23">
        <f t="shared" si="1"/>
        <v>0</v>
      </c>
      <c r="P72" s="142">
        <f>SUMIFS(領用表!$L:$L,領用表!$E:$E,$B72,領用表!$B:$B,P$2&amp;$P$1)</f>
        <v>0</v>
      </c>
      <c r="Q72" s="405">
        <f>SUMIFS(領用表!$L:$L,領用表!$E:$E,$B72,領用表!$B:$B,Q$2&amp;$P$1)</f>
        <v>0</v>
      </c>
      <c r="R72" s="405">
        <f>SUMIFS(領用表!$L:$L,領用表!$E:$E,$B72,領用表!$B:$B,R$2&amp;$P$1)</f>
        <v>0</v>
      </c>
      <c r="S72" s="405">
        <f>SUMIFS(領用表!$L:$L,領用表!$E:$E,$B72,領用表!$B:$B,S$2&amp;$P$1)</f>
        <v>0</v>
      </c>
      <c r="T72" s="405">
        <f>SUMIFS(領用表!$L:$L,領用表!$E:$E,$B72,領用表!$B:$B,T$2&amp;$P$1)</f>
        <v>0</v>
      </c>
      <c r="U72" s="405">
        <f>SUMIFS(領用表!$L:$L,領用表!$E:$E,$B72,領用表!$B:$B,U$2&amp;$P$1)</f>
        <v>0</v>
      </c>
      <c r="V72" s="405">
        <f>SUMIFS(領用表!$L:$L,領用表!$E:$E,$B72,領用表!$B:$B,V$2&amp;$P$1)</f>
        <v>0</v>
      </c>
      <c r="W72" s="405">
        <f>SUMIFS(領用表!$L:$L,領用表!$E:$E,$B72,領用表!$B:$B,W$2&amp;$P$1)</f>
        <v>0</v>
      </c>
      <c r="X72" s="405">
        <f>SUMIFS(領用表!$L:$L,領用表!$E:$E,$B72,領用表!$B:$B,X$2&amp;$P$1)</f>
        <v>0</v>
      </c>
      <c r="Y72" s="405">
        <f>SUMIFS(領用表!$L:$L,領用表!$E:$E,$B72,領用表!$B:$B,Y$2&amp;$P$1)</f>
        <v>0</v>
      </c>
      <c r="Z72" s="405">
        <f>SUMIFS(領用表!$L:$L,領用表!$E:$E,$B72,領用表!$B:$B,Z$2&amp;$P$1)</f>
        <v>0</v>
      </c>
      <c r="AA72" s="405">
        <f>SUMIFS(領用表!$L:$L,領用表!$E:$E,$B72,領用表!$B:$B,AA$2&amp;$P$1)</f>
        <v>0</v>
      </c>
      <c r="AB72" s="405">
        <f t="shared" si="12"/>
        <v>0</v>
      </c>
      <c r="AC72" s="405">
        <f t="shared" si="13"/>
        <v>0</v>
      </c>
      <c r="AD72" s="405">
        <f>SUMIF(Summary!B:B,B72,Summary!DW:DW)</f>
        <v>0</v>
      </c>
      <c r="AF72" s="80"/>
      <c r="AG72" s="76"/>
      <c r="AH72" s="76"/>
    </row>
    <row r="73" spans="1:38" ht="15.75" hidden="1" customHeight="1">
      <c r="A73" s="27" t="s">
        <v>171</v>
      </c>
      <c r="B73" s="14" t="e">
        <v>#N/A</v>
      </c>
      <c r="C73" s="136" t="s">
        <v>549</v>
      </c>
      <c r="D73" s="77"/>
      <c r="E73" s="17" t="s">
        <v>15</v>
      </c>
      <c r="F73" s="18"/>
      <c r="G73" s="18"/>
      <c r="H73" s="20">
        <f>SUMIFS(領用表!$L:$L,領用表!$E:$E,$B73,領用表!$B:$B,H$2&amp;$P$1)</f>
        <v>0</v>
      </c>
      <c r="I73" s="20">
        <f>SUMIFS(領用表!$L:$L,領用表!$E:$E,$B73,領用表!$B:$B,I$2&amp;$P$1)</f>
        <v>0</v>
      </c>
      <c r="J73" s="20">
        <f>SUMIFS(領用表!$L:$L,領用表!$E:$E,$B73,領用表!$B:$B,J$2&amp;$P$1)</f>
        <v>0</v>
      </c>
      <c r="K73" s="142">
        <f>SUMIFS(領用表!$L:$L,領用表!$E:$E,$B73,領用表!$B:$B,K$2&amp;$P$1)</f>
        <v>0</v>
      </c>
      <c r="L73" s="142">
        <f>SUMIFS(領用表!$L:$L,領用表!$E:$E,$B73,領用表!$B:$B,L$2&amp;$P$1)</f>
        <v>0</v>
      </c>
      <c r="M73" s="142">
        <f>SUMIFS(領用表!$L:$L,領用表!$E:$E,$B73,領用表!$B:$B,M$2&amp;$P$1)</f>
        <v>0</v>
      </c>
      <c r="N73" s="23">
        <f t="shared" si="0"/>
        <v>0</v>
      </c>
      <c r="O73" s="23">
        <f t="shared" si="1"/>
        <v>0</v>
      </c>
      <c r="P73" s="142">
        <f>SUMIFS(領用表!$L:$L,領用表!$E:$E,$B73,領用表!$B:$B,P$2&amp;$P$1)</f>
        <v>0</v>
      </c>
      <c r="Q73" s="142">
        <f>SUMIFS(領用表!$L:$L,領用表!$E:$E,$B73,領用表!$B:$B,Q$2&amp;$P$1)</f>
        <v>0</v>
      </c>
      <c r="R73" s="142">
        <f>SUMIFS(領用表!$L:$L,領用表!$E:$E,$B73,領用表!$B:$B,R$2&amp;$P$1)</f>
        <v>0</v>
      </c>
      <c r="S73" s="142">
        <f>SUMIFS(領用表!$L:$L,領用表!$E:$E,$B73,領用表!$B:$B,S$2&amp;$P$1)</f>
        <v>0</v>
      </c>
      <c r="T73" s="142">
        <f>SUMIFS(領用表!$L:$L,領用表!$E:$E,$B73,領用表!$B:$B,T$2&amp;$P$1)</f>
        <v>0</v>
      </c>
      <c r="U73" s="142">
        <f>SUMIFS(領用表!$L:$L,領用表!$E:$E,$B73,領用表!$B:$B,U$2&amp;$P$1)</f>
        <v>0</v>
      </c>
      <c r="V73" s="142">
        <f>SUMIFS(領用表!$L:$L,領用表!$E:$E,$B73,領用表!$B:$B,V$2&amp;$P$1)</f>
        <v>0</v>
      </c>
      <c r="W73" s="142">
        <f>SUMIFS(領用表!$L:$L,領用表!$E:$E,$B73,領用表!$B:$B,W$2&amp;$P$1)</f>
        <v>0</v>
      </c>
      <c r="X73" s="142">
        <f>SUMIFS(領用表!$L:$L,領用表!$E:$E,$B73,領用表!$B:$B,X$2&amp;$P$1)</f>
        <v>0</v>
      </c>
      <c r="Y73" s="142">
        <f>SUMIFS(領用表!$L:$L,領用表!$E:$E,$B73,領用表!$B:$B,Y$2&amp;$P$1)</f>
        <v>0</v>
      </c>
      <c r="Z73" s="142">
        <f>SUMIFS(領用表!$L:$L,領用表!$E:$E,$B73,領用表!$B:$B,Z$2&amp;$P$1)</f>
        <v>0</v>
      </c>
      <c r="AA73" s="142">
        <f>SUMIFS(領用表!$L:$L,領用表!$E:$E,$B73,領用表!$B:$B,AA$2&amp;$P$1)</f>
        <v>0</v>
      </c>
      <c r="AB73" s="142">
        <f t="shared" si="12"/>
        <v>0</v>
      </c>
      <c r="AC73" s="142">
        <f t="shared" si="13"/>
        <v>0</v>
      </c>
      <c r="AD73" s="142">
        <f>SUMIF(Summary!B:B,B73,Summary!DW:DW)</f>
        <v>0</v>
      </c>
      <c r="AE73" s="109"/>
      <c r="AF73" s="65"/>
      <c r="AG73" s="76"/>
      <c r="AH73" s="76"/>
      <c r="AI73" s="27"/>
      <c r="AJ73" s="27"/>
      <c r="AK73" s="14"/>
      <c r="AL73" s="14"/>
    </row>
    <row r="74" spans="1:38" ht="15.75" hidden="1" customHeight="1">
      <c r="A74" s="27" t="s">
        <v>172</v>
      </c>
      <c r="B74" s="14">
        <v>6050005</v>
      </c>
      <c r="C74" s="136" t="s">
        <v>550</v>
      </c>
      <c r="D74" s="77"/>
      <c r="E74" s="17" t="s">
        <v>15</v>
      </c>
      <c r="F74" s="18"/>
      <c r="G74" s="18"/>
      <c r="H74" s="20">
        <f>SUMIFS(領用表!$L:$L,領用表!$E:$E,$B74,領用表!$B:$B,H$2&amp;$P$1)</f>
        <v>0</v>
      </c>
      <c r="I74" s="20">
        <f>SUMIFS(領用表!$L:$L,領用表!$E:$E,$B74,領用表!$B:$B,I$2&amp;$P$1)</f>
        <v>0</v>
      </c>
      <c r="J74" s="20">
        <f>SUMIFS(領用表!$L:$L,領用表!$E:$E,$B74,領用表!$B:$B,J$2&amp;$P$1)</f>
        <v>0</v>
      </c>
      <c r="K74" s="142">
        <f>SUMIFS(領用表!$L:$L,領用表!$E:$E,$B74,領用表!$B:$B,K$2&amp;$P$1)</f>
        <v>0</v>
      </c>
      <c r="L74" s="142">
        <f>SUMIFS(領用表!$L:$L,領用表!$E:$E,$B74,領用表!$B:$B,L$2&amp;$P$1)</f>
        <v>0</v>
      </c>
      <c r="M74" s="142">
        <f>SUMIFS(領用表!$L:$L,領用表!$E:$E,$B74,領用表!$B:$B,M$2&amp;$P$1)</f>
        <v>0</v>
      </c>
      <c r="N74" s="23">
        <f t="shared" si="0"/>
        <v>0</v>
      </c>
      <c r="O74" s="23">
        <f t="shared" si="1"/>
        <v>0</v>
      </c>
      <c r="P74" s="142">
        <f>SUMIFS(領用表!$L:$L,領用表!$E:$E,$B74,領用表!$B:$B,P$2&amp;$P$1)</f>
        <v>0</v>
      </c>
      <c r="Q74" s="142">
        <f>SUMIFS(領用表!$L:$L,領用表!$E:$E,$B74,領用表!$B:$B,Q$2&amp;$P$1)</f>
        <v>0</v>
      </c>
      <c r="R74" s="142">
        <f>SUMIFS(領用表!$L:$L,領用表!$E:$E,$B74,領用表!$B:$B,R$2&amp;$P$1)</f>
        <v>0</v>
      </c>
      <c r="S74" s="142">
        <f>SUMIFS(領用表!$L:$L,領用表!$E:$E,$B74,領用表!$B:$B,S$2&amp;$P$1)</f>
        <v>0</v>
      </c>
      <c r="T74" s="142">
        <f>SUMIFS(領用表!$L:$L,領用表!$E:$E,$B74,領用表!$B:$B,T$2&amp;$P$1)</f>
        <v>0</v>
      </c>
      <c r="U74" s="142">
        <f>SUMIFS(領用表!$L:$L,領用表!$E:$E,$B74,領用表!$B:$B,U$2&amp;$P$1)</f>
        <v>0</v>
      </c>
      <c r="V74" s="142">
        <f>SUMIFS(領用表!$L:$L,領用表!$E:$E,$B74,領用表!$B:$B,V$2&amp;$P$1)</f>
        <v>0</v>
      </c>
      <c r="W74" s="142">
        <f>SUMIFS(領用表!$L:$L,領用表!$E:$E,$B74,領用表!$B:$B,W$2&amp;$P$1)</f>
        <v>0</v>
      </c>
      <c r="X74" s="142">
        <f>SUMIFS(領用表!$L:$L,領用表!$E:$E,$B74,領用表!$B:$B,X$2&amp;$P$1)</f>
        <v>0</v>
      </c>
      <c r="Y74" s="142">
        <f>SUMIFS(領用表!$L:$L,領用表!$E:$E,$B74,領用表!$B:$B,Y$2&amp;$P$1)</f>
        <v>0</v>
      </c>
      <c r="Z74" s="142">
        <f>SUMIFS(領用表!$L:$L,領用表!$E:$E,$B74,領用表!$B:$B,Z$2&amp;$P$1)</f>
        <v>0</v>
      </c>
      <c r="AA74" s="142">
        <f>SUMIFS(領用表!$L:$L,領用表!$E:$E,$B74,領用表!$B:$B,AA$2&amp;$P$1)</f>
        <v>0</v>
      </c>
      <c r="AB74" s="142">
        <f t="shared" si="12"/>
        <v>0</v>
      </c>
      <c r="AC74" s="142">
        <f t="shared" si="13"/>
        <v>0</v>
      </c>
      <c r="AD74" s="142">
        <f>SUMIF(Summary!B:B,B74,Summary!DW:DW)</f>
        <v>0</v>
      </c>
      <c r="AE74" s="109"/>
      <c r="AF74" s="65"/>
      <c r="AG74" s="76"/>
      <c r="AH74" s="76"/>
    </row>
    <row r="75" spans="1:38" ht="15.75" hidden="1" customHeight="1">
      <c r="A75" s="27" t="s">
        <v>173</v>
      </c>
      <c r="B75" s="14">
        <v>1080002</v>
      </c>
      <c r="C75" s="136" t="s">
        <v>551</v>
      </c>
      <c r="D75" s="77"/>
      <c r="E75" s="17" t="s">
        <v>15</v>
      </c>
      <c r="F75" s="18"/>
      <c r="G75" s="18"/>
      <c r="H75" s="20">
        <f>SUMIFS(領用表!$L:$L,領用表!$E:$E,$B75,領用表!$B:$B,H$2&amp;$P$1)</f>
        <v>0</v>
      </c>
      <c r="I75" s="20">
        <f>SUMIFS(領用表!$L:$L,領用表!$E:$E,$B75,領用表!$B:$B,I$2&amp;$P$1)</f>
        <v>0</v>
      </c>
      <c r="J75" s="20">
        <f>SUMIFS(領用表!$L:$L,領用表!$E:$E,$B75,領用表!$B:$B,J$2&amp;$P$1)</f>
        <v>0</v>
      </c>
      <c r="K75" s="142">
        <f>SUMIFS(領用表!$L:$L,領用表!$E:$E,$B75,領用表!$B:$B,K$2&amp;$P$1)</f>
        <v>0</v>
      </c>
      <c r="L75" s="142">
        <f>SUMIFS(領用表!$L:$L,領用表!$E:$E,$B75,領用表!$B:$B,L$2&amp;$P$1)</f>
        <v>0</v>
      </c>
      <c r="M75" s="142">
        <f>SUMIFS(領用表!$L:$L,領用表!$E:$E,$B75,領用表!$B:$B,M$2&amp;$P$1)</f>
        <v>0</v>
      </c>
      <c r="N75" s="23">
        <f t="shared" si="0"/>
        <v>0</v>
      </c>
      <c r="O75" s="23">
        <f t="shared" si="1"/>
        <v>0</v>
      </c>
      <c r="P75" s="142">
        <f>SUMIFS(領用表!$L:$L,領用表!$E:$E,$B75,領用表!$B:$B,P$2&amp;$P$1)</f>
        <v>0</v>
      </c>
      <c r="Q75" s="142">
        <f>SUMIFS(領用表!$L:$L,領用表!$E:$E,$B75,領用表!$B:$B,Q$2&amp;$P$1)</f>
        <v>0</v>
      </c>
      <c r="R75" s="142">
        <f>SUMIFS(領用表!$L:$L,領用表!$E:$E,$B75,領用表!$B:$B,R$2&amp;$P$1)</f>
        <v>0</v>
      </c>
      <c r="S75" s="142">
        <f>SUMIFS(領用表!$L:$L,領用表!$E:$E,$B75,領用表!$B:$B,S$2&amp;$P$1)</f>
        <v>0</v>
      </c>
      <c r="T75" s="142">
        <f>SUMIFS(領用表!$L:$L,領用表!$E:$E,$B75,領用表!$B:$B,T$2&amp;$P$1)</f>
        <v>0</v>
      </c>
      <c r="U75" s="142">
        <f>SUMIFS(領用表!$L:$L,領用表!$E:$E,$B75,領用表!$B:$B,U$2&amp;$P$1)</f>
        <v>0</v>
      </c>
      <c r="V75" s="142">
        <f>SUMIFS(領用表!$L:$L,領用表!$E:$E,$B75,領用表!$B:$B,V$2&amp;$P$1)</f>
        <v>0</v>
      </c>
      <c r="W75" s="142">
        <f>SUMIFS(領用表!$L:$L,領用表!$E:$E,$B75,領用表!$B:$B,W$2&amp;$P$1)</f>
        <v>0</v>
      </c>
      <c r="X75" s="142">
        <f>SUMIFS(領用表!$L:$L,領用表!$E:$E,$B75,領用表!$B:$B,X$2&amp;$P$1)</f>
        <v>0</v>
      </c>
      <c r="Y75" s="142">
        <f>SUMIFS(領用表!$L:$L,領用表!$E:$E,$B75,領用表!$B:$B,Y$2&amp;$P$1)</f>
        <v>0</v>
      </c>
      <c r="Z75" s="142">
        <f>SUMIFS(領用表!$L:$L,領用表!$E:$E,$B75,領用表!$B:$B,Z$2&amp;$P$1)</f>
        <v>0</v>
      </c>
      <c r="AA75" s="142">
        <f>SUMIFS(領用表!$L:$L,領用表!$E:$E,$B75,領用表!$B:$B,AA$2&amp;$P$1)</f>
        <v>0</v>
      </c>
      <c r="AB75" s="142">
        <f t="shared" si="12"/>
        <v>0</v>
      </c>
      <c r="AC75" s="142">
        <f t="shared" si="13"/>
        <v>0</v>
      </c>
      <c r="AD75" s="142">
        <f>SUMIF(Summary!B:B,B75,Summary!DW:DW)</f>
        <v>0</v>
      </c>
      <c r="AE75" s="109"/>
      <c r="AF75" s="65"/>
      <c r="AG75" s="76"/>
      <c r="AH75" s="76"/>
      <c r="AI75" s="27"/>
      <c r="AJ75" s="27"/>
      <c r="AK75" s="14"/>
      <c r="AL75" s="14"/>
    </row>
    <row r="76" spans="1:38" ht="15.75" customHeight="1">
      <c r="A76" s="27" t="s">
        <v>174</v>
      </c>
      <c r="B76" s="14">
        <v>1080006</v>
      </c>
      <c r="C76" s="136" t="s">
        <v>552</v>
      </c>
      <c r="D76" s="77"/>
      <c r="E76" s="17" t="s">
        <v>15</v>
      </c>
      <c r="F76" s="18"/>
      <c r="G76" s="18"/>
      <c r="H76" s="20">
        <f>SUMIFS(領用表!$L:$L,領用表!$E:$E,$B76,領用表!$B:$B,H$2&amp;$P$1)</f>
        <v>0</v>
      </c>
      <c r="I76" s="20">
        <f>SUMIFS(領用表!$L:$L,領用表!$E:$E,$B76,領用表!$B:$B,I$2&amp;$P$1)</f>
        <v>0</v>
      </c>
      <c r="J76" s="20">
        <f>SUMIFS(領用表!$L:$L,領用表!$E:$E,$B76,領用表!$B:$B,J$2&amp;$P$1)</f>
        <v>0</v>
      </c>
      <c r="K76" s="142">
        <f>SUMIFS(領用表!$L:$L,領用表!$E:$E,$B76,領用表!$B:$B,K$2&amp;$P$1)</f>
        <v>0</v>
      </c>
      <c r="L76" s="142">
        <f>SUMIFS(領用表!$L:$L,領用表!$E:$E,$B76,領用表!$B:$B,L$2&amp;$P$1)</f>
        <v>0</v>
      </c>
      <c r="M76" s="142">
        <f>SUMIFS(領用表!$L:$L,領用表!$E:$E,$B76,領用表!$B:$B,M$2&amp;$P$1)</f>
        <v>0</v>
      </c>
      <c r="N76" s="23">
        <f t="shared" ref="N76:N129" si="14">SUM(,H76,I76,J76,K76,L76,M76)</f>
        <v>0</v>
      </c>
      <c r="O76" s="23">
        <f t="shared" ref="O76:O129" si="15">AVERAGE(,H76,I76,J76,K76,L76,M76)</f>
        <v>0</v>
      </c>
      <c r="P76" s="142">
        <f>SUMIFS(領用表!$L:$L,領用表!$E:$E,$B76,領用表!$B:$B,P$2&amp;$P$1)</f>
        <v>0</v>
      </c>
      <c r="Q76" s="142">
        <f>SUMIFS(領用表!$L:$L,領用表!$E:$E,$B76,領用表!$B:$B,Q$2&amp;$P$1)</f>
        <v>0</v>
      </c>
      <c r="R76" s="142">
        <f>SUMIFS(領用表!$L:$L,領用表!$E:$E,$B76,領用表!$B:$B,R$2&amp;$P$1)</f>
        <v>0</v>
      </c>
      <c r="S76" s="142">
        <f>SUMIFS(領用表!$L:$L,領用表!$E:$E,$B76,領用表!$B:$B,S$2&amp;$P$1)</f>
        <v>0</v>
      </c>
      <c r="T76" s="142">
        <f>SUMIFS(領用表!$L:$L,領用表!$E:$E,$B76,領用表!$B:$B,T$2&amp;$P$1)</f>
        <v>0</v>
      </c>
      <c r="U76" s="142">
        <f>SUMIFS(領用表!$L:$L,領用表!$E:$E,$B76,領用表!$B:$B,U$2&amp;$P$1)</f>
        <v>0</v>
      </c>
      <c r="V76" s="142">
        <f>SUMIFS(領用表!$L:$L,領用表!$E:$E,$B76,領用表!$B:$B,V$2&amp;$P$1)</f>
        <v>0</v>
      </c>
      <c r="W76" s="142">
        <f>SUMIFS(領用表!$L:$L,領用表!$E:$E,$B76,領用表!$B:$B,W$2&amp;$P$1)</f>
        <v>0</v>
      </c>
      <c r="X76" s="142">
        <f>SUMIFS(領用表!$L:$L,領用表!$E:$E,$B76,領用表!$B:$B,X$2&amp;$P$1)</f>
        <v>0</v>
      </c>
      <c r="Y76" s="142">
        <f>SUMIFS(領用表!$L:$L,領用表!$E:$E,$B76,領用表!$B:$B,Y$2&amp;$P$1)</f>
        <v>0</v>
      </c>
      <c r="Z76" s="142">
        <f>SUMIFS(領用表!$L:$L,領用表!$E:$E,$B76,領用表!$B:$B,Z$2&amp;$P$1)</f>
        <v>0</v>
      </c>
      <c r="AA76" s="142">
        <f>SUMIFS(領用表!$L:$L,領用表!$E:$E,$B76,領用表!$B:$B,AA$2&amp;$P$1)</f>
        <v>0</v>
      </c>
      <c r="AB76" s="142">
        <f t="shared" si="12"/>
        <v>0</v>
      </c>
      <c r="AC76" s="142">
        <f t="shared" si="13"/>
        <v>0</v>
      </c>
      <c r="AD76" s="142">
        <f>SUMIF(Summary!B:B,B76,Summary!DW:DW)</f>
        <v>0</v>
      </c>
      <c r="AE76" s="109"/>
      <c r="AF76" s="65"/>
      <c r="AG76" s="76"/>
      <c r="AH76" s="76"/>
    </row>
    <row r="77" spans="1:38" ht="15.75" customHeight="1">
      <c r="A77" s="27" t="s">
        <v>175</v>
      </c>
      <c r="B77" s="14" t="e">
        <v>#N/A</v>
      </c>
      <c r="C77" s="136" t="s">
        <v>553</v>
      </c>
      <c r="D77" s="77"/>
      <c r="E77" s="17" t="s">
        <v>15</v>
      </c>
      <c r="F77" s="18"/>
      <c r="G77" s="18"/>
      <c r="H77" s="20">
        <f>SUMIFS(領用表!$L:$L,領用表!$E:$E,$B77,領用表!$B:$B,H$2&amp;$P$1)</f>
        <v>0</v>
      </c>
      <c r="I77" s="20">
        <f>SUMIFS(領用表!$L:$L,領用表!$E:$E,$B77,領用表!$B:$B,I$2&amp;$P$1)</f>
        <v>0</v>
      </c>
      <c r="J77" s="20">
        <f>SUMIFS(領用表!$L:$L,領用表!$E:$E,$B77,領用表!$B:$B,J$2&amp;$P$1)</f>
        <v>0</v>
      </c>
      <c r="K77" s="142">
        <f>SUMIFS(領用表!$L:$L,領用表!$E:$E,$B77,領用表!$B:$B,K$2&amp;$P$1)</f>
        <v>0</v>
      </c>
      <c r="L77" s="142">
        <f>SUMIFS(領用表!$L:$L,領用表!$E:$E,$B77,領用表!$B:$B,L$2&amp;$P$1)</f>
        <v>0</v>
      </c>
      <c r="M77" s="142">
        <f>SUMIFS(領用表!$L:$L,領用表!$E:$E,$B77,領用表!$B:$B,M$2&amp;$P$1)</f>
        <v>0</v>
      </c>
      <c r="N77" s="23">
        <f t="shared" si="14"/>
        <v>0</v>
      </c>
      <c r="O77" s="23">
        <f t="shared" si="15"/>
        <v>0</v>
      </c>
      <c r="P77" s="142">
        <f>SUMIFS(領用表!$L:$L,領用表!$E:$E,$B77,領用表!$B:$B,P$2&amp;$P$1)</f>
        <v>0</v>
      </c>
      <c r="Q77" s="142">
        <f>SUMIFS(領用表!$L:$L,領用表!$E:$E,$B77,領用表!$B:$B,Q$2&amp;$P$1)</f>
        <v>0</v>
      </c>
      <c r="R77" s="142">
        <f>SUMIFS(領用表!$L:$L,領用表!$E:$E,$B77,領用表!$B:$B,R$2&amp;$P$1)</f>
        <v>0</v>
      </c>
      <c r="S77" s="142">
        <f>SUMIFS(領用表!$L:$L,領用表!$E:$E,$B77,領用表!$B:$B,S$2&amp;$P$1)</f>
        <v>0</v>
      </c>
      <c r="T77" s="142">
        <f>SUMIFS(領用表!$L:$L,領用表!$E:$E,$B77,領用表!$B:$B,T$2&amp;$P$1)</f>
        <v>0</v>
      </c>
      <c r="U77" s="142">
        <f>SUMIFS(領用表!$L:$L,領用表!$E:$E,$B77,領用表!$B:$B,U$2&amp;$P$1)</f>
        <v>0</v>
      </c>
      <c r="V77" s="142">
        <f>SUMIFS(領用表!$L:$L,領用表!$E:$E,$B77,領用表!$B:$B,V$2&amp;$P$1)</f>
        <v>0</v>
      </c>
      <c r="W77" s="142">
        <f>SUMIFS(領用表!$L:$L,領用表!$E:$E,$B77,領用表!$B:$B,W$2&amp;$P$1)</f>
        <v>0</v>
      </c>
      <c r="X77" s="142">
        <f>SUMIFS(領用表!$L:$L,領用表!$E:$E,$B77,領用表!$B:$B,X$2&amp;$P$1)</f>
        <v>0</v>
      </c>
      <c r="Y77" s="142">
        <f>SUMIFS(領用表!$L:$L,領用表!$E:$E,$B77,領用表!$B:$B,Y$2&amp;$P$1)</f>
        <v>0</v>
      </c>
      <c r="Z77" s="142">
        <f>SUMIFS(領用表!$L:$L,領用表!$E:$E,$B77,領用表!$B:$B,Z$2&amp;$P$1)</f>
        <v>0</v>
      </c>
      <c r="AA77" s="142">
        <f>SUMIFS(領用表!$L:$L,領用表!$E:$E,$B77,領用表!$B:$B,AA$2&amp;$P$1)</f>
        <v>0</v>
      </c>
      <c r="AB77" s="142">
        <f t="shared" si="12"/>
        <v>0</v>
      </c>
      <c r="AC77" s="142">
        <f t="shared" si="13"/>
        <v>0</v>
      </c>
      <c r="AD77" s="142">
        <f>SUMIF(Summary!B:B,B77,Summary!DW:DW)</f>
        <v>0</v>
      </c>
      <c r="AE77" s="109"/>
      <c r="AF77" s="65"/>
      <c r="AG77" s="76"/>
      <c r="AH77" s="76"/>
    </row>
    <row r="78" spans="1:38" ht="15.75" customHeight="1">
      <c r="A78" s="27" t="s">
        <v>176</v>
      </c>
      <c r="B78" s="14">
        <v>6080005</v>
      </c>
      <c r="C78" s="136" t="s">
        <v>554</v>
      </c>
      <c r="D78" s="77"/>
      <c r="E78" s="17" t="s">
        <v>15</v>
      </c>
      <c r="F78" s="18"/>
      <c r="G78" s="18"/>
      <c r="H78" s="20">
        <f>SUMIFS(領用表!$L:$L,領用表!$E:$E,$B78,領用表!$B:$B,H$2&amp;$P$1)</f>
        <v>0</v>
      </c>
      <c r="I78" s="20">
        <f>SUMIFS(領用表!$L:$L,領用表!$E:$E,$B78,領用表!$B:$B,I$2&amp;$P$1)</f>
        <v>0</v>
      </c>
      <c r="J78" s="20">
        <f>SUMIFS(領用表!$L:$L,領用表!$E:$E,$B78,領用表!$B:$B,J$2&amp;$P$1)</f>
        <v>0</v>
      </c>
      <c r="K78" s="142">
        <f>SUMIFS(領用表!$L:$L,領用表!$E:$E,$B78,領用表!$B:$B,K$2&amp;$P$1)</f>
        <v>0</v>
      </c>
      <c r="L78" s="142">
        <f>SUMIFS(領用表!$L:$L,領用表!$E:$E,$B78,領用表!$B:$B,L$2&amp;$P$1)</f>
        <v>0</v>
      </c>
      <c r="M78" s="142">
        <f>SUMIFS(領用表!$L:$L,領用表!$E:$E,$B78,領用表!$B:$B,M$2&amp;$P$1)</f>
        <v>0</v>
      </c>
      <c r="N78" s="23">
        <f t="shared" si="14"/>
        <v>0</v>
      </c>
      <c r="O78" s="23">
        <f t="shared" si="15"/>
        <v>0</v>
      </c>
      <c r="P78" s="142">
        <f>SUMIFS(領用表!$L:$L,領用表!$E:$E,$B78,領用表!$B:$B,P$2&amp;$P$1)</f>
        <v>0</v>
      </c>
      <c r="Q78" s="142">
        <f>SUMIFS(領用表!$L:$L,領用表!$E:$E,$B78,領用表!$B:$B,Q$2&amp;$P$1)</f>
        <v>0</v>
      </c>
      <c r="R78" s="142">
        <f>SUMIFS(領用表!$L:$L,領用表!$E:$E,$B78,領用表!$B:$B,R$2&amp;$P$1)</f>
        <v>0</v>
      </c>
      <c r="S78" s="142">
        <f>SUMIFS(領用表!$L:$L,領用表!$E:$E,$B78,領用表!$B:$B,S$2&amp;$P$1)</f>
        <v>0</v>
      </c>
      <c r="T78" s="142">
        <f>SUMIFS(領用表!$L:$L,領用表!$E:$E,$B78,領用表!$B:$B,T$2&amp;$P$1)</f>
        <v>0</v>
      </c>
      <c r="U78" s="142">
        <f>SUMIFS(領用表!$L:$L,領用表!$E:$E,$B78,領用表!$B:$B,U$2&amp;$P$1)</f>
        <v>0</v>
      </c>
      <c r="V78" s="142">
        <f>SUMIFS(領用表!$L:$L,領用表!$E:$E,$B78,領用表!$B:$B,V$2&amp;$P$1)</f>
        <v>0</v>
      </c>
      <c r="W78" s="142">
        <f>SUMIFS(領用表!$L:$L,領用表!$E:$E,$B78,領用表!$B:$B,W$2&amp;$P$1)</f>
        <v>0</v>
      </c>
      <c r="X78" s="142">
        <f>SUMIFS(領用表!$L:$L,領用表!$E:$E,$B78,領用表!$B:$B,X$2&amp;$P$1)</f>
        <v>0</v>
      </c>
      <c r="Y78" s="142">
        <f>SUMIFS(領用表!$L:$L,領用表!$E:$E,$B78,領用表!$B:$B,Y$2&amp;$P$1)</f>
        <v>0</v>
      </c>
      <c r="Z78" s="142">
        <f>SUMIFS(領用表!$L:$L,領用表!$E:$E,$B78,領用表!$B:$B,Z$2&amp;$P$1)</f>
        <v>0</v>
      </c>
      <c r="AA78" s="142">
        <f>SUMIFS(領用表!$L:$L,領用表!$E:$E,$B78,領用表!$B:$B,AA$2&amp;$P$1)</f>
        <v>0</v>
      </c>
      <c r="AB78" s="142">
        <f t="shared" si="12"/>
        <v>0</v>
      </c>
      <c r="AC78" s="142">
        <f t="shared" si="13"/>
        <v>0</v>
      </c>
      <c r="AD78" s="142">
        <f>SUMIF(Summary!B:B,B78,Summary!DW:DW)</f>
        <v>0</v>
      </c>
      <c r="AE78" s="109"/>
      <c r="AF78" s="65"/>
      <c r="AG78" s="83"/>
      <c r="AH78" s="76"/>
    </row>
    <row r="79" spans="1:38" ht="15.75" customHeight="1">
      <c r="A79" s="27" t="s">
        <v>177</v>
      </c>
      <c r="B79" s="14">
        <v>6080007</v>
      </c>
      <c r="C79" s="136" t="s">
        <v>555</v>
      </c>
      <c r="D79" s="77"/>
      <c r="E79" s="17" t="s">
        <v>15</v>
      </c>
      <c r="F79" s="18"/>
      <c r="G79" s="18"/>
      <c r="H79" s="20">
        <f>SUMIFS(領用表!$L:$L,領用表!$E:$E,$B79,領用表!$B:$B,H$2&amp;$P$1)</f>
        <v>0</v>
      </c>
      <c r="I79" s="20">
        <f>SUMIFS(領用表!$L:$L,領用表!$E:$E,$B79,領用表!$B:$B,I$2&amp;$P$1)</f>
        <v>0</v>
      </c>
      <c r="J79" s="20">
        <f>SUMIFS(領用表!$L:$L,領用表!$E:$E,$B79,領用表!$B:$B,J$2&amp;$P$1)</f>
        <v>0</v>
      </c>
      <c r="K79" s="142">
        <f>SUMIFS(領用表!$L:$L,領用表!$E:$E,$B79,領用表!$B:$B,K$2&amp;$P$1)</f>
        <v>0</v>
      </c>
      <c r="L79" s="142">
        <f>SUMIFS(領用表!$L:$L,領用表!$E:$E,$B79,領用表!$B:$B,L$2&amp;$P$1)</f>
        <v>0</v>
      </c>
      <c r="M79" s="142">
        <f>SUMIFS(領用表!$L:$L,領用表!$E:$E,$B79,領用表!$B:$B,M$2&amp;$P$1)</f>
        <v>0</v>
      </c>
      <c r="N79" s="23">
        <f t="shared" si="14"/>
        <v>0</v>
      </c>
      <c r="O79" s="23">
        <f t="shared" si="15"/>
        <v>0</v>
      </c>
      <c r="P79" s="142">
        <f>SUMIFS(領用表!$L:$L,領用表!$E:$E,$B79,領用表!$B:$B,P$2&amp;$P$1)</f>
        <v>0</v>
      </c>
      <c r="Q79" s="142">
        <f>SUMIFS(領用表!$L:$L,領用表!$E:$E,$B79,領用表!$B:$B,Q$2&amp;$P$1)</f>
        <v>0</v>
      </c>
      <c r="R79" s="142">
        <f>SUMIFS(領用表!$L:$L,領用表!$E:$E,$B79,領用表!$B:$B,R$2&amp;$P$1)</f>
        <v>0</v>
      </c>
      <c r="S79" s="142">
        <f>SUMIFS(領用表!$L:$L,領用表!$E:$E,$B79,領用表!$B:$B,S$2&amp;$P$1)</f>
        <v>0</v>
      </c>
      <c r="T79" s="142">
        <f>SUMIFS(領用表!$L:$L,領用表!$E:$E,$B79,領用表!$B:$B,T$2&amp;$P$1)</f>
        <v>0</v>
      </c>
      <c r="U79" s="142">
        <f>SUMIFS(領用表!$L:$L,領用表!$E:$E,$B79,領用表!$B:$B,U$2&amp;$P$1)</f>
        <v>0</v>
      </c>
      <c r="V79" s="142">
        <f>SUMIFS(領用表!$L:$L,領用表!$E:$E,$B79,領用表!$B:$B,V$2&amp;$P$1)</f>
        <v>0</v>
      </c>
      <c r="W79" s="142">
        <f>SUMIFS(領用表!$L:$L,領用表!$E:$E,$B79,領用表!$B:$B,W$2&amp;$P$1)</f>
        <v>0</v>
      </c>
      <c r="X79" s="142">
        <f>SUMIFS(領用表!$L:$L,領用表!$E:$E,$B79,領用表!$B:$B,X$2&amp;$P$1)</f>
        <v>0</v>
      </c>
      <c r="Y79" s="142">
        <f>SUMIFS(領用表!$L:$L,領用表!$E:$E,$B79,領用表!$B:$B,Y$2&amp;$P$1)</f>
        <v>0</v>
      </c>
      <c r="Z79" s="142">
        <f>SUMIFS(領用表!$L:$L,領用表!$E:$E,$B79,領用表!$B:$B,Z$2&amp;$P$1)</f>
        <v>0</v>
      </c>
      <c r="AA79" s="142">
        <f>SUMIFS(領用表!$L:$L,領用表!$E:$E,$B79,領用表!$B:$B,AA$2&amp;$P$1)</f>
        <v>0</v>
      </c>
      <c r="AB79" s="142">
        <f t="shared" si="12"/>
        <v>0</v>
      </c>
      <c r="AC79" s="142">
        <f t="shared" si="13"/>
        <v>0</v>
      </c>
      <c r="AD79" s="142">
        <f>SUMIF(Summary!B:B,B79,Summary!DW:DW)</f>
        <v>0</v>
      </c>
      <c r="AE79" s="109"/>
      <c r="AF79" s="65"/>
      <c r="AG79" s="76"/>
      <c r="AH79" s="76"/>
      <c r="AI79" s="14"/>
      <c r="AJ79" s="14"/>
      <c r="AK79" s="14"/>
      <c r="AL79" s="14"/>
    </row>
    <row r="80" spans="1:38" ht="15.75" customHeight="1">
      <c r="A80" s="27" t="s">
        <v>178</v>
      </c>
      <c r="B80" s="14" t="e">
        <v>#N/A</v>
      </c>
      <c r="C80" s="136" t="s">
        <v>556</v>
      </c>
      <c r="D80" s="77"/>
      <c r="E80" s="17" t="s">
        <v>15</v>
      </c>
      <c r="F80" s="18"/>
      <c r="G80" s="18"/>
      <c r="H80" s="20">
        <f>SUMIFS(領用表!$L:$L,領用表!$E:$E,$B80,領用表!$B:$B,H$2&amp;$P$1)</f>
        <v>0</v>
      </c>
      <c r="I80" s="20">
        <f>SUMIFS(領用表!$L:$L,領用表!$E:$E,$B80,領用表!$B:$B,I$2&amp;$P$1)</f>
        <v>0</v>
      </c>
      <c r="J80" s="20">
        <f>SUMIFS(領用表!$L:$L,領用表!$E:$E,$B80,領用表!$B:$B,J$2&amp;$P$1)</f>
        <v>0</v>
      </c>
      <c r="K80" s="142">
        <f>SUMIFS(領用表!$L:$L,領用表!$E:$E,$B80,領用表!$B:$B,K$2&amp;$P$1)</f>
        <v>0</v>
      </c>
      <c r="L80" s="142">
        <f>SUMIFS(領用表!$L:$L,領用表!$E:$E,$B80,領用表!$B:$B,L$2&amp;$P$1)</f>
        <v>0</v>
      </c>
      <c r="M80" s="142">
        <f>SUMIFS(領用表!$L:$L,領用表!$E:$E,$B80,領用表!$B:$B,M$2&amp;$P$1)</f>
        <v>0</v>
      </c>
      <c r="N80" s="23">
        <f t="shared" si="14"/>
        <v>0</v>
      </c>
      <c r="O80" s="23">
        <f t="shared" si="15"/>
        <v>0</v>
      </c>
      <c r="P80" s="142">
        <f>SUMIFS(領用表!$L:$L,領用表!$E:$E,$B80,領用表!$B:$B,P$2&amp;$P$1)</f>
        <v>0</v>
      </c>
      <c r="Q80" s="142">
        <f>SUMIFS(領用表!$L:$L,領用表!$E:$E,$B80,領用表!$B:$B,Q$2&amp;$P$1)</f>
        <v>0</v>
      </c>
      <c r="R80" s="142">
        <f>SUMIFS(領用表!$L:$L,領用表!$E:$E,$B80,領用表!$B:$B,R$2&amp;$P$1)</f>
        <v>0</v>
      </c>
      <c r="S80" s="142">
        <f>SUMIFS(領用表!$L:$L,領用表!$E:$E,$B80,領用表!$B:$B,S$2&amp;$P$1)</f>
        <v>0</v>
      </c>
      <c r="T80" s="142">
        <f>SUMIFS(領用表!$L:$L,領用表!$E:$E,$B80,領用表!$B:$B,T$2&amp;$P$1)</f>
        <v>0</v>
      </c>
      <c r="U80" s="142">
        <f>SUMIFS(領用表!$L:$L,領用表!$E:$E,$B80,領用表!$B:$B,U$2&amp;$P$1)</f>
        <v>0</v>
      </c>
      <c r="V80" s="142">
        <f>SUMIFS(領用表!$L:$L,領用表!$E:$E,$B80,領用表!$B:$B,V$2&amp;$P$1)</f>
        <v>0</v>
      </c>
      <c r="W80" s="142">
        <f>SUMIFS(領用表!$L:$L,領用表!$E:$E,$B80,領用表!$B:$B,W$2&amp;$P$1)</f>
        <v>0</v>
      </c>
      <c r="X80" s="142">
        <f>SUMIFS(領用表!$L:$L,領用表!$E:$E,$B80,領用表!$B:$B,X$2&amp;$P$1)</f>
        <v>0</v>
      </c>
      <c r="Y80" s="142">
        <f>SUMIFS(領用表!$L:$L,領用表!$E:$E,$B80,領用表!$B:$B,Y$2&amp;$P$1)</f>
        <v>0</v>
      </c>
      <c r="Z80" s="142">
        <f>SUMIFS(領用表!$L:$L,領用表!$E:$E,$B80,領用表!$B:$B,Z$2&amp;$P$1)</f>
        <v>0</v>
      </c>
      <c r="AA80" s="142">
        <f>SUMIFS(領用表!$L:$L,領用表!$E:$E,$B80,領用表!$B:$B,AA$2&amp;$P$1)</f>
        <v>0</v>
      </c>
      <c r="AB80" s="142">
        <f t="shared" si="12"/>
        <v>0</v>
      </c>
      <c r="AC80" s="142">
        <f t="shared" si="13"/>
        <v>0</v>
      </c>
      <c r="AD80" s="142">
        <f>SUMIF(Summary!B:B,B80,Summary!DW:DW)</f>
        <v>0</v>
      </c>
      <c r="AE80" s="109"/>
      <c r="AF80" s="65"/>
      <c r="AG80" s="76" t="s">
        <v>179</v>
      </c>
      <c r="AH80" s="76"/>
      <c r="AI80" s="14"/>
      <c r="AJ80" s="14"/>
      <c r="AK80" s="14"/>
      <c r="AL80" s="14"/>
    </row>
    <row r="81" spans="1:38" ht="15.75" customHeight="1">
      <c r="A81" s="27" t="s">
        <v>180</v>
      </c>
      <c r="B81" s="14">
        <v>1050001</v>
      </c>
      <c r="C81" s="136" t="s">
        <v>557</v>
      </c>
      <c r="D81" s="77"/>
      <c r="E81" s="17" t="s">
        <v>15</v>
      </c>
      <c r="F81" s="18"/>
      <c r="G81" s="18"/>
      <c r="H81" s="20">
        <f>SUMIFS(領用表!$L:$L,領用表!$E:$E,$B81,領用表!$B:$B,H$2&amp;$P$1)</f>
        <v>0</v>
      </c>
      <c r="I81" s="20">
        <f>SUMIFS(領用表!$L:$L,領用表!$E:$E,$B81,領用表!$B:$B,I$2&amp;$P$1)</f>
        <v>0</v>
      </c>
      <c r="J81" s="20">
        <f>SUMIFS(領用表!$L:$L,領用表!$E:$E,$B81,領用表!$B:$B,J$2&amp;$P$1)</f>
        <v>0</v>
      </c>
      <c r="K81" s="142">
        <f>SUMIFS(領用表!$L:$L,領用表!$E:$E,$B81,領用表!$B:$B,K$2&amp;$P$1)</f>
        <v>0</v>
      </c>
      <c r="L81" s="142">
        <f>SUMIFS(領用表!$L:$L,領用表!$E:$E,$B81,領用表!$B:$B,L$2&amp;$P$1)</f>
        <v>0</v>
      </c>
      <c r="M81" s="142">
        <f>SUMIFS(領用表!$L:$L,領用表!$E:$E,$B81,領用表!$B:$B,M$2&amp;$P$1)</f>
        <v>0</v>
      </c>
      <c r="N81" s="23">
        <f t="shared" si="14"/>
        <v>0</v>
      </c>
      <c r="O81" s="23">
        <f t="shared" si="15"/>
        <v>0</v>
      </c>
      <c r="P81" s="142">
        <f>SUMIFS(領用表!$L:$L,領用表!$E:$E,$B81,領用表!$B:$B,P$2&amp;$P$1)</f>
        <v>0</v>
      </c>
      <c r="Q81" s="142">
        <f>SUMIFS(領用表!$L:$L,領用表!$E:$E,$B81,領用表!$B:$B,Q$2&amp;$P$1)</f>
        <v>0</v>
      </c>
      <c r="R81" s="142">
        <f>SUMIFS(領用表!$L:$L,領用表!$E:$E,$B81,領用表!$B:$B,R$2&amp;$P$1)</f>
        <v>0</v>
      </c>
      <c r="S81" s="142">
        <f>SUMIFS(領用表!$L:$L,領用表!$E:$E,$B81,領用表!$B:$B,S$2&amp;$P$1)</f>
        <v>0</v>
      </c>
      <c r="T81" s="142">
        <f>SUMIFS(領用表!$L:$L,領用表!$E:$E,$B81,領用表!$B:$B,T$2&amp;$P$1)</f>
        <v>0</v>
      </c>
      <c r="U81" s="142">
        <f>SUMIFS(領用表!$L:$L,領用表!$E:$E,$B81,領用表!$B:$B,U$2&amp;$P$1)</f>
        <v>0</v>
      </c>
      <c r="V81" s="142">
        <f>SUMIFS(領用表!$L:$L,領用表!$E:$E,$B81,領用表!$B:$B,V$2&amp;$P$1)</f>
        <v>0</v>
      </c>
      <c r="W81" s="142">
        <f>SUMIFS(領用表!$L:$L,領用表!$E:$E,$B81,領用表!$B:$B,W$2&amp;$P$1)</f>
        <v>0</v>
      </c>
      <c r="X81" s="142">
        <f>SUMIFS(領用表!$L:$L,領用表!$E:$E,$B81,領用表!$B:$B,X$2&amp;$P$1)</f>
        <v>0</v>
      </c>
      <c r="Y81" s="142">
        <f>SUMIFS(領用表!$L:$L,領用表!$E:$E,$B81,領用表!$B:$B,Y$2&amp;$P$1)</f>
        <v>0</v>
      </c>
      <c r="Z81" s="142">
        <f>SUMIFS(領用表!$L:$L,領用表!$E:$E,$B81,領用表!$B:$B,Z$2&amp;$P$1)</f>
        <v>0</v>
      </c>
      <c r="AA81" s="142">
        <f>SUMIFS(領用表!$L:$L,領用表!$E:$E,$B81,領用表!$B:$B,AA$2&amp;$P$1)</f>
        <v>0</v>
      </c>
      <c r="AB81" s="142">
        <f t="shared" si="12"/>
        <v>0</v>
      </c>
      <c r="AC81" s="142">
        <f t="shared" si="13"/>
        <v>0</v>
      </c>
      <c r="AD81" s="142">
        <f>SUMIF(Summary!B:B,B81,Summary!DW:DW)</f>
        <v>0</v>
      </c>
      <c r="AE81" s="109"/>
      <c r="AF81" s="65"/>
      <c r="AG81" s="76"/>
      <c r="AH81" s="76"/>
      <c r="AI81" s="27"/>
      <c r="AJ81" s="27"/>
      <c r="AK81" s="14"/>
      <c r="AL81" s="14"/>
    </row>
    <row r="82" spans="1:38" ht="15.75" customHeight="1">
      <c r="A82" s="27" t="s">
        <v>181</v>
      </c>
      <c r="B82" s="14">
        <v>1050002</v>
      </c>
      <c r="C82" s="136" t="s">
        <v>558</v>
      </c>
      <c r="D82" s="77"/>
      <c r="E82" s="17" t="s">
        <v>15</v>
      </c>
      <c r="F82" s="18"/>
      <c r="G82" s="18"/>
      <c r="H82" s="20">
        <f>SUMIFS(領用表!$L:$L,領用表!$E:$E,$B82,領用表!$B:$B,H$2&amp;$P$1)</f>
        <v>0</v>
      </c>
      <c r="I82" s="20">
        <f>SUMIFS(領用表!$L:$L,領用表!$E:$E,$B82,領用表!$B:$B,I$2&amp;$P$1)</f>
        <v>0</v>
      </c>
      <c r="J82" s="20">
        <f>SUMIFS(領用表!$L:$L,領用表!$E:$E,$B82,領用表!$B:$B,J$2&amp;$P$1)</f>
        <v>0</v>
      </c>
      <c r="K82" s="142">
        <f>SUMIFS(領用表!$L:$L,領用表!$E:$E,$B82,領用表!$B:$B,K$2&amp;$P$1)</f>
        <v>0</v>
      </c>
      <c r="L82" s="142">
        <f>SUMIFS(領用表!$L:$L,領用表!$E:$E,$B82,領用表!$B:$B,L$2&amp;$P$1)</f>
        <v>0</v>
      </c>
      <c r="M82" s="142">
        <f>SUMIFS(領用表!$L:$L,領用表!$E:$E,$B82,領用表!$B:$B,M$2&amp;$P$1)</f>
        <v>0</v>
      </c>
      <c r="N82" s="23">
        <f t="shared" si="14"/>
        <v>0</v>
      </c>
      <c r="O82" s="23">
        <f t="shared" si="15"/>
        <v>0</v>
      </c>
      <c r="P82" s="142">
        <f>SUMIFS(領用表!$L:$L,領用表!$E:$E,$B82,領用表!$B:$B,P$2&amp;$P$1)</f>
        <v>0</v>
      </c>
      <c r="Q82" s="142">
        <f>SUMIFS(領用表!$L:$L,領用表!$E:$E,$B82,領用表!$B:$B,Q$2&amp;$P$1)</f>
        <v>0</v>
      </c>
      <c r="R82" s="142">
        <f>SUMIFS(領用表!$L:$L,領用表!$E:$E,$B82,領用表!$B:$B,R$2&amp;$P$1)</f>
        <v>0</v>
      </c>
      <c r="S82" s="142">
        <f>SUMIFS(領用表!$L:$L,領用表!$E:$E,$B82,領用表!$B:$B,S$2&amp;$P$1)</f>
        <v>0</v>
      </c>
      <c r="T82" s="142">
        <f>SUMIFS(領用表!$L:$L,領用表!$E:$E,$B82,領用表!$B:$B,T$2&amp;$P$1)</f>
        <v>0</v>
      </c>
      <c r="U82" s="142">
        <f>SUMIFS(領用表!$L:$L,領用表!$E:$E,$B82,領用表!$B:$B,U$2&amp;$P$1)</f>
        <v>0</v>
      </c>
      <c r="V82" s="142">
        <f>SUMIFS(領用表!$L:$L,領用表!$E:$E,$B82,領用表!$B:$B,V$2&amp;$P$1)</f>
        <v>0</v>
      </c>
      <c r="W82" s="142">
        <f>SUMIFS(領用表!$L:$L,領用表!$E:$E,$B82,領用表!$B:$B,W$2&amp;$P$1)</f>
        <v>0</v>
      </c>
      <c r="X82" s="142">
        <f>SUMIFS(領用表!$L:$L,領用表!$E:$E,$B82,領用表!$B:$B,X$2&amp;$P$1)</f>
        <v>0</v>
      </c>
      <c r="Y82" s="142">
        <f>SUMIFS(領用表!$L:$L,領用表!$E:$E,$B82,領用表!$B:$B,Y$2&amp;$P$1)</f>
        <v>0</v>
      </c>
      <c r="Z82" s="142">
        <f>SUMIFS(領用表!$L:$L,領用表!$E:$E,$B82,領用表!$B:$B,Z$2&amp;$P$1)</f>
        <v>0</v>
      </c>
      <c r="AA82" s="142">
        <f>SUMIFS(領用表!$L:$L,領用表!$E:$E,$B82,領用表!$B:$B,AA$2&amp;$P$1)</f>
        <v>0</v>
      </c>
      <c r="AB82" s="142">
        <f t="shared" si="12"/>
        <v>0</v>
      </c>
      <c r="AC82" s="142">
        <f t="shared" si="13"/>
        <v>0</v>
      </c>
      <c r="AD82" s="142">
        <f>SUMIF(Summary!B:B,B82,Summary!DW:DW)</f>
        <v>0</v>
      </c>
      <c r="AE82" s="109"/>
      <c r="AF82" s="65"/>
      <c r="AG82" s="76"/>
      <c r="AH82" s="76"/>
      <c r="AI82" s="27"/>
      <c r="AJ82" s="27"/>
      <c r="AK82" s="14"/>
      <c r="AL82" s="14"/>
    </row>
    <row r="83" spans="1:38" ht="15.75" hidden="1" customHeight="1">
      <c r="A83" s="27" t="s">
        <v>182</v>
      </c>
      <c r="B83" s="14">
        <v>1050003</v>
      </c>
      <c r="C83" s="136" t="s">
        <v>559</v>
      </c>
      <c r="D83" s="77"/>
      <c r="E83" s="17" t="s">
        <v>15</v>
      </c>
      <c r="F83" s="18"/>
      <c r="G83" s="18"/>
      <c r="H83" s="20">
        <f>SUMIFS(領用表!$L:$L,領用表!$E:$E,$B83,領用表!$B:$B,H$2&amp;$P$1)</f>
        <v>0</v>
      </c>
      <c r="I83" s="20">
        <f>SUMIFS(領用表!$L:$L,領用表!$E:$E,$B83,領用表!$B:$B,I$2&amp;$P$1)</f>
        <v>0</v>
      </c>
      <c r="J83" s="20">
        <f>SUMIFS(領用表!$L:$L,領用表!$E:$E,$B83,領用表!$B:$B,J$2&amp;$P$1)</f>
        <v>0</v>
      </c>
      <c r="K83" s="142">
        <f>SUMIFS(領用表!$L:$L,領用表!$E:$E,$B83,領用表!$B:$B,K$2&amp;$P$1)</f>
        <v>0</v>
      </c>
      <c r="L83" s="142">
        <f>SUMIFS(領用表!$L:$L,領用表!$E:$E,$B83,領用表!$B:$B,L$2&amp;$P$1)</f>
        <v>0</v>
      </c>
      <c r="M83" s="142">
        <f>SUMIFS(領用表!$L:$L,領用表!$E:$E,$B83,領用表!$B:$B,M$2&amp;$P$1)</f>
        <v>0</v>
      </c>
      <c r="N83" s="23">
        <f t="shared" si="14"/>
        <v>0</v>
      </c>
      <c r="O83" s="23">
        <f t="shared" si="15"/>
        <v>0</v>
      </c>
      <c r="P83" s="142">
        <f>SUMIFS(領用表!$L:$L,領用表!$E:$E,$B83,領用表!$B:$B,P$2&amp;$P$1)</f>
        <v>0</v>
      </c>
      <c r="Q83" s="142">
        <f>SUMIFS(領用表!$L:$L,領用表!$E:$E,$B83,領用表!$B:$B,Q$2&amp;$P$1)</f>
        <v>0</v>
      </c>
      <c r="R83" s="142">
        <f>SUMIFS(領用表!$L:$L,領用表!$E:$E,$B83,領用表!$B:$B,R$2&amp;$P$1)</f>
        <v>0</v>
      </c>
      <c r="S83" s="142">
        <f>SUMIFS(領用表!$L:$L,領用表!$E:$E,$B83,領用表!$B:$B,S$2&amp;$P$1)</f>
        <v>0</v>
      </c>
      <c r="T83" s="142">
        <f>SUMIFS(領用表!$L:$L,領用表!$E:$E,$B83,領用表!$B:$B,T$2&amp;$P$1)</f>
        <v>0</v>
      </c>
      <c r="U83" s="142">
        <f>SUMIFS(領用表!$L:$L,領用表!$E:$E,$B83,領用表!$B:$B,U$2&amp;$P$1)</f>
        <v>0</v>
      </c>
      <c r="V83" s="142">
        <f>SUMIFS(領用表!$L:$L,領用表!$E:$E,$B83,領用表!$B:$B,V$2&amp;$P$1)</f>
        <v>0</v>
      </c>
      <c r="W83" s="142">
        <f>SUMIFS(領用表!$L:$L,領用表!$E:$E,$B83,領用表!$B:$B,W$2&amp;$P$1)</f>
        <v>0</v>
      </c>
      <c r="X83" s="142">
        <f>SUMIFS(領用表!$L:$L,領用表!$E:$E,$B83,領用表!$B:$B,X$2&amp;$P$1)</f>
        <v>0</v>
      </c>
      <c r="Y83" s="142">
        <f>SUMIFS(領用表!$L:$L,領用表!$E:$E,$B83,領用表!$B:$B,Y$2&amp;$P$1)</f>
        <v>0</v>
      </c>
      <c r="Z83" s="142">
        <f>SUMIFS(領用表!$L:$L,領用表!$E:$E,$B83,領用表!$B:$B,Z$2&amp;$P$1)</f>
        <v>0</v>
      </c>
      <c r="AA83" s="142">
        <f>SUMIFS(領用表!$L:$L,領用表!$E:$E,$B83,領用表!$B:$B,AA$2&amp;$P$1)</f>
        <v>0</v>
      </c>
      <c r="AB83" s="142">
        <f t="shared" si="12"/>
        <v>0</v>
      </c>
      <c r="AC83" s="142">
        <f t="shared" si="13"/>
        <v>0</v>
      </c>
      <c r="AD83" s="142">
        <f>SUMIF(Summary!B:B,B83,Summary!DW:DW)</f>
        <v>0</v>
      </c>
      <c r="AE83" s="109"/>
      <c r="AF83" s="65"/>
      <c r="AG83" s="76"/>
      <c r="AH83" s="76"/>
      <c r="AI83" s="27"/>
      <c r="AJ83" s="27"/>
      <c r="AK83" s="14"/>
      <c r="AL83" s="14"/>
    </row>
    <row r="84" spans="1:38" ht="15" customHeight="1">
      <c r="A84" s="27" t="s">
        <v>183</v>
      </c>
      <c r="B84" s="14">
        <v>6050008</v>
      </c>
      <c r="C84" s="136" t="s">
        <v>560</v>
      </c>
      <c r="D84" s="77"/>
      <c r="E84" s="17" t="s">
        <v>15</v>
      </c>
      <c r="F84" s="18"/>
      <c r="G84" s="18"/>
      <c r="H84" s="20">
        <f>SUMIFS(領用表!$L:$L,領用表!$E:$E,$B84,領用表!$B:$B,H$2&amp;$P$1)</f>
        <v>0</v>
      </c>
      <c r="I84" s="20">
        <f>SUMIFS(領用表!$L:$L,領用表!$E:$E,$B84,領用表!$B:$B,I$2&amp;$P$1)</f>
        <v>0</v>
      </c>
      <c r="J84" s="20">
        <f>SUMIFS(領用表!$L:$L,領用表!$E:$E,$B84,領用表!$B:$B,J$2&amp;$P$1)</f>
        <v>0</v>
      </c>
      <c r="K84" s="142">
        <f>SUMIFS(領用表!$L:$L,領用表!$E:$E,$B84,領用表!$B:$B,K$2&amp;$P$1)</f>
        <v>0</v>
      </c>
      <c r="L84" s="142">
        <f>SUMIFS(領用表!$L:$L,領用表!$E:$E,$B84,領用表!$B:$B,L$2&amp;$P$1)</f>
        <v>0</v>
      </c>
      <c r="M84" s="142">
        <f>SUMIFS(領用表!$L:$L,領用表!$E:$E,$B84,領用表!$B:$B,M$2&amp;$P$1)</f>
        <v>0</v>
      </c>
      <c r="N84" s="23">
        <f t="shared" si="14"/>
        <v>0</v>
      </c>
      <c r="O84" s="23">
        <f t="shared" si="15"/>
        <v>0</v>
      </c>
      <c r="P84" s="142">
        <f>SUMIFS(領用表!$L:$L,領用表!$E:$E,$B84,領用表!$B:$B,P$2&amp;$P$1)</f>
        <v>0</v>
      </c>
      <c r="Q84" s="142">
        <f>SUMIFS(領用表!$L:$L,領用表!$E:$E,$B84,領用表!$B:$B,Q$2&amp;$P$1)</f>
        <v>0</v>
      </c>
      <c r="R84" s="142">
        <f>SUMIFS(領用表!$L:$L,領用表!$E:$E,$B84,領用表!$B:$B,R$2&amp;$P$1)</f>
        <v>0</v>
      </c>
      <c r="S84" s="142">
        <f>SUMIFS(領用表!$L:$L,領用表!$E:$E,$B84,領用表!$B:$B,S$2&amp;$P$1)</f>
        <v>0</v>
      </c>
      <c r="T84" s="142">
        <f>SUMIFS(領用表!$L:$L,領用表!$E:$E,$B84,領用表!$B:$B,T$2&amp;$P$1)</f>
        <v>0</v>
      </c>
      <c r="U84" s="142">
        <f>SUMIFS(領用表!$L:$L,領用表!$E:$E,$B84,領用表!$B:$B,U$2&amp;$P$1)</f>
        <v>0</v>
      </c>
      <c r="V84" s="142">
        <f>SUMIFS(領用表!$L:$L,領用表!$E:$E,$B84,領用表!$B:$B,V$2&amp;$P$1)</f>
        <v>0</v>
      </c>
      <c r="W84" s="142">
        <f>SUMIFS(領用表!$L:$L,領用表!$E:$E,$B84,領用表!$B:$B,W$2&amp;$P$1)</f>
        <v>0</v>
      </c>
      <c r="X84" s="142">
        <f>SUMIFS(領用表!$L:$L,領用表!$E:$E,$B84,領用表!$B:$B,X$2&amp;$P$1)</f>
        <v>0</v>
      </c>
      <c r="Y84" s="142">
        <f>SUMIFS(領用表!$L:$L,領用表!$E:$E,$B84,領用表!$B:$B,Y$2&amp;$P$1)</f>
        <v>0</v>
      </c>
      <c r="Z84" s="142">
        <f>SUMIFS(領用表!$L:$L,領用表!$E:$E,$B84,領用表!$B:$B,Z$2&amp;$P$1)</f>
        <v>0</v>
      </c>
      <c r="AA84" s="142">
        <f>SUMIFS(領用表!$L:$L,領用表!$E:$E,$B84,領用表!$B:$B,AA$2&amp;$P$1)</f>
        <v>0</v>
      </c>
      <c r="AB84" s="142">
        <f t="shared" si="12"/>
        <v>0</v>
      </c>
      <c r="AC84" s="142">
        <f t="shared" si="13"/>
        <v>0</v>
      </c>
      <c r="AD84" s="142">
        <f>SUMIF(Summary!B:B,B84,Summary!DW:DW)</f>
        <v>0</v>
      </c>
      <c r="AE84" s="109"/>
      <c r="AF84" s="65"/>
      <c r="AG84" s="76"/>
      <c r="AH84" s="76" t="s">
        <v>184</v>
      </c>
      <c r="AI84" s="27"/>
      <c r="AJ84" s="27"/>
      <c r="AK84" s="14"/>
      <c r="AL84" s="14"/>
    </row>
    <row r="85" spans="1:38" ht="15" customHeight="1">
      <c r="A85" s="27" t="s">
        <v>185</v>
      </c>
      <c r="B85" s="14">
        <v>1060001</v>
      </c>
      <c r="C85" s="136" t="s">
        <v>561</v>
      </c>
      <c r="D85" s="77"/>
      <c r="E85" s="17" t="s">
        <v>15</v>
      </c>
      <c r="F85" s="18"/>
      <c r="G85" s="18"/>
      <c r="H85" s="20">
        <f>SUMIFS(領用表!$L:$L,領用表!$E:$E,$B85,領用表!$B:$B,H$2&amp;$P$1)</f>
        <v>0</v>
      </c>
      <c r="I85" s="20">
        <f>SUMIFS(領用表!$L:$L,領用表!$E:$E,$B85,領用表!$B:$B,I$2&amp;$P$1)</f>
        <v>0</v>
      </c>
      <c r="J85" s="20">
        <f>SUMIFS(領用表!$L:$L,領用表!$E:$E,$B85,領用表!$B:$B,J$2&amp;$P$1)</f>
        <v>0</v>
      </c>
      <c r="K85" s="142">
        <f>SUMIFS(領用表!$L:$L,領用表!$E:$E,$B85,領用表!$B:$B,K$2&amp;$P$1)</f>
        <v>0</v>
      </c>
      <c r="L85" s="142">
        <f>SUMIFS(領用表!$L:$L,領用表!$E:$E,$B85,領用表!$B:$B,L$2&amp;$P$1)</f>
        <v>0</v>
      </c>
      <c r="M85" s="142">
        <f>SUMIFS(領用表!$L:$L,領用表!$E:$E,$B85,領用表!$B:$B,M$2&amp;$P$1)</f>
        <v>0</v>
      </c>
      <c r="N85" s="23">
        <f t="shared" si="14"/>
        <v>0</v>
      </c>
      <c r="O85" s="23">
        <f t="shared" si="15"/>
        <v>0</v>
      </c>
      <c r="P85" s="142">
        <f>SUMIFS(領用表!$L:$L,領用表!$E:$E,$B85,領用表!$B:$B,P$2&amp;$P$1)</f>
        <v>0</v>
      </c>
      <c r="Q85" s="142">
        <f>SUMIFS(領用表!$L:$L,領用表!$E:$E,$B85,領用表!$B:$B,Q$2&amp;$P$1)</f>
        <v>0</v>
      </c>
      <c r="R85" s="142">
        <f>SUMIFS(領用表!$L:$L,領用表!$E:$E,$B85,領用表!$B:$B,R$2&amp;$P$1)</f>
        <v>0</v>
      </c>
      <c r="S85" s="142">
        <f>SUMIFS(領用表!$L:$L,領用表!$E:$E,$B85,領用表!$B:$B,S$2&amp;$P$1)</f>
        <v>0</v>
      </c>
      <c r="T85" s="142">
        <f>SUMIFS(領用表!$L:$L,領用表!$E:$E,$B85,領用表!$B:$B,T$2&amp;$P$1)</f>
        <v>0</v>
      </c>
      <c r="U85" s="142">
        <f>SUMIFS(領用表!$L:$L,領用表!$E:$E,$B85,領用表!$B:$B,U$2&amp;$P$1)</f>
        <v>0</v>
      </c>
      <c r="V85" s="142">
        <f>SUMIFS(領用表!$L:$L,領用表!$E:$E,$B85,領用表!$B:$B,V$2&amp;$P$1)</f>
        <v>0</v>
      </c>
      <c r="W85" s="142">
        <f>SUMIFS(領用表!$L:$L,領用表!$E:$E,$B85,領用表!$B:$B,W$2&amp;$P$1)</f>
        <v>0</v>
      </c>
      <c r="X85" s="142">
        <f>SUMIFS(領用表!$L:$L,領用表!$E:$E,$B85,領用表!$B:$B,X$2&amp;$P$1)</f>
        <v>0</v>
      </c>
      <c r="Y85" s="142">
        <f>SUMIFS(領用表!$L:$L,領用表!$E:$E,$B85,領用表!$B:$B,Y$2&amp;$P$1)</f>
        <v>0</v>
      </c>
      <c r="Z85" s="142">
        <f>SUMIFS(領用表!$L:$L,領用表!$E:$E,$B85,領用表!$B:$B,Z$2&amp;$P$1)</f>
        <v>0</v>
      </c>
      <c r="AA85" s="142">
        <f>SUMIFS(領用表!$L:$L,領用表!$E:$E,$B85,領用表!$B:$B,AA$2&amp;$P$1)</f>
        <v>0</v>
      </c>
      <c r="AB85" s="142">
        <f t="shared" si="12"/>
        <v>0</v>
      </c>
      <c r="AC85" s="142">
        <f t="shared" si="13"/>
        <v>0</v>
      </c>
      <c r="AD85" s="142">
        <f>SUMIF(Summary!B:B,B85,Summary!DW:DW)</f>
        <v>0</v>
      </c>
      <c r="AE85" s="109"/>
      <c r="AF85" s="65"/>
      <c r="AG85" s="76"/>
      <c r="AH85" s="76"/>
      <c r="AI85" s="27"/>
      <c r="AJ85" s="27"/>
      <c r="AK85" s="14"/>
      <c r="AL85" s="14"/>
    </row>
    <row r="86" spans="1:38" ht="15" customHeight="1">
      <c r="A86" s="27" t="s">
        <v>186</v>
      </c>
      <c r="B86" s="14">
        <v>6070002</v>
      </c>
      <c r="C86" s="136" t="s">
        <v>562</v>
      </c>
      <c r="D86" s="77"/>
      <c r="E86" s="17" t="s">
        <v>15</v>
      </c>
      <c r="F86" s="18"/>
      <c r="G86" s="18"/>
      <c r="H86" s="20">
        <f>SUMIFS(領用表!$L:$L,領用表!$E:$E,$B86,領用表!$B:$B,H$2&amp;$P$1)</f>
        <v>0</v>
      </c>
      <c r="I86" s="20">
        <f>SUMIFS(領用表!$L:$L,領用表!$E:$E,$B86,領用表!$B:$B,I$2&amp;$P$1)</f>
        <v>0</v>
      </c>
      <c r="J86" s="20">
        <f>SUMIFS(領用表!$L:$L,領用表!$E:$E,$B86,領用表!$B:$B,J$2&amp;$P$1)</f>
        <v>0</v>
      </c>
      <c r="K86" s="142">
        <f>SUMIFS(領用表!$L:$L,領用表!$E:$E,$B86,領用表!$B:$B,K$2&amp;$P$1)</f>
        <v>0</v>
      </c>
      <c r="L86" s="142">
        <f>SUMIFS(領用表!$L:$L,領用表!$E:$E,$B86,領用表!$B:$B,L$2&amp;$P$1)</f>
        <v>0</v>
      </c>
      <c r="M86" s="142">
        <f>SUMIFS(領用表!$L:$L,領用表!$E:$E,$B86,領用表!$B:$B,M$2&amp;$P$1)</f>
        <v>0</v>
      </c>
      <c r="N86" s="23">
        <f t="shared" si="14"/>
        <v>0</v>
      </c>
      <c r="O86" s="23">
        <f t="shared" si="15"/>
        <v>0</v>
      </c>
      <c r="P86" s="142">
        <f>SUMIFS(領用表!$L:$L,領用表!$E:$E,$B86,領用表!$B:$B,P$2&amp;$P$1)</f>
        <v>0</v>
      </c>
      <c r="Q86" s="405">
        <f>SUMIFS(領用表!$L:$L,領用表!$E:$E,$B86,領用表!$B:$B,Q$2&amp;$P$1)</f>
        <v>0</v>
      </c>
      <c r="R86" s="405">
        <f>SUMIFS(領用表!$L:$L,領用表!$E:$E,$B86,領用表!$B:$B,R$2&amp;$P$1)</f>
        <v>0</v>
      </c>
      <c r="S86" s="405">
        <f>SUMIFS(領用表!$L:$L,領用表!$E:$E,$B86,領用表!$B:$B,S$2&amp;$P$1)</f>
        <v>0</v>
      </c>
      <c r="T86" s="405">
        <f>SUMIFS(領用表!$L:$L,領用表!$E:$E,$B86,領用表!$B:$B,T$2&amp;$P$1)</f>
        <v>0</v>
      </c>
      <c r="U86" s="405">
        <f>SUMIFS(領用表!$L:$L,領用表!$E:$E,$B86,領用表!$B:$B,U$2&amp;$P$1)</f>
        <v>0</v>
      </c>
      <c r="V86" s="405">
        <f>SUMIFS(領用表!$L:$L,領用表!$E:$E,$B86,領用表!$B:$B,V$2&amp;$P$1)</f>
        <v>0</v>
      </c>
      <c r="W86" s="405">
        <f>SUMIFS(領用表!$L:$L,領用表!$E:$E,$B86,領用表!$B:$B,W$2&amp;$P$1)</f>
        <v>0</v>
      </c>
      <c r="X86" s="405">
        <f>SUMIFS(領用表!$L:$L,領用表!$E:$E,$B86,領用表!$B:$B,X$2&amp;$P$1)</f>
        <v>0</v>
      </c>
      <c r="Y86" s="405">
        <f>SUMIFS(領用表!$L:$L,領用表!$E:$E,$B86,領用表!$B:$B,Y$2&amp;$P$1)</f>
        <v>0</v>
      </c>
      <c r="Z86" s="405">
        <f>SUMIFS(領用表!$L:$L,領用表!$E:$E,$B86,領用表!$B:$B,Z$2&amp;$P$1)</f>
        <v>0</v>
      </c>
      <c r="AA86" s="405">
        <f>SUMIFS(領用表!$L:$L,領用表!$E:$E,$B86,領用表!$B:$B,AA$2&amp;$P$1)</f>
        <v>0</v>
      </c>
      <c r="AB86" s="405">
        <f t="shared" si="12"/>
        <v>0</v>
      </c>
      <c r="AC86" s="405">
        <f t="shared" si="13"/>
        <v>0</v>
      </c>
      <c r="AD86" s="405">
        <f>SUMIF(Summary!B:B,B86,Summary!DW:DW)</f>
        <v>0</v>
      </c>
      <c r="AE86" s="111"/>
      <c r="AF86" s="80"/>
      <c r="AG86" s="76"/>
      <c r="AH86" s="76"/>
      <c r="AI86" s="27"/>
      <c r="AJ86" s="27"/>
      <c r="AK86" s="14"/>
      <c r="AL86" s="14"/>
    </row>
    <row r="87" spans="1:38" ht="15" customHeight="1">
      <c r="A87" s="27" t="s">
        <v>187</v>
      </c>
      <c r="B87" s="14" t="e">
        <v>#N/A</v>
      </c>
      <c r="C87" s="136" t="s">
        <v>563</v>
      </c>
      <c r="D87" s="77"/>
      <c r="E87" s="17" t="s">
        <v>15</v>
      </c>
      <c r="F87" s="18"/>
      <c r="G87" s="18"/>
      <c r="H87" s="20">
        <f>SUMIFS(領用表!$L:$L,領用表!$E:$E,$B87,領用表!$B:$B,H$2&amp;$P$1)</f>
        <v>0</v>
      </c>
      <c r="I87" s="20">
        <f>SUMIFS(領用表!$L:$L,領用表!$E:$E,$B87,領用表!$B:$B,I$2&amp;$P$1)</f>
        <v>0</v>
      </c>
      <c r="J87" s="20">
        <f>SUMIFS(領用表!$L:$L,領用表!$E:$E,$B87,領用表!$B:$B,J$2&amp;$P$1)</f>
        <v>0</v>
      </c>
      <c r="K87" s="142">
        <f>SUMIFS(領用表!$L:$L,領用表!$E:$E,$B87,領用表!$B:$B,K$2&amp;$P$1)</f>
        <v>0</v>
      </c>
      <c r="L87" s="142">
        <f>SUMIFS(領用表!$L:$L,領用表!$E:$E,$B87,領用表!$B:$B,L$2&amp;$P$1)</f>
        <v>0</v>
      </c>
      <c r="M87" s="142">
        <f>SUMIFS(領用表!$L:$L,領用表!$E:$E,$B87,領用表!$B:$B,M$2&amp;$P$1)</f>
        <v>0</v>
      </c>
      <c r="N87" s="23">
        <f t="shared" si="14"/>
        <v>0</v>
      </c>
      <c r="O87" s="23">
        <f t="shared" si="15"/>
        <v>0</v>
      </c>
      <c r="P87" s="142">
        <f>SUMIFS(領用表!$L:$L,領用表!$E:$E,$B87,領用表!$B:$B,P$2&amp;$P$1)</f>
        <v>0</v>
      </c>
      <c r="Q87" s="405">
        <f>SUMIFS(領用表!$L:$L,領用表!$E:$E,$B87,領用表!$B:$B,Q$2&amp;$P$1)</f>
        <v>0</v>
      </c>
      <c r="R87" s="405">
        <f>SUMIFS(領用表!$L:$L,領用表!$E:$E,$B87,領用表!$B:$B,R$2&amp;$P$1)</f>
        <v>0</v>
      </c>
      <c r="S87" s="405">
        <f>SUMIFS(領用表!$L:$L,領用表!$E:$E,$B87,領用表!$B:$B,S$2&amp;$P$1)</f>
        <v>0</v>
      </c>
      <c r="T87" s="405">
        <f>SUMIFS(領用表!$L:$L,領用表!$E:$E,$B87,領用表!$B:$B,T$2&amp;$P$1)</f>
        <v>0</v>
      </c>
      <c r="U87" s="405">
        <f>SUMIFS(領用表!$L:$L,領用表!$E:$E,$B87,領用表!$B:$B,U$2&amp;$P$1)</f>
        <v>0</v>
      </c>
      <c r="V87" s="405">
        <f>SUMIFS(領用表!$L:$L,領用表!$E:$E,$B87,領用表!$B:$B,V$2&amp;$P$1)</f>
        <v>0</v>
      </c>
      <c r="W87" s="405">
        <f>SUMIFS(領用表!$L:$L,領用表!$E:$E,$B87,領用表!$B:$B,W$2&amp;$P$1)</f>
        <v>0</v>
      </c>
      <c r="X87" s="405">
        <f>SUMIFS(領用表!$L:$L,領用表!$E:$E,$B87,領用表!$B:$B,X$2&amp;$P$1)</f>
        <v>0</v>
      </c>
      <c r="Y87" s="405">
        <f>SUMIFS(領用表!$L:$L,領用表!$E:$E,$B87,領用表!$B:$B,Y$2&amp;$P$1)</f>
        <v>0</v>
      </c>
      <c r="Z87" s="405">
        <f>SUMIFS(領用表!$L:$L,領用表!$E:$E,$B87,領用表!$B:$B,Z$2&amp;$P$1)</f>
        <v>0</v>
      </c>
      <c r="AA87" s="405">
        <f>SUMIFS(領用表!$L:$L,領用表!$E:$E,$B87,領用表!$B:$B,AA$2&amp;$P$1)</f>
        <v>0</v>
      </c>
      <c r="AB87" s="405">
        <f t="shared" si="12"/>
        <v>0</v>
      </c>
      <c r="AC87" s="405">
        <f t="shared" si="13"/>
        <v>0</v>
      </c>
      <c r="AD87" s="405">
        <f>SUMIF(Summary!B:B,B87,Summary!DW:DW)</f>
        <v>0</v>
      </c>
      <c r="AE87" s="112"/>
      <c r="AF87" s="80"/>
      <c r="AG87" s="76" t="s">
        <v>188</v>
      </c>
      <c r="AH87" s="76"/>
      <c r="AI87" s="27"/>
      <c r="AJ87" s="27"/>
      <c r="AK87" s="14"/>
      <c r="AL87" s="14"/>
    </row>
    <row r="88" spans="1:38" ht="15" customHeight="1">
      <c r="A88" s="27" t="s">
        <v>189</v>
      </c>
      <c r="B88" s="14" t="e">
        <v>#N/A</v>
      </c>
      <c r="C88" s="136" t="s">
        <v>564</v>
      </c>
      <c r="D88" s="77"/>
      <c r="E88" s="17" t="s">
        <v>15</v>
      </c>
      <c r="F88" s="18"/>
      <c r="G88" s="18"/>
      <c r="H88" s="20">
        <f>SUMIFS(領用表!$L:$L,領用表!$E:$E,$B88,領用表!$B:$B,H$2&amp;$P$1)</f>
        <v>0</v>
      </c>
      <c r="I88" s="20">
        <f>SUMIFS(領用表!$L:$L,領用表!$E:$E,$B88,領用表!$B:$B,I$2&amp;$P$1)</f>
        <v>0</v>
      </c>
      <c r="J88" s="20">
        <f>SUMIFS(領用表!$L:$L,領用表!$E:$E,$B88,領用表!$B:$B,J$2&amp;$P$1)</f>
        <v>0</v>
      </c>
      <c r="K88" s="142">
        <f>SUMIFS(領用表!$L:$L,領用表!$E:$E,$B88,領用表!$B:$B,K$2&amp;$P$1)</f>
        <v>0</v>
      </c>
      <c r="L88" s="142">
        <f>SUMIFS(領用表!$L:$L,領用表!$E:$E,$B88,領用表!$B:$B,L$2&amp;$P$1)</f>
        <v>0</v>
      </c>
      <c r="M88" s="142">
        <f>SUMIFS(領用表!$L:$L,領用表!$E:$E,$B88,領用表!$B:$B,M$2&amp;$P$1)</f>
        <v>0</v>
      </c>
      <c r="N88" s="23">
        <f t="shared" si="14"/>
        <v>0</v>
      </c>
      <c r="O88" s="23">
        <f t="shared" si="15"/>
        <v>0</v>
      </c>
      <c r="P88" s="142">
        <f>SUMIFS(領用表!$L:$L,領用表!$E:$E,$B88,領用表!$B:$B,P$2&amp;$P$1)</f>
        <v>0</v>
      </c>
      <c r="Q88" s="405">
        <f>SUMIFS(領用表!$L:$L,領用表!$E:$E,$B88,領用表!$B:$B,Q$2&amp;$P$1)</f>
        <v>0</v>
      </c>
      <c r="R88" s="405">
        <f>SUMIFS(領用表!$L:$L,領用表!$E:$E,$B88,領用表!$B:$B,R$2&amp;$P$1)</f>
        <v>0</v>
      </c>
      <c r="S88" s="405">
        <f>SUMIFS(領用表!$L:$L,領用表!$E:$E,$B88,領用表!$B:$B,S$2&amp;$P$1)</f>
        <v>0</v>
      </c>
      <c r="T88" s="405">
        <f>SUMIFS(領用表!$L:$L,領用表!$E:$E,$B88,領用表!$B:$B,T$2&amp;$P$1)</f>
        <v>0</v>
      </c>
      <c r="U88" s="405">
        <f>SUMIFS(領用表!$L:$L,領用表!$E:$E,$B88,領用表!$B:$B,U$2&amp;$P$1)</f>
        <v>0</v>
      </c>
      <c r="V88" s="405">
        <f>SUMIFS(領用表!$L:$L,領用表!$E:$E,$B88,領用表!$B:$B,V$2&amp;$P$1)</f>
        <v>0</v>
      </c>
      <c r="W88" s="405">
        <f>SUMIFS(領用表!$L:$L,領用表!$E:$E,$B88,領用表!$B:$B,W$2&amp;$P$1)</f>
        <v>0</v>
      </c>
      <c r="X88" s="405">
        <f>SUMIFS(領用表!$L:$L,領用表!$E:$E,$B88,領用表!$B:$B,X$2&amp;$P$1)</f>
        <v>0</v>
      </c>
      <c r="Y88" s="405">
        <f>SUMIFS(領用表!$L:$L,領用表!$E:$E,$B88,領用表!$B:$B,Y$2&amp;$P$1)</f>
        <v>0</v>
      </c>
      <c r="Z88" s="405">
        <f>SUMIFS(領用表!$L:$L,領用表!$E:$E,$B88,領用表!$B:$B,Z$2&amp;$P$1)</f>
        <v>0</v>
      </c>
      <c r="AA88" s="405">
        <f>SUMIFS(領用表!$L:$L,領用表!$E:$E,$B88,領用表!$B:$B,AA$2&amp;$P$1)</f>
        <v>0</v>
      </c>
      <c r="AB88" s="405">
        <f t="shared" si="12"/>
        <v>0</v>
      </c>
      <c r="AC88" s="405">
        <f t="shared" si="13"/>
        <v>0</v>
      </c>
      <c r="AD88" s="405">
        <f>SUMIF(Summary!B:B,B88,Summary!DW:DW)</f>
        <v>0</v>
      </c>
      <c r="AE88" s="112"/>
      <c r="AF88" s="80"/>
      <c r="AG88" s="76" t="s">
        <v>190</v>
      </c>
      <c r="AH88" s="76"/>
      <c r="AI88" s="27"/>
      <c r="AJ88" s="27"/>
      <c r="AK88" s="14"/>
      <c r="AL88" s="14"/>
    </row>
    <row r="89" spans="1:38" ht="15" customHeight="1">
      <c r="A89" s="27" t="s">
        <v>191</v>
      </c>
      <c r="B89" s="14">
        <v>6060001</v>
      </c>
      <c r="C89" s="136" t="s">
        <v>565</v>
      </c>
      <c r="D89" s="77"/>
      <c r="E89" s="17" t="s">
        <v>15</v>
      </c>
      <c r="F89" s="18"/>
      <c r="G89" s="18"/>
      <c r="H89" s="20">
        <f>SUMIFS(領用表!$L:$L,領用表!$E:$E,$B89,領用表!$B:$B,H$2&amp;$P$1)</f>
        <v>0</v>
      </c>
      <c r="I89" s="20">
        <f>SUMIFS(領用表!$L:$L,領用表!$E:$E,$B89,領用表!$B:$B,I$2&amp;$P$1)</f>
        <v>0</v>
      </c>
      <c r="J89" s="20">
        <f>SUMIFS(領用表!$L:$L,領用表!$E:$E,$B89,領用表!$B:$B,J$2&amp;$P$1)</f>
        <v>0</v>
      </c>
      <c r="K89" s="142">
        <f>SUMIFS(領用表!$L:$L,領用表!$E:$E,$B89,領用表!$B:$B,K$2&amp;$P$1)</f>
        <v>0</v>
      </c>
      <c r="L89" s="142">
        <f>SUMIFS(領用表!$L:$L,領用表!$E:$E,$B89,領用表!$B:$B,L$2&amp;$P$1)</f>
        <v>0</v>
      </c>
      <c r="M89" s="142">
        <f>SUMIFS(領用表!$L:$L,領用表!$E:$E,$B89,領用表!$B:$B,M$2&amp;$P$1)</f>
        <v>0</v>
      </c>
      <c r="N89" s="23">
        <f t="shared" si="14"/>
        <v>0</v>
      </c>
      <c r="O89" s="23">
        <f t="shared" si="15"/>
        <v>0</v>
      </c>
      <c r="P89" s="142">
        <f>SUMIFS(領用表!$L:$L,領用表!$E:$E,$B89,領用表!$B:$B,P$2&amp;$P$1)</f>
        <v>0</v>
      </c>
      <c r="Q89" s="142">
        <f>SUMIFS(領用表!$L:$L,領用表!$E:$E,$B89,領用表!$B:$B,Q$2&amp;$P$1)</f>
        <v>0</v>
      </c>
      <c r="R89" s="142">
        <f>SUMIFS(領用表!$L:$L,領用表!$E:$E,$B89,領用表!$B:$B,R$2&amp;$P$1)</f>
        <v>0</v>
      </c>
      <c r="S89" s="142">
        <f>SUMIFS(領用表!$L:$L,領用表!$E:$E,$B89,領用表!$B:$B,S$2&amp;$P$1)</f>
        <v>0</v>
      </c>
      <c r="T89" s="142">
        <f>SUMIFS(領用表!$L:$L,領用表!$E:$E,$B89,領用表!$B:$B,T$2&amp;$P$1)</f>
        <v>0</v>
      </c>
      <c r="U89" s="142">
        <f>SUMIFS(領用表!$L:$L,領用表!$E:$E,$B89,領用表!$B:$B,U$2&amp;$P$1)</f>
        <v>0</v>
      </c>
      <c r="V89" s="142">
        <f>SUMIFS(領用表!$L:$L,領用表!$E:$E,$B89,領用表!$B:$B,V$2&amp;$P$1)</f>
        <v>0</v>
      </c>
      <c r="W89" s="142">
        <f>SUMIFS(領用表!$L:$L,領用表!$E:$E,$B89,領用表!$B:$B,W$2&amp;$P$1)</f>
        <v>0</v>
      </c>
      <c r="X89" s="142">
        <f>SUMIFS(領用表!$L:$L,領用表!$E:$E,$B89,領用表!$B:$B,X$2&amp;$P$1)</f>
        <v>0</v>
      </c>
      <c r="Y89" s="142">
        <f>SUMIFS(領用表!$L:$L,領用表!$E:$E,$B89,領用表!$B:$B,Y$2&amp;$P$1)</f>
        <v>0</v>
      </c>
      <c r="Z89" s="142">
        <f>SUMIFS(領用表!$L:$L,領用表!$E:$E,$B89,領用表!$B:$B,Z$2&amp;$P$1)</f>
        <v>0</v>
      </c>
      <c r="AA89" s="142">
        <f>SUMIFS(領用表!$L:$L,領用表!$E:$E,$B89,領用表!$B:$B,AA$2&amp;$P$1)</f>
        <v>0</v>
      </c>
      <c r="AB89" s="142">
        <f t="shared" si="12"/>
        <v>0</v>
      </c>
      <c r="AC89" s="142">
        <f t="shared" si="13"/>
        <v>0</v>
      </c>
      <c r="AD89" s="142">
        <f>SUMIF(Summary!B:B,B89,Summary!DW:DW)</f>
        <v>0</v>
      </c>
      <c r="AE89" s="109"/>
      <c r="AF89" s="65"/>
      <c r="AG89" s="76" t="s">
        <v>192</v>
      </c>
      <c r="AH89" s="76"/>
      <c r="AI89" s="27"/>
      <c r="AJ89" s="27"/>
      <c r="AK89" s="14"/>
      <c r="AL89" s="14"/>
    </row>
    <row r="90" spans="1:38" ht="16.5">
      <c r="A90" s="27" t="s">
        <v>193</v>
      </c>
      <c r="B90" s="14" t="e">
        <v>#N/A</v>
      </c>
      <c r="C90" s="136" t="s">
        <v>566</v>
      </c>
      <c r="D90" s="77"/>
      <c r="E90" s="17" t="s">
        <v>15</v>
      </c>
      <c r="F90" s="18"/>
      <c r="G90" s="18"/>
      <c r="H90" s="20">
        <f>SUMIFS(領用表!$L:$L,領用表!$E:$E,$B90,領用表!$B:$B,H$2&amp;$P$1)</f>
        <v>0</v>
      </c>
      <c r="I90" s="20">
        <f>SUMIFS(領用表!$L:$L,領用表!$E:$E,$B90,領用表!$B:$B,I$2&amp;$P$1)</f>
        <v>0</v>
      </c>
      <c r="J90" s="20">
        <f>SUMIFS(領用表!$L:$L,領用表!$E:$E,$B90,領用表!$B:$B,J$2&amp;$P$1)</f>
        <v>0</v>
      </c>
      <c r="K90" s="142">
        <f>SUMIFS(領用表!$L:$L,領用表!$E:$E,$B90,領用表!$B:$B,K$2&amp;$P$1)</f>
        <v>0</v>
      </c>
      <c r="L90" s="142">
        <f>SUMIFS(領用表!$L:$L,領用表!$E:$E,$B90,領用表!$B:$B,L$2&amp;$P$1)</f>
        <v>0</v>
      </c>
      <c r="M90" s="142">
        <f>SUMIFS(領用表!$L:$L,領用表!$E:$E,$B90,領用表!$B:$B,M$2&amp;$P$1)</f>
        <v>0</v>
      </c>
      <c r="N90" s="23">
        <f t="shared" si="14"/>
        <v>0</v>
      </c>
      <c r="O90" s="23">
        <f t="shared" si="15"/>
        <v>0</v>
      </c>
      <c r="P90" s="142">
        <f>SUMIFS(領用表!$L:$L,領用表!$E:$E,$B90,領用表!$B:$B,P$2&amp;$P$1)</f>
        <v>0</v>
      </c>
      <c r="Q90" s="142">
        <f>SUMIFS(領用表!$L:$L,領用表!$E:$E,$B90,領用表!$B:$B,Q$2&amp;$P$1)</f>
        <v>0</v>
      </c>
      <c r="R90" s="142">
        <f>SUMIFS(領用表!$L:$L,領用表!$E:$E,$B90,領用表!$B:$B,R$2&amp;$P$1)</f>
        <v>0</v>
      </c>
      <c r="S90" s="142">
        <f>SUMIFS(領用表!$L:$L,領用表!$E:$E,$B90,領用表!$B:$B,S$2&amp;$P$1)</f>
        <v>0</v>
      </c>
      <c r="T90" s="142">
        <f>SUMIFS(領用表!$L:$L,領用表!$E:$E,$B90,領用表!$B:$B,T$2&amp;$P$1)</f>
        <v>0</v>
      </c>
      <c r="U90" s="142">
        <f>SUMIFS(領用表!$L:$L,領用表!$E:$E,$B90,領用表!$B:$B,U$2&amp;$P$1)</f>
        <v>0</v>
      </c>
      <c r="V90" s="142">
        <f>SUMIFS(領用表!$L:$L,領用表!$E:$E,$B90,領用表!$B:$B,V$2&amp;$P$1)</f>
        <v>0</v>
      </c>
      <c r="W90" s="142">
        <f>SUMIFS(領用表!$L:$L,領用表!$E:$E,$B90,領用表!$B:$B,W$2&amp;$P$1)</f>
        <v>0</v>
      </c>
      <c r="X90" s="142">
        <f>SUMIFS(領用表!$L:$L,領用表!$E:$E,$B90,領用表!$B:$B,X$2&amp;$P$1)</f>
        <v>0</v>
      </c>
      <c r="Y90" s="142">
        <f>SUMIFS(領用表!$L:$L,領用表!$E:$E,$B90,領用表!$B:$B,Y$2&amp;$P$1)</f>
        <v>0</v>
      </c>
      <c r="Z90" s="142">
        <f>SUMIFS(領用表!$L:$L,領用表!$E:$E,$B90,領用表!$B:$B,Z$2&amp;$P$1)</f>
        <v>0</v>
      </c>
      <c r="AA90" s="142">
        <f>SUMIFS(領用表!$L:$L,領用表!$E:$E,$B90,領用表!$B:$B,AA$2&amp;$P$1)</f>
        <v>0</v>
      </c>
      <c r="AB90" s="142">
        <f t="shared" si="12"/>
        <v>0</v>
      </c>
      <c r="AC90" s="142">
        <f t="shared" si="13"/>
        <v>0</v>
      </c>
      <c r="AD90" s="142">
        <f>SUMIF(Summary!B:B,B90,Summary!DW:DW)</f>
        <v>0</v>
      </c>
      <c r="AE90" s="109"/>
      <c r="AF90" s="65"/>
      <c r="AG90" s="76"/>
      <c r="AH90" s="76"/>
      <c r="AI90" s="27"/>
      <c r="AJ90" s="27"/>
      <c r="AK90" s="14"/>
      <c r="AL90" s="14"/>
    </row>
    <row r="91" spans="1:38" ht="16.5">
      <c r="A91" s="27" t="s">
        <v>194</v>
      </c>
      <c r="B91" s="14" t="e">
        <v>#N/A</v>
      </c>
      <c r="C91" s="136" t="s">
        <v>567</v>
      </c>
      <c r="D91" s="77"/>
      <c r="E91" s="17" t="s">
        <v>15</v>
      </c>
      <c r="F91" s="18"/>
      <c r="G91" s="18"/>
      <c r="H91" s="20">
        <f>SUMIFS(領用表!$L:$L,領用表!$E:$E,$B91,領用表!$B:$B,H$2&amp;$P$1)</f>
        <v>0</v>
      </c>
      <c r="I91" s="20">
        <f>SUMIFS(領用表!$L:$L,領用表!$E:$E,$B91,領用表!$B:$B,I$2&amp;$P$1)</f>
        <v>0</v>
      </c>
      <c r="J91" s="20">
        <f>SUMIFS(領用表!$L:$L,領用表!$E:$E,$B91,領用表!$B:$B,J$2&amp;$P$1)</f>
        <v>0</v>
      </c>
      <c r="K91" s="142">
        <f>SUMIFS(領用表!$L:$L,領用表!$E:$E,$B91,領用表!$B:$B,K$2&amp;$P$1)</f>
        <v>0</v>
      </c>
      <c r="L91" s="142">
        <f>SUMIFS(領用表!$L:$L,領用表!$E:$E,$B91,領用表!$B:$B,L$2&amp;$P$1)</f>
        <v>0</v>
      </c>
      <c r="M91" s="142">
        <f>SUMIFS(領用表!$L:$L,領用表!$E:$E,$B91,領用表!$B:$B,M$2&amp;$P$1)</f>
        <v>0</v>
      </c>
      <c r="N91" s="23">
        <f t="shared" si="14"/>
        <v>0</v>
      </c>
      <c r="O91" s="23">
        <f t="shared" si="15"/>
        <v>0</v>
      </c>
      <c r="P91" s="142">
        <f>SUMIFS(領用表!$L:$L,領用表!$E:$E,$B91,領用表!$B:$B,P$2&amp;$P$1)</f>
        <v>0</v>
      </c>
      <c r="Q91" s="142">
        <f>SUMIFS(領用表!$L:$L,領用表!$E:$E,$B91,領用表!$B:$B,Q$2&amp;$P$1)</f>
        <v>0</v>
      </c>
      <c r="R91" s="142">
        <f>SUMIFS(領用表!$L:$L,領用表!$E:$E,$B91,領用表!$B:$B,R$2&amp;$P$1)</f>
        <v>0</v>
      </c>
      <c r="S91" s="142">
        <f>SUMIFS(領用表!$L:$L,領用表!$E:$E,$B91,領用表!$B:$B,S$2&amp;$P$1)</f>
        <v>0</v>
      </c>
      <c r="T91" s="142">
        <f>SUMIFS(領用表!$L:$L,領用表!$E:$E,$B91,領用表!$B:$B,T$2&amp;$P$1)</f>
        <v>0</v>
      </c>
      <c r="U91" s="142">
        <f>SUMIFS(領用表!$L:$L,領用表!$E:$E,$B91,領用表!$B:$B,U$2&amp;$P$1)</f>
        <v>0</v>
      </c>
      <c r="V91" s="142">
        <f>SUMIFS(領用表!$L:$L,領用表!$E:$E,$B91,領用表!$B:$B,V$2&amp;$P$1)</f>
        <v>0</v>
      </c>
      <c r="W91" s="142">
        <f>SUMIFS(領用表!$L:$L,領用表!$E:$E,$B91,領用表!$B:$B,W$2&amp;$P$1)</f>
        <v>0</v>
      </c>
      <c r="X91" s="142">
        <f>SUMIFS(領用表!$L:$L,領用表!$E:$E,$B91,領用表!$B:$B,X$2&amp;$P$1)</f>
        <v>0</v>
      </c>
      <c r="Y91" s="142">
        <f>SUMIFS(領用表!$L:$L,領用表!$E:$E,$B91,領用表!$B:$B,Y$2&amp;$P$1)</f>
        <v>0</v>
      </c>
      <c r="Z91" s="142">
        <f>SUMIFS(領用表!$L:$L,領用表!$E:$E,$B91,領用表!$B:$B,Z$2&amp;$P$1)</f>
        <v>0</v>
      </c>
      <c r="AA91" s="142">
        <f>SUMIFS(領用表!$L:$L,領用表!$E:$E,$B91,領用表!$B:$B,AA$2&amp;$P$1)</f>
        <v>0</v>
      </c>
      <c r="AB91" s="142">
        <f t="shared" si="12"/>
        <v>0</v>
      </c>
      <c r="AC91" s="142">
        <f t="shared" si="13"/>
        <v>0</v>
      </c>
      <c r="AD91" s="142">
        <f>SUMIF(Summary!B:B,B91,Summary!DW:DW)</f>
        <v>0</v>
      </c>
      <c r="AE91" s="109"/>
      <c r="AF91" s="65"/>
      <c r="AG91" s="76"/>
      <c r="AH91" s="76"/>
    </row>
    <row r="92" spans="1:38" ht="16.5">
      <c r="A92" s="27" t="s">
        <v>195</v>
      </c>
      <c r="B92" s="14" t="e">
        <v>#N/A</v>
      </c>
      <c r="C92" s="136" t="s">
        <v>568</v>
      </c>
      <c r="D92" s="77"/>
      <c r="E92" s="17" t="s">
        <v>15</v>
      </c>
      <c r="F92" s="18"/>
      <c r="G92" s="18"/>
      <c r="H92" s="20">
        <f>SUMIFS(領用表!$L:$L,領用表!$E:$E,$B92,領用表!$B:$B,H$2&amp;$P$1)</f>
        <v>0</v>
      </c>
      <c r="I92" s="20">
        <f>SUMIFS(領用表!$L:$L,領用表!$E:$E,$B92,領用表!$B:$B,I$2&amp;$P$1)</f>
        <v>0</v>
      </c>
      <c r="J92" s="20">
        <f>SUMIFS(領用表!$L:$L,領用表!$E:$E,$B92,領用表!$B:$B,J$2&amp;$P$1)</f>
        <v>0</v>
      </c>
      <c r="K92" s="142">
        <f>SUMIFS(領用表!$L:$L,領用表!$E:$E,$B92,領用表!$B:$B,K$2&amp;$P$1)</f>
        <v>0</v>
      </c>
      <c r="L92" s="142">
        <f>SUMIFS(領用表!$L:$L,領用表!$E:$E,$B92,領用表!$B:$B,L$2&amp;$P$1)</f>
        <v>0</v>
      </c>
      <c r="M92" s="142">
        <f>SUMIFS(領用表!$L:$L,領用表!$E:$E,$B92,領用表!$B:$B,M$2&amp;$P$1)</f>
        <v>0</v>
      </c>
      <c r="N92" s="23">
        <f t="shared" si="14"/>
        <v>0</v>
      </c>
      <c r="O92" s="23">
        <f t="shared" si="15"/>
        <v>0</v>
      </c>
      <c r="P92" s="142">
        <f>SUMIFS(領用表!$L:$L,領用表!$E:$E,$B92,領用表!$B:$B,P$2&amp;$P$1)</f>
        <v>0</v>
      </c>
      <c r="Q92" s="142">
        <f>SUMIFS(領用表!$L:$L,領用表!$E:$E,$B92,領用表!$B:$B,Q$2&amp;$P$1)</f>
        <v>0</v>
      </c>
      <c r="R92" s="142">
        <f>SUMIFS(領用表!$L:$L,領用表!$E:$E,$B92,領用表!$B:$B,R$2&amp;$P$1)</f>
        <v>0</v>
      </c>
      <c r="S92" s="142">
        <f>SUMIFS(領用表!$L:$L,領用表!$E:$E,$B92,領用表!$B:$B,S$2&amp;$P$1)</f>
        <v>0</v>
      </c>
      <c r="T92" s="142">
        <f>SUMIFS(領用表!$L:$L,領用表!$E:$E,$B92,領用表!$B:$B,T$2&amp;$P$1)</f>
        <v>0</v>
      </c>
      <c r="U92" s="142">
        <f>SUMIFS(領用表!$L:$L,領用表!$E:$E,$B92,領用表!$B:$B,U$2&amp;$P$1)</f>
        <v>0</v>
      </c>
      <c r="V92" s="142">
        <f>SUMIFS(領用表!$L:$L,領用表!$E:$E,$B92,領用表!$B:$B,V$2&amp;$P$1)</f>
        <v>0</v>
      </c>
      <c r="W92" s="142">
        <f>SUMIFS(領用表!$L:$L,領用表!$E:$E,$B92,領用表!$B:$B,W$2&amp;$P$1)</f>
        <v>0</v>
      </c>
      <c r="X92" s="142">
        <f>SUMIFS(領用表!$L:$L,領用表!$E:$E,$B92,領用表!$B:$B,X$2&amp;$P$1)</f>
        <v>0</v>
      </c>
      <c r="Y92" s="142">
        <f>SUMIFS(領用表!$L:$L,領用表!$E:$E,$B92,領用表!$B:$B,Y$2&amp;$P$1)</f>
        <v>0</v>
      </c>
      <c r="Z92" s="142">
        <f>SUMIFS(領用表!$L:$L,領用表!$E:$E,$B92,領用表!$B:$B,Z$2&amp;$P$1)</f>
        <v>0</v>
      </c>
      <c r="AA92" s="142">
        <f>SUMIFS(領用表!$L:$L,領用表!$E:$E,$B92,領用表!$B:$B,AA$2&amp;$P$1)</f>
        <v>0</v>
      </c>
      <c r="AB92" s="142">
        <f t="shared" si="12"/>
        <v>0</v>
      </c>
      <c r="AC92" s="142">
        <f t="shared" si="13"/>
        <v>0</v>
      </c>
      <c r="AD92" s="142">
        <f>SUMIF(Summary!B:B,B92,Summary!DW:DW)</f>
        <v>0</v>
      </c>
      <c r="AE92" s="109"/>
      <c r="AF92" s="65"/>
      <c r="AG92" s="76"/>
      <c r="AH92" s="76"/>
      <c r="AI92" s="14"/>
      <c r="AJ92" s="14"/>
      <c r="AK92" s="14"/>
      <c r="AL92" s="14"/>
    </row>
    <row r="93" spans="1:38" ht="16.5">
      <c r="A93" s="27" t="s">
        <v>196</v>
      </c>
      <c r="B93" s="14" t="e">
        <v>#N/A</v>
      </c>
      <c r="C93" s="136" t="s">
        <v>569</v>
      </c>
      <c r="D93" s="77"/>
      <c r="E93" s="17" t="s">
        <v>15</v>
      </c>
      <c r="F93" s="18"/>
      <c r="G93" s="18"/>
      <c r="H93" s="20">
        <f>SUMIFS(領用表!$L:$L,領用表!$E:$E,$B93,領用表!$B:$B,H$2&amp;$P$1)</f>
        <v>0</v>
      </c>
      <c r="I93" s="20">
        <f>SUMIFS(領用表!$L:$L,領用表!$E:$E,$B93,領用表!$B:$B,I$2&amp;$P$1)</f>
        <v>0</v>
      </c>
      <c r="J93" s="20">
        <f>SUMIFS(領用表!$L:$L,領用表!$E:$E,$B93,領用表!$B:$B,J$2&amp;$P$1)</f>
        <v>0</v>
      </c>
      <c r="K93" s="142">
        <f>SUMIFS(領用表!$L:$L,領用表!$E:$E,$B93,領用表!$B:$B,K$2&amp;$P$1)</f>
        <v>0</v>
      </c>
      <c r="L93" s="142">
        <f>SUMIFS(領用表!$L:$L,領用表!$E:$E,$B93,領用表!$B:$B,L$2&amp;$P$1)</f>
        <v>0</v>
      </c>
      <c r="M93" s="142">
        <f>SUMIFS(領用表!$L:$L,領用表!$E:$E,$B93,領用表!$B:$B,M$2&amp;$P$1)</f>
        <v>0</v>
      </c>
      <c r="N93" s="23">
        <f t="shared" si="14"/>
        <v>0</v>
      </c>
      <c r="O93" s="23">
        <f t="shared" si="15"/>
        <v>0</v>
      </c>
      <c r="P93" s="142">
        <f>SUMIFS(領用表!$L:$L,領用表!$E:$E,$B93,領用表!$B:$B,P$2&amp;$P$1)</f>
        <v>0</v>
      </c>
      <c r="Q93" s="142">
        <f>SUMIFS(領用表!$L:$L,領用表!$E:$E,$B93,領用表!$B:$B,Q$2&amp;$P$1)</f>
        <v>0</v>
      </c>
      <c r="R93" s="142">
        <f>SUMIFS(領用表!$L:$L,領用表!$E:$E,$B93,領用表!$B:$B,R$2&amp;$P$1)</f>
        <v>0</v>
      </c>
      <c r="S93" s="142">
        <f>SUMIFS(領用表!$L:$L,領用表!$E:$E,$B93,領用表!$B:$B,S$2&amp;$P$1)</f>
        <v>0</v>
      </c>
      <c r="T93" s="142">
        <f>SUMIFS(領用表!$L:$L,領用表!$E:$E,$B93,領用表!$B:$B,T$2&amp;$P$1)</f>
        <v>0</v>
      </c>
      <c r="U93" s="142">
        <f>SUMIFS(領用表!$L:$L,領用表!$E:$E,$B93,領用表!$B:$B,U$2&amp;$P$1)</f>
        <v>0</v>
      </c>
      <c r="V93" s="142">
        <f>SUMIFS(領用表!$L:$L,領用表!$E:$E,$B93,領用表!$B:$B,V$2&amp;$P$1)</f>
        <v>0</v>
      </c>
      <c r="W93" s="142">
        <f>SUMIFS(領用表!$L:$L,領用表!$E:$E,$B93,領用表!$B:$B,W$2&amp;$P$1)</f>
        <v>0</v>
      </c>
      <c r="X93" s="142">
        <f>SUMIFS(領用表!$L:$L,領用表!$E:$E,$B93,領用表!$B:$B,X$2&amp;$P$1)</f>
        <v>0</v>
      </c>
      <c r="Y93" s="142">
        <f>SUMIFS(領用表!$L:$L,領用表!$E:$E,$B93,領用表!$B:$B,Y$2&amp;$P$1)</f>
        <v>0</v>
      </c>
      <c r="Z93" s="142">
        <f>SUMIFS(領用表!$L:$L,領用表!$E:$E,$B93,領用表!$B:$B,Z$2&amp;$P$1)</f>
        <v>0</v>
      </c>
      <c r="AA93" s="142">
        <f>SUMIFS(領用表!$L:$L,領用表!$E:$E,$B93,領用表!$B:$B,AA$2&amp;$P$1)</f>
        <v>0</v>
      </c>
      <c r="AB93" s="142">
        <f t="shared" si="12"/>
        <v>0</v>
      </c>
      <c r="AC93" s="142">
        <f t="shared" si="13"/>
        <v>0</v>
      </c>
      <c r="AD93" s="142">
        <f>SUMIF(Summary!B:B,B93,Summary!DW:DW)</f>
        <v>0</v>
      </c>
      <c r="AE93" s="109"/>
      <c r="AF93" s="65"/>
      <c r="AG93" s="76"/>
      <c r="AH93" s="76"/>
      <c r="AI93" s="27"/>
      <c r="AJ93" s="27"/>
      <c r="AK93" s="14"/>
      <c r="AL93" s="14"/>
    </row>
    <row r="94" spans="1:38" ht="16.5">
      <c r="A94" s="27" t="s">
        <v>197</v>
      </c>
      <c r="B94" s="14">
        <v>6050007</v>
      </c>
      <c r="C94" s="136" t="s">
        <v>570</v>
      </c>
      <c r="D94" s="77"/>
      <c r="E94" s="17" t="s">
        <v>15</v>
      </c>
      <c r="F94" s="18"/>
      <c r="G94" s="18"/>
      <c r="H94" s="20">
        <f>SUMIFS(領用表!$L:$L,領用表!$E:$E,$B94,領用表!$B:$B,H$2&amp;$P$1)</f>
        <v>0</v>
      </c>
      <c r="I94" s="20">
        <f>SUMIFS(領用表!$L:$L,領用表!$E:$E,$B94,領用表!$B:$B,I$2&amp;$P$1)</f>
        <v>0</v>
      </c>
      <c r="J94" s="20">
        <f>SUMIFS(領用表!$L:$L,領用表!$E:$E,$B94,領用表!$B:$B,J$2&amp;$P$1)</f>
        <v>0</v>
      </c>
      <c r="K94" s="142">
        <f>SUMIFS(領用表!$L:$L,領用表!$E:$E,$B94,領用表!$B:$B,K$2&amp;$P$1)</f>
        <v>0</v>
      </c>
      <c r="L94" s="142">
        <f>SUMIFS(領用表!$L:$L,領用表!$E:$E,$B94,領用表!$B:$B,L$2&amp;$P$1)</f>
        <v>0</v>
      </c>
      <c r="M94" s="142">
        <f>SUMIFS(領用表!$L:$L,領用表!$E:$E,$B94,領用表!$B:$B,M$2&amp;$P$1)</f>
        <v>0</v>
      </c>
      <c r="N94" s="23">
        <f t="shared" si="14"/>
        <v>0</v>
      </c>
      <c r="O94" s="23">
        <f t="shared" si="15"/>
        <v>0</v>
      </c>
      <c r="P94" s="142">
        <f>SUMIFS(領用表!$L:$L,領用表!$E:$E,$B94,領用表!$B:$B,P$2&amp;$P$1)</f>
        <v>0</v>
      </c>
      <c r="Q94" s="142">
        <f>SUMIFS(領用表!$L:$L,領用表!$E:$E,$B94,領用表!$B:$B,Q$2&amp;$P$1)</f>
        <v>0</v>
      </c>
      <c r="R94" s="142">
        <f>SUMIFS(領用表!$L:$L,領用表!$E:$E,$B94,領用表!$B:$B,R$2&amp;$P$1)</f>
        <v>0</v>
      </c>
      <c r="S94" s="142">
        <f>SUMIFS(領用表!$L:$L,領用表!$E:$E,$B94,領用表!$B:$B,S$2&amp;$P$1)</f>
        <v>0</v>
      </c>
      <c r="T94" s="142">
        <f>SUMIFS(領用表!$L:$L,領用表!$E:$E,$B94,領用表!$B:$B,T$2&amp;$P$1)</f>
        <v>0</v>
      </c>
      <c r="U94" s="142">
        <f>SUMIFS(領用表!$L:$L,領用表!$E:$E,$B94,領用表!$B:$B,U$2&amp;$P$1)</f>
        <v>0</v>
      </c>
      <c r="V94" s="142">
        <f>SUMIFS(領用表!$L:$L,領用表!$E:$E,$B94,領用表!$B:$B,V$2&amp;$P$1)</f>
        <v>0</v>
      </c>
      <c r="W94" s="142">
        <f>SUMIFS(領用表!$L:$L,領用表!$E:$E,$B94,領用表!$B:$B,W$2&amp;$P$1)</f>
        <v>0</v>
      </c>
      <c r="X94" s="142">
        <f>SUMIFS(領用表!$L:$L,領用表!$E:$E,$B94,領用表!$B:$B,X$2&amp;$P$1)</f>
        <v>0</v>
      </c>
      <c r="Y94" s="142">
        <f>SUMIFS(領用表!$L:$L,領用表!$E:$E,$B94,領用表!$B:$B,Y$2&amp;$P$1)</f>
        <v>0</v>
      </c>
      <c r="Z94" s="142">
        <f>SUMIFS(領用表!$L:$L,領用表!$E:$E,$B94,領用表!$B:$B,Z$2&amp;$P$1)</f>
        <v>0</v>
      </c>
      <c r="AA94" s="142">
        <f>SUMIFS(領用表!$L:$L,領用表!$E:$E,$B94,領用表!$B:$B,AA$2&amp;$P$1)</f>
        <v>0</v>
      </c>
      <c r="AB94" s="142">
        <f t="shared" si="12"/>
        <v>0</v>
      </c>
      <c r="AC94" s="142">
        <f t="shared" si="13"/>
        <v>0</v>
      </c>
      <c r="AD94" s="142">
        <f>SUMIF(Summary!B:B,B94,Summary!DW:DW)</f>
        <v>0</v>
      </c>
      <c r="AE94" s="109"/>
      <c r="AF94" s="65"/>
      <c r="AG94" s="76"/>
      <c r="AH94" s="76"/>
      <c r="AI94" s="27"/>
      <c r="AJ94" s="27"/>
      <c r="AK94" s="14"/>
      <c r="AL94" s="14"/>
    </row>
    <row r="95" spans="1:38" ht="15.75" customHeight="1">
      <c r="A95" s="27" t="s">
        <v>198</v>
      </c>
      <c r="B95" s="14">
        <v>6230002</v>
      </c>
      <c r="C95" s="136" t="s">
        <v>571</v>
      </c>
      <c r="D95" s="77"/>
      <c r="E95" s="17" t="s">
        <v>15</v>
      </c>
      <c r="F95" s="18"/>
      <c r="G95" s="18"/>
      <c r="H95" s="20">
        <f>SUMIFS(領用表!$L:$L,領用表!$E:$E,$B95,領用表!$B:$B,H$2&amp;$P$1)</f>
        <v>0</v>
      </c>
      <c r="I95" s="20">
        <f>SUMIFS(領用表!$L:$L,領用表!$E:$E,$B95,領用表!$B:$B,I$2&amp;$P$1)</f>
        <v>0</v>
      </c>
      <c r="J95" s="20">
        <f>SUMIFS(領用表!$L:$L,領用表!$E:$E,$B95,領用表!$B:$B,J$2&amp;$P$1)</f>
        <v>0</v>
      </c>
      <c r="K95" s="142">
        <f>SUMIFS(領用表!$L:$L,領用表!$E:$E,$B95,領用表!$B:$B,K$2&amp;$P$1)</f>
        <v>0</v>
      </c>
      <c r="L95" s="142">
        <f>SUMIFS(領用表!$L:$L,領用表!$E:$E,$B95,領用表!$B:$B,L$2&amp;$P$1)</f>
        <v>0</v>
      </c>
      <c r="M95" s="142">
        <f>SUMIFS(領用表!$L:$L,領用表!$E:$E,$B95,領用表!$B:$B,M$2&amp;$P$1)</f>
        <v>0</v>
      </c>
      <c r="N95" s="23">
        <f t="shared" si="14"/>
        <v>0</v>
      </c>
      <c r="O95" s="23">
        <f t="shared" si="15"/>
        <v>0</v>
      </c>
      <c r="P95" s="142">
        <f>SUMIFS(領用表!$L:$L,領用表!$E:$E,$B95,領用表!$B:$B,P$2&amp;$P$1)</f>
        <v>0</v>
      </c>
      <c r="Q95" s="142">
        <f>SUMIFS(領用表!$L:$L,領用表!$E:$E,$B95,領用表!$B:$B,Q$2&amp;$P$1)</f>
        <v>0</v>
      </c>
      <c r="R95" s="142">
        <f>SUMIFS(領用表!$L:$L,領用表!$E:$E,$B95,領用表!$B:$B,R$2&amp;$P$1)</f>
        <v>0</v>
      </c>
      <c r="S95" s="142">
        <f>SUMIFS(領用表!$L:$L,領用表!$E:$E,$B95,領用表!$B:$B,S$2&amp;$P$1)</f>
        <v>0</v>
      </c>
      <c r="T95" s="142">
        <f>SUMIFS(領用表!$L:$L,領用表!$E:$E,$B95,領用表!$B:$B,T$2&amp;$P$1)</f>
        <v>0</v>
      </c>
      <c r="U95" s="142">
        <f>SUMIFS(領用表!$L:$L,領用表!$E:$E,$B95,領用表!$B:$B,U$2&amp;$P$1)</f>
        <v>0</v>
      </c>
      <c r="V95" s="142">
        <f>SUMIFS(領用表!$L:$L,領用表!$E:$E,$B95,領用表!$B:$B,V$2&amp;$P$1)</f>
        <v>0</v>
      </c>
      <c r="W95" s="142">
        <f>SUMIFS(領用表!$L:$L,領用表!$E:$E,$B95,領用表!$B:$B,W$2&amp;$P$1)</f>
        <v>0</v>
      </c>
      <c r="X95" s="142">
        <f>SUMIFS(領用表!$L:$L,領用表!$E:$E,$B95,領用表!$B:$B,X$2&amp;$P$1)</f>
        <v>0</v>
      </c>
      <c r="Y95" s="142">
        <f>SUMIFS(領用表!$L:$L,領用表!$E:$E,$B95,領用表!$B:$B,Y$2&amp;$P$1)</f>
        <v>0</v>
      </c>
      <c r="Z95" s="142">
        <f>SUMIFS(領用表!$L:$L,領用表!$E:$E,$B95,領用表!$B:$B,Z$2&amp;$P$1)</f>
        <v>0</v>
      </c>
      <c r="AA95" s="142">
        <f>SUMIFS(領用表!$L:$L,領用表!$E:$E,$B95,領用表!$B:$B,AA$2&amp;$P$1)</f>
        <v>0</v>
      </c>
      <c r="AB95" s="142">
        <f t="shared" si="12"/>
        <v>0</v>
      </c>
      <c r="AC95" s="142">
        <f t="shared" si="13"/>
        <v>0</v>
      </c>
      <c r="AD95" s="142">
        <f>SUMIF(Summary!B:B,B95,Summary!DW:DW)</f>
        <v>0</v>
      </c>
      <c r="AE95" s="109"/>
      <c r="AF95" s="65"/>
      <c r="AG95" s="76"/>
      <c r="AH95" s="76"/>
      <c r="AI95" s="27"/>
      <c r="AJ95" s="27"/>
      <c r="AK95" s="14"/>
      <c r="AL95" s="14"/>
    </row>
    <row r="96" spans="1:38" ht="15.75" hidden="1" customHeight="1">
      <c r="A96" s="27" t="s">
        <v>199</v>
      </c>
      <c r="B96" s="14" t="e">
        <v>#N/A</v>
      </c>
      <c r="C96" s="136" t="s">
        <v>572</v>
      </c>
      <c r="D96" s="77"/>
      <c r="E96" s="17" t="s">
        <v>15</v>
      </c>
      <c r="F96" s="18"/>
      <c r="G96" s="18"/>
      <c r="H96" s="20">
        <f>SUMIFS(領用表!$L:$L,領用表!$E:$E,$B96,領用表!$B:$B,H$2&amp;$P$1)</f>
        <v>0</v>
      </c>
      <c r="I96" s="20">
        <f>SUMIFS(領用表!$L:$L,領用表!$E:$E,$B96,領用表!$B:$B,I$2&amp;$P$1)</f>
        <v>0</v>
      </c>
      <c r="J96" s="20">
        <f>SUMIFS(領用表!$L:$L,領用表!$E:$E,$B96,領用表!$B:$B,J$2&amp;$P$1)</f>
        <v>0</v>
      </c>
      <c r="K96" s="142">
        <f>SUMIFS(領用表!$L:$L,領用表!$E:$E,$B96,領用表!$B:$B,K$2&amp;$P$1)</f>
        <v>0</v>
      </c>
      <c r="L96" s="142">
        <f>SUMIFS(領用表!$L:$L,領用表!$E:$E,$B96,領用表!$B:$B,L$2&amp;$P$1)</f>
        <v>0</v>
      </c>
      <c r="M96" s="142">
        <f>SUMIFS(領用表!$L:$L,領用表!$E:$E,$B96,領用表!$B:$B,M$2&amp;$P$1)</f>
        <v>0</v>
      </c>
      <c r="N96" s="23">
        <f t="shared" si="14"/>
        <v>0</v>
      </c>
      <c r="O96" s="23">
        <f t="shared" si="15"/>
        <v>0</v>
      </c>
      <c r="P96" s="142">
        <f>SUMIFS(領用表!$L:$L,領用表!$E:$E,$B96,領用表!$B:$B,P$2&amp;$P$1)</f>
        <v>0</v>
      </c>
      <c r="Q96" s="142">
        <f>SUMIFS(領用表!$L:$L,領用表!$E:$E,$B96,領用表!$B:$B,Q$2&amp;$P$1)</f>
        <v>0</v>
      </c>
      <c r="R96" s="142">
        <f>SUMIFS(領用表!$L:$L,領用表!$E:$E,$B96,領用表!$B:$B,R$2&amp;$P$1)</f>
        <v>0</v>
      </c>
      <c r="S96" s="142">
        <f>SUMIFS(領用表!$L:$L,領用表!$E:$E,$B96,領用表!$B:$B,S$2&amp;$P$1)</f>
        <v>0</v>
      </c>
      <c r="T96" s="142">
        <f>SUMIFS(領用表!$L:$L,領用表!$E:$E,$B96,領用表!$B:$B,T$2&amp;$P$1)</f>
        <v>0</v>
      </c>
      <c r="U96" s="142">
        <f>SUMIFS(領用表!$L:$L,領用表!$E:$E,$B96,領用表!$B:$B,U$2&amp;$P$1)</f>
        <v>0</v>
      </c>
      <c r="V96" s="142">
        <f>SUMIFS(領用表!$L:$L,領用表!$E:$E,$B96,領用表!$B:$B,V$2&amp;$P$1)</f>
        <v>0</v>
      </c>
      <c r="W96" s="142">
        <f>SUMIFS(領用表!$L:$L,領用表!$E:$E,$B96,領用表!$B:$B,W$2&amp;$P$1)</f>
        <v>0</v>
      </c>
      <c r="X96" s="142">
        <f>SUMIFS(領用表!$L:$L,領用表!$E:$E,$B96,領用表!$B:$B,X$2&amp;$P$1)</f>
        <v>0</v>
      </c>
      <c r="Y96" s="142">
        <f>SUMIFS(領用表!$L:$L,領用表!$E:$E,$B96,領用表!$B:$B,Y$2&amp;$P$1)</f>
        <v>0</v>
      </c>
      <c r="Z96" s="142">
        <f>SUMIFS(領用表!$L:$L,領用表!$E:$E,$B96,領用表!$B:$B,Z$2&amp;$P$1)</f>
        <v>0</v>
      </c>
      <c r="AA96" s="142">
        <f>SUMIFS(領用表!$L:$L,領用表!$E:$E,$B96,領用表!$B:$B,AA$2&amp;$P$1)</f>
        <v>0</v>
      </c>
      <c r="AB96" s="142">
        <f t="shared" si="12"/>
        <v>0</v>
      </c>
      <c r="AC96" s="142">
        <f t="shared" si="13"/>
        <v>0</v>
      </c>
      <c r="AD96" s="142">
        <f>SUMIF(Summary!B:B,B96,Summary!DW:DW)</f>
        <v>0</v>
      </c>
      <c r="AE96" s="109"/>
      <c r="AF96" s="65"/>
      <c r="AG96" s="65"/>
      <c r="AH96" s="65"/>
      <c r="AI96" s="27"/>
      <c r="AJ96" s="27"/>
      <c r="AK96" s="14"/>
      <c r="AL96" s="14"/>
    </row>
    <row r="97" spans="1:38" ht="15.75" customHeight="1">
      <c r="A97" s="27" t="s">
        <v>200</v>
      </c>
      <c r="B97" s="14">
        <v>6060002</v>
      </c>
      <c r="C97" s="136" t="s">
        <v>573</v>
      </c>
      <c r="D97" s="77"/>
      <c r="E97" s="17" t="s">
        <v>15</v>
      </c>
      <c r="F97" s="18"/>
      <c r="G97" s="18"/>
      <c r="H97" s="20">
        <f>SUMIFS(領用表!$L:$L,領用表!$E:$E,$B97,領用表!$B:$B,H$2&amp;$P$1)</f>
        <v>0</v>
      </c>
      <c r="I97" s="20">
        <f>SUMIFS(領用表!$L:$L,領用表!$E:$E,$B97,領用表!$B:$B,I$2&amp;$P$1)</f>
        <v>0</v>
      </c>
      <c r="J97" s="20">
        <f>SUMIFS(領用表!$L:$L,領用表!$E:$E,$B97,領用表!$B:$B,J$2&amp;$P$1)</f>
        <v>0</v>
      </c>
      <c r="K97" s="142">
        <f>SUMIFS(領用表!$L:$L,領用表!$E:$E,$B97,領用表!$B:$B,K$2&amp;$P$1)</f>
        <v>0</v>
      </c>
      <c r="L97" s="142">
        <f>SUMIFS(領用表!$L:$L,領用表!$E:$E,$B97,領用表!$B:$B,L$2&amp;$P$1)</f>
        <v>0</v>
      </c>
      <c r="M97" s="142">
        <f>SUMIFS(領用表!$L:$L,領用表!$E:$E,$B97,領用表!$B:$B,M$2&amp;$P$1)</f>
        <v>0</v>
      </c>
      <c r="N97" s="23">
        <f t="shared" si="14"/>
        <v>0</v>
      </c>
      <c r="O97" s="23">
        <f t="shared" si="15"/>
        <v>0</v>
      </c>
      <c r="P97" s="142">
        <f>SUMIFS(領用表!$L:$L,領用表!$E:$E,$B97,領用表!$B:$B,P$2&amp;$P$1)</f>
        <v>0</v>
      </c>
      <c r="Q97" s="142">
        <f>SUMIFS(領用表!$L:$L,領用表!$E:$E,$B97,領用表!$B:$B,Q$2&amp;$P$1)</f>
        <v>0</v>
      </c>
      <c r="R97" s="142">
        <f>SUMIFS(領用表!$L:$L,領用表!$E:$E,$B97,領用表!$B:$B,R$2&amp;$P$1)</f>
        <v>0</v>
      </c>
      <c r="S97" s="142">
        <f>SUMIFS(領用表!$L:$L,領用表!$E:$E,$B97,領用表!$B:$B,S$2&amp;$P$1)</f>
        <v>0</v>
      </c>
      <c r="T97" s="142">
        <f>SUMIFS(領用表!$L:$L,領用表!$E:$E,$B97,領用表!$B:$B,T$2&amp;$P$1)</f>
        <v>0</v>
      </c>
      <c r="U97" s="142">
        <f>SUMIFS(領用表!$L:$L,領用表!$E:$E,$B97,領用表!$B:$B,U$2&amp;$P$1)</f>
        <v>0</v>
      </c>
      <c r="V97" s="142">
        <f>SUMIFS(領用表!$L:$L,領用表!$E:$E,$B97,領用表!$B:$B,V$2&amp;$P$1)</f>
        <v>0</v>
      </c>
      <c r="W97" s="142">
        <f>SUMIFS(領用表!$L:$L,領用表!$E:$E,$B97,領用表!$B:$B,W$2&amp;$P$1)</f>
        <v>0</v>
      </c>
      <c r="X97" s="142">
        <f>SUMIFS(領用表!$L:$L,領用表!$E:$E,$B97,領用表!$B:$B,X$2&amp;$P$1)</f>
        <v>0</v>
      </c>
      <c r="Y97" s="142">
        <f>SUMIFS(領用表!$L:$L,領用表!$E:$E,$B97,領用表!$B:$B,Y$2&amp;$P$1)</f>
        <v>0</v>
      </c>
      <c r="Z97" s="142">
        <f>SUMIFS(領用表!$L:$L,領用表!$E:$E,$B97,領用表!$B:$B,Z$2&amp;$P$1)</f>
        <v>0</v>
      </c>
      <c r="AA97" s="142">
        <f>SUMIFS(領用表!$L:$L,領用表!$E:$E,$B97,領用表!$B:$B,AA$2&amp;$P$1)</f>
        <v>0</v>
      </c>
      <c r="AB97" s="142">
        <f t="shared" si="12"/>
        <v>0</v>
      </c>
      <c r="AC97" s="142">
        <f t="shared" si="13"/>
        <v>0</v>
      </c>
      <c r="AD97" s="142">
        <f>SUMIF(Summary!B:B,B97,Summary!DW:DW)</f>
        <v>0</v>
      </c>
      <c r="AE97" s="109"/>
      <c r="AF97" s="65"/>
      <c r="AG97" s="65"/>
      <c r="AH97" s="65"/>
      <c r="AI97" s="27"/>
      <c r="AJ97" s="27"/>
      <c r="AK97" s="14"/>
      <c r="AL97" s="14"/>
    </row>
    <row r="98" spans="1:38" ht="15.75" customHeight="1">
      <c r="A98" s="27" t="s">
        <v>201</v>
      </c>
      <c r="B98" s="14">
        <v>6230001</v>
      </c>
      <c r="C98" s="136" t="s">
        <v>574</v>
      </c>
      <c r="D98" s="77"/>
      <c r="E98" s="17" t="s">
        <v>15</v>
      </c>
      <c r="F98" s="18"/>
      <c r="G98" s="18"/>
      <c r="H98" s="20">
        <f>SUMIFS(領用表!$L:$L,領用表!$E:$E,$B98,領用表!$B:$B,H$2&amp;$P$1)</f>
        <v>0</v>
      </c>
      <c r="I98" s="20">
        <f>SUMIFS(領用表!$L:$L,領用表!$E:$E,$B98,領用表!$B:$B,I$2&amp;$P$1)</f>
        <v>0</v>
      </c>
      <c r="J98" s="20">
        <f>SUMIFS(領用表!$L:$L,領用表!$E:$E,$B98,領用表!$B:$B,J$2&amp;$P$1)</f>
        <v>0</v>
      </c>
      <c r="K98" s="142">
        <f>SUMIFS(領用表!$L:$L,領用表!$E:$E,$B98,領用表!$B:$B,K$2&amp;$P$1)</f>
        <v>0</v>
      </c>
      <c r="L98" s="142">
        <f>SUMIFS(領用表!$L:$L,領用表!$E:$E,$B98,領用表!$B:$B,L$2&amp;$P$1)</f>
        <v>0</v>
      </c>
      <c r="M98" s="142">
        <f>SUMIFS(領用表!$L:$L,領用表!$E:$E,$B98,領用表!$B:$B,M$2&amp;$P$1)</f>
        <v>0</v>
      </c>
      <c r="N98" s="23">
        <f t="shared" si="14"/>
        <v>0</v>
      </c>
      <c r="O98" s="23">
        <f t="shared" si="15"/>
        <v>0</v>
      </c>
      <c r="P98" s="142">
        <f>SUMIFS(領用表!$L:$L,領用表!$E:$E,$B98,領用表!$B:$B,P$2&amp;$P$1)</f>
        <v>0</v>
      </c>
      <c r="Q98" s="142">
        <f>SUMIFS(領用表!$L:$L,領用表!$E:$E,$B98,領用表!$B:$B,Q$2&amp;$P$1)</f>
        <v>0</v>
      </c>
      <c r="R98" s="142">
        <f>SUMIFS(領用表!$L:$L,領用表!$E:$E,$B98,領用表!$B:$B,R$2&amp;$P$1)</f>
        <v>0</v>
      </c>
      <c r="S98" s="142">
        <f>SUMIFS(領用表!$L:$L,領用表!$E:$E,$B98,領用表!$B:$B,S$2&amp;$P$1)</f>
        <v>0</v>
      </c>
      <c r="T98" s="142">
        <f>SUMIFS(領用表!$L:$L,領用表!$E:$E,$B98,領用表!$B:$B,T$2&amp;$P$1)</f>
        <v>0</v>
      </c>
      <c r="U98" s="142">
        <f>SUMIFS(領用表!$L:$L,領用表!$E:$E,$B98,領用表!$B:$B,U$2&amp;$P$1)</f>
        <v>0</v>
      </c>
      <c r="V98" s="142">
        <f>SUMIFS(領用表!$L:$L,領用表!$E:$E,$B98,領用表!$B:$B,V$2&amp;$P$1)</f>
        <v>0</v>
      </c>
      <c r="W98" s="142">
        <f>SUMIFS(領用表!$L:$L,領用表!$E:$E,$B98,領用表!$B:$B,W$2&amp;$P$1)</f>
        <v>0</v>
      </c>
      <c r="X98" s="142">
        <f>SUMIFS(領用表!$L:$L,領用表!$E:$E,$B98,領用表!$B:$B,X$2&amp;$P$1)</f>
        <v>0</v>
      </c>
      <c r="Y98" s="142">
        <f>SUMIFS(領用表!$L:$L,領用表!$E:$E,$B98,領用表!$B:$B,Y$2&amp;$P$1)</f>
        <v>0</v>
      </c>
      <c r="Z98" s="142">
        <f>SUMIFS(領用表!$L:$L,領用表!$E:$E,$B98,領用表!$B:$B,Z$2&amp;$P$1)</f>
        <v>0</v>
      </c>
      <c r="AA98" s="142">
        <f>SUMIFS(領用表!$L:$L,領用表!$E:$E,$B98,領用表!$B:$B,AA$2&amp;$P$1)</f>
        <v>0</v>
      </c>
      <c r="AB98" s="142">
        <f t="shared" si="12"/>
        <v>0</v>
      </c>
      <c r="AC98" s="142">
        <f t="shared" si="13"/>
        <v>0</v>
      </c>
      <c r="AD98" s="142">
        <f>SUMIF(Summary!B:B,B98,Summary!DW:DW)</f>
        <v>0</v>
      </c>
      <c r="AE98" s="109"/>
      <c r="AF98" s="65"/>
      <c r="AG98" s="65"/>
      <c r="AH98" s="65"/>
    </row>
    <row r="99" spans="1:38" ht="15.75" customHeight="1">
      <c r="A99" s="27" t="s">
        <v>202</v>
      </c>
      <c r="B99" s="14">
        <v>6070001</v>
      </c>
      <c r="C99" s="136" t="s">
        <v>575</v>
      </c>
      <c r="D99" s="77"/>
      <c r="E99" s="17" t="s">
        <v>15</v>
      </c>
      <c r="F99" s="18"/>
      <c r="G99" s="18"/>
      <c r="H99" s="20">
        <f>SUMIFS(領用表!$L:$L,領用表!$E:$E,$B99,領用表!$B:$B,H$2&amp;$P$1)</f>
        <v>0</v>
      </c>
      <c r="I99" s="20">
        <f>SUMIFS(領用表!$L:$L,領用表!$E:$E,$B99,領用表!$B:$B,I$2&amp;$P$1)</f>
        <v>0</v>
      </c>
      <c r="J99" s="20">
        <f>SUMIFS(領用表!$L:$L,領用表!$E:$E,$B99,領用表!$B:$B,J$2&amp;$P$1)</f>
        <v>0</v>
      </c>
      <c r="K99" s="142">
        <f>SUMIFS(領用表!$L:$L,領用表!$E:$E,$B99,領用表!$B:$B,K$2&amp;$P$1)</f>
        <v>0</v>
      </c>
      <c r="L99" s="142">
        <f>SUMIFS(領用表!$L:$L,領用表!$E:$E,$B99,領用表!$B:$B,L$2&amp;$P$1)</f>
        <v>0</v>
      </c>
      <c r="M99" s="142">
        <f>SUMIFS(領用表!$L:$L,領用表!$E:$E,$B99,領用表!$B:$B,M$2&amp;$P$1)</f>
        <v>0</v>
      </c>
      <c r="N99" s="23">
        <f t="shared" si="14"/>
        <v>0</v>
      </c>
      <c r="O99" s="23">
        <f t="shared" si="15"/>
        <v>0</v>
      </c>
      <c r="P99" s="142">
        <f>SUMIFS(領用表!$L:$L,領用表!$E:$E,$B99,領用表!$B:$B,P$2&amp;$P$1)</f>
        <v>0</v>
      </c>
      <c r="Q99" s="142">
        <f>SUMIFS(領用表!$L:$L,領用表!$E:$E,$B99,領用表!$B:$B,Q$2&amp;$P$1)</f>
        <v>0</v>
      </c>
      <c r="R99" s="142">
        <f>SUMIFS(領用表!$L:$L,領用表!$E:$E,$B99,領用表!$B:$B,R$2&amp;$P$1)</f>
        <v>0</v>
      </c>
      <c r="S99" s="142">
        <f>SUMIFS(領用表!$L:$L,領用表!$E:$E,$B99,領用表!$B:$B,S$2&amp;$P$1)</f>
        <v>0</v>
      </c>
      <c r="T99" s="142">
        <f>SUMIFS(領用表!$L:$L,領用表!$E:$E,$B99,領用表!$B:$B,T$2&amp;$P$1)</f>
        <v>0</v>
      </c>
      <c r="U99" s="142">
        <f>SUMIFS(領用表!$L:$L,領用表!$E:$E,$B99,領用表!$B:$B,U$2&amp;$P$1)</f>
        <v>0</v>
      </c>
      <c r="V99" s="142">
        <f>SUMIFS(領用表!$L:$L,領用表!$E:$E,$B99,領用表!$B:$B,V$2&amp;$P$1)</f>
        <v>0</v>
      </c>
      <c r="W99" s="142">
        <f>SUMIFS(領用表!$L:$L,領用表!$E:$E,$B99,領用表!$B:$B,W$2&amp;$P$1)</f>
        <v>0</v>
      </c>
      <c r="X99" s="142">
        <f>SUMIFS(領用表!$L:$L,領用表!$E:$E,$B99,領用表!$B:$B,X$2&amp;$P$1)</f>
        <v>0</v>
      </c>
      <c r="Y99" s="142">
        <f>SUMIFS(領用表!$L:$L,領用表!$E:$E,$B99,領用表!$B:$B,Y$2&amp;$P$1)</f>
        <v>0</v>
      </c>
      <c r="Z99" s="142">
        <f>SUMIFS(領用表!$L:$L,領用表!$E:$E,$B99,領用表!$B:$B,Z$2&amp;$P$1)</f>
        <v>0</v>
      </c>
      <c r="AA99" s="142">
        <f>SUMIFS(領用表!$L:$L,領用表!$E:$E,$B99,領用表!$B:$B,AA$2&amp;$P$1)</f>
        <v>0</v>
      </c>
      <c r="AB99" s="142">
        <f t="shared" si="12"/>
        <v>0</v>
      </c>
      <c r="AC99" s="142">
        <f t="shared" si="13"/>
        <v>0</v>
      </c>
      <c r="AD99" s="142">
        <f>SUMIF(Summary!B:B,B99,Summary!DW:DW)</f>
        <v>0</v>
      </c>
      <c r="AE99" s="109"/>
      <c r="AF99" s="65"/>
      <c r="AG99" s="65"/>
      <c r="AH99" s="65"/>
    </row>
    <row r="100" spans="1:38" ht="15.75" hidden="1" customHeight="1">
      <c r="A100" s="27" t="s">
        <v>203</v>
      </c>
      <c r="B100" s="14" t="e">
        <v>#N/A</v>
      </c>
      <c r="C100" s="136" t="s">
        <v>635</v>
      </c>
      <c r="D100" s="77"/>
      <c r="E100" s="17" t="s">
        <v>15</v>
      </c>
      <c r="F100" s="18"/>
      <c r="G100" s="18"/>
      <c r="H100" s="20">
        <f>SUMIFS(領用表!$L:$L,領用表!$E:$E,$B100,領用表!$B:$B,H$2&amp;$P$1)</f>
        <v>0</v>
      </c>
      <c r="I100" s="20">
        <f>SUMIFS(領用表!$L:$L,領用表!$E:$E,$B100,領用表!$B:$B,I$2&amp;$P$1)</f>
        <v>0</v>
      </c>
      <c r="J100" s="20">
        <f>SUMIFS(領用表!$L:$L,領用表!$E:$E,$B100,領用表!$B:$B,J$2&amp;$P$1)</f>
        <v>0</v>
      </c>
      <c r="K100" s="142">
        <f>SUMIFS(領用表!$L:$L,領用表!$E:$E,$B100,領用表!$B:$B,K$2&amp;$P$1)</f>
        <v>0</v>
      </c>
      <c r="L100" s="142">
        <f>SUMIFS(領用表!$L:$L,領用表!$E:$E,$B100,領用表!$B:$B,L$2&amp;$P$1)</f>
        <v>0</v>
      </c>
      <c r="M100" s="142">
        <f>SUMIFS(領用表!$L:$L,領用表!$E:$E,$B100,領用表!$B:$B,M$2&amp;$P$1)</f>
        <v>0</v>
      </c>
      <c r="N100" s="23">
        <f t="shared" si="14"/>
        <v>0</v>
      </c>
      <c r="O100" s="23">
        <f t="shared" si="15"/>
        <v>0</v>
      </c>
      <c r="P100" s="142">
        <f>SUMIFS(領用表!$L:$L,領用表!$E:$E,$B100,領用表!$B:$B,P$2&amp;$P$1)</f>
        <v>0</v>
      </c>
      <c r="Q100" s="142">
        <f>SUMIFS(領用表!$L:$L,領用表!$E:$E,$B100,領用表!$B:$B,Q$2&amp;$P$1)</f>
        <v>0</v>
      </c>
      <c r="R100" s="142">
        <f>SUMIFS(領用表!$L:$L,領用表!$E:$E,$B100,領用表!$B:$B,R$2&amp;$P$1)</f>
        <v>0</v>
      </c>
      <c r="S100" s="142">
        <f>SUMIFS(領用表!$L:$L,領用表!$E:$E,$B100,領用表!$B:$B,S$2&amp;$P$1)</f>
        <v>0</v>
      </c>
      <c r="T100" s="142">
        <f>SUMIFS(領用表!$L:$L,領用表!$E:$E,$B100,領用表!$B:$B,T$2&amp;$P$1)</f>
        <v>0</v>
      </c>
      <c r="U100" s="142">
        <f>SUMIFS(領用表!$L:$L,領用表!$E:$E,$B100,領用表!$B:$B,U$2&amp;$P$1)</f>
        <v>0</v>
      </c>
      <c r="V100" s="142">
        <f>SUMIFS(領用表!$L:$L,領用表!$E:$E,$B100,領用表!$B:$B,V$2&amp;$P$1)</f>
        <v>0</v>
      </c>
      <c r="W100" s="142">
        <f>SUMIFS(領用表!$L:$L,領用表!$E:$E,$B100,領用表!$B:$B,W$2&amp;$P$1)</f>
        <v>0</v>
      </c>
      <c r="X100" s="142">
        <f>SUMIFS(領用表!$L:$L,領用表!$E:$E,$B100,領用表!$B:$B,X$2&amp;$P$1)</f>
        <v>0</v>
      </c>
      <c r="Y100" s="142">
        <f>SUMIFS(領用表!$L:$L,領用表!$E:$E,$B100,領用表!$B:$B,Y$2&amp;$P$1)</f>
        <v>0</v>
      </c>
      <c r="Z100" s="142">
        <f>SUMIFS(領用表!$L:$L,領用表!$E:$E,$B100,領用表!$B:$B,Z$2&amp;$P$1)</f>
        <v>0</v>
      </c>
      <c r="AA100" s="142">
        <f>SUMIFS(領用表!$L:$L,領用表!$E:$E,$B100,領用表!$B:$B,AA$2&amp;$P$1)</f>
        <v>0</v>
      </c>
      <c r="AB100" s="142">
        <f t="shared" si="12"/>
        <v>0</v>
      </c>
      <c r="AC100" s="142">
        <f t="shared" si="13"/>
        <v>0</v>
      </c>
      <c r="AD100" s="142">
        <f>SUMIF(Summary!B:B,B100,Summary!DW:DW)</f>
        <v>0</v>
      </c>
      <c r="AE100" s="109"/>
      <c r="AF100" s="65"/>
      <c r="AG100" s="65"/>
      <c r="AH100" s="65"/>
    </row>
    <row r="101" spans="1:38" ht="15.75" hidden="1" customHeight="1">
      <c r="A101" s="27" t="s">
        <v>204</v>
      </c>
      <c r="B101" s="14" t="e">
        <v>#N/A</v>
      </c>
      <c r="C101" s="136" t="s">
        <v>576</v>
      </c>
      <c r="D101" s="77"/>
      <c r="E101" s="17" t="s">
        <v>15</v>
      </c>
      <c r="F101" s="18"/>
      <c r="G101" s="18"/>
      <c r="H101" s="20">
        <f>SUMIFS(領用表!$L:$L,領用表!$E:$E,$B101,領用表!$B:$B,H$2&amp;$P$1)</f>
        <v>0</v>
      </c>
      <c r="I101" s="20">
        <f>SUMIFS(領用表!$L:$L,領用表!$E:$E,$B101,領用表!$B:$B,I$2&amp;$P$1)</f>
        <v>0</v>
      </c>
      <c r="J101" s="20">
        <f>SUMIFS(領用表!$L:$L,領用表!$E:$E,$B101,領用表!$B:$B,J$2&amp;$P$1)</f>
        <v>0</v>
      </c>
      <c r="K101" s="142">
        <f>SUMIFS(領用表!$L:$L,領用表!$E:$E,$B101,領用表!$B:$B,K$2&amp;$P$1)</f>
        <v>0</v>
      </c>
      <c r="L101" s="142">
        <f>SUMIFS(領用表!$L:$L,領用表!$E:$E,$B101,領用表!$B:$B,L$2&amp;$P$1)</f>
        <v>0</v>
      </c>
      <c r="M101" s="142">
        <f>SUMIFS(領用表!$L:$L,領用表!$E:$E,$B101,領用表!$B:$B,M$2&amp;$P$1)</f>
        <v>0</v>
      </c>
      <c r="N101" s="23">
        <f t="shared" si="14"/>
        <v>0</v>
      </c>
      <c r="O101" s="23">
        <f t="shared" si="15"/>
        <v>0</v>
      </c>
      <c r="P101" s="142">
        <f>SUMIFS(領用表!$L:$L,領用表!$E:$E,$B101,領用表!$B:$B,P$2&amp;$P$1)</f>
        <v>0</v>
      </c>
      <c r="Q101" s="142">
        <f>SUMIFS(領用表!$L:$L,領用表!$E:$E,$B101,領用表!$B:$B,Q$2&amp;$P$1)</f>
        <v>0</v>
      </c>
      <c r="R101" s="142">
        <f>SUMIFS(領用表!$L:$L,領用表!$E:$E,$B101,領用表!$B:$B,R$2&amp;$P$1)</f>
        <v>0</v>
      </c>
      <c r="S101" s="142">
        <f>SUMIFS(領用表!$L:$L,領用表!$E:$E,$B101,領用表!$B:$B,S$2&amp;$P$1)</f>
        <v>0</v>
      </c>
      <c r="T101" s="142">
        <f>SUMIFS(領用表!$L:$L,領用表!$E:$E,$B101,領用表!$B:$B,T$2&amp;$P$1)</f>
        <v>0</v>
      </c>
      <c r="U101" s="142">
        <f>SUMIFS(領用表!$L:$L,領用表!$E:$E,$B101,領用表!$B:$B,U$2&amp;$P$1)</f>
        <v>0</v>
      </c>
      <c r="V101" s="142">
        <f>SUMIFS(領用表!$L:$L,領用表!$E:$E,$B101,領用表!$B:$B,V$2&amp;$P$1)</f>
        <v>0</v>
      </c>
      <c r="W101" s="142">
        <f>SUMIFS(領用表!$L:$L,領用表!$E:$E,$B101,領用表!$B:$B,W$2&amp;$P$1)</f>
        <v>0</v>
      </c>
      <c r="X101" s="142">
        <f>SUMIFS(領用表!$L:$L,領用表!$E:$E,$B101,領用表!$B:$B,X$2&amp;$P$1)</f>
        <v>0</v>
      </c>
      <c r="Y101" s="142">
        <f>SUMIFS(領用表!$L:$L,領用表!$E:$E,$B101,領用表!$B:$B,Y$2&amp;$P$1)</f>
        <v>0</v>
      </c>
      <c r="Z101" s="142">
        <f>SUMIFS(領用表!$L:$L,領用表!$E:$E,$B101,領用表!$B:$B,Z$2&amp;$P$1)</f>
        <v>0</v>
      </c>
      <c r="AA101" s="142">
        <f>SUMIFS(領用表!$L:$L,領用表!$E:$E,$B101,領用表!$B:$B,AA$2&amp;$P$1)</f>
        <v>0</v>
      </c>
      <c r="AB101" s="142">
        <f t="shared" si="12"/>
        <v>0</v>
      </c>
      <c r="AC101" s="142">
        <f t="shared" si="13"/>
        <v>0</v>
      </c>
      <c r="AD101" s="142">
        <f>SUMIF(Summary!B:B,B101,Summary!DW:DW)</f>
        <v>0</v>
      </c>
      <c r="AE101" s="109"/>
      <c r="AF101" s="65"/>
      <c r="AG101" s="65"/>
      <c r="AH101" s="65"/>
    </row>
    <row r="102" spans="1:38" ht="15.75" hidden="1" customHeight="1">
      <c r="A102" s="27" t="s">
        <v>205</v>
      </c>
      <c r="B102" s="14" t="e">
        <v>#N/A</v>
      </c>
      <c r="C102" s="136" t="s">
        <v>577</v>
      </c>
      <c r="D102" s="77"/>
      <c r="E102" s="17" t="s">
        <v>15</v>
      </c>
      <c r="F102" s="18"/>
      <c r="G102" s="18"/>
      <c r="H102" s="20">
        <f>SUMIFS(領用表!$L:$L,領用表!$E:$E,$B102,領用表!$B:$B,H$2&amp;$P$1)</f>
        <v>0</v>
      </c>
      <c r="I102" s="20">
        <f>SUMIFS(領用表!$L:$L,領用表!$E:$E,$B102,領用表!$B:$B,I$2&amp;$P$1)</f>
        <v>0</v>
      </c>
      <c r="J102" s="20">
        <f>SUMIFS(領用表!$L:$L,領用表!$E:$E,$B102,領用表!$B:$B,J$2&amp;$P$1)</f>
        <v>0</v>
      </c>
      <c r="K102" s="142">
        <f>SUMIFS(領用表!$L:$L,領用表!$E:$E,$B102,領用表!$B:$B,K$2&amp;$P$1)</f>
        <v>0</v>
      </c>
      <c r="L102" s="142">
        <f>SUMIFS(領用表!$L:$L,領用表!$E:$E,$B102,領用表!$B:$B,L$2&amp;$P$1)</f>
        <v>0</v>
      </c>
      <c r="M102" s="142">
        <f>SUMIFS(領用表!$L:$L,領用表!$E:$E,$B102,領用表!$B:$B,M$2&amp;$P$1)</f>
        <v>0</v>
      </c>
      <c r="N102" s="23">
        <f t="shared" si="14"/>
        <v>0</v>
      </c>
      <c r="O102" s="23">
        <f t="shared" si="15"/>
        <v>0</v>
      </c>
      <c r="P102" s="142">
        <f>SUMIFS(領用表!$L:$L,領用表!$E:$E,$B102,領用表!$B:$B,P$2&amp;$P$1)</f>
        <v>0</v>
      </c>
      <c r="Q102" s="142">
        <f>SUMIFS(領用表!$L:$L,領用表!$E:$E,$B102,領用表!$B:$B,Q$2&amp;$P$1)</f>
        <v>0</v>
      </c>
      <c r="R102" s="142">
        <f>SUMIFS(領用表!$L:$L,領用表!$E:$E,$B102,領用表!$B:$B,R$2&amp;$P$1)</f>
        <v>0</v>
      </c>
      <c r="S102" s="142">
        <f>SUMIFS(領用表!$L:$L,領用表!$E:$E,$B102,領用表!$B:$B,S$2&amp;$P$1)</f>
        <v>0</v>
      </c>
      <c r="T102" s="142">
        <f>SUMIFS(領用表!$L:$L,領用表!$E:$E,$B102,領用表!$B:$B,T$2&amp;$P$1)</f>
        <v>0</v>
      </c>
      <c r="U102" s="142">
        <f>SUMIFS(領用表!$L:$L,領用表!$E:$E,$B102,領用表!$B:$B,U$2&amp;$P$1)</f>
        <v>0</v>
      </c>
      <c r="V102" s="142">
        <f>SUMIFS(領用表!$L:$L,領用表!$E:$E,$B102,領用表!$B:$B,V$2&amp;$P$1)</f>
        <v>0</v>
      </c>
      <c r="W102" s="142">
        <f>SUMIFS(領用表!$L:$L,領用表!$E:$E,$B102,領用表!$B:$B,W$2&amp;$P$1)</f>
        <v>0</v>
      </c>
      <c r="X102" s="142">
        <f>SUMIFS(領用表!$L:$L,領用表!$E:$E,$B102,領用表!$B:$B,X$2&amp;$P$1)</f>
        <v>0</v>
      </c>
      <c r="Y102" s="142">
        <f>SUMIFS(領用表!$L:$L,領用表!$E:$E,$B102,領用表!$B:$B,Y$2&amp;$P$1)</f>
        <v>0</v>
      </c>
      <c r="Z102" s="142">
        <f>SUMIFS(領用表!$L:$L,領用表!$E:$E,$B102,領用表!$B:$B,Z$2&amp;$P$1)</f>
        <v>0</v>
      </c>
      <c r="AA102" s="142">
        <f>SUMIFS(領用表!$L:$L,領用表!$E:$E,$B102,領用表!$B:$B,AA$2&amp;$P$1)</f>
        <v>0</v>
      </c>
      <c r="AB102" s="142">
        <f t="shared" si="12"/>
        <v>0</v>
      </c>
      <c r="AC102" s="142">
        <f t="shared" si="13"/>
        <v>0</v>
      </c>
      <c r="AD102" s="142">
        <f>SUMIF(Summary!B:B,B102,Summary!DW:DW)</f>
        <v>0</v>
      </c>
      <c r="AE102" s="109"/>
      <c r="AF102" s="65"/>
      <c r="AG102" s="65"/>
      <c r="AH102" s="65"/>
    </row>
    <row r="103" spans="1:38" ht="15.75" hidden="1" customHeight="1">
      <c r="A103" s="27" t="s">
        <v>206</v>
      </c>
      <c r="B103" s="14" t="e">
        <v>#N/A</v>
      </c>
      <c r="C103" s="136" t="s">
        <v>578</v>
      </c>
      <c r="D103" s="77"/>
      <c r="E103" s="17" t="s">
        <v>15</v>
      </c>
      <c r="F103" s="18"/>
      <c r="G103" s="18"/>
      <c r="H103" s="20">
        <f>SUMIFS(領用表!$L:$L,領用表!$E:$E,$B103,領用表!$B:$B,H$2&amp;$P$1)</f>
        <v>0</v>
      </c>
      <c r="I103" s="20">
        <f>SUMIFS(領用表!$L:$L,領用表!$E:$E,$B103,領用表!$B:$B,I$2&amp;$P$1)</f>
        <v>0</v>
      </c>
      <c r="J103" s="20">
        <f>SUMIFS(領用表!$L:$L,領用表!$E:$E,$B103,領用表!$B:$B,J$2&amp;$P$1)</f>
        <v>0</v>
      </c>
      <c r="K103" s="142">
        <f>SUMIFS(領用表!$L:$L,領用表!$E:$E,$B103,領用表!$B:$B,K$2&amp;$P$1)</f>
        <v>0</v>
      </c>
      <c r="L103" s="142">
        <f>SUMIFS(領用表!$L:$L,領用表!$E:$E,$B103,領用表!$B:$B,L$2&amp;$P$1)</f>
        <v>0</v>
      </c>
      <c r="M103" s="142">
        <f>SUMIFS(領用表!$L:$L,領用表!$E:$E,$B103,領用表!$B:$B,M$2&amp;$P$1)</f>
        <v>0</v>
      </c>
      <c r="N103" s="23">
        <f t="shared" si="14"/>
        <v>0</v>
      </c>
      <c r="O103" s="23">
        <f t="shared" si="15"/>
        <v>0</v>
      </c>
      <c r="P103" s="142">
        <f>SUMIFS(領用表!$L:$L,領用表!$E:$E,$B103,領用表!$B:$B,P$2&amp;$P$1)</f>
        <v>0</v>
      </c>
      <c r="Q103" s="142">
        <f>SUMIFS(領用表!$L:$L,領用表!$E:$E,$B103,領用表!$B:$B,Q$2&amp;$P$1)</f>
        <v>0</v>
      </c>
      <c r="R103" s="142">
        <f>SUMIFS(領用表!$L:$L,領用表!$E:$E,$B103,領用表!$B:$B,R$2&amp;$P$1)</f>
        <v>0</v>
      </c>
      <c r="S103" s="142">
        <f>SUMIFS(領用表!$L:$L,領用表!$E:$E,$B103,領用表!$B:$B,S$2&amp;$P$1)</f>
        <v>0</v>
      </c>
      <c r="T103" s="142">
        <f>SUMIFS(領用表!$L:$L,領用表!$E:$E,$B103,領用表!$B:$B,T$2&amp;$P$1)</f>
        <v>0</v>
      </c>
      <c r="U103" s="142">
        <f>SUMIFS(領用表!$L:$L,領用表!$E:$E,$B103,領用表!$B:$B,U$2&amp;$P$1)</f>
        <v>0</v>
      </c>
      <c r="V103" s="142">
        <f>SUMIFS(領用表!$L:$L,領用表!$E:$E,$B103,領用表!$B:$B,V$2&amp;$P$1)</f>
        <v>0</v>
      </c>
      <c r="W103" s="142">
        <f>SUMIFS(領用表!$L:$L,領用表!$E:$E,$B103,領用表!$B:$B,W$2&amp;$P$1)</f>
        <v>0</v>
      </c>
      <c r="X103" s="142">
        <f>SUMIFS(領用表!$L:$L,領用表!$E:$E,$B103,領用表!$B:$B,X$2&amp;$P$1)</f>
        <v>0</v>
      </c>
      <c r="Y103" s="142">
        <f>SUMIFS(領用表!$L:$L,領用表!$E:$E,$B103,領用表!$B:$B,Y$2&amp;$P$1)</f>
        <v>0</v>
      </c>
      <c r="Z103" s="142">
        <f>SUMIFS(領用表!$L:$L,領用表!$E:$E,$B103,領用表!$B:$B,Z$2&amp;$P$1)</f>
        <v>0</v>
      </c>
      <c r="AA103" s="142">
        <f>SUMIFS(領用表!$L:$L,領用表!$E:$E,$B103,領用表!$B:$B,AA$2&amp;$P$1)</f>
        <v>0</v>
      </c>
      <c r="AB103" s="142">
        <f t="shared" si="12"/>
        <v>0</v>
      </c>
      <c r="AC103" s="142">
        <f t="shared" si="13"/>
        <v>0</v>
      </c>
      <c r="AD103" s="142">
        <f>SUMIF(Summary!B:B,B103,Summary!DW:DW)</f>
        <v>0</v>
      </c>
      <c r="AE103" s="109"/>
      <c r="AF103" s="65"/>
      <c r="AG103" s="65"/>
      <c r="AH103" s="65"/>
    </row>
    <row r="104" spans="1:38" ht="15.75" hidden="1" customHeight="1">
      <c r="A104" s="27" t="s">
        <v>207</v>
      </c>
      <c r="B104" s="14" t="e">
        <v>#N/A</v>
      </c>
      <c r="C104" s="136" t="s">
        <v>579</v>
      </c>
      <c r="D104" s="77"/>
      <c r="E104" s="17" t="s">
        <v>15</v>
      </c>
      <c r="F104" s="18"/>
      <c r="G104" s="18"/>
      <c r="H104" s="20">
        <f>SUMIFS(領用表!$L:$L,領用表!$E:$E,$B104,領用表!$B:$B,H$2&amp;$P$1)</f>
        <v>0</v>
      </c>
      <c r="I104" s="20">
        <f>SUMIFS(領用表!$L:$L,領用表!$E:$E,$B104,領用表!$B:$B,I$2&amp;$P$1)</f>
        <v>0</v>
      </c>
      <c r="J104" s="20">
        <f>SUMIFS(領用表!$L:$L,領用表!$E:$E,$B104,領用表!$B:$B,J$2&amp;$P$1)</f>
        <v>0</v>
      </c>
      <c r="K104" s="142">
        <f>SUMIFS(領用表!$L:$L,領用表!$E:$E,$B104,領用表!$B:$B,K$2&amp;$P$1)</f>
        <v>0</v>
      </c>
      <c r="L104" s="142">
        <f>SUMIFS(領用表!$L:$L,領用表!$E:$E,$B104,領用表!$B:$B,L$2&amp;$P$1)</f>
        <v>0</v>
      </c>
      <c r="M104" s="142">
        <f>SUMIFS(領用表!$L:$L,領用表!$E:$E,$B104,領用表!$B:$B,M$2&amp;$P$1)</f>
        <v>0</v>
      </c>
      <c r="N104" s="23">
        <f t="shared" si="14"/>
        <v>0</v>
      </c>
      <c r="O104" s="23">
        <f t="shared" si="15"/>
        <v>0</v>
      </c>
      <c r="P104" s="142">
        <f>SUMIFS(領用表!$L:$L,領用表!$E:$E,$B104,領用表!$B:$B,P$2&amp;$P$1)</f>
        <v>0</v>
      </c>
      <c r="Q104" s="142">
        <f>SUMIFS(領用表!$L:$L,領用表!$E:$E,$B104,領用表!$B:$B,Q$2&amp;$P$1)</f>
        <v>0</v>
      </c>
      <c r="R104" s="142">
        <f>SUMIFS(領用表!$L:$L,領用表!$E:$E,$B104,領用表!$B:$B,R$2&amp;$P$1)</f>
        <v>0</v>
      </c>
      <c r="S104" s="142">
        <f>SUMIFS(領用表!$L:$L,領用表!$E:$E,$B104,領用表!$B:$B,S$2&amp;$P$1)</f>
        <v>0</v>
      </c>
      <c r="T104" s="142">
        <f>SUMIFS(領用表!$L:$L,領用表!$E:$E,$B104,領用表!$B:$B,T$2&amp;$P$1)</f>
        <v>0</v>
      </c>
      <c r="U104" s="142">
        <f>SUMIFS(領用表!$L:$L,領用表!$E:$E,$B104,領用表!$B:$B,U$2&amp;$P$1)</f>
        <v>0</v>
      </c>
      <c r="V104" s="142">
        <f>SUMIFS(領用表!$L:$L,領用表!$E:$E,$B104,領用表!$B:$B,V$2&amp;$P$1)</f>
        <v>0</v>
      </c>
      <c r="W104" s="142">
        <f>SUMIFS(領用表!$L:$L,領用表!$E:$E,$B104,領用表!$B:$B,W$2&amp;$P$1)</f>
        <v>0</v>
      </c>
      <c r="X104" s="142">
        <f>SUMIFS(領用表!$L:$L,領用表!$E:$E,$B104,領用表!$B:$B,X$2&amp;$P$1)</f>
        <v>0</v>
      </c>
      <c r="Y104" s="142">
        <f>SUMIFS(領用表!$L:$L,領用表!$E:$E,$B104,領用表!$B:$B,Y$2&amp;$P$1)</f>
        <v>0</v>
      </c>
      <c r="Z104" s="142">
        <f>SUMIFS(領用表!$L:$L,領用表!$E:$E,$B104,領用表!$B:$B,Z$2&amp;$P$1)</f>
        <v>0</v>
      </c>
      <c r="AA104" s="142">
        <f>SUMIFS(領用表!$L:$L,領用表!$E:$E,$B104,領用表!$B:$B,AA$2&amp;$P$1)</f>
        <v>0</v>
      </c>
      <c r="AB104" s="142">
        <f t="shared" si="12"/>
        <v>0</v>
      </c>
      <c r="AC104" s="142">
        <f t="shared" si="13"/>
        <v>0</v>
      </c>
      <c r="AD104" s="142">
        <f>SUMIF(Summary!B:B,B104,Summary!DW:DW)</f>
        <v>0</v>
      </c>
      <c r="AE104" s="109"/>
      <c r="AF104" s="65"/>
      <c r="AG104" s="65"/>
      <c r="AH104" s="65"/>
    </row>
    <row r="105" spans="1:38" ht="15.75" customHeight="1">
      <c r="A105" s="27" t="s">
        <v>208</v>
      </c>
      <c r="B105" s="14" t="e">
        <v>#N/A</v>
      </c>
      <c r="C105" s="136" t="s">
        <v>580</v>
      </c>
      <c r="D105" s="77"/>
      <c r="E105" s="17" t="s">
        <v>15</v>
      </c>
      <c r="F105" s="18"/>
      <c r="G105" s="18"/>
      <c r="H105" s="20">
        <f>SUMIFS(領用表!$L:$L,領用表!$E:$E,$B105,領用表!$B:$B,H$2&amp;$P$1)</f>
        <v>0</v>
      </c>
      <c r="I105" s="20">
        <f>SUMIFS(領用表!$L:$L,領用表!$E:$E,$B105,領用表!$B:$B,I$2&amp;$P$1)</f>
        <v>0</v>
      </c>
      <c r="J105" s="20">
        <f>SUMIFS(領用表!$L:$L,領用表!$E:$E,$B105,領用表!$B:$B,J$2&amp;$P$1)</f>
        <v>0</v>
      </c>
      <c r="K105" s="142">
        <f>SUMIFS(領用表!$L:$L,領用表!$E:$E,$B105,領用表!$B:$B,K$2&amp;$P$1)</f>
        <v>0</v>
      </c>
      <c r="L105" s="142">
        <f>SUMIFS(領用表!$L:$L,領用表!$E:$E,$B105,領用表!$B:$B,L$2&amp;$P$1)</f>
        <v>0</v>
      </c>
      <c r="M105" s="142">
        <f>SUMIFS(領用表!$L:$L,領用表!$E:$E,$B105,領用表!$B:$B,M$2&amp;$P$1)</f>
        <v>0</v>
      </c>
      <c r="N105" s="23">
        <f t="shared" si="14"/>
        <v>0</v>
      </c>
      <c r="O105" s="23">
        <f t="shared" si="15"/>
        <v>0</v>
      </c>
      <c r="P105" s="142">
        <f>SUMIFS(領用表!$L:$L,領用表!$E:$E,$B105,領用表!$B:$B,P$2&amp;$P$1)</f>
        <v>0</v>
      </c>
      <c r="Q105" s="405">
        <f>SUMIFS(領用表!$L:$L,領用表!$E:$E,$B105,領用表!$B:$B,Q$2&amp;$P$1)</f>
        <v>0</v>
      </c>
      <c r="R105" s="405">
        <f>SUMIFS(領用表!$L:$L,領用表!$E:$E,$B105,領用表!$B:$B,R$2&amp;$P$1)</f>
        <v>0</v>
      </c>
      <c r="S105" s="405">
        <f>SUMIFS(領用表!$L:$L,領用表!$E:$E,$B105,領用表!$B:$B,S$2&amp;$P$1)</f>
        <v>0</v>
      </c>
      <c r="T105" s="405">
        <f>SUMIFS(領用表!$L:$L,領用表!$E:$E,$B105,領用表!$B:$B,T$2&amp;$P$1)</f>
        <v>0</v>
      </c>
      <c r="U105" s="405">
        <f>SUMIFS(領用表!$L:$L,領用表!$E:$E,$B105,領用表!$B:$B,U$2&amp;$P$1)</f>
        <v>0</v>
      </c>
      <c r="V105" s="405">
        <f>SUMIFS(領用表!$L:$L,領用表!$E:$E,$B105,領用表!$B:$B,V$2&amp;$P$1)</f>
        <v>0</v>
      </c>
      <c r="W105" s="405">
        <f>SUMIFS(領用表!$L:$L,領用表!$E:$E,$B105,領用表!$B:$B,W$2&amp;$P$1)</f>
        <v>0</v>
      </c>
      <c r="X105" s="405">
        <f>SUMIFS(領用表!$L:$L,領用表!$E:$E,$B105,領用表!$B:$B,X$2&amp;$P$1)</f>
        <v>0</v>
      </c>
      <c r="Y105" s="405">
        <f>SUMIFS(領用表!$L:$L,領用表!$E:$E,$B105,領用表!$B:$B,Y$2&amp;$P$1)</f>
        <v>0</v>
      </c>
      <c r="Z105" s="405">
        <f>SUMIFS(領用表!$L:$L,領用表!$E:$E,$B105,領用表!$B:$B,Z$2&amp;$P$1)</f>
        <v>0</v>
      </c>
      <c r="AA105" s="405">
        <f>SUMIFS(領用表!$L:$L,領用表!$E:$E,$B105,領用表!$B:$B,AA$2&amp;$P$1)</f>
        <v>0</v>
      </c>
      <c r="AB105" s="405">
        <f t="shared" si="12"/>
        <v>0</v>
      </c>
      <c r="AC105" s="405">
        <f t="shared" si="13"/>
        <v>0</v>
      </c>
      <c r="AD105" s="405">
        <f>SUMIF(Summary!B:B,B105,Summary!DW:DW)</f>
        <v>0</v>
      </c>
      <c r="AE105" s="111"/>
      <c r="AF105" s="80"/>
      <c r="AG105" s="83"/>
      <c r="AH105" s="83"/>
    </row>
    <row r="106" spans="1:38" ht="15.75" customHeight="1">
      <c r="A106" s="27" t="s">
        <v>209</v>
      </c>
      <c r="B106" s="14">
        <v>6020002</v>
      </c>
      <c r="C106" s="136" t="s">
        <v>581</v>
      </c>
      <c r="D106" s="77"/>
      <c r="E106" s="17" t="s">
        <v>15</v>
      </c>
      <c r="F106" s="18"/>
      <c r="G106" s="18"/>
      <c r="H106" s="20">
        <f>SUMIFS(領用表!$L:$L,領用表!$E:$E,$B106,領用表!$B:$B,H$2&amp;$P$1)</f>
        <v>0</v>
      </c>
      <c r="I106" s="20">
        <f>SUMIFS(領用表!$L:$L,領用表!$E:$E,$B106,領用表!$B:$B,I$2&amp;$P$1)</f>
        <v>0</v>
      </c>
      <c r="J106" s="20">
        <f>SUMIFS(領用表!$L:$L,領用表!$E:$E,$B106,領用表!$B:$B,J$2&amp;$P$1)</f>
        <v>0</v>
      </c>
      <c r="K106" s="142">
        <f>SUMIFS(領用表!$L:$L,領用表!$E:$E,$B106,領用表!$B:$B,K$2&amp;$P$1)</f>
        <v>0</v>
      </c>
      <c r="L106" s="142">
        <f>SUMIFS(領用表!$L:$L,領用表!$E:$E,$B106,領用表!$B:$B,L$2&amp;$P$1)</f>
        <v>0</v>
      </c>
      <c r="M106" s="142">
        <f>SUMIFS(領用表!$L:$L,領用表!$E:$E,$B106,領用表!$B:$B,M$2&amp;$P$1)</f>
        <v>0</v>
      </c>
      <c r="N106" s="23">
        <f t="shared" si="14"/>
        <v>0</v>
      </c>
      <c r="O106" s="23">
        <f t="shared" si="15"/>
        <v>0</v>
      </c>
      <c r="P106" s="142">
        <f>SUMIFS(領用表!$L:$L,領用表!$E:$E,$B106,領用表!$B:$B,P$2&amp;$P$1)</f>
        <v>0</v>
      </c>
      <c r="Q106" s="405">
        <f>SUMIFS(領用表!$L:$L,領用表!$E:$E,$B106,領用表!$B:$B,Q$2&amp;$P$1)</f>
        <v>0</v>
      </c>
      <c r="R106" s="405">
        <f>SUMIFS(領用表!$L:$L,領用表!$E:$E,$B106,領用表!$B:$B,R$2&amp;$P$1)</f>
        <v>0</v>
      </c>
      <c r="S106" s="405">
        <f>SUMIFS(領用表!$L:$L,領用表!$E:$E,$B106,領用表!$B:$B,S$2&amp;$P$1)</f>
        <v>0</v>
      </c>
      <c r="T106" s="405">
        <f>SUMIFS(領用表!$L:$L,領用表!$E:$E,$B106,領用表!$B:$B,T$2&amp;$P$1)</f>
        <v>0</v>
      </c>
      <c r="U106" s="405">
        <f>SUMIFS(領用表!$L:$L,領用表!$E:$E,$B106,領用表!$B:$B,U$2&amp;$P$1)</f>
        <v>0</v>
      </c>
      <c r="V106" s="405">
        <f>SUMIFS(領用表!$L:$L,領用表!$E:$E,$B106,領用表!$B:$B,V$2&amp;$P$1)</f>
        <v>0</v>
      </c>
      <c r="W106" s="405">
        <f>SUMIFS(領用表!$L:$L,領用表!$E:$E,$B106,領用表!$B:$B,W$2&amp;$P$1)</f>
        <v>0</v>
      </c>
      <c r="X106" s="405">
        <f>SUMIFS(領用表!$L:$L,領用表!$E:$E,$B106,領用表!$B:$B,X$2&amp;$P$1)</f>
        <v>0</v>
      </c>
      <c r="Y106" s="405">
        <f>SUMIFS(領用表!$L:$L,領用表!$E:$E,$B106,領用表!$B:$B,Y$2&amp;$P$1)</f>
        <v>0</v>
      </c>
      <c r="Z106" s="405">
        <f>SUMIFS(領用表!$L:$L,領用表!$E:$E,$B106,領用表!$B:$B,Z$2&amp;$P$1)</f>
        <v>0</v>
      </c>
      <c r="AA106" s="405">
        <f>SUMIFS(領用表!$L:$L,領用表!$E:$E,$B106,領用表!$B:$B,AA$2&amp;$P$1)</f>
        <v>0</v>
      </c>
      <c r="AB106" s="405">
        <f t="shared" si="12"/>
        <v>0</v>
      </c>
      <c r="AC106" s="405">
        <f t="shared" si="13"/>
        <v>0</v>
      </c>
      <c r="AD106" s="405">
        <f>SUMIF(Summary!B:B,B106,Summary!DW:DW)</f>
        <v>0</v>
      </c>
      <c r="AE106" s="111"/>
      <c r="AF106" s="80"/>
      <c r="AG106" s="65"/>
      <c r="AH106" s="65"/>
    </row>
    <row r="107" spans="1:38" ht="15.75" customHeight="1">
      <c r="A107" s="27" t="s">
        <v>210</v>
      </c>
      <c r="B107" s="14">
        <v>1080005</v>
      </c>
      <c r="C107" s="136" t="s">
        <v>582</v>
      </c>
      <c r="D107" s="77"/>
      <c r="E107" s="17" t="s">
        <v>15</v>
      </c>
      <c r="F107" s="18"/>
      <c r="G107" s="18"/>
      <c r="H107" s="20">
        <f>SUMIFS(領用表!$L:$L,領用表!$E:$E,$B107,領用表!$B:$B,H$2&amp;$P$1)</f>
        <v>0</v>
      </c>
      <c r="I107" s="20">
        <f>SUMIFS(領用表!$L:$L,領用表!$E:$E,$B107,領用表!$B:$B,I$2&amp;$P$1)</f>
        <v>0</v>
      </c>
      <c r="J107" s="20">
        <f>SUMIFS(領用表!$L:$L,領用表!$E:$E,$B107,領用表!$B:$B,J$2&amp;$P$1)</f>
        <v>0</v>
      </c>
      <c r="K107" s="142">
        <f>SUMIFS(領用表!$L:$L,領用表!$E:$E,$B107,領用表!$B:$B,K$2&amp;$P$1)</f>
        <v>0</v>
      </c>
      <c r="L107" s="142">
        <f>SUMIFS(領用表!$L:$L,領用表!$E:$E,$B107,領用表!$B:$B,L$2&amp;$P$1)</f>
        <v>0</v>
      </c>
      <c r="M107" s="142">
        <f>SUMIFS(領用表!$L:$L,領用表!$E:$E,$B107,領用表!$B:$B,M$2&amp;$P$1)</f>
        <v>0</v>
      </c>
      <c r="N107" s="23">
        <f t="shared" si="14"/>
        <v>0</v>
      </c>
      <c r="O107" s="23">
        <f t="shared" si="15"/>
        <v>0</v>
      </c>
      <c r="P107" s="142">
        <f>SUMIFS(領用表!$L:$L,領用表!$E:$E,$B107,領用表!$B:$B,P$2&amp;$P$1)</f>
        <v>0</v>
      </c>
      <c r="Q107" s="142">
        <f>SUMIFS(領用表!$L:$L,領用表!$E:$E,$B107,領用表!$B:$B,Q$2&amp;$P$1)</f>
        <v>0</v>
      </c>
      <c r="R107" s="142">
        <f>SUMIFS(領用表!$L:$L,領用表!$E:$E,$B107,領用表!$B:$B,R$2&amp;$P$1)</f>
        <v>0</v>
      </c>
      <c r="S107" s="142">
        <f>SUMIFS(領用表!$L:$L,領用表!$E:$E,$B107,領用表!$B:$B,S$2&amp;$P$1)</f>
        <v>0</v>
      </c>
      <c r="T107" s="142">
        <f>SUMIFS(領用表!$L:$L,領用表!$E:$E,$B107,領用表!$B:$B,T$2&amp;$P$1)</f>
        <v>0</v>
      </c>
      <c r="U107" s="142">
        <f>SUMIFS(領用表!$L:$L,領用表!$E:$E,$B107,領用表!$B:$B,U$2&amp;$P$1)</f>
        <v>0</v>
      </c>
      <c r="V107" s="142">
        <f>SUMIFS(領用表!$L:$L,領用表!$E:$E,$B107,領用表!$B:$B,V$2&amp;$P$1)</f>
        <v>0</v>
      </c>
      <c r="W107" s="142">
        <f>SUMIFS(領用表!$L:$L,領用表!$E:$E,$B107,領用表!$B:$B,W$2&amp;$P$1)</f>
        <v>0</v>
      </c>
      <c r="X107" s="142">
        <f>SUMIFS(領用表!$L:$L,領用表!$E:$E,$B107,領用表!$B:$B,X$2&amp;$P$1)</f>
        <v>0</v>
      </c>
      <c r="Y107" s="142">
        <f>SUMIFS(領用表!$L:$L,領用表!$E:$E,$B107,領用表!$B:$B,Y$2&amp;$P$1)</f>
        <v>0</v>
      </c>
      <c r="Z107" s="142">
        <f>SUMIFS(領用表!$L:$L,領用表!$E:$E,$B107,領用表!$B:$B,Z$2&amp;$P$1)</f>
        <v>0</v>
      </c>
      <c r="AA107" s="142">
        <f>SUMIFS(領用表!$L:$L,領用表!$E:$E,$B107,領用表!$B:$B,AA$2&amp;$P$1)</f>
        <v>0</v>
      </c>
      <c r="AB107" s="142">
        <f t="shared" si="12"/>
        <v>0</v>
      </c>
      <c r="AC107" s="142">
        <f t="shared" si="13"/>
        <v>0</v>
      </c>
      <c r="AD107" s="142">
        <f>SUMIF(Summary!B:B,B107,Summary!DW:DW)</f>
        <v>0</v>
      </c>
      <c r="AE107" s="109"/>
      <c r="AF107" s="65"/>
      <c r="AG107" s="65"/>
      <c r="AH107" s="65"/>
    </row>
    <row r="108" spans="1:38" ht="15.75" customHeight="1">
      <c r="A108" s="27" t="s">
        <v>211</v>
      </c>
      <c r="B108" s="14">
        <v>1080008</v>
      </c>
      <c r="C108" s="136" t="s">
        <v>583</v>
      </c>
      <c r="D108" s="77"/>
      <c r="E108" s="17" t="s">
        <v>15</v>
      </c>
      <c r="F108" s="18"/>
      <c r="G108" s="18"/>
      <c r="H108" s="20">
        <f>SUMIFS(領用表!$L:$L,領用表!$E:$E,$B108,領用表!$B:$B,H$2&amp;$P$1)</f>
        <v>0</v>
      </c>
      <c r="I108" s="20">
        <f>SUMIFS(領用表!$L:$L,領用表!$E:$E,$B108,領用表!$B:$B,I$2&amp;$P$1)</f>
        <v>0</v>
      </c>
      <c r="J108" s="20">
        <f>SUMIFS(領用表!$L:$L,領用表!$E:$E,$B108,領用表!$B:$B,J$2&amp;$P$1)</f>
        <v>0</v>
      </c>
      <c r="K108" s="142">
        <f>SUMIFS(領用表!$L:$L,領用表!$E:$E,$B108,領用表!$B:$B,K$2&amp;$P$1)</f>
        <v>0</v>
      </c>
      <c r="L108" s="142">
        <f>SUMIFS(領用表!$L:$L,領用表!$E:$E,$B108,領用表!$B:$B,L$2&amp;$P$1)</f>
        <v>0</v>
      </c>
      <c r="M108" s="142">
        <f>SUMIFS(領用表!$L:$L,領用表!$E:$E,$B108,領用表!$B:$B,M$2&amp;$P$1)</f>
        <v>0</v>
      </c>
      <c r="N108" s="23">
        <f t="shared" si="14"/>
        <v>0</v>
      </c>
      <c r="O108" s="23">
        <f t="shared" si="15"/>
        <v>0</v>
      </c>
      <c r="P108" s="142">
        <f>SUMIFS(領用表!$L:$L,領用表!$E:$E,$B108,領用表!$B:$B,P$2&amp;$P$1)</f>
        <v>0</v>
      </c>
      <c r="Q108" s="405">
        <f>SUMIFS(領用表!$L:$L,領用表!$E:$E,$B108,領用表!$B:$B,Q$2&amp;$P$1)</f>
        <v>0</v>
      </c>
      <c r="R108" s="405">
        <f>SUMIFS(領用表!$L:$L,領用表!$E:$E,$B108,領用表!$B:$B,R$2&amp;$P$1)</f>
        <v>0</v>
      </c>
      <c r="S108" s="405">
        <f>SUMIFS(領用表!$L:$L,領用表!$E:$E,$B108,領用表!$B:$B,S$2&amp;$P$1)</f>
        <v>0</v>
      </c>
      <c r="T108" s="405">
        <f>SUMIFS(領用表!$L:$L,領用表!$E:$E,$B108,領用表!$B:$B,T$2&amp;$P$1)</f>
        <v>0</v>
      </c>
      <c r="U108" s="405">
        <f>SUMIFS(領用表!$L:$L,領用表!$E:$E,$B108,領用表!$B:$B,U$2&amp;$P$1)</f>
        <v>0</v>
      </c>
      <c r="V108" s="405">
        <f>SUMIFS(領用表!$L:$L,領用表!$E:$E,$B108,領用表!$B:$B,V$2&amp;$P$1)</f>
        <v>0</v>
      </c>
      <c r="W108" s="405">
        <f>SUMIFS(領用表!$L:$L,領用表!$E:$E,$B108,領用表!$B:$B,W$2&amp;$P$1)</f>
        <v>0</v>
      </c>
      <c r="X108" s="405">
        <f>SUMIFS(領用表!$L:$L,領用表!$E:$E,$B108,領用表!$B:$B,X$2&amp;$P$1)</f>
        <v>0</v>
      </c>
      <c r="Y108" s="405">
        <f>SUMIFS(領用表!$L:$L,領用表!$E:$E,$B108,領用表!$B:$B,Y$2&amp;$P$1)</f>
        <v>0</v>
      </c>
      <c r="Z108" s="405">
        <f>SUMIFS(領用表!$L:$L,領用表!$E:$E,$B108,領用表!$B:$B,Z$2&amp;$P$1)</f>
        <v>0</v>
      </c>
      <c r="AA108" s="405">
        <f>SUMIFS(領用表!$L:$L,領用表!$E:$E,$B108,領用表!$B:$B,AA$2&amp;$P$1)</f>
        <v>0</v>
      </c>
      <c r="AB108" s="405">
        <f t="shared" si="12"/>
        <v>0</v>
      </c>
      <c r="AC108" s="405">
        <f t="shared" si="13"/>
        <v>0</v>
      </c>
      <c r="AD108" s="405">
        <f>SUMIF(Summary!B:B,B108,Summary!DW:DW)</f>
        <v>0</v>
      </c>
      <c r="AE108" s="111"/>
      <c r="AF108" s="80"/>
      <c r="AG108" s="65"/>
      <c r="AH108" s="65"/>
    </row>
    <row r="109" spans="1:38" ht="15.75" customHeight="1">
      <c r="A109" s="27" t="s">
        <v>212</v>
      </c>
      <c r="B109" s="14">
        <v>6230003</v>
      </c>
      <c r="C109" s="136" t="s">
        <v>584</v>
      </c>
      <c r="D109" s="77"/>
      <c r="E109" s="17" t="s">
        <v>15</v>
      </c>
      <c r="F109" s="18"/>
      <c r="G109" s="18"/>
      <c r="H109" s="20">
        <f>SUMIFS(領用表!$L:$L,領用表!$E:$E,$B109,領用表!$B:$B,H$2&amp;$P$1)</f>
        <v>0</v>
      </c>
      <c r="I109" s="20">
        <f>SUMIFS(領用表!$L:$L,領用表!$E:$E,$B109,領用表!$B:$B,I$2&amp;$P$1)</f>
        <v>0</v>
      </c>
      <c r="J109" s="20">
        <f>SUMIFS(領用表!$L:$L,領用表!$E:$E,$B109,領用表!$B:$B,J$2&amp;$P$1)</f>
        <v>0</v>
      </c>
      <c r="K109" s="142">
        <f>SUMIFS(領用表!$L:$L,領用表!$E:$E,$B109,領用表!$B:$B,K$2&amp;$P$1)</f>
        <v>0</v>
      </c>
      <c r="L109" s="142">
        <f>SUMIFS(領用表!$L:$L,領用表!$E:$E,$B109,領用表!$B:$B,L$2&amp;$P$1)</f>
        <v>0</v>
      </c>
      <c r="M109" s="142">
        <f>SUMIFS(領用表!$L:$L,領用表!$E:$E,$B109,領用表!$B:$B,M$2&amp;$P$1)</f>
        <v>0</v>
      </c>
      <c r="N109" s="23">
        <f t="shared" si="14"/>
        <v>0</v>
      </c>
      <c r="O109" s="23">
        <f t="shared" si="15"/>
        <v>0</v>
      </c>
      <c r="P109" s="142">
        <f>SUMIFS(領用表!$L:$L,領用表!$E:$E,$B109,領用表!$B:$B,P$2&amp;$P$1)</f>
        <v>0</v>
      </c>
      <c r="Q109" s="405">
        <f>SUMIFS(領用表!$L:$L,領用表!$E:$E,$B109,領用表!$B:$B,Q$2&amp;$P$1)</f>
        <v>0</v>
      </c>
      <c r="R109" s="405">
        <f>SUMIFS(領用表!$L:$L,領用表!$E:$E,$B109,領用表!$B:$B,R$2&amp;$P$1)</f>
        <v>0</v>
      </c>
      <c r="S109" s="405">
        <f>SUMIFS(領用表!$L:$L,領用表!$E:$E,$B109,領用表!$B:$B,S$2&amp;$P$1)</f>
        <v>0</v>
      </c>
      <c r="T109" s="405">
        <f>SUMIFS(領用表!$L:$L,領用表!$E:$E,$B109,領用表!$B:$B,T$2&amp;$P$1)</f>
        <v>0</v>
      </c>
      <c r="U109" s="405">
        <f>SUMIFS(領用表!$L:$L,領用表!$E:$E,$B109,領用表!$B:$B,U$2&amp;$P$1)</f>
        <v>0</v>
      </c>
      <c r="V109" s="405">
        <f>SUMIFS(領用表!$L:$L,領用表!$E:$E,$B109,領用表!$B:$B,V$2&amp;$P$1)</f>
        <v>0</v>
      </c>
      <c r="W109" s="405">
        <f>SUMIFS(領用表!$L:$L,領用表!$E:$E,$B109,領用表!$B:$B,W$2&amp;$P$1)</f>
        <v>0</v>
      </c>
      <c r="X109" s="405">
        <f>SUMIFS(領用表!$L:$L,領用表!$E:$E,$B109,領用表!$B:$B,X$2&amp;$P$1)</f>
        <v>0</v>
      </c>
      <c r="Y109" s="405">
        <f>SUMIFS(領用表!$L:$L,領用表!$E:$E,$B109,領用表!$B:$B,Y$2&amp;$P$1)</f>
        <v>0</v>
      </c>
      <c r="Z109" s="405">
        <f>SUMIFS(領用表!$L:$L,領用表!$E:$E,$B109,領用表!$B:$B,Z$2&amp;$P$1)</f>
        <v>0</v>
      </c>
      <c r="AA109" s="405">
        <f>SUMIFS(領用表!$L:$L,領用表!$E:$E,$B109,領用表!$B:$B,AA$2&amp;$P$1)</f>
        <v>0</v>
      </c>
      <c r="AB109" s="405">
        <f t="shared" si="12"/>
        <v>0</v>
      </c>
      <c r="AC109" s="405">
        <f t="shared" si="13"/>
        <v>0</v>
      </c>
      <c r="AD109" s="405">
        <f>SUMIF(Summary!B:B,B109,Summary!DW:DW)</f>
        <v>0</v>
      </c>
      <c r="AE109" s="111"/>
      <c r="AF109" s="80"/>
      <c r="AG109" s="76"/>
      <c r="AH109" s="83"/>
    </row>
    <row r="110" spans="1:38" ht="15.75" customHeight="1">
      <c r="A110" s="27" t="s">
        <v>213</v>
      </c>
      <c r="B110" s="14" t="e">
        <v>#N/A</v>
      </c>
      <c r="C110" s="136" t="s">
        <v>585</v>
      </c>
      <c r="D110" s="77"/>
      <c r="E110" s="17" t="s">
        <v>15</v>
      </c>
      <c r="F110" s="18"/>
      <c r="G110" s="18"/>
      <c r="H110" s="20">
        <f>SUMIFS(領用表!$L:$L,領用表!$E:$E,$B110,領用表!$B:$B,H$2&amp;$P$1)</f>
        <v>0</v>
      </c>
      <c r="I110" s="20">
        <f>SUMIFS(領用表!$L:$L,領用表!$E:$E,$B110,領用表!$B:$B,I$2&amp;$P$1)</f>
        <v>0</v>
      </c>
      <c r="J110" s="20">
        <f>SUMIFS(領用表!$L:$L,領用表!$E:$E,$B110,領用表!$B:$B,J$2&amp;$P$1)</f>
        <v>0</v>
      </c>
      <c r="K110" s="142">
        <f>SUMIFS(領用表!$L:$L,領用表!$E:$E,$B110,領用表!$B:$B,K$2&amp;$P$1)</f>
        <v>0</v>
      </c>
      <c r="L110" s="142">
        <f>SUMIFS(領用表!$L:$L,領用表!$E:$E,$B110,領用表!$B:$B,L$2&amp;$P$1)</f>
        <v>0</v>
      </c>
      <c r="M110" s="142">
        <f>SUMIFS(領用表!$L:$L,領用表!$E:$E,$B110,領用表!$B:$B,M$2&amp;$P$1)</f>
        <v>0</v>
      </c>
      <c r="N110" s="23">
        <f t="shared" si="14"/>
        <v>0</v>
      </c>
      <c r="O110" s="23">
        <f t="shared" si="15"/>
        <v>0</v>
      </c>
      <c r="P110" s="142">
        <f>SUMIFS(領用表!$L:$L,領用表!$E:$E,$B110,領用表!$B:$B,P$2&amp;$P$1)</f>
        <v>0</v>
      </c>
      <c r="Q110" s="405">
        <f>SUMIFS(領用表!$L:$L,領用表!$E:$E,$B110,領用表!$B:$B,Q$2&amp;$P$1)</f>
        <v>0</v>
      </c>
      <c r="R110" s="405">
        <f>SUMIFS(領用表!$L:$L,領用表!$E:$E,$B110,領用表!$B:$B,R$2&amp;$P$1)</f>
        <v>0</v>
      </c>
      <c r="S110" s="405">
        <f>SUMIFS(領用表!$L:$L,領用表!$E:$E,$B110,領用表!$B:$B,S$2&amp;$P$1)</f>
        <v>0</v>
      </c>
      <c r="T110" s="405">
        <f>SUMIFS(領用表!$L:$L,領用表!$E:$E,$B110,領用表!$B:$B,T$2&amp;$P$1)</f>
        <v>0</v>
      </c>
      <c r="U110" s="405">
        <f>SUMIFS(領用表!$L:$L,領用表!$E:$E,$B110,領用表!$B:$B,U$2&amp;$P$1)</f>
        <v>0</v>
      </c>
      <c r="V110" s="405">
        <f>SUMIFS(領用表!$L:$L,領用表!$E:$E,$B110,領用表!$B:$B,V$2&amp;$P$1)</f>
        <v>0</v>
      </c>
      <c r="W110" s="405">
        <f>SUMIFS(領用表!$L:$L,領用表!$E:$E,$B110,領用表!$B:$B,W$2&amp;$P$1)</f>
        <v>0</v>
      </c>
      <c r="X110" s="405">
        <f>SUMIFS(領用表!$L:$L,領用表!$E:$E,$B110,領用表!$B:$B,X$2&amp;$P$1)</f>
        <v>0</v>
      </c>
      <c r="Y110" s="405">
        <f>SUMIFS(領用表!$L:$L,領用表!$E:$E,$B110,領用表!$B:$B,Y$2&amp;$P$1)</f>
        <v>0</v>
      </c>
      <c r="Z110" s="405">
        <f>SUMIFS(領用表!$L:$L,領用表!$E:$E,$B110,領用表!$B:$B,Z$2&amp;$P$1)</f>
        <v>0</v>
      </c>
      <c r="AA110" s="405">
        <f>SUMIFS(領用表!$L:$L,領用表!$E:$E,$B110,領用表!$B:$B,AA$2&amp;$P$1)</f>
        <v>0</v>
      </c>
      <c r="AB110" s="405">
        <f t="shared" si="12"/>
        <v>0</v>
      </c>
      <c r="AC110" s="405">
        <f t="shared" si="13"/>
        <v>0</v>
      </c>
      <c r="AD110" s="405">
        <f>SUMIF(Summary!B:B,B110,Summary!DW:DW)</f>
        <v>0</v>
      </c>
      <c r="AE110" s="111"/>
      <c r="AF110" s="80"/>
      <c r="AG110" s="65"/>
      <c r="AH110" s="65"/>
    </row>
    <row r="111" spans="1:38" ht="15.75" customHeight="1">
      <c r="A111" s="27" t="s">
        <v>214</v>
      </c>
      <c r="B111" s="14" t="e">
        <v>#N/A</v>
      </c>
      <c r="C111" s="136" t="s">
        <v>586</v>
      </c>
      <c r="D111" s="77"/>
      <c r="E111" s="17" t="s">
        <v>15</v>
      </c>
      <c r="F111" s="18"/>
      <c r="G111" s="18"/>
      <c r="H111" s="20">
        <f>SUMIFS(領用表!$L:$L,領用表!$E:$E,$B111,領用表!$B:$B,H$2&amp;$P$1)</f>
        <v>0</v>
      </c>
      <c r="I111" s="20">
        <f>SUMIFS(領用表!$L:$L,領用表!$E:$E,$B111,領用表!$B:$B,I$2&amp;$P$1)</f>
        <v>0</v>
      </c>
      <c r="J111" s="20">
        <f>SUMIFS(領用表!$L:$L,領用表!$E:$E,$B111,領用表!$B:$B,J$2&amp;$P$1)</f>
        <v>0</v>
      </c>
      <c r="K111" s="142">
        <f>SUMIFS(領用表!$L:$L,領用表!$E:$E,$B111,領用表!$B:$B,K$2&amp;$P$1)</f>
        <v>0</v>
      </c>
      <c r="L111" s="142">
        <f>SUMIFS(領用表!$L:$L,領用表!$E:$E,$B111,領用表!$B:$B,L$2&amp;$P$1)</f>
        <v>0</v>
      </c>
      <c r="M111" s="142">
        <f>SUMIFS(領用表!$L:$L,領用表!$E:$E,$B111,領用表!$B:$B,M$2&amp;$P$1)</f>
        <v>0</v>
      </c>
      <c r="N111" s="23">
        <f t="shared" si="14"/>
        <v>0</v>
      </c>
      <c r="O111" s="23">
        <f t="shared" si="15"/>
        <v>0</v>
      </c>
      <c r="P111" s="142">
        <f>SUMIFS(領用表!$L:$L,領用表!$E:$E,$B111,領用表!$B:$B,P$2&amp;$P$1)</f>
        <v>0</v>
      </c>
      <c r="Q111" s="405">
        <f>SUMIFS(領用表!$L:$L,領用表!$E:$E,$B111,領用表!$B:$B,Q$2&amp;$P$1)</f>
        <v>0</v>
      </c>
      <c r="R111" s="405">
        <f>SUMIFS(領用表!$L:$L,領用表!$E:$E,$B111,領用表!$B:$B,R$2&amp;$P$1)</f>
        <v>0</v>
      </c>
      <c r="S111" s="405">
        <f>SUMIFS(領用表!$L:$L,領用表!$E:$E,$B111,領用表!$B:$B,S$2&amp;$P$1)</f>
        <v>0</v>
      </c>
      <c r="T111" s="405">
        <f>SUMIFS(領用表!$L:$L,領用表!$E:$E,$B111,領用表!$B:$B,T$2&amp;$P$1)</f>
        <v>0</v>
      </c>
      <c r="U111" s="405">
        <f>SUMIFS(領用表!$L:$L,領用表!$E:$E,$B111,領用表!$B:$B,U$2&amp;$P$1)</f>
        <v>0</v>
      </c>
      <c r="V111" s="405">
        <f>SUMIFS(領用表!$L:$L,領用表!$E:$E,$B111,領用表!$B:$B,V$2&amp;$P$1)</f>
        <v>0</v>
      </c>
      <c r="W111" s="405">
        <f>SUMIFS(領用表!$L:$L,領用表!$E:$E,$B111,領用表!$B:$B,W$2&amp;$P$1)</f>
        <v>0</v>
      </c>
      <c r="X111" s="405">
        <f>SUMIFS(領用表!$L:$L,領用表!$E:$E,$B111,領用表!$B:$B,X$2&amp;$P$1)</f>
        <v>0</v>
      </c>
      <c r="Y111" s="405">
        <f>SUMIFS(領用表!$L:$L,領用表!$E:$E,$B111,領用表!$B:$B,Y$2&amp;$P$1)</f>
        <v>0</v>
      </c>
      <c r="Z111" s="405">
        <f>SUMIFS(領用表!$L:$L,領用表!$E:$E,$B111,領用表!$B:$B,Z$2&amp;$P$1)</f>
        <v>0</v>
      </c>
      <c r="AA111" s="405">
        <f>SUMIFS(領用表!$L:$L,領用表!$E:$E,$B111,領用表!$B:$B,AA$2&amp;$P$1)</f>
        <v>0</v>
      </c>
      <c r="AB111" s="405">
        <f t="shared" si="12"/>
        <v>0</v>
      </c>
      <c r="AC111" s="405">
        <f t="shared" si="13"/>
        <v>0</v>
      </c>
      <c r="AD111" s="405">
        <f>SUMIF(Summary!B:B,B111,Summary!DW:DW)</f>
        <v>0</v>
      </c>
      <c r="AE111" s="111"/>
      <c r="AF111" s="80"/>
      <c r="AG111" s="65"/>
      <c r="AH111" s="65"/>
    </row>
    <row r="112" spans="1:38" ht="15.75" customHeight="1">
      <c r="A112" s="27" t="s">
        <v>215</v>
      </c>
      <c r="B112" s="14" t="e">
        <v>#N/A</v>
      </c>
      <c r="C112" s="136" t="s">
        <v>587</v>
      </c>
      <c r="D112" s="77"/>
      <c r="E112" s="17" t="s">
        <v>15</v>
      </c>
      <c r="F112" s="18"/>
      <c r="G112" s="18"/>
      <c r="H112" s="20">
        <f>SUMIFS(領用表!$L:$L,領用表!$E:$E,$B112,領用表!$B:$B,H$2&amp;$P$1)</f>
        <v>0</v>
      </c>
      <c r="I112" s="20">
        <f>SUMIFS(領用表!$L:$L,領用表!$E:$E,$B112,領用表!$B:$B,I$2&amp;$P$1)</f>
        <v>0</v>
      </c>
      <c r="J112" s="20">
        <f>SUMIFS(領用表!$L:$L,領用表!$E:$E,$B112,領用表!$B:$B,J$2&amp;$P$1)</f>
        <v>0</v>
      </c>
      <c r="K112" s="142">
        <f>SUMIFS(領用表!$L:$L,領用表!$E:$E,$B112,領用表!$B:$B,K$2&amp;$P$1)</f>
        <v>0</v>
      </c>
      <c r="L112" s="142">
        <f>SUMIFS(領用表!$L:$L,領用表!$E:$E,$B112,領用表!$B:$B,L$2&amp;$P$1)</f>
        <v>0</v>
      </c>
      <c r="M112" s="142">
        <f>SUMIFS(領用表!$L:$L,領用表!$E:$E,$B112,領用表!$B:$B,M$2&amp;$P$1)</f>
        <v>0</v>
      </c>
      <c r="N112" s="23">
        <f t="shared" si="14"/>
        <v>0</v>
      </c>
      <c r="O112" s="23">
        <f t="shared" si="15"/>
        <v>0</v>
      </c>
      <c r="P112" s="142">
        <f>SUMIFS(領用表!$L:$L,領用表!$E:$E,$B112,領用表!$B:$B,P$2&amp;$P$1)</f>
        <v>0</v>
      </c>
      <c r="Q112" s="405">
        <f>SUMIFS(領用表!$L:$L,領用表!$E:$E,$B112,領用表!$B:$B,Q$2&amp;$P$1)</f>
        <v>0</v>
      </c>
      <c r="R112" s="405">
        <f>SUMIFS(領用表!$L:$L,領用表!$E:$E,$B112,領用表!$B:$B,R$2&amp;$P$1)</f>
        <v>0</v>
      </c>
      <c r="S112" s="405">
        <f>SUMIFS(領用表!$L:$L,領用表!$E:$E,$B112,領用表!$B:$B,S$2&amp;$P$1)</f>
        <v>0</v>
      </c>
      <c r="T112" s="405">
        <f>SUMIFS(領用表!$L:$L,領用表!$E:$E,$B112,領用表!$B:$B,T$2&amp;$P$1)</f>
        <v>0</v>
      </c>
      <c r="U112" s="405">
        <f>SUMIFS(領用表!$L:$L,領用表!$E:$E,$B112,領用表!$B:$B,U$2&amp;$P$1)</f>
        <v>0</v>
      </c>
      <c r="V112" s="405">
        <f>SUMIFS(領用表!$L:$L,領用表!$E:$E,$B112,領用表!$B:$B,V$2&amp;$P$1)</f>
        <v>0</v>
      </c>
      <c r="W112" s="405">
        <f>SUMIFS(領用表!$L:$L,領用表!$E:$E,$B112,領用表!$B:$B,W$2&amp;$P$1)</f>
        <v>0</v>
      </c>
      <c r="X112" s="405">
        <f>SUMIFS(領用表!$L:$L,領用表!$E:$E,$B112,領用表!$B:$B,X$2&amp;$P$1)</f>
        <v>0</v>
      </c>
      <c r="Y112" s="405">
        <f>SUMIFS(領用表!$L:$L,領用表!$E:$E,$B112,領用表!$B:$B,Y$2&amp;$P$1)</f>
        <v>0</v>
      </c>
      <c r="Z112" s="405">
        <f>SUMIFS(領用表!$L:$L,領用表!$E:$E,$B112,領用表!$B:$B,Z$2&amp;$P$1)</f>
        <v>0</v>
      </c>
      <c r="AA112" s="405">
        <f>SUMIFS(領用表!$L:$L,領用表!$E:$E,$B112,領用表!$B:$B,AA$2&amp;$P$1)</f>
        <v>0</v>
      </c>
      <c r="AB112" s="405">
        <f t="shared" si="12"/>
        <v>0</v>
      </c>
      <c r="AC112" s="405">
        <f t="shared" si="13"/>
        <v>0</v>
      </c>
      <c r="AD112" s="405">
        <f>SUMIF(Summary!B:B,B112,Summary!DW:DW)</f>
        <v>0</v>
      </c>
      <c r="AE112" s="111"/>
      <c r="AF112" s="80"/>
      <c r="AG112" s="65"/>
      <c r="AH112" s="65"/>
    </row>
    <row r="113" spans="1:36" ht="16.5" hidden="1" customHeight="1">
      <c r="A113" s="27" t="s">
        <v>173</v>
      </c>
      <c r="B113" s="14">
        <v>1080002</v>
      </c>
      <c r="C113" s="136" t="s">
        <v>551</v>
      </c>
      <c r="D113" s="77"/>
      <c r="E113" s="17" t="s">
        <v>15</v>
      </c>
      <c r="F113" s="18"/>
      <c r="G113" s="18"/>
      <c r="H113" s="20">
        <f>SUMIFS(領用表!$L:$L,領用表!$E:$E,$B113,領用表!$B:$B,H$2&amp;$P$1)</f>
        <v>0</v>
      </c>
      <c r="I113" s="20">
        <f>SUMIFS(領用表!$L:$L,領用表!$E:$E,$B113,領用表!$B:$B,I$2&amp;$P$1)</f>
        <v>0</v>
      </c>
      <c r="J113" s="20">
        <f>SUMIFS(領用表!$L:$L,領用表!$E:$E,$B113,領用表!$B:$B,J$2&amp;$P$1)</f>
        <v>0</v>
      </c>
      <c r="K113" s="142">
        <f>SUMIFS(領用表!$L:$L,領用表!$E:$E,$B113,領用表!$B:$B,K$2&amp;$P$1)</f>
        <v>0</v>
      </c>
      <c r="L113" s="142">
        <f>SUMIFS(領用表!$L:$L,領用表!$E:$E,$B113,領用表!$B:$B,L$2&amp;$P$1)</f>
        <v>0</v>
      </c>
      <c r="M113" s="142">
        <f>SUMIFS(領用表!$L:$L,領用表!$E:$E,$B113,領用表!$B:$B,M$2&amp;$P$1)</f>
        <v>0</v>
      </c>
      <c r="N113" s="23">
        <f t="shared" si="14"/>
        <v>0</v>
      </c>
      <c r="O113" s="23">
        <f t="shared" si="15"/>
        <v>0</v>
      </c>
      <c r="P113" s="142">
        <f>SUMIFS(領用表!$L:$L,領用表!$E:$E,$B113,領用表!$B:$B,P$2&amp;$P$1)</f>
        <v>0</v>
      </c>
      <c r="Q113" s="142">
        <f>SUMIFS(領用表!$L:$L,領用表!$E:$E,$B113,領用表!$B:$B,Q$2&amp;$P$1)</f>
        <v>0</v>
      </c>
      <c r="R113" s="142">
        <f>SUMIFS(領用表!$L:$L,領用表!$E:$E,$B113,領用表!$B:$B,R$2&amp;$P$1)</f>
        <v>0</v>
      </c>
      <c r="S113" s="142">
        <f>SUMIFS(領用表!$L:$L,領用表!$E:$E,$B113,領用表!$B:$B,S$2&amp;$P$1)</f>
        <v>0</v>
      </c>
      <c r="T113" s="142">
        <f>SUMIFS(領用表!$L:$L,領用表!$E:$E,$B113,領用表!$B:$B,T$2&amp;$P$1)</f>
        <v>0</v>
      </c>
      <c r="U113" s="142">
        <f>SUMIFS(領用表!$L:$L,領用表!$E:$E,$B113,領用表!$B:$B,U$2&amp;$P$1)</f>
        <v>0</v>
      </c>
      <c r="V113" s="142">
        <f>SUMIFS(領用表!$L:$L,領用表!$E:$E,$B113,領用表!$B:$B,V$2&amp;$P$1)</f>
        <v>0</v>
      </c>
      <c r="W113" s="142">
        <f>SUMIFS(領用表!$L:$L,領用表!$E:$E,$B113,領用表!$B:$B,W$2&amp;$P$1)</f>
        <v>0</v>
      </c>
      <c r="X113" s="142">
        <f>SUMIFS(領用表!$L:$L,領用表!$E:$E,$B113,領用表!$B:$B,X$2&amp;$P$1)</f>
        <v>0</v>
      </c>
      <c r="Y113" s="142">
        <f>SUMIFS(領用表!$L:$L,領用表!$E:$E,$B113,領用表!$B:$B,Y$2&amp;$P$1)</f>
        <v>0</v>
      </c>
      <c r="Z113" s="142">
        <f>SUMIFS(領用表!$L:$L,領用表!$E:$E,$B113,領用表!$B:$B,Z$2&amp;$P$1)</f>
        <v>0</v>
      </c>
      <c r="AA113" s="142">
        <f>SUMIFS(領用表!$L:$L,領用表!$E:$E,$B113,領用表!$B:$B,AA$2&amp;$P$1)</f>
        <v>0</v>
      </c>
      <c r="AB113" s="142">
        <f t="shared" si="12"/>
        <v>0</v>
      </c>
      <c r="AC113" s="142">
        <f t="shared" si="13"/>
        <v>0</v>
      </c>
      <c r="AD113" s="142">
        <f>SUMIF(Summary!B:B,B113,Summary!DW:DW)</f>
        <v>0</v>
      </c>
      <c r="AE113" s="109"/>
      <c r="AF113" s="65"/>
      <c r="AG113" s="65"/>
      <c r="AH113" s="65"/>
      <c r="AI113" s="27"/>
      <c r="AJ113" s="27"/>
    </row>
    <row r="114" spans="1:36" ht="16.5" hidden="1" customHeight="1">
      <c r="A114" s="27" t="s">
        <v>174</v>
      </c>
      <c r="B114" s="14">
        <v>1080006</v>
      </c>
      <c r="C114" s="136" t="s">
        <v>552</v>
      </c>
      <c r="D114" s="77"/>
      <c r="E114" s="17" t="s">
        <v>15</v>
      </c>
      <c r="F114" s="18"/>
      <c r="G114" s="18"/>
      <c r="H114" s="20">
        <f>SUMIFS(領用表!$L:$L,領用表!$E:$E,$B114,領用表!$B:$B,H$2&amp;$P$1)</f>
        <v>0</v>
      </c>
      <c r="I114" s="20">
        <f>SUMIFS(領用表!$L:$L,領用表!$E:$E,$B114,領用表!$B:$B,I$2&amp;$P$1)</f>
        <v>0</v>
      </c>
      <c r="J114" s="20">
        <f>SUMIFS(領用表!$L:$L,領用表!$E:$E,$B114,領用表!$B:$B,J$2&amp;$P$1)</f>
        <v>0</v>
      </c>
      <c r="K114" s="142">
        <f>SUMIFS(領用表!$L:$L,領用表!$E:$E,$B114,領用表!$B:$B,K$2&amp;$P$1)</f>
        <v>0</v>
      </c>
      <c r="L114" s="142">
        <f>SUMIFS(領用表!$L:$L,領用表!$E:$E,$B114,領用表!$B:$B,L$2&amp;$P$1)</f>
        <v>0</v>
      </c>
      <c r="M114" s="142">
        <f>SUMIFS(領用表!$L:$L,領用表!$E:$E,$B114,領用表!$B:$B,M$2&amp;$P$1)</f>
        <v>0</v>
      </c>
      <c r="N114" s="23">
        <f t="shared" si="14"/>
        <v>0</v>
      </c>
      <c r="O114" s="23">
        <f t="shared" si="15"/>
        <v>0</v>
      </c>
      <c r="P114" s="142">
        <f>SUMIFS(領用表!$L:$L,領用表!$E:$E,$B114,領用表!$B:$B,P$2&amp;$P$1)</f>
        <v>0</v>
      </c>
      <c r="Q114" s="142">
        <f>SUMIFS(領用表!$L:$L,領用表!$E:$E,$B114,領用表!$B:$B,Q$2&amp;$P$1)</f>
        <v>0</v>
      </c>
      <c r="R114" s="142">
        <f>SUMIFS(領用表!$L:$L,領用表!$E:$E,$B114,領用表!$B:$B,R$2&amp;$P$1)</f>
        <v>0</v>
      </c>
      <c r="S114" s="142">
        <f>SUMIFS(領用表!$L:$L,領用表!$E:$E,$B114,領用表!$B:$B,S$2&amp;$P$1)</f>
        <v>0</v>
      </c>
      <c r="T114" s="142">
        <f>SUMIFS(領用表!$L:$L,領用表!$E:$E,$B114,領用表!$B:$B,T$2&amp;$P$1)</f>
        <v>0</v>
      </c>
      <c r="U114" s="142">
        <f>SUMIFS(領用表!$L:$L,領用表!$E:$E,$B114,領用表!$B:$B,U$2&amp;$P$1)</f>
        <v>0</v>
      </c>
      <c r="V114" s="142">
        <f>SUMIFS(領用表!$L:$L,領用表!$E:$E,$B114,領用表!$B:$B,V$2&amp;$P$1)</f>
        <v>0</v>
      </c>
      <c r="W114" s="142">
        <f>SUMIFS(領用表!$L:$L,領用表!$E:$E,$B114,領用表!$B:$B,W$2&amp;$P$1)</f>
        <v>0</v>
      </c>
      <c r="X114" s="142">
        <f>SUMIFS(領用表!$L:$L,領用表!$E:$E,$B114,領用表!$B:$B,X$2&amp;$P$1)</f>
        <v>0</v>
      </c>
      <c r="Y114" s="142">
        <f>SUMIFS(領用表!$L:$L,領用表!$E:$E,$B114,領用表!$B:$B,Y$2&amp;$P$1)</f>
        <v>0</v>
      </c>
      <c r="Z114" s="142">
        <f>SUMIFS(領用表!$L:$L,領用表!$E:$E,$B114,領用表!$B:$B,Z$2&amp;$P$1)</f>
        <v>0</v>
      </c>
      <c r="AA114" s="142">
        <f>SUMIFS(領用表!$L:$L,領用表!$E:$E,$B114,領用表!$B:$B,AA$2&amp;$P$1)</f>
        <v>0</v>
      </c>
      <c r="AB114" s="142">
        <f t="shared" si="12"/>
        <v>0</v>
      </c>
      <c r="AC114" s="142">
        <f t="shared" si="13"/>
        <v>0</v>
      </c>
      <c r="AD114" s="142">
        <f>SUMIF(Summary!B:B,B114,Summary!DW:DW)</f>
        <v>0</v>
      </c>
      <c r="AE114" s="109"/>
      <c r="AF114" s="65"/>
      <c r="AG114" s="65"/>
      <c r="AH114" s="76"/>
    </row>
    <row r="115" spans="1:36" ht="16.5" hidden="1" customHeight="1">
      <c r="A115" s="27" t="s">
        <v>176</v>
      </c>
      <c r="B115" s="14">
        <v>6080005</v>
      </c>
      <c r="C115" s="136" t="s">
        <v>554</v>
      </c>
      <c r="D115" s="77"/>
      <c r="E115" s="17" t="s">
        <v>15</v>
      </c>
      <c r="F115" s="18"/>
      <c r="G115" s="18"/>
      <c r="H115" s="20">
        <f>SUMIFS(領用表!$L:$L,領用表!$E:$E,$B115,領用表!$B:$B,H$2&amp;$P$1)</f>
        <v>0</v>
      </c>
      <c r="I115" s="20">
        <f>SUMIFS(領用表!$L:$L,領用表!$E:$E,$B115,領用表!$B:$B,I$2&amp;$P$1)</f>
        <v>0</v>
      </c>
      <c r="J115" s="20">
        <f>SUMIFS(領用表!$L:$L,領用表!$E:$E,$B115,領用表!$B:$B,J$2&amp;$P$1)</f>
        <v>0</v>
      </c>
      <c r="K115" s="142">
        <f>SUMIFS(領用表!$L:$L,領用表!$E:$E,$B115,領用表!$B:$B,K$2&amp;$P$1)</f>
        <v>0</v>
      </c>
      <c r="L115" s="142">
        <f>SUMIFS(領用表!$L:$L,領用表!$E:$E,$B115,領用表!$B:$B,L$2&amp;$P$1)</f>
        <v>0</v>
      </c>
      <c r="M115" s="142">
        <f>SUMIFS(領用表!$L:$L,領用表!$E:$E,$B115,領用表!$B:$B,M$2&amp;$P$1)</f>
        <v>0</v>
      </c>
      <c r="N115" s="23">
        <f t="shared" si="14"/>
        <v>0</v>
      </c>
      <c r="O115" s="23">
        <f t="shared" si="15"/>
        <v>0</v>
      </c>
      <c r="P115" s="142">
        <f>SUMIFS(領用表!$L:$L,領用表!$E:$E,$B115,領用表!$B:$B,P$2&amp;$P$1)</f>
        <v>0</v>
      </c>
      <c r="Q115" s="142">
        <f>SUMIFS(領用表!$L:$L,領用表!$E:$E,$B115,領用表!$B:$B,Q$2&amp;$P$1)</f>
        <v>0</v>
      </c>
      <c r="R115" s="142">
        <f>SUMIFS(領用表!$L:$L,領用表!$E:$E,$B115,領用表!$B:$B,R$2&amp;$P$1)</f>
        <v>0</v>
      </c>
      <c r="S115" s="142">
        <f>SUMIFS(領用表!$L:$L,領用表!$E:$E,$B115,領用表!$B:$B,S$2&amp;$P$1)</f>
        <v>0</v>
      </c>
      <c r="T115" s="142">
        <f>SUMIFS(領用表!$L:$L,領用表!$E:$E,$B115,領用表!$B:$B,T$2&amp;$P$1)</f>
        <v>0</v>
      </c>
      <c r="U115" s="142">
        <f>SUMIFS(領用表!$L:$L,領用表!$E:$E,$B115,領用表!$B:$B,U$2&amp;$P$1)</f>
        <v>0</v>
      </c>
      <c r="V115" s="142">
        <f>SUMIFS(領用表!$L:$L,領用表!$E:$E,$B115,領用表!$B:$B,V$2&amp;$P$1)</f>
        <v>0</v>
      </c>
      <c r="W115" s="142">
        <f>SUMIFS(領用表!$L:$L,領用表!$E:$E,$B115,領用表!$B:$B,W$2&amp;$P$1)</f>
        <v>0</v>
      </c>
      <c r="X115" s="142">
        <f>SUMIFS(領用表!$L:$L,領用表!$E:$E,$B115,領用表!$B:$B,X$2&amp;$P$1)</f>
        <v>0</v>
      </c>
      <c r="Y115" s="142">
        <f>SUMIFS(領用表!$L:$L,領用表!$E:$E,$B115,領用表!$B:$B,Y$2&amp;$P$1)</f>
        <v>0</v>
      </c>
      <c r="Z115" s="142">
        <f>SUMIFS(領用表!$L:$L,領用表!$E:$E,$B115,領用表!$B:$B,Z$2&amp;$P$1)</f>
        <v>0</v>
      </c>
      <c r="AA115" s="142">
        <f>SUMIFS(領用表!$L:$L,領用表!$E:$E,$B115,領用表!$B:$B,AA$2&amp;$P$1)</f>
        <v>0</v>
      </c>
      <c r="AB115" s="142">
        <f t="shared" si="12"/>
        <v>0</v>
      </c>
      <c r="AC115" s="142">
        <f t="shared" si="13"/>
        <v>0</v>
      </c>
      <c r="AD115" s="142">
        <f>SUMIF(Summary!B:B,B115,Summary!DW:DW)</f>
        <v>0</v>
      </c>
      <c r="AE115" s="109"/>
      <c r="AF115" s="65"/>
      <c r="AG115" s="65"/>
      <c r="AH115" s="65"/>
    </row>
    <row r="116" spans="1:36" ht="16.5" hidden="1" customHeight="1">
      <c r="A116" s="27" t="s">
        <v>210</v>
      </c>
      <c r="B116" s="14">
        <v>1080005</v>
      </c>
      <c r="C116" s="136" t="s">
        <v>582</v>
      </c>
      <c r="D116" s="77"/>
      <c r="E116" s="17" t="s">
        <v>15</v>
      </c>
      <c r="F116" s="18"/>
      <c r="G116" s="18"/>
      <c r="H116" s="20">
        <f>SUMIFS(領用表!$L:$L,領用表!$E:$E,$B116,領用表!$B:$B,H$2&amp;$P$1)</f>
        <v>0</v>
      </c>
      <c r="I116" s="20">
        <f>SUMIFS(領用表!$L:$L,領用表!$E:$E,$B116,領用表!$B:$B,I$2&amp;$P$1)</f>
        <v>0</v>
      </c>
      <c r="J116" s="20">
        <f>SUMIFS(領用表!$L:$L,領用表!$E:$E,$B116,領用表!$B:$B,J$2&amp;$P$1)</f>
        <v>0</v>
      </c>
      <c r="K116" s="142">
        <f>SUMIFS(領用表!$L:$L,領用表!$E:$E,$B116,領用表!$B:$B,K$2&amp;$P$1)</f>
        <v>0</v>
      </c>
      <c r="L116" s="142">
        <f>SUMIFS(領用表!$L:$L,領用表!$E:$E,$B116,領用表!$B:$B,L$2&amp;$P$1)</f>
        <v>0</v>
      </c>
      <c r="M116" s="142">
        <f>SUMIFS(領用表!$L:$L,領用表!$E:$E,$B116,領用表!$B:$B,M$2&amp;$P$1)</f>
        <v>0</v>
      </c>
      <c r="N116" s="23">
        <f t="shared" si="14"/>
        <v>0</v>
      </c>
      <c r="O116" s="23">
        <f t="shared" si="15"/>
        <v>0</v>
      </c>
      <c r="P116" s="142">
        <f>SUMIFS(領用表!$L:$L,領用表!$E:$E,$B116,領用表!$B:$B,P$2&amp;$P$1)</f>
        <v>0</v>
      </c>
      <c r="Q116" s="142">
        <f>SUMIFS(領用表!$L:$L,領用表!$E:$E,$B116,領用表!$B:$B,Q$2&amp;$P$1)</f>
        <v>0</v>
      </c>
      <c r="R116" s="142">
        <f>SUMIFS(領用表!$L:$L,領用表!$E:$E,$B116,領用表!$B:$B,R$2&amp;$P$1)</f>
        <v>0</v>
      </c>
      <c r="S116" s="142">
        <f>SUMIFS(領用表!$L:$L,領用表!$E:$E,$B116,領用表!$B:$B,S$2&amp;$P$1)</f>
        <v>0</v>
      </c>
      <c r="T116" s="142">
        <f>SUMIFS(領用表!$L:$L,領用表!$E:$E,$B116,領用表!$B:$B,T$2&amp;$P$1)</f>
        <v>0</v>
      </c>
      <c r="U116" s="142">
        <f>SUMIFS(領用表!$L:$L,領用表!$E:$E,$B116,領用表!$B:$B,U$2&amp;$P$1)</f>
        <v>0</v>
      </c>
      <c r="V116" s="142">
        <f>SUMIFS(領用表!$L:$L,領用表!$E:$E,$B116,領用表!$B:$B,V$2&amp;$P$1)</f>
        <v>0</v>
      </c>
      <c r="W116" s="142">
        <f>SUMIFS(領用表!$L:$L,領用表!$E:$E,$B116,領用表!$B:$B,W$2&amp;$P$1)</f>
        <v>0</v>
      </c>
      <c r="X116" s="142">
        <f>SUMIFS(領用表!$L:$L,領用表!$E:$E,$B116,領用表!$B:$B,X$2&amp;$P$1)</f>
        <v>0</v>
      </c>
      <c r="Y116" s="142">
        <f>SUMIFS(領用表!$L:$L,領用表!$E:$E,$B116,領用表!$B:$B,Y$2&amp;$P$1)</f>
        <v>0</v>
      </c>
      <c r="Z116" s="142">
        <f>SUMIFS(領用表!$L:$L,領用表!$E:$E,$B116,領用表!$B:$B,Z$2&amp;$P$1)</f>
        <v>0</v>
      </c>
      <c r="AA116" s="142">
        <f>SUMIFS(領用表!$L:$L,領用表!$E:$E,$B116,領用表!$B:$B,AA$2&amp;$P$1)</f>
        <v>0</v>
      </c>
      <c r="AB116" s="142">
        <f t="shared" si="12"/>
        <v>0</v>
      </c>
      <c r="AC116" s="142">
        <f t="shared" si="13"/>
        <v>0</v>
      </c>
      <c r="AD116" s="142">
        <f>SUMIF(Summary!B:B,B116,Summary!DW:DW)</f>
        <v>0</v>
      </c>
      <c r="AE116" s="109"/>
      <c r="AF116" s="65"/>
      <c r="AG116" s="65"/>
      <c r="AH116" s="65"/>
    </row>
    <row r="117" spans="1:36" ht="16.5" hidden="1" customHeight="1">
      <c r="A117" s="27" t="s">
        <v>216</v>
      </c>
      <c r="B117" s="14" t="e">
        <v>#N/A</v>
      </c>
      <c r="C117" s="136" t="s">
        <v>588</v>
      </c>
      <c r="D117" s="77"/>
      <c r="E117" s="17" t="s">
        <v>15</v>
      </c>
      <c r="F117" s="18"/>
      <c r="G117" s="18"/>
      <c r="H117" s="20">
        <f>SUMIFS(領用表!$L:$L,領用表!$E:$E,$B117,領用表!$B:$B,H$2&amp;$P$1)</f>
        <v>0</v>
      </c>
      <c r="I117" s="20">
        <f>SUMIFS(領用表!$L:$L,領用表!$E:$E,$B117,領用表!$B:$B,I$2&amp;$P$1)</f>
        <v>0</v>
      </c>
      <c r="J117" s="20">
        <f>SUMIFS(領用表!$L:$L,領用表!$E:$E,$B117,領用表!$B:$B,J$2&amp;$P$1)</f>
        <v>0</v>
      </c>
      <c r="K117" s="142">
        <f>SUMIFS(領用表!$L:$L,領用表!$E:$E,$B117,領用表!$B:$B,K$2&amp;$P$1)</f>
        <v>0</v>
      </c>
      <c r="L117" s="142">
        <f>SUMIFS(領用表!$L:$L,領用表!$E:$E,$B117,領用表!$B:$B,L$2&amp;$P$1)</f>
        <v>0</v>
      </c>
      <c r="M117" s="142">
        <f>SUMIFS(領用表!$L:$L,領用表!$E:$E,$B117,領用表!$B:$B,M$2&amp;$P$1)</f>
        <v>0</v>
      </c>
      <c r="N117" s="23">
        <f t="shared" si="14"/>
        <v>0</v>
      </c>
      <c r="O117" s="23">
        <f t="shared" si="15"/>
        <v>0</v>
      </c>
      <c r="P117" s="142">
        <f>SUMIFS(領用表!$L:$L,領用表!$E:$E,$B117,領用表!$B:$B,P$2&amp;$P$1)</f>
        <v>0</v>
      </c>
      <c r="Q117" s="142">
        <f>SUMIFS(領用表!$L:$L,領用表!$E:$E,$B117,領用表!$B:$B,Q$2&amp;$P$1)</f>
        <v>0</v>
      </c>
      <c r="R117" s="142">
        <f>SUMIFS(領用表!$L:$L,領用表!$E:$E,$B117,領用表!$B:$B,R$2&amp;$P$1)</f>
        <v>0</v>
      </c>
      <c r="S117" s="142">
        <f>SUMIFS(領用表!$L:$L,領用表!$E:$E,$B117,領用表!$B:$B,S$2&amp;$P$1)</f>
        <v>0</v>
      </c>
      <c r="T117" s="142">
        <f>SUMIFS(領用表!$L:$L,領用表!$E:$E,$B117,領用表!$B:$B,T$2&amp;$P$1)</f>
        <v>0</v>
      </c>
      <c r="U117" s="142">
        <f>SUMIFS(領用表!$L:$L,領用表!$E:$E,$B117,領用表!$B:$B,U$2&amp;$P$1)</f>
        <v>0</v>
      </c>
      <c r="V117" s="142">
        <f>SUMIFS(領用表!$L:$L,領用表!$E:$E,$B117,領用表!$B:$B,V$2&amp;$P$1)</f>
        <v>0</v>
      </c>
      <c r="W117" s="142">
        <f>SUMIFS(領用表!$L:$L,領用表!$E:$E,$B117,領用表!$B:$B,W$2&amp;$P$1)</f>
        <v>0</v>
      </c>
      <c r="X117" s="142">
        <f>SUMIFS(領用表!$L:$L,領用表!$E:$E,$B117,領用表!$B:$B,X$2&amp;$P$1)</f>
        <v>0</v>
      </c>
      <c r="Y117" s="142">
        <f>SUMIFS(領用表!$L:$L,領用表!$E:$E,$B117,領用表!$B:$B,Y$2&amp;$P$1)</f>
        <v>0</v>
      </c>
      <c r="Z117" s="142">
        <f>SUMIFS(領用表!$L:$L,領用表!$E:$E,$B117,領用表!$B:$B,Z$2&amp;$P$1)</f>
        <v>0</v>
      </c>
      <c r="AA117" s="142">
        <f>SUMIFS(領用表!$L:$L,領用表!$E:$E,$B117,領用表!$B:$B,AA$2&amp;$P$1)</f>
        <v>0</v>
      </c>
      <c r="AB117" s="142">
        <f t="shared" si="12"/>
        <v>0</v>
      </c>
      <c r="AC117" s="142">
        <f t="shared" si="13"/>
        <v>0</v>
      </c>
      <c r="AD117" s="142">
        <f>SUMIF(Summary!B:B,B117,Summary!DW:DW)</f>
        <v>0</v>
      </c>
      <c r="AE117" s="109"/>
      <c r="AF117" s="65"/>
      <c r="AG117" s="65"/>
      <c r="AH117" s="65"/>
    </row>
    <row r="118" spans="1:36" ht="16.5" hidden="1" customHeight="1">
      <c r="A118" s="27" t="s">
        <v>205</v>
      </c>
      <c r="B118" s="14" t="e">
        <v>#N/A</v>
      </c>
      <c r="C118" s="136" t="s">
        <v>577</v>
      </c>
      <c r="D118" s="77"/>
      <c r="E118" s="17" t="s">
        <v>15</v>
      </c>
      <c r="F118" s="18"/>
      <c r="G118" s="18"/>
      <c r="H118" s="20">
        <f>SUMIFS(領用表!$L:$L,領用表!$E:$E,$B118,領用表!$B:$B,H$2&amp;$P$1)</f>
        <v>0</v>
      </c>
      <c r="I118" s="20">
        <f>SUMIFS(領用表!$L:$L,領用表!$E:$E,$B118,領用表!$B:$B,I$2&amp;$P$1)</f>
        <v>0</v>
      </c>
      <c r="J118" s="20">
        <f>SUMIFS(領用表!$L:$L,領用表!$E:$E,$B118,領用表!$B:$B,J$2&amp;$P$1)</f>
        <v>0</v>
      </c>
      <c r="K118" s="142">
        <f>SUMIFS(領用表!$L:$L,領用表!$E:$E,$B118,領用表!$B:$B,K$2&amp;$P$1)</f>
        <v>0</v>
      </c>
      <c r="L118" s="142">
        <f>SUMIFS(領用表!$L:$L,領用表!$E:$E,$B118,領用表!$B:$B,L$2&amp;$P$1)</f>
        <v>0</v>
      </c>
      <c r="M118" s="142">
        <f>SUMIFS(領用表!$L:$L,領用表!$E:$E,$B118,領用表!$B:$B,M$2&amp;$P$1)</f>
        <v>0</v>
      </c>
      <c r="N118" s="23">
        <f t="shared" si="14"/>
        <v>0</v>
      </c>
      <c r="O118" s="23">
        <f t="shared" si="15"/>
        <v>0</v>
      </c>
      <c r="P118" s="142">
        <f>SUMIFS(領用表!$L:$L,領用表!$E:$E,$B118,領用表!$B:$B,P$2&amp;$P$1)</f>
        <v>0</v>
      </c>
      <c r="Q118" s="142">
        <f>SUMIFS(領用表!$L:$L,領用表!$E:$E,$B118,領用表!$B:$B,Q$2&amp;$P$1)</f>
        <v>0</v>
      </c>
      <c r="R118" s="142">
        <f>SUMIFS(領用表!$L:$L,領用表!$E:$E,$B118,領用表!$B:$B,R$2&amp;$P$1)</f>
        <v>0</v>
      </c>
      <c r="S118" s="142">
        <f>SUMIFS(領用表!$L:$L,領用表!$E:$E,$B118,領用表!$B:$B,S$2&amp;$P$1)</f>
        <v>0</v>
      </c>
      <c r="T118" s="142">
        <f>SUMIFS(領用表!$L:$L,領用表!$E:$E,$B118,領用表!$B:$B,T$2&amp;$P$1)</f>
        <v>0</v>
      </c>
      <c r="U118" s="142">
        <f>SUMIFS(領用表!$L:$L,領用表!$E:$E,$B118,領用表!$B:$B,U$2&amp;$P$1)</f>
        <v>0</v>
      </c>
      <c r="V118" s="142">
        <f>SUMIFS(領用表!$L:$L,領用表!$E:$E,$B118,領用表!$B:$B,V$2&amp;$P$1)</f>
        <v>0</v>
      </c>
      <c r="W118" s="142">
        <f>SUMIFS(領用表!$L:$L,領用表!$E:$E,$B118,領用表!$B:$B,W$2&amp;$P$1)</f>
        <v>0</v>
      </c>
      <c r="X118" s="142">
        <f>SUMIFS(領用表!$L:$L,領用表!$E:$E,$B118,領用表!$B:$B,X$2&amp;$P$1)</f>
        <v>0</v>
      </c>
      <c r="Y118" s="142">
        <f>SUMIFS(領用表!$L:$L,領用表!$E:$E,$B118,領用表!$B:$B,Y$2&amp;$P$1)</f>
        <v>0</v>
      </c>
      <c r="Z118" s="142">
        <f>SUMIFS(領用表!$L:$L,領用表!$E:$E,$B118,領用表!$B:$B,Z$2&amp;$P$1)</f>
        <v>0</v>
      </c>
      <c r="AA118" s="142">
        <f>SUMIFS(領用表!$L:$L,領用表!$E:$E,$B118,領用表!$B:$B,AA$2&amp;$P$1)</f>
        <v>0</v>
      </c>
      <c r="AB118" s="142">
        <f t="shared" si="12"/>
        <v>0</v>
      </c>
      <c r="AC118" s="142">
        <f t="shared" si="13"/>
        <v>0</v>
      </c>
      <c r="AD118" s="142">
        <f>SUMIF(Summary!B:B,B118,Summary!DW:DW)</f>
        <v>0</v>
      </c>
      <c r="AE118" s="109"/>
      <c r="AF118" s="65"/>
      <c r="AG118" s="65"/>
      <c r="AH118" s="65"/>
    </row>
    <row r="119" spans="1:36" ht="16.5" hidden="1" customHeight="1">
      <c r="A119" s="27" t="s">
        <v>206</v>
      </c>
      <c r="B119" s="14" t="e">
        <v>#N/A</v>
      </c>
      <c r="C119" s="136" t="s">
        <v>578</v>
      </c>
      <c r="D119" s="77"/>
      <c r="E119" s="17" t="s">
        <v>15</v>
      </c>
      <c r="F119" s="18"/>
      <c r="G119" s="18"/>
      <c r="H119" s="20">
        <f>SUMIFS(領用表!$L:$L,領用表!$E:$E,$B119,領用表!$B:$B,H$2&amp;$P$1)</f>
        <v>0</v>
      </c>
      <c r="I119" s="20">
        <f>SUMIFS(領用表!$L:$L,領用表!$E:$E,$B119,領用表!$B:$B,I$2&amp;$P$1)</f>
        <v>0</v>
      </c>
      <c r="J119" s="20">
        <f>SUMIFS(領用表!$L:$L,領用表!$E:$E,$B119,領用表!$B:$B,J$2&amp;$P$1)</f>
        <v>0</v>
      </c>
      <c r="K119" s="142">
        <f>SUMIFS(領用表!$L:$L,領用表!$E:$E,$B119,領用表!$B:$B,K$2&amp;$P$1)</f>
        <v>0</v>
      </c>
      <c r="L119" s="142">
        <f>SUMIFS(領用表!$L:$L,領用表!$E:$E,$B119,領用表!$B:$B,L$2&amp;$P$1)</f>
        <v>0</v>
      </c>
      <c r="M119" s="142">
        <f>SUMIFS(領用表!$L:$L,領用表!$E:$E,$B119,領用表!$B:$B,M$2&amp;$P$1)</f>
        <v>0</v>
      </c>
      <c r="N119" s="23">
        <f t="shared" si="14"/>
        <v>0</v>
      </c>
      <c r="O119" s="23">
        <f t="shared" si="15"/>
        <v>0</v>
      </c>
      <c r="P119" s="142">
        <f>SUMIFS(領用表!$L:$L,領用表!$E:$E,$B119,領用表!$B:$B,P$2&amp;$P$1)</f>
        <v>0</v>
      </c>
      <c r="Q119" s="142">
        <f>SUMIFS(領用表!$L:$L,領用表!$E:$E,$B119,領用表!$B:$B,Q$2&amp;$P$1)</f>
        <v>0</v>
      </c>
      <c r="R119" s="142">
        <f>SUMIFS(領用表!$L:$L,領用表!$E:$E,$B119,領用表!$B:$B,R$2&amp;$P$1)</f>
        <v>0</v>
      </c>
      <c r="S119" s="142">
        <f>SUMIFS(領用表!$L:$L,領用表!$E:$E,$B119,領用表!$B:$B,S$2&amp;$P$1)</f>
        <v>0</v>
      </c>
      <c r="T119" s="142">
        <f>SUMIFS(領用表!$L:$L,領用表!$E:$E,$B119,領用表!$B:$B,T$2&amp;$P$1)</f>
        <v>0</v>
      </c>
      <c r="U119" s="142">
        <f>SUMIFS(領用表!$L:$L,領用表!$E:$E,$B119,領用表!$B:$B,U$2&amp;$P$1)</f>
        <v>0</v>
      </c>
      <c r="V119" s="142">
        <f>SUMIFS(領用表!$L:$L,領用表!$E:$E,$B119,領用表!$B:$B,V$2&amp;$P$1)</f>
        <v>0</v>
      </c>
      <c r="W119" s="142">
        <f>SUMIFS(領用表!$L:$L,領用表!$E:$E,$B119,領用表!$B:$B,W$2&amp;$P$1)</f>
        <v>0</v>
      </c>
      <c r="X119" s="142">
        <f>SUMIFS(領用表!$L:$L,領用表!$E:$E,$B119,領用表!$B:$B,X$2&amp;$P$1)</f>
        <v>0</v>
      </c>
      <c r="Y119" s="142">
        <f>SUMIFS(領用表!$L:$L,領用表!$E:$E,$B119,領用表!$B:$B,Y$2&amp;$P$1)</f>
        <v>0</v>
      </c>
      <c r="Z119" s="142">
        <f>SUMIFS(領用表!$L:$L,領用表!$E:$E,$B119,領用表!$B:$B,Z$2&amp;$P$1)</f>
        <v>0</v>
      </c>
      <c r="AA119" s="142">
        <f>SUMIFS(領用表!$L:$L,領用表!$E:$E,$B119,領用表!$B:$B,AA$2&amp;$P$1)</f>
        <v>0</v>
      </c>
      <c r="AB119" s="142">
        <f t="shared" si="12"/>
        <v>0</v>
      </c>
      <c r="AC119" s="142">
        <f t="shared" si="13"/>
        <v>0</v>
      </c>
      <c r="AD119" s="142">
        <f>SUMIF(Summary!B:B,B119,Summary!DW:DW)</f>
        <v>0</v>
      </c>
      <c r="AE119" s="109"/>
      <c r="AF119" s="65"/>
      <c r="AG119" s="65"/>
      <c r="AH119" s="65"/>
    </row>
    <row r="120" spans="1:36" ht="14.25" hidden="1" customHeight="1">
      <c r="A120" s="27" t="s">
        <v>217</v>
      </c>
      <c r="B120" s="14" t="e">
        <v>#N/A</v>
      </c>
      <c r="C120" s="136" t="s">
        <v>589</v>
      </c>
      <c r="D120" s="77"/>
      <c r="E120" s="17" t="s">
        <v>15</v>
      </c>
      <c r="F120" s="18"/>
      <c r="G120" s="18"/>
      <c r="H120" s="20">
        <f>SUMIFS(領用表!$L:$L,領用表!$E:$E,$B120,領用表!$B:$B,H$2&amp;$P$1)</f>
        <v>0</v>
      </c>
      <c r="I120" s="20">
        <f>SUMIFS(領用表!$L:$L,領用表!$E:$E,$B120,領用表!$B:$B,I$2&amp;$P$1)</f>
        <v>0</v>
      </c>
      <c r="J120" s="20">
        <f>SUMIFS(領用表!$L:$L,領用表!$E:$E,$B120,領用表!$B:$B,J$2&amp;$P$1)</f>
        <v>0</v>
      </c>
      <c r="K120" s="142">
        <f>SUMIFS(領用表!$L:$L,領用表!$E:$E,$B120,領用表!$B:$B,K$2&amp;$P$1)</f>
        <v>0</v>
      </c>
      <c r="L120" s="142">
        <f>SUMIFS(領用表!$L:$L,領用表!$E:$E,$B120,領用表!$B:$B,L$2&amp;$P$1)</f>
        <v>0</v>
      </c>
      <c r="M120" s="142">
        <f>SUMIFS(領用表!$L:$L,領用表!$E:$E,$B120,領用表!$B:$B,M$2&amp;$P$1)</f>
        <v>0</v>
      </c>
      <c r="N120" s="23">
        <f t="shared" si="14"/>
        <v>0</v>
      </c>
      <c r="O120" s="23">
        <f t="shared" si="15"/>
        <v>0</v>
      </c>
      <c r="P120" s="142">
        <f>SUMIFS(領用表!$L:$L,領用表!$E:$E,$B120,領用表!$B:$B,P$2&amp;$P$1)</f>
        <v>0</v>
      </c>
      <c r="Q120" s="405">
        <f>SUMIFS(領用表!$L:$L,領用表!$E:$E,$B120,領用表!$B:$B,Q$2&amp;$P$1)</f>
        <v>0</v>
      </c>
      <c r="R120" s="405">
        <f>SUMIFS(領用表!$L:$L,領用表!$E:$E,$B120,領用表!$B:$B,R$2&amp;$P$1)</f>
        <v>0</v>
      </c>
      <c r="S120" s="405">
        <f>SUMIFS(領用表!$L:$L,領用表!$E:$E,$B120,領用表!$B:$B,S$2&amp;$P$1)</f>
        <v>0</v>
      </c>
      <c r="T120" s="405">
        <f>SUMIFS(領用表!$L:$L,領用表!$E:$E,$B120,領用表!$B:$B,T$2&amp;$P$1)</f>
        <v>0</v>
      </c>
      <c r="U120" s="405">
        <f>SUMIFS(領用表!$L:$L,領用表!$E:$E,$B120,領用表!$B:$B,U$2&amp;$P$1)</f>
        <v>0</v>
      </c>
      <c r="V120" s="405">
        <f>SUMIFS(領用表!$L:$L,領用表!$E:$E,$B120,領用表!$B:$B,V$2&amp;$P$1)</f>
        <v>0</v>
      </c>
      <c r="W120" s="405">
        <f>SUMIFS(領用表!$L:$L,領用表!$E:$E,$B120,領用表!$B:$B,W$2&amp;$P$1)</f>
        <v>0</v>
      </c>
      <c r="X120" s="405">
        <f>SUMIFS(領用表!$L:$L,領用表!$E:$E,$B120,領用表!$B:$B,X$2&amp;$P$1)</f>
        <v>0</v>
      </c>
      <c r="Y120" s="405">
        <f>SUMIFS(領用表!$L:$L,領用表!$E:$E,$B120,領用表!$B:$B,Y$2&amp;$P$1)</f>
        <v>0</v>
      </c>
      <c r="Z120" s="405">
        <f>SUMIFS(領用表!$L:$L,領用表!$E:$E,$B120,領用表!$B:$B,Z$2&amp;$P$1)</f>
        <v>0</v>
      </c>
      <c r="AA120" s="405">
        <f>SUMIFS(領用表!$L:$L,領用表!$E:$E,$B120,領用表!$B:$B,AA$2&amp;$P$1)</f>
        <v>0</v>
      </c>
      <c r="AB120" s="405">
        <f t="shared" si="12"/>
        <v>0</v>
      </c>
      <c r="AC120" s="405">
        <f t="shared" si="13"/>
        <v>0</v>
      </c>
      <c r="AD120" s="405">
        <f>SUMIF(Summary!B:B,B120,Summary!DW:DW)</f>
        <v>0</v>
      </c>
      <c r="AE120" s="111"/>
      <c r="AF120" s="80"/>
      <c r="AG120" s="76"/>
      <c r="AH120" s="65"/>
    </row>
    <row r="121" spans="1:36" ht="16.5">
      <c r="A121" s="27" t="s">
        <v>218</v>
      </c>
      <c r="B121" s="14" t="e">
        <v>#N/A</v>
      </c>
      <c r="C121" s="136" t="s">
        <v>590</v>
      </c>
      <c r="D121" s="77"/>
      <c r="E121" s="17" t="s">
        <v>15</v>
      </c>
      <c r="F121" s="18"/>
      <c r="G121" s="18"/>
      <c r="H121" s="20">
        <f>SUMIFS(領用表!$L:$L,領用表!$E:$E,$B121,領用表!$B:$B,H$2&amp;$P$1)</f>
        <v>0</v>
      </c>
      <c r="I121" s="20">
        <f>SUMIFS(領用表!$L:$L,領用表!$E:$E,$B121,領用表!$B:$B,I$2&amp;$P$1)</f>
        <v>0</v>
      </c>
      <c r="J121" s="20">
        <f>SUMIFS(領用表!$L:$L,領用表!$E:$E,$B121,領用表!$B:$B,J$2&amp;$P$1)</f>
        <v>0</v>
      </c>
      <c r="K121" s="142">
        <f>SUMIFS(領用表!$L:$L,領用表!$E:$E,$B121,領用表!$B:$B,K$2&amp;$P$1)</f>
        <v>0</v>
      </c>
      <c r="L121" s="142">
        <f>SUMIFS(領用表!$L:$L,領用表!$E:$E,$B121,領用表!$B:$B,L$2&amp;$P$1)</f>
        <v>0</v>
      </c>
      <c r="M121" s="142">
        <f>SUMIFS(領用表!$L:$L,領用表!$E:$E,$B121,領用表!$B:$B,M$2&amp;$P$1)</f>
        <v>0</v>
      </c>
      <c r="N121" s="23">
        <f t="shared" si="14"/>
        <v>0</v>
      </c>
      <c r="O121" s="23">
        <f t="shared" si="15"/>
        <v>0</v>
      </c>
      <c r="P121" s="142">
        <f>SUMIFS(領用表!$L:$L,領用表!$E:$E,$B121,領用表!$B:$B,P$2&amp;$P$1)</f>
        <v>0</v>
      </c>
      <c r="Q121" s="405">
        <f>SUMIFS(領用表!$L:$L,領用表!$E:$E,$B121,領用表!$B:$B,Q$2&amp;$P$1)</f>
        <v>0</v>
      </c>
      <c r="R121" s="405">
        <f>SUMIFS(領用表!$L:$L,領用表!$E:$E,$B121,領用表!$B:$B,R$2&amp;$P$1)</f>
        <v>0</v>
      </c>
      <c r="S121" s="405">
        <f>SUMIFS(領用表!$L:$L,領用表!$E:$E,$B121,領用表!$B:$B,S$2&amp;$P$1)</f>
        <v>0</v>
      </c>
      <c r="T121" s="405">
        <f>SUMIFS(領用表!$L:$L,領用表!$E:$E,$B121,領用表!$B:$B,T$2&amp;$P$1)</f>
        <v>0</v>
      </c>
      <c r="U121" s="405">
        <f>SUMIFS(領用表!$L:$L,領用表!$E:$E,$B121,領用表!$B:$B,U$2&amp;$P$1)</f>
        <v>0</v>
      </c>
      <c r="V121" s="405">
        <f>SUMIFS(領用表!$L:$L,領用表!$E:$E,$B121,領用表!$B:$B,V$2&amp;$P$1)</f>
        <v>0</v>
      </c>
      <c r="W121" s="405">
        <f>SUMIFS(領用表!$L:$L,領用表!$E:$E,$B121,領用表!$B:$B,W$2&amp;$P$1)</f>
        <v>0</v>
      </c>
      <c r="X121" s="405">
        <f>SUMIFS(領用表!$L:$L,領用表!$E:$E,$B121,領用表!$B:$B,X$2&amp;$P$1)</f>
        <v>0</v>
      </c>
      <c r="Y121" s="405">
        <f>SUMIFS(領用表!$L:$L,領用表!$E:$E,$B121,領用表!$B:$B,Y$2&amp;$P$1)</f>
        <v>0</v>
      </c>
      <c r="Z121" s="405">
        <f>SUMIFS(領用表!$L:$L,領用表!$E:$E,$B121,領用表!$B:$B,Z$2&amp;$P$1)</f>
        <v>0</v>
      </c>
      <c r="AA121" s="405">
        <f>SUMIFS(領用表!$L:$L,領用表!$E:$E,$B121,領用表!$B:$B,AA$2&amp;$P$1)</f>
        <v>0</v>
      </c>
      <c r="AB121" s="405">
        <f t="shared" si="12"/>
        <v>0</v>
      </c>
      <c r="AC121" s="405">
        <f t="shared" si="13"/>
        <v>0</v>
      </c>
      <c r="AD121" s="405">
        <f>SUMIF(Summary!B:B,B121,Summary!DW:DW)</f>
        <v>0</v>
      </c>
      <c r="AF121" s="80"/>
      <c r="AG121" s="65"/>
      <c r="AH121" s="65"/>
    </row>
    <row r="122" spans="1:36" ht="16.5" hidden="1" customHeight="1">
      <c r="A122" s="27" t="s">
        <v>203</v>
      </c>
      <c r="B122" s="14" t="e">
        <v>#N/A</v>
      </c>
      <c r="C122" s="136" t="s">
        <v>635</v>
      </c>
      <c r="D122" s="77"/>
      <c r="E122" s="17" t="s">
        <v>15</v>
      </c>
      <c r="F122" s="18"/>
      <c r="G122" s="18"/>
      <c r="H122" s="20">
        <f>SUMIFS(領用表!$L:$L,領用表!$E:$E,$B122,領用表!$B:$B,H$2&amp;$P$1)</f>
        <v>0</v>
      </c>
      <c r="I122" s="20">
        <f>SUMIFS(領用表!$L:$L,領用表!$E:$E,$B122,領用表!$B:$B,I$2&amp;$P$1)</f>
        <v>0</v>
      </c>
      <c r="J122" s="20">
        <f>SUMIFS(領用表!$L:$L,領用表!$E:$E,$B122,領用表!$B:$B,J$2&amp;$P$1)</f>
        <v>0</v>
      </c>
      <c r="K122" s="142">
        <f>SUMIFS(領用表!$L:$L,領用表!$E:$E,$B122,領用表!$B:$B,K$2&amp;$P$1)</f>
        <v>0</v>
      </c>
      <c r="L122" s="142">
        <f>SUMIFS(領用表!$L:$L,領用表!$E:$E,$B122,領用表!$B:$B,L$2&amp;$P$1)</f>
        <v>0</v>
      </c>
      <c r="M122" s="142">
        <f>SUMIFS(領用表!$L:$L,領用表!$E:$E,$B122,領用表!$B:$B,M$2&amp;$P$1)</f>
        <v>0</v>
      </c>
      <c r="N122" s="23">
        <f t="shared" si="14"/>
        <v>0</v>
      </c>
      <c r="O122" s="23">
        <f t="shared" si="15"/>
        <v>0</v>
      </c>
      <c r="P122" s="142">
        <f>SUMIFS(領用表!$L:$L,領用表!$E:$E,$B122,領用表!$B:$B,P$2&amp;$P$1)</f>
        <v>0</v>
      </c>
      <c r="Q122" s="142">
        <f>SUMIFS(領用表!$L:$L,領用表!$E:$E,$B122,領用表!$B:$B,Q$2&amp;$P$1)</f>
        <v>0</v>
      </c>
      <c r="R122" s="142">
        <f>SUMIFS(領用表!$L:$L,領用表!$E:$E,$B122,領用表!$B:$B,R$2&amp;$P$1)</f>
        <v>0</v>
      </c>
      <c r="S122" s="142">
        <f>SUMIFS(領用表!$L:$L,領用表!$E:$E,$B122,領用表!$B:$B,S$2&amp;$P$1)</f>
        <v>0</v>
      </c>
      <c r="T122" s="142">
        <f>SUMIFS(領用表!$L:$L,領用表!$E:$E,$B122,領用表!$B:$B,T$2&amp;$P$1)</f>
        <v>0</v>
      </c>
      <c r="U122" s="142">
        <f>SUMIFS(領用表!$L:$L,領用表!$E:$E,$B122,領用表!$B:$B,U$2&amp;$P$1)</f>
        <v>0</v>
      </c>
      <c r="V122" s="142">
        <f>SUMIFS(領用表!$L:$L,領用表!$E:$E,$B122,領用表!$B:$B,V$2&amp;$P$1)</f>
        <v>0</v>
      </c>
      <c r="W122" s="142">
        <f>SUMIFS(領用表!$L:$L,領用表!$E:$E,$B122,領用表!$B:$B,W$2&amp;$P$1)</f>
        <v>0</v>
      </c>
      <c r="X122" s="142">
        <f>SUMIFS(領用表!$L:$L,領用表!$E:$E,$B122,領用表!$B:$B,X$2&amp;$P$1)</f>
        <v>0</v>
      </c>
      <c r="Y122" s="142">
        <f>SUMIFS(領用表!$L:$L,領用表!$E:$E,$B122,領用表!$B:$B,Y$2&amp;$P$1)</f>
        <v>0</v>
      </c>
      <c r="Z122" s="142">
        <f>SUMIFS(領用表!$L:$L,領用表!$E:$E,$B122,領用表!$B:$B,Z$2&amp;$P$1)</f>
        <v>0</v>
      </c>
      <c r="AA122" s="142">
        <f>SUMIFS(領用表!$L:$L,領用表!$E:$E,$B122,領用表!$B:$B,AA$2&amp;$P$1)</f>
        <v>0</v>
      </c>
      <c r="AB122" s="142">
        <f t="shared" si="12"/>
        <v>0</v>
      </c>
      <c r="AC122" s="142">
        <f t="shared" si="13"/>
        <v>0</v>
      </c>
      <c r="AD122" s="142">
        <f>SUMIF(Summary!B:B,B122,Summary!DW:DW)</f>
        <v>0</v>
      </c>
      <c r="AE122" s="109"/>
      <c r="AF122" s="80"/>
      <c r="AG122" s="65"/>
      <c r="AH122" s="65"/>
    </row>
    <row r="123" spans="1:36" ht="16.5" hidden="1" customHeight="1">
      <c r="A123" s="27" t="s">
        <v>204</v>
      </c>
      <c r="B123" s="14" t="e">
        <v>#N/A</v>
      </c>
      <c r="C123" s="136" t="s">
        <v>576</v>
      </c>
      <c r="D123" s="77"/>
      <c r="E123" s="17" t="s">
        <v>15</v>
      </c>
      <c r="F123" s="18"/>
      <c r="G123" s="18"/>
      <c r="H123" s="20">
        <f>SUMIFS(領用表!$L:$L,領用表!$E:$E,$B123,領用表!$B:$B,H$2&amp;$P$1)</f>
        <v>0</v>
      </c>
      <c r="I123" s="20">
        <f>SUMIFS(領用表!$L:$L,領用表!$E:$E,$B123,領用表!$B:$B,I$2&amp;$P$1)</f>
        <v>0</v>
      </c>
      <c r="J123" s="20">
        <f>SUMIFS(領用表!$L:$L,領用表!$E:$E,$B123,領用表!$B:$B,J$2&amp;$P$1)</f>
        <v>0</v>
      </c>
      <c r="K123" s="142">
        <f>SUMIFS(領用表!$L:$L,領用表!$E:$E,$B123,領用表!$B:$B,K$2&amp;$P$1)</f>
        <v>0</v>
      </c>
      <c r="L123" s="142">
        <f>SUMIFS(領用表!$L:$L,領用表!$E:$E,$B123,領用表!$B:$B,L$2&amp;$P$1)</f>
        <v>0</v>
      </c>
      <c r="M123" s="142">
        <f>SUMIFS(領用表!$L:$L,領用表!$E:$E,$B123,領用表!$B:$B,M$2&amp;$P$1)</f>
        <v>0</v>
      </c>
      <c r="N123" s="23">
        <f t="shared" si="14"/>
        <v>0</v>
      </c>
      <c r="O123" s="23">
        <f t="shared" si="15"/>
        <v>0</v>
      </c>
      <c r="P123" s="142">
        <f>SUMIFS(領用表!$L:$L,領用表!$E:$E,$B123,領用表!$B:$B,P$2&amp;$P$1)</f>
        <v>0</v>
      </c>
      <c r="Q123" s="142">
        <f>SUMIFS(領用表!$L:$L,領用表!$E:$E,$B123,領用表!$B:$B,Q$2&amp;$P$1)</f>
        <v>0</v>
      </c>
      <c r="R123" s="142">
        <f>SUMIFS(領用表!$L:$L,領用表!$E:$E,$B123,領用表!$B:$B,R$2&amp;$P$1)</f>
        <v>0</v>
      </c>
      <c r="S123" s="142">
        <f>SUMIFS(領用表!$L:$L,領用表!$E:$E,$B123,領用表!$B:$B,S$2&amp;$P$1)</f>
        <v>0</v>
      </c>
      <c r="T123" s="142">
        <f>SUMIFS(領用表!$L:$L,領用表!$E:$E,$B123,領用表!$B:$B,T$2&amp;$P$1)</f>
        <v>0</v>
      </c>
      <c r="U123" s="142">
        <f>SUMIFS(領用表!$L:$L,領用表!$E:$E,$B123,領用表!$B:$B,U$2&amp;$P$1)</f>
        <v>0</v>
      </c>
      <c r="V123" s="142">
        <f>SUMIFS(領用表!$L:$L,領用表!$E:$E,$B123,領用表!$B:$B,V$2&amp;$P$1)</f>
        <v>0</v>
      </c>
      <c r="W123" s="142">
        <f>SUMIFS(領用表!$L:$L,領用表!$E:$E,$B123,領用表!$B:$B,W$2&amp;$P$1)</f>
        <v>0</v>
      </c>
      <c r="X123" s="142">
        <f>SUMIFS(領用表!$L:$L,領用表!$E:$E,$B123,領用表!$B:$B,X$2&amp;$P$1)</f>
        <v>0</v>
      </c>
      <c r="Y123" s="142">
        <f>SUMIFS(領用表!$L:$L,領用表!$E:$E,$B123,領用表!$B:$B,Y$2&amp;$P$1)</f>
        <v>0</v>
      </c>
      <c r="Z123" s="142">
        <f>SUMIFS(領用表!$L:$L,領用表!$E:$E,$B123,領用表!$B:$B,Z$2&amp;$P$1)</f>
        <v>0</v>
      </c>
      <c r="AA123" s="142">
        <f>SUMIFS(領用表!$L:$L,領用表!$E:$E,$B123,領用表!$B:$B,AA$2&amp;$P$1)</f>
        <v>0</v>
      </c>
      <c r="AB123" s="142">
        <f t="shared" si="12"/>
        <v>0</v>
      </c>
      <c r="AC123" s="142">
        <f t="shared" si="13"/>
        <v>0</v>
      </c>
      <c r="AD123" s="142">
        <f>SUMIF(Summary!B:B,B123,Summary!DW:DW)</f>
        <v>0</v>
      </c>
      <c r="AE123" s="109"/>
      <c r="AF123" s="80"/>
      <c r="AG123" s="65"/>
      <c r="AH123" s="65"/>
    </row>
    <row r="124" spans="1:36" ht="16.5" hidden="1" customHeight="1">
      <c r="A124" s="27" t="s">
        <v>207</v>
      </c>
      <c r="B124" s="14" t="e">
        <v>#N/A</v>
      </c>
      <c r="C124" s="136" t="s">
        <v>579</v>
      </c>
      <c r="D124" s="77"/>
      <c r="E124" s="17" t="s">
        <v>15</v>
      </c>
      <c r="F124" s="18"/>
      <c r="G124" s="18"/>
      <c r="H124" s="20">
        <f>SUMIFS(領用表!$L:$L,領用表!$E:$E,$B124,領用表!$B:$B,H$2&amp;$P$1)</f>
        <v>0</v>
      </c>
      <c r="I124" s="20">
        <f>SUMIFS(領用表!$L:$L,領用表!$E:$E,$B124,領用表!$B:$B,I$2&amp;$P$1)</f>
        <v>0</v>
      </c>
      <c r="J124" s="20">
        <f>SUMIFS(領用表!$L:$L,領用表!$E:$E,$B124,領用表!$B:$B,J$2&amp;$P$1)</f>
        <v>0</v>
      </c>
      <c r="K124" s="142">
        <f>SUMIFS(領用表!$L:$L,領用表!$E:$E,$B124,領用表!$B:$B,K$2&amp;$P$1)</f>
        <v>0</v>
      </c>
      <c r="L124" s="142">
        <f>SUMIFS(領用表!$L:$L,領用表!$E:$E,$B124,領用表!$B:$B,L$2&amp;$P$1)</f>
        <v>0</v>
      </c>
      <c r="M124" s="142">
        <f>SUMIFS(領用表!$L:$L,領用表!$E:$E,$B124,領用表!$B:$B,M$2&amp;$P$1)</f>
        <v>0</v>
      </c>
      <c r="N124" s="23">
        <f t="shared" si="14"/>
        <v>0</v>
      </c>
      <c r="O124" s="23">
        <f t="shared" si="15"/>
        <v>0</v>
      </c>
      <c r="P124" s="142">
        <f>SUMIFS(領用表!$L:$L,領用表!$E:$E,$B124,領用表!$B:$B,P$2&amp;$P$1)</f>
        <v>0</v>
      </c>
      <c r="Q124" s="142">
        <f>SUMIFS(領用表!$L:$L,領用表!$E:$E,$B124,領用表!$B:$B,Q$2&amp;$P$1)</f>
        <v>0</v>
      </c>
      <c r="R124" s="142">
        <f>SUMIFS(領用表!$L:$L,領用表!$E:$E,$B124,領用表!$B:$B,R$2&amp;$P$1)</f>
        <v>0</v>
      </c>
      <c r="S124" s="142">
        <f>SUMIFS(領用表!$L:$L,領用表!$E:$E,$B124,領用表!$B:$B,S$2&amp;$P$1)</f>
        <v>0</v>
      </c>
      <c r="T124" s="142">
        <f>SUMIFS(領用表!$L:$L,領用表!$E:$E,$B124,領用表!$B:$B,T$2&amp;$P$1)</f>
        <v>0</v>
      </c>
      <c r="U124" s="142">
        <f>SUMIFS(領用表!$L:$L,領用表!$E:$E,$B124,領用表!$B:$B,U$2&amp;$P$1)</f>
        <v>0</v>
      </c>
      <c r="V124" s="142">
        <f>SUMIFS(領用表!$L:$L,領用表!$E:$E,$B124,領用表!$B:$B,V$2&amp;$P$1)</f>
        <v>0</v>
      </c>
      <c r="W124" s="142">
        <f>SUMIFS(領用表!$L:$L,領用表!$E:$E,$B124,領用表!$B:$B,W$2&amp;$P$1)</f>
        <v>0</v>
      </c>
      <c r="X124" s="142">
        <f>SUMIFS(領用表!$L:$L,領用表!$E:$E,$B124,領用表!$B:$B,X$2&amp;$P$1)</f>
        <v>0</v>
      </c>
      <c r="Y124" s="142">
        <f>SUMIFS(領用表!$L:$L,領用表!$E:$E,$B124,領用表!$B:$B,Y$2&amp;$P$1)</f>
        <v>0</v>
      </c>
      <c r="Z124" s="142">
        <f>SUMIFS(領用表!$L:$L,領用表!$E:$E,$B124,領用表!$B:$B,Z$2&amp;$P$1)</f>
        <v>0</v>
      </c>
      <c r="AA124" s="142">
        <f>SUMIFS(領用表!$L:$L,領用表!$E:$E,$B124,領用表!$B:$B,AA$2&amp;$P$1)</f>
        <v>0</v>
      </c>
      <c r="AB124" s="142">
        <f t="shared" si="12"/>
        <v>0</v>
      </c>
      <c r="AC124" s="142">
        <f t="shared" si="13"/>
        <v>0</v>
      </c>
      <c r="AD124" s="142">
        <f>SUMIF(Summary!B:B,B124,Summary!DW:DW)</f>
        <v>0</v>
      </c>
      <c r="AE124" s="109"/>
      <c r="AF124" s="80"/>
      <c r="AG124" s="65"/>
      <c r="AH124" s="65"/>
    </row>
    <row r="125" spans="1:36" ht="16.5">
      <c r="A125" s="27" t="s">
        <v>219</v>
      </c>
      <c r="B125" s="14" t="e">
        <v>#N/A</v>
      </c>
      <c r="C125" s="136" t="s">
        <v>591</v>
      </c>
      <c r="D125" s="77"/>
      <c r="E125" s="17" t="s">
        <v>15</v>
      </c>
      <c r="F125" s="18"/>
      <c r="G125" s="18"/>
      <c r="H125" s="20">
        <f>SUMIFS(領用表!$L:$L,領用表!$E:$E,$B125,領用表!$B:$B,H$2&amp;$P$1)</f>
        <v>0</v>
      </c>
      <c r="I125" s="20">
        <f>SUMIFS(領用表!$L:$L,領用表!$E:$E,$B125,領用表!$B:$B,I$2&amp;$P$1)</f>
        <v>0</v>
      </c>
      <c r="J125" s="20">
        <f>SUMIFS(領用表!$L:$L,領用表!$E:$E,$B125,領用表!$B:$B,J$2&amp;$P$1)</f>
        <v>0</v>
      </c>
      <c r="K125" s="142">
        <f>SUMIFS(領用表!$L:$L,領用表!$E:$E,$B125,領用表!$B:$B,K$2&amp;$P$1)</f>
        <v>0</v>
      </c>
      <c r="L125" s="142">
        <f>SUMIFS(領用表!$L:$L,領用表!$E:$E,$B125,領用表!$B:$B,L$2&amp;$P$1)</f>
        <v>0</v>
      </c>
      <c r="M125" s="142">
        <f>SUMIFS(領用表!$L:$L,領用表!$E:$E,$B125,領用表!$B:$B,M$2&amp;$P$1)</f>
        <v>0</v>
      </c>
      <c r="N125" s="23">
        <f t="shared" si="14"/>
        <v>0</v>
      </c>
      <c r="O125" s="23">
        <f t="shared" si="15"/>
        <v>0</v>
      </c>
      <c r="P125" s="142">
        <f>SUMIFS(領用表!$L:$L,領用表!$E:$E,$B125,領用表!$B:$B,P$2&amp;$P$1)</f>
        <v>0</v>
      </c>
      <c r="Q125" s="405">
        <f>SUMIFS(領用表!$L:$L,領用表!$E:$E,$B125,領用表!$B:$B,Q$2&amp;$P$1)</f>
        <v>0</v>
      </c>
      <c r="R125" s="405">
        <f>SUMIFS(領用表!$L:$L,領用表!$E:$E,$B125,領用表!$B:$B,R$2&amp;$P$1)</f>
        <v>0</v>
      </c>
      <c r="S125" s="405">
        <f>SUMIFS(領用表!$L:$L,領用表!$E:$E,$B125,領用表!$B:$B,S$2&amp;$P$1)</f>
        <v>0</v>
      </c>
      <c r="T125" s="405">
        <f>SUMIFS(領用表!$L:$L,領用表!$E:$E,$B125,領用表!$B:$B,T$2&amp;$P$1)</f>
        <v>0</v>
      </c>
      <c r="U125" s="405">
        <f>SUMIFS(領用表!$L:$L,領用表!$E:$E,$B125,領用表!$B:$B,U$2&amp;$P$1)</f>
        <v>0</v>
      </c>
      <c r="V125" s="405">
        <f>SUMIFS(領用表!$L:$L,領用表!$E:$E,$B125,領用表!$B:$B,V$2&amp;$P$1)</f>
        <v>0</v>
      </c>
      <c r="W125" s="405">
        <f>SUMIFS(領用表!$L:$L,領用表!$E:$E,$B125,領用表!$B:$B,W$2&amp;$P$1)</f>
        <v>0</v>
      </c>
      <c r="X125" s="405">
        <f>SUMIFS(領用表!$L:$L,領用表!$E:$E,$B125,領用表!$B:$B,X$2&amp;$P$1)</f>
        <v>0</v>
      </c>
      <c r="Y125" s="405">
        <f>SUMIFS(領用表!$L:$L,領用表!$E:$E,$B125,領用表!$B:$B,Y$2&amp;$P$1)</f>
        <v>0</v>
      </c>
      <c r="Z125" s="405">
        <f>SUMIFS(領用表!$L:$L,領用表!$E:$E,$B125,領用表!$B:$B,Z$2&amp;$P$1)</f>
        <v>0</v>
      </c>
      <c r="AA125" s="405">
        <f>SUMIFS(領用表!$L:$L,領用表!$E:$E,$B125,領用表!$B:$B,AA$2&amp;$P$1)</f>
        <v>0</v>
      </c>
      <c r="AB125" s="405">
        <f t="shared" si="12"/>
        <v>0</v>
      </c>
      <c r="AC125" s="405">
        <f t="shared" si="13"/>
        <v>0</v>
      </c>
      <c r="AD125" s="405">
        <f>SUMIF(Summary!B:B,B125,Summary!DW:DW)</f>
        <v>0</v>
      </c>
      <c r="AF125" s="80"/>
      <c r="AG125" s="65"/>
      <c r="AH125" s="65"/>
    </row>
    <row r="126" spans="1:36" ht="16.5">
      <c r="A126" s="27" t="s">
        <v>220</v>
      </c>
      <c r="B126" s="14">
        <v>6100002</v>
      </c>
      <c r="C126" s="136" t="s">
        <v>592</v>
      </c>
      <c r="D126" s="77"/>
      <c r="E126" s="17" t="s">
        <v>15</v>
      </c>
      <c r="F126" s="18"/>
      <c r="G126" s="18">
        <v>104</v>
      </c>
      <c r="H126" s="20">
        <f>SUMIFS(領用表!$L:$L,領用表!$E:$E,$B126,領用表!$B:$B,H$2&amp;$P$1)</f>
        <v>0</v>
      </c>
      <c r="I126" s="20">
        <f>SUMIFS(領用表!$L:$L,領用表!$E:$E,$B126,領用表!$B:$B,I$2&amp;$P$1)</f>
        <v>0</v>
      </c>
      <c r="J126" s="20">
        <f>SUMIFS(領用表!$L:$L,領用表!$E:$E,$B126,領用表!$B:$B,J$2&amp;$P$1)</f>
        <v>0</v>
      </c>
      <c r="K126" s="142">
        <f>SUMIFS(領用表!$L:$L,領用表!$E:$E,$B126,領用表!$B:$B,K$2&amp;$P$1)</f>
        <v>0</v>
      </c>
      <c r="L126" s="142">
        <f>SUMIFS(領用表!$L:$L,領用表!$E:$E,$B126,領用表!$B:$B,L$2&amp;$P$1)</f>
        <v>0</v>
      </c>
      <c r="M126" s="142">
        <f>SUMIFS(領用表!$L:$L,領用表!$E:$E,$B126,領用表!$B:$B,M$2&amp;$P$1)</f>
        <v>0</v>
      </c>
      <c r="N126" s="23">
        <f t="shared" si="14"/>
        <v>0</v>
      </c>
      <c r="O126" s="23">
        <f t="shared" si="15"/>
        <v>0</v>
      </c>
      <c r="P126" s="142">
        <f>SUMIFS(領用表!$L:$L,領用表!$E:$E,$B126,領用表!$B:$B,P$2&amp;$P$1)</f>
        <v>0</v>
      </c>
      <c r="Q126" s="405">
        <f>SUMIFS(領用表!$L:$L,領用表!$E:$E,$B126,領用表!$B:$B,Q$2&amp;$P$1)</f>
        <v>0</v>
      </c>
      <c r="R126" s="405">
        <f>SUMIFS(領用表!$L:$L,領用表!$E:$E,$B126,領用表!$B:$B,R$2&amp;$P$1)</f>
        <v>0</v>
      </c>
      <c r="S126" s="405">
        <f>SUMIFS(領用表!$L:$L,領用表!$E:$E,$B126,領用表!$B:$B,S$2&amp;$P$1)</f>
        <v>0</v>
      </c>
      <c r="T126" s="405">
        <f>SUMIFS(領用表!$L:$L,領用表!$E:$E,$B126,領用表!$B:$B,T$2&amp;$P$1)</f>
        <v>0</v>
      </c>
      <c r="U126" s="405">
        <f>SUMIFS(領用表!$L:$L,領用表!$E:$E,$B126,領用表!$B:$B,U$2&amp;$P$1)</f>
        <v>0</v>
      </c>
      <c r="V126" s="405">
        <f>SUMIFS(領用表!$L:$L,領用表!$E:$E,$B126,領用表!$B:$B,V$2&amp;$P$1)</f>
        <v>0</v>
      </c>
      <c r="W126" s="405">
        <f>SUMIFS(領用表!$L:$L,領用表!$E:$E,$B126,領用表!$B:$B,W$2&amp;$P$1)</f>
        <v>0</v>
      </c>
      <c r="X126" s="405">
        <f>SUMIFS(領用表!$L:$L,領用表!$E:$E,$B126,領用表!$B:$B,X$2&amp;$P$1)</f>
        <v>0</v>
      </c>
      <c r="Y126" s="405">
        <f>SUMIFS(領用表!$L:$L,領用表!$E:$E,$B126,領用表!$B:$B,Y$2&amp;$P$1)</f>
        <v>0</v>
      </c>
      <c r="Z126" s="405">
        <f>SUMIFS(領用表!$L:$L,領用表!$E:$E,$B126,領用表!$B:$B,Z$2&amp;$P$1)</f>
        <v>0</v>
      </c>
      <c r="AA126" s="405">
        <f>SUMIFS(領用表!$L:$L,領用表!$E:$E,$B126,領用表!$B:$B,AA$2&amp;$P$1)</f>
        <v>0</v>
      </c>
      <c r="AB126" s="405">
        <f t="shared" si="12"/>
        <v>0</v>
      </c>
      <c r="AC126" s="405">
        <f t="shared" si="13"/>
        <v>0</v>
      </c>
      <c r="AD126" s="405">
        <f>SUMIF(Summary!B:B,B126,Summary!DW:DW)</f>
        <v>0</v>
      </c>
      <c r="AF126" s="80"/>
      <c r="AG126" s="76"/>
      <c r="AH126" s="76" t="s">
        <v>221</v>
      </c>
    </row>
    <row r="127" spans="1:36" ht="16.5">
      <c r="A127" s="27" t="s">
        <v>222</v>
      </c>
      <c r="B127" s="14">
        <v>6100003</v>
      </c>
      <c r="C127" s="136" t="s">
        <v>588</v>
      </c>
      <c r="D127" s="77"/>
      <c r="E127" s="17" t="s">
        <v>15</v>
      </c>
      <c r="F127" s="18"/>
      <c r="G127" s="18">
        <v>208</v>
      </c>
      <c r="H127" s="20">
        <f>SUMIFS(領用表!$L:$L,領用表!$E:$E,$B127,領用表!$B:$B,H$2&amp;$P$1)</f>
        <v>0</v>
      </c>
      <c r="I127" s="20">
        <f>SUMIFS(領用表!$L:$L,領用表!$E:$E,$B127,領用表!$B:$B,I$2&amp;$P$1)</f>
        <v>0</v>
      </c>
      <c r="J127" s="20">
        <f>SUMIFS(領用表!$L:$L,領用表!$E:$E,$B127,領用表!$B:$B,J$2&amp;$P$1)</f>
        <v>0</v>
      </c>
      <c r="K127" s="142">
        <f>SUMIFS(領用表!$L:$L,領用表!$E:$E,$B127,領用表!$B:$B,K$2&amp;$P$1)</f>
        <v>0</v>
      </c>
      <c r="L127" s="142">
        <f>SUMIFS(領用表!$L:$L,領用表!$E:$E,$B127,領用表!$B:$B,L$2&amp;$P$1)</f>
        <v>0</v>
      </c>
      <c r="M127" s="142">
        <f>SUMIFS(領用表!$L:$L,領用表!$E:$E,$B127,領用表!$B:$B,M$2&amp;$P$1)</f>
        <v>0</v>
      </c>
      <c r="N127" s="23">
        <f t="shared" si="14"/>
        <v>0</v>
      </c>
      <c r="O127" s="23">
        <f t="shared" si="15"/>
        <v>0</v>
      </c>
      <c r="P127" s="142">
        <f>SUMIFS(領用表!$L:$L,領用表!$E:$E,$B127,領用表!$B:$B,P$2&amp;$P$1)</f>
        <v>0</v>
      </c>
      <c r="Q127" s="405">
        <f>SUMIFS(領用表!$L:$L,領用表!$E:$E,$B127,領用表!$B:$B,Q$2&amp;$P$1)</f>
        <v>0</v>
      </c>
      <c r="R127" s="405">
        <f>SUMIFS(領用表!$L:$L,領用表!$E:$E,$B127,領用表!$B:$B,R$2&amp;$P$1)</f>
        <v>0</v>
      </c>
      <c r="S127" s="405">
        <f>SUMIFS(領用表!$L:$L,領用表!$E:$E,$B127,領用表!$B:$B,S$2&amp;$P$1)</f>
        <v>0</v>
      </c>
      <c r="T127" s="405">
        <f>SUMIFS(領用表!$L:$L,領用表!$E:$E,$B127,領用表!$B:$B,T$2&amp;$P$1)</f>
        <v>0</v>
      </c>
      <c r="U127" s="405">
        <f>SUMIFS(領用表!$L:$L,領用表!$E:$E,$B127,領用表!$B:$B,U$2&amp;$P$1)</f>
        <v>0</v>
      </c>
      <c r="V127" s="405">
        <f>SUMIFS(領用表!$L:$L,領用表!$E:$E,$B127,領用表!$B:$B,V$2&amp;$P$1)</f>
        <v>0</v>
      </c>
      <c r="W127" s="405">
        <f>SUMIFS(領用表!$L:$L,領用表!$E:$E,$B127,領用表!$B:$B,W$2&amp;$P$1)</f>
        <v>0</v>
      </c>
      <c r="X127" s="405">
        <f>SUMIFS(領用表!$L:$L,領用表!$E:$E,$B127,領用表!$B:$B,X$2&amp;$P$1)</f>
        <v>0</v>
      </c>
      <c r="Y127" s="405">
        <f>SUMIFS(領用表!$L:$L,領用表!$E:$E,$B127,領用表!$B:$B,Y$2&amp;$P$1)</f>
        <v>0</v>
      </c>
      <c r="Z127" s="405">
        <f>SUMIFS(領用表!$L:$L,領用表!$E:$E,$B127,領用表!$B:$B,Z$2&amp;$P$1)</f>
        <v>0</v>
      </c>
      <c r="AA127" s="405">
        <f>SUMIFS(領用表!$L:$L,領用表!$E:$E,$B127,領用表!$B:$B,AA$2&amp;$P$1)</f>
        <v>0</v>
      </c>
      <c r="AB127" s="405">
        <f t="shared" si="12"/>
        <v>0</v>
      </c>
      <c r="AC127" s="405">
        <f t="shared" si="13"/>
        <v>0</v>
      </c>
      <c r="AD127" s="405">
        <f>SUMIF(Summary!B:B,B127,Summary!DW:DW)</f>
        <v>0</v>
      </c>
      <c r="AF127" s="80"/>
      <c r="AG127" s="76"/>
      <c r="AH127" s="76" t="s">
        <v>223</v>
      </c>
    </row>
    <row r="128" spans="1:36" ht="16.5">
      <c r="A128" s="27" t="s">
        <v>224</v>
      </c>
      <c r="B128" s="14" t="e">
        <v>#N/A</v>
      </c>
      <c r="C128" s="136" t="s">
        <v>593</v>
      </c>
      <c r="D128" s="77"/>
      <c r="E128" s="17" t="s">
        <v>15</v>
      </c>
      <c r="F128" s="18"/>
      <c r="G128" s="18"/>
      <c r="H128" s="20">
        <f>SUMIFS(領用表!$L:$L,領用表!$E:$E,$B128,領用表!$B:$B,H$2&amp;$P$1)</f>
        <v>0</v>
      </c>
      <c r="I128" s="20">
        <f>SUMIFS(領用表!$L:$L,領用表!$E:$E,$B128,領用表!$B:$B,I$2&amp;$P$1)</f>
        <v>0</v>
      </c>
      <c r="J128" s="20">
        <f>SUMIFS(領用表!$L:$L,領用表!$E:$E,$B128,領用表!$B:$B,J$2&amp;$P$1)</f>
        <v>0</v>
      </c>
      <c r="K128" s="142">
        <f>SUMIFS(領用表!$L:$L,領用表!$E:$E,$B128,領用表!$B:$B,K$2&amp;$P$1)</f>
        <v>0</v>
      </c>
      <c r="L128" s="142">
        <f>SUMIFS(領用表!$L:$L,領用表!$E:$E,$B128,領用表!$B:$B,L$2&amp;$P$1)</f>
        <v>0</v>
      </c>
      <c r="M128" s="142">
        <f>SUMIFS(領用表!$L:$L,領用表!$E:$E,$B128,領用表!$B:$B,M$2&amp;$P$1)</f>
        <v>0</v>
      </c>
      <c r="N128" s="23">
        <f t="shared" si="14"/>
        <v>0</v>
      </c>
      <c r="O128" s="23">
        <f t="shared" si="15"/>
        <v>0</v>
      </c>
      <c r="P128" s="142">
        <f>SUMIFS(領用表!$L:$L,領用表!$E:$E,$B128,領用表!$B:$B,P$2&amp;$P$1)</f>
        <v>0</v>
      </c>
      <c r="Q128" s="405">
        <f>SUMIFS(領用表!$L:$L,領用表!$E:$E,$B128,領用表!$B:$B,Q$2&amp;$P$1)</f>
        <v>0</v>
      </c>
      <c r="R128" s="405">
        <f>SUMIFS(領用表!$L:$L,領用表!$E:$E,$B128,領用表!$B:$B,R$2&amp;$P$1)</f>
        <v>0</v>
      </c>
      <c r="S128" s="405">
        <f>SUMIFS(領用表!$L:$L,領用表!$E:$E,$B128,領用表!$B:$B,S$2&amp;$P$1)</f>
        <v>0</v>
      </c>
      <c r="T128" s="405">
        <f>SUMIFS(領用表!$L:$L,領用表!$E:$E,$B128,領用表!$B:$B,T$2&amp;$P$1)</f>
        <v>0</v>
      </c>
      <c r="U128" s="405">
        <f>SUMIFS(領用表!$L:$L,領用表!$E:$E,$B128,領用表!$B:$B,U$2&amp;$P$1)</f>
        <v>0</v>
      </c>
      <c r="V128" s="405">
        <f>SUMIFS(領用表!$L:$L,領用表!$E:$E,$B128,領用表!$B:$B,V$2&amp;$P$1)</f>
        <v>0</v>
      </c>
      <c r="W128" s="405">
        <f>SUMIFS(領用表!$L:$L,領用表!$E:$E,$B128,領用表!$B:$B,W$2&amp;$P$1)</f>
        <v>0</v>
      </c>
      <c r="X128" s="405">
        <f>SUMIFS(領用表!$L:$L,領用表!$E:$E,$B128,領用表!$B:$B,X$2&amp;$P$1)</f>
        <v>0</v>
      </c>
      <c r="Y128" s="405">
        <f>SUMIFS(領用表!$L:$L,領用表!$E:$E,$B128,領用表!$B:$B,Y$2&amp;$P$1)</f>
        <v>0</v>
      </c>
      <c r="Z128" s="405">
        <f>SUMIFS(領用表!$L:$L,領用表!$E:$E,$B128,領用表!$B:$B,Z$2&amp;$P$1)</f>
        <v>0</v>
      </c>
      <c r="AA128" s="405">
        <f>SUMIFS(領用表!$L:$L,領用表!$E:$E,$B128,領用表!$B:$B,AA$2&amp;$P$1)</f>
        <v>0</v>
      </c>
      <c r="AB128" s="405">
        <f t="shared" si="12"/>
        <v>0</v>
      </c>
      <c r="AC128" s="405">
        <f t="shared" si="13"/>
        <v>0</v>
      </c>
      <c r="AD128" s="405">
        <f>SUMIF(Summary!B:B,B128,Summary!DW:DW)</f>
        <v>0</v>
      </c>
      <c r="AE128" s="405">
        <f>SUMIF(Summary!B:B,B128,Summary!DW:DW)</f>
        <v>0</v>
      </c>
      <c r="AF128" s="80"/>
      <c r="AG128" s="76"/>
      <c r="AH128" s="76"/>
    </row>
    <row r="129" spans="1:34" ht="16.5">
      <c r="A129" s="27" t="s">
        <v>225</v>
      </c>
      <c r="B129" s="14" t="e">
        <v>#N/A</v>
      </c>
      <c r="C129" s="136" t="s">
        <v>594</v>
      </c>
      <c r="D129" s="77"/>
      <c r="E129" s="17" t="s">
        <v>15</v>
      </c>
      <c r="F129" s="18"/>
      <c r="G129" s="18"/>
      <c r="H129" s="20">
        <f>SUMIFS(領用表!$L:$L,領用表!$E:$E,$B129,領用表!$B:$B,H$2&amp;$P$1)</f>
        <v>0</v>
      </c>
      <c r="I129" s="20">
        <f>SUMIFS(領用表!$L:$L,領用表!$E:$E,$B129,領用表!$B:$B,I$2&amp;$P$1)</f>
        <v>0</v>
      </c>
      <c r="J129" s="20">
        <f>SUMIFS(領用表!$L:$L,領用表!$E:$E,$B129,領用表!$B:$B,J$2&amp;$P$1)</f>
        <v>0</v>
      </c>
      <c r="K129" s="142">
        <f>SUMIFS(領用表!$L:$L,領用表!$E:$E,$B129,領用表!$B:$B,K$2&amp;$P$1)</f>
        <v>0</v>
      </c>
      <c r="L129" s="142">
        <f>SUMIFS(領用表!$L:$L,領用表!$E:$E,$B129,領用表!$B:$B,L$2&amp;$P$1)</f>
        <v>0</v>
      </c>
      <c r="M129" s="142">
        <f>SUMIFS(領用表!$L:$L,領用表!$E:$E,$B129,領用表!$B:$B,M$2&amp;$P$1)</f>
        <v>0</v>
      </c>
      <c r="N129" s="23">
        <f t="shared" si="14"/>
        <v>0</v>
      </c>
      <c r="O129" s="23">
        <f t="shared" si="15"/>
        <v>0</v>
      </c>
      <c r="P129" s="142">
        <f>SUMIFS(領用表!$L:$L,領用表!$E:$E,$B129,領用表!$B:$B,P$2&amp;$P$1)</f>
        <v>0</v>
      </c>
      <c r="Q129" s="405">
        <f>SUMIFS(領用表!$L:$L,領用表!$E:$E,$B129,領用表!$B:$B,Q$2&amp;$P$1)</f>
        <v>0</v>
      </c>
      <c r="R129" s="405">
        <f>SUMIFS(領用表!$L:$L,領用表!$E:$E,$B129,領用表!$B:$B,R$2&amp;$P$1)</f>
        <v>0</v>
      </c>
      <c r="S129" s="405">
        <f>SUMIFS(領用表!$L:$L,領用表!$E:$E,$B129,領用表!$B:$B,S$2&amp;$P$1)</f>
        <v>0</v>
      </c>
      <c r="T129" s="405">
        <f>SUMIFS(領用表!$L:$L,領用表!$E:$E,$B129,領用表!$B:$B,T$2&amp;$P$1)</f>
        <v>0</v>
      </c>
      <c r="U129" s="405">
        <f>SUMIFS(領用表!$L:$L,領用表!$E:$E,$B129,領用表!$B:$B,U$2&amp;$P$1)</f>
        <v>0</v>
      </c>
      <c r="V129" s="405">
        <f>SUMIFS(領用表!$L:$L,領用表!$E:$E,$B129,領用表!$B:$B,V$2&amp;$P$1)</f>
        <v>0</v>
      </c>
      <c r="W129" s="405">
        <f>SUMIFS(領用表!$L:$L,領用表!$E:$E,$B129,領用表!$B:$B,W$2&amp;$P$1)</f>
        <v>0</v>
      </c>
      <c r="X129" s="405">
        <f>SUMIFS(領用表!$L:$L,領用表!$E:$E,$B129,領用表!$B:$B,X$2&amp;$P$1)</f>
        <v>0</v>
      </c>
      <c r="Y129" s="405">
        <f>SUMIFS(領用表!$L:$L,領用表!$E:$E,$B129,領用表!$B:$B,Y$2&amp;$P$1)</f>
        <v>0</v>
      </c>
      <c r="Z129" s="405">
        <f>SUMIFS(領用表!$L:$L,領用表!$E:$E,$B129,領用表!$B:$B,Z$2&amp;$P$1)</f>
        <v>0</v>
      </c>
      <c r="AA129" s="405">
        <f>SUMIFS(領用表!$L:$L,領用表!$E:$E,$B129,領用表!$B:$B,AA$2&amp;$P$1)</f>
        <v>0</v>
      </c>
      <c r="AB129" s="405">
        <f t="shared" si="12"/>
        <v>0</v>
      </c>
      <c r="AC129" s="405">
        <f t="shared" si="13"/>
        <v>0</v>
      </c>
      <c r="AD129" s="405">
        <f>SUMIF(Summary!B:B,B129,Summary!DW:DW)</f>
        <v>0</v>
      </c>
      <c r="AE129" s="405">
        <f>SUMIF(Summary!B:B,B129,Summary!DW:DW)</f>
        <v>0</v>
      </c>
      <c r="AF129" s="80"/>
      <c r="AG129" s="76"/>
      <c r="AH129" s="76"/>
    </row>
    <row r="130" spans="1:34">
      <c r="B130" s="118">
        <v>6080011</v>
      </c>
      <c r="C130" s="136" t="s">
        <v>887</v>
      </c>
      <c r="D130" s="11"/>
      <c r="E130" s="198" t="s">
        <v>15</v>
      </c>
      <c r="F130" s="85"/>
      <c r="G130" s="18"/>
      <c r="P130" s="142">
        <f>SUMIFS(領用表!$L:$L,領用表!$E:$E,$B130,領用表!$B:$B,P$2&amp;$P$1)</f>
        <v>0</v>
      </c>
      <c r="Q130" s="405">
        <f>SUMIFS(領用表!$L:$L,領用表!$E:$E,$B130,領用表!$B:$B,Q$2&amp;$P$1)</f>
        <v>0</v>
      </c>
      <c r="R130" s="405">
        <f>SUMIFS(領用表!$L:$L,領用表!$E:$E,$B130,領用表!$B:$B,R$2&amp;$P$1)</f>
        <v>0</v>
      </c>
      <c r="S130" s="405">
        <f>SUMIFS(領用表!$L:$L,領用表!$E:$E,$B130,領用表!$B:$B,S$2&amp;$P$1)</f>
        <v>0</v>
      </c>
      <c r="T130" s="405">
        <f>SUMIFS(領用表!$L:$L,領用表!$E:$E,$B130,領用表!$B:$B,T$2&amp;$P$1)</f>
        <v>0</v>
      </c>
      <c r="U130" s="405">
        <f>SUMIFS(領用表!$L:$L,領用表!$E:$E,$B130,領用表!$B:$B,U$2&amp;$P$1)</f>
        <v>0</v>
      </c>
      <c r="V130" s="405">
        <f>SUMIFS(領用表!$L:$L,領用表!$E:$E,$B130,領用表!$B:$B,V$2&amp;$P$1)</f>
        <v>0</v>
      </c>
      <c r="W130" s="405">
        <f>SUMIFS(領用表!$L:$L,領用表!$E:$E,$B130,領用表!$B:$B,W$2&amp;$P$1)</f>
        <v>0</v>
      </c>
      <c r="X130" s="405">
        <f>SUMIFS(領用表!$L:$L,領用表!$E:$E,$B130,領用表!$B:$B,X$2&amp;$P$1)</f>
        <v>0</v>
      </c>
      <c r="Y130" s="405">
        <f>SUMIFS(領用表!$L:$L,領用表!$E:$E,$B130,領用表!$B:$B,Y$2&amp;$P$1)</f>
        <v>0</v>
      </c>
      <c r="Z130" s="405">
        <f>SUMIFS(領用表!$L:$L,領用表!$E:$E,$B130,領用表!$B:$B,Z$2&amp;$P$1)</f>
        <v>0</v>
      </c>
      <c r="AA130" s="405">
        <f>SUMIFS(領用表!$L:$L,領用表!$E:$E,$B130,領用表!$B:$B,AA$2&amp;$P$1)</f>
        <v>0</v>
      </c>
      <c r="AB130" s="405">
        <f t="shared" si="12"/>
        <v>0</v>
      </c>
      <c r="AC130" s="405">
        <f t="shared" si="13"/>
        <v>0</v>
      </c>
      <c r="AD130" s="405">
        <f>SUMIF(Summary!B:B,B130,Summary!DW:DW)</f>
        <v>0</v>
      </c>
      <c r="AE130" s="405">
        <f>SUMIF(Summary!B:B,B130,Summary!DW:DW)</f>
        <v>0</v>
      </c>
    </row>
    <row r="131" spans="1:34">
      <c r="B131" s="118">
        <v>6080012</v>
      </c>
      <c r="C131" s="136" t="s">
        <v>890</v>
      </c>
      <c r="D131" s="11"/>
      <c r="E131" s="79" t="s">
        <v>891</v>
      </c>
      <c r="F131" s="85"/>
      <c r="G131" s="18"/>
      <c r="P131" s="142">
        <f>SUMIFS(領用表!$L:$L,領用表!$E:$E,$B131,領用表!$B:$B,P$2&amp;$P$1)</f>
        <v>0</v>
      </c>
      <c r="Q131" s="405">
        <f>SUMIFS(領用表!$L:$L,領用表!$E:$E,$B131,領用表!$B:$B,Q$2&amp;$P$1)</f>
        <v>0</v>
      </c>
      <c r="R131" s="405">
        <f>SUMIFS(領用表!$L:$L,領用表!$E:$E,$B131,領用表!$B:$B,R$2&amp;$P$1)</f>
        <v>0</v>
      </c>
      <c r="S131" s="405">
        <f>SUMIFS(領用表!$L:$L,領用表!$E:$E,$B131,領用表!$B:$B,S$2&amp;$P$1)</f>
        <v>0</v>
      </c>
      <c r="T131" s="405">
        <f>SUMIFS(領用表!$L:$L,領用表!$E:$E,$B131,領用表!$B:$B,T$2&amp;$P$1)</f>
        <v>0</v>
      </c>
      <c r="U131" s="405">
        <f>SUMIFS(領用表!$L:$L,領用表!$E:$E,$B131,領用表!$B:$B,U$2&amp;$P$1)</f>
        <v>0</v>
      </c>
      <c r="V131" s="405">
        <f>SUMIFS(領用表!$L:$L,領用表!$E:$E,$B131,領用表!$B:$B,V$2&amp;$P$1)</f>
        <v>0</v>
      </c>
      <c r="W131" s="405">
        <f>SUMIFS(領用表!$L:$L,領用表!$E:$E,$B131,領用表!$B:$B,W$2&amp;$P$1)</f>
        <v>0</v>
      </c>
      <c r="X131" s="405">
        <f>SUMIFS(領用表!$L:$L,領用表!$E:$E,$B131,領用表!$B:$B,X$2&amp;$P$1)</f>
        <v>0</v>
      </c>
      <c r="Y131" s="405">
        <f>SUMIFS(領用表!$L:$L,領用表!$E:$E,$B131,領用表!$B:$B,Y$2&amp;$P$1)</f>
        <v>0</v>
      </c>
      <c r="Z131" s="405">
        <f>SUMIFS(領用表!$L:$L,領用表!$E:$E,$B131,領用表!$B:$B,Z$2&amp;$P$1)</f>
        <v>0</v>
      </c>
      <c r="AA131" s="405">
        <f>SUMIFS(領用表!$L:$L,領用表!$E:$E,$B131,領用表!$B:$B,AA$2&amp;$P$1)</f>
        <v>0</v>
      </c>
      <c r="AB131" s="405">
        <f t="shared" si="12"/>
        <v>0</v>
      </c>
      <c r="AC131" s="405">
        <f t="shared" si="13"/>
        <v>0</v>
      </c>
      <c r="AD131" s="405">
        <f>SUMIF(Summary!B:B,B130,Summary!DW:DW)</f>
        <v>0</v>
      </c>
    </row>
    <row r="132" spans="1:34">
      <c r="D132" s="11"/>
      <c r="E132" s="79"/>
      <c r="F132" s="85"/>
      <c r="G132" s="85"/>
      <c r="AD132" s="405"/>
    </row>
    <row r="133" spans="1:34" ht="13.5">
      <c r="D133" s="11"/>
      <c r="E133" s="79"/>
      <c r="F133" s="85"/>
      <c r="G133" s="85"/>
    </row>
    <row r="134" spans="1:34" ht="13.5">
      <c r="D134" s="11"/>
      <c r="E134" s="79"/>
      <c r="F134" s="85"/>
      <c r="G134" s="85"/>
    </row>
    <row r="135" spans="1:34" ht="13.5">
      <c r="D135" s="11"/>
      <c r="E135" s="79"/>
      <c r="F135" s="85"/>
      <c r="G135" s="85"/>
    </row>
    <row r="136" spans="1:34" ht="13.5">
      <c r="D136" s="11"/>
      <c r="E136" s="79"/>
      <c r="F136" s="85"/>
      <c r="G136" s="85"/>
    </row>
    <row r="137" spans="1:34" ht="13.5">
      <c r="D137" s="11"/>
      <c r="E137" s="79"/>
      <c r="F137" s="85"/>
      <c r="G137" s="85"/>
    </row>
    <row r="138" spans="1:34" ht="13.5">
      <c r="D138" s="11"/>
      <c r="E138" s="79"/>
      <c r="F138" s="85"/>
      <c r="G138" s="85"/>
    </row>
    <row r="139" spans="1:34" ht="13.5">
      <c r="D139" s="11"/>
      <c r="E139" s="79"/>
      <c r="F139" s="85"/>
      <c r="G139" s="85"/>
    </row>
    <row r="140" spans="1:34" ht="13.5">
      <c r="D140" s="11"/>
      <c r="E140" s="79"/>
      <c r="F140" s="85"/>
      <c r="G140" s="85"/>
    </row>
    <row r="141" spans="1:34" ht="13.5">
      <c r="D141" s="11"/>
      <c r="E141" s="86"/>
      <c r="F141" s="85"/>
      <c r="G141" s="85"/>
    </row>
    <row r="142" spans="1:34" ht="13.5">
      <c r="D142" s="11"/>
      <c r="E142" s="86"/>
      <c r="F142" s="85"/>
      <c r="G142" s="85"/>
    </row>
    <row r="143" spans="1:34" ht="13.5">
      <c r="D143" s="11"/>
      <c r="E143" s="86"/>
      <c r="F143" s="85"/>
      <c r="G143" s="85"/>
    </row>
    <row r="144" spans="1:34" ht="13.5">
      <c r="D144" s="11"/>
      <c r="E144" s="86"/>
      <c r="F144" s="85"/>
      <c r="G144" s="85"/>
    </row>
    <row r="145" spans="4:7" ht="13.5">
      <c r="D145" s="11"/>
      <c r="E145" s="86"/>
      <c r="F145" s="85"/>
      <c r="G145" s="85"/>
    </row>
    <row r="146" spans="4:7" ht="13.5">
      <c r="D146" s="11"/>
      <c r="E146" s="86"/>
      <c r="F146" s="85"/>
      <c r="G146" s="85"/>
    </row>
    <row r="147" spans="4:7" ht="13.5">
      <c r="D147" s="11"/>
      <c r="E147" s="86"/>
      <c r="F147" s="85"/>
      <c r="G147" s="85"/>
    </row>
    <row r="148" spans="4:7" ht="13.5">
      <c r="D148" s="11"/>
      <c r="E148" s="86"/>
      <c r="F148" s="85"/>
      <c r="G148" s="85"/>
    </row>
    <row r="149" spans="4:7" ht="13.5">
      <c r="D149" s="11"/>
      <c r="E149" s="86"/>
      <c r="F149" s="85"/>
      <c r="G149" s="85"/>
    </row>
    <row r="150" spans="4:7" ht="13.5">
      <c r="D150" s="11"/>
      <c r="E150" s="86"/>
      <c r="F150" s="85"/>
      <c r="G150" s="85"/>
    </row>
    <row r="151" spans="4:7" ht="13.5">
      <c r="D151" s="11"/>
      <c r="E151" s="86"/>
      <c r="F151" s="85"/>
      <c r="G151" s="85"/>
    </row>
    <row r="152" spans="4:7" ht="13.5">
      <c r="D152" s="11"/>
      <c r="E152" s="86"/>
      <c r="F152" s="85"/>
      <c r="G152" s="85"/>
    </row>
    <row r="153" spans="4:7" ht="13.5">
      <c r="D153" s="11"/>
      <c r="E153" s="86"/>
      <c r="F153" s="85"/>
      <c r="G153" s="85"/>
    </row>
    <row r="154" spans="4:7" ht="13.5">
      <c r="D154" s="11"/>
      <c r="E154" s="86"/>
      <c r="F154" s="85"/>
      <c r="G154" s="85"/>
    </row>
    <row r="155" spans="4:7" ht="13.5">
      <c r="D155" s="11"/>
      <c r="E155" s="86"/>
      <c r="F155" s="85"/>
      <c r="G155" s="85"/>
    </row>
    <row r="156" spans="4:7" ht="13.5">
      <c r="D156" s="11"/>
      <c r="E156" s="86"/>
      <c r="F156" s="85"/>
      <c r="G156" s="85"/>
    </row>
    <row r="157" spans="4:7" ht="13.5">
      <c r="D157" s="11"/>
      <c r="E157" s="86"/>
      <c r="F157" s="85"/>
      <c r="G157" s="85"/>
    </row>
    <row r="158" spans="4:7" ht="13.5">
      <c r="D158" s="11"/>
      <c r="E158" s="86"/>
      <c r="F158" s="85"/>
      <c r="G158" s="85"/>
    </row>
    <row r="159" spans="4:7" ht="13.5">
      <c r="D159" s="11"/>
      <c r="E159" s="86"/>
      <c r="F159" s="85"/>
      <c r="G159" s="85"/>
    </row>
    <row r="160" spans="4:7" ht="13.5">
      <c r="D160" s="11"/>
      <c r="E160" s="86"/>
      <c r="F160" s="85"/>
      <c r="G160" s="85"/>
    </row>
    <row r="161" spans="4:7" ht="13.5">
      <c r="D161" s="11"/>
      <c r="E161" s="86"/>
      <c r="F161" s="85"/>
      <c r="G161" s="85"/>
    </row>
    <row r="162" spans="4:7" ht="13.5">
      <c r="D162" s="11"/>
      <c r="E162" s="86"/>
      <c r="F162" s="85"/>
      <c r="G162" s="85"/>
    </row>
    <row r="163" spans="4:7" ht="13.5">
      <c r="D163" s="11"/>
      <c r="E163" s="86"/>
      <c r="F163" s="85"/>
      <c r="G163" s="85"/>
    </row>
    <row r="164" spans="4:7" ht="13.5">
      <c r="D164" s="11"/>
      <c r="E164" s="86"/>
      <c r="F164" s="85"/>
      <c r="G164" s="85"/>
    </row>
    <row r="165" spans="4:7" ht="13.5">
      <c r="D165" s="11"/>
      <c r="E165" s="86"/>
      <c r="F165" s="85"/>
      <c r="G165" s="85"/>
    </row>
    <row r="166" spans="4:7" ht="13.5">
      <c r="D166" s="11"/>
      <c r="E166" s="86"/>
      <c r="F166" s="85"/>
      <c r="G166" s="85"/>
    </row>
    <row r="167" spans="4:7" ht="13.5">
      <c r="D167" s="11"/>
      <c r="E167" s="86"/>
      <c r="F167" s="85"/>
      <c r="G167" s="85"/>
    </row>
    <row r="168" spans="4:7" ht="13.5">
      <c r="D168" s="11"/>
      <c r="E168" s="86"/>
      <c r="F168" s="85"/>
      <c r="G168" s="85"/>
    </row>
    <row r="169" spans="4:7" ht="13.5">
      <c r="D169" s="11"/>
      <c r="E169" s="86"/>
      <c r="F169" s="85"/>
      <c r="G169" s="85"/>
    </row>
    <row r="170" spans="4:7" ht="13.5">
      <c r="D170" s="11"/>
      <c r="E170" s="86"/>
      <c r="F170" s="85"/>
      <c r="G170" s="85"/>
    </row>
    <row r="171" spans="4:7" ht="13.5">
      <c r="D171" s="11"/>
      <c r="E171" s="86"/>
      <c r="F171" s="85"/>
      <c r="G171" s="85"/>
    </row>
    <row r="172" spans="4:7" ht="13.5">
      <c r="D172" s="11"/>
      <c r="E172" s="86"/>
      <c r="F172" s="85"/>
      <c r="G172" s="85"/>
    </row>
    <row r="173" spans="4:7" ht="13.5">
      <c r="D173" s="11"/>
      <c r="E173" s="86"/>
      <c r="F173" s="85"/>
      <c r="G173" s="85"/>
    </row>
    <row r="174" spans="4:7" ht="13.5">
      <c r="D174" s="11"/>
      <c r="E174" s="86"/>
      <c r="F174" s="85"/>
      <c r="G174" s="85"/>
    </row>
    <row r="175" spans="4:7" ht="13.5">
      <c r="D175" s="11"/>
      <c r="E175" s="86"/>
      <c r="F175" s="85"/>
      <c r="G175" s="85"/>
    </row>
    <row r="176" spans="4:7" ht="13.5">
      <c r="D176" s="11"/>
      <c r="E176" s="86"/>
      <c r="F176" s="85"/>
      <c r="G176" s="85"/>
    </row>
    <row r="177" spans="4:7" ht="13.5">
      <c r="D177" s="11"/>
      <c r="E177" s="86"/>
      <c r="F177" s="85"/>
      <c r="G177" s="85"/>
    </row>
    <row r="178" spans="4:7" ht="13.5">
      <c r="D178" s="11"/>
      <c r="E178" s="86"/>
      <c r="F178" s="85"/>
      <c r="G178" s="85"/>
    </row>
    <row r="179" spans="4:7" ht="13.5">
      <c r="D179" s="11"/>
      <c r="E179" s="86"/>
      <c r="F179" s="85"/>
      <c r="G179" s="85"/>
    </row>
    <row r="180" spans="4:7" ht="13.5">
      <c r="D180" s="11"/>
      <c r="E180" s="86"/>
      <c r="F180" s="85"/>
      <c r="G180" s="85"/>
    </row>
    <row r="181" spans="4:7" ht="13.5">
      <c r="D181" s="11"/>
      <c r="E181" s="86"/>
      <c r="F181" s="85"/>
      <c r="G181" s="85"/>
    </row>
    <row r="182" spans="4:7" ht="13.5">
      <c r="D182" s="11"/>
      <c r="E182" s="86"/>
      <c r="F182" s="85"/>
      <c r="G182" s="85"/>
    </row>
    <row r="183" spans="4:7" ht="13.5">
      <c r="D183" s="11"/>
      <c r="E183" s="86"/>
      <c r="F183" s="85"/>
      <c r="G183" s="85"/>
    </row>
    <row r="184" spans="4:7" ht="13.5">
      <c r="D184" s="11"/>
      <c r="E184" s="86"/>
      <c r="F184" s="85"/>
      <c r="G184" s="85"/>
    </row>
    <row r="185" spans="4:7" ht="13.5">
      <c r="D185" s="11"/>
      <c r="E185" s="86"/>
      <c r="F185" s="85"/>
      <c r="G185" s="85"/>
    </row>
    <row r="186" spans="4:7" ht="13.5">
      <c r="D186" s="11"/>
      <c r="E186" s="86"/>
      <c r="F186" s="85"/>
      <c r="G186" s="85"/>
    </row>
    <row r="187" spans="4:7" ht="13.5">
      <c r="D187" s="11"/>
      <c r="E187" s="86"/>
      <c r="F187" s="85"/>
      <c r="G187" s="85"/>
    </row>
    <row r="188" spans="4:7" ht="13.5">
      <c r="D188" s="11"/>
      <c r="E188" s="86"/>
      <c r="F188" s="85"/>
      <c r="G188" s="85"/>
    </row>
    <row r="189" spans="4:7" ht="13.5">
      <c r="D189" s="11"/>
      <c r="E189" s="86"/>
      <c r="F189" s="85"/>
      <c r="G189" s="85"/>
    </row>
    <row r="190" spans="4:7" ht="13.5">
      <c r="D190" s="11"/>
      <c r="E190" s="86"/>
      <c r="F190" s="85"/>
      <c r="G190" s="85"/>
    </row>
    <row r="191" spans="4:7" ht="13.5">
      <c r="D191" s="11"/>
      <c r="E191" s="86"/>
      <c r="F191" s="85"/>
      <c r="G191" s="85"/>
    </row>
    <row r="192" spans="4:7" ht="13.5">
      <c r="D192" s="11"/>
      <c r="E192" s="86"/>
      <c r="F192" s="85"/>
      <c r="G192" s="85"/>
    </row>
    <row r="193" spans="4:7" ht="13.5">
      <c r="D193" s="11"/>
      <c r="E193" s="86"/>
      <c r="F193" s="85"/>
      <c r="G193" s="85"/>
    </row>
    <row r="194" spans="4:7" ht="13.5">
      <c r="D194" s="11"/>
      <c r="E194" s="86"/>
      <c r="F194" s="85"/>
      <c r="G194" s="85"/>
    </row>
    <row r="195" spans="4:7" ht="13.5">
      <c r="D195" s="11"/>
      <c r="E195" s="86"/>
      <c r="F195" s="85"/>
      <c r="G195" s="85"/>
    </row>
    <row r="196" spans="4:7" ht="13.5">
      <c r="D196" s="11"/>
      <c r="E196" s="86"/>
      <c r="F196" s="85"/>
      <c r="G196" s="85"/>
    </row>
    <row r="197" spans="4:7" ht="13.5">
      <c r="D197" s="11"/>
      <c r="E197" s="86"/>
      <c r="F197" s="85"/>
      <c r="G197" s="85"/>
    </row>
    <row r="198" spans="4:7" ht="13.5">
      <c r="D198" s="11"/>
      <c r="E198" s="86"/>
      <c r="F198" s="85"/>
      <c r="G198" s="85"/>
    </row>
    <row r="199" spans="4:7" ht="13.5">
      <c r="D199" s="11"/>
      <c r="E199" s="86"/>
      <c r="F199" s="85"/>
      <c r="G199" s="85"/>
    </row>
    <row r="200" spans="4:7" ht="13.5">
      <c r="D200" s="11"/>
      <c r="E200" s="86"/>
      <c r="F200" s="85"/>
      <c r="G200" s="85"/>
    </row>
    <row r="201" spans="4:7" ht="13.5">
      <c r="D201" s="11"/>
      <c r="E201" s="86"/>
      <c r="F201" s="85"/>
      <c r="G201" s="85"/>
    </row>
    <row r="202" spans="4:7" ht="13.5">
      <c r="D202" s="11"/>
      <c r="E202" s="86"/>
      <c r="F202" s="85"/>
      <c r="G202" s="85"/>
    </row>
    <row r="203" spans="4:7" ht="13.5">
      <c r="D203" s="11"/>
      <c r="E203" s="86"/>
      <c r="F203" s="85"/>
      <c r="G203" s="85"/>
    </row>
    <row r="204" spans="4:7" ht="13.5">
      <c r="D204" s="11"/>
      <c r="E204" s="86"/>
      <c r="F204" s="85"/>
      <c r="G204" s="85"/>
    </row>
    <row r="205" spans="4:7" ht="13.5">
      <c r="D205" s="11"/>
      <c r="E205" s="86"/>
      <c r="F205" s="85"/>
      <c r="G205" s="85"/>
    </row>
    <row r="206" spans="4:7" ht="13.5">
      <c r="D206" s="11"/>
      <c r="E206" s="86"/>
      <c r="F206" s="85"/>
      <c r="G206" s="85"/>
    </row>
    <row r="207" spans="4:7" ht="13.5">
      <c r="D207" s="11"/>
      <c r="E207" s="86"/>
      <c r="F207" s="85"/>
      <c r="G207" s="85"/>
    </row>
    <row r="208" spans="4:7" ht="13.5">
      <c r="D208" s="11"/>
      <c r="E208" s="86"/>
      <c r="F208" s="85"/>
      <c r="G208" s="85"/>
    </row>
    <row r="209" spans="4:7" ht="13.5">
      <c r="D209" s="11"/>
      <c r="E209" s="86"/>
      <c r="F209" s="85"/>
      <c r="G209" s="85"/>
    </row>
    <row r="210" spans="4:7" ht="13.5">
      <c r="D210" s="11"/>
      <c r="E210" s="86"/>
      <c r="F210" s="85"/>
      <c r="G210" s="85"/>
    </row>
    <row r="211" spans="4:7" ht="13.5">
      <c r="D211" s="11"/>
      <c r="E211" s="86"/>
      <c r="F211" s="85"/>
      <c r="G211" s="85"/>
    </row>
    <row r="212" spans="4:7" ht="13.5">
      <c r="D212" s="11"/>
      <c r="E212" s="86"/>
      <c r="F212" s="85"/>
      <c r="G212" s="85"/>
    </row>
    <row r="213" spans="4:7" ht="13.5">
      <c r="D213" s="11"/>
      <c r="E213" s="86"/>
      <c r="F213" s="85"/>
      <c r="G213" s="85"/>
    </row>
    <row r="214" spans="4:7" ht="13.5">
      <c r="D214" s="11"/>
      <c r="E214" s="86"/>
      <c r="F214" s="85"/>
      <c r="G214" s="85"/>
    </row>
    <row r="215" spans="4:7" ht="13.5">
      <c r="D215" s="11"/>
      <c r="E215" s="86"/>
      <c r="F215" s="85"/>
      <c r="G215" s="85"/>
    </row>
    <row r="216" spans="4:7" ht="13.5">
      <c r="D216" s="11"/>
      <c r="E216" s="86"/>
      <c r="F216" s="85"/>
      <c r="G216" s="85"/>
    </row>
    <row r="217" spans="4:7" ht="13.5">
      <c r="D217" s="11"/>
      <c r="E217" s="86"/>
      <c r="F217" s="85"/>
      <c r="G217" s="85"/>
    </row>
    <row r="218" spans="4:7" ht="13.5">
      <c r="D218" s="11"/>
      <c r="E218" s="86"/>
      <c r="F218" s="85"/>
      <c r="G218" s="85"/>
    </row>
    <row r="219" spans="4:7" ht="13.5">
      <c r="D219" s="11"/>
      <c r="E219" s="86"/>
      <c r="F219" s="85"/>
      <c r="G219" s="85"/>
    </row>
    <row r="220" spans="4:7" ht="13.5">
      <c r="D220" s="11"/>
      <c r="E220" s="86"/>
      <c r="F220" s="85"/>
      <c r="G220" s="85"/>
    </row>
    <row r="221" spans="4:7" ht="13.5">
      <c r="D221" s="11"/>
      <c r="E221" s="86"/>
      <c r="F221" s="85"/>
      <c r="G221" s="85"/>
    </row>
    <row r="222" spans="4:7" ht="13.5">
      <c r="D222" s="11"/>
      <c r="E222" s="86"/>
      <c r="F222" s="85"/>
      <c r="G222" s="85"/>
    </row>
    <row r="223" spans="4:7" ht="13.5">
      <c r="D223" s="11"/>
      <c r="E223" s="86"/>
      <c r="F223" s="85"/>
      <c r="G223" s="85"/>
    </row>
    <row r="224" spans="4:7" ht="13.5">
      <c r="D224" s="11"/>
      <c r="E224" s="86"/>
      <c r="F224" s="85"/>
      <c r="G224" s="85"/>
    </row>
    <row r="225" spans="4:7" ht="13.5">
      <c r="D225" s="11"/>
      <c r="E225" s="86"/>
      <c r="F225" s="85"/>
      <c r="G225" s="85"/>
    </row>
    <row r="226" spans="4:7" ht="13.5">
      <c r="D226" s="11"/>
      <c r="E226" s="86"/>
      <c r="F226" s="85"/>
      <c r="G226" s="85"/>
    </row>
    <row r="227" spans="4:7" ht="13.5">
      <c r="D227" s="11"/>
      <c r="E227" s="86"/>
      <c r="F227" s="85"/>
      <c r="G227" s="85"/>
    </row>
    <row r="228" spans="4:7" ht="13.5">
      <c r="D228" s="11"/>
      <c r="E228" s="86"/>
      <c r="F228" s="85"/>
      <c r="G228" s="85"/>
    </row>
    <row r="229" spans="4:7" ht="13.5">
      <c r="D229" s="11"/>
      <c r="E229" s="86"/>
      <c r="F229" s="85"/>
      <c r="G229" s="85"/>
    </row>
    <row r="230" spans="4:7" ht="13.5">
      <c r="D230" s="11"/>
      <c r="E230" s="86"/>
      <c r="F230" s="85"/>
      <c r="G230" s="85"/>
    </row>
    <row r="231" spans="4:7" ht="13.5">
      <c r="D231" s="11"/>
      <c r="E231" s="86"/>
      <c r="F231" s="85"/>
      <c r="G231" s="85"/>
    </row>
    <row r="232" spans="4:7" ht="13.5">
      <c r="D232" s="11"/>
      <c r="E232" s="86"/>
      <c r="F232" s="85"/>
      <c r="G232" s="85"/>
    </row>
    <row r="233" spans="4:7" ht="13.5">
      <c r="D233" s="11"/>
      <c r="E233" s="86"/>
      <c r="F233" s="85"/>
      <c r="G233" s="85"/>
    </row>
    <row r="234" spans="4:7" ht="13.5">
      <c r="D234" s="11"/>
      <c r="E234" s="86"/>
      <c r="F234" s="85"/>
      <c r="G234" s="85"/>
    </row>
    <row r="235" spans="4:7" ht="13.5">
      <c r="D235" s="11"/>
      <c r="E235" s="86"/>
      <c r="F235" s="85"/>
      <c r="G235" s="85"/>
    </row>
    <row r="236" spans="4:7" ht="13.5">
      <c r="D236" s="11"/>
      <c r="E236" s="86"/>
      <c r="F236" s="85"/>
      <c r="G236" s="85"/>
    </row>
    <row r="237" spans="4:7" ht="13.5">
      <c r="D237" s="11"/>
      <c r="E237" s="86"/>
      <c r="F237" s="85"/>
      <c r="G237" s="85"/>
    </row>
    <row r="238" spans="4:7" ht="13.5">
      <c r="D238" s="11"/>
      <c r="E238" s="86"/>
      <c r="F238" s="85"/>
      <c r="G238" s="85"/>
    </row>
    <row r="239" spans="4:7" ht="13.5">
      <c r="D239" s="11"/>
      <c r="E239" s="86"/>
      <c r="F239" s="85"/>
      <c r="G239" s="85"/>
    </row>
    <row r="240" spans="4:7" ht="13.5">
      <c r="D240" s="11"/>
      <c r="E240" s="86"/>
      <c r="F240" s="85"/>
      <c r="G240" s="85"/>
    </row>
    <row r="241" spans="4:7" ht="13.5">
      <c r="D241" s="11"/>
      <c r="E241" s="86"/>
      <c r="F241" s="85"/>
      <c r="G241" s="85"/>
    </row>
    <row r="242" spans="4:7" ht="13.5">
      <c r="D242" s="11"/>
      <c r="E242" s="86"/>
      <c r="F242" s="85"/>
      <c r="G242" s="85"/>
    </row>
    <row r="243" spans="4:7" ht="13.5">
      <c r="D243" s="11"/>
      <c r="E243" s="86"/>
      <c r="F243" s="85"/>
      <c r="G243" s="85"/>
    </row>
    <row r="244" spans="4:7" ht="13.5">
      <c r="D244" s="11"/>
      <c r="E244" s="86"/>
      <c r="F244" s="85"/>
      <c r="G244" s="85"/>
    </row>
    <row r="245" spans="4:7" ht="13.5">
      <c r="D245" s="11"/>
      <c r="E245" s="86"/>
      <c r="F245" s="85"/>
      <c r="G245" s="85"/>
    </row>
    <row r="246" spans="4:7" ht="13.5">
      <c r="D246" s="11"/>
      <c r="E246" s="86"/>
      <c r="F246" s="85"/>
      <c r="G246" s="85"/>
    </row>
    <row r="247" spans="4:7" ht="13.5">
      <c r="D247" s="11"/>
      <c r="E247" s="86"/>
      <c r="F247" s="85"/>
      <c r="G247" s="85"/>
    </row>
    <row r="248" spans="4:7" ht="13.5">
      <c r="D248" s="11"/>
      <c r="E248" s="86"/>
      <c r="F248" s="85"/>
      <c r="G248" s="85"/>
    </row>
    <row r="249" spans="4:7" ht="13.5">
      <c r="D249" s="11"/>
      <c r="E249" s="86"/>
      <c r="F249" s="85"/>
      <c r="G249" s="85"/>
    </row>
    <row r="250" spans="4:7" ht="13.5">
      <c r="D250" s="11"/>
      <c r="E250" s="86"/>
      <c r="F250" s="85"/>
      <c r="G250" s="85"/>
    </row>
    <row r="251" spans="4:7" ht="13.5">
      <c r="D251" s="11"/>
      <c r="E251" s="86"/>
      <c r="F251" s="85"/>
      <c r="G251" s="85"/>
    </row>
    <row r="252" spans="4:7" ht="13.5">
      <c r="D252" s="11"/>
      <c r="E252" s="86"/>
      <c r="F252" s="85"/>
      <c r="G252" s="85"/>
    </row>
    <row r="253" spans="4:7" ht="13.5">
      <c r="D253" s="11"/>
      <c r="E253" s="86"/>
      <c r="F253" s="85"/>
      <c r="G253" s="85"/>
    </row>
    <row r="254" spans="4:7" ht="13.5">
      <c r="D254" s="11"/>
      <c r="E254" s="86"/>
      <c r="F254" s="85"/>
      <c r="G254" s="85"/>
    </row>
    <row r="255" spans="4:7" ht="13.5">
      <c r="D255" s="11"/>
      <c r="E255" s="86"/>
      <c r="F255" s="85"/>
      <c r="G255" s="85"/>
    </row>
    <row r="256" spans="4:7" ht="13.5">
      <c r="D256" s="11"/>
      <c r="E256" s="86"/>
      <c r="F256" s="85"/>
      <c r="G256" s="85"/>
    </row>
    <row r="257" spans="4:7" ht="13.5">
      <c r="D257" s="11"/>
      <c r="E257" s="86"/>
      <c r="F257" s="85"/>
      <c r="G257" s="85"/>
    </row>
    <row r="258" spans="4:7" ht="13.5">
      <c r="D258" s="11"/>
      <c r="E258" s="86"/>
      <c r="F258" s="85"/>
      <c r="G258" s="85"/>
    </row>
    <row r="259" spans="4:7" ht="13.5">
      <c r="D259" s="11"/>
      <c r="E259" s="86"/>
      <c r="F259" s="85"/>
      <c r="G259" s="85"/>
    </row>
    <row r="260" spans="4:7" ht="13.5">
      <c r="D260" s="11"/>
      <c r="E260" s="86"/>
      <c r="F260" s="85"/>
      <c r="G260" s="85"/>
    </row>
    <row r="261" spans="4:7" ht="13.5">
      <c r="D261" s="11"/>
      <c r="E261" s="86"/>
      <c r="F261" s="85"/>
      <c r="G261" s="85"/>
    </row>
    <row r="262" spans="4:7" ht="13.5">
      <c r="D262" s="11"/>
      <c r="E262" s="86"/>
      <c r="F262" s="85"/>
      <c r="G262" s="85"/>
    </row>
    <row r="263" spans="4:7" ht="13.5">
      <c r="D263" s="11"/>
      <c r="E263" s="86"/>
      <c r="F263" s="85"/>
      <c r="G263" s="85"/>
    </row>
    <row r="264" spans="4:7" ht="13.5">
      <c r="D264" s="11"/>
      <c r="E264" s="86"/>
      <c r="F264" s="85"/>
      <c r="G264" s="85"/>
    </row>
    <row r="265" spans="4:7" ht="13.5">
      <c r="D265" s="11"/>
      <c r="E265" s="86"/>
      <c r="F265" s="85"/>
      <c r="G265" s="85"/>
    </row>
    <row r="266" spans="4:7" ht="13.5">
      <c r="D266" s="11"/>
      <c r="E266" s="86"/>
      <c r="F266" s="85"/>
      <c r="G266" s="85"/>
    </row>
    <row r="267" spans="4:7" ht="13.5">
      <c r="D267" s="11"/>
      <c r="E267" s="86"/>
      <c r="F267" s="85"/>
      <c r="G267" s="85"/>
    </row>
    <row r="268" spans="4:7" ht="13.5">
      <c r="D268" s="11"/>
      <c r="E268" s="86"/>
      <c r="F268" s="85"/>
      <c r="G268" s="85"/>
    </row>
    <row r="269" spans="4:7" ht="13.5">
      <c r="D269" s="11"/>
      <c r="E269" s="86"/>
      <c r="F269" s="85"/>
      <c r="G269" s="85"/>
    </row>
    <row r="270" spans="4:7" ht="13.5">
      <c r="D270" s="11"/>
      <c r="E270" s="86"/>
      <c r="F270" s="85"/>
      <c r="G270" s="85"/>
    </row>
    <row r="271" spans="4:7" ht="13.5">
      <c r="D271" s="11"/>
      <c r="E271" s="86"/>
      <c r="F271" s="85"/>
      <c r="G271" s="85"/>
    </row>
    <row r="272" spans="4:7" ht="13.5">
      <c r="D272" s="11"/>
      <c r="E272" s="86"/>
      <c r="F272" s="85"/>
      <c r="G272" s="85"/>
    </row>
    <row r="273" spans="4:7" ht="13.5">
      <c r="D273" s="11"/>
      <c r="E273" s="86"/>
      <c r="F273" s="85"/>
      <c r="G273" s="85"/>
    </row>
    <row r="274" spans="4:7" ht="13.5">
      <c r="D274" s="11"/>
      <c r="E274" s="86"/>
      <c r="F274" s="85"/>
      <c r="G274" s="85"/>
    </row>
    <row r="275" spans="4:7" ht="13.5">
      <c r="D275" s="11"/>
      <c r="E275" s="86"/>
      <c r="F275" s="85"/>
      <c r="G275" s="85"/>
    </row>
    <row r="276" spans="4:7" ht="13.5">
      <c r="D276" s="11"/>
      <c r="E276" s="86"/>
      <c r="F276" s="85"/>
      <c r="G276" s="85"/>
    </row>
    <row r="277" spans="4:7" ht="13.5">
      <c r="D277" s="11"/>
      <c r="E277" s="86"/>
      <c r="F277" s="85"/>
      <c r="G277" s="85"/>
    </row>
    <row r="278" spans="4:7" ht="13.5">
      <c r="D278" s="11"/>
      <c r="E278" s="86"/>
      <c r="F278" s="85"/>
      <c r="G278" s="85"/>
    </row>
    <row r="279" spans="4:7" ht="13.5">
      <c r="D279" s="11"/>
      <c r="E279" s="86"/>
      <c r="F279" s="85"/>
      <c r="G279" s="85"/>
    </row>
    <row r="280" spans="4:7" ht="13.5">
      <c r="D280" s="11"/>
      <c r="E280" s="86"/>
      <c r="F280" s="85"/>
      <c r="G280" s="85"/>
    </row>
    <row r="281" spans="4:7" ht="13.5">
      <c r="D281" s="11"/>
      <c r="E281" s="86"/>
      <c r="F281" s="85"/>
      <c r="G281" s="85"/>
    </row>
    <row r="282" spans="4:7" ht="13.5">
      <c r="D282" s="11"/>
      <c r="E282" s="86"/>
      <c r="F282" s="85"/>
      <c r="G282" s="85"/>
    </row>
    <row r="283" spans="4:7" ht="13.5">
      <c r="D283" s="11"/>
      <c r="E283" s="86"/>
      <c r="F283" s="85"/>
      <c r="G283" s="85"/>
    </row>
    <row r="284" spans="4:7" ht="13.5">
      <c r="D284" s="11"/>
      <c r="E284" s="86"/>
      <c r="F284" s="85"/>
      <c r="G284" s="85"/>
    </row>
    <row r="285" spans="4:7" ht="13.5">
      <c r="D285" s="11"/>
      <c r="E285" s="86"/>
      <c r="F285" s="85"/>
      <c r="G285" s="85"/>
    </row>
    <row r="286" spans="4:7" ht="13.5">
      <c r="D286" s="11"/>
      <c r="E286" s="86"/>
      <c r="F286" s="85"/>
      <c r="G286" s="85"/>
    </row>
    <row r="287" spans="4:7" ht="13.5">
      <c r="D287" s="11"/>
      <c r="E287" s="86"/>
      <c r="F287" s="85"/>
      <c r="G287" s="85"/>
    </row>
    <row r="288" spans="4:7" ht="13.5">
      <c r="D288" s="11"/>
      <c r="E288" s="86"/>
      <c r="F288" s="85"/>
      <c r="G288" s="85"/>
    </row>
    <row r="289" spans="4:7" ht="13.5">
      <c r="D289" s="11"/>
      <c r="E289" s="86"/>
      <c r="F289" s="85"/>
      <c r="G289" s="85"/>
    </row>
    <row r="290" spans="4:7" ht="13.5">
      <c r="D290" s="11"/>
      <c r="E290" s="86"/>
      <c r="F290" s="85"/>
      <c r="G290" s="85"/>
    </row>
    <row r="291" spans="4:7" ht="13.5">
      <c r="D291" s="11"/>
      <c r="E291" s="86"/>
      <c r="F291" s="85"/>
      <c r="G291" s="85"/>
    </row>
    <row r="292" spans="4:7" ht="13.5">
      <c r="D292" s="11"/>
      <c r="E292" s="86"/>
      <c r="F292" s="85"/>
      <c r="G292" s="85"/>
    </row>
    <row r="293" spans="4:7" ht="13.5">
      <c r="D293" s="11"/>
      <c r="E293" s="86"/>
      <c r="F293" s="85"/>
      <c r="G293" s="85"/>
    </row>
    <row r="294" spans="4:7" ht="13.5">
      <c r="D294" s="11"/>
      <c r="E294" s="86"/>
      <c r="F294" s="85"/>
      <c r="G294" s="85"/>
    </row>
    <row r="295" spans="4:7" ht="13.5">
      <c r="D295" s="11"/>
      <c r="E295" s="86"/>
      <c r="F295" s="85"/>
      <c r="G295" s="85"/>
    </row>
    <row r="296" spans="4:7" ht="13.5">
      <c r="D296" s="11"/>
      <c r="E296" s="86"/>
      <c r="F296" s="85"/>
      <c r="G296" s="85"/>
    </row>
    <row r="297" spans="4:7" ht="13.5">
      <c r="D297" s="11"/>
      <c r="E297" s="86"/>
      <c r="F297" s="85"/>
      <c r="G297" s="85"/>
    </row>
    <row r="298" spans="4:7" ht="13.5">
      <c r="D298" s="11"/>
      <c r="E298" s="86"/>
      <c r="F298" s="85"/>
      <c r="G298" s="85"/>
    </row>
    <row r="299" spans="4:7" ht="13.5">
      <c r="D299" s="11"/>
      <c r="E299" s="86"/>
      <c r="F299" s="85"/>
      <c r="G299" s="85"/>
    </row>
    <row r="300" spans="4:7" ht="13.5">
      <c r="D300" s="11"/>
      <c r="E300" s="86"/>
      <c r="F300" s="85"/>
      <c r="G300" s="85"/>
    </row>
    <row r="301" spans="4:7" ht="13.5">
      <c r="D301" s="11"/>
      <c r="E301" s="86"/>
      <c r="F301" s="85"/>
      <c r="G301" s="85"/>
    </row>
    <row r="302" spans="4:7" ht="13.5">
      <c r="D302" s="11"/>
      <c r="E302" s="86"/>
      <c r="F302" s="85"/>
      <c r="G302" s="85"/>
    </row>
    <row r="303" spans="4:7" ht="13.5">
      <c r="D303" s="11"/>
      <c r="E303" s="86"/>
      <c r="F303" s="85"/>
      <c r="G303" s="85"/>
    </row>
    <row r="304" spans="4:7" ht="13.5">
      <c r="D304" s="11"/>
      <c r="E304" s="86"/>
      <c r="F304" s="85"/>
      <c r="G304" s="85"/>
    </row>
    <row r="305" spans="4:7" ht="13.5">
      <c r="D305" s="11"/>
      <c r="E305" s="86"/>
      <c r="F305" s="85"/>
      <c r="G305" s="85"/>
    </row>
    <row r="306" spans="4:7" ht="13.5">
      <c r="D306" s="11"/>
      <c r="E306" s="86"/>
      <c r="F306" s="85"/>
      <c r="G306" s="85"/>
    </row>
    <row r="307" spans="4:7" ht="13.5">
      <c r="D307" s="11"/>
      <c r="E307" s="86"/>
      <c r="F307" s="85"/>
      <c r="G307" s="85"/>
    </row>
    <row r="308" spans="4:7" ht="13.5">
      <c r="D308" s="11"/>
      <c r="E308" s="86"/>
      <c r="F308" s="85"/>
      <c r="G308" s="85"/>
    </row>
    <row r="309" spans="4:7" ht="13.5">
      <c r="D309" s="11"/>
      <c r="E309" s="86"/>
      <c r="F309" s="85"/>
      <c r="G309" s="85"/>
    </row>
    <row r="310" spans="4:7" ht="13.5">
      <c r="D310" s="11"/>
      <c r="E310" s="86"/>
      <c r="F310" s="85"/>
      <c r="G310" s="85"/>
    </row>
    <row r="311" spans="4:7" ht="13.5">
      <c r="D311" s="11"/>
      <c r="E311" s="86"/>
      <c r="F311" s="85"/>
      <c r="G311" s="85"/>
    </row>
    <row r="312" spans="4:7" ht="13.5">
      <c r="D312" s="11"/>
      <c r="E312" s="86"/>
      <c r="F312" s="85"/>
      <c r="G312" s="85"/>
    </row>
    <row r="313" spans="4:7" ht="13.5">
      <c r="D313" s="11"/>
      <c r="E313" s="86"/>
      <c r="F313" s="85"/>
      <c r="G313" s="85"/>
    </row>
    <row r="314" spans="4:7" ht="13.5">
      <c r="D314" s="11"/>
      <c r="E314" s="86"/>
      <c r="F314" s="85"/>
      <c r="G314" s="85"/>
    </row>
    <row r="315" spans="4:7" ht="13.5">
      <c r="D315" s="11"/>
      <c r="E315" s="86"/>
      <c r="F315" s="85"/>
      <c r="G315" s="85"/>
    </row>
    <row r="316" spans="4:7" ht="13.5">
      <c r="D316" s="11"/>
      <c r="E316" s="86"/>
      <c r="F316" s="85"/>
      <c r="G316" s="85"/>
    </row>
    <row r="317" spans="4:7" ht="13.5">
      <c r="D317" s="11"/>
      <c r="E317" s="86"/>
      <c r="F317" s="85"/>
      <c r="G317" s="85"/>
    </row>
    <row r="318" spans="4:7" ht="13.5">
      <c r="D318" s="11"/>
      <c r="E318" s="86"/>
      <c r="F318" s="85"/>
      <c r="G318" s="85"/>
    </row>
    <row r="319" spans="4:7" ht="13.5">
      <c r="D319" s="11"/>
      <c r="E319" s="86"/>
      <c r="F319" s="85"/>
      <c r="G319" s="85"/>
    </row>
    <row r="320" spans="4:7" ht="13.5">
      <c r="D320" s="11"/>
      <c r="E320" s="86"/>
      <c r="F320" s="85"/>
      <c r="G320" s="85"/>
    </row>
    <row r="321" spans="4:7" ht="13.5">
      <c r="D321" s="11"/>
      <c r="E321" s="86"/>
      <c r="F321" s="85"/>
      <c r="G321" s="85"/>
    </row>
    <row r="322" spans="4:7" ht="13.5">
      <c r="D322" s="11"/>
      <c r="E322" s="86"/>
      <c r="F322" s="85"/>
      <c r="G322" s="85"/>
    </row>
    <row r="323" spans="4:7" ht="13.5">
      <c r="D323" s="11"/>
      <c r="E323" s="86"/>
      <c r="F323" s="85"/>
      <c r="G323" s="85"/>
    </row>
    <row r="324" spans="4:7" ht="13.5">
      <c r="D324" s="11"/>
      <c r="E324" s="86"/>
      <c r="F324" s="85"/>
      <c r="G324" s="85"/>
    </row>
    <row r="325" spans="4:7" ht="13.5">
      <c r="D325" s="11"/>
      <c r="E325" s="86"/>
      <c r="F325" s="85"/>
      <c r="G325" s="85"/>
    </row>
    <row r="326" spans="4:7" ht="13.5">
      <c r="D326" s="11"/>
      <c r="E326" s="86"/>
      <c r="F326" s="85"/>
      <c r="G326" s="85"/>
    </row>
    <row r="327" spans="4:7" ht="13.5">
      <c r="D327" s="11"/>
      <c r="E327" s="86"/>
      <c r="F327" s="85"/>
      <c r="G327" s="85"/>
    </row>
    <row r="328" spans="4:7" ht="13.5">
      <c r="D328" s="11"/>
      <c r="E328" s="86"/>
      <c r="F328" s="85"/>
      <c r="G328" s="85"/>
    </row>
    <row r="329" spans="4:7" ht="13.5">
      <c r="D329" s="11"/>
      <c r="E329" s="86"/>
      <c r="F329" s="85"/>
      <c r="G329" s="85"/>
    </row>
    <row r="330" spans="4:7" ht="13.5">
      <c r="D330" s="11"/>
      <c r="E330" s="86"/>
      <c r="F330" s="85"/>
      <c r="G330" s="85"/>
    </row>
    <row r="331" spans="4:7" ht="13.5">
      <c r="D331" s="11"/>
      <c r="E331" s="86"/>
      <c r="F331" s="85"/>
      <c r="G331" s="85"/>
    </row>
    <row r="332" spans="4:7" ht="13.5">
      <c r="D332" s="11"/>
      <c r="E332" s="86"/>
      <c r="F332" s="85"/>
      <c r="G332" s="85"/>
    </row>
    <row r="333" spans="4:7" ht="13.5">
      <c r="D333" s="11"/>
      <c r="E333" s="86"/>
      <c r="F333" s="85"/>
      <c r="G333" s="85"/>
    </row>
    <row r="334" spans="4:7" ht="13.5">
      <c r="D334" s="11"/>
      <c r="E334" s="86"/>
      <c r="F334" s="85"/>
      <c r="G334" s="85"/>
    </row>
    <row r="335" spans="4:7" ht="13.5">
      <c r="D335" s="11"/>
      <c r="E335" s="86"/>
      <c r="F335" s="85"/>
      <c r="G335" s="85"/>
    </row>
    <row r="336" spans="4:7" ht="13.5">
      <c r="D336" s="11"/>
      <c r="E336" s="86"/>
      <c r="F336" s="85"/>
      <c r="G336" s="85"/>
    </row>
    <row r="337" spans="4:7" ht="13.5">
      <c r="D337" s="11"/>
      <c r="E337" s="86"/>
      <c r="F337" s="85"/>
      <c r="G337" s="85"/>
    </row>
    <row r="338" spans="4:7" ht="13.5">
      <c r="D338" s="11"/>
      <c r="E338" s="86"/>
      <c r="F338" s="85"/>
      <c r="G338" s="85"/>
    </row>
    <row r="339" spans="4:7" ht="13.5">
      <c r="D339" s="11"/>
      <c r="E339" s="86"/>
      <c r="F339" s="85"/>
      <c r="G339" s="85"/>
    </row>
    <row r="340" spans="4:7" ht="13.5">
      <c r="D340" s="11"/>
      <c r="E340" s="86"/>
      <c r="F340" s="85"/>
      <c r="G340" s="85"/>
    </row>
    <row r="341" spans="4:7" ht="13.5">
      <c r="D341" s="11"/>
      <c r="E341" s="86"/>
      <c r="F341" s="85"/>
      <c r="G341" s="85"/>
    </row>
    <row r="342" spans="4:7" ht="13.5">
      <c r="D342" s="11"/>
      <c r="E342" s="86"/>
      <c r="F342" s="85"/>
      <c r="G342" s="85"/>
    </row>
    <row r="343" spans="4:7" ht="13.5">
      <c r="D343" s="11"/>
      <c r="E343" s="86"/>
      <c r="F343" s="85"/>
      <c r="G343" s="85"/>
    </row>
    <row r="344" spans="4:7" ht="13.5">
      <c r="D344" s="11"/>
      <c r="E344" s="86"/>
      <c r="F344" s="85"/>
      <c r="G344" s="85"/>
    </row>
    <row r="345" spans="4:7" ht="13.5">
      <c r="D345" s="11"/>
      <c r="E345" s="86"/>
      <c r="F345" s="85"/>
      <c r="G345" s="85"/>
    </row>
    <row r="346" spans="4:7" ht="13.5">
      <c r="D346" s="11"/>
      <c r="E346" s="86"/>
      <c r="F346" s="85"/>
      <c r="G346" s="85"/>
    </row>
    <row r="347" spans="4:7" ht="13.5">
      <c r="D347" s="11"/>
      <c r="E347" s="86"/>
      <c r="F347" s="85"/>
      <c r="G347" s="85"/>
    </row>
    <row r="348" spans="4:7" ht="13.5">
      <c r="D348" s="11"/>
      <c r="E348" s="86"/>
      <c r="F348" s="85"/>
      <c r="G348" s="85"/>
    </row>
    <row r="349" spans="4:7" ht="13.5">
      <c r="D349" s="11"/>
      <c r="E349" s="86"/>
      <c r="F349" s="85"/>
      <c r="G349" s="85"/>
    </row>
    <row r="350" spans="4:7" ht="13.5">
      <c r="D350" s="11"/>
      <c r="E350" s="86"/>
      <c r="F350" s="85"/>
      <c r="G350" s="85"/>
    </row>
    <row r="351" spans="4:7" ht="13.5">
      <c r="D351" s="11"/>
      <c r="E351" s="86"/>
      <c r="F351" s="85"/>
      <c r="G351" s="85"/>
    </row>
    <row r="352" spans="4:7" ht="13.5">
      <c r="D352" s="11"/>
      <c r="E352" s="86"/>
      <c r="F352" s="85"/>
      <c r="G352" s="85"/>
    </row>
    <row r="353" spans="4:7" ht="13.5">
      <c r="D353" s="11"/>
      <c r="E353" s="86"/>
      <c r="F353" s="85"/>
      <c r="G353" s="85"/>
    </row>
    <row r="354" spans="4:7" ht="13.5">
      <c r="D354" s="11"/>
      <c r="E354" s="86"/>
      <c r="F354" s="85"/>
      <c r="G354" s="85"/>
    </row>
    <row r="355" spans="4:7" ht="13.5">
      <c r="D355" s="11"/>
      <c r="E355" s="86"/>
      <c r="F355" s="85"/>
      <c r="G355" s="85"/>
    </row>
    <row r="356" spans="4:7" ht="13.5">
      <c r="D356" s="11"/>
      <c r="E356" s="86"/>
      <c r="F356" s="85"/>
      <c r="G356" s="85"/>
    </row>
    <row r="357" spans="4:7" ht="13.5">
      <c r="D357" s="11"/>
      <c r="E357" s="86"/>
      <c r="F357" s="85"/>
      <c r="G357" s="85"/>
    </row>
    <row r="358" spans="4:7" ht="13.5">
      <c r="D358" s="11"/>
      <c r="E358" s="86"/>
      <c r="F358" s="85"/>
      <c r="G358" s="85"/>
    </row>
    <row r="359" spans="4:7" ht="13.5">
      <c r="D359" s="11"/>
      <c r="E359" s="86"/>
      <c r="F359" s="85"/>
      <c r="G359" s="85"/>
    </row>
    <row r="360" spans="4:7" ht="13.5">
      <c r="D360" s="11"/>
      <c r="E360" s="86"/>
      <c r="F360" s="85"/>
      <c r="G360" s="85"/>
    </row>
    <row r="361" spans="4:7" ht="13.5">
      <c r="D361" s="11"/>
      <c r="E361" s="86"/>
      <c r="F361" s="85"/>
      <c r="G361" s="85"/>
    </row>
    <row r="362" spans="4:7" ht="13.5">
      <c r="D362" s="11"/>
      <c r="E362" s="86"/>
      <c r="F362" s="85"/>
      <c r="G362" s="85"/>
    </row>
    <row r="363" spans="4:7" ht="13.5">
      <c r="D363" s="11"/>
      <c r="E363" s="86"/>
      <c r="F363" s="85"/>
      <c r="G363" s="85"/>
    </row>
    <row r="364" spans="4:7" ht="13.5">
      <c r="D364" s="11"/>
      <c r="E364" s="86"/>
      <c r="F364" s="85"/>
      <c r="G364" s="85"/>
    </row>
    <row r="365" spans="4:7" ht="13.5">
      <c r="D365" s="11"/>
      <c r="E365" s="86"/>
      <c r="F365" s="85"/>
      <c r="G365" s="85"/>
    </row>
    <row r="366" spans="4:7" ht="13.5">
      <c r="D366" s="11"/>
      <c r="E366" s="86"/>
      <c r="F366" s="85"/>
      <c r="G366" s="85"/>
    </row>
    <row r="367" spans="4:7" ht="13.5">
      <c r="D367" s="11"/>
      <c r="E367" s="86"/>
      <c r="F367" s="85"/>
      <c r="G367" s="85"/>
    </row>
    <row r="368" spans="4:7" ht="13.5">
      <c r="D368" s="11"/>
      <c r="E368" s="86"/>
      <c r="F368" s="85"/>
      <c r="G368" s="85"/>
    </row>
    <row r="369" spans="4:7" ht="13.5">
      <c r="D369" s="11"/>
      <c r="E369" s="86"/>
      <c r="F369" s="85"/>
      <c r="G369" s="85"/>
    </row>
    <row r="370" spans="4:7" ht="13.5">
      <c r="D370" s="11"/>
      <c r="E370" s="86"/>
      <c r="F370" s="85"/>
      <c r="G370" s="85"/>
    </row>
    <row r="371" spans="4:7" ht="13.5">
      <c r="D371" s="11"/>
      <c r="E371" s="86"/>
      <c r="F371" s="85"/>
      <c r="G371" s="85"/>
    </row>
    <row r="372" spans="4:7" ht="13.5">
      <c r="D372" s="11"/>
      <c r="E372" s="86"/>
      <c r="F372" s="85"/>
      <c r="G372" s="85"/>
    </row>
    <row r="373" spans="4:7" ht="13.5">
      <c r="D373" s="11"/>
      <c r="E373" s="86"/>
      <c r="F373" s="85"/>
      <c r="G373" s="85"/>
    </row>
    <row r="374" spans="4:7" ht="13.5">
      <c r="D374" s="11"/>
      <c r="E374" s="86"/>
      <c r="F374" s="85"/>
      <c r="G374" s="85"/>
    </row>
    <row r="375" spans="4:7" ht="13.5">
      <c r="D375" s="11"/>
      <c r="E375" s="86"/>
      <c r="F375" s="85"/>
      <c r="G375" s="85"/>
    </row>
    <row r="376" spans="4:7" ht="13.5">
      <c r="D376" s="11"/>
      <c r="E376" s="86"/>
      <c r="F376" s="85"/>
      <c r="G376" s="85"/>
    </row>
    <row r="377" spans="4:7" ht="13.5">
      <c r="D377" s="11"/>
      <c r="E377" s="86"/>
      <c r="F377" s="85"/>
      <c r="G377" s="85"/>
    </row>
    <row r="378" spans="4:7" ht="13.5">
      <c r="D378" s="11"/>
      <c r="E378" s="86"/>
      <c r="F378" s="85"/>
      <c r="G378" s="85"/>
    </row>
    <row r="379" spans="4:7" ht="13.5">
      <c r="D379" s="11"/>
      <c r="E379" s="86"/>
      <c r="F379" s="85"/>
      <c r="G379" s="85"/>
    </row>
    <row r="380" spans="4:7" ht="13.5">
      <c r="D380" s="11"/>
      <c r="E380" s="86"/>
      <c r="F380" s="85"/>
      <c r="G380" s="85"/>
    </row>
    <row r="381" spans="4:7" ht="13.5">
      <c r="D381" s="11"/>
      <c r="E381" s="86"/>
      <c r="F381" s="85"/>
      <c r="G381" s="85"/>
    </row>
    <row r="382" spans="4:7" ht="13.5">
      <c r="D382" s="11"/>
      <c r="E382" s="86"/>
      <c r="F382" s="85"/>
      <c r="G382" s="85"/>
    </row>
    <row r="383" spans="4:7" ht="13.5">
      <c r="D383" s="11"/>
      <c r="E383" s="86"/>
      <c r="F383" s="85"/>
      <c r="G383" s="85"/>
    </row>
    <row r="384" spans="4:7" ht="13.5">
      <c r="D384" s="11"/>
      <c r="E384" s="86"/>
      <c r="F384" s="85"/>
      <c r="G384" s="85"/>
    </row>
    <row r="385" spans="4:7" ht="13.5">
      <c r="D385" s="11"/>
      <c r="E385" s="86"/>
      <c r="F385" s="85"/>
      <c r="G385" s="85"/>
    </row>
    <row r="386" spans="4:7" ht="13.5">
      <c r="D386" s="11"/>
      <c r="E386" s="86"/>
      <c r="F386" s="85"/>
      <c r="G386" s="85"/>
    </row>
    <row r="387" spans="4:7" ht="13.5">
      <c r="D387" s="11"/>
      <c r="E387" s="86"/>
      <c r="F387" s="85"/>
      <c r="G387" s="85"/>
    </row>
    <row r="388" spans="4:7" ht="13.5">
      <c r="D388" s="11"/>
      <c r="E388" s="86"/>
      <c r="F388" s="85"/>
      <c r="G388" s="85"/>
    </row>
    <row r="389" spans="4:7" ht="13.5">
      <c r="D389" s="11"/>
      <c r="E389" s="86"/>
      <c r="F389" s="85"/>
      <c r="G389" s="85"/>
    </row>
    <row r="390" spans="4:7" ht="13.5">
      <c r="D390" s="11"/>
      <c r="E390" s="86"/>
      <c r="F390" s="85"/>
      <c r="G390" s="85"/>
    </row>
    <row r="391" spans="4:7" ht="13.5">
      <c r="D391" s="11"/>
      <c r="E391" s="86"/>
      <c r="F391" s="85"/>
      <c r="G391" s="85"/>
    </row>
    <row r="392" spans="4:7" ht="13.5">
      <c r="D392" s="11"/>
      <c r="E392" s="86"/>
      <c r="F392" s="85"/>
      <c r="G392" s="85"/>
    </row>
    <row r="393" spans="4:7" ht="13.5">
      <c r="D393" s="11"/>
      <c r="E393" s="86"/>
      <c r="F393" s="85"/>
      <c r="G393" s="85"/>
    </row>
    <row r="394" spans="4:7" ht="13.5">
      <c r="D394" s="11"/>
      <c r="E394" s="86"/>
      <c r="F394" s="85"/>
      <c r="G394" s="85"/>
    </row>
    <row r="395" spans="4:7" ht="13.5">
      <c r="D395" s="11"/>
      <c r="E395" s="86"/>
      <c r="F395" s="85"/>
      <c r="G395" s="85"/>
    </row>
    <row r="396" spans="4:7" ht="13.5">
      <c r="D396" s="11"/>
      <c r="E396" s="86"/>
      <c r="F396" s="85"/>
      <c r="G396" s="85"/>
    </row>
    <row r="397" spans="4:7" ht="13.5">
      <c r="D397" s="11"/>
      <c r="E397" s="86"/>
      <c r="F397" s="85"/>
      <c r="G397" s="85"/>
    </row>
    <row r="398" spans="4:7" ht="13.5">
      <c r="D398" s="11"/>
      <c r="E398" s="86"/>
      <c r="F398" s="85"/>
      <c r="G398" s="85"/>
    </row>
    <row r="399" spans="4:7" ht="13.5">
      <c r="D399" s="11"/>
      <c r="E399" s="86"/>
      <c r="F399" s="85"/>
      <c r="G399" s="85"/>
    </row>
    <row r="400" spans="4:7" ht="13.5">
      <c r="D400" s="11"/>
      <c r="E400" s="86"/>
      <c r="F400" s="85"/>
      <c r="G400" s="85"/>
    </row>
    <row r="401" spans="4:7" ht="13.5">
      <c r="D401" s="11"/>
      <c r="E401" s="86"/>
      <c r="F401" s="85"/>
      <c r="G401" s="85"/>
    </row>
    <row r="402" spans="4:7" ht="13.5">
      <c r="D402" s="11"/>
      <c r="E402" s="86"/>
      <c r="F402" s="85"/>
      <c r="G402" s="85"/>
    </row>
    <row r="403" spans="4:7" ht="13.5">
      <c r="D403" s="11"/>
      <c r="E403" s="86"/>
      <c r="F403" s="85"/>
      <c r="G403" s="85"/>
    </row>
    <row r="404" spans="4:7" ht="13.5">
      <c r="D404" s="11"/>
      <c r="E404" s="86"/>
      <c r="F404" s="85"/>
      <c r="G404" s="85"/>
    </row>
    <row r="405" spans="4:7" ht="13.5">
      <c r="D405" s="11"/>
      <c r="E405" s="86"/>
      <c r="F405" s="85"/>
      <c r="G405" s="85"/>
    </row>
    <row r="406" spans="4:7" ht="13.5">
      <c r="D406" s="11"/>
      <c r="E406" s="86"/>
      <c r="F406" s="85"/>
      <c r="G406" s="85"/>
    </row>
    <row r="407" spans="4:7" ht="13.5">
      <c r="D407" s="11"/>
      <c r="E407" s="86"/>
      <c r="F407" s="85"/>
      <c r="G407" s="85"/>
    </row>
    <row r="408" spans="4:7" ht="13.5">
      <c r="D408" s="11"/>
      <c r="E408" s="86"/>
      <c r="F408" s="85"/>
      <c r="G408" s="85"/>
    </row>
    <row r="409" spans="4:7" ht="13.5">
      <c r="D409" s="11"/>
      <c r="E409" s="86"/>
      <c r="F409" s="85"/>
      <c r="G409" s="85"/>
    </row>
    <row r="410" spans="4:7" ht="13.5">
      <c r="D410" s="11"/>
      <c r="E410" s="86"/>
      <c r="F410" s="85"/>
      <c r="G410" s="85"/>
    </row>
    <row r="411" spans="4:7" ht="13.5">
      <c r="D411" s="11"/>
      <c r="E411" s="86"/>
      <c r="F411" s="85"/>
      <c r="G411" s="85"/>
    </row>
    <row r="412" spans="4:7" ht="13.5">
      <c r="D412" s="11"/>
      <c r="E412" s="86"/>
      <c r="F412" s="85"/>
      <c r="G412" s="85"/>
    </row>
    <row r="413" spans="4:7" ht="13.5">
      <c r="D413" s="11"/>
      <c r="E413" s="86"/>
      <c r="F413" s="85"/>
      <c r="G413" s="85"/>
    </row>
    <row r="414" spans="4:7" ht="13.5">
      <c r="D414" s="11"/>
      <c r="E414" s="86"/>
      <c r="F414" s="85"/>
      <c r="G414" s="85"/>
    </row>
    <row r="415" spans="4:7" ht="13.5">
      <c r="D415" s="11"/>
      <c r="E415" s="86"/>
      <c r="F415" s="85"/>
      <c r="G415" s="85"/>
    </row>
    <row r="416" spans="4:7" ht="13.5">
      <c r="D416" s="11"/>
      <c r="E416" s="86"/>
      <c r="F416" s="85"/>
      <c r="G416" s="85"/>
    </row>
    <row r="417" spans="4:7" ht="13.5">
      <c r="D417" s="11"/>
      <c r="E417" s="86"/>
      <c r="F417" s="85"/>
      <c r="G417" s="85"/>
    </row>
    <row r="418" spans="4:7" ht="13.5">
      <c r="D418" s="11"/>
      <c r="E418" s="86"/>
      <c r="F418" s="85"/>
      <c r="G418" s="85"/>
    </row>
    <row r="419" spans="4:7" ht="13.5">
      <c r="D419" s="11"/>
      <c r="E419" s="86"/>
      <c r="F419" s="85"/>
      <c r="G419" s="85"/>
    </row>
    <row r="420" spans="4:7" ht="13.5">
      <c r="D420" s="11"/>
      <c r="E420" s="86"/>
      <c r="F420" s="85"/>
      <c r="G420" s="85"/>
    </row>
    <row r="421" spans="4:7" ht="13.5">
      <c r="D421" s="11"/>
      <c r="E421" s="86"/>
      <c r="F421" s="85"/>
      <c r="G421" s="85"/>
    </row>
    <row r="422" spans="4:7" ht="13.5">
      <c r="D422" s="11"/>
      <c r="E422" s="86"/>
      <c r="F422" s="85"/>
      <c r="G422" s="85"/>
    </row>
    <row r="423" spans="4:7" ht="13.5">
      <c r="D423" s="11"/>
      <c r="E423" s="86"/>
      <c r="F423" s="85"/>
      <c r="G423" s="85"/>
    </row>
    <row r="424" spans="4:7" ht="13.5">
      <c r="D424" s="11"/>
      <c r="E424" s="86"/>
      <c r="F424" s="85"/>
      <c r="G424" s="85"/>
    </row>
    <row r="425" spans="4:7" ht="13.5">
      <c r="D425" s="11"/>
      <c r="E425" s="86"/>
      <c r="F425" s="85"/>
      <c r="G425" s="85"/>
    </row>
    <row r="426" spans="4:7" ht="13.5">
      <c r="D426" s="11"/>
      <c r="E426" s="86"/>
      <c r="F426" s="85"/>
      <c r="G426" s="85"/>
    </row>
    <row r="427" spans="4:7" ht="13.5">
      <c r="D427" s="11"/>
      <c r="E427" s="86"/>
      <c r="F427" s="85"/>
      <c r="G427" s="85"/>
    </row>
    <row r="428" spans="4:7" ht="13.5">
      <c r="D428" s="11"/>
      <c r="E428" s="86"/>
      <c r="F428" s="85"/>
      <c r="G428" s="85"/>
    </row>
    <row r="429" spans="4:7" ht="13.5">
      <c r="D429" s="11"/>
      <c r="E429" s="86"/>
      <c r="F429" s="85"/>
      <c r="G429" s="85"/>
    </row>
    <row r="430" spans="4:7" ht="13.5">
      <c r="D430" s="11"/>
      <c r="E430" s="86"/>
      <c r="F430" s="85"/>
      <c r="G430" s="85"/>
    </row>
    <row r="431" spans="4:7" ht="13.5">
      <c r="D431" s="11"/>
      <c r="E431" s="86"/>
      <c r="F431" s="85"/>
      <c r="G431" s="85"/>
    </row>
    <row r="432" spans="4:7" ht="13.5">
      <c r="D432" s="11"/>
      <c r="E432" s="86"/>
      <c r="F432" s="85"/>
      <c r="G432" s="85"/>
    </row>
    <row r="433" spans="4:7" ht="13.5">
      <c r="D433" s="11"/>
      <c r="E433" s="86"/>
      <c r="F433" s="85"/>
      <c r="G433" s="85"/>
    </row>
    <row r="434" spans="4:7" ht="13.5">
      <c r="D434" s="11"/>
      <c r="E434" s="86"/>
      <c r="F434" s="85"/>
      <c r="G434" s="85"/>
    </row>
    <row r="435" spans="4:7" ht="13.5">
      <c r="D435" s="11"/>
      <c r="E435" s="86"/>
      <c r="F435" s="85"/>
      <c r="G435" s="85"/>
    </row>
    <row r="436" spans="4:7" ht="13.5">
      <c r="D436" s="11"/>
      <c r="E436" s="86"/>
      <c r="F436" s="85"/>
      <c r="G436" s="85"/>
    </row>
    <row r="437" spans="4:7" ht="13.5">
      <c r="D437" s="11"/>
      <c r="E437" s="86"/>
      <c r="F437" s="85"/>
      <c r="G437" s="85"/>
    </row>
    <row r="438" spans="4:7" ht="13.5">
      <c r="D438" s="11"/>
      <c r="E438" s="86"/>
      <c r="F438" s="85"/>
      <c r="G438" s="85"/>
    </row>
    <row r="439" spans="4:7" ht="13.5">
      <c r="D439" s="11"/>
      <c r="E439" s="86"/>
      <c r="F439" s="85"/>
      <c r="G439" s="85"/>
    </row>
    <row r="440" spans="4:7" ht="13.5">
      <c r="D440" s="11"/>
      <c r="E440" s="86"/>
      <c r="F440" s="85"/>
      <c r="G440" s="85"/>
    </row>
    <row r="441" spans="4:7" ht="13.5">
      <c r="D441" s="11"/>
      <c r="E441" s="86"/>
      <c r="F441" s="85"/>
      <c r="G441" s="85"/>
    </row>
    <row r="442" spans="4:7" ht="13.5">
      <c r="D442" s="11"/>
      <c r="E442" s="86"/>
      <c r="F442" s="85"/>
      <c r="G442" s="85"/>
    </row>
    <row r="443" spans="4:7" ht="13.5">
      <c r="D443" s="11"/>
      <c r="E443" s="86"/>
      <c r="F443" s="85"/>
      <c r="G443" s="85"/>
    </row>
    <row r="444" spans="4:7" ht="13.5">
      <c r="D444" s="11"/>
      <c r="E444" s="86"/>
      <c r="F444" s="85"/>
      <c r="G444" s="85"/>
    </row>
    <row r="445" spans="4:7" ht="13.5">
      <c r="D445" s="11"/>
      <c r="E445" s="86"/>
      <c r="F445" s="85"/>
      <c r="G445" s="85"/>
    </row>
    <row r="446" spans="4:7" ht="13.5">
      <c r="D446" s="11"/>
      <c r="E446" s="86"/>
      <c r="F446" s="85"/>
      <c r="G446" s="85"/>
    </row>
    <row r="447" spans="4:7" ht="13.5">
      <c r="D447" s="11"/>
      <c r="E447" s="86"/>
      <c r="F447" s="85"/>
      <c r="G447" s="85"/>
    </row>
    <row r="448" spans="4:7" ht="13.5">
      <c r="D448" s="11"/>
      <c r="E448" s="86"/>
      <c r="F448" s="85"/>
      <c r="G448" s="85"/>
    </row>
    <row r="449" spans="4:7" ht="13.5">
      <c r="D449" s="11"/>
      <c r="E449" s="86"/>
      <c r="F449" s="85"/>
      <c r="G449" s="85"/>
    </row>
    <row r="450" spans="4:7" ht="13.5">
      <c r="D450" s="11"/>
      <c r="E450" s="86"/>
      <c r="F450" s="85"/>
      <c r="G450" s="85"/>
    </row>
    <row r="451" spans="4:7" ht="13.5">
      <c r="D451" s="11"/>
      <c r="E451" s="86"/>
      <c r="F451" s="85"/>
      <c r="G451" s="85"/>
    </row>
    <row r="452" spans="4:7" ht="13.5">
      <c r="D452" s="11"/>
      <c r="E452" s="86"/>
      <c r="F452" s="85"/>
      <c r="G452" s="85"/>
    </row>
    <row r="453" spans="4:7" ht="13.5">
      <c r="D453" s="11"/>
      <c r="E453" s="86"/>
      <c r="F453" s="85"/>
      <c r="G453" s="85"/>
    </row>
    <row r="454" spans="4:7" ht="13.5">
      <c r="D454" s="11"/>
      <c r="E454" s="86"/>
      <c r="F454" s="85"/>
      <c r="G454" s="85"/>
    </row>
    <row r="455" spans="4:7" ht="13.5">
      <c r="D455" s="11"/>
      <c r="E455" s="86"/>
      <c r="F455" s="85"/>
      <c r="G455" s="85"/>
    </row>
    <row r="456" spans="4:7" ht="13.5">
      <c r="D456" s="11"/>
      <c r="E456" s="86"/>
      <c r="F456" s="85"/>
      <c r="G456" s="85"/>
    </row>
    <row r="457" spans="4:7" ht="13.5">
      <c r="D457" s="11"/>
      <c r="E457" s="86"/>
      <c r="F457" s="85"/>
      <c r="G457" s="85"/>
    </row>
    <row r="458" spans="4:7" ht="13.5">
      <c r="D458" s="11"/>
      <c r="E458" s="86"/>
      <c r="F458" s="85"/>
      <c r="G458" s="85"/>
    </row>
    <row r="459" spans="4:7" ht="13.5">
      <c r="D459" s="11"/>
      <c r="E459" s="86"/>
      <c r="F459" s="85"/>
      <c r="G459" s="85"/>
    </row>
    <row r="460" spans="4:7" ht="13.5">
      <c r="D460" s="11"/>
      <c r="E460" s="86"/>
      <c r="F460" s="85"/>
      <c r="G460" s="85"/>
    </row>
    <row r="461" spans="4:7" ht="13.5">
      <c r="D461" s="11"/>
      <c r="E461" s="86"/>
      <c r="F461" s="85"/>
      <c r="G461" s="85"/>
    </row>
    <row r="462" spans="4:7" ht="13.5">
      <c r="D462" s="11"/>
      <c r="E462" s="86"/>
      <c r="F462" s="85"/>
      <c r="G462" s="85"/>
    </row>
    <row r="463" spans="4:7" ht="13.5">
      <c r="D463" s="11"/>
      <c r="E463" s="86"/>
      <c r="F463" s="85"/>
      <c r="G463" s="85"/>
    </row>
    <row r="464" spans="4:7" ht="13.5">
      <c r="D464" s="11"/>
      <c r="E464" s="86"/>
      <c r="F464" s="85"/>
      <c r="G464" s="85"/>
    </row>
    <row r="465" spans="4:7" ht="13.5">
      <c r="D465" s="11"/>
      <c r="E465" s="86"/>
      <c r="F465" s="85"/>
      <c r="G465" s="85"/>
    </row>
    <row r="466" spans="4:7" ht="13.5">
      <c r="D466" s="11"/>
      <c r="E466" s="86"/>
      <c r="F466" s="85"/>
      <c r="G466" s="85"/>
    </row>
    <row r="467" spans="4:7" ht="13.5">
      <c r="D467" s="11"/>
      <c r="E467" s="86"/>
      <c r="F467" s="85"/>
      <c r="G467" s="85"/>
    </row>
    <row r="468" spans="4:7" ht="13.5">
      <c r="D468" s="11"/>
      <c r="E468" s="86"/>
      <c r="F468" s="85"/>
      <c r="G468" s="85"/>
    </row>
    <row r="469" spans="4:7" ht="13.5">
      <c r="D469" s="11"/>
      <c r="E469" s="86"/>
      <c r="F469" s="85"/>
      <c r="G469" s="85"/>
    </row>
    <row r="470" spans="4:7" ht="13.5">
      <c r="D470" s="11"/>
      <c r="E470" s="86"/>
      <c r="F470" s="85"/>
      <c r="G470" s="85"/>
    </row>
    <row r="471" spans="4:7" ht="13.5">
      <c r="D471" s="11"/>
      <c r="E471" s="86"/>
      <c r="F471" s="85"/>
      <c r="G471" s="85"/>
    </row>
    <row r="472" spans="4:7" ht="13.5">
      <c r="D472" s="11"/>
      <c r="E472" s="86"/>
      <c r="F472" s="85"/>
      <c r="G472" s="85"/>
    </row>
    <row r="473" spans="4:7" ht="13.5">
      <c r="D473" s="11"/>
      <c r="E473" s="86"/>
      <c r="F473" s="85"/>
      <c r="G473" s="85"/>
    </row>
    <row r="474" spans="4:7" ht="13.5">
      <c r="D474" s="11"/>
      <c r="E474" s="86"/>
      <c r="F474" s="85"/>
      <c r="G474" s="85"/>
    </row>
    <row r="475" spans="4:7" ht="13.5">
      <c r="D475" s="11"/>
      <c r="E475" s="86"/>
      <c r="F475" s="85"/>
      <c r="G475" s="85"/>
    </row>
    <row r="476" spans="4:7" ht="13.5">
      <c r="D476" s="11"/>
      <c r="E476" s="86"/>
      <c r="F476" s="85"/>
      <c r="G476" s="85"/>
    </row>
    <row r="477" spans="4:7" ht="13.5">
      <c r="D477" s="11"/>
      <c r="E477" s="86"/>
      <c r="F477" s="85"/>
      <c r="G477" s="85"/>
    </row>
    <row r="478" spans="4:7" ht="13.5">
      <c r="D478" s="11"/>
      <c r="E478" s="86"/>
      <c r="F478" s="85"/>
      <c r="G478" s="85"/>
    </row>
    <row r="479" spans="4:7" ht="13.5">
      <c r="D479" s="11"/>
      <c r="E479" s="86"/>
      <c r="F479" s="85"/>
      <c r="G479" s="85"/>
    </row>
    <row r="480" spans="4:7" ht="13.5">
      <c r="D480" s="11"/>
      <c r="E480" s="86"/>
      <c r="F480" s="85"/>
      <c r="G480" s="85"/>
    </row>
    <row r="481" spans="4:7" ht="13.5">
      <c r="D481" s="11"/>
      <c r="E481" s="86"/>
      <c r="F481" s="85"/>
      <c r="G481" s="85"/>
    </row>
    <row r="482" spans="4:7" ht="13.5">
      <c r="D482" s="11"/>
      <c r="E482" s="86"/>
      <c r="F482" s="85"/>
      <c r="G482" s="85"/>
    </row>
    <row r="483" spans="4:7" ht="13.5">
      <c r="D483" s="11"/>
      <c r="E483" s="86"/>
      <c r="F483" s="85"/>
      <c r="G483" s="85"/>
    </row>
    <row r="484" spans="4:7" ht="13.5">
      <c r="D484" s="11"/>
      <c r="E484" s="86"/>
      <c r="F484" s="85"/>
      <c r="G484" s="85"/>
    </row>
    <row r="485" spans="4:7" ht="13.5">
      <c r="D485" s="11"/>
      <c r="E485" s="86"/>
      <c r="F485" s="85"/>
      <c r="G485" s="85"/>
    </row>
    <row r="486" spans="4:7" ht="13.5">
      <c r="D486" s="11"/>
      <c r="E486" s="86"/>
      <c r="F486" s="85"/>
      <c r="G486" s="85"/>
    </row>
    <row r="487" spans="4:7" ht="13.5">
      <c r="D487" s="11"/>
      <c r="E487" s="86"/>
      <c r="F487" s="85"/>
      <c r="G487" s="85"/>
    </row>
    <row r="488" spans="4:7" ht="13.5">
      <c r="D488" s="11"/>
      <c r="E488" s="86"/>
      <c r="F488" s="85"/>
      <c r="G488" s="85"/>
    </row>
    <row r="489" spans="4:7" ht="13.5">
      <c r="D489" s="11"/>
      <c r="E489" s="86"/>
      <c r="F489" s="85"/>
      <c r="G489" s="85"/>
    </row>
    <row r="490" spans="4:7" ht="13.5">
      <c r="D490" s="11"/>
      <c r="E490" s="86"/>
      <c r="F490" s="85"/>
      <c r="G490" s="85"/>
    </row>
    <row r="491" spans="4:7" ht="13.5">
      <c r="D491" s="11"/>
      <c r="E491" s="86"/>
      <c r="F491" s="85"/>
      <c r="G491" s="85"/>
    </row>
    <row r="492" spans="4:7" ht="13.5">
      <c r="D492" s="11"/>
      <c r="E492" s="86"/>
      <c r="F492" s="85"/>
      <c r="G492" s="85"/>
    </row>
    <row r="493" spans="4:7" ht="13.5">
      <c r="D493" s="11"/>
      <c r="E493" s="86"/>
      <c r="F493" s="85"/>
      <c r="G493" s="85"/>
    </row>
    <row r="494" spans="4:7" ht="13.5">
      <c r="D494" s="11"/>
      <c r="E494" s="86"/>
      <c r="F494" s="85"/>
      <c r="G494" s="85"/>
    </row>
    <row r="495" spans="4:7" ht="13.5">
      <c r="D495" s="11"/>
      <c r="E495" s="86"/>
      <c r="F495" s="85"/>
      <c r="G495" s="85"/>
    </row>
    <row r="496" spans="4:7" ht="13.5">
      <c r="D496" s="11"/>
      <c r="E496" s="86"/>
      <c r="F496" s="85"/>
      <c r="G496" s="85"/>
    </row>
    <row r="497" spans="4:7" ht="13.5">
      <c r="D497" s="11"/>
      <c r="E497" s="86"/>
      <c r="F497" s="85"/>
      <c r="G497" s="85"/>
    </row>
    <row r="498" spans="4:7" ht="13.5">
      <c r="D498" s="11"/>
      <c r="E498" s="86"/>
      <c r="F498" s="85"/>
      <c r="G498" s="85"/>
    </row>
    <row r="499" spans="4:7" ht="13.5">
      <c r="D499" s="11"/>
      <c r="E499" s="86"/>
      <c r="F499" s="85"/>
      <c r="G499" s="85"/>
    </row>
    <row r="500" spans="4:7" ht="13.5">
      <c r="D500" s="11"/>
      <c r="E500" s="86"/>
      <c r="F500" s="85"/>
      <c r="G500" s="85"/>
    </row>
    <row r="501" spans="4:7" ht="13.5">
      <c r="D501" s="11"/>
      <c r="E501" s="86"/>
      <c r="F501" s="85"/>
      <c r="G501" s="85"/>
    </row>
    <row r="502" spans="4:7" ht="13.5">
      <c r="D502" s="11"/>
      <c r="E502" s="86"/>
      <c r="F502" s="85"/>
      <c r="G502" s="85"/>
    </row>
    <row r="503" spans="4:7" ht="13.5">
      <c r="D503" s="11"/>
      <c r="E503" s="86"/>
      <c r="F503" s="85"/>
      <c r="G503" s="85"/>
    </row>
    <row r="504" spans="4:7" ht="13.5">
      <c r="D504" s="11"/>
      <c r="E504" s="86"/>
      <c r="F504" s="85"/>
      <c r="G504" s="85"/>
    </row>
    <row r="505" spans="4:7" ht="13.5">
      <c r="D505" s="11"/>
      <c r="E505" s="86"/>
      <c r="F505" s="85"/>
      <c r="G505" s="85"/>
    </row>
    <row r="506" spans="4:7" ht="13.5">
      <c r="D506" s="11"/>
      <c r="E506" s="86"/>
      <c r="F506" s="85"/>
      <c r="G506" s="85"/>
    </row>
    <row r="507" spans="4:7" ht="13.5">
      <c r="D507" s="11"/>
      <c r="E507" s="86"/>
      <c r="F507" s="85"/>
      <c r="G507" s="85"/>
    </row>
    <row r="508" spans="4:7" ht="13.5">
      <c r="D508" s="11"/>
      <c r="E508" s="86"/>
      <c r="F508" s="85"/>
      <c r="G508" s="85"/>
    </row>
    <row r="509" spans="4:7" ht="13.5">
      <c r="D509" s="11"/>
      <c r="E509" s="86"/>
      <c r="F509" s="85"/>
      <c r="G509" s="85"/>
    </row>
    <row r="510" spans="4:7" ht="13.5">
      <c r="D510" s="11"/>
      <c r="E510" s="86"/>
      <c r="F510" s="85"/>
      <c r="G510" s="85"/>
    </row>
    <row r="511" spans="4:7" ht="13.5">
      <c r="D511" s="11"/>
      <c r="E511" s="86"/>
      <c r="F511" s="85"/>
      <c r="G511" s="85"/>
    </row>
    <row r="512" spans="4:7" ht="13.5">
      <c r="D512" s="11"/>
      <c r="E512" s="86"/>
      <c r="F512" s="85"/>
      <c r="G512" s="85"/>
    </row>
    <row r="513" spans="4:7" ht="13.5">
      <c r="D513" s="11"/>
      <c r="E513" s="86"/>
      <c r="F513" s="85"/>
      <c r="G513" s="85"/>
    </row>
    <row r="514" spans="4:7" ht="13.5">
      <c r="D514" s="11"/>
      <c r="E514" s="86"/>
      <c r="F514" s="85"/>
      <c r="G514" s="85"/>
    </row>
    <row r="515" spans="4:7" ht="13.5">
      <c r="D515" s="11"/>
      <c r="E515" s="86"/>
      <c r="F515" s="85"/>
      <c r="G515" s="85"/>
    </row>
    <row r="516" spans="4:7" ht="13.5">
      <c r="D516" s="11"/>
      <c r="E516" s="86"/>
      <c r="F516" s="85"/>
      <c r="G516" s="85"/>
    </row>
    <row r="517" spans="4:7" ht="13.5">
      <c r="D517" s="11"/>
      <c r="E517" s="86"/>
      <c r="F517" s="85"/>
      <c r="G517" s="85"/>
    </row>
    <row r="518" spans="4:7" ht="13.5">
      <c r="D518" s="11"/>
      <c r="E518" s="86"/>
      <c r="F518" s="85"/>
      <c r="G518" s="85"/>
    </row>
    <row r="519" spans="4:7" ht="13.5">
      <c r="D519" s="11"/>
      <c r="E519" s="86"/>
      <c r="F519" s="85"/>
      <c r="G519" s="85"/>
    </row>
    <row r="520" spans="4:7" ht="13.5">
      <c r="D520" s="11"/>
      <c r="E520" s="86"/>
      <c r="F520" s="85"/>
      <c r="G520" s="85"/>
    </row>
    <row r="521" spans="4:7" ht="13.5">
      <c r="D521" s="11"/>
      <c r="E521" s="86"/>
      <c r="F521" s="85"/>
      <c r="G521" s="85"/>
    </row>
    <row r="522" spans="4:7" ht="13.5">
      <c r="D522" s="11"/>
      <c r="E522" s="86"/>
      <c r="F522" s="85"/>
      <c r="G522" s="85"/>
    </row>
    <row r="523" spans="4:7" ht="13.5">
      <c r="D523" s="11"/>
      <c r="E523" s="86"/>
      <c r="F523" s="85"/>
      <c r="G523" s="85"/>
    </row>
    <row r="524" spans="4:7" ht="13.5">
      <c r="D524" s="11"/>
      <c r="E524" s="86"/>
      <c r="F524" s="85"/>
      <c r="G524" s="85"/>
    </row>
    <row r="525" spans="4:7" ht="13.5">
      <c r="D525" s="11"/>
      <c r="E525" s="86"/>
      <c r="F525" s="85"/>
      <c r="G525" s="85"/>
    </row>
    <row r="526" spans="4:7" ht="13.5">
      <c r="D526" s="11"/>
      <c r="E526" s="86"/>
      <c r="F526" s="85"/>
      <c r="G526" s="85"/>
    </row>
    <row r="527" spans="4:7" ht="13.5">
      <c r="D527" s="11"/>
      <c r="E527" s="86"/>
      <c r="F527" s="85"/>
      <c r="G527" s="85"/>
    </row>
    <row r="528" spans="4:7" ht="13.5">
      <c r="D528" s="11"/>
      <c r="E528" s="86"/>
      <c r="F528" s="85"/>
      <c r="G528" s="85"/>
    </row>
    <row r="529" spans="4:7" ht="13.5">
      <c r="D529" s="11"/>
      <c r="E529" s="86"/>
      <c r="F529" s="85"/>
      <c r="G529" s="85"/>
    </row>
    <row r="530" spans="4:7" ht="13.5">
      <c r="D530" s="11"/>
      <c r="E530" s="86"/>
      <c r="F530" s="85"/>
      <c r="G530" s="85"/>
    </row>
    <row r="531" spans="4:7" ht="13.5">
      <c r="D531" s="11"/>
      <c r="E531" s="86"/>
      <c r="F531" s="85"/>
      <c r="G531" s="85"/>
    </row>
    <row r="532" spans="4:7" ht="13.5">
      <c r="D532" s="11"/>
      <c r="E532" s="86"/>
      <c r="F532" s="85"/>
      <c r="G532" s="85"/>
    </row>
    <row r="533" spans="4:7" ht="13.5">
      <c r="D533" s="11"/>
      <c r="E533" s="86"/>
      <c r="F533" s="85"/>
      <c r="G533" s="85"/>
    </row>
    <row r="534" spans="4:7" ht="13.5">
      <c r="D534" s="11"/>
      <c r="E534" s="86"/>
      <c r="F534" s="85"/>
      <c r="G534" s="85"/>
    </row>
    <row r="535" spans="4:7" ht="13.5">
      <c r="D535" s="11"/>
      <c r="E535" s="86"/>
      <c r="F535" s="85"/>
      <c r="G535" s="85"/>
    </row>
    <row r="536" spans="4:7" ht="13.5">
      <c r="D536" s="11"/>
      <c r="E536" s="86"/>
      <c r="F536" s="85"/>
      <c r="G536" s="85"/>
    </row>
    <row r="537" spans="4:7" ht="13.5">
      <c r="D537" s="11"/>
      <c r="E537" s="86"/>
      <c r="F537" s="85"/>
      <c r="G537" s="85"/>
    </row>
    <row r="538" spans="4:7" ht="13.5">
      <c r="D538" s="11"/>
      <c r="E538" s="86"/>
      <c r="F538" s="85"/>
      <c r="G538" s="85"/>
    </row>
    <row r="539" spans="4:7" ht="13.5">
      <c r="D539" s="11"/>
      <c r="E539" s="86"/>
      <c r="F539" s="85"/>
      <c r="G539" s="85"/>
    </row>
    <row r="540" spans="4:7" ht="13.5">
      <c r="D540" s="11"/>
      <c r="E540" s="86"/>
      <c r="F540" s="85"/>
      <c r="G540" s="85"/>
    </row>
    <row r="541" spans="4:7" ht="13.5">
      <c r="D541" s="11"/>
      <c r="E541" s="86"/>
      <c r="F541" s="85"/>
      <c r="G541" s="85"/>
    </row>
    <row r="542" spans="4:7" ht="13.5">
      <c r="D542" s="11"/>
      <c r="E542" s="86"/>
      <c r="F542" s="85"/>
      <c r="G542" s="85"/>
    </row>
    <row r="543" spans="4:7" ht="13.5">
      <c r="D543" s="11"/>
      <c r="E543" s="86"/>
      <c r="F543" s="85"/>
      <c r="G543" s="85"/>
    </row>
    <row r="544" spans="4:7" ht="13.5">
      <c r="D544" s="11"/>
      <c r="E544" s="86"/>
      <c r="F544" s="85"/>
      <c r="G544" s="85"/>
    </row>
    <row r="545" spans="4:7" ht="13.5">
      <c r="D545" s="11"/>
      <c r="E545" s="86"/>
      <c r="F545" s="85"/>
      <c r="G545" s="85"/>
    </row>
    <row r="546" spans="4:7" ht="13.5">
      <c r="D546" s="11"/>
      <c r="E546" s="86"/>
      <c r="F546" s="85"/>
      <c r="G546" s="85"/>
    </row>
    <row r="547" spans="4:7" ht="13.5">
      <c r="D547" s="11"/>
      <c r="E547" s="86"/>
      <c r="F547" s="85"/>
      <c r="G547" s="85"/>
    </row>
    <row r="548" spans="4:7" ht="13.5">
      <c r="D548" s="11"/>
      <c r="E548" s="86"/>
      <c r="F548" s="85"/>
      <c r="G548" s="85"/>
    </row>
    <row r="549" spans="4:7" ht="13.5">
      <c r="D549" s="11"/>
      <c r="E549" s="86"/>
      <c r="F549" s="85"/>
      <c r="G549" s="85"/>
    </row>
    <row r="550" spans="4:7" ht="13.5">
      <c r="D550" s="11"/>
      <c r="E550" s="86"/>
      <c r="F550" s="85"/>
      <c r="G550" s="85"/>
    </row>
    <row r="551" spans="4:7" ht="13.5">
      <c r="D551" s="11"/>
      <c r="E551" s="86"/>
      <c r="F551" s="85"/>
      <c r="G551" s="85"/>
    </row>
    <row r="552" spans="4:7" ht="13.5">
      <c r="D552" s="11"/>
      <c r="E552" s="86"/>
      <c r="F552" s="85"/>
      <c r="G552" s="85"/>
    </row>
    <row r="553" spans="4:7" ht="13.5">
      <c r="D553" s="11"/>
      <c r="E553" s="86"/>
      <c r="F553" s="85"/>
      <c r="G553" s="85"/>
    </row>
    <row r="554" spans="4:7" ht="13.5">
      <c r="D554" s="11"/>
      <c r="E554" s="86"/>
      <c r="F554" s="85"/>
      <c r="G554" s="85"/>
    </row>
    <row r="555" spans="4:7" ht="13.5">
      <c r="D555" s="11"/>
      <c r="E555" s="86"/>
      <c r="F555" s="85"/>
      <c r="G555" s="85"/>
    </row>
    <row r="556" spans="4:7" ht="13.5">
      <c r="D556" s="11"/>
      <c r="E556" s="86"/>
      <c r="F556" s="85"/>
      <c r="G556" s="85"/>
    </row>
    <row r="557" spans="4:7" ht="13.5">
      <c r="D557" s="11"/>
      <c r="E557" s="86"/>
      <c r="F557" s="85"/>
      <c r="G557" s="85"/>
    </row>
    <row r="558" spans="4:7" ht="13.5">
      <c r="D558" s="11"/>
      <c r="E558" s="86"/>
      <c r="F558" s="85"/>
      <c r="G558" s="85"/>
    </row>
    <row r="559" spans="4:7" ht="13.5">
      <c r="D559" s="11"/>
      <c r="E559" s="86"/>
      <c r="F559" s="85"/>
      <c r="G559" s="85"/>
    </row>
    <row r="560" spans="4:7" ht="13.5">
      <c r="D560" s="11"/>
      <c r="E560" s="86"/>
      <c r="F560" s="85"/>
      <c r="G560" s="85"/>
    </row>
    <row r="561" spans="4:7" ht="13.5">
      <c r="D561" s="11"/>
      <c r="E561" s="86"/>
      <c r="F561" s="85"/>
      <c r="G561" s="85"/>
    </row>
    <row r="562" spans="4:7" ht="13.5">
      <c r="D562" s="11"/>
      <c r="E562" s="86"/>
      <c r="F562" s="85"/>
      <c r="G562" s="85"/>
    </row>
    <row r="563" spans="4:7" ht="13.5">
      <c r="D563" s="11"/>
      <c r="E563" s="86"/>
      <c r="F563" s="85"/>
      <c r="G563" s="85"/>
    </row>
    <row r="564" spans="4:7" ht="13.5">
      <c r="D564" s="11"/>
      <c r="E564" s="86"/>
      <c r="F564" s="85"/>
      <c r="G564" s="85"/>
    </row>
    <row r="565" spans="4:7" ht="13.5">
      <c r="D565" s="11"/>
      <c r="E565" s="86"/>
      <c r="F565" s="85"/>
      <c r="G565" s="85"/>
    </row>
    <row r="566" spans="4:7" ht="13.5">
      <c r="D566" s="11"/>
      <c r="E566" s="86"/>
      <c r="F566" s="85"/>
      <c r="G566" s="85"/>
    </row>
    <row r="567" spans="4:7" ht="13.5">
      <c r="D567" s="11"/>
      <c r="E567" s="86"/>
      <c r="F567" s="85"/>
      <c r="G567" s="85"/>
    </row>
    <row r="568" spans="4:7" ht="13.5">
      <c r="D568" s="11"/>
      <c r="E568" s="86"/>
      <c r="F568" s="85"/>
      <c r="G568" s="85"/>
    </row>
    <row r="569" spans="4:7" ht="13.5">
      <c r="D569" s="11"/>
      <c r="E569" s="86"/>
      <c r="F569" s="85"/>
      <c r="G569" s="85"/>
    </row>
    <row r="570" spans="4:7" ht="13.5">
      <c r="D570" s="11"/>
      <c r="E570" s="86"/>
      <c r="F570" s="85"/>
      <c r="G570" s="85"/>
    </row>
    <row r="571" spans="4:7" ht="13.5">
      <c r="D571" s="11"/>
      <c r="E571" s="86"/>
      <c r="F571" s="85"/>
      <c r="G571" s="85"/>
    </row>
    <row r="572" spans="4:7" ht="13.5">
      <c r="D572" s="11"/>
      <c r="E572" s="86"/>
      <c r="F572" s="85"/>
      <c r="G572" s="85"/>
    </row>
    <row r="573" spans="4:7" ht="13.5">
      <c r="D573" s="11"/>
      <c r="E573" s="86"/>
      <c r="F573" s="85"/>
      <c r="G573" s="85"/>
    </row>
    <row r="574" spans="4:7" ht="13.5">
      <c r="D574" s="11"/>
      <c r="E574" s="86"/>
      <c r="F574" s="85"/>
      <c r="G574" s="85"/>
    </row>
    <row r="575" spans="4:7" ht="13.5">
      <c r="D575" s="11"/>
      <c r="E575" s="86"/>
      <c r="F575" s="85"/>
      <c r="G575" s="85"/>
    </row>
    <row r="576" spans="4:7" ht="13.5">
      <c r="D576" s="11"/>
      <c r="E576" s="86"/>
      <c r="F576" s="85"/>
      <c r="G576" s="85"/>
    </row>
    <row r="577" spans="4:7" ht="13.5">
      <c r="D577" s="11"/>
      <c r="E577" s="86"/>
      <c r="F577" s="85"/>
      <c r="G577" s="85"/>
    </row>
    <row r="578" spans="4:7" ht="13.5">
      <c r="D578" s="11"/>
      <c r="E578" s="86"/>
      <c r="F578" s="85"/>
      <c r="G578" s="85"/>
    </row>
    <row r="579" spans="4:7" ht="13.5">
      <c r="D579" s="11"/>
      <c r="E579" s="86"/>
      <c r="F579" s="85"/>
      <c r="G579" s="85"/>
    </row>
    <row r="580" spans="4:7" ht="13.5">
      <c r="D580" s="11"/>
      <c r="E580" s="86"/>
      <c r="F580" s="85"/>
      <c r="G580" s="85"/>
    </row>
    <row r="581" spans="4:7" ht="13.5">
      <c r="D581" s="11"/>
      <c r="E581" s="86"/>
      <c r="F581" s="85"/>
      <c r="G581" s="85"/>
    </row>
    <row r="582" spans="4:7" ht="13.5">
      <c r="D582" s="11"/>
      <c r="E582" s="86"/>
      <c r="F582" s="85"/>
      <c r="G582" s="85"/>
    </row>
    <row r="583" spans="4:7" ht="13.5">
      <c r="D583" s="11"/>
      <c r="E583" s="86"/>
      <c r="F583" s="85"/>
      <c r="G583" s="85"/>
    </row>
    <row r="584" spans="4:7" ht="13.5">
      <c r="D584" s="11"/>
      <c r="E584" s="86"/>
      <c r="F584" s="85"/>
      <c r="G584" s="85"/>
    </row>
    <row r="585" spans="4:7" ht="13.5">
      <c r="D585" s="11"/>
      <c r="E585" s="86"/>
      <c r="F585" s="85"/>
      <c r="G585" s="85"/>
    </row>
    <row r="586" spans="4:7" ht="13.5">
      <c r="D586" s="11"/>
      <c r="E586" s="86"/>
      <c r="F586" s="85"/>
      <c r="G586" s="85"/>
    </row>
    <row r="587" spans="4:7" ht="13.5">
      <c r="D587" s="11"/>
      <c r="E587" s="86"/>
      <c r="F587" s="85"/>
      <c r="G587" s="85"/>
    </row>
    <row r="588" spans="4:7" ht="13.5">
      <c r="D588" s="11"/>
      <c r="E588" s="86"/>
      <c r="F588" s="85"/>
      <c r="G588" s="85"/>
    </row>
    <row r="589" spans="4:7" ht="13.5">
      <c r="D589" s="11"/>
      <c r="E589" s="86"/>
      <c r="F589" s="85"/>
      <c r="G589" s="85"/>
    </row>
    <row r="590" spans="4:7" ht="13.5">
      <c r="D590" s="11"/>
      <c r="E590" s="86"/>
      <c r="F590" s="85"/>
      <c r="G590" s="85"/>
    </row>
    <row r="591" spans="4:7" ht="13.5">
      <c r="D591" s="11"/>
      <c r="E591" s="86"/>
      <c r="F591" s="85"/>
      <c r="G591" s="85"/>
    </row>
    <row r="592" spans="4:7" ht="13.5">
      <c r="D592" s="11"/>
      <c r="E592" s="86"/>
      <c r="F592" s="85"/>
      <c r="G592" s="85"/>
    </row>
    <row r="593" spans="4:7" ht="13.5">
      <c r="D593" s="11"/>
      <c r="E593" s="86"/>
      <c r="F593" s="85"/>
      <c r="G593" s="85"/>
    </row>
    <row r="594" spans="4:7" ht="13.5">
      <c r="D594" s="11"/>
      <c r="E594" s="86"/>
      <c r="F594" s="85"/>
      <c r="G594" s="85"/>
    </row>
    <row r="595" spans="4:7" ht="13.5">
      <c r="D595" s="11"/>
      <c r="E595" s="86"/>
      <c r="F595" s="85"/>
      <c r="G595" s="85"/>
    </row>
    <row r="596" spans="4:7" ht="13.5">
      <c r="D596" s="11"/>
      <c r="E596" s="86"/>
      <c r="F596" s="85"/>
      <c r="G596" s="85"/>
    </row>
    <row r="597" spans="4:7" ht="13.5">
      <c r="D597" s="11"/>
      <c r="E597" s="86"/>
      <c r="F597" s="85"/>
      <c r="G597" s="85"/>
    </row>
    <row r="598" spans="4:7" ht="13.5">
      <c r="D598" s="11"/>
      <c r="E598" s="86"/>
      <c r="F598" s="85"/>
      <c r="G598" s="85"/>
    </row>
    <row r="599" spans="4:7" ht="13.5">
      <c r="D599" s="11"/>
      <c r="E599" s="86"/>
      <c r="F599" s="85"/>
      <c r="G599" s="85"/>
    </row>
    <row r="600" spans="4:7" ht="13.5">
      <c r="D600" s="11"/>
      <c r="E600" s="86"/>
      <c r="F600" s="85"/>
      <c r="G600" s="85"/>
    </row>
    <row r="601" spans="4:7" ht="13.5">
      <c r="D601" s="11"/>
      <c r="E601" s="86"/>
      <c r="F601" s="85"/>
      <c r="G601" s="85"/>
    </row>
    <row r="602" spans="4:7" ht="13.5">
      <c r="D602" s="11"/>
      <c r="E602" s="86"/>
      <c r="F602" s="85"/>
      <c r="G602" s="85"/>
    </row>
    <row r="603" spans="4:7" ht="13.5">
      <c r="D603" s="11"/>
      <c r="E603" s="86"/>
      <c r="F603" s="85"/>
      <c r="G603" s="85"/>
    </row>
    <row r="604" spans="4:7" ht="13.5">
      <c r="D604" s="11"/>
      <c r="E604" s="86"/>
      <c r="F604" s="85"/>
      <c r="G604" s="85"/>
    </row>
    <row r="605" spans="4:7" ht="13.5">
      <c r="D605" s="11"/>
      <c r="E605" s="86"/>
      <c r="F605" s="85"/>
      <c r="G605" s="85"/>
    </row>
    <row r="606" spans="4:7" ht="13.5">
      <c r="D606" s="11"/>
      <c r="E606" s="86"/>
      <c r="F606" s="85"/>
      <c r="G606" s="85"/>
    </row>
    <row r="607" spans="4:7" ht="13.5">
      <c r="D607" s="11"/>
      <c r="E607" s="86"/>
      <c r="F607" s="85"/>
      <c r="G607" s="85"/>
    </row>
    <row r="608" spans="4:7" ht="13.5">
      <c r="D608" s="11"/>
      <c r="E608" s="86"/>
      <c r="F608" s="85"/>
      <c r="G608" s="85"/>
    </row>
    <row r="609" spans="4:7" ht="13.5">
      <c r="D609" s="11"/>
      <c r="E609" s="86"/>
      <c r="F609" s="85"/>
      <c r="G609" s="85"/>
    </row>
    <row r="610" spans="4:7" ht="13.5">
      <c r="D610" s="11"/>
      <c r="E610" s="86"/>
      <c r="F610" s="85"/>
      <c r="G610" s="85"/>
    </row>
    <row r="611" spans="4:7" ht="13.5">
      <c r="D611" s="11"/>
      <c r="E611" s="86"/>
      <c r="F611" s="85"/>
      <c r="G611" s="85"/>
    </row>
    <row r="612" spans="4:7" ht="13.5">
      <c r="D612" s="11"/>
      <c r="E612" s="86"/>
      <c r="F612" s="85"/>
      <c r="G612" s="85"/>
    </row>
    <row r="613" spans="4:7" ht="13.5">
      <c r="D613" s="11"/>
      <c r="E613" s="86"/>
      <c r="F613" s="85"/>
      <c r="G613" s="85"/>
    </row>
    <row r="614" spans="4:7" ht="13.5">
      <c r="D614" s="11"/>
      <c r="E614" s="86"/>
      <c r="F614" s="85"/>
      <c r="G614" s="85"/>
    </row>
    <row r="615" spans="4:7" ht="13.5">
      <c r="D615" s="11"/>
      <c r="E615" s="86"/>
      <c r="F615" s="85"/>
      <c r="G615" s="85"/>
    </row>
    <row r="616" spans="4:7" ht="13.5">
      <c r="D616" s="11"/>
      <c r="E616" s="86"/>
      <c r="F616" s="85"/>
      <c r="G616" s="85"/>
    </row>
    <row r="617" spans="4:7" ht="13.5">
      <c r="D617" s="11"/>
      <c r="E617" s="86"/>
      <c r="F617" s="85"/>
      <c r="G617" s="85"/>
    </row>
    <row r="618" spans="4:7" ht="13.5">
      <c r="D618" s="11"/>
      <c r="E618" s="86"/>
      <c r="F618" s="85"/>
      <c r="G618" s="85"/>
    </row>
    <row r="619" spans="4:7" ht="13.5">
      <c r="D619" s="11"/>
      <c r="E619" s="86"/>
      <c r="F619" s="85"/>
      <c r="G619" s="85"/>
    </row>
    <row r="620" spans="4:7" ht="13.5">
      <c r="D620" s="11"/>
      <c r="E620" s="86"/>
      <c r="F620" s="85"/>
      <c r="G620" s="85"/>
    </row>
    <row r="621" spans="4:7" ht="13.5">
      <c r="D621" s="11"/>
      <c r="E621" s="86"/>
      <c r="F621" s="85"/>
      <c r="G621" s="85"/>
    </row>
    <row r="622" spans="4:7" ht="13.5">
      <c r="D622" s="11"/>
      <c r="E622" s="86"/>
      <c r="F622" s="85"/>
      <c r="G622" s="85"/>
    </row>
    <row r="623" spans="4:7" ht="13.5">
      <c r="D623" s="11"/>
      <c r="E623" s="86"/>
      <c r="F623" s="85"/>
      <c r="G623" s="85"/>
    </row>
    <row r="624" spans="4:7" ht="13.5">
      <c r="D624" s="11"/>
      <c r="E624" s="86"/>
      <c r="F624" s="85"/>
      <c r="G624" s="85"/>
    </row>
    <row r="625" spans="4:7" ht="13.5">
      <c r="D625" s="11"/>
      <c r="E625" s="86"/>
      <c r="F625" s="85"/>
      <c r="G625" s="85"/>
    </row>
    <row r="626" spans="4:7" ht="13.5">
      <c r="D626" s="11"/>
      <c r="E626" s="86"/>
      <c r="F626" s="85"/>
      <c r="G626" s="85"/>
    </row>
    <row r="627" spans="4:7" ht="13.5">
      <c r="D627" s="11"/>
      <c r="E627" s="86"/>
      <c r="F627" s="85"/>
      <c r="G627" s="85"/>
    </row>
    <row r="628" spans="4:7" ht="13.5">
      <c r="D628" s="11"/>
      <c r="E628" s="86"/>
      <c r="F628" s="85"/>
      <c r="G628" s="85"/>
    </row>
    <row r="629" spans="4:7" ht="13.5">
      <c r="D629" s="11"/>
      <c r="E629" s="86"/>
      <c r="F629" s="85"/>
      <c r="G629" s="85"/>
    </row>
    <row r="630" spans="4:7" ht="13.5">
      <c r="D630" s="11"/>
      <c r="E630" s="86"/>
      <c r="F630" s="85"/>
      <c r="G630" s="85"/>
    </row>
    <row r="631" spans="4:7" ht="13.5">
      <c r="D631" s="11"/>
      <c r="E631" s="86"/>
      <c r="F631" s="85"/>
      <c r="G631" s="85"/>
    </row>
    <row r="632" spans="4:7" ht="13.5">
      <c r="D632" s="11"/>
      <c r="E632" s="86"/>
      <c r="F632" s="85"/>
      <c r="G632" s="85"/>
    </row>
    <row r="633" spans="4:7" ht="13.5">
      <c r="D633" s="11"/>
      <c r="E633" s="86"/>
      <c r="F633" s="85"/>
      <c r="G633" s="85"/>
    </row>
    <row r="634" spans="4:7" ht="13.5">
      <c r="D634" s="11"/>
      <c r="E634" s="86"/>
      <c r="F634" s="85"/>
      <c r="G634" s="85"/>
    </row>
    <row r="635" spans="4:7" ht="13.5">
      <c r="D635" s="11"/>
      <c r="E635" s="86"/>
      <c r="F635" s="85"/>
      <c r="G635" s="85"/>
    </row>
    <row r="636" spans="4:7" ht="13.5">
      <c r="D636" s="11"/>
      <c r="E636" s="86"/>
      <c r="F636" s="85"/>
      <c r="G636" s="85"/>
    </row>
    <row r="637" spans="4:7" ht="13.5">
      <c r="D637" s="11"/>
      <c r="E637" s="86"/>
      <c r="F637" s="85"/>
      <c r="G637" s="85"/>
    </row>
    <row r="638" spans="4:7" ht="13.5">
      <c r="D638" s="11"/>
      <c r="E638" s="86"/>
      <c r="F638" s="85"/>
      <c r="G638" s="85"/>
    </row>
    <row r="639" spans="4:7" ht="13.5">
      <c r="D639" s="11"/>
      <c r="E639" s="86"/>
      <c r="F639" s="85"/>
      <c r="G639" s="85"/>
    </row>
    <row r="640" spans="4:7" ht="13.5">
      <c r="D640" s="11"/>
      <c r="E640" s="86"/>
      <c r="F640" s="85"/>
      <c r="G640" s="85"/>
    </row>
    <row r="641" spans="4:7" ht="13.5">
      <c r="D641" s="11"/>
      <c r="E641" s="86"/>
      <c r="F641" s="85"/>
      <c r="G641" s="85"/>
    </row>
    <row r="642" spans="4:7" ht="13.5">
      <c r="D642" s="11"/>
      <c r="E642" s="86"/>
      <c r="F642" s="85"/>
      <c r="G642" s="85"/>
    </row>
    <row r="643" spans="4:7" ht="13.5">
      <c r="D643" s="11"/>
      <c r="E643" s="86"/>
      <c r="F643" s="85"/>
      <c r="G643" s="85"/>
    </row>
    <row r="644" spans="4:7" ht="13.5">
      <c r="D644" s="11"/>
      <c r="E644" s="86"/>
      <c r="F644" s="85"/>
      <c r="G644" s="85"/>
    </row>
    <row r="645" spans="4:7" ht="13.5">
      <c r="D645" s="11"/>
      <c r="E645" s="86"/>
      <c r="F645" s="85"/>
      <c r="G645" s="85"/>
    </row>
    <row r="646" spans="4:7" ht="13.5">
      <c r="D646" s="11"/>
      <c r="E646" s="86"/>
      <c r="F646" s="85"/>
      <c r="G646" s="85"/>
    </row>
    <row r="647" spans="4:7" ht="13.5">
      <c r="D647" s="11"/>
      <c r="E647" s="86"/>
      <c r="F647" s="85"/>
      <c r="G647" s="85"/>
    </row>
    <row r="648" spans="4:7" ht="13.5">
      <c r="D648" s="11"/>
      <c r="E648" s="86"/>
      <c r="F648" s="85"/>
      <c r="G648" s="85"/>
    </row>
    <row r="649" spans="4:7" ht="13.5">
      <c r="D649" s="11"/>
      <c r="E649" s="86"/>
      <c r="F649" s="85"/>
      <c r="G649" s="85"/>
    </row>
    <row r="650" spans="4:7" ht="13.5">
      <c r="D650" s="11"/>
      <c r="E650" s="86"/>
      <c r="F650" s="85"/>
      <c r="G650" s="85"/>
    </row>
    <row r="651" spans="4:7" ht="13.5">
      <c r="D651" s="11"/>
      <c r="E651" s="86"/>
      <c r="F651" s="85"/>
      <c r="G651" s="85"/>
    </row>
    <row r="652" spans="4:7" ht="13.5">
      <c r="D652" s="11"/>
      <c r="E652" s="86"/>
      <c r="F652" s="85"/>
      <c r="G652" s="85"/>
    </row>
    <row r="653" spans="4:7" ht="13.5">
      <c r="D653" s="11"/>
      <c r="E653" s="86"/>
      <c r="F653" s="85"/>
      <c r="G653" s="85"/>
    </row>
    <row r="654" spans="4:7" ht="13.5">
      <c r="D654" s="11"/>
      <c r="E654" s="86"/>
      <c r="F654" s="85"/>
      <c r="G654" s="85"/>
    </row>
    <row r="655" spans="4:7" ht="13.5">
      <c r="D655" s="11"/>
      <c r="E655" s="86"/>
      <c r="F655" s="85"/>
      <c r="G655" s="85"/>
    </row>
    <row r="656" spans="4:7" ht="13.5">
      <c r="D656" s="11"/>
      <c r="E656" s="86"/>
      <c r="F656" s="85"/>
      <c r="G656" s="85"/>
    </row>
    <row r="657" spans="4:7" ht="13.5">
      <c r="D657" s="11"/>
      <c r="E657" s="86"/>
      <c r="F657" s="85"/>
      <c r="G657" s="85"/>
    </row>
    <row r="658" spans="4:7" ht="13.5">
      <c r="D658" s="11"/>
      <c r="E658" s="86"/>
      <c r="F658" s="85"/>
      <c r="G658" s="85"/>
    </row>
    <row r="659" spans="4:7" ht="13.5">
      <c r="D659" s="11"/>
      <c r="E659" s="86"/>
      <c r="F659" s="85"/>
      <c r="G659" s="85"/>
    </row>
    <row r="660" spans="4:7" ht="13.5">
      <c r="D660" s="11"/>
      <c r="E660" s="86"/>
      <c r="F660" s="85"/>
      <c r="G660" s="85"/>
    </row>
    <row r="661" spans="4:7" ht="13.5">
      <c r="D661" s="11"/>
      <c r="E661" s="86"/>
      <c r="F661" s="85"/>
      <c r="G661" s="85"/>
    </row>
    <row r="662" spans="4:7" ht="13.5">
      <c r="D662" s="11"/>
      <c r="E662" s="86"/>
      <c r="F662" s="85"/>
      <c r="G662" s="85"/>
    </row>
    <row r="663" spans="4:7" ht="13.5">
      <c r="D663" s="11"/>
      <c r="E663" s="86"/>
      <c r="F663" s="85"/>
      <c r="G663" s="85"/>
    </row>
    <row r="664" spans="4:7" ht="13.5">
      <c r="D664" s="11"/>
      <c r="E664" s="86"/>
      <c r="F664" s="85"/>
      <c r="G664" s="85"/>
    </row>
    <row r="665" spans="4:7" ht="13.5">
      <c r="D665" s="11"/>
      <c r="E665" s="86"/>
      <c r="F665" s="85"/>
      <c r="G665" s="85"/>
    </row>
    <row r="666" spans="4:7" ht="13.5">
      <c r="D666" s="11"/>
      <c r="E666" s="86"/>
      <c r="F666" s="85"/>
      <c r="G666" s="85"/>
    </row>
    <row r="667" spans="4:7" ht="13.5">
      <c r="D667" s="11"/>
      <c r="E667" s="86"/>
      <c r="F667" s="85"/>
      <c r="G667" s="85"/>
    </row>
    <row r="668" spans="4:7" ht="13.5">
      <c r="D668" s="11"/>
      <c r="E668" s="86"/>
      <c r="F668" s="85"/>
      <c r="G668" s="85"/>
    </row>
    <row r="669" spans="4:7" ht="13.5">
      <c r="D669" s="11"/>
      <c r="E669" s="86"/>
      <c r="F669" s="85"/>
      <c r="G669" s="85"/>
    </row>
    <row r="670" spans="4:7" ht="13.5">
      <c r="D670" s="11"/>
      <c r="E670" s="86"/>
      <c r="F670" s="85"/>
      <c r="G670" s="85"/>
    </row>
    <row r="671" spans="4:7" ht="13.5">
      <c r="D671" s="11"/>
      <c r="E671" s="86"/>
      <c r="F671" s="85"/>
      <c r="G671" s="85"/>
    </row>
    <row r="672" spans="4:7" ht="13.5">
      <c r="D672" s="11"/>
      <c r="E672" s="86"/>
      <c r="F672" s="85"/>
      <c r="G672" s="85"/>
    </row>
    <row r="673" spans="4:7" ht="13.5">
      <c r="D673" s="11"/>
      <c r="E673" s="86"/>
      <c r="F673" s="85"/>
      <c r="G673" s="85"/>
    </row>
    <row r="674" spans="4:7" ht="13.5">
      <c r="D674" s="11"/>
      <c r="E674" s="86"/>
      <c r="F674" s="85"/>
      <c r="G674" s="85"/>
    </row>
    <row r="675" spans="4:7" ht="13.5">
      <c r="D675" s="11"/>
      <c r="E675" s="86"/>
      <c r="F675" s="85"/>
      <c r="G675" s="85"/>
    </row>
    <row r="676" spans="4:7" ht="13.5">
      <c r="D676" s="11"/>
      <c r="E676" s="86"/>
      <c r="F676" s="85"/>
      <c r="G676" s="85"/>
    </row>
    <row r="677" spans="4:7" ht="13.5">
      <c r="D677" s="11"/>
      <c r="E677" s="86"/>
      <c r="F677" s="85"/>
      <c r="G677" s="85"/>
    </row>
    <row r="678" spans="4:7" ht="13.5">
      <c r="D678" s="11"/>
      <c r="E678" s="86"/>
      <c r="F678" s="85"/>
      <c r="G678" s="85"/>
    </row>
    <row r="679" spans="4:7" ht="13.5">
      <c r="D679" s="11"/>
      <c r="E679" s="86"/>
      <c r="F679" s="85"/>
      <c r="G679" s="85"/>
    </row>
    <row r="680" spans="4:7" ht="13.5">
      <c r="D680" s="11"/>
      <c r="E680" s="86"/>
      <c r="F680" s="85"/>
      <c r="G680" s="85"/>
    </row>
    <row r="681" spans="4:7" ht="13.5">
      <c r="D681" s="11"/>
      <c r="E681" s="86"/>
      <c r="F681" s="85"/>
      <c r="G681" s="85"/>
    </row>
    <row r="682" spans="4:7" ht="13.5">
      <c r="D682" s="11"/>
      <c r="E682" s="86"/>
      <c r="F682" s="85"/>
      <c r="G682" s="85"/>
    </row>
    <row r="683" spans="4:7" ht="13.5">
      <c r="D683" s="11"/>
      <c r="E683" s="86"/>
      <c r="F683" s="85"/>
      <c r="G683" s="85"/>
    </row>
    <row r="684" spans="4:7" ht="13.5">
      <c r="D684" s="11"/>
      <c r="E684" s="86"/>
      <c r="F684" s="85"/>
      <c r="G684" s="85"/>
    </row>
    <row r="685" spans="4:7" ht="13.5">
      <c r="D685" s="11"/>
      <c r="E685" s="86"/>
      <c r="F685" s="85"/>
      <c r="G685" s="85"/>
    </row>
    <row r="686" spans="4:7" ht="13.5">
      <c r="D686" s="11"/>
      <c r="E686" s="86"/>
      <c r="F686" s="85"/>
      <c r="G686" s="85"/>
    </row>
    <row r="687" spans="4:7" ht="13.5">
      <c r="D687" s="11"/>
      <c r="E687" s="86"/>
      <c r="F687" s="85"/>
      <c r="G687" s="85"/>
    </row>
    <row r="688" spans="4:7" ht="13.5">
      <c r="D688" s="11"/>
      <c r="E688" s="86"/>
      <c r="F688" s="85"/>
      <c r="G688" s="85"/>
    </row>
    <row r="689" spans="4:7" ht="13.5">
      <c r="D689" s="11"/>
      <c r="E689" s="86"/>
      <c r="F689" s="85"/>
      <c r="G689" s="85"/>
    </row>
    <row r="690" spans="4:7" ht="13.5">
      <c r="D690" s="11"/>
      <c r="E690" s="86"/>
      <c r="F690" s="85"/>
      <c r="G690" s="85"/>
    </row>
    <row r="691" spans="4:7" ht="13.5">
      <c r="D691" s="11"/>
      <c r="E691" s="86"/>
      <c r="F691" s="85"/>
      <c r="G691" s="85"/>
    </row>
    <row r="692" spans="4:7" ht="13.5">
      <c r="D692" s="11"/>
      <c r="E692" s="86"/>
      <c r="F692" s="85"/>
      <c r="G692" s="85"/>
    </row>
    <row r="693" spans="4:7" ht="13.5">
      <c r="D693" s="11"/>
      <c r="E693" s="86"/>
      <c r="F693" s="85"/>
      <c r="G693" s="85"/>
    </row>
    <row r="694" spans="4:7" ht="13.5">
      <c r="D694" s="11"/>
      <c r="E694" s="86"/>
      <c r="F694" s="85"/>
      <c r="G694" s="85"/>
    </row>
    <row r="695" spans="4:7" ht="13.5">
      <c r="D695" s="11"/>
      <c r="E695" s="86"/>
      <c r="F695" s="85"/>
      <c r="G695" s="85"/>
    </row>
    <row r="696" spans="4:7" ht="13.5">
      <c r="D696" s="11"/>
      <c r="E696" s="86"/>
      <c r="F696" s="85"/>
      <c r="G696" s="85"/>
    </row>
    <row r="697" spans="4:7" ht="13.5">
      <c r="D697" s="11"/>
      <c r="E697" s="86"/>
      <c r="F697" s="85"/>
      <c r="G697" s="85"/>
    </row>
    <row r="698" spans="4:7" ht="13.5">
      <c r="D698" s="11"/>
      <c r="E698" s="86"/>
      <c r="F698" s="85"/>
      <c r="G698" s="85"/>
    </row>
    <row r="699" spans="4:7" ht="13.5">
      <c r="D699" s="11"/>
      <c r="E699" s="86"/>
      <c r="F699" s="85"/>
      <c r="G699" s="85"/>
    </row>
    <row r="700" spans="4:7" ht="13.5">
      <c r="D700" s="11"/>
      <c r="E700" s="86"/>
      <c r="F700" s="85"/>
      <c r="G700" s="85"/>
    </row>
    <row r="701" spans="4:7" ht="13.5">
      <c r="D701" s="11"/>
      <c r="E701" s="86"/>
      <c r="F701" s="85"/>
      <c r="G701" s="85"/>
    </row>
    <row r="702" spans="4:7" ht="13.5">
      <c r="D702" s="11"/>
      <c r="E702" s="86"/>
      <c r="F702" s="85"/>
      <c r="G702" s="85"/>
    </row>
    <row r="703" spans="4:7" ht="13.5">
      <c r="D703" s="11"/>
      <c r="E703" s="86"/>
      <c r="F703" s="85"/>
      <c r="G703" s="85"/>
    </row>
    <row r="704" spans="4:7" ht="13.5">
      <c r="D704" s="11"/>
      <c r="E704" s="86"/>
      <c r="F704" s="85"/>
      <c r="G704" s="85"/>
    </row>
    <row r="705" spans="4:7" ht="13.5">
      <c r="D705" s="11"/>
      <c r="E705" s="86"/>
      <c r="F705" s="85"/>
      <c r="G705" s="85"/>
    </row>
    <row r="706" spans="4:7" ht="13.5">
      <c r="D706" s="11"/>
      <c r="E706" s="86"/>
      <c r="F706" s="85"/>
      <c r="G706" s="85"/>
    </row>
    <row r="707" spans="4:7" ht="13.5">
      <c r="D707" s="11"/>
      <c r="E707" s="86"/>
      <c r="F707" s="85"/>
      <c r="G707" s="85"/>
    </row>
    <row r="708" spans="4:7" ht="13.5">
      <c r="D708" s="11"/>
      <c r="E708" s="86"/>
      <c r="F708" s="85"/>
      <c r="G708" s="85"/>
    </row>
    <row r="709" spans="4:7" ht="13.5">
      <c r="D709" s="11"/>
      <c r="E709" s="86"/>
      <c r="F709" s="85"/>
      <c r="G709" s="85"/>
    </row>
    <row r="710" spans="4:7" ht="13.5">
      <c r="D710" s="11"/>
      <c r="E710" s="86"/>
      <c r="F710" s="85"/>
      <c r="G710" s="85"/>
    </row>
    <row r="711" spans="4:7" ht="13.5">
      <c r="D711" s="11"/>
      <c r="E711" s="86"/>
      <c r="F711" s="85"/>
      <c r="G711" s="85"/>
    </row>
    <row r="712" spans="4:7" ht="13.5">
      <c r="D712" s="11"/>
      <c r="E712" s="86"/>
      <c r="F712" s="85"/>
      <c r="G712" s="85"/>
    </row>
    <row r="713" spans="4:7" ht="13.5">
      <c r="D713" s="11"/>
      <c r="E713" s="86"/>
      <c r="F713" s="85"/>
      <c r="G713" s="85"/>
    </row>
    <row r="714" spans="4:7" ht="13.5">
      <c r="D714" s="11"/>
      <c r="E714" s="86"/>
      <c r="F714" s="85"/>
      <c r="G714" s="85"/>
    </row>
    <row r="715" spans="4:7" ht="13.5">
      <c r="D715" s="11"/>
      <c r="E715" s="86"/>
      <c r="F715" s="85"/>
      <c r="G715" s="85"/>
    </row>
    <row r="716" spans="4:7" ht="13.5">
      <c r="D716" s="11"/>
      <c r="E716" s="86"/>
      <c r="F716" s="85"/>
      <c r="G716" s="85"/>
    </row>
    <row r="717" spans="4:7" ht="13.5">
      <c r="D717" s="11"/>
      <c r="E717" s="86"/>
      <c r="F717" s="85"/>
      <c r="G717" s="85"/>
    </row>
    <row r="718" spans="4:7" ht="13.5">
      <c r="D718" s="11"/>
      <c r="E718" s="86"/>
      <c r="F718" s="85"/>
      <c r="G718" s="85"/>
    </row>
    <row r="719" spans="4:7" ht="13.5">
      <c r="D719" s="11"/>
      <c r="E719" s="86"/>
      <c r="F719" s="85"/>
      <c r="G719" s="85"/>
    </row>
    <row r="720" spans="4:7" ht="13.5">
      <c r="D720" s="11"/>
      <c r="E720" s="86"/>
      <c r="F720" s="85"/>
      <c r="G720" s="85"/>
    </row>
    <row r="721" spans="4:7" ht="13.5">
      <c r="D721" s="11"/>
      <c r="E721" s="86"/>
      <c r="F721" s="85"/>
      <c r="G721" s="85"/>
    </row>
    <row r="722" spans="4:7" ht="13.5">
      <c r="D722" s="11"/>
      <c r="E722" s="86"/>
      <c r="F722" s="85"/>
      <c r="G722" s="85"/>
    </row>
    <row r="723" spans="4:7" ht="13.5">
      <c r="D723" s="11"/>
      <c r="E723" s="86"/>
      <c r="F723" s="85"/>
      <c r="G723" s="85"/>
    </row>
    <row r="724" spans="4:7" ht="13.5">
      <c r="D724" s="11"/>
      <c r="E724" s="86"/>
      <c r="F724" s="85"/>
      <c r="G724" s="85"/>
    </row>
    <row r="725" spans="4:7" ht="13.5">
      <c r="D725" s="11"/>
      <c r="E725" s="86"/>
      <c r="F725" s="85"/>
      <c r="G725" s="85"/>
    </row>
    <row r="726" spans="4:7" ht="13.5">
      <c r="D726" s="11"/>
      <c r="E726" s="86"/>
      <c r="F726" s="85"/>
      <c r="G726" s="85"/>
    </row>
    <row r="727" spans="4:7" ht="13.5">
      <c r="D727" s="11"/>
      <c r="E727" s="86"/>
      <c r="F727" s="85"/>
      <c r="G727" s="85"/>
    </row>
    <row r="728" spans="4:7" ht="13.5">
      <c r="D728" s="11"/>
      <c r="E728" s="86"/>
      <c r="F728" s="85"/>
      <c r="G728" s="85"/>
    </row>
    <row r="729" spans="4:7" ht="13.5">
      <c r="D729" s="11"/>
      <c r="E729" s="86"/>
      <c r="F729" s="85"/>
      <c r="G729" s="85"/>
    </row>
    <row r="730" spans="4:7" ht="13.5">
      <c r="D730" s="11"/>
      <c r="E730" s="86"/>
      <c r="F730" s="85"/>
      <c r="G730" s="85"/>
    </row>
    <row r="731" spans="4:7" ht="13.5">
      <c r="D731" s="11"/>
      <c r="E731" s="86"/>
      <c r="F731" s="85"/>
      <c r="G731" s="85"/>
    </row>
    <row r="732" spans="4:7" ht="13.5">
      <c r="D732" s="11"/>
      <c r="E732" s="86"/>
      <c r="F732" s="85"/>
      <c r="G732" s="85"/>
    </row>
    <row r="733" spans="4:7" ht="13.5">
      <c r="D733" s="11"/>
      <c r="E733" s="86"/>
      <c r="F733" s="85"/>
      <c r="G733" s="85"/>
    </row>
    <row r="734" spans="4:7" ht="13.5">
      <c r="D734" s="11"/>
      <c r="E734" s="86"/>
      <c r="F734" s="85"/>
      <c r="G734" s="85"/>
    </row>
    <row r="735" spans="4:7" ht="13.5">
      <c r="D735" s="11"/>
      <c r="E735" s="86"/>
      <c r="F735" s="85"/>
      <c r="G735" s="85"/>
    </row>
    <row r="736" spans="4:7" ht="13.5">
      <c r="D736" s="11"/>
      <c r="E736" s="86"/>
      <c r="F736" s="85"/>
      <c r="G736" s="85"/>
    </row>
    <row r="737" spans="4:7" ht="13.5">
      <c r="D737" s="11"/>
      <c r="E737" s="86"/>
      <c r="F737" s="85"/>
      <c r="G737" s="85"/>
    </row>
    <row r="738" spans="4:7" ht="13.5">
      <c r="D738" s="11"/>
      <c r="E738" s="86"/>
      <c r="F738" s="85"/>
      <c r="G738" s="85"/>
    </row>
    <row r="739" spans="4:7" ht="13.5">
      <c r="D739" s="11"/>
      <c r="E739" s="86"/>
      <c r="F739" s="85"/>
      <c r="G739" s="85"/>
    </row>
    <row r="740" spans="4:7" ht="13.5">
      <c r="D740" s="11"/>
      <c r="E740" s="86"/>
      <c r="F740" s="85"/>
      <c r="G740" s="85"/>
    </row>
    <row r="741" spans="4:7" ht="13.5">
      <c r="D741" s="11"/>
      <c r="E741" s="86"/>
      <c r="F741" s="85"/>
      <c r="G741" s="85"/>
    </row>
    <row r="742" spans="4:7" ht="13.5">
      <c r="D742" s="11"/>
      <c r="E742" s="86"/>
      <c r="F742" s="85"/>
      <c r="G742" s="85"/>
    </row>
    <row r="743" spans="4:7" ht="13.5">
      <c r="D743" s="11"/>
      <c r="E743" s="86"/>
      <c r="F743" s="85"/>
      <c r="G743" s="85"/>
    </row>
    <row r="744" spans="4:7" ht="13.5">
      <c r="D744" s="11"/>
      <c r="E744" s="86"/>
      <c r="F744" s="85"/>
      <c r="G744" s="85"/>
    </row>
    <row r="745" spans="4:7" ht="13.5">
      <c r="D745" s="11"/>
      <c r="E745" s="86"/>
      <c r="F745" s="85"/>
      <c r="G745" s="85"/>
    </row>
    <row r="746" spans="4:7" ht="13.5">
      <c r="D746" s="11"/>
      <c r="E746" s="86"/>
      <c r="F746" s="85"/>
      <c r="G746" s="85"/>
    </row>
    <row r="747" spans="4:7" ht="13.5">
      <c r="D747" s="11"/>
      <c r="E747" s="86"/>
      <c r="F747" s="85"/>
      <c r="G747" s="85"/>
    </row>
    <row r="748" spans="4:7" ht="13.5">
      <c r="D748" s="11"/>
      <c r="E748" s="86"/>
      <c r="F748" s="85"/>
      <c r="G748" s="85"/>
    </row>
    <row r="749" spans="4:7" ht="13.5">
      <c r="D749" s="11"/>
      <c r="E749" s="86"/>
      <c r="F749" s="85"/>
      <c r="G749" s="85"/>
    </row>
    <row r="750" spans="4:7" ht="13.5">
      <c r="D750" s="11"/>
      <c r="E750" s="86"/>
      <c r="F750" s="85"/>
      <c r="G750" s="85"/>
    </row>
    <row r="751" spans="4:7" ht="13.5">
      <c r="D751" s="11"/>
      <c r="E751" s="86"/>
      <c r="F751" s="85"/>
      <c r="G751" s="85"/>
    </row>
    <row r="752" spans="4:7" ht="13.5">
      <c r="D752" s="11"/>
      <c r="E752" s="86"/>
      <c r="F752" s="85"/>
      <c r="G752" s="85"/>
    </row>
    <row r="753" spans="4:7" ht="13.5">
      <c r="D753" s="11"/>
      <c r="E753" s="86"/>
      <c r="F753" s="85"/>
      <c r="G753" s="85"/>
    </row>
    <row r="754" spans="4:7" ht="13.5">
      <c r="D754" s="11"/>
      <c r="E754" s="86"/>
      <c r="F754" s="85"/>
      <c r="G754" s="85"/>
    </row>
    <row r="755" spans="4:7" ht="13.5">
      <c r="D755" s="11"/>
      <c r="E755" s="86"/>
      <c r="F755" s="85"/>
      <c r="G755" s="85"/>
    </row>
    <row r="756" spans="4:7" ht="13.5">
      <c r="D756" s="11"/>
      <c r="E756" s="86"/>
      <c r="F756" s="85"/>
      <c r="G756" s="85"/>
    </row>
    <row r="757" spans="4:7" ht="13.5">
      <c r="D757" s="11"/>
      <c r="E757" s="86"/>
      <c r="F757" s="85"/>
      <c r="G757" s="85"/>
    </row>
    <row r="758" spans="4:7" ht="13.5">
      <c r="D758" s="11"/>
      <c r="E758" s="86"/>
      <c r="F758" s="85"/>
      <c r="G758" s="85"/>
    </row>
    <row r="759" spans="4:7" ht="13.5">
      <c r="D759" s="11"/>
      <c r="E759" s="86"/>
      <c r="F759" s="85"/>
      <c r="G759" s="85"/>
    </row>
    <row r="760" spans="4:7" ht="13.5">
      <c r="D760" s="11"/>
      <c r="E760" s="86"/>
      <c r="F760" s="85"/>
      <c r="G760" s="85"/>
    </row>
    <row r="761" spans="4:7" ht="13.5">
      <c r="D761" s="11"/>
      <c r="E761" s="86"/>
      <c r="F761" s="85"/>
      <c r="G761" s="85"/>
    </row>
    <row r="762" spans="4:7" ht="13.5">
      <c r="D762" s="11"/>
      <c r="E762" s="86"/>
      <c r="F762" s="85"/>
      <c r="G762" s="85"/>
    </row>
    <row r="763" spans="4:7" ht="13.5">
      <c r="D763" s="11"/>
      <c r="E763" s="86"/>
      <c r="F763" s="85"/>
      <c r="G763" s="85"/>
    </row>
    <row r="764" spans="4:7" ht="13.5">
      <c r="D764" s="11"/>
      <c r="E764" s="86"/>
      <c r="F764" s="85"/>
      <c r="G764" s="85"/>
    </row>
    <row r="765" spans="4:7" ht="13.5">
      <c r="D765" s="11"/>
      <c r="E765" s="86"/>
      <c r="F765" s="85"/>
      <c r="G765" s="85"/>
    </row>
    <row r="766" spans="4:7" ht="13.5">
      <c r="D766" s="11"/>
      <c r="E766" s="86"/>
      <c r="F766" s="85"/>
      <c r="G766" s="85"/>
    </row>
    <row r="767" spans="4:7" ht="13.5">
      <c r="D767" s="11"/>
      <c r="E767" s="86"/>
      <c r="F767" s="85"/>
      <c r="G767" s="85"/>
    </row>
    <row r="768" spans="4:7" ht="13.5">
      <c r="D768" s="11"/>
      <c r="E768" s="86"/>
      <c r="F768" s="85"/>
      <c r="G768" s="85"/>
    </row>
    <row r="769" spans="4:7" ht="13.5">
      <c r="D769" s="11"/>
      <c r="E769" s="86"/>
      <c r="F769" s="85"/>
      <c r="G769" s="85"/>
    </row>
    <row r="770" spans="4:7" ht="13.5">
      <c r="D770" s="11"/>
      <c r="E770" s="86"/>
      <c r="F770" s="85"/>
      <c r="G770" s="85"/>
    </row>
    <row r="771" spans="4:7" ht="13.5">
      <c r="D771" s="11"/>
      <c r="E771" s="86"/>
      <c r="F771" s="85"/>
      <c r="G771" s="85"/>
    </row>
    <row r="772" spans="4:7" ht="13.5">
      <c r="D772" s="11"/>
      <c r="E772" s="86"/>
      <c r="F772" s="85"/>
      <c r="G772" s="85"/>
    </row>
    <row r="773" spans="4:7" ht="13.5">
      <c r="D773" s="11"/>
      <c r="E773" s="86"/>
      <c r="F773" s="85"/>
      <c r="G773" s="85"/>
    </row>
    <row r="774" spans="4:7" ht="13.5">
      <c r="D774" s="11"/>
      <c r="E774" s="86"/>
      <c r="F774" s="85"/>
      <c r="G774" s="85"/>
    </row>
    <row r="775" spans="4:7" ht="13.5">
      <c r="D775" s="11"/>
      <c r="E775" s="86"/>
      <c r="F775" s="85"/>
      <c r="G775" s="85"/>
    </row>
    <row r="776" spans="4:7" ht="13.5">
      <c r="D776" s="11"/>
      <c r="E776" s="86"/>
      <c r="F776" s="85"/>
      <c r="G776" s="85"/>
    </row>
    <row r="777" spans="4:7" ht="13.5">
      <c r="D777" s="11"/>
      <c r="E777" s="86"/>
      <c r="F777" s="85"/>
      <c r="G777" s="85"/>
    </row>
    <row r="778" spans="4:7" ht="13.5">
      <c r="D778" s="11"/>
      <c r="E778" s="86"/>
      <c r="F778" s="85"/>
      <c r="G778" s="85"/>
    </row>
    <row r="779" spans="4:7" ht="13.5">
      <c r="D779" s="11"/>
      <c r="E779" s="86"/>
      <c r="F779" s="85"/>
      <c r="G779" s="85"/>
    </row>
    <row r="780" spans="4:7" ht="13.5">
      <c r="D780" s="11"/>
      <c r="E780" s="86"/>
      <c r="F780" s="85"/>
      <c r="G780" s="85"/>
    </row>
    <row r="781" spans="4:7" ht="13.5">
      <c r="D781" s="11"/>
      <c r="E781" s="86"/>
      <c r="F781" s="85"/>
      <c r="G781" s="85"/>
    </row>
    <row r="782" spans="4:7" ht="13.5">
      <c r="D782" s="11"/>
      <c r="E782" s="86"/>
      <c r="F782" s="85"/>
      <c r="G782" s="85"/>
    </row>
    <row r="783" spans="4:7" ht="13.5">
      <c r="D783" s="11"/>
      <c r="E783" s="86"/>
      <c r="F783" s="85"/>
      <c r="G783" s="85"/>
    </row>
    <row r="784" spans="4:7" ht="13.5">
      <c r="D784" s="11"/>
      <c r="E784" s="86"/>
      <c r="F784" s="85"/>
      <c r="G784" s="85"/>
    </row>
    <row r="785" spans="4:7" ht="13.5">
      <c r="D785" s="11"/>
      <c r="E785" s="86"/>
      <c r="F785" s="85"/>
      <c r="G785" s="85"/>
    </row>
    <row r="786" spans="4:7" ht="13.5">
      <c r="D786" s="11"/>
      <c r="E786" s="86"/>
      <c r="F786" s="85"/>
      <c r="G786" s="85"/>
    </row>
    <row r="787" spans="4:7" ht="13.5">
      <c r="D787" s="11"/>
      <c r="E787" s="86"/>
      <c r="F787" s="85"/>
      <c r="G787" s="85"/>
    </row>
    <row r="788" spans="4:7" ht="13.5">
      <c r="D788" s="11"/>
      <c r="E788" s="86"/>
      <c r="F788" s="85"/>
      <c r="G788" s="85"/>
    </row>
    <row r="789" spans="4:7" ht="13.5">
      <c r="D789" s="11"/>
      <c r="E789" s="86"/>
      <c r="F789" s="85"/>
      <c r="G789" s="85"/>
    </row>
    <row r="790" spans="4:7" ht="13.5">
      <c r="D790" s="11"/>
      <c r="E790" s="86"/>
      <c r="F790" s="85"/>
      <c r="G790" s="85"/>
    </row>
    <row r="791" spans="4:7" ht="13.5">
      <c r="D791" s="11"/>
      <c r="E791" s="86"/>
      <c r="F791" s="85"/>
      <c r="G791" s="85"/>
    </row>
    <row r="792" spans="4:7" ht="13.5">
      <c r="D792" s="11"/>
      <c r="E792" s="86"/>
      <c r="F792" s="85"/>
      <c r="G792" s="85"/>
    </row>
    <row r="793" spans="4:7" ht="13.5">
      <c r="D793" s="11"/>
      <c r="E793" s="86"/>
      <c r="F793" s="85"/>
      <c r="G793" s="85"/>
    </row>
    <row r="794" spans="4:7" ht="13.5">
      <c r="D794" s="11"/>
      <c r="E794" s="86"/>
      <c r="F794" s="85"/>
      <c r="G794" s="85"/>
    </row>
    <row r="795" spans="4:7" ht="13.5">
      <c r="D795" s="11"/>
      <c r="E795" s="86"/>
      <c r="F795" s="85"/>
      <c r="G795" s="85"/>
    </row>
    <row r="796" spans="4:7" ht="13.5">
      <c r="D796" s="11"/>
      <c r="E796" s="86"/>
      <c r="F796" s="85"/>
      <c r="G796" s="85"/>
    </row>
    <row r="797" spans="4:7" ht="13.5">
      <c r="D797" s="11"/>
      <c r="E797" s="86"/>
      <c r="F797" s="85"/>
      <c r="G797" s="85"/>
    </row>
    <row r="798" spans="4:7" ht="13.5">
      <c r="D798" s="11"/>
      <c r="E798" s="86"/>
      <c r="F798" s="85"/>
      <c r="G798" s="85"/>
    </row>
    <row r="799" spans="4:7" ht="13.5">
      <c r="D799" s="11"/>
      <c r="E799" s="86"/>
      <c r="F799" s="85"/>
      <c r="G799" s="85"/>
    </row>
    <row r="800" spans="4:7" ht="13.5">
      <c r="D800" s="11"/>
      <c r="E800" s="86"/>
      <c r="F800" s="85"/>
      <c r="G800" s="85"/>
    </row>
    <row r="801" spans="4:7" ht="13.5">
      <c r="D801" s="11"/>
      <c r="E801" s="86"/>
      <c r="F801" s="85"/>
      <c r="G801" s="85"/>
    </row>
    <row r="802" spans="4:7" ht="13.5">
      <c r="D802" s="11"/>
      <c r="E802" s="86"/>
      <c r="F802" s="85"/>
      <c r="G802" s="85"/>
    </row>
    <row r="803" spans="4:7" ht="13.5">
      <c r="D803" s="11"/>
      <c r="E803" s="86"/>
      <c r="F803" s="85"/>
      <c r="G803" s="85"/>
    </row>
    <row r="804" spans="4:7" ht="13.5">
      <c r="D804" s="11"/>
      <c r="E804" s="86"/>
      <c r="F804" s="85"/>
      <c r="G804" s="85"/>
    </row>
    <row r="805" spans="4:7" ht="13.5">
      <c r="D805" s="11"/>
      <c r="E805" s="86"/>
      <c r="F805" s="85"/>
      <c r="G805" s="85"/>
    </row>
    <row r="806" spans="4:7" ht="13.5">
      <c r="D806" s="11"/>
      <c r="E806" s="86"/>
      <c r="F806" s="85"/>
      <c r="G806" s="85"/>
    </row>
    <row r="807" spans="4:7" ht="13.5">
      <c r="D807" s="11"/>
      <c r="E807" s="86"/>
      <c r="F807" s="85"/>
      <c r="G807" s="85"/>
    </row>
    <row r="808" spans="4:7" ht="13.5">
      <c r="D808" s="11"/>
      <c r="E808" s="86"/>
      <c r="F808" s="85"/>
      <c r="G808" s="85"/>
    </row>
    <row r="809" spans="4:7" ht="13.5">
      <c r="D809" s="11"/>
      <c r="E809" s="86"/>
      <c r="F809" s="85"/>
      <c r="G809" s="85"/>
    </row>
    <row r="810" spans="4:7" ht="13.5">
      <c r="D810" s="11"/>
      <c r="E810" s="86"/>
      <c r="F810" s="85"/>
      <c r="G810" s="85"/>
    </row>
    <row r="811" spans="4:7" ht="13.5">
      <c r="D811" s="11"/>
      <c r="E811" s="86"/>
      <c r="F811" s="85"/>
      <c r="G811" s="85"/>
    </row>
    <row r="812" spans="4:7" ht="13.5">
      <c r="D812" s="11"/>
      <c r="E812" s="86"/>
      <c r="F812" s="85"/>
      <c r="G812" s="85"/>
    </row>
    <row r="813" spans="4:7" ht="13.5">
      <c r="D813" s="11"/>
      <c r="E813" s="86"/>
      <c r="F813" s="85"/>
      <c r="G813" s="85"/>
    </row>
    <row r="814" spans="4:7" ht="13.5">
      <c r="D814" s="11"/>
      <c r="E814" s="86"/>
      <c r="F814" s="85"/>
      <c r="G814" s="85"/>
    </row>
    <row r="815" spans="4:7" ht="13.5">
      <c r="D815" s="11"/>
      <c r="E815" s="86"/>
      <c r="F815" s="85"/>
      <c r="G815" s="85"/>
    </row>
    <row r="816" spans="4:7" ht="13.5">
      <c r="D816" s="11"/>
      <c r="E816" s="86"/>
      <c r="F816" s="85"/>
      <c r="G816" s="85"/>
    </row>
    <row r="817" spans="4:7" ht="13.5">
      <c r="D817" s="11"/>
      <c r="E817" s="86"/>
      <c r="F817" s="85"/>
      <c r="G817" s="85"/>
    </row>
    <row r="818" spans="4:7" ht="13.5">
      <c r="D818" s="11"/>
      <c r="E818" s="86"/>
      <c r="F818" s="85"/>
      <c r="G818" s="85"/>
    </row>
    <row r="819" spans="4:7" ht="13.5">
      <c r="D819" s="11"/>
      <c r="E819" s="86"/>
      <c r="F819" s="85"/>
      <c r="G819" s="85"/>
    </row>
    <row r="820" spans="4:7" ht="13.5">
      <c r="D820" s="11"/>
      <c r="E820" s="86"/>
      <c r="F820" s="85"/>
      <c r="G820" s="85"/>
    </row>
    <row r="821" spans="4:7" ht="13.5">
      <c r="D821" s="11"/>
      <c r="E821" s="86"/>
      <c r="F821" s="85"/>
      <c r="G821" s="85"/>
    </row>
    <row r="822" spans="4:7" ht="13.5">
      <c r="D822" s="11"/>
      <c r="E822" s="86"/>
      <c r="F822" s="85"/>
      <c r="G822" s="85"/>
    </row>
    <row r="823" spans="4:7" ht="13.5">
      <c r="D823" s="11"/>
      <c r="E823" s="86"/>
      <c r="F823" s="85"/>
      <c r="G823" s="85"/>
    </row>
    <row r="824" spans="4:7" ht="13.5">
      <c r="D824" s="11"/>
      <c r="E824" s="86"/>
      <c r="F824" s="85"/>
      <c r="G824" s="85"/>
    </row>
    <row r="825" spans="4:7" ht="13.5">
      <c r="D825" s="11"/>
      <c r="E825" s="86"/>
      <c r="F825" s="85"/>
      <c r="G825" s="85"/>
    </row>
    <row r="826" spans="4:7" ht="13.5">
      <c r="D826" s="11"/>
      <c r="E826" s="86"/>
      <c r="F826" s="85"/>
      <c r="G826" s="85"/>
    </row>
    <row r="827" spans="4:7" ht="13.5">
      <c r="D827" s="11"/>
      <c r="E827" s="86"/>
      <c r="F827" s="85"/>
      <c r="G827" s="85"/>
    </row>
    <row r="828" spans="4:7" ht="13.5">
      <c r="D828" s="11"/>
      <c r="E828" s="86"/>
      <c r="F828" s="85"/>
      <c r="G828" s="85"/>
    </row>
    <row r="829" spans="4:7" ht="13.5">
      <c r="D829" s="11"/>
      <c r="E829" s="86"/>
      <c r="F829" s="85"/>
      <c r="G829" s="85"/>
    </row>
    <row r="830" spans="4:7" ht="13.5">
      <c r="D830" s="11"/>
      <c r="E830" s="86"/>
      <c r="F830" s="85"/>
      <c r="G830" s="85"/>
    </row>
    <row r="831" spans="4:7" ht="13.5">
      <c r="D831" s="11"/>
      <c r="E831" s="86"/>
      <c r="F831" s="85"/>
      <c r="G831" s="85"/>
    </row>
    <row r="832" spans="4:7" ht="13.5">
      <c r="D832" s="11"/>
      <c r="E832" s="86"/>
      <c r="F832" s="85"/>
      <c r="G832" s="85"/>
    </row>
    <row r="833" spans="4:7" ht="13.5">
      <c r="D833" s="11"/>
      <c r="E833" s="86"/>
      <c r="F833" s="85"/>
      <c r="G833" s="85"/>
    </row>
    <row r="834" spans="4:7" ht="13.5">
      <c r="D834" s="11"/>
      <c r="E834" s="86"/>
      <c r="F834" s="85"/>
      <c r="G834" s="85"/>
    </row>
    <row r="835" spans="4:7" ht="13.5">
      <c r="D835" s="11"/>
      <c r="E835" s="86"/>
      <c r="F835" s="85"/>
      <c r="G835" s="85"/>
    </row>
    <row r="836" spans="4:7" ht="13.5">
      <c r="D836" s="11"/>
      <c r="E836" s="86"/>
      <c r="F836" s="85"/>
      <c r="G836" s="85"/>
    </row>
    <row r="837" spans="4:7" ht="13.5">
      <c r="D837" s="11"/>
      <c r="E837" s="86"/>
      <c r="F837" s="85"/>
      <c r="G837" s="85"/>
    </row>
    <row r="838" spans="4:7" ht="13.5">
      <c r="D838" s="11"/>
      <c r="E838" s="86"/>
      <c r="F838" s="85"/>
      <c r="G838" s="85"/>
    </row>
    <row r="839" spans="4:7" ht="13.5">
      <c r="D839" s="11"/>
      <c r="E839" s="86"/>
      <c r="F839" s="85"/>
      <c r="G839" s="85"/>
    </row>
    <row r="840" spans="4:7" ht="13.5">
      <c r="D840" s="11"/>
      <c r="E840" s="86"/>
      <c r="F840" s="85"/>
      <c r="G840" s="85"/>
    </row>
    <row r="841" spans="4:7" ht="13.5">
      <c r="D841" s="11"/>
      <c r="E841" s="86"/>
      <c r="F841" s="85"/>
      <c r="G841" s="85"/>
    </row>
    <row r="842" spans="4:7" ht="13.5">
      <c r="D842" s="11"/>
      <c r="E842" s="86"/>
      <c r="F842" s="85"/>
      <c r="G842" s="85"/>
    </row>
    <row r="843" spans="4:7" ht="13.5">
      <c r="D843" s="11"/>
      <c r="E843" s="86"/>
      <c r="F843" s="85"/>
      <c r="G843" s="85"/>
    </row>
    <row r="844" spans="4:7" ht="13.5">
      <c r="D844" s="11"/>
      <c r="E844" s="86"/>
      <c r="F844" s="85"/>
      <c r="G844" s="85"/>
    </row>
    <row r="845" spans="4:7" ht="13.5">
      <c r="D845" s="11"/>
      <c r="E845" s="86"/>
      <c r="F845" s="85"/>
      <c r="G845" s="85"/>
    </row>
    <row r="846" spans="4:7" ht="13.5">
      <c r="D846" s="11"/>
      <c r="E846" s="86"/>
      <c r="F846" s="85"/>
      <c r="G846" s="85"/>
    </row>
    <row r="847" spans="4:7" ht="13.5">
      <c r="D847" s="11"/>
      <c r="E847" s="86"/>
      <c r="F847" s="85"/>
      <c r="G847" s="85"/>
    </row>
    <row r="848" spans="4:7" ht="13.5">
      <c r="D848" s="11"/>
      <c r="E848" s="86"/>
      <c r="F848" s="85"/>
      <c r="G848" s="85"/>
    </row>
    <row r="849" spans="4:7" ht="13.5">
      <c r="D849" s="11"/>
      <c r="E849" s="86"/>
      <c r="F849" s="85"/>
      <c r="G849" s="85"/>
    </row>
    <row r="850" spans="4:7" ht="13.5">
      <c r="D850" s="11"/>
      <c r="E850" s="86"/>
      <c r="F850" s="85"/>
      <c r="G850" s="85"/>
    </row>
    <row r="851" spans="4:7" ht="13.5">
      <c r="D851" s="11"/>
      <c r="E851" s="86"/>
      <c r="F851" s="85"/>
      <c r="G851" s="85"/>
    </row>
    <row r="852" spans="4:7" ht="13.5">
      <c r="D852" s="11"/>
      <c r="E852" s="86"/>
      <c r="F852" s="85"/>
      <c r="G852" s="85"/>
    </row>
    <row r="853" spans="4:7" ht="13.5">
      <c r="D853" s="11"/>
      <c r="E853" s="86"/>
      <c r="F853" s="85"/>
      <c r="G853" s="85"/>
    </row>
    <row r="854" spans="4:7" ht="13.5">
      <c r="D854" s="11"/>
      <c r="E854" s="86"/>
      <c r="F854" s="85"/>
      <c r="G854" s="85"/>
    </row>
    <row r="855" spans="4:7" ht="13.5">
      <c r="D855" s="11"/>
      <c r="E855" s="86"/>
      <c r="F855" s="85"/>
      <c r="G855" s="85"/>
    </row>
    <row r="856" spans="4:7" ht="13.5">
      <c r="D856" s="11"/>
      <c r="E856" s="86"/>
      <c r="F856" s="85"/>
      <c r="G856" s="85"/>
    </row>
    <row r="857" spans="4:7" ht="13.5">
      <c r="D857" s="11"/>
      <c r="E857" s="86"/>
      <c r="F857" s="85"/>
      <c r="G857" s="85"/>
    </row>
    <row r="858" spans="4:7" ht="13.5">
      <c r="D858" s="11"/>
      <c r="E858" s="86"/>
      <c r="F858" s="85"/>
      <c r="G858" s="85"/>
    </row>
    <row r="859" spans="4:7" ht="13.5">
      <c r="D859" s="11"/>
      <c r="E859" s="86"/>
      <c r="F859" s="85"/>
      <c r="G859" s="85"/>
    </row>
    <row r="860" spans="4:7" ht="13.5">
      <c r="D860" s="11"/>
      <c r="E860" s="86"/>
      <c r="F860" s="85"/>
      <c r="G860" s="85"/>
    </row>
    <row r="861" spans="4:7" ht="13.5">
      <c r="D861" s="11"/>
      <c r="E861" s="86"/>
      <c r="F861" s="85"/>
      <c r="G861" s="85"/>
    </row>
    <row r="862" spans="4:7" ht="13.5">
      <c r="D862" s="11"/>
      <c r="E862" s="86"/>
      <c r="F862" s="85"/>
      <c r="G862" s="85"/>
    </row>
    <row r="863" spans="4:7" ht="13.5">
      <c r="D863" s="11"/>
      <c r="E863" s="86"/>
      <c r="F863" s="85"/>
      <c r="G863" s="85"/>
    </row>
    <row r="864" spans="4:7" ht="13.5">
      <c r="D864" s="11"/>
      <c r="E864" s="86"/>
      <c r="F864" s="85"/>
      <c r="G864" s="85"/>
    </row>
    <row r="865" spans="4:7" ht="13.5">
      <c r="D865" s="11"/>
      <c r="E865" s="86"/>
      <c r="F865" s="85"/>
      <c r="G865" s="85"/>
    </row>
    <row r="866" spans="4:7" ht="13.5">
      <c r="D866" s="11"/>
      <c r="E866" s="86"/>
      <c r="F866" s="85"/>
      <c r="G866" s="85"/>
    </row>
    <row r="867" spans="4:7" ht="13.5">
      <c r="D867" s="11"/>
      <c r="E867" s="86"/>
      <c r="F867" s="85"/>
      <c r="G867" s="85"/>
    </row>
    <row r="868" spans="4:7" ht="13.5">
      <c r="D868" s="11"/>
      <c r="E868" s="86"/>
      <c r="F868" s="85"/>
      <c r="G868" s="85"/>
    </row>
    <row r="869" spans="4:7" ht="13.5">
      <c r="D869" s="11"/>
      <c r="E869" s="86"/>
      <c r="F869" s="85"/>
      <c r="G869" s="85"/>
    </row>
    <row r="870" spans="4:7" ht="13.5">
      <c r="D870" s="11"/>
      <c r="E870" s="86"/>
      <c r="F870" s="85"/>
      <c r="G870" s="85"/>
    </row>
    <row r="871" spans="4:7" ht="13.5">
      <c r="D871" s="11"/>
      <c r="E871" s="86"/>
      <c r="F871" s="85"/>
      <c r="G871" s="85"/>
    </row>
    <row r="872" spans="4:7" ht="13.5">
      <c r="D872" s="11"/>
      <c r="E872" s="86"/>
      <c r="F872" s="85"/>
      <c r="G872" s="85"/>
    </row>
    <row r="873" spans="4:7" ht="13.5">
      <c r="D873" s="11"/>
      <c r="E873" s="86"/>
      <c r="F873" s="85"/>
      <c r="G873" s="85"/>
    </row>
    <row r="874" spans="4:7" ht="13.5">
      <c r="D874" s="11"/>
      <c r="E874" s="86"/>
      <c r="F874" s="85"/>
      <c r="G874" s="85"/>
    </row>
    <row r="875" spans="4:7" ht="13.5">
      <c r="D875" s="11"/>
      <c r="E875" s="86"/>
      <c r="F875" s="85"/>
      <c r="G875" s="85"/>
    </row>
    <row r="876" spans="4:7" ht="13.5">
      <c r="D876" s="11"/>
      <c r="E876" s="86"/>
      <c r="F876" s="85"/>
      <c r="G876" s="85"/>
    </row>
    <row r="877" spans="4:7" ht="13.5">
      <c r="D877" s="11"/>
      <c r="E877" s="86"/>
      <c r="F877" s="85"/>
      <c r="G877" s="85"/>
    </row>
    <row r="878" spans="4:7" ht="13.5">
      <c r="D878" s="11"/>
      <c r="E878" s="86"/>
      <c r="F878" s="85"/>
      <c r="G878" s="85"/>
    </row>
    <row r="879" spans="4:7" ht="13.5">
      <c r="D879" s="11"/>
      <c r="E879" s="86"/>
      <c r="F879" s="85"/>
      <c r="G879" s="85"/>
    </row>
    <row r="880" spans="4:7" ht="13.5">
      <c r="D880" s="11"/>
      <c r="E880" s="86"/>
      <c r="F880" s="85"/>
      <c r="G880" s="85"/>
    </row>
    <row r="881" spans="4:7" ht="13.5">
      <c r="D881" s="11"/>
      <c r="E881" s="86"/>
      <c r="F881" s="85"/>
      <c r="G881" s="85"/>
    </row>
    <row r="882" spans="4:7" ht="13.5">
      <c r="D882" s="11"/>
      <c r="E882" s="86"/>
      <c r="F882" s="85"/>
      <c r="G882" s="85"/>
    </row>
    <row r="883" spans="4:7" ht="13.5">
      <c r="D883" s="11"/>
      <c r="E883" s="86"/>
      <c r="F883" s="85"/>
      <c r="G883" s="85"/>
    </row>
    <row r="884" spans="4:7" ht="13.5">
      <c r="D884" s="11"/>
      <c r="E884" s="86"/>
      <c r="F884" s="85"/>
      <c r="G884" s="85"/>
    </row>
    <row r="885" spans="4:7" ht="13.5">
      <c r="D885" s="11"/>
      <c r="E885" s="86"/>
      <c r="F885" s="85"/>
      <c r="G885" s="85"/>
    </row>
    <row r="886" spans="4:7" ht="13.5">
      <c r="D886" s="11"/>
      <c r="E886" s="86"/>
      <c r="F886" s="85"/>
      <c r="G886" s="85"/>
    </row>
    <row r="887" spans="4:7" ht="13.5">
      <c r="D887" s="11"/>
      <c r="E887" s="86"/>
      <c r="F887" s="85"/>
      <c r="G887" s="85"/>
    </row>
    <row r="888" spans="4:7" ht="13.5">
      <c r="D888" s="11"/>
      <c r="E888" s="86"/>
      <c r="F888" s="85"/>
      <c r="G888" s="85"/>
    </row>
    <row r="889" spans="4:7" ht="13.5">
      <c r="D889" s="11"/>
      <c r="E889" s="86"/>
      <c r="F889" s="85"/>
      <c r="G889" s="85"/>
    </row>
    <row r="890" spans="4:7" ht="13.5">
      <c r="D890" s="11"/>
      <c r="E890" s="86"/>
      <c r="F890" s="85"/>
      <c r="G890" s="85"/>
    </row>
    <row r="891" spans="4:7" ht="13.5">
      <c r="D891" s="11"/>
      <c r="E891" s="86"/>
      <c r="F891" s="85"/>
      <c r="G891" s="85"/>
    </row>
    <row r="892" spans="4:7" ht="13.5">
      <c r="D892" s="11"/>
      <c r="E892" s="86"/>
      <c r="F892" s="85"/>
      <c r="G892" s="85"/>
    </row>
    <row r="893" spans="4:7" ht="13.5">
      <c r="D893" s="11"/>
      <c r="E893" s="86"/>
      <c r="F893" s="85"/>
      <c r="G893" s="85"/>
    </row>
    <row r="894" spans="4:7" ht="13.5">
      <c r="D894" s="11"/>
      <c r="E894" s="86"/>
      <c r="F894" s="85"/>
      <c r="G894" s="85"/>
    </row>
    <row r="895" spans="4:7" ht="13.5">
      <c r="D895" s="11"/>
      <c r="E895" s="86"/>
      <c r="F895" s="85"/>
      <c r="G895" s="85"/>
    </row>
    <row r="896" spans="4:7" ht="13.5">
      <c r="D896" s="11"/>
      <c r="E896" s="86"/>
      <c r="F896" s="85"/>
      <c r="G896" s="85"/>
    </row>
    <row r="897" spans="4:7" ht="13.5">
      <c r="D897" s="11"/>
      <c r="E897" s="86"/>
      <c r="F897" s="85"/>
      <c r="G897" s="85"/>
    </row>
    <row r="898" spans="4:7" ht="13.5">
      <c r="D898" s="11"/>
      <c r="E898" s="86"/>
      <c r="F898" s="85"/>
      <c r="G898" s="85"/>
    </row>
    <row r="899" spans="4:7" ht="13.5">
      <c r="D899" s="11"/>
      <c r="E899" s="86"/>
      <c r="F899" s="85"/>
      <c r="G899" s="85"/>
    </row>
    <row r="900" spans="4:7" ht="13.5">
      <c r="D900" s="11"/>
      <c r="E900" s="86"/>
      <c r="F900" s="85"/>
      <c r="G900" s="85"/>
    </row>
    <row r="901" spans="4:7" ht="13.5">
      <c r="D901" s="11"/>
      <c r="E901" s="86"/>
      <c r="F901" s="85"/>
      <c r="G901" s="85"/>
    </row>
    <row r="902" spans="4:7" ht="13.5">
      <c r="D902" s="11"/>
      <c r="E902" s="86"/>
      <c r="F902" s="85"/>
      <c r="G902" s="85"/>
    </row>
    <row r="903" spans="4:7" ht="13.5">
      <c r="D903" s="11"/>
      <c r="E903" s="86"/>
      <c r="F903" s="85"/>
      <c r="G903" s="85"/>
    </row>
    <row r="904" spans="4:7" ht="13.5">
      <c r="D904" s="11"/>
      <c r="E904" s="86"/>
      <c r="F904" s="85"/>
      <c r="G904" s="85"/>
    </row>
    <row r="905" spans="4:7" ht="13.5">
      <c r="D905" s="11"/>
      <c r="E905" s="86"/>
      <c r="F905" s="85"/>
      <c r="G905" s="85"/>
    </row>
    <row r="906" spans="4:7" ht="13.5">
      <c r="D906" s="11"/>
      <c r="E906" s="86"/>
      <c r="F906" s="85"/>
      <c r="G906" s="85"/>
    </row>
    <row r="907" spans="4:7" ht="13.5">
      <c r="D907" s="11"/>
      <c r="E907" s="86"/>
      <c r="F907" s="85"/>
      <c r="G907" s="85"/>
    </row>
    <row r="908" spans="4:7" ht="13.5">
      <c r="D908" s="11"/>
      <c r="E908" s="86"/>
      <c r="F908" s="85"/>
      <c r="G908" s="85"/>
    </row>
    <row r="909" spans="4:7" ht="13.5">
      <c r="D909" s="11"/>
      <c r="E909" s="86"/>
      <c r="F909" s="85"/>
      <c r="G909" s="85"/>
    </row>
    <row r="910" spans="4:7" ht="13.5">
      <c r="D910" s="11"/>
      <c r="E910" s="86"/>
      <c r="F910" s="85"/>
      <c r="G910" s="85"/>
    </row>
    <row r="911" spans="4:7" ht="13.5">
      <c r="D911" s="11"/>
      <c r="E911" s="86"/>
      <c r="F911" s="85"/>
      <c r="G911" s="85"/>
    </row>
    <row r="912" spans="4:7" ht="13.5">
      <c r="D912" s="11"/>
      <c r="E912" s="86"/>
      <c r="F912" s="85"/>
      <c r="G912" s="85"/>
    </row>
    <row r="913" spans="4:7" ht="13.5">
      <c r="D913" s="11"/>
      <c r="E913" s="86"/>
      <c r="F913" s="85"/>
      <c r="G913" s="85"/>
    </row>
    <row r="914" spans="4:7" ht="13.5">
      <c r="D914" s="11"/>
      <c r="E914" s="86"/>
      <c r="F914" s="85"/>
      <c r="G914" s="85"/>
    </row>
    <row r="915" spans="4:7" ht="13.5">
      <c r="D915" s="11"/>
      <c r="E915" s="86"/>
      <c r="F915" s="85"/>
      <c r="G915" s="85"/>
    </row>
    <row r="916" spans="4:7" ht="13.5">
      <c r="D916" s="11"/>
      <c r="E916" s="86"/>
      <c r="F916" s="85"/>
      <c r="G916" s="85"/>
    </row>
    <row r="917" spans="4:7" ht="13.5">
      <c r="D917" s="11"/>
      <c r="E917" s="86"/>
      <c r="F917" s="85"/>
      <c r="G917" s="85"/>
    </row>
    <row r="918" spans="4:7" ht="13.5">
      <c r="D918" s="11"/>
      <c r="E918" s="86"/>
      <c r="F918" s="85"/>
      <c r="G918" s="85"/>
    </row>
    <row r="919" spans="4:7" ht="13.5">
      <c r="D919" s="11"/>
      <c r="E919" s="86"/>
      <c r="F919" s="85"/>
      <c r="G919" s="85"/>
    </row>
    <row r="920" spans="4:7" ht="13.5">
      <c r="D920" s="11"/>
      <c r="E920" s="86"/>
      <c r="F920" s="85"/>
      <c r="G920" s="85"/>
    </row>
    <row r="921" spans="4:7" ht="13.5">
      <c r="D921" s="11"/>
      <c r="E921" s="86"/>
      <c r="F921" s="85"/>
      <c r="G921" s="85"/>
    </row>
    <row r="922" spans="4:7" ht="13.5">
      <c r="D922" s="11"/>
      <c r="E922" s="86"/>
      <c r="F922" s="85"/>
      <c r="G922" s="85"/>
    </row>
    <row r="923" spans="4:7" ht="13.5">
      <c r="D923" s="11"/>
      <c r="E923" s="86"/>
      <c r="F923" s="85"/>
      <c r="G923" s="85"/>
    </row>
    <row r="924" spans="4:7" ht="13.5">
      <c r="D924" s="11"/>
      <c r="E924" s="86"/>
      <c r="F924" s="85"/>
      <c r="G924" s="85"/>
    </row>
    <row r="925" spans="4:7" ht="13.5">
      <c r="D925" s="11"/>
      <c r="E925" s="86"/>
      <c r="F925" s="85"/>
      <c r="G925" s="85"/>
    </row>
    <row r="926" spans="4:7" ht="13.5">
      <c r="D926" s="11"/>
      <c r="E926" s="86"/>
      <c r="F926" s="85"/>
      <c r="G926" s="85"/>
    </row>
    <row r="927" spans="4:7" ht="13.5">
      <c r="D927" s="11"/>
      <c r="E927" s="86"/>
      <c r="F927" s="85"/>
      <c r="G927" s="85"/>
    </row>
    <row r="928" spans="4:7" ht="13.5">
      <c r="D928" s="11"/>
      <c r="E928" s="86"/>
      <c r="F928" s="85"/>
      <c r="G928" s="85"/>
    </row>
    <row r="929" spans="4:7" ht="13.5">
      <c r="D929" s="11"/>
      <c r="E929" s="86"/>
      <c r="F929" s="85"/>
      <c r="G929" s="85"/>
    </row>
    <row r="930" spans="4:7" ht="13.5">
      <c r="D930" s="11"/>
      <c r="E930" s="86"/>
      <c r="F930" s="85"/>
      <c r="G930" s="85"/>
    </row>
    <row r="931" spans="4:7" ht="13.5">
      <c r="D931" s="11"/>
      <c r="E931" s="86"/>
      <c r="F931" s="85"/>
      <c r="G931" s="85"/>
    </row>
    <row r="932" spans="4:7" ht="13.5">
      <c r="D932" s="11"/>
      <c r="E932" s="86"/>
      <c r="F932" s="85"/>
      <c r="G932" s="85"/>
    </row>
    <row r="933" spans="4:7" ht="13.5">
      <c r="D933" s="11"/>
      <c r="E933" s="86"/>
      <c r="F933" s="85"/>
      <c r="G933" s="85"/>
    </row>
    <row r="934" spans="4:7" ht="13.5">
      <c r="D934" s="11"/>
      <c r="E934" s="86"/>
      <c r="F934" s="85"/>
      <c r="G934" s="85"/>
    </row>
    <row r="935" spans="4:7" ht="13.5">
      <c r="D935" s="11"/>
      <c r="E935" s="86"/>
      <c r="F935" s="85"/>
      <c r="G935" s="85"/>
    </row>
    <row r="936" spans="4:7" ht="13.5">
      <c r="D936" s="11"/>
      <c r="E936" s="86"/>
      <c r="F936" s="85"/>
      <c r="G936" s="85"/>
    </row>
    <row r="937" spans="4:7" ht="13.5">
      <c r="D937" s="11"/>
      <c r="E937" s="86"/>
      <c r="F937" s="85"/>
      <c r="G937" s="85"/>
    </row>
    <row r="938" spans="4:7" ht="13.5">
      <c r="D938" s="11"/>
      <c r="E938" s="86"/>
      <c r="F938" s="85"/>
      <c r="G938" s="85"/>
    </row>
    <row r="939" spans="4:7" ht="13.5">
      <c r="D939" s="11"/>
      <c r="E939" s="86"/>
      <c r="F939" s="85"/>
      <c r="G939" s="85"/>
    </row>
    <row r="940" spans="4:7" ht="13.5">
      <c r="D940" s="11"/>
      <c r="E940" s="86"/>
      <c r="F940" s="85"/>
      <c r="G940" s="85"/>
    </row>
    <row r="941" spans="4:7" ht="13.5">
      <c r="D941" s="11"/>
      <c r="E941" s="86"/>
      <c r="F941" s="85"/>
      <c r="G941" s="85"/>
    </row>
    <row r="942" spans="4:7" ht="13.5">
      <c r="D942" s="11"/>
      <c r="E942" s="86"/>
      <c r="F942" s="85"/>
      <c r="G942" s="85"/>
    </row>
    <row r="943" spans="4:7" ht="13.5">
      <c r="D943" s="11"/>
      <c r="E943" s="86"/>
      <c r="F943" s="85"/>
      <c r="G943" s="85"/>
    </row>
    <row r="944" spans="4:7" ht="13.5">
      <c r="D944" s="11"/>
      <c r="E944" s="86"/>
      <c r="F944" s="85"/>
      <c r="G944" s="85"/>
    </row>
    <row r="945" spans="4:7" ht="13.5">
      <c r="D945" s="11"/>
      <c r="E945" s="86"/>
      <c r="F945" s="85"/>
      <c r="G945" s="85"/>
    </row>
    <row r="946" spans="4:7" ht="13.5">
      <c r="D946" s="11"/>
      <c r="E946" s="86"/>
      <c r="F946" s="85"/>
      <c r="G946" s="85"/>
    </row>
    <row r="947" spans="4:7" ht="13.5">
      <c r="D947" s="11"/>
      <c r="E947" s="86"/>
      <c r="F947" s="85"/>
      <c r="G947" s="85"/>
    </row>
    <row r="948" spans="4:7" ht="13.5">
      <c r="D948" s="11"/>
      <c r="E948" s="86"/>
      <c r="F948" s="85"/>
      <c r="G948" s="85"/>
    </row>
    <row r="949" spans="4:7" ht="13.5">
      <c r="D949" s="11"/>
      <c r="E949" s="86"/>
      <c r="F949" s="85"/>
      <c r="G949" s="85"/>
    </row>
    <row r="950" spans="4:7" ht="13.5">
      <c r="D950" s="11"/>
      <c r="E950" s="86"/>
      <c r="F950" s="85"/>
      <c r="G950" s="85"/>
    </row>
    <row r="951" spans="4:7" ht="13.5">
      <c r="D951" s="11"/>
      <c r="E951" s="86"/>
      <c r="F951" s="85"/>
      <c r="G951" s="85"/>
    </row>
    <row r="952" spans="4:7" ht="13.5">
      <c r="D952" s="11"/>
      <c r="E952" s="86"/>
      <c r="F952" s="85"/>
      <c r="G952" s="85"/>
    </row>
    <row r="953" spans="4:7" ht="13.5">
      <c r="D953" s="11"/>
      <c r="E953" s="86"/>
      <c r="F953" s="85"/>
      <c r="G953" s="85"/>
    </row>
    <row r="954" spans="4:7" ht="13.5">
      <c r="D954" s="11"/>
      <c r="E954" s="86"/>
      <c r="F954" s="85"/>
      <c r="G954" s="85"/>
    </row>
    <row r="955" spans="4:7" ht="13.5">
      <c r="D955" s="11"/>
      <c r="E955" s="86"/>
      <c r="F955" s="85"/>
      <c r="G955" s="85"/>
    </row>
    <row r="956" spans="4:7" ht="13.5">
      <c r="D956" s="11"/>
      <c r="E956" s="86"/>
      <c r="F956" s="85"/>
      <c r="G956" s="85"/>
    </row>
    <row r="957" spans="4:7" ht="13.5">
      <c r="D957" s="11"/>
      <c r="E957" s="86"/>
      <c r="F957" s="85"/>
      <c r="G957" s="85"/>
    </row>
    <row r="958" spans="4:7" ht="13.5">
      <c r="D958" s="11"/>
      <c r="E958" s="86"/>
      <c r="F958" s="85"/>
      <c r="G958" s="85"/>
    </row>
    <row r="959" spans="4:7" ht="13.5">
      <c r="D959" s="11"/>
      <c r="E959" s="86"/>
      <c r="F959" s="85"/>
      <c r="G959" s="85"/>
    </row>
    <row r="960" spans="4:7" ht="13.5">
      <c r="D960" s="11"/>
      <c r="E960" s="86"/>
      <c r="F960" s="85"/>
      <c r="G960" s="85"/>
    </row>
    <row r="961" spans="4:7" ht="13.5">
      <c r="D961" s="11"/>
      <c r="E961" s="86"/>
      <c r="F961" s="85"/>
      <c r="G961" s="85"/>
    </row>
    <row r="962" spans="4:7" ht="13.5">
      <c r="D962" s="11"/>
      <c r="E962" s="86"/>
      <c r="F962" s="85"/>
      <c r="G962" s="85"/>
    </row>
    <row r="963" spans="4:7" ht="13.5">
      <c r="D963" s="11"/>
      <c r="E963" s="86"/>
      <c r="F963" s="85"/>
      <c r="G963" s="85"/>
    </row>
    <row r="964" spans="4:7" ht="13.5">
      <c r="D964" s="11"/>
      <c r="E964" s="86"/>
      <c r="F964" s="85"/>
      <c r="G964" s="85"/>
    </row>
    <row r="965" spans="4:7" ht="13.5">
      <c r="D965" s="11"/>
      <c r="E965" s="86"/>
      <c r="F965" s="85"/>
      <c r="G965" s="85"/>
    </row>
    <row r="966" spans="4:7" ht="13.5">
      <c r="D966" s="11"/>
      <c r="E966" s="86"/>
      <c r="F966" s="85"/>
      <c r="G966" s="85"/>
    </row>
    <row r="967" spans="4:7" ht="13.5">
      <c r="D967" s="11"/>
      <c r="E967" s="86"/>
      <c r="F967" s="85"/>
      <c r="G967" s="85"/>
    </row>
    <row r="968" spans="4:7" ht="13.5">
      <c r="D968" s="11"/>
      <c r="E968" s="86"/>
      <c r="F968" s="85"/>
      <c r="G968" s="85"/>
    </row>
    <row r="969" spans="4:7" ht="13.5">
      <c r="D969" s="11"/>
      <c r="E969" s="86"/>
      <c r="F969" s="85"/>
      <c r="G969" s="85"/>
    </row>
    <row r="970" spans="4:7" ht="13.5">
      <c r="D970" s="11"/>
      <c r="E970" s="86"/>
      <c r="F970" s="85"/>
      <c r="G970" s="85"/>
    </row>
    <row r="971" spans="4:7" ht="13.5">
      <c r="D971" s="11"/>
      <c r="E971" s="86"/>
      <c r="F971" s="85"/>
      <c r="G971" s="85"/>
    </row>
    <row r="972" spans="4:7" ht="13.5">
      <c r="D972" s="11"/>
      <c r="E972" s="86"/>
      <c r="F972" s="85"/>
      <c r="G972" s="85"/>
    </row>
    <row r="973" spans="4:7" ht="13.5">
      <c r="D973" s="11"/>
      <c r="E973" s="86"/>
      <c r="F973" s="85"/>
      <c r="G973" s="85"/>
    </row>
    <row r="974" spans="4:7" ht="13.5">
      <c r="D974" s="11"/>
      <c r="E974" s="86"/>
      <c r="F974" s="85"/>
      <c r="G974" s="85"/>
    </row>
    <row r="975" spans="4:7" ht="13.5">
      <c r="D975" s="11"/>
      <c r="E975" s="86"/>
      <c r="F975" s="85"/>
      <c r="G975" s="85"/>
    </row>
    <row r="976" spans="4:7" ht="13.5">
      <c r="D976" s="11"/>
      <c r="E976" s="86"/>
      <c r="F976" s="85"/>
      <c r="G976" s="85"/>
    </row>
    <row r="977" spans="4:7" ht="13.5">
      <c r="D977" s="11"/>
      <c r="E977" s="86"/>
      <c r="F977" s="85"/>
      <c r="G977" s="85"/>
    </row>
    <row r="978" spans="4:7" ht="13.5">
      <c r="D978" s="11"/>
      <c r="E978" s="86"/>
      <c r="F978" s="85"/>
      <c r="G978" s="85"/>
    </row>
    <row r="979" spans="4:7" ht="13.5">
      <c r="D979" s="11"/>
      <c r="E979" s="86"/>
      <c r="F979" s="85"/>
      <c r="G979" s="85"/>
    </row>
    <row r="980" spans="4:7" ht="13.5">
      <c r="D980" s="11"/>
      <c r="E980" s="86"/>
      <c r="F980" s="85"/>
      <c r="G980" s="85"/>
    </row>
    <row r="981" spans="4:7" ht="13.5">
      <c r="D981" s="11"/>
      <c r="E981" s="86"/>
      <c r="F981" s="85"/>
      <c r="G981" s="85"/>
    </row>
    <row r="982" spans="4:7" ht="13.5">
      <c r="D982" s="11"/>
      <c r="E982" s="86"/>
      <c r="F982" s="85"/>
      <c r="G982" s="85"/>
    </row>
    <row r="983" spans="4:7" ht="13.5">
      <c r="D983" s="11"/>
      <c r="E983" s="86"/>
      <c r="F983" s="85"/>
      <c r="G983" s="85"/>
    </row>
    <row r="984" spans="4:7" ht="13.5">
      <c r="D984" s="11"/>
      <c r="E984" s="86"/>
      <c r="F984" s="85"/>
      <c r="G984" s="85"/>
    </row>
    <row r="985" spans="4:7" ht="13.5">
      <c r="D985" s="11"/>
      <c r="E985" s="86"/>
      <c r="F985" s="85"/>
      <c r="G985" s="85"/>
    </row>
    <row r="986" spans="4:7" ht="13.5">
      <c r="D986" s="11"/>
      <c r="E986" s="86"/>
      <c r="F986" s="85"/>
      <c r="G986" s="85"/>
    </row>
    <row r="987" spans="4:7" ht="13.5">
      <c r="D987" s="11"/>
      <c r="E987" s="86"/>
      <c r="F987" s="85"/>
      <c r="G987" s="85"/>
    </row>
    <row r="988" spans="4:7" ht="13.5">
      <c r="D988" s="11"/>
      <c r="E988" s="86"/>
      <c r="F988" s="85"/>
      <c r="G988" s="85"/>
    </row>
    <row r="989" spans="4:7" ht="13.5">
      <c r="D989" s="11"/>
      <c r="E989" s="86"/>
      <c r="F989" s="85"/>
      <c r="G989" s="85"/>
    </row>
    <row r="990" spans="4:7" ht="13.5">
      <c r="D990" s="11"/>
      <c r="E990" s="86"/>
      <c r="F990" s="85"/>
      <c r="G990" s="85"/>
    </row>
  </sheetData>
  <mergeCells count="17">
    <mergeCell ref="A2:A3"/>
    <mergeCell ref="C2:C3"/>
    <mergeCell ref="D2:D3"/>
    <mergeCell ref="E2:E3"/>
    <mergeCell ref="F2:G2"/>
    <mergeCell ref="B2:B3"/>
    <mergeCell ref="AG2:AH2"/>
    <mergeCell ref="AI2:AI3"/>
    <mergeCell ref="AJ2:AJ3"/>
    <mergeCell ref="F1:G1"/>
    <mergeCell ref="AG1:AH1"/>
    <mergeCell ref="N2:N3"/>
    <mergeCell ref="O2:O3"/>
    <mergeCell ref="AE2:AE3"/>
    <mergeCell ref="AF2:AF3"/>
    <mergeCell ref="AB2:AB3"/>
    <mergeCell ref="AC2:AC3"/>
  </mergeCells>
  <phoneticPr fontId="54" type="noConversion"/>
  <conditionalFormatting sqref="B130">
    <cfRule type="duplicateValues" dxfId="3" priority="2"/>
  </conditionalFormatting>
  <conditionalFormatting sqref="B131">
    <cfRule type="duplicateValues" dxfId="2" priority="1"/>
  </conditionalFormatting>
  <printOptions horizontalCentered="1" gridLines="1"/>
  <pageMargins left="0.7" right="0.7" top="0.75" bottom="0.75" header="0" footer="0"/>
  <pageSetup paperSize="9" scale="34" fitToHeight="0" pageOrder="overThenDown" orientation="landscape" cellComments="atEnd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outlinePr summaryBelow="0" summaryRight="0"/>
    <pageSetUpPr fitToPage="1"/>
  </sheetPr>
  <dimension ref="A1:AN1047"/>
  <sheetViews>
    <sheetView zoomScale="90" zoomScaleNormal="90" workbookViewId="0">
      <pane xSplit="7" ySplit="3" topLeftCell="H4" activePane="bottomRight" state="frozen"/>
      <selection pane="topRight" activeCell="J1" sqref="J1"/>
      <selection pane="bottomLeft" activeCell="A4" sqref="A4"/>
      <selection pane="bottomRight" activeCell="G107" sqref="G107"/>
    </sheetView>
  </sheetViews>
  <sheetFormatPr defaultColWidth="12.5703125" defaultRowHeight="15.75" customHeight="1" outlineLevelCol="1"/>
  <cols>
    <col min="1" max="1" width="19.5703125" customWidth="1"/>
    <col min="2" max="2" width="11" customWidth="1"/>
    <col min="3" max="3" width="53.85546875" style="98" customWidth="1"/>
    <col min="4" max="4" width="10.28515625" bestFit="1" customWidth="1"/>
    <col min="5" max="5" width="6.85546875" bestFit="1" customWidth="1"/>
    <col min="6" max="6" width="10.5703125" hidden="1" customWidth="1"/>
    <col min="7" max="7" width="12.28515625" bestFit="1" customWidth="1"/>
    <col min="8" max="9" width="12.5703125" hidden="1" customWidth="1"/>
    <col min="10" max="10" width="10.5703125" customWidth="1"/>
    <col min="11" max="11" width="9.85546875" customWidth="1"/>
    <col min="12" max="12" width="11.7109375" customWidth="1"/>
    <col min="13" max="15" width="12.140625" customWidth="1"/>
    <col min="16" max="17" width="11.42578125" customWidth="1"/>
    <col min="18" max="21" width="12.140625" customWidth="1"/>
    <col min="22" max="22" width="12.140625" customWidth="1" collapsed="1"/>
    <col min="23" max="29" width="12.140625" hidden="1" customWidth="1" outlineLevel="1"/>
    <col min="30" max="32" width="12.140625" customWidth="1"/>
    <col min="33" max="33" width="10.140625" style="110" customWidth="1"/>
    <col min="34" max="34" width="13.85546875" hidden="1" customWidth="1"/>
    <col min="35" max="36" width="15" customWidth="1"/>
    <col min="37" max="37" width="38.140625" customWidth="1"/>
    <col min="39" max="40" width="9.28515625" customWidth="1"/>
  </cols>
  <sheetData>
    <row r="1" spans="1:40" ht="17.25">
      <c r="A1" s="87" t="s">
        <v>0</v>
      </c>
      <c r="B1" s="87"/>
      <c r="C1" s="97"/>
      <c r="D1" s="1"/>
      <c r="E1" s="2"/>
      <c r="F1" s="452"/>
      <c r="G1" s="453"/>
      <c r="H1" s="6"/>
      <c r="I1" s="6"/>
      <c r="M1" s="6"/>
      <c r="N1" s="6"/>
      <c r="P1" s="6"/>
      <c r="Q1" s="6"/>
      <c r="R1" s="12" t="s">
        <v>424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99"/>
      <c r="AH1" s="3"/>
      <c r="AI1" s="452"/>
      <c r="AJ1" s="453"/>
      <c r="AK1" s="13"/>
      <c r="AL1" s="13"/>
      <c r="AM1" s="14"/>
      <c r="AN1" s="14"/>
    </row>
    <row r="2" spans="1:40" s="92" customFormat="1" ht="33" customHeight="1">
      <c r="A2" s="460" t="s">
        <v>2</v>
      </c>
      <c r="B2" s="461"/>
      <c r="C2" s="461" t="s">
        <v>3</v>
      </c>
      <c r="D2" s="461" t="s">
        <v>4</v>
      </c>
      <c r="E2" s="473" t="s">
        <v>671</v>
      </c>
      <c r="F2" s="448">
        <f>站前4樓!F2</f>
        <v>46173</v>
      </c>
      <c r="G2" s="459"/>
      <c r="H2" s="454" t="s">
        <v>637</v>
      </c>
      <c r="I2" s="454" t="s">
        <v>636</v>
      </c>
      <c r="J2" s="115" t="s">
        <v>455</v>
      </c>
      <c r="K2" s="115" t="s">
        <v>453</v>
      </c>
      <c r="L2" s="115" t="s">
        <v>454</v>
      </c>
      <c r="M2" s="115" t="s">
        <v>457</v>
      </c>
      <c r="N2" s="115" t="s">
        <v>458</v>
      </c>
      <c r="O2" s="115" t="s">
        <v>459</v>
      </c>
      <c r="P2" s="445" t="s">
        <v>228</v>
      </c>
      <c r="Q2" s="445" t="s">
        <v>229</v>
      </c>
      <c r="R2" s="115" t="s">
        <v>673</v>
      </c>
      <c r="S2" s="115" t="s">
        <v>853</v>
      </c>
      <c r="T2" s="115" t="s">
        <v>855</v>
      </c>
      <c r="U2" s="115" t="s">
        <v>857</v>
      </c>
      <c r="V2" s="115" t="s">
        <v>866</v>
      </c>
      <c r="W2" s="115" t="s">
        <v>867</v>
      </c>
      <c r="X2" s="115" t="s">
        <v>868</v>
      </c>
      <c r="Y2" s="115" t="s">
        <v>869</v>
      </c>
      <c r="Z2" s="115" t="s">
        <v>870</v>
      </c>
      <c r="AA2" s="115" t="s">
        <v>871</v>
      </c>
      <c r="AB2" s="115" t="s">
        <v>872</v>
      </c>
      <c r="AC2" s="115" t="s">
        <v>873</v>
      </c>
      <c r="AD2" s="445" t="s">
        <v>859</v>
      </c>
      <c r="AE2" s="445" t="s">
        <v>860</v>
      </c>
      <c r="AF2" s="115" t="s">
        <v>949</v>
      </c>
      <c r="AG2" s="455" t="s">
        <v>8</v>
      </c>
      <c r="AH2" s="457" t="s">
        <v>9</v>
      </c>
      <c r="AI2" s="458" t="s">
        <v>10</v>
      </c>
      <c r="AJ2" s="459"/>
      <c r="AK2" s="450" t="s">
        <v>11</v>
      </c>
      <c r="AL2" s="450"/>
      <c r="AM2" s="91"/>
      <c r="AN2" s="91"/>
    </row>
    <row r="3" spans="1:40" s="92" customFormat="1" ht="33">
      <c r="A3" s="451"/>
      <c r="B3" s="462"/>
      <c r="C3" s="462"/>
      <c r="D3" s="451"/>
      <c r="E3" s="451"/>
      <c r="F3" s="93" t="s">
        <v>226</v>
      </c>
      <c r="G3" s="189" t="s">
        <v>745</v>
      </c>
      <c r="H3" s="451"/>
      <c r="I3" s="451"/>
      <c r="J3" s="95" t="s">
        <v>12</v>
      </c>
      <c r="K3" s="95" t="s">
        <v>12</v>
      </c>
      <c r="L3" s="95" t="s">
        <v>12</v>
      </c>
      <c r="M3" s="95" t="s">
        <v>12</v>
      </c>
      <c r="N3" s="95" t="s">
        <v>12</v>
      </c>
      <c r="O3" s="95" t="s">
        <v>12</v>
      </c>
      <c r="P3" s="451"/>
      <c r="Q3" s="451"/>
      <c r="R3" s="95" t="s">
        <v>12</v>
      </c>
      <c r="S3" s="95" t="s">
        <v>12</v>
      </c>
      <c r="T3" s="95" t="s">
        <v>12</v>
      </c>
      <c r="U3" s="95" t="s">
        <v>12</v>
      </c>
      <c r="V3" s="95" t="s">
        <v>12</v>
      </c>
      <c r="W3" s="95" t="s">
        <v>12</v>
      </c>
      <c r="X3" s="95" t="s">
        <v>12</v>
      </c>
      <c r="Y3" s="95" t="s">
        <v>12</v>
      </c>
      <c r="Z3" s="95" t="s">
        <v>12</v>
      </c>
      <c r="AA3" s="95" t="s">
        <v>12</v>
      </c>
      <c r="AB3" s="95" t="s">
        <v>12</v>
      </c>
      <c r="AC3" s="95" t="s">
        <v>12</v>
      </c>
      <c r="AD3" s="446"/>
      <c r="AE3" s="446"/>
      <c r="AF3" s="403" t="s">
        <v>13</v>
      </c>
      <c r="AG3" s="456"/>
      <c r="AH3" s="451"/>
      <c r="AI3" s="113" t="s">
        <v>230</v>
      </c>
      <c r="AJ3" s="113" t="s">
        <v>231</v>
      </c>
      <c r="AK3" s="451"/>
      <c r="AL3" s="451"/>
      <c r="AM3" s="91"/>
      <c r="AN3" s="91"/>
    </row>
    <row r="4" spans="1:40" ht="16.5" customHeight="1">
      <c r="A4" s="27" t="s">
        <v>14</v>
      </c>
      <c r="B4" s="14">
        <v>6150001</v>
      </c>
      <c r="C4" s="118" t="s">
        <v>595</v>
      </c>
      <c r="D4" s="16">
        <v>2</v>
      </c>
      <c r="E4" s="17" t="s">
        <v>15</v>
      </c>
      <c r="F4" s="18"/>
      <c r="G4" s="18">
        <v>44</v>
      </c>
      <c r="H4" s="21" t="e">
        <f>SUM(#REF!)</f>
        <v>#REF!</v>
      </c>
      <c r="I4" s="22" t="e">
        <f t="shared" ref="I4:I20" si="0">H4/12</f>
        <v>#REF!</v>
      </c>
      <c r="J4" s="20">
        <f>SUMIFS(領用表!$L:$L,領用表!$E:$E,$B4,領用表!$B:$B,J$2&amp;$R$1)</f>
        <v>11</v>
      </c>
      <c r="K4" s="20">
        <f>SUMIFS(領用表!$L:$L,領用表!$E:$E,$B4,領用表!$B:$B,K$2&amp;$R$1)</f>
        <v>76</v>
      </c>
      <c r="L4" s="20">
        <f>SUMIFS(領用表!$L:$L,領用表!$E:$E,$B4,領用表!$B:$B,L$2&amp;$R$1)</f>
        <v>51</v>
      </c>
      <c r="M4" s="142">
        <f>SUMIFS(領用表!$L:$L,領用表!$E:$E,$B4,領用表!$B:$B,M$2&amp;$R$1)</f>
        <v>73</v>
      </c>
      <c r="N4" s="142">
        <f>SUMIFS(領用表!$L:$L,領用表!$E:$E,$B4,領用表!$B:$B,N$2&amp;$R$1)</f>
        <v>61</v>
      </c>
      <c r="O4" s="142">
        <f>SUMIFS(領用表!$L:$L,領用表!$E:$E,$B4,領用表!$B:$B,O$2&amp;$R$1)</f>
        <v>93</v>
      </c>
      <c r="P4" s="23">
        <f>SUM(,J4,K4,L4,M4,N4,O4)</f>
        <v>365</v>
      </c>
      <c r="Q4" s="23">
        <f>AVERAGE(,J4,K4,L4,M4,N4,O4)</f>
        <v>52.142857142857146</v>
      </c>
      <c r="R4" s="142">
        <f>SUMIFS(領用表!$L:$L,領用表!$E:$E,$B4,領用表!$B:$B,R$2&amp;$R$1)</f>
        <v>108</v>
      </c>
      <c r="S4" s="142">
        <f>SUMIFS(領用表!$L:$L,領用表!$E:$E,$B4,領用表!$B:$B,S$2&amp;$R$1)</f>
        <v>96</v>
      </c>
      <c r="T4" s="142">
        <f>SUMIFS(領用表!$L:$L,領用表!$E:$E,$B4,領用表!$B:$B,T$2&amp;$R$1)</f>
        <v>83</v>
      </c>
      <c r="U4" s="142">
        <f>SUMIFS(領用表!$L:$L,領用表!$E:$E,$B4,領用表!$B:$B,U$2&amp;$R$1)</f>
        <v>118</v>
      </c>
      <c r="V4" s="142">
        <f>SUMIFS(領用表!$L:$L,領用表!$E:$E,$B4,領用表!$B:$B,V$2&amp;$R$1)</f>
        <v>120</v>
      </c>
      <c r="W4" s="142">
        <f>SUMIFS(領用表!$L:$L,領用表!$E:$E,$B4,領用表!$B:$B,W$2&amp;$R$1)</f>
        <v>0</v>
      </c>
      <c r="X4" s="142">
        <f>SUMIFS(領用表!$L:$L,領用表!$E:$E,$B4,領用表!$B:$B,X$2&amp;$R$1)</f>
        <v>0</v>
      </c>
      <c r="Y4" s="142">
        <f>SUMIFS(領用表!$L:$L,領用表!$E:$E,$B4,領用表!$B:$B,Y$2&amp;$R$1)</f>
        <v>0</v>
      </c>
      <c r="Z4" s="142">
        <f>SUMIFS(領用表!$L:$L,領用表!$E:$E,$B4,領用表!$B:$B,Z$2&amp;$R$1)</f>
        <v>0</v>
      </c>
      <c r="AA4" s="142">
        <f>SUMIFS(領用表!$L:$L,領用表!$E:$E,$B4,領用表!$B:$B,AA$2&amp;$R$1)</f>
        <v>0</v>
      </c>
      <c r="AB4" s="142">
        <f>SUMIFS(領用表!$L:$L,領用表!$E:$E,$B4,領用表!$B:$B,AB$2&amp;$R$1)</f>
        <v>0</v>
      </c>
      <c r="AC4" s="142">
        <f>SUMIFS(領用表!$L:$L,領用表!$E:$E,$B4,領用表!$B:$B,AC$2&amp;$R$1)</f>
        <v>0</v>
      </c>
      <c r="AD4" s="208">
        <f>SUM(R4:AC4)</f>
        <v>525</v>
      </c>
      <c r="AE4" s="208">
        <f>AVERAGE(R4,S4,T4,U4,V4)</f>
        <v>105</v>
      </c>
      <c r="AF4" s="142">
        <f>SUMIF(Summary!B:B,B4,Summary!DV:DV)</f>
        <v>120</v>
      </c>
      <c r="AG4" s="100">
        <v>55</v>
      </c>
      <c r="AH4" s="24">
        <v>0</v>
      </c>
      <c r="AI4" s="25" t="s">
        <v>16</v>
      </c>
      <c r="AJ4" s="25" t="s">
        <v>17</v>
      </c>
      <c r="AK4" s="27"/>
      <c r="AL4" s="28"/>
      <c r="AM4" s="14"/>
      <c r="AN4" s="29"/>
    </row>
    <row r="5" spans="1:40" ht="15.75" customHeight="1">
      <c r="A5" s="27" t="s">
        <v>18</v>
      </c>
      <c r="B5" s="14">
        <v>6150002</v>
      </c>
      <c r="C5" s="118" t="s">
        <v>596</v>
      </c>
      <c r="D5" s="16">
        <v>2</v>
      </c>
      <c r="E5" s="17" t="s">
        <v>15</v>
      </c>
      <c r="F5" s="18"/>
      <c r="G5" s="18">
        <v>22</v>
      </c>
      <c r="H5" s="21" t="e">
        <f>SUM(#REF!)</f>
        <v>#REF!</v>
      </c>
      <c r="I5" s="22" t="e">
        <f t="shared" si="0"/>
        <v>#REF!</v>
      </c>
      <c r="J5" s="20">
        <f>SUMIFS(領用表!$L:$L,領用表!$E:$E,$B5,領用表!$B:$B,J$2&amp;$R$1)</f>
        <v>6</v>
      </c>
      <c r="K5" s="20">
        <f>SUMIFS(領用表!$L:$L,領用表!$E:$E,$B5,領用表!$B:$B,K$2&amp;$R$1)</f>
        <v>3</v>
      </c>
      <c r="L5" s="20">
        <f>SUMIFS(領用表!$L:$L,領用表!$E:$E,$B5,領用表!$B:$B,L$2&amp;$R$1)</f>
        <v>2</v>
      </c>
      <c r="M5" s="142">
        <f>SUMIFS(領用表!$L:$L,領用表!$E:$E,$B5,領用表!$B:$B,M$2&amp;$R$1)</f>
        <v>5</v>
      </c>
      <c r="N5" s="142">
        <f>SUMIFS(領用表!$L:$L,領用表!$E:$E,$B5,領用表!$B:$B,N$2&amp;$R$1)</f>
        <v>10</v>
      </c>
      <c r="O5" s="142">
        <f>SUMIFS(領用表!$L:$L,領用表!$E:$E,$B5,領用表!$B:$B,O$2&amp;$R$1)</f>
        <v>24</v>
      </c>
      <c r="P5" s="23">
        <f t="shared" ref="P5:P73" si="1">SUM(,J5,K5,L5,M5,N5,O5)</f>
        <v>50</v>
      </c>
      <c r="Q5" s="23">
        <f t="shared" ref="Q5:Q73" si="2">AVERAGE(,J5,K5,L5,M5,N5,O5)</f>
        <v>7.1428571428571432</v>
      </c>
      <c r="R5" s="142">
        <f>SUMIFS(領用表!$L:$L,領用表!$E:$E,$B5,領用表!$B:$B,R$2&amp;$R$1)</f>
        <v>25</v>
      </c>
      <c r="S5" s="142">
        <f>SUMIFS(領用表!$L:$L,領用表!$E:$E,$B5,領用表!$B:$B,S$2&amp;$R$1)</f>
        <v>20</v>
      </c>
      <c r="T5" s="142">
        <f>SUMIFS(領用表!$L:$L,領用表!$E:$E,$B5,領用表!$B:$B,T$2&amp;$R$1)</f>
        <v>16</v>
      </c>
      <c r="U5" s="142">
        <f>SUMIFS(領用表!$L:$L,領用表!$E:$E,$B5,領用表!$B:$B,U$2&amp;$R$1)</f>
        <v>21</v>
      </c>
      <c r="V5" s="142">
        <f>SUMIFS(領用表!$L:$L,領用表!$E:$E,$B5,領用表!$B:$B,V$2&amp;$R$1)</f>
        <v>18</v>
      </c>
      <c r="W5" s="142">
        <f>SUMIFS(領用表!$L:$L,領用表!$E:$E,$B5,領用表!$B:$B,W$2&amp;$R$1)</f>
        <v>0</v>
      </c>
      <c r="X5" s="142">
        <f>SUMIFS(領用表!$L:$L,領用表!$E:$E,$B5,領用表!$B:$B,X$2&amp;$R$1)</f>
        <v>0</v>
      </c>
      <c r="Y5" s="142">
        <f>SUMIFS(領用表!$L:$L,領用表!$E:$E,$B5,領用表!$B:$B,Y$2&amp;$R$1)</f>
        <v>0</v>
      </c>
      <c r="Z5" s="142">
        <f>SUMIFS(領用表!$L:$L,領用表!$E:$E,$B5,領用表!$B:$B,Z$2&amp;$R$1)</f>
        <v>0</v>
      </c>
      <c r="AA5" s="142">
        <f>SUMIFS(領用表!$L:$L,領用表!$E:$E,$B5,領用表!$B:$B,AA$2&amp;$R$1)</f>
        <v>0</v>
      </c>
      <c r="AB5" s="142">
        <f>SUMIFS(領用表!$L:$L,領用表!$E:$E,$B5,領用表!$B:$B,AB$2&amp;$R$1)</f>
        <v>0</v>
      </c>
      <c r="AC5" s="142">
        <f>SUMIFS(領用表!$L:$L,領用表!$E:$E,$B5,領用表!$B:$B,AC$2&amp;$R$1)</f>
        <v>0</v>
      </c>
      <c r="AD5" s="142">
        <f t="shared" ref="AD5:AD70" si="3">SUM(R5:AC5)</f>
        <v>100</v>
      </c>
      <c r="AE5" s="142">
        <f t="shared" ref="AE5:AE70" si="4">AVERAGE(R5,S5,T5,U5,V5)</f>
        <v>20</v>
      </c>
      <c r="AF5" s="142">
        <f>SUMIF(Summary!B:B,B5,Summary!DV:DV)</f>
        <v>25</v>
      </c>
      <c r="AG5" s="100">
        <v>8</v>
      </c>
      <c r="AH5" s="24">
        <v>0</v>
      </c>
      <c r="AI5" s="25"/>
      <c r="AJ5" s="25" t="s">
        <v>17</v>
      </c>
      <c r="AK5" s="27"/>
      <c r="AL5" s="28"/>
      <c r="AM5" s="14"/>
      <c r="AN5" s="29"/>
    </row>
    <row r="6" spans="1:40" ht="15.75" customHeight="1">
      <c r="A6" s="27" t="s">
        <v>19</v>
      </c>
      <c r="B6" s="14">
        <v>6150003</v>
      </c>
      <c r="C6" s="118" t="s">
        <v>597</v>
      </c>
      <c r="D6" s="16">
        <v>2</v>
      </c>
      <c r="E6" s="17" t="s">
        <v>15</v>
      </c>
      <c r="F6" s="18"/>
      <c r="G6" s="18">
        <v>4</v>
      </c>
      <c r="H6" s="21" t="e">
        <f>SUM(#REF!)</f>
        <v>#REF!</v>
      </c>
      <c r="I6" s="22" t="e">
        <f t="shared" si="0"/>
        <v>#REF!</v>
      </c>
      <c r="J6" s="20">
        <f>SUMIFS(領用表!$L:$L,領用表!$E:$E,$B6,領用表!$B:$B,J$2&amp;$R$1)</f>
        <v>0</v>
      </c>
      <c r="K6" s="20">
        <f>SUMIFS(領用表!$L:$L,領用表!$E:$E,$B6,領用表!$B:$B,K$2&amp;$R$1)</f>
        <v>1</v>
      </c>
      <c r="L6" s="20">
        <f>SUMIFS(領用表!$L:$L,領用表!$E:$E,$B6,領用表!$B:$B,L$2&amp;$R$1)</f>
        <v>1</v>
      </c>
      <c r="M6" s="142">
        <f>SUMIFS(領用表!$L:$L,領用表!$E:$E,$B6,領用表!$B:$B,M$2&amp;$R$1)</f>
        <v>4</v>
      </c>
      <c r="N6" s="142">
        <f>SUMIFS(領用表!$L:$L,領用表!$E:$E,$B6,領用表!$B:$B,N$2&amp;$R$1)</f>
        <v>0</v>
      </c>
      <c r="O6" s="142">
        <f>SUMIFS(領用表!$L:$L,領用表!$E:$E,$B6,領用表!$B:$B,O$2&amp;$R$1)</f>
        <v>1</v>
      </c>
      <c r="P6" s="23">
        <f t="shared" si="1"/>
        <v>7</v>
      </c>
      <c r="Q6" s="23">
        <f t="shared" si="2"/>
        <v>1</v>
      </c>
      <c r="R6" s="142">
        <f>SUMIFS(領用表!$L:$L,領用表!$E:$E,$B6,領用表!$B:$B,R$2&amp;$R$1)</f>
        <v>13</v>
      </c>
      <c r="S6" s="142">
        <f>SUMIFS(領用表!$L:$L,領用表!$E:$E,$B6,領用表!$B:$B,S$2&amp;$R$1)</f>
        <v>4</v>
      </c>
      <c r="T6" s="142">
        <f>SUMIFS(領用表!$L:$L,領用表!$E:$E,$B6,領用表!$B:$B,T$2&amp;$R$1)</f>
        <v>1</v>
      </c>
      <c r="U6" s="142">
        <f>SUMIFS(領用表!$L:$L,領用表!$E:$E,$B6,領用表!$B:$B,U$2&amp;$R$1)</f>
        <v>4</v>
      </c>
      <c r="V6" s="142">
        <f>SUMIFS(領用表!$L:$L,領用表!$E:$E,$B6,領用表!$B:$B,V$2&amp;$R$1)</f>
        <v>10</v>
      </c>
      <c r="W6" s="142">
        <f>SUMIFS(領用表!$L:$L,領用表!$E:$E,$B6,領用表!$B:$B,W$2&amp;$R$1)</f>
        <v>0</v>
      </c>
      <c r="X6" s="142">
        <f>SUMIFS(領用表!$L:$L,領用表!$E:$E,$B6,領用表!$B:$B,X$2&amp;$R$1)</f>
        <v>0</v>
      </c>
      <c r="Y6" s="142">
        <f>SUMIFS(領用表!$L:$L,領用表!$E:$E,$B6,領用表!$B:$B,Y$2&amp;$R$1)</f>
        <v>0</v>
      </c>
      <c r="Z6" s="142">
        <f>SUMIFS(領用表!$L:$L,領用表!$E:$E,$B6,領用表!$B:$B,Z$2&amp;$R$1)</f>
        <v>0</v>
      </c>
      <c r="AA6" s="142">
        <f>SUMIFS(領用表!$L:$L,領用表!$E:$E,$B6,領用表!$B:$B,AA$2&amp;$R$1)</f>
        <v>0</v>
      </c>
      <c r="AB6" s="142">
        <f>SUMIFS(領用表!$L:$L,領用表!$E:$E,$B6,領用表!$B:$B,AB$2&amp;$R$1)</f>
        <v>0</v>
      </c>
      <c r="AC6" s="142">
        <f>SUMIFS(領用表!$L:$L,領用表!$E:$E,$B6,領用表!$B:$B,AC$2&amp;$R$1)</f>
        <v>0</v>
      </c>
      <c r="AD6" s="142">
        <f t="shared" si="3"/>
        <v>32</v>
      </c>
      <c r="AE6" s="142">
        <f t="shared" si="4"/>
        <v>6.4</v>
      </c>
      <c r="AF6" s="142">
        <f>SUMIF(Summary!B:B,B6,Summary!DV:DV)</f>
        <v>10</v>
      </c>
      <c r="AG6" s="101">
        <v>3</v>
      </c>
      <c r="AH6" s="24">
        <v>0</v>
      </c>
      <c r="AI6" s="25"/>
      <c r="AJ6" s="25"/>
      <c r="AK6" s="27"/>
      <c r="AL6" s="28"/>
      <c r="AM6" s="14"/>
      <c r="AN6" s="29"/>
    </row>
    <row r="7" spans="1:40" ht="15.75" customHeight="1">
      <c r="A7" s="27" t="s">
        <v>20</v>
      </c>
      <c r="B7" s="14">
        <v>6150004</v>
      </c>
      <c r="C7" s="118" t="s">
        <v>598</v>
      </c>
      <c r="D7" s="16">
        <v>2</v>
      </c>
      <c r="E7" s="17" t="s">
        <v>15</v>
      </c>
      <c r="F7" s="18"/>
      <c r="G7" s="18">
        <v>3</v>
      </c>
      <c r="H7" s="21" t="e">
        <f>SUM(#REF!)</f>
        <v>#REF!</v>
      </c>
      <c r="I7" s="22" t="e">
        <f t="shared" si="0"/>
        <v>#REF!</v>
      </c>
      <c r="J7" s="20">
        <f>SUMIFS(領用表!$L:$L,領用表!$E:$E,$B7,領用表!$B:$B,J$2&amp;$R$1)</f>
        <v>11</v>
      </c>
      <c r="K7" s="20">
        <f>SUMIFS(領用表!$L:$L,領用表!$E:$E,$B7,領用表!$B:$B,K$2&amp;$R$1)</f>
        <v>39</v>
      </c>
      <c r="L7" s="20">
        <f>SUMIFS(領用表!$L:$L,領用表!$E:$E,$B7,領用表!$B:$B,L$2&amp;$R$1)</f>
        <v>25</v>
      </c>
      <c r="M7" s="142">
        <f>SUMIFS(領用表!$L:$L,領用表!$E:$E,$B7,領用表!$B:$B,M$2&amp;$R$1)</f>
        <v>21</v>
      </c>
      <c r="N7" s="142">
        <f>SUMIFS(領用表!$L:$L,領用表!$E:$E,$B7,領用表!$B:$B,N$2&amp;$R$1)</f>
        <v>15</v>
      </c>
      <c r="O7" s="142">
        <f>SUMIFS(領用表!$L:$L,領用表!$E:$E,$B7,領用表!$B:$B,O$2&amp;$R$1)</f>
        <v>18</v>
      </c>
      <c r="P7" s="23">
        <f t="shared" si="1"/>
        <v>129</v>
      </c>
      <c r="Q7" s="23">
        <f t="shared" si="2"/>
        <v>18.428571428571427</v>
      </c>
      <c r="R7" s="142">
        <f>SUMIFS(領用表!$L:$L,領用表!$E:$E,$B7,領用表!$B:$B,R$2&amp;$R$1)</f>
        <v>14</v>
      </c>
      <c r="S7" s="142">
        <f>SUMIFS(領用表!$L:$L,領用表!$E:$E,$B7,領用表!$B:$B,S$2&amp;$R$1)</f>
        <v>19</v>
      </c>
      <c r="T7" s="142">
        <f>SUMIFS(領用表!$L:$L,領用表!$E:$E,$B7,領用表!$B:$B,T$2&amp;$R$1)</f>
        <v>10</v>
      </c>
      <c r="U7" s="142">
        <f>SUMIFS(領用表!$L:$L,領用表!$E:$E,$B7,領用表!$B:$B,U$2&amp;$R$1)</f>
        <v>10</v>
      </c>
      <c r="V7" s="142">
        <f>SUMIFS(領用表!$L:$L,領用表!$E:$E,$B7,領用表!$B:$B,V$2&amp;$R$1)</f>
        <v>26</v>
      </c>
      <c r="W7" s="142">
        <f>SUMIFS(領用表!$L:$L,領用表!$E:$E,$B7,領用表!$B:$B,W$2&amp;$R$1)</f>
        <v>0</v>
      </c>
      <c r="X7" s="142">
        <f>SUMIFS(領用表!$L:$L,領用表!$E:$E,$B7,領用表!$B:$B,X$2&amp;$R$1)</f>
        <v>0</v>
      </c>
      <c r="Y7" s="142">
        <f>SUMIFS(領用表!$L:$L,領用表!$E:$E,$B7,領用表!$B:$B,Y$2&amp;$R$1)</f>
        <v>0</v>
      </c>
      <c r="Z7" s="142">
        <f>SUMIFS(領用表!$L:$L,領用表!$E:$E,$B7,領用表!$B:$B,Z$2&amp;$R$1)</f>
        <v>0</v>
      </c>
      <c r="AA7" s="142">
        <f>SUMIFS(領用表!$L:$L,領用表!$E:$E,$B7,領用表!$B:$B,AA$2&amp;$R$1)</f>
        <v>0</v>
      </c>
      <c r="AB7" s="142">
        <f>SUMIFS(領用表!$L:$L,領用表!$E:$E,$B7,領用表!$B:$B,AB$2&amp;$R$1)</f>
        <v>0</v>
      </c>
      <c r="AC7" s="142">
        <f>SUMIFS(領用表!$L:$L,領用表!$E:$E,$B7,領用表!$B:$B,AC$2&amp;$R$1)</f>
        <v>0</v>
      </c>
      <c r="AD7" s="142">
        <f t="shared" si="3"/>
        <v>79</v>
      </c>
      <c r="AE7" s="142">
        <f t="shared" si="4"/>
        <v>15.8</v>
      </c>
      <c r="AF7" s="142">
        <f>SUMIF(Summary!B:B,B7,Summary!DV:DV)</f>
        <v>15</v>
      </c>
      <c r="AG7" s="101">
        <v>20</v>
      </c>
      <c r="AH7" s="24">
        <v>0</v>
      </c>
      <c r="AI7" s="25"/>
      <c r="AJ7" s="25" t="s">
        <v>21</v>
      </c>
      <c r="AK7" s="27"/>
      <c r="AL7" s="28"/>
      <c r="AM7" s="14"/>
      <c r="AN7" s="29"/>
    </row>
    <row r="8" spans="1:40" ht="15.75" customHeight="1">
      <c r="A8" s="27" t="s">
        <v>22</v>
      </c>
      <c r="B8" s="14">
        <v>6150005</v>
      </c>
      <c r="C8" s="118" t="s">
        <v>599</v>
      </c>
      <c r="D8" s="16">
        <v>2</v>
      </c>
      <c r="E8" s="17" t="s">
        <v>15</v>
      </c>
      <c r="F8" s="18"/>
      <c r="G8" s="18"/>
      <c r="H8" s="21" t="e">
        <f>SUM(#REF!)</f>
        <v>#REF!</v>
      </c>
      <c r="I8" s="22" t="e">
        <f t="shared" si="0"/>
        <v>#REF!</v>
      </c>
      <c r="J8" s="20">
        <f>SUMIFS(領用表!$L:$L,領用表!$E:$E,$B8,領用表!$B:$B,J$2&amp;$R$1)</f>
        <v>0</v>
      </c>
      <c r="K8" s="20">
        <f>SUMIFS(領用表!$L:$L,領用表!$E:$E,$B8,領用表!$B:$B,K$2&amp;$R$1)</f>
        <v>4</v>
      </c>
      <c r="L8" s="20">
        <f>SUMIFS(領用表!$L:$L,領用表!$E:$E,$B8,領用表!$B:$B,L$2&amp;$R$1)</f>
        <v>3</v>
      </c>
      <c r="M8" s="142">
        <f>SUMIFS(領用表!$L:$L,領用表!$E:$E,$B8,領用表!$B:$B,M$2&amp;$R$1)</f>
        <v>1</v>
      </c>
      <c r="N8" s="142">
        <f>SUMIFS(領用表!$L:$L,領用表!$E:$E,$B8,領用表!$B:$B,N$2&amp;$R$1)</f>
        <v>1</v>
      </c>
      <c r="O8" s="142">
        <f>SUMIFS(領用表!$L:$L,領用表!$E:$E,$B8,領用表!$B:$B,O$2&amp;$R$1)</f>
        <v>2</v>
      </c>
      <c r="P8" s="23">
        <f t="shared" si="1"/>
        <v>11</v>
      </c>
      <c r="Q8" s="23">
        <f t="shared" si="2"/>
        <v>1.5714285714285714</v>
      </c>
      <c r="R8" s="142">
        <f>SUMIFS(領用表!$L:$L,領用表!$E:$E,$B8,領用表!$B:$B,R$2&amp;$R$1)</f>
        <v>6</v>
      </c>
      <c r="S8" s="142">
        <f>SUMIFS(領用表!$L:$L,領用表!$E:$E,$B8,領用表!$B:$B,S$2&amp;$R$1)</f>
        <v>7</v>
      </c>
      <c r="T8" s="142">
        <f>SUMIFS(領用表!$L:$L,領用表!$E:$E,$B8,領用表!$B:$B,T$2&amp;$R$1)</f>
        <v>1</v>
      </c>
      <c r="U8" s="142">
        <f>SUMIFS(領用表!$L:$L,領用表!$E:$E,$B8,領用表!$B:$B,U$2&amp;$R$1)</f>
        <v>1</v>
      </c>
      <c r="V8" s="142">
        <f>SUMIFS(領用表!$L:$L,領用表!$E:$E,$B8,領用表!$B:$B,V$2&amp;$R$1)</f>
        <v>0</v>
      </c>
      <c r="W8" s="142">
        <f>SUMIFS(領用表!$L:$L,領用表!$E:$E,$B8,領用表!$B:$B,W$2&amp;$R$1)</f>
        <v>0</v>
      </c>
      <c r="X8" s="142">
        <f>SUMIFS(領用表!$L:$L,領用表!$E:$E,$B8,領用表!$B:$B,X$2&amp;$R$1)</f>
        <v>0</v>
      </c>
      <c r="Y8" s="142">
        <f>SUMIFS(領用表!$L:$L,領用表!$E:$E,$B8,領用表!$B:$B,Y$2&amp;$R$1)</f>
        <v>0</v>
      </c>
      <c r="Z8" s="142">
        <f>SUMIFS(領用表!$L:$L,領用表!$E:$E,$B8,領用表!$B:$B,Z$2&amp;$R$1)</f>
        <v>0</v>
      </c>
      <c r="AA8" s="142">
        <f>SUMIFS(領用表!$L:$L,領用表!$E:$E,$B8,領用表!$B:$B,AA$2&amp;$R$1)</f>
        <v>0</v>
      </c>
      <c r="AB8" s="142">
        <f>SUMIFS(領用表!$L:$L,領用表!$E:$E,$B8,領用表!$B:$B,AB$2&amp;$R$1)</f>
        <v>0</v>
      </c>
      <c r="AC8" s="142">
        <f>SUMIFS(領用表!$L:$L,領用表!$E:$E,$B8,領用表!$B:$B,AC$2&amp;$R$1)</f>
        <v>0</v>
      </c>
      <c r="AD8" s="142">
        <f t="shared" si="3"/>
        <v>15</v>
      </c>
      <c r="AE8" s="142">
        <f t="shared" si="4"/>
        <v>3</v>
      </c>
      <c r="AF8" s="142">
        <f>SUMIF(Summary!B:B,B8,Summary!DV:DV)</f>
        <v>5</v>
      </c>
      <c r="AG8" s="101"/>
      <c r="AH8" s="24">
        <v>0</v>
      </c>
      <c r="AI8" s="25"/>
      <c r="AJ8" s="25"/>
      <c r="AK8" s="27"/>
      <c r="AL8" s="28"/>
      <c r="AM8" s="14"/>
      <c r="AN8" s="29"/>
    </row>
    <row r="9" spans="1:40" ht="15.75" customHeight="1">
      <c r="A9" s="27"/>
      <c r="B9" s="118">
        <v>6150015</v>
      </c>
      <c r="C9" s="118" t="s">
        <v>906</v>
      </c>
      <c r="D9" s="16">
        <v>2</v>
      </c>
      <c r="E9" s="17" t="s">
        <v>15</v>
      </c>
      <c r="F9" s="18"/>
      <c r="G9" s="18">
        <v>5</v>
      </c>
      <c r="H9" s="21"/>
      <c r="I9" s="22"/>
      <c r="J9" s="20"/>
      <c r="K9" s="20"/>
      <c r="L9" s="20"/>
      <c r="M9" s="142"/>
      <c r="N9" s="142"/>
      <c r="O9" s="142"/>
      <c r="P9" s="23"/>
      <c r="Q9" s="23"/>
      <c r="R9" s="142">
        <f>SUMIFS(領用表!$L:$L,領用表!$E:$E,$B9,領用表!$B:$B,R$2&amp;$R$1)</f>
        <v>0</v>
      </c>
      <c r="S9" s="142">
        <f>SUMIFS(領用表!$L:$L,領用表!$E:$E,$B9,領用表!$B:$B,S$2&amp;$R$1)</f>
        <v>0</v>
      </c>
      <c r="T9" s="142">
        <f>SUMIFS(領用表!$L:$L,領用表!$E:$E,$B9,領用表!$B:$B,T$2&amp;$R$1)</f>
        <v>0</v>
      </c>
      <c r="U9" s="142">
        <f>SUMIFS(領用表!$L:$L,領用表!$E:$E,$B9,領用表!$B:$B,U$2&amp;$R$1)</f>
        <v>0</v>
      </c>
      <c r="V9" s="142">
        <f>SUMIFS(領用表!$L:$L,領用表!$E:$E,$B9,領用表!$B:$B,V$2&amp;$R$1)</f>
        <v>3</v>
      </c>
      <c r="W9" s="142">
        <f>SUMIFS(領用表!$L:$L,領用表!$E:$E,$B9,領用表!$B:$B,W$2&amp;$R$1)</f>
        <v>0</v>
      </c>
      <c r="X9" s="142">
        <f>SUMIFS(領用表!$L:$L,領用表!$E:$E,$B9,領用表!$B:$B,X$2&amp;$R$1)</f>
        <v>0</v>
      </c>
      <c r="Y9" s="142">
        <f>SUMIFS(領用表!$L:$L,領用表!$E:$E,$B9,領用表!$B:$B,Y$2&amp;$R$1)</f>
        <v>0</v>
      </c>
      <c r="Z9" s="142">
        <f>SUMIFS(領用表!$L:$L,領用表!$E:$E,$B9,領用表!$B:$B,Z$2&amp;$R$1)</f>
        <v>0</v>
      </c>
      <c r="AA9" s="142">
        <f>SUMIFS(領用表!$L:$L,領用表!$E:$E,$B9,領用表!$B:$B,AA$2&amp;$R$1)</f>
        <v>0</v>
      </c>
      <c r="AB9" s="142">
        <f>SUMIFS(領用表!$L:$L,領用表!$E:$E,$B9,領用表!$B:$B,AB$2&amp;$R$1)</f>
        <v>0</v>
      </c>
      <c r="AC9" s="142">
        <f>SUMIFS(領用表!$L:$L,領用表!$E:$E,$B9,領用表!$B:$B,AC$2&amp;$R$1)</f>
        <v>0</v>
      </c>
      <c r="AD9" s="142">
        <f t="shared" ref="AD9" si="5">SUM(R9:AC9)</f>
        <v>3</v>
      </c>
      <c r="AE9" s="142">
        <f t="shared" si="4"/>
        <v>0.6</v>
      </c>
      <c r="AF9" s="142">
        <f>SUMIF(Summary!B:B,B9,Summary!DV:DV)</f>
        <v>0</v>
      </c>
      <c r="AG9" s="101"/>
      <c r="AH9" s="32"/>
      <c r="AI9" s="25"/>
      <c r="AJ9" s="25"/>
      <c r="AK9" s="27"/>
      <c r="AL9" s="28"/>
      <c r="AM9" s="14"/>
      <c r="AN9" s="29"/>
    </row>
    <row r="10" spans="1:40" ht="15.75" customHeight="1">
      <c r="A10" s="27"/>
      <c r="B10" s="118">
        <v>6150016</v>
      </c>
      <c r="C10" s="432" t="s">
        <v>962</v>
      </c>
      <c r="D10" s="16">
        <v>1</v>
      </c>
      <c r="E10" s="17" t="s">
        <v>15</v>
      </c>
      <c r="F10" s="18"/>
      <c r="G10" s="18">
        <v>14</v>
      </c>
      <c r="H10" s="21"/>
      <c r="I10" s="22"/>
      <c r="J10" s="20"/>
      <c r="K10" s="20"/>
      <c r="L10" s="20"/>
      <c r="M10" s="142"/>
      <c r="N10" s="142"/>
      <c r="O10" s="142"/>
      <c r="P10" s="23"/>
      <c r="Q10" s="23"/>
      <c r="R10" s="142"/>
      <c r="S10" s="142"/>
      <c r="T10" s="142"/>
      <c r="U10" s="142"/>
      <c r="V10" s="142">
        <f>SUMIFS(領用表!$L:$L,領用表!$E:$E,$B10,領用表!$B:$B,V$2&amp;$R$1)</f>
        <v>0</v>
      </c>
      <c r="W10" s="142">
        <f>SUMIFS(領用表!$L:$L,領用表!$E:$E,$B10,領用表!$B:$B,W$2&amp;$R$1)</f>
        <v>0</v>
      </c>
      <c r="X10" s="142">
        <f>SUMIFS(領用表!$L:$L,領用表!$E:$E,$B10,領用表!$B:$B,X$2&amp;$R$1)</f>
        <v>0</v>
      </c>
      <c r="Y10" s="142">
        <f>SUMIFS(領用表!$L:$L,領用表!$E:$E,$B10,領用表!$B:$B,Y$2&amp;$R$1)</f>
        <v>0</v>
      </c>
      <c r="Z10" s="142">
        <f>SUMIFS(領用表!$L:$L,領用表!$E:$E,$B10,領用表!$B:$B,Z$2&amp;$R$1)</f>
        <v>0</v>
      </c>
      <c r="AA10" s="142">
        <f>SUMIFS(領用表!$L:$L,領用表!$E:$E,$B10,領用表!$B:$B,AA$2&amp;$R$1)</f>
        <v>0</v>
      </c>
      <c r="AB10" s="142">
        <f>SUMIFS(領用表!$L:$L,領用表!$E:$E,$B10,領用表!$B:$B,AB$2&amp;$R$1)</f>
        <v>0</v>
      </c>
      <c r="AC10" s="142">
        <f>SUMIFS(領用表!$L:$L,領用表!$E:$E,$B10,領用表!$B:$B,AC$2&amp;$R$1)</f>
        <v>0</v>
      </c>
      <c r="AD10" s="142">
        <f t="shared" ref="AD10" si="6">SUM(R10:AC10)</f>
        <v>0</v>
      </c>
      <c r="AE10" s="142">
        <f t="shared" ref="AE10" si="7">AVERAGE(R10,S10,T10,U10,V10)</f>
        <v>0</v>
      </c>
      <c r="AF10" s="142">
        <f>SUMIF(Summary!B:B,B10,Summary!DV:DV)</f>
        <v>0</v>
      </c>
      <c r="AG10" s="101"/>
      <c r="AH10" s="32"/>
      <c r="AI10" s="25"/>
      <c r="AJ10" s="25"/>
      <c r="AK10" s="27"/>
      <c r="AL10" s="28"/>
      <c r="AM10" s="14"/>
      <c r="AN10" s="29"/>
    </row>
    <row r="11" spans="1:40" ht="15.75" customHeight="1">
      <c r="A11" s="27" t="s">
        <v>23</v>
      </c>
      <c r="B11" s="14">
        <v>6180015</v>
      </c>
      <c r="C11" s="118" t="s">
        <v>600</v>
      </c>
      <c r="D11" s="16">
        <v>2</v>
      </c>
      <c r="E11" s="17" t="s">
        <v>15</v>
      </c>
      <c r="F11" s="18"/>
      <c r="G11" s="18">
        <v>2</v>
      </c>
      <c r="H11" s="21" t="e">
        <f>SUM(#REF!)</f>
        <v>#REF!</v>
      </c>
      <c r="I11" s="22" t="e">
        <f t="shared" si="0"/>
        <v>#REF!</v>
      </c>
      <c r="J11" s="20">
        <f>SUMIFS(領用表!$L:$L,領用表!$E:$E,$B11,領用表!$B:$B,J$2&amp;$R$1)</f>
        <v>0</v>
      </c>
      <c r="K11" s="20">
        <f>SUMIFS(領用表!$L:$L,領用表!$E:$E,$B11,領用表!$B:$B,K$2&amp;$R$1)</f>
        <v>0</v>
      </c>
      <c r="L11" s="20">
        <f>SUMIFS(領用表!$L:$L,領用表!$E:$E,$B11,領用表!$B:$B,L$2&amp;$R$1)</f>
        <v>0</v>
      </c>
      <c r="M11" s="142">
        <f>SUMIFS(領用表!$L:$L,領用表!$E:$E,$B11,領用表!$B:$B,M$2&amp;$R$1)</f>
        <v>0</v>
      </c>
      <c r="N11" s="142">
        <f>SUMIFS(領用表!$L:$L,領用表!$E:$E,$B11,領用表!$B:$B,N$2&amp;$R$1)</f>
        <v>0</v>
      </c>
      <c r="O11" s="142">
        <f>SUMIFS(領用表!$L:$L,領用表!$E:$E,$B11,領用表!$B:$B,O$2&amp;$R$1)</f>
        <v>0</v>
      </c>
      <c r="P11" s="23">
        <f t="shared" si="1"/>
        <v>0</v>
      </c>
      <c r="Q11" s="23">
        <f t="shared" si="2"/>
        <v>0</v>
      </c>
      <c r="R11" s="142">
        <f>SUMIFS(領用表!$L:$L,領用表!$E:$E,$B11,領用表!$B:$B,R$2&amp;$R$1)</f>
        <v>0</v>
      </c>
      <c r="S11" s="142">
        <f>SUMIFS(領用表!$L:$L,領用表!$E:$E,$B11,領用表!$B:$B,S$2&amp;$R$1)</f>
        <v>0</v>
      </c>
      <c r="T11" s="142">
        <f>SUMIFS(領用表!$L:$L,領用表!$E:$E,$B11,領用表!$B:$B,T$2&amp;$R$1)</f>
        <v>0</v>
      </c>
      <c r="U11" s="142">
        <f>SUMIFS(領用表!$L:$L,領用表!$E:$E,$B11,領用表!$B:$B,U$2&amp;$R$1)</f>
        <v>0</v>
      </c>
      <c r="V11" s="142">
        <f>SUMIFS(領用表!$L:$L,領用表!$E:$E,$B11,領用表!$B:$B,V$2&amp;$R$1)</f>
        <v>0</v>
      </c>
      <c r="W11" s="142">
        <f>SUMIFS(領用表!$L:$L,領用表!$E:$E,$B11,領用表!$B:$B,W$2&amp;$R$1)</f>
        <v>0</v>
      </c>
      <c r="X11" s="142">
        <f>SUMIFS(領用表!$L:$L,領用表!$E:$E,$B11,領用表!$B:$B,X$2&amp;$R$1)</f>
        <v>0</v>
      </c>
      <c r="Y11" s="142">
        <f>SUMIFS(領用表!$L:$L,領用表!$E:$E,$B11,領用表!$B:$B,Y$2&amp;$R$1)</f>
        <v>0</v>
      </c>
      <c r="Z11" s="142">
        <f>SUMIFS(領用表!$L:$L,領用表!$E:$E,$B11,領用表!$B:$B,Z$2&amp;$R$1)</f>
        <v>0</v>
      </c>
      <c r="AA11" s="142">
        <f>SUMIFS(領用表!$L:$L,領用表!$E:$E,$B11,領用表!$B:$B,AA$2&amp;$R$1)</f>
        <v>0</v>
      </c>
      <c r="AB11" s="142">
        <f>SUMIFS(領用表!$L:$L,領用表!$E:$E,$B11,領用表!$B:$B,AB$2&amp;$R$1)</f>
        <v>0</v>
      </c>
      <c r="AC11" s="142">
        <f>SUMIFS(領用表!$L:$L,領用表!$E:$E,$B11,領用表!$B:$B,AC$2&amp;$R$1)</f>
        <v>0</v>
      </c>
      <c r="AD11" s="142">
        <f t="shared" si="3"/>
        <v>0</v>
      </c>
      <c r="AE11" s="142">
        <f t="shared" si="4"/>
        <v>0</v>
      </c>
      <c r="AF11" s="142">
        <f>SUMIF(Summary!B:B,B11,Summary!DV:DV)</f>
        <v>1</v>
      </c>
      <c r="AG11" s="101">
        <v>0</v>
      </c>
      <c r="AH11" s="482"/>
      <c r="AI11" s="25"/>
      <c r="AJ11" s="25"/>
      <c r="AK11" s="27"/>
      <c r="AL11" s="28"/>
      <c r="AM11" s="14"/>
      <c r="AN11" s="29"/>
    </row>
    <row r="12" spans="1:40" ht="15.75" customHeight="1">
      <c r="A12" s="27" t="s">
        <v>24</v>
      </c>
      <c r="B12" s="14">
        <v>6180005</v>
      </c>
      <c r="C12" s="118" t="s">
        <v>601</v>
      </c>
      <c r="D12" s="16">
        <v>20</v>
      </c>
      <c r="E12" s="17" t="s">
        <v>15</v>
      </c>
      <c r="F12" s="18"/>
      <c r="G12" s="18">
        <v>28</v>
      </c>
      <c r="H12" s="21" t="e">
        <f>SUM(#REF!)</f>
        <v>#REF!</v>
      </c>
      <c r="I12" s="22" t="e">
        <f t="shared" si="0"/>
        <v>#REF!</v>
      </c>
      <c r="J12" s="20">
        <f>SUMIFS(領用表!$L:$L,領用表!$E:$E,$B12,領用表!$B:$B,J$2&amp;$R$1)</f>
        <v>0</v>
      </c>
      <c r="K12" s="20">
        <f>SUMIFS(領用表!$L:$L,領用表!$E:$E,$B12,領用表!$B:$B,K$2&amp;$R$1)</f>
        <v>0</v>
      </c>
      <c r="L12" s="20">
        <f>SUMIFS(領用表!$L:$L,領用表!$E:$E,$B12,領用表!$B:$B,L$2&amp;$R$1)</f>
        <v>0</v>
      </c>
      <c r="M12" s="142">
        <f>SUMIFS(領用表!$L:$L,領用表!$E:$E,$B12,領用表!$B:$B,M$2&amp;$R$1)</f>
        <v>0</v>
      </c>
      <c r="N12" s="142">
        <f>SUMIFS(領用表!$L:$L,領用表!$E:$E,$B12,領用表!$B:$B,N$2&amp;$R$1)</f>
        <v>16</v>
      </c>
      <c r="O12" s="142">
        <f>SUMIFS(領用表!$L:$L,領用表!$E:$E,$B12,領用表!$B:$B,O$2&amp;$R$1)</f>
        <v>20</v>
      </c>
      <c r="P12" s="23">
        <f t="shared" si="1"/>
        <v>36</v>
      </c>
      <c r="Q12" s="23">
        <f t="shared" si="2"/>
        <v>5.1428571428571432</v>
      </c>
      <c r="R12" s="142">
        <f>SUMIFS(領用表!$L:$L,領用表!$E:$E,$B12,領用表!$B:$B,R$2&amp;$R$1)</f>
        <v>0</v>
      </c>
      <c r="S12" s="142">
        <f>SUMIFS(領用表!$L:$L,領用表!$E:$E,$B12,領用表!$B:$B,S$2&amp;$R$1)</f>
        <v>12</v>
      </c>
      <c r="T12" s="142">
        <f>SUMIFS(領用表!$L:$L,領用表!$E:$E,$B12,領用表!$B:$B,T$2&amp;$R$1)</f>
        <v>0</v>
      </c>
      <c r="U12" s="142">
        <f>SUMIFS(領用表!$L:$L,領用表!$E:$E,$B12,領用表!$B:$B,U$2&amp;$R$1)</f>
        <v>0</v>
      </c>
      <c r="V12" s="142">
        <f>SUMIFS(領用表!$L:$L,領用表!$E:$E,$B12,領用表!$B:$B,V$2&amp;$R$1)</f>
        <v>0</v>
      </c>
      <c r="W12" s="142">
        <f>SUMIFS(領用表!$L:$L,領用表!$E:$E,$B12,領用表!$B:$B,W$2&amp;$R$1)</f>
        <v>0</v>
      </c>
      <c r="X12" s="142">
        <f>SUMIFS(領用表!$L:$L,領用表!$E:$E,$B12,領用表!$B:$B,X$2&amp;$R$1)</f>
        <v>0</v>
      </c>
      <c r="Y12" s="142">
        <f>SUMIFS(領用表!$L:$L,領用表!$E:$E,$B12,領用表!$B:$B,Y$2&amp;$R$1)</f>
        <v>0</v>
      </c>
      <c r="Z12" s="142">
        <f>SUMIFS(領用表!$L:$L,領用表!$E:$E,$B12,領用表!$B:$B,Z$2&amp;$R$1)</f>
        <v>0</v>
      </c>
      <c r="AA12" s="142">
        <f>SUMIFS(領用表!$L:$L,領用表!$E:$E,$B12,領用表!$B:$B,AA$2&amp;$R$1)</f>
        <v>0</v>
      </c>
      <c r="AB12" s="142">
        <f>SUMIFS(領用表!$L:$L,領用表!$E:$E,$B12,領用表!$B:$B,AB$2&amp;$R$1)</f>
        <v>0</v>
      </c>
      <c r="AC12" s="142">
        <f>SUMIFS(領用表!$L:$L,領用表!$E:$E,$B12,領用表!$B:$B,AC$2&amp;$R$1)</f>
        <v>0</v>
      </c>
      <c r="AD12" s="142">
        <f t="shared" si="3"/>
        <v>12</v>
      </c>
      <c r="AE12" s="142">
        <f t="shared" si="4"/>
        <v>2.4</v>
      </c>
      <c r="AF12" s="142">
        <f>SUMIF(Summary!B:B,B12,Summary!DV:DV)</f>
        <v>10</v>
      </c>
      <c r="AG12" s="101">
        <v>0</v>
      </c>
      <c r="AH12" s="478"/>
      <c r="AI12" s="25"/>
      <c r="AJ12" s="25"/>
      <c r="AK12" s="27"/>
      <c r="AL12" s="28"/>
      <c r="AM12" s="14"/>
      <c r="AN12" s="29"/>
    </row>
    <row r="13" spans="1:40" ht="15.75" customHeight="1">
      <c r="A13" s="27" t="s">
        <v>25</v>
      </c>
      <c r="B13" s="14">
        <v>6180013</v>
      </c>
      <c r="C13" s="118" t="s">
        <v>602</v>
      </c>
      <c r="D13" s="16">
        <v>20</v>
      </c>
      <c r="E13" s="17" t="s">
        <v>15</v>
      </c>
      <c r="F13" s="18"/>
      <c r="G13" s="18">
        <v>12</v>
      </c>
      <c r="H13" s="21" t="e">
        <f>SUM(#REF!)</f>
        <v>#REF!</v>
      </c>
      <c r="I13" s="22" t="e">
        <f t="shared" si="0"/>
        <v>#REF!</v>
      </c>
      <c r="J13" s="20">
        <f>SUMIFS(領用表!$L:$L,領用表!$E:$E,$B13,領用表!$B:$B,J$2&amp;$R$1)</f>
        <v>0</v>
      </c>
      <c r="K13" s="20">
        <f>SUMIFS(領用表!$L:$L,領用表!$E:$E,$B13,領用表!$B:$B,K$2&amp;$R$1)</f>
        <v>0</v>
      </c>
      <c r="L13" s="20">
        <f>SUMIFS(領用表!$L:$L,領用表!$E:$E,$B13,領用表!$B:$B,L$2&amp;$R$1)</f>
        <v>0</v>
      </c>
      <c r="M13" s="142">
        <f>SUMIFS(領用表!$L:$L,領用表!$E:$E,$B13,領用表!$B:$B,M$2&amp;$R$1)</f>
        <v>8</v>
      </c>
      <c r="N13" s="142">
        <f>SUMIFS(領用表!$L:$L,領用表!$E:$E,$B13,領用表!$B:$B,N$2&amp;$R$1)</f>
        <v>8</v>
      </c>
      <c r="O13" s="142">
        <f>SUMIFS(領用表!$L:$L,領用表!$E:$E,$B13,領用表!$B:$B,O$2&amp;$R$1)</f>
        <v>4</v>
      </c>
      <c r="P13" s="23">
        <f t="shared" si="1"/>
        <v>20</v>
      </c>
      <c r="Q13" s="23">
        <f t="shared" si="2"/>
        <v>2.8571428571428572</v>
      </c>
      <c r="R13" s="142">
        <f>SUMIFS(領用表!$L:$L,領用表!$E:$E,$B13,領用表!$B:$B,R$2&amp;$R$1)</f>
        <v>4</v>
      </c>
      <c r="S13" s="142">
        <f>SUMIFS(領用表!$L:$L,領用表!$E:$E,$B13,領用表!$B:$B,S$2&amp;$R$1)</f>
        <v>0</v>
      </c>
      <c r="T13" s="142">
        <f>SUMIFS(領用表!$L:$L,領用表!$E:$E,$B13,領用表!$B:$B,T$2&amp;$R$1)</f>
        <v>0</v>
      </c>
      <c r="U13" s="142">
        <f>SUMIFS(領用表!$L:$L,領用表!$E:$E,$B13,領用表!$B:$B,U$2&amp;$R$1)</f>
        <v>8</v>
      </c>
      <c r="V13" s="142">
        <f>SUMIFS(領用表!$L:$L,領用表!$E:$E,$B13,領用表!$B:$B,V$2&amp;$R$1)</f>
        <v>0</v>
      </c>
      <c r="W13" s="142">
        <f>SUMIFS(領用表!$L:$L,領用表!$E:$E,$B13,領用表!$B:$B,W$2&amp;$R$1)</f>
        <v>0</v>
      </c>
      <c r="X13" s="142">
        <f>SUMIFS(領用表!$L:$L,領用表!$E:$E,$B13,領用表!$B:$B,X$2&amp;$R$1)</f>
        <v>0</v>
      </c>
      <c r="Y13" s="142">
        <f>SUMIFS(領用表!$L:$L,領用表!$E:$E,$B13,領用表!$B:$B,Y$2&amp;$R$1)</f>
        <v>0</v>
      </c>
      <c r="Z13" s="142">
        <f>SUMIFS(領用表!$L:$L,領用表!$E:$E,$B13,領用表!$B:$B,Z$2&amp;$R$1)</f>
        <v>0</v>
      </c>
      <c r="AA13" s="142">
        <f>SUMIFS(領用表!$L:$L,領用表!$E:$E,$B13,領用表!$B:$B,AA$2&amp;$R$1)</f>
        <v>0</v>
      </c>
      <c r="AB13" s="142">
        <f>SUMIFS(領用表!$L:$L,領用表!$E:$E,$B13,領用表!$B:$B,AB$2&amp;$R$1)</f>
        <v>0</v>
      </c>
      <c r="AC13" s="142">
        <f>SUMIFS(領用表!$L:$L,領用表!$E:$E,$B13,領用表!$B:$B,AC$2&amp;$R$1)</f>
        <v>0</v>
      </c>
      <c r="AD13" s="142">
        <f t="shared" si="3"/>
        <v>12</v>
      </c>
      <c r="AE13" s="142">
        <f t="shared" si="4"/>
        <v>2.4</v>
      </c>
      <c r="AF13" s="142">
        <f>SUMIF(Summary!B:B,B13,Summary!DV:DV)</f>
        <v>5</v>
      </c>
      <c r="AG13" s="101">
        <v>5</v>
      </c>
      <c r="AH13" s="478"/>
      <c r="AI13" s="25"/>
      <c r="AJ13" s="25"/>
      <c r="AK13" s="27"/>
      <c r="AL13" s="28"/>
      <c r="AM13" s="14"/>
      <c r="AN13" s="29"/>
    </row>
    <row r="14" spans="1:40" ht="15.75" customHeight="1">
      <c r="A14" s="27" t="s">
        <v>26</v>
      </c>
      <c r="B14" s="14">
        <v>6180007</v>
      </c>
      <c r="C14" s="118" t="s">
        <v>603</v>
      </c>
      <c r="D14" s="16">
        <v>20</v>
      </c>
      <c r="E14" s="17" t="s">
        <v>15</v>
      </c>
      <c r="F14" s="18"/>
      <c r="G14" s="18">
        <v>16</v>
      </c>
      <c r="H14" s="21" t="e">
        <f>SUM(#REF!)</f>
        <v>#REF!</v>
      </c>
      <c r="I14" s="22" t="e">
        <f t="shared" si="0"/>
        <v>#REF!</v>
      </c>
      <c r="J14" s="20">
        <f>SUMIFS(領用表!$L:$L,領用表!$E:$E,$B14,領用表!$B:$B,J$2&amp;$R$1)</f>
        <v>0</v>
      </c>
      <c r="K14" s="20">
        <f>SUMIFS(領用表!$L:$L,領用表!$E:$E,$B14,領用表!$B:$B,K$2&amp;$R$1)</f>
        <v>4</v>
      </c>
      <c r="L14" s="20">
        <f>SUMIFS(領用表!$L:$L,領用表!$E:$E,$B14,領用表!$B:$B,L$2&amp;$R$1)</f>
        <v>0</v>
      </c>
      <c r="M14" s="142">
        <f>SUMIFS(領用表!$L:$L,領用表!$E:$E,$B14,領用表!$B:$B,M$2&amp;$R$1)</f>
        <v>4</v>
      </c>
      <c r="N14" s="142">
        <f>SUMIFS(領用表!$L:$L,領用表!$E:$E,$B14,領用表!$B:$B,N$2&amp;$R$1)</f>
        <v>24</v>
      </c>
      <c r="O14" s="142">
        <f>SUMIFS(領用表!$L:$L,領用表!$E:$E,$B14,領用表!$B:$B,O$2&amp;$R$1)</f>
        <v>40</v>
      </c>
      <c r="P14" s="23">
        <f t="shared" si="1"/>
        <v>72</v>
      </c>
      <c r="Q14" s="23">
        <f t="shared" si="2"/>
        <v>10.285714285714286</v>
      </c>
      <c r="R14" s="142">
        <f>SUMIFS(領用表!$L:$L,領用表!$E:$E,$B14,領用表!$B:$B,R$2&amp;$R$1)</f>
        <v>8</v>
      </c>
      <c r="S14" s="142">
        <f>SUMIFS(領用表!$L:$L,領用表!$E:$E,$B14,領用表!$B:$B,S$2&amp;$R$1)</f>
        <v>16</v>
      </c>
      <c r="T14" s="142">
        <f>SUMIFS(領用表!$L:$L,領用表!$E:$E,$B14,領用表!$B:$B,T$2&amp;$R$1)</f>
        <v>8</v>
      </c>
      <c r="U14" s="142">
        <f>SUMIFS(領用表!$L:$L,領用表!$E:$E,$B14,領用表!$B:$B,U$2&amp;$R$1)</f>
        <v>0</v>
      </c>
      <c r="V14" s="142">
        <f>SUMIFS(領用表!$L:$L,領用表!$E:$E,$B14,領用表!$B:$B,V$2&amp;$R$1)</f>
        <v>4</v>
      </c>
      <c r="W14" s="142">
        <f>SUMIFS(領用表!$L:$L,領用表!$E:$E,$B14,領用表!$B:$B,W$2&amp;$R$1)</f>
        <v>0</v>
      </c>
      <c r="X14" s="142">
        <f>SUMIFS(領用表!$L:$L,領用表!$E:$E,$B14,領用表!$B:$B,X$2&amp;$R$1)</f>
        <v>0</v>
      </c>
      <c r="Y14" s="142">
        <f>SUMIFS(領用表!$L:$L,領用表!$E:$E,$B14,領用表!$B:$B,Y$2&amp;$R$1)</f>
        <v>0</v>
      </c>
      <c r="Z14" s="142">
        <f>SUMIFS(領用表!$L:$L,領用表!$E:$E,$B14,領用表!$B:$B,Z$2&amp;$R$1)</f>
        <v>0</v>
      </c>
      <c r="AA14" s="142">
        <f>SUMIFS(領用表!$L:$L,領用表!$E:$E,$B14,領用表!$B:$B,AA$2&amp;$R$1)</f>
        <v>0</v>
      </c>
      <c r="AB14" s="142">
        <f>SUMIFS(領用表!$L:$L,領用表!$E:$E,$B14,領用表!$B:$B,AB$2&amp;$R$1)</f>
        <v>0</v>
      </c>
      <c r="AC14" s="142">
        <f>SUMIFS(領用表!$L:$L,領用表!$E:$E,$B14,領用表!$B:$B,AC$2&amp;$R$1)</f>
        <v>0</v>
      </c>
      <c r="AD14" s="142">
        <f t="shared" si="3"/>
        <v>36</v>
      </c>
      <c r="AE14" s="142">
        <f t="shared" si="4"/>
        <v>7.2</v>
      </c>
      <c r="AF14" s="142">
        <f>SUMIF(Summary!B:B,B14,Summary!DV:DV)</f>
        <v>12</v>
      </c>
      <c r="AG14" s="101">
        <v>12</v>
      </c>
      <c r="AH14" s="478"/>
      <c r="AI14" s="25"/>
      <c r="AJ14" s="25"/>
      <c r="AK14" s="27"/>
      <c r="AL14" s="28"/>
      <c r="AM14" s="14"/>
      <c r="AN14" s="29"/>
    </row>
    <row r="15" spans="1:40" ht="15.75" customHeight="1">
      <c r="A15" s="27" t="s">
        <v>27</v>
      </c>
      <c r="B15" s="14">
        <v>6180009</v>
      </c>
      <c r="C15" s="118" t="s">
        <v>604</v>
      </c>
      <c r="D15" s="16">
        <v>10</v>
      </c>
      <c r="E15" s="17" t="s">
        <v>15</v>
      </c>
      <c r="F15" s="18"/>
      <c r="G15" s="18">
        <v>20</v>
      </c>
      <c r="H15" s="21" t="e">
        <f>SUM(#REF!)</f>
        <v>#REF!</v>
      </c>
      <c r="I15" s="22" t="e">
        <f t="shared" si="0"/>
        <v>#REF!</v>
      </c>
      <c r="J15" s="20">
        <f>SUMIFS(領用表!$L:$L,領用表!$E:$E,$B15,領用表!$B:$B,J$2&amp;$R$1)</f>
        <v>4</v>
      </c>
      <c r="K15" s="20">
        <f>SUMIFS(領用表!$L:$L,領用表!$E:$E,$B15,領用表!$B:$B,K$2&amp;$R$1)</f>
        <v>0</v>
      </c>
      <c r="L15" s="20">
        <f>SUMIFS(領用表!$L:$L,領用表!$E:$E,$B15,領用表!$B:$B,L$2&amp;$R$1)</f>
        <v>0</v>
      </c>
      <c r="M15" s="142">
        <f>SUMIFS(領用表!$L:$L,領用表!$E:$E,$B15,領用表!$B:$B,M$2&amp;$R$1)</f>
        <v>8</v>
      </c>
      <c r="N15" s="142">
        <f>SUMIFS(領用表!$L:$L,領用表!$E:$E,$B15,領用表!$B:$B,N$2&amp;$R$1)</f>
        <v>0</v>
      </c>
      <c r="O15" s="142">
        <f>SUMIFS(領用表!$L:$L,領用表!$E:$E,$B15,領用表!$B:$B,O$2&amp;$R$1)</f>
        <v>4</v>
      </c>
      <c r="P15" s="23">
        <f t="shared" si="1"/>
        <v>16</v>
      </c>
      <c r="Q15" s="23">
        <f t="shared" si="2"/>
        <v>2.2857142857142856</v>
      </c>
      <c r="R15" s="142">
        <f>SUMIFS(領用表!$L:$L,領用表!$E:$E,$B15,領用表!$B:$B,R$2&amp;$R$1)</f>
        <v>16</v>
      </c>
      <c r="S15" s="142">
        <f>SUMIFS(領用表!$L:$L,領用表!$E:$E,$B15,領用表!$B:$B,S$2&amp;$R$1)</f>
        <v>16</v>
      </c>
      <c r="T15" s="142">
        <f>SUMIFS(領用表!$L:$L,領用表!$E:$E,$B15,領用表!$B:$B,T$2&amp;$R$1)</f>
        <v>16</v>
      </c>
      <c r="U15" s="142">
        <f>SUMIFS(領用表!$L:$L,領用表!$E:$E,$B15,領用表!$B:$B,U$2&amp;$R$1)</f>
        <v>0</v>
      </c>
      <c r="V15" s="142">
        <f>SUMIFS(領用表!$L:$L,領用表!$E:$E,$B15,領用表!$B:$B,V$2&amp;$R$1)</f>
        <v>0</v>
      </c>
      <c r="W15" s="142">
        <f>SUMIFS(領用表!$L:$L,領用表!$E:$E,$B15,領用表!$B:$B,W$2&amp;$R$1)</f>
        <v>0</v>
      </c>
      <c r="X15" s="142">
        <f>SUMIFS(領用表!$L:$L,領用表!$E:$E,$B15,領用表!$B:$B,X$2&amp;$R$1)</f>
        <v>0</v>
      </c>
      <c r="Y15" s="142">
        <f>SUMIFS(領用表!$L:$L,領用表!$E:$E,$B15,領用表!$B:$B,Y$2&amp;$R$1)</f>
        <v>0</v>
      </c>
      <c r="Z15" s="142">
        <f>SUMIFS(領用表!$L:$L,領用表!$E:$E,$B15,領用表!$B:$B,Z$2&amp;$R$1)</f>
        <v>0</v>
      </c>
      <c r="AA15" s="142">
        <f>SUMIFS(領用表!$L:$L,領用表!$E:$E,$B15,領用表!$B:$B,AA$2&amp;$R$1)</f>
        <v>0</v>
      </c>
      <c r="AB15" s="142">
        <f>SUMIFS(領用表!$L:$L,領用表!$E:$E,$B15,領用表!$B:$B,AB$2&amp;$R$1)</f>
        <v>0</v>
      </c>
      <c r="AC15" s="142">
        <f>SUMIFS(領用表!$L:$L,領用表!$E:$E,$B15,領用表!$B:$B,AC$2&amp;$R$1)</f>
        <v>0</v>
      </c>
      <c r="AD15" s="142">
        <f t="shared" si="3"/>
        <v>48</v>
      </c>
      <c r="AE15" s="142">
        <f t="shared" si="4"/>
        <v>9.6</v>
      </c>
      <c r="AF15" s="142">
        <f>SUMIF(Summary!B:B,B15,Summary!DV:DV)</f>
        <v>12</v>
      </c>
      <c r="AG15" s="101">
        <v>5</v>
      </c>
      <c r="AH15" s="478"/>
      <c r="AI15" s="25"/>
      <c r="AJ15" s="25"/>
      <c r="AK15" s="27"/>
      <c r="AL15" s="28"/>
      <c r="AM15" s="14"/>
      <c r="AN15" s="29"/>
    </row>
    <row r="16" spans="1:40" ht="15.75" customHeight="1">
      <c r="A16" s="27" t="s">
        <v>28</v>
      </c>
      <c r="B16" s="14">
        <v>6180011</v>
      </c>
      <c r="C16" s="118" t="s">
        <v>605</v>
      </c>
      <c r="D16" s="16">
        <v>10</v>
      </c>
      <c r="E16" s="17" t="s">
        <v>15</v>
      </c>
      <c r="F16" s="31"/>
      <c r="G16" s="18">
        <v>48</v>
      </c>
      <c r="H16" s="21" t="e">
        <f>SUM(#REF!)</f>
        <v>#REF!</v>
      </c>
      <c r="I16" s="22" t="e">
        <f t="shared" si="0"/>
        <v>#REF!</v>
      </c>
      <c r="J16" s="20">
        <f>SUMIFS(領用表!$L:$L,領用表!$E:$E,$B16,領用表!$B:$B,J$2&amp;$R$1)</f>
        <v>4</v>
      </c>
      <c r="K16" s="20">
        <f>SUMIFS(領用表!$L:$L,領用表!$E:$E,$B16,領用表!$B:$B,K$2&amp;$R$1)</f>
        <v>16</v>
      </c>
      <c r="L16" s="20">
        <f>SUMIFS(領用表!$L:$L,領用表!$E:$E,$B16,領用表!$B:$B,L$2&amp;$R$1)</f>
        <v>4</v>
      </c>
      <c r="M16" s="142">
        <f>SUMIFS(領用表!$L:$L,領用表!$E:$E,$B16,領用表!$B:$B,M$2&amp;$R$1)</f>
        <v>4</v>
      </c>
      <c r="N16" s="142">
        <f>SUMIFS(領用表!$L:$L,領用表!$E:$E,$B16,領用表!$B:$B,N$2&amp;$R$1)</f>
        <v>8</v>
      </c>
      <c r="O16" s="142">
        <f>SUMIFS(領用表!$L:$L,領用表!$E:$E,$B16,領用表!$B:$B,O$2&amp;$R$1)</f>
        <v>36</v>
      </c>
      <c r="P16" s="23">
        <f t="shared" si="1"/>
        <v>72</v>
      </c>
      <c r="Q16" s="23">
        <f t="shared" si="2"/>
        <v>10.285714285714286</v>
      </c>
      <c r="R16" s="142">
        <f>SUMIFS(領用表!$L:$L,領用表!$E:$E,$B16,領用表!$B:$B,R$2&amp;$R$1)</f>
        <v>12</v>
      </c>
      <c r="S16" s="142">
        <f>SUMIFS(領用表!$L:$L,領用表!$E:$E,$B16,領用表!$B:$B,S$2&amp;$R$1)</f>
        <v>36</v>
      </c>
      <c r="T16" s="142">
        <f>SUMIFS(領用表!$L:$L,領用表!$E:$E,$B16,領用表!$B:$B,T$2&amp;$R$1)</f>
        <v>14</v>
      </c>
      <c r="U16" s="142">
        <f>SUMIFS(領用表!$L:$L,領用表!$E:$E,$B16,領用表!$B:$B,U$2&amp;$R$1)</f>
        <v>2</v>
      </c>
      <c r="V16" s="142">
        <f>SUMIFS(領用表!$L:$L,領用表!$E:$E,$B16,領用表!$B:$B,V$2&amp;$R$1)</f>
        <v>4</v>
      </c>
      <c r="W16" s="142">
        <f>SUMIFS(領用表!$L:$L,領用表!$E:$E,$B16,領用表!$B:$B,W$2&amp;$R$1)</f>
        <v>0</v>
      </c>
      <c r="X16" s="142">
        <f>SUMIFS(領用表!$L:$L,領用表!$E:$E,$B16,領用表!$B:$B,X$2&amp;$R$1)</f>
        <v>0</v>
      </c>
      <c r="Y16" s="142">
        <f>SUMIFS(領用表!$L:$L,領用表!$E:$E,$B16,領用表!$B:$B,Y$2&amp;$R$1)</f>
        <v>0</v>
      </c>
      <c r="Z16" s="142">
        <f>SUMIFS(領用表!$L:$L,領用表!$E:$E,$B16,領用表!$B:$B,Z$2&amp;$R$1)</f>
        <v>0</v>
      </c>
      <c r="AA16" s="142">
        <f>SUMIFS(領用表!$L:$L,領用表!$E:$E,$B16,領用表!$B:$B,AA$2&amp;$R$1)</f>
        <v>0</v>
      </c>
      <c r="AB16" s="142">
        <f>SUMIFS(領用表!$L:$L,領用表!$E:$E,$B16,領用表!$B:$B,AB$2&amp;$R$1)</f>
        <v>0</v>
      </c>
      <c r="AC16" s="142">
        <f>SUMIFS(領用表!$L:$L,領用表!$E:$E,$B16,領用表!$B:$B,AC$2&amp;$R$1)</f>
        <v>0</v>
      </c>
      <c r="AD16" s="142">
        <f t="shared" si="3"/>
        <v>68</v>
      </c>
      <c r="AE16" s="142">
        <f t="shared" si="4"/>
        <v>13.6</v>
      </c>
      <c r="AF16" s="142">
        <f>SUMIF(Summary!B:B,B16,Summary!DV:DV)</f>
        <v>20</v>
      </c>
      <c r="AG16" s="101">
        <v>12</v>
      </c>
      <c r="AH16" s="479"/>
      <c r="AI16" s="25"/>
      <c r="AJ16" s="25"/>
      <c r="AK16" s="27"/>
      <c r="AL16" s="27"/>
      <c r="AM16" s="14"/>
      <c r="AN16" s="29"/>
    </row>
    <row r="17" spans="1:40" ht="15.75" customHeight="1">
      <c r="A17" s="27" t="s">
        <v>29</v>
      </c>
      <c r="B17" s="14">
        <v>6210001</v>
      </c>
      <c r="C17" s="118" t="s">
        <v>606</v>
      </c>
      <c r="D17" s="16">
        <v>20</v>
      </c>
      <c r="E17" s="17" t="s">
        <v>15</v>
      </c>
      <c r="F17" s="18"/>
      <c r="G17" s="18">
        <v>21</v>
      </c>
      <c r="H17" s="21" t="e">
        <f>SUM(#REF!)</f>
        <v>#REF!</v>
      </c>
      <c r="I17" s="22" t="e">
        <f t="shared" si="0"/>
        <v>#REF!</v>
      </c>
      <c r="J17" s="20">
        <f>SUMIFS(領用表!$L:$L,領用表!$E:$E,$B17,領用表!$B:$B,J$2&amp;$R$1)</f>
        <v>4</v>
      </c>
      <c r="K17" s="20">
        <f>SUMIFS(領用表!$L:$L,領用表!$E:$E,$B17,領用表!$B:$B,K$2&amp;$R$1)</f>
        <v>5</v>
      </c>
      <c r="L17" s="20">
        <f>SUMIFS(領用表!$L:$L,領用表!$E:$E,$B17,領用表!$B:$B,L$2&amp;$R$1)</f>
        <v>73</v>
      </c>
      <c r="M17" s="142">
        <f>SUMIFS(領用表!$L:$L,領用表!$E:$E,$B17,領用表!$B:$B,M$2&amp;$R$1)</f>
        <v>14</v>
      </c>
      <c r="N17" s="142">
        <f>SUMIFS(領用表!$L:$L,領用表!$E:$E,$B17,領用表!$B:$B,N$2&amp;$R$1)</f>
        <v>7</v>
      </c>
      <c r="O17" s="142">
        <f>SUMIFS(領用表!$L:$L,領用表!$E:$E,$B17,領用表!$B:$B,O$2&amp;$R$1)</f>
        <v>5</v>
      </c>
      <c r="P17" s="23">
        <f t="shared" si="1"/>
        <v>108</v>
      </c>
      <c r="Q17" s="23">
        <f t="shared" si="2"/>
        <v>15.428571428571429</v>
      </c>
      <c r="R17" s="142">
        <f>SUMIFS(領用表!$L:$L,領用表!$E:$E,$B17,領用表!$B:$B,R$2&amp;$R$1)</f>
        <v>2</v>
      </c>
      <c r="S17" s="142">
        <f>SUMIFS(領用表!$L:$L,領用表!$E:$E,$B17,領用表!$B:$B,S$2&amp;$R$1)</f>
        <v>0</v>
      </c>
      <c r="T17" s="142">
        <f>SUMIFS(領用表!$L:$L,領用表!$E:$E,$B17,領用表!$B:$B,T$2&amp;$R$1)</f>
        <v>10</v>
      </c>
      <c r="U17" s="142">
        <f>SUMIFS(領用表!$L:$L,領用表!$E:$E,$B17,領用表!$B:$B,U$2&amp;$R$1)</f>
        <v>2</v>
      </c>
      <c r="V17" s="142">
        <f>SUMIFS(領用表!$L:$L,領用表!$E:$E,$B17,領用表!$B:$B,V$2&amp;$R$1)</f>
        <v>1</v>
      </c>
      <c r="W17" s="142">
        <f>SUMIFS(領用表!$L:$L,領用表!$E:$E,$B17,領用表!$B:$B,W$2&amp;$R$1)</f>
        <v>0</v>
      </c>
      <c r="X17" s="142">
        <f>SUMIFS(領用表!$L:$L,領用表!$E:$E,$B17,領用表!$B:$B,X$2&amp;$R$1)</f>
        <v>0</v>
      </c>
      <c r="Y17" s="142">
        <f>SUMIFS(領用表!$L:$L,領用表!$E:$E,$B17,領用表!$B:$B,Y$2&amp;$R$1)</f>
        <v>0</v>
      </c>
      <c r="Z17" s="142">
        <f>SUMIFS(領用表!$L:$L,領用表!$E:$E,$B17,領用表!$B:$B,Z$2&amp;$R$1)</f>
        <v>0</v>
      </c>
      <c r="AA17" s="142">
        <f>SUMIFS(領用表!$L:$L,領用表!$E:$E,$B17,領用表!$B:$B,AA$2&amp;$R$1)</f>
        <v>0</v>
      </c>
      <c r="AB17" s="142">
        <f>SUMIFS(領用表!$L:$L,領用表!$E:$E,$B17,領用表!$B:$B,AB$2&amp;$R$1)</f>
        <v>0</v>
      </c>
      <c r="AC17" s="142">
        <f>SUMIFS(領用表!$L:$L,領用表!$E:$E,$B17,領用表!$B:$B,AC$2&amp;$R$1)</f>
        <v>0</v>
      </c>
      <c r="AD17" s="142">
        <f t="shared" si="3"/>
        <v>15</v>
      </c>
      <c r="AE17" s="142">
        <f t="shared" si="4"/>
        <v>3</v>
      </c>
      <c r="AF17" s="142">
        <f>SUMIF(Summary!B:B,B17,Summary!DV:DV)</f>
        <v>5</v>
      </c>
      <c r="AG17" s="101">
        <v>15</v>
      </c>
      <c r="AH17" s="32"/>
      <c r="AI17" s="25"/>
      <c r="AJ17" s="25"/>
      <c r="AK17" s="27"/>
      <c r="AL17" s="28"/>
      <c r="AM17" s="14"/>
      <c r="AN17" s="29"/>
    </row>
    <row r="18" spans="1:40" ht="15.75" customHeight="1">
      <c r="A18" s="27" t="s">
        <v>30</v>
      </c>
      <c r="B18" s="14">
        <v>6210002</v>
      </c>
      <c r="C18" s="118" t="s">
        <v>607</v>
      </c>
      <c r="D18" s="16">
        <v>20</v>
      </c>
      <c r="E18" s="17" t="s">
        <v>15</v>
      </c>
      <c r="F18" s="18"/>
      <c r="G18" s="18">
        <v>123</v>
      </c>
      <c r="H18" s="21" t="e">
        <f>SUM(#REF!)</f>
        <v>#REF!</v>
      </c>
      <c r="I18" s="22" t="e">
        <f t="shared" si="0"/>
        <v>#REF!</v>
      </c>
      <c r="J18" s="20">
        <f>SUMIFS(領用表!$L:$L,領用表!$E:$E,$B18,領用表!$B:$B,J$2&amp;$R$1)</f>
        <v>30</v>
      </c>
      <c r="K18" s="20">
        <f>SUMIFS(領用表!$L:$L,領用表!$E:$E,$B18,領用表!$B:$B,K$2&amp;$R$1)</f>
        <v>82</v>
      </c>
      <c r="L18" s="20">
        <f>SUMIFS(領用表!$L:$L,領用表!$E:$E,$B18,領用表!$B:$B,L$2&amp;$R$1)</f>
        <v>64</v>
      </c>
      <c r="M18" s="142">
        <f>SUMIFS(領用表!$L:$L,領用表!$E:$E,$B18,領用表!$B:$B,M$2&amp;$R$1)</f>
        <v>118</v>
      </c>
      <c r="N18" s="142">
        <f>SUMIFS(領用表!$L:$L,領用表!$E:$E,$B18,領用表!$B:$B,N$2&amp;$R$1)</f>
        <v>124</v>
      </c>
      <c r="O18" s="142">
        <f>SUMIFS(領用表!$L:$L,領用表!$E:$E,$B18,領用表!$B:$B,O$2&amp;$R$1)</f>
        <v>219</v>
      </c>
      <c r="P18" s="23">
        <f t="shared" si="1"/>
        <v>637</v>
      </c>
      <c r="Q18" s="23">
        <f t="shared" si="2"/>
        <v>91</v>
      </c>
      <c r="R18" s="142">
        <f>SUMIFS(領用表!$L:$L,領用表!$E:$E,$B18,領用表!$B:$B,R$2&amp;$R$1)</f>
        <v>325</v>
      </c>
      <c r="S18" s="142">
        <f>SUMIFS(領用表!$L:$L,領用表!$E:$E,$B18,領用表!$B:$B,S$2&amp;$R$1)</f>
        <v>288</v>
      </c>
      <c r="T18" s="142">
        <f>SUMIFS(領用表!$L:$L,領用表!$E:$E,$B18,領用表!$B:$B,T$2&amp;$R$1)</f>
        <v>280</v>
      </c>
      <c r="U18" s="142">
        <f>SUMIFS(領用表!$L:$L,領用表!$E:$E,$B18,領用表!$B:$B,U$2&amp;$R$1)</f>
        <v>284</v>
      </c>
      <c r="V18" s="142">
        <f>SUMIFS(領用表!$L:$L,領用表!$E:$E,$B18,領用表!$B:$B,V$2&amp;$R$1)</f>
        <v>353</v>
      </c>
      <c r="W18" s="142">
        <f>SUMIFS(領用表!$L:$L,領用表!$E:$E,$B18,領用表!$B:$B,W$2&amp;$R$1)</f>
        <v>0</v>
      </c>
      <c r="X18" s="142">
        <f>SUMIFS(領用表!$L:$L,領用表!$E:$E,$B18,領用表!$B:$B,X$2&amp;$R$1)</f>
        <v>0</v>
      </c>
      <c r="Y18" s="142">
        <f>SUMIFS(領用表!$L:$L,領用表!$E:$E,$B18,領用表!$B:$B,Y$2&amp;$R$1)</f>
        <v>0</v>
      </c>
      <c r="Z18" s="142">
        <f>SUMIFS(領用表!$L:$L,領用表!$E:$E,$B18,領用表!$B:$B,Z$2&amp;$R$1)</f>
        <v>0</v>
      </c>
      <c r="AA18" s="142">
        <f>SUMIFS(領用表!$L:$L,領用表!$E:$E,$B18,領用表!$B:$B,AA$2&amp;$R$1)</f>
        <v>0</v>
      </c>
      <c r="AB18" s="142">
        <f>SUMIFS(領用表!$L:$L,領用表!$E:$E,$B18,領用表!$B:$B,AB$2&amp;$R$1)</f>
        <v>0</v>
      </c>
      <c r="AC18" s="142">
        <f>SUMIFS(領用表!$L:$L,領用表!$E:$E,$B18,領用表!$B:$B,AC$2&amp;$R$1)</f>
        <v>0</v>
      </c>
      <c r="AD18" s="142">
        <f t="shared" si="3"/>
        <v>1530</v>
      </c>
      <c r="AE18" s="142">
        <f t="shared" si="4"/>
        <v>306</v>
      </c>
      <c r="AF18" s="142">
        <f>SUMIF(Summary!B:B,B18,Summary!DV:DV)</f>
        <v>200</v>
      </c>
      <c r="AG18" s="101">
        <v>40</v>
      </c>
      <c r="AH18" s="32"/>
      <c r="AI18" s="25" t="s">
        <v>31</v>
      </c>
      <c r="AJ18" s="25" t="s">
        <v>32</v>
      </c>
      <c r="AK18" s="27"/>
      <c r="AL18" s="27"/>
      <c r="AM18" s="14"/>
      <c r="AN18" s="29"/>
    </row>
    <row r="19" spans="1:40" ht="15.75" customHeight="1">
      <c r="A19" s="27" t="s">
        <v>33</v>
      </c>
      <c r="B19" s="14">
        <v>6210003</v>
      </c>
      <c r="C19" s="118" t="s">
        <v>608</v>
      </c>
      <c r="D19" s="16">
        <v>20</v>
      </c>
      <c r="E19" s="17" t="s">
        <v>15</v>
      </c>
      <c r="F19" s="18"/>
      <c r="G19" s="18">
        <v>13</v>
      </c>
      <c r="H19" s="21" t="e">
        <f>SUM(#REF!)</f>
        <v>#REF!</v>
      </c>
      <c r="I19" s="22" t="e">
        <f t="shared" si="0"/>
        <v>#REF!</v>
      </c>
      <c r="J19" s="20">
        <f>SUMIFS(領用表!$L:$L,領用表!$E:$E,$B19,領用表!$B:$B,J$2&amp;$R$1)</f>
        <v>3</v>
      </c>
      <c r="K19" s="20">
        <f>SUMIFS(領用表!$L:$L,領用表!$E:$E,$B19,領用表!$B:$B,K$2&amp;$R$1)</f>
        <v>5</v>
      </c>
      <c r="L19" s="20">
        <f>SUMIFS(領用表!$L:$L,領用表!$E:$E,$B19,領用表!$B:$B,L$2&amp;$R$1)</f>
        <v>4</v>
      </c>
      <c r="M19" s="142">
        <f>SUMIFS(領用表!$L:$L,領用表!$E:$E,$B19,領用表!$B:$B,M$2&amp;$R$1)</f>
        <v>31</v>
      </c>
      <c r="N19" s="142">
        <f>SUMIFS(領用表!$L:$L,領用表!$E:$E,$B19,領用表!$B:$B,N$2&amp;$R$1)</f>
        <v>29</v>
      </c>
      <c r="O19" s="142">
        <f>SUMIFS(領用表!$L:$L,領用表!$E:$E,$B19,領用表!$B:$B,O$2&amp;$R$1)</f>
        <v>54</v>
      </c>
      <c r="P19" s="23">
        <f t="shared" si="1"/>
        <v>126</v>
      </c>
      <c r="Q19" s="23">
        <f t="shared" si="2"/>
        <v>18</v>
      </c>
      <c r="R19" s="142">
        <f>SUMIFS(領用表!$L:$L,領用表!$E:$E,$B19,領用表!$B:$B,R$2&amp;$R$1)</f>
        <v>24</v>
      </c>
      <c r="S19" s="142">
        <f>SUMIFS(領用表!$L:$L,領用表!$E:$E,$B19,領用表!$B:$B,S$2&amp;$R$1)</f>
        <v>15</v>
      </c>
      <c r="T19" s="142">
        <f>SUMIFS(領用表!$L:$L,領用表!$E:$E,$B19,領用表!$B:$B,T$2&amp;$R$1)</f>
        <v>22</v>
      </c>
      <c r="U19" s="142">
        <f>SUMIFS(領用表!$L:$L,領用表!$E:$E,$B19,領用表!$B:$B,U$2&amp;$R$1)</f>
        <v>26</v>
      </c>
      <c r="V19" s="142">
        <f>SUMIFS(領用表!$L:$L,領用表!$E:$E,$B19,領用表!$B:$B,V$2&amp;$R$1)</f>
        <v>28</v>
      </c>
      <c r="W19" s="142">
        <f>SUMIFS(領用表!$L:$L,領用表!$E:$E,$B19,領用表!$B:$B,W$2&amp;$R$1)</f>
        <v>0</v>
      </c>
      <c r="X19" s="142">
        <f>SUMIFS(領用表!$L:$L,領用表!$E:$E,$B19,領用表!$B:$B,X$2&amp;$R$1)</f>
        <v>0</v>
      </c>
      <c r="Y19" s="142">
        <f>SUMIFS(領用表!$L:$L,領用表!$E:$E,$B19,領用表!$B:$B,Y$2&amp;$R$1)</f>
        <v>0</v>
      </c>
      <c r="Z19" s="142">
        <f>SUMIFS(領用表!$L:$L,領用表!$E:$E,$B19,領用表!$B:$B,Z$2&amp;$R$1)</f>
        <v>0</v>
      </c>
      <c r="AA19" s="142">
        <f>SUMIFS(領用表!$L:$L,領用表!$E:$E,$B19,領用表!$B:$B,AA$2&amp;$R$1)</f>
        <v>0</v>
      </c>
      <c r="AB19" s="142">
        <f>SUMIFS(領用表!$L:$L,領用表!$E:$E,$B19,領用表!$B:$B,AB$2&amp;$R$1)</f>
        <v>0</v>
      </c>
      <c r="AC19" s="142">
        <f>SUMIFS(領用表!$L:$L,領用表!$E:$E,$B19,領用表!$B:$B,AC$2&amp;$R$1)</f>
        <v>0</v>
      </c>
      <c r="AD19" s="142">
        <f t="shared" si="3"/>
        <v>115</v>
      </c>
      <c r="AE19" s="142">
        <f t="shared" si="4"/>
        <v>23</v>
      </c>
      <c r="AF19" s="142">
        <f>SUMIF(Summary!B:B,B19,Summary!DV:DV)</f>
        <v>30</v>
      </c>
      <c r="AG19" s="101">
        <v>10</v>
      </c>
      <c r="AH19" s="32"/>
      <c r="AI19" s="25" t="s">
        <v>34</v>
      </c>
      <c r="AJ19" s="25" t="s">
        <v>35</v>
      </c>
      <c r="AK19" s="27"/>
      <c r="AL19" s="28"/>
      <c r="AM19" s="14"/>
      <c r="AN19" s="29"/>
    </row>
    <row r="20" spans="1:40" ht="15.75" customHeight="1">
      <c r="A20" s="27" t="s">
        <v>36</v>
      </c>
      <c r="B20" s="14">
        <v>6210005</v>
      </c>
      <c r="C20" s="131" t="s">
        <v>467</v>
      </c>
      <c r="D20" s="33">
        <v>20</v>
      </c>
      <c r="E20" s="17" t="s">
        <v>15</v>
      </c>
      <c r="F20" s="18"/>
      <c r="G20" s="18"/>
      <c r="H20" s="21" t="e">
        <f>SUM(#REF!)</f>
        <v>#REF!</v>
      </c>
      <c r="I20" s="22" t="e">
        <f t="shared" si="0"/>
        <v>#REF!</v>
      </c>
      <c r="J20" s="20">
        <f>SUMIFS(領用表!$L:$L,領用表!$E:$E,$B20,領用表!$B:$B,J$2&amp;$R$1)</f>
        <v>0</v>
      </c>
      <c r="K20" s="20">
        <f>SUMIFS(領用表!$L:$L,領用表!$E:$E,$B20,領用表!$B:$B,K$2&amp;$R$1)</f>
        <v>0</v>
      </c>
      <c r="L20" s="20">
        <f>SUMIFS(領用表!$L:$L,領用表!$E:$E,$B20,領用表!$B:$B,L$2&amp;$R$1)</f>
        <v>0</v>
      </c>
      <c r="M20" s="142">
        <f>SUMIFS(領用表!$L:$L,領用表!$E:$E,$B20,領用表!$B:$B,M$2&amp;$R$1)</f>
        <v>0</v>
      </c>
      <c r="N20" s="142">
        <f>SUMIFS(領用表!$L:$L,領用表!$E:$E,$B20,領用表!$B:$B,N$2&amp;$R$1)</f>
        <v>0</v>
      </c>
      <c r="O20" s="142">
        <f>SUMIFS(領用表!$L:$L,領用表!$E:$E,$B20,領用表!$B:$B,O$2&amp;$R$1)</f>
        <v>0</v>
      </c>
      <c r="P20" s="23">
        <f t="shared" si="1"/>
        <v>0</v>
      </c>
      <c r="Q20" s="23">
        <f t="shared" si="2"/>
        <v>0</v>
      </c>
      <c r="R20" s="142">
        <f>SUMIFS(領用表!$L:$L,領用表!$E:$E,$B20,領用表!$B:$B,R$2&amp;$R$1)</f>
        <v>0</v>
      </c>
      <c r="S20" s="142">
        <f>SUMIFS(領用表!$L:$L,領用表!$E:$E,$B20,領用表!$B:$B,S$2&amp;$R$1)</f>
        <v>0</v>
      </c>
      <c r="T20" s="142">
        <f>SUMIFS(領用表!$L:$L,領用表!$E:$E,$B20,領用表!$B:$B,T$2&amp;$R$1)</f>
        <v>0</v>
      </c>
      <c r="U20" s="142">
        <f>SUMIFS(領用表!$L:$L,領用表!$E:$E,$B20,領用表!$B:$B,U$2&amp;$R$1)</f>
        <v>0</v>
      </c>
      <c r="V20" s="142">
        <f>SUMIFS(領用表!$L:$L,領用表!$E:$E,$B20,領用表!$B:$B,V$2&amp;$R$1)</f>
        <v>0</v>
      </c>
      <c r="W20" s="142">
        <f>SUMIFS(領用表!$L:$L,領用表!$E:$E,$B20,領用表!$B:$B,W$2&amp;$R$1)</f>
        <v>0</v>
      </c>
      <c r="X20" s="142">
        <f>SUMIFS(領用表!$L:$L,領用表!$E:$E,$B20,領用表!$B:$B,X$2&amp;$R$1)</f>
        <v>0</v>
      </c>
      <c r="Y20" s="142">
        <f>SUMIFS(領用表!$L:$L,領用表!$E:$E,$B20,領用表!$B:$B,Y$2&amp;$R$1)</f>
        <v>0</v>
      </c>
      <c r="Z20" s="142">
        <f>SUMIFS(領用表!$L:$L,領用表!$E:$E,$B20,領用表!$B:$B,Z$2&amp;$R$1)</f>
        <v>0</v>
      </c>
      <c r="AA20" s="142">
        <f>SUMIFS(領用表!$L:$L,領用表!$E:$E,$B20,領用表!$B:$B,AA$2&amp;$R$1)</f>
        <v>0</v>
      </c>
      <c r="AB20" s="142">
        <f>SUMIFS(領用表!$L:$L,領用表!$E:$E,$B20,領用表!$B:$B,AB$2&amp;$R$1)</f>
        <v>0</v>
      </c>
      <c r="AC20" s="142">
        <f>SUMIFS(領用表!$L:$L,領用表!$E:$E,$B20,領用表!$B:$B,AC$2&amp;$R$1)</f>
        <v>0</v>
      </c>
      <c r="AD20" s="142">
        <f t="shared" si="3"/>
        <v>0</v>
      </c>
      <c r="AE20" s="142">
        <f t="shared" si="4"/>
        <v>0</v>
      </c>
      <c r="AF20" s="142">
        <f>SUMIF(Summary!B:B,B20,Summary!DV:DV)</f>
        <v>0</v>
      </c>
      <c r="AG20" s="102">
        <v>10</v>
      </c>
      <c r="AH20" s="24"/>
      <c r="AI20" s="25"/>
      <c r="AJ20" s="25"/>
      <c r="AK20" s="34"/>
      <c r="AL20" s="35"/>
      <c r="AM20" s="14"/>
      <c r="AN20" s="29"/>
    </row>
    <row r="21" spans="1:40" ht="15.75" customHeight="1">
      <c r="A21" s="27" t="s">
        <v>37</v>
      </c>
      <c r="B21" s="14">
        <v>6210008</v>
      </c>
      <c r="C21" s="131" t="s">
        <v>468</v>
      </c>
      <c r="D21" s="33">
        <v>33</v>
      </c>
      <c r="E21" s="17" t="s">
        <v>15</v>
      </c>
      <c r="F21" s="18"/>
      <c r="G21" s="18">
        <v>24</v>
      </c>
      <c r="H21" s="21"/>
      <c r="I21" s="22"/>
      <c r="J21" s="20">
        <f>SUMIFS(領用表!$L:$L,領用表!$E:$E,$B21,領用表!$B:$B,J$2&amp;$R$1)</f>
        <v>0</v>
      </c>
      <c r="K21" s="20">
        <f>SUMIFS(領用表!$L:$L,領用表!$E:$E,$B21,領用表!$B:$B,K$2&amp;$R$1)</f>
        <v>0</v>
      </c>
      <c r="L21" s="20">
        <f>SUMIFS(領用表!$L:$L,領用表!$E:$E,$B21,領用表!$B:$B,L$2&amp;$R$1)</f>
        <v>0</v>
      </c>
      <c r="M21" s="142">
        <f>SUMIFS(領用表!$L:$L,領用表!$E:$E,$B21,領用表!$B:$B,M$2&amp;$R$1)</f>
        <v>0</v>
      </c>
      <c r="N21" s="142">
        <f>SUMIFS(領用表!$L:$L,領用表!$E:$E,$B21,領用表!$B:$B,N$2&amp;$R$1)</f>
        <v>0</v>
      </c>
      <c r="O21" s="142">
        <f>SUMIFS(領用表!$L:$L,領用表!$E:$E,$B21,領用表!$B:$B,O$2&amp;$R$1)</f>
        <v>2</v>
      </c>
      <c r="P21" s="23">
        <f t="shared" si="1"/>
        <v>2</v>
      </c>
      <c r="Q21" s="23">
        <f t="shared" si="2"/>
        <v>0.2857142857142857</v>
      </c>
      <c r="R21" s="142">
        <f>SUMIFS(領用表!$L:$L,領用表!$E:$E,$B21,領用表!$B:$B,R$2&amp;$R$1)</f>
        <v>6</v>
      </c>
      <c r="S21" s="142">
        <f>SUMIFS(領用表!$L:$L,領用表!$E:$E,$B21,領用表!$B:$B,S$2&amp;$R$1)</f>
        <v>4</v>
      </c>
      <c r="T21" s="142">
        <f>SUMIFS(領用表!$L:$L,領用表!$E:$E,$B21,領用表!$B:$B,T$2&amp;$R$1)</f>
        <v>2</v>
      </c>
      <c r="U21" s="142">
        <f>SUMIFS(領用表!$L:$L,領用表!$E:$E,$B21,領用表!$B:$B,U$2&amp;$R$1)</f>
        <v>9</v>
      </c>
      <c r="V21" s="142">
        <f>SUMIFS(領用表!$L:$L,領用表!$E:$E,$B21,領用表!$B:$B,V$2&amp;$R$1)</f>
        <v>6</v>
      </c>
      <c r="W21" s="142">
        <f>SUMIFS(領用表!$L:$L,領用表!$E:$E,$B21,領用表!$B:$B,W$2&amp;$R$1)</f>
        <v>0</v>
      </c>
      <c r="X21" s="142">
        <f>SUMIFS(領用表!$L:$L,領用表!$E:$E,$B21,領用表!$B:$B,X$2&amp;$R$1)</f>
        <v>0</v>
      </c>
      <c r="Y21" s="142">
        <f>SUMIFS(領用表!$L:$L,領用表!$E:$E,$B21,領用表!$B:$B,Y$2&amp;$R$1)</f>
        <v>0</v>
      </c>
      <c r="Z21" s="142">
        <f>SUMIFS(領用表!$L:$L,領用表!$E:$E,$B21,領用表!$B:$B,Z$2&amp;$R$1)</f>
        <v>0</v>
      </c>
      <c r="AA21" s="142">
        <f>SUMIFS(領用表!$L:$L,領用表!$E:$E,$B21,領用表!$B:$B,AA$2&amp;$R$1)</f>
        <v>0</v>
      </c>
      <c r="AB21" s="142">
        <f>SUMIFS(領用表!$L:$L,領用表!$E:$E,$B21,領用表!$B:$B,AB$2&amp;$R$1)</f>
        <v>0</v>
      </c>
      <c r="AC21" s="142">
        <f>SUMIFS(領用表!$L:$L,領用表!$E:$E,$B21,領用表!$B:$B,AC$2&amp;$R$1)</f>
        <v>0</v>
      </c>
      <c r="AD21" s="142">
        <f t="shared" si="3"/>
        <v>27</v>
      </c>
      <c r="AE21" s="142">
        <f t="shared" si="4"/>
        <v>5.4</v>
      </c>
      <c r="AF21" s="142">
        <f>SUMIF(Summary!B:B,B21,Summary!DV:DV)</f>
        <v>3</v>
      </c>
      <c r="AG21" s="101">
        <v>0</v>
      </c>
      <c r="AH21" s="36" t="s">
        <v>38</v>
      </c>
      <c r="AI21" s="25"/>
      <c r="AJ21" s="25"/>
      <c r="AK21" s="27"/>
      <c r="AL21" s="28"/>
      <c r="AM21" s="14"/>
      <c r="AN21" s="29"/>
    </row>
    <row r="22" spans="1:40" ht="15.75" hidden="1" customHeight="1">
      <c r="A22" s="27" t="s">
        <v>39</v>
      </c>
      <c r="B22" s="14" t="e">
        <v>#N/A</v>
      </c>
      <c r="C22" s="132" t="s">
        <v>469</v>
      </c>
      <c r="D22" s="37">
        <v>1</v>
      </c>
      <c r="E22" s="38" t="s">
        <v>15</v>
      </c>
      <c r="F22" s="18"/>
      <c r="G22" s="18"/>
      <c r="H22" s="40" t="e">
        <f>SUM(#REF!)</f>
        <v>#REF!</v>
      </c>
      <c r="I22" s="41" t="e">
        <f>H22/4</f>
        <v>#REF!</v>
      </c>
      <c r="J22" s="39">
        <f>SUMIFS(領用表!$L:$L,領用表!$E:$E,$B22,領用表!$B:$B,J$2&amp;$R$1)</f>
        <v>0</v>
      </c>
      <c r="K22" s="39">
        <f>SUMIFS(領用表!$L:$L,領用表!$E:$E,$B22,領用表!$B:$B,K$2&amp;$R$1)</f>
        <v>0</v>
      </c>
      <c r="L22" s="39">
        <f>SUMIFS(領用表!$L:$L,領用表!$E:$E,$B22,領用表!$B:$B,L$2&amp;$R$1)</f>
        <v>0</v>
      </c>
      <c r="M22" s="142">
        <f>SUMIFS(領用表!$L:$L,領用表!$E:$E,$B22,領用表!$B:$B,M$2&amp;$R$1)</f>
        <v>0</v>
      </c>
      <c r="N22" s="142">
        <f>SUMIFS(領用表!$L:$L,領用表!$E:$E,$B22,領用表!$B:$B,N$2&amp;$R$1)</f>
        <v>0</v>
      </c>
      <c r="O22" s="142">
        <f>SUMIFS(領用表!$L:$L,領用表!$E:$E,$B22,領用表!$B:$B,O$2&amp;$R$1)</f>
        <v>0</v>
      </c>
      <c r="P22" s="42">
        <f t="shared" si="1"/>
        <v>0</v>
      </c>
      <c r="Q22" s="42">
        <f t="shared" si="2"/>
        <v>0</v>
      </c>
      <c r="R22" s="142">
        <f>SUMIFS(領用表!$L:$L,領用表!$E:$E,$B22,領用表!$B:$B,R$2&amp;$R$1)</f>
        <v>0</v>
      </c>
      <c r="S22" s="142">
        <f>SUMIFS(領用表!$L:$L,領用表!$E:$E,$B22,領用表!$B:$B,S$2&amp;$R$1)</f>
        <v>0</v>
      </c>
      <c r="T22" s="142">
        <f>SUMIFS(領用表!$L:$L,領用表!$E:$E,$B22,領用表!$B:$B,T$2&amp;$R$1)</f>
        <v>0</v>
      </c>
      <c r="U22" s="142">
        <f>SUMIFS(領用表!$L:$L,領用表!$E:$E,$B22,領用表!$B:$B,U$2&amp;$R$1)</f>
        <v>0</v>
      </c>
      <c r="V22" s="142">
        <f>SUMIFS(領用表!$L:$L,領用表!$E:$E,$B22,領用表!$B:$B,V$2&amp;$R$1)</f>
        <v>0</v>
      </c>
      <c r="W22" s="142">
        <f>SUMIFS(領用表!$L:$L,領用表!$E:$E,$B22,領用表!$B:$B,W$2&amp;$R$1)</f>
        <v>0</v>
      </c>
      <c r="X22" s="142">
        <f>SUMIFS(領用表!$L:$L,領用表!$E:$E,$B22,領用表!$B:$B,X$2&amp;$R$1)</f>
        <v>0</v>
      </c>
      <c r="Y22" s="142">
        <f>SUMIFS(領用表!$L:$L,領用表!$E:$E,$B22,領用表!$B:$B,Y$2&amp;$R$1)</f>
        <v>0</v>
      </c>
      <c r="Z22" s="142">
        <f>SUMIFS(領用表!$L:$L,領用表!$E:$E,$B22,領用表!$B:$B,Z$2&amp;$R$1)</f>
        <v>0</v>
      </c>
      <c r="AA22" s="142">
        <f>SUMIFS(領用表!$L:$L,領用表!$E:$E,$B22,領用表!$B:$B,AA$2&amp;$R$1)</f>
        <v>0</v>
      </c>
      <c r="AB22" s="142">
        <f>SUMIFS(領用表!$L:$L,領用表!$E:$E,$B22,領用表!$B:$B,AB$2&amp;$R$1)</f>
        <v>0</v>
      </c>
      <c r="AC22" s="142">
        <f>SUMIFS(領用表!$L:$L,領用表!$E:$E,$B22,領用表!$B:$B,AC$2&amp;$R$1)</f>
        <v>0</v>
      </c>
      <c r="AD22" s="142">
        <f t="shared" si="3"/>
        <v>0</v>
      </c>
      <c r="AE22" s="142">
        <f t="shared" si="4"/>
        <v>0</v>
      </c>
      <c r="AF22" s="142">
        <f>SUMIF(Summary!B:B,B22,Summary!DV:DV)</f>
        <v>0</v>
      </c>
      <c r="AG22" s="103"/>
      <c r="AH22" s="482"/>
      <c r="AI22" s="25"/>
      <c r="AJ22" s="25"/>
      <c r="AK22" s="27"/>
      <c r="AL22" s="28"/>
      <c r="AM22" s="14"/>
      <c r="AN22" s="29"/>
    </row>
    <row r="23" spans="1:40" hidden="1">
      <c r="A23" s="27" t="s">
        <v>40</v>
      </c>
      <c r="B23" s="14" t="e">
        <v>#N/A</v>
      </c>
      <c r="C23" s="132" t="s">
        <v>470</v>
      </c>
      <c r="D23" s="37">
        <v>1</v>
      </c>
      <c r="E23" s="38" t="s">
        <v>15</v>
      </c>
      <c r="F23" s="18"/>
      <c r="G23" s="18"/>
      <c r="H23" s="40" t="e">
        <f>SUM(#REF!)</f>
        <v>#REF!</v>
      </c>
      <c r="I23" s="41" t="e">
        <f>H23/4</f>
        <v>#REF!</v>
      </c>
      <c r="J23" s="39">
        <f>SUMIFS(領用表!$L:$L,領用表!$E:$E,$B23,領用表!$B:$B,J$2&amp;$R$1)</f>
        <v>0</v>
      </c>
      <c r="K23" s="39">
        <f>SUMIFS(領用表!$L:$L,領用表!$E:$E,$B23,領用表!$B:$B,K$2&amp;$R$1)</f>
        <v>0</v>
      </c>
      <c r="L23" s="39">
        <f>SUMIFS(領用表!$L:$L,領用表!$E:$E,$B23,領用表!$B:$B,L$2&amp;$R$1)</f>
        <v>0</v>
      </c>
      <c r="M23" s="142">
        <f>SUMIFS(領用表!$L:$L,領用表!$E:$E,$B23,領用表!$B:$B,M$2&amp;$R$1)</f>
        <v>0</v>
      </c>
      <c r="N23" s="142">
        <f>SUMIFS(領用表!$L:$L,領用表!$E:$E,$B23,領用表!$B:$B,N$2&amp;$R$1)</f>
        <v>0</v>
      </c>
      <c r="O23" s="142">
        <f>SUMIFS(領用表!$L:$L,領用表!$E:$E,$B23,領用表!$B:$B,O$2&amp;$R$1)</f>
        <v>0</v>
      </c>
      <c r="P23" s="42">
        <f t="shared" si="1"/>
        <v>0</v>
      </c>
      <c r="Q23" s="42">
        <f t="shared" si="2"/>
        <v>0</v>
      </c>
      <c r="R23" s="142">
        <f>SUMIFS(領用表!$L:$L,領用表!$E:$E,$B23,領用表!$B:$B,R$2&amp;$R$1)</f>
        <v>0</v>
      </c>
      <c r="S23" s="142">
        <f>SUMIFS(領用表!$L:$L,領用表!$E:$E,$B23,領用表!$B:$B,S$2&amp;$R$1)</f>
        <v>0</v>
      </c>
      <c r="T23" s="142">
        <f>SUMIFS(領用表!$L:$L,領用表!$E:$E,$B23,領用表!$B:$B,T$2&amp;$R$1)</f>
        <v>0</v>
      </c>
      <c r="U23" s="142">
        <f>SUMIFS(領用表!$L:$L,領用表!$E:$E,$B23,領用表!$B:$B,U$2&amp;$R$1)</f>
        <v>0</v>
      </c>
      <c r="V23" s="142">
        <f>SUMIFS(領用表!$L:$L,領用表!$E:$E,$B23,領用表!$B:$B,V$2&amp;$R$1)</f>
        <v>0</v>
      </c>
      <c r="W23" s="142">
        <f>SUMIFS(領用表!$L:$L,領用表!$E:$E,$B23,領用表!$B:$B,W$2&amp;$R$1)</f>
        <v>0</v>
      </c>
      <c r="X23" s="142">
        <f>SUMIFS(領用表!$L:$L,領用表!$E:$E,$B23,領用表!$B:$B,X$2&amp;$R$1)</f>
        <v>0</v>
      </c>
      <c r="Y23" s="142">
        <f>SUMIFS(領用表!$L:$L,領用表!$E:$E,$B23,領用表!$B:$B,Y$2&amp;$R$1)</f>
        <v>0</v>
      </c>
      <c r="Z23" s="142">
        <f>SUMIFS(領用表!$L:$L,領用表!$E:$E,$B23,領用表!$B:$B,Z$2&amp;$R$1)</f>
        <v>0</v>
      </c>
      <c r="AA23" s="142">
        <f>SUMIFS(領用表!$L:$L,領用表!$E:$E,$B23,領用表!$B:$B,AA$2&amp;$R$1)</f>
        <v>0</v>
      </c>
      <c r="AB23" s="142">
        <f>SUMIFS(領用表!$L:$L,領用表!$E:$E,$B23,領用表!$B:$B,AB$2&amp;$R$1)</f>
        <v>0</v>
      </c>
      <c r="AC23" s="142">
        <f>SUMIFS(領用表!$L:$L,領用表!$E:$E,$B23,領用表!$B:$B,AC$2&amp;$R$1)</f>
        <v>0</v>
      </c>
      <c r="AD23" s="142">
        <f t="shared" si="3"/>
        <v>0</v>
      </c>
      <c r="AE23" s="142">
        <f t="shared" si="4"/>
        <v>0</v>
      </c>
      <c r="AF23" s="142">
        <f>SUMIF(Summary!B:B,B23,Summary!DV:DV)</f>
        <v>0</v>
      </c>
      <c r="AG23" s="103"/>
      <c r="AH23" s="479"/>
      <c r="AI23" s="25"/>
      <c r="AJ23" s="25"/>
      <c r="AK23" s="27"/>
      <c r="AL23" s="28"/>
      <c r="AM23" s="14"/>
      <c r="AN23" s="29"/>
    </row>
    <row r="24" spans="1:40" ht="15.75" customHeight="1">
      <c r="A24" s="27" t="s">
        <v>41</v>
      </c>
      <c r="B24" s="14">
        <v>6160008</v>
      </c>
      <c r="C24" s="133" t="s">
        <v>471</v>
      </c>
      <c r="D24" s="16">
        <v>6</v>
      </c>
      <c r="E24" s="17" t="s">
        <v>42</v>
      </c>
      <c r="F24" s="18"/>
      <c r="G24" s="18">
        <f>(D24*80)+4</f>
        <v>484</v>
      </c>
      <c r="H24" s="21"/>
      <c r="I24" s="21"/>
      <c r="J24" s="20">
        <f>SUMIFS(領用表!$L:$L,領用表!$E:$E,$B24,領用表!$B:$B,J$2&amp;$R$1)</f>
        <v>27</v>
      </c>
      <c r="K24" s="20">
        <f>SUMIFS(領用表!$L:$L,領用表!$E:$E,$B24,領用表!$B:$B,K$2&amp;$R$1)</f>
        <v>10</v>
      </c>
      <c r="L24" s="20">
        <f>SUMIFS(領用表!$L:$L,領用表!$E:$E,$B24,領用表!$B:$B,L$2&amp;$R$1)</f>
        <v>357</v>
      </c>
      <c r="M24" s="142">
        <f>SUMIFS(領用表!$L:$L,領用表!$E:$E,$B24,領用表!$B:$B,M$2&amp;$R$1)</f>
        <v>441</v>
      </c>
      <c r="N24" s="142">
        <f>SUMIFS(領用表!$L:$L,領用表!$E:$E,$B24,領用表!$B:$B,N$2&amp;$R$1)</f>
        <v>425</v>
      </c>
      <c r="O24" s="142">
        <f>SUMIFS(領用表!$L:$L,領用表!$E:$E,$B24,領用表!$B:$B,O$2&amp;$R$1)</f>
        <v>14</v>
      </c>
      <c r="P24" s="23">
        <f t="shared" si="1"/>
        <v>1274</v>
      </c>
      <c r="Q24" s="23">
        <f t="shared" si="2"/>
        <v>182</v>
      </c>
      <c r="R24" s="142">
        <f>SUMIFS(領用表!$L:$L,領用表!$E:$E,$B24,領用表!$B:$B,R$2&amp;$R$1)</f>
        <v>6</v>
      </c>
      <c r="S24" s="142">
        <f>SUMIFS(領用表!$L:$L,領用表!$E:$E,$B24,領用表!$B:$B,S$2&amp;$R$1)</f>
        <v>1</v>
      </c>
      <c r="T24" s="142">
        <f>SUMIFS(領用表!$L:$L,領用表!$E:$E,$B24,領用表!$B:$B,T$2&amp;$R$1)</f>
        <v>0</v>
      </c>
      <c r="U24" s="142">
        <f>SUMIFS(領用表!$L:$L,領用表!$E:$E,$B24,領用表!$B:$B,U$2&amp;$R$1)</f>
        <v>3</v>
      </c>
      <c r="V24" s="142">
        <f>SUMIFS(領用表!$L:$L,領用表!$E:$E,$B24,領用表!$B:$B,V$2&amp;$R$1)</f>
        <v>166</v>
      </c>
      <c r="W24" s="142">
        <f>SUMIFS(領用表!$L:$L,領用表!$E:$E,$B24,領用表!$B:$B,W$2&amp;$R$1)</f>
        <v>0</v>
      </c>
      <c r="X24" s="142">
        <f>SUMIFS(領用表!$L:$L,領用表!$E:$E,$B24,領用表!$B:$B,X$2&amp;$R$1)</f>
        <v>0</v>
      </c>
      <c r="Y24" s="142">
        <f>SUMIFS(領用表!$L:$L,領用表!$E:$E,$B24,領用表!$B:$B,Y$2&amp;$R$1)</f>
        <v>0</v>
      </c>
      <c r="Z24" s="142">
        <f>SUMIFS(領用表!$L:$L,領用表!$E:$E,$B24,領用表!$B:$B,Z$2&amp;$R$1)</f>
        <v>0</v>
      </c>
      <c r="AA24" s="142">
        <f>SUMIFS(領用表!$L:$L,領用表!$E:$E,$B24,領用表!$B:$B,AA$2&amp;$R$1)</f>
        <v>0</v>
      </c>
      <c r="AB24" s="142">
        <f>SUMIFS(領用表!$L:$L,領用表!$E:$E,$B24,領用表!$B:$B,AB$2&amp;$R$1)</f>
        <v>0</v>
      </c>
      <c r="AC24" s="142">
        <f>SUMIFS(領用表!$L:$L,領用表!$E:$E,$B24,領用表!$B:$B,AC$2&amp;$R$1)</f>
        <v>0</v>
      </c>
      <c r="AD24" s="142">
        <f t="shared" si="3"/>
        <v>176</v>
      </c>
      <c r="AE24" s="142">
        <f t="shared" si="4"/>
        <v>35.200000000000003</v>
      </c>
      <c r="AF24" s="142">
        <f>SUMIF(Summary!B:B,B24,Summary!DV:DV)</f>
        <v>210</v>
      </c>
      <c r="AG24" s="101">
        <v>120</v>
      </c>
      <c r="AH24" s="24"/>
      <c r="AI24" s="25" t="s">
        <v>43</v>
      </c>
      <c r="AJ24" s="25" t="s">
        <v>44</v>
      </c>
      <c r="AK24" s="27"/>
      <c r="AL24" s="28"/>
      <c r="AM24" s="14"/>
      <c r="AN24" s="29"/>
    </row>
    <row r="25" spans="1:40" ht="15.75" customHeight="1">
      <c r="A25" s="27" t="s">
        <v>45</v>
      </c>
      <c r="B25" s="14">
        <v>6160009</v>
      </c>
      <c r="C25" s="133" t="s">
        <v>472</v>
      </c>
      <c r="D25" s="16">
        <v>8</v>
      </c>
      <c r="E25" s="17" t="s">
        <v>42</v>
      </c>
      <c r="F25" s="18"/>
      <c r="G25" s="18">
        <f>(D25*14)+0</f>
        <v>112</v>
      </c>
      <c r="H25" s="21"/>
      <c r="I25" s="21"/>
      <c r="J25" s="20">
        <f>SUMIFS(領用表!$L:$L,領用表!$E:$E,$B25,領用表!$B:$B,J$2&amp;$R$1)</f>
        <v>8</v>
      </c>
      <c r="K25" s="20">
        <f>SUMIFS(領用表!$L:$L,領用表!$E:$E,$B25,領用表!$B:$B,K$2&amp;$R$1)</f>
        <v>6</v>
      </c>
      <c r="L25" s="20">
        <f>SUMIFS(領用表!$L:$L,領用表!$E:$E,$B25,領用表!$B:$B,L$2&amp;$R$1)</f>
        <v>36</v>
      </c>
      <c r="M25" s="142">
        <f>SUMIFS(領用表!$L:$L,領用表!$E:$E,$B25,領用表!$B:$B,M$2&amp;$R$1)</f>
        <v>6</v>
      </c>
      <c r="N25" s="142">
        <f>SUMIFS(領用表!$L:$L,領用表!$E:$E,$B25,領用表!$B:$B,N$2&amp;$R$1)</f>
        <v>3</v>
      </c>
      <c r="O25" s="142">
        <f>SUMIFS(領用表!$L:$L,領用表!$E:$E,$B25,領用表!$B:$B,O$2&amp;$R$1)</f>
        <v>0</v>
      </c>
      <c r="P25" s="23">
        <f t="shared" si="1"/>
        <v>59</v>
      </c>
      <c r="Q25" s="23">
        <f t="shared" si="2"/>
        <v>8.4285714285714288</v>
      </c>
      <c r="R25" s="142">
        <f>SUMIFS(領用表!$L:$L,領用表!$E:$E,$B25,領用表!$B:$B,R$2&amp;$R$1)</f>
        <v>13</v>
      </c>
      <c r="S25" s="142">
        <f>SUMIFS(領用表!$L:$L,領用表!$E:$E,$B25,領用表!$B:$B,S$2&amp;$R$1)</f>
        <v>17</v>
      </c>
      <c r="T25" s="142">
        <f>SUMIFS(領用表!$L:$L,領用表!$E:$E,$B25,領用表!$B:$B,T$2&amp;$R$1)</f>
        <v>86</v>
      </c>
      <c r="U25" s="142">
        <f>SUMIFS(領用表!$L:$L,領用表!$E:$E,$B25,領用表!$B:$B,U$2&amp;$R$1)</f>
        <v>2</v>
      </c>
      <c r="V25" s="142">
        <f>SUMIFS(領用表!$L:$L,領用表!$E:$E,$B25,領用表!$B:$B,V$2&amp;$R$1)</f>
        <v>25</v>
      </c>
      <c r="W25" s="142">
        <f>SUMIFS(領用表!$L:$L,領用表!$E:$E,$B25,領用表!$B:$B,W$2&amp;$R$1)</f>
        <v>0</v>
      </c>
      <c r="X25" s="142">
        <f>SUMIFS(領用表!$L:$L,領用表!$E:$E,$B25,領用表!$B:$B,X$2&amp;$R$1)</f>
        <v>0</v>
      </c>
      <c r="Y25" s="142">
        <f>SUMIFS(領用表!$L:$L,領用表!$E:$E,$B25,領用表!$B:$B,Y$2&amp;$R$1)</f>
        <v>0</v>
      </c>
      <c r="Z25" s="142">
        <f>SUMIFS(領用表!$L:$L,領用表!$E:$E,$B25,領用表!$B:$B,Z$2&amp;$R$1)</f>
        <v>0</v>
      </c>
      <c r="AA25" s="142">
        <f>SUMIFS(領用表!$L:$L,領用表!$E:$E,$B25,領用表!$B:$B,AA$2&amp;$R$1)</f>
        <v>0</v>
      </c>
      <c r="AB25" s="142">
        <f>SUMIFS(領用表!$L:$L,領用表!$E:$E,$B25,領用表!$B:$B,AB$2&amp;$R$1)</f>
        <v>0</v>
      </c>
      <c r="AC25" s="142">
        <f>SUMIFS(領用表!$L:$L,領用表!$E:$E,$B25,領用表!$B:$B,AC$2&amp;$R$1)</f>
        <v>0</v>
      </c>
      <c r="AD25" s="142">
        <f t="shared" si="3"/>
        <v>143</v>
      </c>
      <c r="AE25" s="142">
        <f t="shared" si="4"/>
        <v>28.6</v>
      </c>
      <c r="AF25" s="142">
        <f>SUMIF(Summary!B:B,B25,Summary!DV:DV)</f>
        <v>20</v>
      </c>
      <c r="AG25" s="101">
        <v>20</v>
      </c>
      <c r="AH25" s="24"/>
      <c r="AI25" s="25" t="s">
        <v>46</v>
      </c>
      <c r="AJ25" s="25" t="s">
        <v>47</v>
      </c>
      <c r="AK25" s="27"/>
      <c r="AL25" s="28"/>
      <c r="AM25" s="14"/>
      <c r="AN25" s="29"/>
    </row>
    <row r="26" spans="1:40" ht="15.75" hidden="1" customHeight="1">
      <c r="A26" s="27" t="s">
        <v>48</v>
      </c>
      <c r="B26" s="14" t="e">
        <v>#N/A</v>
      </c>
      <c r="C26" s="134" t="s">
        <v>473</v>
      </c>
      <c r="D26" s="37">
        <v>1</v>
      </c>
      <c r="E26" s="38" t="s">
        <v>15</v>
      </c>
      <c r="F26" s="18"/>
      <c r="G26" s="18">
        <f t="shared" ref="G26:G27" si="8">D26*0</f>
        <v>0</v>
      </c>
      <c r="H26" s="40" t="s">
        <v>49</v>
      </c>
      <c r="I26" s="40" t="s">
        <v>49</v>
      </c>
      <c r="J26" s="39">
        <f>SUMIFS(領用表!$L:$L,領用表!$E:$E,$B26,領用表!$B:$B,J$2&amp;$R$1)</f>
        <v>0</v>
      </c>
      <c r="K26" s="39">
        <f>SUMIFS(領用表!$L:$L,領用表!$E:$E,$B26,領用表!$B:$B,K$2&amp;$R$1)</f>
        <v>0</v>
      </c>
      <c r="L26" s="39">
        <f>SUMIFS(領用表!$L:$L,領用表!$E:$E,$B26,領用表!$B:$B,L$2&amp;$R$1)</f>
        <v>0</v>
      </c>
      <c r="M26" s="142">
        <f>SUMIFS(領用表!$L:$L,領用表!$E:$E,$B26,領用表!$B:$B,M$2&amp;$R$1)</f>
        <v>0</v>
      </c>
      <c r="N26" s="142">
        <f>SUMIFS(領用表!$L:$L,領用表!$E:$E,$B26,領用表!$B:$B,N$2&amp;$R$1)</f>
        <v>0</v>
      </c>
      <c r="O26" s="142">
        <f>SUMIFS(領用表!$L:$L,領用表!$E:$E,$B26,領用表!$B:$B,O$2&amp;$R$1)</f>
        <v>0</v>
      </c>
      <c r="P26" s="42">
        <f t="shared" si="1"/>
        <v>0</v>
      </c>
      <c r="Q26" s="42">
        <f t="shared" si="2"/>
        <v>0</v>
      </c>
      <c r="R26" s="142">
        <f>SUMIFS(領用表!$L:$L,領用表!$E:$E,$B26,領用表!$B:$B,R$2&amp;$R$1)</f>
        <v>0</v>
      </c>
      <c r="S26" s="142">
        <f>SUMIFS(領用表!$L:$L,領用表!$E:$E,$B26,領用表!$B:$B,S$2&amp;$R$1)</f>
        <v>0</v>
      </c>
      <c r="T26" s="142">
        <f>SUMIFS(領用表!$L:$L,領用表!$E:$E,$B26,領用表!$B:$B,T$2&amp;$R$1)</f>
        <v>0</v>
      </c>
      <c r="U26" s="142">
        <f>SUMIFS(領用表!$L:$L,領用表!$E:$E,$B26,領用表!$B:$B,U$2&amp;$R$1)</f>
        <v>0</v>
      </c>
      <c r="V26" s="142">
        <f>SUMIFS(領用表!$L:$L,領用表!$E:$E,$B26,領用表!$B:$B,V$2&amp;$R$1)</f>
        <v>0</v>
      </c>
      <c r="W26" s="142">
        <f>SUMIFS(領用表!$L:$L,領用表!$E:$E,$B26,領用表!$B:$B,W$2&amp;$R$1)</f>
        <v>0</v>
      </c>
      <c r="X26" s="142">
        <f>SUMIFS(領用表!$L:$L,領用表!$E:$E,$B26,領用表!$B:$B,X$2&amp;$R$1)</f>
        <v>0</v>
      </c>
      <c r="Y26" s="142">
        <f>SUMIFS(領用表!$L:$L,領用表!$E:$E,$B26,領用表!$B:$B,Y$2&amp;$R$1)</f>
        <v>0</v>
      </c>
      <c r="Z26" s="142">
        <f>SUMIFS(領用表!$L:$L,領用表!$E:$E,$B26,領用表!$B:$B,Z$2&amp;$R$1)</f>
        <v>0</v>
      </c>
      <c r="AA26" s="142">
        <f>SUMIFS(領用表!$L:$L,領用表!$E:$E,$B26,領用表!$B:$B,AA$2&amp;$R$1)</f>
        <v>0</v>
      </c>
      <c r="AB26" s="142">
        <f>SUMIFS(領用表!$L:$L,領用表!$E:$E,$B26,領用表!$B:$B,AB$2&amp;$R$1)</f>
        <v>0</v>
      </c>
      <c r="AC26" s="142">
        <f>SUMIFS(領用表!$L:$L,領用表!$E:$E,$B26,領用表!$B:$B,AC$2&amp;$R$1)</f>
        <v>0</v>
      </c>
      <c r="AD26" s="142">
        <f t="shared" si="3"/>
        <v>0</v>
      </c>
      <c r="AE26" s="142">
        <f t="shared" si="4"/>
        <v>0</v>
      </c>
      <c r="AF26" s="142">
        <f>SUMIF(Summary!B:B,B26,Summary!DV:DV)</f>
        <v>0</v>
      </c>
      <c r="AG26" s="103"/>
      <c r="AH26" s="477"/>
      <c r="AI26" s="25"/>
      <c r="AJ26" s="25"/>
      <c r="AK26" s="27" t="s">
        <v>50</v>
      </c>
      <c r="AL26" s="28"/>
      <c r="AM26" s="14"/>
      <c r="AN26" s="29"/>
    </row>
    <row r="27" spans="1:40" ht="15.75" hidden="1" customHeight="1">
      <c r="A27" s="27" t="s">
        <v>51</v>
      </c>
      <c r="B27" s="14" t="e">
        <v>#N/A</v>
      </c>
      <c r="C27" s="134" t="s">
        <v>474</v>
      </c>
      <c r="D27" s="37">
        <v>1</v>
      </c>
      <c r="E27" s="38" t="s">
        <v>15</v>
      </c>
      <c r="F27" s="18"/>
      <c r="G27" s="18">
        <f t="shared" si="8"/>
        <v>0</v>
      </c>
      <c r="H27" s="40" t="s">
        <v>49</v>
      </c>
      <c r="I27" s="40" t="s">
        <v>49</v>
      </c>
      <c r="J27" s="39">
        <f>SUMIFS(領用表!$L:$L,領用表!$E:$E,$B27,領用表!$B:$B,J$2&amp;$R$1)</f>
        <v>0</v>
      </c>
      <c r="K27" s="39">
        <f>SUMIFS(領用表!$L:$L,領用表!$E:$E,$B27,領用表!$B:$B,K$2&amp;$R$1)</f>
        <v>0</v>
      </c>
      <c r="L27" s="39">
        <f>SUMIFS(領用表!$L:$L,領用表!$E:$E,$B27,領用表!$B:$B,L$2&amp;$R$1)</f>
        <v>0</v>
      </c>
      <c r="M27" s="142">
        <f>SUMIFS(領用表!$L:$L,領用表!$E:$E,$B27,領用表!$B:$B,M$2&amp;$R$1)</f>
        <v>0</v>
      </c>
      <c r="N27" s="142">
        <f>SUMIFS(領用表!$L:$L,領用表!$E:$E,$B27,領用表!$B:$B,N$2&amp;$R$1)</f>
        <v>0</v>
      </c>
      <c r="O27" s="142">
        <f>SUMIFS(領用表!$L:$L,領用表!$E:$E,$B27,領用表!$B:$B,O$2&amp;$R$1)</f>
        <v>0</v>
      </c>
      <c r="P27" s="42">
        <f t="shared" si="1"/>
        <v>0</v>
      </c>
      <c r="Q27" s="42">
        <f t="shared" si="2"/>
        <v>0</v>
      </c>
      <c r="R27" s="142">
        <f>SUMIFS(領用表!$L:$L,領用表!$E:$E,$B27,領用表!$B:$B,R$2&amp;$R$1)</f>
        <v>0</v>
      </c>
      <c r="S27" s="142">
        <f>SUMIFS(領用表!$L:$L,領用表!$E:$E,$B27,領用表!$B:$B,S$2&amp;$R$1)</f>
        <v>0</v>
      </c>
      <c r="T27" s="142">
        <f>SUMIFS(領用表!$L:$L,領用表!$E:$E,$B27,領用表!$B:$B,T$2&amp;$R$1)</f>
        <v>0</v>
      </c>
      <c r="U27" s="142">
        <f>SUMIFS(領用表!$L:$L,領用表!$E:$E,$B27,領用表!$B:$B,U$2&amp;$R$1)</f>
        <v>0</v>
      </c>
      <c r="V27" s="142">
        <f>SUMIFS(領用表!$L:$L,領用表!$E:$E,$B27,領用表!$B:$B,V$2&amp;$R$1)</f>
        <v>0</v>
      </c>
      <c r="W27" s="142">
        <f>SUMIFS(領用表!$L:$L,領用表!$E:$E,$B27,領用表!$B:$B,W$2&amp;$R$1)</f>
        <v>0</v>
      </c>
      <c r="X27" s="142">
        <f>SUMIFS(領用表!$L:$L,領用表!$E:$E,$B27,領用表!$B:$B,X$2&amp;$R$1)</f>
        <v>0</v>
      </c>
      <c r="Y27" s="142">
        <f>SUMIFS(領用表!$L:$L,領用表!$E:$E,$B27,領用表!$B:$B,Y$2&amp;$R$1)</f>
        <v>0</v>
      </c>
      <c r="Z27" s="142">
        <f>SUMIFS(領用表!$L:$L,領用表!$E:$E,$B27,領用表!$B:$B,Z$2&amp;$R$1)</f>
        <v>0</v>
      </c>
      <c r="AA27" s="142">
        <f>SUMIFS(領用表!$L:$L,領用表!$E:$E,$B27,領用表!$B:$B,AA$2&amp;$R$1)</f>
        <v>0</v>
      </c>
      <c r="AB27" s="142">
        <f>SUMIFS(領用表!$L:$L,領用表!$E:$E,$B27,領用表!$B:$B,AB$2&amp;$R$1)</f>
        <v>0</v>
      </c>
      <c r="AC27" s="142">
        <f>SUMIFS(領用表!$L:$L,領用表!$E:$E,$B27,領用表!$B:$B,AC$2&amp;$R$1)</f>
        <v>0</v>
      </c>
      <c r="AD27" s="142">
        <f t="shared" si="3"/>
        <v>0</v>
      </c>
      <c r="AE27" s="142">
        <f t="shared" si="4"/>
        <v>0</v>
      </c>
      <c r="AF27" s="142">
        <f>SUMIF(Summary!B:B,B27,Summary!DV:DV)</f>
        <v>0</v>
      </c>
      <c r="AG27" s="103"/>
      <c r="AH27" s="479"/>
      <c r="AI27" s="25"/>
      <c r="AJ27" s="25"/>
      <c r="AK27" s="27" t="s">
        <v>50</v>
      </c>
      <c r="AL27" s="28"/>
      <c r="AM27" s="14"/>
      <c r="AN27" s="29"/>
    </row>
    <row r="28" spans="1:40" ht="15.75" customHeight="1">
      <c r="A28" s="27" t="s">
        <v>52</v>
      </c>
      <c r="B28" s="14">
        <v>6160011</v>
      </c>
      <c r="C28" s="133" t="s">
        <v>475</v>
      </c>
      <c r="D28" s="16">
        <v>6</v>
      </c>
      <c r="E28" s="17" t="s">
        <v>42</v>
      </c>
      <c r="F28" s="18"/>
      <c r="G28" s="18">
        <f>D28*(36)+0.5</f>
        <v>216.5</v>
      </c>
      <c r="H28" s="21"/>
      <c r="I28" s="22"/>
      <c r="J28" s="20">
        <f>SUMIFS(領用表!$L:$L,領用表!$E:$E,$B28,領用表!$B:$B,J$2&amp;$R$1)</f>
        <v>180</v>
      </c>
      <c r="K28" s="20">
        <f>SUMIFS(領用表!$L:$L,領用表!$E:$E,$B28,領用表!$B:$B,K$2&amp;$R$1)</f>
        <v>324</v>
      </c>
      <c r="L28" s="20">
        <f>SUMIFS(領用表!$L:$L,領用表!$E:$E,$B28,領用表!$B:$B,L$2&amp;$R$1)</f>
        <v>68</v>
      </c>
      <c r="M28" s="142">
        <f>SUMIFS(領用表!$L:$L,領用表!$E:$E,$B28,領用表!$B:$B,M$2&amp;$R$1)</f>
        <v>40</v>
      </c>
      <c r="N28" s="142">
        <f>SUMIFS(領用表!$L:$L,領用表!$E:$E,$B28,領用表!$B:$B,N$2&amp;$R$1)</f>
        <v>51</v>
      </c>
      <c r="O28" s="142">
        <f>SUMIFS(領用表!$L:$L,領用表!$E:$E,$B28,領用表!$B:$B,O$2&amp;$R$1)</f>
        <v>782</v>
      </c>
      <c r="P28" s="23">
        <f t="shared" si="1"/>
        <v>1445</v>
      </c>
      <c r="Q28" s="23">
        <f t="shared" si="2"/>
        <v>206.42857142857142</v>
      </c>
      <c r="R28" s="142">
        <f>SUMIFS(領用表!$L:$L,領用表!$E:$E,$B28,領用表!$B:$B,R$2&amp;$R$1)</f>
        <v>1003</v>
      </c>
      <c r="S28" s="142">
        <f>SUMIFS(領用表!$L:$L,領用表!$E:$E,$B28,領用表!$B:$B,S$2&amp;$R$1)</f>
        <v>865</v>
      </c>
      <c r="T28" s="142">
        <f>SUMIFS(領用表!$L:$L,領用表!$E:$E,$B28,領用表!$B:$B,T$2&amp;$R$1)</f>
        <v>881</v>
      </c>
      <c r="U28" s="142">
        <f>SUMIFS(領用表!$L:$L,領用表!$E:$E,$B28,領用表!$B:$B,U$2&amp;$R$1)</f>
        <v>914</v>
      </c>
      <c r="V28" s="142">
        <f>SUMIFS(領用表!$L:$L,領用表!$E:$E,$B28,領用表!$B:$B,V$2&amp;$R$1)</f>
        <v>853</v>
      </c>
      <c r="W28" s="142">
        <f>SUMIFS(領用表!$L:$L,領用表!$E:$E,$B28,領用表!$B:$B,W$2&amp;$R$1)</f>
        <v>0</v>
      </c>
      <c r="X28" s="142">
        <f>SUMIFS(領用表!$L:$L,領用表!$E:$E,$B28,領用表!$B:$B,X$2&amp;$R$1)</f>
        <v>0</v>
      </c>
      <c r="Y28" s="142">
        <f>SUMIFS(領用表!$L:$L,領用表!$E:$E,$B28,領用表!$B:$B,Y$2&amp;$R$1)</f>
        <v>0</v>
      </c>
      <c r="Z28" s="142">
        <f>SUMIFS(領用表!$L:$L,領用表!$E:$E,$B28,領用表!$B:$B,Z$2&amp;$R$1)</f>
        <v>0</v>
      </c>
      <c r="AA28" s="142">
        <f>SUMIFS(領用表!$L:$L,領用表!$E:$E,$B28,領用表!$B:$B,AA$2&amp;$R$1)</f>
        <v>0</v>
      </c>
      <c r="AB28" s="142">
        <f>SUMIFS(領用表!$L:$L,領用表!$E:$E,$B28,領用表!$B:$B,AB$2&amp;$R$1)</f>
        <v>0</v>
      </c>
      <c r="AC28" s="142">
        <f>SUMIFS(領用表!$L:$L,領用表!$E:$E,$B28,領用表!$B:$B,AC$2&amp;$R$1)</f>
        <v>0</v>
      </c>
      <c r="AD28" s="142">
        <f t="shared" si="3"/>
        <v>4516</v>
      </c>
      <c r="AE28" s="142">
        <f t="shared" si="4"/>
        <v>903.2</v>
      </c>
      <c r="AF28" s="142">
        <f>SUMIF(Summary!B:B,B28,Summary!DV:DV)</f>
        <v>1000</v>
      </c>
      <c r="AG28" s="101">
        <v>175</v>
      </c>
      <c r="AH28" s="483" t="s">
        <v>53</v>
      </c>
      <c r="AI28" s="25" t="s">
        <v>54</v>
      </c>
      <c r="AJ28" s="25"/>
      <c r="AK28" s="27" t="s">
        <v>50</v>
      </c>
      <c r="AL28" s="28"/>
      <c r="AM28" s="14"/>
      <c r="AN28" s="29"/>
    </row>
    <row r="29" spans="1:40" ht="15.75" customHeight="1">
      <c r="A29" s="27" t="s">
        <v>55</v>
      </c>
      <c r="B29" s="14">
        <v>6160010</v>
      </c>
      <c r="C29" s="133" t="s">
        <v>476</v>
      </c>
      <c r="D29" s="16">
        <v>8</v>
      </c>
      <c r="E29" s="17" t="s">
        <v>42</v>
      </c>
      <c r="F29" s="18"/>
      <c r="G29" s="18">
        <f>D29*(24)+1</f>
        <v>193</v>
      </c>
      <c r="H29" s="21"/>
      <c r="I29" s="22"/>
      <c r="J29" s="20">
        <f>SUMIFS(領用表!$L:$L,領用表!$E:$E,$B29,領用表!$B:$B,J$2&amp;$R$1)</f>
        <v>78</v>
      </c>
      <c r="K29" s="20">
        <f>SUMIFS(領用表!$L:$L,領用表!$E:$E,$B29,領用表!$B:$B,K$2&amp;$R$1)</f>
        <v>75</v>
      </c>
      <c r="L29" s="20">
        <f>SUMIFS(領用表!$L:$L,領用表!$E:$E,$B29,領用表!$B:$B,L$2&amp;$R$1)</f>
        <v>29</v>
      </c>
      <c r="M29" s="142">
        <f>SUMIFS(領用表!$L:$L,領用表!$E:$E,$B29,領用表!$B:$B,M$2&amp;$R$1)</f>
        <v>51</v>
      </c>
      <c r="N29" s="142">
        <f>SUMIFS(領用表!$L:$L,領用表!$E:$E,$B29,領用表!$B:$B,N$2&amp;$R$1)</f>
        <v>112</v>
      </c>
      <c r="O29" s="142">
        <f>SUMIFS(領用表!$L:$L,領用表!$E:$E,$B29,領用表!$B:$B,O$2&amp;$R$1)</f>
        <v>115</v>
      </c>
      <c r="P29" s="23">
        <f t="shared" si="1"/>
        <v>460</v>
      </c>
      <c r="Q29" s="23">
        <f t="shared" si="2"/>
        <v>65.714285714285708</v>
      </c>
      <c r="R29" s="142">
        <f>SUMIFS(領用表!$L:$L,領用表!$E:$E,$B29,領用表!$B:$B,R$2&amp;$R$1)</f>
        <v>194</v>
      </c>
      <c r="S29" s="142">
        <f>SUMIFS(領用表!$L:$L,領用表!$E:$E,$B29,領用表!$B:$B,S$2&amp;$R$1)</f>
        <v>68</v>
      </c>
      <c r="T29" s="142">
        <f>SUMIFS(領用表!$L:$L,領用表!$E:$E,$B29,領用表!$B:$B,T$2&amp;$R$1)</f>
        <v>126</v>
      </c>
      <c r="U29" s="142">
        <f>SUMIFS(領用表!$L:$L,領用表!$E:$E,$B29,領用表!$B:$B,U$2&amp;$R$1)</f>
        <v>124</v>
      </c>
      <c r="V29" s="142">
        <f>SUMIFS(領用表!$L:$L,領用表!$E:$E,$B29,領用表!$B:$B,V$2&amp;$R$1)</f>
        <v>97</v>
      </c>
      <c r="W29" s="142">
        <f>SUMIFS(領用表!$L:$L,領用表!$E:$E,$B29,領用表!$B:$B,W$2&amp;$R$1)</f>
        <v>0</v>
      </c>
      <c r="X29" s="142">
        <f>SUMIFS(領用表!$L:$L,領用表!$E:$E,$B29,領用表!$B:$B,X$2&amp;$R$1)</f>
        <v>0</v>
      </c>
      <c r="Y29" s="142">
        <f>SUMIFS(領用表!$L:$L,領用表!$E:$E,$B29,領用表!$B:$B,Y$2&amp;$R$1)</f>
        <v>0</v>
      </c>
      <c r="Z29" s="142">
        <f>SUMIFS(領用表!$L:$L,領用表!$E:$E,$B29,領用表!$B:$B,Z$2&amp;$R$1)</f>
        <v>0</v>
      </c>
      <c r="AA29" s="142">
        <f>SUMIFS(領用表!$L:$L,領用表!$E:$E,$B29,領用表!$B:$B,AA$2&amp;$R$1)</f>
        <v>0</v>
      </c>
      <c r="AB29" s="142">
        <f>SUMIFS(領用表!$L:$L,領用表!$E:$E,$B29,領用表!$B:$B,AB$2&amp;$R$1)</f>
        <v>0</v>
      </c>
      <c r="AC29" s="142">
        <f>SUMIFS(領用表!$L:$L,領用表!$E:$E,$B29,領用表!$B:$B,AC$2&amp;$R$1)</f>
        <v>0</v>
      </c>
      <c r="AD29" s="142">
        <f t="shared" si="3"/>
        <v>609</v>
      </c>
      <c r="AE29" s="142">
        <f t="shared" si="4"/>
        <v>121.8</v>
      </c>
      <c r="AF29" s="142">
        <f>SUMIF(Summary!B:B,B29,Summary!DV:DV)</f>
        <v>140</v>
      </c>
      <c r="AG29" s="101">
        <v>60</v>
      </c>
      <c r="AH29" s="479"/>
      <c r="AI29" s="25"/>
      <c r="AJ29" s="25" t="s">
        <v>54</v>
      </c>
      <c r="AK29" s="27" t="s">
        <v>50</v>
      </c>
      <c r="AL29" s="28"/>
      <c r="AM29" s="14"/>
      <c r="AN29" s="29"/>
    </row>
    <row r="30" spans="1:40" ht="15.75" customHeight="1">
      <c r="A30" s="27" t="s">
        <v>56</v>
      </c>
      <c r="B30" s="14">
        <v>6190002</v>
      </c>
      <c r="C30" s="118" t="s">
        <v>609</v>
      </c>
      <c r="D30" s="16">
        <v>6</v>
      </c>
      <c r="E30" s="17" t="s">
        <v>57</v>
      </c>
      <c r="F30" s="18"/>
      <c r="G30" s="18">
        <v>42</v>
      </c>
      <c r="H30" s="21" t="e">
        <f>SUM(#REF!)</f>
        <v>#REF!</v>
      </c>
      <c r="I30" s="22" t="e">
        <f>H30/12</f>
        <v>#REF!</v>
      </c>
      <c r="J30" s="20">
        <f>SUMIFS(領用表!$L:$L,領用表!$E:$E,$B30,領用表!$B:$B,J$2&amp;$R$1)</f>
        <v>0</v>
      </c>
      <c r="K30" s="20">
        <f>SUMIFS(領用表!$L:$L,領用表!$E:$E,$B30,領用表!$B:$B,K$2&amp;$R$1)</f>
        <v>0</v>
      </c>
      <c r="L30" s="20">
        <f>SUMIFS(領用表!$L:$L,領用表!$E:$E,$B30,領用表!$B:$B,L$2&amp;$R$1)</f>
        <v>0</v>
      </c>
      <c r="M30" s="142">
        <f>SUMIFS(領用表!$L:$L,領用表!$E:$E,$B30,領用表!$B:$B,M$2&amp;$R$1)</f>
        <v>8</v>
      </c>
      <c r="N30" s="142">
        <f>SUMIFS(領用表!$L:$L,領用表!$E:$E,$B30,領用表!$B:$B,N$2&amp;$R$1)</f>
        <v>7</v>
      </c>
      <c r="O30" s="142">
        <f>SUMIFS(領用表!$L:$L,領用表!$E:$E,$B30,領用表!$B:$B,O$2&amp;$R$1)</f>
        <v>2</v>
      </c>
      <c r="P30" s="23">
        <f t="shared" si="1"/>
        <v>17</v>
      </c>
      <c r="Q30" s="23">
        <f t="shared" si="2"/>
        <v>2.4285714285714284</v>
      </c>
      <c r="R30" s="142">
        <f>SUMIFS(領用表!$L:$L,領用表!$E:$E,$B30,領用表!$B:$B,R$2&amp;$R$1)</f>
        <v>10</v>
      </c>
      <c r="S30" s="142">
        <f>SUMIFS(領用表!$L:$L,領用表!$E:$E,$B30,領用表!$B:$B,S$2&amp;$R$1)</f>
        <v>2</v>
      </c>
      <c r="T30" s="142">
        <f>SUMIFS(領用表!$L:$L,領用表!$E:$E,$B30,領用表!$B:$B,T$2&amp;$R$1)</f>
        <v>6</v>
      </c>
      <c r="U30" s="142">
        <f>SUMIFS(領用表!$L:$L,領用表!$E:$E,$B30,領用表!$B:$B,U$2&amp;$R$1)</f>
        <v>0</v>
      </c>
      <c r="V30" s="142">
        <f>SUMIFS(領用表!$L:$L,領用表!$E:$E,$B30,領用表!$B:$B,V$2&amp;$R$1)</f>
        <v>0</v>
      </c>
      <c r="W30" s="142">
        <f>SUMIFS(領用表!$L:$L,領用表!$E:$E,$B30,領用表!$B:$B,W$2&amp;$R$1)</f>
        <v>0</v>
      </c>
      <c r="X30" s="142">
        <f>SUMIFS(領用表!$L:$L,領用表!$E:$E,$B30,領用表!$B:$B,X$2&amp;$R$1)</f>
        <v>0</v>
      </c>
      <c r="Y30" s="142">
        <f>SUMIFS(領用表!$L:$L,領用表!$E:$E,$B30,領用表!$B:$B,Y$2&amp;$R$1)</f>
        <v>0</v>
      </c>
      <c r="Z30" s="142">
        <f>SUMIFS(領用表!$L:$L,領用表!$E:$E,$B30,領用表!$B:$B,Z$2&amp;$R$1)</f>
        <v>0</v>
      </c>
      <c r="AA30" s="142">
        <f>SUMIFS(領用表!$L:$L,領用表!$E:$E,$B30,領用表!$B:$B,AA$2&amp;$R$1)</f>
        <v>0</v>
      </c>
      <c r="AB30" s="142">
        <f>SUMIFS(領用表!$L:$L,領用表!$E:$E,$B30,領用表!$B:$B,AB$2&amp;$R$1)</f>
        <v>0</v>
      </c>
      <c r="AC30" s="142">
        <f>SUMIFS(領用表!$L:$L,領用表!$E:$E,$B30,領用表!$B:$B,AC$2&amp;$R$1)</f>
        <v>0</v>
      </c>
      <c r="AD30" s="142">
        <f t="shared" si="3"/>
        <v>18</v>
      </c>
      <c r="AE30" s="142">
        <f t="shared" si="4"/>
        <v>3.6</v>
      </c>
      <c r="AF30" s="142">
        <f>SUMIF(Summary!B:B,B30,Summary!DV:DV)</f>
        <v>5</v>
      </c>
      <c r="AG30" s="101">
        <v>5</v>
      </c>
      <c r="AH30" s="24">
        <v>0</v>
      </c>
      <c r="AI30" s="25"/>
      <c r="AJ30" s="25"/>
      <c r="AK30" s="27"/>
      <c r="AL30" s="28"/>
      <c r="AM30" s="14"/>
      <c r="AN30" s="29"/>
    </row>
    <row r="31" spans="1:40" ht="15.75" customHeight="1">
      <c r="A31" s="27" t="s">
        <v>58</v>
      </c>
      <c r="B31" s="14">
        <v>6190003</v>
      </c>
      <c r="C31" s="118" t="s">
        <v>610</v>
      </c>
      <c r="D31" s="16">
        <v>10</v>
      </c>
      <c r="E31" s="17" t="s">
        <v>57</v>
      </c>
      <c r="F31" s="18"/>
      <c r="G31" s="18">
        <v>38</v>
      </c>
      <c r="H31" s="21" t="e">
        <f>SUM(#REF!)</f>
        <v>#REF!</v>
      </c>
      <c r="I31" s="22" t="e">
        <f>H31/12</f>
        <v>#REF!</v>
      </c>
      <c r="J31" s="20">
        <f>SUMIFS(領用表!$L:$L,領用表!$E:$E,$B31,領用表!$B:$B,J$2&amp;$R$1)</f>
        <v>0</v>
      </c>
      <c r="K31" s="20">
        <f>SUMIFS(領用表!$L:$L,領用表!$E:$E,$B31,領用表!$B:$B,K$2&amp;$R$1)</f>
        <v>0</v>
      </c>
      <c r="L31" s="20">
        <f>SUMIFS(領用表!$L:$L,領用表!$E:$E,$B31,領用表!$B:$B,L$2&amp;$R$1)</f>
        <v>0</v>
      </c>
      <c r="M31" s="142">
        <f>SUMIFS(領用表!$L:$L,領用表!$E:$E,$B31,領用表!$B:$B,M$2&amp;$R$1)</f>
        <v>0</v>
      </c>
      <c r="N31" s="142">
        <f>SUMIFS(領用表!$L:$L,領用表!$E:$E,$B31,領用表!$B:$B,N$2&amp;$R$1)</f>
        <v>5</v>
      </c>
      <c r="O31" s="142">
        <f>SUMIFS(領用表!$L:$L,領用表!$E:$E,$B31,領用表!$B:$B,O$2&amp;$R$1)</f>
        <v>8</v>
      </c>
      <c r="P31" s="23">
        <f t="shared" si="1"/>
        <v>13</v>
      </c>
      <c r="Q31" s="23">
        <f t="shared" si="2"/>
        <v>1.8571428571428572</v>
      </c>
      <c r="R31" s="142">
        <f>SUMIFS(領用表!$L:$L,領用表!$E:$E,$B31,領用表!$B:$B,R$2&amp;$R$1)</f>
        <v>5</v>
      </c>
      <c r="S31" s="142">
        <f>SUMIFS(領用表!$L:$L,領用表!$E:$E,$B31,領用表!$B:$B,S$2&amp;$R$1)</f>
        <v>5</v>
      </c>
      <c r="T31" s="142">
        <f>SUMIFS(領用表!$L:$L,領用表!$E:$E,$B31,領用表!$B:$B,T$2&amp;$R$1)</f>
        <v>5</v>
      </c>
      <c r="U31" s="142">
        <f>SUMIFS(領用表!$L:$L,領用表!$E:$E,$B31,領用表!$B:$B,U$2&amp;$R$1)</f>
        <v>8</v>
      </c>
      <c r="V31" s="142">
        <f>SUMIFS(領用表!$L:$L,領用表!$E:$E,$B31,領用表!$B:$B,V$2&amp;$R$1)</f>
        <v>0</v>
      </c>
      <c r="W31" s="142">
        <f>SUMIFS(領用表!$L:$L,領用表!$E:$E,$B31,領用表!$B:$B,W$2&amp;$R$1)</f>
        <v>0</v>
      </c>
      <c r="X31" s="142">
        <f>SUMIFS(領用表!$L:$L,領用表!$E:$E,$B31,領用表!$B:$B,X$2&amp;$R$1)</f>
        <v>0</v>
      </c>
      <c r="Y31" s="142">
        <f>SUMIFS(領用表!$L:$L,領用表!$E:$E,$B31,領用表!$B:$B,Y$2&amp;$R$1)</f>
        <v>0</v>
      </c>
      <c r="Z31" s="142">
        <f>SUMIFS(領用表!$L:$L,領用表!$E:$E,$B31,領用表!$B:$B,Z$2&amp;$R$1)</f>
        <v>0</v>
      </c>
      <c r="AA31" s="142">
        <f>SUMIFS(領用表!$L:$L,領用表!$E:$E,$B31,領用表!$B:$B,AA$2&amp;$R$1)</f>
        <v>0</v>
      </c>
      <c r="AB31" s="142">
        <f>SUMIFS(領用表!$L:$L,領用表!$E:$E,$B31,領用表!$B:$B,AB$2&amp;$R$1)</f>
        <v>0</v>
      </c>
      <c r="AC31" s="142">
        <f>SUMIFS(領用表!$L:$L,領用表!$E:$E,$B31,領用表!$B:$B,AC$2&amp;$R$1)</f>
        <v>0</v>
      </c>
      <c r="AD31" s="142">
        <f t="shared" si="3"/>
        <v>23</v>
      </c>
      <c r="AE31" s="142">
        <f t="shared" si="4"/>
        <v>4.5999999999999996</v>
      </c>
      <c r="AF31" s="142">
        <f>SUMIF(Summary!B:B,B31,Summary!DV:DV)</f>
        <v>10</v>
      </c>
      <c r="AG31" s="101">
        <v>5</v>
      </c>
      <c r="AH31" s="24">
        <v>0</v>
      </c>
      <c r="AI31" s="25"/>
      <c r="AJ31" s="25"/>
      <c r="AK31" s="27"/>
      <c r="AL31" s="28"/>
      <c r="AM31" s="14"/>
      <c r="AN31" s="29"/>
    </row>
    <row r="32" spans="1:40" ht="15.75" customHeight="1">
      <c r="A32" s="27" t="s">
        <v>59</v>
      </c>
      <c r="B32" s="14">
        <v>6190004</v>
      </c>
      <c r="C32" s="118" t="s">
        <v>611</v>
      </c>
      <c r="D32" s="16">
        <v>20</v>
      </c>
      <c r="E32" s="17" t="s">
        <v>57</v>
      </c>
      <c r="F32" s="18"/>
      <c r="G32" s="18">
        <v>454</v>
      </c>
      <c r="H32" s="21" t="e">
        <f>SUM(#REF!)</f>
        <v>#REF!</v>
      </c>
      <c r="I32" s="22" t="e">
        <f>H32/12</f>
        <v>#REF!</v>
      </c>
      <c r="J32" s="20">
        <f>SUMIFS(領用表!$L:$L,領用表!$E:$E,$B32,領用表!$B:$B,J$2&amp;$R$1)</f>
        <v>0</v>
      </c>
      <c r="K32" s="20">
        <f>SUMIFS(領用表!$L:$L,領用表!$E:$E,$B32,領用表!$B:$B,K$2&amp;$R$1)</f>
        <v>0</v>
      </c>
      <c r="L32" s="20">
        <f>SUMIFS(領用表!$L:$L,領用表!$E:$E,$B32,領用表!$B:$B,L$2&amp;$R$1)</f>
        <v>0</v>
      </c>
      <c r="M32" s="142">
        <f>SUMIFS(領用表!$L:$L,領用表!$E:$E,$B32,領用表!$B:$B,M$2&amp;$R$1)</f>
        <v>28</v>
      </c>
      <c r="N32" s="142">
        <f>SUMIFS(領用表!$L:$L,領用表!$E:$E,$B32,領用表!$B:$B,N$2&amp;$R$1)</f>
        <v>30</v>
      </c>
      <c r="O32" s="142">
        <f>SUMIFS(領用表!$L:$L,領用表!$E:$E,$B32,領用表!$B:$B,O$2&amp;$R$1)</f>
        <v>35</v>
      </c>
      <c r="P32" s="23">
        <f t="shared" si="1"/>
        <v>93</v>
      </c>
      <c r="Q32" s="23">
        <f t="shared" si="2"/>
        <v>13.285714285714286</v>
      </c>
      <c r="R32" s="142">
        <f>SUMIFS(領用表!$L:$L,領用表!$E:$E,$B32,領用表!$B:$B,R$2&amp;$R$1)</f>
        <v>34</v>
      </c>
      <c r="S32" s="142">
        <f>SUMIFS(領用表!$L:$L,領用表!$E:$E,$B32,領用表!$B:$B,S$2&amp;$R$1)</f>
        <v>11</v>
      </c>
      <c r="T32" s="142">
        <f>SUMIFS(領用表!$L:$L,領用表!$E:$E,$B32,領用表!$B:$B,T$2&amp;$R$1)</f>
        <v>45</v>
      </c>
      <c r="U32" s="142">
        <f>SUMIFS(領用表!$L:$L,領用表!$E:$E,$B32,領用表!$B:$B,U$2&amp;$R$1)</f>
        <v>31</v>
      </c>
      <c r="V32" s="142">
        <f>SUMIFS(領用表!$L:$L,領用表!$E:$E,$B32,領用表!$B:$B,V$2&amp;$R$1)</f>
        <v>59</v>
      </c>
      <c r="W32" s="142">
        <f>SUMIFS(領用表!$L:$L,領用表!$E:$E,$B32,領用表!$B:$B,W$2&amp;$R$1)</f>
        <v>0</v>
      </c>
      <c r="X32" s="142">
        <f>SUMIFS(領用表!$L:$L,領用表!$E:$E,$B32,領用表!$B:$B,X$2&amp;$R$1)</f>
        <v>0</v>
      </c>
      <c r="Y32" s="142">
        <f>SUMIFS(領用表!$L:$L,領用表!$E:$E,$B32,領用表!$B:$B,Y$2&amp;$R$1)</f>
        <v>0</v>
      </c>
      <c r="Z32" s="142">
        <f>SUMIFS(領用表!$L:$L,領用表!$E:$E,$B32,領用表!$B:$B,Z$2&amp;$R$1)</f>
        <v>0</v>
      </c>
      <c r="AA32" s="142">
        <f>SUMIFS(領用表!$L:$L,領用表!$E:$E,$B32,領用表!$B:$B,AA$2&amp;$R$1)</f>
        <v>0</v>
      </c>
      <c r="AB32" s="142">
        <f>SUMIFS(領用表!$L:$L,領用表!$E:$E,$B32,領用表!$B:$B,AB$2&amp;$R$1)</f>
        <v>0</v>
      </c>
      <c r="AC32" s="142">
        <f>SUMIFS(領用表!$L:$L,領用表!$E:$E,$B32,領用表!$B:$B,AC$2&amp;$R$1)</f>
        <v>0</v>
      </c>
      <c r="AD32" s="142">
        <f t="shared" si="3"/>
        <v>180</v>
      </c>
      <c r="AE32" s="142">
        <f t="shared" si="4"/>
        <v>36</v>
      </c>
      <c r="AF32" s="142">
        <f>SUMIF(Summary!B:B,B32,Summary!DV:DV)</f>
        <v>5</v>
      </c>
      <c r="AG32" s="101">
        <v>15</v>
      </c>
      <c r="AH32" s="24">
        <v>0</v>
      </c>
      <c r="AI32" s="25"/>
      <c r="AJ32" s="25"/>
      <c r="AK32" s="27"/>
      <c r="AL32" s="28"/>
      <c r="AM32" s="14"/>
      <c r="AN32" s="29"/>
    </row>
    <row r="33" spans="1:40" ht="15.75" customHeight="1">
      <c r="A33" s="27"/>
      <c r="B33" s="14">
        <v>6190006</v>
      </c>
      <c r="C33" s="14" t="s">
        <v>938</v>
      </c>
      <c r="D33" s="426">
        <v>1</v>
      </c>
      <c r="E33" s="17" t="s">
        <v>15</v>
      </c>
      <c r="F33" s="18"/>
      <c r="G33" s="18">
        <v>143</v>
      </c>
      <c r="H33" s="21"/>
      <c r="I33" s="22"/>
      <c r="J33" s="20"/>
      <c r="K33" s="20"/>
      <c r="L33" s="20"/>
      <c r="M33" s="142"/>
      <c r="N33" s="142"/>
      <c r="O33" s="142"/>
      <c r="P33" s="23"/>
      <c r="Q33" s="23"/>
      <c r="R33" s="142">
        <f>SUMIFS(領用表!$L:$L,領用表!$E:$E,$B33,領用表!$B:$B,R$2&amp;$R$1)</f>
        <v>0</v>
      </c>
      <c r="S33" s="142">
        <f>SUMIFS(領用表!$L:$L,領用表!$E:$E,$B33,領用表!$B:$B,S$2&amp;$R$1)</f>
        <v>0</v>
      </c>
      <c r="T33" s="142">
        <f>SUMIFS(領用表!$L:$L,領用表!$E:$E,$B33,領用表!$B:$B,T$2&amp;$R$1)</f>
        <v>0</v>
      </c>
      <c r="U33" s="142">
        <f>SUMIFS(領用表!$L:$L,領用表!$E:$E,$B33,領用表!$B:$B,U$2&amp;$R$1)</f>
        <v>23</v>
      </c>
      <c r="V33" s="142">
        <f>SUMIFS(領用表!$L:$L,領用表!$E:$E,$B33,領用表!$B:$B,V$2&amp;$R$1)</f>
        <v>33</v>
      </c>
      <c r="W33" s="142">
        <f>SUMIFS(領用表!$L:$L,領用表!$E:$E,$B33,領用表!$B:$B,W$2&amp;$R$1)</f>
        <v>0</v>
      </c>
      <c r="X33" s="142">
        <f>SUMIFS(領用表!$L:$L,領用表!$E:$E,$B33,領用表!$B:$B,X$2&amp;$R$1)</f>
        <v>0</v>
      </c>
      <c r="Y33" s="142">
        <f>SUMIFS(領用表!$L:$L,領用表!$E:$E,$B33,領用表!$B:$B,Y$2&amp;$R$1)</f>
        <v>0</v>
      </c>
      <c r="Z33" s="142">
        <f>SUMIFS(領用表!$L:$L,領用表!$E:$E,$B33,領用表!$B:$B,Z$2&amp;$R$1)</f>
        <v>0</v>
      </c>
      <c r="AA33" s="142">
        <f>SUMIFS(領用表!$L:$L,領用表!$E:$E,$B33,領用表!$B:$B,AA$2&amp;$R$1)</f>
        <v>0</v>
      </c>
      <c r="AB33" s="142">
        <f>SUMIFS(領用表!$L:$L,領用表!$E:$E,$B33,領用表!$B:$B,AB$2&amp;$R$1)</f>
        <v>0</v>
      </c>
      <c r="AC33" s="142">
        <f>SUMIFS(領用表!$L:$L,領用表!$E:$E,$B33,領用表!$B:$B,AC$2&amp;$R$1)</f>
        <v>0</v>
      </c>
      <c r="AD33" s="142">
        <f t="shared" ref="AD33" si="9">SUM(R33:AC33)</f>
        <v>56</v>
      </c>
      <c r="AE33" s="142">
        <f t="shared" si="4"/>
        <v>11.2</v>
      </c>
      <c r="AF33" s="142">
        <f>SUMIF(Summary!B:B,B33,Summary!DV:DV)</f>
        <v>0</v>
      </c>
      <c r="AG33" s="101"/>
      <c r="AH33" s="24"/>
      <c r="AI33" s="25"/>
      <c r="AJ33" s="25"/>
      <c r="AK33" s="27"/>
      <c r="AL33" s="28"/>
      <c r="AM33" s="14"/>
      <c r="AN33" s="29"/>
    </row>
    <row r="34" spans="1:40" ht="15.75" customHeight="1">
      <c r="A34" s="27"/>
      <c r="B34" s="433">
        <v>6050010</v>
      </c>
      <c r="C34" s="14" t="s">
        <v>967</v>
      </c>
      <c r="D34" s="426">
        <v>1</v>
      </c>
      <c r="E34" s="17" t="s">
        <v>15</v>
      </c>
      <c r="F34" s="18"/>
      <c r="G34" s="18">
        <v>96</v>
      </c>
      <c r="H34" s="21"/>
      <c r="I34" s="22"/>
      <c r="J34" s="20"/>
      <c r="K34" s="20"/>
      <c r="L34" s="20"/>
      <c r="M34" s="142"/>
      <c r="N34" s="142"/>
      <c r="O34" s="142"/>
      <c r="P34" s="23"/>
      <c r="Q34" s="23"/>
      <c r="R34" s="142"/>
      <c r="S34" s="142"/>
      <c r="T34" s="142"/>
      <c r="U34" s="142"/>
      <c r="V34" s="142">
        <f>SUMIFS(領用表!$L:$L,領用表!$E:$E,$B34,領用表!$B:$B,V$2&amp;$R$1)</f>
        <v>3</v>
      </c>
      <c r="W34" s="142"/>
      <c r="X34" s="142"/>
      <c r="Y34" s="142"/>
      <c r="Z34" s="142"/>
      <c r="AA34" s="142"/>
      <c r="AB34" s="142"/>
      <c r="AC34" s="142"/>
      <c r="AD34" s="142">
        <f t="shared" ref="AD34" si="10">SUM(R34:AC34)</f>
        <v>3</v>
      </c>
      <c r="AE34" s="142">
        <f t="shared" ref="AE34" si="11">AVERAGE(R34,S34,T34,U34,V34)</f>
        <v>3</v>
      </c>
      <c r="AF34" s="142">
        <f>SUMIF(Summary!B:B,B34,Summary!DV:DV)</f>
        <v>0</v>
      </c>
      <c r="AG34" s="101"/>
      <c r="AH34" s="24"/>
      <c r="AI34" s="25"/>
      <c r="AJ34" s="25"/>
      <c r="AK34" s="27"/>
      <c r="AL34" s="28"/>
      <c r="AM34" s="14"/>
      <c r="AN34" s="29"/>
    </row>
    <row r="35" spans="1:40" ht="15.75" customHeight="1">
      <c r="A35" s="27" t="s">
        <v>60</v>
      </c>
      <c r="B35" s="14">
        <v>6160001</v>
      </c>
      <c r="C35" s="131" t="s">
        <v>477</v>
      </c>
      <c r="D35" s="43">
        <v>1</v>
      </c>
      <c r="E35" s="17" t="s">
        <v>15</v>
      </c>
      <c r="F35" s="18"/>
      <c r="G35" s="18">
        <v>7</v>
      </c>
      <c r="H35" s="21" t="e">
        <f>SUM(#REF!)</f>
        <v>#REF!</v>
      </c>
      <c r="I35" s="22" t="e">
        <f>H35/12</f>
        <v>#REF!</v>
      </c>
      <c r="J35" s="20">
        <f>SUMIFS(領用表!$L:$L,領用表!$E:$E,$B35,領用表!$B:$B,J$2&amp;$R$1)</f>
        <v>0</v>
      </c>
      <c r="K35" s="20">
        <f>SUMIFS(領用表!$L:$L,領用表!$E:$E,$B35,領用表!$B:$B,K$2&amp;$R$1)</f>
        <v>0</v>
      </c>
      <c r="L35" s="20">
        <f>SUMIFS(領用表!$L:$L,領用表!$E:$E,$B35,領用表!$B:$B,L$2&amp;$R$1)</f>
        <v>0</v>
      </c>
      <c r="M35" s="142">
        <f>SUMIFS(領用表!$L:$L,領用表!$E:$E,$B35,領用表!$B:$B,M$2&amp;$R$1)</f>
        <v>0</v>
      </c>
      <c r="N35" s="142">
        <f>SUMIFS(領用表!$L:$L,領用表!$E:$E,$B35,領用表!$B:$B,N$2&amp;$R$1)</f>
        <v>0</v>
      </c>
      <c r="O35" s="142">
        <f>SUMIFS(領用表!$L:$L,領用表!$E:$E,$B35,領用表!$B:$B,O$2&amp;$R$1)</f>
        <v>1</v>
      </c>
      <c r="P35" s="23">
        <f t="shared" si="1"/>
        <v>1</v>
      </c>
      <c r="Q35" s="23">
        <f t="shared" si="2"/>
        <v>0.14285714285714285</v>
      </c>
      <c r="R35" s="142">
        <f>SUMIFS(領用表!$L:$L,領用表!$E:$E,$B35,領用表!$B:$B,R$2&amp;$R$1)</f>
        <v>2</v>
      </c>
      <c r="S35" s="142">
        <f>SUMIFS(領用表!$L:$L,領用表!$E:$E,$B35,領用表!$B:$B,S$2&amp;$R$1)</f>
        <v>0</v>
      </c>
      <c r="T35" s="142">
        <f>SUMIFS(領用表!$L:$L,領用表!$E:$E,$B35,領用表!$B:$B,T$2&amp;$R$1)</f>
        <v>0</v>
      </c>
      <c r="U35" s="142">
        <f>SUMIFS(領用表!$L:$L,領用表!$E:$E,$B35,領用表!$B:$B,U$2&amp;$R$1)</f>
        <v>0</v>
      </c>
      <c r="V35" s="142">
        <f>SUMIFS(領用表!$L:$L,領用表!$E:$E,$B35,領用表!$B:$B,V$2&amp;$R$1)</f>
        <v>0</v>
      </c>
      <c r="W35" s="142">
        <f>SUMIFS(領用表!$L:$L,領用表!$E:$E,$B35,領用表!$B:$B,W$2&amp;$R$1)</f>
        <v>0</v>
      </c>
      <c r="X35" s="142">
        <f>SUMIFS(領用表!$L:$L,領用表!$E:$E,$B35,領用表!$B:$B,X$2&amp;$R$1)</f>
        <v>0</v>
      </c>
      <c r="Y35" s="142">
        <f>SUMIFS(領用表!$L:$L,領用表!$E:$E,$B35,領用表!$B:$B,Y$2&amp;$R$1)</f>
        <v>0</v>
      </c>
      <c r="Z35" s="142">
        <f>SUMIFS(領用表!$L:$L,領用表!$E:$E,$B35,領用表!$B:$B,Z$2&amp;$R$1)</f>
        <v>0</v>
      </c>
      <c r="AA35" s="142">
        <f>SUMIFS(領用表!$L:$L,領用表!$E:$E,$B35,領用表!$B:$B,AA$2&amp;$R$1)</f>
        <v>0</v>
      </c>
      <c r="AB35" s="142">
        <f>SUMIFS(領用表!$L:$L,領用表!$E:$E,$B35,領用表!$B:$B,AB$2&amp;$R$1)</f>
        <v>0</v>
      </c>
      <c r="AC35" s="142">
        <f>SUMIFS(領用表!$L:$L,領用表!$E:$E,$B35,領用表!$B:$B,AC$2&amp;$R$1)</f>
        <v>0</v>
      </c>
      <c r="AD35" s="142">
        <f t="shared" si="3"/>
        <v>2</v>
      </c>
      <c r="AE35" s="142">
        <f t="shared" si="4"/>
        <v>0.4</v>
      </c>
      <c r="AF35" s="142">
        <f>SUMIF(Summary!B:B,B35,Summary!DV:DV)</f>
        <v>3</v>
      </c>
      <c r="AG35" s="101">
        <v>0</v>
      </c>
      <c r="AH35" s="24"/>
      <c r="AI35" s="25"/>
      <c r="AJ35" s="25"/>
      <c r="AK35" s="27"/>
      <c r="AL35" s="28"/>
      <c r="AM35" s="14"/>
      <c r="AN35" s="29"/>
    </row>
    <row r="36" spans="1:40" ht="15.75" customHeight="1" thickBot="1">
      <c r="A36" s="27" t="s">
        <v>61</v>
      </c>
      <c r="B36" s="14">
        <v>6150012</v>
      </c>
      <c r="C36" s="131" t="s">
        <v>478</v>
      </c>
      <c r="D36" s="43">
        <v>1</v>
      </c>
      <c r="E36" s="17" t="s">
        <v>15</v>
      </c>
      <c r="F36" s="18"/>
      <c r="G36" s="18">
        <v>9</v>
      </c>
      <c r="H36" s="21" t="s">
        <v>49</v>
      </c>
      <c r="I36" s="22" t="s">
        <v>49</v>
      </c>
      <c r="J36" s="20">
        <f>SUMIFS(領用表!$L:$L,領用表!$E:$E,$B36,領用表!$B:$B,J$2&amp;$R$1)</f>
        <v>0</v>
      </c>
      <c r="K36" s="20">
        <f>SUMIFS(領用表!$L:$L,領用表!$E:$E,$B36,領用表!$B:$B,K$2&amp;$R$1)</f>
        <v>0</v>
      </c>
      <c r="L36" s="20">
        <f>SUMIFS(領用表!$L:$L,領用表!$E:$E,$B36,領用表!$B:$B,L$2&amp;$R$1)</f>
        <v>0</v>
      </c>
      <c r="M36" s="142">
        <f>SUMIFS(領用表!$L:$L,領用表!$E:$E,$B36,領用表!$B:$B,M$2&amp;$R$1)</f>
        <v>0</v>
      </c>
      <c r="N36" s="142">
        <f>SUMIFS(領用表!$L:$L,領用表!$E:$E,$B36,領用表!$B:$B,N$2&amp;$R$1)</f>
        <v>0</v>
      </c>
      <c r="O36" s="142">
        <f>SUMIFS(領用表!$L:$L,領用表!$E:$E,$B36,領用表!$B:$B,O$2&amp;$R$1)</f>
        <v>0</v>
      </c>
      <c r="P36" s="23">
        <f t="shared" si="1"/>
        <v>0</v>
      </c>
      <c r="Q36" s="23">
        <f t="shared" si="2"/>
        <v>0</v>
      </c>
      <c r="R36" s="142">
        <f>SUMIFS(領用表!$L:$L,領用表!$E:$E,$B36,領用表!$B:$B,R$2&amp;$R$1)</f>
        <v>0</v>
      </c>
      <c r="S36" s="142">
        <f>SUMIFS(領用表!$L:$L,領用表!$E:$E,$B36,領用表!$B:$B,S$2&amp;$R$1)</f>
        <v>0</v>
      </c>
      <c r="T36" s="142">
        <f>SUMIFS(領用表!$L:$L,領用表!$E:$E,$B36,領用表!$B:$B,T$2&amp;$R$1)</f>
        <v>0</v>
      </c>
      <c r="U36" s="142">
        <f>SUMIFS(領用表!$L:$L,領用表!$E:$E,$B36,領用表!$B:$B,U$2&amp;$R$1)</f>
        <v>0</v>
      </c>
      <c r="V36" s="142">
        <f>SUMIFS(領用表!$L:$L,領用表!$E:$E,$B36,領用表!$B:$B,V$2&amp;$R$1)</f>
        <v>0</v>
      </c>
      <c r="W36" s="142">
        <f>SUMIFS(領用表!$L:$L,領用表!$E:$E,$B36,領用表!$B:$B,W$2&amp;$R$1)</f>
        <v>0</v>
      </c>
      <c r="X36" s="142">
        <f>SUMIFS(領用表!$L:$L,領用表!$E:$E,$B36,領用表!$B:$B,X$2&amp;$R$1)</f>
        <v>0</v>
      </c>
      <c r="Y36" s="142">
        <f>SUMIFS(領用表!$L:$L,領用表!$E:$E,$B36,領用表!$B:$B,Y$2&amp;$R$1)</f>
        <v>0</v>
      </c>
      <c r="Z36" s="142">
        <f>SUMIFS(領用表!$L:$L,領用表!$E:$E,$B36,領用表!$B:$B,Z$2&amp;$R$1)</f>
        <v>0</v>
      </c>
      <c r="AA36" s="142">
        <f>SUMIFS(領用表!$L:$L,領用表!$E:$E,$B36,領用表!$B:$B,AA$2&amp;$R$1)</f>
        <v>0</v>
      </c>
      <c r="AB36" s="142">
        <f>SUMIFS(領用表!$L:$L,領用表!$E:$E,$B36,領用表!$B:$B,AB$2&amp;$R$1)</f>
        <v>0</v>
      </c>
      <c r="AC36" s="142">
        <f>SUMIFS(領用表!$L:$L,領用表!$E:$E,$B36,領用表!$B:$B,AC$2&amp;$R$1)</f>
        <v>0</v>
      </c>
      <c r="AD36" s="142">
        <f t="shared" si="3"/>
        <v>0</v>
      </c>
      <c r="AE36" s="142">
        <f t="shared" si="4"/>
        <v>0</v>
      </c>
      <c r="AF36" s="142">
        <f>SUMIF(Summary!B:B,B36,Summary!DV:DV)</f>
        <v>0</v>
      </c>
      <c r="AG36" s="101">
        <v>0</v>
      </c>
      <c r="AH36" s="36"/>
      <c r="AI36" s="25"/>
      <c r="AJ36" s="25"/>
      <c r="AK36" s="27"/>
      <c r="AL36" s="28"/>
      <c r="AM36" s="14"/>
      <c r="AN36" s="29"/>
    </row>
    <row r="37" spans="1:40" ht="15.75" customHeight="1" thickBot="1">
      <c r="A37" s="229" t="s">
        <v>748</v>
      </c>
      <c r="B37" s="230">
        <v>6150014</v>
      </c>
      <c r="C37" s="231" t="s">
        <v>749</v>
      </c>
      <c r="D37" s="232">
        <v>2.5</v>
      </c>
      <c r="E37" s="233" t="s">
        <v>750</v>
      </c>
      <c r="F37" s="18"/>
      <c r="G37" s="406">
        <f>G36*2.5</f>
        <v>22.5</v>
      </c>
      <c r="H37" s="21"/>
      <c r="I37" s="22"/>
      <c r="J37" s="20">
        <f>SUMIFS(領用表!$L:$L,領用表!$E:$E,$B37,領用表!$B:$B,J$2&amp;$R$1)</f>
        <v>0</v>
      </c>
      <c r="K37" s="20">
        <f>SUMIFS(領用表!$L:$L,領用表!$E:$E,$B37,領用表!$B:$B,K$2&amp;$R$1)</f>
        <v>0</v>
      </c>
      <c r="L37" s="20">
        <f>SUMIFS(領用表!$L:$L,領用表!$E:$E,$B37,領用表!$B:$B,L$2&amp;$R$1)</f>
        <v>0</v>
      </c>
      <c r="M37" s="142">
        <f>SUMIFS(領用表!$L:$L,領用表!$E:$E,$B37,領用表!$B:$B,M$2&amp;$R$1)</f>
        <v>0</v>
      </c>
      <c r="N37" s="142">
        <f>SUMIFS(領用表!$L:$L,領用表!$E:$E,$B37,領用表!$B:$B,N$2&amp;$R$1)</f>
        <v>1</v>
      </c>
      <c r="O37" s="142">
        <f>SUMIFS(領用表!$L:$L,領用表!$E:$E,$B37,領用表!$B:$B,O$2&amp;$R$1)</f>
        <v>0</v>
      </c>
      <c r="P37" s="23">
        <f t="shared" ref="P37" si="12">SUM(,J37,K37,L37,M37,N37,O37)</f>
        <v>1</v>
      </c>
      <c r="Q37" s="23">
        <f t="shared" ref="Q37" si="13">AVERAGE(,J37,K37,L37,M37,N37,O37)</f>
        <v>0.14285714285714285</v>
      </c>
      <c r="R37" s="142">
        <f>SUMIFS(領用表!$L:$L,領用表!$E:$E,$B37,領用表!$B:$B,R$2&amp;$R$1)</f>
        <v>1</v>
      </c>
      <c r="S37" s="142">
        <f>SUMIFS(領用表!$L:$L,領用表!$E:$E,$B37,領用表!$B:$B,S$2&amp;$R$1)</f>
        <v>0</v>
      </c>
      <c r="T37" s="142">
        <f>SUMIFS(領用表!$L:$L,領用表!$E:$E,$B37,領用表!$B:$B,T$2&amp;$R$1)</f>
        <v>1</v>
      </c>
      <c r="U37" s="142">
        <f>SUMIFS(領用表!$L:$L,領用表!$E:$E,$B37,領用表!$B:$B,U$2&amp;$R$1)</f>
        <v>1</v>
      </c>
      <c r="V37" s="142">
        <f>SUMIFS(領用表!$L:$L,領用表!$E:$E,$B37,領用表!$B:$B,V$2&amp;$R$1)</f>
        <v>0</v>
      </c>
      <c r="W37" s="142">
        <f>SUMIFS(領用表!$L:$L,領用表!$E:$E,$B37,領用表!$B:$B,W$2&amp;$R$1)</f>
        <v>0</v>
      </c>
      <c r="X37" s="142">
        <f>SUMIFS(領用表!$L:$L,領用表!$E:$E,$B37,領用表!$B:$B,X$2&amp;$R$1)</f>
        <v>0</v>
      </c>
      <c r="Y37" s="142">
        <f>SUMIFS(領用表!$L:$L,領用表!$E:$E,$B37,領用表!$B:$B,Y$2&amp;$R$1)</f>
        <v>0</v>
      </c>
      <c r="Z37" s="142">
        <f>SUMIFS(領用表!$L:$L,領用表!$E:$E,$B37,領用表!$B:$B,Z$2&amp;$R$1)</f>
        <v>0</v>
      </c>
      <c r="AA37" s="142">
        <f>SUMIFS(領用表!$L:$L,領用表!$E:$E,$B37,領用表!$B:$B,AA$2&amp;$R$1)</f>
        <v>0</v>
      </c>
      <c r="AB37" s="142">
        <f>SUMIFS(領用表!$L:$L,領用表!$E:$E,$B37,領用表!$B:$B,AB$2&amp;$R$1)</f>
        <v>0</v>
      </c>
      <c r="AC37" s="142">
        <f>SUMIFS(領用表!$L:$L,領用表!$E:$E,$B37,領用表!$B:$B,AC$2&amp;$R$1)</f>
        <v>0</v>
      </c>
      <c r="AD37" s="142">
        <f t="shared" si="3"/>
        <v>3</v>
      </c>
      <c r="AE37" s="142">
        <f t="shared" si="4"/>
        <v>0.6</v>
      </c>
      <c r="AF37" s="142">
        <f>SUMIF(Summary!B:B,B37,Summary!DV:DV)</f>
        <v>0</v>
      </c>
      <c r="AG37" s="101"/>
      <c r="AH37" s="396"/>
      <c r="AI37" s="25"/>
      <c r="AJ37" s="25"/>
      <c r="AK37" s="27"/>
      <c r="AL37" s="28"/>
      <c r="AM37" s="14"/>
      <c r="AN37" s="29"/>
    </row>
    <row r="38" spans="1:40" ht="15.75" customHeight="1">
      <c r="A38" s="27" t="s">
        <v>62</v>
      </c>
      <c r="B38" s="14">
        <v>6210006</v>
      </c>
      <c r="C38" s="131" t="s">
        <v>479</v>
      </c>
      <c r="D38" s="43">
        <v>3</v>
      </c>
      <c r="E38" s="17" t="s">
        <v>63</v>
      </c>
      <c r="F38" s="18"/>
      <c r="G38" s="18">
        <v>6</v>
      </c>
      <c r="H38" s="21" t="s">
        <v>49</v>
      </c>
      <c r="I38" s="21" t="s">
        <v>49</v>
      </c>
      <c r="J38" s="20">
        <f>SUMIFS(領用表!$L:$L,領用表!$E:$E,$B38,領用表!$B:$B,J$2&amp;$R$1)</f>
        <v>0</v>
      </c>
      <c r="K38" s="20">
        <f>SUMIFS(領用表!$L:$L,領用表!$E:$E,$B38,領用表!$B:$B,K$2&amp;$R$1)</f>
        <v>6</v>
      </c>
      <c r="L38" s="20">
        <f>SUMIFS(領用表!$L:$L,領用表!$E:$E,$B38,領用表!$B:$B,L$2&amp;$R$1)</f>
        <v>5</v>
      </c>
      <c r="M38" s="142">
        <f>SUMIFS(領用表!$L:$L,領用表!$E:$E,$B38,領用表!$B:$B,M$2&amp;$R$1)</f>
        <v>9</v>
      </c>
      <c r="N38" s="142">
        <f>SUMIFS(領用表!$L:$L,領用表!$E:$E,$B38,領用表!$B:$B,N$2&amp;$R$1)</f>
        <v>7</v>
      </c>
      <c r="O38" s="142">
        <f>SUMIFS(領用表!$L:$L,領用表!$E:$E,$B38,領用表!$B:$B,O$2&amp;$R$1)</f>
        <v>6</v>
      </c>
      <c r="P38" s="23">
        <f t="shared" si="1"/>
        <v>33</v>
      </c>
      <c r="Q38" s="23">
        <f t="shared" si="2"/>
        <v>4.7142857142857144</v>
      </c>
      <c r="R38" s="142">
        <f>SUMIFS(領用表!$L:$L,領用表!$E:$E,$B38,領用表!$B:$B,R$2&amp;$R$1)</f>
        <v>15</v>
      </c>
      <c r="S38" s="142">
        <f>SUMIFS(領用表!$L:$L,領用表!$E:$E,$B38,領用表!$B:$B,S$2&amp;$R$1)</f>
        <v>15</v>
      </c>
      <c r="T38" s="142">
        <f>SUMIFS(領用表!$L:$L,領用表!$E:$E,$B38,領用表!$B:$B,T$2&amp;$R$1)</f>
        <v>3</v>
      </c>
      <c r="U38" s="142">
        <f>SUMIFS(領用表!$L:$L,領用表!$E:$E,$B38,領用表!$B:$B,U$2&amp;$R$1)</f>
        <v>5</v>
      </c>
      <c r="V38" s="142">
        <f>SUMIFS(領用表!$L:$L,領用表!$E:$E,$B38,領用表!$B:$B,V$2&amp;$R$1)</f>
        <v>5</v>
      </c>
      <c r="W38" s="142">
        <f>SUMIFS(領用表!$L:$L,領用表!$E:$E,$B38,領用表!$B:$B,W$2&amp;$R$1)</f>
        <v>0</v>
      </c>
      <c r="X38" s="142">
        <f>SUMIFS(領用表!$L:$L,領用表!$E:$E,$B38,領用表!$B:$B,X$2&amp;$R$1)</f>
        <v>0</v>
      </c>
      <c r="Y38" s="142">
        <f>SUMIFS(領用表!$L:$L,領用表!$E:$E,$B38,領用表!$B:$B,Y$2&amp;$R$1)</f>
        <v>0</v>
      </c>
      <c r="Z38" s="142">
        <f>SUMIFS(領用表!$L:$L,領用表!$E:$E,$B38,領用表!$B:$B,Z$2&amp;$R$1)</f>
        <v>0</v>
      </c>
      <c r="AA38" s="142">
        <f>SUMIFS(領用表!$L:$L,領用表!$E:$E,$B38,領用表!$B:$B,AA$2&amp;$R$1)</f>
        <v>0</v>
      </c>
      <c r="AB38" s="142">
        <f>SUMIFS(領用表!$L:$L,領用表!$E:$E,$B38,領用表!$B:$B,AB$2&amp;$R$1)</f>
        <v>0</v>
      </c>
      <c r="AC38" s="142">
        <f>SUMIFS(領用表!$L:$L,領用表!$E:$E,$B38,領用表!$B:$B,AC$2&amp;$R$1)</f>
        <v>0</v>
      </c>
      <c r="AD38" s="142">
        <f t="shared" si="3"/>
        <v>43</v>
      </c>
      <c r="AE38" s="142">
        <f t="shared" si="4"/>
        <v>8.6</v>
      </c>
      <c r="AF38" s="142">
        <f>SUMIF(Summary!B:B,B38,Summary!DV:DV)</f>
        <v>10</v>
      </c>
      <c r="AG38" s="101">
        <v>5</v>
      </c>
      <c r="AH38" s="482"/>
      <c r="AI38" s="25"/>
      <c r="AJ38" s="25"/>
      <c r="AK38" s="27"/>
      <c r="AL38" s="28"/>
      <c r="AM38" s="14"/>
      <c r="AN38" s="29"/>
    </row>
    <row r="39" spans="1:40" ht="15.75" customHeight="1">
      <c r="A39" s="27" t="s">
        <v>64</v>
      </c>
      <c r="B39" s="14">
        <v>6210007</v>
      </c>
      <c r="C39" s="131" t="s">
        <v>480</v>
      </c>
      <c r="D39" s="43">
        <v>3</v>
      </c>
      <c r="E39" s="17" t="s">
        <v>63</v>
      </c>
      <c r="F39" s="44"/>
      <c r="G39" s="18">
        <v>13</v>
      </c>
      <c r="H39" s="21" t="s">
        <v>49</v>
      </c>
      <c r="I39" s="21" t="s">
        <v>49</v>
      </c>
      <c r="J39" s="20">
        <f>SUMIFS(領用表!$L:$L,領用表!$E:$E,$B39,領用表!$B:$B,J$2&amp;$R$1)</f>
        <v>0</v>
      </c>
      <c r="K39" s="20">
        <f>SUMIFS(領用表!$L:$L,領用表!$E:$E,$B39,領用表!$B:$B,K$2&amp;$R$1)</f>
        <v>9</v>
      </c>
      <c r="L39" s="20">
        <f>SUMIFS(領用表!$L:$L,領用表!$E:$E,$B39,領用表!$B:$B,L$2&amp;$R$1)</f>
        <v>6</v>
      </c>
      <c r="M39" s="142">
        <f>SUMIFS(領用表!$L:$L,領用表!$E:$E,$B39,領用表!$B:$B,M$2&amp;$R$1)</f>
        <v>5</v>
      </c>
      <c r="N39" s="142">
        <f>SUMIFS(領用表!$L:$L,領用表!$E:$E,$B39,領用表!$B:$B,N$2&amp;$R$1)</f>
        <v>2</v>
      </c>
      <c r="O39" s="142">
        <f>SUMIFS(領用表!$L:$L,領用表!$E:$E,$B39,領用表!$B:$B,O$2&amp;$R$1)</f>
        <v>10</v>
      </c>
      <c r="P39" s="23">
        <f t="shared" si="1"/>
        <v>32</v>
      </c>
      <c r="Q39" s="23">
        <f t="shared" si="2"/>
        <v>4.5714285714285712</v>
      </c>
      <c r="R39" s="142">
        <f>SUMIFS(領用表!$L:$L,領用表!$E:$E,$B39,領用表!$B:$B,R$2&amp;$R$1)</f>
        <v>13</v>
      </c>
      <c r="S39" s="142">
        <f>SUMIFS(領用表!$L:$L,領用表!$E:$E,$B39,領用表!$B:$B,S$2&amp;$R$1)</f>
        <v>6</v>
      </c>
      <c r="T39" s="142">
        <f>SUMIFS(領用表!$L:$L,領用表!$E:$E,$B39,領用表!$B:$B,T$2&amp;$R$1)</f>
        <v>2</v>
      </c>
      <c r="U39" s="142">
        <f>SUMIFS(領用表!$L:$L,領用表!$E:$E,$B39,領用表!$B:$B,U$2&amp;$R$1)</f>
        <v>0</v>
      </c>
      <c r="V39" s="142">
        <f>SUMIFS(領用表!$L:$L,領用表!$E:$E,$B39,領用表!$B:$B,V$2&amp;$R$1)</f>
        <v>1</v>
      </c>
      <c r="W39" s="142">
        <f>SUMIFS(領用表!$L:$L,領用表!$E:$E,$B39,領用表!$B:$B,W$2&amp;$R$1)</f>
        <v>0</v>
      </c>
      <c r="X39" s="142">
        <f>SUMIFS(領用表!$L:$L,領用表!$E:$E,$B39,領用表!$B:$B,X$2&amp;$R$1)</f>
        <v>0</v>
      </c>
      <c r="Y39" s="142">
        <f>SUMIFS(領用表!$L:$L,領用表!$E:$E,$B39,領用表!$B:$B,Y$2&amp;$R$1)</f>
        <v>0</v>
      </c>
      <c r="Z39" s="142">
        <f>SUMIFS(領用表!$L:$L,領用表!$E:$E,$B39,領用表!$B:$B,Z$2&amp;$R$1)</f>
        <v>0</v>
      </c>
      <c r="AA39" s="142">
        <f>SUMIFS(領用表!$L:$L,領用表!$E:$E,$B39,領用表!$B:$B,AA$2&amp;$R$1)</f>
        <v>0</v>
      </c>
      <c r="AB39" s="142">
        <f>SUMIFS(領用表!$L:$L,領用表!$E:$E,$B39,領用表!$B:$B,AB$2&amp;$R$1)</f>
        <v>0</v>
      </c>
      <c r="AC39" s="142">
        <f>SUMIFS(領用表!$L:$L,領用表!$E:$E,$B39,領用表!$B:$B,AC$2&amp;$R$1)</f>
        <v>0</v>
      </c>
      <c r="AD39" s="142">
        <f t="shared" si="3"/>
        <v>22</v>
      </c>
      <c r="AE39" s="142">
        <f t="shared" si="4"/>
        <v>4.4000000000000004</v>
      </c>
      <c r="AF39" s="142">
        <f>SUMIF(Summary!B:B,B39,Summary!DV:DV)</f>
        <v>10</v>
      </c>
      <c r="AG39" s="101">
        <v>5</v>
      </c>
      <c r="AH39" s="479"/>
      <c r="AI39" s="25"/>
      <c r="AJ39" s="25"/>
      <c r="AK39" s="27"/>
      <c r="AL39" s="28"/>
      <c r="AM39" s="14"/>
      <c r="AN39" s="29"/>
    </row>
    <row r="40" spans="1:40" ht="15.75" customHeight="1">
      <c r="A40" s="27" t="s">
        <v>65</v>
      </c>
      <c r="B40" s="14">
        <v>6150010</v>
      </c>
      <c r="C40" s="131" t="s">
        <v>481</v>
      </c>
      <c r="D40" s="43">
        <v>1</v>
      </c>
      <c r="E40" s="17" t="s">
        <v>15</v>
      </c>
      <c r="F40" s="44"/>
      <c r="G40" s="18">
        <v>74</v>
      </c>
      <c r="H40" s="21" t="e">
        <f>SUM(#REF!)</f>
        <v>#REF!</v>
      </c>
      <c r="I40" s="22" t="e">
        <f>H40/12</f>
        <v>#REF!</v>
      </c>
      <c r="J40" s="20">
        <f>SUMIFS(領用表!$L:$L,領用表!$E:$E,$B40,領用表!$B:$B,J$2&amp;$R$1)</f>
        <v>69</v>
      </c>
      <c r="K40" s="20">
        <f>SUMIFS(領用表!$L:$L,領用表!$E:$E,$B40,領用表!$B:$B,K$2&amp;$R$1)</f>
        <v>71</v>
      </c>
      <c r="L40" s="20">
        <f>SUMIFS(領用表!$L:$L,領用表!$E:$E,$B40,領用表!$B:$B,L$2&amp;$R$1)</f>
        <v>50</v>
      </c>
      <c r="M40" s="142">
        <f>SUMIFS(領用表!$L:$L,領用表!$E:$E,$B40,領用表!$B:$B,M$2&amp;$R$1)</f>
        <v>47</v>
      </c>
      <c r="N40" s="142">
        <f>SUMIFS(領用表!$L:$L,領用表!$E:$E,$B40,領用表!$B:$B,N$2&amp;$R$1)</f>
        <v>65</v>
      </c>
      <c r="O40" s="142">
        <f>SUMIFS(領用表!$L:$L,領用表!$E:$E,$B40,領用表!$B:$B,O$2&amp;$R$1)</f>
        <v>48</v>
      </c>
      <c r="P40" s="23">
        <f t="shared" si="1"/>
        <v>350</v>
      </c>
      <c r="Q40" s="23">
        <f t="shared" si="2"/>
        <v>50</v>
      </c>
      <c r="R40" s="142">
        <f>SUMIFS(領用表!$L:$L,領用表!$E:$E,$B40,領用表!$B:$B,R$2&amp;$R$1)</f>
        <v>89</v>
      </c>
      <c r="S40" s="142">
        <f>SUMIFS(領用表!$L:$L,領用表!$E:$E,$B40,領用表!$B:$B,S$2&amp;$R$1)</f>
        <v>81</v>
      </c>
      <c r="T40" s="142">
        <f>SUMIFS(領用表!$L:$L,領用表!$E:$E,$B40,領用表!$B:$B,T$2&amp;$R$1)</f>
        <v>49</v>
      </c>
      <c r="U40" s="142">
        <f>SUMIFS(領用表!$L:$L,領用表!$E:$E,$B40,領用表!$B:$B,U$2&amp;$R$1)</f>
        <v>24</v>
      </c>
      <c r="V40" s="142">
        <f>SUMIFS(領用表!$L:$L,領用表!$E:$E,$B40,領用表!$B:$B,V$2&amp;$R$1)</f>
        <v>26</v>
      </c>
      <c r="W40" s="142">
        <f>SUMIFS(領用表!$L:$L,領用表!$E:$E,$B40,領用表!$B:$B,W$2&amp;$R$1)</f>
        <v>0</v>
      </c>
      <c r="X40" s="142">
        <f>SUMIFS(領用表!$L:$L,領用表!$E:$E,$B40,領用表!$B:$B,X$2&amp;$R$1)</f>
        <v>0</v>
      </c>
      <c r="Y40" s="142">
        <f>SUMIFS(領用表!$L:$L,領用表!$E:$E,$B40,領用表!$B:$B,Y$2&amp;$R$1)</f>
        <v>0</v>
      </c>
      <c r="Z40" s="142">
        <f>SUMIFS(領用表!$L:$L,領用表!$E:$E,$B40,領用表!$B:$B,Z$2&amp;$R$1)</f>
        <v>0</v>
      </c>
      <c r="AA40" s="142">
        <f>SUMIFS(領用表!$L:$L,領用表!$E:$E,$B40,領用表!$B:$B,AA$2&amp;$R$1)</f>
        <v>0</v>
      </c>
      <c r="AB40" s="142">
        <f>SUMIFS(領用表!$L:$L,領用表!$E:$E,$B40,領用表!$B:$B,AB$2&amp;$R$1)</f>
        <v>0</v>
      </c>
      <c r="AC40" s="142">
        <f>SUMIFS(領用表!$L:$L,領用表!$E:$E,$B40,領用表!$B:$B,AC$2&amp;$R$1)</f>
        <v>0</v>
      </c>
      <c r="AD40" s="142">
        <f t="shared" si="3"/>
        <v>269</v>
      </c>
      <c r="AE40" s="142">
        <f t="shared" si="4"/>
        <v>53.8</v>
      </c>
      <c r="AF40" s="142">
        <f>SUMIF(Summary!B:B,B40,Summary!DV:DV)</f>
        <v>80</v>
      </c>
      <c r="AG40" s="101">
        <v>65</v>
      </c>
      <c r="AH40" s="482"/>
      <c r="AI40" s="25" t="s">
        <v>66</v>
      </c>
      <c r="AJ40" s="25" t="s">
        <v>16</v>
      </c>
      <c r="AK40" s="27"/>
      <c r="AL40" s="28"/>
      <c r="AM40" s="14"/>
      <c r="AN40" s="29"/>
    </row>
    <row r="41" spans="1:40" ht="15.75" customHeight="1">
      <c r="A41" s="27" t="s">
        <v>67</v>
      </c>
      <c r="B41" s="14">
        <v>6150011</v>
      </c>
      <c r="C41" s="131" t="s">
        <v>482</v>
      </c>
      <c r="D41" s="43">
        <v>1</v>
      </c>
      <c r="E41" s="17" t="s">
        <v>15</v>
      </c>
      <c r="F41" s="18"/>
      <c r="G41" s="18">
        <v>17</v>
      </c>
      <c r="H41" s="21" t="e">
        <f>SUM(#REF!)</f>
        <v>#REF!</v>
      </c>
      <c r="I41" s="22" t="e">
        <f>H41/12</f>
        <v>#REF!</v>
      </c>
      <c r="J41" s="20">
        <f>SUMIFS(領用表!$L:$L,領用表!$E:$E,$B41,領用表!$B:$B,J$2&amp;$R$1)</f>
        <v>6</v>
      </c>
      <c r="K41" s="20">
        <f>SUMIFS(領用表!$L:$L,領用表!$E:$E,$B41,領用表!$B:$B,K$2&amp;$R$1)</f>
        <v>10</v>
      </c>
      <c r="L41" s="20">
        <f>SUMIFS(領用表!$L:$L,領用表!$E:$E,$B41,領用表!$B:$B,L$2&amp;$R$1)</f>
        <v>6</v>
      </c>
      <c r="M41" s="142">
        <f>SUMIFS(領用表!$L:$L,領用表!$E:$E,$B41,領用表!$B:$B,M$2&amp;$R$1)</f>
        <v>5</v>
      </c>
      <c r="N41" s="142">
        <f>SUMIFS(領用表!$L:$L,領用表!$E:$E,$B41,領用表!$B:$B,N$2&amp;$R$1)</f>
        <v>12</v>
      </c>
      <c r="O41" s="142">
        <f>SUMIFS(領用表!$L:$L,領用表!$E:$E,$B41,領用表!$B:$B,O$2&amp;$R$1)</f>
        <v>5</v>
      </c>
      <c r="P41" s="23">
        <f t="shared" si="1"/>
        <v>44</v>
      </c>
      <c r="Q41" s="23">
        <f t="shared" si="2"/>
        <v>6.2857142857142856</v>
      </c>
      <c r="R41" s="142">
        <f>SUMIFS(領用表!$L:$L,領用表!$E:$E,$B41,領用表!$B:$B,R$2&amp;$R$1)</f>
        <v>20</v>
      </c>
      <c r="S41" s="142">
        <f>SUMIFS(領用表!$L:$L,領用表!$E:$E,$B41,領用表!$B:$B,S$2&amp;$R$1)</f>
        <v>7</v>
      </c>
      <c r="T41" s="142">
        <f>SUMIFS(領用表!$L:$L,領用表!$E:$E,$B41,領用表!$B:$B,T$2&amp;$R$1)</f>
        <v>4</v>
      </c>
      <c r="U41" s="142">
        <f>SUMIFS(領用表!$L:$L,領用表!$E:$E,$B41,領用表!$B:$B,U$2&amp;$R$1)</f>
        <v>3</v>
      </c>
      <c r="V41" s="142">
        <f>SUMIFS(領用表!$L:$L,領用表!$E:$E,$B41,領用表!$B:$B,V$2&amp;$R$1)</f>
        <v>7</v>
      </c>
      <c r="W41" s="142">
        <f>SUMIFS(領用表!$L:$L,領用表!$E:$E,$B41,領用表!$B:$B,W$2&amp;$R$1)</f>
        <v>0</v>
      </c>
      <c r="X41" s="142">
        <f>SUMIFS(領用表!$L:$L,領用表!$E:$E,$B41,領用表!$B:$B,X$2&amp;$R$1)</f>
        <v>0</v>
      </c>
      <c r="Y41" s="142">
        <f>SUMIFS(領用表!$L:$L,領用表!$E:$E,$B41,領用表!$B:$B,Y$2&amp;$R$1)</f>
        <v>0</v>
      </c>
      <c r="Z41" s="142">
        <f>SUMIFS(領用表!$L:$L,領用表!$E:$E,$B41,領用表!$B:$B,Z$2&amp;$R$1)</f>
        <v>0</v>
      </c>
      <c r="AA41" s="142">
        <f>SUMIFS(領用表!$L:$L,領用表!$E:$E,$B41,領用表!$B:$B,AA$2&amp;$R$1)</f>
        <v>0</v>
      </c>
      <c r="AB41" s="142">
        <f>SUMIFS(領用表!$L:$L,領用表!$E:$E,$B41,領用表!$B:$B,AB$2&amp;$R$1)</f>
        <v>0</v>
      </c>
      <c r="AC41" s="142">
        <f>SUMIFS(領用表!$L:$L,領用表!$E:$E,$B41,領用表!$B:$B,AC$2&amp;$R$1)</f>
        <v>0</v>
      </c>
      <c r="AD41" s="142">
        <f t="shared" si="3"/>
        <v>41</v>
      </c>
      <c r="AE41" s="142">
        <f t="shared" si="4"/>
        <v>8.1999999999999993</v>
      </c>
      <c r="AF41" s="142">
        <f>SUMIF(Summary!B:B,B41,Summary!DV:DV)</f>
        <v>15</v>
      </c>
      <c r="AG41" s="101">
        <v>10</v>
      </c>
      <c r="AH41" s="479"/>
      <c r="AI41" s="25"/>
      <c r="AJ41" s="25"/>
      <c r="AK41" s="27"/>
      <c r="AL41" s="28"/>
      <c r="AM41" s="14"/>
      <c r="AN41" s="29"/>
    </row>
    <row r="42" spans="1:40">
      <c r="A42" s="27" t="s">
        <v>68</v>
      </c>
      <c r="B42" s="14">
        <v>6160002</v>
      </c>
      <c r="C42" s="118" t="s">
        <v>612</v>
      </c>
      <c r="D42" s="16">
        <v>2</v>
      </c>
      <c r="E42" s="17" t="s">
        <v>15</v>
      </c>
      <c r="F42" s="18"/>
      <c r="G42" s="18">
        <v>33</v>
      </c>
      <c r="H42" s="21" t="e">
        <f>SUM(#REF!)</f>
        <v>#REF!</v>
      </c>
      <c r="I42" s="22" t="e">
        <f>H42/12</f>
        <v>#REF!</v>
      </c>
      <c r="J42" s="20">
        <f>SUMIFS(領用表!$L:$L,領用表!$E:$E,$B42,領用表!$B:$B,J$2&amp;$R$1)</f>
        <v>95</v>
      </c>
      <c r="K42" s="20">
        <f>SUMIFS(領用表!$L:$L,領用表!$E:$E,$B42,領用表!$B:$B,K$2&amp;$R$1)</f>
        <v>102</v>
      </c>
      <c r="L42" s="20">
        <f>SUMIFS(領用表!$L:$L,領用表!$E:$E,$B42,領用表!$B:$B,L$2&amp;$R$1)</f>
        <v>87</v>
      </c>
      <c r="M42" s="142">
        <f>SUMIFS(領用表!$L:$L,領用表!$E:$E,$B42,領用表!$B:$B,M$2&amp;$R$1)</f>
        <v>81</v>
      </c>
      <c r="N42" s="142">
        <f>SUMIFS(領用表!$L:$L,領用表!$E:$E,$B42,領用表!$B:$B,N$2&amp;$R$1)</f>
        <v>45</v>
      </c>
      <c r="O42" s="142">
        <f>SUMIFS(領用表!$L:$L,領用表!$E:$E,$B42,領用表!$B:$B,O$2&amp;$R$1)</f>
        <v>65</v>
      </c>
      <c r="P42" s="23">
        <f t="shared" si="1"/>
        <v>475</v>
      </c>
      <c r="Q42" s="23">
        <f t="shared" si="2"/>
        <v>67.857142857142861</v>
      </c>
      <c r="R42" s="142">
        <f>SUMIFS(領用表!$L:$L,領用表!$E:$E,$B42,領用表!$B:$B,R$2&amp;$R$1)</f>
        <v>92</v>
      </c>
      <c r="S42" s="142">
        <f>SUMIFS(領用表!$L:$L,領用表!$E:$E,$B42,領用表!$B:$B,S$2&amp;$R$1)</f>
        <v>44</v>
      </c>
      <c r="T42" s="142">
        <f>SUMIFS(領用表!$L:$L,領用表!$E:$E,$B42,領用表!$B:$B,T$2&amp;$R$1)</f>
        <v>65</v>
      </c>
      <c r="U42" s="142">
        <f>SUMIFS(領用表!$L:$L,領用表!$E:$E,$B42,領用表!$B:$B,U$2&amp;$R$1)</f>
        <v>32</v>
      </c>
      <c r="V42" s="142">
        <f>SUMIFS(領用表!$L:$L,領用表!$E:$E,$B42,領用表!$B:$B,V$2&amp;$R$1)</f>
        <v>44</v>
      </c>
      <c r="W42" s="142">
        <f>SUMIFS(領用表!$L:$L,領用表!$E:$E,$B42,領用表!$B:$B,W$2&amp;$R$1)</f>
        <v>0</v>
      </c>
      <c r="X42" s="142">
        <f>SUMIFS(領用表!$L:$L,領用表!$E:$E,$B42,領用表!$B:$B,X$2&amp;$R$1)</f>
        <v>0</v>
      </c>
      <c r="Y42" s="142">
        <f>SUMIFS(領用表!$L:$L,領用表!$E:$E,$B42,領用表!$B:$B,Y$2&amp;$R$1)</f>
        <v>0</v>
      </c>
      <c r="Z42" s="142">
        <f>SUMIFS(領用表!$L:$L,領用表!$E:$E,$B42,領用表!$B:$B,Z$2&amp;$R$1)</f>
        <v>0</v>
      </c>
      <c r="AA42" s="142">
        <f>SUMIFS(領用表!$L:$L,領用表!$E:$E,$B42,領用表!$B:$B,AA$2&amp;$R$1)</f>
        <v>0</v>
      </c>
      <c r="AB42" s="142">
        <f>SUMIFS(領用表!$L:$L,領用表!$E:$E,$B42,領用表!$B:$B,AB$2&amp;$R$1)</f>
        <v>0</v>
      </c>
      <c r="AC42" s="142">
        <f>SUMIFS(領用表!$L:$L,領用表!$E:$E,$B42,領用表!$B:$B,AC$2&amp;$R$1)</f>
        <v>0</v>
      </c>
      <c r="AD42" s="142">
        <f t="shared" si="3"/>
        <v>277</v>
      </c>
      <c r="AE42" s="142">
        <f t="shared" si="4"/>
        <v>55.4</v>
      </c>
      <c r="AF42" s="142">
        <f>SUMIF(Summary!B:B,B42,Summary!DV:DV)</f>
        <v>80</v>
      </c>
      <c r="AG42" s="101">
        <v>100</v>
      </c>
      <c r="AH42" s="24"/>
      <c r="AI42" s="25" t="s">
        <v>69</v>
      </c>
      <c r="AJ42" s="25" t="s">
        <v>70</v>
      </c>
      <c r="AK42" s="27"/>
      <c r="AL42" s="28"/>
      <c r="AM42" s="14"/>
      <c r="AN42" s="29"/>
    </row>
    <row r="43" spans="1:40" ht="15" customHeight="1">
      <c r="A43" s="27" t="s">
        <v>71</v>
      </c>
      <c r="B43" s="14">
        <v>6160003</v>
      </c>
      <c r="C43" s="118" t="s">
        <v>613</v>
      </c>
      <c r="D43" s="16">
        <v>2</v>
      </c>
      <c r="E43" s="17" t="s">
        <v>15</v>
      </c>
      <c r="F43" s="18"/>
      <c r="G43" s="18">
        <v>2</v>
      </c>
      <c r="H43" s="21" t="e">
        <f>SUM(#REF!)</f>
        <v>#REF!</v>
      </c>
      <c r="I43" s="22" t="e">
        <f>H43/12</f>
        <v>#REF!</v>
      </c>
      <c r="J43" s="20">
        <f>SUMIFS(領用表!$L:$L,領用表!$E:$E,$B43,領用表!$B:$B,J$2&amp;$R$1)</f>
        <v>24</v>
      </c>
      <c r="K43" s="20">
        <f>SUMIFS(領用表!$L:$L,領用表!$E:$E,$B43,領用表!$B:$B,K$2&amp;$R$1)</f>
        <v>31</v>
      </c>
      <c r="L43" s="20">
        <f>SUMIFS(領用表!$L:$L,領用表!$E:$E,$B43,領用表!$B:$B,L$2&amp;$R$1)</f>
        <v>25</v>
      </c>
      <c r="M43" s="142">
        <f>SUMIFS(領用表!$L:$L,領用表!$E:$E,$B43,領用表!$B:$B,M$2&amp;$R$1)</f>
        <v>13</v>
      </c>
      <c r="N43" s="142">
        <f>SUMIFS(領用表!$L:$L,領用表!$E:$E,$B43,領用表!$B:$B,N$2&amp;$R$1)</f>
        <v>30</v>
      </c>
      <c r="O43" s="142">
        <f>SUMIFS(領用表!$L:$L,領用表!$E:$E,$B43,領用表!$B:$B,O$2&amp;$R$1)</f>
        <v>19</v>
      </c>
      <c r="P43" s="23">
        <f t="shared" si="1"/>
        <v>142</v>
      </c>
      <c r="Q43" s="23">
        <f t="shared" si="2"/>
        <v>20.285714285714285</v>
      </c>
      <c r="R43" s="142">
        <f>SUMIFS(領用表!$L:$L,領用表!$E:$E,$B43,領用表!$B:$B,R$2&amp;$R$1)</f>
        <v>25</v>
      </c>
      <c r="S43" s="142">
        <f>SUMIFS(領用表!$L:$L,領用表!$E:$E,$B43,領用表!$B:$B,S$2&amp;$R$1)</f>
        <v>27</v>
      </c>
      <c r="T43" s="142">
        <f>SUMIFS(領用表!$L:$L,領用表!$E:$E,$B43,領用表!$B:$B,T$2&amp;$R$1)</f>
        <v>27</v>
      </c>
      <c r="U43" s="142">
        <f>SUMIFS(領用表!$L:$L,領用表!$E:$E,$B43,領用表!$B:$B,U$2&amp;$R$1)</f>
        <v>15</v>
      </c>
      <c r="V43" s="142">
        <f>SUMIFS(領用表!$L:$L,領用表!$E:$E,$B43,領用表!$B:$B,V$2&amp;$R$1)</f>
        <v>35</v>
      </c>
      <c r="W43" s="142">
        <f>SUMIFS(領用表!$L:$L,領用表!$E:$E,$B43,領用表!$B:$B,W$2&amp;$R$1)</f>
        <v>0</v>
      </c>
      <c r="X43" s="142">
        <f>SUMIFS(領用表!$L:$L,領用表!$E:$E,$B43,領用表!$B:$B,X$2&amp;$R$1)</f>
        <v>0</v>
      </c>
      <c r="Y43" s="142">
        <f>SUMIFS(領用表!$L:$L,領用表!$E:$E,$B43,領用表!$B:$B,Y$2&amp;$R$1)</f>
        <v>0</v>
      </c>
      <c r="Z43" s="142">
        <f>SUMIFS(領用表!$L:$L,領用表!$E:$E,$B43,領用表!$B:$B,Z$2&amp;$R$1)</f>
        <v>0</v>
      </c>
      <c r="AA43" s="142">
        <f>SUMIFS(領用表!$L:$L,領用表!$E:$E,$B43,領用表!$B:$B,AA$2&amp;$R$1)</f>
        <v>0</v>
      </c>
      <c r="AB43" s="142">
        <f>SUMIFS(領用表!$L:$L,領用表!$E:$E,$B43,領用表!$B:$B,AB$2&amp;$R$1)</f>
        <v>0</v>
      </c>
      <c r="AC43" s="142">
        <f>SUMIFS(領用表!$L:$L,領用表!$E:$E,$B43,領用表!$B:$B,AC$2&amp;$R$1)</f>
        <v>0</v>
      </c>
      <c r="AD43" s="142">
        <f t="shared" si="3"/>
        <v>129</v>
      </c>
      <c r="AE43" s="142">
        <f t="shared" si="4"/>
        <v>25.8</v>
      </c>
      <c r="AF43" s="142">
        <f>SUMIF(Summary!B:B,B43,Summary!DV:DV)</f>
        <v>20</v>
      </c>
      <c r="AG43" s="101">
        <v>20</v>
      </c>
      <c r="AH43" s="24">
        <v>0</v>
      </c>
      <c r="AI43" s="25"/>
      <c r="AJ43" s="25"/>
      <c r="AK43" s="45"/>
      <c r="AL43" s="46"/>
      <c r="AM43" s="47"/>
      <c r="AN43" s="48"/>
    </row>
    <row r="44" spans="1:40" ht="15.75" customHeight="1">
      <c r="A44" s="27" t="s">
        <v>72</v>
      </c>
      <c r="B44" s="14">
        <v>6150013</v>
      </c>
      <c r="C44" s="131" t="s">
        <v>483</v>
      </c>
      <c r="D44" s="16">
        <v>1</v>
      </c>
      <c r="E44" s="17" t="s">
        <v>15</v>
      </c>
      <c r="F44" s="18"/>
      <c r="G44" s="18">
        <v>19</v>
      </c>
      <c r="H44" s="21"/>
      <c r="I44" s="22"/>
      <c r="J44" s="20">
        <f>SUMIFS(領用表!$L:$L,領用表!$E:$E,$B44,領用表!$B:$B,J$2&amp;$R$1)</f>
        <v>0</v>
      </c>
      <c r="K44" s="20">
        <f>SUMIFS(領用表!$L:$L,領用表!$E:$E,$B44,領用表!$B:$B,K$2&amp;$R$1)</f>
        <v>3</v>
      </c>
      <c r="L44" s="20">
        <f>SUMIFS(領用表!$L:$L,領用表!$E:$E,$B44,領用表!$B:$B,L$2&amp;$R$1)</f>
        <v>22</v>
      </c>
      <c r="M44" s="142">
        <f>SUMIFS(領用表!$L:$L,領用表!$E:$E,$B44,領用表!$B:$B,M$2&amp;$R$1)</f>
        <v>36</v>
      </c>
      <c r="N44" s="142">
        <f>SUMIFS(領用表!$L:$L,領用表!$E:$E,$B44,領用表!$B:$B,N$2&amp;$R$1)</f>
        <v>26</v>
      </c>
      <c r="O44" s="142">
        <f>SUMIFS(領用表!$L:$L,領用表!$E:$E,$B44,領用表!$B:$B,O$2&amp;$R$1)</f>
        <v>18</v>
      </c>
      <c r="P44" s="23">
        <f t="shared" si="1"/>
        <v>105</v>
      </c>
      <c r="Q44" s="23">
        <f t="shared" si="2"/>
        <v>15</v>
      </c>
      <c r="R44" s="142">
        <f>SUMIFS(領用表!$L:$L,領用表!$E:$E,$B44,領用表!$B:$B,R$2&amp;$R$1)</f>
        <v>28</v>
      </c>
      <c r="S44" s="142">
        <f>SUMIFS(領用表!$L:$L,領用表!$E:$E,$B44,領用表!$B:$B,S$2&amp;$R$1)</f>
        <v>17</v>
      </c>
      <c r="T44" s="142">
        <f>SUMIFS(領用表!$L:$L,領用表!$E:$E,$B44,領用表!$B:$B,T$2&amp;$R$1)</f>
        <v>25</v>
      </c>
      <c r="U44" s="142">
        <f>SUMIFS(領用表!$L:$L,領用表!$E:$E,$B44,領用表!$B:$B,U$2&amp;$R$1)</f>
        <v>23</v>
      </c>
      <c r="V44" s="142">
        <f>SUMIFS(領用表!$L:$L,領用表!$E:$E,$B44,領用表!$B:$B,V$2&amp;$R$1)</f>
        <v>18</v>
      </c>
      <c r="W44" s="142">
        <f>SUMIFS(領用表!$L:$L,領用表!$E:$E,$B44,領用表!$B:$B,W$2&amp;$R$1)</f>
        <v>0</v>
      </c>
      <c r="X44" s="142">
        <f>SUMIFS(領用表!$L:$L,領用表!$E:$E,$B44,領用表!$B:$B,X$2&amp;$R$1)</f>
        <v>0</v>
      </c>
      <c r="Y44" s="142">
        <f>SUMIFS(領用表!$L:$L,領用表!$E:$E,$B44,領用表!$B:$B,Y$2&amp;$R$1)</f>
        <v>0</v>
      </c>
      <c r="Z44" s="142">
        <f>SUMIFS(領用表!$L:$L,領用表!$E:$E,$B44,領用表!$B:$B,Z$2&amp;$R$1)</f>
        <v>0</v>
      </c>
      <c r="AA44" s="142">
        <f>SUMIFS(領用表!$L:$L,領用表!$E:$E,$B44,領用表!$B:$B,AA$2&amp;$R$1)</f>
        <v>0</v>
      </c>
      <c r="AB44" s="142">
        <f>SUMIFS(領用表!$L:$L,領用表!$E:$E,$B44,領用表!$B:$B,AB$2&amp;$R$1)</f>
        <v>0</v>
      </c>
      <c r="AC44" s="142">
        <f>SUMIFS(領用表!$L:$L,領用表!$E:$E,$B44,領用表!$B:$B,AC$2&amp;$R$1)</f>
        <v>0</v>
      </c>
      <c r="AD44" s="142">
        <f t="shared" si="3"/>
        <v>111</v>
      </c>
      <c r="AE44" s="142">
        <f t="shared" si="4"/>
        <v>22.2</v>
      </c>
      <c r="AF44" s="142">
        <f>SUMIF(Summary!B:B,B44,Summary!DV:DV)</f>
        <v>25</v>
      </c>
      <c r="AG44" s="101">
        <v>10</v>
      </c>
      <c r="AH44" s="24"/>
      <c r="AI44" s="25" t="s">
        <v>73</v>
      </c>
      <c r="AJ44" s="25" t="s">
        <v>74</v>
      </c>
      <c r="AK44" s="27"/>
      <c r="AL44" s="28"/>
      <c r="AM44" s="14"/>
      <c r="AN44" s="29"/>
    </row>
    <row r="45" spans="1:40" ht="15.75" customHeight="1">
      <c r="A45" s="27" t="s">
        <v>75</v>
      </c>
      <c r="B45" s="14">
        <v>6160005</v>
      </c>
      <c r="C45" s="133" t="s">
        <v>484</v>
      </c>
      <c r="D45" s="16">
        <v>1</v>
      </c>
      <c r="E45" s="17" t="s">
        <v>15</v>
      </c>
      <c r="F45" s="18"/>
      <c r="G45" s="18">
        <v>36</v>
      </c>
      <c r="H45" s="21" t="e">
        <f>SUM(#REF!)</f>
        <v>#REF!</v>
      </c>
      <c r="I45" s="22" t="e">
        <f>H45/12</f>
        <v>#REF!</v>
      </c>
      <c r="J45" s="20">
        <f>SUMIFS(領用表!$L:$L,領用表!$E:$E,$B45,領用表!$B:$B,J$2&amp;$R$1)</f>
        <v>2</v>
      </c>
      <c r="K45" s="20">
        <f>SUMIFS(領用表!$L:$L,領用表!$E:$E,$B45,領用表!$B:$B,K$2&amp;$R$1)</f>
        <v>4</v>
      </c>
      <c r="L45" s="20">
        <f>SUMIFS(領用表!$L:$L,領用表!$E:$E,$B45,領用表!$B:$B,L$2&amp;$R$1)</f>
        <v>13</v>
      </c>
      <c r="M45" s="142">
        <f>SUMIFS(領用表!$L:$L,領用表!$E:$E,$B45,領用表!$B:$B,M$2&amp;$R$1)</f>
        <v>19</v>
      </c>
      <c r="N45" s="142">
        <f>SUMIFS(領用表!$L:$L,領用表!$E:$E,$B45,領用表!$B:$B,N$2&amp;$R$1)</f>
        <v>18</v>
      </c>
      <c r="O45" s="142">
        <f>SUMIFS(領用表!$L:$L,領用表!$E:$E,$B45,領用表!$B:$B,O$2&amp;$R$1)</f>
        <v>12</v>
      </c>
      <c r="P45" s="23">
        <f t="shared" si="1"/>
        <v>68</v>
      </c>
      <c r="Q45" s="23">
        <f t="shared" si="2"/>
        <v>9.7142857142857135</v>
      </c>
      <c r="R45" s="142">
        <f>SUMIFS(領用表!$L:$L,領用表!$E:$E,$B45,領用表!$B:$B,R$2&amp;$R$1)</f>
        <v>26</v>
      </c>
      <c r="S45" s="142">
        <f>SUMIFS(領用表!$L:$L,領用表!$E:$E,$B45,領用表!$B:$B,S$2&amp;$R$1)</f>
        <v>31</v>
      </c>
      <c r="T45" s="142">
        <f>SUMIFS(領用表!$L:$L,領用表!$E:$E,$B45,領用表!$B:$B,T$2&amp;$R$1)</f>
        <v>55</v>
      </c>
      <c r="U45" s="142">
        <f>SUMIFS(領用表!$L:$L,領用表!$E:$E,$B45,領用表!$B:$B,U$2&amp;$R$1)</f>
        <v>35</v>
      </c>
      <c r="V45" s="142">
        <f>SUMIFS(領用表!$L:$L,領用表!$E:$E,$B45,領用表!$B:$B,V$2&amp;$R$1)</f>
        <v>22</v>
      </c>
      <c r="W45" s="142">
        <f>SUMIFS(領用表!$L:$L,領用表!$E:$E,$B45,領用表!$B:$B,W$2&amp;$R$1)</f>
        <v>0</v>
      </c>
      <c r="X45" s="142">
        <f>SUMIFS(領用表!$L:$L,領用表!$E:$E,$B45,領用表!$B:$B,X$2&amp;$R$1)</f>
        <v>0</v>
      </c>
      <c r="Y45" s="142">
        <f>SUMIFS(領用表!$L:$L,領用表!$E:$E,$B45,領用表!$B:$B,Y$2&amp;$R$1)</f>
        <v>0</v>
      </c>
      <c r="Z45" s="142">
        <f>SUMIFS(領用表!$L:$L,領用表!$E:$E,$B45,領用表!$B:$B,Z$2&amp;$R$1)</f>
        <v>0</v>
      </c>
      <c r="AA45" s="142">
        <f>SUMIFS(領用表!$L:$L,領用表!$E:$E,$B45,領用表!$B:$B,AA$2&amp;$R$1)</f>
        <v>0</v>
      </c>
      <c r="AB45" s="142">
        <f>SUMIFS(領用表!$L:$L,領用表!$E:$E,$B45,領用表!$B:$B,AB$2&amp;$R$1)</f>
        <v>0</v>
      </c>
      <c r="AC45" s="142">
        <f>SUMIFS(領用表!$L:$L,領用表!$E:$E,$B45,領用表!$B:$B,AC$2&amp;$R$1)</f>
        <v>0</v>
      </c>
      <c r="AD45" s="142">
        <f t="shared" si="3"/>
        <v>169</v>
      </c>
      <c r="AE45" s="142">
        <f t="shared" si="4"/>
        <v>33.799999999999997</v>
      </c>
      <c r="AF45" s="142">
        <f>SUMIF(Summary!B:B,B45,Summary!DV:DV)</f>
        <v>20</v>
      </c>
      <c r="AG45" s="101">
        <v>8</v>
      </c>
      <c r="AH45" s="24">
        <v>0</v>
      </c>
      <c r="AI45" s="25" t="s">
        <v>76</v>
      </c>
      <c r="AJ45" s="25" t="s">
        <v>76</v>
      </c>
      <c r="AK45" s="27"/>
      <c r="AL45" s="28"/>
      <c r="AM45" s="14"/>
      <c r="AN45" s="29"/>
    </row>
    <row r="46" spans="1:40" ht="15.75" customHeight="1">
      <c r="A46" s="27" t="s">
        <v>77</v>
      </c>
      <c r="B46" s="14">
        <v>6170034</v>
      </c>
      <c r="C46" s="133" t="s">
        <v>485</v>
      </c>
      <c r="D46" s="23">
        <v>900</v>
      </c>
      <c r="E46" s="17" t="s">
        <v>78</v>
      </c>
      <c r="F46" s="18"/>
      <c r="G46" s="18">
        <f>((D46*22)+143)+((D46*36)+77)+((D46*26)+300)</f>
        <v>76120</v>
      </c>
      <c r="H46" s="21"/>
      <c r="I46" s="22"/>
      <c r="J46" s="20">
        <f>SUMIFS(領用表!$L:$L,領用表!$E:$E,$B46,領用表!$B:$B,J$2&amp;$R$1)</f>
        <v>20201</v>
      </c>
      <c r="K46" s="20">
        <f>SUMIFS(領用表!$L:$L,領用表!$E:$E,$B46,領用表!$B:$B,K$2&amp;$R$1)</f>
        <v>26442</v>
      </c>
      <c r="L46" s="20">
        <f>SUMIFS(領用表!$L:$L,領用表!$E:$E,$B46,領用表!$B:$B,L$2&amp;$R$1)</f>
        <v>25606</v>
      </c>
      <c r="M46" s="142">
        <f>SUMIFS(領用表!$L:$L,領用表!$E:$E,$B46,領用表!$B:$B,M$2&amp;$R$1)</f>
        <v>39712</v>
      </c>
      <c r="N46" s="142">
        <f>SUMIFS(領用表!$L:$L,領用表!$E:$E,$B46,領用表!$B:$B,N$2&amp;$R$1)</f>
        <v>29900</v>
      </c>
      <c r="O46" s="142">
        <f>SUMIFS(領用表!$L:$L,領用表!$E:$E,$B46,領用表!$B:$B,O$2&amp;$R$1)</f>
        <v>73551</v>
      </c>
      <c r="P46" s="23">
        <f t="shared" si="1"/>
        <v>215412</v>
      </c>
      <c r="Q46" s="23">
        <f t="shared" si="2"/>
        <v>30773.142857142859</v>
      </c>
      <c r="R46" s="142">
        <f>SUMIFS(領用表!$L:$L,領用表!$E:$E,$B46,領用表!$B:$B,R$2&amp;$R$1)</f>
        <v>138184</v>
      </c>
      <c r="S46" s="142">
        <f>SUMIFS(領用表!$L:$L,領用表!$E:$E,$B46,領用表!$B:$B,S$2&amp;$R$1)</f>
        <v>138209</v>
      </c>
      <c r="T46" s="142">
        <f>SUMIFS(領用表!$L:$L,領用表!$E:$E,$B46,領用表!$B:$B,T$2&amp;$R$1)</f>
        <v>155303</v>
      </c>
      <c r="U46" s="142">
        <f>SUMIFS(領用表!$L:$L,領用表!$E:$E,$B46,領用表!$B:$B,U$2&amp;$R$1)</f>
        <v>157500</v>
      </c>
      <c r="V46" s="142">
        <f>SUMIFS(領用表!$L:$L,領用表!$E:$E,$B46,領用表!$B:$B,V$2&amp;$R$1)</f>
        <v>176500</v>
      </c>
      <c r="W46" s="142">
        <f>SUMIFS(領用表!$L:$L,領用表!$E:$E,$B46,領用表!$B:$B,W$2&amp;$R$1)</f>
        <v>0</v>
      </c>
      <c r="X46" s="142">
        <f>SUMIFS(領用表!$L:$L,領用表!$E:$E,$B46,領用表!$B:$B,X$2&amp;$R$1)</f>
        <v>0</v>
      </c>
      <c r="Y46" s="142">
        <f>SUMIFS(領用表!$L:$L,領用表!$E:$E,$B46,領用表!$B:$B,Y$2&amp;$R$1)</f>
        <v>0</v>
      </c>
      <c r="Z46" s="142">
        <f>SUMIFS(領用表!$L:$L,領用表!$E:$E,$B46,領用表!$B:$B,Z$2&amp;$R$1)</f>
        <v>0</v>
      </c>
      <c r="AA46" s="142">
        <f>SUMIFS(領用表!$L:$L,領用表!$E:$E,$B46,領用表!$B:$B,AA$2&amp;$R$1)</f>
        <v>0</v>
      </c>
      <c r="AB46" s="142">
        <f>SUMIFS(領用表!$L:$L,領用表!$E:$E,$B46,領用表!$B:$B,AB$2&amp;$R$1)</f>
        <v>0</v>
      </c>
      <c r="AC46" s="142">
        <f>SUMIFS(領用表!$L:$L,領用表!$E:$E,$B46,領用表!$B:$B,AC$2&amp;$R$1)</f>
        <v>0</v>
      </c>
      <c r="AD46" s="142">
        <f t="shared" si="3"/>
        <v>765696</v>
      </c>
      <c r="AE46" s="142">
        <f t="shared" si="4"/>
        <v>153139.20000000001</v>
      </c>
      <c r="AF46" s="142">
        <f>SUMIF(Summary!B:B,B46,Summary!DV:DV)</f>
        <v>150000</v>
      </c>
      <c r="AG46" s="104">
        <v>20000</v>
      </c>
      <c r="AH46" s="24"/>
      <c r="AI46" s="25" t="s">
        <v>79</v>
      </c>
      <c r="AJ46" s="25" t="s">
        <v>79</v>
      </c>
      <c r="AK46" s="49"/>
      <c r="AL46" s="28"/>
      <c r="AM46" s="14"/>
      <c r="AN46" s="29"/>
    </row>
    <row r="47" spans="1:40">
      <c r="A47" s="27" t="s">
        <v>80</v>
      </c>
      <c r="B47" s="14">
        <v>6170035</v>
      </c>
      <c r="C47" s="133" t="s">
        <v>486</v>
      </c>
      <c r="D47" s="23">
        <v>600</v>
      </c>
      <c r="E47" s="17" t="s">
        <v>78</v>
      </c>
      <c r="F47" s="18"/>
      <c r="G47" s="18">
        <f>((D47*0)+0)+((D47*11)+439)+(D47*0)</f>
        <v>7039</v>
      </c>
      <c r="H47" s="21"/>
      <c r="I47" s="22"/>
      <c r="J47" s="20">
        <f>SUMIFS(領用表!$L:$L,領用表!$E:$E,$B47,領用表!$B:$B,J$2&amp;$R$1)</f>
        <v>5400</v>
      </c>
      <c r="K47" s="20">
        <f>SUMIFS(領用表!$L:$L,領用表!$E:$E,$B47,領用表!$B:$B,K$2&amp;$R$1)</f>
        <v>8160</v>
      </c>
      <c r="L47" s="20">
        <f>SUMIFS(領用表!$L:$L,領用表!$E:$E,$B47,領用表!$B:$B,L$2&amp;$R$1)</f>
        <v>9900</v>
      </c>
      <c r="M47" s="142">
        <f>SUMIFS(領用表!$L:$L,領用表!$E:$E,$B47,領用表!$B:$B,M$2&amp;$R$1)</f>
        <v>10101</v>
      </c>
      <c r="N47" s="142">
        <f>SUMIFS(領用表!$L:$L,領用表!$E:$E,$B47,領用表!$B:$B,N$2&amp;$R$1)</f>
        <v>7206</v>
      </c>
      <c r="O47" s="142">
        <f>SUMIFS(領用表!$L:$L,領用表!$E:$E,$B47,領用表!$B:$B,O$2&amp;$R$1)</f>
        <v>9400</v>
      </c>
      <c r="P47" s="23">
        <f t="shared" si="1"/>
        <v>50167</v>
      </c>
      <c r="Q47" s="23">
        <f t="shared" si="2"/>
        <v>7166.7142857142853</v>
      </c>
      <c r="R47" s="142">
        <f>SUMIFS(領用表!$L:$L,領用表!$E:$E,$B47,領用表!$B:$B,R$2&amp;$R$1)</f>
        <v>18998</v>
      </c>
      <c r="S47" s="142">
        <f>SUMIFS(領用表!$L:$L,領用表!$E:$E,$B47,領用表!$B:$B,S$2&amp;$R$1)</f>
        <v>26500</v>
      </c>
      <c r="T47" s="142">
        <f>SUMIFS(領用表!$L:$L,領用表!$E:$E,$B47,領用表!$B:$B,T$2&amp;$R$1)</f>
        <v>39402</v>
      </c>
      <c r="U47" s="142">
        <f>SUMIFS(領用表!$L:$L,領用表!$E:$E,$B47,領用表!$B:$B,U$2&amp;$R$1)</f>
        <v>26601</v>
      </c>
      <c r="V47" s="142">
        <f>SUMIFS(領用表!$L:$L,領用表!$E:$E,$B47,領用表!$B:$B,V$2&amp;$R$1)</f>
        <v>42300</v>
      </c>
      <c r="W47" s="142">
        <f>SUMIFS(領用表!$L:$L,領用表!$E:$E,$B47,領用表!$B:$B,W$2&amp;$R$1)</f>
        <v>0</v>
      </c>
      <c r="X47" s="142">
        <f>SUMIFS(領用表!$L:$L,領用表!$E:$E,$B47,領用表!$B:$B,X$2&amp;$R$1)</f>
        <v>0</v>
      </c>
      <c r="Y47" s="142">
        <f>SUMIFS(領用表!$L:$L,領用表!$E:$E,$B47,領用表!$B:$B,Y$2&amp;$R$1)</f>
        <v>0</v>
      </c>
      <c r="Z47" s="142">
        <f>SUMIFS(領用表!$L:$L,領用表!$E:$E,$B47,領用表!$B:$B,Z$2&amp;$R$1)</f>
        <v>0</v>
      </c>
      <c r="AA47" s="142">
        <f>SUMIFS(領用表!$L:$L,領用表!$E:$E,$B47,領用表!$B:$B,AA$2&amp;$R$1)</f>
        <v>0</v>
      </c>
      <c r="AB47" s="142">
        <f>SUMIFS(領用表!$L:$L,領用表!$E:$E,$B47,領用表!$B:$B,AB$2&amp;$R$1)</f>
        <v>0</v>
      </c>
      <c r="AC47" s="142">
        <f>SUMIFS(領用表!$L:$L,領用表!$E:$E,$B47,領用表!$B:$B,AC$2&amp;$R$1)</f>
        <v>0</v>
      </c>
      <c r="AD47" s="142">
        <f t="shared" si="3"/>
        <v>153801</v>
      </c>
      <c r="AE47" s="142">
        <f t="shared" si="4"/>
        <v>30760.2</v>
      </c>
      <c r="AF47" s="142">
        <f>SUMIF(Summary!B:B,B47,Summary!DV:DV)</f>
        <v>20000</v>
      </c>
      <c r="AG47" s="104">
        <v>6500</v>
      </c>
      <c r="AH47" s="24"/>
      <c r="AI47" s="25"/>
      <c r="AJ47" s="25" t="s">
        <v>79</v>
      </c>
      <c r="AK47" s="49"/>
      <c r="AL47" s="28"/>
      <c r="AM47" s="14"/>
      <c r="AN47" s="29"/>
    </row>
    <row r="48" spans="1:40" ht="15.75" customHeight="1">
      <c r="A48" s="27" t="s">
        <v>81</v>
      </c>
      <c r="B48" s="14">
        <v>6170028</v>
      </c>
      <c r="C48" s="118" t="s">
        <v>487</v>
      </c>
      <c r="D48" s="23">
        <v>6050</v>
      </c>
      <c r="E48" s="17" t="s">
        <v>78</v>
      </c>
      <c r="F48" s="18"/>
      <c r="G48" s="18">
        <f>(D48*0)+(0)</f>
        <v>0</v>
      </c>
      <c r="H48" s="21" t="s">
        <v>49</v>
      </c>
      <c r="I48" s="22" t="s">
        <v>49</v>
      </c>
      <c r="J48" s="20">
        <f>SUMIFS(領用表!$L:$L,領用表!$E:$E,$B48,領用表!$B:$B,J$2&amp;$R$1)</f>
        <v>4400</v>
      </c>
      <c r="K48" s="20">
        <f>SUMIFS(領用表!$L:$L,領用表!$E:$E,$B48,領用表!$B:$B,K$2&amp;$R$1)</f>
        <v>7301</v>
      </c>
      <c r="L48" s="20">
        <f>SUMIFS(領用表!$L:$L,領用表!$E:$E,$B48,領用表!$B:$B,L$2&amp;$R$1)</f>
        <v>7500</v>
      </c>
      <c r="M48" s="142">
        <f>SUMIFS(領用表!$L:$L,領用表!$E:$E,$B48,領用表!$B:$B,M$2&amp;$R$1)</f>
        <v>14002</v>
      </c>
      <c r="N48" s="142">
        <f>SUMIFS(領用表!$L:$L,領用表!$E:$E,$B48,領用表!$B:$B,N$2&amp;$R$1)</f>
        <v>8649</v>
      </c>
      <c r="O48" s="142">
        <f>SUMIFS(領用表!$L:$L,領用表!$E:$E,$B48,領用表!$B:$B,O$2&amp;$R$1)</f>
        <v>2268</v>
      </c>
      <c r="P48" s="23">
        <f t="shared" si="1"/>
        <v>44120</v>
      </c>
      <c r="Q48" s="23">
        <f t="shared" si="2"/>
        <v>6302.8571428571431</v>
      </c>
      <c r="R48" s="142">
        <f>SUMIFS(領用表!$L:$L,領用表!$E:$E,$B48,領用表!$B:$B,R$2&amp;$R$1)</f>
        <v>4260</v>
      </c>
      <c r="S48" s="142">
        <f>SUMIFS(領用表!$L:$L,領用表!$E:$E,$B48,領用表!$B:$B,S$2&amp;$R$1)</f>
        <v>4699</v>
      </c>
      <c r="T48" s="142">
        <f>SUMIFS(領用表!$L:$L,領用表!$E:$E,$B48,領用表!$B:$B,T$2&amp;$R$1)</f>
        <v>3199</v>
      </c>
      <c r="U48" s="142">
        <f>SUMIFS(領用表!$L:$L,領用表!$E:$E,$B48,領用表!$B:$B,U$2&amp;$R$1)</f>
        <v>180</v>
      </c>
      <c r="V48" s="142">
        <f>SUMIFS(領用表!$L:$L,領用表!$E:$E,$B48,領用表!$B:$B,V$2&amp;$R$1)</f>
        <v>0</v>
      </c>
      <c r="W48" s="142">
        <f>SUMIFS(領用表!$L:$L,領用表!$E:$E,$B48,領用表!$B:$B,W$2&amp;$R$1)</f>
        <v>0</v>
      </c>
      <c r="X48" s="142">
        <f>SUMIFS(領用表!$L:$L,領用表!$E:$E,$B48,領用表!$B:$B,X$2&amp;$R$1)</f>
        <v>0</v>
      </c>
      <c r="Y48" s="142">
        <f>SUMIFS(領用表!$L:$L,領用表!$E:$E,$B48,領用表!$B:$B,Y$2&amp;$R$1)</f>
        <v>0</v>
      </c>
      <c r="Z48" s="142">
        <f>SUMIFS(領用表!$L:$L,領用表!$E:$E,$B48,領用表!$B:$B,Z$2&amp;$R$1)</f>
        <v>0</v>
      </c>
      <c r="AA48" s="142">
        <f>SUMIFS(領用表!$L:$L,領用表!$E:$E,$B48,領用表!$B:$B,AA$2&amp;$R$1)</f>
        <v>0</v>
      </c>
      <c r="AB48" s="142">
        <f>SUMIFS(領用表!$L:$L,領用表!$E:$E,$B48,領用表!$B:$B,AB$2&amp;$R$1)</f>
        <v>0</v>
      </c>
      <c r="AC48" s="142">
        <f>SUMIFS(領用表!$L:$L,領用表!$E:$E,$B48,領用表!$B:$B,AC$2&amp;$R$1)</f>
        <v>0</v>
      </c>
      <c r="AD48" s="142">
        <f t="shared" si="3"/>
        <v>12338</v>
      </c>
      <c r="AE48" s="142">
        <f t="shared" si="4"/>
        <v>2467.6</v>
      </c>
      <c r="AF48" s="142">
        <f>SUMIF(Summary!B:B,B48,Summary!DV:DV)</f>
        <v>10000</v>
      </c>
      <c r="AG48" s="104">
        <v>7500</v>
      </c>
      <c r="AH48" s="24">
        <v>0</v>
      </c>
      <c r="AI48" s="25" t="s">
        <v>82</v>
      </c>
      <c r="AJ48" s="25" t="s">
        <v>83</v>
      </c>
      <c r="AK48" s="50" t="s">
        <v>84</v>
      </c>
      <c r="AL48" s="28"/>
      <c r="AM48" s="14"/>
      <c r="AN48" s="29"/>
    </row>
    <row r="49" spans="1:40" ht="15.75" customHeight="1">
      <c r="A49" s="27" t="s">
        <v>85</v>
      </c>
      <c r="B49" s="14">
        <v>6170029</v>
      </c>
      <c r="C49" s="118" t="s">
        <v>488</v>
      </c>
      <c r="D49" s="23">
        <v>4050</v>
      </c>
      <c r="E49" s="17" t="s">
        <v>78</v>
      </c>
      <c r="F49" s="18"/>
      <c r="G49" s="18"/>
      <c r="H49" s="21" t="s">
        <v>49</v>
      </c>
      <c r="I49" s="22" t="s">
        <v>49</v>
      </c>
      <c r="J49" s="20">
        <f>SUMIFS(領用表!$L:$L,領用表!$E:$E,$B49,領用表!$B:$B,J$2&amp;$R$1)</f>
        <v>18000</v>
      </c>
      <c r="K49" s="20">
        <f>SUMIFS(領用表!$L:$L,領用表!$E:$E,$B49,領用表!$B:$B,K$2&amp;$R$1)</f>
        <v>30201</v>
      </c>
      <c r="L49" s="20">
        <f>SUMIFS(領用表!$L:$L,領用表!$E:$E,$B49,領用表!$B:$B,L$2&amp;$R$1)</f>
        <v>23701</v>
      </c>
      <c r="M49" s="142">
        <f>SUMIFS(領用表!$L:$L,領用表!$E:$E,$B49,領用表!$B:$B,M$2&amp;$R$1)</f>
        <v>29630</v>
      </c>
      <c r="N49" s="142">
        <f>SUMIFS(領用表!$L:$L,領用表!$E:$E,$B49,領用表!$B:$B,N$2&amp;$R$1)</f>
        <v>37701</v>
      </c>
      <c r="O49" s="142">
        <f>SUMIFS(領用表!$L:$L,領用表!$E:$E,$B49,領用表!$B:$B,O$2&amp;$R$1)</f>
        <v>0</v>
      </c>
      <c r="P49" s="23">
        <f t="shared" si="1"/>
        <v>139233</v>
      </c>
      <c r="Q49" s="23">
        <f t="shared" si="2"/>
        <v>19890.428571428572</v>
      </c>
      <c r="R49" s="142">
        <f>SUMIFS(領用表!$L:$L,領用表!$E:$E,$B49,領用表!$B:$B,R$2&amp;$R$1)</f>
        <v>300</v>
      </c>
      <c r="S49" s="142">
        <f>SUMIFS(領用表!$L:$L,領用表!$E:$E,$B49,領用表!$B:$B,S$2&amp;$R$1)</f>
        <v>0</v>
      </c>
      <c r="T49" s="142">
        <f>SUMIFS(領用表!$L:$L,領用表!$E:$E,$B49,領用表!$B:$B,T$2&amp;$R$1)</f>
        <v>0</v>
      </c>
      <c r="U49" s="142">
        <f>SUMIFS(領用表!$L:$L,領用表!$E:$E,$B49,領用表!$B:$B,U$2&amp;$R$1)</f>
        <v>0</v>
      </c>
      <c r="V49" s="142">
        <f>SUMIFS(領用表!$L:$L,領用表!$E:$E,$B49,領用表!$B:$B,V$2&amp;$R$1)</f>
        <v>0</v>
      </c>
      <c r="W49" s="142">
        <f>SUMIFS(領用表!$L:$L,領用表!$E:$E,$B49,領用表!$B:$B,W$2&amp;$R$1)</f>
        <v>0</v>
      </c>
      <c r="X49" s="142">
        <f>SUMIFS(領用表!$L:$L,領用表!$E:$E,$B49,領用表!$B:$B,X$2&amp;$R$1)</f>
        <v>0</v>
      </c>
      <c r="Y49" s="142">
        <f>SUMIFS(領用表!$L:$L,領用表!$E:$E,$B49,領用表!$B:$B,Y$2&amp;$R$1)</f>
        <v>0</v>
      </c>
      <c r="Z49" s="142">
        <f>SUMIFS(領用表!$L:$L,領用表!$E:$E,$B49,領用表!$B:$B,Z$2&amp;$R$1)</f>
        <v>0</v>
      </c>
      <c r="AA49" s="142">
        <f>SUMIFS(領用表!$L:$L,領用表!$E:$E,$B49,領用表!$B:$B,AA$2&amp;$R$1)</f>
        <v>0</v>
      </c>
      <c r="AB49" s="142">
        <f>SUMIFS(領用表!$L:$L,領用表!$E:$E,$B49,領用表!$B:$B,AB$2&amp;$R$1)</f>
        <v>0</v>
      </c>
      <c r="AC49" s="142">
        <f>SUMIFS(領用表!$L:$L,領用表!$E:$E,$B49,領用表!$B:$B,AC$2&amp;$R$1)</f>
        <v>0</v>
      </c>
      <c r="AD49" s="142">
        <f t="shared" si="3"/>
        <v>300</v>
      </c>
      <c r="AE49" s="142">
        <f t="shared" si="4"/>
        <v>60</v>
      </c>
      <c r="AF49" s="142">
        <f>SUMIF(Summary!B:B,B49,Summary!DV:DV)</f>
        <v>25000</v>
      </c>
      <c r="AG49" s="104">
        <v>20000</v>
      </c>
      <c r="AH49" s="24">
        <v>0</v>
      </c>
      <c r="AI49" s="25" t="s">
        <v>86</v>
      </c>
      <c r="AJ49" s="25" t="s">
        <v>86</v>
      </c>
      <c r="AK49" s="50" t="s">
        <v>84</v>
      </c>
      <c r="AL49" s="28"/>
      <c r="AM49" s="14"/>
      <c r="AN49" s="29"/>
    </row>
    <row r="50" spans="1:40" ht="15.75" customHeight="1">
      <c r="A50" s="27" t="s">
        <v>87</v>
      </c>
      <c r="B50" s="14">
        <v>6170030</v>
      </c>
      <c r="C50" s="118" t="s">
        <v>489</v>
      </c>
      <c r="D50" s="37">
        <v>3050</v>
      </c>
      <c r="E50" s="38" t="s">
        <v>78</v>
      </c>
      <c r="F50" s="18"/>
      <c r="G50" s="18">
        <f>(D50*7)+(1480)</f>
        <v>22830</v>
      </c>
      <c r="H50" s="40" t="s">
        <v>49</v>
      </c>
      <c r="I50" s="41" t="s">
        <v>49</v>
      </c>
      <c r="J50" s="39">
        <f>SUMIFS(領用表!$L:$L,領用表!$E:$E,$B50,領用表!$B:$B,J$2&amp;$R$1)</f>
        <v>0</v>
      </c>
      <c r="K50" s="39">
        <f>SUMIFS(領用表!$L:$L,領用表!$E:$E,$B50,領用表!$B:$B,K$2&amp;$R$1)</f>
        <v>0</v>
      </c>
      <c r="L50" s="39">
        <f>SUMIFS(領用表!$L:$L,領用表!$E:$E,$B50,領用表!$B:$B,L$2&amp;$R$1)</f>
        <v>0</v>
      </c>
      <c r="M50" s="142">
        <f>SUMIFS(領用表!$L:$L,領用表!$E:$E,$B50,領用表!$B:$B,M$2&amp;$R$1)</f>
        <v>1</v>
      </c>
      <c r="N50" s="142">
        <f>SUMIFS(領用表!$L:$L,領用表!$E:$E,$B50,領用表!$B:$B,N$2&amp;$R$1)</f>
        <v>46682</v>
      </c>
      <c r="O50" s="142">
        <f>SUMIFS(領用表!$L:$L,領用表!$E:$E,$B50,領用表!$B:$B,O$2&amp;$R$1)</f>
        <v>47775</v>
      </c>
      <c r="P50" s="42">
        <f t="shared" si="1"/>
        <v>94458</v>
      </c>
      <c r="Q50" s="42">
        <f t="shared" si="2"/>
        <v>13494</v>
      </c>
      <c r="R50" s="142">
        <f>SUMIFS(領用表!$L:$L,領用表!$E:$E,$B50,領用表!$B:$B,R$2&amp;$R$1)</f>
        <v>47385</v>
      </c>
      <c r="S50" s="142">
        <f>SUMIFS(領用表!$L:$L,領用表!$E:$E,$B50,領用表!$B:$B,S$2&amp;$R$1)</f>
        <v>38441</v>
      </c>
      <c r="T50" s="142">
        <f>SUMIFS(領用表!$L:$L,領用表!$E:$E,$B50,領用表!$B:$B,T$2&amp;$R$1)</f>
        <v>23417</v>
      </c>
      <c r="U50" s="142">
        <f>SUMIFS(領用表!$L:$L,領用表!$E:$E,$B50,領用表!$B:$B,U$2&amp;$R$1)</f>
        <v>27620</v>
      </c>
      <c r="V50" s="142">
        <f>SUMIFS(領用表!$L:$L,領用表!$E:$E,$B50,領用表!$B:$B,V$2&amp;$R$1)</f>
        <v>19900</v>
      </c>
      <c r="W50" s="142">
        <f>SUMIFS(領用表!$L:$L,領用表!$E:$E,$B50,領用表!$B:$B,W$2&amp;$R$1)</f>
        <v>0</v>
      </c>
      <c r="X50" s="142">
        <f>SUMIFS(領用表!$L:$L,領用表!$E:$E,$B50,領用表!$B:$B,X$2&amp;$R$1)</f>
        <v>0</v>
      </c>
      <c r="Y50" s="142">
        <f>SUMIFS(領用表!$L:$L,領用表!$E:$E,$B50,領用表!$B:$B,Y$2&amp;$R$1)</f>
        <v>0</v>
      </c>
      <c r="Z50" s="142">
        <f>SUMIFS(領用表!$L:$L,領用表!$E:$E,$B50,領用表!$B:$B,Z$2&amp;$R$1)</f>
        <v>0</v>
      </c>
      <c r="AA50" s="142">
        <f>SUMIFS(領用表!$L:$L,領用表!$E:$E,$B50,領用表!$B:$B,AA$2&amp;$R$1)</f>
        <v>0</v>
      </c>
      <c r="AB50" s="142">
        <f>SUMIFS(領用表!$L:$L,領用表!$E:$E,$B50,領用表!$B:$B,AB$2&amp;$R$1)</f>
        <v>0</v>
      </c>
      <c r="AC50" s="142">
        <f>SUMIFS(領用表!$L:$L,領用表!$E:$E,$B50,領用表!$B:$B,AC$2&amp;$R$1)</f>
        <v>0</v>
      </c>
      <c r="AD50" s="142">
        <f t="shared" si="3"/>
        <v>156763</v>
      </c>
      <c r="AE50" s="142">
        <f t="shared" si="4"/>
        <v>31352.6</v>
      </c>
      <c r="AF50" s="142">
        <f>SUMIF(Summary!B:B,B50,Summary!DV:DV)</f>
        <v>50000</v>
      </c>
      <c r="AG50" s="105"/>
      <c r="AH50" s="40">
        <v>0</v>
      </c>
      <c r="AI50" s="40"/>
      <c r="AJ50" s="40"/>
      <c r="AK50" s="51" t="s">
        <v>88</v>
      </c>
      <c r="AL50" s="52"/>
      <c r="AM50" s="14"/>
      <c r="AN50" s="29"/>
    </row>
    <row r="51" spans="1:40" ht="15.75" customHeight="1">
      <c r="A51" s="27" t="s">
        <v>89</v>
      </c>
      <c r="B51" s="14">
        <v>6170005</v>
      </c>
      <c r="C51" s="118" t="s">
        <v>614</v>
      </c>
      <c r="D51" s="23">
        <v>20099</v>
      </c>
      <c r="E51" s="17" t="s">
        <v>78</v>
      </c>
      <c r="F51" s="18"/>
      <c r="G51" s="18">
        <f>(D51*4)+(8893)+(2276)</f>
        <v>91565</v>
      </c>
      <c r="H51" s="21" t="e">
        <f>SUM(#REF!)</f>
        <v>#REF!</v>
      </c>
      <c r="I51" s="22" t="e">
        <f>H51/12</f>
        <v>#REF!</v>
      </c>
      <c r="J51" s="20">
        <f>SUMIFS(領用表!$L:$L,領用表!$E:$E,$B51,領用表!$B:$B,J$2&amp;$R$1)</f>
        <v>6983</v>
      </c>
      <c r="K51" s="20">
        <f>SUMIFS(領用表!$L:$L,領用表!$E:$E,$B51,領用表!$B:$B,K$2&amp;$R$1)</f>
        <v>15291</v>
      </c>
      <c r="L51" s="20">
        <f>SUMIFS(領用表!$L:$L,領用表!$E:$E,$B51,領用表!$B:$B,L$2&amp;$R$1)</f>
        <v>12125</v>
      </c>
      <c r="M51" s="142">
        <f>SUMIFS(領用表!$L:$L,領用表!$E:$E,$B51,領用表!$B:$B,M$2&amp;$R$1)</f>
        <v>12080</v>
      </c>
      <c r="N51" s="142">
        <f>SUMIFS(領用表!$L:$L,領用表!$E:$E,$B51,領用表!$B:$B,N$2&amp;$R$1)</f>
        <v>13116</v>
      </c>
      <c r="O51" s="142">
        <f>SUMIFS(領用表!$L:$L,領用表!$E:$E,$B51,領用表!$B:$B,O$2&amp;$R$1)</f>
        <v>15992</v>
      </c>
      <c r="P51" s="23">
        <f t="shared" si="1"/>
        <v>75587</v>
      </c>
      <c r="Q51" s="23">
        <f t="shared" si="2"/>
        <v>10798.142857142857</v>
      </c>
      <c r="R51" s="142">
        <f>SUMIFS(領用表!$L:$L,領用表!$E:$E,$B51,領用表!$B:$B,R$2&amp;$R$1)</f>
        <v>27290</v>
      </c>
      <c r="S51" s="142">
        <f>SUMIFS(領用表!$L:$L,領用表!$E:$E,$B51,領用表!$B:$B,S$2&amp;$R$1)</f>
        <v>21563</v>
      </c>
      <c r="T51" s="142">
        <f>SUMIFS(領用表!$L:$L,領用表!$E:$E,$B51,領用表!$B:$B,T$2&amp;$R$1)</f>
        <v>10144</v>
      </c>
      <c r="U51" s="142">
        <f>SUMIFS(領用表!$L:$L,領用表!$E:$E,$B51,領用表!$B:$B,U$2&amp;$R$1)</f>
        <v>5407</v>
      </c>
      <c r="V51" s="142">
        <f>SUMIFS(領用表!$L:$L,領用表!$E:$E,$B51,領用表!$B:$B,V$2&amp;$R$1)</f>
        <v>8673</v>
      </c>
      <c r="W51" s="142">
        <f>SUMIFS(領用表!$L:$L,領用表!$E:$E,$B51,領用表!$B:$B,W$2&amp;$R$1)</f>
        <v>0</v>
      </c>
      <c r="X51" s="142">
        <f>SUMIFS(領用表!$L:$L,領用表!$E:$E,$B51,領用表!$B:$B,X$2&amp;$R$1)</f>
        <v>0</v>
      </c>
      <c r="Y51" s="142">
        <f>SUMIFS(領用表!$L:$L,領用表!$E:$E,$B51,領用表!$B:$B,Y$2&amp;$R$1)</f>
        <v>0</v>
      </c>
      <c r="Z51" s="142">
        <f>SUMIFS(領用表!$L:$L,領用表!$E:$E,$B51,領用表!$B:$B,Z$2&amp;$R$1)</f>
        <v>0</v>
      </c>
      <c r="AA51" s="142">
        <f>SUMIFS(領用表!$L:$L,領用表!$E:$E,$B51,領用表!$B:$B,AA$2&amp;$R$1)</f>
        <v>0</v>
      </c>
      <c r="AB51" s="142">
        <f>SUMIFS(領用表!$L:$L,領用表!$E:$E,$B51,領用表!$B:$B,AB$2&amp;$R$1)</f>
        <v>0</v>
      </c>
      <c r="AC51" s="142">
        <f>SUMIFS(領用表!$L:$L,領用表!$E:$E,$B51,領用表!$B:$B,AC$2&amp;$R$1)</f>
        <v>0</v>
      </c>
      <c r="AD51" s="142">
        <f t="shared" si="3"/>
        <v>73077</v>
      </c>
      <c r="AE51" s="142">
        <f t="shared" si="4"/>
        <v>14615.4</v>
      </c>
      <c r="AF51" s="142">
        <f>SUMIF(Summary!B:B,B51,Summary!DV:DV)</f>
        <v>28000</v>
      </c>
      <c r="AG51" s="101">
        <v>25000</v>
      </c>
      <c r="AH51" s="477" t="s">
        <v>90</v>
      </c>
      <c r="AI51" s="24"/>
      <c r="AJ51" s="53"/>
      <c r="AK51" s="50">
        <v>20000</v>
      </c>
      <c r="AL51" s="28"/>
      <c r="AM51" s="14"/>
      <c r="AN51" s="29"/>
    </row>
    <row r="52" spans="1:40" ht="15.75" customHeight="1">
      <c r="A52" s="27" t="s">
        <v>91</v>
      </c>
      <c r="B52" s="14">
        <v>6170007</v>
      </c>
      <c r="C52" s="118" t="s">
        <v>615</v>
      </c>
      <c r="D52" s="23">
        <v>20099</v>
      </c>
      <c r="E52" s="17" t="s">
        <v>78</v>
      </c>
      <c r="F52" s="18"/>
      <c r="G52" s="18">
        <f>(D52*1)+(8529)+(9796)</f>
        <v>38424</v>
      </c>
      <c r="H52" s="21" t="e">
        <f>SUM(#REF!)</f>
        <v>#REF!</v>
      </c>
      <c r="I52" s="22" t="e">
        <f>H52/12</f>
        <v>#REF!</v>
      </c>
      <c r="J52" s="20">
        <f>SUMIFS(領用表!$L:$L,領用表!$E:$E,$B52,領用表!$B:$B,J$2&amp;$R$1)</f>
        <v>21353</v>
      </c>
      <c r="K52" s="20">
        <f>SUMIFS(領用表!$L:$L,領用表!$E:$E,$B52,領用表!$B:$B,K$2&amp;$R$1)</f>
        <v>41744</v>
      </c>
      <c r="L52" s="20">
        <f>SUMIFS(領用表!$L:$L,領用表!$E:$E,$B52,領用表!$B:$B,L$2&amp;$R$1)</f>
        <v>39714</v>
      </c>
      <c r="M52" s="142">
        <f>SUMIFS(領用表!$L:$L,領用表!$E:$E,$B52,領用表!$B:$B,M$2&amp;$R$1)</f>
        <v>36263</v>
      </c>
      <c r="N52" s="142">
        <f>SUMIFS(領用表!$L:$L,領用表!$E:$E,$B52,領用表!$B:$B,N$2&amp;$R$1)</f>
        <v>37096</v>
      </c>
      <c r="O52" s="142">
        <f>SUMIFS(領用表!$L:$L,領用表!$E:$E,$B52,領用表!$B:$B,O$2&amp;$R$1)</f>
        <v>57157</v>
      </c>
      <c r="P52" s="23">
        <f t="shared" si="1"/>
        <v>233327</v>
      </c>
      <c r="Q52" s="23">
        <f t="shared" si="2"/>
        <v>33332.428571428572</v>
      </c>
      <c r="R52" s="142">
        <f>SUMIFS(領用表!$L:$L,領用表!$E:$E,$B52,領用表!$B:$B,R$2&amp;$R$1)</f>
        <v>65512</v>
      </c>
      <c r="S52" s="142">
        <f>SUMIFS(領用表!$L:$L,領用表!$E:$E,$B52,領用表!$B:$B,S$2&amp;$R$1)</f>
        <v>56774</v>
      </c>
      <c r="T52" s="142">
        <f>SUMIFS(領用表!$L:$L,領用表!$E:$E,$B52,領用表!$B:$B,T$2&amp;$R$1)</f>
        <v>32538</v>
      </c>
      <c r="U52" s="142">
        <f>SUMIFS(領用表!$L:$L,領用表!$E:$E,$B52,領用表!$B:$B,U$2&amp;$R$1)</f>
        <v>28292</v>
      </c>
      <c r="V52" s="142">
        <f>SUMIFS(領用表!$L:$L,領用表!$E:$E,$B52,領用表!$B:$B,V$2&amp;$R$1)</f>
        <v>32711</v>
      </c>
      <c r="W52" s="142">
        <f>SUMIFS(領用表!$L:$L,領用表!$E:$E,$B52,領用表!$B:$B,W$2&amp;$R$1)</f>
        <v>0</v>
      </c>
      <c r="X52" s="142">
        <f>SUMIFS(領用表!$L:$L,領用表!$E:$E,$B52,領用表!$B:$B,X$2&amp;$R$1)</f>
        <v>0</v>
      </c>
      <c r="Y52" s="142">
        <f>SUMIFS(領用表!$L:$L,領用表!$E:$E,$B52,領用表!$B:$B,Y$2&amp;$R$1)</f>
        <v>0</v>
      </c>
      <c r="Z52" s="142">
        <f>SUMIFS(領用表!$L:$L,領用表!$E:$E,$B52,領用表!$B:$B,Z$2&amp;$R$1)</f>
        <v>0</v>
      </c>
      <c r="AA52" s="142">
        <f>SUMIFS(領用表!$L:$L,領用表!$E:$E,$B52,領用表!$B:$B,AA$2&amp;$R$1)</f>
        <v>0</v>
      </c>
      <c r="AB52" s="142">
        <f>SUMIFS(領用表!$L:$L,領用表!$E:$E,$B52,領用表!$B:$B,AB$2&amp;$R$1)</f>
        <v>0</v>
      </c>
      <c r="AC52" s="142">
        <f>SUMIFS(領用表!$L:$L,領用表!$E:$E,$B52,領用表!$B:$B,AC$2&amp;$R$1)</f>
        <v>0</v>
      </c>
      <c r="AD52" s="142">
        <f t="shared" si="3"/>
        <v>215827</v>
      </c>
      <c r="AE52" s="142">
        <f t="shared" si="4"/>
        <v>43165.4</v>
      </c>
      <c r="AF52" s="142">
        <f>SUMIF(Summary!B:B,B52,Summary!DV:DV)</f>
        <v>65000</v>
      </c>
      <c r="AG52" s="101">
        <v>50000</v>
      </c>
      <c r="AH52" s="478"/>
      <c r="AI52" s="24"/>
      <c r="AJ52" s="53"/>
      <c r="AK52" s="50">
        <v>20000</v>
      </c>
      <c r="AL52" s="28"/>
      <c r="AM52" s="14"/>
      <c r="AN52" s="29"/>
    </row>
    <row r="53" spans="1:40" ht="15.75" customHeight="1">
      <c r="A53" s="27" t="s">
        <v>92</v>
      </c>
      <c r="B53" s="14">
        <v>6170009</v>
      </c>
      <c r="C53" s="118" t="s">
        <v>616</v>
      </c>
      <c r="D53" s="23">
        <v>20099</v>
      </c>
      <c r="E53" s="17" t="s">
        <v>78</v>
      </c>
      <c r="F53" s="18"/>
      <c r="G53" s="18">
        <f>(D53*2)+(14614)+(9091)</f>
        <v>63903</v>
      </c>
      <c r="H53" s="21" t="e">
        <f>SUM(#REF!)</f>
        <v>#REF!</v>
      </c>
      <c r="I53" s="22" t="e">
        <f>H53/12</f>
        <v>#REF!</v>
      </c>
      <c r="J53" s="20">
        <f>SUMIFS(領用表!$L:$L,領用表!$E:$E,$B53,領用表!$B:$B,J$2&amp;$R$1)</f>
        <v>42079</v>
      </c>
      <c r="K53" s="20">
        <f>SUMIFS(領用表!$L:$L,領用表!$E:$E,$B53,領用表!$B:$B,K$2&amp;$R$1)</f>
        <v>74345</v>
      </c>
      <c r="L53" s="20">
        <f>SUMIFS(領用表!$L:$L,領用表!$E:$E,$B53,領用表!$B:$B,L$2&amp;$R$1)</f>
        <v>68290</v>
      </c>
      <c r="M53" s="142">
        <f>SUMIFS(領用表!$L:$L,領用表!$E:$E,$B53,領用表!$B:$B,M$2&amp;$R$1)</f>
        <v>66570</v>
      </c>
      <c r="N53" s="142">
        <f>SUMIFS(領用表!$L:$L,領用表!$E:$E,$B53,領用表!$B:$B,N$2&amp;$R$1)</f>
        <v>64801</v>
      </c>
      <c r="O53" s="142">
        <f>SUMIFS(領用表!$L:$L,領用表!$E:$E,$B53,領用表!$B:$B,O$2&amp;$R$1)</f>
        <v>91575</v>
      </c>
      <c r="P53" s="23">
        <f t="shared" si="1"/>
        <v>407660</v>
      </c>
      <c r="Q53" s="23">
        <f t="shared" si="2"/>
        <v>58237.142857142855</v>
      </c>
      <c r="R53" s="142">
        <f>SUMIFS(領用表!$L:$L,領用表!$E:$E,$B53,領用表!$B:$B,R$2&amp;$R$1)</f>
        <v>103071</v>
      </c>
      <c r="S53" s="142">
        <f>SUMIFS(領用表!$L:$L,領用表!$E:$E,$B53,領用表!$B:$B,S$2&amp;$R$1)</f>
        <v>82481</v>
      </c>
      <c r="T53" s="142">
        <f>SUMIFS(領用表!$L:$L,領用表!$E:$E,$B53,領用表!$B:$B,T$2&amp;$R$1)</f>
        <v>53432</v>
      </c>
      <c r="U53" s="142">
        <f>SUMIFS(領用表!$L:$L,領用表!$E:$E,$B53,領用表!$B:$B,U$2&amp;$R$1)</f>
        <v>54185</v>
      </c>
      <c r="V53" s="142">
        <f>SUMIFS(領用表!$L:$L,領用表!$E:$E,$B53,領用表!$B:$B,V$2&amp;$R$1)</f>
        <v>52045</v>
      </c>
      <c r="W53" s="142">
        <f>SUMIFS(領用表!$L:$L,領用表!$E:$E,$B53,領用表!$B:$B,W$2&amp;$R$1)</f>
        <v>0</v>
      </c>
      <c r="X53" s="142">
        <f>SUMIFS(領用表!$L:$L,領用表!$E:$E,$B53,領用表!$B:$B,X$2&amp;$R$1)</f>
        <v>0</v>
      </c>
      <c r="Y53" s="142">
        <f>SUMIFS(領用表!$L:$L,領用表!$E:$E,$B53,領用表!$B:$B,Y$2&amp;$R$1)</f>
        <v>0</v>
      </c>
      <c r="Z53" s="142">
        <f>SUMIFS(領用表!$L:$L,領用表!$E:$E,$B53,領用表!$B:$B,Z$2&amp;$R$1)</f>
        <v>0</v>
      </c>
      <c r="AA53" s="142">
        <f>SUMIFS(領用表!$L:$L,領用表!$E:$E,$B53,領用表!$B:$B,AA$2&amp;$R$1)</f>
        <v>0</v>
      </c>
      <c r="AB53" s="142">
        <f>SUMIFS(領用表!$L:$L,領用表!$E:$E,$B53,領用表!$B:$B,AB$2&amp;$R$1)</f>
        <v>0</v>
      </c>
      <c r="AC53" s="142">
        <f>SUMIFS(領用表!$L:$L,領用表!$E:$E,$B53,領用表!$B:$B,AC$2&amp;$R$1)</f>
        <v>0</v>
      </c>
      <c r="AD53" s="142">
        <f t="shared" si="3"/>
        <v>345214</v>
      </c>
      <c r="AE53" s="142">
        <f t="shared" si="4"/>
        <v>69042.8</v>
      </c>
      <c r="AF53" s="142">
        <f>SUMIF(Summary!B:B,B53,Summary!DV:DV)</f>
        <v>100000</v>
      </c>
      <c r="AG53" s="101">
        <v>95000</v>
      </c>
      <c r="AH53" s="478"/>
      <c r="AI53" s="24"/>
      <c r="AJ53" s="54" t="s">
        <v>82</v>
      </c>
      <c r="AK53" s="50">
        <v>20000</v>
      </c>
      <c r="AL53" s="28"/>
      <c r="AM53" s="14"/>
      <c r="AN53" s="29"/>
    </row>
    <row r="54" spans="1:40">
      <c r="A54" s="27" t="s">
        <v>93</v>
      </c>
      <c r="B54" s="14">
        <v>6170011</v>
      </c>
      <c r="C54" s="118" t="s">
        <v>617</v>
      </c>
      <c r="D54" s="23">
        <v>30099</v>
      </c>
      <c r="E54" s="17" t="s">
        <v>78</v>
      </c>
      <c r="F54" s="18"/>
      <c r="G54" s="18">
        <f>(D54*4)+(268)+(12786)</f>
        <v>133450</v>
      </c>
      <c r="H54" s="21" t="e">
        <f>SUM(#REF!)</f>
        <v>#REF!</v>
      </c>
      <c r="I54" s="22" t="e">
        <f>H54/12</f>
        <v>#REF!</v>
      </c>
      <c r="J54" s="20">
        <f>SUMIFS(領用表!$L:$L,領用表!$E:$E,$B54,領用表!$B:$B,J$2&amp;$R$1)</f>
        <v>13307</v>
      </c>
      <c r="K54" s="20">
        <f>SUMIFS(領用表!$L:$L,領用表!$E:$E,$B54,領用表!$B:$B,K$2&amp;$R$1)</f>
        <v>16059</v>
      </c>
      <c r="L54" s="20">
        <f>SUMIFS(領用表!$L:$L,領用表!$E:$E,$B54,領用表!$B:$B,L$2&amp;$R$1)</f>
        <v>20466</v>
      </c>
      <c r="M54" s="142">
        <f>SUMIFS(領用表!$L:$L,領用表!$E:$E,$B54,領用表!$B:$B,M$2&amp;$R$1)</f>
        <v>13796</v>
      </c>
      <c r="N54" s="142">
        <f>SUMIFS(領用表!$L:$L,領用表!$E:$E,$B54,領用表!$B:$B,N$2&amp;$R$1)</f>
        <v>14989</v>
      </c>
      <c r="O54" s="142">
        <f>SUMIFS(領用表!$L:$L,領用表!$E:$E,$B54,領用表!$B:$B,O$2&amp;$R$1)</f>
        <v>20982</v>
      </c>
      <c r="P54" s="23">
        <f t="shared" si="1"/>
        <v>99599</v>
      </c>
      <c r="Q54" s="23">
        <f t="shared" si="2"/>
        <v>14228.428571428571</v>
      </c>
      <c r="R54" s="142">
        <f>SUMIFS(領用表!$L:$L,領用表!$E:$E,$B54,領用表!$B:$B,R$2&amp;$R$1)</f>
        <v>16022</v>
      </c>
      <c r="S54" s="142">
        <f>SUMIFS(領用表!$L:$L,領用表!$E:$E,$B54,領用表!$B:$B,S$2&amp;$R$1)</f>
        <v>15875</v>
      </c>
      <c r="T54" s="142">
        <f>SUMIFS(領用表!$L:$L,領用表!$E:$E,$B54,領用表!$B:$B,T$2&amp;$R$1)</f>
        <v>12803</v>
      </c>
      <c r="U54" s="142">
        <f>SUMIFS(領用表!$L:$L,領用表!$E:$E,$B54,領用表!$B:$B,U$2&amp;$R$1)</f>
        <v>11920</v>
      </c>
      <c r="V54" s="142">
        <f>SUMIFS(領用表!$L:$L,領用表!$E:$E,$B54,領用表!$B:$B,V$2&amp;$R$1)</f>
        <v>13375</v>
      </c>
      <c r="W54" s="142">
        <f>SUMIFS(領用表!$L:$L,領用表!$E:$E,$B54,領用表!$B:$B,W$2&amp;$R$1)</f>
        <v>0</v>
      </c>
      <c r="X54" s="142">
        <f>SUMIFS(領用表!$L:$L,領用表!$E:$E,$B54,領用表!$B:$B,X$2&amp;$R$1)</f>
        <v>0</v>
      </c>
      <c r="Y54" s="142">
        <f>SUMIFS(領用表!$L:$L,領用表!$E:$E,$B54,領用表!$B:$B,Y$2&amp;$R$1)</f>
        <v>0</v>
      </c>
      <c r="Z54" s="142">
        <f>SUMIFS(領用表!$L:$L,領用表!$E:$E,$B54,領用表!$B:$B,Z$2&amp;$R$1)</f>
        <v>0</v>
      </c>
      <c r="AA54" s="142">
        <f>SUMIFS(領用表!$L:$L,領用表!$E:$E,$B54,領用表!$B:$B,AA$2&amp;$R$1)</f>
        <v>0</v>
      </c>
      <c r="AB54" s="142">
        <f>SUMIFS(領用表!$L:$L,領用表!$E:$E,$B54,領用表!$B:$B,AB$2&amp;$R$1)</f>
        <v>0</v>
      </c>
      <c r="AC54" s="142">
        <f>SUMIFS(領用表!$L:$L,領用表!$E:$E,$B54,領用表!$B:$B,AC$2&amp;$R$1)</f>
        <v>0</v>
      </c>
      <c r="AD54" s="142">
        <f t="shared" si="3"/>
        <v>69995</v>
      </c>
      <c r="AE54" s="142">
        <f t="shared" si="4"/>
        <v>13999</v>
      </c>
      <c r="AF54" s="142">
        <f>SUMIF(Summary!B:B,B54,Summary!DV:DV)</f>
        <v>18000</v>
      </c>
      <c r="AG54" s="101">
        <v>35000</v>
      </c>
      <c r="AH54" s="479"/>
      <c r="AI54" s="24"/>
      <c r="AJ54" s="54" t="s">
        <v>94</v>
      </c>
      <c r="AK54" s="50">
        <v>30000</v>
      </c>
      <c r="AL54" s="28"/>
      <c r="AM54" s="14"/>
      <c r="AN54" s="29"/>
    </row>
    <row r="55" spans="1:40" ht="15.75" customHeight="1">
      <c r="A55" s="27" t="s">
        <v>95</v>
      </c>
      <c r="B55" s="14">
        <v>6170019</v>
      </c>
      <c r="C55" s="133" t="s">
        <v>490</v>
      </c>
      <c r="D55" s="23">
        <v>20099</v>
      </c>
      <c r="E55" s="17" t="s">
        <v>78</v>
      </c>
      <c r="F55" s="44"/>
      <c r="G55" s="18">
        <f>(D55*1)+(17125)+(17957)+(11318)</f>
        <v>66499</v>
      </c>
      <c r="H55" s="21" t="s">
        <v>49</v>
      </c>
      <c r="I55" s="22" t="s">
        <v>49</v>
      </c>
      <c r="J55" s="20">
        <f>SUMIFS(領用表!$L:$L,領用表!$E:$E,$B55,領用表!$B:$B,J$2&amp;$R$1)</f>
        <v>1802</v>
      </c>
      <c r="K55" s="20">
        <f>SUMIFS(領用表!$L:$L,領用表!$E:$E,$B55,領用表!$B:$B,K$2&amp;$R$1)</f>
        <v>2898</v>
      </c>
      <c r="L55" s="20">
        <f>SUMIFS(領用表!$L:$L,領用表!$E:$E,$B55,領用表!$B:$B,L$2&amp;$R$1)</f>
        <v>2636</v>
      </c>
      <c r="M55" s="142">
        <f>SUMIFS(領用表!$L:$L,領用表!$E:$E,$B55,領用表!$B:$B,M$2&amp;$R$1)</f>
        <v>11549</v>
      </c>
      <c r="N55" s="142">
        <f>SUMIFS(領用表!$L:$L,領用表!$E:$E,$B55,領用表!$B:$B,N$2&amp;$R$1)</f>
        <v>6738</v>
      </c>
      <c r="O55" s="142">
        <f>SUMIFS(領用表!$L:$L,領用表!$E:$E,$B55,領用表!$B:$B,O$2&amp;$R$1)</f>
        <v>4003</v>
      </c>
      <c r="P55" s="23">
        <f t="shared" si="1"/>
        <v>29626</v>
      </c>
      <c r="Q55" s="23">
        <f t="shared" si="2"/>
        <v>4232.2857142857147</v>
      </c>
      <c r="R55" s="142">
        <f>SUMIFS(領用表!$L:$L,領用表!$E:$E,$B55,領用表!$B:$B,R$2&amp;$R$1)</f>
        <v>5676</v>
      </c>
      <c r="S55" s="142">
        <f>SUMIFS(領用表!$L:$L,領用表!$E:$E,$B55,領用表!$B:$B,S$2&amp;$R$1)</f>
        <v>5413</v>
      </c>
      <c r="T55" s="142">
        <f>SUMIFS(領用表!$L:$L,領用表!$E:$E,$B55,領用表!$B:$B,T$2&amp;$R$1)</f>
        <v>5009</v>
      </c>
      <c r="U55" s="142">
        <f>SUMIFS(領用表!$L:$L,領用表!$E:$E,$B55,領用表!$B:$B,U$2&amp;$R$1)</f>
        <v>4305</v>
      </c>
      <c r="V55" s="142">
        <f>SUMIFS(領用表!$L:$L,領用表!$E:$E,$B55,領用表!$B:$B,V$2&amp;$R$1)</f>
        <v>3921</v>
      </c>
      <c r="W55" s="142">
        <f>SUMIFS(領用表!$L:$L,領用表!$E:$E,$B55,領用表!$B:$B,W$2&amp;$R$1)</f>
        <v>0</v>
      </c>
      <c r="X55" s="142">
        <f>SUMIFS(領用表!$L:$L,領用表!$E:$E,$B55,領用表!$B:$B,X$2&amp;$R$1)</f>
        <v>0</v>
      </c>
      <c r="Y55" s="142">
        <f>SUMIFS(領用表!$L:$L,領用表!$E:$E,$B55,領用表!$B:$B,Y$2&amp;$R$1)</f>
        <v>0</v>
      </c>
      <c r="Z55" s="142">
        <f>SUMIFS(領用表!$L:$L,領用表!$E:$E,$B55,領用表!$B:$B,Z$2&amp;$R$1)</f>
        <v>0</v>
      </c>
      <c r="AA55" s="142">
        <f>SUMIFS(領用表!$L:$L,領用表!$E:$E,$B55,領用表!$B:$B,AA$2&amp;$R$1)</f>
        <v>0</v>
      </c>
      <c r="AB55" s="142">
        <f>SUMIFS(領用表!$L:$L,領用表!$E:$E,$B55,領用表!$B:$B,AB$2&amp;$R$1)</f>
        <v>0</v>
      </c>
      <c r="AC55" s="142">
        <f>SUMIFS(領用表!$L:$L,領用表!$E:$E,$B55,領用表!$B:$B,AC$2&amp;$R$1)</f>
        <v>0</v>
      </c>
      <c r="AD55" s="142">
        <f t="shared" si="3"/>
        <v>24324</v>
      </c>
      <c r="AE55" s="142">
        <f t="shared" si="4"/>
        <v>4864.8</v>
      </c>
      <c r="AF55" s="142">
        <f>SUMIF(Summary!B:B,B55,Summary!DV:DV)</f>
        <v>5000</v>
      </c>
      <c r="AG55" s="101">
        <v>2800</v>
      </c>
      <c r="AH55" s="477">
        <v>0</v>
      </c>
      <c r="AI55" s="24"/>
      <c r="AJ55" s="53"/>
      <c r="AK55" s="50" t="s">
        <v>96</v>
      </c>
      <c r="AL55" s="28"/>
      <c r="AM55" s="14"/>
      <c r="AN55" s="29"/>
    </row>
    <row r="56" spans="1:40" ht="15.75" customHeight="1">
      <c r="A56" s="27" t="s">
        <v>97</v>
      </c>
      <c r="B56" s="14">
        <v>6170020</v>
      </c>
      <c r="C56" s="133" t="s">
        <v>491</v>
      </c>
      <c r="D56" s="23">
        <v>20099</v>
      </c>
      <c r="E56" s="17" t="s">
        <v>78</v>
      </c>
      <c r="F56" s="18"/>
      <c r="G56" s="18">
        <f>(D56*3)+(15859)+(8862)+(12518)</f>
        <v>97536</v>
      </c>
      <c r="H56" s="21" t="s">
        <v>49</v>
      </c>
      <c r="I56" s="22" t="s">
        <v>49</v>
      </c>
      <c r="J56" s="20">
        <f>SUMIFS(領用表!$L:$L,領用表!$E:$E,$B56,領用表!$B:$B,J$2&amp;$R$1)</f>
        <v>4880</v>
      </c>
      <c r="K56" s="20">
        <f>SUMIFS(領用表!$L:$L,領用表!$E:$E,$B56,領用表!$B:$B,K$2&amp;$R$1)</f>
        <v>10261</v>
      </c>
      <c r="L56" s="20">
        <f>SUMIFS(領用表!$L:$L,領用表!$E:$E,$B56,領用表!$B:$B,L$2&amp;$R$1)</f>
        <v>5810</v>
      </c>
      <c r="M56" s="142">
        <f>SUMIFS(領用表!$L:$L,領用表!$E:$E,$B56,領用表!$B:$B,M$2&amp;$R$1)</f>
        <v>21823</v>
      </c>
      <c r="N56" s="142">
        <f>SUMIFS(領用表!$L:$L,領用表!$E:$E,$B56,領用表!$B:$B,N$2&amp;$R$1)</f>
        <v>16240</v>
      </c>
      <c r="O56" s="142">
        <f>SUMIFS(領用表!$L:$L,領用表!$E:$E,$B56,領用表!$B:$B,O$2&amp;$R$1)</f>
        <v>17347</v>
      </c>
      <c r="P56" s="23">
        <f t="shared" si="1"/>
        <v>76361</v>
      </c>
      <c r="Q56" s="23">
        <f t="shared" si="2"/>
        <v>10908.714285714286</v>
      </c>
      <c r="R56" s="142">
        <f>SUMIFS(領用表!$L:$L,領用表!$E:$E,$B56,領用表!$B:$B,R$2&amp;$R$1)</f>
        <v>17199</v>
      </c>
      <c r="S56" s="142">
        <f>SUMIFS(領用表!$L:$L,領用表!$E:$E,$B56,領用表!$B:$B,S$2&amp;$R$1)</f>
        <v>11582</v>
      </c>
      <c r="T56" s="142">
        <f>SUMIFS(領用表!$L:$L,領用表!$E:$E,$B56,領用表!$B:$B,T$2&amp;$R$1)</f>
        <v>12517</v>
      </c>
      <c r="U56" s="142">
        <f>SUMIFS(領用表!$L:$L,領用表!$E:$E,$B56,領用表!$B:$B,U$2&amp;$R$1)</f>
        <v>11835</v>
      </c>
      <c r="V56" s="142">
        <f>SUMIFS(領用表!$L:$L,領用表!$E:$E,$B56,領用表!$B:$B,V$2&amp;$R$1)</f>
        <v>11742</v>
      </c>
      <c r="W56" s="142">
        <f>SUMIFS(領用表!$L:$L,領用表!$E:$E,$B56,領用表!$B:$B,W$2&amp;$R$1)</f>
        <v>0</v>
      </c>
      <c r="X56" s="142">
        <f>SUMIFS(領用表!$L:$L,領用表!$E:$E,$B56,領用表!$B:$B,X$2&amp;$R$1)</f>
        <v>0</v>
      </c>
      <c r="Y56" s="142">
        <f>SUMIFS(領用表!$L:$L,領用表!$E:$E,$B56,領用表!$B:$B,Y$2&amp;$R$1)</f>
        <v>0</v>
      </c>
      <c r="Z56" s="142">
        <f>SUMIFS(領用表!$L:$L,領用表!$E:$E,$B56,領用表!$B:$B,Z$2&amp;$R$1)</f>
        <v>0</v>
      </c>
      <c r="AA56" s="142">
        <f>SUMIFS(領用表!$L:$L,領用表!$E:$E,$B56,領用表!$B:$B,AA$2&amp;$R$1)</f>
        <v>0</v>
      </c>
      <c r="AB56" s="142">
        <f>SUMIFS(領用表!$L:$L,領用表!$E:$E,$B56,領用表!$B:$B,AB$2&amp;$R$1)</f>
        <v>0</v>
      </c>
      <c r="AC56" s="142">
        <f>SUMIFS(領用表!$L:$L,領用表!$E:$E,$B56,領用表!$B:$B,AC$2&amp;$R$1)</f>
        <v>0</v>
      </c>
      <c r="AD56" s="142">
        <f t="shared" si="3"/>
        <v>64875</v>
      </c>
      <c r="AE56" s="142">
        <f t="shared" si="4"/>
        <v>12975</v>
      </c>
      <c r="AF56" s="142">
        <f>SUMIF(Summary!B:B,B56,Summary!DV:DV)</f>
        <v>17000</v>
      </c>
      <c r="AG56" s="101">
        <v>7000</v>
      </c>
      <c r="AH56" s="478"/>
      <c r="AI56" s="24"/>
      <c r="AJ56" s="53"/>
      <c r="AK56" s="50" t="s">
        <v>96</v>
      </c>
      <c r="AL56" s="28"/>
      <c r="AM56" s="14"/>
      <c r="AN56" s="29"/>
    </row>
    <row r="57" spans="1:40" ht="15.75" customHeight="1">
      <c r="A57" s="27" t="s">
        <v>98</v>
      </c>
      <c r="B57" s="14">
        <v>6170021</v>
      </c>
      <c r="C57" s="133" t="s">
        <v>492</v>
      </c>
      <c r="D57" s="23">
        <v>20099</v>
      </c>
      <c r="E57" s="17" t="s">
        <v>78</v>
      </c>
      <c r="F57" s="44"/>
      <c r="G57" s="18">
        <f>(D57*1)+(17011)+(4519)+(19955)</f>
        <v>61584</v>
      </c>
      <c r="H57" s="21" t="s">
        <v>49</v>
      </c>
      <c r="I57" s="22" t="s">
        <v>49</v>
      </c>
      <c r="J57" s="20">
        <f>SUMIFS(領用表!$L:$L,領用表!$E:$E,$B57,領用表!$B:$B,J$2&amp;$R$1)</f>
        <v>11389</v>
      </c>
      <c r="K57" s="20">
        <f>SUMIFS(領用表!$L:$L,領用表!$E:$E,$B57,領用表!$B:$B,K$2&amp;$R$1)</f>
        <v>21577</v>
      </c>
      <c r="L57" s="20">
        <f>SUMIFS(領用表!$L:$L,領用表!$E:$E,$B57,領用表!$B:$B,L$2&amp;$R$1)</f>
        <v>15282</v>
      </c>
      <c r="M57" s="142">
        <f>SUMIFS(領用表!$L:$L,領用表!$E:$E,$B57,領用表!$B:$B,M$2&amp;$R$1)</f>
        <v>44022</v>
      </c>
      <c r="N57" s="142">
        <f>SUMIFS(領用表!$L:$L,領用表!$E:$E,$B57,領用表!$B:$B,N$2&amp;$R$1)</f>
        <v>40235</v>
      </c>
      <c r="O57" s="142">
        <f>SUMIFS(領用表!$L:$L,領用表!$E:$E,$B57,領用表!$B:$B,O$2&amp;$R$1)</f>
        <v>36456</v>
      </c>
      <c r="P57" s="23">
        <f t="shared" si="1"/>
        <v>168961</v>
      </c>
      <c r="Q57" s="23">
        <f t="shared" si="2"/>
        <v>24137.285714285714</v>
      </c>
      <c r="R57" s="142">
        <f>SUMIFS(領用表!$L:$L,領用表!$E:$E,$B57,領用表!$B:$B,R$2&amp;$R$1)</f>
        <v>39965</v>
      </c>
      <c r="S57" s="142">
        <f>SUMIFS(領用表!$L:$L,領用表!$E:$E,$B57,領用表!$B:$B,S$2&amp;$R$1)</f>
        <v>26419</v>
      </c>
      <c r="T57" s="142">
        <f>SUMIFS(領用表!$L:$L,領用表!$E:$E,$B57,領用表!$B:$B,T$2&amp;$R$1)</f>
        <v>23376</v>
      </c>
      <c r="U57" s="142">
        <f>SUMIFS(領用表!$L:$L,領用表!$E:$E,$B57,領用表!$B:$B,U$2&amp;$R$1)</f>
        <v>25519</v>
      </c>
      <c r="V57" s="142">
        <f>SUMIFS(領用表!$L:$L,領用表!$E:$E,$B57,領用表!$B:$B,V$2&amp;$R$1)</f>
        <v>29115</v>
      </c>
      <c r="W57" s="142">
        <f>SUMIFS(領用表!$L:$L,領用表!$E:$E,$B57,領用表!$B:$B,W$2&amp;$R$1)</f>
        <v>0</v>
      </c>
      <c r="X57" s="142">
        <f>SUMIFS(領用表!$L:$L,領用表!$E:$E,$B57,領用表!$B:$B,X$2&amp;$R$1)</f>
        <v>0</v>
      </c>
      <c r="Y57" s="142">
        <f>SUMIFS(領用表!$L:$L,領用表!$E:$E,$B57,領用表!$B:$B,Y$2&amp;$R$1)</f>
        <v>0</v>
      </c>
      <c r="Z57" s="142">
        <f>SUMIFS(領用表!$L:$L,領用表!$E:$E,$B57,領用表!$B:$B,Z$2&amp;$R$1)</f>
        <v>0</v>
      </c>
      <c r="AA57" s="142">
        <f>SUMIFS(領用表!$L:$L,領用表!$E:$E,$B57,領用表!$B:$B,AA$2&amp;$R$1)</f>
        <v>0</v>
      </c>
      <c r="AB57" s="142">
        <f>SUMIFS(領用表!$L:$L,領用表!$E:$E,$B57,領用表!$B:$B,AB$2&amp;$R$1)</f>
        <v>0</v>
      </c>
      <c r="AC57" s="142">
        <f>SUMIFS(領用表!$L:$L,領用表!$E:$E,$B57,領用表!$B:$B,AC$2&amp;$R$1)</f>
        <v>0</v>
      </c>
      <c r="AD57" s="142">
        <f t="shared" si="3"/>
        <v>144394</v>
      </c>
      <c r="AE57" s="142">
        <f t="shared" si="4"/>
        <v>28878.799999999999</v>
      </c>
      <c r="AF57" s="142">
        <f>SUMIF(Summary!B:B,B57,Summary!DV:DV)</f>
        <v>40000</v>
      </c>
      <c r="AG57" s="101">
        <v>18000</v>
      </c>
      <c r="AH57" s="478"/>
      <c r="AI57" s="24"/>
      <c r="AJ57" s="54" t="s">
        <v>83</v>
      </c>
      <c r="AK57" s="50" t="s">
        <v>96</v>
      </c>
      <c r="AL57" s="28"/>
      <c r="AM57" s="14"/>
      <c r="AN57" s="29"/>
    </row>
    <row r="58" spans="1:40" ht="15.75" customHeight="1">
      <c r="A58" s="27" t="s">
        <v>99</v>
      </c>
      <c r="B58" s="14">
        <v>6170022</v>
      </c>
      <c r="C58" s="133" t="s">
        <v>493</v>
      </c>
      <c r="D58" s="23">
        <v>20099</v>
      </c>
      <c r="E58" s="17" t="s">
        <v>78</v>
      </c>
      <c r="F58" s="44"/>
      <c r="G58" s="18">
        <f>(D58*1)+(17971)+(19156)+(579)</f>
        <v>57805</v>
      </c>
      <c r="H58" s="21" t="s">
        <v>49</v>
      </c>
      <c r="I58" s="22" t="s">
        <v>49</v>
      </c>
      <c r="J58" s="20">
        <f>SUMIFS(領用表!$L:$L,領用表!$E:$E,$B58,領用表!$B:$B,J$2&amp;$R$1)</f>
        <v>4631</v>
      </c>
      <c r="K58" s="20">
        <f>SUMIFS(領用表!$L:$L,領用表!$E:$E,$B58,領用表!$B:$B,K$2&amp;$R$1)</f>
        <v>7968</v>
      </c>
      <c r="L58" s="20">
        <f>SUMIFS(領用表!$L:$L,領用表!$E:$E,$B58,領用表!$B:$B,L$2&amp;$R$1)</f>
        <v>5164</v>
      </c>
      <c r="M58" s="142">
        <f>SUMIFS(領用表!$L:$L,領用表!$E:$E,$B58,領用表!$B:$B,M$2&amp;$R$1)</f>
        <v>16767</v>
      </c>
      <c r="N58" s="142">
        <f>SUMIFS(領用表!$L:$L,領用表!$E:$E,$B58,領用表!$B:$B,N$2&amp;$R$1)</f>
        <v>15489</v>
      </c>
      <c r="O58" s="142">
        <f>SUMIFS(領用表!$L:$L,領用表!$E:$E,$B58,領用表!$B:$B,O$2&amp;$R$1)</f>
        <v>11716</v>
      </c>
      <c r="P58" s="23">
        <f t="shared" si="1"/>
        <v>61735</v>
      </c>
      <c r="Q58" s="23">
        <f t="shared" si="2"/>
        <v>8819.2857142857138</v>
      </c>
      <c r="R58" s="142">
        <f>SUMIFS(領用表!$L:$L,領用表!$E:$E,$B58,領用表!$B:$B,R$2&amp;$R$1)</f>
        <v>12914</v>
      </c>
      <c r="S58" s="142">
        <f>SUMIFS(領用表!$L:$L,領用表!$E:$E,$B58,領用表!$B:$B,S$2&amp;$R$1)</f>
        <v>9150</v>
      </c>
      <c r="T58" s="142">
        <f>SUMIFS(領用表!$L:$L,領用表!$E:$E,$B58,領用表!$B:$B,T$2&amp;$R$1)</f>
        <v>7404</v>
      </c>
      <c r="U58" s="142">
        <f>SUMIFS(領用表!$L:$L,領用表!$E:$E,$B58,領用表!$B:$B,U$2&amp;$R$1)</f>
        <v>6703</v>
      </c>
      <c r="V58" s="142">
        <f>SUMIFS(領用表!$L:$L,領用表!$E:$E,$B58,領用表!$B:$B,V$2&amp;$R$1)</f>
        <v>12148</v>
      </c>
      <c r="W58" s="142">
        <f>SUMIFS(領用表!$L:$L,領用表!$E:$E,$B58,領用表!$B:$B,W$2&amp;$R$1)</f>
        <v>0</v>
      </c>
      <c r="X58" s="142">
        <f>SUMIFS(領用表!$L:$L,領用表!$E:$E,$B58,領用表!$B:$B,X$2&amp;$R$1)</f>
        <v>0</v>
      </c>
      <c r="Y58" s="142">
        <f>SUMIFS(領用表!$L:$L,領用表!$E:$E,$B58,領用表!$B:$B,Y$2&amp;$R$1)</f>
        <v>0</v>
      </c>
      <c r="Z58" s="142">
        <f>SUMIFS(領用表!$L:$L,領用表!$E:$E,$B58,領用表!$B:$B,Z$2&amp;$R$1)</f>
        <v>0</v>
      </c>
      <c r="AA58" s="142">
        <f>SUMIFS(領用表!$L:$L,領用表!$E:$E,$B58,領用表!$B:$B,AA$2&amp;$R$1)</f>
        <v>0</v>
      </c>
      <c r="AB58" s="142">
        <f>SUMIFS(領用表!$L:$L,領用表!$E:$E,$B58,領用表!$B:$B,AB$2&amp;$R$1)</f>
        <v>0</v>
      </c>
      <c r="AC58" s="142">
        <f>SUMIFS(領用表!$L:$L,領用表!$E:$E,$B58,領用表!$B:$B,AC$2&amp;$R$1)</f>
        <v>0</v>
      </c>
      <c r="AD58" s="142">
        <f t="shared" si="3"/>
        <v>48319</v>
      </c>
      <c r="AE58" s="142">
        <f t="shared" si="4"/>
        <v>9663.7999999999993</v>
      </c>
      <c r="AF58" s="142">
        <f>SUMIF(Summary!B:B,B58,Summary!DV:DV)</f>
        <v>12000</v>
      </c>
      <c r="AG58" s="101">
        <v>7000</v>
      </c>
      <c r="AH58" s="478"/>
      <c r="AI58" s="24"/>
      <c r="AJ58" s="53"/>
      <c r="AK58" s="50" t="s">
        <v>96</v>
      </c>
      <c r="AL58" s="28"/>
      <c r="AM58" s="14"/>
      <c r="AN58" s="29"/>
    </row>
    <row r="59" spans="1:40" ht="15.75" customHeight="1">
      <c r="A59" s="27" t="s">
        <v>100</v>
      </c>
      <c r="B59" s="14">
        <v>6170025</v>
      </c>
      <c r="C59" s="407" t="s">
        <v>862</v>
      </c>
      <c r="D59" s="23">
        <v>20099</v>
      </c>
      <c r="E59" s="17" t="s">
        <v>78</v>
      </c>
      <c r="F59" s="18"/>
      <c r="G59" s="18">
        <f>(D59*1)+16191+19999</f>
        <v>56289</v>
      </c>
      <c r="H59" s="21" t="s">
        <v>49</v>
      </c>
      <c r="I59" s="22" t="s">
        <v>49</v>
      </c>
      <c r="J59" s="20">
        <f>SUMIFS(領用表!$L:$L,領用表!$E:$E,$B59,領用表!$B:$B,J$2&amp;$R$1)</f>
        <v>0</v>
      </c>
      <c r="K59" s="20">
        <f>SUMIFS(領用表!$L:$L,領用表!$E:$E,$B59,領用表!$B:$B,K$2&amp;$R$1)</f>
        <v>0</v>
      </c>
      <c r="L59" s="20">
        <f>SUMIFS(領用表!$L:$L,領用表!$E:$E,$B59,領用表!$B:$B,L$2&amp;$R$1)</f>
        <v>0</v>
      </c>
      <c r="M59" s="142">
        <f>SUMIFS(領用表!$L:$L,領用表!$E:$E,$B59,領用表!$B:$B,M$2&amp;$R$1)</f>
        <v>0</v>
      </c>
      <c r="N59" s="142">
        <f>SUMIFS(領用表!$L:$L,領用表!$E:$E,$B59,領用表!$B:$B,N$2&amp;$R$1)</f>
        <v>0</v>
      </c>
      <c r="O59" s="142">
        <f>SUMIFS(領用表!$L:$L,領用表!$E:$E,$B59,領用表!$B:$B,O$2&amp;$R$1)</f>
        <v>600</v>
      </c>
      <c r="P59" s="23">
        <f t="shared" si="1"/>
        <v>600</v>
      </c>
      <c r="Q59" s="23">
        <f t="shared" si="2"/>
        <v>85.714285714285708</v>
      </c>
      <c r="R59" s="142">
        <f>SUMIFS(領用表!$L:$L,領用表!$E:$E,$B59,領用表!$B:$B,R$2&amp;$R$1)</f>
        <v>0</v>
      </c>
      <c r="S59" s="142">
        <f>SUMIFS(領用表!$L:$L,領用表!$E:$E,$B59,領用表!$B:$B,S$2&amp;$R$1)</f>
        <v>137</v>
      </c>
      <c r="T59" s="142">
        <f>SUMIFS(領用表!$L:$L,領用表!$E:$E,$B59,領用表!$B:$B,T$2&amp;$R$1)</f>
        <v>0</v>
      </c>
      <c r="U59" s="142">
        <f>SUMIFS(領用表!$L:$L,領用表!$E:$E,$B59,領用表!$B:$B,U$2&amp;$R$1)</f>
        <v>0</v>
      </c>
      <c r="V59" s="142">
        <f>SUMIFS(領用表!$L:$L,領用表!$E:$E,$B59,領用表!$B:$B,V$2&amp;$R$1)</f>
        <v>3447</v>
      </c>
      <c r="W59" s="142">
        <f>SUMIFS(領用表!$L:$L,領用表!$E:$E,$B59,領用表!$B:$B,W$2&amp;$R$1)</f>
        <v>0</v>
      </c>
      <c r="X59" s="142">
        <f>SUMIFS(領用表!$L:$L,領用表!$E:$E,$B59,領用表!$B:$B,X$2&amp;$R$1)</f>
        <v>0</v>
      </c>
      <c r="Y59" s="142">
        <f>SUMIFS(領用表!$L:$L,領用表!$E:$E,$B59,領用表!$B:$B,Y$2&amp;$R$1)</f>
        <v>0</v>
      </c>
      <c r="Z59" s="142">
        <f>SUMIFS(領用表!$L:$L,領用表!$E:$E,$B59,領用表!$B:$B,Z$2&amp;$R$1)</f>
        <v>0</v>
      </c>
      <c r="AA59" s="142">
        <f>SUMIFS(領用表!$L:$L,領用表!$E:$E,$B59,領用表!$B:$B,AA$2&amp;$R$1)</f>
        <v>0</v>
      </c>
      <c r="AB59" s="142">
        <f>SUMIFS(領用表!$L:$L,領用表!$E:$E,$B59,領用表!$B:$B,AB$2&amp;$R$1)</f>
        <v>0</v>
      </c>
      <c r="AC59" s="142">
        <f>SUMIFS(領用表!$L:$L,領用表!$E:$E,$B59,領用表!$B:$B,AC$2&amp;$R$1)</f>
        <v>0</v>
      </c>
      <c r="AD59" s="142">
        <f t="shared" si="3"/>
        <v>3584</v>
      </c>
      <c r="AE59" s="142">
        <f t="shared" si="4"/>
        <v>716.8</v>
      </c>
      <c r="AF59" s="142">
        <f>SUMIF(Summary!B:B,B59,Summary!DV:DV)</f>
        <v>0</v>
      </c>
      <c r="AG59" s="101">
        <v>180</v>
      </c>
      <c r="AH59" s="479"/>
      <c r="AI59" s="24"/>
      <c r="AJ59" s="54"/>
      <c r="AK59" s="50" t="s">
        <v>96</v>
      </c>
      <c r="AL59" s="28"/>
      <c r="AM59" s="14"/>
      <c r="AN59" s="29"/>
    </row>
    <row r="60" spans="1:40" ht="15.75" hidden="1" customHeight="1">
      <c r="A60" s="27" t="s">
        <v>108</v>
      </c>
      <c r="B60" s="14" t="e">
        <v>#N/A</v>
      </c>
      <c r="C60" s="133" t="s">
        <v>496</v>
      </c>
      <c r="D60" s="40">
        <v>150000</v>
      </c>
      <c r="E60" s="59" t="s">
        <v>78</v>
      </c>
      <c r="F60" s="60"/>
      <c r="G60" s="18"/>
      <c r="H60" s="40" t="e">
        <f>SUM(#REF!)</f>
        <v>#REF!</v>
      </c>
      <c r="I60" s="41" t="e">
        <f>H60/12</f>
        <v>#REF!</v>
      </c>
      <c r="J60" s="39">
        <f>SUMIFS(領用表!$L:$L,領用表!$E:$E,$B60,領用表!$B:$B,J$2&amp;$R$1)</f>
        <v>0</v>
      </c>
      <c r="K60" s="39">
        <f>SUMIFS(領用表!$L:$L,領用表!$E:$E,$B60,領用表!$B:$B,K$2&amp;$R$1)</f>
        <v>0</v>
      </c>
      <c r="L60" s="39">
        <f>SUMIFS(領用表!$L:$L,領用表!$E:$E,$B60,領用表!$B:$B,L$2&amp;$R$1)</f>
        <v>0</v>
      </c>
      <c r="M60" s="142">
        <f>SUMIFS(領用表!$L:$L,領用表!$E:$E,$B60,領用表!$B:$B,M$2&amp;$R$1)</f>
        <v>0</v>
      </c>
      <c r="N60" s="142">
        <f>SUMIFS(領用表!$L:$L,領用表!$E:$E,$B60,領用表!$B:$B,N$2&amp;$R$1)</f>
        <v>0</v>
      </c>
      <c r="O60" s="142">
        <f>SUMIFS(領用表!$L:$L,領用表!$E:$E,$B60,領用表!$B:$B,O$2&amp;$R$1)</f>
        <v>0</v>
      </c>
      <c r="P60" s="42">
        <f t="shared" si="1"/>
        <v>0</v>
      </c>
      <c r="Q60" s="42">
        <f t="shared" si="2"/>
        <v>0</v>
      </c>
      <c r="R60" s="142">
        <f>SUMIFS(領用表!$L:$L,領用表!$E:$E,$B60,領用表!$B:$B,R$2&amp;$R$1)</f>
        <v>0</v>
      </c>
      <c r="S60" s="142">
        <f>SUMIFS(領用表!$L:$L,領用表!$E:$E,$B60,領用表!$B:$B,S$2&amp;$R$1)</f>
        <v>0</v>
      </c>
      <c r="T60" s="142">
        <f>SUMIFS(領用表!$L:$L,領用表!$E:$E,$B60,領用表!$B:$B,T$2&amp;$R$1)</f>
        <v>0</v>
      </c>
      <c r="U60" s="142">
        <f>SUMIFS(領用表!$L:$L,領用表!$E:$E,$B60,領用表!$B:$B,U$2&amp;$R$1)</f>
        <v>0</v>
      </c>
      <c r="V60" s="142">
        <f>SUMIFS(領用表!$L:$L,領用表!$E:$E,$B60,領用表!$B:$B,V$2&amp;$R$1)</f>
        <v>0</v>
      </c>
      <c r="W60" s="142">
        <f>SUMIFS(領用表!$L:$L,領用表!$E:$E,$B60,領用表!$B:$B,W$2&amp;$R$1)</f>
        <v>0</v>
      </c>
      <c r="X60" s="142">
        <f>SUMIFS(領用表!$L:$L,領用表!$E:$E,$B60,領用表!$B:$B,X$2&amp;$R$1)</f>
        <v>0</v>
      </c>
      <c r="Y60" s="142">
        <f>SUMIFS(領用表!$L:$L,領用表!$E:$E,$B60,領用表!$B:$B,Y$2&amp;$R$1)</f>
        <v>0</v>
      </c>
      <c r="Z60" s="142">
        <f>SUMIFS(領用表!$L:$L,領用表!$E:$E,$B60,領用表!$B:$B,Z$2&amp;$R$1)</f>
        <v>0</v>
      </c>
      <c r="AA60" s="142">
        <f>SUMIFS(領用表!$L:$L,領用表!$E:$E,$B60,領用表!$B:$B,AA$2&amp;$R$1)</f>
        <v>0</v>
      </c>
      <c r="AB60" s="142">
        <f>SUMIFS(領用表!$L:$L,領用表!$E:$E,$B60,領用表!$B:$B,AB$2&amp;$R$1)</f>
        <v>0</v>
      </c>
      <c r="AC60" s="142">
        <f>SUMIFS(領用表!$L:$L,領用表!$E:$E,$B60,領用表!$B:$B,AC$2&amp;$R$1)</f>
        <v>0</v>
      </c>
      <c r="AD60" s="142">
        <f t="shared" si="3"/>
        <v>0</v>
      </c>
      <c r="AE60" s="142">
        <f t="shared" si="4"/>
        <v>0</v>
      </c>
      <c r="AF60" s="142">
        <f>SUMIF(Summary!B:B,B60,Summary!DV:DV)</f>
        <v>0</v>
      </c>
      <c r="AG60" s="106"/>
      <c r="AH60" s="61"/>
      <c r="AI60" s="40"/>
      <c r="AJ60" s="40"/>
      <c r="AK60" s="51" t="s">
        <v>109</v>
      </c>
      <c r="AL60" s="62"/>
      <c r="AM60" s="14"/>
      <c r="AN60" s="29"/>
    </row>
    <row r="61" spans="1:40" ht="15.75" hidden="1" customHeight="1">
      <c r="A61" s="27" t="s">
        <v>110</v>
      </c>
      <c r="B61" s="14" t="e">
        <v>#N/A</v>
      </c>
      <c r="C61" s="133" t="s">
        <v>497</v>
      </c>
      <c r="D61" s="40">
        <v>150000</v>
      </c>
      <c r="E61" s="59" t="s">
        <v>78</v>
      </c>
      <c r="F61" s="60"/>
      <c r="G61" s="18"/>
      <c r="H61" s="40" t="e">
        <f>SUM(#REF!)</f>
        <v>#REF!</v>
      </c>
      <c r="I61" s="41" t="e">
        <f>H61/12</f>
        <v>#REF!</v>
      </c>
      <c r="J61" s="39">
        <f>SUMIFS(領用表!$L:$L,領用表!$E:$E,$B61,領用表!$B:$B,J$2&amp;$R$1)</f>
        <v>0</v>
      </c>
      <c r="K61" s="39">
        <f>SUMIFS(領用表!$L:$L,領用表!$E:$E,$B61,領用表!$B:$B,K$2&amp;$R$1)</f>
        <v>0</v>
      </c>
      <c r="L61" s="39">
        <f>SUMIFS(領用表!$L:$L,領用表!$E:$E,$B61,領用表!$B:$B,L$2&amp;$R$1)</f>
        <v>0</v>
      </c>
      <c r="M61" s="142">
        <f>SUMIFS(領用表!$L:$L,領用表!$E:$E,$B61,領用表!$B:$B,M$2&amp;$R$1)</f>
        <v>0</v>
      </c>
      <c r="N61" s="142">
        <f>SUMIFS(領用表!$L:$L,領用表!$E:$E,$B61,領用表!$B:$B,N$2&amp;$R$1)</f>
        <v>0</v>
      </c>
      <c r="O61" s="142">
        <f>SUMIFS(領用表!$L:$L,領用表!$E:$E,$B61,領用表!$B:$B,O$2&amp;$R$1)</f>
        <v>0</v>
      </c>
      <c r="P61" s="42">
        <f t="shared" si="1"/>
        <v>0</v>
      </c>
      <c r="Q61" s="42">
        <f t="shared" si="2"/>
        <v>0</v>
      </c>
      <c r="R61" s="142">
        <f>SUMIFS(領用表!$L:$L,領用表!$E:$E,$B61,領用表!$B:$B,R$2&amp;$R$1)</f>
        <v>0</v>
      </c>
      <c r="S61" s="142">
        <f>SUMIFS(領用表!$L:$L,領用表!$E:$E,$B61,領用表!$B:$B,S$2&amp;$R$1)</f>
        <v>0</v>
      </c>
      <c r="T61" s="142">
        <f>SUMIFS(領用表!$L:$L,領用表!$E:$E,$B61,領用表!$B:$B,T$2&amp;$R$1)</f>
        <v>0</v>
      </c>
      <c r="U61" s="142">
        <f>SUMIFS(領用表!$L:$L,領用表!$E:$E,$B61,領用表!$B:$B,U$2&amp;$R$1)</f>
        <v>0</v>
      </c>
      <c r="V61" s="142">
        <f>SUMIFS(領用表!$L:$L,領用表!$E:$E,$B61,領用表!$B:$B,V$2&amp;$R$1)</f>
        <v>0</v>
      </c>
      <c r="W61" s="142">
        <f>SUMIFS(領用表!$L:$L,領用表!$E:$E,$B61,領用表!$B:$B,W$2&amp;$R$1)</f>
        <v>0</v>
      </c>
      <c r="X61" s="142">
        <f>SUMIFS(領用表!$L:$L,領用表!$E:$E,$B61,領用表!$B:$B,X$2&amp;$R$1)</f>
        <v>0</v>
      </c>
      <c r="Y61" s="142">
        <f>SUMIFS(領用表!$L:$L,領用表!$E:$E,$B61,領用表!$B:$B,Y$2&amp;$R$1)</f>
        <v>0</v>
      </c>
      <c r="Z61" s="142">
        <f>SUMIFS(領用表!$L:$L,領用表!$E:$E,$B61,領用表!$B:$B,Z$2&amp;$R$1)</f>
        <v>0</v>
      </c>
      <c r="AA61" s="142">
        <f>SUMIFS(領用表!$L:$L,領用表!$E:$E,$B61,領用表!$B:$B,AA$2&amp;$R$1)</f>
        <v>0</v>
      </c>
      <c r="AB61" s="142">
        <f>SUMIFS(領用表!$L:$L,領用表!$E:$E,$B61,領用表!$B:$B,AB$2&amp;$R$1)</f>
        <v>0</v>
      </c>
      <c r="AC61" s="142">
        <f>SUMIFS(領用表!$L:$L,領用表!$E:$E,$B61,領用表!$B:$B,AC$2&amp;$R$1)</f>
        <v>0</v>
      </c>
      <c r="AD61" s="142">
        <f t="shared" si="3"/>
        <v>0</v>
      </c>
      <c r="AE61" s="142">
        <f t="shared" si="4"/>
        <v>0</v>
      </c>
      <c r="AF61" s="142">
        <f>SUMIF(Summary!B:B,B61,Summary!DV:DV)</f>
        <v>0</v>
      </c>
      <c r="AG61" s="106"/>
      <c r="AH61" s="61"/>
      <c r="AI61" s="40"/>
      <c r="AJ61" s="40"/>
      <c r="AK61" s="51" t="s">
        <v>109</v>
      </c>
      <c r="AL61" s="62"/>
      <c r="AM61" s="14"/>
      <c r="AN61" s="29"/>
    </row>
    <row r="62" spans="1:40" ht="15.75" customHeight="1">
      <c r="A62" s="27" t="s">
        <v>111</v>
      </c>
      <c r="B62" s="14">
        <v>6170032</v>
      </c>
      <c r="C62" s="133" t="s">
        <v>498</v>
      </c>
      <c r="D62" s="23">
        <v>240500</v>
      </c>
      <c r="E62" s="63" t="s">
        <v>78</v>
      </c>
      <c r="F62" s="44"/>
      <c r="G62" s="18">
        <f>(D62*0)+(238183)+(186980)+(180177)</f>
        <v>605340</v>
      </c>
      <c r="H62" s="21" t="s">
        <v>49</v>
      </c>
      <c r="I62" s="21" t="s">
        <v>49</v>
      </c>
      <c r="J62" s="20">
        <f>SUMIFS(領用表!$L:$L,領用表!$E:$E,$B62,領用表!$B:$B,J$2&amp;$R$1)</f>
        <v>162628</v>
      </c>
      <c r="K62" s="20">
        <f>SUMIFS(領用表!$L:$L,領用表!$E:$E,$B62,領用表!$B:$B,K$2&amp;$R$1)</f>
        <v>328302</v>
      </c>
      <c r="L62" s="20">
        <f>SUMIFS(領用表!$L:$L,領用表!$E:$E,$B62,領用表!$B:$B,L$2&amp;$R$1)</f>
        <v>275599</v>
      </c>
      <c r="M62" s="142">
        <f>SUMIFS(領用表!$L:$L,領用表!$E:$E,$B62,領用表!$B:$B,M$2&amp;$R$1)</f>
        <v>388700</v>
      </c>
      <c r="N62" s="142">
        <f>SUMIFS(領用表!$L:$L,領用表!$E:$E,$B62,領用表!$B:$B,N$2&amp;$R$1)</f>
        <v>447788</v>
      </c>
      <c r="O62" s="142">
        <f>SUMIFS(領用表!$L:$L,領用表!$E:$E,$B62,領用表!$B:$B,O$2&amp;$R$1)</f>
        <v>407347</v>
      </c>
      <c r="P62" s="23">
        <f t="shared" si="1"/>
        <v>2010364</v>
      </c>
      <c r="Q62" s="23">
        <f t="shared" si="2"/>
        <v>287194.85714285716</v>
      </c>
      <c r="R62" s="142">
        <f>SUMIFS(領用表!$L:$L,領用表!$E:$E,$B62,領用表!$B:$B,R$2&amp;$R$1)</f>
        <v>502500</v>
      </c>
      <c r="S62" s="142">
        <f>SUMIFS(領用表!$L:$L,領用表!$E:$E,$B62,領用表!$B:$B,S$2&amp;$R$1)</f>
        <v>379824</v>
      </c>
      <c r="T62" s="142">
        <f>SUMIFS(領用表!$L:$L,領用表!$E:$E,$B62,領用表!$B:$B,T$2&amp;$R$1)</f>
        <v>205000</v>
      </c>
      <c r="U62" s="142">
        <f>SUMIFS(領用表!$L:$L,領用表!$E:$E,$B62,領用表!$B:$B,U$2&amp;$R$1)</f>
        <v>162307</v>
      </c>
      <c r="V62" s="142">
        <f>SUMIFS(領用表!$L:$L,領用表!$E:$E,$B62,領用表!$B:$B,V$2&amp;$R$1)</f>
        <v>195615</v>
      </c>
      <c r="W62" s="142">
        <f>SUMIFS(領用表!$L:$L,領用表!$E:$E,$B62,領用表!$B:$B,W$2&amp;$R$1)</f>
        <v>0</v>
      </c>
      <c r="X62" s="142">
        <f>SUMIFS(領用表!$L:$L,領用表!$E:$E,$B62,領用表!$B:$B,X$2&amp;$R$1)</f>
        <v>0</v>
      </c>
      <c r="Y62" s="142">
        <f>SUMIFS(領用表!$L:$L,領用表!$E:$E,$B62,領用表!$B:$B,Y$2&amp;$R$1)</f>
        <v>0</v>
      </c>
      <c r="Z62" s="142">
        <f>SUMIFS(領用表!$L:$L,領用表!$E:$E,$B62,領用表!$B:$B,Z$2&amp;$R$1)</f>
        <v>0</v>
      </c>
      <c r="AA62" s="142">
        <f>SUMIFS(領用表!$L:$L,領用表!$E:$E,$B62,領用表!$B:$B,AA$2&amp;$R$1)</f>
        <v>0</v>
      </c>
      <c r="AB62" s="142">
        <f>SUMIFS(領用表!$L:$L,領用表!$E:$E,$B62,領用表!$B:$B,AB$2&amp;$R$1)</f>
        <v>0</v>
      </c>
      <c r="AC62" s="142">
        <f>SUMIFS(領用表!$L:$L,領用表!$E:$E,$B62,領用表!$B:$B,AC$2&amp;$R$1)</f>
        <v>0</v>
      </c>
      <c r="AD62" s="142">
        <f t="shared" si="3"/>
        <v>1445246</v>
      </c>
      <c r="AE62" s="142">
        <f t="shared" si="4"/>
        <v>289049.2</v>
      </c>
      <c r="AF62" s="142">
        <f>SUMIF(Summary!B:B,B62,Summary!DV:DV)</f>
        <v>360000</v>
      </c>
      <c r="AG62" s="101">
        <v>200000</v>
      </c>
      <c r="AH62" s="480">
        <v>3455980</v>
      </c>
      <c r="AI62" s="54" t="s">
        <v>112</v>
      </c>
      <c r="AJ62" s="54" t="s">
        <v>113</v>
      </c>
      <c r="AK62" s="50" t="s">
        <v>114</v>
      </c>
      <c r="AL62" s="27"/>
      <c r="AM62" s="14"/>
      <c r="AN62" s="29"/>
    </row>
    <row r="63" spans="1:40" ht="15.75" customHeight="1">
      <c r="A63" s="27" t="s">
        <v>115</v>
      </c>
      <c r="B63" s="14">
        <v>6170033</v>
      </c>
      <c r="C63" s="407" t="s">
        <v>875</v>
      </c>
      <c r="D63" s="23">
        <v>240500</v>
      </c>
      <c r="E63" s="63" t="s">
        <v>78</v>
      </c>
      <c r="F63" s="44"/>
      <c r="G63" s="18">
        <f>(D63*3)+(26621)+(194623)+(114002)</f>
        <v>1056746</v>
      </c>
      <c r="H63" s="21" t="s">
        <v>49</v>
      </c>
      <c r="I63" s="21" t="s">
        <v>49</v>
      </c>
      <c r="J63" s="20">
        <f>SUMIFS(領用表!$L:$L,領用表!$E:$E,$B63,領用表!$B:$B,J$2&amp;$R$1)</f>
        <v>98476</v>
      </c>
      <c r="K63" s="20">
        <f>SUMIFS(領用表!$L:$L,領用表!$E:$E,$B63,領用表!$B:$B,K$2&amp;$R$1)</f>
        <v>157931</v>
      </c>
      <c r="L63" s="20">
        <f>SUMIFS(領用表!$L:$L,領用表!$E:$E,$B63,領用表!$B:$B,L$2&amp;$R$1)</f>
        <v>163953</v>
      </c>
      <c r="M63" s="142">
        <f>SUMIFS(領用表!$L:$L,領用表!$E:$E,$B63,領用表!$B:$B,M$2&amp;$R$1)</f>
        <v>189500</v>
      </c>
      <c r="N63" s="142">
        <f>SUMIFS(領用表!$L:$L,領用表!$E:$E,$B63,領用表!$B:$B,N$2&amp;$R$1)</f>
        <v>208713</v>
      </c>
      <c r="O63" s="142">
        <f>SUMIFS(領用表!$L:$L,領用表!$E:$E,$B63,領用表!$B:$B,O$2&amp;$R$1)</f>
        <v>225001</v>
      </c>
      <c r="P63" s="23">
        <f t="shared" si="1"/>
        <v>1043574</v>
      </c>
      <c r="Q63" s="23">
        <f t="shared" si="2"/>
        <v>149082</v>
      </c>
      <c r="R63" s="142">
        <f>SUMIFS(領用表!$L:$L,領用表!$E:$E,$B63,領用表!$B:$B,R$2&amp;$R$1)</f>
        <v>212000</v>
      </c>
      <c r="S63" s="142">
        <f>SUMIFS(領用表!$L:$L,領用表!$E:$E,$B63,領用表!$B:$B,S$2&amp;$R$1)</f>
        <v>91991</v>
      </c>
      <c r="T63" s="142">
        <f>SUMIFS(領用表!$L:$L,領用表!$E:$E,$B63,領用表!$B:$B,T$2&amp;$R$1)</f>
        <v>80500</v>
      </c>
      <c r="U63" s="142">
        <f>SUMIFS(領用表!$L:$L,領用表!$E:$E,$B63,領用表!$B:$B,U$2&amp;$R$1)</f>
        <v>76893</v>
      </c>
      <c r="V63" s="142">
        <f>SUMIFS(領用表!$L:$L,領用表!$E:$E,$B63,領用表!$B:$B,V$2&amp;$R$1)</f>
        <v>94888</v>
      </c>
      <c r="W63" s="142">
        <f>SUMIFS(領用表!$L:$L,領用表!$E:$E,$B63,領用表!$B:$B,W$2&amp;$R$1)</f>
        <v>0</v>
      </c>
      <c r="X63" s="142">
        <f>SUMIFS(領用表!$L:$L,領用表!$E:$E,$B63,領用表!$B:$B,X$2&amp;$R$1)</f>
        <v>0</v>
      </c>
      <c r="Y63" s="142">
        <f>SUMIFS(領用表!$L:$L,領用表!$E:$E,$B63,領用表!$B:$B,Y$2&amp;$R$1)</f>
        <v>0</v>
      </c>
      <c r="Z63" s="142">
        <f>SUMIFS(領用表!$L:$L,領用表!$E:$E,$B63,領用表!$B:$B,Z$2&amp;$R$1)</f>
        <v>0</v>
      </c>
      <c r="AA63" s="142">
        <f>SUMIFS(領用表!$L:$L,領用表!$E:$E,$B63,領用表!$B:$B,AA$2&amp;$R$1)</f>
        <v>0</v>
      </c>
      <c r="AB63" s="142">
        <f>SUMIFS(領用表!$L:$L,領用表!$E:$E,$B63,領用表!$B:$B,AB$2&amp;$R$1)</f>
        <v>0</v>
      </c>
      <c r="AC63" s="142">
        <f>SUMIFS(領用表!$L:$L,領用表!$E:$E,$B63,領用表!$B:$B,AC$2&amp;$R$1)</f>
        <v>0</v>
      </c>
      <c r="AD63" s="142">
        <f t="shared" si="3"/>
        <v>556272</v>
      </c>
      <c r="AE63" s="142">
        <f t="shared" si="4"/>
        <v>111254.39999999999</v>
      </c>
      <c r="AF63" s="142">
        <f>SUMIF(Summary!B:B,B63,Summary!DV:DV)</f>
        <v>170000</v>
      </c>
      <c r="AG63" s="101">
        <v>110000</v>
      </c>
      <c r="AH63" s="479"/>
      <c r="AI63" s="54" t="s">
        <v>116</v>
      </c>
      <c r="AJ63" s="54" t="s">
        <v>113</v>
      </c>
      <c r="AK63" s="50" t="s">
        <v>114</v>
      </c>
      <c r="AL63" s="27"/>
      <c r="AM63" s="14"/>
      <c r="AN63" s="29"/>
    </row>
    <row r="64" spans="1:40" ht="15.75" customHeight="1">
      <c r="A64" s="27" t="s">
        <v>117</v>
      </c>
      <c r="B64" s="14">
        <v>6220005</v>
      </c>
      <c r="C64" s="118" t="s">
        <v>620</v>
      </c>
      <c r="D64" s="23">
        <v>15</v>
      </c>
      <c r="E64" s="17" t="s">
        <v>15</v>
      </c>
      <c r="F64" s="18"/>
      <c r="G64" s="18">
        <v>491</v>
      </c>
      <c r="H64" s="21" t="e">
        <f>SUM(#REF!)</f>
        <v>#REF!</v>
      </c>
      <c r="I64" s="22" t="e">
        <f t="shared" ref="I64:I70" si="14">H64/12</f>
        <v>#REF!</v>
      </c>
      <c r="J64" s="20">
        <f>SUMIFS(領用表!$L:$L,領用表!$E:$E,$B64,領用表!$B:$B,J$2&amp;$R$1)</f>
        <v>446</v>
      </c>
      <c r="K64" s="20">
        <f>SUMIFS(領用表!$L:$L,領用表!$E:$E,$B64,領用表!$B:$B,K$2&amp;$R$1)</f>
        <v>697</v>
      </c>
      <c r="L64" s="20">
        <f>SUMIFS(領用表!$L:$L,領用表!$E:$E,$B64,領用表!$B:$B,L$2&amp;$R$1)</f>
        <v>790</v>
      </c>
      <c r="M64" s="142">
        <f>SUMIFS(領用表!$L:$L,領用表!$E:$E,$B64,領用表!$B:$B,M$2&amp;$R$1)</f>
        <v>913</v>
      </c>
      <c r="N64" s="142">
        <f>SUMIFS(領用表!$L:$L,領用表!$E:$E,$B64,領用表!$B:$B,N$2&amp;$R$1)</f>
        <v>996</v>
      </c>
      <c r="O64" s="142">
        <f>SUMIFS(領用表!$L:$L,領用表!$E:$E,$B64,領用表!$B:$B,O$2&amp;$R$1)</f>
        <v>1154</v>
      </c>
      <c r="P64" s="23">
        <f t="shared" si="1"/>
        <v>4996</v>
      </c>
      <c r="Q64" s="23">
        <f t="shared" si="2"/>
        <v>713.71428571428567</v>
      </c>
      <c r="R64" s="142">
        <f>SUMIFS(領用表!$L:$L,領用表!$E:$E,$B64,領用表!$B:$B,R$2&amp;$R$1)</f>
        <v>1163</v>
      </c>
      <c r="S64" s="142">
        <f>SUMIFS(領用表!$L:$L,領用表!$E:$E,$B64,領用表!$B:$B,S$2&amp;$R$1)</f>
        <v>787</v>
      </c>
      <c r="T64" s="142">
        <f>SUMIFS(領用表!$L:$L,領用表!$E:$E,$B64,領用表!$B:$B,T$2&amp;$R$1)</f>
        <v>921</v>
      </c>
      <c r="U64" s="142">
        <f>SUMIFS(領用表!$L:$L,領用表!$E:$E,$B64,領用表!$B:$B,U$2&amp;$R$1)</f>
        <v>842</v>
      </c>
      <c r="V64" s="142">
        <f>SUMIFS(領用表!$L:$L,領用表!$E:$E,$B64,領用表!$B:$B,V$2&amp;$R$1)</f>
        <v>838</v>
      </c>
      <c r="W64" s="142">
        <f>SUMIFS(領用表!$L:$L,領用表!$E:$E,$B64,領用表!$B:$B,W$2&amp;$R$1)</f>
        <v>0</v>
      </c>
      <c r="X64" s="142">
        <f>SUMIFS(領用表!$L:$L,領用表!$E:$E,$B64,領用表!$B:$B,X$2&amp;$R$1)</f>
        <v>0</v>
      </c>
      <c r="Y64" s="142">
        <f>SUMIFS(領用表!$L:$L,領用表!$E:$E,$B64,領用表!$B:$B,Y$2&amp;$R$1)</f>
        <v>0</v>
      </c>
      <c r="Z64" s="142">
        <f>SUMIFS(領用表!$L:$L,領用表!$E:$E,$B64,領用表!$B:$B,Z$2&amp;$R$1)</f>
        <v>0</v>
      </c>
      <c r="AA64" s="142">
        <f>SUMIFS(領用表!$L:$L,領用表!$E:$E,$B64,領用表!$B:$B,AA$2&amp;$R$1)</f>
        <v>0</v>
      </c>
      <c r="AB64" s="142">
        <f>SUMIFS(領用表!$L:$L,領用表!$E:$E,$B64,領用表!$B:$B,AB$2&amp;$R$1)</f>
        <v>0</v>
      </c>
      <c r="AC64" s="142">
        <f>SUMIFS(領用表!$L:$L,領用表!$E:$E,$B64,領用表!$B:$B,AC$2&amp;$R$1)</f>
        <v>0</v>
      </c>
      <c r="AD64" s="142">
        <f t="shared" si="3"/>
        <v>4551</v>
      </c>
      <c r="AE64" s="142">
        <f t="shared" si="4"/>
        <v>910.2</v>
      </c>
      <c r="AF64" s="142">
        <f>SUMIF(Summary!B:B,B64,Summary!DV:DV)</f>
        <v>900</v>
      </c>
      <c r="AG64" s="101">
        <v>580</v>
      </c>
      <c r="AH64" s="481"/>
      <c r="AI64" s="54" t="s">
        <v>118</v>
      </c>
      <c r="AJ64" s="54" t="s">
        <v>119</v>
      </c>
      <c r="AK64" s="27"/>
      <c r="AL64" s="27"/>
      <c r="AM64" s="14"/>
      <c r="AN64" s="29"/>
    </row>
    <row r="65" spans="1:40" ht="15.75" customHeight="1">
      <c r="A65" s="27" t="s">
        <v>120</v>
      </c>
      <c r="B65" s="14">
        <v>6220006</v>
      </c>
      <c r="C65" s="118" t="s">
        <v>621</v>
      </c>
      <c r="D65" s="23">
        <v>15</v>
      </c>
      <c r="E65" s="17" t="s">
        <v>15</v>
      </c>
      <c r="F65" s="18"/>
      <c r="G65" s="18">
        <v>491</v>
      </c>
      <c r="H65" s="21" t="e">
        <f>SUM(#REF!)</f>
        <v>#REF!</v>
      </c>
      <c r="I65" s="22" t="e">
        <f t="shared" si="14"/>
        <v>#REF!</v>
      </c>
      <c r="J65" s="20">
        <f>SUMIFS(領用表!$L:$L,領用表!$E:$E,$B65,領用表!$B:$B,J$2&amp;$R$1)</f>
        <v>446</v>
      </c>
      <c r="K65" s="20">
        <f>SUMIFS(領用表!$L:$L,領用表!$E:$E,$B65,領用表!$B:$B,K$2&amp;$R$1)</f>
        <v>697</v>
      </c>
      <c r="L65" s="20">
        <f>SUMIFS(領用表!$L:$L,領用表!$E:$E,$B65,領用表!$B:$B,L$2&amp;$R$1)</f>
        <v>790</v>
      </c>
      <c r="M65" s="142">
        <f>SUMIFS(領用表!$L:$L,領用表!$E:$E,$B65,領用表!$B:$B,M$2&amp;$R$1)</f>
        <v>913</v>
      </c>
      <c r="N65" s="142">
        <f>SUMIFS(領用表!$L:$L,領用表!$E:$E,$B65,領用表!$B:$B,N$2&amp;$R$1)</f>
        <v>996</v>
      </c>
      <c r="O65" s="142">
        <f>SUMIFS(領用表!$L:$L,領用表!$E:$E,$B65,領用表!$B:$B,O$2&amp;$R$1)</f>
        <v>1154</v>
      </c>
      <c r="P65" s="23">
        <f t="shared" si="1"/>
        <v>4996</v>
      </c>
      <c r="Q65" s="23">
        <f t="shared" si="2"/>
        <v>713.71428571428567</v>
      </c>
      <c r="R65" s="142">
        <f>SUMIFS(領用表!$L:$L,領用表!$E:$E,$B65,領用表!$B:$B,R$2&amp;$R$1)</f>
        <v>1163</v>
      </c>
      <c r="S65" s="142">
        <f>SUMIFS(領用表!$L:$L,領用表!$E:$E,$B65,領用表!$B:$B,S$2&amp;$R$1)</f>
        <v>787</v>
      </c>
      <c r="T65" s="142">
        <f>SUMIFS(領用表!$L:$L,領用表!$E:$E,$B65,領用表!$B:$B,T$2&amp;$R$1)</f>
        <v>921</v>
      </c>
      <c r="U65" s="142">
        <f>SUMIFS(領用表!$L:$L,領用表!$E:$E,$B65,領用表!$B:$B,U$2&amp;$R$1)</f>
        <v>842</v>
      </c>
      <c r="V65" s="142">
        <f>SUMIFS(領用表!$L:$L,領用表!$E:$E,$B65,領用表!$B:$B,V$2&amp;$R$1)</f>
        <v>838</v>
      </c>
      <c r="W65" s="142">
        <f>SUMIFS(領用表!$L:$L,領用表!$E:$E,$B65,領用表!$B:$B,W$2&amp;$R$1)</f>
        <v>0</v>
      </c>
      <c r="X65" s="142">
        <f>SUMIFS(領用表!$L:$L,領用表!$E:$E,$B65,領用表!$B:$B,X$2&amp;$R$1)</f>
        <v>0</v>
      </c>
      <c r="Y65" s="142">
        <f>SUMIFS(領用表!$L:$L,領用表!$E:$E,$B65,領用表!$B:$B,Y$2&amp;$R$1)</f>
        <v>0</v>
      </c>
      <c r="Z65" s="142">
        <f>SUMIFS(領用表!$L:$L,領用表!$E:$E,$B65,領用表!$B:$B,Z$2&amp;$R$1)</f>
        <v>0</v>
      </c>
      <c r="AA65" s="142">
        <f>SUMIFS(領用表!$L:$L,領用表!$E:$E,$B65,領用表!$B:$B,AA$2&amp;$R$1)</f>
        <v>0</v>
      </c>
      <c r="AB65" s="142">
        <f>SUMIFS(領用表!$L:$L,領用表!$E:$E,$B65,領用表!$B:$B,AB$2&amp;$R$1)</f>
        <v>0</v>
      </c>
      <c r="AC65" s="142">
        <f>SUMIFS(領用表!$L:$L,領用表!$E:$E,$B65,領用表!$B:$B,AC$2&amp;$R$1)</f>
        <v>0</v>
      </c>
      <c r="AD65" s="142">
        <f t="shared" si="3"/>
        <v>4551</v>
      </c>
      <c r="AE65" s="142">
        <f t="shared" si="4"/>
        <v>910.2</v>
      </c>
      <c r="AF65" s="142">
        <f>SUMIF(Summary!B:B,B65,Summary!DV:DV)</f>
        <v>900</v>
      </c>
      <c r="AG65" s="101">
        <v>580</v>
      </c>
      <c r="AH65" s="478"/>
      <c r="AI65" s="54" t="s">
        <v>118</v>
      </c>
      <c r="AJ65" s="54" t="s">
        <v>119</v>
      </c>
      <c r="AK65" s="27"/>
      <c r="AL65" s="27"/>
      <c r="AM65" s="14"/>
      <c r="AN65" s="29"/>
    </row>
    <row r="66" spans="1:40" ht="15.75" customHeight="1">
      <c r="A66" s="27" t="s">
        <v>121</v>
      </c>
      <c r="B66" s="14">
        <v>6220007</v>
      </c>
      <c r="C66" s="118" t="s">
        <v>622</v>
      </c>
      <c r="D66" s="23">
        <v>15</v>
      </c>
      <c r="E66" s="17" t="s">
        <v>15</v>
      </c>
      <c r="F66" s="18"/>
      <c r="G66" s="18">
        <v>491</v>
      </c>
      <c r="H66" s="21" t="e">
        <f>SUM(#REF!)</f>
        <v>#REF!</v>
      </c>
      <c r="I66" s="22" t="e">
        <f t="shared" si="14"/>
        <v>#REF!</v>
      </c>
      <c r="J66" s="20">
        <f>SUMIFS(領用表!$L:$L,領用表!$E:$E,$B66,領用表!$B:$B,J$2&amp;$R$1)</f>
        <v>446</v>
      </c>
      <c r="K66" s="20">
        <f>SUMIFS(領用表!$L:$L,領用表!$E:$E,$B66,領用表!$B:$B,K$2&amp;$R$1)</f>
        <v>697</v>
      </c>
      <c r="L66" s="20">
        <f>SUMIFS(領用表!$L:$L,領用表!$E:$E,$B66,領用表!$B:$B,L$2&amp;$R$1)</f>
        <v>790</v>
      </c>
      <c r="M66" s="142">
        <f>SUMIFS(領用表!$L:$L,領用表!$E:$E,$B66,領用表!$B:$B,M$2&amp;$R$1)</f>
        <v>913</v>
      </c>
      <c r="N66" s="142">
        <f>SUMIFS(領用表!$L:$L,領用表!$E:$E,$B66,領用表!$B:$B,N$2&amp;$R$1)</f>
        <v>996</v>
      </c>
      <c r="O66" s="142">
        <f>SUMIFS(領用表!$L:$L,領用表!$E:$E,$B66,領用表!$B:$B,O$2&amp;$R$1)</f>
        <v>1154</v>
      </c>
      <c r="P66" s="23">
        <f t="shared" si="1"/>
        <v>4996</v>
      </c>
      <c r="Q66" s="23">
        <f t="shared" si="2"/>
        <v>713.71428571428567</v>
      </c>
      <c r="R66" s="142">
        <f>SUMIFS(領用表!$L:$L,領用表!$E:$E,$B66,領用表!$B:$B,R$2&amp;$R$1)</f>
        <v>1163</v>
      </c>
      <c r="S66" s="142">
        <f>SUMIFS(領用表!$L:$L,領用表!$E:$E,$B66,領用表!$B:$B,S$2&amp;$R$1)</f>
        <v>787</v>
      </c>
      <c r="T66" s="142">
        <f>SUMIFS(領用表!$L:$L,領用表!$E:$E,$B66,領用表!$B:$B,T$2&amp;$R$1)</f>
        <v>921</v>
      </c>
      <c r="U66" s="142">
        <f>SUMIFS(領用表!$L:$L,領用表!$E:$E,$B66,領用表!$B:$B,U$2&amp;$R$1)</f>
        <v>842</v>
      </c>
      <c r="V66" s="142">
        <f>SUMIFS(領用表!$L:$L,領用表!$E:$E,$B66,領用表!$B:$B,V$2&amp;$R$1)</f>
        <v>838</v>
      </c>
      <c r="W66" s="142">
        <f>SUMIFS(領用表!$L:$L,領用表!$E:$E,$B66,領用表!$B:$B,W$2&amp;$R$1)</f>
        <v>0</v>
      </c>
      <c r="X66" s="142">
        <f>SUMIFS(領用表!$L:$L,領用表!$E:$E,$B66,領用表!$B:$B,X$2&amp;$R$1)</f>
        <v>0</v>
      </c>
      <c r="Y66" s="142">
        <f>SUMIFS(領用表!$L:$L,領用表!$E:$E,$B66,領用表!$B:$B,Y$2&amp;$R$1)</f>
        <v>0</v>
      </c>
      <c r="Z66" s="142">
        <f>SUMIFS(領用表!$L:$L,領用表!$E:$E,$B66,領用表!$B:$B,Z$2&amp;$R$1)</f>
        <v>0</v>
      </c>
      <c r="AA66" s="142">
        <f>SUMIFS(領用表!$L:$L,領用表!$E:$E,$B66,領用表!$B:$B,AA$2&amp;$R$1)</f>
        <v>0</v>
      </c>
      <c r="AB66" s="142">
        <f>SUMIFS(領用表!$L:$L,領用表!$E:$E,$B66,領用表!$B:$B,AB$2&amp;$R$1)</f>
        <v>0</v>
      </c>
      <c r="AC66" s="142">
        <f>SUMIFS(領用表!$L:$L,領用表!$E:$E,$B66,領用表!$B:$B,AC$2&amp;$R$1)</f>
        <v>0</v>
      </c>
      <c r="AD66" s="142">
        <f t="shared" si="3"/>
        <v>4551</v>
      </c>
      <c r="AE66" s="142">
        <f t="shared" si="4"/>
        <v>910.2</v>
      </c>
      <c r="AF66" s="142">
        <f>SUMIF(Summary!B:B,B66,Summary!DV:DV)</f>
        <v>900</v>
      </c>
      <c r="AG66" s="101">
        <v>580</v>
      </c>
      <c r="AH66" s="478"/>
      <c r="AI66" s="54" t="s">
        <v>118</v>
      </c>
      <c r="AJ66" s="54" t="s">
        <v>119</v>
      </c>
      <c r="AK66" s="27" t="s">
        <v>122</v>
      </c>
      <c r="AL66" s="27"/>
      <c r="AM66" s="14"/>
      <c r="AN66" s="29"/>
    </row>
    <row r="67" spans="1:40" ht="15.75" customHeight="1">
      <c r="A67" s="27" t="s">
        <v>123</v>
      </c>
      <c r="B67" s="14">
        <v>6220012</v>
      </c>
      <c r="C67" s="118" t="s">
        <v>623</v>
      </c>
      <c r="D67" s="23">
        <v>236</v>
      </c>
      <c r="E67" s="17" t="s">
        <v>124</v>
      </c>
      <c r="F67" s="18"/>
      <c r="G67" s="18">
        <f>D67*(39)</f>
        <v>9204</v>
      </c>
      <c r="H67" s="21" t="e">
        <f>SUM(#REF!)</f>
        <v>#REF!</v>
      </c>
      <c r="I67" s="22" t="e">
        <f t="shared" si="14"/>
        <v>#REF!</v>
      </c>
      <c r="J67" s="20">
        <f>SUMIFS(領用表!$L:$L,領用表!$E:$E,$B67,領用表!$B:$B,J$2&amp;$R$1)</f>
        <v>6690</v>
      </c>
      <c r="K67" s="20">
        <f>SUMIFS(領用表!$L:$L,領用表!$E:$E,$B67,領用表!$B:$B,K$2&amp;$R$1)</f>
        <v>10455</v>
      </c>
      <c r="L67" s="20">
        <f>SUMIFS(領用表!$L:$L,領用表!$E:$E,$B67,領用表!$B:$B,L$2&amp;$R$1)</f>
        <v>11850</v>
      </c>
      <c r="M67" s="142">
        <f>SUMIFS(領用表!$L:$L,領用表!$E:$E,$B67,領用表!$B:$B,M$2&amp;$R$1)</f>
        <v>13667</v>
      </c>
      <c r="N67" s="142">
        <f>SUMIFS(領用表!$L:$L,領用表!$E:$E,$B67,領用表!$B:$B,N$2&amp;$R$1)</f>
        <v>14884</v>
      </c>
      <c r="O67" s="142">
        <f>SUMIFS(領用表!$L:$L,領用表!$E:$E,$B67,領用表!$B:$B,O$2&amp;$R$1)</f>
        <v>17282</v>
      </c>
      <c r="P67" s="23">
        <f t="shared" si="1"/>
        <v>74828</v>
      </c>
      <c r="Q67" s="23">
        <f t="shared" si="2"/>
        <v>10689.714285714286</v>
      </c>
      <c r="R67" s="142">
        <f>SUMIFS(領用表!$L:$L,領用表!$E:$E,$B67,領用表!$B:$B,R$2&amp;$R$1)</f>
        <v>17445</v>
      </c>
      <c r="S67" s="142">
        <f>SUMIFS(領用表!$L:$L,領用表!$E:$E,$B67,領用表!$B:$B,S$2&amp;$R$1)</f>
        <v>11805</v>
      </c>
      <c r="T67" s="142">
        <f>SUMIFS(領用表!$L:$L,領用表!$E:$E,$B67,領用表!$B:$B,T$2&amp;$R$1)</f>
        <v>13801</v>
      </c>
      <c r="U67" s="142">
        <f>SUMIFS(領用表!$L:$L,領用表!$E:$E,$B67,領用表!$B:$B,U$2&amp;$R$1)</f>
        <v>12630</v>
      </c>
      <c r="V67" s="142">
        <f>SUMIFS(領用表!$L:$L,領用表!$E:$E,$B67,領用表!$B:$B,V$2&amp;$R$1)</f>
        <v>12570</v>
      </c>
      <c r="W67" s="142">
        <f>SUMIFS(領用表!$L:$L,領用表!$E:$E,$B67,領用表!$B:$B,W$2&amp;$R$1)</f>
        <v>0</v>
      </c>
      <c r="X67" s="142">
        <f>SUMIFS(領用表!$L:$L,領用表!$E:$E,$B67,領用表!$B:$B,X$2&amp;$R$1)</f>
        <v>0</v>
      </c>
      <c r="Y67" s="142">
        <f>SUMIFS(領用表!$L:$L,領用表!$E:$E,$B67,領用表!$B:$B,Y$2&amp;$R$1)</f>
        <v>0</v>
      </c>
      <c r="Z67" s="142">
        <f>SUMIFS(領用表!$L:$L,領用表!$E:$E,$B67,領用表!$B:$B,Z$2&amp;$R$1)</f>
        <v>0</v>
      </c>
      <c r="AA67" s="142">
        <f>SUMIFS(領用表!$L:$L,領用表!$E:$E,$B67,領用表!$B:$B,AA$2&amp;$R$1)</f>
        <v>0</v>
      </c>
      <c r="AB67" s="142">
        <f>SUMIFS(領用表!$L:$L,領用表!$E:$E,$B67,領用表!$B:$B,AB$2&amp;$R$1)</f>
        <v>0</v>
      </c>
      <c r="AC67" s="142">
        <f>SUMIFS(領用表!$L:$L,領用表!$E:$E,$B67,領用表!$B:$B,AC$2&amp;$R$1)</f>
        <v>0</v>
      </c>
      <c r="AD67" s="142">
        <f t="shared" si="3"/>
        <v>68251</v>
      </c>
      <c r="AE67" s="142">
        <f t="shared" si="4"/>
        <v>13650.2</v>
      </c>
      <c r="AF67" s="142">
        <f>SUMIF(Summary!B:B,B67,Summary!DV:DV)</f>
        <v>13500</v>
      </c>
      <c r="AG67" s="101">
        <v>7500</v>
      </c>
      <c r="AH67" s="478"/>
      <c r="AI67" s="54" t="s">
        <v>125</v>
      </c>
      <c r="AJ67" s="54" t="s">
        <v>126</v>
      </c>
      <c r="AK67" s="27" t="s">
        <v>122</v>
      </c>
      <c r="AL67" s="28"/>
      <c r="AM67" s="14"/>
      <c r="AN67" s="29"/>
    </row>
    <row r="68" spans="1:40" ht="15.75" customHeight="1">
      <c r="A68" s="27" t="s">
        <v>127</v>
      </c>
      <c r="B68" s="14">
        <v>6220013</v>
      </c>
      <c r="C68" s="118" t="s">
        <v>624</v>
      </c>
      <c r="D68" s="23">
        <v>236</v>
      </c>
      <c r="E68" s="17" t="s">
        <v>124</v>
      </c>
      <c r="F68" s="18"/>
      <c r="G68" s="18">
        <f>D68*42</f>
        <v>9912</v>
      </c>
      <c r="H68" s="21" t="e">
        <f>SUM(#REF!)</f>
        <v>#REF!</v>
      </c>
      <c r="I68" s="22" t="e">
        <f t="shared" si="14"/>
        <v>#REF!</v>
      </c>
      <c r="J68" s="20">
        <f>SUMIFS(領用表!$L:$L,領用表!$E:$E,$B68,領用表!$B:$B,J$2&amp;$R$1)</f>
        <v>6690</v>
      </c>
      <c r="K68" s="20">
        <f>SUMIFS(領用表!$L:$L,領用表!$E:$E,$B68,領用表!$B:$B,K$2&amp;$R$1)</f>
        <v>10455</v>
      </c>
      <c r="L68" s="20">
        <f>SUMIFS(領用表!$L:$L,領用表!$E:$E,$B68,領用表!$B:$B,L$2&amp;$R$1)</f>
        <v>11850</v>
      </c>
      <c r="M68" s="142">
        <f>SUMIFS(領用表!$L:$L,領用表!$E:$E,$B68,領用表!$B:$B,M$2&amp;$R$1)</f>
        <v>13667</v>
      </c>
      <c r="N68" s="142">
        <f>SUMIFS(領用表!$L:$L,領用表!$E:$E,$B68,領用表!$B:$B,N$2&amp;$R$1)</f>
        <v>14884</v>
      </c>
      <c r="O68" s="142">
        <f>SUMIFS(領用表!$L:$L,領用表!$E:$E,$B68,領用表!$B:$B,O$2&amp;$R$1)</f>
        <v>17282</v>
      </c>
      <c r="P68" s="23">
        <f t="shared" si="1"/>
        <v>74828</v>
      </c>
      <c r="Q68" s="23">
        <f t="shared" si="2"/>
        <v>10689.714285714286</v>
      </c>
      <c r="R68" s="142">
        <f>SUMIFS(領用表!$L:$L,領用表!$E:$E,$B68,領用表!$B:$B,R$2&amp;$R$1)</f>
        <v>17445</v>
      </c>
      <c r="S68" s="142">
        <f>SUMIFS(領用表!$L:$L,領用表!$E:$E,$B68,領用表!$B:$B,S$2&amp;$R$1)</f>
        <v>11805</v>
      </c>
      <c r="T68" s="142">
        <f>SUMIFS(領用表!$L:$L,領用表!$E:$E,$B68,領用表!$B:$B,T$2&amp;$R$1)</f>
        <v>13801</v>
      </c>
      <c r="U68" s="142">
        <f>SUMIFS(領用表!$L:$L,領用表!$E:$E,$B68,領用表!$B:$B,U$2&amp;$R$1)</f>
        <v>12630</v>
      </c>
      <c r="V68" s="142">
        <f>SUMIFS(領用表!$L:$L,領用表!$E:$E,$B68,領用表!$B:$B,V$2&amp;$R$1)</f>
        <v>12570</v>
      </c>
      <c r="W68" s="142">
        <f>SUMIFS(領用表!$L:$L,領用表!$E:$E,$B68,領用表!$B:$B,W$2&amp;$R$1)</f>
        <v>0</v>
      </c>
      <c r="X68" s="142">
        <f>SUMIFS(領用表!$L:$L,領用表!$E:$E,$B68,領用表!$B:$B,X$2&amp;$R$1)</f>
        <v>0</v>
      </c>
      <c r="Y68" s="142">
        <f>SUMIFS(領用表!$L:$L,領用表!$E:$E,$B68,領用表!$B:$B,Y$2&amp;$R$1)</f>
        <v>0</v>
      </c>
      <c r="Z68" s="142">
        <f>SUMIFS(領用表!$L:$L,領用表!$E:$E,$B68,領用表!$B:$B,Z$2&amp;$R$1)</f>
        <v>0</v>
      </c>
      <c r="AA68" s="142">
        <f>SUMIFS(領用表!$L:$L,領用表!$E:$E,$B68,領用表!$B:$B,AA$2&amp;$R$1)</f>
        <v>0</v>
      </c>
      <c r="AB68" s="142">
        <f>SUMIFS(領用表!$L:$L,領用表!$E:$E,$B68,領用表!$B:$B,AB$2&amp;$R$1)</f>
        <v>0</v>
      </c>
      <c r="AC68" s="142">
        <f>SUMIFS(領用表!$L:$L,領用表!$E:$E,$B68,領用表!$B:$B,AC$2&amp;$R$1)</f>
        <v>0</v>
      </c>
      <c r="AD68" s="142">
        <f t="shared" si="3"/>
        <v>68251</v>
      </c>
      <c r="AE68" s="142">
        <f t="shared" si="4"/>
        <v>13650.2</v>
      </c>
      <c r="AF68" s="142">
        <f>SUMIF(Summary!B:B,B68,Summary!DV:DV)</f>
        <v>13500</v>
      </c>
      <c r="AG68" s="101">
        <v>10000</v>
      </c>
      <c r="AH68" s="478"/>
      <c r="AI68" s="54" t="s">
        <v>126</v>
      </c>
      <c r="AJ68" s="54" t="s">
        <v>126</v>
      </c>
      <c r="AK68" s="27" t="s">
        <v>128</v>
      </c>
      <c r="AL68" s="28"/>
      <c r="AM68" s="14"/>
      <c r="AN68" s="29"/>
    </row>
    <row r="69" spans="1:40" ht="15.75" customHeight="1">
      <c r="A69" s="27" t="s">
        <v>129</v>
      </c>
      <c r="B69" s="14">
        <v>6220014</v>
      </c>
      <c r="C69" s="118" t="s">
        <v>625</v>
      </c>
      <c r="D69" s="23">
        <v>236</v>
      </c>
      <c r="E69" s="17" t="s">
        <v>124</v>
      </c>
      <c r="F69" s="18"/>
      <c r="G69" s="18">
        <f>D69*46</f>
        <v>10856</v>
      </c>
      <c r="H69" s="21" t="e">
        <f>SUM(#REF!)</f>
        <v>#REF!</v>
      </c>
      <c r="I69" s="22" t="e">
        <f t="shared" si="14"/>
        <v>#REF!</v>
      </c>
      <c r="J69" s="20">
        <f>SUMIFS(領用表!$L:$L,領用表!$E:$E,$B69,領用表!$B:$B,J$2&amp;$R$1)</f>
        <v>6690</v>
      </c>
      <c r="K69" s="20">
        <f>SUMIFS(領用表!$L:$L,領用表!$E:$E,$B69,領用表!$B:$B,K$2&amp;$R$1)</f>
        <v>10455</v>
      </c>
      <c r="L69" s="20">
        <f>SUMIFS(領用表!$L:$L,領用表!$E:$E,$B69,領用表!$B:$B,L$2&amp;$R$1)</f>
        <v>11850</v>
      </c>
      <c r="M69" s="142">
        <f>SUMIFS(領用表!$L:$L,領用表!$E:$E,$B69,領用表!$B:$B,M$2&amp;$R$1)</f>
        <v>13667</v>
      </c>
      <c r="N69" s="142">
        <f>SUMIFS(領用表!$L:$L,領用表!$E:$E,$B69,領用表!$B:$B,N$2&amp;$R$1)</f>
        <v>14884</v>
      </c>
      <c r="O69" s="142">
        <f>SUMIFS(領用表!$L:$L,領用表!$E:$E,$B69,領用表!$B:$B,O$2&amp;$R$1)</f>
        <v>17282</v>
      </c>
      <c r="P69" s="23">
        <f t="shared" si="1"/>
        <v>74828</v>
      </c>
      <c r="Q69" s="23">
        <f t="shared" si="2"/>
        <v>10689.714285714286</v>
      </c>
      <c r="R69" s="142">
        <f>SUMIFS(領用表!$L:$L,領用表!$E:$E,$B69,領用表!$B:$B,R$2&amp;$R$1)</f>
        <v>17445</v>
      </c>
      <c r="S69" s="142">
        <f>SUMIFS(領用表!$L:$L,領用表!$E:$E,$B69,領用表!$B:$B,S$2&amp;$R$1)</f>
        <v>11805</v>
      </c>
      <c r="T69" s="142">
        <f>SUMIFS(領用表!$L:$L,領用表!$E:$E,$B69,領用表!$B:$B,T$2&amp;$R$1)</f>
        <v>13801</v>
      </c>
      <c r="U69" s="142">
        <f>SUMIFS(領用表!$L:$L,領用表!$E:$E,$B69,領用表!$B:$B,U$2&amp;$R$1)</f>
        <v>12630</v>
      </c>
      <c r="V69" s="142">
        <f>SUMIFS(領用表!$L:$L,領用表!$E:$E,$B69,領用表!$B:$B,V$2&amp;$R$1)</f>
        <v>12570</v>
      </c>
      <c r="W69" s="142">
        <f>SUMIFS(領用表!$L:$L,領用表!$E:$E,$B69,領用表!$B:$B,W$2&amp;$R$1)</f>
        <v>0</v>
      </c>
      <c r="X69" s="142">
        <f>SUMIFS(領用表!$L:$L,領用表!$E:$E,$B69,領用表!$B:$B,X$2&amp;$R$1)</f>
        <v>0</v>
      </c>
      <c r="Y69" s="142">
        <f>SUMIFS(領用表!$L:$L,領用表!$E:$E,$B69,領用表!$B:$B,Y$2&amp;$R$1)</f>
        <v>0</v>
      </c>
      <c r="Z69" s="142">
        <f>SUMIFS(領用表!$L:$L,領用表!$E:$E,$B69,領用表!$B:$B,Z$2&amp;$R$1)</f>
        <v>0</v>
      </c>
      <c r="AA69" s="142">
        <f>SUMIFS(領用表!$L:$L,領用表!$E:$E,$B69,領用表!$B:$B,AA$2&amp;$R$1)</f>
        <v>0</v>
      </c>
      <c r="AB69" s="142">
        <f>SUMIFS(領用表!$L:$L,領用表!$E:$E,$B69,領用表!$B:$B,AB$2&amp;$R$1)</f>
        <v>0</v>
      </c>
      <c r="AC69" s="142">
        <f>SUMIFS(領用表!$L:$L,領用表!$E:$E,$B69,領用表!$B:$B,AC$2&amp;$R$1)</f>
        <v>0</v>
      </c>
      <c r="AD69" s="142">
        <f t="shared" si="3"/>
        <v>68251</v>
      </c>
      <c r="AE69" s="142">
        <f t="shared" si="4"/>
        <v>13650.2</v>
      </c>
      <c r="AF69" s="142">
        <f>SUMIF(Summary!B:B,B69,Summary!DV:DV)</f>
        <v>13500</v>
      </c>
      <c r="AG69" s="101">
        <v>5500</v>
      </c>
      <c r="AH69" s="478"/>
      <c r="AI69" s="54" t="s">
        <v>130</v>
      </c>
      <c r="AJ69" s="54" t="s">
        <v>126</v>
      </c>
      <c r="AK69" s="27"/>
      <c r="AL69" s="28"/>
      <c r="AM69" s="14"/>
      <c r="AN69" s="29"/>
    </row>
    <row r="70" spans="1:40" ht="15.75" customHeight="1">
      <c r="A70" s="27" t="s">
        <v>131</v>
      </c>
      <c r="B70" s="14">
        <v>6220015</v>
      </c>
      <c r="C70" s="118" t="s">
        <v>626</v>
      </c>
      <c r="D70" s="23">
        <v>236</v>
      </c>
      <c r="E70" s="17" t="s">
        <v>124</v>
      </c>
      <c r="F70" s="18"/>
      <c r="G70" s="18">
        <f>D70*48</f>
        <v>11328</v>
      </c>
      <c r="H70" s="21" t="e">
        <f>SUM(#REF!)</f>
        <v>#REF!</v>
      </c>
      <c r="I70" s="22" t="e">
        <f t="shared" si="14"/>
        <v>#REF!</v>
      </c>
      <c r="J70" s="20">
        <f>SUMIFS(領用表!$L:$L,領用表!$E:$E,$B70,領用表!$B:$B,J$2&amp;$R$1)</f>
        <v>0</v>
      </c>
      <c r="K70" s="20">
        <f>SUMIFS(領用表!$L:$L,領用表!$E:$E,$B70,領用表!$B:$B,K$2&amp;$R$1)</f>
        <v>5055</v>
      </c>
      <c r="L70" s="20">
        <f>SUMIFS(領用表!$L:$L,領用表!$E:$E,$B70,領用表!$B:$B,L$2&amp;$R$1)</f>
        <v>11850</v>
      </c>
      <c r="M70" s="142">
        <f>SUMIFS(領用表!$L:$L,領用表!$E:$E,$B70,領用表!$B:$B,M$2&amp;$R$1)</f>
        <v>13667</v>
      </c>
      <c r="N70" s="142">
        <f>SUMIFS(領用表!$L:$L,領用表!$E:$E,$B70,領用表!$B:$B,N$2&amp;$R$1)</f>
        <v>14884</v>
      </c>
      <c r="O70" s="142">
        <f>SUMIFS(領用表!$L:$L,領用表!$E:$E,$B70,領用表!$B:$B,O$2&amp;$R$1)</f>
        <v>17282</v>
      </c>
      <c r="P70" s="23">
        <f t="shared" si="1"/>
        <v>62738</v>
      </c>
      <c r="Q70" s="23">
        <f t="shared" si="2"/>
        <v>8962.5714285714294</v>
      </c>
      <c r="R70" s="142">
        <f>SUMIFS(領用表!$L:$L,領用表!$E:$E,$B70,領用表!$B:$B,R$2&amp;$R$1)</f>
        <v>17445</v>
      </c>
      <c r="S70" s="142">
        <f>SUMIFS(領用表!$L:$L,領用表!$E:$E,$B70,領用表!$B:$B,S$2&amp;$R$1)</f>
        <v>11805</v>
      </c>
      <c r="T70" s="142">
        <f>SUMIFS(領用表!$L:$L,領用表!$E:$E,$B70,領用表!$B:$B,T$2&amp;$R$1)</f>
        <v>13801</v>
      </c>
      <c r="U70" s="142">
        <f>SUMIFS(領用表!$L:$L,領用表!$E:$E,$B70,領用表!$B:$B,U$2&amp;$R$1)</f>
        <v>12630</v>
      </c>
      <c r="V70" s="142">
        <f>SUMIFS(領用表!$L:$L,領用表!$E:$E,$B70,領用表!$B:$B,V$2&amp;$R$1)</f>
        <v>12570</v>
      </c>
      <c r="W70" s="142">
        <f>SUMIFS(領用表!$L:$L,領用表!$E:$E,$B70,領用表!$B:$B,W$2&amp;$R$1)</f>
        <v>0</v>
      </c>
      <c r="X70" s="142">
        <f>SUMIFS(領用表!$L:$L,領用表!$E:$E,$B70,領用表!$B:$B,X$2&amp;$R$1)</f>
        <v>0</v>
      </c>
      <c r="Y70" s="142">
        <f>SUMIFS(領用表!$L:$L,領用表!$E:$E,$B70,領用表!$B:$B,Y$2&amp;$R$1)</f>
        <v>0</v>
      </c>
      <c r="Z70" s="142">
        <f>SUMIFS(領用表!$L:$L,領用表!$E:$E,$B70,領用表!$B:$B,Z$2&amp;$R$1)</f>
        <v>0</v>
      </c>
      <c r="AA70" s="142">
        <f>SUMIFS(領用表!$L:$L,領用表!$E:$E,$B70,領用表!$B:$B,AA$2&amp;$R$1)</f>
        <v>0</v>
      </c>
      <c r="AB70" s="142">
        <f>SUMIFS(領用表!$L:$L,領用表!$E:$E,$B70,領用表!$B:$B,AB$2&amp;$R$1)</f>
        <v>0</v>
      </c>
      <c r="AC70" s="142">
        <f>SUMIFS(領用表!$L:$L,領用表!$E:$E,$B70,領用表!$B:$B,AC$2&amp;$R$1)</f>
        <v>0</v>
      </c>
      <c r="AD70" s="142">
        <f t="shared" si="3"/>
        <v>68251</v>
      </c>
      <c r="AE70" s="142">
        <f t="shared" si="4"/>
        <v>13650.2</v>
      </c>
      <c r="AF70" s="142">
        <f>SUMIF(Summary!B:B,B70,Summary!DV:DV)</f>
        <v>13500</v>
      </c>
      <c r="AG70" s="100">
        <v>3000</v>
      </c>
      <c r="AH70" s="479"/>
      <c r="AI70" s="54" t="s">
        <v>132</v>
      </c>
      <c r="AJ70" s="54" t="s">
        <v>133</v>
      </c>
      <c r="AK70" s="27"/>
      <c r="AL70" s="28"/>
      <c r="AM70" s="14"/>
      <c r="AN70" s="29"/>
    </row>
    <row r="71" spans="1:40" s="172" customFormat="1" ht="15.75" customHeight="1">
      <c r="A71" s="162"/>
      <c r="B71" s="162"/>
      <c r="C71" s="163"/>
      <c r="D71" s="164"/>
      <c r="E71" s="165"/>
      <c r="F71" s="166"/>
      <c r="G71" s="444"/>
      <c r="H71" s="162"/>
      <c r="I71" s="162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2"/>
      <c r="AK71" s="162"/>
      <c r="AL71" s="162"/>
      <c r="AM71" s="170"/>
      <c r="AN71" s="171"/>
    </row>
    <row r="72" spans="1:40" ht="15.75" customHeight="1">
      <c r="A72" s="27" t="s">
        <v>134</v>
      </c>
      <c r="B72" s="14">
        <v>6170014</v>
      </c>
      <c r="C72" s="118" t="s">
        <v>627</v>
      </c>
      <c r="D72" s="43">
        <v>1</v>
      </c>
      <c r="E72" s="17" t="s">
        <v>15</v>
      </c>
      <c r="F72" s="18"/>
      <c r="G72" s="18">
        <v>11</v>
      </c>
      <c r="H72" s="21">
        <v>15</v>
      </c>
      <c r="I72" s="22">
        <f t="shared" ref="I72:I77" si="15">H72/12</f>
        <v>1.25</v>
      </c>
      <c r="J72" s="20">
        <f>SUMIFS(領用表!$L:$L,領用表!$E:$E,$B72,領用表!$B:$B,J$2&amp;$R$1)</f>
        <v>0</v>
      </c>
      <c r="K72" s="20">
        <f>SUMIFS(領用表!$L:$L,領用表!$E:$E,$B72,領用表!$B:$B,K$2&amp;$R$1)</f>
        <v>0</v>
      </c>
      <c r="L72" s="20">
        <f>SUMIFS(領用表!$L:$L,領用表!$E:$E,$B72,領用表!$B:$B,L$2&amp;$R$1)</f>
        <v>1</v>
      </c>
      <c r="M72" s="142">
        <f>SUMIFS(領用表!$L:$L,領用表!$E:$E,$B72,領用表!$B:$B,M$2&amp;$R$1)</f>
        <v>16</v>
      </c>
      <c r="N72" s="142">
        <f>SUMIFS(領用表!$L:$L,領用表!$E:$E,$B72,領用表!$B:$B,N$2&amp;$R$1)</f>
        <v>3</v>
      </c>
      <c r="O72" s="142">
        <f>SUMIFS(領用表!$L:$L,領用表!$E:$E,$B72,領用表!$B:$B,O$2&amp;$R$1)</f>
        <v>10</v>
      </c>
      <c r="P72" s="23">
        <f t="shared" si="1"/>
        <v>30</v>
      </c>
      <c r="Q72" s="23">
        <f t="shared" si="2"/>
        <v>4.2857142857142856</v>
      </c>
      <c r="R72" s="142">
        <f>SUMIFS(領用表!$L:$L,領用表!$E:$E,$B72,領用表!$B:$B,R$2&amp;$R$1)</f>
        <v>16</v>
      </c>
      <c r="S72" s="142">
        <f>SUMIFS(領用表!$L:$L,領用表!$E:$E,$B72,領用表!$B:$B,S$2&amp;$R$1)</f>
        <v>4</v>
      </c>
      <c r="T72" s="142">
        <f>SUMIFS(領用表!$L:$L,領用表!$E:$E,$B72,領用表!$B:$B,T$2&amp;$R$1)</f>
        <v>13</v>
      </c>
      <c r="U72" s="142">
        <f>SUMIFS(領用表!$L:$L,領用表!$E:$E,$B72,領用表!$B:$B,U$2&amp;$R$1)</f>
        <v>13</v>
      </c>
      <c r="V72" s="142">
        <f>SUMIFS(領用表!$L:$L,領用表!$E:$E,$B72,領用表!$B:$B,V$2&amp;$R$1)</f>
        <v>20</v>
      </c>
      <c r="W72" s="142">
        <f>SUMIFS(領用表!$L:$L,領用表!$E:$E,$B72,領用表!$B:$B,W$2&amp;$R$1)</f>
        <v>0</v>
      </c>
      <c r="X72" s="142">
        <f>SUMIFS(領用表!$L:$L,領用表!$E:$E,$B72,領用表!$B:$B,X$2&amp;$R$1)</f>
        <v>0</v>
      </c>
      <c r="Y72" s="142">
        <f>SUMIFS(領用表!$L:$L,領用表!$E:$E,$B72,領用表!$B:$B,Y$2&amp;$R$1)</f>
        <v>0</v>
      </c>
      <c r="Z72" s="142">
        <f>SUMIFS(領用表!$L:$L,領用表!$E:$E,$B72,領用表!$B:$B,Z$2&amp;$R$1)</f>
        <v>0</v>
      </c>
      <c r="AA72" s="142">
        <f>SUMIFS(領用表!$L:$L,領用表!$E:$E,$B72,領用表!$B:$B,AA$2&amp;$R$1)</f>
        <v>0</v>
      </c>
      <c r="AB72" s="142">
        <f>SUMIFS(領用表!$L:$L,領用表!$E:$E,$B72,領用表!$B:$B,AB$2&amp;$R$1)</f>
        <v>0</v>
      </c>
      <c r="AC72" s="142">
        <f>SUMIFS(領用表!$L:$L,領用表!$E:$E,$B72,領用表!$B:$B,AC$2&amp;$R$1)</f>
        <v>0</v>
      </c>
      <c r="AD72" s="142">
        <f t="shared" ref="AD72:AD126" si="16">SUM(R72:AC72)</f>
        <v>66</v>
      </c>
      <c r="AE72" s="142">
        <f t="shared" ref="AE72:AE126" si="17">AVERAGE(R72,S72,T72,U72,V72)</f>
        <v>13.2</v>
      </c>
      <c r="AF72" s="142">
        <f>SUMIF(Summary!B:B,B72,Summary!DV:DV)</f>
        <v>15</v>
      </c>
      <c r="AG72" s="107">
        <v>5</v>
      </c>
      <c r="AH72" s="24"/>
      <c r="AI72" s="65"/>
      <c r="AJ72" s="24" t="s">
        <v>136</v>
      </c>
      <c r="AK72" s="27"/>
      <c r="AL72" s="28"/>
      <c r="AM72" s="14"/>
      <c r="AN72" s="29"/>
    </row>
    <row r="73" spans="1:40" ht="15.75" customHeight="1">
      <c r="A73" s="27" t="s">
        <v>137</v>
      </c>
      <c r="B73" s="14">
        <v>6170013</v>
      </c>
      <c r="C73" s="118" t="s">
        <v>628</v>
      </c>
      <c r="D73" s="43">
        <v>1</v>
      </c>
      <c r="E73" s="17" t="s">
        <v>15</v>
      </c>
      <c r="F73" s="18"/>
      <c r="G73" s="18">
        <v>19</v>
      </c>
      <c r="H73" s="21" t="e">
        <f>SUM(#REF!)</f>
        <v>#REF!</v>
      </c>
      <c r="I73" s="22" t="e">
        <f t="shared" si="15"/>
        <v>#REF!</v>
      </c>
      <c r="J73" s="20">
        <f>SUMIFS(領用表!$L:$L,領用表!$E:$E,$B73,領用表!$B:$B,J$2&amp;$R$1)</f>
        <v>0</v>
      </c>
      <c r="K73" s="20">
        <f>SUMIFS(領用表!$L:$L,領用表!$E:$E,$B73,領用表!$B:$B,K$2&amp;$R$1)</f>
        <v>0</v>
      </c>
      <c r="L73" s="20">
        <f>SUMIFS(領用表!$L:$L,領用表!$E:$E,$B73,領用表!$B:$B,L$2&amp;$R$1)</f>
        <v>4</v>
      </c>
      <c r="M73" s="142">
        <f>SUMIFS(領用表!$L:$L,領用表!$E:$E,$B73,領用表!$B:$B,M$2&amp;$R$1)</f>
        <v>21</v>
      </c>
      <c r="N73" s="142">
        <f>SUMIFS(領用表!$L:$L,領用表!$E:$E,$B73,領用表!$B:$B,N$2&amp;$R$1)</f>
        <v>22</v>
      </c>
      <c r="O73" s="142">
        <f>SUMIFS(領用表!$L:$L,領用表!$E:$E,$B73,領用表!$B:$B,O$2&amp;$R$1)</f>
        <v>38</v>
      </c>
      <c r="P73" s="23">
        <f t="shared" si="1"/>
        <v>85</v>
      </c>
      <c r="Q73" s="23">
        <f t="shared" si="2"/>
        <v>12.142857142857142</v>
      </c>
      <c r="R73" s="142">
        <f>SUMIFS(領用表!$L:$L,領用表!$E:$E,$B73,領用表!$B:$B,R$2&amp;$R$1)</f>
        <v>21</v>
      </c>
      <c r="S73" s="142">
        <f>SUMIFS(領用表!$L:$L,領用表!$E:$E,$B73,領用表!$B:$B,S$2&amp;$R$1)</f>
        <v>13</v>
      </c>
      <c r="T73" s="142">
        <f>SUMIFS(領用表!$L:$L,領用表!$E:$E,$B73,領用表!$B:$B,T$2&amp;$R$1)</f>
        <v>17</v>
      </c>
      <c r="U73" s="142">
        <f>SUMIFS(領用表!$L:$L,領用表!$E:$E,$B73,領用表!$B:$B,U$2&amp;$R$1)</f>
        <v>17</v>
      </c>
      <c r="V73" s="142">
        <f>SUMIFS(領用表!$L:$L,領用表!$E:$E,$B73,領用表!$B:$B,V$2&amp;$R$1)</f>
        <v>22</v>
      </c>
      <c r="W73" s="142">
        <f>SUMIFS(領用表!$L:$L,領用表!$E:$E,$B73,領用表!$B:$B,W$2&amp;$R$1)</f>
        <v>0</v>
      </c>
      <c r="X73" s="142">
        <f>SUMIFS(領用表!$L:$L,領用表!$E:$E,$B73,領用表!$B:$B,X$2&amp;$R$1)</f>
        <v>0</v>
      </c>
      <c r="Y73" s="142">
        <f>SUMIFS(領用表!$L:$L,領用表!$E:$E,$B73,領用表!$B:$B,Y$2&amp;$R$1)</f>
        <v>0</v>
      </c>
      <c r="Z73" s="142">
        <f>SUMIFS(領用表!$L:$L,領用表!$E:$E,$B73,領用表!$B:$B,Z$2&amp;$R$1)</f>
        <v>0</v>
      </c>
      <c r="AA73" s="142">
        <f>SUMIFS(領用表!$L:$L,領用表!$E:$E,$B73,領用表!$B:$B,AA$2&amp;$R$1)</f>
        <v>0</v>
      </c>
      <c r="AB73" s="142">
        <f>SUMIFS(領用表!$L:$L,領用表!$E:$E,$B73,領用表!$B:$B,AB$2&amp;$R$1)</f>
        <v>0</v>
      </c>
      <c r="AC73" s="142">
        <f>SUMIFS(領用表!$L:$L,領用表!$E:$E,$B73,領用表!$B:$B,AC$2&amp;$R$1)</f>
        <v>0</v>
      </c>
      <c r="AD73" s="142">
        <f t="shared" si="16"/>
        <v>90</v>
      </c>
      <c r="AE73" s="142">
        <f t="shared" si="17"/>
        <v>18</v>
      </c>
      <c r="AF73" s="142">
        <f>SUMIF(Summary!B:B,B73,Summary!DV:DV)</f>
        <v>30</v>
      </c>
      <c r="AG73" s="107">
        <v>20</v>
      </c>
      <c r="AH73" s="24"/>
      <c r="AI73" s="24"/>
      <c r="AJ73" s="24" t="s">
        <v>139</v>
      </c>
      <c r="AK73" s="66"/>
      <c r="AL73" s="28"/>
      <c r="AM73" s="14"/>
      <c r="AN73" s="29"/>
    </row>
    <row r="74" spans="1:40" ht="15.75" customHeight="1">
      <c r="A74" s="27" t="s">
        <v>140</v>
      </c>
      <c r="B74" s="118">
        <v>6170015</v>
      </c>
      <c r="C74" s="411" t="s">
        <v>865</v>
      </c>
      <c r="D74" s="43">
        <v>1</v>
      </c>
      <c r="E74" s="17" t="s">
        <v>15</v>
      </c>
      <c r="F74" s="18"/>
      <c r="G74" s="18">
        <v>1</v>
      </c>
      <c r="H74" s="21" t="e">
        <f>SUM(#REF!)</f>
        <v>#REF!</v>
      </c>
      <c r="I74" s="22" t="e">
        <f t="shared" si="15"/>
        <v>#REF!</v>
      </c>
      <c r="J74" s="20">
        <f>SUMIFS(領用表!$L:$L,領用表!$E:$E,$B74,領用表!$B:$B,J$2&amp;$R$1)</f>
        <v>0</v>
      </c>
      <c r="K74" s="20">
        <f>SUMIFS(領用表!$L:$L,領用表!$E:$E,$B74,領用表!$B:$B,K$2&amp;$R$1)</f>
        <v>0</v>
      </c>
      <c r="L74" s="20">
        <f>SUMIFS(領用表!$L:$L,領用表!$E:$E,$B74,領用表!$B:$B,L$2&amp;$R$1)</f>
        <v>0</v>
      </c>
      <c r="M74" s="142">
        <f>SUMIFS(領用表!$L:$L,領用表!$E:$E,$B74,領用表!$B:$B,M$2&amp;$R$1)</f>
        <v>0</v>
      </c>
      <c r="N74" s="142">
        <f>SUMIFS(領用表!$L:$L,領用表!$E:$E,$B74,領用表!$B:$B,N$2&amp;$R$1)</f>
        <v>0</v>
      </c>
      <c r="O74" s="142">
        <f>SUMIFS(領用表!$L:$L,領用表!$E:$E,$B74,領用表!$B:$B,O$2&amp;$R$1)</f>
        <v>0</v>
      </c>
      <c r="P74" s="23">
        <f t="shared" ref="P74:P142" si="18">SUM(,J74,K74,L74,M74,N74,O74)</f>
        <v>0</v>
      </c>
      <c r="Q74" s="23">
        <f t="shared" ref="Q74:Q142" si="19">AVERAGE(,J74,K74,L74,M74,N74,O74)</f>
        <v>0</v>
      </c>
      <c r="R74" s="142">
        <f>SUMIFS(領用表!$L:$L,領用表!$E:$E,$B74,領用表!$B:$B,R$2&amp;$R$1)</f>
        <v>0</v>
      </c>
      <c r="S74" s="142">
        <f>SUMIFS(領用表!$L:$L,領用表!$E:$E,$B74,領用表!$B:$B,S$2&amp;$R$1)</f>
        <v>0</v>
      </c>
      <c r="T74" s="142">
        <f>SUMIFS(領用表!$L:$L,領用表!$E:$E,$B74,領用表!$B:$B,T$2&amp;$R$1)</f>
        <v>0</v>
      </c>
      <c r="U74" s="142">
        <f>SUMIFS(領用表!$L:$L,領用表!$E:$E,$B74,領用表!$B:$B,U$2&amp;$R$1)</f>
        <v>0</v>
      </c>
      <c r="V74" s="142">
        <f>SUMIFS(領用表!$L:$L,領用表!$E:$E,$B74,領用表!$B:$B,V$2&amp;$R$1)</f>
        <v>0</v>
      </c>
      <c r="W74" s="142">
        <f>SUMIFS(領用表!$L:$L,領用表!$E:$E,$B74,領用表!$B:$B,W$2&amp;$R$1)</f>
        <v>0</v>
      </c>
      <c r="X74" s="142">
        <f>SUMIFS(領用表!$L:$L,領用表!$E:$E,$B74,領用表!$B:$B,X$2&amp;$R$1)</f>
        <v>0</v>
      </c>
      <c r="Y74" s="142">
        <f>SUMIFS(領用表!$L:$L,領用表!$E:$E,$B74,領用表!$B:$B,Y$2&amp;$R$1)</f>
        <v>0</v>
      </c>
      <c r="Z74" s="142">
        <f>SUMIFS(領用表!$L:$L,領用表!$E:$E,$B74,領用表!$B:$B,Z$2&amp;$R$1)</f>
        <v>0</v>
      </c>
      <c r="AA74" s="142">
        <f>SUMIFS(領用表!$L:$L,領用表!$E:$E,$B74,領用表!$B:$B,AA$2&amp;$R$1)</f>
        <v>0</v>
      </c>
      <c r="AB74" s="142">
        <f>SUMIFS(領用表!$L:$L,領用表!$E:$E,$B74,領用表!$B:$B,AB$2&amp;$R$1)</f>
        <v>0</v>
      </c>
      <c r="AC74" s="142">
        <f>SUMIFS(領用表!$L:$L,領用表!$E:$E,$B74,領用表!$B:$B,AC$2&amp;$R$1)</f>
        <v>0</v>
      </c>
      <c r="AD74" s="142">
        <f t="shared" si="16"/>
        <v>0</v>
      </c>
      <c r="AE74" s="142">
        <f t="shared" si="17"/>
        <v>0</v>
      </c>
      <c r="AF74" s="142">
        <f>SUMIF(Summary!B:B,B74,Summary!DV:DV)</f>
        <v>0</v>
      </c>
      <c r="AG74" s="107">
        <v>0</v>
      </c>
      <c r="AH74" s="24"/>
      <c r="AI74" s="65"/>
      <c r="AJ74" s="65"/>
      <c r="AK74" s="58"/>
      <c r="AL74" s="28"/>
      <c r="AM74" s="14"/>
      <c r="AN74" s="29"/>
    </row>
    <row r="75" spans="1:40" ht="15.75" customHeight="1">
      <c r="A75" s="27" t="s">
        <v>638</v>
      </c>
      <c r="B75" s="14">
        <v>6140001</v>
      </c>
      <c r="C75" s="118" t="s">
        <v>629</v>
      </c>
      <c r="D75" s="67">
        <v>100</v>
      </c>
      <c r="E75" s="17" t="s">
        <v>141</v>
      </c>
      <c r="F75" s="18"/>
      <c r="G75" s="18">
        <f>D75*(58)+45</f>
        <v>5845</v>
      </c>
      <c r="H75" s="68" t="e">
        <f>SUM(#REF!)</f>
        <v>#REF!</v>
      </c>
      <c r="I75" s="26" t="e">
        <f t="shared" si="15"/>
        <v>#REF!</v>
      </c>
      <c r="J75" s="20">
        <f>SUMIFS(領用表!$L:$L,領用表!$E:$E,$B75,領用表!$B:$B,J$2&amp;$R$1)</f>
        <v>1239</v>
      </c>
      <c r="K75" s="20">
        <f>SUMIFS(領用表!$L:$L,領用表!$E:$E,$B75,領用表!$B:$B,K$2&amp;$R$1)</f>
        <v>3321</v>
      </c>
      <c r="L75" s="20">
        <f>SUMIFS(領用表!$L:$L,領用表!$E:$E,$B75,領用表!$B:$B,L$2&amp;$R$1)</f>
        <v>1685</v>
      </c>
      <c r="M75" s="142">
        <f>SUMIFS(領用表!$L:$L,領用表!$E:$E,$B75,領用表!$B:$B,M$2&amp;$R$1)</f>
        <v>4021</v>
      </c>
      <c r="N75" s="142">
        <f>SUMIFS(領用表!$L:$L,領用表!$E:$E,$B75,領用表!$B:$B,N$2&amp;$R$1)</f>
        <v>4102</v>
      </c>
      <c r="O75" s="142">
        <f>SUMIFS(領用表!$L:$L,領用表!$E:$E,$B75,領用表!$B:$B,O$2&amp;$R$1)</f>
        <v>4079</v>
      </c>
      <c r="P75" s="23">
        <f t="shared" si="18"/>
        <v>18447</v>
      </c>
      <c r="Q75" s="23">
        <f t="shared" si="19"/>
        <v>2635.2857142857142</v>
      </c>
      <c r="R75" s="142">
        <f>SUMIFS(領用表!$L:$L,領用表!$E:$E,$B75,領用表!$B:$B,R$2&amp;$R$1)</f>
        <v>6600</v>
      </c>
      <c r="S75" s="142">
        <f>SUMIFS(領用表!$L:$L,領用表!$E:$E,$B75,領用表!$B:$B,S$2&amp;$R$1)</f>
        <v>4251</v>
      </c>
      <c r="T75" s="142">
        <f>SUMIFS(領用表!$L:$L,領用表!$E:$E,$B75,領用表!$B:$B,T$2&amp;$R$1)</f>
        <v>3997</v>
      </c>
      <c r="U75" s="142">
        <f>SUMIFS(領用表!$L:$L,領用表!$E:$E,$B75,領用表!$B:$B,U$2&amp;$R$1)</f>
        <v>4067</v>
      </c>
      <c r="V75" s="142">
        <f>SUMIFS(領用表!$L:$L,領用表!$E:$E,$B75,領用表!$B:$B,V$2&amp;$R$1)</f>
        <v>4511</v>
      </c>
      <c r="W75" s="142">
        <f>SUMIFS(領用表!$L:$L,領用表!$E:$E,$B75,領用表!$B:$B,W$2&amp;$R$1)</f>
        <v>0</v>
      </c>
      <c r="X75" s="142">
        <f>SUMIFS(領用表!$L:$L,領用表!$E:$E,$B75,領用表!$B:$B,X$2&amp;$R$1)</f>
        <v>0</v>
      </c>
      <c r="Y75" s="142">
        <f>SUMIFS(領用表!$L:$L,領用表!$E:$E,$B75,領用表!$B:$B,Y$2&amp;$R$1)</f>
        <v>0</v>
      </c>
      <c r="Z75" s="142">
        <f>SUMIFS(領用表!$L:$L,領用表!$E:$E,$B75,領用表!$B:$B,Z$2&amp;$R$1)</f>
        <v>0</v>
      </c>
      <c r="AA75" s="142">
        <f>SUMIFS(領用表!$L:$L,領用表!$E:$E,$B75,領用表!$B:$B,AA$2&amp;$R$1)</f>
        <v>0</v>
      </c>
      <c r="AB75" s="142">
        <f>SUMIFS(領用表!$L:$L,領用表!$E:$E,$B75,領用表!$B:$B,AB$2&amp;$R$1)</f>
        <v>0</v>
      </c>
      <c r="AC75" s="142">
        <f>SUMIFS(領用表!$L:$L,領用表!$E:$E,$B75,領用表!$B:$B,AC$2&amp;$R$1)</f>
        <v>0</v>
      </c>
      <c r="AD75" s="142">
        <f t="shared" si="16"/>
        <v>23426</v>
      </c>
      <c r="AE75" s="142">
        <f t="shared" si="17"/>
        <v>4685.2</v>
      </c>
      <c r="AF75" s="142">
        <f>SUMIF(Summary!B:B,B75,Summary!DV:DV)</f>
        <v>5300</v>
      </c>
      <c r="AG75" s="108">
        <v>2200</v>
      </c>
      <c r="AH75" s="65"/>
      <c r="AI75" s="65" t="s">
        <v>142</v>
      </c>
      <c r="AJ75" s="65" t="s">
        <v>143</v>
      </c>
      <c r="AK75" s="27"/>
      <c r="AL75" s="69"/>
      <c r="AM75" s="14"/>
      <c r="AN75" s="29"/>
    </row>
    <row r="76" spans="1:40" ht="15.75" customHeight="1">
      <c r="A76" s="27" t="s">
        <v>639</v>
      </c>
      <c r="B76" s="14">
        <v>6140003</v>
      </c>
      <c r="C76" s="118" t="s">
        <v>630</v>
      </c>
      <c r="D76" s="67">
        <v>200</v>
      </c>
      <c r="E76" s="17" t="s">
        <v>141</v>
      </c>
      <c r="F76" s="18"/>
      <c r="G76" s="18">
        <f>(D76*52)+51</f>
        <v>10451</v>
      </c>
      <c r="H76" s="68" t="e">
        <f>SUM(#REF!)</f>
        <v>#REF!</v>
      </c>
      <c r="I76" s="26" t="e">
        <f t="shared" si="15"/>
        <v>#REF!</v>
      </c>
      <c r="J76" s="20">
        <f>SUMIFS(領用表!$L:$L,領用表!$E:$E,$B76,領用表!$B:$B,J$2&amp;$R$1)</f>
        <v>987</v>
      </c>
      <c r="K76" s="20">
        <f>SUMIFS(領用表!$L:$L,領用表!$E:$E,$B76,領用表!$B:$B,K$2&amp;$R$1)</f>
        <v>2709</v>
      </c>
      <c r="L76" s="20">
        <f>SUMIFS(領用表!$L:$L,領用表!$E:$E,$B76,領用表!$B:$B,L$2&amp;$R$1)</f>
        <v>3049</v>
      </c>
      <c r="M76" s="142">
        <f>SUMIFS(領用表!$L:$L,領用表!$E:$E,$B76,領用表!$B:$B,M$2&amp;$R$1)</f>
        <v>5960</v>
      </c>
      <c r="N76" s="142">
        <f>SUMIFS(領用表!$L:$L,領用表!$E:$E,$B76,領用表!$B:$B,N$2&amp;$R$1)</f>
        <v>7058</v>
      </c>
      <c r="O76" s="142">
        <f>SUMIFS(領用表!$L:$L,領用表!$E:$E,$B76,領用表!$B:$B,O$2&amp;$R$1)</f>
        <v>10079</v>
      </c>
      <c r="P76" s="23">
        <f t="shared" si="18"/>
        <v>29842</v>
      </c>
      <c r="Q76" s="23">
        <f t="shared" si="19"/>
        <v>4263.1428571428569</v>
      </c>
      <c r="R76" s="142">
        <f>SUMIFS(領用表!$L:$L,領用表!$E:$E,$B76,領用表!$B:$B,R$2&amp;$R$1)</f>
        <v>9882</v>
      </c>
      <c r="S76" s="142">
        <f>SUMIFS(領用表!$L:$L,領用表!$E:$E,$B76,領用表!$B:$B,S$2&amp;$R$1)</f>
        <v>7889</v>
      </c>
      <c r="T76" s="142">
        <f>SUMIFS(領用表!$L:$L,領用表!$E:$E,$B76,領用表!$B:$B,T$2&amp;$R$1)</f>
        <v>8176</v>
      </c>
      <c r="U76" s="142">
        <f>SUMIFS(領用表!$L:$L,領用表!$E:$E,$B76,領用表!$B:$B,U$2&amp;$R$1)</f>
        <v>7738</v>
      </c>
      <c r="V76" s="142">
        <f>SUMIFS(領用表!$L:$L,領用表!$E:$E,$B76,領用表!$B:$B,V$2&amp;$R$1)</f>
        <v>8760</v>
      </c>
      <c r="W76" s="142">
        <f>SUMIFS(領用表!$L:$L,領用表!$E:$E,$B76,領用表!$B:$B,W$2&amp;$R$1)</f>
        <v>0</v>
      </c>
      <c r="X76" s="142">
        <f>SUMIFS(領用表!$L:$L,領用表!$E:$E,$B76,領用表!$B:$B,X$2&amp;$R$1)</f>
        <v>0</v>
      </c>
      <c r="Y76" s="142">
        <f>SUMIFS(領用表!$L:$L,領用表!$E:$E,$B76,領用表!$B:$B,Y$2&amp;$R$1)</f>
        <v>0</v>
      </c>
      <c r="Z76" s="142">
        <f>SUMIFS(領用表!$L:$L,領用表!$E:$E,$B76,領用表!$B:$B,Z$2&amp;$R$1)</f>
        <v>0</v>
      </c>
      <c r="AA76" s="142">
        <f>SUMIFS(領用表!$L:$L,領用表!$E:$E,$B76,領用表!$B:$B,AA$2&amp;$R$1)</f>
        <v>0</v>
      </c>
      <c r="AB76" s="142">
        <f>SUMIFS(領用表!$L:$L,領用表!$E:$E,$B76,領用表!$B:$B,AB$2&amp;$R$1)</f>
        <v>0</v>
      </c>
      <c r="AC76" s="142">
        <f>SUMIFS(領用表!$L:$L,領用表!$E:$E,$B76,領用表!$B:$B,AC$2&amp;$R$1)</f>
        <v>0</v>
      </c>
      <c r="AD76" s="142">
        <f t="shared" si="16"/>
        <v>42445</v>
      </c>
      <c r="AE76" s="142">
        <f t="shared" si="17"/>
        <v>8489</v>
      </c>
      <c r="AF76" s="142">
        <f>SUMIF(Summary!B:B,B76,Summary!DV:DV)</f>
        <v>10000</v>
      </c>
      <c r="AG76" s="108">
        <v>5000</v>
      </c>
      <c r="AH76" s="65"/>
      <c r="AI76" s="65" t="s">
        <v>144</v>
      </c>
      <c r="AJ76" s="65"/>
      <c r="AK76" s="27"/>
      <c r="AL76" s="69"/>
      <c r="AM76" s="14"/>
      <c r="AN76" s="29"/>
    </row>
    <row r="77" spans="1:40" ht="15.75" customHeight="1">
      <c r="A77" s="27" t="s">
        <v>640</v>
      </c>
      <c r="B77" s="14">
        <v>6140005</v>
      </c>
      <c r="C77" s="118" t="s">
        <v>631</v>
      </c>
      <c r="D77" s="67">
        <v>200</v>
      </c>
      <c r="E77" s="17" t="s">
        <v>141</v>
      </c>
      <c r="F77" s="18"/>
      <c r="G77" s="18">
        <f>D77*(30)+104</f>
        <v>6104</v>
      </c>
      <c r="H77" s="68" t="e">
        <f>SUM(#REF!)</f>
        <v>#REF!</v>
      </c>
      <c r="I77" s="26" t="e">
        <f t="shared" si="15"/>
        <v>#REF!</v>
      </c>
      <c r="J77" s="20">
        <f>SUMIFS(領用表!$L:$L,領用表!$E:$E,$B77,領用表!$B:$B,J$2&amp;$R$1)</f>
        <v>1612</v>
      </c>
      <c r="K77" s="20">
        <f>SUMIFS(領用表!$L:$L,領用表!$E:$E,$B77,領用表!$B:$B,K$2&amp;$R$1)</f>
        <v>2105</v>
      </c>
      <c r="L77" s="20">
        <f>SUMIFS(領用表!$L:$L,領用表!$E:$E,$B77,領用表!$B:$B,L$2&amp;$R$1)</f>
        <v>968</v>
      </c>
      <c r="M77" s="142">
        <f>SUMIFS(領用表!$L:$L,領用表!$E:$E,$B77,領用表!$B:$B,M$2&amp;$R$1)</f>
        <v>1359</v>
      </c>
      <c r="N77" s="142">
        <f>SUMIFS(領用表!$L:$L,領用表!$E:$E,$B77,領用表!$B:$B,N$2&amp;$R$1)</f>
        <v>1252</v>
      </c>
      <c r="O77" s="142">
        <f>SUMIFS(領用表!$L:$L,領用表!$E:$E,$B77,領用表!$B:$B,O$2&amp;$R$1)</f>
        <v>1420</v>
      </c>
      <c r="P77" s="23">
        <f t="shared" si="18"/>
        <v>8716</v>
      </c>
      <c r="Q77" s="23">
        <f t="shared" si="19"/>
        <v>1245.1428571428571</v>
      </c>
      <c r="R77" s="142">
        <f>SUMIFS(領用表!$L:$L,領用表!$E:$E,$B77,領用表!$B:$B,R$2&amp;$R$1)</f>
        <v>1684</v>
      </c>
      <c r="S77" s="142">
        <f>SUMIFS(領用表!$L:$L,領用表!$E:$E,$B77,領用表!$B:$B,S$2&amp;$R$1)</f>
        <v>1342</v>
      </c>
      <c r="T77" s="142">
        <f>SUMIFS(領用表!$L:$L,領用表!$E:$E,$B77,領用表!$B:$B,T$2&amp;$R$1)</f>
        <v>4579</v>
      </c>
      <c r="U77" s="142">
        <f>SUMIFS(領用表!$L:$L,領用表!$E:$E,$B77,領用表!$B:$B,U$2&amp;$R$1)</f>
        <v>5459</v>
      </c>
      <c r="V77" s="142">
        <f>SUMIFS(領用表!$L:$L,領用表!$E:$E,$B77,領用表!$B:$B,V$2&amp;$R$1)</f>
        <v>7007</v>
      </c>
      <c r="W77" s="142">
        <f>SUMIFS(領用表!$L:$L,領用表!$E:$E,$B77,領用表!$B:$B,W$2&amp;$R$1)</f>
        <v>0</v>
      </c>
      <c r="X77" s="142">
        <f>SUMIFS(領用表!$L:$L,領用表!$E:$E,$B77,領用表!$B:$B,X$2&amp;$R$1)</f>
        <v>0</v>
      </c>
      <c r="Y77" s="142">
        <f>SUMIFS(領用表!$L:$L,領用表!$E:$E,$B77,領用表!$B:$B,Y$2&amp;$R$1)</f>
        <v>0</v>
      </c>
      <c r="Z77" s="142">
        <f>SUMIFS(領用表!$L:$L,領用表!$E:$E,$B77,領用表!$B:$B,Z$2&amp;$R$1)</f>
        <v>0</v>
      </c>
      <c r="AA77" s="142">
        <f>SUMIFS(領用表!$L:$L,領用表!$E:$E,$B77,領用表!$B:$B,AA$2&amp;$R$1)</f>
        <v>0</v>
      </c>
      <c r="AB77" s="142">
        <f>SUMIFS(領用表!$L:$L,領用表!$E:$E,$B77,領用表!$B:$B,AB$2&amp;$R$1)</f>
        <v>0</v>
      </c>
      <c r="AC77" s="142">
        <f>SUMIFS(領用表!$L:$L,領用表!$E:$E,$B77,領用表!$B:$B,AC$2&amp;$R$1)</f>
        <v>0</v>
      </c>
      <c r="AD77" s="142">
        <f t="shared" si="16"/>
        <v>20071</v>
      </c>
      <c r="AE77" s="142">
        <f t="shared" si="17"/>
        <v>4014.2</v>
      </c>
      <c r="AF77" s="142">
        <f>SUMIF(Summary!B:B,B77,Summary!DV:DV)</f>
        <v>1400</v>
      </c>
      <c r="AG77" s="108">
        <v>2200</v>
      </c>
      <c r="AH77" s="65"/>
      <c r="AI77" s="65"/>
      <c r="AJ77" s="65"/>
      <c r="AK77" s="27"/>
      <c r="AL77" s="69"/>
      <c r="AM77" s="14"/>
      <c r="AN77" s="29"/>
    </row>
    <row r="78" spans="1:40" ht="15.75" customHeight="1">
      <c r="A78" s="27" t="s">
        <v>152</v>
      </c>
      <c r="B78" s="14">
        <v>6120001</v>
      </c>
      <c r="C78" s="118" t="s">
        <v>633</v>
      </c>
      <c r="D78" s="67">
        <v>20</v>
      </c>
      <c r="E78" s="17" t="s">
        <v>15</v>
      </c>
      <c r="F78" s="18"/>
      <c r="G78" s="18"/>
      <c r="H78" s="68" t="e">
        <f>SUM(#REF!)</f>
        <v>#REF!</v>
      </c>
      <c r="I78" s="26" t="e">
        <f t="shared" ref="I78:I122" si="20">H78/12</f>
        <v>#REF!</v>
      </c>
      <c r="J78" s="20">
        <f>SUMIFS(領用表!$L:$L,領用表!$E:$E,$B78,領用表!$B:$B,J$2&amp;$R$1)</f>
        <v>0</v>
      </c>
      <c r="K78" s="20">
        <f>SUMIFS(領用表!$L:$L,領用表!$E:$E,$B78,領用表!$B:$B,K$2&amp;$R$1)</f>
        <v>0</v>
      </c>
      <c r="L78" s="20">
        <f>SUMIFS(領用表!$L:$L,領用表!$E:$E,$B78,領用表!$B:$B,L$2&amp;$R$1)</f>
        <v>0</v>
      </c>
      <c r="M78" s="142">
        <f>SUMIFS(領用表!$L:$L,領用表!$E:$E,$B78,領用表!$B:$B,M$2&amp;$R$1)</f>
        <v>2</v>
      </c>
      <c r="N78" s="142">
        <f>SUMIFS(領用表!$L:$L,領用表!$E:$E,$B78,領用表!$B:$B,N$2&amp;$R$1)</f>
        <v>0</v>
      </c>
      <c r="O78" s="142">
        <f>SUMIFS(領用表!$L:$L,領用表!$E:$E,$B78,領用表!$B:$B,O$2&amp;$R$1)</f>
        <v>0</v>
      </c>
      <c r="P78" s="23">
        <f t="shared" si="18"/>
        <v>2</v>
      </c>
      <c r="Q78" s="23">
        <f t="shared" si="19"/>
        <v>0.2857142857142857</v>
      </c>
      <c r="R78" s="142">
        <f>SUMIFS(領用表!$L:$L,領用表!$E:$E,$B78,領用表!$B:$B,R$2&amp;$R$1)</f>
        <v>0</v>
      </c>
      <c r="S78" s="142">
        <f>SUMIFS(領用表!$L:$L,領用表!$E:$E,$B78,領用表!$B:$B,S$2&amp;$R$1)</f>
        <v>0</v>
      </c>
      <c r="T78" s="142">
        <f>SUMIFS(領用表!$L:$L,領用表!$E:$E,$B78,領用表!$B:$B,T$2&amp;$R$1)</f>
        <v>0</v>
      </c>
      <c r="U78" s="142">
        <f>SUMIFS(領用表!$L:$L,領用表!$E:$E,$B78,領用表!$B:$B,U$2&amp;$R$1)</f>
        <v>0</v>
      </c>
      <c r="V78" s="142">
        <f>SUMIFS(領用表!$L:$L,領用表!$E:$E,$B78,領用表!$B:$B,V$2&amp;$R$1)</f>
        <v>0</v>
      </c>
      <c r="W78" s="142">
        <f>SUMIFS(領用表!$L:$L,領用表!$E:$E,$B78,領用表!$B:$B,W$2&amp;$R$1)</f>
        <v>0</v>
      </c>
      <c r="X78" s="142">
        <f>SUMIFS(領用表!$L:$L,領用表!$E:$E,$B78,領用表!$B:$B,X$2&amp;$R$1)</f>
        <v>0</v>
      </c>
      <c r="Y78" s="142">
        <f>SUMIFS(領用表!$L:$L,領用表!$E:$E,$B78,領用表!$B:$B,Y$2&amp;$R$1)</f>
        <v>0</v>
      </c>
      <c r="Z78" s="142">
        <f>SUMIFS(領用表!$L:$L,領用表!$E:$E,$B78,領用表!$B:$B,Z$2&amp;$R$1)</f>
        <v>0</v>
      </c>
      <c r="AA78" s="142">
        <f>SUMIFS(領用表!$L:$L,領用表!$E:$E,$B78,領用表!$B:$B,AA$2&amp;$R$1)</f>
        <v>0</v>
      </c>
      <c r="AB78" s="142">
        <f>SUMIFS(領用表!$L:$L,領用表!$E:$E,$B78,領用表!$B:$B,AB$2&amp;$R$1)</f>
        <v>0</v>
      </c>
      <c r="AC78" s="142">
        <f>SUMIFS(領用表!$L:$L,領用表!$E:$E,$B78,領用表!$B:$B,AC$2&amp;$R$1)</f>
        <v>0</v>
      </c>
      <c r="AD78" s="142">
        <f t="shared" si="16"/>
        <v>0</v>
      </c>
      <c r="AE78" s="142">
        <f t="shared" si="17"/>
        <v>0</v>
      </c>
      <c r="AF78" s="142">
        <f>SUMIF(Summary!B:B,B78,Summary!DV:DV)</f>
        <v>2</v>
      </c>
      <c r="AG78" s="108">
        <v>180</v>
      </c>
      <c r="AH78" s="65"/>
      <c r="AI78" s="65" t="s">
        <v>153</v>
      </c>
      <c r="AJ78" s="65" t="s">
        <v>154</v>
      </c>
      <c r="AK78" s="27"/>
      <c r="AL78" s="69"/>
      <c r="AM78" s="14"/>
      <c r="AN78" s="29"/>
    </row>
    <row r="79" spans="1:40" ht="15.75" customHeight="1">
      <c r="A79" s="27" t="s">
        <v>155</v>
      </c>
      <c r="B79" s="14">
        <v>6120002</v>
      </c>
      <c r="C79" s="118" t="s">
        <v>634</v>
      </c>
      <c r="D79" s="67">
        <v>20</v>
      </c>
      <c r="E79" s="17" t="s">
        <v>15</v>
      </c>
      <c r="F79" s="18"/>
      <c r="G79" s="18"/>
      <c r="H79" s="68" t="e">
        <f>SUM(#REF!)</f>
        <v>#REF!</v>
      </c>
      <c r="I79" s="26" t="e">
        <f t="shared" si="20"/>
        <v>#REF!</v>
      </c>
      <c r="J79" s="20">
        <f>SUMIFS(領用表!$L:$L,領用表!$E:$E,$B79,領用表!$B:$B,J$2&amp;$R$1)</f>
        <v>0.5</v>
      </c>
      <c r="K79" s="20">
        <f>SUMIFS(領用表!$L:$L,領用表!$E:$E,$B79,領用表!$B:$B,K$2&amp;$R$1)</f>
        <v>0</v>
      </c>
      <c r="L79" s="20">
        <f>SUMIFS(領用表!$L:$L,領用表!$E:$E,$B79,領用表!$B:$B,L$2&amp;$R$1)</f>
        <v>0</v>
      </c>
      <c r="M79" s="142">
        <f>SUMIFS(領用表!$L:$L,領用表!$E:$E,$B79,領用表!$B:$B,M$2&amp;$R$1)</f>
        <v>2</v>
      </c>
      <c r="N79" s="142">
        <f>SUMIFS(領用表!$L:$L,領用表!$E:$E,$B79,領用表!$B:$B,N$2&amp;$R$1)</f>
        <v>0</v>
      </c>
      <c r="O79" s="142">
        <f>SUMIFS(領用表!$L:$L,領用表!$E:$E,$B79,領用表!$B:$B,O$2&amp;$R$1)</f>
        <v>0</v>
      </c>
      <c r="P79" s="23">
        <f t="shared" si="18"/>
        <v>2.5</v>
      </c>
      <c r="Q79" s="23">
        <f t="shared" si="19"/>
        <v>0.35714285714285715</v>
      </c>
      <c r="R79" s="142">
        <f>SUMIFS(領用表!$L:$L,領用表!$E:$E,$B79,領用表!$B:$B,R$2&amp;$R$1)</f>
        <v>0</v>
      </c>
      <c r="S79" s="142">
        <f>SUMIFS(領用表!$L:$L,領用表!$E:$E,$B79,領用表!$B:$B,S$2&amp;$R$1)</f>
        <v>0</v>
      </c>
      <c r="T79" s="142">
        <f>SUMIFS(領用表!$L:$L,領用表!$E:$E,$B79,領用表!$B:$B,T$2&amp;$R$1)</f>
        <v>0</v>
      </c>
      <c r="U79" s="142">
        <f>SUMIFS(領用表!$L:$L,領用表!$E:$E,$B79,領用表!$B:$B,U$2&amp;$R$1)</f>
        <v>0</v>
      </c>
      <c r="V79" s="142">
        <f>SUMIFS(領用表!$L:$L,領用表!$E:$E,$B79,領用表!$B:$B,V$2&amp;$R$1)</f>
        <v>0</v>
      </c>
      <c r="W79" s="142">
        <f>SUMIFS(領用表!$L:$L,領用表!$E:$E,$B79,領用表!$B:$B,W$2&amp;$R$1)</f>
        <v>0</v>
      </c>
      <c r="X79" s="142">
        <f>SUMIFS(領用表!$L:$L,領用表!$E:$E,$B79,領用表!$B:$B,X$2&amp;$R$1)</f>
        <v>0</v>
      </c>
      <c r="Y79" s="142">
        <f>SUMIFS(領用表!$L:$L,領用表!$E:$E,$B79,領用表!$B:$B,Y$2&amp;$R$1)</f>
        <v>0</v>
      </c>
      <c r="Z79" s="142">
        <f>SUMIFS(領用表!$L:$L,領用表!$E:$E,$B79,領用表!$B:$B,Z$2&amp;$R$1)</f>
        <v>0</v>
      </c>
      <c r="AA79" s="142">
        <f>SUMIFS(領用表!$L:$L,領用表!$E:$E,$B79,領用表!$B:$B,AA$2&amp;$R$1)</f>
        <v>0</v>
      </c>
      <c r="AB79" s="142">
        <f>SUMIFS(領用表!$L:$L,領用表!$E:$E,$B79,領用表!$B:$B,AB$2&amp;$R$1)</f>
        <v>0</v>
      </c>
      <c r="AC79" s="142">
        <f>SUMIFS(領用表!$L:$L,領用表!$E:$E,$B79,領用表!$B:$B,AC$2&amp;$R$1)</f>
        <v>0</v>
      </c>
      <c r="AD79" s="142">
        <f t="shared" si="16"/>
        <v>0</v>
      </c>
      <c r="AE79" s="142">
        <f t="shared" si="17"/>
        <v>0</v>
      </c>
      <c r="AF79" s="142">
        <f>SUMIF(Summary!B:B,B79,Summary!DV:DV)</f>
        <v>2</v>
      </c>
      <c r="AG79" s="108">
        <v>230</v>
      </c>
      <c r="AH79" s="65"/>
      <c r="AI79" s="65" t="s">
        <v>153</v>
      </c>
      <c r="AJ79" s="65" t="s">
        <v>156</v>
      </c>
      <c r="AK79" s="27"/>
      <c r="AL79" s="69"/>
      <c r="AM79" s="14"/>
      <c r="AN79" s="29"/>
    </row>
    <row r="80" spans="1:40" ht="15.75" customHeight="1">
      <c r="A80" s="27" t="s">
        <v>648</v>
      </c>
      <c r="B80" s="14">
        <v>6120003</v>
      </c>
      <c r="C80" s="14" t="s">
        <v>645</v>
      </c>
      <c r="D80" s="67">
        <v>10</v>
      </c>
      <c r="E80" s="17" t="s">
        <v>15</v>
      </c>
      <c r="F80" s="18"/>
      <c r="G80" s="18">
        <v>23</v>
      </c>
      <c r="H80" s="68" t="e">
        <f>SUM(#REF!)</f>
        <v>#REF!</v>
      </c>
      <c r="I80" s="26" t="e">
        <f t="shared" si="20"/>
        <v>#REF!</v>
      </c>
      <c r="J80" s="20">
        <f>SUMIFS(領用表!$L:$L,領用表!$E:$E,$B80,領用表!$B:$B,J$2&amp;$R$1)</f>
        <v>0</v>
      </c>
      <c r="K80" s="20">
        <f>SUMIFS(領用表!$L:$L,領用表!$E:$E,$B80,領用表!$B:$B,K$2&amp;$R$1)</f>
        <v>0</v>
      </c>
      <c r="L80" s="20">
        <f>SUMIFS(領用表!$L:$L,領用表!$E:$E,$B80,領用表!$B:$B,L$2&amp;$R$1)</f>
        <v>0</v>
      </c>
      <c r="M80" s="142">
        <f>SUMIFS(領用表!$L:$L,領用表!$E:$E,$B80,領用表!$B:$B,M$2&amp;$R$1)</f>
        <v>5</v>
      </c>
      <c r="N80" s="142">
        <f>SUMIFS(領用表!$L:$L,領用表!$E:$E,$B80,領用表!$B:$B,N$2&amp;$R$1)</f>
        <v>10</v>
      </c>
      <c r="O80" s="142">
        <f>SUMIFS(領用表!$L:$L,領用表!$E:$E,$B80,領用表!$B:$B,O$2&amp;$R$1)</f>
        <v>20</v>
      </c>
      <c r="P80" s="23">
        <f t="shared" si="18"/>
        <v>35</v>
      </c>
      <c r="Q80" s="23">
        <f t="shared" si="19"/>
        <v>5</v>
      </c>
      <c r="R80" s="142">
        <f>SUMIFS(領用表!$L:$L,領用表!$E:$E,$B80,領用表!$B:$B,R$2&amp;$R$1)</f>
        <v>9</v>
      </c>
      <c r="S80" s="142">
        <f>SUMIFS(領用表!$L:$L,領用表!$E:$E,$B80,領用表!$B:$B,S$2&amp;$R$1)</f>
        <v>2</v>
      </c>
      <c r="T80" s="142">
        <f>SUMIFS(領用表!$L:$L,領用表!$E:$E,$B80,領用表!$B:$B,T$2&amp;$R$1)</f>
        <v>5</v>
      </c>
      <c r="U80" s="142">
        <f>SUMIFS(領用表!$L:$L,領用表!$E:$E,$B80,領用表!$B:$B,U$2&amp;$R$1)</f>
        <v>4</v>
      </c>
      <c r="V80" s="142">
        <f>SUMIFS(領用表!$L:$L,領用表!$E:$E,$B80,領用表!$B:$B,V$2&amp;$R$1)</f>
        <v>0</v>
      </c>
      <c r="W80" s="142">
        <f>SUMIFS(領用表!$L:$L,領用表!$E:$E,$B80,領用表!$B:$B,W$2&amp;$R$1)</f>
        <v>0</v>
      </c>
      <c r="X80" s="142">
        <f>SUMIFS(領用表!$L:$L,領用表!$E:$E,$B80,領用表!$B:$B,X$2&amp;$R$1)</f>
        <v>0</v>
      </c>
      <c r="Y80" s="142">
        <f>SUMIFS(領用表!$L:$L,領用表!$E:$E,$B80,領用表!$B:$B,Y$2&amp;$R$1)</f>
        <v>0</v>
      </c>
      <c r="Z80" s="142">
        <f>SUMIFS(領用表!$L:$L,領用表!$E:$E,$B80,領用表!$B:$B,Z$2&amp;$R$1)</f>
        <v>0</v>
      </c>
      <c r="AA80" s="142">
        <f>SUMIFS(領用表!$L:$L,領用表!$E:$E,$B80,領用表!$B:$B,AA$2&amp;$R$1)</f>
        <v>0</v>
      </c>
      <c r="AB80" s="142">
        <f>SUMIFS(領用表!$L:$L,領用表!$E:$E,$B80,領用表!$B:$B,AB$2&amp;$R$1)</f>
        <v>0</v>
      </c>
      <c r="AC80" s="142">
        <f>SUMIFS(領用表!$L:$L,領用表!$E:$E,$B80,領用表!$B:$B,AC$2&amp;$R$1)</f>
        <v>0</v>
      </c>
      <c r="AD80" s="142">
        <f t="shared" si="16"/>
        <v>20</v>
      </c>
      <c r="AE80" s="142">
        <f t="shared" si="17"/>
        <v>4</v>
      </c>
      <c r="AF80" s="142">
        <f>SUMIF(Summary!B:B,B80,Summary!DV:DV)</f>
        <v>5</v>
      </c>
      <c r="AG80" s="108">
        <v>0</v>
      </c>
      <c r="AH80" s="65"/>
      <c r="AI80" s="65"/>
      <c r="AJ80" s="65"/>
      <c r="AK80" s="27"/>
      <c r="AL80" s="69"/>
      <c r="AM80" s="14"/>
      <c r="AN80" s="29"/>
    </row>
    <row r="81" spans="1:40" ht="15.75" customHeight="1">
      <c r="A81" s="27" t="s">
        <v>649</v>
      </c>
      <c r="B81" s="14">
        <v>6120036</v>
      </c>
      <c r="C81" s="14" t="s">
        <v>647</v>
      </c>
      <c r="D81" s="67">
        <v>10</v>
      </c>
      <c r="E81" s="17" t="s">
        <v>15</v>
      </c>
      <c r="F81" s="18"/>
      <c r="G81" s="18">
        <v>103</v>
      </c>
      <c r="H81" s="68"/>
      <c r="I81" s="26"/>
      <c r="J81" s="20">
        <f>SUMIFS(領用表!$L:$L,領用表!$E:$E,$B81,領用表!$B:$B,J$2&amp;$R$1)</f>
        <v>0</v>
      </c>
      <c r="K81" s="20">
        <f>SUMIFS(領用表!$L:$L,領用表!$E:$E,$B81,領用表!$B:$B,K$2&amp;$R$1)</f>
        <v>0</v>
      </c>
      <c r="L81" s="20">
        <f>SUMIFS(領用表!$L:$L,領用表!$E:$E,$B81,領用表!$B:$B,L$2&amp;$R$1)</f>
        <v>0</v>
      </c>
      <c r="M81" s="142">
        <f>SUMIFS(領用表!$L:$L,領用表!$E:$E,$B81,領用表!$B:$B,M$2&amp;$R$1)</f>
        <v>1</v>
      </c>
      <c r="N81" s="142">
        <f>SUMIFS(領用表!$L:$L,領用表!$E:$E,$B81,領用表!$B:$B,N$2&amp;$R$1)</f>
        <v>1</v>
      </c>
      <c r="O81" s="142">
        <f>SUMIFS(領用表!$L:$L,領用表!$E:$E,$B81,領用表!$B:$B,O$2&amp;$R$1)</f>
        <v>16</v>
      </c>
      <c r="P81" s="23">
        <f t="shared" si="18"/>
        <v>18</v>
      </c>
      <c r="Q81" s="23">
        <f t="shared" si="19"/>
        <v>2.5714285714285716</v>
      </c>
      <c r="R81" s="142">
        <f>SUMIFS(領用表!$L:$L,領用表!$E:$E,$B81,領用表!$B:$B,R$2&amp;$R$1)</f>
        <v>49</v>
      </c>
      <c r="S81" s="142">
        <f>SUMIFS(領用表!$L:$L,領用表!$E:$E,$B81,領用表!$B:$B,S$2&amp;$R$1)</f>
        <v>30</v>
      </c>
      <c r="T81" s="142">
        <f>SUMIFS(領用表!$L:$L,領用表!$E:$E,$B81,領用表!$B:$B,T$2&amp;$R$1)</f>
        <v>40</v>
      </c>
      <c r="U81" s="142">
        <f>SUMIFS(領用表!$L:$L,領用表!$E:$E,$B81,領用表!$B:$B,U$2&amp;$R$1)</f>
        <v>29</v>
      </c>
      <c r="V81" s="142">
        <f>SUMIFS(領用表!$L:$L,領用表!$E:$E,$B81,領用表!$B:$B,V$2&amp;$R$1)</f>
        <v>34</v>
      </c>
      <c r="W81" s="142">
        <f>SUMIFS(領用表!$L:$L,領用表!$E:$E,$B81,領用表!$B:$B,W$2&amp;$R$1)</f>
        <v>0</v>
      </c>
      <c r="X81" s="142">
        <f>SUMIFS(領用表!$L:$L,領用表!$E:$E,$B81,領用表!$B:$B,X$2&amp;$R$1)</f>
        <v>0</v>
      </c>
      <c r="Y81" s="142">
        <f>SUMIFS(領用表!$L:$L,領用表!$E:$E,$B81,領用表!$B:$B,Y$2&amp;$R$1)</f>
        <v>0</v>
      </c>
      <c r="Z81" s="142">
        <f>SUMIFS(領用表!$L:$L,領用表!$E:$E,$B81,領用表!$B:$B,Z$2&amp;$R$1)</f>
        <v>0</v>
      </c>
      <c r="AA81" s="142">
        <f>SUMIFS(領用表!$L:$L,領用表!$E:$E,$B81,領用表!$B:$B,AA$2&amp;$R$1)</f>
        <v>0</v>
      </c>
      <c r="AB81" s="142">
        <f>SUMIFS(領用表!$L:$L,領用表!$E:$E,$B81,領用表!$B:$B,AB$2&amp;$R$1)</f>
        <v>0</v>
      </c>
      <c r="AC81" s="142">
        <f>SUMIFS(領用表!$L:$L,領用表!$E:$E,$B81,領用表!$B:$B,AC$2&amp;$R$1)</f>
        <v>0</v>
      </c>
      <c r="AD81" s="142">
        <f t="shared" si="16"/>
        <v>182</v>
      </c>
      <c r="AE81" s="142">
        <f t="shared" si="17"/>
        <v>36.4</v>
      </c>
      <c r="AF81" s="142">
        <f>SUMIF(Summary!B:B,B81,Summary!DV:DV)</f>
        <v>0</v>
      </c>
      <c r="AG81" s="108">
        <v>0</v>
      </c>
      <c r="AH81" s="65"/>
      <c r="AI81" s="65"/>
      <c r="AJ81" s="65"/>
      <c r="AK81" s="27"/>
      <c r="AL81" s="69"/>
      <c r="AM81" s="14"/>
      <c r="AN81" s="29"/>
    </row>
    <row r="82" spans="1:40" ht="15.75" customHeight="1">
      <c r="A82" s="27" t="s">
        <v>650</v>
      </c>
      <c r="B82" s="14">
        <v>6200003</v>
      </c>
      <c r="C82" s="14" t="s">
        <v>646</v>
      </c>
      <c r="D82" s="75">
        <v>1</v>
      </c>
      <c r="E82" s="17" t="s">
        <v>15</v>
      </c>
      <c r="F82" s="18"/>
      <c r="G82" s="18">
        <v>13</v>
      </c>
      <c r="H82" s="68" t="e">
        <f>SUM(#REF!)</f>
        <v>#REF!</v>
      </c>
      <c r="I82" s="26" t="e">
        <f t="shared" si="20"/>
        <v>#REF!</v>
      </c>
      <c r="J82" s="20">
        <f>SUMIFS(領用表!$L:$L,領用表!$E:$E,$B82,領用表!$B:$B,J$2&amp;$R$1)</f>
        <v>5</v>
      </c>
      <c r="K82" s="20">
        <f>SUMIFS(領用表!$L:$L,領用表!$E:$E,$B82,領用表!$B:$B,K$2&amp;$R$1)</f>
        <v>2</v>
      </c>
      <c r="L82" s="20">
        <f>SUMIFS(領用表!$L:$L,領用表!$E:$E,$B82,領用表!$B:$B,L$2&amp;$R$1)</f>
        <v>9</v>
      </c>
      <c r="M82" s="142">
        <f>SUMIFS(領用表!$L:$L,領用表!$E:$E,$B82,領用表!$B:$B,M$2&amp;$R$1)</f>
        <v>6</v>
      </c>
      <c r="N82" s="142">
        <f>SUMIFS(領用表!$L:$L,領用表!$E:$E,$B82,領用表!$B:$B,N$2&amp;$R$1)</f>
        <v>7</v>
      </c>
      <c r="O82" s="142">
        <f>SUMIFS(領用表!$L:$L,領用表!$E:$E,$B82,領用表!$B:$B,O$2&amp;$R$1)</f>
        <v>9</v>
      </c>
      <c r="P82" s="23">
        <f t="shared" si="18"/>
        <v>38</v>
      </c>
      <c r="Q82" s="23">
        <f t="shared" si="19"/>
        <v>5.4285714285714288</v>
      </c>
      <c r="R82" s="142">
        <f>SUMIFS(領用表!$L:$L,領用表!$E:$E,$B82,領用表!$B:$B,R$2&amp;$R$1)</f>
        <v>15</v>
      </c>
      <c r="S82" s="142">
        <f>SUMIFS(領用表!$L:$L,領用表!$E:$E,$B82,領用表!$B:$B,S$2&amp;$R$1)</f>
        <v>6</v>
      </c>
      <c r="T82" s="142">
        <f>SUMIFS(領用表!$L:$L,領用表!$E:$E,$B82,領用表!$B:$B,T$2&amp;$R$1)</f>
        <v>9</v>
      </c>
      <c r="U82" s="142">
        <f>SUMIFS(領用表!$L:$L,領用表!$E:$E,$B82,領用表!$B:$B,U$2&amp;$R$1)</f>
        <v>2</v>
      </c>
      <c r="V82" s="142">
        <f>SUMIFS(領用表!$L:$L,領用表!$E:$E,$B82,領用表!$B:$B,V$2&amp;$R$1)</f>
        <v>7</v>
      </c>
      <c r="W82" s="142">
        <f>SUMIFS(領用表!$L:$L,領用表!$E:$E,$B82,領用表!$B:$B,W$2&amp;$R$1)</f>
        <v>0</v>
      </c>
      <c r="X82" s="142">
        <f>SUMIFS(領用表!$L:$L,領用表!$E:$E,$B82,領用表!$B:$B,X$2&amp;$R$1)</f>
        <v>0</v>
      </c>
      <c r="Y82" s="142">
        <f>SUMIFS(領用表!$L:$L,領用表!$E:$E,$B82,領用表!$B:$B,Y$2&amp;$R$1)</f>
        <v>0</v>
      </c>
      <c r="Z82" s="142">
        <f>SUMIFS(領用表!$L:$L,領用表!$E:$E,$B82,領用表!$B:$B,Z$2&amp;$R$1)</f>
        <v>0</v>
      </c>
      <c r="AA82" s="142">
        <f>SUMIFS(領用表!$L:$L,領用表!$E:$E,$B82,領用表!$B:$B,AA$2&amp;$R$1)</f>
        <v>0</v>
      </c>
      <c r="AB82" s="142">
        <f>SUMIFS(領用表!$L:$L,領用表!$E:$E,$B82,領用表!$B:$B,AB$2&amp;$R$1)</f>
        <v>0</v>
      </c>
      <c r="AC82" s="142">
        <f>SUMIFS(領用表!$L:$L,領用表!$E:$E,$B82,領用表!$B:$B,AC$2&amp;$R$1)</f>
        <v>0</v>
      </c>
      <c r="AD82" s="142">
        <f t="shared" si="16"/>
        <v>39</v>
      </c>
      <c r="AE82" s="142">
        <f t="shared" si="17"/>
        <v>7.8</v>
      </c>
      <c r="AF82" s="142">
        <f>SUMIF(Summary!B:B,B82,Summary!DV:DV)</f>
        <v>2</v>
      </c>
      <c r="AG82" s="108">
        <v>10</v>
      </c>
      <c r="AH82" s="65"/>
      <c r="AI82" s="65"/>
      <c r="AJ82" s="65"/>
      <c r="AK82" s="27"/>
      <c r="AL82" s="69"/>
      <c r="AM82" s="14"/>
      <c r="AN82" s="29"/>
    </row>
    <row r="83" spans="1:40" ht="15.75" customHeight="1">
      <c r="A83" s="27" t="s">
        <v>651</v>
      </c>
      <c r="B83" s="14">
        <v>6200006</v>
      </c>
      <c r="C83" s="136" t="s">
        <v>508</v>
      </c>
      <c r="D83" s="75">
        <v>1</v>
      </c>
      <c r="E83" s="17" t="s">
        <v>15</v>
      </c>
      <c r="F83" s="18"/>
      <c r="G83" s="18">
        <v>2</v>
      </c>
      <c r="H83" s="68" t="e">
        <f>SUM(#REF!)</f>
        <v>#REF!</v>
      </c>
      <c r="I83" s="26" t="e">
        <f t="shared" si="20"/>
        <v>#REF!</v>
      </c>
      <c r="J83" s="20">
        <f>SUMIFS(領用表!$L:$L,領用表!$E:$E,$B83,領用表!$B:$B,J$2&amp;$R$1)</f>
        <v>0</v>
      </c>
      <c r="K83" s="20">
        <f>SUMIFS(領用表!$L:$L,領用表!$E:$E,$B83,領用表!$B:$B,K$2&amp;$R$1)</f>
        <v>0</v>
      </c>
      <c r="L83" s="20">
        <f>SUMIFS(領用表!$L:$L,領用表!$E:$E,$B83,領用表!$B:$B,L$2&amp;$R$1)</f>
        <v>0</v>
      </c>
      <c r="M83" s="142">
        <f>SUMIFS(領用表!$L:$L,領用表!$E:$E,$B83,領用表!$B:$B,M$2&amp;$R$1)</f>
        <v>0</v>
      </c>
      <c r="N83" s="142">
        <f>SUMIFS(領用表!$L:$L,領用表!$E:$E,$B83,領用表!$B:$B,N$2&amp;$R$1)</f>
        <v>0</v>
      </c>
      <c r="O83" s="142">
        <f>SUMIFS(領用表!$L:$L,領用表!$E:$E,$B83,領用表!$B:$B,O$2&amp;$R$1)</f>
        <v>0</v>
      </c>
      <c r="P83" s="23">
        <f t="shared" si="18"/>
        <v>0</v>
      </c>
      <c r="Q83" s="23">
        <f t="shared" si="19"/>
        <v>0</v>
      </c>
      <c r="R83" s="142">
        <f>SUMIFS(領用表!$L:$L,領用表!$E:$E,$B83,領用表!$B:$B,R$2&amp;$R$1)</f>
        <v>0</v>
      </c>
      <c r="S83" s="142">
        <f>SUMIFS(領用表!$L:$L,領用表!$E:$E,$B83,領用表!$B:$B,S$2&amp;$R$1)</f>
        <v>0</v>
      </c>
      <c r="T83" s="142">
        <f>SUMIFS(領用表!$L:$L,領用表!$E:$E,$B83,領用表!$B:$B,T$2&amp;$R$1)</f>
        <v>0</v>
      </c>
      <c r="U83" s="142">
        <f>SUMIFS(領用表!$L:$L,領用表!$E:$E,$B83,領用表!$B:$B,U$2&amp;$R$1)</f>
        <v>2</v>
      </c>
      <c r="V83" s="142">
        <f>SUMIFS(領用表!$L:$L,領用表!$E:$E,$B83,領用表!$B:$B,V$2&amp;$R$1)</f>
        <v>6</v>
      </c>
      <c r="W83" s="142">
        <f>SUMIFS(領用表!$L:$L,領用表!$E:$E,$B83,領用表!$B:$B,W$2&amp;$R$1)</f>
        <v>0</v>
      </c>
      <c r="X83" s="142">
        <f>SUMIFS(領用表!$L:$L,領用表!$E:$E,$B83,領用表!$B:$B,X$2&amp;$R$1)</f>
        <v>0</v>
      </c>
      <c r="Y83" s="142">
        <f>SUMIFS(領用表!$L:$L,領用表!$E:$E,$B83,領用表!$B:$B,Y$2&amp;$R$1)</f>
        <v>0</v>
      </c>
      <c r="Z83" s="142">
        <f>SUMIFS(領用表!$L:$L,領用表!$E:$E,$B83,領用表!$B:$B,Z$2&amp;$R$1)</f>
        <v>0</v>
      </c>
      <c r="AA83" s="142">
        <f>SUMIFS(領用表!$L:$L,領用表!$E:$E,$B83,領用表!$B:$B,AA$2&amp;$R$1)</f>
        <v>0</v>
      </c>
      <c r="AB83" s="142">
        <f>SUMIFS(領用表!$L:$L,領用表!$E:$E,$B83,領用表!$B:$B,AB$2&amp;$R$1)</f>
        <v>0</v>
      </c>
      <c r="AC83" s="142">
        <f>SUMIFS(領用表!$L:$L,領用表!$E:$E,$B83,領用表!$B:$B,AC$2&amp;$R$1)</f>
        <v>0</v>
      </c>
      <c r="AD83" s="142">
        <f t="shared" si="16"/>
        <v>8</v>
      </c>
      <c r="AE83" s="142">
        <f t="shared" si="17"/>
        <v>1.6</v>
      </c>
      <c r="AF83" s="142">
        <f>SUMIF(Summary!B:B,B83,Summary!DV:DV)</f>
        <v>2</v>
      </c>
      <c r="AG83" s="108">
        <v>5</v>
      </c>
      <c r="AH83" s="65"/>
      <c r="AI83" s="65"/>
      <c r="AJ83" s="65"/>
      <c r="AK83" s="27"/>
      <c r="AL83" s="27"/>
      <c r="AM83" s="14"/>
      <c r="AN83" s="29"/>
    </row>
    <row r="84" spans="1:40" ht="15.75" customHeight="1">
      <c r="A84" s="27"/>
      <c r="B84" s="14">
        <v>6120004</v>
      </c>
      <c r="C84" s="135" t="s">
        <v>509</v>
      </c>
      <c r="D84" s="75">
        <v>10</v>
      </c>
      <c r="E84" s="17" t="s">
        <v>157</v>
      </c>
      <c r="F84" s="18"/>
      <c r="G84" s="18">
        <v>86</v>
      </c>
      <c r="H84" s="68" t="e">
        <f>SUM(#REF!)</f>
        <v>#REF!</v>
      </c>
      <c r="I84" s="26" t="e">
        <f t="shared" si="20"/>
        <v>#REF!</v>
      </c>
      <c r="J84" s="20">
        <f>SUMIFS(領用表!$L:$L,領用表!$E:$E,$B84,領用表!$B:$B,J$2&amp;$R$1)</f>
        <v>0</v>
      </c>
      <c r="K84" s="20">
        <f>SUMIFS(領用表!$L:$L,領用表!$E:$E,$B84,領用表!$B:$B,K$2&amp;$R$1)</f>
        <v>2</v>
      </c>
      <c r="L84" s="20">
        <f>SUMIFS(領用表!$L:$L,領用表!$E:$E,$B84,領用表!$B:$B,L$2&amp;$R$1)</f>
        <v>7</v>
      </c>
      <c r="M84" s="142">
        <f>SUMIFS(領用表!$L:$L,領用表!$E:$E,$B84,領用表!$B:$B,M$2&amp;$R$1)</f>
        <v>6</v>
      </c>
      <c r="N84" s="142">
        <f>SUMIFS(領用表!$L:$L,領用表!$E:$E,$B84,領用表!$B:$B,N$2&amp;$R$1)</f>
        <v>11</v>
      </c>
      <c r="O84" s="142">
        <f>SUMIFS(領用表!$L:$L,領用表!$E:$E,$B84,領用表!$B:$B,O$2&amp;$R$1)</f>
        <v>36</v>
      </c>
      <c r="P84" s="23">
        <f t="shared" si="18"/>
        <v>62</v>
      </c>
      <c r="Q84" s="23">
        <f t="shared" si="19"/>
        <v>8.8571428571428577</v>
      </c>
      <c r="R84" s="142">
        <f>SUMIFS(領用表!$L:$L,領用表!$E:$E,$B84,領用表!$B:$B,R$2&amp;$R$1)</f>
        <v>58</v>
      </c>
      <c r="S84" s="142">
        <f>SUMIFS(領用表!$L:$L,領用表!$E:$E,$B84,領用表!$B:$B,S$2&amp;$R$1)</f>
        <v>32</v>
      </c>
      <c r="T84" s="142">
        <f>SUMIFS(領用表!$L:$L,領用表!$E:$E,$B84,領用表!$B:$B,T$2&amp;$R$1)</f>
        <v>45</v>
      </c>
      <c r="U84" s="142">
        <f>SUMIFS(領用表!$L:$L,領用表!$E:$E,$B84,領用表!$B:$B,U$2&amp;$R$1)</f>
        <v>33</v>
      </c>
      <c r="V84" s="142">
        <f>SUMIFS(領用表!$L:$L,領用表!$E:$E,$B84,領用表!$B:$B,V$2&amp;$R$1)</f>
        <v>34</v>
      </c>
      <c r="W84" s="142">
        <f>SUMIFS(領用表!$L:$L,領用表!$E:$E,$B84,領用表!$B:$B,W$2&amp;$R$1)</f>
        <v>0</v>
      </c>
      <c r="X84" s="142">
        <f>SUMIFS(領用表!$L:$L,領用表!$E:$E,$B84,領用表!$B:$B,X$2&amp;$R$1)</f>
        <v>0</v>
      </c>
      <c r="Y84" s="142">
        <f>SUMIFS(領用表!$L:$L,領用表!$E:$E,$B84,領用表!$B:$B,Y$2&amp;$R$1)</f>
        <v>0</v>
      </c>
      <c r="Z84" s="142">
        <f>SUMIFS(領用表!$L:$L,領用表!$E:$E,$B84,領用表!$B:$B,Z$2&amp;$R$1)</f>
        <v>0</v>
      </c>
      <c r="AA84" s="142">
        <f>SUMIFS(領用表!$L:$L,領用表!$E:$E,$B84,領用表!$B:$B,AA$2&amp;$R$1)</f>
        <v>0</v>
      </c>
      <c r="AB84" s="142">
        <f>SUMIFS(領用表!$L:$L,領用表!$E:$E,$B84,領用表!$B:$B,AB$2&amp;$R$1)</f>
        <v>0</v>
      </c>
      <c r="AC84" s="142">
        <f>SUMIFS(領用表!$L:$L,領用表!$E:$E,$B84,領用表!$B:$B,AC$2&amp;$R$1)</f>
        <v>0</v>
      </c>
      <c r="AD84" s="142">
        <f t="shared" si="16"/>
        <v>202</v>
      </c>
      <c r="AE84" s="142">
        <f t="shared" si="17"/>
        <v>40.4</v>
      </c>
      <c r="AF84" s="142">
        <f>SUMIF(Summary!B:B,B84,Summary!DV:DV)</f>
        <v>0</v>
      </c>
      <c r="AG84" s="108">
        <v>10</v>
      </c>
      <c r="AH84" s="65"/>
      <c r="AI84" s="65"/>
      <c r="AJ84" s="65"/>
      <c r="AK84" s="27"/>
      <c r="AL84" s="27"/>
      <c r="AM84" s="14"/>
      <c r="AN84" s="29"/>
    </row>
    <row r="85" spans="1:40" ht="15.75" customHeight="1">
      <c r="A85" s="27"/>
      <c r="B85" s="14">
        <v>6120006</v>
      </c>
      <c r="C85" s="136" t="s">
        <v>514</v>
      </c>
      <c r="D85" s="72">
        <v>100</v>
      </c>
      <c r="E85" s="17" t="s">
        <v>15</v>
      </c>
      <c r="F85" s="18"/>
      <c r="G85" s="18">
        <v>111</v>
      </c>
      <c r="H85" s="68" t="e">
        <f>SUM(#REF!)</f>
        <v>#REF!</v>
      </c>
      <c r="I85" s="26" t="e">
        <f>H85/12</f>
        <v>#REF!</v>
      </c>
      <c r="J85" s="20">
        <f>SUMIFS(領用表!$L:$L,領用表!$E:$E,$B85,領用表!$B:$B,J$2&amp;$R$1)</f>
        <v>3</v>
      </c>
      <c r="K85" s="20">
        <f>SUMIFS(領用表!$L:$L,領用表!$E:$E,$B85,領用表!$B:$B,K$2&amp;$R$1)</f>
        <v>0</v>
      </c>
      <c r="L85" s="20">
        <f>SUMIFS(領用表!$L:$L,領用表!$E:$E,$B85,領用表!$B:$B,L$2&amp;$R$1)</f>
        <v>1</v>
      </c>
      <c r="M85" s="142">
        <f>SUMIFS(領用表!$L:$L,領用表!$E:$E,$B85,領用表!$B:$B,M$2&amp;$R$1)</f>
        <v>8</v>
      </c>
      <c r="N85" s="142">
        <f>SUMIFS(領用表!$L:$L,領用表!$E:$E,$B85,領用表!$B:$B,N$2&amp;$R$1)</f>
        <v>16</v>
      </c>
      <c r="O85" s="142">
        <f>SUMIFS(領用表!$L:$L,領用表!$E:$E,$B85,領用表!$B:$B,O$2&amp;$R$1)</f>
        <v>39</v>
      </c>
      <c r="P85" s="23">
        <f>SUM(,J85,K85,L85,M85,N85,O85)</f>
        <v>67</v>
      </c>
      <c r="Q85" s="23">
        <f>AVERAGE(,J85,K85,L85,M85,N85,O85)</f>
        <v>9.5714285714285712</v>
      </c>
      <c r="R85" s="142">
        <f>SUMIFS(領用表!$L:$L,領用表!$E:$E,$B85,領用表!$B:$B,R$2&amp;$R$1)</f>
        <v>62</v>
      </c>
      <c r="S85" s="142">
        <f>SUMIFS(領用表!$L:$L,領用表!$E:$E,$B85,領用表!$B:$B,S$2&amp;$R$1)</f>
        <v>34</v>
      </c>
      <c r="T85" s="142">
        <f>SUMIFS(領用表!$L:$L,領用表!$E:$E,$B85,領用表!$B:$B,T$2&amp;$R$1)</f>
        <v>51</v>
      </c>
      <c r="U85" s="142">
        <f>SUMIFS(領用表!$L:$L,領用表!$E:$E,$B85,領用表!$B:$B,U$2&amp;$R$1)</f>
        <v>37</v>
      </c>
      <c r="V85" s="142">
        <f>SUMIFS(領用表!$L:$L,領用表!$E:$E,$B85,領用表!$B:$B,V$2&amp;$R$1)</f>
        <v>35</v>
      </c>
      <c r="W85" s="142">
        <f>SUMIFS(領用表!$L:$L,領用表!$E:$E,$B85,領用表!$B:$B,W$2&amp;$R$1)</f>
        <v>0</v>
      </c>
      <c r="X85" s="142">
        <f>SUMIFS(領用表!$L:$L,領用表!$E:$E,$B85,領用表!$B:$B,X$2&amp;$R$1)</f>
        <v>0</v>
      </c>
      <c r="Y85" s="142">
        <f>SUMIFS(領用表!$L:$L,領用表!$E:$E,$B85,領用表!$B:$B,Y$2&amp;$R$1)</f>
        <v>0</v>
      </c>
      <c r="Z85" s="142">
        <f>SUMIFS(領用表!$L:$L,領用表!$E:$E,$B85,領用表!$B:$B,Z$2&amp;$R$1)</f>
        <v>0</v>
      </c>
      <c r="AA85" s="142">
        <f>SUMIFS(領用表!$L:$L,領用表!$E:$E,$B85,領用表!$B:$B,AA$2&amp;$R$1)</f>
        <v>0</v>
      </c>
      <c r="AB85" s="142">
        <f>SUMIFS(領用表!$L:$L,領用表!$E:$E,$B85,領用表!$B:$B,AB$2&amp;$R$1)</f>
        <v>0</v>
      </c>
      <c r="AC85" s="142">
        <f>SUMIFS(領用表!$L:$L,領用表!$E:$E,$B85,領用表!$B:$B,AC$2&amp;$R$1)</f>
        <v>0</v>
      </c>
      <c r="AD85" s="142">
        <f t="shared" si="16"/>
        <v>219</v>
      </c>
      <c r="AE85" s="142">
        <f t="shared" si="17"/>
        <v>43.8</v>
      </c>
      <c r="AF85" s="142">
        <f>SUMIF(Summary!B:B,B85,Summary!DV:DV)</f>
        <v>0</v>
      </c>
      <c r="AG85" s="108">
        <v>100</v>
      </c>
      <c r="AH85" s="65"/>
      <c r="AI85" s="65" t="s">
        <v>161</v>
      </c>
      <c r="AJ85" s="65" t="s">
        <v>162</v>
      </c>
      <c r="AK85" s="27"/>
      <c r="AL85" s="69"/>
      <c r="AM85" s="14"/>
      <c r="AN85" s="14"/>
    </row>
    <row r="86" spans="1:40" ht="15.75" customHeight="1">
      <c r="A86" s="27"/>
      <c r="B86" s="14">
        <v>6120007</v>
      </c>
      <c r="C86" s="136" t="s">
        <v>530</v>
      </c>
      <c r="D86" s="72">
        <v>100</v>
      </c>
      <c r="E86" s="17" t="s">
        <v>15</v>
      </c>
      <c r="F86" s="18"/>
      <c r="G86" s="18">
        <v>79</v>
      </c>
      <c r="H86" s="68" t="e">
        <f>SUM(#REF!)</f>
        <v>#REF!</v>
      </c>
      <c r="I86" s="26" t="e">
        <f>H86/12</f>
        <v>#REF!</v>
      </c>
      <c r="J86" s="20">
        <f>SUMIFS(領用表!$L:$L,領用表!$E:$E,$B86,領用表!$B:$B,J$2&amp;$R$1)</f>
        <v>0</v>
      </c>
      <c r="K86" s="20">
        <f>SUMIFS(領用表!$L:$L,領用表!$E:$E,$B86,領用表!$B:$B,K$2&amp;$R$1)</f>
        <v>0</v>
      </c>
      <c r="L86" s="20">
        <f>SUMIFS(領用表!$L:$L,領用表!$E:$E,$B86,領用表!$B:$B,L$2&amp;$R$1)</f>
        <v>0</v>
      </c>
      <c r="M86" s="142">
        <f>SUMIFS(領用表!$L:$L,領用表!$E:$E,$B86,領用表!$B:$B,M$2&amp;$R$1)</f>
        <v>0</v>
      </c>
      <c r="N86" s="142">
        <f>SUMIFS(領用表!$L:$L,領用表!$E:$E,$B86,領用表!$B:$B,N$2&amp;$R$1)</f>
        <v>0</v>
      </c>
      <c r="O86" s="142">
        <f>SUMIFS(領用表!$L:$L,領用表!$E:$E,$B86,領用表!$B:$B,O$2&amp;$R$1)</f>
        <v>1</v>
      </c>
      <c r="P86" s="23">
        <f>SUM(,J86,K86,L86,M86,N86,O86)</f>
        <v>1</v>
      </c>
      <c r="Q86" s="23">
        <f>AVERAGE(,J86,K86,L86,M86,N86,O86)</f>
        <v>0.14285714285714285</v>
      </c>
      <c r="R86" s="142">
        <f>SUMIFS(領用表!$L:$L,領用表!$E:$E,$B86,領用表!$B:$B,R$2&amp;$R$1)</f>
        <v>1</v>
      </c>
      <c r="S86" s="142">
        <f>SUMIFS(領用表!$L:$L,領用表!$E:$E,$B86,領用表!$B:$B,S$2&amp;$R$1)</f>
        <v>0</v>
      </c>
      <c r="T86" s="142">
        <f>SUMIFS(領用表!$L:$L,領用表!$E:$E,$B86,領用表!$B:$B,T$2&amp;$R$1)</f>
        <v>4</v>
      </c>
      <c r="U86" s="142">
        <f>SUMIFS(領用表!$L:$L,領用表!$E:$E,$B86,領用表!$B:$B,U$2&amp;$R$1)</f>
        <v>2</v>
      </c>
      <c r="V86" s="142">
        <f>SUMIFS(領用表!$L:$L,領用表!$E:$E,$B86,領用表!$B:$B,V$2&amp;$R$1)</f>
        <v>1</v>
      </c>
      <c r="W86" s="142">
        <f>SUMIFS(領用表!$L:$L,領用表!$E:$E,$B86,領用表!$B:$B,W$2&amp;$R$1)</f>
        <v>0</v>
      </c>
      <c r="X86" s="142">
        <f>SUMIFS(領用表!$L:$L,領用表!$E:$E,$B86,領用表!$B:$B,X$2&amp;$R$1)</f>
        <v>0</v>
      </c>
      <c r="Y86" s="142">
        <f>SUMIFS(領用表!$L:$L,領用表!$E:$E,$B86,領用表!$B:$B,Y$2&amp;$R$1)</f>
        <v>0</v>
      </c>
      <c r="Z86" s="142">
        <f>SUMIFS(領用表!$L:$L,領用表!$E:$E,$B86,領用表!$B:$B,Z$2&amp;$R$1)</f>
        <v>0</v>
      </c>
      <c r="AA86" s="142">
        <f>SUMIFS(領用表!$L:$L,領用表!$E:$E,$B86,領用表!$B:$B,AA$2&amp;$R$1)</f>
        <v>0</v>
      </c>
      <c r="AB86" s="142">
        <f>SUMIFS(領用表!$L:$L,領用表!$E:$E,$B86,領用表!$B:$B,AB$2&amp;$R$1)</f>
        <v>0</v>
      </c>
      <c r="AC86" s="142">
        <f>SUMIFS(領用表!$L:$L,領用表!$E:$E,$B86,領用表!$B:$B,AC$2&amp;$R$1)</f>
        <v>0</v>
      </c>
      <c r="AD86" s="142">
        <f t="shared" si="16"/>
        <v>8</v>
      </c>
      <c r="AE86" s="142">
        <f t="shared" si="17"/>
        <v>1.6</v>
      </c>
      <c r="AF86" s="142">
        <f>SUMIF(Summary!B:B,B86,Summary!DV:DV)</f>
        <v>0</v>
      </c>
      <c r="AG86" s="109">
        <v>3</v>
      </c>
      <c r="AH86" s="65"/>
      <c r="AI86" s="65"/>
      <c r="AJ86" s="65"/>
      <c r="AK86" s="27"/>
      <c r="AL86" s="69"/>
      <c r="AM86" s="14"/>
      <c r="AN86" s="14"/>
    </row>
    <row r="87" spans="1:40" ht="15.75" customHeight="1">
      <c r="A87" s="27"/>
      <c r="B87" s="14">
        <v>6120008</v>
      </c>
      <c r="C87" s="136" t="s">
        <v>531</v>
      </c>
      <c r="D87" s="72">
        <v>100</v>
      </c>
      <c r="E87" s="17" t="s">
        <v>15</v>
      </c>
      <c r="F87" s="18"/>
      <c r="G87" s="18">
        <v>8</v>
      </c>
      <c r="H87" s="68" t="e">
        <f>SUM(#REF!)</f>
        <v>#REF!</v>
      </c>
      <c r="I87" s="26" t="e">
        <f>H87/12</f>
        <v>#REF!</v>
      </c>
      <c r="J87" s="20">
        <f>SUMIFS(領用表!$L:$L,領用表!$E:$E,$B87,領用表!$B:$B,J$2&amp;$R$1)</f>
        <v>0</v>
      </c>
      <c r="K87" s="20">
        <f>SUMIFS(領用表!$L:$L,領用表!$E:$E,$B87,領用表!$B:$B,K$2&amp;$R$1)</f>
        <v>0</v>
      </c>
      <c r="L87" s="20">
        <f>SUMIFS(領用表!$L:$L,領用表!$E:$E,$B87,領用表!$B:$B,L$2&amp;$R$1)</f>
        <v>0</v>
      </c>
      <c r="M87" s="142">
        <f>SUMIFS(領用表!$L:$L,領用表!$E:$E,$B87,領用表!$B:$B,M$2&amp;$R$1)</f>
        <v>0</v>
      </c>
      <c r="N87" s="142">
        <f>SUMIFS(領用表!$L:$L,領用表!$E:$E,$B87,領用表!$B:$B,N$2&amp;$R$1)</f>
        <v>0</v>
      </c>
      <c r="O87" s="142">
        <f>SUMIFS(領用表!$L:$L,領用表!$E:$E,$B87,領用表!$B:$B,O$2&amp;$R$1)</f>
        <v>0</v>
      </c>
      <c r="P87" s="23">
        <f>SUM(,J87,K87,L87,M87,N87,O87)</f>
        <v>0</v>
      </c>
      <c r="Q87" s="23">
        <f>AVERAGE(,J87,K87,L87,M87,N87,O87)</f>
        <v>0</v>
      </c>
      <c r="R87" s="142">
        <f>SUMIFS(領用表!$L:$L,領用表!$E:$E,$B87,領用表!$B:$B,R$2&amp;$R$1)</f>
        <v>0</v>
      </c>
      <c r="S87" s="142">
        <f>SUMIFS(領用表!$L:$L,領用表!$E:$E,$B87,領用表!$B:$B,S$2&amp;$R$1)</f>
        <v>0</v>
      </c>
      <c r="T87" s="142">
        <f>SUMIFS(領用表!$L:$L,領用表!$E:$E,$B87,領用表!$B:$B,T$2&amp;$R$1)</f>
        <v>0</v>
      </c>
      <c r="U87" s="142">
        <f>SUMIFS(領用表!$L:$L,領用表!$E:$E,$B87,領用表!$B:$B,U$2&amp;$R$1)</f>
        <v>0</v>
      </c>
      <c r="V87" s="142">
        <f>SUMIFS(領用表!$L:$L,領用表!$E:$E,$B87,領用表!$B:$B,V$2&amp;$R$1)</f>
        <v>0</v>
      </c>
      <c r="W87" s="142">
        <f>SUMIFS(領用表!$L:$L,領用表!$E:$E,$B87,領用表!$B:$B,W$2&amp;$R$1)</f>
        <v>0</v>
      </c>
      <c r="X87" s="142">
        <f>SUMIFS(領用表!$L:$L,領用表!$E:$E,$B87,領用表!$B:$B,X$2&amp;$R$1)</f>
        <v>0</v>
      </c>
      <c r="Y87" s="142">
        <f>SUMIFS(領用表!$L:$L,領用表!$E:$E,$B87,領用表!$B:$B,Y$2&amp;$R$1)</f>
        <v>0</v>
      </c>
      <c r="Z87" s="142">
        <f>SUMIFS(領用表!$L:$L,領用表!$E:$E,$B87,領用表!$B:$B,Z$2&amp;$R$1)</f>
        <v>0</v>
      </c>
      <c r="AA87" s="142">
        <f>SUMIFS(領用表!$L:$L,領用表!$E:$E,$B87,領用表!$B:$B,AA$2&amp;$R$1)</f>
        <v>0</v>
      </c>
      <c r="AB87" s="142">
        <f>SUMIFS(領用表!$L:$L,領用表!$E:$E,$B87,領用表!$B:$B,AB$2&amp;$R$1)</f>
        <v>0</v>
      </c>
      <c r="AC87" s="142">
        <f>SUMIFS(領用表!$L:$L,領用表!$E:$E,$B87,領用表!$B:$B,AC$2&amp;$R$1)</f>
        <v>0</v>
      </c>
      <c r="AD87" s="142">
        <f t="shared" si="16"/>
        <v>0</v>
      </c>
      <c r="AE87" s="142">
        <f t="shared" si="17"/>
        <v>0</v>
      </c>
      <c r="AF87" s="142">
        <f>SUMIF(Summary!B:B,B87,Summary!DV:DV)</f>
        <v>0</v>
      </c>
      <c r="AG87" s="109">
        <v>0</v>
      </c>
      <c r="AH87" s="65"/>
      <c r="AI87" s="65"/>
      <c r="AJ87" s="65"/>
      <c r="AK87" s="27"/>
      <c r="AL87" s="69"/>
      <c r="AM87" s="14"/>
      <c r="AN87" s="14"/>
    </row>
    <row r="88" spans="1:40" ht="15.75" customHeight="1">
      <c r="A88" s="27"/>
      <c r="B88" s="14">
        <v>6120009</v>
      </c>
      <c r="C88" s="136" t="s">
        <v>515</v>
      </c>
      <c r="D88" s="72">
        <v>100</v>
      </c>
      <c r="E88" s="17" t="s">
        <v>15</v>
      </c>
      <c r="F88" s="18"/>
      <c r="G88" s="18">
        <v>100</v>
      </c>
      <c r="H88" s="68" t="e">
        <f>SUM(#REF!)</f>
        <v>#REF!</v>
      </c>
      <c r="I88" s="26" t="e">
        <f>H88/12</f>
        <v>#REF!</v>
      </c>
      <c r="J88" s="20">
        <f>SUMIFS(領用表!$L:$L,領用表!$E:$E,$B88,領用表!$B:$B,J$2&amp;$R$1)</f>
        <v>0</v>
      </c>
      <c r="K88" s="20">
        <f>SUMIFS(領用表!$L:$L,領用表!$E:$E,$B88,領用表!$B:$B,K$2&amp;$R$1)</f>
        <v>0</v>
      </c>
      <c r="L88" s="20">
        <f>SUMIFS(領用表!$L:$L,領用表!$E:$E,$B88,領用表!$B:$B,L$2&amp;$R$1)</f>
        <v>0</v>
      </c>
      <c r="M88" s="142">
        <f>SUMIFS(領用表!$L:$L,領用表!$E:$E,$B88,領用表!$B:$B,M$2&amp;$R$1)</f>
        <v>0</v>
      </c>
      <c r="N88" s="142">
        <f>SUMIFS(領用表!$L:$L,領用表!$E:$E,$B88,領用表!$B:$B,N$2&amp;$R$1)</f>
        <v>0</v>
      </c>
      <c r="O88" s="142">
        <f>SUMIFS(領用表!$L:$L,領用表!$E:$E,$B88,領用表!$B:$B,O$2&amp;$R$1)</f>
        <v>0</v>
      </c>
      <c r="P88" s="23">
        <f>SUM(,J88,K88,L88,M88,N88,O88)</f>
        <v>0</v>
      </c>
      <c r="Q88" s="23">
        <f>AVERAGE(,J88,K88,L88,M88,N88,O88)</f>
        <v>0</v>
      </c>
      <c r="R88" s="142">
        <f>SUMIFS(領用表!$L:$L,領用表!$E:$E,$B88,領用表!$B:$B,R$2&amp;$R$1)</f>
        <v>0</v>
      </c>
      <c r="S88" s="142">
        <f>SUMIFS(領用表!$L:$L,領用表!$E:$E,$B88,領用表!$B:$B,S$2&amp;$R$1)</f>
        <v>0</v>
      </c>
      <c r="T88" s="142">
        <f>SUMIFS(領用表!$L:$L,領用表!$E:$E,$B88,領用表!$B:$B,T$2&amp;$R$1)</f>
        <v>0</v>
      </c>
      <c r="U88" s="142">
        <f>SUMIFS(領用表!$L:$L,領用表!$E:$E,$B88,領用表!$B:$B,U$2&amp;$R$1)</f>
        <v>0</v>
      </c>
      <c r="V88" s="142">
        <f>SUMIFS(領用表!$L:$L,領用表!$E:$E,$B88,領用表!$B:$B,V$2&amp;$R$1)</f>
        <v>0</v>
      </c>
      <c r="W88" s="142">
        <f>SUMIFS(領用表!$L:$L,領用表!$E:$E,$B88,領用表!$B:$B,W$2&amp;$R$1)</f>
        <v>0</v>
      </c>
      <c r="X88" s="142">
        <f>SUMIFS(領用表!$L:$L,領用表!$E:$E,$B88,領用表!$B:$B,X$2&amp;$R$1)</f>
        <v>0</v>
      </c>
      <c r="Y88" s="142">
        <f>SUMIFS(領用表!$L:$L,領用表!$E:$E,$B88,領用表!$B:$B,Y$2&amp;$R$1)</f>
        <v>0</v>
      </c>
      <c r="Z88" s="142">
        <f>SUMIFS(領用表!$L:$L,領用表!$E:$E,$B88,領用表!$B:$B,Z$2&amp;$R$1)</f>
        <v>0</v>
      </c>
      <c r="AA88" s="142">
        <f>SUMIFS(領用表!$L:$L,領用表!$E:$E,$B88,領用表!$B:$B,AA$2&amp;$R$1)</f>
        <v>0</v>
      </c>
      <c r="AB88" s="142">
        <f>SUMIFS(領用表!$L:$L,領用表!$E:$E,$B88,領用表!$B:$B,AB$2&amp;$R$1)</f>
        <v>0</v>
      </c>
      <c r="AC88" s="142">
        <f>SUMIFS(領用表!$L:$L,領用表!$E:$E,$B88,領用表!$B:$B,AC$2&amp;$R$1)</f>
        <v>0</v>
      </c>
      <c r="AD88" s="142">
        <f t="shared" si="16"/>
        <v>0</v>
      </c>
      <c r="AE88" s="142">
        <f t="shared" si="17"/>
        <v>0</v>
      </c>
      <c r="AF88" s="142">
        <f>SUMIF(Summary!B:B,B88,Summary!DV:DV)</f>
        <v>0</v>
      </c>
      <c r="AG88" s="108">
        <v>5</v>
      </c>
      <c r="AH88" s="65"/>
      <c r="AI88" s="65"/>
      <c r="AJ88" s="65"/>
      <c r="AK88" s="27"/>
      <c r="AL88" s="69"/>
      <c r="AM88" s="14"/>
      <c r="AN88" s="14"/>
    </row>
    <row r="89" spans="1:40" ht="15.75" customHeight="1">
      <c r="A89" s="27"/>
      <c r="B89" s="14">
        <v>6120011</v>
      </c>
      <c r="C89" s="136" t="s">
        <v>527</v>
      </c>
      <c r="D89" s="72">
        <v>10</v>
      </c>
      <c r="E89" s="17" t="s">
        <v>15</v>
      </c>
      <c r="F89" s="18"/>
      <c r="G89" s="18">
        <v>0</v>
      </c>
      <c r="H89" s="68" t="e">
        <f>SUM(#REF!)</f>
        <v>#REF!</v>
      </c>
      <c r="I89" s="26" t="e">
        <f>H89/12</f>
        <v>#REF!</v>
      </c>
      <c r="J89" s="20">
        <f>SUMIFS(領用表!$L:$L,領用表!$E:$E,$B89,領用表!$B:$B,J$2&amp;$R$1)</f>
        <v>0</v>
      </c>
      <c r="K89" s="20">
        <f>SUMIFS(領用表!$L:$L,領用表!$E:$E,$B89,領用表!$B:$B,K$2&amp;$R$1)</f>
        <v>0</v>
      </c>
      <c r="L89" s="20">
        <f>SUMIFS(領用表!$L:$L,領用表!$E:$E,$B89,領用表!$B:$B,L$2&amp;$R$1)</f>
        <v>0</v>
      </c>
      <c r="M89" s="142">
        <f>SUMIFS(領用表!$L:$L,領用表!$E:$E,$B89,領用表!$B:$B,M$2&amp;$R$1)</f>
        <v>0</v>
      </c>
      <c r="N89" s="142">
        <f>SUMIFS(領用表!$L:$L,領用表!$E:$E,$B89,領用表!$B:$B,N$2&amp;$R$1)</f>
        <v>0</v>
      </c>
      <c r="O89" s="142">
        <f>SUMIFS(領用表!$L:$L,領用表!$E:$E,$B89,領用表!$B:$B,O$2&amp;$R$1)</f>
        <v>0</v>
      </c>
      <c r="P89" s="23">
        <f>SUM(,J89,K89,L89,M89,N89,O89)</f>
        <v>0</v>
      </c>
      <c r="Q89" s="23">
        <f>AVERAGE(,J89,K89,L89,M89,N89,O89)</f>
        <v>0</v>
      </c>
      <c r="R89" s="142">
        <f>SUMIFS(領用表!$L:$L,領用表!$E:$E,$B89,領用表!$B:$B,R$2&amp;$R$1)</f>
        <v>0</v>
      </c>
      <c r="S89" s="142">
        <f>SUMIFS(領用表!$L:$L,領用表!$E:$E,$B89,領用表!$B:$B,S$2&amp;$R$1)</f>
        <v>0</v>
      </c>
      <c r="T89" s="142">
        <f>SUMIFS(領用表!$L:$L,領用表!$E:$E,$B89,領用表!$B:$B,T$2&amp;$R$1)</f>
        <v>0</v>
      </c>
      <c r="U89" s="142">
        <f>SUMIFS(領用表!$L:$L,領用表!$E:$E,$B89,領用表!$B:$B,U$2&amp;$R$1)</f>
        <v>0</v>
      </c>
      <c r="V89" s="142">
        <f>SUMIFS(領用表!$L:$L,領用表!$E:$E,$B89,領用表!$B:$B,V$2&amp;$R$1)</f>
        <v>0</v>
      </c>
      <c r="W89" s="142">
        <f>SUMIFS(領用表!$L:$L,領用表!$E:$E,$B89,領用表!$B:$B,W$2&amp;$R$1)</f>
        <v>0</v>
      </c>
      <c r="X89" s="142">
        <f>SUMIFS(領用表!$L:$L,領用表!$E:$E,$B89,領用表!$B:$B,X$2&amp;$R$1)</f>
        <v>0</v>
      </c>
      <c r="Y89" s="142">
        <f>SUMIFS(領用表!$L:$L,領用表!$E:$E,$B89,領用表!$B:$B,Y$2&amp;$R$1)</f>
        <v>0</v>
      </c>
      <c r="Z89" s="142">
        <f>SUMIFS(領用表!$L:$L,領用表!$E:$E,$B89,領用表!$B:$B,Z$2&amp;$R$1)</f>
        <v>0</v>
      </c>
      <c r="AA89" s="142">
        <f>SUMIFS(領用表!$L:$L,領用表!$E:$E,$B89,領用表!$B:$B,AA$2&amp;$R$1)</f>
        <v>0</v>
      </c>
      <c r="AB89" s="142">
        <f>SUMIFS(領用表!$L:$L,領用表!$E:$E,$B89,領用表!$B:$B,AB$2&amp;$R$1)</f>
        <v>0</v>
      </c>
      <c r="AC89" s="142">
        <f>SUMIFS(領用表!$L:$L,領用表!$E:$E,$B89,領用表!$B:$B,AC$2&amp;$R$1)</f>
        <v>0</v>
      </c>
      <c r="AD89" s="142">
        <f t="shared" si="16"/>
        <v>0</v>
      </c>
      <c r="AE89" s="142">
        <f t="shared" si="17"/>
        <v>0</v>
      </c>
      <c r="AF89" s="142">
        <f>SUMIF(Summary!B:B,B89,Summary!DV:DV)</f>
        <v>0</v>
      </c>
      <c r="AG89" s="109">
        <v>3</v>
      </c>
      <c r="AH89" s="65"/>
      <c r="AI89" s="65" t="s">
        <v>166</v>
      </c>
      <c r="AJ89" s="65"/>
      <c r="AK89" s="27"/>
      <c r="AL89" s="69"/>
      <c r="AM89" s="14"/>
      <c r="AN89" s="14"/>
    </row>
    <row r="90" spans="1:40" ht="15.75" customHeight="1">
      <c r="A90" s="27"/>
      <c r="B90" s="27">
        <v>6120013</v>
      </c>
      <c r="C90" s="135" t="s">
        <v>511</v>
      </c>
      <c r="D90" s="75"/>
      <c r="E90" s="17" t="s">
        <v>157</v>
      </c>
      <c r="F90" s="18"/>
      <c r="G90" s="18">
        <v>620</v>
      </c>
      <c r="H90" s="68" t="e">
        <f>SUM(#REF!)</f>
        <v>#REF!</v>
      </c>
      <c r="I90" s="26" t="e">
        <f t="shared" si="20"/>
        <v>#REF!</v>
      </c>
      <c r="J90" s="20">
        <f>SUMIFS(領用表!$L:$L,領用表!$E:$E,$B90,領用表!$B:$B,J$2&amp;$R$1)</f>
        <v>95</v>
      </c>
      <c r="K90" s="20">
        <f>SUMIFS(領用表!$L:$L,領用表!$E:$E,$B90,領用表!$B:$B,K$2&amp;$R$1)</f>
        <v>234</v>
      </c>
      <c r="L90" s="20">
        <f>SUMIFS(領用表!$L:$L,領用表!$E:$E,$B90,領用表!$B:$B,L$2&amp;$R$1)</f>
        <v>369</v>
      </c>
      <c r="M90" s="142">
        <f>SUMIFS(領用表!$L:$L,領用表!$E:$E,$B90,領用表!$B:$B,M$2&amp;$R$1)</f>
        <v>403</v>
      </c>
      <c r="N90" s="142">
        <f>SUMIFS(領用表!$L:$L,領用表!$E:$E,$B90,領用表!$B:$B,N$2&amp;$R$1)</f>
        <v>439</v>
      </c>
      <c r="O90" s="142">
        <f>SUMIFS(領用表!$L:$L,領用表!$E:$E,$B90,領用表!$B:$B,O$2&amp;$R$1)</f>
        <v>291</v>
      </c>
      <c r="P90" s="23">
        <f t="shared" si="18"/>
        <v>1831</v>
      </c>
      <c r="Q90" s="23">
        <f t="shared" si="19"/>
        <v>261.57142857142856</v>
      </c>
      <c r="R90" s="142">
        <f>SUMIFS(領用表!$L:$L,領用表!$E:$E,$B90,領用表!$B:$B,R$2&amp;$R$1)</f>
        <v>210</v>
      </c>
      <c r="S90" s="142">
        <f>SUMIFS(領用表!$L:$L,領用表!$E:$E,$B90,領用表!$B:$B,S$2&amp;$R$1)</f>
        <v>134</v>
      </c>
      <c r="T90" s="142">
        <f>SUMIFS(領用表!$L:$L,領用表!$E:$E,$B90,領用表!$B:$B,T$2&amp;$R$1)</f>
        <v>125</v>
      </c>
      <c r="U90" s="142">
        <f>SUMIFS(領用表!$L:$L,領用表!$E:$E,$B90,領用表!$B:$B,U$2&amp;$R$1)</f>
        <v>99</v>
      </c>
      <c r="V90" s="142">
        <f>SUMIFS(領用表!$L:$L,領用表!$E:$E,$B90,領用表!$B:$B,V$2&amp;$R$1)</f>
        <v>110</v>
      </c>
      <c r="W90" s="142">
        <f>SUMIFS(領用表!$L:$L,領用表!$E:$E,$B90,領用表!$B:$B,W$2&amp;$R$1)</f>
        <v>0</v>
      </c>
      <c r="X90" s="142">
        <f>SUMIFS(領用表!$L:$L,領用表!$E:$E,$B90,領用表!$B:$B,X$2&amp;$R$1)</f>
        <v>0</v>
      </c>
      <c r="Y90" s="142">
        <f>SUMIFS(領用表!$L:$L,領用表!$E:$E,$B90,領用表!$B:$B,Y$2&amp;$R$1)</f>
        <v>0</v>
      </c>
      <c r="Z90" s="142">
        <f>SUMIFS(領用表!$L:$L,領用表!$E:$E,$B90,領用表!$B:$B,Z$2&amp;$R$1)</f>
        <v>0</v>
      </c>
      <c r="AA90" s="142">
        <f>SUMIFS(領用表!$L:$L,領用表!$E:$E,$B90,領用表!$B:$B,AA$2&amp;$R$1)</f>
        <v>0</v>
      </c>
      <c r="AB90" s="142">
        <f>SUMIFS(領用表!$L:$L,領用表!$E:$E,$B90,領用表!$B:$B,AB$2&amp;$R$1)</f>
        <v>0</v>
      </c>
      <c r="AC90" s="142">
        <f>SUMIFS(領用表!$L:$L,領用表!$E:$E,$B90,領用表!$B:$B,AC$2&amp;$R$1)</f>
        <v>0</v>
      </c>
      <c r="AD90" s="142">
        <f t="shared" si="16"/>
        <v>678</v>
      </c>
      <c r="AE90" s="142">
        <f t="shared" si="17"/>
        <v>135.6</v>
      </c>
      <c r="AF90" s="142">
        <f>SUMIF(Summary!B:B,B90,Summary!DV:DV)</f>
        <v>0</v>
      </c>
      <c r="AG90" s="108">
        <v>150</v>
      </c>
      <c r="AH90" s="65"/>
      <c r="AI90" s="76"/>
      <c r="AJ90" s="65"/>
      <c r="AK90" s="27"/>
      <c r="AL90" s="27"/>
      <c r="AM90" s="14"/>
      <c r="AN90" s="29"/>
    </row>
    <row r="91" spans="1:40" ht="15.75" customHeight="1">
      <c r="A91" s="27"/>
      <c r="B91" s="14">
        <v>6120014</v>
      </c>
      <c r="C91" s="135" t="s">
        <v>510</v>
      </c>
      <c r="D91" s="75"/>
      <c r="E91" s="17" t="s">
        <v>157</v>
      </c>
      <c r="F91" s="18"/>
      <c r="G91" s="18"/>
      <c r="H91" s="68" t="e">
        <f>SUM(#REF!)</f>
        <v>#REF!</v>
      </c>
      <c r="I91" s="26" t="e">
        <f t="shared" ref="I91:I96" si="21">H91/12</f>
        <v>#REF!</v>
      </c>
      <c r="J91" s="20">
        <f>SUMIFS(領用表!$L:$L,領用表!$E:$E,$B91,領用表!$B:$B,J$2&amp;$R$1)</f>
        <v>0</v>
      </c>
      <c r="K91" s="20">
        <f>SUMIFS(領用表!$L:$L,領用表!$E:$E,$B91,領用表!$B:$B,K$2&amp;$R$1)</f>
        <v>0</v>
      </c>
      <c r="L91" s="20">
        <f>SUMIFS(領用表!$L:$L,領用表!$E:$E,$B91,領用表!$B:$B,L$2&amp;$R$1)</f>
        <v>0</v>
      </c>
      <c r="M91" s="142">
        <f>SUMIFS(領用表!$L:$L,領用表!$E:$E,$B91,領用表!$B:$B,M$2&amp;$R$1)</f>
        <v>2</v>
      </c>
      <c r="N91" s="142">
        <f>SUMIFS(領用表!$L:$L,領用表!$E:$E,$B91,領用表!$B:$B,N$2&amp;$R$1)</f>
        <v>0</v>
      </c>
      <c r="O91" s="142">
        <f>SUMIFS(領用表!$L:$L,領用表!$E:$E,$B91,領用表!$B:$B,O$2&amp;$R$1)</f>
        <v>0</v>
      </c>
      <c r="P91" s="23">
        <f>SUM(,J91,K91,L91,M91,N91,O91)</f>
        <v>2</v>
      </c>
      <c r="Q91" s="23">
        <f>AVERAGE(,J91,K91,L91,M91,N91,O91)</f>
        <v>0.2857142857142857</v>
      </c>
      <c r="R91" s="142">
        <f>SUMIFS(領用表!$L:$L,領用表!$E:$E,$B91,領用表!$B:$B,R$2&amp;$R$1)</f>
        <v>0</v>
      </c>
      <c r="S91" s="142">
        <f>SUMIFS(領用表!$L:$L,領用表!$E:$E,$B91,領用表!$B:$B,S$2&amp;$R$1)</f>
        <v>0</v>
      </c>
      <c r="T91" s="142">
        <f>SUMIFS(領用表!$L:$L,領用表!$E:$E,$B91,領用表!$B:$B,T$2&amp;$R$1)</f>
        <v>0</v>
      </c>
      <c r="U91" s="142">
        <f>SUMIFS(領用表!$L:$L,領用表!$E:$E,$B91,領用表!$B:$B,U$2&amp;$R$1)</f>
        <v>0</v>
      </c>
      <c r="V91" s="142">
        <f>SUMIFS(領用表!$L:$L,領用表!$E:$E,$B91,領用表!$B:$B,V$2&amp;$R$1)</f>
        <v>0</v>
      </c>
      <c r="W91" s="142">
        <f>SUMIFS(領用表!$L:$L,領用表!$E:$E,$B91,領用表!$B:$B,W$2&amp;$R$1)</f>
        <v>0</v>
      </c>
      <c r="X91" s="142">
        <f>SUMIFS(領用表!$L:$L,領用表!$E:$E,$B91,領用表!$B:$B,X$2&amp;$R$1)</f>
        <v>0</v>
      </c>
      <c r="Y91" s="142">
        <f>SUMIFS(領用表!$L:$L,領用表!$E:$E,$B91,領用表!$B:$B,Y$2&amp;$R$1)</f>
        <v>0</v>
      </c>
      <c r="Z91" s="142">
        <f>SUMIFS(領用表!$L:$L,領用表!$E:$E,$B91,領用表!$B:$B,Z$2&amp;$R$1)</f>
        <v>0</v>
      </c>
      <c r="AA91" s="142">
        <f>SUMIFS(領用表!$L:$L,領用表!$E:$E,$B91,領用表!$B:$B,AA$2&amp;$R$1)</f>
        <v>0</v>
      </c>
      <c r="AB91" s="142">
        <f>SUMIFS(領用表!$L:$L,領用表!$E:$E,$B91,領用表!$B:$B,AB$2&amp;$R$1)</f>
        <v>0</v>
      </c>
      <c r="AC91" s="142">
        <f>SUMIFS(領用表!$L:$L,領用表!$E:$E,$B91,領用表!$B:$B,AC$2&amp;$R$1)</f>
        <v>0</v>
      </c>
      <c r="AD91" s="142">
        <f t="shared" si="16"/>
        <v>0</v>
      </c>
      <c r="AE91" s="142">
        <f t="shared" si="17"/>
        <v>0</v>
      </c>
      <c r="AF91" s="142">
        <f>SUMIF(Summary!B:B,B91,Summary!DV:DV)</f>
        <v>0</v>
      </c>
      <c r="AG91" s="108">
        <v>35</v>
      </c>
      <c r="AH91" s="65"/>
      <c r="AI91" s="65"/>
      <c r="AJ91" s="65"/>
      <c r="AK91" s="27"/>
      <c r="AL91" s="27"/>
      <c r="AM91" s="14"/>
      <c r="AN91" s="29"/>
    </row>
    <row r="92" spans="1:40" ht="15.75" customHeight="1">
      <c r="A92" s="27"/>
      <c r="B92" s="14">
        <v>6120015</v>
      </c>
      <c r="C92" s="136" t="s">
        <v>517</v>
      </c>
      <c r="D92" s="72"/>
      <c r="E92" s="17" t="s">
        <v>15</v>
      </c>
      <c r="F92" s="18"/>
      <c r="G92" s="18">
        <v>209</v>
      </c>
      <c r="H92" s="68" t="e">
        <f>SUM(#REF!)</f>
        <v>#REF!</v>
      </c>
      <c r="I92" s="26" t="e">
        <f t="shared" si="21"/>
        <v>#REF!</v>
      </c>
      <c r="J92" s="20">
        <f>SUMIFS(領用表!$L:$L,領用表!$E:$E,$B92,領用表!$B:$B,J$2&amp;$R$1)</f>
        <v>91</v>
      </c>
      <c r="K92" s="20">
        <f>SUMIFS(領用表!$L:$L,領用表!$E:$E,$B92,領用表!$B:$B,K$2&amp;$R$1)</f>
        <v>233</v>
      </c>
      <c r="L92" s="20">
        <f>SUMIFS(領用表!$L:$L,領用表!$E:$E,$B92,領用表!$B:$B,L$2&amp;$R$1)</f>
        <v>374</v>
      </c>
      <c r="M92" s="142">
        <f>SUMIFS(領用表!$L:$L,領用表!$E:$E,$B92,領用表!$B:$B,M$2&amp;$R$1)</f>
        <v>404</v>
      </c>
      <c r="N92" s="142">
        <f>SUMIFS(領用表!$L:$L,領用表!$E:$E,$B92,領用表!$B:$B,N$2&amp;$R$1)</f>
        <v>444</v>
      </c>
      <c r="O92" s="142">
        <f>SUMIFS(領用表!$L:$L,領用表!$E:$E,$B92,領用表!$B:$B,O$2&amp;$R$1)</f>
        <v>324</v>
      </c>
      <c r="P92" s="23">
        <f>SUM(,J92,K92,L92,M92,N92,O92)</f>
        <v>1870</v>
      </c>
      <c r="Q92" s="23">
        <f>AVERAGE(,J92,K92,L92,M92,N92,O92)</f>
        <v>267.14285714285717</v>
      </c>
      <c r="R92" s="142">
        <f>SUMIFS(領用表!$L:$L,領用表!$E:$E,$B92,領用表!$B:$B,R$2&amp;$R$1)</f>
        <v>263</v>
      </c>
      <c r="S92" s="142">
        <f>SUMIFS(領用表!$L:$L,領用表!$E:$E,$B92,領用表!$B:$B,S$2&amp;$R$1)</f>
        <v>165</v>
      </c>
      <c r="T92" s="142">
        <f>SUMIFS(領用表!$L:$L,領用表!$E:$E,$B92,領用表!$B:$B,T$2&amp;$R$1)</f>
        <v>167</v>
      </c>
      <c r="U92" s="142">
        <f>SUMIFS(領用表!$L:$L,領用表!$E:$E,$B92,領用表!$B:$B,U$2&amp;$R$1)</f>
        <v>128</v>
      </c>
      <c r="V92" s="142">
        <f>SUMIFS(領用表!$L:$L,領用表!$E:$E,$B92,領用表!$B:$B,V$2&amp;$R$1)</f>
        <v>143</v>
      </c>
      <c r="W92" s="142">
        <f>SUMIFS(領用表!$L:$L,領用表!$E:$E,$B92,領用表!$B:$B,W$2&amp;$R$1)</f>
        <v>0</v>
      </c>
      <c r="X92" s="142">
        <f>SUMIFS(領用表!$L:$L,領用表!$E:$E,$B92,領用表!$B:$B,X$2&amp;$R$1)</f>
        <v>0</v>
      </c>
      <c r="Y92" s="142">
        <f>SUMIFS(領用表!$L:$L,領用表!$E:$E,$B92,領用表!$B:$B,Y$2&amp;$R$1)</f>
        <v>0</v>
      </c>
      <c r="Z92" s="142">
        <f>SUMIFS(領用表!$L:$L,領用表!$E:$E,$B92,領用表!$B:$B,Z$2&amp;$R$1)</f>
        <v>0</v>
      </c>
      <c r="AA92" s="142">
        <f>SUMIFS(領用表!$L:$L,領用表!$E:$E,$B92,領用表!$B:$B,AA$2&amp;$R$1)</f>
        <v>0</v>
      </c>
      <c r="AB92" s="142">
        <f>SUMIFS(領用表!$L:$L,領用表!$E:$E,$B92,領用表!$B:$B,AB$2&amp;$R$1)</f>
        <v>0</v>
      </c>
      <c r="AC92" s="142">
        <f>SUMIFS(領用表!$L:$L,領用表!$E:$E,$B92,領用表!$B:$B,AC$2&amp;$R$1)</f>
        <v>0</v>
      </c>
      <c r="AD92" s="142">
        <f t="shared" si="16"/>
        <v>866</v>
      </c>
      <c r="AE92" s="142">
        <f t="shared" si="17"/>
        <v>173.2</v>
      </c>
      <c r="AF92" s="142">
        <f>SUMIF(Summary!B:B,B92,Summary!DV:DV)</f>
        <v>0</v>
      </c>
      <c r="AG92" s="108">
        <v>20</v>
      </c>
      <c r="AH92" s="65"/>
      <c r="AI92" s="76" t="s">
        <v>159</v>
      </c>
      <c r="AJ92" s="65"/>
      <c r="AK92" s="27"/>
      <c r="AL92" s="69"/>
      <c r="AM92" s="14"/>
      <c r="AN92" s="14"/>
    </row>
    <row r="93" spans="1:40" ht="15.75" customHeight="1">
      <c r="A93" s="27"/>
      <c r="B93" s="14">
        <v>6120016</v>
      </c>
      <c r="C93" s="427" t="s">
        <v>939</v>
      </c>
      <c r="D93" s="72"/>
      <c r="E93" s="17" t="s">
        <v>15</v>
      </c>
      <c r="F93" s="18"/>
      <c r="G93" s="18">
        <v>84</v>
      </c>
      <c r="H93" s="68" t="e">
        <f>SUM(#REF!)</f>
        <v>#REF!</v>
      </c>
      <c r="I93" s="26" t="e">
        <f t="shared" si="21"/>
        <v>#REF!</v>
      </c>
      <c r="J93" s="20">
        <f>SUMIFS(領用表!$L:$L,領用表!$E:$E,$B93,領用表!$B:$B,J$2&amp;$R$1)</f>
        <v>89</v>
      </c>
      <c r="K93" s="20">
        <f>SUMIFS(領用表!$L:$L,領用表!$E:$E,$B93,領用表!$B:$B,K$2&amp;$R$1)</f>
        <v>233</v>
      </c>
      <c r="L93" s="20">
        <f>SUMIFS(領用表!$L:$L,領用表!$E:$E,$B93,領用表!$B:$B,L$2&amp;$R$1)</f>
        <v>374</v>
      </c>
      <c r="M93" s="142">
        <f>SUMIFS(領用表!$L:$L,領用表!$E:$E,$B93,領用表!$B:$B,M$2&amp;$R$1)</f>
        <v>403</v>
      </c>
      <c r="N93" s="142">
        <f>SUMIFS(領用表!$L:$L,領用表!$E:$E,$B93,領用表!$B:$B,N$2&amp;$R$1)</f>
        <v>444</v>
      </c>
      <c r="O93" s="142">
        <f>SUMIFS(領用表!$L:$L,領用表!$E:$E,$B93,領用表!$B:$B,O$2&amp;$R$1)</f>
        <v>323</v>
      </c>
      <c r="P93" s="23">
        <f>SUM(,J93,K93,L93,M93,N93,O93)</f>
        <v>1866</v>
      </c>
      <c r="Q93" s="23">
        <f>AVERAGE(,J93,K93,L93,M93,N93,O93)</f>
        <v>266.57142857142856</v>
      </c>
      <c r="R93" s="142">
        <f>SUMIFS(領用表!$L:$L,領用表!$E:$E,$B93,領用表!$B:$B,R$2&amp;$R$1)</f>
        <v>262</v>
      </c>
      <c r="S93" s="142">
        <f>SUMIFS(領用表!$L:$L,領用表!$E:$E,$B93,領用表!$B:$B,S$2&amp;$R$1)</f>
        <v>164</v>
      </c>
      <c r="T93" s="142">
        <f>SUMIFS(領用表!$L:$L,領用表!$E:$E,$B93,領用表!$B:$B,T$2&amp;$R$1)</f>
        <v>163</v>
      </c>
      <c r="U93" s="142">
        <f>SUMIFS(領用表!$L:$L,領用表!$E:$E,$B93,領用表!$B:$B,U$2&amp;$R$1)</f>
        <v>125</v>
      </c>
      <c r="V93" s="142">
        <f>SUMIFS(領用表!$L:$L,領用表!$E:$E,$B93,領用表!$B:$B,V$2&amp;$R$1)</f>
        <v>142</v>
      </c>
      <c r="W93" s="142">
        <f>SUMIFS(領用表!$L:$L,領用表!$E:$E,$B93,領用表!$B:$B,W$2&amp;$R$1)</f>
        <v>0</v>
      </c>
      <c r="X93" s="142">
        <f>SUMIFS(領用表!$L:$L,領用表!$E:$E,$B93,領用表!$B:$B,X$2&amp;$R$1)</f>
        <v>0</v>
      </c>
      <c r="Y93" s="142">
        <f>SUMIFS(領用表!$L:$L,領用表!$E:$E,$B93,領用表!$B:$B,Y$2&amp;$R$1)</f>
        <v>0</v>
      </c>
      <c r="Z93" s="142">
        <f>SUMIFS(領用表!$L:$L,領用表!$E:$E,$B93,領用表!$B:$B,Z$2&amp;$R$1)</f>
        <v>0</v>
      </c>
      <c r="AA93" s="142">
        <f>SUMIFS(領用表!$L:$L,領用表!$E:$E,$B93,領用表!$B:$B,AA$2&amp;$R$1)</f>
        <v>0</v>
      </c>
      <c r="AB93" s="142">
        <f>SUMIFS(領用表!$L:$L,領用表!$E:$E,$B93,領用表!$B:$B,AB$2&amp;$R$1)</f>
        <v>0</v>
      </c>
      <c r="AC93" s="142">
        <f>SUMIFS(領用表!$L:$L,領用表!$E:$E,$B93,領用表!$B:$B,AC$2&amp;$R$1)</f>
        <v>0</v>
      </c>
      <c r="AD93" s="142">
        <f t="shared" si="16"/>
        <v>856</v>
      </c>
      <c r="AE93" s="142">
        <f t="shared" si="17"/>
        <v>171.2</v>
      </c>
      <c r="AF93" s="142">
        <f>SUMIF(Summary!B:B,B93,Summary!DV:DV)</f>
        <v>0</v>
      </c>
      <c r="AG93" s="108">
        <v>20</v>
      </c>
      <c r="AH93" s="65"/>
      <c r="AI93" s="76" t="s">
        <v>163</v>
      </c>
      <c r="AJ93" s="65" t="s">
        <v>164</v>
      </c>
      <c r="AK93" s="27"/>
      <c r="AL93" s="69"/>
      <c r="AM93" s="14"/>
      <c r="AN93" s="14"/>
    </row>
    <row r="94" spans="1:40" ht="15.75" customHeight="1">
      <c r="A94" s="27"/>
      <c r="B94" s="14">
        <v>6120017</v>
      </c>
      <c r="C94" s="136" t="s">
        <v>528</v>
      </c>
      <c r="D94" s="72"/>
      <c r="E94" s="17" t="s">
        <v>15</v>
      </c>
      <c r="F94" s="18"/>
      <c r="G94" s="18">
        <v>42</v>
      </c>
      <c r="H94" s="68" t="e">
        <f>SUM(#REF!)</f>
        <v>#REF!</v>
      </c>
      <c r="I94" s="26" t="e">
        <f t="shared" si="21"/>
        <v>#REF!</v>
      </c>
      <c r="J94" s="20">
        <f>SUMIFS(領用表!$L:$L,領用表!$E:$E,$B94,領用表!$B:$B,J$2&amp;$R$1)</f>
        <v>0</v>
      </c>
      <c r="K94" s="20">
        <f>SUMIFS(領用表!$L:$L,領用表!$E:$E,$B94,領用表!$B:$B,K$2&amp;$R$1)</f>
        <v>0</v>
      </c>
      <c r="L94" s="20">
        <f>SUMIFS(領用表!$L:$L,領用表!$E:$E,$B94,領用表!$B:$B,L$2&amp;$R$1)</f>
        <v>0</v>
      </c>
      <c r="M94" s="142">
        <f>SUMIFS(領用表!$L:$L,領用表!$E:$E,$B94,領用表!$B:$B,M$2&amp;$R$1)</f>
        <v>1</v>
      </c>
      <c r="N94" s="142">
        <f>SUMIFS(領用表!$L:$L,領用表!$E:$E,$B94,領用表!$B:$B,N$2&amp;$R$1)</f>
        <v>0</v>
      </c>
      <c r="O94" s="142">
        <f>SUMIFS(領用表!$L:$L,領用表!$E:$E,$B94,領用表!$B:$B,O$2&amp;$R$1)</f>
        <v>1</v>
      </c>
      <c r="P94" s="23">
        <f>SUM(,J94,K94,L94,M94,N94,O94)</f>
        <v>2</v>
      </c>
      <c r="Q94" s="23">
        <f>AVERAGE(,J94,K94,L94,M94,N94,O94)</f>
        <v>0.2857142857142857</v>
      </c>
      <c r="R94" s="142">
        <f>SUMIFS(領用表!$L:$L,領用表!$E:$E,$B94,領用表!$B:$B,R$2&amp;$R$1)</f>
        <v>1</v>
      </c>
      <c r="S94" s="142">
        <f>SUMIFS(領用表!$L:$L,領用表!$E:$E,$B94,領用表!$B:$B,S$2&amp;$R$1)</f>
        <v>1</v>
      </c>
      <c r="T94" s="142">
        <f>SUMIFS(領用表!$L:$L,領用表!$E:$E,$B94,領用表!$B:$B,T$2&amp;$R$1)</f>
        <v>4</v>
      </c>
      <c r="U94" s="142">
        <f>SUMIFS(領用表!$L:$L,領用表!$E:$E,$B94,領用表!$B:$B,U$2&amp;$R$1)</f>
        <v>2</v>
      </c>
      <c r="V94" s="142">
        <f>SUMIFS(領用表!$L:$L,領用表!$E:$E,$B94,領用表!$B:$B,V$2&amp;$R$1)</f>
        <v>1</v>
      </c>
      <c r="W94" s="142">
        <f>SUMIFS(領用表!$L:$L,領用表!$E:$E,$B94,領用表!$B:$B,W$2&amp;$R$1)</f>
        <v>0</v>
      </c>
      <c r="X94" s="142">
        <f>SUMIFS(領用表!$L:$L,領用表!$E:$E,$B94,領用表!$B:$B,X$2&amp;$R$1)</f>
        <v>0</v>
      </c>
      <c r="Y94" s="142">
        <f>SUMIFS(領用表!$L:$L,領用表!$E:$E,$B94,領用表!$B:$B,Y$2&amp;$R$1)</f>
        <v>0</v>
      </c>
      <c r="Z94" s="142">
        <f>SUMIFS(領用表!$L:$L,領用表!$E:$E,$B94,領用表!$B:$B,Z$2&amp;$R$1)</f>
        <v>0</v>
      </c>
      <c r="AA94" s="142">
        <f>SUMIFS(領用表!$L:$L,領用表!$E:$E,$B94,領用表!$B:$B,AA$2&amp;$R$1)</f>
        <v>0</v>
      </c>
      <c r="AB94" s="142">
        <f>SUMIFS(領用表!$L:$L,領用表!$E:$E,$B94,領用表!$B:$B,AB$2&amp;$R$1)</f>
        <v>0</v>
      </c>
      <c r="AC94" s="142">
        <f>SUMIFS(領用表!$L:$L,領用表!$E:$E,$B94,領用表!$B:$B,AC$2&amp;$R$1)</f>
        <v>0</v>
      </c>
      <c r="AD94" s="142">
        <f t="shared" si="16"/>
        <v>9</v>
      </c>
      <c r="AE94" s="142">
        <f t="shared" si="17"/>
        <v>1.8</v>
      </c>
      <c r="AF94" s="142">
        <f>SUMIF(Summary!B:B,B94,Summary!DV:DV)</f>
        <v>0</v>
      </c>
      <c r="AG94" s="109">
        <v>0</v>
      </c>
      <c r="AH94" s="65"/>
      <c r="AI94" s="65"/>
      <c r="AJ94" s="65"/>
      <c r="AK94" s="27"/>
      <c r="AL94" s="69"/>
      <c r="AM94" s="14"/>
      <c r="AN94" s="14"/>
    </row>
    <row r="95" spans="1:40" ht="15.75" customHeight="1">
      <c r="A95" s="27"/>
      <c r="B95" s="14">
        <v>6120018</v>
      </c>
      <c r="C95" s="136" t="s">
        <v>526</v>
      </c>
      <c r="D95" s="72"/>
      <c r="E95" s="17" t="s">
        <v>15</v>
      </c>
      <c r="F95" s="18"/>
      <c r="G95" s="18">
        <v>185</v>
      </c>
      <c r="H95" s="68" t="e">
        <f>SUM(#REF!)</f>
        <v>#REF!</v>
      </c>
      <c r="I95" s="26" t="e">
        <f t="shared" si="21"/>
        <v>#REF!</v>
      </c>
      <c r="J95" s="20">
        <f>SUMIFS(領用表!$L:$L,領用表!$E:$E,$B95,領用表!$B:$B,J$2&amp;$R$1)</f>
        <v>5</v>
      </c>
      <c r="K95" s="20">
        <f>SUMIFS(領用表!$L:$L,領用表!$E:$E,$B95,領用表!$B:$B,K$2&amp;$R$1)</f>
        <v>10</v>
      </c>
      <c r="L95" s="20">
        <f>SUMIFS(領用表!$L:$L,領用表!$E:$E,$B95,領用表!$B:$B,L$2&amp;$R$1)</f>
        <v>34</v>
      </c>
      <c r="M95" s="142">
        <f>SUMIFS(領用表!$L:$L,領用表!$E:$E,$B95,領用表!$B:$B,M$2&amp;$R$1)</f>
        <v>41</v>
      </c>
      <c r="N95" s="142">
        <f>SUMIFS(領用表!$L:$L,領用表!$E:$E,$B95,領用表!$B:$B,N$2&amp;$R$1)</f>
        <v>52</v>
      </c>
      <c r="O95" s="142">
        <f>SUMIFS(領用表!$L:$L,領用表!$E:$E,$B95,領用表!$B:$B,O$2&amp;$R$1)</f>
        <v>78</v>
      </c>
      <c r="P95" s="23">
        <f>SUM(,J95,K95,L95,M95,N95,O95)</f>
        <v>220</v>
      </c>
      <c r="Q95" s="23">
        <f>AVERAGE(,J95,K95,L95,M95,N95,O95)</f>
        <v>31.428571428571427</v>
      </c>
      <c r="R95" s="142">
        <f>SUMIFS(領用表!$L:$L,領用表!$E:$E,$B95,領用表!$B:$B,R$2&amp;$R$1)</f>
        <v>115</v>
      </c>
      <c r="S95" s="142">
        <f>SUMIFS(領用表!$L:$L,領用表!$E:$E,$B95,領用表!$B:$B,S$2&amp;$R$1)</f>
        <v>124</v>
      </c>
      <c r="T95" s="142">
        <f>SUMIFS(領用表!$L:$L,領用表!$E:$E,$B95,領用表!$B:$B,T$2&amp;$R$1)</f>
        <v>134</v>
      </c>
      <c r="U95" s="142">
        <f>SUMIFS(領用表!$L:$L,領用表!$E:$E,$B95,領用表!$B:$B,U$2&amp;$R$1)</f>
        <v>170</v>
      </c>
      <c r="V95" s="142">
        <f>SUMIFS(領用表!$L:$L,領用表!$E:$E,$B95,領用表!$B:$B,V$2&amp;$R$1)</f>
        <v>223</v>
      </c>
      <c r="W95" s="142">
        <f>SUMIFS(領用表!$L:$L,領用表!$E:$E,$B95,領用表!$B:$B,W$2&amp;$R$1)</f>
        <v>0</v>
      </c>
      <c r="X95" s="142">
        <f>SUMIFS(領用表!$L:$L,領用表!$E:$E,$B95,領用表!$B:$B,X$2&amp;$R$1)</f>
        <v>0</v>
      </c>
      <c r="Y95" s="142">
        <f>SUMIFS(領用表!$L:$L,領用表!$E:$E,$B95,領用表!$B:$B,Y$2&amp;$R$1)</f>
        <v>0</v>
      </c>
      <c r="Z95" s="142">
        <f>SUMIFS(領用表!$L:$L,領用表!$E:$E,$B95,領用表!$B:$B,Z$2&amp;$R$1)</f>
        <v>0</v>
      </c>
      <c r="AA95" s="142">
        <f>SUMIFS(領用表!$L:$L,領用表!$E:$E,$B95,領用表!$B:$B,AA$2&amp;$R$1)</f>
        <v>0</v>
      </c>
      <c r="AB95" s="142">
        <f>SUMIFS(領用表!$L:$L,領用表!$E:$E,$B95,領用表!$B:$B,AB$2&amp;$R$1)</f>
        <v>0</v>
      </c>
      <c r="AC95" s="142">
        <f>SUMIFS(領用表!$L:$L,領用表!$E:$E,$B95,領用表!$B:$B,AC$2&amp;$R$1)</f>
        <v>0</v>
      </c>
      <c r="AD95" s="142">
        <f t="shared" si="16"/>
        <v>766</v>
      </c>
      <c r="AE95" s="142">
        <f t="shared" si="17"/>
        <v>153.19999999999999</v>
      </c>
      <c r="AF95" s="142">
        <f>SUMIF(Summary!B:B,B95,Summary!DV:DV)</f>
        <v>0</v>
      </c>
      <c r="AG95" s="109">
        <v>5</v>
      </c>
      <c r="AH95" s="65"/>
      <c r="AI95" s="76" t="s">
        <v>165</v>
      </c>
      <c r="AJ95" s="65"/>
      <c r="AK95" s="27"/>
      <c r="AL95" s="69"/>
      <c r="AM95" s="14"/>
      <c r="AN95" s="14"/>
    </row>
    <row r="96" spans="1:40" ht="15.75" customHeight="1">
      <c r="A96" s="27"/>
      <c r="B96" s="14">
        <v>6120020</v>
      </c>
      <c r="C96" s="135" t="s">
        <v>513</v>
      </c>
      <c r="D96" s="77">
        <v>100</v>
      </c>
      <c r="E96" s="17" t="s">
        <v>15</v>
      </c>
      <c r="F96" s="18"/>
      <c r="G96" s="18">
        <v>291</v>
      </c>
      <c r="H96" s="68" t="e">
        <f>SUM(#REF!)</f>
        <v>#REF!</v>
      </c>
      <c r="I96" s="26" t="e">
        <f t="shared" si="21"/>
        <v>#REF!</v>
      </c>
      <c r="J96" s="20">
        <f>SUMIFS(領用表!$L:$L,領用表!$E:$E,$B96,領用表!$B:$B,J$2&amp;$R$1)</f>
        <v>30</v>
      </c>
      <c r="K96" s="20">
        <f>SUMIFS(領用表!$L:$L,領用表!$E:$E,$B96,領用表!$B:$B,K$2&amp;$R$1)</f>
        <v>84</v>
      </c>
      <c r="L96" s="20">
        <f>SUMIFS(領用表!$L:$L,領用表!$E:$E,$B96,領用表!$B:$B,L$2&amp;$R$1)</f>
        <v>125</v>
      </c>
      <c r="M96" s="142">
        <f>SUMIFS(領用表!$L:$L,領用表!$E:$E,$B96,領用表!$B:$B,M$2&amp;$R$1)</f>
        <v>115</v>
      </c>
      <c r="N96" s="142">
        <f>SUMIFS(領用表!$L:$L,領用表!$E:$E,$B96,領用表!$B:$B,N$2&amp;$R$1)</f>
        <v>151</v>
      </c>
      <c r="O96" s="142">
        <f>SUMIFS(領用表!$L:$L,領用表!$E:$E,$B96,領用表!$B:$B,O$2&amp;$R$1)</f>
        <v>274</v>
      </c>
      <c r="P96" s="23">
        <f t="shared" si="18"/>
        <v>779</v>
      </c>
      <c r="Q96" s="23">
        <f t="shared" si="19"/>
        <v>111.28571428571429</v>
      </c>
      <c r="R96" s="142">
        <f>SUMIFS(領用表!$L:$L,領用表!$E:$E,$B96,領用表!$B:$B,R$2&amp;$R$1)</f>
        <v>338</v>
      </c>
      <c r="S96" s="142">
        <f>SUMIFS(領用表!$L:$L,領用表!$E:$E,$B96,領用表!$B:$B,S$2&amp;$R$1)</f>
        <v>294</v>
      </c>
      <c r="T96" s="142">
        <f>SUMIFS(領用表!$L:$L,領用表!$E:$E,$B96,領用表!$B:$B,T$2&amp;$R$1)</f>
        <v>304</v>
      </c>
      <c r="U96" s="142">
        <f>SUMIFS(領用表!$L:$L,領用表!$E:$E,$B96,領用表!$B:$B,U$2&amp;$R$1)</f>
        <v>151</v>
      </c>
      <c r="V96" s="142">
        <f>SUMIFS(領用表!$L:$L,領用表!$E:$E,$B96,領用表!$B:$B,V$2&amp;$R$1)</f>
        <v>39</v>
      </c>
      <c r="W96" s="142">
        <f>SUMIFS(領用表!$L:$L,領用表!$E:$E,$B96,領用表!$B:$B,W$2&amp;$R$1)</f>
        <v>0</v>
      </c>
      <c r="X96" s="142">
        <f>SUMIFS(領用表!$L:$L,領用表!$E:$E,$B96,領用表!$B:$B,X$2&amp;$R$1)</f>
        <v>0</v>
      </c>
      <c r="Y96" s="142">
        <f>SUMIFS(領用表!$L:$L,領用表!$E:$E,$B96,領用表!$B:$B,Y$2&amp;$R$1)</f>
        <v>0</v>
      </c>
      <c r="Z96" s="142">
        <f>SUMIFS(領用表!$L:$L,領用表!$E:$E,$B96,領用表!$B:$B,Z$2&amp;$R$1)</f>
        <v>0</v>
      </c>
      <c r="AA96" s="142">
        <f>SUMIFS(領用表!$L:$L,領用表!$E:$E,$B96,領用表!$B:$B,AA$2&amp;$R$1)</f>
        <v>0</v>
      </c>
      <c r="AB96" s="142">
        <f>SUMIFS(領用表!$L:$L,領用表!$E:$E,$B96,領用表!$B:$B,AB$2&amp;$R$1)</f>
        <v>0</v>
      </c>
      <c r="AC96" s="142">
        <f>SUMIFS(領用表!$L:$L,領用表!$E:$E,$B96,領用表!$B:$B,AC$2&amp;$R$1)</f>
        <v>0</v>
      </c>
      <c r="AD96" s="142">
        <f t="shared" si="16"/>
        <v>1126</v>
      </c>
      <c r="AE96" s="142">
        <f t="shared" si="17"/>
        <v>225.2</v>
      </c>
      <c r="AF96" s="142">
        <f>SUMIF(Summary!B:B,B96,Summary!DV:DV)</f>
        <v>0</v>
      </c>
      <c r="AG96" s="108">
        <v>20</v>
      </c>
      <c r="AH96" s="65"/>
      <c r="AI96" s="76" t="s">
        <v>159</v>
      </c>
      <c r="AJ96" s="65" t="s">
        <v>160</v>
      </c>
      <c r="AK96" s="27"/>
      <c r="AL96" s="27"/>
      <c r="AM96" s="14"/>
      <c r="AN96" s="29"/>
    </row>
    <row r="97" spans="1:40" ht="15.75" customHeight="1">
      <c r="A97" s="27"/>
      <c r="B97" s="14">
        <v>6120021</v>
      </c>
      <c r="C97" s="136" t="s">
        <v>512</v>
      </c>
      <c r="D97" s="72">
        <v>50</v>
      </c>
      <c r="E97" s="17" t="s">
        <v>15</v>
      </c>
      <c r="F97" s="18"/>
      <c r="G97" s="18">
        <v>0</v>
      </c>
      <c r="H97" s="68" t="e">
        <f>SUM(#REF!)</f>
        <v>#REF!</v>
      </c>
      <c r="I97" s="26" t="e">
        <f t="shared" si="20"/>
        <v>#REF!</v>
      </c>
      <c r="J97" s="20">
        <f>SUMIFS(領用表!$L:$L,領用表!$E:$E,$B97,領用表!$B:$B,J$2&amp;$R$1)</f>
        <v>89</v>
      </c>
      <c r="K97" s="20">
        <f>SUMIFS(領用表!$L:$L,領用表!$E:$E,$B97,領用表!$B:$B,K$2&amp;$R$1)</f>
        <v>235</v>
      </c>
      <c r="L97" s="20">
        <f>SUMIFS(領用表!$L:$L,領用表!$E:$E,$B97,領用表!$B:$B,L$2&amp;$R$1)</f>
        <v>375</v>
      </c>
      <c r="M97" s="142">
        <f>SUMIFS(領用表!$L:$L,領用表!$E:$E,$B97,領用表!$B:$B,M$2&amp;$R$1)</f>
        <v>405</v>
      </c>
      <c r="N97" s="142">
        <f>SUMIFS(領用表!$L:$L,領用表!$E:$E,$B97,領用表!$B:$B,N$2&amp;$R$1)</f>
        <v>444</v>
      </c>
      <c r="O97" s="142">
        <f>SUMIFS(領用表!$L:$L,領用表!$E:$E,$B97,領用表!$B:$B,O$2&amp;$R$1)</f>
        <v>340</v>
      </c>
      <c r="P97" s="23">
        <f t="shared" si="18"/>
        <v>1888</v>
      </c>
      <c r="Q97" s="23">
        <f t="shared" si="19"/>
        <v>269.71428571428572</v>
      </c>
      <c r="R97" s="142">
        <f>SUMIFS(領用表!$L:$L,領用表!$E:$E,$B97,領用表!$B:$B,R$2&amp;$R$1)</f>
        <v>313</v>
      </c>
      <c r="S97" s="142">
        <f>SUMIFS(領用表!$L:$L,領用表!$E:$E,$B97,領用表!$B:$B,S$2&amp;$R$1)</f>
        <v>220</v>
      </c>
      <c r="T97" s="142">
        <f>SUMIFS(領用表!$L:$L,領用表!$E:$E,$B97,領用表!$B:$B,T$2&amp;$R$1)</f>
        <v>212</v>
      </c>
      <c r="U97" s="142">
        <f>SUMIFS(領用表!$L:$L,領用表!$E:$E,$B97,領用表!$B:$B,U$2&amp;$R$1)</f>
        <v>180</v>
      </c>
      <c r="V97" s="142">
        <f>SUMIFS(領用表!$L:$L,領用表!$E:$E,$B97,領用表!$B:$B,V$2&amp;$R$1)</f>
        <v>188</v>
      </c>
      <c r="W97" s="142">
        <f>SUMIFS(領用表!$L:$L,領用表!$E:$E,$B97,領用表!$B:$B,W$2&amp;$R$1)</f>
        <v>0</v>
      </c>
      <c r="X97" s="142">
        <f>SUMIFS(領用表!$L:$L,領用表!$E:$E,$B97,領用表!$B:$B,X$2&amp;$R$1)</f>
        <v>0</v>
      </c>
      <c r="Y97" s="142">
        <f>SUMIFS(領用表!$L:$L,領用表!$E:$E,$B97,領用表!$B:$B,Y$2&amp;$R$1)</f>
        <v>0</v>
      </c>
      <c r="Z97" s="142">
        <f>SUMIFS(領用表!$L:$L,領用表!$E:$E,$B97,領用表!$B:$B,Z$2&amp;$R$1)</f>
        <v>0</v>
      </c>
      <c r="AA97" s="142">
        <f>SUMIFS(領用表!$L:$L,領用表!$E:$E,$B97,領用表!$B:$B,AA$2&amp;$R$1)</f>
        <v>0</v>
      </c>
      <c r="AB97" s="142">
        <f>SUMIFS(領用表!$L:$L,領用表!$E:$E,$B97,領用表!$B:$B,AB$2&amp;$R$1)</f>
        <v>0</v>
      </c>
      <c r="AC97" s="142">
        <f>SUMIFS(領用表!$L:$L,領用表!$E:$E,$B97,領用表!$B:$B,AC$2&amp;$R$1)</f>
        <v>0</v>
      </c>
      <c r="AD97" s="142">
        <f t="shared" si="16"/>
        <v>1113</v>
      </c>
      <c r="AE97" s="142">
        <f t="shared" si="17"/>
        <v>222.6</v>
      </c>
      <c r="AF97" s="142">
        <f>SUMIF(Summary!B:B,B97,Summary!DV:DV)</f>
        <v>0</v>
      </c>
      <c r="AG97" s="108">
        <v>20</v>
      </c>
      <c r="AH97" s="65"/>
      <c r="AI97" s="76" t="s">
        <v>158</v>
      </c>
      <c r="AJ97" s="65"/>
      <c r="AK97" s="27"/>
      <c r="AL97" s="69"/>
      <c r="AM97" s="14"/>
      <c r="AN97" s="14"/>
    </row>
    <row r="98" spans="1:40" ht="15.75" customHeight="1">
      <c r="A98" s="27"/>
      <c r="B98" s="14">
        <v>6120022</v>
      </c>
      <c r="C98" s="136" t="s">
        <v>519</v>
      </c>
      <c r="D98" s="72"/>
      <c r="E98" s="17" t="s">
        <v>15</v>
      </c>
      <c r="F98" s="18"/>
      <c r="G98" s="18">
        <v>34</v>
      </c>
      <c r="H98" s="68" t="e">
        <f>SUM(#REF!)</f>
        <v>#REF!</v>
      </c>
      <c r="I98" s="26" t="e">
        <f>H98/12</f>
        <v>#REF!</v>
      </c>
      <c r="J98" s="20">
        <f>SUMIFS(領用表!$L:$L,領用表!$E:$E,$B98,領用表!$B:$B,J$2&amp;$R$1)</f>
        <v>0</v>
      </c>
      <c r="K98" s="20">
        <f>SUMIFS(領用表!$L:$L,領用表!$E:$E,$B98,領用表!$B:$B,K$2&amp;$R$1)</f>
        <v>0</v>
      </c>
      <c r="L98" s="20">
        <f>SUMIFS(領用表!$L:$L,領用表!$E:$E,$B98,領用表!$B:$B,L$2&amp;$R$1)</f>
        <v>0</v>
      </c>
      <c r="M98" s="142">
        <f>SUMIFS(領用表!$L:$L,領用表!$E:$E,$B98,領用表!$B:$B,M$2&amp;$R$1)</f>
        <v>1</v>
      </c>
      <c r="N98" s="142">
        <f>SUMIFS(領用表!$L:$L,領用表!$E:$E,$B98,領用表!$B:$B,N$2&amp;$R$1)</f>
        <v>0</v>
      </c>
      <c r="O98" s="142">
        <f>SUMIFS(領用表!$L:$L,領用表!$E:$E,$B98,領用表!$B:$B,O$2&amp;$R$1)</f>
        <v>1</v>
      </c>
      <c r="P98" s="23">
        <f>SUM(,J98,K98,L98,M98,N98,O98)</f>
        <v>2</v>
      </c>
      <c r="Q98" s="23">
        <f>AVERAGE(,J98,K98,L98,M98,N98,O98)</f>
        <v>0.2857142857142857</v>
      </c>
      <c r="R98" s="142">
        <f>SUMIFS(領用表!$L:$L,領用表!$E:$E,$B98,領用表!$B:$B,R$2&amp;$R$1)</f>
        <v>1</v>
      </c>
      <c r="S98" s="142">
        <f>SUMIFS(領用表!$L:$L,領用表!$E:$E,$B98,領用表!$B:$B,S$2&amp;$R$1)</f>
        <v>1</v>
      </c>
      <c r="T98" s="142">
        <f>SUMIFS(領用表!$L:$L,領用表!$E:$E,$B98,領用表!$B:$B,T$2&amp;$R$1)</f>
        <v>4</v>
      </c>
      <c r="U98" s="142">
        <f>SUMIFS(領用表!$L:$L,領用表!$E:$E,$B98,領用表!$B:$B,U$2&amp;$R$1)</f>
        <v>2</v>
      </c>
      <c r="V98" s="142">
        <f>SUMIFS(領用表!$L:$L,領用表!$E:$E,$B98,領用表!$B:$B,V$2&amp;$R$1)</f>
        <v>1</v>
      </c>
      <c r="W98" s="142">
        <f>SUMIFS(領用表!$L:$L,領用表!$E:$E,$B98,領用表!$B:$B,W$2&amp;$R$1)</f>
        <v>0</v>
      </c>
      <c r="X98" s="142">
        <f>SUMIFS(領用表!$L:$L,領用表!$E:$E,$B98,領用表!$B:$B,X$2&amp;$R$1)</f>
        <v>0</v>
      </c>
      <c r="Y98" s="142">
        <f>SUMIFS(領用表!$L:$L,領用表!$E:$E,$B98,領用表!$B:$B,Y$2&amp;$R$1)</f>
        <v>0</v>
      </c>
      <c r="Z98" s="142">
        <f>SUMIFS(領用表!$L:$L,領用表!$E:$E,$B98,領用表!$B:$B,Z$2&amp;$R$1)</f>
        <v>0</v>
      </c>
      <c r="AA98" s="142">
        <f>SUMIFS(領用表!$L:$L,領用表!$E:$E,$B98,領用表!$B:$B,AA$2&amp;$R$1)</f>
        <v>0</v>
      </c>
      <c r="AB98" s="142">
        <f>SUMIFS(領用表!$L:$L,領用表!$E:$E,$B98,領用表!$B:$B,AB$2&amp;$R$1)</f>
        <v>0</v>
      </c>
      <c r="AC98" s="142">
        <f>SUMIFS(領用表!$L:$L,領用表!$E:$E,$B98,領用表!$B:$B,AC$2&amp;$R$1)</f>
        <v>0</v>
      </c>
      <c r="AD98" s="142">
        <f t="shared" si="16"/>
        <v>9</v>
      </c>
      <c r="AE98" s="142">
        <f t="shared" si="17"/>
        <v>1.8</v>
      </c>
      <c r="AF98" s="142">
        <f>SUMIF(Summary!B:B,B98,Summary!DV:DV)</f>
        <v>0</v>
      </c>
      <c r="AG98" s="108">
        <v>3</v>
      </c>
      <c r="AH98" s="65"/>
      <c r="AI98" s="65"/>
      <c r="AJ98" s="65"/>
      <c r="AK98" s="27"/>
      <c r="AL98" s="69"/>
      <c r="AM98" s="14"/>
      <c r="AN98" s="14"/>
    </row>
    <row r="99" spans="1:40" ht="15.75" customHeight="1">
      <c r="A99" s="27"/>
      <c r="B99" s="14">
        <v>6120024</v>
      </c>
      <c r="C99" s="136" t="s">
        <v>522</v>
      </c>
      <c r="D99" s="77"/>
      <c r="E99" s="17" t="s">
        <v>15</v>
      </c>
      <c r="F99" s="18"/>
      <c r="G99" s="18">
        <v>27</v>
      </c>
      <c r="H99" s="68" t="e">
        <f>SUM(#REF!)</f>
        <v>#REF!</v>
      </c>
      <c r="I99" s="26" t="e">
        <f>H99/12</f>
        <v>#REF!</v>
      </c>
      <c r="J99" s="20">
        <f>SUMIFS(領用表!$L:$L,領用表!$E:$E,$B99,領用表!$B:$B,J$2&amp;$R$1)</f>
        <v>0</v>
      </c>
      <c r="K99" s="20">
        <f>SUMIFS(領用表!$L:$L,領用表!$E:$E,$B99,領用表!$B:$B,K$2&amp;$R$1)</f>
        <v>0</v>
      </c>
      <c r="L99" s="20">
        <f>SUMIFS(領用表!$L:$L,領用表!$E:$E,$B99,領用表!$B:$B,L$2&amp;$R$1)</f>
        <v>0</v>
      </c>
      <c r="M99" s="142">
        <f>SUMIFS(領用表!$L:$L,領用表!$E:$E,$B99,領用表!$B:$B,M$2&amp;$R$1)</f>
        <v>0</v>
      </c>
      <c r="N99" s="142">
        <f>SUMIFS(領用表!$L:$L,領用表!$E:$E,$B99,領用表!$B:$B,N$2&amp;$R$1)</f>
        <v>0</v>
      </c>
      <c r="O99" s="142">
        <f>SUMIFS(領用表!$L:$L,領用表!$E:$E,$B99,領用表!$B:$B,O$2&amp;$R$1)</f>
        <v>0</v>
      </c>
      <c r="P99" s="23">
        <f>SUM(,J99,K99,L99,M99,N99,O99)</f>
        <v>0</v>
      </c>
      <c r="Q99" s="23">
        <f>AVERAGE(,J99,K99,L99,M99,N99,O99)</f>
        <v>0</v>
      </c>
      <c r="R99" s="142">
        <f>SUMIFS(領用表!$L:$L,領用表!$E:$E,$B99,領用表!$B:$B,R$2&amp;$R$1)</f>
        <v>0</v>
      </c>
      <c r="S99" s="142">
        <f>SUMIFS(領用表!$L:$L,領用表!$E:$E,$B99,領用表!$B:$B,S$2&amp;$R$1)</f>
        <v>0</v>
      </c>
      <c r="T99" s="142">
        <f>SUMIFS(領用表!$L:$L,領用表!$E:$E,$B99,領用表!$B:$B,T$2&amp;$R$1)</f>
        <v>0</v>
      </c>
      <c r="U99" s="142">
        <f>SUMIFS(領用表!$L:$L,領用表!$E:$E,$B99,領用表!$B:$B,U$2&amp;$R$1)</f>
        <v>0</v>
      </c>
      <c r="V99" s="142">
        <f>SUMIFS(領用表!$L:$L,領用表!$E:$E,$B99,領用表!$B:$B,V$2&amp;$R$1)</f>
        <v>0</v>
      </c>
      <c r="W99" s="142">
        <f>SUMIFS(領用表!$L:$L,領用表!$E:$E,$B99,領用表!$B:$B,W$2&amp;$R$1)</f>
        <v>0</v>
      </c>
      <c r="X99" s="142">
        <f>SUMIFS(領用表!$L:$L,領用表!$E:$E,$B99,領用表!$B:$B,X$2&amp;$R$1)</f>
        <v>0</v>
      </c>
      <c r="Y99" s="142">
        <f>SUMIFS(領用表!$L:$L,領用表!$E:$E,$B99,領用表!$B:$B,Y$2&amp;$R$1)</f>
        <v>0</v>
      </c>
      <c r="Z99" s="142">
        <f>SUMIFS(領用表!$L:$L,領用表!$E:$E,$B99,領用表!$B:$B,Z$2&amp;$R$1)</f>
        <v>0</v>
      </c>
      <c r="AA99" s="142">
        <f>SUMIFS(領用表!$L:$L,領用表!$E:$E,$B99,領用表!$B:$B,AA$2&amp;$R$1)</f>
        <v>0</v>
      </c>
      <c r="AB99" s="142">
        <f>SUMIFS(領用表!$L:$L,領用表!$E:$E,$B99,領用表!$B:$B,AB$2&amp;$R$1)</f>
        <v>0</v>
      </c>
      <c r="AC99" s="142">
        <f>SUMIFS(領用表!$L:$L,領用表!$E:$E,$B99,領用表!$B:$B,AC$2&amp;$R$1)</f>
        <v>0</v>
      </c>
      <c r="AD99" s="142">
        <f t="shared" si="16"/>
        <v>0</v>
      </c>
      <c r="AE99" s="142">
        <f t="shared" si="17"/>
        <v>0</v>
      </c>
      <c r="AF99" s="142">
        <f>SUMIF(Summary!B:B,B99,Summary!DV:DV)</f>
        <v>0</v>
      </c>
      <c r="AG99" s="109">
        <v>3</v>
      </c>
      <c r="AH99" s="65"/>
      <c r="AI99" s="65"/>
      <c r="AJ99" s="65"/>
      <c r="AK99" s="27"/>
      <c r="AL99" s="27"/>
      <c r="AM99" s="14"/>
      <c r="AN99" s="29"/>
    </row>
    <row r="100" spans="1:40" ht="15.75" customHeight="1">
      <c r="A100" s="27"/>
      <c r="B100" s="14">
        <v>6120025</v>
      </c>
      <c r="C100" s="136" t="s">
        <v>523</v>
      </c>
      <c r="D100" s="77"/>
      <c r="E100" s="17" t="s">
        <v>15</v>
      </c>
      <c r="F100" s="18"/>
      <c r="G100" s="18">
        <v>53</v>
      </c>
      <c r="H100" s="68" t="e">
        <f>SUM(#REF!)</f>
        <v>#REF!</v>
      </c>
      <c r="I100" s="26" t="e">
        <f>H100/12</f>
        <v>#REF!</v>
      </c>
      <c r="J100" s="20">
        <f>SUMIFS(領用表!$L:$L,領用表!$E:$E,$B100,領用表!$B:$B,J$2&amp;$R$1)</f>
        <v>0</v>
      </c>
      <c r="K100" s="20">
        <f>SUMIFS(領用表!$L:$L,領用表!$E:$E,$B100,領用表!$B:$B,K$2&amp;$R$1)</f>
        <v>0</v>
      </c>
      <c r="L100" s="20">
        <f>SUMIFS(領用表!$L:$L,領用表!$E:$E,$B100,領用表!$B:$B,L$2&amp;$R$1)</f>
        <v>0</v>
      </c>
      <c r="M100" s="142">
        <f>SUMIFS(領用表!$L:$L,領用表!$E:$E,$B100,領用表!$B:$B,M$2&amp;$R$1)</f>
        <v>0</v>
      </c>
      <c r="N100" s="142">
        <f>SUMIFS(領用表!$L:$L,領用表!$E:$E,$B100,領用表!$B:$B,N$2&amp;$R$1)</f>
        <v>0</v>
      </c>
      <c r="O100" s="142">
        <f>SUMIFS(領用表!$L:$L,領用表!$E:$E,$B100,領用表!$B:$B,O$2&amp;$R$1)</f>
        <v>0</v>
      </c>
      <c r="P100" s="23">
        <f>SUM(,J100,K100,L100,M100,N100,O100)</f>
        <v>0</v>
      </c>
      <c r="Q100" s="23">
        <f>AVERAGE(,J100,K100,L100,M100,N100,O100)</f>
        <v>0</v>
      </c>
      <c r="R100" s="142">
        <f>SUMIFS(領用表!$L:$L,領用表!$E:$E,$B100,領用表!$B:$B,R$2&amp;$R$1)</f>
        <v>0</v>
      </c>
      <c r="S100" s="142">
        <f>SUMIFS(領用表!$L:$L,領用表!$E:$E,$B100,領用表!$B:$B,S$2&amp;$R$1)</f>
        <v>0</v>
      </c>
      <c r="T100" s="142">
        <f>SUMIFS(領用表!$L:$L,領用表!$E:$E,$B100,領用表!$B:$B,T$2&amp;$R$1)</f>
        <v>0</v>
      </c>
      <c r="U100" s="142">
        <f>SUMIFS(領用表!$L:$L,領用表!$E:$E,$B100,領用表!$B:$B,U$2&amp;$R$1)</f>
        <v>0</v>
      </c>
      <c r="V100" s="142">
        <f>SUMIFS(領用表!$L:$L,領用表!$E:$E,$B100,領用表!$B:$B,V$2&amp;$R$1)</f>
        <v>0</v>
      </c>
      <c r="W100" s="142">
        <f>SUMIFS(領用表!$L:$L,領用表!$E:$E,$B100,領用表!$B:$B,W$2&amp;$R$1)</f>
        <v>0</v>
      </c>
      <c r="X100" s="142">
        <f>SUMIFS(領用表!$L:$L,領用表!$E:$E,$B100,領用表!$B:$B,X$2&amp;$R$1)</f>
        <v>0</v>
      </c>
      <c r="Y100" s="142">
        <f>SUMIFS(領用表!$L:$L,領用表!$E:$E,$B100,領用表!$B:$B,Y$2&amp;$R$1)</f>
        <v>0</v>
      </c>
      <c r="Z100" s="142">
        <f>SUMIFS(領用表!$L:$L,領用表!$E:$E,$B100,領用表!$B:$B,Z$2&amp;$R$1)</f>
        <v>0</v>
      </c>
      <c r="AA100" s="142">
        <f>SUMIFS(領用表!$L:$L,領用表!$E:$E,$B100,領用表!$B:$B,AA$2&amp;$R$1)</f>
        <v>0</v>
      </c>
      <c r="AB100" s="142">
        <f>SUMIFS(領用表!$L:$L,領用表!$E:$E,$B100,領用表!$B:$B,AB$2&amp;$R$1)</f>
        <v>0</v>
      </c>
      <c r="AC100" s="142">
        <f>SUMIFS(領用表!$L:$L,領用表!$E:$E,$B100,領用表!$B:$B,AC$2&amp;$R$1)</f>
        <v>0</v>
      </c>
      <c r="AD100" s="142">
        <f t="shared" si="16"/>
        <v>0</v>
      </c>
      <c r="AE100" s="142">
        <f t="shared" si="17"/>
        <v>0</v>
      </c>
      <c r="AF100" s="142">
        <f>SUMIF(Summary!B:B,B100,Summary!DV:DV)</f>
        <v>0</v>
      </c>
      <c r="AG100" s="109">
        <v>0</v>
      </c>
      <c r="AH100" s="65"/>
      <c r="AI100" s="65"/>
      <c r="AJ100" s="65"/>
      <c r="AK100" s="27"/>
      <c r="AL100" s="27"/>
      <c r="AM100" s="14"/>
      <c r="AN100" s="29"/>
    </row>
    <row r="101" spans="1:40" ht="15.75" customHeight="1">
      <c r="A101" s="27"/>
      <c r="B101" s="14">
        <v>6120028</v>
      </c>
      <c r="C101" s="136" t="s">
        <v>529</v>
      </c>
      <c r="D101" s="77"/>
      <c r="E101" s="17" t="s">
        <v>15</v>
      </c>
      <c r="F101" s="18"/>
      <c r="G101" s="18">
        <v>48</v>
      </c>
      <c r="H101" s="68" t="e">
        <f>SUM(#REF!)</f>
        <v>#REF!</v>
      </c>
      <c r="I101" s="26" t="e">
        <f>H101/12</f>
        <v>#REF!</v>
      </c>
      <c r="J101" s="20">
        <f>SUMIFS(領用表!$L:$L,領用表!$E:$E,$B101,領用表!$B:$B,J$2&amp;$R$1)</f>
        <v>0</v>
      </c>
      <c r="K101" s="20">
        <f>SUMIFS(領用表!$L:$L,領用表!$E:$E,$B101,領用表!$B:$B,K$2&amp;$R$1)</f>
        <v>0</v>
      </c>
      <c r="L101" s="20">
        <f>SUMIFS(領用表!$L:$L,領用表!$E:$E,$B101,領用表!$B:$B,L$2&amp;$R$1)</f>
        <v>0</v>
      </c>
      <c r="M101" s="142">
        <f>SUMIFS(領用表!$L:$L,領用表!$E:$E,$B101,領用表!$B:$B,M$2&amp;$R$1)</f>
        <v>0</v>
      </c>
      <c r="N101" s="142">
        <f>SUMIFS(領用表!$L:$L,領用表!$E:$E,$B101,領用表!$B:$B,N$2&amp;$R$1)</f>
        <v>0</v>
      </c>
      <c r="O101" s="142">
        <f>SUMIFS(領用表!$L:$L,領用表!$E:$E,$B101,領用表!$B:$B,O$2&amp;$R$1)</f>
        <v>0</v>
      </c>
      <c r="P101" s="23">
        <f>SUM(,J101,K101,L101,M101,N101,O101)</f>
        <v>0</v>
      </c>
      <c r="Q101" s="23">
        <f>AVERAGE(,J101,K101,L101,M101,N101,O101)</f>
        <v>0</v>
      </c>
      <c r="R101" s="142">
        <f>SUMIFS(領用表!$L:$L,領用表!$E:$E,$B101,領用表!$B:$B,R$2&amp;$R$1)</f>
        <v>0</v>
      </c>
      <c r="S101" s="142">
        <f>SUMIFS(領用表!$L:$L,領用表!$E:$E,$B101,領用表!$B:$B,S$2&amp;$R$1)</f>
        <v>0</v>
      </c>
      <c r="T101" s="142">
        <f>SUMIFS(領用表!$L:$L,領用表!$E:$E,$B101,領用表!$B:$B,T$2&amp;$R$1)</f>
        <v>0</v>
      </c>
      <c r="U101" s="142">
        <f>SUMIFS(領用表!$L:$L,領用表!$E:$E,$B101,領用表!$B:$B,U$2&amp;$R$1)</f>
        <v>0</v>
      </c>
      <c r="V101" s="142">
        <f>SUMIFS(領用表!$L:$L,領用表!$E:$E,$B101,領用表!$B:$B,V$2&amp;$R$1)</f>
        <v>0</v>
      </c>
      <c r="W101" s="142">
        <f>SUMIFS(領用表!$L:$L,領用表!$E:$E,$B101,領用表!$B:$B,W$2&amp;$R$1)</f>
        <v>0</v>
      </c>
      <c r="X101" s="142">
        <f>SUMIFS(領用表!$L:$L,領用表!$E:$E,$B101,領用表!$B:$B,X$2&amp;$R$1)</f>
        <v>0</v>
      </c>
      <c r="Y101" s="142">
        <f>SUMIFS(領用表!$L:$L,領用表!$E:$E,$B101,領用表!$B:$B,Y$2&amp;$R$1)</f>
        <v>0</v>
      </c>
      <c r="Z101" s="142">
        <f>SUMIFS(領用表!$L:$L,領用表!$E:$E,$B101,領用表!$B:$B,Z$2&amp;$R$1)</f>
        <v>0</v>
      </c>
      <c r="AA101" s="142">
        <f>SUMIFS(領用表!$L:$L,領用表!$E:$E,$B101,領用表!$B:$B,AA$2&amp;$R$1)</f>
        <v>0</v>
      </c>
      <c r="AB101" s="142">
        <f>SUMIFS(領用表!$L:$L,領用表!$E:$E,$B101,領用表!$B:$B,AB$2&amp;$R$1)</f>
        <v>0</v>
      </c>
      <c r="AC101" s="142">
        <f>SUMIFS(領用表!$L:$L,領用表!$E:$E,$B101,領用表!$B:$B,AC$2&amp;$R$1)</f>
        <v>0</v>
      </c>
      <c r="AD101" s="142">
        <f t="shared" si="16"/>
        <v>0</v>
      </c>
      <c r="AE101" s="142">
        <f t="shared" si="17"/>
        <v>0</v>
      </c>
      <c r="AF101" s="142">
        <f>SUMIF(Summary!B:B,B101,Summary!DV:DV)</f>
        <v>0</v>
      </c>
      <c r="AG101" s="109">
        <v>3</v>
      </c>
      <c r="AH101" s="65"/>
      <c r="AI101" s="65"/>
      <c r="AJ101" s="65"/>
      <c r="AK101" s="27"/>
      <c r="AL101" s="27"/>
      <c r="AM101" s="14"/>
      <c r="AN101" s="29"/>
    </row>
    <row r="102" spans="1:40" ht="15.75" customHeight="1" thickBot="1">
      <c r="A102" s="27"/>
      <c r="B102" s="14" t="e">
        <v>#N/A</v>
      </c>
      <c r="C102" s="136" t="s">
        <v>516</v>
      </c>
      <c r="D102" s="72">
        <v>100</v>
      </c>
      <c r="E102" s="17" t="s">
        <v>15</v>
      </c>
      <c r="F102" s="18"/>
      <c r="G102" s="18"/>
      <c r="H102" s="68" t="e">
        <f>SUM(#REF!)</f>
        <v>#REF!</v>
      </c>
      <c r="I102" s="26" t="e">
        <f t="shared" si="20"/>
        <v>#REF!</v>
      </c>
      <c r="J102" s="20">
        <f>SUMIFS(領用表!$L:$L,領用表!$E:$E,$B102,領用表!$B:$B,J$2&amp;$R$1)</f>
        <v>0</v>
      </c>
      <c r="K102" s="20">
        <f>SUMIFS(領用表!$L:$L,領用表!$E:$E,$B102,領用表!$B:$B,K$2&amp;$R$1)</f>
        <v>0</v>
      </c>
      <c r="L102" s="20">
        <f>SUMIFS(領用表!$L:$L,領用表!$E:$E,$B102,領用表!$B:$B,L$2&amp;$R$1)</f>
        <v>0</v>
      </c>
      <c r="M102" s="142">
        <f>SUMIFS(領用表!$L:$L,領用表!$E:$E,$B102,領用表!$B:$B,M$2&amp;$R$1)</f>
        <v>0</v>
      </c>
      <c r="N102" s="142">
        <f>SUMIFS(領用表!$L:$L,領用表!$E:$E,$B102,領用表!$B:$B,N$2&amp;$R$1)</f>
        <v>0</v>
      </c>
      <c r="O102" s="142">
        <f>SUMIFS(領用表!$L:$L,領用表!$E:$E,$B102,領用表!$B:$B,O$2&amp;$R$1)</f>
        <v>0</v>
      </c>
      <c r="P102" s="23">
        <f t="shared" si="18"/>
        <v>0</v>
      </c>
      <c r="Q102" s="23">
        <f t="shared" si="19"/>
        <v>0</v>
      </c>
      <c r="R102" s="142">
        <f>SUMIFS(領用表!$L:$L,領用表!$E:$E,$B102,領用表!$B:$B,R$2&amp;$R$1)</f>
        <v>0</v>
      </c>
      <c r="S102" s="142">
        <f>SUMIFS(領用表!$L:$L,領用表!$E:$E,$B102,領用表!$B:$B,S$2&amp;$R$1)</f>
        <v>0</v>
      </c>
      <c r="T102" s="142">
        <f>SUMIFS(領用表!$L:$L,領用表!$E:$E,$B102,領用表!$B:$B,T$2&amp;$R$1)</f>
        <v>0</v>
      </c>
      <c r="U102" s="142">
        <f>SUMIFS(領用表!$L:$L,領用表!$E:$E,$B102,領用表!$B:$B,U$2&amp;$R$1)</f>
        <v>0</v>
      </c>
      <c r="V102" s="142">
        <f>SUMIFS(領用表!$L:$L,領用表!$E:$E,$B102,領用表!$B:$B,V$2&amp;$R$1)</f>
        <v>0</v>
      </c>
      <c r="W102" s="142">
        <f>SUMIFS(領用表!$L:$L,領用表!$E:$E,$B102,領用表!$B:$B,W$2&amp;$R$1)</f>
        <v>0</v>
      </c>
      <c r="X102" s="142">
        <f>SUMIFS(領用表!$L:$L,領用表!$E:$E,$B102,領用表!$B:$B,X$2&amp;$R$1)</f>
        <v>0</v>
      </c>
      <c r="Y102" s="142">
        <f>SUMIFS(領用表!$L:$L,領用表!$E:$E,$B102,領用表!$B:$B,Y$2&amp;$R$1)</f>
        <v>0</v>
      </c>
      <c r="Z102" s="142">
        <f>SUMIFS(領用表!$L:$L,領用表!$E:$E,$B102,領用表!$B:$B,Z$2&amp;$R$1)</f>
        <v>0</v>
      </c>
      <c r="AA102" s="142">
        <f>SUMIFS(領用表!$L:$L,領用表!$E:$E,$B102,領用表!$B:$B,AA$2&amp;$R$1)</f>
        <v>0</v>
      </c>
      <c r="AB102" s="142">
        <f>SUMIFS(領用表!$L:$L,領用表!$E:$E,$B102,領用表!$B:$B,AB$2&amp;$R$1)</f>
        <v>0</v>
      </c>
      <c r="AC102" s="142">
        <f>SUMIFS(領用表!$L:$L,領用表!$E:$E,$B102,領用表!$B:$B,AC$2&amp;$R$1)</f>
        <v>0</v>
      </c>
      <c r="AD102" s="142">
        <f t="shared" si="16"/>
        <v>0</v>
      </c>
      <c r="AE102" s="142">
        <f t="shared" si="17"/>
        <v>0</v>
      </c>
      <c r="AF102" s="142">
        <f>SUMIF(Summary!B:B,B102,Summary!DV:DV)</f>
        <v>0</v>
      </c>
      <c r="AG102" s="108">
        <v>5</v>
      </c>
      <c r="AH102" s="65"/>
      <c r="AI102" s="65"/>
      <c r="AJ102" s="65"/>
      <c r="AK102" s="27"/>
      <c r="AL102" s="69"/>
      <c r="AM102" s="14"/>
      <c r="AN102" s="14"/>
    </row>
    <row r="103" spans="1:40" ht="15.75" customHeight="1" thickBot="1">
      <c r="A103" s="196" t="s">
        <v>752</v>
      </c>
      <c r="B103" s="191">
        <v>6120037</v>
      </c>
      <c r="C103" s="193" t="s">
        <v>753</v>
      </c>
      <c r="D103" s="72"/>
      <c r="E103" s="17"/>
      <c r="F103" s="18"/>
      <c r="G103" s="18"/>
      <c r="H103" s="68" t="e">
        <f>SUM(#REF!)</f>
        <v>#REF!</v>
      </c>
      <c r="I103" s="26" t="e">
        <f t="shared" si="20"/>
        <v>#REF!</v>
      </c>
      <c r="J103" s="20">
        <f>SUMIFS(領用表!$L:$L,領用表!$E:$E,$B103,領用表!$B:$B,J$2&amp;$R$1)</f>
        <v>0</v>
      </c>
      <c r="K103" s="20">
        <f>SUMIFS(領用表!$L:$L,領用表!$E:$E,$B103,領用表!$B:$B,K$2&amp;$R$1)</f>
        <v>0</v>
      </c>
      <c r="L103" s="20">
        <f>SUMIFS(領用表!$L:$L,領用表!$E:$E,$B103,領用表!$B:$B,L$2&amp;$R$1)</f>
        <v>0</v>
      </c>
      <c r="M103" s="142">
        <f>SUMIFS(領用表!$L:$L,領用表!$E:$E,$B103,領用表!$B:$B,M$2&amp;$R$1)</f>
        <v>0</v>
      </c>
      <c r="N103" s="142">
        <f>SUMIFS(領用表!$L:$L,領用表!$E:$E,$B103,領用表!$B:$B,N$2&amp;$R$1)</f>
        <v>0</v>
      </c>
      <c r="O103" s="142">
        <f>SUMIFS(領用表!$L:$L,領用表!$E:$E,$B103,領用表!$B:$B,O$2&amp;$R$1)</f>
        <v>0</v>
      </c>
      <c r="P103" s="23">
        <f t="shared" ref="P103:P104" si="22">SUM(,J103,K103,L103,M103,N103,O103)</f>
        <v>0</v>
      </c>
      <c r="Q103" s="23">
        <f t="shared" ref="Q103:Q104" si="23">AVERAGE(,J103,K103,L103,M103,N103,O103)</f>
        <v>0</v>
      </c>
      <c r="R103" s="142">
        <f>SUMIFS(領用表!$L:$L,領用表!$E:$E,$B103,領用表!$B:$B,R$2&amp;$R$1)</f>
        <v>0</v>
      </c>
      <c r="S103" s="142">
        <f>SUMIFS(領用表!$L:$L,領用表!$E:$E,$B103,領用表!$B:$B,S$2&amp;$R$1)</f>
        <v>0</v>
      </c>
      <c r="T103" s="142">
        <f>SUMIFS(領用表!$L:$L,領用表!$E:$E,$B103,領用表!$B:$B,T$2&amp;$R$1)</f>
        <v>0</v>
      </c>
      <c r="U103" s="142">
        <f>SUMIFS(領用表!$L:$L,領用表!$E:$E,$B103,領用表!$B:$B,U$2&amp;$R$1)</f>
        <v>0</v>
      </c>
      <c r="V103" s="142">
        <f>SUMIFS(領用表!$L:$L,領用表!$E:$E,$B103,領用表!$B:$B,V$2&amp;$R$1)</f>
        <v>0</v>
      </c>
      <c r="W103" s="142">
        <f>SUMIFS(領用表!$L:$L,領用表!$E:$E,$B103,領用表!$B:$B,W$2&amp;$R$1)</f>
        <v>0</v>
      </c>
      <c r="X103" s="142">
        <f>SUMIFS(領用表!$L:$L,領用表!$E:$E,$B103,領用表!$B:$B,X$2&amp;$R$1)</f>
        <v>0</v>
      </c>
      <c r="Y103" s="142">
        <f>SUMIFS(領用表!$L:$L,領用表!$E:$E,$B103,領用表!$B:$B,Y$2&amp;$R$1)</f>
        <v>0</v>
      </c>
      <c r="Z103" s="142">
        <f>SUMIFS(領用表!$L:$L,領用表!$E:$E,$B103,領用表!$B:$B,Z$2&amp;$R$1)</f>
        <v>0</v>
      </c>
      <c r="AA103" s="142">
        <f>SUMIFS(領用表!$L:$L,領用表!$E:$E,$B103,領用表!$B:$B,AA$2&amp;$R$1)</f>
        <v>0</v>
      </c>
      <c r="AB103" s="142">
        <f>SUMIFS(領用表!$L:$L,領用表!$E:$E,$B103,領用表!$B:$B,AB$2&amp;$R$1)</f>
        <v>0</v>
      </c>
      <c r="AC103" s="142">
        <f>SUMIFS(領用表!$L:$L,領用表!$E:$E,$B103,領用表!$B:$B,AC$2&amp;$R$1)</f>
        <v>0</v>
      </c>
      <c r="AD103" s="142">
        <f t="shared" si="16"/>
        <v>0</v>
      </c>
      <c r="AE103" s="142">
        <f t="shared" si="17"/>
        <v>0</v>
      </c>
      <c r="AF103" s="142">
        <f>SUMIF(Summary!B:B,B103,Summary!DV:DV)</f>
        <v>0</v>
      </c>
      <c r="AG103" s="108"/>
      <c r="AH103" s="65"/>
      <c r="AI103" s="76"/>
      <c r="AJ103" s="65"/>
      <c r="AK103" s="27"/>
      <c r="AL103" s="69"/>
      <c r="AM103" s="14"/>
      <c r="AN103" s="14"/>
    </row>
    <row r="104" spans="1:40" ht="15.75" customHeight="1" thickBot="1">
      <c r="A104" s="196" t="s">
        <v>754</v>
      </c>
      <c r="B104" s="191">
        <v>6120038</v>
      </c>
      <c r="C104" s="193" t="s">
        <v>755</v>
      </c>
      <c r="D104" s="72"/>
      <c r="E104" s="17"/>
      <c r="F104" s="18"/>
      <c r="G104" s="18">
        <v>609</v>
      </c>
      <c r="H104" s="68" t="e">
        <f>SUM(#REF!)</f>
        <v>#REF!</v>
      </c>
      <c r="I104" s="26" t="e">
        <f t="shared" si="20"/>
        <v>#REF!</v>
      </c>
      <c r="J104" s="20">
        <f>SUMIFS(領用表!$L:$L,領用表!$E:$E,$B104,領用表!$B:$B,J$2&amp;$R$1)</f>
        <v>0</v>
      </c>
      <c r="K104" s="20">
        <f>SUMIFS(領用表!$L:$L,領用表!$E:$E,$B104,領用表!$B:$B,K$2&amp;$R$1)</f>
        <v>0</v>
      </c>
      <c r="L104" s="20">
        <f>SUMIFS(領用表!$L:$L,領用表!$E:$E,$B104,領用表!$B:$B,L$2&amp;$R$1)</f>
        <v>0</v>
      </c>
      <c r="M104" s="142">
        <f>SUMIFS(領用表!$L:$L,領用表!$E:$E,$B104,領用表!$B:$B,M$2&amp;$R$1)</f>
        <v>0</v>
      </c>
      <c r="N104" s="142">
        <f>SUMIFS(領用表!$L:$L,領用表!$E:$E,$B104,領用表!$B:$B,N$2&amp;$R$1)</f>
        <v>0</v>
      </c>
      <c r="O104" s="142">
        <f>SUMIFS(領用表!$L:$L,領用表!$E:$E,$B104,領用表!$B:$B,O$2&amp;$R$1)</f>
        <v>0</v>
      </c>
      <c r="P104" s="23">
        <f t="shared" si="22"/>
        <v>0</v>
      </c>
      <c r="Q104" s="23">
        <f t="shared" si="23"/>
        <v>0</v>
      </c>
      <c r="R104" s="142">
        <f>SUMIFS(領用表!$L:$L,領用表!$E:$E,$B104,領用表!$B:$B,R$2&amp;$R$1)</f>
        <v>0</v>
      </c>
      <c r="S104" s="142">
        <f>SUMIFS(領用表!$L:$L,領用表!$E:$E,$B104,領用表!$B:$B,S$2&amp;$R$1)</f>
        <v>0</v>
      </c>
      <c r="T104" s="142">
        <f>SUMIFS(領用表!$L:$L,領用表!$E:$E,$B104,領用表!$B:$B,T$2&amp;$R$1)</f>
        <v>0</v>
      </c>
      <c r="U104" s="142">
        <f>SUMIFS(領用表!$L:$L,領用表!$E:$E,$B104,領用表!$B:$B,U$2&amp;$R$1)</f>
        <v>0</v>
      </c>
      <c r="V104" s="142">
        <f>SUMIFS(領用表!$L:$L,領用表!$E:$E,$B104,領用表!$B:$B,V$2&amp;$R$1)</f>
        <v>0</v>
      </c>
      <c r="W104" s="142">
        <f>SUMIFS(領用表!$L:$L,領用表!$E:$E,$B104,領用表!$B:$B,W$2&amp;$R$1)</f>
        <v>0</v>
      </c>
      <c r="X104" s="142">
        <f>SUMIFS(領用表!$L:$L,領用表!$E:$E,$B104,領用表!$B:$B,X$2&amp;$R$1)</f>
        <v>0</v>
      </c>
      <c r="Y104" s="142">
        <f>SUMIFS(領用表!$L:$L,領用表!$E:$E,$B104,領用表!$B:$B,Y$2&amp;$R$1)</f>
        <v>0</v>
      </c>
      <c r="Z104" s="142">
        <f>SUMIFS(領用表!$L:$L,領用表!$E:$E,$B104,領用表!$B:$B,Z$2&amp;$R$1)</f>
        <v>0</v>
      </c>
      <c r="AA104" s="142">
        <f>SUMIFS(領用表!$L:$L,領用表!$E:$E,$B104,領用表!$B:$B,AA$2&amp;$R$1)</f>
        <v>0</v>
      </c>
      <c r="AB104" s="142">
        <f>SUMIFS(領用表!$L:$L,領用表!$E:$E,$B104,領用表!$B:$B,AB$2&amp;$R$1)</f>
        <v>0</v>
      </c>
      <c r="AC104" s="142">
        <f>SUMIFS(領用表!$L:$L,領用表!$E:$E,$B104,領用表!$B:$B,AC$2&amp;$R$1)</f>
        <v>0</v>
      </c>
      <c r="AD104" s="142">
        <f t="shared" si="16"/>
        <v>0</v>
      </c>
      <c r="AE104" s="142">
        <f t="shared" si="17"/>
        <v>0</v>
      </c>
      <c r="AF104" s="142">
        <f>SUMIF(Summary!B:B,B104,Summary!DV:DV)</f>
        <v>0</v>
      </c>
      <c r="AG104" s="108"/>
      <c r="AH104" s="65"/>
      <c r="AI104" s="76"/>
      <c r="AJ104" s="65"/>
      <c r="AK104" s="27"/>
      <c r="AL104" s="69"/>
      <c r="AM104" s="14"/>
      <c r="AN104" s="14"/>
    </row>
    <row r="105" spans="1:40" ht="15.75" customHeight="1">
      <c r="A105" s="27"/>
      <c r="B105" s="14" t="e">
        <v>#N/A</v>
      </c>
      <c r="C105" s="27" t="s">
        <v>780</v>
      </c>
      <c r="D105" s="77"/>
      <c r="E105" s="17" t="s">
        <v>15</v>
      </c>
      <c r="F105" s="18"/>
      <c r="G105" s="18"/>
      <c r="H105" s="68" t="e">
        <f>SUM(#REF!)</f>
        <v>#REF!</v>
      </c>
      <c r="I105" s="26" t="e">
        <f t="shared" si="20"/>
        <v>#REF!</v>
      </c>
      <c r="J105" s="20">
        <f>SUMIFS(領用表!$L:$L,領用表!$E:$E,$B105,領用表!$B:$B,J$2&amp;$R$1)</f>
        <v>0</v>
      </c>
      <c r="K105" s="20">
        <f>SUMIFS(領用表!$L:$L,領用表!$E:$E,$B105,領用表!$B:$B,K$2&amp;$R$1)</f>
        <v>0</v>
      </c>
      <c r="L105" s="20">
        <f>SUMIFS(領用表!$L:$L,領用表!$E:$E,$B105,領用表!$B:$B,L$2&amp;$R$1)</f>
        <v>0</v>
      </c>
      <c r="M105" s="142">
        <f>SUMIFS(領用表!$L:$L,領用表!$E:$E,$B105,領用表!$B:$B,M$2&amp;$R$1)</f>
        <v>0</v>
      </c>
      <c r="N105" s="142">
        <f>SUMIFS(領用表!$L:$L,領用表!$E:$E,$B105,領用表!$B:$B,N$2&amp;$R$1)</f>
        <v>0</v>
      </c>
      <c r="O105" s="142">
        <f>SUMIFS(領用表!$L:$L,領用表!$E:$E,$B105,領用表!$B:$B,O$2&amp;$R$1)</f>
        <v>0</v>
      </c>
      <c r="P105" s="23">
        <f t="shared" si="18"/>
        <v>0</v>
      </c>
      <c r="Q105" s="23">
        <f t="shared" si="19"/>
        <v>0</v>
      </c>
      <c r="R105" s="142">
        <f>SUMIFS(領用表!$L:$L,領用表!$E:$E,$B105,領用表!$B:$B,R$2&amp;$R$1)</f>
        <v>0</v>
      </c>
      <c r="S105" s="142">
        <f>SUMIFS(領用表!$L:$L,領用表!$E:$E,$B105,領用表!$B:$B,S$2&amp;$R$1)</f>
        <v>0</v>
      </c>
      <c r="T105" s="142">
        <f>SUMIFS(領用表!$L:$L,領用表!$E:$E,$B105,領用表!$B:$B,T$2&amp;$R$1)</f>
        <v>0</v>
      </c>
      <c r="U105" s="142">
        <f>SUMIFS(領用表!$L:$L,領用表!$E:$E,$B105,領用表!$B:$B,U$2&amp;$R$1)</f>
        <v>0</v>
      </c>
      <c r="V105" s="142">
        <f>SUMIFS(領用表!$L:$L,領用表!$E:$E,$B105,領用表!$B:$B,V$2&amp;$R$1)</f>
        <v>0</v>
      </c>
      <c r="W105" s="142">
        <f>SUMIFS(領用表!$L:$L,領用表!$E:$E,$B105,領用表!$B:$B,W$2&amp;$R$1)</f>
        <v>0</v>
      </c>
      <c r="X105" s="142">
        <f>SUMIFS(領用表!$L:$L,領用表!$E:$E,$B105,領用表!$B:$B,X$2&amp;$R$1)</f>
        <v>0</v>
      </c>
      <c r="Y105" s="142">
        <f>SUMIFS(領用表!$L:$L,領用表!$E:$E,$B105,領用表!$B:$B,Y$2&amp;$R$1)</f>
        <v>0</v>
      </c>
      <c r="Z105" s="142">
        <f>SUMIFS(領用表!$L:$L,領用表!$E:$E,$B105,領用表!$B:$B,Z$2&amp;$R$1)</f>
        <v>0</v>
      </c>
      <c r="AA105" s="142">
        <f>SUMIFS(領用表!$L:$L,領用表!$E:$E,$B105,領用表!$B:$B,AA$2&amp;$R$1)</f>
        <v>0</v>
      </c>
      <c r="AB105" s="142">
        <f>SUMIFS(領用表!$L:$L,領用表!$E:$E,$B105,領用表!$B:$B,AB$2&amp;$R$1)</f>
        <v>0</v>
      </c>
      <c r="AC105" s="142">
        <f>SUMIFS(領用表!$L:$L,領用表!$E:$E,$B105,領用表!$B:$B,AC$2&amp;$R$1)</f>
        <v>0</v>
      </c>
      <c r="AD105" s="142">
        <f t="shared" si="16"/>
        <v>0</v>
      </c>
      <c r="AE105" s="142">
        <f t="shared" si="17"/>
        <v>0</v>
      </c>
      <c r="AF105" s="142">
        <f>SUMIF(Summary!B:B,B105,Summary!DV:DV)</f>
        <v>0</v>
      </c>
      <c r="AG105" s="108">
        <v>0</v>
      </c>
      <c r="AH105" s="65"/>
      <c r="AI105" s="65"/>
      <c r="AJ105" s="65"/>
      <c r="AK105" s="27"/>
      <c r="AL105" s="27"/>
      <c r="AM105" s="14"/>
      <c r="AN105" s="29"/>
    </row>
    <row r="106" spans="1:40" ht="15.75" customHeight="1">
      <c r="A106" s="27"/>
      <c r="B106" s="14">
        <v>6120023</v>
      </c>
      <c r="C106" s="136" t="s">
        <v>521</v>
      </c>
      <c r="D106" s="77"/>
      <c r="E106" s="17" t="s">
        <v>15</v>
      </c>
      <c r="F106" s="18"/>
      <c r="G106" s="18"/>
      <c r="H106" s="68" t="e">
        <f>SUM(#REF!)</f>
        <v>#REF!</v>
      </c>
      <c r="I106" s="26" t="e">
        <f t="shared" si="20"/>
        <v>#REF!</v>
      </c>
      <c r="J106" s="20">
        <f>SUMIFS(領用表!$L:$L,領用表!$E:$E,$B106,領用表!$B:$B,J$2&amp;$R$1)</f>
        <v>0</v>
      </c>
      <c r="K106" s="20">
        <f>SUMIFS(領用表!$L:$L,領用表!$E:$E,$B106,領用表!$B:$B,K$2&amp;$R$1)</f>
        <v>0</v>
      </c>
      <c r="L106" s="20">
        <f>SUMIFS(領用表!$L:$L,領用表!$E:$E,$B106,領用表!$B:$B,L$2&amp;$R$1)</f>
        <v>0</v>
      </c>
      <c r="M106" s="142">
        <f>SUMIFS(領用表!$L:$L,領用表!$E:$E,$B106,領用表!$B:$B,M$2&amp;$R$1)</f>
        <v>0</v>
      </c>
      <c r="N106" s="142">
        <f>SUMIFS(領用表!$L:$L,領用表!$E:$E,$B106,領用表!$B:$B,N$2&amp;$R$1)</f>
        <v>0</v>
      </c>
      <c r="O106" s="142">
        <f>SUMIFS(領用表!$L:$L,領用表!$E:$E,$B106,領用表!$B:$B,O$2&amp;$R$1)</f>
        <v>0</v>
      </c>
      <c r="P106" s="23">
        <f t="shared" si="18"/>
        <v>0</v>
      </c>
      <c r="Q106" s="23">
        <f t="shared" si="19"/>
        <v>0</v>
      </c>
      <c r="R106" s="142">
        <f>SUMIFS(領用表!$L:$L,領用表!$E:$E,$B106,領用表!$B:$B,R$2&amp;$R$1)</f>
        <v>0</v>
      </c>
      <c r="S106" s="142">
        <f>SUMIFS(領用表!$L:$L,領用表!$E:$E,$B106,領用表!$B:$B,S$2&amp;$R$1)</f>
        <v>0</v>
      </c>
      <c r="T106" s="142">
        <f>SUMIFS(領用表!$L:$L,領用表!$E:$E,$B106,領用表!$B:$B,T$2&amp;$R$1)</f>
        <v>0</v>
      </c>
      <c r="U106" s="142">
        <f>SUMIFS(領用表!$L:$L,領用表!$E:$E,$B106,領用表!$B:$B,U$2&amp;$R$1)</f>
        <v>0</v>
      </c>
      <c r="V106" s="142">
        <f>SUMIFS(領用表!$L:$L,領用表!$E:$E,$B106,領用表!$B:$B,V$2&amp;$R$1)</f>
        <v>0</v>
      </c>
      <c r="W106" s="142">
        <f>SUMIFS(領用表!$L:$L,領用表!$E:$E,$B106,領用表!$B:$B,W$2&amp;$R$1)</f>
        <v>0</v>
      </c>
      <c r="X106" s="142">
        <f>SUMIFS(領用表!$L:$L,領用表!$E:$E,$B106,領用表!$B:$B,X$2&amp;$R$1)</f>
        <v>0</v>
      </c>
      <c r="Y106" s="142">
        <f>SUMIFS(領用表!$L:$L,領用表!$E:$E,$B106,領用表!$B:$B,Y$2&amp;$R$1)</f>
        <v>0</v>
      </c>
      <c r="Z106" s="142">
        <f>SUMIFS(領用表!$L:$L,領用表!$E:$E,$B106,領用表!$B:$B,Z$2&amp;$R$1)</f>
        <v>0</v>
      </c>
      <c r="AA106" s="142">
        <f>SUMIFS(領用表!$L:$L,領用表!$E:$E,$B106,領用表!$B:$B,AA$2&amp;$R$1)</f>
        <v>0</v>
      </c>
      <c r="AB106" s="142">
        <f>SUMIFS(領用表!$L:$L,領用表!$E:$E,$B106,領用表!$B:$B,AB$2&amp;$R$1)</f>
        <v>0</v>
      </c>
      <c r="AC106" s="142">
        <f>SUMIFS(領用表!$L:$L,領用表!$E:$E,$B106,領用表!$B:$B,AC$2&amp;$R$1)</f>
        <v>0</v>
      </c>
      <c r="AD106" s="142">
        <f t="shared" si="16"/>
        <v>0</v>
      </c>
      <c r="AE106" s="142">
        <f t="shared" si="17"/>
        <v>0</v>
      </c>
      <c r="AF106" s="142">
        <f>SUMIF(Summary!B:B,B106,Summary!DV:DV)</f>
        <v>0</v>
      </c>
      <c r="AG106" s="108">
        <v>3</v>
      </c>
      <c r="AH106" s="65"/>
      <c r="AI106" s="65"/>
      <c r="AJ106" s="65"/>
      <c r="AK106" s="27"/>
      <c r="AL106" s="27"/>
      <c r="AM106" s="14"/>
      <c r="AN106" s="29"/>
    </row>
    <row r="107" spans="1:40" ht="15.75" customHeight="1">
      <c r="A107" s="27"/>
      <c r="B107" s="14" t="e">
        <v>#N/A</v>
      </c>
      <c r="C107" s="136" t="s">
        <v>524</v>
      </c>
      <c r="D107" s="77"/>
      <c r="E107" s="17" t="s">
        <v>15</v>
      </c>
      <c r="F107" s="18"/>
      <c r="G107" s="18"/>
      <c r="H107" s="68" t="e">
        <f>SUM(#REF!)</f>
        <v>#REF!</v>
      </c>
      <c r="I107" s="26" t="e">
        <f t="shared" si="20"/>
        <v>#REF!</v>
      </c>
      <c r="J107" s="20">
        <f>SUMIFS(領用表!$L:$L,領用表!$E:$E,$B107,領用表!$B:$B,J$2&amp;$R$1)</f>
        <v>0</v>
      </c>
      <c r="K107" s="20">
        <f>SUMIFS(領用表!$L:$L,領用表!$E:$E,$B107,領用表!$B:$B,K$2&amp;$R$1)</f>
        <v>0</v>
      </c>
      <c r="L107" s="20">
        <f>SUMIFS(領用表!$L:$L,領用表!$E:$E,$B107,領用表!$B:$B,L$2&amp;$R$1)</f>
        <v>0</v>
      </c>
      <c r="M107" s="142">
        <f>SUMIFS(領用表!$L:$L,領用表!$E:$E,$B107,領用表!$B:$B,M$2&amp;$R$1)</f>
        <v>0</v>
      </c>
      <c r="N107" s="142">
        <f>SUMIFS(領用表!$L:$L,領用表!$E:$E,$B107,領用表!$B:$B,N$2&amp;$R$1)</f>
        <v>0</v>
      </c>
      <c r="O107" s="142">
        <f>SUMIFS(領用表!$L:$L,領用表!$E:$E,$B107,領用表!$B:$B,O$2&amp;$R$1)</f>
        <v>0</v>
      </c>
      <c r="P107" s="23">
        <f t="shared" si="18"/>
        <v>0</v>
      </c>
      <c r="Q107" s="23">
        <f t="shared" si="19"/>
        <v>0</v>
      </c>
      <c r="R107" s="142">
        <f>SUMIFS(領用表!$L:$L,領用表!$E:$E,$B107,領用表!$B:$B,R$2&amp;$R$1)</f>
        <v>0</v>
      </c>
      <c r="S107" s="142">
        <f>SUMIFS(領用表!$L:$L,領用表!$E:$E,$B107,領用表!$B:$B,S$2&amp;$R$1)</f>
        <v>0</v>
      </c>
      <c r="T107" s="142">
        <f>SUMIFS(領用表!$L:$L,領用表!$E:$E,$B107,領用表!$B:$B,T$2&amp;$R$1)</f>
        <v>0</v>
      </c>
      <c r="U107" s="142">
        <f>SUMIFS(領用表!$L:$L,領用表!$E:$E,$B107,領用表!$B:$B,U$2&amp;$R$1)</f>
        <v>0</v>
      </c>
      <c r="V107" s="142">
        <f>SUMIFS(領用表!$L:$L,領用表!$E:$E,$B107,領用表!$B:$B,V$2&amp;$R$1)</f>
        <v>0</v>
      </c>
      <c r="W107" s="142">
        <f>SUMIFS(領用表!$L:$L,領用表!$E:$E,$B107,領用表!$B:$B,W$2&amp;$R$1)</f>
        <v>0</v>
      </c>
      <c r="X107" s="142">
        <f>SUMIFS(領用表!$L:$L,領用表!$E:$E,$B107,領用表!$B:$B,X$2&amp;$R$1)</f>
        <v>0</v>
      </c>
      <c r="Y107" s="142">
        <f>SUMIFS(領用表!$L:$L,領用表!$E:$E,$B107,領用表!$B:$B,Y$2&amp;$R$1)</f>
        <v>0</v>
      </c>
      <c r="Z107" s="142">
        <f>SUMIFS(領用表!$L:$L,領用表!$E:$E,$B107,領用表!$B:$B,Z$2&amp;$R$1)</f>
        <v>0</v>
      </c>
      <c r="AA107" s="142">
        <f>SUMIFS(領用表!$L:$L,領用表!$E:$E,$B107,領用表!$B:$B,AA$2&amp;$R$1)</f>
        <v>0</v>
      </c>
      <c r="AB107" s="142">
        <f>SUMIFS(領用表!$L:$L,領用表!$E:$E,$B107,領用表!$B:$B,AB$2&amp;$R$1)</f>
        <v>0</v>
      </c>
      <c r="AC107" s="142">
        <f>SUMIFS(領用表!$L:$L,領用表!$E:$E,$B107,領用表!$B:$B,AC$2&amp;$R$1)</f>
        <v>0</v>
      </c>
      <c r="AD107" s="142">
        <f t="shared" si="16"/>
        <v>0</v>
      </c>
      <c r="AE107" s="142">
        <f t="shared" si="17"/>
        <v>0</v>
      </c>
      <c r="AF107" s="142">
        <f>SUMIF(Summary!B:B,B107,Summary!DV:DV)</f>
        <v>0</v>
      </c>
      <c r="AG107" s="109">
        <v>0</v>
      </c>
      <c r="AH107" s="65"/>
      <c r="AI107" s="65"/>
      <c r="AJ107" s="65"/>
      <c r="AK107" s="27"/>
      <c r="AL107" s="27"/>
      <c r="AM107" s="14"/>
      <c r="AN107" s="29"/>
    </row>
    <row r="108" spans="1:40" ht="15.75" customHeight="1">
      <c r="A108" s="27"/>
      <c r="B108" s="14">
        <v>6120027</v>
      </c>
      <c r="C108" s="136" t="s">
        <v>525</v>
      </c>
      <c r="D108" s="72"/>
      <c r="E108" s="17" t="s">
        <v>15</v>
      </c>
      <c r="F108" s="18"/>
      <c r="G108" s="18"/>
      <c r="H108" s="68" t="e">
        <f>SUM(#REF!)</f>
        <v>#REF!</v>
      </c>
      <c r="I108" s="26" t="e">
        <f t="shared" si="20"/>
        <v>#REF!</v>
      </c>
      <c r="J108" s="20">
        <f>SUMIFS(領用表!$L:$L,領用表!$E:$E,$B108,領用表!$B:$B,J$2&amp;$R$1)</f>
        <v>0</v>
      </c>
      <c r="K108" s="20">
        <f>SUMIFS(領用表!$L:$L,領用表!$E:$E,$B108,領用表!$B:$B,K$2&amp;$R$1)</f>
        <v>0</v>
      </c>
      <c r="L108" s="20">
        <f>SUMIFS(領用表!$L:$L,領用表!$E:$E,$B108,領用表!$B:$B,L$2&amp;$R$1)</f>
        <v>0</v>
      </c>
      <c r="M108" s="142">
        <f>SUMIFS(領用表!$L:$L,領用表!$E:$E,$B108,領用表!$B:$B,M$2&amp;$R$1)</f>
        <v>0</v>
      </c>
      <c r="N108" s="142">
        <f>SUMIFS(領用表!$L:$L,領用表!$E:$E,$B108,領用表!$B:$B,N$2&amp;$R$1)</f>
        <v>0</v>
      </c>
      <c r="O108" s="142">
        <f>SUMIFS(領用表!$L:$L,領用表!$E:$E,$B108,領用表!$B:$B,O$2&amp;$R$1)</f>
        <v>0</v>
      </c>
      <c r="P108" s="23">
        <f t="shared" si="18"/>
        <v>0</v>
      </c>
      <c r="Q108" s="23">
        <f t="shared" si="19"/>
        <v>0</v>
      </c>
      <c r="R108" s="142">
        <f>SUMIFS(領用表!$L:$L,領用表!$E:$E,$B108,領用表!$B:$B,R$2&amp;$R$1)</f>
        <v>0</v>
      </c>
      <c r="S108" s="142">
        <f>SUMIFS(領用表!$L:$L,領用表!$E:$E,$B108,領用表!$B:$B,S$2&amp;$R$1)</f>
        <v>0</v>
      </c>
      <c r="T108" s="142">
        <f>SUMIFS(領用表!$L:$L,領用表!$E:$E,$B108,領用表!$B:$B,T$2&amp;$R$1)</f>
        <v>0</v>
      </c>
      <c r="U108" s="142">
        <f>SUMIFS(領用表!$L:$L,領用表!$E:$E,$B108,領用表!$B:$B,U$2&amp;$R$1)</f>
        <v>0</v>
      </c>
      <c r="V108" s="142">
        <f>SUMIFS(領用表!$L:$L,領用表!$E:$E,$B108,領用表!$B:$B,V$2&amp;$R$1)</f>
        <v>0</v>
      </c>
      <c r="W108" s="142">
        <f>SUMIFS(領用表!$L:$L,領用表!$E:$E,$B108,領用表!$B:$B,W$2&amp;$R$1)</f>
        <v>0</v>
      </c>
      <c r="X108" s="142">
        <f>SUMIFS(領用表!$L:$L,領用表!$E:$E,$B108,領用表!$B:$B,X$2&amp;$R$1)</f>
        <v>0</v>
      </c>
      <c r="Y108" s="142">
        <f>SUMIFS(領用表!$L:$L,領用表!$E:$E,$B108,領用表!$B:$B,Y$2&amp;$R$1)</f>
        <v>0</v>
      </c>
      <c r="Z108" s="142">
        <f>SUMIFS(領用表!$L:$L,領用表!$E:$E,$B108,領用表!$B:$B,Z$2&amp;$R$1)</f>
        <v>0</v>
      </c>
      <c r="AA108" s="142">
        <f>SUMIFS(領用表!$L:$L,領用表!$E:$E,$B108,領用表!$B:$B,AA$2&amp;$R$1)</f>
        <v>0</v>
      </c>
      <c r="AB108" s="142">
        <f>SUMIFS(領用表!$L:$L,領用表!$E:$E,$B108,領用表!$B:$B,AB$2&amp;$R$1)</f>
        <v>0</v>
      </c>
      <c r="AC108" s="142">
        <f>SUMIFS(領用表!$L:$L,領用表!$E:$E,$B108,領用表!$B:$B,AC$2&amp;$R$1)</f>
        <v>0</v>
      </c>
      <c r="AD108" s="142">
        <f t="shared" si="16"/>
        <v>0</v>
      </c>
      <c r="AE108" s="142">
        <f t="shared" si="17"/>
        <v>0</v>
      </c>
      <c r="AF108" s="142">
        <f>SUMIF(Summary!B:B,B108,Summary!DV:DV)</f>
        <v>0</v>
      </c>
      <c r="AG108" s="109">
        <v>3</v>
      </c>
      <c r="AH108" s="65"/>
      <c r="AI108" s="65"/>
      <c r="AJ108" s="76"/>
      <c r="AK108" s="27"/>
      <c r="AL108" s="69"/>
      <c r="AM108" s="14"/>
      <c r="AN108" s="14"/>
    </row>
    <row r="109" spans="1:40" ht="15.75" customHeight="1">
      <c r="A109" s="27"/>
      <c r="B109" s="14">
        <v>6120029</v>
      </c>
      <c r="C109" s="136" t="s">
        <v>532</v>
      </c>
      <c r="D109" s="77"/>
      <c r="E109" s="17" t="s">
        <v>15</v>
      </c>
      <c r="F109" s="18"/>
      <c r="G109" s="18"/>
      <c r="H109" s="68" t="e">
        <f>SUM(#REF!)</f>
        <v>#REF!</v>
      </c>
      <c r="I109" s="26" t="e">
        <f t="shared" si="20"/>
        <v>#REF!</v>
      </c>
      <c r="J109" s="20">
        <f>SUMIFS(領用表!$L:$L,領用表!$E:$E,$B109,領用表!$B:$B,J$2&amp;$R$1)</f>
        <v>0</v>
      </c>
      <c r="K109" s="20">
        <f>SUMIFS(領用表!$L:$L,領用表!$E:$E,$B109,領用表!$B:$B,K$2&amp;$R$1)</f>
        <v>0</v>
      </c>
      <c r="L109" s="20">
        <f>SUMIFS(領用表!$L:$L,領用表!$E:$E,$B109,領用表!$B:$B,L$2&amp;$R$1)</f>
        <v>0</v>
      </c>
      <c r="M109" s="142">
        <f>SUMIFS(領用表!$L:$L,領用表!$E:$E,$B109,領用表!$B:$B,M$2&amp;$R$1)</f>
        <v>0</v>
      </c>
      <c r="N109" s="142">
        <f>SUMIFS(領用表!$L:$L,領用表!$E:$E,$B109,領用表!$B:$B,N$2&amp;$R$1)</f>
        <v>0</v>
      </c>
      <c r="O109" s="142">
        <f>SUMIFS(領用表!$L:$L,領用表!$E:$E,$B109,領用表!$B:$B,O$2&amp;$R$1)</f>
        <v>0</v>
      </c>
      <c r="P109" s="23">
        <f t="shared" si="18"/>
        <v>0</v>
      </c>
      <c r="Q109" s="23">
        <f t="shared" si="19"/>
        <v>0</v>
      </c>
      <c r="R109" s="142">
        <f>SUMIFS(領用表!$L:$L,領用表!$E:$E,$B109,領用表!$B:$B,R$2&amp;$R$1)</f>
        <v>0</v>
      </c>
      <c r="S109" s="142">
        <f>SUMIFS(領用表!$L:$L,領用表!$E:$E,$B109,領用表!$B:$B,S$2&amp;$R$1)</f>
        <v>0</v>
      </c>
      <c r="T109" s="142">
        <f>SUMIFS(領用表!$L:$L,領用表!$E:$E,$B109,領用表!$B:$B,T$2&amp;$R$1)</f>
        <v>0</v>
      </c>
      <c r="U109" s="142">
        <f>SUMIFS(領用表!$L:$L,領用表!$E:$E,$B109,領用表!$B:$B,U$2&amp;$R$1)</f>
        <v>0</v>
      </c>
      <c r="V109" s="142">
        <f>SUMIFS(領用表!$L:$L,領用表!$E:$E,$B109,領用表!$B:$B,V$2&amp;$R$1)</f>
        <v>0</v>
      </c>
      <c r="W109" s="142">
        <f>SUMIFS(領用表!$L:$L,領用表!$E:$E,$B109,領用表!$B:$B,W$2&amp;$R$1)</f>
        <v>0</v>
      </c>
      <c r="X109" s="142">
        <f>SUMIFS(領用表!$L:$L,領用表!$E:$E,$B109,領用表!$B:$B,X$2&amp;$R$1)</f>
        <v>0</v>
      </c>
      <c r="Y109" s="142">
        <f>SUMIFS(領用表!$L:$L,領用表!$E:$E,$B109,領用表!$B:$B,Y$2&amp;$R$1)</f>
        <v>0</v>
      </c>
      <c r="Z109" s="142">
        <f>SUMIFS(領用表!$L:$L,領用表!$E:$E,$B109,領用表!$B:$B,Z$2&amp;$R$1)</f>
        <v>0</v>
      </c>
      <c r="AA109" s="142">
        <f>SUMIFS(領用表!$L:$L,領用表!$E:$E,$B109,領用表!$B:$B,AA$2&amp;$R$1)</f>
        <v>0</v>
      </c>
      <c r="AB109" s="142">
        <f>SUMIFS(領用表!$L:$L,領用表!$E:$E,$B109,領用表!$B:$B,AB$2&amp;$R$1)</f>
        <v>0</v>
      </c>
      <c r="AC109" s="142">
        <f>SUMIFS(領用表!$L:$L,領用表!$E:$E,$B109,領用表!$B:$B,AC$2&amp;$R$1)</f>
        <v>0</v>
      </c>
      <c r="AD109" s="142">
        <f t="shared" si="16"/>
        <v>0</v>
      </c>
      <c r="AE109" s="142">
        <f t="shared" si="17"/>
        <v>0</v>
      </c>
      <c r="AF109" s="142">
        <f>SUMIF(Summary!B:B,B109,Summary!DV:DV)</f>
        <v>0</v>
      </c>
      <c r="AG109" s="109">
        <v>3</v>
      </c>
      <c r="AH109" s="65"/>
      <c r="AI109" s="65"/>
      <c r="AJ109" s="65" t="s">
        <v>167</v>
      </c>
      <c r="AK109" s="27"/>
      <c r="AL109" s="27"/>
      <c r="AM109" s="14"/>
      <c r="AN109" s="29"/>
    </row>
    <row r="110" spans="1:40" ht="15.75" customHeight="1">
      <c r="A110" s="27"/>
      <c r="B110" s="14">
        <v>6120030</v>
      </c>
      <c r="C110" s="136" t="s">
        <v>533</v>
      </c>
      <c r="D110" s="77"/>
      <c r="E110" s="17" t="s">
        <v>15</v>
      </c>
      <c r="F110" s="18"/>
      <c r="G110" s="18"/>
      <c r="H110" s="68" t="e">
        <f>SUM(#REF!)</f>
        <v>#REF!</v>
      </c>
      <c r="I110" s="26" t="e">
        <f t="shared" si="20"/>
        <v>#REF!</v>
      </c>
      <c r="J110" s="20">
        <f>SUMIFS(領用表!$L:$L,領用表!$E:$E,$B110,領用表!$B:$B,J$2&amp;$R$1)</f>
        <v>3</v>
      </c>
      <c r="K110" s="20">
        <f>SUMIFS(領用表!$L:$L,領用表!$E:$E,$B110,領用表!$B:$B,K$2&amp;$R$1)</f>
        <v>3</v>
      </c>
      <c r="L110" s="20">
        <f>SUMIFS(領用表!$L:$L,領用表!$E:$E,$B110,領用表!$B:$B,L$2&amp;$R$1)</f>
        <v>1</v>
      </c>
      <c r="M110" s="142">
        <f>SUMIFS(領用表!$L:$L,領用表!$E:$E,$B110,領用表!$B:$B,M$2&amp;$R$1)</f>
        <v>4</v>
      </c>
      <c r="N110" s="142">
        <f>SUMIFS(領用表!$L:$L,領用表!$E:$E,$B110,領用表!$B:$B,N$2&amp;$R$1)</f>
        <v>1</v>
      </c>
      <c r="O110" s="142">
        <f>SUMIFS(領用表!$L:$L,領用表!$E:$E,$B110,領用表!$B:$B,O$2&amp;$R$1)</f>
        <v>1</v>
      </c>
      <c r="P110" s="23">
        <f t="shared" si="18"/>
        <v>13</v>
      </c>
      <c r="Q110" s="23">
        <f t="shared" si="19"/>
        <v>1.8571428571428572</v>
      </c>
      <c r="R110" s="142">
        <f>SUMIFS(領用表!$L:$L,領用表!$E:$E,$B110,領用表!$B:$B,R$2&amp;$R$1)</f>
        <v>2</v>
      </c>
      <c r="S110" s="142">
        <f>SUMIFS(領用表!$L:$L,領用表!$E:$E,$B110,領用表!$B:$B,S$2&amp;$R$1)</f>
        <v>0</v>
      </c>
      <c r="T110" s="142">
        <f>SUMIFS(領用表!$L:$L,領用表!$E:$E,$B110,領用表!$B:$B,T$2&amp;$R$1)</f>
        <v>1</v>
      </c>
      <c r="U110" s="142">
        <f>SUMIFS(領用表!$L:$L,領用表!$E:$E,$B110,領用表!$B:$B,U$2&amp;$R$1)</f>
        <v>2</v>
      </c>
      <c r="V110" s="142">
        <f>SUMIFS(領用表!$L:$L,領用表!$E:$E,$B110,領用表!$B:$B,V$2&amp;$R$1)</f>
        <v>0</v>
      </c>
      <c r="W110" s="142">
        <f>SUMIFS(領用表!$L:$L,領用表!$E:$E,$B110,領用表!$B:$B,W$2&amp;$R$1)</f>
        <v>0</v>
      </c>
      <c r="X110" s="142">
        <f>SUMIFS(領用表!$L:$L,領用表!$E:$E,$B110,領用表!$B:$B,X$2&amp;$R$1)</f>
        <v>0</v>
      </c>
      <c r="Y110" s="142">
        <f>SUMIFS(領用表!$L:$L,領用表!$E:$E,$B110,領用表!$B:$B,Y$2&amp;$R$1)</f>
        <v>0</v>
      </c>
      <c r="Z110" s="142">
        <f>SUMIFS(領用表!$L:$L,領用表!$E:$E,$B110,領用表!$B:$B,Z$2&amp;$R$1)</f>
        <v>0</v>
      </c>
      <c r="AA110" s="142">
        <f>SUMIFS(領用表!$L:$L,領用表!$E:$E,$B110,領用表!$B:$B,AA$2&amp;$R$1)</f>
        <v>0</v>
      </c>
      <c r="AB110" s="142">
        <f>SUMIFS(領用表!$L:$L,領用表!$E:$E,$B110,領用表!$B:$B,AB$2&amp;$R$1)</f>
        <v>0</v>
      </c>
      <c r="AC110" s="142">
        <f>SUMIFS(領用表!$L:$L,領用表!$E:$E,$B110,領用表!$B:$B,AC$2&amp;$R$1)</f>
        <v>0</v>
      </c>
      <c r="AD110" s="142">
        <f t="shared" si="16"/>
        <v>5</v>
      </c>
      <c r="AE110" s="142">
        <f t="shared" si="17"/>
        <v>1</v>
      </c>
      <c r="AF110" s="142">
        <f>SUMIF(Summary!B:B,B110,Summary!DV:DV)</f>
        <v>0</v>
      </c>
      <c r="AG110" s="109">
        <v>3</v>
      </c>
      <c r="AH110" s="65"/>
      <c r="AI110" s="65"/>
      <c r="AJ110" s="65"/>
      <c r="AK110" s="27"/>
      <c r="AL110" s="27"/>
      <c r="AM110" s="14"/>
      <c r="AN110" s="29"/>
    </row>
    <row r="111" spans="1:40" ht="15.75" customHeight="1">
      <c r="A111" s="27"/>
      <c r="B111" s="14">
        <v>6120031</v>
      </c>
      <c r="C111" s="136" t="s">
        <v>534</v>
      </c>
      <c r="D111" s="77"/>
      <c r="E111" s="17" t="s">
        <v>15</v>
      </c>
      <c r="F111" s="18"/>
      <c r="G111" s="18"/>
      <c r="H111" s="68" t="e">
        <f>SUM(#REF!)</f>
        <v>#REF!</v>
      </c>
      <c r="I111" s="26" t="e">
        <f t="shared" si="20"/>
        <v>#REF!</v>
      </c>
      <c r="J111" s="20">
        <f>SUMIFS(領用表!$L:$L,領用表!$E:$E,$B111,領用表!$B:$B,J$2&amp;$R$1)</f>
        <v>0</v>
      </c>
      <c r="K111" s="20">
        <f>SUMIFS(領用表!$L:$L,領用表!$E:$E,$B111,領用表!$B:$B,K$2&amp;$R$1)</f>
        <v>0</v>
      </c>
      <c r="L111" s="20">
        <f>SUMIFS(領用表!$L:$L,領用表!$E:$E,$B111,領用表!$B:$B,L$2&amp;$R$1)</f>
        <v>0</v>
      </c>
      <c r="M111" s="142">
        <f>SUMIFS(領用表!$L:$L,領用表!$E:$E,$B111,領用表!$B:$B,M$2&amp;$R$1)</f>
        <v>0</v>
      </c>
      <c r="N111" s="142">
        <f>SUMIFS(領用表!$L:$L,領用表!$E:$E,$B111,領用表!$B:$B,N$2&amp;$R$1)</f>
        <v>0</v>
      </c>
      <c r="O111" s="142">
        <f>SUMIFS(領用表!$L:$L,領用表!$E:$E,$B111,領用表!$B:$B,O$2&amp;$R$1)</f>
        <v>0</v>
      </c>
      <c r="P111" s="23">
        <f t="shared" si="18"/>
        <v>0</v>
      </c>
      <c r="Q111" s="23">
        <f t="shared" si="19"/>
        <v>0</v>
      </c>
      <c r="R111" s="142">
        <f>SUMIFS(領用表!$L:$L,領用表!$E:$E,$B111,領用表!$B:$B,R$2&amp;$R$1)</f>
        <v>0</v>
      </c>
      <c r="S111" s="142">
        <f>SUMIFS(領用表!$L:$L,領用表!$E:$E,$B111,領用表!$B:$B,S$2&amp;$R$1)</f>
        <v>0</v>
      </c>
      <c r="T111" s="142">
        <f>SUMIFS(領用表!$L:$L,領用表!$E:$E,$B111,領用表!$B:$B,T$2&amp;$R$1)</f>
        <v>0</v>
      </c>
      <c r="U111" s="142">
        <f>SUMIFS(領用表!$L:$L,領用表!$E:$E,$B111,領用表!$B:$B,U$2&amp;$R$1)</f>
        <v>0</v>
      </c>
      <c r="V111" s="142">
        <f>SUMIFS(領用表!$L:$L,領用表!$E:$E,$B111,領用表!$B:$B,V$2&amp;$R$1)</f>
        <v>0</v>
      </c>
      <c r="W111" s="142">
        <f>SUMIFS(領用表!$L:$L,領用表!$E:$E,$B111,領用表!$B:$B,W$2&amp;$R$1)</f>
        <v>0</v>
      </c>
      <c r="X111" s="142">
        <f>SUMIFS(領用表!$L:$L,領用表!$E:$E,$B111,領用表!$B:$B,X$2&amp;$R$1)</f>
        <v>0</v>
      </c>
      <c r="Y111" s="142">
        <f>SUMIFS(領用表!$L:$L,領用表!$E:$E,$B111,領用表!$B:$B,Y$2&amp;$R$1)</f>
        <v>0</v>
      </c>
      <c r="Z111" s="142">
        <f>SUMIFS(領用表!$L:$L,領用表!$E:$E,$B111,領用表!$B:$B,Z$2&amp;$R$1)</f>
        <v>0</v>
      </c>
      <c r="AA111" s="142">
        <f>SUMIFS(領用表!$L:$L,領用表!$E:$E,$B111,領用表!$B:$B,AA$2&amp;$R$1)</f>
        <v>0</v>
      </c>
      <c r="AB111" s="142">
        <f>SUMIFS(領用表!$L:$L,領用表!$E:$E,$B111,領用表!$B:$B,AB$2&amp;$R$1)</f>
        <v>0</v>
      </c>
      <c r="AC111" s="142">
        <f>SUMIFS(領用表!$L:$L,領用表!$E:$E,$B111,領用表!$B:$B,AC$2&amp;$R$1)</f>
        <v>0</v>
      </c>
      <c r="AD111" s="142">
        <f t="shared" si="16"/>
        <v>0</v>
      </c>
      <c r="AE111" s="142">
        <f t="shared" si="17"/>
        <v>0</v>
      </c>
      <c r="AF111" s="142">
        <f>SUMIF(Summary!B:B,B111,Summary!DV:DV)</f>
        <v>0</v>
      </c>
      <c r="AG111" s="109">
        <v>3</v>
      </c>
      <c r="AH111" s="65"/>
      <c r="AI111" s="65"/>
      <c r="AJ111" s="65"/>
      <c r="AK111" s="27"/>
      <c r="AL111" s="27"/>
      <c r="AM111" s="14"/>
      <c r="AN111" s="29"/>
    </row>
    <row r="112" spans="1:40" ht="15.75" customHeight="1">
      <c r="A112" s="27"/>
      <c r="B112" s="14">
        <v>6120032</v>
      </c>
      <c r="C112" s="136" t="s">
        <v>535</v>
      </c>
      <c r="D112" s="77"/>
      <c r="E112" s="17" t="s">
        <v>15</v>
      </c>
      <c r="F112" s="18"/>
      <c r="G112" s="18"/>
      <c r="H112" s="68" t="e">
        <f>SUM(#REF!)</f>
        <v>#REF!</v>
      </c>
      <c r="I112" s="26" t="e">
        <f t="shared" si="20"/>
        <v>#REF!</v>
      </c>
      <c r="J112" s="20">
        <f>SUMIFS(領用表!$L:$L,領用表!$E:$E,$B112,領用表!$B:$B,J$2&amp;$R$1)</f>
        <v>0</v>
      </c>
      <c r="K112" s="20">
        <f>SUMIFS(領用表!$L:$L,領用表!$E:$E,$B112,領用表!$B:$B,K$2&amp;$R$1)</f>
        <v>0</v>
      </c>
      <c r="L112" s="20">
        <f>SUMIFS(領用表!$L:$L,領用表!$E:$E,$B112,領用表!$B:$B,L$2&amp;$R$1)</f>
        <v>0</v>
      </c>
      <c r="M112" s="142">
        <f>SUMIFS(領用表!$L:$L,領用表!$E:$E,$B112,領用表!$B:$B,M$2&amp;$R$1)</f>
        <v>0</v>
      </c>
      <c r="N112" s="142">
        <f>SUMIFS(領用表!$L:$L,領用表!$E:$E,$B112,領用表!$B:$B,N$2&amp;$R$1)</f>
        <v>0</v>
      </c>
      <c r="O112" s="142">
        <f>SUMIFS(領用表!$L:$L,領用表!$E:$E,$B112,領用表!$B:$B,O$2&amp;$R$1)</f>
        <v>0</v>
      </c>
      <c r="P112" s="23">
        <f t="shared" si="18"/>
        <v>0</v>
      </c>
      <c r="Q112" s="23">
        <f t="shared" si="19"/>
        <v>0</v>
      </c>
      <c r="R112" s="142">
        <f>SUMIFS(領用表!$L:$L,領用表!$E:$E,$B112,領用表!$B:$B,R$2&amp;$R$1)</f>
        <v>0</v>
      </c>
      <c r="S112" s="142">
        <f>SUMIFS(領用表!$L:$L,領用表!$E:$E,$B112,領用表!$B:$B,S$2&amp;$R$1)</f>
        <v>0</v>
      </c>
      <c r="T112" s="142">
        <f>SUMIFS(領用表!$L:$L,領用表!$E:$E,$B112,領用表!$B:$B,T$2&amp;$R$1)</f>
        <v>0</v>
      </c>
      <c r="U112" s="142">
        <f>SUMIFS(領用表!$L:$L,領用表!$E:$E,$B112,領用表!$B:$B,U$2&amp;$R$1)</f>
        <v>0</v>
      </c>
      <c r="V112" s="142">
        <f>SUMIFS(領用表!$L:$L,領用表!$E:$E,$B112,領用表!$B:$B,V$2&amp;$R$1)</f>
        <v>0</v>
      </c>
      <c r="W112" s="142">
        <f>SUMIFS(領用表!$L:$L,領用表!$E:$E,$B112,領用表!$B:$B,W$2&amp;$R$1)</f>
        <v>0</v>
      </c>
      <c r="X112" s="142">
        <f>SUMIFS(領用表!$L:$L,領用表!$E:$E,$B112,領用表!$B:$B,X$2&amp;$R$1)</f>
        <v>0</v>
      </c>
      <c r="Y112" s="142">
        <f>SUMIFS(領用表!$L:$L,領用表!$E:$E,$B112,領用表!$B:$B,Y$2&amp;$R$1)</f>
        <v>0</v>
      </c>
      <c r="Z112" s="142">
        <f>SUMIFS(領用表!$L:$L,領用表!$E:$E,$B112,領用表!$B:$B,Z$2&amp;$R$1)</f>
        <v>0</v>
      </c>
      <c r="AA112" s="142">
        <f>SUMIFS(領用表!$L:$L,領用表!$E:$E,$B112,領用表!$B:$B,AA$2&amp;$R$1)</f>
        <v>0</v>
      </c>
      <c r="AB112" s="142">
        <f>SUMIFS(領用表!$L:$L,領用表!$E:$E,$B112,領用表!$B:$B,AB$2&amp;$R$1)</f>
        <v>0</v>
      </c>
      <c r="AC112" s="142">
        <f>SUMIFS(領用表!$L:$L,領用表!$E:$E,$B112,領用表!$B:$B,AC$2&amp;$R$1)</f>
        <v>0</v>
      </c>
      <c r="AD112" s="142">
        <f t="shared" si="16"/>
        <v>0</v>
      </c>
      <c r="AE112" s="142">
        <f t="shared" si="17"/>
        <v>0</v>
      </c>
      <c r="AF112" s="142">
        <f>SUMIF(Summary!B:B,B112,Summary!DV:DV)</f>
        <v>0</v>
      </c>
      <c r="AG112" s="109">
        <v>0</v>
      </c>
      <c r="AH112" s="65"/>
      <c r="AI112" s="65"/>
      <c r="AJ112" s="65"/>
      <c r="AK112" s="27"/>
      <c r="AL112" s="27"/>
      <c r="AM112" s="14"/>
      <c r="AN112" s="29"/>
    </row>
    <row r="113" spans="1:40" ht="15.75" customHeight="1">
      <c r="A113" s="27"/>
      <c r="B113" s="14" t="e">
        <v>#N/A</v>
      </c>
      <c r="C113" s="136" t="s">
        <v>536</v>
      </c>
      <c r="D113" s="77">
        <v>60</v>
      </c>
      <c r="E113" s="17" t="s">
        <v>15</v>
      </c>
      <c r="F113" s="18"/>
      <c r="G113" s="18"/>
      <c r="H113" s="68" t="e">
        <f>SUM(#REF!)</f>
        <v>#REF!</v>
      </c>
      <c r="I113" s="26" t="e">
        <f t="shared" si="20"/>
        <v>#REF!</v>
      </c>
      <c r="J113" s="20">
        <f>SUMIFS(領用表!$L:$L,領用表!$E:$E,$B113,領用表!$B:$B,J$2&amp;$R$1)</f>
        <v>0</v>
      </c>
      <c r="K113" s="20">
        <f>SUMIFS(領用表!$L:$L,領用表!$E:$E,$B113,領用表!$B:$B,K$2&amp;$R$1)</f>
        <v>0</v>
      </c>
      <c r="L113" s="20">
        <f>SUMIFS(領用表!$L:$L,領用表!$E:$E,$B113,領用表!$B:$B,L$2&amp;$R$1)</f>
        <v>0</v>
      </c>
      <c r="M113" s="142">
        <f>SUMIFS(領用表!$L:$L,領用表!$E:$E,$B113,領用表!$B:$B,M$2&amp;$R$1)</f>
        <v>0</v>
      </c>
      <c r="N113" s="142">
        <f>SUMIFS(領用表!$L:$L,領用表!$E:$E,$B113,領用表!$B:$B,N$2&amp;$R$1)</f>
        <v>0</v>
      </c>
      <c r="O113" s="142">
        <f>SUMIFS(領用表!$L:$L,領用表!$E:$E,$B113,領用表!$B:$B,O$2&amp;$R$1)</f>
        <v>0</v>
      </c>
      <c r="P113" s="23">
        <f t="shared" si="18"/>
        <v>0</v>
      </c>
      <c r="Q113" s="23">
        <f t="shared" si="19"/>
        <v>0</v>
      </c>
      <c r="R113" s="142">
        <f>SUMIFS(領用表!$L:$L,領用表!$E:$E,$B113,領用表!$B:$B,R$2&amp;$R$1)</f>
        <v>0</v>
      </c>
      <c r="S113" s="142">
        <f>SUMIFS(領用表!$L:$L,領用表!$E:$E,$B113,領用表!$B:$B,S$2&amp;$R$1)</f>
        <v>0</v>
      </c>
      <c r="T113" s="142">
        <f>SUMIFS(領用表!$L:$L,領用表!$E:$E,$B113,領用表!$B:$B,T$2&amp;$R$1)</f>
        <v>0</v>
      </c>
      <c r="U113" s="142">
        <f>SUMIFS(領用表!$L:$L,領用表!$E:$E,$B113,領用表!$B:$B,U$2&amp;$R$1)</f>
        <v>0</v>
      </c>
      <c r="V113" s="142">
        <f>SUMIFS(領用表!$L:$L,領用表!$E:$E,$B113,領用表!$B:$B,V$2&amp;$R$1)</f>
        <v>0</v>
      </c>
      <c r="W113" s="142">
        <f>SUMIFS(領用表!$L:$L,領用表!$E:$E,$B113,領用表!$B:$B,W$2&amp;$R$1)</f>
        <v>0</v>
      </c>
      <c r="X113" s="142">
        <f>SUMIFS(領用表!$L:$L,領用表!$E:$E,$B113,領用表!$B:$B,X$2&amp;$R$1)</f>
        <v>0</v>
      </c>
      <c r="Y113" s="142">
        <f>SUMIFS(領用表!$L:$L,領用表!$E:$E,$B113,領用表!$B:$B,Y$2&amp;$R$1)</f>
        <v>0</v>
      </c>
      <c r="Z113" s="142">
        <f>SUMIFS(領用表!$L:$L,領用表!$E:$E,$B113,領用表!$B:$B,Z$2&amp;$R$1)</f>
        <v>0</v>
      </c>
      <c r="AA113" s="142">
        <f>SUMIFS(領用表!$L:$L,領用表!$E:$E,$B113,領用表!$B:$B,AA$2&amp;$R$1)</f>
        <v>0</v>
      </c>
      <c r="AB113" s="142">
        <f>SUMIFS(領用表!$L:$L,領用表!$E:$E,$B113,領用表!$B:$B,AB$2&amp;$R$1)</f>
        <v>0</v>
      </c>
      <c r="AC113" s="142">
        <f>SUMIFS(領用表!$L:$L,領用表!$E:$E,$B113,領用表!$B:$B,AC$2&amp;$R$1)</f>
        <v>0</v>
      </c>
      <c r="AD113" s="142">
        <f t="shared" si="16"/>
        <v>0</v>
      </c>
      <c r="AE113" s="142">
        <f t="shared" si="17"/>
        <v>0</v>
      </c>
      <c r="AF113" s="142">
        <f>SUMIF(Summary!B:B,B113,Summary!DV:DV)</f>
        <v>0</v>
      </c>
      <c r="AG113" s="109">
        <v>3</v>
      </c>
      <c r="AH113" s="65"/>
      <c r="AI113" s="65"/>
      <c r="AJ113" s="65"/>
      <c r="AK113" s="27"/>
      <c r="AL113" s="27"/>
      <c r="AM113" s="14"/>
      <c r="AN113" s="29"/>
    </row>
    <row r="114" spans="1:40" ht="15.75" customHeight="1">
      <c r="A114" s="27"/>
      <c r="B114" s="14">
        <v>6120019</v>
      </c>
      <c r="C114" s="136" t="s">
        <v>537</v>
      </c>
      <c r="D114" s="77"/>
      <c r="E114" s="17" t="s">
        <v>15</v>
      </c>
      <c r="F114" s="18"/>
      <c r="G114" s="18"/>
      <c r="H114" s="68" t="e">
        <f>SUM(#REF!)</f>
        <v>#REF!</v>
      </c>
      <c r="I114" s="26" t="e">
        <f t="shared" si="20"/>
        <v>#REF!</v>
      </c>
      <c r="J114" s="20">
        <f>SUMIFS(領用表!$L:$L,領用表!$E:$E,$B114,領用表!$B:$B,J$2&amp;$R$1)</f>
        <v>0</v>
      </c>
      <c r="K114" s="20">
        <f>SUMIFS(領用表!$L:$L,領用表!$E:$E,$B114,領用表!$B:$B,K$2&amp;$R$1)</f>
        <v>0</v>
      </c>
      <c r="L114" s="20">
        <f>SUMIFS(領用表!$L:$L,領用表!$E:$E,$B114,領用表!$B:$B,L$2&amp;$R$1)</f>
        <v>0</v>
      </c>
      <c r="M114" s="142">
        <f>SUMIFS(領用表!$L:$L,領用表!$E:$E,$B114,領用表!$B:$B,M$2&amp;$R$1)</f>
        <v>0</v>
      </c>
      <c r="N114" s="142">
        <f>SUMIFS(領用表!$L:$L,領用表!$E:$E,$B114,領用表!$B:$B,N$2&amp;$R$1)</f>
        <v>0</v>
      </c>
      <c r="O114" s="142">
        <f>SUMIFS(領用表!$L:$L,領用表!$E:$E,$B114,領用表!$B:$B,O$2&amp;$R$1)</f>
        <v>0</v>
      </c>
      <c r="P114" s="23">
        <f t="shared" si="18"/>
        <v>0</v>
      </c>
      <c r="Q114" s="23">
        <f t="shared" si="19"/>
        <v>0</v>
      </c>
      <c r="R114" s="142">
        <f>SUMIFS(領用表!$L:$L,領用表!$E:$E,$B114,領用表!$B:$B,R$2&amp;$R$1)</f>
        <v>0</v>
      </c>
      <c r="S114" s="142">
        <f>SUMIFS(領用表!$L:$L,領用表!$E:$E,$B114,領用表!$B:$B,S$2&amp;$R$1)</f>
        <v>0</v>
      </c>
      <c r="T114" s="142">
        <f>SUMIFS(領用表!$L:$L,領用表!$E:$E,$B114,領用表!$B:$B,T$2&amp;$R$1)</f>
        <v>0</v>
      </c>
      <c r="U114" s="142">
        <f>SUMIFS(領用表!$L:$L,領用表!$E:$E,$B114,領用表!$B:$B,U$2&amp;$R$1)</f>
        <v>0</v>
      </c>
      <c r="V114" s="142">
        <f>SUMIFS(領用表!$L:$L,領用表!$E:$E,$B114,領用表!$B:$B,V$2&amp;$R$1)</f>
        <v>0</v>
      </c>
      <c r="W114" s="142">
        <f>SUMIFS(領用表!$L:$L,領用表!$E:$E,$B114,領用表!$B:$B,W$2&amp;$R$1)</f>
        <v>0</v>
      </c>
      <c r="X114" s="142">
        <f>SUMIFS(領用表!$L:$L,領用表!$E:$E,$B114,領用表!$B:$B,X$2&amp;$R$1)</f>
        <v>0</v>
      </c>
      <c r="Y114" s="142">
        <f>SUMIFS(領用表!$L:$L,領用表!$E:$E,$B114,領用表!$B:$B,Y$2&amp;$R$1)</f>
        <v>0</v>
      </c>
      <c r="Z114" s="142">
        <f>SUMIFS(領用表!$L:$L,領用表!$E:$E,$B114,領用表!$B:$B,Z$2&amp;$R$1)</f>
        <v>0</v>
      </c>
      <c r="AA114" s="142">
        <f>SUMIFS(領用表!$L:$L,領用表!$E:$E,$B114,領用表!$B:$B,AA$2&amp;$R$1)</f>
        <v>0</v>
      </c>
      <c r="AB114" s="142">
        <f>SUMIFS(領用表!$L:$L,領用表!$E:$E,$B114,領用表!$B:$B,AB$2&amp;$R$1)</f>
        <v>0</v>
      </c>
      <c r="AC114" s="142">
        <f>SUMIFS(領用表!$L:$L,領用表!$E:$E,$B114,領用表!$B:$B,AC$2&amp;$R$1)</f>
        <v>0</v>
      </c>
      <c r="AD114" s="142">
        <f t="shared" si="16"/>
        <v>0</v>
      </c>
      <c r="AE114" s="142">
        <f t="shared" si="17"/>
        <v>0</v>
      </c>
      <c r="AF114" s="142">
        <f>SUMIF(Summary!B:B,B114,Summary!DV:DV)</f>
        <v>0</v>
      </c>
      <c r="AG114" s="109">
        <v>3</v>
      </c>
      <c r="AH114" s="65"/>
      <c r="AI114" s="65"/>
      <c r="AJ114" s="65"/>
      <c r="AK114" s="27"/>
      <c r="AL114" s="27"/>
      <c r="AM114" s="14"/>
      <c r="AN114" s="29"/>
    </row>
    <row r="115" spans="1:40" ht="15.75" customHeight="1">
      <c r="A115" s="27"/>
      <c r="B115" s="14" t="e">
        <v>#N/A</v>
      </c>
      <c r="C115" s="136" t="s">
        <v>538</v>
      </c>
      <c r="D115" s="77"/>
      <c r="E115" s="17" t="s">
        <v>15</v>
      </c>
      <c r="F115" s="18"/>
      <c r="G115" s="18"/>
      <c r="H115" s="68" t="e">
        <f>SUM(#REF!)</f>
        <v>#REF!</v>
      </c>
      <c r="I115" s="26" t="e">
        <f t="shared" si="20"/>
        <v>#REF!</v>
      </c>
      <c r="J115" s="20">
        <f>SUMIFS(領用表!$L:$L,領用表!$E:$E,$B115,領用表!$B:$B,J$2&amp;$R$1)</f>
        <v>0</v>
      </c>
      <c r="K115" s="20">
        <f>SUMIFS(領用表!$L:$L,領用表!$E:$E,$B115,領用表!$B:$B,K$2&amp;$R$1)</f>
        <v>0</v>
      </c>
      <c r="L115" s="20">
        <f>SUMIFS(領用表!$L:$L,領用表!$E:$E,$B115,領用表!$B:$B,L$2&amp;$R$1)</f>
        <v>0</v>
      </c>
      <c r="M115" s="142">
        <f>SUMIFS(領用表!$L:$L,領用表!$E:$E,$B115,領用表!$B:$B,M$2&amp;$R$1)</f>
        <v>0</v>
      </c>
      <c r="N115" s="142">
        <f>SUMIFS(領用表!$L:$L,領用表!$E:$E,$B115,領用表!$B:$B,N$2&amp;$R$1)</f>
        <v>0</v>
      </c>
      <c r="O115" s="142">
        <f>SUMIFS(領用表!$L:$L,領用表!$E:$E,$B115,領用表!$B:$B,O$2&amp;$R$1)</f>
        <v>0</v>
      </c>
      <c r="P115" s="23">
        <f t="shared" si="18"/>
        <v>0</v>
      </c>
      <c r="Q115" s="23">
        <f t="shared" si="19"/>
        <v>0</v>
      </c>
      <c r="R115" s="142">
        <f>SUMIFS(領用表!$L:$L,領用表!$E:$E,$B115,領用表!$B:$B,R$2&amp;$R$1)</f>
        <v>0</v>
      </c>
      <c r="S115" s="142">
        <f>SUMIFS(領用表!$L:$L,領用表!$E:$E,$B115,領用表!$B:$B,S$2&amp;$R$1)</f>
        <v>0</v>
      </c>
      <c r="T115" s="142">
        <f>SUMIFS(領用表!$L:$L,領用表!$E:$E,$B115,領用表!$B:$B,T$2&amp;$R$1)</f>
        <v>0</v>
      </c>
      <c r="U115" s="142">
        <f>SUMIFS(領用表!$L:$L,領用表!$E:$E,$B115,領用表!$B:$B,U$2&amp;$R$1)</f>
        <v>0</v>
      </c>
      <c r="V115" s="142">
        <f>SUMIFS(領用表!$L:$L,領用表!$E:$E,$B115,領用表!$B:$B,V$2&amp;$R$1)</f>
        <v>0</v>
      </c>
      <c r="W115" s="142">
        <f>SUMIFS(領用表!$L:$L,領用表!$E:$E,$B115,領用表!$B:$B,W$2&amp;$R$1)</f>
        <v>0</v>
      </c>
      <c r="X115" s="142">
        <f>SUMIFS(領用表!$L:$L,領用表!$E:$E,$B115,領用表!$B:$B,X$2&amp;$R$1)</f>
        <v>0</v>
      </c>
      <c r="Y115" s="142">
        <f>SUMIFS(領用表!$L:$L,領用表!$E:$E,$B115,領用表!$B:$B,Y$2&amp;$R$1)</f>
        <v>0</v>
      </c>
      <c r="Z115" s="142">
        <f>SUMIFS(領用表!$L:$L,領用表!$E:$E,$B115,領用表!$B:$B,Z$2&amp;$R$1)</f>
        <v>0</v>
      </c>
      <c r="AA115" s="142">
        <f>SUMIFS(領用表!$L:$L,領用表!$E:$E,$B115,領用表!$B:$B,AA$2&amp;$R$1)</f>
        <v>0</v>
      </c>
      <c r="AB115" s="142">
        <f>SUMIFS(領用表!$L:$L,領用表!$E:$E,$B115,領用表!$B:$B,AB$2&amp;$R$1)</f>
        <v>0</v>
      </c>
      <c r="AC115" s="142">
        <f>SUMIFS(領用表!$L:$L,領用表!$E:$E,$B115,領用表!$B:$B,AC$2&amp;$R$1)</f>
        <v>0</v>
      </c>
      <c r="AD115" s="142">
        <f t="shared" si="16"/>
        <v>0</v>
      </c>
      <c r="AE115" s="142">
        <f t="shared" si="17"/>
        <v>0</v>
      </c>
      <c r="AF115" s="142">
        <f>SUMIF(Summary!B:B,B115,Summary!DV:DV)</f>
        <v>0</v>
      </c>
      <c r="AG115" s="109">
        <v>0</v>
      </c>
      <c r="AH115" s="65"/>
      <c r="AI115" s="65"/>
      <c r="AJ115" s="65"/>
      <c r="AK115" s="27"/>
      <c r="AL115" s="27"/>
      <c r="AM115" s="14"/>
      <c r="AN115" s="29"/>
    </row>
    <row r="116" spans="1:40" ht="15.75" customHeight="1" thickBot="1">
      <c r="A116" s="27"/>
      <c r="B116" s="14">
        <v>6130001</v>
      </c>
      <c r="C116" s="136" t="s">
        <v>539</v>
      </c>
      <c r="D116" s="77"/>
      <c r="E116" s="17" t="s">
        <v>15</v>
      </c>
      <c r="F116" s="18"/>
      <c r="G116" s="18">
        <v>0</v>
      </c>
      <c r="H116" s="68" t="e">
        <f>SUM(#REF!)</f>
        <v>#REF!</v>
      </c>
      <c r="I116" s="26" t="e">
        <f t="shared" si="20"/>
        <v>#REF!</v>
      </c>
      <c r="J116" s="20">
        <f>SUMIFS(領用表!$L:$L,領用表!$E:$E,$B116,領用表!$B:$B,J$2&amp;$R$1)</f>
        <v>0</v>
      </c>
      <c r="K116" s="20">
        <f>SUMIFS(領用表!$L:$L,領用表!$E:$E,$B116,領用表!$B:$B,K$2&amp;$R$1)</f>
        <v>0</v>
      </c>
      <c r="L116" s="20">
        <f>SUMIFS(領用表!$L:$L,領用表!$E:$E,$B116,領用表!$B:$B,L$2&amp;$R$1)</f>
        <v>0</v>
      </c>
      <c r="M116" s="142">
        <f>SUMIFS(領用表!$L:$L,領用表!$E:$E,$B116,領用表!$B:$B,M$2&amp;$R$1)</f>
        <v>0</v>
      </c>
      <c r="N116" s="142">
        <f>SUMIFS(領用表!$L:$L,領用表!$E:$E,$B116,領用表!$B:$B,N$2&amp;$R$1)</f>
        <v>0</v>
      </c>
      <c r="O116" s="142">
        <f>SUMIFS(領用表!$L:$L,領用表!$E:$E,$B116,領用表!$B:$B,O$2&amp;$R$1)</f>
        <v>0</v>
      </c>
      <c r="P116" s="23">
        <f t="shared" si="18"/>
        <v>0</v>
      </c>
      <c r="Q116" s="23">
        <f t="shared" si="19"/>
        <v>0</v>
      </c>
      <c r="R116" s="142">
        <f>SUMIFS(領用表!$L:$L,領用表!$E:$E,$B116,領用表!$B:$B,R$2&amp;$R$1)</f>
        <v>0</v>
      </c>
      <c r="S116" s="142">
        <f>SUMIFS(領用表!$L:$L,領用表!$E:$E,$B116,領用表!$B:$B,S$2&amp;$R$1)</f>
        <v>0</v>
      </c>
      <c r="T116" s="142">
        <f>SUMIFS(領用表!$L:$L,領用表!$E:$E,$B116,領用表!$B:$B,T$2&amp;$R$1)</f>
        <v>0</v>
      </c>
      <c r="U116" s="142">
        <f>SUMIFS(領用表!$L:$L,領用表!$E:$E,$B116,領用表!$B:$B,U$2&amp;$R$1)</f>
        <v>0</v>
      </c>
      <c r="V116" s="142">
        <f>SUMIFS(領用表!$L:$L,領用表!$E:$E,$B116,領用表!$B:$B,V$2&amp;$R$1)</f>
        <v>0</v>
      </c>
      <c r="W116" s="142">
        <f>SUMIFS(領用表!$L:$L,領用表!$E:$E,$B116,領用表!$B:$B,W$2&amp;$R$1)</f>
        <v>0</v>
      </c>
      <c r="X116" s="142">
        <f>SUMIFS(領用表!$L:$L,領用表!$E:$E,$B116,領用表!$B:$B,X$2&amp;$R$1)</f>
        <v>0</v>
      </c>
      <c r="Y116" s="142">
        <f>SUMIFS(領用表!$L:$L,領用表!$E:$E,$B116,領用表!$B:$B,Y$2&amp;$R$1)</f>
        <v>0</v>
      </c>
      <c r="Z116" s="142">
        <f>SUMIFS(領用表!$L:$L,領用表!$E:$E,$B116,領用表!$B:$B,Z$2&amp;$R$1)</f>
        <v>0</v>
      </c>
      <c r="AA116" s="142">
        <f>SUMIFS(領用表!$L:$L,領用表!$E:$E,$B116,領用表!$B:$B,AA$2&amp;$R$1)</f>
        <v>0</v>
      </c>
      <c r="AB116" s="142">
        <f>SUMIFS(領用表!$L:$L,領用表!$E:$E,$B116,領用表!$B:$B,AB$2&amp;$R$1)</f>
        <v>0</v>
      </c>
      <c r="AC116" s="142">
        <f>SUMIFS(領用表!$L:$L,領用表!$E:$E,$B116,領用表!$B:$B,AC$2&amp;$R$1)</f>
        <v>0</v>
      </c>
      <c r="AD116" s="142">
        <f t="shared" si="16"/>
        <v>0</v>
      </c>
      <c r="AE116" s="142">
        <f t="shared" si="17"/>
        <v>0</v>
      </c>
      <c r="AF116" s="142">
        <f>SUMIF(Summary!B:B,B116,Summary!DV:DV)</f>
        <v>0</v>
      </c>
      <c r="AG116" s="109">
        <v>3</v>
      </c>
      <c r="AH116" s="65"/>
      <c r="AI116" s="65"/>
      <c r="AJ116" s="65"/>
      <c r="AK116" s="27"/>
      <c r="AL116" s="27"/>
      <c r="AM116" s="14"/>
      <c r="AN116" s="29"/>
    </row>
    <row r="117" spans="1:40" ht="15.75" customHeight="1" thickBot="1">
      <c r="A117" s="78" t="s">
        <v>774</v>
      </c>
      <c r="B117" s="190">
        <v>6120042</v>
      </c>
      <c r="C117" s="136" t="s">
        <v>775</v>
      </c>
      <c r="D117" s="77"/>
      <c r="E117" s="17"/>
      <c r="F117" s="18"/>
      <c r="G117" s="18">
        <v>41</v>
      </c>
      <c r="H117" s="68"/>
      <c r="I117" s="26"/>
      <c r="J117" s="20">
        <f>SUMIFS(領用表!$L:$L,領用表!$E:$E,$B117,領用表!$B:$B,J$2&amp;$R$1)</f>
        <v>0</v>
      </c>
      <c r="K117" s="20">
        <f>SUMIFS(領用表!$L:$L,領用表!$E:$E,$B117,領用表!$B:$B,K$2&amp;$R$1)</f>
        <v>0</v>
      </c>
      <c r="L117" s="20">
        <f>SUMIFS(領用表!$L:$L,領用表!$E:$E,$B117,領用表!$B:$B,L$2&amp;$R$1)</f>
        <v>0</v>
      </c>
      <c r="M117" s="142">
        <f>SUMIFS(領用表!$L:$L,領用表!$E:$E,$B117,領用表!$B:$B,M$2&amp;$R$1)</f>
        <v>0</v>
      </c>
      <c r="N117" s="142">
        <f>SUMIFS(領用表!$L:$L,領用表!$E:$E,$B117,領用表!$B:$B,N$2&amp;$R$1)</f>
        <v>0</v>
      </c>
      <c r="O117" s="142">
        <f>SUMIFS(領用表!$L:$L,領用表!$E:$E,$B117,領用表!$B:$B,O$2&amp;$R$1)</f>
        <v>0</v>
      </c>
      <c r="P117" s="23">
        <f t="shared" ref="P117:P119" si="24">SUM(,J117,K117,L117,M117,N117,O117)</f>
        <v>0</v>
      </c>
      <c r="Q117" s="23">
        <f t="shared" ref="Q117:Q119" si="25">AVERAGE(,J117,K117,L117,M117,N117,O117)</f>
        <v>0</v>
      </c>
      <c r="R117" s="142">
        <f>SUMIFS(領用表!$L:$L,領用表!$E:$E,$B117,領用表!$B:$B,R$2&amp;$R$1)</f>
        <v>0</v>
      </c>
      <c r="S117" s="142">
        <f>SUMIFS(領用表!$L:$L,領用表!$E:$E,$B117,領用表!$B:$B,S$2&amp;$R$1)</f>
        <v>0</v>
      </c>
      <c r="T117" s="142">
        <f>SUMIFS(領用表!$L:$L,領用表!$E:$E,$B117,領用表!$B:$B,T$2&amp;$R$1)</f>
        <v>0</v>
      </c>
      <c r="U117" s="142">
        <f>SUMIFS(領用表!$L:$L,領用表!$E:$E,$B117,領用表!$B:$B,U$2&amp;$R$1)</f>
        <v>0</v>
      </c>
      <c r="V117" s="142">
        <f>SUMIFS(領用表!$L:$L,領用表!$E:$E,$B117,領用表!$B:$B,V$2&amp;$R$1)</f>
        <v>0</v>
      </c>
      <c r="W117" s="142">
        <f>SUMIFS(領用表!$L:$L,領用表!$E:$E,$B117,領用表!$B:$B,W$2&amp;$R$1)</f>
        <v>0</v>
      </c>
      <c r="X117" s="142">
        <f>SUMIFS(領用表!$L:$L,領用表!$E:$E,$B117,領用表!$B:$B,X$2&amp;$R$1)</f>
        <v>0</v>
      </c>
      <c r="Y117" s="142">
        <f>SUMIFS(領用表!$L:$L,領用表!$E:$E,$B117,領用表!$B:$B,Y$2&amp;$R$1)</f>
        <v>0</v>
      </c>
      <c r="Z117" s="142">
        <f>SUMIFS(領用表!$L:$L,領用表!$E:$E,$B117,領用表!$B:$B,Z$2&amp;$R$1)</f>
        <v>0</v>
      </c>
      <c r="AA117" s="142">
        <f>SUMIFS(領用表!$L:$L,領用表!$E:$E,$B117,領用表!$B:$B,AA$2&amp;$R$1)</f>
        <v>0</v>
      </c>
      <c r="AB117" s="142">
        <f>SUMIFS(領用表!$L:$L,領用表!$E:$E,$B117,領用表!$B:$B,AB$2&amp;$R$1)</f>
        <v>0</v>
      </c>
      <c r="AC117" s="142">
        <f>SUMIFS(領用表!$L:$L,領用表!$E:$E,$B117,領用表!$B:$B,AC$2&amp;$R$1)</f>
        <v>0</v>
      </c>
      <c r="AD117" s="142">
        <f t="shared" si="16"/>
        <v>0</v>
      </c>
      <c r="AE117" s="142">
        <f t="shared" si="17"/>
        <v>0</v>
      </c>
      <c r="AF117" s="142">
        <f>SUMIF(Summary!B:B,B117,Summary!DV:DV)</f>
        <v>0</v>
      </c>
      <c r="AG117" s="109"/>
      <c r="AH117" s="65"/>
      <c r="AI117" s="65"/>
      <c r="AJ117" s="65"/>
      <c r="AK117" s="27"/>
      <c r="AL117" s="27"/>
      <c r="AM117" s="14"/>
      <c r="AN117" s="29"/>
    </row>
    <row r="118" spans="1:40" ht="15.75" customHeight="1" thickBot="1">
      <c r="A118" s="78" t="s">
        <v>776</v>
      </c>
      <c r="B118" s="190">
        <v>6120043</v>
      </c>
      <c r="C118" s="136" t="s">
        <v>777</v>
      </c>
      <c r="D118" s="77"/>
      <c r="E118" s="17"/>
      <c r="F118" s="18"/>
      <c r="G118" s="18"/>
      <c r="H118" s="68"/>
      <c r="I118" s="26"/>
      <c r="J118" s="20">
        <f>SUMIFS(領用表!$L:$L,領用表!$E:$E,$B118,領用表!$B:$B,J$2&amp;$R$1)</f>
        <v>0</v>
      </c>
      <c r="K118" s="20">
        <f>SUMIFS(領用表!$L:$L,領用表!$E:$E,$B118,領用表!$B:$B,K$2&amp;$R$1)</f>
        <v>0</v>
      </c>
      <c r="L118" s="20">
        <f>SUMIFS(領用表!$L:$L,領用表!$E:$E,$B118,領用表!$B:$B,L$2&amp;$R$1)</f>
        <v>0</v>
      </c>
      <c r="M118" s="142">
        <f>SUMIFS(領用表!$L:$L,領用表!$E:$E,$B118,領用表!$B:$B,M$2&amp;$R$1)</f>
        <v>0</v>
      </c>
      <c r="N118" s="142">
        <f>SUMIFS(領用表!$L:$L,領用表!$E:$E,$B118,領用表!$B:$B,N$2&amp;$R$1)</f>
        <v>0</v>
      </c>
      <c r="O118" s="142">
        <f>SUMIFS(領用表!$L:$L,領用表!$E:$E,$B118,領用表!$B:$B,O$2&amp;$R$1)</f>
        <v>0</v>
      </c>
      <c r="P118" s="23">
        <f t="shared" si="24"/>
        <v>0</v>
      </c>
      <c r="Q118" s="23">
        <f t="shared" si="25"/>
        <v>0</v>
      </c>
      <c r="R118" s="142">
        <f>SUMIFS(領用表!$L:$L,領用表!$E:$E,$B118,領用表!$B:$B,R$2&amp;$R$1)</f>
        <v>0</v>
      </c>
      <c r="S118" s="142">
        <f>SUMIFS(領用表!$L:$L,領用表!$E:$E,$B118,領用表!$B:$B,S$2&amp;$R$1)</f>
        <v>0</v>
      </c>
      <c r="T118" s="142">
        <f>SUMIFS(領用表!$L:$L,領用表!$E:$E,$B118,領用表!$B:$B,T$2&amp;$R$1)</f>
        <v>0</v>
      </c>
      <c r="U118" s="142">
        <f>SUMIFS(領用表!$L:$L,領用表!$E:$E,$B118,領用表!$B:$B,U$2&amp;$R$1)</f>
        <v>0</v>
      </c>
      <c r="V118" s="142">
        <f>SUMIFS(領用表!$L:$L,領用表!$E:$E,$B118,領用表!$B:$B,V$2&amp;$R$1)</f>
        <v>0</v>
      </c>
      <c r="W118" s="142">
        <f>SUMIFS(領用表!$L:$L,領用表!$E:$E,$B118,領用表!$B:$B,W$2&amp;$R$1)</f>
        <v>0</v>
      </c>
      <c r="X118" s="142">
        <f>SUMIFS(領用表!$L:$L,領用表!$E:$E,$B118,領用表!$B:$B,X$2&amp;$R$1)</f>
        <v>0</v>
      </c>
      <c r="Y118" s="142">
        <f>SUMIFS(領用表!$L:$L,領用表!$E:$E,$B118,領用表!$B:$B,Y$2&amp;$R$1)</f>
        <v>0</v>
      </c>
      <c r="Z118" s="142">
        <f>SUMIFS(領用表!$L:$L,領用表!$E:$E,$B118,領用表!$B:$B,Z$2&amp;$R$1)</f>
        <v>0</v>
      </c>
      <c r="AA118" s="142">
        <f>SUMIFS(領用表!$L:$L,領用表!$E:$E,$B118,領用表!$B:$B,AA$2&amp;$R$1)</f>
        <v>0</v>
      </c>
      <c r="AB118" s="142">
        <f>SUMIFS(領用表!$L:$L,領用表!$E:$E,$B118,領用表!$B:$B,AB$2&amp;$R$1)</f>
        <v>0</v>
      </c>
      <c r="AC118" s="142">
        <f>SUMIFS(領用表!$L:$L,領用表!$E:$E,$B118,領用表!$B:$B,AC$2&amp;$R$1)</f>
        <v>0</v>
      </c>
      <c r="AD118" s="142">
        <f t="shared" si="16"/>
        <v>0</v>
      </c>
      <c r="AE118" s="142">
        <f t="shared" si="17"/>
        <v>0</v>
      </c>
      <c r="AF118" s="142">
        <f>SUMIF(Summary!B:B,B118,Summary!DV:DV)</f>
        <v>0</v>
      </c>
      <c r="AG118" s="109"/>
      <c r="AH118" s="65"/>
      <c r="AI118" s="65"/>
      <c r="AJ118" s="65"/>
      <c r="AK118" s="27"/>
      <c r="AL118" s="27"/>
      <c r="AM118" s="14"/>
      <c r="AN118" s="29"/>
    </row>
    <row r="119" spans="1:40" ht="15.75" customHeight="1" thickBot="1">
      <c r="A119" s="194" t="s">
        <v>779</v>
      </c>
      <c r="B119" s="191">
        <v>6120044</v>
      </c>
      <c r="C119" s="195" t="s">
        <v>940</v>
      </c>
      <c r="D119" s="77"/>
      <c r="E119" s="17"/>
      <c r="F119" s="18"/>
      <c r="G119" s="18">
        <v>8</v>
      </c>
      <c r="H119" s="68"/>
      <c r="I119" s="26"/>
      <c r="J119" s="20">
        <f>SUMIFS(領用表!$L:$L,領用表!$E:$E,$B119,領用表!$B:$B,J$2&amp;$R$1)</f>
        <v>0</v>
      </c>
      <c r="K119" s="20">
        <f>SUMIFS(領用表!$L:$L,領用表!$E:$E,$B119,領用表!$B:$B,K$2&amp;$R$1)</f>
        <v>0</v>
      </c>
      <c r="L119" s="20">
        <f>SUMIFS(領用表!$L:$L,領用表!$E:$E,$B119,領用表!$B:$B,L$2&amp;$R$1)</f>
        <v>0</v>
      </c>
      <c r="M119" s="142">
        <f>SUMIFS(領用表!$L:$L,領用表!$E:$E,$B119,領用表!$B:$B,M$2&amp;$R$1)</f>
        <v>0</v>
      </c>
      <c r="N119" s="142">
        <f>SUMIFS(領用表!$L:$L,領用表!$E:$E,$B119,領用表!$B:$B,N$2&amp;$R$1)</f>
        <v>0</v>
      </c>
      <c r="O119" s="142">
        <f>SUMIFS(領用表!$L:$L,領用表!$E:$E,$B119,領用表!$B:$B,O$2&amp;$R$1)</f>
        <v>0</v>
      </c>
      <c r="P119" s="23">
        <f t="shared" si="24"/>
        <v>0</v>
      </c>
      <c r="Q119" s="23">
        <f t="shared" si="25"/>
        <v>0</v>
      </c>
      <c r="R119" s="142">
        <f>SUMIFS(領用表!$L:$L,領用表!$E:$E,$B119,領用表!$B:$B,R$2&amp;$R$1)</f>
        <v>0</v>
      </c>
      <c r="S119" s="142">
        <f>SUMIFS(領用表!$L:$L,領用表!$E:$E,$B119,領用表!$B:$B,S$2&amp;$R$1)</f>
        <v>0</v>
      </c>
      <c r="T119" s="142">
        <f>SUMIFS(領用表!$L:$L,領用表!$E:$E,$B119,領用表!$B:$B,T$2&amp;$R$1)</f>
        <v>0</v>
      </c>
      <c r="U119" s="142">
        <f>SUMIFS(領用表!$L:$L,領用表!$E:$E,$B119,領用表!$B:$B,U$2&amp;$R$1)</f>
        <v>0</v>
      </c>
      <c r="V119" s="142">
        <f>SUMIFS(領用表!$L:$L,領用表!$E:$E,$B119,領用表!$B:$B,V$2&amp;$R$1)</f>
        <v>1</v>
      </c>
      <c r="W119" s="142">
        <f>SUMIFS(領用表!$L:$L,領用表!$E:$E,$B119,領用表!$B:$B,W$2&amp;$R$1)</f>
        <v>0</v>
      </c>
      <c r="X119" s="142">
        <f>SUMIFS(領用表!$L:$L,領用表!$E:$E,$B119,領用表!$B:$B,X$2&amp;$R$1)</f>
        <v>0</v>
      </c>
      <c r="Y119" s="142">
        <f>SUMIFS(領用表!$L:$L,領用表!$E:$E,$B119,領用表!$B:$B,Y$2&amp;$R$1)</f>
        <v>0</v>
      </c>
      <c r="Z119" s="142">
        <f>SUMIFS(領用表!$L:$L,領用表!$E:$E,$B119,領用表!$B:$B,Z$2&amp;$R$1)</f>
        <v>0</v>
      </c>
      <c r="AA119" s="142">
        <f>SUMIFS(領用表!$L:$L,領用表!$E:$E,$B119,領用表!$B:$B,AA$2&amp;$R$1)</f>
        <v>0</v>
      </c>
      <c r="AB119" s="142">
        <f>SUMIFS(領用表!$L:$L,領用表!$E:$E,$B119,領用表!$B:$B,AB$2&amp;$R$1)</f>
        <v>0</v>
      </c>
      <c r="AC119" s="142">
        <f>SUMIFS(領用表!$L:$L,領用表!$E:$E,$B119,領用表!$B:$B,AC$2&amp;$R$1)</f>
        <v>0</v>
      </c>
      <c r="AD119" s="142">
        <f t="shared" si="16"/>
        <v>1</v>
      </c>
      <c r="AE119" s="142">
        <f t="shared" si="17"/>
        <v>0.2</v>
      </c>
      <c r="AF119" s="142">
        <f>SUMIF(Summary!B:B,B119,Summary!DV:DV)</f>
        <v>0</v>
      </c>
      <c r="AG119" s="109"/>
      <c r="AH119" s="65"/>
      <c r="AI119" s="65"/>
      <c r="AJ119" s="65"/>
      <c r="AK119" s="27"/>
      <c r="AL119" s="27"/>
      <c r="AM119" s="14"/>
      <c r="AN119" s="29"/>
    </row>
    <row r="120" spans="1:40" ht="15.75" customHeight="1">
      <c r="A120" s="27"/>
      <c r="B120" s="14" t="e">
        <v>#N/A</v>
      </c>
      <c r="C120" s="136" t="s">
        <v>540</v>
      </c>
      <c r="D120" s="77"/>
      <c r="E120" s="17" t="s">
        <v>145</v>
      </c>
      <c r="F120" s="18"/>
      <c r="G120" s="18"/>
      <c r="H120" s="68" t="e">
        <f>SUM(#REF!)</f>
        <v>#REF!</v>
      </c>
      <c r="I120" s="26" t="e">
        <f t="shared" si="20"/>
        <v>#REF!</v>
      </c>
      <c r="J120" s="20">
        <f>SUMIFS(領用表!$L:$L,領用表!$E:$E,$B120,領用表!$B:$B,J$2&amp;$R$1)</f>
        <v>0</v>
      </c>
      <c r="K120" s="20">
        <f>SUMIFS(領用表!$L:$L,領用表!$E:$E,$B120,領用表!$B:$B,K$2&amp;$R$1)</f>
        <v>0</v>
      </c>
      <c r="L120" s="20">
        <f>SUMIFS(領用表!$L:$L,領用表!$E:$E,$B120,領用表!$B:$B,L$2&amp;$R$1)</f>
        <v>0</v>
      </c>
      <c r="M120" s="142">
        <f>SUMIFS(領用表!$L:$L,領用表!$E:$E,$B120,領用表!$B:$B,M$2&amp;$R$1)</f>
        <v>0</v>
      </c>
      <c r="N120" s="142">
        <f>SUMIFS(領用表!$L:$L,領用表!$E:$E,$B120,領用表!$B:$B,N$2&amp;$R$1)</f>
        <v>0</v>
      </c>
      <c r="O120" s="142">
        <f>SUMIFS(領用表!$L:$L,領用表!$E:$E,$B120,領用表!$B:$B,O$2&amp;$R$1)</f>
        <v>0</v>
      </c>
      <c r="P120" s="23">
        <f t="shared" si="18"/>
        <v>0</v>
      </c>
      <c r="Q120" s="23">
        <f t="shared" si="19"/>
        <v>0</v>
      </c>
      <c r="R120" s="142">
        <f>SUMIFS(領用表!$L:$L,領用表!$E:$E,$B120,領用表!$B:$B,R$2&amp;$R$1)</f>
        <v>0</v>
      </c>
      <c r="S120" s="142">
        <f>SUMIFS(領用表!$L:$L,領用表!$E:$E,$B120,領用表!$B:$B,S$2&amp;$R$1)</f>
        <v>0</v>
      </c>
      <c r="T120" s="142">
        <f>SUMIFS(領用表!$L:$L,領用表!$E:$E,$B120,領用表!$B:$B,T$2&amp;$R$1)</f>
        <v>0</v>
      </c>
      <c r="U120" s="142">
        <f>SUMIFS(領用表!$L:$L,領用表!$E:$E,$B120,領用表!$B:$B,U$2&amp;$R$1)</f>
        <v>0</v>
      </c>
      <c r="V120" s="142">
        <f>SUMIFS(領用表!$L:$L,領用表!$E:$E,$B120,領用表!$B:$B,V$2&amp;$R$1)</f>
        <v>0</v>
      </c>
      <c r="W120" s="142">
        <f>SUMIFS(領用表!$L:$L,領用表!$E:$E,$B120,領用表!$B:$B,W$2&amp;$R$1)</f>
        <v>0</v>
      </c>
      <c r="X120" s="142">
        <f>SUMIFS(領用表!$L:$L,領用表!$E:$E,$B120,領用表!$B:$B,X$2&amp;$R$1)</f>
        <v>0</v>
      </c>
      <c r="Y120" s="142">
        <f>SUMIFS(領用表!$L:$L,領用表!$E:$E,$B120,領用表!$B:$B,Y$2&amp;$R$1)</f>
        <v>0</v>
      </c>
      <c r="Z120" s="142">
        <f>SUMIFS(領用表!$L:$L,領用表!$E:$E,$B120,領用表!$B:$B,Z$2&amp;$R$1)</f>
        <v>0</v>
      </c>
      <c r="AA120" s="142">
        <f>SUMIFS(領用表!$L:$L,領用表!$E:$E,$B120,領用表!$B:$B,AA$2&amp;$R$1)</f>
        <v>0</v>
      </c>
      <c r="AB120" s="142">
        <f>SUMIFS(領用表!$L:$L,領用表!$E:$E,$B120,領用表!$B:$B,AB$2&amp;$R$1)</f>
        <v>0</v>
      </c>
      <c r="AC120" s="142">
        <f>SUMIFS(領用表!$L:$L,領用表!$E:$E,$B120,領用表!$B:$B,AC$2&amp;$R$1)</f>
        <v>0</v>
      </c>
      <c r="AD120" s="142">
        <f t="shared" si="16"/>
        <v>0</v>
      </c>
      <c r="AE120" s="142">
        <f t="shared" si="17"/>
        <v>0</v>
      </c>
      <c r="AF120" s="142">
        <f>SUMIF(Summary!B:B,B120,Summary!DV:DV)</f>
        <v>0</v>
      </c>
      <c r="AG120" s="109">
        <v>0</v>
      </c>
      <c r="AH120" s="65"/>
      <c r="AI120" s="65"/>
      <c r="AJ120" s="65"/>
      <c r="AK120" s="27"/>
      <c r="AL120" s="27"/>
      <c r="AM120" s="14"/>
      <c r="AN120" s="29"/>
    </row>
    <row r="121" spans="1:40" ht="15.75" customHeight="1">
      <c r="A121" s="27"/>
      <c r="B121" s="14" t="e">
        <v>#N/A</v>
      </c>
      <c r="C121" s="136" t="s">
        <v>541</v>
      </c>
      <c r="D121" s="77"/>
      <c r="E121" s="17" t="s">
        <v>145</v>
      </c>
      <c r="F121" s="18"/>
      <c r="G121" s="18"/>
      <c r="H121" s="68" t="e">
        <f>SUM(#REF!)</f>
        <v>#REF!</v>
      </c>
      <c r="I121" s="26" t="e">
        <f t="shared" si="20"/>
        <v>#REF!</v>
      </c>
      <c r="J121" s="20">
        <f>SUMIFS(領用表!$L:$L,領用表!$E:$E,$B121,領用表!$B:$B,J$2&amp;$R$1)</f>
        <v>0</v>
      </c>
      <c r="K121" s="20">
        <f>SUMIFS(領用表!$L:$L,領用表!$E:$E,$B121,領用表!$B:$B,K$2&amp;$R$1)</f>
        <v>0</v>
      </c>
      <c r="L121" s="20">
        <f>SUMIFS(領用表!$L:$L,領用表!$E:$E,$B121,領用表!$B:$B,L$2&amp;$R$1)</f>
        <v>0</v>
      </c>
      <c r="M121" s="142">
        <f>SUMIFS(領用表!$L:$L,領用表!$E:$E,$B121,領用表!$B:$B,M$2&amp;$R$1)</f>
        <v>0</v>
      </c>
      <c r="N121" s="142">
        <f>SUMIFS(領用表!$L:$L,領用表!$E:$E,$B121,領用表!$B:$B,N$2&amp;$R$1)</f>
        <v>0</v>
      </c>
      <c r="O121" s="142">
        <f>SUMIFS(領用表!$L:$L,領用表!$E:$E,$B121,領用表!$B:$B,O$2&amp;$R$1)</f>
        <v>0</v>
      </c>
      <c r="P121" s="23">
        <f t="shared" si="18"/>
        <v>0</v>
      </c>
      <c r="Q121" s="23">
        <f t="shared" si="19"/>
        <v>0</v>
      </c>
      <c r="R121" s="142">
        <f>SUMIFS(領用表!$L:$L,領用表!$E:$E,$B121,領用表!$B:$B,R$2&amp;$R$1)</f>
        <v>0</v>
      </c>
      <c r="S121" s="142">
        <f>SUMIFS(領用表!$L:$L,領用表!$E:$E,$B121,領用表!$B:$B,S$2&amp;$R$1)</f>
        <v>0</v>
      </c>
      <c r="T121" s="142">
        <f>SUMIFS(領用表!$L:$L,領用表!$E:$E,$B121,領用表!$B:$B,T$2&amp;$R$1)</f>
        <v>0</v>
      </c>
      <c r="U121" s="142">
        <f>SUMIFS(領用表!$L:$L,領用表!$E:$E,$B121,領用表!$B:$B,U$2&amp;$R$1)</f>
        <v>0</v>
      </c>
      <c r="V121" s="142">
        <f>SUMIFS(領用表!$L:$L,領用表!$E:$E,$B121,領用表!$B:$B,V$2&amp;$R$1)</f>
        <v>0</v>
      </c>
      <c r="W121" s="142">
        <f>SUMIFS(領用表!$L:$L,領用表!$E:$E,$B121,領用表!$B:$B,W$2&amp;$R$1)</f>
        <v>0</v>
      </c>
      <c r="X121" s="142">
        <f>SUMIFS(領用表!$L:$L,領用表!$E:$E,$B121,領用表!$B:$B,X$2&amp;$R$1)</f>
        <v>0</v>
      </c>
      <c r="Y121" s="142">
        <f>SUMIFS(領用表!$L:$L,領用表!$E:$E,$B121,領用表!$B:$B,Y$2&amp;$R$1)</f>
        <v>0</v>
      </c>
      <c r="Z121" s="142">
        <f>SUMIFS(領用表!$L:$L,領用表!$E:$E,$B121,領用表!$B:$B,Z$2&amp;$R$1)</f>
        <v>0</v>
      </c>
      <c r="AA121" s="142">
        <f>SUMIFS(領用表!$L:$L,領用表!$E:$E,$B121,領用表!$B:$B,AA$2&amp;$R$1)</f>
        <v>0</v>
      </c>
      <c r="AB121" s="142">
        <f>SUMIFS(領用表!$L:$L,領用表!$E:$E,$B121,領用表!$B:$B,AB$2&amp;$R$1)</f>
        <v>0</v>
      </c>
      <c r="AC121" s="142">
        <f>SUMIFS(領用表!$L:$L,領用表!$E:$E,$B121,領用表!$B:$B,AC$2&amp;$R$1)</f>
        <v>0</v>
      </c>
      <c r="AD121" s="142">
        <f t="shared" si="16"/>
        <v>0</v>
      </c>
      <c r="AE121" s="142">
        <f t="shared" si="17"/>
        <v>0</v>
      </c>
      <c r="AF121" s="142">
        <f>SUMIF(Summary!B:B,B121,Summary!DV:DV)</f>
        <v>0</v>
      </c>
      <c r="AG121" s="109">
        <v>0</v>
      </c>
      <c r="AH121" s="65"/>
      <c r="AI121" s="65"/>
      <c r="AJ121" s="65"/>
      <c r="AK121" s="27"/>
      <c r="AL121" s="27"/>
      <c r="AM121" s="14"/>
      <c r="AN121" s="29"/>
    </row>
    <row r="122" spans="1:40" ht="15.75" customHeight="1">
      <c r="A122" s="27"/>
      <c r="B122" s="14" t="e">
        <v>#N/A</v>
      </c>
      <c r="C122" s="136" t="s">
        <v>542</v>
      </c>
      <c r="D122" s="77"/>
      <c r="E122" s="17" t="s">
        <v>145</v>
      </c>
      <c r="F122" s="18"/>
      <c r="G122" s="18"/>
      <c r="H122" s="68" t="e">
        <f>SUM(#REF!)</f>
        <v>#REF!</v>
      </c>
      <c r="I122" s="26" t="e">
        <f t="shared" si="20"/>
        <v>#REF!</v>
      </c>
      <c r="J122" s="20">
        <f>SUMIFS(領用表!$L:$L,領用表!$E:$E,$B122,領用表!$B:$B,J$2&amp;$R$1)</f>
        <v>0</v>
      </c>
      <c r="K122" s="20">
        <f>SUMIFS(領用表!$L:$L,領用表!$E:$E,$B122,領用表!$B:$B,K$2&amp;$R$1)</f>
        <v>0</v>
      </c>
      <c r="L122" s="20">
        <f>SUMIFS(領用表!$L:$L,領用表!$E:$E,$B122,領用表!$B:$B,L$2&amp;$R$1)</f>
        <v>0</v>
      </c>
      <c r="M122" s="142">
        <f>SUMIFS(領用表!$L:$L,領用表!$E:$E,$B122,領用表!$B:$B,M$2&amp;$R$1)</f>
        <v>0</v>
      </c>
      <c r="N122" s="142">
        <f>SUMIFS(領用表!$L:$L,領用表!$E:$E,$B122,領用表!$B:$B,N$2&amp;$R$1)</f>
        <v>0</v>
      </c>
      <c r="O122" s="142">
        <f>SUMIFS(領用表!$L:$L,領用表!$E:$E,$B122,領用表!$B:$B,O$2&amp;$R$1)</f>
        <v>0</v>
      </c>
      <c r="P122" s="23">
        <f t="shared" si="18"/>
        <v>0</v>
      </c>
      <c r="Q122" s="23">
        <f t="shared" si="19"/>
        <v>0</v>
      </c>
      <c r="R122" s="142">
        <f>SUMIFS(領用表!$L:$L,領用表!$E:$E,$B122,領用表!$B:$B,R$2&amp;$R$1)</f>
        <v>0</v>
      </c>
      <c r="S122" s="142">
        <f>SUMIFS(領用表!$L:$L,領用表!$E:$E,$B122,領用表!$B:$B,S$2&amp;$R$1)</f>
        <v>0</v>
      </c>
      <c r="T122" s="142">
        <f>SUMIFS(領用表!$L:$L,領用表!$E:$E,$B122,領用表!$B:$B,T$2&amp;$R$1)</f>
        <v>0</v>
      </c>
      <c r="U122" s="142">
        <f>SUMIFS(領用表!$L:$L,領用表!$E:$E,$B122,領用表!$B:$B,U$2&amp;$R$1)</f>
        <v>0</v>
      </c>
      <c r="V122" s="142">
        <f>SUMIFS(領用表!$L:$L,領用表!$E:$E,$B122,領用表!$B:$B,V$2&amp;$R$1)</f>
        <v>0</v>
      </c>
      <c r="W122" s="142">
        <f>SUMIFS(領用表!$L:$L,領用表!$E:$E,$B122,領用表!$B:$B,W$2&amp;$R$1)</f>
        <v>0</v>
      </c>
      <c r="X122" s="142">
        <f>SUMIFS(領用表!$L:$L,領用表!$E:$E,$B122,領用表!$B:$B,X$2&amp;$R$1)</f>
        <v>0</v>
      </c>
      <c r="Y122" s="142">
        <f>SUMIFS(領用表!$L:$L,領用表!$E:$E,$B122,領用表!$B:$B,Y$2&amp;$R$1)</f>
        <v>0</v>
      </c>
      <c r="Z122" s="142">
        <f>SUMIFS(領用表!$L:$L,領用表!$E:$E,$B122,領用表!$B:$B,Z$2&amp;$R$1)</f>
        <v>0</v>
      </c>
      <c r="AA122" s="142">
        <f>SUMIFS(領用表!$L:$L,領用表!$E:$E,$B122,領用表!$B:$B,AA$2&amp;$R$1)</f>
        <v>0</v>
      </c>
      <c r="AB122" s="142">
        <f>SUMIFS(領用表!$L:$L,領用表!$E:$E,$B122,領用表!$B:$B,AB$2&amp;$R$1)</f>
        <v>0</v>
      </c>
      <c r="AC122" s="142">
        <f>SUMIFS(領用表!$L:$L,領用表!$E:$E,$B122,領用表!$B:$B,AC$2&amp;$R$1)</f>
        <v>0</v>
      </c>
      <c r="AD122" s="142">
        <f t="shared" si="16"/>
        <v>0</v>
      </c>
      <c r="AE122" s="142">
        <f t="shared" si="17"/>
        <v>0</v>
      </c>
      <c r="AF122" s="142">
        <f>SUMIF(Summary!B:B,B122,Summary!DV:DV)</f>
        <v>0</v>
      </c>
      <c r="AG122" s="109">
        <v>0</v>
      </c>
      <c r="AH122" s="65"/>
      <c r="AI122" s="65"/>
      <c r="AJ122" s="65"/>
      <c r="AK122" s="27"/>
      <c r="AL122" s="27"/>
      <c r="AM122" s="14"/>
      <c r="AN122" s="29"/>
    </row>
    <row r="123" spans="1:40" ht="15.75" customHeight="1">
      <c r="A123" s="27"/>
      <c r="B123" s="14" t="e">
        <v>#N/A</v>
      </c>
      <c r="C123" s="136" t="s">
        <v>543</v>
      </c>
      <c r="D123" s="77"/>
      <c r="E123" s="17" t="s">
        <v>145</v>
      </c>
      <c r="F123" s="18"/>
      <c r="G123" s="18"/>
      <c r="H123" s="68"/>
      <c r="I123" s="26"/>
      <c r="J123" s="20">
        <f>SUMIFS(領用表!$L:$L,領用表!$E:$E,$B123,領用表!$B:$B,J$2&amp;$R$1)</f>
        <v>0</v>
      </c>
      <c r="K123" s="20">
        <f>SUMIFS(領用表!$L:$L,領用表!$E:$E,$B123,領用表!$B:$B,K$2&amp;$R$1)</f>
        <v>0</v>
      </c>
      <c r="L123" s="20">
        <f>SUMIFS(領用表!$L:$L,領用表!$E:$E,$B123,領用表!$B:$B,L$2&amp;$R$1)</f>
        <v>0</v>
      </c>
      <c r="M123" s="142">
        <f>SUMIFS(領用表!$L:$L,領用表!$E:$E,$B123,領用表!$B:$B,M$2&amp;$R$1)</f>
        <v>0</v>
      </c>
      <c r="N123" s="142">
        <f>SUMIFS(領用表!$L:$L,領用表!$E:$E,$B123,領用表!$B:$B,N$2&amp;$R$1)</f>
        <v>0</v>
      </c>
      <c r="O123" s="142">
        <f>SUMIFS(領用表!$L:$L,領用表!$E:$E,$B123,領用表!$B:$B,O$2&amp;$R$1)</f>
        <v>0</v>
      </c>
      <c r="P123" s="23">
        <f t="shared" si="18"/>
        <v>0</v>
      </c>
      <c r="Q123" s="23">
        <f t="shared" si="19"/>
        <v>0</v>
      </c>
      <c r="R123" s="142">
        <f>SUMIFS(領用表!$L:$L,領用表!$E:$E,$B123,領用表!$B:$B,R$2&amp;$R$1)</f>
        <v>0</v>
      </c>
      <c r="S123" s="142">
        <f>SUMIFS(領用表!$L:$L,領用表!$E:$E,$B123,領用表!$B:$B,S$2&amp;$R$1)</f>
        <v>0</v>
      </c>
      <c r="T123" s="142">
        <f>SUMIFS(領用表!$L:$L,領用表!$E:$E,$B123,領用表!$B:$B,T$2&amp;$R$1)</f>
        <v>0</v>
      </c>
      <c r="U123" s="142">
        <f>SUMIFS(領用表!$L:$L,領用表!$E:$E,$B123,領用表!$B:$B,U$2&amp;$R$1)</f>
        <v>0</v>
      </c>
      <c r="V123" s="142">
        <f>SUMIFS(領用表!$L:$L,領用表!$E:$E,$B123,領用表!$B:$B,V$2&amp;$R$1)</f>
        <v>0</v>
      </c>
      <c r="W123" s="142">
        <f>SUMIFS(領用表!$L:$L,領用表!$E:$E,$B123,領用表!$B:$B,W$2&amp;$R$1)</f>
        <v>0</v>
      </c>
      <c r="X123" s="142">
        <f>SUMIFS(領用表!$L:$L,領用表!$E:$E,$B123,領用表!$B:$B,X$2&amp;$R$1)</f>
        <v>0</v>
      </c>
      <c r="Y123" s="142">
        <f>SUMIFS(領用表!$L:$L,領用表!$E:$E,$B123,領用表!$B:$B,Y$2&amp;$R$1)</f>
        <v>0</v>
      </c>
      <c r="Z123" s="142">
        <f>SUMIFS(領用表!$L:$L,領用表!$E:$E,$B123,領用表!$B:$B,Z$2&amp;$R$1)</f>
        <v>0</v>
      </c>
      <c r="AA123" s="142">
        <f>SUMIFS(領用表!$L:$L,領用表!$E:$E,$B123,領用表!$B:$B,AA$2&amp;$R$1)</f>
        <v>0</v>
      </c>
      <c r="AB123" s="142">
        <f>SUMIFS(領用表!$L:$L,領用表!$E:$E,$B123,領用表!$B:$B,AB$2&amp;$R$1)</f>
        <v>0</v>
      </c>
      <c r="AC123" s="142">
        <f>SUMIFS(領用表!$L:$L,領用表!$E:$E,$B123,領用表!$B:$B,AC$2&amp;$R$1)</f>
        <v>0</v>
      </c>
      <c r="AD123" s="142">
        <f t="shared" si="16"/>
        <v>0</v>
      </c>
      <c r="AE123" s="142">
        <f t="shared" si="17"/>
        <v>0</v>
      </c>
      <c r="AF123" s="142">
        <f>SUMIF(Summary!B:B,B123,Summary!DV:DV)</f>
        <v>0</v>
      </c>
      <c r="AG123" s="109">
        <v>0</v>
      </c>
      <c r="AH123" s="65"/>
      <c r="AI123" s="65"/>
      <c r="AJ123" s="65"/>
      <c r="AK123" s="27"/>
      <c r="AL123" s="27"/>
      <c r="AM123" s="14"/>
      <c r="AN123" s="29"/>
    </row>
    <row r="124" spans="1:40" ht="15.75" customHeight="1">
      <c r="A124" s="27"/>
      <c r="B124" s="14" t="e">
        <v>#N/A</v>
      </c>
      <c r="C124" s="136" t="s">
        <v>544</v>
      </c>
      <c r="D124" s="77"/>
      <c r="E124" s="17" t="s">
        <v>145</v>
      </c>
      <c r="F124" s="18"/>
      <c r="G124" s="18"/>
      <c r="H124" s="68"/>
      <c r="I124" s="26"/>
      <c r="J124" s="20">
        <f>SUMIFS(領用表!$L:$L,領用表!$E:$E,$B124,領用表!$B:$B,J$2&amp;$R$1)</f>
        <v>0</v>
      </c>
      <c r="K124" s="20">
        <f>SUMIFS(領用表!$L:$L,領用表!$E:$E,$B124,領用表!$B:$B,K$2&amp;$R$1)</f>
        <v>0</v>
      </c>
      <c r="L124" s="20">
        <f>SUMIFS(領用表!$L:$L,領用表!$E:$E,$B124,領用表!$B:$B,L$2&amp;$R$1)</f>
        <v>0</v>
      </c>
      <c r="M124" s="142">
        <f>SUMIFS(領用表!$L:$L,領用表!$E:$E,$B124,領用表!$B:$B,M$2&amp;$R$1)</f>
        <v>0</v>
      </c>
      <c r="N124" s="142">
        <f>SUMIFS(領用表!$L:$L,領用表!$E:$E,$B124,領用表!$B:$B,N$2&amp;$R$1)</f>
        <v>0</v>
      </c>
      <c r="O124" s="142">
        <f>SUMIFS(領用表!$L:$L,領用表!$E:$E,$B124,領用表!$B:$B,O$2&amp;$R$1)</f>
        <v>0</v>
      </c>
      <c r="P124" s="23">
        <f t="shared" si="18"/>
        <v>0</v>
      </c>
      <c r="Q124" s="23">
        <f t="shared" si="19"/>
        <v>0</v>
      </c>
      <c r="R124" s="142">
        <f>SUMIFS(領用表!$L:$L,領用表!$E:$E,$B124,領用表!$B:$B,R$2&amp;$R$1)</f>
        <v>0</v>
      </c>
      <c r="S124" s="142">
        <f>SUMIFS(領用表!$L:$L,領用表!$E:$E,$B124,領用表!$B:$B,S$2&amp;$R$1)</f>
        <v>0</v>
      </c>
      <c r="T124" s="142">
        <f>SUMIFS(領用表!$L:$L,領用表!$E:$E,$B124,領用表!$B:$B,T$2&amp;$R$1)</f>
        <v>0</v>
      </c>
      <c r="U124" s="142">
        <f>SUMIFS(領用表!$L:$L,領用表!$E:$E,$B124,領用表!$B:$B,U$2&amp;$R$1)</f>
        <v>0</v>
      </c>
      <c r="V124" s="142">
        <f>SUMIFS(領用表!$L:$L,領用表!$E:$E,$B124,領用表!$B:$B,V$2&amp;$R$1)</f>
        <v>0</v>
      </c>
      <c r="W124" s="142">
        <f>SUMIFS(領用表!$L:$L,領用表!$E:$E,$B124,領用表!$B:$B,W$2&amp;$R$1)</f>
        <v>0</v>
      </c>
      <c r="X124" s="142">
        <f>SUMIFS(領用表!$L:$L,領用表!$E:$E,$B124,領用表!$B:$B,X$2&amp;$R$1)</f>
        <v>0</v>
      </c>
      <c r="Y124" s="142">
        <f>SUMIFS(領用表!$L:$L,領用表!$E:$E,$B124,領用表!$B:$B,Y$2&amp;$R$1)</f>
        <v>0</v>
      </c>
      <c r="Z124" s="142">
        <f>SUMIFS(領用表!$L:$L,領用表!$E:$E,$B124,領用表!$B:$B,Z$2&amp;$R$1)</f>
        <v>0</v>
      </c>
      <c r="AA124" s="142">
        <f>SUMIFS(領用表!$L:$L,領用表!$E:$E,$B124,領用表!$B:$B,AA$2&amp;$R$1)</f>
        <v>0</v>
      </c>
      <c r="AB124" s="142">
        <f>SUMIFS(領用表!$L:$L,領用表!$E:$E,$B124,領用表!$B:$B,AB$2&amp;$R$1)</f>
        <v>0</v>
      </c>
      <c r="AC124" s="142">
        <f>SUMIFS(領用表!$L:$L,領用表!$E:$E,$B124,領用表!$B:$B,AC$2&amp;$R$1)</f>
        <v>0</v>
      </c>
      <c r="AD124" s="142">
        <f t="shared" si="16"/>
        <v>0</v>
      </c>
      <c r="AE124" s="142">
        <f t="shared" si="17"/>
        <v>0</v>
      </c>
      <c r="AF124" s="142">
        <f>SUMIF(Summary!B:B,B124,Summary!DV:DV)</f>
        <v>0</v>
      </c>
      <c r="AG124" s="109">
        <v>0</v>
      </c>
      <c r="AH124" s="65"/>
      <c r="AI124" s="65"/>
      <c r="AJ124" s="65"/>
      <c r="AK124" s="27"/>
      <c r="AL124" s="27"/>
      <c r="AM124" s="14"/>
      <c r="AN124" s="29"/>
    </row>
    <row r="125" spans="1:40" ht="15.75" customHeight="1">
      <c r="A125" s="27"/>
      <c r="B125" s="14" t="e">
        <v>#N/A</v>
      </c>
      <c r="C125" s="136" t="s">
        <v>545</v>
      </c>
      <c r="D125" s="77"/>
      <c r="E125" s="17" t="s">
        <v>145</v>
      </c>
      <c r="F125" s="18"/>
      <c r="G125" s="18"/>
      <c r="H125" s="68"/>
      <c r="I125" s="26"/>
      <c r="J125" s="20">
        <f>SUMIFS(領用表!$L:$L,領用表!$E:$E,$B125,領用表!$B:$B,J$2&amp;$R$1)</f>
        <v>0</v>
      </c>
      <c r="K125" s="20">
        <f>SUMIFS(領用表!$L:$L,領用表!$E:$E,$B125,領用表!$B:$B,K$2&amp;$R$1)</f>
        <v>0</v>
      </c>
      <c r="L125" s="20">
        <f>SUMIFS(領用表!$L:$L,領用表!$E:$E,$B125,領用表!$B:$B,L$2&amp;$R$1)</f>
        <v>0</v>
      </c>
      <c r="M125" s="142">
        <f>SUMIFS(領用表!$L:$L,領用表!$E:$E,$B125,領用表!$B:$B,M$2&amp;$R$1)</f>
        <v>0</v>
      </c>
      <c r="N125" s="142">
        <f>SUMIFS(領用表!$L:$L,領用表!$E:$E,$B125,領用表!$B:$B,N$2&amp;$R$1)</f>
        <v>0</v>
      </c>
      <c r="O125" s="142">
        <f>SUMIFS(領用表!$L:$L,領用表!$E:$E,$B125,領用表!$B:$B,O$2&amp;$R$1)</f>
        <v>0</v>
      </c>
      <c r="P125" s="23">
        <f t="shared" si="18"/>
        <v>0</v>
      </c>
      <c r="Q125" s="23">
        <f t="shared" si="19"/>
        <v>0</v>
      </c>
      <c r="R125" s="142">
        <f>SUMIFS(領用表!$L:$L,領用表!$E:$E,$B125,領用表!$B:$B,R$2&amp;$R$1)</f>
        <v>0</v>
      </c>
      <c r="S125" s="142">
        <f>SUMIFS(領用表!$L:$L,領用表!$E:$E,$B125,領用表!$B:$B,S$2&amp;$R$1)</f>
        <v>0</v>
      </c>
      <c r="T125" s="142">
        <f>SUMIFS(領用表!$L:$L,領用表!$E:$E,$B125,領用表!$B:$B,T$2&amp;$R$1)</f>
        <v>0</v>
      </c>
      <c r="U125" s="142">
        <f>SUMIFS(領用表!$L:$L,領用表!$E:$E,$B125,領用表!$B:$B,U$2&amp;$R$1)</f>
        <v>0</v>
      </c>
      <c r="V125" s="142">
        <f>SUMIFS(領用表!$L:$L,領用表!$E:$E,$B125,領用表!$B:$B,V$2&amp;$R$1)</f>
        <v>0</v>
      </c>
      <c r="W125" s="142">
        <f>SUMIFS(領用表!$L:$L,領用表!$E:$E,$B125,領用表!$B:$B,W$2&amp;$R$1)</f>
        <v>0</v>
      </c>
      <c r="X125" s="142">
        <f>SUMIFS(領用表!$L:$L,領用表!$E:$E,$B125,領用表!$B:$B,X$2&amp;$R$1)</f>
        <v>0</v>
      </c>
      <c r="Y125" s="142">
        <f>SUMIFS(領用表!$L:$L,領用表!$E:$E,$B125,領用表!$B:$B,Y$2&amp;$R$1)</f>
        <v>0</v>
      </c>
      <c r="Z125" s="142">
        <f>SUMIFS(領用表!$L:$L,領用表!$E:$E,$B125,領用表!$B:$B,Z$2&amp;$R$1)</f>
        <v>0</v>
      </c>
      <c r="AA125" s="142">
        <f>SUMIFS(領用表!$L:$L,領用表!$E:$E,$B125,領用表!$B:$B,AA$2&amp;$R$1)</f>
        <v>0</v>
      </c>
      <c r="AB125" s="142">
        <f>SUMIFS(領用表!$L:$L,領用表!$E:$E,$B125,領用表!$B:$B,AB$2&amp;$R$1)</f>
        <v>0</v>
      </c>
      <c r="AC125" s="142">
        <f>SUMIFS(領用表!$L:$L,領用表!$E:$E,$B125,領用表!$B:$B,AC$2&amp;$R$1)</f>
        <v>0</v>
      </c>
      <c r="AD125" s="142">
        <f t="shared" si="16"/>
        <v>0</v>
      </c>
      <c r="AE125" s="142">
        <f t="shared" si="17"/>
        <v>0</v>
      </c>
      <c r="AF125" s="142">
        <f>SUMIF(Summary!B:B,B125,Summary!DV:DV)</f>
        <v>0</v>
      </c>
      <c r="AG125" s="109">
        <v>0</v>
      </c>
      <c r="AH125" s="65"/>
      <c r="AI125" s="65"/>
      <c r="AJ125" s="65"/>
      <c r="AK125" s="27"/>
      <c r="AL125" s="27"/>
      <c r="AM125" s="14"/>
      <c r="AN125" s="29"/>
    </row>
    <row r="126" spans="1:40" ht="15.75" customHeight="1">
      <c r="A126" s="27"/>
      <c r="B126" s="14" t="e">
        <v>#N/A</v>
      </c>
      <c r="C126" s="136" t="s">
        <v>546</v>
      </c>
      <c r="D126" s="77"/>
      <c r="E126" s="17" t="s">
        <v>145</v>
      </c>
      <c r="F126" s="18"/>
      <c r="G126" s="18"/>
      <c r="H126" s="68"/>
      <c r="I126" s="26"/>
      <c r="J126" s="20">
        <f>SUMIFS(領用表!$L:$L,領用表!$E:$E,$B126,領用表!$B:$B,J$2&amp;$R$1)</f>
        <v>0</v>
      </c>
      <c r="K126" s="20">
        <f>SUMIFS(領用表!$L:$L,領用表!$E:$E,$B126,領用表!$B:$B,K$2&amp;$R$1)</f>
        <v>0</v>
      </c>
      <c r="L126" s="20">
        <f>SUMIFS(領用表!$L:$L,領用表!$E:$E,$B126,領用表!$B:$B,L$2&amp;$R$1)</f>
        <v>0</v>
      </c>
      <c r="M126" s="142">
        <f>SUMIFS(領用表!$L:$L,領用表!$E:$E,$B126,領用表!$B:$B,M$2&amp;$R$1)</f>
        <v>0</v>
      </c>
      <c r="N126" s="142">
        <f>SUMIFS(領用表!$L:$L,領用表!$E:$E,$B126,領用表!$B:$B,N$2&amp;$R$1)</f>
        <v>0</v>
      </c>
      <c r="O126" s="142">
        <f>SUMIFS(領用表!$L:$L,領用表!$E:$E,$B126,領用表!$B:$B,O$2&amp;$R$1)</f>
        <v>0</v>
      </c>
      <c r="P126" s="23">
        <f t="shared" si="18"/>
        <v>0</v>
      </c>
      <c r="Q126" s="23">
        <f t="shared" si="19"/>
        <v>0</v>
      </c>
      <c r="R126" s="142">
        <f>SUMIFS(領用表!$L:$L,領用表!$E:$E,$B126,領用表!$B:$B,R$2&amp;$R$1)</f>
        <v>0</v>
      </c>
      <c r="S126" s="142">
        <f>SUMIFS(領用表!$L:$L,領用表!$E:$E,$B126,領用表!$B:$B,S$2&amp;$R$1)</f>
        <v>0</v>
      </c>
      <c r="T126" s="142">
        <f>SUMIFS(領用表!$L:$L,領用表!$E:$E,$B126,領用表!$B:$B,T$2&amp;$R$1)</f>
        <v>0</v>
      </c>
      <c r="U126" s="142">
        <f>SUMIFS(領用表!$L:$L,領用表!$E:$E,$B126,領用表!$B:$B,U$2&amp;$R$1)</f>
        <v>0</v>
      </c>
      <c r="V126" s="142">
        <f>SUMIFS(領用表!$L:$L,領用表!$E:$E,$B126,領用表!$B:$B,V$2&amp;$R$1)</f>
        <v>0</v>
      </c>
      <c r="W126" s="142">
        <f>SUMIFS(領用表!$L:$L,領用表!$E:$E,$B126,領用表!$B:$B,W$2&amp;$R$1)</f>
        <v>0</v>
      </c>
      <c r="X126" s="142">
        <f>SUMIFS(領用表!$L:$L,領用表!$E:$E,$B126,領用表!$B:$B,X$2&amp;$R$1)</f>
        <v>0</v>
      </c>
      <c r="Y126" s="142">
        <f>SUMIFS(領用表!$L:$L,領用表!$E:$E,$B126,領用表!$B:$B,Y$2&amp;$R$1)</f>
        <v>0</v>
      </c>
      <c r="Z126" s="142">
        <f>SUMIFS(領用表!$L:$L,領用表!$E:$E,$B126,領用表!$B:$B,Z$2&amp;$R$1)</f>
        <v>0</v>
      </c>
      <c r="AA126" s="142">
        <f>SUMIFS(領用表!$L:$L,領用表!$E:$E,$B126,領用表!$B:$B,AA$2&amp;$R$1)</f>
        <v>0</v>
      </c>
      <c r="AB126" s="142">
        <f>SUMIFS(領用表!$L:$L,領用表!$E:$E,$B126,領用表!$B:$B,AB$2&amp;$R$1)</f>
        <v>0</v>
      </c>
      <c r="AC126" s="142">
        <f>SUMIFS(領用表!$L:$L,領用表!$E:$E,$B126,領用表!$B:$B,AC$2&amp;$R$1)</f>
        <v>0</v>
      </c>
      <c r="AD126" s="142">
        <f t="shared" si="16"/>
        <v>0</v>
      </c>
      <c r="AE126" s="142">
        <f t="shared" si="17"/>
        <v>0</v>
      </c>
      <c r="AF126" s="142">
        <f>SUMIF(Summary!B:B,B126,Summary!DV:DV)</f>
        <v>0</v>
      </c>
      <c r="AG126" s="109">
        <v>0</v>
      </c>
      <c r="AH126" s="65"/>
      <c r="AI126" s="65"/>
      <c r="AJ126" s="65"/>
      <c r="AK126" s="27"/>
      <c r="AL126" s="27"/>
      <c r="AM126" s="14"/>
      <c r="AN126" s="29"/>
    </row>
    <row r="127" spans="1:40" s="172" customFormat="1" ht="15.75" customHeight="1">
      <c r="A127" s="173"/>
      <c r="B127" s="173"/>
      <c r="C127" s="163"/>
      <c r="D127" s="174"/>
      <c r="E127" s="175"/>
      <c r="F127" s="176"/>
      <c r="G127" s="176"/>
      <c r="H127" s="177"/>
      <c r="I127" s="177"/>
      <c r="J127" s="162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77"/>
      <c r="AJ127" s="177"/>
      <c r="AK127" s="173"/>
      <c r="AL127" s="173"/>
      <c r="AM127" s="170"/>
      <c r="AN127" s="170"/>
    </row>
    <row r="128" spans="1:40" ht="15.75" customHeight="1">
      <c r="A128" s="27" t="s">
        <v>168</v>
      </c>
      <c r="B128" s="14">
        <v>6090001</v>
      </c>
      <c r="C128" s="136" t="s">
        <v>547</v>
      </c>
      <c r="D128" s="77"/>
      <c r="E128" s="17" t="s">
        <v>15</v>
      </c>
      <c r="F128" s="70"/>
      <c r="G128" s="18"/>
      <c r="H128" s="68" t="e">
        <f>SUM(#REF!)</f>
        <v>#REF!</v>
      </c>
      <c r="I128" s="26" t="e">
        <f>H128/12</f>
        <v>#REF!</v>
      </c>
      <c r="J128" s="20">
        <f>SUMIFS(領用表!$L:$L,領用表!$E:$E,$B128,領用表!$B:$B,J$2&amp;$R$1)</f>
        <v>0</v>
      </c>
      <c r="K128" s="20">
        <f>SUMIFS(領用表!$L:$L,領用表!$E:$E,$B128,領用表!$B:$B,K$2&amp;$R$1)</f>
        <v>0</v>
      </c>
      <c r="L128" s="20">
        <f>SUMIFS(領用表!$L:$L,領用表!$E:$E,$B128,領用表!$B:$B,L$2&amp;$R$1)</f>
        <v>0</v>
      </c>
      <c r="M128" s="142">
        <f>SUMIFS(領用表!$L:$L,領用表!$E:$E,$B128,領用表!$B:$B,M$2&amp;$R$1)</f>
        <v>0</v>
      </c>
      <c r="N128" s="142">
        <f>SUMIFS(領用表!$L:$L,領用表!$E:$E,$B128,領用表!$B:$B,N$2&amp;$R$1)</f>
        <v>0</v>
      </c>
      <c r="O128" s="142">
        <f>SUMIFS(領用表!$L:$L,領用表!$E:$E,$B128,領用表!$B:$B,O$2&amp;$R$1)</f>
        <v>0</v>
      </c>
      <c r="P128" s="23">
        <f t="shared" si="18"/>
        <v>0</v>
      </c>
      <c r="Q128" s="23">
        <f t="shared" si="19"/>
        <v>0</v>
      </c>
      <c r="R128" s="142">
        <f>SUMIFS(領用表!$L:$L,領用表!$E:$E,$B128,領用表!$B:$B,R$2&amp;$R$1)</f>
        <v>0</v>
      </c>
      <c r="S128" s="142">
        <f>SUMIFS(領用表!$L:$L,領用表!$E:$E,$B128,領用表!$B:$B,S$2&amp;$R$1)</f>
        <v>0</v>
      </c>
      <c r="T128" s="142">
        <f>SUMIFS(領用表!$L:$L,領用表!$E:$E,$B128,領用表!$B:$B,T$2&amp;$R$1)</f>
        <v>0</v>
      </c>
      <c r="U128" s="142">
        <f>SUMIFS(領用表!$L:$L,領用表!$E:$E,$B128,領用表!$B:$B,U$2&amp;$R$1)</f>
        <v>0</v>
      </c>
      <c r="V128" s="142">
        <f>SUMIFS(領用表!$L:$L,領用表!$E:$E,$B128,領用表!$B:$B,V$2&amp;$R$1)</f>
        <v>0</v>
      </c>
      <c r="W128" s="142">
        <f>SUMIFS(領用表!$L:$L,領用表!$E:$E,$B128,領用表!$B:$B,W$2&amp;$R$1)</f>
        <v>0</v>
      </c>
      <c r="X128" s="142">
        <f>SUMIFS(領用表!$L:$L,領用表!$E:$E,$B128,領用表!$B:$B,X$2&amp;$R$1)</f>
        <v>0</v>
      </c>
      <c r="Y128" s="142">
        <f>SUMIFS(領用表!$L:$L,領用表!$E:$E,$B128,領用表!$B:$B,Y$2&amp;$R$1)</f>
        <v>0</v>
      </c>
      <c r="Z128" s="142">
        <f>SUMIFS(領用表!$L:$L,領用表!$E:$E,$B128,領用表!$B:$B,Z$2&amp;$R$1)</f>
        <v>0</v>
      </c>
      <c r="AA128" s="142">
        <f>SUMIFS(領用表!$L:$L,領用表!$E:$E,$B128,領用表!$B:$B,AA$2&amp;$R$1)</f>
        <v>0</v>
      </c>
      <c r="AB128" s="142">
        <f>SUMIFS(領用表!$L:$L,領用表!$E:$E,$B128,領用表!$B:$B,AB$2&amp;$R$1)</f>
        <v>0</v>
      </c>
      <c r="AC128" s="142">
        <f>SUMIFS(領用表!$L:$L,領用表!$E:$E,$B128,領用表!$B:$B,AC$2&amp;$R$1)</f>
        <v>0</v>
      </c>
      <c r="AD128" s="142">
        <f t="shared" ref="AD128:AD186" si="26">SUM(R128:AC128)</f>
        <v>0</v>
      </c>
      <c r="AE128" s="142">
        <f t="shared" ref="AE128:AE188" si="27">AVERAGE(R128,S128,T128,U128,V128)</f>
        <v>0</v>
      </c>
      <c r="AF128" s="142">
        <f>SUMIF(Summary!B:B,B128,Summary!DV:DV)</f>
        <v>0</v>
      </c>
      <c r="AG128" s="109">
        <v>20</v>
      </c>
      <c r="AH128" s="76"/>
      <c r="AI128" s="76"/>
      <c r="AJ128" s="76"/>
      <c r="AK128" s="27" t="s">
        <v>169</v>
      </c>
      <c r="AL128" s="27"/>
      <c r="AM128" s="14"/>
      <c r="AN128" s="14"/>
    </row>
    <row r="129" spans="1:40" ht="15.75" customHeight="1">
      <c r="A129" s="78" t="s">
        <v>170</v>
      </c>
      <c r="B129" s="14">
        <v>6050006</v>
      </c>
      <c r="C129" s="136" t="s">
        <v>548</v>
      </c>
      <c r="D129" s="77"/>
      <c r="E129" s="17" t="s">
        <v>15</v>
      </c>
      <c r="F129" s="70"/>
      <c r="G129" s="18">
        <v>87</v>
      </c>
      <c r="H129" s="64" t="s">
        <v>49</v>
      </c>
      <c r="I129" s="64" t="s">
        <v>49</v>
      </c>
      <c r="J129" s="20">
        <f>SUMIFS(領用表!$L:$L,領用表!$E:$E,$B129,領用表!$B:$B,J$2&amp;$R$1)</f>
        <v>0</v>
      </c>
      <c r="K129" s="20">
        <f>SUMIFS(領用表!$L:$L,領用表!$E:$E,$B129,領用表!$B:$B,K$2&amp;$R$1)</f>
        <v>0</v>
      </c>
      <c r="L129" s="20">
        <f>SUMIFS(領用表!$L:$L,領用表!$E:$E,$B129,領用表!$B:$B,L$2&amp;$R$1)</f>
        <v>0</v>
      </c>
      <c r="M129" s="142">
        <f>SUMIFS(領用表!$L:$L,領用表!$E:$E,$B129,領用表!$B:$B,M$2&amp;$R$1)</f>
        <v>0</v>
      </c>
      <c r="N129" s="142">
        <f>SUMIFS(領用表!$L:$L,領用表!$E:$E,$B129,領用表!$B:$B,N$2&amp;$R$1)</f>
        <v>0</v>
      </c>
      <c r="O129" s="142">
        <f>SUMIFS(領用表!$L:$L,領用表!$E:$E,$B129,領用表!$B:$B,O$2&amp;$R$1)</f>
        <v>0</v>
      </c>
      <c r="P129" s="23">
        <f t="shared" si="18"/>
        <v>0</v>
      </c>
      <c r="Q129" s="23">
        <f t="shared" si="19"/>
        <v>0</v>
      </c>
      <c r="R129" s="142">
        <f>SUMIFS(領用表!$L:$L,領用表!$E:$E,$B129,領用表!$B:$B,R$2&amp;$R$1)</f>
        <v>0</v>
      </c>
      <c r="S129" s="405">
        <f>SUMIFS(領用表!$L:$L,領用表!$E:$E,$B129,領用表!$B:$B,S$2&amp;$R$1)</f>
        <v>0</v>
      </c>
      <c r="T129" s="405">
        <f>SUMIFS(領用表!$L:$L,領用表!$E:$E,$B129,領用表!$B:$B,T$2&amp;$R$1)</f>
        <v>0</v>
      </c>
      <c r="U129" s="405">
        <f>SUMIFS(領用表!$L:$L,領用表!$E:$E,$B129,領用表!$B:$B,U$2&amp;$R$1)</f>
        <v>0</v>
      </c>
      <c r="V129" s="405">
        <f>SUMIFS(領用表!$L:$L,領用表!$E:$E,$B129,領用表!$B:$B,V$2&amp;$R$1)</f>
        <v>15</v>
      </c>
      <c r="W129" s="405">
        <f>SUMIFS(領用表!$L:$L,領用表!$E:$E,$B129,領用表!$B:$B,W$2&amp;$R$1)</f>
        <v>0</v>
      </c>
      <c r="X129" s="405">
        <f>SUMIFS(領用表!$L:$L,領用表!$E:$E,$B129,領用表!$B:$B,X$2&amp;$R$1)</f>
        <v>0</v>
      </c>
      <c r="Y129" s="405">
        <f>SUMIFS(領用表!$L:$L,領用表!$E:$E,$B129,領用表!$B:$B,Y$2&amp;$R$1)</f>
        <v>0</v>
      </c>
      <c r="Z129" s="405">
        <f>SUMIFS(領用表!$L:$L,領用表!$E:$E,$B129,領用表!$B:$B,Z$2&amp;$R$1)</f>
        <v>0</v>
      </c>
      <c r="AA129" s="405">
        <f>SUMIFS(領用表!$L:$L,領用表!$E:$E,$B129,領用表!$B:$B,AA$2&amp;$R$1)</f>
        <v>0</v>
      </c>
      <c r="AB129" s="405">
        <f>SUMIFS(領用表!$L:$L,領用表!$E:$E,$B129,領用表!$B:$B,AB$2&amp;$R$1)</f>
        <v>0</v>
      </c>
      <c r="AC129" s="405">
        <f>SUMIFS(領用表!$L:$L,領用表!$E:$E,$B129,領用表!$B:$B,AC$2&amp;$R$1)</f>
        <v>0</v>
      </c>
      <c r="AD129" s="405">
        <f t="shared" si="26"/>
        <v>15</v>
      </c>
      <c r="AE129" s="405">
        <f t="shared" si="27"/>
        <v>3</v>
      </c>
      <c r="AF129" s="405">
        <f>SUMIF(Summary!B:B,B129,Summary!DV:DV)</f>
        <v>0</v>
      </c>
      <c r="AG129" s="110">
        <v>8</v>
      </c>
      <c r="AH129" s="80"/>
      <c r="AI129" s="76"/>
      <c r="AJ129" s="76"/>
    </row>
    <row r="130" spans="1:40" ht="15.75" hidden="1" customHeight="1">
      <c r="A130" s="27" t="s">
        <v>171</v>
      </c>
      <c r="B130" s="14" t="e">
        <v>#N/A</v>
      </c>
      <c r="C130" s="136" t="s">
        <v>549</v>
      </c>
      <c r="D130" s="77"/>
      <c r="E130" s="17" t="s">
        <v>15</v>
      </c>
      <c r="F130" s="70"/>
      <c r="G130" s="18"/>
      <c r="H130" s="68" t="e">
        <f>SUM(#REF!)</f>
        <v>#REF!</v>
      </c>
      <c r="I130" s="26" t="e">
        <f>H130/12</f>
        <v>#REF!</v>
      </c>
      <c r="J130" s="20">
        <f>SUMIFS(領用表!$L:$L,領用表!$E:$E,$B130,領用表!$B:$B,J$2&amp;$R$1)</f>
        <v>0</v>
      </c>
      <c r="K130" s="20">
        <f>SUMIFS(領用表!$L:$L,領用表!$E:$E,$B130,領用表!$B:$B,K$2&amp;$R$1)</f>
        <v>0</v>
      </c>
      <c r="L130" s="20">
        <f>SUMIFS(領用表!$L:$L,領用表!$E:$E,$B130,領用表!$B:$B,L$2&amp;$R$1)</f>
        <v>0</v>
      </c>
      <c r="M130" s="142">
        <f>SUMIFS(領用表!$L:$L,領用表!$E:$E,$B130,領用表!$B:$B,M$2&amp;$R$1)</f>
        <v>0</v>
      </c>
      <c r="N130" s="142">
        <f>SUMIFS(領用表!$L:$L,領用表!$E:$E,$B130,領用表!$B:$B,N$2&amp;$R$1)</f>
        <v>0</v>
      </c>
      <c r="O130" s="142">
        <f>SUMIFS(領用表!$L:$L,領用表!$E:$E,$B130,領用表!$B:$B,O$2&amp;$R$1)</f>
        <v>0</v>
      </c>
      <c r="P130" s="23">
        <f t="shared" si="18"/>
        <v>0</v>
      </c>
      <c r="Q130" s="23">
        <f t="shared" si="19"/>
        <v>0</v>
      </c>
      <c r="R130" s="142">
        <f>SUMIFS(領用表!$L:$L,領用表!$E:$E,$B130,領用表!$B:$B,R$2&amp;$R$1)</f>
        <v>0</v>
      </c>
      <c r="S130" s="142">
        <f>SUMIFS(領用表!$L:$L,領用表!$E:$E,$B130,領用表!$B:$B,S$2&amp;$R$1)</f>
        <v>0</v>
      </c>
      <c r="T130" s="142">
        <f>SUMIFS(領用表!$L:$L,領用表!$E:$E,$B130,領用表!$B:$B,T$2&amp;$R$1)</f>
        <v>0</v>
      </c>
      <c r="U130" s="142">
        <f>SUMIFS(領用表!$L:$L,領用表!$E:$E,$B130,領用表!$B:$B,U$2&amp;$R$1)</f>
        <v>0</v>
      </c>
      <c r="V130" s="142">
        <f>SUMIFS(領用表!$L:$L,領用表!$E:$E,$B130,領用表!$B:$B,V$2&amp;$R$1)</f>
        <v>0</v>
      </c>
      <c r="W130" s="142">
        <f>SUMIFS(領用表!$L:$L,領用表!$E:$E,$B130,領用表!$B:$B,W$2&amp;$R$1)</f>
        <v>0</v>
      </c>
      <c r="X130" s="142">
        <f>SUMIFS(領用表!$L:$L,領用表!$E:$E,$B130,領用表!$B:$B,X$2&amp;$R$1)</f>
        <v>0</v>
      </c>
      <c r="Y130" s="142">
        <f>SUMIFS(領用表!$L:$L,領用表!$E:$E,$B130,領用表!$B:$B,Y$2&amp;$R$1)</f>
        <v>0</v>
      </c>
      <c r="Z130" s="142">
        <f>SUMIFS(領用表!$L:$L,領用表!$E:$E,$B130,領用表!$B:$B,Z$2&amp;$R$1)</f>
        <v>0</v>
      </c>
      <c r="AA130" s="142">
        <f>SUMIFS(領用表!$L:$L,領用表!$E:$E,$B130,領用表!$B:$B,AA$2&amp;$R$1)</f>
        <v>0</v>
      </c>
      <c r="AB130" s="142">
        <f>SUMIFS(領用表!$L:$L,領用表!$E:$E,$B130,領用表!$B:$B,AB$2&amp;$R$1)</f>
        <v>0</v>
      </c>
      <c r="AC130" s="142">
        <f>SUMIFS(領用表!$L:$L,領用表!$E:$E,$B130,領用表!$B:$B,AC$2&amp;$R$1)</f>
        <v>0</v>
      </c>
      <c r="AD130" s="142">
        <f t="shared" si="26"/>
        <v>0</v>
      </c>
      <c r="AE130" s="142">
        <f t="shared" si="27"/>
        <v>0</v>
      </c>
      <c r="AF130" s="142">
        <f>SUMIF(Summary!B:B,B130,Summary!DV:DV)</f>
        <v>0</v>
      </c>
      <c r="AG130" s="109"/>
      <c r="AH130" s="65"/>
      <c r="AI130" s="76"/>
      <c r="AJ130" s="76"/>
      <c r="AK130" s="27"/>
      <c r="AL130" s="27"/>
      <c r="AM130" s="14"/>
      <c r="AN130" s="14"/>
    </row>
    <row r="131" spans="1:40" ht="15.75" hidden="1" customHeight="1">
      <c r="A131" s="27" t="s">
        <v>172</v>
      </c>
      <c r="B131" s="14">
        <v>6050005</v>
      </c>
      <c r="C131" s="136" t="s">
        <v>550</v>
      </c>
      <c r="D131" s="77"/>
      <c r="E131" s="17" t="s">
        <v>15</v>
      </c>
      <c r="F131" s="70"/>
      <c r="G131" s="18"/>
      <c r="H131" s="68" t="e">
        <f>SUM(#REF!)</f>
        <v>#REF!</v>
      </c>
      <c r="I131" s="26" t="e">
        <f>H131/12</f>
        <v>#REF!</v>
      </c>
      <c r="J131" s="20">
        <f>SUMIFS(領用表!$L:$L,領用表!$E:$E,$B131,領用表!$B:$B,J$2&amp;$R$1)</f>
        <v>0</v>
      </c>
      <c r="K131" s="20">
        <f>SUMIFS(領用表!$L:$L,領用表!$E:$E,$B131,領用表!$B:$B,K$2&amp;$R$1)</f>
        <v>0</v>
      </c>
      <c r="L131" s="20">
        <f>SUMIFS(領用表!$L:$L,領用表!$E:$E,$B131,領用表!$B:$B,L$2&amp;$R$1)</f>
        <v>0</v>
      </c>
      <c r="M131" s="142">
        <f>SUMIFS(領用表!$L:$L,領用表!$E:$E,$B131,領用表!$B:$B,M$2&amp;$R$1)</f>
        <v>0</v>
      </c>
      <c r="N131" s="142">
        <f>SUMIFS(領用表!$L:$L,領用表!$E:$E,$B131,領用表!$B:$B,N$2&amp;$R$1)</f>
        <v>0</v>
      </c>
      <c r="O131" s="142">
        <f>SUMIFS(領用表!$L:$L,領用表!$E:$E,$B131,領用表!$B:$B,O$2&amp;$R$1)</f>
        <v>0</v>
      </c>
      <c r="P131" s="23">
        <f t="shared" si="18"/>
        <v>0</v>
      </c>
      <c r="Q131" s="23">
        <f t="shared" si="19"/>
        <v>0</v>
      </c>
      <c r="R131" s="142">
        <f>SUMIFS(領用表!$L:$L,領用表!$E:$E,$B131,領用表!$B:$B,R$2&amp;$R$1)</f>
        <v>0</v>
      </c>
      <c r="S131" s="142">
        <f>SUMIFS(領用表!$L:$L,領用表!$E:$E,$B131,領用表!$B:$B,S$2&amp;$R$1)</f>
        <v>0</v>
      </c>
      <c r="T131" s="142">
        <f>SUMIFS(領用表!$L:$L,領用表!$E:$E,$B131,領用表!$B:$B,T$2&amp;$R$1)</f>
        <v>0</v>
      </c>
      <c r="U131" s="142">
        <f>SUMIFS(領用表!$L:$L,領用表!$E:$E,$B131,領用表!$B:$B,U$2&amp;$R$1)</f>
        <v>0</v>
      </c>
      <c r="V131" s="142">
        <f>SUMIFS(領用表!$L:$L,領用表!$E:$E,$B131,領用表!$B:$B,V$2&amp;$R$1)</f>
        <v>0</v>
      </c>
      <c r="W131" s="142">
        <f>SUMIFS(領用表!$L:$L,領用表!$E:$E,$B131,領用表!$B:$B,W$2&amp;$R$1)</f>
        <v>0</v>
      </c>
      <c r="X131" s="142">
        <f>SUMIFS(領用表!$L:$L,領用表!$E:$E,$B131,領用表!$B:$B,X$2&amp;$R$1)</f>
        <v>0</v>
      </c>
      <c r="Y131" s="142">
        <f>SUMIFS(領用表!$L:$L,領用表!$E:$E,$B131,領用表!$B:$B,Y$2&amp;$R$1)</f>
        <v>0</v>
      </c>
      <c r="Z131" s="142">
        <f>SUMIFS(領用表!$L:$L,領用表!$E:$E,$B131,領用表!$B:$B,Z$2&amp;$R$1)</f>
        <v>0</v>
      </c>
      <c r="AA131" s="142">
        <f>SUMIFS(領用表!$L:$L,領用表!$E:$E,$B131,領用表!$B:$B,AA$2&amp;$R$1)</f>
        <v>0</v>
      </c>
      <c r="AB131" s="142">
        <f>SUMIFS(領用表!$L:$L,領用表!$E:$E,$B131,領用表!$B:$B,AB$2&amp;$R$1)</f>
        <v>0</v>
      </c>
      <c r="AC131" s="142">
        <f>SUMIFS(領用表!$L:$L,領用表!$E:$E,$B131,領用表!$B:$B,AC$2&amp;$R$1)</f>
        <v>0</v>
      </c>
      <c r="AD131" s="142">
        <f t="shared" si="26"/>
        <v>0</v>
      </c>
      <c r="AE131" s="142">
        <f t="shared" si="27"/>
        <v>0</v>
      </c>
      <c r="AF131" s="142">
        <f>SUMIF(Summary!B:B,B131,Summary!DV:DV)</f>
        <v>0</v>
      </c>
      <c r="AG131" s="109"/>
      <c r="AH131" s="65"/>
      <c r="AI131" s="76"/>
      <c r="AJ131" s="76"/>
    </row>
    <row r="132" spans="1:40" ht="15.75" hidden="1" customHeight="1">
      <c r="A132" s="27" t="s">
        <v>173</v>
      </c>
      <c r="B132" s="14">
        <v>1080002</v>
      </c>
      <c r="C132" s="136" t="s">
        <v>551</v>
      </c>
      <c r="D132" s="77"/>
      <c r="E132" s="17" t="s">
        <v>15</v>
      </c>
      <c r="F132" s="70"/>
      <c r="G132" s="18"/>
      <c r="H132" s="68" t="e">
        <f>SUM(#REF!)</f>
        <v>#REF!</v>
      </c>
      <c r="I132" s="26" t="e">
        <f>H132/12</f>
        <v>#REF!</v>
      </c>
      <c r="J132" s="20">
        <f>SUMIFS(領用表!$L:$L,領用表!$E:$E,$B132,領用表!$B:$B,J$2&amp;$R$1)</f>
        <v>0</v>
      </c>
      <c r="K132" s="20">
        <f>SUMIFS(領用表!$L:$L,領用表!$E:$E,$B132,領用表!$B:$B,K$2&amp;$R$1)</f>
        <v>0</v>
      </c>
      <c r="L132" s="20">
        <f>SUMIFS(領用表!$L:$L,領用表!$E:$E,$B132,領用表!$B:$B,L$2&amp;$R$1)</f>
        <v>0</v>
      </c>
      <c r="M132" s="142">
        <f>SUMIFS(領用表!$L:$L,領用表!$E:$E,$B132,領用表!$B:$B,M$2&amp;$R$1)</f>
        <v>0</v>
      </c>
      <c r="N132" s="142">
        <f>SUMIFS(領用表!$L:$L,領用表!$E:$E,$B132,領用表!$B:$B,N$2&amp;$R$1)</f>
        <v>0</v>
      </c>
      <c r="O132" s="142">
        <f>SUMIFS(領用表!$L:$L,領用表!$E:$E,$B132,領用表!$B:$B,O$2&amp;$R$1)</f>
        <v>0</v>
      </c>
      <c r="P132" s="23">
        <f t="shared" si="18"/>
        <v>0</v>
      </c>
      <c r="Q132" s="23">
        <f t="shared" si="19"/>
        <v>0</v>
      </c>
      <c r="R132" s="142">
        <f>SUMIFS(領用表!$L:$L,領用表!$E:$E,$B132,領用表!$B:$B,R$2&amp;$R$1)</f>
        <v>0</v>
      </c>
      <c r="S132" s="142">
        <f>SUMIFS(領用表!$L:$L,領用表!$E:$E,$B132,領用表!$B:$B,S$2&amp;$R$1)</f>
        <v>0</v>
      </c>
      <c r="T132" s="142">
        <f>SUMIFS(領用表!$L:$L,領用表!$E:$E,$B132,領用表!$B:$B,T$2&amp;$R$1)</f>
        <v>0</v>
      </c>
      <c r="U132" s="142">
        <f>SUMIFS(領用表!$L:$L,領用表!$E:$E,$B132,領用表!$B:$B,U$2&amp;$R$1)</f>
        <v>0</v>
      </c>
      <c r="V132" s="142">
        <f>SUMIFS(領用表!$L:$L,領用表!$E:$E,$B132,領用表!$B:$B,V$2&amp;$R$1)</f>
        <v>0</v>
      </c>
      <c r="W132" s="142">
        <f>SUMIFS(領用表!$L:$L,領用表!$E:$E,$B132,領用表!$B:$B,W$2&amp;$R$1)</f>
        <v>0</v>
      </c>
      <c r="X132" s="142">
        <f>SUMIFS(領用表!$L:$L,領用表!$E:$E,$B132,領用表!$B:$B,X$2&amp;$R$1)</f>
        <v>0</v>
      </c>
      <c r="Y132" s="142">
        <f>SUMIFS(領用表!$L:$L,領用表!$E:$E,$B132,領用表!$B:$B,Y$2&amp;$R$1)</f>
        <v>0</v>
      </c>
      <c r="Z132" s="142">
        <f>SUMIFS(領用表!$L:$L,領用表!$E:$E,$B132,領用表!$B:$B,Z$2&amp;$R$1)</f>
        <v>0</v>
      </c>
      <c r="AA132" s="142">
        <f>SUMIFS(領用表!$L:$L,領用表!$E:$E,$B132,領用表!$B:$B,AA$2&amp;$R$1)</f>
        <v>0</v>
      </c>
      <c r="AB132" s="142">
        <f>SUMIFS(領用表!$L:$L,領用表!$E:$E,$B132,領用表!$B:$B,AB$2&amp;$R$1)</f>
        <v>0</v>
      </c>
      <c r="AC132" s="142">
        <f>SUMIFS(領用表!$L:$L,領用表!$E:$E,$B132,領用表!$B:$B,AC$2&amp;$R$1)</f>
        <v>0</v>
      </c>
      <c r="AD132" s="142">
        <f t="shared" si="26"/>
        <v>0</v>
      </c>
      <c r="AE132" s="142">
        <f t="shared" si="27"/>
        <v>0</v>
      </c>
      <c r="AF132" s="142">
        <f>SUMIF(Summary!B:B,B132,Summary!DV:DV)</f>
        <v>0</v>
      </c>
      <c r="AG132" s="109"/>
      <c r="AH132" s="65"/>
      <c r="AI132" s="76"/>
      <c r="AJ132" s="76"/>
      <c r="AK132" s="27"/>
      <c r="AL132" s="27"/>
      <c r="AM132" s="14"/>
      <c r="AN132" s="14"/>
    </row>
    <row r="133" spans="1:40" ht="15.75" customHeight="1">
      <c r="A133" s="27" t="s">
        <v>174</v>
      </c>
      <c r="B133" s="14">
        <v>1080006</v>
      </c>
      <c r="C133" s="136" t="s">
        <v>552</v>
      </c>
      <c r="D133" s="77"/>
      <c r="E133" s="17" t="s">
        <v>15</v>
      </c>
      <c r="F133" s="70"/>
      <c r="G133" s="18"/>
      <c r="H133" s="68" t="e">
        <f>SUM(#REF!)</f>
        <v>#REF!</v>
      </c>
      <c r="I133" s="26" t="e">
        <f>H133/12</f>
        <v>#REF!</v>
      </c>
      <c r="J133" s="20">
        <f>SUMIFS(領用表!$L:$L,領用表!$E:$E,$B133,領用表!$B:$B,J$2&amp;$R$1)</f>
        <v>0</v>
      </c>
      <c r="K133" s="20">
        <f>SUMIFS(領用表!$L:$L,領用表!$E:$E,$B133,領用表!$B:$B,K$2&amp;$R$1)</f>
        <v>0</v>
      </c>
      <c r="L133" s="20">
        <f>SUMIFS(領用表!$L:$L,領用表!$E:$E,$B133,領用表!$B:$B,L$2&amp;$R$1)</f>
        <v>0</v>
      </c>
      <c r="M133" s="142">
        <f>SUMIFS(領用表!$L:$L,領用表!$E:$E,$B133,領用表!$B:$B,M$2&amp;$R$1)</f>
        <v>0</v>
      </c>
      <c r="N133" s="142">
        <f>SUMIFS(領用表!$L:$L,領用表!$E:$E,$B133,領用表!$B:$B,N$2&amp;$R$1)</f>
        <v>0</v>
      </c>
      <c r="O133" s="142">
        <f>SUMIFS(領用表!$L:$L,領用表!$E:$E,$B133,領用表!$B:$B,O$2&amp;$R$1)</f>
        <v>0</v>
      </c>
      <c r="P133" s="23">
        <f t="shared" si="18"/>
        <v>0</v>
      </c>
      <c r="Q133" s="23">
        <f t="shared" si="19"/>
        <v>0</v>
      </c>
      <c r="R133" s="142">
        <f>SUMIFS(領用表!$L:$L,領用表!$E:$E,$B133,領用表!$B:$B,R$2&amp;$R$1)</f>
        <v>0</v>
      </c>
      <c r="S133" s="142">
        <f>SUMIFS(領用表!$L:$L,領用表!$E:$E,$B133,領用表!$B:$B,S$2&amp;$R$1)</f>
        <v>0</v>
      </c>
      <c r="T133" s="142">
        <f>SUMIFS(領用表!$L:$L,領用表!$E:$E,$B133,領用表!$B:$B,T$2&amp;$R$1)</f>
        <v>0</v>
      </c>
      <c r="U133" s="142">
        <f>SUMIFS(領用表!$L:$L,領用表!$E:$E,$B133,領用表!$B:$B,U$2&amp;$R$1)</f>
        <v>0</v>
      </c>
      <c r="V133" s="142">
        <f>SUMIFS(領用表!$L:$L,領用表!$E:$E,$B133,領用表!$B:$B,V$2&amp;$R$1)</f>
        <v>0</v>
      </c>
      <c r="W133" s="142">
        <f>SUMIFS(領用表!$L:$L,領用表!$E:$E,$B133,領用表!$B:$B,W$2&amp;$R$1)</f>
        <v>0</v>
      </c>
      <c r="X133" s="142">
        <f>SUMIFS(領用表!$L:$L,領用表!$E:$E,$B133,領用表!$B:$B,X$2&amp;$R$1)</f>
        <v>0</v>
      </c>
      <c r="Y133" s="142">
        <f>SUMIFS(領用表!$L:$L,領用表!$E:$E,$B133,領用表!$B:$B,Y$2&amp;$R$1)</f>
        <v>0</v>
      </c>
      <c r="Z133" s="142">
        <f>SUMIFS(領用表!$L:$L,領用表!$E:$E,$B133,領用表!$B:$B,Z$2&amp;$R$1)</f>
        <v>0</v>
      </c>
      <c r="AA133" s="142">
        <f>SUMIFS(領用表!$L:$L,領用表!$E:$E,$B133,領用表!$B:$B,AA$2&amp;$R$1)</f>
        <v>0</v>
      </c>
      <c r="AB133" s="142">
        <f>SUMIFS(領用表!$L:$L,領用表!$E:$E,$B133,領用表!$B:$B,AB$2&amp;$R$1)</f>
        <v>0</v>
      </c>
      <c r="AC133" s="142">
        <f>SUMIFS(領用表!$L:$L,領用表!$E:$E,$B133,領用表!$B:$B,AC$2&amp;$R$1)</f>
        <v>0</v>
      </c>
      <c r="AD133" s="142">
        <f t="shared" si="26"/>
        <v>0</v>
      </c>
      <c r="AE133" s="142">
        <f t="shared" si="27"/>
        <v>0</v>
      </c>
      <c r="AF133" s="142">
        <f>SUMIF(Summary!B:B,B133,Summary!DV:DV)</f>
        <v>0</v>
      </c>
      <c r="AG133" s="109">
        <v>1500</v>
      </c>
      <c r="AH133" s="65"/>
      <c r="AI133" s="76"/>
      <c r="AJ133" s="76"/>
    </row>
    <row r="134" spans="1:40" ht="15.75" customHeight="1">
      <c r="A134" s="27" t="s">
        <v>175</v>
      </c>
      <c r="B134" s="14" t="e">
        <v>#N/A</v>
      </c>
      <c r="C134" s="136" t="s">
        <v>553</v>
      </c>
      <c r="D134" s="77"/>
      <c r="E134" s="17" t="s">
        <v>15</v>
      </c>
      <c r="F134" s="70"/>
      <c r="G134" s="18"/>
      <c r="H134" s="68"/>
      <c r="I134" s="26"/>
      <c r="J134" s="20">
        <f>SUMIFS(領用表!$L:$L,領用表!$E:$E,$B134,領用表!$B:$B,J$2&amp;$R$1)</f>
        <v>0</v>
      </c>
      <c r="K134" s="20">
        <f>SUMIFS(領用表!$L:$L,領用表!$E:$E,$B134,領用表!$B:$B,K$2&amp;$R$1)</f>
        <v>0</v>
      </c>
      <c r="L134" s="20">
        <f>SUMIFS(領用表!$L:$L,領用表!$E:$E,$B134,領用表!$B:$B,L$2&amp;$R$1)</f>
        <v>0</v>
      </c>
      <c r="M134" s="142">
        <f>SUMIFS(領用表!$L:$L,領用表!$E:$E,$B134,領用表!$B:$B,M$2&amp;$R$1)</f>
        <v>0</v>
      </c>
      <c r="N134" s="142">
        <f>SUMIFS(領用表!$L:$L,領用表!$E:$E,$B134,領用表!$B:$B,N$2&amp;$R$1)</f>
        <v>0</v>
      </c>
      <c r="O134" s="142">
        <f>SUMIFS(領用表!$L:$L,領用表!$E:$E,$B134,領用表!$B:$B,O$2&amp;$R$1)</f>
        <v>0</v>
      </c>
      <c r="P134" s="23">
        <f t="shared" si="18"/>
        <v>0</v>
      </c>
      <c r="Q134" s="23">
        <f t="shared" si="19"/>
        <v>0</v>
      </c>
      <c r="R134" s="142">
        <f>SUMIFS(領用表!$L:$L,領用表!$E:$E,$B134,領用表!$B:$B,R$2&amp;$R$1)</f>
        <v>0</v>
      </c>
      <c r="S134" s="142">
        <f>SUMIFS(領用表!$L:$L,領用表!$E:$E,$B134,領用表!$B:$B,S$2&amp;$R$1)</f>
        <v>0</v>
      </c>
      <c r="T134" s="142">
        <f>SUMIFS(領用表!$L:$L,領用表!$E:$E,$B134,領用表!$B:$B,T$2&amp;$R$1)</f>
        <v>0</v>
      </c>
      <c r="U134" s="142">
        <f>SUMIFS(領用表!$L:$L,領用表!$E:$E,$B134,領用表!$B:$B,U$2&amp;$R$1)</f>
        <v>0</v>
      </c>
      <c r="V134" s="142">
        <f>SUMIFS(領用表!$L:$L,領用表!$E:$E,$B134,領用表!$B:$B,V$2&amp;$R$1)</f>
        <v>0</v>
      </c>
      <c r="W134" s="142">
        <f>SUMIFS(領用表!$L:$L,領用表!$E:$E,$B134,領用表!$B:$B,W$2&amp;$R$1)</f>
        <v>0</v>
      </c>
      <c r="X134" s="142">
        <f>SUMIFS(領用表!$L:$L,領用表!$E:$E,$B134,領用表!$B:$B,X$2&amp;$R$1)</f>
        <v>0</v>
      </c>
      <c r="Y134" s="142">
        <f>SUMIFS(領用表!$L:$L,領用表!$E:$E,$B134,領用表!$B:$B,Y$2&amp;$R$1)</f>
        <v>0</v>
      </c>
      <c r="Z134" s="142">
        <f>SUMIFS(領用表!$L:$L,領用表!$E:$E,$B134,領用表!$B:$B,Z$2&amp;$R$1)</f>
        <v>0</v>
      </c>
      <c r="AA134" s="142">
        <f>SUMIFS(領用表!$L:$L,領用表!$E:$E,$B134,領用表!$B:$B,AA$2&amp;$R$1)</f>
        <v>0</v>
      </c>
      <c r="AB134" s="142">
        <f>SUMIFS(領用表!$L:$L,領用表!$E:$E,$B134,領用表!$B:$B,AB$2&amp;$R$1)</f>
        <v>0</v>
      </c>
      <c r="AC134" s="142">
        <f>SUMIFS(領用表!$L:$L,領用表!$E:$E,$B134,領用表!$B:$B,AC$2&amp;$R$1)</f>
        <v>0</v>
      </c>
      <c r="AD134" s="142">
        <f t="shared" si="26"/>
        <v>0</v>
      </c>
      <c r="AE134" s="142">
        <f t="shared" si="27"/>
        <v>0</v>
      </c>
      <c r="AF134" s="142">
        <f>SUMIF(Summary!B:B,B134,Summary!DV:DV)</f>
        <v>0</v>
      </c>
      <c r="AG134" s="109">
        <v>0</v>
      </c>
      <c r="AH134" s="65"/>
      <c r="AI134" s="76"/>
      <c r="AJ134" s="76"/>
    </row>
    <row r="135" spans="1:40" ht="15.75" customHeight="1">
      <c r="A135" s="27" t="s">
        <v>176</v>
      </c>
      <c r="B135" s="14">
        <v>6080005</v>
      </c>
      <c r="C135" s="136" t="s">
        <v>554</v>
      </c>
      <c r="D135" s="77"/>
      <c r="E135" s="17" t="s">
        <v>15</v>
      </c>
      <c r="F135" s="70"/>
      <c r="G135" s="18"/>
      <c r="H135" s="68">
        <v>0</v>
      </c>
      <c r="I135" s="26">
        <v>0</v>
      </c>
      <c r="J135" s="20">
        <f>SUMIFS(領用表!$L:$L,領用表!$E:$E,$B135,領用表!$B:$B,J$2&amp;$R$1)</f>
        <v>0</v>
      </c>
      <c r="K135" s="20">
        <f>SUMIFS(領用表!$L:$L,領用表!$E:$E,$B135,領用表!$B:$B,K$2&amp;$R$1)</f>
        <v>0</v>
      </c>
      <c r="L135" s="20">
        <f>SUMIFS(領用表!$L:$L,領用表!$E:$E,$B135,領用表!$B:$B,L$2&amp;$R$1)</f>
        <v>0</v>
      </c>
      <c r="M135" s="142">
        <f>SUMIFS(領用表!$L:$L,領用表!$E:$E,$B135,領用表!$B:$B,M$2&amp;$R$1)</f>
        <v>0</v>
      </c>
      <c r="N135" s="142">
        <f>SUMIFS(領用表!$L:$L,領用表!$E:$E,$B135,領用表!$B:$B,N$2&amp;$R$1)</f>
        <v>0</v>
      </c>
      <c r="O135" s="142">
        <f>SUMIFS(領用表!$L:$L,領用表!$E:$E,$B135,領用表!$B:$B,O$2&amp;$R$1)</f>
        <v>0</v>
      </c>
      <c r="P135" s="23">
        <f t="shared" si="18"/>
        <v>0</v>
      </c>
      <c r="Q135" s="23">
        <f t="shared" si="19"/>
        <v>0</v>
      </c>
      <c r="R135" s="142">
        <f>SUMIFS(領用表!$L:$L,領用表!$E:$E,$B135,領用表!$B:$B,R$2&amp;$R$1)</f>
        <v>0</v>
      </c>
      <c r="S135" s="142">
        <f>SUMIFS(領用表!$L:$L,領用表!$E:$E,$B135,領用表!$B:$B,S$2&amp;$R$1)</f>
        <v>0</v>
      </c>
      <c r="T135" s="142">
        <f>SUMIFS(領用表!$L:$L,領用表!$E:$E,$B135,領用表!$B:$B,T$2&amp;$R$1)</f>
        <v>0</v>
      </c>
      <c r="U135" s="142">
        <f>SUMIFS(領用表!$L:$L,領用表!$E:$E,$B135,領用表!$B:$B,U$2&amp;$R$1)</f>
        <v>0</v>
      </c>
      <c r="V135" s="142">
        <f>SUMIFS(領用表!$L:$L,領用表!$E:$E,$B135,領用表!$B:$B,V$2&amp;$R$1)</f>
        <v>0</v>
      </c>
      <c r="W135" s="142">
        <f>SUMIFS(領用表!$L:$L,領用表!$E:$E,$B135,領用表!$B:$B,W$2&amp;$R$1)</f>
        <v>0</v>
      </c>
      <c r="X135" s="142">
        <f>SUMIFS(領用表!$L:$L,領用表!$E:$E,$B135,領用表!$B:$B,X$2&amp;$R$1)</f>
        <v>0</v>
      </c>
      <c r="Y135" s="142">
        <f>SUMIFS(領用表!$L:$L,領用表!$E:$E,$B135,領用表!$B:$B,Y$2&amp;$R$1)</f>
        <v>0</v>
      </c>
      <c r="Z135" s="142">
        <f>SUMIFS(領用表!$L:$L,領用表!$E:$E,$B135,領用表!$B:$B,Z$2&amp;$R$1)</f>
        <v>0</v>
      </c>
      <c r="AA135" s="142">
        <f>SUMIFS(領用表!$L:$L,領用表!$E:$E,$B135,領用表!$B:$B,AA$2&amp;$R$1)</f>
        <v>0</v>
      </c>
      <c r="AB135" s="142">
        <f>SUMIFS(領用表!$L:$L,領用表!$E:$E,$B135,領用表!$B:$B,AB$2&amp;$R$1)</f>
        <v>0</v>
      </c>
      <c r="AC135" s="142">
        <f>SUMIFS(領用表!$L:$L,領用表!$E:$E,$B135,領用表!$B:$B,AC$2&amp;$R$1)</f>
        <v>0</v>
      </c>
      <c r="AD135" s="142">
        <f t="shared" si="26"/>
        <v>0</v>
      </c>
      <c r="AE135" s="142">
        <f t="shared" si="27"/>
        <v>0</v>
      </c>
      <c r="AF135" s="142">
        <f>SUMIF(Summary!B:B,B135,Summary!DV:DV)</f>
        <v>0</v>
      </c>
      <c r="AG135" s="109">
        <v>300</v>
      </c>
      <c r="AH135" s="65"/>
      <c r="AI135" s="83"/>
      <c r="AJ135" s="76"/>
    </row>
    <row r="136" spans="1:40" ht="15.75" customHeight="1">
      <c r="A136" s="27" t="s">
        <v>177</v>
      </c>
      <c r="B136" s="14">
        <v>6080007</v>
      </c>
      <c r="C136" s="136" t="s">
        <v>555</v>
      </c>
      <c r="D136" s="77"/>
      <c r="E136" s="17" t="s">
        <v>15</v>
      </c>
      <c r="F136" s="70"/>
      <c r="G136" s="18"/>
      <c r="H136" s="68"/>
      <c r="I136" s="26"/>
      <c r="J136" s="20">
        <f>SUMIFS(領用表!$L:$L,領用表!$E:$E,$B136,領用表!$B:$B,J$2&amp;$R$1)</f>
        <v>0</v>
      </c>
      <c r="K136" s="20">
        <f>SUMIFS(領用表!$L:$L,領用表!$E:$E,$B136,領用表!$B:$B,K$2&amp;$R$1)</f>
        <v>0</v>
      </c>
      <c r="L136" s="20">
        <f>SUMIFS(領用表!$L:$L,領用表!$E:$E,$B136,領用表!$B:$B,L$2&amp;$R$1)</f>
        <v>0</v>
      </c>
      <c r="M136" s="142">
        <f>SUMIFS(領用表!$L:$L,領用表!$E:$E,$B136,領用表!$B:$B,M$2&amp;$R$1)</f>
        <v>0</v>
      </c>
      <c r="N136" s="142">
        <f>SUMIFS(領用表!$L:$L,領用表!$E:$E,$B136,領用表!$B:$B,N$2&amp;$R$1)</f>
        <v>0</v>
      </c>
      <c r="O136" s="142">
        <f>SUMIFS(領用表!$L:$L,領用表!$E:$E,$B136,領用表!$B:$B,O$2&amp;$R$1)</f>
        <v>0</v>
      </c>
      <c r="P136" s="23">
        <f t="shared" si="18"/>
        <v>0</v>
      </c>
      <c r="Q136" s="23">
        <f t="shared" si="19"/>
        <v>0</v>
      </c>
      <c r="R136" s="142">
        <f>SUMIFS(領用表!$L:$L,領用表!$E:$E,$B136,領用表!$B:$B,R$2&amp;$R$1)</f>
        <v>0</v>
      </c>
      <c r="S136" s="142">
        <f>SUMIFS(領用表!$L:$L,領用表!$E:$E,$B136,領用表!$B:$B,S$2&amp;$R$1)</f>
        <v>0</v>
      </c>
      <c r="T136" s="142">
        <f>SUMIFS(領用表!$L:$L,領用表!$E:$E,$B136,領用表!$B:$B,T$2&amp;$R$1)</f>
        <v>0</v>
      </c>
      <c r="U136" s="142">
        <f>SUMIFS(領用表!$L:$L,領用表!$E:$E,$B136,領用表!$B:$B,U$2&amp;$R$1)</f>
        <v>0</v>
      </c>
      <c r="V136" s="142">
        <f>SUMIFS(領用表!$L:$L,領用表!$E:$E,$B136,領用表!$B:$B,V$2&amp;$R$1)</f>
        <v>0</v>
      </c>
      <c r="W136" s="142">
        <f>SUMIFS(領用表!$L:$L,領用表!$E:$E,$B136,領用表!$B:$B,W$2&amp;$R$1)</f>
        <v>0</v>
      </c>
      <c r="X136" s="142">
        <f>SUMIFS(領用表!$L:$L,領用表!$E:$E,$B136,領用表!$B:$B,X$2&amp;$R$1)</f>
        <v>0</v>
      </c>
      <c r="Y136" s="142">
        <f>SUMIFS(領用表!$L:$L,領用表!$E:$E,$B136,領用表!$B:$B,Y$2&amp;$R$1)</f>
        <v>0</v>
      </c>
      <c r="Z136" s="142">
        <f>SUMIFS(領用表!$L:$L,領用表!$E:$E,$B136,領用表!$B:$B,Z$2&amp;$R$1)</f>
        <v>0</v>
      </c>
      <c r="AA136" s="142">
        <f>SUMIFS(領用表!$L:$L,領用表!$E:$E,$B136,領用表!$B:$B,AA$2&amp;$R$1)</f>
        <v>0</v>
      </c>
      <c r="AB136" s="142">
        <f>SUMIFS(領用表!$L:$L,領用表!$E:$E,$B136,領用表!$B:$B,AB$2&amp;$R$1)</f>
        <v>0</v>
      </c>
      <c r="AC136" s="142">
        <f>SUMIFS(領用表!$L:$L,領用表!$E:$E,$B136,領用表!$B:$B,AC$2&amp;$R$1)</f>
        <v>0</v>
      </c>
      <c r="AD136" s="142">
        <f t="shared" si="26"/>
        <v>0</v>
      </c>
      <c r="AE136" s="142">
        <f t="shared" si="27"/>
        <v>0</v>
      </c>
      <c r="AF136" s="142">
        <f>SUMIF(Summary!B:B,B136,Summary!DV:DV)</f>
        <v>0</v>
      </c>
      <c r="AG136" s="109">
        <v>0</v>
      </c>
      <c r="AH136" s="65"/>
      <c r="AI136" s="76"/>
      <c r="AJ136" s="76"/>
      <c r="AK136" s="14"/>
      <c r="AL136" s="14"/>
      <c r="AM136" s="14"/>
      <c r="AN136" s="14"/>
    </row>
    <row r="137" spans="1:40" ht="15.75" customHeight="1">
      <c r="A137" s="27" t="s">
        <v>178</v>
      </c>
      <c r="B137" s="14">
        <v>6080008</v>
      </c>
      <c r="C137" s="136" t="s">
        <v>556</v>
      </c>
      <c r="D137" s="77"/>
      <c r="E137" s="17" t="s">
        <v>15</v>
      </c>
      <c r="F137" s="70"/>
      <c r="G137" s="18"/>
      <c r="H137" s="68"/>
      <c r="I137" s="26"/>
      <c r="J137" s="20">
        <f>SUMIFS(領用表!$L:$L,領用表!$E:$E,$B137,領用表!$B:$B,J$2&amp;$R$1)</f>
        <v>0</v>
      </c>
      <c r="K137" s="20">
        <f>SUMIFS(領用表!$L:$L,領用表!$E:$E,$B137,領用表!$B:$B,K$2&amp;$R$1)</f>
        <v>0</v>
      </c>
      <c r="L137" s="20">
        <f>SUMIFS(領用表!$L:$L,領用表!$E:$E,$B137,領用表!$B:$B,L$2&amp;$R$1)</f>
        <v>0</v>
      </c>
      <c r="M137" s="142">
        <f>SUMIFS(領用表!$L:$L,領用表!$E:$E,$B137,領用表!$B:$B,M$2&amp;$R$1)</f>
        <v>0</v>
      </c>
      <c r="N137" s="142">
        <f>SUMIFS(領用表!$L:$L,領用表!$E:$E,$B137,領用表!$B:$B,N$2&amp;$R$1)</f>
        <v>0</v>
      </c>
      <c r="O137" s="142">
        <f>SUMIFS(領用表!$L:$L,領用表!$E:$E,$B137,領用表!$B:$B,O$2&amp;$R$1)</f>
        <v>0</v>
      </c>
      <c r="P137" s="23">
        <f t="shared" si="18"/>
        <v>0</v>
      </c>
      <c r="Q137" s="23">
        <f t="shared" si="19"/>
        <v>0</v>
      </c>
      <c r="R137" s="142">
        <f>SUMIFS(領用表!$L:$L,領用表!$E:$E,$B137,領用表!$B:$B,R$2&amp;$R$1)</f>
        <v>0</v>
      </c>
      <c r="S137" s="142">
        <f>SUMIFS(領用表!$L:$L,領用表!$E:$E,$B137,領用表!$B:$B,S$2&amp;$R$1)</f>
        <v>0</v>
      </c>
      <c r="T137" s="142">
        <f>SUMIFS(領用表!$L:$L,領用表!$E:$E,$B137,領用表!$B:$B,T$2&amp;$R$1)</f>
        <v>0</v>
      </c>
      <c r="U137" s="142">
        <f>SUMIFS(領用表!$L:$L,領用表!$E:$E,$B137,領用表!$B:$B,U$2&amp;$R$1)</f>
        <v>0</v>
      </c>
      <c r="V137" s="142">
        <f>SUMIFS(領用表!$L:$L,領用表!$E:$E,$B137,領用表!$B:$B,V$2&amp;$R$1)</f>
        <v>500</v>
      </c>
      <c r="W137" s="142">
        <f>SUMIFS(領用表!$L:$L,領用表!$E:$E,$B137,領用表!$B:$B,W$2&amp;$R$1)</f>
        <v>0</v>
      </c>
      <c r="X137" s="142">
        <f>SUMIFS(領用表!$L:$L,領用表!$E:$E,$B137,領用表!$B:$B,X$2&amp;$R$1)</f>
        <v>0</v>
      </c>
      <c r="Y137" s="142">
        <f>SUMIFS(領用表!$L:$L,領用表!$E:$E,$B137,領用表!$B:$B,Y$2&amp;$R$1)</f>
        <v>0</v>
      </c>
      <c r="Z137" s="142">
        <f>SUMIFS(領用表!$L:$L,領用表!$E:$E,$B137,領用表!$B:$B,Z$2&amp;$R$1)</f>
        <v>0</v>
      </c>
      <c r="AA137" s="142">
        <f>SUMIFS(領用表!$L:$L,領用表!$E:$E,$B137,領用表!$B:$B,AA$2&amp;$R$1)</f>
        <v>0</v>
      </c>
      <c r="AB137" s="142">
        <f>SUMIFS(領用表!$L:$L,領用表!$E:$E,$B137,領用表!$B:$B,AB$2&amp;$R$1)</f>
        <v>0</v>
      </c>
      <c r="AC137" s="142">
        <f>SUMIFS(領用表!$L:$L,領用表!$E:$E,$B137,領用表!$B:$B,AC$2&amp;$R$1)</f>
        <v>0</v>
      </c>
      <c r="AD137" s="142">
        <f t="shared" si="26"/>
        <v>500</v>
      </c>
      <c r="AE137" s="142">
        <f t="shared" si="27"/>
        <v>100</v>
      </c>
      <c r="AF137" s="142">
        <f>SUMIF(Summary!B:B,B137,Summary!DV:DV)</f>
        <v>0</v>
      </c>
      <c r="AG137" s="109"/>
      <c r="AH137" s="65"/>
      <c r="AI137" s="76" t="s">
        <v>179</v>
      </c>
      <c r="AJ137" s="76"/>
      <c r="AK137" s="14"/>
      <c r="AL137" s="14"/>
      <c r="AM137" s="14"/>
      <c r="AN137" s="14"/>
    </row>
    <row r="138" spans="1:40" ht="15.75" customHeight="1">
      <c r="A138" s="27" t="s">
        <v>180</v>
      </c>
      <c r="B138" s="14">
        <v>1050001</v>
      </c>
      <c r="C138" s="136" t="s">
        <v>557</v>
      </c>
      <c r="D138" s="77"/>
      <c r="E138" s="17" t="s">
        <v>15</v>
      </c>
      <c r="F138" s="70"/>
      <c r="G138" s="18"/>
      <c r="H138" s="68" t="e">
        <f>SUM(#REF!)</f>
        <v>#REF!</v>
      </c>
      <c r="I138" s="26" t="e">
        <f>H138/12</f>
        <v>#REF!</v>
      </c>
      <c r="J138" s="20">
        <f>SUMIFS(領用表!$L:$L,領用表!$E:$E,$B138,領用表!$B:$B,J$2&amp;$R$1)</f>
        <v>0</v>
      </c>
      <c r="K138" s="20">
        <f>SUMIFS(領用表!$L:$L,領用表!$E:$E,$B138,領用表!$B:$B,K$2&amp;$R$1)</f>
        <v>0</v>
      </c>
      <c r="L138" s="20">
        <f>SUMIFS(領用表!$L:$L,領用表!$E:$E,$B138,領用表!$B:$B,L$2&amp;$R$1)</f>
        <v>0</v>
      </c>
      <c r="M138" s="142">
        <f>SUMIFS(領用表!$L:$L,領用表!$E:$E,$B138,領用表!$B:$B,M$2&amp;$R$1)</f>
        <v>0</v>
      </c>
      <c r="N138" s="142">
        <f>SUMIFS(領用表!$L:$L,領用表!$E:$E,$B138,領用表!$B:$B,N$2&amp;$R$1)</f>
        <v>0</v>
      </c>
      <c r="O138" s="142">
        <f>SUMIFS(領用表!$L:$L,領用表!$E:$E,$B138,領用表!$B:$B,O$2&amp;$R$1)</f>
        <v>0</v>
      </c>
      <c r="P138" s="23">
        <f t="shared" si="18"/>
        <v>0</v>
      </c>
      <c r="Q138" s="23">
        <f t="shared" si="19"/>
        <v>0</v>
      </c>
      <c r="R138" s="142">
        <f>SUMIFS(領用表!$L:$L,領用表!$E:$E,$B138,領用表!$B:$B,R$2&amp;$R$1)</f>
        <v>0</v>
      </c>
      <c r="S138" s="142">
        <f>SUMIFS(領用表!$L:$L,領用表!$E:$E,$B138,領用表!$B:$B,S$2&amp;$R$1)</f>
        <v>0</v>
      </c>
      <c r="T138" s="142">
        <f>SUMIFS(領用表!$L:$L,領用表!$E:$E,$B138,領用表!$B:$B,T$2&amp;$R$1)</f>
        <v>0</v>
      </c>
      <c r="U138" s="142">
        <f>SUMIFS(領用表!$L:$L,領用表!$E:$E,$B138,領用表!$B:$B,U$2&amp;$R$1)</f>
        <v>0</v>
      </c>
      <c r="V138" s="142">
        <f>SUMIFS(領用表!$L:$L,領用表!$E:$E,$B138,領用表!$B:$B,V$2&amp;$R$1)</f>
        <v>0</v>
      </c>
      <c r="W138" s="142">
        <f>SUMIFS(領用表!$L:$L,領用表!$E:$E,$B138,領用表!$B:$B,W$2&amp;$R$1)</f>
        <v>0</v>
      </c>
      <c r="X138" s="142">
        <f>SUMIFS(領用表!$L:$L,領用表!$E:$E,$B138,領用表!$B:$B,X$2&amp;$R$1)</f>
        <v>0</v>
      </c>
      <c r="Y138" s="142">
        <f>SUMIFS(領用表!$L:$L,領用表!$E:$E,$B138,領用表!$B:$B,Y$2&amp;$R$1)</f>
        <v>0</v>
      </c>
      <c r="Z138" s="142">
        <f>SUMIFS(領用表!$L:$L,領用表!$E:$E,$B138,領用表!$B:$B,Z$2&amp;$R$1)</f>
        <v>0</v>
      </c>
      <c r="AA138" s="142">
        <f>SUMIFS(領用表!$L:$L,領用表!$E:$E,$B138,領用表!$B:$B,AA$2&amp;$R$1)</f>
        <v>0</v>
      </c>
      <c r="AB138" s="142">
        <f>SUMIFS(領用表!$L:$L,領用表!$E:$E,$B138,領用表!$B:$B,AB$2&amp;$R$1)</f>
        <v>0</v>
      </c>
      <c r="AC138" s="142">
        <f>SUMIFS(領用表!$L:$L,領用表!$E:$E,$B138,領用表!$B:$B,AC$2&amp;$R$1)</f>
        <v>0</v>
      </c>
      <c r="AD138" s="142">
        <f t="shared" si="26"/>
        <v>0</v>
      </c>
      <c r="AE138" s="142">
        <f t="shared" si="27"/>
        <v>0</v>
      </c>
      <c r="AF138" s="142">
        <f>SUMIF(Summary!B:B,B138,Summary!DV:DV)</f>
        <v>0</v>
      </c>
      <c r="AG138" s="109">
        <v>10</v>
      </c>
      <c r="AH138" s="65"/>
      <c r="AI138" s="76"/>
      <c r="AJ138" s="76"/>
      <c r="AK138" s="27"/>
      <c r="AL138" s="27"/>
      <c r="AM138" s="14"/>
      <c r="AN138" s="14"/>
    </row>
    <row r="139" spans="1:40" ht="15.75" customHeight="1">
      <c r="A139" s="27" t="s">
        <v>181</v>
      </c>
      <c r="B139" s="14">
        <v>1050002</v>
      </c>
      <c r="C139" s="136" t="s">
        <v>558</v>
      </c>
      <c r="D139" s="77"/>
      <c r="E139" s="17" t="s">
        <v>15</v>
      </c>
      <c r="F139" s="70"/>
      <c r="G139" s="18"/>
      <c r="H139" s="68" t="e">
        <f>SUM(#REF!)</f>
        <v>#REF!</v>
      </c>
      <c r="I139" s="26" t="e">
        <f>H139/12</f>
        <v>#REF!</v>
      </c>
      <c r="J139" s="20">
        <f>SUMIFS(領用表!$L:$L,領用表!$E:$E,$B139,領用表!$B:$B,J$2&amp;$R$1)</f>
        <v>0</v>
      </c>
      <c r="K139" s="20">
        <f>SUMIFS(領用表!$L:$L,領用表!$E:$E,$B139,領用表!$B:$B,K$2&amp;$R$1)</f>
        <v>0</v>
      </c>
      <c r="L139" s="20">
        <f>SUMIFS(領用表!$L:$L,領用表!$E:$E,$B139,領用表!$B:$B,L$2&amp;$R$1)</f>
        <v>0</v>
      </c>
      <c r="M139" s="142">
        <f>SUMIFS(領用表!$L:$L,領用表!$E:$E,$B139,領用表!$B:$B,M$2&amp;$R$1)</f>
        <v>0</v>
      </c>
      <c r="N139" s="142">
        <f>SUMIFS(領用表!$L:$L,領用表!$E:$E,$B139,領用表!$B:$B,N$2&amp;$R$1)</f>
        <v>0</v>
      </c>
      <c r="O139" s="142">
        <f>SUMIFS(領用表!$L:$L,領用表!$E:$E,$B139,領用表!$B:$B,O$2&amp;$R$1)</f>
        <v>0</v>
      </c>
      <c r="P139" s="23">
        <f t="shared" si="18"/>
        <v>0</v>
      </c>
      <c r="Q139" s="23">
        <f t="shared" si="19"/>
        <v>0</v>
      </c>
      <c r="R139" s="142">
        <f>SUMIFS(領用表!$L:$L,領用表!$E:$E,$B139,領用表!$B:$B,R$2&amp;$R$1)</f>
        <v>0</v>
      </c>
      <c r="S139" s="142">
        <f>SUMIFS(領用表!$L:$L,領用表!$E:$E,$B139,領用表!$B:$B,S$2&amp;$R$1)</f>
        <v>0</v>
      </c>
      <c r="T139" s="142">
        <f>SUMIFS(領用表!$L:$L,領用表!$E:$E,$B139,領用表!$B:$B,T$2&amp;$R$1)</f>
        <v>0</v>
      </c>
      <c r="U139" s="142">
        <f>SUMIFS(領用表!$L:$L,領用表!$E:$E,$B139,領用表!$B:$B,U$2&amp;$R$1)</f>
        <v>0</v>
      </c>
      <c r="V139" s="142">
        <f>SUMIFS(領用表!$L:$L,領用表!$E:$E,$B139,領用表!$B:$B,V$2&amp;$R$1)</f>
        <v>0</v>
      </c>
      <c r="W139" s="142">
        <f>SUMIFS(領用表!$L:$L,領用表!$E:$E,$B139,領用表!$B:$B,W$2&amp;$R$1)</f>
        <v>0</v>
      </c>
      <c r="X139" s="142">
        <f>SUMIFS(領用表!$L:$L,領用表!$E:$E,$B139,領用表!$B:$B,X$2&amp;$R$1)</f>
        <v>0</v>
      </c>
      <c r="Y139" s="142">
        <f>SUMIFS(領用表!$L:$L,領用表!$E:$E,$B139,領用表!$B:$B,Y$2&amp;$R$1)</f>
        <v>0</v>
      </c>
      <c r="Z139" s="142">
        <f>SUMIFS(領用表!$L:$L,領用表!$E:$E,$B139,領用表!$B:$B,Z$2&amp;$R$1)</f>
        <v>0</v>
      </c>
      <c r="AA139" s="142">
        <f>SUMIFS(領用表!$L:$L,領用表!$E:$E,$B139,領用表!$B:$B,AA$2&amp;$R$1)</f>
        <v>0</v>
      </c>
      <c r="AB139" s="142">
        <f>SUMIFS(領用表!$L:$L,領用表!$E:$E,$B139,領用表!$B:$B,AB$2&amp;$R$1)</f>
        <v>0</v>
      </c>
      <c r="AC139" s="142">
        <f>SUMIFS(領用表!$L:$L,領用表!$E:$E,$B139,領用表!$B:$B,AC$2&amp;$R$1)</f>
        <v>0</v>
      </c>
      <c r="AD139" s="142">
        <f t="shared" si="26"/>
        <v>0</v>
      </c>
      <c r="AE139" s="142">
        <f t="shared" si="27"/>
        <v>0</v>
      </c>
      <c r="AF139" s="142">
        <f>SUMIF(Summary!B:B,B139,Summary!DV:DV)</f>
        <v>0</v>
      </c>
      <c r="AG139" s="109">
        <v>0</v>
      </c>
      <c r="AH139" s="65"/>
      <c r="AI139" s="76"/>
      <c r="AJ139" s="76"/>
      <c r="AK139" s="27"/>
      <c r="AL139" s="27"/>
      <c r="AM139" s="14"/>
      <c r="AN139" s="14"/>
    </row>
    <row r="140" spans="1:40" ht="15.75" hidden="1" customHeight="1">
      <c r="A140" s="27" t="s">
        <v>182</v>
      </c>
      <c r="B140" s="14">
        <v>1050003</v>
      </c>
      <c r="C140" s="136" t="s">
        <v>559</v>
      </c>
      <c r="D140" s="77"/>
      <c r="E140" s="17" t="s">
        <v>15</v>
      </c>
      <c r="F140" s="70"/>
      <c r="G140" s="18"/>
      <c r="H140" s="68" t="e">
        <f>SUM(#REF!)</f>
        <v>#REF!</v>
      </c>
      <c r="I140" s="26" t="e">
        <f>H140/12</f>
        <v>#REF!</v>
      </c>
      <c r="J140" s="20">
        <f>SUMIFS(領用表!$L:$L,領用表!$E:$E,$B140,領用表!$B:$B,J$2&amp;$R$1)</f>
        <v>0</v>
      </c>
      <c r="K140" s="20">
        <f>SUMIFS(領用表!$L:$L,領用表!$E:$E,$B140,領用表!$B:$B,K$2&amp;$R$1)</f>
        <v>0</v>
      </c>
      <c r="L140" s="20">
        <f>SUMIFS(領用表!$L:$L,領用表!$E:$E,$B140,領用表!$B:$B,L$2&amp;$R$1)</f>
        <v>0</v>
      </c>
      <c r="M140" s="142">
        <f>SUMIFS(領用表!$L:$L,領用表!$E:$E,$B140,領用表!$B:$B,M$2&amp;$R$1)</f>
        <v>0</v>
      </c>
      <c r="N140" s="142">
        <f>SUMIFS(領用表!$L:$L,領用表!$E:$E,$B140,領用表!$B:$B,N$2&amp;$R$1)</f>
        <v>0</v>
      </c>
      <c r="O140" s="142">
        <f>SUMIFS(領用表!$L:$L,領用表!$E:$E,$B140,領用表!$B:$B,O$2&amp;$R$1)</f>
        <v>0</v>
      </c>
      <c r="P140" s="23">
        <f t="shared" si="18"/>
        <v>0</v>
      </c>
      <c r="Q140" s="23">
        <f t="shared" si="19"/>
        <v>0</v>
      </c>
      <c r="R140" s="142">
        <f>SUMIFS(領用表!$L:$L,領用表!$E:$E,$B140,領用表!$B:$B,R$2&amp;$R$1)</f>
        <v>0</v>
      </c>
      <c r="S140" s="142">
        <f>SUMIFS(領用表!$L:$L,領用表!$E:$E,$B140,領用表!$B:$B,S$2&amp;$R$1)</f>
        <v>0</v>
      </c>
      <c r="T140" s="142">
        <f>SUMIFS(領用表!$L:$L,領用表!$E:$E,$B140,領用表!$B:$B,T$2&amp;$R$1)</f>
        <v>0</v>
      </c>
      <c r="U140" s="142">
        <f>SUMIFS(領用表!$L:$L,領用表!$E:$E,$B140,領用表!$B:$B,U$2&amp;$R$1)</f>
        <v>0</v>
      </c>
      <c r="V140" s="142">
        <f>SUMIFS(領用表!$L:$L,領用表!$E:$E,$B140,領用表!$B:$B,V$2&amp;$R$1)</f>
        <v>0</v>
      </c>
      <c r="W140" s="142">
        <f>SUMIFS(領用表!$L:$L,領用表!$E:$E,$B140,領用表!$B:$B,W$2&amp;$R$1)</f>
        <v>0</v>
      </c>
      <c r="X140" s="142">
        <f>SUMIFS(領用表!$L:$L,領用表!$E:$E,$B140,領用表!$B:$B,X$2&amp;$R$1)</f>
        <v>0</v>
      </c>
      <c r="Y140" s="142">
        <f>SUMIFS(領用表!$L:$L,領用表!$E:$E,$B140,領用表!$B:$B,Y$2&amp;$R$1)</f>
        <v>0</v>
      </c>
      <c r="Z140" s="142">
        <f>SUMIFS(領用表!$L:$L,領用表!$E:$E,$B140,領用表!$B:$B,Z$2&amp;$R$1)</f>
        <v>0</v>
      </c>
      <c r="AA140" s="142">
        <f>SUMIFS(領用表!$L:$L,領用表!$E:$E,$B140,領用表!$B:$B,AA$2&amp;$R$1)</f>
        <v>0</v>
      </c>
      <c r="AB140" s="142">
        <f>SUMIFS(領用表!$L:$L,領用表!$E:$E,$B140,領用表!$B:$B,AB$2&amp;$R$1)</f>
        <v>0</v>
      </c>
      <c r="AC140" s="142">
        <f>SUMIFS(領用表!$L:$L,領用表!$E:$E,$B140,領用表!$B:$B,AC$2&amp;$R$1)</f>
        <v>0</v>
      </c>
      <c r="AD140" s="142">
        <f t="shared" si="26"/>
        <v>0</v>
      </c>
      <c r="AE140" s="142">
        <f t="shared" si="27"/>
        <v>0</v>
      </c>
      <c r="AF140" s="142">
        <f>SUMIF(Summary!B:B,B140,Summary!DV:DV)</f>
        <v>0</v>
      </c>
      <c r="AG140" s="109"/>
      <c r="AH140" s="65"/>
      <c r="AI140" s="76"/>
      <c r="AJ140" s="76"/>
      <c r="AK140" s="27"/>
      <c r="AL140" s="27"/>
      <c r="AM140" s="14"/>
      <c r="AN140" s="14"/>
    </row>
    <row r="141" spans="1:40" ht="15" customHeight="1">
      <c r="A141" s="27" t="s">
        <v>183</v>
      </c>
      <c r="B141" s="14">
        <v>6050008</v>
      </c>
      <c r="C141" s="136" t="s">
        <v>560</v>
      </c>
      <c r="D141" s="77"/>
      <c r="E141" s="17" t="s">
        <v>15</v>
      </c>
      <c r="F141" s="70"/>
      <c r="G141" s="18">
        <v>0</v>
      </c>
      <c r="H141" s="68"/>
      <c r="I141" s="26"/>
      <c r="J141" s="20">
        <f>SUMIFS(領用表!$L:$L,領用表!$E:$E,$B141,領用表!$B:$B,J$2&amp;$R$1)</f>
        <v>0</v>
      </c>
      <c r="K141" s="20">
        <f>SUMIFS(領用表!$L:$L,領用表!$E:$E,$B141,領用表!$B:$B,K$2&amp;$R$1)</f>
        <v>0</v>
      </c>
      <c r="L141" s="20">
        <f>SUMIFS(領用表!$L:$L,領用表!$E:$E,$B141,領用表!$B:$B,L$2&amp;$R$1)</f>
        <v>0</v>
      </c>
      <c r="M141" s="142">
        <f>SUMIFS(領用表!$L:$L,領用表!$E:$E,$B141,領用表!$B:$B,M$2&amp;$R$1)</f>
        <v>0</v>
      </c>
      <c r="N141" s="142">
        <f>SUMIFS(領用表!$L:$L,領用表!$E:$E,$B141,領用表!$B:$B,N$2&amp;$R$1)</f>
        <v>0</v>
      </c>
      <c r="O141" s="142">
        <f>SUMIFS(領用表!$L:$L,領用表!$E:$E,$B141,領用表!$B:$B,O$2&amp;$R$1)</f>
        <v>0</v>
      </c>
      <c r="P141" s="23">
        <f t="shared" si="18"/>
        <v>0</v>
      </c>
      <c r="Q141" s="23">
        <f t="shared" si="19"/>
        <v>0</v>
      </c>
      <c r="R141" s="142">
        <f>SUMIFS(領用表!$L:$L,領用表!$E:$E,$B141,領用表!$B:$B,R$2&amp;$R$1)</f>
        <v>0</v>
      </c>
      <c r="S141" s="142">
        <f>SUMIFS(領用表!$L:$L,領用表!$E:$E,$B141,領用表!$B:$B,S$2&amp;$R$1)</f>
        <v>0</v>
      </c>
      <c r="T141" s="142">
        <f>SUMIFS(領用表!$L:$L,領用表!$E:$E,$B141,領用表!$B:$B,T$2&amp;$R$1)</f>
        <v>1406</v>
      </c>
      <c r="U141" s="142">
        <f>SUMIFS(領用表!$L:$L,領用表!$E:$E,$B141,領用表!$B:$B,U$2&amp;$R$1)</f>
        <v>324</v>
      </c>
      <c r="V141" s="142">
        <f>SUMIFS(領用表!$L:$L,領用表!$E:$E,$B141,領用表!$B:$B,V$2&amp;$R$1)</f>
        <v>0</v>
      </c>
      <c r="W141" s="142">
        <f>SUMIFS(領用表!$L:$L,領用表!$E:$E,$B141,領用表!$B:$B,W$2&amp;$R$1)</f>
        <v>0</v>
      </c>
      <c r="X141" s="142">
        <f>SUMIFS(領用表!$L:$L,領用表!$E:$E,$B141,領用表!$B:$B,X$2&amp;$R$1)</f>
        <v>0</v>
      </c>
      <c r="Y141" s="142">
        <f>SUMIFS(領用表!$L:$L,領用表!$E:$E,$B141,領用表!$B:$B,Y$2&amp;$R$1)</f>
        <v>0</v>
      </c>
      <c r="Z141" s="142">
        <f>SUMIFS(領用表!$L:$L,領用表!$E:$E,$B141,領用表!$B:$B,Z$2&amp;$R$1)</f>
        <v>0</v>
      </c>
      <c r="AA141" s="142">
        <f>SUMIFS(領用表!$L:$L,領用表!$E:$E,$B141,領用表!$B:$B,AA$2&amp;$R$1)</f>
        <v>0</v>
      </c>
      <c r="AB141" s="142">
        <f>SUMIFS(領用表!$L:$L,領用表!$E:$E,$B141,領用表!$B:$B,AB$2&amp;$R$1)</f>
        <v>0</v>
      </c>
      <c r="AC141" s="142">
        <f>SUMIFS(領用表!$L:$L,領用表!$E:$E,$B141,領用表!$B:$B,AC$2&amp;$R$1)</f>
        <v>0</v>
      </c>
      <c r="AD141" s="142">
        <f t="shared" si="26"/>
        <v>1730</v>
      </c>
      <c r="AE141" s="142">
        <f t="shared" si="27"/>
        <v>346</v>
      </c>
      <c r="AF141" s="142">
        <f>SUMIF(Summary!B:B,B141,Summary!DV:DV)</f>
        <v>0</v>
      </c>
      <c r="AG141" s="109">
        <v>0</v>
      </c>
      <c r="AH141" s="65"/>
      <c r="AI141" s="76"/>
      <c r="AJ141" s="76" t="s">
        <v>184</v>
      </c>
      <c r="AK141" s="27"/>
      <c r="AL141" s="27"/>
      <c r="AM141" s="14"/>
      <c r="AN141" s="14"/>
    </row>
    <row r="142" spans="1:40" ht="15" customHeight="1">
      <c r="A142" s="27" t="s">
        <v>185</v>
      </c>
      <c r="B142" s="14">
        <v>1060001</v>
      </c>
      <c r="C142" s="136" t="s">
        <v>561</v>
      </c>
      <c r="D142" s="77"/>
      <c r="E142" s="17" t="s">
        <v>15</v>
      </c>
      <c r="F142" s="70"/>
      <c r="G142" s="18">
        <v>1</v>
      </c>
      <c r="H142" s="68" t="e">
        <f>SUM(#REF!)</f>
        <v>#REF!</v>
      </c>
      <c r="I142" s="26" t="e">
        <f>H142/12</f>
        <v>#REF!</v>
      </c>
      <c r="J142" s="20">
        <f>SUMIFS(領用表!$L:$L,領用表!$E:$E,$B142,領用表!$B:$B,J$2&amp;$R$1)</f>
        <v>0</v>
      </c>
      <c r="K142" s="20">
        <f>SUMIFS(領用表!$L:$L,領用表!$E:$E,$B142,領用表!$B:$B,K$2&amp;$R$1)</f>
        <v>0</v>
      </c>
      <c r="L142" s="20">
        <f>SUMIFS(領用表!$L:$L,領用表!$E:$E,$B142,領用表!$B:$B,L$2&amp;$R$1)</f>
        <v>0</v>
      </c>
      <c r="M142" s="142">
        <f>SUMIFS(領用表!$L:$L,領用表!$E:$E,$B142,領用表!$B:$B,M$2&amp;$R$1)</f>
        <v>0</v>
      </c>
      <c r="N142" s="142">
        <f>SUMIFS(領用表!$L:$L,領用表!$E:$E,$B142,領用表!$B:$B,N$2&amp;$R$1)</f>
        <v>0</v>
      </c>
      <c r="O142" s="142">
        <f>SUMIFS(領用表!$L:$L,領用表!$E:$E,$B142,領用表!$B:$B,O$2&amp;$R$1)</f>
        <v>0</v>
      </c>
      <c r="P142" s="23">
        <f t="shared" si="18"/>
        <v>0</v>
      </c>
      <c r="Q142" s="23">
        <f t="shared" si="19"/>
        <v>0</v>
      </c>
      <c r="R142" s="142">
        <f>SUMIFS(領用表!$L:$L,領用表!$E:$E,$B142,領用表!$B:$B,R$2&amp;$R$1)</f>
        <v>0</v>
      </c>
      <c r="S142" s="142">
        <f>SUMIFS(領用表!$L:$L,領用表!$E:$E,$B142,領用表!$B:$B,S$2&amp;$R$1)</f>
        <v>0</v>
      </c>
      <c r="T142" s="142">
        <f>SUMIFS(領用表!$L:$L,領用表!$E:$E,$B142,領用表!$B:$B,T$2&amp;$R$1)</f>
        <v>0</v>
      </c>
      <c r="U142" s="142">
        <f>SUMIFS(領用表!$L:$L,領用表!$E:$E,$B142,領用表!$B:$B,U$2&amp;$R$1)</f>
        <v>0</v>
      </c>
      <c r="V142" s="142">
        <f>SUMIFS(領用表!$L:$L,領用表!$E:$E,$B142,領用表!$B:$B,V$2&amp;$R$1)</f>
        <v>0</v>
      </c>
      <c r="W142" s="142">
        <f>SUMIFS(領用表!$L:$L,領用表!$E:$E,$B142,領用表!$B:$B,W$2&amp;$R$1)</f>
        <v>0</v>
      </c>
      <c r="X142" s="142">
        <f>SUMIFS(領用表!$L:$L,領用表!$E:$E,$B142,領用表!$B:$B,X$2&amp;$R$1)</f>
        <v>0</v>
      </c>
      <c r="Y142" s="142">
        <f>SUMIFS(領用表!$L:$L,領用表!$E:$E,$B142,領用表!$B:$B,Y$2&amp;$R$1)</f>
        <v>0</v>
      </c>
      <c r="Z142" s="142">
        <f>SUMIFS(領用表!$L:$L,領用表!$E:$E,$B142,領用表!$B:$B,Z$2&amp;$R$1)</f>
        <v>0</v>
      </c>
      <c r="AA142" s="142">
        <f>SUMIFS(領用表!$L:$L,領用表!$E:$E,$B142,領用表!$B:$B,AA$2&amp;$R$1)</f>
        <v>0</v>
      </c>
      <c r="AB142" s="142">
        <f>SUMIFS(領用表!$L:$L,領用表!$E:$E,$B142,領用表!$B:$B,AB$2&amp;$R$1)</f>
        <v>0</v>
      </c>
      <c r="AC142" s="142">
        <f>SUMIFS(領用表!$L:$L,領用表!$E:$E,$B142,領用表!$B:$B,AC$2&amp;$R$1)</f>
        <v>0</v>
      </c>
      <c r="AD142" s="142">
        <f t="shared" si="26"/>
        <v>0</v>
      </c>
      <c r="AE142" s="142">
        <f t="shared" si="27"/>
        <v>0</v>
      </c>
      <c r="AF142" s="142">
        <f>SUMIF(Summary!B:B,B142,Summary!DV:DV)</f>
        <v>0</v>
      </c>
      <c r="AG142" s="109">
        <v>10</v>
      </c>
      <c r="AH142" s="65"/>
      <c r="AI142" s="76"/>
      <c r="AJ142" s="76"/>
      <c r="AK142" s="27"/>
      <c r="AL142" s="27"/>
      <c r="AM142" s="14"/>
      <c r="AN142" s="14"/>
    </row>
    <row r="143" spans="1:40" ht="15" customHeight="1">
      <c r="A143" s="27" t="s">
        <v>186</v>
      </c>
      <c r="B143" s="14">
        <v>6070002</v>
      </c>
      <c r="C143" s="136" t="s">
        <v>562</v>
      </c>
      <c r="D143" s="77"/>
      <c r="E143" s="17" t="s">
        <v>15</v>
      </c>
      <c r="F143" s="70"/>
      <c r="G143" s="18"/>
      <c r="H143" s="64" t="s">
        <v>49</v>
      </c>
      <c r="I143" s="64" t="s">
        <v>49</v>
      </c>
      <c r="J143" s="20">
        <f>SUMIFS(領用表!$L:$L,領用表!$E:$E,$B143,領用表!$B:$B,J$2&amp;$R$1)</f>
        <v>0</v>
      </c>
      <c r="K143" s="20">
        <f>SUMIFS(領用表!$L:$L,領用表!$E:$E,$B143,領用表!$B:$B,K$2&amp;$R$1)</f>
        <v>0</v>
      </c>
      <c r="L143" s="20">
        <f>SUMIFS(領用表!$L:$L,領用表!$E:$E,$B143,領用表!$B:$B,L$2&amp;$R$1)</f>
        <v>0</v>
      </c>
      <c r="M143" s="142">
        <f>SUMIFS(領用表!$L:$L,領用表!$E:$E,$B143,領用表!$B:$B,M$2&amp;$R$1)</f>
        <v>0</v>
      </c>
      <c r="N143" s="142">
        <f>SUMIFS(領用表!$L:$L,領用表!$E:$E,$B143,領用表!$B:$B,N$2&amp;$R$1)</f>
        <v>0</v>
      </c>
      <c r="O143" s="142">
        <f>SUMIFS(領用表!$L:$L,領用表!$E:$E,$B143,領用表!$B:$B,O$2&amp;$R$1)</f>
        <v>0</v>
      </c>
      <c r="P143" s="23">
        <f t="shared" ref="P143:P186" si="28">SUM(,J143,K143,L143,M143,N143,O143)</f>
        <v>0</v>
      </c>
      <c r="Q143" s="23">
        <f t="shared" ref="Q143:Q186" si="29">AVERAGE(,J143,K143,L143,M143,N143,O143)</f>
        <v>0</v>
      </c>
      <c r="R143" s="142">
        <f>SUMIFS(領用表!$L:$L,領用表!$E:$E,$B143,領用表!$B:$B,R$2&amp;$R$1)</f>
        <v>0</v>
      </c>
      <c r="S143" s="405">
        <f>SUMIFS(領用表!$L:$L,領用表!$E:$E,$B143,領用表!$B:$B,S$2&amp;$R$1)</f>
        <v>0</v>
      </c>
      <c r="T143" s="405">
        <f>SUMIFS(領用表!$L:$L,領用表!$E:$E,$B143,領用表!$B:$B,T$2&amp;$R$1)</f>
        <v>0</v>
      </c>
      <c r="U143" s="405">
        <f>SUMIFS(領用表!$L:$L,領用表!$E:$E,$B143,領用表!$B:$B,U$2&amp;$R$1)</f>
        <v>0</v>
      </c>
      <c r="V143" s="405">
        <f>SUMIFS(領用表!$L:$L,領用表!$E:$E,$B143,領用表!$B:$B,V$2&amp;$R$1)</f>
        <v>0</v>
      </c>
      <c r="W143" s="405">
        <f>SUMIFS(領用表!$L:$L,領用表!$E:$E,$B143,領用表!$B:$B,W$2&amp;$R$1)</f>
        <v>0</v>
      </c>
      <c r="X143" s="405">
        <f>SUMIFS(領用表!$L:$L,領用表!$E:$E,$B143,領用表!$B:$B,X$2&amp;$R$1)</f>
        <v>0</v>
      </c>
      <c r="Y143" s="405">
        <f>SUMIFS(領用表!$L:$L,領用表!$E:$E,$B143,領用表!$B:$B,Y$2&amp;$R$1)</f>
        <v>0</v>
      </c>
      <c r="Z143" s="405">
        <f>SUMIFS(領用表!$L:$L,領用表!$E:$E,$B143,領用表!$B:$B,Z$2&amp;$R$1)</f>
        <v>0</v>
      </c>
      <c r="AA143" s="405">
        <f>SUMIFS(領用表!$L:$L,領用表!$E:$E,$B143,領用表!$B:$B,AA$2&amp;$R$1)</f>
        <v>0</v>
      </c>
      <c r="AB143" s="405">
        <f>SUMIFS(領用表!$L:$L,領用表!$E:$E,$B143,領用表!$B:$B,AB$2&amp;$R$1)</f>
        <v>0</v>
      </c>
      <c r="AC143" s="405">
        <f>SUMIFS(領用表!$L:$L,領用表!$E:$E,$B143,領用表!$B:$B,AC$2&amp;$R$1)</f>
        <v>0</v>
      </c>
      <c r="AD143" s="405">
        <f t="shared" si="26"/>
        <v>0</v>
      </c>
      <c r="AE143" s="405">
        <f t="shared" si="27"/>
        <v>0</v>
      </c>
      <c r="AF143" s="405">
        <f>SUMIF(Summary!B:B,B143,Summary!DV:DV)</f>
        <v>0</v>
      </c>
      <c r="AG143" s="111">
        <v>15</v>
      </c>
      <c r="AH143" s="80"/>
      <c r="AI143" s="76"/>
      <c r="AJ143" s="76"/>
      <c r="AK143" s="27"/>
      <c r="AL143" s="27"/>
      <c r="AM143" s="14"/>
      <c r="AN143" s="14"/>
    </row>
    <row r="144" spans="1:40" ht="15" customHeight="1">
      <c r="A144" s="27" t="s">
        <v>187</v>
      </c>
      <c r="B144" s="14" t="e">
        <v>#N/A</v>
      </c>
      <c r="C144" s="136" t="s">
        <v>563</v>
      </c>
      <c r="D144" s="77"/>
      <c r="E144" s="17" t="s">
        <v>15</v>
      </c>
      <c r="F144" s="70"/>
      <c r="G144" s="18"/>
      <c r="H144" s="15"/>
      <c r="I144" s="84"/>
      <c r="J144" s="20">
        <f>SUMIFS(領用表!$L:$L,領用表!$E:$E,$B144,領用表!$B:$B,J$2&amp;$R$1)</f>
        <v>0</v>
      </c>
      <c r="K144" s="20">
        <f>SUMIFS(領用表!$L:$L,領用表!$E:$E,$B144,領用表!$B:$B,K$2&amp;$R$1)</f>
        <v>0</v>
      </c>
      <c r="L144" s="20">
        <f>SUMIFS(領用表!$L:$L,領用表!$E:$E,$B144,領用表!$B:$B,L$2&amp;$R$1)</f>
        <v>0</v>
      </c>
      <c r="M144" s="142">
        <f>SUMIFS(領用表!$L:$L,領用表!$E:$E,$B144,領用表!$B:$B,M$2&amp;$R$1)</f>
        <v>0</v>
      </c>
      <c r="N144" s="142">
        <f>SUMIFS(領用表!$L:$L,領用表!$E:$E,$B144,領用表!$B:$B,N$2&amp;$R$1)</f>
        <v>0</v>
      </c>
      <c r="O144" s="142">
        <f>SUMIFS(領用表!$L:$L,領用表!$E:$E,$B144,領用表!$B:$B,O$2&amp;$R$1)</f>
        <v>0</v>
      </c>
      <c r="P144" s="23">
        <f t="shared" si="28"/>
        <v>0</v>
      </c>
      <c r="Q144" s="23">
        <f t="shared" si="29"/>
        <v>0</v>
      </c>
      <c r="R144" s="142">
        <f>SUMIFS(領用表!$L:$L,領用表!$E:$E,$B144,領用表!$B:$B,R$2&amp;$R$1)</f>
        <v>0</v>
      </c>
      <c r="S144" s="405">
        <f>SUMIFS(領用表!$L:$L,領用表!$E:$E,$B144,領用表!$B:$B,S$2&amp;$R$1)</f>
        <v>0</v>
      </c>
      <c r="T144" s="405">
        <f>SUMIFS(領用表!$L:$L,領用表!$E:$E,$B144,領用表!$B:$B,T$2&amp;$R$1)</f>
        <v>0</v>
      </c>
      <c r="U144" s="405">
        <f>SUMIFS(領用表!$L:$L,領用表!$E:$E,$B144,領用表!$B:$B,U$2&amp;$R$1)</f>
        <v>0</v>
      </c>
      <c r="V144" s="405">
        <f>SUMIFS(領用表!$L:$L,領用表!$E:$E,$B144,領用表!$B:$B,V$2&amp;$R$1)</f>
        <v>0</v>
      </c>
      <c r="W144" s="405">
        <f>SUMIFS(領用表!$L:$L,領用表!$E:$E,$B144,領用表!$B:$B,W$2&amp;$R$1)</f>
        <v>0</v>
      </c>
      <c r="X144" s="405">
        <f>SUMIFS(領用表!$L:$L,領用表!$E:$E,$B144,領用表!$B:$B,X$2&amp;$R$1)</f>
        <v>0</v>
      </c>
      <c r="Y144" s="405">
        <f>SUMIFS(領用表!$L:$L,領用表!$E:$E,$B144,領用表!$B:$B,Y$2&amp;$R$1)</f>
        <v>0</v>
      </c>
      <c r="Z144" s="405">
        <f>SUMIFS(領用表!$L:$L,領用表!$E:$E,$B144,領用表!$B:$B,Z$2&amp;$R$1)</f>
        <v>0</v>
      </c>
      <c r="AA144" s="405">
        <f>SUMIFS(領用表!$L:$L,領用表!$E:$E,$B144,領用表!$B:$B,AA$2&amp;$R$1)</f>
        <v>0</v>
      </c>
      <c r="AB144" s="405">
        <f>SUMIFS(領用表!$L:$L,領用表!$E:$E,$B144,領用表!$B:$B,AB$2&amp;$R$1)</f>
        <v>0</v>
      </c>
      <c r="AC144" s="405">
        <f>SUMIFS(領用表!$L:$L,領用表!$E:$E,$B144,領用表!$B:$B,AC$2&amp;$R$1)</f>
        <v>0</v>
      </c>
      <c r="AD144" s="405">
        <f t="shared" si="26"/>
        <v>0</v>
      </c>
      <c r="AE144" s="405">
        <f t="shared" si="27"/>
        <v>0</v>
      </c>
      <c r="AF144" s="405">
        <f>SUMIF(Summary!B:B,B144,Summary!DV:DV)</f>
        <v>0</v>
      </c>
      <c r="AG144" s="112">
        <v>0</v>
      </c>
      <c r="AH144" s="80"/>
      <c r="AI144" s="76" t="s">
        <v>188</v>
      </c>
      <c r="AJ144" s="76"/>
      <c r="AK144" s="27"/>
      <c r="AL144" s="27"/>
      <c r="AM144" s="14"/>
      <c r="AN144" s="14"/>
    </row>
    <row r="145" spans="1:40" ht="15" customHeight="1">
      <c r="A145" s="27" t="s">
        <v>189</v>
      </c>
      <c r="B145" s="14" t="e">
        <v>#N/A</v>
      </c>
      <c r="C145" s="136" t="s">
        <v>564</v>
      </c>
      <c r="D145" s="77"/>
      <c r="E145" s="17" t="s">
        <v>15</v>
      </c>
      <c r="F145" s="70"/>
      <c r="G145" s="18"/>
      <c r="H145" s="15"/>
      <c r="I145" s="84"/>
      <c r="J145" s="20">
        <f>SUMIFS(領用表!$L:$L,領用表!$E:$E,$B145,領用表!$B:$B,J$2&amp;$R$1)</f>
        <v>0</v>
      </c>
      <c r="K145" s="20">
        <f>SUMIFS(領用表!$L:$L,領用表!$E:$E,$B145,領用表!$B:$B,K$2&amp;$R$1)</f>
        <v>0</v>
      </c>
      <c r="L145" s="20">
        <f>SUMIFS(領用表!$L:$L,領用表!$E:$E,$B145,領用表!$B:$B,L$2&amp;$R$1)</f>
        <v>0</v>
      </c>
      <c r="M145" s="142">
        <f>SUMIFS(領用表!$L:$L,領用表!$E:$E,$B145,領用表!$B:$B,M$2&amp;$R$1)</f>
        <v>0</v>
      </c>
      <c r="N145" s="142">
        <f>SUMIFS(領用表!$L:$L,領用表!$E:$E,$B145,領用表!$B:$B,N$2&amp;$R$1)</f>
        <v>0</v>
      </c>
      <c r="O145" s="142">
        <f>SUMIFS(領用表!$L:$L,領用表!$E:$E,$B145,領用表!$B:$B,O$2&amp;$R$1)</f>
        <v>0</v>
      </c>
      <c r="P145" s="23">
        <f t="shared" si="28"/>
        <v>0</v>
      </c>
      <c r="Q145" s="23">
        <f t="shared" si="29"/>
        <v>0</v>
      </c>
      <c r="R145" s="142">
        <f>SUMIFS(領用表!$L:$L,領用表!$E:$E,$B145,領用表!$B:$B,R$2&amp;$R$1)</f>
        <v>0</v>
      </c>
      <c r="S145" s="405">
        <f>SUMIFS(領用表!$L:$L,領用表!$E:$E,$B145,領用表!$B:$B,S$2&amp;$R$1)</f>
        <v>0</v>
      </c>
      <c r="T145" s="405">
        <f>SUMIFS(領用表!$L:$L,領用表!$E:$E,$B145,領用表!$B:$B,T$2&amp;$R$1)</f>
        <v>0</v>
      </c>
      <c r="U145" s="405">
        <f>SUMIFS(領用表!$L:$L,領用表!$E:$E,$B145,領用表!$B:$B,U$2&amp;$R$1)</f>
        <v>0</v>
      </c>
      <c r="V145" s="405">
        <f>SUMIFS(領用表!$L:$L,領用表!$E:$E,$B145,領用表!$B:$B,V$2&amp;$R$1)</f>
        <v>0</v>
      </c>
      <c r="W145" s="405">
        <f>SUMIFS(領用表!$L:$L,領用表!$E:$E,$B145,領用表!$B:$B,W$2&amp;$R$1)</f>
        <v>0</v>
      </c>
      <c r="X145" s="405">
        <f>SUMIFS(領用表!$L:$L,領用表!$E:$E,$B145,領用表!$B:$B,X$2&amp;$R$1)</f>
        <v>0</v>
      </c>
      <c r="Y145" s="405">
        <f>SUMIFS(領用表!$L:$L,領用表!$E:$E,$B145,領用表!$B:$B,Y$2&amp;$R$1)</f>
        <v>0</v>
      </c>
      <c r="Z145" s="405">
        <f>SUMIFS(領用表!$L:$L,領用表!$E:$E,$B145,領用表!$B:$B,Z$2&amp;$R$1)</f>
        <v>0</v>
      </c>
      <c r="AA145" s="405">
        <f>SUMIFS(領用表!$L:$L,領用表!$E:$E,$B145,領用表!$B:$B,AA$2&amp;$R$1)</f>
        <v>0</v>
      </c>
      <c r="AB145" s="405">
        <f>SUMIFS(領用表!$L:$L,領用表!$E:$E,$B145,領用表!$B:$B,AB$2&amp;$R$1)</f>
        <v>0</v>
      </c>
      <c r="AC145" s="405">
        <f>SUMIFS(領用表!$L:$L,領用表!$E:$E,$B145,領用表!$B:$B,AC$2&amp;$R$1)</f>
        <v>0</v>
      </c>
      <c r="AD145" s="405">
        <f t="shared" si="26"/>
        <v>0</v>
      </c>
      <c r="AE145" s="405">
        <f t="shared" si="27"/>
        <v>0</v>
      </c>
      <c r="AF145" s="405">
        <f>SUMIF(Summary!B:B,B145,Summary!DV:DV)</f>
        <v>0</v>
      </c>
      <c r="AG145" s="112">
        <v>0</v>
      </c>
      <c r="AH145" s="80"/>
      <c r="AI145" s="76" t="s">
        <v>190</v>
      </c>
      <c r="AJ145" s="76"/>
      <c r="AK145" s="27"/>
      <c r="AL145" s="27"/>
      <c r="AM145" s="14"/>
      <c r="AN145" s="14"/>
    </row>
    <row r="146" spans="1:40" ht="15" customHeight="1">
      <c r="A146" s="27" t="s">
        <v>191</v>
      </c>
      <c r="B146" s="14">
        <v>6060001</v>
      </c>
      <c r="C146" s="136" t="s">
        <v>565</v>
      </c>
      <c r="D146" s="77"/>
      <c r="E146" s="17" t="s">
        <v>15</v>
      </c>
      <c r="F146" s="70"/>
      <c r="G146" s="18"/>
      <c r="H146" s="68" t="e">
        <f>SUM(#REF!)</f>
        <v>#REF!</v>
      </c>
      <c r="I146" s="26" t="e">
        <f t="shared" ref="I146:I158" si="30">H146/12</f>
        <v>#REF!</v>
      </c>
      <c r="J146" s="20">
        <f>SUMIFS(領用表!$L:$L,領用表!$E:$E,$B146,領用表!$B:$B,J$2&amp;$R$1)</f>
        <v>0</v>
      </c>
      <c r="K146" s="20">
        <f>SUMIFS(領用表!$L:$L,領用表!$E:$E,$B146,領用表!$B:$B,K$2&amp;$R$1)</f>
        <v>0</v>
      </c>
      <c r="L146" s="20">
        <f>SUMIFS(領用表!$L:$L,領用表!$E:$E,$B146,領用表!$B:$B,L$2&amp;$R$1)</f>
        <v>0</v>
      </c>
      <c r="M146" s="142">
        <f>SUMIFS(領用表!$L:$L,領用表!$E:$E,$B146,領用表!$B:$B,M$2&amp;$R$1)</f>
        <v>0</v>
      </c>
      <c r="N146" s="142">
        <f>SUMIFS(領用表!$L:$L,領用表!$E:$E,$B146,領用表!$B:$B,N$2&amp;$R$1)</f>
        <v>0</v>
      </c>
      <c r="O146" s="142">
        <f>SUMIFS(領用表!$L:$L,領用表!$E:$E,$B146,領用表!$B:$B,O$2&amp;$R$1)</f>
        <v>0</v>
      </c>
      <c r="P146" s="23">
        <f t="shared" si="28"/>
        <v>0</v>
      </c>
      <c r="Q146" s="23">
        <f t="shared" si="29"/>
        <v>0</v>
      </c>
      <c r="R146" s="142">
        <f>SUMIFS(領用表!$L:$L,領用表!$E:$E,$B146,領用表!$B:$B,R$2&amp;$R$1)</f>
        <v>0</v>
      </c>
      <c r="S146" s="142">
        <f>SUMIFS(領用表!$L:$L,領用表!$E:$E,$B146,領用表!$B:$B,S$2&amp;$R$1)</f>
        <v>0</v>
      </c>
      <c r="T146" s="142">
        <f>SUMIFS(領用表!$L:$L,領用表!$E:$E,$B146,領用表!$B:$B,T$2&amp;$R$1)</f>
        <v>123</v>
      </c>
      <c r="U146" s="142">
        <f>SUMIFS(領用表!$L:$L,領用表!$E:$E,$B146,領用表!$B:$B,U$2&amp;$R$1)</f>
        <v>0</v>
      </c>
      <c r="V146" s="142">
        <f>SUMIFS(領用表!$L:$L,領用表!$E:$E,$B146,領用表!$B:$B,V$2&amp;$R$1)</f>
        <v>56</v>
      </c>
      <c r="W146" s="142">
        <f>SUMIFS(領用表!$L:$L,領用表!$E:$E,$B146,領用表!$B:$B,W$2&amp;$R$1)</f>
        <v>0</v>
      </c>
      <c r="X146" s="142">
        <f>SUMIFS(領用表!$L:$L,領用表!$E:$E,$B146,領用表!$B:$B,X$2&amp;$R$1)</f>
        <v>0</v>
      </c>
      <c r="Y146" s="142">
        <f>SUMIFS(領用表!$L:$L,領用表!$E:$E,$B146,領用表!$B:$B,Y$2&amp;$R$1)</f>
        <v>0</v>
      </c>
      <c r="Z146" s="142">
        <f>SUMIFS(領用表!$L:$L,領用表!$E:$E,$B146,領用表!$B:$B,Z$2&amp;$R$1)</f>
        <v>0</v>
      </c>
      <c r="AA146" s="142">
        <f>SUMIFS(領用表!$L:$L,領用表!$E:$E,$B146,領用表!$B:$B,AA$2&amp;$R$1)</f>
        <v>0</v>
      </c>
      <c r="AB146" s="142">
        <f>SUMIFS(領用表!$L:$L,領用表!$E:$E,$B146,領用表!$B:$B,AB$2&amp;$R$1)</f>
        <v>0</v>
      </c>
      <c r="AC146" s="142">
        <f>SUMIFS(領用表!$L:$L,領用表!$E:$E,$B146,領用表!$B:$B,AC$2&amp;$R$1)</f>
        <v>0</v>
      </c>
      <c r="AD146" s="142">
        <f t="shared" si="26"/>
        <v>179</v>
      </c>
      <c r="AE146" s="142">
        <f t="shared" si="27"/>
        <v>35.799999999999997</v>
      </c>
      <c r="AF146" s="142">
        <f>SUMIF(Summary!B:B,B146,Summary!DV:DV)</f>
        <v>0</v>
      </c>
      <c r="AG146" s="109">
        <v>5</v>
      </c>
      <c r="AH146" s="65"/>
      <c r="AI146" s="76" t="s">
        <v>192</v>
      </c>
      <c r="AJ146" s="76"/>
      <c r="AK146" s="27"/>
      <c r="AL146" s="27"/>
      <c r="AM146" s="14"/>
      <c r="AN146" s="14"/>
    </row>
    <row r="147" spans="1:40" ht="15.75" customHeight="1">
      <c r="A147" s="27" t="s">
        <v>193</v>
      </c>
      <c r="B147" s="14" t="e">
        <v>#N/A</v>
      </c>
      <c r="C147" s="136" t="s">
        <v>566</v>
      </c>
      <c r="D147" s="77"/>
      <c r="E147" s="17" t="s">
        <v>15</v>
      </c>
      <c r="F147" s="70"/>
      <c r="G147" s="18"/>
      <c r="H147" s="68" t="e">
        <f>SUM(#REF!)</f>
        <v>#REF!</v>
      </c>
      <c r="I147" s="26" t="e">
        <f t="shared" si="30"/>
        <v>#REF!</v>
      </c>
      <c r="J147" s="20">
        <f>SUMIFS(領用表!$L:$L,領用表!$E:$E,$B147,領用表!$B:$B,J$2&amp;$R$1)</f>
        <v>0</v>
      </c>
      <c r="K147" s="20">
        <f>SUMIFS(領用表!$L:$L,領用表!$E:$E,$B147,領用表!$B:$B,K$2&amp;$R$1)</f>
        <v>0</v>
      </c>
      <c r="L147" s="20">
        <f>SUMIFS(領用表!$L:$L,領用表!$E:$E,$B147,領用表!$B:$B,L$2&amp;$R$1)</f>
        <v>0</v>
      </c>
      <c r="M147" s="142">
        <f>SUMIFS(領用表!$L:$L,領用表!$E:$E,$B147,領用表!$B:$B,M$2&amp;$R$1)</f>
        <v>0</v>
      </c>
      <c r="N147" s="142">
        <f>SUMIFS(領用表!$L:$L,領用表!$E:$E,$B147,領用表!$B:$B,N$2&amp;$R$1)</f>
        <v>0</v>
      </c>
      <c r="O147" s="142">
        <f>SUMIFS(領用表!$L:$L,領用表!$E:$E,$B147,領用表!$B:$B,O$2&amp;$R$1)</f>
        <v>0</v>
      </c>
      <c r="P147" s="23">
        <f t="shared" si="28"/>
        <v>0</v>
      </c>
      <c r="Q147" s="23">
        <f t="shared" si="29"/>
        <v>0</v>
      </c>
      <c r="R147" s="142">
        <f>SUMIFS(領用表!$L:$L,領用表!$E:$E,$B147,領用表!$B:$B,R$2&amp;$R$1)</f>
        <v>0</v>
      </c>
      <c r="S147" s="142">
        <f>SUMIFS(領用表!$L:$L,領用表!$E:$E,$B147,領用表!$B:$B,S$2&amp;$R$1)</f>
        <v>0</v>
      </c>
      <c r="T147" s="142">
        <f>SUMIFS(領用表!$L:$L,領用表!$E:$E,$B147,領用表!$B:$B,T$2&amp;$R$1)</f>
        <v>0</v>
      </c>
      <c r="U147" s="142">
        <f>SUMIFS(領用表!$L:$L,領用表!$E:$E,$B147,領用表!$B:$B,U$2&amp;$R$1)</f>
        <v>0</v>
      </c>
      <c r="V147" s="142">
        <f>SUMIFS(領用表!$L:$L,領用表!$E:$E,$B147,領用表!$B:$B,V$2&amp;$R$1)</f>
        <v>0</v>
      </c>
      <c r="W147" s="142">
        <f>SUMIFS(領用表!$L:$L,領用表!$E:$E,$B147,領用表!$B:$B,W$2&amp;$R$1)</f>
        <v>0</v>
      </c>
      <c r="X147" s="142">
        <f>SUMIFS(領用表!$L:$L,領用表!$E:$E,$B147,領用表!$B:$B,X$2&amp;$R$1)</f>
        <v>0</v>
      </c>
      <c r="Y147" s="142">
        <f>SUMIFS(領用表!$L:$L,領用表!$E:$E,$B147,領用表!$B:$B,Y$2&amp;$R$1)</f>
        <v>0</v>
      </c>
      <c r="Z147" s="142">
        <f>SUMIFS(領用表!$L:$L,領用表!$E:$E,$B147,領用表!$B:$B,Z$2&amp;$R$1)</f>
        <v>0</v>
      </c>
      <c r="AA147" s="142">
        <f>SUMIFS(領用表!$L:$L,領用表!$E:$E,$B147,領用表!$B:$B,AA$2&amp;$R$1)</f>
        <v>0</v>
      </c>
      <c r="AB147" s="142">
        <f>SUMIFS(領用表!$L:$L,領用表!$E:$E,$B147,領用表!$B:$B,AB$2&amp;$R$1)</f>
        <v>0</v>
      </c>
      <c r="AC147" s="142">
        <f>SUMIFS(領用表!$L:$L,領用表!$E:$E,$B147,領用表!$B:$B,AC$2&amp;$R$1)</f>
        <v>0</v>
      </c>
      <c r="AD147" s="142">
        <f t="shared" si="26"/>
        <v>0</v>
      </c>
      <c r="AE147" s="142">
        <f t="shared" si="27"/>
        <v>0</v>
      </c>
      <c r="AF147" s="142">
        <f>SUMIF(Summary!B:B,B147,Summary!DV:DV)</f>
        <v>0</v>
      </c>
      <c r="AG147" s="109">
        <v>10</v>
      </c>
      <c r="AH147" s="65"/>
      <c r="AI147" s="76"/>
      <c r="AJ147" s="76"/>
      <c r="AK147" s="27"/>
      <c r="AL147" s="27"/>
      <c r="AM147" s="14"/>
      <c r="AN147" s="14"/>
    </row>
    <row r="148" spans="1:40" ht="15.75" hidden="1" customHeight="1">
      <c r="A148" s="27" t="s">
        <v>194</v>
      </c>
      <c r="B148" s="14" t="e">
        <v>#N/A</v>
      </c>
      <c r="C148" s="136" t="s">
        <v>567</v>
      </c>
      <c r="D148" s="77"/>
      <c r="E148" s="17" t="s">
        <v>15</v>
      </c>
      <c r="F148" s="70"/>
      <c r="G148" s="18"/>
      <c r="H148" s="68" t="e">
        <f>SUM(#REF!)</f>
        <v>#REF!</v>
      </c>
      <c r="I148" s="26" t="e">
        <f t="shared" si="30"/>
        <v>#REF!</v>
      </c>
      <c r="J148" s="20">
        <f>SUMIFS(領用表!$L:$L,領用表!$E:$E,$B148,領用表!$B:$B,J$2&amp;$R$1)</f>
        <v>0</v>
      </c>
      <c r="K148" s="20">
        <f>SUMIFS(領用表!$L:$L,領用表!$E:$E,$B148,領用表!$B:$B,K$2&amp;$R$1)</f>
        <v>0</v>
      </c>
      <c r="L148" s="20">
        <f>SUMIFS(領用表!$L:$L,領用表!$E:$E,$B148,領用表!$B:$B,L$2&amp;$R$1)</f>
        <v>0</v>
      </c>
      <c r="M148" s="142">
        <f>SUMIFS(領用表!$L:$L,領用表!$E:$E,$B148,領用表!$B:$B,M$2&amp;$R$1)</f>
        <v>0</v>
      </c>
      <c r="N148" s="142">
        <f>SUMIFS(領用表!$L:$L,領用表!$E:$E,$B148,領用表!$B:$B,N$2&amp;$R$1)</f>
        <v>0</v>
      </c>
      <c r="O148" s="142">
        <f>SUMIFS(領用表!$L:$L,領用表!$E:$E,$B148,領用表!$B:$B,O$2&amp;$R$1)</f>
        <v>0</v>
      </c>
      <c r="P148" s="23">
        <f t="shared" si="28"/>
        <v>0</v>
      </c>
      <c r="Q148" s="23">
        <f t="shared" si="29"/>
        <v>0</v>
      </c>
      <c r="R148" s="142">
        <f>SUMIFS(領用表!$L:$L,領用表!$E:$E,$B148,領用表!$B:$B,R$2&amp;$R$1)</f>
        <v>0</v>
      </c>
      <c r="S148" s="142">
        <f>SUMIFS(領用表!$L:$L,領用表!$E:$E,$B148,領用表!$B:$B,S$2&amp;$R$1)</f>
        <v>0</v>
      </c>
      <c r="T148" s="142">
        <f>SUMIFS(領用表!$L:$L,領用表!$E:$E,$B148,領用表!$B:$B,T$2&amp;$R$1)</f>
        <v>0</v>
      </c>
      <c r="U148" s="142">
        <f>SUMIFS(領用表!$L:$L,領用表!$E:$E,$B148,領用表!$B:$B,U$2&amp;$R$1)</f>
        <v>0</v>
      </c>
      <c r="V148" s="142">
        <f>SUMIFS(領用表!$L:$L,領用表!$E:$E,$B148,領用表!$B:$B,V$2&amp;$R$1)</f>
        <v>0</v>
      </c>
      <c r="W148" s="142">
        <f>SUMIFS(領用表!$L:$L,領用表!$E:$E,$B148,領用表!$B:$B,W$2&amp;$R$1)</f>
        <v>0</v>
      </c>
      <c r="X148" s="142">
        <f>SUMIFS(領用表!$L:$L,領用表!$E:$E,$B148,領用表!$B:$B,X$2&amp;$R$1)</f>
        <v>0</v>
      </c>
      <c r="Y148" s="142">
        <f>SUMIFS(領用表!$L:$L,領用表!$E:$E,$B148,領用表!$B:$B,Y$2&amp;$R$1)</f>
        <v>0</v>
      </c>
      <c r="Z148" s="142">
        <f>SUMIFS(領用表!$L:$L,領用表!$E:$E,$B148,領用表!$B:$B,Z$2&amp;$R$1)</f>
        <v>0</v>
      </c>
      <c r="AA148" s="142">
        <f>SUMIFS(領用表!$L:$L,領用表!$E:$E,$B148,領用表!$B:$B,AA$2&amp;$R$1)</f>
        <v>0</v>
      </c>
      <c r="AB148" s="142">
        <f>SUMIFS(領用表!$L:$L,領用表!$E:$E,$B148,領用表!$B:$B,AB$2&amp;$R$1)</f>
        <v>0</v>
      </c>
      <c r="AC148" s="142">
        <f>SUMIFS(領用表!$L:$L,領用表!$E:$E,$B148,領用表!$B:$B,AC$2&amp;$R$1)</f>
        <v>0</v>
      </c>
      <c r="AD148" s="142">
        <f t="shared" si="26"/>
        <v>0</v>
      </c>
      <c r="AE148" s="142">
        <f t="shared" si="27"/>
        <v>0</v>
      </c>
      <c r="AF148" s="142">
        <f>SUMIF(Summary!B:B,B148,Summary!DV:DV)</f>
        <v>0</v>
      </c>
      <c r="AG148" s="109"/>
      <c r="AH148" s="65"/>
      <c r="AI148" s="76"/>
      <c r="AJ148" s="76"/>
    </row>
    <row r="149" spans="1:40" ht="15.75" hidden="1" customHeight="1">
      <c r="A149" s="27" t="s">
        <v>195</v>
      </c>
      <c r="B149" s="14" t="e">
        <v>#N/A</v>
      </c>
      <c r="C149" s="136" t="s">
        <v>568</v>
      </c>
      <c r="D149" s="77"/>
      <c r="E149" s="17" t="s">
        <v>15</v>
      </c>
      <c r="F149" s="70"/>
      <c r="G149" s="18"/>
      <c r="H149" s="68" t="e">
        <f>SUM(#REF!)</f>
        <v>#REF!</v>
      </c>
      <c r="I149" s="26" t="e">
        <f t="shared" si="30"/>
        <v>#REF!</v>
      </c>
      <c r="J149" s="20">
        <f>SUMIFS(領用表!$L:$L,領用表!$E:$E,$B149,領用表!$B:$B,J$2&amp;$R$1)</f>
        <v>0</v>
      </c>
      <c r="K149" s="20">
        <f>SUMIFS(領用表!$L:$L,領用表!$E:$E,$B149,領用表!$B:$B,K$2&amp;$R$1)</f>
        <v>0</v>
      </c>
      <c r="L149" s="20">
        <f>SUMIFS(領用表!$L:$L,領用表!$E:$E,$B149,領用表!$B:$B,L$2&amp;$R$1)</f>
        <v>0</v>
      </c>
      <c r="M149" s="142">
        <f>SUMIFS(領用表!$L:$L,領用表!$E:$E,$B149,領用表!$B:$B,M$2&amp;$R$1)</f>
        <v>0</v>
      </c>
      <c r="N149" s="142">
        <f>SUMIFS(領用表!$L:$L,領用表!$E:$E,$B149,領用表!$B:$B,N$2&amp;$R$1)</f>
        <v>0</v>
      </c>
      <c r="O149" s="142">
        <f>SUMIFS(領用表!$L:$L,領用表!$E:$E,$B149,領用表!$B:$B,O$2&amp;$R$1)</f>
        <v>0</v>
      </c>
      <c r="P149" s="23">
        <f t="shared" si="28"/>
        <v>0</v>
      </c>
      <c r="Q149" s="23">
        <f t="shared" si="29"/>
        <v>0</v>
      </c>
      <c r="R149" s="142">
        <f>SUMIFS(領用表!$L:$L,領用表!$E:$E,$B149,領用表!$B:$B,R$2&amp;$R$1)</f>
        <v>0</v>
      </c>
      <c r="S149" s="142">
        <f>SUMIFS(領用表!$L:$L,領用表!$E:$E,$B149,領用表!$B:$B,S$2&amp;$R$1)</f>
        <v>0</v>
      </c>
      <c r="T149" s="142">
        <f>SUMIFS(領用表!$L:$L,領用表!$E:$E,$B149,領用表!$B:$B,T$2&amp;$R$1)</f>
        <v>0</v>
      </c>
      <c r="U149" s="142">
        <f>SUMIFS(領用表!$L:$L,領用表!$E:$E,$B149,領用表!$B:$B,U$2&amp;$R$1)</f>
        <v>0</v>
      </c>
      <c r="V149" s="142">
        <f>SUMIFS(領用表!$L:$L,領用表!$E:$E,$B149,領用表!$B:$B,V$2&amp;$R$1)</f>
        <v>0</v>
      </c>
      <c r="W149" s="142">
        <f>SUMIFS(領用表!$L:$L,領用表!$E:$E,$B149,領用表!$B:$B,W$2&amp;$R$1)</f>
        <v>0</v>
      </c>
      <c r="X149" s="142">
        <f>SUMIFS(領用表!$L:$L,領用表!$E:$E,$B149,領用表!$B:$B,X$2&amp;$R$1)</f>
        <v>0</v>
      </c>
      <c r="Y149" s="142">
        <f>SUMIFS(領用表!$L:$L,領用表!$E:$E,$B149,領用表!$B:$B,Y$2&amp;$R$1)</f>
        <v>0</v>
      </c>
      <c r="Z149" s="142">
        <f>SUMIFS(領用表!$L:$L,領用表!$E:$E,$B149,領用表!$B:$B,Z$2&amp;$R$1)</f>
        <v>0</v>
      </c>
      <c r="AA149" s="142">
        <f>SUMIFS(領用表!$L:$L,領用表!$E:$E,$B149,領用表!$B:$B,AA$2&amp;$R$1)</f>
        <v>0</v>
      </c>
      <c r="AB149" s="142">
        <f>SUMIFS(領用表!$L:$L,領用表!$E:$E,$B149,領用表!$B:$B,AB$2&amp;$R$1)</f>
        <v>0</v>
      </c>
      <c r="AC149" s="142">
        <f>SUMIFS(領用表!$L:$L,領用表!$E:$E,$B149,領用表!$B:$B,AC$2&amp;$R$1)</f>
        <v>0</v>
      </c>
      <c r="AD149" s="142">
        <f t="shared" si="26"/>
        <v>0</v>
      </c>
      <c r="AE149" s="142">
        <f t="shared" si="27"/>
        <v>0</v>
      </c>
      <c r="AF149" s="142">
        <f>SUMIF(Summary!B:B,B149,Summary!DV:DV)</f>
        <v>0</v>
      </c>
      <c r="AG149" s="109"/>
      <c r="AH149" s="65"/>
      <c r="AI149" s="76"/>
      <c r="AJ149" s="76"/>
      <c r="AK149" s="14"/>
      <c r="AL149" s="14"/>
      <c r="AM149" s="14"/>
      <c r="AN149" s="14"/>
    </row>
    <row r="150" spans="1:40" ht="15.75" hidden="1" customHeight="1">
      <c r="A150" s="27" t="s">
        <v>196</v>
      </c>
      <c r="B150" s="14" t="e">
        <v>#N/A</v>
      </c>
      <c r="C150" s="136" t="s">
        <v>569</v>
      </c>
      <c r="D150" s="77"/>
      <c r="E150" s="17" t="s">
        <v>15</v>
      </c>
      <c r="F150" s="70"/>
      <c r="G150" s="18"/>
      <c r="H150" s="68" t="e">
        <f>SUM(#REF!)</f>
        <v>#REF!</v>
      </c>
      <c r="I150" s="26" t="e">
        <f t="shared" si="30"/>
        <v>#REF!</v>
      </c>
      <c r="J150" s="20">
        <f>SUMIFS(領用表!$L:$L,領用表!$E:$E,$B150,領用表!$B:$B,J$2&amp;$R$1)</f>
        <v>0</v>
      </c>
      <c r="K150" s="20">
        <f>SUMIFS(領用表!$L:$L,領用表!$E:$E,$B150,領用表!$B:$B,K$2&amp;$R$1)</f>
        <v>0</v>
      </c>
      <c r="L150" s="20">
        <f>SUMIFS(領用表!$L:$L,領用表!$E:$E,$B150,領用表!$B:$B,L$2&amp;$R$1)</f>
        <v>0</v>
      </c>
      <c r="M150" s="142">
        <f>SUMIFS(領用表!$L:$L,領用表!$E:$E,$B150,領用表!$B:$B,M$2&amp;$R$1)</f>
        <v>0</v>
      </c>
      <c r="N150" s="142">
        <f>SUMIFS(領用表!$L:$L,領用表!$E:$E,$B150,領用表!$B:$B,N$2&amp;$R$1)</f>
        <v>0</v>
      </c>
      <c r="O150" s="142">
        <f>SUMIFS(領用表!$L:$L,領用表!$E:$E,$B150,領用表!$B:$B,O$2&amp;$R$1)</f>
        <v>0</v>
      </c>
      <c r="P150" s="23">
        <f t="shared" si="28"/>
        <v>0</v>
      </c>
      <c r="Q150" s="23">
        <f t="shared" si="29"/>
        <v>0</v>
      </c>
      <c r="R150" s="142">
        <f>SUMIFS(領用表!$L:$L,領用表!$E:$E,$B150,領用表!$B:$B,R$2&amp;$R$1)</f>
        <v>0</v>
      </c>
      <c r="S150" s="142">
        <f>SUMIFS(領用表!$L:$L,領用表!$E:$E,$B150,領用表!$B:$B,S$2&amp;$R$1)</f>
        <v>0</v>
      </c>
      <c r="T150" s="142">
        <f>SUMIFS(領用表!$L:$L,領用表!$E:$E,$B150,領用表!$B:$B,T$2&amp;$R$1)</f>
        <v>0</v>
      </c>
      <c r="U150" s="142">
        <f>SUMIFS(領用表!$L:$L,領用表!$E:$E,$B150,領用表!$B:$B,U$2&amp;$R$1)</f>
        <v>0</v>
      </c>
      <c r="V150" s="142">
        <f>SUMIFS(領用表!$L:$L,領用表!$E:$E,$B150,領用表!$B:$B,V$2&amp;$R$1)</f>
        <v>0</v>
      </c>
      <c r="W150" s="142">
        <f>SUMIFS(領用表!$L:$L,領用表!$E:$E,$B150,領用表!$B:$B,W$2&amp;$R$1)</f>
        <v>0</v>
      </c>
      <c r="X150" s="142">
        <f>SUMIFS(領用表!$L:$L,領用表!$E:$E,$B150,領用表!$B:$B,X$2&amp;$R$1)</f>
        <v>0</v>
      </c>
      <c r="Y150" s="142">
        <f>SUMIFS(領用表!$L:$L,領用表!$E:$E,$B150,領用表!$B:$B,Y$2&amp;$R$1)</f>
        <v>0</v>
      </c>
      <c r="Z150" s="142">
        <f>SUMIFS(領用表!$L:$L,領用表!$E:$E,$B150,領用表!$B:$B,Z$2&amp;$R$1)</f>
        <v>0</v>
      </c>
      <c r="AA150" s="142">
        <f>SUMIFS(領用表!$L:$L,領用表!$E:$E,$B150,領用表!$B:$B,AA$2&amp;$R$1)</f>
        <v>0</v>
      </c>
      <c r="AB150" s="142">
        <f>SUMIFS(領用表!$L:$L,領用表!$E:$E,$B150,領用表!$B:$B,AB$2&amp;$R$1)</f>
        <v>0</v>
      </c>
      <c r="AC150" s="142">
        <f>SUMIFS(領用表!$L:$L,領用表!$E:$E,$B150,領用表!$B:$B,AC$2&amp;$R$1)</f>
        <v>0</v>
      </c>
      <c r="AD150" s="142">
        <f t="shared" si="26"/>
        <v>0</v>
      </c>
      <c r="AE150" s="142">
        <f t="shared" si="27"/>
        <v>0</v>
      </c>
      <c r="AF150" s="142">
        <f>SUMIF(Summary!B:B,B150,Summary!DV:DV)</f>
        <v>0</v>
      </c>
      <c r="AG150" s="109"/>
      <c r="AH150" s="65"/>
      <c r="AI150" s="76"/>
      <c r="AJ150" s="76"/>
      <c r="AK150" s="27"/>
      <c r="AL150" s="27"/>
      <c r="AM150" s="14"/>
      <c r="AN150" s="14"/>
    </row>
    <row r="151" spans="1:40" ht="15.75" hidden="1" customHeight="1">
      <c r="A151" s="27" t="s">
        <v>197</v>
      </c>
      <c r="B151" s="14">
        <v>6050007</v>
      </c>
      <c r="C151" s="136" t="s">
        <v>570</v>
      </c>
      <c r="D151" s="77"/>
      <c r="E151" s="17" t="s">
        <v>15</v>
      </c>
      <c r="F151" s="70"/>
      <c r="G151" s="18"/>
      <c r="H151" s="68" t="e">
        <f>SUM(#REF!)</f>
        <v>#REF!</v>
      </c>
      <c r="I151" s="26" t="e">
        <f t="shared" si="30"/>
        <v>#REF!</v>
      </c>
      <c r="J151" s="20">
        <f>SUMIFS(領用表!$L:$L,領用表!$E:$E,$B151,領用表!$B:$B,J$2&amp;$R$1)</f>
        <v>0</v>
      </c>
      <c r="K151" s="20">
        <f>SUMIFS(領用表!$L:$L,領用表!$E:$E,$B151,領用表!$B:$B,K$2&amp;$R$1)</f>
        <v>0</v>
      </c>
      <c r="L151" s="20">
        <f>SUMIFS(領用表!$L:$L,領用表!$E:$E,$B151,領用表!$B:$B,L$2&amp;$R$1)</f>
        <v>0</v>
      </c>
      <c r="M151" s="142">
        <f>SUMIFS(領用表!$L:$L,領用表!$E:$E,$B151,領用表!$B:$B,M$2&amp;$R$1)</f>
        <v>0</v>
      </c>
      <c r="N151" s="142">
        <f>SUMIFS(領用表!$L:$L,領用表!$E:$E,$B151,領用表!$B:$B,N$2&amp;$R$1)</f>
        <v>0</v>
      </c>
      <c r="O151" s="142">
        <f>SUMIFS(領用表!$L:$L,領用表!$E:$E,$B151,領用表!$B:$B,O$2&amp;$R$1)</f>
        <v>0</v>
      </c>
      <c r="P151" s="23">
        <f t="shared" si="28"/>
        <v>0</v>
      </c>
      <c r="Q151" s="23">
        <f t="shared" si="29"/>
        <v>0</v>
      </c>
      <c r="R151" s="142">
        <f>SUMIFS(領用表!$L:$L,領用表!$E:$E,$B151,領用表!$B:$B,R$2&amp;$R$1)</f>
        <v>0</v>
      </c>
      <c r="S151" s="142">
        <f>SUMIFS(領用表!$L:$L,領用表!$E:$E,$B151,領用表!$B:$B,S$2&amp;$R$1)</f>
        <v>0</v>
      </c>
      <c r="T151" s="142">
        <f>SUMIFS(領用表!$L:$L,領用表!$E:$E,$B151,領用表!$B:$B,T$2&amp;$R$1)</f>
        <v>0</v>
      </c>
      <c r="U151" s="142">
        <f>SUMIFS(領用表!$L:$L,領用表!$E:$E,$B151,領用表!$B:$B,U$2&amp;$R$1)</f>
        <v>0</v>
      </c>
      <c r="V151" s="142">
        <f>SUMIFS(領用表!$L:$L,領用表!$E:$E,$B151,領用表!$B:$B,V$2&amp;$R$1)</f>
        <v>0</v>
      </c>
      <c r="W151" s="142">
        <f>SUMIFS(領用表!$L:$L,領用表!$E:$E,$B151,領用表!$B:$B,W$2&amp;$R$1)</f>
        <v>0</v>
      </c>
      <c r="X151" s="142">
        <f>SUMIFS(領用表!$L:$L,領用表!$E:$E,$B151,領用表!$B:$B,X$2&amp;$R$1)</f>
        <v>0</v>
      </c>
      <c r="Y151" s="142">
        <f>SUMIFS(領用表!$L:$L,領用表!$E:$E,$B151,領用表!$B:$B,Y$2&amp;$R$1)</f>
        <v>0</v>
      </c>
      <c r="Z151" s="142">
        <f>SUMIFS(領用表!$L:$L,領用表!$E:$E,$B151,領用表!$B:$B,Z$2&amp;$R$1)</f>
        <v>0</v>
      </c>
      <c r="AA151" s="142">
        <f>SUMIFS(領用表!$L:$L,領用表!$E:$E,$B151,領用表!$B:$B,AA$2&amp;$R$1)</f>
        <v>0</v>
      </c>
      <c r="AB151" s="142">
        <f>SUMIFS(領用表!$L:$L,領用表!$E:$E,$B151,領用表!$B:$B,AB$2&amp;$R$1)</f>
        <v>0</v>
      </c>
      <c r="AC151" s="142">
        <f>SUMIFS(領用表!$L:$L,領用表!$E:$E,$B151,領用表!$B:$B,AC$2&amp;$R$1)</f>
        <v>0</v>
      </c>
      <c r="AD151" s="142">
        <f t="shared" si="26"/>
        <v>0</v>
      </c>
      <c r="AE151" s="142">
        <f t="shared" si="27"/>
        <v>0</v>
      </c>
      <c r="AF151" s="142">
        <f>SUMIF(Summary!B:B,B151,Summary!DV:DV)</f>
        <v>0</v>
      </c>
      <c r="AG151" s="109"/>
      <c r="AH151" s="65"/>
      <c r="AI151" s="76"/>
      <c r="AJ151" s="76"/>
      <c r="AK151" s="27"/>
      <c r="AL151" s="27"/>
      <c r="AM151" s="14"/>
      <c r="AN151" s="14"/>
    </row>
    <row r="152" spans="1:40" ht="15.75" customHeight="1">
      <c r="A152" s="27" t="s">
        <v>198</v>
      </c>
      <c r="B152" s="14">
        <v>6230002</v>
      </c>
      <c r="C152" s="136" t="s">
        <v>571</v>
      </c>
      <c r="D152" s="77"/>
      <c r="E152" s="17" t="s">
        <v>15</v>
      </c>
      <c r="F152" s="70"/>
      <c r="G152" s="18"/>
      <c r="H152" s="68" t="e">
        <f>SUM(#REF!)</f>
        <v>#REF!</v>
      </c>
      <c r="I152" s="26" t="e">
        <f t="shared" si="30"/>
        <v>#REF!</v>
      </c>
      <c r="J152" s="20">
        <f>SUMIFS(領用表!$L:$L,領用表!$E:$E,$B152,領用表!$B:$B,J$2&amp;$R$1)</f>
        <v>0</v>
      </c>
      <c r="K152" s="20">
        <f>SUMIFS(領用表!$L:$L,領用表!$E:$E,$B152,領用表!$B:$B,K$2&amp;$R$1)</f>
        <v>0</v>
      </c>
      <c r="L152" s="20">
        <f>SUMIFS(領用表!$L:$L,領用表!$E:$E,$B152,領用表!$B:$B,L$2&amp;$R$1)</f>
        <v>0</v>
      </c>
      <c r="M152" s="142">
        <f>SUMIFS(領用表!$L:$L,領用表!$E:$E,$B152,領用表!$B:$B,M$2&amp;$R$1)</f>
        <v>0</v>
      </c>
      <c r="N152" s="142">
        <f>SUMIFS(領用表!$L:$L,領用表!$E:$E,$B152,領用表!$B:$B,N$2&amp;$R$1)</f>
        <v>0</v>
      </c>
      <c r="O152" s="142">
        <f>SUMIFS(領用表!$L:$L,領用表!$E:$E,$B152,領用表!$B:$B,O$2&amp;$R$1)</f>
        <v>0</v>
      </c>
      <c r="P152" s="23">
        <f t="shared" si="28"/>
        <v>0</v>
      </c>
      <c r="Q152" s="23">
        <f t="shared" si="29"/>
        <v>0</v>
      </c>
      <c r="R152" s="142">
        <f>SUMIFS(領用表!$L:$L,領用表!$E:$E,$B152,領用表!$B:$B,R$2&amp;$R$1)</f>
        <v>0</v>
      </c>
      <c r="S152" s="142">
        <f>SUMIFS(領用表!$L:$L,領用表!$E:$E,$B152,領用表!$B:$B,S$2&amp;$R$1)</f>
        <v>0</v>
      </c>
      <c r="T152" s="142">
        <f>SUMIFS(領用表!$L:$L,領用表!$E:$E,$B152,領用表!$B:$B,T$2&amp;$R$1)</f>
        <v>0</v>
      </c>
      <c r="U152" s="142">
        <f>SUMIFS(領用表!$L:$L,領用表!$E:$E,$B152,領用表!$B:$B,U$2&amp;$R$1)</f>
        <v>0</v>
      </c>
      <c r="V152" s="142">
        <f>SUMIFS(領用表!$L:$L,領用表!$E:$E,$B152,領用表!$B:$B,V$2&amp;$R$1)</f>
        <v>0</v>
      </c>
      <c r="W152" s="142">
        <f>SUMIFS(領用表!$L:$L,領用表!$E:$E,$B152,領用表!$B:$B,W$2&amp;$R$1)</f>
        <v>0</v>
      </c>
      <c r="X152" s="142">
        <f>SUMIFS(領用表!$L:$L,領用表!$E:$E,$B152,領用表!$B:$B,X$2&amp;$R$1)</f>
        <v>0</v>
      </c>
      <c r="Y152" s="142">
        <f>SUMIFS(領用表!$L:$L,領用表!$E:$E,$B152,領用表!$B:$B,Y$2&amp;$R$1)</f>
        <v>0</v>
      </c>
      <c r="Z152" s="142">
        <f>SUMIFS(領用表!$L:$L,領用表!$E:$E,$B152,領用表!$B:$B,Z$2&amp;$R$1)</f>
        <v>0</v>
      </c>
      <c r="AA152" s="142">
        <f>SUMIFS(領用表!$L:$L,領用表!$E:$E,$B152,領用表!$B:$B,AA$2&amp;$R$1)</f>
        <v>0</v>
      </c>
      <c r="AB152" s="142">
        <f>SUMIFS(領用表!$L:$L,領用表!$E:$E,$B152,領用表!$B:$B,AB$2&amp;$R$1)</f>
        <v>0</v>
      </c>
      <c r="AC152" s="142">
        <f>SUMIFS(領用表!$L:$L,領用表!$E:$E,$B152,領用表!$B:$B,AC$2&amp;$R$1)</f>
        <v>0</v>
      </c>
      <c r="AD152" s="142">
        <f t="shared" si="26"/>
        <v>0</v>
      </c>
      <c r="AE152" s="142">
        <f t="shared" si="27"/>
        <v>0</v>
      </c>
      <c r="AF152" s="142">
        <f>SUMIF(Summary!B:B,B152,Summary!DV:DV)</f>
        <v>0</v>
      </c>
      <c r="AG152" s="109">
        <v>0</v>
      </c>
      <c r="AH152" s="65"/>
      <c r="AI152" s="76"/>
      <c r="AJ152" s="76"/>
      <c r="AK152" s="27"/>
      <c r="AL152" s="27"/>
      <c r="AM152" s="14"/>
      <c r="AN152" s="14"/>
    </row>
    <row r="153" spans="1:40" ht="15.75" customHeight="1">
      <c r="A153" s="27" t="s">
        <v>199</v>
      </c>
      <c r="B153" s="14" t="e">
        <v>#N/A</v>
      </c>
      <c r="C153" s="136" t="s">
        <v>572</v>
      </c>
      <c r="D153" s="77"/>
      <c r="E153" s="17" t="s">
        <v>15</v>
      </c>
      <c r="F153" s="70"/>
      <c r="G153" s="18"/>
      <c r="H153" s="68" t="e">
        <f>SUM(#REF!)</f>
        <v>#REF!</v>
      </c>
      <c r="I153" s="26" t="e">
        <f t="shared" si="30"/>
        <v>#REF!</v>
      </c>
      <c r="J153" s="20">
        <f>SUMIFS(領用表!$L:$L,領用表!$E:$E,$B153,領用表!$B:$B,J$2&amp;$R$1)</f>
        <v>0</v>
      </c>
      <c r="K153" s="20">
        <f>SUMIFS(領用表!$L:$L,領用表!$E:$E,$B153,領用表!$B:$B,K$2&amp;$R$1)</f>
        <v>0</v>
      </c>
      <c r="L153" s="20">
        <f>SUMIFS(領用表!$L:$L,領用表!$E:$E,$B153,領用表!$B:$B,L$2&amp;$R$1)</f>
        <v>0</v>
      </c>
      <c r="M153" s="142">
        <f>SUMIFS(領用表!$L:$L,領用表!$E:$E,$B153,領用表!$B:$B,M$2&amp;$R$1)</f>
        <v>0</v>
      </c>
      <c r="N153" s="142">
        <f>SUMIFS(領用表!$L:$L,領用表!$E:$E,$B153,領用表!$B:$B,N$2&amp;$R$1)</f>
        <v>0</v>
      </c>
      <c r="O153" s="142">
        <f>SUMIFS(領用表!$L:$L,領用表!$E:$E,$B153,領用表!$B:$B,O$2&amp;$R$1)</f>
        <v>0</v>
      </c>
      <c r="P153" s="23">
        <f t="shared" si="28"/>
        <v>0</v>
      </c>
      <c r="Q153" s="23">
        <f t="shared" si="29"/>
        <v>0</v>
      </c>
      <c r="R153" s="142">
        <f>SUMIFS(領用表!$L:$L,領用表!$E:$E,$B153,領用表!$B:$B,R$2&amp;$R$1)</f>
        <v>0</v>
      </c>
      <c r="S153" s="142">
        <f>SUMIFS(領用表!$L:$L,領用表!$E:$E,$B153,領用表!$B:$B,S$2&amp;$R$1)</f>
        <v>0</v>
      </c>
      <c r="T153" s="142">
        <f>SUMIFS(領用表!$L:$L,領用表!$E:$E,$B153,領用表!$B:$B,T$2&amp;$R$1)</f>
        <v>0</v>
      </c>
      <c r="U153" s="142">
        <f>SUMIFS(領用表!$L:$L,領用表!$E:$E,$B153,領用表!$B:$B,U$2&amp;$R$1)</f>
        <v>0</v>
      </c>
      <c r="V153" s="142">
        <f>SUMIFS(領用表!$L:$L,領用表!$E:$E,$B153,領用表!$B:$B,V$2&amp;$R$1)</f>
        <v>0</v>
      </c>
      <c r="W153" s="142">
        <f>SUMIFS(領用表!$L:$L,領用表!$E:$E,$B153,領用表!$B:$B,W$2&amp;$R$1)</f>
        <v>0</v>
      </c>
      <c r="X153" s="142">
        <f>SUMIFS(領用表!$L:$L,領用表!$E:$E,$B153,領用表!$B:$B,X$2&amp;$R$1)</f>
        <v>0</v>
      </c>
      <c r="Y153" s="142">
        <f>SUMIFS(領用表!$L:$L,領用表!$E:$E,$B153,領用表!$B:$B,Y$2&amp;$R$1)</f>
        <v>0</v>
      </c>
      <c r="Z153" s="142">
        <f>SUMIFS(領用表!$L:$L,領用表!$E:$E,$B153,領用表!$B:$B,Z$2&amp;$R$1)</f>
        <v>0</v>
      </c>
      <c r="AA153" s="142">
        <f>SUMIFS(領用表!$L:$L,領用表!$E:$E,$B153,領用表!$B:$B,AA$2&amp;$R$1)</f>
        <v>0</v>
      </c>
      <c r="AB153" s="142">
        <f>SUMIFS(領用表!$L:$L,領用表!$E:$E,$B153,領用表!$B:$B,AB$2&amp;$R$1)</f>
        <v>0</v>
      </c>
      <c r="AC153" s="142">
        <f>SUMIFS(領用表!$L:$L,領用表!$E:$E,$B153,領用表!$B:$B,AC$2&amp;$R$1)</f>
        <v>0</v>
      </c>
      <c r="AD153" s="142">
        <f t="shared" si="26"/>
        <v>0</v>
      </c>
      <c r="AE153" s="142">
        <f t="shared" si="27"/>
        <v>0</v>
      </c>
      <c r="AF153" s="142">
        <f>SUMIF(Summary!B:B,B153,Summary!DV:DV)</f>
        <v>0</v>
      </c>
      <c r="AG153" s="109"/>
      <c r="AH153" s="65"/>
      <c r="AI153" s="65"/>
      <c r="AJ153" s="65"/>
      <c r="AK153" s="27"/>
      <c r="AL153" s="27"/>
      <c r="AM153" s="14"/>
      <c r="AN153" s="14"/>
    </row>
    <row r="154" spans="1:40" ht="15.75" customHeight="1">
      <c r="A154" s="27" t="s">
        <v>200</v>
      </c>
      <c r="B154" s="14">
        <v>6060002</v>
      </c>
      <c r="C154" s="136" t="s">
        <v>573</v>
      </c>
      <c r="D154" s="77"/>
      <c r="E154" s="17" t="s">
        <v>15</v>
      </c>
      <c r="F154" s="70"/>
      <c r="G154" s="18"/>
      <c r="H154" s="68" t="e">
        <f>SUM(#REF!)</f>
        <v>#REF!</v>
      </c>
      <c r="I154" s="26" t="e">
        <f t="shared" si="30"/>
        <v>#REF!</v>
      </c>
      <c r="J154" s="20">
        <f>SUMIFS(領用表!$L:$L,領用表!$E:$E,$B154,領用表!$B:$B,J$2&amp;$R$1)</f>
        <v>0</v>
      </c>
      <c r="K154" s="20">
        <f>SUMIFS(領用表!$L:$L,領用表!$E:$E,$B154,領用表!$B:$B,K$2&amp;$R$1)</f>
        <v>0</v>
      </c>
      <c r="L154" s="20">
        <f>SUMIFS(領用表!$L:$L,領用表!$E:$E,$B154,領用表!$B:$B,L$2&amp;$R$1)</f>
        <v>0</v>
      </c>
      <c r="M154" s="142">
        <f>SUMIFS(領用表!$L:$L,領用表!$E:$E,$B154,領用表!$B:$B,M$2&amp;$R$1)</f>
        <v>0</v>
      </c>
      <c r="N154" s="142">
        <f>SUMIFS(領用表!$L:$L,領用表!$E:$E,$B154,領用表!$B:$B,N$2&amp;$R$1)</f>
        <v>0</v>
      </c>
      <c r="O154" s="142">
        <f>SUMIFS(領用表!$L:$L,領用表!$E:$E,$B154,領用表!$B:$B,O$2&amp;$R$1)</f>
        <v>0</v>
      </c>
      <c r="P154" s="23">
        <f t="shared" si="28"/>
        <v>0</v>
      </c>
      <c r="Q154" s="23">
        <f t="shared" si="29"/>
        <v>0</v>
      </c>
      <c r="R154" s="142">
        <f>SUMIFS(領用表!$L:$L,領用表!$E:$E,$B154,領用表!$B:$B,R$2&amp;$R$1)</f>
        <v>0</v>
      </c>
      <c r="S154" s="142">
        <f>SUMIFS(領用表!$L:$L,領用表!$E:$E,$B154,領用表!$B:$B,S$2&amp;$R$1)</f>
        <v>0</v>
      </c>
      <c r="T154" s="142">
        <f>SUMIFS(領用表!$L:$L,領用表!$E:$E,$B154,領用表!$B:$B,T$2&amp;$R$1)</f>
        <v>0</v>
      </c>
      <c r="U154" s="142">
        <f>SUMIFS(領用表!$L:$L,領用表!$E:$E,$B154,領用表!$B:$B,U$2&amp;$R$1)</f>
        <v>0</v>
      </c>
      <c r="V154" s="142">
        <f>SUMIFS(領用表!$L:$L,領用表!$E:$E,$B154,領用表!$B:$B,V$2&amp;$R$1)</f>
        <v>0</v>
      </c>
      <c r="W154" s="142">
        <f>SUMIFS(領用表!$L:$L,領用表!$E:$E,$B154,領用表!$B:$B,W$2&amp;$R$1)</f>
        <v>0</v>
      </c>
      <c r="X154" s="142">
        <f>SUMIFS(領用表!$L:$L,領用表!$E:$E,$B154,領用表!$B:$B,X$2&amp;$R$1)</f>
        <v>0</v>
      </c>
      <c r="Y154" s="142">
        <f>SUMIFS(領用表!$L:$L,領用表!$E:$E,$B154,領用表!$B:$B,Y$2&amp;$R$1)</f>
        <v>0</v>
      </c>
      <c r="Z154" s="142">
        <f>SUMIFS(領用表!$L:$L,領用表!$E:$E,$B154,領用表!$B:$B,Z$2&amp;$R$1)</f>
        <v>0</v>
      </c>
      <c r="AA154" s="142">
        <f>SUMIFS(領用表!$L:$L,領用表!$E:$E,$B154,領用表!$B:$B,AA$2&amp;$R$1)</f>
        <v>0</v>
      </c>
      <c r="AB154" s="142">
        <f>SUMIFS(領用表!$L:$L,領用表!$E:$E,$B154,領用表!$B:$B,AB$2&amp;$R$1)</f>
        <v>0</v>
      </c>
      <c r="AC154" s="142">
        <f>SUMIFS(領用表!$L:$L,領用表!$E:$E,$B154,領用表!$B:$B,AC$2&amp;$R$1)</f>
        <v>0</v>
      </c>
      <c r="AD154" s="142">
        <f t="shared" si="26"/>
        <v>0</v>
      </c>
      <c r="AE154" s="142">
        <f t="shared" si="27"/>
        <v>0</v>
      </c>
      <c r="AF154" s="142">
        <f>SUMIF(Summary!B:B,B154,Summary!DV:DV)</f>
        <v>0</v>
      </c>
      <c r="AG154" s="109">
        <v>25</v>
      </c>
      <c r="AH154" s="65"/>
      <c r="AI154" s="65"/>
      <c r="AJ154" s="65"/>
      <c r="AK154" s="27"/>
      <c r="AL154" s="27"/>
      <c r="AM154" s="14"/>
      <c r="AN154" s="14"/>
    </row>
    <row r="155" spans="1:40" ht="15.75" customHeight="1">
      <c r="A155" s="27" t="s">
        <v>201</v>
      </c>
      <c r="B155" s="14">
        <v>6230001</v>
      </c>
      <c r="C155" s="136" t="s">
        <v>574</v>
      </c>
      <c r="D155" s="77"/>
      <c r="E155" s="17" t="s">
        <v>15</v>
      </c>
      <c r="F155" s="70"/>
      <c r="G155" s="18"/>
      <c r="H155" s="68" t="e">
        <f>SUM(#REF!)</f>
        <v>#REF!</v>
      </c>
      <c r="I155" s="26" t="e">
        <f t="shared" si="30"/>
        <v>#REF!</v>
      </c>
      <c r="J155" s="20">
        <f>SUMIFS(領用表!$L:$L,領用表!$E:$E,$B155,領用表!$B:$B,J$2&amp;$R$1)</f>
        <v>0</v>
      </c>
      <c r="K155" s="20">
        <f>SUMIFS(領用表!$L:$L,領用表!$E:$E,$B155,領用表!$B:$B,K$2&amp;$R$1)</f>
        <v>0</v>
      </c>
      <c r="L155" s="20">
        <f>SUMIFS(領用表!$L:$L,領用表!$E:$E,$B155,領用表!$B:$B,L$2&amp;$R$1)</f>
        <v>0</v>
      </c>
      <c r="M155" s="142">
        <f>SUMIFS(領用表!$L:$L,領用表!$E:$E,$B155,領用表!$B:$B,M$2&amp;$R$1)</f>
        <v>0</v>
      </c>
      <c r="N155" s="142">
        <f>SUMIFS(領用表!$L:$L,領用表!$E:$E,$B155,領用表!$B:$B,N$2&amp;$R$1)</f>
        <v>0</v>
      </c>
      <c r="O155" s="142">
        <f>SUMIFS(領用表!$L:$L,領用表!$E:$E,$B155,領用表!$B:$B,O$2&amp;$R$1)</f>
        <v>0</v>
      </c>
      <c r="P155" s="23">
        <f t="shared" si="28"/>
        <v>0</v>
      </c>
      <c r="Q155" s="23">
        <f t="shared" si="29"/>
        <v>0</v>
      </c>
      <c r="R155" s="142">
        <f>SUMIFS(領用表!$L:$L,領用表!$E:$E,$B155,領用表!$B:$B,R$2&amp;$R$1)</f>
        <v>0</v>
      </c>
      <c r="S155" s="142">
        <f>SUMIFS(領用表!$L:$L,領用表!$E:$E,$B155,領用表!$B:$B,S$2&amp;$R$1)</f>
        <v>0</v>
      </c>
      <c r="T155" s="142">
        <f>SUMIFS(領用表!$L:$L,領用表!$E:$E,$B155,領用表!$B:$B,T$2&amp;$R$1)</f>
        <v>0</v>
      </c>
      <c r="U155" s="142">
        <f>SUMIFS(領用表!$L:$L,領用表!$E:$E,$B155,領用表!$B:$B,U$2&amp;$R$1)</f>
        <v>0</v>
      </c>
      <c r="V155" s="142">
        <f>SUMIFS(領用表!$L:$L,領用表!$E:$E,$B155,領用表!$B:$B,V$2&amp;$R$1)</f>
        <v>0</v>
      </c>
      <c r="W155" s="142">
        <f>SUMIFS(領用表!$L:$L,領用表!$E:$E,$B155,領用表!$B:$B,W$2&amp;$R$1)</f>
        <v>0</v>
      </c>
      <c r="X155" s="142">
        <f>SUMIFS(領用表!$L:$L,領用表!$E:$E,$B155,領用表!$B:$B,X$2&amp;$R$1)</f>
        <v>0</v>
      </c>
      <c r="Y155" s="142">
        <f>SUMIFS(領用表!$L:$L,領用表!$E:$E,$B155,領用表!$B:$B,Y$2&amp;$R$1)</f>
        <v>0</v>
      </c>
      <c r="Z155" s="142">
        <f>SUMIFS(領用表!$L:$L,領用表!$E:$E,$B155,領用表!$B:$B,Z$2&amp;$R$1)</f>
        <v>0</v>
      </c>
      <c r="AA155" s="142">
        <f>SUMIFS(領用表!$L:$L,領用表!$E:$E,$B155,領用表!$B:$B,AA$2&amp;$R$1)</f>
        <v>0</v>
      </c>
      <c r="AB155" s="142">
        <f>SUMIFS(領用表!$L:$L,領用表!$E:$E,$B155,領用表!$B:$B,AB$2&amp;$R$1)</f>
        <v>0</v>
      </c>
      <c r="AC155" s="142">
        <f>SUMIFS(領用表!$L:$L,領用表!$E:$E,$B155,領用表!$B:$B,AC$2&amp;$R$1)</f>
        <v>0</v>
      </c>
      <c r="AD155" s="142">
        <f t="shared" si="26"/>
        <v>0</v>
      </c>
      <c r="AE155" s="142">
        <f t="shared" si="27"/>
        <v>0</v>
      </c>
      <c r="AF155" s="142">
        <f>SUMIF(Summary!B:B,B155,Summary!DV:DV)</f>
        <v>0</v>
      </c>
      <c r="AG155" s="109">
        <v>25</v>
      </c>
      <c r="AH155" s="65"/>
      <c r="AI155" s="65"/>
      <c r="AJ155" s="65"/>
    </row>
    <row r="156" spans="1:40" ht="15.75" customHeight="1">
      <c r="A156" s="27" t="s">
        <v>202</v>
      </c>
      <c r="B156" s="14">
        <v>6070001</v>
      </c>
      <c r="C156" s="136" t="s">
        <v>575</v>
      </c>
      <c r="D156" s="77"/>
      <c r="E156" s="17" t="s">
        <v>15</v>
      </c>
      <c r="F156" s="70"/>
      <c r="G156" s="18"/>
      <c r="H156" s="68" t="e">
        <f>SUM(#REF!)</f>
        <v>#REF!</v>
      </c>
      <c r="I156" s="26" t="e">
        <f t="shared" si="30"/>
        <v>#REF!</v>
      </c>
      <c r="J156" s="20">
        <f>SUMIFS(領用表!$L:$L,領用表!$E:$E,$B156,領用表!$B:$B,J$2&amp;$R$1)</f>
        <v>0</v>
      </c>
      <c r="K156" s="20">
        <f>SUMIFS(領用表!$L:$L,領用表!$E:$E,$B156,領用表!$B:$B,K$2&amp;$R$1)</f>
        <v>0</v>
      </c>
      <c r="L156" s="20">
        <f>SUMIFS(領用表!$L:$L,領用表!$E:$E,$B156,領用表!$B:$B,L$2&amp;$R$1)</f>
        <v>0</v>
      </c>
      <c r="M156" s="142">
        <f>SUMIFS(領用表!$L:$L,領用表!$E:$E,$B156,領用表!$B:$B,M$2&amp;$R$1)</f>
        <v>0</v>
      </c>
      <c r="N156" s="142">
        <f>SUMIFS(領用表!$L:$L,領用表!$E:$E,$B156,領用表!$B:$B,N$2&amp;$R$1)</f>
        <v>0</v>
      </c>
      <c r="O156" s="142">
        <f>SUMIFS(領用表!$L:$L,領用表!$E:$E,$B156,領用表!$B:$B,O$2&amp;$R$1)</f>
        <v>0</v>
      </c>
      <c r="P156" s="23">
        <f t="shared" si="28"/>
        <v>0</v>
      </c>
      <c r="Q156" s="23">
        <f t="shared" si="29"/>
        <v>0</v>
      </c>
      <c r="R156" s="142">
        <f>SUMIFS(領用表!$L:$L,領用表!$E:$E,$B156,領用表!$B:$B,R$2&amp;$R$1)</f>
        <v>0</v>
      </c>
      <c r="S156" s="142">
        <f>SUMIFS(領用表!$L:$L,領用表!$E:$E,$B156,領用表!$B:$B,S$2&amp;$R$1)</f>
        <v>0</v>
      </c>
      <c r="T156" s="142">
        <f>SUMIFS(領用表!$L:$L,領用表!$E:$E,$B156,領用表!$B:$B,T$2&amp;$R$1)</f>
        <v>0</v>
      </c>
      <c r="U156" s="142">
        <f>SUMIFS(領用表!$L:$L,領用表!$E:$E,$B156,領用表!$B:$B,U$2&amp;$R$1)</f>
        <v>0</v>
      </c>
      <c r="V156" s="142">
        <f>SUMIFS(領用表!$L:$L,領用表!$E:$E,$B156,領用表!$B:$B,V$2&amp;$R$1)</f>
        <v>0</v>
      </c>
      <c r="W156" s="142">
        <f>SUMIFS(領用表!$L:$L,領用表!$E:$E,$B156,領用表!$B:$B,W$2&amp;$R$1)</f>
        <v>0</v>
      </c>
      <c r="X156" s="142">
        <f>SUMIFS(領用表!$L:$L,領用表!$E:$E,$B156,領用表!$B:$B,X$2&amp;$R$1)</f>
        <v>0</v>
      </c>
      <c r="Y156" s="142">
        <f>SUMIFS(領用表!$L:$L,領用表!$E:$E,$B156,領用表!$B:$B,Y$2&amp;$R$1)</f>
        <v>0</v>
      </c>
      <c r="Z156" s="142">
        <f>SUMIFS(領用表!$L:$L,領用表!$E:$E,$B156,領用表!$B:$B,Z$2&amp;$R$1)</f>
        <v>0</v>
      </c>
      <c r="AA156" s="142">
        <f>SUMIFS(領用表!$L:$L,領用表!$E:$E,$B156,領用表!$B:$B,AA$2&amp;$R$1)</f>
        <v>0</v>
      </c>
      <c r="AB156" s="142">
        <f>SUMIFS(領用表!$L:$L,領用表!$E:$E,$B156,領用表!$B:$B,AB$2&amp;$R$1)</f>
        <v>0</v>
      </c>
      <c r="AC156" s="142">
        <f>SUMIFS(領用表!$L:$L,領用表!$E:$E,$B156,領用表!$B:$B,AC$2&amp;$R$1)</f>
        <v>0</v>
      </c>
      <c r="AD156" s="142">
        <f t="shared" si="26"/>
        <v>0</v>
      </c>
      <c r="AE156" s="142">
        <f t="shared" si="27"/>
        <v>0</v>
      </c>
      <c r="AF156" s="142">
        <f>SUMIF(Summary!B:B,B156,Summary!DV:DV)</f>
        <v>0</v>
      </c>
      <c r="AG156" s="109">
        <v>3</v>
      </c>
      <c r="AH156" s="65"/>
      <c r="AI156" s="65"/>
      <c r="AJ156" s="65"/>
    </row>
    <row r="157" spans="1:40" ht="15.75" hidden="1" customHeight="1">
      <c r="A157" s="27" t="s">
        <v>203</v>
      </c>
      <c r="B157" s="14" t="e">
        <v>#N/A</v>
      </c>
      <c r="C157" s="136" t="s">
        <v>635</v>
      </c>
      <c r="D157" s="77"/>
      <c r="E157" s="17" t="s">
        <v>15</v>
      </c>
      <c r="F157" s="70"/>
      <c r="G157" s="18"/>
      <c r="H157" s="68" t="e">
        <f>SUM(#REF!)</f>
        <v>#REF!</v>
      </c>
      <c r="I157" s="26" t="e">
        <f t="shared" si="30"/>
        <v>#REF!</v>
      </c>
      <c r="J157" s="20">
        <f>SUMIFS(領用表!$L:$L,領用表!$E:$E,$B157,領用表!$B:$B,J$2&amp;$R$1)</f>
        <v>0</v>
      </c>
      <c r="K157" s="20">
        <f>SUMIFS(領用表!$L:$L,領用表!$E:$E,$B157,領用表!$B:$B,K$2&amp;$R$1)</f>
        <v>0</v>
      </c>
      <c r="L157" s="20">
        <f>SUMIFS(領用表!$L:$L,領用表!$E:$E,$B157,領用表!$B:$B,L$2&amp;$R$1)</f>
        <v>0</v>
      </c>
      <c r="M157" s="142">
        <f>SUMIFS(領用表!$L:$L,領用表!$E:$E,$B157,領用表!$B:$B,M$2&amp;$R$1)</f>
        <v>0</v>
      </c>
      <c r="N157" s="142">
        <f>SUMIFS(領用表!$L:$L,領用表!$E:$E,$B157,領用表!$B:$B,N$2&amp;$R$1)</f>
        <v>0</v>
      </c>
      <c r="O157" s="142">
        <f>SUMIFS(領用表!$L:$L,領用表!$E:$E,$B157,領用表!$B:$B,O$2&amp;$R$1)</f>
        <v>0</v>
      </c>
      <c r="P157" s="23">
        <f t="shared" si="28"/>
        <v>0</v>
      </c>
      <c r="Q157" s="23">
        <f t="shared" si="29"/>
        <v>0</v>
      </c>
      <c r="R157" s="142">
        <f>SUMIFS(領用表!$L:$L,領用表!$E:$E,$B157,領用表!$B:$B,R$2&amp;$R$1)</f>
        <v>0</v>
      </c>
      <c r="S157" s="142">
        <f>SUMIFS(領用表!$L:$L,領用表!$E:$E,$B157,領用表!$B:$B,S$2&amp;$R$1)</f>
        <v>0</v>
      </c>
      <c r="T157" s="142">
        <f>SUMIFS(領用表!$L:$L,領用表!$E:$E,$B157,領用表!$B:$B,T$2&amp;$R$1)</f>
        <v>0</v>
      </c>
      <c r="U157" s="142">
        <f>SUMIFS(領用表!$L:$L,領用表!$E:$E,$B157,領用表!$B:$B,U$2&amp;$R$1)</f>
        <v>0</v>
      </c>
      <c r="V157" s="142">
        <f>SUMIFS(領用表!$L:$L,領用表!$E:$E,$B157,領用表!$B:$B,V$2&amp;$R$1)</f>
        <v>0</v>
      </c>
      <c r="W157" s="142">
        <f>SUMIFS(領用表!$L:$L,領用表!$E:$E,$B157,領用表!$B:$B,W$2&amp;$R$1)</f>
        <v>0</v>
      </c>
      <c r="X157" s="142">
        <f>SUMIFS(領用表!$L:$L,領用表!$E:$E,$B157,領用表!$B:$B,X$2&amp;$R$1)</f>
        <v>0</v>
      </c>
      <c r="Y157" s="142">
        <f>SUMIFS(領用表!$L:$L,領用表!$E:$E,$B157,領用表!$B:$B,Y$2&amp;$R$1)</f>
        <v>0</v>
      </c>
      <c r="Z157" s="142">
        <f>SUMIFS(領用表!$L:$L,領用表!$E:$E,$B157,領用表!$B:$B,Z$2&amp;$R$1)</f>
        <v>0</v>
      </c>
      <c r="AA157" s="142">
        <f>SUMIFS(領用表!$L:$L,領用表!$E:$E,$B157,領用表!$B:$B,AA$2&amp;$R$1)</f>
        <v>0</v>
      </c>
      <c r="AB157" s="142">
        <f>SUMIFS(領用表!$L:$L,領用表!$E:$E,$B157,領用表!$B:$B,AB$2&amp;$R$1)</f>
        <v>0</v>
      </c>
      <c r="AC157" s="142">
        <f>SUMIFS(領用表!$L:$L,領用表!$E:$E,$B157,領用表!$B:$B,AC$2&amp;$R$1)</f>
        <v>0</v>
      </c>
      <c r="AD157" s="142">
        <f t="shared" si="26"/>
        <v>0</v>
      </c>
      <c r="AE157" s="142">
        <f t="shared" si="27"/>
        <v>0</v>
      </c>
      <c r="AF157" s="142">
        <f>SUMIF(Summary!B:B,B157,Summary!DV:DV)</f>
        <v>0</v>
      </c>
      <c r="AG157" s="109"/>
      <c r="AH157" s="65"/>
      <c r="AI157" s="65"/>
      <c r="AJ157" s="65"/>
    </row>
    <row r="158" spans="1:40" ht="15.75" hidden="1" customHeight="1">
      <c r="A158" s="27" t="s">
        <v>204</v>
      </c>
      <c r="B158" s="14" t="e">
        <v>#N/A</v>
      </c>
      <c r="C158" s="136" t="s">
        <v>576</v>
      </c>
      <c r="D158" s="77"/>
      <c r="E158" s="17" t="s">
        <v>15</v>
      </c>
      <c r="F158" s="70"/>
      <c r="G158" s="18"/>
      <c r="H158" s="68" t="e">
        <f>SUM(#REF!)</f>
        <v>#REF!</v>
      </c>
      <c r="I158" s="26" t="e">
        <f t="shared" si="30"/>
        <v>#REF!</v>
      </c>
      <c r="J158" s="20">
        <f>SUMIFS(領用表!$L:$L,領用表!$E:$E,$B158,領用表!$B:$B,J$2&amp;$R$1)</f>
        <v>0</v>
      </c>
      <c r="K158" s="20">
        <f>SUMIFS(領用表!$L:$L,領用表!$E:$E,$B158,領用表!$B:$B,K$2&amp;$R$1)</f>
        <v>0</v>
      </c>
      <c r="L158" s="20">
        <f>SUMIFS(領用表!$L:$L,領用表!$E:$E,$B158,領用表!$B:$B,L$2&amp;$R$1)</f>
        <v>0</v>
      </c>
      <c r="M158" s="142">
        <f>SUMIFS(領用表!$L:$L,領用表!$E:$E,$B158,領用表!$B:$B,M$2&amp;$R$1)</f>
        <v>0</v>
      </c>
      <c r="N158" s="142">
        <f>SUMIFS(領用表!$L:$L,領用表!$E:$E,$B158,領用表!$B:$B,N$2&amp;$R$1)</f>
        <v>0</v>
      </c>
      <c r="O158" s="142">
        <f>SUMIFS(領用表!$L:$L,領用表!$E:$E,$B158,領用表!$B:$B,O$2&amp;$R$1)</f>
        <v>0</v>
      </c>
      <c r="P158" s="23">
        <f t="shared" si="28"/>
        <v>0</v>
      </c>
      <c r="Q158" s="23">
        <f t="shared" si="29"/>
        <v>0</v>
      </c>
      <c r="R158" s="142">
        <f>SUMIFS(領用表!$L:$L,領用表!$E:$E,$B158,領用表!$B:$B,R$2&amp;$R$1)</f>
        <v>0</v>
      </c>
      <c r="S158" s="142">
        <f>SUMIFS(領用表!$L:$L,領用表!$E:$E,$B158,領用表!$B:$B,S$2&amp;$R$1)</f>
        <v>0</v>
      </c>
      <c r="T158" s="142">
        <f>SUMIFS(領用表!$L:$L,領用表!$E:$E,$B158,領用表!$B:$B,T$2&amp;$R$1)</f>
        <v>0</v>
      </c>
      <c r="U158" s="142">
        <f>SUMIFS(領用表!$L:$L,領用表!$E:$E,$B158,領用表!$B:$B,U$2&amp;$R$1)</f>
        <v>0</v>
      </c>
      <c r="V158" s="142">
        <f>SUMIFS(領用表!$L:$L,領用表!$E:$E,$B158,領用表!$B:$B,V$2&amp;$R$1)</f>
        <v>0</v>
      </c>
      <c r="W158" s="142">
        <f>SUMIFS(領用表!$L:$L,領用表!$E:$E,$B158,領用表!$B:$B,W$2&amp;$R$1)</f>
        <v>0</v>
      </c>
      <c r="X158" s="142">
        <f>SUMIFS(領用表!$L:$L,領用表!$E:$E,$B158,領用表!$B:$B,X$2&amp;$R$1)</f>
        <v>0</v>
      </c>
      <c r="Y158" s="142">
        <f>SUMIFS(領用表!$L:$L,領用表!$E:$E,$B158,領用表!$B:$B,Y$2&amp;$R$1)</f>
        <v>0</v>
      </c>
      <c r="Z158" s="142">
        <f>SUMIFS(領用表!$L:$L,領用表!$E:$E,$B158,領用表!$B:$B,Z$2&amp;$R$1)</f>
        <v>0</v>
      </c>
      <c r="AA158" s="142">
        <f>SUMIFS(領用表!$L:$L,領用表!$E:$E,$B158,領用表!$B:$B,AA$2&amp;$R$1)</f>
        <v>0</v>
      </c>
      <c r="AB158" s="142">
        <f>SUMIFS(領用表!$L:$L,領用表!$E:$E,$B158,領用表!$B:$B,AB$2&amp;$R$1)</f>
        <v>0</v>
      </c>
      <c r="AC158" s="142">
        <f>SUMIFS(領用表!$L:$L,領用表!$E:$E,$B158,領用表!$B:$B,AC$2&amp;$R$1)</f>
        <v>0</v>
      </c>
      <c r="AD158" s="142">
        <f t="shared" si="26"/>
        <v>0</v>
      </c>
      <c r="AE158" s="142">
        <f t="shared" si="27"/>
        <v>0</v>
      </c>
      <c r="AF158" s="142">
        <f>SUMIF(Summary!B:B,B158,Summary!DV:DV)</f>
        <v>0</v>
      </c>
      <c r="AG158" s="109"/>
      <c r="AH158" s="65"/>
      <c r="AI158" s="65"/>
      <c r="AJ158" s="65"/>
    </row>
    <row r="159" spans="1:40" ht="15.75" hidden="1" customHeight="1">
      <c r="A159" s="27" t="s">
        <v>205</v>
      </c>
      <c r="B159" s="14" t="e">
        <v>#N/A</v>
      </c>
      <c r="C159" s="136" t="s">
        <v>577</v>
      </c>
      <c r="D159" s="77"/>
      <c r="E159" s="17" t="s">
        <v>15</v>
      </c>
      <c r="F159" s="70"/>
      <c r="G159" s="18"/>
      <c r="H159" s="64">
        <v>0</v>
      </c>
      <c r="I159" s="64">
        <v>0</v>
      </c>
      <c r="J159" s="20">
        <f>SUMIFS(領用表!$L:$L,領用表!$E:$E,$B159,領用表!$B:$B,J$2&amp;$R$1)</f>
        <v>0</v>
      </c>
      <c r="K159" s="20">
        <f>SUMIFS(領用表!$L:$L,領用表!$E:$E,$B159,領用表!$B:$B,K$2&amp;$R$1)</f>
        <v>0</v>
      </c>
      <c r="L159" s="20">
        <f>SUMIFS(領用表!$L:$L,領用表!$E:$E,$B159,領用表!$B:$B,L$2&amp;$R$1)</f>
        <v>0</v>
      </c>
      <c r="M159" s="142">
        <f>SUMIFS(領用表!$L:$L,領用表!$E:$E,$B159,領用表!$B:$B,M$2&amp;$R$1)</f>
        <v>0</v>
      </c>
      <c r="N159" s="142">
        <f>SUMIFS(領用表!$L:$L,領用表!$E:$E,$B159,領用表!$B:$B,N$2&amp;$R$1)</f>
        <v>0</v>
      </c>
      <c r="O159" s="142">
        <f>SUMIFS(領用表!$L:$L,領用表!$E:$E,$B159,領用表!$B:$B,O$2&amp;$R$1)</f>
        <v>0</v>
      </c>
      <c r="P159" s="23">
        <f t="shared" si="28"/>
        <v>0</v>
      </c>
      <c r="Q159" s="23">
        <f t="shared" si="29"/>
        <v>0</v>
      </c>
      <c r="R159" s="142">
        <f>SUMIFS(領用表!$L:$L,領用表!$E:$E,$B159,領用表!$B:$B,R$2&amp;$R$1)</f>
        <v>0</v>
      </c>
      <c r="S159" s="142">
        <f>SUMIFS(領用表!$L:$L,領用表!$E:$E,$B159,領用表!$B:$B,S$2&amp;$R$1)</f>
        <v>0</v>
      </c>
      <c r="T159" s="142">
        <f>SUMIFS(領用表!$L:$L,領用表!$E:$E,$B159,領用表!$B:$B,T$2&amp;$R$1)</f>
        <v>0</v>
      </c>
      <c r="U159" s="142">
        <f>SUMIFS(領用表!$L:$L,領用表!$E:$E,$B159,領用表!$B:$B,U$2&amp;$R$1)</f>
        <v>0</v>
      </c>
      <c r="V159" s="142">
        <f>SUMIFS(領用表!$L:$L,領用表!$E:$E,$B159,領用表!$B:$B,V$2&amp;$R$1)</f>
        <v>0</v>
      </c>
      <c r="W159" s="142">
        <f>SUMIFS(領用表!$L:$L,領用表!$E:$E,$B159,領用表!$B:$B,W$2&amp;$R$1)</f>
        <v>0</v>
      </c>
      <c r="X159" s="142">
        <f>SUMIFS(領用表!$L:$L,領用表!$E:$E,$B159,領用表!$B:$B,X$2&amp;$R$1)</f>
        <v>0</v>
      </c>
      <c r="Y159" s="142">
        <f>SUMIFS(領用表!$L:$L,領用表!$E:$E,$B159,領用表!$B:$B,Y$2&amp;$R$1)</f>
        <v>0</v>
      </c>
      <c r="Z159" s="142">
        <f>SUMIFS(領用表!$L:$L,領用表!$E:$E,$B159,領用表!$B:$B,Z$2&amp;$R$1)</f>
        <v>0</v>
      </c>
      <c r="AA159" s="142">
        <f>SUMIFS(領用表!$L:$L,領用表!$E:$E,$B159,領用表!$B:$B,AA$2&amp;$R$1)</f>
        <v>0</v>
      </c>
      <c r="AB159" s="142">
        <f>SUMIFS(領用表!$L:$L,領用表!$E:$E,$B159,領用表!$B:$B,AB$2&amp;$R$1)</f>
        <v>0</v>
      </c>
      <c r="AC159" s="142">
        <f>SUMIFS(領用表!$L:$L,領用表!$E:$E,$B159,領用表!$B:$B,AC$2&amp;$R$1)</f>
        <v>0</v>
      </c>
      <c r="AD159" s="142">
        <f t="shared" si="26"/>
        <v>0</v>
      </c>
      <c r="AE159" s="142">
        <f t="shared" si="27"/>
        <v>0</v>
      </c>
      <c r="AF159" s="142">
        <f>SUMIF(Summary!B:B,B159,Summary!DV:DV)</f>
        <v>0</v>
      </c>
      <c r="AG159" s="109"/>
      <c r="AH159" s="65"/>
      <c r="AI159" s="65"/>
      <c r="AJ159" s="65"/>
    </row>
    <row r="160" spans="1:40" ht="15.75" hidden="1" customHeight="1">
      <c r="A160" s="27" t="s">
        <v>206</v>
      </c>
      <c r="B160" s="14" t="e">
        <v>#N/A</v>
      </c>
      <c r="C160" s="136" t="s">
        <v>578</v>
      </c>
      <c r="D160" s="77"/>
      <c r="E160" s="17" t="s">
        <v>15</v>
      </c>
      <c r="F160" s="70"/>
      <c r="G160" s="18"/>
      <c r="H160" s="64">
        <v>0</v>
      </c>
      <c r="I160" s="64">
        <v>0</v>
      </c>
      <c r="J160" s="20">
        <f>SUMIFS(領用表!$L:$L,領用表!$E:$E,$B160,領用表!$B:$B,J$2&amp;$R$1)</f>
        <v>0</v>
      </c>
      <c r="K160" s="20">
        <f>SUMIFS(領用表!$L:$L,領用表!$E:$E,$B160,領用表!$B:$B,K$2&amp;$R$1)</f>
        <v>0</v>
      </c>
      <c r="L160" s="20">
        <f>SUMIFS(領用表!$L:$L,領用表!$E:$E,$B160,領用表!$B:$B,L$2&amp;$R$1)</f>
        <v>0</v>
      </c>
      <c r="M160" s="142">
        <f>SUMIFS(領用表!$L:$L,領用表!$E:$E,$B160,領用表!$B:$B,M$2&amp;$R$1)</f>
        <v>0</v>
      </c>
      <c r="N160" s="142">
        <f>SUMIFS(領用表!$L:$L,領用表!$E:$E,$B160,領用表!$B:$B,N$2&amp;$R$1)</f>
        <v>0</v>
      </c>
      <c r="O160" s="142">
        <f>SUMIFS(領用表!$L:$L,領用表!$E:$E,$B160,領用表!$B:$B,O$2&amp;$R$1)</f>
        <v>0</v>
      </c>
      <c r="P160" s="23">
        <f t="shared" si="28"/>
        <v>0</v>
      </c>
      <c r="Q160" s="23">
        <f t="shared" si="29"/>
        <v>0</v>
      </c>
      <c r="R160" s="142">
        <f>SUMIFS(領用表!$L:$L,領用表!$E:$E,$B160,領用表!$B:$B,R$2&amp;$R$1)</f>
        <v>0</v>
      </c>
      <c r="S160" s="142">
        <f>SUMIFS(領用表!$L:$L,領用表!$E:$E,$B160,領用表!$B:$B,S$2&amp;$R$1)</f>
        <v>0</v>
      </c>
      <c r="T160" s="142">
        <f>SUMIFS(領用表!$L:$L,領用表!$E:$E,$B160,領用表!$B:$B,T$2&amp;$R$1)</f>
        <v>0</v>
      </c>
      <c r="U160" s="142">
        <f>SUMIFS(領用表!$L:$L,領用表!$E:$E,$B160,領用表!$B:$B,U$2&amp;$R$1)</f>
        <v>0</v>
      </c>
      <c r="V160" s="142">
        <f>SUMIFS(領用表!$L:$L,領用表!$E:$E,$B160,領用表!$B:$B,V$2&amp;$R$1)</f>
        <v>0</v>
      </c>
      <c r="W160" s="142">
        <f>SUMIFS(領用表!$L:$L,領用表!$E:$E,$B160,領用表!$B:$B,W$2&amp;$R$1)</f>
        <v>0</v>
      </c>
      <c r="X160" s="142">
        <f>SUMIFS(領用表!$L:$L,領用表!$E:$E,$B160,領用表!$B:$B,X$2&amp;$R$1)</f>
        <v>0</v>
      </c>
      <c r="Y160" s="142">
        <f>SUMIFS(領用表!$L:$L,領用表!$E:$E,$B160,領用表!$B:$B,Y$2&amp;$R$1)</f>
        <v>0</v>
      </c>
      <c r="Z160" s="142">
        <f>SUMIFS(領用表!$L:$L,領用表!$E:$E,$B160,領用表!$B:$B,Z$2&amp;$R$1)</f>
        <v>0</v>
      </c>
      <c r="AA160" s="142">
        <f>SUMIFS(領用表!$L:$L,領用表!$E:$E,$B160,領用表!$B:$B,AA$2&amp;$R$1)</f>
        <v>0</v>
      </c>
      <c r="AB160" s="142">
        <f>SUMIFS(領用表!$L:$L,領用表!$E:$E,$B160,領用表!$B:$B,AB$2&amp;$R$1)</f>
        <v>0</v>
      </c>
      <c r="AC160" s="142">
        <f>SUMIFS(領用表!$L:$L,領用表!$E:$E,$B160,領用表!$B:$B,AC$2&amp;$R$1)</f>
        <v>0</v>
      </c>
      <c r="AD160" s="142">
        <f t="shared" si="26"/>
        <v>0</v>
      </c>
      <c r="AE160" s="142">
        <f t="shared" si="27"/>
        <v>0</v>
      </c>
      <c r="AF160" s="142">
        <f>SUMIF(Summary!B:B,B160,Summary!DV:DV)</f>
        <v>0</v>
      </c>
      <c r="AG160" s="109"/>
      <c r="AH160" s="65"/>
      <c r="AI160" s="65"/>
      <c r="AJ160" s="65"/>
    </row>
    <row r="161" spans="1:38" ht="15.75" hidden="1" customHeight="1">
      <c r="A161" s="27" t="s">
        <v>207</v>
      </c>
      <c r="B161" s="14" t="e">
        <v>#N/A</v>
      </c>
      <c r="C161" s="136" t="s">
        <v>579</v>
      </c>
      <c r="D161" s="77"/>
      <c r="E161" s="17" t="s">
        <v>15</v>
      </c>
      <c r="F161" s="70"/>
      <c r="G161" s="18"/>
      <c r="H161" s="64">
        <v>0</v>
      </c>
      <c r="I161" s="64">
        <v>0</v>
      </c>
      <c r="J161" s="20">
        <f>SUMIFS(領用表!$L:$L,領用表!$E:$E,$B161,領用表!$B:$B,J$2&amp;$R$1)</f>
        <v>0</v>
      </c>
      <c r="K161" s="20">
        <f>SUMIFS(領用表!$L:$L,領用表!$E:$E,$B161,領用表!$B:$B,K$2&amp;$R$1)</f>
        <v>0</v>
      </c>
      <c r="L161" s="20">
        <f>SUMIFS(領用表!$L:$L,領用表!$E:$E,$B161,領用表!$B:$B,L$2&amp;$R$1)</f>
        <v>0</v>
      </c>
      <c r="M161" s="142">
        <f>SUMIFS(領用表!$L:$L,領用表!$E:$E,$B161,領用表!$B:$B,M$2&amp;$R$1)</f>
        <v>0</v>
      </c>
      <c r="N161" s="142">
        <f>SUMIFS(領用表!$L:$L,領用表!$E:$E,$B161,領用表!$B:$B,N$2&amp;$R$1)</f>
        <v>0</v>
      </c>
      <c r="O161" s="142">
        <f>SUMIFS(領用表!$L:$L,領用表!$E:$E,$B161,領用表!$B:$B,O$2&amp;$R$1)</f>
        <v>0</v>
      </c>
      <c r="P161" s="23">
        <f t="shared" si="28"/>
        <v>0</v>
      </c>
      <c r="Q161" s="23">
        <f t="shared" si="29"/>
        <v>0</v>
      </c>
      <c r="R161" s="142">
        <f>SUMIFS(領用表!$L:$L,領用表!$E:$E,$B161,領用表!$B:$B,R$2&amp;$R$1)</f>
        <v>0</v>
      </c>
      <c r="S161" s="142">
        <f>SUMIFS(領用表!$L:$L,領用表!$E:$E,$B161,領用表!$B:$B,S$2&amp;$R$1)</f>
        <v>0</v>
      </c>
      <c r="T161" s="142">
        <f>SUMIFS(領用表!$L:$L,領用表!$E:$E,$B161,領用表!$B:$B,T$2&amp;$R$1)</f>
        <v>0</v>
      </c>
      <c r="U161" s="142">
        <f>SUMIFS(領用表!$L:$L,領用表!$E:$E,$B161,領用表!$B:$B,U$2&amp;$R$1)</f>
        <v>0</v>
      </c>
      <c r="V161" s="142">
        <f>SUMIFS(領用表!$L:$L,領用表!$E:$E,$B161,領用表!$B:$B,V$2&amp;$R$1)</f>
        <v>0</v>
      </c>
      <c r="W161" s="142">
        <f>SUMIFS(領用表!$L:$L,領用表!$E:$E,$B161,領用表!$B:$B,W$2&amp;$R$1)</f>
        <v>0</v>
      </c>
      <c r="X161" s="142">
        <f>SUMIFS(領用表!$L:$L,領用表!$E:$E,$B161,領用表!$B:$B,X$2&amp;$R$1)</f>
        <v>0</v>
      </c>
      <c r="Y161" s="142">
        <f>SUMIFS(領用表!$L:$L,領用表!$E:$E,$B161,領用表!$B:$B,Y$2&amp;$R$1)</f>
        <v>0</v>
      </c>
      <c r="Z161" s="142">
        <f>SUMIFS(領用表!$L:$L,領用表!$E:$E,$B161,領用表!$B:$B,Z$2&amp;$R$1)</f>
        <v>0</v>
      </c>
      <c r="AA161" s="142">
        <f>SUMIFS(領用表!$L:$L,領用表!$E:$E,$B161,領用表!$B:$B,AA$2&amp;$R$1)</f>
        <v>0</v>
      </c>
      <c r="AB161" s="142">
        <f>SUMIFS(領用表!$L:$L,領用表!$E:$E,$B161,領用表!$B:$B,AB$2&amp;$R$1)</f>
        <v>0</v>
      </c>
      <c r="AC161" s="142">
        <f>SUMIFS(領用表!$L:$L,領用表!$E:$E,$B161,領用表!$B:$B,AC$2&amp;$R$1)</f>
        <v>0</v>
      </c>
      <c r="AD161" s="142">
        <f t="shared" si="26"/>
        <v>0</v>
      </c>
      <c r="AE161" s="142">
        <f t="shared" si="27"/>
        <v>0</v>
      </c>
      <c r="AF161" s="142">
        <f>SUMIF(Summary!B:B,B161,Summary!DV:DV)</f>
        <v>0</v>
      </c>
      <c r="AG161" s="109"/>
      <c r="AH161" s="65"/>
      <c r="AI161" s="65"/>
      <c r="AJ161" s="65"/>
    </row>
    <row r="162" spans="1:38" ht="15.75" customHeight="1">
      <c r="A162" s="27" t="s">
        <v>208</v>
      </c>
      <c r="B162" s="14" t="e">
        <v>#N/A</v>
      </c>
      <c r="C162" s="136" t="s">
        <v>580</v>
      </c>
      <c r="D162" s="77"/>
      <c r="E162" s="17" t="s">
        <v>15</v>
      </c>
      <c r="F162" s="70"/>
      <c r="G162" s="18"/>
      <c r="H162" s="64">
        <v>0</v>
      </c>
      <c r="I162" s="64">
        <v>0</v>
      </c>
      <c r="J162" s="20">
        <f>SUMIFS(領用表!$L:$L,領用表!$E:$E,$B162,領用表!$B:$B,J$2&amp;$R$1)</f>
        <v>0</v>
      </c>
      <c r="K162" s="20">
        <f>SUMIFS(領用表!$L:$L,領用表!$E:$E,$B162,領用表!$B:$B,K$2&amp;$R$1)</f>
        <v>0</v>
      </c>
      <c r="L162" s="20">
        <f>SUMIFS(領用表!$L:$L,領用表!$E:$E,$B162,領用表!$B:$B,L$2&amp;$R$1)</f>
        <v>0</v>
      </c>
      <c r="M162" s="142">
        <f>SUMIFS(領用表!$L:$L,領用表!$E:$E,$B162,領用表!$B:$B,M$2&amp;$R$1)</f>
        <v>0</v>
      </c>
      <c r="N162" s="142">
        <f>SUMIFS(領用表!$L:$L,領用表!$E:$E,$B162,領用表!$B:$B,N$2&amp;$R$1)</f>
        <v>0</v>
      </c>
      <c r="O162" s="142">
        <f>SUMIFS(領用表!$L:$L,領用表!$E:$E,$B162,領用表!$B:$B,O$2&amp;$R$1)</f>
        <v>0</v>
      </c>
      <c r="P162" s="23">
        <f t="shared" si="28"/>
        <v>0</v>
      </c>
      <c r="Q162" s="23">
        <f t="shared" si="29"/>
        <v>0</v>
      </c>
      <c r="R162" s="142">
        <f>SUMIFS(領用表!$L:$L,領用表!$E:$E,$B162,領用表!$B:$B,R$2&amp;$R$1)</f>
        <v>0</v>
      </c>
      <c r="S162" s="405">
        <f>SUMIFS(領用表!$L:$L,領用表!$E:$E,$B162,領用表!$B:$B,S$2&amp;$R$1)</f>
        <v>0</v>
      </c>
      <c r="T162" s="405">
        <f>SUMIFS(領用表!$L:$L,領用表!$E:$E,$B162,領用表!$B:$B,T$2&amp;$R$1)</f>
        <v>0</v>
      </c>
      <c r="U162" s="405">
        <f>SUMIFS(領用表!$L:$L,領用表!$E:$E,$B162,領用表!$B:$B,U$2&amp;$R$1)</f>
        <v>0</v>
      </c>
      <c r="V162" s="405">
        <f>SUMIFS(領用表!$L:$L,領用表!$E:$E,$B162,領用表!$B:$B,V$2&amp;$R$1)</f>
        <v>0</v>
      </c>
      <c r="W162" s="405">
        <f>SUMIFS(領用表!$L:$L,領用表!$E:$E,$B162,領用表!$B:$B,W$2&amp;$R$1)</f>
        <v>0</v>
      </c>
      <c r="X162" s="405">
        <f>SUMIFS(領用表!$L:$L,領用表!$E:$E,$B162,領用表!$B:$B,X$2&amp;$R$1)</f>
        <v>0</v>
      </c>
      <c r="Y162" s="405">
        <f>SUMIFS(領用表!$L:$L,領用表!$E:$E,$B162,領用表!$B:$B,Y$2&amp;$R$1)</f>
        <v>0</v>
      </c>
      <c r="Z162" s="405">
        <f>SUMIFS(領用表!$L:$L,領用表!$E:$E,$B162,領用表!$B:$B,Z$2&amp;$R$1)</f>
        <v>0</v>
      </c>
      <c r="AA162" s="405">
        <f>SUMIFS(領用表!$L:$L,領用表!$E:$E,$B162,領用表!$B:$B,AA$2&amp;$R$1)</f>
        <v>0</v>
      </c>
      <c r="AB162" s="405">
        <f>SUMIFS(領用表!$L:$L,領用表!$E:$E,$B162,領用表!$B:$B,AB$2&amp;$R$1)</f>
        <v>0</v>
      </c>
      <c r="AC162" s="405">
        <f>SUMIFS(領用表!$L:$L,領用表!$E:$E,$B162,領用表!$B:$B,AC$2&amp;$R$1)</f>
        <v>0</v>
      </c>
      <c r="AD162" s="405">
        <f t="shared" si="26"/>
        <v>0</v>
      </c>
      <c r="AE162" s="405">
        <f t="shared" si="27"/>
        <v>0</v>
      </c>
      <c r="AF162" s="405">
        <f>SUMIF(Summary!B:B,B162,Summary!DV:DV)</f>
        <v>0</v>
      </c>
      <c r="AG162" s="111">
        <v>10</v>
      </c>
      <c r="AH162" s="80"/>
      <c r="AI162" s="83"/>
      <c r="AJ162" s="83"/>
    </row>
    <row r="163" spans="1:38" ht="15.75" customHeight="1">
      <c r="A163" s="27" t="s">
        <v>209</v>
      </c>
      <c r="B163" s="14">
        <v>6020002</v>
      </c>
      <c r="C163" s="136" t="s">
        <v>581</v>
      </c>
      <c r="D163" s="77"/>
      <c r="E163" s="17" t="s">
        <v>15</v>
      </c>
      <c r="F163" s="70"/>
      <c r="G163" s="18"/>
      <c r="H163" s="64"/>
      <c r="I163" s="64"/>
      <c r="J163" s="20">
        <f>SUMIFS(領用表!$L:$L,領用表!$E:$E,$B163,領用表!$B:$B,J$2&amp;$R$1)</f>
        <v>0</v>
      </c>
      <c r="K163" s="20">
        <f>SUMIFS(領用表!$L:$L,領用表!$E:$E,$B163,領用表!$B:$B,K$2&amp;$R$1)</f>
        <v>0</v>
      </c>
      <c r="L163" s="20">
        <f>SUMIFS(領用表!$L:$L,領用表!$E:$E,$B163,領用表!$B:$B,L$2&amp;$R$1)</f>
        <v>0</v>
      </c>
      <c r="M163" s="142">
        <f>SUMIFS(領用表!$L:$L,領用表!$E:$E,$B163,領用表!$B:$B,M$2&amp;$R$1)</f>
        <v>0</v>
      </c>
      <c r="N163" s="142">
        <f>SUMIFS(領用表!$L:$L,領用表!$E:$E,$B163,領用表!$B:$B,N$2&amp;$R$1)</f>
        <v>0</v>
      </c>
      <c r="O163" s="142">
        <f>SUMIFS(領用表!$L:$L,領用表!$E:$E,$B163,領用表!$B:$B,O$2&amp;$R$1)</f>
        <v>0</v>
      </c>
      <c r="P163" s="23">
        <f t="shared" si="28"/>
        <v>0</v>
      </c>
      <c r="Q163" s="23">
        <f t="shared" si="29"/>
        <v>0</v>
      </c>
      <c r="R163" s="142">
        <f>SUMIFS(領用表!$L:$L,領用表!$E:$E,$B163,領用表!$B:$B,R$2&amp;$R$1)</f>
        <v>0</v>
      </c>
      <c r="S163" s="405">
        <f>SUMIFS(領用表!$L:$L,領用表!$E:$E,$B163,領用表!$B:$B,S$2&amp;$R$1)</f>
        <v>0</v>
      </c>
      <c r="T163" s="405">
        <f>SUMIFS(領用表!$L:$L,領用表!$E:$E,$B163,領用表!$B:$B,T$2&amp;$R$1)</f>
        <v>0</v>
      </c>
      <c r="U163" s="405">
        <f>SUMIFS(領用表!$L:$L,領用表!$E:$E,$B163,領用表!$B:$B,U$2&amp;$R$1)</f>
        <v>0</v>
      </c>
      <c r="V163" s="405">
        <f>SUMIFS(領用表!$L:$L,領用表!$E:$E,$B163,領用表!$B:$B,V$2&amp;$R$1)</f>
        <v>0</v>
      </c>
      <c r="W163" s="405">
        <f>SUMIFS(領用表!$L:$L,領用表!$E:$E,$B163,領用表!$B:$B,W$2&amp;$R$1)</f>
        <v>0</v>
      </c>
      <c r="X163" s="405">
        <f>SUMIFS(領用表!$L:$L,領用表!$E:$E,$B163,領用表!$B:$B,X$2&amp;$R$1)</f>
        <v>0</v>
      </c>
      <c r="Y163" s="405">
        <f>SUMIFS(領用表!$L:$L,領用表!$E:$E,$B163,領用表!$B:$B,Y$2&amp;$R$1)</f>
        <v>0</v>
      </c>
      <c r="Z163" s="405">
        <f>SUMIFS(領用表!$L:$L,領用表!$E:$E,$B163,領用表!$B:$B,Z$2&amp;$R$1)</f>
        <v>0</v>
      </c>
      <c r="AA163" s="405">
        <f>SUMIFS(領用表!$L:$L,領用表!$E:$E,$B163,領用表!$B:$B,AA$2&amp;$R$1)</f>
        <v>0</v>
      </c>
      <c r="AB163" s="405">
        <f>SUMIFS(領用表!$L:$L,領用表!$E:$E,$B163,領用表!$B:$B,AB$2&amp;$R$1)</f>
        <v>0</v>
      </c>
      <c r="AC163" s="405">
        <f>SUMIFS(領用表!$L:$L,領用表!$E:$E,$B163,領用表!$B:$B,AC$2&amp;$R$1)</f>
        <v>0</v>
      </c>
      <c r="AD163" s="405">
        <f t="shared" si="26"/>
        <v>0</v>
      </c>
      <c r="AE163" s="405">
        <f t="shared" si="27"/>
        <v>0</v>
      </c>
      <c r="AF163" s="405">
        <f>SUMIF(Summary!B:B,B163,Summary!DV:DV)</f>
        <v>0</v>
      </c>
      <c r="AG163" s="111">
        <v>0</v>
      </c>
      <c r="AH163" s="80"/>
      <c r="AI163" s="65"/>
      <c r="AJ163" s="65"/>
    </row>
    <row r="164" spans="1:38" ht="15.75" customHeight="1">
      <c r="A164" s="27" t="s">
        <v>210</v>
      </c>
      <c r="B164" s="14">
        <v>1080005</v>
      </c>
      <c r="C164" s="136" t="s">
        <v>582</v>
      </c>
      <c r="D164" s="77"/>
      <c r="E164" s="17" t="s">
        <v>15</v>
      </c>
      <c r="F164" s="70"/>
      <c r="G164" s="18"/>
      <c r="H164" s="68" t="e">
        <f>SUM(#REF!)</f>
        <v>#REF!</v>
      </c>
      <c r="I164" s="26" t="e">
        <f>H164/12</f>
        <v>#REF!</v>
      </c>
      <c r="J164" s="20">
        <f>SUMIFS(領用表!$L:$L,領用表!$E:$E,$B164,領用表!$B:$B,J$2&amp;$R$1)</f>
        <v>0</v>
      </c>
      <c r="K164" s="20">
        <f>SUMIFS(領用表!$L:$L,領用表!$E:$E,$B164,領用表!$B:$B,K$2&amp;$R$1)</f>
        <v>0</v>
      </c>
      <c r="L164" s="20">
        <f>SUMIFS(領用表!$L:$L,領用表!$E:$E,$B164,領用表!$B:$B,L$2&amp;$R$1)</f>
        <v>0</v>
      </c>
      <c r="M164" s="142">
        <f>SUMIFS(領用表!$L:$L,領用表!$E:$E,$B164,領用表!$B:$B,M$2&amp;$R$1)</f>
        <v>0</v>
      </c>
      <c r="N164" s="142">
        <f>SUMIFS(領用表!$L:$L,領用表!$E:$E,$B164,領用表!$B:$B,N$2&amp;$R$1)</f>
        <v>0</v>
      </c>
      <c r="O164" s="142">
        <f>SUMIFS(領用表!$L:$L,領用表!$E:$E,$B164,領用表!$B:$B,O$2&amp;$R$1)</f>
        <v>0</v>
      </c>
      <c r="P164" s="23">
        <f t="shared" si="28"/>
        <v>0</v>
      </c>
      <c r="Q164" s="23">
        <f t="shared" si="29"/>
        <v>0</v>
      </c>
      <c r="R164" s="142">
        <f>SUMIFS(領用表!$L:$L,領用表!$E:$E,$B164,領用表!$B:$B,R$2&amp;$R$1)</f>
        <v>0</v>
      </c>
      <c r="S164" s="142">
        <f>SUMIFS(領用表!$L:$L,領用表!$E:$E,$B164,領用表!$B:$B,S$2&amp;$R$1)</f>
        <v>0</v>
      </c>
      <c r="T164" s="142">
        <f>SUMIFS(領用表!$L:$L,領用表!$E:$E,$B164,領用表!$B:$B,T$2&amp;$R$1)</f>
        <v>0</v>
      </c>
      <c r="U164" s="142">
        <f>SUMIFS(領用表!$L:$L,領用表!$E:$E,$B164,領用表!$B:$B,U$2&amp;$R$1)</f>
        <v>0</v>
      </c>
      <c r="V164" s="142">
        <f>SUMIFS(領用表!$L:$L,領用表!$E:$E,$B164,領用表!$B:$B,V$2&amp;$R$1)</f>
        <v>0</v>
      </c>
      <c r="W164" s="142">
        <f>SUMIFS(領用表!$L:$L,領用表!$E:$E,$B164,領用表!$B:$B,W$2&amp;$R$1)</f>
        <v>0</v>
      </c>
      <c r="X164" s="142">
        <f>SUMIFS(領用表!$L:$L,領用表!$E:$E,$B164,領用表!$B:$B,X$2&amp;$R$1)</f>
        <v>0</v>
      </c>
      <c r="Y164" s="142">
        <f>SUMIFS(領用表!$L:$L,領用表!$E:$E,$B164,領用表!$B:$B,Y$2&amp;$R$1)</f>
        <v>0</v>
      </c>
      <c r="Z164" s="142">
        <f>SUMIFS(領用表!$L:$L,領用表!$E:$E,$B164,領用表!$B:$B,Z$2&amp;$R$1)</f>
        <v>0</v>
      </c>
      <c r="AA164" s="142">
        <f>SUMIFS(領用表!$L:$L,領用表!$E:$E,$B164,領用表!$B:$B,AA$2&amp;$R$1)</f>
        <v>0</v>
      </c>
      <c r="AB164" s="142">
        <f>SUMIFS(領用表!$L:$L,領用表!$E:$E,$B164,領用表!$B:$B,AB$2&amp;$R$1)</f>
        <v>0</v>
      </c>
      <c r="AC164" s="142">
        <f>SUMIFS(領用表!$L:$L,領用表!$E:$E,$B164,領用表!$B:$B,AC$2&amp;$R$1)</f>
        <v>0</v>
      </c>
      <c r="AD164" s="142">
        <f t="shared" si="26"/>
        <v>0</v>
      </c>
      <c r="AE164" s="142">
        <f t="shared" si="27"/>
        <v>0</v>
      </c>
      <c r="AF164" s="142">
        <f>SUMIF(Summary!B:B,B164,Summary!DV:DV)</f>
        <v>0</v>
      </c>
      <c r="AG164" s="109">
        <v>1000</v>
      </c>
      <c r="AH164" s="65"/>
      <c r="AI164" s="65"/>
      <c r="AJ164" s="65"/>
    </row>
    <row r="165" spans="1:38" ht="15.75" customHeight="1">
      <c r="A165" s="27" t="s">
        <v>211</v>
      </c>
      <c r="B165" s="14">
        <v>1080008</v>
      </c>
      <c r="C165" s="136" t="s">
        <v>583</v>
      </c>
      <c r="D165" s="77"/>
      <c r="E165" s="17" t="s">
        <v>15</v>
      </c>
      <c r="F165" s="70"/>
      <c r="G165" s="18"/>
      <c r="H165" s="64"/>
      <c r="I165" s="64"/>
      <c r="J165" s="20">
        <f>SUMIFS(領用表!$L:$L,領用表!$E:$E,$B165,領用表!$B:$B,J$2&amp;$R$1)</f>
        <v>0</v>
      </c>
      <c r="K165" s="20">
        <f>SUMIFS(領用表!$L:$L,領用表!$E:$E,$B165,領用表!$B:$B,K$2&amp;$R$1)</f>
        <v>0</v>
      </c>
      <c r="L165" s="20">
        <f>SUMIFS(領用表!$L:$L,領用表!$E:$E,$B165,領用表!$B:$B,L$2&amp;$R$1)</f>
        <v>0</v>
      </c>
      <c r="M165" s="142">
        <f>SUMIFS(領用表!$L:$L,領用表!$E:$E,$B165,領用表!$B:$B,M$2&amp;$R$1)</f>
        <v>0</v>
      </c>
      <c r="N165" s="142">
        <f>SUMIFS(領用表!$L:$L,領用表!$E:$E,$B165,領用表!$B:$B,N$2&amp;$R$1)</f>
        <v>0</v>
      </c>
      <c r="O165" s="142">
        <f>SUMIFS(領用表!$L:$L,領用表!$E:$E,$B165,領用表!$B:$B,O$2&amp;$R$1)</f>
        <v>0</v>
      </c>
      <c r="P165" s="23">
        <f t="shared" si="28"/>
        <v>0</v>
      </c>
      <c r="Q165" s="23">
        <f t="shared" si="29"/>
        <v>0</v>
      </c>
      <c r="R165" s="142">
        <f>SUMIFS(領用表!$L:$L,領用表!$E:$E,$B165,領用表!$B:$B,R$2&amp;$R$1)</f>
        <v>0</v>
      </c>
      <c r="S165" s="405">
        <f>SUMIFS(領用表!$L:$L,領用表!$E:$E,$B165,領用表!$B:$B,S$2&amp;$R$1)</f>
        <v>0</v>
      </c>
      <c r="T165" s="405">
        <f>SUMIFS(領用表!$L:$L,領用表!$E:$E,$B165,領用表!$B:$B,T$2&amp;$R$1)</f>
        <v>0</v>
      </c>
      <c r="U165" s="405">
        <f>SUMIFS(領用表!$L:$L,領用表!$E:$E,$B165,領用表!$B:$B,U$2&amp;$R$1)</f>
        <v>0</v>
      </c>
      <c r="V165" s="405">
        <f>SUMIFS(領用表!$L:$L,領用表!$E:$E,$B165,領用表!$B:$B,V$2&amp;$R$1)</f>
        <v>0</v>
      </c>
      <c r="W165" s="405">
        <f>SUMIFS(領用表!$L:$L,領用表!$E:$E,$B165,領用表!$B:$B,W$2&amp;$R$1)</f>
        <v>0</v>
      </c>
      <c r="X165" s="405">
        <f>SUMIFS(領用表!$L:$L,領用表!$E:$E,$B165,領用表!$B:$B,X$2&amp;$R$1)</f>
        <v>0</v>
      </c>
      <c r="Y165" s="405">
        <f>SUMIFS(領用表!$L:$L,領用表!$E:$E,$B165,領用表!$B:$B,Y$2&amp;$R$1)</f>
        <v>0</v>
      </c>
      <c r="Z165" s="405">
        <f>SUMIFS(領用表!$L:$L,領用表!$E:$E,$B165,領用表!$B:$B,Z$2&amp;$R$1)</f>
        <v>0</v>
      </c>
      <c r="AA165" s="405">
        <f>SUMIFS(領用表!$L:$L,領用表!$E:$E,$B165,領用表!$B:$B,AA$2&amp;$R$1)</f>
        <v>0</v>
      </c>
      <c r="AB165" s="405">
        <f>SUMIFS(領用表!$L:$L,領用表!$E:$E,$B165,領用表!$B:$B,AB$2&amp;$R$1)</f>
        <v>0</v>
      </c>
      <c r="AC165" s="405">
        <f>SUMIFS(領用表!$L:$L,領用表!$E:$E,$B165,領用表!$B:$B,AC$2&amp;$R$1)</f>
        <v>0</v>
      </c>
      <c r="AD165" s="405">
        <f t="shared" si="26"/>
        <v>0</v>
      </c>
      <c r="AE165" s="405">
        <f t="shared" si="27"/>
        <v>0</v>
      </c>
      <c r="AF165" s="405">
        <f>SUMIF(Summary!B:B,B165,Summary!DV:DV)</f>
        <v>0</v>
      </c>
      <c r="AG165" s="111">
        <v>0</v>
      </c>
      <c r="AH165" s="80"/>
      <c r="AI165" s="65"/>
      <c r="AJ165" s="65"/>
    </row>
    <row r="166" spans="1:38" ht="15.75" customHeight="1">
      <c r="A166" s="27" t="s">
        <v>212</v>
      </c>
      <c r="B166" s="14">
        <v>6230003</v>
      </c>
      <c r="C166" s="136" t="s">
        <v>584</v>
      </c>
      <c r="D166" s="77"/>
      <c r="E166" s="17" t="s">
        <v>15</v>
      </c>
      <c r="F166" s="70"/>
      <c r="G166" s="18"/>
      <c r="H166" s="64"/>
      <c r="I166" s="64"/>
      <c r="J166" s="20">
        <f>SUMIFS(領用表!$L:$L,領用表!$E:$E,$B166,領用表!$B:$B,J$2&amp;$R$1)</f>
        <v>0</v>
      </c>
      <c r="K166" s="20">
        <f>SUMIFS(領用表!$L:$L,領用表!$E:$E,$B166,領用表!$B:$B,K$2&amp;$R$1)</f>
        <v>0</v>
      </c>
      <c r="L166" s="20">
        <f>SUMIFS(領用表!$L:$L,領用表!$E:$E,$B166,領用表!$B:$B,L$2&amp;$R$1)</f>
        <v>0</v>
      </c>
      <c r="M166" s="142">
        <f>SUMIFS(領用表!$L:$L,領用表!$E:$E,$B166,領用表!$B:$B,M$2&amp;$R$1)</f>
        <v>0</v>
      </c>
      <c r="N166" s="142">
        <f>SUMIFS(領用表!$L:$L,領用表!$E:$E,$B166,領用表!$B:$B,N$2&amp;$R$1)</f>
        <v>0</v>
      </c>
      <c r="O166" s="142">
        <f>SUMIFS(領用表!$L:$L,領用表!$E:$E,$B166,領用表!$B:$B,O$2&amp;$R$1)</f>
        <v>0</v>
      </c>
      <c r="P166" s="23">
        <f t="shared" si="28"/>
        <v>0</v>
      </c>
      <c r="Q166" s="23">
        <f t="shared" si="29"/>
        <v>0</v>
      </c>
      <c r="R166" s="142">
        <f>SUMIFS(領用表!$L:$L,領用表!$E:$E,$B166,領用表!$B:$B,R$2&amp;$R$1)</f>
        <v>0</v>
      </c>
      <c r="S166" s="405">
        <f>SUMIFS(領用表!$L:$L,領用表!$E:$E,$B166,領用表!$B:$B,S$2&amp;$R$1)</f>
        <v>0</v>
      </c>
      <c r="T166" s="405">
        <f>SUMIFS(領用表!$L:$L,領用表!$E:$E,$B166,領用表!$B:$B,T$2&amp;$R$1)</f>
        <v>0</v>
      </c>
      <c r="U166" s="405">
        <f>SUMIFS(領用表!$L:$L,領用表!$E:$E,$B166,領用表!$B:$B,U$2&amp;$R$1)</f>
        <v>0</v>
      </c>
      <c r="V166" s="405">
        <f>SUMIFS(領用表!$L:$L,領用表!$E:$E,$B166,領用表!$B:$B,V$2&amp;$R$1)</f>
        <v>0</v>
      </c>
      <c r="W166" s="405">
        <f>SUMIFS(領用表!$L:$L,領用表!$E:$E,$B166,領用表!$B:$B,W$2&amp;$R$1)</f>
        <v>0</v>
      </c>
      <c r="X166" s="405">
        <f>SUMIFS(領用表!$L:$L,領用表!$E:$E,$B166,領用表!$B:$B,X$2&amp;$R$1)</f>
        <v>0</v>
      </c>
      <c r="Y166" s="405">
        <f>SUMIFS(領用表!$L:$L,領用表!$E:$E,$B166,領用表!$B:$B,Y$2&amp;$R$1)</f>
        <v>0</v>
      </c>
      <c r="Z166" s="405">
        <f>SUMIFS(領用表!$L:$L,領用表!$E:$E,$B166,領用表!$B:$B,Z$2&amp;$R$1)</f>
        <v>0</v>
      </c>
      <c r="AA166" s="405">
        <f>SUMIFS(領用表!$L:$L,領用表!$E:$E,$B166,領用表!$B:$B,AA$2&amp;$R$1)</f>
        <v>0</v>
      </c>
      <c r="AB166" s="405">
        <f>SUMIFS(領用表!$L:$L,領用表!$E:$E,$B166,領用表!$B:$B,AB$2&amp;$R$1)</f>
        <v>0</v>
      </c>
      <c r="AC166" s="405">
        <f>SUMIFS(領用表!$L:$L,領用表!$E:$E,$B166,領用表!$B:$B,AC$2&amp;$R$1)</f>
        <v>0</v>
      </c>
      <c r="AD166" s="405">
        <f t="shared" si="26"/>
        <v>0</v>
      </c>
      <c r="AE166" s="405">
        <f t="shared" si="27"/>
        <v>0</v>
      </c>
      <c r="AF166" s="405">
        <f>SUMIF(Summary!B:B,B166,Summary!DV:DV)</f>
        <v>0</v>
      </c>
      <c r="AG166" s="111">
        <v>0</v>
      </c>
      <c r="AH166" s="80"/>
      <c r="AI166" s="76"/>
      <c r="AJ166" s="83"/>
    </row>
    <row r="167" spans="1:38" ht="15.75" customHeight="1">
      <c r="A167" s="27" t="s">
        <v>213</v>
      </c>
      <c r="B167" s="14" t="e">
        <v>#N/A</v>
      </c>
      <c r="C167" s="136" t="s">
        <v>585</v>
      </c>
      <c r="D167" s="77"/>
      <c r="E167" s="17" t="s">
        <v>15</v>
      </c>
      <c r="F167" s="70"/>
      <c r="G167" s="18"/>
      <c r="H167" s="64"/>
      <c r="I167" s="64"/>
      <c r="J167" s="20">
        <f>SUMIFS(領用表!$L:$L,領用表!$E:$E,$B167,領用表!$B:$B,J$2&amp;$R$1)</f>
        <v>0</v>
      </c>
      <c r="K167" s="20">
        <f>SUMIFS(領用表!$L:$L,領用表!$E:$E,$B167,領用表!$B:$B,K$2&amp;$R$1)</f>
        <v>0</v>
      </c>
      <c r="L167" s="20">
        <f>SUMIFS(領用表!$L:$L,領用表!$E:$E,$B167,領用表!$B:$B,L$2&amp;$R$1)</f>
        <v>0</v>
      </c>
      <c r="M167" s="142">
        <f>SUMIFS(領用表!$L:$L,領用表!$E:$E,$B167,領用表!$B:$B,M$2&amp;$R$1)</f>
        <v>0</v>
      </c>
      <c r="N167" s="142">
        <f>SUMIFS(領用表!$L:$L,領用表!$E:$E,$B167,領用表!$B:$B,N$2&amp;$R$1)</f>
        <v>0</v>
      </c>
      <c r="O167" s="142">
        <f>SUMIFS(領用表!$L:$L,領用表!$E:$E,$B167,領用表!$B:$B,O$2&amp;$R$1)</f>
        <v>0</v>
      </c>
      <c r="P167" s="23">
        <f t="shared" si="28"/>
        <v>0</v>
      </c>
      <c r="Q167" s="23">
        <f t="shared" si="29"/>
        <v>0</v>
      </c>
      <c r="R167" s="142">
        <f>SUMIFS(領用表!$L:$L,領用表!$E:$E,$B167,領用表!$B:$B,R$2&amp;$R$1)</f>
        <v>0</v>
      </c>
      <c r="S167" s="405">
        <f>SUMIFS(領用表!$L:$L,領用表!$E:$E,$B167,領用表!$B:$B,S$2&amp;$R$1)</f>
        <v>0</v>
      </c>
      <c r="T167" s="405">
        <f>SUMIFS(領用表!$L:$L,領用表!$E:$E,$B167,領用表!$B:$B,T$2&amp;$R$1)</f>
        <v>0</v>
      </c>
      <c r="U167" s="405">
        <f>SUMIFS(領用表!$L:$L,領用表!$E:$E,$B167,領用表!$B:$B,U$2&amp;$R$1)</f>
        <v>0</v>
      </c>
      <c r="V167" s="405">
        <f>SUMIFS(領用表!$L:$L,領用表!$E:$E,$B167,領用表!$B:$B,V$2&amp;$R$1)</f>
        <v>0</v>
      </c>
      <c r="W167" s="405">
        <f>SUMIFS(領用表!$L:$L,領用表!$E:$E,$B167,領用表!$B:$B,W$2&amp;$R$1)</f>
        <v>0</v>
      </c>
      <c r="X167" s="405">
        <f>SUMIFS(領用表!$L:$L,領用表!$E:$E,$B167,領用表!$B:$B,X$2&amp;$R$1)</f>
        <v>0</v>
      </c>
      <c r="Y167" s="405">
        <f>SUMIFS(領用表!$L:$L,領用表!$E:$E,$B167,領用表!$B:$B,Y$2&amp;$R$1)</f>
        <v>0</v>
      </c>
      <c r="Z167" s="405">
        <f>SUMIFS(領用表!$L:$L,領用表!$E:$E,$B167,領用表!$B:$B,Z$2&amp;$R$1)</f>
        <v>0</v>
      </c>
      <c r="AA167" s="405">
        <f>SUMIFS(領用表!$L:$L,領用表!$E:$E,$B167,領用表!$B:$B,AA$2&amp;$R$1)</f>
        <v>0</v>
      </c>
      <c r="AB167" s="405">
        <f>SUMIFS(領用表!$L:$L,領用表!$E:$E,$B167,領用表!$B:$B,AB$2&amp;$R$1)</f>
        <v>0</v>
      </c>
      <c r="AC167" s="405">
        <f>SUMIFS(領用表!$L:$L,領用表!$E:$E,$B167,領用表!$B:$B,AC$2&amp;$R$1)</f>
        <v>0</v>
      </c>
      <c r="AD167" s="405">
        <f t="shared" si="26"/>
        <v>0</v>
      </c>
      <c r="AE167" s="405">
        <f t="shared" si="27"/>
        <v>0</v>
      </c>
      <c r="AF167" s="405">
        <f>SUMIF(Summary!B:B,B167,Summary!DV:DV)</f>
        <v>0</v>
      </c>
      <c r="AG167" s="111">
        <v>0</v>
      </c>
      <c r="AH167" s="80"/>
      <c r="AI167" s="65"/>
      <c r="AJ167" s="65"/>
    </row>
    <row r="168" spans="1:38" ht="15.75" customHeight="1">
      <c r="A168" s="27" t="s">
        <v>214</v>
      </c>
      <c r="B168" s="14" t="e">
        <v>#N/A</v>
      </c>
      <c r="C168" s="136" t="s">
        <v>586</v>
      </c>
      <c r="D168" s="77"/>
      <c r="E168" s="17" t="s">
        <v>15</v>
      </c>
      <c r="F168" s="70"/>
      <c r="G168" s="18"/>
      <c r="H168" s="64"/>
      <c r="I168" s="64"/>
      <c r="J168" s="20">
        <f>SUMIFS(領用表!$L:$L,領用表!$E:$E,$B168,領用表!$B:$B,J$2&amp;$R$1)</f>
        <v>0</v>
      </c>
      <c r="K168" s="20">
        <f>SUMIFS(領用表!$L:$L,領用表!$E:$E,$B168,領用表!$B:$B,K$2&amp;$R$1)</f>
        <v>0</v>
      </c>
      <c r="L168" s="20">
        <f>SUMIFS(領用表!$L:$L,領用表!$E:$E,$B168,領用表!$B:$B,L$2&amp;$R$1)</f>
        <v>0</v>
      </c>
      <c r="M168" s="142">
        <f>SUMIFS(領用表!$L:$L,領用表!$E:$E,$B168,領用表!$B:$B,M$2&amp;$R$1)</f>
        <v>0</v>
      </c>
      <c r="N168" s="142">
        <f>SUMIFS(領用表!$L:$L,領用表!$E:$E,$B168,領用表!$B:$B,N$2&amp;$R$1)</f>
        <v>0</v>
      </c>
      <c r="O168" s="142">
        <f>SUMIFS(領用表!$L:$L,領用表!$E:$E,$B168,領用表!$B:$B,O$2&amp;$R$1)</f>
        <v>0</v>
      </c>
      <c r="P168" s="23">
        <f t="shared" si="28"/>
        <v>0</v>
      </c>
      <c r="Q168" s="23">
        <f t="shared" si="29"/>
        <v>0</v>
      </c>
      <c r="R168" s="142">
        <f>SUMIFS(領用表!$L:$L,領用表!$E:$E,$B168,領用表!$B:$B,R$2&amp;$R$1)</f>
        <v>0</v>
      </c>
      <c r="S168" s="405">
        <f>SUMIFS(領用表!$L:$L,領用表!$E:$E,$B168,領用表!$B:$B,S$2&amp;$R$1)</f>
        <v>0</v>
      </c>
      <c r="T168" s="405">
        <f>SUMIFS(領用表!$L:$L,領用表!$E:$E,$B168,領用表!$B:$B,T$2&amp;$R$1)</f>
        <v>0</v>
      </c>
      <c r="U168" s="405">
        <f>SUMIFS(領用表!$L:$L,領用表!$E:$E,$B168,領用表!$B:$B,U$2&amp;$R$1)</f>
        <v>0</v>
      </c>
      <c r="V168" s="405">
        <f>SUMIFS(領用表!$L:$L,領用表!$E:$E,$B168,領用表!$B:$B,V$2&amp;$R$1)</f>
        <v>0</v>
      </c>
      <c r="W168" s="405">
        <f>SUMIFS(領用表!$L:$L,領用表!$E:$E,$B168,領用表!$B:$B,W$2&amp;$R$1)</f>
        <v>0</v>
      </c>
      <c r="X168" s="405">
        <f>SUMIFS(領用表!$L:$L,領用表!$E:$E,$B168,領用表!$B:$B,X$2&amp;$R$1)</f>
        <v>0</v>
      </c>
      <c r="Y168" s="405">
        <f>SUMIFS(領用表!$L:$L,領用表!$E:$E,$B168,領用表!$B:$B,Y$2&amp;$R$1)</f>
        <v>0</v>
      </c>
      <c r="Z168" s="405">
        <f>SUMIFS(領用表!$L:$L,領用表!$E:$E,$B168,領用表!$B:$B,Z$2&amp;$R$1)</f>
        <v>0</v>
      </c>
      <c r="AA168" s="405">
        <f>SUMIFS(領用表!$L:$L,領用表!$E:$E,$B168,領用表!$B:$B,AA$2&amp;$R$1)</f>
        <v>0</v>
      </c>
      <c r="AB168" s="405">
        <f>SUMIFS(領用表!$L:$L,領用表!$E:$E,$B168,領用表!$B:$B,AB$2&amp;$R$1)</f>
        <v>0</v>
      </c>
      <c r="AC168" s="405">
        <f>SUMIFS(領用表!$L:$L,領用表!$E:$E,$B168,領用表!$B:$B,AC$2&amp;$R$1)</f>
        <v>0</v>
      </c>
      <c r="AD168" s="405">
        <f t="shared" si="26"/>
        <v>0</v>
      </c>
      <c r="AE168" s="405">
        <f t="shared" si="27"/>
        <v>0</v>
      </c>
      <c r="AF168" s="405">
        <f>SUMIF(Summary!B:B,B168,Summary!DV:DV)</f>
        <v>0</v>
      </c>
      <c r="AG168" s="111">
        <v>0</v>
      </c>
      <c r="AH168" s="80"/>
      <c r="AI168" s="65"/>
      <c r="AJ168" s="65"/>
    </row>
    <row r="169" spans="1:38" ht="15.75" customHeight="1">
      <c r="A169" s="27" t="s">
        <v>215</v>
      </c>
      <c r="B169" s="14" t="e">
        <v>#N/A</v>
      </c>
      <c r="C169" s="136" t="s">
        <v>587</v>
      </c>
      <c r="D169" s="77"/>
      <c r="E169" s="17" t="s">
        <v>15</v>
      </c>
      <c r="F169" s="70"/>
      <c r="G169" s="18"/>
      <c r="H169" s="64"/>
      <c r="I169" s="64"/>
      <c r="J169" s="20">
        <f>SUMIFS(領用表!$L:$L,領用表!$E:$E,$B169,領用表!$B:$B,J$2&amp;$R$1)</f>
        <v>0</v>
      </c>
      <c r="K169" s="20">
        <f>SUMIFS(領用表!$L:$L,領用表!$E:$E,$B169,領用表!$B:$B,K$2&amp;$R$1)</f>
        <v>0</v>
      </c>
      <c r="L169" s="20">
        <f>SUMIFS(領用表!$L:$L,領用表!$E:$E,$B169,領用表!$B:$B,L$2&amp;$R$1)</f>
        <v>0</v>
      </c>
      <c r="M169" s="142">
        <f>SUMIFS(領用表!$L:$L,領用表!$E:$E,$B169,領用表!$B:$B,M$2&amp;$R$1)</f>
        <v>0</v>
      </c>
      <c r="N169" s="142">
        <f>SUMIFS(領用表!$L:$L,領用表!$E:$E,$B169,領用表!$B:$B,N$2&amp;$R$1)</f>
        <v>0</v>
      </c>
      <c r="O169" s="142">
        <f>SUMIFS(領用表!$L:$L,領用表!$E:$E,$B169,領用表!$B:$B,O$2&amp;$R$1)</f>
        <v>0</v>
      </c>
      <c r="P169" s="23">
        <f t="shared" si="28"/>
        <v>0</v>
      </c>
      <c r="Q169" s="23">
        <f t="shared" si="29"/>
        <v>0</v>
      </c>
      <c r="R169" s="142">
        <f>SUMIFS(領用表!$L:$L,領用表!$E:$E,$B169,領用表!$B:$B,R$2&amp;$R$1)</f>
        <v>0</v>
      </c>
      <c r="S169" s="405">
        <f>SUMIFS(領用表!$L:$L,領用表!$E:$E,$B169,領用表!$B:$B,S$2&amp;$R$1)</f>
        <v>0</v>
      </c>
      <c r="T169" s="405">
        <f>SUMIFS(領用表!$L:$L,領用表!$E:$E,$B169,領用表!$B:$B,T$2&amp;$R$1)</f>
        <v>0</v>
      </c>
      <c r="U169" s="405">
        <f>SUMIFS(領用表!$L:$L,領用表!$E:$E,$B169,領用表!$B:$B,U$2&amp;$R$1)</f>
        <v>0</v>
      </c>
      <c r="V169" s="405">
        <f>SUMIFS(領用表!$L:$L,領用表!$E:$E,$B169,領用表!$B:$B,V$2&amp;$R$1)</f>
        <v>0</v>
      </c>
      <c r="W169" s="405">
        <f>SUMIFS(領用表!$L:$L,領用表!$E:$E,$B169,領用表!$B:$B,W$2&amp;$R$1)</f>
        <v>0</v>
      </c>
      <c r="X169" s="405">
        <f>SUMIFS(領用表!$L:$L,領用表!$E:$E,$B169,領用表!$B:$B,X$2&amp;$R$1)</f>
        <v>0</v>
      </c>
      <c r="Y169" s="405">
        <f>SUMIFS(領用表!$L:$L,領用表!$E:$E,$B169,領用表!$B:$B,Y$2&amp;$R$1)</f>
        <v>0</v>
      </c>
      <c r="Z169" s="405">
        <f>SUMIFS(領用表!$L:$L,領用表!$E:$E,$B169,領用表!$B:$B,Z$2&amp;$R$1)</f>
        <v>0</v>
      </c>
      <c r="AA169" s="405">
        <f>SUMIFS(領用表!$L:$L,領用表!$E:$E,$B169,領用表!$B:$B,AA$2&amp;$R$1)</f>
        <v>0</v>
      </c>
      <c r="AB169" s="405">
        <f>SUMIFS(領用表!$L:$L,領用表!$E:$E,$B169,領用表!$B:$B,AB$2&amp;$R$1)</f>
        <v>0</v>
      </c>
      <c r="AC169" s="405">
        <f>SUMIFS(領用表!$L:$L,領用表!$E:$E,$B169,領用表!$B:$B,AC$2&amp;$R$1)</f>
        <v>0</v>
      </c>
      <c r="AD169" s="405">
        <f t="shared" si="26"/>
        <v>0</v>
      </c>
      <c r="AE169" s="405">
        <f t="shared" si="27"/>
        <v>0</v>
      </c>
      <c r="AF169" s="405">
        <f>SUMIF(Summary!B:B,B169,Summary!DV:DV)</f>
        <v>0</v>
      </c>
      <c r="AG169" s="111">
        <v>0</v>
      </c>
      <c r="AH169" s="80"/>
      <c r="AI169" s="65"/>
      <c r="AJ169" s="65"/>
    </row>
    <row r="170" spans="1:38" ht="16.5" hidden="1" customHeight="1">
      <c r="A170" s="27" t="s">
        <v>173</v>
      </c>
      <c r="B170" s="14">
        <v>1080002</v>
      </c>
      <c r="C170" s="136" t="s">
        <v>551</v>
      </c>
      <c r="D170" s="77"/>
      <c r="E170" s="17" t="s">
        <v>15</v>
      </c>
      <c r="F170" s="70"/>
      <c r="G170" s="18"/>
      <c r="H170" s="68" t="e">
        <f>SUM(#REF!)</f>
        <v>#REF!</v>
      </c>
      <c r="I170" s="26" t="e">
        <f>H170/12</f>
        <v>#REF!</v>
      </c>
      <c r="J170" s="20">
        <f>SUMIFS(領用表!$L:$L,領用表!$E:$E,$B170,領用表!$B:$B,J$2&amp;$R$1)</f>
        <v>0</v>
      </c>
      <c r="K170" s="20">
        <f>SUMIFS(領用表!$L:$L,領用表!$E:$E,$B170,領用表!$B:$B,K$2&amp;$R$1)</f>
        <v>0</v>
      </c>
      <c r="L170" s="20">
        <f>SUMIFS(領用表!$L:$L,領用表!$E:$E,$B170,領用表!$B:$B,L$2&amp;$R$1)</f>
        <v>0</v>
      </c>
      <c r="M170" s="142">
        <f>SUMIFS(領用表!$L:$L,領用表!$E:$E,$B170,領用表!$B:$B,M$2&amp;$R$1)</f>
        <v>0</v>
      </c>
      <c r="N170" s="142">
        <f>SUMIFS(領用表!$L:$L,領用表!$E:$E,$B170,領用表!$B:$B,N$2&amp;$R$1)</f>
        <v>0</v>
      </c>
      <c r="O170" s="142">
        <f>SUMIFS(領用表!$L:$L,領用表!$E:$E,$B170,領用表!$B:$B,O$2&amp;$R$1)</f>
        <v>0</v>
      </c>
      <c r="P170" s="23">
        <f t="shared" si="28"/>
        <v>0</v>
      </c>
      <c r="Q170" s="23">
        <f t="shared" si="29"/>
        <v>0</v>
      </c>
      <c r="R170" s="142">
        <f>SUMIFS(領用表!$L:$L,領用表!$E:$E,$B170,領用表!$B:$B,R$2&amp;$R$1)</f>
        <v>0</v>
      </c>
      <c r="S170" s="142">
        <f>SUMIFS(領用表!$L:$L,領用表!$E:$E,$B170,領用表!$B:$B,S$2&amp;$R$1)</f>
        <v>0</v>
      </c>
      <c r="T170" s="142">
        <f>SUMIFS(領用表!$L:$L,領用表!$E:$E,$B170,領用表!$B:$B,T$2&amp;$R$1)</f>
        <v>0</v>
      </c>
      <c r="U170" s="142">
        <f>SUMIFS(領用表!$L:$L,領用表!$E:$E,$B170,領用表!$B:$B,U$2&amp;$R$1)</f>
        <v>0</v>
      </c>
      <c r="V170" s="142">
        <f>SUMIFS(領用表!$L:$L,領用表!$E:$E,$B170,領用表!$B:$B,V$2&amp;$R$1)</f>
        <v>0</v>
      </c>
      <c r="W170" s="142">
        <f>SUMIFS(領用表!$L:$L,領用表!$E:$E,$B170,領用表!$B:$B,W$2&amp;$R$1)</f>
        <v>0</v>
      </c>
      <c r="X170" s="142">
        <f>SUMIFS(領用表!$L:$L,領用表!$E:$E,$B170,領用表!$B:$B,X$2&amp;$R$1)</f>
        <v>0</v>
      </c>
      <c r="Y170" s="142">
        <f>SUMIFS(領用表!$L:$L,領用表!$E:$E,$B170,領用表!$B:$B,Y$2&amp;$R$1)</f>
        <v>0</v>
      </c>
      <c r="Z170" s="142">
        <f>SUMIFS(領用表!$L:$L,領用表!$E:$E,$B170,領用表!$B:$B,Z$2&amp;$R$1)</f>
        <v>0</v>
      </c>
      <c r="AA170" s="142">
        <f>SUMIFS(領用表!$L:$L,領用表!$E:$E,$B170,領用表!$B:$B,AA$2&amp;$R$1)</f>
        <v>0</v>
      </c>
      <c r="AB170" s="142">
        <f>SUMIFS(領用表!$L:$L,領用表!$E:$E,$B170,領用表!$B:$B,AB$2&amp;$R$1)</f>
        <v>0</v>
      </c>
      <c r="AC170" s="142">
        <f>SUMIFS(領用表!$L:$L,領用表!$E:$E,$B170,領用表!$B:$B,AC$2&amp;$R$1)</f>
        <v>0</v>
      </c>
      <c r="AD170" s="142">
        <f t="shared" si="26"/>
        <v>0</v>
      </c>
      <c r="AE170" s="142">
        <f t="shared" si="27"/>
        <v>0</v>
      </c>
      <c r="AF170" s="142">
        <f>SUMIF(Summary!B:B,B170,Summary!DV:DV)</f>
        <v>0</v>
      </c>
      <c r="AG170" s="109"/>
      <c r="AH170" s="65"/>
      <c r="AI170" s="65"/>
      <c r="AJ170" s="65"/>
      <c r="AK170" s="27"/>
      <c r="AL170" s="27"/>
    </row>
    <row r="171" spans="1:38" ht="16.5" hidden="1" customHeight="1">
      <c r="A171" s="27" t="s">
        <v>174</v>
      </c>
      <c r="B171" s="14">
        <v>1080006</v>
      </c>
      <c r="C171" s="136" t="s">
        <v>552</v>
      </c>
      <c r="D171" s="77"/>
      <c r="E171" s="17" t="s">
        <v>15</v>
      </c>
      <c r="F171" s="70"/>
      <c r="G171" s="18"/>
      <c r="H171" s="68" t="e">
        <f>SUM(#REF!)</f>
        <v>#REF!</v>
      </c>
      <c r="I171" s="26" t="e">
        <f>H171/12</f>
        <v>#REF!</v>
      </c>
      <c r="J171" s="20">
        <f>SUMIFS(領用表!$L:$L,領用表!$E:$E,$B171,領用表!$B:$B,J$2&amp;$R$1)</f>
        <v>0</v>
      </c>
      <c r="K171" s="20">
        <f>SUMIFS(領用表!$L:$L,領用表!$E:$E,$B171,領用表!$B:$B,K$2&amp;$R$1)</f>
        <v>0</v>
      </c>
      <c r="L171" s="20">
        <f>SUMIFS(領用表!$L:$L,領用表!$E:$E,$B171,領用表!$B:$B,L$2&amp;$R$1)</f>
        <v>0</v>
      </c>
      <c r="M171" s="142">
        <f>SUMIFS(領用表!$L:$L,領用表!$E:$E,$B171,領用表!$B:$B,M$2&amp;$R$1)</f>
        <v>0</v>
      </c>
      <c r="N171" s="142">
        <f>SUMIFS(領用表!$L:$L,領用表!$E:$E,$B171,領用表!$B:$B,N$2&amp;$R$1)</f>
        <v>0</v>
      </c>
      <c r="O171" s="142">
        <f>SUMIFS(領用表!$L:$L,領用表!$E:$E,$B171,領用表!$B:$B,O$2&amp;$R$1)</f>
        <v>0</v>
      </c>
      <c r="P171" s="23">
        <f t="shared" si="28"/>
        <v>0</v>
      </c>
      <c r="Q171" s="23">
        <f t="shared" si="29"/>
        <v>0</v>
      </c>
      <c r="R171" s="142">
        <f>SUMIFS(領用表!$L:$L,領用表!$E:$E,$B171,領用表!$B:$B,R$2&amp;$R$1)</f>
        <v>0</v>
      </c>
      <c r="S171" s="142">
        <f>SUMIFS(領用表!$L:$L,領用表!$E:$E,$B171,領用表!$B:$B,S$2&amp;$R$1)</f>
        <v>0</v>
      </c>
      <c r="T171" s="142">
        <f>SUMIFS(領用表!$L:$L,領用表!$E:$E,$B171,領用表!$B:$B,T$2&amp;$R$1)</f>
        <v>0</v>
      </c>
      <c r="U171" s="142">
        <f>SUMIFS(領用表!$L:$L,領用表!$E:$E,$B171,領用表!$B:$B,U$2&amp;$R$1)</f>
        <v>0</v>
      </c>
      <c r="V171" s="142">
        <f>SUMIFS(領用表!$L:$L,領用表!$E:$E,$B171,領用表!$B:$B,V$2&amp;$R$1)</f>
        <v>0</v>
      </c>
      <c r="W171" s="142">
        <f>SUMIFS(領用表!$L:$L,領用表!$E:$E,$B171,領用表!$B:$B,W$2&amp;$R$1)</f>
        <v>0</v>
      </c>
      <c r="X171" s="142">
        <f>SUMIFS(領用表!$L:$L,領用表!$E:$E,$B171,領用表!$B:$B,X$2&amp;$R$1)</f>
        <v>0</v>
      </c>
      <c r="Y171" s="142">
        <f>SUMIFS(領用表!$L:$L,領用表!$E:$E,$B171,領用表!$B:$B,Y$2&amp;$R$1)</f>
        <v>0</v>
      </c>
      <c r="Z171" s="142">
        <f>SUMIFS(領用表!$L:$L,領用表!$E:$E,$B171,領用表!$B:$B,Z$2&amp;$R$1)</f>
        <v>0</v>
      </c>
      <c r="AA171" s="142">
        <f>SUMIFS(領用表!$L:$L,領用表!$E:$E,$B171,領用表!$B:$B,AA$2&amp;$R$1)</f>
        <v>0</v>
      </c>
      <c r="AB171" s="142">
        <f>SUMIFS(領用表!$L:$L,領用表!$E:$E,$B171,領用表!$B:$B,AB$2&amp;$R$1)</f>
        <v>0</v>
      </c>
      <c r="AC171" s="142">
        <f>SUMIFS(領用表!$L:$L,領用表!$E:$E,$B171,領用表!$B:$B,AC$2&amp;$R$1)</f>
        <v>0</v>
      </c>
      <c r="AD171" s="142">
        <f t="shared" si="26"/>
        <v>0</v>
      </c>
      <c r="AE171" s="142">
        <f t="shared" si="27"/>
        <v>0</v>
      </c>
      <c r="AF171" s="142">
        <f>SUMIF(Summary!B:B,B171,Summary!DV:DV)</f>
        <v>0</v>
      </c>
      <c r="AG171" s="109"/>
      <c r="AH171" s="65"/>
      <c r="AI171" s="65"/>
      <c r="AJ171" s="76"/>
    </row>
    <row r="172" spans="1:38" ht="16.5" hidden="1" customHeight="1">
      <c r="A172" s="27" t="s">
        <v>176</v>
      </c>
      <c r="B172" s="14">
        <v>6080005</v>
      </c>
      <c r="C172" s="136" t="s">
        <v>554</v>
      </c>
      <c r="D172" s="77"/>
      <c r="E172" s="17" t="s">
        <v>15</v>
      </c>
      <c r="F172" s="70"/>
      <c r="G172" s="18"/>
      <c r="H172" s="68">
        <v>0</v>
      </c>
      <c r="I172" s="26">
        <v>0</v>
      </c>
      <c r="J172" s="20">
        <f>SUMIFS(領用表!$L:$L,領用表!$E:$E,$B172,領用表!$B:$B,J$2&amp;$R$1)</f>
        <v>0</v>
      </c>
      <c r="K172" s="20">
        <f>SUMIFS(領用表!$L:$L,領用表!$E:$E,$B172,領用表!$B:$B,K$2&amp;$R$1)</f>
        <v>0</v>
      </c>
      <c r="L172" s="20">
        <f>SUMIFS(領用表!$L:$L,領用表!$E:$E,$B172,領用表!$B:$B,L$2&amp;$R$1)</f>
        <v>0</v>
      </c>
      <c r="M172" s="142">
        <f>SUMIFS(領用表!$L:$L,領用表!$E:$E,$B172,領用表!$B:$B,M$2&amp;$R$1)</f>
        <v>0</v>
      </c>
      <c r="N172" s="142">
        <f>SUMIFS(領用表!$L:$L,領用表!$E:$E,$B172,領用表!$B:$B,N$2&amp;$R$1)</f>
        <v>0</v>
      </c>
      <c r="O172" s="142">
        <f>SUMIFS(領用表!$L:$L,領用表!$E:$E,$B172,領用表!$B:$B,O$2&amp;$R$1)</f>
        <v>0</v>
      </c>
      <c r="P172" s="23">
        <f t="shared" si="28"/>
        <v>0</v>
      </c>
      <c r="Q172" s="23">
        <f t="shared" si="29"/>
        <v>0</v>
      </c>
      <c r="R172" s="142">
        <f>SUMIFS(領用表!$L:$L,領用表!$E:$E,$B172,領用表!$B:$B,R$2&amp;$R$1)</f>
        <v>0</v>
      </c>
      <c r="S172" s="142">
        <f>SUMIFS(領用表!$L:$L,領用表!$E:$E,$B172,領用表!$B:$B,S$2&amp;$R$1)</f>
        <v>0</v>
      </c>
      <c r="T172" s="142">
        <f>SUMIFS(領用表!$L:$L,領用表!$E:$E,$B172,領用表!$B:$B,T$2&amp;$R$1)</f>
        <v>0</v>
      </c>
      <c r="U172" s="142">
        <f>SUMIFS(領用表!$L:$L,領用表!$E:$E,$B172,領用表!$B:$B,U$2&amp;$R$1)</f>
        <v>0</v>
      </c>
      <c r="V172" s="142">
        <f>SUMIFS(領用表!$L:$L,領用表!$E:$E,$B172,領用表!$B:$B,V$2&amp;$R$1)</f>
        <v>0</v>
      </c>
      <c r="W172" s="142">
        <f>SUMIFS(領用表!$L:$L,領用表!$E:$E,$B172,領用表!$B:$B,W$2&amp;$R$1)</f>
        <v>0</v>
      </c>
      <c r="X172" s="142">
        <f>SUMIFS(領用表!$L:$L,領用表!$E:$E,$B172,領用表!$B:$B,X$2&amp;$R$1)</f>
        <v>0</v>
      </c>
      <c r="Y172" s="142">
        <f>SUMIFS(領用表!$L:$L,領用表!$E:$E,$B172,領用表!$B:$B,Y$2&amp;$R$1)</f>
        <v>0</v>
      </c>
      <c r="Z172" s="142">
        <f>SUMIFS(領用表!$L:$L,領用表!$E:$E,$B172,領用表!$B:$B,Z$2&amp;$R$1)</f>
        <v>0</v>
      </c>
      <c r="AA172" s="142">
        <f>SUMIFS(領用表!$L:$L,領用表!$E:$E,$B172,領用表!$B:$B,AA$2&amp;$R$1)</f>
        <v>0</v>
      </c>
      <c r="AB172" s="142">
        <f>SUMIFS(領用表!$L:$L,領用表!$E:$E,$B172,領用表!$B:$B,AB$2&amp;$R$1)</f>
        <v>0</v>
      </c>
      <c r="AC172" s="142">
        <f>SUMIFS(領用表!$L:$L,領用表!$E:$E,$B172,領用表!$B:$B,AC$2&amp;$R$1)</f>
        <v>0</v>
      </c>
      <c r="AD172" s="142">
        <f t="shared" si="26"/>
        <v>0</v>
      </c>
      <c r="AE172" s="142">
        <f t="shared" si="27"/>
        <v>0</v>
      </c>
      <c r="AF172" s="142">
        <f>SUMIF(Summary!B:B,B172,Summary!DV:DV)</f>
        <v>0</v>
      </c>
      <c r="AG172" s="109"/>
      <c r="AH172" s="65"/>
      <c r="AI172" s="65"/>
      <c r="AJ172" s="65"/>
    </row>
    <row r="173" spans="1:38" ht="16.5" hidden="1" customHeight="1">
      <c r="A173" s="27" t="s">
        <v>210</v>
      </c>
      <c r="B173" s="14">
        <v>1080005</v>
      </c>
      <c r="C173" s="136" t="s">
        <v>582</v>
      </c>
      <c r="D173" s="77"/>
      <c r="E173" s="17" t="s">
        <v>15</v>
      </c>
      <c r="F173" s="70"/>
      <c r="G173" s="18"/>
      <c r="H173" s="68" t="e">
        <f>SUM(#REF!)</f>
        <v>#REF!</v>
      </c>
      <c r="I173" s="26" t="e">
        <f>H173/12</f>
        <v>#REF!</v>
      </c>
      <c r="J173" s="20">
        <f>SUMIFS(領用表!$L:$L,領用表!$E:$E,$B173,領用表!$B:$B,J$2&amp;$R$1)</f>
        <v>0</v>
      </c>
      <c r="K173" s="20">
        <f>SUMIFS(領用表!$L:$L,領用表!$E:$E,$B173,領用表!$B:$B,K$2&amp;$R$1)</f>
        <v>0</v>
      </c>
      <c r="L173" s="20">
        <f>SUMIFS(領用表!$L:$L,領用表!$E:$E,$B173,領用表!$B:$B,L$2&amp;$R$1)</f>
        <v>0</v>
      </c>
      <c r="M173" s="142">
        <f>SUMIFS(領用表!$L:$L,領用表!$E:$E,$B173,領用表!$B:$B,M$2&amp;$R$1)</f>
        <v>0</v>
      </c>
      <c r="N173" s="142">
        <f>SUMIFS(領用表!$L:$L,領用表!$E:$E,$B173,領用表!$B:$B,N$2&amp;$R$1)</f>
        <v>0</v>
      </c>
      <c r="O173" s="142">
        <f>SUMIFS(領用表!$L:$L,領用表!$E:$E,$B173,領用表!$B:$B,O$2&amp;$R$1)</f>
        <v>0</v>
      </c>
      <c r="P173" s="23">
        <f t="shared" si="28"/>
        <v>0</v>
      </c>
      <c r="Q173" s="23">
        <f t="shared" si="29"/>
        <v>0</v>
      </c>
      <c r="R173" s="142">
        <f>SUMIFS(領用表!$L:$L,領用表!$E:$E,$B173,領用表!$B:$B,R$2&amp;$R$1)</f>
        <v>0</v>
      </c>
      <c r="S173" s="142">
        <f>SUMIFS(領用表!$L:$L,領用表!$E:$E,$B173,領用表!$B:$B,S$2&amp;$R$1)</f>
        <v>0</v>
      </c>
      <c r="T173" s="142">
        <f>SUMIFS(領用表!$L:$L,領用表!$E:$E,$B173,領用表!$B:$B,T$2&amp;$R$1)</f>
        <v>0</v>
      </c>
      <c r="U173" s="142">
        <f>SUMIFS(領用表!$L:$L,領用表!$E:$E,$B173,領用表!$B:$B,U$2&amp;$R$1)</f>
        <v>0</v>
      </c>
      <c r="V173" s="142">
        <f>SUMIFS(領用表!$L:$L,領用表!$E:$E,$B173,領用表!$B:$B,V$2&amp;$R$1)</f>
        <v>0</v>
      </c>
      <c r="W173" s="142">
        <f>SUMIFS(領用表!$L:$L,領用表!$E:$E,$B173,領用表!$B:$B,W$2&amp;$R$1)</f>
        <v>0</v>
      </c>
      <c r="X173" s="142">
        <f>SUMIFS(領用表!$L:$L,領用表!$E:$E,$B173,領用表!$B:$B,X$2&amp;$R$1)</f>
        <v>0</v>
      </c>
      <c r="Y173" s="142">
        <f>SUMIFS(領用表!$L:$L,領用表!$E:$E,$B173,領用表!$B:$B,Y$2&amp;$R$1)</f>
        <v>0</v>
      </c>
      <c r="Z173" s="142">
        <f>SUMIFS(領用表!$L:$L,領用表!$E:$E,$B173,領用表!$B:$B,Z$2&amp;$R$1)</f>
        <v>0</v>
      </c>
      <c r="AA173" s="142">
        <f>SUMIFS(領用表!$L:$L,領用表!$E:$E,$B173,領用表!$B:$B,AA$2&amp;$R$1)</f>
        <v>0</v>
      </c>
      <c r="AB173" s="142">
        <f>SUMIFS(領用表!$L:$L,領用表!$E:$E,$B173,領用表!$B:$B,AB$2&amp;$R$1)</f>
        <v>0</v>
      </c>
      <c r="AC173" s="142">
        <f>SUMIFS(領用表!$L:$L,領用表!$E:$E,$B173,領用表!$B:$B,AC$2&amp;$R$1)</f>
        <v>0</v>
      </c>
      <c r="AD173" s="142">
        <f t="shared" si="26"/>
        <v>0</v>
      </c>
      <c r="AE173" s="142">
        <f t="shared" si="27"/>
        <v>0</v>
      </c>
      <c r="AF173" s="142">
        <f>SUMIF(Summary!B:B,B173,Summary!DV:DV)</f>
        <v>0</v>
      </c>
      <c r="AG173" s="109"/>
      <c r="AH173" s="65"/>
      <c r="AI173" s="65"/>
      <c r="AJ173" s="65"/>
    </row>
    <row r="174" spans="1:38" ht="16.5" hidden="1" customHeight="1">
      <c r="A174" s="27" t="s">
        <v>216</v>
      </c>
      <c r="B174" s="14" t="e">
        <v>#N/A</v>
      </c>
      <c r="C174" s="136" t="s">
        <v>588</v>
      </c>
      <c r="D174" s="77"/>
      <c r="E174" s="17" t="s">
        <v>15</v>
      </c>
      <c r="F174" s="70"/>
      <c r="G174" s="18"/>
      <c r="H174" s="68" t="e">
        <f>SUM(#REF!)</f>
        <v>#REF!</v>
      </c>
      <c r="I174" s="26" t="e">
        <f>H174/12</f>
        <v>#REF!</v>
      </c>
      <c r="J174" s="20">
        <f>SUMIFS(領用表!$L:$L,領用表!$E:$E,$B174,領用表!$B:$B,J$2&amp;$R$1)</f>
        <v>0</v>
      </c>
      <c r="K174" s="20">
        <f>SUMIFS(領用表!$L:$L,領用表!$E:$E,$B174,領用表!$B:$B,K$2&amp;$R$1)</f>
        <v>0</v>
      </c>
      <c r="L174" s="20">
        <f>SUMIFS(領用表!$L:$L,領用表!$E:$E,$B174,領用表!$B:$B,L$2&amp;$R$1)</f>
        <v>0</v>
      </c>
      <c r="M174" s="142">
        <f>SUMIFS(領用表!$L:$L,領用表!$E:$E,$B174,領用表!$B:$B,M$2&amp;$R$1)</f>
        <v>0</v>
      </c>
      <c r="N174" s="142">
        <f>SUMIFS(領用表!$L:$L,領用表!$E:$E,$B174,領用表!$B:$B,N$2&amp;$R$1)</f>
        <v>0</v>
      </c>
      <c r="O174" s="142">
        <f>SUMIFS(領用表!$L:$L,領用表!$E:$E,$B174,領用表!$B:$B,O$2&amp;$R$1)</f>
        <v>0</v>
      </c>
      <c r="P174" s="23">
        <f t="shared" si="28"/>
        <v>0</v>
      </c>
      <c r="Q174" s="23">
        <f t="shared" si="29"/>
        <v>0</v>
      </c>
      <c r="R174" s="142">
        <f>SUMIFS(領用表!$L:$L,領用表!$E:$E,$B174,領用表!$B:$B,R$2&amp;$R$1)</f>
        <v>0</v>
      </c>
      <c r="S174" s="142">
        <f>SUMIFS(領用表!$L:$L,領用表!$E:$E,$B174,領用表!$B:$B,S$2&amp;$R$1)</f>
        <v>0</v>
      </c>
      <c r="T174" s="142">
        <f>SUMIFS(領用表!$L:$L,領用表!$E:$E,$B174,領用表!$B:$B,T$2&amp;$R$1)</f>
        <v>0</v>
      </c>
      <c r="U174" s="142">
        <f>SUMIFS(領用表!$L:$L,領用表!$E:$E,$B174,領用表!$B:$B,U$2&amp;$R$1)</f>
        <v>0</v>
      </c>
      <c r="V174" s="142">
        <f>SUMIFS(領用表!$L:$L,領用表!$E:$E,$B174,領用表!$B:$B,V$2&amp;$R$1)</f>
        <v>0</v>
      </c>
      <c r="W174" s="142">
        <f>SUMIFS(領用表!$L:$L,領用表!$E:$E,$B174,領用表!$B:$B,W$2&amp;$R$1)</f>
        <v>0</v>
      </c>
      <c r="X174" s="142">
        <f>SUMIFS(領用表!$L:$L,領用表!$E:$E,$B174,領用表!$B:$B,X$2&amp;$R$1)</f>
        <v>0</v>
      </c>
      <c r="Y174" s="142">
        <f>SUMIFS(領用表!$L:$L,領用表!$E:$E,$B174,領用表!$B:$B,Y$2&amp;$R$1)</f>
        <v>0</v>
      </c>
      <c r="Z174" s="142">
        <f>SUMIFS(領用表!$L:$L,領用表!$E:$E,$B174,領用表!$B:$B,Z$2&amp;$R$1)</f>
        <v>0</v>
      </c>
      <c r="AA174" s="142">
        <f>SUMIFS(領用表!$L:$L,領用表!$E:$E,$B174,領用表!$B:$B,AA$2&amp;$R$1)</f>
        <v>0</v>
      </c>
      <c r="AB174" s="142">
        <f>SUMIFS(領用表!$L:$L,領用表!$E:$E,$B174,領用表!$B:$B,AB$2&amp;$R$1)</f>
        <v>0</v>
      </c>
      <c r="AC174" s="142">
        <f>SUMIFS(領用表!$L:$L,領用表!$E:$E,$B174,領用表!$B:$B,AC$2&amp;$R$1)</f>
        <v>0</v>
      </c>
      <c r="AD174" s="142">
        <f t="shared" si="26"/>
        <v>0</v>
      </c>
      <c r="AE174" s="142">
        <f t="shared" si="27"/>
        <v>0</v>
      </c>
      <c r="AF174" s="142">
        <f>SUMIF(Summary!B:B,B174,Summary!DV:DV)</f>
        <v>0</v>
      </c>
      <c r="AG174" s="109"/>
      <c r="AH174" s="65"/>
      <c r="AI174" s="65"/>
      <c r="AJ174" s="65"/>
    </row>
    <row r="175" spans="1:38" ht="16.5" hidden="1" customHeight="1">
      <c r="A175" s="27" t="s">
        <v>205</v>
      </c>
      <c r="B175" s="14" t="e">
        <v>#N/A</v>
      </c>
      <c r="C175" s="136" t="s">
        <v>577</v>
      </c>
      <c r="D175" s="77"/>
      <c r="E175" s="17" t="s">
        <v>15</v>
      </c>
      <c r="F175" s="70"/>
      <c r="G175" s="18"/>
      <c r="H175" s="64">
        <v>0</v>
      </c>
      <c r="I175" s="64">
        <v>0</v>
      </c>
      <c r="J175" s="20">
        <f>SUMIFS(領用表!$L:$L,領用表!$E:$E,$B175,領用表!$B:$B,J$2&amp;$R$1)</f>
        <v>0</v>
      </c>
      <c r="K175" s="20">
        <f>SUMIFS(領用表!$L:$L,領用表!$E:$E,$B175,領用表!$B:$B,K$2&amp;$R$1)</f>
        <v>0</v>
      </c>
      <c r="L175" s="20">
        <f>SUMIFS(領用表!$L:$L,領用表!$E:$E,$B175,領用表!$B:$B,L$2&amp;$R$1)</f>
        <v>0</v>
      </c>
      <c r="M175" s="142">
        <f>SUMIFS(領用表!$L:$L,領用表!$E:$E,$B175,領用表!$B:$B,M$2&amp;$R$1)</f>
        <v>0</v>
      </c>
      <c r="N175" s="142">
        <f>SUMIFS(領用表!$L:$L,領用表!$E:$E,$B175,領用表!$B:$B,N$2&amp;$R$1)</f>
        <v>0</v>
      </c>
      <c r="O175" s="142">
        <f>SUMIFS(領用表!$L:$L,領用表!$E:$E,$B175,領用表!$B:$B,O$2&amp;$R$1)</f>
        <v>0</v>
      </c>
      <c r="P175" s="23">
        <f t="shared" si="28"/>
        <v>0</v>
      </c>
      <c r="Q175" s="23">
        <f t="shared" si="29"/>
        <v>0</v>
      </c>
      <c r="R175" s="142">
        <f>SUMIFS(領用表!$L:$L,領用表!$E:$E,$B175,領用表!$B:$B,R$2&amp;$R$1)</f>
        <v>0</v>
      </c>
      <c r="S175" s="142">
        <f>SUMIFS(領用表!$L:$L,領用表!$E:$E,$B175,領用表!$B:$B,S$2&amp;$R$1)</f>
        <v>0</v>
      </c>
      <c r="T175" s="142">
        <f>SUMIFS(領用表!$L:$L,領用表!$E:$E,$B175,領用表!$B:$B,T$2&amp;$R$1)</f>
        <v>0</v>
      </c>
      <c r="U175" s="142">
        <f>SUMIFS(領用表!$L:$L,領用表!$E:$E,$B175,領用表!$B:$B,U$2&amp;$R$1)</f>
        <v>0</v>
      </c>
      <c r="V175" s="142">
        <f>SUMIFS(領用表!$L:$L,領用表!$E:$E,$B175,領用表!$B:$B,V$2&amp;$R$1)</f>
        <v>0</v>
      </c>
      <c r="W175" s="142">
        <f>SUMIFS(領用表!$L:$L,領用表!$E:$E,$B175,領用表!$B:$B,W$2&amp;$R$1)</f>
        <v>0</v>
      </c>
      <c r="X175" s="142">
        <f>SUMIFS(領用表!$L:$L,領用表!$E:$E,$B175,領用表!$B:$B,X$2&amp;$R$1)</f>
        <v>0</v>
      </c>
      <c r="Y175" s="142">
        <f>SUMIFS(領用表!$L:$L,領用表!$E:$E,$B175,領用表!$B:$B,Y$2&amp;$R$1)</f>
        <v>0</v>
      </c>
      <c r="Z175" s="142">
        <f>SUMIFS(領用表!$L:$L,領用表!$E:$E,$B175,領用表!$B:$B,Z$2&amp;$R$1)</f>
        <v>0</v>
      </c>
      <c r="AA175" s="142">
        <f>SUMIFS(領用表!$L:$L,領用表!$E:$E,$B175,領用表!$B:$B,AA$2&amp;$R$1)</f>
        <v>0</v>
      </c>
      <c r="AB175" s="142">
        <f>SUMIFS(領用表!$L:$L,領用表!$E:$E,$B175,領用表!$B:$B,AB$2&amp;$R$1)</f>
        <v>0</v>
      </c>
      <c r="AC175" s="142">
        <f>SUMIFS(領用表!$L:$L,領用表!$E:$E,$B175,領用表!$B:$B,AC$2&amp;$R$1)</f>
        <v>0</v>
      </c>
      <c r="AD175" s="142">
        <f t="shared" si="26"/>
        <v>0</v>
      </c>
      <c r="AE175" s="142">
        <f t="shared" si="27"/>
        <v>0</v>
      </c>
      <c r="AF175" s="142">
        <f>SUMIF(Summary!B:B,B175,Summary!DV:DV)</f>
        <v>0</v>
      </c>
      <c r="AG175" s="109"/>
      <c r="AH175" s="65"/>
      <c r="AI175" s="65"/>
      <c r="AJ175" s="65"/>
    </row>
    <row r="176" spans="1:38" ht="16.5" hidden="1" customHeight="1">
      <c r="A176" s="27" t="s">
        <v>206</v>
      </c>
      <c r="B176" s="14" t="e">
        <v>#N/A</v>
      </c>
      <c r="C176" s="136" t="s">
        <v>578</v>
      </c>
      <c r="D176" s="77"/>
      <c r="E176" s="17" t="s">
        <v>15</v>
      </c>
      <c r="F176" s="70"/>
      <c r="G176" s="18"/>
      <c r="H176" s="64">
        <v>0</v>
      </c>
      <c r="I176" s="64">
        <v>0</v>
      </c>
      <c r="J176" s="20">
        <f>SUMIFS(領用表!$L:$L,領用表!$E:$E,$B176,領用表!$B:$B,J$2&amp;$R$1)</f>
        <v>0</v>
      </c>
      <c r="K176" s="20">
        <f>SUMIFS(領用表!$L:$L,領用表!$E:$E,$B176,領用表!$B:$B,K$2&amp;$R$1)</f>
        <v>0</v>
      </c>
      <c r="L176" s="20">
        <f>SUMIFS(領用表!$L:$L,領用表!$E:$E,$B176,領用表!$B:$B,L$2&amp;$R$1)</f>
        <v>0</v>
      </c>
      <c r="M176" s="142">
        <f>SUMIFS(領用表!$L:$L,領用表!$E:$E,$B176,領用表!$B:$B,M$2&amp;$R$1)</f>
        <v>0</v>
      </c>
      <c r="N176" s="142">
        <f>SUMIFS(領用表!$L:$L,領用表!$E:$E,$B176,領用表!$B:$B,N$2&amp;$R$1)</f>
        <v>0</v>
      </c>
      <c r="O176" s="142">
        <f>SUMIFS(領用表!$L:$L,領用表!$E:$E,$B176,領用表!$B:$B,O$2&amp;$R$1)</f>
        <v>0</v>
      </c>
      <c r="P176" s="23">
        <f t="shared" si="28"/>
        <v>0</v>
      </c>
      <c r="Q176" s="23">
        <f t="shared" si="29"/>
        <v>0</v>
      </c>
      <c r="R176" s="142">
        <f>SUMIFS(領用表!$L:$L,領用表!$E:$E,$B176,領用表!$B:$B,R$2&amp;$R$1)</f>
        <v>0</v>
      </c>
      <c r="S176" s="142">
        <f>SUMIFS(領用表!$L:$L,領用表!$E:$E,$B176,領用表!$B:$B,S$2&amp;$R$1)</f>
        <v>0</v>
      </c>
      <c r="T176" s="142">
        <f>SUMIFS(領用表!$L:$L,領用表!$E:$E,$B176,領用表!$B:$B,T$2&amp;$R$1)</f>
        <v>0</v>
      </c>
      <c r="U176" s="142">
        <f>SUMIFS(領用表!$L:$L,領用表!$E:$E,$B176,領用表!$B:$B,U$2&amp;$R$1)</f>
        <v>0</v>
      </c>
      <c r="V176" s="142">
        <f>SUMIFS(領用表!$L:$L,領用表!$E:$E,$B176,領用表!$B:$B,V$2&amp;$R$1)</f>
        <v>0</v>
      </c>
      <c r="W176" s="142">
        <f>SUMIFS(領用表!$L:$L,領用表!$E:$E,$B176,領用表!$B:$B,W$2&amp;$R$1)</f>
        <v>0</v>
      </c>
      <c r="X176" s="142">
        <f>SUMIFS(領用表!$L:$L,領用表!$E:$E,$B176,領用表!$B:$B,X$2&amp;$R$1)</f>
        <v>0</v>
      </c>
      <c r="Y176" s="142">
        <f>SUMIFS(領用表!$L:$L,領用表!$E:$E,$B176,領用表!$B:$B,Y$2&amp;$R$1)</f>
        <v>0</v>
      </c>
      <c r="Z176" s="142">
        <f>SUMIFS(領用表!$L:$L,領用表!$E:$E,$B176,領用表!$B:$B,Z$2&amp;$R$1)</f>
        <v>0</v>
      </c>
      <c r="AA176" s="142">
        <f>SUMIFS(領用表!$L:$L,領用表!$E:$E,$B176,領用表!$B:$B,AA$2&amp;$R$1)</f>
        <v>0</v>
      </c>
      <c r="AB176" s="142">
        <f>SUMIFS(領用表!$L:$L,領用表!$E:$E,$B176,領用表!$B:$B,AB$2&amp;$R$1)</f>
        <v>0</v>
      </c>
      <c r="AC176" s="142">
        <f>SUMIFS(領用表!$L:$L,領用表!$E:$E,$B176,領用表!$B:$B,AC$2&amp;$R$1)</f>
        <v>0</v>
      </c>
      <c r="AD176" s="142">
        <f t="shared" si="26"/>
        <v>0</v>
      </c>
      <c r="AE176" s="142">
        <f t="shared" si="27"/>
        <v>0</v>
      </c>
      <c r="AF176" s="142">
        <f>SUMIF(Summary!B:B,B176,Summary!DV:DV)</f>
        <v>0</v>
      </c>
      <c r="AG176" s="109"/>
      <c r="AH176" s="65"/>
      <c r="AI176" s="65"/>
      <c r="AJ176" s="65"/>
    </row>
    <row r="177" spans="1:36" ht="14.25" hidden="1" customHeight="1">
      <c r="A177" s="27" t="s">
        <v>217</v>
      </c>
      <c r="B177" s="14" t="e">
        <v>#N/A</v>
      </c>
      <c r="C177" s="136" t="s">
        <v>589</v>
      </c>
      <c r="D177" s="77"/>
      <c r="E177" s="17" t="s">
        <v>15</v>
      </c>
      <c r="F177" s="70"/>
      <c r="G177" s="18"/>
      <c r="H177" s="64">
        <v>0</v>
      </c>
      <c r="I177" s="64">
        <v>0</v>
      </c>
      <c r="J177" s="20">
        <f>SUMIFS(領用表!$L:$L,領用表!$E:$E,$B177,領用表!$B:$B,J$2&amp;$R$1)</f>
        <v>0</v>
      </c>
      <c r="K177" s="20">
        <f>SUMIFS(領用表!$L:$L,領用表!$E:$E,$B177,領用表!$B:$B,K$2&amp;$R$1)</f>
        <v>0</v>
      </c>
      <c r="L177" s="20">
        <f>SUMIFS(領用表!$L:$L,領用表!$E:$E,$B177,領用表!$B:$B,L$2&amp;$R$1)</f>
        <v>0</v>
      </c>
      <c r="M177" s="142">
        <f>SUMIFS(領用表!$L:$L,領用表!$E:$E,$B177,領用表!$B:$B,M$2&amp;$R$1)</f>
        <v>0</v>
      </c>
      <c r="N177" s="142">
        <f>SUMIFS(領用表!$L:$L,領用表!$E:$E,$B177,領用表!$B:$B,N$2&amp;$R$1)</f>
        <v>0</v>
      </c>
      <c r="O177" s="142">
        <f>SUMIFS(領用表!$L:$L,領用表!$E:$E,$B177,領用表!$B:$B,O$2&amp;$R$1)</f>
        <v>0</v>
      </c>
      <c r="P177" s="23">
        <f t="shared" si="28"/>
        <v>0</v>
      </c>
      <c r="Q177" s="23">
        <f t="shared" si="29"/>
        <v>0</v>
      </c>
      <c r="R177" s="142">
        <f>SUMIFS(領用表!$L:$L,領用表!$E:$E,$B177,領用表!$B:$B,R$2&amp;$R$1)</f>
        <v>0</v>
      </c>
      <c r="S177" s="405">
        <f>SUMIFS(領用表!$L:$L,領用表!$E:$E,$B177,領用表!$B:$B,S$2&amp;$R$1)</f>
        <v>0</v>
      </c>
      <c r="T177" s="405">
        <f>SUMIFS(領用表!$L:$L,領用表!$E:$E,$B177,領用表!$B:$B,T$2&amp;$R$1)</f>
        <v>0</v>
      </c>
      <c r="U177" s="405">
        <f>SUMIFS(領用表!$L:$L,領用表!$E:$E,$B177,領用表!$B:$B,U$2&amp;$R$1)</f>
        <v>0</v>
      </c>
      <c r="V177" s="405">
        <f>SUMIFS(領用表!$L:$L,領用表!$E:$E,$B177,領用表!$B:$B,V$2&amp;$R$1)</f>
        <v>0</v>
      </c>
      <c r="W177" s="405">
        <f>SUMIFS(領用表!$L:$L,領用表!$E:$E,$B177,領用表!$B:$B,W$2&amp;$R$1)</f>
        <v>0</v>
      </c>
      <c r="X177" s="405">
        <f>SUMIFS(領用表!$L:$L,領用表!$E:$E,$B177,領用表!$B:$B,X$2&amp;$R$1)</f>
        <v>0</v>
      </c>
      <c r="Y177" s="405">
        <f>SUMIFS(領用表!$L:$L,領用表!$E:$E,$B177,領用表!$B:$B,Y$2&amp;$R$1)</f>
        <v>0</v>
      </c>
      <c r="Z177" s="405">
        <f>SUMIFS(領用表!$L:$L,領用表!$E:$E,$B177,領用表!$B:$B,Z$2&amp;$R$1)</f>
        <v>0</v>
      </c>
      <c r="AA177" s="405">
        <f>SUMIFS(領用表!$L:$L,領用表!$E:$E,$B177,領用表!$B:$B,AA$2&amp;$R$1)</f>
        <v>0</v>
      </c>
      <c r="AB177" s="405">
        <f>SUMIFS(領用表!$L:$L,領用表!$E:$E,$B177,領用表!$B:$B,AB$2&amp;$R$1)</f>
        <v>0</v>
      </c>
      <c r="AC177" s="405">
        <f>SUMIFS(領用表!$L:$L,領用表!$E:$E,$B177,領用表!$B:$B,AC$2&amp;$R$1)</f>
        <v>0</v>
      </c>
      <c r="AD177" s="405">
        <f t="shared" si="26"/>
        <v>0</v>
      </c>
      <c r="AE177" s="405">
        <f t="shared" si="27"/>
        <v>0</v>
      </c>
      <c r="AF177" s="405">
        <f>SUMIF(Summary!B:B,B177,Summary!DV:DV)</f>
        <v>0</v>
      </c>
      <c r="AG177" s="111"/>
      <c r="AH177" s="80"/>
      <c r="AI177" s="76"/>
      <c r="AJ177" s="65"/>
    </row>
    <row r="178" spans="1:36" ht="16.5">
      <c r="A178" s="27" t="s">
        <v>218</v>
      </c>
      <c r="B178" s="14" t="e">
        <v>#N/A</v>
      </c>
      <c r="C178" s="136" t="s">
        <v>590</v>
      </c>
      <c r="D178" s="77"/>
      <c r="E178" s="17" t="s">
        <v>15</v>
      </c>
      <c r="F178" s="70"/>
      <c r="G178" s="18"/>
      <c r="H178" s="64" t="s">
        <v>49</v>
      </c>
      <c r="I178" s="64" t="s">
        <v>49</v>
      </c>
      <c r="J178" s="20">
        <f>SUMIFS(領用表!$L:$L,領用表!$E:$E,$B178,領用表!$B:$B,J$2&amp;$R$1)</f>
        <v>0</v>
      </c>
      <c r="K178" s="20">
        <f>SUMIFS(領用表!$L:$L,領用表!$E:$E,$B178,領用表!$B:$B,K$2&amp;$R$1)</f>
        <v>0</v>
      </c>
      <c r="L178" s="20">
        <f>SUMIFS(領用表!$L:$L,領用表!$E:$E,$B178,領用表!$B:$B,L$2&amp;$R$1)</f>
        <v>0</v>
      </c>
      <c r="M178" s="142">
        <f>SUMIFS(領用表!$L:$L,領用表!$E:$E,$B178,領用表!$B:$B,M$2&amp;$R$1)</f>
        <v>0</v>
      </c>
      <c r="N178" s="142">
        <f>SUMIFS(領用表!$L:$L,領用表!$E:$E,$B178,領用表!$B:$B,N$2&amp;$R$1)</f>
        <v>0</v>
      </c>
      <c r="O178" s="142">
        <f>SUMIFS(領用表!$L:$L,領用表!$E:$E,$B178,領用表!$B:$B,O$2&amp;$R$1)</f>
        <v>0</v>
      </c>
      <c r="P178" s="23">
        <f t="shared" si="28"/>
        <v>0</v>
      </c>
      <c r="Q178" s="23">
        <f t="shared" si="29"/>
        <v>0</v>
      </c>
      <c r="R178" s="142">
        <f>SUMIFS(領用表!$L:$L,領用表!$E:$E,$B178,領用表!$B:$B,R$2&amp;$R$1)</f>
        <v>0</v>
      </c>
      <c r="S178" s="405">
        <f>SUMIFS(領用表!$L:$L,領用表!$E:$E,$B178,領用表!$B:$B,S$2&amp;$R$1)</f>
        <v>0</v>
      </c>
      <c r="T178" s="405">
        <f>SUMIFS(領用表!$L:$L,領用表!$E:$E,$B178,領用表!$B:$B,T$2&amp;$R$1)</f>
        <v>0</v>
      </c>
      <c r="U178" s="405">
        <f>SUMIFS(領用表!$L:$L,領用表!$E:$E,$B178,領用表!$B:$B,U$2&amp;$R$1)</f>
        <v>0</v>
      </c>
      <c r="V178" s="405">
        <f>SUMIFS(領用表!$L:$L,領用表!$E:$E,$B178,領用表!$B:$B,V$2&amp;$R$1)</f>
        <v>0</v>
      </c>
      <c r="W178" s="405">
        <f>SUMIFS(領用表!$L:$L,領用表!$E:$E,$B178,領用表!$B:$B,W$2&amp;$R$1)</f>
        <v>0</v>
      </c>
      <c r="X178" s="405">
        <f>SUMIFS(領用表!$L:$L,領用表!$E:$E,$B178,領用表!$B:$B,X$2&amp;$R$1)</f>
        <v>0</v>
      </c>
      <c r="Y178" s="405">
        <f>SUMIFS(領用表!$L:$L,領用表!$E:$E,$B178,領用表!$B:$B,Y$2&amp;$R$1)</f>
        <v>0</v>
      </c>
      <c r="Z178" s="405">
        <f>SUMIFS(領用表!$L:$L,領用表!$E:$E,$B178,領用表!$B:$B,Z$2&amp;$R$1)</f>
        <v>0</v>
      </c>
      <c r="AA178" s="405">
        <f>SUMIFS(領用表!$L:$L,領用表!$E:$E,$B178,領用表!$B:$B,AA$2&amp;$R$1)</f>
        <v>0</v>
      </c>
      <c r="AB178" s="405">
        <f>SUMIFS(領用表!$L:$L,領用表!$E:$E,$B178,領用表!$B:$B,AB$2&amp;$R$1)</f>
        <v>0</v>
      </c>
      <c r="AC178" s="405">
        <f>SUMIFS(領用表!$L:$L,領用表!$E:$E,$B178,領用表!$B:$B,AC$2&amp;$R$1)</f>
        <v>0</v>
      </c>
      <c r="AD178" s="405">
        <f t="shared" si="26"/>
        <v>0</v>
      </c>
      <c r="AE178" s="405">
        <f t="shared" si="27"/>
        <v>0</v>
      </c>
      <c r="AF178" s="405">
        <f>SUMIF(Summary!B:B,B178,Summary!DV:DV)</f>
        <v>0</v>
      </c>
      <c r="AG178" s="111">
        <v>15</v>
      </c>
      <c r="AH178" s="80"/>
      <c r="AI178" s="65"/>
      <c r="AJ178" s="65"/>
    </row>
    <row r="179" spans="1:36" ht="16.5" hidden="1" customHeight="1">
      <c r="A179" s="27" t="s">
        <v>203</v>
      </c>
      <c r="B179" s="14" t="e">
        <v>#N/A</v>
      </c>
      <c r="C179" s="136" t="s">
        <v>635</v>
      </c>
      <c r="D179" s="77"/>
      <c r="E179" s="17" t="s">
        <v>15</v>
      </c>
      <c r="F179" s="70"/>
      <c r="G179" s="18"/>
      <c r="H179" s="68" t="e">
        <f>SUM(#REF!)</f>
        <v>#REF!</v>
      </c>
      <c r="I179" s="26" t="e">
        <f>H179/12</f>
        <v>#REF!</v>
      </c>
      <c r="J179" s="20">
        <f>SUMIFS(領用表!$L:$L,領用表!$E:$E,$B179,領用表!$B:$B,J$2&amp;$R$1)</f>
        <v>0</v>
      </c>
      <c r="K179" s="20">
        <f>SUMIFS(領用表!$L:$L,領用表!$E:$E,$B179,領用表!$B:$B,K$2&amp;$R$1)</f>
        <v>0</v>
      </c>
      <c r="L179" s="20">
        <f>SUMIFS(領用表!$L:$L,領用表!$E:$E,$B179,領用表!$B:$B,L$2&amp;$R$1)</f>
        <v>0</v>
      </c>
      <c r="M179" s="142">
        <f>SUMIFS(領用表!$L:$L,領用表!$E:$E,$B179,領用表!$B:$B,M$2&amp;$R$1)</f>
        <v>0</v>
      </c>
      <c r="N179" s="142">
        <f>SUMIFS(領用表!$L:$L,領用表!$E:$E,$B179,領用表!$B:$B,N$2&amp;$R$1)</f>
        <v>0</v>
      </c>
      <c r="O179" s="142">
        <f>SUMIFS(領用表!$L:$L,領用表!$E:$E,$B179,領用表!$B:$B,O$2&amp;$R$1)</f>
        <v>0</v>
      </c>
      <c r="P179" s="23">
        <f t="shared" si="28"/>
        <v>0</v>
      </c>
      <c r="Q179" s="23">
        <f t="shared" si="29"/>
        <v>0</v>
      </c>
      <c r="R179" s="142">
        <f>SUMIFS(領用表!$L:$L,領用表!$E:$E,$B179,領用表!$B:$B,R$2&amp;$R$1)</f>
        <v>0</v>
      </c>
      <c r="S179" s="405">
        <f>SUMIFS(領用表!$L:$L,領用表!$E:$E,$B179,領用表!$B:$B,S$2&amp;$R$1)</f>
        <v>0</v>
      </c>
      <c r="T179" s="405">
        <f>SUMIFS(領用表!$L:$L,領用表!$E:$E,$B179,領用表!$B:$B,T$2&amp;$R$1)</f>
        <v>0</v>
      </c>
      <c r="U179" s="405">
        <f>SUMIFS(領用表!$L:$L,領用表!$E:$E,$B179,領用表!$B:$B,U$2&amp;$R$1)</f>
        <v>0</v>
      </c>
      <c r="V179" s="405">
        <f>SUMIFS(領用表!$L:$L,領用表!$E:$E,$B179,領用表!$B:$B,V$2&amp;$R$1)</f>
        <v>0</v>
      </c>
      <c r="W179" s="405">
        <f>SUMIFS(領用表!$L:$L,領用表!$E:$E,$B179,領用表!$B:$B,W$2&amp;$R$1)</f>
        <v>0</v>
      </c>
      <c r="X179" s="405">
        <f>SUMIFS(領用表!$L:$L,領用表!$E:$E,$B179,領用表!$B:$B,X$2&amp;$R$1)</f>
        <v>0</v>
      </c>
      <c r="Y179" s="405">
        <f>SUMIFS(領用表!$L:$L,領用表!$E:$E,$B179,領用表!$B:$B,Y$2&amp;$R$1)</f>
        <v>0</v>
      </c>
      <c r="Z179" s="405">
        <f>SUMIFS(領用表!$L:$L,領用表!$E:$E,$B179,領用表!$B:$B,Z$2&amp;$R$1)</f>
        <v>0</v>
      </c>
      <c r="AA179" s="405">
        <f>SUMIFS(領用表!$L:$L,領用表!$E:$E,$B179,領用表!$B:$B,AA$2&amp;$R$1)</f>
        <v>0</v>
      </c>
      <c r="AB179" s="405">
        <f>SUMIFS(領用表!$L:$L,領用表!$E:$E,$B179,領用表!$B:$B,AB$2&amp;$R$1)</f>
        <v>0</v>
      </c>
      <c r="AC179" s="405">
        <f>SUMIFS(領用表!$L:$L,領用表!$E:$E,$B179,領用表!$B:$B,AC$2&amp;$R$1)</f>
        <v>0</v>
      </c>
      <c r="AD179" s="405">
        <f t="shared" si="26"/>
        <v>0</v>
      </c>
      <c r="AE179" s="405">
        <f t="shared" si="27"/>
        <v>0</v>
      </c>
      <c r="AF179" s="405">
        <f>SUMIF(Summary!B:B,B179,Summary!DV:DV)</f>
        <v>0</v>
      </c>
      <c r="AG179" s="111"/>
      <c r="AH179" s="80"/>
      <c r="AI179" s="65"/>
      <c r="AJ179" s="65"/>
    </row>
    <row r="180" spans="1:36" ht="16.5" hidden="1" customHeight="1">
      <c r="A180" s="27" t="s">
        <v>204</v>
      </c>
      <c r="B180" s="14" t="e">
        <v>#N/A</v>
      </c>
      <c r="C180" s="136" t="s">
        <v>576</v>
      </c>
      <c r="D180" s="77"/>
      <c r="E180" s="17" t="s">
        <v>15</v>
      </c>
      <c r="F180" s="70"/>
      <c r="G180" s="18"/>
      <c r="H180" s="68" t="e">
        <f>SUM(#REF!)</f>
        <v>#REF!</v>
      </c>
      <c r="I180" s="26" t="e">
        <f>H180/12</f>
        <v>#REF!</v>
      </c>
      <c r="J180" s="20">
        <f>SUMIFS(領用表!$L:$L,領用表!$E:$E,$B180,領用表!$B:$B,J$2&amp;$R$1)</f>
        <v>0</v>
      </c>
      <c r="K180" s="20">
        <f>SUMIFS(領用表!$L:$L,領用表!$E:$E,$B180,領用表!$B:$B,K$2&amp;$R$1)</f>
        <v>0</v>
      </c>
      <c r="L180" s="20">
        <f>SUMIFS(領用表!$L:$L,領用表!$E:$E,$B180,領用表!$B:$B,L$2&amp;$R$1)</f>
        <v>0</v>
      </c>
      <c r="M180" s="142">
        <f>SUMIFS(領用表!$L:$L,領用表!$E:$E,$B180,領用表!$B:$B,M$2&amp;$R$1)</f>
        <v>0</v>
      </c>
      <c r="N180" s="142">
        <f>SUMIFS(領用表!$L:$L,領用表!$E:$E,$B180,領用表!$B:$B,N$2&amp;$R$1)</f>
        <v>0</v>
      </c>
      <c r="O180" s="142">
        <f>SUMIFS(領用表!$L:$L,領用表!$E:$E,$B180,領用表!$B:$B,O$2&amp;$R$1)</f>
        <v>0</v>
      </c>
      <c r="P180" s="23">
        <f t="shared" si="28"/>
        <v>0</v>
      </c>
      <c r="Q180" s="23">
        <f t="shared" si="29"/>
        <v>0</v>
      </c>
      <c r="R180" s="142">
        <f>SUMIFS(領用表!$L:$L,領用表!$E:$E,$B180,領用表!$B:$B,R$2&amp;$R$1)</f>
        <v>0</v>
      </c>
      <c r="S180" s="405">
        <f>SUMIFS(領用表!$L:$L,領用表!$E:$E,$B180,領用表!$B:$B,S$2&amp;$R$1)</f>
        <v>0</v>
      </c>
      <c r="T180" s="405">
        <f>SUMIFS(領用表!$L:$L,領用表!$E:$E,$B180,領用表!$B:$B,T$2&amp;$R$1)</f>
        <v>0</v>
      </c>
      <c r="U180" s="405">
        <f>SUMIFS(領用表!$L:$L,領用表!$E:$E,$B180,領用表!$B:$B,U$2&amp;$R$1)</f>
        <v>0</v>
      </c>
      <c r="V180" s="405">
        <f>SUMIFS(領用表!$L:$L,領用表!$E:$E,$B180,領用表!$B:$B,V$2&amp;$R$1)</f>
        <v>0</v>
      </c>
      <c r="W180" s="405">
        <f>SUMIFS(領用表!$L:$L,領用表!$E:$E,$B180,領用表!$B:$B,W$2&amp;$R$1)</f>
        <v>0</v>
      </c>
      <c r="X180" s="405">
        <f>SUMIFS(領用表!$L:$L,領用表!$E:$E,$B180,領用表!$B:$B,X$2&amp;$R$1)</f>
        <v>0</v>
      </c>
      <c r="Y180" s="405">
        <f>SUMIFS(領用表!$L:$L,領用表!$E:$E,$B180,領用表!$B:$B,Y$2&amp;$R$1)</f>
        <v>0</v>
      </c>
      <c r="Z180" s="405">
        <f>SUMIFS(領用表!$L:$L,領用表!$E:$E,$B180,領用表!$B:$B,Z$2&amp;$R$1)</f>
        <v>0</v>
      </c>
      <c r="AA180" s="405">
        <f>SUMIFS(領用表!$L:$L,領用表!$E:$E,$B180,領用表!$B:$B,AA$2&amp;$R$1)</f>
        <v>0</v>
      </c>
      <c r="AB180" s="405">
        <f>SUMIFS(領用表!$L:$L,領用表!$E:$E,$B180,領用表!$B:$B,AB$2&amp;$R$1)</f>
        <v>0</v>
      </c>
      <c r="AC180" s="405">
        <f>SUMIFS(領用表!$L:$L,領用表!$E:$E,$B180,領用表!$B:$B,AC$2&amp;$R$1)</f>
        <v>0</v>
      </c>
      <c r="AD180" s="405">
        <f t="shared" si="26"/>
        <v>0</v>
      </c>
      <c r="AE180" s="405">
        <f t="shared" si="27"/>
        <v>0</v>
      </c>
      <c r="AF180" s="405">
        <f>SUMIF(Summary!B:B,B180,Summary!DV:DV)</f>
        <v>0</v>
      </c>
      <c r="AG180" s="111"/>
      <c r="AH180" s="80"/>
      <c r="AI180" s="65"/>
      <c r="AJ180" s="65"/>
    </row>
    <row r="181" spans="1:36" ht="16.5" hidden="1" customHeight="1">
      <c r="A181" s="27" t="s">
        <v>207</v>
      </c>
      <c r="B181" s="14" t="e">
        <v>#N/A</v>
      </c>
      <c r="C181" s="136" t="s">
        <v>579</v>
      </c>
      <c r="D181" s="77"/>
      <c r="E181" s="17" t="s">
        <v>15</v>
      </c>
      <c r="F181" s="70"/>
      <c r="G181" s="18"/>
      <c r="H181" s="64">
        <v>0</v>
      </c>
      <c r="I181" s="64">
        <v>0</v>
      </c>
      <c r="J181" s="20">
        <f>SUMIFS(領用表!$L:$L,領用表!$E:$E,$B181,領用表!$B:$B,J$2&amp;$R$1)</f>
        <v>0</v>
      </c>
      <c r="K181" s="20">
        <f>SUMIFS(領用表!$L:$L,領用表!$E:$E,$B181,領用表!$B:$B,K$2&amp;$R$1)</f>
        <v>0</v>
      </c>
      <c r="L181" s="20">
        <f>SUMIFS(領用表!$L:$L,領用表!$E:$E,$B181,領用表!$B:$B,L$2&amp;$R$1)</f>
        <v>0</v>
      </c>
      <c r="M181" s="142">
        <f>SUMIFS(領用表!$L:$L,領用表!$E:$E,$B181,領用表!$B:$B,M$2&amp;$R$1)</f>
        <v>0</v>
      </c>
      <c r="N181" s="142">
        <f>SUMIFS(領用表!$L:$L,領用表!$E:$E,$B181,領用表!$B:$B,N$2&amp;$R$1)</f>
        <v>0</v>
      </c>
      <c r="O181" s="142">
        <f>SUMIFS(領用表!$L:$L,領用表!$E:$E,$B181,領用表!$B:$B,O$2&amp;$R$1)</f>
        <v>0</v>
      </c>
      <c r="P181" s="23">
        <f t="shared" si="28"/>
        <v>0</v>
      </c>
      <c r="Q181" s="23">
        <f t="shared" si="29"/>
        <v>0</v>
      </c>
      <c r="R181" s="142">
        <f>SUMIFS(領用表!$L:$L,領用表!$E:$E,$B181,領用表!$B:$B,R$2&amp;$R$1)</f>
        <v>0</v>
      </c>
      <c r="S181" s="405">
        <f>SUMIFS(領用表!$L:$L,領用表!$E:$E,$B181,領用表!$B:$B,S$2&amp;$R$1)</f>
        <v>0</v>
      </c>
      <c r="T181" s="405">
        <f>SUMIFS(領用表!$L:$L,領用表!$E:$E,$B181,領用表!$B:$B,T$2&amp;$R$1)</f>
        <v>0</v>
      </c>
      <c r="U181" s="405">
        <f>SUMIFS(領用表!$L:$L,領用表!$E:$E,$B181,領用表!$B:$B,U$2&amp;$R$1)</f>
        <v>0</v>
      </c>
      <c r="V181" s="405">
        <f>SUMIFS(領用表!$L:$L,領用表!$E:$E,$B181,領用表!$B:$B,V$2&amp;$R$1)</f>
        <v>0</v>
      </c>
      <c r="W181" s="405">
        <f>SUMIFS(領用表!$L:$L,領用表!$E:$E,$B181,領用表!$B:$B,W$2&amp;$R$1)</f>
        <v>0</v>
      </c>
      <c r="X181" s="405">
        <f>SUMIFS(領用表!$L:$L,領用表!$E:$E,$B181,領用表!$B:$B,X$2&amp;$R$1)</f>
        <v>0</v>
      </c>
      <c r="Y181" s="405">
        <f>SUMIFS(領用表!$L:$L,領用表!$E:$E,$B181,領用表!$B:$B,Y$2&amp;$R$1)</f>
        <v>0</v>
      </c>
      <c r="Z181" s="405">
        <f>SUMIFS(領用表!$L:$L,領用表!$E:$E,$B181,領用表!$B:$B,Z$2&amp;$R$1)</f>
        <v>0</v>
      </c>
      <c r="AA181" s="405">
        <f>SUMIFS(領用表!$L:$L,領用表!$E:$E,$B181,領用表!$B:$B,AA$2&amp;$R$1)</f>
        <v>0</v>
      </c>
      <c r="AB181" s="405">
        <f>SUMIFS(領用表!$L:$L,領用表!$E:$E,$B181,領用表!$B:$B,AB$2&amp;$R$1)</f>
        <v>0</v>
      </c>
      <c r="AC181" s="405">
        <f>SUMIFS(領用表!$L:$L,領用表!$E:$E,$B181,領用表!$B:$B,AC$2&amp;$R$1)</f>
        <v>0</v>
      </c>
      <c r="AD181" s="405">
        <f t="shared" si="26"/>
        <v>0</v>
      </c>
      <c r="AE181" s="405">
        <f t="shared" si="27"/>
        <v>0</v>
      </c>
      <c r="AF181" s="405">
        <f>SUMIF(Summary!B:B,B181,Summary!DV:DV)</f>
        <v>0</v>
      </c>
      <c r="AG181" s="111"/>
      <c r="AH181" s="80"/>
      <c r="AI181" s="65"/>
      <c r="AJ181" s="65"/>
    </row>
    <row r="182" spans="1:36" ht="16.5">
      <c r="A182" s="27" t="s">
        <v>219</v>
      </c>
      <c r="B182" s="14" t="e">
        <v>#N/A</v>
      </c>
      <c r="C182" s="136" t="s">
        <v>591</v>
      </c>
      <c r="D182" s="77"/>
      <c r="E182" s="17" t="s">
        <v>15</v>
      </c>
      <c r="F182" s="70"/>
      <c r="G182" s="18"/>
      <c r="H182" s="64" t="s">
        <v>49</v>
      </c>
      <c r="I182" s="64" t="s">
        <v>49</v>
      </c>
      <c r="J182" s="20">
        <f>SUMIFS(領用表!$L:$L,領用表!$E:$E,$B182,領用表!$B:$B,J$2&amp;$R$1)</f>
        <v>0</v>
      </c>
      <c r="K182" s="20">
        <f>SUMIFS(領用表!$L:$L,領用表!$E:$E,$B182,領用表!$B:$B,K$2&amp;$R$1)</f>
        <v>0</v>
      </c>
      <c r="L182" s="20">
        <f>SUMIFS(領用表!$L:$L,領用表!$E:$E,$B182,領用表!$B:$B,L$2&amp;$R$1)</f>
        <v>0</v>
      </c>
      <c r="M182" s="142">
        <f>SUMIFS(領用表!$L:$L,領用表!$E:$E,$B182,領用表!$B:$B,M$2&amp;$R$1)</f>
        <v>0</v>
      </c>
      <c r="N182" s="142">
        <f>SUMIFS(領用表!$L:$L,領用表!$E:$E,$B182,領用表!$B:$B,N$2&amp;$R$1)</f>
        <v>0</v>
      </c>
      <c r="O182" s="142">
        <f>SUMIFS(領用表!$L:$L,領用表!$E:$E,$B182,領用表!$B:$B,O$2&amp;$R$1)</f>
        <v>0</v>
      </c>
      <c r="P182" s="23">
        <f t="shared" si="28"/>
        <v>0</v>
      </c>
      <c r="Q182" s="23">
        <f t="shared" si="29"/>
        <v>0</v>
      </c>
      <c r="R182" s="142">
        <f>SUMIFS(領用表!$L:$L,領用表!$E:$E,$B182,領用表!$B:$B,R$2&amp;$R$1)</f>
        <v>0</v>
      </c>
      <c r="S182" s="405">
        <f>SUMIFS(領用表!$L:$L,領用表!$E:$E,$B182,領用表!$B:$B,S$2&amp;$R$1)</f>
        <v>0</v>
      </c>
      <c r="T182" s="405">
        <f>SUMIFS(領用表!$L:$L,領用表!$E:$E,$B182,領用表!$B:$B,T$2&amp;$R$1)</f>
        <v>0</v>
      </c>
      <c r="U182" s="405">
        <f>SUMIFS(領用表!$L:$L,領用表!$E:$E,$B182,領用表!$B:$B,U$2&amp;$R$1)</f>
        <v>0</v>
      </c>
      <c r="V182" s="405">
        <f>SUMIFS(領用表!$L:$L,領用表!$E:$E,$B182,領用表!$B:$B,V$2&amp;$R$1)</f>
        <v>0</v>
      </c>
      <c r="W182" s="405">
        <f>SUMIFS(領用表!$L:$L,領用表!$E:$E,$B182,領用表!$B:$B,W$2&amp;$R$1)</f>
        <v>0</v>
      </c>
      <c r="X182" s="405">
        <f>SUMIFS(領用表!$L:$L,領用表!$E:$E,$B182,領用表!$B:$B,X$2&amp;$R$1)</f>
        <v>0</v>
      </c>
      <c r="Y182" s="405">
        <f>SUMIFS(領用表!$L:$L,領用表!$E:$E,$B182,領用表!$B:$B,Y$2&amp;$R$1)</f>
        <v>0</v>
      </c>
      <c r="Z182" s="405">
        <f>SUMIFS(領用表!$L:$L,領用表!$E:$E,$B182,領用表!$B:$B,Z$2&amp;$R$1)</f>
        <v>0</v>
      </c>
      <c r="AA182" s="405">
        <f>SUMIFS(領用表!$L:$L,領用表!$E:$E,$B182,領用表!$B:$B,AA$2&amp;$R$1)</f>
        <v>0</v>
      </c>
      <c r="AB182" s="405">
        <f>SUMIFS(領用表!$L:$L,領用表!$E:$E,$B182,領用表!$B:$B,AB$2&amp;$R$1)</f>
        <v>0</v>
      </c>
      <c r="AC182" s="405">
        <f>SUMIFS(領用表!$L:$L,領用表!$E:$E,$B182,領用表!$B:$B,AC$2&amp;$R$1)</f>
        <v>0</v>
      </c>
      <c r="AD182" s="405">
        <f t="shared" si="26"/>
        <v>0</v>
      </c>
      <c r="AE182" s="405">
        <f t="shared" si="27"/>
        <v>0</v>
      </c>
      <c r="AF182" s="405">
        <f>SUMIF(Summary!B:B,B182,Summary!DV:DV)</f>
        <v>0</v>
      </c>
      <c r="AG182" s="111">
        <v>0</v>
      </c>
      <c r="AH182" s="80"/>
      <c r="AI182" s="65"/>
      <c r="AJ182" s="65"/>
    </row>
    <row r="183" spans="1:36" ht="16.5">
      <c r="A183" s="27" t="s">
        <v>220</v>
      </c>
      <c r="B183" s="14" t="e">
        <v>#N/A</v>
      </c>
      <c r="C183" s="136" t="s">
        <v>592</v>
      </c>
      <c r="D183" s="77"/>
      <c r="E183" s="17" t="s">
        <v>15</v>
      </c>
      <c r="F183" s="70"/>
      <c r="G183" s="18"/>
      <c r="J183" s="20">
        <f>SUMIFS(領用表!$L:$L,領用表!$E:$E,$B183,領用表!$B:$B,J$2&amp;$R$1)</f>
        <v>0</v>
      </c>
      <c r="K183" s="20">
        <f>SUMIFS(領用表!$L:$L,領用表!$E:$E,$B183,領用表!$B:$B,K$2&amp;$R$1)</f>
        <v>0</v>
      </c>
      <c r="L183" s="20">
        <f>SUMIFS(領用表!$L:$L,領用表!$E:$E,$B183,領用表!$B:$B,L$2&amp;$R$1)</f>
        <v>0</v>
      </c>
      <c r="M183" s="142">
        <f>SUMIFS(領用表!$L:$L,領用表!$E:$E,$B183,領用表!$B:$B,M$2&amp;$R$1)</f>
        <v>0</v>
      </c>
      <c r="N183" s="142">
        <f>SUMIFS(領用表!$L:$L,領用表!$E:$E,$B183,領用表!$B:$B,N$2&amp;$R$1)</f>
        <v>0</v>
      </c>
      <c r="O183" s="142">
        <f>SUMIFS(領用表!$L:$L,領用表!$E:$E,$B183,領用表!$B:$B,O$2&amp;$R$1)</f>
        <v>0</v>
      </c>
      <c r="P183" s="23">
        <f t="shared" si="28"/>
        <v>0</v>
      </c>
      <c r="Q183" s="23">
        <f t="shared" si="29"/>
        <v>0</v>
      </c>
      <c r="R183" s="142">
        <f>SUMIFS(領用表!$L:$L,領用表!$E:$E,$B183,領用表!$B:$B,R$2&amp;$R$1)</f>
        <v>0</v>
      </c>
      <c r="S183" s="405">
        <f>SUMIFS(領用表!$L:$L,領用表!$E:$E,$B183,領用表!$B:$B,S$2&amp;$R$1)</f>
        <v>0</v>
      </c>
      <c r="T183" s="405">
        <f>SUMIFS(領用表!$L:$L,領用表!$E:$E,$B183,領用表!$B:$B,T$2&amp;$R$1)</f>
        <v>0</v>
      </c>
      <c r="U183" s="405">
        <f>SUMIFS(領用表!$L:$L,領用表!$E:$E,$B183,領用表!$B:$B,U$2&amp;$R$1)</f>
        <v>0</v>
      </c>
      <c r="V183" s="405">
        <f>SUMIFS(領用表!$L:$L,領用表!$E:$E,$B183,領用表!$B:$B,V$2&amp;$R$1)</f>
        <v>0</v>
      </c>
      <c r="W183" s="405">
        <f>SUMIFS(領用表!$L:$L,領用表!$E:$E,$B183,領用表!$B:$B,W$2&amp;$R$1)</f>
        <v>0</v>
      </c>
      <c r="X183" s="405">
        <f>SUMIFS(領用表!$L:$L,領用表!$E:$E,$B183,領用表!$B:$B,X$2&amp;$R$1)</f>
        <v>0</v>
      </c>
      <c r="Y183" s="405">
        <f>SUMIFS(領用表!$L:$L,領用表!$E:$E,$B183,領用表!$B:$B,Y$2&amp;$R$1)</f>
        <v>0</v>
      </c>
      <c r="Z183" s="405">
        <f>SUMIFS(領用表!$L:$L,領用表!$E:$E,$B183,領用表!$B:$B,Z$2&amp;$R$1)</f>
        <v>0</v>
      </c>
      <c r="AA183" s="405">
        <f>SUMIFS(領用表!$L:$L,領用表!$E:$E,$B183,領用表!$B:$B,AA$2&amp;$R$1)</f>
        <v>0</v>
      </c>
      <c r="AB183" s="405">
        <f>SUMIFS(領用表!$L:$L,領用表!$E:$E,$B183,領用表!$B:$B,AB$2&amp;$R$1)</f>
        <v>0</v>
      </c>
      <c r="AC183" s="405">
        <f>SUMIFS(領用表!$L:$L,領用表!$E:$E,$B183,領用表!$B:$B,AC$2&amp;$R$1)</f>
        <v>0</v>
      </c>
      <c r="AD183" s="405">
        <f t="shared" si="26"/>
        <v>0</v>
      </c>
      <c r="AE183" s="405">
        <f t="shared" si="27"/>
        <v>0</v>
      </c>
      <c r="AF183" s="405">
        <f>SUMIF(Summary!B:B,B183,Summary!DV:DV)</f>
        <v>0</v>
      </c>
      <c r="AG183" s="111">
        <v>0</v>
      </c>
      <c r="AH183" s="80"/>
      <c r="AI183" s="76"/>
      <c r="AJ183" s="76" t="s">
        <v>221</v>
      </c>
    </row>
    <row r="184" spans="1:36" ht="16.5">
      <c r="A184" s="27" t="s">
        <v>222</v>
      </c>
      <c r="B184" s="14" t="e">
        <v>#N/A</v>
      </c>
      <c r="C184" s="136" t="s">
        <v>588</v>
      </c>
      <c r="D184" s="77"/>
      <c r="E184" s="17" t="s">
        <v>15</v>
      </c>
      <c r="F184" s="70"/>
      <c r="G184" s="18"/>
      <c r="J184" s="20">
        <f>SUMIFS(領用表!$L:$L,領用表!$E:$E,$B184,領用表!$B:$B,J$2&amp;$R$1)</f>
        <v>0</v>
      </c>
      <c r="K184" s="20">
        <f>SUMIFS(領用表!$L:$L,領用表!$E:$E,$B184,領用表!$B:$B,K$2&amp;$R$1)</f>
        <v>0</v>
      </c>
      <c r="L184" s="20">
        <f>SUMIFS(領用表!$L:$L,領用表!$E:$E,$B184,領用表!$B:$B,L$2&amp;$R$1)</f>
        <v>0</v>
      </c>
      <c r="M184" s="142">
        <f>SUMIFS(領用表!$L:$L,領用表!$E:$E,$B184,領用表!$B:$B,M$2&amp;$R$1)</f>
        <v>0</v>
      </c>
      <c r="N184" s="142">
        <f>SUMIFS(領用表!$L:$L,領用表!$E:$E,$B184,領用表!$B:$B,N$2&amp;$R$1)</f>
        <v>0</v>
      </c>
      <c r="O184" s="142">
        <f>SUMIFS(領用表!$L:$L,領用表!$E:$E,$B184,領用表!$B:$B,O$2&amp;$R$1)</f>
        <v>0</v>
      </c>
      <c r="P184" s="23">
        <f t="shared" si="28"/>
        <v>0</v>
      </c>
      <c r="Q184" s="23">
        <f t="shared" si="29"/>
        <v>0</v>
      </c>
      <c r="R184" s="142">
        <f>SUMIFS(領用表!$L:$L,領用表!$E:$E,$B184,領用表!$B:$B,R$2&amp;$R$1)</f>
        <v>0</v>
      </c>
      <c r="S184" s="405">
        <f>SUMIFS(領用表!$L:$L,領用表!$E:$E,$B184,領用表!$B:$B,S$2&amp;$R$1)</f>
        <v>0</v>
      </c>
      <c r="T184" s="405">
        <f>SUMIFS(領用表!$L:$L,領用表!$E:$E,$B184,領用表!$B:$B,T$2&amp;$R$1)</f>
        <v>0</v>
      </c>
      <c r="U184" s="405">
        <f>SUMIFS(領用表!$L:$L,領用表!$E:$E,$B184,領用表!$B:$B,U$2&amp;$R$1)</f>
        <v>0</v>
      </c>
      <c r="V184" s="405">
        <f>SUMIFS(領用表!$L:$L,領用表!$E:$E,$B184,領用表!$B:$B,V$2&amp;$R$1)</f>
        <v>0</v>
      </c>
      <c r="W184" s="405">
        <f>SUMIFS(領用表!$L:$L,領用表!$E:$E,$B184,領用表!$B:$B,W$2&amp;$R$1)</f>
        <v>0</v>
      </c>
      <c r="X184" s="405">
        <f>SUMIFS(領用表!$L:$L,領用表!$E:$E,$B184,領用表!$B:$B,X$2&amp;$R$1)</f>
        <v>0</v>
      </c>
      <c r="Y184" s="405">
        <f>SUMIFS(領用表!$L:$L,領用表!$E:$E,$B184,領用表!$B:$B,Y$2&amp;$R$1)</f>
        <v>0</v>
      </c>
      <c r="Z184" s="405">
        <f>SUMIFS(領用表!$L:$L,領用表!$E:$E,$B184,領用表!$B:$B,Z$2&amp;$R$1)</f>
        <v>0</v>
      </c>
      <c r="AA184" s="405">
        <f>SUMIFS(領用表!$L:$L,領用表!$E:$E,$B184,領用表!$B:$B,AA$2&amp;$R$1)</f>
        <v>0</v>
      </c>
      <c r="AB184" s="405">
        <f>SUMIFS(領用表!$L:$L,領用表!$E:$E,$B184,領用表!$B:$B,AB$2&amp;$R$1)</f>
        <v>0</v>
      </c>
      <c r="AC184" s="405">
        <f>SUMIFS(領用表!$L:$L,領用表!$E:$E,$B184,領用表!$B:$B,AC$2&amp;$R$1)</f>
        <v>0</v>
      </c>
      <c r="AD184" s="405">
        <f t="shared" si="26"/>
        <v>0</v>
      </c>
      <c r="AE184" s="405">
        <f t="shared" si="27"/>
        <v>0</v>
      </c>
      <c r="AF184" s="405">
        <f>SUMIF(Summary!B:B,B184,Summary!DV:DV)</f>
        <v>0</v>
      </c>
      <c r="AG184" s="111">
        <v>0</v>
      </c>
      <c r="AH184" s="80"/>
      <c r="AI184" s="76"/>
      <c r="AJ184" s="76" t="s">
        <v>223</v>
      </c>
    </row>
    <row r="185" spans="1:36" ht="16.5">
      <c r="A185" s="27" t="s">
        <v>224</v>
      </c>
      <c r="B185" s="14" t="e">
        <v>#N/A</v>
      </c>
      <c r="C185" s="136" t="s">
        <v>593</v>
      </c>
      <c r="D185" s="77"/>
      <c r="E185" s="17" t="s">
        <v>15</v>
      </c>
      <c r="F185" s="70"/>
      <c r="G185" s="18"/>
      <c r="J185" s="20">
        <f>SUMIFS(領用表!$L:$L,領用表!$E:$E,$B185,領用表!$B:$B,J$2&amp;$R$1)</f>
        <v>0</v>
      </c>
      <c r="K185" s="20">
        <f>SUMIFS(領用表!$L:$L,領用表!$E:$E,$B185,領用表!$B:$B,K$2&amp;$R$1)</f>
        <v>0</v>
      </c>
      <c r="L185" s="20">
        <f>SUMIFS(領用表!$L:$L,領用表!$E:$E,$B185,領用表!$B:$B,L$2&amp;$R$1)</f>
        <v>0</v>
      </c>
      <c r="M185" s="142">
        <f>SUMIFS(領用表!$L:$L,領用表!$E:$E,$B185,領用表!$B:$B,M$2&amp;$R$1)</f>
        <v>0</v>
      </c>
      <c r="N185" s="142">
        <f>SUMIFS(領用表!$L:$L,領用表!$E:$E,$B185,領用表!$B:$B,N$2&amp;$R$1)</f>
        <v>0</v>
      </c>
      <c r="O185" s="142">
        <f>SUMIFS(領用表!$L:$L,領用表!$E:$E,$B185,領用表!$B:$B,O$2&amp;$R$1)</f>
        <v>0</v>
      </c>
      <c r="P185" s="23">
        <f t="shared" si="28"/>
        <v>0</v>
      </c>
      <c r="Q185" s="23">
        <f t="shared" si="29"/>
        <v>0</v>
      </c>
      <c r="R185" s="142">
        <f>SUMIFS(領用表!$L:$L,領用表!$E:$E,$B185,領用表!$B:$B,R$2&amp;$R$1)</f>
        <v>0</v>
      </c>
      <c r="S185" s="405">
        <f>SUMIFS(領用表!$L:$L,領用表!$E:$E,$B185,領用表!$B:$B,S$2&amp;$R$1)</f>
        <v>0</v>
      </c>
      <c r="T185" s="405">
        <f>SUMIFS(領用表!$L:$L,領用表!$E:$E,$B185,領用表!$B:$B,T$2&amp;$R$1)</f>
        <v>0</v>
      </c>
      <c r="U185" s="405">
        <f>SUMIFS(領用表!$L:$L,領用表!$E:$E,$B185,領用表!$B:$B,U$2&amp;$R$1)</f>
        <v>0</v>
      </c>
      <c r="V185" s="405">
        <f>SUMIFS(領用表!$L:$L,領用表!$E:$E,$B185,領用表!$B:$B,V$2&amp;$R$1)</f>
        <v>0</v>
      </c>
      <c r="W185" s="405">
        <f>SUMIFS(領用表!$L:$L,領用表!$E:$E,$B185,領用表!$B:$B,W$2&amp;$R$1)</f>
        <v>0</v>
      </c>
      <c r="X185" s="405">
        <f>SUMIFS(領用表!$L:$L,領用表!$E:$E,$B185,領用表!$B:$B,X$2&amp;$R$1)</f>
        <v>0</v>
      </c>
      <c r="Y185" s="405">
        <f>SUMIFS(領用表!$L:$L,領用表!$E:$E,$B185,領用表!$B:$B,Y$2&amp;$R$1)</f>
        <v>0</v>
      </c>
      <c r="Z185" s="405">
        <f>SUMIFS(領用表!$L:$L,領用表!$E:$E,$B185,領用表!$B:$B,Z$2&amp;$R$1)</f>
        <v>0</v>
      </c>
      <c r="AA185" s="405">
        <f>SUMIFS(領用表!$L:$L,領用表!$E:$E,$B185,領用表!$B:$B,AA$2&amp;$R$1)</f>
        <v>0</v>
      </c>
      <c r="AB185" s="405">
        <f>SUMIFS(領用表!$L:$L,領用表!$E:$E,$B185,領用表!$B:$B,AB$2&amp;$R$1)</f>
        <v>0</v>
      </c>
      <c r="AC185" s="405">
        <f>SUMIFS(領用表!$L:$L,領用表!$E:$E,$B185,領用表!$B:$B,AC$2&amp;$R$1)</f>
        <v>0</v>
      </c>
      <c r="AD185" s="405">
        <f t="shared" si="26"/>
        <v>0</v>
      </c>
      <c r="AE185" s="405">
        <f t="shared" si="27"/>
        <v>0</v>
      </c>
      <c r="AF185" s="405">
        <f>SUMIF(Summary!B:B,B185,Summary!DV:DV)</f>
        <v>0</v>
      </c>
      <c r="AG185" s="111">
        <v>0</v>
      </c>
      <c r="AH185" s="80"/>
      <c r="AI185" s="76"/>
      <c r="AJ185" s="76"/>
    </row>
    <row r="186" spans="1:36" ht="16.5">
      <c r="A186" s="27" t="s">
        <v>225</v>
      </c>
      <c r="B186" s="14" t="e">
        <v>#N/A</v>
      </c>
      <c r="C186" s="136" t="s">
        <v>594</v>
      </c>
      <c r="D186" s="77"/>
      <c r="E186" s="17" t="s">
        <v>15</v>
      </c>
      <c r="F186" s="70"/>
      <c r="G186" s="18"/>
      <c r="J186" s="20">
        <f>SUMIFS(領用表!$L:$L,領用表!$E:$E,$B186,領用表!$B:$B,J$2&amp;$R$1)</f>
        <v>0</v>
      </c>
      <c r="K186" s="20">
        <f>SUMIFS(領用表!$L:$L,領用表!$E:$E,$B186,領用表!$B:$B,K$2&amp;$R$1)</f>
        <v>0</v>
      </c>
      <c r="L186" s="20">
        <f>SUMIFS(領用表!$L:$L,領用表!$E:$E,$B186,領用表!$B:$B,L$2&amp;$R$1)</f>
        <v>0</v>
      </c>
      <c r="M186" s="142">
        <f>SUMIFS(領用表!$L:$L,領用表!$E:$E,$B186,領用表!$B:$B,M$2&amp;$R$1)</f>
        <v>0</v>
      </c>
      <c r="N186" s="142">
        <f>SUMIFS(領用表!$L:$L,領用表!$E:$E,$B186,領用表!$B:$B,N$2&amp;$R$1)</f>
        <v>0</v>
      </c>
      <c r="O186" s="142">
        <f>SUMIFS(領用表!$L:$L,領用表!$E:$E,$B186,領用表!$B:$B,O$2&amp;$R$1)</f>
        <v>0</v>
      </c>
      <c r="P186" s="23">
        <f t="shared" si="28"/>
        <v>0</v>
      </c>
      <c r="Q186" s="23">
        <f t="shared" si="29"/>
        <v>0</v>
      </c>
      <c r="R186" s="142">
        <f>SUMIFS(領用表!$L:$L,領用表!$E:$E,$B186,領用表!$B:$B,R$2&amp;$R$1)</f>
        <v>0</v>
      </c>
      <c r="S186" s="405">
        <f>SUMIFS(領用表!$L:$L,領用表!$E:$E,$B186,領用表!$B:$B,S$2&amp;$R$1)</f>
        <v>0</v>
      </c>
      <c r="T186" s="405">
        <f>SUMIFS(領用表!$L:$L,領用表!$E:$E,$B186,領用表!$B:$B,T$2&amp;$R$1)</f>
        <v>0</v>
      </c>
      <c r="U186" s="405">
        <f>SUMIFS(領用表!$L:$L,領用表!$E:$E,$B186,領用表!$B:$B,U$2&amp;$R$1)</f>
        <v>0</v>
      </c>
      <c r="V186" s="405">
        <f>SUMIFS(領用表!$L:$L,領用表!$E:$E,$B186,領用表!$B:$B,V$2&amp;$R$1)</f>
        <v>0</v>
      </c>
      <c r="AD186" s="405">
        <f t="shared" si="26"/>
        <v>0</v>
      </c>
      <c r="AE186" s="405">
        <f t="shared" si="27"/>
        <v>0</v>
      </c>
      <c r="AF186" s="405">
        <f>SUMIF(Summary!B:B,B186,Summary!DV:DV)</f>
        <v>0</v>
      </c>
      <c r="AG186" s="111">
        <v>0</v>
      </c>
      <c r="AH186" s="80"/>
      <c r="AI186" s="76"/>
      <c r="AJ186" s="76"/>
    </row>
    <row r="187" spans="1:36" ht="16.5">
      <c r="B187" s="14">
        <v>6080011</v>
      </c>
      <c r="C187" s="136" t="s">
        <v>887</v>
      </c>
      <c r="D187" s="77"/>
      <c r="E187" s="17" t="s">
        <v>15</v>
      </c>
      <c r="F187" s="85"/>
      <c r="G187" s="18">
        <v>0</v>
      </c>
      <c r="J187" s="20">
        <f>SUMIFS(領用表!$L:$L,領用表!$E:$E,$B187,領用表!$B:$B,J$2&amp;$R$1)</f>
        <v>0</v>
      </c>
      <c r="K187" s="20">
        <f>SUMIFS(領用表!$L:$L,領用表!$E:$E,$B187,領用表!$B:$B,K$2&amp;$R$1)</f>
        <v>0</v>
      </c>
      <c r="L187" s="20">
        <f>SUMIFS(領用表!$L:$L,領用表!$E:$E,$B187,領用表!$B:$B,L$2&amp;$R$1)</f>
        <v>0</v>
      </c>
      <c r="M187" s="142">
        <f>SUMIFS(領用表!$L:$L,領用表!$E:$E,$B187,領用表!$B:$B,M$2&amp;$R$1)</f>
        <v>0</v>
      </c>
      <c r="N187" s="142">
        <f>SUMIFS(領用表!$L:$L,領用表!$E:$E,$B187,領用表!$B:$B,N$2&amp;$R$1)</f>
        <v>0</v>
      </c>
      <c r="O187" s="142">
        <f>SUMIFS(領用表!$L:$L,領用表!$E:$E,$B187,領用表!$B:$B,O$2&amp;$R$1)</f>
        <v>0</v>
      </c>
      <c r="P187" s="23">
        <f t="shared" ref="P187:P188" si="31">SUM(,J187,K187,L187,M187,N187,O187)</f>
        <v>0</v>
      </c>
      <c r="Q187" s="23">
        <f t="shared" ref="Q187:Q188" si="32">AVERAGE(,J187,K187,L187,M187,N187,O187)</f>
        <v>0</v>
      </c>
      <c r="R187" s="142">
        <f>SUMIFS(領用表!$L:$L,領用表!$E:$E,$B187,領用表!$B:$B,R$2&amp;$R$1)</f>
        <v>0</v>
      </c>
      <c r="S187" s="405">
        <f>SUMIFS(領用表!$L:$L,領用表!$E:$E,$B187,領用表!$B:$B,S$2&amp;$R$1)</f>
        <v>0</v>
      </c>
      <c r="T187" s="405">
        <f>SUMIFS(領用表!$L:$L,領用表!$E:$E,$B187,領用表!$B:$B,T$2&amp;$R$1)</f>
        <v>1657</v>
      </c>
      <c r="U187" s="405">
        <f>SUMIFS(領用表!$L:$L,領用表!$E:$E,$B187,領用表!$B:$B,U$2&amp;$R$1)</f>
        <v>2000</v>
      </c>
      <c r="V187" s="405">
        <f>SUMIFS(領用表!$L:$L,領用表!$E:$E,$B187,領用表!$B:$B,V$2&amp;$R$1)</f>
        <v>700</v>
      </c>
      <c r="W187" s="405">
        <f>SUMIFS(領用表!$L:$L,領用表!$E:$E,$B186,領用表!$B:$B,W$2&amp;$R$1)</f>
        <v>0</v>
      </c>
      <c r="X187" s="405">
        <f>SUMIFS(領用表!$L:$L,領用表!$E:$E,$B186,領用表!$B:$B,X$2&amp;$R$1)</f>
        <v>0</v>
      </c>
      <c r="Y187" s="405">
        <f>SUMIFS(領用表!$L:$L,領用表!$E:$E,$B186,領用表!$B:$B,Y$2&amp;$R$1)</f>
        <v>0</v>
      </c>
      <c r="Z187" s="405">
        <f>SUMIFS(領用表!$L:$L,領用表!$E:$E,$B186,領用表!$B:$B,Z$2&amp;$R$1)</f>
        <v>0</v>
      </c>
      <c r="AA187" s="405">
        <f>SUMIFS(領用表!$L:$L,領用表!$E:$E,$B186,領用表!$B:$B,AA$2&amp;$R$1)</f>
        <v>0</v>
      </c>
      <c r="AB187" s="405">
        <f>SUMIFS(領用表!$L:$L,領用表!$E:$E,$B186,領用表!$B:$B,AB$2&amp;$R$1)</f>
        <v>0</v>
      </c>
      <c r="AC187" s="405">
        <f>SUMIFS(領用表!$L:$L,領用表!$E:$E,$B186,領用表!$B:$B,AC$2&amp;$R$1)</f>
        <v>0</v>
      </c>
      <c r="AD187" s="405">
        <f t="shared" ref="AD187" si="33">SUM(R187:AC187)</f>
        <v>4357</v>
      </c>
      <c r="AE187" s="405">
        <f t="shared" si="27"/>
        <v>871.4</v>
      </c>
      <c r="AF187" s="405">
        <f>SUMIF(Summary!B:B,B187,Summary!DV:DV)</f>
        <v>0</v>
      </c>
    </row>
    <row r="188" spans="1:36" ht="16.5">
      <c r="B188" s="14">
        <v>6080012</v>
      </c>
      <c r="C188" s="136" t="s">
        <v>890</v>
      </c>
      <c r="D188" s="77"/>
      <c r="E188" s="17" t="s">
        <v>891</v>
      </c>
      <c r="F188" s="85"/>
      <c r="G188" s="18">
        <v>3100</v>
      </c>
      <c r="J188" s="20">
        <f>SUMIFS(領用表!$L:$L,領用表!$E:$E,$B188,領用表!$B:$B,J$2&amp;$R$1)</f>
        <v>0</v>
      </c>
      <c r="K188" s="20">
        <f>SUMIFS(領用表!$L:$L,領用表!$E:$E,$B188,領用表!$B:$B,K$2&amp;$R$1)</f>
        <v>0</v>
      </c>
      <c r="L188" s="20">
        <f>SUMIFS(領用表!$L:$L,領用表!$E:$E,$B188,領用表!$B:$B,L$2&amp;$R$1)</f>
        <v>0</v>
      </c>
      <c r="M188" s="142">
        <f>SUMIFS(領用表!$L:$L,領用表!$E:$E,$B188,領用表!$B:$B,M$2&amp;$R$1)</f>
        <v>0</v>
      </c>
      <c r="N188" s="142">
        <f>SUMIFS(領用表!$L:$L,領用表!$E:$E,$B188,領用表!$B:$B,N$2&amp;$R$1)</f>
        <v>0</v>
      </c>
      <c r="O188" s="142">
        <f>SUMIFS(領用表!$L:$L,領用表!$E:$E,$B188,領用表!$B:$B,O$2&amp;$R$1)</f>
        <v>0</v>
      </c>
      <c r="P188" s="23">
        <f t="shared" si="31"/>
        <v>0</v>
      </c>
      <c r="Q188" s="23">
        <f t="shared" si="32"/>
        <v>0</v>
      </c>
      <c r="R188" s="142">
        <f>SUMIFS(領用表!$L:$L,領用表!$E:$E,$B188,領用表!$B:$B,R$2&amp;$R$1)</f>
        <v>0</v>
      </c>
      <c r="S188" s="405">
        <f>SUMIFS(領用表!$L:$L,領用表!$E:$E,$B188,領用表!$B:$B,S$2&amp;$R$1)</f>
        <v>0</v>
      </c>
      <c r="T188" s="405">
        <f>SUMIFS(領用表!$L:$L,領用表!$E:$E,$B188,領用表!$B:$B,T$2&amp;$R$1)</f>
        <v>50</v>
      </c>
      <c r="U188" s="405">
        <f>SUMIFS(領用表!$L:$L,領用表!$E:$E,$B188,領用表!$B:$B,U$2&amp;$R$1)</f>
        <v>1125</v>
      </c>
      <c r="V188" s="405">
        <f>SUMIFS(領用表!$L:$L,領用表!$E:$E,$B188,領用表!$B:$B,V$2&amp;$R$1)</f>
        <v>1000</v>
      </c>
      <c r="W188" s="405">
        <f>SUMIFS(領用表!$L:$L,領用表!$E:$E,$B187,領用表!$B:$B,W$2&amp;$R$1)</f>
        <v>0</v>
      </c>
      <c r="X188" s="405">
        <f>SUMIFS(領用表!$L:$L,領用表!$E:$E,$B187,領用表!$B:$B,X$2&amp;$R$1)</f>
        <v>0</v>
      </c>
      <c r="Y188" s="405">
        <f>SUMIFS(領用表!$L:$L,領用表!$E:$E,$B187,領用表!$B:$B,Y$2&amp;$R$1)</f>
        <v>0</v>
      </c>
      <c r="Z188" s="405">
        <f>SUMIFS(領用表!$L:$L,領用表!$E:$E,$B187,領用表!$B:$B,Z$2&amp;$R$1)</f>
        <v>0</v>
      </c>
      <c r="AA188" s="405">
        <f>SUMIFS(領用表!$L:$L,領用表!$E:$E,$B187,領用表!$B:$B,AA$2&amp;$R$1)</f>
        <v>0</v>
      </c>
      <c r="AB188" s="405">
        <f>SUMIFS(領用表!$L:$L,領用表!$E:$E,$B187,領用表!$B:$B,AB$2&amp;$R$1)</f>
        <v>0</v>
      </c>
      <c r="AC188" s="405">
        <f>SUMIFS(領用表!$L:$L,領用表!$E:$E,$B187,領用表!$B:$B,AC$2&amp;$R$1)</f>
        <v>0</v>
      </c>
      <c r="AD188" s="405">
        <f t="shared" ref="AD188" si="34">SUM(R188:AC188)</f>
        <v>2175</v>
      </c>
      <c r="AE188" s="405">
        <f t="shared" si="27"/>
        <v>435</v>
      </c>
      <c r="AF188" s="405">
        <f>SUMIF(Summary!B:B,B188,Summary!DV:DV)</f>
        <v>0</v>
      </c>
    </row>
    <row r="189" spans="1:36">
      <c r="D189" s="11"/>
      <c r="E189" s="79"/>
      <c r="F189" s="85"/>
      <c r="G189" s="85"/>
      <c r="V189" s="405"/>
      <c r="W189" s="405">
        <f>SUMIFS(領用表!$L:$L,領用表!$E:$E,$B188,領用表!$B:$B,W$2&amp;$R$1)</f>
        <v>0</v>
      </c>
      <c r="X189" s="405">
        <f>SUMIFS(領用表!$L:$L,領用表!$E:$E,$B188,領用表!$B:$B,X$2&amp;$R$1)</f>
        <v>0</v>
      </c>
      <c r="Y189" s="405">
        <f>SUMIFS(領用表!$L:$L,領用表!$E:$E,$B188,領用表!$B:$B,Y$2&amp;$R$1)</f>
        <v>0</v>
      </c>
      <c r="Z189" s="405">
        <f>SUMIFS(領用表!$L:$L,領用表!$E:$E,$B188,領用表!$B:$B,Z$2&amp;$R$1)</f>
        <v>0</v>
      </c>
      <c r="AA189" s="405">
        <f>SUMIFS(領用表!$L:$L,領用表!$E:$E,$B188,領用表!$B:$B,AA$2&amp;$R$1)</f>
        <v>0</v>
      </c>
      <c r="AB189" s="405">
        <f>SUMIFS(領用表!$L:$L,領用表!$E:$E,$B188,領用表!$B:$B,AB$2&amp;$R$1)</f>
        <v>0</v>
      </c>
      <c r="AC189" s="405">
        <f>SUMIFS(領用表!$L:$L,領用表!$E:$E,$B188,領用表!$B:$B,AC$2&amp;$R$1)</f>
        <v>0</v>
      </c>
    </row>
    <row r="190" spans="1:36" ht="13.5">
      <c r="D190" s="11"/>
      <c r="E190" s="79"/>
      <c r="F190" s="85"/>
      <c r="G190" s="85"/>
    </row>
    <row r="191" spans="1:36" ht="13.5">
      <c r="D191" s="11"/>
      <c r="E191" s="79"/>
      <c r="F191" s="85"/>
      <c r="G191" s="85"/>
    </row>
    <row r="192" spans="1:36" ht="13.5">
      <c r="D192" s="11"/>
      <c r="E192" s="79"/>
      <c r="F192" s="85"/>
      <c r="G192" s="85"/>
    </row>
    <row r="193" spans="4:7" ht="13.5">
      <c r="D193" s="11"/>
      <c r="E193" s="79"/>
      <c r="F193" s="85"/>
      <c r="G193" s="85"/>
    </row>
    <row r="194" spans="4:7" ht="13.5">
      <c r="D194" s="11"/>
      <c r="E194" s="79"/>
      <c r="F194" s="85"/>
      <c r="G194" s="85"/>
    </row>
    <row r="195" spans="4:7" ht="13.5">
      <c r="D195" s="11"/>
      <c r="E195" s="79"/>
      <c r="F195" s="85"/>
      <c r="G195" s="85"/>
    </row>
    <row r="196" spans="4:7" ht="13.5">
      <c r="D196" s="11"/>
      <c r="E196" s="79"/>
      <c r="F196" s="85"/>
      <c r="G196" s="85"/>
    </row>
    <row r="197" spans="4:7" ht="13.5">
      <c r="D197" s="11"/>
      <c r="E197" s="79"/>
      <c r="F197" s="85"/>
      <c r="G197" s="85"/>
    </row>
    <row r="198" spans="4:7" ht="13.5">
      <c r="D198" s="11"/>
      <c r="E198" s="86"/>
      <c r="F198" s="85"/>
      <c r="G198" s="85"/>
    </row>
    <row r="199" spans="4:7" ht="13.5">
      <c r="D199" s="11"/>
      <c r="E199" s="86"/>
      <c r="F199" s="85"/>
      <c r="G199" s="85"/>
    </row>
    <row r="200" spans="4:7" ht="13.5">
      <c r="D200" s="11"/>
      <c r="E200" s="86"/>
      <c r="F200" s="85"/>
      <c r="G200" s="85"/>
    </row>
    <row r="201" spans="4:7" ht="13.5">
      <c r="D201" s="11"/>
      <c r="E201" s="86"/>
      <c r="F201" s="85"/>
      <c r="G201" s="85"/>
    </row>
    <row r="202" spans="4:7" ht="13.5">
      <c r="D202" s="11"/>
      <c r="E202" s="86"/>
      <c r="F202" s="85"/>
      <c r="G202" s="85"/>
    </row>
    <row r="203" spans="4:7" ht="13.5">
      <c r="D203" s="11"/>
      <c r="E203" s="86"/>
      <c r="F203" s="85"/>
      <c r="G203" s="85"/>
    </row>
    <row r="204" spans="4:7" ht="13.5">
      <c r="D204" s="11"/>
      <c r="E204" s="86"/>
      <c r="F204" s="85"/>
      <c r="G204" s="85"/>
    </row>
    <row r="205" spans="4:7" ht="13.5">
      <c r="D205" s="11"/>
      <c r="E205" s="86"/>
      <c r="F205" s="85"/>
      <c r="G205" s="85"/>
    </row>
    <row r="206" spans="4:7" ht="13.5">
      <c r="D206" s="11"/>
      <c r="E206" s="86"/>
      <c r="F206" s="85"/>
      <c r="G206" s="85"/>
    </row>
    <row r="207" spans="4:7" ht="13.5">
      <c r="D207" s="11"/>
      <c r="E207" s="86"/>
      <c r="F207" s="85"/>
      <c r="G207" s="85"/>
    </row>
    <row r="208" spans="4:7" ht="13.5">
      <c r="D208" s="11"/>
      <c r="E208" s="86"/>
      <c r="F208" s="85"/>
      <c r="G208" s="85"/>
    </row>
    <row r="209" spans="4:7" ht="13.5">
      <c r="D209" s="11"/>
      <c r="E209" s="86"/>
      <c r="F209" s="85"/>
      <c r="G209" s="85"/>
    </row>
    <row r="210" spans="4:7" ht="13.5">
      <c r="D210" s="11"/>
      <c r="E210" s="86"/>
      <c r="F210" s="85"/>
      <c r="G210" s="85"/>
    </row>
    <row r="211" spans="4:7" ht="13.5">
      <c r="D211" s="11"/>
      <c r="E211" s="86"/>
      <c r="F211" s="85"/>
      <c r="G211" s="85"/>
    </row>
    <row r="212" spans="4:7" ht="13.5">
      <c r="D212" s="11"/>
      <c r="E212" s="86"/>
      <c r="F212" s="85"/>
      <c r="G212" s="85"/>
    </row>
    <row r="213" spans="4:7" ht="13.5">
      <c r="D213" s="11"/>
      <c r="E213" s="86"/>
      <c r="F213" s="85"/>
      <c r="G213" s="85"/>
    </row>
    <row r="214" spans="4:7" ht="13.5">
      <c r="D214" s="11"/>
      <c r="E214" s="86"/>
      <c r="F214" s="85"/>
      <c r="G214" s="85"/>
    </row>
    <row r="215" spans="4:7" ht="13.5">
      <c r="D215" s="11"/>
      <c r="E215" s="86"/>
      <c r="F215" s="85"/>
      <c r="G215" s="85"/>
    </row>
    <row r="216" spans="4:7" ht="13.5">
      <c r="D216" s="11"/>
      <c r="E216" s="86"/>
      <c r="F216" s="85"/>
      <c r="G216" s="85"/>
    </row>
    <row r="217" spans="4:7" ht="13.5">
      <c r="D217" s="11"/>
      <c r="E217" s="86"/>
      <c r="F217" s="85"/>
      <c r="G217" s="85"/>
    </row>
    <row r="218" spans="4:7" ht="13.5">
      <c r="D218" s="11"/>
      <c r="E218" s="86"/>
      <c r="F218" s="85"/>
      <c r="G218" s="85"/>
    </row>
    <row r="219" spans="4:7" ht="13.5">
      <c r="D219" s="11"/>
      <c r="E219" s="86"/>
      <c r="F219" s="85"/>
      <c r="G219" s="85"/>
    </row>
    <row r="220" spans="4:7" ht="13.5">
      <c r="D220" s="11"/>
      <c r="E220" s="86"/>
      <c r="F220" s="85"/>
      <c r="G220" s="85"/>
    </row>
    <row r="221" spans="4:7" ht="13.5">
      <c r="D221" s="11"/>
      <c r="E221" s="86"/>
      <c r="F221" s="85"/>
      <c r="G221" s="85"/>
    </row>
    <row r="222" spans="4:7" ht="13.5">
      <c r="D222" s="11"/>
      <c r="E222" s="86"/>
      <c r="F222" s="85"/>
      <c r="G222" s="85"/>
    </row>
    <row r="223" spans="4:7" ht="13.5">
      <c r="D223" s="11"/>
      <c r="E223" s="86"/>
      <c r="F223" s="85"/>
      <c r="G223" s="85"/>
    </row>
    <row r="224" spans="4:7" ht="13.5">
      <c r="D224" s="11"/>
      <c r="E224" s="86"/>
      <c r="F224" s="85"/>
      <c r="G224" s="85"/>
    </row>
    <row r="225" spans="4:7" ht="13.5">
      <c r="D225" s="11"/>
      <c r="E225" s="86"/>
      <c r="F225" s="85"/>
      <c r="G225" s="85"/>
    </row>
    <row r="226" spans="4:7" ht="13.5">
      <c r="D226" s="11"/>
      <c r="E226" s="86"/>
      <c r="F226" s="85"/>
      <c r="G226" s="85"/>
    </row>
    <row r="227" spans="4:7" ht="13.5">
      <c r="D227" s="11"/>
      <c r="E227" s="86"/>
      <c r="F227" s="85"/>
      <c r="G227" s="85"/>
    </row>
    <row r="228" spans="4:7" ht="13.5">
      <c r="D228" s="11"/>
      <c r="E228" s="86"/>
      <c r="F228" s="85"/>
      <c r="G228" s="85"/>
    </row>
    <row r="229" spans="4:7" ht="13.5">
      <c r="D229" s="11"/>
      <c r="E229" s="86"/>
      <c r="F229" s="85"/>
      <c r="G229" s="85"/>
    </row>
    <row r="230" spans="4:7" ht="13.5">
      <c r="D230" s="11"/>
      <c r="E230" s="86"/>
      <c r="F230" s="85"/>
      <c r="G230" s="85"/>
    </row>
    <row r="231" spans="4:7" ht="13.5">
      <c r="D231" s="11"/>
      <c r="E231" s="86"/>
      <c r="F231" s="85"/>
      <c r="G231" s="85"/>
    </row>
    <row r="232" spans="4:7" ht="13.5">
      <c r="D232" s="11"/>
      <c r="E232" s="86"/>
      <c r="F232" s="85"/>
      <c r="G232" s="85"/>
    </row>
    <row r="233" spans="4:7" ht="13.5">
      <c r="D233" s="11"/>
      <c r="E233" s="86"/>
      <c r="F233" s="85"/>
      <c r="G233" s="85"/>
    </row>
    <row r="234" spans="4:7" ht="13.5">
      <c r="D234" s="11"/>
      <c r="E234" s="86"/>
      <c r="F234" s="85"/>
      <c r="G234" s="85"/>
    </row>
    <row r="235" spans="4:7" ht="13.5">
      <c r="D235" s="11"/>
      <c r="E235" s="86"/>
      <c r="F235" s="85"/>
      <c r="G235" s="85"/>
    </row>
    <row r="236" spans="4:7" ht="13.5">
      <c r="D236" s="11"/>
      <c r="E236" s="86"/>
      <c r="F236" s="85"/>
      <c r="G236" s="85"/>
    </row>
    <row r="237" spans="4:7" ht="13.5">
      <c r="D237" s="11"/>
      <c r="E237" s="86"/>
      <c r="F237" s="85"/>
      <c r="G237" s="85"/>
    </row>
    <row r="238" spans="4:7" ht="13.5">
      <c r="D238" s="11"/>
      <c r="E238" s="86"/>
      <c r="F238" s="85"/>
      <c r="G238" s="85"/>
    </row>
    <row r="239" spans="4:7" ht="13.5">
      <c r="D239" s="11"/>
      <c r="E239" s="86"/>
      <c r="F239" s="85"/>
      <c r="G239" s="85"/>
    </row>
    <row r="240" spans="4:7" ht="13.5">
      <c r="D240" s="11"/>
      <c r="E240" s="86"/>
      <c r="F240" s="85"/>
      <c r="G240" s="85"/>
    </row>
    <row r="241" spans="4:7" ht="13.5">
      <c r="D241" s="11"/>
      <c r="E241" s="86"/>
      <c r="F241" s="85"/>
      <c r="G241" s="85"/>
    </row>
    <row r="242" spans="4:7" ht="13.5">
      <c r="D242" s="11"/>
      <c r="E242" s="86"/>
      <c r="F242" s="85"/>
      <c r="G242" s="85"/>
    </row>
    <row r="243" spans="4:7" ht="13.5">
      <c r="D243" s="11"/>
      <c r="E243" s="86"/>
      <c r="F243" s="85"/>
      <c r="G243" s="85"/>
    </row>
    <row r="244" spans="4:7" ht="13.5">
      <c r="D244" s="11"/>
      <c r="E244" s="86"/>
      <c r="F244" s="85"/>
      <c r="G244" s="85"/>
    </row>
    <row r="245" spans="4:7" ht="13.5">
      <c r="D245" s="11"/>
      <c r="E245" s="86"/>
      <c r="F245" s="85"/>
      <c r="G245" s="85"/>
    </row>
    <row r="246" spans="4:7" ht="13.5">
      <c r="D246" s="11"/>
      <c r="E246" s="86"/>
      <c r="F246" s="85"/>
      <c r="G246" s="85"/>
    </row>
    <row r="247" spans="4:7" ht="13.5">
      <c r="D247" s="11"/>
      <c r="E247" s="86"/>
      <c r="F247" s="85"/>
      <c r="G247" s="85"/>
    </row>
    <row r="248" spans="4:7" ht="13.5">
      <c r="D248" s="11"/>
      <c r="E248" s="86"/>
      <c r="F248" s="85"/>
      <c r="G248" s="85"/>
    </row>
    <row r="249" spans="4:7" ht="13.5">
      <c r="D249" s="11"/>
      <c r="E249" s="86"/>
      <c r="F249" s="85"/>
      <c r="G249" s="85"/>
    </row>
    <row r="250" spans="4:7" ht="13.5">
      <c r="D250" s="11"/>
      <c r="E250" s="86"/>
      <c r="F250" s="85"/>
      <c r="G250" s="85"/>
    </row>
    <row r="251" spans="4:7" ht="13.5">
      <c r="D251" s="11"/>
      <c r="E251" s="86"/>
      <c r="F251" s="85"/>
      <c r="G251" s="85"/>
    </row>
    <row r="252" spans="4:7" ht="13.5">
      <c r="D252" s="11"/>
      <c r="E252" s="86"/>
      <c r="F252" s="85"/>
      <c r="G252" s="85"/>
    </row>
    <row r="253" spans="4:7" ht="13.5">
      <c r="D253" s="11"/>
      <c r="E253" s="86"/>
      <c r="F253" s="85"/>
      <c r="G253" s="85"/>
    </row>
    <row r="254" spans="4:7" ht="13.5">
      <c r="D254" s="11"/>
      <c r="E254" s="86"/>
      <c r="F254" s="85"/>
      <c r="G254" s="85"/>
    </row>
    <row r="255" spans="4:7" ht="13.5">
      <c r="D255" s="11"/>
      <c r="E255" s="86"/>
      <c r="F255" s="85"/>
      <c r="G255" s="85"/>
    </row>
    <row r="256" spans="4:7" ht="13.5">
      <c r="D256" s="11"/>
      <c r="E256" s="86"/>
      <c r="F256" s="85"/>
      <c r="G256" s="85"/>
    </row>
    <row r="257" spans="4:7" ht="13.5">
      <c r="D257" s="11"/>
      <c r="E257" s="86"/>
      <c r="F257" s="85"/>
      <c r="G257" s="85"/>
    </row>
    <row r="258" spans="4:7" ht="13.5">
      <c r="D258" s="11"/>
      <c r="E258" s="86"/>
      <c r="F258" s="85"/>
      <c r="G258" s="85"/>
    </row>
    <row r="259" spans="4:7" ht="13.5">
      <c r="D259" s="11"/>
      <c r="E259" s="86"/>
      <c r="F259" s="85"/>
      <c r="G259" s="85"/>
    </row>
    <row r="260" spans="4:7" ht="13.5">
      <c r="D260" s="11"/>
      <c r="E260" s="86"/>
      <c r="F260" s="85"/>
      <c r="G260" s="85"/>
    </row>
    <row r="261" spans="4:7" ht="13.5">
      <c r="D261" s="11"/>
      <c r="E261" s="86"/>
      <c r="F261" s="85"/>
      <c r="G261" s="85"/>
    </row>
    <row r="262" spans="4:7" ht="13.5">
      <c r="D262" s="11"/>
      <c r="E262" s="86"/>
      <c r="F262" s="85"/>
      <c r="G262" s="85"/>
    </row>
    <row r="263" spans="4:7" ht="13.5">
      <c r="D263" s="11"/>
      <c r="E263" s="86"/>
      <c r="F263" s="85"/>
      <c r="G263" s="85"/>
    </row>
    <row r="264" spans="4:7" ht="13.5">
      <c r="D264" s="11"/>
      <c r="E264" s="86"/>
      <c r="F264" s="85"/>
      <c r="G264" s="85"/>
    </row>
    <row r="265" spans="4:7" ht="13.5">
      <c r="D265" s="11"/>
      <c r="E265" s="86"/>
      <c r="F265" s="85"/>
      <c r="G265" s="85"/>
    </row>
    <row r="266" spans="4:7" ht="13.5">
      <c r="D266" s="11"/>
      <c r="E266" s="86"/>
      <c r="F266" s="85"/>
      <c r="G266" s="85"/>
    </row>
    <row r="267" spans="4:7" ht="13.5">
      <c r="D267" s="11"/>
      <c r="E267" s="86"/>
      <c r="F267" s="85"/>
      <c r="G267" s="85"/>
    </row>
    <row r="268" spans="4:7" ht="13.5">
      <c r="D268" s="11"/>
      <c r="E268" s="86"/>
      <c r="F268" s="85"/>
      <c r="G268" s="85"/>
    </row>
    <row r="269" spans="4:7" ht="13.5">
      <c r="D269" s="11"/>
      <c r="E269" s="86"/>
      <c r="F269" s="85"/>
      <c r="G269" s="85"/>
    </row>
    <row r="270" spans="4:7" ht="13.5">
      <c r="D270" s="11"/>
      <c r="E270" s="86"/>
      <c r="F270" s="85"/>
      <c r="G270" s="85"/>
    </row>
    <row r="271" spans="4:7" ht="13.5">
      <c r="D271" s="11"/>
      <c r="E271" s="86"/>
      <c r="F271" s="85"/>
      <c r="G271" s="85"/>
    </row>
    <row r="272" spans="4:7" ht="13.5">
      <c r="D272" s="11"/>
      <c r="E272" s="86"/>
      <c r="F272" s="85"/>
      <c r="G272" s="85"/>
    </row>
    <row r="273" spans="4:7" ht="13.5">
      <c r="D273" s="11"/>
      <c r="E273" s="86"/>
      <c r="F273" s="85"/>
      <c r="G273" s="85"/>
    </row>
    <row r="274" spans="4:7" ht="13.5">
      <c r="D274" s="11"/>
      <c r="E274" s="86"/>
      <c r="F274" s="85"/>
      <c r="G274" s="85"/>
    </row>
    <row r="275" spans="4:7" ht="13.5">
      <c r="D275" s="11"/>
      <c r="E275" s="86"/>
      <c r="F275" s="85"/>
      <c r="G275" s="85"/>
    </row>
    <row r="276" spans="4:7" ht="13.5">
      <c r="D276" s="11"/>
      <c r="E276" s="86"/>
      <c r="F276" s="85"/>
      <c r="G276" s="85"/>
    </row>
    <row r="277" spans="4:7" ht="13.5">
      <c r="D277" s="11"/>
      <c r="E277" s="86"/>
      <c r="F277" s="85"/>
      <c r="G277" s="85"/>
    </row>
    <row r="278" spans="4:7" ht="13.5">
      <c r="D278" s="11"/>
      <c r="E278" s="86"/>
      <c r="F278" s="85"/>
      <c r="G278" s="85"/>
    </row>
    <row r="279" spans="4:7" ht="13.5">
      <c r="D279" s="11"/>
      <c r="E279" s="86"/>
      <c r="F279" s="85"/>
      <c r="G279" s="85"/>
    </row>
    <row r="280" spans="4:7" ht="13.5">
      <c r="D280" s="11"/>
      <c r="E280" s="86"/>
      <c r="F280" s="85"/>
      <c r="G280" s="85"/>
    </row>
    <row r="281" spans="4:7" ht="13.5">
      <c r="D281" s="11"/>
      <c r="E281" s="86"/>
      <c r="F281" s="85"/>
      <c r="G281" s="85"/>
    </row>
    <row r="282" spans="4:7" ht="13.5">
      <c r="D282" s="11"/>
      <c r="E282" s="86"/>
      <c r="F282" s="85"/>
      <c r="G282" s="85"/>
    </row>
    <row r="283" spans="4:7" ht="13.5">
      <c r="D283" s="11"/>
      <c r="E283" s="86"/>
      <c r="F283" s="85"/>
      <c r="G283" s="85"/>
    </row>
    <row r="284" spans="4:7" ht="13.5">
      <c r="D284" s="11"/>
      <c r="E284" s="86"/>
      <c r="F284" s="85"/>
      <c r="G284" s="85"/>
    </row>
    <row r="285" spans="4:7" ht="13.5">
      <c r="D285" s="11"/>
      <c r="E285" s="86"/>
      <c r="F285" s="85"/>
      <c r="G285" s="85"/>
    </row>
    <row r="286" spans="4:7" ht="13.5">
      <c r="D286" s="11"/>
      <c r="E286" s="86"/>
      <c r="F286" s="85"/>
      <c r="G286" s="85"/>
    </row>
    <row r="287" spans="4:7" ht="13.5">
      <c r="D287" s="11"/>
      <c r="E287" s="86"/>
      <c r="F287" s="85"/>
      <c r="G287" s="85"/>
    </row>
    <row r="288" spans="4:7" ht="13.5">
      <c r="D288" s="11"/>
      <c r="E288" s="86"/>
      <c r="F288" s="85"/>
      <c r="G288" s="85"/>
    </row>
    <row r="289" spans="4:7" ht="13.5">
      <c r="D289" s="11"/>
      <c r="E289" s="86"/>
      <c r="F289" s="85"/>
      <c r="G289" s="85"/>
    </row>
    <row r="290" spans="4:7" ht="13.5">
      <c r="D290" s="11"/>
      <c r="E290" s="86"/>
      <c r="F290" s="85"/>
      <c r="G290" s="85"/>
    </row>
    <row r="291" spans="4:7" ht="13.5">
      <c r="D291" s="11"/>
      <c r="E291" s="86"/>
      <c r="F291" s="85"/>
      <c r="G291" s="85"/>
    </row>
    <row r="292" spans="4:7" ht="13.5">
      <c r="D292" s="11"/>
      <c r="E292" s="86"/>
      <c r="F292" s="85"/>
      <c r="G292" s="85"/>
    </row>
    <row r="293" spans="4:7" ht="13.5">
      <c r="D293" s="11"/>
      <c r="E293" s="86"/>
      <c r="F293" s="85"/>
      <c r="G293" s="85"/>
    </row>
    <row r="294" spans="4:7" ht="13.5">
      <c r="D294" s="11"/>
      <c r="E294" s="86"/>
      <c r="F294" s="85"/>
      <c r="G294" s="85"/>
    </row>
    <row r="295" spans="4:7" ht="13.5">
      <c r="D295" s="11"/>
      <c r="E295" s="86"/>
      <c r="F295" s="85"/>
      <c r="G295" s="85"/>
    </row>
    <row r="296" spans="4:7" ht="13.5">
      <c r="D296" s="11"/>
      <c r="E296" s="86"/>
      <c r="F296" s="85"/>
      <c r="G296" s="85"/>
    </row>
    <row r="297" spans="4:7" ht="13.5">
      <c r="D297" s="11"/>
      <c r="E297" s="86"/>
      <c r="F297" s="85"/>
      <c r="G297" s="85"/>
    </row>
    <row r="298" spans="4:7" ht="13.5">
      <c r="D298" s="11"/>
      <c r="E298" s="86"/>
      <c r="F298" s="85"/>
      <c r="G298" s="85"/>
    </row>
    <row r="299" spans="4:7" ht="13.5">
      <c r="D299" s="11"/>
      <c r="E299" s="86"/>
      <c r="F299" s="85"/>
      <c r="G299" s="85"/>
    </row>
    <row r="300" spans="4:7" ht="13.5">
      <c r="D300" s="11"/>
      <c r="E300" s="86"/>
      <c r="F300" s="85"/>
      <c r="G300" s="85"/>
    </row>
    <row r="301" spans="4:7" ht="13.5">
      <c r="D301" s="11"/>
      <c r="E301" s="86"/>
      <c r="F301" s="85"/>
      <c r="G301" s="85"/>
    </row>
    <row r="302" spans="4:7" ht="13.5">
      <c r="D302" s="11"/>
      <c r="E302" s="86"/>
      <c r="F302" s="85"/>
      <c r="G302" s="85"/>
    </row>
    <row r="303" spans="4:7" ht="13.5">
      <c r="D303" s="11"/>
      <c r="E303" s="86"/>
      <c r="F303" s="85"/>
      <c r="G303" s="85"/>
    </row>
    <row r="304" spans="4:7" ht="13.5">
      <c r="D304" s="11"/>
      <c r="E304" s="86"/>
      <c r="F304" s="85"/>
      <c r="G304" s="85"/>
    </row>
    <row r="305" spans="4:7" ht="13.5">
      <c r="D305" s="11"/>
      <c r="E305" s="86"/>
      <c r="F305" s="85"/>
      <c r="G305" s="85"/>
    </row>
    <row r="306" spans="4:7" ht="13.5">
      <c r="D306" s="11"/>
      <c r="E306" s="86"/>
      <c r="F306" s="85"/>
      <c r="G306" s="85"/>
    </row>
    <row r="307" spans="4:7" ht="13.5">
      <c r="D307" s="11"/>
      <c r="E307" s="86"/>
      <c r="F307" s="85"/>
      <c r="G307" s="85"/>
    </row>
    <row r="308" spans="4:7" ht="13.5">
      <c r="D308" s="11"/>
      <c r="E308" s="86"/>
      <c r="F308" s="85"/>
      <c r="G308" s="85"/>
    </row>
    <row r="309" spans="4:7" ht="13.5">
      <c r="D309" s="11"/>
      <c r="E309" s="86"/>
      <c r="F309" s="85"/>
      <c r="G309" s="85"/>
    </row>
    <row r="310" spans="4:7" ht="13.5">
      <c r="D310" s="11"/>
      <c r="E310" s="86"/>
      <c r="F310" s="85"/>
      <c r="G310" s="85"/>
    </row>
    <row r="311" spans="4:7" ht="13.5">
      <c r="D311" s="11"/>
      <c r="E311" s="86"/>
      <c r="F311" s="85"/>
      <c r="G311" s="85"/>
    </row>
    <row r="312" spans="4:7" ht="13.5">
      <c r="D312" s="11"/>
      <c r="E312" s="86"/>
      <c r="F312" s="85"/>
      <c r="G312" s="85"/>
    </row>
    <row r="313" spans="4:7" ht="13.5">
      <c r="D313" s="11"/>
      <c r="E313" s="86"/>
      <c r="F313" s="85"/>
      <c r="G313" s="85"/>
    </row>
    <row r="314" spans="4:7" ht="13.5">
      <c r="D314" s="11"/>
      <c r="E314" s="86"/>
      <c r="F314" s="85"/>
      <c r="G314" s="85"/>
    </row>
    <row r="315" spans="4:7" ht="13.5">
      <c r="D315" s="11"/>
      <c r="E315" s="86"/>
      <c r="F315" s="85"/>
      <c r="G315" s="85"/>
    </row>
    <row r="316" spans="4:7" ht="13.5">
      <c r="D316" s="11"/>
      <c r="E316" s="86"/>
      <c r="F316" s="85"/>
      <c r="G316" s="85"/>
    </row>
    <row r="317" spans="4:7" ht="13.5">
      <c r="D317" s="11"/>
      <c r="E317" s="86"/>
      <c r="F317" s="85"/>
      <c r="G317" s="85"/>
    </row>
    <row r="318" spans="4:7" ht="13.5">
      <c r="D318" s="11"/>
      <c r="E318" s="86"/>
      <c r="F318" s="85"/>
      <c r="G318" s="85"/>
    </row>
    <row r="319" spans="4:7" ht="13.5">
      <c r="D319" s="11"/>
      <c r="E319" s="86"/>
      <c r="F319" s="85"/>
      <c r="G319" s="85"/>
    </row>
    <row r="320" spans="4:7" ht="13.5">
      <c r="D320" s="11"/>
      <c r="E320" s="86"/>
      <c r="F320" s="85"/>
      <c r="G320" s="85"/>
    </row>
    <row r="321" spans="4:7" ht="13.5">
      <c r="D321" s="11"/>
      <c r="E321" s="86"/>
      <c r="F321" s="85"/>
      <c r="G321" s="85"/>
    </row>
    <row r="322" spans="4:7" ht="13.5">
      <c r="D322" s="11"/>
      <c r="E322" s="86"/>
      <c r="F322" s="85"/>
      <c r="G322" s="85"/>
    </row>
    <row r="323" spans="4:7" ht="13.5">
      <c r="D323" s="11"/>
      <c r="E323" s="86"/>
      <c r="F323" s="85"/>
      <c r="G323" s="85"/>
    </row>
    <row r="324" spans="4:7" ht="13.5">
      <c r="D324" s="11"/>
      <c r="E324" s="86"/>
      <c r="F324" s="85"/>
      <c r="G324" s="85"/>
    </row>
    <row r="325" spans="4:7" ht="13.5">
      <c r="D325" s="11"/>
      <c r="E325" s="86"/>
      <c r="F325" s="85"/>
      <c r="G325" s="85"/>
    </row>
    <row r="326" spans="4:7" ht="13.5">
      <c r="D326" s="11"/>
      <c r="E326" s="86"/>
      <c r="F326" s="85"/>
      <c r="G326" s="85"/>
    </row>
    <row r="327" spans="4:7" ht="13.5">
      <c r="D327" s="11"/>
      <c r="E327" s="86"/>
      <c r="F327" s="85"/>
      <c r="G327" s="85"/>
    </row>
    <row r="328" spans="4:7" ht="13.5">
      <c r="D328" s="11"/>
      <c r="E328" s="86"/>
      <c r="F328" s="85"/>
      <c r="G328" s="85"/>
    </row>
    <row r="329" spans="4:7" ht="13.5">
      <c r="D329" s="11"/>
      <c r="E329" s="86"/>
      <c r="F329" s="85"/>
      <c r="G329" s="85"/>
    </row>
    <row r="330" spans="4:7" ht="13.5">
      <c r="D330" s="11"/>
      <c r="E330" s="86"/>
      <c r="F330" s="85"/>
      <c r="G330" s="85"/>
    </row>
    <row r="331" spans="4:7" ht="13.5">
      <c r="D331" s="11"/>
      <c r="E331" s="86"/>
      <c r="F331" s="85"/>
      <c r="G331" s="85"/>
    </row>
    <row r="332" spans="4:7" ht="13.5">
      <c r="D332" s="11"/>
      <c r="E332" s="86"/>
      <c r="F332" s="85"/>
      <c r="G332" s="85"/>
    </row>
    <row r="333" spans="4:7" ht="13.5">
      <c r="D333" s="11"/>
      <c r="E333" s="86"/>
      <c r="F333" s="85"/>
      <c r="G333" s="85"/>
    </row>
    <row r="334" spans="4:7" ht="13.5">
      <c r="D334" s="11"/>
      <c r="E334" s="86"/>
      <c r="F334" s="85"/>
      <c r="G334" s="85"/>
    </row>
    <row r="335" spans="4:7" ht="13.5">
      <c r="D335" s="11"/>
      <c r="E335" s="86"/>
      <c r="F335" s="85"/>
      <c r="G335" s="85"/>
    </row>
    <row r="336" spans="4:7" ht="13.5">
      <c r="D336" s="11"/>
      <c r="E336" s="86"/>
      <c r="F336" s="85"/>
      <c r="G336" s="85"/>
    </row>
    <row r="337" spans="4:7" ht="13.5">
      <c r="D337" s="11"/>
      <c r="E337" s="86"/>
      <c r="F337" s="85"/>
      <c r="G337" s="85"/>
    </row>
    <row r="338" spans="4:7" ht="13.5">
      <c r="D338" s="11"/>
      <c r="E338" s="86"/>
      <c r="F338" s="85"/>
      <c r="G338" s="85"/>
    </row>
    <row r="339" spans="4:7" ht="13.5">
      <c r="D339" s="11"/>
      <c r="E339" s="86"/>
      <c r="F339" s="85"/>
      <c r="G339" s="85"/>
    </row>
    <row r="340" spans="4:7" ht="13.5">
      <c r="D340" s="11"/>
      <c r="E340" s="86"/>
      <c r="F340" s="85"/>
      <c r="G340" s="85"/>
    </row>
    <row r="341" spans="4:7" ht="13.5">
      <c r="D341" s="11"/>
      <c r="E341" s="86"/>
      <c r="F341" s="85"/>
      <c r="G341" s="85"/>
    </row>
    <row r="342" spans="4:7" ht="13.5">
      <c r="D342" s="11"/>
      <c r="E342" s="86"/>
      <c r="F342" s="85"/>
      <c r="G342" s="85"/>
    </row>
    <row r="343" spans="4:7" ht="13.5">
      <c r="D343" s="11"/>
      <c r="E343" s="86"/>
      <c r="F343" s="85"/>
      <c r="G343" s="85"/>
    </row>
    <row r="344" spans="4:7" ht="13.5">
      <c r="D344" s="11"/>
      <c r="E344" s="86"/>
      <c r="F344" s="85"/>
      <c r="G344" s="85"/>
    </row>
    <row r="345" spans="4:7" ht="13.5">
      <c r="D345" s="11"/>
      <c r="E345" s="86"/>
      <c r="F345" s="85"/>
      <c r="G345" s="85"/>
    </row>
    <row r="346" spans="4:7" ht="13.5">
      <c r="D346" s="11"/>
      <c r="E346" s="86"/>
      <c r="F346" s="85"/>
      <c r="G346" s="85"/>
    </row>
    <row r="347" spans="4:7" ht="13.5">
      <c r="D347" s="11"/>
      <c r="E347" s="86"/>
      <c r="F347" s="85"/>
      <c r="G347" s="85"/>
    </row>
    <row r="348" spans="4:7" ht="13.5">
      <c r="D348" s="11"/>
      <c r="E348" s="86"/>
      <c r="F348" s="85"/>
      <c r="G348" s="85"/>
    </row>
    <row r="349" spans="4:7" ht="13.5">
      <c r="D349" s="11"/>
      <c r="E349" s="86"/>
      <c r="F349" s="85"/>
      <c r="G349" s="85"/>
    </row>
    <row r="350" spans="4:7" ht="13.5">
      <c r="D350" s="11"/>
      <c r="E350" s="86"/>
      <c r="F350" s="85"/>
      <c r="G350" s="85"/>
    </row>
    <row r="351" spans="4:7" ht="13.5">
      <c r="D351" s="11"/>
      <c r="E351" s="86"/>
      <c r="F351" s="85"/>
      <c r="G351" s="85"/>
    </row>
    <row r="352" spans="4:7" ht="13.5">
      <c r="D352" s="11"/>
      <c r="E352" s="86"/>
      <c r="F352" s="85"/>
      <c r="G352" s="85"/>
    </row>
    <row r="353" spans="4:7" ht="13.5">
      <c r="D353" s="11"/>
      <c r="E353" s="86"/>
      <c r="F353" s="85"/>
      <c r="G353" s="85"/>
    </row>
    <row r="354" spans="4:7" ht="13.5">
      <c r="D354" s="11"/>
      <c r="E354" s="86"/>
      <c r="F354" s="85"/>
      <c r="G354" s="85"/>
    </row>
    <row r="355" spans="4:7" ht="13.5">
      <c r="D355" s="11"/>
      <c r="E355" s="86"/>
      <c r="F355" s="85"/>
      <c r="G355" s="85"/>
    </row>
    <row r="356" spans="4:7" ht="13.5">
      <c r="D356" s="11"/>
      <c r="E356" s="86"/>
      <c r="F356" s="85"/>
      <c r="G356" s="85"/>
    </row>
    <row r="357" spans="4:7" ht="13.5">
      <c r="D357" s="11"/>
      <c r="E357" s="86"/>
      <c r="F357" s="85"/>
      <c r="G357" s="85"/>
    </row>
    <row r="358" spans="4:7" ht="13.5">
      <c r="D358" s="11"/>
      <c r="E358" s="86"/>
      <c r="F358" s="85"/>
      <c r="G358" s="85"/>
    </row>
    <row r="359" spans="4:7" ht="13.5">
      <c r="D359" s="11"/>
      <c r="E359" s="86"/>
      <c r="F359" s="85"/>
      <c r="G359" s="85"/>
    </row>
    <row r="360" spans="4:7" ht="13.5">
      <c r="D360" s="11"/>
      <c r="E360" s="86"/>
      <c r="F360" s="85"/>
      <c r="G360" s="85"/>
    </row>
    <row r="361" spans="4:7" ht="13.5">
      <c r="D361" s="11"/>
      <c r="E361" s="86"/>
      <c r="F361" s="85"/>
      <c r="G361" s="85"/>
    </row>
    <row r="362" spans="4:7" ht="13.5">
      <c r="D362" s="11"/>
      <c r="E362" s="86"/>
      <c r="F362" s="85"/>
      <c r="G362" s="85"/>
    </row>
    <row r="363" spans="4:7" ht="13.5">
      <c r="D363" s="11"/>
      <c r="E363" s="86"/>
      <c r="F363" s="85"/>
      <c r="G363" s="85"/>
    </row>
    <row r="364" spans="4:7" ht="13.5">
      <c r="D364" s="11"/>
      <c r="E364" s="86"/>
      <c r="F364" s="85"/>
      <c r="G364" s="85"/>
    </row>
    <row r="365" spans="4:7" ht="13.5">
      <c r="D365" s="11"/>
      <c r="E365" s="86"/>
      <c r="F365" s="85"/>
      <c r="G365" s="85"/>
    </row>
    <row r="366" spans="4:7" ht="13.5">
      <c r="D366" s="11"/>
      <c r="E366" s="86"/>
      <c r="F366" s="85"/>
      <c r="G366" s="85"/>
    </row>
    <row r="367" spans="4:7" ht="13.5">
      <c r="D367" s="11"/>
      <c r="E367" s="86"/>
      <c r="F367" s="85"/>
      <c r="G367" s="85"/>
    </row>
    <row r="368" spans="4:7" ht="13.5">
      <c r="D368" s="11"/>
      <c r="E368" s="86"/>
      <c r="F368" s="85"/>
      <c r="G368" s="85"/>
    </row>
    <row r="369" spans="4:7" ht="13.5">
      <c r="D369" s="11"/>
      <c r="E369" s="86"/>
      <c r="F369" s="85"/>
      <c r="G369" s="85"/>
    </row>
    <row r="370" spans="4:7" ht="13.5">
      <c r="D370" s="11"/>
      <c r="E370" s="86"/>
      <c r="F370" s="85"/>
      <c r="G370" s="85"/>
    </row>
    <row r="371" spans="4:7" ht="13.5">
      <c r="D371" s="11"/>
      <c r="E371" s="86"/>
      <c r="F371" s="85"/>
      <c r="G371" s="85"/>
    </row>
    <row r="372" spans="4:7" ht="13.5">
      <c r="D372" s="11"/>
      <c r="E372" s="86"/>
      <c r="F372" s="85"/>
      <c r="G372" s="85"/>
    </row>
    <row r="373" spans="4:7" ht="13.5">
      <c r="D373" s="11"/>
      <c r="E373" s="86"/>
      <c r="F373" s="85"/>
      <c r="G373" s="85"/>
    </row>
    <row r="374" spans="4:7" ht="13.5">
      <c r="D374" s="11"/>
      <c r="E374" s="86"/>
      <c r="F374" s="85"/>
      <c r="G374" s="85"/>
    </row>
    <row r="375" spans="4:7" ht="13.5">
      <c r="D375" s="11"/>
      <c r="E375" s="86"/>
      <c r="F375" s="85"/>
      <c r="G375" s="85"/>
    </row>
    <row r="376" spans="4:7" ht="13.5">
      <c r="D376" s="11"/>
      <c r="E376" s="86"/>
      <c r="F376" s="85"/>
      <c r="G376" s="85"/>
    </row>
    <row r="377" spans="4:7" ht="13.5">
      <c r="D377" s="11"/>
      <c r="E377" s="86"/>
      <c r="F377" s="85"/>
      <c r="G377" s="85"/>
    </row>
    <row r="378" spans="4:7" ht="13.5">
      <c r="D378" s="11"/>
      <c r="E378" s="86"/>
      <c r="F378" s="85"/>
      <c r="G378" s="85"/>
    </row>
    <row r="379" spans="4:7" ht="13.5">
      <c r="D379" s="11"/>
      <c r="E379" s="86"/>
      <c r="F379" s="85"/>
      <c r="G379" s="85"/>
    </row>
    <row r="380" spans="4:7" ht="13.5">
      <c r="D380" s="11"/>
      <c r="E380" s="86"/>
      <c r="F380" s="85"/>
      <c r="G380" s="85"/>
    </row>
    <row r="381" spans="4:7" ht="13.5">
      <c r="D381" s="11"/>
      <c r="E381" s="86"/>
      <c r="F381" s="85"/>
      <c r="G381" s="85"/>
    </row>
    <row r="382" spans="4:7" ht="13.5">
      <c r="D382" s="11"/>
      <c r="E382" s="86"/>
      <c r="F382" s="85"/>
      <c r="G382" s="85"/>
    </row>
    <row r="383" spans="4:7" ht="13.5">
      <c r="D383" s="11"/>
      <c r="E383" s="86"/>
      <c r="F383" s="85"/>
      <c r="G383" s="85"/>
    </row>
    <row r="384" spans="4:7" ht="13.5">
      <c r="D384" s="11"/>
      <c r="E384" s="86"/>
      <c r="F384" s="85"/>
      <c r="G384" s="85"/>
    </row>
    <row r="385" spans="4:7" ht="13.5">
      <c r="D385" s="11"/>
      <c r="E385" s="86"/>
      <c r="F385" s="85"/>
      <c r="G385" s="85"/>
    </row>
    <row r="386" spans="4:7" ht="13.5">
      <c r="D386" s="11"/>
      <c r="E386" s="86"/>
      <c r="F386" s="85"/>
      <c r="G386" s="85"/>
    </row>
    <row r="387" spans="4:7" ht="13.5">
      <c r="D387" s="11"/>
      <c r="E387" s="86"/>
      <c r="F387" s="85"/>
      <c r="G387" s="85"/>
    </row>
    <row r="388" spans="4:7" ht="13.5">
      <c r="D388" s="11"/>
      <c r="E388" s="86"/>
      <c r="F388" s="85"/>
      <c r="G388" s="85"/>
    </row>
    <row r="389" spans="4:7" ht="13.5">
      <c r="D389" s="11"/>
      <c r="E389" s="86"/>
      <c r="F389" s="85"/>
      <c r="G389" s="85"/>
    </row>
    <row r="390" spans="4:7" ht="13.5">
      <c r="D390" s="11"/>
      <c r="E390" s="86"/>
      <c r="F390" s="85"/>
      <c r="G390" s="85"/>
    </row>
    <row r="391" spans="4:7" ht="13.5">
      <c r="D391" s="11"/>
      <c r="E391" s="86"/>
      <c r="F391" s="85"/>
      <c r="G391" s="85"/>
    </row>
    <row r="392" spans="4:7" ht="13.5">
      <c r="D392" s="11"/>
      <c r="E392" s="86"/>
      <c r="F392" s="85"/>
      <c r="G392" s="85"/>
    </row>
    <row r="393" spans="4:7" ht="13.5">
      <c r="D393" s="11"/>
      <c r="E393" s="86"/>
      <c r="F393" s="85"/>
      <c r="G393" s="85"/>
    </row>
    <row r="394" spans="4:7" ht="13.5">
      <c r="D394" s="11"/>
      <c r="E394" s="86"/>
      <c r="F394" s="85"/>
      <c r="G394" s="85"/>
    </row>
    <row r="395" spans="4:7" ht="13.5">
      <c r="D395" s="11"/>
      <c r="E395" s="86"/>
      <c r="F395" s="85"/>
      <c r="G395" s="85"/>
    </row>
    <row r="396" spans="4:7" ht="13.5">
      <c r="D396" s="11"/>
      <c r="E396" s="86"/>
      <c r="F396" s="85"/>
      <c r="G396" s="85"/>
    </row>
    <row r="397" spans="4:7" ht="13.5">
      <c r="D397" s="11"/>
      <c r="E397" s="86"/>
      <c r="F397" s="85"/>
      <c r="G397" s="85"/>
    </row>
    <row r="398" spans="4:7" ht="13.5">
      <c r="D398" s="11"/>
      <c r="E398" s="86"/>
      <c r="F398" s="85"/>
      <c r="G398" s="85"/>
    </row>
    <row r="399" spans="4:7" ht="13.5">
      <c r="D399" s="11"/>
      <c r="E399" s="86"/>
      <c r="F399" s="85"/>
      <c r="G399" s="85"/>
    </row>
    <row r="400" spans="4:7" ht="13.5">
      <c r="D400" s="11"/>
      <c r="E400" s="86"/>
      <c r="F400" s="85"/>
      <c r="G400" s="85"/>
    </row>
    <row r="401" spans="4:7" ht="13.5">
      <c r="D401" s="11"/>
      <c r="E401" s="86"/>
      <c r="F401" s="85"/>
      <c r="G401" s="85"/>
    </row>
    <row r="402" spans="4:7" ht="13.5">
      <c r="D402" s="11"/>
      <c r="E402" s="86"/>
      <c r="F402" s="85"/>
      <c r="G402" s="85"/>
    </row>
    <row r="403" spans="4:7" ht="13.5">
      <c r="D403" s="11"/>
      <c r="E403" s="86"/>
      <c r="F403" s="85"/>
      <c r="G403" s="85"/>
    </row>
    <row r="404" spans="4:7" ht="13.5">
      <c r="D404" s="11"/>
      <c r="E404" s="86"/>
      <c r="F404" s="85"/>
      <c r="G404" s="85"/>
    </row>
    <row r="405" spans="4:7" ht="13.5">
      <c r="D405" s="11"/>
      <c r="E405" s="86"/>
      <c r="F405" s="85"/>
      <c r="G405" s="85"/>
    </row>
    <row r="406" spans="4:7" ht="13.5">
      <c r="D406" s="11"/>
      <c r="E406" s="86"/>
      <c r="F406" s="85"/>
      <c r="G406" s="85"/>
    </row>
    <row r="407" spans="4:7" ht="13.5">
      <c r="D407" s="11"/>
      <c r="E407" s="86"/>
      <c r="F407" s="85"/>
      <c r="G407" s="85"/>
    </row>
    <row r="408" spans="4:7" ht="13.5">
      <c r="D408" s="11"/>
      <c r="E408" s="86"/>
      <c r="F408" s="85"/>
      <c r="G408" s="85"/>
    </row>
    <row r="409" spans="4:7" ht="13.5">
      <c r="D409" s="11"/>
      <c r="E409" s="86"/>
      <c r="F409" s="85"/>
      <c r="G409" s="85"/>
    </row>
    <row r="410" spans="4:7" ht="13.5">
      <c r="D410" s="11"/>
      <c r="E410" s="86"/>
      <c r="F410" s="85"/>
      <c r="G410" s="85"/>
    </row>
    <row r="411" spans="4:7" ht="13.5">
      <c r="D411" s="11"/>
      <c r="E411" s="86"/>
      <c r="F411" s="85"/>
      <c r="G411" s="85"/>
    </row>
    <row r="412" spans="4:7" ht="13.5">
      <c r="D412" s="11"/>
      <c r="E412" s="86"/>
      <c r="F412" s="85"/>
      <c r="G412" s="85"/>
    </row>
    <row r="413" spans="4:7" ht="13.5">
      <c r="D413" s="11"/>
      <c r="E413" s="86"/>
      <c r="F413" s="85"/>
      <c r="G413" s="85"/>
    </row>
    <row r="414" spans="4:7" ht="13.5">
      <c r="D414" s="11"/>
      <c r="E414" s="86"/>
      <c r="F414" s="85"/>
      <c r="G414" s="85"/>
    </row>
    <row r="415" spans="4:7" ht="13.5">
      <c r="D415" s="11"/>
      <c r="E415" s="86"/>
      <c r="F415" s="85"/>
      <c r="G415" s="85"/>
    </row>
    <row r="416" spans="4:7" ht="13.5">
      <c r="D416" s="11"/>
      <c r="E416" s="86"/>
      <c r="F416" s="85"/>
      <c r="G416" s="85"/>
    </row>
    <row r="417" spans="4:7" ht="13.5">
      <c r="D417" s="11"/>
      <c r="E417" s="86"/>
      <c r="F417" s="85"/>
      <c r="G417" s="85"/>
    </row>
    <row r="418" spans="4:7" ht="13.5">
      <c r="D418" s="11"/>
      <c r="E418" s="86"/>
      <c r="F418" s="85"/>
      <c r="G418" s="85"/>
    </row>
    <row r="419" spans="4:7" ht="13.5">
      <c r="D419" s="11"/>
      <c r="E419" s="86"/>
      <c r="F419" s="85"/>
      <c r="G419" s="85"/>
    </row>
    <row r="420" spans="4:7" ht="13.5">
      <c r="D420" s="11"/>
      <c r="E420" s="86"/>
      <c r="F420" s="85"/>
      <c r="G420" s="85"/>
    </row>
    <row r="421" spans="4:7" ht="13.5">
      <c r="D421" s="11"/>
      <c r="E421" s="86"/>
      <c r="F421" s="85"/>
      <c r="G421" s="85"/>
    </row>
    <row r="422" spans="4:7" ht="13.5">
      <c r="D422" s="11"/>
      <c r="E422" s="86"/>
      <c r="F422" s="85"/>
      <c r="G422" s="85"/>
    </row>
    <row r="423" spans="4:7" ht="13.5">
      <c r="D423" s="11"/>
      <c r="E423" s="86"/>
      <c r="F423" s="85"/>
      <c r="G423" s="85"/>
    </row>
    <row r="424" spans="4:7" ht="13.5">
      <c r="D424" s="11"/>
      <c r="E424" s="86"/>
      <c r="F424" s="85"/>
      <c r="G424" s="85"/>
    </row>
    <row r="425" spans="4:7" ht="13.5">
      <c r="D425" s="11"/>
      <c r="E425" s="86"/>
      <c r="F425" s="85"/>
      <c r="G425" s="85"/>
    </row>
    <row r="426" spans="4:7" ht="13.5">
      <c r="D426" s="11"/>
      <c r="E426" s="86"/>
      <c r="F426" s="85"/>
      <c r="G426" s="85"/>
    </row>
    <row r="427" spans="4:7" ht="13.5">
      <c r="D427" s="11"/>
      <c r="E427" s="86"/>
      <c r="F427" s="85"/>
      <c r="G427" s="85"/>
    </row>
    <row r="428" spans="4:7" ht="13.5">
      <c r="D428" s="11"/>
      <c r="E428" s="86"/>
      <c r="F428" s="85"/>
      <c r="G428" s="85"/>
    </row>
    <row r="429" spans="4:7" ht="13.5">
      <c r="D429" s="11"/>
      <c r="E429" s="86"/>
      <c r="F429" s="85"/>
      <c r="G429" s="85"/>
    </row>
    <row r="430" spans="4:7" ht="13.5">
      <c r="D430" s="11"/>
      <c r="E430" s="86"/>
      <c r="F430" s="85"/>
      <c r="G430" s="85"/>
    </row>
    <row r="431" spans="4:7" ht="13.5">
      <c r="D431" s="11"/>
      <c r="E431" s="86"/>
      <c r="F431" s="85"/>
      <c r="G431" s="85"/>
    </row>
    <row r="432" spans="4:7" ht="13.5">
      <c r="D432" s="11"/>
      <c r="E432" s="86"/>
      <c r="F432" s="85"/>
      <c r="G432" s="85"/>
    </row>
    <row r="433" spans="4:7" ht="13.5">
      <c r="D433" s="11"/>
      <c r="E433" s="86"/>
      <c r="F433" s="85"/>
      <c r="G433" s="85"/>
    </row>
    <row r="434" spans="4:7" ht="13.5">
      <c r="D434" s="11"/>
      <c r="E434" s="86"/>
      <c r="F434" s="85"/>
      <c r="G434" s="85"/>
    </row>
    <row r="435" spans="4:7" ht="13.5">
      <c r="D435" s="11"/>
      <c r="E435" s="86"/>
      <c r="F435" s="85"/>
      <c r="G435" s="85"/>
    </row>
    <row r="436" spans="4:7" ht="13.5">
      <c r="D436" s="11"/>
      <c r="E436" s="86"/>
      <c r="F436" s="85"/>
      <c r="G436" s="85"/>
    </row>
    <row r="437" spans="4:7" ht="13.5">
      <c r="D437" s="11"/>
      <c r="E437" s="86"/>
      <c r="F437" s="85"/>
      <c r="G437" s="85"/>
    </row>
    <row r="438" spans="4:7" ht="13.5">
      <c r="D438" s="11"/>
      <c r="E438" s="86"/>
      <c r="F438" s="85"/>
      <c r="G438" s="85"/>
    </row>
    <row r="439" spans="4:7" ht="13.5">
      <c r="D439" s="11"/>
      <c r="E439" s="86"/>
      <c r="F439" s="85"/>
      <c r="G439" s="85"/>
    </row>
    <row r="440" spans="4:7" ht="13.5">
      <c r="D440" s="11"/>
      <c r="E440" s="86"/>
      <c r="F440" s="85"/>
      <c r="G440" s="85"/>
    </row>
    <row r="441" spans="4:7" ht="13.5">
      <c r="D441" s="11"/>
      <c r="E441" s="86"/>
      <c r="F441" s="85"/>
      <c r="G441" s="85"/>
    </row>
    <row r="442" spans="4:7" ht="13.5">
      <c r="D442" s="11"/>
      <c r="E442" s="86"/>
      <c r="F442" s="85"/>
      <c r="G442" s="85"/>
    </row>
    <row r="443" spans="4:7" ht="13.5">
      <c r="D443" s="11"/>
      <c r="E443" s="86"/>
      <c r="F443" s="85"/>
      <c r="G443" s="85"/>
    </row>
    <row r="444" spans="4:7" ht="13.5">
      <c r="D444" s="11"/>
      <c r="E444" s="86"/>
      <c r="F444" s="85"/>
      <c r="G444" s="85"/>
    </row>
    <row r="445" spans="4:7" ht="13.5">
      <c r="D445" s="11"/>
      <c r="E445" s="86"/>
      <c r="F445" s="85"/>
      <c r="G445" s="85"/>
    </row>
    <row r="446" spans="4:7" ht="13.5">
      <c r="D446" s="11"/>
      <c r="E446" s="86"/>
      <c r="F446" s="85"/>
      <c r="G446" s="85"/>
    </row>
    <row r="447" spans="4:7" ht="13.5">
      <c r="D447" s="11"/>
      <c r="E447" s="86"/>
      <c r="F447" s="85"/>
      <c r="G447" s="85"/>
    </row>
    <row r="448" spans="4:7" ht="13.5">
      <c r="D448" s="11"/>
      <c r="E448" s="86"/>
      <c r="F448" s="85"/>
      <c r="G448" s="85"/>
    </row>
    <row r="449" spans="4:7" ht="13.5">
      <c r="D449" s="11"/>
      <c r="E449" s="86"/>
      <c r="F449" s="85"/>
      <c r="G449" s="85"/>
    </row>
    <row r="450" spans="4:7" ht="13.5">
      <c r="D450" s="11"/>
      <c r="E450" s="86"/>
      <c r="F450" s="85"/>
      <c r="G450" s="85"/>
    </row>
    <row r="451" spans="4:7" ht="13.5">
      <c r="D451" s="11"/>
      <c r="E451" s="86"/>
      <c r="F451" s="85"/>
      <c r="G451" s="85"/>
    </row>
    <row r="452" spans="4:7" ht="13.5">
      <c r="D452" s="11"/>
      <c r="E452" s="86"/>
      <c r="F452" s="85"/>
      <c r="G452" s="85"/>
    </row>
    <row r="453" spans="4:7" ht="13.5">
      <c r="D453" s="11"/>
      <c r="E453" s="86"/>
      <c r="F453" s="85"/>
      <c r="G453" s="85"/>
    </row>
    <row r="454" spans="4:7" ht="13.5">
      <c r="D454" s="11"/>
      <c r="E454" s="86"/>
      <c r="F454" s="85"/>
      <c r="G454" s="85"/>
    </row>
    <row r="455" spans="4:7" ht="13.5">
      <c r="D455" s="11"/>
      <c r="E455" s="86"/>
      <c r="F455" s="85"/>
      <c r="G455" s="85"/>
    </row>
    <row r="456" spans="4:7" ht="13.5">
      <c r="D456" s="11"/>
      <c r="E456" s="86"/>
      <c r="F456" s="85"/>
      <c r="G456" s="85"/>
    </row>
    <row r="457" spans="4:7" ht="13.5">
      <c r="D457" s="11"/>
      <c r="E457" s="86"/>
      <c r="F457" s="85"/>
      <c r="G457" s="85"/>
    </row>
    <row r="458" spans="4:7" ht="13.5">
      <c r="D458" s="11"/>
      <c r="E458" s="86"/>
      <c r="F458" s="85"/>
      <c r="G458" s="85"/>
    </row>
    <row r="459" spans="4:7" ht="13.5">
      <c r="D459" s="11"/>
      <c r="E459" s="86"/>
      <c r="F459" s="85"/>
      <c r="G459" s="85"/>
    </row>
    <row r="460" spans="4:7" ht="13.5">
      <c r="D460" s="11"/>
      <c r="E460" s="86"/>
      <c r="F460" s="85"/>
      <c r="G460" s="85"/>
    </row>
    <row r="461" spans="4:7" ht="13.5">
      <c r="D461" s="11"/>
      <c r="E461" s="86"/>
      <c r="F461" s="85"/>
      <c r="G461" s="85"/>
    </row>
    <row r="462" spans="4:7" ht="13.5">
      <c r="D462" s="11"/>
      <c r="E462" s="86"/>
      <c r="F462" s="85"/>
      <c r="G462" s="85"/>
    </row>
    <row r="463" spans="4:7" ht="13.5">
      <c r="D463" s="11"/>
      <c r="E463" s="86"/>
      <c r="F463" s="85"/>
      <c r="G463" s="85"/>
    </row>
    <row r="464" spans="4:7" ht="13.5">
      <c r="D464" s="11"/>
      <c r="E464" s="86"/>
      <c r="F464" s="85"/>
      <c r="G464" s="85"/>
    </row>
    <row r="465" spans="4:7" ht="13.5">
      <c r="D465" s="11"/>
      <c r="E465" s="86"/>
      <c r="F465" s="85"/>
      <c r="G465" s="85"/>
    </row>
    <row r="466" spans="4:7" ht="13.5">
      <c r="D466" s="11"/>
      <c r="E466" s="86"/>
      <c r="F466" s="85"/>
      <c r="G466" s="85"/>
    </row>
    <row r="467" spans="4:7" ht="13.5">
      <c r="D467" s="11"/>
      <c r="E467" s="86"/>
      <c r="F467" s="85"/>
      <c r="G467" s="85"/>
    </row>
    <row r="468" spans="4:7" ht="13.5">
      <c r="D468" s="11"/>
      <c r="E468" s="86"/>
      <c r="F468" s="85"/>
      <c r="G468" s="85"/>
    </row>
    <row r="469" spans="4:7" ht="13.5">
      <c r="D469" s="11"/>
      <c r="E469" s="86"/>
      <c r="F469" s="85"/>
      <c r="G469" s="85"/>
    </row>
    <row r="470" spans="4:7" ht="13.5">
      <c r="D470" s="11"/>
      <c r="E470" s="86"/>
      <c r="F470" s="85"/>
      <c r="G470" s="85"/>
    </row>
    <row r="471" spans="4:7" ht="13.5">
      <c r="D471" s="11"/>
      <c r="E471" s="86"/>
      <c r="F471" s="85"/>
      <c r="G471" s="85"/>
    </row>
    <row r="472" spans="4:7" ht="13.5">
      <c r="D472" s="11"/>
      <c r="E472" s="86"/>
      <c r="F472" s="85"/>
      <c r="G472" s="85"/>
    </row>
    <row r="473" spans="4:7" ht="13.5">
      <c r="D473" s="11"/>
      <c r="E473" s="86"/>
      <c r="F473" s="85"/>
      <c r="G473" s="85"/>
    </row>
    <row r="474" spans="4:7" ht="13.5">
      <c r="D474" s="11"/>
      <c r="E474" s="86"/>
      <c r="F474" s="85"/>
      <c r="G474" s="85"/>
    </row>
    <row r="475" spans="4:7" ht="13.5">
      <c r="D475" s="11"/>
      <c r="E475" s="86"/>
      <c r="F475" s="85"/>
      <c r="G475" s="85"/>
    </row>
    <row r="476" spans="4:7" ht="13.5">
      <c r="D476" s="11"/>
      <c r="E476" s="86"/>
      <c r="F476" s="85"/>
      <c r="G476" s="85"/>
    </row>
    <row r="477" spans="4:7" ht="13.5">
      <c r="D477" s="11"/>
      <c r="E477" s="86"/>
      <c r="F477" s="85"/>
      <c r="G477" s="85"/>
    </row>
    <row r="478" spans="4:7" ht="13.5">
      <c r="D478" s="11"/>
      <c r="E478" s="86"/>
      <c r="F478" s="85"/>
      <c r="G478" s="85"/>
    </row>
    <row r="479" spans="4:7" ht="13.5">
      <c r="D479" s="11"/>
      <c r="E479" s="86"/>
      <c r="F479" s="85"/>
      <c r="G479" s="85"/>
    </row>
    <row r="480" spans="4:7" ht="13.5">
      <c r="D480" s="11"/>
      <c r="E480" s="86"/>
      <c r="F480" s="85"/>
      <c r="G480" s="85"/>
    </row>
    <row r="481" spans="4:7" ht="13.5">
      <c r="D481" s="11"/>
      <c r="E481" s="86"/>
      <c r="F481" s="85"/>
      <c r="G481" s="85"/>
    </row>
    <row r="482" spans="4:7" ht="13.5">
      <c r="D482" s="11"/>
      <c r="E482" s="86"/>
      <c r="F482" s="85"/>
      <c r="G482" s="85"/>
    </row>
    <row r="483" spans="4:7" ht="13.5">
      <c r="D483" s="11"/>
      <c r="E483" s="86"/>
      <c r="F483" s="85"/>
      <c r="G483" s="85"/>
    </row>
    <row r="484" spans="4:7" ht="13.5">
      <c r="D484" s="11"/>
      <c r="E484" s="86"/>
      <c r="F484" s="85"/>
      <c r="G484" s="85"/>
    </row>
    <row r="485" spans="4:7" ht="13.5">
      <c r="D485" s="11"/>
      <c r="E485" s="86"/>
      <c r="F485" s="85"/>
      <c r="G485" s="85"/>
    </row>
    <row r="486" spans="4:7" ht="13.5">
      <c r="D486" s="11"/>
      <c r="E486" s="86"/>
      <c r="F486" s="85"/>
      <c r="G486" s="85"/>
    </row>
    <row r="487" spans="4:7" ht="13.5">
      <c r="D487" s="11"/>
      <c r="E487" s="86"/>
      <c r="F487" s="85"/>
      <c r="G487" s="85"/>
    </row>
    <row r="488" spans="4:7" ht="13.5">
      <c r="D488" s="11"/>
      <c r="E488" s="86"/>
      <c r="F488" s="85"/>
      <c r="G488" s="85"/>
    </row>
    <row r="489" spans="4:7" ht="13.5">
      <c r="D489" s="11"/>
      <c r="E489" s="86"/>
      <c r="F489" s="85"/>
      <c r="G489" s="85"/>
    </row>
    <row r="490" spans="4:7" ht="13.5">
      <c r="D490" s="11"/>
      <c r="E490" s="86"/>
      <c r="F490" s="85"/>
      <c r="G490" s="85"/>
    </row>
    <row r="491" spans="4:7" ht="13.5">
      <c r="D491" s="11"/>
      <c r="E491" s="86"/>
      <c r="F491" s="85"/>
      <c r="G491" s="85"/>
    </row>
    <row r="492" spans="4:7" ht="13.5">
      <c r="D492" s="11"/>
      <c r="E492" s="86"/>
      <c r="F492" s="85"/>
      <c r="G492" s="85"/>
    </row>
    <row r="493" spans="4:7" ht="13.5">
      <c r="D493" s="11"/>
      <c r="E493" s="86"/>
      <c r="F493" s="85"/>
      <c r="G493" s="85"/>
    </row>
    <row r="494" spans="4:7" ht="13.5">
      <c r="D494" s="11"/>
      <c r="E494" s="86"/>
      <c r="F494" s="85"/>
      <c r="G494" s="85"/>
    </row>
    <row r="495" spans="4:7" ht="13.5">
      <c r="D495" s="11"/>
      <c r="E495" s="86"/>
      <c r="F495" s="85"/>
      <c r="G495" s="85"/>
    </row>
    <row r="496" spans="4:7" ht="13.5">
      <c r="D496" s="11"/>
      <c r="E496" s="86"/>
      <c r="F496" s="85"/>
      <c r="G496" s="85"/>
    </row>
    <row r="497" spans="4:7" ht="13.5">
      <c r="D497" s="11"/>
      <c r="E497" s="86"/>
      <c r="F497" s="85"/>
      <c r="G497" s="85"/>
    </row>
    <row r="498" spans="4:7" ht="13.5">
      <c r="D498" s="11"/>
      <c r="E498" s="86"/>
      <c r="F498" s="85"/>
      <c r="G498" s="85"/>
    </row>
    <row r="499" spans="4:7" ht="13.5">
      <c r="D499" s="11"/>
      <c r="E499" s="86"/>
      <c r="F499" s="85"/>
      <c r="G499" s="85"/>
    </row>
    <row r="500" spans="4:7" ht="13.5">
      <c r="D500" s="11"/>
      <c r="E500" s="86"/>
      <c r="F500" s="85"/>
      <c r="G500" s="85"/>
    </row>
    <row r="501" spans="4:7" ht="13.5">
      <c r="D501" s="11"/>
      <c r="E501" s="86"/>
      <c r="F501" s="85"/>
      <c r="G501" s="85"/>
    </row>
    <row r="502" spans="4:7" ht="13.5">
      <c r="D502" s="11"/>
      <c r="E502" s="86"/>
      <c r="F502" s="85"/>
      <c r="G502" s="85"/>
    </row>
    <row r="503" spans="4:7" ht="13.5">
      <c r="D503" s="11"/>
      <c r="E503" s="86"/>
      <c r="F503" s="85"/>
      <c r="G503" s="85"/>
    </row>
    <row r="504" spans="4:7" ht="13.5">
      <c r="D504" s="11"/>
      <c r="E504" s="86"/>
      <c r="F504" s="85"/>
      <c r="G504" s="85"/>
    </row>
    <row r="505" spans="4:7" ht="13.5">
      <c r="D505" s="11"/>
      <c r="E505" s="86"/>
      <c r="F505" s="85"/>
      <c r="G505" s="85"/>
    </row>
    <row r="506" spans="4:7" ht="13.5">
      <c r="D506" s="11"/>
      <c r="E506" s="86"/>
      <c r="F506" s="85"/>
      <c r="G506" s="85"/>
    </row>
    <row r="507" spans="4:7" ht="13.5">
      <c r="D507" s="11"/>
      <c r="E507" s="86"/>
      <c r="F507" s="85"/>
      <c r="G507" s="85"/>
    </row>
    <row r="508" spans="4:7" ht="13.5">
      <c r="D508" s="11"/>
      <c r="E508" s="86"/>
      <c r="F508" s="85"/>
      <c r="G508" s="85"/>
    </row>
    <row r="509" spans="4:7" ht="13.5">
      <c r="D509" s="11"/>
      <c r="E509" s="86"/>
      <c r="F509" s="85"/>
      <c r="G509" s="85"/>
    </row>
    <row r="510" spans="4:7" ht="13.5">
      <c r="D510" s="11"/>
      <c r="E510" s="86"/>
      <c r="F510" s="85"/>
      <c r="G510" s="85"/>
    </row>
    <row r="511" spans="4:7" ht="13.5">
      <c r="D511" s="11"/>
      <c r="E511" s="86"/>
      <c r="F511" s="85"/>
      <c r="G511" s="85"/>
    </row>
    <row r="512" spans="4:7" ht="13.5">
      <c r="D512" s="11"/>
      <c r="E512" s="86"/>
      <c r="F512" s="85"/>
      <c r="G512" s="85"/>
    </row>
    <row r="513" spans="4:7" ht="13.5">
      <c r="D513" s="11"/>
      <c r="E513" s="86"/>
      <c r="F513" s="85"/>
      <c r="G513" s="85"/>
    </row>
    <row r="514" spans="4:7" ht="13.5">
      <c r="D514" s="11"/>
      <c r="E514" s="86"/>
      <c r="F514" s="85"/>
      <c r="G514" s="85"/>
    </row>
    <row r="515" spans="4:7" ht="13.5">
      <c r="D515" s="11"/>
      <c r="E515" s="86"/>
      <c r="F515" s="85"/>
      <c r="G515" s="85"/>
    </row>
    <row r="516" spans="4:7" ht="13.5">
      <c r="D516" s="11"/>
      <c r="E516" s="86"/>
      <c r="F516" s="85"/>
      <c r="G516" s="85"/>
    </row>
    <row r="517" spans="4:7" ht="13.5">
      <c r="D517" s="11"/>
      <c r="E517" s="86"/>
      <c r="F517" s="85"/>
      <c r="G517" s="85"/>
    </row>
    <row r="518" spans="4:7" ht="13.5">
      <c r="D518" s="11"/>
      <c r="E518" s="86"/>
      <c r="F518" s="85"/>
      <c r="G518" s="85"/>
    </row>
    <row r="519" spans="4:7" ht="13.5">
      <c r="D519" s="11"/>
      <c r="E519" s="86"/>
      <c r="F519" s="85"/>
      <c r="G519" s="85"/>
    </row>
    <row r="520" spans="4:7" ht="13.5">
      <c r="D520" s="11"/>
      <c r="E520" s="86"/>
      <c r="F520" s="85"/>
      <c r="G520" s="85"/>
    </row>
    <row r="521" spans="4:7" ht="13.5">
      <c r="D521" s="11"/>
      <c r="E521" s="86"/>
      <c r="F521" s="85"/>
      <c r="G521" s="85"/>
    </row>
    <row r="522" spans="4:7" ht="13.5">
      <c r="D522" s="11"/>
      <c r="E522" s="86"/>
      <c r="F522" s="85"/>
      <c r="G522" s="85"/>
    </row>
    <row r="523" spans="4:7" ht="13.5">
      <c r="D523" s="11"/>
      <c r="E523" s="86"/>
      <c r="F523" s="85"/>
      <c r="G523" s="85"/>
    </row>
    <row r="524" spans="4:7" ht="13.5">
      <c r="D524" s="11"/>
      <c r="E524" s="86"/>
      <c r="F524" s="85"/>
      <c r="G524" s="85"/>
    </row>
    <row r="525" spans="4:7" ht="13.5">
      <c r="D525" s="11"/>
      <c r="E525" s="86"/>
      <c r="F525" s="85"/>
      <c r="G525" s="85"/>
    </row>
    <row r="526" spans="4:7" ht="13.5">
      <c r="D526" s="11"/>
      <c r="E526" s="86"/>
      <c r="F526" s="85"/>
      <c r="G526" s="85"/>
    </row>
    <row r="527" spans="4:7" ht="13.5">
      <c r="D527" s="11"/>
      <c r="E527" s="86"/>
      <c r="F527" s="85"/>
      <c r="G527" s="85"/>
    </row>
    <row r="528" spans="4:7" ht="13.5">
      <c r="D528" s="11"/>
      <c r="E528" s="86"/>
      <c r="F528" s="85"/>
      <c r="G528" s="85"/>
    </row>
    <row r="529" spans="4:7" ht="13.5">
      <c r="D529" s="11"/>
      <c r="E529" s="86"/>
      <c r="F529" s="85"/>
      <c r="G529" s="85"/>
    </row>
    <row r="530" spans="4:7" ht="13.5">
      <c r="D530" s="11"/>
      <c r="E530" s="86"/>
      <c r="F530" s="85"/>
      <c r="G530" s="85"/>
    </row>
    <row r="531" spans="4:7" ht="13.5">
      <c r="D531" s="11"/>
      <c r="E531" s="86"/>
      <c r="F531" s="85"/>
      <c r="G531" s="85"/>
    </row>
    <row r="532" spans="4:7" ht="13.5">
      <c r="D532" s="11"/>
      <c r="E532" s="86"/>
      <c r="F532" s="85"/>
      <c r="G532" s="85"/>
    </row>
    <row r="533" spans="4:7" ht="13.5">
      <c r="D533" s="11"/>
      <c r="E533" s="86"/>
      <c r="F533" s="85"/>
      <c r="G533" s="85"/>
    </row>
    <row r="534" spans="4:7" ht="13.5">
      <c r="D534" s="11"/>
      <c r="E534" s="86"/>
      <c r="F534" s="85"/>
      <c r="G534" s="85"/>
    </row>
    <row r="535" spans="4:7" ht="13.5">
      <c r="D535" s="11"/>
      <c r="E535" s="86"/>
      <c r="F535" s="85"/>
      <c r="G535" s="85"/>
    </row>
    <row r="536" spans="4:7" ht="13.5">
      <c r="D536" s="11"/>
      <c r="E536" s="86"/>
      <c r="F536" s="85"/>
      <c r="G536" s="85"/>
    </row>
    <row r="537" spans="4:7" ht="13.5">
      <c r="D537" s="11"/>
      <c r="E537" s="86"/>
      <c r="F537" s="85"/>
      <c r="G537" s="85"/>
    </row>
    <row r="538" spans="4:7" ht="13.5">
      <c r="D538" s="11"/>
      <c r="E538" s="86"/>
      <c r="F538" s="85"/>
      <c r="G538" s="85"/>
    </row>
    <row r="539" spans="4:7" ht="13.5">
      <c r="D539" s="11"/>
      <c r="E539" s="86"/>
      <c r="F539" s="85"/>
      <c r="G539" s="85"/>
    </row>
    <row r="540" spans="4:7" ht="13.5">
      <c r="D540" s="11"/>
      <c r="E540" s="86"/>
      <c r="F540" s="85"/>
      <c r="G540" s="85"/>
    </row>
    <row r="541" spans="4:7" ht="13.5">
      <c r="D541" s="11"/>
      <c r="E541" s="86"/>
      <c r="F541" s="85"/>
      <c r="G541" s="85"/>
    </row>
    <row r="542" spans="4:7" ht="13.5">
      <c r="D542" s="11"/>
      <c r="E542" s="86"/>
      <c r="F542" s="85"/>
      <c r="G542" s="85"/>
    </row>
    <row r="543" spans="4:7" ht="13.5">
      <c r="D543" s="11"/>
      <c r="E543" s="86"/>
      <c r="F543" s="85"/>
      <c r="G543" s="85"/>
    </row>
    <row r="544" spans="4:7" ht="13.5">
      <c r="D544" s="11"/>
      <c r="E544" s="86"/>
      <c r="F544" s="85"/>
      <c r="G544" s="85"/>
    </row>
    <row r="545" spans="4:7" ht="13.5">
      <c r="D545" s="11"/>
      <c r="E545" s="86"/>
      <c r="F545" s="85"/>
      <c r="G545" s="85"/>
    </row>
    <row r="546" spans="4:7" ht="13.5">
      <c r="D546" s="11"/>
      <c r="E546" s="86"/>
      <c r="F546" s="85"/>
      <c r="G546" s="85"/>
    </row>
    <row r="547" spans="4:7" ht="13.5">
      <c r="D547" s="11"/>
      <c r="E547" s="86"/>
      <c r="F547" s="85"/>
      <c r="G547" s="85"/>
    </row>
    <row r="548" spans="4:7" ht="13.5">
      <c r="D548" s="11"/>
      <c r="E548" s="86"/>
      <c r="F548" s="85"/>
      <c r="G548" s="85"/>
    </row>
    <row r="549" spans="4:7" ht="13.5">
      <c r="D549" s="11"/>
      <c r="E549" s="86"/>
      <c r="F549" s="85"/>
      <c r="G549" s="85"/>
    </row>
    <row r="550" spans="4:7" ht="13.5">
      <c r="D550" s="11"/>
      <c r="E550" s="86"/>
      <c r="F550" s="85"/>
      <c r="G550" s="85"/>
    </row>
    <row r="551" spans="4:7" ht="13.5">
      <c r="D551" s="11"/>
      <c r="E551" s="86"/>
      <c r="F551" s="85"/>
      <c r="G551" s="85"/>
    </row>
    <row r="552" spans="4:7" ht="13.5">
      <c r="D552" s="11"/>
      <c r="E552" s="86"/>
      <c r="F552" s="85"/>
      <c r="G552" s="85"/>
    </row>
    <row r="553" spans="4:7" ht="13.5">
      <c r="D553" s="11"/>
      <c r="E553" s="86"/>
      <c r="F553" s="85"/>
      <c r="G553" s="85"/>
    </row>
    <row r="554" spans="4:7" ht="13.5">
      <c r="D554" s="11"/>
      <c r="E554" s="86"/>
      <c r="F554" s="85"/>
      <c r="G554" s="85"/>
    </row>
    <row r="555" spans="4:7" ht="13.5">
      <c r="D555" s="11"/>
      <c r="E555" s="86"/>
      <c r="F555" s="85"/>
      <c r="G555" s="85"/>
    </row>
    <row r="556" spans="4:7" ht="13.5">
      <c r="D556" s="11"/>
      <c r="E556" s="86"/>
      <c r="F556" s="85"/>
      <c r="G556" s="85"/>
    </row>
    <row r="557" spans="4:7" ht="13.5">
      <c r="D557" s="11"/>
      <c r="E557" s="86"/>
      <c r="F557" s="85"/>
      <c r="G557" s="85"/>
    </row>
    <row r="558" spans="4:7" ht="13.5">
      <c r="D558" s="11"/>
      <c r="E558" s="86"/>
      <c r="F558" s="85"/>
      <c r="G558" s="85"/>
    </row>
    <row r="559" spans="4:7" ht="13.5">
      <c r="D559" s="11"/>
      <c r="E559" s="86"/>
      <c r="F559" s="85"/>
      <c r="G559" s="85"/>
    </row>
    <row r="560" spans="4:7" ht="13.5">
      <c r="D560" s="11"/>
      <c r="E560" s="86"/>
      <c r="F560" s="85"/>
      <c r="G560" s="85"/>
    </row>
    <row r="561" spans="4:7" ht="13.5">
      <c r="D561" s="11"/>
      <c r="E561" s="86"/>
      <c r="F561" s="85"/>
      <c r="G561" s="85"/>
    </row>
    <row r="562" spans="4:7" ht="13.5">
      <c r="D562" s="11"/>
      <c r="E562" s="86"/>
      <c r="F562" s="85"/>
      <c r="G562" s="85"/>
    </row>
    <row r="563" spans="4:7" ht="13.5">
      <c r="D563" s="11"/>
      <c r="E563" s="86"/>
      <c r="F563" s="85"/>
      <c r="G563" s="85"/>
    </row>
    <row r="564" spans="4:7" ht="13.5">
      <c r="D564" s="11"/>
      <c r="E564" s="86"/>
      <c r="F564" s="85"/>
      <c r="G564" s="85"/>
    </row>
    <row r="565" spans="4:7" ht="13.5">
      <c r="D565" s="11"/>
      <c r="E565" s="86"/>
      <c r="F565" s="85"/>
      <c r="G565" s="85"/>
    </row>
    <row r="566" spans="4:7" ht="13.5">
      <c r="D566" s="11"/>
      <c r="E566" s="86"/>
      <c r="F566" s="85"/>
      <c r="G566" s="85"/>
    </row>
    <row r="567" spans="4:7" ht="13.5">
      <c r="D567" s="11"/>
      <c r="E567" s="86"/>
      <c r="F567" s="85"/>
      <c r="G567" s="85"/>
    </row>
    <row r="568" spans="4:7" ht="13.5">
      <c r="D568" s="11"/>
      <c r="E568" s="86"/>
      <c r="F568" s="85"/>
      <c r="G568" s="85"/>
    </row>
    <row r="569" spans="4:7" ht="13.5">
      <c r="D569" s="11"/>
      <c r="E569" s="86"/>
      <c r="F569" s="85"/>
      <c r="G569" s="85"/>
    </row>
    <row r="570" spans="4:7" ht="13.5">
      <c r="D570" s="11"/>
      <c r="E570" s="86"/>
      <c r="F570" s="85"/>
      <c r="G570" s="85"/>
    </row>
    <row r="571" spans="4:7" ht="13.5">
      <c r="D571" s="11"/>
      <c r="E571" s="86"/>
      <c r="F571" s="85"/>
      <c r="G571" s="85"/>
    </row>
    <row r="572" spans="4:7" ht="13.5">
      <c r="D572" s="11"/>
      <c r="E572" s="86"/>
      <c r="F572" s="85"/>
      <c r="G572" s="85"/>
    </row>
    <row r="573" spans="4:7" ht="13.5">
      <c r="D573" s="11"/>
      <c r="E573" s="86"/>
      <c r="F573" s="85"/>
      <c r="G573" s="85"/>
    </row>
    <row r="574" spans="4:7" ht="13.5">
      <c r="D574" s="11"/>
      <c r="E574" s="86"/>
      <c r="F574" s="85"/>
      <c r="G574" s="85"/>
    </row>
    <row r="575" spans="4:7" ht="13.5">
      <c r="D575" s="11"/>
      <c r="E575" s="86"/>
      <c r="F575" s="85"/>
      <c r="G575" s="85"/>
    </row>
    <row r="576" spans="4:7" ht="13.5">
      <c r="D576" s="11"/>
      <c r="E576" s="86"/>
      <c r="F576" s="85"/>
      <c r="G576" s="85"/>
    </row>
    <row r="577" spans="4:7" ht="13.5">
      <c r="D577" s="11"/>
      <c r="E577" s="86"/>
      <c r="F577" s="85"/>
      <c r="G577" s="85"/>
    </row>
    <row r="578" spans="4:7" ht="13.5">
      <c r="D578" s="11"/>
      <c r="E578" s="86"/>
      <c r="F578" s="85"/>
      <c r="G578" s="85"/>
    </row>
    <row r="579" spans="4:7" ht="13.5">
      <c r="D579" s="11"/>
      <c r="E579" s="86"/>
      <c r="F579" s="85"/>
      <c r="G579" s="85"/>
    </row>
    <row r="580" spans="4:7" ht="13.5">
      <c r="D580" s="11"/>
      <c r="E580" s="86"/>
      <c r="F580" s="85"/>
      <c r="G580" s="85"/>
    </row>
    <row r="581" spans="4:7" ht="13.5">
      <c r="D581" s="11"/>
      <c r="E581" s="86"/>
      <c r="F581" s="85"/>
      <c r="G581" s="85"/>
    </row>
    <row r="582" spans="4:7" ht="13.5">
      <c r="D582" s="11"/>
      <c r="E582" s="86"/>
      <c r="F582" s="85"/>
      <c r="G582" s="85"/>
    </row>
    <row r="583" spans="4:7" ht="13.5">
      <c r="D583" s="11"/>
      <c r="E583" s="86"/>
      <c r="F583" s="85"/>
      <c r="G583" s="85"/>
    </row>
    <row r="584" spans="4:7" ht="13.5">
      <c r="D584" s="11"/>
      <c r="E584" s="86"/>
      <c r="F584" s="85"/>
      <c r="G584" s="85"/>
    </row>
    <row r="585" spans="4:7" ht="13.5">
      <c r="D585" s="11"/>
      <c r="E585" s="86"/>
      <c r="F585" s="85"/>
      <c r="G585" s="85"/>
    </row>
    <row r="586" spans="4:7" ht="13.5">
      <c r="D586" s="11"/>
      <c r="E586" s="86"/>
      <c r="F586" s="85"/>
      <c r="G586" s="85"/>
    </row>
    <row r="587" spans="4:7" ht="13.5">
      <c r="D587" s="11"/>
      <c r="E587" s="86"/>
      <c r="F587" s="85"/>
      <c r="G587" s="85"/>
    </row>
    <row r="588" spans="4:7" ht="13.5">
      <c r="D588" s="11"/>
      <c r="E588" s="86"/>
      <c r="F588" s="85"/>
      <c r="G588" s="85"/>
    </row>
    <row r="589" spans="4:7" ht="13.5">
      <c r="D589" s="11"/>
      <c r="E589" s="86"/>
      <c r="F589" s="85"/>
      <c r="G589" s="85"/>
    </row>
    <row r="590" spans="4:7" ht="13.5">
      <c r="D590" s="11"/>
      <c r="E590" s="86"/>
      <c r="F590" s="85"/>
      <c r="G590" s="85"/>
    </row>
    <row r="591" spans="4:7" ht="13.5">
      <c r="D591" s="11"/>
      <c r="E591" s="86"/>
      <c r="F591" s="85"/>
      <c r="G591" s="85"/>
    </row>
    <row r="592" spans="4:7" ht="13.5">
      <c r="D592" s="11"/>
      <c r="E592" s="86"/>
      <c r="F592" s="85"/>
      <c r="G592" s="85"/>
    </row>
    <row r="593" spans="4:7" ht="13.5">
      <c r="D593" s="11"/>
      <c r="E593" s="86"/>
      <c r="F593" s="85"/>
      <c r="G593" s="85"/>
    </row>
    <row r="594" spans="4:7" ht="13.5">
      <c r="D594" s="11"/>
      <c r="E594" s="86"/>
      <c r="F594" s="85"/>
      <c r="G594" s="85"/>
    </row>
    <row r="595" spans="4:7" ht="13.5">
      <c r="D595" s="11"/>
      <c r="E595" s="86"/>
      <c r="F595" s="85"/>
      <c r="G595" s="85"/>
    </row>
    <row r="596" spans="4:7" ht="13.5">
      <c r="D596" s="11"/>
      <c r="E596" s="86"/>
      <c r="F596" s="85"/>
      <c r="G596" s="85"/>
    </row>
    <row r="597" spans="4:7" ht="13.5">
      <c r="D597" s="11"/>
      <c r="E597" s="86"/>
      <c r="F597" s="85"/>
      <c r="G597" s="85"/>
    </row>
    <row r="598" spans="4:7" ht="13.5">
      <c r="D598" s="11"/>
      <c r="E598" s="86"/>
      <c r="F598" s="85"/>
      <c r="G598" s="85"/>
    </row>
    <row r="599" spans="4:7" ht="13.5">
      <c r="D599" s="11"/>
      <c r="E599" s="86"/>
      <c r="F599" s="85"/>
      <c r="G599" s="85"/>
    </row>
    <row r="600" spans="4:7" ht="13.5">
      <c r="D600" s="11"/>
      <c r="E600" s="86"/>
      <c r="F600" s="85"/>
      <c r="G600" s="85"/>
    </row>
    <row r="601" spans="4:7" ht="13.5">
      <c r="D601" s="11"/>
      <c r="E601" s="86"/>
      <c r="F601" s="85"/>
      <c r="G601" s="85"/>
    </row>
    <row r="602" spans="4:7" ht="13.5">
      <c r="D602" s="11"/>
      <c r="E602" s="86"/>
      <c r="F602" s="85"/>
      <c r="G602" s="85"/>
    </row>
    <row r="603" spans="4:7" ht="13.5">
      <c r="D603" s="11"/>
      <c r="E603" s="86"/>
      <c r="F603" s="85"/>
      <c r="G603" s="85"/>
    </row>
    <row r="604" spans="4:7" ht="13.5">
      <c r="D604" s="11"/>
      <c r="E604" s="86"/>
      <c r="F604" s="85"/>
      <c r="G604" s="85"/>
    </row>
    <row r="605" spans="4:7" ht="13.5">
      <c r="D605" s="11"/>
      <c r="E605" s="86"/>
      <c r="F605" s="85"/>
      <c r="G605" s="85"/>
    </row>
    <row r="606" spans="4:7" ht="13.5">
      <c r="D606" s="11"/>
      <c r="E606" s="86"/>
      <c r="F606" s="85"/>
      <c r="G606" s="85"/>
    </row>
    <row r="607" spans="4:7" ht="13.5">
      <c r="D607" s="11"/>
      <c r="E607" s="86"/>
      <c r="F607" s="85"/>
      <c r="G607" s="85"/>
    </row>
    <row r="608" spans="4:7" ht="13.5">
      <c r="D608" s="11"/>
      <c r="E608" s="86"/>
      <c r="F608" s="85"/>
      <c r="G608" s="85"/>
    </row>
    <row r="609" spans="4:7" ht="13.5">
      <c r="D609" s="11"/>
      <c r="E609" s="86"/>
      <c r="F609" s="85"/>
      <c r="G609" s="85"/>
    </row>
    <row r="610" spans="4:7" ht="13.5">
      <c r="D610" s="11"/>
      <c r="E610" s="86"/>
      <c r="F610" s="85"/>
      <c r="G610" s="85"/>
    </row>
    <row r="611" spans="4:7" ht="13.5">
      <c r="D611" s="11"/>
      <c r="E611" s="86"/>
      <c r="F611" s="85"/>
      <c r="G611" s="85"/>
    </row>
    <row r="612" spans="4:7" ht="13.5">
      <c r="D612" s="11"/>
      <c r="E612" s="86"/>
      <c r="F612" s="85"/>
      <c r="G612" s="85"/>
    </row>
    <row r="613" spans="4:7" ht="13.5">
      <c r="D613" s="11"/>
      <c r="E613" s="86"/>
      <c r="F613" s="85"/>
      <c r="G613" s="85"/>
    </row>
    <row r="614" spans="4:7" ht="13.5">
      <c r="D614" s="11"/>
      <c r="E614" s="86"/>
      <c r="F614" s="85"/>
      <c r="G614" s="85"/>
    </row>
    <row r="615" spans="4:7" ht="13.5">
      <c r="D615" s="11"/>
      <c r="E615" s="86"/>
      <c r="F615" s="85"/>
      <c r="G615" s="85"/>
    </row>
    <row r="616" spans="4:7" ht="13.5">
      <c r="D616" s="11"/>
      <c r="E616" s="86"/>
      <c r="F616" s="85"/>
      <c r="G616" s="85"/>
    </row>
    <row r="617" spans="4:7" ht="13.5">
      <c r="D617" s="11"/>
      <c r="E617" s="86"/>
      <c r="F617" s="85"/>
      <c r="G617" s="85"/>
    </row>
    <row r="618" spans="4:7" ht="13.5">
      <c r="D618" s="11"/>
      <c r="E618" s="86"/>
      <c r="F618" s="85"/>
      <c r="G618" s="85"/>
    </row>
    <row r="619" spans="4:7" ht="13.5">
      <c r="D619" s="11"/>
      <c r="E619" s="86"/>
      <c r="F619" s="85"/>
      <c r="G619" s="85"/>
    </row>
    <row r="620" spans="4:7" ht="13.5">
      <c r="D620" s="11"/>
      <c r="E620" s="86"/>
      <c r="F620" s="85"/>
      <c r="G620" s="85"/>
    </row>
    <row r="621" spans="4:7" ht="13.5">
      <c r="D621" s="11"/>
      <c r="E621" s="86"/>
      <c r="F621" s="85"/>
      <c r="G621" s="85"/>
    </row>
    <row r="622" spans="4:7" ht="13.5">
      <c r="D622" s="11"/>
      <c r="E622" s="86"/>
      <c r="F622" s="85"/>
      <c r="G622" s="85"/>
    </row>
    <row r="623" spans="4:7" ht="13.5">
      <c r="D623" s="11"/>
      <c r="E623" s="86"/>
      <c r="F623" s="85"/>
      <c r="G623" s="85"/>
    </row>
    <row r="624" spans="4:7" ht="13.5">
      <c r="D624" s="11"/>
      <c r="E624" s="86"/>
      <c r="F624" s="85"/>
      <c r="G624" s="85"/>
    </row>
    <row r="625" spans="4:7" ht="13.5">
      <c r="D625" s="11"/>
      <c r="E625" s="86"/>
      <c r="F625" s="85"/>
      <c r="G625" s="85"/>
    </row>
    <row r="626" spans="4:7" ht="13.5">
      <c r="D626" s="11"/>
      <c r="E626" s="86"/>
      <c r="F626" s="85"/>
      <c r="G626" s="85"/>
    </row>
    <row r="627" spans="4:7" ht="13.5">
      <c r="D627" s="11"/>
      <c r="E627" s="86"/>
      <c r="F627" s="85"/>
      <c r="G627" s="85"/>
    </row>
    <row r="628" spans="4:7" ht="13.5">
      <c r="D628" s="11"/>
      <c r="E628" s="86"/>
      <c r="F628" s="85"/>
      <c r="G628" s="85"/>
    </row>
    <row r="629" spans="4:7" ht="13.5">
      <c r="D629" s="11"/>
      <c r="E629" s="86"/>
      <c r="F629" s="85"/>
      <c r="G629" s="85"/>
    </row>
    <row r="630" spans="4:7" ht="13.5">
      <c r="D630" s="11"/>
      <c r="E630" s="86"/>
      <c r="F630" s="85"/>
      <c r="G630" s="85"/>
    </row>
    <row r="631" spans="4:7" ht="13.5">
      <c r="D631" s="11"/>
      <c r="E631" s="86"/>
      <c r="F631" s="85"/>
      <c r="G631" s="85"/>
    </row>
    <row r="632" spans="4:7" ht="13.5">
      <c r="D632" s="11"/>
      <c r="E632" s="86"/>
      <c r="F632" s="85"/>
      <c r="G632" s="85"/>
    </row>
    <row r="633" spans="4:7" ht="13.5">
      <c r="D633" s="11"/>
      <c r="E633" s="86"/>
      <c r="F633" s="85"/>
      <c r="G633" s="85"/>
    </row>
    <row r="634" spans="4:7" ht="13.5">
      <c r="D634" s="11"/>
      <c r="E634" s="86"/>
      <c r="F634" s="85"/>
      <c r="G634" s="85"/>
    </row>
    <row r="635" spans="4:7" ht="13.5">
      <c r="D635" s="11"/>
      <c r="E635" s="86"/>
      <c r="F635" s="85"/>
      <c r="G635" s="85"/>
    </row>
    <row r="636" spans="4:7" ht="13.5">
      <c r="D636" s="11"/>
      <c r="E636" s="86"/>
      <c r="F636" s="85"/>
      <c r="G636" s="85"/>
    </row>
    <row r="637" spans="4:7" ht="13.5">
      <c r="D637" s="11"/>
      <c r="E637" s="86"/>
      <c r="F637" s="85"/>
      <c r="G637" s="85"/>
    </row>
    <row r="638" spans="4:7" ht="13.5">
      <c r="D638" s="11"/>
      <c r="E638" s="86"/>
      <c r="F638" s="85"/>
      <c r="G638" s="85"/>
    </row>
    <row r="639" spans="4:7" ht="13.5">
      <c r="D639" s="11"/>
      <c r="E639" s="86"/>
      <c r="F639" s="85"/>
      <c r="G639" s="85"/>
    </row>
    <row r="640" spans="4:7" ht="13.5">
      <c r="D640" s="11"/>
      <c r="E640" s="86"/>
      <c r="F640" s="85"/>
      <c r="G640" s="85"/>
    </row>
    <row r="641" spans="4:7" ht="13.5">
      <c r="D641" s="11"/>
      <c r="E641" s="86"/>
      <c r="F641" s="85"/>
      <c r="G641" s="85"/>
    </row>
    <row r="642" spans="4:7" ht="13.5">
      <c r="D642" s="11"/>
      <c r="E642" s="86"/>
      <c r="F642" s="85"/>
      <c r="G642" s="85"/>
    </row>
    <row r="643" spans="4:7" ht="13.5">
      <c r="D643" s="11"/>
      <c r="E643" s="86"/>
      <c r="F643" s="85"/>
      <c r="G643" s="85"/>
    </row>
    <row r="644" spans="4:7" ht="13.5">
      <c r="D644" s="11"/>
      <c r="E644" s="86"/>
      <c r="F644" s="85"/>
      <c r="G644" s="85"/>
    </row>
    <row r="645" spans="4:7" ht="13.5">
      <c r="D645" s="11"/>
      <c r="E645" s="86"/>
      <c r="F645" s="85"/>
      <c r="G645" s="85"/>
    </row>
    <row r="646" spans="4:7" ht="13.5">
      <c r="D646" s="11"/>
      <c r="E646" s="86"/>
      <c r="F646" s="85"/>
      <c r="G646" s="85"/>
    </row>
    <row r="647" spans="4:7" ht="13.5">
      <c r="D647" s="11"/>
      <c r="E647" s="86"/>
      <c r="F647" s="85"/>
      <c r="G647" s="85"/>
    </row>
    <row r="648" spans="4:7" ht="13.5">
      <c r="D648" s="11"/>
      <c r="E648" s="86"/>
      <c r="F648" s="85"/>
      <c r="G648" s="85"/>
    </row>
    <row r="649" spans="4:7" ht="13.5">
      <c r="D649" s="11"/>
      <c r="E649" s="86"/>
      <c r="F649" s="85"/>
      <c r="G649" s="85"/>
    </row>
    <row r="650" spans="4:7" ht="13.5">
      <c r="D650" s="11"/>
      <c r="E650" s="86"/>
      <c r="F650" s="85"/>
      <c r="G650" s="85"/>
    </row>
    <row r="651" spans="4:7" ht="13.5">
      <c r="D651" s="11"/>
      <c r="E651" s="86"/>
      <c r="F651" s="85"/>
      <c r="G651" s="85"/>
    </row>
    <row r="652" spans="4:7" ht="13.5">
      <c r="D652" s="11"/>
      <c r="E652" s="86"/>
      <c r="F652" s="85"/>
      <c r="G652" s="85"/>
    </row>
    <row r="653" spans="4:7" ht="13.5">
      <c r="D653" s="11"/>
      <c r="E653" s="86"/>
      <c r="F653" s="85"/>
      <c r="G653" s="85"/>
    </row>
    <row r="654" spans="4:7" ht="13.5">
      <c r="D654" s="11"/>
      <c r="E654" s="86"/>
      <c r="F654" s="85"/>
      <c r="G654" s="85"/>
    </row>
    <row r="655" spans="4:7" ht="13.5">
      <c r="D655" s="11"/>
      <c r="E655" s="86"/>
      <c r="F655" s="85"/>
      <c r="G655" s="85"/>
    </row>
    <row r="656" spans="4:7" ht="13.5">
      <c r="D656" s="11"/>
      <c r="E656" s="86"/>
      <c r="F656" s="85"/>
      <c r="G656" s="85"/>
    </row>
    <row r="657" spans="4:7" ht="13.5">
      <c r="D657" s="11"/>
      <c r="E657" s="86"/>
      <c r="F657" s="85"/>
      <c r="G657" s="85"/>
    </row>
    <row r="658" spans="4:7" ht="13.5">
      <c r="D658" s="11"/>
      <c r="E658" s="86"/>
      <c r="F658" s="85"/>
      <c r="G658" s="85"/>
    </row>
    <row r="659" spans="4:7" ht="13.5">
      <c r="D659" s="11"/>
      <c r="E659" s="86"/>
      <c r="F659" s="85"/>
      <c r="G659" s="85"/>
    </row>
    <row r="660" spans="4:7" ht="13.5">
      <c r="D660" s="11"/>
      <c r="E660" s="86"/>
      <c r="F660" s="85"/>
      <c r="G660" s="85"/>
    </row>
    <row r="661" spans="4:7" ht="13.5">
      <c r="D661" s="11"/>
      <c r="E661" s="86"/>
      <c r="F661" s="85"/>
      <c r="G661" s="85"/>
    </row>
    <row r="662" spans="4:7" ht="13.5">
      <c r="D662" s="11"/>
      <c r="E662" s="86"/>
      <c r="F662" s="85"/>
      <c r="G662" s="85"/>
    </row>
    <row r="663" spans="4:7" ht="13.5">
      <c r="D663" s="11"/>
      <c r="E663" s="86"/>
      <c r="F663" s="85"/>
      <c r="G663" s="85"/>
    </row>
    <row r="664" spans="4:7" ht="13.5">
      <c r="D664" s="11"/>
      <c r="E664" s="86"/>
      <c r="F664" s="85"/>
      <c r="G664" s="85"/>
    </row>
    <row r="665" spans="4:7" ht="13.5">
      <c r="D665" s="11"/>
      <c r="E665" s="86"/>
      <c r="F665" s="85"/>
      <c r="G665" s="85"/>
    </row>
    <row r="666" spans="4:7" ht="13.5">
      <c r="D666" s="11"/>
      <c r="E666" s="86"/>
      <c r="F666" s="85"/>
      <c r="G666" s="85"/>
    </row>
    <row r="667" spans="4:7" ht="13.5">
      <c r="D667" s="11"/>
      <c r="E667" s="86"/>
      <c r="F667" s="85"/>
      <c r="G667" s="85"/>
    </row>
    <row r="668" spans="4:7" ht="13.5">
      <c r="D668" s="11"/>
      <c r="E668" s="86"/>
      <c r="F668" s="85"/>
      <c r="G668" s="85"/>
    </row>
    <row r="669" spans="4:7" ht="13.5">
      <c r="D669" s="11"/>
      <c r="E669" s="86"/>
      <c r="F669" s="85"/>
      <c r="G669" s="85"/>
    </row>
    <row r="670" spans="4:7" ht="13.5">
      <c r="D670" s="11"/>
      <c r="E670" s="86"/>
      <c r="F670" s="85"/>
      <c r="G670" s="85"/>
    </row>
    <row r="671" spans="4:7" ht="13.5">
      <c r="D671" s="11"/>
      <c r="E671" s="86"/>
      <c r="F671" s="85"/>
      <c r="G671" s="85"/>
    </row>
    <row r="672" spans="4:7" ht="13.5">
      <c r="D672" s="11"/>
      <c r="E672" s="86"/>
      <c r="F672" s="85"/>
      <c r="G672" s="85"/>
    </row>
    <row r="673" spans="4:7" ht="13.5">
      <c r="D673" s="11"/>
      <c r="E673" s="86"/>
      <c r="F673" s="85"/>
      <c r="G673" s="85"/>
    </row>
    <row r="674" spans="4:7" ht="13.5">
      <c r="D674" s="11"/>
      <c r="E674" s="86"/>
      <c r="F674" s="85"/>
      <c r="G674" s="85"/>
    </row>
    <row r="675" spans="4:7" ht="13.5">
      <c r="D675" s="11"/>
      <c r="E675" s="86"/>
      <c r="F675" s="85"/>
      <c r="G675" s="85"/>
    </row>
    <row r="676" spans="4:7" ht="13.5">
      <c r="D676" s="11"/>
      <c r="E676" s="86"/>
      <c r="F676" s="85"/>
      <c r="G676" s="85"/>
    </row>
    <row r="677" spans="4:7" ht="13.5">
      <c r="D677" s="11"/>
      <c r="E677" s="86"/>
      <c r="F677" s="85"/>
      <c r="G677" s="85"/>
    </row>
    <row r="678" spans="4:7" ht="13.5">
      <c r="D678" s="11"/>
      <c r="E678" s="86"/>
      <c r="F678" s="85"/>
      <c r="G678" s="85"/>
    </row>
    <row r="679" spans="4:7" ht="13.5">
      <c r="D679" s="11"/>
      <c r="E679" s="86"/>
      <c r="F679" s="85"/>
      <c r="G679" s="85"/>
    </row>
    <row r="680" spans="4:7" ht="13.5">
      <c r="D680" s="11"/>
      <c r="E680" s="86"/>
      <c r="F680" s="85"/>
      <c r="G680" s="85"/>
    </row>
    <row r="681" spans="4:7" ht="13.5">
      <c r="D681" s="11"/>
      <c r="E681" s="86"/>
      <c r="F681" s="85"/>
      <c r="G681" s="85"/>
    </row>
    <row r="682" spans="4:7" ht="13.5">
      <c r="D682" s="11"/>
      <c r="E682" s="86"/>
      <c r="F682" s="85"/>
      <c r="G682" s="85"/>
    </row>
    <row r="683" spans="4:7" ht="13.5">
      <c r="D683" s="11"/>
      <c r="E683" s="86"/>
      <c r="F683" s="85"/>
      <c r="G683" s="85"/>
    </row>
    <row r="684" spans="4:7" ht="13.5">
      <c r="D684" s="11"/>
      <c r="E684" s="86"/>
      <c r="F684" s="85"/>
      <c r="G684" s="85"/>
    </row>
    <row r="685" spans="4:7" ht="13.5">
      <c r="D685" s="11"/>
      <c r="E685" s="86"/>
      <c r="F685" s="85"/>
      <c r="G685" s="85"/>
    </row>
    <row r="686" spans="4:7" ht="13.5">
      <c r="D686" s="11"/>
      <c r="E686" s="86"/>
      <c r="F686" s="85"/>
      <c r="G686" s="85"/>
    </row>
    <row r="687" spans="4:7" ht="13.5">
      <c r="D687" s="11"/>
      <c r="E687" s="86"/>
      <c r="F687" s="85"/>
      <c r="G687" s="85"/>
    </row>
    <row r="688" spans="4:7" ht="13.5">
      <c r="D688" s="11"/>
      <c r="E688" s="86"/>
      <c r="F688" s="85"/>
      <c r="G688" s="85"/>
    </row>
    <row r="689" spans="4:7" ht="13.5">
      <c r="D689" s="11"/>
      <c r="E689" s="86"/>
      <c r="F689" s="85"/>
      <c r="G689" s="85"/>
    </row>
    <row r="690" spans="4:7" ht="13.5">
      <c r="D690" s="11"/>
      <c r="E690" s="86"/>
      <c r="F690" s="85"/>
      <c r="G690" s="85"/>
    </row>
    <row r="691" spans="4:7" ht="13.5">
      <c r="D691" s="11"/>
      <c r="E691" s="86"/>
      <c r="F691" s="85"/>
      <c r="G691" s="85"/>
    </row>
    <row r="692" spans="4:7" ht="13.5">
      <c r="D692" s="11"/>
      <c r="E692" s="86"/>
      <c r="F692" s="85"/>
      <c r="G692" s="85"/>
    </row>
    <row r="693" spans="4:7" ht="13.5">
      <c r="D693" s="11"/>
      <c r="E693" s="86"/>
      <c r="F693" s="85"/>
      <c r="G693" s="85"/>
    </row>
    <row r="694" spans="4:7" ht="13.5">
      <c r="D694" s="11"/>
      <c r="E694" s="86"/>
      <c r="F694" s="85"/>
      <c r="G694" s="85"/>
    </row>
    <row r="695" spans="4:7" ht="13.5">
      <c r="D695" s="11"/>
      <c r="E695" s="86"/>
      <c r="F695" s="85"/>
      <c r="G695" s="85"/>
    </row>
    <row r="696" spans="4:7" ht="13.5">
      <c r="D696" s="11"/>
      <c r="E696" s="86"/>
      <c r="F696" s="85"/>
      <c r="G696" s="85"/>
    </row>
    <row r="697" spans="4:7" ht="13.5">
      <c r="D697" s="11"/>
      <c r="E697" s="86"/>
      <c r="F697" s="85"/>
      <c r="G697" s="85"/>
    </row>
    <row r="698" spans="4:7" ht="13.5">
      <c r="D698" s="11"/>
      <c r="E698" s="86"/>
      <c r="F698" s="85"/>
      <c r="G698" s="85"/>
    </row>
    <row r="699" spans="4:7" ht="13.5">
      <c r="D699" s="11"/>
      <c r="E699" s="86"/>
      <c r="F699" s="85"/>
      <c r="G699" s="85"/>
    </row>
    <row r="700" spans="4:7" ht="13.5">
      <c r="D700" s="11"/>
      <c r="E700" s="86"/>
      <c r="F700" s="85"/>
      <c r="G700" s="85"/>
    </row>
    <row r="701" spans="4:7" ht="13.5">
      <c r="D701" s="11"/>
      <c r="E701" s="86"/>
      <c r="F701" s="85"/>
      <c r="G701" s="85"/>
    </row>
    <row r="702" spans="4:7" ht="13.5">
      <c r="D702" s="11"/>
      <c r="E702" s="86"/>
      <c r="F702" s="85"/>
      <c r="G702" s="85"/>
    </row>
    <row r="703" spans="4:7" ht="13.5">
      <c r="D703" s="11"/>
      <c r="E703" s="86"/>
      <c r="F703" s="85"/>
      <c r="G703" s="85"/>
    </row>
    <row r="704" spans="4:7" ht="13.5">
      <c r="D704" s="11"/>
      <c r="E704" s="86"/>
      <c r="F704" s="85"/>
      <c r="G704" s="85"/>
    </row>
    <row r="705" spans="4:7" ht="13.5">
      <c r="D705" s="11"/>
      <c r="E705" s="86"/>
      <c r="F705" s="85"/>
      <c r="G705" s="85"/>
    </row>
    <row r="706" spans="4:7" ht="13.5">
      <c r="D706" s="11"/>
      <c r="E706" s="86"/>
      <c r="F706" s="85"/>
      <c r="G706" s="85"/>
    </row>
    <row r="707" spans="4:7" ht="13.5">
      <c r="D707" s="11"/>
      <c r="E707" s="86"/>
      <c r="F707" s="85"/>
      <c r="G707" s="85"/>
    </row>
    <row r="708" spans="4:7" ht="13.5">
      <c r="D708" s="11"/>
      <c r="E708" s="86"/>
      <c r="F708" s="85"/>
      <c r="G708" s="85"/>
    </row>
    <row r="709" spans="4:7" ht="13.5">
      <c r="D709" s="11"/>
      <c r="E709" s="86"/>
      <c r="F709" s="85"/>
      <c r="G709" s="85"/>
    </row>
    <row r="710" spans="4:7" ht="13.5">
      <c r="D710" s="11"/>
      <c r="E710" s="86"/>
      <c r="F710" s="85"/>
      <c r="G710" s="85"/>
    </row>
    <row r="711" spans="4:7" ht="13.5">
      <c r="D711" s="11"/>
      <c r="E711" s="86"/>
      <c r="F711" s="85"/>
      <c r="G711" s="85"/>
    </row>
    <row r="712" spans="4:7" ht="13.5">
      <c r="D712" s="11"/>
      <c r="E712" s="86"/>
      <c r="F712" s="85"/>
      <c r="G712" s="85"/>
    </row>
    <row r="713" spans="4:7" ht="13.5">
      <c r="D713" s="11"/>
      <c r="E713" s="86"/>
      <c r="F713" s="85"/>
      <c r="G713" s="85"/>
    </row>
    <row r="714" spans="4:7" ht="13.5">
      <c r="D714" s="11"/>
      <c r="E714" s="86"/>
      <c r="F714" s="85"/>
      <c r="G714" s="85"/>
    </row>
    <row r="715" spans="4:7" ht="13.5">
      <c r="D715" s="11"/>
      <c r="E715" s="86"/>
      <c r="F715" s="85"/>
      <c r="G715" s="85"/>
    </row>
    <row r="716" spans="4:7" ht="13.5">
      <c r="D716" s="11"/>
      <c r="E716" s="86"/>
      <c r="F716" s="85"/>
      <c r="G716" s="85"/>
    </row>
    <row r="717" spans="4:7" ht="13.5">
      <c r="D717" s="11"/>
      <c r="E717" s="86"/>
      <c r="F717" s="85"/>
      <c r="G717" s="85"/>
    </row>
    <row r="718" spans="4:7" ht="13.5">
      <c r="D718" s="11"/>
      <c r="E718" s="86"/>
      <c r="F718" s="85"/>
      <c r="G718" s="85"/>
    </row>
    <row r="719" spans="4:7" ht="13.5">
      <c r="D719" s="11"/>
      <c r="E719" s="86"/>
      <c r="F719" s="85"/>
      <c r="G719" s="85"/>
    </row>
    <row r="720" spans="4:7" ht="13.5">
      <c r="D720" s="11"/>
      <c r="E720" s="86"/>
      <c r="F720" s="85"/>
      <c r="G720" s="85"/>
    </row>
    <row r="721" spans="4:7" ht="13.5">
      <c r="D721" s="11"/>
      <c r="E721" s="86"/>
      <c r="F721" s="85"/>
      <c r="G721" s="85"/>
    </row>
    <row r="722" spans="4:7" ht="13.5">
      <c r="D722" s="11"/>
      <c r="E722" s="86"/>
      <c r="F722" s="85"/>
      <c r="G722" s="85"/>
    </row>
    <row r="723" spans="4:7" ht="13.5">
      <c r="D723" s="11"/>
      <c r="E723" s="86"/>
      <c r="F723" s="85"/>
      <c r="G723" s="85"/>
    </row>
    <row r="724" spans="4:7" ht="13.5">
      <c r="D724" s="11"/>
      <c r="E724" s="86"/>
      <c r="F724" s="85"/>
      <c r="G724" s="85"/>
    </row>
    <row r="725" spans="4:7" ht="13.5">
      <c r="D725" s="11"/>
      <c r="E725" s="86"/>
      <c r="F725" s="85"/>
      <c r="G725" s="85"/>
    </row>
    <row r="726" spans="4:7" ht="13.5">
      <c r="D726" s="11"/>
      <c r="E726" s="86"/>
      <c r="F726" s="85"/>
      <c r="G726" s="85"/>
    </row>
    <row r="727" spans="4:7" ht="13.5">
      <c r="D727" s="11"/>
      <c r="E727" s="86"/>
      <c r="F727" s="85"/>
      <c r="G727" s="85"/>
    </row>
    <row r="728" spans="4:7" ht="13.5">
      <c r="D728" s="11"/>
      <c r="E728" s="86"/>
      <c r="F728" s="85"/>
      <c r="G728" s="85"/>
    </row>
    <row r="729" spans="4:7" ht="13.5">
      <c r="D729" s="11"/>
      <c r="E729" s="86"/>
      <c r="F729" s="85"/>
      <c r="G729" s="85"/>
    </row>
    <row r="730" spans="4:7" ht="13.5">
      <c r="D730" s="11"/>
      <c r="E730" s="86"/>
      <c r="F730" s="85"/>
      <c r="G730" s="85"/>
    </row>
    <row r="731" spans="4:7" ht="13.5">
      <c r="D731" s="11"/>
      <c r="E731" s="86"/>
      <c r="F731" s="85"/>
      <c r="G731" s="85"/>
    </row>
    <row r="732" spans="4:7" ht="13.5">
      <c r="D732" s="11"/>
      <c r="E732" s="86"/>
      <c r="F732" s="85"/>
      <c r="G732" s="85"/>
    </row>
    <row r="733" spans="4:7" ht="13.5">
      <c r="D733" s="11"/>
      <c r="E733" s="86"/>
      <c r="F733" s="85"/>
      <c r="G733" s="85"/>
    </row>
    <row r="734" spans="4:7" ht="13.5">
      <c r="D734" s="11"/>
      <c r="E734" s="86"/>
      <c r="F734" s="85"/>
      <c r="G734" s="85"/>
    </row>
    <row r="735" spans="4:7" ht="13.5">
      <c r="D735" s="11"/>
      <c r="E735" s="86"/>
      <c r="F735" s="85"/>
      <c r="G735" s="85"/>
    </row>
    <row r="736" spans="4:7" ht="13.5">
      <c r="D736" s="11"/>
      <c r="E736" s="86"/>
      <c r="F736" s="85"/>
      <c r="G736" s="85"/>
    </row>
    <row r="737" spans="4:7" ht="13.5">
      <c r="D737" s="11"/>
      <c r="E737" s="86"/>
      <c r="F737" s="85"/>
      <c r="G737" s="85"/>
    </row>
    <row r="738" spans="4:7" ht="13.5">
      <c r="D738" s="11"/>
      <c r="E738" s="86"/>
      <c r="F738" s="85"/>
      <c r="G738" s="85"/>
    </row>
    <row r="739" spans="4:7" ht="13.5">
      <c r="D739" s="11"/>
      <c r="E739" s="86"/>
      <c r="F739" s="85"/>
      <c r="G739" s="85"/>
    </row>
    <row r="740" spans="4:7" ht="13.5">
      <c r="D740" s="11"/>
      <c r="E740" s="86"/>
      <c r="F740" s="85"/>
      <c r="G740" s="85"/>
    </row>
    <row r="741" spans="4:7" ht="13.5">
      <c r="D741" s="11"/>
      <c r="E741" s="86"/>
      <c r="F741" s="85"/>
      <c r="G741" s="85"/>
    </row>
    <row r="742" spans="4:7" ht="13.5">
      <c r="D742" s="11"/>
      <c r="E742" s="86"/>
      <c r="F742" s="85"/>
      <c r="G742" s="85"/>
    </row>
    <row r="743" spans="4:7" ht="13.5">
      <c r="D743" s="11"/>
      <c r="E743" s="86"/>
      <c r="F743" s="85"/>
      <c r="G743" s="85"/>
    </row>
    <row r="744" spans="4:7" ht="13.5">
      <c r="D744" s="11"/>
      <c r="E744" s="86"/>
      <c r="F744" s="85"/>
      <c r="G744" s="85"/>
    </row>
    <row r="745" spans="4:7" ht="13.5">
      <c r="D745" s="11"/>
      <c r="E745" s="86"/>
      <c r="F745" s="85"/>
      <c r="G745" s="85"/>
    </row>
    <row r="746" spans="4:7" ht="13.5">
      <c r="D746" s="11"/>
      <c r="E746" s="86"/>
      <c r="F746" s="85"/>
      <c r="G746" s="85"/>
    </row>
    <row r="747" spans="4:7" ht="13.5">
      <c r="D747" s="11"/>
      <c r="E747" s="86"/>
      <c r="F747" s="85"/>
      <c r="G747" s="85"/>
    </row>
    <row r="748" spans="4:7" ht="13.5">
      <c r="D748" s="11"/>
      <c r="E748" s="86"/>
      <c r="F748" s="85"/>
      <c r="G748" s="85"/>
    </row>
    <row r="749" spans="4:7" ht="13.5">
      <c r="D749" s="11"/>
      <c r="E749" s="86"/>
      <c r="F749" s="85"/>
      <c r="G749" s="85"/>
    </row>
    <row r="750" spans="4:7" ht="13.5">
      <c r="D750" s="11"/>
      <c r="E750" s="86"/>
      <c r="F750" s="85"/>
      <c r="G750" s="85"/>
    </row>
    <row r="751" spans="4:7" ht="13.5">
      <c r="D751" s="11"/>
      <c r="E751" s="86"/>
      <c r="F751" s="85"/>
      <c r="G751" s="85"/>
    </row>
    <row r="752" spans="4:7" ht="13.5">
      <c r="D752" s="11"/>
      <c r="E752" s="86"/>
      <c r="F752" s="85"/>
      <c r="G752" s="85"/>
    </row>
    <row r="753" spans="4:7" ht="13.5">
      <c r="D753" s="11"/>
      <c r="E753" s="86"/>
      <c r="F753" s="85"/>
      <c r="G753" s="85"/>
    </row>
    <row r="754" spans="4:7" ht="13.5">
      <c r="D754" s="11"/>
      <c r="E754" s="86"/>
      <c r="F754" s="85"/>
      <c r="G754" s="85"/>
    </row>
    <row r="755" spans="4:7" ht="13.5">
      <c r="D755" s="11"/>
      <c r="E755" s="86"/>
      <c r="F755" s="85"/>
      <c r="G755" s="85"/>
    </row>
    <row r="756" spans="4:7" ht="13.5">
      <c r="D756" s="11"/>
      <c r="E756" s="86"/>
      <c r="F756" s="85"/>
      <c r="G756" s="85"/>
    </row>
    <row r="757" spans="4:7" ht="13.5">
      <c r="D757" s="11"/>
      <c r="E757" s="86"/>
      <c r="F757" s="85"/>
      <c r="G757" s="85"/>
    </row>
    <row r="758" spans="4:7" ht="13.5">
      <c r="D758" s="11"/>
      <c r="E758" s="86"/>
      <c r="F758" s="85"/>
      <c r="G758" s="85"/>
    </row>
    <row r="759" spans="4:7" ht="13.5">
      <c r="D759" s="11"/>
      <c r="E759" s="86"/>
      <c r="F759" s="85"/>
      <c r="G759" s="85"/>
    </row>
    <row r="760" spans="4:7" ht="13.5">
      <c r="D760" s="11"/>
      <c r="E760" s="86"/>
      <c r="F760" s="85"/>
      <c r="G760" s="85"/>
    </row>
    <row r="761" spans="4:7" ht="13.5">
      <c r="D761" s="11"/>
      <c r="E761" s="86"/>
      <c r="F761" s="85"/>
      <c r="G761" s="85"/>
    </row>
    <row r="762" spans="4:7" ht="13.5">
      <c r="D762" s="11"/>
      <c r="E762" s="86"/>
      <c r="F762" s="85"/>
      <c r="G762" s="85"/>
    </row>
    <row r="763" spans="4:7" ht="13.5">
      <c r="D763" s="11"/>
      <c r="E763" s="86"/>
      <c r="F763" s="85"/>
      <c r="G763" s="85"/>
    </row>
    <row r="764" spans="4:7" ht="13.5">
      <c r="D764" s="11"/>
      <c r="E764" s="86"/>
      <c r="F764" s="85"/>
      <c r="G764" s="85"/>
    </row>
    <row r="765" spans="4:7" ht="13.5">
      <c r="D765" s="11"/>
      <c r="E765" s="86"/>
      <c r="F765" s="85"/>
      <c r="G765" s="85"/>
    </row>
    <row r="766" spans="4:7" ht="13.5">
      <c r="D766" s="11"/>
      <c r="E766" s="86"/>
      <c r="F766" s="85"/>
      <c r="G766" s="85"/>
    </row>
    <row r="767" spans="4:7" ht="13.5">
      <c r="D767" s="11"/>
      <c r="E767" s="86"/>
      <c r="F767" s="85"/>
      <c r="G767" s="85"/>
    </row>
    <row r="768" spans="4:7" ht="13.5">
      <c r="D768" s="11"/>
      <c r="E768" s="86"/>
      <c r="F768" s="85"/>
      <c r="G768" s="85"/>
    </row>
    <row r="769" spans="4:7" ht="13.5">
      <c r="D769" s="11"/>
      <c r="E769" s="86"/>
      <c r="F769" s="85"/>
      <c r="G769" s="85"/>
    </row>
    <row r="770" spans="4:7" ht="13.5">
      <c r="D770" s="11"/>
      <c r="E770" s="86"/>
      <c r="F770" s="85"/>
      <c r="G770" s="85"/>
    </row>
    <row r="771" spans="4:7" ht="13.5">
      <c r="D771" s="11"/>
      <c r="E771" s="86"/>
      <c r="F771" s="85"/>
      <c r="G771" s="85"/>
    </row>
    <row r="772" spans="4:7" ht="13.5">
      <c r="D772" s="11"/>
      <c r="E772" s="86"/>
      <c r="F772" s="85"/>
      <c r="G772" s="85"/>
    </row>
    <row r="773" spans="4:7" ht="13.5">
      <c r="D773" s="11"/>
      <c r="E773" s="86"/>
      <c r="F773" s="85"/>
      <c r="G773" s="85"/>
    </row>
    <row r="774" spans="4:7" ht="13.5">
      <c r="D774" s="11"/>
      <c r="E774" s="86"/>
      <c r="F774" s="85"/>
      <c r="G774" s="85"/>
    </row>
    <row r="775" spans="4:7" ht="13.5">
      <c r="D775" s="11"/>
      <c r="E775" s="86"/>
      <c r="F775" s="85"/>
      <c r="G775" s="85"/>
    </row>
    <row r="776" spans="4:7" ht="13.5">
      <c r="D776" s="11"/>
      <c r="E776" s="86"/>
      <c r="F776" s="85"/>
      <c r="G776" s="85"/>
    </row>
    <row r="777" spans="4:7" ht="13.5">
      <c r="D777" s="11"/>
      <c r="E777" s="86"/>
      <c r="F777" s="85"/>
      <c r="G777" s="85"/>
    </row>
    <row r="778" spans="4:7" ht="13.5">
      <c r="D778" s="11"/>
      <c r="E778" s="86"/>
      <c r="F778" s="85"/>
      <c r="G778" s="85"/>
    </row>
    <row r="779" spans="4:7" ht="13.5">
      <c r="D779" s="11"/>
      <c r="E779" s="86"/>
      <c r="F779" s="85"/>
      <c r="G779" s="85"/>
    </row>
    <row r="780" spans="4:7" ht="13.5">
      <c r="D780" s="11"/>
      <c r="E780" s="86"/>
      <c r="F780" s="85"/>
      <c r="G780" s="85"/>
    </row>
    <row r="781" spans="4:7" ht="13.5">
      <c r="D781" s="11"/>
      <c r="E781" s="86"/>
      <c r="F781" s="85"/>
      <c r="G781" s="85"/>
    </row>
    <row r="782" spans="4:7" ht="13.5">
      <c r="D782" s="11"/>
      <c r="E782" s="86"/>
      <c r="F782" s="85"/>
      <c r="G782" s="85"/>
    </row>
    <row r="783" spans="4:7" ht="13.5">
      <c r="D783" s="11"/>
      <c r="E783" s="86"/>
      <c r="F783" s="85"/>
      <c r="G783" s="85"/>
    </row>
    <row r="784" spans="4:7" ht="13.5">
      <c r="D784" s="11"/>
      <c r="E784" s="86"/>
      <c r="F784" s="85"/>
      <c r="G784" s="85"/>
    </row>
    <row r="785" spans="4:7" ht="13.5">
      <c r="D785" s="11"/>
      <c r="E785" s="86"/>
      <c r="F785" s="85"/>
      <c r="G785" s="85"/>
    </row>
    <row r="786" spans="4:7" ht="13.5">
      <c r="D786" s="11"/>
      <c r="E786" s="86"/>
      <c r="F786" s="85"/>
      <c r="G786" s="85"/>
    </row>
    <row r="787" spans="4:7" ht="13.5">
      <c r="D787" s="11"/>
      <c r="E787" s="86"/>
      <c r="F787" s="85"/>
      <c r="G787" s="85"/>
    </row>
    <row r="788" spans="4:7" ht="13.5">
      <c r="D788" s="11"/>
      <c r="E788" s="86"/>
      <c r="F788" s="85"/>
      <c r="G788" s="85"/>
    </row>
    <row r="789" spans="4:7" ht="13.5">
      <c r="D789" s="11"/>
      <c r="E789" s="86"/>
      <c r="F789" s="85"/>
      <c r="G789" s="85"/>
    </row>
    <row r="790" spans="4:7" ht="13.5">
      <c r="D790" s="11"/>
      <c r="E790" s="86"/>
      <c r="F790" s="85"/>
      <c r="G790" s="85"/>
    </row>
    <row r="791" spans="4:7" ht="13.5">
      <c r="D791" s="11"/>
      <c r="E791" s="86"/>
      <c r="F791" s="85"/>
      <c r="G791" s="85"/>
    </row>
    <row r="792" spans="4:7" ht="13.5">
      <c r="D792" s="11"/>
      <c r="E792" s="86"/>
      <c r="F792" s="85"/>
      <c r="G792" s="85"/>
    </row>
    <row r="793" spans="4:7" ht="13.5">
      <c r="D793" s="11"/>
      <c r="E793" s="86"/>
      <c r="F793" s="85"/>
      <c r="G793" s="85"/>
    </row>
    <row r="794" spans="4:7" ht="13.5">
      <c r="D794" s="11"/>
      <c r="E794" s="86"/>
      <c r="F794" s="85"/>
      <c r="G794" s="85"/>
    </row>
    <row r="795" spans="4:7" ht="13.5">
      <c r="D795" s="11"/>
      <c r="E795" s="86"/>
      <c r="F795" s="85"/>
      <c r="G795" s="85"/>
    </row>
    <row r="796" spans="4:7" ht="13.5">
      <c r="D796" s="11"/>
      <c r="E796" s="86"/>
      <c r="F796" s="85"/>
      <c r="G796" s="85"/>
    </row>
    <row r="797" spans="4:7" ht="13.5">
      <c r="D797" s="11"/>
      <c r="E797" s="86"/>
      <c r="F797" s="85"/>
      <c r="G797" s="85"/>
    </row>
    <row r="798" spans="4:7" ht="13.5">
      <c r="D798" s="11"/>
      <c r="E798" s="86"/>
      <c r="F798" s="85"/>
      <c r="G798" s="85"/>
    </row>
    <row r="799" spans="4:7" ht="13.5">
      <c r="D799" s="11"/>
      <c r="E799" s="86"/>
      <c r="F799" s="85"/>
      <c r="G799" s="85"/>
    </row>
    <row r="800" spans="4:7" ht="13.5">
      <c r="D800" s="11"/>
      <c r="E800" s="86"/>
      <c r="F800" s="85"/>
      <c r="G800" s="85"/>
    </row>
    <row r="801" spans="4:7" ht="13.5">
      <c r="D801" s="11"/>
      <c r="E801" s="86"/>
      <c r="F801" s="85"/>
      <c r="G801" s="85"/>
    </row>
    <row r="802" spans="4:7" ht="13.5">
      <c r="D802" s="11"/>
      <c r="E802" s="86"/>
      <c r="F802" s="85"/>
      <c r="G802" s="85"/>
    </row>
    <row r="803" spans="4:7" ht="13.5">
      <c r="D803" s="11"/>
      <c r="E803" s="86"/>
      <c r="F803" s="85"/>
      <c r="G803" s="85"/>
    </row>
    <row r="804" spans="4:7" ht="13.5">
      <c r="D804" s="11"/>
      <c r="E804" s="86"/>
      <c r="F804" s="85"/>
      <c r="G804" s="85"/>
    </row>
    <row r="805" spans="4:7" ht="13.5">
      <c r="D805" s="11"/>
      <c r="E805" s="86"/>
      <c r="F805" s="85"/>
      <c r="G805" s="85"/>
    </row>
    <row r="806" spans="4:7" ht="13.5">
      <c r="D806" s="11"/>
      <c r="E806" s="86"/>
      <c r="F806" s="85"/>
      <c r="G806" s="85"/>
    </row>
    <row r="807" spans="4:7" ht="13.5">
      <c r="D807" s="11"/>
      <c r="E807" s="86"/>
      <c r="F807" s="85"/>
      <c r="G807" s="85"/>
    </row>
    <row r="808" spans="4:7" ht="13.5">
      <c r="D808" s="11"/>
      <c r="E808" s="86"/>
      <c r="F808" s="85"/>
      <c r="G808" s="85"/>
    </row>
    <row r="809" spans="4:7" ht="13.5">
      <c r="D809" s="11"/>
      <c r="E809" s="86"/>
      <c r="F809" s="85"/>
      <c r="G809" s="85"/>
    </row>
    <row r="810" spans="4:7" ht="13.5">
      <c r="D810" s="11"/>
      <c r="E810" s="86"/>
      <c r="F810" s="85"/>
      <c r="G810" s="85"/>
    </row>
    <row r="811" spans="4:7" ht="13.5">
      <c r="D811" s="11"/>
      <c r="E811" s="86"/>
      <c r="F811" s="85"/>
      <c r="G811" s="85"/>
    </row>
    <row r="812" spans="4:7" ht="13.5">
      <c r="D812" s="11"/>
      <c r="E812" s="86"/>
      <c r="F812" s="85"/>
      <c r="G812" s="85"/>
    </row>
    <row r="813" spans="4:7" ht="13.5">
      <c r="D813" s="11"/>
      <c r="E813" s="86"/>
      <c r="F813" s="85"/>
      <c r="G813" s="85"/>
    </row>
    <row r="814" spans="4:7" ht="13.5">
      <c r="D814" s="11"/>
      <c r="E814" s="86"/>
      <c r="F814" s="85"/>
      <c r="G814" s="85"/>
    </row>
    <row r="815" spans="4:7" ht="13.5">
      <c r="D815" s="11"/>
      <c r="E815" s="86"/>
      <c r="F815" s="85"/>
      <c r="G815" s="85"/>
    </row>
    <row r="816" spans="4:7" ht="13.5">
      <c r="D816" s="11"/>
      <c r="E816" s="86"/>
      <c r="F816" s="85"/>
      <c r="G816" s="85"/>
    </row>
    <row r="817" spans="4:7" ht="13.5">
      <c r="D817" s="11"/>
      <c r="E817" s="86"/>
      <c r="F817" s="85"/>
      <c r="G817" s="85"/>
    </row>
    <row r="818" spans="4:7" ht="13.5">
      <c r="D818" s="11"/>
      <c r="E818" s="86"/>
      <c r="F818" s="85"/>
      <c r="G818" s="85"/>
    </row>
    <row r="819" spans="4:7" ht="13.5">
      <c r="D819" s="11"/>
      <c r="E819" s="86"/>
      <c r="F819" s="85"/>
      <c r="G819" s="85"/>
    </row>
    <row r="820" spans="4:7" ht="13.5">
      <c r="D820" s="11"/>
      <c r="E820" s="86"/>
      <c r="F820" s="85"/>
      <c r="G820" s="85"/>
    </row>
    <row r="821" spans="4:7" ht="13.5">
      <c r="D821" s="11"/>
      <c r="E821" s="86"/>
      <c r="F821" s="85"/>
      <c r="G821" s="85"/>
    </row>
    <row r="822" spans="4:7" ht="13.5">
      <c r="D822" s="11"/>
      <c r="E822" s="86"/>
      <c r="F822" s="85"/>
      <c r="G822" s="85"/>
    </row>
    <row r="823" spans="4:7" ht="13.5">
      <c r="D823" s="11"/>
      <c r="E823" s="86"/>
      <c r="F823" s="85"/>
      <c r="G823" s="85"/>
    </row>
    <row r="824" spans="4:7" ht="13.5">
      <c r="D824" s="11"/>
      <c r="E824" s="86"/>
      <c r="F824" s="85"/>
      <c r="G824" s="85"/>
    </row>
    <row r="825" spans="4:7" ht="13.5">
      <c r="D825" s="11"/>
      <c r="E825" s="86"/>
      <c r="F825" s="85"/>
      <c r="G825" s="85"/>
    </row>
    <row r="826" spans="4:7" ht="13.5">
      <c r="D826" s="11"/>
      <c r="E826" s="86"/>
      <c r="F826" s="85"/>
      <c r="G826" s="85"/>
    </row>
    <row r="827" spans="4:7" ht="13.5">
      <c r="D827" s="11"/>
      <c r="E827" s="86"/>
      <c r="F827" s="85"/>
      <c r="G827" s="85"/>
    </row>
    <row r="828" spans="4:7" ht="13.5">
      <c r="D828" s="11"/>
      <c r="E828" s="86"/>
      <c r="F828" s="85"/>
      <c r="G828" s="85"/>
    </row>
    <row r="829" spans="4:7" ht="13.5">
      <c r="D829" s="11"/>
      <c r="E829" s="86"/>
      <c r="F829" s="85"/>
      <c r="G829" s="85"/>
    </row>
    <row r="830" spans="4:7" ht="13.5">
      <c r="D830" s="11"/>
      <c r="E830" s="86"/>
      <c r="F830" s="85"/>
      <c r="G830" s="85"/>
    </row>
    <row r="831" spans="4:7" ht="13.5">
      <c r="D831" s="11"/>
      <c r="E831" s="86"/>
      <c r="F831" s="85"/>
      <c r="G831" s="85"/>
    </row>
    <row r="832" spans="4:7" ht="13.5">
      <c r="D832" s="11"/>
      <c r="E832" s="86"/>
      <c r="F832" s="85"/>
      <c r="G832" s="85"/>
    </row>
    <row r="833" spans="4:7" ht="13.5">
      <c r="D833" s="11"/>
      <c r="E833" s="86"/>
      <c r="F833" s="85"/>
      <c r="G833" s="85"/>
    </row>
    <row r="834" spans="4:7" ht="13.5">
      <c r="D834" s="11"/>
      <c r="E834" s="86"/>
      <c r="F834" s="85"/>
      <c r="G834" s="85"/>
    </row>
    <row r="835" spans="4:7" ht="13.5">
      <c r="D835" s="11"/>
      <c r="E835" s="86"/>
      <c r="F835" s="85"/>
      <c r="G835" s="85"/>
    </row>
    <row r="836" spans="4:7" ht="13.5">
      <c r="D836" s="11"/>
      <c r="E836" s="86"/>
      <c r="F836" s="85"/>
      <c r="G836" s="85"/>
    </row>
    <row r="837" spans="4:7" ht="13.5">
      <c r="D837" s="11"/>
      <c r="E837" s="86"/>
      <c r="F837" s="85"/>
      <c r="G837" s="85"/>
    </row>
    <row r="838" spans="4:7" ht="13.5">
      <c r="D838" s="11"/>
      <c r="E838" s="86"/>
      <c r="F838" s="85"/>
      <c r="G838" s="85"/>
    </row>
    <row r="839" spans="4:7" ht="13.5">
      <c r="D839" s="11"/>
      <c r="E839" s="86"/>
      <c r="F839" s="85"/>
      <c r="G839" s="85"/>
    </row>
    <row r="840" spans="4:7" ht="13.5">
      <c r="D840" s="11"/>
      <c r="E840" s="86"/>
      <c r="F840" s="85"/>
      <c r="G840" s="85"/>
    </row>
    <row r="841" spans="4:7" ht="13.5">
      <c r="D841" s="11"/>
      <c r="E841" s="86"/>
      <c r="F841" s="85"/>
      <c r="G841" s="85"/>
    </row>
    <row r="842" spans="4:7" ht="13.5">
      <c r="D842" s="11"/>
      <c r="E842" s="86"/>
      <c r="F842" s="85"/>
      <c r="G842" s="85"/>
    </row>
    <row r="843" spans="4:7" ht="13.5">
      <c r="D843" s="11"/>
      <c r="E843" s="86"/>
      <c r="F843" s="85"/>
      <c r="G843" s="85"/>
    </row>
    <row r="844" spans="4:7" ht="13.5">
      <c r="D844" s="11"/>
      <c r="E844" s="86"/>
      <c r="F844" s="85"/>
      <c r="G844" s="85"/>
    </row>
    <row r="845" spans="4:7" ht="13.5">
      <c r="D845" s="11"/>
      <c r="E845" s="86"/>
      <c r="F845" s="85"/>
      <c r="G845" s="85"/>
    </row>
    <row r="846" spans="4:7" ht="13.5">
      <c r="D846" s="11"/>
      <c r="E846" s="86"/>
      <c r="F846" s="85"/>
      <c r="G846" s="85"/>
    </row>
    <row r="847" spans="4:7" ht="13.5">
      <c r="D847" s="11"/>
      <c r="E847" s="86"/>
      <c r="F847" s="85"/>
      <c r="G847" s="85"/>
    </row>
    <row r="848" spans="4:7" ht="13.5">
      <c r="D848" s="11"/>
      <c r="E848" s="86"/>
      <c r="F848" s="85"/>
      <c r="G848" s="85"/>
    </row>
    <row r="849" spans="4:7" ht="13.5">
      <c r="D849" s="11"/>
      <c r="E849" s="86"/>
      <c r="F849" s="85"/>
      <c r="G849" s="85"/>
    </row>
    <row r="850" spans="4:7" ht="13.5">
      <c r="D850" s="11"/>
      <c r="E850" s="86"/>
      <c r="F850" s="85"/>
      <c r="G850" s="85"/>
    </row>
    <row r="851" spans="4:7" ht="13.5">
      <c r="D851" s="11"/>
      <c r="E851" s="86"/>
      <c r="F851" s="85"/>
      <c r="G851" s="85"/>
    </row>
    <row r="852" spans="4:7" ht="13.5">
      <c r="D852" s="11"/>
      <c r="E852" s="86"/>
      <c r="F852" s="85"/>
      <c r="G852" s="85"/>
    </row>
    <row r="853" spans="4:7" ht="13.5">
      <c r="D853" s="11"/>
      <c r="E853" s="86"/>
      <c r="F853" s="85"/>
      <c r="G853" s="85"/>
    </row>
    <row r="854" spans="4:7" ht="13.5">
      <c r="D854" s="11"/>
      <c r="E854" s="86"/>
      <c r="F854" s="85"/>
      <c r="G854" s="85"/>
    </row>
    <row r="855" spans="4:7" ht="13.5">
      <c r="D855" s="11"/>
      <c r="E855" s="86"/>
      <c r="F855" s="85"/>
      <c r="G855" s="85"/>
    </row>
    <row r="856" spans="4:7" ht="13.5">
      <c r="D856" s="11"/>
      <c r="E856" s="86"/>
      <c r="F856" s="85"/>
      <c r="G856" s="85"/>
    </row>
    <row r="857" spans="4:7" ht="13.5">
      <c r="D857" s="11"/>
      <c r="E857" s="86"/>
      <c r="F857" s="85"/>
      <c r="G857" s="85"/>
    </row>
    <row r="858" spans="4:7" ht="13.5">
      <c r="D858" s="11"/>
      <c r="E858" s="86"/>
      <c r="F858" s="85"/>
      <c r="G858" s="85"/>
    </row>
    <row r="859" spans="4:7" ht="13.5">
      <c r="D859" s="11"/>
      <c r="E859" s="86"/>
      <c r="F859" s="85"/>
      <c r="G859" s="85"/>
    </row>
    <row r="860" spans="4:7" ht="13.5">
      <c r="D860" s="11"/>
      <c r="E860" s="86"/>
      <c r="F860" s="85"/>
      <c r="G860" s="85"/>
    </row>
    <row r="861" spans="4:7" ht="13.5">
      <c r="D861" s="11"/>
      <c r="E861" s="86"/>
      <c r="F861" s="85"/>
      <c r="G861" s="85"/>
    </row>
    <row r="862" spans="4:7" ht="13.5">
      <c r="D862" s="11"/>
      <c r="E862" s="86"/>
      <c r="F862" s="85"/>
      <c r="G862" s="85"/>
    </row>
    <row r="863" spans="4:7" ht="13.5">
      <c r="D863" s="11"/>
      <c r="E863" s="86"/>
      <c r="F863" s="85"/>
      <c r="G863" s="85"/>
    </row>
    <row r="864" spans="4:7" ht="13.5">
      <c r="D864" s="11"/>
      <c r="E864" s="86"/>
      <c r="F864" s="85"/>
      <c r="G864" s="85"/>
    </row>
    <row r="865" spans="4:7" ht="13.5">
      <c r="D865" s="11"/>
      <c r="E865" s="86"/>
      <c r="F865" s="85"/>
      <c r="G865" s="85"/>
    </row>
    <row r="866" spans="4:7" ht="13.5">
      <c r="D866" s="11"/>
      <c r="E866" s="86"/>
      <c r="F866" s="85"/>
      <c r="G866" s="85"/>
    </row>
    <row r="867" spans="4:7" ht="13.5">
      <c r="D867" s="11"/>
      <c r="E867" s="86"/>
      <c r="F867" s="85"/>
      <c r="G867" s="85"/>
    </row>
    <row r="868" spans="4:7" ht="13.5">
      <c r="D868" s="11"/>
      <c r="E868" s="86"/>
      <c r="F868" s="85"/>
      <c r="G868" s="85"/>
    </row>
    <row r="869" spans="4:7" ht="13.5">
      <c r="D869" s="11"/>
      <c r="E869" s="86"/>
      <c r="F869" s="85"/>
      <c r="G869" s="85"/>
    </row>
    <row r="870" spans="4:7" ht="13.5">
      <c r="D870" s="11"/>
      <c r="E870" s="86"/>
      <c r="F870" s="85"/>
      <c r="G870" s="85"/>
    </row>
    <row r="871" spans="4:7" ht="13.5">
      <c r="D871" s="11"/>
      <c r="E871" s="86"/>
      <c r="F871" s="85"/>
      <c r="G871" s="85"/>
    </row>
    <row r="872" spans="4:7" ht="13.5">
      <c r="D872" s="11"/>
      <c r="E872" s="86"/>
      <c r="F872" s="85"/>
      <c r="G872" s="85"/>
    </row>
    <row r="873" spans="4:7" ht="13.5">
      <c r="D873" s="11"/>
      <c r="E873" s="86"/>
      <c r="F873" s="85"/>
      <c r="G873" s="85"/>
    </row>
    <row r="874" spans="4:7" ht="13.5">
      <c r="D874" s="11"/>
      <c r="E874" s="86"/>
      <c r="F874" s="85"/>
      <c r="G874" s="85"/>
    </row>
    <row r="875" spans="4:7" ht="13.5">
      <c r="D875" s="11"/>
      <c r="E875" s="86"/>
      <c r="F875" s="85"/>
      <c r="G875" s="85"/>
    </row>
    <row r="876" spans="4:7" ht="13.5">
      <c r="D876" s="11"/>
      <c r="E876" s="86"/>
      <c r="F876" s="85"/>
      <c r="G876" s="85"/>
    </row>
    <row r="877" spans="4:7" ht="13.5">
      <c r="D877" s="11"/>
      <c r="E877" s="86"/>
      <c r="F877" s="85"/>
      <c r="G877" s="85"/>
    </row>
    <row r="878" spans="4:7" ht="13.5">
      <c r="D878" s="11"/>
      <c r="E878" s="86"/>
      <c r="F878" s="85"/>
      <c r="G878" s="85"/>
    </row>
    <row r="879" spans="4:7" ht="13.5">
      <c r="D879" s="11"/>
      <c r="E879" s="86"/>
      <c r="F879" s="85"/>
      <c r="G879" s="85"/>
    </row>
    <row r="880" spans="4:7" ht="13.5">
      <c r="D880" s="11"/>
      <c r="E880" s="86"/>
      <c r="F880" s="85"/>
      <c r="G880" s="85"/>
    </row>
    <row r="881" spans="4:7" ht="13.5">
      <c r="D881" s="11"/>
      <c r="E881" s="86"/>
      <c r="F881" s="85"/>
      <c r="G881" s="85"/>
    </row>
    <row r="882" spans="4:7" ht="13.5">
      <c r="D882" s="11"/>
      <c r="E882" s="86"/>
      <c r="F882" s="85"/>
      <c r="G882" s="85"/>
    </row>
    <row r="883" spans="4:7" ht="13.5">
      <c r="D883" s="11"/>
      <c r="E883" s="86"/>
      <c r="F883" s="85"/>
      <c r="G883" s="85"/>
    </row>
    <row r="884" spans="4:7" ht="13.5">
      <c r="D884" s="11"/>
      <c r="E884" s="86"/>
      <c r="F884" s="85"/>
      <c r="G884" s="85"/>
    </row>
    <row r="885" spans="4:7" ht="13.5">
      <c r="D885" s="11"/>
      <c r="E885" s="86"/>
      <c r="F885" s="85"/>
      <c r="G885" s="85"/>
    </row>
    <row r="886" spans="4:7" ht="13.5">
      <c r="D886" s="11"/>
      <c r="E886" s="86"/>
      <c r="F886" s="85"/>
      <c r="G886" s="85"/>
    </row>
    <row r="887" spans="4:7" ht="13.5">
      <c r="D887" s="11"/>
      <c r="E887" s="86"/>
      <c r="F887" s="85"/>
      <c r="G887" s="85"/>
    </row>
    <row r="888" spans="4:7" ht="13.5">
      <c r="D888" s="11"/>
      <c r="E888" s="86"/>
      <c r="F888" s="85"/>
      <c r="G888" s="85"/>
    </row>
    <row r="889" spans="4:7" ht="13.5">
      <c r="D889" s="11"/>
      <c r="E889" s="86"/>
      <c r="F889" s="85"/>
      <c r="G889" s="85"/>
    </row>
    <row r="890" spans="4:7" ht="13.5">
      <c r="D890" s="11"/>
      <c r="E890" s="86"/>
      <c r="F890" s="85"/>
      <c r="G890" s="85"/>
    </row>
    <row r="891" spans="4:7" ht="13.5">
      <c r="D891" s="11"/>
      <c r="E891" s="86"/>
      <c r="F891" s="85"/>
      <c r="G891" s="85"/>
    </row>
    <row r="892" spans="4:7" ht="13.5">
      <c r="D892" s="11"/>
      <c r="E892" s="86"/>
      <c r="F892" s="85"/>
      <c r="G892" s="85"/>
    </row>
    <row r="893" spans="4:7" ht="13.5">
      <c r="D893" s="11"/>
      <c r="E893" s="86"/>
      <c r="F893" s="85"/>
      <c r="G893" s="85"/>
    </row>
    <row r="894" spans="4:7" ht="13.5">
      <c r="D894" s="11"/>
      <c r="E894" s="86"/>
      <c r="F894" s="85"/>
      <c r="G894" s="85"/>
    </row>
    <row r="895" spans="4:7" ht="13.5">
      <c r="D895" s="11"/>
      <c r="E895" s="86"/>
      <c r="F895" s="85"/>
      <c r="G895" s="85"/>
    </row>
    <row r="896" spans="4:7" ht="13.5">
      <c r="D896" s="11"/>
      <c r="E896" s="86"/>
      <c r="F896" s="85"/>
      <c r="G896" s="85"/>
    </row>
    <row r="897" spans="4:7" ht="13.5">
      <c r="D897" s="11"/>
      <c r="E897" s="86"/>
      <c r="F897" s="85"/>
      <c r="G897" s="85"/>
    </row>
    <row r="898" spans="4:7" ht="13.5">
      <c r="D898" s="11"/>
      <c r="E898" s="86"/>
      <c r="F898" s="85"/>
      <c r="G898" s="85"/>
    </row>
    <row r="899" spans="4:7" ht="13.5">
      <c r="D899" s="11"/>
      <c r="E899" s="86"/>
      <c r="F899" s="85"/>
      <c r="G899" s="85"/>
    </row>
    <row r="900" spans="4:7" ht="13.5">
      <c r="D900" s="11"/>
      <c r="E900" s="86"/>
      <c r="F900" s="85"/>
      <c r="G900" s="85"/>
    </row>
    <row r="901" spans="4:7" ht="13.5">
      <c r="D901" s="11"/>
      <c r="E901" s="86"/>
      <c r="F901" s="85"/>
      <c r="G901" s="85"/>
    </row>
    <row r="902" spans="4:7" ht="13.5">
      <c r="D902" s="11"/>
      <c r="E902" s="86"/>
      <c r="F902" s="85"/>
      <c r="G902" s="85"/>
    </row>
    <row r="903" spans="4:7" ht="13.5">
      <c r="D903" s="11"/>
      <c r="E903" s="86"/>
      <c r="F903" s="85"/>
      <c r="G903" s="85"/>
    </row>
    <row r="904" spans="4:7" ht="13.5">
      <c r="D904" s="11"/>
      <c r="E904" s="86"/>
      <c r="F904" s="85"/>
      <c r="G904" s="85"/>
    </row>
    <row r="905" spans="4:7" ht="13.5">
      <c r="D905" s="11"/>
      <c r="E905" s="86"/>
      <c r="F905" s="85"/>
      <c r="G905" s="85"/>
    </row>
    <row r="906" spans="4:7" ht="13.5">
      <c r="D906" s="11"/>
      <c r="E906" s="86"/>
      <c r="F906" s="85"/>
      <c r="G906" s="85"/>
    </row>
    <row r="907" spans="4:7" ht="13.5">
      <c r="D907" s="11"/>
      <c r="E907" s="86"/>
      <c r="F907" s="85"/>
      <c r="G907" s="85"/>
    </row>
    <row r="908" spans="4:7" ht="13.5">
      <c r="D908" s="11"/>
      <c r="E908" s="86"/>
      <c r="F908" s="85"/>
      <c r="G908" s="85"/>
    </row>
    <row r="909" spans="4:7" ht="13.5">
      <c r="D909" s="11"/>
      <c r="E909" s="86"/>
      <c r="F909" s="85"/>
      <c r="G909" s="85"/>
    </row>
    <row r="910" spans="4:7" ht="13.5">
      <c r="D910" s="11"/>
      <c r="E910" s="86"/>
      <c r="F910" s="85"/>
      <c r="G910" s="85"/>
    </row>
    <row r="911" spans="4:7" ht="13.5">
      <c r="D911" s="11"/>
      <c r="E911" s="86"/>
      <c r="F911" s="85"/>
      <c r="G911" s="85"/>
    </row>
    <row r="912" spans="4:7" ht="13.5">
      <c r="D912" s="11"/>
      <c r="E912" s="86"/>
      <c r="F912" s="85"/>
      <c r="G912" s="85"/>
    </row>
    <row r="913" spans="4:7" ht="13.5">
      <c r="D913" s="11"/>
      <c r="E913" s="86"/>
      <c r="F913" s="85"/>
      <c r="G913" s="85"/>
    </row>
    <row r="914" spans="4:7" ht="13.5">
      <c r="D914" s="11"/>
      <c r="E914" s="86"/>
      <c r="F914" s="85"/>
      <c r="G914" s="85"/>
    </row>
    <row r="915" spans="4:7" ht="13.5">
      <c r="D915" s="11"/>
      <c r="E915" s="86"/>
      <c r="F915" s="85"/>
      <c r="G915" s="85"/>
    </row>
    <row r="916" spans="4:7" ht="13.5">
      <c r="D916" s="11"/>
      <c r="E916" s="86"/>
      <c r="F916" s="85"/>
      <c r="G916" s="85"/>
    </row>
    <row r="917" spans="4:7" ht="13.5">
      <c r="D917" s="11"/>
      <c r="E917" s="86"/>
      <c r="F917" s="85"/>
      <c r="G917" s="85"/>
    </row>
    <row r="918" spans="4:7" ht="13.5">
      <c r="D918" s="11"/>
      <c r="E918" s="86"/>
      <c r="F918" s="85"/>
      <c r="G918" s="85"/>
    </row>
    <row r="919" spans="4:7" ht="13.5">
      <c r="D919" s="11"/>
      <c r="E919" s="86"/>
      <c r="F919" s="85"/>
      <c r="G919" s="85"/>
    </row>
    <row r="920" spans="4:7" ht="13.5">
      <c r="D920" s="11"/>
      <c r="E920" s="86"/>
      <c r="F920" s="85"/>
      <c r="G920" s="85"/>
    </row>
    <row r="921" spans="4:7" ht="13.5">
      <c r="D921" s="11"/>
      <c r="E921" s="86"/>
      <c r="F921" s="85"/>
      <c r="G921" s="85"/>
    </row>
    <row r="922" spans="4:7" ht="13.5">
      <c r="D922" s="11"/>
      <c r="E922" s="86"/>
      <c r="F922" s="85"/>
      <c r="G922" s="85"/>
    </row>
    <row r="923" spans="4:7" ht="13.5">
      <c r="D923" s="11"/>
      <c r="E923" s="86"/>
      <c r="F923" s="85"/>
      <c r="G923" s="85"/>
    </row>
    <row r="924" spans="4:7" ht="13.5">
      <c r="D924" s="11"/>
      <c r="E924" s="86"/>
      <c r="F924" s="85"/>
      <c r="G924" s="85"/>
    </row>
    <row r="925" spans="4:7" ht="13.5">
      <c r="D925" s="11"/>
      <c r="E925" s="86"/>
      <c r="F925" s="85"/>
      <c r="G925" s="85"/>
    </row>
    <row r="926" spans="4:7" ht="13.5">
      <c r="D926" s="11"/>
      <c r="E926" s="86"/>
      <c r="F926" s="85"/>
      <c r="G926" s="85"/>
    </row>
    <row r="927" spans="4:7" ht="13.5">
      <c r="D927" s="11"/>
      <c r="E927" s="86"/>
      <c r="F927" s="85"/>
      <c r="G927" s="85"/>
    </row>
    <row r="928" spans="4:7" ht="13.5">
      <c r="D928" s="11"/>
      <c r="E928" s="86"/>
      <c r="F928" s="85"/>
      <c r="G928" s="85"/>
    </row>
    <row r="929" spans="4:7" ht="13.5">
      <c r="D929" s="11"/>
      <c r="E929" s="86"/>
      <c r="F929" s="85"/>
      <c r="G929" s="85"/>
    </row>
    <row r="930" spans="4:7" ht="13.5">
      <c r="D930" s="11"/>
      <c r="E930" s="86"/>
      <c r="F930" s="85"/>
      <c r="G930" s="85"/>
    </row>
    <row r="931" spans="4:7" ht="13.5">
      <c r="D931" s="11"/>
      <c r="E931" s="86"/>
      <c r="F931" s="85"/>
      <c r="G931" s="85"/>
    </row>
    <row r="932" spans="4:7" ht="13.5">
      <c r="D932" s="11"/>
      <c r="E932" s="86"/>
      <c r="F932" s="85"/>
      <c r="G932" s="85"/>
    </row>
    <row r="933" spans="4:7" ht="13.5">
      <c r="D933" s="11"/>
      <c r="E933" s="86"/>
      <c r="F933" s="85"/>
      <c r="G933" s="85"/>
    </row>
    <row r="934" spans="4:7" ht="13.5">
      <c r="D934" s="11"/>
      <c r="E934" s="86"/>
      <c r="F934" s="85"/>
      <c r="G934" s="85"/>
    </row>
    <row r="935" spans="4:7" ht="13.5">
      <c r="D935" s="11"/>
      <c r="E935" s="86"/>
      <c r="F935" s="85"/>
      <c r="G935" s="85"/>
    </row>
    <row r="936" spans="4:7" ht="13.5">
      <c r="D936" s="11"/>
      <c r="E936" s="86"/>
      <c r="F936" s="85"/>
      <c r="G936" s="85"/>
    </row>
    <row r="937" spans="4:7" ht="13.5">
      <c r="D937" s="11"/>
      <c r="E937" s="86"/>
      <c r="F937" s="85"/>
      <c r="G937" s="85"/>
    </row>
    <row r="938" spans="4:7" ht="13.5">
      <c r="D938" s="11"/>
      <c r="E938" s="86"/>
      <c r="F938" s="85"/>
      <c r="G938" s="85"/>
    </row>
    <row r="939" spans="4:7" ht="13.5">
      <c r="D939" s="11"/>
      <c r="E939" s="86"/>
      <c r="F939" s="85"/>
      <c r="G939" s="85"/>
    </row>
    <row r="940" spans="4:7" ht="13.5">
      <c r="D940" s="11"/>
      <c r="E940" s="86"/>
      <c r="F940" s="85"/>
      <c r="G940" s="85"/>
    </row>
    <row r="941" spans="4:7" ht="13.5">
      <c r="D941" s="11"/>
      <c r="E941" s="86"/>
      <c r="F941" s="85"/>
      <c r="G941" s="85"/>
    </row>
    <row r="942" spans="4:7" ht="13.5">
      <c r="D942" s="11"/>
      <c r="E942" s="86"/>
      <c r="F942" s="85"/>
      <c r="G942" s="85"/>
    </row>
    <row r="943" spans="4:7" ht="13.5">
      <c r="D943" s="11"/>
      <c r="E943" s="86"/>
      <c r="F943" s="85"/>
      <c r="G943" s="85"/>
    </row>
    <row r="944" spans="4:7" ht="13.5">
      <c r="D944" s="11"/>
      <c r="E944" s="86"/>
      <c r="F944" s="85"/>
      <c r="G944" s="85"/>
    </row>
    <row r="945" spans="4:7" ht="13.5">
      <c r="D945" s="11"/>
      <c r="E945" s="86"/>
      <c r="F945" s="85"/>
      <c r="G945" s="85"/>
    </row>
    <row r="946" spans="4:7" ht="13.5">
      <c r="D946" s="11"/>
      <c r="E946" s="86"/>
      <c r="F946" s="85"/>
      <c r="G946" s="85"/>
    </row>
    <row r="947" spans="4:7" ht="13.5">
      <c r="D947" s="11"/>
      <c r="E947" s="86"/>
      <c r="F947" s="85"/>
      <c r="G947" s="85"/>
    </row>
    <row r="948" spans="4:7" ht="13.5">
      <c r="D948" s="11"/>
      <c r="E948" s="86"/>
      <c r="F948" s="85"/>
      <c r="G948" s="85"/>
    </row>
    <row r="949" spans="4:7" ht="13.5">
      <c r="D949" s="11"/>
      <c r="E949" s="86"/>
      <c r="F949" s="85"/>
      <c r="G949" s="85"/>
    </row>
    <row r="950" spans="4:7" ht="13.5">
      <c r="D950" s="11"/>
      <c r="E950" s="86"/>
      <c r="F950" s="85"/>
      <c r="G950" s="85"/>
    </row>
    <row r="951" spans="4:7" ht="13.5">
      <c r="D951" s="11"/>
      <c r="E951" s="86"/>
      <c r="F951" s="85"/>
      <c r="G951" s="85"/>
    </row>
    <row r="952" spans="4:7" ht="13.5">
      <c r="D952" s="11"/>
      <c r="E952" s="86"/>
      <c r="F952" s="85"/>
      <c r="G952" s="85"/>
    </row>
    <row r="953" spans="4:7" ht="13.5">
      <c r="D953" s="11"/>
      <c r="E953" s="86"/>
      <c r="F953" s="85"/>
      <c r="G953" s="85"/>
    </row>
    <row r="954" spans="4:7" ht="13.5">
      <c r="D954" s="11"/>
      <c r="E954" s="86"/>
      <c r="F954" s="85"/>
      <c r="G954" s="85"/>
    </row>
    <row r="955" spans="4:7" ht="13.5">
      <c r="D955" s="11"/>
      <c r="E955" s="86"/>
      <c r="F955" s="85"/>
      <c r="G955" s="85"/>
    </row>
    <row r="956" spans="4:7" ht="13.5">
      <c r="D956" s="11"/>
      <c r="E956" s="86"/>
      <c r="F956" s="85"/>
      <c r="G956" s="85"/>
    </row>
    <row r="957" spans="4:7" ht="13.5">
      <c r="D957" s="11"/>
      <c r="E957" s="86"/>
      <c r="F957" s="85"/>
      <c r="G957" s="85"/>
    </row>
    <row r="958" spans="4:7" ht="13.5">
      <c r="D958" s="11"/>
      <c r="E958" s="86"/>
      <c r="F958" s="85"/>
      <c r="G958" s="85"/>
    </row>
    <row r="959" spans="4:7" ht="13.5">
      <c r="D959" s="11"/>
      <c r="E959" s="86"/>
      <c r="F959" s="85"/>
      <c r="G959" s="85"/>
    </row>
    <row r="960" spans="4:7" ht="13.5">
      <c r="D960" s="11"/>
      <c r="E960" s="86"/>
      <c r="F960" s="85"/>
      <c r="G960" s="85"/>
    </row>
    <row r="961" spans="4:7" ht="13.5">
      <c r="D961" s="11"/>
      <c r="E961" s="86"/>
      <c r="F961" s="85"/>
      <c r="G961" s="85"/>
    </row>
    <row r="962" spans="4:7" ht="13.5">
      <c r="D962" s="11"/>
      <c r="E962" s="86"/>
      <c r="F962" s="85"/>
      <c r="G962" s="85"/>
    </row>
    <row r="963" spans="4:7" ht="13.5">
      <c r="D963" s="11"/>
      <c r="E963" s="86"/>
      <c r="F963" s="85"/>
      <c r="G963" s="85"/>
    </row>
    <row r="964" spans="4:7" ht="13.5">
      <c r="D964" s="11"/>
      <c r="E964" s="86"/>
      <c r="F964" s="85"/>
      <c r="G964" s="85"/>
    </row>
    <row r="965" spans="4:7" ht="13.5">
      <c r="D965" s="11"/>
      <c r="E965" s="86"/>
      <c r="F965" s="85"/>
      <c r="G965" s="85"/>
    </row>
    <row r="966" spans="4:7" ht="13.5">
      <c r="D966" s="11"/>
      <c r="E966" s="86"/>
      <c r="F966" s="85"/>
      <c r="G966" s="85"/>
    </row>
    <row r="967" spans="4:7" ht="13.5">
      <c r="D967" s="11"/>
      <c r="E967" s="86"/>
      <c r="F967" s="85"/>
      <c r="G967" s="85"/>
    </row>
    <row r="968" spans="4:7" ht="13.5">
      <c r="D968" s="11"/>
      <c r="E968" s="86"/>
      <c r="F968" s="85"/>
      <c r="G968" s="85"/>
    </row>
    <row r="969" spans="4:7" ht="13.5">
      <c r="D969" s="11"/>
      <c r="E969" s="86"/>
      <c r="F969" s="85"/>
      <c r="G969" s="85"/>
    </row>
    <row r="970" spans="4:7" ht="13.5">
      <c r="D970" s="11"/>
      <c r="E970" s="86"/>
      <c r="F970" s="85"/>
      <c r="G970" s="85"/>
    </row>
    <row r="971" spans="4:7" ht="13.5">
      <c r="D971" s="11"/>
      <c r="E971" s="86"/>
      <c r="F971" s="85"/>
      <c r="G971" s="85"/>
    </row>
    <row r="972" spans="4:7" ht="13.5">
      <c r="D972" s="11"/>
      <c r="E972" s="86"/>
      <c r="F972" s="85"/>
      <c r="G972" s="85"/>
    </row>
    <row r="973" spans="4:7" ht="13.5">
      <c r="D973" s="11"/>
      <c r="E973" s="86"/>
      <c r="F973" s="85"/>
      <c r="G973" s="85"/>
    </row>
    <row r="974" spans="4:7" ht="13.5">
      <c r="D974" s="11"/>
      <c r="E974" s="86"/>
      <c r="F974" s="85"/>
      <c r="G974" s="85"/>
    </row>
    <row r="975" spans="4:7" ht="13.5">
      <c r="D975" s="11"/>
      <c r="E975" s="86"/>
      <c r="F975" s="85"/>
      <c r="G975" s="85"/>
    </row>
    <row r="976" spans="4:7" ht="13.5">
      <c r="D976" s="11"/>
      <c r="E976" s="86"/>
      <c r="F976" s="85"/>
      <c r="G976" s="85"/>
    </row>
    <row r="977" spans="4:7" ht="13.5">
      <c r="D977" s="11"/>
      <c r="E977" s="86"/>
      <c r="F977" s="85"/>
      <c r="G977" s="85"/>
    </row>
    <row r="978" spans="4:7" ht="13.5">
      <c r="D978" s="11"/>
      <c r="E978" s="86"/>
      <c r="F978" s="85"/>
      <c r="G978" s="85"/>
    </row>
    <row r="979" spans="4:7" ht="13.5">
      <c r="D979" s="11"/>
      <c r="E979" s="86"/>
      <c r="F979" s="85"/>
      <c r="G979" s="85"/>
    </row>
    <row r="980" spans="4:7" ht="13.5">
      <c r="D980" s="11"/>
      <c r="E980" s="86"/>
      <c r="F980" s="85"/>
      <c r="G980" s="85"/>
    </row>
    <row r="981" spans="4:7" ht="13.5">
      <c r="D981" s="11"/>
      <c r="E981" s="86"/>
      <c r="F981" s="85"/>
      <c r="G981" s="85"/>
    </row>
    <row r="982" spans="4:7" ht="13.5">
      <c r="D982" s="11"/>
      <c r="E982" s="86"/>
      <c r="F982" s="85"/>
      <c r="G982" s="85"/>
    </row>
    <row r="983" spans="4:7" ht="13.5">
      <c r="D983" s="11"/>
      <c r="E983" s="86"/>
      <c r="F983" s="85"/>
      <c r="G983" s="85"/>
    </row>
    <row r="984" spans="4:7" ht="13.5">
      <c r="D984" s="11"/>
      <c r="E984" s="86"/>
      <c r="F984" s="85"/>
      <c r="G984" s="85"/>
    </row>
    <row r="985" spans="4:7" ht="13.5">
      <c r="D985" s="11"/>
      <c r="E985" s="86"/>
      <c r="F985" s="85"/>
      <c r="G985" s="85"/>
    </row>
    <row r="986" spans="4:7" ht="13.5">
      <c r="D986" s="11"/>
      <c r="E986" s="86"/>
      <c r="F986" s="85"/>
      <c r="G986" s="85"/>
    </row>
    <row r="987" spans="4:7" ht="13.5">
      <c r="D987" s="11"/>
      <c r="E987" s="86"/>
      <c r="F987" s="85"/>
      <c r="G987" s="85"/>
    </row>
    <row r="988" spans="4:7" ht="13.5">
      <c r="D988" s="11"/>
      <c r="E988" s="86"/>
      <c r="F988" s="85"/>
      <c r="G988" s="85"/>
    </row>
    <row r="989" spans="4:7" ht="13.5">
      <c r="D989" s="11"/>
      <c r="E989" s="86"/>
      <c r="F989" s="85"/>
      <c r="G989" s="85"/>
    </row>
    <row r="990" spans="4:7" ht="13.5">
      <c r="D990" s="11"/>
      <c r="E990" s="86"/>
      <c r="F990" s="85"/>
      <c r="G990" s="85"/>
    </row>
    <row r="991" spans="4:7" ht="13.5">
      <c r="D991" s="11"/>
      <c r="E991" s="86"/>
      <c r="F991" s="85"/>
      <c r="G991" s="85"/>
    </row>
    <row r="992" spans="4:7" ht="13.5">
      <c r="D992" s="11"/>
      <c r="E992" s="86"/>
      <c r="F992" s="85"/>
      <c r="G992" s="85"/>
    </row>
    <row r="993" spans="4:7" ht="13.5">
      <c r="D993" s="11"/>
      <c r="E993" s="86"/>
      <c r="F993" s="85"/>
      <c r="G993" s="85"/>
    </row>
    <row r="994" spans="4:7" ht="13.5">
      <c r="D994" s="11"/>
      <c r="E994" s="86"/>
      <c r="F994" s="85"/>
      <c r="G994" s="85"/>
    </row>
    <row r="995" spans="4:7" ht="13.5">
      <c r="D995" s="11"/>
      <c r="E995" s="86"/>
      <c r="F995" s="85"/>
      <c r="G995" s="85"/>
    </row>
    <row r="996" spans="4:7" ht="13.5">
      <c r="D996" s="11"/>
      <c r="E996" s="86"/>
      <c r="F996" s="85"/>
      <c r="G996" s="85"/>
    </row>
    <row r="997" spans="4:7" ht="13.5">
      <c r="D997" s="11"/>
      <c r="E997" s="86"/>
      <c r="F997" s="85"/>
      <c r="G997" s="85"/>
    </row>
    <row r="998" spans="4:7" ht="13.5">
      <c r="D998" s="11"/>
      <c r="E998" s="86"/>
      <c r="F998" s="85"/>
      <c r="G998" s="85"/>
    </row>
    <row r="999" spans="4:7" ht="13.5">
      <c r="D999" s="11"/>
      <c r="E999" s="86"/>
      <c r="F999" s="85"/>
      <c r="G999" s="85"/>
    </row>
    <row r="1000" spans="4:7" ht="13.5">
      <c r="D1000" s="11"/>
      <c r="E1000" s="86"/>
      <c r="F1000" s="85"/>
      <c r="G1000" s="85"/>
    </row>
    <row r="1001" spans="4:7" ht="13.5">
      <c r="D1001" s="11"/>
      <c r="E1001" s="86"/>
      <c r="F1001" s="85"/>
      <c r="G1001" s="85"/>
    </row>
    <row r="1002" spans="4:7" ht="13.5">
      <c r="D1002" s="11"/>
      <c r="E1002" s="86"/>
      <c r="F1002" s="85"/>
      <c r="G1002" s="85"/>
    </row>
    <row r="1003" spans="4:7" ht="13.5">
      <c r="D1003" s="11"/>
      <c r="E1003" s="86"/>
      <c r="F1003" s="85"/>
      <c r="G1003" s="85"/>
    </row>
    <row r="1004" spans="4:7" ht="13.5">
      <c r="D1004" s="11"/>
      <c r="E1004" s="86"/>
      <c r="F1004" s="85"/>
      <c r="G1004" s="85"/>
    </row>
    <row r="1005" spans="4:7" ht="13.5">
      <c r="D1005" s="11"/>
      <c r="E1005" s="86"/>
      <c r="F1005" s="85"/>
      <c r="G1005" s="85"/>
    </row>
    <row r="1006" spans="4:7" ht="13.5">
      <c r="D1006" s="11"/>
      <c r="E1006" s="86"/>
      <c r="F1006" s="85"/>
      <c r="G1006" s="85"/>
    </row>
    <row r="1007" spans="4:7" ht="13.5">
      <c r="D1007" s="11"/>
      <c r="E1007" s="86"/>
      <c r="F1007" s="85"/>
      <c r="G1007" s="85"/>
    </row>
    <row r="1008" spans="4:7" ht="13.5">
      <c r="D1008" s="11"/>
      <c r="E1008" s="86"/>
      <c r="F1008" s="85"/>
      <c r="G1008" s="85"/>
    </row>
    <row r="1009" spans="4:7" ht="13.5">
      <c r="D1009" s="11"/>
      <c r="E1009" s="86"/>
      <c r="F1009" s="85"/>
      <c r="G1009" s="85"/>
    </row>
    <row r="1010" spans="4:7" ht="13.5">
      <c r="D1010" s="11"/>
      <c r="E1010" s="86"/>
      <c r="F1010" s="85"/>
      <c r="G1010" s="85"/>
    </row>
    <row r="1011" spans="4:7" ht="13.5">
      <c r="D1011" s="11"/>
      <c r="E1011" s="86"/>
      <c r="F1011" s="85"/>
      <c r="G1011" s="85"/>
    </row>
    <row r="1012" spans="4:7" ht="13.5">
      <c r="D1012" s="11"/>
      <c r="E1012" s="86"/>
      <c r="F1012" s="85"/>
      <c r="G1012" s="85"/>
    </row>
    <row r="1013" spans="4:7" ht="13.5">
      <c r="D1013" s="11"/>
      <c r="E1013" s="86"/>
      <c r="F1013" s="85"/>
      <c r="G1013" s="85"/>
    </row>
    <row r="1014" spans="4:7" ht="13.5">
      <c r="D1014" s="11"/>
      <c r="E1014" s="86"/>
      <c r="F1014" s="85"/>
      <c r="G1014" s="85"/>
    </row>
    <row r="1015" spans="4:7" ht="13.5">
      <c r="D1015" s="11"/>
      <c r="E1015" s="86"/>
      <c r="F1015" s="85"/>
      <c r="G1015" s="85"/>
    </row>
    <row r="1016" spans="4:7" ht="13.5">
      <c r="D1016" s="11"/>
      <c r="E1016" s="86"/>
      <c r="F1016" s="85"/>
      <c r="G1016" s="85"/>
    </row>
    <row r="1017" spans="4:7" ht="13.5">
      <c r="D1017" s="11"/>
      <c r="E1017" s="86"/>
      <c r="F1017" s="85"/>
      <c r="G1017" s="85"/>
    </row>
    <row r="1018" spans="4:7" ht="13.5">
      <c r="D1018" s="11"/>
      <c r="E1018" s="86"/>
      <c r="F1018" s="85"/>
      <c r="G1018" s="85"/>
    </row>
    <row r="1019" spans="4:7" ht="13.5">
      <c r="D1019" s="11"/>
      <c r="E1019" s="86"/>
      <c r="F1019" s="85"/>
      <c r="G1019" s="85"/>
    </row>
    <row r="1020" spans="4:7" ht="13.5">
      <c r="D1020" s="11"/>
      <c r="E1020" s="86"/>
      <c r="F1020" s="85"/>
      <c r="G1020" s="85"/>
    </row>
    <row r="1021" spans="4:7" ht="13.5">
      <c r="D1021" s="11"/>
      <c r="E1021" s="86"/>
      <c r="F1021" s="85"/>
      <c r="G1021" s="85"/>
    </row>
    <row r="1022" spans="4:7" ht="13.5">
      <c r="D1022" s="11"/>
      <c r="E1022" s="86"/>
      <c r="F1022" s="85"/>
      <c r="G1022" s="85"/>
    </row>
    <row r="1023" spans="4:7" ht="13.5">
      <c r="D1023" s="11"/>
      <c r="E1023" s="86"/>
      <c r="F1023" s="85"/>
      <c r="G1023" s="85"/>
    </row>
    <row r="1024" spans="4:7" ht="13.5">
      <c r="D1024" s="11"/>
      <c r="E1024" s="86"/>
      <c r="F1024" s="85"/>
      <c r="G1024" s="85"/>
    </row>
    <row r="1025" spans="4:7" ht="13.5">
      <c r="D1025" s="11"/>
      <c r="E1025" s="86"/>
      <c r="F1025" s="85"/>
      <c r="G1025" s="85"/>
    </row>
    <row r="1026" spans="4:7" ht="13.5">
      <c r="D1026" s="11"/>
      <c r="E1026" s="86"/>
      <c r="F1026" s="85"/>
      <c r="G1026" s="85"/>
    </row>
    <row r="1027" spans="4:7" ht="13.5">
      <c r="D1027" s="11"/>
      <c r="E1027" s="86"/>
      <c r="F1027" s="85"/>
      <c r="G1027" s="85"/>
    </row>
    <row r="1028" spans="4:7" ht="13.5">
      <c r="D1028" s="11"/>
      <c r="E1028" s="86"/>
      <c r="F1028" s="85"/>
      <c r="G1028" s="85"/>
    </row>
    <row r="1029" spans="4:7" ht="13.5">
      <c r="D1029" s="11"/>
      <c r="E1029" s="86"/>
      <c r="F1029" s="85"/>
      <c r="G1029" s="85"/>
    </row>
    <row r="1030" spans="4:7" ht="13.5">
      <c r="D1030" s="11"/>
      <c r="E1030" s="86"/>
      <c r="F1030" s="85"/>
      <c r="G1030" s="85"/>
    </row>
    <row r="1031" spans="4:7" ht="13.5">
      <c r="D1031" s="11"/>
      <c r="E1031" s="86"/>
      <c r="F1031" s="85"/>
      <c r="G1031" s="85"/>
    </row>
    <row r="1032" spans="4:7" ht="13.5">
      <c r="D1032" s="11"/>
      <c r="E1032" s="86"/>
      <c r="F1032" s="85"/>
      <c r="G1032" s="85"/>
    </row>
    <row r="1033" spans="4:7" ht="13.5">
      <c r="D1033" s="11"/>
      <c r="E1033" s="86"/>
      <c r="F1033" s="85"/>
      <c r="G1033" s="85"/>
    </row>
    <row r="1034" spans="4:7" ht="13.5">
      <c r="D1034" s="11"/>
      <c r="E1034" s="86"/>
      <c r="F1034" s="85"/>
      <c r="G1034" s="85"/>
    </row>
    <row r="1035" spans="4:7" ht="13.5">
      <c r="D1035" s="11"/>
      <c r="E1035" s="86"/>
      <c r="F1035" s="85"/>
      <c r="G1035" s="85"/>
    </row>
    <row r="1036" spans="4:7" ht="13.5">
      <c r="D1036" s="11"/>
      <c r="E1036" s="86"/>
      <c r="F1036" s="85"/>
      <c r="G1036" s="85"/>
    </row>
    <row r="1037" spans="4:7" ht="13.5">
      <c r="D1037" s="11"/>
      <c r="E1037" s="86"/>
      <c r="F1037" s="85"/>
      <c r="G1037" s="85"/>
    </row>
    <row r="1038" spans="4:7" ht="13.5">
      <c r="D1038" s="11"/>
      <c r="E1038" s="86"/>
      <c r="F1038" s="85"/>
      <c r="G1038" s="85"/>
    </row>
    <row r="1039" spans="4:7" ht="13.5">
      <c r="D1039" s="11"/>
      <c r="E1039" s="86"/>
      <c r="F1039" s="85"/>
      <c r="G1039" s="85"/>
    </row>
    <row r="1040" spans="4:7" ht="13.5">
      <c r="D1040" s="11"/>
      <c r="E1040" s="86"/>
      <c r="F1040" s="85"/>
      <c r="G1040" s="85"/>
    </row>
    <row r="1041" spans="4:7" ht="13.5">
      <c r="D1041" s="11"/>
      <c r="E1041" s="86"/>
      <c r="F1041" s="85"/>
      <c r="G1041" s="85"/>
    </row>
    <row r="1042" spans="4:7" ht="13.5">
      <c r="D1042" s="11"/>
      <c r="E1042" s="86"/>
      <c r="F1042" s="85"/>
      <c r="G1042" s="85"/>
    </row>
    <row r="1043" spans="4:7" ht="13.5">
      <c r="D1043" s="11"/>
      <c r="E1043" s="86"/>
      <c r="F1043" s="85"/>
      <c r="G1043" s="85"/>
    </row>
    <row r="1044" spans="4:7" ht="13.5">
      <c r="D1044" s="11"/>
      <c r="E1044" s="86"/>
      <c r="F1044" s="85"/>
      <c r="G1044" s="85"/>
    </row>
    <row r="1045" spans="4:7" ht="13.5">
      <c r="D1045" s="11"/>
      <c r="E1045" s="86"/>
      <c r="F1045" s="85"/>
      <c r="G1045" s="85"/>
    </row>
    <row r="1046" spans="4:7" ht="13.5">
      <c r="D1046" s="11"/>
      <c r="E1046" s="86"/>
      <c r="F1046" s="85"/>
      <c r="G1046" s="85"/>
    </row>
    <row r="1047" spans="4:7" ht="13.5">
      <c r="D1047" s="11"/>
      <c r="E1047" s="86"/>
      <c r="F1047" s="85"/>
      <c r="G1047" s="85"/>
    </row>
  </sheetData>
  <mergeCells count="29">
    <mergeCell ref="AH51:AH54"/>
    <mergeCell ref="AH55:AH59"/>
    <mergeCell ref="AH62:AH63"/>
    <mergeCell ref="AH64:AH70"/>
    <mergeCell ref="AH11:AH16"/>
    <mergeCell ref="AH22:AH23"/>
    <mergeCell ref="AH26:AH27"/>
    <mergeCell ref="AH28:AH29"/>
    <mergeCell ref="AH38:AH39"/>
    <mergeCell ref="AH40:AH41"/>
    <mergeCell ref="A2:A3"/>
    <mergeCell ref="C2:C3"/>
    <mergeCell ref="D2:D3"/>
    <mergeCell ref="E2:E3"/>
    <mergeCell ref="F2:G2"/>
    <mergeCell ref="B2:B3"/>
    <mergeCell ref="AD2:AD3"/>
    <mergeCell ref="AE2:AE3"/>
    <mergeCell ref="AL2:AL3"/>
    <mergeCell ref="F1:G1"/>
    <mergeCell ref="AI1:AJ1"/>
    <mergeCell ref="H2:H3"/>
    <mergeCell ref="I2:I3"/>
    <mergeCell ref="P2:P3"/>
    <mergeCell ref="Q2:Q3"/>
    <mergeCell ref="AG2:AG3"/>
    <mergeCell ref="AH2:AH3"/>
    <mergeCell ref="AI2:AJ2"/>
    <mergeCell ref="AK2:AK3"/>
  </mergeCells>
  <phoneticPr fontId="54" type="noConversion"/>
  <conditionalFormatting sqref="B74">
    <cfRule type="duplicateValues" dxfId="1" priority="2"/>
  </conditionalFormatting>
  <printOptions horizontalCentered="1" gridLines="1"/>
  <pageMargins left="0.7" right="0.7" top="0.75" bottom="0.75" header="0" footer="0"/>
  <pageSetup paperSize="9" scale="35" fitToHeight="0" pageOrder="overThenDown" orientation="landscape" cellComments="atEnd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DE7A-AB6D-4D1F-88FB-54A50E118E9D}">
  <sheetPr>
    <tabColor rgb="FFFFC000"/>
    <outlinePr summaryBelow="0" summaryRight="0"/>
    <pageSetUpPr fitToPage="1"/>
  </sheetPr>
  <dimension ref="A1:AL1047"/>
  <sheetViews>
    <sheetView zoomScale="90" zoomScaleNormal="90" workbookViewId="0">
      <pane xSplit="7" ySplit="3" topLeftCell="H4" activePane="bottomRight" state="frozen"/>
      <selection pane="topRight" activeCell="J1" sqref="J1"/>
      <selection pane="bottomLeft" activeCell="A4" sqref="A4"/>
      <selection pane="bottomRight" activeCell="G77" sqref="G77"/>
    </sheetView>
  </sheetViews>
  <sheetFormatPr defaultColWidth="12.5703125" defaultRowHeight="15.75" customHeight="1" outlineLevelCol="1"/>
  <cols>
    <col min="1" max="1" width="19.5703125" customWidth="1"/>
    <col min="2" max="2" width="11" customWidth="1"/>
    <col min="3" max="3" width="44.28515625" style="98" customWidth="1"/>
    <col min="4" max="4" width="10.28515625" bestFit="1" customWidth="1"/>
    <col min="5" max="5" width="6.85546875" bestFit="1" customWidth="1"/>
    <col min="6" max="6" width="10.5703125" hidden="1" customWidth="1"/>
    <col min="7" max="7" width="12.28515625" bestFit="1" customWidth="1" collapsed="1"/>
    <col min="8" max="8" width="10.5703125" hidden="1" customWidth="1" outlineLevel="1"/>
    <col min="9" max="9" width="9.85546875" hidden="1" customWidth="1" outlineLevel="1"/>
    <col min="10" max="10" width="11.7109375" hidden="1" customWidth="1" outlineLevel="1"/>
    <col min="11" max="13" width="12.140625" hidden="1" customWidth="1" outlineLevel="1"/>
    <col min="14" max="15" width="11.42578125" hidden="1" customWidth="1" outlineLevel="1"/>
    <col min="16" max="19" width="12.140625" customWidth="1"/>
    <col min="20" max="20" width="12.140625" customWidth="1" collapsed="1"/>
    <col min="21" max="27" width="12.140625" hidden="1" customWidth="1" outlineLevel="1"/>
    <col min="28" max="30" width="12.140625" customWidth="1"/>
    <col min="31" max="31" width="10.140625" style="110" customWidth="1"/>
    <col min="32" max="32" width="13.85546875" hidden="1" customWidth="1"/>
    <col min="33" max="34" width="15" customWidth="1"/>
    <col min="35" max="35" width="38.140625" customWidth="1"/>
    <col min="37" max="38" width="9.28515625" customWidth="1"/>
  </cols>
  <sheetData>
    <row r="1" spans="1:38" ht="17.25">
      <c r="A1" s="87" t="s">
        <v>0</v>
      </c>
      <c r="B1" s="87"/>
      <c r="C1" s="97"/>
      <c r="D1" s="1"/>
      <c r="E1" s="2"/>
      <c r="F1" s="452"/>
      <c r="G1" s="453"/>
      <c r="K1" s="6"/>
      <c r="L1" s="6"/>
      <c r="N1" s="6"/>
      <c r="O1" s="6"/>
      <c r="P1" s="397" t="s">
        <v>863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99"/>
      <c r="AF1" s="3"/>
      <c r="AG1" s="452"/>
      <c r="AH1" s="453"/>
      <c r="AI1" s="13"/>
      <c r="AJ1" s="13"/>
      <c r="AK1" s="14"/>
      <c r="AL1" s="14"/>
    </row>
    <row r="2" spans="1:38" s="92" customFormat="1" ht="33" customHeight="1">
      <c r="A2" s="460" t="s">
        <v>2</v>
      </c>
      <c r="B2" s="461"/>
      <c r="C2" s="461" t="s">
        <v>3</v>
      </c>
      <c r="D2" s="461" t="s">
        <v>4</v>
      </c>
      <c r="E2" s="473" t="s">
        <v>671</v>
      </c>
      <c r="F2" s="448">
        <f>站前4樓!F2</f>
        <v>46173</v>
      </c>
      <c r="G2" s="459"/>
      <c r="H2" s="115" t="s">
        <v>455</v>
      </c>
      <c r="I2" s="115" t="s">
        <v>453</v>
      </c>
      <c r="J2" s="115" t="s">
        <v>454</v>
      </c>
      <c r="K2" s="115" t="s">
        <v>457</v>
      </c>
      <c r="L2" s="115" t="s">
        <v>458</v>
      </c>
      <c r="M2" s="115" t="s">
        <v>459</v>
      </c>
      <c r="N2" s="445" t="s">
        <v>228</v>
      </c>
      <c r="O2" s="445" t="s">
        <v>229</v>
      </c>
      <c r="P2" s="115" t="s">
        <v>673</v>
      </c>
      <c r="Q2" s="115" t="s">
        <v>853</v>
      </c>
      <c r="R2" s="115" t="s">
        <v>855</v>
      </c>
      <c r="S2" s="115" t="s">
        <v>857</v>
      </c>
      <c r="T2" s="115" t="s">
        <v>866</v>
      </c>
      <c r="U2" s="115" t="s">
        <v>867</v>
      </c>
      <c r="V2" s="115" t="s">
        <v>868</v>
      </c>
      <c r="W2" s="115" t="s">
        <v>869</v>
      </c>
      <c r="X2" s="115" t="s">
        <v>870</v>
      </c>
      <c r="Y2" s="115" t="s">
        <v>871</v>
      </c>
      <c r="Z2" s="115" t="s">
        <v>872</v>
      </c>
      <c r="AA2" s="115" t="s">
        <v>873</v>
      </c>
      <c r="AB2" s="445" t="s">
        <v>859</v>
      </c>
      <c r="AC2" s="445" t="s">
        <v>860</v>
      </c>
      <c r="AD2" s="115" t="s">
        <v>949</v>
      </c>
      <c r="AE2" s="455" t="s">
        <v>8</v>
      </c>
      <c r="AF2" s="457" t="s">
        <v>9</v>
      </c>
      <c r="AG2" s="458" t="s">
        <v>10</v>
      </c>
      <c r="AH2" s="459"/>
      <c r="AI2" s="450" t="s">
        <v>11</v>
      </c>
      <c r="AJ2" s="450"/>
      <c r="AK2" s="91"/>
      <c r="AL2" s="91"/>
    </row>
    <row r="3" spans="1:38" s="92" customFormat="1" ht="49.5">
      <c r="A3" s="451"/>
      <c r="B3" s="462"/>
      <c r="C3" s="462"/>
      <c r="D3" s="451"/>
      <c r="E3" s="451"/>
      <c r="F3" s="93" t="s">
        <v>226</v>
      </c>
      <c r="G3" s="189" t="s">
        <v>864</v>
      </c>
      <c r="H3" s="95" t="s">
        <v>12</v>
      </c>
      <c r="I3" s="95" t="s">
        <v>12</v>
      </c>
      <c r="J3" s="95" t="s">
        <v>12</v>
      </c>
      <c r="K3" s="95" t="s">
        <v>12</v>
      </c>
      <c r="L3" s="95" t="s">
        <v>12</v>
      </c>
      <c r="M3" s="95" t="s">
        <v>12</v>
      </c>
      <c r="N3" s="451"/>
      <c r="O3" s="451"/>
      <c r="P3" s="95" t="s">
        <v>12</v>
      </c>
      <c r="Q3" s="95" t="s">
        <v>12</v>
      </c>
      <c r="R3" s="95" t="s">
        <v>12</v>
      </c>
      <c r="S3" s="95" t="s">
        <v>12</v>
      </c>
      <c r="T3" s="95" t="s">
        <v>12</v>
      </c>
      <c r="U3" s="95" t="s">
        <v>12</v>
      </c>
      <c r="V3" s="95" t="s">
        <v>12</v>
      </c>
      <c r="W3" s="95" t="s">
        <v>12</v>
      </c>
      <c r="X3" s="95" t="s">
        <v>12</v>
      </c>
      <c r="Y3" s="95" t="s">
        <v>12</v>
      </c>
      <c r="Z3" s="95" t="s">
        <v>12</v>
      </c>
      <c r="AA3" s="95" t="s">
        <v>12</v>
      </c>
      <c r="AB3" s="446"/>
      <c r="AC3" s="446"/>
      <c r="AD3" s="403" t="s">
        <v>13</v>
      </c>
      <c r="AE3" s="456"/>
      <c r="AF3" s="451"/>
      <c r="AG3" s="113" t="s">
        <v>230</v>
      </c>
      <c r="AH3" s="113" t="s">
        <v>231</v>
      </c>
      <c r="AI3" s="451"/>
      <c r="AJ3" s="451"/>
      <c r="AK3" s="91"/>
      <c r="AL3" s="91"/>
    </row>
    <row r="4" spans="1:38" ht="16.5" customHeight="1">
      <c r="A4" s="27" t="s">
        <v>14</v>
      </c>
      <c r="B4" s="14">
        <v>6150001</v>
      </c>
      <c r="C4" s="118" t="s">
        <v>595</v>
      </c>
      <c r="D4" s="16">
        <v>2</v>
      </c>
      <c r="E4" s="17" t="s">
        <v>15</v>
      </c>
      <c r="F4" s="18"/>
      <c r="G4" s="18">
        <v>15</v>
      </c>
      <c r="H4" s="20">
        <f>SUMIFS(領用表!$L:$L,領用表!$E:$E,$B4,領用表!$B:$B,H$2&amp;$P$1)</f>
        <v>0</v>
      </c>
      <c r="I4" s="20">
        <f>SUMIFS(領用表!$L:$L,領用表!$E:$E,$B4,領用表!$B:$B,I$2&amp;$P$1)</f>
        <v>0</v>
      </c>
      <c r="J4" s="20">
        <f>SUMIFS(領用表!$L:$L,領用表!$E:$E,$B4,領用表!$B:$B,J$2&amp;$P$1)</f>
        <v>0</v>
      </c>
      <c r="K4" s="142">
        <f>SUMIFS(領用表!$L:$L,領用表!$E:$E,$B4,領用表!$B:$B,K$2&amp;$P$1)</f>
        <v>0</v>
      </c>
      <c r="L4" s="142">
        <f>SUMIFS(領用表!$L:$L,領用表!$E:$E,$B4,領用表!$B:$B,L$2&amp;$P$1)</f>
        <v>0</v>
      </c>
      <c r="M4" s="142">
        <f>SUMIFS(領用表!$L:$L,領用表!$E:$E,$B4,領用表!$B:$B,M$2&amp;$P$1)</f>
        <v>0</v>
      </c>
      <c r="N4" s="23">
        <f>SUM(,H4,I4,J4,K4,L4,M4)</f>
        <v>0</v>
      </c>
      <c r="O4" s="23">
        <f>AVERAGE(,H4,I4,J4,K4,L4,M4)</f>
        <v>0</v>
      </c>
      <c r="P4" s="142">
        <f>SUMIFS(領用表!$L:$L,領用表!$E:$E,$B4,領用表!$B:$B,P$2&amp;$P$1)</f>
        <v>0</v>
      </c>
      <c r="Q4" s="142">
        <f>SUMIFS(領用表!$L:$L,領用表!$E:$E,$B4,領用表!$B:$B,Q$2&amp;$P$1)</f>
        <v>14</v>
      </c>
      <c r="R4" s="142">
        <f>SUMIFS(領用表!$L:$L,領用表!$E:$E,$B4,領用表!$B:$B,R$2&amp;$P$1)</f>
        <v>23</v>
      </c>
      <c r="S4" s="142">
        <f>SUMIFS(領用表!$L:$L,領用表!$E:$E,$B4,領用表!$B:$B,S$2&amp;$P$1)</f>
        <v>36</v>
      </c>
      <c r="T4" s="142">
        <f>SUMIFS(領用表!$L:$L,領用表!$E:$E,$B4,領用表!$B:$B,T$2&amp;$P$1)</f>
        <v>23</v>
      </c>
      <c r="U4" s="142">
        <f>SUMIFS(領用表!$L:$L,領用表!$E:$E,$B4,領用表!$B:$B,U$2&amp;$P$1)</f>
        <v>0</v>
      </c>
      <c r="V4" s="142">
        <f>SUMIFS(領用表!$L:$L,領用表!$E:$E,$B4,領用表!$B:$B,V$2&amp;$P$1)</f>
        <v>0</v>
      </c>
      <c r="W4" s="142">
        <f>SUMIFS(領用表!$L:$L,領用表!$E:$E,$B4,領用表!$B:$B,W$2&amp;$P$1)</f>
        <v>0</v>
      </c>
      <c r="X4" s="142">
        <f>SUMIFS(領用表!$L:$L,領用表!$E:$E,$B4,領用表!$B:$B,X$2&amp;$P$1)</f>
        <v>0</v>
      </c>
      <c r="Y4" s="142">
        <f>SUMIFS(領用表!$L:$L,領用表!$E:$E,$B4,領用表!$B:$B,Y$2&amp;$P$1)</f>
        <v>0</v>
      </c>
      <c r="Z4" s="142">
        <f>SUMIFS(領用表!$L:$L,領用表!$E:$E,$B4,領用表!$B:$B,Z$2&amp;$P$1)</f>
        <v>0</v>
      </c>
      <c r="AA4" s="142">
        <f>SUMIFS(領用表!$L:$L,領用表!$E:$E,$B4,領用表!$B:$B,AA$2&amp;$P$1)</f>
        <v>0</v>
      </c>
      <c r="AB4" s="208">
        <f>SUM($P4:$AA4)</f>
        <v>96</v>
      </c>
      <c r="AC4" s="142">
        <f>AVERAGE(Q4,R4,S4,T4)</f>
        <v>24</v>
      </c>
      <c r="AD4" s="142">
        <f>SUMIF(Summary!B:B,B4,Summary!DV:DV)</f>
        <v>120</v>
      </c>
      <c r="AE4" s="100">
        <v>55</v>
      </c>
      <c r="AF4" s="24">
        <v>0</v>
      </c>
      <c r="AG4" s="25" t="s">
        <v>16</v>
      </c>
      <c r="AH4" s="25" t="s">
        <v>17</v>
      </c>
      <c r="AI4" s="27"/>
      <c r="AJ4" s="28"/>
      <c r="AK4" s="14"/>
      <c r="AL4" s="29"/>
    </row>
    <row r="5" spans="1:38" ht="15.75" customHeight="1">
      <c r="A5" s="27" t="s">
        <v>18</v>
      </c>
      <c r="B5" s="14">
        <v>6150002</v>
      </c>
      <c r="C5" s="118" t="s">
        <v>596</v>
      </c>
      <c r="D5" s="16">
        <v>2</v>
      </c>
      <c r="E5" s="17" t="s">
        <v>15</v>
      </c>
      <c r="F5" s="18"/>
      <c r="G5" s="18">
        <v>9</v>
      </c>
      <c r="H5" s="20">
        <f>SUMIFS(領用表!$L:$L,領用表!$E:$E,$B5,領用表!$B:$B,H$2&amp;$P$1)</f>
        <v>0</v>
      </c>
      <c r="I5" s="20">
        <f>SUMIFS(領用表!$L:$L,領用表!$E:$E,$B5,領用表!$B:$B,I$2&amp;$P$1)</f>
        <v>0</v>
      </c>
      <c r="J5" s="20">
        <f>SUMIFS(領用表!$L:$L,領用表!$E:$E,$B5,領用表!$B:$B,J$2&amp;$P$1)</f>
        <v>0</v>
      </c>
      <c r="K5" s="142">
        <f>SUMIFS(領用表!$L:$L,領用表!$E:$E,$B5,領用表!$B:$B,K$2&amp;$P$1)</f>
        <v>0</v>
      </c>
      <c r="L5" s="142">
        <f>SUMIFS(領用表!$L:$L,領用表!$E:$E,$B5,領用表!$B:$B,L$2&amp;$P$1)</f>
        <v>0</v>
      </c>
      <c r="M5" s="142">
        <f>SUMIFS(領用表!$L:$L,領用表!$E:$E,$B5,領用表!$B:$B,M$2&amp;$P$1)</f>
        <v>0</v>
      </c>
      <c r="N5" s="23">
        <f t="shared" ref="N5:N73" si="0">SUM(,H5,I5,J5,K5,L5,M5)</f>
        <v>0</v>
      </c>
      <c r="O5" s="23">
        <f t="shared" ref="O5:O73" si="1">AVERAGE(,H5,I5,J5,K5,L5,M5)</f>
        <v>0</v>
      </c>
      <c r="P5" s="142">
        <f>SUMIFS(領用表!$L:$L,領用表!$E:$E,$B5,領用表!$B:$B,P$2&amp;$P$1)</f>
        <v>0</v>
      </c>
      <c r="Q5" s="142">
        <f>SUMIFS(領用表!$L:$L,領用表!$E:$E,$B5,領用表!$B:$B,Q$2&amp;$P$1)</f>
        <v>0</v>
      </c>
      <c r="R5" s="142">
        <f>SUMIFS(領用表!$L:$L,領用表!$E:$E,$B5,領用表!$B:$B,R$2&amp;$P$1)</f>
        <v>3</v>
      </c>
      <c r="S5" s="142">
        <f>SUMIFS(領用表!$L:$L,領用表!$E:$E,$B5,領用表!$B:$B,S$2&amp;$P$1)</f>
        <v>3</v>
      </c>
      <c r="T5" s="142">
        <f>SUMIFS(領用表!$L:$L,領用表!$E:$E,$B5,領用表!$B:$B,T$2&amp;$P$1)</f>
        <v>7</v>
      </c>
      <c r="U5" s="142">
        <f>SUMIFS(領用表!$L:$L,領用表!$E:$E,$B5,領用表!$B:$B,U$2&amp;$P$1)</f>
        <v>0</v>
      </c>
      <c r="V5" s="142">
        <f>SUMIFS(領用表!$L:$L,領用表!$E:$E,$B5,領用表!$B:$B,V$2&amp;$P$1)</f>
        <v>0</v>
      </c>
      <c r="W5" s="142">
        <f>SUMIFS(領用表!$L:$L,領用表!$E:$E,$B5,領用表!$B:$B,W$2&amp;$P$1)</f>
        <v>0</v>
      </c>
      <c r="X5" s="142">
        <f>SUMIFS(領用表!$L:$L,領用表!$E:$E,$B5,領用表!$B:$B,X$2&amp;$P$1)</f>
        <v>0</v>
      </c>
      <c r="Y5" s="142">
        <f>SUMIFS(領用表!$L:$L,領用表!$E:$E,$B5,領用表!$B:$B,Y$2&amp;$P$1)</f>
        <v>0</v>
      </c>
      <c r="Z5" s="142">
        <f>SUMIFS(領用表!$L:$L,領用表!$E:$E,$B5,領用表!$B:$B,Z$2&amp;$P$1)</f>
        <v>0</v>
      </c>
      <c r="AA5" s="142">
        <f>SUMIFS(領用表!$L:$L,領用表!$E:$E,$B5,領用表!$B:$B,AA$2&amp;$P$1)</f>
        <v>0</v>
      </c>
      <c r="AB5" s="142">
        <f t="shared" ref="AB5:AB69" si="2">SUM($P5:$AA5)</f>
        <v>13</v>
      </c>
      <c r="AC5" s="142">
        <f t="shared" ref="AC5:AC70" si="3">AVERAGE(Q5,R5,S5,T5)</f>
        <v>3.25</v>
      </c>
      <c r="AD5" s="142">
        <f>SUMIF(Summary!B:B,B5,Summary!DV:DV)</f>
        <v>25</v>
      </c>
      <c r="AE5" s="100">
        <v>8</v>
      </c>
      <c r="AF5" s="24">
        <v>0</v>
      </c>
      <c r="AG5" s="25"/>
      <c r="AH5" s="25" t="s">
        <v>17</v>
      </c>
      <c r="AI5" s="27"/>
      <c r="AJ5" s="28"/>
      <c r="AK5" s="14"/>
      <c r="AL5" s="29"/>
    </row>
    <row r="6" spans="1:38" ht="15.75" customHeight="1">
      <c r="A6" s="27" t="s">
        <v>19</v>
      </c>
      <c r="B6" s="14">
        <v>6150003</v>
      </c>
      <c r="C6" s="118" t="s">
        <v>597</v>
      </c>
      <c r="D6" s="16">
        <v>2</v>
      </c>
      <c r="E6" s="17" t="s">
        <v>15</v>
      </c>
      <c r="F6" s="18"/>
      <c r="G6" s="18">
        <v>10</v>
      </c>
      <c r="H6" s="20">
        <f>SUMIFS(領用表!$L:$L,領用表!$E:$E,$B6,領用表!$B:$B,H$2&amp;$P$1)</f>
        <v>0</v>
      </c>
      <c r="I6" s="20">
        <f>SUMIFS(領用表!$L:$L,領用表!$E:$E,$B6,領用表!$B:$B,I$2&amp;$P$1)</f>
        <v>0</v>
      </c>
      <c r="J6" s="20">
        <f>SUMIFS(領用表!$L:$L,領用表!$E:$E,$B6,領用表!$B:$B,J$2&amp;$P$1)</f>
        <v>0</v>
      </c>
      <c r="K6" s="142">
        <f>SUMIFS(領用表!$L:$L,領用表!$E:$E,$B6,領用表!$B:$B,K$2&amp;$P$1)</f>
        <v>0</v>
      </c>
      <c r="L6" s="142">
        <f>SUMIFS(領用表!$L:$L,領用表!$E:$E,$B6,領用表!$B:$B,L$2&amp;$P$1)</f>
        <v>0</v>
      </c>
      <c r="M6" s="142">
        <f>SUMIFS(領用表!$L:$L,領用表!$E:$E,$B6,領用表!$B:$B,M$2&amp;$P$1)</f>
        <v>0</v>
      </c>
      <c r="N6" s="23">
        <f t="shared" si="0"/>
        <v>0</v>
      </c>
      <c r="O6" s="23">
        <f t="shared" si="1"/>
        <v>0</v>
      </c>
      <c r="P6" s="142">
        <f>SUMIFS(領用表!$L:$L,領用表!$E:$E,$B6,領用表!$B:$B,P$2&amp;$P$1)</f>
        <v>0</v>
      </c>
      <c r="Q6" s="142">
        <f>SUMIFS(領用表!$L:$L,領用表!$E:$E,$B6,領用表!$B:$B,Q$2&amp;$P$1)</f>
        <v>0</v>
      </c>
      <c r="R6" s="142">
        <f>SUMIFS(領用表!$L:$L,領用表!$E:$E,$B6,領用表!$B:$B,R$2&amp;$P$1)</f>
        <v>0</v>
      </c>
      <c r="S6" s="142">
        <f>SUMIFS(領用表!$L:$L,領用表!$E:$E,$B6,領用表!$B:$B,S$2&amp;$P$1)</f>
        <v>0</v>
      </c>
      <c r="T6" s="142">
        <f>SUMIFS(領用表!$L:$L,領用表!$E:$E,$B6,領用表!$B:$B,T$2&amp;$P$1)</f>
        <v>0</v>
      </c>
      <c r="U6" s="142">
        <f>SUMIFS(領用表!$L:$L,領用表!$E:$E,$B6,領用表!$B:$B,U$2&amp;$P$1)</f>
        <v>0</v>
      </c>
      <c r="V6" s="142">
        <f>SUMIFS(領用表!$L:$L,領用表!$E:$E,$B6,領用表!$B:$B,V$2&amp;$P$1)</f>
        <v>0</v>
      </c>
      <c r="W6" s="142">
        <f>SUMIFS(領用表!$L:$L,領用表!$E:$E,$B6,領用表!$B:$B,W$2&amp;$P$1)</f>
        <v>0</v>
      </c>
      <c r="X6" s="142">
        <f>SUMIFS(領用表!$L:$L,領用表!$E:$E,$B6,領用表!$B:$B,X$2&amp;$P$1)</f>
        <v>0</v>
      </c>
      <c r="Y6" s="142">
        <f>SUMIFS(領用表!$L:$L,領用表!$E:$E,$B6,領用表!$B:$B,Y$2&amp;$P$1)</f>
        <v>0</v>
      </c>
      <c r="Z6" s="142">
        <f>SUMIFS(領用表!$L:$L,領用表!$E:$E,$B6,領用表!$B:$B,Z$2&amp;$P$1)</f>
        <v>0</v>
      </c>
      <c r="AA6" s="142">
        <f>SUMIFS(領用表!$L:$L,領用表!$E:$E,$B6,領用表!$B:$B,AA$2&amp;$P$1)</f>
        <v>0</v>
      </c>
      <c r="AB6" s="142">
        <f t="shared" si="2"/>
        <v>0</v>
      </c>
      <c r="AC6" s="142">
        <f t="shared" si="3"/>
        <v>0</v>
      </c>
      <c r="AD6" s="142">
        <f>SUMIF(Summary!B:B,B6,Summary!DV:DV)</f>
        <v>10</v>
      </c>
      <c r="AE6" s="101">
        <v>3</v>
      </c>
      <c r="AF6" s="24">
        <v>0</v>
      </c>
      <c r="AG6" s="25"/>
      <c r="AH6" s="25"/>
      <c r="AI6" s="27"/>
      <c r="AJ6" s="28"/>
      <c r="AK6" s="14"/>
      <c r="AL6" s="29"/>
    </row>
    <row r="7" spans="1:38" ht="15.75" customHeight="1">
      <c r="A7" s="27" t="s">
        <v>20</v>
      </c>
      <c r="B7" s="14">
        <v>6150004</v>
      </c>
      <c r="C7" s="118" t="s">
        <v>598</v>
      </c>
      <c r="D7" s="16">
        <v>2</v>
      </c>
      <c r="E7" s="17" t="s">
        <v>15</v>
      </c>
      <c r="F7" s="18"/>
      <c r="G7" s="18">
        <v>3</v>
      </c>
      <c r="H7" s="20">
        <f>SUMIFS(領用表!$L:$L,領用表!$E:$E,$B7,領用表!$B:$B,H$2&amp;$P$1)</f>
        <v>0</v>
      </c>
      <c r="I7" s="20">
        <f>SUMIFS(領用表!$L:$L,領用表!$E:$E,$B7,領用表!$B:$B,I$2&amp;$P$1)</f>
        <v>0</v>
      </c>
      <c r="J7" s="20">
        <f>SUMIFS(領用表!$L:$L,領用表!$E:$E,$B7,領用表!$B:$B,J$2&amp;$P$1)</f>
        <v>0</v>
      </c>
      <c r="K7" s="142">
        <f>SUMIFS(領用表!$L:$L,領用表!$E:$E,$B7,領用表!$B:$B,K$2&amp;$P$1)</f>
        <v>0</v>
      </c>
      <c r="L7" s="142">
        <f>SUMIFS(領用表!$L:$L,領用表!$E:$E,$B7,領用表!$B:$B,L$2&amp;$P$1)</f>
        <v>0</v>
      </c>
      <c r="M7" s="142">
        <f>SUMIFS(領用表!$L:$L,領用表!$E:$E,$B7,領用表!$B:$B,M$2&amp;$P$1)</f>
        <v>0</v>
      </c>
      <c r="N7" s="23">
        <f t="shared" si="0"/>
        <v>0</v>
      </c>
      <c r="O7" s="23">
        <f t="shared" si="1"/>
        <v>0</v>
      </c>
      <c r="P7" s="142">
        <f>SUMIFS(領用表!$L:$L,領用表!$E:$E,$B7,領用表!$B:$B,P$2&amp;$P$1)</f>
        <v>0</v>
      </c>
      <c r="Q7" s="142">
        <f>SUMIFS(領用表!$L:$L,領用表!$E:$E,$B7,領用表!$B:$B,Q$2&amp;$P$1)</f>
        <v>2</v>
      </c>
      <c r="R7" s="142">
        <f>SUMIFS(領用表!$L:$L,領用表!$E:$E,$B7,領用表!$B:$B,R$2&amp;$P$1)</f>
        <v>5</v>
      </c>
      <c r="S7" s="142">
        <f>SUMIFS(領用表!$L:$L,領用表!$E:$E,$B7,領用表!$B:$B,S$2&amp;$P$1)</f>
        <v>8</v>
      </c>
      <c r="T7" s="142">
        <f>SUMIFS(領用表!$L:$L,領用表!$E:$E,$B7,領用表!$B:$B,T$2&amp;$P$1)</f>
        <v>5</v>
      </c>
      <c r="U7" s="142">
        <f>SUMIFS(領用表!$L:$L,領用表!$E:$E,$B7,領用表!$B:$B,U$2&amp;$P$1)</f>
        <v>0</v>
      </c>
      <c r="V7" s="142">
        <f>SUMIFS(領用表!$L:$L,領用表!$E:$E,$B7,領用表!$B:$B,V$2&amp;$P$1)</f>
        <v>0</v>
      </c>
      <c r="W7" s="142">
        <f>SUMIFS(領用表!$L:$L,領用表!$E:$E,$B7,領用表!$B:$B,W$2&amp;$P$1)</f>
        <v>0</v>
      </c>
      <c r="X7" s="142">
        <f>SUMIFS(領用表!$L:$L,領用表!$E:$E,$B7,領用表!$B:$B,X$2&amp;$P$1)</f>
        <v>0</v>
      </c>
      <c r="Y7" s="142">
        <f>SUMIFS(領用表!$L:$L,領用表!$E:$E,$B7,領用表!$B:$B,Y$2&amp;$P$1)</f>
        <v>0</v>
      </c>
      <c r="Z7" s="142">
        <f>SUMIFS(領用表!$L:$L,領用表!$E:$E,$B7,領用表!$B:$B,Z$2&amp;$P$1)</f>
        <v>0</v>
      </c>
      <c r="AA7" s="142">
        <f>SUMIFS(領用表!$L:$L,領用表!$E:$E,$B7,領用表!$B:$B,AA$2&amp;$P$1)</f>
        <v>0</v>
      </c>
      <c r="AB7" s="142">
        <f t="shared" si="2"/>
        <v>20</v>
      </c>
      <c r="AC7" s="142">
        <f t="shared" si="3"/>
        <v>5</v>
      </c>
      <c r="AD7" s="142">
        <f>SUMIF(Summary!B:B,B7,Summary!DV:DV)</f>
        <v>15</v>
      </c>
      <c r="AE7" s="101">
        <v>20</v>
      </c>
      <c r="AF7" s="24">
        <v>0</v>
      </c>
      <c r="AG7" s="25"/>
      <c r="AH7" s="25" t="s">
        <v>21</v>
      </c>
      <c r="AI7" s="27"/>
      <c r="AJ7" s="28"/>
      <c r="AK7" s="14"/>
      <c r="AL7" s="29"/>
    </row>
    <row r="8" spans="1:38" ht="15.75" customHeight="1">
      <c r="A8" s="27" t="s">
        <v>22</v>
      </c>
      <c r="B8" s="14">
        <v>6150005</v>
      </c>
      <c r="C8" s="411" t="s">
        <v>889</v>
      </c>
      <c r="D8" s="16">
        <v>2</v>
      </c>
      <c r="E8" s="17" t="s">
        <v>15</v>
      </c>
      <c r="F8" s="18"/>
      <c r="G8" s="18">
        <v>0</v>
      </c>
      <c r="H8" s="20">
        <f>SUMIFS(領用表!$L:$L,領用表!$E:$E,$B8,領用表!$B:$B,H$2&amp;$P$1)</f>
        <v>0</v>
      </c>
      <c r="I8" s="20">
        <f>SUMIFS(領用表!$L:$L,領用表!$E:$E,$B8,領用表!$B:$B,I$2&amp;$P$1)</f>
        <v>0</v>
      </c>
      <c r="J8" s="20">
        <f>SUMIFS(領用表!$L:$L,領用表!$E:$E,$B8,領用表!$B:$B,J$2&amp;$P$1)</f>
        <v>0</v>
      </c>
      <c r="K8" s="142">
        <f>SUMIFS(領用表!$L:$L,領用表!$E:$E,$B8,領用表!$B:$B,K$2&amp;$P$1)</f>
        <v>0</v>
      </c>
      <c r="L8" s="142">
        <f>SUMIFS(領用表!$L:$L,領用表!$E:$E,$B8,領用表!$B:$B,L$2&amp;$P$1)</f>
        <v>0</v>
      </c>
      <c r="M8" s="142">
        <f>SUMIFS(領用表!$L:$L,領用表!$E:$E,$B8,領用表!$B:$B,M$2&amp;$P$1)</f>
        <v>0</v>
      </c>
      <c r="N8" s="23">
        <f t="shared" si="0"/>
        <v>0</v>
      </c>
      <c r="O8" s="23">
        <f t="shared" si="1"/>
        <v>0</v>
      </c>
      <c r="P8" s="142">
        <f>SUMIFS(領用表!$L:$L,領用表!$E:$E,$B8,領用表!$B:$B,P$2&amp;$P$1)</f>
        <v>0</v>
      </c>
      <c r="Q8" s="142">
        <f>SUMIFS(領用表!$L:$L,領用表!$E:$E,$B8,領用表!$B:$B,Q$2&amp;$P$1)</f>
        <v>0</v>
      </c>
      <c r="R8" s="142">
        <f>SUMIFS(領用表!$L:$L,領用表!$E:$E,$B8,領用表!$B:$B,R$2&amp;$P$1)</f>
        <v>1</v>
      </c>
      <c r="S8" s="142">
        <f>SUMIFS(領用表!$L:$L,領用表!$E:$E,$B8,領用表!$B:$B,S$2&amp;$P$1)</f>
        <v>0</v>
      </c>
      <c r="T8" s="142">
        <f>SUMIFS(領用表!$L:$L,領用表!$E:$E,$B8,領用表!$B:$B,T$2&amp;$P$1)</f>
        <v>0</v>
      </c>
      <c r="U8" s="142">
        <f>SUMIFS(領用表!$L:$L,領用表!$E:$E,$B8,領用表!$B:$B,U$2&amp;$P$1)</f>
        <v>0</v>
      </c>
      <c r="V8" s="142">
        <f>SUMIFS(領用表!$L:$L,領用表!$E:$E,$B8,領用表!$B:$B,V$2&amp;$P$1)</f>
        <v>0</v>
      </c>
      <c r="W8" s="142">
        <f>SUMIFS(領用表!$L:$L,領用表!$E:$E,$B8,領用表!$B:$B,W$2&amp;$P$1)</f>
        <v>0</v>
      </c>
      <c r="X8" s="142">
        <f>SUMIFS(領用表!$L:$L,領用表!$E:$E,$B8,領用表!$B:$B,X$2&amp;$P$1)</f>
        <v>0</v>
      </c>
      <c r="Y8" s="142">
        <f>SUMIFS(領用表!$L:$L,領用表!$E:$E,$B8,領用表!$B:$B,Y$2&amp;$P$1)</f>
        <v>0</v>
      </c>
      <c r="Z8" s="142">
        <f>SUMIFS(領用表!$L:$L,領用表!$E:$E,$B8,領用表!$B:$B,Z$2&amp;$P$1)</f>
        <v>0</v>
      </c>
      <c r="AA8" s="142">
        <f>SUMIFS(領用表!$L:$L,領用表!$E:$E,$B8,領用表!$B:$B,AA$2&amp;$P$1)</f>
        <v>0</v>
      </c>
      <c r="AB8" s="142">
        <f t="shared" si="2"/>
        <v>1</v>
      </c>
      <c r="AC8" s="142">
        <f t="shared" si="3"/>
        <v>0.25</v>
      </c>
      <c r="AD8" s="142">
        <f>SUMIF(Summary!B:B,B8,Summary!DV:DV)</f>
        <v>5</v>
      </c>
      <c r="AE8" s="101"/>
      <c r="AF8" s="24">
        <v>0</v>
      </c>
      <c r="AG8" s="25"/>
      <c r="AH8" s="25"/>
      <c r="AI8" s="27"/>
      <c r="AJ8" s="28"/>
      <c r="AK8" s="14"/>
      <c r="AL8" s="29"/>
    </row>
    <row r="9" spans="1:38" ht="15.75" customHeight="1">
      <c r="A9" s="27"/>
      <c r="B9" s="118">
        <v>6150015</v>
      </c>
      <c r="C9" s="118" t="s">
        <v>906</v>
      </c>
      <c r="D9" s="16">
        <v>2</v>
      </c>
      <c r="E9" s="17" t="s">
        <v>15</v>
      </c>
      <c r="F9" s="18"/>
      <c r="G9" s="18">
        <v>1</v>
      </c>
      <c r="H9" s="20"/>
      <c r="I9" s="20"/>
      <c r="J9" s="20"/>
      <c r="K9" s="142"/>
      <c r="L9" s="142"/>
      <c r="M9" s="142"/>
      <c r="N9" s="23"/>
      <c r="O9" s="23"/>
      <c r="P9" s="142">
        <f>SUMIFS(領用表!$L:$L,領用表!$E:$E,$B9,領用表!$B:$B,P$2&amp;$P$1)</f>
        <v>0</v>
      </c>
      <c r="Q9" s="142">
        <f>SUMIFS(領用表!$L:$L,領用表!$E:$E,$B9,領用表!$B:$B,Q$2&amp;$P$1)</f>
        <v>0</v>
      </c>
      <c r="R9" s="142">
        <f>SUMIFS(領用表!$L:$L,領用表!$E:$E,$B9,領用表!$B:$B,R$2&amp;$P$1)</f>
        <v>0</v>
      </c>
      <c r="S9" s="142">
        <f>SUMIFS(領用表!$L:$L,領用表!$E:$E,$B9,領用表!$B:$B,S$2&amp;$P$1)</f>
        <v>0</v>
      </c>
      <c r="T9" s="142">
        <f>SUMIFS(領用表!$L:$L,領用表!$E:$E,$B9,領用表!$B:$B,T$2&amp;$P$1)</f>
        <v>2</v>
      </c>
      <c r="U9" s="142">
        <f>SUMIFS(領用表!$L:$L,領用表!$E:$E,$B9,領用表!$B:$B,U$2&amp;$P$1)</f>
        <v>0</v>
      </c>
      <c r="V9" s="142">
        <f>SUMIFS(領用表!$L:$L,領用表!$E:$E,$B9,領用表!$B:$B,V$2&amp;$P$1)</f>
        <v>0</v>
      </c>
      <c r="W9" s="142">
        <f>SUMIFS(領用表!$L:$L,領用表!$E:$E,$B9,領用表!$B:$B,W$2&amp;$P$1)</f>
        <v>0</v>
      </c>
      <c r="X9" s="142">
        <f>SUMIFS(領用表!$L:$L,領用表!$E:$E,$B9,領用表!$B:$B,X$2&amp;$P$1)</f>
        <v>0</v>
      </c>
      <c r="Y9" s="142">
        <f>SUMIFS(領用表!$L:$L,領用表!$E:$E,$B9,領用表!$B:$B,Y$2&amp;$P$1)</f>
        <v>0</v>
      </c>
      <c r="Z9" s="142">
        <f>SUMIFS(領用表!$L:$L,領用表!$E:$E,$B9,領用表!$B:$B,Z$2&amp;$P$1)</f>
        <v>0</v>
      </c>
      <c r="AA9" s="142">
        <f>SUMIFS(領用表!$L:$L,領用表!$E:$E,$B9,領用表!$B:$B,AA$2&amp;$P$1)</f>
        <v>0</v>
      </c>
      <c r="AB9" s="142">
        <f t="shared" si="2"/>
        <v>2</v>
      </c>
      <c r="AC9" s="142">
        <f t="shared" si="3"/>
        <v>0.5</v>
      </c>
      <c r="AD9" s="142">
        <f>SUMIF(Summary!B:B,B9,Summary!DV:DV)</f>
        <v>0</v>
      </c>
      <c r="AE9" s="101"/>
      <c r="AF9" s="32"/>
      <c r="AG9" s="25"/>
      <c r="AH9" s="25"/>
      <c r="AI9" s="27"/>
      <c r="AJ9" s="28"/>
      <c r="AK9" s="14"/>
      <c r="AL9" s="29"/>
    </row>
    <row r="10" spans="1:38" ht="15.75" customHeight="1">
      <c r="A10" s="27"/>
      <c r="B10" s="118">
        <v>6150016</v>
      </c>
      <c r="C10" s="432" t="s">
        <v>962</v>
      </c>
      <c r="D10" s="16">
        <v>1</v>
      </c>
      <c r="E10" s="17" t="s">
        <v>15</v>
      </c>
      <c r="F10" s="18"/>
      <c r="G10" s="18">
        <v>3</v>
      </c>
      <c r="H10" s="20"/>
      <c r="I10" s="20"/>
      <c r="J10" s="20"/>
      <c r="K10" s="142"/>
      <c r="L10" s="142"/>
      <c r="M10" s="142"/>
      <c r="N10" s="23"/>
      <c r="O10" s="23"/>
      <c r="P10" s="142"/>
      <c r="Q10" s="142"/>
      <c r="R10" s="142"/>
      <c r="S10" s="142"/>
      <c r="T10" s="142">
        <f>SUMIFS(領用表!$L:$L,領用表!$E:$E,$B10,領用表!$B:$B,T$2&amp;$P$1)</f>
        <v>0</v>
      </c>
      <c r="U10" s="142"/>
      <c r="V10" s="142"/>
      <c r="W10" s="142"/>
      <c r="X10" s="142"/>
      <c r="Y10" s="142"/>
      <c r="Z10" s="142"/>
      <c r="AA10" s="142"/>
      <c r="AB10" s="142">
        <f t="shared" si="2"/>
        <v>0</v>
      </c>
      <c r="AC10" s="142">
        <f t="shared" ref="AC10" si="4">AVERAGE(Q10,R10,S10,T10)</f>
        <v>0</v>
      </c>
      <c r="AD10" s="142">
        <f>SUMIF(Summary!B:B,B10,Summary!DV:DV)</f>
        <v>0</v>
      </c>
      <c r="AE10" s="101"/>
      <c r="AF10" s="32"/>
      <c r="AG10" s="25"/>
      <c r="AH10" s="25"/>
      <c r="AI10" s="27"/>
      <c r="AJ10" s="28"/>
      <c r="AK10" s="14"/>
      <c r="AL10" s="29"/>
    </row>
    <row r="11" spans="1:38" ht="15.75" customHeight="1">
      <c r="A11" s="27" t="s">
        <v>23</v>
      </c>
      <c r="B11" s="14">
        <v>6180015</v>
      </c>
      <c r="C11" s="118" t="s">
        <v>600</v>
      </c>
      <c r="D11" s="16">
        <v>2</v>
      </c>
      <c r="E11" s="17" t="s">
        <v>15</v>
      </c>
      <c r="F11" s="18"/>
      <c r="G11" s="18">
        <v>0</v>
      </c>
      <c r="H11" s="20">
        <f>SUMIFS(領用表!$L:$L,領用表!$E:$E,$B11,領用表!$B:$B,H$2&amp;$P$1)</f>
        <v>0</v>
      </c>
      <c r="I11" s="20">
        <f>SUMIFS(領用表!$L:$L,領用表!$E:$E,$B11,領用表!$B:$B,I$2&amp;$P$1)</f>
        <v>0</v>
      </c>
      <c r="J11" s="20">
        <f>SUMIFS(領用表!$L:$L,領用表!$E:$E,$B11,領用表!$B:$B,J$2&amp;$P$1)</f>
        <v>0</v>
      </c>
      <c r="K11" s="142">
        <f>SUMIFS(領用表!$L:$L,領用表!$E:$E,$B11,領用表!$B:$B,K$2&amp;$P$1)</f>
        <v>0</v>
      </c>
      <c r="L11" s="142">
        <f>SUMIFS(領用表!$L:$L,領用表!$E:$E,$B11,領用表!$B:$B,L$2&amp;$P$1)</f>
        <v>0</v>
      </c>
      <c r="M11" s="142">
        <f>SUMIFS(領用表!$L:$L,領用表!$E:$E,$B11,領用表!$B:$B,M$2&amp;$P$1)</f>
        <v>0</v>
      </c>
      <c r="N11" s="23">
        <f t="shared" si="0"/>
        <v>0</v>
      </c>
      <c r="O11" s="23">
        <f t="shared" si="1"/>
        <v>0</v>
      </c>
      <c r="P11" s="142">
        <f>SUMIFS(領用表!$L:$L,領用表!$E:$E,$B11,領用表!$B:$B,P$2&amp;$P$1)</f>
        <v>0</v>
      </c>
      <c r="Q11" s="142">
        <f>SUMIFS(領用表!$L:$L,領用表!$E:$E,$B11,領用表!$B:$B,Q$2&amp;$P$1)</f>
        <v>0</v>
      </c>
      <c r="R11" s="142">
        <f>SUMIFS(領用表!$L:$L,領用表!$E:$E,$B11,領用表!$B:$B,R$2&amp;$P$1)</f>
        <v>0</v>
      </c>
      <c r="S11" s="142">
        <f>SUMIFS(領用表!$L:$L,領用表!$E:$E,$B11,領用表!$B:$B,S$2&amp;$P$1)</f>
        <v>0</v>
      </c>
      <c r="T11" s="142">
        <f>SUMIFS(領用表!$L:$L,領用表!$E:$E,$B11,領用表!$B:$B,T$2&amp;$P$1)</f>
        <v>0</v>
      </c>
      <c r="U11" s="142">
        <f>SUMIFS(領用表!$L:$L,領用表!$E:$E,$B11,領用表!$B:$B,U$2&amp;$P$1)</f>
        <v>0</v>
      </c>
      <c r="V11" s="142">
        <f>SUMIFS(領用表!$L:$L,領用表!$E:$E,$B11,領用表!$B:$B,V$2&amp;$P$1)</f>
        <v>0</v>
      </c>
      <c r="W11" s="142">
        <f>SUMIFS(領用表!$L:$L,領用表!$E:$E,$B11,領用表!$B:$B,W$2&amp;$P$1)</f>
        <v>0</v>
      </c>
      <c r="X11" s="142">
        <f>SUMIFS(領用表!$L:$L,領用表!$E:$E,$B11,領用表!$B:$B,X$2&amp;$P$1)</f>
        <v>0</v>
      </c>
      <c r="Y11" s="142">
        <f>SUMIFS(領用表!$L:$L,領用表!$E:$E,$B11,領用表!$B:$B,Y$2&amp;$P$1)</f>
        <v>0</v>
      </c>
      <c r="Z11" s="142">
        <f>SUMIFS(領用表!$L:$L,領用表!$E:$E,$B11,領用表!$B:$B,Z$2&amp;$P$1)</f>
        <v>0</v>
      </c>
      <c r="AA11" s="142">
        <f>SUMIFS(領用表!$L:$L,領用表!$E:$E,$B11,領用表!$B:$B,AA$2&amp;$P$1)</f>
        <v>0</v>
      </c>
      <c r="AB11" s="142">
        <f t="shared" si="2"/>
        <v>0</v>
      </c>
      <c r="AC11" s="142">
        <f t="shared" si="3"/>
        <v>0</v>
      </c>
      <c r="AD11" s="142">
        <f>SUMIF(Summary!B:B,B11,Summary!DV:DV)</f>
        <v>1</v>
      </c>
      <c r="AE11" s="101">
        <v>0</v>
      </c>
      <c r="AF11" s="482"/>
      <c r="AG11" s="25"/>
      <c r="AH11" s="25"/>
      <c r="AI11" s="27"/>
      <c r="AJ11" s="28"/>
      <c r="AK11" s="14"/>
      <c r="AL11" s="29"/>
    </row>
    <row r="12" spans="1:38" ht="15.75" customHeight="1">
      <c r="A12" s="27" t="s">
        <v>24</v>
      </c>
      <c r="B12" s="14">
        <v>6180005</v>
      </c>
      <c r="C12" s="118" t="s">
        <v>601</v>
      </c>
      <c r="D12" s="16">
        <v>20</v>
      </c>
      <c r="E12" s="17" t="s">
        <v>15</v>
      </c>
      <c r="F12" s="18"/>
      <c r="G12" s="18">
        <v>4</v>
      </c>
      <c r="H12" s="20">
        <f>SUMIFS(領用表!$L:$L,領用表!$E:$E,$B12,領用表!$B:$B,H$2&amp;$P$1)</f>
        <v>0</v>
      </c>
      <c r="I12" s="20">
        <f>SUMIFS(領用表!$L:$L,領用表!$E:$E,$B12,領用表!$B:$B,I$2&amp;$P$1)</f>
        <v>0</v>
      </c>
      <c r="J12" s="20">
        <f>SUMIFS(領用表!$L:$L,領用表!$E:$E,$B12,領用表!$B:$B,J$2&amp;$P$1)</f>
        <v>0</v>
      </c>
      <c r="K12" s="142">
        <f>SUMIFS(領用表!$L:$L,領用表!$E:$E,$B12,領用表!$B:$B,K$2&amp;$P$1)</f>
        <v>0</v>
      </c>
      <c r="L12" s="142">
        <f>SUMIFS(領用表!$L:$L,領用表!$E:$E,$B12,領用表!$B:$B,L$2&amp;$P$1)</f>
        <v>0</v>
      </c>
      <c r="M12" s="142">
        <f>SUMIFS(領用表!$L:$L,領用表!$E:$E,$B12,領用表!$B:$B,M$2&amp;$P$1)</f>
        <v>0</v>
      </c>
      <c r="N12" s="23">
        <f t="shared" si="0"/>
        <v>0</v>
      </c>
      <c r="O12" s="23">
        <f t="shared" si="1"/>
        <v>0</v>
      </c>
      <c r="P12" s="142">
        <f>SUMIFS(領用表!$L:$L,領用表!$E:$E,$B12,領用表!$B:$B,P$2&amp;$P$1)</f>
        <v>0</v>
      </c>
      <c r="Q12" s="142">
        <f>SUMIFS(領用表!$L:$L,領用表!$E:$E,$B12,領用表!$B:$B,Q$2&amp;$P$1)</f>
        <v>0</v>
      </c>
      <c r="R12" s="142">
        <f>SUMIFS(領用表!$L:$L,領用表!$E:$E,$B12,領用表!$B:$B,R$2&amp;$P$1)</f>
        <v>0</v>
      </c>
      <c r="S12" s="142">
        <f>SUMIFS(領用表!$L:$L,領用表!$E:$E,$B12,領用表!$B:$B,S$2&amp;$P$1)</f>
        <v>0</v>
      </c>
      <c r="T12" s="142">
        <f>SUMIFS(領用表!$L:$L,領用表!$E:$E,$B12,領用表!$B:$B,T$2&amp;$P$1)</f>
        <v>0</v>
      </c>
      <c r="U12" s="142">
        <f>SUMIFS(領用表!$L:$L,領用表!$E:$E,$B12,領用表!$B:$B,U$2&amp;$P$1)</f>
        <v>0</v>
      </c>
      <c r="V12" s="142">
        <f>SUMIFS(領用表!$L:$L,領用表!$E:$E,$B12,領用表!$B:$B,V$2&amp;$P$1)</f>
        <v>0</v>
      </c>
      <c r="W12" s="142">
        <f>SUMIFS(領用表!$L:$L,領用表!$E:$E,$B12,領用表!$B:$B,W$2&amp;$P$1)</f>
        <v>0</v>
      </c>
      <c r="X12" s="142">
        <f>SUMIFS(領用表!$L:$L,領用表!$E:$E,$B12,領用表!$B:$B,X$2&amp;$P$1)</f>
        <v>0</v>
      </c>
      <c r="Y12" s="142">
        <f>SUMIFS(領用表!$L:$L,領用表!$E:$E,$B12,領用表!$B:$B,Y$2&amp;$P$1)</f>
        <v>0</v>
      </c>
      <c r="Z12" s="142">
        <f>SUMIFS(領用表!$L:$L,領用表!$E:$E,$B12,領用表!$B:$B,Z$2&amp;$P$1)</f>
        <v>0</v>
      </c>
      <c r="AA12" s="142">
        <f>SUMIFS(領用表!$L:$L,領用表!$E:$E,$B12,領用表!$B:$B,AA$2&amp;$P$1)</f>
        <v>0</v>
      </c>
      <c r="AB12" s="142">
        <f t="shared" si="2"/>
        <v>0</v>
      </c>
      <c r="AC12" s="142">
        <f t="shared" si="3"/>
        <v>0</v>
      </c>
      <c r="AD12" s="142">
        <f>SUMIF(Summary!B:B,B12,Summary!DV:DV)</f>
        <v>10</v>
      </c>
      <c r="AE12" s="101">
        <v>0</v>
      </c>
      <c r="AF12" s="478"/>
      <c r="AG12" s="25"/>
      <c r="AH12" s="25"/>
      <c r="AI12" s="27"/>
      <c r="AJ12" s="28"/>
      <c r="AK12" s="14"/>
      <c r="AL12" s="29"/>
    </row>
    <row r="13" spans="1:38" ht="15.75" customHeight="1">
      <c r="A13" s="27" t="s">
        <v>25</v>
      </c>
      <c r="B13" s="14">
        <v>6180013</v>
      </c>
      <c r="C13" s="118" t="s">
        <v>602</v>
      </c>
      <c r="D13" s="16">
        <v>20</v>
      </c>
      <c r="E13" s="17" t="s">
        <v>15</v>
      </c>
      <c r="F13" s="18"/>
      <c r="G13" s="18">
        <v>0</v>
      </c>
      <c r="H13" s="20">
        <f>SUMIFS(領用表!$L:$L,領用表!$E:$E,$B13,領用表!$B:$B,H$2&amp;$P$1)</f>
        <v>0</v>
      </c>
      <c r="I13" s="20">
        <f>SUMIFS(領用表!$L:$L,領用表!$E:$E,$B13,領用表!$B:$B,I$2&amp;$P$1)</f>
        <v>0</v>
      </c>
      <c r="J13" s="20">
        <f>SUMIFS(領用表!$L:$L,領用表!$E:$E,$B13,領用表!$B:$B,J$2&amp;$P$1)</f>
        <v>0</v>
      </c>
      <c r="K13" s="142">
        <f>SUMIFS(領用表!$L:$L,領用表!$E:$E,$B13,領用表!$B:$B,K$2&amp;$P$1)</f>
        <v>0</v>
      </c>
      <c r="L13" s="142">
        <f>SUMIFS(領用表!$L:$L,領用表!$E:$E,$B13,領用表!$B:$B,L$2&amp;$P$1)</f>
        <v>0</v>
      </c>
      <c r="M13" s="142">
        <f>SUMIFS(領用表!$L:$L,領用表!$E:$E,$B13,領用表!$B:$B,M$2&amp;$P$1)</f>
        <v>0</v>
      </c>
      <c r="N13" s="23">
        <f t="shared" si="0"/>
        <v>0</v>
      </c>
      <c r="O13" s="23">
        <f t="shared" si="1"/>
        <v>0</v>
      </c>
      <c r="P13" s="142">
        <f>SUMIFS(領用表!$L:$L,領用表!$E:$E,$B13,領用表!$B:$B,P$2&amp;$P$1)</f>
        <v>0</v>
      </c>
      <c r="Q13" s="142">
        <f>SUMIFS(領用表!$L:$L,領用表!$E:$E,$B13,領用表!$B:$B,Q$2&amp;$P$1)</f>
        <v>0</v>
      </c>
      <c r="R13" s="142">
        <f>SUMIFS(領用表!$L:$L,領用表!$E:$E,$B13,領用表!$B:$B,R$2&amp;$P$1)</f>
        <v>12</v>
      </c>
      <c r="S13" s="142">
        <f>SUMIFS(領用表!$L:$L,領用表!$E:$E,$B13,領用表!$B:$B,S$2&amp;$P$1)</f>
        <v>0</v>
      </c>
      <c r="T13" s="142">
        <f>SUMIFS(領用表!$L:$L,領用表!$E:$E,$B13,領用表!$B:$B,T$2&amp;$P$1)</f>
        <v>0</v>
      </c>
      <c r="U13" s="142">
        <f>SUMIFS(領用表!$L:$L,領用表!$E:$E,$B13,領用表!$B:$B,U$2&amp;$P$1)</f>
        <v>0</v>
      </c>
      <c r="V13" s="142">
        <f>SUMIFS(領用表!$L:$L,領用表!$E:$E,$B13,領用表!$B:$B,V$2&amp;$P$1)</f>
        <v>0</v>
      </c>
      <c r="W13" s="142">
        <f>SUMIFS(領用表!$L:$L,領用表!$E:$E,$B13,領用表!$B:$B,W$2&amp;$P$1)</f>
        <v>0</v>
      </c>
      <c r="X13" s="142">
        <f>SUMIFS(領用表!$L:$L,領用表!$E:$E,$B13,領用表!$B:$B,X$2&amp;$P$1)</f>
        <v>0</v>
      </c>
      <c r="Y13" s="142">
        <f>SUMIFS(領用表!$L:$L,領用表!$E:$E,$B13,領用表!$B:$B,Y$2&amp;$P$1)</f>
        <v>0</v>
      </c>
      <c r="Z13" s="142">
        <f>SUMIFS(領用表!$L:$L,領用表!$E:$E,$B13,領用表!$B:$B,Z$2&amp;$P$1)</f>
        <v>0</v>
      </c>
      <c r="AA13" s="142">
        <f>SUMIFS(領用表!$L:$L,領用表!$E:$E,$B13,領用表!$B:$B,AA$2&amp;$P$1)</f>
        <v>0</v>
      </c>
      <c r="AB13" s="142">
        <f t="shared" si="2"/>
        <v>12</v>
      </c>
      <c r="AC13" s="142">
        <f t="shared" si="3"/>
        <v>3</v>
      </c>
      <c r="AD13" s="142">
        <f>SUMIF(Summary!B:B,B13,Summary!DV:DV)</f>
        <v>5</v>
      </c>
      <c r="AE13" s="101">
        <v>5</v>
      </c>
      <c r="AF13" s="478"/>
      <c r="AG13" s="25"/>
      <c r="AH13" s="25"/>
      <c r="AI13" s="27"/>
      <c r="AJ13" s="28"/>
      <c r="AK13" s="14"/>
      <c r="AL13" s="29"/>
    </row>
    <row r="14" spans="1:38" ht="15.75" customHeight="1">
      <c r="A14" s="27" t="s">
        <v>26</v>
      </c>
      <c r="B14" s="14">
        <v>6180007</v>
      </c>
      <c r="C14" s="118" t="s">
        <v>603</v>
      </c>
      <c r="D14" s="16">
        <v>20</v>
      </c>
      <c r="E14" s="17" t="s">
        <v>15</v>
      </c>
      <c r="F14" s="18"/>
      <c r="G14" s="18">
        <v>8</v>
      </c>
      <c r="H14" s="20">
        <f>SUMIFS(領用表!$L:$L,領用表!$E:$E,$B14,領用表!$B:$B,H$2&amp;$P$1)</f>
        <v>0</v>
      </c>
      <c r="I14" s="20">
        <f>SUMIFS(領用表!$L:$L,領用表!$E:$E,$B14,領用表!$B:$B,I$2&amp;$P$1)</f>
        <v>0</v>
      </c>
      <c r="J14" s="20">
        <f>SUMIFS(領用表!$L:$L,領用表!$E:$E,$B14,領用表!$B:$B,J$2&amp;$P$1)</f>
        <v>0</v>
      </c>
      <c r="K14" s="142">
        <f>SUMIFS(領用表!$L:$L,領用表!$E:$E,$B14,領用表!$B:$B,K$2&amp;$P$1)</f>
        <v>0</v>
      </c>
      <c r="L14" s="142">
        <f>SUMIFS(領用表!$L:$L,領用表!$E:$E,$B14,領用表!$B:$B,L$2&amp;$P$1)</f>
        <v>0</v>
      </c>
      <c r="M14" s="142">
        <f>SUMIFS(領用表!$L:$L,領用表!$E:$E,$B14,領用表!$B:$B,M$2&amp;$P$1)</f>
        <v>0</v>
      </c>
      <c r="N14" s="23">
        <f t="shared" si="0"/>
        <v>0</v>
      </c>
      <c r="O14" s="23">
        <f t="shared" si="1"/>
        <v>0</v>
      </c>
      <c r="P14" s="142">
        <f>SUMIFS(領用表!$L:$L,領用表!$E:$E,$B14,領用表!$B:$B,P$2&amp;$P$1)</f>
        <v>0</v>
      </c>
      <c r="Q14" s="142">
        <f>SUMIFS(領用表!$L:$L,領用表!$E:$E,$B14,領用表!$B:$B,Q$2&amp;$P$1)</f>
        <v>0</v>
      </c>
      <c r="R14" s="142">
        <f>SUMIFS(領用表!$L:$L,領用表!$E:$E,$B14,領用表!$B:$B,R$2&amp;$P$1)</f>
        <v>8</v>
      </c>
      <c r="S14" s="142">
        <f>SUMIFS(領用表!$L:$L,領用表!$E:$E,$B14,領用表!$B:$B,S$2&amp;$P$1)</f>
        <v>0</v>
      </c>
      <c r="T14" s="142">
        <f>SUMIFS(領用表!$L:$L,領用表!$E:$E,$B14,領用表!$B:$B,T$2&amp;$P$1)</f>
        <v>0</v>
      </c>
      <c r="U14" s="142">
        <f>SUMIFS(領用表!$L:$L,領用表!$E:$E,$B14,領用表!$B:$B,U$2&amp;$P$1)</f>
        <v>0</v>
      </c>
      <c r="V14" s="142">
        <f>SUMIFS(領用表!$L:$L,領用表!$E:$E,$B14,領用表!$B:$B,V$2&amp;$P$1)</f>
        <v>0</v>
      </c>
      <c r="W14" s="142">
        <f>SUMIFS(領用表!$L:$L,領用表!$E:$E,$B14,領用表!$B:$B,W$2&amp;$P$1)</f>
        <v>0</v>
      </c>
      <c r="X14" s="142">
        <f>SUMIFS(領用表!$L:$L,領用表!$E:$E,$B14,領用表!$B:$B,X$2&amp;$P$1)</f>
        <v>0</v>
      </c>
      <c r="Y14" s="142">
        <f>SUMIFS(領用表!$L:$L,領用表!$E:$E,$B14,領用表!$B:$B,Y$2&amp;$P$1)</f>
        <v>0</v>
      </c>
      <c r="Z14" s="142">
        <f>SUMIFS(領用表!$L:$L,領用表!$E:$E,$B14,領用表!$B:$B,Z$2&amp;$P$1)</f>
        <v>0</v>
      </c>
      <c r="AA14" s="142">
        <f>SUMIFS(領用表!$L:$L,領用表!$E:$E,$B14,領用表!$B:$B,AA$2&amp;$P$1)</f>
        <v>0</v>
      </c>
      <c r="AB14" s="142">
        <f t="shared" si="2"/>
        <v>8</v>
      </c>
      <c r="AC14" s="142">
        <f t="shared" si="3"/>
        <v>2</v>
      </c>
      <c r="AD14" s="142">
        <f>SUMIF(Summary!B:B,B14,Summary!DV:DV)</f>
        <v>12</v>
      </c>
      <c r="AE14" s="101">
        <v>12</v>
      </c>
      <c r="AF14" s="478"/>
      <c r="AG14" s="25"/>
      <c r="AH14" s="25"/>
      <c r="AI14" s="27"/>
      <c r="AJ14" s="28"/>
      <c r="AK14" s="14"/>
      <c r="AL14" s="29"/>
    </row>
    <row r="15" spans="1:38" ht="15.75" customHeight="1">
      <c r="A15" s="27" t="s">
        <v>27</v>
      </c>
      <c r="B15" s="14">
        <v>6180009</v>
      </c>
      <c r="C15" s="118" t="s">
        <v>604</v>
      </c>
      <c r="D15" s="16">
        <v>10</v>
      </c>
      <c r="E15" s="17" t="s">
        <v>15</v>
      </c>
      <c r="F15" s="18"/>
      <c r="G15" s="18">
        <v>6</v>
      </c>
      <c r="H15" s="20">
        <f>SUMIFS(領用表!$L:$L,領用表!$E:$E,$B15,領用表!$B:$B,H$2&amp;$P$1)</f>
        <v>0</v>
      </c>
      <c r="I15" s="20">
        <f>SUMIFS(領用表!$L:$L,領用表!$E:$E,$B15,領用表!$B:$B,I$2&amp;$P$1)</f>
        <v>0</v>
      </c>
      <c r="J15" s="20">
        <f>SUMIFS(領用表!$L:$L,領用表!$E:$E,$B15,領用表!$B:$B,J$2&amp;$P$1)</f>
        <v>0</v>
      </c>
      <c r="K15" s="142">
        <f>SUMIFS(領用表!$L:$L,領用表!$E:$E,$B15,領用表!$B:$B,K$2&amp;$P$1)</f>
        <v>0</v>
      </c>
      <c r="L15" s="142">
        <f>SUMIFS(領用表!$L:$L,領用表!$E:$E,$B15,領用表!$B:$B,L$2&amp;$P$1)</f>
        <v>0</v>
      </c>
      <c r="M15" s="142">
        <f>SUMIFS(領用表!$L:$L,領用表!$E:$E,$B15,領用表!$B:$B,M$2&amp;$P$1)</f>
        <v>0</v>
      </c>
      <c r="N15" s="23">
        <f t="shared" si="0"/>
        <v>0</v>
      </c>
      <c r="O15" s="23">
        <f t="shared" si="1"/>
        <v>0</v>
      </c>
      <c r="P15" s="142">
        <f>SUMIFS(領用表!$L:$L,領用表!$E:$E,$B15,領用表!$B:$B,P$2&amp;$P$1)</f>
        <v>0</v>
      </c>
      <c r="Q15" s="142">
        <f>SUMIFS(領用表!$L:$L,領用表!$E:$E,$B15,領用表!$B:$B,Q$2&amp;$P$1)</f>
        <v>0</v>
      </c>
      <c r="R15" s="142">
        <f>SUMIFS(領用表!$L:$L,領用表!$E:$E,$B15,領用表!$B:$B,R$2&amp;$P$1)</f>
        <v>0</v>
      </c>
      <c r="S15" s="142">
        <f>SUMIFS(領用表!$L:$L,領用表!$E:$E,$B15,領用表!$B:$B,S$2&amp;$P$1)</f>
        <v>8</v>
      </c>
      <c r="T15" s="142">
        <f>SUMIFS(領用表!$L:$L,領用表!$E:$E,$B15,領用表!$B:$B,T$2&amp;$P$1)</f>
        <v>0</v>
      </c>
      <c r="U15" s="142">
        <f>SUMIFS(領用表!$L:$L,領用表!$E:$E,$B15,領用表!$B:$B,U$2&amp;$P$1)</f>
        <v>0</v>
      </c>
      <c r="V15" s="142">
        <f>SUMIFS(領用表!$L:$L,領用表!$E:$E,$B15,領用表!$B:$B,V$2&amp;$P$1)</f>
        <v>0</v>
      </c>
      <c r="W15" s="142">
        <f>SUMIFS(領用表!$L:$L,領用表!$E:$E,$B15,領用表!$B:$B,W$2&amp;$P$1)</f>
        <v>0</v>
      </c>
      <c r="X15" s="142">
        <f>SUMIFS(領用表!$L:$L,領用表!$E:$E,$B15,領用表!$B:$B,X$2&amp;$P$1)</f>
        <v>0</v>
      </c>
      <c r="Y15" s="142">
        <f>SUMIFS(領用表!$L:$L,領用表!$E:$E,$B15,領用表!$B:$B,Y$2&amp;$P$1)</f>
        <v>0</v>
      </c>
      <c r="Z15" s="142">
        <f>SUMIFS(領用表!$L:$L,領用表!$E:$E,$B15,領用表!$B:$B,Z$2&amp;$P$1)</f>
        <v>0</v>
      </c>
      <c r="AA15" s="142">
        <f>SUMIFS(領用表!$L:$L,領用表!$E:$E,$B15,領用表!$B:$B,AA$2&amp;$P$1)</f>
        <v>0</v>
      </c>
      <c r="AB15" s="142">
        <f t="shared" si="2"/>
        <v>8</v>
      </c>
      <c r="AC15" s="142">
        <f t="shared" si="3"/>
        <v>2</v>
      </c>
      <c r="AD15" s="142">
        <f>SUMIF(Summary!B:B,B15,Summary!DV:DV)</f>
        <v>12</v>
      </c>
      <c r="AE15" s="101">
        <v>5</v>
      </c>
      <c r="AF15" s="478"/>
      <c r="AG15" s="25"/>
      <c r="AH15" s="25"/>
      <c r="AI15" s="27"/>
      <c r="AJ15" s="28"/>
      <c r="AK15" s="14"/>
      <c r="AL15" s="29"/>
    </row>
    <row r="16" spans="1:38" ht="15.75" customHeight="1">
      <c r="A16" s="27" t="s">
        <v>28</v>
      </c>
      <c r="B16" s="14">
        <v>6180011</v>
      </c>
      <c r="C16" s="118" t="s">
        <v>605</v>
      </c>
      <c r="D16" s="16">
        <v>10</v>
      </c>
      <c r="E16" s="17" t="s">
        <v>15</v>
      </c>
      <c r="F16" s="31"/>
      <c r="G16" s="18">
        <v>12</v>
      </c>
      <c r="H16" s="20">
        <f>SUMIFS(領用表!$L:$L,領用表!$E:$E,$B16,領用表!$B:$B,H$2&amp;$P$1)</f>
        <v>0</v>
      </c>
      <c r="I16" s="20">
        <f>SUMIFS(領用表!$L:$L,領用表!$E:$E,$B16,領用表!$B:$B,I$2&amp;$P$1)</f>
        <v>0</v>
      </c>
      <c r="J16" s="20">
        <f>SUMIFS(領用表!$L:$L,領用表!$E:$E,$B16,領用表!$B:$B,J$2&amp;$P$1)</f>
        <v>0</v>
      </c>
      <c r="K16" s="142">
        <f>SUMIFS(領用表!$L:$L,領用表!$E:$E,$B16,領用表!$B:$B,K$2&amp;$P$1)</f>
        <v>0</v>
      </c>
      <c r="L16" s="142">
        <f>SUMIFS(領用表!$L:$L,領用表!$E:$E,$B16,領用表!$B:$B,L$2&amp;$P$1)</f>
        <v>0</v>
      </c>
      <c r="M16" s="142">
        <f>SUMIFS(領用表!$L:$L,領用表!$E:$E,$B16,領用表!$B:$B,M$2&amp;$P$1)</f>
        <v>0</v>
      </c>
      <c r="N16" s="23">
        <f t="shared" si="0"/>
        <v>0</v>
      </c>
      <c r="O16" s="23">
        <f t="shared" si="1"/>
        <v>0</v>
      </c>
      <c r="P16" s="142">
        <f>SUMIFS(領用表!$L:$L,領用表!$E:$E,$B16,領用表!$B:$B,P$2&amp;$P$1)</f>
        <v>0</v>
      </c>
      <c r="Q16" s="142">
        <f>SUMIFS(領用表!$L:$L,領用表!$E:$E,$B16,領用表!$B:$B,Q$2&amp;$P$1)</f>
        <v>0</v>
      </c>
      <c r="R16" s="142">
        <f>SUMIFS(領用表!$L:$L,領用表!$E:$E,$B16,領用表!$B:$B,R$2&amp;$P$1)</f>
        <v>0</v>
      </c>
      <c r="S16" s="142">
        <f>SUMIFS(領用表!$L:$L,領用表!$E:$E,$B16,領用表!$B:$B,S$2&amp;$P$1)</f>
        <v>0</v>
      </c>
      <c r="T16" s="142">
        <f>SUMIFS(領用表!$L:$L,領用表!$E:$E,$B16,領用表!$B:$B,T$2&amp;$P$1)</f>
        <v>8</v>
      </c>
      <c r="U16" s="142">
        <f>SUMIFS(領用表!$L:$L,領用表!$E:$E,$B16,領用表!$B:$B,U$2&amp;$P$1)</f>
        <v>0</v>
      </c>
      <c r="V16" s="142">
        <f>SUMIFS(領用表!$L:$L,領用表!$E:$E,$B16,領用表!$B:$B,V$2&amp;$P$1)</f>
        <v>0</v>
      </c>
      <c r="W16" s="142">
        <f>SUMIFS(領用表!$L:$L,領用表!$E:$E,$B16,領用表!$B:$B,W$2&amp;$P$1)</f>
        <v>0</v>
      </c>
      <c r="X16" s="142">
        <f>SUMIFS(領用表!$L:$L,領用表!$E:$E,$B16,領用表!$B:$B,X$2&amp;$P$1)</f>
        <v>0</v>
      </c>
      <c r="Y16" s="142">
        <f>SUMIFS(領用表!$L:$L,領用表!$E:$E,$B16,領用表!$B:$B,Y$2&amp;$P$1)</f>
        <v>0</v>
      </c>
      <c r="Z16" s="142">
        <f>SUMIFS(領用表!$L:$L,領用表!$E:$E,$B16,領用表!$B:$B,Z$2&amp;$P$1)</f>
        <v>0</v>
      </c>
      <c r="AA16" s="142">
        <f>SUMIFS(領用表!$L:$L,領用表!$E:$E,$B16,領用表!$B:$B,AA$2&amp;$P$1)</f>
        <v>0</v>
      </c>
      <c r="AB16" s="142">
        <f t="shared" si="2"/>
        <v>8</v>
      </c>
      <c r="AC16" s="142">
        <f t="shared" si="3"/>
        <v>2</v>
      </c>
      <c r="AD16" s="142">
        <f>SUMIF(Summary!B:B,B16,Summary!DV:DV)</f>
        <v>20</v>
      </c>
      <c r="AE16" s="101">
        <v>12</v>
      </c>
      <c r="AF16" s="479"/>
      <c r="AG16" s="25"/>
      <c r="AH16" s="25"/>
      <c r="AI16" s="27"/>
      <c r="AJ16" s="27"/>
      <c r="AK16" s="14"/>
      <c r="AL16" s="29"/>
    </row>
    <row r="17" spans="1:38" ht="15.75" customHeight="1">
      <c r="A17" s="27" t="s">
        <v>29</v>
      </c>
      <c r="B17" s="14">
        <v>6210001</v>
      </c>
      <c r="C17" s="118" t="s">
        <v>606</v>
      </c>
      <c r="D17" s="16">
        <v>20</v>
      </c>
      <c r="E17" s="17" t="s">
        <v>15</v>
      </c>
      <c r="F17" s="18"/>
      <c r="G17" s="18">
        <v>19</v>
      </c>
      <c r="H17" s="20">
        <f>SUMIFS(領用表!$L:$L,領用表!$E:$E,$B17,領用表!$B:$B,H$2&amp;$P$1)</f>
        <v>0</v>
      </c>
      <c r="I17" s="20">
        <f>SUMIFS(領用表!$L:$L,領用表!$E:$E,$B17,領用表!$B:$B,I$2&amp;$P$1)</f>
        <v>0</v>
      </c>
      <c r="J17" s="20">
        <f>SUMIFS(領用表!$L:$L,領用表!$E:$E,$B17,領用表!$B:$B,J$2&amp;$P$1)</f>
        <v>0</v>
      </c>
      <c r="K17" s="142">
        <f>SUMIFS(領用表!$L:$L,領用表!$E:$E,$B17,領用表!$B:$B,K$2&amp;$P$1)</f>
        <v>0</v>
      </c>
      <c r="L17" s="142">
        <f>SUMIFS(領用表!$L:$L,領用表!$E:$E,$B17,領用表!$B:$B,L$2&amp;$P$1)</f>
        <v>0</v>
      </c>
      <c r="M17" s="142">
        <f>SUMIFS(領用表!$L:$L,領用表!$E:$E,$B17,領用表!$B:$B,M$2&amp;$P$1)</f>
        <v>0</v>
      </c>
      <c r="N17" s="23">
        <f t="shared" si="0"/>
        <v>0</v>
      </c>
      <c r="O17" s="23">
        <f t="shared" si="1"/>
        <v>0</v>
      </c>
      <c r="P17" s="142">
        <f>SUMIFS(領用表!$L:$L,領用表!$E:$E,$B17,領用表!$B:$B,P$2&amp;$P$1)</f>
        <v>0</v>
      </c>
      <c r="Q17" s="142">
        <f>SUMIFS(領用表!$L:$L,領用表!$E:$E,$B17,領用表!$B:$B,Q$2&amp;$P$1)</f>
        <v>0</v>
      </c>
      <c r="R17" s="142">
        <f>SUMIFS(領用表!$L:$L,領用表!$E:$E,$B17,領用表!$B:$B,R$2&amp;$P$1)</f>
        <v>1</v>
      </c>
      <c r="S17" s="142">
        <f>SUMIFS(領用表!$L:$L,領用表!$E:$E,$B17,領用表!$B:$B,S$2&amp;$P$1)</f>
        <v>0</v>
      </c>
      <c r="T17" s="142">
        <f>SUMIFS(領用表!$L:$L,領用表!$E:$E,$B17,領用表!$B:$B,T$2&amp;$P$1)</f>
        <v>1</v>
      </c>
      <c r="U17" s="142">
        <f>SUMIFS(領用表!$L:$L,領用表!$E:$E,$B17,領用表!$B:$B,U$2&amp;$P$1)</f>
        <v>0</v>
      </c>
      <c r="V17" s="142">
        <f>SUMIFS(領用表!$L:$L,領用表!$E:$E,$B17,領用表!$B:$B,V$2&amp;$P$1)</f>
        <v>0</v>
      </c>
      <c r="W17" s="142">
        <f>SUMIFS(領用表!$L:$L,領用表!$E:$E,$B17,領用表!$B:$B,W$2&amp;$P$1)</f>
        <v>0</v>
      </c>
      <c r="X17" s="142">
        <f>SUMIFS(領用表!$L:$L,領用表!$E:$E,$B17,領用表!$B:$B,X$2&amp;$P$1)</f>
        <v>0</v>
      </c>
      <c r="Y17" s="142">
        <f>SUMIFS(領用表!$L:$L,領用表!$E:$E,$B17,領用表!$B:$B,Y$2&amp;$P$1)</f>
        <v>0</v>
      </c>
      <c r="Z17" s="142">
        <f>SUMIFS(領用表!$L:$L,領用表!$E:$E,$B17,領用表!$B:$B,Z$2&amp;$P$1)</f>
        <v>0</v>
      </c>
      <c r="AA17" s="142">
        <f>SUMIFS(領用表!$L:$L,領用表!$E:$E,$B17,領用表!$B:$B,AA$2&amp;$P$1)</f>
        <v>0</v>
      </c>
      <c r="AB17" s="142">
        <f t="shared" si="2"/>
        <v>2</v>
      </c>
      <c r="AC17" s="142">
        <f t="shared" si="3"/>
        <v>0.5</v>
      </c>
      <c r="AD17" s="142">
        <f>SUMIF(Summary!B:B,B17,Summary!DV:DV)</f>
        <v>5</v>
      </c>
      <c r="AE17" s="101">
        <v>15</v>
      </c>
      <c r="AF17" s="32"/>
      <c r="AG17" s="25"/>
      <c r="AH17" s="25"/>
      <c r="AI17" s="27"/>
      <c r="AJ17" s="28"/>
      <c r="AK17" s="14"/>
      <c r="AL17" s="29"/>
    </row>
    <row r="18" spans="1:38" ht="15.75" customHeight="1">
      <c r="A18" s="27" t="s">
        <v>30</v>
      </c>
      <c r="B18" s="14">
        <v>6210002</v>
      </c>
      <c r="C18" s="118" t="s">
        <v>607</v>
      </c>
      <c r="D18" s="16">
        <v>20</v>
      </c>
      <c r="E18" s="17" t="s">
        <v>15</v>
      </c>
      <c r="F18" s="18"/>
      <c r="G18" s="18">
        <v>24</v>
      </c>
      <c r="H18" s="20">
        <f>SUMIFS(領用表!$L:$L,領用表!$E:$E,$B18,領用表!$B:$B,H$2&amp;$P$1)</f>
        <v>0</v>
      </c>
      <c r="I18" s="20">
        <f>SUMIFS(領用表!$L:$L,領用表!$E:$E,$B18,領用表!$B:$B,I$2&amp;$P$1)</f>
        <v>0</v>
      </c>
      <c r="J18" s="20">
        <f>SUMIFS(領用表!$L:$L,領用表!$E:$E,$B18,領用表!$B:$B,J$2&amp;$P$1)</f>
        <v>0</v>
      </c>
      <c r="K18" s="142">
        <f>SUMIFS(領用表!$L:$L,領用表!$E:$E,$B18,領用表!$B:$B,K$2&amp;$P$1)</f>
        <v>0</v>
      </c>
      <c r="L18" s="142">
        <f>SUMIFS(領用表!$L:$L,領用表!$E:$E,$B18,領用表!$B:$B,L$2&amp;$P$1)</f>
        <v>0</v>
      </c>
      <c r="M18" s="142">
        <f>SUMIFS(領用表!$L:$L,領用表!$E:$E,$B18,領用表!$B:$B,M$2&amp;$P$1)</f>
        <v>0</v>
      </c>
      <c r="N18" s="23">
        <f t="shared" si="0"/>
        <v>0</v>
      </c>
      <c r="O18" s="23">
        <f t="shared" si="1"/>
        <v>0</v>
      </c>
      <c r="P18" s="142">
        <f>SUMIFS(領用表!$L:$L,領用表!$E:$E,$B18,領用表!$B:$B,P$2&amp;$P$1)</f>
        <v>0</v>
      </c>
      <c r="Q18" s="142">
        <f>SUMIFS(領用表!$L:$L,領用表!$E:$E,$B18,領用表!$B:$B,Q$2&amp;$P$1)</f>
        <v>17</v>
      </c>
      <c r="R18" s="142">
        <f>SUMIFS(領用表!$L:$L,領用表!$E:$E,$B18,領用表!$B:$B,R$2&amp;$P$1)</f>
        <v>51</v>
      </c>
      <c r="S18" s="142">
        <f>SUMIFS(領用表!$L:$L,領用表!$E:$E,$B18,領用表!$B:$B,S$2&amp;$P$1)</f>
        <v>92</v>
      </c>
      <c r="T18" s="142">
        <f>SUMIFS(領用表!$L:$L,領用表!$E:$E,$B18,領用表!$B:$B,T$2&amp;$P$1)</f>
        <v>126</v>
      </c>
      <c r="U18" s="142">
        <f>SUMIFS(領用表!$L:$L,領用表!$E:$E,$B18,領用表!$B:$B,U$2&amp;$P$1)</f>
        <v>0</v>
      </c>
      <c r="V18" s="142">
        <f>SUMIFS(領用表!$L:$L,領用表!$E:$E,$B18,領用表!$B:$B,V$2&amp;$P$1)</f>
        <v>0</v>
      </c>
      <c r="W18" s="142">
        <f>SUMIFS(領用表!$L:$L,領用表!$E:$E,$B18,領用表!$B:$B,W$2&amp;$P$1)</f>
        <v>0</v>
      </c>
      <c r="X18" s="142">
        <f>SUMIFS(領用表!$L:$L,領用表!$E:$E,$B18,領用表!$B:$B,X$2&amp;$P$1)</f>
        <v>0</v>
      </c>
      <c r="Y18" s="142">
        <f>SUMIFS(領用表!$L:$L,領用表!$E:$E,$B18,領用表!$B:$B,Y$2&amp;$P$1)</f>
        <v>0</v>
      </c>
      <c r="Z18" s="142">
        <f>SUMIFS(領用表!$L:$L,領用表!$E:$E,$B18,領用表!$B:$B,Z$2&amp;$P$1)</f>
        <v>0</v>
      </c>
      <c r="AA18" s="142">
        <f>SUMIFS(領用表!$L:$L,領用表!$E:$E,$B18,領用表!$B:$B,AA$2&amp;$P$1)</f>
        <v>0</v>
      </c>
      <c r="AB18" s="142">
        <f t="shared" si="2"/>
        <v>286</v>
      </c>
      <c r="AC18" s="142">
        <f t="shared" si="3"/>
        <v>71.5</v>
      </c>
      <c r="AD18" s="142">
        <f>SUMIF(Summary!B:B,B18,Summary!DV:DV)</f>
        <v>200</v>
      </c>
      <c r="AE18" s="101">
        <v>40</v>
      </c>
      <c r="AF18" s="32"/>
      <c r="AG18" s="25" t="s">
        <v>31</v>
      </c>
      <c r="AH18" s="25" t="s">
        <v>32</v>
      </c>
      <c r="AI18" s="27"/>
      <c r="AJ18" s="27"/>
      <c r="AK18" s="14"/>
      <c r="AL18" s="29"/>
    </row>
    <row r="19" spans="1:38" ht="15.75" customHeight="1">
      <c r="A19" s="27" t="s">
        <v>33</v>
      </c>
      <c r="B19" s="14">
        <v>6210003</v>
      </c>
      <c r="C19" s="118" t="s">
        <v>608</v>
      </c>
      <c r="D19" s="16">
        <v>20</v>
      </c>
      <c r="E19" s="17" t="s">
        <v>15</v>
      </c>
      <c r="F19" s="18"/>
      <c r="G19" s="18">
        <v>14</v>
      </c>
      <c r="H19" s="20">
        <f>SUMIFS(領用表!$L:$L,領用表!$E:$E,$B19,領用表!$B:$B,H$2&amp;$P$1)</f>
        <v>0</v>
      </c>
      <c r="I19" s="20">
        <f>SUMIFS(領用表!$L:$L,領用表!$E:$E,$B19,領用表!$B:$B,I$2&amp;$P$1)</f>
        <v>0</v>
      </c>
      <c r="J19" s="20">
        <f>SUMIFS(領用表!$L:$L,領用表!$E:$E,$B19,領用表!$B:$B,J$2&amp;$P$1)</f>
        <v>0</v>
      </c>
      <c r="K19" s="142">
        <f>SUMIFS(領用表!$L:$L,領用表!$E:$E,$B19,領用表!$B:$B,K$2&amp;$P$1)</f>
        <v>0</v>
      </c>
      <c r="L19" s="142">
        <f>SUMIFS(領用表!$L:$L,領用表!$E:$E,$B19,領用表!$B:$B,L$2&amp;$P$1)</f>
        <v>0</v>
      </c>
      <c r="M19" s="142">
        <f>SUMIFS(領用表!$L:$L,領用表!$E:$E,$B19,領用表!$B:$B,M$2&amp;$P$1)</f>
        <v>0</v>
      </c>
      <c r="N19" s="23">
        <f t="shared" si="0"/>
        <v>0</v>
      </c>
      <c r="O19" s="23">
        <f t="shared" si="1"/>
        <v>0</v>
      </c>
      <c r="P19" s="142">
        <f>SUMIFS(領用表!$L:$L,領用表!$E:$E,$B19,領用表!$B:$B,P$2&amp;$P$1)</f>
        <v>0</v>
      </c>
      <c r="Q19" s="142">
        <f>SUMIFS(領用表!$L:$L,領用表!$E:$E,$B19,領用表!$B:$B,Q$2&amp;$P$1)</f>
        <v>0</v>
      </c>
      <c r="R19" s="142">
        <f>SUMIFS(領用表!$L:$L,領用表!$E:$E,$B19,領用表!$B:$B,R$2&amp;$P$1)</f>
        <v>6</v>
      </c>
      <c r="S19" s="142">
        <f>SUMIFS(領用表!$L:$L,領用表!$E:$E,$B19,領用表!$B:$B,S$2&amp;$P$1)</f>
        <v>6</v>
      </c>
      <c r="T19" s="142">
        <f>SUMIFS(領用表!$L:$L,領用表!$E:$E,$B19,領用表!$B:$B,T$2&amp;$P$1)</f>
        <v>3</v>
      </c>
      <c r="U19" s="142">
        <f>SUMIFS(領用表!$L:$L,領用表!$E:$E,$B19,領用表!$B:$B,U$2&amp;$P$1)</f>
        <v>0</v>
      </c>
      <c r="V19" s="142">
        <f>SUMIFS(領用表!$L:$L,領用表!$E:$E,$B19,領用表!$B:$B,V$2&amp;$P$1)</f>
        <v>0</v>
      </c>
      <c r="W19" s="142">
        <f>SUMIFS(領用表!$L:$L,領用表!$E:$E,$B19,領用表!$B:$B,W$2&amp;$P$1)</f>
        <v>0</v>
      </c>
      <c r="X19" s="142">
        <f>SUMIFS(領用表!$L:$L,領用表!$E:$E,$B19,領用表!$B:$B,X$2&amp;$P$1)</f>
        <v>0</v>
      </c>
      <c r="Y19" s="142">
        <f>SUMIFS(領用表!$L:$L,領用表!$E:$E,$B19,領用表!$B:$B,Y$2&amp;$P$1)</f>
        <v>0</v>
      </c>
      <c r="Z19" s="142">
        <f>SUMIFS(領用表!$L:$L,領用表!$E:$E,$B19,領用表!$B:$B,Z$2&amp;$P$1)</f>
        <v>0</v>
      </c>
      <c r="AA19" s="142">
        <f>SUMIFS(領用表!$L:$L,領用表!$E:$E,$B19,領用表!$B:$B,AA$2&amp;$P$1)</f>
        <v>0</v>
      </c>
      <c r="AB19" s="142">
        <f t="shared" si="2"/>
        <v>15</v>
      </c>
      <c r="AC19" s="142">
        <f t="shared" si="3"/>
        <v>3.75</v>
      </c>
      <c r="AD19" s="142">
        <f>SUMIF(Summary!B:B,B19,Summary!DV:DV)</f>
        <v>30</v>
      </c>
      <c r="AE19" s="101">
        <v>10</v>
      </c>
      <c r="AF19" s="32"/>
      <c r="AG19" s="25" t="s">
        <v>34</v>
      </c>
      <c r="AH19" s="25" t="s">
        <v>35</v>
      </c>
      <c r="AI19" s="27"/>
      <c r="AJ19" s="28"/>
      <c r="AK19" s="14"/>
      <c r="AL19" s="29"/>
    </row>
    <row r="20" spans="1:38" ht="15.75" customHeight="1">
      <c r="A20" s="27" t="s">
        <v>36</v>
      </c>
      <c r="B20" s="14">
        <v>6210005</v>
      </c>
      <c r="C20" s="131" t="s">
        <v>467</v>
      </c>
      <c r="D20" s="33">
        <v>20</v>
      </c>
      <c r="E20" s="17" t="s">
        <v>15</v>
      </c>
      <c r="F20" s="18"/>
      <c r="G20" s="18"/>
      <c r="H20" s="20">
        <f>SUMIFS(領用表!$L:$L,領用表!$E:$E,$B20,領用表!$B:$B,H$2&amp;$P$1)</f>
        <v>0</v>
      </c>
      <c r="I20" s="20">
        <f>SUMIFS(領用表!$L:$L,領用表!$E:$E,$B20,領用表!$B:$B,I$2&amp;$P$1)</f>
        <v>0</v>
      </c>
      <c r="J20" s="20">
        <f>SUMIFS(領用表!$L:$L,領用表!$E:$E,$B20,領用表!$B:$B,J$2&amp;$P$1)</f>
        <v>0</v>
      </c>
      <c r="K20" s="142">
        <f>SUMIFS(領用表!$L:$L,領用表!$E:$E,$B20,領用表!$B:$B,K$2&amp;$P$1)</f>
        <v>0</v>
      </c>
      <c r="L20" s="142">
        <f>SUMIFS(領用表!$L:$L,領用表!$E:$E,$B20,領用表!$B:$B,L$2&amp;$P$1)</f>
        <v>0</v>
      </c>
      <c r="M20" s="142">
        <f>SUMIFS(領用表!$L:$L,領用表!$E:$E,$B20,領用表!$B:$B,M$2&amp;$P$1)</f>
        <v>0</v>
      </c>
      <c r="N20" s="23">
        <f t="shared" si="0"/>
        <v>0</v>
      </c>
      <c r="O20" s="23">
        <f t="shared" si="1"/>
        <v>0</v>
      </c>
      <c r="P20" s="142">
        <f>SUMIFS(領用表!$L:$L,領用表!$E:$E,$B20,領用表!$B:$B,P$2&amp;$P$1)</f>
        <v>0</v>
      </c>
      <c r="Q20" s="142">
        <f>SUMIFS(領用表!$L:$L,領用表!$E:$E,$B20,領用表!$B:$B,Q$2&amp;$P$1)</f>
        <v>0</v>
      </c>
      <c r="R20" s="142">
        <f>SUMIFS(領用表!$L:$L,領用表!$E:$E,$B20,領用表!$B:$B,R$2&amp;$P$1)</f>
        <v>0</v>
      </c>
      <c r="S20" s="142">
        <f>SUMIFS(領用表!$L:$L,領用表!$E:$E,$B20,領用表!$B:$B,S$2&amp;$P$1)</f>
        <v>0</v>
      </c>
      <c r="T20" s="142">
        <f>SUMIFS(領用表!$L:$L,領用表!$E:$E,$B20,領用表!$B:$B,T$2&amp;$P$1)</f>
        <v>0</v>
      </c>
      <c r="U20" s="142">
        <f>SUMIFS(領用表!$L:$L,領用表!$E:$E,$B20,領用表!$B:$B,U$2&amp;$P$1)</f>
        <v>0</v>
      </c>
      <c r="V20" s="142">
        <f>SUMIFS(領用表!$L:$L,領用表!$E:$E,$B20,領用表!$B:$B,V$2&amp;$P$1)</f>
        <v>0</v>
      </c>
      <c r="W20" s="142">
        <f>SUMIFS(領用表!$L:$L,領用表!$E:$E,$B20,領用表!$B:$B,W$2&amp;$P$1)</f>
        <v>0</v>
      </c>
      <c r="X20" s="142">
        <f>SUMIFS(領用表!$L:$L,領用表!$E:$E,$B20,領用表!$B:$B,X$2&amp;$P$1)</f>
        <v>0</v>
      </c>
      <c r="Y20" s="142">
        <f>SUMIFS(領用表!$L:$L,領用表!$E:$E,$B20,領用表!$B:$B,Y$2&amp;$P$1)</f>
        <v>0</v>
      </c>
      <c r="Z20" s="142">
        <f>SUMIFS(領用表!$L:$L,領用表!$E:$E,$B20,領用表!$B:$B,Z$2&amp;$P$1)</f>
        <v>0</v>
      </c>
      <c r="AA20" s="142">
        <f>SUMIFS(領用表!$L:$L,領用表!$E:$E,$B20,領用表!$B:$B,AA$2&amp;$P$1)</f>
        <v>0</v>
      </c>
      <c r="AB20" s="142">
        <f t="shared" si="2"/>
        <v>0</v>
      </c>
      <c r="AC20" s="142">
        <f t="shared" si="3"/>
        <v>0</v>
      </c>
      <c r="AD20" s="142">
        <f>SUMIF(Summary!B:B,B20,Summary!DV:DV)</f>
        <v>0</v>
      </c>
      <c r="AE20" s="102">
        <v>10</v>
      </c>
      <c r="AF20" s="24"/>
      <c r="AG20" s="25"/>
      <c r="AH20" s="25"/>
      <c r="AI20" s="34"/>
      <c r="AJ20" s="35"/>
      <c r="AK20" s="14"/>
      <c r="AL20" s="29"/>
    </row>
    <row r="21" spans="1:38" ht="15.75" customHeight="1">
      <c r="A21" s="27" t="s">
        <v>37</v>
      </c>
      <c r="B21" s="14">
        <v>6210008</v>
      </c>
      <c r="C21" s="131" t="s">
        <v>468</v>
      </c>
      <c r="D21" s="33">
        <v>33</v>
      </c>
      <c r="E21" s="17" t="s">
        <v>15</v>
      </c>
      <c r="F21" s="18"/>
      <c r="G21" s="18">
        <v>0</v>
      </c>
      <c r="H21" s="20">
        <f>SUMIFS(領用表!$L:$L,領用表!$E:$E,$B21,領用表!$B:$B,H$2&amp;$P$1)</f>
        <v>0</v>
      </c>
      <c r="I21" s="20">
        <f>SUMIFS(領用表!$L:$L,領用表!$E:$E,$B21,領用表!$B:$B,I$2&amp;$P$1)</f>
        <v>0</v>
      </c>
      <c r="J21" s="20">
        <f>SUMIFS(領用表!$L:$L,領用表!$E:$E,$B21,領用表!$B:$B,J$2&amp;$P$1)</f>
        <v>0</v>
      </c>
      <c r="K21" s="142">
        <f>SUMIFS(領用表!$L:$L,領用表!$E:$E,$B21,領用表!$B:$B,K$2&amp;$P$1)</f>
        <v>0</v>
      </c>
      <c r="L21" s="142">
        <f>SUMIFS(領用表!$L:$L,領用表!$E:$E,$B21,領用表!$B:$B,L$2&amp;$P$1)</f>
        <v>0</v>
      </c>
      <c r="M21" s="142">
        <f>SUMIFS(領用表!$L:$L,領用表!$E:$E,$B21,領用表!$B:$B,M$2&amp;$P$1)</f>
        <v>0</v>
      </c>
      <c r="N21" s="23">
        <f t="shared" si="0"/>
        <v>0</v>
      </c>
      <c r="O21" s="23">
        <f t="shared" si="1"/>
        <v>0</v>
      </c>
      <c r="P21" s="142">
        <f>SUMIFS(領用表!$L:$L,領用表!$E:$E,$B21,領用表!$B:$B,P$2&amp;$P$1)</f>
        <v>0</v>
      </c>
      <c r="Q21" s="142">
        <f>SUMIFS(領用表!$L:$L,領用表!$E:$E,$B21,領用表!$B:$B,Q$2&amp;$P$1)</f>
        <v>2</v>
      </c>
      <c r="R21" s="142">
        <f>SUMIFS(領用表!$L:$L,領用表!$E:$E,$B21,領用表!$B:$B,R$2&amp;$P$1)</f>
        <v>0</v>
      </c>
      <c r="S21" s="142">
        <f>SUMIFS(領用表!$L:$L,領用表!$E:$E,$B21,領用表!$B:$B,S$2&amp;$P$1)</f>
        <v>3</v>
      </c>
      <c r="T21" s="142">
        <f>SUMIFS(領用表!$L:$L,領用表!$E:$E,$B21,領用表!$B:$B,T$2&amp;$P$1)</f>
        <v>6</v>
      </c>
      <c r="U21" s="142">
        <f>SUMIFS(領用表!$L:$L,領用表!$E:$E,$B21,領用表!$B:$B,U$2&amp;$P$1)</f>
        <v>0</v>
      </c>
      <c r="V21" s="142">
        <f>SUMIFS(領用表!$L:$L,領用表!$E:$E,$B21,領用表!$B:$B,V$2&amp;$P$1)</f>
        <v>0</v>
      </c>
      <c r="W21" s="142">
        <f>SUMIFS(領用表!$L:$L,領用表!$E:$E,$B21,領用表!$B:$B,W$2&amp;$P$1)</f>
        <v>0</v>
      </c>
      <c r="X21" s="142">
        <f>SUMIFS(領用表!$L:$L,領用表!$E:$E,$B21,領用表!$B:$B,X$2&amp;$P$1)</f>
        <v>0</v>
      </c>
      <c r="Y21" s="142">
        <f>SUMIFS(領用表!$L:$L,領用表!$E:$E,$B21,領用表!$B:$B,Y$2&amp;$P$1)</f>
        <v>0</v>
      </c>
      <c r="Z21" s="142">
        <f>SUMIFS(領用表!$L:$L,領用表!$E:$E,$B21,領用表!$B:$B,Z$2&amp;$P$1)</f>
        <v>0</v>
      </c>
      <c r="AA21" s="142">
        <f>SUMIFS(領用表!$L:$L,領用表!$E:$E,$B21,領用表!$B:$B,AA$2&amp;$P$1)</f>
        <v>0</v>
      </c>
      <c r="AB21" s="142">
        <f t="shared" si="2"/>
        <v>11</v>
      </c>
      <c r="AC21" s="142">
        <f t="shared" si="3"/>
        <v>2.75</v>
      </c>
      <c r="AD21" s="142">
        <f>SUMIF(Summary!B:B,B21,Summary!DV:DV)</f>
        <v>3</v>
      </c>
      <c r="AE21" s="101">
        <v>0</v>
      </c>
      <c r="AF21" s="36" t="s">
        <v>38</v>
      </c>
      <c r="AG21" s="25"/>
      <c r="AH21" s="25"/>
      <c r="AI21" s="27"/>
      <c r="AJ21" s="28"/>
      <c r="AK21" s="14"/>
      <c r="AL21" s="29"/>
    </row>
    <row r="22" spans="1:38" ht="15.75" hidden="1" customHeight="1">
      <c r="A22" s="27" t="s">
        <v>39</v>
      </c>
      <c r="B22" s="14" t="e">
        <v>#N/A</v>
      </c>
      <c r="C22" s="132" t="s">
        <v>469</v>
      </c>
      <c r="D22" s="37">
        <v>1</v>
      </c>
      <c r="E22" s="38" t="s">
        <v>15</v>
      </c>
      <c r="F22" s="18"/>
      <c r="G22" s="18"/>
      <c r="H22" s="39">
        <f>SUMIFS(領用表!$L:$L,領用表!$E:$E,$B22,領用表!$B:$B,H$2&amp;$P$1)</f>
        <v>0</v>
      </c>
      <c r="I22" s="39">
        <f>SUMIFS(領用表!$L:$L,領用表!$E:$E,$B22,領用表!$B:$B,I$2&amp;$P$1)</f>
        <v>0</v>
      </c>
      <c r="J22" s="39">
        <f>SUMIFS(領用表!$L:$L,領用表!$E:$E,$B22,領用表!$B:$B,J$2&amp;$P$1)</f>
        <v>0</v>
      </c>
      <c r="K22" s="142">
        <f>SUMIFS(領用表!$L:$L,領用表!$E:$E,$B22,領用表!$B:$B,K$2&amp;$P$1)</f>
        <v>0</v>
      </c>
      <c r="L22" s="142">
        <f>SUMIFS(領用表!$L:$L,領用表!$E:$E,$B22,領用表!$B:$B,L$2&amp;$P$1)</f>
        <v>0</v>
      </c>
      <c r="M22" s="142">
        <f>SUMIFS(領用表!$L:$L,領用表!$E:$E,$B22,領用表!$B:$B,M$2&amp;$P$1)</f>
        <v>0</v>
      </c>
      <c r="N22" s="42">
        <f t="shared" si="0"/>
        <v>0</v>
      </c>
      <c r="O22" s="42">
        <f t="shared" si="1"/>
        <v>0</v>
      </c>
      <c r="P22" s="142">
        <f>SUMIFS(領用表!$L:$L,領用表!$E:$E,$B22,領用表!$B:$B,P$2&amp;$P$1)</f>
        <v>0</v>
      </c>
      <c r="Q22" s="142">
        <f>SUMIFS(領用表!$L:$L,領用表!$E:$E,$B22,領用表!$B:$B,Q$2&amp;$P$1)</f>
        <v>0</v>
      </c>
      <c r="R22" s="142">
        <f>SUMIFS(領用表!$L:$L,領用表!$E:$E,$B22,領用表!$B:$B,R$2&amp;$P$1)</f>
        <v>0</v>
      </c>
      <c r="S22" s="142">
        <f>SUMIFS(領用表!$L:$L,領用表!$E:$E,$B22,領用表!$B:$B,S$2&amp;$P$1)</f>
        <v>0</v>
      </c>
      <c r="T22" s="142">
        <f>SUMIFS(領用表!$L:$L,領用表!$E:$E,$B22,領用表!$B:$B,T$2&amp;$P$1)</f>
        <v>0</v>
      </c>
      <c r="U22" s="142">
        <f>SUMIFS(領用表!$L:$L,領用表!$E:$E,$B22,領用表!$B:$B,U$2&amp;$P$1)</f>
        <v>0</v>
      </c>
      <c r="V22" s="142">
        <f>SUMIFS(領用表!$L:$L,領用表!$E:$E,$B22,領用表!$B:$B,V$2&amp;$P$1)</f>
        <v>0</v>
      </c>
      <c r="W22" s="142">
        <f>SUMIFS(領用表!$L:$L,領用表!$E:$E,$B22,領用表!$B:$B,W$2&amp;$P$1)</f>
        <v>0</v>
      </c>
      <c r="X22" s="142">
        <f>SUMIFS(領用表!$L:$L,領用表!$E:$E,$B22,領用表!$B:$B,X$2&amp;$P$1)</f>
        <v>0</v>
      </c>
      <c r="Y22" s="142">
        <f>SUMIFS(領用表!$L:$L,領用表!$E:$E,$B22,領用表!$B:$B,Y$2&amp;$P$1)</f>
        <v>0</v>
      </c>
      <c r="Z22" s="142">
        <f>SUMIFS(領用表!$L:$L,領用表!$E:$E,$B22,領用表!$B:$B,Z$2&amp;$P$1)</f>
        <v>0</v>
      </c>
      <c r="AA22" s="142">
        <f>SUMIFS(領用表!$L:$L,領用表!$E:$E,$B22,領用表!$B:$B,AA$2&amp;$P$1)</f>
        <v>0</v>
      </c>
      <c r="AB22" s="142">
        <f t="shared" si="2"/>
        <v>0</v>
      </c>
      <c r="AC22" s="142">
        <f t="shared" si="3"/>
        <v>0</v>
      </c>
      <c r="AD22" s="142">
        <f>SUMIF(Summary!B:B,B22,Summary!DV:DV)</f>
        <v>0</v>
      </c>
      <c r="AE22" s="103"/>
      <c r="AF22" s="482"/>
      <c r="AG22" s="25"/>
      <c r="AH22" s="25"/>
      <c r="AI22" s="27"/>
      <c r="AJ22" s="28"/>
      <c r="AK22" s="14"/>
      <c r="AL22" s="29"/>
    </row>
    <row r="23" spans="1:38" hidden="1">
      <c r="A23" s="27" t="s">
        <v>40</v>
      </c>
      <c r="B23" s="14" t="e">
        <v>#N/A</v>
      </c>
      <c r="C23" s="132" t="s">
        <v>470</v>
      </c>
      <c r="D23" s="37">
        <v>1</v>
      </c>
      <c r="E23" s="38" t="s">
        <v>15</v>
      </c>
      <c r="F23" s="18"/>
      <c r="G23" s="18"/>
      <c r="H23" s="39">
        <f>SUMIFS(領用表!$L:$L,領用表!$E:$E,$B23,領用表!$B:$B,H$2&amp;$P$1)</f>
        <v>0</v>
      </c>
      <c r="I23" s="39">
        <f>SUMIFS(領用表!$L:$L,領用表!$E:$E,$B23,領用表!$B:$B,I$2&amp;$P$1)</f>
        <v>0</v>
      </c>
      <c r="J23" s="39">
        <f>SUMIFS(領用表!$L:$L,領用表!$E:$E,$B23,領用表!$B:$B,J$2&amp;$P$1)</f>
        <v>0</v>
      </c>
      <c r="K23" s="142">
        <f>SUMIFS(領用表!$L:$L,領用表!$E:$E,$B23,領用表!$B:$B,K$2&amp;$P$1)</f>
        <v>0</v>
      </c>
      <c r="L23" s="142">
        <f>SUMIFS(領用表!$L:$L,領用表!$E:$E,$B23,領用表!$B:$B,L$2&amp;$P$1)</f>
        <v>0</v>
      </c>
      <c r="M23" s="142">
        <f>SUMIFS(領用表!$L:$L,領用表!$E:$E,$B23,領用表!$B:$B,M$2&amp;$P$1)</f>
        <v>0</v>
      </c>
      <c r="N23" s="42">
        <f t="shared" si="0"/>
        <v>0</v>
      </c>
      <c r="O23" s="42">
        <f t="shared" si="1"/>
        <v>0</v>
      </c>
      <c r="P23" s="142">
        <f>SUMIFS(領用表!$L:$L,領用表!$E:$E,$B23,領用表!$B:$B,P$2&amp;$P$1)</f>
        <v>0</v>
      </c>
      <c r="Q23" s="142">
        <f>SUMIFS(領用表!$L:$L,領用表!$E:$E,$B23,領用表!$B:$B,Q$2&amp;$P$1)</f>
        <v>0</v>
      </c>
      <c r="R23" s="142">
        <f>SUMIFS(領用表!$L:$L,領用表!$E:$E,$B23,領用表!$B:$B,R$2&amp;$P$1)</f>
        <v>0</v>
      </c>
      <c r="S23" s="142">
        <f>SUMIFS(領用表!$L:$L,領用表!$E:$E,$B23,領用表!$B:$B,S$2&amp;$P$1)</f>
        <v>0</v>
      </c>
      <c r="T23" s="142">
        <f>SUMIFS(領用表!$L:$L,領用表!$E:$E,$B23,領用表!$B:$B,T$2&amp;$P$1)</f>
        <v>0</v>
      </c>
      <c r="U23" s="142">
        <f>SUMIFS(領用表!$L:$L,領用表!$E:$E,$B23,領用表!$B:$B,U$2&amp;$P$1)</f>
        <v>0</v>
      </c>
      <c r="V23" s="142">
        <f>SUMIFS(領用表!$L:$L,領用表!$E:$E,$B23,領用表!$B:$B,V$2&amp;$P$1)</f>
        <v>0</v>
      </c>
      <c r="W23" s="142">
        <f>SUMIFS(領用表!$L:$L,領用表!$E:$E,$B23,領用表!$B:$B,W$2&amp;$P$1)</f>
        <v>0</v>
      </c>
      <c r="X23" s="142">
        <f>SUMIFS(領用表!$L:$L,領用表!$E:$E,$B23,領用表!$B:$B,X$2&amp;$P$1)</f>
        <v>0</v>
      </c>
      <c r="Y23" s="142">
        <f>SUMIFS(領用表!$L:$L,領用表!$E:$E,$B23,領用表!$B:$B,Y$2&amp;$P$1)</f>
        <v>0</v>
      </c>
      <c r="Z23" s="142">
        <f>SUMIFS(領用表!$L:$L,領用表!$E:$E,$B23,領用表!$B:$B,Z$2&amp;$P$1)</f>
        <v>0</v>
      </c>
      <c r="AA23" s="142">
        <f>SUMIFS(領用表!$L:$L,領用表!$E:$E,$B23,領用表!$B:$B,AA$2&amp;$P$1)</f>
        <v>0</v>
      </c>
      <c r="AB23" s="142">
        <f t="shared" si="2"/>
        <v>0</v>
      </c>
      <c r="AC23" s="142">
        <f t="shared" si="3"/>
        <v>0</v>
      </c>
      <c r="AD23" s="142">
        <f>SUMIF(Summary!B:B,B23,Summary!DV:DV)</f>
        <v>0</v>
      </c>
      <c r="AE23" s="103"/>
      <c r="AF23" s="479"/>
      <c r="AG23" s="25"/>
      <c r="AH23" s="25"/>
      <c r="AI23" s="27"/>
      <c r="AJ23" s="28"/>
      <c r="AK23" s="14"/>
      <c r="AL23" s="29"/>
    </row>
    <row r="24" spans="1:38" ht="15.75" customHeight="1">
      <c r="A24" s="27" t="s">
        <v>41</v>
      </c>
      <c r="B24" s="14">
        <v>6160008</v>
      </c>
      <c r="C24" s="133" t="s">
        <v>471</v>
      </c>
      <c r="D24" s="16">
        <v>6</v>
      </c>
      <c r="E24" s="17" t="s">
        <v>42</v>
      </c>
      <c r="F24" s="18"/>
      <c r="G24" s="18">
        <f>(D24*29)+5</f>
        <v>179</v>
      </c>
      <c r="H24" s="20">
        <f>SUMIFS(領用表!$L:$L,領用表!$E:$E,$B24,領用表!$B:$B,H$2&amp;$P$1)</f>
        <v>0</v>
      </c>
      <c r="I24" s="20">
        <f>SUMIFS(領用表!$L:$L,領用表!$E:$E,$B24,領用表!$B:$B,I$2&amp;$P$1)</f>
        <v>0</v>
      </c>
      <c r="J24" s="20">
        <f>SUMIFS(領用表!$L:$L,領用表!$E:$E,$B24,領用表!$B:$B,J$2&amp;$P$1)</f>
        <v>0</v>
      </c>
      <c r="K24" s="142">
        <f>SUMIFS(領用表!$L:$L,領用表!$E:$E,$B24,領用表!$B:$B,K$2&amp;$P$1)</f>
        <v>0</v>
      </c>
      <c r="L24" s="142">
        <f>SUMIFS(領用表!$L:$L,領用表!$E:$E,$B24,領用表!$B:$B,L$2&amp;$P$1)</f>
        <v>0</v>
      </c>
      <c r="M24" s="142">
        <f>SUMIFS(領用表!$L:$L,領用表!$E:$E,$B24,領用表!$B:$B,M$2&amp;$P$1)</f>
        <v>0</v>
      </c>
      <c r="N24" s="23">
        <f t="shared" si="0"/>
        <v>0</v>
      </c>
      <c r="O24" s="23">
        <f t="shared" si="1"/>
        <v>0</v>
      </c>
      <c r="P24" s="142">
        <f>SUMIFS(領用表!$L:$L,領用表!$E:$E,$B24,領用表!$B:$B,P$2&amp;$P$1)</f>
        <v>0</v>
      </c>
      <c r="Q24" s="142">
        <f>SUMIFS(領用表!$L:$L,領用表!$E:$E,$B24,領用表!$B:$B,Q$2&amp;$P$1)</f>
        <v>0</v>
      </c>
      <c r="R24" s="142">
        <f>SUMIFS(領用表!$L:$L,領用表!$E:$E,$B24,領用表!$B:$B,R$2&amp;$P$1)</f>
        <v>0</v>
      </c>
      <c r="S24" s="142">
        <f>SUMIFS(領用表!$L:$L,領用表!$E:$E,$B24,領用表!$B:$B,S$2&amp;$P$1)</f>
        <v>0</v>
      </c>
      <c r="T24" s="142">
        <f>SUMIFS(領用表!$L:$L,領用表!$E:$E,$B24,領用表!$B:$B,T$2&amp;$P$1)</f>
        <v>63</v>
      </c>
      <c r="U24" s="142">
        <f>SUMIFS(領用表!$L:$L,領用表!$E:$E,$B24,領用表!$B:$B,U$2&amp;$P$1)</f>
        <v>0</v>
      </c>
      <c r="V24" s="142">
        <f>SUMIFS(領用表!$L:$L,領用表!$E:$E,$B24,領用表!$B:$B,V$2&amp;$P$1)</f>
        <v>0</v>
      </c>
      <c r="W24" s="142">
        <f>SUMIFS(領用表!$L:$L,領用表!$E:$E,$B24,領用表!$B:$B,W$2&amp;$P$1)</f>
        <v>0</v>
      </c>
      <c r="X24" s="142">
        <f>SUMIFS(領用表!$L:$L,領用表!$E:$E,$B24,領用表!$B:$B,X$2&amp;$P$1)</f>
        <v>0</v>
      </c>
      <c r="Y24" s="142">
        <f>SUMIFS(領用表!$L:$L,領用表!$E:$E,$B24,領用表!$B:$B,Y$2&amp;$P$1)</f>
        <v>0</v>
      </c>
      <c r="Z24" s="142">
        <f>SUMIFS(領用表!$L:$L,領用表!$E:$E,$B24,領用表!$B:$B,Z$2&amp;$P$1)</f>
        <v>0</v>
      </c>
      <c r="AA24" s="142">
        <f>SUMIFS(領用表!$L:$L,領用表!$E:$E,$B24,領用表!$B:$B,AA$2&amp;$P$1)</f>
        <v>0</v>
      </c>
      <c r="AB24" s="142">
        <f t="shared" si="2"/>
        <v>63</v>
      </c>
      <c r="AC24" s="142">
        <f t="shared" si="3"/>
        <v>15.75</v>
      </c>
      <c r="AD24" s="142">
        <f>SUMIF(Summary!B:B,B24,Summary!DV:DV)</f>
        <v>210</v>
      </c>
      <c r="AE24" s="101">
        <v>120</v>
      </c>
      <c r="AF24" s="24"/>
      <c r="AG24" s="25" t="s">
        <v>43</v>
      </c>
      <c r="AH24" s="25" t="s">
        <v>44</v>
      </c>
      <c r="AI24" s="27"/>
      <c r="AJ24" s="28"/>
      <c r="AK24" s="14"/>
      <c r="AL24" s="29"/>
    </row>
    <row r="25" spans="1:38" ht="15.75" customHeight="1">
      <c r="A25" s="27" t="s">
        <v>45</v>
      </c>
      <c r="B25" s="14">
        <v>6160009</v>
      </c>
      <c r="C25" s="133" t="s">
        <v>472</v>
      </c>
      <c r="D25" s="16">
        <v>8</v>
      </c>
      <c r="E25" s="17" t="s">
        <v>42</v>
      </c>
      <c r="F25" s="18"/>
      <c r="G25" s="18">
        <f>(D25*0)+7</f>
        <v>7</v>
      </c>
      <c r="H25" s="20">
        <f>SUMIFS(領用表!$L:$L,領用表!$E:$E,$B25,領用表!$B:$B,H$2&amp;$P$1)</f>
        <v>0</v>
      </c>
      <c r="I25" s="20">
        <f>SUMIFS(領用表!$L:$L,領用表!$E:$E,$B25,領用表!$B:$B,I$2&amp;$P$1)</f>
        <v>0</v>
      </c>
      <c r="J25" s="20">
        <f>SUMIFS(領用表!$L:$L,領用表!$E:$E,$B25,領用表!$B:$B,J$2&amp;$P$1)</f>
        <v>0</v>
      </c>
      <c r="K25" s="142">
        <f>SUMIFS(領用表!$L:$L,領用表!$E:$E,$B25,領用表!$B:$B,K$2&amp;$P$1)</f>
        <v>0</v>
      </c>
      <c r="L25" s="142">
        <f>SUMIFS(領用表!$L:$L,領用表!$E:$E,$B25,領用表!$B:$B,L$2&amp;$P$1)</f>
        <v>0</v>
      </c>
      <c r="M25" s="142">
        <f>SUMIFS(領用表!$L:$L,領用表!$E:$E,$B25,領用表!$B:$B,M$2&amp;$P$1)</f>
        <v>0</v>
      </c>
      <c r="N25" s="23">
        <f t="shared" si="0"/>
        <v>0</v>
      </c>
      <c r="O25" s="23">
        <f t="shared" si="1"/>
        <v>0</v>
      </c>
      <c r="P25" s="142">
        <f>SUMIFS(領用表!$L:$L,領用表!$E:$E,$B25,領用表!$B:$B,P$2&amp;$P$1)</f>
        <v>0</v>
      </c>
      <c r="Q25" s="142">
        <f>SUMIFS(領用表!$L:$L,領用表!$E:$E,$B25,領用表!$B:$B,Q$2&amp;$P$1)</f>
        <v>0</v>
      </c>
      <c r="R25" s="142">
        <f>SUMIFS(領用表!$L:$L,領用表!$E:$E,$B25,領用表!$B:$B,R$2&amp;$P$1)</f>
        <v>0</v>
      </c>
      <c r="S25" s="142">
        <f>SUMIFS(領用表!$L:$L,領用表!$E:$E,$B25,領用表!$B:$B,S$2&amp;$P$1)</f>
        <v>0</v>
      </c>
      <c r="T25" s="142">
        <f>SUMIFS(領用表!$L:$L,領用表!$E:$E,$B25,領用表!$B:$B,T$2&amp;$P$1)</f>
        <v>16</v>
      </c>
      <c r="U25" s="142">
        <f>SUMIFS(領用表!$L:$L,領用表!$E:$E,$B25,領用表!$B:$B,U$2&amp;$P$1)</f>
        <v>0</v>
      </c>
      <c r="V25" s="142">
        <f>SUMIFS(領用表!$L:$L,領用表!$E:$E,$B25,領用表!$B:$B,V$2&amp;$P$1)</f>
        <v>0</v>
      </c>
      <c r="W25" s="142">
        <f>SUMIFS(領用表!$L:$L,領用表!$E:$E,$B25,領用表!$B:$B,W$2&amp;$P$1)</f>
        <v>0</v>
      </c>
      <c r="X25" s="142">
        <f>SUMIFS(領用表!$L:$L,領用表!$E:$E,$B25,領用表!$B:$B,X$2&amp;$P$1)</f>
        <v>0</v>
      </c>
      <c r="Y25" s="142">
        <f>SUMIFS(領用表!$L:$L,領用表!$E:$E,$B25,領用表!$B:$B,Y$2&amp;$P$1)</f>
        <v>0</v>
      </c>
      <c r="Z25" s="142">
        <f>SUMIFS(領用表!$L:$L,領用表!$E:$E,$B25,領用表!$B:$B,Z$2&amp;$P$1)</f>
        <v>0</v>
      </c>
      <c r="AA25" s="142">
        <f>SUMIFS(領用表!$L:$L,領用表!$E:$E,$B25,領用表!$B:$B,AA$2&amp;$P$1)</f>
        <v>0</v>
      </c>
      <c r="AB25" s="142">
        <f t="shared" si="2"/>
        <v>16</v>
      </c>
      <c r="AC25" s="142">
        <f t="shared" si="3"/>
        <v>4</v>
      </c>
      <c r="AD25" s="142">
        <f>SUMIF(Summary!B:B,B25,Summary!DV:DV)</f>
        <v>20</v>
      </c>
      <c r="AE25" s="101">
        <v>20</v>
      </c>
      <c r="AF25" s="24"/>
      <c r="AG25" s="25" t="s">
        <v>46</v>
      </c>
      <c r="AH25" s="25" t="s">
        <v>47</v>
      </c>
      <c r="AI25" s="27"/>
      <c r="AJ25" s="28"/>
      <c r="AK25" s="14"/>
      <c r="AL25" s="29"/>
    </row>
    <row r="26" spans="1:38" ht="15.75" hidden="1" customHeight="1">
      <c r="A26" s="27" t="s">
        <v>48</v>
      </c>
      <c r="B26" s="14" t="e">
        <v>#N/A</v>
      </c>
      <c r="C26" s="134" t="s">
        <v>473</v>
      </c>
      <c r="D26" s="37">
        <v>1</v>
      </c>
      <c r="E26" s="38" t="s">
        <v>15</v>
      </c>
      <c r="F26" s="18"/>
      <c r="G26" s="18">
        <f t="shared" ref="G26:G27" si="5">D26*0</f>
        <v>0</v>
      </c>
      <c r="H26" s="39">
        <f>SUMIFS(領用表!$L:$L,領用表!$E:$E,$B26,領用表!$B:$B,H$2&amp;$P$1)</f>
        <v>0</v>
      </c>
      <c r="I26" s="39">
        <f>SUMIFS(領用表!$L:$L,領用表!$E:$E,$B26,領用表!$B:$B,I$2&amp;$P$1)</f>
        <v>0</v>
      </c>
      <c r="J26" s="39">
        <f>SUMIFS(領用表!$L:$L,領用表!$E:$E,$B26,領用表!$B:$B,J$2&amp;$P$1)</f>
        <v>0</v>
      </c>
      <c r="K26" s="142">
        <f>SUMIFS(領用表!$L:$L,領用表!$E:$E,$B26,領用表!$B:$B,K$2&amp;$P$1)</f>
        <v>0</v>
      </c>
      <c r="L26" s="142">
        <f>SUMIFS(領用表!$L:$L,領用表!$E:$E,$B26,領用表!$B:$B,L$2&amp;$P$1)</f>
        <v>0</v>
      </c>
      <c r="M26" s="142">
        <f>SUMIFS(領用表!$L:$L,領用表!$E:$E,$B26,領用表!$B:$B,M$2&amp;$P$1)</f>
        <v>0</v>
      </c>
      <c r="N26" s="42">
        <f t="shared" si="0"/>
        <v>0</v>
      </c>
      <c r="O26" s="42">
        <f t="shared" si="1"/>
        <v>0</v>
      </c>
      <c r="P26" s="142">
        <f>SUMIFS(領用表!$L:$L,領用表!$E:$E,$B26,領用表!$B:$B,P$2&amp;$P$1)</f>
        <v>0</v>
      </c>
      <c r="Q26" s="142">
        <f>SUMIFS(領用表!$L:$L,領用表!$E:$E,$B26,領用表!$B:$B,Q$2&amp;$P$1)</f>
        <v>0</v>
      </c>
      <c r="R26" s="142">
        <f>SUMIFS(領用表!$L:$L,領用表!$E:$E,$B26,領用表!$B:$B,R$2&amp;$P$1)</f>
        <v>0</v>
      </c>
      <c r="S26" s="142">
        <f>SUMIFS(領用表!$L:$L,領用表!$E:$E,$B26,領用表!$B:$B,S$2&amp;$P$1)</f>
        <v>0</v>
      </c>
      <c r="T26" s="142">
        <f>SUMIFS(領用表!$L:$L,領用表!$E:$E,$B26,領用表!$B:$B,T$2&amp;$P$1)</f>
        <v>0</v>
      </c>
      <c r="U26" s="142">
        <f>SUMIFS(領用表!$L:$L,領用表!$E:$E,$B26,領用表!$B:$B,U$2&amp;$P$1)</f>
        <v>0</v>
      </c>
      <c r="V26" s="142">
        <f>SUMIFS(領用表!$L:$L,領用表!$E:$E,$B26,領用表!$B:$B,V$2&amp;$P$1)</f>
        <v>0</v>
      </c>
      <c r="W26" s="142">
        <f>SUMIFS(領用表!$L:$L,領用表!$E:$E,$B26,領用表!$B:$B,W$2&amp;$P$1)</f>
        <v>0</v>
      </c>
      <c r="X26" s="142">
        <f>SUMIFS(領用表!$L:$L,領用表!$E:$E,$B26,領用表!$B:$B,X$2&amp;$P$1)</f>
        <v>0</v>
      </c>
      <c r="Y26" s="142">
        <f>SUMIFS(領用表!$L:$L,領用表!$E:$E,$B26,領用表!$B:$B,Y$2&amp;$P$1)</f>
        <v>0</v>
      </c>
      <c r="Z26" s="142">
        <f>SUMIFS(領用表!$L:$L,領用表!$E:$E,$B26,領用表!$B:$B,Z$2&amp;$P$1)</f>
        <v>0</v>
      </c>
      <c r="AA26" s="142">
        <f>SUMIFS(領用表!$L:$L,領用表!$E:$E,$B26,領用表!$B:$B,AA$2&amp;$P$1)</f>
        <v>0</v>
      </c>
      <c r="AB26" s="142">
        <f t="shared" si="2"/>
        <v>0</v>
      </c>
      <c r="AC26" s="142">
        <f t="shared" si="3"/>
        <v>0</v>
      </c>
      <c r="AD26" s="142">
        <f>SUMIF(Summary!B:B,B26,Summary!DV:DV)</f>
        <v>0</v>
      </c>
      <c r="AE26" s="103"/>
      <c r="AF26" s="477"/>
      <c r="AG26" s="25"/>
      <c r="AH26" s="25"/>
      <c r="AI26" s="27" t="s">
        <v>50</v>
      </c>
      <c r="AJ26" s="28"/>
      <c r="AK26" s="14"/>
      <c r="AL26" s="29"/>
    </row>
    <row r="27" spans="1:38" ht="15.75" hidden="1" customHeight="1">
      <c r="A27" s="27" t="s">
        <v>51</v>
      </c>
      <c r="B27" s="14" t="e">
        <v>#N/A</v>
      </c>
      <c r="C27" s="134" t="s">
        <v>474</v>
      </c>
      <c r="D27" s="37">
        <v>1</v>
      </c>
      <c r="E27" s="38" t="s">
        <v>15</v>
      </c>
      <c r="F27" s="18"/>
      <c r="G27" s="18">
        <f t="shared" si="5"/>
        <v>0</v>
      </c>
      <c r="H27" s="39">
        <f>SUMIFS(領用表!$L:$L,領用表!$E:$E,$B27,領用表!$B:$B,H$2&amp;$P$1)</f>
        <v>0</v>
      </c>
      <c r="I27" s="39">
        <f>SUMIFS(領用表!$L:$L,領用表!$E:$E,$B27,領用表!$B:$B,I$2&amp;$P$1)</f>
        <v>0</v>
      </c>
      <c r="J27" s="39">
        <f>SUMIFS(領用表!$L:$L,領用表!$E:$E,$B27,領用表!$B:$B,J$2&amp;$P$1)</f>
        <v>0</v>
      </c>
      <c r="K27" s="142">
        <f>SUMIFS(領用表!$L:$L,領用表!$E:$E,$B27,領用表!$B:$B,K$2&amp;$P$1)</f>
        <v>0</v>
      </c>
      <c r="L27" s="142">
        <f>SUMIFS(領用表!$L:$L,領用表!$E:$E,$B27,領用表!$B:$B,L$2&amp;$P$1)</f>
        <v>0</v>
      </c>
      <c r="M27" s="142">
        <f>SUMIFS(領用表!$L:$L,領用表!$E:$E,$B27,領用表!$B:$B,M$2&amp;$P$1)</f>
        <v>0</v>
      </c>
      <c r="N27" s="42">
        <f t="shared" si="0"/>
        <v>0</v>
      </c>
      <c r="O27" s="42">
        <f t="shared" si="1"/>
        <v>0</v>
      </c>
      <c r="P27" s="142">
        <f>SUMIFS(領用表!$L:$L,領用表!$E:$E,$B27,領用表!$B:$B,P$2&amp;$P$1)</f>
        <v>0</v>
      </c>
      <c r="Q27" s="142">
        <f>SUMIFS(領用表!$L:$L,領用表!$E:$E,$B27,領用表!$B:$B,Q$2&amp;$P$1)</f>
        <v>0</v>
      </c>
      <c r="R27" s="142">
        <f>SUMIFS(領用表!$L:$L,領用表!$E:$E,$B27,領用表!$B:$B,R$2&amp;$P$1)</f>
        <v>0</v>
      </c>
      <c r="S27" s="142">
        <f>SUMIFS(領用表!$L:$L,領用表!$E:$E,$B27,領用表!$B:$B,S$2&amp;$P$1)</f>
        <v>0</v>
      </c>
      <c r="T27" s="142">
        <f>SUMIFS(領用表!$L:$L,領用表!$E:$E,$B27,領用表!$B:$B,T$2&amp;$P$1)</f>
        <v>0</v>
      </c>
      <c r="U27" s="142">
        <f>SUMIFS(領用表!$L:$L,領用表!$E:$E,$B27,領用表!$B:$B,U$2&amp;$P$1)</f>
        <v>0</v>
      </c>
      <c r="V27" s="142">
        <f>SUMIFS(領用表!$L:$L,領用表!$E:$E,$B27,領用表!$B:$B,V$2&amp;$P$1)</f>
        <v>0</v>
      </c>
      <c r="W27" s="142">
        <f>SUMIFS(領用表!$L:$L,領用表!$E:$E,$B27,領用表!$B:$B,W$2&amp;$P$1)</f>
        <v>0</v>
      </c>
      <c r="X27" s="142">
        <f>SUMIFS(領用表!$L:$L,領用表!$E:$E,$B27,領用表!$B:$B,X$2&amp;$P$1)</f>
        <v>0</v>
      </c>
      <c r="Y27" s="142">
        <f>SUMIFS(領用表!$L:$L,領用表!$E:$E,$B27,領用表!$B:$B,Y$2&amp;$P$1)</f>
        <v>0</v>
      </c>
      <c r="Z27" s="142">
        <f>SUMIFS(領用表!$L:$L,領用表!$E:$E,$B27,領用表!$B:$B,Z$2&amp;$P$1)</f>
        <v>0</v>
      </c>
      <c r="AA27" s="142">
        <f>SUMIFS(領用表!$L:$L,領用表!$E:$E,$B27,領用表!$B:$B,AA$2&amp;$P$1)</f>
        <v>0</v>
      </c>
      <c r="AB27" s="142">
        <f t="shared" si="2"/>
        <v>0</v>
      </c>
      <c r="AC27" s="142">
        <f t="shared" si="3"/>
        <v>0</v>
      </c>
      <c r="AD27" s="142">
        <f>SUMIF(Summary!B:B,B27,Summary!DV:DV)</f>
        <v>0</v>
      </c>
      <c r="AE27" s="103"/>
      <c r="AF27" s="479"/>
      <c r="AG27" s="25"/>
      <c r="AH27" s="25"/>
      <c r="AI27" s="27" t="s">
        <v>50</v>
      </c>
      <c r="AJ27" s="28"/>
      <c r="AK27" s="14"/>
      <c r="AL27" s="29"/>
    </row>
    <row r="28" spans="1:38" ht="15.75" customHeight="1">
      <c r="A28" s="27" t="s">
        <v>52</v>
      </c>
      <c r="B28" s="14">
        <v>6160011</v>
      </c>
      <c r="C28" s="133" t="s">
        <v>475</v>
      </c>
      <c r="D28" s="16">
        <v>6</v>
      </c>
      <c r="E28" s="17" t="s">
        <v>42</v>
      </c>
      <c r="F28" s="18"/>
      <c r="G28" s="18">
        <f>(D28*0)+3</f>
        <v>3</v>
      </c>
      <c r="H28" s="20">
        <f>SUMIFS(領用表!$L:$L,領用表!$E:$E,$B28,領用表!$B:$B,H$2&amp;$P$1)</f>
        <v>0</v>
      </c>
      <c r="I28" s="20">
        <f>SUMIFS(領用表!$L:$L,領用表!$E:$E,$B28,領用表!$B:$B,I$2&amp;$P$1)</f>
        <v>0</v>
      </c>
      <c r="J28" s="20">
        <f>SUMIFS(領用表!$L:$L,領用表!$E:$E,$B28,領用表!$B:$B,J$2&amp;$P$1)</f>
        <v>0</v>
      </c>
      <c r="K28" s="142">
        <f>SUMIFS(領用表!$L:$L,領用表!$E:$E,$B28,領用表!$B:$B,K$2&amp;$P$1)</f>
        <v>0</v>
      </c>
      <c r="L28" s="142">
        <f>SUMIFS(領用表!$L:$L,領用表!$E:$E,$B28,領用表!$B:$B,L$2&amp;$P$1)</f>
        <v>0</v>
      </c>
      <c r="M28" s="142">
        <f>SUMIFS(領用表!$L:$L,領用表!$E:$E,$B28,領用表!$B:$B,M$2&amp;$P$1)</f>
        <v>0</v>
      </c>
      <c r="N28" s="23">
        <f t="shared" si="0"/>
        <v>0</v>
      </c>
      <c r="O28" s="23">
        <f t="shared" si="1"/>
        <v>0</v>
      </c>
      <c r="P28" s="142">
        <f>SUMIFS(領用表!$L:$L,領用表!$E:$E,$B28,領用表!$B:$B,P$2&amp;$P$1)</f>
        <v>0</v>
      </c>
      <c r="Q28" s="142">
        <f>SUMIFS(領用表!$L:$L,領用表!$E:$E,$B28,領用表!$B:$B,Q$2&amp;$P$1)</f>
        <v>51</v>
      </c>
      <c r="R28" s="142">
        <f>SUMIFS(領用表!$L:$L,領用表!$E:$E,$B28,領用表!$B:$B,R$2&amp;$P$1)</f>
        <v>158</v>
      </c>
      <c r="S28" s="142">
        <f>SUMIFS(領用表!$L:$L,領用表!$E:$E,$B28,領用表!$B:$B,S$2&amp;$P$1)</f>
        <v>247</v>
      </c>
      <c r="T28" s="142">
        <f>SUMIFS(領用表!$L:$L,領用表!$E:$E,$B28,領用表!$B:$B,T$2&amp;$P$1)</f>
        <v>243</v>
      </c>
      <c r="U28" s="142">
        <f>SUMIFS(領用表!$L:$L,領用表!$E:$E,$B28,領用表!$B:$B,U$2&amp;$P$1)</f>
        <v>0</v>
      </c>
      <c r="V28" s="142">
        <f>SUMIFS(領用表!$L:$L,領用表!$E:$E,$B28,領用表!$B:$B,V$2&amp;$P$1)</f>
        <v>0</v>
      </c>
      <c r="W28" s="142">
        <f>SUMIFS(領用表!$L:$L,領用表!$E:$E,$B28,領用表!$B:$B,W$2&amp;$P$1)</f>
        <v>0</v>
      </c>
      <c r="X28" s="142">
        <f>SUMIFS(領用表!$L:$L,領用表!$E:$E,$B28,領用表!$B:$B,X$2&amp;$P$1)</f>
        <v>0</v>
      </c>
      <c r="Y28" s="142">
        <f>SUMIFS(領用表!$L:$L,領用表!$E:$E,$B28,領用表!$B:$B,Y$2&amp;$P$1)</f>
        <v>0</v>
      </c>
      <c r="Z28" s="142">
        <f>SUMIFS(領用表!$L:$L,領用表!$E:$E,$B28,領用表!$B:$B,Z$2&amp;$P$1)</f>
        <v>0</v>
      </c>
      <c r="AA28" s="142">
        <f>SUMIFS(領用表!$L:$L,領用表!$E:$E,$B28,領用表!$B:$B,AA$2&amp;$P$1)</f>
        <v>0</v>
      </c>
      <c r="AB28" s="142">
        <f t="shared" si="2"/>
        <v>699</v>
      </c>
      <c r="AC28" s="142">
        <f t="shared" si="3"/>
        <v>174.75</v>
      </c>
      <c r="AD28" s="142">
        <f>SUMIF(Summary!B:B,B28,Summary!DV:DV)</f>
        <v>1000</v>
      </c>
      <c r="AE28" s="101">
        <v>175</v>
      </c>
      <c r="AF28" s="483" t="s">
        <v>53</v>
      </c>
      <c r="AG28" s="25" t="s">
        <v>54</v>
      </c>
      <c r="AH28" s="25"/>
      <c r="AI28" s="27" t="s">
        <v>50</v>
      </c>
      <c r="AJ28" s="28"/>
      <c r="AK28" s="14"/>
      <c r="AL28" s="29"/>
    </row>
    <row r="29" spans="1:38" ht="15.75" customHeight="1">
      <c r="A29" s="27" t="s">
        <v>55</v>
      </c>
      <c r="B29" s="14">
        <v>6160010</v>
      </c>
      <c r="C29" s="133" t="s">
        <v>476</v>
      </c>
      <c r="D29" s="16">
        <v>8</v>
      </c>
      <c r="E29" s="17" t="s">
        <v>42</v>
      </c>
      <c r="F29" s="18"/>
      <c r="G29" s="18">
        <f>(D29*2)+2</f>
        <v>18</v>
      </c>
      <c r="H29" s="20">
        <f>SUMIFS(領用表!$L:$L,領用表!$E:$E,$B29,領用表!$B:$B,H$2&amp;$P$1)</f>
        <v>0</v>
      </c>
      <c r="I29" s="20">
        <f>SUMIFS(領用表!$L:$L,領用表!$E:$E,$B29,領用表!$B:$B,I$2&amp;$P$1)</f>
        <v>0</v>
      </c>
      <c r="J29" s="20">
        <f>SUMIFS(領用表!$L:$L,領用表!$E:$E,$B29,領用表!$B:$B,J$2&amp;$P$1)</f>
        <v>0</v>
      </c>
      <c r="K29" s="142">
        <f>SUMIFS(領用表!$L:$L,領用表!$E:$E,$B29,領用表!$B:$B,K$2&amp;$P$1)</f>
        <v>0</v>
      </c>
      <c r="L29" s="142">
        <f>SUMIFS(領用表!$L:$L,領用表!$E:$E,$B29,領用表!$B:$B,L$2&amp;$P$1)</f>
        <v>0</v>
      </c>
      <c r="M29" s="142">
        <f>SUMIFS(領用表!$L:$L,領用表!$E:$E,$B29,領用表!$B:$B,M$2&amp;$P$1)</f>
        <v>0</v>
      </c>
      <c r="N29" s="23">
        <f t="shared" si="0"/>
        <v>0</v>
      </c>
      <c r="O29" s="23">
        <f t="shared" si="1"/>
        <v>0</v>
      </c>
      <c r="P29" s="142">
        <f>SUMIFS(領用表!$L:$L,領用表!$E:$E,$B29,領用表!$B:$B,P$2&amp;$P$1)</f>
        <v>0</v>
      </c>
      <c r="Q29" s="142">
        <f>SUMIFS(領用表!$L:$L,領用表!$E:$E,$B29,領用表!$B:$B,Q$2&amp;$P$1)</f>
        <v>13</v>
      </c>
      <c r="R29" s="142">
        <f>SUMIFS(領用表!$L:$L,領用表!$E:$E,$B29,領用表!$B:$B,R$2&amp;$P$1)</f>
        <v>63</v>
      </c>
      <c r="S29" s="142">
        <f>SUMIFS(領用表!$L:$L,領用表!$E:$E,$B29,領用表!$B:$B,S$2&amp;$P$1)</f>
        <v>63</v>
      </c>
      <c r="T29" s="142">
        <f>SUMIFS(領用表!$L:$L,領用表!$E:$E,$B29,領用表!$B:$B,T$2&amp;$P$1)</f>
        <v>33</v>
      </c>
      <c r="U29" s="142">
        <f>SUMIFS(領用表!$L:$L,領用表!$E:$E,$B29,領用表!$B:$B,U$2&amp;$P$1)</f>
        <v>0</v>
      </c>
      <c r="V29" s="142">
        <f>SUMIFS(領用表!$L:$L,領用表!$E:$E,$B29,領用表!$B:$B,V$2&amp;$P$1)</f>
        <v>0</v>
      </c>
      <c r="W29" s="142">
        <f>SUMIFS(領用表!$L:$L,領用表!$E:$E,$B29,領用表!$B:$B,W$2&amp;$P$1)</f>
        <v>0</v>
      </c>
      <c r="X29" s="142">
        <f>SUMIFS(領用表!$L:$L,領用表!$E:$E,$B29,領用表!$B:$B,X$2&amp;$P$1)</f>
        <v>0</v>
      </c>
      <c r="Y29" s="142">
        <f>SUMIFS(領用表!$L:$L,領用表!$E:$E,$B29,領用表!$B:$B,Y$2&amp;$P$1)</f>
        <v>0</v>
      </c>
      <c r="Z29" s="142">
        <f>SUMIFS(領用表!$L:$L,領用表!$E:$E,$B29,領用表!$B:$B,Z$2&amp;$P$1)</f>
        <v>0</v>
      </c>
      <c r="AA29" s="142">
        <f>SUMIFS(領用表!$L:$L,領用表!$E:$E,$B29,領用表!$B:$B,AA$2&amp;$P$1)</f>
        <v>0</v>
      </c>
      <c r="AB29" s="142">
        <f t="shared" si="2"/>
        <v>172</v>
      </c>
      <c r="AC29" s="142">
        <f t="shared" si="3"/>
        <v>43</v>
      </c>
      <c r="AD29" s="142">
        <f>SUMIF(Summary!B:B,B29,Summary!DV:DV)</f>
        <v>140</v>
      </c>
      <c r="AE29" s="101">
        <v>60</v>
      </c>
      <c r="AF29" s="479"/>
      <c r="AG29" s="25"/>
      <c r="AH29" s="25" t="s">
        <v>54</v>
      </c>
      <c r="AI29" s="27" t="s">
        <v>50</v>
      </c>
      <c r="AJ29" s="28"/>
      <c r="AK29" s="14"/>
      <c r="AL29" s="29"/>
    </row>
    <row r="30" spans="1:38" ht="15.75" customHeight="1">
      <c r="A30" s="27" t="s">
        <v>56</v>
      </c>
      <c r="B30" s="14">
        <v>6190002</v>
      </c>
      <c r="C30" s="118" t="s">
        <v>609</v>
      </c>
      <c r="D30" s="16">
        <v>6</v>
      </c>
      <c r="E30" s="17" t="s">
        <v>57</v>
      </c>
      <c r="F30" s="18"/>
      <c r="G30" s="18">
        <v>2</v>
      </c>
      <c r="H30" s="20">
        <f>SUMIFS(領用表!$L:$L,領用表!$E:$E,$B30,領用表!$B:$B,H$2&amp;$P$1)</f>
        <v>0</v>
      </c>
      <c r="I30" s="20">
        <f>SUMIFS(領用表!$L:$L,領用表!$E:$E,$B30,領用表!$B:$B,I$2&amp;$P$1)</f>
        <v>0</v>
      </c>
      <c r="J30" s="20">
        <f>SUMIFS(領用表!$L:$L,領用表!$E:$E,$B30,領用表!$B:$B,J$2&amp;$P$1)</f>
        <v>0</v>
      </c>
      <c r="K30" s="142">
        <f>SUMIFS(領用表!$L:$L,領用表!$E:$E,$B30,領用表!$B:$B,K$2&amp;$P$1)</f>
        <v>0</v>
      </c>
      <c r="L30" s="142">
        <f>SUMIFS(領用表!$L:$L,領用表!$E:$E,$B30,領用表!$B:$B,L$2&amp;$P$1)</f>
        <v>0</v>
      </c>
      <c r="M30" s="142">
        <f>SUMIFS(領用表!$L:$L,領用表!$E:$E,$B30,領用表!$B:$B,M$2&amp;$P$1)</f>
        <v>0</v>
      </c>
      <c r="N30" s="23">
        <f t="shared" si="0"/>
        <v>0</v>
      </c>
      <c r="O30" s="23">
        <f t="shared" si="1"/>
        <v>0</v>
      </c>
      <c r="P30" s="142">
        <f>SUMIFS(領用表!$L:$L,領用表!$E:$E,$B30,領用表!$B:$B,P$2&amp;$P$1)</f>
        <v>0</v>
      </c>
      <c r="Q30" s="142">
        <f>SUMIFS(領用表!$L:$L,領用表!$E:$E,$B30,領用表!$B:$B,Q$2&amp;$P$1)</f>
        <v>0</v>
      </c>
      <c r="R30" s="142">
        <f>SUMIFS(領用表!$L:$L,領用表!$E:$E,$B30,領用表!$B:$B,R$2&amp;$P$1)</f>
        <v>0</v>
      </c>
      <c r="S30" s="142">
        <f>SUMIFS(領用表!$L:$L,領用表!$E:$E,$B30,領用表!$B:$B,S$2&amp;$P$1)</f>
        <v>0</v>
      </c>
      <c r="T30" s="142">
        <f>SUMIFS(領用表!$L:$L,領用表!$E:$E,$B30,領用表!$B:$B,T$2&amp;$P$1)</f>
        <v>0</v>
      </c>
      <c r="U30" s="142">
        <f>SUMIFS(領用表!$L:$L,領用表!$E:$E,$B30,領用表!$B:$B,U$2&amp;$P$1)</f>
        <v>0</v>
      </c>
      <c r="V30" s="142">
        <f>SUMIFS(領用表!$L:$L,領用表!$E:$E,$B30,領用表!$B:$B,V$2&amp;$P$1)</f>
        <v>0</v>
      </c>
      <c r="W30" s="142">
        <f>SUMIFS(領用表!$L:$L,領用表!$E:$E,$B30,領用表!$B:$B,W$2&amp;$P$1)</f>
        <v>0</v>
      </c>
      <c r="X30" s="142">
        <f>SUMIFS(領用表!$L:$L,領用表!$E:$E,$B30,領用表!$B:$B,X$2&amp;$P$1)</f>
        <v>0</v>
      </c>
      <c r="Y30" s="142">
        <f>SUMIFS(領用表!$L:$L,領用表!$E:$E,$B30,領用表!$B:$B,Y$2&amp;$P$1)</f>
        <v>0</v>
      </c>
      <c r="Z30" s="142">
        <f>SUMIFS(領用表!$L:$L,領用表!$E:$E,$B30,領用表!$B:$B,Z$2&amp;$P$1)</f>
        <v>0</v>
      </c>
      <c r="AA30" s="142">
        <f>SUMIFS(領用表!$L:$L,領用表!$E:$E,$B30,領用表!$B:$B,AA$2&amp;$P$1)</f>
        <v>0</v>
      </c>
      <c r="AB30" s="142">
        <f t="shared" si="2"/>
        <v>0</v>
      </c>
      <c r="AC30" s="142">
        <f t="shared" si="3"/>
        <v>0</v>
      </c>
      <c r="AD30" s="142">
        <f>SUMIF(Summary!B:B,B30,Summary!DV:DV)</f>
        <v>5</v>
      </c>
      <c r="AE30" s="101">
        <v>5</v>
      </c>
      <c r="AF30" s="24">
        <v>0</v>
      </c>
      <c r="AG30" s="25"/>
      <c r="AH30" s="25"/>
      <c r="AI30" s="27"/>
      <c r="AJ30" s="28"/>
      <c r="AK30" s="14"/>
      <c r="AL30" s="29"/>
    </row>
    <row r="31" spans="1:38" ht="15.75" customHeight="1">
      <c r="A31" s="27" t="s">
        <v>58</v>
      </c>
      <c r="B31" s="14">
        <v>6190003</v>
      </c>
      <c r="C31" s="118" t="s">
        <v>610</v>
      </c>
      <c r="D31" s="16">
        <v>10</v>
      </c>
      <c r="E31" s="17" t="s">
        <v>57</v>
      </c>
      <c r="F31" s="18"/>
      <c r="G31" s="18"/>
      <c r="H31" s="20">
        <f>SUMIFS(領用表!$L:$L,領用表!$E:$E,$B31,領用表!$B:$B,H$2&amp;$P$1)</f>
        <v>0</v>
      </c>
      <c r="I31" s="20">
        <f>SUMIFS(領用表!$L:$L,領用表!$E:$E,$B31,領用表!$B:$B,I$2&amp;$P$1)</f>
        <v>0</v>
      </c>
      <c r="J31" s="20">
        <f>SUMIFS(領用表!$L:$L,領用表!$E:$E,$B31,領用表!$B:$B,J$2&amp;$P$1)</f>
        <v>0</v>
      </c>
      <c r="K31" s="142">
        <f>SUMIFS(領用表!$L:$L,領用表!$E:$E,$B31,領用表!$B:$B,K$2&amp;$P$1)</f>
        <v>0</v>
      </c>
      <c r="L31" s="142">
        <f>SUMIFS(領用表!$L:$L,領用表!$E:$E,$B31,領用表!$B:$B,L$2&amp;$P$1)</f>
        <v>0</v>
      </c>
      <c r="M31" s="142">
        <f>SUMIFS(領用表!$L:$L,領用表!$E:$E,$B31,領用表!$B:$B,M$2&amp;$P$1)</f>
        <v>0</v>
      </c>
      <c r="N31" s="23">
        <f t="shared" si="0"/>
        <v>0</v>
      </c>
      <c r="O31" s="23">
        <f t="shared" si="1"/>
        <v>0</v>
      </c>
      <c r="P31" s="142">
        <f>SUMIFS(領用表!$L:$L,領用表!$E:$E,$B31,領用表!$B:$B,P$2&amp;$P$1)</f>
        <v>0</v>
      </c>
      <c r="Q31" s="142">
        <f>SUMIFS(領用表!$L:$L,領用表!$E:$E,$B31,領用表!$B:$B,Q$2&amp;$P$1)</f>
        <v>0</v>
      </c>
      <c r="R31" s="142">
        <f>SUMIFS(領用表!$L:$L,領用表!$E:$E,$B31,領用表!$B:$B,R$2&amp;$P$1)</f>
        <v>0</v>
      </c>
      <c r="S31" s="142">
        <f>SUMIFS(領用表!$L:$L,領用表!$E:$E,$B31,領用表!$B:$B,S$2&amp;$P$1)</f>
        <v>0</v>
      </c>
      <c r="T31" s="142">
        <f>SUMIFS(領用表!$L:$L,領用表!$E:$E,$B31,領用表!$B:$B,T$2&amp;$P$1)</f>
        <v>0</v>
      </c>
      <c r="U31" s="142">
        <f>SUMIFS(領用表!$L:$L,領用表!$E:$E,$B31,領用表!$B:$B,U$2&amp;$P$1)</f>
        <v>0</v>
      </c>
      <c r="V31" s="142">
        <f>SUMIFS(領用表!$L:$L,領用表!$E:$E,$B31,領用表!$B:$B,V$2&amp;$P$1)</f>
        <v>0</v>
      </c>
      <c r="W31" s="142">
        <f>SUMIFS(領用表!$L:$L,領用表!$E:$E,$B31,領用表!$B:$B,W$2&amp;$P$1)</f>
        <v>0</v>
      </c>
      <c r="X31" s="142">
        <f>SUMIFS(領用表!$L:$L,領用表!$E:$E,$B31,領用表!$B:$B,X$2&amp;$P$1)</f>
        <v>0</v>
      </c>
      <c r="Y31" s="142">
        <f>SUMIFS(領用表!$L:$L,領用表!$E:$E,$B31,領用表!$B:$B,Y$2&amp;$P$1)</f>
        <v>0</v>
      </c>
      <c r="Z31" s="142">
        <f>SUMIFS(領用表!$L:$L,領用表!$E:$E,$B31,領用表!$B:$B,Z$2&amp;$P$1)</f>
        <v>0</v>
      </c>
      <c r="AA31" s="142">
        <f>SUMIFS(領用表!$L:$L,領用表!$E:$E,$B31,領用表!$B:$B,AA$2&amp;$P$1)</f>
        <v>0</v>
      </c>
      <c r="AB31" s="142">
        <f t="shared" si="2"/>
        <v>0</v>
      </c>
      <c r="AC31" s="142">
        <f t="shared" si="3"/>
        <v>0</v>
      </c>
      <c r="AD31" s="142">
        <f>SUMIF(Summary!B:B,B31,Summary!DV:DV)</f>
        <v>10</v>
      </c>
      <c r="AE31" s="101">
        <v>5</v>
      </c>
      <c r="AF31" s="24">
        <v>0</v>
      </c>
      <c r="AG31" s="25"/>
      <c r="AH31" s="25"/>
      <c r="AI31" s="27"/>
      <c r="AJ31" s="28"/>
      <c r="AK31" s="14"/>
      <c r="AL31" s="29"/>
    </row>
    <row r="32" spans="1:38" ht="15.75" customHeight="1">
      <c r="A32" s="27" t="s">
        <v>59</v>
      </c>
      <c r="B32" s="14">
        <v>6190004</v>
      </c>
      <c r="C32" s="118" t="s">
        <v>611</v>
      </c>
      <c r="D32" s="16">
        <v>20</v>
      </c>
      <c r="E32" s="17" t="s">
        <v>57</v>
      </c>
      <c r="F32" s="18"/>
      <c r="G32" s="18">
        <v>20</v>
      </c>
      <c r="H32" s="20">
        <f>SUMIFS(領用表!$L:$L,領用表!$E:$E,$B32,領用表!$B:$B,H$2&amp;$P$1)</f>
        <v>0</v>
      </c>
      <c r="I32" s="20">
        <f>SUMIFS(領用表!$L:$L,領用表!$E:$E,$B32,領用表!$B:$B,I$2&amp;$P$1)</f>
        <v>0</v>
      </c>
      <c r="J32" s="20">
        <f>SUMIFS(領用表!$L:$L,領用表!$E:$E,$B32,領用表!$B:$B,J$2&amp;$P$1)</f>
        <v>0</v>
      </c>
      <c r="K32" s="142">
        <f>SUMIFS(領用表!$L:$L,領用表!$E:$E,$B32,領用表!$B:$B,K$2&amp;$P$1)</f>
        <v>0</v>
      </c>
      <c r="L32" s="142">
        <f>SUMIFS(領用表!$L:$L,領用表!$E:$E,$B32,領用表!$B:$B,L$2&amp;$P$1)</f>
        <v>0</v>
      </c>
      <c r="M32" s="142">
        <f>SUMIFS(領用表!$L:$L,領用表!$E:$E,$B32,領用表!$B:$B,M$2&amp;$P$1)</f>
        <v>0</v>
      </c>
      <c r="N32" s="23">
        <f t="shared" si="0"/>
        <v>0</v>
      </c>
      <c r="O32" s="23">
        <f t="shared" si="1"/>
        <v>0</v>
      </c>
      <c r="P32" s="142">
        <f>SUMIFS(領用表!$L:$L,領用表!$E:$E,$B32,領用表!$B:$B,P$2&amp;$P$1)</f>
        <v>0</v>
      </c>
      <c r="Q32" s="142">
        <f>SUMIFS(領用表!$L:$L,領用表!$E:$E,$B32,領用表!$B:$B,Q$2&amp;$P$1)</f>
        <v>0</v>
      </c>
      <c r="R32" s="142">
        <f>SUMIFS(領用表!$L:$L,領用表!$E:$E,$B32,領用表!$B:$B,R$2&amp;$P$1)</f>
        <v>4</v>
      </c>
      <c r="S32" s="142">
        <f>SUMIFS(領用表!$L:$L,領用表!$E:$E,$B32,領用表!$B:$B,S$2&amp;$P$1)</f>
        <v>7</v>
      </c>
      <c r="T32" s="142">
        <f>SUMIFS(領用表!$L:$L,領用表!$E:$E,$B32,領用表!$B:$B,T$2&amp;$P$1)</f>
        <v>3</v>
      </c>
      <c r="U32" s="142">
        <f>SUMIFS(領用表!$L:$L,領用表!$E:$E,$B32,領用表!$B:$B,U$2&amp;$P$1)</f>
        <v>0</v>
      </c>
      <c r="V32" s="142">
        <f>SUMIFS(領用表!$L:$L,領用表!$E:$E,$B32,領用表!$B:$B,V$2&amp;$P$1)</f>
        <v>0</v>
      </c>
      <c r="W32" s="142">
        <f>SUMIFS(領用表!$L:$L,領用表!$E:$E,$B32,領用表!$B:$B,W$2&amp;$P$1)</f>
        <v>0</v>
      </c>
      <c r="X32" s="142">
        <f>SUMIFS(領用表!$L:$L,領用表!$E:$E,$B32,領用表!$B:$B,X$2&amp;$P$1)</f>
        <v>0</v>
      </c>
      <c r="Y32" s="142">
        <f>SUMIFS(領用表!$L:$L,領用表!$E:$E,$B32,領用表!$B:$B,Y$2&amp;$P$1)</f>
        <v>0</v>
      </c>
      <c r="Z32" s="142">
        <f>SUMIFS(領用表!$L:$L,領用表!$E:$E,$B32,領用表!$B:$B,Z$2&amp;$P$1)</f>
        <v>0</v>
      </c>
      <c r="AA32" s="142">
        <f>SUMIFS(領用表!$L:$L,領用表!$E:$E,$B32,領用表!$B:$B,AA$2&amp;$P$1)</f>
        <v>0</v>
      </c>
      <c r="AB32" s="142">
        <f t="shared" si="2"/>
        <v>14</v>
      </c>
      <c r="AC32" s="142">
        <f t="shared" si="3"/>
        <v>3.5</v>
      </c>
      <c r="AD32" s="142">
        <f>SUMIF(Summary!B:B,B32,Summary!DV:DV)</f>
        <v>5</v>
      </c>
      <c r="AE32" s="101">
        <v>15</v>
      </c>
      <c r="AF32" s="24">
        <v>0</v>
      </c>
      <c r="AG32" s="25"/>
      <c r="AH32" s="25"/>
      <c r="AI32" s="27"/>
      <c r="AJ32" s="28"/>
      <c r="AK32" s="14"/>
      <c r="AL32" s="29"/>
    </row>
    <row r="33" spans="1:38" ht="15.75" customHeight="1">
      <c r="A33" s="27"/>
      <c r="B33" s="14">
        <v>6190006</v>
      </c>
      <c r="C33" s="118" t="s">
        <v>937</v>
      </c>
      <c r="D33" s="16">
        <v>1</v>
      </c>
      <c r="E33" s="17" t="s">
        <v>15</v>
      </c>
      <c r="F33" s="18"/>
      <c r="G33" s="18">
        <v>81</v>
      </c>
      <c r="H33" s="20"/>
      <c r="I33" s="20"/>
      <c r="J33" s="20"/>
      <c r="K33" s="142"/>
      <c r="L33" s="142"/>
      <c r="M33" s="142"/>
      <c r="N33" s="23"/>
      <c r="O33" s="23"/>
      <c r="P33" s="142">
        <f>SUMIFS(領用表!$L:$L,領用表!$E:$E,$B33,領用表!$B:$B,P$2&amp;$P$1)</f>
        <v>0</v>
      </c>
      <c r="Q33" s="142">
        <f>SUMIFS(領用表!$L:$L,領用表!$E:$E,$B33,領用表!$B:$B,Q$2&amp;$P$1)</f>
        <v>0</v>
      </c>
      <c r="R33" s="142">
        <f>SUMIFS(領用表!$L:$L,領用表!$E:$E,$B33,領用表!$B:$B,R$2&amp;$P$1)</f>
        <v>0</v>
      </c>
      <c r="S33" s="142">
        <f>SUMIFS(領用表!$L:$L,領用表!$E:$E,$B33,領用表!$B:$B,S$2&amp;$P$1)</f>
        <v>6</v>
      </c>
      <c r="T33" s="142">
        <f>SUMIFS(領用表!$L:$L,領用表!$E:$E,$B33,領用表!$B:$B,T$2&amp;$P$1)</f>
        <v>13</v>
      </c>
      <c r="U33" s="142">
        <f>SUMIFS(領用表!$L:$L,領用表!$E:$E,$B33,領用表!$B:$B,U$2&amp;$P$1)</f>
        <v>0</v>
      </c>
      <c r="V33" s="142">
        <f>SUMIFS(領用表!$L:$L,領用表!$E:$E,$B33,領用表!$B:$B,V$2&amp;$P$1)</f>
        <v>0</v>
      </c>
      <c r="W33" s="142">
        <f>SUMIFS(領用表!$L:$L,領用表!$E:$E,$B33,領用表!$B:$B,W$2&amp;$P$1)</f>
        <v>0</v>
      </c>
      <c r="X33" s="142">
        <f>SUMIFS(領用表!$L:$L,領用表!$E:$E,$B33,領用表!$B:$B,X$2&amp;$P$1)</f>
        <v>0</v>
      </c>
      <c r="Y33" s="142">
        <f>SUMIFS(領用表!$L:$L,領用表!$E:$E,$B33,領用表!$B:$B,Y$2&amp;$P$1)</f>
        <v>0</v>
      </c>
      <c r="Z33" s="142">
        <f>SUMIFS(領用表!$L:$L,領用表!$E:$E,$B33,領用表!$B:$B,Z$2&amp;$P$1)</f>
        <v>0</v>
      </c>
      <c r="AA33" s="142">
        <f>SUMIFS(領用表!$L:$L,領用表!$E:$E,$B33,領用表!$B:$B,AA$2&amp;$P$1)</f>
        <v>0</v>
      </c>
      <c r="AB33" s="142">
        <f t="shared" si="2"/>
        <v>19</v>
      </c>
      <c r="AC33" s="142">
        <f t="shared" si="3"/>
        <v>4.75</v>
      </c>
      <c r="AD33" s="142">
        <f>SUMIF(Summary!B:B,B33,Summary!DV:DV)</f>
        <v>0</v>
      </c>
      <c r="AE33" s="101"/>
      <c r="AF33" s="24"/>
      <c r="AG33" s="25"/>
      <c r="AH33" s="25"/>
      <c r="AI33" s="27"/>
      <c r="AJ33" s="28"/>
      <c r="AK33" s="14"/>
      <c r="AL33" s="29"/>
    </row>
    <row r="34" spans="1:38" ht="15.75" customHeight="1">
      <c r="A34" s="27"/>
      <c r="B34" s="433">
        <v>6050010</v>
      </c>
      <c r="C34" s="14" t="s">
        <v>961</v>
      </c>
      <c r="D34" s="16"/>
      <c r="E34" s="17"/>
      <c r="F34" s="18"/>
      <c r="G34" s="18">
        <v>98</v>
      </c>
      <c r="H34" s="20"/>
      <c r="I34" s="20"/>
      <c r="J34" s="20"/>
      <c r="K34" s="142"/>
      <c r="L34" s="142"/>
      <c r="M34" s="142"/>
      <c r="N34" s="23"/>
      <c r="O34" s="23"/>
      <c r="P34" s="142"/>
      <c r="Q34" s="142"/>
      <c r="R34" s="142"/>
      <c r="S34" s="142"/>
      <c r="T34" s="142">
        <f>SUMIFS(領用表!$L:$L,領用表!$E:$E,$B34,領用表!$B:$B,T$2&amp;$P$1)</f>
        <v>2</v>
      </c>
      <c r="U34" s="142"/>
      <c r="V34" s="142"/>
      <c r="W34" s="142"/>
      <c r="X34" s="142"/>
      <c r="Y34" s="142"/>
      <c r="Z34" s="142"/>
      <c r="AA34" s="142"/>
      <c r="AB34" s="142">
        <f t="shared" si="2"/>
        <v>2</v>
      </c>
      <c r="AC34" s="142">
        <f t="shared" ref="AC34:AC35" si="6">AVERAGE(Q34,R34,S34,T34)</f>
        <v>2</v>
      </c>
      <c r="AD34" s="142">
        <f>SUMIF(Summary!B:B,B34,Summary!DV:DV)</f>
        <v>0</v>
      </c>
      <c r="AE34" s="101"/>
      <c r="AF34" s="24"/>
      <c r="AG34" s="25"/>
      <c r="AH34" s="25"/>
      <c r="AI34" s="27"/>
      <c r="AJ34" s="28"/>
      <c r="AK34" s="14"/>
      <c r="AL34" s="29"/>
    </row>
    <row r="35" spans="1:38" ht="15.75" customHeight="1">
      <c r="A35" s="27" t="s">
        <v>60</v>
      </c>
      <c r="B35" s="14">
        <v>6160001</v>
      </c>
      <c r="C35" s="131" t="s">
        <v>477</v>
      </c>
      <c r="D35" s="43">
        <v>1</v>
      </c>
      <c r="E35" s="17" t="s">
        <v>15</v>
      </c>
      <c r="F35" s="18"/>
      <c r="G35" s="18">
        <v>0</v>
      </c>
      <c r="H35" s="20">
        <f>SUMIFS(領用表!$L:$L,領用表!$E:$E,$B35,領用表!$B:$B,H$2&amp;$P$1)</f>
        <v>0</v>
      </c>
      <c r="I35" s="20">
        <f>SUMIFS(領用表!$L:$L,領用表!$E:$E,$B35,領用表!$B:$B,I$2&amp;$P$1)</f>
        <v>0</v>
      </c>
      <c r="J35" s="20">
        <f>SUMIFS(領用表!$L:$L,領用表!$E:$E,$B35,領用表!$B:$B,J$2&amp;$P$1)</f>
        <v>0</v>
      </c>
      <c r="K35" s="142">
        <f>SUMIFS(領用表!$L:$L,領用表!$E:$E,$B35,領用表!$B:$B,K$2&amp;$P$1)</f>
        <v>0</v>
      </c>
      <c r="L35" s="142">
        <f>SUMIFS(領用表!$L:$L,領用表!$E:$E,$B35,領用表!$B:$B,L$2&amp;$P$1)</f>
        <v>0</v>
      </c>
      <c r="M35" s="142">
        <f>SUMIFS(領用表!$L:$L,領用表!$E:$E,$B35,領用表!$B:$B,M$2&amp;$P$1)</f>
        <v>0</v>
      </c>
      <c r="N35" s="23">
        <f t="shared" si="0"/>
        <v>0</v>
      </c>
      <c r="O35" s="23">
        <f t="shared" si="1"/>
        <v>0</v>
      </c>
      <c r="P35" s="142">
        <f>SUMIFS(領用表!$L:$L,領用表!$E:$E,$B35,領用表!$B:$B,P$2&amp;$P$1)</f>
        <v>0</v>
      </c>
      <c r="Q35" s="142">
        <f>SUMIFS(領用表!$L:$L,領用表!$E:$E,$B35,領用表!$B:$B,Q$2&amp;$P$1)</f>
        <v>0</v>
      </c>
      <c r="R35" s="142">
        <f>SUMIFS(領用表!$L:$L,領用表!$E:$E,$B35,領用表!$B:$B,R$2&amp;$P$1)</f>
        <v>0</v>
      </c>
      <c r="S35" s="142">
        <f>SUMIFS(領用表!$L:$L,領用表!$E:$E,$B35,領用表!$B:$B,S$2&amp;$P$1)</f>
        <v>0</v>
      </c>
      <c r="T35" s="142">
        <f>SUMIFS(領用表!$L:$L,領用表!$E:$E,$B35,領用表!$B:$B,T$2&amp;$P$1)</f>
        <v>0</v>
      </c>
      <c r="U35" s="142">
        <f>SUMIFS(領用表!$L:$L,領用表!$E:$E,$B35,領用表!$B:$B,U$2&amp;$P$1)</f>
        <v>0</v>
      </c>
      <c r="V35" s="142">
        <f>SUMIFS(領用表!$L:$L,領用表!$E:$E,$B35,領用表!$B:$B,V$2&amp;$P$1)</f>
        <v>0</v>
      </c>
      <c r="W35" s="142">
        <f>SUMIFS(領用表!$L:$L,領用表!$E:$E,$B35,領用表!$B:$B,W$2&amp;$P$1)</f>
        <v>0</v>
      </c>
      <c r="X35" s="142">
        <f>SUMIFS(領用表!$L:$L,領用表!$E:$E,$B35,領用表!$B:$B,X$2&amp;$P$1)</f>
        <v>0</v>
      </c>
      <c r="Y35" s="142">
        <f>SUMIFS(領用表!$L:$L,領用表!$E:$E,$B35,領用表!$B:$B,Y$2&amp;$P$1)</f>
        <v>0</v>
      </c>
      <c r="Z35" s="142">
        <f>SUMIFS(領用表!$L:$L,領用表!$E:$E,$B35,領用表!$B:$B,Z$2&amp;$P$1)</f>
        <v>0</v>
      </c>
      <c r="AA35" s="142">
        <f>SUMIFS(領用表!$L:$L,領用表!$E:$E,$B35,領用表!$B:$B,AA$2&amp;$P$1)</f>
        <v>0</v>
      </c>
      <c r="AB35" s="142">
        <f t="shared" si="2"/>
        <v>0</v>
      </c>
      <c r="AC35" s="142">
        <f t="shared" si="6"/>
        <v>0</v>
      </c>
      <c r="AD35" s="142">
        <f>SUMIF(Summary!B:B,B35,Summary!DV:DV)</f>
        <v>3</v>
      </c>
      <c r="AE35" s="101">
        <v>0</v>
      </c>
      <c r="AF35" s="24"/>
      <c r="AG35" s="25"/>
      <c r="AH35" s="25"/>
      <c r="AI35" s="27"/>
      <c r="AJ35" s="28"/>
      <c r="AK35" s="14"/>
      <c r="AL35" s="29"/>
    </row>
    <row r="36" spans="1:38" ht="15.75" customHeight="1" thickBot="1">
      <c r="A36" s="27" t="s">
        <v>61</v>
      </c>
      <c r="B36" s="14">
        <v>6150012</v>
      </c>
      <c r="C36" s="131" t="s">
        <v>478</v>
      </c>
      <c r="D36" s="43">
        <v>1</v>
      </c>
      <c r="E36" s="17" t="s">
        <v>15</v>
      </c>
      <c r="F36" s="18"/>
      <c r="G36" s="18">
        <v>0</v>
      </c>
      <c r="H36" s="20">
        <f>SUMIFS(領用表!$L:$L,領用表!$E:$E,$B36,領用表!$B:$B,H$2&amp;$P$1)</f>
        <v>0</v>
      </c>
      <c r="I36" s="20">
        <f>SUMIFS(領用表!$L:$L,領用表!$E:$E,$B36,領用表!$B:$B,I$2&amp;$P$1)</f>
        <v>0</v>
      </c>
      <c r="J36" s="20">
        <f>SUMIFS(領用表!$L:$L,領用表!$E:$E,$B36,領用表!$B:$B,J$2&amp;$P$1)</f>
        <v>0</v>
      </c>
      <c r="K36" s="142">
        <f>SUMIFS(領用表!$L:$L,領用表!$E:$E,$B36,領用表!$B:$B,K$2&amp;$P$1)</f>
        <v>0</v>
      </c>
      <c r="L36" s="142">
        <f>SUMIFS(領用表!$L:$L,領用表!$E:$E,$B36,領用表!$B:$B,L$2&amp;$P$1)</f>
        <v>0</v>
      </c>
      <c r="M36" s="142">
        <f>SUMIFS(領用表!$L:$L,領用表!$E:$E,$B36,領用表!$B:$B,M$2&amp;$P$1)</f>
        <v>0</v>
      </c>
      <c r="N36" s="23">
        <f t="shared" si="0"/>
        <v>0</v>
      </c>
      <c r="O36" s="23">
        <f t="shared" si="1"/>
        <v>0</v>
      </c>
      <c r="P36" s="142">
        <f>SUMIFS(領用表!$L:$L,領用表!$E:$E,$B36,領用表!$B:$B,P$2&amp;$P$1)</f>
        <v>0</v>
      </c>
      <c r="Q36" s="142">
        <f>SUMIFS(領用表!$L:$L,領用表!$E:$E,$B36,領用表!$B:$B,Q$2&amp;$P$1)</f>
        <v>0</v>
      </c>
      <c r="R36" s="142">
        <f>SUMIFS(領用表!$L:$L,領用表!$E:$E,$B36,領用表!$B:$B,R$2&amp;$P$1)</f>
        <v>0</v>
      </c>
      <c r="S36" s="142">
        <f>SUMIFS(領用表!$L:$L,領用表!$E:$E,$B36,領用表!$B:$B,S$2&amp;$P$1)</f>
        <v>0</v>
      </c>
      <c r="T36" s="142">
        <f>SUMIFS(領用表!$L:$L,領用表!$E:$E,$B36,領用表!$B:$B,T$2&amp;$P$1)</f>
        <v>0</v>
      </c>
      <c r="U36" s="142">
        <f>SUMIFS(領用表!$L:$L,領用表!$E:$E,$B36,領用表!$B:$B,U$2&amp;$P$1)</f>
        <v>0</v>
      </c>
      <c r="V36" s="142">
        <f>SUMIFS(領用表!$L:$L,領用表!$E:$E,$B36,領用表!$B:$B,V$2&amp;$P$1)</f>
        <v>0</v>
      </c>
      <c r="W36" s="142">
        <f>SUMIFS(領用表!$L:$L,領用表!$E:$E,$B36,領用表!$B:$B,W$2&amp;$P$1)</f>
        <v>0</v>
      </c>
      <c r="X36" s="142">
        <f>SUMIFS(領用表!$L:$L,領用表!$E:$E,$B36,領用表!$B:$B,X$2&amp;$P$1)</f>
        <v>0</v>
      </c>
      <c r="Y36" s="142">
        <f>SUMIFS(領用表!$L:$L,領用表!$E:$E,$B36,領用表!$B:$B,Y$2&amp;$P$1)</f>
        <v>0</v>
      </c>
      <c r="Z36" s="142">
        <f>SUMIFS(領用表!$L:$L,領用表!$E:$E,$B36,領用表!$B:$B,Z$2&amp;$P$1)</f>
        <v>0</v>
      </c>
      <c r="AA36" s="142">
        <f>SUMIFS(領用表!$L:$L,領用表!$E:$E,$B36,領用表!$B:$B,AA$2&amp;$P$1)</f>
        <v>0</v>
      </c>
      <c r="AB36" s="142">
        <f t="shared" si="2"/>
        <v>0</v>
      </c>
      <c r="AC36" s="142">
        <f t="shared" si="3"/>
        <v>0</v>
      </c>
      <c r="AD36" s="142">
        <f>SUMIF(Summary!B:B,B36,Summary!DV:DV)</f>
        <v>0</v>
      </c>
      <c r="AE36" s="101">
        <v>0</v>
      </c>
      <c r="AF36" s="36"/>
      <c r="AG36" s="25"/>
      <c r="AH36" s="25"/>
      <c r="AI36" s="27"/>
      <c r="AJ36" s="28"/>
      <c r="AK36" s="14"/>
      <c r="AL36" s="29"/>
    </row>
    <row r="37" spans="1:38" ht="15.75" customHeight="1" thickBot="1">
      <c r="A37" s="229" t="s">
        <v>748</v>
      </c>
      <c r="B37" s="230">
        <v>6150014</v>
      </c>
      <c r="C37" s="231" t="s">
        <v>749</v>
      </c>
      <c r="D37" s="232">
        <v>2.5</v>
      </c>
      <c r="E37" s="233" t="s">
        <v>750</v>
      </c>
      <c r="F37" s="18"/>
      <c r="G37" s="18">
        <f>G36*D37</f>
        <v>0</v>
      </c>
      <c r="H37" s="20">
        <f>SUMIFS(領用表!$L:$L,領用表!$E:$E,$B37,領用表!$B:$B,H$2&amp;$P$1)</f>
        <v>0</v>
      </c>
      <c r="I37" s="20">
        <f>SUMIFS(領用表!$L:$L,領用表!$E:$E,$B37,領用表!$B:$B,I$2&amp;$P$1)</f>
        <v>0</v>
      </c>
      <c r="J37" s="20">
        <f>SUMIFS(領用表!$L:$L,領用表!$E:$E,$B37,領用表!$B:$B,J$2&amp;$P$1)</f>
        <v>0</v>
      </c>
      <c r="K37" s="142">
        <f>SUMIFS(領用表!$L:$L,領用表!$E:$E,$B37,領用表!$B:$B,K$2&amp;$P$1)</f>
        <v>0</v>
      </c>
      <c r="L37" s="142">
        <f>SUMIFS(領用表!$L:$L,領用表!$E:$E,$B37,領用表!$B:$B,L$2&amp;$P$1)</f>
        <v>0</v>
      </c>
      <c r="M37" s="142">
        <f>SUMIFS(領用表!$L:$L,領用表!$E:$E,$B37,領用表!$B:$B,M$2&amp;$P$1)</f>
        <v>0</v>
      </c>
      <c r="N37" s="23">
        <f t="shared" si="0"/>
        <v>0</v>
      </c>
      <c r="O37" s="23">
        <f t="shared" si="1"/>
        <v>0</v>
      </c>
      <c r="P37" s="142">
        <f>SUMIFS(領用表!$L:$L,領用表!$E:$E,$B37,領用表!$B:$B,P$2&amp;$P$1)</f>
        <v>0</v>
      </c>
      <c r="Q37" s="142">
        <f>SUMIFS(領用表!$L:$L,領用表!$E:$E,$B37,領用表!$B:$B,Q$2&amp;$P$1)</f>
        <v>0</v>
      </c>
      <c r="R37" s="142">
        <f>SUMIFS(領用表!$L:$L,領用表!$E:$E,$B37,領用表!$B:$B,R$2&amp;$P$1)</f>
        <v>0</v>
      </c>
      <c r="S37" s="142">
        <f>SUMIFS(領用表!$L:$L,領用表!$E:$E,$B37,領用表!$B:$B,S$2&amp;$P$1)</f>
        <v>0</v>
      </c>
      <c r="T37" s="142">
        <f>SUMIFS(領用表!$L:$L,領用表!$E:$E,$B37,領用表!$B:$B,T$2&amp;$P$1)</f>
        <v>0</v>
      </c>
      <c r="U37" s="142">
        <f>SUMIFS(領用表!$L:$L,領用表!$E:$E,$B37,領用表!$B:$B,U$2&amp;$P$1)</f>
        <v>0</v>
      </c>
      <c r="V37" s="142">
        <f>SUMIFS(領用表!$L:$L,領用表!$E:$E,$B37,領用表!$B:$B,V$2&amp;$P$1)</f>
        <v>0</v>
      </c>
      <c r="W37" s="142">
        <f>SUMIFS(領用表!$L:$L,領用表!$E:$E,$B37,領用表!$B:$B,W$2&amp;$P$1)</f>
        <v>0</v>
      </c>
      <c r="X37" s="142">
        <f>SUMIFS(領用表!$L:$L,領用表!$E:$E,$B37,領用表!$B:$B,X$2&amp;$P$1)</f>
        <v>0</v>
      </c>
      <c r="Y37" s="142">
        <f>SUMIFS(領用表!$L:$L,領用表!$E:$E,$B37,領用表!$B:$B,Y$2&amp;$P$1)</f>
        <v>0</v>
      </c>
      <c r="Z37" s="142">
        <f>SUMIFS(領用表!$L:$L,領用表!$E:$E,$B37,領用表!$B:$B,Z$2&amp;$P$1)</f>
        <v>0</v>
      </c>
      <c r="AA37" s="142">
        <f>SUMIFS(領用表!$L:$L,領用表!$E:$E,$B37,領用表!$B:$B,AA$2&amp;$P$1)</f>
        <v>0</v>
      </c>
      <c r="AB37" s="142">
        <f t="shared" si="2"/>
        <v>0</v>
      </c>
      <c r="AC37" s="142">
        <f t="shared" si="3"/>
        <v>0</v>
      </c>
      <c r="AD37" s="142">
        <f>SUMIF(Summary!B:B,B37,Summary!DV:DV)</f>
        <v>0</v>
      </c>
      <c r="AE37" s="101"/>
      <c r="AF37" s="396"/>
      <c r="AG37" s="25"/>
      <c r="AH37" s="25"/>
      <c r="AI37" s="27"/>
      <c r="AJ37" s="28"/>
      <c r="AK37" s="14"/>
      <c r="AL37" s="29"/>
    </row>
    <row r="38" spans="1:38" ht="15.75" customHeight="1">
      <c r="A38" s="27" t="s">
        <v>62</v>
      </c>
      <c r="B38" s="14">
        <v>6210006</v>
      </c>
      <c r="C38" s="131" t="s">
        <v>479</v>
      </c>
      <c r="D38" s="43">
        <v>3</v>
      </c>
      <c r="E38" s="17" t="s">
        <v>63</v>
      </c>
      <c r="F38" s="18"/>
      <c r="G38" s="18">
        <v>0</v>
      </c>
      <c r="H38" s="20">
        <f>SUMIFS(領用表!$L:$L,領用表!$E:$E,$B38,領用表!$B:$B,H$2&amp;$P$1)</f>
        <v>0</v>
      </c>
      <c r="I38" s="20">
        <f>SUMIFS(領用表!$L:$L,領用表!$E:$E,$B38,領用表!$B:$B,I$2&amp;$P$1)</f>
        <v>0</v>
      </c>
      <c r="J38" s="20">
        <f>SUMIFS(領用表!$L:$L,領用表!$E:$E,$B38,領用表!$B:$B,J$2&amp;$P$1)</f>
        <v>0</v>
      </c>
      <c r="K38" s="142">
        <f>SUMIFS(領用表!$L:$L,領用表!$E:$E,$B38,領用表!$B:$B,K$2&amp;$P$1)</f>
        <v>0</v>
      </c>
      <c r="L38" s="142">
        <f>SUMIFS(領用表!$L:$L,領用表!$E:$E,$B38,領用表!$B:$B,L$2&amp;$P$1)</f>
        <v>0</v>
      </c>
      <c r="M38" s="142">
        <f>SUMIFS(領用表!$L:$L,領用表!$E:$E,$B38,領用表!$B:$B,M$2&amp;$P$1)</f>
        <v>0</v>
      </c>
      <c r="N38" s="23">
        <f t="shared" si="0"/>
        <v>0</v>
      </c>
      <c r="O38" s="23">
        <f t="shared" si="1"/>
        <v>0</v>
      </c>
      <c r="P38" s="142">
        <f>SUMIFS(領用表!$L:$L,領用表!$E:$E,$B38,領用表!$B:$B,P$2&amp;$P$1)</f>
        <v>0</v>
      </c>
      <c r="Q38" s="142">
        <f>SUMIFS(領用表!$L:$L,領用表!$E:$E,$B38,領用表!$B:$B,Q$2&amp;$P$1)</f>
        <v>0</v>
      </c>
      <c r="R38" s="142">
        <f>SUMIFS(領用表!$L:$L,領用表!$E:$E,$B38,領用表!$B:$B,R$2&amp;$P$1)</f>
        <v>1</v>
      </c>
      <c r="S38" s="142">
        <f>SUMIFS(領用表!$L:$L,領用表!$E:$E,$B38,領用表!$B:$B,S$2&amp;$P$1)</f>
        <v>1</v>
      </c>
      <c r="T38" s="142">
        <f>SUMIFS(領用表!$L:$L,領用表!$E:$E,$B38,領用表!$B:$B,T$2&amp;$P$1)</f>
        <v>4</v>
      </c>
      <c r="U38" s="142">
        <f>SUMIFS(領用表!$L:$L,領用表!$E:$E,$B38,領用表!$B:$B,U$2&amp;$P$1)</f>
        <v>0</v>
      </c>
      <c r="V38" s="142">
        <f>SUMIFS(領用表!$L:$L,領用表!$E:$E,$B38,領用表!$B:$B,V$2&amp;$P$1)</f>
        <v>0</v>
      </c>
      <c r="W38" s="142">
        <f>SUMIFS(領用表!$L:$L,領用表!$E:$E,$B38,領用表!$B:$B,W$2&amp;$P$1)</f>
        <v>0</v>
      </c>
      <c r="X38" s="142">
        <f>SUMIFS(領用表!$L:$L,領用表!$E:$E,$B38,領用表!$B:$B,X$2&amp;$P$1)</f>
        <v>0</v>
      </c>
      <c r="Y38" s="142">
        <f>SUMIFS(領用表!$L:$L,領用表!$E:$E,$B38,領用表!$B:$B,Y$2&amp;$P$1)</f>
        <v>0</v>
      </c>
      <c r="Z38" s="142">
        <f>SUMIFS(領用表!$L:$L,領用表!$E:$E,$B38,領用表!$B:$B,Z$2&amp;$P$1)</f>
        <v>0</v>
      </c>
      <c r="AA38" s="142">
        <f>SUMIFS(領用表!$L:$L,領用表!$E:$E,$B38,領用表!$B:$B,AA$2&amp;$P$1)</f>
        <v>0</v>
      </c>
      <c r="AB38" s="142">
        <f t="shared" si="2"/>
        <v>6</v>
      </c>
      <c r="AC38" s="142">
        <f t="shared" si="3"/>
        <v>1.5</v>
      </c>
      <c r="AD38" s="142">
        <f>SUMIF(Summary!B:B,B38,Summary!DV:DV)</f>
        <v>10</v>
      </c>
      <c r="AE38" s="101">
        <v>5</v>
      </c>
      <c r="AF38" s="482"/>
      <c r="AG38" s="25"/>
      <c r="AH38" s="25"/>
      <c r="AI38" s="27"/>
      <c r="AJ38" s="28"/>
      <c r="AK38" s="14"/>
      <c r="AL38" s="29"/>
    </row>
    <row r="39" spans="1:38" ht="15.75" customHeight="1">
      <c r="A39" s="27" t="s">
        <v>64</v>
      </c>
      <c r="B39" s="14">
        <v>6210007</v>
      </c>
      <c r="C39" s="131" t="s">
        <v>480</v>
      </c>
      <c r="D39" s="43">
        <v>3</v>
      </c>
      <c r="E39" s="17" t="s">
        <v>63</v>
      </c>
      <c r="F39" s="44"/>
      <c r="G39" s="18">
        <v>7</v>
      </c>
      <c r="H39" s="20">
        <f>SUMIFS(領用表!$L:$L,領用表!$E:$E,$B39,領用表!$B:$B,H$2&amp;$P$1)</f>
        <v>0</v>
      </c>
      <c r="I39" s="20">
        <f>SUMIFS(領用表!$L:$L,領用表!$E:$E,$B39,領用表!$B:$B,I$2&amp;$P$1)</f>
        <v>0</v>
      </c>
      <c r="J39" s="20">
        <f>SUMIFS(領用表!$L:$L,領用表!$E:$E,$B39,領用表!$B:$B,J$2&amp;$P$1)</f>
        <v>0</v>
      </c>
      <c r="K39" s="142">
        <f>SUMIFS(領用表!$L:$L,領用表!$E:$E,$B39,領用表!$B:$B,K$2&amp;$P$1)</f>
        <v>0</v>
      </c>
      <c r="L39" s="142">
        <f>SUMIFS(領用表!$L:$L,領用表!$E:$E,$B39,領用表!$B:$B,L$2&amp;$P$1)</f>
        <v>0</v>
      </c>
      <c r="M39" s="142">
        <f>SUMIFS(領用表!$L:$L,領用表!$E:$E,$B39,領用表!$B:$B,M$2&amp;$P$1)</f>
        <v>0</v>
      </c>
      <c r="N39" s="23">
        <f t="shared" si="0"/>
        <v>0</v>
      </c>
      <c r="O39" s="23">
        <f t="shared" si="1"/>
        <v>0</v>
      </c>
      <c r="P39" s="142">
        <f>SUMIFS(領用表!$L:$L,領用表!$E:$E,$B39,領用表!$B:$B,P$2&amp;$P$1)</f>
        <v>0</v>
      </c>
      <c r="Q39" s="142">
        <f>SUMIFS(領用表!$L:$L,領用表!$E:$E,$B39,領用表!$B:$B,Q$2&amp;$P$1)</f>
        <v>0</v>
      </c>
      <c r="R39" s="142">
        <f>SUMIFS(領用表!$L:$L,領用表!$E:$E,$B39,領用表!$B:$B,R$2&amp;$P$1)</f>
        <v>2</v>
      </c>
      <c r="S39" s="142">
        <f>SUMIFS(領用表!$L:$L,領用表!$E:$E,$B39,領用表!$B:$B,S$2&amp;$P$1)</f>
        <v>2</v>
      </c>
      <c r="T39" s="142">
        <f>SUMIFS(領用表!$L:$L,領用表!$E:$E,$B39,領用表!$B:$B,T$2&amp;$P$1)</f>
        <v>0</v>
      </c>
      <c r="U39" s="142">
        <f>SUMIFS(領用表!$L:$L,領用表!$E:$E,$B39,領用表!$B:$B,U$2&amp;$P$1)</f>
        <v>0</v>
      </c>
      <c r="V39" s="142">
        <f>SUMIFS(領用表!$L:$L,領用表!$E:$E,$B39,領用表!$B:$B,V$2&amp;$P$1)</f>
        <v>0</v>
      </c>
      <c r="W39" s="142">
        <f>SUMIFS(領用表!$L:$L,領用表!$E:$E,$B39,領用表!$B:$B,W$2&amp;$P$1)</f>
        <v>0</v>
      </c>
      <c r="X39" s="142">
        <f>SUMIFS(領用表!$L:$L,領用表!$E:$E,$B39,領用表!$B:$B,X$2&amp;$P$1)</f>
        <v>0</v>
      </c>
      <c r="Y39" s="142">
        <f>SUMIFS(領用表!$L:$L,領用表!$E:$E,$B39,領用表!$B:$B,Y$2&amp;$P$1)</f>
        <v>0</v>
      </c>
      <c r="Z39" s="142">
        <f>SUMIFS(領用表!$L:$L,領用表!$E:$E,$B39,領用表!$B:$B,Z$2&amp;$P$1)</f>
        <v>0</v>
      </c>
      <c r="AA39" s="142">
        <f>SUMIFS(領用表!$L:$L,領用表!$E:$E,$B39,領用表!$B:$B,AA$2&amp;$P$1)</f>
        <v>0</v>
      </c>
      <c r="AB39" s="142">
        <f t="shared" si="2"/>
        <v>4</v>
      </c>
      <c r="AC39" s="142">
        <f t="shared" si="3"/>
        <v>1</v>
      </c>
      <c r="AD39" s="142">
        <f>SUMIF(Summary!B:B,B39,Summary!DV:DV)</f>
        <v>10</v>
      </c>
      <c r="AE39" s="101">
        <v>5</v>
      </c>
      <c r="AF39" s="479"/>
      <c r="AG39" s="25"/>
      <c r="AH39" s="25"/>
      <c r="AI39" s="27"/>
      <c r="AJ39" s="28"/>
      <c r="AK39" s="14"/>
      <c r="AL39" s="29"/>
    </row>
    <row r="40" spans="1:38" ht="15.75" customHeight="1">
      <c r="A40" s="27" t="s">
        <v>65</v>
      </c>
      <c r="B40" s="14">
        <v>6150010</v>
      </c>
      <c r="C40" s="131" t="s">
        <v>481</v>
      </c>
      <c r="D40" s="43">
        <v>1</v>
      </c>
      <c r="E40" s="17" t="s">
        <v>15</v>
      </c>
      <c r="F40" s="44"/>
      <c r="G40" s="18">
        <v>15</v>
      </c>
      <c r="H40" s="20">
        <f>SUMIFS(領用表!$L:$L,領用表!$E:$E,$B40,領用表!$B:$B,H$2&amp;$P$1)</f>
        <v>0</v>
      </c>
      <c r="I40" s="20">
        <f>SUMIFS(領用表!$L:$L,領用表!$E:$E,$B40,領用表!$B:$B,I$2&amp;$P$1)</f>
        <v>0</v>
      </c>
      <c r="J40" s="20">
        <f>SUMIFS(領用表!$L:$L,領用表!$E:$E,$B40,領用表!$B:$B,J$2&amp;$P$1)</f>
        <v>0</v>
      </c>
      <c r="K40" s="142">
        <f>SUMIFS(領用表!$L:$L,領用表!$E:$E,$B40,領用表!$B:$B,K$2&amp;$P$1)</f>
        <v>0</v>
      </c>
      <c r="L40" s="142">
        <f>SUMIFS(領用表!$L:$L,領用表!$E:$E,$B40,領用表!$B:$B,L$2&amp;$P$1)</f>
        <v>0</v>
      </c>
      <c r="M40" s="142">
        <f>SUMIFS(領用表!$L:$L,領用表!$E:$E,$B40,領用表!$B:$B,M$2&amp;$P$1)</f>
        <v>0</v>
      </c>
      <c r="N40" s="23">
        <f t="shared" si="0"/>
        <v>0</v>
      </c>
      <c r="O40" s="23">
        <f t="shared" si="1"/>
        <v>0</v>
      </c>
      <c r="P40" s="142">
        <f>SUMIFS(領用表!$L:$L,領用表!$E:$E,$B40,領用表!$B:$B,P$2&amp;$P$1)</f>
        <v>0</v>
      </c>
      <c r="Q40" s="142">
        <f>SUMIFS(領用表!$L:$L,領用表!$E:$E,$B40,領用表!$B:$B,Q$2&amp;$P$1)</f>
        <v>5</v>
      </c>
      <c r="R40" s="142">
        <f>SUMIFS(領用表!$L:$L,領用表!$E:$E,$B40,領用表!$B:$B,R$2&amp;$P$1)</f>
        <v>23</v>
      </c>
      <c r="S40" s="142">
        <f>SUMIFS(領用表!$L:$L,領用表!$E:$E,$B40,領用表!$B:$B,S$2&amp;$P$1)</f>
        <v>36</v>
      </c>
      <c r="T40" s="142">
        <f>SUMIFS(領用表!$L:$L,領用表!$E:$E,$B40,領用表!$B:$B,T$2&amp;$P$1)</f>
        <v>15</v>
      </c>
      <c r="U40" s="142">
        <f>SUMIFS(領用表!$L:$L,領用表!$E:$E,$B40,領用表!$B:$B,U$2&amp;$P$1)</f>
        <v>0</v>
      </c>
      <c r="V40" s="142">
        <f>SUMIFS(領用表!$L:$L,領用表!$E:$E,$B40,領用表!$B:$B,V$2&amp;$P$1)</f>
        <v>0</v>
      </c>
      <c r="W40" s="142">
        <f>SUMIFS(領用表!$L:$L,領用表!$E:$E,$B40,領用表!$B:$B,W$2&amp;$P$1)</f>
        <v>0</v>
      </c>
      <c r="X40" s="142">
        <f>SUMIFS(領用表!$L:$L,領用表!$E:$E,$B40,領用表!$B:$B,X$2&amp;$P$1)</f>
        <v>0</v>
      </c>
      <c r="Y40" s="142">
        <f>SUMIFS(領用表!$L:$L,領用表!$E:$E,$B40,領用表!$B:$B,Y$2&amp;$P$1)</f>
        <v>0</v>
      </c>
      <c r="Z40" s="142">
        <f>SUMIFS(領用表!$L:$L,領用表!$E:$E,$B40,領用表!$B:$B,Z$2&amp;$P$1)</f>
        <v>0</v>
      </c>
      <c r="AA40" s="142">
        <f>SUMIFS(領用表!$L:$L,領用表!$E:$E,$B40,領用表!$B:$B,AA$2&amp;$P$1)</f>
        <v>0</v>
      </c>
      <c r="AB40" s="142">
        <f t="shared" si="2"/>
        <v>79</v>
      </c>
      <c r="AC40" s="142">
        <f t="shared" si="3"/>
        <v>19.75</v>
      </c>
      <c r="AD40" s="142">
        <f>SUMIF(Summary!B:B,B40,Summary!DV:DV)</f>
        <v>80</v>
      </c>
      <c r="AE40" s="101">
        <v>65</v>
      </c>
      <c r="AF40" s="482"/>
      <c r="AG40" s="25" t="s">
        <v>66</v>
      </c>
      <c r="AH40" s="25" t="s">
        <v>16</v>
      </c>
      <c r="AI40" s="27"/>
      <c r="AJ40" s="28"/>
      <c r="AK40" s="14"/>
      <c r="AL40" s="29"/>
    </row>
    <row r="41" spans="1:38" ht="15.75" customHeight="1">
      <c r="A41" s="27" t="s">
        <v>67</v>
      </c>
      <c r="B41" s="14">
        <v>6150011</v>
      </c>
      <c r="C41" s="131" t="s">
        <v>482</v>
      </c>
      <c r="D41" s="43">
        <v>1</v>
      </c>
      <c r="E41" s="17" t="s">
        <v>15</v>
      </c>
      <c r="F41" s="18"/>
      <c r="G41" s="18">
        <v>20</v>
      </c>
      <c r="H41" s="20">
        <f>SUMIFS(領用表!$L:$L,領用表!$E:$E,$B41,領用表!$B:$B,H$2&amp;$P$1)</f>
        <v>0</v>
      </c>
      <c r="I41" s="20">
        <f>SUMIFS(領用表!$L:$L,領用表!$E:$E,$B41,領用表!$B:$B,I$2&amp;$P$1)</f>
        <v>0</v>
      </c>
      <c r="J41" s="20">
        <f>SUMIFS(領用表!$L:$L,領用表!$E:$E,$B41,領用表!$B:$B,J$2&amp;$P$1)</f>
        <v>0</v>
      </c>
      <c r="K41" s="142">
        <f>SUMIFS(領用表!$L:$L,領用表!$E:$E,$B41,領用表!$B:$B,K$2&amp;$P$1)</f>
        <v>0</v>
      </c>
      <c r="L41" s="142">
        <f>SUMIFS(領用表!$L:$L,領用表!$E:$E,$B41,領用表!$B:$B,L$2&amp;$P$1)</f>
        <v>0</v>
      </c>
      <c r="M41" s="142">
        <f>SUMIFS(領用表!$L:$L,領用表!$E:$E,$B41,領用表!$B:$B,M$2&amp;$P$1)</f>
        <v>0</v>
      </c>
      <c r="N41" s="23">
        <f t="shared" si="0"/>
        <v>0</v>
      </c>
      <c r="O41" s="23">
        <f t="shared" si="1"/>
        <v>0</v>
      </c>
      <c r="P41" s="142">
        <f>SUMIFS(領用表!$L:$L,領用表!$E:$E,$B41,領用表!$B:$B,P$2&amp;$P$1)</f>
        <v>0</v>
      </c>
      <c r="Q41" s="142">
        <f>SUMIFS(領用表!$L:$L,領用表!$E:$E,$B41,領用表!$B:$B,Q$2&amp;$P$1)</f>
        <v>0</v>
      </c>
      <c r="R41" s="142">
        <f>SUMIFS(領用表!$L:$L,領用表!$E:$E,$B41,領用表!$B:$B,R$2&amp;$P$1)</f>
        <v>1</v>
      </c>
      <c r="S41" s="142">
        <f>SUMIFS(領用表!$L:$L,領用表!$E:$E,$B41,領用表!$B:$B,S$2&amp;$P$1)</f>
        <v>1</v>
      </c>
      <c r="T41" s="142">
        <f>SUMIFS(領用表!$L:$L,領用表!$E:$E,$B41,領用表!$B:$B,T$2&amp;$P$1)</f>
        <v>4</v>
      </c>
      <c r="U41" s="142">
        <f>SUMIFS(領用表!$L:$L,領用表!$E:$E,$B41,領用表!$B:$B,U$2&amp;$P$1)</f>
        <v>0</v>
      </c>
      <c r="V41" s="142">
        <f>SUMIFS(領用表!$L:$L,領用表!$E:$E,$B41,領用表!$B:$B,V$2&amp;$P$1)</f>
        <v>0</v>
      </c>
      <c r="W41" s="142">
        <f>SUMIFS(領用表!$L:$L,領用表!$E:$E,$B41,領用表!$B:$B,W$2&amp;$P$1)</f>
        <v>0</v>
      </c>
      <c r="X41" s="142">
        <f>SUMIFS(領用表!$L:$L,領用表!$E:$E,$B41,領用表!$B:$B,X$2&amp;$P$1)</f>
        <v>0</v>
      </c>
      <c r="Y41" s="142">
        <f>SUMIFS(領用表!$L:$L,領用表!$E:$E,$B41,領用表!$B:$B,Y$2&amp;$P$1)</f>
        <v>0</v>
      </c>
      <c r="Z41" s="142">
        <f>SUMIFS(領用表!$L:$L,領用表!$E:$E,$B41,領用表!$B:$B,Z$2&amp;$P$1)</f>
        <v>0</v>
      </c>
      <c r="AA41" s="142">
        <f>SUMIFS(領用表!$L:$L,領用表!$E:$E,$B41,領用表!$B:$B,AA$2&amp;$P$1)</f>
        <v>0</v>
      </c>
      <c r="AB41" s="142">
        <f t="shared" si="2"/>
        <v>6</v>
      </c>
      <c r="AC41" s="142">
        <f t="shared" si="3"/>
        <v>1.5</v>
      </c>
      <c r="AD41" s="142">
        <f>SUMIF(Summary!B:B,B41,Summary!DV:DV)</f>
        <v>15</v>
      </c>
      <c r="AE41" s="101">
        <v>10</v>
      </c>
      <c r="AF41" s="479"/>
      <c r="AG41" s="25"/>
      <c r="AH41" s="25"/>
      <c r="AI41" s="27"/>
      <c r="AJ41" s="28"/>
      <c r="AK41" s="14"/>
      <c r="AL41" s="29"/>
    </row>
    <row r="42" spans="1:38">
      <c r="A42" s="27" t="s">
        <v>68</v>
      </c>
      <c r="B42" s="14">
        <v>6160002</v>
      </c>
      <c r="C42" s="118" t="s">
        <v>612</v>
      </c>
      <c r="D42" s="16">
        <v>2</v>
      </c>
      <c r="E42" s="17" t="s">
        <v>15</v>
      </c>
      <c r="F42" s="18"/>
      <c r="G42" s="18">
        <v>2</v>
      </c>
      <c r="H42" s="20">
        <f>SUMIFS(領用表!$L:$L,領用表!$E:$E,$B42,領用表!$B:$B,H$2&amp;$P$1)</f>
        <v>0</v>
      </c>
      <c r="I42" s="20">
        <f>SUMIFS(領用表!$L:$L,領用表!$E:$E,$B42,領用表!$B:$B,I$2&amp;$P$1)</f>
        <v>0</v>
      </c>
      <c r="J42" s="20">
        <f>SUMIFS(領用表!$L:$L,領用表!$E:$E,$B42,領用表!$B:$B,J$2&amp;$P$1)</f>
        <v>0</v>
      </c>
      <c r="K42" s="142">
        <f>SUMIFS(領用表!$L:$L,領用表!$E:$E,$B42,領用表!$B:$B,K$2&amp;$P$1)</f>
        <v>0</v>
      </c>
      <c r="L42" s="142">
        <f>SUMIFS(領用表!$L:$L,領用表!$E:$E,$B42,領用表!$B:$B,L$2&amp;$P$1)</f>
        <v>0</v>
      </c>
      <c r="M42" s="142">
        <f>SUMIFS(領用表!$L:$L,領用表!$E:$E,$B42,領用表!$B:$B,M$2&amp;$P$1)</f>
        <v>0</v>
      </c>
      <c r="N42" s="23">
        <f t="shared" si="0"/>
        <v>0</v>
      </c>
      <c r="O42" s="23">
        <f t="shared" si="1"/>
        <v>0</v>
      </c>
      <c r="P42" s="142">
        <f>SUMIFS(領用表!$L:$L,領用表!$E:$E,$B42,領用表!$B:$B,P$2&amp;$P$1)</f>
        <v>0</v>
      </c>
      <c r="Q42" s="142">
        <f>SUMIFS(領用表!$L:$L,領用表!$E:$E,$B42,領用表!$B:$B,Q$2&amp;$P$1)</f>
        <v>4</v>
      </c>
      <c r="R42" s="142">
        <f>SUMIFS(領用表!$L:$L,領用表!$E:$E,$B42,領用表!$B:$B,R$2&amp;$P$1)</f>
        <v>21</v>
      </c>
      <c r="S42" s="142">
        <f>SUMIFS(領用表!$L:$L,領用表!$E:$E,$B42,領用表!$B:$B,S$2&amp;$P$1)</f>
        <v>22</v>
      </c>
      <c r="T42" s="142">
        <f>SUMIFS(領用表!$L:$L,領用表!$E:$E,$B42,領用表!$B:$B,T$2&amp;$P$1)</f>
        <v>36</v>
      </c>
      <c r="U42" s="142">
        <f>SUMIFS(領用表!$L:$L,領用表!$E:$E,$B42,領用表!$B:$B,U$2&amp;$P$1)</f>
        <v>0</v>
      </c>
      <c r="V42" s="142">
        <f>SUMIFS(領用表!$L:$L,領用表!$E:$E,$B42,領用表!$B:$B,V$2&amp;$P$1)</f>
        <v>0</v>
      </c>
      <c r="W42" s="142">
        <f>SUMIFS(領用表!$L:$L,領用表!$E:$E,$B42,領用表!$B:$B,W$2&amp;$P$1)</f>
        <v>0</v>
      </c>
      <c r="X42" s="142">
        <f>SUMIFS(領用表!$L:$L,領用表!$E:$E,$B42,領用表!$B:$B,X$2&amp;$P$1)</f>
        <v>0</v>
      </c>
      <c r="Y42" s="142">
        <f>SUMIFS(領用表!$L:$L,領用表!$E:$E,$B42,領用表!$B:$B,Y$2&amp;$P$1)</f>
        <v>0</v>
      </c>
      <c r="Z42" s="142">
        <f>SUMIFS(領用表!$L:$L,領用表!$E:$E,$B42,領用表!$B:$B,Z$2&amp;$P$1)</f>
        <v>0</v>
      </c>
      <c r="AA42" s="142">
        <f>SUMIFS(領用表!$L:$L,領用表!$E:$E,$B42,領用表!$B:$B,AA$2&amp;$P$1)</f>
        <v>0</v>
      </c>
      <c r="AB42" s="142">
        <f t="shared" si="2"/>
        <v>83</v>
      </c>
      <c r="AC42" s="142">
        <f t="shared" si="3"/>
        <v>20.75</v>
      </c>
      <c r="AD42" s="142">
        <f>SUMIF(Summary!B:B,B42,Summary!DV:DV)</f>
        <v>80</v>
      </c>
      <c r="AE42" s="101">
        <v>100</v>
      </c>
      <c r="AF42" s="24"/>
      <c r="AG42" s="25" t="s">
        <v>69</v>
      </c>
      <c r="AH42" s="25" t="s">
        <v>70</v>
      </c>
      <c r="AI42" s="27"/>
      <c r="AJ42" s="28"/>
      <c r="AK42" s="14"/>
      <c r="AL42" s="29"/>
    </row>
    <row r="43" spans="1:38" ht="15" customHeight="1">
      <c r="A43" s="27" t="s">
        <v>71</v>
      </c>
      <c r="B43" s="14">
        <v>6160003</v>
      </c>
      <c r="C43" s="118" t="s">
        <v>613</v>
      </c>
      <c r="D43" s="16">
        <v>2</v>
      </c>
      <c r="E43" s="17" t="s">
        <v>15</v>
      </c>
      <c r="F43" s="18"/>
      <c r="G43" s="18">
        <v>12</v>
      </c>
      <c r="H43" s="20">
        <f>SUMIFS(領用表!$L:$L,領用表!$E:$E,$B43,領用表!$B:$B,H$2&amp;$P$1)</f>
        <v>0</v>
      </c>
      <c r="I43" s="20">
        <f>SUMIFS(領用表!$L:$L,領用表!$E:$E,$B43,領用表!$B:$B,I$2&amp;$P$1)</f>
        <v>0</v>
      </c>
      <c r="J43" s="20">
        <f>SUMIFS(領用表!$L:$L,領用表!$E:$E,$B43,領用表!$B:$B,J$2&amp;$P$1)</f>
        <v>0</v>
      </c>
      <c r="K43" s="142">
        <f>SUMIFS(領用表!$L:$L,領用表!$E:$E,$B43,領用表!$B:$B,K$2&amp;$P$1)</f>
        <v>0</v>
      </c>
      <c r="L43" s="142">
        <f>SUMIFS(領用表!$L:$L,領用表!$E:$E,$B43,領用表!$B:$B,L$2&amp;$P$1)</f>
        <v>0</v>
      </c>
      <c r="M43" s="142">
        <f>SUMIFS(領用表!$L:$L,領用表!$E:$E,$B43,領用表!$B:$B,M$2&amp;$P$1)</f>
        <v>0</v>
      </c>
      <c r="N43" s="23">
        <f t="shared" si="0"/>
        <v>0</v>
      </c>
      <c r="O43" s="23">
        <f t="shared" si="1"/>
        <v>0</v>
      </c>
      <c r="P43" s="142">
        <f>SUMIFS(領用表!$L:$L,領用表!$E:$E,$B43,領用表!$B:$B,P$2&amp;$P$1)</f>
        <v>0</v>
      </c>
      <c r="Q43" s="142">
        <f>SUMIFS(領用表!$L:$L,領用表!$E:$E,$B43,領用表!$B:$B,Q$2&amp;$P$1)</f>
        <v>0</v>
      </c>
      <c r="R43" s="142">
        <f>SUMIFS(領用表!$L:$L,領用表!$E:$E,$B43,領用表!$B:$B,R$2&amp;$P$1)</f>
        <v>12</v>
      </c>
      <c r="S43" s="142">
        <f>SUMIFS(領用表!$L:$L,領用表!$E:$E,$B43,領用表!$B:$B,S$2&amp;$P$1)</f>
        <v>2</v>
      </c>
      <c r="T43" s="142">
        <f>SUMIFS(領用表!$L:$L,領用表!$E:$E,$B43,領用表!$B:$B,T$2&amp;$P$1)</f>
        <v>8</v>
      </c>
      <c r="U43" s="142">
        <f>SUMIFS(領用表!$L:$L,領用表!$E:$E,$B43,領用表!$B:$B,U$2&amp;$P$1)</f>
        <v>0</v>
      </c>
      <c r="V43" s="142">
        <f>SUMIFS(領用表!$L:$L,領用表!$E:$E,$B43,領用表!$B:$B,V$2&amp;$P$1)</f>
        <v>0</v>
      </c>
      <c r="W43" s="142">
        <f>SUMIFS(領用表!$L:$L,領用表!$E:$E,$B43,領用表!$B:$B,W$2&amp;$P$1)</f>
        <v>0</v>
      </c>
      <c r="X43" s="142">
        <f>SUMIFS(領用表!$L:$L,領用表!$E:$E,$B43,領用表!$B:$B,X$2&amp;$P$1)</f>
        <v>0</v>
      </c>
      <c r="Y43" s="142">
        <f>SUMIFS(領用表!$L:$L,領用表!$E:$E,$B43,領用表!$B:$B,Y$2&amp;$P$1)</f>
        <v>0</v>
      </c>
      <c r="Z43" s="142">
        <f>SUMIFS(領用表!$L:$L,領用表!$E:$E,$B43,領用表!$B:$B,Z$2&amp;$P$1)</f>
        <v>0</v>
      </c>
      <c r="AA43" s="142">
        <f>SUMIFS(領用表!$L:$L,領用表!$E:$E,$B43,領用表!$B:$B,AA$2&amp;$P$1)</f>
        <v>0</v>
      </c>
      <c r="AB43" s="142">
        <f t="shared" si="2"/>
        <v>22</v>
      </c>
      <c r="AC43" s="142">
        <f t="shared" si="3"/>
        <v>5.5</v>
      </c>
      <c r="AD43" s="142">
        <f>SUMIF(Summary!B:B,B43,Summary!DV:DV)</f>
        <v>20</v>
      </c>
      <c r="AE43" s="101">
        <v>20</v>
      </c>
      <c r="AF43" s="24">
        <v>0</v>
      </c>
      <c r="AG43" s="25"/>
      <c r="AH43" s="25"/>
      <c r="AI43" s="45"/>
      <c r="AJ43" s="46"/>
      <c r="AK43" s="47"/>
      <c r="AL43" s="48"/>
    </row>
    <row r="44" spans="1:38" ht="15.75" customHeight="1">
      <c r="A44" s="27" t="s">
        <v>72</v>
      </c>
      <c r="B44" s="14">
        <v>6150013</v>
      </c>
      <c r="C44" s="131" t="s">
        <v>483</v>
      </c>
      <c r="D44" s="16">
        <v>1</v>
      </c>
      <c r="E44" s="17" t="s">
        <v>15</v>
      </c>
      <c r="F44" s="18"/>
      <c r="G44" s="18">
        <v>10</v>
      </c>
      <c r="H44" s="20">
        <f>SUMIFS(領用表!$L:$L,領用表!$E:$E,$B44,領用表!$B:$B,H$2&amp;$P$1)</f>
        <v>0</v>
      </c>
      <c r="I44" s="20">
        <f>SUMIFS(領用表!$L:$L,領用表!$E:$E,$B44,領用表!$B:$B,I$2&amp;$P$1)</f>
        <v>0</v>
      </c>
      <c r="J44" s="20">
        <f>SUMIFS(領用表!$L:$L,領用表!$E:$E,$B44,領用表!$B:$B,J$2&amp;$P$1)</f>
        <v>0</v>
      </c>
      <c r="K44" s="142">
        <f>SUMIFS(領用表!$L:$L,領用表!$E:$E,$B44,領用表!$B:$B,K$2&amp;$P$1)</f>
        <v>0</v>
      </c>
      <c r="L44" s="142">
        <f>SUMIFS(領用表!$L:$L,領用表!$E:$E,$B44,領用表!$B:$B,L$2&amp;$P$1)</f>
        <v>0</v>
      </c>
      <c r="M44" s="142">
        <f>SUMIFS(領用表!$L:$L,領用表!$E:$E,$B44,領用表!$B:$B,M$2&amp;$P$1)</f>
        <v>0</v>
      </c>
      <c r="N44" s="23">
        <f t="shared" si="0"/>
        <v>0</v>
      </c>
      <c r="O44" s="23">
        <f t="shared" si="1"/>
        <v>0</v>
      </c>
      <c r="P44" s="142">
        <f>SUMIFS(領用表!$L:$L,領用表!$E:$E,$B44,領用表!$B:$B,P$2&amp;$P$1)</f>
        <v>0</v>
      </c>
      <c r="Q44" s="142">
        <f>SUMIFS(領用表!$L:$L,領用表!$E:$E,$B44,領用表!$B:$B,Q$2&amp;$P$1)</f>
        <v>0</v>
      </c>
      <c r="R44" s="142">
        <f>SUMIFS(領用表!$L:$L,領用表!$E:$E,$B44,領用表!$B:$B,R$2&amp;$P$1)</f>
        <v>8</v>
      </c>
      <c r="S44" s="142">
        <f>SUMIFS(領用表!$L:$L,領用表!$E:$E,$B44,領用表!$B:$B,S$2&amp;$P$1)</f>
        <v>8</v>
      </c>
      <c r="T44" s="142">
        <f>SUMIFS(領用表!$L:$L,領用表!$E:$E,$B44,領用表!$B:$B,T$2&amp;$P$1)</f>
        <v>4</v>
      </c>
      <c r="U44" s="142">
        <f>SUMIFS(領用表!$L:$L,領用表!$E:$E,$B44,領用表!$B:$B,U$2&amp;$P$1)</f>
        <v>0</v>
      </c>
      <c r="V44" s="142">
        <f>SUMIFS(領用表!$L:$L,領用表!$E:$E,$B44,領用表!$B:$B,V$2&amp;$P$1)</f>
        <v>0</v>
      </c>
      <c r="W44" s="142">
        <f>SUMIFS(領用表!$L:$L,領用表!$E:$E,$B44,領用表!$B:$B,W$2&amp;$P$1)</f>
        <v>0</v>
      </c>
      <c r="X44" s="142">
        <f>SUMIFS(領用表!$L:$L,領用表!$E:$E,$B44,領用表!$B:$B,X$2&amp;$P$1)</f>
        <v>0</v>
      </c>
      <c r="Y44" s="142">
        <f>SUMIFS(領用表!$L:$L,領用表!$E:$E,$B44,領用表!$B:$B,Y$2&amp;$P$1)</f>
        <v>0</v>
      </c>
      <c r="Z44" s="142">
        <f>SUMIFS(領用表!$L:$L,領用表!$E:$E,$B44,領用表!$B:$B,Z$2&amp;$P$1)</f>
        <v>0</v>
      </c>
      <c r="AA44" s="142">
        <f>SUMIFS(領用表!$L:$L,領用表!$E:$E,$B44,領用表!$B:$B,AA$2&amp;$P$1)</f>
        <v>0</v>
      </c>
      <c r="AB44" s="142">
        <f t="shared" si="2"/>
        <v>20</v>
      </c>
      <c r="AC44" s="142">
        <f t="shared" si="3"/>
        <v>5</v>
      </c>
      <c r="AD44" s="142">
        <f>SUMIF(Summary!B:B,B44,Summary!DV:DV)</f>
        <v>25</v>
      </c>
      <c r="AE44" s="101">
        <v>10</v>
      </c>
      <c r="AF44" s="24"/>
      <c r="AG44" s="25" t="s">
        <v>73</v>
      </c>
      <c r="AH44" s="25" t="s">
        <v>74</v>
      </c>
      <c r="AI44" s="27"/>
      <c r="AJ44" s="28"/>
      <c r="AK44" s="14"/>
      <c r="AL44" s="29"/>
    </row>
    <row r="45" spans="1:38" ht="15.75" customHeight="1">
      <c r="A45" s="27" t="s">
        <v>75</v>
      </c>
      <c r="B45" s="14">
        <v>6160005</v>
      </c>
      <c r="C45" s="133" t="s">
        <v>484</v>
      </c>
      <c r="D45" s="16">
        <v>1</v>
      </c>
      <c r="E45" s="17" t="s">
        <v>15</v>
      </c>
      <c r="F45" s="18"/>
      <c r="G45" s="18">
        <v>19</v>
      </c>
      <c r="H45" s="20">
        <f>SUMIFS(領用表!$L:$L,領用表!$E:$E,$B45,領用表!$B:$B,H$2&amp;$P$1)</f>
        <v>0</v>
      </c>
      <c r="I45" s="20">
        <f>SUMIFS(領用表!$L:$L,領用表!$E:$E,$B45,領用表!$B:$B,I$2&amp;$P$1)</f>
        <v>0</v>
      </c>
      <c r="J45" s="20">
        <f>SUMIFS(領用表!$L:$L,領用表!$E:$E,$B45,領用表!$B:$B,J$2&amp;$P$1)</f>
        <v>0</v>
      </c>
      <c r="K45" s="142">
        <f>SUMIFS(領用表!$L:$L,領用表!$E:$E,$B45,領用表!$B:$B,K$2&amp;$P$1)</f>
        <v>0</v>
      </c>
      <c r="L45" s="142">
        <f>SUMIFS(領用表!$L:$L,領用表!$E:$E,$B45,領用表!$B:$B,L$2&amp;$P$1)</f>
        <v>0</v>
      </c>
      <c r="M45" s="142">
        <f>SUMIFS(領用表!$L:$L,領用表!$E:$E,$B45,領用表!$B:$B,M$2&amp;$P$1)</f>
        <v>0</v>
      </c>
      <c r="N45" s="23">
        <f t="shared" si="0"/>
        <v>0</v>
      </c>
      <c r="O45" s="23">
        <f t="shared" si="1"/>
        <v>0</v>
      </c>
      <c r="P45" s="142">
        <f>SUMIFS(領用表!$L:$L,領用表!$E:$E,$B45,領用表!$B:$B,P$2&amp;$P$1)</f>
        <v>0</v>
      </c>
      <c r="Q45" s="142">
        <f>SUMIFS(領用表!$L:$L,領用表!$E:$E,$B45,領用表!$B:$B,Q$2&amp;$P$1)</f>
        <v>0</v>
      </c>
      <c r="R45" s="142">
        <f>SUMIFS(領用表!$L:$L,領用表!$E:$E,$B45,領用表!$B:$B,R$2&amp;$P$1)</f>
        <v>17</v>
      </c>
      <c r="S45" s="142">
        <f>SUMIFS(領用表!$L:$L,領用表!$E:$E,$B45,領用表!$B:$B,S$2&amp;$P$1)</f>
        <v>19</v>
      </c>
      <c r="T45" s="142">
        <f>SUMIFS(領用表!$L:$L,領用表!$E:$E,$B45,領用表!$B:$B,T$2&amp;$P$1)</f>
        <v>4</v>
      </c>
      <c r="U45" s="142">
        <f>SUMIFS(領用表!$L:$L,領用表!$E:$E,$B45,領用表!$B:$B,U$2&amp;$P$1)</f>
        <v>0</v>
      </c>
      <c r="V45" s="142">
        <f>SUMIFS(領用表!$L:$L,領用表!$E:$E,$B45,領用表!$B:$B,V$2&amp;$P$1)</f>
        <v>0</v>
      </c>
      <c r="W45" s="142">
        <f>SUMIFS(領用表!$L:$L,領用表!$E:$E,$B45,領用表!$B:$B,W$2&amp;$P$1)</f>
        <v>0</v>
      </c>
      <c r="X45" s="142">
        <f>SUMIFS(領用表!$L:$L,領用表!$E:$E,$B45,領用表!$B:$B,X$2&amp;$P$1)</f>
        <v>0</v>
      </c>
      <c r="Y45" s="142">
        <f>SUMIFS(領用表!$L:$L,領用表!$E:$E,$B45,領用表!$B:$B,Y$2&amp;$P$1)</f>
        <v>0</v>
      </c>
      <c r="Z45" s="142">
        <f>SUMIFS(領用表!$L:$L,領用表!$E:$E,$B45,領用表!$B:$B,Z$2&amp;$P$1)</f>
        <v>0</v>
      </c>
      <c r="AA45" s="142">
        <f>SUMIFS(領用表!$L:$L,領用表!$E:$E,$B45,領用表!$B:$B,AA$2&amp;$P$1)</f>
        <v>0</v>
      </c>
      <c r="AB45" s="142">
        <f t="shared" si="2"/>
        <v>40</v>
      </c>
      <c r="AC45" s="142">
        <f t="shared" si="3"/>
        <v>10</v>
      </c>
      <c r="AD45" s="142">
        <f>SUMIF(Summary!B:B,B45,Summary!DV:DV)</f>
        <v>20</v>
      </c>
      <c r="AE45" s="101">
        <v>8</v>
      </c>
      <c r="AF45" s="24">
        <v>0</v>
      </c>
      <c r="AG45" s="25" t="s">
        <v>76</v>
      </c>
      <c r="AH45" s="25" t="s">
        <v>76</v>
      </c>
      <c r="AI45" s="27"/>
      <c r="AJ45" s="28"/>
      <c r="AK45" s="14"/>
      <c r="AL45" s="29"/>
    </row>
    <row r="46" spans="1:38" ht="15.75" customHeight="1">
      <c r="A46" s="27" t="s">
        <v>77</v>
      </c>
      <c r="B46" s="14">
        <v>6170034</v>
      </c>
      <c r="C46" s="133" t="s">
        <v>485</v>
      </c>
      <c r="D46" s="23">
        <v>900</v>
      </c>
      <c r="E46" s="17" t="s">
        <v>78</v>
      </c>
      <c r="F46" s="18"/>
      <c r="G46" s="18">
        <f>(D46*17)+348</f>
        <v>15648</v>
      </c>
      <c r="H46" s="20">
        <f>SUMIFS(領用表!$L:$L,領用表!$E:$E,$B46,領用表!$B:$B,H$2&amp;$P$1)</f>
        <v>0</v>
      </c>
      <c r="I46" s="20">
        <f>SUMIFS(領用表!$L:$L,領用表!$E:$E,$B46,領用表!$B:$B,I$2&amp;$P$1)</f>
        <v>0</v>
      </c>
      <c r="J46" s="20">
        <f>SUMIFS(領用表!$L:$L,領用表!$E:$E,$B46,領用表!$B:$B,J$2&amp;$P$1)</f>
        <v>0</v>
      </c>
      <c r="K46" s="142">
        <f>SUMIFS(領用表!$L:$L,領用表!$E:$E,$B46,領用表!$B:$B,K$2&amp;$P$1)</f>
        <v>0</v>
      </c>
      <c r="L46" s="142">
        <f>SUMIFS(領用表!$L:$L,領用表!$E:$E,$B46,領用表!$B:$B,L$2&amp;$P$1)</f>
        <v>0</v>
      </c>
      <c r="M46" s="142">
        <f>SUMIFS(領用表!$L:$L,領用表!$E:$E,$B46,領用表!$B:$B,M$2&amp;$P$1)</f>
        <v>0</v>
      </c>
      <c r="N46" s="23">
        <f t="shared" si="0"/>
        <v>0</v>
      </c>
      <c r="O46" s="23">
        <f t="shared" si="1"/>
        <v>0</v>
      </c>
      <c r="P46" s="142">
        <f>SUMIFS(領用表!$L:$L,領用表!$E:$E,$B46,領用表!$B:$B,P$2&amp;$P$1)</f>
        <v>0</v>
      </c>
      <c r="Q46" s="142">
        <f>SUMIFS(領用表!$L:$L,領用表!$E:$E,$B46,領用表!$B:$B,Q$2&amp;$P$1)</f>
        <v>15300</v>
      </c>
      <c r="R46" s="142">
        <f>SUMIFS(領用表!$L:$L,領用表!$E:$E,$B46,領用表!$B:$B,R$2&amp;$P$1)</f>
        <v>51300</v>
      </c>
      <c r="S46" s="142">
        <f>SUMIFS(領用表!$L:$L,領用表!$E:$E,$B46,領用表!$B:$B,S$2&amp;$P$1)</f>
        <v>78350</v>
      </c>
      <c r="T46" s="142">
        <f>SUMIFS(領用表!$L:$L,領用表!$E:$E,$B46,領用表!$B:$B,T$2&amp;$P$1)</f>
        <v>82900</v>
      </c>
      <c r="U46" s="142">
        <f>SUMIFS(領用表!$L:$L,領用表!$E:$E,$B46,領用表!$B:$B,U$2&amp;$P$1)</f>
        <v>0</v>
      </c>
      <c r="V46" s="142">
        <f>SUMIFS(領用表!$L:$L,領用表!$E:$E,$B46,領用表!$B:$B,V$2&amp;$P$1)</f>
        <v>0</v>
      </c>
      <c r="W46" s="142">
        <f>SUMIFS(領用表!$L:$L,領用表!$E:$E,$B46,領用表!$B:$B,W$2&amp;$P$1)</f>
        <v>0</v>
      </c>
      <c r="X46" s="142">
        <f>SUMIFS(領用表!$L:$L,領用表!$E:$E,$B46,領用表!$B:$B,X$2&amp;$P$1)</f>
        <v>0</v>
      </c>
      <c r="Y46" s="142">
        <f>SUMIFS(領用表!$L:$L,領用表!$E:$E,$B46,領用表!$B:$B,Y$2&amp;$P$1)</f>
        <v>0</v>
      </c>
      <c r="Z46" s="142">
        <f>SUMIFS(領用表!$L:$L,領用表!$E:$E,$B46,領用表!$B:$B,Z$2&amp;$P$1)</f>
        <v>0</v>
      </c>
      <c r="AA46" s="142">
        <f>SUMIFS(領用表!$L:$L,領用表!$E:$E,$B46,領用表!$B:$B,AA$2&amp;$P$1)</f>
        <v>0</v>
      </c>
      <c r="AB46" s="142">
        <f t="shared" si="2"/>
        <v>227850</v>
      </c>
      <c r="AC46" s="142">
        <f t="shared" si="3"/>
        <v>56962.5</v>
      </c>
      <c r="AD46" s="142">
        <f>SUMIF(Summary!B:B,B46,Summary!DV:DV)</f>
        <v>150000</v>
      </c>
      <c r="AE46" s="104">
        <v>20000</v>
      </c>
      <c r="AF46" s="24"/>
      <c r="AG46" s="25" t="s">
        <v>79</v>
      </c>
      <c r="AH46" s="25" t="s">
        <v>79</v>
      </c>
      <c r="AI46" s="49"/>
      <c r="AJ46" s="28"/>
      <c r="AK46" s="14"/>
      <c r="AL46" s="29"/>
    </row>
    <row r="47" spans="1:38">
      <c r="A47" s="27" t="s">
        <v>80</v>
      </c>
      <c r="B47" s="14">
        <v>6170035</v>
      </c>
      <c r="C47" s="133" t="s">
        <v>486</v>
      </c>
      <c r="D47" s="23">
        <v>600</v>
      </c>
      <c r="E47" s="17" t="s">
        <v>78</v>
      </c>
      <c r="F47" s="18"/>
      <c r="G47" s="18">
        <f>(D47*35)+550</f>
        <v>21550</v>
      </c>
      <c r="H47" s="20">
        <f>SUMIFS(領用表!$L:$L,領用表!$E:$E,$B47,領用表!$B:$B,H$2&amp;$P$1)</f>
        <v>0</v>
      </c>
      <c r="I47" s="20">
        <f>SUMIFS(領用表!$L:$L,領用表!$E:$E,$B47,領用表!$B:$B,I$2&amp;$P$1)</f>
        <v>0</v>
      </c>
      <c r="J47" s="20">
        <f>SUMIFS(領用表!$L:$L,領用表!$E:$E,$B47,領用表!$B:$B,J$2&amp;$P$1)</f>
        <v>0</v>
      </c>
      <c r="K47" s="142">
        <f>SUMIFS(領用表!$L:$L,領用表!$E:$E,$B47,領用表!$B:$B,K$2&amp;$P$1)</f>
        <v>0</v>
      </c>
      <c r="L47" s="142">
        <f>SUMIFS(領用表!$L:$L,領用表!$E:$E,$B47,領用表!$B:$B,L$2&amp;$P$1)</f>
        <v>0</v>
      </c>
      <c r="M47" s="142">
        <f>SUMIFS(領用表!$L:$L,領用表!$E:$E,$B47,領用表!$B:$B,M$2&amp;$P$1)</f>
        <v>0</v>
      </c>
      <c r="N47" s="23">
        <f t="shared" si="0"/>
        <v>0</v>
      </c>
      <c r="O47" s="23">
        <f t="shared" si="1"/>
        <v>0</v>
      </c>
      <c r="P47" s="142">
        <f>SUMIFS(領用表!$L:$L,領用表!$E:$E,$B47,領用表!$B:$B,P$2&amp;$P$1)</f>
        <v>0</v>
      </c>
      <c r="Q47" s="142">
        <f>SUMIFS(領用表!$L:$L,領用表!$E:$E,$B47,領用表!$B:$B,Q$2&amp;$P$1)</f>
        <v>2400</v>
      </c>
      <c r="R47" s="142">
        <f>SUMIFS(領用表!$L:$L,領用表!$E:$E,$B47,領用表!$B:$B,R$2&amp;$P$1)</f>
        <v>19500</v>
      </c>
      <c r="S47" s="142">
        <f>SUMIFS(領用表!$L:$L,領用表!$E:$E,$B47,領用表!$B:$B,S$2&amp;$P$1)</f>
        <v>12950</v>
      </c>
      <c r="T47" s="142">
        <f>SUMIFS(領用表!$L:$L,領用表!$E:$E,$B47,領用表!$B:$B,T$2&amp;$P$1)</f>
        <v>21300</v>
      </c>
      <c r="U47" s="142">
        <f>SUMIFS(領用表!$L:$L,領用表!$E:$E,$B47,領用表!$B:$B,U$2&amp;$P$1)</f>
        <v>0</v>
      </c>
      <c r="V47" s="142">
        <f>SUMIFS(領用表!$L:$L,領用表!$E:$E,$B47,領用表!$B:$B,V$2&amp;$P$1)</f>
        <v>0</v>
      </c>
      <c r="W47" s="142">
        <f>SUMIFS(領用表!$L:$L,領用表!$E:$E,$B47,領用表!$B:$B,W$2&amp;$P$1)</f>
        <v>0</v>
      </c>
      <c r="X47" s="142">
        <f>SUMIFS(領用表!$L:$L,領用表!$E:$E,$B47,領用表!$B:$B,X$2&amp;$P$1)</f>
        <v>0</v>
      </c>
      <c r="Y47" s="142">
        <f>SUMIFS(領用表!$L:$L,領用表!$E:$E,$B47,領用表!$B:$B,Y$2&amp;$P$1)</f>
        <v>0</v>
      </c>
      <c r="Z47" s="142">
        <f>SUMIFS(領用表!$L:$L,領用表!$E:$E,$B47,領用表!$B:$B,Z$2&amp;$P$1)</f>
        <v>0</v>
      </c>
      <c r="AA47" s="142">
        <f>SUMIFS(領用表!$L:$L,領用表!$E:$E,$B47,領用表!$B:$B,AA$2&amp;$P$1)</f>
        <v>0</v>
      </c>
      <c r="AB47" s="142">
        <f t="shared" si="2"/>
        <v>56150</v>
      </c>
      <c r="AC47" s="142">
        <f t="shared" si="3"/>
        <v>14037.5</v>
      </c>
      <c r="AD47" s="142">
        <f>SUMIF(Summary!B:B,B47,Summary!DV:DV)</f>
        <v>20000</v>
      </c>
      <c r="AE47" s="104">
        <v>6500</v>
      </c>
      <c r="AF47" s="24"/>
      <c r="AG47" s="25"/>
      <c r="AH47" s="25" t="s">
        <v>79</v>
      </c>
      <c r="AI47" s="49"/>
      <c r="AJ47" s="28"/>
      <c r="AK47" s="14"/>
      <c r="AL47" s="29"/>
    </row>
    <row r="48" spans="1:38" ht="15.75" customHeight="1">
      <c r="A48" s="27" t="s">
        <v>81</v>
      </c>
      <c r="B48" s="14">
        <v>6170028</v>
      </c>
      <c r="C48" s="118" t="s">
        <v>487</v>
      </c>
      <c r="D48" s="23">
        <v>6050</v>
      </c>
      <c r="E48" s="17" t="s">
        <v>78</v>
      </c>
      <c r="F48" s="18"/>
      <c r="G48" s="18">
        <f>(D48*0)+141</f>
        <v>141</v>
      </c>
      <c r="H48" s="20">
        <f>SUMIFS(領用表!$L:$L,領用表!$E:$E,$B48,領用表!$B:$B,H$2&amp;$P$1)</f>
        <v>0</v>
      </c>
      <c r="I48" s="20">
        <f>SUMIFS(領用表!$L:$L,領用表!$E:$E,$B48,領用表!$B:$B,I$2&amp;$P$1)</f>
        <v>0</v>
      </c>
      <c r="J48" s="20">
        <f>SUMIFS(領用表!$L:$L,領用表!$E:$E,$B48,領用表!$B:$B,J$2&amp;$P$1)</f>
        <v>0</v>
      </c>
      <c r="K48" s="142">
        <f>SUMIFS(領用表!$L:$L,領用表!$E:$E,$B48,領用表!$B:$B,K$2&amp;$P$1)</f>
        <v>0</v>
      </c>
      <c r="L48" s="142">
        <f>SUMIFS(領用表!$L:$L,領用表!$E:$E,$B48,領用表!$B:$B,L$2&amp;$P$1)</f>
        <v>0</v>
      </c>
      <c r="M48" s="142">
        <f>SUMIFS(領用表!$L:$L,領用表!$E:$E,$B48,領用表!$B:$B,M$2&amp;$P$1)</f>
        <v>0</v>
      </c>
      <c r="N48" s="23">
        <f t="shared" si="0"/>
        <v>0</v>
      </c>
      <c r="O48" s="23">
        <f t="shared" si="1"/>
        <v>0</v>
      </c>
      <c r="P48" s="142">
        <f>SUMIFS(領用表!$L:$L,領用表!$E:$E,$B48,領用表!$B:$B,P$2&amp;$P$1)</f>
        <v>0</v>
      </c>
      <c r="Q48" s="142">
        <f>SUMIFS(領用表!$L:$L,領用表!$E:$E,$B48,領用表!$B:$B,Q$2&amp;$P$1)</f>
        <v>600</v>
      </c>
      <c r="R48" s="142">
        <f>SUMIFS(領用表!$L:$L,領用表!$E:$E,$B48,領用表!$B:$B,R$2&amp;$P$1)</f>
        <v>500</v>
      </c>
      <c r="S48" s="142">
        <f>SUMIFS(領用表!$L:$L,領用表!$E:$E,$B48,領用表!$B:$B,S$2&amp;$P$1)</f>
        <v>0</v>
      </c>
      <c r="T48" s="142">
        <f>SUMIFS(領用表!$L:$L,領用表!$E:$E,$B48,領用表!$B:$B,T$2&amp;$P$1)</f>
        <v>0</v>
      </c>
      <c r="U48" s="142">
        <f>SUMIFS(領用表!$L:$L,領用表!$E:$E,$B48,領用表!$B:$B,U$2&amp;$P$1)</f>
        <v>0</v>
      </c>
      <c r="V48" s="142">
        <f>SUMIFS(領用表!$L:$L,領用表!$E:$E,$B48,領用表!$B:$B,V$2&amp;$P$1)</f>
        <v>0</v>
      </c>
      <c r="W48" s="142">
        <f>SUMIFS(領用表!$L:$L,領用表!$E:$E,$B48,領用表!$B:$B,W$2&amp;$P$1)</f>
        <v>0</v>
      </c>
      <c r="X48" s="142">
        <f>SUMIFS(領用表!$L:$L,領用表!$E:$E,$B48,領用表!$B:$B,X$2&amp;$P$1)</f>
        <v>0</v>
      </c>
      <c r="Y48" s="142">
        <f>SUMIFS(領用表!$L:$L,領用表!$E:$E,$B48,領用表!$B:$B,Y$2&amp;$P$1)</f>
        <v>0</v>
      </c>
      <c r="Z48" s="142">
        <f>SUMIFS(領用表!$L:$L,領用表!$E:$E,$B48,領用表!$B:$B,Z$2&amp;$P$1)</f>
        <v>0</v>
      </c>
      <c r="AA48" s="142">
        <f>SUMIFS(領用表!$L:$L,領用表!$E:$E,$B48,領用表!$B:$B,AA$2&amp;$P$1)</f>
        <v>0</v>
      </c>
      <c r="AB48" s="142">
        <f t="shared" si="2"/>
        <v>1100</v>
      </c>
      <c r="AC48" s="142">
        <f t="shared" si="3"/>
        <v>275</v>
      </c>
      <c r="AD48" s="142">
        <f>SUMIF(Summary!B:B,B48,Summary!DV:DV)</f>
        <v>10000</v>
      </c>
      <c r="AE48" s="104">
        <v>7500</v>
      </c>
      <c r="AF48" s="24">
        <v>0</v>
      </c>
      <c r="AG48" s="25" t="s">
        <v>82</v>
      </c>
      <c r="AH48" s="25" t="s">
        <v>83</v>
      </c>
      <c r="AI48" s="50" t="s">
        <v>84</v>
      </c>
      <c r="AJ48" s="28"/>
      <c r="AK48" s="14"/>
      <c r="AL48" s="29"/>
    </row>
    <row r="49" spans="1:38" ht="15.75" customHeight="1">
      <c r="A49" s="27" t="s">
        <v>85</v>
      </c>
      <c r="B49" s="14">
        <v>6170029</v>
      </c>
      <c r="C49" s="118" t="s">
        <v>488</v>
      </c>
      <c r="D49" s="23">
        <v>4000</v>
      </c>
      <c r="E49" s="17" t="s">
        <v>78</v>
      </c>
      <c r="F49" s="18"/>
      <c r="G49" s="18">
        <f>(D49*0)*0</f>
        <v>0</v>
      </c>
      <c r="H49" s="20">
        <f>SUMIFS(領用表!$L:$L,領用表!$E:$E,$B49,領用表!$B:$B,H$2&amp;$P$1)</f>
        <v>0</v>
      </c>
      <c r="I49" s="20">
        <f>SUMIFS(領用表!$L:$L,領用表!$E:$E,$B49,領用表!$B:$B,I$2&amp;$P$1)</f>
        <v>0</v>
      </c>
      <c r="J49" s="20">
        <f>SUMIFS(領用表!$L:$L,領用表!$E:$E,$B49,領用表!$B:$B,J$2&amp;$P$1)</f>
        <v>0</v>
      </c>
      <c r="K49" s="142">
        <f>SUMIFS(領用表!$L:$L,領用表!$E:$E,$B49,領用表!$B:$B,K$2&amp;$P$1)</f>
        <v>0</v>
      </c>
      <c r="L49" s="142">
        <f>SUMIFS(領用表!$L:$L,領用表!$E:$E,$B49,領用表!$B:$B,L$2&amp;$P$1)</f>
        <v>0</v>
      </c>
      <c r="M49" s="142">
        <f>SUMIFS(領用表!$L:$L,領用表!$E:$E,$B49,領用表!$B:$B,M$2&amp;$P$1)</f>
        <v>0</v>
      </c>
      <c r="N49" s="23">
        <f t="shared" si="0"/>
        <v>0</v>
      </c>
      <c r="O49" s="23">
        <f t="shared" si="1"/>
        <v>0</v>
      </c>
      <c r="P49" s="142">
        <f>SUMIFS(領用表!$L:$L,領用表!$E:$E,$B49,領用表!$B:$B,P$2&amp;$P$1)</f>
        <v>0</v>
      </c>
      <c r="Q49" s="142">
        <f>SUMIFS(領用表!$L:$L,領用表!$E:$E,$B49,領用表!$B:$B,Q$2&amp;$P$1)</f>
        <v>0</v>
      </c>
      <c r="R49" s="142">
        <f>SUMIFS(領用表!$L:$L,領用表!$E:$E,$B49,領用表!$B:$B,R$2&amp;$P$1)</f>
        <v>0</v>
      </c>
      <c r="S49" s="142">
        <f>SUMIFS(領用表!$L:$L,領用表!$E:$E,$B49,領用表!$B:$B,S$2&amp;$P$1)</f>
        <v>0</v>
      </c>
      <c r="T49" s="142">
        <f>SUMIFS(領用表!$L:$L,領用表!$E:$E,$B49,領用表!$B:$B,T$2&amp;$P$1)</f>
        <v>0</v>
      </c>
      <c r="U49" s="142">
        <f>SUMIFS(領用表!$L:$L,領用表!$E:$E,$B49,領用表!$B:$B,U$2&amp;$P$1)</f>
        <v>0</v>
      </c>
      <c r="V49" s="142">
        <f>SUMIFS(領用表!$L:$L,領用表!$E:$E,$B49,領用表!$B:$B,V$2&amp;$P$1)</f>
        <v>0</v>
      </c>
      <c r="W49" s="142">
        <f>SUMIFS(領用表!$L:$L,領用表!$E:$E,$B49,領用表!$B:$B,W$2&amp;$P$1)</f>
        <v>0</v>
      </c>
      <c r="X49" s="142">
        <f>SUMIFS(領用表!$L:$L,領用表!$E:$E,$B49,領用表!$B:$B,X$2&amp;$P$1)</f>
        <v>0</v>
      </c>
      <c r="Y49" s="142">
        <f>SUMIFS(領用表!$L:$L,領用表!$E:$E,$B49,領用表!$B:$B,Y$2&amp;$P$1)</f>
        <v>0</v>
      </c>
      <c r="Z49" s="142">
        <f>SUMIFS(領用表!$L:$L,領用表!$E:$E,$B49,領用表!$B:$B,Z$2&amp;$P$1)</f>
        <v>0</v>
      </c>
      <c r="AA49" s="142">
        <f>SUMIFS(領用表!$L:$L,領用表!$E:$E,$B49,領用表!$B:$B,AA$2&amp;$P$1)</f>
        <v>0</v>
      </c>
      <c r="AB49" s="142">
        <f t="shared" si="2"/>
        <v>0</v>
      </c>
      <c r="AC49" s="142">
        <f t="shared" si="3"/>
        <v>0</v>
      </c>
      <c r="AD49" s="142">
        <f>SUMIF(Summary!B:B,B49,Summary!DV:DV)</f>
        <v>25000</v>
      </c>
      <c r="AE49" s="104">
        <v>20000</v>
      </c>
      <c r="AF49" s="24">
        <v>0</v>
      </c>
      <c r="AG49" s="25" t="s">
        <v>86</v>
      </c>
      <c r="AH49" s="25" t="s">
        <v>86</v>
      </c>
      <c r="AI49" s="50" t="s">
        <v>84</v>
      </c>
      <c r="AJ49" s="28"/>
      <c r="AK49" s="14"/>
      <c r="AL49" s="29"/>
    </row>
    <row r="50" spans="1:38" ht="15.75" customHeight="1">
      <c r="A50" s="27" t="s">
        <v>87</v>
      </c>
      <c r="B50" s="14">
        <v>6170030</v>
      </c>
      <c r="C50" s="118" t="s">
        <v>489</v>
      </c>
      <c r="D50" s="23">
        <v>3050</v>
      </c>
      <c r="E50" s="17" t="s">
        <v>78</v>
      </c>
      <c r="F50" s="18"/>
      <c r="G50" s="18">
        <f>(D50*11)+916</f>
        <v>34466</v>
      </c>
      <c r="H50" s="39">
        <f>SUMIFS(領用表!$L:$L,領用表!$E:$E,$B50,領用表!$B:$B,H$2&amp;$P$1)</f>
        <v>0</v>
      </c>
      <c r="I50" s="39">
        <f>SUMIFS(領用表!$L:$L,領用表!$E:$E,$B50,領用表!$B:$B,I$2&amp;$P$1)</f>
        <v>0</v>
      </c>
      <c r="J50" s="39">
        <f>SUMIFS(領用表!$L:$L,領用表!$E:$E,$B50,領用表!$B:$B,J$2&amp;$P$1)</f>
        <v>0</v>
      </c>
      <c r="K50" s="142">
        <f>SUMIFS(領用表!$L:$L,領用表!$E:$E,$B50,領用表!$B:$B,K$2&amp;$P$1)</f>
        <v>0</v>
      </c>
      <c r="L50" s="142">
        <f>SUMIFS(領用表!$L:$L,領用表!$E:$E,$B50,領用表!$B:$B,L$2&amp;$P$1)</f>
        <v>0</v>
      </c>
      <c r="M50" s="142">
        <f>SUMIFS(領用表!$L:$L,領用表!$E:$E,$B50,領用表!$B:$B,M$2&amp;$P$1)</f>
        <v>0</v>
      </c>
      <c r="N50" s="42">
        <f t="shared" si="0"/>
        <v>0</v>
      </c>
      <c r="O50" s="42">
        <f t="shared" si="1"/>
        <v>0</v>
      </c>
      <c r="P50" s="142">
        <f>SUMIFS(領用表!$L:$L,領用表!$E:$E,$B50,領用表!$B:$B,P$2&amp;$P$1)</f>
        <v>0</v>
      </c>
      <c r="Q50" s="142">
        <f>SUMIFS(領用表!$L:$L,領用表!$E:$E,$B50,領用表!$B:$B,Q$2&amp;$P$1)</f>
        <v>2400</v>
      </c>
      <c r="R50" s="142">
        <f>SUMIFS(領用表!$L:$L,領用表!$E:$E,$B50,領用表!$B:$B,R$2&amp;$P$1)</f>
        <v>7201</v>
      </c>
      <c r="S50" s="142">
        <f>SUMIFS(領用表!$L:$L,領用表!$E:$E,$B50,領用表!$B:$B,S$2&amp;$P$1)</f>
        <v>6700</v>
      </c>
      <c r="T50" s="142">
        <f>SUMIFS(領用表!$L:$L,領用表!$E:$E,$B50,領用表!$B:$B,T$2&amp;$P$1)</f>
        <v>4500</v>
      </c>
      <c r="U50" s="142">
        <f>SUMIFS(領用表!$L:$L,領用表!$E:$E,$B50,領用表!$B:$B,U$2&amp;$P$1)</f>
        <v>0</v>
      </c>
      <c r="V50" s="142">
        <f>SUMIFS(領用表!$L:$L,領用表!$E:$E,$B50,領用表!$B:$B,V$2&amp;$P$1)</f>
        <v>0</v>
      </c>
      <c r="W50" s="142">
        <f>SUMIFS(領用表!$L:$L,領用表!$E:$E,$B50,領用表!$B:$B,W$2&amp;$P$1)</f>
        <v>0</v>
      </c>
      <c r="X50" s="142">
        <f>SUMIFS(領用表!$L:$L,領用表!$E:$E,$B50,領用表!$B:$B,X$2&amp;$P$1)</f>
        <v>0</v>
      </c>
      <c r="Y50" s="142">
        <f>SUMIFS(領用表!$L:$L,領用表!$E:$E,$B50,領用表!$B:$B,Y$2&amp;$P$1)</f>
        <v>0</v>
      </c>
      <c r="Z50" s="142">
        <f>SUMIFS(領用表!$L:$L,領用表!$E:$E,$B50,領用表!$B:$B,Z$2&amp;$P$1)</f>
        <v>0</v>
      </c>
      <c r="AA50" s="142">
        <f>SUMIFS(領用表!$L:$L,領用表!$E:$E,$B50,領用表!$B:$B,AA$2&amp;$P$1)</f>
        <v>0</v>
      </c>
      <c r="AB50" s="142">
        <f t="shared" si="2"/>
        <v>20801</v>
      </c>
      <c r="AC50" s="142">
        <f t="shared" si="3"/>
        <v>5200.25</v>
      </c>
      <c r="AD50" s="142">
        <f>SUMIF(Summary!B:B,B50,Summary!DV:DV)</f>
        <v>50000</v>
      </c>
      <c r="AE50" s="105"/>
      <c r="AF50" s="40">
        <v>0</v>
      </c>
      <c r="AG50" s="40"/>
      <c r="AH50" s="40"/>
      <c r="AI50" s="51" t="s">
        <v>88</v>
      </c>
      <c r="AJ50" s="52"/>
      <c r="AK50" s="14"/>
      <c r="AL50" s="29"/>
    </row>
    <row r="51" spans="1:38" ht="15.75" customHeight="1">
      <c r="A51" s="27" t="s">
        <v>89</v>
      </c>
      <c r="B51" s="14">
        <v>6170005</v>
      </c>
      <c r="C51" s="118" t="s">
        <v>614</v>
      </c>
      <c r="D51" s="23">
        <v>20099</v>
      </c>
      <c r="E51" s="17" t="s">
        <v>78</v>
      </c>
      <c r="F51" s="18"/>
      <c r="G51" s="18">
        <f>(D51*0)+1286</f>
        <v>1286</v>
      </c>
      <c r="H51" s="20">
        <f>SUMIFS(領用表!$L:$L,領用表!$E:$E,$B51,領用表!$B:$B,H$2&amp;$P$1)</f>
        <v>0</v>
      </c>
      <c r="I51" s="20">
        <f>SUMIFS(領用表!$L:$L,領用表!$E:$E,$B51,領用表!$B:$B,I$2&amp;$P$1)</f>
        <v>0</v>
      </c>
      <c r="J51" s="20">
        <f>SUMIFS(領用表!$L:$L,領用表!$E:$E,$B51,領用表!$B:$B,J$2&amp;$P$1)</f>
        <v>0</v>
      </c>
      <c r="K51" s="142">
        <f>SUMIFS(領用表!$L:$L,領用表!$E:$E,$B51,領用表!$B:$B,K$2&amp;$P$1)</f>
        <v>0</v>
      </c>
      <c r="L51" s="142">
        <f>SUMIFS(領用表!$L:$L,領用表!$E:$E,$B51,領用表!$B:$B,L$2&amp;$P$1)</f>
        <v>0</v>
      </c>
      <c r="M51" s="142">
        <f>SUMIFS(領用表!$L:$L,領用表!$E:$E,$B51,領用表!$B:$B,M$2&amp;$P$1)</f>
        <v>0</v>
      </c>
      <c r="N51" s="23">
        <f t="shared" si="0"/>
        <v>0</v>
      </c>
      <c r="O51" s="23">
        <f t="shared" si="1"/>
        <v>0</v>
      </c>
      <c r="P51" s="142">
        <f>SUMIFS(領用表!$L:$L,領用表!$E:$E,$B51,領用表!$B:$B,P$2&amp;$P$1)</f>
        <v>0</v>
      </c>
      <c r="Q51" s="142">
        <f>SUMIFS(領用表!$L:$L,領用表!$E:$E,$B51,領用表!$B:$B,Q$2&amp;$P$1)</f>
        <v>1169</v>
      </c>
      <c r="R51" s="142">
        <f>SUMIFS(領用表!$L:$L,領用表!$E:$E,$B51,領用表!$B:$B,R$2&amp;$P$1)</f>
        <v>5079</v>
      </c>
      <c r="S51" s="142">
        <f>SUMIFS(領用表!$L:$L,領用表!$E:$E,$B51,領用表!$B:$B,S$2&amp;$P$1)</f>
        <v>6560</v>
      </c>
      <c r="T51" s="142">
        <f>SUMIFS(領用表!$L:$L,領用表!$E:$E,$B51,領用表!$B:$B,T$2&amp;$P$1)</f>
        <v>6774</v>
      </c>
      <c r="U51" s="142">
        <f>SUMIFS(領用表!$L:$L,領用表!$E:$E,$B51,領用表!$B:$B,U$2&amp;$P$1)</f>
        <v>0</v>
      </c>
      <c r="V51" s="142">
        <f>SUMIFS(領用表!$L:$L,領用表!$E:$E,$B51,領用表!$B:$B,V$2&amp;$P$1)</f>
        <v>0</v>
      </c>
      <c r="W51" s="142">
        <f>SUMIFS(領用表!$L:$L,領用表!$E:$E,$B51,領用表!$B:$B,W$2&amp;$P$1)</f>
        <v>0</v>
      </c>
      <c r="X51" s="142">
        <f>SUMIFS(領用表!$L:$L,領用表!$E:$E,$B51,領用表!$B:$B,X$2&amp;$P$1)</f>
        <v>0</v>
      </c>
      <c r="Y51" s="142">
        <f>SUMIFS(領用表!$L:$L,領用表!$E:$E,$B51,領用表!$B:$B,Y$2&amp;$P$1)</f>
        <v>0</v>
      </c>
      <c r="Z51" s="142">
        <f>SUMIFS(領用表!$L:$L,領用表!$E:$E,$B51,領用表!$B:$B,Z$2&amp;$P$1)</f>
        <v>0</v>
      </c>
      <c r="AA51" s="142">
        <f>SUMIFS(領用表!$L:$L,領用表!$E:$E,$B51,領用表!$B:$B,AA$2&amp;$P$1)</f>
        <v>0</v>
      </c>
      <c r="AB51" s="142">
        <f t="shared" si="2"/>
        <v>19582</v>
      </c>
      <c r="AC51" s="142">
        <f t="shared" si="3"/>
        <v>4895.5</v>
      </c>
      <c r="AD51" s="142">
        <f>SUMIF(Summary!B:B,B51,Summary!DV:DV)</f>
        <v>28000</v>
      </c>
      <c r="AE51" s="101">
        <v>25000</v>
      </c>
      <c r="AF51" s="477" t="s">
        <v>90</v>
      </c>
      <c r="AG51" s="24"/>
      <c r="AH51" s="53"/>
      <c r="AI51" s="50">
        <v>20000</v>
      </c>
      <c r="AJ51" s="28"/>
      <c r="AK51" s="14"/>
      <c r="AL51" s="29"/>
    </row>
    <row r="52" spans="1:38" ht="15.75" customHeight="1">
      <c r="A52" s="27" t="s">
        <v>91</v>
      </c>
      <c r="B52" s="14">
        <v>6170007</v>
      </c>
      <c r="C52" s="118" t="s">
        <v>615</v>
      </c>
      <c r="D52" s="23">
        <v>20099</v>
      </c>
      <c r="E52" s="17" t="s">
        <v>78</v>
      </c>
      <c r="F52" s="18"/>
      <c r="G52" s="18">
        <f>(D52*1)+10161+18337</f>
        <v>48597</v>
      </c>
      <c r="H52" s="20">
        <f>SUMIFS(領用表!$L:$L,領用表!$E:$E,$B52,領用表!$B:$B,H$2&amp;$P$1)</f>
        <v>0</v>
      </c>
      <c r="I52" s="20">
        <f>SUMIFS(領用表!$L:$L,領用表!$E:$E,$B52,領用表!$B:$B,I$2&amp;$P$1)</f>
        <v>0</v>
      </c>
      <c r="J52" s="20">
        <f>SUMIFS(領用表!$L:$L,領用表!$E:$E,$B52,領用表!$B:$B,J$2&amp;$P$1)</f>
        <v>0</v>
      </c>
      <c r="K52" s="142">
        <f>SUMIFS(領用表!$L:$L,領用表!$E:$E,$B52,領用表!$B:$B,K$2&amp;$P$1)</f>
        <v>0</v>
      </c>
      <c r="L52" s="142">
        <f>SUMIFS(領用表!$L:$L,領用表!$E:$E,$B52,領用表!$B:$B,L$2&amp;$P$1)</f>
        <v>0</v>
      </c>
      <c r="M52" s="142">
        <f>SUMIFS(領用表!$L:$L,領用表!$E:$E,$B52,領用表!$B:$B,M$2&amp;$P$1)</f>
        <v>0</v>
      </c>
      <c r="N52" s="23">
        <f t="shared" si="0"/>
        <v>0</v>
      </c>
      <c r="O52" s="23">
        <f t="shared" si="1"/>
        <v>0</v>
      </c>
      <c r="P52" s="142">
        <f>SUMIFS(領用表!$L:$L,領用表!$E:$E,$B52,領用表!$B:$B,P$2&amp;$P$1)</f>
        <v>0</v>
      </c>
      <c r="Q52" s="142">
        <f>SUMIFS(領用表!$L:$L,領用表!$E:$E,$B52,領用表!$B:$B,Q$2&amp;$P$1)</f>
        <v>3555</v>
      </c>
      <c r="R52" s="142">
        <f>SUMIFS(領用表!$L:$L,領用表!$E:$E,$B52,領用表!$B:$B,R$2&amp;$P$1)</f>
        <v>10352</v>
      </c>
      <c r="S52" s="142">
        <f>SUMIFS(領用表!$L:$L,領用表!$E:$E,$B52,領用表!$B:$B,S$2&amp;$P$1)</f>
        <v>16058</v>
      </c>
      <c r="T52" s="142">
        <f>SUMIFS(領用表!$L:$L,領用表!$E:$E,$B52,領用表!$B:$B,T$2&amp;$P$1)</f>
        <v>15199</v>
      </c>
      <c r="U52" s="142">
        <f>SUMIFS(領用表!$L:$L,領用表!$E:$E,$B52,領用表!$B:$B,U$2&amp;$P$1)</f>
        <v>0</v>
      </c>
      <c r="V52" s="142">
        <f>SUMIFS(領用表!$L:$L,領用表!$E:$E,$B52,領用表!$B:$B,V$2&amp;$P$1)</f>
        <v>0</v>
      </c>
      <c r="W52" s="142">
        <f>SUMIFS(領用表!$L:$L,領用表!$E:$E,$B52,領用表!$B:$B,W$2&amp;$P$1)</f>
        <v>0</v>
      </c>
      <c r="X52" s="142">
        <f>SUMIFS(領用表!$L:$L,領用表!$E:$E,$B52,領用表!$B:$B,X$2&amp;$P$1)</f>
        <v>0</v>
      </c>
      <c r="Y52" s="142">
        <f>SUMIFS(領用表!$L:$L,領用表!$E:$E,$B52,領用表!$B:$B,Y$2&amp;$P$1)</f>
        <v>0</v>
      </c>
      <c r="Z52" s="142">
        <f>SUMIFS(領用表!$L:$L,領用表!$E:$E,$B52,領用表!$B:$B,Z$2&amp;$P$1)</f>
        <v>0</v>
      </c>
      <c r="AA52" s="142">
        <f>SUMIFS(領用表!$L:$L,領用表!$E:$E,$B52,領用表!$B:$B,AA$2&amp;$P$1)</f>
        <v>0</v>
      </c>
      <c r="AB52" s="142">
        <f t="shared" si="2"/>
        <v>45164</v>
      </c>
      <c r="AC52" s="142">
        <f t="shared" si="3"/>
        <v>11291</v>
      </c>
      <c r="AD52" s="142">
        <f>SUMIF(Summary!B:B,B52,Summary!DV:DV)</f>
        <v>65000</v>
      </c>
      <c r="AE52" s="101">
        <v>50000</v>
      </c>
      <c r="AF52" s="478"/>
      <c r="AG52" s="24"/>
      <c r="AH52" s="53"/>
      <c r="AI52" s="50">
        <v>20000</v>
      </c>
      <c r="AJ52" s="28"/>
      <c r="AK52" s="14"/>
      <c r="AL52" s="29"/>
    </row>
    <row r="53" spans="1:38" ht="15.75" customHeight="1">
      <c r="A53" s="27" t="s">
        <v>92</v>
      </c>
      <c r="B53" s="14">
        <v>6170009</v>
      </c>
      <c r="C53" s="118" t="s">
        <v>616</v>
      </c>
      <c r="D53" s="23">
        <v>20099</v>
      </c>
      <c r="E53" s="17" t="s">
        <v>78</v>
      </c>
      <c r="F53" s="18"/>
      <c r="G53" s="18">
        <f>(D53*0)+17201</f>
        <v>17201</v>
      </c>
      <c r="H53" s="20">
        <f>SUMIFS(領用表!$L:$L,領用表!$E:$E,$B53,領用表!$B:$B,H$2&amp;$P$1)</f>
        <v>0</v>
      </c>
      <c r="I53" s="20">
        <f>SUMIFS(領用表!$L:$L,領用表!$E:$E,$B53,領用表!$B:$B,I$2&amp;$P$1)</f>
        <v>0</v>
      </c>
      <c r="J53" s="20">
        <f>SUMIFS(領用表!$L:$L,領用表!$E:$E,$B53,領用表!$B:$B,J$2&amp;$P$1)</f>
        <v>0</v>
      </c>
      <c r="K53" s="142">
        <f>SUMIFS(領用表!$L:$L,領用表!$E:$E,$B53,領用表!$B:$B,K$2&amp;$P$1)</f>
        <v>0</v>
      </c>
      <c r="L53" s="142">
        <f>SUMIFS(領用表!$L:$L,領用表!$E:$E,$B53,領用表!$B:$B,L$2&amp;$P$1)</f>
        <v>0</v>
      </c>
      <c r="M53" s="142">
        <f>SUMIFS(領用表!$L:$L,領用表!$E:$E,$B53,領用表!$B:$B,M$2&amp;$P$1)</f>
        <v>0</v>
      </c>
      <c r="N53" s="23">
        <f t="shared" si="0"/>
        <v>0</v>
      </c>
      <c r="O53" s="23">
        <f t="shared" si="1"/>
        <v>0</v>
      </c>
      <c r="P53" s="142">
        <f>SUMIFS(領用表!$L:$L,領用表!$E:$E,$B53,領用表!$B:$B,P$2&amp;$P$1)</f>
        <v>0</v>
      </c>
      <c r="Q53" s="142">
        <f>SUMIFS(領用表!$L:$L,領用表!$E:$E,$B53,領用表!$B:$B,Q$2&amp;$P$1)</f>
        <v>4857</v>
      </c>
      <c r="R53" s="142">
        <f>SUMIFS(領用表!$L:$L,領用表!$E:$E,$B53,領用表!$B:$B,R$2&amp;$P$1)</f>
        <v>15998</v>
      </c>
      <c r="S53" s="142">
        <f>SUMIFS(領用表!$L:$L,領用表!$E:$E,$B53,領用表!$B:$B,S$2&amp;$P$1)</f>
        <v>20591</v>
      </c>
      <c r="T53" s="142">
        <f>SUMIFS(領用表!$L:$L,領用表!$E:$E,$B53,領用表!$B:$B,T$2&amp;$P$1)</f>
        <v>26120</v>
      </c>
      <c r="U53" s="142">
        <f>SUMIFS(領用表!$L:$L,領用表!$E:$E,$B53,領用表!$B:$B,U$2&amp;$P$1)</f>
        <v>0</v>
      </c>
      <c r="V53" s="142">
        <f>SUMIFS(領用表!$L:$L,領用表!$E:$E,$B53,領用表!$B:$B,V$2&amp;$P$1)</f>
        <v>0</v>
      </c>
      <c r="W53" s="142">
        <f>SUMIFS(領用表!$L:$L,領用表!$E:$E,$B53,領用表!$B:$B,W$2&amp;$P$1)</f>
        <v>0</v>
      </c>
      <c r="X53" s="142">
        <f>SUMIFS(領用表!$L:$L,領用表!$E:$E,$B53,領用表!$B:$B,X$2&amp;$P$1)</f>
        <v>0</v>
      </c>
      <c r="Y53" s="142">
        <f>SUMIFS(領用表!$L:$L,領用表!$E:$E,$B53,領用表!$B:$B,Y$2&amp;$P$1)</f>
        <v>0</v>
      </c>
      <c r="Z53" s="142">
        <f>SUMIFS(領用表!$L:$L,領用表!$E:$E,$B53,領用表!$B:$B,Z$2&amp;$P$1)</f>
        <v>0</v>
      </c>
      <c r="AA53" s="142">
        <f>SUMIFS(領用表!$L:$L,領用表!$E:$E,$B53,領用表!$B:$B,AA$2&amp;$P$1)</f>
        <v>0</v>
      </c>
      <c r="AB53" s="142">
        <f t="shared" si="2"/>
        <v>67566</v>
      </c>
      <c r="AC53" s="142">
        <f t="shared" si="3"/>
        <v>16891.5</v>
      </c>
      <c r="AD53" s="142">
        <f>SUMIF(Summary!B:B,B53,Summary!DV:DV)</f>
        <v>100000</v>
      </c>
      <c r="AE53" s="101">
        <v>95000</v>
      </c>
      <c r="AF53" s="478"/>
      <c r="AG53" s="24"/>
      <c r="AH53" s="54" t="s">
        <v>82</v>
      </c>
      <c r="AI53" s="50">
        <v>20000</v>
      </c>
      <c r="AJ53" s="28"/>
      <c r="AK53" s="14"/>
      <c r="AL53" s="29"/>
    </row>
    <row r="54" spans="1:38">
      <c r="A54" s="27" t="s">
        <v>93</v>
      </c>
      <c r="B54" s="14">
        <v>6170011</v>
      </c>
      <c r="C54" s="118" t="s">
        <v>617</v>
      </c>
      <c r="D54" s="23">
        <v>30099</v>
      </c>
      <c r="E54" s="17" t="s">
        <v>78</v>
      </c>
      <c r="F54" s="18"/>
      <c r="G54" s="18">
        <f>(D54*0)+27232</f>
        <v>27232</v>
      </c>
      <c r="H54" s="20">
        <f>SUMIFS(領用表!$L:$L,領用表!$E:$E,$B54,領用表!$B:$B,H$2&amp;$P$1)</f>
        <v>0</v>
      </c>
      <c r="I54" s="20">
        <f>SUMIFS(領用表!$L:$L,領用表!$E:$E,$B54,領用表!$B:$B,I$2&amp;$P$1)</f>
        <v>0</v>
      </c>
      <c r="J54" s="20">
        <f>SUMIFS(領用表!$L:$L,領用表!$E:$E,$B54,領用表!$B:$B,J$2&amp;$P$1)</f>
        <v>0</v>
      </c>
      <c r="K54" s="142">
        <f>SUMIFS(領用表!$L:$L,領用表!$E:$E,$B54,領用表!$B:$B,K$2&amp;$P$1)</f>
        <v>0</v>
      </c>
      <c r="L54" s="142">
        <f>SUMIFS(領用表!$L:$L,領用表!$E:$E,$B54,領用表!$B:$B,L$2&amp;$P$1)</f>
        <v>0</v>
      </c>
      <c r="M54" s="142">
        <f>SUMIFS(領用表!$L:$L,領用表!$E:$E,$B54,領用表!$B:$B,M$2&amp;$P$1)</f>
        <v>0</v>
      </c>
      <c r="N54" s="23">
        <f t="shared" si="0"/>
        <v>0</v>
      </c>
      <c r="O54" s="23">
        <f t="shared" si="1"/>
        <v>0</v>
      </c>
      <c r="P54" s="142">
        <f>SUMIFS(領用表!$L:$L,領用表!$E:$E,$B54,領用表!$B:$B,P$2&amp;$P$1)</f>
        <v>0</v>
      </c>
      <c r="Q54" s="142">
        <f>SUMIFS(領用表!$L:$L,領用表!$E:$E,$B54,領用表!$B:$B,Q$2&amp;$P$1)</f>
        <v>1420</v>
      </c>
      <c r="R54" s="142">
        <f>SUMIFS(領用表!$L:$L,領用表!$E:$E,$B54,領用表!$B:$B,R$2&amp;$P$1)</f>
        <v>3701</v>
      </c>
      <c r="S54" s="142">
        <f>SUMIFS(領用表!$L:$L,領用表!$E:$E,$B54,領用表!$B:$B,S$2&amp;$P$1)</f>
        <v>4583</v>
      </c>
      <c r="T54" s="142">
        <f>SUMIFS(領用表!$L:$L,領用表!$E:$E,$B54,領用表!$B:$B,T$2&amp;$P$1)</f>
        <v>5908</v>
      </c>
      <c r="U54" s="142">
        <f>SUMIFS(領用表!$L:$L,領用表!$E:$E,$B54,領用表!$B:$B,U$2&amp;$P$1)</f>
        <v>0</v>
      </c>
      <c r="V54" s="142">
        <f>SUMIFS(領用表!$L:$L,領用表!$E:$E,$B54,領用表!$B:$B,V$2&amp;$P$1)</f>
        <v>0</v>
      </c>
      <c r="W54" s="142">
        <f>SUMIFS(領用表!$L:$L,領用表!$E:$E,$B54,領用表!$B:$B,W$2&amp;$P$1)</f>
        <v>0</v>
      </c>
      <c r="X54" s="142">
        <f>SUMIFS(領用表!$L:$L,領用表!$E:$E,$B54,領用表!$B:$B,X$2&amp;$P$1)</f>
        <v>0</v>
      </c>
      <c r="Y54" s="142">
        <f>SUMIFS(領用表!$L:$L,領用表!$E:$E,$B54,領用表!$B:$B,Y$2&amp;$P$1)</f>
        <v>0</v>
      </c>
      <c r="Z54" s="142">
        <f>SUMIFS(領用表!$L:$L,領用表!$E:$E,$B54,領用表!$B:$B,Z$2&amp;$P$1)</f>
        <v>0</v>
      </c>
      <c r="AA54" s="142">
        <f>SUMIFS(領用表!$L:$L,領用表!$E:$E,$B54,領用表!$B:$B,AA$2&amp;$P$1)</f>
        <v>0</v>
      </c>
      <c r="AB54" s="142">
        <f t="shared" si="2"/>
        <v>15612</v>
      </c>
      <c r="AC54" s="142">
        <f t="shared" si="3"/>
        <v>3903</v>
      </c>
      <c r="AD54" s="142">
        <f>SUMIF(Summary!B:B,B54,Summary!DV:DV)</f>
        <v>18000</v>
      </c>
      <c r="AE54" s="101">
        <v>35000</v>
      </c>
      <c r="AF54" s="479"/>
      <c r="AG54" s="24"/>
      <c r="AH54" s="54" t="s">
        <v>94</v>
      </c>
      <c r="AI54" s="50">
        <v>30000</v>
      </c>
      <c r="AJ54" s="28"/>
      <c r="AK54" s="14"/>
      <c r="AL54" s="29"/>
    </row>
    <row r="55" spans="1:38" ht="15.75" customHeight="1">
      <c r="A55" s="27" t="s">
        <v>95</v>
      </c>
      <c r="B55" s="14">
        <v>6170019</v>
      </c>
      <c r="C55" s="118" t="s">
        <v>490</v>
      </c>
      <c r="D55" s="23">
        <v>20099</v>
      </c>
      <c r="E55" s="17" t="s">
        <v>78</v>
      </c>
      <c r="F55" s="44"/>
      <c r="G55" s="18">
        <f>(D55*1)+15983</f>
        <v>36082</v>
      </c>
      <c r="H55" s="20">
        <f>SUMIFS(領用表!$L:$L,領用表!$E:$E,$B55,領用表!$B:$B,H$2&amp;$P$1)</f>
        <v>0</v>
      </c>
      <c r="I55" s="20">
        <f>SUMIFS(領用表!$L:$L,領用表!$E:$E,$B55,領用表!$B:$B,I$2&amp;$P$1)</f>
        <v>0</v>
      </c>
      <c r="J55" s="20">
        <f>SUMIFS(領用表!$L:$L,領用表!$E:$E,$B55,領用表!$B:$B,J$2&amp;$P$1)</f>
        <v>0</v>
      </c>
      <c r="K55" s="142">
        <f>SUMIFS(領用表!$L:$L,領用表!$E:$E,$B55,領用表!$B:$B,K$2&amp;$P$1)</f>
        <v>0</v>
      </c>
      <c r="L55" s="142">
        <f>SUMIFS(領用表!$L:$L,領用表!$E:$E,$B55,領用表!$B:$B,L$2&amp;$P$1)</f>
        <v>0</v>
      </c>
      <c r="M55" s="142">
        <f>SUMIFS(領用表!$L:$L,領用表!$E:$E,$B55,領用表!$B:$B,M$2&amp;$P$1)</f>
        <v>0</v>
      </c>
      <c r="N55" s="23">
        <f t="shared" si="0"/>
        <v>0</v>
      </c>
      <c r="O55" s="23">
        <f t="shared" si="1"/>
        <v>0</v>
      </c>
      <c r="P55" s="142">
        <f>SUMIFS(領用表!$L:$L,領用表!$E:$E,$B55,領用表!$B:$B,P$2&amp;$P$1)</f>
        <v>0</v>
      </c>
      <c r="Q55" s="142">
        <f>SUMIFS(領用表!$L:$L,領用表!$E:$E,$B55,領用表!$B:$B,Q$2&amp;$P$1)</f>
        <v>0</v>
      </c>
      <c r="R55" s="142">
        <f>SUMIFS(領用表!$L:$L,領用表!$E:$E,$B55,領用表!$B:$B,R$2&amp;$P$1)</f>
        <v>338</v>
      </c>
      <c r="S55" s="142">
        <f>SUMIFS(領用表!$L:$L,領用表!$E:$E,$B55,領用表!$B:$B,S$2&amp;$P$1)</f>
        <v>1140</v>
      </c>
      <c r="T55" s="142">
        <f>SUMIFS(領用表!$L:$L,領用表!$E:$E,$B55,領用表!$B:$B,T$2&amp;$P$1)</f>
        <v>2630</v>
      </c>
      <c r="U55" s="142">
        <f>SUMIFS(領用表!$L:$L,領用表!$E:$E,$B55,領用表!$B:$B,U$2&amp;$P$1)</f>
        <v>0</v>
      </c>
      <c r="V55" s="142">
        <f>SUMIFS(領用表!$L:$L,領用表!$E:$E,$B55,領用表!$B:$B,V$2&amp;$P$1)</f>
        <v>0</v>
      </c>
      <c r="W55" s="142">
        <f>SUMIFS(領用表!$L:$L,領用表!$E:$E,$B55,領用表!$B:$B,W$2&amp;$P$1)</f>
        <v>0</v>
      </c>
      <c r="X55" s="142">
        <f>SUMIFS(領用表!$L:$L,領用表!$E:$E,$B55,領用表!$B:$B,X$2&amp;$P$1)</f>
        <v>0</v>
      </c>
      <c r="Y55" s="142">
        <f>SUMIFS(領用表!$L:$L,領用表!$E:$E,$B55,領用表!$B:$B,Y$2&amp;$P$1)</f>
        <v>0</v>
      </c>
      <c r="Z55" s="142">
        <f>SUMIFS(領用表!$L:$L,領用表!$E:$E,$B55,領用表!$B:$B,Z$2&amp;$P$1)</f>
        <v>0</v>
      </c>
      <c r="AA55" s="142">
        <f>SUMIFS(領用表!$L:$L,領用表!$E:$E,$B55,領用表!$B:$B,AA$2&amp;$P$1)</f>
        <v>0</v>
      </c>
      <c r="AB55" s="142">
        <f t="shared" si="2"/>
        <v>4108</v>
      </c>
      <c r="AC55" s="142">
        <f t="shared" si="3"/>
        <v>1027</v>
      </c>
      <c r="AD55" s="142">
        <f>SUMIF(Summary!B:B,B55,Summary!DV:DV)</f>
        <v>5000</v>
      </c>
      <c r="AE55" s="101">
        <v>2800</v>
      </c>
      <c r="AF55" s="477">
        <v>0</v>
      </c>
      <c r="AG55" s="24"/>
      <c r="AH55" s="53"/>
      <c r="AI55" s="50" t="s">
        <v>96</v>
      </c>
      <c r="AJ55" s="28"/>
      <c r="AK55" s="14"/>
      <c r="AL55" s="29"/>
    </row>
    <row r="56" spans="1:38" ht="15.75" customHeight="1">
      <c r="A56" s="27" t="s">
        <v>97</v>
      </c>
      <c r="B56" s="14">
        <v>6170020</v>
      </c>
      <c r="C56" s="133" t="s">
        <v>491</v>
      </c>
      <c r="D56" s="23">
        <v>20099</v>
      </c>
      <c r="E56" s="17" t="s">
        <v>78</v>
      </c>
      <c r="F56" s="18"/>
      <c r="G56" s="18">
        <f>(D56*2)+9432</f>
        <v>49630</v>
      </c>
      <c r="H56" s="20">
        <f>SUMIFS(領用表!$L:$L,領用表!$E:$E,$B56,領用表!$B:$B,H$2&amp;$P$1)</f>
        <v>0</v>
      </c>
      <c r="I56" s="20">
        <f>SUMIFS(領用表!$L:$L,領用表!$E:$E,$B56,領用表!$B:$B,I$2&amp;$P$1)</f>
        <v>0</v>
      </c>
      <c r="J56" s="20">
        <f>SUMIFS(領用表!$L:$L,領用表!$E:$E,$B56,領用表!$B:$B,J$2&amp;$P$1)</f>
        <v>0</v>
      </c>
      <c r="K56" s="142">
        <f>SUMIFS(領用表!$L:$L,領用表!$E:$E,$B56,領用表!$B:$B,K$2&amp;$P$1)</f>
        <v>0</v>
      </c>
      <c r="L56" s="142">
        <f>SUMIFS(領用表!$L:$L,領用表!$E:$E,$B56,領用表!$B:$B,L$2&amp;$P$1)</f>
        <v>0</v>
      </c>
      <c r="M56" s="142">
        <f>SUMIFS(領用表!$L:$L,領用表!$E:$E,$B56,領用表!$B:$B,M$2&amp;$P$1)</f>
        <v>0</v>
      </c>
      <c r="N56" s="23">
        <f t="shared" si="0"/>
        <v>0</v>
      </c>
      <c r="O56" s="23">
        <f t="shared" si="1"/>
        <v>0</v>
      </c>
      <c r="P56" s="142">
        <f>SUMIFS(領用表!$L:$L,領用表!$E:$E,$B56,領用表!$B:$B,P$2&amp;$P$1)</f>
        <v>0</v>
      </c>
      <c r="Q56" s="142">
        <f>SUMIFS(領用表!$L:$L,領用表!$E:$E,$B56,領用表!$B:$B,Q$2&amp;$P$1)</f>
        <v>1301</v>
      </c>
      <c r="R56" s="142">
        <f>SUMIFS(領用表!$L:$L,領用表!$E:$E,$B56,領用表!$B:$B,R$2&amp;$P$1)</f>
        <v>3073</v>
      </c>
      <c r="S56" s="142">
        <f>SUMIFS(領用表!$L:$L,領用表!$E:$E,$B56,領用表!$B:$B,S$2&amp;$P$1)</f>
        <v>4755</v>
      </c>
      <c r="T56" s="142">
        <f>SUMIFS(領用表!$L:$L,領用表!$E:$E,$B56,領用表!$B:$B,T$2&amp;$P$1)</f>
        <v>4272</v>
      </c>
      <c r="U56" s="142">
        <f>SUMIFS(領用表!$L:$L,領用表!$E:$E,$B56,領用表!$B:$B,U$2&amp;$P$1)</f>
        <v>0</v>
      </c>
      <c r="V56" s="142">
        <f>SUMIFS(領用表!$L:$L,領用表!$E:$E,$B56,領用表!$B:$B,V$2&amp;$P$1)</f>
        <v>0</v>
      </c>
      <c r="W56" s="142">
        <f>SUMIFS(領用表!$L:$L,領用表!$E:$E,$B56,領用表!$B:$B,W$2&amp;$P$1)</f>
        <v>0</v>
      </c>
      <c r="X56" s="142">
        <f>SUMIFS(領用表!$L:$L,領用表!$E:$E,$B56,領用表!$B:$B,X$2&amp;$P$1)</f>
        <v>0</v>
      </c>
      <c r="Y56" s="142">
        <f>SUMIFS(領用表!$L:$L,領用表!$E:$E,$B56,領用表!$B:$B,Y$2&amp;$P$1)</f>
        <v>0</v>
      </c>
      <c r="Z56" s="142">
        <f>SUMIFS(領用表!$L:$L,領用表!$E:$E,$B56,領用表!$B:$B,Z$2&amp;$P$1)</f>
        <v>0</v>
      </c>
      <c r="AA56" s="142">
        <f>SUMIFS(領用表!$L:$L,領用表!$E:$E,$B56,領用表!$B:$B,AA$2&amp;$P$1)</f>
        <v>0</v>
      </c>
      <c r="AB56" s="142">
        <f t="shared" si="2"/>
        <v>13401</v>
      </c>
      <c r="AC56" s="142">
        <f t="shared" si="3"/>
        <v>3350.25</v>
      </c>
      <c r="AD56" s="142">
        <f>SUMIF(Summary!B:B,B56,Summary!DV:DV)</f>
        <v>17000</v>
      </c>
      <c r="AE56" s="101">
        <v>7000</v>
      </c>
      <c r="AF56" s="478"/>
      <c r="AG56" s="24"/>
      <c r="AH56" s="53"/>
      <c r="AI56" s="50" t="s">
        <v>96</v>
      </c>
      <c r="AJ56" s="28"/>
      <c r="AK56" s="14"/>
      <c r="AL56" s="29"/>
    </row>
    <row r="57" spans="1:38" ht="15.75" customHeight="1">
      <c r="A57" s="27" t="s">
        <v>98</v>
      </c>
      <c r="B57" s="14">
        <v>6170021</v>
      </c>
      <c r="C57" s="133" t="s">
        <v>492</v>
      </c>
      <c r="D57" s="23">
        <v>20099</v>
      </c>
      <c r="E57" s="17" t="s">
        <v>78</v>
      </c>
      <c r="F57" s="44"/>
      <c r="G57" s="18">
        <f>(D57*3)+14571</f>
        <v>74868</v>
      </c>
      <c r="H57" s="20">
        <f>SUMIFS(領用表!$L:$L,領用表!$E:$E,$B57,領用表!$B:$B,H$2&amp;$P$1)</f>
        <v>0</v>
      </c>
      <c r="I57" s="20">
        <f>SUMIFS(領用表!$L:$L,領用表!$E:$E,$B57,領用表!$B:$B,I$2&amp;$P$1)</f>
        <v>0</v>
      </c>
      <c r="J57" s="20">
        <f>SUMIFS(領用表!$L:$L,領用表!$E:$E,$B57,領用表!$B:$B,J$2&amp;$P$1)</f>
        <v>0</v>
      </c>
      <c r="K57" s="142">
        <f>SUMIFS(領用表!$L:$L,領用表!$E:$E,$B57,領用表!$B:$B,K$2&amp;$P$1)</f>
        <v>0</v>
      </c>
      <c r="L57" s="142">
        <f>SUMIFS(領用表!$L:$L,領用表!$E:$E,$B57,領用表!$B:$B,L$2&amp;$P$1)</f>
        <v>0</v>
      </c>
      <c r="M57" s="142">
        <f>SUMIFS(領用表!$L:$L,領用表!$E:$E,$B57,領用表!$B:$B,M$2&amp;$P$1)</f>
        <v>0</v>
      </c>
      <c r="N57" s="23">
        <f t="shared" si="0"/>
        <v>0</v>
      </c>
      <c r="O57" s="23">
        <f t="shared" si="1"/>
        <v>0</v>
      </c>
      <c r="P57" s="142">
        <f>SUMIFS(領用表!$L:$L,領用表!$E:$E,$B57,領用表!$B:$B,P$2&amp;$P$1)</f>
        <v>0</v>
      </c>
      <c r="Q57" s="142">
        <f>SUMIFS(領用表!$L:$L,領用表!$E:$E,$B57,領用表!$B:$B,Q$2&amp;$P$1)</f>
        <v>5799</v>
      </c>
      <c r="R57" s="142">
        <f>SUMIFS(領用表!$L:$L,領用表!$E:$E,$B57,領用表!$B:$B,R$2&amp;$P$1)</f>
        <v>4900</v>
      </c>
      <c r="S57" s="142">
        <f>SUMIFS(領用表!$L:$L,領用表!$E:$E,$B57,領用表!$B:$B,S$2&amp;$P$1)</f>
        <v>10148</v>
      </c>
      <c r="T57" s="142">
        <f>SUMIFS(領用表!$L:$L,領用表!$E:$E,$B57,領用表!$B:$B,T$2&amp;$P$1)</f>
        <v>13582</v>
      </c>
      <c r="U57" s="142">
        <f>SUMIFS(領用表!$L:$L,領用表!$E:$E,$B57,領用表!$B:$B,U$2&amp;$P$1)</f>
        <v>0</v>
      </c>
      <c r="V57" s="142">
        <f>SUMIFS(領用表!$L:$L,領用表!$E:$E,$B57,領用表!$B:$B,V$2&amp;$P$1)</f>
        <v>0</v>
      </c>
      <c r="W57" s="142">
        <f>SUMIFS(領用表!$L:$L,領用表!$E:$E,$B57,領用表!$B:$B,W$2&amp;$P$1)</f>
        <v>0</v>
      </c>
      <c r="X57" s="142">
        <f>SUMIFS(領用表!$L:$L,領用表!$E:$E,$B57,領用表!$B:$B,X$2&amp;$P$1)</f>
        <v>0</v>
      </c>
      <c r="Y57" s="142">
        <f>SUMIFS(領用表!$L:$L,領用表!$E:$E,$B57,領用表!$B:$B,Y$2&amp;$P$1)</f>
        <v>0</v>
      </c>
      <c r="Z57" s="142">
        <f>SUMIFS(領用表!$L:$L,領用表!$E:$E,$B57,領用表!$B:$B,Z$2&amp;$P$1)</f>
        <v>0</v>
      </c>
      <c r="AA57" s="142">
        <f>SUMIFS(領用表!$L:$L,領用表!$E:$E,$B57,領用表!$B:$B,AA$2&amp;$P$1)</f>
        <v>0</v>
      </c>
      <c r="AB57" s="142">
        <f t="shared" si="2"/>
        <v>34429</v>
      </c>
      <c r="AC57" s="142">
        <f t="shared" si="3"/>
        <v>8607.25</v>
      </c>
      <c r="AD57" s="142">
        <f>SUMIF(Summary!B:B,B57,Summary!DV:DV)</f>
        <v>40000</v>
      </c>
      <c r="AE57" s="101">
        <v>18000</v>
      </c>
      <c r="AF57" s="478"/>
      <c r="AG57" s="24"/>
      <c r="AH57" s="54" t="s">
        <v>83</v>
      </c>
      <c r="AI57" s="50" t="s">
        <v>96</v>
      </c>
      <c r="AJ57" s="28"/>
      <c r="AK57" s="14"/>
      <c r="AL57" s="29"/>
    </row>
    <row r="58" spans="1:38" ht="15.75" customHeight="1">
      <c r="A58" s="27" t="s">
        <v>99</v>
      </c>
      <c r="B58" s="14">
        <v>6170022</v>
      </c>
      <c r="C58" s="133" t="s">
        <v>493</v>
      </c>
      <c r="D58" s="23">
        <v>20099</v>
      </c>
      <c r="E58" s="17" t="s">
        <v>78</v>
      </c>
      <c r="F58" s="44"/>
      <c r="G58" s="18">
        <f>(D58*1)+12792</f>
        <v>32891</v>
      </c>
      <c r="H58" s="20">
        <f>SUMIFS(領用表!$L:$L,領用表!$E:$E,$B58,領用表!$B:$B,H$2&amp;$P$1)</f>
        <v>0</v>
      </c>
      <c r="I58" s="20">
        <f>SUMIFS(領用表!$L:$L,領用表!$E:$E,$B58,領用表!$B:$B,I$2&amp;$P$1)</f>
        <v>0</v>
      </c>
      <c r="J58" s="20">
        <f>SUMIFS(領用表!$L:$L,領用表!$E:$E,$B58,領用表!$B:$B,J$2&amp;$P$1)</f>
        <v>0</v>
      </c>
      <c r="K58" s="142">
        <f>SUMIFS(領用表!$L:$L,領用表!$E:$E,$B58,領用表!$B:$B,K$2&amp;$P$1)</f>
        <v>0</v>
      </c>
      <c r="L58" s="142">
        <f>SUMIFS(領用表!$L:$L,領用表!$E:$E,$B58,領用表!$B:$B,L$2&amp;$P$1)</f>
        <v>0</v>
      </c>
      <c r="M58" s="142">
        <f>SUMIFS(領用表!$L:$L,領用表!$E:$E,$B58,領用表!$B:$B,M$2&amp;$P$1)</f>
        <v>0</v>
      </c>
      <c r="N58" s="23">
        <f t="shared" si="0"/>
        <v>0</v>
      </c>
      <c r="O58" s="23">
        <f t="shared" si="1"/>
        <v>0</v>
      </c>
      <c r="P58" s="142">
        <f>SUMIFS(領用表!$L:$L,領用表!$E:$E,$B58,領用表!$B:$B,P$2&amp;$P$1)</f>
        <v>0</v>
      </c>
      <c r="Q58" s="142">
        <f>SUMIFS(領用表!$L:$L,領用表!$E:$E,$B58,領用表!$B:$B,Q$2&amp;$P$1)</f>
        <v>1600</v>
      </c>
      <c r="R58" s="142">
        <f>SUMIFS(領用表!$L:$L,領用表!$E:$E,$B58,領用表!$B:$B,R$2&amp;$P$1)</f>
        <v>1581</v>
      </c>
      <c r="S58" s="142">
        <f>SUMIFS(領用表!$L:$L,領用表!$E:$E,$B58,領用表!$B:$B,S$2&amp;$P$1)</f>
        <v>3987</v>
      </c>
      <c r="T58" s="142">
        <f>SUMIFS(領用表!$L:$L,領用表!$E:$E,$B58,領用表!$B:$B,T$2&amp;$P$1)</f>
        <v>2974</v>
      </c>
      <c r="U58" s="142">
        <f>SUMIFS(領用表!$L:$L,領用表!$E:$E,$B58,領用表!$B:$B,U$2&amp;$P$1)</f>
        <v>0</v>
      </c>
      <c r="V58" s="142">
        <f>SUMIFS(領用表!$L:$L,領用表!$E:$E,$B58,領用表!$B:$B,V$2&amp;$P$1)</f>
        <v>0</v>
      </c>
      <c r="W58" s="142">
        <f>SUMIFS(領用表!$L:$L,領用表!$E:$E,$B58,領用表!$B:$B,W$2&amp;$P$1)</f>
        <v>0</v>
      </c>
      <c r="X58" s="142">
        <f>SUMIFS(領用表!$L:$L,領用表!$E:$E,$B58,領用表!$B:$B,X$2&amp;$P$1)</f>
        <v>0</v>
      </c>
      <c r="Y58" s="142">
        <f>SUMIFS(領用表!$L:$L,領用表!$E:$E,$B58,領用表!$B:$B,Y$2&amp;$P$1)</f>
        <v>0</v>
      </c>
      <c r="Z58" s="142">
        <f>SUMIFS(領用表!$L:$L,領用表!$E:$E,$B58,領用表!$B:$B,Z$2&amp;$P$1)</f>
        <v>0</v>
      </c>
      <c r="AA58" s="142">
        <f>SUMIFS(領用表!$L:$L,領用表!$E:$E,$B58,領用表!$B:$B,AA$2&amp;$P$1)</f>
        <v>0</v>
      </c>
      <c r="AB58" s="142">
        <f t="shared" si="2"/>
        <v>10142</v>
      </c>
      <c r="AC58" s="142">
        <f t="shared" si="3"/>
        <v>2535.5</v>
      </c>
      <c r="AD58" s="142">
        <f>SUMIF(Summary!B:B,B58,Summary!DV:DV)</f>
        <v>12000</v>
      </c>
      <c r="AE58" s="101">
        <v>7000</v>
      </c>
      <c r="AF58" s="478"/>
      <c r="AG58" s="24"/>
      <c r="AH58" s="53"/>
      <c r="AI58" s="50" t="s">
        <v>96</v>
      </c>
      <c r="AJ58" s="28"/>
      <c r="AK58" s="14"/>
      <c r="AL58" s="29"/>
    </row>
    <row r="59" spans="1:38" ht="15.75" customHeight="1">
      <c r="A59" s="27" t="s">
        <v>100</v>
      </c>
      <c r="B59" s="14">
        <v>6170025</v>
      </c>
      <c r="C59" s="407" t="s">
        <v>862</v>
      </c>
      <c r="D59" s="23">
        <v>20099</v>
      </c>
      <c r="E59" s="17" t="s">
        <v>78</v>
      </c>
      <c r="F59" s="18"/>
      <c r="G59" s="18">
        <f>(D59*0)+19754</f>
        <v>19754</v>
      </c>
      <c r="H59" s="20">
        <f>SUMIFS(領用表!$L:$L,領用表!$E:$E,$B59,領用表!$B:$B,H$2&amp;$P$1)</f>
        <v>0</v>
      </c>
      <c r="I59" s="20">
        <f>SUMIFS(領用表!$L:$L,領用表!$E:$E,$B59,領用表!$B:$B,I$2&amp;$P$1)</f>
        <v>0</v>
      </c>
      <c r="J59" s="20">
        <f>SUMIFS(領用表!$L:$L,領用表!$E:$E,$B59,領用表!$B:$B,J$2&amp;$P$1)</f>
        <v>0</v>
      </c>
      <c r="K59" s="142">
        <f>SUMIFS(領用表!$L:$L,領用表!$E:$E,$B59,領用表!$B:$B,K$2&amp;$P$1)</f>
        <v>0</v>
      </c>
      <c r="L59" s="142">
        <f>SUMIFS(領用表!$L:$L,領用表!$E:$E,$B59,領用表!$B:$B,L$2&amp;$P$1)</f>
        <v>0</v>
      </c>
      <c r="M59" s="142">
        <f>SUMIFS(領用表!$L:$L,領用表!$E:$E,$B59,領用表!$B:$B,M$2&amp;$P$1)</f>
        <v>0</v>
      </c>
      <c r="N59" s="23">
        <f t="shared" si="0"/>
        <v>0</v>
      </c>
      <c r="O59" s="23">
        <f t="shared" si="1"/>
        <v>0</v>
      </c>
      <c r="P59" s="142">
        <f>SUMIFS(領用表!$L:$L,領用表!$E:$E,$B59,領用表!$B:$B,P$2&amp;$P$1)</f>
        <v>0</v>
      </c>
      <c r="Q59" s="142">
        <f>SUMIFS(領用表!$L:$L,領用表!$E:$E,$B59,領用表!$B:$B,Q$2&amp;$P$1)</f>
        <v>0</v>
      </c>
      <c r="R59" s="142">
        <f>SUMIFS(領用表!$L:$L,領用表!$E:$E,$B59,領用表!$B:$B,R$2&amp;$P$1)</f>
        <v>0</v>
      </c>
      <c r="S59" s="142">
        <f>SUMIFS(領用表!$L:$L,領用表!$E:$E,$B59,領用表!$B:$B,S$2&amp;$P$1)</f>
        <v>0</v>
      </c>
      <c r="T59" s="142">
        <f>SUMIFS(領用表!$L:$L,領用表!$E:$E,$B59,領用表!$B:$B,T$2&amp;$P$1)</f>
        <v>242</v>
      </c>
      <c r="U59" s="142">
        <f>SUMIFS(領用表!$L:$L,領用表!$E:$E,$B59,領用表!$B:$B,U$2&amp;$P$1)</f>
        <v>0</v>
      </c>
      <c r="V59" s="142">
        <f>SUMIFS(領用表!$L:$L,領用表!$E:$E,$B59,領用表!$B:$B,V$2&amp;$P$1)</f>
        <v>0</v>
      </c>
      <c r="W59" s="142">
        <f>SUMIFS(領用表!$L:$L,領用表!$E:$E,$B59,領用表!$B:$B,W$2&amp;$P$1)</f>
        <v>0</v>
      </c>
      <c r="X59" s="142">
        <f>SUMIFS(領用表!$L:$L,領用表!$E:$E,$B59,領用表!$B:$B,X$2&amp;$P$1)</f>
        <v>0</v>
      </c>
      <c r="Y59" s="142">
        <f>SUMIFS(領用表!$L:$L,領用表!$E:$E,$B59,領用表!$B:$B,Y$2&amp;$P$1)</f>
        <v>0</v>
      </c>
      <c r="Z59" s="142">
        <f>SUMIFS(領用表!$L:$L,領用表!$E:$E,$B59,領用表!$B:$B,Z$2&amp;$P$1)</f>
        <v>0</v>
      </c>
      <c r="AA59" s="142">
        <f>SUMIFS(領用表!$L:$L,領用表!$E:$E,$B59,領用表!$B:$B,AA$2&amp;$P$1)</f>
        <v>0</v>
      </c>
      <c r="AB59" s="142">
        <f t="shared" si="2"/>
        <v>242</v>
      </c>
      <c r="AC59" s="142">
        <f t="shared" si="3"/>
        <v>60.5</v>
      </c>
      <c r="AD59" s="142">
        <f>SUMIF(Summary!B:B,B59,Summary!DV:DV)</f>
        <v>0</v>
      </c>
      <c r="AE59" s="101">
        <v>180</v>
      </c>
      <c r="AF59" s="479"/>
      <c r="AG59" s="24"/>
      <c r="AH59" s="54"/>
      <c r="AI59" s="50" t="s">
        <v>96</v>
      </c>
      <c r="AJ59" s="28"/>
      <c r="AK59" s="14"/>
      <c r="AL59" s="29"/>
    </row>
    <row r="60" spans="1:38" ht="15.75" hidden="1" customHeight="1">
      <c r="A60" s="27" t="s">
        <v>108</v>
      </c>
      <c r="B60" s="14" t="e">
        <v>#N/A</v>
      </c>
      <c r="C60" s="133" t="s">
        <v>496</v>
      </c>
      <c r="D60" s="40">
        <v>150000</v>
      </c>
      <c r="E60" s="59" t="s">
        <v>78</v>
      </c>
      <c r="F60" s="60"/>
      <c r="G60" s="18">
        <f t="shared" ref="G60:G61" si="7">(D60*0)</f>
        <v>0</v>
      </c>
      <c r="H60" s="39">
        <f>SUMIFS(領用表!$L:$L,領用表!$E:$E,$B60,領用表!$B:$B,H$2&amp;$P$1)</f>
        <v>0</v>
      </c>
      <c r="I60" s="39">
        <f>SUMIFS(領用表!$L:$L,領用表!$E:$E,$B60,領用表!$B:$B,I$2&amp;$P$1)</f>
        <v>0</v>
      </c>
      <c r="J60" s="39">
        <f>SUMIFS(領用表!$L:$L,領用表!$E:$E,$B60,領用表!$B:$B,J$2&amp;$P$1)</f>
        <v>0</v>
      </c>
      <c r="K60" s="142">
        <f>SUMIFS(領用表!$L:$L,領用表!$E:$E,$B60,領用表!$B:$B,K$2&amp;$P$1)</f>
        <v>0</v>
      </c>
      <c r="L60" s="142">
        <f>SUMIFS(領用表!$L:$L,領用表!$E:$E,$B60,領用表!$B:$B,L$2&amp;$P$1)</f>
        <v>0</v>
      </c>
      <c r="M60" s="142">
        <f>SUMIFS(領用表!$L:$L,領用表!$E:$E,$B60,領用表!$B:$B,M$2&amp;$P$1)</f>
        <v>0</v>
      </c>
      <c r="N60" s="42">
        <f t="shared" si="0"/>
        <v>0</v>
      </c>
      <c r="O60" s="42">
        <f t="shared" si="1"/>
        <v>0</v>
      </c>
      <c r="P60" s="142">
        <f>SUMIFS(領用表!$L:$L,領用表!$E:$E,$B60,領用表!$B:$B,P$2&amp;$P$1)</f>
        <v>0</v>
      </c>
      <c r="Q60" s="142">
        <f>SUMIFS(領用表!$L:$L,領用表!$E:$E,$B60,領用表!$B:$B,Q$2&amp;$P$1)</f>
        <v>0</v>
      </c>
      <c r="R60" s="142">
        <f>SUMIFS(領用表!$L:$L,領用表!$E:$E,$B60,領用表!$B:$B,R$2&amp;$P$1)</f>
        <v>0</v>
      </c>
      <c r="S60" s="142">
        <f>SUMIFS(領用表!$L:$L,領用表!$E:$E,$B60,領用表!$B:$B,S$2&amp;$P$1)</f>
        <v>0</v>
      </c>
      <c r="T60" s="142">
        <f>SUMIFS(領用表!$L:$L,領用表!$E:$E,$B60,領用表!$B:$B,T$2&amp;$P$1)</f>
        <v>0</v>
      </c>
      <c r="U60" s="142">
        <f>SUMIFS(領用表!$L:$L,領用表!$E:$E,$B60,領用表!$B:$B,U$2&amp;$P$1)</f>
        <v>0</v>
      </c>
      <c r="V60" s="142">
        <f>SUMIFS(領用表!$L:$L,領用表!$E:$E,$B60,領用表!$B:$B,V$2&amp;$P$1)</f>
        <v>0</v>
      </c>
      <c r="W60" s="142">
        <f>SUMIFS(領用表!$L:$L,領用表!$E:$E,$B60,領用表!$B:$B,W$2&amp;$P$1)</f>
        <v>0</v>
      </c>
      <c r="X60" s="142">
        <f>SUMIFS(領用表!$L:$L,領用表!$E:$E,$B60,領用表!$B:$B,X$2&amp;$P$1)</f>
        <v>0</v>
      </c>
      <c r="Y60" s="142">
        <f>SUMIFS(領用表!$L:$L,領用表!$E:$E,$B60,領用表!$B:$B,Y$2&amp;$P$1)</f>
        <v>0</v>
      </c>
      <c r="Z60" s="142">
        <f>SUMIFS(領用表!$L:$L,領用表!$E:$E,$B60,領用表!$B:$B,Z$2&amp;$P$1)</f>
        <v>0</v>
      </c>
      <c r="AA60" s="142">
        <f>SUMIFS(領用表!$L:$L,領用表!$E:$E,$B60,領用表!$B:$B,AA$2&amp;$P$1)</f>
        <v>0</v>
      </c>
      <c r="AB60" s="142">
        <f t="shared" si="2"/>
        <v>0</v>
      </c>
      <c r="AC60" s="142">
        <f t="shared" si="3"/>
        <v>0</v>
      </c>
      <c r="AD60" s="142">
        <f>SUMIF(Summary!B:B,B60,Summary!DV:DV)</f>
        <v>0</v>
      </c>
      <c r="AE60" s="106"/>
      <c r="AF60" s="61"/>
      <c r="AG60" s="40"/>
      <c r="AH60" s="40"/>
      <c r="AI60" s="51" t="s">
        <v>109</v>
      </c>
      <c r="AJ60" s="62"/>
      <c r="AK60" s="14"/>
      <c r="AL60" s="29"/>
    </row>
    <row r="61" spans="1:38" ht="15.75" hidden="1" customHeight="1">
      <c r="A61" s="27" t="s">
        <v>110</v>
      </c>
      <c r="B61" s="14" t="e">
        <v>#N/A</v>
      </c>
      <c r="C61" s="133" t="s">
        <v>497</v>
      </c>
      <c r="D61" s="40">
        <v>150000</v>
      </c>
      <c r="E61" s="59" t="s">
        <v>78</v>
      </c>
      <c r="F61" s="60"/>
      <c r="G61" s="18">
        <f t="shared" si="7"/>
        <v>0</v>
      </c>
      <c r="H61" s="39">
        <f>SUMIFS(領用表!$L:$L,領用表!$E:$E,$B61,領用表!$B:$B,H$2&amp;$P$1)</f>
        <v>0</v>
      </c>
      <c r="I61" s="39">
        <f>SUMIFS(領用表!$L:$L,領用表!$E:$E,$B61,領用表!$B:$B,I$2&amp;$P$1)</f>
        <v>0</v>
      </c>
      <c r="J61" s="39">
        <f>SUMIFS(領用表!$L:$L,領用表!$E:$E,$B61,領用表!$B:$B,J$2&amp;$P$1)</f>
        <v>0</v>
      </c>
      <c r="K61" s="142">
        <f>SUMIFS(領用表!$L:$L,領用表!$E:$E,$B61,領用表!$B:$B,K$2&amp;$P$1)</f>
        <v>0</v>
      </c>
      <c r="L61" s="142">
        <f>SUMIFS(領用表!$L:$L,領用表!$E:$E,$B61,領用表!$B:$B,L$2&amp;$P$1)</f>
        <v>0</v>
      </c>
      <c r="M61" s="142">
        <f>SUMIFS(領用表!$L:$L,領用表!$E:$E,$B61,領用表!$B:$B,M$2&amp;$P$1)</f>
        <v>0</v>
      </c>
      <c r="N61" s="42">
        <f t="shared" si="0"/>
        <v>0</v>
      </c>
      <c r="O61" s="42">
        <f t="shared" si="1"/>
        <v>0</v>
      </c>
      <c r="P61" s="142">
        <f>SUMIFS(領用表!$L:$L,領用表!$E:$E,$B61,領用表!$B:$B,P$2&amp;$P$1)</f>
        <v>0</v>
      </c>
      <c r="Q61" s="142">
        <f>SUMIFS(領用表!$L:$L,領用表!$E:$E,$B61,領用表!$B:$B,Q$2&amp;$P$1)</f>
        <v>0</v>
      </c>
      <c r="R61" s="142">
        <f>SUMIFS(領用表!$L:$L,領用表!$E:$E,$B61,領用表!$B:$B,R$2&amp;$P$1)</f>
        <v>0</v>
      </c>
      <c r="S61" s="142">
        <f>SUMIFS(領用表!$L:$L,領用表!$E:$E,$B61,領用表!$B:$B,S$2&amp;$P$1)</f>
        <v>0</v>
      </c>
      <c r="T61" s="142">
        <f>SUMIFS(領用表!$L:$L,領用表!$E:$E,$B61,領用表!$B:$B,T$2&amp;$P$1)</f>
        <v>0</v>
      </c>
      <c r="U61" s="142">
        <f>SUMIFS(領用表!$L:$L,領用表!$E:$E,$B61,領用表!$B:$B,U$2&amp;$P$1)</f>
        <v>0</v>
      </c>
      <c r="V61" s="142">
        <f>SUMIFS(領用表!$L:$L,領用表!$E:$E,$B61,領用表!$B:$B,V$2&amp;$P$1)</f>
        <v>0</v>
      </c>
      <c r="W61" s="142">
        <f>SUMIFS(領用表!$L:$L,領用表!$E:$E,$B61,領用表!$B:$B,W$2&amp;$P$1)</f>
        <v>0</v>
      </c>
      <c r="X61" s="142">
        <f>SUMIFS(領用表!$L:$L,領用表!$E:$E,$B61,領用表!$B:$B,X$2&amp;$P$1)</f>
        <v>0</v>
      </c>
      <c r="Y61" s="142">
        <f>SUMIFS(領用表!$L:$L,領用表!$E:$E,$B61,領用表!$B:$B,Y$2&amp;$P$1)</f>
        <v>0</v>
      </c>
      <c r="Z61" s="142">
        <f>SUMIFS(領用表!$L:$L,領用表!$E:$E,$B61,領用表!$B:$B,Z$2&amp;$P$1)</f>
        <v>0</v>
      </c>
      <c r="AA61" s="142">
        <f>SUMIFS(領用表!$L:$L,領用表!$E:$E,$B61,領用表!$B:$B,AA$2&amp;$P$1)</f>
        <v>0</v>
      </c>
      <c r="AB61" s="142">
        <f t="shared" si="2"/>
        <v>0</v>
      </c>
      <c r="AC61" s="142">
        <f t="shared" si="3"/>
        <v>0</v>
      </c>
      <c r="AD61" s="142">
        <f>SUMIF(Summary!B:B,B61,Summary!DV:DV)</f>
        <v>0</v>
      </c>
      <c r="AE61" s="106"/>
      <c r="AF61" s="61"/>
      <c r="AG61" s="40"/>
      <c r="AH61" s="40"/>
      <c r="AI61" s="51" t="s">
        <v>109</v>
      </c>
      <c r="AJ61" s="62"/>
      <c r="AK61" s="14"/>
      <c r="AL61" s="29"/>
    </row>
    <row r="62" spans="1:38" ht="15.75" customHeight="1">
      <c r="A62" s="27" t="s">
        <v>111</v>
      </c>
      <c r="B62" s="14">
        <v>6170032</v>
      </c>
      <c r="C62" s="133" t="s">
        <v>498</v>
      </c>
      <c r="D62" s="23">
        <v>240500</v>
      </c>
      <c r="E62" s="63" t="s">
        <v>78</v>
      </c>
      <c r="F62" s="44"/>
      <c r="G62" s="18">
        <f>(D62*0)+48998+237000</f>
        <v>285998</v>
      </c>
      <c r="H62" s="20">
        <f>SUMIFS(領用表!$L:$L,領用表!$E:$E,$B62,領用表!$B:$B,H$2&amp;$P$1)</f>
        <v>0</v>
      </c>
      <c r="I62" s="20">
        <f>SUMIFS(領用表!$L:$L,領用表!$E:$E,$B62,領用表!$B:$B,I$2&amp;$P$1)</f>
        <v>0</v>
      </c>
      <c r="J62" s="20">
        <f>SUMIFS(領用表!$L:$L,領用表!$E:$E,$B62,領用表!$B:$B,J$2&amp;$P$1)</f>
        <v>0</v>
      </c>
      <c r="K62" s="142">
        <f>SUMIFS(領用表!$L:$L,領用表!$E:$E,$B62,領用表!$B:$B,K$2&amp;$P$1)</f>
        <v>0</v>
      </c>
      <c r="L62" s="142">
        <f>SUMIFS(領用表!$L:$L,領用表!$E:$E,$B62,領用表!$B:$B,L$2&amp;$P$1)</f>
        <v>0</v>
      </c>
      <c r="M62" s="142">
        <f>SUMIFS(領用表!$L:$L,領用表!$E:$E,$B62,領用表!$B:$B,M$2&amp;$P$1)</f>
        <v>0</v>
      </c>
      <c r="N62" s="23">
        <f t="shared" si="0"/>
        <v>0</v>
      </c>
      <c r="O62" s="23">
        <f t="shared" si="1"/>
        <v>0</v>
      </c>
      <c r="P62" s="142">
        <f>SUMIFS(領用表!$L:$L,領用表!$E:$E,$B62,領用表!$B:$B,P$2&amp;$P$1)</f>
        <v>0</v>
      </c>
      <c r="Q62" s="142">
        <f>SUMIFS(領用表!$L:$L,領用表!$E:$E,$B62,領用表!$B:$B,Q$2&amp;$P$1)</f>
        <v>18000</v>
      </c>
      <c r="R62" s="142">
        <f>SUMIFS(領用表!$L:$L,領用表!$E:$E,$B62,領用表!$B:$B,R$2&amp;$P$1)</f>
        <v>61000</v>
      </c>
      <c r="S62" s="142">
        <f>SUMIFS(領用表!$L:$L,領用表!$E:$E,$B62,領用表!$B:$B,S$2&amp;$P$1)</f>
        <v>68500</v>
      </c>
      <c r="T62" s="142">
        <f>SUMIFS(領用表!$L:$L,領用表!$E:$E,$B62,領用表!$B:$B,T$2&amp;$P$1)</f>
        <v>93510</v>
      </c>
      <c r="U62" s="142">
        <f>SUMIFS(領用表!$L:$L,領用表!$E:$E,$B62,領用表!$B:$B,U$2&amp;$P$1)</f>
        <v>0</v>
      </c>
      <c r="V62" s="142">
        <f>SUMIFS(領用表!$L:$L,領用表!$E:$E,$B62,領用表!$B:$B,V$2&amp;$P$1)</f>
        <v>0</v>
      </c>
      <c r="W62" s="142">
        <f>SUMIFS(領用表!$L:$L,領用表!$E:$E,$B62,領用表!$B:$B,W$2&amp;$P$1)</f>
        <v>0</v>
      </c>
      <c r="X62" s="142">
        <f>SUMIFS(領用表!$L:$L,領用表!$E:$E,$B62,領用表!$B:$B,X$2&amp;$P$1)</f>
        <v>0</v>
      </c>
      <c r="Y62" s="142">
        <f>SUMIFS(領用表!$L:$L,領用表!$E:$E,$B62,領用表!$B:$B,Y$2&amp;$P$1)</f>
        <v>0</v>
      </c>
      <c r="Z62" s="142">
        <f>SUMIFS(領用表!$L:$L,領用表!$E:$E,$B62,領用表!$B:$B,Z$2&amp;$P$1)</f>
        <v>0</v>
      </c>
      <c r="AA62" s="142">
        <f>SUMIFS(領用表!$L:$L,領用表!$E:$E,$B62,領用表!$B:$B,AA$2&amp;$P$1)</f>
        <v>0</v>
      </c>
      <c r="AB62" s="142">
        <f t="shared" si="2"/>
        <v>241010</v>
      </c>
      <c r="AC62" s="142">
        <f t="shared" si="3"/>
        <v>60252.5</v>
      </c>
      <c r="AD62" s="142">
        <f>SUMIF(Summary!B:B,B62,Summary!DV:DV)</f>
        <v>360000</v>
      </c>
      <c r="AE62" s="101">
        <v>200000</v>
      </c>
      <c r="AF62" s="480">
        <v>3455980</v>
      </c>
      <c r="AG62" s="54" t="s">
        <v>112</v>
      </c>
      <c r="AH62" s="54" t="s">
        <v>113</v>
      </c>
      <c r="AI62" s="50" t="s">
        <v>114</v>
      </c>
      <c r="AJ62" s="27"/>
      <c r="AK62" s="14"/>
      <c r="AL62" s="29"/>
    </row>
    <row r="63" spans="1:38" ht="15.75" customHeight="1">
      <c r="A63" s="27" t="s">
        <v>115</v>
      </c>
      <c r="B63" s="14">
        <v>6170033</v>
      </c>
      <c r="C63" s="133" t="s">
        <v>499</v>
      </c>
      <c r="D63" s="23">
        <v>240500</v>
      </c>
      <c r="E63" s="63" t="s">
        <v>78</v>
      </c>
      <c r="F63" s="44"/>
      <c r="G63" s="18">
        <f>(D63*3)+135472</f>
        <v>856972</v>
      </c>
      <c r="H63" s="20">
        <f>SUMIFS(領用表!$L:$L,領用表!$E:$E,$B63,領用表!$B:$B,H$2&amp;$P$1)</f>
        <v>0</v>
      </c>
      <c r="I63" s="20">
        <f>SUMIFS(領用表!$L:$L,領用表!$E:$E,$B63,領用表!$B:$B,I$2&amp;$P$1)</f>
        <v>0</v>
      </c>
      <c r="J63" s="20">
        <f>SUMIFS(領用表!$L:$L,領用表!$E:$E,$B63,領用表!$B:$B,J$2&amp;$P$1)</f>
        <v>0</v>
      </c>
      <c r="K63" s="142">
        <f>SUMIFS(領用表!$L:$L,領用表!$E:$E,$B63,領用表!$B:$B,K$2&amp;$P$1)</f>
        <v>0</v>
      </c>
      <c r="L63" s="142">
        <f>SUMIFS(領用表!$L:$L,領用表!$E:$E,$B63,領用表!$B:$B,L$2&amp;$P$1)</f>
        <v>0</v>
      </c>
      <c r="M63" s="142">
        <f>SUMIFS(領用表!$L:$L,領用表!$E:$E,$B63,領用表!$B:$B,M$2&amp;$P$1)</f>
        <v>0</v>
      </c>
      <c r="N63" s="23">
        <f t="shared" si="0"/>
        <v>0</v>
      </c>
      <c r="O63" s="23">
        <f t="shared" si="1"/>
        <v>0</v>
      </c>
      <c r="P63" s="142">
        <f>SUMIFS(領用表!$L:$L,領用表!$E:$E,$B63,領用表!$B:$B,P$2&amp;$P$1)</f>
        <v>0</v>
      </c>
      <c r="Q63" s="142">
        <f>SUMIFS(領用表!$L:$L,領用表!$E:$E,$B63,領用表!$B:$B,Q$2&amp;$P$1)</f>
        <v>4010</v>
      </c>
      <c r="R63" s="142">
        <f>SUMIFS(領用表!$L:$L,領用表!$E:$E,$B63,領用表!$B:$B,R$2&amp;$P$1)</f>
        <v>6500</v>
      </c>
      <c r="S63" s="142">
        <f>SUMIFS(領用表!$L:$L,領用表!$E:$E,$B63,領用表!$B:$B,S$2&amp;$P$1)</f>
        <v>56400</v>
      </c>
      <c r="T63" s="142">
        <f>SUMIFS(領用表!$L:$L,領用表!$E:$E,$B63,領用表!$B:$B,T$2&amp;$P$1)</f>
        <v>44990</v>
      </c>
      <c r="U63" s="142">
        <f>SUMIFS(領用表!$L:$L,領用表!$E:$E,$B63,領用表!$B:$B,U$2&amp;$P$1)</f>
        <v>0</v>
      </c>
      <c r="V63" s="142">
        <f>SUMIFS(領用表!$L:$L,領用表!$E:$E,$B63,領用表!$B:$B,V$2&amp;$P$1)</f>
        <v>0</v>
      </c>
      <c r="W63" s="142">
        <f>SUMIFS(領用表!$L:$L,領用表!$E:$E,$B63,領用表!$B:$B,W$2&amp;$P$1)</f>
        <v>0</v>
      </c>
      <c r="X63" s="142">
        <f>SUMIFS(領用表!$L:$L,領用表!$E:$E,$B63,領用表!$B:$B,X$2&amp;$P$1)</f>
        <v>0</v>
      </c>
      <c r="Y63" s="142">
        <f>SUMIFS(領用表!$L:$L,領用表!$E:$E,$B63,領用表!$B:$B,Y$2&amp;$P$1)</f>
        <v>0</v>
      </c>
      <c r="Z63" s="142">
        <f>SUMIFS(領用表!$L:$L,領用表!$E:$E,$B63,領用表!$B:$B,Z$2&amp;$P$1)</f>
        <v>0</v>
      </c>
      <c r="AA63" s="142">
        <f>SUMIFS(領用表!$L:$L,領用表!$E:$E,$B63,領用表!$B:$B,AA$2&amp;$P$1)</f>
        <v>0</v>
      </c>
      <c r="AB63" s="142">
        <f t="shared" si="2"/>
        <v>111900</v>
      </c>
      <c r="AC63" s="142">
        <f t="shared" si="3"/>
        <v>27975</v>
      </c>
      <c r="AD63" s="142">
        <f>SUMIF(Summary!B:B,B63,Summary!DV:DV)</f>
        <v>170000</v>
      </c>
      <c r="AE63" s="101">
        <v>110000</v>
      </c>
      <c r="AF63" s="479"/>
      <c r="AG63" s="54" t="s">
        <v>116</v>
      </c>
      <c r="AH63" s="54" t="s">
        <v>113</v>
      </c>
      <c r="AI63" s="50" t="s">
        <v>114</v>
      </c>
      <c r="AJ63" s="27"/>
      <c r="AK63" s="14"/>
      <c r="AL63" s="29"/>
    </row>
    <row r="64" spans="1:38" ht="15.75" customHeight="1">
      <c r="A64" s="27" t="s">
        <v>117</v>
      </c>
      <c r="B64" s="14">
        <v>6220005</v>
      </c>
      <c r="C64" s="118" t="s">
        <v>620</v>
      </c>
      <c r="D64" s="23">
        <v>15</v>
      </c>
      <c r="E64" s="17" t="s">
        <v>15</v>
      </c>
      <c r="F64" s="18"/>
      <c r="G64" s="18">
        <v>205</v>
      </c>
      <c r="H64" s="20">
        <f>SUMIFS(領用表!$L:$L,領用表!$E:$E,$B64,領用表!$B:$B,H$2&amp;$P$1)</f>
        <v>0</v>
      </c>
      <c r="I64" s="20">
        <f>SUMIFS(領用表!$L:$L,領用表!$E:$E,$B64,領用表!$B:$B,I$2&amp;$P$1)</f>
        <v>0</v>
      </c>
      <c r="J64" s="20">
        <f>SUMIFS(領用表!$L:$L,領用表!$E:$E,$B64,領用表!$B:$B,J$2&amp;$P$1)</f>
        <v>0</v>
      </c>
      <c r="K64" s="142">
        <f>SUMIFS(領用表!$L:$L,領用表!$E:$E,$B64,領用表!$B:$B,K$2&amp;$P$1)</f>
        <v>0</v>
      </c>
      <c r="L64" s="142">
        <f>SUMIFS(領用表!$L:$L,領用表!$E:$E,$B64,領用表!$B:$B,L$2&amp;$P$1)</f>
        <v>0</v>
      </c>
      <c r="M64" s="142">
        <f>SUMIFS(領用表!$L:$L,領用表!$E:$E,$B64,領用表!$B:$B,M$2&amp;$P$1)</f>
        <v>0</v>
      </c>
      <c r="N64" s="23">
        <f t="shared" si="0"/>
        <v>0</v>
      </c>
      <c r="O64" s="23">
        <f t="shared" si="1"/>
        <v>0</v>
      </c>
      <c r="P64" s="142">
        <f>SUMIFS(領用表!$L:$L,領用表!$E:$E,$B64,領用表!$B:$B,P$2&amp;$P$1)</f>
        <v>0</v>
      </c>
      <c r="Q64" s="142">
        <f>SUMIFS(領用表!$L:$L,領用表!$E:$E,$B64,領用表!$B:$B,Q$2&amp;$P$1)</f>
        <v>44</v>
      </c>
      <c r="R64" s="142">
        <f>SUMIFS(領用表!$L:$L,領用表!$E:$E,$B64,領用表!$B:$B,R$2&amp;$P$1)</f>
        <v>208</v>
      </c>
      <c r="S64" s="142">
        <f>SUMIFS(領用表!$L:$L,領用表!$E:$E,$B64,領用表!$B:$B,S$2&amp;$P$1)</f>
        <v>317</v>
      </c>
      <c r="T64" s="142">
        <f>SUMIFS(領用表!$L:$L,領用表!$E:$E,$B64,領用表!$B:$B,T$2&amp;$P$1)</f>
        <v>327</v>
      </c>
      <c r="U64" s="142">
        <f>SUMIFS(領用表!$L:$L,領用表!$E:$E,$B64,領用表!$B:$B,U$2&amp;$P$1)</f>
        <v>0</v>
      </c>
      <c r="V64" s="142">
        <f>SUMIFS(領用表!$L:$L,領用表!$E:$E,$B64,領用表!$B:$B,V$2&amp;$P$1)</f>
        <v>0</v>
      </c>
      <c r="W64" s="142">
        <f>SUMIFS(領用表!$L:$L,領用表!$E:$E,$B64,領用表!$B:$B,W$2&amp;$P$1)</f>
        <v>0</v>
      </c>
      <c r="X64" s="142">
        <f>SUMIFS(領用表!$L:$L,領用表!$E:$E,$B64,領用表!$B:$B,X$2&amp;$P$1)</f>
        <v>0</v>
      </c>
      <c r="Y64" s="142">
        <f>SUMIFS(領用表!$L:$L,領用表!$E:$E,$B64,領用表!$B:$B,Y$2&amp;$P$1)</f>
        <v>0</v>
      </c>
      <c r="Z64" s="142">
        <f>SUMIFS(領用表!$L:$L,領用表!$E:$E,$B64,領用表!$B:$B,Z$2&amp;$P$1)</f>
        <v>0</v>
      </c>
      <c r="AA64" s="142">
        <f>SUMIFS(領用表!$L:$L,領用表!$E:$E,$B64,領用表!$B:$B,AA$2&amp;$P$1)</f>
        <v>0</v>
      </c>
      <c r="AB64" s="142">
        <f t="shared" si="2"/>
        <v>896</v>
      </c>
      <c r="AC64" s="142">
        <f t="shared" si="3"/>
        <v>224</v>
      </c>
      <c r="AD64" s="142">
        <f>SUMIF(Summary!B:B,B64,Summary!DV:DV)</f>
        <v>900</v>
      </c>
      <c r="AE64" s="101">
        <v>580</v>
      </c>
      <c r="AF64" s="481"/>
      <c r="AG64" s="54" t="s">
        <v>118</v>
      </c>
      <c r="AH64" s="54" t="s">
        <v>119</v>
      </c>
      <c r="AI64" s="27"/>
      <c r="AJ64" s="27"/>
      <c r="AK64" s="14"/>
      <c r="AL64" s="29"/>
    </row>
    <row r="65" spans="1:38" ht="15.75" customHeight="1">
      <c r="A65" s="27" t="s">
        <v>120</v>
      </c>
      <c r="B65" s="14">
        <v>6220006</v>
      </c>
      <c r="C65" s="118" t="s">
        <v>621</v>
      </c>
      <c r="D65" s="23">
        <v>15</v>
      </c>
      <c r="E65" s="17" t="s">
        <v>15</v>
      </c>
      <c r="F65" s="18"/>
      <c r="G65" s="18">
        <v>205</v>
      </c>
      <c r="H65" s="20">
        <f>SUMIFS(領用表!$L:$L,領用表!$E:$E,$B65,領用表!$B:$B,H$2&amp;$P$1)</f>
        <v>0</v>
      </c>
      <c r="I65" s="20">
        <f>SUMIFS(領用表!$L:$L,領用表!$E:$E,$B65,領用表!$B:$B,I$2&amp;$P$1)</f>
        <v>0</v>
      </c>
      <c r="J65" s="20">
        <f>SUMIFS(領用表!$L:$L,領用表!$E:$E,$B65,領用表!$B:$B,J$2&amp;$P$1)</f>
        <v>0</v>
      </c>
      <c r="K65" s="142">
        <f>SUMIFS(領用表!$L:$L,領用表!$E:$E,$B65,領用表!$B:$B,K$2&amp;$P$1)</f>
        <v>0</v>
      </c>
      <c r="L65" s="142">
        <f>SUMIFS(領用表!$L:$L,領用表!$E:$E,$B65,領用表!$B:$B,L$2&amp;$P$1)</f>
        <v>0</v>
      </c>
      <c r="M65" s="142">
        <f>SUMIFS(領用表!$L:$L,領用表!$E:$E,$B65,領用表!$B:$B,M$2&amp;$P$1)</f>
        <v>0</v>
      </c>
      <c r="N65" s="23">
        <f t="shared" si="0"/>
        <v>0</v>
      </c>
      <c r="O65" s="23">
        <f t="shared" si="1"/>
        <v>0</v>
      </c>
      <c r="P65" s="142">
        <f>SUMIFS(領用表!$L:$L,領用表!$E:$E,$B65,領用表!$B:$B,P$2&amp;$P$1)</f>
        <v>0</v>
      </c>
      <c r="Q65" s="142">
        <f>SUMIFS(領用表!$L:$L,領用表!$E:$E,$B65,領用表!$B:$B,Q$2&amp;$P$1)</f>
        <v>44</v>
      </c>
      <c r="R65" s="142">
        <f>SUMIFS(領用表!$L:$L,領用表!$E:$E,$B65,領用表!$B:$B,R$2&amp;$P$1)</f>
        <v>208</v>
      </c>
      <c r="S65" s="142">
        <f>SUMIFS(領用表!$L:$L,領用表!$E:$E,$B65,領用表!$B:$B,S$2&amp;$P$1)</f>
        <v>317</v>
      </c>
      <c r="T65" s="142">
        <f>SUMIFS(領用表!$L:$L,領用表!$E:$E,$B65,領用表!$B:$B,T$2&amp;$P$1)</f>
        <v>327</v>
      </c>
      <c r="U65" s="142">
        <f>SUMIFS(領用表!$L:$L,領用表!$E:$E,$B65,領用表!$B:$B,U$2&amp;$P$1)</f>
        <v>0</v>
      </c>
      <c r="V65" s="142">
        <f>SUMIFS(領用表!$L:$L,領用表!$E:$E,$B65,領用表!$B:$B,V$2&amp;$P$1)</f>
        <v>0</v>
      </c>
      <c r="W65" s="142">
        <f>SUMIFS(領用表!$L:$L,領用表!$E:$E,$B65,領用表!$B:$B,W$2&amp;$P$1)</f>
        <v>0</v>
      </c>
      <c r="X65" s="142">
        <f>SUMIFS(領用表!$L:$L,領用表!$E:$E,$B65,領用表!$B:$B,X$2&amp;$P$1)</f>
        <v>0</v>
      </c>
      <c r="Y65" s="142">
        <f>SUMIFS(領用表!$L:$L,領用表!$E:$E,$B65,領用表!$B:$B,Y$2&amp;$P$1)</f>
        <v>0</v>
      </c>
      <c r="Z65" s="142">
        <f>SUMIFS(領用表!$L:$L,領用表!$E:$E,$B65,領用表!$B:$B,Z$2&amp;$P$1)</f>
        <v>0</v>
      </c>
      <c r="AA65" s="142">
        <f>SUMIFS(領用表!$L:$L,領用表!$E:$E,$B65,領用表!$B:$B,AA$2&amp;$P$1)</f>
        <v>0</v>
      </c>
      <c r="AB65" s="142">
        <f t="shared" si="2"/>
        <v>896</v>
      </c>
      <c r="AC65" s="142">
        <f t="shared" si="3"/>
        <v>224</v>
      </c>
      <c r="AD65" s="142">
        <f>SUMIF(Summary!B:B,B65,Summary!DV:DV)</f>
        <v>900</v>
      </c>
      <c r="AE65" s="101">
        <v>580</v>
      </c>
      <c r="AF65" s="478"/>
      <c r="AG65" s="54" t="s">
        <v>118</v>
      </c>
      <c r="AH65" s="54" t="s">
        <v>119</v>
      </c>
      <c r="AI65" s="27"/>
      <c r="AJ65" s="27"/>
      <c r="AK65" s="14"/>
      <c r="AL65" s="29"/>
    </row>
    <row r="66" spans="1:38" ht="15.75" customHeight="1">
      <c r="A66" s="27" t="s">
        <v>121</v>
      </c>
      <c r="B66" s="14">
        <v>6220007</v>
      </c>
      <c r="C66" s="118" t="s">
        <v>622</v>
      </c>
      <c r="D66" s="23">
        <v>15</v>
      </c>
      <c r="E66" s="17" t="s">
        <v>15</v>
      </c>
      <c r="F66" s="18"/>
      <c r="G66" s="18">
        <v>205</v>
      </c>
      <c r="H66" s="20">
        <f>SUMIFS(領用表!$L:$L,領用表!$E:$E,$B66,領用表!$B:$B,H$2&amp;$P$1)</f>
        <v>0</v>
      </c>
      <c r="I66" s="20">
        <f>SUMIFS(領用表!$L:$L,領用表!$E:$E,$B66,領用表!$B:$B,I$2&amp;$P$1)</f>
        <v>0</v>
      </c>
      <c r="J66" s="20">
        <f>SUMIFS(領用表!$L:$L,領用表!$E:$E,$B66,領用表!$B:$B,J$2&amp;$P$1)</f>
        <v>0</v>
      </c>
      <c r="K66" s="142">
        <f>SUMIFS(領用表!$L:$L,領用表!$E:$E,$B66,領用表!$B:$B,K$2&amp;$P$1)</f>
        <v>0</v>
      </c>
      <c r="L66" s="142">
        <f>SUMIFS(領用表!$L:$L,領用表!$E:$E,$B66,領用表!$B:$B,L$2&amp;$P$1)</f>
        <v>0</v>
      </c>
      <c r="M66" s="142">
        <f>SUMIFS(領用表!$L:$L,領用表!$E:$E,$B66,領用表!$B:$B,M$2&amp;$P$1)</f>
        <v>0</v>
      </c>
      <c r="N66" s="23">
        <f t="shared" si="0"/>
        <v>0</v>
      </c>
      <c r="O66" s="23">
        <f t="shared" si="1"/>
        <v>0</v>
      </c>
      <c r="P66" s="142">
        <f>SUMIFS(領用表!$L:$L,領用表!$E:$E,$B66,領用表!$B:$B,P$2&amp;$P$1)</f>
        <v>0</v>
      </c>
      <c r="Q66" s="142">
        <f>SUMIFS(領用表!$L:$L,領用表!$E:$E,$B66,領用表!$B:$B,Q$2&amp;$P$1)</f>
        <v>44</v>
      </c>
      <c r="R66" s="142">
        <f>SUMIFS(領用表!$L:$L,領用表!$E:$E,$B66,領用表!$B:$B,R$2&amp;$P$1)</f>
        <v>208</v>
      </c>
      <c r="S66" s="142">
        <f>SUMIFS(領用表!$L:$L,領用表!$E:$E,$B66,領用表!$B:$B,S$2&amp;$P$1)</f>
        <v>317</v>
      </c>
      <c r="T66" s="142">
        <f>SUMIFS(領用表!$L:$L,領用表!$E:$E,$B66,領用表!$B:$B,T$2&amp;$P$1)</f>
        <v>327</v>
      </c>
      <c r="U66" s="142">
        <f>SUMIFS(領用表!$L:$L,領用表!$E:$E,$B66,領用表!$B:$B,U$2&amp;$P$1)</f>
        <v>0</v>
      </c>
      <c r="V66" s="142">
        <f>SUMIFS(領用表!$L:$L,領用表!$E:$E,$B66,領用表!$B:$B,V$2&amp;$P$1)</f>
        <v>0</v>
      </c>
      <c r="W66" s="142">
        <f>SUMIFS(領用表!$L:$L,領用表!$E:$E,$B66,領用表!$B:$B,W$2&amp;$P$1)</f>
        <v>0</v>
      </c>
      <c r="X66" s="142">
        <f>SUMIFS(領用表!$L:$L,領用表!$E:$E,$B66,領用表!$B:$B,X$2&amp;$P$1)</f>
        <v>0</v>
      </c>
      <c r="Y66" s="142">
        <f>SUMIFS(領用表!$L:$L,領用表!$E:$E,$B66,領用表!$B:$B,Y$2&amp;$P$1)</f>
        <v>0</v>
      </c>
      <c r="Z66" s="142">
        <f>SUMIFS(領用表!$L:$L,領用表!$E:$E,$B66,領用表!$B:$B,Z$2&amp;$P$1)</f>
        <v>0</v>
      </c>
      <c r="AA66" s="142">
        <f>SUMIFS(領用表!$L:$L,領用表!$E:$E,$B66,領用表!$B:$B,AA$2&amp;$P$1)</f>
        <v>0</v>
      </c>
      <c r="AB66" s="142">
        <f t="shared" si="2"/>
        <v>896</v>
      </c>
      <c r="AC66" s="142">
        <f t="shared" si="3"/>
        <v>224</v>
      </c>
      <c r="AD66" s="142">
        <f>SUMIF(Summary!B:B,B66,Summary!DV:DV)</f>
        <v>900</v>
      </c>
      <c r="AE66" s="101">
        <v>580</v>
      </c>
      <c r="AF66" s="478"/>
      <c r="AG66" s="54" t="s">
        <v>118</v>
      </c>
      <c r="AH66" s="54" t="s">
        <v>119</v>
      </c>
      <c r="AI66" s="27" t="s">
        <v>122</v>
      </c>
      <c r="AJ66" s="27"/>
      <c r="AK66" s="14"/>
      <c r="AL66" s="29"/>
    </row>
    <row r="67" spans="1:38" ht="15.75" customHeight="1">
      <c r="A67" s="27" t="s">
        <v>123</v>
      </c>
      <c r="B67" s="14">
        <v>6220012</v>
      </c>
      <c r="C67" s="118" t="s">
        <v>623</v>
      </c>
      <c r="D67" s="23">
        <v>236</v>
      </c>
      <c r="E67" s="17" t="s">
        <v>124</v>
      </c>
      <c r="F67" s="18"/>
      <c r="G67" s="18">
        <f>D67*4</f>
        <v>944</v>
      </c>
      <c r="H67" s="20">
        <f>SUMIFS(領用表!$L:$L,領用表!$E:$E,$B67,領用表!$B:$B,H$2&amp;$P$1)</f>
        <v>0</v>
      </c>
      <c r="I67" s="20">
        <f>SUMIFS(領用表!$L:$L,領用表!$E:$E,$B67,領用表!$B:$B,I$2&amp;$P$1)</f>
        <v>0</v>
      </c>
      <c r="J67" s="20">
        <f>SUMIFS(領用表!$L:$L,領用表!$E:$E,$B67,領用表!$B:$B,J$2&amp;$P$1)</f>
        <v>0</v>
      </c>
      <c r="K67" s="142">
        <f>SUMIFS(領用表!$L:$L,領用表!$E:$E,$B67,領用表!$B:$B,K$2&amp;$P$1)</f>
        <v>0</v>
      </c>
      <c r="L67" s="142">
        <f>SUMIFS(領用表!$L:$L,領用表!$E:$E,$B67,領用表!$B:$B,L$2&amp;$P$1)</f>
        <v>0</v>
      </c>
      <c r="M67" s="142">
        <f>SUMIFS(領用表!$L:$L,領用表!$E:$E,$B67,領用表!$B:$B,M$2&amp;$P$1)</f>
        <v>0</v>
      </c>
      <c r="N67" s="23">
        <f t="shared" si="0"/>
        <v>0</v>
      </c>
      <c r="O67" s="23">
        <f t="shared" si="1"/>
        <v>0</v>
      </c>
      <c r="P67" s="142">
        <f>SUMIFS(領用表!$L:$L,領用表!$E:$E,$B67,領用表!$B:$B,P$2&amp;$P$1)</f>
        <v>0</v>
      </c>
      <c r="Q67" s="142">
        <f>SUMIFS(領用表!$L:$L,領用表!$E:$E,$B67,領用表!$B:$B,Q$2&amp;$P$1)</f>
        <v>660</v>
      </c>
      <c r="R67" s="142">
        <f>SUMIFS(領用表!$L:$L,領用表!$E:$E,$B67,領用表!$B:$B,R$2&amp;$P$1)</f>
        <v>3120</v>
      </c>
      <c r="S67" s="142">
        <f>SUMIFS(領用表!$L:$L,領用表!$E:$E,$B67,領用表!$B:$B,S$2&amp;$P$1)</f>
        <v>4755</v>
      </c>
      <c r="T67" s="142">
        <f>SUMIFS(領用表!$L:$L,領用表!$E:$E,$B67,領用表!$B:$B,T$2&amp;$P$1)</f>
        <v>4905</v>
      </c>
      <c r="U67" s="142">
        <f>SUMIFS(領用表!$L:$L,領用表!$E:$E,$B67,領用表!$B:$B,U$2&amp;$P$1)</f>
        <v>0</v>
      </c>
      <c r="V67" s="142">
        <f>SUMIFS(領用表!$L:$L,領用表!$E:$E,$B67,領用表!$B:$B,V$2&amp;$P$1)</f>
        <v>0</v>
      </c>
      <c r="W67" s="142">
        <f>SUMIFS(領用表!$L:$L,領用表!$E:$E,$B67,領用表!$B:$B,W$2&amp;$P$1)</f>
        <v>0</v>
      </c>
      <c r="X67" s="142">
        <f>SUMIFS(領用表!$L:$L,領用表!$E:$E,$B67,領用表!$B:$B,X$2&amp;$P$1)</f>
        <v>0</v>
      </c>
      <c r="Y67" s="142">
        <f>SUMIFS(領用表!$L:$L,領用表!$E:$E,$B67,領用表!$B:$B,Y$2&amp;$P$1)</f>
        <v>0</v>
      </c>
      <c r="Z67" s="142">
        <f>SUMIFS(領用表!$L:$L,領用表!$E:$E,$B67,領用表!$B:$B,Z$2&amp;$P$1)</f>
        <v>0</v>
      </c>
      <c r="AA67" s="142">
        <f>SUMIFS(領用表!$L:$L,領用表!$E:$E,$B67,領用表!$B:$B,AA$2&amp;$P$1)</f>
        <v>0</v>
      </c>
      <c r="AB67" s="142">
        <f t="shared" si="2"/>
        <v>13440</v>
      </c>
      <c r="AC67" s="142">
        <f t="shared" si="3"/>
        <v>3360</v>
      </c>
      <c r="AD67" s="142">
        <f>SUMIF(Summary!B:B,B67,Summary!DV:DV)</f>
        <v>13500</v>
      </c>
      <c r="AE67" s="101">
        <v>7500</v>
      </c>
      <c r="AF67" s="478"/>
      <c r="AG67" s="54" t="s">
        <v>125</v>
      </c>
      <c r="AH67" s="54" t="s">
        <v>126</v>
      </c>
      <c r="AI67" s="27" t="s">
        <v>122</v>
      </c>
      <c r="AJ67" s="28"/>
      <c r="AK67" s="14"/>
      <c r="AL67" s="29"/>
    </row>
    <row r="68" spans="1:38" ht="15.75" customHeight="1">
      <c r="A68" s="27" t="s">
        <v>127</v>
      </c>
      <c r="B68" s="14">
        <v>6220013</v>
      </c>
      <c r="C68" s="118" t="s">
        <v>624</v>
      </c>
      <c r="D68" s="23">
        <v>236</v>
      </c>
      <c r="E68" s="17" t="s">
        <v>124</v>
      </c>
      <c r="F68" s="18"/>
      <c r="G68" s="18">
        <f>D68*13</f>
        <v>3068</v>
      </c>
      <c r="H68" s="20">
        <f>SUMIFS(領用表!$L:$L,領用表!$E:$E,$B68,領用表!$B:$B,H$2&amp;$P$1)</f>
        <v>0</v>
      </c>
      <c r="I68" s="20">
        <f>SUMIFS(領用表!$L:$L,領用表!$E:$E,$B68,領用表!$B:$B,I$2&amp;$P$1)</f>
        <v>0</v>
      </c>
      <c r="J68" s="20">
        <f>SUMIFS(領用表!$L:$L,領用表!$E:$E,$B68,領用表!$B:$B,J$2&amp;$P$1)</f>
        <v>0</v>
      </c>
      <c r="K68" s="142">
        <f>SUMIFS(領用表!$L:$L,領用表!$E:$E,$B68,領用表!$B:$B,K$2&amp;$P$1)</f>
        <v>0</v>
      </c>
      <c r="L68" s="142">
        <f>SUMIFS(領用表!$L:$L,領用表!$E:$E,$B68,領用表!$B:$B,L$2&amp;$P$1)</f>
        <v>0</v>
      </c>
      <c r="M68" s="142">
        <f>SUMIFS(領用表!$L:$L,領用表!$E:$E,$B68,領用表!$B:$B,M$2&amp;$P$1)</f>
        <v>0</v>
      </c>
      <c r="N68" s="23">
        <f t="shared" si="0"/>
        <v>0</v>
      </c>
      <c r="O68" s="23">
        <f t="shared" si="1"/>
        <v>0</v>
      </c>
      <c r="P68" s="142">
        <f>SUMIFS(領用表!$L:$L,領用表!$E:$E,$B68,領用表!$B:$B,P$2&amp;$P$1)</f>
        <v>0</v>
      </c>
      <c r="Q68" s="142">
        <f>SUMIFS(領用表!$L:$L,領用表!$E:$E,$B68,領用表!$B:$B,Q$2&amp;$P$1)</f>
        <v>660</v>
      </c>
      <c r="R68" s="142">
        <f>SUMIFS(領用表!$L:$L,領用表!$E:$E,$B68,領用表!$B:$B,R$2&amp;$P$1)</f>
        <v>3120</v>
      </c>
      <c r="S68" s="142">
        <f>SUMIFS(領用表!$L:$L,領用表!$E:$E,$B68,領用表!$B:$B,S$2&amp;$P$1)</f>
        <v>4755</v>
      </c>
      <c r="T68" s="142">
        <f>SUMIFS(領用表!$L:$L,領用表!$E:$E,$B68,領用表!$B:$B,T$2&amp;$P$1)</f>
        <v>4905</v>
      </c>
      <c r="U68" s="142">
        <f>SUMIFS(領用表!$L:$L,領用表!$E:$E,$B68,領用表!$B:$B,U$2&amp;$P$1)</f>
        <v>0</v>
      </c>
      <c r="V68" s="142">
        <f>SUMIFS(領用表!$L:$L,領用表!$E:$E,$B68,領用表!$B:$B,V$2&amp;$P$1)</f>
        <v>0</v>
      </c>
      <c r="W68" s="142">
        <f>SUMIFS(領用表!$L:$L,領用表!$E:$E,$B68,領用表!$B:$B,W$2&amp;$P$1)</f>
        <v>0</v>
      </c>
      <c r="X68" s="142">
        <f>SUMIFS(領用表!$L:$L,領用表!$E:$E,$B68,領用表!$B:$B,X$2&amp;$P$1)</f>
        <v>0</v>
      </c>
      <c r="Y68" s="142">
        <f>SUMIFS(領用表!$L:$L,領用表!$E:$E,$B68,領用表!$B:$B,Y$2&amp;$P$1)</f>
        <v>0</v>
      </c>
      <c r="Z68" s="142">
        <f>SUMIFS(領用表!$L:$L,領用表!$E:$E,$B68,領用表!$B:$B,Z$2&amp;$P$1)</f>
        <v>0</v>
      </c>
      <c r="AA68" s="142">
        <f>SUMIFS(領用表!$L:$L,領用表!$E:$E,$B68,領用表!$B:$B,AA$2&amp;$P$1)</f>
        <v>0</v>
      </c>
      <c r="AB68" s="142">
        <f t="shared" si="2"/>
        <v>13440</v>
      </c>
      <c r="AC68" s="142">
        <f t="shared" si="3"/>
        <v>3360</v>
      </c>
      <c r="AD68" s="142">
        <f>SUMIF(Summary!B:B,B68,Summary!DV:DV)</f>
        <v>13500</v>
      </c>
      <c r="AE68" s="101">
        <v>10000</v>
      </c>
      <c r="AF68" s="478"/>
      <c r="AG68" s="54" t="s">
        <v>126</v>
      </c>
      <c r="AH68" s="54" t="s">
        <v>126</v>
      </c>
      <c r="AI68" s="27" t="s">
        <v>128</v>
      </c>
      <c r="AJ68" s="28"/>
      <c r="AK68" s="14"/>
      <c r="AL68" s="29"/>
    </row>
    <row r="69" spans="1:38" ht="15.75" customHeight="1">
      <c r="A69" s="27" t="s">
        <v>129</v>
      </c>
      <c r="B69" s="14">
        <v>6220014</v>
      </c>
      <c r="C69" s="118" t="s">
        <v>625</v>
      </c>
      <c r="D69" s="23">
        <v>236</v>
      </c>
      <c r="E69" s="17" t="s">
        <v>124</v>
      </c>
      <c r="F69" s="18"/>
      <c r="G69" s="18">
        <f>D69*9</f>
        <v>2124</v>
      </c>
      <c r="H69" s="20">
        <f>SUMIFS(領用表!$L:$L,領用表!$E:$E,$B69,領用表!$B:$B,H$2&amp;$P$1)</f>
        <v>0</v>
      </c>
      <c r="I69" s="20">
        <f>SUMIFS(領用表!$L:$L,領用表!$E:$E,$B69,領用表!$B:$B,I$2&amp;$P$1)</f>
        <v>0</v>
      </c>
      <c r="J69" s="20">
        <f>SUMIFS(領用表!$L:$L,領用表!$E:$E,$B69,領用表!$B:$B,J$2&amp;$P$1)</f>
        <v>0</v>
      </c>
      <c r="K69" s="142">
        <f>SUMIFS(領用表!$L:$L,領用表!$E:$E,$B69,領用表!$B:$B,K$2&amp;$P$1)</f>
        <v>0</v>
      </c>
      <c r="L69" s="142">
        <f>SUMIFS(領用表!$L:$L,領用表!$E:$E,$B69,領用表!$B:$B,L$2&amp;$P$1)</f>
        <v>0</v>
      </c>
      <c r="M69" s="142">
        <f>SUMIFS(領用表!$L:$L,領用表!$E:$E,$B69,領用表!$B:$B,M$2&amp;$P$1)</f>
        <v>0</v>
      </c>
      <c r="N69" s="23">
        <f t="shared" si="0"/>
        <v>0</v>
      </c>
      <c r="O69" s="23">
        <f t="shared" si="1"/>
        <v>0</v>
      </c>
      <c r="P69" s="142">
        <f>SUMIFS(領用表!$L:$L,領用表!$E:$E,$B69,領用表!$B:$B,P$2&amp;$P$1)</f>
        <v>0</v>
      </c>
      <c r="Q69" s="142">
        <f>SUMIFS(領用表!$L:$L,領用表!$E:$E,$B69,領用表!$B:$B,Q$2&amp;$P$1)</f>
        <v>660</v>
      </c>
      <c r="R69" s="142">
        <f>SUMIFS(領用表!$L:$L,領用表!$E:$E,$B69,領用表!$B:$B,R$2&amp;$P$1)</f>
        <v>3120</v>
      </c>
      <c r="S69" s="142">
        <f>SUMIFS(領用表!$L:$L,領用表!$E:$E,$B69,領用表!$B:$B,S$2&amp;$P$1)</f>
        <v>4755</v>
      </c>
      <c r="T69" s="142">
        <f>SUMIFS(領用表!$L:$L,領用表!$E:$E,$B69,領用表!$B:$B,T$2&amp;$P$1)</f>
        <v>4905</v>
      </c>
      <c r="U69" s="142">
        <f>SUMIFS(領用表!$L:$L,領用表!$E:$E,$B69,領用表!$B:$B,U$2&amp;$P$1)</f>
        <v>0</v>
      </c>
      <c r="V69" s="142">
        <f>SUMIFS(領用表!$L:$L,領用表!$E:$E,$B69,領用表!$B:$B,V$2&amp;$P$1)</f>
        <v>0</v>
      </c>
      <c r="W69" s="142">
        <f>SUMIFS(領用表!$L:$L,領用表!$E:$E,$B69,領用表!$B:$B,W$2&amp;$P$1)</f>
        <v>0</v>
      </c>
      <c r="X69" s="142">
        <f>SUMIFS(領用表!$L:$L,領用表!$E:$E,$B69,領用表!$B:$B,X$2&amp;$P$1)</f>
        <v>0</v>
      </c>
      <c r="Y69" s="142">
        <f>SUMIFS(領用表!$L:$L,領用表!$E:$E,$B69,領用表!$B:$B,Y$2&amp;$P$1)</f>
        <v>0</v>
      </c>
      <c r="Z69" s="142">
        <f>SUMIFS(領用表!$L:$L,領用表!$E:$E,$B69,領用表!$B:$B,Z$2&amp;$P$1)</f>
        <v>0</v>
      </c>
      <c r="AA69" s="142">
        <f>SUMIFS(領用表!$L:$L,領用表!$E:$E,$B69,領用表!$B:$B,AA$2&amp;$P$1)</f>
        <v>0</v>
      </c>
      <c r="AB69" s="142">
        <f t="shared" si="2"/>
        <v>13440</v>
      </c>
      <c r="AC69" s="142">
        <f t="shared" si="3"/>
        <v>3360</v>
      </c>
      <c r="AD69" s="142">
        <f>SUMIF(Summary!B:B,B69,Summary!DV:DV)</f>
        <v>13500</v>
      </c>
      <c r="AE69" s="101">
        <v>5500</v>
      </c>
      <c r="AF69" s="478"/>
      <c r="AG69" s="54" t="s">
        <v>130</v>
      </c>
      <c r="AH69" s="54" t="s">
        <v>126</v>
      </c>
      <c r="AI69" s="27"/>
      <c r="AJ69" s="28"/>
      <c r="AK69" s="14"/>
      <c r="AL69" s="29"/>
    </row>
    <row r="70" spans="1:38" ht="15.75" customHeight="1">
      <c r="A70" s="27" t="s">
        <v>131</v>
      </c>
      <c r="B70" s="14">
        <v>6220015</v>
      </c>
      <c r="C70" s="118" t="s">
        <v>626</v>
      </c>
      <c r="D70" s="23">
        <v>236</v>
      </c>
      <c r="E70" s="17" t="s">
        <v>124</v>
      </c>
      <c r="F70" s="18"/>
      <c r="G70" s="18">
        <f>D70*9</f>
        <v>2124</v>
      </c>
      <c r="H70" s="20">
        <f>SUMIFS(領用表!$L:$L,領用表!$E:$E,$B70,領用表!$B:$B,H$2&amp;$P$1)</f>
        <v>0</v>
      </c>
      <c r="I70" s="20">
        <f>SUMIFS(領用表!$L:$L,領用表!$E:$E,$B70,領用表!$B:$B,I$2&amp;$P$1)</f>
        <v>0</v>
      </c>
      <c r="J70" s="20">
        <f>SUMIFS(領用表!$L:$L,領用表!$E:$E,$B70,領用表!$B:$B,J$2&amp;$P$1)</f>
        <v>0</v>
      </c>
      <c r="K70" s="142">
        <f>SUMIFS(領用表!$L:$L,領用表!$E:$E,$B70,領用表!$B:$B,K$2&amp;$P$1)</f>
        <v>0</v>
      </c>
      <c r="L70" s="142">
        <f>SUMIFS(領用表!$L:$L,領用表!$E:$E,$B70,領用表!$B:$B,L$2&amp;$P$1)</f>
        <v>0</v>
      </c>
      <c r="M70" s="142">
        <f>SUMIFS(領用表!$L:$L,領用表!$E:$E,$B70,領用表!$B:$B,M$2&amp;$P$1)</f>
        <v>0</v>
      </c>
      <c r="N70" s="23">
        <f t="shared" si="0"/>
        <v>0</v>
      </c>
      <c r="O70" s="23">
        <f t="shared" si="1"/>
        <v>0</v>
      </c>
      <c r="P70" s="142">
        <f>SUMIFS(領用表!$L:$L,領用表!$E:$E,$B70,領用表!$B:$B,P$2&amp;$P$1)</f>
        <v>0</v>
      </c>
      <c r="Q70" s="142">
        <f>SUMIFS(領用表!$L:$L,領用表!$E:$E,$B70,領用表!$B:$B,Q$2&amp;$P$1)</f>
        <v>660</v>
      </c>
      <c r="R70" s="142">
        <f>SUMIFS(領用表!$L:$L,領用表!$E:$E,$B70,領用表!$B:$B,R$2&amp;$P$1)</f>
        <v>3120</v>
      </c>
      <c r="S70" s="142">
        <f>SUMIFS(領用表!$L:$L,領用表!$E:$E,$B70,領用表!$B:$B,S$2&amp;$P$1)</f>
        <v>4755</v>
      </c>
      <c r="T70" s="142">
        <f>SUMIFS(領用表!$L:$L,領用表!$E:$E,$B70,領用表!$B:$B,T$2&amp;$P$1)</f>
        <v>4905</v>
      </c>
      <c r="U70" s="142">
        <f>SUMIFS(領用表!$L:$L,領用表!$E:$E,$B70,領用表!$B:$B,U$2&amp;$P$1)</f>
        <v>0</v>
      </c>
      <c r="V70" s="142">
        <f>SUMIFS(領用表!$L:$L,領用表!$E:$E,$B70,領用表!$B:$B,V$2&amp;$P$1)</f>
        <v>0</v>
      </c>
      <c r="W70" s="142">
        <f>SUMIFS(領用表!$L:$L,領用表!$E:$E,$B70,領用表!$B:$B,W$2&amp;$P$1)</f>
        <v>0</v>
      </c>
      <c r="X70" s="142">
        <f>SUMIFS(領用表!$L:$L,領用表!$E:$E,$B70,領用表!$B:$B,X$2&amp;$P$1)</f>
        <v>0</v>
      </c>
      <c r="Y70" s="142">
        <f>SUMIFS(領用表!$L:$L,領用表!$E:$E,$B70,領用表!$B:$B,Y$2&amp;$P$1)</f>
        <v>0</v>
      </c>
      <c r="Z70" s="142">
        <f>SUMIFS(領用表!$L:$L,領用表!$E:$E,$B70,領用表!$B:$B,Z$2&amp;$P$1)</f>
        <v>0</v>
      </c>
      <c r="AA70" s="142">
        <f>SUMIFS(領用表!$L:$L,領用表!$E:$E,$B70,領用表!$B:$B,AA$2&amp;$P$1)</f>
        <v>0</v>
      </c>
      <c r="AB70" s="142">
        <f>SUM($P70:$AA70)</f>
        <v>13440</v>
      </c>
      <c r="AC70" s="142">
        <f t="shared" si="3"/>
        <v>3360</v>
      </c>
      <c r="AD70" s="142">
        <f>SUMIF(Summary!B:B,B70,Summary!DV:DV)</f>
        <v>13500</v>
      </c>
      <c r="AE70" s="100">
        <v>3000</v>
      </c>
      <c r="AF70" s="479"/>
      <c r="AG70" s="54" t="s">
        <v>132</v>
      </c>
      <c r="AH70" s="54" t="s">
        <v>133</v>
      </c>
      <c r="AI70" s="27"/>
      <c r="AJ70" s="28"/>
      <c r="AK70" s="14"/>
      <c r="AL70" s="29"/>
    </row>
    <row r="71" spans="1:38" s="172" customFormat="1" ht="15.75" customHeight="1">
      <c r="A71" s="162"/>
      <c r="B71" s="162"/>
      <c r="C71" s="163"/>
      <c r="D71" s="164"/>
      <c r="E71" s="165"/>
      <c r="F71" s="166"/>
      <c r="G71" s="166"/>
      <c r="H71" s="167"/>
      <c r="I71" s="167"/>
      <c r="J71" s="167"/>
      <c r="K71" s="168">
        <f>SUMIFS(領用表!$L:$L,領用表!$E:$E,$B71,領用表!$B:$B,K$2&amp;$P$1)</f>
        <v>0</v>
      </c>
      <c r="L71" s="168">
        <f>SUMIFS(領用表!$L:$L,領用表!$E:$E,$B71,領用表!$B:$B,L$2&amp;$P$1)</f>
        <v>0</v>
      </c>
      <c r="M71" s="168">
        <f>SUMIFS(領用表!$L:$L,領用表!$E:$E,$B71,領用表!$B:$B,M$2&amp;$P$1)</f>
        <v>0</v>
      </c>
      <c r="N71" s="168">
        <f t="shared" si="0"/>
        <v>0</v>
      </c>
      <c r="O71" s="168">
        <f t="shared" si="1"/>
        <v>0</v>
      </c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9"/>
      <c r="AF71" s="162"/>
      <c r="AG71" s="162"/>
      <c r="AH71" s="162"/>
      <c r="AI71" s="162"/>
      <c r="AJ71" s="162"/>
      <c r="AK71" s="170"/>
      <c r="AL71" s="171"/>
    </row>
    <row r="72" spans="1:38" ht="15.75" customHeight="1">
      <c r="A72" s="27" t="s">
        <v>134</v>
      </c>
      <c r="B72" s="14">
        <v>6170014</v>
      </c>
      <c r="C72" s="118" t="s">
        <v>627</v>
      </c>
      <c r="D72" s="43">
        <v>1</v>
      </c>
      <c r="E72" s="17" t="s">
        <v>15</v>
      </c>
      <c r="F72" s="18"/>
      <c r="G72" s="18">
        <v>9</v>
      </c>
      <c r="H72" s="20">
        <f>SUMIFS(領用表!$L:$L,領用表!$E:$E,$B72,領用表!$B:$B,H$2&amp;$P$1)</f>
        <v>0</v>
      </c>
      <c r="I72" s="20">
        <f>SUMIFS(領用表!$L:$L,領用表!$E:$E,$B72,領用表!$B:$B,I$2&amp;$P$1)</f>
        <v>0</v>
      </c>
      <c r="J72" s="20">
        <f>SUMIFS(領用表!$L:$L,領用表!$E:$E,$B72,領用表!$B:$B,J$2&amp;$P$1)</f>
        <v>0</v>
      </c>
      <c r="K72" s="142">
        <f>SUMIFS(領用表!$L:$L,領用表!$E:$E,$B72,領用表!$B:$B,K$2&amp;$P$1)</f>
        <v>0</v>
      </c>
      <c r="L72" s="142">
        <f>SUMIFS(領用表!$L:$L,領用表!$E:$E,$B72,領用表!$B:$B,L$2&amp;$P$1)</f>
        <v>0</v>
      </c>
      <c r="M72" s="142">
        <f>SUMIFS(領用表!$L:$L,領用表!$E:$E,$B72,領用表!$B:$B,M$2&amp;$P$1)</f>
        <v>0</v>
      </c>
      <c r="N72" s="23">
        <f t="shared" si="0"/>
        <v>0</v>
      </c>
      <c r="O72" s="23">
        <f t="shared" si="1"/>
        <v>0</v>
      </c>
      <c r="P72" s="142">
        <f>SUMIFS(領用表!$L:$L,領用表!$E:$E,$B72,領用表!$B:$B,P$2&amp;$P$1)</f>
        <v>0</v>
      </c>
      <c r="Q72" s="142">
        <f>SUMIFS(領用表!$L:$L,領用表!$E:$E,$B72,領用表!$B:$B,Q$2&amp;$P$1)</f>
        <v>0</v>
      </c>
      <c r="R72" s="142">
        <f>SUMIFS(領用表!$L:$L,領用表!$E:$E,$B72,領用表!$B:$B,R$2&amp;$P$1)</f>
        <v>1</v>
      </c>
      <c r="S72" s="142">
        <f>SUMIFS(領用表!$L:$L,領用表!$E:$E,$B72,領用表!$B:$B,S$2&amp;$P$1)</f>
        <v>11</v>
      </c>
      <c r="T72" s="142">
        <f>SUMIFS(領用表!$L:$L,領用表!$E:$E,$B72,領用表!$B:$B,T$2&amp;$P$1)</f>
        <v>10</v>
      </c>
      <c r="U72" s="142">
        <f>SUMIFS(領用表!$L:$L,領用表!$E:$E,$B72,領用表!$B:$B,U$2&amp;$P$1)</f>
        <v>0</v>
      </c>
      <c r="V72" s="142">
        <f>SUMIFS(領用表!$L:$L,領用表!$E:$E,$B72,領用表!$B:$B,V$2&amp;$P$1)</f>
        <v>0</v>
      </c>
      <c r="W72" s="142">
        <f>SUMIFS(領用表!$L:$L,領用表!$E:$E,$B72,領用表!$B:$B,W$2&amp;$P$1)</f>
        <v>0</v>
      </c>
      <c r="X72" s="142">
        <f>SUMIFS(領用表!$L:$L,領用表!$E:$E,$B72,領用表!$B:$B,X$2&amp;$P$1)</f>
        <v>0</v>
      </c>
      <c r="Y72" s="142">
        <f>SUMIFS(領用表!$L:$L,領用表!$E:$E,$B72,領用表!$B:$B,Y$2&amp;$P$1)</f>
        <v>0</v>
      </c>
      <c r="Z72" s="142">
        <f>SUMIFS(領用表!$L:$L,領用表!$E:$E,$B72,領用表!$B:$B,Z$2&amp;$P$1)</f>
        <v>0</v>
      </c>
      <c r="AA72" s="142">
        <f>SUMIFS(領用表!$L:$L,領用表!$E:$E,$B72,領用表!$B:$B,AA$2&amp;$P$1)</f>
        <v>0</v>
      </c>
      <c r="AB72" s="142">
        <f t="shared" ref="AB72:AB126" si="8">SUM($P72:$AA72)</f>
        <v>22</v>
      </c>
      <c r="AC72" s="142">
        <f t="shared" ref="AC72:AC135" si="9">AVERAGE(Q72,R72,S72,T72)</f>
        <v>5.5</v>
      </c>
      <c r="AD72" s="142">
        <f>SUMIF(Summary!B:B,B72,Summary!DV:DV)</f>
        <v>15</v>
      </c>
      <c r="AE72" s="107">
        <v>5</v>
      </c>
      <c r="AF72" s="24"/>
      <c r="AG72" s="65"/>
      <c r="AH72" s="24" t="s">
        <v>136</v>
      </c>
      <c r="AI72" s="27"/>
      <c r="AJ72" s="28"/>
      <c r="AK72" s="14"/>
      <c r="AL72" s="29"/>
    </row>
    <row r="73" spans="1:38" ht="15.75" customHeight="1">
      <c r="A73" s="27" t="s">
        <v>137</v>
      </c>
      <c r="B73" s="14">
        <v>6170013</v>
      </c>
      <c r="C73" s="118" t="s">
        <v>628</v>
      </c>
      <c r="D73" s="43">
        <v>1</v>
      </c>
      <c r="E73" s="17" t="s">
        <v>15</v>
      </c>
      <c r="F73" s="18"/>
      <c r="G73" s="18">
        <v>12</v>
      </c>
      <c r="H73" s="20">
        <f>SUMIFS(領用表!$L:$L,領用表!$E:$E,$B73,領用表!$B:$B,H$2&amp;$P$1)</f>
        <v>0</v>
      </c>
      <c r="I73" s="20">
        <f>SUMIFS(領用表!$L:$L,領用表!$E:$E,$B73,領用表!$B:$B,I$2&amp;$P$1)</f>
        <v>0</v>
      </c>
      <c r="J73" s="20">
        <f>SUMIFS(領用表!$L:$L,領用表!$E:$E,$B73,領用表!$B:$B,J$2&amp;$P$1)</f>
        <v>0</v>
      </c>
      <c r="K73" s="142">
        <f>SUMIFS(領用表!$L:$L,領用表!$E:$E,$B73,領用表!$B:$B,K$2&amp;$P$1)</f>
        <v>0</v>
      </c>
      <c r="L73" s="142">
        <f>SUMIFS(領用表!$L:$L,領用表!$E:$E,$B73,領用表!$B:$B,L$2&amp;$P$1)</f>
        <v>0</v>
      </c>
      <c r="M73" s="142">
        <f>SUMIFS(領用表!$L:$L,領用表!$E:$E,$B73,領用表!$B:$B,M$2&amp;$P$1)</f>
        <v>0</v>
      </c>
      <c r="N73" s="23">
        <f t="shared" si="0"/>
        <v>0</v>
      </c>
      <c r="O73" s="23">
        <f t="shared" si="1"/>
        <v>0</v>
      </c>
      <c r="P73" s="142">
        <f>SUMIFS(領用表!$L:$L,領用表!$E:$E,$B73,領用表!$B:$B,P$2&amp;$P$1)</f>
        <v>0</v>
      </c>
      <c r="Q73" s="142">
        <f>SUMIFS(領用表!$L:$L,領用表!$E:$E,$B73,領用表!$B:$B,Q$2&amp;$P$1)</f>
        <v>2</v>
      </c>
      <c r="R73" s="142">
        <f>SUMIFS(領用表!$L:$L,領用表!$E:$E,$B73,領用表!$B:$B,R$2&amp;$P$1)</f>
        <v>8</v>
      </c>
      <c r="S73" s="142">
        <f>SUMIFS(領用表!$L:$L,領用表!$E:$E,$B73,領用表!$B:$B,S$2&amp;$P$1)</f>
        <v>4</v>
      </c>
      <c r="T73" s="142">
        <f>SUMIFS(領用表!$L:$L,領用表!$E:$E,$B73,領用表!$B:$B,T$2&amp;$P$1)</f>
        <v>7</v>
      </c>
      <c r="U73" s="142">
        <f>SUMIFS(領用表!$L:$L,領用表!$E:$E,$B73,領用表!$B:$B,U$2&amp;$P$1)</f>
        <v>0</v>
      </c>
      <c r="V73" s="142">
        <f>SUMIFS(領用表!$L:$L,領用表!$E:$E,$B73,領用表!$B:$B,V$2&amp;$P$1)</f>
        <v>0</v>
      </c>
      <c r="W73" s="142">
        <f>SUMIFS(領用表!$L:$L,領用表!$E:$E,$B73,領用表!$B:$B,W$2&amp;$P$1)</f>
        <v>0</v>
      </c>
      <c r="X73" s="142">
        <f>SUMIFS(領用表!$L:$L,領用表!$E:$E,$B73,領用表!$B:$B,X$2&amp;$P$1)</f>
        <v>0</v>
      </c>
      <c r="Y73" s="142">
        <f>SUMIFS(領用表!$L:$L,領用表!$E:$E,$B73,領用表!$B:$B,Y$2&amp;$P$1)</f>
        <v>0</v>
      </c>
      <c r="Z73" s="142">
        <f>SUMIFS(領用表!$L:$L,領用表!$E:$E,$B73,領用表!$B:$B,Z$2&amp;$P$1)</f>
        <v>0</v>
      </c>
      <c r="AA73" s="142">
        <f>SUMIFS(領用表!$L:$L,領用表!$E:$E,$B73,領用表!$B:$B,AA$2&amp;$P$1)</f>
        <v>0</v>
      </c>
      <c r="AB73" s="142">
        <f t="shared" si="8"/>
        <v>21</v>
      </c>
      <c r="AC73" s="142">
        <f t="shared" si="9"/>
        <v>5.25</v>
      </c>
      <c r="AD73" s="142">
        <f>SUMIF(Summary!B:B,B73,Summary!DV:DV)</f>
        <v>30</v>
      </c>
      <c r="AE73" s="107">
        <v>20</v>
      </c>
      <c r="AF73" s="24"/>
      <c r="AG73" s="24"/>
      <c r="AH73" s="24" t="s">
        <v>139</v>
      </c>
      <c r="AI73" s="66"/>
      <c r="AJ73" s="28"/>
      <c r="AK73" s="14"/>
      <c r="AL73" s="29"/>
    </row>
    <row r="74" spans="1:38" ht="15.75" customHeight="1">
      <c r="A74" s="27" t="s">
        <v>140</v>
      </c>
      <c r="B74" s="118">
        <v>6170015</v>
      </c>
      <c r="C74" s="411" t="s">
        <v>865</v>
      </c>
      <c r="D74" s="43">
        <v>1</v>
      </c>
      <c r="E74" s="17" t="s">
        <v>15</v>
      </c>
      <c r="F74" s="18"/>
      <c r="G74" s="18">
        <v>0</v>
      </c>
      <c r="H74" s="20">
        <f>SUMIFS(領用表!$L:$L,領用表!$E:$E,$B74,領用表!$B:$B,H$2&amp;$P$1)</f>
        <v>0</v>
      </c>
      <c r="I74" s="20">
        <f>SUMIFS(領用表!$L:$L,領用表!$E:$E,$B74,領用表!$B:$B,I$2&amp;$P$1)</f>
        <v>0</v>
      </c>
      <c r="J74" s="20">
        <f>SUMIFS(領用表!$L:$L,領用表!$E:$E,$B74,領用表!$B:$B,J$2&amp;$P$1)</f>
        <v>0</v>
      </c>
      <c r="K74" s="142">
        <f>SUMIFS(領用表!$L:$L,領用表!$E:$E,$B74,領用表!$B:$B,K$2&amp;$P$1)</f>
        <v>0</v>
      </c>
      <c r="L74" s="142">
        <f>SUMIFS(領用表!$L:$L,領用表!$E:$E,$B74,領用表!$B:$B,L$2&amp;$P$1)</f>
        <v>0</v>
      </c>
      <c r="M74" s="142">
        <f>SUMIFS(領用表!$L:$L,領用表!$E:$E,$B74,領用表!$B:$B,M$2&amp;$P$1)</f>
        <v>0</v>
      </c>
      <c r="N74" s="23">
        <f t="shared" ref="N74:N142" si="10">SUM(,H74,I74,J74,K74,L74,M74)</f>
        <v>0</v>
      </c>
      <c r="O74" s="23">
        <f t="shared" ref="O74:O142" si="11">AVERAGE(,H74,I74,J74,K74,L74,M74)</f>
        <v>0</v>
      </c>
      <c r="P74" s="142">
        <f>SUMIFS(領用表!$L:$L,領用表!$E:$E,$B74,領用表!$B:$B,P$2&amp;$P$1)</f>
        <v>0</v>
      </c>
      <c r="Q74" s="142">
        <f>SUMIFS(領用表!$L:$L,領用表!$E:$E,$B74,領用表!$B:$B,Q$2&amp;$P$1)</f>
        <v>0</v>
      </c>
      <c r="R74" s="142">
        <f>SUMIFS(領用表!$L:$L,領用表!$E:$E,$B74,領用表!$B:$B,R$2&amp;$P$1)</f>
        <v>0</v>
      </c>
      <c r="S74" s="142">
        <f>SUMIFS(領用表!$L:$L,領用表!$E:$E,$B74,領用表!$B:$B,S$2&amp;$P$1)</f>
        <v>0</v>
      </c>
      <c r="T74" s="142">
        <f>SUMIFS(領用表!$L:$L,領用表!$E:$E,$B74,領用表!$B:$B,T$2&amp;$P$1)</f>
        <v>0</v>
      </c>
      <c r="U74" s="142">
        <f>SUMIFS(領用表!$L:$L,領用表!$E:$E,$B74,領用表!$B:$B,U$2&amp;$P$1)</f>
        <v>0</v>
      </c>
      <c r="V74" s="142">
        <f>SUMIFS(領用表!$L:$L,領用表!$E:$E,$B74,領用表!$B:$B,V$2&amp;$P$1)</f>
        <v>0</v>
      </c>
      <c r="W74" s="142">
        <f>SUMIFS(領用表!$L:$L,領用表!$E:$E,$B74,領用表!$B:$B,W$2&amp;$P$1)</f>
        <v>0</v>
      </c>
      <c r="X74" s="142">
        <f>SUMIFS(領用表!$L:$L,領用表!$E:$E,$B74,領用表!$B:$B,X$2&amp;$P$1)</f>
        <v>0</v>
      </c>
      <c r="Y74" s="142">
        <f>SUMIFS(領用表!$L:$L,領用表!$E:$E,$B74,領用表!$B:$B,Y$2&amp;$P$1)</f>
        <v>0</v>
      </c>
      <c r="Z74" s="142">
        <f>SUMIFS(領用表!$L:$L,領用表!$E:$E,$B74,領用表!$B:$B,Z$2&amp;$P$1)</f>
        <v>0</v>
      </c>
      <c r="AA74" s="142">
        <f>SUMIFS(領用表!$L:$L,領用表!$E:$E,$B74,領用表!$B:$B,AA$2&amp;$P$1)</f>
        <v>0</v>
      </c>
      <c r="AB74" s="142">
        <f t="shared" si="8"/>
        <v>0</v>
      </c>
      <c r="AC74" s="142">
        <f t="shared" si="9"/>
        <v>0</v>
      </c>
      <c r="AD74" s="142">
        <f>SUMIF(Summary!B:B,B74,Summary!DV:DV)</f>
        <v>0</v>
      </c>
      <c r="AE74" s="107">
        <v>0</v>
      </c>
      <c r="AF74" s="24"/>
      <c r="AG74" s="65"/>
      <c r="AH74" s="65"/>
      <c r="AI74" s="58"/>
      <c r="AJ74" s="28"/>
      <c r="AK74" s="14"/>
      <c r="AL74" s="29"/>
    </row>
    <row r="75" spans="1:38" ht="15.75" customHeight="1">
      <c r="A75" s="27" t="s">
        <v>638</v>
      </c>
      <c r="B75" s="14">
        <v>6140001</v>
      </c>
      <c r="C75" s="118" t="s">
        <v>629</v>
      </c>
      <c r="D75" s="67">
        <v>100</v>
      </c>
      <c r="E75" s="17" t="s">
        <v>141</v>
      </c>
      <c r="F75" s="18"/>
      <c r="G75" s="18">
        <f>(D75*53)+12</f>
        <v>5312</v>
      </c>
      <c r="H75" s="20">
        <f>SUMIFS(領用表!$L:$L,領用表!$E:$E,$B75,領用表!$B:$B,H$2&amp;$P$1)</f>
        <v>0</v>
      </c>
      <c r="I75" s="20">
        <f>SUMIFS(領用表!$L:$L,領用表!$E:$E,$B75,領用表!$B:$B,I$2&amp;$P$1)</f>
        <v>0</v>
      </c>
      <c r="J75" s="20">
        <f>SUMIFS(領用表!$L:$L,領用表!$E:$E,$B75,領用表!$B:$B,J$2&amp;$P$1)</f>
        <v>0</v>
      </c>
      <c r="K75" s="142">
        <f>SUMIFS(領用表!$L:$L,領用表!$E:$E,$B75,領用表!$B:$B,K$2&amp;$P$1)</f>
        <v>0</v>
      </c>
      <c r="L75" s="142">
        <f>SUMIFS(領用表!$L:$L,領用表!$E:$E,$B75,領用表!$B:$B,L$2&amp;$P$1)</f>
        <v>0</v>
      </c>
      <c r="M75" s="142">
        <f>SUMIFS(領用表!$L:$L,領用表!$E:$E,$B75,領用表!$B:$B,M$2&amp;$P$1)</f>
        <v>0</v>
      </c>
      <c r="N75" s="23">
        <f t="shared" si="10"/>
        <v>0</v>
      </c>
      <c r="O75" s="23">
        <f t="shared" si="11"/>
        <v>0</v>
      </c>
      <c r="P75" s="142">
        <f>SUMIFS(領用表!$L:$L,領用表!$E:$E,$B75,領用表!$B:$B,P$2&amp;$P$1)</f>
        <v>0</v>
      </c>
      <c r="Q75" s="142">
        <f>SUMIFS(領用表!$L:$L,領用表!$E:$E,$B75,領用表!$B:$B,Q$2&amp;$P$1)</f>
        <v>399</v>
      </c>
      <c r="R75" s="142">
        <f>SUMIFS(領用表!$L:$L,領用表!$E:$E,$B75,領用表!$B:$B,R$2&amp;$P$1)</f>
        <v>1115</v>
      </c>
      <c r="S75" s="142">
        <f>SUMIFS(領用表!$L:$L,領用表!$E:$E,$B75,領用表!$B:$B,S$2&amp;$P$1)</f>
        <v>1363</v>
      </c>
      <c r="T75" s="142">
        <f>SUMIFS(領用表!$L:$L,領用表!$E:$E,$B75,領用表!$B:$B,T$2&amp;$P$1)</f>
        <v>1134</v>
      </c>
      <c r="U75" s="142">
        <f>SUMIFS(領用表!$L:$L,領用表!$E:$E,$B75,領用表!$B:$B,U$2&amp;$P$1)</f>
        <v>0</v>
      </c>
      <c r="V75" s="142">
        <f>SUMIFS(領用表!$L:$L,領用表!$E:$E,$B75,領用表!$B:$B,V$2&amp;$P$1)</f>
        <v>0</v>
      </c>
      <c r="W75" s="142">
        <f>SUMIFS(領用表!$L:$L,領用表!$E:$E,$B75,領用表!$B:$B,W$2&amp;$P$1)</f>
        <v>0</v>
      </c>
      <c r="X75" s="142">
        <f>SUMIFS(領用表!$L:$L,領用表!$E:$E,$B75,領用表!$B:$B,X$2&amp;$P$1)</f>
        <v>0</v>
      </c>
      <c r="Y75" s="142">
        <f>SUMIFS(領用表!$L:$L,領用表!$E:$E,$B75,領用表!$B:$B,Y$2&amp;$P$1)</f>
        <v>0</v>
      </c>
      <c r="Z75" s="142">
        <f>SUMIFS(領用表!$L:$L,領用表!$E:$E,$B75,領用表!$B:$B,Z$2&amp;$P$1)</f>
        <v>0</v>
      </c>
      <c r="AA75" s="142">
        <f>SUMIFS(領用表!$L:$L,領用表!$E:$E,$B75,領用表!$B:$B,AA$2&amp;$P$1)</f>
        <v>0</v>
      </c>
      <c r="AB75" s="142">
        <f t="shared" si="8"/>
        <v>4011</v>
      </c>
      <c r="AC75" s="142">
        <f t="shared" si="9"/>
        <v>1002.75</v>
      </c>
      <c r="AD75" s="142">
        <f>SUMIF(Summary!B:B,B75,Summary!DV:DV)</f>
        <v>5300</v>
      </c>
      <c r="AE75" s="108">
        <v>2200</v>
      </c>
      <c r="AF75" s="65"/>
      <c r="AG75" s="65" t="s">
        <v>142</v>
      </c>
      <c r="AH75" s="65" t="s">
        <v>143</v>
      </c>
      <c r="AI75" s="27"/>
      <c r="AJ75" s="69"/>
      <c r="AK75" s="14"/>
      <c r="AL75" s="29"/>
    </row>
    <row r="76" spans="1:38" ht="15.75" customHeight="1">
      <c r="A76" s="27" t="s">
        <v>639</v>
      </c>
      <c r="B76" s="14">
        <v>6140003</v>
      </c>
      <c r="C76" s="118" t="s">
        <v>630</v>
      </c>
      <c r="D76" s="67">
        <v>200</v>
      </c>
      <c r="E76" s="17" t="s">
        <v>141</v>
      </c>
      <c r="F76" s="18"/>
      <c r="G76" s="18">
        <f>(D76*22)+88</f>
        <v>4488</v>
      </c>
      <c r="H76" s="20">
        <f>SUMIFS(領用表!$L:$L,領用表!$E:$E,$B76,領用表!$B:$B,H$2&amp;$P$1)</f>
        <v>0</v>
      </c>
      <c r="I76" s="20">
        <f>SUMIFS(領用表!$L:$L,領用表!$E:$E,$B76,領用表!$B:$B,I$2&amp;$P$1)</f>
        <v>0</v>
      </c>
      <c r="J76" s="20">
        <f>SUMIFS(領用表!$L:$L,領用表!$E:$E,$B76,領用表!$B:$B,J$2&amp;$P$1)</f>
        <v>0</v>
      </c>
      <c r="K76" s="142">
        <f>SUMIFS(領用表!$L:$L,領用表!$E:$E,$B76,領用表!$B:$B,K$2&amp;$P$1)</f>
        <v>0</v>
      </c>
      <c r="L76" s="142">
        <f>SUMIFS(領用表!$L:$L,領用表!$E:$E,$B76,領用表!$B:$B,L$2&amp;$P$1)</f>
        <v>0</v>
      </c>
      <c r="M76" s="142">
        <f>SUMIFS(領用表!$L:$L,領用表!$E:$E,$B76,領用表!$B:$B,M$2&amp;$P$1)</f>
        <v>0</v>
      </c>
      <c r="N76" s="23">
        <f t="shared" si="10"/>
        <v>0</v>
      </c>
      <c r="O76" s="23">
        <f t="shared" si="11"/>
        <v>0</v>
      </c>
      <c r="P76" s="142">
        <f>SUMIFS(領用表!$L:$L,領用表!$E:$E,$B76,領用表!$B:$B,P$2&amp;$P$1)</f>
        <v>0</v>
      </c>
      <c r="Q76" s="142">
        <f>SUMIFS(領用表!$L:$L,領用表!$E:$E,$B76,領用表!$B:$B,Q$2&amp;$P$1)</f>
        <v>583</v>
      </c>
      <c r="R76" s="142">
        <f>SUMIFS(領用表!$L:$L,領用表!$E:$E,$B76,領用表!$B:$B,R$2&amp;$P$1)</f>
        <v>1479</v>
      </c>
      <c r="S76" s="142">
        <f>SUMIFS(領用表!$L:$L,領用表!$E:$E,$B76,領用表!$B:$B,S$2&amp;$P$1)</f>
        <v>2557</v>
      </c>
      <c r="T76" s="142">
        <f>SUMIFS(領用表!$L:$L,領用表!$E:$E,$B76,領用表!$B:$B,T$2&amp;$P$1)</f>
        <v>4409</v>
      </c>
      <c r="U76" s="142">
        <f>SUMIFS(領用表!$L:$L,領用表!$E:$E,$B76,領用表!$B:$B,U$2&amp;$P$1)</f>
        <v>0</v>
      </c>
      <c r="V76" s="142">
        <f>SUMIFS(領用表!$L:$L,領用表!$E:$E,$B76,領用表!$B:$B,V$2&amp;$P$1)</f>
        <v>0</v>
      </c>
      <c r="W76" s="142">
        <f>SUMIFS(領用表!$L:$L,領用表!$E:$E,$B76,領用表!$B:$B,W$2&amp;$P$1)</f>
        <v>0</v>
      </c>
      <c r="X76" s="142">
        <f>SUMIFS(領用表!$L:$L,領用表!$E:$E,$B76,領用表!$B:$B,X$2&amp;$P$1)</f>
        <v>0</v>
      </c>
      <c r="Y76" s="142">
        <f>SUMIFS(領用表!$L:$L,領用表!$E:$E,$B76,領用表!$B:$B,Y$2&amp;$P$1)</f>
        <v>0</v>
      </c>
      <c r="Z76" s="142">
        <f>SUMIFS(領用表!$L:$L,領用表!$E:$E,$B76,領用表!$B:$B,Z$2&amp;$P$1)</f>
        <v>0</v>
      </c>
      <c r="AA76" s="142">
        <f>SUMIFS(領用表!$L:$L,領用表!$E:$E,$B76,領用表!$B:$B,AA$2&amp;$P$1)</f>
        <v>0</v>
      </c>
      <c r="AB76" s="142">
        <f t="shared" si="8"/>
        <v>9028</v>
      </c>
      <c r="AC76" s="142">
        <f t="shared" si="9"/>
        <v>2257</v>
      </c>
      <c r="AD76" s="142">
        <f>SUMIF(Summary!B:B,B76,Summary!DV:DV)</f>
        <v>10000</v>
      </c>
      <c r="AE76" s="108">
        <v>5000</v>
      </c>
      <c r="AF76" s="65"/>
      <c r="AG76" s="65" t="s">
        <v>144</v>
      </c>
      <c r="AH76" s="65"/>
      <c r="AI76" s="27"/>
      <c r="AJ76" s="69"/>
      <c r="AK76" s="14"/>
      <c r="AL76" s="29"/>
    </row>
    <row r="77" spans="1:38" ht="15.75" customHeight="1">
      <c r="A77" s="27" t="s">
        <v>640</v>
      </c>
      <c r="B77" s="14">
        <v>6140005</v>
      </c>
      <c r="C77" s="118" t="s">
        <v>631</v>
      </c>
      <c r="D77" s="67">
        <v>200</v>
      </c>
      <c r="E77" s="17" t="s">
        <v>141</v>
      </c>
      <c r="F77" s="18"/>
      <c r="G77" s="18">
        <f>(D77*111)+158</f>
        <v>22358</v>
      </c>
      <c r="H77" s="20">
        <f>SUMIFS(領用表!$L:$L,領用表!$E:$E,$B77,領用表!$B:$B,H$2&amp;$P$1)</f>
        <v>0</v>
      </c>
      <c r="I77" s="20">
        <f>SUMIFS(領用表!$L:$L,領用表!$E:$E,$B77,領用表!$B:$B,I$2&amp;$P$1)</f>
        <v>0</v>
      </c>
      <c r="J77" s="20">
        <f>SUMIFS(領用表!$L:$L,領用表!$E:$E,$B77,領用表!$B:$B,J$2&amp;$P$1)</f>
        <v>0</v>
      </c>
      <c r="K77" s="142">
        <f>SUMIFS(領用表!$L:$L,領用表!$E:$E,$B77,領用表!$B:$B,K$2&amp;$P$1)</f>
        <v>0</v>
      </c>
      <c r="L77" s="142">
        <f>SUMIFS(領用表!$L:$L,領用表!$E:$E,$B77,領用表!$B:$B,L$2&amp;$P$1)</f>
        <v>0</v>
      </c>
      <c r="M77" s="142">
        <f>SUMIFS(領用表!$L:$L,領用表!$E:$E,$B77,領用表!$B:$B,M$2&amp;$P$1)</f>
        <v>0</v>
      </c>
      <c r="N77" s="23">
        <f t="shared" si="10"/>
        <v>0</v>
      </c>
      <c r="O77" s="23">
        <f t="shared" si="11"/>
        <v>0</v>
      </c>
      <c r="P77" s="142">
        <f>SUMIFS(領用表!$L:$L,領用表!$E:$E,$B77,領用表!$B:$B,P$2&amp;$P$1)</f>
        <v>0</v>
      </c>
      <c r="Q77" s="142">
        <f>SUMIFS(領用表!$L:$L,領用表!$E:$E,$B77,領用表!$B:$B,Q$2&amp;$P$1)</f>
        <v>10</v>
      </c>
      <c r="R77" s="142">
        <f>SUMIFS(領用表!$L:$L,領用表!$E:$E,$B77,領用表!$B:$B,R$2&amp;$P$1)</f>
        <v>1387</v>
      </c>
      <c r="S77" s="142">
        <f>SUMIFS(領用表!$L:$L,領用表!$E:$E,$B77,領用表!$B:$B,S$2&amp;$P$1)</f>
        <v>2710</v>
      </c>
      <c r="T77" s="142">
        <f>SUMIFS(領用表!$L:$L,領用表!$E:$E,$B77,領用表!$B:$B,T$2&amp;$P$1)</f>
        <v>3665</v>
      </c>
      <c r="U77" s="142">
        <f>SUMIFS(領用表!$L:$L,領用表!$E:$E,$B77,領用表!$B:$B,U$2&amp;$P$1)</f>
        <v>0</v>
      </c>
      <c r="V77" s="142">
        <f>SUMIFS(領用表!$L:$L,領用表!$E:$E,$B77,領用表!$B:$B,V$2&amp;$P$1)</f>
        <v>0</v>
      </c>
      <c r="W77" s="142">
        <f>SUMIFS(領用表!$L:$L,領用表!$E:$E,$B77,領用表!$B:$B,W$2&amp;$P$1)</f>
        <v>0</v>
      </c>
      <c r="X77" s="142">
        <f>SUMIFS(領用表!$L:$L,領用表!$E:$E,$B77,領用表!$B:$B,X$2&amp;$P$1)</f>
        <v>0</v>
      </c>
      <c r="Y77" s="142">
        <f>SUMIFS(領用表!$L:$L,領用表!$E:$E,$B77,領用表!$B:$B,Y$2&amp;$P$1)</f>
        <v>0</v>
      </c>
      <c r="Z77" s="142">
        <f>SUMIFS(領用表!$L:$L,領用表!$E:$E,$B77,領用表!$B:$B,Z$2&amp;$P$1)</f>
        <v>0</v>
      </c>
      <c r="AA77" s="142">
        <f>SUMIFS(領用表!$L:$L,領用表!$E:$E,$B77,領用表!$B:$B,AA$2&amp;$P$1)</f>
        <v>0</v>
      </c>
      <c r="AB77" s="142">
        <f t="shared" si="8"/>
        <v>7772</v>
      </c>
      <c r="AC77" s="142">
        <f t="shared" si="9"/>
        <v>1943</v>
      </c>
      <c r="AD77" s="142">
        <f>SUMIF(Summary!B:B,B77,Summary!DV:DV)</f>
        <v>1400</v>
      </c>
      <c r="AE77" s="108">
        <v>2200</v>
      </c>
      <c r="AF77" s="65"/>
      <c r="AG77" s="65"/>
      <c r="AH77" s="65"/>
      <c r="AI77" s="27"/>
      <c r="AJ77" s="69"/>
      <c r="AK77" s="14"/>
      <c r="AL77" s="29"/>
    </row>
    <row r="78" spans="1:38" ht="15.75" customHeight="1">
      <c r="A78" s="27" t="s">
        <v>152</v>
      </c>
      <c r="B78" s="14">
        <v>6120001</v>
      </c>
      <c r="C78" s="118" t="s">
        <v>633</v>
      </c>
      <c r="D78" s="67">
        <v>20</v>
      </c>
      <c r="E78" s="17" t="s">
        <v>15</v>
      </c>
      <c r="F78" s="18"/>
      <c r="G78" s="18">
        <v>0</v>
      </c>
      <c r="H78" s="20">
        <f>SUMIFS(領用表!$L:$L,領用表!$E:$E,$B78,領用表!$B:$B,H$2&amp;$P$1)</f>
        <v>0</v>
      </c>
      <c r="I78" s="20">
        <f>SUMIFS(領用表!$L:$L,領用表!$E:$E,$B78,領用表!$B:$B,I$2&amp;$P$1)</f>
        <v>0</v>
      </c>
      <c r="J78" s="20">
        <f>SUMIFS(領用表!$L:$L,領用表!$E:$E,$B78,領用表!$B:$B,J$2&amp;$P$1)</f>
        <v>0</v>
      </c>
      <c r="K78" s="142">
        <f>SUMIFS(領用表!$L:$L,領用表!$E:$E,$B78,領用表!$B:$B,K$2&amp;$P$1)</f>
        <v>0</v>
      </c>
      <c r="L78" s="142">
        <f>SUMIFS(領用表!$L:$L,領用表!$E:$E,$B78,領用表!$B:$B,L$2&amp;$P$1)</f>
        <v>0</v>
      </c>
      <c r="M78" s="142">
        <f>SUMIFS(領用表!$L:$L,領用表!$E:$E,$B78,領用表!$B:$B,M$2&amp;$P$1)</f>
        <v>0</v>
      </c>
      <c r="N78" s="23">
        <f t="shared" si="10"/>
        <v>0</v>
      </c>
      <c r="O78" s="23">
        <f t="shared" si="11"/>
        <v>0</v>
      </c>
      <c r="P78" s="142">
        <f>SUMIFS(領用表!$L:$L,領用表!$E:$E,$B78,領用表!$B:$B,P$2&amp;$P$1)</f>
        <v>0</v>
      </c>
      <c r="Q78" s="142">
        <f>SUMIFS(領用表!$L:$L,領用表!$E:$E,$B78,領用表!$B:$B,Q$2&amp;$P$1)</f>
        <v>0</v>
      </c>
      <c r="R78" s="142">
        <f>SUMIFS(領用表!$L:$L,領用表!$E:$E,$B78,領用表!$B:$B,R$2&amp;$P$1)</f>
        <v>0</v>
      </c>
      <c r="S78" s="142">
        <f>SUMIFS(領用表!$L:$L,領用表!$E:$E,$B78,領用表!$B:$B,S$2&amp;$P$1)</f>
        <v>0</v>
      </c>
      <c r="T78" s="142">
        <f>SUMIFS(領用表!$L:$L,領用表!$E:$E,$B78,領用表!$B:$B,T$2&amp;$P$1)</f>
        <v>0</v>
      </c>
      <c r="U78" s="142">
        <f>SUMIFS(領用表!$L:$L,領用表!$E:$E,$B78,領用表!$B:$B,U$2&amp;$P$1)</f>
        <v>0</v>
      </c>
      <c r="V78" s="142">
        <f>SUMIFS(領用表!$L:$L,領用表!$E:$E,$B78,領用表!$B:$B,V$2&amp;$P$1)</f>
        <v>0</v>
      </c>
      <c r="W78" s="142">
        <f>SUMIFS(領用表!$L:$L,領用表!$E:$E,$B78,領用表!$B:$B,W$2&amp;$P$1)</f>
        <v>0</v>
      </c>
      <c r="X78" s="142">
        <f>SUMIFS(領用表!$L:$L,領用表!$E:$E,$B78,領用表!$B:$B,X$2&amp;$P$1)</f>
        <v>0</v>
      </c>
      <c r="Y78" s="142">
        <f>SUMIFS(領用表!$L:$L,領用表!$E:$E,$B78,領用表!$B:$B,Y$2&amp;$P$1)</f>
        <v>0</v>
      </c>
      <c r="Z78" s="142">
        <f>SUMIFS(領用表!$L:$L,領用表!$E:$E,$B78,領用表!$B:$B,Z$2&amp;$P$1)</f>
        <v>0</v>
      </c>
      <c r="AA78" s="142">
        <f>SUMIFS(領用表!$L:$L,領用表!$E:$E,$B78,領用表!$B:$B,AA$2&amp;$P$1)</f>
        <v>0</v>
      </c>
      <c r="AB78" s="142">
        <f t="shared" si="8"/>
        <v>0</v>
      </c>
      <c r="AC78" s="142">
        <f t="shared" si="9"/>
        <v>0</v>
      </c>
      <c r="AD78" s="142">
        <f>SUMIF(Summary!B:B,B78,Summary!DV:DV)</f>
        <v>2</v>
      </c>
      <c r="AE78" s="108">
        <v>180</v>
      </c>
      <c r="AF78" s="65"/>
      <c r="AG78" s="65" t="s">
        <v>153</v>
      </c>
      <c r="AH78" s="65" t="s">
        <v>154</v>
      </c>
      <c r="AI78" s="27"/>
      <c r="AJ78" s="69"/>
      <c r="AK78" s="14"/>
      <c r="AL78" s="29"/>
    </row>
    <row r="79" spans="1:38" ht="15.75" customHeight="1">
      <c r="A79" s="27" t="s">
        <v>155</v>
      </c>
      <c r="B79" s="14">
        <v>6120002</v>
      </c>
      <c r="C79" s="118" t="s">
        <v>634</v>
      </c>
      <c r="D79" s="67">
        <v>20</v>
      </c>
      <c r="E79" s="17" t="s">
        <v>15</v>
      </c>
      <c r="F79" s="18"/>
      <c r="G79" s="18">
        <v>0</v>
      </c>
      <c r="H79" s="20">
        <f>SUMIFS(領用表!$L:$L,領用表!$E:$E,$B79,領用表!$B:$B,H$2&amp;$P$1)</f>
        <v>0</v>
      </c>
      <c r="I79" s="20">
        <f>SUMIFS(領用表!$L:$L,領用表!$E:$E,$B79,領用表!$B:$B,I$2&amp;$P$1)</f>
        <v>0</v>
      </c>
      <c r="J79" s="20">
        <f>SUMIFS(領用表!$L:$L,領用表!$E:$E,$B79,領用表!$B:$B,J$2&amp;$P$1)</f>
        <v>0</v>
      </c>
      <c r="K79" s="142">
        <f>SUMIFS(領用表!$L:$L,領用表!$E:$E,$B79,領用表!$B:$B,K$2&amp;$P$1)</f>
        <v>0</v>
      </c>
      <c r="L79" s="142">
        <f>SUMIFS(領用表!$L:$L,領用表!$E:$E,$B79,領用表!$B:$B,L$2&amp;$P$1)</f>
        <v>0</v>
      </c>
      <c r="M79" s="142">
        <f>SUMIFS(領用表!$L:$L,領用表!$E:$E,$B79,領用表!$B:$B,M$2&amp;$P$1)</f>
        <v>0</v>
      </c>
      <c r="N79" s="23">
        <f t="shared" si="10"/>
        <v>0</v>
      </c>
      <c r="O79" s="23">
        <f t="shared" si="11"/>
        <v>0</v>
      </c>
      <c r="P79" s="142">
        <f>SUMIFS(領用表!$L:$L,領用表!$E:$E,$B79,領用表!$B:$B,P$2&amp;$P$1)</f>
        <v>0</v>
      </c>
      <c r="Q79" s="142">
        <f>SUMIFS(領用表!$L:$L,領用表!$E:$E,$B79,領用表!$B:$B,Q$2&amp;$P$1)</f>
        <v>0</v>
      </c>
      <c r="R79" s="142">
        <f>SUMIFS(領用表!$L:$L,領用表!$E:$E,$B79,領用表!$B:$B,R$2&amp;$P$1)</f>
        <v>0</v>
      </c>
      <c r="S79" s="142">
        <f>SUMIFS(領用表!$L:$L,領用表!$E:$E,$B79,領用表!$B:$B,S$2&amp;$P$1)</f>
        <v>0</v>
      </c>
      <c r="T79" s="142">
        <f>SUMIFS(領用表!$L:$L,領用表!$E:$E,$B79,領用表!$B:$B,T$2&amp;$P$1)</f>
        <v>0</v>
      </c>
      <c r="U79" s="142">
        <f>SUMIFS(領用表!$L:$L,領用表!$E:$E,$B79,領用表!$B:$B,U$2&amp;$P$1)</f>
        <v>0</v>
      </c>
      <c r="V79" s="142">
        <f>SUMIFS(領用表!$L:$L,領用表!$E:$E,$B79,領用表!$B:$B,V$2&amp;$P$1)</f>
        <v>0</v>
      </c>
      <c r="W79" s="142">
        <f>SUMIFS(領用表!$L:$L,領用表!$E:$E,$B79,領用表!$B:$B,W$2&amp;$P$1)</f>
        <v>0</v>
      </c>
      <c r="X79" s="142">
        <f>SUMIFS(領用表!$L:$L,領用表!$E:$E,$B79,領用表!$B:$B,X$2&amp;$P$1)</f>
        <v>0</v>
      </c>
      <c r="Y79" s="142">
        <f>SUMIFS(領用表!$L:$L,領用表!$E:$E,$B79,領用表!$B:$B,Y$2&amp;$P$1)</f>
        <v>0</v>
      </c>
      <c r="Z79" s="142">
        <f>SUMIFS(領用表!$L:$L,領用表!$E:$E,$B79,領用表!$B:$B,Z$2&amp;$P$1)</f>
        <v>0</v>
      </c>
      <c r="AA79" s="142">
        <f>SUMIFS(領用表!$L:$L,領用表!$E:$E,$B79,領用表!$B:$B,AA$2&amp;$P$1)</f>
        <v>0</v>
      </c>
      <c r="AB79" s="142">
        <f t="shared" si="8"/>
        <v>0</v>
      </c>
      <c r="AC79" s="142">
        <f t="shared" si="9"/>
        <v>0</v>
      </c>
      <c r="AD79" s="142">
        <f>SUMIF(Summary!B:B,B79,Summary!DV:DV)</f>
        <v>2</v>
      </c>
      <c r="AE79" s="108">
        <v>230</v>
      </c>
      <c r="AF79" s="65"/>
      <c r="AG79" s="65" t="s">
        <v>153</v>
      </c>
      <c r="AH79" s="65" t="s">
        <v>156</v>
      </c>
      <c r="AI79" s="27"/>
      <c r="AJ79" s="69"/>
      <c r="AK79" s="14"/>
      <c r="AL79" s="29"/>
    </row>
    <row r="80" spans="1:38" ht="15.75" customHeight="1">
      <c r="A80" s="27" t="s">
        <v>648</v>
      </c>
      <c r="B80" s="14">
        <v>6120003</v>
      </c>
      <c r="C80" s="14" t="s">
        <v>645</v>
      </c>
      <c r="D80" s="67">
        <v>10</v>
      </c>
      <c r="E80" s="17" t="s">
        <v>15</v>
      </c>
      <c r="F80" s="18"/>
      <c r="G80" s="18">
        <v>1</v>
      </c>
      <c r="H80" s="20">
        <f>SUMIFS(領用表!$L:$L,領用表!$E:$E,$B80,領用表!$B:$B,H$2&amp;$P$1)</f>
        <v>0</v>
      </c>
      <c r="I80" s="20">
        <f>SUMIFS(領用表!$L:$L,領用表!$E:$E,$B80,領用表!$B:$B,I$2&amp;$P$1)</f>
        <v>0</v>
      </c>
      <c r="J80" s="20">
        <f>SUMIFS(領用表!$L:$L,領用表!$E:$E,$B80,領用表!$B:$B,J$2&amp;$P$1)</f>
        <v>0</v>
      </c>
      <c r="K80" s="142">
        <f>SUMIFS(領用表!$L:$L,領用表!$E:$E,$B80,領用表!$B:$B,K$2&amp;$P$1)</f>
        <v>0</v>
      </c>
      <c r="L80" s="142">
        <f>SUMIFS(領用表!$L:$L,領用表!$E:$E,$B80,領用表!$B:$B,L$2&amp;$P$1)</f>
        <v>0</v>
      </c>
      <c r="M80" s="142">
        <f>SUMIFS(領用表!$L:$L,領用表!$E:$E,$B80,領用表!$B:$B,M$2&amp;$P$1)</f>
        <v>0</v>
      </c>
      <c r="N80" s="23">
        <f t="shared" si="10"/>
        <v>0</v>
      </c>
      <c r="O80" s="23">
        <f t="shared" si="11"/>
        <v>0</v>
      </c>
      <c r="P80" s="142">
        <f>SUMIFS(領用表!$L:$L,領用表!$E:$E,$B80,領用表!$B:$B,P$2&amp;$P$1)</f>
        <v>0</v>
      </c>
      <c r="Q80" s="142">
        <f>SUMIFS(領用表!$L:$L,領用表!$E:$E,$B80,領用表!$B:$B,Q$2&amp;$P$1)</f>
        <v>0</v>
      </c>
      <c r="R80" s="142">
        <f>SUMIFS(領用表!$L:$L,領用表!$E:$E,$B80,領用表!$B:$B,R$2&amp;$P$1)</f>
        <v>0</v>
      </c>
      <c r="S80" s="142">
        <f>SUMIFS(領用表!$L:$L,領用表!$E:$E,$B80,領用表!$B:$B,S$2&amp;$P$1)</f>
        <v>0</v>
      </c>
      <c r="T80" s="142">
        <f>SUMIFS(領用表!$L:$L,領用表!$E:$E,$B80,領用表!$B:$B,T$2&amp;$P$1)</f>
        <v>0</v>
      </c>
      <c r="U80" s="142">
        <f>SUMIFS(領用表!$L:$L,領用表!$E:$E,$B80,領用表!$B:$B,U$2&amp;$P$1)</f>
        <v>0</v>
      </c>
      <c r="V80" s="142">
        <f>SUMIFS(領用表!$L:$L,領用表!$E:$E,$B80,領用表!$B:$B,V$2&amp;$P$1)</f>
        <v>0</v>
      </c>
      <c r="W80" s="142">
        <f>SUMIFS(領用表!$L:$L,領用表!$E:$E,$B80,領用表!$B:$B,W$2&amp;$P$1)</f>
        <v>0</v>
      </c>
      <c r="X80" s="142">
        <f>SUMIFS(領用表!$L:$L,領用表!$E:$E,$B80,領用表!$B:$B,X$2&amp;$P$1)</f>
        <v>0</v>
      </c>
      <c r="Y80" s="142">
        <f>SUMIFS(領用表!$L:$L,領用表!$E:$E,$B80,領用表!$B:$B,Y$2&amp;$P$1)</f>
        <v>0</v>
      </c>
      <c r="Z80" s="142">
        <f>SUMIFS(領用表!$L:$L,領用表!$E:$E,$B80,領用表!$B:$B,Z$2&amp;$P$1)</f>
        <v>0</v>
      </c>
      <c r="AA80" s="142">
        <f>SUMIFS(領用表!$L:$L,領用表!$E:$E,$B80,領用表!$B:$B,AA$2&amp;$P$1)</f>
        <v>0</v>
      </c>
      <c r="AB80" s="142">
        <f t="shared" si="8"/>
        <v>0</v>
      </c>
      <c r="AC80" s="142">
        <f t="shared" si="9"/>
        <v>0</v>
      </c>
      <c r="AD80" s="142">
        <f>SUMIF(Summary!B:B,B80,Summary!DV:DV)</f>
        <v>5</v>
      </c>
      <c r="AE80" s="108">
        <v>0</v>
      </c>
      <c r="AF80" s="65"/>
      <c r="AG80" s="65"/>
      <c r="AH80" s="65"/>
      <c r="AI80" s="27"/>
      <c r="AJ80" s="69"/>
      <c r="AK80" s="14"/>
      <c r="AL80" s="29"/>
    </row>
    <row r="81" spans="1:38" ht="15.75" customHeight="1">
      <c r="A81" s="27" t="s">
        <v>649</v>
      </c>
      <c r="B81" s="14">
        <v>6120036</v>
      </c>
      <c r="C81" s="14" t="s">
        <v>647</v>
      </c>
      <c r="D81" s="67">
        <v>10</v>
      </c>
      <c r="E81" s="17" t="s">
        <v>15</v>
      </c>
      <c r="F81" s="18"/>
      <c r="G81" s="18">
        <v>117</v>
      </c>
      <c r="H81" s="20">
        <f>SUMIFS(領用表!$L:$L,領用表!$E:$E,$B81,領用表!$B:$B,H$2&amp;$P$1)</f>
        <v>0</v>
      </c>
      <c r="I81" s="20">
        <f>SUMIFS(領用表!$L:$L,領用表!$E:$E,$B81,領用表!$B:$B,I$2&amp;$P$1)</f>
        <v>0</v>
      </c>
      <c r="J81" s="20">
        <f>SUMIFS(領用表!$L:$L,領用表!$E:$E,$B81,領用表!$B:$B,J$2&amp;$P$1)</f>
        <v>0</v>
      </c>
      <c r="K81" s="142">
        <f>SUMIFS(領用表!$L:$L,領用表!$E:$E,$B81,領用表!$B:$B,K$2&amp;$P$1)</f>
        <v>0</v>
      </c>
      <c r="L81" s="142">
        <f>SUMIFS(領用表!$L:$L,領用表!$E:$E,$B81,領用表!$B:$B,L$2&amp;$P$1)</f>
        <v>0</v>
      </c>
      <c r="M81" s="142">
        <f>SUMIFS(領用表!$L:$L,領用表!$E:$E,$B81,領用表!$B:$B,M$2&amp;$P$1)</f>
        <v>0</v>
      </c>
      <c r="N81" s="23">
        <f t="shared" si="10"/>
        <v>0</v>
      </c>
      <c r="O81" s="23">
        <f t="shared" si="11"/>
        <v>0</v>
      </c>
      <c r="P81" s="142">
        <f>SUMIFS(領用表!$L:$L,領用表!$E:$E,$B81,領用表!$B:$B,P$2&amp;$P$1)</f>
        <v>0</v>
      </c>
      <c r="Q81" s="142">
        <f>SUMIFS(領用表!$L:$L,領用表!$E:$E,$B81,領用表!$B:$B,Q$2&amp;$P$1)</f>
        <v>4</v>
      </c>
      <c r="R81" s="142">
        <f>SUMIFS(領用表!$L:$L,領用表!$E:$E,$B81,領用表!$B:$B,R$2&amp;$P$1)</f>
        <v>15</v>
      </c>
      <c r="S81" s="142">
        <f>SUMIFS(領用表!$L:$L,領用表!$E:$E,$B81,領用表!$B:$B,S$2&amp;$P$1)</f>
        <v>21</v>
      </c>
      <c r="T81" s="142">
        <f>SUMIFS(領用表!$L:$L,領用表!$E:$E,$B81,領用表!$B:$B,T$2&amp;$P$1)</f>
        <v>12</v>
      </c>
      <c r="U81" s="142">
        <f>SUMIFS(領用表!$L:$L,領用表!$E:$E,$B81,領用表!$B:$B,U$2&amp;$P$1)</f>
        <v>0</v>
      </c>
      <c r="V81" s="142">
        <f>SUMIFS(領用表!$L:$L,領用表!$E:$E,$B81,領用表!$B:$B,V$2&amp;$P$1)</f>
        <v>0</v>
      </c>
      <c r="W81" s="142">
        <f>SUMIFS(領用表!$L:$L,領用表!$E:$E,$B81,領用表!$B:$B,W$2&amp;$P$1)</f>
        <v>0</v>
      </c>
      <c r="X81" s="142">
        <f>SUMIFS(領用表!$L:$L,領用表!$E:$E,$B81,領用表!$B:$B,X$2&amp;$P$1)</f>
        <v>0</v>
      </c>
      <c r="Y81" s="142">
        <f>SUMIFS(領用表!$L:$L,領用表!$E:$E,$B81,領用表!$B:$B,Y$2&amp;$P$1)</f>
        <v>0</v>
      </c>
      <c r="Z81" s="142">
        <f>SUMIFS(領用表!$L:$L,領用表!$E:$E,$B81,領用表!$B:$B,Z$2&amp;$P$1)</f>
        <v>0</v>
      </c>
      <c r="AA81" s="142">
        <f>SUMIFS(領用表!$L:$L,領用表!$E:$E,$B81,領用表!$B:$B,AA$2&amp;$P$1)</f>
        <v>0</v>
      </c>
      <c r="AB81" s="142">
        <f t="shared" si="8"/>
        <v>52</v>
      </c>
      <c r="AC81" s="142">
        <f t="shared" si="9"/>
        <v>13</v>
      </c>
      <c r="AD81" s="142">
        <f>SUMIF(Summary!B:B,B81,Summary!DV:DV)</f>
        <v>0</v>
      </c>
      <c r="AE81" s="108">
        <v>0</v>
      </c>
      <c r="AF81" s="65"/>
      <c r="AG81" s="65"/>
      <c r="AH81" s="65"/>
      <c r="AI81" s="27"/>
      <c r="AJ81" s="69"/>
      <c r="AK81" s="14"/>
      <c r="AL81" s="29"/>
    </row>
    <row r="82" spans="1:38" ht="15.75" customHeight="1">
      <c r="A82" s="27" t="s">
        <v>650</v>
      </c>
      <c r="B82" s="14">
        <v>6200003</v>
      </c>
      <c r="C82" s="14" t="s">
        <v>646</v>
      </c>
      <c r="D82" s="75">
        <v>1</v>
      </c>
      <c r="E82" s="17" t="s">
        <v>15</v>
      </c>
      <c r="F82" s="18"/>
      <c r="G82" s="18">
        <v>22</v>
      </c>
      <c r="H82" s="20">
        <f>SUMIFS(領用表!$L:$L,領用表!$E:$E,$B82,領用表!$B:$B,H$2&amp;$P$1)</f>
        <v>0</v>
      </c>
      <c r="I82" s="20">
        <f>SUMIFS(領用表!$L:$L,領用表!$E:$E,$B82,領用表!$B:$B,I$2&amp;$P$1)</f>
        <v>0</v>
      </c>
      <c r="J82" s="20">
        <f>SUMIFS(領用表!$L:$L,領用表!$E:$E,$B82,領用表!$B:$B,J$2&amp;$P$1)</f>
        <v>0</v>
      </c>
      <c r="K82" s="142">
        <f>SUMIFS(領用表!$L:$L,領用表!$E:$E,$B82,領用表!$B:$B,K$2&amp;$P$1)</f>
        <v>0</v>
      </c>
      <c r="L82" s="142">
        <f>SUMIFS(領用表!$L:$L,領用表!$E:$E,$B82,領用表!$B:$B,L$2&amp;$P$1)</f>
        <v>0</v>
      </c>
      <c r="M82" s="142">
        <f>SUMIFS(領用表!$L:$L,領用表!$E:$E,$B82,領用表!$B:$B,M$2&amp;$P$1)</f>
        <v>0</v>
      </c>
      <c r="N82" s="23">
        <f t="shared" si="10"/>
        <v>0</v>
      </c>
      <c r="O82" s="23">
        <f t="shared" si="11"/>
        <v>0</v>
      </c>
      <c r="P82" s="142">
        <f>SUMIFS(領用表!$L:$L,領用表!$E:$E,$B82,領用表!$B:$B,P$2&amp;$P$1)</f>
        <v>0</v>
      </c>
      <c r="Q82" s="142">
        <f>SUMIFS(領用表!$L:$L,領用表!$E:$E,$B82,領用表!$B:$B,Q$2&amp;$P$1)</f>
        <v>2</v>
      </c>
      <c r="R82" s="142">
        <f>SUMIFS(領用表!$L:$L,領用表!$E:$E,$B82,領用表!$B:$B,R$2&amp;$P$1)</f>
        <v>1</v>
      </c>
      <c r="S82" s="142">
        <f>SUMIFS(領用表!$L:$L,領用表!$E:$E,$B82,領用表!$B:$B,S$2&amp;$P$1)</f>
        <v>1</v>
      </c>
      <c r="T82" s="142">
        <f>SUMIFS(領用表!$L:$L,領用表!$E:$E,$B82,領用表!$B:$B,T$2&amp;$P$1)</f>
        <v>0</v>
      </c>
      <c r="U82" s="142">
        <f>SUMIFS(領用表!$L:$L,領用表!$E:$E,$B82,領用表!$B:$B,U$2&amp;$P$1)</f>
        <v>0</v>
      </c>
      <c r="V82" s="142">
        <f>SUMIFS(領用表!$L:$L,領用表!$E:$E,$B82,領用表!$B:$B,V$2&amp;$P$1)</f>
        <v>0</v>
      </c>
      <c r="W82" s="142">
        <f>SUMIFS(領用表!$L:$L,領用表!$E:$E,$B82,領用表!$B:$B,W$2&amp;$P$1)</f>
        <v>0</v>
      </c>
      <c r="X82" s="142">
        <f>SUMIFS(領用表!$L:$L,領用表!$E:$E,$B82,領用表!$B:$B,X$2&amp;$P$1)</f>
        <v>0</v>
      </c>
      <c r="Y82" s="142">
        <f>SUMIFS(領用表!$L:$L,領用表!$E:$E,$B82,領用表!$B:$B,Y$2&amp;$P$1)</f>
        <v>0</v>
      </c>
      <c r="Z82" s="142">
        <f>SUMIFS(領用表!$L:$L,領用表!$E:$E,$B82,領用表!$B:$B,Z$2&amp;$P$1)</f>
        <v>0</v>
      </c>
      <c r="AA82" s="142">
        <f>SUMIFS(領用表!$L:$L,領用表!$E:$E,$B82,領用表!$B:$B,AA$2&amp;$P$1)</f>
        <v>0</v>
      </c>
      <c r="AB82" s="142">
        <f t="shared" si="8"/>
        <v>4</v>
      </c>
      <c r="AC82" s="142">
        <f t="shared" si="9"/>
        <v>1</v>
      </c>
      <c r="AD82" s="142">
        <f>SUMIF(Summary!B:B,B82,Summary!DV:DV)</f>
        <v>2</v>
      </c>
      <c r="AE82" s="108">
        <v>10</v>
      </c>
      <c r="AF82" s="65"/>
      <c r="AG82" s="65"/>
      <c r="AH82" s="65"/>
      <c r="AI82" s="27"/>
      <c r="AJ82" s="69"/>
      <c r="AK82" s="14"/>
      <c r="AL82" s="29"/>
    </row>
    <row r="83" spans="1:38" ht="15.75" customHeight="1">
      <c r="A83" s="27" t="s">
        <v>651</v>
      </c>
      <c r="B83" s="14">
        <v>6200006</v>
      </c>
      <c r="C83" s="136" t="s">
        <v>508</v>
      </c>
      <c r="D83" s="75">
        <v>1</v>
      </c>
      <c r="E83" s="17" t="s">
        <v>15</v>
      </c>
      <c r="F83" s="18"/>
      <c r="G83" s="18">
        <v>0</v>
      </c>
      <c r="H83" s="20">
        <f>SUMIFS(領用表!$L:$L,領用表!$E:$E,$B83,領用表!$B:$B,H$2&amp;$P$1)</f>
        <v>0</v>
      </c>
      <c r="I83" s="20">
        <f>SUMIFS(領用表!$L:$L,領用表!$E:$E,$B83,領用表!$B:$B,I$2&amp;$P$1)</f>
        <v>0</v>
      </c>
      <c r="J83" s="20">
        <f>SUMIFS(領用表!$L:$L,領用表!$E:$E,$B83,領用表!$B:$B,J$2&amp;$P$1)</f>
        <v>0</v>
      </c>
      <c r="K83" s="142">
        <f>SUMIFS(領用表!$L:$L,領用表!$E:$E,$B83,領用表!$B:$B,K$2&amp;$P$1)</f>
        <v>0</v>
      </c>
      <c r="L83" s="142">
        <f>SUMIFS(領用表!$L:$L,領用表!$E:$E,$B83,領用表!$B:$B,L$2&amp;$P$1)</f>
        <v>0</v>
      </c>
      <c r="M83" s="142">
        <f>SUMIFS(領用表!$L:$L,領用表!$E:$E,$B83,領用表!$B:$B,M$2&amp;$P$1)</f>
        <v>0</v>
      </c>
      <c r="N83" s="23">
        <f t="shared" si="10"/>
        <v>0</v>
      </c>
      <c r="O83" s="23">
        <f t="shared" si="11"/>
        <v>0</v>
      </c>
      <c r="P83" s="142">
        <f>SUMIFS(領用表!$L:$L,領用表!$E:$E,$B83,領用表!$B:$B,P$2&amp;$P$1)</f>
        <v>0</v>
      </c>
      <c r="Q83" s="142">
        <f>SUMIFS(領用表!$L:$L,領用表!$E:$E,$B83,領用表!$B:$B,Q$2&amp;$P$1)</f>
        <v>0</v>
      </c>
      <c r="R83" s="142">
        <f>SUMIFS(領用表!$L:$L,領用表!$E:$E,$B83,領用表!$B:$B,R$2&amp;$P$1)</f>
        <v>0</v>
      </c>
      <c r="S83" s="142">
        <f>SUMIFS(領用表!$L:$L,領用表!$E:$E,$B83,領用表!$B:$B,S$2&amp;$P$1)</f>
        <v>0</v>
      </c>
      <c r="T83" s="142">
        <f>SUMIFS(領用表!$L:$L,領用表!$E:$E,$B83,領用表!$B:$B,T$2&amp;$P$1)</f>
        <v>1</v>
      </c>
      <c r="U83" s="142">
        <f>SUMIFS(領用表!$L:$L,領用表!$E:$E,$B83,領用表!$B:$B,U$2&amp;$P$1)</f>
        <v>0</v>
      </c>
      <c r="V83" s="142">
        <f>SUMIFS(領用表!$L:$L,領用表!$E:$E,$B83,領用表!$B:$B,V$2&amp;$P$1)</f>
        <v>0</v>
      </c>
      <c r="W83" s="142">
        <f>SUMIFS(領用表!$L:$L,領用表!$E:$E,$B83,領用表!$B:$B,W$2&amp;$P$1)</f>
        <v>0</v>
      </c>
      <c r="X83" s="142">
        <f>SUMIFS(領用表!$L:$L,領用表!$E:$E,$B83,領用表!$B:$B,X$2&amp;$P$1)</f>
        <v>0</v>
      </c>
      <c r="Y83" s="142">
        <f>SUMIFS(領用表!$L:$L,領用表!$E:$E,$B83,領用表!$B:$B,Y$2&amp;$P$1)</f>
        <v>0</v>
      </c>
      <c r="Z83" s="142">
        <f>SUMIFS(領用表!$L:$L,領用表!$E:$E,$B83,領用表!$B:$B,Z$2&amp;$P$1)</f>
        <v>0</v>
      </c>
      <c r="AA83" s="142">
        <f>SUMIFS(領用表!$L:$L,領用表!$E:$E,$B83,領用表!$B:$B,AA$2&amp;$P$1)</f>
        <v>0</v>
      </c>
      <c r="AB83" s="142">
        <f t="shared" si="8"/>
        <v>1</v>
      </c>
      <c r="AC83" s="142">
        <f t="shared" si="9"/>
        <v>0.25</v>
      </c>
      <c r="AD83" s="142">
        <f>SUMIF(Summary!B:B,B83,Summary!DV:DV)</f>
        <v>2</v>
      </c>
      <c r="AE83" s="108">
        <v>5</v>
      </c>
      <c r="AF83" s="65"/>
      <c r="AG83" s="65"/>
      <c r="AH83" s="65"/>
      <c r="AI83" s="27"/>
      <c r="AJ83" s="27"/>
      <c r="AK83" s="14"/>
      <c r="AL83" s="29"/>
    </row>
    <row r="84" spans="1:38" ht="15.75" customHeight="1">
      <c r="A84" s="27"/>
      <c r="B84" s="14">
        <v>6120004</v>
      </c>
      <c r="C84" s="135" t="s">
        <v>509</v>
      </c>
      <c r="D84" s="75">
        <v>10</v>
      </c>
      <c r="E84" s="17" t="s">
        <v>157</v>
      </c>
      <c r="F84" s="18"/>
      <c r="G84" s="18">
        <v>196</v>
      </c>
      <c r="H84" s="20">
        <f>SUMIFS(領用表!$L:$L,領用表!$E:$E,$B84,領用表!$B:$B,H$2&amp;$P$1)</f>
        <v>0</v>
      </c>
      <c r="I84" s="20">
        <f>SUMIFS(領用表!$L:$L,領用表!$E:$E,$B84,領用表!$B:$B,I$2&amp;$P$1)</f>
        <v>0</v>
      </c>
      <c r="J84" s="20">
        <f>SUMIFS(領用表!$L:$L,領用表!$E:$E,$B84,領用表!$B:$B,J$2&amp;$P$1)</f>
        <v>0</v>
      </c>
      <c r="K84" s="142">
        <f>SUMIFS(領用表!$L:$L,領用表!$E:$E,$B84,領用表!$B:$B,K$2&amp;$P$1)</f>
        <v>0</v>
      </c>
      <c r="L84" s="142">
        <f>SUMIFS(領用表!$L:$L,領用表!$E:$E,$B84,領用表!$B:$B,L$2&amp;$P$1)</f>
        <v>0</v>
      </c>
      <c r="M84" s="142">
        <f>SUMIFS(領用表!$L:$L,領用表!$E:$E,$B84,領用表!$B:$B,M$2&amp;$P$1)</f>
        <v>0</v>
      </c>
      <c r="N84" s="23">
        <f t="shared" si="10"/>
        <v>0</v>
      </c>
      <c r="O84" s="23">
        <f t="shared" si="11"/>
        <v>0</v>
      </c>
      <c r="P84" s="142">
        <f>SUMIFS(領用表!$L:$L,領用表!$E:$E,$B84,領用表!$B:$B,P$2&amp;$P$1)</f>
        <v>0</v>
      </c>
      <c r="Q84" s="142">
        <f>SUMIFS(領用表!$L:$L,領用表!$E:$E,$B84,領用表!$B:$B,Q$2&amp;$P$1)</f>
        <v>4</v>
      </c>
      <c r="R84" s="142">
        <f>SUMIFS(領用表!$L:$L,領用表!$E:$E,$B84,領用表!$B:$B,R$2&amp;$P$1)</f>
        <v>15</v>
      </c>
      <c r="S84" s="142">
        <f>SUMIFS(領用表!$L:$L,領用表!$E:$E,$B84,領用表!$B:$B,S$2&amp;$P$1)</f>
        <v>22</v>
      </c>
      <c r="T84" s="142">
        <f>SUMIFS(領用表!$L:$L,領用表!$E:$E,$B84,領用表!$B:$B,T$2&amp;$P$1)</f>
        <v>12</v>
      </c>
      <c r="U84" s="142">
        <f>SUMIFS(領用表!$L:$L,領用表!$E:$E,$B84,領用表!$B:$B,U$2&amp;$P$1)</f>
        <v>0</v>
      </c>
      <c r="V84" s="142">
        <f>SUMIFS(領用表!$L:$L,領用表!$E:$E,$B84,領用表!$B:$B,V$2&amp;$P$1)</f>
        <v>0</v>
      </c>
      <c r="W84" s="142">
        <f>SUMIFS(領用表!$L:$L,領用表!$E:$E,$B84,領用表!$B:$B,W$2&amp;$P$1)</f>
        <v>0</v>
      </c>
      <c r="X84" s="142">
        <f>SUMIFS(領用表!$L:$L,領用表!$E:$E,$B84,領用表!$B:$B,X$2&amp;$P$1)</f>
        <v>0</v>
      </c>
      <c r="Y84" s="142">
        <f>SUMIFS(領用表!$L:$L,領用表!$E:$E,$B84,領用表!$B:$B,Y$2&amp;$P$1)</f>
        <v>0</v>
      </c>
      <c r="Z84" s="142">
        <f>SUMIFS(領用表!$L:$L,領用表!$E:$E,$B84,領用表!$B:$B,Z$2&amp;$P$1)</f>
        <v>0</v>
      </c>
      <c r="AA84" s="142">
        <f>SUMIFS(領用表!$L:$L,領用表!$E:$E,$B84,領用表!$B:$B,AA$2&amp;$P$1)</f>
        <v>0</v>
      </c>
      <c r="AB84" s="142">
        <f t="shared" si="8"/>
        <v>53</v>
      </c>
      <c r="AC84" s="142">
        <f t="shared" si="9"/>
        <v>13.25</v>
      </c>
      <c r="AD84" s="142">
        <f>SUMIF(Summary!B:B,B84,Summary!DV:DV)</f>
        <v>0</v>
      </c>
      <c r="AE84" s="108">
        <v>10</v>
      </c>
      <c r="AF84" s="65"/>
      <c r="AG84" s="65"/>
      <c r="AH84" s="65"/>
      <c r="AI84" s="27"/>
      <c r="AJ84" s="27"/>
      <c r="AK84" s="14"/>
      <c r="AL84" s="29"/>
    </row>
    <row r="85" spans="1:38" ht="15.75" customHeight="1">
      <c r="A85" s="27"/>
      <c r="B85" s="14">
        <v>6120006</v>
      </c>
      <c r="C85" s="136" t="s">
        <v>514</v>
      </c>
      <c r="D85" s="72">
        <v>100</v>
      </c>
      <c r="E85" s="17" t="s">
        <v>15</v>
      </c>
      <c r="F85" s="18"/>
      <c r="G85" s="18">
        <v>751</v>
      </c>
      <c r="H85" s="20">
        <f>SUMIFS(領用表!$L:$L,領用表!$E:$E,$B85,領用表!$B:$B,H$2&amp;$P$1)</f>
        <v>0</v>
      </c>
      <c r="I85" s="20">
        <f>SUMIFS(領用表!$L:$L,領用表!$E:$E,$B85,領用表!$B:$B,I$2&amp;$P$1)</f>
        <v>0</v>
      </c>
      <c r="J85" s="20">
        <f>SUMIFS(領用表!$L:$L,領用表!$E:$E,$B85,領用表!$B:$B,J$2&amp;$P$1)</f>
        <v>0</v>
      </c>
      <c r="K85" s="142">
        <f>SUMIFS(領用表!$L:$L,領用表!$E:$E,$B85,領用表!$B:$B,K$2&amp;$P$1)</f>
        <v>0</v>
      </c>
      <c r="L85" s="142">
        <f>SUMIFS(領用表!$L:$L,領用表!$E:$E,$B85,領用表!$B:$B,L$2&amp;$P$1)</f>
        <v>0</v>
      </c>
      <c r="M85" s="142">
        <f>SUMIFS(領用表!$L:$L,領用表!$E:$E,$B85,領用表!$B:$B,M$2&amp;$P$1)</f>
        <v>0</v>
      </c>
      <c r="N85" s="23">
        <f>SUM(,H85,I85,J85,K85,L85,M85)</f>
        <v>0</v>
      </c>
      <c r="O85" s="23">
        <f>AVERAGE(,H85,I85,J85,K85,L85,M85)</f>
        <v>0</v>
      </c>
      <c r="P85" s="142">
        <f>SUMIFS(領用表!$L:$L,領用表!$E:$E,$B85,領用表!$B:$B,P$2&amp;$P$1)</f>
        <v>0</v>
      </c>
      <c r="Q85" s="142">
        <f>SUMIFS(領用表!$L:$L,領用表!$E:$E,$B85,領用表!$B:$B,Q$2&amp;$P$1)</f>
        <v>4</v>
      </c>
      <c r="R85" s="142">
        <f>SUMIFS(領用表!$L:$L,領用表!$E:$E,$B85,領用表!$B:$B,R$2&amp;$P$1)</f>
        <v>16</v>
      </c>
      <c r="S85" s="142">
        <f>SUMIFS(領用表!$L:$L,領用表!$E:$E,$B85,領用表!$B:$B,S$2&amp;$P$1)</f>
        <v>22</v>
      </c>
      <c r="T85" s="142">
        <f>SUMIFS(領用表!$L:$L,領用表!$E:$E,$B85,領用表!$B:$B,T$2&amp;$P$1)</f>
        <v>16</v>
      </c>
      <c r="U85" s="142">
        <f>SUMIFS(領用表!$L:$L,領用表!$E:$E,$B85,領用表!$B:$B,U$2&amp;$P$1)</f>
        <v>0</v>
      </c>
      <c r="V85" s="142">
        <f>SUMIFS(領用表!$L:$L,領用表!$E:$E,$B85,領用表!$B:$B,V$2&amp;$P$1)</f>
        <v>0</v>
      </c>
      <c r="W85" s="142">
        <f>SUMIFS(領用表!$L:$L,領用表!$E:$E,$B85,領用表!$B:$B,W$2&amp;$P$1)</f>
        <v>0</v>
      </c>
      <c r="X85" s="142">
        <f>SUMIFS(領用表!$L:$L,領用表!$E:$E,$B85,領用表!$B:$B,X$2&amp;$P$1)</f>
        <v>0</v>
      </c>
      <c r="Y85" s="142">
        <f>SUMIFS(領用表!$L:$L,領用表!$E:$E,$B85,領用表!$B:$B,Y$2&amp;$P$1)</f>
        <v>0</v>
      </c>
      <c r="Z85" s="142">
        <f>SUMIFS(領用表!$L:$L,領用表!$E:$E,$B85,領用表!$B:$B,Z$2&amp;$P$1)</f>
        <v>0</v>
      </c>
      <c r="AA85" s="142">
        <f>SUMIFS(領用表!$L:$L,領用表!$E:$E,$B85,領用表!$B:$B,AA$2&amp;$P$1)</f>
        <v>0</v>
      </c>
      <c r="AB85" s="142">
        <f t="shared" si="8"/>
        <v>58</v>
      </c>
      <c r="AC85" s="142">
        <f t="shared" si="9"/>
        <v>14.5</v>
      </c>
      <c r="AD85" s="142">
        <f>SUMIF(Summary!B:B,B85,Summary!DV:DV)</f>
        <v>0</v>
      </c>
      <c r="AE85" s="108">
        <v>100</v>
      </c>
      <c r="AF85" s="65"/>
      <c r="AG85" s="65" t="s">
        <v>161</v>
      </c>
      <c r="AH85" s="65" t="s">
        <v>162</v>
      </c>
      <c r="AI85" s="27"/>
      <c r="AJ85" s="69"/>
      <c r="AK85" s="14"/>
      <c r="AL85" s="14"/>
    </row>
    <row r="86" spans="1:38" ht="15.75" customHeight="1">
      <c r="A86" s="27"/>
      <c r="B86" s="27">
        <v>6120013</v>
      </c>
      <c r="C86" s="135" t="s">
        <v>511</v>
      </c>
      <c r="D86" s="75"/>
      <c r="E86" s="17" t="s">
        <v>157</v>
      </c>
      <c r="F86" s="18"/>
      <c r="G86" s="18">
        <v>163</v>
      </c>
      <c r="H86" s="20">
        <f>SUMIFS(領用表!$L:$L,領用表!$E:$E,$B86,領用表!$B:$B,H$2&amp;$P$1)</f>
        <v>0</v>
      </c>
      <c r="I86" s="20">
        <f>SUMIFS(領用表!$L:$L,領用表!$E:$E,$B86,領用表!$B:$B,I$2&amp;$P$1)</f>
        <v>0</v>
      </c>
      <c r="J86" s="20">
        <f>SUMIFS(領用表!$L:$L,領用表!$E:$E,$B86,領用表!$B:$B,J$2&amp;$P$1)</f>
        <v>0</v>
      </c>
      <c r="K86" s="142">
        <f>SUMIFS(領用表!$L:$L,領用表!$E:$E,$B86,領用表!$B:$B,K$2&amp;$P$1)</f>
        <v>0</v>
      </c>
      <c r="L86" s="142">
        <f>SUMIFS(領用表!$L:$L,領用表!$E:$E,$B86,領用表!$B:$B,L$2&amp;$P$1)</f>
        <v>0</v>
      </c>
      <c r="M86" s="142">
        <f>SUMIFS(領用表!$L:$L,領用表!$E:$E,$B86,領用表!$B:$B,M$2&amp;$P$1)</f>
        <v>0</v>
      </c>
      <c r="N86" s="23">
        <f>SUM(,H86,I86,J86,K86,L86,M86)</f>
        <v>0</v>
      </c>
      <c r="O86" s="23">
        <f>AVERAGE(,H86,I86,J86,K86,L86,M86)</f>
        <v>0</v>
      </c>
      <c r="P86" s="142">
        <f>SUMIFS(領用表!$L:$L,領用表!$E:$E,$B86,領用表!$B:$B,P$2&amp;$P$1)</f>
        <v>0</v>
      </c>
      <c r="Q86" s="142">
        <f>SUMIFS(領用表!$L:$L,領用表!$E:$E,$B86,領用表!$B:$B,Q$2&amp;$P$1)</f>
        <v>0</v>
      </c>
      <c r="R86" s="142">
        <f>SUMIFS(領用表!$L:$L,領用表!$E:$E,$B86,領用表!$B:$B,R$2&amp;$P$1)</f>
        <v>35</v>
      </c>
      <c r="S86" s="142">
        <f>SUMIFS(領用表!$L:$L,領用表!$E:$E,$B86,領用表!$B:$B,S$2&amp;$P$1)</f>
        <v>39</v>
      </c>
      <c r="T86" s="142">
        <f>SUMIFS(領用表!$L:$L,領用表!$E:$E,$B86,領用表!$B:$B,T$2&amp;$P$1)</f>
        <v>47</v>
      </c>
      <c r="U86" s="142">
        <f>SUMIFS(領用表!$L:$L,領用表!$E:$E,$B86,領用表!$B:$B,U$2&amp;$P$1)</f>
        <v>0</v>
      </c>
      <c r="V86" s="142">
        <f>SUMIFS(領用表!$L:$L,領用表!$E:$E,$B86,領用表!$B:$B,V$2&amp;$P$1)</f>
        <v>0</v>
      </c>
      <c r="W86" s="142">
        <f>SUMIFS(領用表!$L:$L,領用表!$E:$E,$B86,領用表!$B:$B,W$2&amp;$P$1)</f>
        <v>0</v>
      </c>
      <c r="X86" s="142">
        <f>SUMIFS(領用表!$L:$L,領用表!$E:$E,$B86,領用表!$B:$B,X$2&amp;$P$1)</f>
        <v>0</v>
      </c>
      <c r="Y86" s="142">
        <f>SUMIFS(領用表!$L:$L,領用表!$E:$E,$B86,領用表!$B:$B,Y$2&amp;$P$1)</f>
        <v>0</v>
      </c>
      <c r="Z86" s="142">
        <f>SUMIFS(領用表!$L:$L,領用表!$E:$E,$B86,領用表!$B:$B,Z$2&amp;$P$1)</f>
        <v>0</v>
      </c>
      <c r="AA86" s="142">
        <f>SUMIFS(領用表!$L:$L,領用表!$E:$E,$B86,領用表!$B:$B,AA$2&amp;$P$1)</f>
        <v>0</v>
      </c>
      <c r="AB86" s="142">
        <f t="shared" si="8"/>
        <v>121</v>
      </c>
      <c r="AC86" s="142">
        <f t="shared" si="9"/>
        <v>30.25</v>
      </c>
      <c r="AD86" s="142">
        <f>SUMIF(Summary!B:B,B86,Summary!DV:DV)</f>
        <v>0</v>
      </c>
      <c r="AE86" s="108">
        <v>150</v>
      </c>
      <c r="AF86" s="65"/>
      <c r="AG86" s="76"/>
      <c r="AH86" s="65"/>
      <c r="AI86" s="27"/>
      <c r="AJ86" s="27"/>
      <c r="AK86" s="14"/>
      <c r="AL86" s="29"/>
    </row>
    <row r="87" spans="1:38" ht="15.75" customHeight="1">
      <c r="A87" s="27"/>
      <c r="B87" s="14">
        <v>6120014</v>
      </c>
      <c r="C87" s="135" t="s">
        <v>510</v>
      </c>
      <c r="D87" s="75"/>
      <c r="E87" s="17" t="s">
        <v>157</v>
      </c>
      <c r="F87" s="18"/>
      <c r="G87" s="18"/>
      <c r="H87" s="20">
        <f>SUMIFS(領用表!$L:$L,領用表!$E:$E,$B87,領用表!$B:$B,H$2&amp;$P$1)</f>
        <v>0</v>
      </c>
      <c r="I87" s="20">
        <f>SUMIFS(領用表!$L:$L,領用表!$E:$E,$B87,領用表!$B:$B,I$2&amp;$P$1)</f>
        <v>0</v>
      </c>
      <c r="J87" s="20">
        <f>SUMIFS(領用表!$L:$L,領用表!$E:$E,$B87,領用表!$B:$B,J$2&amp;$P$1)</f>
        <v>0</v>
      </c>
      <c r="K87" s="142">
        <f>SUMIFS(領用表!$L:$L,領用表!$E:$E,$B87,領用表!$B:$B,K$2&amp;$P$1)</f>
        <v>0</v>
      </c>
      <c r="L87" s="142">
        <f>SUMIFS(領用表!$L:$L,領用表!$E:$E,$B87,領用表!$B:$B,L$2&amp;$P$1)</f>
        <v>0</v>
      </c>
      <c r="M87" s="142">
        <f>SUMIFS(領用表!$L:$L,領用表!$E:$E,$B87,領用表!$B:$B,M$2&amp;$P$1)</f>
        <v>0</v>
      </c>
      <c r="N87" s="23">
        <f t="shared" si="10"/>
        <v>0</v>
      </c>
      <c r="O87" s="23">
        <f t="shared" si="11"/>
        <v>0</v>
      </c>
      <c r="P87" s="142">
        <f>SUMIFS(領用表!$L:$L,領用表!$E:$E,$B87,領用表!$B:$B,P$2&amp;$P$1)</f>
        <v>0</v>
      </c>
      <c r="Q87" s="142">
        <f>SUMIFS(領用表!$L:$L,領用表!$E:$E,$B87,領用表!$B:$B,Q$2&amp;$P$1)</f>
        <v>0</v>
      </c>
      <c r="R87" s="142">
        <f>SUMIFS(領用表!$L:$L,領用表!$E:$E,$B87,領用表!$B:$B,R$2&amp;$P$1)</f>
        <v>0</v>
      </c>
      <c r="S87" s="142">
        <f>SUMIFS(領用表!$L:$L,領用表!$E:$E,$B87,領用表!$B:$B,S$2&amp;$P$1)</f>
        <v>0</v>
      </c>
      <c r="T87" s="142">
        <f>SUMIFS(領用表!$L:$L,領用表!$E:$E,$B87,領用表!$B:$B,T$2&amp;$P$1)</f>
        <v>0</v>
      </c>
      <c r="U87" s="142">
        <f>SUMIFS(領用表!$L:$L,領用表!$E:$E,$B87,領用表!$B:$B,U$2&amp;$P$1)</f>
        <v>0</v>
      </c>
      <c r="V87" s="142">
        <f>SUMIFS(領用表!$L:$L,領用表!$E:$E,$B87,領用表!$B:$B,V$2&amp;$P$1)</f>
        <v>0</v>
      </c>
      <c r="W87" s="142">
        <f>SUMIFS(領用表!$L:$L,領用表!$E:$E,$B87,領用表!$B:$B,W$2&amp;$P$1)</f>
        <v>0</v>
      </c>
      <c r="X87" s="142">
        <f>SUMIFS(領用表!$L:$L,領用表!$E:$E,$B87,領用表!$B:$B,X$2&amp;$P$1)</f>
        <v>0</v>
      </c>
      <c r="Y87" s="142">
        <f>SUMIFS(領用表!$L:$L,領用表!$E:$E,$B87,領用表!$B:$B,Y$2&amp;$P$1)</f>
        <v>0</v>
      </c>
      <c r="Z87" s="142">
        <f>SUMIFS(領用表!$L:$L,領用表!$E:$E,$B87,領用表!$B:$B,Z$2&amp;$P$1)</f>
        <v>0</v>
      </c>
      <c r="AA87" s="142">
        <f>SUMIFS(領用表!$L:$L,領用表!$E:$E,$B87,領用表!$B:$B,AA$2&amp;$P$1)</f>
        <v>0</v>
      </c>
      <c r="AB87" s="142">
        <f t="shared" si="8"/>
        <v>0</v>
      </c>
      <c r="AC87" s="142">
        <f t="shared" si="9"/>
        <v>0</v>
      </c>
      <c r="AD87" s="142">
        <f>SUMIF(Summary!B:B,B87,Summary!DV:DV)</f>
        <v>0</v>
      </c>
      <c r="AE87" s="108">
        <v>35</v>
      </c>
      <c r="AF87" s="65"/>
      <c r="AG87" s="65"/>
      <c r="AH87" s="65"/>
      <c r="AI87" s="27"/>
      <c r="AJ87" s="27"/>
      <c r="AK87" s="14"/>
      <c r="AL87" s="29"/>
    </row>
    <row r="88" spans="1:38" ht="15.75" customHeight="1">
      <c r="A88" s="27"/>
      <c r="B88" s="14">
        <v>6120015</v>
      </c>
      <c r="C88" s="136" t="s">
        <v>517</v>
      </c>
      <c r="D88" s="72"/>
      <c r="E88" s="17" t="s">
        <v>15</v>
      </c>
      <c r="F88" s="18"/>
      <c r="G88" s="18">
        <v>60</v>
      </c>
      <c r="H88" s="20">
        <f>SUMIFS(領用表!$L:$L,領用表!$E:$E,$B88,領用表!$B:$B,H$2&amp;$P$1)</f>
        <v>0</v>
      </c>
      <c r="I88" s="20">
        <f>SUMIFS(領用表!$L:$L,領用表!$E:$E,$B88,領用表!$B:$B,I$2&amp;$P$1)</f>
        <v>0</v>
      </c>
      <c r="J88" s="20">
        <f>SUMIFS(領用表!$L:$L,領用表!$E:$E,$B88,領用表!$B:$B,J$2&amp;$P$1)</f>
        <v>0</v>
      </c>
      <c r="K88" s="142">
        <f>SUMIFS(領用表!$L:$L,領用表!$E:$E,$B88,領用表!$B:$B,K$2&amp;$P$1)</f>
        <v>0</v>
      </c>
      <c r="L88" s="142">
        <f>SUMIFS(領用表!$L:$L,領用表!$E:$E,$B88,領用表!$B:$B,L$2&amp;$P$1)</f>
        <v>0</v>
      </c>
      <c r="M88" s="142">
        <f>SUMIFS(領用表!$L:$L,領用表!$E:$E,$B88,領用表!$B:$B,M$2&amp;$P$1)</f>
        <v>0</v>
      </c>
      <c r="N88" s="23">
        <f>SUM(,H88,I88,J88,K88,L88,M88)</f>
        <v>0</v>
      </c>
      <c r="O88" s="23">
        <f>AVERAGE(,H88,I88,J88,K88,L88,M88)</f>
        <v>0</v>
      </c>
      <c r="P88" s="142">
        <f>SUMIFS(領用表!$L:$L,領用表!$E:$E,$B88,領用表!$B:$B,P$2&amp;$P$1)</f>
        <v>0</v>
      </c>
      <c r="Q88" s="142">
        <f>SUMIFS(領用表!$L:$L,領用表!$E:$E,$B88,領用表!$B:$B,Q$2&amp;$P$1)</f>
        <v>4</v>
      </c>
      <c r="R88" s="142">
        <f>SUMIFS(領用表!$L:$L,領用表!$E:$E,$B88,領用表!$B:$B,R$2&amp;$P$1)</f>
        <v>50</v>
      </c>
      <c r="S88" s="142">
        <f>SUMIFS(領用表!$L:$L,領用表!$E:$E,$B88,領用表!$B:$B,S$2&amp;$P$1)</f>
        <v>56</v>
      </c>
      <c r="T88" s="142">
        <f>SUMIFS(領用表!$L:$L,領用表!$E:$E,$B88,領用表!$B:$B,T$2&amp;$P$1)</f>
        <v>59</v>
      </c>
      <c r="U88" s="142">
        <f>SUMIFS(領用表!$L:$L,領用表!$E:$E,$B88,領用表!$B:$B,U$2&amp;$P$1)</f>
        <v>0</v>
      </c>
      <c r="V88" s="142">
        <f>SUMIFS(領用表!$L:$L,領用表!$E:$E,$B88,領用表!$B:$B,V$2&amp;$P$1)</f>
        <v>0</v>
      </c>
      <c r="W88" s="142">
        <f>SUMIFS(領用表!$L:$L,領用表!$E:$E,$B88,領用表!$B:$B,W$2&amp;$P$1)</f>
        <v>0</v>
      </c>
      <c r="X88" s="142">
        <f>SUMIFS(領用表!$L:$L,領用表!$E:$E,$B88,領用表!$B:$B,X$2&amp;$P$1)</f>
        <v>0</v>
      </c>
      <c r="Y88" s="142">
        <f>SUMIFS(領用表!$L:$L,領用表!$E:$E,$B88,領用表!$B:$B,Y$2&amp;$P$1)</f>
        <v>0</v>
      </c>
      <c r="Z88" s="142">
        <f>SUMIFS(領用表!$L:$L,領用表!$E:$E,$B88,領用表!$B:$B,Z$2&amp;$P$1)</f>
        <v>0</v>
      </c>
      <c r="AA88" s="142">
        <f>SUMIFS(領用表!$L:$L,領用表!$E:$E,$B88,領用表!$B:$B,AA$2&amp;$P$1)</f>
        <v>0</v>
      </c>
      <c r="AB88" s="142">
        <f t="shared" si="8"/>
        <v>169</v>
      </c>
      <c r="AC88" s="142">
        <f t="shared" si="9"/>
        <v>42.25</v>
      </c>
      <c r="AD88" s="142">
        <f>SUMIF(Summary!B:B,B88,Summary!DV:DV)</f>
        <v>0</v>
      </c>
      <c r="AE88" s="108">
        <v>20</v>
      </c>
      <c r="AF88" s="65"/>
      <c r="AG88" s="76" t="s">
        <v>159</v>
      </c>
      <c r="AH88" s="65"/>
      <c r="AI88" s="27"/>
      <c r="AJ88" s="69"/>
      <c r="AK88" s="14"/>
      <c r="AL88" s="14"/>
    </row>
    <row r="89" spans="1:38" ht="15.75" customHeight="1">
      <c r="A89" s="27"/>
      <c r="B89" s="14">
        <v>6120016</v>
      </c>
      <c r="C89" s="136" t="s">
        <v>518</v>
      </c>
      <c r="D89" s="72"/>
      <c r="E89" s="17" t="s">
        <v>15</v>
      </c>
      <c r="F89" s="18"/>
      <c r="G89" s="18">
        <v>202</v>
      </c>
      <c r="H89" s="20">
        <f>SUMIFS(領用表!$L:$L,領用表!$E:$E,$B89,領用表!$B:$B,H$2&amp;$P$1)</f>
        <v>0</v>
      </c>
      <c r="I89" s="20">
        <f>SUMIFS(領用表!$L:$L,領用表!$E:$E,$B89,領用表!$B:$B,I$2&amp;$P$1)</f>
        <v>0</v>
      </c>
      <c r="J89" s="20">
        <f>SUMIFS(領用表!$L:$L,領用表!$E:$E,$B89,領用表!$B:$B,J$2&amp;$P$1)</f>
        <v>0</v>
      </c>
      <c r="K89" s="142">
        <f>SUMIFS(領用表!$L:$L,領用表!$E:$E,$B89,領用表!$B:$B,K$2&amp;$P$1)</f>
        <v>0</v>
      </c>
      <c r="L89" s="142">
        <f>SUMIFS(領用表!$L:$L,領用表!$E:$E,$B89,領用表!$B:$B,L$2&amp;$P$1)</f>
        <v>0</v>
      </c>
      <c r="M89" s="142">
        <f>SUMIFS(領用表!$L:$L,領用表!$E:$E,$B89,領用表!$B:$B,M$2&amp;$P$1)</f>
        <v>0</v>
      </c>
      <c r="N89" s="23">
        <f>SUM(,H89,I89,J89,K89,L89,M89)</f>
        <v>0</v>
      </c>
      <c r="O89" s="23">
        <f>AVERAGE(,H89,I89,J89,K89,L89,M89)</f>
        <v>0</v>
      </c>
      <c r="P89" s="142">
        <f>SUMIFS(領用表!$L:$L,領用表!$E:$E,$B89,領用表!$B:$B,P$2&amp;$P$1)</f>
        <v>0</v>
      </c>
      <c r="Q89" s="142">
        <f>SUMIFS(領用表!$L:$L,領用表!$E:$E,$B89,領用表!$B:$B,Q$2&amp;$P$1)</f>
        <v>4</v>
      </c>
      <c r="R89" s="142">
        <f>SUMIFS(領用表!$L:$L,領用表!$E:$E,$B89,領用表!$B:$B,R$2&amp;$P$1)</f>
        <v>49</v>
      </c>
      <c r="S89" s="142">
        <f>SUMIFS(領用表!$L:$L,領用表!$E:$E,$B89,領用表!$B:$B,S$2&amp;$P$1)</f>
        <v>55</v>
      </c>
      <c r="T89" s="142">
        <f>SUMIFS(領用表!$L:$L,領用表!$E:$E,$B89,領用表!$B:$B,T$2&amp;$P$1)</f>
        <v>55</v>
      </c>
      <c r="U89" s="142">
        <f>SUMIFS(領用表!$L:$L,領用表!$E:$E,$B89,領用表!$B:$B,U$2&amp;$P$1)</f>
        <v>0</v>
      </c>
      <c r="V89" s="142">
        <f>SUMIFS(領用表!$L:$L,領用表!$E:$E,$B89,領用表!$B:$B,V$2&amp;$P$1)</f>
        <v>0</v>
      </c>
      <c r="W89" s="142">
        <f>SUMIFS(領用表!$L:$L,領用表!$E:$E,$B89,領用表!$B:$B,W$2&amp;$P$1)</f>
        <v>0</v>
      </c>
      <c r="X89" s="142">
        <f>SUMIFS(領用表!$L:$L,領用表!$E:$E,$B89,領用表!$B:$B,X$2&amp;$P$1)</f>
        <v>0</v>
      </c>
      <c r="Y89" s="142">
        <f>SUMIFS(領用表!$L:$L,領用表!$E:$E,$B89,領用表!$B:$B,Y$2&amp;$P$1)</f>
        <v>0</v>
      </c>
      <c r="Z89" s="142">
        <f>SUMIFS(領用表!$L:$L,領用表!$E:$E,$B89,領用表!$B:$B,Z$2&amp;$P$1)</f>
        <v>0</v>
      </c>
      <c r="AA89" s="142">
        <f>SUMIFS(領用表!$L:$L,領用表!$E:$E,$B89,領用表!$B:$B,AA$2&amp;$P$1)</f>
        <v>0</v>
      </c>
      <c r="AB89" s="142">
        <f t="shared" si="8"/>
        <v>163</v>
      </c>
      <c r="AC89" s="142">
        <f t="shared" si="9"/>
        <v>40.75</v>
      </c>
      <c r="AD89" s="142">
        <f>SUMIF(Summary!B:B,B89,Summary!DV:DV)</f>
        <v>0</v>
      </c>
      <c r="AE89" s="108">
        <v>20</v>
      </c>
      <c r="AF89" s="65"/>
      <c r="AG89" s="76" t="s">
        <v>163</v>
      </c>
      <c r="AH89" s="65" t="s">
        <v>164</v>
      </c>
      <c r="AI89" s="27"/>
      <c r="AJ89" s="69"/>
      <c r="AK89" s="14"/>
      <c r="AL89" s="14"/>
    </row>
    <row r="90" spans="1:38" ht="15.75" customHeight="1">
      <c r="A90" s="27"/>
      <c r="B90" s="14">
        <v>6120020</v>
      </c>
      <c r="C90" s="135" t="s">
        <v>513</v>
      </c>
      <c r="D90" s="77">
        <v>100</v>
      </c>
      <c r="E90" s="17" t="s">
        <v>15</v>
      </c>
      <c r="F90" s="18"/>
      <c r="G90" s="18">
        <v>233</v>
      </c>
      <c r="H90" s="20">
        <f>SUMIFS(領用表!$L:$L,領用表!$E:$E,$B90,領用表!$B:$B,H$2&amp;$P$1)</f>
        <v>0</v>
      </c>
      <c r="I90" s="20">
        <f>SUMIFS(領用表!$L:$L,領用表!$E:$E,$B90,領用表!$B:$B,I$2&amp;$P$1)</f>
        <v>0</v>
      </c>
      <c r="J90" s="20">
        <f>SUMIFS(領用表!$L:$L,領用表!$E:$E,$B90,領用表!$B:$B,J$2&amp;$P$1)</f>
        <v>0</v>
      </c>
      <c r="K90" s="142">
        <f>SUMIFS(領用表!$L:$L,領用表!$E:$E,$B90,領用表!$B:$B,K$2&amp;$P$1)</f>
        <v>0</v>
      </c>
      <c r="L90" s="142">
        <f>SUMIFS(領用表!$L:$L,領用表!$E:$E,$B90,領用表!$B:$B,L$2&amp;$P$1)</f>
        <v>0</v>
      </c>
      <c r="M90" s="142">
        <f>SUMIFS(領用表!$L:$L,領用表!$E:$E,$B90,領用表!$B:$B,M$2&amp;$P$1)</f>
        <v>0</v>
      </c>
      <c r="N90" s="23">
        <f t="shared" si="10"/>
        <v>0</v>
      </c>
      <c r="O90" s="23">
        <f t="shared" si="11"/>
        <v>0</v>
      </c>
      <c r="P90" s="142">
        <f>SUMIFS(領用表!$L:$L,領用表!$E:$E,$B90,領用表!$B:$B,P$2&amp;$P$1)</f>
        <v>0</v>
      </c>
      <c r="Q90" s="142">
        <f>SUMIFS(領用表!$L:$L,領用表!$E:$E,$B90,領用表!$B:$B,Q$2&amp;$P$1)</f>
        <v>17</v>
      </c>
      <c r="R90" s="142">
        <f>SUMIFS(領用表!$L:$L,領用表!$E:$E,$B90,領用表!$B:$B,R$2&amp;$P$1)</f>
        <v>56</v>
      </c>
      <c r="S90" s="142">
        <f>SUMIFS(領用表!$L:$L,領用表!$E:$E,$B90,領用表!$B:$B,S$2&amp;$P$1)</f>
        <v>45</v>
      </c>
      <c r="T90" s="142">
        <f>SUMIFS(領用表!$L:$L,領用表!$E:$E,$B90,領用表!$B:$B,T$2&amp;$P$1)</f>
        <v>17</v>
      </c>
      <c r="U90" s="142">
        <f>SUMIFS(領用表!$L:$L,領用表!$E:$E,$B90,領用表!$B:$B,U$2&amp;$P$1)</f>
        <v>0</v>
      </c>
      <c r="V90" s="142">
        <f>SUMIFS(領用表!$L:$L,領用表!$E:$E,$B90,領用表!$B:$B,V$2&amp;$P$1)</f>
        <v>0</v>
      </c>
      <c r="W90" s="142">
        <f>SUMIFS(領用表!$L:$L,領用表!$E:$E,$B90,領用表!$B:$B,W$2&amp;$P$1)</f>
        <v>0</v>
      </c>
      <c r="X90" s="142">
        <f>SUMIFS(領用表!$L:$L,領用表!$E:$E,$B90,領用表!$B:$B,X$2&amp;$P$1)</f>
        <v>0</v>
      </c>
      <c r="Y90" s="142">
        <f>SUMIFS(領用表!$L:$L,領用表!$E:$E,$B90,領用表!$B:$B,Y$2&amp;$P$1)</f>
        <v>0</v>
      </c>
      <c r="Z90" s="142">
        <f>SUMIFS(領用表!$L:$L,領用表!$E:$E,$B90,領用表!$B:$B,Z$2&amp;$P$1)</f>
        <v>0</v>
      </c>
      <c r="AA90" s="142">
        <f>SUMIFS(領用表!$L:$L,領用表!$E:$E,$B90,領用表!$B:$B,AA$2&amp;$P$1)</f>
        <v>0</v>
      </c>
      <c r="AB90" s="142">
        <f t="shared" si="8"/>
        <v>135</v>
      </c>
      <c r="AC90" s="142">
        <f t="shared" si="9"/>
        <v>33.75</v>
      </c>
      <c r="AD90" s="142">
        <f>SUMIF(Summary!B:B,B90,Summary!DV:DV)</f>
        <v>0</v>
      </c>
      <c r="AE90" s="108">
        <v>20</v>
      </c>
      <c r="AF90" s="65"/>
      <c r="AG90" s="76" t="s">
        <v>159</v>
      </c>
      <c r="AH90" s="65" t="s">
        <v>160</v>
      </c>
      <c r="AI90" s="27"/>
      <c r="AJ90" s="27"/>
      <c r="AK90" s="14"/>
      <c r="AL90" s="29"/>
    </row>
    <row r="91" spans="1:38" ht="15.75" customHeight="1">
      <c r="A91" s="27"/>
      <c r="B91" s="14">
        <v>6120021</v>
      </c>
      <c r="C91" s="136" t="s">
        <v>512</v>
      </c>
      <c r="D91" s="72">
        <v>50</v>
      </c>
      <c r="E91" s="17" t="s">
        <v>15</v>
      </c>
      <c r="F91" s="18"/>
      <c r="G91" s="18">
        <v>104</v>
      </c>
      <c r="H91" s="20">
        <f>SUMIFS(領用表!$L:$L,領用表!$E:$E,$B91,領用表!$B:$B,H$2&amp;$P$1)</f>
        <v>0</v>
      </c>
      <c r="I91" s="20">
        <f>SUMIFS(領用表!$L:$L,領用表!$E:$E,$B91,領用表!$B:$B,I$2&amp;$P$1)</f>
        <v>0</v>
      </c>
      <c r="J91" s="20">
        <f>SUMIFS(領用表!$L:$L,領用表!$E:$E,$B91,領用表!$B:$B,J$2&amp;$P$1)</f>
        <v>0</v>
      </c>
      <c r="K91" s="142">
        <f>SUMIFS(領用表!$L:$L,領用表!$E:$E,$B91,領用表!$B:$B,K$2&amp;$P$1)</f>
        <v>0</v>
      </c>
      <c r="L91" s="142">
        <f>SUMIFS(領用表!$L:$L,領用表!$E:$E,$B91,領用表!$B:$B,L$2&amp;$P$1)</f>
        <v>0</v>
      </c>
      <c r="M91" s="142">
        <f>SUMIFS(領用表!$L:$L,領用表!$E:$E,$B91,領用表!$B:$B,M$2&amp;$P$1)</f>
        <v>0</v>
      </c>
      <c r="N91" s="23">
        <f t="shared" si="10"/>
        <v>0</v>
      </c>
      <c r="O91" s="23">
        <f t="shared" si="11"/>
        <v>0</v>
      </c>
      <c r="P91" s="142">
        <f>SUMIFS(領用表!$L:$L,領用表!$E:$E,$B91,領用表!$B:$B,P$2&amp;$P$1)</f>
        <v>0</v>
      </c>
      <c r="Q91" s="142">
        <f>SUMIFS(領用表!$L:$L,領用表!$E:$E,$B91,領用表!$B:$B,Q$2&amp;$P$1)</f>
        <v>9</v>
      </c>
      <c r="R91" s="142">
        <f>SUMIFS(領用表!$L:$L,領用表!$E:$E,$B91,領用表!$B:$B,R$2&amp;$P$1)</f>
        <v>57</v>
      </c>
      <c r="S91" s="142">
        <f>SUMIFS(領用表!$L:$L,領用表!$E:$E,$B91,領用表!$B:$B,S$2&amp;$P$1)</f>
        <v>72</v>
      </c>
      <c r="T91" s="142">
        <f>SUMIFS(領用表!$L:$L,領用表!$E:$E,$B91,領用表!$B:$B,T$2&amp;$P$1)</f>
        <v>80</v>
      </c>
      <c r="U91" s="142">
        <f>SUMIFS(領用表!$L:$L,領用表!$E:$E,$B91,領用表!$B:$B,U$2&amp;$P$1)</f>
        <v>0</v>
      </c>
      <c r="V91" s="142">
        <f>SUMIFS(領用表!$L:$L,領用表!$E:$E,$B91,領用表!$B:$B,V$2&amp;$P$1)</f>
        <v>0</v>
      </c>
      <c r="W91" s="142">
        <f>SUMIFS(領用表!$L:$L,領用表!$E:$E,$B91,領用表!$B:$B,W$2&amp;$P$1)</f>
        <v>0</v>
      </c>
      <c r="X91" s="142">
        <f>SUMIFS(領用表!$L:$L,領用表!$E:$E,$B91,領用表!$B:$B,X$2&amp;$P$1)</f>
        <v>0</v>
      </c>
      <c r="Y91" s="142">
        <f>SUMIFS(領用表!$L:$L,領用表!$E:$E,$B91,領用表!$B:$B,Y$2&amp;$P$1)</f>
        <v>0</v>
      </c>
      <c r="Z91" s="142">
        <f>SUMIFS(領用表!$L:$L,領用表!$E:$E,$B91,領用表!$B:$B,Z$2&amp;$P$1)</f>
        <v>0</v>
      </c>
      <c r="AA91" s="142">
        <f>SUMIFS(領用表!$L:$L,領用表!$E:$E,$B91,領用表!$B:$B,AA$2&amp;$P$1)</f>
        <v>0</v>
      </c>
      <c r="AB91" s="142">
        <f t="shared" si="8"/>
        <v>218</v>
      </c>
      <c r="AC91" s="142">
        <f t="shared" si="9"/>
        <v>54.5</v>
      </c>
      <c r="AD91" s="142">
        <f>SUMIF(Summary!B:B,B91,Summary!DV:DV)</f>
        <v>0</v>
      </c>
      <c r="AE91" s="108">
        <v>20</v>
      </c>
      <c r="AF91" s="65"/>
      <c r="AG91" s="76" t="s">
        <v>158</v>
      </c>
      <c r="AH91" s="65"/>
      <c r="AI91" s="27"/>
      <c r="AJ91" s="69"/>
      <c r="AK91" s="14"/>
      <c r="AL91" s="14"/>
    </row>
    <row r="92" spans="1:38" ht="15.75" customHeight="1">
      <c r="A92" s="27"/>
      <c r="B92" s="14">
        <v>6120009</v>
      </c>
      <c r="C92" s="136" t="s">
        <v>515</v>
      </c>
      <c r="D92" s="72">
        <v>100</v>
      </c>
      <c r="E92" s="17" t="s">
        <v>15</v>
      </c>
      <c r="F92" s="18"/>
      <c r="G92" s="18"/>
      <c r="H92" s="20">
        <f>SUMIFS(領用表!$L:$L,領用表!$E:$E,$B92,領用表!$B:$B,H$2&amp;$P$1)</f>
        <v>0</v>
      </c>
      <c r="I92" s="20">
        <f>SUMIFS(領用表!$L:$L,領用表!$E:$E,$B92,領用表!$B:$B,I$2&amp;$P$1)</f>
        <v>0</v>
      </c>
      <c r="J92" s="20">
        <f>SUMIFS(領用表!$L:$L,領用表!$E:$E,$B92,領用表!$B:$B,J$2&amp;$P$1)</f>
        <v>0</v>
      </c>
      <c r="K92" s="142">
        <f>SUMIFS(領用表!$L:$L,領用表!$E:$E,$B92,領用表!$B:$B,K$2&amp;$P$1)</f>
        <v>0</v>
      </c>
      <c r="L92" s="142">
        <f>SUMIFS(領用表!$L:$L,領用表!$E:$E,$B92,領用表!$B:$B,L$2&amp;$P$1)</f>
        <v>0</v>
      </c>
      <c r="M92" s="142">
        <f>SUMIFS(領用表!$L:$L,領用表!$E:$E,$B92,領用表!$B:$B,M$2&amp;$P$1)</f>
        <v>0</v>
      </c>
      <c r="N92" s="23">
        <f t="shared" si="10"/>
        <v>0</v>
      </c>
      <c r="O92" s="23">
        <f t="shared" si="11"/>
        <v>0</v>
      </c>
      <c r="P92" s="142">
        <f>SUMIFS(領用表!$L:$L,領用表!$E:$E,$B92,領用表!$B:$B,P$2&amp;$P$1)</f>
        <v>0</v>
      </c>
      <c r="Q92" s="142">
        <f>SUMIFS(領用表!$L:$L,領用表!$E:$E,$B92,領用表!$B:$B,Q$2&amp;$P$1)</f>
        <v>0</v>
      </c>
      <c r="R92" s="142">
        <f>SUMIFS(領用表!$L:$L,領用表!$E:$E,$B92,領用表!$B:$B,R$2&amp;$P$1)</f>
        <v>0</v>
      </c>
      <c r="S92" s="142">
        <f>SUMIFS(領用表!$L:$L,領用表!$E:$E,$B92,領用表!$B:$B,S$2&amp;$P$1)</f>
        <v>1</v>
      </c>
      <c r="T92" s="142">
        <f>SUMIFS(領用表!$L:$L,領用表!$E:$E,$B92,領用表!$B:$B,T$2&amp;$P$1)</f>
        <v>0</v>
      </c>
      <c r="U92" s="142">
        <f>SUMIFS(領用表!$L:$L,領用表!$E:$E,$B92,領用表!$B:$B,U$2&amp;$P$1)</f>
        <v>0</v>
      </c>
      <c r="V92" s="142">
        <f>SUMIFS(領用表!$L:$L,領用表!$E:$E,$B92,領用表!$B:$B,V$2&amp;$P$1)</f>
        <v>0</v>
      </c>
      <c r="W92" s="142">
        <f>SUMIFS(領用表!$L:$L,領用表!$E:$E,$B92,領用表!$B:$B,W$2&amp;$P$1)</f>
        <v>0</v>
      </c>
      <c r="X92" s="142">
        <f>SUMIFS(領用表!$L:$L,領用表!$E:$E,$B92,領用表!$B:$B,X$2&amp;$P$1)</f>
        <v>0</v>
      </c>
      <c r="Y92" s="142">
        <f>SUMIFS(領用表!$L:$L,領用表!$E:$E,$B92,領用表!$B:$B,Y$2&amp;$P$1)</f>
        <v>0</v>
      </c>
      <c r="Z92" s="142">
        <f>SUMIFS(領用表!$L:$L,領用表!$E:$E,$B92,領用表!$B:$B,Z$2&amp;$P$1)</f>
        <v>0</v>
      </c>
      <c r="AA92" s="142">
        <f>SUMIFS(領用表!$L:$L,領用表!$E:$E,$B92,領用表!$B:$B,AA$2&amp;$P$1)</f>
        <v>0</v>
      </c>
      <c r="AB92" s="142">
        <f t="shared" si="8"/>
        <v>1</v>
      </c>
      <c r="AC92" s="142">
        <f t="shared" si="9"/>
        <v>0.25</v>
      </c>
      <c r="AD92" s="142">
        <f>SUMIF(Summary!B:B,B92,Summary!DV:DV)</f>
        <v>0</v>
      </c>
      <c r="AE92" s="108">
        <v>5</v>
      </c>
      <c r="AF92" s="65"/>
      <c r="AG92" s="65"/>
      <c r="AH92" s="65"/>
      <c r="AI92" s="27"/>
      <c r="AJ92" s="69"/>
      <c r="AK92" s="14"/>
      <c r="AL92" s="14"/>
    </row>
    <row r="93" spans="1:38" ht="15.75" customHeight="1" thickBot="1">
      <c r="A93" s="27"/>
      <c r="B93" s="14" t="e">
        <v>#N/A</v>
      </c>
      <c r="C93" s="136" t="s">
        <v>516</v>
      </c>
      <c r="D93" s="72">
        <v>100</v>
      </c>
      <c r="E93" s="17" t="s">
        <v>15</v>
      </c>
      <c r="F93" s="18"/>
      <c r="G93" s="18"/>
      <c r="H93" s="20">
        <f>SUMIFS(領用表!$L:$L,領用表!$E:$E,$B93,領用表!$B:$B,H$2&amp;$P$1)</f>
        <v>0</v>
      </c>
      <c r="I93" s="20">
        <f>SUMIFS(領用表!$L:$L,領用表!$E:$E,$B93,領用表!$B:$B,I$2&amp;$P$1)</f>
        <v>0</v>
      </c>
      <c r="J93" s="20">
        <f>SUMIFS(領用表!$L:$L,領用表!$E:$E,$B93,領用表!$B:$B,J$2&amp;$P$1)</f>
        <v>0</v>
      </c>
      <c r="K93" s="142">
        <f>SUMIFS(領用表!$L:$L,領用表!$E:$E,$B93,領用表!$B:$B,K$2&amp;$P$1)</f>
        <v>0</v>
      </c>
      <c r="L93" s="142">
        <f>SUMIFS(領用表!$L:$L,領用表!$E:$E,$B93,領用表!$B:$B,L$2&amp;$P$1)</f>
        <v>0</v>
      </c>
      <c r="M93" s="142">
        <f>SUMIFS(領用表!$L:$L,領用表!$E:$E,$B93,領用表!$B:$B,M$2&amp;$P$1)</f>
        <v>0</v>
      </c>
      <c r="N93" s="23">
        <f t="shared" si="10"/>
        <v>0</v>
      </c>
      <c r="O93" s="23">
        <f t="shared" si="11"/>
        <v>0</v>
      </c>
      <c r="P93" s="142">
        <f>SUMIFS(領用表!$L:$L,領用表!$E:$E,$B93,領用表!$B:$B,P$2&amp;$P$1)</f>
        <v>0</v>
      </c>
      <c r="Q93" s="142">
        <f>SUMIFS(領用表!$L:$L,領用表!$E:$E,$B93,領用表!$B:$B,Q$2&amp;$P$1)</f>
        <v>0</v>
      </c>
      <c r="R93" s="142">
        <f>SUMIFS(領用表!$L:$L,領用表!$E:$E,$B93,領用表!$B:$B,R$2&amp;$P$1)</f>
        <v>0</v>
      </c>
      <c r="S93" s="142">
        <f>SUMIFS(領用表!$L:$L,領用表!$E:$E,$B93,領用表!$B:$B,S$2&amp;$P$1)</f>
        <v>0</v>
      </c>
      <c r="T93" s="142">
        <f>SUMIFS(領用表!$L:$L,領用表!$E:$E,$B93,領用表!$B:$B,T$2&amp;$P$1)</f>
        <v>0</v>
      </c>
      <c r="U93" s="142">
        <f>SUMIFS(領用表!$L:$L,領用表!$E:$E,$B93,領用表!$B:$B,U$2&amp;$P$1)</f>
        <v>0</v>
      </c>
      <c r="V93" s="142">
        <f>SUMIFS(領用表!$L:$L,領用表!$E:$E,$B93,領用表!$B:$B,V$2&amp;$P$1)</f>
        <v>0</v>
      </c>
      <c r="W93" s="142">
        <f>SUMIFS(領用表!$L:$L,領用表!$E:$E,$B93,領用表!$B:$B,W$2&amp;$P$1)</f>
        <v>0</v>
      </c>
      <c r="X93" s="142">
        <f>SUMIFS(領用表!$L:$L,領用表!$E:$E,$B93,領用表!$B:$B,X$2&amp;$P$1)</f>
        <v>0</v>
      </c>
      <c r="Y93" s="142">
        <f>SUMIFS(領用表!$L:$L,領用表!$E:$E,$B93,領用表!$B:$B,Y$2&amp;$P$1)</f>
        <v>0</v>
      </c>
      <c r="Z93" s="142">
        <f>SUMIFS(領用表!$L:$L,領用表!$E:$E,$B93,領用表!$B:$B,Z$2&amp;$P$1)</f>
        <v>0</v>
      </c>
      <c r="AA93" s="142">
        <f>SUMIFS(領用表!$L:$L,領用表!$E:$E,$B93,領用表!$B:$B,AA$2&amp;$P$1)</f>
        <v>0</v>
      </c>
      <c r="AB93" s="142">
        <f t="shared" si="8"/>
        <v>0</v>
      </c>
      <c r="AC93" s="142">
        <f t="shared" si="9"/>
        <v>0</v>
      </c>
      <c r="AD93" s="142">
        <f>SUMIF(Summary!B:B,B93,Summary!DV:DV)</f>
        <v>0</v>
      </c>
      <c r="AE93" s="108">
        <v>5</v>
      </c>
      <c r="AF93" s="65"/>
      <c r="AG93" s="65"/>
      <c r="AH93" s="65"/>
      <c r="AI93" s="27"/>
      <c r="AJ93" s="69"/>
      <c r="AK93" s="14"/>
      <c r="AL93" s="14"/>
    </row>
    <row r="94" spans="1:38" ht="15.75" customHeight="1" thickBot="1">
      <c r="A94" s="196" t="s">
        <v>752</v>
      </c>
      <c r="B94" s="191">
        <v>6120037</v>
      </c>
      <c r="C94" s="193" t="s">
        <v>753</v>
      </c>
      <c r="D94" s="72"/>
      <c r="E94" s="17"/>
      <c r="F94" s="18"/>
      <c r="G94" s="18"/>
      <c r="H94" s="20">
        <f>SUMIFS(領用表!$L:$L,領用表!$E:$E,$B94,領用表!$B:$B,H$2&amp;$P$1)</f>
        <v>0</v>
      </c>
      <c r="I94" s="20">
        <f>SUMIFS(領用表!$L:$L,領用表!$E:$E,$B94,領用表!$B:$B,I$2&amp;$P$1)</f>
        <v>0</v>
      </c>
      <c r="J94" s="20">
        <f>SUMIFS(領用表!$L:$L,領用表!$E:$E,$B94,領用表!$B:$B,J$2&amp;$P$1)</f>
        <v>0</v>
      </c>
      <c r="K94" s="142">
        <f>SUMIFS(領用表!$L:$L,領用表!$E:$E,$B94,領用表!$B:$B,K$2&amp;$P$1)</f>
        <v>0</v>
      </c>
      <c r="L94" s="142">
        <f>SUMIFS(領用表!$L:$L,領用表!$E:$E,$B94,領用表!$B:$B,L$2&amp;$P$1)</f>
        <v>0</v>
      </c>
      <c r="M94" s="142">
        <f>SUMIFS(領用表!$L:$L,領用表!$E:$E,$B94,領用表!$B:$B,M$2&amp;$P$1)</f>
        <v>0</v>
      </c>
      <c r="N94" s="23">
        <f t="shared" si="10"/>
        <v>0</v>
      </c>
      <c r="O94" s="23">
        <f t="shared" si="11"/>
        <v>0</v>
      </c>
      <c r="P94" s="142">
        <f>SUMIFS(領用表!$L:$L,領用表!$E:$E,$B94,領用表!$B:$B,P$2&amp;$P$1)</f>
        <v>0</v>
      </c>
      <c r="Q94" s="142">
        <f>SUMIFS(領用表!$L:$L,領用表!$E:$E,$B94,領用表!$B:$B,Q$2&amp;$P$1)</f>
        <v>0</v>
      </c>
      <c r="R94" s="142">
        <f>SUMIFS(領用表!$L:$L,領用表!$E:$E,$B94,領用表!$B:$B,R$2&amp;$P$1)</f>
        <v>0</v>
      </c>
      <c r="S94" s="142">
        <f>SUMIFS(領用表!$L:$L,領用表!$E:$E,$B94,領用表!$B:$B,S$2&amp;$P$1)</f>
        <v>0</v>
      </c>
      <c r="T94" s="142">
        <f>SUMIFS(領用表!$L:$L,領用表!$E:$E,$B94,領用表!$B:$B,T$2&amp;$P$1)</f>
        <v>0</v>
      </c>
      <c r="U94" s="142">
        <f>SUMIFS(領用表!$L:$L,領用表!$E:$E,$B94,領用表!$B:$B,U$2&amp;$P$1)</f>
        <v>0</v>
      </c>
      <c r="V94" s="142">
        <f>SUMIFS(領用表!$L:$L,領用表!$E:$E,$B94,領用表!$B:$B,V$2&amp;$P$1)</f>
        <v>0</v>
      </c>
      <c r="W94" s="142">
        <f>SUMIFS(領用表!$L:$L,領用表!$E:$E,$B94,領用表!$B:$B,W$2&amp;$P$1)</f>
        <v>0</v>
      </c>
      <c r="X94" s="142">
        <f>SUMIFS(領用表!$L:$L,領用表!$E:$E,$B94,領用表!$B:$B,X$2&amp;$P$1)</f>
        <v>0</v>
      </c>
      <c r="Y94" s="142">
        <f>SUMIFS(領用表!$L:$L,領用表!$E:$E,$B94,領用表!$B:$B,Y$2&amp;$P$1)</f>
        <v>0</v>
      </c>
      <c r="Z94" s="142">
        <f>SUMIFS(領用表!$L:$L,領用表!$E:$E,$B94,領用表!$B:$B,Z$2&amp;$P$1)</f>
        <v>0</v>
      </c>
      <c r="AA94" s="142">
        <f>SUMIFS(領用表!$L:$L,領用表!$E:$E,$B94,領用表!$B:$B,AA$2&amp;$P$1)</f>
        <v>0</v>
      </c>
      <c r="AB94" s="142">
        <f t="shared" si="8"/>
        <v>0</v>
      </c>
      <c r="AC94" s="142">
        <f t="shared" si="9"/>
        <v>0</v>
      </c>
      <c r="AD94" s="142">
        <f>SUMIF(Summary!B:B,B94,Summary!DV:DV)</f>
        <v>0</v>
      </c>
      <c r="AE94" s="108"/>
      <c r="AF94" s="65"/>
      <c r="AG94" s="76"/>
      <c r="AH94" s="65"/>
      <c r="AI94" s="27"/>
      <c r="AJ94" s="69"/>
      <c r="AK94" s="14"/>
      <c r="AL94" s="14"/>
    </row>
    <row r="95" spans="1:38" ht="15.75" customHeight="1" thickBot="1">
      <c r="A95" s="196" t="s">
        <v>754</v>
      </c>
      <c r="B95" s="191">
        <v>6120038</v>
      </c>
      <c r="C95" s="193" t="s">
        <v>755</v>
      </c>
      <c r="D95" s="72"/>
      <c r="E95" s="17"/>
      <c r="F95" s="18"/>
      <c r="G95" s="18">
        <v>207</v>
      </c>
      <c r="H95" s="20">
        <f>SUMIFS(領用表!$L:$L,領用表!$E:$E,$B95,領用表!$B:$B,H$2&amp;$P$1)</f>
        <v>0</v>
      </c>
      <c r="I95" s="20">
        <f>SUMIFS(領用表!$L:$L,領用表!$E:$E,$B95,領用表!$B:$B,I$2&amp;$P$1)</f>
        <v>0</v>
      </c>
      <c r="J95" s="20">
        <f>SUMIFS(領用表!$L:$L,領用表!$E:$E,$B95,領用表!$B:$B,J$2&amp;$P$1)</f>
        <v>0</v>
      </c>
      <c r="K95" s="142">
        <f>SUMIFS(領用表!$L:$L,領用表!$E:$E,$B95,領用表!$B:$B,K$2&amp;$P$1)</f>
        <v>0</v>
      </c>
      <c r="L95" s="142">
        <f>SUMIFS(領用表!$L:$L,領用表!$E:$E,$B95,領用表!$B:$B,L$2&amp;$P$1)</f>
        <v>0</v>
      </c>
      <c r="M95" s="142">
        <f>SUMIFS(領用表!$L:$L,領用表!$E:$E,$B95,領用表!$B:$B,M$2&amp;$P$1)</f>
        <v>0</v>
      </c>
      <c r="N95" s="23">
        <f t="shared" si="10"/>
        <v>0</v>
      </c>
      <c r="O95" s="23">
        <f t="shared" si="11"/>
        <v>0</v>
      </c>
      <c r="P95" s="142">
        <f>SUMIFS(領用表!$L:$L,領用表!$E:$E,$B95,領用表!$B:$B,P$2&amp;$P$1)</f>
        <v>0</v>
      </c>
      <c r="Q95" s="142">
        <f>SUMIFS(領用表!$L:$L,領用表!$E:$E,$B95,領用表!$B:$B,Q$2&amp;$P$1)</f>
        <v>0</v>
      </c>
      <c r="R95" s="142">
        <f>SUMIFS(領用表!$L:$L,領用表!$E:$E,$B95,領用表!$B:$B,R$2&amp;$P$1)</f>
        <v>0</v>
      </c>
      <c r="S95" s="142">
        <f>SUMIFS(領用表!$L:$L,領用表!$E:$E,$B95,領用表!$B:$B,S$2&amp;$P$1)</f>
        <v>0</v>
      </c>
      <c r="T95" s="142">
        <f>SUMIFS(領用表!$L:$L,領用表!$E:$E,$B95,領用表!$B:$B,T$2&amp;$P$1)</f>
        <v>0</v>
      </c>
      <c r="U95" s="142">
        <f>SUMIFS(領用表!$L:$L,領用表!$E:$E,$B95,領用表!$B:$B,U$2&amp;$P$1)</f>
        <v>0</v>
      </c>
      <c r="V95" s="142">
        <f>SUMIFS(領用表!$L:$L,領用表!$E:$E,$B95,領用表!$B:$B,V$2&amp;$P$1)</f>
        <v>0</v>
      </c>
      <c r="W95" s="142">
        <f>SUMIFS(領用表!$L:$L,領用表!$E:$E,$B95,領用表!$B:$B,W$2&amp;$P$1)</f>
        <v>0</v>
      </c>
      <c r="X95" s="142">
        <f>SUMIFS(領用表!$L:$L,領用表!$E:$E,$B95,領用表!$B:$B,X$2&amp;$P$1)</f>
        <v>0</v>
      </c>
      <c r="Y95" s="142">
        <f>SUMIFS(領用表!$L:$L,領用表!$E:$E,$B95,領用表!$B:$B,Y$2&amp;$P$1)</f>
        <v>0</v>
      </c>
      <c r="Z95" s="142">
        <f>SUMIFS(領用表!$L:$L,領用表!$E:$E,$B95,領用表!$B:$B,Z$2&amp;$P$1)</f>
        <v>0</v>
      </c>
      <c r="AA95" s="142">
        <f>SUMIFS(領用表!$L:$L,領用表!$E:$E,$B95,領用表!$B:$B,AA$2&amp;$P$1)</f>
        <v>0</v>
      </c>
      <c r="AB95" s="142">
        <f t="shared" si="8"/>
        <v>0</v>
      </c>
      <c r="AC95" s="142">
        <f t="shared" si="9"/>
        <v>0</v>
      </c>
      <c r="AD95" s="142">
        <f>SUMIF(Summary!B:B,B95,Summary!DV:DV)</f>
        <v>0</v>
      </c>
      <c r="AE95" s="108"/>
      <c r="AF95" s="65"/>
      <c r="AG95" s="76"/>
      <c r="AH95" s="65"/>
      <c r="AI95" s="27"/>
      <c r="AJ95" s="69"/>
      <c r="AK95" s="14"/>
      <c r="AL95" s="14"/>
    </row>
    <row r="96" spans="1:38" ht="15.75" customHeight="1">
      <c r="A96" s="27"/>
      <c r="B96" s="14">
        <v>6120022</v>
      </c>
      <c r="C96" s="136" t="s">
        <v>519</v>
      </c>
      <c r="D96" s="72"/>
      <c r="E96" s="17" t="s">
        <v>15</v>
      </c>
      <c r="F96" s="18"/>
      <c r="G96" s="18"/>
      <c r="H96" s="20">
        <f>SUMIFS(領用表!$L:$L,領用表!$E:$E,$B96,領用表!$B:$B,H$2&amp;$P$1)</f>
        <v>0</v>
      </c>
      <c r="I96" s="20">
        <f>SUMIFS(領用表!$L:$L,領用表!$E:$E,$B96,領用表!$B:$B,I$2&amp;$P$1)</f>
        <v>0</v>
      </c>
      <c r="J96" s="20">
        <f>SUMIFS(領用表!$L:$L,領用表!$E:$E,$B96,領用表!$B:$B,J$2&amp;$P$1)</f>
        <v>0</v>
      </c>
      <c r="K96" s="142">
        <f>SUMIFS(領用表!$L:$L,領用表!$E:$E,$B96,領用表!$B:$B,K$2&amp;$P$1)</f>
        <v>0</v>
      </c>
      <c r="L96" s="142">
        <f>SUMIFS(領用表!$L:$L,領用表!$E:$E,$B96,領用表!$B:$B,L$2&amp;$P$1)</f>
        <v>0</v>
      </c>
      <c r="M96" s="142">
        <f>SUMIFS(領用表!$L:$L,領用表!$E:$E,$B96,領用表!$B:$B,M$2&amp;$P$1)</f>
        <v>0</v>
      </c>
      <c r="N96" s="23">
        <f t="shared" si="10"/>
        <v>0</v>
      </c>
      <c r="O96" s="23">
        <f t="shared" si="11"/>
        <v>0</v>
      </c>
      <c r="P96" s="142">
        <f>SUMIFS(領用表!$L:$L,領用表!$E:$E,$B96,領用表!$B:$B,P$2&amp;$P$1)</f>
        <v>0</v>
      </c>
      <c r="Q96" s="142">
        <f>SUMIFS(領用表!$L:$L,領用表!$E:$E,$B96,領用表!$B:$B,Q$2&amp;$P$1)</f>
        <v>0</v>
      </c>
      <c r="R96" s="142">
        <f>SUMIFS(領用表!$L:$L,領用表!$E:$E,$B96,領用表!$B:$B,R$2&amp;$P$1)</f>
        <v>1</v>
      </c>
      <c r="S96" s="142">
        <f>SUMIFS(領用表!$L:$L,領用表!$E:$E,$B96,領用表!$B:$B,S$2&amp;$P$1)</f>
        <v>1</v>
      </c>
      <c r="T96" s="142">
        <f>SUMIFS(領用表!$L:$L,領用表!$E:$E,$B96,領用表!$B:$B,T$2&amp;$P$1)</f>
        <v>4</v>
      </c>
      <c r="U96" s="142">
        <f>SUMIFS(領用表!$L:$L,領用表!$E:$E,$B96,領用表!$B:$B,U$2&amp;$P$1)</f>
        <v>0</v>
      </c>
      <c r="V96" s="142">
        <f>SUMIFS(領用表!$L:$L,領用表!$E:$E,$B96,領用表!$B:$B,V$2&amp;$P$1)</f>
        <v>0</v>
      </c>
      <c r="W96" s="142">
        <f>SUMIFS(領用表!$L:$L,領用表!$E:$E,$B96,領用表!$B:$B,W$2&amp;$P$1)</f>
        <v>0</v>
      </c>
      <c r="X96" s="142">
        <f>SUMIFS(領用表!$L:$L,領用表!$E:$E,$B96,領用表!$B:$B,X$2&amp;$P$1)</f>
        <v>0</v>
      </c>
      <c r="Y96" s="142">
        <f>SUMIFS(領用表!$L:$L,領用表!$E:$E,$B96,領用表!$B:$B,Y$2&amp;$P$1)</f>
        <v>0</v>
      </c>
      <c r="Z96" s="142">
        <f>SUMIFS(領用表!$L:$L,領用表!$E:$E,$B96,領用表!$B:$B,Z$2&amp;$P$1)</f>
        <v>0</v>
      </c>
      <c r="AA96" s="142">
        <f>SUMIFS(領用表!$L:$L,領用表!$E:$E,$B96,領用表!$B:$B,AA$2&amp;$P$1)</f>
        <v>0</v>
      </c>
      <c r="AB96" s="142">
        <f t="shared" si="8"/>
        <v>6</v>
      </c>
      <c r="AC96" s="142">
        <f t="shared" si="9"/>
        <v>1.5</v>
      </c>
      <c r="AD96" s="142">
        <f>SUMIF(Summary!B:B,B96,Summary!DV:DV)</f>
        <v>0</v>
      </c>
      <c r="AE96" s="108">
        <v>3</v>
      </c>
      <c r="AF96" s="65"/>
      <c r="AG96" s="65"/>
      <c r="AH96" s="65"/>
      <c r="AI96" s="27"/>
      <c r="AJ96" s="69"/>
      <c r="AK96" s="14"/>
      <c r="AL96" s="14"/>
    </row>
    <row r="97" spans="1:38" ht="15.75" customHeight="1">
      <c r="A97" s="27"/>
      <c r="B97" s="14" t="e">
        <v>#N/A</v>
      </c>
      <c r="C97" s="27" t="s">
        <v>780</v>
      </c>
      <c r="D97" s="77"/>
      <c r="E97" s="17" t="s">
        <v>15</v>
      </c>
      <c r="F97" s="18"/>
      <c r="G97" s="18"/>
      <c r="H97" s="20">
        <f>SUMIFS(領用表!$L:$L,領用表!$E:$E,$B97,領用表!$B:$B,H$2&amp;$P$1)</f>
        <v>0</v>
      </c>
      <c r="I97" s="20">
        <f>SUMIFS(領用表!$L:$L,領用表!$E:$E,$B97,領用表!$B:$B,I$2&amp;$P$1)</f>
        <v>0</v>
      </c>
      <c r="J97" s="20">
        <f>SUMIFS(領用表!$L:$L,領用表!$E:$E,$B97,領用表!$B:$B,J$2&amp;$P$1)</f>
        <v>0</v>
      </c>
      <c r="K97" s="142">
        <f>SUMIFS(領用表!$L:$L,領用表!$E:$E,$B97,領用表!$B:$B,K$2&amp;$P$1)</f>
        <v>0</v>
      </c>
      <c r="L97" s="142">
        <f>SUMIFS(領用表!$L:$L,領用表!$E:$E,$B97,領用表!$B:$B,L$2&amp;$P$1)</f>
        <v>0</v>
      </c>
      <c r="M97" s="142">
        <f>SUMIFS(領用表!$L:$L,領用表!$E:$E,$B97,領用表!$B:$B,M$2&amp;$P$1)</f>
        <v>0</v>
      </c>
      <c r="N97" s="23">
        <f t="shared" si="10"/>
        <v>0</v>
      </c>
      <c r="O97" s="23">
        <f t="shared" si="11"/>
        <v>0</v>
      </c>
      <c r="P97" s="142">
        <f>SUMIFS(領用表!$L:$L,領用表!$E:$E,$B97,領用表!$B:$B,P$2&amp;$P$1)</f>
        <v>0</v>
      </c>
      <c r="Q97" s="142">
        <f>SUMIFS(領用表!$L:$L,領用表!$E:$E,$B97,領用表!$B:$B,Q$2&amp;$P$1)</f>
        <v>0</v>
      </c>
      <c r="R97" s="142">
        <f>SUMIFS(領用表!$L:$L,領用表!$E:$E,$B97,領用表!$B:$B,R$2&amp;$P$1)</f>
        <v>0</v>
      </c>
      <c r="S97" s="142">
        <f>SUMIFS(領用表!$L:$L,領用表!$E:$E,$B97,領用表!$B:$B,S$2&amp;$P$1)</f>
        <v>0</v>
      </c>
      <c r="T97" s="142">
        <f>SUMIFS(領用表!$L:$L,領用表!$E:$E,$B97,領用表!$B:$B,T$2&amp;$P$1)</f>
        <v>0</v>
      </c>
      <c r="U97" s="142">
        <f>SUMIFS(領用表!$L:$L,領用表!$E:$E,$B97,領用表!$B:$B,U$2&amp;$P$1)</f>
        <v>0</v>
      </c>
      <c r="V97" s="142">
        <f>SUMIFS(領用表!$L:$L,領用表!$E:$E,$B97,領用表!$B:$B,V$2&amp;$P$1)</f>
        <v>0</v>
      </c>
      <c r="W97" s="142">
        <f>SUMIFS(領用表!$L:$L,領用表!$E:$E,$B97,領用表!$B:$B,W$2&amp;$P$1)</f>
        <v>0</v>
      </c>
      <c r="X97" s="142">
        <f>SUMIFS(領用表!$L:$L,領用表!$E:$E,$B97,領用表!$B:$B,X$2&amp;$P$1)</f>
        <v>0</v>
      </c>
      <c r="Y97" s="142">
        <f>SUMIFS(領用表!$L:$L,領用表!$E:$E,$B97,領用表!$B:$B,Y$2&amp;$P$1)</f>
        <v>0</v>
      </c>
      <c r="Z97" s="142">
        <f>SUMIFS(領用表!$L:$L,領用表!$E:$E,$B97,領用表!$B:$B,Z$2&amp;$P$1)</f>
        <v>0</v>
      </c>
      <c r="AA97" s="142">
        <f>SUMIFS(領用表!$L:$L,領用表!$E:$E,$B97,領用表!$B:$B,AA$2&amp;$P$1)</f>
        <v>0</v>
      </c>
      <c r="AB97" s="142">
        <f t="shared" si="8"/>
        <v>0</v>
      </c>
      <c r="AC97" s="142">
        <f t="shared" si="9"/>
        <v>0</v>
      </c>
      <c r="AD97" s="142">
        <f>SUMIF(Summary!B:B,B97,Summary!DV:DV)</f>
        <v>0</v>
      </c>
      <c r="AE97" s="108">
        <v>0</v>
      </c>
      <c r="AF97" s="65"/>
      <c r="AG97" s="65"/>
      <c r="AH97" s="65"/>
      <c r="AI97" s="27"/>
      <c r="AJ97" s="27"/>
      <c r="AK97" s="14"/>
      <c r="AL97" s="29"/>
    </row>
    <row r="98" spans="1:38" ht="15.75" customHeight="1">
      <c r="A98" s="27"/>
      <c r="B98" s="14">
        <v>6120023</v>
      </c>
      <c r="C98" s="136" t="s">
        <v>521</v>
      </c>
      <c r="D98" s="77"/>
      <c r="E98" s="17" t="s">
        <v>15</v>
      </c>
      <c r="F98" s="18"/>
      <c r="G98" s="18"/>
      <c r="H98" s="20">
        <f>SUMIFS(領用表!$L:$L,領用表!$E:$E,$B98,領用表!$B:$B,H$2&amp;$P$1)</f>
        <v>0</v>
      </c>
      <c r="I98" s="20">
        <f>SUMIFS(領用表!$L:$L,領用表!$E:$E,$B98,領用表!$B:$B,I$2&amp;$P$1)</f>
        <v>0</v>
      </c>
      <c r="J98" s="20">
        <f>SUMIFS(領用表!$L:$L,領用表!$E:$E,$B98,領用表!$B:$B,J$2&amp;$P$1)</f>
        <v>0</v>
      </c>
      <c r="K98" s="142">
        <f>SUMIFS(領用表!$L:$L,領用表!$E:$E,$B98,領用表!$B:$B,K$2&amp;$P$1)</f>
        <v>0</v>
      </c>
      <c r="L98" s="142">
        <f>SUMIFS(領用表!$L:$L,領用表!$E:$E,$B98,領用表!$B:$B,L$2&amp;$P$1)</f>
        <v>0</v>
      </c>
      <c r="M98" s="142">
        <f>SUMIFS(領用表!$L:$L,領用表!$E:$E,$B98,領用表!$B:$B,M$2&amp;$P$1)</f>
        <v>0</v>
      </c>
      <c r="N98" s="23">
        <f t="shared" si="10"/>
        <v>0</v>
      </c>
      <c r="O98" s="23">
        <f t="shared" si="11"/>
        <v>0</v>
      </c>
      <c r="P98" s="142">
        <f>SUMIFS(領用表!$L:$L,領用表!$E:$E,$B98,領用表!$B:$B,P$2&amp;$P$1)</f>
        <v>0</v>
      </c>
      <c r="Q98" s="142">
        <f>SUMIFS(領用表!$L:$L,領用表!$E:$E,$B98,領用表!$B:$B,Q$2&amp;$P$1)</f>
        <v>0</v>
      </c>
      <c r="R98" s="142">
        <f>SUMIFS(領用表!$L:$L,領用表!$E:$E,$B98,領用表!$B:$B,R$2&amp;$P$1)</f>
        <v>0</v>
      </c>
      <c r="S98" s="142">
        <f>SUMIFS(領用表!$L:$L,領用表!$E:$E,$B98,領用表!$B:$B,S$2&amp;$P$1)</f>
        <v>0</v>
      </c>
      <c r="T98" s="142">
        <f>SUMIFS(領用表!$L:$L,領用表!$E:$E,$B98,領用表!$B:$B,T$2&amp;$P$1)</f>
        <v>0</v>
      </c>
      <c r="U98" s="142">
        <f>SUMIFS(領用表!$L:$L,領用表!$E:$E,$B98,領用表!$B:$B,U$2&amp;$P$1)</f>
        <v>0</v>
      </c>
      <c r="V98" s="142">
        <f>SUMIFS(領用表!$L:$L,領用表!$E:$E,$B98,領用表!$B:$B,V$2&amp;$P$1)</f>
        <v>0</v>
      </c>
      <c r="W98" s="142">
        <f>SUMIFS(領用表!$L:$L,領用表!$E:$E,$B98,領用表!$B:$B,W$2&amp;$P$1)</f>
        <v>0</v>
      </c>
      <c r="X98" s="142">
        <f>SUMIFS(領用表!$L:$L,領用表!$E:$E,$B98,領用表!$B:$B,X$2&amp;$P$1)</f>
        <v>0</v>
      </c>
      <c r="Y98" s="142">
        <f>SUMIFS(領用表!$L:$L,領用表!$E:$E,$B98,領用表!$B:$B,Y$2&amp;$P$1)</f>
        <v>0</v>
      </c>
      <c r="Z98" s="142">
        <f>SUMIFS(領用表!$L:$L,領用表!$E:$E,$B98,領用表!$B:$B,Z$2&amp;$P$1)</f>
        <v>0</v>
      </c>
      <c r="AA98" s="142">
        <f>SUMIFS(領用表!$L:$L,領用表!$E:$E,$B98,領用表!$B:$B,AA$2&amp;$P$1)</f>
        <v>0</v>
      </c>
      <c r="AB98" s="142">
        <f t="shared" si="8"/>
        <v>0</v>
      </c>
      <c r="AC98" s="142">
        <f t="shared" si="9"/>
        <v>0</v>
      </c>
      <c r="AD98" s="142">
        <f>SUMIF(Summary!B:B,B98,Summary!DV:DV)</f>
        <v>0</v>
      </c>
      <c r="AE98" s="108">
        <v>3</v>
      </c>
      <c r="AF98" s="65"/>
      <c r="AG98" s="65"/>
      <c r="AH98" s="65"/>
      <c r="AI98" s="27"/>
      <c r="AJ98" s="27"/>
      <c r="AK98" s="14"/>
      <c r="AL98" s="29"/>
    </row>
    <row r="99" spans="1:38" ht="15.75" customHeight="1">
      <c r="A99" s="27"/>
      <c r="B99" s="14">
        <v>6120024</v>
      </c>
      <c r="C99" s="136" t="s">
        <v>522</v>
      </c>
      <c r="D99" s="77"/>
      <c r="E99" s="17" t="s">
        <v>15</v>
      </c>
      <c r="F99" s="18"/>
      <c r="G99" s="18">
        <v>42</v>
      </c>
      <c r="H99" s="20">
        <f>SUMIFS(領用表!$L:$L,領用表!$E:$E,$B99,領用表!$B:$B,H$2&amp;$P$1)</f>
        <v>0</v>
      </c>
      <c r="I99" s="20">
        <f>SUMIFS(領用表!$L:$L,領用表!$E:$E,$B99,領用表!$B:$B,I$2&amp;$P$1)</f>
        <v>0</v>
      </c>
      <c r="J99" s="20">
        <f>SUMIFS(領用表!$L:$L,領用表!$E:$E,$B99,領用表!$B:$B,J$2&amp;$P$1)</f>
        <v>0</v>
      </c>
      <c r="K99" s="142">
        <f>SUMIFS(領用表!$L:$L,領用表!$E:$E,$B99,領用表!$B:$B,K$2&amp;$P$1)</f>
        <v>0</v>
      </c>
      <c r="L99" s="142">
        <f>SUMIFS(領用表!$L:$L,領用表!$E:$E,$B99,領用表!$B:$B,L$2&amp;$P$1)</f>
        <v>0</v>
      </c>
      <c r="M99" s="142">
        <f>SUMIFS(領用表!$L:$L,領用表!$E:$E,$B99,領用表!$B:$B,M$2&amp;$P$1)</f>
        <v>0</v>
      </c>
      <c r="N99" s="23">
        <f t="shared" si="10"/>
        <v>0</v>
      </c>
      <c r="O99" s="23">
        <f t="shared" si="11"/>
        <v>0</v>
      </c>
      <c r="P99" s="142">
        <f>SUMIFS(領用表!$L:$L,領用表!$E:$E,$B99,領用表!$B:$B,P$2&amp;$P$1)</f>
        <v>0</v>
      </c>
      <c r="Q99" s="142">
        <f>SUMIFS(領用表!$L:$L,領用表!$E:$E,$B99,領用表!$B:$B,Q$2&amp;$P$1)</f>
        <v>0</v>
      </c>
      <c r="R99" s="142">
        <f>SUMIFS(領用表!$L:$L,領用表!$E:$E,$B99,領用表!$B:$B,R$2&amp;$P$1)</f>
        <v>0</v>
      </c>
      <c r="S99" s="142">
        <f>SUMIFS(領用表!$L:$L,領用表!$E:$E,$B99,領用表!$B:$B,S$2&amp;$P$1)</f>
        <v>0</v>
      </c>
      <c r="T99" s="142">
        <f>SUMIFS(領用表!$L:$L,領用表!$E:$E,$B99,領用表!$B:$B,T$2&amp;$P$1)</f>
        <v>0</v>
      </c>
      <c r="U99" s="142">
        <f>SUMIFS(領用表!$L:$L,領用表!$E:$E,$B99,領用表!$B:$B,U$2&amp;$P$1)</f>
        <v>0</v>
      </c>
      <c r="V99" s="142">
        <f>SUMIFS(領用表!$L:$L,領用表!$E:$E,$B99,領用表!$B:$B,V$2&amp;$P$1)</f>
        <v>0</v>
      </c>
      <c r="W99" s="142">
        <f>SUMIFS(領用表!$L:$L,領用表!$E:$E,$B99,領用表!$B:$B,W$2&amp;$P$1)</f>
        <v>0</v>
      </c>
      <c r="X99" s="142">
        <f>SUMIFS(領用表!$L:$L,領用表!$E:$E,$B99,領用表!$B:$B,X$2&amp;$P$1)</f>
        <v>0</v>
      </c>
      <c r="Y99" s="142">
        <f>SUMIFS(領用表!$L:$L,領用表!$E:$E,$B99,領用表!$B:$B,Y$2&amp;$P$1)</f>
        <v>0</v>
      </c>
      <c r="Z99" s="142">
        <f>SUMIFS(領用表!$L:$L,領用表!$E:$E,$B99,領用表!$B:$B,Z$2&amp;$P$1)</f>
        <v>0</v>
      </c>
      <c r="AA99" s="142">
        <f>SUMIFS(領用表!$L:$L,領用表!$E:$E,$B99,領用表!$B:$B,AA$2&amp;$P$1)</f>
        <v>0</v>
      </c>
      <c r="AB99" s="142">
        <f t="shared" si="8"/>
        <v>0</v>
      </c>
      <c r="AC99" s="142">
        <f t="shared" si="9"/>
        <v>0</v>
      </c>
      <c r="AD99" s="142">
        <f>SUMIF(Summary!B:B,B99,Summary!DV:DV)</f>
        <v>0</v>
      </c>
      <c r="AE99" s="109">
        <v>3</v>
      </c>
      <c r="AF99" s="65"/>
      <c r="AG99" s="65"/>
      <c r="AH99" s="65"/>
      <c r="AI99" s="27"/>
      <c r="AJ99" s="27"/>
      <c r="AK99" s="14"/>
      <c r="AL99" s="29"/>
    </row>
    <row r="100" spans="1:38" ht="15.75" customHeight="1">
      <c r="A100" s="27"/>
      <c r="B100" s="14">
        <v>6120025</v>
      </c>
      <c r="C100" s="136" t="s">
        <v>523</v>
      </c>
      <c r="D100" s="77"/>
      <c r="E100" s="17" t="s">
        <v>15</v>
      </c>
      <c r="F100" s="18"/>
      <c r="G100" s="18">
        <v>40</v>
      </c>
      <c r="H100" s="20">
        <f>SUMIFS(領用表!$L:$L,領用表!$E:$E,$B100,領用表!$B:$B,H$2&amp;$P$1)</f>
        <v>0</v>
      </c>
      <c r="I100" s="20">
        <f>SUMIFS(領用表!$L:$L,領用表!$E:$E,$B100,領用表!$B:$B,I$2&amp;$P$1)</f>
        <v>0</v>
      </c>
      <c r="J100" s="20">
        <f>SUMIFS(領用表!$L:$L,領用表!$E:$E,$B100,領用表!$B:$B,J$2&amp;$P$1)</f>
        <v>0</v>
      </c>
      <c r="K100" s="142">
        <f>SUMIFS(領用表!$L:$L,領用表!$E:$E,$B100,領用表!$B:$B,K$2&amp;$P$1)</f>
        <v>0</v>
      </c>
      <c r="L100" s="142">
        <f>SUMIFS(領用表!$L:$L,領用表!$E:$E,$B100,領用表!$B:$B,L$2&amp;$P$1)</f>
        <v>0</v>
      </c>
      <c r="M100" s="142">
        <f>SUMIFS(領用表!$L:$L,領用表!$E:$E,$B100,領用表!$B:$B,M$2&amp;$P$1)</f>
        <v>0</v>
      </c>
      <c r="N100" s="23">
        <f t="shared" si="10"/>
        <v>0</v>
      </c>
      <c r="O100" s="23">
        <f t="shared" si="11"/>
        <v>0</v>
      </c>
      <c r="P100" s="142">
        <f>SUMIFS(領用表!$L:$L,領用表!$E:$E,$B100,領用表!$B:$B,P$2&amp;$P$1)</f>
        <v>0</v>
      </c>
      <c r="Q100" s="142">
        <f>SUMIFS(領用表!$L:$L,領用表!$E:$E,$B100,領用表!$B:$B,Q$2&amp;$P$1)</f>
        <v>0</v>
      </c>
      <c r="R100" s="142">
        <f>SUMIFS(領用表!$L:$L,領用表!$E:$E,$B100,領用表!$B:$B,R$2&amp;$P$1)</f>
        <v>0</v>
      </c>
      <c r="S100" s="142">
        <f>SUMIFS(領用表!$L:$L,領用表!$E:$E,$B100,領用表!$B:$B,S$2&amp;$P$1)</f>
        <v>0</v>
      </c>
      <c r="T100" s="142">
        <f>SUMIFS(領用表!$L:$L,領用表!$E:$E,$B100,領用表!$B:$B,T$2&amp;$P$1)</f>
        <v>0</v>
      </c>
      <c r="U100" s="142">
        <f>SUMIFS(領用表!$L:$L,領用表!$E:$E,$B100,領用表!$B:$B,U$2&amp;$P$1)</f>
        <v>0</v>
      </c>
      <c r="V100" s="142">
        <f>SUMIFS(領用表!$L:$L,領用表!$E:$E,$B100,領用表!$B:$B,V$2&amp;$P$1)</f>
        <v>0</v>
      </c>
      <c r="W100" s="142">
        <f>SUMIFS(領用表!$L:$L,領用表!$E:$E,$B100,領用表!$B:$B,W$2&amp;$P$1)</f>
        <v>0</v>
      </c>
      <c r="X100" s="142">
        <f>SUMIFS(領用表!$L:$L,領用表!$E:$E,$B100,領用表!$B:$B,X$2&amp;$P$1)</f>
        <v>0</v>
      </c>
      <c r="Y100" s="142">
        <f>SUMIFS(領用表!$L:$L,領用表!$E:$E,$B100,領用表!$B:$B,Y$2&amp;$P$1)</f>
        <v>0</v>
      </c>
      <c r="Z100" s="142">
        <f>SUMIFS(領用表!$L:$L,領用表!$E:$E,$B100,領用表!$B:$B,Z$2&amp;$P$1)</f>
        <v>0</v>
      </c>
      <c r="AA100" s="142">
        <f>SUMIFS(領用表!$L:$L,領用表!$E:$E,$B100,領用表!$B:$B,AA$2&amp;$P$1)</f>
        <v>0</v>
      </c>
      <c r="AB100" s="142">
        <f t="shared" si="8"/>
        <v>0</v>
      </c>
      <c r="AC100" s="142">
        <f t="shared" si="9"/>
        <v>0</v>
      </c>
      <c r="AD100" s="142">
        <f>SUMIF(Summary!B:B,B100,Summary!DV:DV)</f>
        <v>0</v>
      </c>
      <c r="AE100" s="109">
        <v>0</v>
      </c>
      <c r="AF100" s="65"/>
      <c r="AG100" s="65"/>
      <c r="AH100" s="65"/>
      <c r="AI100" s="27"/>
      <c r="AJ100" s="27"/>
      <c r="AK100" s="14"/>
      <c r="AL100" s="29"/>
    </row>
    <row r="101" spans="1:38" ht="15.75" customHeight="1">
      <c r="A101" s="27"/>
      <c r="B101" s="14" t="e">
        <v>#N/A</v>
      </c>
      <c r="C101" s="136" t="s">
        <v>524</v>
      </c>
      <c r="D101" s="77"/>
      <c r="E101" s="17" t="s">
        <v>15</v>
      </c>
      <c r="F101" s="18"/>
      <c r="G101" s="18"/>
      <c r="H101" s="20">
        <f>SUMIFS(領用表!$L:$L,領用表!$E:$E,$B101,領用表!$B:$B,H$2&amp;$P$1)</f>
        <v>0</v>
      </c>
      <c r="I101" s="20">
        <f>SUMIFS(領用表!$L:$L,領用表!$E:$E,$B101,領用表!$B:$B,I$2&amp;$P$1)</f>
        <v>0</v>
      </c>
      <c r="J101" s="20">
        <f>SUMIFS(領用表!$L:$L,領用表!$E:$E,$B101,領用表!$B:$B,J$2&amp;$P$1)</f>
        <v>0</v>
      </c>
      <c r="K101" s="142">
        <f>SUMIFS(領用表!$L:$L,領用表!$E:$E,$B101,領用表!$B:$B,K$2&amp;$P$1)</f>
        <v>0</v>
      </c>
      <c r="L101" s="142">
        <f>SUMIFS(領用表!$L:$L,領用表!$E:$E,$B101,領用表!$B:$B,L$2&amp;$P$1)</f>
        <v>0</v>
      </c>
      <c r="M101" s="142">
        <f>SUMIFS(領用表!$L:$L,領用表!$E:$E,$B101,領用表!$B:$B,M$2&amp;$P$1)</f>
        <v>0</v>
      </c>
      <c r="N101" s="23">
        <f t="shared" si="10"/>
        <v>0</v>
      </c>
      <c r="O101" s="23">
        <f t="shared" si="11"/>
        <v>0</v>
      </c>
      <c r="P101" s="142">
        <f>SUMIFS(領用表!$L:$L,領用表!$E:$E,$B101,領用表!$B:$B,P$2&amp;$P$1)</f>
        <v>0</v>
      </c>
      <c r="Q101" s="142">
        <f>SUMIFS(領用表!$L:$L,領用表!$E:$E,$B101,領用表!$B:$B,Q$2&amp;$P$1)</f>
        <v>0</v>
      </c>
      <c r="R101" s="142">
        <f>SUMIFS(領用表!$L:$L,領用表!$E:$E,$B101,領用表!$B:$B,R$2&amp;$P$1)</f>
        <v>0</v>
      </c>
      <c r="S101" s="142">
        <f>SUMIFS(領用表!$L:$L,領用表!$E:$E,$B101,領用表!$B:$B,S$2&amp;$P$1)</f>
        <v>0</v>
      </c>
      <c r="T101" s="142">
        <f>SUMIFS(領用表!$L:$L,領用表!$E:$E,$B101,領用表!$B:$B,T$2&amp;$P$1)</f>
        <v>0</v>
      </c>
      <c r="U101" s="142">
        <f>SUMIFS(領用表!$L:$L,領用表!$E:$E,$B101,領用表!$B:$B,U$2&amp;$P$1)</f>
        <v>0</v>
      </c>
      <c r="V101" s="142">
        <f>SUMIFS(領用表!$L:$L,領用表!$E:$E,$B101,領用表!$B:$B,V$2&amp;$P$1)</f>
        <v>0</v>
      </c>
      <c r="W101" s="142">
        <f>SUMIFS(領用表!$L:$L,領用表!$E:$E,$B101,領用表!$B:$B,W$2&amp;$P$1)</f>
        <v>0</v>
      </c>
      <c r="X101" s="142">
        <f>SUMIFS(領用表!$L:$L,領用表!$E:$E,$B101,領用表!$B:$B,X$2&amp;$P$1)</f>
        <v>0</v>
      </c>
      <c r="Y101" s="142">
        <f>SUMIFS(領用表!$L:$L,領用表!$E:$E,$B101,領用表!$B:$B,Y$2&amp;$P$1)</f>
        <v>0</v>
      </c>
      <c r="Z101" s="142">
        <f>SUMIFS(領用表!$L:$L,領用表!$E:$E,$B101,領用表!$B:$B,Z$2&amp;$P$1)</f>
        <v>0</v>
      </c>
      <c r="AA101" s="142">
        <f>SUMIFS(領用表!$L:$L,領用表!$E:$E,$B101,領用表!$B:$B,AA$2&amp;$P$1)</f>
        <v>0</v>
      </c>
      <c r="AB101" s="142">
        <f t="shared" si="8"/>
        <v>0</v>
      </c>
      <c r="AC101" s="142">
        <f t="shared" si="9"/>
        <v>0</v>
      </c>
      <c r="AD101" s="142">
        <f>SUMIF(Summary!B:B,B101,Summary!DV:DV)</f>
        <v>0</v>
      </c>
      <c r="AE101" s="109">
        <v>0</v>
      </c>
      <c r="AF101" s="65"/>
      <c r="AG101" s="65"/>
      <c r="AH101" s="65"/>
      <c r="AI101" s="27"/>
      <c r="AJ101" s="27"/>
      <c r="AK101" s="14"/>
      <c r="AL101" s="29"/>
    </row>
    <row r="102" spans="1:38" ht="15.75" customHeight="1">
      <c r="A102" s="27"/>
      <c r="B102" s="14">
        <v>6120027</v>
      </c>
      <c r="C102" s="136" t="s">
        <v>525</v>
      </c>
      <c r="D102" s="72"/>
      <c r="E102" s="17" t="s">
        <v>15</v>
      </c>
      <c r="F102" s="18"/>
      <c r="G102" s="18"/>
      <c r="H102" s="20">
        <f>SUMIFS(領用表!$L:$L,領用表!$E:$E,$B102,領用表!$B:$B,H$2&amp;$P$1)</f>
        <v>0</v>
      </c>
      <c r="I102" s="20">
        <f>SUMIFS(領用表!$L:$L,領用表!$E:$E,$B102,領用表!$B:$B,I$2&amp;$P$1)</f>
        <v>0</v>
      </c>
      <c r="J102" s="20">
        <f>SUMIFS(領用表!$L:$L,領用表!$E:$E,$B102,領用表!$B:$B,J$2&amp;$P$1)</f>
        <v>0</v>
      </c>
      <c r="K102" s="142">
        <f>SUMIFS(領用表!$L:$L,領用表!$E:$E,$B102,領用表!$B:$B,K$2&amp;$P$1)</f>
        <v>0</v>
      </c>
      <c r="L102" s="142">
        <f>SUMIFS(領用表!$L:$L,領用表!$E:$E,$B102,領用表!$B:$B,L$2&amp;$P$1)</f>
        <v>0</v>
      </c>
      <c r="M102" s="142">
        <f>SUMIFS(領用表!$L:$L,領用表!$E:$E,$B102,領用表!$B:$B,M$2&amp;$P$1)</f>
        <v>0</v>
      </c>
      <c r="N102" s="23">
        <f t="shared" si="10"/>
        <v>0</v>
      </c>
      <c r="O102" s="23">
        <f t="shared" si="11"/>
        <v>0</v>
      </c>
      <c r="P102" s="142">
        <f>SUMIFS(領用表!$L:$L,領用表!$E:$E,$B102,領用表!$B:$B,P$2&amp;$P$1)</f>
        <v>0</v>
      </c>
      <c r="Q102" s="142">
        <f>SUMIFS(領用表!$L:$L,領用表!$E:$E,$B102,領用表!$B:$B,Q$2&amp;$P$1)</f>
        <v>0</v>
      </c>
      <c r="R102" s="142">
        <f>SUMIFS(領用表!$L:$L,領用表!$E:$E,$B102,領用表!$B:$B,R$2&amp;$P$1)</f>
        <v>0</v>
      </c>
      <c r="S102" s="142">
        <f>SUMIFS(領用表!$L:$L,領用表!$E:$E,$B102,領用表!$B:$B,S$2&amp;$P$1)</f>
        <v>0</v>
      </c>
      <c r="T102" s="142">
        <f>SUMIFS(領用表!$L:$L,領用表!$E:$E,$B102,領用表!$B:$B,T$2&amp;$P$1)</f>
        <v>0</v>
      </c>
      <c r="U102" s="142">
        <f>SUMIFS(領用表!$L:$L,領用表!$E:$E,$B102,領用表!$B:$B,U$2&amp;$P$1)</f>
        <v>0</v>
      </c>
      <c r="V102" s="142">
        <f>SUMIFS(領用表!$L:$L,領用表!$E:$E,$B102,領用表!$B:$B,V$2&amp;$P$1)</f>
        <v>0</v>
      </c>
      <c r="W102" s="142">
        <f>SUMIFS(領用表!$L:$L,領用表!$E:$E,$B102,領用表!$B:$B,W$2&amp;$P$1)</f>
        <v>0</v>
      </c>
      <c r="X102" s="142">
        <f>SUMIFS(領用表!$L:$L,領用表!$E:$E,$B102,領用表!$B:$B,X$2&amp;$P$1)</f>
        <v>0</v>
      </c>
      <c r="Y102" s="142">
        <f>SUMIFS(領用表!$L:$L,領用表!$E:$E,$B102,領用表!$B:$B,Y$2&amp;$P$1)</f>
        <v>0</v>
      </c>
      <c r="Z102" s="142">
        <f>SUMIFS(領用表!$L:$L,領用表!$E:$E,$B102,領用表!$B:$B,Z$2&amp;$P$1)</f>
        <v>0</v>
      </c>
      <c r="AA102" s="142">
        <f>SUMIFS(領用表!$L:$L,領用表!$E:$E,$B102,領用表!$B:$B,AA$2&amp;$P$1)</f>
        <v>0</v>
      </c>
      <c r="AB102" s="142">
        <f t="shared" si="8"/>
        <v>0</v>
      </c>
      <c r="AC102" s="142">
        <f t="shared" si="9"/>
        <v>0</v>
      </c>
      <c r="AD102" s="142">
        <f>SUMIF(Summary!B:B,B102,Summary!DV:DV)</f>
        <v>0</v>
      </c>
      <c r="AE102" s="109">
        <v>3</v>
      </c>
      <c r="AF102" s="65"/>
      <c r="AG102" s="65"/>
      <c r="AH102" s="76"/>
      <c r="AI102" s="27"/>
      <c r="AJ102" s="69"/>
      <c r="AK102" s="14"/>
      <c r="AL102" s="14"/>
    </row>
    <row r="103" spans="1:38" ht="15.75" customHeight="1">
      <c r="A103" s="27"/>
      <c r="B103" s="14">
        <v>6120018</v>
      </c>
      <c r="C103" s="136" t="s">
        <v>526</v>
      </c>
      <c r="D103" s="72"/>
      <c r="E103" s="17" t="s">
        <v>15</v>
      </c>
      <c r="F103" s="18"/>
      <c r="G103" s="18">
        <v>132</v>
      </c>
      <c r="H103" s="20">
        <f>SUMIFS(領用表!$L:$L,領用表!$E:$E,$B103,領用表!$B:$B,H$2&amp;$P$1)</f>
        <v>0</v>
      </c>
      <c r="I103" s="20">
        <f>SUMIFS(領用表!$L:$L,領用表!$E:$E,$B103,領用表!$B:$B,I$2&amp;$P$1)</f>
        <v>0</v>
      </c>
      <c r="J103" s="20">
        <f>SUMIFS(領用表!$L:$L,領用表!$E:$E,$B103,領用表!$B:$B,J$2&amp;$P$1)</f>
        <v>0</v>
      </c>
      <c r="K103" s="142">
        <f>SUMIFS(領用表!$L:$L,領用表!$E:$E,$B103,領用表!$B:$B,K$2&amp;$P$1)</f>
        <v>0</v>
      </c>
      <c r="L103" s="142">
        <f>SUMIFS(領用表!$L:$L,領用表!$E:$E,$B103,領用表!$B:$B,L$2&amp;$P$1)</f>
        <v>0</v>
      </c>
      <c r="M103" s="142">
        <f>SUMIFS(領用表!$L:$L,領用表!$E:$E,$B103,領用表!$B:$B,M$2&amp;$P$1)</f>
        <v>0</v>
      </c>
      <c r="N103" s="23">
        <f t="shared" si="10"/>
        <v>0</v>
      </c>
      <c r="O103" s="23">
        <f t="shared" si="11"/>
        <v>0</v>
      </c>
      <c r="P103" s="142">
        <f>SUMIFS(領用表!$L:$L,領用表!$E:$E,$B103,領用表!$B:$B,P$2&amp;$P$1)</f>
        <v>0</v>
      </c>
      <c r="Q103" s="142">
        <f>SUMIFS(領用表!$L:$L,領用表!$E:$E,$B103,領用表!$B:$B,Q$2&amp;$P$1)</f>
        <v>10</v>
      </c>
      <c r="R103" s="142">
        <f>SUMIFS(領用表!$L:$L,領用表!$E:$E,$B103,領用表!$B:$B,R$2&amp;$P$1)</f>
        <v>22</v>
      </c>
      <c r="S103" s="142">
        <f>SUMIFS(領用表!$L:$L,領用表!$E:$E,$B103,領用表!$B:$B,S$2&amp;$P$1)</f>
        <v>40</v>
      </c>
      <c r="T103" s="142">
        <f>SUMIFS(領用表!$L:$L,領用表!$E:$E,$B103,領用表!$B:$B,T$2&amp;$P$1)</f>
        <v>82</v>
      </c>
      <c r="U103" s="142">
        <f>SUMIFS(領用表!$L:$L,領用表!$E:$E,$B103,領用表!$B:$B,U$2&amp;$P$1)</f>
        <v>0</v>
      </c>
      <c r="V103" s="142">
        <f>SUMIFS(領用表!$L:$L,領用表!$E:$E,$B103,領用表!$B:$B,V$2&amp;$P$1)</f>
        <v>0</v>
      </c>
      <c r="W103" s="142">
        <f>SUMIFS(領用表!$L:$L,領用表!$E:$E,$B103,領用表!$B:$B,W$2&amp;$P$1)</f>
        <v>0</v>
      </c>
      <c r="X103" s="142">
        <f>SUMIFS(領用表!$L:$L,領用表!$E:$E,$B103,領用表!$B:$B,X$2&amp;$P$1)</f>
        <v>0</v>
      </c>
      <c r="Y103" s="142">
        <f>SUMIFS(領用表!$L:$L,領用表!$E:$E,$B103,領用表!$B:$B,Y$2&amp;$P$1)</f>
        <v>0</v>
      </c>
      <c r="Z103" s="142">
        <f>SUMIFS(領用表!$L:$L,領用表!$E:$E,$B103,領用表!$B:$B,Z$2&amp;$P$1)</f>
        <v>0</v>
      </c>
      <c r="AA103" s="142">
        <f>SUMIFS(領用表!$L:$L,領用表!$E:$E,$B103,領用表!$B:$B,AA$2&amp;$P$1)</f>
        <v>0</v>
      </c>
      <c r="AB103" s="142">
        <f t="shared" si="8"/>
        <v>154</v>
      </c>
      <c r="AC103" s="142">
        <f t="shared" si="9"/>
        <v>38.5</v>
      </c>
      <c r="AD103" s="142">
        <f>SUMIF(Summary!B:B,B103,Summary!DV:DV)</f>
        <v>0</v>
      </c>
      <c r="AE103" s="109">
        <v>5</v>
      </c>
      <c r="AF103" s="65"/>
      <c r="AG103" s="76" t="s">
        <v>165</v>
      </c>
      <c r="AH103" s="65"/>
      <c r="AI103" s="27"/>
      <c r="AJ103" s="69"/>
      <c r="AK103" s="14"/>
      <c r="AL103" s="14"/>
    </row>
    <row r="104" spans="1:38" ht="15.75" customHeight="1">
      <c r="A104" s="27"/>
      <c r="B104" s="14">
        <v>6120011</v>
      </c>
      <c r="C104" s="136" t="s">
        <v>527</v>
      </c>
      <c r="D104" s="72">
        <v>10</v>
      </c>
      <c r="E104" s="17" t="s">
        <v>15</v>
      </c>
      <c r="F104" s="18"/>
      <c r="G104" s="18"/>
      <c r="H104" s="20">
        <f>SUMIFS(領用表!$L:$L,領用表!$E:$E,$B104,領用表!$B:$B,H$2&amp;$P$1)</f>
        <v>0</v>
      </c>
      <c r="I104" s="20">
        <f>SUMIFS(領用表!$L:$L,領用表!$E:$E,$B104,領用表!$B:$B,I$2&amp;$P$1)</f>
        <v>0</v>
      </c>
      <c r="J104" s="20">
        <f>SUMIFS(領用表!$L:$L,領用表!$E:$E,$B104,領用表!$B:$B,J$2&amp;$P$1)</f>
        <v>0</v>
      </c>
      <c r="K104" s="142">
        <f>SUMIFS(領用表!$L:$L,領用表!$E:$E,$B104,領用表!$B:$B,K$2&amp;$P$1)</f>
        <v>0</v>
      </c>
      <c r="L104" s="142">
        <f>SUMIFS(領用表!$L:$L,領用表!$E:$E,$B104,領用表!$B:$B,L$2&amp;$P$1)</f>
        <v>0</v>
      </c>
      <c r="M104" s="142">
        <f>SUMIFS(領用表!$L:$L,領用表!$E:$E,$B104,領用表!$B:$B,M$2&amp;$P$1)</f>
        <v>0</v>
      </c>
      <c r="N104" s="23">
        <f t="shared" si="10"/>
        <v>0</v>
      </c>
      <c r="O104" s="23">
        <f t="shared" si="11"/>
        <v>0</v>
      </c>
      <c r="P104" s="142">
        <f>SUMIFS(領用表!$L:$L,領用表!$E:$E,$B104,領用表!$B:$B,P$2&amp;$P$1)</f>
        <v>0</v>
      </c>
      <c r="Q104" s="142">
        <f>SUMIFS(領用表!$L:$L,領用表!$E:$E,$B104,領用表!$B:$B,Q$2&amp;$P$1)</f>
        <v>0</v>
      </c>
      <c r="R104" s="142">
        <f>SUMIFS(領用表!$L:$L,領用表!$E:$E,$B104,領用表!$B:$B,R$2&amp;$P$1)</f>
        <v>0</v>
      </c>
      <c r="S104" s="142">
        <f>SUMIFS(領用表!$L:$L,領用表!$E:$E,$B104,領用表!$B:$B,S$2&amp;$P$1)</f>
        <v>0</v>
      </c>
      <c r="T104" s="142">
        <f>SUMIFS(領用表!$L:$L,領用表!$E:$E,$B104,領用表!$B:$B,T$2&amp;$P$1)</f>
        <v>0</v>
      </c>
      <c r="U104" s="142">
        <f>SUMIFS(領用表!$L:$L,領用表!$E:$E,$B104,領用表!$B:$B,U$2&amp;$P$1)</f>
        <v>0</v>
      </c>
      <c r="V104" s="142">
        <f>SUMIFS(領用表!$L:$L,領用表!$E:$E,$B104,領用表!$B:$B,V$2&amp;$P$1)</f>
        <v>0</v>
      </c>
      <c r="W104" s="142">
        <f>SUMIFS(領用表!$L:$L,領用表!$E:$E,$B104,領用表!$B:$B,W$2&amp;$P$1)</f>
        <v>0</v>
      </c>
      <c r="X104" s="142">
        <f>SUMIFS(領用表!$L:$L,領用表!$E:$E,$B104,領用表!$B:$B,X$2&amp;$P$1)</f>
        <v>0</v>
      </c>
      <c r="Y104" s="142">
        <f>SUMIFS(領用表!$L:$L,領用表!$E:$E,$B104,領用表!$B:$B,Y$2&amp;$P$1)</f>
        <v>0</v>
      </c>
      <c r="Z104" s="142">
        <f>SUMIFS(領用表!$L:$L,領用表!$E:$E,$B104,領用表!$B:$B,Z$2&amp;$P$1)</f>
        <v>0</v>
      </c>
      <c r="AA104" s="142">
        <f>SUMIFS(領用表!$L:$L,領用表!$E:$E,$B104,領用表!$B:$B,AA$2&amp;$P$1)</f>
        <v>0</v>
      </c>
      <c r="AB104" s="142">
        <f t="shared" si="8"/>
        <v>0</v>
      </c>
      <c r="AC104" s="142">
        <f t="shared" si="9"/>
        <v>0</v>
      </c>
      <c r="AD104" s="142">
        <f>SUMIF(Summary!B:B,B104,Summary!DV:DV)</f>
        <v>0</v>
      </c>
      <c r="AE104" s="109">
        <v>3</v>
      </c>
      <c r="AF104" s="65"/>
      <c r="AG104" s="65" t="s">
        <v>166</v>
      </c>
      <c r="AH104" s="65"/>
      <c r="AI104" s="27"/>
      <c r="AJ104" s="69"/>
      <c r="AK104" s="14"/>
      <c r="AL104" s="14"/>
    </row>
    <row r="105" spans="1:38" ht="15.75" customHeight="1">
      <c r="A105" s="27"/>
      <c r="B105" s="14">
        <v>6120028</v>
      </c>
      <c r="C105" s="136" t="s">
        <v>529</v>
      </c>
      <c r="D105" s="77"/>
      <c r="E105" s="17" t="s">
        <v>15</v>
      </c>
      <c r="F105" s="18"/>
      <c r="G105" s="18"/>
      <c r="H105" s="20">
        <f>SUMIFS(領用表!$L:$L,領用表!$E:$E,$B105,領用表!$B:$B,H$2&amp;$P$1)</f>
        <v>0</v>
      </c>
      <c r="I105" s="20">
        <f>SUMIFS(領用表!$L:$L,領用表!$E:$E,$B105,領用表!$B:$B,I$2&amp;$P$1)</f>
        <v>0</v>
      </c>
      <c r="J105" s="20">
        <f>SUMIFS(領用表!$L:$L,領用表!$E:$E,$B105,領用表!$B:$B,J$2&amp;$P$1)</f>
        <v>0</v>
      </c>
      <c r="K105" s="142">
        <f>SUMIFS(領用表!$L:$L,領用表!$E:$E,$B105,領用表!$B:$B,K$2&amp;$P$1)</f>
        <v>0</v>
      </c>
      <c r="L105" s="142">
        <f>SUMIFS(領用表!$L:$L,領用表!$E:$E,$B105,領用表!$B:$B,L$2&amp;$P$1)</f>
        <v>0</v>
      </c>
      <c r="M105" s="142">
        <f>SUMIFS(領用表!$L:$L,領用表!$E:$E,$B105,領用表!$B:$B,M$2&amp;$P$1)</f>
        <v>0</v>
      </c>
      <c r="N105" s="23">
        <f t="shared" si="10"/>
        <v>0</v>
      </c>
      <c r="O105" s="23">
        <f t="shared" si="11"/>
        <v>0</v>
      </c>
      <c r="P105" s="142">
        <f>SUMIFS(領用表!$L:$L,領用表!$E:$E,$B105,領用表!$B:$B,P$2&amp;$P$1)</f>
        <v>0</v>
      </c>
      <c r="Q105" s="142">
        <f>SUMIFS(領用表!$L:$L,領用表!$E:$E,$B105,領用表!$B:$B,Q$2&amp;$P$1)</f>
        <v>0</v>
      </c>
      <c r="R105" s="142">
        <f>SUMIFS(領用表!$L:$L,領用表!$E:$E,$B105,領用表!$B:$B,R$2&amp;$P$1)</f>
        <v>0</v>
      </c>
      <c r="S105" s="142">
        <f>SUMIFS(領用表!$L:$L,領用表!$E:$E,$B105,領用表!$B:$B,S$2&amp;$P$1)</f>
        <v>0</v>
      </c>
      <c r="T105" s="142">
        <f>SUMIFS(領用表!$L:$L,領用表!$E:$E,$B105,領用表!$B:$B,T$2&amp;$P$1)</f>
        <v>0</v>
      </c>
      <c r="U105" s="142">
        <f>SUMIFS(領用表!$L:$L,領用表!$E:$E,$B105,領用表!$B:$B,U$2&amp;$P$1)</f>
        <v>0</v>
      </c>
      <c r="V105" s="142">
        <f>SUMIFS(領用表!$L:$L,領用表!$E:$E,$B105,領用表!$B:$B,V$2&amp;$P$1)</f>
        <v>0</v>
      </c>
      <c r="W105" s="142">
        <f>SUMIFS(領用表!$L:$L,領用表!$E:$E,$B105,領用表!$B:$B,W$2&amp;$P$1)</f>
        <v>0</v>
      </c>
      <c r="X105" s="142">
        <f>SUMIFS(領用表!$L:$L,領用表!$E:$E,$B105,領用表!$B:$B,X$2&amp;$P$1)</f>
        <v>0</v>
      </c>
      <c r="Y105" s="142">
        <f>SUMIFS(領用表!$L:$L,領用表!$E:$E,$B105,領用表!$B:$B,Y$2&amp;$P$1)</f>
        <v>0</v>
      </c>
      <c r="Z105" s="142">
        <f>SUMIFS(領用表!$L:$L,領用表!$E:$E,$B105,領用表!$B:$B,Z$2&amp;$P$1)</f>
        <v>0</v>
      </c>
      <c r="AA105" s="142">
        <f>SUMIFS(領用表!$L:$L,領用表!$E:$E,$B105,領用表!$B:$B,AA$2&amp;$P$1)</f>
        <v>0</v>
      </c>
      <c r="AB105" s="142">
        <f t="shared" si="8"/>
        <v>0</v>
      </c>
      <c r="AC105" s="142">
        <f t="shared" si="9"/>
        <v>0</v>
      </c>
      <c r="AD105" s="142">
        <f>SUMIF(Summary!B:B,B105,Summary!DV:DV)</f>
        <v>0</v>
      </c>
      <c r="AE105" s="109">
        <v>3</v>
      </c>
      <c r="AF105" s="65"/>
      <c r="AG105" s="65"/>
      <c r="AH105" s="65"/>
      <c r="AI105" s="27"/>
      <c r="AJ105" s="27"/>
      <c r="AK105" s="14"/>
      <c r="AL105" s="29"/>
    </row>
    <row r="106" spans="1:38" ht="15.75" customHeight="1">
      <c r="A106" s="27"/>
      <c r="B106" s="14">
        <v>6120017</v>
      </c>
      <c r="C106" s="136" t="s">
        <v>528</v>
      </c>
      <c r="D106" s="72"/>
      <c r="E106" s="17" t="s">
        <v>15</v>
      </c>
      <c r="F106" s="18"/>
      <c r="G106" s="18"/>
      <c r="H106" s="20">
        <f>SUMIFS(領用表!$L:$L,領用表!$E:$E,$B106,領用表!$B:$B,H$2&amp;$P$1)</f>
        <v>0</v>
      </c>
      <c r="I106" s="20">
        <f>SUMIFS(領用表!$L:$L,領用表!$E:$E,$B106,領用表!$B:$B,I$2&amp;$P$1)</f>
        <v>0</v>
      </c>
      <c r="J106" s="20">
        <f>SUMIFS(領用表!$L:$L,領用表!$E:$E,$B106,領用表!$B:$B,J$2&amp;$P$1)</f>
        <v>0</v>
      </c>
      <c r="K106" s="142">
        <f>SUMIFS(領用表!$L:$L,領用表!$E:$E,$B106,領用表!$B:$B,K$2&amp;$P$1)</f>
        <v>0</v>
      </c>
      <c r="L106" s="142">
        <f>SUMIFS(領用表!$L:$L,領用表!$E:$E,$B106,領用表!$B:$B,L$2&amp;$P$1)</f>
        <v>0</v>
      </c>
      <c r="M106" s="142">
        <f>SUMIFS(領用表!$L:$L,領用表!$E:$E,$B106,領用表!$B:$B,M$2&amp;$P$1)</f>
        <v>0</v>
      </c>
      <c r="N106" s="23">
        <f t="shared" si="10"/>
        <v>0</v>
      </c>
      <c r="O106" s="23">
        <f t="shared" si="11"/>
        <v>0</v>
      </c>
      <c r="P106" s="142">
        <f>SUMIFS(領用表!$L:$L,領用表!$E:$E,$B106,領用表!$B:$B,P$2&amp;$P$1)</f>
        <v>0</v>
      </c>
      <c r="Q106" s="142">
        <f>SUMIFS(領用表!$L:$L,領用表!$E:$E,$B106,領用表!$B:$B,Q$2&amp;$P$1)</f>
        <v>0</v>
      </c>
      <c r="R106" s="142">
        <f>SUMIFS(領用表!$L:$L,領用表!$E:$E,$B106,領用表!$B:$B,R$2&amp;$P$1)</f>
        <v>1</v>
      </c>
      <c r="S106" s="142">
        <f>SUMIFS(領用表!$L:$L,領用表!$E:$E,$B106,領用表!$B:$B,S$2&amp;$P$1)</f>
        <v>1</v>
      </c>
      <c r="T106" s="142">
        <f>SUMIFS(領用表!$L:$L,領用表!$E:$E,$B106,領用表!$B:$B,T$2&amp;$P$1)</f>
        <v>4</v>
      </c>
      <c r="U106" s="142">
        <f>SUMIFS(領用表!$L:$L,領用表!$E:$E,$B106,領用表!$B:$B,U$2&amp;$P$1)</f>
        <v>0</v>
      </c>
      <c r="V106" s="142">
        <f>SUMIFS(領用表!$L:$L,領用表!$E:$E,$B106,領用表!$B:$B,V$2&amp;$P$1)</f>
        <v>0</v>
      </c>
      <c r="W106" s="142">
        <f>SUMIFS(領用表!$L:$L,領用表!$E:$E,$B106,領用表!$B:$B,W$2&amp;$P$1)</f>
        <v>0</v>
      </c>
      <c r="X106" s="142">
        <f>SUMIFS(領用表!$L:$L,領用表!$E:$E,$B106,領用表!$B:$B,X$2&amp;$P$1)</f>
        <v>0</v>
      </c>
      <c r="Y106" s="142">
        <f>SUMIFS(領用表!$L:$L,領用表!$E:$E,$B106,領用表!$B:$B,Y$2&amp;$P$1)</f>
        <v>0</v>
      </c>
      <c r="Z106" s="142">
        <f>SUMIFS(領用表!$L:$L,領用表!$E:$E,$B106,領用表!$B:$B,Z$2&amp;$P$1)</f>
        <v>0</v>
      </c>
      <c r="AA106" s="142">
        <f>SUMIFS(領用表!$L:$L,領用表!$E:$E,$B106,領用表!$B:$B,AA$2&amp;$P$1)</f>
        <v>0</v>
      </c>
      <c r="AB106" s="142">
        <f t="shared" si="8"/>
        <v>6</v>
      </c>
      <c r="AC106" s="142">
        <f t="shared" si="9"/>
        <v>1.5</v>
      </c>
      <c r="AD106" s="142">
        <f>SUMIF(Summary!B:B,B106,Summary!DV:DV)</f>
        <v>0</v>
      </c>
      <c r="AE106" s="109">
        <v>0</v>
      </c>
      <c r="AF106" s="65"/>
      <c r="AG106" s="65"/>
      <c r="AH106" s="65"/>
      <c r="AI106" s="27"/>
      <c r="AJ106" s="69"/>
      <c r="AK106" s="14"/>
      <c r="AL106" s="14"/>
    </row>
    <row r="107" spans="1:38" ht="15.75" customHeight="1">
      <c r="A107" s="27"/>
      <c r="B107" s="14">
        <v>6120007</v>
      </c>
      <c r="C107" s="136" t="s">
        <v>530</v>
      </c>
      <c r="D107" s="72">
        <v>100</v>
      </c>
      <c r="E107" s="17" t="s">
        <v>15</v>
      </c>
      <c r="F107" s="18"/>
      <c r="G107" s="18"/>
      <c r="H107" s="20">
        <f>SUMIFS(領用表!$L:$L,領用表!$E:$E,$B107,領用表!$B:$B,H$2&amp;$P$1)</f>
        <v>0</v>
      </c>
      <c r="I107" s="20">
        <f>SUMIFS(領用表!$L:$L,領用表!$E:$E,$B107,領用表!$B:$B,I$2&amp;$P$1)</f>
        <v>0</v>
      </c>
      <c r="J107" s="20">
        <f>SUMIFS(領用表!$L:$L,領用表!$E:$E,$B107,領用表!$B:$B,J$2&amp;$P$1)</f>
        <v>0</v>
      </c>
      <c r="K107" s="142">
        <f>SUMIFS(領用表!$L:$L,領用表!$E:$E,$B107,領用表!$B:$B,K$2&amp;$P$1)</f>
        <v>0</v>
      </c>
      <c r="L107" s="142">
        <f>SUMIFS(領用表!$L:$L,領用表!$E:$E,$B107,領用表!$B:$B,L$2&amp;$P$1)</f>
        <v>0</v>
      </c>
      <c r="M107" s="142">
        <f>SUMIFS(領用表!$L:$L,領用表!$E:$E,$B107,領用表!$B:$B,M$2&amp;$P$1)</f>
        <v>0</v>
      </c>
      <c r="N107" s="23">
        <f t="shared" si="10"/>
        <v>0</v>
      </c>
      <c r="O107" s="23">
        <f t="shared" si="11"/>
        <v>0</v>
      </c>
      <c r="P107" s="142">
        <f>SUMIFS(領用表!$L:$L,領用表!$E:$E,$B107,領用表!$B:$B,P$2&amp;$P$1)</f>
        <v>0</v>
      </c>
      <c r="Q107" s="142">
        <f>SUMIFS(領用表!$L:$L,領用表!$E:$E,$B107,領用表!$B:$B,Q$2&amp;$P$1)</f>
        <v>0</v>
      </c>
      <c r="R107" s="142">
        <f>SUMIFS(領用表!$L:$L,領用表!$E:$E,$B107,領用表!$B:$B,R$2&amp;$P$1)</f>
        <v>1</v>
      </c>
      <c r="S107" s="142">
        <f>SUMIFS(領用表!$L:$L,領用表!$E:$E,$B107,領用表!$B:$B,S$2&amp;$P$1)</f>
        <v>2</v>
      </c>
      <c r="T107" s="142">
        <f>SUMIFS(領用表!$L:$L,領用表!$E:$E,$B107,領用表!$B:$B,T$2&amp;$P$1)</f>
        <v>4</v>
      </c>
      <c r="U107" s="142">
        <f>SUMIFS(領用表!$L:$L,領用表!$E:$E,$B107,領用表!$B:$B,U$2&amp;$P$1)</f>
        <v>0</v>
      </c>
      <c r="V107" s="142">
        <f>SUMIFS(領用表!$L:$L,領用表!$E:$E,$B107,領用表!$B:$B,V$2&amp;$P$1)</f>
        <v>0</v>
      </c>
      <c r="W107" s="142">
        <f>SUMIFS(領用表!$L:$L,領用表!$E:$E,$B107,領用表!$B:$B,W$2&amp;$P$1)</f>
        <v>0</v>
      </c>
      <c r="X107" s="142">
        <f>SUMIFS(領用表!$L:$L,領用表!$E:$E,$B107,領用表!$B:$B,X$2&amp;$P$1)</f>
        <v>0</v>
      </c>
      <c r="Y107" s="142">
        <f>SUMIFS(領用表!$L:$L,領用表!$E:$E,$B107,領用表!$B:$B,Y$2&amp;$P$1)</f>
        <v>0</v>
      </c>
      <c r="Z107" s="142">
        <f>SUMIFS(領用表!$L:$L,領用表!$E:$E,$B107,領用表!$B:$B,Z$2&amp;$P$1)</f>
        <v>0</v>
      </c>
      <c r="AA107" s="142">
        <f>SUMIFS(領用表!$L:$L,領用表!$E:$E,$B107,領用表!$B:$B,AA$2&amp;$P$1)</f>
        <v>0</v>
      </c>
      <c r="AB107" s="142">
        <f t="shared" si="8"/>
        <v>7</v>
      </c>
      <c r="AC107" s="142">
        <f t="shared" si="9"/>
        <v>1.75</v>
      </c>
      <c r="AD107" s="142">
        <f>SUMIF(Summary!B:B,B107,Summary!DV:DV)</f>
        <v>0</v>
      </c>
      <c r="AE107" s="109">
        <v>3</v>
      </c>
      <c r="AF107" s="65"/>
      <c r="AG107" s="65"/>
      <c r="AH107" s="65"/>
      <c r="AI107" s="27"/>
      <c r="AJ107" s="69"/>
      <c r="AK107" s="14"/>
      <c r="AL107" s="14"/>
    </row>
    <row r="108" spans="1:38" ht="15.75" customHeight="1">
      <c r="A108" s="27"/>
      <c r="B108" s="14">
        <v>6120008</v>
      </c>
      <c r="C108" s="136" t="s">
        <v>531</v>
      </c>
      <c r="D108" s="72">
        <v>100</v>
      </c>
      <c r="E108" s="17" t="s">
        <v>15</v>
      </c>
      <c r="F108" s="18"/>
      <c r="G108" s="18"/>
      <c r="H108" s="20">
        <f>SUMIFS(領用表!$L:$L,領用表!$E:$E,$B108,領用表!$B:$B,H$2&amp;$P$1)</f>
        <v>0</v>
      </c>
      <c r="I108" s="20">
        <f>SUMIFS(領用表!$L:$L,領用表!$E:$E,$B108,領用表!$B:$B,I$2&amp;$P$1)</f>
        <v>0</v>
      </c>
      <c r="J108" s="20">
        <f>SUMIFS(領用表!$L:$L,領用表!$E:$E,$B108,領用表!$B:$B,J$2&amp;$P$1)</f>
        <v>0</v>
      </c>
      <c r="K108" s="142">
        <f>SUMIFS(領用表!$L:$L,領用表!$E:$E,$B108,領用表!$B:$B,K$2&amp;$P$1)</f>
        <v>0</v>
      </c>
      <c r="L108" s="142">
        <f>SUMIFS(領用表!$L:$L,領用表!$E:$E,$B108,領用表!$B:$B,L$2&amp;$P$1)</f>
        <v>0</v>
      </c>
      <c r="M108" s="142">
        <f>SUMIFS(領用表!$L:$L,領用表!$E:$E,$B108,領用表!$B:$B,M$2&amp;$P$1)</f>
        <v>0</v>
      </c>
      <c r="N108" s="23">
        <f t="shared" si="10"/>
        <v>0</v>
      </c>
      <c r="O108" s="23">
        <f t="shared" si="11"/>
        <v>0</v>
      </c>
      <c r="P108" s="142">
        <f>SUMIFS(領用表!$L:$L,領用表!$E:$E,$B108,領用表!$B:$B,P$2&amp;$P$1)</f>
        <v>0</v>
      </c>
      <c r="Q108" s="142">
        <f>SUMIFS(領用表!$L:$L,領用表!$E:$E,$B108,領用表!$B:$B,Q$2&amp;$P$1)</f>
        <v>0</v>
      </c>
      <c r="R108" s="142">
        <f>SUMIFS(領用表!$L:$L,領用表!$E:$E,$B108,領用表!$B:$B,R$2&amp;$P$1)</f>
        <v>0</v>
      </c>
      <c r="S108" s="142">
        <f>SUMIFS(領用表!$L:$L,領用表!$E:$E,$B108,領用表!$B:$B,S$2&amp;$P$1)</f>
        <v>0</v>
      </c>
      <c r="T108" s="142">
        <f>SUMIFS(領用表!$L:$L,領用表!$E:$E,$B108,領用表!$B:$B,T$2&amp;$P$1)</f>
        <v>0</v>
      </c>
      <c r="U108" s="142">
        <f>SUMIFS(領用表!$L:$L,領用表!$E:$E,$B108,領用表!$B:$B,U$2&amp;$P$1)</f>
        <v>0</v>
      </c>
      <c r="V108" s="142">
        <f>SUMIFS(領用表!$L:$L,領用表!$E:$E,$B108,領用表!$B:$B,V$2&amp;$P$1)</f>
        <v>0</v>
      </c>
      <c r="W108" s="142">
        <f>SUMIFS(領用表!$L:$L,領用表!$E:$E,$B108,領用表!$B:$B,W$2&amp;$P$1)</f>
        <v>0</v>
      </c>
      <c r="X108" s="142">
        <f>SUMIFS(領用表!$L:$L,領用表!$E:$E,$B108,領用表!$B:$B,X$2&amp;$P$1)</f>
        <v>0</v>
      </c>
      <c r="Y108" s="142">
        <f>SUMIFS(領用表!$L:$L,領用表!$E:$E,$B108,領用表!$B:$B,Y$2&amp;$P$1)</f>
        <v>0</v>
      </c>
      <c r="Z108" s="142">
        <f>SUMIFS(領用表!$L:$L,領用表!$E:$E,$B108,領用表!$B:$B,Z$2&amp;$P$1)</f>
        <v>0</v>
      </c>
      <c r="AA108" s="142">
        <f>SUMIFS(領用表!$L:$L,領用表!$E:$E,$B108,領用表!$B:$B,AA$2&amp;$P$1)</f>
        <v>0</v>
      </c>
      <c r="AB108" s="142">
        <f t="shared" si="8"/>
        <v>0</v>
      </c>
      <c r="AC108" s="142">
        <f t="shared" si="9"/>
        <v>0</v>
      </c>
      <c r="AD108" s="142">
        <f>SUMIF(Summary!B:B,B108,Summary!DV:DV)</f>
        <v>0</v>
      </c>
      <c r="AE108" s="109">
        <v>0</v>
      </c>
      <c r="AF108" s="65"/>
      <c r="AG108" s="65"/>
      <c r="AH108" s="65"/>
      <c r="AI108" s="27"/>
      <c r="AJ108" s="69"/>
      <c r="AK108" s="14"/>
      <c r="AL108" s="14"/>
    </row>
    <row r="109" spans="1:38" ht="15.75" customHeight="1">
      <c r="A109" s="27"/>
      <c r="B109" s="14">
        <v>6120029</v>
      </c>
      <c r="C109" s="136" t="s">
        <v>532</v>
      </c>
      <c r="D109" s="77"/>
      <c r="E109" s="17" t="s">
        <v>15</v>
      </c>
      <c r="F109" s="18"/>
      <c r="G109" s="18"/>
      <c r="H109" s="20">
        <f>SUMIFS(領用表!$L:$L,領用表!$E:$E,$B109,領用表!$B:$B,H$2&amp;$P$1)</f>
        <v>0</v>
      </c>
      <c r="I109" s="20">
        <f>SUMIFS(領用表!$L:$L,領用表!$E:$E,$B109,領用表!$B:$B,I$2&amp;$P$1)</f>
        <v>0</v>
      </c>
      <c r="J109" s="20">
        <f>SUMIFS(領用表!$L:$L,領用表!$E:$E,$B109,領用表!$B:$B,J$2&amp;$P$1)</f>
        <v>0</v>
      </c>
      <c r="K109" s="142">
        <f>SUMIFS(領用表!$L:$L,領用表!$E:$E,$B109,領用表!$B:$B,K$2&amp;$P$1)</f>
        <v>0</v>
      </c>
      <c r="L109" s="142">
        <f>SUMIFS(領用表!$L:$L,領用表!$E:$E,$B109,領用表!$B:$B,L$2&amp;$P$1)</f>
        <v>0</v>
      </c>
      <c r="M109" s="142">
        <f>SUMIFS(領用表!$L:$L,領用表!$E:$E,$B109,領用表!$B:$B,M$2&amp;$P$1)</f>
        <v>0</v>
      </c>
      <c r="N109" s="23">
        <f t="shared" si="10"/>
        <v>0</v>
      </c>
      <c r="O109" s="23">
        <f t="shared" si="11"/>
        <v>0</v>
      </c>
      <c r="P109" s="142">
        <f>SUMIFS(領用表!$L:$L,領用表!$E:$E,$B109,領用表!$B:$B,P$2&amp;$P$1)</f>
        <v>0</v>
      </c>
      <c r="Q109" s="142">
        <f>SUMIFS(領用表!$L:$L,領用表!$E:$E,$B109,領用表!$B:$B,Q$2&amp;$P$1)</f>
        <v>0</v>
      </c>
      <c r="R109" s="142">
        <f>SUMIFS(領用表!$L:$L,領用表!$E:$E,$B109,領用表!$B:$B,R$2&amp;$P$1)</f>
        <v>0</v>
      </c>
      <c r="S109" s="142">
        <f>SUMIFS(領用表!$L:$L,領用表!$E:$E,$B109,領用表!$B:$B,S$2&amp;$P$1)</f>
        <v>0</v>
      </c>
      <c r="T109" s="142">
        <f>SUMIFS(領用表!$L:$L,領用表!$E:$E,$B109,領用表!$B:$B,T$2&amp;$P$1)</f>
        <v>0</v>
      </c>
      <c r="U109" s="142">
        <f>SUMIFS(領用表!$L:$L,領用表!$E:$E,$B109,領用表!$B:$B,U$2&amp;$P$1)</f>
        <v>0</v>
      </c>
      <c r="V109" s="142">
        <f>SUMIFS(領用表!$L:$L,領用表!$E:$E,$B109,領用表!$B:$B,V$2&amp;$P$1)</f>
        <v>0</v>
      </c>
      <c r="W109" s="142">
        <f>SUMIFS(領用表!$L:$L,領用表!$E:$E,$B109,領用表!$B:$B,W$2&amp;$P$1)</f>
        <v>0</v>
      </c>
      <c r="X109" s="142">
        <f>SUMIFS(領用表!$L:$L,領用表!$E:$E,$B109,領用表!$B:$B,X$2&amp;$P$1)</f>
        <v>0</v>
      </c>
      <c r="Y109" s="142">
        <f>SUMIFS(領用表!$L:$L,領用表!$E:$E,$B109,領用表!$B:$B,Y$2&amp;$P$1)</f>
        <v>0</v>
      </c>
      <c r="Z109" s="142">
        <f>SUMIFS(領用表!$L:$L,領用表!$E:$E,$B109,領用表!$B:$B,Z$2&amp;$P$1)</f>
        <v>0</v>
      </c>
      <c r="AA109" s="142">
        <f>SUMIFS(領用表!$L:$L,領用表!$E:$E,$B109,領用表!$B:$B,AA$2&amp;$P$1)</f>
        <v>0</v>
      </c>
      <c r="AB109" s="142">
        <f t="shared" si="8"/>
        <v>0</v>
      </c>
      <c r="AC109" s="142">
        <f t="shared" si="9"/>
        <v>0</v>
      </c>
      <c r="AD109" s="142">
        <f>SUMIF(Summary!B:B,B109,Summary!DV:DV)</f>
        <v>0</v>
      </c>
      <c r="AE109" s="109">
        <v>3</v>
      </c>
      <c r="AF109" s="65"/>
      <c r="AG109" s="65"/>
      <c r="AH109" s="65" t="s">
        <v>167</v>
      </c>
      <c r="AI109" s="27"/>
      <c r="AJ109" s="27"/>
      <c r="AK109" s="14"/>
      <c r="AL109" s="29"/>
    </row>
    <row r="110" spans="1:38" ht="15.75" customHeight="1">
      <c r="A110" s="27"/>
      <c r="B110" s="14">
        <v>6120030</v>
      </c>
      <c r="C110" s="136" t="s">
        <v>533</v>
      </c>
      <c r="D110" s="77"/>
      <c r="E110" s="17" t="s">
        <v>15</v>
      </c>
      <c r="F110" s="18"/>
      <c r="G110" s="18"/>
      <c r="H110" s="20">
        <f>SUMIFS(領用表!$L:$L,領用表!$E:$E,$B110,領用表!$B:$B,H$2&amp;$P$1)</f>
        <v>0</v>
      </c>
      <c r="I110" s="20">
        <f>SUMIFS(領用表!$L:$L,領用表!$E:$E,$B110,領用表!$B:$B,I$2&amp;$P$1)</f>
        <v>0</v>
      </c>
      <c r="J110" s="20">
        <f>SUMIFS(領用表!$L:$L,領用表!$E:$E,$B110,領用表!$B:$B,J$2&amp;$P$1)</f>
        <v>0</v>
      </c>
      <c r="K110" s="142">
        <f>SUMIFS(領用表!$L:$L,領用表!$E:$E,$B110,領用表!$B:$B,K$2&amp;$P$1)</f>
        <v>0</v>
      </c>
      <c r="L110" s="142">
        <f>SUMIFS(領用表!$L:$L,領用表!$E:$E,$B110,領用表!$B:$B,L$2&amp;$P$1)</f>
        <v>0</v>
      </c>
      <c r="M110" s="142">
        <f>SUMIFS(領用表!$L:$L,領用表!$E:$E,$B110,領用表!$B:$B,M$2&amp;$P$1)</f>
        <v>0</v>
      </c>
      <c r="N110" s="23">
        <f t="shared" si="10"/>
        <v>0</v>
      </c>
      <c r="O110" s="23">
        <f t="shared" si="11"/>
        <v>0</v>
      </c>
      <c r="P110" s="142">
        <f>SUMIFS(領用表!$L:$L,領用表!$E:$E,$B110,領用表!$B:$B,P$2&amp;$P$1)</f>
        <v>0</v>
      </c>
      <c r="Q110" s="142">
        <f>SUMIFS(領用表!$L:$L,領用表!$E:$E,$B110,領用表!$B:$B,Q$2&amp;$P$1)</f>
        <v>0</v>
      </c>
      <c r="R110" s="142">
        <f>SUMIFS(領用表!$L:$L,領用表!$E:$E,$B110,領用表!$B:$B,R$2&amp;$P$1)</f>
        <v>0</v>
      </c>
      <c r="S110" s="142">
        <f>SUMIFS(領用表!$L:$L,領用表!$E:$E,$B110,領用表!$B:$B,S$2&amp;$P$1)</f>
        <v>2</v>
      </c>
      <c r="T110" s="142">
        <f>SUMIFS(領用表!$L:$L,領用表!$E:$E,$B110,領用表!$B:$B,T$2&amp;$P$1)</f>
        <v>0</v>
      </c>
      <c r="U110" s="142">
        <f>SUMIFS(領用表!$L:$L,領用表!$E:$E,$B110,領用表!$B:$B,U$2&amp;$P$1)</f>
        <v>0</v>
      </c>
      <c r="V110" s="142">
        <f>SUMIFS(領用表!$L:$L,領用表!$E:$E,$B110,領用表!$B:$B,V$2&amp;$P$1)</f>
        <v>0</v>
      </c>
      <c r="W110" s="142">
        <f>SUMIFS(領用表!$L:$L,領用表!$E:$E,$B110,領用表!$B:$B,W$2&amp;$P$1)</f>
        <v>0</v>
      </c>
      <c r="X110" s="142">
        <f>SUMIFS(領用表!$L:$L,領用表!$E:$E,$B110,領用表!$B:$B,X$2&amp;$P$1)</f>
        <v>0</v>
      </c>
      <c r="Y110" s="142">
        <f>SUMIFS(領用表!$L:$L,領用表!$E:$E,$B110,領用表!$B:$B,Y$2&amp;$P$1)</f>
        <v>0</v>
      </c>
      <c r="Z110" s="142">
        <f>SUMIFS(領用表!$L:$L,領用表!$E:$E,$B110,領用表!$B:$B,Z$2&amp;$P$1)</f>
        <v>0</v>
      </c>
      <c r="AA110" s="142">
        <f>SUMIFS(領用表!$L:$L,領用表!$E:$E,$B110,領用表!$B:$B,AA$2&amp;$P$1)</f>
        <v>0</v>
      </c>
      <c r="AB110" s="142">
        <f t="shared" si="8"/>
        <v>2</v>
      </c>
      <c r="AC110" s="142">
        <f t="shared" si="9"/>
        <v>0.5</v>
      </c>
      <c r="AD110" s="142">
        <f>SUMIF(Summary!B:B,B110,Summary!DV:DV)</f>
        <v>0</v>
      </c>
      <c r="AE110" s="109">
        <v>3</v>
      </c>
      <c r="AF110" s="65"/>
      <c r="AG110" s="65"/>
      <c r="AH110" s="65"/>
      <c r="AI110" s="27"/>
      <c r="AJ110" s="27"/>
      <c r="AK110" s="14"/>
      <c r="AL110" s="29"/>
    </row>
    <row r="111" spans="1:38" ht="15.75" customHeight="1">
      <c r="A111" s="27"/>
      <c r="B111" s="14">
        <v>6120031</v>
      </c>
      <c r="C111" s="136" t="s">
        <v>534</v>
      </c>
      <c r="D111" s="77"/>
      <c r="E111" s="17" t="s">
        <v>15</v>
      </c>
      <c r="F111" s="18"/>
      <c r="G111" s="18"/>
      <c r="H111" s="20">
        <f>SUMIFS(領用表!$L:$L,領用表!$E:$E,$B111,領用表!$B:$B,H$2&amp;$P$1)</f>
        <v>0</v>
      </c>
      <c r="I111" s="20">
        <f>SUMIFS(領用表!$L:$L,領用表!$E:$E,$B111,領用表!$B:$B,I$2&amp;$P$1)</f>
        <v>0</v>
      </c>
      <c r="J111" s="20">
        <f>SUMIFS(領用表!$L:$L,領用表!$E:$E,$B111,領用表!$B:$B,J$2&amp;$P$1)</f>
        <v>0</v>
      </c>
      <c r="K111" s="142">
        <f>SUMIFS(領用表!$L:$L,領用表!$E:$E,$B111,領用表!$B:$B,K$2&amp;$P$1)</f>
        <v>0</v>
      </c>
      <c r="L111" s="142">
        <f>SUMIFS(領用表!$L:$L,領用表!$E:$E,$B111,領用表!$B:$B,L$2&amp;$P$1)</f>
        <v>0</v>
      </c>
      <c r="M111" s="142">
        <f>SUMIFS(領用表!$L:$L,領用表!$E:$E,$B111,領用表!$B:$B,M$2&amp;$P$1)</f>
        <v>0</v>
      </c>
      <c r="N111" s="23">
        <f t="shared" si="10"/>
        <v>0</v>
      </c>
      <c r="O111" s="23">
        <f t="shared" si="11"/>
        <v>0</v>
      </c>
      <c r="P111" s="142">
        <f>SUMIFS(領用表!$L:$L,領用表!$E:$E,$B111,領用表!$B:$B,P$2&amp;$P$1)</f>
        <v>0</v>
      </c>
      <c r="Q111" s="142">
        <f>SUMIFS(領用表!$L:$L,領用表!$E:$E,$B111,領用表!$B:$B,Q$2&amp;$P$1)</f>
        <v>0</v>
      </c>
      <c r="R111" s="142">
        <f>SUMIFS(領用表!$L:$L,領用表!$E:$E,$B111,領用表!$B:$B,R$2&amp;$P$1)</f>
        <v>0</v>
      </c>
      <c r="S111" s="142">
        <f>SUMIFS(領用表!$L:$L,領用表!$E:$E,$B111,領用表!$B:$B,S$2&amp;$P$1)</f>
        <v>0</v>
      </c>
      <c r="T111" s="142">
        <f>SUMIFS(領用表!$L:$L,領用表!$E:$E,$B111,領用表!$B:$B,T$2&amp;$P$1)</f>
        <v>0</v>
      </c>
      <c r="U111" s="142">
        <f>SUMIFS(領用表!$L:$L,領用表!$E:$E,$B111,領用表!$B:$B,U$2&amp;$P$1)</f>
        <v>0</v>
      </c>
      <c r="V111" s="142">
        <f>SUMIFS(領用表!$L:$L,領用表!$E:$E,$B111,領用表!$B:$B,V$2&amp;$P$1)</f>
        <v>0</v>
      </c>
      <c r="W111" s="142">
        <f>SUMIFS(領用表!$L:$L,領用表!$E:$E,$B111,領用表!$B:$B,W$2&amp;$P$1)</f>
        <v>0</v>
      </c>
      <c r="X111" s="142">
        <f>SUMIFS(領用表!$L:$L,領用表!$E:$E,$B111,領用表!$B:$B,X$2&amp;$P$1)</f>
        <v>0</v>
      </c>
      <c r="Y111" s="142">
        <f>SUMIFS(領用表!$L:$L,領用表!$E:$E,$B111,領用表!$B:$B,Y$2&amp;$P$1)</f>
        <v>0</v>
      </c>
      <c r="Z111" s="142">
        <f>SUMIFS(領用表!$L:$L,領用表!$E:$E,$B111,領用表!$B:$B,Z$2&amp;$P$1)</f>
        <v>0</v>
      </c>
      <c r="AA111" s="142">
        <f>SUMIFS(領用表!$L:$L,領用表!$E:$E,$B111,領用表!$B:$B,AA$2&amp;$P$1)</f>
        <v>0</v>
      </c>
      <c r="AB111" s="142">
        <f t="shared" si="8"/>
        <v>0</v>
      </c>
      <c r="AC111" s="142">
        <f t="shared" si="9"/>
        <v>0</v>
      </c>
      <c r="AD111" s="142">
        <f>SUMIF(Summary!B:B,B111,Summary!DV:DV)</f>
        <v>0</v>
      </c>
      <c r="AE111" s="109">
        <v>3</v>
      </c>
      <c r="AF111" s="65"/>
      <c r="AG111" s="65"/>
      <c r="AH111" s="65"/>
      <c r="AI111" s="27"/>
      <c r="AJ111" s="27"/>
      <c r="AK111" s="14"/>
      <c r="AL111" s="29"/>
    </row>
    <row r="112" spans="1:38" ht="15.75" customHeight="1">
      <c r="A112" s="27"/>
      <c r="B112" s="14">
        <v>6120032</v>
      </c>
      <c r="C112" s="136" t="s">
        <v>535</v>
      </c>
      <c r="D112" s="77"/>
      <c r="E112" s="17" t="s">
        <v>15</v>
      </c>
      <c r="F112" s="18"/>
      <c r="G112" s="18"/>
      <c r="H112" s="20">
        <f>SUMIFS(領用表!$L:$L,領用表!$E:$E,$B112,領用表!$B:$B,H$2&amp;$P$1)</f>
        <v>0</v>
      </c>
      <c r="I112" s="20">
        <f>SUMIFS(領用表!$L:$L,領用表!$E:$E,$B112,領用表!$B:$B,I$2&amp;$P$1)</f>
        <v>0</v>
      </c>
      <c r="J112" s="20">
        <f>SUMIFS(領用表!$L:$L,領用表!$E:$E,$B112,領用表!$B:$B,J$2&amp;$P$1)</f>
        <v>0</v>
      </c>
      <c r="K112" s="142">
        <f>SUMIFS(領用表!$L:$L,領用表!$E:$E,$B112,領用表!$B:$B,K$2&amp;$P$1)</f>
        <v>0</v>
      </c>
      <c r="L112" s="142">
        <f>SUMIFS(領用表!$L:$L,領用表!$E:$E,$B112,領用表!$B:$B,L$2&amp;$P$1)</f>
        <v>0</v>
      </c>
      <c r="M112" s="142">
        <f>SUMIFS(領用表!$L:$L,領用表!$E:$E,$B112,領用表!$B:$B,M$2&amp;$P$1)</f>
        <v>0</v>
      </c>
      <c r="N112" s="23">
        <f t="shared" si="10"/>
        <v>0</v>
      </c>
      <c r="O112" s="23">
        <f t="shared" si="11"/>
        <v>0</v>
      </c>
      <c r="P112" s="142">
        <f>SUMIFS(領用表!$L:$L,領用表!$E:$E,$B112,領用表!$B:$B,P$2&amp;$P$1)</f>
        <v>0</v>
      </c>
      <c r="Q112" s="142">
        <f>SUMIFS(領用表!$L:$L,領用表!$E:$E,$B112,領用表!$B:$B,Q$2&amp;$P$1)</f>
        <v>0</v>
      </c>
      <c r="R112" s="142">
        <f>SUMIFS(領用表!$L:$L,領用表!$E:$E,$B112,領用表!$B:$B,R$2&amp;$P$1)</f>
        <v>0</v>
      </c>
      <c r="S112" s="142">
        <f>SUMIFS(領用表!$L:$L,領用表!$E:$E,$B112,領用表!$B:$B,S$2&amp;$P$1)</f>
        <v>0</v>
      </c>
      <c r="T112" s="142">
        <f>SUMIFS(領用表!$L:$L,領用表!$E:$E,$B112,領用表!$B:$B,T$2&amp;$P$1)</f>
        <v>0</v>
      </c>
      <c r="U112" s="142">
        <f>SUMIFS(領用表!$L:$L,領用表!$E:$E,$B112,領用表!$B:$B,U$2&amp;$P$1)</f>
        <v>0</v>
      </c>
      <c r="V112" s="142">
        <f>SUMIFS(領用表!$L:$L,領用表!$E:$E,$B112,領用表!$B:$B,V$2&amp;$P$1)</f>
        <v>0</v>
      </c>
      <c r="W112" s="142">
        <f>SUMIFS(領用表!$L:$L,領用表!$E:$E,$B112,領用表!$B:$B,W$2&amp;$P$1)</f>
        <v>0</v>
      </c>
      <c r="X112" s="142">
        <f>SUMIFS(領用表!$L:$L,領用表!$E:$E,$B112,領用表!$B:$B,X$2&amp;$P$1)</f>
        <v>0</v>
      </c>
      <c r="Y112" s="142">
        <f>SUMIFS(領用表!$L:$L,領用表!$E:$E,$B112,領用表!$B:$B,Y$2&amp;$P$1)</f>
        <v>0</v>
      </c>
      <c r="Z112" s="142">
        <f>SUMIFS(領用表!$L:$L,領用表!$E:$E,$B112,領用表!$B:$B,Z$2&amp;$P$1)</f>
        <v>0</v>
      </c>
      <c r="AA112" s="142">
        <f>SUMIFS(領用表!$L:$L,領用表!$E:$E,$B112,領用表!$B:$B,AA$2&amp;$P$1)</f>
        <v>0</v>
      </c>
      <c r="AB112" s="142">
        <f t="shared" si="8"/>
        <v>0</v>
      </c>
      <c r="AC112" s="142">
        <f t="shared" si="9"/>
        <v>0</v>
      </c>
      <c r="AD112" s="142">
        <f>SUMIF(Summary!B:B,B112,Summary!DV:DV)</f>
        <v>0</v>
      </c>
      <c r="AE112" s="109">
        <v>0</v>
      </c>
      <c r="AF112" s="65"/>
      <c r="AG112" s="65"/>
      <c r="AH112" s="65"/>
      <c r="AI112" s="27"/>
      <c r="AJ112" s="27"/>
      <c r="AK112" s="14"/>
      <c r="AL112" s="29"/>
    </row>
    <row r="113" spans="1:38" ht="15.75" customHeight="1">
      <c r="A113" s="27"/>
      <c r="B113" s="14" t="e">
        <v>#N/A</v>
      </c>
      <c r="C113" s="136" t="s">
        <v>536</v>
      </c>
      <c r="D113" s="77">
        <v>60</v>
      </c>
      <c r="E113" s="17" t="s">
        <v>15</v>
      </c>
      <c r="F113" s="18"/>
      <c r="G113" s="18"/>
      <c r="H113" s="20">
        <f>SUMIFS(領用表!$L:$L,領用表!$E:$E,$B113,領用表!$B:$B,H$2&amp;$P$1)</f>
        <v>0</v>
      </c>
      <c r="I113" s="20">
        <f>SUMIFS(領用表!$L:$L,領用表!$E:$E,$B113,領用表!$B:$B,I$2&amp;$P$1)</f>
        <v>0</v>
      </c>
      <c r="J113" s="20">
        <f>SUMIFS(領用表!$L:$L,領用表!$E:$E,$B113,領用表!$B:$B,J$2&amp;$P$1)</f>
        <v>0</v>
      </c>
      <c r="K113" s="142">
        <f>SUMIFS(領用表!$L:$L,領用表!$E:$E,$B113,領用表!$B:$B,K$2&amp;$P$1)</f>
        <v>0</v>
      </c>
      <c r="L113" s="142">
        <f>SUMIFS(領用表!$L:$L,領用表!$E:$E,$B113,領用表!$B:$B,L$2&amp;$P$1)</f>
        <v>0</v>
      </c>
      <c r="M113" s="142">
        <f>SUMIFS(領用表!$L:$L,領用表!$E:$E,$B113,領用表!$B:$B,M$2&amp;$P$1)</f>
        <v>0</v>
      </c>
      <c r="N113" s="23">
        <f t="shared" si="10"/>
        <v>0</v>
      </c>
      <c r="O113" s="23">
        <f t="shared" si="11"/>
        <v>0</v>
      </c>
      <c r="P113" s="142">
        <f>SUMIFS(領用表!$L:$L,領用表!$E:$E,$B113,領用表!$B:$B,P$2&amp;$P$1)</f>
        <v>0</v>
      </c>
      <c r="Q113" s="142">
        <f>SUMIFS(領用表!$L:$L,領用表!$E:$E,$B113,領用表!$B:$B,Q$2&amp;$P$1)</f>
        <v>0</v>
      </c>
      <c r="R113" s="142">
        <f>SUMIFS(領用表!$L:$L,領用表!$E:$E,$B113,領用表!$B:$B,R$2&amp;$P$1)</f>
        <v>0</v>
      </c>
      <c r="S113" s="142">
        <f>SUMIFS(領用表!$L:$L,領用表!$E:$E,$B113,領用表!$B:$B,S$2&amp;$P$1)</f>
        <v>0</v>
      </c>
      <c r="T113" s="142">
        <f>SUMIFS(領用表!$L:$L,領用表!$E:$E,$B113,領用表!$B:$B,T$2&amp;$P$1)</f>
        <v>0</v>
      </c>
      <c r="U113" s="142">
        <f>SUMIFS(領用表!$L:$L,領用表!$E:$E,$B113,領用表!$B:$B,U$2&amp;$P$1)</f>
        <v>0</v>
      </c>
      <c r="V113" s="142">
        <f>SUMIFS(領用表!$L:$L,領用表!$E:$E,$B113,領用表!$B:$B,V$2&amp;$P$1)</f>
        <v>0</v>
      </c>
      <c r="W113" s="142">
        <f>SUMIFS(領用表!$L:$L,領用表!$E:$E,$B113,領用表!$B:$B,W$2&amp;$P$1)</f>
        <v>0</v>
      </c>
      <c r="X113" s="142">
        <f>SUMIFS(領用表!$L:$L,領用表!$E:$E,$B113,領用表!$B:$B,X$2&amp;$P$1)</f>
        <v>0</v>
      </c>
      <c r="Y113" s="142">
        <f>SUMIFS(領用表!$L:$L,領用表!$E:$E,$B113,領用表!$B:$B,Y$2&amp;$P$1)</f>
        <v>0</v>
      </c>
      <c r="Z113" s="142">
        <f>SUMIFS(領用表!$L:$L,領用表!$E:$E,$B113,領用表!$B:$B,Z$2&amp;$P$1)</f>
        <v>0</v>
      </c>
      <c r="AA113" s="142">
        <f>SUMIFS(領用表!$L:$L,領用表!$E:$E,$B113,領用表!$B:$B,AA$2&amp;$P$1)</f>
        <v>0</v>
      </c>
      <c r="AB113" s="142">
        <f t="shared" si="8"/>
        <v>0</v>
      </c>
      <c r="AC113" s="142">
        <f t="shared" si="9"/>
        <v>0</v>
      </c>
      <c r="AD113" s="142">
        <f>SUMIF(Summary!B:B,B113,Summary!DV:DV)</f>
        <v>0</v>
      </c>
      <c r="AE113" s="109">
        <v>3</v>
      </c>
      <c r="AF113" s="65"/>
      <c r="AG113" s="65"/>
      <c r="AH113" s="65"/>
      <c r="AI113" s="27"/>
      <c r="AJ113" s="27"/>
      <c r="AK113" s="14"/>
      <c r="AL113" s="29"/>
    </row>
    <row r="114" spans="1:38" ht="15.75" customHeight="1">
      <c r="A114" s="27"/>
      <c r="B114" s="14">
        <v>6120019</v>
      </c>
      <c r="C114" s="136" t="s">
        <v>537</v>
      </c>
      <c r="D114" s="77"/>
      <c r="E114" s="17" t="s">
        <v>15</v>
      </c>
      <c r="F114" s="18"/>
      <c r="G114" s="18"/>
      <c r="H114" s="20">
        <f>SUMIFS(領用表!$L:$L,領用表!$E:$E,$B114,領用表!$B:$B,H$2&amp;$P$1)</f>
        <v>0</v>
      </c>
      <c r="I114" s="20">
        <f>SUMIFS(領用表!$L:$L,領用表!$E:$E,$B114,領用表!$B:$B,I$2&amp;$P$1)</f>
        <v>0</v>
      </c>
      <c r="J114" s="20">
        <f>SUMIFS(領用表!$L:$L,領用表!$E:$E,$B114,領用表!$B:$B,J$2&amp;$P$1)</f>
        <v>0</v>
      </c>
      <c r="K114" s="142">
        <f>SUMIFS(領用表!$L:$L,領用表!$E:$E,$B114,領用表!$B:$B,K$2&amp;$P$1)</f>
        <v>0</v>
      </c>
      <c r="L114" s="142">
        <f>SUMIFS(領用表!$L:$L,領用表!$E:$E,$B114,領用表!$B:$B,L$2&amp;$P$1)</f>
        <v>0</v>
      </c>
      <c r="M114" s="142">
        <f>SUMIFS(領用表!$L:$L,領用表!$E:$E,$B114,領用表!$B:$B,M$2&amp;$P$1)</f>
        <v>0</v>
      </c>
      <c r="N114" s="23">
        <f t="shared" si="10"/>
        <v>0</v>
      </c>
      <c r="O114" s="23">
        <f t="shared" si="11"/>
        <v>0</v>
      </c>
      <c r="P114" s="142">
        <f>SUMIFS(領用表!$L:$L,領用表!$E:$E,$B114,領用表!$B:$B,P$2&amp;$P$1)</f>
        <v>0</v>
      </c>
      <c r="Q114" s="142">
        <f>SUMIFS(領用表!$L:$L,領用表!$E:$E,$B114,領用表!$B:$B,Q$2&amp;$P$1)</f>
        <v>0</v>
      </c>
      <c r="R114" s="142">
        <f>SUMIFS(領用表!$L:$L,領用表!$E:$E,$B114,領用表!$B:$B,R$2&amp;$P$1)</f>
        <v>0</v>
      </c>
      <c r="S114" s="142">
        <f>SUMIFS(領用表!$L:$L,領用表!$E:$E,$B114,領用表!$B:$B,S$2&amp;$P$1)</f>
        <v>0</v>
      </c>
      <c r="T114" s="142">
        <f>SUMIFS(領用表!$L:$L,領用表!$E:$E,$B114,領用表!$B:$B,T$2&amp;$P$1)</f>
        <v>0</v>
      </c>
      <c r="U114" s="142">
        <f>SUMIFS(領用表!$L:$L,領用表!$E:$E,$B114,領用表!$B:$B,U$2&amp;$P$1)</f>
        <v>0</v>
      </c>
      <c r="V114" s="142">
        <f>SUMIFS(領用表!$L:$L,領用表!$E:$E,$B114,領用表!$B:$B,V$2&amp;$P$1)</f>
        <v>0</v>
      </c>
      <c r="W114" s="142">
        <f>SUMIFS(領用表!$L:$L,領用表!$E:$E,$B114,領用表!$B:$B,W$2&amp;$P$1)</f>
        <v>0</v>
      </c>
      <c r="X114" s="142">
        <f>SUMIFS(領用表!$L:$L,領用表!$E:$E,$B114,領用表!$B:$B,X$2&amp;$P$1)</f>
        <v>0</v>
      </c>
      <c r="Y114" s="142">
        <f>SUMIFS(領用表!$L:$L,領用表!$E:$E,$B114,領用表!$B:$B,Y$2&amp;$P$1)</f>
        <v>0</v>
      </c>
      <c r="Z114" s="142">
        <f>SUMIFS(領用表!$L:$L,領用表!$E:$E,$B114,領用表!$B:$B,Z$2&amp;$P$1)</f>
        <v>0</v>
      </c>
      <c r="AA114" s="142">
        <f>SUMIFS(領用表!$L:$L,領用表!$E:$E,$B114,領用表!$B:$B,AA$2&amp;$P$1)</f>
        <v>0</v>
      </c>
      <c r="AB114" s="142">
        <f t="shared" si="8"/>
        <v>0</v>
      </c>
      <c r="AC114" s="142">
        <f t="shared" si="9"/>
        <v>0</v>
      </c>
      <c r="AD114" s="142">
        <f>SUMIF(Summary!B:B,B114,Summary!DV:DV)</f>
        <v>0</v>
      </c>
      <c r="AE114" s="109">
        <v>3</v>
      </c>
      <c r="AF114" s="65"/>
      <c r="AG114" s="65"/>
      <c r="AH114" s="65"/>
      <c r="AI114" s="27"/>
      <c r="AJ114" s="27"/>
      <c r="AK114" s="14"/>
      <c r="AL114" s="29"/>
    </row>
    <row r="115" spans="1:38" ht="15.75" customHeight="1">
      <c r="A115" s="27"/>
      <c r="B115" s="14" t="e">
        <v>#N/A</v>
      </c>
      <c r="C115" s="136" t="s">
        <v>538</v>
      </c>
      <c r="D115" s="77"/>
      <c r="E115" s="17" t="s">
        <v>15</v>
      </c>
      <c r="F115" s="18"/>
      <c r="G115" s="18"/>
      <c r="H115" s="20">
        <f>SUMIFS(領用表!$L:$L,領用表!$E:$E,$B115,領用表!$B:$B,H$2&amp;$P$1)</f>
        <v>0</v>
      </c>
      <c r="I115" s="20">
        <f>SUMIFS(領用表!$L:$L,領用表!$E:$E,$B115,領用表!$B:$B,I$2&amp;$P$1)</f>
        <v>0</v>
      </c>
      <c r="J115" s="20">
        <f>SUMIFS(領用表!$L:$L,領用表!$E:$E,$B115,領用表!$B:$B,J$2&amp;$P$1)</f>
        <v>0</v>
      </c>
      <c r="K115" s="142">
        <f>SUMIFS(領用表!$L:$L,領用表!$E:$E,$B115,領用表!$B:$B,K$2&amp;$P$1)</f>
        <v>0</v>
      </c>
      <c r="L115" s="142">
        <f>SUMIFS(領用表!$L:$L,領用表!$E:$E,$B115,領用表!$B:$B,L$2&amp;$P$1)</f>
        <v>0</v>
      </c>
      <c r="M115" s="142">
        <f>SUMIFS(領用表!$L:$L,領用表!$E:$E,$B115,領用表!$B:$B,M$2&amp;$P$1)</f>
        <v>0</v>
      </c>
      <c r="N115" s="23">
        <f t="shared" si="10"/>
        <v>0</v>
      </c>
      <c r="O115" s="23">
        <f t="shared" si="11"/>
        <v>0</v>
      </c>
      <c r="P115" s="142">
        <f>SUMIFS(領用表!$L:$L,領用表!$E:$E,$B115,領用表!$B:$B,P$2&amp;$P$1)</f>
        <v>0</v>
      </c>
      <c r="Q115" s="142">
        <f>SUMIFS(領用表!$L:$L,領用表!$E:$E,$B115,領用表!$B:$B,Q$2&amp;$P$1)</f>
        <v>0</v>
      </c>
      <c r="R115" s="142">
        <f>SUMIFS(領用表!$L:$L,領用表!$E:$E,$B115,領用表!$B:$B,R$2&amp;$P$1)</f>
        <v>0</v>
      </c>
      <c r="S115" s="142">
        <f>SUMIFS(領用表!$L:$L,領用表!$E:$E,$B115,領用表!$B:$B,S$2&amp;$P$1)</f>
        <v>0</v>
      </c>
      <c r="T115" s="142">
        <f>SUMIFS(領用表!$L:$L,領用表!$E:$E,$B115,領用表!$B:$B,T$2&amp;$P$1)</f>
        <v>0</v>
      </c>
      <c r="U115" s="142">
        <f>SUMIFS(領用表!$L:$L,領用表!$E:$E,$B115,領用表!$B:$B,U$2&amp;$P$1)</f>
        <v>0</v>
      </c>
      <c r="V115" s="142">
        <f>SUMIFS(領用表!$L:$L,領用表!$E:$E,$B115,領用表!$B:$B,V$2&amp;$P$1)</f>
        <v>0</v>
      </c>
      <c r="W115" s="142">
        <f>SUMIFS(領用表!$L:$L,領用表!$E:$E,$B115,領用表!$B:$B,W$2&amp;$P$1)</f>
        <v>0</v>
      </c>
      <c r="X115" s="142">
        <f>SUMIFS(領用表!$L:$L,領用表!$E:$E,$B115,領用表!$B:$B,X$2&amp;$P$1)</f>
        <v>0</v>
      </c>
      <c r="Y115" s="142">
        <f>SUMIFS(領用表!$L:$L,領用表!$E:$E,$B115,領用表!$B:$B,Y$2&amp;$P$1)</f>
        <v>0</v>
      </c>
      <c r="Z115" s="142">
        <f>SUMIFS(領用表!$L:$L,領用表!$E:$E,$B115,領用表!$B:$B,Z$2&amp;$P$1)</f>
        <v>0</v>
      </c>
      <c r="AA115" s="142">
        <f>SUMIFS(領用表!$L:$L,領用表!$E:$E,$B115,領用表!$B:$B,AA$2&amp;$P$1)</f>
        <v>0</v>
      </c>
      <c r="AB115" s="142">
        <f t="shared" si="8"/>
        <v>0</v>
      </c>
      <c r="AC115" s="142">
        <f t="shared" si="9"/>
        <v>0</v>
      </c>
      <c r="AD115" s="142">
        <f>SUMIF(Summary!B:B,B115,Summary!DV:DV)</f>
        <v>0</v>
      </c>
      <c r="AE115" s="109">
        <v>0</v>
      </c>
      <c r="AF115" s="65"/>
      <c r="AG115" s="65"/>
      <c r="AH115" s="65"/>
      <c r="AI115" s="27"/>
      <c r="AJ115" s="27"/>
      <c r="AK115" s="14"/>
      <c r="AL115" s="29"/>
    </row>
    <row r="116" spans="1:38" ht="15.75" customHeight="1" thickBot="1">
      <c r="A116" s="27"/>
      <c r="B116" s="14">
        <v>6130001</v>
      </c>
      <c r="C116" s="136" t="s">
        <v>539</v>
      </c>
      <c r="D116" s="77"/>
      <c r="E116" s="17" t="s">
        <v>15</v>
      </c>
      <c r="F116" s="18"/>
      <c r="G116" s="18"/>
      <c r="H116" s="20">
        <f>SUMIFS(領用表!$L:$L,領用表!$E:$E,$B116,領用表!$B:$B,H$2&amp;$P$1)</f>
        <v>0</v>
      </c>
      <c r="I116" s="20">
        <f>SUMIFS(領用表!$L:$L,領用表!$E:$E,$B116,領用表!$B:$B,I$2&amp;$P$1)</f>
        <v>0</v>
      </c>
      <c r="J116" s="20">
        <f>SUMIFS(領用表!$L:$L,領用表!$E:$E,$B116,領用表!$B:$B,J$2&amp;$P$1)</f>
        <v>0</v>
      </c>
      <c r="K116" s="142">
        <f>SUMIFS(領用表!$L:$L,領用表!$E:$E,$B116,領用表!$B:$B,K$2&amp;$P$1)</f>
        <v>0</v>
      </c>
      <c r="L116" s="142">
        <f>SUMIFS(領用表!$L:$L,領用表!$E:$E,$B116,領用表!$B:$B,L$2&amp;$P$1)</f>
        <v>0</v>
      </c>
      <c r="M116" s="142">
        <f>SUMIFS(領用表!$L:$L,領用表!$E:$E,$B116,領用表!$B:$B,M$2&amp;$P$1)</f>
        <v>0</v>
      </c>
      <c r="N116" s="23">
        <f t="shared" si="10"/>
        <v>0</v>
      </c>
      <c r="O116" s="23">
        <f t="shared" si="11"/>
        <v>0</v>
      </c>
      <c r="P116" s="142">
        <f>SUMIFS(領用表!$L:$L,領用表!$E:$E,$B116,領用表!$B:$B,P$2&amp;$P$1)</f>
        <v>0</v>
      </c>
      <c r="Q116" s="142">
        <f>SUMIFS(領用表!$L:$L,領用表!$E:$E,$B116,領用表!$B:$B,Q$2&amp;$P$1)</f>
        <v>0</v>
      </c>
      <c r="R116" s="142">
        <f>SUMIFS(領用表!$L:$L,領用表!$E:$E,$B116,領用表!$B:$B,R$2&amp;$P$1)</f>
        <v>0</v>
      </c>
      <c r="S116" s="142">
        <f>SUMIFS(領用表!$L:$L,領用表!$E:$E,$B116,領用表!$B:$B,S$2&amp;$P$1)</f>
        <v>0</v>
      </c>
      <c r="T116" s="142">
        <f>SUMIFS(領用表!$L:$L,領用表!$E:$E,$B116,領用表!$B:$B,T$2&amp;$P$1)</f>
        <v>0</v>
      </c>
      <c r="U116" s="142">
        <f>SUMIFS(領用表!$L:$L,領用表!$E:$E,$B116,領用表!$B:$B,U$2&amp;$P$1)</f>
        <v>0</v>
      </c>
      <c r="V116" s="142">
        <f>SUMIFS(領用表!$L:$L,領用表!$E:$E,$B116,領用表!$B:$B,V$2&amp;$P$1)</f>
        <v>0</v>
      </c>
      <c r="W116" s="142">
        <f>SUMIFS(領用表!$L:$L,領用表!$E:$E,$B116,領用表!$B:$B,W$2&amp;$P$1)</f>
        <v>0</v>
      </c>
      <c r="X116" s="142">
        <f>SUMIFS(領用表!$L:$L,領用表!$E:$E,$B116,領用表!$B:$B,X$2&amp;$P$1)</f>
        <v>0</v>
      </c>
      <c r="Y116" s="142">
        <f>SUMIFS(領用表!$L:$L,領用表!$E:$E,$B116,領用表!$B:$B,Y$2&amp;$P$1)</f>
        <v>0</v>
      </c>
      <c r="Z116" s="142">
        <f>SUMIFS(領用表!$L:$L,領用表!$E:$E,$B116,領用表!$B:$B,Z$2&amp;$P$1)</f>
        <v>0</v>
      </c>
      <c r="AA116" s="142">
        <f>SUMIFS(領用表!$L:$L,領用表!$E:$E,$B116,領用表!$B:$B,AA$2&amp;$P$1)</f>
        <v>0</v>
      </c>
      <c r="AB116" s="142">
        <f t="shared" si="8"/>
        <v>0</v>
      </c>
      <c r="AC116" s="142">
        <f t="shared" si="9"/>
        <v>0</v>
      </c>
      <c r="AD116" s="142">
        <f>SUMIF(Summary!B:B,B116,Summary!DV:DV)</f>
        <v>0</v>
      </c>
      <c r="AE116" s="109">
        <v>3</v>
      </c>
      <c r="AF116" s="65"/>
      <c r="AG116" s="65"/>
      <c r="AH116" s="65"/>
      <c r="AI116" s="27"/>
      <c r="AJ116" s="27"/>
      <c r="AK116" s="14"/>
      <c r="AL116" s="29"/>
    </row>
    <row r="117" spans="1:38" ht="15.75" customHeight="1" thickBot="1">
      <c r="A117" s="78" t="s">
        <v>774</v>
      </c>
      <c r="B117" s="190">
        <v>6120042</v>
      </c>
      <c r="C117" s="136" t="s">
        <v>775</v>
      </c>
      <c r="D117" s="77"/>
      <c r="E117" s="17"/>
      <c r="F117" s="18"/>
      <c r="G117" s="18"/>
      <c r="H117" s="20">
        <f>SUMIFS(領用表!$L:$L,領用表!$E:$E,$B117,領用表!$B:$B,H$2&amp;$P$1)</f>
        <v>0</v>
      </c>
      <c r="I117" s="20">
        <f>SUMIFS(領用表!$L:$L,領用表!$E:$E,$B117,領用表!$B:$B,I$2&amp;$P$1)</f>
        <v>0</v>
      </c>
      <c r="J117" s="20">
        <f>SUMIFS(領用表!$L:$L,領用表!$E:$E,$B117,領用表!$B:$B,J$2&amp;$P$1)</f>
        <v>0</v>
      </c>
      <c r="K117" s="142">
        <f>SUMIFS(領用表!$L:$L,領用表!$E:$E,$B117,領用表!$B:$B,K$2&amp;$P$1)</f>
        <v>0</v>
      </c>
      <c r="L117" s="142">
        <f>SUMIFS(領用表!$L:$L,領用表!$E:$E,$B117,領用表!$B:$B,L$2&amp;$P$1)</f>
        <v>0</v>
      </c>
      <c r="M117" s="142">
        <f>SUMIFS(領用表!$L:$L,領用表!$E:$E,$B117,領用表!$B:$B,M$2&amp;$P$1)</f>
        <v>0</v>
      </c>
      <c r="N117" s="23">
        <f t="shared" si="10"/>
        <v>0</v>
      </c>
      <c r="O117" s="23">
        <f t="shared" si="11"/>
        <v>0</v>
      </c>
      <c r="P117" s="142">
        <f>SUMIFS(領用表!$L:$L,領用表!$E:$E,$B117,領用表!$B:$B,P$2&amp;$P$1)</f>
        <v>0</v>
      </c>
      <c r="Q117" s="142">
        <f>SUMIFS(領用表!$L:$L,領用表!$E:$E,$B117,領用表!$B:$B,Q$2&amp;$P$1)</f>
        <v>0</v>
      </c>
      <c r="R117" s="142">
        <f>SUMIFS(領用表!$L:$L,領用表!$E:$E,$B117,領用表!$B:$B,R$2&amp;$P$1)</f>
        <v>0</v>
      </c>
      <c r="S117" s="142">
        <f>SUMIFS(領用表!$L:$L,領用表!$E:$E,$B117,領用表!$B:$B,S$2&amp;$P$1)</f>
        <v>0</v>
      </c>
      <c r="T117" s="142">
        <f>SUMIFS(領用表!$L:$L,領用表!$E:$E,$B117,領用表!$B:$B,T$2&amp;$P$1)</f>
        <v>0</v>
      </c>
      <c r="U117" s="142">
        <f>SUMIFS(領用表!$L:$L,領用表!$E:$E,$B117,領用表!$B:$B,U$2&amp;$P$1)</f>
        <v>0</v>
      </c>
      <c r="V117" s="142">
        <f>SUMIFS(領用表!$L:$L,領用表!$E:$E,$B117,領用表!$B:$B,V$2&amp;$P$1)</f>
        <v>0</v>
      </c>
      <c r="W117" s="142">
        <f>SUMIFS(領用表!$L:$L,領用表!$E:$E,$B117,領用表!$B:$B,W$2&amp;$P$1)</f>
        <v>0</v>
      </c>
      <c r="X117" s="142">
        <f>SUMIFS(領用表!$L:$L,領用表!$E:$E,$B117,領用表!$B:$B,X$2&amp;$P$1)</f>
        <v>0</v>
      </c>
      <c r="Y117" s="142">
        <f>SUMIFS(領用表!$L:$L,領用表!$E:$E,$B117,領用表!$B:$B,Y$2&amp;$P$1)</f>
        <v>0</v>
      </c>
      <c r="Z117" s="142">
        <f>SUMIFS(領用表!$L:$L,領用表!$E:$E,$B117,領用表!$B:$B,Z$2&amp;$P$1)</f>
        <v>0</v>
      </c>
      <c r="AA117" s="142">
        <f>SUMIFS(領用表!$L:$L,領用表!$E:$E,$B117,領用表!$B:$B,AA$2&amp;$P$1)</f>
        <v>0</v>
      </c>
      <c r="AB117" s="142">
        <f t="shared" si="8"/>
        <v>0</v>
      </c>
      <c r="AC117" s="142">
        <f t="shared" si="9"/>
        <v>0</v>
      </c>
      <c r="AD117" s="142">
        <f>SUMIF(Summary!B:B,B117,Summary!DV:DV)</f>
        <v>0</v>
      </c>
      <c r="AE117" s="109"/>
      <c r="AF117" s="65"/>
      <c r="AG117" s="65"/>
      <c r="AH117" s="65"/>
      <c r="AI117" s="27"/>
      <c r="AJ117" s="27"/>
      <c r="AK117" s="14"/>
      <c r="AL117" s="29"/>
    </row>
    <row r="118" spans="1:38" ht="15.75" customHeight="1" thickBot="1">
      <c r="A118" s="78" t="s">
        <v>776</v>
      </c>
      <c r="B118" s="190">
        <v>6120043</v>
      </c>
      <c r="C118" s="136" t="s">
        <v>777</v>
      </c>
      <c r="D118" s="77"/>
      <c r="E118" s="17"/>
      <c r="F118" s="18"/>
      <c r="G118" s="18"/>
      <c r="H118" s="20">
        <f>SUMIFS(領用表!$L:$L,領用表!$E:$E,$B118,領用表!$B:$B,H$2&amp;$P$1)</f>
        <v>0</v>
      </c>
      <c r="I118" s="20">
        <f>SUMIFS(領用表!$L:$L,領用表!$E:$E,$B118,領用表!$B:$B,I$2&amp;$P$1)</f>
        <v>0</v>
      </c>
      <c r="J118" s="20">
        <f>SUMIFS(領用表!$L:$L,領用表!$E:$E,$B118,領用表!$B:$B,J$2&amp;$P$1)</f>
        <v>0</v>
      </c>
      <c r="K118" s="142">
        <f>SUMIFS(領用表!$L:$L,領用表!$E:$E,$B118,領用表!$B:$B,K$2&amp;$P$1)</f>
        <v>0</v>
      </c>
      <c r="L118" s="142">
        <f>SUMIFS(領用表!$L:$L,領用表!$E:$E,$B118,領用表!$B:$B,L$2&amp;$P$1)</f>
        <v>0</v>
      </c>
      <c r="M118" s="142">
        <f>SUMIFS(領用表!$L:$L,領用表!$E:$E,$B118,領用表!$B:$B,M$2&amp;$P$1)</f>
        <v>0</v>
      </c>
      <c r="N118" s="23">
        <f t="shared" si="10"/>
        <v>0</v>
      </c>
      <c r="O118" s="23">
        <f t="shared" si="11"/>
        <v>0</v>
      </c>
      <c r="P118" s="142">
        <f>SUMIFS(領用表!$L:$L,領用表!$E:$E,$B118,領用表!$B:$B,P$2&amp;$P$1)</f>
        <v>0</v>
      </c>
      <c r="Q118" s="142">
        <f>SUMIFS(領用表!$L:$L,領用表!$E:$E,$B118,領用表!$B:$B,Q$2&amp;$P$1)</f>
        <v>0</v>
      </c>
      <c r="R118" s="142">
        <f>SUMIFS(領用表!$L:$L,領用表!$E:$E,$B118,領用表!$B:$B,R$2&amp;$P$1)</f>
        <v>0</v>
      </c>
      <c r="S118" s="142">
        <f>SUMIFS(領用表!$L:$L,領用表!$E:$E,$B118,領用表!$B:$B,S$2&amp;$P$1)</f>
        <v>0</v>
      </c>
      <c r="T118" s="142">
        <f>SUMIFS(領用表!$L:$L,領用表!$E:$E,$B118,領用表!$B:$B,T$2&amp;$P$1)</f>
        <v>0</v>
      </c>
      <c r="U118" s="142">
        <f>SUMIFS(領用表!$L:$L,領用表!$E:$E,$B118,領用表!$B:$B,U$2&amp;$P$1)</f>
        <v>0</v>
      </c>
      <c r="V118" s="142">
        <f>SUMIFS(領用表!$L:$L,領用表!$E:$E,$B118,領用表!$B:$B,V$2&amp;$P$1)</f>
        <v>0</v>
      </c>
      <c r="W118" s="142">
        <f>SUMIFS(領用表!$L:$L,領用表!$E:$E,$B118,領用表!$B:$B,W$2&amp;$P$1)</f>
        <v>0</v>
      </c>
      <c r="X118" s="142">
        <f>SUMIFS(領用表!$L:$L,領用表!$E:$E,$B118,領用表!$B:$B,X$2&amp;$P$1)</f>
        <v>0</v>
      </c>
      <c r="Y118" s="142">
        <f>SUMIFS(領用表!$L:$L,領用表!$E:$E,$B118,領用表!$B:$B,Y$2&amp;$P$1)</f>
        <v>0</v>
      </c>
      <c r="Z118" s="142">
        <f>SUMIFS(領用表!$L:$L,領用表!$E:$E,$B118,領用表!$B:$B,Z$2&amp;$P$1)</f>
        <v>0</v>
      </c>
      <c r="AA118" s="142">
        <f>SUMIFS(領用表!$L:$L,領用表!$E:$E,$B118,領用表!$B:$B,AA$2&amp;$P$1)</f>
        <v>0</v>
      </c>
      <c r="AB118" s="142">
        <f t="shared" si="8"/>
        <v>0</v>
      </c>
      <c r="AC118" s="142">
        <f t="shared" si="9"/>
        <v>0</v>
      </c>
      <c r="AD118" s="142">
        <f>SUMIF(Summary!B:B,B118,Summary!DV:DV)</f>
        <v>0</v>
      </c>
      <c r="AE118" s="109"/>
      <c r="AF118" s="65"/>
      <c r="AG118" s="65"/>
      <c r="AH118" s="65"/>
      <c r="AI118" s="27"/>
      <c r="AJ118" s="27"/>
      <c r="AK118" s="14"/>
      <c r="AL118" s="29"/>
    </row>
    <row r="119" spans="1:38" ht="15.75" customHeight="1" thickBot="1">
      <c r="A119" s="194" t="s">
        <v>779</v>
      </c>
      <c r="B119" s="191">
        <v>6120044</v>
      </c>
      <c r="C119" s="195" t="s">
        <v>778</v>
      </c>
      <c r="D119" s="77"/>
      <c r="E119" s="17"/>
      <c r="F119" s="18"/>
      <c r="G119" s="18"/>
      <c r="H119" s="20">
        <f>SUMIFS(領用表!$L:$L,領用表!$E:$E,$B119,領用表!$B:$B,H$2&amp;$P$1)</f>
        <v>0</v>
      </c>
      <c r="I119" s="20">
        <f>SUMIFS(領用表!$L:$L,領用表!$E:$E,$B119,領用表!$B:$B,I$2&amp;$P$1)</f>
        <v>0</v>
      </c>
      <c r="J119" s="20">
        <f>SUMIFS(領用表!$L:$L,領用表!$E:$E,$B119,領用表!$B:$B,J$2&amp;$P$1)</f>
        <v>0</v>
      </c>
      <c r="K119" s="142">
        <f>SUMIFS(領用表!$L:$L,領用表!$E:$E,$B119,領用表!$B:$B,K$2&amp;$P$1)</f>
        <v>0</v>
      </c>
      <c r="L119" s="142">
        <f>SUMIFS(領用表!$L:$L,領用表!$E:$E,$B119,領用表!$B:$B,L$2&amp;$P$1)</f>
        <v>0</v>
      </c>
      <c r="M119" s="142">
        <f>SUMIFS(領用表!$L:$L,領用表!$E:$E,$B119,領用表!$B:$B,M$2&amp;$P$1)</f>
        <v>0</v>
      </c>
      <c r="N119" s="23">
        <f t="shared" si="10"/>
        <v>0</v>
      </c>
      <c r="O119" s="23">
        <f t="shared" si="11"/>
        <v>0</v>
      </c>
      <c r="P119" s="142">
        <f>SUMIFS(領用表!$L:$L,領用表!$E:$E,$B119,領用表!$B:$B,P$2&amp;$P$1)</f>
        <v>0</v>
      </c>
      <c r="Q119" s="142">
        <f>SUMIFS(領用表!$L:$L,領用表!$E:$E,$B119,領用表!$B:$B,Q$2&amp;$P$1)</f>
        <v>0</v>
      </c>
      <c r="R119" s="142">
        <f>SUMIFS(領用表!$L:$L,領用表!$E:$E,$B119,領用表!$B:$B,R$2&amp;$P$1)</f>
        <v>0</v>
      </c>
      <c r="S119" s="142">
        <f>SUMIFS(領用表!$L:$L,領用表!$E:$E,$B119,領用表!$B:$B,S$2&amp;$P$1)</f>
        <v>2</v>
      </c>
      <c r="T119" s="142">
        <f>SUMIFS(領用表!$L:$L,領用表!$E:$E,$B119,領用表!$B:$B,T$2&amp;$P$1)</f>
        <v>0</v>
      </c>
      <c r="U119" s="142">
        <f>SUMIFS(領用表!$L:$L,領用表!$E:$E,$B119,領用表!$B:$B,U$2&amp;$P$1)</f>
        <v>0</v>
      </c>
      <c r="V119" s="142">
        <f>SUMIFS(領用表!$L:$L,領用表!$E:$E,$B119,領用表!$B:$B,V$2&amp;$P$1)</f>
        <v>0</v>
      </c>
      <c r="W119" s="142">
        <f>SUMIFS(領用表!$L:$L,領用表!$E:$E,$B119,領用表!$B:$B,W$2&amp;$P$1)</f>
        <v>0</v>
      </c>
      <c r="X119" s="142">
        <f>SUMIFS(領用表!$L:$L,領用表!$E:$E,$B119,領用表!$B:$B,X$2&amp;$P$1)</f>
        <v>0</v>
      </c>
      <c r="Y119" s="142">
        <f>SUMIFS(領用表!$L:$L,領用表!$E:$E,$B119,領用表!$B:$B,Y$2&amp;$P$1)</f>
        <v>0</v>
      </c>
      <c r="Z119" s="142">
        <f>SUMIFS(領用表!$L:$L,領用表!$E:$E,$B119,領用表!$B:$B,Z$2&amp;$P$1)</f>
        <v>0</v>
      </c>
      <c r="AA119" s="142">
        <f>SUMIFS(領用表!$L:$L,領用表!$E:$E,$B119,領用表!$B:$B,AA$2&amp;$P$1)</f>
        <v>0</v>
      </c>
      <c r="AB119" s="142">
        <f t="shared" si="8"/>
        <v>2</v>
      </c>
      <c r="AC119" s="142">
        <f t="shared" si="9"/>
        <v>0.5</v>
      </c>
      <c r="AD119" s="142">
        <f>SUMIF(Summary!B:B,B119,Summary!DV:DV)</f>
        <v>0</v>
      </c>
      <c r="AE119" s="109"/>
      <c r="AF119" s="65"/>
      <c r="AG119" s="65"/>
      <c r="AH119" s="65"/>
      <c r="AI119" s="27"/>
      <c r="AJ119" s="27"/>
      <c r="AK119" s="14"/>
      <c r="AL119" s="29"/>
    </row>
    <row r="120" spans="1:38" ht="15.75" customHeight="1">
      <c r="A120" s="27"/>
      <c r="B120" s="14" t="e">
        <v>#N/A</v>
      </c>
      <c r="C120" s="136" t="s">
        <v>540</v>
      </c>
      <c r="D120" s="77"/>
      <c r="E120" s="17" t="s">
        <v>145</v>
      </c>
      <c r="F120" s="18"/>
      <c r="G120" s="18"/>
      <c r="H120" s="20">
        <f>SUMIFS(領用表!$L:$L,領用表!$E:$E,$B120,領用表!$B:$B,H$2&amp;$P$1)</f>
        <v>0</v>
      </c>
      <c r="I120" s="20">
        <f>SUMIFS(領用表!$L:$L,領用表!$E:$E,$B120,領用表!$B:$B,I$2&amp;$P$1)</f>
        <v>0</v>
      </c>
      <c r="J120" s="20">
        <f>SUMIFS(領用表!$L:$L,領用表!$E:$E,$B120,領用表!$B:$B,J$2&amp;$P$1)</f>
        <v>0</v>
      </c>
      <c r="K120" s="142">
        <f>SUMIFS(領用表!$L:$L,領用表!$E:$E,$B120,領用表!$B:$B,K$2&amp;$P$1)</f>
        <v>0</v>
      </c>
      <c r="L120" s="142">
        <f>SUMIFS(領用表!$L:$L,領用表!$E:$E,$B120,領用表!$B:$B,L$2&amp;$P$1)</f>
        <v>0</v>
      </c>
      <c r="M120" s="142">
        <f>SUMIFS(領用表!$L:$L,領用表!$E:$E,$B120,領用表!$B:$B,M$2&amp;$P$1)</f>
        <v>0</v>
      </c>
      <c r="N120" s="23">
        <f t="shared" si="10"/>
        <v>0</v>
      </c>
      <c r="O120" s="23">
        <f t="shared" si="11"/>
        <v>0</v>
      </c>
      <c r="P120" s="142">
        <f>SUMIFS(領用表!$L:$L,領用表!$E:$E,$B120,領用表!$B:$B,P$2&amp;$P$1)</f>
        <v>0</v>
      </c>
      <c r="Q120" s="142">
        <f>SUMIFS(領用表!$L:$L,領用表!$E:$E,$B120,領用表!$B:$B,Q$2&amp;$P$1)</f>
        <v>0</v>
      </c>
      <c r="R120" s="142">
        <f>SUMIFS(領用表!$L:$L,領用表!$E:$E,$B120,領用表!$B:$B,R$2&amp;$P$1)</f>
        <v>0</v>
      </c>
      <c r="S120" s="142">
        <f>SUMIFS(領用表!$L:$L,領用表!$E:$E,$B120,領用表!$B:$B,S$2&amp;$P$1)</f>
        <v>0</v>
      </c>
      <c r="T120" s="142">
        <f>SUMIFS(領用表!$L:$L,領用表!$E:$E,$B120,領用表!$B:$B,T$2&amp;$P$1)</f>
        <v>0</v>
      </c>
      <c r="U120" s="142">
        <f>SUMIFS(領用表!$L:$L,領用表!$E:$E,$B120,領用表!$B:$B,U$2&amp;$P$1)</f>
        <v>0</v>
      </c>
      <c r="V120" s="142">
        <f>SUMIFS(領用表!$L:$L,領用表!$E:$E,$B120,領用表!$B:$B,V$2&amp;$P$1)</f>
        <v>0</v>
      </c>
      <c r="W120" s="142">
        <f>SUMIFS(領用表!$L:$L,領用表!$E:$E,$B120,領用表!$B:$B,W$2&amp;$P$1)</f>
        <v>0</v>
      </c>
      <c r="X120" s="142">
        <f>SUMIFS(領用表!$L:$L,領用表!$E:$E,$B120,領用表!$B:$B,X$2&amp;$P$1)</f>
        <v>0</v>
      </c>
      <c r="Y120" s="142">
        <f>SUMIFS(領用表!$L:$L,領用表!$E:$E,$B120,領用表!$B:$B,Y$2&amp;$P$1)</f>
        <v>0</v>
      </c>
      <c r="Z120" s="142">
        <f>SUMIFS(領用表!$L:$L,領用表!$E:$E,$B120,領用表!$B:$B,Z$2&amp;$P$1)</f>
        <v>0</v>
      </c>
      <c r="AA120" s="142">
        <f>SUMIFS(領用表!$L:$L,領用表!$E:$E,$B120,領用表!$B:$B,AA$2&amp;$P$1)</f>
        <v>0</v>
      </c>
      <c r="AB120" s="142">
        <f t="shared" si="8"/>
        <v>0</v>
      </c>
      <c r="AC120" s="142">
        <f t="shared" si="9"/>
        <v>0</v>
      </c>
      <c r="AD120" s="142">
        <f>SUMIF(Summary!B:B,B120,Summary!DV:DV)</f>
        <v>0</v>
      </c>
      <c r="AE120" s="109">
        <v>0</v>
      </c>
      <c r="AF120" s="65"/>
      <c r="AG120" s="65"/>
      <c r="AH120" s="65"/>
      <c r="AI120" s="27"/>
      <c r="AJ120" s="27"/>
      <c r="AK120" s="14"/>
      <c r="AL120" s="29"/>
    </row>
    <row r="121" spans="1:38" ht="15.75" customHeight="1">
      <c r="A121" s="27"/>
      <c r="B121" s="14" t="e">
        <v>#N/A</v>
      </c>
      <c r="C121" s="136" t="s">
        <v>541</v>
      </c>
      <c r="D121" s="77"/>
      <c r="E121" s="17" t="s">
        <v>145</v>
      </c>
      <c r="F121" s="18"/>
      <c r="G121" s="18"/>
      <c r="H121" s="20">
        <f>SUMIFS(領用表!$L:$L,領用表!$E:$E,$B121,領用表!$B:$B,H$2&amp;$P$1)</f>
        <v>0</v>
      </c>
      <c r="I121" s="20">
        <f>SUMIFS(領用表!$L:$L,領用表!$E:$E,$B121,領用表!$B:$B,I$2&amp;$P$1)</f>
        <v>0</v>
      </c>
      <c r="J121" s="20">
        <f>SUMIFS(領用表!$L:$L,領用表!$E:$E,$B121,領用表!$B:$B,J$2&amp;$P$1)</f>
        <v>0</v>
      </c>
      <c r="K121" s="142">
        <f>SUMIFS(領用表!$L:$L,領用表!$E:$E,$B121,領用表!$B:$B,K$2&amp;$P$1)</f>
        <v>0</v>
      </c>
      <c r="L121" s="142">
        <f>SUMIFS(領用表!$L:$L,領用表!$E:$E,$B121,領用表!$B:$B,L$2&amp;$P$1)</f>
        <v>0</v>
      </c>
      <c r="M121" s="142">
        <f>SUMIFS(領用表!$L:$L,領用表!$E:$E,$B121,領用表!$B:$B,M$2&amp;$P$1)</f>
        <v>0</v>
      </c>
      <c r="N121" s="23">
        <f t="shared" si="10"/>
        <v>0</v>
      </c>
      <c r="O121" s="23">
        <f t="shared" si="11"/>
        <v>0</v>
      </c>
      <c r="P121" s="142">
        <f>SUMIFS(領用表!$L:$L,領用表!$E:$E,$B121,領用表!$B:$B,P$2&amp;$P$1)</f>
        <v>0</v>
      </c>
      <c r="Q121" s="142">
        <f>SUMIFS(領用表!$L:$L,領用表!$E:$E,$B121,領用表!$B:$B,Q$2&amp;$P$1)</f>
        <v>0</v>
      </c>
      <c r="R121" s="142">
        <f>SUMIFS(領用表!$L:$L,領用表!$E:$E,$B121,領用表!$B:$B,R$2&amp;$P$1)</f>
        <v>0</v>
      </c>
      <c r="S121" s="142">
        <f>SUMIFS(領用表!$L:$L,領用表!$E:$E,$B121,領用表!$B:$B,S$2&amp;$P$1)</f>
        <v>0</v>
      </c>
      <c r="T121" s="142">
        <f>SUMIFS(領用表!$L:$L,領用表!$E:$E,$B121,領用表!$B:$B,T$2&amp;$P$1)</f>
        <v>0</v>
      </c>
      <c r="U121" s="142">
        <f>SUMIFS(領用表!$L:$L,領用表!$E:$E,$B121,領用表!$B:$B,U$2&amp;$P$1)</f>
        <v>0</v>
      </c>
      <c r="V121" s="142">
        <f>SUMIFS(領用表!$L:$L,領用表!$E:$E,$B121,領用表!$B:$B,V$2&amp;$P$1)</f>
        <v>0</v>
      </c>
      <c r="W121" s="142">
        <f>SUMIFS(領用表!$L:$L,領用表!$E:$E,$B121,領用表!$B:$B,W$2&amp;$P$1)</f>
        <v>0</v>
      </c>
      <c r="X121" s="142">
        <f>SUMIFS(領用表!$L:$L,領用表!$E:$E,$B121,領用表!$B:$B,X$2&amp;$P$1)</f>
        <v>0</v>
      </c>
      <c r="Y121" s="142">
        <f>SUMIFS(領用表!$L:$L,領用表!$E:$E,$B121,領用表!$B:$B,Y$2&amp;$P$1)</f>
        <v>0</v>
      </c>
      <c r="Z121" s="142">
        <f>SUMIFS(領用表!$L:$L,領用表!$E:$E,$B121,領用表!$B:$B,Z$2&amp;$P$1)</f>
        <v>0</v>
      </c>
      <c r="AA121" s="142">
        <f>SUMIFS(領用表!$L:$L,領用表!$E:$E,$B121,領用表!$B:$B,AA$2&amp;$P$1)</f>
        <v>0</v>
      </c>
      <c r="AB121" s="142">
        <f t="shared" si="8"/>
        <v>0</v>
      </c>
      <c r="AC121" s="142">
        <f t="shared" si="9"/>
        <v>0</v>
      </c>
      <c r="AD121" s="142">
        <f>SUMIF(Summary!B:B,B121,Summary!DV:DV)</f>
        <v>0</v>
      </c>
      <c r="AE121" s="109">
        <v>0</v>
      </c>
      <c r="AF121" s="65"/>
      <c r="AG121" s="65"/>
      <c r="AH121" s="65"/>
      <c r="AI121" s="27"/>
      <c r="AJ121" s="27"/>
      <c r="AK121" s="14"/>
      <c r="AL121" s="29"/>
    </row>
    <row r="122" spans="1:38" ht="15.75" customHeight="1">
      <c r="A122" s="27"/>
      <c r="B122" s="14" t="e">
        <v>#N/A</v>
      </c>
      <c r="C122" s="136" t="s">
        <v>542</v>
      </c>
      <c r="D122" s="77"/>
      <c r="E122" s="17" t="s">
        <v>145</v>
      </c>
      <c r="F122" s="18"/>
      <c r="G122" s="18"/>
      <c r="H122" s="20">
        <f>SUMIFS(領用表!$L:$L,領用表!$E:$E,$B122,領用表!$B:$B,H$2&amp;$P$1)</f>
        <v>0</v>
      </c>
      <c r="I122" s="20">
        <f>SUMIFS(領用表!$L:$L,領用表!$E:$E,$B122,領用表!$B:$B,I$2&amp;$P$1)</f>
        <v>0</v>
      </c>
      <c r="J122" s="20">
        <f>SUMIFS(領用表!$L:$L,領用表!$E:$E,$B122,領用表!$B:$B,J$2&amp;$P$1)</f>
        <v>0</v>
      </c>
      <c r="K122" s="142">
        <f>SUMIFS(領用表!$L:$L,領用表!$E:$E,$B122,領用表!$B:$B,K$2&amp;$P$1)</f>
        <v>0</v>
      </c>
      <c r="L122" s="142">
        <f>SUMIFS(領用表!$L:$L,領用表!$E:$E,$B122,領用表!$B:$B,L$2&amp;$P$1)</f>
        <v>0</v>
      </c>
      <c r="M122" s="142">
        <f>SUMIFS(領用表!$L:$L,領用表!$E:$E,$B122,領用表!$B:$B,M$2&amp;$P$1)</f>
        <v>0</v>
      </c>
      <c r="N122" s="23">
        <f t="shared" si="10"/>
        <v>0</v>
      </c>
      <c r="O122" s="23">
        <f t="shared" si="11"/>
        <v>0</v>
      </c>
      <c r="P122" s="142">
        <f>SUMIFS(領用表!$L:$L,領用表!$E:$E,$B122,領用表!$B:$B,P$2&amp;$P$1)</f>
        <v>0</v>
      </c>
      <c r="Q122" s="142">
        <f>SUMIFS(領用表!$L:$L,領用表!$E:$E,$B122,領用表!$B:$B,Q$2&amp;$P$1)</f>
        <v>0</v>
      </c>
      <c r="R122" s="142">
        <f>SUMIFS(領用表!$L:$L,領用表!$E:$E,$B122,領用表!$B:$B,R$2&amp;$P$1)</f>
        <v>0</v>
      </c>
      <c r="S122" s="142">
        <f>SUMIFS(領用表!$L:$L,領用表!$E:$E,$B122,領用表!$B:$B,S$2&amp;$P$1)</f>
        <v>0</v>
      </c>
      <c r="T122" s="142">
        <f>SUMIFS(領用表!$L:$L,領用表!$E:$E,$B122,領用表!$B:$B,T$2&amp;$P$1)</f>
        <v>0</v>
      </c>
      <c r="U122" s="142">
        <f>SUMIFS(領用表!$L:$L,領用表!$E:$E,$B122,領用表!$B:$B,U$2&amp;$P$1)</f>
        <v>0</v>
      </c>
      <c r="V122" s="142">
        <f>SUMIFS(領用表!$L:$L,領用表!$E:$E,$B122,領用表!$B:$B,V$2&amp;$P$1)</f>
        <v>0</v>
      </c>
      <c r="W122" s="142">
        <f>SUMIFS(領用表!$L:$L,領用表!$E:$E,$B122,領用表!$B:$B,W$2&amp;$P$1)</f>
        <v>0</v>
      </c>
      <c r="X122" s="142">
        <f>SUMIFS(領用表!$L:$L,領用表!$E:$E,$B122,領用表!$B:$B,X$2&amp;$P$1)</f>
        <v>0</v>
      </c>
      <c r="Y122" s="142">
        <f>SUMIFS(領用表!$L:$L,領用表!$E:$E,$B122,領用表!$B:$B,Y$2&amp;$P$1)</f>
        <v>0</v>
      </c>
      <c r="Z122" s="142">
        <f>SUMIFS(領用表!$L:$L,領用表!$E:$E,$B122,領用表!$B:$B,Z$2&amp;$P$1)</f>
        <v>0</v>
      </c>
      <c r="AA122" s="142">
        <f>SUMIFS(領用表!$L:$L,領用表!$E:$E,$B122,領用表!$B:$B,AA$2&amp;$P$1)</f>
        <v>0</v>
      </c>
      <c r="AB122" s="142">
        <f t="shared" si="8"/>
        <v>0</v>
      </c>
      <c r="AC122" s="142">
        <f t="shared" si="9"/>
        <v>0</v>
      </c>
      <c r="AD122" s="142">
        <f>SUMIF(Summary!B:B,B122,Summary!DV:DV)</f>
        <v>0</v>
      </c>
      <c r="AE122" s="109">
        <v>0</v>
      </c>
      <c r="AF122" s="65"/>
      <c r="AG122" s="65"/>
      <c r="AH122" s="65"/>
      <c r="AI122" s="27"/>
      <c r="AJ122" s="27"/>
      <c r="AK122" s="14"/>
      <c r="AL122" s="29"/>
    </row>
    <row r="123" spans="1:38" ht="15.75" customHeight="1">
      <c r="A123" s="27"/>
      <c r="B123" s="14" t="e">
        <v>#N/A</v>
      </c>
      <c r="C123" s="136" t="s">
        <v>543</v>
      </c>
      <c r="D123" s="77"/>
      <c r="E123" s="17" t="s">
        <v>145</v>
      </c>
      <c r="F123" s="18"/>
      <c r="G123" s="18"/>
      <c r="H123" s="20">
        <f>SUMIFS(領用表!$L:$L,領用表!$E:$E,$B123,領用表!$B:$B,H$2&amp;$P$1)</f>
        <v>0</v>
      </c>
      <c r="I123" s="20">
        <f>SUMIFS(領用表!$L:$L,領用表!$E:$E,$B123,領用表!$B:$B,I$2&amp;$P$1)</f>
        <v>0</v>
      </c>
      <c r="J123" s="20">
        <f>SUMIFS(領用表!$L:$L,領用表!$E:$E,$B123,領用表!$B:$B,J$2&amp;$P$1)</f>
        <v>0</v>
      </c>
      <c r="K123" s="142">
        <f>SUMIFS(領用表!$L:$L,領用表!$E:$E,$B123,領用表!$B:$B,K$2&amp;$P$1)</f>
        <v>0</v>
      </c>
      <c r="L123" s="142">
        <f>SUMIFS(領用表!$L:$L,領用表!$E:$E,$B123,領用表!$B:$B,L$2&amp;$P$1)</f>
        <v>0</v>
      </c>
      <c r="M123" s="142">
        <f>SUMIFS(領用表!$L:$L,領用表!$E:$E,$B123,領用表!$B:$B,M$2&amp;$P$1)</f>
        <v>0</v>
      </c>
      <c r="N123" s="23">
        <f t="shared" si="10"/>
        <v>0</v>
      </c>
      <c r="O123" s="23">
        <f t="shared" si="11"/>
        <v>0</v>
      </c>
      <c r="P123" s="142">
        <f>SUMIFS(領用表!$L:$L,領用表!$E:$E,$B123,領用表!$B:$B,P$2&amp;$P$1)</f>
        <v>0</v>
      </c>
      <c r="Q123" s="142">
        <f>SUMIFS(領用表!$L:$L,領用表!$E:$E,$B123,領用表!$B:$B,Q$2&amp;$P$1)</f>
        <v>0</v>
      </c>
      <c r="R123" s="142">
        <f>SUMIFS(領用表!$L:$L,領用表!$E:$E,$B123,領用表!$B:$B,R$2&amp;$P$1)</f>
        <v>0</v>
      </c>
      <c r="S123" s="142">
        <f>SUMIFS(領用表!$L:$L,領用表!$E:$E,$B123,領用表!$B:$B,S$2&amp;$P$1)</f>
        <v>0</v>
      </c>
      <c r="T123" s="142">
        <f>SUMIFS(領用表!$L:$L,領用表!$E:$E,$B123,領用表!$B:$B,T$2&amp;$P$1)</f>
        <v>0</v>
      </c>
      <c r="U123" s="142">
        <f>SUMIFS(領用表!$L:$L,領用表!$E:$E,$B123,領用表!$B:$B,U$2&amp;$P$1)</f>
        <v>0</v>
      </c>
      <c r="V123" s="142">
        <f>SUMIFS(領用表!$L:$L,領用表!$E:$E,$B123,領用表!$B:$B,V$2&amp;$P$1)</f>
        <v>0</v>
      </c>
      <c r="W123" s="142">
        <f>SUMIFS(領用表!$L:$L,領用表!$E:$E,$B123,領用表!$B:$B,W$2&amp;$P$1)</f>
        <v>0</v>
      </c>
      <c r="X123" s="142">
        <f>SUMIFS(領用表!$L:$L,領用表!$E:$E,$B123,領用表!$B:$B,X$2&amp;$P$1)</f>
        <v>0</v>
      </c>
      <c r="Y123" s="142">
        <f>SUMIFS(領用表!$L:$L,領用表!$E:$E,$B123,領用表!$B:$B,Y$2&amp;$P$1)</f>
        <v>0</v>
      </c>
      <c r="Z123" s="142">
        <f>SUMIFS(領用表!$L:$L,領用表!$E:$E,$B123,領用表!$B:$B,Z$2&amp;$P$1)</f>
        <v>0</v>
      </c>
      <c r="AA123" s="142">
        <f>SUMIFS(領用表!$L:$L,領用表!$E:$E,$B123,領用表!$B:$B,AA$2&amp;$P$1)</f>
        <v>0</v>
      </c>
      <c r="AB123" s="142">
        <f t="shared" si="8"/>
        <v>0</v>
      </c>
      <c r="AC123" s="142">
        <f t="shared" si="9"/>
        <v>0</v>
      </c>
      <c r="AD123" s="142">
        <f>SUMIF(Summary!B:B,B123,Summary!DV:DV)</f>
        <v>0</v>
      </c>
      <c r="AE123" s="109">
        <v>0</v>
      </c>
      <c r="AF123" s="65"/>
      <c r="AG123" s="65"/>
      <c r="AH123" s="65"/>
      <c r="AI123" s="27"/>
      <c r="AJ123" s="27"/>
      <c r="AK123" s="14"/>
      <c r="AL123" s="29"/>
    </row>
    <row r="124" spans="1:38" ht="15.75" customHeight="1">
      <c r="A124" s="27"/>
      <c r="B124" s="14" t="e">
        <v>#N/A</v>
      </c>
      <c r="C124" s="136" t="s">
        <v>544</v>
      </c>
      <c r="D124" s="77"/>
      <c r="E124" s="17" t="s">
        <v>145</v>
      </c>
      <c r="F124" s="18"/>
      <c r="G124" s="18"/>
      <c r="H124" s="20">
        <f>SUMIFS(領用表!$L:$L,領用表!$E:$E,$B124,領用表!$B:$B,H$2&amp;$P$1)</f>
        <v>0</v>
      </c>
      <c r="I124" s="20">
        <f>SUMIFS(領用表!$L:$L,領用表!$E:$E,$B124,領用表!$B:$B,I$2&amp;$P$1)</f>
        <v>0</v>
      </c>
      <c r="J124" s="20">
        <f>SUMIFS(領用表!$L:$L,領用表!$E:$E,$B124,領用表!$B:$B,J$2&amp;$P$1)</f>
        <v>0</v>
      </c>
      <c r="K124" s="142">
        <f>SUMIFS(領用表!$L:$L,領用表!$E:$E,$B124,領用表!$B:$B,K$2&amp;$P$1)</f>
        <v>0</v>
      </c>
      <c r="L124" s="142">
        <f>SUMIFS(領用表!$L:$L,領用表!$E:$E,$B124,領用表!$B:$B,L$2&amp;$P$1)</f>
        <v>0</v>
      </c>
      <c r="M124" s="142">
        <f>SUMIFS(領用表!$L:$L,領用表!$E:$E,$B124,領用表!$B:$B,M$2&amp;$P$1)</f>
        <v>0</v>
      </c>
      <c r="N124" s="23">
        <f t="shared" si="10"/>
        <v>0</v>
      </c>
      <c r="O124" s="23">
        <f t="shared" si="11"/>
        <v>0</v>
      </c>
      <c r="P124" s="142">
        <f>SUMIFS(領用表!$L:$L,領用表!$E:$E,$B124,領用表!$B:$B,P$2&amp;$P$1)</f>
        <v>0</v>
      </c>
      <c r="Q124" s="142">
        <f>SUMIFS(領用表!$L:$L,領用表!$E:$E,$B124,領用表!$B:$B,Q$2&amp;$P$1)</f>
        <v>0</v>
      </c>
      <c r="R124" s="142">
        <f>SUMIFS(領用表!$L:$L,領用表!$E:$E,$B124,領用表!$B:$B,R$2&amp;$P$1)</f>
        <v>0</v>
      </c>
      <c r="S124" s="142">
        <f>SUMIFS(領用表!$L:$L,領用表!$E:$E,$B124,領用表!$B:$B,S$2&amp;$P$1)</f>
        <v>0</v>
      </c>
      <c r="T124" s="142">
        <f>SUMIFS(領用表!$L:$L,領用表!$E:$E,$B124,領用表!$B:$B,T$2&amp;$P$1)</f>
        <v>0</v>
      </c>
      <c r="U124" s="142">
        <f>SUMIFS(領用表!$L:$L,領用表!$E:$E,$B124,領用表!$B:$B,U$2&amp;$P$1)</f>
        <v>0</v>
      </c>
      <c r="V124" s="142">
        <f>SUMIFS(領用表!$L:$L,領用表!$E:$E,$B124,領用表!$B:$B,V$2&amp;$P$1)</f>
        <v>0</v>
      </c>
      <c r="W124" s="142">
        <f>SUMIFS(領用表!$L:$L,領用表!$E:$E,$B124,領用表!$B:$B,W$2&amp;$P$1)</f>
        <v>0</v>
      </c>
      <c r="X124" s="142">
        <f>SUMIFS(領用表!$L:$L,領用表!$E:$E,$B124,領用表!$B:$B,X$2&amp;$P$1)</f>
        <v>0</v>
      </c>
      <c r="Y124" s="142">
        <f>SUMIFS(領用表!$L:$L,領用表!$E:$E,$B124,領用表!$B:$B,Y$2&amp;$P$1)</f>
        <v>0</v>
      </c>
      <c r="Z124" s="142">
        <f>SUMIFS(領用表!$L:$L,領用表!$E:$E,$B124,領用表!$B:$B,Z$2&amp;$P$1)</f>
        <v>0</v>
      </c>
      <c r="AA124" s="142">
        <f>SUMIFS(領用表!$L:$L,領用表!$E:$E,$B124,領用表!$B:$B,AA$2&amp;$P$1)</f>
        <v>0</v>
      </c>
      <c r="AB124" s="142">
        <f t="shared" si="8"/>
        <v>0</v>
      </c>
      <c r="AC124" s="142">
        <f t="shared" si="9"/>
        <v>0</v>
      </c>
      <c r="AD124" s="142">
        <f>SUMIF(Summary!B:B,B124,Summary!DV:DV)</f>
        <v>0</v>
      </c>
      <c r="AE124" s="109">
        <v>0</v>
      </c>
      <c r="AF124" s="65"/>
      <c r="AG124" s="65"/>
      <c r="AH124" s="65"/>
      <c r="AI124" s="27"/>
      <c r="AJ124" s="27"/>
      <c r="AK124" s="14"/>
      <c r="AL124" s="29"/>
    </row>
    <row r="125" spans="1:38" ht="15.75" customHeight="1">
      <c r="A125" s="27"/>
      <c r="B125" s="14" t="e">
        <v>#N/A</v>
      </c>
      <c r="C125" s="136" t="s">
        <v>545</v>
      </c>
      <c r="D125" s="77"/>
      <c r="E125" s="17" t="s">
        <v>145</v>
      </c>
      <c r="F125" s="18"/>
      <c r="G125" s="18"/>
      <c r="H125" s="20">
        <f>SUMIFS(領用表!$L:$L,領用表!$E:$E,$B125,領用表!$B:$B,H$2&amp;$P$1)</f>
        <v>0</v>
      </c>
      <c r="I125" s="20">
        <f>SUMIFS(領用表!$L:$L,領用表!$E:$E,$B125,領用表!$B:$B,I$2&amp;$P$1)</f>
        <v>0</v>
      </c>
      <c r="J125" s="20">
        <f>SUMIFS(領用表!$L:$L,領用表!$E:$E,$B125,領用表!$B:$B,J$2&amp;$P$1)</f>
        <v>0</v>
      </c>
      <c r="K125" s="142">
        <f>SUMIFS(領用表!$L:$L,領用表!$E:$E,$B125,領用表!$B:$B,K$2&amp;$P$1)</f>
        <v>0</v>
      </c>
      <c r="L125" s="142">
        <f>SUMIFS(領用表!$L:$L,領用表!$E:$E,$B125,領用表!$B:$B,L$2&amp;$P$1)</f>
        <v>0</v>
      </c>
      <c r="M125" s="142">
        <f>SUMIFS(領用表!$L:$L,領用表!$E:$E,$B125,領用表!$B:$B,M$2&amp;$P$1)</f>
        <v>0</v>
      </c>
      <c r="N125" s="23">
        <f t="shared" si="10"/>
        <v>0</v>
      </c>
      <c r="O125" s="23">
        <f t="shared" si="11"/>
        <v>0</v>
      </c>
      <c r="P125" s="142">
        <f>SUMIFS(領用表!$L:$L,領用表!$E:$E,$B125,領用表!$B:$B,P$2&amp;$P$1)</f>
        <v>0</v>
      </c>
      <c r="Q125" s="142">
        <f>SUMIFS(領用表!$L:$L,領用表!$E:$E,$B125,領用表!$B:$B,Q$2&amp;$P$1)</f>
        <v>0</v>
      </c>
      <c r="R125" s="142">
        <f>SUMIFS(領用表!$L:$L,領用表!$E:$E,$B125,領用表!$B:$B,R$2&amp;$P$1)</f>
        <v>0</v>
      </c>
      <c r="S125" s="142">
        <f>SUMIFS(領用表!$L:$L,領用表!$E:$E,$B125,領用表!$B:$B,S$2&amp;$P$1)</f>
        <v>0</v>
      </c>
      <c r="T125" s="142">
        <f>SUMIFS(領用表!$L:$L,領用表!$E:$E,$B125,領用表!$B:$B,T$2&amp;$P$1)</f>
        <v>0</v>
      </c>
      <c r="U125" s="142">
        <f>SUMIFS(領用表!$L:$L,領用表!$E:$E,$B125,領用表!$B:$B,U$2&amp;$P$1)</f>
        <v>0</v>
      </c>
      <c r="V125" s="142">
        <f>SUMIFS(領用表!$L:$L,領用表!$E:$E,$B125,領用表!$B:$B,V$2&amp;$P$1)</f>
        <v>0</v>
      </c>
      <c r="W125" s="142">
        <f>SUMIFS(領用表!$L:$L,領用表!$E:$E,$B125,領用表!$B:$B,W$2&amp;$P$1)</f>
        <v>0</v>
      </c>
      <c r="X125" s="142">
        <f>SUMIFS(領用表!$L:$L,領用表!$E:$E,$B125,領用表!$B:$B,X$2&amp;$P$1)</f>
        <v>0</v>
      </c>
      <c r="Y125" s="142">
        <f>SUMIFS(領用表!$L:$L,領用表!$E:$E,$B125,領用表!$B:$B,Y$2&amp;$P$1)</f>
        <v>0</v>
      </c>
      <c r="Z125" s="142">
        <f>SUMIFS(領用表!$L:$L,領用表!$E:$E,$B125,領用表!$B:$B,Z$2&amp;$P$1)</f>
        <v>0</v>
      </c>
      <c r="AA125" s="142">
        <f>SUMIFS(領用表!$L:$L,領用表!$E:$E,$B125,領用表!$B:$B,AA$2&amp;$P$1)</f>
        <v>0</v>
      </c>
      <c r="AB125" s="142">
        <f t="shared" si="8"/>
        <v>0</v>
      </c>
      <c r="AC125" s="142">
        <f t="shared" si="9"/>
        <v>0</v>
      </c>
      <c r="AD125" s="142">
        <f>SUMIF(Summary!B:B,B125,Summary!DV:DV)</f>
        <v>0</v>
      </c>
      <c r="AE125" s="109">
        <v>0</v>
      </c>
      <c r="AF125" s="65"/>
      <c r="AG125" s="65"/>
      <c r="AH125" s="65"/>
      <c r="AI125" s="27"/>
      <c r="AJ125" s="27"/>
      <c r="AK125" s="14"/>
      <c r="AL125" s="29"/>
    </row>
    <row r="126" spans="1:38" ht="15.75" customHeight="1">
      <c r="A126" s="27"/>
      <c r="B126" s="14" t="e">
        <v>#N/A</v>
      </c>
      <c r="C126" s="136" t="s">
        <v>546</v>
      </c>
      <c r="D126" s="77"/>
      <c r="E126" s="17" t="s">
        <v>145</v>
      </c>
      <c r="F126" s="18"/>
      <c r="G126" s="18"/>
      <c r="H126" s="20">
        <f>SUMIFS(領用表!$L:$L,領用表!$E:$E,$B126,領用表!$B:$B,H$2&amp;$P$1)</f>
        <v>0</v>
      </c>
      <c r="I126" s="20">
        <f>SUMIFS(領用表!$L:$L,領用表!$E:$E,$B126,領用表!$B:$B,I$2&amp;$P$1)</f>
        <v>0</v>
      </c>
      <c r="J126" s="20">
        <f>SUMIFS(領用表!$L:$L,領用表!$E:$E,$B126,領用表!$B:$B,J$2&amp;$P$1)</f>
        <v>0</v>
      </c>
      <c r="K126" s="142">
        <f>SUMIFS(領用表!$L:$L,領用表!$E:$E,$B126,領用表!$B:$B,K$2&amp;$P$1)</f>
        <v>0</v>
      </c>
      <c r="L126" s="142">
        <f>SUMIFS(領用表!$L:$L,領用表!$E:$E,$B126,領用表!$B:$B,L$2&amp;$P$1)</f>
        <v>0</v>
      </c>
      <c r="M126" s="142">
        <f>SUMIFS(領用表!$L:$L,領用表!$E:$E,$B126,領用表!$B:$B,M$2&amp;$P$1)</f>
        <v>0</v>
      </c>
      <c r="N126" s="23">
        <f t="shared" si="10"/>
        <v>0</v>
      </c>
      <c r="O126" s="23">
        <f t="shared" si="11"/>
        <v>0</v>
      </c>
      <c r="P126" s="142">
        <f>SUMIFS(領用表!$L:$L,領用表!$E:$E,$B126,領用表!$B:$B,P$2&amp;$P$1)</f>
        <v>0</v>
      </c>
      <c r="Q126" s="142">
        <f>SUMIFS(領用表!$L:$L,領用表!$E:$E,$B126,領用表!$B:$B,Q$2&amp;$P$1)</f>
        <v>0</v>
      </c>
      <c r="R126" s="142">
        <f>SUMIFS(領用表!$L:$L,領用表!$E:$E,$B126,領用表!$B:$B,R$2&amp;$P$1)</f>
        <v>0</v>
      </c>
      <c r="S126" s="142">
        <f>SUMIFS(領用表!$L:$L,領用表!$E:$E,$B126,領用表!$B:$B,S$2&amp;$P$1)</f>
        <v>0</v>
      </c>
      <c r="T126" s="142">
        <f>SUMIFS(領用表!$L:$L,領用表!$E:$E,$B126,領用表!$B:$B,T$2&amp;$P$1)</f>
        <v>0</v>
      </c>
      <c r="U126" s="142">
        <f>SUMIFS(領用表!$L:$L,領用表!$E:$E,$B126,領用表!$B:$B,U$2&amp;$P$1)</f>
        <v>0</v>
      </c>
      <c r="V126" s="142">
        <f>SUMIFS(領用表!$L:$L,領用表!$E:$E,$B126,領用表!$B:$B,V$2&amp;$P$1)</f>
        <v>0</v>
      </c>
      <c r="W126" s="142">
        <f>SUMIFS(領用表!$L:$L,領用表!$E:$E,$B126,領用表!$B:$B,W$2&amp;$P$1)</f>
        <v>0</v>
      </c>
      <c r="X126" s="142">
        <f>SUMIFS(領用表!$L:$L,領用表!$E:$E,$B126,領用表!$B:$B,X$2&amp;$P$1)</f>
        <v>0</v>
      </c>
      <c r="Y126" s="142">
        <f>SUMIFS(領用表!$L:$L,領用表!$E:$E,$B126,領用表!$B:$B,Y$2&amp;$P$1)</f>
        <v>0</v>
      </c>
      <c r="Z126" s="142">
        <f>SUMIFS(領用表!$L:$L,領用表!$E:$E,$B126,領用表!$B:$B,Z$2&amp;$P$1)</f>
        <v>0</v>
      </c>
      <c r="AA126" s="142">
        <f>SUMIFS(領用表!$L:$L,領用表!$E:$E,$B126,領用表!$B:$B,AA$2&amp;$P$1)</f>
        <v>0</v>
      </c>
      <c r="AB126" s="142">
        <f t="shared" si="8"/>
        <v>0</v>
      </c>
      <c r="AC126" s="142">
        <f t="shared" si="9"/>
        <v>0</v>
      </c>
      <c r="AD126" s="142">
        <f>SUMIF(Summary!B:B,B126,Summary!DV:DV)</f>
        <v>0</v>
      </c>
      <c r="AE126" s="109">
        <v>0</v>
      </c>
      <c r="AF126" s="65"/>
      <c r="AG126" s="65"/>
      <c r="AH126" s="65"/>
      <c r="AI126" s="27"/>
      <c r="AJ126" s="27"/>
      <c r="AK126" s="14"/>
      <c r="AL126" s="29"/>
    </row>
    <row r="127" spans="1:38" s="172" customFormat="1" ht="15.75" customHeight="1">
      <c r="A127" s="173"/>
      <c r="B127" s="173"/>
      <c r="C127" s="163"/>
      <c r="D127" s="174"/>
      <c r="E127" s="175"/>
      <c r="F127" s="176"/>
      <c r="G127" s="176"/>
      <c r="H127" s="162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77"/>
      <c r="AH127" s="177"/>
      <c r="AI127" s="173"/>
      <c r="AJ127" s="173"/>
      <c r="AK127" s="170"/>
      <c r="AL127" s="170"/>
    </row>
    <row r="128" spans="1:38" ht="15.75" customHeight="1">
      <c r="A128" s="27" t="s">
        <v>168</v>
      </c>
      <c r="B128" s="14">
        <v>6090001</v>
      </c>
      <c r="C128" s="136" t="s">
        <v>547</v>
      </c>
      <c r="D128" s="77"/>
      <c r="E128" s="17" t="s">
        <v>15</v>
      </c>
      <c r="F128" s="70"/>
      <c r="G128" s="18">
        <v>31</v>
      </c>
      <c r="H128" s="20">
        <f>SUMIFS(領用表!$L:$L,領用表!$E:$E,$B128,領用表!$B:$B,H$2&amp;$P$1)</f>
        <v>0</v>
      </c>
      <c r="I128" s="20">
        <f>SUMIFS(領用表!$L:$L,領用表!$E:$E,$B128,領用表!$B:$B,I$2&amp;$P$1)</f>
        <v>0</v>
      </c>
      <c r="J128" s="20">
        <f>SUMIFS(領用表!$L:$L,領用表!$E:$E,$B128,領用表!$B:$B,J$2&amp;$P$1)</f>
        <v>0</v>
      </c>
      <c r="K128" s="142">
        <f>SUMIFS(領用表!$L:$L,領用表!$E:$E,$B128,領用表!$B:$B,K$2&amp;$P$1)</f>
        <v>0</v>
      </c>
      <c r="L128" s="142">
        <f>SUMIFS(領用表!$L:$L,領用表!$E:$E,$B128,領用表!$B:$B,L$2&amp;$P$1)</f>
        <v>0</v>
      </c>
      <c r="M128" s="142">
        <f>SUMIFS(領用表!$L:$L,領用表!$E:$E,$B128,領用表!$B:$B,M$2&amp;$P$1)</f>
        <v>0</v>
      </c>
      <c r="N128" s="23">
        <f t="shared" si="10"/>
        <v>0</v>
      </c>
      <c r="O128" s="23">
        <f t="shared" si="11"/>
        <v>0</v>
      </c>
      <c r="P128" s="142">
        <f>SUMIFS(領用表!$L:$L,領用表!$E:$E,$B128,領用表!$B:$B,P$2&amp;$P$1)</f>
        <v>0</v>
      </c>
      <c r="Q128" s="142">
        <f>SUMIFS(領用表!$L:$L,領用表!$E:$E,$B128,領用表!$B:$B,Q$2&amp;$P$1)</f>
        <v>0</v>
      </c>
      <c r="R128" s="142">
        <f>SUMIFS(領用表!$L:$L,領用表!$E:$E,$B128,領用表!$B:$B,R$2&amp;$P$1)</f>
        <v>0</v>
      </c>
      <c r="S128" s="142">
        <f>SUMIFS(領用表!$L:$L,領用表!$E:$E,$B128,領用表!$B:$B,S$2&amp;$P$1)</f>
        <v>12</v>
      </c>
      <c r="T128" s="142">
        <f>SUMIFS(領用表!$L:$L,領用表!$E:$E,$B128,領用表!$B:$B,T$2&amp;$P$1)</f>
        <v>20</v>
      </c>
      <c r="U128" s="142">
        <f>SUMIFS(領用表!$L:$L,領用表!$E:$E,$B128,領用表!$B:$B,U$2&amp;$P$1)</f>
        <v>0</v>
      </c>
      <c r="V128" s="142">
        <f>SUMIFS(領用表!$L:$L,領用表!$E:$E,$B128,領用表!$B:$B,V$2&amp;$P$1)</f>
        <v>0</v>
      </c>
      <c r="W128" s="142">
        <f>SUMIFS(領用表!$L:$L,領用表!$E:$E,$B128,領用表!$B:$B,W$2&amp;$P$1)</f>
        <v>0</v>
      </c>
      <c r="X128" s="142">
        <f>SUMIFS(領用表!$L:$L,領用表!$E:$E,$B128,領用表!$B:$B,X$2&amp;$P$1)</f>
        <v>0</v>
      </c>
      <c r="Y128" s="142">
        <f>SUMIFS(領用表!$L:$L,領用表!$E:$E,$B128,領用表!$B:$B,Y$2&amp;$P$1)</f>
        <v>0</v>
      </c>
      <c r="Z128" s="142">
        <f>SUMIFS(領用表!$L:$L,領用表!$E:$E,$B128,領用表!$B:$B,Z$2&amp;$P$1)</f>
        <v>0</v>
      </c>
      <c r="AA128" s="142">
        <f>SUMIFS(領用表!$L:$L,領用表!$E:$E,$B128,領用表!$B:$B,AA$2&amp;$P$1)</f>
        <v>0</v>
      </c>
      <c r="AB128" s="142">
        <f t="shared" ref="AB128:AB188" si="12">SUM($P128:$AA128)</f>
        <v>32</v>
      </c>
      <c r="AC128" s="142">
        <f t="shared" si="9"/>
        <v>8</v>
      </c>
      <c r="AD128" s="142">
        <f>SUMIF(Summary!B:B,B128,Summary!DV:DV)</f>
        <v>0</v>
      </c>
      <c r="AE128" s="109">
        <v>20</v>
      </c>
      <c r="AF128" s="76"/>
      <c r="AG128" s="76"/>
      <c r="AH128" s="76"/>
      <c r="AI128" s="27" t="s">
        <v>169</v>
      </c>
      <c r="AJ128" s="27"/>
      <c r="AK128" s="14"/>
      <c r="AL128" s="14"/>
    </row>
    <row r="129" spans="1:38" ht="15.75" customHeight="1">
      <c r="A129" s="78" t="s">
        <v>170</v>
      </c>
      <c r="B129" s="14">
        <v>6050006</v>
      </c>
      <c r="C129" s="136" t="s">
        <v>548</v>
      </c>
      <c r="D129" s="77"/>
      <c r="E129" s="17" t="s">
        <v>15</v>
      </c>
      <c r="F129" s="70"/>
      <c r="G129" s="18">
        <v>113</v>
      </c>
      <c r="H129" s="20">
        <f>SUMIFS(領用表!$L:$L,領用表!$E:$E,$B129,領用表!$B:$B,H$2&amp;$P$1)</f>
        <v>0</v>
      </c>
      <c r="I129" s="20">
        <f>SUMIFS(領用表!$L:$L,領用表!$E:$E,$B129,領用表!$B:$B,I$2&amp;$P$1)</f>
        <v>0</v>
      </c>
      <c r="J129" s="20">
        <f>SUMIFS(領用表!$L:$L,領用表!$E:$E,$B129,領用表!$B:$B,J$2&amp;$P$1)</f>
        <v>0</v>
      </c>
      <c r="K129" s="142">
        <f>SUMIFS(領用表!$L:$L,領用表!$E:$E,$B129,領用表!$B:$B,K$2&amp;$P$1)</f>
        <v>0</v>
      </c>
      <c r="L129" s="142">
        <f>SUMIFS(領用表!$L:$L,領用表!$E:$E,$B129,領用表!$B:$B,L$2&amp;$P$1)</f>
        <v>0</v>
      </c>
      <c r="M129" s="142">
        <f>SUMIFS(領用表!$L:$L,領用表!$E:$E,$B129,領用表!$B:$B,M$2&amp;$P$1)</f>
        <v>0</v>
      </c>
      <c r="N129" s="23">
        <f t="shared" si="10"/>
        <v>0</v>
      </c>
      <c r="O129" s="23">
        <f t="shared" si="11"/>
        <v>0</v>
      </c>
      <c r="P129" s="142">
        <f>SUMIFS(領用表!$L:$L,領用表!$E:$E,$B129,領用表!$B:$B,P$2&amp;$P$1)</f>
        <v>0</v>
      </c>
      <c r="Q129" s="405">
        <f>SUMIFS(領用表!$L:$L,領用表!$E:$E,$B129,領用表!$B:$B,Q$2&amp;$P$1)</f>
        <v>0</v>
      </c>
      <c r="R129" s="405">
        <f>SUMIFS(領用表!$L:$L,領用表!$E:$E,$B129,領用表!$B:$B,R$2&amp;$P$1)</f>
        <v>0</v>
      </c>
      <c r="S129" s="405">
        <f>SUMIFS(領用表!$L:$L,領用表!$E:$E,$B129,領用表!$B:$B,S$2&amp;$P$1)</f>
        <v>0</v>
      </c>
      <c r="T129" s="405">
        <f>SUMIFS(領用表!$L:$L,領用表!$E:$E,$B129,領用表!$B:$B,T$2&amp;$P$1)</f>
        <v>0</v>
      </c>
      <c r="U129" s="405">
        <f>SUMIFS(領用表!$L:$L,領用表!$E:$E,$B129,領用表!$B:$B,U$2&amp;$P$1)</f>
        <v>0</v>
      </c>
      <c r="V129" s="405">
        <f>SUMIFS(領用表!$L:$L,領用表!$E:$E,$B129,領用表!$B:$B,V$2&amp;$P$1)</f>
        <v>0</v>
      </c>
      <c r="W129" s="405">
        <f>SUMIFS(領用表!$L:$L,領用表!$E:$E,$B129,領用表!$B:$B,W$2&amp;$P$1)</f>
        <v>0</v>
      </c>
      <c r="X129" s="405">
        <f>SUMIFS(領用表!$L:$L,領用表!$E:$E,$B129,領用表!$B:$B,X$2&amp;$P$1)</f>
        <v>0</v>
      </c>
      <c r="Y129" s="405">
        <f>SUMIFS(領用表!$L:$L,領用表!$E:$E,$B129,領用表!$B:$B,Y$2&amp;$P$1)</f>
        <v>0</v>
      </c>
      <c r="Z129" s="405">
        <f>SUMIFS(領用表!$L:$L,領用表!$E:$E,$B129,領用表!$B:$B,Z$2&amp;$P$1)</f>
        <v>0</v>
      </c>
      <c r="AA129" s="405">
        <f>SUMIFS(領用表!$L:$L,領用表!$E:$E,$B129,領用表!$B:$B,AA$2&amp;$P$1)</f>
        <v>0</v>
      </c>
      <c r="AB129" s="405">
        <f t="shared" si="12"/>
        <v>0</v>
      </c>
      <c r="AC129" s="405">
        <f t="shared" si="9"/>
        <v>0</v>
      </c>
      <c r="AD129" s="405">
        <f>SUMIF(Summary!B:B,B129,Summary!DV:DV)</f>
        <v>0</v>
      </c>
      <c r="AE129" s="110">
        <v>8</v>
      </c>
      <c r="AF129" s="80"/>
      <c r="AG129" s="76"/>
      <c r="AH129" s="76"/>
    </row>
    <row r="130" spans="1:38" ht="15.75" hidden="1" customHeight="1">
      <c r="A130" s="27" t="s">
        <v>171</v>
      </c>
      <c r="B130" s="14" t="e">
        <v>#N/A</v>
      </c>
      <c r="C130" s="136" t="s">
        <v>549</v>
      </c>
      <c r="D130" s="77"/>
      <c r="E130" s="17" t="s">
        <v>15</v>
      </c>
      <c r="F130" s="70"/>
      <c r="G130" s="18"/>
      <c r="H130" s="20">
        <f>SUMIFS(領用表!$L:$L,領用表!$E:$E,$B130,領用表!$B:$B,H$2&amp;$P$1)</f>
        <v>0</v>
      </c>
      <c r="I130" s="20">
        <f>SUMIFS(領用表!$L:$L,領用表!$E:$E,$B130,領用表!$B:$B,I$2&amp;$P$1)</f>
        <v>0</v>
      </c>
      <c r="J130" s="20">
        <f>SUMIFS(領用表!$L:$L,領用表!$E:$E,$B130,領用表!$B:$B,J$2&amp;$P$1)</f>
        <v>0</v>
      </c>
      <c r="K130" s="142">
        <f>SUMIFS(領用表!$L:$L,領用表!$E:$E,$B130,領用表!$B:$B,K$2&amp;$P$1)</f>
        <v>0</v>
      </c>
      <c r="L130" s="142">
        <f>SUMIFS(領用表!$L:$L,領用表!$E:$E,$B130,領用表!$B:$B,L$2&amp;$P$1)</f>
        <v>0</v>
      </c>
      <c r="M130" s="142">
        <f>SUMIFS(領用表!$L:$L,領用表!$E:$E,$B130,領用表!$B:$B,M$2&amp;$P$1)</f>
        <v>0</v>
      </c>
      <c r="N130" s="23">
        <f t="shared" si="10"/>
        <v>0</v>
      </c>
      <c r="O130" s="23">
        <f t="shared" si="11"/>
        <v>0</v>
      </c>
      <c r="P130" s="142">
        <f>SUMIFS(領用表!$L:$L,領用表!$E:$E,$B130,領用表!$B:$B,P$2&amp;$P$1)</f>
        <v>0</v>
      </c>
      <c r="Q130" s="142">
        <f>SUMIFS(領用表!$L:$L,領用表!$E:$E,$B130,領用表!$B:$B,Q$2&amp;$P$1)</f>
        <v>0</v>
      </c>
      <c r="R130" s="142">
        <f>SUMIFS(領用表!$L:$L,領用表!$E:$E,$B130,領用表!$B:$B,R$2&amp;$P$1)</f>
        <v>0</v>
      </c>
      <c r="S130" s="142">
        <f>SUMIFS(領用表!$L:$L,領用表!$E:$E,$B130,領用表!$B:$B,S$2&amp;$P$1)</f>
        <v>0</v>
      </c>
      <c r="T130" s="142">
        <f>SUMIFS(領用表!$L:$L,領用表!$E:$E,$B130,領用表!$B:$B,T$2&amp;$P$1)</f>
        <v>0</v>
      </c>
      <c r="U130" s="142">
        <f>SUMIFS(領用表!$L:$L,領用表!$E:$E,$B130,領用表!$B:$B,U$2&amp;$P$1)</f>
        <v>0</v>
      </c>
      <c r="V130" s="142">
        <f>SUMIFS(領用表!$L:$L,領用表!$E:$E,$B130,領用表!$B:$B,V$2&amp;$P$1)</f>
        <v>0</v>
      </c>
      <c r="W130" s="142">
        <f>SUMIFS(領用表!$L:$L,領用表!$E:$E,$B130,領用表!$B:$B,W$2&amp;$P$1)</f>
        <v>0</v>
      </c>
      <c r="X130" s="142">
        <f>SUMIFS(領用表!$L:$L,領用表!$E:$E,$B130,領用表!$B:$B,X$2&amp;$P$1)</f>
        <v>0</v>
      </c>
      <c r="Y130" s="142">
        <f>SUMIFS(領用表!$L:$L,領用表!$E:$E,$B130,領用表!$B:$B,Y$2&amp;$P$1)</f>
        <v>0</v>
      </c>
      <c r="Z130" s="142">
        <f>SUMIFS(領用表!$L:$L,領用表!$E:$E,$B130,領用表!$B:$B,Z$2&amp;$P$1)</f>
        <v>0</v>
      </c>
      <c r="AA130" s="142">
        <f>SUMIFS(領用表!$L:$L,領用表!$E:$E,$B130,領用表!$B:$B,AA$2&amp;$P$1)</f>
        <v>0</v>
      </c>
      <c r="AB130" s="142">
        <f t="shared" si="12"/>
        <v>0</v>
      </c>
      <c r="AC130" s="142">
        <f t="shared" si="9"/>
        <v>0</v>
      </c>
      <c r="AD130" s="142">
        <f>SUMIF(Summary!B:B,B130,Summary!DV:DV)</f>
        <v>0</v>
      </c>
      <c r="AE130" s="109"/>
      <c r="AF130" s="65"/>
      <c r="AG130" s="76"/>
      <c r="AH130" s="76"/>
      <c r="AI130" s="27"/>
      <c r="AJ130" s="27"/>
      <c r="AK130" s="14"/>
      <c r="AL130" s="14"/>
    </row>
    <row r="131" spans="1:38" ht="15.75" hidden="1" customHeight="1">
      <c r="A131" s="27" t="s">
        <v>172</v>
      </c>
      <c r="B131" s="14">
        <v>6050005</v>
      </c>
      <c r="C131" s="136" t="s">
        <v>550</v>
      </c>
      <c r="D131" s="77"/>
      <c r="E131" s="17" t="s">
        <v>15</v>
      </c>
      <c r="F131" s="70"/>
      <c r="G131" s="18"/>
      <c r="H131" s="20">
        <f>SUMIFS(領用表!$L:$L,領用表!$E:$E,$B131,領用表!$B:$B,H$2&amp;$P$1)</f>
        <v>0</v>
      </c>
      <c r="I131" s="20">
        <f>SUMIFS(領用表!$L:$L,領用表!$E:$E,$B131,領用表!$B:$B,I$2&amp;$P$1)</f>
        <v>0</v>
      </c>
      <c r="J131" s="20">
        <f>SUMIFS(領用表!$L:$L,領用表!$E:$E,$B131,領用表!$B:$B,J$2&amp;$P$1)</f>
        <v>0</v>
      </c>
      <c r="K131" s="142">
        <f>SUMIFS(領用表!$L:$L,領用表!$E:$E,$B131,領用表!$B:$B,K$2&amp;$P$1)</f>
        <v>0</v>
      </c>
      <c r="L131" s="142">
        <f>SUMIFS(領用表!$L:$L,領用表!$E:$E,$B131,領用表!$B:$B,L$2&amp;$P$1)</f>
        <v>0</v>
      </c>
      <c r="M131" s="142">
        <f>SUMIFS(領用表!$L:$L,領用表!$E:$E,$B131,領用表!$B:$B,M$2&amp;$P$1)</f>
        <v>0</v>
      </c>
      <c r="N131" s="23">
        <f t="shared" si="10"/>
        <v>0</v>
      </c>
      <c r="O131" s="23">
        <f t="shared" si="11"/>
        <v>0</v>
      </c>
      <c r="P131" s="142">
        <f>SUMIFS(領用表!$L:$L,領用表!$E:$E,$B131,領用表!$B:$B,P$2&amp;$P$1)</f>
        <v>0</v>
      </c>
      <c r="Q131" s="142">
        <f>SUMIFS(領用表!$L:$L,領用表!$E:$E,$B131,領用表!$B:$B,Q$2&amp;$P$1)</f>
        <v>0</v>
      </c>
      <c r="R131" s="142">
        <f>SUMIFS(領用表!$L:$L,領用表!$E:$E,$B131,領用表!$B:$B,R$2&amp;$P$1)</f>
        <v>0</v>
      </c>
      <c r="S131" s="142">
        <f>SUMIFS(領用表!$L:$L,領用表!$E:$E,$B131,領用表!$B:$B,S$2&amp;$P$1)</f>
        <v>0</v>
      </c>
      <c r="T131" s="142">
        <f>SUMIFS(領用表!$L:$L,領用表!$E:$E,$B131,領用表!$B:$B,T$2&amp;$P$1)</f>
        <v>0</v>
      </c>
      <c r="U131" s="142">
        <f>SUMIFS(領用表!$L:$L,領用表!$E:$E,$B131,領用表!$B:$B,U$2&amp;$P$1)</f>
        <v>0</v>
      </c>
      <c r="V131" s="142">
        <f>SUMIFS(領用表!$L:$L,領用表!$E:$E,$B131,領用表!$B:$B,V$2&amp;$P$1)</f>
        <v>0</v>
      </c>
      <c r="W131" s="142">
        <f>SUMIFS(領用表!$L:$L,領用表!$E:$E,$B131,領用表!$B:$B,W$2&amp;$P$1)</f>
        <v>0</v>
      </c>
      <c r="X131" s="142">
        <f>SUMIFS(領用表!$L:$L,領用表!$E:$E,$B131,領用表!$B:$B,X$2&amp;$P$1)</f>
        <v>0</v>
      </c>
      <c r="Y131" s="142">
        <f>SUMIFS(領用表!$L:$L,領用表!$E:$E,$B131,領用表!$B:$B,Y$2&amp;$P$1)</f>
        <v>0</v>
      </c>
      <c r="Z131" s="142">
        <f>SUMIFS(領用表!$L:$L,領用表!$E:$E,$B131,領用表!$B:$B,Z$2&amp;$P$1)</f>
        <v>0</v>
      </c>
      <c r="AA131" s="142">
        <f>SUMIFS(領用表!$L:$L,領用表!$E:$E,$B131,領用表!$B:$B,AA$2&amp;$P$1)</f>
        <v>0</v>
      </c>
      <c r="AB131" s="142">
        <f t="shared" si="12"/>
        <v>0</v>
      </c>
      <c r="AC131" s="142">
        <f t="shared" si="9"/>
        <v>0</v>
      </c>
      <c r="AD131" s="142">
        <f>SUMIF(Summary!B:B,B131,Summary!DV:DV)</f>
        <v>0</v>
      </c>
      <c r="AE131" s="109"/>
      <c r="AF131" s="65"/>
      <c r="AG131" s="76"/>
      <c r="AH131" s="76"/>
    </row>
    <row r="132" spans="1:38" ht="15.75" hidden="1" customHeight="1">
      <c r="A132" s="27" t="s">
        <v>173</v>
      </c>
      <c r="B132" s="14">
        <v>1080002</v>
      </c>
      <c r="C132" s="136" t="s">
        <v>551</v>
      </c>
      <c r="D132" s="77"/>
      <c r="E132" s="17" t="s">
        <v>15</v>
      </c>
      <c r="F132" s="70"/>
      <c r="G132" s="18"/>
      <c r="H132" s="20">
        <f>SUMIFS(領用表!$L:$L,領用表!$E:$E,$B132,領用表!$B:$B,H$2&amp;$P$1)</f>
        <v>0</v>
      </c>
      <c r="I132" s="20">
        <f>SUMIFS(領用表!$L:$L,領用表!$E:$E,$B132,領用表!$B:$B,I$2&amp;$P$1)</f>
        <v>0</v>
      </c>
      <c r="J132" s="20">
        <f>SUMIFS(領用表!$L:$L,領用表!$E:$E,$B132,領用表!$B:$B,J$2&amp;$P$1)</f>
        <v>0</v>
      </c>
      <c r="K132" s="142">
        <f>SUMIFS(領用表!$L:$L,領用表!$E:$E,$B132,領用表!$B:$B,K$2&amp;$P$1)</f>
        <v>0</v>
      </c>
      <c r="L132" s="142">
        <f>SUMIFS(領用表!$L:$L,領用表!$E:$E,$B132,領用表!$B:$B,L$2&amp;$P$1)</f>
        <v>0</v>
      </c>
      <c r="M132" s="142">
        <f>SUMIFS(領用表!$L:$L,領用表!$E:$E,$B132,領用表!$B:$B,M$2&amp;$P$1)</f>
        <v>0</v>
      </c>
      <c r="N132" s="23">
        <f t="shared" si="10"/>
        <v>0</v>
      </c>
      <c r="O132" s="23">
        <f t="shared" si="11"/>
        <v>0</v>
      </c>
      <c r="P132" s="142">
        <f>SUMIFS(領用表!$L:$L,領用表!$E:$E,$B132,領用表!$B:$B,P$2&amp;$P$1)</f>
        <v>0</v>
      </c>
      <c r="Q132" s="142">
        <f>SUMIFS(領用表!$L:$L,領用表!$E:$E,$B132,領用表!$B:$B,Q$2&amp;$P$1)</f>
        <v>0</v>
      </c>
      <c r="R132" s="142">
        <f>SUMIFS(領用表!$L:$L,領用表!$E:$E,$B132,領用表!$B:$B,R$2&amp;$P$1)</f>
        <v>0</v>
      </c>
      <c r="S132" s="142">
        <f>SUMIFS(領用表!$L:$L,領用表!$E:$E,$B132,領用表!$B:$B,S$2&amp;$P$1)</f>
        <v>0</v>
      </c>
      <c r="T132" s="142">
        <f>SUMIFS(領用表!$L:$L,領用表!$E:$E,$B132,領用表!$B:$B,T$2&amp;$P$1)</f>
        <v>0</v>
      </c>
      <c r="U132" s="142">
        <f>SUMIFS(領用表!$L:$L,領用表!$E:$E,$B132,領用表!$B:$B,U$2&amp;$P$1)</f>
        <v>0</v>
      </c>
      <c r="V132" s="142">
        <f>SUMIFS(領用表!$L:$L,領用表!$E:$E,$B132,領用表!$B:$B,V$2&amp;$P$1)</f>
        <v>0</v>
      </c>
      <c r="W132" s="142">
        <f>SUMIFS(領用表!$L:$L,領用表!$E:$E,$B132,領用表!$B:$B,W$2&amp;$P$1)</f>
        <v>0</v>
      </c>
      <c r="X132" s="142">
        <f>SUMIFS(領用表!$L:$L,領用表!$E:$E,$B132,領用表!$B:$B,X$2&amp;$P$1)</f>
        <v>0</v>
      </c>
      <c r="Y132" s="142">
        <f>SUMIFS(領用表!$L:$L,領用表!$E:$E,$B132,領用表!$B:$B,Y$2&amp;$P$1)</f>
        <v>0</v>
      </c>
      <c r="Z132" s="142">
        <f>SUMIFS(領用表!$L:$L,領用表!$E:$E,$B132,領用表!$B:$B,Z$2&amp;$P$1)</f>
        <v>0</v>
      </c>
      <c r="AA132" s="142">
        <f>SUMIFS(領用表!$L:$L,領用表!$E:$E,$B132,領用表!$B:$B,AA$2&amp;$P$1)</f>
        <v>0</v>
      </c>
      <c r="AB132" s="142">
        <f t="shared" si="12"/>
        <v>0</v>
      </c>
      <c r="AC132" s="142">
        <f t="shared" si="9"/>
        <v>0</v>
      </c>
      <c r="AD132" s="142">
        <f>SUMIF(Summary!B:B,B132,Summary!DV:DV)</f>
        <v>0</v>
      </c>
      <c r="AE132" s="109"/>
      <c r="AF132" s="65"/>
      <c r="AG132" s="76"/>
      <c r="AH132" s="76"/>
      <c r="AI132" s="27"/>
      <c r="AJ132" s="27"/>
      <c r="AK132" s="14"/>
      <c r="AL132" s="14"/>
    </row>
    <row r="133" spans="1:38" ht="15.75" customHeight="1">
      <c r="A133" s="27" t="s">
        <v>174</v>
      </c>
      <c r="B133" s="14">
        <v>1080006</v>
      </c>
      <c r="C133" s="136" t="s">
        <v>552</v>
      </c>
      <c r="D133" s="77"/>
      <c r="E133" s="17" t="s">
        <v>15</v>
      </c>
      <c r="F133" s="70"/>
      <c r="G133" s="18"/>
      <c r="H133" s="20">
        <f>SUMIFS(領用表!$L:$L,領用表!$E:$E,$B133,領用表!$B:$B,H$2&amp;$P$1)</f>
        <v>0</v>
      </c>
      <c r="I133" s="20">
        <f>SUMIFS(領用表!$L:$L,領用表!$E:$E,$B133,領用表!$B:$B,I$2&amp;$P$1)</f>
        <v>0</v>
      </c>
      <c r="J133" s="20">
        <f>SUMIFS(領用表!$L:$L,領用表!$E:$E,$B133,領用表!$B:$B,J$2&amp;$P$1)</f>
        <v>0</v>
      </c>
      <c r="K133" s="142">
        <f>SUMIFS(領用表!$L:$L,領用表!$E:$E,$B133,領用表!$B:$B,K$2&amp;$P$1)</f>
        <v>0</v>
      </c>
      <c r="L133" s="142">
        <f>SUMIFS(領用表!$L:$L,領用表!$E:$E,$B133,領用表!$B:$B,L$2&amp;$P$1)</f>
        <v>0</v>
      </c>
      <c r="M133" s="142">
        <f>SUMIFS(領用表!$L:$L,領用表!$E:$E,$B133,領用表!$B:$B,M$2&amp;$P$1)</f>
        <v>0</v>
      </c>
      <c r="N133" s="23">
        <f t="shared" si="10"/>
        <v>0</v>
      </c>
      <c r="O133" s="23">
        <f t="shared" si="11"/>
        <v>0</v>
      </c>
      <c r="P133" s="142">
        <f>SUMIFS(領用表!$L:$L,領用表!$E:$E,$B133,領用表!$B:$B,P$2&amp;$P$1)</f>
        <v>0</v>
      </c>
      <c r="Q133" s="142">
        <f>SUMIFS(領用表!$L:$L,領用表!$E:$E,$B133,領用表!$B:$B,Q$2&amp;$P$1)</f>
        <v>0</v>
      </c>
      <c r="R133" s="142">
        <f>SUMIFS(領用表!$L:$L,領用表!$E:$E,$B133,領用表!$B:$B,R$2&amp;$P$1)</f>
        <v>0</v>
      </c>
      <c r="S133" s="142">
        <f>SUMIFS(領用表!$L:$L,領用表!$E:$E,$B133,領用表!$B:$B,S$2&amp;$P$1)</f>
        <v>0</v>
      </c>
      <c r="T133" s="142">
        <f>SUMIFS(領用表!$L:$L,領用表!$E:$E,$B133,領用表!$B:$B,T$2&amp;$P$1)</f>
        <v>0</v>
      </c>
      <c r="U133" s="142">
        <f>SUMIFS(領用表!$L:$L,領用表!$E:$E,$B133,領用表!$B:$B,U$2&amp;$P$1)</f>
        <v>0</v>
      </c>
      <c r="V133" s="142">
        <f>SUMIFS(領用表!$L:$L,領用表!$E:$E,$B133,領用表!$B:$B,V$2&amp;$P$1)</f>
        <v>0</v>
      </c>
      <c r="W133" s="142">
        <f>SUMIFS(領用表!$L:$L,領用表!$E:$E,$B133,領用表!$B:$B,W$2&amp;$P$1)</f>
        <v>0</v>
      </c>
      <c r="X133" s="142">
        <f>SUMIFS(領用表!$L:$L,領用表!$E:$E,$B133,領用表!$B:$B,X$2&amp;$P$1)</f>
        <v>0</v>
      </c>
      <c r="Y133" s="142">
        <f>SUMIFS(領用表!$L:$L,領用表!$E:$E,$B133,領用表!$B:$B,Y$2&amp;$P$1)</f>
        <v>0</v>
      </c>
      <c r="Z133" s="142">
        <f>SUMIFS(領用表!$L:$L,領用表!$E:$E,$B133,領用表!$B:$B,Z$2&amp;$P$1)</f>
        <v>0</v>
      </c>
      <c r="AA133" s="142">
        <f>SUMIFS(領用表!$L:$L,領用表!$E:$E,$B133,領用表!$B:$B,AA$2&amp;$P$1)</f>
        <v>0</v>
      </c>
      <c r="AB133" s="142">
        <f t="shared" si="12"/>
        <v>0</v>
      </c>
      <c r="AC133" s="142">
        <f t="shared" si="9"/>
        <v>0</v>
      </c>
      <c r="AD133" s="142">
        <f>SUMIF(Summary!B:B,B133,Summary!DV:DV)</f>
        <v>0</v>
      </c>
      <c r="AE133" s="109">
        <v>1500</v>
      </c>
      <c r="AF133" s="65"/>
      <c r="AG133" s="76"/>
      <c r="AH133" s="76"/>
    </row>
    <row r="134" spans="1:38" ht="15.75" customHeight="1">
      <c r="A134" s="27" t="s">
        <v>175</v>
      </c>
      <c r="B134" s="14" t="e">
        <v>#N/A</v>
      </c>
      <c r="C134" s="136" t="s">
        <v>553</v>
      </c>
      <c r="D134" s="77"/>
      <c r="E134" s="17" t="s">
        <v>15</v>
      </c>
      <c r="F134" s="70"/>
      <c r="G134" s="18"/>
      <c r="H134" s="20">
        <f>SUMIFS(領用表!$L:$L,領用表!$E:$E,$B134,領用表!$B:$B,H$2&amp;$P$1)</f>
        <v>0</v>
      </c>
      <c r="I134" s="20">
        <f>SUMIFS(領用表!$L:$L,領用表!$E:$E,$B134,領用表!$B:$B,I$2&amp;$P$1)</f>
        <v>0</v>
      </c>
      <c r="J134" s="20">
        <f>SUMIFS(領用表!$L:$L,領用表!$E:$E,$B134,領用表!$B:$B,J$2&amp;$P$1)</f>
        <v>0</v>
      </c>
      <c r="K134" s="142">
        <f>SUMIFS(領用表!$L:$L,領用表!$E:$E,$B134,領用表!$B:$B,K$2&amp;$P$1)</f>
        <v>0</v>
      </c>
      <c r="L134" s="142">
        <f>SUMIFS(領用表!$L:$L,領用表!$E:$E,$B134,領用表!$B:$B,L$2&amp;$P$1)</f>
        <v>0</v>
      </c>
      <c r="M134" s="142">
        <f>SUMIFS(領用表!$L:$L,領用表!$E:$E,$B134,領用表!$B:$B,M$2&amp;$P$1)</f>
        <v>0</v>
      </c>
      <c r="N134" s="23">
        <f t="shared" si="10"/>
        <v>0</v>
      </c>
      <c r="O134" s="23">
        <f t="shared" si="11"/>
        <v>0</v>
      </c>
      <c r="P134" s="142">
        <f>SUMIFS(領用表!$L:$L,領用表!$E:$E,$B134,領用表!$B:$B,P$2&amp;$P$1)</f>
        <v>0</v>
      </c>
      <c r="Q134" s="142">
        <f>SUMIFS(領用表!$L:$L,領用表!$E:$E,$B134,領用表!$B:$B,Q$2&amp;$P$1)</f>
        <v>0</v>
      </c>
      <c r="R134" s="142">
        <f>SUMIFS(領用表!$L:$L,領用表!$E:$E,$B134,領用表!$B:$B,R$2&amp;$P$1)</f>
        <v>0</v>
      </c>
      <c r="S134" s="142">
        <f>SUMIFS(領用表!$L:$L,領用表!$E:$E,$B134,領用表!$B:$B,S$2&amp;$P$1)</f>
        <v>0</v>
      </c>
      <c r="T134" s="142">
        <f>SUMIFS(領用表!$L:$L,領用表!$E:$E,$B134,領用表!$B:$B,T$2&amp;$P$1)</f>
        <v>0</v>
      </c>
      <c r="U134" s="142">
        <f>SUMIFS(領用表!$L:$L,領用表!$E:$E,$B134,領用表!$B:$B,U$2&amp;$P$1)</f>
        <v>0</v>
      </c>
      <c r="V134" s="142">
        <f>SUMIFS(領用表!$L:$L,領用表!$E:$E,$B134,領用表!$B:$B,V$2&amp;$P$1)</f>
        <v>0</v>
      </c>
      <c r="W134" s="142">
        <f>SUMIFS(領用表!$L:$L,領用表!$E:$E,$B134,領用表!$B:$B,W$2&amp;$P$1)</f>
        <v>0</v>
      </c>
      <c r="X134" s="142">
        <f>SUMIFS(領用表!$L:$L,領用表!$E:$E,$B134,領用表!$B:$B,X$2&amp;$P$1)</f>
        <v>0</v>
      </c>
      <c r="Y134" s="142">
        <f>SUMIFS(領用表!$L:$L,領用表!$E:$E,$B134,領用表!$B:$B,Y$2&amp;$P$1)</f>
        <v>0</v>
      </c>
      <c r="Z134" s="142">
        <f>SUMIFS(領用表!$L:$L,領用表!$E:$E,$B134,領用表!$B:$B,Z$2&amp;$P$1)</f>
        <v>0</v>
      </c>
      <c r="AA134" s="142">
        <f>SUMIFS(領用表!$L:$L,領用表!$E:$E,$B134,領用表!$B:$B,AA$2&amp;$P$1)</f>
        <v>0</v>
      </c>
      <c r="AB134" s="142">
        <f t="shared" si="12"/>
        <v>0</v>
      </c>
      <c r="AC134" s="142">
        <f t="shared" si="9"/>
        <v>0</v>
      </c>
      <c r="AD134" s="142">
        <f>SUMIF(Summary!B:B,B134,Summary!DV:DV)</f>
        <v>0</v>
      </c>
      <c r="AE134" s="109">
        <v>0</v>
      </c>
      <c r="AF134" s="65"/>
      <c r="AG134" s="76"/>
      <c r="AH134" s="76"/>
    </row>
    <row r="135" spans="1:38" ht="15.75" customHeight="1">
      <c r="A135" s="27" t="s">
        <v>176</v>
      </c>
      <c r="B135" s="14">
        <v>6080005</v>
      </c>
      <c r="C135" s="136" t="s">
        <v>554</v>
      </c>
      <c r="D135" s="77"/>
      <c r="E135" s="17" t="s">
        <v>15</v>
      </c>
      <c r="F135" s="70"/>
      <c r="G135" s="18"/>
      <c r="H135" s="20">
        <f>SUMIFS(領用表!$L:$L,領用表!$E:$E,$B135,領用表!$B:$B,H$2&amp;$P$1)</f>
        <v>0</v>
      </c>
      <c r="I135" s="20">
        <f>SUMIFS(領用表!$L:$L,領用表!$E:$E,$B135,領用表!$B:$B,I$2&amp;$P$1)</f>
        <v>0</v>
      </c>
      <c r="J135" s="20">
        <f>SUMIFS(領用表!$L:$L,領用表!$E:$E,$B135,領用表!$B:$B,J$2&amp;$P$1)</f>
        <v>0</v>
      </c>
      <c r="K135" s="142">
        <f>SUMIFS(領用表!$L:$L,領用表!$E:$E,$B135,領用表!$B:$B,K$2&amp;$P$1)</f>
        <v>0</v>
      </c>
      <c r="L135" s="142">
        <f>SUMIFS(領用表!$L:$L,領用表!$E:$E,$B135,領用表!$B:$B,L$2&amp;$P$1)</f>
        <v>0</v>
      </c>
      <c r="M135" s="142">
        <f>SUMIFS(領用表!$L:$L,領用表!$E:$E,$B135,領用表!$B:$B,M$2&amp;$P$1)</f>
        <v>0</v>
      </c>
      <c r="N135" s="23">
        <f t="shared" si="10"/>
        <v>0</v>
      </c>
      <c r="O135" s="23">
        <f t="shared" si="11"/>
        <v>0</v>
      </c>
      <c r="P135" s="142">
        <f>SUMIFS(領用表!$L:$L,領用表!$E:$E,$B135,領用表!$B:$B,P$2&amp;$P$1)</f>
        <v>0</v>
      </c>
      <c r="Q135" s="142">
        <f>SUMIFS(領用表!$L:$L,領用表!$E:$E,$B135,領用表!$B:$B,Q$2&amp;$P$1)</f>
        <v>0</v>
      </c>
      <c r="R135" s="142">
        <f>SUMIFS(領用表!$L:$L,領用表!$E:$E,$B135,領用表!$B:$B,R$2&amp;$P$1)</f>
        <v>0</v>
      </c>
      <c r="S135" s="142">
        <f>SUMIFS(領用表!$L:$L,領用表!$E:$E,$B135,領用表!$B:$B,S$2&amp;$P$1)</f>
        <v>0</v>
      </c>
      <c r="T135" s="142">
        <f>SUMIFS(領用表!$L:$L,領用表!$E:$E,$B135,領用表!$B:$B,T$2&amp;$P$1)</f>
        <v>0</v>
      </c>
      <c r="U135" s="142">
        <f>SUMIFS(領用表!$L:$L,領用表!$E:$E,$B135,領用表!$B:$B,U$2&amp;$P$1)</f>
        <v>0</v>
      </c>
      <c r="V135" s="142">
        <f>SUMIFS(領用表!$L:$L,領用表!$E:$E,$B135,領用表!$B:$B,V$2&amp;$P$1)</f>
        <v>0</v>
      </c>
      <c r="W135" s="142">
        <f>SUMIFS(領用表!$L:$L,領用表!$E:$E,$B135,領用表!$B:$B,W$2&amp;$P$1)</f>
        <v>0</v>
      </c>
      <c r="X135" s="142">
        <f>SUMIFS(領用表!$L:$L,領用表!$E:$E,$B135,領用表!$B:$B,X$2&amp;$P$1)</f>
        <v>0</v>
      </c>
      <c r="Y135" s="142">
        <f>SUMIFS(領用表!$L:$L,領用表!$E:$E,$B135,領用表!$B:$B,Y$2&amp;$P$1)</f>
        <v>0</v>
      </c>
      <c r="Z135" s="142">
        <f>SUMIFS(領用表!$L:$L,領用表!$E:$E,$B135,領用表!$B:$B,Z$2&amp;$P$1)</f>
        <v>0</v>
      </c>
      <c r="AA135" s="142">
        <f>SUMIFS(領用表!$L:$L,領用表!$E:$E,$B135,領用表!$B:$B,AA$2&amp;$P$1)</f>
        <v>0</v>
      </c>
      <c r="AB135" s="142">
        <f t="shared" si="12"/>
        <v>0</v>
      </c>
      <c r="AC135" s="142">
        <f t="shared" si="9"/>
        <v>0</v>
      </c>
      <c r="AD135" s="142">
        <f>SUMIF(Summary!B:B,B135,Summary!DV:DV)</f>
        <v>0</v>
      </c>
      <c r="AE135" s="109">
        <v>300</v>
      </c>
      <c r="AF135" s="65"/>
      <c r="AG135" s="83"/>
      <c r="AH135" s="76"/>
    </row>
    <row r="136" spans="1:38" ht="15.75" customHeight="1">
      <c r="A136" s="27" t="s">
        <v>177</v>
      </c>
      <c r="B136" s="14">
        <v>6080007</v>
      </c>
      <c r="C136" s="136" t="s">
        <v>555</v>
      </c>
      <c r="D136" s="77"/>
      <c r="E136" s="17" t="s">
        <v>15</v>
      </c>
      <c r="F136" s="70"/>
      <c r="G136" s="18"/>
      <c r="H136" s="20">
        <f>SUMIFS(領用表!$L:$L,領用表!$E:$E,$B136,領用表!$B:$B,H$2&amp;$P$1)</f>
        <v>0</v>
      </c>
      <c r="I136" s="20">
        <f>SUMIFS(領用表!$L:$L,領用表!$E:$E,$B136,領用表!$B:$B,I$2&amp;$P$1)</f>
        <v>0</v>
      </c>
      <c r="J136" s="20">
        <f>SUMIFS(領用表!$L:$L,領用表!$E:$E,$B136,領用表!$B:$B,J$2&amp;$P$1)</f>
        <v>0</v>
      </c>
      <c r="K136" s="142">
        <f>SUMIFS(領用表!$L:$L,領用表!$E:$E,$B136,領用表!$B:$B,K$2&amp;$P$1)</f>
        <v>0</v>
      </c>
      <c r="L136" s="142">
        <f>SUMIFS(領用表!$L:$L,領用表!$E:$E,$B136,領用表!$B:$B,L$2&amp;$P$1)</f>
        <v>0</v>
      </c>
      <c r="M136" s="142">
        <f>SUMIFS(領用表!$L:$L,領用表!$E:$E,$B136,領用表!$B:$B,M$2&amp;$P$1)</f>
        <v>0</v>
      </c>
      <c r="N136" s="23">
        <f t="shared" si="10"/>
        <v>0</v>
      </c>
      <c r="O136" s="23">
        <f t="shared" si="11"/>
        <v>0</v>
      </c>
      <c r="P136" s="142">
        <f>SUMIFS(領用表!$L:$L,領用表!$E:$E,$B136,領用表!$B:$B,P$2&amp;$P$1)</f>
        <v>0</v>
      </c>
      <c r="Q136" s="142">
        <f>SUMIFS(領用表!$L:$L,領用表!$E:$E,$B136,領用表!$B:$B,Q$2&amp;$P$1)</f>
        <v>0</v>
      </c>
      <c r="R136" s="142">
        <f>SUMIFS(領用表!$L:$L,領用表!$E:$E,$B136,領用表!$B:$B,R$2&amp;$P$1)</f>
        <v>0</v>
      </c>
      <c r="S136" s="142">
        <f>SUMIFS(領用表!$L:$L,領用表!$E:$E,$B136,領用表!$B:$B,S$2&amp;$P$1)</f>
        <v>0</v>
      </c>
      <c r="T136" s="142">
        <f>SUMIFS(領用表!$L:$L,領用表!$E:$E,$B136,領用表!$B:$B,T$2&amp;$P$1)</f>
        <v>0</v>
      </c>
      <c r="U136" s="142">
        <f>SUMIFS(領用表!$L:$L,領用表!$E:$E,$B136,領用表!$B:$B,U$2&amp;$P$1)</f>
        <v>0</v>
      </c>
      <c r="V136" s="142">
        <f>SUMIFS(領用表!$L:$L,領用表!$E:$E,$B136,領用表!$B:$B,V$2&amp;$P$1)</f>
        <v>0</v>
      </c>
      <c r="W136" s="142">
        <f>SUMIFS(領用表!$L:$L,領用表!$E:$E,$B136,領用表!$B:$B,W$2&amp;$P$1)</f>
        <v>0</v>
      </c>
      <c r="X136" s="142">
        <f>SUMIFS(領用表!$L:$L,領用表!$E:$E,$B136,領用表!$B:$B,X$2&amp;$P$1)</f>
        <v>0</v>
      </c>
      <c r="Y136" s="142">
        <f>SUMIFS(領用表!$L:$L,領用表!$E:$E,$B136,領用表!$B:$B,Y$2&amp;$P$1)</f>
        <v>0</v>
      </c>
      <c r="Z136" s="142">
        <f>SUMIFS(領用表!$L:$L,領用表!$E:$E,$B136,領用表!$B:$B,Z$2&amp;$P$1)</f>
        <v>0</v>
      </c>
      <c r="AA136" s="142">
        <f>SUMIFS(領用表!$L:$L,領用表!$E:$E,$B136,領用表!$B:$B,AA$2&amp;$P$1)</f>
        <v>0</v>
      </c>
      <c r="AB136" s="142">
        <f t="shared" si="12"/>
        <v>0</v>
      </c>
      <c r="AC136" s="142">
        <f t="shared" ref="AC136:AC187" si="13">AVERAGE(Q136,R136,S136,T136)</f>
        <v>0</v>
      </c>
      <c r="AD136" s="142">
        <f>SUMIF(Summary!B:B,B136,Summary!DV:DV)</f>
        <v>0</v>
      </c>
      <c r="AE136" s="109">
        <v>0</v>
      </c>
      <c r="AF136" s="65"/>
      <c r="AG136" s="76"/>
      <c r="AH136" s="76"/>
      <c r="AI136" s="14"/>
      <c r="AJ136" s="14"/>
      <c r="AK136" s="14"/>
      <c r="AL136" s="14"/>
    </row>
    <row r="137" spans="1:38" ht="15.75" customHeight="1">
      <c r="A137" s="27" t="s">
        <v>178</v>
      </c>
      <c r="B137" s="14" t="e">
        <v>#N/A</v>
      </c>
      <c r="C137" s="136" t="s">
        <v>556</v>
      </c>
      <c r="D137" s="77"/>
      <c r="E137" s="17" t="s">
        <v>15</v>
      </c>
      <c r="F137" s="70"/>
      <c r="G137" s="18"/>
      <c r="H137" s="20">
        <f>SUMIFS(領用表!$L:$L,領用表!$E:$E,$B137,領用表!$B:$B,H$2&amp;$P$1)</f>
        <v>0</v>
      </c>
      <c r="I137" s="20">
        <f>SUMIFS(領用表!$L:$L,領用表!$E:$E,$B137,領用表!$B:$B,I$2&amp;$P$1)</f>
        <v>0</v>
      </c>
      <c r="J137" s="20">
        <f>SUMIFS(領用表!$L:$L,領用表!$E:$E,$B137,領用表!$B:$B,J$2&amp;$P$1)</f>
        <v>0</v>
      </c>
      <c r="K137" s="142">
        <f>SUMIFS(領用表!$L:$L,領用表!$E:$E,$B137,領用表!$B:$B,K$2&amp;$P$1)</f>
        <v>0</v>
      </c>
      <c r="L137" s="142">
        <f>SUMIFS(領用表!$L:$L,領用表!$E:$E,$B137,領用表!$B:$B,L$2&amp;$P$1)</f>
        <v>0</v>
      </c>
      <c r="M137" s="142">
        <f>SUMIFS(領用表!$L:$L,領用表!$E:$E,$B137,領用表!$B:$B,M$2&amp;$P$1)</f>
        <v>0</v>
      </c>
      <c r="N137" s="23">
        <f t="shared" si="10"/>
        <v>0</v>
      </c>
      <c r="O137" s="23">
        <f t="shared" si="11"/>
        <v>0</v>
      </c>
      <c r="P137" s="142">
        <f>SUMIFS(領用表!$L:$L,領用表!$E:$E,$B137,領用表!$B:$B,P$2&amp;$P$1)</f>
        <v>0</v>
      </c>
      <c r="Q137" s="142">
        <f>SUMIFS(領用表!$L:$L,領用表!$E:$E,$B137,領用表!$B:$B,Q$2&amp;$P$1)</f>
        <v>0</v>
      </c>
      <c r="R137" s="142">
        <f>SUMIFS(領用表!$L:$L,領用表!$E:$E,$B137,領用表!$B:$B,R$2&amp;$P$1)</f>
        <v>0</v>
      </c>
      <c r="S137" s="142">
        <f>SUMIFS(領用表!$L:$L,領用表!$E:$E,$B137,領用表!$B:$B,S$2&amp;$P$1)</f>
        <v>0</v>
      </c>
      <c r="T137" s="142">
        <f>SUMIFS(領用表!$L:$L,領用表!$E:$E,$B137,領用表!$B:$B,T$2&amp;$P$1)</f>
        <v>0</v>
      </c>
      <c r="U137" s="142">
        <f>SUMIFS(領用表!$L:$L,領用表!$E:$E,$B137,領用表!$B:$B,U$2&amp;$P$1)</f>
        <v>0</v>
      </c>
      <c r="V137" s="142">
        <f>SUMIFS(領用表!$L:$L,領用表!$E:$E,$B137,領用表!$B:$B,V$2&amp;$P$1)</f>
        <v>0</v>
      </c>
      <c r="W137" s="142">
        <f>SUMIFS(領用表!$L:$L,領用表!$E:$E,$B137,領用表!$B:$B,W$2&amp;$P$1)</f>
        <v>0</v>
      </c>
      <c r="X137" s="142">
        <f>SUMIFS(領用表!$L:$L,領用表!$E:$E,$B137,領用表!$B:$B,X$2&amp;$P$1)</f>
        <v>0</v>
      </c>
      <c r="Y137" s="142">
        <f>SUMIFS(領用表!$L:$L,領用表!$E:$E,$B137,領用表!$B:$B,Y$2&amp;$P$1)</f>
        <v>0</v>
      </c>
      <c r="Z137" s="142">
        <f>SUMIFS(領用表!$L:$L,領用表!$E:$E,$B137,領用表!$B:$B,Z$2&amp;$P$1)</f>
        <v>0</v>
      </c>
      <c r="AA137" s="142">
        <f>SUMIFS(領用表!$L:$L,領用表!$E:$E,$B137,領用表!$B:$B,AA$2&amp;$P$1)</f>
        <v>0</v>
      </c>
      <c r="AB137" s="142">
        <f t="shared" si="12"/>
        <v>0</v>
      </c>
      <c r="AC137" s="142">
        <f t="shared" si="13"/>
        <v>0</v>
      </c>
      <c r="AD137" s="142">
        <f>SUMIF(Summary!B:B,B137,Summary!DV:DV)</f>
        <v>0</v>
      </c>
      <c r="AE137" s="109"/>
      <c r="AF137" s="65"/>
      <c r="AG137" s="76" t="s">
        <v>179</v>
      </c>
      <c r="AH137" s="76"/>
      <c r="AI137" s="14"/>
      <c r="AJ137" s="14"/>
      <c r="AK137" s="14"/>
      <c r="AL137" s="14"/>
    </row>
    <row r="138" spans="1:38" ht="15.75" customHeight="1">
      <c r="A138" s="27" t="s">
        <v>180</v>
      </c>
      <c r="B138" s="14">
        <v>1050001</v>
      </c>
      <c r="C138" s="136" t="s">
        <v>557</v>
      </c>
      <c r="D138" s="77"/>
      <c r="E138" s="17" t="s">
        <v>15</v>
      </c>
      <c r="F138" s="70"/>
      <c r="G138" s="18"/>
      <c r="H138" s="20">
        <f>SUMIFS(領用表!$L:$L,領用表!$E:$E,$B138,領用表!$B:$B,H$2&amp;$P$1)</f>
        <v>0</v>
      </c>
      <c r="I138" s="20">
        <f>SUMIFS(領用表!$L:$L,領用表!$E:$E,$B138,領用表!$B:$B,I$2&amp;$P$1)</f>
        <v>0</v>
      </c>
      <c r="J138" s="20">
        <f>SUMIFS(領用表!$L:$L,領用表!$E:$E,$B138,領用表!$B:$B,J$2&amp;$P$1)</f>
        <v>0</v>
      </c>
      <c r="K138" s="142">
        <f>SUMIFS(領用表!$L:$L,領用表!$E:$E,$B138,領用表!$B:$B,K$2&amp;$P$1)</f>
        <v>0</v>
      </c>
      <c r="L138" s="142">
        <f>SUMIFS(領用表!$L:$L,領用表!$E:$E,$B138,領用表!$B:$B,L$2&amp;$P$1)</f>
        <v>0</v>
      </c>
      <c r="M138" s="142">
        <f>SUMIFS(領用表!$L:$L,領用表!$E:$E,$B138,領用表!$B:$B,M$2&amp;$P$1)</f>
        <v>0</v>
      </c>
      <c r="N138" s="23">
        <f t="shared" si="10"/>
        <v>0</v>
      </c>
      <c r="O138" s="23">
        <f t="shared" si="11"/>
        <v>0</v>
      </c>
      <c r="P138" s="142">
        <f>SUMIFS(領用表!$L:$L,領用表!$E:$E,$B138,領用表!$B:$B,P$2&amp;$P$1)</f>
        <v>0</v>
      </c>
      <c r="Q138" s="142">
        <f>SUMIFS(領用表!$L:$L,領用表!$E:$E,$B138,領用表!$B:$B,Q$2&amp;$P$1)</f>
        <v>0</v>
      </c>
      <c r="R138" s="142">
        <f>SUMIFS(領用表!$L:$L,領用表!$E:$E,$B138,領用表!$B:$B,R$2&amp;$P$1)</f>
        <v>0</v>
      </c>
      <c r="S138" s="142">
        <f>SUMIFS(領用表!$L:$L,領用表!$E:$E,$B138,領用表!$B:$B,S$2&amp;$P$1)</f>
        <v>0</v>
      </c>
      <c r="T138" s="142">
        <f>SUMIFS(領用表!$L:$L,領用表!$E:$E,$B138,領用表!$B:$B,T$2&amp;$P$1)</f>
        <v>0</v>
      </c>
      <c r="U138" s="142">
        <f>SUMIFS(領用表!$L:$L,領用表!$E:$E,$B138,領用表!$B:$B,U$2&amp;$P$1)</f>
        <v>0</v>
      </c>
      <c r="V138" s="142">
        <f>SUMIFS(領用表!$L:$L,領用表!$E:$E,$B138,領用表!$B:$B,V$2&amp;$P$1)</f>
        <v>0</v>
      </c>
      <c r="W138" s="142">
        <f>SUMIFS(領用表!$L:$L,領用表!$E:$E,$B138,領用表!$B:$B,W$2&amp;$P$1)</f>
        <v>0</v>
      </c>
      <c r="X138" s="142">
        <f>SUMIFS(領用表!$L:$L,領用表!$E:$E,$B138,領用表!$B:$B,X$2&amp;$P$1)</f>
        <v>0</v>
      </c>
      <c r="Y138" s="142">
        <f>SUMIFS(領用表!$L:$L,領用表!$E:$E,$B138,領用表!$B:$B,Y$2&amp;$P$1)</f>
        <v>0</v>
      </c>
      <c r="Z138" s="142">
        <f>SUMIFS(領用表!$L:$L,領用表!$E:$E,$B138,領用表!$B:$B,Z$2&amp;$P$1)</f>
        <v>0</v>
      </c>
      <c r="AA138" s="142">
        <f>SUMIFS(領用表!$L:$L,領用表!$E:$E,$B138,領用表!$B:$B,AA$2&amp;$P$1)</f>
        <v>0</v>
      </c>
      <c r="AB138" s="142">
        <f t="shared" si="12"/>
        <v>0</v>
      </c>
      <c r="AC138" s="142">
        <f t="shared" si="13"/>
        <v>0</v>
      </c>
      <c r="AD138" s="142">
        <f>SUMIF(Summary!B:B,B138,Summary!DV:DV)</f>
        <v>0</v>
      </c>
      <c r="AE138" s="109">
        <v>10</v>
      </c>
      <c r="AF138" s="65"/>
      <c r="AG138" s="76"/>
      <c r="AH138" s="76"/>
      <c r="AI138" s="27"/>
      <c r="AJ138" s="27"/>
      <c r="AK138" s="14"/>
      <c r="AL138" s="14"/>
    </row>
    <row r="139" spans="1:38" ht="15.75" customHeight="1">
      <c r="A139" s="27" t="s">
        <v>181</v>
      </c>
      <c r="B139" s="14">
        <v>1050002</v>
      </c>
      <c r="C139" s="136" t="s">
        <v>558</v>
      </c>
      <c r="D139" s="77"/>
      <c r="E139" s="17" t="s">
        <v>15</v>
      </c>
      <c r="F139" s="70"/>
      <c r="G139" s="18"/>
      <c r="H139" s="20">
        <f>SUMIFS(領用表!$L:$L,領用表!$E:$E,$B139,領用表!$B:$B,H$2&amp;$P$1)</f>
        <v>0</v>
      </c>
      <c r="I139" s="20">
        <f>SUMIFS(領用表!$L:$L,領用表!$E:$E,$B139,領用表!$B:$B,I$2&amp;$P$1)</f>
        <v>0</v>
      </c>
      <c r="J139" s="20">
        <f>SUMIFS(領用表!$L:$L,領用表!$E:$E,$B139,領用表!$B:$B,J$2&amp;$P$1)</f>
        <v>0</v>
      </c>
      <c r="K139" s="142">
        <f>SUMIFS(領用表!$L:$L,領用表!$E:$E,$B139,領用表!$B:$B,K$2&amp;$P$1)</f>
        <v>0</v>
      </c>
      <c r="L139" s="142">
        <f>SUMIFS(領用表!$L:$L,領用表!$E:$E,$B139,領用表!$B:$B,L$2&amp;$P$1)</f>
        <v>0</v>
      </c>
      <c r="M139" s="142">
        <f>SUMIFS(領用表!$L:$L,領用表!$E:$E,$B139,領用表!$B:$B,M$2&amp;$P$1)</f>
        <v>0</v>
      </c>
      <c r="N139" s="23">
        <f t="shared" si="10"/>
        <v>0</v>
      </c>
      <c r="O139" s="23">
        <f t="shared" si="11"/>
        <v>0</v>
      </c>
      <c r="P139" s="142">
        <f>SUMIFS(領用表!$L:$L,領用表!$E:$E,$B139,領用表!$B:$B,P$2&amp;$P$1)</f>
        <v>0</v>
      </c>
      <c r="Q139" s="142">
        <f>SUMIFS(領用表!$L:$L,領用表!$E:$E,$B139,領用表!$B:$B,Q$2&amp;$P$1)</f>
        <v>0</v>
      </c>
      <c r="R139" s="142">
        <f>SUMIFS(領用表!$L:$L,領用表!$E:$E,$B139,領用表!$B:$B,R$2&amp;$P$1)</f>
        <v>0</v>
      </c>
      <c r="S139" s="142">
        <f>SUMIFS(領用表!$L:$L,領用表!$E:$E,$B139,領用表!$B:$B,S$2&amp;$P$1)</f>
        <v>0</v>
      </c>
      <c r="T139" s="142">
        <f>SUMIFS(領用表!$L:$L,領用表!$E:$E,$B139,領用表!$B:$B,T$2&amp;$P$1)</f>
        <v>0</v>
      </c>
      <c r="U139" s="142">
        <f>SUMIFS(領用表!$L:$L,領用表!$E:$E,$B139,領用表!$B:$B,U$2&amp;$P$1)</f>
        <v>0</v>
      </c>
      <c r="V139" s="142">
        <f>SUMIFS(領用表!$L:$L,領用表!$E:$E,$B139,領用表!$B:$B,V$2&amp;$P$1)</f>
        <v>0</v>
      </c>
      <c r="W139" s="142">
        <f>SUMIFS(領用表!$L:$L,領用表!$E:$E,$B139,領用表!$B:$B,W$2&amp;$P$1)</f>
        <v>0</v>
      </c>
      <c r="X139" s="142">
        <f>SUMIFS(領用表!$L:$L,領用表!$E:$E,$B139,領用表!$B:$B,X$2&amp;$P$1)</f>
        <v>0</v>
      </c>
      <c r="Y139" s="142">
        <f>SUMIFS(領用表!$L:$L,領用表!$E:$E,$B139,領用表!$B:$B,Y$2&amp;$P$1)</f>
        <v>0</v>
      </c>
      <c r="Z139" s="142">
        <f>SUMIFS(領用表!$L:$L,領用表!$E:$E,$B139,領用表!$B:$B,Z$2&amp;$P$1)</f>
        <v>0</v>
      </c>
      <c r="AA139" s="142">
        <f>SUMIFS(領用表!$L:$L,領用表!$E:$E,$B139,領用表!$B:$B,AA$2&amp;$P$1)</f>
        <v>0</v>
      </c>
      <c r="AB139" s="142">
        <f t="shared" si="12"/>
        <v>0</v>
      </c>
      <c r="AC139" s="142">
        <f t="shared" si="13"/>
        <v>0</v>
      </c>
      <c r="AD139" s="142">
        <f>SUMIF(Summary!B:B,B139,Summary!DV:DV)</f>
        <v>0</v>
      </c>
      <c r="AE139" s="109">
        <v>0</v>
      </c>
      <c r="AF139" s="65"/>
      <c r="AG139" s="76"/>
      <c r="AH139" s="76"/>
      <c r="AI139" s="27"/>
      <c r="AJ139" s="27"/>
      <c r="AK139" s="14"/>
      <c r="AL139" s="14"/>
    </row>
    <row r="140" spans="1:38" ht="15.75" hidden="1" customHeight="1">
      <c r="A140" s="27" t="s">
        <v>182</v>
      </c>
      <c r="B140" s="14">
        <v>1050003</v>
      </c>
      <c r="C140" s="136" t="s">
        <v>559</v>
      </c>
      <c r="D140" s="77"/>
      <c r="E140" s="17" t="s">
        <v>15</v>
      </c>
      <c r="F140" s="70"/>
      <c r="G140" s="18"/>
      <c r="H140" s="20">
        <f>SUMIFS(領用表!$L:$L,領用表!$E:$E,$B140,領用表!$B:$B,H$2&amp;$P$1)</f>
        <v>0</v>
      </c>
      <c r="I140" s="20">
        <f>SUMIFS(領用表!$L:$L,領用表!$E:$E,$B140,領用表!$B:$B,I$2&amp;$P$1)</f>
        <v>0</v>
      </c>
      <c r="J140" s="20">
        <f>SUMIFS(領用表!$L:$L,領用表!$E:$E,$B140,領用表!$B:$B,J$2&amp;$P$1)</f>
        <v>0</v>
      </c>
      <c r="K140" s="142">
        <f>SUMIFS(領用表!$L:$L,領用表!$E:$E,$B140,領用表!$B:$B,K$2&amp;$P$1)</f>
        <v>0</v>
      </c>
      <c r="L140" s="142">
        <f>SUMIFS(領用表!$L:$L,領用表!$E:$E,$B140,領用表!$B:$B,L$2&amp;$P$1)</f>
        <v>0</v>
      </c>
      <c r="M140" s="142">
        <f>SUMIFS(領用表!$L:$L,領用表!$E:$E,$B140,領用表!$B:$B,M$2&amp;$P$1)</f>
        <v>0</v>
      </c>
      <c r="N140" s="23">
        <f t="shared" si="10"/>
        <v>0</v>
      </c>
      <c r="O140" s="23">
        <f t="shared" si="11"/>
        <v>0</v>
      </c>
      <c r="P140" s="142">
        <f>SUMIFS(領用表!$L:$L,領用表!$E:$E,$B140,領用表!$B:$B,P$2&amp;$P$1)</f>
        <v>0</v>
      </c>
      <c r="Q140" s="142">
        <f>SUMIFS(領用表!$L:$L,領用表!$E:$E,$B140,領用表!$B:$B,Q$2&amp;$P$1)</f>
        <v>0</v>
      </c>
      <c r="R140" s="142">
        <f>SUMIFS(領用表!$L:$L,領用表!$E:$E,$B140,領用表!$B:$B,R$2&amp;$P$1)</f>
        <v>0</v>
      </c>
      <c r="S140" s="142">
        <f>SUMIFS(領用表!$L:$L,領用表!$E:$E,$B140,領用表!$B:$B,S$2&amp;$P$1)</f>
        <v>0</v>
      </c>
      <c r="T140" s="142">
        <f>SUMIFS(領用表!$L:$L,領用表!$E:$E,$B140,領用表!$B:$B,T$2&amp;$P$1)</f>
        <v>0</v>
      </c>
      <c r="U140" s="142">
        <f>SUMIFS(領用表!$L:$L,領用表!$E:$E,$B140,領用表!$B:$B,U$2&amp;$P$1)</f>
        <v>0</v>
      </c>
      <c r="V140" s="142">
        <f>SUMIFS(領用表!$L:$L,領用表!$E:$E,$B140,領用表!$B:$B,V$2&amp;$P$1)</f>
        <v>0</v>
      </c>
      <c r="W140" s="142">
        <f>SUMIFS(領用表!$L:$L,領用表!$E:$E,$B140,領用表!$B:$B,W$2&amp;$P$1)</f>
        <v>0</v>
      </c>
      <c r="X140" s="142">
        <f>SUMIFS(領用表!$L:$L,領用表!$E:$E,$B140,領用表!$B:$B,X$2&amp;$P$1)</f>
        <v>0</v>
      </c>
      <c r="Y140" s="142">
        <f>SUMIFS(領用表!$L:$L,領用表!$E:$E,$B140,領用表!$B:$B,Y$2&amp;$P$1)</f>
        <v>0</v>
      </c>
      <c r="Z140" s="142">
        <f>SUMIFS(領用表!$L:$L,領用表!$E:$E,$B140,領用表!$B:$B,Z$2&amp;$P$1)</f>
        <v>0</v>
      </c>
      <c r="AA140" s="142">
        <f>SUMIFS(領用表!$L:$L,領用表!$E:$E,$B140,領用表!$B:$B,AA$2&amp;$P$1)</f>
        <v>0</v>
      </c>
      <c r="AB140" s="142">
        <f t="shared" si="12"/>
        <v>0</v>
      </c>
      <c r="AC140" s="142">
        <f t="shared" si="13"/>
        <v>0</v>
      </c>
      <c r="AD140" s="142">
        <f>SUMIF(Summary!B:B,B140,Summary!DV:DV)</f>
        <v>0</v>
      </c>
      <c r="AE140" s="109"/>
      <c r="AF140" s="65"/>
      <c r="AG140" s="76"/>
      <c r="AH140" s="76"/>
      <c r="AI140" s="27"/>
      <c r="AJ140" s="27"/>
      <c r="AK140" s="14"/>
      <c r="AL140" s="14"/>
    </row>
    <row r="141" spans="1:38" ht="15" customHeight="1">
      <c r="A141" s="27" t="s">
        <v>183</v>
      </c>
      <c r="B141" s="14">
        <v>6050008</v>
      </c>
      <c r="C141" s="136" t="s">
        <v>560</v>
      </c>
      <c r="D141" s="77"/>
      <c r="E141" s="17" t="s">
        <v>15</v>
      </c>
      <c r="F141" s="70"/>
      <c r="G141" s="18"/>
      <c r="H141" s="20">
        <f>SUMIFS(領用表!$L:$L,領用表!$E:$E,$B141,領用表!$B:$B,H$2&amp;$P$1)</f>
        <v>0</v>
      </c>
      <c r="I141" s="20">
        <f>SUMIFS(領用表!$L:$L,領用表!$E:$E,$B141,領用表!$B:$B,I$2&amp;$P$1)</f>
        <v>0</v>
      </c>
      <c r="J141" s="20">
        <f>SUMIFS(領用表!$L:$L,領用表!$E:$E,$B141,領用表!$B:$B,J$2&amp;$P$1)</f>
        <v>0</v>
      </c>
      <c r="K141" s="142">
        <f>SUMIFS(領用表!$L:$L,領用表!$E:$E,$B141,領用表!$B:$B,K$2&amp;$P$1)</f>
        <v>0</v>
      </c>
      <c r="L141" s="142">
        <f>SUMIFS(領用表!$L:$L,領用表!$E:$E,$B141,領用表!$B:$B,L$2&amp;$P$1)</f>
        <v>0</v>
      </c>
      <c r="M141" s="142">
        <f>SUMIFS(領用表!$L:$L,領用表!$E:$E,$B141,領用表!$B:$B,M$2&amp;$P$1)</f>
        <v>0</v>
      </c>
      <c r="N141" s="23">
        <f t="shared" si="10"/>
        <v>0</v>
      </c>
      <c r="O141" s="23">
        <f t="shared" si="11"/>
        <v>0</v>
      </c>
      <c r="P141" s="142">
        <f>SUMIFS(領用表!$L:$L,領用表!$E:$E,$B141,領用表!$B:$B,P$2&amp;$P$1)</f>
        <v>0</v>
      </c>
      <c r="Q141" s="142">
        <f>SUMIFS(領用表!$L:$L,領用表!$E:$E,$B141,領用表!$B:$B,Q$2&amp;$P$1)</f>
        <v>0</v>
      </c>
      <c r="R141" s="142">
        <f>SUMIFS(領用表!$L:$L,領用表!$E:$E,$B141,領用表!$B:$B,R$2&amp;$P$1)</f>
        <v>0</v>
      </c>
      <c r="S141" s="142">
        <f>SUMIFS(領用表!$L:$L,領用表!$E:$E,$B141,領用表!$B:$B,S$2&amp;$P$1)</f>
        <v>0</v>
      </c>
      <c r="T141" s="142">
        <f>SUMIFS(領用表!$L:$L,領用表!$E:$E,$B141,領用表!$B:$B,T$2&amp;$P$1)</f>
        <v>0</v>
      </c>
      <c r="U141" s="142">
        <f>SUMIFS(領用表!$L:$L,領用表!$E:$E,$B141,領用表!$B:$B,U$2&amp;$P$1)</f>
        <v>0</v>
      </c>
      <c r="V141" s="142">
        <f>SUMIFS(領用表!$L:$L,領用表!$E:$E,$B141,領用表!$B:$B,V$2&amp;$P$1)</f>
        <v>0</v>
      </c>
      <c r="W141" s="142">
        <f>SUMIFS(領用表!$L:$L,領用表!$E:$E,$B141,領用表!$B:$B,W$2&amp;$P$1)</f>
        <v>0</v>
      </c>
      <c r="X141" s="142">
        <f>SUMIFS(領用表!$L:$L,領用表!$E:$E,$B141,領用表!$B:$B,X$2&amp;$P$1)</f>
        <v>0</v>
      </c>
      <c r="Y141" s="142">
        <f>SUMIFS(領用表!$L:$L,領用表!$E:$E,$B141,領用表!$B:$B,Y$2&amp;$P$1)</f>
        <v>0</v>
      </c>
      <c r="Z141" s="142">
        <f>SUMIFS(領用表!$L:$L,領用表!$E:$E,$B141,領用表!$B:$B,Z$2&amp;$P$1)</f>
        <v>0</v>
      </c>
      <c r="AA141" s="142">
        <f>SUMIFS(領用表!$L:$L,領用表!$E:$E,$B141,領用表!$B:$B,AA$2&amp;$P$1)</f>
        <v>0</v>
      </c>
      <c r="AB141" s="142">
        <f t="shared" si="12"/>
        <v>0</v>
      </c>
      <c r="AC141" s="142">
        <f t="shared" si="13"/>
        <v>0</v>
      </c>
      <c r="AD141" s="142">
        <f>SUMIF(Summary!B:B,B141,Summary!DV:DV)</f>
        <v>0</v>
      </c>
      <c r="AE141" s="109">
        <v>0</v>
      </c>
      <c r="AF141" s="65"/>
      <c r="AG141" s="76"/>
      <c r="AH141" s="76" t="s">
        <v>184</v>
      </c>
      <c r="AI141" s="27"/>
      <c r="AJ141" s="27"/>
      <c r="AK141" s="14"/>
      <c r="AL141" s="14"/>
    </row>
    <row r="142" spans="1:38" ht="15" customHeight="1">
      <c r="A142" s="27" t="s">
        <v>185</v>
      </c>
      <c r="B142" s="14">
        <v>1060001</v>
      </c>
      <c r="C142" s="136" t="s">
        <v>561</v>
      </c>
      <c r="D142" s="77"/>
      <c r="E142" s="17" t="s">
        <v>15</v>
      </c>
      <c r="F142" s="70"/>
      <c r="G142" s="18"/>
      <c r="H142" s="20">
        <f>SUMIFS(領用表!$L:$L,領用表!$E:$E,$B142,領用表!$B:$B,H$2&amp;$P$1)</f>
        <v>0</v>
      </c>
      <c r="I142" s="20">
        <f>SUMIFS(領用表!$L:$L,領用表!$E:$E,$B142,領用表!$B:$B,I$2&amp;$P$1)</f>
        <v>0</v>
      </c>
      <c r="J142" s="20">
        <f>SUMIFS(領用表!$L:$L,領用表!$E:$E,$B142,領用表!$B:$B,J$2&amp;$P$1)</f>
        <v>0</v>
      </c>
      <c r="K142" s="142">
        <f>SUMIFS(領用表!$L:$L,領用表!$E:$E,$B142,領用表!$B:$B,K$2&amp;$P$1)</f>
        <v>0</v>
      </c>
      <c r="L142" s="142">
        <f>SUMIFS(領用表!$L:$L,領用表!$E:$E,$B142,領用表!$B:$B,L$2&amp;$P$1)</f>
        <v>0</v>
      </c>
      <c r="M142" s="142">
        <f>SUMIFS(領用表!$L:$L,領用表!$E:$E,$B142,領用表!$B:$B,M$2&amp;$P$1)</f>
        <v>0</v>
      </c>
      <c r="N142" s="23">
        <f t="shared" si="10"/>
        <v>0</v>
      </c>
      <c r="O142" s="23">
        <f t="shared" si="11"/>
        <v>0</v>
      </c>
      <c r="P142" s="142">
        <f>SUMIFS(領用表!$L:$L,領用表!$E:$E,$B142,領用表!$B:$B,P$2&amp;$P$1)</f>
        <v>0</v>
      </c>
      <c r="Q142" s="142">
        <f>SUMIFS(領用表!$L:$L,領用表!$E:$E,$B142,領用表!$B:$B,Q$2&amp;$P$1)</f>
        <v>0</v>
      </c>
      <c r="R142" s="142">
        <f>SUMIFS(領用表!$L:$L,領用表!$E:$E,$B142,領用表!$B:$B,R$2&amp;$P$1)</f>
        <v>0</v>
      </c>
      <c r="S142" s="142">
        <f>SUMIFS(領用表!$L:$L,領用表!$E:$E,$B142,領用表!$B:$B,S$2&amp;$P$1)</f>
        <v>0</v>
      </c>
      <c r="T142" s="142">
        <f>SUMIFS(領用表!$L:$L,領用表!$E:$E,$B142,領用表!$B:$B,T$2&amp;$P$1)</f>
        <v>0</v>
      </c>
      <c r="U142" s="142">
        <f>SUMIFS(領用表!$L:$L,領用表!$E:$E,$B142,領用表!$B:$B,U$2&amp;$P$1)</f>
        <v>0</v>
      </c>
      <c r="V142" s="142">
        <f>SUMIFS(領用表!$L:$L,領用表!$E:$E,$B142,領用表!$B:$B,V$2&amp;$P$1)</f>
        <v>0</v>
      </c>
      <c r="W142" s="142">
        <f>SUMIFS(領用表!$L:$L,領用表!$E:$E,$B142,領用表!$B:$B,W$2&amp;$P$1)</f>
        <v>0</v>
      </c>
      <c r="X142" s="142">
        <f>SUMIFS(領用表!$L:$L,領用表!$E:$E,$B142,領用表!$B:$B,X$2&amp;$P$1)</f>
        <v>0</v>
      </c>
      <c r="Y142" s="142">
        <f>SUMIFS(領用表!$L:$L,領用表!$E:$E,$B142,領用表!$B:$B,Y$2&amp;$P$1)</f>
        <v>0</v>
      </c>
      <c r="Z142" s="142">
        <f>SUMIFS(領用表!$L:$L,領用表!$E:$E,$B142,領用表!$B:$B,Z$2&amp;$P$1)</f>
        <v>0</v>
      </c>
      <c r="AA142" s="142">
        <f>SUMIFS(領用表!$L:$L,領用表!$E:$E,$B142,領用表!$B:$B,AA$2&amp;$P$1)</f>
        <v>0</v>
      </c>
      <c r="AB142" s="142">
        <f t="shared" si="12"/>
        <v>0</v>
      </c>
      <c r="AC142" s="142">
        <f t="shared" si="13"/>
        <v>0</v>
      </c>
      <c r="AD142" s="142">
        <f>SUMIF(Summary!B:B,B142,Summary!DV:DV)</f>
        <v>0</v>
      </c>
      <c r="AE142" s="109">
        <v>10</v>
      </c>
      <c r="AF142" s="65"/>
      <c r="AG142" s="76"/>
      <c r="AH142" s="76"/>
      <c r="AI142" s="27"/>
      <c r="AJ142" s="27"/>
      <c r="AK142" s="14"/>
      <c r="AL142" s="14"/>
    </row>
    <row r="143" spans="1:38" ht="15" customHeight="1">
      <c r="A143" s="27" t="s">
        <v>186</v>
      </c>
      <c r="B143" s="14">
        <v>6070002</v>
      </c>
      <c r="C143" s="136" t="s">
        <v>562</v>
      </c>
      <c r="D143" s="77"/>
      <c r="E143" s="17" t="s">
        <v>15</v>
      </c>
      <c r="F143" s="70"/>
      <c r="G143" s="18"/>
      <c r="H143" s="20">
        <f>SUMIFS(領用表!$L:$L,領用表!$E:$E,$B143,領用表!$B:$B,H$2&amp;$P$1)</f>
        <v>0</v>
      </c>
      <c r="I143" s="20">
        <f>SUMIFS(領用表!$L:$L,領用表!$E:$E,$B143,領用表!$B:$B,I$2&amp;$P$1)</f>
        <v>0</v>
      </c>
      <c r="J143" s="20">
        <f>SUMIFS(領用表!$L:$L,領用表!$E:$E,$B143,領用表!$B:$B,J$2&amp;$P$1)</f>
        <v>0</v>
      </c>
      <c r="K143" s="142">
        <f>SUMIFS(領用表!$L:$L,領用表!$E:$E,$B143,領用表!$B:$B,K$2&amp;$P$1)</f>
        <v>0</v>
      </c>
      <c r="L143" s="142">
        <f>SUMIFS(領用表!$L:$L,領用表!$E:$E,$B143,領用表!$B:$B,L$2&amp;$P$1)</f>
        <v>0</v>
      </c>
      <c r="M143" s="142">
        <f>SUMIFS(領用表!$L:$L,領用表!$E:$E,$B143,領用表!$B:$B,M$2&amp;$P$1)</f>
        <v>0</v>
      </c>
      <c r="N143" s="23">
        <f t="shared" ref="N143:N186" si="14">SUM(,H143,I143,J143,K143,L143,M143)</f>
        <v>0</v>
      </c>
      <c r="O143" s="23">
        <f t="shared" ref="O143:O186" si="15">AVERAGE(,H143,I143,J143,K143,L143,M143)</f>
        <v>0</v>
      </c>
      <c r="P143" s="142">
        <f>SUMIFS(領用表!$L:$L,領用表!$E:$E,$B143,領用表!$B:$B,P$2&amp;$P$1)</f>
        <v>0</v>
      </c>
      <c r="Q143" s="405">
        <f>SUMIFS(領用表!$L:$L,領用表!$E:$E,$B143,領用表!$B:$B,Q$2&amp;$P$1)</f>
        <v>0</v>
      </c>
      <c r="R143" s="405">
        <f>SUMIFS(領用表!$L:$L,領用表!$E:$E,$B143,領用表!$B:$B,R$2&amp;$P$1)</f>
        <v>0</v>
      </c>
      <c r="S143" s="405">
        <f>SUMIFS(領用表!$L:$L,領用表!$E:$E,$B143,領用表!$B:$B,S$2&amp;$P$1)</f>
        <v>0</v>
      </c>
      <c r="T143" s="405">
        <f>SUMIFS(領用表!$L:$L,領用表!$E:$E,$B143,領用表!$B:$B,T$2&amp;$P$1)</f>
        <v>2</v>
      </c>
      <c r="U143" s="405">
        <f>SUMIFS(領用表!$L:$L,領用表!$E:$E,$B143,領用表!$B:$B,U$2&amp;$P$1)</f>
        <v>0</v>
      </c>
      <c r="V143" s="405">
        <f>SUMIFS(領用表!$L:$L,領用表!$E:$E,$B143,領用表!$B:$B,V$2&amp;$P$1)</f>
        <v>0</v>
      </c>
      <c r="W143" s="405">
        <f>SUMIFS(領用表!$L:$L,領用表!$E:$E,$B143,領用表!$B:$B,W$2&amp;$P$1)</f>
        <v>0</v>
      </c>
      <c r="X143" s="405">
        <f>SUMIFS(領用表!$L:$L,領用表!$E:$E,$B143,領用表!$B:$B,X$2&amp;$P$1)</f>
        <v>0</v>
      </c>
      <c r="Y143" s="405">
        <f>SUMIFS(領用表!$L:$L,領用表!$E:$E,$B143,領用表!$B:$B,Y$2&amp;$P$1)</f>
        <v>0</v>
      </c>
      <c r="Z143" s="405">
        <f>SUMIFS(領用表!$L:$L,領用表!$E:$E,$B143,領用表!$B:$B,Z$2&amp;$P$1)</f>
        <v>0</v>
      </c>
      <c r="AA143" s="405">
        <f>SUMIFS(領用表!$L:$L,領用表!$E:$E,$B143,領用表!$B:$B,AA$2&amp;$P$1)</f>
        <v>0</v>
      </c>
      <c r="AB143" s="405">
        <f t="shared" si="12"/>
        <v>2</v>
      </c>
      <c r="AC143" s="405">
        <f t="shared" si="13"/>
        <v>0.5</v>
      </c>
      <c r="AD143" s="405">
        <f>SUMIF(Summary!B:B,B143,Summary!DV:DV)</f>
        <v>0</v>
      </c>
      <c r="AE143" s="111">
        <v>15</v>
      </c>
      <c r="AF143" s="80"/>
      <c r="AG143" s="76"/>
      <c r="AH143" s="76"/>
      <c r="AI143" s="27"/>
      <c r="AJ143" s="27"/>
      <c r="AK143" s="14"/>
      <c r="AL143" s="14"/>
    </row>
    <row r="144" spans="1:38" ht="15" customHeight="1">
      <c r="A144" s="27" t="s">
        <v>187</v>
      </c>
      <c r="B144" s="14" t="e">
        <v>#N/A</v>
      </c>
      <c r="C144" s="136" t="s">
        <v>563</v>
      </c>
      <c r="D144" s="77"/>
      <c r="E144" s="17" t="s">
        <v>15</v>
      </c>
      <c r="F144" s="70"/>
      <c r="G144" s="18">
        <v>3769</v>
      </c>
      <c r="H144" s="20">
        <f>SUMIFS(領用表!$L:$L,領用表!$E:$E,$B144,領用表!$B:$B,H$2&amp;$P$1)</f>
        <v>0</v>
      </c>
      <c r="I144" s="20">
        <f>SUMIFS(領用表!$L:$L,領用表!$E:$E,$B144,領用表!$B:$B,I$2&amp;$P$1)</f>
        <v>0</v>
      </c>
      <c r="J144" s="20">
        <f>SUMIFS(領用表!$L:$L,領用表!$E:$E,$B144,領用表!$B:$B,J$2&amp;$P$1)</f>
        <v>0</v>
      </c>
      <c r="K144" s="142">
        <f>SUMIFS(領用表!$L:$L,領用表!$E:$E,$B144,領用表!$B:$B,K$2&amp;$P$1)</f>
        <v>0</v>
      </c>
      <c r="L144" s="142">
        <f>SUMIFS(領用表!$L:$L,領用表!$E:$E,$B144,領用表!$B:$B,L$2&amp;$P$1)</f>
        <v>0</v>
      </c>
      <c r="M144" s="142">
        <f>SUMIFS(領用表!$L:$L,領用表!$E:$E,$B144,領用表!$B:$B,M$2&amp;$P$1)</f>
        <v>0</v>
      </c>
      <c r="N144" s="23">
        <f t="shared" si="14"/>
        <v>0</v>
      </c>
      <c r="O144" s="23">
        <f t="shared" si="15"/>
        <v>0</v>
      </c>
      <c r="P144" s="142">
        <f>SUMIFS(領用表!$L:$L,領用表!$E:$E,$B144,領用表!$B:$B,P$2&amp;$P$1)</f>
        <v>0</v>
      </c>
      <c r="Q144" s="405">
        <f>SUMIFS(領用表!$L:$L,領用表!$E:$E,$B144,領用表!$B:$B,Q$2&amp;$P$1)</f>
        <v>0</v>
      </c>
      <c r="R144" s="405">
        <f>SUMIFS(領用表!$L:$L,領用表!$E:$E,$B144,領用表!$B:$B,R$2&amp;$P$1)</f>
        <v>0</v>
      </c>
      <c r="S144" s="405">
        <f>SUMIFS(領用表!$L:$L,領用表!$E:$E,$B144,領用表!$B:$B,S$2&amp;$P$1)</f>
        <v>0</v>
      </c>
      <c r="T144" s="405">
        <f>SUMIFS(領用表!$L:$L,領用表!$E:$E,$B144,領用表!$B:$B,T$2&amp;$P$1)</f>
        <v>0</v>
      </c>
      <c r="U144" s="405">
        <f>SUMIFS(領用表!$L:$L,領用表!$E:$E,$B144,領用表!$B:$B,U$2&amp;$P$1)</f>
        <v>0</v>
      </c>
      <c r="V144" s="405">
        <f>SUMIFS(領用表!$L:$L,領用表!$E:$E,$B144,領用表!$B:$B,V$2&amp;$P$1)</f>
        <v>0</v>
      </c>
      <c r="W144" s="405">
        <f>SUMIFS(領用表!$L:$L,領用表!$E:$E,$B144,領用表!$B:$B,W$2&amp;$P$1)</f>
        <v>0</v>
      </c>
      <c r="X144" s="405">
        <f>SUMIFS(領用表!$L:$L,領用表!$E:$E,$B144,領用表!$B:$B,X$2&amp;$P$1)</f>
        <v>0</v>
      </c>
      <c r="Y144" s="405">
        <f>SUMIFS(領用表!$L:$L,領用表!$E:$E,$B144,領用表!$B:$B,Y$2&amp;$P$1)</f>
        <v>0</v>
      </c>
      <c r="Z144" s="405">
        <f>SUMIFS(領用表!$L:$L,領用表!$E:$E,$B144,領用表!$B:$B,Z$2&amp;$P$1)</f>
        <v>0</v>
      </c>
      <c r="AA144" s="405">
        <f>SUMIFS(領用表!$L:$L,領用表!$E:$E,$B144,領用表!$B:$B,AA$2&amp;$P$1)</f>
        <v>0</v>
      </c>
      <c r="AB144" s="405">
        <f t="shared" si="12"/>
        <v>0</v>
      </c>
      <c r="AC144" s="405">
        <f t="shared" si="13"/>
        <v>0</v>
      </c>
      <c r="AD144" s="405">
        <f>SUMIF(Summary!B:B,B144,Summary!DV:DV)</f>
        <v>0</v>
      </c>
      <c r="AE144" s="112">
        <v>0</v>
      </c>
      <c r="AF144" s="80"/>
      <c r="AG144" s="76" t="s">
        <v>188</v>
      </c>
      <c r="AH144" s="76"/>
      <c r="AI144" s="27"/>
      <c r="AJ144" s="27"/>
      <c r="AK144" s="14"/>
      <c r="AL144" s="14"/>
    </row>
    <row r="145" spans="1:38" ht="15" customHeight="1">
      <c r="A145" s="27" t="s">
        <v>189</v>
      </c>
      <c r="B145" s="14" t="e">
        <v>#N/A</v>
      </c>
      <c r="C145" s="136" t="s">
        <v>564</v>
      </c>
      <c r="D145" s="77"/>
      <c r="E145" s="17" t="s">
        <v>15</v>
      </c>
      <c r="F145" s="70"/>
      <c r="G145" s="18"/>
      <c r="H145" s="20">
        <f>SUMIFS(領用表!$L:$L,領用表!$E:$E,$B145,領用表!$B:$B,H$2&amp;$P$1)</f>
        <v>0</v>
      </c>
      <c r="I145" s="20">
        <f>SUMIFS(領用表!$L:$L,領用表!$E:$E,$B145,領用表!$B:$B,I$2&amp;$P$1)</f>
        <v>0</v>
      </c>
      <c r="J145" s="20">
        <f>SUMIFS(領用表!$L:$L,領用表!$E:$E,$B145,領用表!$B:$B,J$2&amp;$P$1)</f>
        <v>0</v>
      </c>
      <c r="K145" s="142">
        <f>SUMIFS(領用表!$L:$L,領用表!$E:$E,$B145,領用表!$B:$B,K$2&amp;$P$1)</f>
        <v>0</v>
      </c>
      <c r="L145" s="142">
        <f>SUMIFS(領用表!$L:$L,領用表!$E:$E,$B145,領用表!$B:$B,L$2&amp;$P$1)</f>
        <v>0</v>
      </c>
      <c r="M145" s="142">
        <f>SUMIFS(領用表!$L:$L,領用表!$E:$E,$B145,領用表!$B:$B,M$2&amp;$P$1)</f>
        <v>0</v>
      </c>
      <c r="N145" s="23">
        <f t="shared" si="14"/>
        <v>0</v>
      </c>
      <c r="O145" s="23">
        <f t="shared" si="15"/>
        <v>0</v>
      </c>
      <c r="P145" s="142">
        <f>SUMIFS(領用表!$L:$L,領用表!$E:$E,$B145,領用表!$B:$B,P$2&amp;$P$1)</f>
        <v>0</v>
      </c>
      <c r="Q145" s="405">
        <f>SUMIFS(領用表!$L:$L,領用表!$E:$E,$B145,領用表!$B:$B,Q$2&amp;$P$1)</f>
        <v>0</v>
      </c>
      <c r="R145" s="405">
        <f>SUMIFS(領用表!$L:$L,領用表!$E:$E,$B145,領用表!$B:$B,R$2&amp;$P$1)</f>
        <v>0</v>
      </c>
      <c r="S145" s="405">
        <f>SUMIFS(領用表!$L:$L,領用表!$E:$E,$B145,領用表!$B:$B,S$2&amp;$P$1)</f>
        <v>0</v>
      </c>
      <c r="T145" s="405">
        <f>SUMIFS(領用表!$L:$L,領用表!$E:$E,$B145,領用表!$B:$B,T$2&amp;$P$1)</f>
        <v>0</v>
      </c>
      <c r="U145" s="405">
        <f>SUMIFS(領用表!$L:$L,領用表!$E:$E,$B145,領用表!$B:$B,U$2&amp;$P$1)</f>
        <v>0</v>
      </c>
      <c r="V145" s="405">
        <f>SUMIFS(領用表!$L:$L,領用表!$E:$E,$B145,領用表!$B:$B,V$2&amp;$P$1)</f>
        <v>0</v>
      </c>
      <c r="W145" s="405">
        <f>SUMIFS(領用表!$L:$L,領用表!$E:$E,$B145,領用表!$B:$B,W$2&amp;$P$1)</f>
        <v>0</v>
      </c>
      <c r="X145" s="405">
        <f>SUMIFS(領用表!$L:$L,領用表!$E:$E,$B145,領用表!$B:$B,X$2&amp;$P$1)</f>
        <v>0</v>
      </c>
      <c r="Y145" s="405">
        <f>SUMIFS(領用表!$L:$L,領用表!$E:$E,$B145,領用表!$B:$B,Y$2&amp;$P$1)</f>
        <v>0</v>
      </c>
      <c r="Z145" s="405">
        <f>SUMIFS(領用表!$L:$L,領用表!$E:$E,$B145,領用表!$B:$B,Z$2&amp;$P$1)</f>
        <v>0</v>
      </c>
      <c r="AA145" s="405">
        <f>SUMIFS(領用表!$L:$L,領用表!$E:$E,$B145,領用表!$B:$B,AA$2&amp;$P$1)</f>
        <v>0</v>
      </c>
      <c r="AB145" s="405">
        <f t="shared" si="12"/>
        <v>0</v>
      </c>
      <c r="AC145" s="405">
        <f t="shared" si="13"/>
        <v>0</v>
      </c>
      <c r="AD145" s="405">
        <f>SUMIF(Summary!B:B,B145,Summary!DV:DV)</f>
        <v>0</v>
      </c>
      <c r="AE145" s="112">
        <v>0</v>
      </c>
      <c r="AF145" s="80"/>
      <c r="AG145" s="76" t="s">
        <v>190</v>
      </c>
      <c r="AH145" s="76"/>
      <c r="AI145" s="27"/>
      <c r="AJ145" s="27"/>
      <c r="AK145" s="14"/>
      <c r="AL145" s="14"/>
    </row>
    <row r="146" spans="1:38" ht="15" customHeight="1">
      <c r="A146" s="27" t="s">
        <v>191</v>
      </c>
      <c r="B146" s="14">
        <v>6060001</v>
      </c>
      <c r="C146" s="136" t="s">
        <v>565</v>
      </c>
      <c r="D146" s="77"/>
      <c r="E146" s="17" t="s">
        <v>15</v>
      </c>
      <c r="F146" s="70"/>
      <c r="G146" s="18"/>
      <c r="H146" s="20">
        <f>SUMIFS(領用表!$L:$L,領用表!$E:$E,$B146,領用表!$B:$B,H$2&amp;$P$1)</f>
        <v>0</v>
      </c>
      <c r="I146" s="20">
        <f>SUMIFS(領用表!$L:$L,領用表!$E:$E,$B146,領用表!$B:$B,I$2&amp;$P$1)</f>
        <v>0</v>
      </c>
      <c r="J146" s="20">
        <f>SUMIFS(領用表!$L:$L,領用表!$E:$E,$B146,領用表!$B:$B,J$2&amp;$P$1)</f>
        <v>0</v>
      </c>
      <c r="K146" s="142">
        <f>SUMIFS(領用表!$L:$L,領用表!$E:$E,$B146,領用表!$B:$B,K$2&amp;$P$1)</f>
        <v>0</v>
      </c>
      <c r="L146" s="142">
        <f>SUMIFS(領用表!$L:$L,領用表!$E:$E,$B146,領用表!$B:$B,L$2&amp;$P$1)</f>
        <v>0</v>
      </c>
      <c r="M146" s="142">
        <f>SUMIFS(領用表!$L:$L,領用表!$E:$E,$B146,領用表!$B:$B,M$2&amp;$P$1)</f>
        <v>0</v>
      </c>
      <c r="N146" s="23">
        <f t="shared" si="14"/>
        <v>0</v>
      </c>
      <c r="O146" s="23">
        <f t="shared" si="15"/>
        <v>0</v>
      </c>
      <c r="P146" s="142">
        <f>SUMIFS(領用表!$L:$L,領用表!$E:$E,$B146,領用表!$B:$B,P$2&amp;$P$1)</f>
        <v>0</v>
      </c>
      <c r="Q146" s="142">
        <f>SUMIFS(領用表!$L:$L,領用表!$E:$E,$B146,領用表!$B:$B,Q$2&amp;$P$1)</f>
        <v>0</v>
      </c>
      <c r="R146" s="142">
        <f>SUMIFS(領用表!$L:$L,領用表!$E:$E,$B146,領用表!$B:$B,R$2&amp;$P$1)</f>
        <v>0</v>
      </c>
      <c r="S146" s="142">
        <f>SUMIFS(領用表!$L:$L,領用表!$E:$E,$B146,領用表!$B:$B,S$2&amp;$P$1)</f>
        <v>0</v>
      </c>
      <c r="T146" s="142">
        <f>SUMIFS(領用表!$L:$L,領用表!$E:$E,$B146,領用表!$B:$B,T$2&amp;$P$1)</f>
        <v>0</v>
      </c>
      <c r="U146" s="142">
        <f>SUMIFS(領用表!$L:$L,領用表!$E:$E,$B146,領用表!$B:$B,U$2&amp;$P$1)</f>
        <v>0</v>
      </c>
      <c r="V146" s="142">
        <f>SUMIFS(領用表!$L:$L,領用表!$E:$E,$B146,領用表!$B:$B,V$2&amp;$P$1)</f>
        <v>0</v>
      </c>
      <c r="W146" s="142">
        <f>SUMIFS(領用表!$L:$L,領用表!$E:$E,$B146,領用表!$B:$B,W$2&amp;$P$1)</f>
        <v>0</v>
      </c>
      <c r="X146" s="142">
        <f>SUMIFS(領用表!$L:$L,領用表!$E:$E,$B146,領用表!$B:$B,X$2&amp;$P$1)</f>
        <v>0</v>
      </c>
      <c r="Y146" s="142">
        <f>SUMIFS(領用表!$L:$L,領用表!$E:$E,$B146,領用表!$B:$B,Y$2&amp;$P$1)</f>
        <v>0</v>
      </c>
      <c r="Z146" s="142">
        <f>SUMIFS(領用表!$L:$L,領用表!$E:$E,$B146,領用表!$B:$B,Z$2&amp;$P$1)</f>
        <v>0</v>
      </c>
      <c r="AA146" s="142">
        <f>SUMIFS(領用表!$L:$L,領用表!$E:$E,$B146,領用表!$B:$B,AA$2&amp;$P$1)</f>
        <v>0</v>
      </c>
      <c r="AB146" s="142">
        <f t="shared" si="12"/>
        <v>0</v>
      </c>
      <c r="AC146" s="142">
        <f t="shared" si="13"/>
        <v>0</v>
      </c>
      <c r="AD146" s="142">
        <f>SUMIF(Summary!B:B,B146,Summary!DV:DV)</f>
        <v>0</v>
      </c>
      <c r="AE146" s="109">
        <v>5</v>
      </c>
      <c r="AF146" s="65"/>
      <c r="AG146" s="76" t="s">
        <v>192</v>
      </c>
      <c r="AH146" s="76"/>
      <c r="AI146" s="27"/>
      <c r="AJ146" s="27"/>
      <c r="AK146" s="14"/>
      <c r="AL146" s="14"/>
    </row>
    <row r="147" spans="1:38" ht="15.75" customHeight="1">
      <c r="A147" s="27" t="s">
        <v>193</v>
      </c>
      <c r="B147" s="14" t="e">
        <v>#N/A</v>
      </c>
      <c r="C147" s="136" t="s">
        <v>566</v>
      </c>
      <c r="D147" s="77"/>
      <c r="E147" s="17" t="s">
        <v>15</v>
      </c>
      <c r="F147" s="70"/>
      <c r="G147" s="18"/>
      <c r="H147" s="20">
        <f>SUMIFS(領用表!$L:$L,領用表!$E:$E,$B147,領用表!$B:$B,H$2&amp;$P$1)</f>
        <v>0</v>
      </c>
      <c r="I147" s="20">
        <f>SUMIFS(領用表!$L:$L,領用表!$E:$E,$B147,領用表!$B:$B,I$2&amp;$P$1)</f>
        <v>0</v>
      </c>
      <c r="J147" s="20">
        <f>SUMIFS(領用表!$L:$L,領用表!$E:$E,$B147,領用表!$B:$B,J$2&amp;$P$1)</f>
        <v>0</v>
      </c>
      <c r="K147" s="142">
        <f>SUMIFS(領用表!$L:$L,領用表!$E:$E,$B147,領用表!$B:$B,K$2&amp;$P$1)</f>
        <v>0</v>
      </c>
      <c r="L147" s="142">
        <f>SUMIFS(領用表!$L:$L,領用表!$E:$E,$B147,領用表!$B:$B,L$2&amp;$P$1)</f>
        <v>0</v>
      </c>
      <c r="M147" s="142">
        <f>SUMIFS(領用表!$L:$L,領用表!$E:$E,$B147,領用表!$B:$B,M$2&amp;$P$1)</f>
        <v>0</v>
      </c>
      <c r="N147" s="23">
        <f t="shared" si="14"/>
        <v>0</v>
      </c>
      <c r="O147" s="23">
        <f t="shared" si="15"/>
        <v>0</v>
      </c>
      <c r="P147" s="142">
        <f>SUMIFS(領用表!$L:$L,領用表!$E:$E,$B147,領用表!$B:$B,P$2&amp;$P$1)</f>
        <v>0</v>
      </c>
      <c r="Q147" s="142">
        <f>SUMIFS(領用表!$L:$L,領用表!$E:$E,$B147,領用表!$B:$B,Q$2&amp;$P$1)</f>
        <v>0</v>
      </c>
      <c r="R147" s="142">
        <f>SUMIFS(領用表!$L:$L,領用表!$E:$E,$B147,領用表!$B:$B,R$2&amp;$P$1)</f>
        <v>0</v>
      </c>
      <c r="S147" s="142">
        <f>SUMIFS(領用表!$L:$L,領用表!$E:$E,$B147,領用表!$B:$B,S$2&amp;$P$1)</f>
        <v>0</v>
      </c>
      <c r="T147" s="142">
        <f>SUMIFS(領用表!$L:$L,領用表!$E:$E,$B147,領用表!$B:$B,T$2&amp;$P$1)</f>
        <v>0</v>
      </c>
      <c r="U147" s="142">
        <f>SUMIFS(領用表!$L:$L,領用表!$E:$E,$B147,領用表!$B:$B,U$2&amp;$P$1)</f>
        <v>0</v>
      </c>
      <c r="V147" s="142">
        <f>SUMIFS(領用表!$L:$L,領用表!$E:$E,$B147,領用表!$B:$B,V$2&amp;$P$1)</f>
        <v>0</v>
      </c>
      <c r="W147" s="142">
        <f>SUMIFS(領用表!$L:$L,領用表!$E:$E,$B147,領用表!$B:$B,W$2&amp;$P$1)</f>
        <v>0</v>
      </c>
      <c r="X147" s="142">
        <f>SUMIFS(領用表!$L:$L,領用表!$E:$E,$B147,領用表!$B:$B,X$2&amp;$P$1)</f>
        <v>0</v>
      </c>
      <c r="Y147" s="142">
        <f>SUMIFS(領用表!$L:$L,領用表!$E:$E,$B147,領用表!$B:$B,Y$2&amp;$P$1)</f>
        <v>0</v>
      </c>
      <c r="Z147" s="142">
        <f>SUMIFS(領用表!$L:$L,領用表!$E:$E,$B147,領用表!$B:$B,Z$2&amp;$P$1)</f>
        <v>0</v>
      </c>
      <c r="AA147" s="142">
        <f>SUMIFS(領用表!$L:$L,領用表!$E:$E,$B147,領用表!$B:$B,AA$2&amp;$P$1)</f>
        <v>0</v>
      </c>
      <c r="AB147" s="142">
        <f t="shared" si="12"/>
        <v>0</v>
      </c>
      <c r="AC147" s="142">
        <f t="shared" si="13"/>
        <v>0</v>
      </c>
      <c r="AD147" s="142">
        <f>SUMIF(Summary!B:B,B147,Summary!DV:DV)</f>
        <v>0</v>
      </c>
      <c r="AE147" s="109">
        <v>10</v>
      </c>
      <c r="AF147" s="65"/>
      <c r="AG147" s="76"/>
      <c r="AH147" s="76"/>
      <c r="AI147" s="27"/>
      <c r="AJ147" s="27"/>
      <c r="AK147" s="14"/>
      <c r="AL147" s="14"/>
    </row>
    <row r="148" spans="1:38" ht="15.75" hidden="1" customHeight="1">
      <c r="A148" s="27" t="s">
        <v>194</v>
      </c>
      <c r="B148" s="14" t="e">
        <v>#N/A</v>
      </c>
      <c r="C148" s="136" t="s">
        <v>567</v>
      </c>
      <c r="D148" s="77"/>
      <c r="E148" s="17" t="s">
        <v>15</v>
      </c>
      <c r="F148" s="70"/>
      <c r="G148" s="18"/>
      <c r="H148" s="20">
        <f>SUMIFS(領用表!$L:$L,領用表!$E:$E,$B148,領用表!$B:$B,H$2&amp;$P$1)</f>
        <v>0</v>
      </c>
      <c r="I148" s="20">
        <f>SUMIFS(領用表!$L:$L,領用表!$E:$E,$B148,領用表!$B:$B,I$2&amp;$P$1)</f>
        <v>0</v>
      </c>
      <c r="J148" s="20">
        <f>SUMIFS(領用表!$L:$L,領用表!$E:$E,$B148,領用表!$B:$B,J$2&amp;$P$1)</f>
        <v>0</v>
      </c>
      <c r="K148" s="142">
        <f>SUMIFS(領用表!$L:$L,領用表!$E:$E,$B148,領用表!$B:$B,K$2&amp;$P$1)</f>
        <v>0</v>
      </c>
      <c r="L148" s="142">
        <f>SUMIFS(領用表!$L:$L,領用表!$E:$E,$B148,領用表!$B:$B,L$2&amp;$P$1)</f>
        <v>0</v>
      </c>
      <c r="M148" s="142">
        <f>SUMIFS(領用表!$L:$L,領用表!$E:$E,$B148,領用表!$B:$B,M$2&amp;$P$1)</f>
        <v>0</v>
      </c>
      <c r="N148" s="23">
        <f t="shared" si="14"/>
        <v>0</v>
      </c>
      <c r="O148" s="23">
        <f t="shared" si="15"/>
        <v>0</v>
      </c>
      <c r="P148" s="142">
        <f>SUMIFS(領用表!$L:$L,領用表!$E:$E,$B148,領用表!$B:$B,P$2&amp;$P$1)</f>
        <v>0</v>
      </c>
      <c r="Q148" s="142">
        <f>SUMIFS(領用表!$L:$L,領用表!$E:$E,$B148,領用表!$B:$B,Q$2&amp;$P$1)</f>
        <v>0</v>
      </c>
      <c r="R148" s="142">
        <f>SUMIFS(領用表!$L:$L,領用表!$E:$E,$B148,領用表!$B:$B,R$2&amp;$P$1)</f>
        <v>0</v>
      </c>
      <c r="S148" s="142">
        <f>SUMIFS(領用表!$L:$L,領用表!$E:$E,$B148,領用表!$B:$B,S$2&amp;$P$1)</f>
        <v>0</v>
      </c>
      <c r="T148" s="142">
        <f>SUMIFS(領用表!$L:$L,領用表!$E:$E,$B148,領用表!$B:$B,T$2&amp;$P$1)</f>
        <v>0</v>
      </c>
      <c r="U148" s="142">
        <f>SUMIFS(領用表!$L:$L,領用表!$E:$E,$B148,領用表!$B:$B,U$2&amp;$P$1)</f>
        <v>0</v>
      </c>
      <c r="V148" s="142">
        <f>SUMIFS(領用表!$L:$L,領用表!$E:$E,$B148,領用表!$B:$B,V$2&amp;$P$1)</f>
        <v>0</v>
      </c>
      <c r="W148" s="142">
        <f>SUMIFS(領用表!$L:$L,領用表!$E:$E,$B148,領用表!$B:$B,W$2&amp;$P$1)</f>
        <v>0</v>
      </c>
      <c r="X148" s="142">
        <f>SUMIFS(領用表!$L:$L,領用表!$E:$E,$B148,領用表!$B:$B,X$2&amp;$P$1)</f>
        <v>0</v>
      </c>
      <c r="Y148" s="142">
        <f>SUMIFS(領用表!$L:$L,領用表!$E:$E,$B148,領用表!$B:$B,Y$2&amp;$P$1)</f>
        <v>0</v>
      </c>
      <c r="Z148" s="142">
        <f>SUMIFS(領用表!$L:$L,領用表!$E:$E,$B148,領用表!$B:$B,Z$2&amp;$P$1)</f>
        <v>0</v>
      </c>
      <c r="AA148" s="142">
        <f>SUMIFS(領用表!$L:$L,領用表!$E:$E,$B148,領用表!$B:$B,AA$2&amp;$P$1)</f>
        <v>0</v>
      </c>
      <c r="AB148" s="142">
        <f t="shared" si="12"/>
        <v>0</v>
      </c>
      <c r="AC148" s="142">
        <f t="shared" si="13"/>
        <v>0</v>
      </c>
      <c r="AD148" s="142">
        <f>SUMIF(Summary!B:B,B148,Summary!DV:DV)</f>
        <v>0</v>
      </c>
      <c r="AE148" s="109"/>
      <c r="AF148" s="65"/>
      <c r="AG148" s="76"/>
      <c r="AH148" s="76"/>
    </row>
    <row r="149" spans="1:38" ht="15.75" hidden="1" customHeight="1">
      <c r="A149" s="27" t="s">
        <v>195</v>
      </c>
      <c r="B149" s="14" t="e">
        <v>#N/A</v>
      </c>
      <c r="C149" s="136" t="s">
        <v>568</v>
      </c>
      <c r="D149" s="77"/>
      <c r="E149" s="17" t="s">
        <v>15</v>
      </c>
      <c r="F149" s="70"/>
      <c r="G149" s="18"/>
      <c r="H149" s="20">
        <f>SUMIFS(領用表!$L:$L,領用表!$E:$E,$B149,領用表!$B:$B,H$2&amp;$P$1)</f>
        <v>0</v>
      </c>
      <c r="I149" s="20">
        <f>SUMIFS(領用表!$L:$L,領用表!$E:$E,$B149,領用表!$B:$B,I$2&amp;$P$1)</f>
        <v>0</v>
      </c>
      <c r="J149" s="20">
        <f>SUMIFS(領用表!$L:$L,領用表!$E:$E,$B149,領用表!$B:$B,J$2&amp;$P$1)</f>
        <v>0</v>
      </c>
      <c r="K149" s="142">
        <f>SUMIFS(領用表!$L:$L,領用表!$E:$E,$B149,領用表!$B:$B,K$2&amp;$P$1)</f>
        <v>0</v>
      </c>
      <c r="L149" s="142">
        <f>SUMIFS(領用表!$L:$L,領用表!$E:$E,$B149,領用表!$B:$B,L$2&amp;$P$1)</f>
        <v>0</v>
      </c>
      <c r="M149" s="142">
        <f>SUMIFS(領用表!$L:$L,領用表!$E:$E,$B149,領用表!$B:$B,M$2&amp;$P$1)</f>
        <v>0</v>
      </c>
      <c r="N149" s="23">
        <f t="shared" si="14"/>
        <v>0</v>
      </c>
      <c r="O149" s="23">
        <f t="shared" si="15"/>
        <v>0</v>
      </c>
      <c r="P149" s="142">
        <f>SUMIFS(領用表!$L:$L,領用表!$E:$E,$B149,領用表!$B:$B,P$2&amp;$P$1)</f>
        <v>0</v>
      </c>
      <c r="Q149" s="142">
        <f>SUMIFS(領用表!$L:$L,領用表!$E:$E,$B149,領用表!$B:$B,Q$2&amp;$P$1)</f>
        <v>0</v>
      </c>
      <c r="R149" s="142">
        <f>SUMIFS(領用表!$L:$L,領用表!$E:$E,$B149,領用表!$B:$B,R$2&amp;$P$1)</f>
        <v>0</v>
      </c>
      <c r="S149" s="142">
        <f>SUMIFS(領用表!$L:$L,領用表!$E:$E,$B149,領用表!$B:$B,S$2&amp;$P$1)</f>
        <v>0</v>
      </c>
      <c r="T149" s="142">
        <f>SUMIFS(領用表!$L:$L,領用表!$E:$E,$B149,領用表!$B:$B,T$2&amp;$P$1)</f>
        <v>0</v>
      </c>
      <c r="U149" s="142">
        <f>SUMIFS(領用表!$L:$L,領用表!$E:$E,$B149,領用表!$B:$B,U$2&amp;$P$1)</f>
        <v>0</v>
      </c>
      <c r="V149" s="142">
        <f>SUMIFS(領用表!$L:$L,領用表!$E:$E,$B149,領用表!$B:$B,V$2&amp;$P$1)</f>
        <v>0</v>
      </c>
      <c r="W149" s="142">
        <f>SUMIFS(領用表!$L:$L,領用表!$E:$E,$B149,領用表!$B:$B,W$2&amp;$P$1)</f>
        <v>0</v>
      </c>
      <c r="X149" s="142">
        <f>SUMIFS(領用表!$L:$L,領用表!$E:$E,$B149,領用表!$B:$B,X$2&amp;$P$1)</f>
        <v>0</v>
      </c>
      <c r="Y149" s="142">
        <f>SUMIFS(領用表!$L:$L,領用表!$E:$E,$B149,領用表!$B:$B,Y$2&amp;$P$1)</f>
        <v>0</v>
      </c>
      <c r="Z149" s="142">
        <f>SUMIFS(領用表!$L:$L,領用表!$E:$E,$B149,領用表!$B:$B,Z$2&amp;$P$1)</f>
        <v>0</v>
      </c>
      <c r="AA149" s="142">
        <f>SUMIFS(領用表!$L:$L,領用表!$E:$E,$B149,領用表!$B:$B,AA$2&amp;$P$1)</f>
        <v>0</v>
      </c>
      <c r="AB149" s="142">
        <f t="shared" si="12"/>
        <v>0</v>
      </c>
      <c r="AC149" s="142">
        <f t="shared" si="13"/>
        <v>0</v>
      </c>
      <c r="AD149" s="142">
        <f>SUMIF(Summary!B:B,B149,Summary!DV:DV)</f>
        <v>0</v>
      </c>
      <c r="AE149" s="109"/>
      <c r="AF149" s="65"/>
      <c r="AG149" s="76"/>
      <c r="AH149" s="76"/>
      <c r="AI149" s="14"/>
      <c r="AJ149" s="14"/>
      <c r="AK149" s="14"/>
      <c r="AL149" s="14"/>
    </row>
    <row r="150" spans="1:38" ht="15.75" hidden="1" customHeight="1">
      <c r="A150" s="27" t="s">
        <v>196</v>
      </c>
      <c r="B150" s="14" t="e">
        <v>#N/A</v>
      </c>
      <c r="C150" s="136" t="s">
        <v>569</v>
      </c>
      <c r="D150" s="77"/>
      <c r="E150" s="17" t="s">
        <v>15</v>
      </c>
      <c r="F150" s="70"/>
      <c r="G150" s="18"/>
      <c r="H150" s="20">
        <f>SUMIFS(領用表!$L:$L,領用表!$E:$E,$B150,領用表!$B:$B,H$2&amp;$P$1)</f>
        <v>0</v>
      </c>
      <c r="I150" s="20">
        <f>SUMIFS(領用表!$L:$L,領用表!$E:$E,$B150,領用表!$B:$B,I$2&amp;$P$1)</f>
        <v>0</v>
      </c>
      <c r="J150" s="20">
        <f>SUMIFS(領用表!$L:$L,領用表!$E:$E,$B150,領用表!$B:$B,J$2&amp;$P$1)</f>
        <v>0</v>
      </c>
      <c r="K150" s="142">
        <f>SUMIFS(領用表!$L:$L,領用表!$E:$E,$B150,領用表!$B:$B,K$2&amp;$P$1)</f>
        <v>0</v>
      </c>
      <c r="L150" s="142">
        <f>SUMIFS(領用表!$L:$L,領用表!$E:$E,$B150,領用表!$B:$B,L$2&amp;$P$1)</f>
        <v>0</v>
      </c>
      <c r="M150" s="142">
        <f>SUMIFS(領用表!$L:$L,領用表!$E:$E,$B150,領用表!$B:$B,M$2&amp;$P$1)</f>
        <v>0</v>
      </c>
      <c r="N150" s="23">
        <f t="shared" si="14"/>
        <v>0</v>
      </c>
      <c r="O150" s="23">
        <f t="shared" si="15"/>
        <v>0</v>
      </c>
      <c r="P150" s="142">
        <f>SUMIFS(領用表!$L:$L,領用表!$E:$E,$B150,領用表!$B:$B,P$2&amp;$P$1)</f>
        <v>0</v>
      </c>
      <c r="Q150" s="142">
        <f>SUMIFS(領用表!$L:$L,領用表!$E:$E,$B150,領用表!$B:$B,Q$2&amp;$P$1)</f>
        <v>0</v>
      </c>
      <c r="R150" s="142">
        <f>SUMIFS(領用表!$L:$L,領用表!$E:$E,$B150,領用表!$B:$B,R$2&amp;$P$1)</f>
        <v>0</v>
      </c>
      <c r="S150" s="142">
        <f>SUMIFS(領用表!$L:$L,領用表!$E:$E,$B150,領用表!$B:$B,S$2&amp;$P$1)</f>
        <v>0</v>
      </c>
      <c r="T150" s="142">
        <f>SUMIFS(領用表!$L:$L,領用表!$E:$E,$B150,領用表!$B:$B,T$2&amp;$P$1)</f>
        <v>0</v>
      </c>
      <c r="U150" s="142">
        <f>SUMIFS(領用表!$L:$L,領用表!$E:$E,$B150,領用表!$B:$B,U$2&amp;$P$1)</f>
        <v>0</v>
      </c>
      <c r="V150" s="142">
        <f>SUMIFS(領用表!$L:$L,領用表!$E:$E,$B150,領用表!$B:$B,V$2&amp;$P$1)</f>
        <v>0</v>
      </c>
      <c r="W150" s="142">
        <f>SUMIFS(領用表!$L:$L,領用表!$E:$E,$B150,領用表!$B:$B,W$2&amp;$P$1)</f>
        <v>0</v>
      </c>
      <c r="X150" s="142">
        <f>SUMIFS(領用表!$L:$L,領用表!$E:$E,$B150,領用表!$B:$B,X$2&amp;$P$1)</f>
        <v>0</v>
      </c>
      <c r="Y150" s="142">
        <f>SUMIFS(領用表!$L:$L,領用表!$E:$E,$B150,領用表!$B:$B,Y$2&amp;$P$1)</f>
        <v>0</v>
      </c>
      <c r="Z150" s="142">
        <f>SUMIFS(領用表!$L:$L,領用表!$E:$E,$B150,領用表!$B:$B,Z$2&amp;$P$1)</f>
        <v>0</v>
      </c>
      <c r="AA150" s="142">
        <f>SUMIFS(領用表!$L:$L,領用表!$E:$E,$B150,領用表!$B:$B,AA$2&amp;$P$1)</f>
        <v>0</v>
      </c>
      <c r="AB150" s="142">
        <f t="shared" si="12"/>
        <v>0</v>
      </c>
      <c r="AC150" s="142">
        <f t="shared" si="13"/>
        <v>0</v>
      </c>
      <c r="AD150" s="142">
        <f>SUMIF(Summary!B:B,B150,Summary!DV:DV)</f>
        <v>0</v>
      </c>
      <c r="AE150" s="109"/>
      <c r="AF150" s="65"/>
      <c r="AG150" s="76"/>
      <c r="AH150" s="76"/>
      <c r="AI150" s="27"/>
      <c r="AJ150" s="27"/>
      <c r="AK150" s="14"/>
      <c r="AL150" s="14"/>
    </row>
    <row r="151" spans="1:38" ht="15.75" hidden="1" customHeight="1">
      <c r="A151" s="27" t="s">
        <v>197</v>
      </c>
      <c r="B151" s="14">
        <v>6050007</v>
      </c>
      <c r="C151" s="136" t="s">
        <v>570</v>
      </c>
      <c r="D151" s="77"/>
      <c r="E151" s="17" t="s">
        <v>15</v>
      </c>
      <c r="F151" s="70"/>
      <c r="G151" s="18"/>
      <c r="H151" s="20">
        <f>SUMIFS(領用表!$L:$L,領用表!$E:$E,$B151,領用表!$B:$B,H$2&amp;$P$1)</f>
        <v>0</v>
      </c>
      <c r="I151" s="20">
        <f>SUMIFS(領用表!$L:$L,領用表!$E:$E,$B151,領用表!$B:$B,I$2&amp;$P$1)</f>
        <v>0</v>
      </c>
      <c r="J151" s="20">
        <f>SUMIFS(領用表!$L:$L,領用表!$E:$E,$B151,領用表!$B:$B,J$2&amp;$P$1)</f>
        <v>0</v>
      </c>
      <c r="K151" s="142">
        <f>SUMIFS(領用表!$L:$L,領用表!$E:$E,$B151,領用表!$B:$B,K$2&amp;$P$1)</f>
        <v>0</v>
      </c>
      <c r="L151" s="142">
        <f>SUMIFS(領用表!$L:$L,領用表!$E:$E,$B151,領用表!$B:$B,L$2&amp;$P$1)</f>
        <v>0</v>
      </c>
      <c r="M151" s="142">
        <f>SUMIFS(領用表!$L:$L,領用表!$E:$E,$B151,領用表!$B:$B,M$2&amp;$P$1)</f>
        <v>0</v>
      </c>
      <c r="N151" s="23">
        <f t="shared" si="14"/>
        <v>0</v>
      </c>
      <c r="O151" s="23">
        <f t="shared" si="15"/>
        <v>0</v>
      </c>
      <c r="P151" s="142">
        <f>SUMIFS(領用表!$L:$L,領用表!$E:$E,$B151,領用表!$B:$B,P$2&amp;$P$1)</f>
        <v>0</v>
      </c>
      <c r="Q151" s="142">
        <f>SUMIFS(領用表!$L:$L,領用表!$E:$E,$B151,領用表!$B:$B,Q$2&amp;$P$1)</f>
        <v>0</v>
      </c>
      <c r="R151" s="142">
        <f>SUMIFS(領用表!$L:$L,領用表!$E:$E,$B151,領用表!$B:$B,R$2&amp;$P$1)</f>
        <v>0</v>
      </c>
      <c r="S151" s="142">
        <f>SUMIFS(領用表!$L:$L,領用表!$E:$E,$B151,領用表!$B:$B,S$2&amp;$P$1)</f>
        <v>0</v>
      </c>
      <c r="T151" s="142">
        <f>SUMIFS(領用表!$L:$L,領用表!$E:$E,$B151,領用表!$B:$B,T$2&amp;$P$1)</f>
        <v>0</v>
      </c>
      <c r="U151" s="142">
        <f>SUMIFS(領用表!$L:$L,領用表!$E:$E,$B151,領用表!$B:$B,U$2&amp;$P$1)</f>
        <v>0</v>
      </c>
      <c r="V151" s="142">
        <f>SUMIFS(領用表!$L:$L,領用表!$E:$E,$B151,領用表!$B:$B,V$2&amp;$P$1)</f>
        <v>0</v>
      </c>
      <c r="W151" s="142">
        <f>SUMIFS(領用表!$L:$L,領用表!$E:$E,$B151,領用表!$B:$B,W$2&amp;$P$1)</f>
        <v>0</v>
      </c>
      <c r="X151" s="142">
        <f>SUMIFS(領用表!$L:$L,領用表!$E:$E,$B151,領用表!$B:$B,X$2&amp;$P$1)</f>
        <v>0</v>
      </c>
      <c r="Y151" s="142">
        <f>SUMIFS(領用表!$L:$L,領用表!$E:$E,$B151,領用表!$B:$B,Y$2&amp;$P$1)</f>
        <v>0</v>
      </c>
      <c r="Z151" s="142">
        <f>SUMIFS(領用表!$L:$L,領用表!$E:$E,$B151,領用表!$B:$B,Z$2&amp;$P$1)</f>
        <v>0</v>
      </c>
      <c r="AA151" s="142">
        <f>SUMIFS(領用表!$L:$L,領用表!$E:$E,$B151,領用表!$B:$B,AA$2&amp;$P$1)</f>
        <v>0</v>
      </c>
      <c r="AB151" s="142">
        <f t="shared" si="12"/>
        <v>0</v>
      </c>
      <c r="AC151" s="142">
        <f t="shared" si="13"/>
        <v>0</v>
      </c>
      <c r="AD151" s="142">
        <f>SUMIF(Summary!B:B,B151,Summary!DV:DV)</f>
        <v>0</v>
      </c>
      <c r="AE151" s="109"/>
      <c r="AF151" s="65"/>
      <c r="AG151" s="76"/>
      <c r="AH151" s="76"/>
      <c r="AI151" s="27"/>
      <c r="AJ151" s="27"/>
      <c r="AK151" s="14"/>
      <c r="AL151" s="14"/>
    </row>
    <row r="152" spans="1:38" ht="15.75" customHeight="1">
      <c r="A152" s="27" t="s">
        <v>198</v>
      </c>
      <c r="B152" s="14">
        <v>6230002</v>
      </c>
      <c r="C152" s="136" t="s">
        <v>571</v>
      </c>
      <c r="D152" s="77"/>
      <c r="E152" s="17" t="s">
        <v>15</v>
      </c>
      <c r="F152" s="70"/>
      <c r="G152" s="18"/>
      <c r="H152" s="20">
        <f>SUMIFS(領用表!$L:$L,領用表!$E:$E,$B152,領用表!$B:$B,H$2&amp;$P$1)</f>
        <v>0</v>
      </c>
      <c r="I152" s="20">
        <f>SUMIFS(領用表!$L:$L,領用表!$E:$E,$B152,領用表!$B:$B,I$2&amp;$P$1)</f>
        <v>0</v>
      </c>
      <c r="J152" s="20">
        <f>SUMIFS(領用表!$L:$L,領用表!$E:$E,$B152,領用表!$B:$B,J$2&amp;$P$1)</f>
        <v>0</v>
      </c>
      <c r="K152" s="142">
        <f>SUMIFS(領用表!$L:$L,領用表!$E:$E,$B152,領用表!$B:$B,K$2&amp;$P$1)</f>
        <v>0</v>
      </c>
      <c r="L152" s="142">
        <f>SUMIFS(領用表!$L:$L,領用表!$E:$E,$B152,領用表!$B:$B,L$2&amp;$P$1)</f>
        <v>0</v>
      </c>
      <c r="M152" s="142">
        <f>SUMIFS(領用表!$L:$L,領用表!$E:$E,$B152,領用表!$B:$B,M$2&amp;$P$1)</f>
        <v>0</v>
      </c>
      <c r="N152" s="23">
        <f t="shared" si="14"/>
        <v>0</v>
      </c>
      <c r="O152" s="23">
        <f t="shared" si="15"/>
        <v>0</v>
      </c>
      <c r="P152" s="142">
        <f>SUMIFS(領用表!$L:$L,領用表!$E:$E,$B152,領用表!$B:$B,P$2&amp;$P$1)</f>
        <v>0</v>
      </c>
      <c r="Q152" s="142">
        <f>SUMIFS(領用表!$L:$L,領用表!$E:$E,$B152,領用表!$B:$B,Q$2&amp;$P$1)</f>
        <v>0</v>
      </c>
      <c r="R152" s="142">
        <f>SUMIFS(領用表!$L:$L,領用表!$E:$E,$B152,領用表!$B:$B,R$2&amp;$P$1)</f>
        <v>0</v>
      </c>
      <c r="S152" s="142">
        <f>SUMIFS(領用表!$L:$L,領用表!$E:$E,$B152,領用表!$B:$B,S$2&amp;$P$1)</f>
        <v>0</v>
      </c>
      <c r="T152" s="142">
        <f>SUMIFS(領用表!$L:$L,領用表!$E:$E,$B152,領用表!$B:$B,T$2&amp;$P$1)</f>
        <v>0</v>
      </c>
      <c r="U152" s="142">
        <f>SUMIFS(領用表!$L:$L,領用表!$E:$E,$B152,領用表!$B:$B,U$2&amp;$P$1)</f>
        <v>0</v>
      </c>
      <c r="V152" s="142">
        <f>SUMIFS(領用表!$L:$L,領用表!$E:$E,$B152,領用表!$B:$B,V$2&amp;$P$1)</f>
        <v>0</v>
      </c>
      <c r="W152" s="142">
        <f>SUMIFS(領用表!$L:$L,領用表!$E:$E,$B152,領用表!$B:$B,W$2&amp;$P$1)</f>
        <v>0</v>
      </c>
      <c r="X152" s="142">
        <f>SUMIFS(領用表!$L:$L,領用表!$E:$E,$B152,領用表!$B:$B,X$2&amp;$P$1)</f>
        <v>0</v>
      </c>
      <c r="Y152" s="142">
        <f>SUMIFS(領用表!$L:$L,領用表!$E:$E,$B152,領用表!$B:$B,Y$2&amp;$P$1)</f>
        <v>0</v>
      </c>
      <c r="Z152" s="142">
        <f>SUMIFS(領用表!$L:$L,領用表!$E:$E,$B152,領用表!$B:$B,Z$2&amp;$P$1)</f>
        <v>0</v>
      </c>
      <c r="AA152" s="142">
        <f>SUMIFS(領用表!$L:$L,領用表!$E:$E,$B152,領用表!$B:$B,AA$2&amp;$P$1)</f>
        <v>0</v>
      </c>
      <c r="AB152" s="142">
        <f t="shared" si="12"/>
        <v>0</v>
      </c>
      <c r="AC152" s="142">
        <f t="shared" si="13"/>
        <v>0</v>
      </c>
      <c r="AD152" s="142">
        <f>SUMIF(Summary!B:B,B152,Summary!DV:DV)</f>
        <v>0</v>
      </c>
      <c r="AE152" s="109">
        <v>0</v>
      </c>
      <c r="AF152" s="65"/>
      <c r="AG152" s="76"/>
      <c r="AH152" s="76"/>
      <c r="AI152" s="27"/>
      <c r="AJ152" s="27"/>
      <c r="AK152" s="14"/>
      <c r="AL152" s="14"/>
    </row>
    <row r="153" spans="1:38" ht="15.75" customHeight="1">
      <c r="A153" s="27" t="s">
        <v>199</v>
      </c>
      <c r="B153" s="14" t="e">
        <v>#N/A</v>
      </c>
      <c r="C153" s="136" t="s">
        <v>572</v>
      </c>
      <c r="D153" s="77"/>
      <c r="E153" s="17" t="s">
        <v>15</v>
      </c>
      <c r="F153" s="70"/>
      <c r="G153" s="18"/>
      <c r="H153" s="20">
        <f>SUMIFS(領用表!$L:$L,領用表!$E:$E,$B153,領用表!$B:$B,H$2&amp;$P$1)</f>
        <v>0</v>
      </c>
      <c r="I153" s="20">
        <f>SUMIFS(領用表!$L:$L,領用表!$E:$E,$B153,領用表!$B:$B,I$2&amp;$P$1)</f>
        <v>0</v>
      </c>
      <c r="J153" s="20">
        <f>SUMIFS(領用表!$L:$L,領用表!$E:$E,$B153,領用表!$B:$B,J$2&amp;$P$1)</f>
        <v>0</v>
      </c>
      <c r="K153" s="142">
        <f>SUMIFS(領用表!$L:$L,領用表!$E:$E,$B153,領用表!$B:$B,K$2&amp;$P$1)</f>
        <v>0</v>
      </c>
      <c r="L153" s="142">
        <f>SUMIFS(領用表!$L:$L,領用表!$E:$E,$B153,領用表!$B:$B,L$2&amp;$P$1)</f>
        <v>0</v>
      </c>
      <c r="M153" s="142">
        <f>SUMIFS(領用表!$L:$L,領用表!$E:$E,$B153,領用表!$B:$B,M$2&amp;$P$1)</f>
        <v>0</v>
      </c>
      <c r="N153" s="23">
        <f t="shared" si="14"/>
        <v>0</v>
      </c>
      <c r="O153" s="23">
        <f t="shared" si="15"/>
        <v>0</v>
      </c>
      <c r="P153" s="142">
        <f>SUMIFS(領用表!$L:$L,領用表!$E:$E,$B153,領用表!$B:$B,P$2&amp;$P$1)</f>
        <v>0</v>
      </c>
      <c r="Q153" s="142">
        <f>SUMIFS(領用表!$L:$L,領用表!$E:$E,$B153,領用表!$B:$B,Q$2&amp;$P$1)</f>
        <v>0</v>
      </c>
      <c r="R153" s="142">
        <f>SUMIFS(領用表!$L:$L,領用表!$E:$E,$B153,領用表!$B:$B,R$2&amp;$P$1)</f>
        <v>0</v>
      </c>
      <c r="S153" s="142">
        <f>SUMIFS(領用表!$L:$L,領用表!$E:$E,$B153,領用表!$B:$B,S$2&amp;$P$1)</f>
        <v>0</v>
      </c>
      <c r="T153" s="142">
        <f>SUMIFS(領用表!$L:$L,領用表!$E:$E,$B153,領用表!$B:$B,T$2&amp;$P$1)</f>
        <v>0</v>
      </c>
      <c r="U153" s="142">
        <f>SUMIFS(領用表!$L:$L,領用表!$E:$E,$B153,領用表!$B:$B,U$2&amp;$P$1)</f>
        <v>0</v>
      </c>
      <c r="V153" s="142">
        <f>SUMIFS(領用表!$L:$L,領用表!$E:$E,$B153,領用表!$B:$B,V$2&amp;$P$1)</f>
        <v>0</v>
      </c>
      <c r="W153" s="142">
        <f>SUMIFS(領用表!$L:$L,領用表!$E:$E,$B153,領用表!$B:$B,W$2&amp;$P$1)</f>
        <v>0</v>
      </c>
      <c r="X153" s="142">
        <f>SUMIFS(領用表!$L:$L,領用表!$E:$E,$B153,領用表!$B:$B,X$2&amp;$P$1)</f>
        <v>0</v>
      </c>
      <c r="Y153" s="142">
        <f>SUMIFS(領用表!$L:$L,領用表!$E:$E,$B153,領用表!$B:$B,Y$2&amp;$P$1)</f>
        <v>0</v>
      </c>
      <c r="Z153" s="142">
        <f>SUMIFS(領用表!$L:$L,領用表!$E:$E,$B153,領用表!$B:$B,Z$2&amp;$P$1)</f>
        <v>0</v>
      </c>
      <c r="AA153" s="142">
        <f>SUMIFS(領用表!$L:$L,領用表!$E:$E,$B153,領用表!$B:$B,AA$2&amp;$P$1)</f>
        <v>0</v>
      </c>
      <c r="AB153" s="142">
        <f t="shared" si="12"/>
        <v>0</v>
      </c>
      <c r="AC153" s="142">
        <f t="shared" si="13"/>
        <v>0</v>
      </c>
      <c r="AD153" s="142">
        <f>SUMIF(Summary!B:B,B153,Summary!DV:DV)</f>
        <v>0</v>
      </c>
      <c r="AE153" s="109"/>
      <c r="AF153" s="65"/>
      <c r="AG153" s="65"/>
      <c r="AH153" s="65"/>
      <c r="AI153" s="27"/>
      <c r="AJ153" s="27"/>
      <c r="AK153" s="14"/>
      <c r="AL153" s="14"/>
    </row>
    <row r="154" spans="1:38" ht="15.75" customHeight="1">
      <c r="A154" s="27" t="s">
        <v>200</v>
      </c>
      <c r="B154" s="14">
        <v>6060002</v>
      </c>
      <c r="C154" s="136" t="s">
        <v>573</v>
      </c>
      <c r="D154" s="77"/>
      <c r="E154" s="17" t="s">
        <v>15</v>
      </c>
      <c r="F154" s="70"/>
      <c r="G154" s="18"/>
      <c r="H154" s="20">
        <f>SUMIFS(領用表!$L:$L,領用表!$E:$E,$B154,領用表!$B:$B,H$2&amp;$P$1)</f>
        <v>0</v>
      </c>
      <c r="I154" s="20">
        <f>SUMIFS(領用表!$L:$L,領用表!$E:$E,$B154,領用表!$B:$B,I$2&amp;$P$1)</f>
        <v>0</v>
      </c>
      <c r="J154" s="20">
        <f>SUMIFS(領用表!$L:$L,領用表!$E:$E,$B154,領用表!$B:$B,J$2&amp;$P$1)</f>
        <v>0</v>
      </c>
      <c r="K154" s="142">
        <f>SUMIFS(領用表!$L:$L,領用表!$E:$E,$B154,領用表!$B:$B,K$2&amp;$P$1)</f>
        <v>0</v>
      </c>
      <c r="L154" s="142">
        <f>SUMIFS(領用表!$L:$L,領用表!$E:$E,$B154,領用表!$B:$B,L$2&amp;$P$1)</f>
        <v>0</v>
      </c>
      <c r="M154" s="142">
        <f>SUMIFS(領用表!$L:$L,領用表!$E:$E,$B154,領用表!$B:$B,M$2&amp;$P$1)</f>
        <v>0</v>
      </c>
      <c r="N154" s="23">
        <f t="shared" si="14"/>
        <v>0</v>
      </c>
      <c r="O154" s="23">
        <f t="shared" si="15"/>
        <v>0</v>
      </c>
      <c r="P154" s="142">
        <f>SUMIFS(領用表!$L:$L,領用表!$E:$E,$B154,領用表!$B:$B,P$2&amp;$P$1)</f>
        <v>0</v>
      </c>
      <c r="Q154" s="142">
        <f>SUMIFS(領用表!$L:$L,領用表!$E:$E,$B154,領用表!$B:$B,Q$2&amp;$P$1)</f>
        <v>0</v>
      </c>
      <c r="R154" s="142">
        <f>SUMIFS(領用表!$L:$L,領用表!$E:$E,$B154,領用表!$B:$B,R$2&amp;$P$1)</f>
        <v>0</v>
      </c>
      <c r="S154" s="142">
        <f>SUMIFS(領用表!$L:$L,領用表!$E:$E,$B154,領用表!$B:$B,S$2&amp;$P$1)</f>
        <v>0</v>
      </c>
      <c r="T154" s="142">
        <f>SUMIFS(領用表!$L:$L,領用表!$E:$E,$B154,領用表!$B:$B,T$2&amp;$P$1)</f>
        <v>0</v>
      </c>
      <c r="U154" s="142">
        <f>SUMIFS(領用表!$L:$L,領用表!$E:$E,$B154,領用表!$B:$B,U$2&amp;$P$1)</f>
        <v>0</v>
      </c>
      <c r="V154" s="142">
        <f>SUMIFS(領用表!$L:$L,領用表!$E:$E,$B154,領用表!$B:$B,V$2&amp;$P$1)</f>
        <v>0</v>
      </c>
      <c r="W154" s="142">
        <f>SUMIFS(領用表!$L:$L,領用表!$E:$E,$B154,領用表!$B:$B,W$2&amp;$P$1)</f>
        <v>0</v>
      </c>
      <c r="X154" s="142">
        <f>SUMIFS(領用表!$L:$L,領用表!$E:$E,$B154,領用表!$B:$B,X$2&amp;$P$1)</f>
        <v>0</v>
      </c>
      <c r="Y154" s="142">
        <f>SUMIFS(領用表!$L:$L,領用表!$E:$E,$B154,領用表!$B:$B,Y$2&amp;$P$1)</f>
        <v>0</v>
      </c>
      <c r="Z154" s="142">
        <f>SUMIFS(領用表!$L:$L,領用表!$E:$E,$B154,領用表!$B:$B,Z$2&amp;$P$1)</f>
        <v>0</v>
      </c>
      <c r="AA154" s="142">
        <f>SUMIFS(領用表!$L:$L,領用表!$E:$E,$B154,領用表!$B:$B,AA$2&amp;$P$1)</f>
        <v>0</v>
      </c>
      <c r="AB154" s="142">
        <f t="shared" si="12"/>
        <v>0</v>
      </c>
      <c r="AC154" s="142">
        <f t="shared" si="13"/>
        <v>0</v>
      </c>
      <c r="AD154" s="142">
        <f>SUMIF(Summary!B:B,B154,Summary!DV:DV)</f>
        <v>0</v>
      </c>
      <c r="AE154" s="109">
        <v>25</v>
      </c>
      <c r="AF154" s="65"/>
      <c r="AG154" s="65"/>
      <c r="AH154" s="65"/>
      <c r="AI154" s="27"/>
      <c r="AJ154" s="27"/>
      <c r="AK154" s="14"/>
      <c r="AL154" s="14"/>
    </row>
    <row r="155" spans="1:38" ht="15.75" customHeight="1">
      <c r="A155" s="27" t="s">
        <v>201</v>
      </c>
      <c r="B155" s="14">
        <v>6230001</v>
      </c>
      <c r="C155" s="136" t="s">
        <v>574</v>
      </c>
      <c r="D155" s="77"/>
      <c r="E155" s="17" t="s">
        <v>15</v>
      </c>
      <c r="F155" s="70"/>
      <c r="G155" s="18"/>
      <c r="H155" s="20">
        <f>SUMIFS(領用表!$L:$L,領用表!$E:$E,$B155,領用表!$B:$B,H$2&amp;$P$1)</f>
        <v>0</v>
      </c>
      <c r="I155" s="20">
        <f>SUMIFS(領用表!$L:$L,領用表!$E:$E,$B155,領用表!$B:$B,I$2&amp;$P$1)</f>
        <v>0</v>
      </c>
      <c r="J155" s="20">
        <f>SUMIFS(領用表!$L:$L,領用表!$E:$E,$B155,領用表!$B:$B,J$2&amp;$P$1)</f>
        <v>0</v>
      </c>
      <c r="K155" s="142">
        <f>SUMIFS(領用表!$L:$L,領用表!$E:$E,$B155,領用表!$B:$B,K$2&amp;$P$1)</f>
        <v>0</v>
      </c>
      <c r="L155" s="142">
        <f>SUMIFS(領用表!$L:$L,領用表!$E:$E,$B155,領用表!$B:$B,L$2&amp;$P$1)</f>
        <v>0</v>
      </c>
      <c r="M155" s="142">
        <f>SUMIFS(領用表!$L:$L,領用表!$E:$E,$B155,領用表!$B:$B,M$2&amp;$P$1)</f>
        <v>0</v>
      </c>
      <c r="N155" s="23">
        <f t="shared" si="14"/>
        <v>0</v>
      </c>
      <c r="O155" s="23">
        <f t="shared" si="15"/>
        <v>0</v>
      </c>
      <c r="P155" s="142">
        <f>SUMIFS(領用表!$L:$L,領用表!$E:$E,$B155,領用表!$B:$B,P$2&amp;$P$1)</f>
        <v>0</v>
      </c>
      <c r="Q155" s="142">
        <f>SUMIFS(領用表!$L:$L,領用表!$E:$E,$B155,領用表!$B:$B,Q$2&amp;$P$1)</f>
        <v>0</v>
      </c>
      <c r="R155" s="142">
        <f>SUMIFS(領用表!$L:$L,領用表!$E:$E,$B155,領用表!$B:$B,R$2&amp;$P$1)</f>
        <v>0</v>
      </c>
      <c r="S155" s="142">
        <f>SUMIFS(領用表!$L:$L,領用表!$E:$E,$B155,領用表!$B:$B,S$2&amp;$P$1)</f>
        <v>0</v>
      </c>
      <c r="T155" s="142">
        <f>SUMIFS(領用表!$L:$L,領用表!$E:$E,$B155,領用表!$B:$B,T$2&amp;$P$1)</f>
        <v>0</v>
      </c>
      <c r="U155" s="142">
        <f>SUMIFS(領用表!$L:$L,領用表!$E:$E,$B155,領用表!$B:$B,U$2&amp;$P$1)</f>
        <v>0</v>
      </c>
      <c r="V155" s="142">
        <f>SUMIFS(領用表!$L:$L,領用表!$E:$E,$B155,領用表!$B:$B,V$2&amp;$P$1)</f>
        <v>0</v>
      </c>
      <c r="W155" s="142">
        <f>SUMIFS(領用表!$L:$L,領用表!$E:$E,$B155,領用表!$B:$B,W$2&amp;$P$1)</f>
        <v>0</v>
      </c>
      <c r="X155" s="142">
        <f>SUMIFS(領用表!$L:$L,領用表!$E:$E,$B155,領用表!$B:$B,X$2&amp;$P$1)</f>
        <v>0</v>
      </c>
      <c r="Y155" s="142">
        <f>SUMIFS(領用表!$L:$L,領用表!$E:$E,$B155,領用表!$B:$B,Y$2&amp;$P$1)</f>
        <v>0</v>
      </c>
      <c r="Z155" s="142">
        <f>SUMIFS(領用表!$L:$L,領用表!$E:$E,$B155,領用表!$B:$B,Z$2&amp;$P$1)</f>
        <v>0</v>
      </c>
      <c r="AA155" s="142">
        <f>SUMIFS(領用表!$L:$L,領用表!$E:$E,$B155,領用表!$B:$B,AA$2&amp;$P$1)</f>
        <v>0</v>
      </c>
      <c r="AB155" s="142">
        <f t="shared" si="12"/>
        <v>0</v>
      </c>
      <c r="AC155" s="142">
        <f t="shared" si="13"/>
        <v>0</v>
      </c>
      <c r="AD155" s="142">
        <f>SUMIF(Summary!B:B,B155,Summary!DV:DV)</f>
        <v>0</v>
      </c>
      <c r="AE155" s="109">
        <v>25</v>
      </c>
      <c r="AF155" s="65"/>
      <c r="AG155" s="65"/>
      <c r="AH155" s="65"/>
    </row>
    <row r="156" spans="1:38" ht="15.75" customHeight="1">
      <c r="A156" s="27" t="s">
        <v>202</v>
      </c>
      <c r="B156" s="14">
        <v>6070001</v>
      </c>
      <c r="C156" s="136" t="s">
        <v>575</v>
      </c>
      <c r="D156" s="77"/>
      <c r="E156" s="17" t="s">
        <v>15</v>
      </c>
      <c r="F156" s="70"/>
      <c r="G156" s="18"/>
      <c r="H156" s="20">
        <f>SUMIFS(領用表!$L:$L,領用表!$E:$E,$B156,領用表!$B:$B,H$2&amp;$P$1)</f>
        <v>0</v>
      </c>
      <c r="I156" s="20">
        <f>SUMIFS(領用表!$L:$L,領用表!$E:$E,$B156,領用表!$B:$B,I$2&amp;$P$1)</f>
        <v>0</v>
      </c>
      <c r="J156" s="20">
        <f>SUMIFS(領用表!$L:$L,領用表!$E:$E,$B156,領用表!$B:$B,J$2&amp;$P$1)</f>
        <v>0</v>
      </c>
      <c r="K156" s="142">
        <f>SUMIFS(領用表!$L:$L,領用表!$E:$E,$B156,領用表!$B:$B,K$2&amp;$P$1)</f>
        <v>0</v>
      </c>
      <c r="L156" s="142">
        <f>SUMIFS(領用表!$L:$L,領用表!$E:$E,$B156,領用表!$B:$B,L$2&amp;$P$1)</f>
        <v>0</v>
      </c>
      <c r="M156" s="142">
        <f>SUMIFS(領用表!$L:$L,領用表!$E:$E,$B156,領用表!$B:$B,M$2&amp;$P$1)</f>
        <v>0</v>
      </c>
      <c r="N156" s="23">
        <f t="shared" si="14"/>
        <v>0</v>
      </c>
      <c r="O156" s="23">
        <f t="shared" si="15"/>
        <v>0</v>
      </c>
      <c r="P156" s="142">
        <f>SUMIFS(領用表!$L:$L,領用表!$E:$E,$B156,領用表!$B:$B,P$2&amp;$P$1)</f>
        <v>0</v>
      </c>
      <c r="Q156" s="142">
        <f>SUMIFS(領用表!$L:$L,領用表!$E:$E,$B156,領用表!$B:$B,Q$2&amp;$P$1)</f>
        <v>0</v>
      </c>
      <c r="R156" s="142">
        <f>SUMIFS(領用表!$L:$L,領用表!$E:$E,$B156,領用表!$B:$B,R$2&amp;$P$1)</f>
        <v>0</v>
      </c>
      <c r="S156" s="142">
        <f>SUMIFS(領用表!$L:$L,領用表!$E:$E,$B156,領用表!$B:$B,S$2&amp;$P$1)</f>
        <v>0</v>
      </c>
      <c r="T156" s="142">
        <f>SUMIFS(領用表!$L:$L,領用表!$E:$E,$B156,領用表!$B:$B,T$2&amp;$P$1)</f>
        <v>0</v>
      </c>
      <c r="U156" s="142">
        <f>SUMIFS(領用表!$L:$L,領用表!$E:$E,$B156,領用表!$B:$B,U$2&amp;$P$1)</f>
        <v>0</v>
      </c>
      <c r="V156" s="142">
        <f>SUMIFS(領用表!$L:$L,領用表!$E:$E,$B156,領用表!$B:$B,V$2&amp;$P$1)</f>
        <v>0</v>
      </c>
      <c r="W156" s="142">
        <f>SUMIFS(領用表!$L:$L,領用表!$E:$E,$B156,領用表!$B:$B,W$2&amp;$P$1)</f>
        <v>0</v>
      </c>
      <c r="X156" s="142">
        <f>SUMIFS(領用表!$L:$L,領用表!$E:$E,$B156,領用表!$B:$B,X$2&amp;$P$1)</f>
        <v>0</v>
      </c>
      <c r="Y156" s="142">
        <f>SUMIFS(領用表!$L:$L,領用表!$E:$E,$B156,領用表!$B:$B,Y$2&amp;$P$1)</f>
        <v>0</v>
      </c>
      <c r="Z156" s="142">
        <f>SUMIFS(領用表!$L:$L,領用表!$E:$E,$B156,領用表!$B:$B,Z$2&amp;$P$1)</f>
        <v>0</v>
      </c>
      <c r="AA156" s="142">
        <f>SUMIFS(領用表!$L:$L,領用表!$E:$E,$B156,領用表!$B:$B,AA$2&amp;$P$1)</f>
        <v>0</v>
      </c>
      <c r="AB156" s="142">
        <f t="shared" si="12"/>
        <v>0</v>
      </c>
      <c r="AC156" s="142">
        <f t="shared" si="13"/>
        <v>0</v>
      </c>
      <c r="AD156" s="142">
        <f>SUMIF(Summary!B:B,B156,Summary!DV:DV)</f>
        <v>0</v>
      </c>
      <c r="AE156" s="109">
        <v>3</v>
      </c>
      <c r="AF156" s="65"/>
      <c r="AG156" s="65"/>
      <c r="AH156" s="65"/>
    </row>
    <row r="157" spans="1:38" ht="15.75" hidden="1" customHeight="1">
      <c r="A157" s="27" t="s">
        <v>203</v>
      </c>
      <c r="B157" s="14" t="e">
        <v>#N/A</v>
      </c>
      <c r="C157" s="136" t="s">
        <v>635</v>
      </c>
      <c r="D157" s="77"/>
      <c r="E157" s="17" t="s">
        <v>15</v>
      </c>
      <c r="F157" s="70"/>
      <c r="G157" s="18"/>
      <c r="H157" s="20">
        <f>SUMIFS(領用表!$L:$L,領用表!$E:$E,$B157,領用表!$B:$B,H$2&amp;$P$1)</f>
        <v>0</v>
      </c>
      <c r="I157" s="20">
        <f>SUMIFS(領用表!$L:$L,領用表!$E:$E,$B157,領用表!$B:$B,I$2&amp;$P$1)</f>
        <v>0</v>
      </c>
      <c r="J157" s="20">
        <f>SUMIFS(領用表!$L:$L,領用表!$E:$E,$B157,領用表!$B:$B,J$2&amp;$P$1)</f>
        <v>0</v>
      </c>
      <c r="K157" s="142">
        <f>SUMIFS(領用表!$L:$L,領用表!$E:$E,$B157,領用表!$B:$B,K$2&amp;$P$1)</f>
        <v>0</v>
      </c>
      <c r="L157" s="142">
        <f>SUMIFS(領用表!$L:$L,領用表!$E:$E,$B157,領用表!$B:$B,L$2&amp;$P$1)</f>
        <v>0</v>
      </c>
      <c r="M157" s="142">
        <f>SUMIFS(領用表!$L:$L,領用表!$E:$E,$B157,領用表!$B:$B,M$2&amp;$P$1)</f>
        <v>0</v>
      </c>
      <c r="N157" s="23">
        <f t="shared" si="14"/>
        <v>0</v>
      </c>
      <c r="O157" s="23">
        <f t="shared" si="15"/>
        <v>0</v>
      </c>
      <c r="P157" s="142">
        <f>SUMIFS(領用表!$L:$L,領用表!$E:$E,$B157,領用表!$B:$B,P$2&amp;$P$1)</f>
        <v>0</v>
      </c>
      <c r="Q157" s="142">
        <f>SUMIFS(領用表!$L:$L,領用表!$E:$E,$B157,領用表!$B:$B,Q$2&amp;$P$1)</f>
        <v>0</v>
      </c>
      <c r="R157" s="142">
        <f>SUMIFS(領用表!$L:$L,領用表!$E:$E,$B157,領用表!$B:$B,R$2&amp;$P$1)</f>
        <v>0</v>
      </c>
      <c r="S157" s="142">
        <f>SUMIFS(領用表!$L:$L,領用表!$E:$E,$B157,領用表!$B:$B,S$2&amp;$P$1)</f>
        <v>0</v>
      </c>
      <c r="T157" s="142">
        <f>SUMIFS(領用表!$L:$L,領用表!$E:$E,$B157,領用表!$B:$B,T$2&amp;$P$1)</f>
        <v>0</v>
      </c>
      <c r="U157" s="142">
        <f>SUMIFS(領用表!$L:$L,領用表!$E:$E,$B157,領用表!$B:$B,U$2&amp;$P$1)</f>
        <v>0</v>
      </c>
      <c r="V157" s="142">
        <f>SUMIFS(領用表!$L:$L,領用表!$E:$E,$B157,領用表!$B:$B,V$2&amp;$P$1)</f>
        <v>0</v>
      </c>
      <c r="W157" s="142">
        <f>SUMIFS(領用表!$L:$L,領用表!$E:$E,$B157,領用表!$B:$B,W$2&amp;$P$1)</f>
        <v>0</v>
      </c>
      <c r="X157" s="142">
        <f>SUMIFS(領用表!$L:$L,領用表!$E:$E,$B157,領用表!$B:$B,X$2&amp;$P$1)</f>
        <v>0</v>
      </c>
      <c r="Y157" s="142">
        <f>SUMIFS(領用表!$L:$L,領用表!$E:$E,$B157,領用表!$B:$B,Y$2&amp;$P$1)</f>
        <v>0</v>
      </c>
      <c r="Z157" s="142">
        <f>SUMIFS(領用表!$L:$L,領用表!$E:$E,$B157,領用表!$B:$B,Z$2&amp;$P$1)</f>
        <v>0</v>
      </c>
      <c r="AA157" s="142">
        <f>SUMIFS(領用表!$L:$L,領用表!$E:$E,$B157,領用表!$B:$B,AA$2&amp;$P$1)</f>
        <v>0</v>
      </c>
      <c r="AB157" s="142">
        <f t="shared" si="12"/>
        <v>0</v>
      </c>
      <c r="AC157" s="142">
        <f t="shared" si="13"/>
        <v>0</v>
      </c>
      <c r="AD157" s="142">
        <f>SUMIF(Summary!B:B,B157,Summary!DV:DV)</f>
        <v>0</v>
      </c>
      <c r="AE157" s="109"/>
      <c r="AF157" s="65"/>
      <c r="AG157" s="65"/>
      <c r="AH157" s="65"/>
    </row>
    <row r="158" spans="1:38" ht="15.75" hidden="1" customHeight="1">
      <c r="A158" s="27" t="s">
        <v>204</v>
      </c>
      <c r="B158" s="14" t="e">
        <v>#N/A</v>
      </c>
      <c r="C158" s="136" t="s">
        <v>576</v>
      </c>
      <c r="D158" s="77"/>
      <c r="E158" s="17" t="s">
        <v>15</v>
      </c>
      <c r="F158" s="70"/>
      <c r="G158" s="18"/>
      <c r="H158" s="20">
        <f>SUMIFS(領用表!$L:$L,領用表!$E:$E,$B158,領用表!$B:$B,H$2&amp;$P$1)</f>
        <v>0</v>
      </c>
      <c r="I158" s="20">
        <f>SUMIFS(領用表!$L:$L,領用表!$E:$E,$B158,領用表!$B:$B,I$2&amp;$P$1)</f>
        <v>0</v>
      </c>
      <c r="J158" s="20">
        <f>SUMIFS(領用表!$L:$L,領用表!$E:$E,$B158,領用表!$B:$B,J$2&amp;$P$1)</f>
        <v>0</v>
      </c>
      <c r="K158" s="142">
        <f>SUMIFS(領用表!$L:$L,領用表!$E:$E,$B158,領用表!$B:$B,K$2&amp;$P$1)</f>
        <v>0</v>
      </c>
      <c r="L158" s="142">
        <f>SUMIFS(領用表!$L:$L,領用表!$E:$E,$B158,領用表!$B:$B,L$2&amp;$P$1)</f>
        <v>0</v>
      </c>
      <c r="M158" s="142">
        <f>SUMIFS(領用表!$L:$L,領用表!$E:$E,$B158,領用表!$B:$B,M$2&amp;$P$1)</f>
        <v>0</v>
      </c>
      <c r="N158" s="23">
        <f t="shared" si="14"/>
        <v>0</v>
      </c>
      <c r="O158" s="23">
        <f t="shared" si="15"/>
        <v>0</v>
      </c>
      <c r="P158" s="142">
        <f>SUMIFS(領用表!$L:$L,領用表!$E:$E,$B158,領用表!$B:$B,P$2&amp;$P$1)</f>
        <v>0</v>
      </c>
      <c r="Q158" s="142">
        <f>SUMIFS(領用表!$L:$L,領用表!$E:$E,$B158,領用表!$B:$B,Q$2&amp;$P$1)</f>
        <v>0</v>
      </c>
      <c r="R158" s="142">
        <f>SUMIFS(領用表!$L:$L,領用表!$E:$E,$B158,領用表!$B:$B,R$2&amp;$P$1)</f>
        <v>0</v>
      </c>
      <c r="S158" s="142">
        <f>SUMIFS(領用表!$L:$L,領用表!$E:$E,$B158,領用表!$B:$B,S$2&amp;$P$1)</f>
        <v>0</v>
      </c>
      <c r="T158" s="142">
        <f>SUMIFS(領用表!$L:$L,領用表!$E:$E,$B158,領用表!$B:$B,T$2&amp;$P$1)</f>
        <v>0</v>
      </c>
      <c r="U158" s="142">
        <f>SUMIFS(領用表!$L:$L,領用表!$E:$E,$B158,領用表!$B:$B,U$2&amp;$P$1)</f>
        <v>0</v>
      </c>
      <c r="V158" s="142">
        <f>SUMIFS(領用表!$L:$L,領用表!$E:$E,$B158,領用表!$B:$B,V$2&amp;$P$1)</f>
        <v>0</v>
      </c>
      <c r="W158" s="142">
        <f>SUMIFS(領用表!$L:$L,領用表!$E:$E,$B158,領用表!$B:$B,W$2&amp;$P$1)</f>
        <v>0</v>
      </c>
      <c r="X158" s="142">
        <f>SUMIFS(領用表!$L:$L,領用表!$E:$E,$B158,領用表!$B:$B,X$2&amp;$P$1)</f>
        <v>0</v>
      </c>
      <c r="Y158" s="142">
        <f>SUMIFS(領用表!$L:$L,領用表!$E:$E,$B158,領用表!$B:$B,Y$2&amp;$P$1)</f>
        <v>0</v>
      </c>
      <c r="Z158" s="142">
        <f>SUMIFS(領用表!$L:$L,領用表!$E:$E,$B158,領用表!$B:$B,Z$2&amp;$P$1)</f>
        <v>0</v>
      </c>
      <c r="AA158" s="142">
        <f>SUMIFS(領用表!$L:$L,領用表!$E:$E,$B158,領用表!$B:$B,AA$2&amp;$P$1)</f>
        <v>0</v>
      </c>
      <c r="AB158" s="142">
        <f t="shared" si="12"/>
        <v>0</v>
      </c>
      <c r="AC158" s="142">
        <f t="shared" si="13"/>
        <v>0</v>
      </c>
      <c r="AD158" s="142">
        <f>SUMIF(Summary!B:B,B158,Summary!DV:DV)</f>
        <v>0</v>
      </c>
      <c r="AE158" s="109"/>
      <c r="AF158" s="65"/>
      <c r="AG158" s="65"/>
      <c r="AH158" s="65"/>
    </row>
    <row r="159" spans="1:38" ht="15.75" hidden="1" customHeight="1">
      <c r="A159" s="27" t="s">
        <v>205</v>
      </c>
      <c r="B159" s="14" t="e">
        <v>#N/A</v>
      </c>
      <c r="C159" s="136" t="s">
        <v>577</v>
      </c>
      <c r="D159" s="77"/>
      <c r="E159" s="17" t="s">
        <v>15</v>
      </c>
      <c r="F159" s="70"/>
      <c r="G159" s="18"/>
      <c r="H159" s="20">
        <f>SUMIFS(領用表!$L:$L,領用表!$E:$E,$B159,領用表!$B:$B,H$2&amp;$P$1)</f>
        <v>0</v>
      </c>
      <c r="I159" s="20">
        <f>SUMIFS(領用表!$L:$L,領用表!$E:$E,$B159,領用表!$B:$B,I$2&amp;$P$1)</f>
        <v>0</v>
      </c>
      <c r="J159" s="20">
        <f>SUMIFS(領用表!$L:$L,領用表!$E:$E,$B159,領用表!$B:$B,J$2&amp;$P$1)</f>
        <v>0</v>
      </c>
      <c r="K159" s="142">
        <f>SUMIFS(領用表!$L:$L,領用表!$E:$E,$B159,領用表!$B:$B,K$2&amp;$P$1)</f>
        <v>0</v>
      </c>
      <c r="L159" s="142">
        <f>SUMIFS(領用表!$L:$L,領用表!$E:$E,$B159,領用表!$B:$B,L$2&amp;$P$1)</f>
        <v>0</v>
      </c>
      <c r="M159" s="142">
        <f>SUMIFS(領用表!$L:$L,領用表!$E:$E,$B159,領用表!$B:$B,M$2&amp;$P$1)</f>
        <v>0</v>
      </c>
      <c r="N159" s="23">
        <f t="shared" si="14"/>
        <v>0</v>
      </c>
      <c r="O159" s="23">
        <f t="shared" si="15"/>
        <v>0</v>
      </c>
      <c r="P159" s="142">
        <f>SUMIFS(領用表!$L:$L,領用表!$E:$E,$B159,領用表!$B:$B,P$2&amp;$P$1)</f>
        <v>0</v>
      </c>
      <c r="Q159" s="142">
        <f>SUMIFS(領用表!$L:$L,領用表!$E:$E,$B159,領用表!$B:$B,Q$2&amp;$P$1)</f>
        <v>0</v>
      </c>
      <c r="R159" s="142">
        <f>SUMIFS(領用表!$L:$L,領用表!$E:$E,$B159,領用表!$B:$B,R$2&amp;$P$1)</f>
        <v>0</v>
      </c>
      <c r="S159" s="142">
        <f>SUMIFS(領用表!$L:$L,領用表!$E:$E,$B159,領用表!$B:$B,S$2&amp;$P$1)</f>
        <v>0</v>
      </c>
      <c r="T159" s="142">
        <f>SUMIFS(領用表!$L:$L,領用表!$E:$E,$B159,領用表!$B:$B,T$2&amp;$P$1)</f>
        <v>0</v>
      </c>
      <c r="U159" s="142">
        <f>SUMIFS(領用表!$L:$L,領用表!$E:$E,$B159,領用表!$B:$B,U$2&amp;$P$1)</f>
        <v>0</v>
      </c>
      <c r="V159" s="142">
        <f>SUMIFS(領用表!$L:$L,領用表!$E:$E,$B159,領用表!$B:$B,V$2&amp;$P$1)</f>
        <v>0</v>
      </c>
      <c r="W159" s="142">
        <f>SUMIFS(領用表!$L:$L,領用表!$E:$E,$B159,領用表!$B:$B,W$2&amp;$P$1)</f>
        <v>0</v>
      </c>
      <c r="X159" s="142">
        <f>SUMIFS(領用表!$L:$L,領用表!$E:$E,$B159,領用表!$B:$B,X$2&amp;$P$1)</f>
        <v>0</v>
      </c>
      <c r="Y159" s="142">
        <f>SUMIFS(領用表!$L:$L,領用表!$E:$E,$B159,領用表!$B:$B,Y$2&amp;$P$1)</f>
        <v>0</v>
      </c>
      <c r="Z159" s="142">
        <f>SUMIFS(領用表!$L:$L,領用表!$E:$E,$B159,領用表!$B:$B,Z$2&amp;$P$1)</f>
        <v>0</v>
      </c>
      <c r="AA159" s="142">
        <f>SUMIFS(領用表!$L:$L,領用表!$E:$E,$B159,領用表!$B:$B,AA$2&amp;$P$1)</f>
        <v>0</v>
      </c>
      <c r="AB159" s="142">
        <f t="shared" si="12"/>
        <v>0</v>
      </c>
      <c r="AC159" s="142">
        <f t="shared" si="13"/>
        <v>0</v>
      </c>
      <c r="AD159" s="142">
        <f>SUMIF(Summary!B:B,B159,Summary!DV:DV)</f>
        <v>0</v>
      </c>
      <c r="AE159" s="109"/>
      <c r="AF159" s="65"/>
      <c r="AG159" s="65"/>
      <c r="AH159" s="65"/>
    </row>
    <row r="160" spans="1:38" ht="15.75" hidden="1" customHeight="1">
      <c r="A160" s="27" t="s">
        <v>206</v>
      </c>
      <c r="B160" s="14" t="e">
        <v>#N/A</v>
      </c>
      <c r="C160" s="136" t="s">
        <v>578</v>
      </c>
      <c r="D160" s="77"/>
      <c r="E160" s="17" t="s">
        <v>15</v>
      </c>
      <c r="F160" s="70"/>
      <c r="G160" s="18"/>
      <c r="H160" s="20">
        <f>SUMIFS(領用表!$L:$L,領用表!$E:$E,$B160,領用表!$B:$B,H$2&amp;$P$1)</f>
        <v>0</v>
      </c>
      <c r="I160" s="20">
        <f>SUMIFS(領用表!$L:$L,領用表!$E:$E,$B160,領用表!$B:$B,I$2&amp;$P$1)</f>
        <v>0</v>
      </c>
      <c r="J160" s="20">
        <f>SUMIFS(領用表!$L:$L,領用表!$E:$E,$B160,領用表!$B:$B,J$2&amp;$P$1)</f>
        <v>0</v>
      </c>
      <c r="K160" s="142">
        <f>SUMIFS(領用表!$L:$L,領用表!$E:$E,$B160,領用表!$B:$B,K$2&amp;$P$1)</f>
        <v>0</v>
      </c>
      <c r="L160" s="142">
        <f>SUMIFS(領用表!$L:$L,領用表!$E:$E,$B160,領用表!$B:$B,L$2&amp;$P$1)</f>
        <v>0</v>
      </c>
      <c r="M160" s="142">
        <f>SUMIFS(領用表!$L:$L,領用表!$E:$E,$B160,領用表!$B:$B,M$2&amp;$P$1)</f>
        <v>0</v>
      </c>
      <c r="N160" s="23">
        <f t="shared" si="14"/>
        <v>0</v>
      </c>
      <c r="O160" s="23">
        <f t="shared" si="15"/>
        <v>0</v>
      </c>
      <c r="P160" s="142">
        <f>SUMIFS(領用表!$L:$L,領用表!$E:$E,$B160,領用表!$B:$B,P$2&amp;$P$1)</f>
        <v>0</v>
      </c>
      <c r="Q160" s="142">
        <f>SUMIFS(領用表!$L:$L,領用表!$E:$E,$B160,領用表!$B:$B,Q$2&amp;$P$1)</f>
        <v>0</v>
      </c>
      <c r="R160" s="142">
        <f>SUMIFS(領用表!$L:$L,領用表!$E:$E,$B160,領用表!$B:$B,R$2&amp;$P$1)</f>
        <v>0</v>
      </c>
      <c r="S160" s="142">
        <f>SUMIFS(領用表!$L:$L,領用表!$E:$E,$B160,領用表!$B:$B,S$2&amp;$P$1)</f>
        <v>0</v>
      </c>
      <c r="T160" s="142">
        <f>SUMIFS(領用表!$L:$L,領用表!$E:$E,$B160,領用表!$B:$B,T$2&amp;$P$1)</f>
        <v>0</v>
      </c>
      <c r="U160" s="142">
        <f>SUMIFS(領用表!$L:$L,領用表!$E:$E,$B160,領用表!$B:$B,U$2&amp;$P$1)</f>
        <v>0</v>
      </c>
      <c r="V160" s="142">
        <f>SUMIFS(領用表!$L:$L,領用表!$E:$E,$B160,領用表!$B:$B,V$2&amp;$P$1)</f>
        <v>0</v>
      </c>
      <c r="W160" s="142">
        <f>SUMIFS(領用表!$L:$L,領用表!$E:$E,$B160,領用表!$B:$B,W$2&amp;$P$1)</f>
        <v>0</v>
      </c>
      <c r="X160" s="142">
        <f>SUMIFS(領用表!$L:$L,領用表!$E:$E,$B160,領用表!$B:$B,X$2&amp;$P$1)</f>
        <v>0</v>
      </c>
      <c r="Y160" s="142">
        <f>SUMIFS(領用表!$L:$L,領用表!$E:$E,$B160,領用表!$B:$B,Y$2&amp;$P$1)</f>
        <v>0</v>
      </c>
      <c r="Z160" s="142">
        <f>SUMIFS(領用表!$L:$L,領用表!$E:$E,$B160,領用表!$B:$B,Z$2&amp;$P$1)</f>
        <v>0</v>
      </c>
      <c r="AA160" s="142">
        <f>SUMIFS(領用表!$L:$L,領用表!$E:$E,$B160,領用表!$B:$B,AA$2&amp;$P$1)</f>
        <v>0</v>
      </c>
      <c r="AB160" s="142">
        <f t="shared" si="12"/>
        <v>0</v>
      </c>
      <c r="AC160" s="142">
        <f t="shared" si="13"/>
        <v>0</v>
      </c>
      <c r="AD160" s="142">
        <f>SUMIF(Summary!B:B,B160,Summary!DV:DV)</f>
        <v>0</v>
      </c>
      <c r="AE160" s="109"/>
      <c r="AF160" s="65"/>
      <c r="AG160" s="65"/>
      <c r="AH160" s="65"/>
    </row>
    <row r="161" spans="1:36" ht="15.75" hidden="1" customHeight="1">
      <c r="A161" s="27" t="s">
        <v>207</v>
      </c>
      <c r="B161" s="14" t="e">
        <v>#N/A</v>
      </c>
      <c r="C161" s="136" t="s">
        <v>579</v>
      </c>
      <c r="D161" s="77"/>
      <c r="E161" s="17" t="s">
        <v>15</v>
      </c>
      <c r="F161" s="70"/>
      <c r="G161" s="18"/>
      <c r="H161" s="20">
        <f>SUMIFS(領用表!$L:$L,領用表!$E:$E,$B161,領用表!$B:$B,H$2&amp;$P$1)</f>
        <v>0</v>
      </c>
      <c r="I161" s="20">
        <f>SUMIFS(領用表!$L:$L,領用表!$E:$E,$B161,領用表!$B:$B,I$2&amp;$P$1)</f>
        <v>0</v>
      </c>
      <c r="J161" s="20">
        <f>SUMIFS(領用表!$L:$L,領用表!$E:$E,$B161,領用表!$B:$B,J$2&amp;$P$1)</f>
        <v>0</v>
      </c>
      <c r="K161" s="142">
        <f>SUMIFS(領用表!$L:$L,領用表!$E:$E,$B161,領用表!$B:$B,K$2&amp;$P$1)</f>
        <v>0</v>
      </c>
      <c r="L161" s="142">
        <f>SUMIFS(領用表!$L:$L,領用表!$E:$E,$B161,領用表!$B:$B,L$2&amp;$P$1)</f>
        <v>0</v>
      </c>
      <c r="M161" s="142">
        <f>SUMIFS(領用表!$L:$L,領用表!$E:$E,$B161,領用表!$B:$B,M$2&amp;$P$1)</f>
        <v>0</v>
      </c>
      <c r="N161" s="23">
        <f t="shared" si="14"/>
        <v>0</v>
      </c>
      <c r="O161" s="23">
        <f t="shared" si="15"/>
        <v>0</v>
      </c>
      <c r="P161" s="142">
        <f>SUMIFS(領用表!$L:$L,領用表!$E:$E,$B161,領用表!$B:$B,P$2&amp;$P$1)</f>
        <v>0</v>
      </c>
      <c r="Q161" s="142">
        <f>SUMIFS(領用表!$L:$L,領用表!$E:$E,$B161,領用表!$B:$B,Q$2&amp;$P$1)</f>
        <v>0</v>
      </c>
      <c r="R161" s="142">
        <f>SUMIFS(領用表!$L:$L,領用表!$E:$E,$B161,領用表!$B:$B,R$2&amp;$P$1)</f>
        <v>0</v>
      </c>
      <c r="S161" s="142">
        <f>SUMIFS(領用表!$L:$L,領用表!$E:$E,$B161,領用表!$B:$B,S$2&amp;$P$1)</f>
        <v>0</v>
      </c>
      <c r="T161" s="142">
        <f>SUMIFS(領用表!$L:$L,領用表!$E:$E,$B161,領用表!$B:$B,T$2&amp;$P$1)</f>
        <v>0</v>
      </c>
      <c r="U161" s="142">
        <f>SUMIFS(領用表!$L:$L,領用表!$E:$E,$B161,領用表!$B:$B,U$2&amp;$P$1)</f>
        <v>0</v>
      </c>
      <c r="V161" s="142">
        <f>SUMIFS(領用表!$L:$L,領用表!$E:$E,$B161,領用表!$B:$B,V$2&amp;$P$1)</f>
        <v>0</v>
      </c>
      <c r="W161" s="142">
        <f>SUMIFS(領用表!$L:$L,領用表!$E:$E,$B161,領用表!$B:$B,W$2&amp;$P$1)</f>
        <v>0</v>
      </c>
      <c r="X161" s="142">
        <f>SUMIFS(領用表!$L:$L,領用表!$E:$E,$B161,領用表!$B:$B,X$2&amp;$P$1)</f>
        <v>0</v>
      </c>
      <c r="Y161" s="142">
        <f>SUMIFS(領用表!$L:$L,領用表!$E:$E,$B161,領用表!$B:$B,Y$2&amp;$P$1)</f>
        <v>0</v>
      </c>
      <c r="Z161" s="142">
        <f>SUMIFS(領用表!$L:$L,領用表!$E:$E,$B161,領用表!$B:$B,Z$2&amp;$P$1)</f>
        <v>0</v>
      </c>
      <c r="AA161" s="142">
        <f>SUMIFS(領用表!$L:$L,領用表!$E:$E,$B161,領用表!$B:$B,AA$2&amp;$P$1)</f>
        <v>0</v>
      </c>
      <c r="AB161" s="142">
        <f t="shared" si="12"/>
        <v>0</v>
      </c>
      <c r="AC161" s="142">
        <f t="shared" si="13"/>
        <v>0</v>
      </c>
      <c r="AD161" s="142">
        <f>SUMIF(Summary!B:B,B161,Summary!DV:DV)</f>
        <v>0</v>
      </c>
      <c r="AE161" s="109"/>
      <c r="AF161" s="65"/>
      <c r="AG161" s="65"/>
      <c r="AH161" s="65"/>
    </row>
    <row r="162" spans="1:36" ht="15.75" customHeight="1">
      <c r="A162" s="27" t="s">
        <v>208</v>
      </c>
      <c r="B162" s="14" t="e">
        <v>#N/A</v>
      </c>
      <c r="C162" s="136" t="s">
        <v>580</v>
      </c>
      <c r="D162" s="77"/>
      <c r="E162" s="17" t="s">
        <v>15</v>
      </c>
      <c r="F162" s="70"/>
      <c r="G162" s="18"/>
      <c r="H162" s="20">
        <f>SUMIFS(領用表!$L:$L,領用表!$E:$E,$B162,領用表!$B:$B,H$2&amp;$P$1)</f>
        <v>0</v>
      </c>
      <c r="I162" s="20">
        <f>SUMIFS(領用表!$L:$L,領用表!$E:$E,$B162,領用表!$B:$B,I$2&amp;$P$1)</f>
        <v>0</v>
      </c>
      <c r="J162" s="20">
        <f>SUMIFS(領用表!$L:$L,領用表!$E:$E,$B162,領用表!$B:$B,J$2&amp;$P$1)</f>
        <v>0</v>
      </c>
      <c r="K162" s="142">
        <f>SUMIFS(領用表!$L:$L,領用表!$E:$E,$B162,領用表!$B:$B,K$2&amp;$P$1)</f>
        <v>0</v>
      </c>
      <c r="L162" s="142">
        <f>SUMIFS(領用表!$L:$L,領用表!$E:$E,$B162,領用表!$B:$B,L$2&amp;$P$1)</f>
        <v>0</v>
      </c>
      <c r="M162" s="142">
        <f>SUMIFS(領用表!$L:$L,領用表!$E:$E,$B162,領用表!$B:$B,M$2&amp;$P$1)</f>
        <v>0</v>
      </c>
      <c r="N162" s="23">
        <f t="shared" si="14"/>
        <v>0</v>
      </c>
      <c r="O162" s="23">
        <f t="shared" si="15"/>
        <v>0</v>
      </c>
      <c r="P162" s="142">
        <f>SUMIFS(領用表!$L:$L,領用表!$E:$E,$B162,領用表!$B:$B,P$2&amp;$P$1)</f>
        <v>0</v>
      </c>
      <c r="Q162" s="405">
        <f>SUMIFS(領用表!$L:$L,領用表!$E:$E,$B162,領用表!$B:$B,Q$2&amp;$P$1)</f>
        <v>0</v>
      </c>
      <c r="R162" s="405">
        <f>SUMIFS(領用表!$L:$L,領用表!$E:$E,$B162,領用表!$B:$B,R$2&amp;$P$1)</f>
        <v>0</v>
      </c>
      <c r="S162" s="405">
        <f>SUMIFS(領用表!$L:$L,領用表!$E:$E,$B162,領用表!$B:$B,S$2&amp;$P$1)</f>
        <v>0</v>
      </c>
      <c r="T162" s="405">
        <f>SUMIFS(領用表!$L:$L,領用表!$E:$E,$B162,領用表!$B:$B,T$2&amp;$P$1)</f>
        <v>0</v>
      </c>
      <c r="U162" s="405">
        <f>SUMIFS(領用表!$L:$L,領用表!$E:$E,$B162,領用表!$B:$B,U$2&amp;$P$1)</f>
        <v>0</v>
      </c>
      <c r="V162" s="405">
        <f>SUMIFS(領用表!$L:$L,領用表!$E:$E,$B162,領用表!$B:$B,V$2&amp;$P$1)</f>
        <v>0</v>
      </c>
      <c r="W162" s="405">
        <f>SUMIFS(領用表!$L:$L,領用表!$E:$E,$B162,領用表!$B:$B,W$2&amp;$P$1)</f>
        <v>0</v>
      </c>
      <c r="X162" s="405">
        <f>SUMIFS(領用表!$L:$L,領用表!$E:$E,$B162,領用表!$B:$B,X$2&amp;$P$1)</f>
        <v>0</v>
      </c>
      <c r="Y162" s="405">
        <f>SUMIFS(領用表!$L:$L,領用表!$E:$E,$B162,領用表!$B:$B,Y$2&amp;$P$1)</f>
        <v>0</v>
      </c>
      <c r="Z162" s="405">
        <f>SUMIFS(領用表!$L:$L,領用表!$E:$E,$B162,領用表!$B:$B,Z$2&amp;$P$1)</f>
        <v>0</v>
      </c>
      <c r="AA162" s="405">
        <f>SUMIFS(領用表!$L:$L,領用表!$E:$E,$B162,領用表!$B:$B,AA$2&amp;$P$1)</f>
        <v>0</v>
      </c>
      <c r="AB162" s="405">
        <f t="shared" si="12"/>
        <v>0</v>
      </c>
      <c r="AC162" s="405">
        <f t="shared" si="13"/>
        <v>0</v>
      </c>
      <c r="AD162" s="405">
        <f>SUMIF(Summary!B:B,B162,Summary!DV:DV)</f>
        <v>0</v>
      </c>
      <c r="AE162" s="111">
        <v>10</v>
      </c>
      <c r="AF162" s="80"/>
      <c r="AG162" s="83"/>
      <c r="AH162" s="83"/>
    </row>
    <row r="163" spans="1:36" ht="15.75" customHeight="1">
      <c r="A163" s="27" t="s">
        <v>209</v>
      </c>
      <c r="B163" s="14">
        <v>6020002</v>
      </c>
      <c r="C163" s="136" t="s">
        <v>581</v>
      </c>
      <c r="D163" s="77"/>
      <c r="E163" s="17" t="s">
        <v>15</v>
      </c>
      <c r="F163" s="70"/>
      <c r="G163" s="18"/>
      <c r="H163" s="20">
        <f>SUMIFS(領用表!$L:$L,領用表!$E:$E,$B163,領用表!$B:$B,H$2&amp;$P$1)</f>
        <v>0</v>
      </c>
      <c r="I163" s="20">
        <f>SUMIFS(領用表!$L:$L,領用表!$E:$E,$B163,領用表!$B:$B,I$2&amp;$P$1)</f>
        <v>0</v>
      </c>
      <c r="J163" s="20">
        <f>SUMIFS(領用表!$L:$L,領用表!$E:$E,$B163,領用表!$B:$B,J$2&amp;$P$1)</f>
        <v>0</v>
      </c>
      <c r="K163" s="142">
        <f>SUMIFS(領用表!$L:$L,領用表!$E:$E,$B163,領用表!$B:$B,K$2&amp;$P$1)</f>
        <v>0</v>
      </c>
      <c r="L163" s="142">
        <f>SUMIFS(領用表!$L:$L,領用表!$E:$E,$B163,領用表!$B:$B,L$2&amp;$P$1)</f>
        <v>0</v>
      </c>
      <c r="M163" s="142">
        <f>SUMIFS(領用表!$L:$L,領用表!$E:$E,$B163,領用表!$B:$B,M$2&amp;$P$1)</f>
        <v>0</v>
      </c>
      <c r="N163" s="23">
        <f t="shared" si="14"/>
        <v>0</v>
      </c>
      <c r="O163" s="23">
        <f t="shared" si="15"/>
        <v>0</v>
      </c>
      <c r="P163" s="142">
        <f>SUMIFS(領用表!$L:$L,領用表!$E:$E,$B163,領用表!$B:$B,P$2&amp;$P$1)</f>
        <v>0</v>
      </c>
      <c r="Q163" s="405">
        <f>SUMIFS(領用表!$L:$L,領用表!$E:$E,$B163,領用表!$B:$B,Q$2&amp;$P$1)</f>
        <v>0</v>
      </c>
      <c r="R163" s="405">
        <f>SUMIFS(領用表!$L:$L,領用表!$E:$E,$B163,領用表!$B:$B,R$2&amp;$P$1)</f>
        <v>0</v>
      </c>
      <c r="S163" s="405">
        <f>SUMIFS(領用表!$L:$L,領用表!$E:$E,$B163,領用表!$B:$B,S$2&amp;$P$1)</f>
        <v>0</v>
      </c>
      <c r="T163" s="405">
        <f>SUMIFS(領用表!$L:$L,領用表!$E:$E,$B163,領用表!$B:$B,T$2&amp;$P$1)</f>
        <v>0</v>
      </c>
      <c r="U163" s="405">
        <f>SUMIFS(領用表!$L:$L,領用表!$E:$E,$B163,領用表!$B:$B,U$2&amp;$P$1)</f>
        <v>0</v>
      </c>
      <c r="V163" s="405">
        <f>SUMIFS(領用表!$L:$L,領用表!$E:$E,$B163,領用表!$B:$B,V$2&amp;$P$1)</f>
        <v>0</v>
      </c>
      <c r="W163" s="405">
        <f>SUMIFS(領用表!$L:$L,領用表!$E:$E,$B163,領用表!$B:$B,W$2&amp;$P$1)</f>
        <v>0</v>
      </c>
      <c r="X163" s="405">
        <f>SUMIFS(領用表!$L:$L,領用表!$E:$E,$B163,領用表!$B:$B,X$2&amp;$P$1)</f>
        <v>0</v>
      </c>
      <c r="Y163" s="405">
        <f>SUMIFS(領用表!$L:$L,領用表!$E:$E,$B163,領用表!$B:$B,Y$2&amp;$P$1)</f>
        <v>0</v>
      </c>
      <c r="Z163" s="405">
        <f>SUMIFS(領用表!$L:$L,領用表!$E:$E,$B163,領用表!$B:$B,Z$2&amp;$P$1)</f>
        <v>0</v>
      </c>
      <c r="AA163" s="405">
        <f>SUMIFS(領用表!$L:$L,領用表!$E:$E,$B163,領用表!$B:$B,AA$2&amp;$P$1)</f>
        <v>0</v>
      </c>
      <c r="AB163" s="405">
        <f t="shared" si="12"/>
        <v>0</v>
      </c>
      <c r="AC163" s="405">
        <f t="shared" si="13"/>
        <v>0</v>
      </c>
      <c r="AD163" s="405">
        <f>SUMIF(Summary!B:B,B163,Summary!DV:DV)</f>
        <v>0</v>
      </c>
      <c r="AE163" s="111">
        <v>0</v>
      </c>
      <c r="AF163" s="80"/>
      <c r="AG163" s="65"/>
      <c r="AH163" s="65"/>
    </row>
    <row r="164" spans="1:36" ht="15.75" customHeight="1">
      <c r="A164" s="27" t="s">
        <v>210</v>
      </c>
      <c r="B164" s="14">
        <v>1080005</v>
      </c>
      <c r="C164" s="136" t="s">
        <v>582</v>
      </c>
      <c r="D164" s="77"/>
      <c r="E164" s="17" t="s">
        <v>15</v>
      </c>
      <c r="F164" s="70"/>
      <c r="G164" s="18"/>
      <c r="H164" s="20">
        <f>SUMIFS(領用表!$L:$L,領用表!$E:$E,$B164,領用表!$B:$B,H$2&amp;$P$1)</f>
        <v>0</v>
      </c>
      <c r="I164" s="20">
        <f>SUMIFS(領用表!$L:$L,領用表!$E:$E,$B164,領用表!$B:$B,I$2&amp;$P$1)</f>
        <v>0</v>
      </c>
      <c r="J164" s="20">
        <f>SUMIFS(領用表!$L:$L,領用表!$E:$E,$B164,領用表!$B:$B,J$2&amp;$P$1)</f>
        <v>0</v>
      </c>
      <c r="K164" s="142">
        <f>SUMIFS(領用表!$L:$L,領用表!$E:$E,$B164,領用表!$B:$B,K$2&amp;$P$1)</f>
        <v>0</v>
      </c>
      <c r="L164" s="142">
        <f>SUMIFS(領用表!$L:$L,領用表!$E:$E,$B164,領用表!$B:$B,L$2&amp;$P$1)</f>
        <v>0</v>
      </c>
      <c r="M164" s="142">
        <f>SUMIFS(領用表!$L:$L,領用表!$E:$E,$B164,領用表!$B:$B,M$2&amp;$P$1)</f>
        <v>0</v>
      </c>
      <c r="N164" s="23">
        <f t="shared" si="14"/>
        <v>0</v>
      </c>
      <c r="O164" s="23">
        <f t="shared" si="15"/>
        <v>0</v>
      </c>
      <c r="P164" s="142">
        <f>SUMIFS(領用表!$L:$L,領用表!$E:$E,$B164,領用表!$B:$B,P$2&amp;$P$1)</f>
        <v>0</v>
      </c>
      <c r="Q164" s="142">
        <f>SUMIFS(領用表!$L:$L,領用表!$E:$E,$B164,領用表!$B:$B,Q$2&amp;$P$1)</f>
        <v>0</v>
      </c>
      <c r="R164" s="142">
        <f>SUMIFS(領用表!$L:$L,領用表!$E:$E,$B164,領用表!$B:$B,R$2&amp;$P$1)</f>
        <v>0</v>
      </c>
      <c r="S164" s="142">
        <f>SUMIFS(領用表!$L:$L,領用表!$E:$E,$B164,領用表!$B:$B,S$2&amp;$P$1)</f>
        <v>0</v>
      </c>
      <c r="T164" s="142">
        <f>SUMIFS(領用表!$L:$L,領用表!$E:$E,$B164,領用表!$B:$B,T$2&amp;$P$1)</f>
        <v>0</v>
      </c>
      <c r="U164" s="142">
        <f>SUMIFS(領用表!$L:$L,領用表!$E:$E,$B164,領用表!$B:$B,U$2&amp;$P$1)</f>
        <v>0</v>
      </c>
      <c r="V164" s="142">
        <f>SUMIFS(領用表!$L:$L,領用表!$E:$E,$B164,領用表!$B:$B,V$2&amp;$P$1)</f>
        <v>0</v>
      </c>
      <c r="W164" s="142">
        <f>SUMIFS(領用表!$L:$L,領用表!$E:$E,$B164,領用表!$B:$B,W$2&amp;$P$1)</f>
        <v>0</v>
      </c>
      <c r="X164" s="142">
        <f>SUMIFS(領用表!$L:$L,領用表!$E:$E,$B164,領用表!$B:$B,X$2&amp;$P$1)</f>
        <v>0</v>
      </c>
      <c r="Y164" s="142">
        <f>SUMIFS(領用表!$L:$L,領用表!$E:$E,$B164,領用表!$B:$B,Y$2&amp;$P$1)</f>
        <v>0</v>
      </c>
      <c r="Z164" s="142">
        <f>SUMIFS(領用表!$L:$L,領用表!$E:$E,$B164,領用表!$B:$B,Z$2&amp;$P$1)</f>
        <v>0</v>
      </c>
      <c r="AA164" s="142">
        <f>SUMIFS(領用表!$L:$L,領用表!$E:$E,$B164,領用表!$B:$B,AA$2&amp;$P$1)</f>
        <v>0</v>
      </c>
      <c r="AB164" s="142">
        <f t="shared" si="12"/>
        <v>0</v>
      </c>
      <c r="AC164" s="142">
        <f t="shared" si="13"/>
        <v>0</v>
      </c>
      <c r="AD164" s="142">
        <f>SUMIF(Summary!B:B,B164,Summary!DV:DV)</f>
        <v>0</v>
      </c>
      <c r="AE164" s="109">
        <v>1000</v>
      </c>
      <c r="AF164" s="65"/>
      <c r="AG164" s="65"/>
      <c r="AH164" s="65"/>
    </row>
    <row r="165" spans="1:36" ht="15.75" customHeight="1">
      <c r="A165" s="27" t="s">
        <v>211</v>
      </c>
      <c r="B165" s="14">
        <v>1080008</v>
      </c>
      <c r="C165" s="136" t="s">
        <v>583</v>
      </c>
      <c r="D165" s="77"/>
      <c r="E165" s="17" t="s">
        <v>15</v>
      </c>
      <c r="F165" s="70"/>
      <c r="G165" s="18"/>
      <c r="H165" s="20">
        <f>SUMIFS(領用表!$L:$L,領用表!$E:$E,$B165,領用表!$B:$B,H$2&amp;$P$1)</f>
        <v>0</v>
      </c>
      <c r="I165" s="20">
        <f>SUMIFS(領用表!$L:$L,領用表!$E:$E,$B165,領用表!$B:$B,I$2&amp;$P$1)</f>
        <v>0</v>
      </c>
      <c r="J165" s="20">
        <f>SUMIFS(領用表!$L:$L,領用表!$E:$E,$B165,領用表!$B:$B,J$2&amp;$P$1)</f>
        <v>0</v>
      </c>
      <c r="K165" s="142">
        <f>SUMIFS(領用表!$L:$L,領用表!$E:$E,$B165,領用表!$B:$B,K$2&amp;$P$1)</f>
        <v>0</v>
      </c>
      <c r="L165" s="142">
        <f>SUMIFS(領用表!$L:$L,領用表!$E:$E,$B165,領用表!$B:$B,L$2&amp;$P$1)</f>
        <v>0</v>
      </c>
      <c r="M165" s="142">
        <f>SUMIFS(領用表!$L:$L,領用表!$E:$E,$B165,領用表!$B:$B,M$2&amp;$P$1)</f>
        <v>0</v>
      </c>
      <c r="N165" s="23">
        <f t="shared" si="14"/>
        <v>0</v>
      </c>
      <c r="O165" s="23">
        <f t="shared" si="15"/>
        <v>0</v>
      </c>
      <c r="P165" s="142">
        <f>SUMIFS(領用表!$L:$L,領用表!$E:$E,$B165,領用表!$B:$B,P$2&amp;$P$1)</f>
        <v>0</v>
      </c>
      <c r="Q165" s="405">
        <f>SUMIFS(領用表!$L:$L,領用表!$E:$E,$B165,領用表!$B:$B,Q$2&amp;$P$1)</f>
        <v>0</v>
      </c>
      <c r="R165" s="405">
        <f>SUMIFS(領用表!$L:$L,領用表!$E:$E,$B165,領用表!$B:$B,R$2&amp;$P$1)</f>
        <v>0</v>
      </c>
      <c r="S165" s="405">
        <f>SUMIFS(領用表!$L:$L,領用表!$E:$E,$B165,領用表!$B:$B,S$2&amp;$P$1)</f>
        <v>0</v>
      </c>
      <c r="T165" s="405">
        <f>SUMIFS(領用表!$L:$L,領用表!$E:$E,$B165,領用表!$B:$B,T$2&amp;$P$1)</f>
        <v>0</v>
      </c>
      <c r="U165" s="405">
        <f>SUMIFS(領用表!$L:$L,領用表!$E:$E,$B165,領用表!$B:$B,U$2&amp;$P$1)</f>
        <v>0</v>
      </c>
      <c r="V165" s="405">
        <f>SUMIFS(領用表!$L:$L,領用表!$E:$E,$B165,領用表!$B:$B,V$2&amp;$P$1)</f>
        <v>0</v>
      </c>
      <c r="W165" s="405">
        <f>SUMIFS(領用表!$L:$L,領用表!$E:$E,$B165,領用表!$B:$B,W$2&amp;$P$1)</f>
        <v>0</v>
      </c>
      <c r="X165" s="405">
        <f>SUMIFS(領用表!$L:$L,領用表!$E:$E,$B165,領用表!$B:$B,X$2&amp;$P$1)</f>
        <v>0</v>
      </c>
      <c r="Y165" s="405">
        <f>SUMIFS(領用表!$L:$L,領用表!$E:$E,$B165,領用表!$B:$B,Y$2&amp;$P$1)</f>
        <v>0</v>
      </c>
      <c r="Z165" s="405">
        <f>SUMIFS(領用表!$L:$L,領用表!$E:$E,$B165,領用表!$B:$B,Z$2&amp;$P$1)</f>
        <v>0</v>
      </c>
      <c r="AA165" s="405">
        <f>SUMIFS(領用表!$L:$L,領用表!$E:$E,$B165,領用表!$B:$B,AA$2&amp;$P$1)</f>
        <v>0</v>
      </c>
      <c r="AB165" s="405">
        <f t="shared" si="12"/>
        <v>0</v>
      </c>
      <c r="AC165" s="405">
        <f t="shared" si="13"/>
        <v>0</v>
      </c>
      <c r="AD165" s="405">
        <f>SUMIF(Summary!B:B,B165,Summary!DV:DV)</f>
        <v>0</v>
      </c>
      <c r="AE165" s="111">
        <v>0</v>
      </c>
      <c r="AF165" s="80"/>
      <c r="AG165" s="65"/>
      <c r="AH165" s="65"/>
    </row>
    <row r="166" spans="1:36" ht="15.75" customHeight="1">
      <c r="A166" s="27" t="s">
        <v>212</v>
      </c>
      <c r="B166" s="14">
        <v>6230003</v>
      </c>
      <c r="C166" s="136" t="s">
        <v>584</v>
      </c>
      <c r="D166" s="77"/>
      <c r="E166" s="17" t="s">
        <v>15</v>
      </c>
      <c r="F166" s="70"/>
      <c r="G166" s="18"/>
      <c r="H166" s="20">
        <f>SUMIFS(領用表!$L:$L,領用表!$E:$E,$B166,領用表!$B:$B,H$2&amp;$P$1)</f>
        <v>0</v>
      </c>
      <c r="I166" s="20">
        <f>SUMIFS(領用表!$L:$L,領用表!$E:$E,$B166,領用表!$B:$B,I$2&amp;$P$1)</f>
        <v>0</v>
      </c>
      <c r="J166" s="20">
        <f>SUMIFS(領用表!$L:$L,領用表!$E:$E,$B166,領用表!$B:$B,J$2&amp;$P$1)</f>
        <v>0</v>
      </c>
      <c r="K166" s="142">
        <f>SUMIFS(領用表!$L:$L,領用表!$E:$E,$B166,領用表!$B:$B,K$2&amp;$P$1)</f>
        <v>0</v>
      </c>
      <c r="L166" s="142">
        <f>SUMIFS(領用表!$L:$L,領用表!$E:$E,$B166,領用表!$B:$B,L$2&amp;$P$1)</f>
        <v>0</v>
      </c>
      <c r="M166" s="142">
        <f>SUMIFS(領用表!$L:$L,領用表!$E:$E,$B166,領用表!$B:$B,M$2&amp;$P$1)</f>
        <v>0</v>
      </c>
      <c r="N166" s="23">
        <f t="shared" si="14"/>
        <v>0</v>
      </c>
      <c r="O166" s="23">
        <f t="shared" si="15"/>
        <v>0</v>
      </c>
      <c r="P166" s="142">
        <f>SUMIFS(領用表!$L:$L,領用表!$E:$E,$B166,領用表!$B:$B,P$2&amp;$P$1)</f>
        <v>0</v>
      </c>
      <c r="Q166" s="405">
        <f>SUMIFS(領用表!$L:$L,領用表!$E:$E,$B166,領用表!$B:$B,Q$2&amp;$P$1)</f>
        <v>0</v>
      </c>
      <c r="R166" s="405">
        <f>SUMIFS(領用表!$L:$L,領用表!$E:$E,$B166,領用表!$B:$B,R$2&amp;$P$1)</f>
        <v>0</v>
      </c>
      <c r="S166" s="405">
        <f>SUMIFS(領用表!$L:$L,領用表!$E:$E,$B166,領用表!$B:$B,S$2&amp;$P$1)</f>
        <v>0</v>
      </c>
      <c r="T166" s="405">
        <f>SUMIFS(領用表!$L:$L,領用表!$E:$E,$B166,領用表!$B:$B,T$2&amp;$P$1)</f>
        <v>0</v>
      </c>
      <c r="U166" s="405">
        <f>SUMIFS(領用表!$L:$L,領用表!$E:$E,$B166,領用表!$B:$B,U$2&amp;$P$1)</f>
        <v>0</v>
      </c>
      <c r="V166" s="405">
        <f>SUMIFS(領用表!$L:$L,領用表!$E:$E,$B166,領用表!$B:$B,V$2&amp;$P$1)</f>
        <v>0</v>
      </c>
      <c r="W166" s="405">
        <f>SUMIFS(領用表!$L:$L,領用表!$E:$E,$B166,領用表!$B:$B,W$2&amp;$P$1)</f>
        <v>0</v>
      </c>
      <c r="X166" s="405">
        <f>SUMIFS(領用表!$L:$L,領用表!$E:$E,$B166,領用表!$B:$B,X$2&amp;$P$1)</f>
        <v>0</v>
      </c>
      <c r="Y166" s="405">
        <f>SUMIFS(領用表!$L:$L,領用表!$E:$E,$B166,領用表!$B:$B,Y$2&amp;$P$1)</f>
        <v>0</v>
      </c>
      <c r="Z166" s="405">
        <f>SUMIFS(領用表!$L:$L,領用表!$E:$E,$B166,領用表!$B:$B,Z$2&amp;$P$1)</f>
        <v>0</v>
      </c>
      <c r="AA166" s="405">
        <f>SUMIFS(領用表!$L:$L,領用表!$E:$E,$B166,領用表!$B:$B,AA$2&amp;$P$1)</f>
        <v>0</v>
      </c>
      <c r="AB166" s="405">
        <f t="shared" si="12"/>
        <v>0</v>
      </c>
      <c r="AC166" s="405">
        <f t="shared" si="13"/>
        <v>0</v>
      </c>
      <c r="AD166" s="405">
        <f>SUMIF(Summary!B:B,B166,Summary!DV:DV)</f>
        <v>0</v>
      </c>
      <c r="AE166" s="111">
        <v>0</v>
      </c>
      <c r="AF166" s="80"/>
      <c r="AG166" s="76"/>
      <c r="AH166" s="83"/>
    </row>
    <row r="167" spans="1:36" ht="15.75" customHeight="1">
      <c r="A167" s="27" t="s">
        <v>213</v>
      </c>
      <c r="B167" s="14" t="e">
        <v>#N/A</v>
      </c>
      <c r="C167" s="136" t="s">
        <v>585</v>
      </c>
      <c r="D167" s="77"/>
      <c r="E167" s="17" t="s">
        <v>15</v>
      </c>
      <c r="F167" s="70"/>
      <c r="G167" s="18"/>
      <c r="H167" s="20">
        <f>SUMIFS(領用表!$L:$L,領用表!$E:$E,$B167,領用表!$B:$B,H$2&amp;$P$1)</f>
        <v>0</v>
      </c>
      <c r="I167" s="20">
        <f>SUMIFS(領用表!$L:$L,領用表!$E:$E,$B167,領用表!$B:$B,I$2&amp;$P$1)</f>
        <v>0</v>
      </c>
      <c r="J167" s="20">
        <f>SUMIFS(領用表!$L:$L,領用表!$E:$E,$B167,領用表!$B:$B,J$2&amp;$P$1)</f>
        <v>0</v>
      </c>
      <c r="K167" s="142">
        <f>SUMIFS(領用表!$L:$L,領用表!$E:$E,$B167,領用表!$B:$B,K$2&amp;$P$1)</f>
        <v>0</v>
      </c>
      <c r="L167" s="142">
        <f>SUMIFS(領用表!$L:$L,領用表!$E:$E,$B167,領用表!$B:$B,L$2&amp;$P$1)</f>
        <v>0</v>
      </c>
      <c r="M167" s="142">
        <f>SUMIFS(領用表!$L:$L,領用表!$E:$E,$B167,領用表!$B:$B,M$2&amp;$P$1)</f>
        <v>0</v>
      </c>
      <c r="N167" s="23">
        <f t="shared" si="14"/>
        <v>0</v>
      </c>
      <c r="O167" s="23">
        <f t="shared" si="15"/>
        <v>0</v>
      </c>
      <c r="P167" s="142">
        <f>SUMIFS(領用表!$L:$L,領用表!$E:$E,$B167,領用表!$B:$B,P$2&amp;$P$1)</f>
        <v>0</v>
      </c>
      <c r="Q167" s="405">
        <f>SUMIFS(領用表!$L:$L,領用表!$E:$E,$B167,領用表!$B:$B,Q$2&amp;$P$1)</f>
        <v>0</v>
      </c>
      <c r="R167" s="405">
        <f>SUMIFS(領用表!$L:$L,領用表!$E:$E,$B167,領用表!$B:$B,R$2&amp;$P$1)</f>
        <v>0</v>
      </c>
      <c r="S167" s="405">
        <f>SUMIFS(領用表!$L:$L,領用表!$E:$E,$B167,領用表!$B:$B,S$2&amp;$P$1)</f>
        <v>0</v>
      </c>
      <c r="T167" s="405">
        <f>SUMIFS(領用表!$L:$L,領用表!$E:$E,$B167,領用表!$B:$B,T$2&amp;$P$1)</f>
        <v>0</v>
      </c>
      <c r="U167" s="405">
        <f>SUMIFS(領用表!$L:$L,領用表!$E:$E,$B167,領用表!$B:$B,U$2&amp;$P$1)</f>
        <v>0</v>
      </c>
      <c r="V167" s="405">
        <f>SUMIFS(領用表!$L:$L,領用表!$E:$E,$B167,領用表!$B:$B,V$2&amp;$P$1)</f>
        <v>0</v>
      </c>
      <c r="W167" s="405">
        <f>SUMIFS(領用表!$L:$L,領用表!$E:$E,$B167,領用表!$B:$B,W$2&amp;$P$1)</f>
        <v>0</v>
      </c>
      <c r="X167" s="405">
        <f>SUMIFS(領用表!$L:$L,領用表!$E:$E,$B167,領用表!$B:$B,X$2&amp;$P$1)</f>
        <v>0</v>
      </c>
      <c r="Y167" s="405">
        <f>SUMIFS(領用表!$L:$L,領用表!$E:$E,$B167,領用表!$B:$B,Y$2&amp;$P$1)</f>
        <v>0</v>
      </c>
      <c r="Z167" s="405">
        <f>SUMIFS(領用表!$L:$L,領用表!$E:$E,$B167,領用表!$B:$B,Z$2&amp;$P$1)</f>
        <v>0</v>
      </c>
      <c r="AA167" s="405">
        <f>SUMIFS(領用表!$L:$L,領用表!$E:$E,$B167,領用表!$B:$B,AA$2&amp;$P$1)</f>
        <v>0</v>
      </c>
      <c r="AB167" s="405">
        <f t="shared" si="12"/>
        <v>0</v>
      </c>
      <c r="AC167" s="405">
        <f t="shared" si="13"/>
        <v>0</v>
      </c>
      <c r="AD167" s="405">
        <f>SUMIF(Summary!B:B,B167,Summary!DV:DV)</f>
        <v>0</v>
      </c>
      <c r="AE167" s="111">
        <v>0</v>
      </c>
      <c r="AF167" s="80"/>
      <c r="AG167" s="65"/>
      <c r="AH167" s="65"/>
    </row>
    <row r="168" spans="1:36" ht="15.75" customHeight="1">
      <c r="A168" s="27" t="s">
        <v>214</v>
      </c>
      <c r="B168" s="14" t="e">
        <v>#N/A</v>
      </c>
      <c r="C168" s="136" t="s">
        <v>586</v>
      </c>
      <c r="D168" s="77"/>
      <c r="E168" s="17" t="s">
        <v>15</v>
      </c>
      <c r="F168" s="70"/>
      <c r="G168" s="18"/>
      <c r="H168" s="20">
        <f>SUMIFS(領用表!$L:$L,領用表!$E:$E,$B168,領用表!$B:$B,H$2&amp;$P$1)</f>
        <v>0</v>
      </c>
      <c r="I168" s="20">
        <f>SUMIFS(領用表!$L:$L,領用表!$E:$E,$B168,領用表!$B:$B,I$2&amp;$P$1)</f>
        <v>0</v>
      </c>
      <c r="J168" s="20">
        <f>SUMIFS(領用表!$L:$L,領用表!$E:$E,$B168,領用表!$B:$B,J$2&amp;$P$1)</f>
        <v>0</v>
      </c>
      <c r="K168" s="142">
        <f>SUMIFS(領用表!$L:$L,領用表!$E:$E,$B168,領用表!$B:$B,K$2&amp;$P$1)</f>
        <v>0</v>
      </c>
      <c r="L168" s="142">
        <f>SUMIFS(領用表!$L:$L,領用表!$E:$E,$B168,領用表!$B:$B,L$2&amp;$P$1)</f>
        <v>0</v>
      </c>
      <c r="M168" s="142">
        <f>SUMIFS(領用表!$L:$L,領用表!$E:$E,$B168,領用表!$B:$B,M$2&amp;$P$1)</f>
        <v>0</v>
      </c>
      <c r="N168" s="23">
        <f t="shared" si="14"/>
        <v>0</v>
      </c>
      <c r="O168" s="23">
        <f t="shared" si="15"/>
        <v>0</v>
      </c>
      <c r="P168" s="142">
        <f>SUMIFS(領用表!$L:$L,領用表!$E:$E,$B168,領用表!$B:$B,P$2&amp;$P$1)</f>
        <v>0</v>
      </c>
      <c r="Q168" s="405">
        <f>SUMIFS(領用表!$L:$L,領用表!$E:$E,$B168,領用表!$B:$B,Q$2&amp;$P$1)</f>
        <v>0</v>
      </c>
      <c r="R168" s="405">
        <f>SUMIFS(領用表!$L:$L,領用表!$E:$E,$B168,領用表!$B:$B,R$2&amp;$P$1)</f>
        <v>0</v>
      </c>
      <c r="S168" s="405">
        <f>SUMIFS(領用表!$L:$L,領用表!$E:$E,$B168,領用表!$B:$B,S$2&amp;$P$1)</f>
        <v>0</v>
      </c>
      <c r="T168" s="405">
        <f>SUMIFS(領用表!$L:$L,領用表!$E:$E,$B168,領用表!$B:$B,T$2&amp;$P$1)</f>
        <v>0</v>
      </c>
      <c r="U168" s="405">
        <f>SUMIFS(領用表!$L:$L,領用表!$E:$E,$B168,領用表!$B:$B,U$2&amp;$P$1)</f>
        <v>0</v>
      </c>
      <c r="V168" s="405">
        <f>SUMIFS(領用表!$L:$L,領用表!$E:$E,$B168,領用表!$B:$B,V$2&amp;$P$1)</f>
        <v>0</v>
      </c>
      <c r="W168" s="405">
        <f>SUMIFS(領用表!$L:$L,領用表!$E:$E,$B168,領用表!$B:$B,W$2&amp;$P$1)</f>
        <v>0</v>
      </c>
      <c r="X168" s="405">
        <f>SUMIFS(領用表!$L:$L,領用表!$E:$E,$B168,領用表!$B:$B,X$2&amp;$P$1)</f>
        <v>0</v>
      </c>
      <c r="Y168" s="405">
        <f>SUMIFS(領用表!$L:$L,領用表!$E:$E,$B168,領用表!$B:$B,Y$2&amp;$P$1)</f>
        <v>0</v>
      </c>
      <c r="Z168" s="405">
        <f>SUMIFS(領用表!$L:$L,領用表!$E:$E,$B168,領用表!$B:$B,Z$2&amp;$P$1)</f>
        <v>0</v>
      </c>
      <c r="AA168" s="405">
        <f>SUMIFS(領用表!$L:$L,領用表!$E:$E,$B168,領用表!$B:$B,AA$2&amp;$P$1)</f>
        <v>0</v>
      </c>
      <c r="AB168" s="405">
        <f t="shared" si="12"/>
        <v>0</v>
      </c>
      <c r="AC168" s="405">
        <f t="shared" si="13"/>
        <v>0</v>
      </c>
      <c r="AD168" s="405">
        <f>SUMIF(Summary!B:B,B168,Summary!DV:DV)</f>
        <v>0</v>
      </c>
      <c r="AE168" s="111">
        <v>0</v>
      </c>
      <c r="AF168" s="80"/>
      <c r="AG168" s="65"/>
      <c r="AH168" s="65"/>
    </row>
    <row r="169" spans="1:36" ht="15.75" customHeight="1">
      <c r="A169" s="27" t="s">
        <v>215</v>
      </c>
      <c r="B169" s="14" t="e">
        <v>#N/A</v>
      </c>
      <c r="C169" s="136" t="s">
        <v>587</v>
      </c>
      <c r="D169" s="77"/>
      <c r="E169" s="17" t="s">
        <v>15</v>
      </c>
      <c r="F169" s="70"/>
      <c r="G169" s="18"/>
      <c r="H169" s="20">
        <f>SUMIFS(領用表!$L:$L,領用表!$E:$E,$B169,領用表!$B:$B,H$2&amp;$P$1)</f>
        <v>0</v>
      </c>
      <c r="I169" s="20">
        <f>SUMIFS(領用表!$L:$L,領用表!$E:$E,$B169,領用表!$B:$B,I$2&amp;$P$1)</f>
        <v>0</v>
      </c>
      <c r="J169" s="20">
        <f>SUMIFS(領用表!$L:$L,領用表!$E:$E,$B169,領用表!$B:$B,J$2&amp;$P$1)</f>
        <v>0</v>
      </c>
      <c r="K169" s="142">
        <f>SUMIFS(領用表!$L:$L,領用表!$E:$E,$B169,領用表!$B:$B,K$2&amp;$P$1)</f>
        <v>0</v>
      </c>
      <c r="L169" s="142">
        <f>SUMIFS(領用表!$L:$L,領用表!$E:$E,$B169,領用表!$B:$B,L$2&amp;$P$1)</f>
        <v>0</v>
      </c>
      <c r="M169" s="142">
        <f>SUMIFS(領用表!$L:$L,領用表!$E:$E,$B169,領用表!$B:$B,M$2&amp;$P$1)</f>
        <v>0</v>
      </c>
      <c r="N169" s="23">
        <f t="shared" si="14"/>
        <v>0</v>
      </c>
      <c r="O169" s="23">
        <f t="shared" si="15"/>
        <v>0</v>
      </c>
      <c r="P169" s="142">
        <f>SUMIFS(領用表!$L:$L,領用表!$E:$E,$B169,領用表!$B:$B,P$2&amp;$P$1)</f>
        <v>0</v>
      </c>
      <c r="Q169" s="405">
        <f>SUMIFS(領用表!$L:$L,領用表!$E:$E,$B169,領用表!$B:$B,Q$2&amp;$P$1)</f>
        <v>0</v>
      </c>
      <c r="R169" s="405">
        <f>SUMIFS(領用表!$L:$L,領用表!$E:$E,$B169,領用表!$B:$B,R$2&amp;$P$1)</f>
        <v>0</v>
      </c>
      <c r="S169" s="405">
        <f>SUMIFS(領用表!$L:$L,領用表!$E:$E,$B169,領用表!$B:$B,S$2&amp;$P$1)</f>
        <v>0</v>
      </c>
      <c r="T169" s="405">
        <f>SUMIFS(領用表!$L:$L,領用表!$E:$E,$B169,領用表!$B:$B,T$2&amp;$P$1)</f>
        <v>0</v>
      </c>
      <c r="U169" s="405">
        <f>SUMIFS(領用表!$L:$L,領用表!$E:$E,$B169,領用表!$B:$B,U$2&amp;$P$1)</f>
        <v>0</v>
      </c>
      <c r="V169" s="405">
        <f>SUMIFS(領用表!$L:$L,領用表!$E:$E,$B169,領用表!$B:$B,V$2&amp;$P$1)</f>
        <v>0</v>
      </c>
      <c r="W169" s="405">
        <f>SUMIFS(領用表!$L:$L,領用表!$E:$E,$B169,領用表!$B:$B,W$2&amp;$P$1)</f>
        <v>0</v>
      </c>
      <c r="X169" s="405">
        <f>SUMIFS(領用表!$L:$L,領用表!$E:$E,$B169,領用表!$B:$B,X$2&amp;$P$1)</f>
        <v>0</v>
      </c>
      <c r="Y169" s="405">
        <f>SUMIFS(領用表!$L:$L,領用表!$E:$E,$B169,領用表!$B:$B,Y$2&amp;$P$1)</f>
        <v>0</v>
      </c>
      <c r="Z169" s="405">
        <f>SUMIFS(領用表!$L:$L,領用表!$E:$E,$B169,領用表!$B:$B,Z$2&amp;$P$1)</f>
        <v>0</v>
      </c>
      <c r="AA169" s="405">
        <f>SUMIFS(領用表!$L:$L,領用表!$E:$E,$B169,領用表!$B:$B,AA$2&amp;$P$1)</f>
        <v>0</v>
      </c>
      <c r="AB169" s="405">
        <f t="shared" si="12"/>
        <v>0</v>
      </c>
      <c r="AC169" s="405">
        <f t="shared" si="13"/>
        <v>0</v>
      </c>
      <c r="AD169" s="405">
        <f>SUMIF(Summary!B:B,B169,Summary!DV:DV)</f>
        <v>0</v>
      </c>
      <c r="AE169" s="111">
        <v>0</v>
      </c>
      <c r="AF169" s="80"/>
      <c r="AG169" s="65"/>
      <c r="AH169" s="65"/>
    </row>
    <row r="170" spans="1:36" ht="16.5" hidden="1" customHeight="1">
      <c r="A170" s="27" t="s">
        <v>173</v>
      </c>
      <c r="B170" s="14">
        <v>1080002</v>
      </c>
      <c r="C170" s="136" t="s">
        <v>551</v>
      </c>
      <c r="D170" s="77"/>
      <c r="E170" s="17" t="s">
        <v>15</v>
      </c>
      <c r="F170" s="70"/>
      <c r="G170" s="18"/>
      <c r="H170" s="20">
        <f>SUMIFS(領用表!$L:$L,領用表!$E:$E,$B170,領用表!$B:$B,H$2&amp;$P$1)</f>
        <v>0</v>
      </c>
      <c r="I170" s="20">
        <f>SUMIFS(領用表!$L:$L,領用表!$E:$E,$B170,領用表!$B:$B,I$2&amp;$P$1)</f>
        <v>0</v>
      </c>
      <c r="J170" s="20">
        <f>SUMIFS(領用表!$L:$L,領用表!$E:$E,$B170,領用表!$B:$B,J$2&amp;$P$1)</f>
        <v>0</v>
      </c>
      <c r="K170" s="142">
        <f>SUMIFS(領用表!$L:$L,領用表!$E:$E,$B170,領用表!$B:$B,K$2&amp;$P$1)</f>
        <v>0</v>
      </c>
      <c r="L170" s="142">
        <f>SUMIFS(領用表!$L:$L,領用表!$E:$E,$B170,領用表!$B:$B,L$2&amp;$P$1)</f>
        <v>0</v>
      </c>
      <c r="M170" s="142">
        <f>SUMIFS(領用表!$L:$L,領用表!$E:$E,$B170,領用表!$B:$B,M$2&amp;$P$1)</f>
        <v>0</v>
      </c>
      <c r="N170" s="23">
        <f t="shared" si="14"/>
        <v>0</v>
      </c>
      <c r="O170" s="23">
        <f t="shared" si="15"/>
        <v>0</v>
      </c>
      <c r="P170" s="142">
        <f>SUMIFS(領用表!$L:$L,領用表!$E:$E,$B170,領用表!$B:$B,P$2&amp;$P$1)</f>
        <v>0</v>
      </c>
      <c r="Q170" s="142">
        <f>SUMIFS(領用表!$L:$L,領用表!$E:$E,$B170,領用表!$B:$B,Q$2&amp;$P$1)</f>
        <v>0</v>
      </c>
      <c r="R170" s="142">
        <f>SUMIFS(領用表!$L:$L,領用表!$E:$E,$B170,領用表!$B:$B,R$2&amp;$P$1)</f>
        <v>0</v>
      </c>
      <c r="S170" s="142">
        <f>SUMIFS(領用表!$L:$L,領用表!$E:$E,$B170,領用表!$B:$B,S$2&amp;$P$1)</f>
        <v>0</v>
      </c>
      <c r="T170" s="142">
        <f>SUMIFS(領用表!$L:$L,領用表!$E:$E,$B170,領用表!$B:$B,T$2&amp;$P$1)</f>
        <v>0</v>
      </c>
      <c r="U170" s="142">
        <f>SUMIFS(領用表!$L:$L,領用表!$E:$E,$B170,領用表!$B:$B,U$2&amp;$P$1)</f>
        <v>0</v>
      </c>
      <c r="V170" s="142">
        <f>SUMIFS(領用表!$L:$L,領用表!$E:$E,$B170,領用表!$B:$B,V$2&amp;$P$1)</f>
        <v>0</v>
      </c>
      <c r="W170" s="142">
        <f>SUMIFS(領用表!$L:$L,領用表!$E:$E,$B170,領用表!$B:$B,W$2&amp;$P$1)</f>
        <v>0</v>
      </c>
      <c r="X170" s="142">
        <f>SUMIFS(領用表!$L:$L,領用表!$E:$E,$B170,領用表!$B:$B,X$2&amp;$P$1)</f>
        <v>0</v>
      </c>
      <c r="Y170" s="142">
        <f>SUMIFS(領用表!$L:$L,領用表!$E:$E,$B170,領用表!$B:$B,Y$2&amp;$P$1)</f>
        <v>0</v>
      </c>
      <c r="Z170" s="142">
        <f>SUMIFS(領用表!$L:$L,領用表!$E:$E,$B170,領用表!$B:$B,Z$2&amp;$P$1)</f>
        <v>0</v>
      </c>
      <c r="AA170" s="142">
        <f>SUMIFS(領用表!$L:$L,領用表!$E:$E,$B170,領用表!$B:$B,AA$2&amp;$P$1)</f>
        <v>0</v>
      </c>
      <c r="AB170" s="142">
        <f t="shared" si="12"/>
        <v>0</v>
      </c>
      <c r="AC170" s="142">
        <f t="shared" si="13"/>
        <v>0</v>
      </c>
      <c r="AD170" s="142">
        <f>SUMIF(Summary!B:B,B170,Summary!DV:DV)</f>
        <v>0</v>
      </c>
      <c r="AE170" s="109"/>
      <c r="AF170" s="65"/>
      <c r="AG170" s="65"/>
      <c r="AH170" s="65"/>
      <c r="AI170" s="27"/>
      <c r="AJ170" s="27"/>
    </row>
    <row r="171" spans="1:36" ht="16.5" hidden="1" customHeight="1">
      <c r="A171" s="27" t="s">
        <v>174</v>
      </c>
      <c r="B171" s="14">
        <v>1080006</v>
      </c>
      <c r="C171" s="136" t="s">
        <v>552</v>
      </c>
      <c r="D171" s="77"/>
      <c r="E171" s="17" t="s">
        <v>15</v>
      </c>
      <c r="F171" s="70"/>
      <c r="G171" s="18"/>
      <c r="H171" s="20">
        <f>SUMIFS(領用表!$L:$L,領用表!$E:$E,$B171,領用表!$B:$B,H$2&amp;$P$1)</f>
        <v>0</v>
      </c>
      <c r="I171" s="20">
        <f>SUMIFS(領用表!$L:$L,領用表!$E:$E,$B171,領用表!$B:$B,I$2&amp;$P$1)</f>
        <v>0</v>
      </c>
      <c r="J171" s="20">
        <f>SUMIFS(領用表!$L:$L,領用表!$E:$E,$B171,領用表!$B:$B,J$2&amp;$P$1)</f>
        <v>0</v>
      </c>
      <c r="K171" s="142">
        <f>SUMIFS(領用表!$L:$L,領用表!$E:$E,$B171,領用表!$B:$B,K$2&amp;$P$1)</f>
        <v>0</v>
      </c>
      <c r="L171" s="142">
        <f>SUMIFS(領用表!$L:$L,領用表!$E:$E,$B171,領用表!$B:$B,L$2&amp;$P$1)</f>
        <v>0</v>
      </c>
      <c r="M171" s="142">
        <f>SUMIFS(領用表!$L:$L,領用表!$E:$E,$B171,領用表!$B:$B,M$2&amp;$P$1)</f>
        <v>0</v>
      </c>
      <c r="N171" s="23">
        <f t="shared" si="14"/>
        <v>0</v>
      </c>
      <c r="O171" s="23">
        <f t="shared" si="15"/>
        <v>0</v>
      </c>
      <c r="P171" s="142">
        <f>SUMIFS(領用表!$L:$L,領用表!$E:$E,$B171,領用表!$B:$B,P$2&amp;$P$1)</f>
        <v>0</v>
      </c>
      <c r="Q171" s="142">
        <f>SUMIFS(領用表!$L:$L,領用表!$E:$E,$B171,領用表!$B:$B,Q$2&amp;$P$1)</f>
        <v>0</v>
      </c>
      <c r="R171" s="142">
        <f>SUMIFS(領用表!$L:$L,領用表!$E:$E,$B171,領用表!$B:$B,R$2&amp;$P$1)</f>
        <v>0</v>
      </c>
      <c r="S171" s="142">
        <f>SUMIFS(領用表!$L:$L,領用表!$E:$E,$B171,領用表!$B:$B,S$2&amp;$P$1)</f>
        <v>0</v>
      </c>
      <c r="T171" s="142">
        <f>SUMIFS(領用表!$L:$L,領用表!$E:$E,$B171,領用表!$B:$B,T$2&amp;$P$1)</f>
        <v>0</v>
      </c>
      <c r="U171" s="142">
        <f>SUMIFS(領用表!$L:$L,領用表!$E:$E,$B171,領用表!$B:$B,U$2&amp;$P$1)</f>
        <v>0</v>
      </c>
      <c r="V171" s="142">
        <f>SUMIFS(領用表!$L:$L,領用表!$E:$E,$B171,領用表!$B:$B,V$2&amp;$P$1)</f>
        <v>0</v>
      </c>
      <c r="W171" s="142">
        <f>SUMIFS(領用表!$L:$L,領用表!$E:$E,$B171,領用表!$B:$B,W$2&amp;$P$1)</f>
        <v>0</v>
      </c>
      <c r="X171" s="142">
        <f>SUMIFS(領用表!$L:$L,領用表!$E:$E,$B171,領用表!$B:$B,X$2&amp;$P$1)</f>
        <v>0</v>
      </c>
      <c r="Y171" s="142">
        <f>SUMIFS(領用表!$L:$L,領用表!$E:$E,$B171,領用表!$B:$B,Y$2&amp;$P$1)</f>
        <v>0</v>
      </c>
      <c r="Z171" s="142">
        <f>SUMIFS(領用表!$L:$L,領用表!$E:$E,$B171,領用表!$B:$B,Z$2&amp;$P$1)</f>
        <v>0</v>
      </c>
      <c r="AA171" s="142">
        <f>SUMIFS(領用表!$L:$L,領用表!$E:$E,$B171,領用表!$B:$B,AA$2&amp;$P$1)</f>
        <v>0</v>
      </c>
      <c r="AB171" s="142">
        <f t="shared" si="12"/>
        <v>0</v>
      </c>
      <c r="AC171" s="142">
        <f t="shared" si="13"/>
        <v>0</v>
      </c>
      <c r="AD171" s="142">
        <f>SUMIF(Summary!B:B,B171,Summary!DV:DV)</f>
        <v>0</v>
      </c>
      <c r="AE171" s="109"/>
      <c r="AF171" s="65"/>
      <c r="AG171" s="65"/>
      <c r="AH171" s="76"/>
    </row>
    <row r="172" spans="1:36" ht="16.5" hidden="1" customHeight="1">
      <c r="A172" s="27" t="s">
        <v>176</v>
      </c>
      <c r="B172" s="14">
        <v>6080005</v>
      </c>
      <c r="C172" s="136" t="s">
        <v>554</v>
      </c>
      <c r="D172" s="77"/>
      <c r="E172" s="17" t="s">
        <v>15</v>
      </c>
      <c r="F172" s="70"/>
      <c r="G172" s="18"/>
      <c r="H172" s="20">
        <f>SUMIFS(領用表!$L:$L,領用表!$E:$E,$B172,領用表!$B:$B,H$2&amp;$P$1)</f>
        <v>0</v>
      </c>
      <c r="I172" s="20">
        <f>SUMIFS(領用表!$L:$L,領用表!$E:$E,$B172,領用表!$B:$B,I$2&amp;$P$1)</f>
        <v>0</v>
      </c>
      <c r="J172" s="20">
        <f>SUMIFS(領用表!$L:$L,領用表!$E:$E,$B172,領用表!$B:$B,J$2&amp;$P$1)</f>
        <v>0</v>
      </c>
      <c r="K172" s="142">
        <f>SUMIFS(領用表!$L:$L,領用表!$E:$E,$B172,領用表!$B:$B,K$2&amp;$P$1)</f>
        <v>0</v>
      </c>
      <c r="L172" s="142">
        <f>SUMIFS(領用表!$L:$L,領用表!$E:$E,$B172,領用表!$B:$B,L$2&amp;$P$1)</f>
        <v>0</v>
      </c>
      <c r="M172" s="142">
        <f>SUMIFS(領用表!$L:$L,領用表!$E:$E,$B172,領用表!$B:$B,M$2&amp;$P$1)</f>
        <v>0</v>
      </c>
      <c r="N172" s="23">
        <f t="shared" si="14"/>
        <v>0</v>
      </c>
      <c r="O172" s="23">
        <f t="shared" si="15"/>
        <v>0</v>
      </c>
      <c r="P172" s="142">
        <f>SUMIFS(領用表!$L:$L,領用表!$E:$E,$B172,領用表!$B:$B,P$2&amp;$P$1)</f>
        <v>0</v>
      </c>
      <c r="Q172" s="142">
        <f>SUMIFS(領用表!$L:$L,領用表!$E:$E,$B172,領用表!$B:$B,Q$2&amp;$P$1)</f>
        <v>0</v>
      </c>
      <c r="R172" s="142">
        <f>SUMIFS(領用表!$L:$L,領用表!$E:$E,$B172,領用表!$B:$B,R$2&amp;$P$1)</f>
        <v>0</v>
      </c>
      <c r="S172" s="142">
        <f>SUMIFS(領用表!$L:$L,領用表!$E:$E,$B172,領用表!$B:$B,S$2&amp;$P$1)</f>
        <v>0</v>
      </c>
      <c r="T172" s="142">
        <f>SUMIFS(領用表!$L:$L,領用表!$E:$E,$B172,領用表!$B:$B,T$2&amp;$P$1)</f>
        <v>0</v>
      </c>
      <c r="U172" s="142">
        <f>SUMIFS(領用表!$L:$L,領用表!$E:$E,$B172,領用表!$B:$B,U$2&amp;$P$1)</f>
        <v>0</v>
      </c>
      <c r="V172" s="142">
        <f>SUMIFS(領用表!$L:$L,領用表!$E:$E,$B172,領用表!$B:$B,V$2&amp;$P$1)</f>
        <v>0</v>
      </c>
      <c r="W172" s="142">
        <f>SUMIFS(領用表!$L:$L,領用表!$E:$E,$B172,領用表!$B:$B,W$2&amp;$P$1)</f>
        <v>0</v>
      </c>
      <c r="X172" s="142">
        <f>SUMIFS(領用表!$L:$L,領用表!$E:$E,$B172,領用表!$B:$B,X$2&amp;$P$1)</f>
        <v>0</v>
      </c>
      <c r="Y172" s="142">
        <f>SUMIFS(領用表!$L:$L,領用表!$E:$E,$B172,領用表!$B:$B,Y$2&amp;$P$1)</f>
        <v>0</v>
      </c>
      <c r="Z172" s="142">
        <f>SUMIFS(領用表!$L:$L,領用表!$E:$E,$B172,領用表!$B:$B,Z$2&amp;$P$1)</f>
        <v>0</v>
      </c>
      <c r="AA172" s="142">
        <f>SUMIFS(領用表!$L:$L,領用表!$E:$E,$B172,領用表!$B:$B,AA$2&amp;$P$1)</f>
        <v>0</v>
      </c>
      <c r="AB172" s="142">
        <f t="shared" si="12"/>
        <v>0</v>
      </c>
      <c r="AC172" s="142">
        <f t="shared" si="13"/>
        <v>0</v>
      </c>
      <c r="AD172" s="142">
        <f>SUMIF(Summary!B:B,B172,Summary!DV:DV)</f>
        <v>0</v>
      </c>
      <c r="AE172" s="109"/>
      <c r="AF172" s="65"/>
      <c r="AG172" s="65"/>
      <c r="AH172" s="65"/>
    </row>
    <row r="173" spans="1:36" ht="16.5" hidden="1" customHeight="1">
      <c r="A173" s="27" t="s">
        <v>210</v>
      </c>
      <c r="B173" s="14">
        <v>1080005</v>
      </c>
      <c r="C173" s="136" t="s">
        <v>582</v>
      </c>
      <c r="D173" s="77"/>
      <c r="E173" s="17" t="s">
        <v>15</v>
      </c>
      <c r="F173" s="70"/>
      <c r="G173" s="18"/>
      <c r="H173" s="20">
        <f>SUMIFS(領用表!$L:$L,領用表!$E:$E,$B173,領用表!$B:$B,H$2&amp;$P$1)</f>
        <v>0</v>
      </c>
      <c r="I173" s="20">
        <f>SUMIFS(領用表!$L:$L,領用表!$E:$E,$B173,領用表!$B:$B,I$2&amp;$P$1)</f>
        <v>0</v>
      </c>
      <c r="J173" s="20">
        <f>SUMIFS(領用表!$L:$L,領用表!$E:$E,$B173,領用表!$B:$B,J$2&amp;$P$1)</f>
        <v>0</v>
      </c>
      <c r="K173" s="142">
        <f>SUMIFS(領用表!$L:$L,領用表!$E:$E,$B173,領用表!$B:$B,K$2&amp;$P$1)</f>
        <v>0</v>
      </c>
      <c r="L173" s="142">
        <f>SUMIFS(領用表!$L:$L,領用表!$E:$E,$B173,領用表!$B:$B,L$2&amp;$P$1)</f>
        <v>0</v>
      </c>
      <c r="M173" s="142">
        <f>SUMIFS(領用表!$L:$L,領用表!$E:$E,$B173,領用表!$B:$B,M$2&amp;$P$1)</f>
        <v>0</v>
      </c>
      <c r="N173" s="23">
        <f t="shared" si="14"/>
        <v>0</v>
      </c>
      <c r="O173" s="23">
        <f t="shared" si="15"/>
        <v>0</v>
      </c>
      <c r="P173" s="142">
        <f>SUMIFS(領用表!$L:$L,領用表!$E:$E,$B173,領用表!$B:$B,P$2&amp;$P$1)</f>
        <v>0</v>
      </c>
      <c r="Q173" s="142">
        <f>SUMIFS(領用表!$L:$L,領用表!$E:$E,$B173,領用表!$B:$B,Q$2&amp;$P$1)</f>
        <v>0</v>
      </c>
      <c r="R173" s="142">
        <f>SUMIFS(領用表!$L:$L,領用表!$E:$E,$B173,領用表!$B:$B,R$2&amp;$P$1)</f>
        <v>0</v>
      </c>
      <c r="S173" s="142">
        <f>SUMIFS(領用表!$L:$L,領用表!$E:$E,$B173,領用表!$B:$B,S$2&amp;$P$1)</f>
        <v>0</v>
      </c>
      <c r="T173" s="142">
        <f>SUMIFS(領用表!$L:$L,領用表!$E:$E,$B173,領用表!$B:$B,T$2&amp;$P$1)</f>
        <v>0</v>
      </c>
      <c r="U173" s="142">
        <f>SUMIFS(領用表!$L:$L,領用表!$E:$E,$B173,領用表!$B:$B,U$2&amp;$P$1)</f>
        <v>0</v>
      </c>
      <c r="V173" s="142">
        <f>SUMIFS(領用表!$L:$L,領用表!$E:$E,$B173,領用表!$B:$B,V$2&amp;$P$1)</f>
        <v>0</v>
      </c>
      <c r="W173" s="142">
        <f>SUMIFS(領用表!$L:$L,領用表!$E:$E,$B173,領用表!$B:$B,W$2&amp;$P$1)</f>
        <v>0</v>
      </c>
      <c r="X173" s="142">
        <f>SUMIFS(領用表!$L:$L,領用表!$E:$E,$B173,領用表!$B:$B,X$2&amp;$P$1)</f>
        <v>0</v>
      </c>
      <c r="Y173" s="142">
        <f>SUMIFS(領用表!$L:$L,領用表!$E:$E,$B173,領用表!$B:$B,Y$2&amp;$P$1)</f>
        <v>0</v>
      </c>
      <c r="Z173" s="142">
        <f>SUMIFS(領用表!$L:$L,領用表!$E:$E,$B173,領用表!$B:$B,Z$2&amp;$P$1)</f>
        <v>0</v>
      </c>
      <c r="AA173" s="142">
        <f>SUMIFS(領用表!$L:$L,領用表!$E:$E,$B173,領用表!$B:$B,AA$2&amp;$P$1)</f>
        <v>0</v>
      </c>
      <c r="AB173" s="142">
        <f t="shared" si="12"/>
        <v>0</v>
      </c>
      <c r="AC173" s="142">
        <f t="shared" si="13"/>
        <v>0</v>
      </c>
      <c r="AD173" s="142">
        <f>SUMIF(Summary!B:B,B173,Summary!DV:DV)</f>
        <v>0</v>
      </c>
      <c r="AE173" s="109"/>
      <c r="AF173" s="65"/>
      <c r="AG173" s="65"/>
      <c r="AH173" s="65"/>
    </row>
    <row r="174" spans="1:36" ht="16.5" hidden="1" customHeight="1">
      <c r="A174" s="27" t="s">
        <v>216</v>
      </c>
      <c r="B174" s="14" t="e">
        <v>#N/A</v>
      </c>
      <c r="C174" s="136" t="s">
        <v>588</v>
      </c>
      <c r="D174" s="77"/>
      <c r="E174" s="17" t="s">
        <v>15</v>
      </c>
      <c r="F174" s="70"/>
      <c r="G174" s="18"/>
      <c r="H174" s="20">
        <f>SUMIFS(領用表!$L:$L,領用表!$E:$E,$B174,領用表!$B:$B,H$2&amp;$P$1)</f>
        <v>0</v>
      </c>
      <c r="I174" s="20">
        <f>SUMIFS(領用表!$L:$L,領用表!$E:$E,$B174,領用表!$B:$B,I$2&amp;$P$1)</f>
        <v>0</v>
      </c>
      <c r="J174" s="20">
        <f>SUMIFS(領用表!$L:$L,領用表!$E:$E,$B174,領用表!$B:$B,J$2&amp;$P$1)</f>
        <v>0</v>
      </c>
      <c r="K174" s="142">
        <f>SUMIFS(領用表!$L:$L,領用表!$E:$E,$B174,領用表!$B:$B,K$2&amp;$P$1)</f>
        <v>0</v>
      </c>
      <c r="L174" s="142">
        <f>SUMIFS(領用表!$L:$L,領用表!$E:$E,$B174,領用表!$B:$B,L$2&amp;$P$1)</f>
        <v>0</v>
      </c>
      <c r="M174" s="142">
        <f>SUMIFS(領用表!$L:$L,領用表!$E:$E,$B174,領用表!$B:$B,M$2&amp;$P$1)</f>
        <v>0</v>
      </c>
      <c r="N174" s="23">
        <f t="shared" si="14"/>
        <v>0</v>
      </c>
      <c r="O174" s="23">
        <f t="shared" si="15"/>
        <v>0</v>
      </c>
      <c r="P174" s="142">
        <f>SUMIFS(領用表!$L:$L,領用表!$E:$E,$B174,領用表!$B:$B,P$2&amp;$P$1)</f>
        <v>0</v>
      </c>
      <c r="Q174" s="142">
        <f>SUMIFS(領用表!$L:$L,領用表!$E:$E,$B174,領用表!$B:$B,Q$2&amp;$P$1)</f>
        <v>0</v>
      </c>
      <c r="R174" s="142">
        <f>SUMIFS(領用表!$L:$L,領用表!$E:$E,$B174,領用表!$B:$B,R$2&amp;$P$1)</f>
        <v>0</v>
      </c>
      <c r="S174" s="142">
        <f>SUMIFS(領用表!$L:$L,領用表!$E:$E,$B174,領用表!$B:$B,S$2&amp;$P$1)</f>
        <v>0</v>
      </c>
      <c r="T174" s="142">
        <f>SUMIFS(領用表!$L:$L,領用表!$E:$E,$B174,領用表!$B:$B,T$2&amp;$P$1)</f>
        <v>0</v>
      </c>
      <c r="U174" s="142">
        <f>SUMIFS(領用表!$L:$L,領用表!$E:$E,$B174,領用表!$B:$B,U$2&amp;$P$1)</f>
        <v>0</v>
      </c>
      <c r="V174" s="142">
        <f>SUMIFS(領用表!$L:$L,領用表!$E:$E,$B174,領用表!$B:$B,V$2&amp;$P$1)</f>
        <v>0</v>
      </c>
      <c r="W174" s="142">
        <f>SUMIFS(領用表!$L:$L,領用表!$E:$E,$B174,領用表!$B:$B,W$2&amp;$P$1)</f>
        <v>0</v>
      </c>
      <c r="X174" s="142">
        <f>SUMIFS(領用表!$L:$L,領用表!$E:$E,$B174,領用表!$B:$B,X$2&amp;$P$1)</f>
        <v>0</v>
      </c>
      <c r="Y174" s="142">
        <f>SUMIFS(領用表!$L:$L,領用表!$E:$E,$B174,領用表!$B:$B,Y$2&amp;$P$1)</f>
        <v>0</v>
      </c>
      <c r="Z174" s="142">
        <f>SUMIFS(領用表!$L:$L,領用表!$E:$E,$B174,領用表!$B:$B,Z$2&amp;$P$1)</f>
        <v>0</v>
      </c>
      <c r="AA174" s="142">
        <f>SUMIFS(領用表!$L:$L,領用表!$E:$E,$B174,領用表!$B:$B,AA$2&amp;$P$1)</f>
        <v>0</v>
      </c>
      <c r="AB174" s="142">
        <f t="shared" si="12"/>
        <v>0</v>
      </c>
      <c r="AC174" s="142">
        <f t="shared" si="13"/>
        <v>0</v>
      </c>
      <c r="AD174" s="142">
        <f>SUMIF(Summary!B:B,B174,Summary!DV:DV)</f>
        <v>0</v>
      </c>
      <c r="AE174" s="109"/>
      <c r="AF174" s="65"/>
      <c r="AG174" s="65"/>
      <c r="AH174" s="65"/>
    </row>
    <row r="175" spans="1:36" ht="16.5" hidden="1" customHeight="1">
      <c r="A175" s="27" t="s">
        <v>205</v>
      </c>
      <c r="B175" s="14" t="e">
        <v>#N/A</v>
      </c>
      <c r="C175" s="136" t="s">
        <v>577</v>
      </c>
      <c r="D175" s="77"/>
      <c r="E175" s="17" t="s">
        <v>15</v>
      </c>
      <c r="F175" s="70"/>
      <c r="G175" s="18"/>
      <c r="H175" s="20">
        <f>SUMIFS(領用表!$L:$L,領用表!$E:$E,$B175,領用表!$B:$B,H$2&amp;$P$1)</f>
        <v>0</v>
      </c>
      <c r="I175" s="20">
        <f>SUMIFS(領用表!$L:$L,領用表!$E:$E,$B175,領用表!$B:$B,I$2&amp;$P$1)</f>
        <v>0</v>
      </c>
      <c r="J175" s="20">
        <f>SUMIFS(領用表!$L:$L,領用表!$E:$E,$B175,領用表!$B:$B,J$2&amp;$P$1)</f>
        <v>0</v>
      </c>
      <c r="K175" s="142">
        <f>SUMIFS(領用表!$L:$L,領用表!$E:$E,$B175,領用表!$B:$B,K$2&amp;$P$1)</f>
        <v>0</v>
      </c>
      <c r="L175" s="142">
        <f>SUMIFS(領用表!$L:$L,領用表!$E:$E,$B175,領用表!$B:$B,L$2&amp;$P$1)</f>
        <v>0</v>
      </c>
      <c r="M175" s="142">
        <f>SUMIFS(領用表!$L:$L,領用表!$E:$E,$B175,領用表!$B:$B,M$2&amp;$P$1)</f>
        <v>0</v>
      </c>
      <c r="N175" s="23">
        <f t="shared" si="14"/>
        <v>0</v>
      </c>
      <c r="O175" s="23">
        <f t="shared" si="15"/>
        <v>0</v>
      </c>
      <c r="P175" s="142">
        <f>SUMIFS(領用表!$L:$L,領用表!$E:$E,$B175,領用表!$B:$B,P$2&amp;$P$1)</f>
        <v>0</v>
      </c>
      <c r="Q175" s="142">
        <f>SUMIFS(領用表!$L:$L,領用表!$E:$E,$B175,領用表!$B:$B,Q$2&amp;$P$1)</f>
        <v>0</v>
      </c>
      <c r="R175" s="142">
        <f>SUMIFS(領用表!$L:$L,領用表!$E:$E,$B175,領用表!$B:$B,R$2&amp;$P$1)</f>
        <v>0</v>
      </c>
      <c r="S175" s="142">
        <f>SUMIFS(領用表!$L:$L,領用表!$E:$E,$B175,領用表!$B:$B,S$2&amp;$P$1)</f>
        <v>0</v>
      </c>
      <c r="T175" s="142">
        <f>SUMIFS(領用表!$L:$L,領用表!$E:$E,$B175,領用表!$B:$B,T$2&amp;$P$1)</f>
        <v>0</v>
      </c>
      <c r="U175" s="142">
        <f>SUMIFS(領用表!$L:$L,領用表!$E:$E,$B175,領用表!$B:$B,U$2&amp;$P$1)</f>
        <v>0</v>
      </c>
      <c r="V175" s="142">
        <f>SUMIFS(領用表!$L:$L,領用表!$E:$E,$B175,領用表!$B:$B,V$2&amp;$P$1)</f>
        <v>0</v>
      </c>
      <c r="W175" s="142">
        <f>SUMIFS(領用表!$L:$L,領用表!$E:$E,$B175,領用表!$B:$B,W$2&amp;$P$1)</f>
        <v>0</v>
      </c>
      <c r="X175" s="142">
        <f>SUMIFS(領用表!$L:$L,領用表!$E:$E,$B175,領用表!$B:$B,X$2&amp;$P$1)</f>
        <v>0</v>
      </c>
      <c r="Y175" s="142">
        <f>SUMIFS(領用表!$L:$L,領用表!$E:$E,$B175,領用表!$B:$B,Y$2&amp;$P$1)</f>
        <v>0</v>
      </c>
      <c r="Z175" s="142">
        <f>SUMIFS(領用表!$L:$L,領用表!$E:$E,$B175,領用表!$B:$B,Z$2&amp;$P$1)</f>
        <v>0</v>
      </c>
      <c r="AA175" s="142">
        <f>SUMIFS(領用表!$L:$L,領用表!$E:$E,$B175,領用表!$B:$B,AA$2&amp;$P$1)</f>
        <v>0</v>
      </c>
      <c r="AB175" s="142">
        <f t="shared" si="12"/>
        <v>0</v>
      </c>
      <c r="AC175" s="142">
        <f t="shared" si="13"/>
        <v>0</v>
      </c>
      <c r="AD175" s="142">
        <f>SUMIF(Summary!B:B,B175,Summary!DV:DV)</f>
        <v>0</v>
      </c>
      <c r="AE175" s="109"/>
      <c r="AF175" s="65"/>
      <c r="AG175" s="65"/>
      <c r="AH175" s="65"/>
    </row>
    <row r="176" spans="1:36" ht="16.5" hidden="1" customHeight="1">
      <c r="A176" s="27" t="s">
        <v>206</v>
      </c>
      <c r="B176" s="14" t="e">
        <v>#N/A</v>
      </c>
      <c r="C176" s="136" t="s">
        <v>578</v>
      </c>
      <c r="D176" s="77"/>
      <c r="E176" s="17" t="s">
        <v>15</v>
      </c>
      <c r="F176" s="70"/>
      <c r="G176" s="18"/>
      <c r="H176" s="20">
        <f>SUMIFS(領用表!$L:$L,領用表!$E:$E,$B176,領用表!$B:$B,H$2&amp;$P$1)</f>
        <v>0</v>
      </c>
      <c r="I176" s="20">
        <f>SUMIFS(領用表!$L:$L,領用表!$E:$E,$B176,領用表!$B:$B,I$2&amp;$P$1)</f>
        <v>0</v>
      </c>
      <c r="J176" s="20">
        <f>SUMIFS(領用表!$L:$L,領用表!$E:$E,$B176,領用表!$B:$B,J$2&amp;$P$1)</f>
        <v>0</v>
      </c>
      <c r="K176" s="142">
        <f>SUMIFS(領用表!$L:$L,領用表!$E:$E,$B176,領用表!$B:$B,K$2&amp;$P$1)</f>
        <v>0</v>
      </c>
      <c r="L176" s="142">
        <f>SUMIFS(領用表!$L:$L,領用表!$E:$E,$B176,領用表!$B:$B,L$2&amp;$P$1)</f>
        <v>0</v>
      </c>
      <c r="M176" s="142">
        <f>SUMIFS(領用表!$L:$L,領用表!$E:$E,$B176,領用表!$B:$B,M$2&amp;$P$1)</f>
        <v>0</v>
      </c>
      <c r="N176" s="23">
        <f t="shared" si="14"/>
        <v>0</v>
      </c>
      <c r="O176" s="23">
        <f t="shared" si="15"/>
        <v>0</v>
      </c>
      <c r="P176" s="142">
        <f>SUMIFS(領用表!$L:$L,領用表!$E:$E,$B176,領用表!$B:$B,P$2&amp;$P$1)</f>
        <v>0</v>
      </c>
      <c r="Q176" s="142">
        <f>SUMIFS(領用表!$L:$L,領用表!$E:$E,$B176,領用表!$B:$B,Q$2&amp;$P$1)</f>
        <v>0</v>
      </c>
      <c r="R176" s="142">
        <f>SUMIFS(領用表!$L:$L,領用表!$E:$E,$B176,領用表!$B:$B,R$2&amp;$P$1)</f>
        <v>0</v>
      </c>
      <c r="S176" s="142">
        <f>SUMIFS(領用表!$L:$L,領用表!$E:$E,$B176,領用表!$B:$B,S$2&amp;$P$1)</f>
        <v>0</v>
      </c>
      <c r="T176" s="142">
        <f>SUMIFS(領用表!$L:$L,領用表!$E:$E,$B176,領用表!$B:$B,T$2&amp;$P$1)</f>
        <v>0</v>
      </c>
      <c r="U176" s="142">
        <f>SUMIFS(領用表!$L:$L,領用表!$E:$E,$B176,領用表!$B:$B,U$2&amp;$P$1)</f>
        <v>0</v>
      </c>
      <c r="V176" s="142">
        <f>SUMIFS(領用表!$L:$L,領用表!$E:$E,$B176,領用表!$B:$B,V$2&amp;$P$1)</f>
        <v>0</v>
      </c>
      <c r="W176" s="142">
        <f>SUMIFS(領用表!$L:$L,領用表!$E:$E,$B176,領用表!$B:$B,W$2&amp;$P$1)</f>
        <v>0</v>
      </c>
      <c r="X176" s="142">
        <f>SUMIFS(領用表!$L:$L,領用表!$E:$E,$B176,領用表!$B:$B,X$2&amp;$P$1)</f>
        <v>0</v>
      </c>
      <c r="Y176" s="142">
        <f>SUMIFS(領用表!$L:$L,領用表!$E:$E,$B176,領用表!$B:$B,Y$2&amp;$P$1)</f>
        <v>0</v>
      </c>
      <c r="Z176" s="142">
        <f>SUMIFS(領用表!$L:$L,領用表!$E:$E,$B176,領用表!$B:$B,Z$2&amp;$P$1)</f>
        <v>0</v>
      </c>
      <c r="AA176" s="142">
        <f>SUMIFS(領用表!$L:$L,領用表!$E:$E,$B176,領用表!$B:$B,AA$2&amp;$P$1)</f>
        <v>0</v>
      </c>
      <c r="AB176" s="142">
        <f t="shared" si="12"/>
        <v>0</v>
      </c>
      <c r="AC176" s="142">
        <f t="shared" si="13"/>
        <v>0</v>
      </c>
      <c r="AD176" s="142">
        <f>SUMIF(Summary!B:B,B176,Summary!DV:DV)</f>
        <v>0</v>
      </c>
      <c r="AE176" s="109"/>
      <c r="AF176" s="65"/>
      <c r="AG176" s="65"/>
      <c r="AH176" s="65"/>
    </row>
    <row r="177" spans="1:34" ht="14.25" hidden="1" customHeight="1">
      <c r="A177" s="27" t="s">
        <v>217</v>
      </c>
      <c r="B177" s="14" t="e">
        <v>#N/A</v>
      </c>
      <c r="C177" s="136" t="s">
        <v>589</v>
      </c>
      <c r="D177" s="77"/>
      <c r="E177" s="17" t="s">
        <v>15</v>
      </c>
      <c r="F177" s="70"/>
      <c r="G177" s="18"/>
      <c r="H177" s="20">
        <f>SUMIFS(領用表!$L:$L,領用表!$E:$E,$B177,領用表!$B:$B,H$2&amp;$P$1)</f>
        <v>0</v>
      </c>
      <c r="I177" s="20">
        <f>SUMIFS(領用表!$L:$L,領用表!$E:$E,$B177,領用表!$B:$B,I$2&amp;$P$1)</f>
        <v>0</v>
      </c>
      <c r="J177" s="20">
        <f>SUMIFS(領用表!$L:$L,領用表!$E:$E,$B177,領用表!$B:$B,J$2&amp;$P$1)</f>
        <v>0</v>
      </c>
      <c r="K177" s="142">
        <f>SUMIFS(領用表!$L:$L,領用表!$E:$E,$B177,領用表!$B:$B,K$2&amp;$P$1)</f>
        <v>0</v>
      </c>
      <c r="L177" s="142">
        <f>SUMIFS(領用表!$L:$L,領用表!$E:$E,$B177,領用表!$B:$B,L$2&amp;$P$1)</f>
        <v>0</v>
      </c>
      <c r="M177" s="142">
        <f>SUMIFS(領用表!$L:$L,領用表!$E:$E,$B177,領用表!$B:$B,M$2&amp;$P$1)</f>
        <v>0</v>
      </c>
      <c r="N177" s="23">
        <f t="shared" si="14"/>
        <v>0</v>
      </c>
      <c r="O177" s="23">
        <f t="shared" si="15"/>
        <v>0</v>
      </c>
      <c r="P177" s="142">
        <f>SUMIFS(領用表!$L:$L,領用表!$E:$E,$B177,領用表!$B:$B,P$2&amp;$P$1)</f>
        <v>0</v>
      </c>
      <c r="Q177" s="405">
        <f>SUMIFS(領用表!$L:$L,領用表!$E:$E,$B177,領用表!$B:$B,Q$2&amp;$P$1)</f>
        <v>0</v>
      </c>
      <c r="R177" s="405">
        <f>SUMIFS(領用表!$L:$L,領用表!$E:$E,$B177,領用表!$B:$B,R$2&amp;$P$1)</f>
        <v>0</v>
      </c>
      <c r="S177" s="405">
        <f>SUMIFS(領用表!$L:$L,領用表!$E:$E,$B177,領用表!$B:$B,S$2&amp;$P$1)</f>
        <v>0</v>
      </c>
      <c r="T177" s="405">
        <f>SUMIFS(領用表!$L:$L,領用表!$E:$E,$B177,領用表!$B:$B,T$2&amp;$P$1)</f>
        <v>0</v>
      </c>
      <c r="U177" s="405">
        <f>SUMIFS(領用表!$L:$L,領用表!$E:$E,$B177,領用表!$B:$B,U$2&amp;$P$1)</f>
        <v>0</v>
      </c>
      <c r="V177" s="405">
        <f>SUMIFS(領用表!$L:$L,領用表!$E:$E,$B177,領用表!$B:$B,V$2&amp;$P$1)</f>
        <v>0</v>
      </c>
      <c r="W177" s="405">
        <f>SUMIFS(領用表!$L:$L,領用表!$E:$E,$B177,領用表!$B:$B,W$2&amp;$P$1)</f>
        <v>0</v>
      </c>
      <c r="X177" s="405">
        <f>SUMIFS(領用表!$L:$L,領用表!$E:$E,$B177,領用表!$B:$B,X$2&amp;$P$1)</f>
        <v>0</v>
      </c>
      <c r="Y177" s="405">
        <f>SUMIFS(領用表!$L:$L,領用表!$E:$E,$B177,領用表!$B:$B,Y$2&amp;$P$1)</f>
        <v>0</v>
      </c>
      <c r="Z177" s="405">
        <f>SUMIFS(領用表!$L:$L,領用表!$E:$E,$B177,領用表!$B:$B,Z$2&amp;$P$1)</f>
        <v>0</v>
      </c>
      <c r="AA177" s="405">
        <f>SUMIFS(領用表!$L:$L,領用表!$E:$E,$B177,領用表!$B:$B,AA$2&amp;$P$1)</f>
        <v>0</v>
      </c>
      <c r="AB177" s="405">
        <f t="shared" si="12"/>
        <v>0</v>
      </c>
      <c r="AC177" s="405">
        <f t="shared" si="13"/>
        <v>0</v>
      </c>
      <c r="AD177" s="405">
        <f>SUMIF(Summary!B:B,B177,Summary!DV:DV)</f>
        <v>0</v>
      </c>
      <c r="AE177" s="111"/>
      <c r="AF177" s="80"/>
      <c r="AG177" s="76"/>
      <c r="AH177" s="65"/>
    </row>
    <row r="178" spans="1:34" ht="16.5">
      <c r="A178" s="27" t="s">
        <v>218</v>
      </c>
      <c r="B178" s="14" t="e">
        <v>#N/A</v>
      </c>
      <c r="C178" s="136" t="s">
        <v>590</v>
      </c>
      <c r="D178" s="77"/>
      <c r="E178" s="17" t="s">
        <v>15</v>
      </c>
      <c r="F178" s="70"/>
      <c r="G178" s="18"/>
      <c r="H178" s="20">
        <f>SUMIFS(領用表!$L:$L,領用表!$E:$E,$B178,領用表!$B:$B,H$2&amp;$P$1)</f>
        <v>0</v>
      </c>
      <c r="I178" s="20">
        <f>SUMIFS(領用表!$L:$L,領用表!$E:$E,$B178,領用表!$B:$B,I$2&amp;$P$1)</f>
        <v>0</v>
      </c>
      <c r="J178" s="20">
        <f>SUMIFS(領用表!$L:$L,領用表!$E:$E,$B178,領用表!$B:$B,J$2&amp;$P$1)</f>
        <v>0</v>
      </c>
      <c r="K178" s="142">
        <f>SUMIFS(領用表!$L:$L,領用表!$E:$E,$B178,領用表!$B:$B,K$2&amp;$P$1)</f>
        <v>0</v>
      </c>
      <c r="L178" s="142">
        <f>SUMIFS(領用表!$L:$L,領用表!$E:$E,$B178,領用表!$B:$B,L$2&amp;$P$1)</f>
        <v>0</v>
      </c>
      <c r="M178" s="142">
        <f>SUMIFS(領用表!$L:$L,領用表!$E:$E,$B178,領用表!$B:$B,M$2&amp;$P$1)</f>
        <v>0</v>
      </c>
      <c r="N178" s="23">
        <f t="shared" si="14"/>
        <v>0</v>
      </c>
      <c r="O178" s="23">
        <f t="shared" si="15"/>
        <v>0</v>
      </c>
      <c r="P178" s="142">
        <f>SUMIFS(領用表!$L:$L,領用表!$E:$E,$B178,領用表!$B:$B,P$2&amp;$P$1)</f>
        <v>0</v>
      </c>
      <c r="Q178" s="405">
        <f>SUMIFS(領用表!$L:$L,領用表!$E:$E,$B178,領用表!$B:$B,Q$2&amp;$P$1)</f>
        <v>0</v>
      </c>
      <c r="R178" s="405">
        <f>SUMIFS(領用表!$L:$L,領用表!$E:$E,$B178,領用表!$B:$B,R$2&amp;$P$1)</f>
        <v>0</v>
      </c>
      <c r="S178" s="405">
        <f>SUMIFS(領用表!$L:$L,領用表!$E:$E,$B178,領用表!$B:$B,S$2&amp;$P$1)</f>
        <v>0</v>
      </c>
      <c r="T178" s="405">
        <f>SUMIFS(領用表!$L:$L,領用表!$E:$E,$B178,領用表!$B:$B,T$2&amp;$P$1)</f>
        <v>0</v>
      </c>
      <c r="U178" s="405">
        <f>SUMIFS(領用表!$L:$L,領用表!$E:$E,$B178,領用表!$B:$B,U$2&amp;$P$1)</f>
        <v>0</v>
      </c>
      <c r="V178" s="405">
        <f>SUMIFS(領用表!$L:$L,領用表!$E:$E,$B178,領用表!$B:$B,V$2&amp;$P$1)</f>
        <v>0</v>
      </c>
      <c r="W178" s="405">
        <f>SUMIFS(領用表!$L:$L,領用表!$E:$E,$B178,領用表!$B:$B,W$2&amp;$P$1)</f>
        <v>0</v>
      </c>
      <c r="X178" s="405">
        <f>SUMIFS(領用表!$L:$L,領用表!$E:$E,$B178,領用表!$B:$B,X$2&amp;$P$1)</f>
        <v>0</v>
      </c>
      <c r="Y178" s="405">
        <f>SUMIFS(領用表!$L:$L,領用表!$E:$E,$B178,領用表!$B:$B,Y$2&amp;$P$1)</f>
        <v>0</v>
      </c>
      <c r="Z178" s="405">
        <f>SUMIFS(領用表!$L:$L,領用表!$E:$E,$B178,領用表!$B:$B,Z$2&amp;$P$1)</f>
        <v>0</v>
      </c>
      <c r="AA178" s="405">
        <f>SUMIFS(領用表!$L:$L,領用表!$E:$E,$B178,領用表!$B:$B,AA$2&amp;$P$1)</f>
        <v>0</v>
      </c>
      <c r="AB178" s="405">
        <f t="shared" si="12"/>
        <v>0</v>
      </c>
      <c r="AC178" s="405">
        <f t="shared" si="13"/>
        <v>0</v>
      </c>
      <c r="AD178" s="405">
        <f>SUMIF(Summary!B:B,B178,Summary!DV:DV)</f>
        <v>0</v>
      </c>
      <c r="AE178" s="111">
        <v>15</v>
      </c>
      <c r="AF178" s="80"/>
      <c r="AG178" s="65"/>
      <c r="AH178" s="65"/>
    </row>
    <row r="179" spans="1:34" ht="16.5" hidden="1" customHeight="1">
      <c r="A179" s="27" t="s">
        <v>203</v>
      </c>
      <c r="B179" s="14" t="e">
        <v>#N/A</v>
      </c>
      <c r="C179" s="136" t="s">
        <v>635</v>
      </c>
      <c r="D179" s="77"/>
      <c r="E179" s="17" t="s">
        <v>15</v>
      </c>
      <c r="F179" s="70"/>
      <c r="G179" s="18"/>
      <c r="H179" s="20">
        <f>SUMIFS(領用表!$L:$L,領用表!$E:$E,$B179,領用表!$B:$B,H$2&amp;$P$1)</f>
        <v>0</v>
      </c>
      <c r="I179" s="20">
        <f>SUMIFS(領用表!$L:$L,領用表!$E:$E,$B179,領用表!$B:$B,I$2&amp;$P$1)</f>
        <v>0</v>
      </c>
      <c r="J179" s="20">
        <f>SUMIFS(領用表!$L:$L,領用表!$E:$E,$B179,領用表!$B:$B,J$2&amp;$P$1)</f>
        <v>0</v>
      </c>
      <c r="K179" s="142">
        <f>SUMIFS(領用表!$L:$L,領用表!$E:$E,$B179,領用表!$B:$B,K$2&amp;$P$1)</f>
        <v>0</v>
      </c>
      <c r="L179" s="142">
        <f>SUMIFS(領用表!$L:$L,領用表!$E:$E,$B179,領用表!$B:$B,L$2&amp;$P$1)</f>
        <v>0</v>
      </c>
      <c r="M179" s="142">
        <f>SUMIFS(領用表!$L:$L,領用表!$E:$E,$B179,領用表!$B:$B,M$2&amp;$P$1)</f>
        <v>0</v>
      </c>
      <c r="N179" s="23">
        <f t="shared" si="14"/>
        <v>0</v>
      </c>
      <c r="O179" s="23">
        <f t="shared" si="15"/>
        <v>0</v>
      </c>
      <c r="P179" s="142">
        <f>SUMIFS(領用表!$L:$L,領用表!$E:$E,$B179,領用表!$B:$B,P$2&amp;$P$1)</f>
        <v>0</v>
      </c>
      <c r="Q179" s="405">
        <f>SUMIFS(領用表!$L:$L,領用表!$E:$E,$B179,領用表!$B:$B,Q$2&amp;$P$1)</f>
        <v>0</v>
      </c>
      <c r="R179" s="405"/>
      <c r="S179" s="405"/>
      <c r="T179" s="405"/>
      <c r="U179" s="405"/>
      <c r="V179" s="405"/>
      <c r="W179" s="405"/>
      <c r="X179" s="405"/>
      <c r="Y179" s="405"/>
      <c r="Z179" s="405"/>
      <c r="AA179" s="405"/>
      <c r="AB179" s="405">
        <f t="shared" si="12"/>
        <v>0</v>
      </c>
      <c r="AC179" s="405">
        <f t="shared" si="13"/>
        <v>0</v>
      </c>
      <c r="AD179" s="405">
        <f>SUMIF(Summary!B:B,B179,Summary!DV:DV)</f>
        <v>0</v>
      </c>
      <c r="AE179" s="111"/>
      <c r="AF179" s="80"/>
      <c r="AG179" s="65"/>
      <c r="AH179" s="65"/>
    </row>
    <row r="180" spans="1:34" ht="16.5" hidden="1" customHeight="1">
      <c r="A180" s="27" t="s">
        <v>204</v>
      </c>
      <c r="B180" s="14" t="e">
        <v>#N/A</v>
      </c>
      <c r="C180" s="136" t="s">
        <v>576</v>
      </c>
      <c r="D180" s="77"/>
      <c r="E180" s="17" t="s">
        <v>15</v>
      </c>
      <c r="F180" s="70"/>
      <c r="G180" s="18"/>
      <c r="H180" s="20">
        <f>SUMIFS(領用表!$L:$L,領用表!$E:$E,$B180,領用表!$B:$B,H$2&amp;$P$1)</f>
        <v>0</v>
      </c>
      <c r="I180" s="20">
        <f>SUMIFS(領用表!$L:$L,領用表!$E:$E,$B180,領用表!$B:$B,I$2&amp;$P$1)</f>
        <v>0</v>
      </c>
      <c r="J180" s="20">
        <f>SUMIFS(領用表!$L:$L,領用表!$E:$E,$B180,領用表!$B:$B,J$2&amp;$P$1)</f>
        <v>0</v>
      </c>
      <c r="K180" s="142">
        <f>SUMIFS(領用表!$L:$L,領用表!$E:$E,$B180,領用表!$B:$B,K$2&amp;$P$1)</f>
        <v>0</v>
      </c>
      <c r="L180" s="142">
        <f>SUMIFS(領用表!$L:$L,領用表!$E:$E,$B180,領用表!$B:$B,L$2&amp;$P$1)</f>
        <v>0</v>
      </c>
      <c r="M180" s="142">
        <f>SUMIFS(領用表!$L:$L,領用表!$E:$E,$B180,領用表!$B:$B,M$2&amp;$P$1)</f>
        <v>0</v>
      </c>
      <c r="N180" s="23">
        <f t="shared" si="14"/>
        <v>0</v>
      </c>
      <c r="O180" s="23">
        <f t="shared" si="15"/>
        <v>0</v>
      </c>
      <c r="P180" s="142">
        <f>SUMIFS(領用表!$L:$L,領用表!$E:$E,$B180,領用表!$B:$B,P$2&amp;$P$1)</f>
        <v>0</v>
      </c>
      <c r="Q180" s="405">
        <f>SUMIFS(領用表!$L:$L,領用表!$E:$E,$B180,領用表!$B:$B,Q$2&amp;$P$1)</f>
        <v>0</v>
      </c>
      <c r="R180" s="405"/>
      <c r="S180" s="405"/>
      <c r="T180" s="405"/>
      <c r="U180" s="405"/>
      <c r="V180" s="405"/>
      <c r="W180" s="405"/>
      <c r="X180" s="405"/>
      <c r="Y180" s="405"/>
      <c r="Z180" s="405"/>
      <c r="AA180" s="405"/>
      <c r="AB180" s="405">
        <f t="shared" si="12"/>
        <v>0</v>
      </c>
      <c r="AC180" s="405">
        <f t="shared" si="13"/>
        <v>0</v>
      </c>
      <c r="AD180" s="405">
        <f>SUMIF(Summary!B:B,B180,Summary!DV:DV)</f>
        <v>0</v>
      </c>
      <c r="AE180" s="111"/>
      <c r="AF180" s="80"/>
      <c r="AG180" s="65"/>
      <c r="AH180" s="65"/>
    </row>
    <row r="181" spans="1:34" ht="16.5" hidden="1" customHeight="1">
      <c r="A181" s="27" t="s">
        <v>207</v>
      </c>
      <c r="B181" s="14" t="e">
        <v>#N/A</v>
      </c>
      <c r="C181" s="136" t="s">
        <v>579</v>
      </c>
      <c r="D181" s="77"/>
      <c r="E181" s="17" t="s">
        <v>15</v>
      </c>
      <c r="F181" s="70"/>
      <c r="G181" s="18"/>
      <c r="H181" s="20">
        <f>SUMIFS(領用表!$L:$L,領用表!$E:$E,$B181,領用表!$B:$B,H$2&amp;$P$1)</f>
        <v>0</v>
      </c>
      <c r="I181" s="20">
        <f>SUMIFS(領用表!$L:$L,領用表!$E:$E,$B181,領用表!$B:$B,I$2&amp;$P$1)</f>
        <v>0</v>
      </c>
      <c r="J181" s="20">
        <f>SUMIFS(領用表!$L:$L,領用表!$E:$E,$B181,領用表!$B:$B,J$2&amp;$P$1)</f>
        <v>0</v>
      </c>
      <c r="K181" s="142">
        <f>SUMIFS(領用表!$L:$L,領用表!$E:$E,$B181,領用表!$B:$B,K$2&amp;$P$1)</f>
        <v>0</v>
      </c>
      <c r="L181" s="142">
        <f>SUMIFS(領用表!$L:$L,領用表!$E:$E,$B181,領用表!$B:$B,L$2&amp;$P$1)</f>
        <v>0</v>
      </c>
      <c r="M181" s="142">
        <f>SUMIFS(領用表!$L:$L,領用表!$E:$E,$B181,領用表!$B:$B,M$2&amp;$P$1)</f>
        <v>0</v>
      </c>
      <c r="N181" s="23">
        <f t="shared" si="14"/>
        <v>0</v>
      </c>
      <c r="O181" s="23">
        <f t="shared" si="15"/>
        <v>0</v>
      </c>
      <c r="P181" s="142">
        <f>SUMIFS(領用表!$L:$L,領用表!$E:$E,$B181,領用表!$B:$B,P$2&amp;$P$1)</f>
        <v>0</v>
      </c>
      <c r="Q181" s="405">
        <f>SUMIFS(領用表!$L:$L,領用表!$E:$E,$B181,領用表!$B:$B,Q$2&amp;$P$1)</f>
        <v>0</v>
      </c>
      <c r="R181" s="405"/>
      <c r="S181" s="405"/>
      <c r="T181" s="405"/>
      <c r="U181" s="405"/>
      <c r="V181" s="405"/>
      <c r="W181" s="405"/>
      <c r="X181" s="405"/>
      <c r="Y181" s="405"/>
      <c r="Z181" s="405"/>
      <c r="AA181" s="405"/>
      <c r="AB181" s="405">
        <f t="shared" si="12"/>
        <v>0</v>
      </c>
      <c r="AC181" s="405">
        <f t="shared" si="13"/>
        <v>0</v>
      </c>
      <c r="AD181" s="405">
        <f>SUMIF(Summary!B:B,B181,Summary!DV:DV)</f>
        <v>0</v>
      </c>
      <c r="AE181" s="111"/>
      <c r="AF181" s="80"/>
      <c r="AG181" s="65"/>
      <c r="AH181" s="65"/>
    </row>
    <row r="182" spans="1:34" ht="16.5">
      <c r="A182" s="27" t="s">
        <v>219</v>
      </c>
      <c r="B182" s="14" t="e">
        <v>#N/A</v>
      </c>
      <c r="C182" s="136" t="s">
        <v>591</v>
      </c>
      <c r="D182" s="77"/>
      <c r="E182" s="17" t="s">
        <v>15</v>
      </c>
      <c r="F182" s="70"/>
      <c r="G182" s="18"/>
      <c r="H182" s="20">
        <f>SUMIFS(領用表!$L:$L,領用表!$E:$E,$B182,領用表!$B:$B,H$2&amp;$P$1)</f>
        <v>0</v>
      </c>
      <c r="I182" s="20">
        <f>SUMIFS(領用表!$L:$L,領用表!$E:$E,$B182,領用表!$B:$B,I$2&amp;$P$1)</f>
        <v>0</v>
      </c>
      <c r="J182" s="20">
        <f>SUMIFS(領用表!$L:$L,領用表!$E:$E,$B182,領用表!$B:$B,J$2&amp;$P$1)</f>
        <v>0</v>
      </c>
      <c r="K182" s="142">
        <f>SUMIFS(領用表!$L:$L,領用表!$E:$E,$B182,領用表!$B:$B,K$2&amp;$P$1)</f>
        <v>0</v>
      </c>
      <c r="L182" s="142">
        <f>SUMIFS(領用表!$L:$L,領用表!$E:$E,$B182,領用表!$B:$B,L$2&amp;$P$1)</f>
        <v>0</v>
      </c>
      <c r="M182" s="142">
        <f>SUMIFS(領用表!$L:$L,領用表!$E:$E,$B182,領用表!$B:$B,M$2&amp;$P$1)</f>
        <v>0</v>
      </c>
      <c r="N182" s="23">
        <f t="shared" si="14"/>
        <v>0</v>
      </c>
      <c r="O182" s="23">
        <f t="shared" si="15"/>
        <v>0</v>
      </c>
      <c r="P182" s="142">
        <f>SUMIFS(領用表!$L:$L,領用表!$E:$E,$B182,領用表!$B:$B,P$2&amp;$P$1)</f>
        <v>0</v>
      </c>
      <c r="Q182" s="405">
        <f>SUMIFS(領用表!$L:$L,領用表!$E:$E,$B182,領用表!$B:$B,Q$2&amp;$P$1)</f>
        <v>0</v>
      </c>
      <c r="R182" s="405">
        <f>SUMIFS(領用表!$L:$L,領用表!$E:$E,$B182,領用表!$B:$B,R$2&amp;$P$1)</f>
        <v>0</v>
      </c>
      <c r="S182" s="405">
        <f>SUMIFS(領用表!$L:$L,領用表!$E:$E,$B182,領用表!$B:$B,S$2&amp;$P$1)</f>
        <v>0</v>
      </c>
      <c r="T182" s="405">
        <f>SUMIFS(領用表!$L:$L,領用表!$E:$E,$B182,領用表!$B:$B,T$2&amp;$P$1)</f>
        <v>0</v>
      </c>
      <c r="U182" s="405">
        <f>SUMIFS(領用表!$L:$L,領用表!$E:$E,$B182,領用表!$B:$B,U$2&amp;$P$1)</f>
        <v>0</v>
      </c>
      <c r="V182" s="405">
        <f>SUMIFS(領用表!$L:$L,領用表!$E:$E,$B182,領用表!$B:$B,V$2&amp;$P$1)</f>
        <v>0</v>
      </c>
      <c r="W182" s="405">
        <f>SUMIFS(領用表!$L:$L,領用表!$E:$E,$B182,領用表!$B:$B,W$2&amp;$P$1)</f>
        <v>0</v>
      </c>
      <c r="X182" s="405">
        <f>SUMIFS(領用表!$L:$L,領用表!$E:$E,$B182,領用表!$B:$B,X$2&amp;$P$1)</f>
        <v>0</v>
      </c>
      <c r="Y182" s="405">
        <f>SUMIFS(領用表!$L:$L,領用表!$E:$E,$B182,領用表!$B:$B,Y$2&amp;$P$1)</f>
        <v>0</v>
      </c>
      <c r="Z182" s="405">
        <f>SUMIFS(領用表!$L:$L,領用表!$E:$E,$B182,領用表!$B:$B,Z$2&amp;$P$1)</f>
        <v>0</v>
      </c>
      <c r="AA182" s="405">
        <f>SUMIFS(領用表!$L:$L,領用表!$E:$E,$B182,領用表!$B:$B,AA$2&amp;$P$1)</f>
        <v>0</v>
      </c>
      <c r="AB182" s="405">
        <f t="shared" si="12"/>
        <v>0</v>
      </c>
      <c r="AC182" s="405">
        <f t="shared" si="13"/>
        <v>0</v>
      </c>
      <c r="AD182" s="405">
        <f>SUMIF(Summary!B:B,B182,Summary!DV:DV)</f>
        <v>0</v>
      </c>
      <c r="AE182" s="111">
        <v>0</v>
      </c>
      <c r="AF182" s="80"/>
      <c r="AG182" s="65"/>
      <c r="AH182" s="65"/>
    </row>
    <row r="183" spans="1:34" ht="16.5">
      <c r="A183" s="27" t="s">
        <v>220</v>
      </c>
      <c r="B183" s="14" t="e">
        <v>#N/A</v>
      </c>
      <c r="C183" s="136" t="s">
        <v>592</v>
      </c>
      <c r="D183" s="77"/>
      <c r="E183" s="17" t="s">
        <v>15</v>
      </c>
      <c r="F183" s="70"/>
      <c r="G183" s="18"/>
      <c r="H183" s="20">
        <f>SUMIFS(領用表!$L:$L,領用表!$E:$E,$B183,領用表!$B:$B,H$2&amp;$P$1)</f>
        <v>0</v>
      </c>
      <c r="I183" s="20">
        <f>SUMIFS(領用表!$L:$L,領用表!$E:$E,$B183,領用表!$B:$B,I$2&amp;$P$1)</f>
        <v>0</v>
      </c>
      <c r="J183" s="20">
        <f>SUMIFS(領用表!$L:$L,領用表!$E:$E,$B183,領用表!$B:$B,J$2&amp;$P$1)</f>
        <v>0</v>
      </c>
      <c r="K183" s="142">
        <f>SUMIFS(領用表!$L:$L,領用表!$E:$E,$B183,領用表!$B:$B,K$2&amp;$P$1)</f>
        <v>0</v>
      </c>
      <c r="L183" s="142">
        <f>SUMIFS(領用表!$L:$L,領用表!$E:$E,$B183,領用表!$B:$B,L$2&amp;$P$1)</f>
        <v>0</v>
      </c>
      <c r="M183" s="142">
        <f>SUMIFS(領用表!$L:$L,領用表!$E:$E,$B183,領用表!$B:$B,M$2&amp;$P$1)</f>
        <v>0</v>
      </c>
      <c r="N183" s="23">
        <f t="shared" si="14"/>
        <v>0</v>
      </c>
      <c r="O183" s="23">
        <f t="shared" si="15"/>
        <v>0</v>
      </c>
      <c r="P183" s="142">
        <f>SUMIFS(領用表!$L:$L,領用表!$E:$E,$B183,領用表!$B:$B,P$2&amp;$P$1)</f>
        <v>0</v>
      </c>
      <c r="Q183" s="405">
        <f>SUMIFS(領用表!$L:$L,領用表!$E:$E,$B183,領用表!$B:$B,Q$2&amp;$P$1)</f>
        <v>0</v>
      </c>
      <c r="R183" s="405">
        <f>SUMIFS(領用表!$L:$L,領用表!$E:$E,$B183,領用表!$B:$B,R$2&amp;$P$1)</f>
        <v>0</v>
      </c>
      <c r="S183" s="405">
        <f>SUMIFS(領用表!$L:$L,領用表!$E:$E,$B183,領用表!$B:$B,S$2&amp;$P$1)</f>
        <v>0</v>
      </c>
      <c r="T183" s="405">
        <f>SUMIFS(領用表!$L:$L,領用表!$E:$E,$B183,領用表!$B:$B,T$2&amp;$P$1)</f>
        <v>0</v>
      </c>
      <c r="U183" s="405">
        <f>SUMIFS(領用表!$L:$L,領用表!$E:$E,$B183,領用表!$B:$B,U$2&amp;$P$1)</f>
        <v>0</v>
      </c>
      <c r="V183" s="405">
        <f>SUMIFS(領用表!$L:$L,領用表!$E:$E,$B183,領用表!$B:$B,V$2&amp;$P$1)</f>
        <v>0</v>
      </c>
      <c r="W183" s="405">
        <f>SUMIFS(領用表!$L:$L,領用表!$E:$E,$B183,領用表!$B:$B,W$2&amp;$P$1)</f>
        <v>0</v>
      </c>
      <c r="X183" s="405">
        <f>SUMIFS(領用表!$L:$L,領用表!$E:$E,$B183,領用表!$B:$B,X$2&amp;$P$1)</f>
        <v>0</v>
      </c>
      <c r="Y183" s="405">
        <f>SUMIFS(領用表!$L:$L,領用表!$E:$E,$B183,領用表!$B:$B,Y$2&amp;$P$1)</f>
        <v>0</v>
      </c>
      <c r="Z183" s="405">
        <f>SUMIFS(領用表!$L:$L,領用表!$E:$E,$B183,領用表!$B:$B,Z$2&amp;$P$1)</f>
        <v>0</v>
      </c>
      <c r="AA183" s="405">
        <f>SUMIFS(領用表!$L:$L,領用表!$E:$E,$B183,領用表!$B:$B,AA$2&amp;$P$1)</f>
        <v>0</v>
      </c>
      <c r="AB183" s="405">
        <f t="shared" si="12"/>
        <v>0</v>
      </c>
      <c r="AC183" s="405">
        <f t="shared" si="13"/>
        <v>0</v>
      </c>
      <c r="AD183" s="405">
        <f>SUMIF(Summary!B:B,B183,Summary!DV:DV)</f>
        <v>0</v>
      </c>
      <c r="AE183" s="111">
        <v>0</v>
      </c>
      <c r="AF183" s="80"/>
      <c r="AG183" s="76"/>
      <c r="AH183" s="76" t="s">
        <v>221</v>
      </c>
    </row>
    <row r="184" spans="1:34" ht="16.5">
      <c r="A184" s="27" t="s">
        <v>222</v>
      </c>
      <c r="B184" s="14" t="e">
        <v>#N/A</v>
      </c>
      <c r="C184" s="136" t="s">
        <v>588</v>
      </c>
      <c r="D184" s="77"/>
      <c r="E184" s="17" t="s">
        <v>15</v>
      </c>
      <c r="F184" s="70"/>
      <c r="G184" s="18"/>
      <c r="H184" s="20">
        <f>SUMIFS(領用表!$L:$L,領用表!$E:$E,$B184,領用表!$B:$B,H$2&amp;$P$1)</f>
        <v>0</v>
      </c>
      <c r="I184" s="20">
        <f>SUMIFS(領用表!$L:$L,領用表!$E:$E,$B184,領用表!$B:$B,I$2&amp;$P$1)</f>
        <v>0</v>
      </c>
      <c r="J184" s="20">
        <f>SUMIFS(領用表!$L:$L,領用表!$E:$E,$B184,領用表!$B:$B,J$2&amp;$P$1)</f>
        <v>0</v>
      </c>
      <c r="K184" s="142">
        <f>SUMIFS(領用表!$L:$L,領用表!$E:$E,$B184,領用表!$B:$B,K$2&amp;$P$1)</f>
        <v>0</v>
      </c>
      <c r="L184" s="142">
        <f>SUMIFS(領用表!$L:$L,領用表!$E:$E,$B184,領用表!$B:$B,L$2&amp;$P$1)</f>
        <v>0</v>
      </c>
      <c r="M184" s="142">
        <f>SUMIFS(領用表!$L:$L,領用表!$E:$E,$B184,領用表!$B:$B,M$2&amp;$P$1)</f>
        <v>0</v>
      </c>
      <c r="N184" s="23">
        <f t="shared" si="14"/>
        <v>0</v>
      </c>
      <c r="O184" s="23">
        <f t="shared" si="15"/>
        <v>0</v>
      </c>
      <c r="P184" s="142">
        <f>SUMIFS(領用表!$L:$L,領用表!$E:$E,$B184,領用表!$B:$B,P$2&amp;$P$1)</f>
        <v>0</v>
      </c>
      <c r="Q184" s="405">
        <f>SUMIFS(領用表!$L:$L,領用表!$E:$E,$B184,領用表!$B:$B,Q$2&amp;$P$1)</f>
        <v>0</v>
      </c>
      <c r="R184" s="405">
        <f>SUMIFS(領用表!$L:$L,領用表!$E:$E,$B184,領用表!$B:$B,R$2&amp;$P$1)</f>
        <v>0</v>
      </c>
      <c r="S184" s="405">
        <f>SUMIFS(領用表!$L:$L,領用表!$E:$E,$B184,領用表!$B:$B,S$2&amp;$P$1)</f>
        <v>0</v>
      </c>
      <c r="T184" s="405">
        <f>SUMIFS(領用表!$L:$L,領用表!$E:$E,$B184,領用表!$B:$B,T$2&amp;$P$1)</f>
        <v>0</v>
      </c>
      <c r="U184" s="405">
        <f>SUMIFS(領用表!$L:$L,領用表!$E:$E,$B184,領用表!$B:$B,U$2&amp;$P$1)</f>
        <v>0</v>
      </c>
      <c r="V184" s="405">
        <f>SUMIFS(領用表!$L:$L,領用表!$E:$E,$B184,領用表!$B:$B,V$2&amp;$P$1)</f>
        <v>0</v>
      </c>
      <c r="W184" s="405">
        <f>SUMIFS(領用表!$L:$L,領用表!$E:$E,$B184,領用表!$B:$B,W$2&amp;$P$1)</f>
        <v>0</v>
      </c>
      <c r="X184" s="405">
        <f>SUMIFS(領用表!$L:$L,領用表!$E:$E,$B184,領用表!$B:$B,X$2&amp;$P$1)</f>
        <v>0</v>
      </c>
      <c r="Y184" s="405">
        <f>SUMIFS(領用表!$L:$L,領用表!$E:$E,$B184,領用表!$B:$B,Y$2&amp;$P$1)</f>
        <v>0</v>
      </c>
      <c r="Z184" s="405">
        <f>SUMIFS(領用表!$L:$L,領用表!$E:$E,$B184,領用表!$B:$B,Z$2&amp;$P$1)</f>
        <v>0</v>
      </c>
      <c r="AA184" s="405">
        <f>SUMIFS(領用表!$L:$L,領用表!$E:$E,$B184,領用表!$B:$B,AA$2&amp;$P$1)</f>
        <v>0</v>
      </c>
      <c r="AB184" s="405">
        <f t="shared" si="12"/>
        <v>0</v>
      </c>
      <c r="AC184" s="405">
        <f t="shared" si="13"/>
        <v>0</v>
      </c>
      <c r="AD184" s="405">
        <f>SUMIF(Summary!B:B,B184,Summary!DV:DV)</f>
        <v>0</v>
      </c>
      <c r="AE184" s="111">
        <v>0</v>
      </c>
      <c r="AF184" s="80"/>
      <c r="AG184" s="76"/>
      <c r="AH184" s="76" t="s">
        <v>223</v>
      </c>
    </row>
    <row r="185" spans="1:34" ht="16.5">
      <c r="A185" s="27" t="s">
        <v>224</v>
      </c>
      <c r="B185" s="14" t="e">
        <v>#N/A</v>
      </c>
      <c r="C185" s="136" t="s">
        <v>593</v>
      </c>
      <c r="D185" s="77"/>
      <c r="E185" s="17" t="s">
        <v>15</v>
      </c>
      <c r="F185" s="70"/>
      <c r="G185" s="18"/>
      <c r="H185" s="20">
        <f>SUMIFS(領用表!$L:$L,領用表!$E:$E,$B185,領用表!$B:$B,H$2&amp;$P$1)</f>
        <v>0</v>
      </c>
      <c r="I185" s="20">
        <f>SUMIFS(領用表!$L:$L,領用表!$E:$E,$B185,領用表!$B:$B,I$2&amp;$P$1)</f>
        <v>0</v>
      </c>
      <c r="J185" s="20">
        <f>SUMIFS(領用表!$L:$L,領用表!$E:$E,$B185,領用表!$B:$B,J$2&amp;$P$1)</f>
        <v>0</v>
      </c>
      <c r="K185" s="142">
        <f>SUMIFS(領用表!$L:$L,領用表!$E:$E,$B185,領用表!$B:$B,K$2&amp;$P$1)</f>
        <v>0</v>
      </c>
      <c r="L185" s="142">
        <f>SUMIFS(領用表!$L:$L,領用表!$E:$E,$B185,領用表!$B:$B,L$2&amp;$P$1)</f>
        <v>0</v>
      </c>
      <c r="M185" s="142">
        <f>SUMIFS(領用表!$L:$L,領用表!$E:$E,$B185,領用表!$B:$B,M$2&amp;$P$1)</f>
        <v>0</v>
      </c>
      <c r="N185" s="23">
        <f t="shared" si="14"/>
        <v>0</v>
      </c>
      <c r="O185" s="23">
        <f t="shared" si="15"/>
        <v>0</v>
      </c>
      <c r="P185" s="142">
        <f>SUMIFS(領用表!$L:$L,領用表!$E:$E,$B185,領用表!$B:$B,P$2&amp;$P$1)</f>
        <v>0</v>
      </c>
      <c r="Q185" s="405">
        <f>SUMIFS(領用表!$L:$L,領用表!$E:$E,$B185,領用表!$B:$B,Q$2&amp;$P$1)</f>
        <v>0</v>
      </c>
      <c r="R185" s="405">
        <f>SUMIFS(領用表!$L:$L,領用表!$E:$E,$B185,領用表!$B:$B,R$2&amp;$P$1)</f>
        <v>0</v>
      </c>
      <c r="S185" s="405">
        <f>SUMIFS(領用表!$L:$L,領用表!$E:$E,$B185,領用表!$B:$B,S$2&amp;$P$1)</f>
        <v>0</v>
      </c>
      <c r="T185" s="405">
        <f>SUMIFS(領用表!$L:$L,領用表!$E:$E,$B185,領用表!$B:$B,T$2&amp;$P$1)</f>
        <v>0</v>
      </c>
      <c r="U185" s="405">
        <f>SUMIFS(領用表!$L:$L,領用表!$E:$E,$B185,領用表!$B:$B,U$2&amp;$P$1)</f>
        <v>0</v>
      </c>
      <c r="V185" s="405">
        <f>SUMIFS(領用表!$L:$L,領用表!$E:$E,$B185,領用表!$B:$B,V$2&amp;$P$1)</f>
        <v>0</v>
      </c>
      <c r="W185" s="405">
        <f>SUMIFS(領用表!$L:$L,領用表!$E:$E,$B185,領用表!$B:$B,W$2&amp;$P$1)</f>
        <v>0</v>
      </c>
      <c r="X185" s="405">
        <f>SUMIFS(領用表!$L:$L,領用表!$E:$E,$B185,領用表!$B:$B,X$2&amp;$P$1)</f>
        <v>0</v>
      </c>
      <c r="Y185" s="405">
        <f>SUMIFS(領用表!$L:$L,領用表!$E:$E,$B185,領用表!$B:$B,Y$2&amp;$P$1)</f>
        <v>0</v>
      </c>
      <c r="Z185" s="405">
        <f>SUMIFS(領用表!$L:$L,領用表!$E:$E,$B185,領用表!$B:$B,Z$2&amp;$P$1)</f>
        <v>0</v>
      </c>
      <c r="AA185" s="405">
        <f>SUMIFS(領用表!$L:$L,領用表!$E:$E,$B185,領用表!$B:$B,AA$2&amp;$P$1)</f>
        <v>0</v>
      </c>
      <c r="AB185" s="405">
        <f t="shared" si="12"/>
        <v>0</v>
      </c>
      <c r="AC185" s="405">
        <f t="shared" si="13"/>
        <v>0</v>
      </c>
      <c r="AD185" s="405">
        <f>SUMIF(Summary!B:B,B185,Summary!DV:DV)</f>
        <v>0</v>
      </c>
      <c r="AE185" s="111">
        <v>0</v>
      </c>
      <c r="AF185" s="80"/>
      <c r="AG185" s="76"/>
      <c r="AH185" s="76"/>
    </row>
    <row r="186" spans="1:34" ht="16.5">
      <c r="A186" s="27" t="s">
        <v>225</v>
      </c>
      <c r="B186" s="14" t="e">
        <v>#N/A</v>
      </c>
      <c r="C186" s="136" t="s">
        <v>594</v>
      </c>
      <c r="D186" s="77"/>
      <c r="E186" s="17" t="s">
        <v>15</v>
      </c>
      <c r="F186" s="70"/>
      <c r="G186" s="18"/>
      <c r="H186" s="20">
        <f>SUMIFS(領用表!$L:$L,領用表!$E:$E,$B186,領用表!$B:$B,H$2&amp;$P$1)</f>
        <v>0</v>
      </c>
      <c r="I186" s="20">
        <f>SUMIFS(領用表!$L:$L,領用表!$E:$E,$B186,領用表!$B:$B,I$2&amp;$P$1)</f>
        <v>0</v>
      </c>
      <c r="J186" s="20">
        <f>SUMIFS(領用表!$L:$L,領用表!$E:$E,$B186,領用表!$B:$B,J$2&amp;$P$1)</f>
        <v>0</v>
      </c>
      <c r="K186" s="142">
        <f>SUMIFS(領用表!$L:$L,領用表!$E:$E,$B186,領用表!$B:$B,K$2&amp;$P$1)</f>
        <v>0</v>
      </c>
      <c r="L186" s="142">
        <f>SUMIFS(領用表!$L:$L,領用表!$E:$E,$B186,領用表!$B:$B,L$2&amp;$P$1)</f>
        <v>0</v>
      </c>
      <c r="M186" s="142">
        <f>SUMIFS(領用表!$L:$L,領用表!$E:$E,$B186,領用表!$B:$B,M$2&amp;$P$1)</f>
        <v>0</v>
      </c>
      <c r="N186" s="23">
        <f t="shared" si="14"/>
        <v>0</v>
      </c>
      <c r="O186" s="23">
        <f t="shared" si="15"/>
        <v>0</v>
      </c>
      <c r="P186" s="142">
        <f>SUMIFS(領用表!$L:$L,領用表!$E:$E,$B186,領用表!$B:$B,P$2&amp;$P$1)</f>
        <v>0</v>
      </c>
      <c r="Q186" s="405">
        <f>SUMIFS(領用表!$L:$L,領用表!$E:$E,$B186,領用表!$B:$B,Q$2&amp;$P$1)</f>
        <v>0</v>
      </c>
      <c r="R186" s="405">
        <f>SUMIFS(領用表!$L:$L,領用表!$E:$E,$B186,領用表!$B:$B,R$2&amp;$P$1)</f>
        <v>0</v>
      </c>
      <c r="S186" s="405">
        <f>SUMIFS(領用表!$L:$L,領用表!$E:$E,$B186,領用表!$B:$B,S$2&amp;$P$1)</f>
        <v>0</v>
      </c>
      <c r="T186" s="405">
        <f>SUMIFS(領用表!$L:$L,領用表!$E:$E,$B186,領用表!$B:$B,T$2&amp;$P$1)</f>
        <v>0</v>
      </c>
      <c r="U186" s="405">
        <f>SUMIFS(領用表!$L:$L,領用表!$E:$E,$B186,領用表!$B:$B,U$2&amp;$P$1)</f>
        <v>0</v>
      </c>
      <c r="V186" s="405">
        <f>SUMIFS(領用表!$L:$L,領用表!$E:$E,$B186,領用表!$B:$B,V$2&amp;$P$1)</f>
        <v>0</v>
      </c>
      <c r="W186" s="405">
        <f>SUMIFS(領用表!$L:$L,領用表!$E:$E,$B186,領用表!$B:$B,W$2&amp;$P$1)</f>
        <v>0</v>
      </c>
      <c r="X186" s="405">
        <f>SUMIFS(領用表!$L:$L,領用表!$E:$E,$B186,領用表!$B:$B,X$2&amp;$P$1)</f>
        <v>0</v>
      </c>
      <c r="Y186" s="405">
        <f>SUMIFS(領用表!$L:$L,領用表!$E:$E,$B186,領用表!$B:$B,Y$2&amp;$P$1)</f>
        <v>0</v>
      </c>
      <c r="Z186" s="405">
        <f>SUMIFS(領用表!$L:$L,領用表!$E:$E,$B186,領用表!$B:$B,Z$2&amp;$P$1)</f>
        <v>0</v>
      </c>
      <c r="AA186" s="405">
        <f>SUMIFS(領用表!$L:$L,領用表!$E:$E,$B186,領用表!$B:$B,AA$2&amp;$P$1)</f>
        <v>0</v>
      </c>
      <c r="AB186" s="405">
        <f t="shared" si="12"/>
        <v>0</v>
      </c>
      <c r="AC186" s="405">
        <f t="shared" si="13"/>
        <v>0</v>
      </c>
      <c r="AD186" s="405">
        <f>SUMIF(Summary!B:B,B186,Summary!DV:DV)</f>
        <v>0</v>
      </c>
      <c r="AE186" s="111">
        <v>0</v>
      </c>
      <c r="AF186" s="80"/>
      <c r="AG186" s="76"/>
      <c r="AH186" s="76"/>
    </row>
    <row r="187" spans="1:34" ht="16.5">
      <c r="B187" s="14">
        <v>6080011</v>
      </c>
      <c r="C187" s="136" t="s">
        <v>887</v>
      </c>
      <c r="D187" s="77"/>
      <c r="E187" s="17" t="s">
        <v>15</v>
      </c>
      <c r="F187" s="85"/>
      <c r="G187" s="18"/>
      <c r="P187" s="142">
        <f>SUMIFS(領用表!$L:$L,領用表!$E:$E,$B187,領用表!$B:$B,P$2&amp;$P$1)</f>
        <v>0</v>
      </c>
      <c r="Q187" s="405">
        <f>SUMIFS(領用表!$L:$L,領用表!$E:$E,$B187,領用表!$B:$B,Q$2&amp;$P$1)</f>
        <v>0</v>
      </c>
      <c r="R187" s="405">
        <f>SUMIFS(領用表!$L:$L,領用表!$E:$E,$B187,領用表!$B:$B,R$2&amp;$P$1)</f>
        <v>0</v>
      </c>
      <c r="S187" s="405">
        <f>SUMIFS(領用表!$L:$L,領用表!$E:$E,$B187,領用表!$B:$B,S$2&amp;$P$1)</f>
        <v>0</v>
      </c>
      <c r="T187" s="405">
        <f>SUMIFS(領用表!$L:$L,領用表!$E:$E,$B187,領用表!$B:$B,T$2&amp;$P$1)</f>
        <v>0</v>
      </c>
      <c r="U187" s="405">
        <f>SUMIFS(領用表!$L:$L,領用表!$E:$E,$B187,領用表!$B:$B,U$2&amp;$P$1)</f>
        <v>0</v>
      </c>
      <c r="V187" s="405">
        <f>SUMIFS(領用表!$L:$L,領用表!$E:$E,$B187,領用表!$B:$B,V$2&amp;$P$1)</f>
        <v>0</v>
      </c>
      <c r="W187" s="405">
        <f>SUMIFS(領用表!$L:$L,領用表!$E:$E,$B187,領用表!$B:$B,W$2&amp;$P$1)</f>
        <v>0</v>
      </c>
      <c r="X187" s="405">
        <f>SUMIFS(領用表!$L:$L,領用表!$E:$E,$B187,領用表!$B:$B,X$2&amp;$P$1)</f>
        <v>0</v>
      </c>
      <c r="Y187" s="405">
        <f>SUMIFS(領用表!$L:$L,領用表!$E:$E,$B187,領用表!$B:$B,Y$2&amp;$P$1)</f>
        <v>0</v>
      </c>
      <c r="Z187" s="405">
        <f>SUMIFS(領用表!$L:$L,領用表!$E:$E,$B187,領用表!$B:$B,Z$2&amp;$P$1)</f>
        <v>0</v>
      </c>
      <c r="AA187" s="405">
        <f>SUMIFS(領用表!$L:$L,領用表!$E:$E,$B187,領用表!$B:$B,AA$2&amp;$P$1)</f>
        <v>0</v>
      </c>
      <c r="AB187" s="405">
        <f t="shared" si="12"/>
        <v>0</v>
      </c>
      <c r="AC187" s="405">
        <f t="shared" si="13"/>
        <v>0</v>
      </c>
    </row>
    <row r="188" spans="1:34" ht="16.5">
      <c r="B188" s="14">
        <v>6080012</v>
      </c>
      <c r="C188" s="136" t="s">
        <v>890</v>
      </c>
      <c r="D188" s="77"/>
      <c r="E188" s="17" t="s">
        <v>891</v>
      </c>
      <c r="F188" s="85"/>
      <c r="G188" s="18">
        <v>1100</v>
      </c>
      <c r="P188" s="142">
        <f>SUMIFS(領用表!$L:$L,領用表!$E:$E,$B188,領用表!$B:$B,P$2&amp;$P$1)</f>
        <v>0</v>
      </c>
      <c r="Q188" s="405">
        <f>SUMIFS(領用表!$L:$L,領用表!$E:$E,$B188,領用表!$B:$B,Q$2&amp;$P$1)</f>
        <v>0</v>
      </c>
      <c r="R188" s="405">
        <f>SUMIFS(領用表!$L:$L,領用表!$E:$E,$B188,領用表!$B:$B,R$2&amp;$P$1)</f>
        <v>0</v>
      </c>
      <c r="S188" s="405">
        <f>SUMIFS(領用表!$L:$L,領用表!$E:$E,$B188,領用表!$B:$B,S$2&amp;$P$1)</f>
        <v>250</v>
      </c>
      <c r="T188" s="405">
        <f>SUMIFS(領用表!$L:$L,領用表!$E:$E,$B188,領用表!$B:$B,T$2&amp;$P$1)</f>
        <v>650</v>
      </c>
      <c r="U188" s="405">
        <f>SUMIFS(領用表!$L:$L,領用表!$E:$E,$B188,領用表!$B:$B,U$2&amp;$P$1)</f>
        <v>0</v>
      </c>
      <c r="V188" s="405">
        <f>SUMIFS(領用表!$L:$L,領用表!$E:$E,$B188,領用表!$B:$B,V$2&amp;$P$1)</f>
        <v>0</v>
      </c>
      <c r="W188" s="405">
        <f>SUMIFS(領用表!$L:$L,領用表!$E:$E,$B188,領用表!$B:$B,W$2&amp;$P$1)</f>
        <v>0</v>
      </c>
      <c r="X188" s="405">
        <f>SUMIFS(領用表!$L:$L,領用表!$E:$E,$B188,領用表!$B:$B,X$2&amp;$P$1)</f>
        <v>0</v>
      </c>
      <c r="Y188" s="405">
        <f>SUMIFS(領用表!$L:$L,領用表!$E:$E,$B188,領用表!$B:$B,Y$2&amp;$P$1)</f>
        <v>0</v>
      </c>
      <c r="Z188" s="405">
        <f>SUMIFS(領用表!$L:$L,領用表!$E:$E,$B188,領用表!$B:$B,Z$2&amp;$P$1)</f>
        <v>0</v>
      </c>
      <c r="AA188" s="405">
        <f>SUMIFS(領用表!$L:$L,領用表!$E:$E,$B188,領用表!$B:$B,AA$2&amp;$P$1)</f>
        <v>0</v>
      </c>
      <c r="AB188" s="405">
        <f t="shared" si="12"/>
        <v>900</v>
      </c>
      <c r="AC188" s="405">
        <f>AVERAGE(Q188,R188,S188,T188)</f>
        <v>225</v>
      </c>
    </row>
    <row r="189" spans="1:34" ht="13.5">
      <c r="D189" s="11"/>
      <c r="E189" s="79"/>
      <c r="F189" s="85"/>
      <c r="G189" s="85"/>
    </row>
    <row r="190" spans="1:34" ht="13.5">
      <c r="D190" s="11"/>
      <c r="E190" s="79"/>
      <c r="F190" s="85"/>
      <c r="G190" s="85"/>
    </row>
    <row r="191" spans="1:34" ht="13.5">
      <c r="D191" s="11"/>
      <c r="E191" s="79"/>
      <c r="F191" s="85"/>
      <c r="G191" s="85"/>
    </row>
    <row r="192" spans="1:34" ht="13.5">
      <c r="D192" s="11"/>
      <c r="E192" s="79"/>
      <c r="F192" s="85"/>
      <c r="G192" s="85"/>
    </row>
    <row r="193" spans="4:7" ht="13.5">
      <c r="D193" s="11"/>
      <c r="E193" s="79"/>
      <c r="F193" s="85"/>
      <c r="G193" s="85"/>
    </row>
    <row r="194" spans="4:7" ht="13.5">
      <c r="D194" s="11"/>
      <c r="E194" s="79"/>
      <c r="F194" s="85"/>
      <c r="G194" s="85"/>
    </row>
    <row r="195" spans="4:7" ht="13.5">
      <c r="D195" s="11"/>
      <c r="E195" s="79"/>
      <c r="F195" s="85"/>
      <c r="G195" s="85"/>
    </row>
    <row r="196" spans="4:7" ht="13.5">
      <c r="D196" s="11"/>
      <c r="E196" s="79"/>
      <c r="F196" s="85"/>
      <c r="G196" s="85"/>
    </row>
    <row r="197" spans="4:7" ht="13.5">
      <c r="D197" s="11"/>
      <c r="E197" s="79"/>
      <c r="F197" s="85"/>
      <c r="G197" s="85"/>
    </row>
    <row r="198" spans="4:7" ht="13.5">
      <c r="D198" s="11"/>
      <c r="E198" s="86"/>
      <c r="F198" s="85"/>
      <c r="G198" s="85"/>
    </row>
    <row r="199" spans="4:7" ht="13.5">
      <c r="D199" s="11"/>
      <c r="E199" s="86"/>
      <c r="F199" s="85"/>
      <c r="G199" s="85"/>
    </row>
    <row r="200" spans="4:7" ht="13.5">
      <c r="D200" s="11"/>
      <c r="E200" s="86"/>
      <c r="F200" s="85"/>
      <c r="G200" s="85"/>
    </row>
    <row r="201" spans="4:7" ht="13.5">
      <c r="D201" s="11"/>
      <c r="E201" s="86"/>
      <c r="F201" s="85"/>
      <c r="G201" s="85"/>
    </row>
    <row r="202" spans="4:7" ht="13.5">
      <c r="D202" s="11"/>
      <c r="E202" s="86"/>
      <c r="F202" s="85"/>
      <c r="G202" s="85"/>
    </row>
    <row r="203" spans="4:7" ht="13.5">
      <c r="D203" s="11"/>
      <c r="E203" s="86"/>
      <c r="F203" s="85"/>
      <c r="G203" s="85"/>
    </row>
    <row r="204" spans="4:7" ht="13.5">
      <c r="D204" s="11"/>
      <c r="E204" s="86"/>
      <c r="F204" s="85"/>
      <c r="G204" s="85"/>
    </row>
    <row r="205" spans="4:7" ht="13.5">
      <c r="D205" s="11"/>
      <c r="E205" s="86"/>
      <c r="F205" s="85"/>
      <c r="G205" s="85"/>
    </row>
    <row r="206" spans="4:7" ht="13.5">
      <c r="D206" s="11"/>
      <c r="E206" s="86"/>
      <c r="F206" s="85"/>
      <c r="G206" s="85"/>
    </row>
    <row r="207" spans="4:7" ht="13.5">
      <c r="D207" s="11"/>
      <c r="E207" s="86"/>
      <c r="F207" s="85"/>
      <c r="G207" s="85"/>
    </row>
    <row r="208" spans="4:7" ht="13.5">
      <c r="D208" s="11"/>
      <c r="E208" s="86"/>
      <c r="F208" s="85"/>
      <c r="G208" s="85"/>
    </row>
    <row r="209" spans="4:7" ht="13.5">
      <c r="D209" s="11"/>
      <c r="E209" s="86"/>
      <c r="F209" s="85"/>
      <c r="G209" s="85"/>
    </row>
    <row r="210" spans="4:7" ht="13.5">
      <c r="D210" s="11"/>
      <c r="E210" s="86"/>
      <c r="F210" s="85"/>
      <c r="G210" s="85"/>
    </row>
    <row r="211" spans="4:7" ht="13.5">
      <c r="D211" s="11"/>
      <c r="E211" s="86"/>
      <c r="F211" s="85"/>
      <c r="G211" s="85"/>
    </row>
    <row r="212" spans="4:7" ht="13.5">
      <c r="D212" s="11"/>
      <c r="E212" s="86"/>
      <c r="F212" s="85"/>
      <c r="G212" s="85"/>
    </row>
    <row r="213" spans="4:7" ht="13.5">
      <c r="D213" s="11"/>
      <c r="E213" s="86"/>
      <c r="F213" s="85"/>
      <c r="G213" s="85"/>
    </row>
    <row r="214" spans="4:7" ht="13.5">
      <c r="D214" s="11"/>
      <c r="E214" s="86"/>
      <c r="F214" s="85"/>
      <c r="G214" s="85"/>
    </row>
    <row r="215" spans="4:7" ht="13.5">
      <c r="D215" s="11"/>
      <c r="E215" s="86"/>
      <c r="F215" s="85"/>
      <c r="G215" s="85"/>
    </row>
    <row r="216" spans="4:7" ht="13.5">
      <c r="D216" s="11"/>
      <c r="E216" s="86"/>
      <c r="F216" s="85"/>
      <c r="G216" s="85"/>
    </row>
    <row r="217" spans="4:7" ht="13.5">
      <c r="D217" s="11"/>
      <c r="E217" s="86"/>
      <c r="F217" s="85"/>
      <c r="G217" s="85"/>
    </row>
    <row r="218" spans="4:7" ht="13.5">
      <c r="D218" s="11"/>
      <c r="E218" s="86"/>
      <c r="F218" s="85"/>
      <c r="G218" s="85"/>
    </row>
    <row r="219" spans="4:7" ht="13.5">
      <c r="D219" s="11"/>
      <c r="E219" s="86"/>
      <c r="F219" s="85"/>
      <c r="G219" s="85"/>
    </row>
    <row r="220" spans="4:7" ht="13.5">
      <c r="D220" s="11"/>
      <c r="E220" s="86"/>
      <c r="F220" s="85"/>
      <c r="G220" s="85"/>
    </row>
    <row r="221" spans="4:7" ht="13.5">
      <c r="D221" s="11"/>
      <c r="E221" s="86"/>
      <c r="F221" s="85"/>
      <c r="G221" s="85"/>
    </row>
    <row r="222" spans="4:7" ht="13.5">
      <c r="D222" s="11"/>
      <c r="E222" s="86"/>
      <c r="F222" s="85"/>
      <c r="G222" s="85"/>
    </row>
    <row r="223" spans="4:7" ht="13.5">
      <c r="D223" s="11"/>
      <c r="E223" s="86"/>
      <c r="F223" s="85"/>
      <c r="G223" s="85"/>
    </row>
    <row r="224" spans="4:7" ht="13.5">
      <c r="D224" s="11"/>
      <c r="E224" s="86"/>
      <c r="F224" s="85"/>
      <c r="G224" s="85"/>
    </row>
    <row r="225" spans="4:7" ht="13.5">
      <c r="D225" s="11"/>
      <c r="E225" s="86"/>
      <c r="F225" s="85"/>
      <c r="G225" s="85"/>
    </row>
    <row r="226" spans="4:7" ht="13.5">
      <c r="D226" s="11"/>
      <c r="E226" s="86"/>
      <c r="F226" s="85"/>
      <c r="G226" s="85"/>
    </row>
    <row r="227" spans="4:7" ht="13.5">
      <c r="D227" s="11"/>
      <c r="E227" s="86"/>
      <c r="F227" s="85"/>
      <c r="G227" s="85"/>
    </row>
    <row r="228" spans="4:7" ht="13.5">
      <c r="D228" s="11"/>
      <c r="E228" s="86"/>
      <c r="F228" s="85"/>
      <c r="G228" s="85"/>
    </row>
    <row r="229" spans="4:7" ht="13.5">
      <c r="D229" s="11"/>
      <c r="E229" s="86"/>
      <c r="F229" s="85"/>
      <c r="G229" s="85"/>
    </row>
    <row r="230" spans="4:7" ht="13.5">
      <c r="D230" s="11"/>
      <c r="E230" s="86"/>
      <c r="F230" s="85"/>
      <c r="G230" s="85"/>
    </row>
    <row r="231" spans="4:7" ht="13.5">
      <c r="D231" s="11"/>
      <c r="E231" s="86"/>
      <c r="F231" s="85"/>
      <c r="G231" s="85"/>
    </row>
    <row r="232" spans="4:7" ht="13.5">
      <c r="D232" s="11"/>
      <c r="E232" s="86"/>
      <c r="F232" s="85"/>
      <c r="G232" s="85"/>
    </row>
    <row r="233" spans="4:7" ht="13.5">
      <c r="D233" s="11"/>
      <c r="E233" s="86"/>
      <c r="F233" s="85"/>
      <c r="G233" s="85"/>
    </row>
    <row r="234" spans="4:7" ht="13.5">
      <c r="D234" s="11"/>
      <c r="E234" s="86"/>
      <c r="F234" s="85"/>
      <c r="G234" s="85"/>
    </row>
    <row r="235" spans="4:7" ht="13.5">
      <c r="D235" s="11"/>
      <c r="E235" s="86"/>
      <c r="F235" s="85"/>
      <c r="G235" s="85"/>
    </row>
    <row r="236" spans="4:7" ht="13.5">
      <c r="D236" s="11"/>
      <c r="E236" s="86"/>
      <c r="F236" s="85"/>
      <c r="G236" s="85"/>
    </row>
    <row r="237" spans="4:7" ht="13.5">
      <c r="D237" s="11"/>
      <c r="E237" s="86"/>
      <c r="F237" s="85"/>
      <c r="G237" s="85"/>
    </row>
    <row r="238" spans="4:7" ht="13.5">
      <c r="D238" s="11"/>
      <c r="E238" s="86"/>
      <c r="F238" s="85"/>
      <c r="G238" s="85"/>
    </row>
    <row r="239" spans="4:7" ht="13.5">
      <c r="D239" s="11"/>
      <c r="E239" s="86"/>
      <c r="F239" s="85"/>
      <c r="G239" s="85"/>
    </row>
    <row r="240" spans="4:7" ht="13.5">
      <c r="D240" s="11"/>
      <c r="E240" s="86"/>
      <c r="F240" s="85"/>
      <c r="G240" s="85"/>
    </row>
    <row r="241" spans="4:7" ht="13.5">
      <c r="D241" s="11"/>
      <c r="E241" s="86"/>
      <c r="F241" s="85"/>
      <c r="G241" s="85"/>
    </row>
    <row r="242" spans="4:7" ht="13.5">
      <c r="D242" s="11"/>
      <c r="E242" s="86"/>
      <c r="F242" s="85"/>
      <c r="G242" s="85"/>
    </row>
    <row r="243" spans="4:7" ht="13.5">
      <c r="D243" s="11"/>
      <c r="E243" s="86"/>
      <c r="F243" s="85"/>
      <c r="G243" s="85"/>
    </row>
    <row r="244" spans="4:7" ht="13.5">
      <c r="D244" s="11"/>
      <c r="E244" s="86"/>
      <c r="F244" s="85"/>
      <c r="G244" s="85"/>
    </row>
    <row r="245" spans="4:7" ht="13.5">
      <c r="D245" s="11"/>
      <c r="E245" s="86"/>
      <c r="F245" s="85"/>
      <c r="G245" s="85"/>
    </row>
    <row r="246" spans="4:7" ht="13.5">
      <c r="D246" s="11"/>
      <c r="E246" s="86"/>
      <c r="F246" s="85"/>
      <c r="G246" s="85"/>
    </row>
    <row r="247" spans="4:7" ht="13.5">
      <c r="D247" s="11"/>
      <c r="E247" s="86"/>
      <c r="F247" s="85"/>
      <c r="G247" s="85"/>
    </row>
    <row r="248" spans="4:7" ht="13.5">
      <c r="D248" s="11"/>
      <c r="E248" s="86"/>
      <c r="F248" s="85"/>
      <c r="G248" s="85"/>
    </row>
    <row r="249" spans="4:7" ht="13.5">
      <c r="D249" s="11"/>
      <c r="E249" s="86"/>
      <c r="F249" s="85"/>
      <c r="G249" s="85"/>
    </row>
    <row r="250" spans="4:7" ht="13.5">
      <c r="D250" s="11"/>
      <c r="E250" s="86"/>
      <c r="F250" s="85"/>
      <c r="G250" s="85"/>
    </row>
    <row r="251" spans="4:7" ht="13.5">
      <c r="D251" s="11"/>
      <c r="E251" s="86"/>
      <c r="F251" s="85"/>
      <c r="G251" s="85"/>
    </row>
    <row r="252" spans="4:7" ht="13.5">
      <c r="D252" s="11"/>
      <c r="E252" s="86"/>
      <c r="F252" s="85"/>
      <c r="G252" s="85"/>
    </row>
    <row r="253" spans="4:7" ht="13.5">
      <c r="D253" s="11"/>
      <c r="E253" s="86"/>
      <c r="F253" s="85"/>
      <c r="G253" s="85"/>
    </row>
    <row r="254" spans="4:7" ht="13.5">
      <c r="D254" s="11"/>
      <c r="E254" s="86"/>
      <c r="F254" s="85"/>
      <c r="G254" s="85"/>
    </row>
    <row r="255" spans="4:7" ht="13.5">
      <c r="D255" s="11"/>
      <c r="E255" s="86"/>
      <c r="F255" s="85"/>
      <c r="G255" s="85"/>
    </row>
    <row r="256" spans="4:7" ht="13.5">
      <c r="D256" s="11"/>
      <c r="E256" s="86"/>
      <c r="F256" s="85"/>
      <c r="G256" s="85"/>
    </row>
    <row r="257" spans="4:7" ht="13.5">
      <c r="D257" s="11"/>
      <c r="E257" s="86"/>
      <c r="F257" s="85"/>
      <c r="G257" s="85"/>
    </row>
    <row r="258" spans="4:7" ht="13.5">
      <c r="D258" s="11"/>
      <c r="E258" s="86"/>
      <c r="F258" s="85"/>
      <c r="G258" s="85"/>
    </row>
    <row r="259" spans="4:7" ht="13.5">
      <c r="D259" s="11"/>
      <c r="E259" s="86"/>
      <c r="F259" s="85"/>
      <c r="G259" s="85"/>
    </row>
    <row r="260" spans="4:7" ht="13.5">
      <c r="D260" s="11"/>
      <c r="E260" s="86"/>
      <c r="F260" s="85"/>
      <c r="G260" s="85"/>
    </row>
    <row r="261" spans="4:7" ht="13.5">
      <c r="D261" s="11"/>
      <c r="E261" s="86"/>
      <c r="F261" s="85"/>
      <c r="G261" s="85"/>
    </row>
    <row r="262" spans="4:7" ht="13.5">
      <c r="D262" s="11"/>
      <c r="E262" s="86"/>
      <c r="F262" s="85"/>
      <c r="G262" s="85"/>
    </row>
    <row r="263" spans="4:7" ht="13.5">
      <c r="D263" s="11"/>
      <c r="E263" s="86"/>
      <c r="F263" s="85"/>
      <c r="G263" s="85"/>
    </row>
    <row r="264" spans="4:7" ht="13.5">
      <c r="D264" s="11"/>
      <c r="E264" s="86"/>
      <c r="F264" s="85"/>
      <c r="G264" s="85"/>
    </row>
    <row r="265" spans="4:7" ht="13.5">
      <c r="D265" s="11"/>
      <c r="E265" s="86"/>
      <c r="F265" s="85"/>
      <c r="G265" s="85"/>
    </row>
    <row r="266" spans="4:7" ht="13.5">
      <c r="D266" s="11"/>
      <c r="E266" s="86"/>
      <c r="F266" s="85"/>
      <c r="G266" s="85"/>
    </row>
    <row r="267" spans="4:7" ht="13.5">
      <c r="D267" s="11"/>
      <c r="E267" s="86"/>
      <c r="F267" s="85"/>
      <c r="G267" s="85"/>
    </row>
    <row r="268" spans="4:7" ht="13.5">
      <c r="D268" s="11"/>
      <c r="E268" s="86"/>
      <c r="F268" s="85"/>
      <c r="G268" s="85"/>
    </row>
    <row r="269" spans="4:7" ht="13.5">
      <c r="D269" s="11"/>
      <c r="E269" s="86"/>
      <c r="F269" s="85"/>
      <c r="G269" s="85"/>
    </row>
    <row r="270" spans="4:7" ht="13.5">
      <c r="D270" s="11"/>
      <c r="E270" s="86"/>
      <c r="F270" s="85"/>
      <c r="G270" s="85"/>
    </row>
    <row r="271" spans="4:7" ht="13.5">
      <c r="D271" s="11"/>
      <c r="E271" s="86"/>
      <c r="F271" s="85"/>
      <c r="G271" s="85"/>
    </row>
    <row r="272" spans="4:7" ht="13.5">
      <c r="D272" s="11"/>
      <c r="E272" s="86"/>
      <c r="F272" s="85"/>
      <c r="G272" s="85"/>
    </row>
    <row r="273" spans="4:7" ht="13.5">
      <c r="D273" s="11"/>
      <c r="E273" s="86"/>
      <c r="F273" s="85"/>
      <c r="G273" s="85"/>
    </row>
    <row r="274" spans="4:7" ht="13.5">
      <c r="D274" s="11"/>
      <c r="E274" s="86"/>
      <c r="F274" s="85"/>
      <c r="G274" s="85"/>
    </row>
    <row r="275" spans="4:7" ht="13.5">
      <c r="D275" s="11"/>
      <c r="E275" s="86"/>
      <c r="F275" s="85"/>
      <c r="G275" s="85"/>
    </row>
    <row r="276" spans="4:7" ht="13.5">
      <c r="D276" s="11"/>
      <c r="E276" s="86"/>
      <c r="F276" s="85"/>
      <c r="G276" s="85"/>
    </row>
    <row r="277" spans="4:7" ht="13.5">
      <c r="D277" s="11"/>
      <c r="E277" s="86"/>
      <c r="F277" s="85"/>
      <c r="G277" s="85"/>
    </row>
    <row r="278" spans="4:7" ht="13.5">
      <c r="D278" s="11"/>
      <c r="E278" s="86"/>
      <c r="F278" s="85"/>
      <c r="G278" s="85"/>
    </row>
    <row r="279" spans="4:7" ht="13.5">
      <c r="D279" s="11"/>
      <c r="E279" s="86"/>
      <c r="F279" s="85"/>
      <c r="G279" s="85"/>
    </row>
    <row r="280" spans="4:7" ht="13.5">
      <c r="D280" s="11"/>
      <c r="E280" s="86"/>
      <c r="F280" s="85"/>
      <c r="G280" s="85"/>
    </row>
    <row r="281" spans="4:7" ht="13.5">
      <c r="D281" s="11"/>
      <c r="E281" s="86"/>
      <c r="F281" s="85"/>
      <c r="G281" s="85"/>
    </row>
    <row r="282" spans="4:7" ht="13.5">
      <c r="D282" s="11"/>
      <c r="E282" s="86"/>
      <c r="F282" s="85"/>
      <c r="G282" s="85"/>
    </row>
    <row r="283" spans="4:7" ht="13.5">
      <c r="D283" s="11"/>
      <c r="E283" s="86"/>
      <c r="F283" s="85"/>
      <c r="G283" s="85"/>
    </row>
    <row r="284" spans="4:7" ht="13.5">
      <c r="D284" s="11"/>
      <c r="E284" s="86"/>
      <c r="F284" s="85"/>
      <c r="G284" s="85"/>
    </row>
    <row r="285" spans="4:7" ht="13.5">
      <c r="D285" s="11"/>
      <c r="E285" s="86"/>
      <c r="F285" s="85"/>
      <c r="G285" s="85"/>
    </row>
    <row r="286" spans="4:7" ht="13.5">
      <c r="D286" s="11"/>
      <c r="E286" s="86"/>
      <c r="F286" s="85"/>
      <c r="G286" s="85"/>
    </row>
    <row r="287" spans="4:7" ht="13.5">
      <c r="D287" s="11"/>
      <c r="E287" s="86"/>
      <c r="F287" s="85"/>
      <c r="G287" s="85"/>
    </row>
    <row r="288" spans="4:7" ht="13.5">
      <c r="D288" s="11"/>
      <c r="E288" s="86"/>
      <c r="F288" s="85"/>
      <c r="G288" s="85"/>
    </row>
    <row r="289" spans="4:7" ht="13.5">
      <c r="D289" s="11"/>
      <c r="E289" s="86"/>
      <c r="F289" s="85"/>
      <c r="G289" s="85"/>
    </row>
    <row r="290" spans="4:7" ht="13.5">
      <c r="D290" s="11"/>
      <c r="E290" s="86"/>
      <c r="F290" s="85"/>
      <c r="G290" s="85"/>
    </row>
    <row r="291" spans="4:7" ht="13.5">
      <c r="D291" s="11"/>
      <c r="E291" s="86"/>
      <c r="F291" s="85"/>
      <c r="G291" s="85"/>
    </row>
    <row r="292" spans="4:7" ht="13.5">
      <c r="D292" s="11"/>
      <c r="E292" s="86"/>
      <c r="F292" s="85"/>
      <c r="G292" s="85"/>
    </row>
    <row r="293" spans="4:7" ht="13.5">
      <c r="D293" s="11"/>
      <c r="E293" s="86"/>
      <c r="F293" s="85"/>
      <c r="G293" s="85"/>
    </row>
    <row r="294" spans="4:7" ht="13.5">
      <c r="D294" s="11"/>
      <c r="E294" s="86"/>
      <c r="F294" s="85"/>
      <c r="G294" s="85"/>
    </row>
    <row r="295" spans="4:7" ht="13.5">
      <c r="D295" s="11"/>
      <c r="E295" s="86"/>
      <c r="F295" s="85"/>
      <c r="G295" s="85"/>
    </row>
    <row r="296" spans="4:7" ht="13.5">
      <c r="D296" s="11"/>
      <c r="E296" s="86"/>
      <c r="F296" s="85"/>
      <c r="G296" s="85"/>
    </row>
    <row r="297" spans="4:7" ht="13.5">
      <c r="D297" s="11"/>
      <c r="E297" s="86"/>
      <c r="F297" s="85"/>
      <c r="G297" s="85"/>
    </row>
    <row r="298" spans="4:7" ht="13.5">
      <c r="D298" s="11"/>
      <c r="E298" s="86"/>
      <c r="F298" s="85"/>
      <c r="G298" s="85"/>
    </row>
    <row r="299" spans="4:7" ht="13.5">
      <c r="D299" s="11"/>
      <c r="E299" s="86"/>
      <c r="F299" s="85"/>
      <c r="G299" s="85"/>
    </row>
    <row r="300" spans="4:7" ht="13.5">
      <c r="D300" s="11"/>
      <c r="E300" s="86"/>
      <c r="F300" s="85"/>
      <c r="G300" s="85"/>
    </row>
    <row r="301" spans="4:7" ht="13.5">
      <c r="D301" s="11"/>
      <c r="E301" s="86"/>
      <c r="F301" s="85"/>
      <c r="G301" s="85"/>
    </row>
    <row r="302" spans="4:7" ht="13.5">
      <c r="D302" s="11"/>
      <c r="E302" s="86"/>
      <c r="F302" s="85"/>
      <c r="G302" s="85"/>
    </row>
    <row r="303" spans="4:7" ht="13.5">
      <c r="D303" s="11"/>
      <c r="E303" s="86"/>
      <c r="F303" s="85"/>
      <c r="G303" s="85"/>
    </row>
    <row r="304" spans="4:7" ht="13.5">
      <c r="D304" s="11"/>
      <c r="E304" s="86"/>
      <c r="F304" s="85"/>
      <c r="G304" s="85"/>
    </row>
    <row r="305" spans="4:7" ht="13.5">
      <c r="D305" s="11"/>
      <c r="E305" s="86"/>
      <c r="F305" s="85"/>
      <c r="G305" s="85"/>
    </row>
    <row r="306" spans="4:7" ht="13.5">
      <c r="D306" s="11"/>
      <c r="E306" s="86"/>
      <c r="F306" s="85"/>
      <c r="G306" s="85"/>
    </row>
    <row r="307" spans="4:7" ht="13.5">
      <c r="D307" s="11"/>
      <c r="E307" s="86"/>
      <c r="F307" s="85"/>
      <c r="G307" s="85"/>
    </row>
    <row r="308" spans="4:7" ht="13.5">
      <c r="D308" s="11"/>
      <c r="E308" s="86"/>
      <c r="F308" s="85"/>
      <c r="G308" s="85"/>
    </row>
    <row r="309" spans="4:7" ht="13.5">
      <c r="D309" s="11"/>
      <c r="E309" s="86"/>
      <c r="F309" s="85"/>
      <c r="G309" s="85"/>
    </row>
    <row r="310" spans="4:7" ht="13.5">
      <c r="D310" s="11"/>
      <c r="E310" s="86"/>
      <c r="F310" s="85"/>
      <c r="G310" s="85"/>
    </row>
    <row r="311" spans="4:7" ht="13.5">
      <c r="D311" s="11"/>
      <c r="E311" s="86"/>
      <c r="F311" s="85"/>
      <c r="G311" s="85"/>
    </row>
    <row r="312" spans="4:7" ht="13.5">
      <c r="D312" s="11"/>
      <c r="E312" s="86"/>
      <c r="F312" s="85"/>
      <c r="G312" s="85"/>
    </row>
    <row r="313" spans="4:7" ht="13.5">
      <c r="D313" s="11"/>
      <c r="E313" s="86"/>
      <c r="F313" s="85"/>
      <c r="G313" s="85"/>
    </row>
    <row r="314" spans="4:7" ht="13.5">
      <c r="D314" s="11"/>
      <c r="E314" s="86"/>
      <c r="F314" s="85"/>
      <c r="G314" s="85"/>
    </row>
    <row r="315" spans="4:7" ht="13.5">
      <c r="D315" s="11"/>
      <c r="E315" s="86"/>
      <c r="F315" s="85"/>
      <c r="G315" s="85"/>
    </row>
    <row r="316" spans="4:7" ht="13.5">
      <c r="D316" s="11"/>
      <c r="E316" s="86"/>
      <c r="F316" s="85"/>
      <c r="G316" s="85"/>
    </row>
    <row r="317" spans="4:7" ht="13.5">
      <c r="D317" s="11"/>
      <c r="E317" s="86"/>
      <c r="F317" s="85"/>
      <c r="G317" s="85"/>
    </row>
    <row r="318" spans="4:7" ht="13.5">
      <c r="D318" s="11"/>
      <c r="E318" s="86"/>
      <c r="F318" s="85"/>
      <c r="G318" s="85"/>
    </row>
    <row r="319" spans="4:7" ht="13.5">
      <c r="D319" s="11"/>
      <c r="E319" s="86"/>
      <c r="F319" s="85"/>
      <c r="G319" s="85"/>
    </row>
    <row r="320" spans="4:7" ht="13.5">
      <c r="D320" s="11"/>
      <c r="E320" s="86"/>
      <c r="F320" s="85"/>
      <c r="G320" s="85"/>
    </row>
    <row r="321" spans="4:7" ht="13.5">
      <c r="D321" s="11"/>
      <c r="E321" s="86"/>
      <c r="F321" s="85"/>
      <c r="G321" s="85"/>
    </row>
    <row r="322" spans="4:7" ht="13.5">
      <c r="D322" s="11"/>
      <c r="E322" s="86"/>
      <c r="F322" s="85"/>
      <c r="G322" s="85"/>
    </row>
    <row r="323" spans="4:7" ht="13.5">
      <c r="D323" s="11"/>
      <c r="E323" s="86"/>
      <c r="F323" s="85"/>
      <c r="G323" s="85"/>
    </row>
    <row r="324" spans="4:7" ht="13.5">
      <c r="D324" s="11"/>
      <c r="E324" s="86"/>
      <c r="F324" s="85"/>
      <c r="G324" s="85"/>
    </row>
    <row r="325" spans="4:7" ht="13.5">
      <c r="D325" s="11"/>
      <c r="E325" s="86"/>
      <c r="F325" s="85"/>
      <c r="G325" s="85"/>
    </row>
    <row r="326" spans="4:7" ht="13.5">
      <c r="D326" s="11"/>
      <c r="E326" s="86"/>
      <c r="F326" s="85"/>
      <c r="G326" s="85"/>
    </row>
    <row r="327" spans="4:7" ht="13.5">
      <c r="D327" s="11"/>
      <c r="E327" s="86"/>
      <c r="F327" s="85"/>
      <c r="G327" s="85"/>
    </row>
    <row r="328" spans="4:7" ht="13.5">
      <c r="D328" s="11"/>
      <c r="E328" s="86"/>
      <c r="F328" s="85"/>
      <c r="G328" s="85"/>
    </row>
    <row r="329" spans="4:7" ht="13.5">
      <c r="D329" s="11"/>
      <c r="E329" s="86"/>
      <c r="F329" s="85"/>
      <c r="G329" s="85"/>
    </row>
    <row r="330" spans="4:7" ht="13.5">
      <c r="D330" s="11"/>
      <c r="E330" s="86"/>
      <c r="F330" s="85"/>
      <c r="G330" s="85"/>
    </row>
    <row r="331" spans="4:7" ht="13.5">
      <c r="D331" s="11"/>
      <c r="E331" s="86"/>
      <c r="F331" s="85"/>
      <c r="G331" s="85"/>
    </row>
    <row r="332" spans="4:7" ht="13.5">
      <c r="D332" s="11"/>
      <c r="E332" s="86"/>
      <c r="F332" s="85"/>
      <c r="G332" s="85"/>
    </row>
    <row r="333" spans="4:7" ht="13.5">
      <c r="D333" s="11"/>
      <c r="E333" s="86"/>
      <c r="F333" s="85"/>
      <c r="G333" s="85"/>
    </row>
    <row r="334" spans="4:7" ht="13.5">
      <c r="D334" s="11"/>
      <c r="E334" s="86"/>
      <c r="F334" s="85"/>
      <c r="G334" s="85"/>
    </row>
    <row r="335" spans="4:7" ht="13.5">
      <c r="D335" s="11"/>
      <c r="E335" s="86"/>
      <c r="F335" s="85"/>
      <c r="G335" s="85"/>
    </row>
    <row r="336" spans="4:7" ht="13.5">
      <c r="D336" s="11"/>
      <c r="E336" s="86"/>
      <c r="F336" s="85"/>
      <c r="G336" s="85"/>
    </row>
    <row r="337" spans="4:7" ht="13.5">
      <c r="D337" s="11"/>
      <c r="E337" s="86"/>
      <c r="F337" s="85"/>
      <c r="G337" s="85"/>
    </row>
    <row r="338" spans="4:7" ht="13.5">
      <c r="D338" s="11"/>
      <c r="E338" s="86"/>
      <c r="F338" s="85"/>
      <c r="G338" s="85"/>
    </row>
    <row r="339" spans="4:7" ht="13.5">
      <c r="D339" s="11"/>
      <c r="E339" s="86"/>
      <c r="F339" s="85"/>
      <c r="G339" s="85"/>
    </row>
    <row r="340" spans="4:7" ht="13.5">
      <c r="D340" s="11"/>
      <c r="E340" s="86"/>
      <c r="F340" s="85"/>
      <c r="G340" s="85"/>
    </row>
    <row r="341" spans="4:7" ht="13.5">
      <c r="D341" s="11"/>
      <c r="E341" s="86"/>
      <c r="F341" s="85"/>
      <c r="G341" s="85"/>
    </row>
    <row r="342" spans="4:7" ht="13.5">
      <c r="D342" s="11"/>
      <c r="E342" s="86"/>
      <c r="F342" s="85"/>
      <c r="G342" s="85"/>
    </row>
    <row r="343" spans="4:7" ht="13.5">
      <c r="D343" s="11"/>
      <c r="E343" s="86"/>
      <c r="F343" s="85"/>
      <c r="G343" s="85"/>
    </row>
    <row r="344" spans="4:7" ht="13.5">
      <c r="D344" s="11"/>
      <c r="E344" s="86"/>
      <c r="F344" s="85"/>
      <c r="G344" s="85"/>
    </row>
    <row r="345" spans="4:7" ht="13.5">
      <c r="D345" s="11"/>
      <c r="E345" s="86"/>
      <c r="F345" s="85"/>
      <c r="G345" s="85"/>
    </row>
    <row r="346" spans="4:7" ht="13.5">
      <c r="D346" s="11"/>
      <c r="E346" s="86"/>
      <c r="F346" s="85"/>
      <c r="G346" s="85"/>
    </row>
    <row r="347" spans="4:7" ht="13.5">
      <c r="D347" s="11"/>
      <c r="E347" s="86"/>
      <c r="F347" s="85"/>
      <c r="G347" s="85"/>
    </row>
    <row r="348" spans="4:7" ht="13.5">
      <c r="D348" s="11"/>
      <c r="E348" s="86"/>
      <c r="F348" s="85"/>
      <c r="G348" s="85"/>
    </row>
    <row r="349" spans="4:7" ht="13.5">
      <c r="D349" s="11"/>
      <c r="E349" s="86"/>
      <c r="F349" s="85"/>
      <c r="G349" s="85"/>
    </row>
    <row r="350" spans="4:7" ht="13.5">
      <c r="D350" s="11"/>
      <c r="E350" s="86"/>
      <c r="F350" s="85"/>
      <c r="G350" s="85"/>
    </row>
    <row r="351" spans="4:7" ht="13.5">
      <c r="D351" s="11"/>
      <c r="E351" s="86"/>
      <c r="F351" s="85"/>
      <c r="G351" s="85"/>
    </row>
    <row r="352" spans="4:7" ht="13.5">
      <c r="D352" s="11"/>
      <c r="E352" s="86"/>
      <c r="F352" s="85"/>
      <c r="G352" s="85"/>
    </row>
    <row r="353" spans="4:7" ht="13.5">
      <c r="D353" s="11"/>
      <c r="E353" s="86"/>
      <c r="F353" s="85"/>
      <c r="G353" s="85"/>
    </row>
    <row r="354" spans="4:7" ht="13.5">
      <c r="D354" s="11"/>
      <c r="E354" s="86"/>
      <c r="F354" s="85"/>
      <c r="G354" s="85"/>
    </row>
    <row r="355" spans="4:7" ht="13.5">
      <c r="D355" s="11"/>
      <c r="E355" s="86"/>
      <c r="F355" s="85"/>
      <c r="G355" s="85"/>
    </row>
    <row r="356" spans="4:7" ht="13.5">
      <c r="D356" s="11"/>
      <c r="E356" s="86"/>
      <c r="F356" s="85"/>
      <c r="G356" s="85"/>
    </row>
    <row r="357" spans="4:7" ht="13.5">
      <c r="D357" s="11"/>
      <c r="E357" s="86"/>
      <c r="F357" s="85"/>
      <c r="G357" s="85"/>
    </row>
    <row r="358" spans="4:7" ht="13.5">
      <c r="D358" s="11"/>
      <c r="E358" s="86"/>
      <c r="F358" s="85"/>
      <c r="G358" s="85"/>
    </row>
    <row r="359" spans="4:7" ht="13.5">
      <c r="D359" s="11"/>
      <c r="E359" s="86"/>
      <c r="F359" s="85"/>
      <c r="G359" s="85"/>
    </row>
    <row r="360" spans="4:7" ht="13.5">
      <c r="D360" s="11"/>
      <c r="E360" s="86"/>
      <c r="F360" s="85"/>
      <c r="G360" s="85"/>
    </row>
    <row r="361" spans="4:7" ht="13.5">
      <c r="D361" s="11"/>
      <c r="E361" s="86"/>
      <c r="F361" s="85"/>
      <c r="G361" s="85"/>
    </row>
    <row r="362" spans="4:7" ht="13.5">
      <c r="D362" s="11"/>
      <c r="E362" s="86"/>
      <c r="F362" s="85"/>
      <c r="G362" s="85"/>
    </row>
    <row r="363" spans="4:7" ht="13.5">
      <c r="D363" s="11"/>
      <c r="E363" s="86"/>
      <c r="F363" s="85"/>
      <c r="G363" s="85"/>
    </row>
    <row r="364" spans="4:7" ht="13.5">
      <c r="D364" s="11"/>
      <c r="E364" s="86"/>
      <c r="F364" s="85"/>
      <c r="G364" s="85"/>
    </row>
    <row r="365" spans="4:7" ht="13.5">
      <c r="D365" s="11"/>
      <c r="E365" s="86"/>
      <c r="F365" s="85"/>
      <c r="G365" s="85"/>
    </row>
    <row r="366" spans="4:7" ht="13.5">
      <c r="D366" s="11"/>
      <c r="E366" s="86"/>
      <c r="F366" s="85"/>
      <c r="G366" s="85"/>
    </row>
    <row r="367" spans="4:7" ht="13.5">
      <c r="D367" s="11"/>
      <c r="E367" s="86"/>
      <c r="F367" s="85"/>
      <c r="G367" s="85"/>
    </row>
    <row r="368" spans="4:7" ht="13.5">
      <c r="D368" s="11"/>
      <c r="E368" s="86"/>
      <c r="F368" s="85"/>
      <c r="G368" s="85"/>
    </row>
    <row r="369" spans="4:7" ht="13.5">
      <c r="D369" s="11"/>
      <c r="E369" s="86"/>
      <c r="F369" s="85"/>
      <c r="G369" s="85"/>
    </row>
    <row r="370" spans="4:7" ht="13.5">
      <c r="D370" s="11"/>
      <c r="E370" s="86"/>
      <c r="F370" s="85"/>
      <c r="G370" s="85"/>
    </row>
    <row r="371" spans="4:7" ht="13.5">
      <c r="D371" s="11"/>
      <c r="E371" s="86"/>
      <c r="F371" s="85"/>
      <c r="G371" s="85"/>
    </row>
    <row r="372" spans="4:7" ht="13.5">
      <c r="D372" s="11"/>
      <c r="E372" s="86"/>
      <c r="F372" s="85"/>
      <c r="G372" s="85"/>
    </row>
    <row r="373" spans="4:7" ht="13.5">
      <c r="D373" s="11"/>
      <c r="E373" s="86"/>
      <c r="F373" s="85"/>
      <c r="G373" s="85"/>
    </row>
    <row r="374" spans="4:7" ht="13.5">
      <c r="D374" s="11"/>
      <c r="E374" s="86"/>
      <c r="F374" s="85"/>
      <c r="G374" s="85"/>
    </row>
    <row r="375" spans="4:7" ht="13.5">
      <c r="D375" s="11"/>
      <c r="E375" s="86"/>
      <c r="F375" s="85"/>
      <c r="G375" s="85"/>
    </row>
    <row r="376" spans="4:7" ht="13.5">
      <c r="D376" s="11"/>
      <c r="E376" s="86"/>
      <c r="F376" s="85"/>
      <c r="G376" s="85"/>
    </row>
    <row r="377" spans="4:7" ht="13.5">
      <c r="D377" s="11"/>
      <c r="E377" s="86"/>
      <c r="F377" s="85"/>
      <c r="G377" s="85"/>
    </row>
    <row r="378" spans="4:7" ht="13.5">
      <c r="D378" s="11"/>
      <c r="E378" s="86"/>
      <c r="F378" s="85"/>
      <c r="G378" s="85"/>
    </row>
    <row r="379" spans="4:7" ht="13.5">
      <c r="D379" s="11"/>
      <c r="E379" s="86"/>
      <c r="F379" s="85"/>
      <c r="G379" s="85"/>
    </row>
    <row r="380" spans="4:7" ht="13.5">
      <c r="D380" s="11"/>
      <c r="E380" s="86"/>
      <c r="F380" s="85"/>
      <c r="G380" s="85"/>
    </row>
    <row r="381" spans="4:7" ht="13.5">
      <c r="D381" s="11"/>
      <c r="E381" s="86"/>
      <c r="F381" s="85"/>
      <c r="G381" s="85"/>
    </row>
    <row r="382" spans="4:7" ht="13.5">
      <c r="D382" s="11"/>
      <c r="E382" s="86"/>
      <c r="F382" s="85"/>
      <c r="G382" s="85"/>
    </row>
    <row r="383" spans="4:7" ht="13.5">
      <c r="D383" s="11"/>
      <c r="E383" s="86"/>
      <c r="F383" s="85"/>
      <c r="G383" s="85"/>
    </row>
    <row r="384" spans="4:7" ht="13.5">
      <c r="D384" s="11"/>
      <c r="E384" s="86"/>
      <c r="F384" s="85"/>
      <c r="G384" s="85"/>
    </row>
    <row r="385" spans="4:7" ht="13.5">
      <c r="D385" s="11"/>
      <c r="E385" s="86"/>
      <c r="F385" s="85"/>
      <c r="G385" s="85"/>
    </row>
    <row r="386" spans="4:7" ht="13.5">
      <c r="D386" s="11"/>
      <c r="E386" s="86"/>
      <c r="F386" s="85"/>
      <c r="G386" s="85"/>
    </row>
    <row r="387" spans="4:7" ht="13.5">
      <c r="D387" s="11"/>
      <c r="E387" s="86"/>
      <c r="F387" s="85"/>
      <c r="G387" s="85"/>
    </row>
    <row r="388" spans="4:7" ht="13.5">
      <c r="D388" s="11"/>
      <c r="E388" s="86"/>
      <c r="F388" s="85"/>
      <c r="G388" s="85"/>
    </row>
    <row r="389" spans="4:7" ht="13.5">
      <c r="D389" s="11"/>
      <c r="E389" s="86"/>
      <c r="F389" s="85"/>
      <c r="G389" s="85"/>
    </row>
    <row r="390" spans="4:7" ht="13.5">
      <c r="D390" s="11"/>
      <c r="E390" s="86"/>
      <c r="F390" s="85"/>
      <c r="G390" s="85"/>
    </row>
    <row r="391" spans="4:7" ht="13.5">
      <c r="D391" s="11"/>
      <c r="E391" s="86"/>
      <c r="F391" s="85"/>
      <c r="G391" s="85"/>
    </row>
    <row r="392" spans="4:7" ht="13.5">
      <c r="D392" s="11"/>
      <c r="E392" s="86"/>
      <c r="F392" s="85"/>
      <c r="G392" s="85"/>
    </row>
    <row r="393" spans="4:7" ht="13.5">
      <c r="D393" s="11"/>
      <c r="E393" s="86"/>
      <c r="F393" s="85"/>
      <c r="G393" s="85"/>
    </row>
    <row r="394" spans="4:7" ht="13.5">
      <c r="D394" s="11"/>
      <c r="E394" s="86"/>
      <c r="F394" s="85"/>
      <c r="G394" s="85"/>
    </row>
    <row r="395" spans="4:7" ht="13.5">
      <c r="D395" s="11"/>
      <c r="E395" s="86"/>
      <c r="F395" s="85"/>
      <c r="G395" s="85"/>
    </row>
    <row r="396" spans="4:7" ht="13.5">
      <c r="D396" s="11"/>
      <c r="E396" s="86"/>
      <c r="F396" s="85"/>
      <c r="G396" s="85"/>
    </row>
    <row r="397" spans="4:7" ht="13.5">
      <c r="D397" s="11"/>
      <c r="E397" s="86"/>
      <c r="F397" s="85"/>
      <c r="G397" s="85"/>
    </row>
    <row r="398" spans="4:7" ht="13.5">
      <c r="D398" s="11"/>
      <c r="E398" s="86"/>
      <c r="F398" s="85"/>
      <c r="G398" s="85"/>
    </row>
    <row r="399" spans="4:7" ht="13.5">
      <c r="D399" s="11"/>
      <c r="E399" s="86"/>
      <c r="F399" s="85"/>
      <c r="G399" s="85"/>
    </row>
    <row r="400" spans="4:7" ht="13.5">
      <c r="D400" s="11"/>
      <c r="E400" s="86"/>
      <c r="F400" s="85"/>
      <c r="G400" s="85"/>
    </row>
    <row r="401" spans="4:7" ht="13.5">
      <c r="D401" s="11"/>
      <c r="E401" s="86"/>
      <c r="F401" s="85"/>
      <c r="G401" s="85"/>
    </row>
    <row r="402" spans="4:7" ht="13.5">
      <c r="D402" s="11"/>
      <c r="E402" s="86"/>
      <c r="F402" s="85"/>
      <c r="G402" s="85"/>
    </row>
    <row r="403" spans="4:7" ht="13.5">
      <c r="D403" s="11"/>
      <c r="E403" s="86"/>
      <c r="F403" s="85"/>
      <c r="G403" s="85"/>
    </row>
    <row r="404" spans="4:7" ht="13.5">
      <c r="D404" s="11"/>
      <c r="E404" s="86"/>
      <c r="F404" s="85"/>
      <c r="G404" s="85"/>
    </row>
    <row r="405" spans="4:7" ht="13.5">
      <c r="D405" s="11"/>
      <c r="E405" s="86"/>
      <c r="F405" s="85"/>
      <c r="G405" s="85"/>
    </row>
    <row r="406" spans="4:7" ht="13.5">
      <c r="D406" s="11"/>
      <c r="E406" s="86"/>
      <c r="F406" s="85"/>
      <c r="G406" s="85"/>
    </row>
    <row r="407" spans="4:7" ht="13.5">
      <c r="D407" s="11"/>
      <c r="E407" s="86"/>
      <c r="F407" s="85"/>
      <c r="G407" s="85"/>
    </row>
    <row r="408" spans="4:7" ht="13.5">
      <c r="D408" s="11"/>
      <c r="E408" s="86"/>
      <c r="F408" s="85"/>
      <c r="G408" s="85"/>
    </row>
    <row r="409" spans="4:7" ht="13.5">
      <c r="D409" s="11"/>
      <c r="E409" s="86"/>
      <c r="F409" s="85"/>
      <c r="G409" s="85"/>
    </row>
    <row r="410" spans="4:7" ht="13.5">
      <c r="D410" s="11"/>
      <c r="E410" s="86"/>
      <c r="F410" s="85"/>
      <c r="G410" s="85"/>
    </row>
    <row r="411" spans="4:7" ht="13.5">
      <c r="D411" s="11"/>
      <c r="E411" s="86"/>
      <c r="F411" s="85"/>
      <c r="G411" s="85"/>
    </row>
    <row r="412" spans="4:7" ht="13.5">
      <c r="D412" s="11"/>
      <c r="E412" s="86"/>
      <c r="F412" s="85"/>
      <c r="G412" s="85"/>
    </row>
    <row r="413" spans="4:7" ht="13.5">
      <c r="D413" s="11"/>
      <c r="E413" s="86"/>
      <c r="F413" s="85"/>
      <c r="G413" s="85"/>
    </row>
    <row r="414" spans="4:7" ht="13.5">
      <c r="D414" s="11"/>
      <c r="E414" s="86"/>
      <c r="F414" s="85"/>
      <c r="G414" s="85"/>
    </row>
    <row r="415" spans="4:7" ht="13.5">
      <c r="D415" s="11"/>
      <c r="E415" s="86"/>
      <c r="F415" s="85"/>
      <c r="G415" s="85"/>
    </row>
    <row r="416" spans="4:7" ht="13.5">
      <c r="D416" s="11"/>
      <c r="E416" s="86"/>
      <c r="F416" s="85"/>
      <c r="G416" s="85"/>
    </row>
    <row r="417" spans="4:7" ht="13.5">
      <c r="D417" s="11"/>
      <c r="E417" s="86"/>
      <c r="F417" s="85"/>
      <c r="G417" s="85"/>
    </row>
    <row r="418" spans="4:7" ht="13.5">
      <c r="D418" s="11"/>
      <c r="E418" s="86"/>
      <c r="F418" s="85"/>
      <c r="G418" s="85"/>
    </row>
    <row r="419" spans="4:7" ht="13.5">
      <c r="D419" s="11"/>
      <c r="E419" s="86"/>
      <c r="F419" s="85"/>
      <c r="G419" s="85"/>
    </row>
    <row r="420" spans="4:7" ht="13.5">
      <c r="D420" s="11"/>
      <c r="E420" s="86"/>
      <c r="F420" s="85"/>
      <c r="G420" s="85"/>
    </row>
    <row r="421" spans="4:7" ht="13.5">
      <c r="D421" s="11"/>
      <c r="E421" s="86"/>
      <c r="F421" s="85"/>
      <c r="G421" s="85"/>
    </row>
    <row r="422" spans="4:7" ht="13.5">
      <c r="D422" s="11"/>
      <c r="E422" s="86"/>
      <c r="F422" s="85"/>
      <c r="G422" s="85"/>
    </row>
    <row r="423" spans="4:7" ht="13.5">
      <c r="D423" s="11"/>
      <c r="E423" s="86"/>
      <c r="F423" s="85"/>
      <c r="G423" s="85"/>
    </row>
    <row r="424" spans="4:7" ht="13.5">
      <c r="D424" s="11"/>
      <c r="E424" s="86"/>
      <c r="F424" s="85"/>
      <c r="G424" s="85"/>
    </row>
    <row r="425" spans="4:7" ht="13.5">
      <c r="D425" s="11"/>
      <c r="E425" s="86"/>
      <c r="F425" s="85"/>
      <c r="G425" s="85"/>
    </row>
    <row r="426" spans="4:7" ht="13.5">
      <c r="D426" s="11"/>
      <c r="E426" s="86"/>
      <c r="F426" s="85"/>
      <c r="G426" s="85"/>
    </row>
    <row r="427" spans="4:7" ht="13.5">
      <c r="D427" s="11"/>
      <c r="E427" s="86"/>
      <c r="F427" s="85"/>
      <c r="G427" s="85"/>
    </row>
    <row r="428" spans="4:7" ht="13.5">
      <c r="D428" s="11"/>
      <c r="E428" s="86"/>
      <c r="F428" s="85"/>
      <c r="G428" s="85"/>
    </row>
    <row r="429" spans="4:7" ht="13.5">
      <c r="D429" s="11"/>
      <c r="E429" s="86"/>
      <c r="F429" s="85"/>
      <c r="G429" s="85"/>
    </row>
    <row r="430" spans="4:7" ht="13.5">
      <c r="D430" s="11"/>
      <c r="E430" s="86"/>
      <c r="F430" s="85"/>
      <c r="G430" s="85"/>
    </row>
    <row r="431" spans="4:7" ht="13.5">
      <c r="D431" s="11"/>
      <c r="E431" s="86"/>
      <c r="F431" s="85"/>
      <c r="G431" s="85"/>
    </row>
    <row r="432" spans="4:7" ht="13.5">
      <c r="D432" s="11"/>
      <c r="E432" s="86"/>
      <c r="F432" s="85"/>
      <c r="G432" s="85"/>
    </row>
    <row r="433" spans="4:7" ht="13.5">
      <c r="D433" s="11"/>
      <c r="E433" s="86"/>
      <c r="F433" s="85"/>
      <c r="G433" s="85"/>
    </row>
    <row r="434" spans="4:7" ht="13.5">
      <c r="D434" s="11"/>
      <c r="E434" s="86"/>
      <c r="F434" s="85"/>
      <c r="G434" s="85"/>
    </row>
    <row r="435" spans="4:7" ht="13.5">
      <c r="D435" s="11"/>
      <c r="E435" s="86"/>
      <c r="F435" s="85"/>
      <c r="G435" s="85"/>
    </row>
    <row r="436" spans="4:7" ht="13.5">
      <c r="D436" s="11"/>
      <c r="E436" s="86"/>
      <c r="F436" s="85"/>
      <c r="G436" s="85"/>
    </row>
    <row r="437" spans="4:7" ht="13.5">
      <c r="D437" s="11"/>
      <c r="E437" s="86"/>
      <c r="F437" s="85"/>
      <c r="G437" s="85"/>
    </row>
    <row r="438" spans="4:7" ht="13.5">
      <c r="D438" s="11"/>
      <c r="E438" s="86"/>
      <c r="F438" s="85"/>
      <c r="G438" s="85"/>
    </row>
    <row r="439" spans="4:7" ht="13.5">
      <c r="D439" s="11"/>
      <c r="E439" s="86"/>
      <c r="F439" s="85"/>
      <c r="G439" s="85"/>
    </row>
    <row r="440" spans="4:7" ht="13.5">
      <c r="D440" s="11"/>
      <c r="E440" s="86"/>
      <c r="F440" s="85"/>
      <c r="G440" s="85"/>
    </row>
    <row r="441" spans="4:7" ht="13.5">
      <c r="D441" s="11"/>
      <c r="E441" s="86"/>
      <c r="F441" s="85"/>
      <c r="G441" s="85"/>
    </row>
    <row r="442" spans="4:7" ht="13.5">
      <c r="D442" s="11"/>
      <c r="E442" s="86"/>
      <c r="F442" s="85"/>
      <c r="G442" s="85"/>
    </row>
    <row r="443" spans="4:7" ht="13.5">
      <c r="D443" s="11"/>
      <c r="E443" s="86"/>
      <c r="F443" s="85"/>
      <c r="G443" s="85"/>
    </row>
    <row r="444" spans="4:7" ht="13.5">
      <c r="D444" s="11"/>
      <c r="E444" s="86"/>
      <c r="F444" s="85"/>
      <c r="G444" s="85"/>
    </row>
    <row r="445" spans="4:7" ht="13.5">
      <c r="D445" s="11"/>
      <c r="E445" s="86"/>
      <c r="F445" s="85"/>
      <c r="G445" s="85"/>
    </row>
    <row r="446" spans="4:7" ht="13.5">
      <c r="D446" s="11"/>
      <c r="E446" s="86"/>
      <c r="F446" s="85"/>
      <c r="G446" s="85"/>
    </row>
    <row r="447" spans="4:7" ht="13.5">
      <c r="D447" s="11"/>
      <c r="E447" s="86"/>
      <c r="F447" s="85"/>
      <c r="G447" s="85"/>
    </row>
    <row r="448" spans="4:7" ht="13.5">
      <c r="D448" s="11"/>
      <c r="E448" s="86"/>
      <c r="F448" s="85"/>
      <c r="G448" s="85"/>
    </row>
    <row r="449" spans="4:7" ht="13.5">
      <c r="D449" s="11"/>
      <c r="E449" s="86"/>
      <c r="F449" s="85"/>
      <c r="G449" s="85"/>
    </row>
    <row r="450" spans="4:7" ht="13.5">
      <c r="D450" s="11"/>
      <c r="E450" s="86"/>
      <c r="F450" s="85"/>
      <c r="G450" s="85"/>
    </row>
    <row r="451" spans="4:7" ht="13.5">
      <c r="D451" s="11"/>
      <c r="E451" s="86"/>
      <c r="F451" s="85"/>
      <c r="G451" s="85"/>
    </row>
    <row r="452" spans="4:7" ht="13.5">
      <c r="D452" s="11"/>
      <c r="E452" s="86"/>
      <c r="F452" s="85"/>
      <c r="G452" s="85"/>
    </row>
    <row r="453" spans="4:7" ht="13.5">
      <c r="D453" s="11"/>
      <c r="E453" s="86"/>
      <c r="F453" s="85"/>
      <c r="G453" s="85"/>
    </row>
    <row r="454" spans="4:7" ht="13.5">
      <c r="D454" s="11"/>
      <c r="E454" s="86"/>
      <c r="F454" s="85"/>
      <c r="G454" s="85"/>
    </row>
    <row r="455" spans="4:7" ht="13.5">
      <c r="D455" s="11"/>
      <c r="E455" s="86"/>
      <c r="F455" s="85"/>
      <c r="G455" s="85"/>
    </row>
    <row r="456" spans="4:7" ht="13.5">
      <c r="D456" s="11"/>
      <c r="E456" s="86"/>
      <c r="F456" s="85"/>
      <c r="G456" s="85"/>
    </row>
    <row r="457" spans="4:7" ht="13.5">
      <c r="D457" s="11"/>
      <c r="E457" s="86"/>
      <c r="F457" s="85"/>
      <c r="G457" s="85"/>
    </row>
    <row r="458" spans="4:7" ht="13.5">
      <c r="D458" s="11"/>
      <c r="E458" s="86"/>
      <c r="F458" s="85"/>
      <c r="G458" s="85"/>
    </row>
    <row r="459" spans="4:7" ht="13.5">
      <c r="D459" s="11"/>
      <c r="E459" s="86"/>
      <c r="F459" s="85"/>
      <c r="G459" s="85"/>
    </row>
    <row r="460" spans="4:7" ht="13.5">
      <c r="D460" s="11"/>
      <c r="E460" s="86"/>
      <c r="F460" s="85"/>
      <c r="G460" s="85"/>
    </row>
    <row r="461" spans="4:7" ht="13.5">
      <c r="D461" s="11"/>
      <c r="E461" s="86"/>
      <c r="F461" s="85"/>
      <c r="G461" s="85"/>
    </row>
    <row r="462" spans="4:7" ht="13.5">
      <c r="D462" s="11"/>
      <c r="E462" s="86"/>
      <c r="F462" s="85"/>
      <c r="G462" s="85"/>
    </row>
    <row r="463" spans="4:7" ht="13.5">
      <c r="D463" s="11"/>
      <c r="E463" s="86"/>
      <c r="F463" s="85"/>
      <c r="G463" s="85"/>
    </row>
    <row r="464" spans="4:7" ht="13.5">
      <c r="D464" s="11"/>
      <c r="E464" s="86"/>
      <c r="F464" s="85"/>
      <c r="G464" s="85"/>
    </row>
    <row r="465" spans="4:7" ht="13.5">
      <c r="D465" s="11"/>
      <c r="E465" s="86"/>
      <c r="F465" s="85"/>
      <c r="G465" s="85"/>
    </row>
    <row r="466" spans="4:7" ht="13.5">
      <c r="D466" s="11"/>
      <c r="E466" s="86"/>
      <c r="F466" s="85"/>
      <c r="G466" s="85"/>
    </row>
    <row r="467" spans="4:7" ht="13.5">
      <c r="D467" s="11"/>
      <c r="E467" s="86"/>
      <c r="F467" s="85"/>
      <c r="G467" s="85"/>
    </row>
    <row r="468" spans="4:7" ht="13.5">
      <c r="D468" s="11"/>
      <c r="E468" s="86"/>
      <c r="F468" s="85"/>
      <c r="G468" s="85"/>
    </row>
    <row r="469" spans="4:7" ht="13.5">
      <c r="D469" s="11"/>
      <c r="E469" s="86"/>
      <c r="F469" s="85"/>
      <c r="G469" s="85"/>
    </row>
    <row r="470" spans="4:7" ht="13.5">
      <c r="D470" s="11"/>
      <c r="E470" s="86"/>
      <c r="F470" s="85"/>
      <c r="G470" s="85"/>
    </row>
    <row r="471" spans="4:7" ht="13.5">
      <c r="D471" s="11"/>
      <c r="E471" s="86"/>
      <c r="F471" s="85"/>
      <c r="G471" s="85"/>
    </row>
    <row r="472" spans="4:7" ht="13.5">
      <c r="D472" s="11"/>
      <c r="E472" s="86"/>
      <c r="F472" s="85"/>
      <c r="G472" s="85"/>
    </row>
    <row r="473" spans="4:7" ht="13.5">
      <c r="D473" s="11"/>
      <c r="E473" s="86"/>
      <c r="F473" s="85"/>
      <c r="G473" s="85"/>
    </row>
    <row r="474" spans="4:7" ht="13.5">
      <c r="D474" s="11"/>
      <c r="E474" s="86"/>
      <c r="F474" s="85"/>
      <c r="G474" s="85"/>
    </row>
    <row r="475" spans="4:7" ht="13.5">
      <c r="D475" s="11"/>
      <c r="E475" s="86"/>
      <c r="F475" s="85"/>
      <c r="G475" s="85"/>
    </row>
    <row r="476" spans="4:7" ht="13.5">
      <c r="D476" s="11"/>
      <c r="E476" s="86"/>
      <c r="F476" s="85"/>
      <c r="G476" s="85"/>
    </row>
    <row r="477" spans="4:7" ht="13.5">
      <c r="D477" s="11"/>
      <c r="E477" s="86"/>
      <c r="F477" s="85"/>
      <c r="G477" s="85"/>
    </row>
    <row r="478" spans="4:7" ht="13.5">
      <c r="D478" s="11"/>
      <c r="E478" s="86"/>
      <c r="F478" s="85"/>
      <c r="G478" s="85"/>
    </row>
    <row r="479" spans="4:7" ht="13.5">
      <c r="D479" s="11"/>
      <c r="E479" s="86"/>
      <c r="F479" s="85"/>
      <c r="G479" s="85"/>
    </row>
    <row r="480" spans="4:7" ht="13.5">
      <c r="D480" s="11"/>
      <c r="E480" s="86"/>
      <c r="F480" s="85"/>
      <c r="G480" s="85"/>
    </row>
    <row r="481" spans="4:7" ht="13.5">
      <c r="D481" s="11"/>
      <c r="E481" s="86"/>
      <c r="F481" s="85"/>
      <c r="G481" s="85"/>
    </row>
    <row r="482" spans="4:7" ht="13.5">
      <c r="D482" s="11"/>
      <c r="E482" s="86"/>
      <c r="F482" s="85"/>
      <c r="G482" s="85"/>
    </row>
    <row r="483" spans="4:7" ht="13.5">
      <c r="D483" s="11"/>
      <c r="E483" s="86"/>
      <c r="F483" s="85"/>
      <c r="G483" s="85"/>
    </row>
    <row r="484" spans="4:7" ht="13.5">
      <c r="D484" s="11"/>
      <c r="E484" s="86"/>
      <c r="F484" s="85"/>
      <c r="G484" s="85"/>
    </row>
    <row r="485" spans="4:7" ht="13.5">
      <c r="D485" s="11"/>
      <c r="E485" s="86"/>
      <c r="F485" s="85"/>
      <c r="G485" s="85"/>
    </row>
    <row r="486" spans="4:7" ht="13.5">
      <c r="D486" s="11"/>
      <c r="E486" s="86"/>
      <c r="F486" s="85"/>
      <c r="G486" s="85"/>
    </row>
    <row r="487" spans="4:7" ht="13.5">
      <c r="D487" s="11"/>
      <c r="E487" s="86"/>
      <c r="F487" s="85"/>
      <c r="G487" s="85"/>
    </row>
    <row r="488" spans="4:7" ht="13.5">
      <c r="D488" s="11"/>
      <c r="E488" s="86"/>
      <c r="F488" s="85"/>
      <c r="G488" s="85"/>
    </row>
    <row r="489" spans="4:7" ht="13.5">
      <c r="D489" s="11"/>
      <c r="E489" s="86"/>
      <c r="F489" s="85"/>
      <c r="G489" s="85"/>
    </row>
    <row r="490" spans="4:7" ht="13.5">
      <c r="D490" s="11"/>
      <c r="E490" s="86"/>
      <c r="F490" s="85"/>
      <c r="G490" s="85"/>
    </row>
    <row r="491" spans="4:7" ht="13.5">
      <c r="D491" s="11"/>
      <c r="E491" s="86"/>
      <c r="F491" s="85"/>
      <c r="G491" s="85"/>
    </row>
    <row r="492" spans="4:7" ht="13.5">
      <c r="D492" s="11"/>
      <c r="E492" s="86"/>
      <c r="F492" s="85"/>
      <c r="G492" s="85"/>
    </row>
    <row r="493" spans="4:7" ht="13.5">
      <c r="D493" s="11"/>
      <c r="E493" s="86"/>
      <c r="F493" s="85"/>
      <c r="G493" s="85"/>
    </row>
    <row r="494" spans="4:7" ht="13.5">
      <c r="D494" s="11"/>
      <c r="E494" s="86"/>
      <c r="F494" s="85"/>
      <c r="G494" s="85"/>
    </row>
    <row r="495" spans="4:7" ht="13.5">
      <c r="D495" s="11"/>
      <c r="E495" s="86"/>
      <c r="F495" s="85"/>
      <c r="G495" s="85"/>
    </row>
    <row r="496" spans="4:7" ht="13.5">
      <c r="D496" s="11"/>
      <c r="E496" s="86"/>
      <c r="F496" s="85"/>
      <c r="G496" s="85"/>
    </row>
    <row r="497" spans="4:7" ht="13.5">
      <c r="D497" s="11"/>
      <c r="E497" s="86"/>
      <c r="F497" s="85"/>
      <c r="G497" s="85"/>
    </row>
    <row r="498" spans="4:7" ht="13.5">
      <c r="D498" s="11"/>
      <c r="E498" s="86"/>
      <c r="F498" s="85"/>
      <c r="G498" s="85"/>
    </row>
    <row r="499" spans="4:7" ht="13.5">
      <c r="D499" s="11"/>
      <c r="E499" s="86"/>
      <c r="F499" s="85"/>
      <c r="G499" s="85"/>
    </row>
    <row r="500" spans="4:7" ht="13.5">
      <c r="D500" s="11"/>
      <c r="E500" s="86"/>
      <c r="F500" s="85"/>
      <c r="G500" s="85"/>
    </row>
    <row r="501" spans="4:7" ht="13.5">
      <c r="D501" s="11"/>
      <c r="E501" s="86"/>
      <c r="F501" s="85"/>
      <c r="G501" s="85"/>
    </row>
    <row r="502" spans="4:7" ht="13.5">
      <c r="D502" s="11"/>
      <c r="E502" s="86"/>
      <c r="F502" s="85"/>
      <c r="G502" s="85"/>
    </row>
    <row r="503" spans="4:7" ht="13.5">
      <c r="D503" s="11"/>
      <c r="E503" s="86"/>
      <c r="F503" s="85"/>
      <c r="G503" s="85"/>
    </row>
    <row r="504" spans="4:7" ht="13.5">
      <c r="D504" s="11"/>
      <c r="E504" s="86"/>
      <c r="F504" s="85"/>
      <c r="G504" s="85"/>
    </row>
    <row r="505" spans="4:7" ht="13.5">
      <c r="D505" s="11"/>
      <c r="E505" s="86"/>
      <c r="F505" s="85"/>
      <c r="G505" s="85"/>
    </row>
    <row r="506" spans="4:7" ht="13.5">
      <c r="D506" s="11"/>
      <c r="E506" s="86"/>
      <c r="F506" s="85"/>
      <c r="G506" s="85"/>
    </row>
    <row r="507" spans="4:7" ht="13.5">
      <c r="D507" s="11"/>
      <c r="E507" s="86"/>
      <c r="F507" s="85"/>
      <c r="G507" s="85"/>
    </row>
    <row r="508" spans="4:7" ht="13.5">
      <c r="D508" s="11"/>
      <c r="E508" s="86"/>
      <c r="F508" s="85"/>
      <c r="G508" s="85"/>
    </row>
    <row r="509" spans="4:7" ht="13.5">
      <c r="D509" s="11"/>
      <c r="E509" s="86"/>
      <c r="F509" s="85"/>
      <c r="G509" s="85"/>
    </row>
    <row r="510" spans="4:7" ht="13.5">
      <c r="D510" s="11"/>
      <c r="E510" s="86"/>
      <c r="F510" s="85"/>
      <c r="G510" s="85"/>
    </row>
    <row r="511" spans="4:7" ht="13.5">
      <c r="D511" s="11"/>
      <c r="E511" s="86"/>
      <c r="F511" s="85"/>
      <c r="G511" s="85"/>
    </row>
    <row r="512" spans="4:7" ht="13.5">
      <c r="D512" s="11"/>
      <c r="E512" s="86"/>
      <c r="F512" s="85"/>
      <c r="G512" s="85"/>
    </row>
    <row r="513" spans="4:7" ht="13.5">
      <c r="D513" s="11"/>
      <c r="E513" s="86"/>
      <c r="F513" s="85"/>
      <c r="G513" s="85"/>
    </row>
    <row r="514" spans="4:7" ht="13.5">
      <c r="D514" s="11"/>
      <c r="E514" s="86"/>
      <c r="F514" s="85"/>
      <c r="G514" s="85"/>
    </row>
    <row r="515" spans="4:7" ht="13.5">
      <c r="D515" s="11"/>
      <c r="E515" s="86"/>
      <c r="F515" s="85"/>
      <c r="G515" s="85"/>
    </row>
    <row r="516" spans="4:7" ht="13.5">
      <c r="D516" s="11"/>
      <c r="E516" s="86"/>
      <c r="F516" s="85"/>
      <c r="G516" s="85"/>
    </row>
    <row r="517" spans="4:7" ht="13.5">
      <c r="D517" s="11"/>
      <c r="E517" s="86"/>
      <c r="F517" s="85"/>
      <c r="G517" s="85"/>
    </row>
    <row r="518" spans="4:7" ht="13.5">
      <c r="D518" s="11"/>
      <c r="E518" s="86"/>
      <c r="F518" s="85"/>
      <c r="G518" s="85"/>
    </row>
    <row r="519" spans="4:7" ht="13.5">
      <c r="D519" s="11"/>
      <c r="E519" s="86"/>
      <c r="F519" s="85"/>
      <c r="G519" s="85"/>
    </row>
    <row r="520" spans="4:7" ht="13.5">
      <c r="D520" s="11"/>
      <c r="E520" s="86"/>
      <c r="F520" s="85"/>
      <c r="G520" s="85"/>
    </row>
    <row r="521" spans="4:7" ht="13.5">
      <c r="D521" s="11"/>
      <c r="E521" s="86"/>
      <c r="F521" s="85"/>
      <c r="G521" s="85"/>
    </row>
    <row r="522" spans="4:7" ht="13.5">
      <c r="D522" s="11"/>
      <c r="E522" s="86"/>
      <c r="F522" s="85"/>
      <c r="G522" s="85"/>
    </row>
    <row r="523" spans="4:7" ht="13.5">
      <c r="D523" s="11"/>
      <c r="E523" s="86"/>
      <c r="F523" s="85"/>
      <c r="G523" s="85"/>
    </row>
    <row r="524" spans="4:7" ht="13.5">
      <c r="D524" s="11"/>
      <c r="E524" s="86"/>
      <c r="F524" s="85"/>
      <c r="G524" s="85"/>
    </row>
    <row r="525" spans="4:7" ht="13.5">
      <c r="D525" s="11"/>
      <c r="E525" s="86"/>
      <c r="F525" s="85"/>
      <c r="G525" s="85"/>
    </row>
    <row r="526" spans="4:7" ht="13.5">
      <c r="D526" s="11"/>
      <c r="E526" s="86"/>
      <c r="F526" s="85"/>
      <c r="G526" s="85"/>
    </row>
    <row r="527" spans="4:7" ht="13.5">
      <c r="D527" s="11"/>
      <c r="E527" s="86"/>
      <c r="F527" s="85"/>
      <c r="G527" s="85"/>
    </row>
    <row r="528" spans="4:7" ht="13.5">
      <c r="D528" s="11"/>
      <c r="E528" s="86"/>
      <c r="F528" s="85"/>
      <c r="G528" s="85"/>
    </row>
    <row r="529" spans="4:7" ht="13.5">
      <c r="D529" s="11"/>
      <c r="E529" s="86"/>
      <c r="F529" s="85"/>
      <c r="G529" s="85"/>
    </row>
    <row r="530" spans="4:7" ht="13.5">
      <c r="D530" s="11"/>
      <c r="E530" s="86"/>
      <c r="F530" s="85"/>
      <c r="G530" s="85"/>
    </row>
    <row r="531" spans="4:7" ht="13.5">
      <c r="D531" s="11"/>
      <c r="E531" s="86"/>
      <c r="F531" s="85"/>
      <c r="G531" s="85"/>
    </row>
    <row r="532" spans="4:7" ht="13.5">
      <c r="D532" s="11"/>
      <c r="E532" s="86"/>
      <c r="F532" s="85"/>
      <c r="G532" s="85"/>
    </row>
    <row r="533" spans="4:7" ht="13.5">
      <c r="D533" s="11"/>
      <c r="E533" s="86"/>
      <c r="F533" s="85"/>
      <c r="G533" s="85"/>
    </row>
    <row r="534" spans="4:7" ht="13.5">
      <c r="D534" s="11"/>
      <c r="E534" s="86"/>
      <c r="F534" s="85"/>
      <c r="G534" s="85"/>
    </row>
    <row r="535" spans="4:7" ht="13.5">
      <c r="D535" s="11"/>
      <c r="E535" s="86"/>
      <c r="F535" s="85"/>
      <c r="G535" s="85"/>
    </row>
    <row r="536" spans="4:7" ht="13.5">
      <c r="D536" s="11"/>
      <c r="E536" s="86"/>
      <c r="F536" s="85"/>
      <c r="G536" s="85"/>
    </row>
    <row r="537" spans="4:7" ht="13.5">
      <c r="D537" s="11"/>
      <c r="E537" s="86"/>
      <c r="F537" s="85"/>
      <c r="G537" s="85"/>
    </row>
    <row r="538" spans="4:7" ht="13.5">
      <c r="D538" s="11"/>
      <c r="E538" s="86"/>
      <c r="F538" s="85"/>
      <c r="G538" s="85"/>
    </row>
    <row r="539" spans="4:7" ht="13.5">
      <c r="D539" s="11"/>
      <c r="E539" s="86"/>
      <c r="F539" s="85"/>
      <c r="G539" s="85"/>
    </row>
    <row r="540" spans="4:7" ht="13.5">
      <c r="D540" s="11"/>
      <c r="E540" s="86"/>
      <c r="F540" s="85"/>
      <c r="G540" s="85"/>
    </row>
    <row r="541" spans="4:7" ht="13.5">
      <c r="D541" s="11"/>
      <c r="E541" s="86"/>
      <c r="F541" s="85"/>
      <c r="G541" s="85"/>
    </row>
    <row r="542" spans="4:7" ht="13.5">
      <c r="D542" s="11"/>
      <c r="E542" s="86"/>
      <c r="F542" s="85"/>
      <c r="G542" s="85"/>
    </row>
    <row r="543" spans="4:7" ht="13.5">
      <c r="D543" s="11"/>
      <c r="E543" s="86"/>
      <c r="F543" s="85"/>
      <c r="G543" s="85"/>
    </row>
    <row r="544" spans="4:7" ht="13.5">
      <c r="D544" s="11"/>
      <c r="E544" s="86"/>
      <c r="F544" s="85"/>
      <c r="G544" s="85"/>
    </row>
    <row r="545" spans="4:7" ht="13.5">
      <c r="D545" s="11"/>
      <c r="E545" s="86"/>
      <c r="F545" s="85"/>
      <c r="G545" s="85"/>
    </row>
    <row r="546" spans="4:7" ht="13.5">
      <c r="D546" s="11"/>
      <c r="E546" s="86"/>
      <c r="F546" s="85"/>
      <c r="G546" s="85"/>
    </row>
    <row r="547" spans="4:7" ht="13.5">
      <c r="D547" s="11"/>
      <c r="E547" s="86"/>
      <c r="F547" s="85"/>
      <c r="G547" s="85"/>
    </row>
    <row r="548" spans="4:7" ht="13.5">
      <c r="D548" s="11"/>
      <c r="E548" s="86"/>
      <c r="F548" s="85"/>
      <c r="G548" s="85"/>
    </row>
    <row r="549" spans="4:7" ht="13.5">
      <c r="D549" s="11"/>
      <c r="E549" s="86"/>
      <c r="F549" s="85"/>
      <c r="G549" s="85"/>
    </row>
    <row r="550" spans="4:7" ht="13.5">
      <c r="D550" s="11"/>
      <c r="E550" s="86"/>
      <c r="F550" s="85"/>
      <c r="G550" s="85"/>
    </row>
    <row r="551" spans="4:7" ht="13.5">
      <c r="D551" s="11"/>
      <c r="E551" s="86"/>
      <c r="F551" s="85"/>
      <c r="G551" s="85"/>
    </row>
    <row r="552" spans="4:7" ht="13.5">
      <c r="D552" s="11"/>
      <c r="E552" s="86"/>
      <c r="F552" s="85"/>
      <c r="G552" s="85"/>
    </row>
    <row r="553" spans="4:7" ht="13.5">
      <c r="D553" s="11"/>
      <c r="E553" s="86"/>
      <c r="F553" s="85"/>
      <c r="G553" s="85"/>
    </row>
    <row r="554" spans="4:7" ht="13.5">
      <c r="D554" s="11"/>
      <c r="E554" s="86"/>
      <c r="F554" s="85"/>
      <c r="G554" s="85"/>
    </row>
    <row r="555" spans="4:7" ht="13.5">
      <c r="D555" s="11"/>
      <c r="E555" s="86"/>
      <c r="F555" s="85"/>
      <c r="G555" s="85"/>
    </row>
    <row r="556" spans="4:7" ht="13.5">
      <c r="D556" s="11"/>
      <c r="E556" s="86"/>
      <c r="F556" s="85"/>
      <c r="G556" s="85"/>
    </row>
    <row r="557" spans="4:7" ht="13.5">
      <c r="D557" s="11"/>
      <c r="E557" s="86"/>
      <c r="F557" s="85"/>
      <c r="G557" s="85"/>
    </row>
    <row r="558" spans="4:7" ht="13.5">
      <c r="D558" s="11"/>
      <c r="E558" s="86"/>
      <c r="F558" s="85"/>
      <c r="G558" s="85"/>
    </row>
    <row r="559" spans="4:7" ht="13.5">
      <c r="D559" s="11"/>
      <c r="E559" s="86"/>
      <c r="F559" s="85"/>
      <c r="G559" s="85"/>
    </row>
    <row r="560" spans="4:7" ht="13.5">
      <c r="D560" s="11"/>
      <c r="E560" s="86"/>
      <c r="F560" s="85"/>
      <c r="G560" s="85"/>
    </row>
    <row r="561" spans="4:7" ht="13.5">
      <c r="D561" s="11"/>
      <c r="E561" s="86"/>
      <c r="F561" s="85"/>
      <c r="G561" s="85"/>
    </row>
    <row r="562" spans="4:7" ht="13.5">
      <c r="D562" s="11"/>
      <c r="E562" s="86"/>
      <c r="F562" s="85"/>
      <c r="G562" s="85"/>
    </row>
    <row r="563" spans="4:7" ht="13.5">
      <c r="D563" s="11"/>
      <c r="E563" s="86"/>
      <c r="F563" s="85"/>
      <c r="G563" s="85"/>
    </row>
    <row r="564" spans="4:7" ht="13.5">
      <c r="D564" s="11"/>
      <c r="E564" s="86"/>
      <c r="F564" s="85"/>
      <c r="G564" s="85"/>
    </row>
    <row r="565" spans="4:7" ht="13.5">
      <c r="D565" s="11"/>
      <c r="E565" s="86"/>
      <c r="F565" s="85"/>
      <c r="G565" s="85"/>
    </row>
    <row r="566" spans="4:7" ht="13.5">
      <c r="D566" s="11"/>
      <c r="E566" s="86"/>
      <c r="F566" s="85"/>
      <c r="G566" s="85"/>
    </row>
    <row r="567" spans="4:7" ht="13.5">
      <c r="D567" s="11"/>
      <c r="E567" s="86"/>
      <c r="F567" s="85"/>
      <c r="G567" s="85"/>
    </row>
    <row r="568" spans="4:7" ht="13.5">
      <c r="D568" s="11"/>
      <c r="E568" s="86"/>
      <c r="F568" s="85"/>
      <c r="G568" s="85"/>
    </row>
    <row r="569" spans="4:7" ht="13.5">
      <c r="D569" s="11"/>
      <c r="E569" s="86"/>
      <c r="F569" s="85"/>
      <c r="G569" s="85"/>
    </row>
    <row r="570" spans="4:7" ht="13.5">
      <c r="D570" s="11"/>
      <c r="E570" s="86"/>
      <c r="F570" s="85"/>
      <c r="G570" s="85"/>
    </row>
    <row r="571" spans="4:7" ht="13.5">
      <c r="D571" s="11"/>
      <c r="E571" s="86"/>
      <c r="F571" s="85"/>
      <c r="G571" s="85"/>
    </row>
    <row r="572" spans="4:7" ht="13.5">
      <c r="D572" s="11"/>
      <c r="E572" s="86"/>
      <c r="F572" s="85"/>
      <c r="G572" s="85"/>
    </row>
    <row r="573" spans="4:7" ht="13.5">
      <c r="D573" s="11"/>
      <c r="E573" s="86"/>
      <c r="F573" s="85"/>
      <c r="G573" s="85"/>
    </row>
    <row r="574" spans="4:7" ht="13.5">
      <c r="D574" s="11"/>
      <c r="E574" s="86"/>
      <c r="F574" s="85"/>
      <c r="G574" s="85"/>
    </row>
    <row r="575" spans="4:7" ht="13.5">
      <c r="D575" s="11"/>
      <c r="E575" s="86"/>
      <c r="F575" s="85"/>
      <c r="G575" s="85"/>
    </row>
    <row r="576" spans="4:7" ht="13.5">
      <c r="D576" s="11"/>
      <c r="E576" s="86"/>
      <c r="F576" s="85"/>
      <c r="G576" s="85"/>
    </row>
    <row r="577" spans="4:7" ht="13.5">
      <c r="D577" s="11"/>
      <c r="E577" s="86"/>
      <c r="F577" s="85"/>
      <c r="G577" s="85"/>
    </row>
    <row r="578" spans="4:7" ht="13.5">
      <c r="D578" s="11"/>
      <c r="E578" s="86"/>
      <c r="F578" s="85"/>
      <c r="G578" s="85"/>
    </row>
    <row r="579" spans="4:7" ht="13.5">
      <c r="D579" s="11"/>
      <c r="E579" s="86"/>
      <c r="F579" s="85"/>
      <c r="G579" s="85"/>
    </row>
    <row r="580" spans="4:7" ht="13.5">
      <c r="D580" s="11"/>
      <c r="E580" s="86"/>
      <c r="F580" s="85"/>
      <c r="G580" s="85"/>
    </row>
    <row r="581" spans="4:7" ht="13.5">
      <c r="D581" s="11"/>
      <c r="E581" s="86"/>
      <c r="F581" s="85"/>
      <c r="G581" s="85"/>
    </row>
    <row r="582" spans="4:7" ht="13.5">
      <c r="D582" s="11"/>
      <c r="E582" s="86"/>
      <c r="F582" s="85"/>
      <c r="G582" s="85"/>
    </row>
    <row r="583" spans="4:7" ht="13.5">
      <c r="D583" s="11"/>
      <c r="E583" s="86"/>
      <c r="F583" s="85"/>
      <c r="G583" s="85"/>
    </row>
    <row r="584" spans="4:7" ht="13.5">
      <c r="D584" s="11"/>
      <c r="E584" s="86"/>
      <c r="F584" s="85"/>
      <c r="G584" s="85"/>
    </row>
    <row r="585" spans="4:7" ht="13.5">
      <c r="D585" s="11"/>
      <c r="E585" s="86"/>
      <c r="F585" s="85"/>
      <c r="G585" s="85"/>
    </row>
    <row r="586" spans="4:7" ht="13.5">
      <c r="D586" s="11"/>
      <c r="E586" s="86"/>
      <c r="F586" s="85"/>
      <c r="G586" s="85"/>
    </row>
    <row r="587" spans="4:7" ht="13.5">
      <c r="D587" s="11"/>
      <c r="E587" s="86"/>
      <c r="F587" s="85"/>
      <c r="G587" s="85"/>
    </row>
    <row r="588" spans="4:7" ht="13.5">
      <c r="D588" s="11"/>
      <c r="E588" s="86"/>
      <c r="F588" s="85"/>
      <c r="G588" s="85"/>
    </row>
    <row r="589" spans="4:7" ht="13.5">
      <c r="D589" s="11"/>
      <c r="E589" s="86"/>
      <c r="F589" s="85"/>
      <c r="G589" s="85"/>
    </row>
    <row r="590" spans="4:7" ht="13.5">
      <c r="D590" s="11"/>
      <c r="E590" s="86"/>
      <c r="F590" s="85"/>
      <c r="G590" s="85"/>
    </row>
    <row r="591" spans="4:7" ht="13.5">
      <c r="D591" s="11"/>
      <c r="E591" s="86"/>
      <c r="F591" s="85"/>
      <c r="G591" s="85"/>
    </row>
    <row r="592" spans="4:7" ht="13.5">
      <c r="D592" s="11"/>
      <c r="E592" s="86"/>
      <c r="F592" s="85"/>
      <c r="G592" s="85"/>
    </row>
    <row r="593" spans="4:7" ht="13.5">
      <c r="D593" s="11"/>
      <c r="E593" s="86"/>
      <c r="F593" s="85"/>
      <c r="G593" s="85"/>
    </row>
    <row r="594" spans="4:7" ht="13.5">
      <c r="D594" s="11"/>
      <c r="E594" s="86"/>
      <c r="F594" s="85"/>
      <c r="G594" s="85"/>
    </row>
    <row r="595" spans="4:7" ht="13.5">
      <c r="D595" s="11"/>
      <c r="E595" s="86"/>
      <c r="F595" s="85"/>
      <c r="G595" s="85"/>
    </row>
    <row r="596" spans="4:7" ht="13.5">
      <c r="D596" s="11"/>
      <c r="E596" s="86"/>
      <c r="F596" s="85"/>
      <c r="G596" s="85"/>
    </row>
    <row r="597" spans="4:7" ht="13.5">
      <c r="D597" s="11"/>
      <c r="E597" s="86"/>
      <c r="F597" s="85"/>
      <c r="G597" s="85"/>
    </row>
    <row r="598" spans="4:7" ht="13.5">
      <c r="D598" s="11"/>
      <c r="E598" s="86"/>
      <c r="F598" s="85"/>
      <c r="G598" s="85"/>
    </row>
    <row r="599" spans="4:7" ht="13.5">
      <c r="D599" s="11"/>
      <c r="E599" s="86"/>
      <c r="F599" s="85"/>
      <c r="G599" s="85"/>
    </row>
    <row r="600" spans="4:7" ht="13.5">
      <c r="D600" s="11"/>
      <c r="E600" s="86"/>
      <c r="F600" s="85"/>
      <c r="G600" s="85"/>
    </row>
    <row r="601" spans="4:7" ht="13.5">
      <c r="D601" s="11"/>
      <c r="E601" s="86"/>
      <c r="F601" s="85"/>
      <c r="G601" s="85"/>
    </row>
    <row r="602" spans="4:7" ht="13.5">
      <c r="D602" s="11"/>
      <c r="E602" s="86"/>
      <c r="F602" s="85"/>
      <c r="G602" s="85"/>
    </row>
    <row r="603" spans="4:7" ht="13.5">
      <c r="D603" s="11"/>
      <c r="E603" s="86"/>
      <c r="F603" s="85"/>
      <c r="G603" s="85"/>
    </row>
    <row r="604" spans="4:7" ht="13.5">
      <c r="D604" s="11"/>
      <c r="E604" s="86"/>
      <c r="F604" s="85"/>
      <c r="G604" s="85"/>
    </row>
    <row r="605" spans="4:7" ht="13.5">
      <c r="D605" s="11"/>
      <c r="E605" s="86"/>
      <c r="F605" s="85"/>
      <c r="G605" s="85"/>
    </row>
    <row r="606" spans="4:7" ht="13.5">
      <c r="D606" s="11"/>
      <c r="E606" s="86"/>
      <c r="F606" s="85"/>
      <c r="G606" s="85"/>
    </row>
    <row r="607" spans="4:7" ht="13.5">
      <c r="D607" s="11"/>
      <c r="E607" s="86"/>
      <c r="F607" s="85"/>
      <c r="G607" s="85"/>
    </row>
    <row r="608" spans="4:7" ht="13.5">
      <c r="D608" s="11"/>
      <c r="E608" s="86"/>
      <c r="F608" s="85"/>
      <c r="G608" s="85"/>
    </row>
    <row r="609" spans="4:7" ht="13.5">
      <c r="D609" s="11"/>
      <c r="E609" s="86"/>
      <c r="F609" s="85"/>
      <c r="G609" s="85"/>
    </row>
    <row r="610" spans="4:7" ht="13.5">
      <c r="D610" s="11"/>
      <c r="E610" s="86"/>
      <c r="F610" s="85"/>
      <c r="G610" s="85"/>
    </row>
    <row r="611" spans="4:7" ht="13.5">
      <c r="D611" s="11"/>
      <c r="E611" s="86"/>
      <c r="F611" s="85"/>
      <c r="G611" s="85"/>
    </row>
    <row r="612" spans="4:7" ht="13.5">
      <c r="D612" s="11"/>
      <c r="E612" s="86"/>
      <c r="F612" s="85"/>
      <c r="G612" s="85"/>
    </row>
    <row r="613" spans="4:7" ht="13.5">
      <c r="D613" s="11"/>
      <c r="E613" s="86"/>
      <c r="F613" s="85"/>
      <c r="G613" s="85"/>
    </row>
    <row r="614" spans="4:7" ht="13.5">
      <c r="D614" s="11"/>
      <c r="E614" s="86"/>
      <c r="F614" s="85"/>
      <c r="G614" s="85"/>
    </row>
    <row r="615" spans="4:7" ht="13.5">
      <c r="D615" s="11"/>
      <c r="E615" s="86"/>
      <c r="F615" s="85"/>
      <c r="G615" s="85"/>
    </row>
    <row r="616" spans="4:7" ht="13.5">
      <c r="D616" s="11"/>
      <c r="E616" s="86"/>
      <c r="F616" s="85"/>
      <c r="G616" s="85"/>
    </row>
    <row r="617" spans="4:7" ht="13.5">
      <c r="D617" s="11"/>
      <c r="E617" s="86"/>
      <c r="F617" s="85"/>
      <c r="G617" s="85"/>
    </row>
    <row r="618" spans="4:7" ht="13.5">
      <c r="D618" s="11"/>
      <c r="E618" s="86"/>
      <c r="F618" s="85"/>
      <c r="G618" s="85"/>
    </row>
    <row r="619" spans="4:7" ht="13.5">
      <c r="D619" s="11"/>
      <c r="E619" s="86"/>
      <c r="F619" s="85"/>
      <c r="G619" s="85"/>
    </row>
    <row r="620" spans="4:7" ht="13.5">
      <c r="D620" s="11"/>
      <c r="E620" s="86"/>
      <c r="F620" s="85"/>
      <c r="G620" s="85"/>
    </row>
    <row r="621" spans="4:7" ht="13.5">
      <c r="D621" s="11"/>
      <c r="E621" s="86"/>
      <c r="F621" s="85"/>
      <c r="G621" s="85"/>
    </row>
    <row r="622" spans="4:7" ht="13.5">
      <c r="D622" s="11"/>
      <c r="E622" s="86"/>
      <c r="F622" s="85"/>
      <c r="G622" s="85"/>
    </row>
    <row r="623" spans="4:7" ht="13.5">
      <c r="D623" s="11"/>
      <c r="E623" s="86"/>
      <c r="F623" s="85"/>
      <c r="G623" s="85"/>
    </row>
    <row r="624" spans="4:7" ht="13.5">
      <c r="D624" s="11"/>
      <c r="E624" s="86"/>
      <c r="F624" s="85"/>
      <c r="G624" s="85"/>
    </row>
    <row r="625" spans="4:7" ht="13.5">
      <c r="D625" s="11"/>
      <c r="E625" s="86"/>
      <c r="F625" s="85"/>
      <c r="G625" s="85"/>
    </row>
    <row r="626" spans="4:7" ht="13.5">
      <c r="D626" s="11"/>
      <c r="E626" s="86"/>
      <c r="F626" s="85"/>
      <c r="G626" s="85"/>
    </row>
    <row r="627" spans="4:7" ht="13.5">
      <c r="D627" s="11"/>
      <c r="E627" s="86"/>
      <c r="F627" s="85"/>
      <c r="G627" s="85"/>
    </row>
    <row r="628" spans="4:7" ht="13.5">
      <c r="D628" s="11"/>
      <c r="E628" s="86"/>
      <c r="F628" s="85"/>
      <c r="G628" s="85"/>
    </row>
    <row r="629" spans="4:7" ht="13.5">
      <c r="D629" s="11"/>
      <c r="E629" s="86"/>
      <c r="F629" s="85"/>
      <c r="G629" s="85"/>
    </row>
    <row r="630" spans="4:7" ht="13.5">
      <c r="D630" s="11"/>
      <c r="E630" s="86"/>
      <c r="F630" s="85"/>
      <c r="G630" s="85"/>
    </row>
    <row r="631" spans="4:7" ht="13.5">
      <c r="D631" s="11"/>
      <c r="E631" s="86"/>
      <c r="F631" s="85"/>
      <c r="G631" s="85"/>
    </row>
    <row r="632" spans="4:7" ht="13.5">
      <c r="D632" s="11"/>
      <c r="E632" s="86"/>
      <c r="F632" s="85"/>
      <c r="G632" s="85"/>
    </row>
    <row r="633" spans="4:7" ht="13.5">
      <c r="D633" s="11"/>
      <c r="E633" s="86"/>
      <c r="F633" s="85"/>
      <c r="G633" s="85"/>
    </row>
    <row r="634" spans="4:7" ht="13.5">
      <c r="D634" s="11"/>
      <c r="E634" s="86"/>
      <c r="F634" s="85"/>
      <c r="G634" s="85"/>
    </row>
    <row r="635" spans="4:7" ht="13.5">
      <c r="D635" s="11"/>
      <c r="E635" s="86"/>
      <c r="F635" s="85"/>
      <c r="G635" s="85"/>
    </row>
    <row r="636" spans="4:7" ht="13.5">
      <c r="D636" s="11"/>
      <c r="E636" s="86"/>
      <c r="F636" s="85"/>
      <c r="G636" s="85"/>
    </row>
    <row r="637" spans="4:7" ht="13.5">
      <c r="D637" s="11"/>
      <c r="E637" s="86"/>
      <c r="F637" s="85"/>
      <c r="G637" s="85"/>
    </row>
    <row r="638" spans="4:7" ht="13.5">
      <c r="D638" s="11"/>
      <c r="E638" s="86"/>
      <c r="F638" s="85"/>
      <c r="G638" s="85"/>
    </row>
    <row r="639" spans="4:7" ht="13.5">
      <c r="D639" s="11"/>
      <c r="E639" s="86"/>
      <c r="F639" s="85"/>
      <c r="G639" s="85"/>
    </row>
    <row r="640" spans="4:7" ht="13.5">
      <c r="D640" s="11"/>
      <c r="E640" s="86"/>
      <c r="F640" s="85"/>
      <c r="G640" s="85"/>
    </row>
    <row r="641" spans="4:7" ht="13.5">
      <c r="D641" s="11"/>
      <c r="E641" s="86"/>
      <c r="F641" s="85"/>
      <c r="G641" s="85"/>
    </row>
    <row r="642" spans="4:7" ht="13.5">
      <c r="D642" s="11"/>
      <c r="E642" s="86"/>
      <c r="F642" s="85"/>
      <c r="G642" s="85"/>
    </row>
    <row r="643" spans="4:7" ht="13.5">
      <c r="D643" s="11"/>
      <c r="E643" s="86"/>
      <c r="F643" s="85"/>
      <c r="G643" s="85"/>
    </row>
    <row r="644" spans="4:7" ht="13.5">
      <c r="D644" s="11"/>
      <c r="E644" s="86"/>
      <c r="F644" s="85"/>
      <c r="G644" s="85"/>
    </row>
    <row r="645" spans="4:7" ht="13.5">
      <c r="D645" s="11"/>
      <c r="E645" s="86"/>
      <c r="F645" s="85"/>
      <c r="G645" s="85"/>
    </row>
    <row r="646" spans="4:7" ht="13.5">
      <c r="D646" s="11"/>
      <c r="E646" s="86"/>
      <c r="F646" s="85"/>
      <c r="G646" s="85"/>
    </row>
    <row r="647" spans="4:7" ht="13.5">
      <c r="D647" s="11"/>
      <c r="E647" s="86"/>
      <c r="F647" s="85"/>
      <c r="G647" s="85"/>
    </row>
    <row r="648" spans="4:7" ht="13.5">
      <c r="D648" s="11"/>
      <c r="E648" s="86"/>
      <c r="F648" s="85"/>
      <c r="G648" s="85"/>
    </row>
    <row r="649" spans="4:7" ht="13.5">
      <c r="D649" s="11"/>
      <c r="E649" s="86"/>
      <c r="F649" s="85"/>
      <c r="G649" s="85"/>
    </row>
    <row r="650" spans="4:7" ht="13.5">
      <c r="D650" s="11"/>
      <c r="E650" s="86"/>
      <c r="F650" s="85"/>
      <c r="G650" s="85"/>
    </row>
    <row r="651" spans="4:7" ht="13.5">
      <c r="D651" s="11"/>
      <c r="E651" s="86"/>
      <c r="F651" s="85"/>
      <c r="G651" s="85"/>
    </row>
    <row r="652" spans="4:7" ht="13.5">
      <c r="D652" s="11"/>
      <c r="E652" s="86"/>
      <c r="F652" s="85"/>
      <c r="G652" s="85"/>
    </row>
    <row r="653" spans="4:7" ht="13.5">
      <c r="D653" s="11"/>
      <c r="E653" s="86"/>
      <c r="F653" s="85"/>
      <c r="G653" s="85"/>
    </row>
    <row r="654" spans="4:7" ht="13.5">
      <c r="D654" s="11"/>
      <c r="E654" s="86"/>
      <c r="F654" s="85"/>
      <c r="G654" s="85"/>
    </row>
    <row r="655" spans="4:7" ht="13.5">
      <c r="D655" s="11"/>
      <c r="E655" s="86"/>
      <c r="F655" s="85"/>
      <c r="G655" s="85"/>
    </row>
    <row r="656" spans="4:7" ht="13.5">
      <c r="D656" s="11"/>
      <c r="E656" s="86"/>
      <c r="F656" s="85"/>
      <c r="G656" s="85"/>
    </row>
    <row r="657" spans="4:7" ht="13.5">
      <c r="D657" s="11"/>
      <c r="E657" s="86"/>
      <c r="F657" s="85"/>
      <c r="G657" s="85"/>
    </row>
    <row r="658" spans="4:7" ht="13.5">
      <c r="D658" s="11"/>
      <c r="E658" s="86"/>
      <c r="F658" s="85"/>
      <c r="G658" s="85"/>
    </row>
    <row r="659" spans="4:7" ht="13.5">
      <c r="D659" s="11"/>
      <c r="E659" s="86"/>
      <c r="F659" s="85"/>
      <c r="G659" s="85"/>
    </row>
    <row r="660" spans="4:7" ht="13.5">
      <c r="D660" s="11"/>
      <c r="E660" s="86"/>
      <c r="F660" s="85"/>
      <c r="G660" s="85"/>
    </row>
    <row r="661" spans="4:7" ht="13.5">
      <c r="D661" s="11"/>
      <c r="E661" s="86"/>
      <c r="F661" s="85"/>
      <c r="G661" s="85"/>
    </row>
    <row r="662" spans="4:7" ht="13.5">
      <c r="D662" s="11"/>
      <c r="E662" s="86"/>
      <c r="F662" s="85"/>
      <c r="G662" s="85"/>
    </row>
    <row r="663" spans="4:7" ht="13.5">
      <c r="D663" s="11"/>
      <c r="E663" s="86"/>
      <c r="F663" s="85"/>
      <c r="G663" s="85"/>
    </row>
    <row r="664" spans="4:7" ht="13.5">
      <c r="D664" s="11"/>
      <c r="E664" s="86"/>
      <c r="F664" s="85"/>
      <c r="G664" s="85"/>
    </row>
    <row r="665" spans="4:7" ht="13.5">
      <c r="D665" s="11"/>
      <c r="E665" s="86"/>
      <c r="F665" s="85"/>
      <c r="G665" s="85"/>
    </row>
    <row r="666" spans="4:7" ht="13.5">
      <c r="D666" s="11"/>
      <c r="E666" s="86"/>
      <c r="F666" s="85"/>
      <c r="G666" s="85"/>
    </row>
    <row r="667" spans="4:7" ht="13.5">
      <c r="D667" s="11"/>
      <c r="E667" s="86"/>
      <c r="F667" s="85"/>
      <c r="G667" s="85"/>
    </row>
    <row r="668" spans="4:7" ht="13.5">
      <c r="D668" s="11"/>
      <c r="E668" s="86"/>
      <c r="F668" s="85"/>
      <c r="G668" s="85"/>
    </row>
    <row r="669" spans="4:7" ht="13.5">
      <c r="D669" s="11"/>
      <c r="E669" s="86"/>
      <c r="F669" s="85"/>
      <c r="G669" s="85"/>
    </row>
    <row r="670" spans="4:7" ht="13.5">
      <c r="D670" s="11"/>
      <c r="E670" s="86"/>
      <c r="F670" s="85"/>
      <c r="G670" s="85"/>
    </row>
    <row r="671" spans="4:7" ht="13.5">
      <c r="D671" s="11"/>
      <c r="E671" s="86"/>
      <c r="F671" s="85"/>
      <c r="G671" s="85"/>
    </row>
    <row r="672" spans="4:7" ht="13.5">
      <c r="D672" s="11"/>
      <c r="E672" s="86"/>
      <c r="F672" s="85"/>
      <c r="G672" s="85"/>
    </row>
    <row r="673" spans="4:7" ht="13.5">
      <c r="D673" s="11"/>
      <c r="E673" s="86"/>
      <c r="F673" s="85"/>
      <c r="G673" s="85"/>
    </row>
    <row r="674" spans="4:7" ht="13.5">
      <c r="D674" s="11"/>
      <c r="E674" s="86"/>
      <c r="F674" s="85"/>
      <c r="G674" s="85"/>
    </row>
    <row r="675" spans="4:7" ht="13.5">
      <c r="D675" s="11"/>
      <c r="E675" s="86"/>
      <c r="F675" s="85"/>
      <c r="G675" s="85"/>
    </row>
    <row r="676" spans="4:7" ht="13.5">
      <c r="D676" s="11"/>
      <c r="E676" s="86"/>
      <c r="F676" s="85"/>
      <c r="G676" s="85"/>
    </row>
    <row r="677" spans="4:7" ht="13.5">
      <c r="D677" s="11"/>
      <c r="E677" s="86"/>
      <c r="F677" s="85"/>
      <c r="G677" s="85"/>
    </row>
    <row r="678" spans="4:7" ht="13.5">
      <c r="D678" s="11"/>
      <c r="E678" s="86"/>
      <c r="F678" s="85"/>
      <c r="G678" s="85"/>
    </row>
    <row r="679" spans="4:7" ht="13.5">
      <c r="D679" s="11"/>
      <c r="E679" s="86"/>
      <c r="F679" s="85"/>
      <c r="G679" s="85"/>
    </row>
    <row r="680" spans="4:7" ht="13.5">
      <c r="D680" s="11"/>
      <c r="E680" s="86"/>
      <c r="F680" s="85"/>
      <c r="G680" s="85"/>
    </row>
    <row r="681" spans="4:7" ht="13.5">
      <c r="D681" s="11"/>
      <c r="E681" s="86"/>
      <c r="F681" s="85"/>
      <c r="G681" s="85"/>
    </row>
    <row r="682" spans="4:7" ht="13.5">
      <c r="D682" s="11"/>
      <c r="E682" s="86"/>
      <c r="F682" s="85"/>
      <c r="G682" s="85"/>
    </row>
    <row r="683" spans="4:7" ht="13.5">
      <c r="D683" s="11"/>
      <c r="E683" s="86"/>
      <c r="F683" s="85"/>
      <c r="G683" s="85"/>
    </row>
    <row r="684" spans="4:7" ht="13.5">
      <c r="D684" s="11"/>
      <c r="E684" s="86"/>
      <c r="F684" s="85"/>
      <c r="G684" s="85"/>
    </row>
    <row r="685" spans="4:7" ht="13.5">
      <c r="D685" s="11"/>
      <c r="E685" s="86"/>
      <c r="F685" s="85"/>
      <c r="G685" s="85"/>
    </row>
    <row r="686" spans="4:7" ht="13.5">
      <c r="D686" s="11"/>
      <c r="E686" s="86"/>
      <c r="F686" s="85"/>
      <c r="G686" s="85"/>
    </row>
    <row r="687" spans="4:7" ht="13.5">
      <c r="D687" s="11"/>
      <c r="E687" s="86"/>
      <c r="F687" s="85"/>
      <c r="G687" s="85"/>
    </row>
    <row r="688" spans="4:7" ht="13.5">
      <c r="D688" s="11"/>
      <c r="E688" s="86"/>
      <c r="F688" s="85"/>
      <c r="G688" s="85"/>
    </row>
    <row r="689" spans="4:7" ht="13.5">
      <c r="D689" s="11"/>
      <c r="E689" s="86"/>
      <c r="F689" s="85"/>
      <c r="G689" s="85"/>
    </row>
    <row r="690" spans="4:7" ht="13.5">
      <c r="D690" s="11"/>
      <c r="E690" s="86"/>
      <c r="F690" s="85"/>
      <c r="G690" s="85"/>
    </row>
    <row r="691" spans="4:7" ht="13.5">
      <c r="D691" s="11"/>
      <c r="E691" s="86"/>
      <c r="F691" s="85"/>
      <c r="G691" s="85"/>
    </row>
    <row r="692" spans="4:7" ht="13.5">
      <c r="D692" s="11"/>
      <c r="E692" s="86"/>
      <c r="F692" s="85"/>
      <c r="G692" s="85"/>
    </row>
    <row r="693" spans="4:7" ht="13.5">
      <c r="D693" s="11"/>
      <c r="E693" s="86"/>
      <c r="F693" s="85"/>
      <c r="G693" s="85"/>
    </row>
    <row r="694" spans="4:7" ht="13.5">
      <c r="D694" s="11"/>
      <c r="E694" s="86"/>
      <c r="F694" s="85"/>
      <c r="G694" s="85"/>
    </row>
    <row r="695" spans="4:7" ht="13.5">
      <c r="D695" s="11"/>
      <c r="E695" s="86"/>
      <c r="F695" s="85"/>
      <c r="G695" s="85"/>
    </row>
    <row r="696" spans="4:7" ht="13.5">
      <c r="D696" s="11"/>
      <c r="E696" s="86"/>
      <c r="F696" s="85"/>
      <c r="G696" s="85"/>
    </row>
    <row r="697" spans="4:7" ht="13.5">
      <c r="D697" s="11"/>
      <c r="E697" s="86"/>
      <c r="F697" s="85"/>
      <c r="G697" s="85"/>
    </row>
    <row r="698" spans="4:7" ht="13.5">
      <c r="D698" s="11"/>
      <c r="E698" s="86"/>
      <c r="F698" s="85"/>
      <c r="G698" s="85"/>
    </row>
    <row r="699" spans="4:7" ht="13.5">
      <c r="D699" s="11"/>
      <c r="E699" s="86"/>
      <c r="F699" s="85"/>
      <c r="G699" s="85"/>
    </row>
    <row r="700" spans="4:7" ht="13.5">
      <c r="D700" s="11"/>
      <c r="E700" s="86"/>
      <c r="F700" s="85"/>
      <c r="G700" s="85"/>
    </row>
    <row r="701" spans="4:7" ht="13.5">
      <c r="D701" s="11"/>
      <c r="E701" s="86"/>
      <c r="F701" s="85"/>
      <c r="G701" s="85"/>
    </row>
    <row r="702" spans="4:7" ht="13.5">
      <c r="D702" s="11"/>
      <c r="E702" s="86"/>
      <c r="F702" s="85"/>
      <c r="G702" s="85"/>
    </row>
    <row r="703" spans="4:7" ht="13.5">
      <c r="D703" s="11"/>
      <c r="E703" s="86"/>
      <c r="F703" s="85"/>
      <c r="G703" s="85"/>
    </row>
    <row r="704" spans="4:7" ht="13.5">
      <c r="D704" s="11"/>
      <c r="E704" s="86"/>
      <c r="F704" s="85"/>
      <c r="G704" s="85"/>
    </row>
    <row r="705" spans="4:7" ht="13.5">
      <c r="D705" s="11"/>
      <c r="E705" s="86"/>
      <c r="F705" s="85"/>
      <c r="G705" s="85"/>
    </row>
    <row r="706" spans="4:7" ht="13.5">
      <c r="D706" s="11"/>
      <c r="E706" s="86"/>
      <c r="F706" s="85"/>
      <c r="G706" s="85"/>
    </row>
    <row r="707" spans="4:7" ht="13.5">
      <c r="D707" s="11"/>
      <c r="E707" s="86"/>
      <c r="F707" s="85"/>
      <c r="G707" s="85"/>
    </row>
    <row r="708" spans="4:7" ht="13.5">
      <c r="D708" s="11"/>
      <c r="E708" s="86"/>
      <c r="F708" s="85"/>
      <c r="G708" s="85"/>
    </row>
    <row r="709" spans="4:7" ht="13.5">
      <c r="D709" s="11"/>
      <c r="E709" s="86"/>
      <c r="F709" s="85"/>
      <c r="G709" s="85"/>
    </row>
    <row r="710" spans="4:7" ht="13.5">
      <c r="D710" s="11"/>
      <c r="E710" s="86"/>
      <c r="F710" s="85"/>
      <c r="G710" s="85"/>
    </row>
    <row r="711" spans="4:7" ht="13.5">
      <c r="D711" s="11"/>
      <c r="E711" s="86"/>
      <c r="F711" s="85"/>
      <c r="G711" s="85"/>
    </row>
    <row r="712" spans="4:7" ht="13.5">
      <c r="D712" s="11"/>
      <c r="E712" s="86"/>
      <c r="F712" s="85"/>
      <c r="G712" s="85"/>
    </row>
    <row r="713" spans="4:7" ht="13.5">
      <c r="D713" s="11"/>
      <c r="E713" s="86"/>
      <c r="F713" s="85"/>
      <c r="G713" s="85"/>
    </row>
    <row r="714" spans="4:7" ht="13.5">
      <c r="D714" s="11"/>
      <c r="E714" s="86"/>
      <c r="F714" s="85"/>
      <c r="G714" s="85"/>
    </row>
    <row r="715" spans="4:7" ht="13.5">
      <c r="D715" s="11"/>
      <c r="E715" s="86"/>
      <c r="F715" s="85"/>
      <c r="G715" s="85"/>
    </row>
    <row r="716" spans="4:7" ht="13.5">
      <c r="D716" s="11"/>
      <c r="E716" s="86"/>
      <c r="F716" s="85"/>
      <c r="G716" s="85"/>
    </row>
    <row r="717" spans="4:7" ht="13.5">
      <c r="D717" s="11"/>
      <c r="E717" s="86"/>
      <c r="F717" s="85"/>
      <c r="G717" s="85"/>
    </row>
    <row r="718" spans="4:7" ht="13.5">
      <c r="D718" s="11"/>
      <c r="E718" s="86"/>
      <c r="F718" s="85"/>
      <c r="G718" s="85"/>
    </row>
    <row r="719" spans="4:7" ht="13.5">
      <c r="D719" s="11"/>
      <c r="E719" s="86"/>
      <c r="F719" s="85"/>
      <c r="G719" s="85"/>
    </row>
    <row r="720" spans="4:7" ht="13.5">
      <c r="D720" s="11"/>
      <c r="E720" s="86"/>
      <c r="F720" s="85"/>
      <c r="G720" s="85"/>
    </row>
    <row r="721" spans="4:7" ht="13.5">
      <c r="D721" s="11"/>
      <c r="E721" s="86"/>
      <c r="F721" s="85"/>
      <c r="G721" s="85"/>
    </row>
    <row r="722" spans="4:7" ht="13.5">
      <c r="D722" s="11"/>
      <c r="E722" s="86"/>
      <c r="F722" s="85"/>
      <c r="G722" s="85"/>
    </row>
    <row r="723" spans="4:7" ht="13.5">
      <c r="D723" s="11"/>
      <c r="E723" s="86"/>
      <c r="F723" s="85"/>
      <c r="G723" s="85"/>
    </row>
    <row r="724" spans="4:7" ht="13.5">
      <c r="D724" s="11"/>
      <c r="E724" s="86"/>
      <c r="F724" s="85"/>
      <c r="G724" s="85"/>
    </row>
    <row r="725" spans="4:7" ht="13.5">
      <c r="D725" s="11"/>
      <c r="E725" s="86"/>
      <c r="F725" s="85"/>
      <c r="G725" s="85"/>
    </row>
    <row r="726" spans="4:7" ht="13.5">
      <c r="D726" s="11"/>
      <c r="E726" s="86"/>
      <c r="F726" s="85"/>
      <c r="G726" s="85"/>
    </row>
    <row r="727" spans="4:7" ht="13.5">
      <c r="D727" s="11"/>
      <c r="E727" s="86"/>
      <c r="F727" s="85"/>
      <c r="G727" s="85"/>
    </row>
    <row r="728" spans="4:7" ht="13.5">
      <c r="D728" s="11"/>
      <c r="E728" s="86"/>
      <c r="F728" s="85"/>
      <c r="G728" s="85"/>
    </row>
    <row r="729" spans="4:7" ht="13.5">
      <c r="D729" s="11"/>
      <c r="E729" s="86"/>
      <c r="F729" s="85"/>
      <c r="G729" s="85"/>
    </row>
    <row r="730" spans="4:7" ht="13.5">
      <c r="D730" s="11"/>
      <c r="E730" s="86"/>
      <c r="F730" s="85"/>
      <c r="G730" s="85"/>
    </row>
    <row r="731" spans="4:7" ht="13.5">
      <c r="D731" s="11"/>
      <c r="E731" s="86"/>
      <c r="F731" s="85"/>
      <c r="G731" s="85"/>
    </row>
    <row r="732" spans="4:7" ht="13.5">
      <c r="D732" s="11"/>
      <c r="E732" s="86"/>
      <c r="F732" s="85"/>
      <c r="G732" s="85"/>
    </row>
    <row r="733" spans="4:7" ht="13.5">
      <c r="D733" s="11"/>
      <c r="E733" s="86"/>
      <c r="F733" s="85"/>
      <c r="G733" s="85"/>
    </row>
    <row r="734" spans="4:7" ht="13.5">
      <c r="D734" s="11"/>
      <c r="E734" s="86"/>
      <c r="F734" s="85"/>
      <c r="G734" s="85"/>
    </row>
    <row r="735" spans="4:7" ht="13.5">
      <c r="D735" s="11"/>
      <c r="E735" s="86"/>
      <c r="F735" s="85"/>
      <c r="G735" s="85"/>
    </row>
    <row r="736" spans="4:7" ht="13.5">
      <c r="D736" s="11"/>
      <c r="E736" s="86"/>
      <c r="F736" s="85"/>
      <c r="G736" s="85"/>
    </row>
    <row r="737" spans="4:7" ht="13.5">
      <c r="D737" s="11"/>
      <c r="E737" s="86"/>
      <c r="F737" s="85"/>
      <c r="G737" s="85"/>
    </row>
    <row r="738" spans="4:7" ht="13.5">
      <c r="D738" s="11"/>
      <c r="E738" s="86"/>
      <c r="F738" s="85"/>
      <c r="G738" s="85"/>
    </row>
    <row r="739" spans="4:7" ht="13.5">
      <c r="D739" s="11"/>
      <c r="E739" s="86"/>
      <c r="F739" s="85"/>
      <c r="G739" s="85"/>
    </row>
    <row r="740" spans="4:7" ht="13.5">
      <c r="D740" s="11"/>
      <c r="E740" s="86"/>
      <c r="F740" s="85"/>
      <c r="G740" s="85"/>
    </row>
    <row r="741" spans="4:7" ht="13.5">
      <c r="D741" s="11"/>
      <c r="E741" s="86"/>
      <c r="F741" s="85"/>
      <c r="G741" s="85"/>
    </row>
    <row r="742" spans="4:7" ht="13.5">
      <c r="D742" s="11"/>
      <c r="E742" s="86"/>
      <c r="F742" s="85"/>
      <c r="G742" s="85"/>
    </row>
    <row r="743" spans="4:7" ht="13.5">
      <c r="D743" s="11"/>
      <c r="E743" s="86"/>
      <c r="F743" s="85"/>
      <c r="G743" s="85"/>
    </row>
    <row r="744" spans="4:7" ht="13.5">
      <c r="D744" s="11"/>
      <c r="E744" s="86"/>
      <c r="F744" s="85"/>
      <c r="G744" s="85"/>
    </row>
    <row r="745" spans="4:7" ht="13.5">
      <c r="D745" s="11"/>
      <c r="E745" s="86"/>
      <c r="F745" s="85"/>
      <c r="G745" s="85"/>
    </row>
    <row r="746" spans="4:7" ht="13.5">
      <c r="D746" s="11"/>
      <c r="E746" s="86"/>
      <c r="F746" s="85"/>
      <c r="G746" s="85"/>
    </row>
    <row r="747" spans="4:7" ht="13.5">
      <c r="D747" s="11"/>
      <c r="E747" s="86"/>
      <c r="F747" s="85"/>
      <c r="G747" s="85"/>
    </row>
    <row r="748" spans="4:7" ht="13.5">
      <c r="D748" s="11"/>
      <c r="E748" s="86"/>
      <c r="F748" s="85"/>
      <c r="G748" s="85"/>
    </row>
    <row r="749" spans="4:7" ht="13.5">
      <c r="D749" s="11"/>
      <c r="E749" s="86"/>
      <c r="F749" s="85"/>
      <c r="G749" s="85"/>
    </row>
    <row r="750" spans="4:7" ht="13.5">
      <c r="D750" s="11"/>
      <c r="E750" s="86"/>
      <c r="F750" s="85"/>
      <c r="G750" s="85"/>
    </row>
    <row r="751" spans="4:7" ht="13.5">
      <c r="D751" s="11"/>
      <c r="E751" s="86"/>
      <c r="F751" s="85"/>
      <c r="G751" s="85"/>
    </row>
    <row r="752" spans="4:7" ht="13.5">
      <c r="D752" s="11"/>
      <c r="E752" s="86"/>
      <c r="F752" s="85"/>
      <c r="G752" s="85"/>
    </row>
    <row r="753" spans="4:7" ht="13.5">
      <c r="D753" s="11"/>
      <c r="E753" s="86"/>
      <c r="F753" s="85"/>
      <c r="G753" s="85"/>
    </row>
    <row r="754" spans="4:7" ht="13.5">
      <c r="D754" s="11"/>
      <c r="E754" s="86"/>
      <c r="F754" s="85"/>
      <c r="G754" s="85"/>
    </row>
    <row r="755" spans="4:7" ht="13.5">
      <c r="D755" s="11"/>
      <c r="E755" s="86"/>
      <c r="F755" s="85"/>
      <c r="G755" s="85"/>
    </row>
    <row r="756" spans="4:7" ht="13.5">
      <c r="D756" s="11"/>
      <c r="E756" s="86"/>
      <c r="F756" s="85"/>
      <c r="G756" s="85"/>
    </row>
    <row r="757" spans="4:7" ht="13.5">
      <c r="D757" s="11"/>
      <c r="E757" s="86"/>
      <c r="F757" s="85"/>
      <c r="G757" s="85"/>
    </row>
    <row r="758" spans="4:7" ht="13.5">
      <c r="D758" s="11"/>
      <c r="E758" s="86"/>
      <c r="F758" s="85"/>
      <c r="G758" s="85"/>
    </row>
    <row r="759" spans="4:7" ht="13.5">
      <c r="D759" s="11"/>
      <c r="E759" s="86"/>
      <c r="F759" s="85"/>
      <c r="G759" s="85"/>
    </row>
    <row r="760" spans="4:7" ht="13.5">
      <c r="D760" s="11"/>
      <c r="E760" s="86"/>
      <c r="F760" s="85"/>
      <c r="G760" s="85"/>
    </row>
    <row r="761" spans="4:7" ht="13.5">
      <c r="D761" s="11"/>
      <c r="E761" s="86"/>
      <c r="F761" s="85"/>
      <c r="G761" s="85"/>
    </row>
    <row r="762" spans="4:7" ht="13.5">
      <c r="D762" s="11"/>
      <c r="E762" s="86"/>
      <c r="F762" s="85"/>
      <c r="G762" s="85"/>
    </row>
    <row r="763" spans="4:7" ht="13.5">
      <c r="D763" s="11"/>
      <c r="E763" s="86"/>
      <c r="F763" s="85"/>
      <c r="G763" s="85"/>
    </row>
    <row r="764" spans="4:7" ht="13.5">
      <c r="D764" s="11"/>
      <c r="E764" s="86"/>
      <c r="F764" s="85"/>
      <c r="G764" s="85"/>
    </row>
    <row r="765" spans="4:7" ht="13.5">
      <c r="D765" s="11"/>
      <c r="E765" s="86"/>
      <c r="F765" s="85"/>
      <c r="G765" s="85"/>
    </row>
    <row r="766" spans="4:7" ht="13.5">
      <c r="D766" s="11"/>
      <c r="E766" s="86"/>
      <c r="F766" s="85"/>
      <c r="G766" s="85"/>
    </row>
    <row r="767" spans="4:7" ht="13.5">
      <c r="D767" s="11"/>
      <c r="E767" s="86"/>
      <c r="F767" s="85"/>
      <c r="G767" s="85"/>
    </row>
    <row r="768" spans="4:7" ht="13.5">
      <c r="D768" s="11"/>
      <c r="E768" s="86"/>
      <c r="F768" s="85"/>
      <c r="G768" s="85"/>
    </row>
    <row r="769" spans="4:7" ht="13.5">
      <c r="D769" s="11"/>
      <c r="E769" s="86"/>
      <c r="F769" s="85"/>
      <c r="G769" s="85"/>
    </row>
    <row r="770" spans="4:7" ht="13.5">
      <c r="D770" s="11"/>
      <c r="E770" s="86"/>
      <c r="F770" s="85"/>
      <c r="G770" s="85"/>
    </row>
    <row r="771" spans="4:7" ht="13.5">
      <c r="D771" s="11"/>
      <c r="E771" s="86"/>
      <c r="F771" s="85"/>
      <c r="G771" s="85"/>
    </row>
    <row r="772" spans="4:7" ht="13.5">
      <c r="D772" s="11"/>
      <c r="E772" s="86"/>
      <c r="F772" s="85"/>
      <c r="G772" s="85"/>
    </row>
    <row r="773" spans="4:7" ht="13.5">
      <c r="D773" s="11"/>
      <c r="E773" s="86"/>
      <c r="F773" s="85"/>
      <c r="G773" s="85"/>
    </row>
    <row r="774" spans="4:7" ht="13.5">
      <c r="D774" s="11"/>
      <c r="E774" s="86"/>
      <c r="F774" s="85"/>
      <c r="G774" s="85"/>
    </row>
    <row r="775" spans="4:7" ht="13.5">
      <c r="D775" s="11"/>
      <c r="E775" s="86"/>
      <c r="F775" s="85"/>
      <c r="G775" s="85"/>
    </row>
    <row r="776" spans="4:7" ht="13.5">
      <c r="D776" s="11"/>
      <c r="E776" s="86"/>
      <c r="F776" s="85"/>
      <c r="G776" s="85"/>
    </row>
    <row r="777" spans="4:7" ht="13.5">
      <c r="D777" s="11"/>
      <c r="E777" s="86"/>
      <c r="F777" s="85"/>
      <c r="G777" s="85"/>
    </row>
    <row r="778" spans="4:7" ht="13.5">
      <c r="D778" s="11"/>
      <c r="E778" s="86"/>
      <c r="F778" s="85"/>
      <c r="G778" s="85"/>
    </row>
    <row r="779" spans="4:7" ht="13.5">
      <c r="D779" s="11"/>
      <c r="E779" s="86"/>
      <c r="F779" s="85"/>
      <c r="G779" s="85"/>
    </row>
    <row r="780" spans="4:7" ht="13.5">
      <c r="D780" s="11"/>
      <c r="E780" s="86"/>
      <c r="F780" s="85"/>
      <c r="G780" s="85"/>
    </row>
    <row r="781" spans="4:7" ht="13.5">
      <c r="D781" s="11"/>
      <c r="E781" s="86"/>
      <c r="F781" s="85"/>
      <c r="G781" s="85"/>
    </row>
    <row r="782" spans="4:7" ht="13.5">
      <c r="D782" s="11"/>
      <c r="E782" s="86"/>
      <c r="F782" s="85"/>
      <c r="G782" s="85"/>
    </row>
    <row r="783" spans="4:7" ht="13.5">
      <c r="D783" s="11"/>
      <c r="E783" s="86"/>
      <c r="F783" s="85"/>
      <c r="G783" s="85"/>
    </row>
    <row r="784" spans="4:7" ht="13.5">
      <c r="D784" s="11"/>
      <c r="E784" s="86"/>
      <c r="F784" s="85"/>
      <c r="G784" s="85"/>
    </row>
    <row r="785" spans="4:7" ht="13.5">
      <c r="D785" s="11"/>
      <c r="E785" s="86"/>
      <c r="F785" s="85"/>
      <c r="G785" s="85"/>
    </row>
    <row r="786" spans="4:7" ht="13.5">
      <c r="D786" s="11"/>
      <c r="E786" s="86"/>
      <c r="F786" s="85"/>
      <c r="G786" s="85"/>
    </row>
    <row r="787" spans="4:7" ht="13.5">
      <c r="D787" s="11"/>
      <c r="E787" s="86"/>
      <c r="F787" s="85"/>
      <c r="G787" s="85"/>
    </row>
    <row r="788" spans="4:7" ht="13.5">
      <c r="D788" s="11"/>
      <c r="E788" s="86"/>
      <c r="F788" s="85"/>
      <c r="G788" s="85"/>
    </row>
    <row r="789" spans="4:7" ht="13.5">
      <c r="D789" s="11"/>
      <c r="E789" s="86"/>
      <c r="F789" s="85"/>
      <c r="G789" s="85"/>
    </row>
    <row r="790" spans="4:7" ht="13.5">
      <c r="D790" s="11"/>
      <c r="E790" s="86"/>
      <c r="F790" s="85"/>
      <c r="G790" s="85"/>
    </row>
    <row r="791" spans="4:7" ht="13.5">
      <c r="D791" s="11"/>
      <c r="E791" s="86"/>
      <c r="F791" s="85"/>
      <c r="G791" s="85"/>
    </row>
    <row r="792" spans="4:7" ht="13.5">
      <c r="D792" s="11"/>
      <c r="E792" s="86"/>
      <c r="F792" s="85"/>
      <c r="G792" s="85"/>
    </row>
    <row r="793" spans="4:7" ht="13.5">
      <c r="D793" s="11"/>
      <c r="E793" s="86"/>
      <c r="F793" s="85"/>
      <c r="G793" s="85"/>
    </row>
    <row r="794" spans="4:7" ht="13.5">
      <c r="D794" s="11"/>
      <c r="E794" s="86"/>
      <c r="F794" s="85"/>
      <c r="G794" s="85"/>
    </row>
    <row r="795" spans="4:7" ht="13.5">
      <c r="D795" s="11"/>
      <c r="E795" s="86"/>
      <c r="F795" s="85"/>
      <c r="G795" s="85"/>
    </row>
    <row r="796" spans="4:7" ht="13.5">
      <c r="D796" s="11"/>
      <c r="E796" s="86"/>
      <c r="F796" s="85"/>
      <c r="G796" s="85"/>
    </row>
    <row r="797" spans="4:7" ht="13.5">
      <c r="D797" s="11"/>
      <c r="E797" s="86"/>
      <c r="F797" s="85"/>
      <c r="G797" s="85"/>
    </row>
    <row r="798" spans="4:7" ht="13.5">
      <c r="D798" s="11"/>
      <c r="E798" s="86"/>
      <c r="F798" s="85"/>
      <c r="G798" s="85"/>
    </row>
    <row r="799" spans="4:7" ht="13.5">
      <c r="D799" s="11"/>
      <c r="E799" s="86"/>
      <c r="F799" s="85"/>
      <c r="G799" s="85"/>
    </row>
    <row r="800" spans="4:7" ht="13.5">
      <c r="D800" s="11"/>
      <c r="E800" s="86"/>
      <c r="F800" s="85"/>
      <c r="G800" s="85"/>
    </row>
    <row r="801" spans="4:7" ht="13.5">
      <c r="D801" s="11"/>
      <c r="E801" s="86"/>
      <c r="F801" s="85"/>
      <c r="G801" s="85"/>
    </row>
    <row r="802" spans="4:7" ht="13.5">
      <c r="D802" s="11"/>
      <c r="E802" s="86"/>
      <c r="F802" s="85"/>
      <c r="G802" s="85"/>
    </row>
    <row r="803" spans="4:7" ht="13.5">
      <c r="D803" s="11"/>
      <c r="E803" s="86"/>
      <c r="F803" s="85"/>
      <c r="G803" s="85"/>
    </row>
    <row r="804" spans="4:7" ht="13.5">
      <c r="D804" s="11"/>
      <c r="E804" s="86"/>
      <c r="F804" s="85"/>
      <c r="G804" s="85"/>
    </row>
    <row r="805" spans="4:7" ht="13.5">
      <c r="D805" s="11"/>
      <c r="E805" s="86"/>
      <c r="F805" s="85"/>
      <c r="G805" s="85"/>
    </row>
    <row r="806" spans="4:7" ht="13.5">
      <c r="D806" s="11"/>
      <c r="E806" s="86"/>
      <c r="F806" s="85"/>
      <c r="G806" s="85"/>
    </row>
    <row r="807" spans="4:7" ht="13.5">
      <c r="D807" s="11"/>
      <c r="E807" s="86"/>
      <c r="F807" s="85"/>
      <c r="G807" s="85"/>
    </row>
    <row r="808" spans="4:7" ht="13.5">
      <c r="D808" s="11"/>
      <c r="E808" s="86"/>
      <c r="F808" s="85"/>
      <c r="G808" s="85"/>
    </row>
    <row r="809" spans="4:7" ht="13.5">
      <c r="D809" s="11"/>
      <c r="E809" s="86"/>
      <c r="F809" s="85"/>
      <c r="G809" s="85"/>
    </row>
    <row r="810" spans="4:7" ht="13.5">
      <c r="D810" s="11"/>
      <c r="E810" s="86"/>
      <c r="F810" s="85"/>
      <c r="G810" s="85"/>
    </row>
    <row r="811" spans="4:7" ht="13.5">
      <c r="D811" s="11"/>
      <c r="E811" s="86"/>
      <c r="F811" s="85"/>
      <c r="G811" s="85"/>
    </row>
    <row r="812" spans="4:7" ht="13.5">
      <c r="D812" s="11"/>
      <c r="E812" s="86"/>
      <c r="F812" s="85"/>
      <c r="G812" s="85"/>
    </row>
    <row r="813" spans="4:7" ht="13.5">
      <c r="D813" s="11"/>
      <c r="E813" s="86"/>
      <c r="F813" s="85"/>
      <c r="G813" s="85"/>
    </row>
    <row r="814" spans="4:7" ht="13.5">
      <c r="D814" s="11"/>
      <c r="E814" s="86"/>
      <c r="F814" s="85"/>
      <c r="G814" s="85"/>
    </row>
    <row r="815" spans="4:7" ht="13.5">
      <c r="D815" s="11"/>
      <c r="E815" s="86"/>
      <c r="F815" s="85"/>
      <c r="G815" s="85"/>
    </row>
    <row r="816" spans="4:7" ht="13.5">
      <c r="D816" s="11"/>
      <c r="E816" s="86"/>
      <c r="F816" s="85"/>
      <c r="G816" s="85"/>
    </row>
    <row r="817" spans="4:7" ht="13.5">
      <c r="D817" s="11"/>
      <c r="E817" s="86"/>
      <c r="F817" s="85"/>
      <c r="G817" s="85"/>
    </row>
    <row r="818" spans="4:7" ht="13.5">
      <c r="D818" s="11"/>
      <c r="E818" s="86"/>
      <c r="F818" s="85"/>
      <c r="G818" s="85"/>
    </row>
    <row r="819" spans="4:7" ht="13.5">
      <c r="D819" s="11"/>
      <c r="E819" s="86"/>
      <c r="F819" s="85"/>
      <c r="G819" s="85"/>
    </row>
    <row r="820" spans="4:7" ht="13.5">
      <c r="D820" s="11"/>
      <c r="E820" s="86"/>
      <c r="F820" s="85"/>
      <c r="G820" s="85"/>
    </row>
    <row r="821" spans="4:7" ht="13.5">
      <c r="D821" s="11"/>
      <c r="E821" s="86"/>
      <c r="F821" s="85"/>
      <c r="G821" s="85"/>
    </row>
    <row r="822" spans="4:7" ht="13.5">
      <c r="D822" s="11"/>
      <c r="E822" s="86"/>
      <c r="F822" s="85"/>
      <c r="G822" s="85"/>
    </row>
    <row r="823" spans="4:7" ht="13.5">
      <c r="D823" s="11"/>
      <c r="E823" s="86"/>
      <c r="F823" s="85"/>
      <c r="G823" s="85"/>
    </row>
    <row r="824" spans="4:7" ht="13.5">
      <c r="D824" s="11"/>
      <c r="E824" s="86"/>
      <c r="F824" s="85"/>
      <c r="G824" s="85"/>
    </row>
    <row r="825" spans="4:7" ht="13.5">
      <c r="D825" s="11"/>
      <c r="E825" s="86"/>
      <c r="F825" s="85"/>
      <c r="G825" s="85"/>
    </row>
    <row r="826" spans="4:7" ht="13.5">
      <c r="D826" s="11"/>
      <c r="E826" s="86"/>
      <c r="F826" s="85"/>
      <c r="G826" s="85"/>
    </row>
    <row r="827" spans="4:7" ht="13.5">
      <c r="D827" s="11"/>
      <c r="E827" s="86"/>
      <c r="F827" s="85"/>
      <c r="G827" s="85"/>
    </row>
    <row r="828" spans="4:7" ht="13.5">
      <c r="D828" s="11"/>
      <c r="E828" s="86"/>
      <c r="F828" s="85"/>
      <c r="G828" s="85"/>
    </row>
    <row r="829" spans="4:7" ht="13.5">
      <c r="D829" s="11"/>
      <c r="E829" s="86"/>
      <c r="F829" s="85"/>
      <c r="G829" s="85"/>
    </row>
    <row r="830" spans="4:7" ht="13.5">
      <c r="D830" s="11"/>
      <c r="E830" s="86"/>
      <c r="F830" s="85"/>
      <c r="G830" s="85"/>
    </row>
    <row r="831" spans="4:7" ht="13.5">
      <c r="D831" s="11"/>
      <c r="E831" s="86"/>
      <c r="F831" s="85"/>
      <c r="G831" s="85"/>
    </row>
    <row r="832" spans="4:7" ht="13.5">
      <c r="D832" s="11"/>
      <c r="E832" s="86"/>
      <c r="F832" s="85"/>
      <c r="G832" s="85"/>
    </row>
    <row r="833" spans="4:7" ht="13.5">
      <c r="D833" s="11"/>
      <c r="E833" s="86"/>
      <c r="F833" s="85"/>
      <c r="G833" s="85"/>
    </row>
    <row r="834" spans="4:7" ht="13.5">
      <c r="D834" s="11"/>
      <c r="E834" s="86"/>
      <c r="F834" s="85"/>
      <c r="G834" s="85"/>
    </row>
    <row r="835" spans="4:7" ht="13.5">
      <c r="D835" s="11"/>
      <c r="E835" s="86"/>
      <c r="F835" s="85"/>
      <c r="G835" s="85"/>
    </row>
    <row r="836" spans="4:7" ht="13.5">
      <c r="D836" s="11"/>
      <c r="E836" s="86"/>
      <c r="F836" s="85"/>
      <c r="G836" s="85"/>
    </row>
    <row r="837" spans="4:7" ht="13.5">
      <c r="D837" s="11"/>
      <c r="E837" s="86"/>
      <c r="F837" s="85"/>
      <c r="G837" s="85"/>
    </row>
    <row r="838" spans="4:7" ht="13.5">
      <c r="D838" s="11"/>
      <c r="E838" s="86"/>
      <c r="F838" s="85"/>
      <c r="G838" s="85"/>
    </row>
    <row r="839" spans="4:7" ht="13.5">
      <c r="D839" s="11"/>
      <c r="E839" s="86"/>
      <c r="F839" s="85"/>
      <c r="G839" s="85"/>
    </row>
    <row r="840" spans="4:7" ht="13.5">
      <c r="D840" s="11"/>
      <c r="E840" s="86"/>
      <c r="F840" s="85"/>
      <c r="G840" s="85"/>
    </row>
    <row r="841" spans="4:7" ht="13.5">
      <c r="D841" s="11"/>
      <c r="E841" s="86"/>
      <c r="F841" s="85"/>
      <c r="G841" s="85"/>
    </row>
    <row r="842" spans="4:7" ht="13.5">
      <c r="D842" s="11"/>
      <c r="E842" s="86"/>
      <c r="F842" s="85"/>
      <c r="G842" s="85"/>
    </row>
    <row r="843" spans="4:7" ht="13.5">
      <c r="D843" s="11"/>
      <c r="E843" s="86"/>
      <c r="F843" s="85"/>
      <c r="G843" s="85"/>
    </row>
    <row r="844" spans="4:7" ht="13.5">
      <c r="D844" s="11"/>
      <c r="E844" s="86"/>
      <c r="F844" s="85"/>
      <c r="G844" s="85"/>
    </row>
    <row r="845" spans="4:7" ht="13.5">
      <c r="D845" s="11"/>
      <c r="E845" s="86"/>
      <c r="F845" s="85"/>
      <c r="G845" s="85"/>
    </row>
    <row r="846" spans="4:7" ht="13.5">
      <c r="D846" s="11"/>
      <c r="E846" s="86"/>
      <c r="F846" s="85"/>
      <c r="G846" s="85"/>
    </row>
    <row r="847" spans="4:7" ht="13.5">
      <c r="D847" s="11"/>
      <c r="E847" s="86"/>
      <c r="F847" s="85"/>
      <c r="G847" s="85"/>
    </row>
    <row r="848" spans="4:7" ht="13.5">
      <c r="D848" s="11"/>
      <c r="E848" s="86"/>
      <c r="F848" s="85"/>
      <c r="G848" s="85"/>
    </row>
    <row r="849" spans="4:7" ht="13.5">
      <c r="D849" s="11"/>
      <c r="E849" s="86"/>
      <c r="F849" s="85"/>
      <c r="G849" s="85"/>
    </row>
    <row r="850" spans="4:7" ht="13.5">
      <c r="D850" s="11"/>
      <c r="E850" s="86"/>
      <c r="F850" s="85"/>
      <c r="G850" s="85"/>
    </row>
    <row r="851" spans="4:7" ht="13.5">
      <c r="D851" s="11"/>
      <c r="E851" s="86"/>
      <c r="F851" s="85"/>
      <c r="G851" s="85"/>
    </row>
    <row r="852" spans="4:7" ht="13.5">
      <c r="D852" s="11"/>
      <c r="E852" s="86"/>
      <c r="F852" s="85"/>
      <c r="G852" s="85"/>
    </row>
    <row r="853" spans="4:7" ht="13.5">
      <c r="D853" s="11"/>
      <c r="E853" s="86"/>
      <c r="F853" s="85"/>
      <c r="G853" s="85"/>
    </row>
    <row r="854" spans="4:7" ht="13.5">
      <c r="D854" s="11"/>
      <c r="E854" s="86"/>
      <c r="F854" s="85"/>
      <c r="G854" s="85"/>
    </row>
    <row r="855" spans="4:7" ht="13.5">
      <c r="D855" s="11"/>
      <c r="E855" s="86"/>
      <c r="F855" s="85"/>
      <c r="G855" s="85"/>
    </row>
    <row r="856" spans="4:7" ht="13.5">
      <c r="D856" s="11"/>
      <c r="E856" s="86"/>
      <c r="F856" s="85"/>
      <c r="G856" s="85"/>
    </row>
    <row r="857" spans="4:7" ht="13.5">
      <c r="D857" s="11"/>
      <c r="E857" s="86"/>
      <c r="F857" s="85"/>
      <c r="G857" s="85"/>
    </row>
    <row r="858" spans="4:7" ht="13.5">
      <c r="D858" s="11"/>
      <c r="E858" s="86"/>
      <c r="F858" s="85"/>
      <c r="G858" s="85"/>
    </row>
    <row r="859" spans="4:7" ht="13.5">
      <c r="D859" s="11"/>
      <c r="E859" s="86"/>
      <c r="F859" s="85"/>
      <c r="G859" s="85"/>
    </row>
    <row r="860" spans="4:7" ht="13.5">
      <c r="D860" s="11"/>
      <c r="E860" s="86"/>
      <c r="F860" s="85"/>
      <c r="G860" s="85"/>
    </row>
    <row r="861" spans="4:7" ht="13.5">
      <c r="D861" s="11"/>
      <c r="E861" s="86"/>
      <c r="F861" s="85"/>
      <c r="G861" s="85"/>
    </row>
    <row r="862" spans="4:7" ht="13.5">
      <c r="D862" s="11"/>
      <c r="E862" s="86"/>
      <c r="F862" s="85"/>
      <c r="G862" s="85"/>
    </row>
    <row r="863" spans="4:7" ht="13.5">
      <c r="D863" s="11"/>
      <c r="E863" s="86"/>
      <c r="F863" s="85"/>
      <c r="G863" s="85"/>
    </row>
    <row r="864" spans="4:7" ht="13.5">
      <c r="D864" s="11"/>
      <c r="E864" s="86"/>
      <c r="F864" s="85"/>
      <c r="G864" s="85"/>
    </row>
    <row r="865" spans="4:7" ht="13.5">
      <c r="D865" s="11"/>
      <c r="E865" s="86"/>
      <c r="F865" s="85"/>
      <c r="G865" s="85"/>
    </row>
    <row r="866" spans="4:7" ht="13.5">
      <c r="D866" s="11"/>
      <c r="E866" s="86"/>
      <c r="F866" s="85"/>
      <c r="G866" s="85"/>
    </row>
    <row r="867" spans="4:7" ht="13.5">
      <c r="D867" s="11"/>
      <c r="E867" s="86"/>
      <c r="F867" s="85"/>
      <c r="G867" s="85"/>
    </row>
    <row r="868" spans="4:7" ht="13.5">
      <c r="D868" s="11"/>
      <c r="E868" s="86"/>
      <c r="F868" s="85"/>
      <c r="G868" s="85"/>
    </row>
    <row r="869" spans="4:7" ht="13.5">
      <c r="D869" s="11"/>
      <c r="E869" s="86"/>
      <c r="F869" s="85"/>
      <c r="G869" s="85"/>
    </row>
    <row r="870" spans="4:7" ht="13.5">
      <c r="D870" s="11"/>
      <c r="E870" s="86"/>
      <c r="F870" s="85"/>
      <c r="G870" s="85"/>
    </row>
    <row r="871" spans="4:7" ht="13.5">
      <c r="D871" s="11"/>
      <c r="E871" s="86"/>
      <c r="F871" s="85"/>
      <c r="G871" s="85"/>
    </row>
    <row r="872" spans="4:7" ht="13.5">
      <c r="D872" s="11"/>
      <c r="E872" s="86"/>
      <c r="F872" s="85"/>
      <c r="G872" s="85"/>
    </row>
    <row r="873" spans="4:7" ht="13.5">
      <c r="D873" s="11"/>
      <c r="E873" s="86"/>
      <c r="F873" s="85"/>
      <c r="G873" s="85"/>
    </row>
    <row r="874" spans="4:7" ht="13.5">
      <c r="D874" s="11"/>
      <c r="E874" s="86"/>
      <c r="F874" s="85"/>
      <c r="G874" s="85"/>
    </row>
    <row r="875" spans="4:7" ht="13.5">
      <c r="D875" s="11"/>
      <c r="E875" s="86"/>
      <c r="F875" s="85"/>
      <c r="G875" s="85"/>
    </row>
    <row r="876" spans="4:7" ht="13.5">
      <c r="D876" s="11"/>
      <c r="E876" s="86"/>
      <c r="F876" s="85"/>
      <c r="G876" s="85"/>
    </row>
    <row r="877" spans="4:7" ht="13.5">
      <c r="D877" s="11"/>
      <c r="E877" s="86"/>
      <c r="F877" s="85"/>
      <c r="G877" s="85"/>
    </row>
    <row r="878" spans="4:7" ht="13.5">
      <c r="D878" s="11"/>
      <c r="E878" s="86"/>
      <c r="F878" s="85"/>
      <c r="G878" s="85"/>
    </row>
    <row r="879" spans="4:7" ht="13.5">
      <c r="D879" s="11"/>
      <c r="E879" s="86"/>
      <c r="F879" s="85"/>
      <c r="G879" s="85"/>
    </row>
    <row r="880" spans="4:7" ht="13.5">
      <c r="D880" s="11"/>
      <c r="E880" s="86"/>
      <c r="F880" s="85"/>
      <c r="G880" s="85"/>
    </row>
    <row r="881" spans="4:7" ht="13.5">
      <c r="D881" s="11"/>
      <c r="E881" s="86"/>
      <c r="F881" s="85"/>
      <c r="G881" s="85"/>
    </row>
    <row r="882" spans="4:7" ht="13.5">
      <c r="D882" s="11"/>
      <c r="E882" s="86"/>
      <c r="F882" s="85"/>
      <c r="G882" s="85"/>
    </row>
    <row r="883" spans="4:7" ht="13.5">
      <c r="D883" s="11"/>
      <c r="E883" s="86"/>
      <c r="F883" s="85"/>
      <c r="G883" s="85"/>
    </row>
    <row r="884" spans="4:7" ht="13.5">
      <c r="D884" s="11"/>
      <c r="E884" s="86"/>
      <c r="F884" s="85"/>
      <c r="G884" s="85"/>
    </row>
    <row r="885" spans="4:7" ht="13.5">
      <c r="D885" s="11"/>
      <c r="E885" s="86"/>
      <c r="F885" s="85"/>
      <c r="G885" s="85"/>
    </row>
    <row r="886" spans="4:7" ht="13.5">
      <c r="D886" s="11"/>
      <c r="E886" s="86"/>
      <c r="F886" s="85"/>
      <c r="G886" s="85"/>
    </row>
    <row r="887" spans="4:7" ht="13.5">
      <c r="D887" s="11"/>
      <c r="E887" s="86"/>
      <c r="F887" s="85"/>
      <c r="G887" s="85"/>
    </row>
    <row r="888" spans="4:7" ht="13.5">
      <c r="D888" s="11"/>
      <c r="E888" s="86"/>
      <c r="F888" s="85"/>
      <c r="G888" s="85"/>
    </row>
    <row r="889" spans="4:7" ht="13.5">
      <c r="D889" s="11"/>
      <c r="E889" s="86"/>
      <c r="F889" s="85"/>
      <c r="G889" s="85"/>
    </row>
    <row r="890" spans="4:7" ht="13.5">
      <c r="D890" s="11"/>
      <c r="E890" s="86"/>
      <c r="F890" s="85"/>
      <c r="G890" s="85"/>
    </row>
    <row r="891" spans="4:7" ht="13.5">
      <c r="D891" s="11"/>
      <c r="E891" s="86"/>
      <c r="F891" s="85"/>
      <c r="G891" s="85"/>
    </row>
    <row r="892" spans="4:7" ht="13.5">
      <c r="D892" s="11"/>
      <c r="E892" s="86"/>
      <c r="F892" s="85"/>
      <c r="G892" s="85"/>
    </row>
    <row r="893" spans="4:7" ht="13.5">
      <c r="D893" s="11"/>
      <c r="E893" s="86"/>
      <c r="F893" s="85"/>
      <c r="G893" s="85"/>
    </row>
    <row r="894" spans="4:7" ht="13.5">
      <c r="D894" s="11"/>
      <c r="E894" s="86"/>
      <c r="F894" s="85"/>
      <c r="G894" s="85"/>
    </row>
    <row r="895" spans="4:7" ht="13.5">
      <c r="D895" s="11"/>
      <c r="E895" s="86"/>
      <c r="F895" s="85"/>
      <c r="G895" s="85"/>
    </row>
    <row r="896" spans="4:7" ht="13.5">
      <c r="D896" s="11"/>
      <c r="E896" s="86"/>
      <c r="F896" s="85"/>
      <c r="G896" s="85"/>
    </row>
    <row r="897" spans="4:7" ht="13.5">
      <c r="D897" s="11"/>
      <c r="E897" s="86"/>
      <c r="F897" s="85"/>
      <c r="G897" s="85"/>
    </row>
    <row r="898" spans="4:7" ht="13.5">
      <c r="D898" s="11"/>
      <c r="E898" s="86"/>
      <c r="F898" s="85"/>
      <c r="G898" s="85"/>
    </row>
    <row r="899" spans="4:7" ht="13.5">
      <c r="D899" s="11"/>
      <c r="E899" s="86"/>
      <c r="F899" s="85"/>
      <c r="G899" s="85"/>
    </row>
    <row r="900" spans="4:7" ht="13.5">
      <c r="D900" s="11"/>
      <c r="E900" s="86"/>
      <c r="F900" s="85"/>
      <c r="G900" s="85"/>
    </row>
    <row r="901" spans="4:7" ht="13.5">
      <c r="D901" s="11"/>
      <c r="E901" s="86"/>
      <c r="F901" s="85"/>
      <c r="G901" s="85"/>
    </row>
    <row r="902" spans="4:7" ht="13.5">
      <c r="D902" s="11"/>
      <c r="E902" s="86"/>
      <c r="F902" s="85"/>
      <c r="G902" s="85"/>
    </row>
    <row r="903" spans="4:7" ht="13.5">
      <c r="D903" s="11"/>
      <c r="E903" s="86"/>
      <c r="F903" s="85"/>
      <c r="G903" s="85"/>
    </row>
    <row r="904" spans="4:7" ht="13.5">
      <c r="D904" s="11"/>
      <c r="E904" s="86"/>
      <c r="F904" s="85"/>
      <c r="G904" s="85"/>
    </row>
    <row r="905" spans="4:7" ht="13.5">
      <c r="D905" s="11"/>
      <c r="E905" s="86"/>
      <c r="F905" s="85"/>
      <c r="G905" s="85"/>
    </row>
    <row r="906" spans="4:7" ht="13.5">
      <c r="D906" s="11"/>
      <c r="E906" s="86"/>
      <c r="F906" s="85"/>
      <c r="G906" s="85"/>
    </row>
    <row r="907" spans="4:7" ht="13.5">
      <c r="D907" s="11"/>
      <c r="E907" s="86"/>
      <c r="F907" s="85"/>
      <c r="G907" s="85"/>
    </row>
    <row r="908" spans="4:7" ht="13.5">
      <c r="D908" s="11"/>
      <c r="E908" s="86"/>
      <c r="F908" s="85"/>
      <c r="G908" s="85"/>
    </row>
    <row r="909" spans="4:7" ht="13.5">
      <c r="D909" s="11"/>
      <c r="E909" s="86"/>
      <c r="F909" s="85"/>
      <c r="G909" s="85"/>
    </row>
    <row r="910" spans="4:7" ht="13.5">
      <c r="D910" s="11"/>
      <c r="E910" s="86"/>
      <c r="F910" s="85"/>
      <c r="G910" s="85"/>
    </row>
    <row r="911" spans="4:7" ht="13.5">
      <c r="D911" s="11"/>
      <c r="E911" s="86"/>
      <c r="F911" s="85"/>
      <c r="G911" s="85"/>
    </row>
    <row r="912" spans="4:7" ht="13.5">
      <c r="D912" s="11"/>
      <c r="E912" s="86"/>
      <c r="F912" s="85"/>
      <c r="G912" s="85"/>
    </row>
    <row r="913" spans="4:7" ht="13.5">
      <c r="D913" s="11"/>
      <c r="E913" s="86"/>
      <c r="F913" s="85"/>
      <c r="G913" s="85"/>
    </row>
    <row r="914" spans="4:7" ht="13.5">
      <c r="D914" s="11"/>
      <c r="E914" s="86"/>
      <c r="F914" s="85"/>
      <c r="G914" s="85"/>
    </row>
    <row r="915" spans="4:7" ht="13.5">
      <c r="D915" s="11"/>
      <c r="E915" s="86"/>
      <c r="F915" s="85"/>
      <c r="G915" s="85"/>
    </row>
    <row r="916" spans="4:7" ht="13.5">
      <c r="D916" s="11"/>
      <c r="E916" s="86"/>
      <c r="F916" s="85"/>
      <c r="G916" s="85"/>
    </row>
    <row r="917" spans="4:7" ht="13.5">
      <c r="D917" s="11"/>
      <c r="E917" s="86"/>
      <c r="F917" s="85"/>
      <c r="G917" s="85"/>
    </row>
    <row r="918" spans="4:7" ht="13.5">
      <c r="D918" s="11"/>
      <c r="E918" s="86"/>
      <c r="F918" s="85"/>
      <c r="G918" s="85"/>
    </row>
    <row r="919" spans="4:7" ht="13.5">
      <c r="D919" s="11"/>
      <c r="E919" s="86"/>
      <c r="F919" s="85"/>
      <c r="G919" s="85"/>
    </row>
    <row r="920" spans="4:7" ht="13.5">
      <c r="D920" s="11"/>
      <c r="E920" s="86"/>
      <c r="F920" s="85"/>
      <c r="G920" s="85"/>
    </row>
    <row r="921" spans="4:7" ht="13.5">
      <c r="D921" s="11"/>
      <c r="E921" s="86"/>
      <c r="F921" s="85"/>
      <c r="G921" s="85"/>
    </row>
    <row r="922" spans="4:7" ht="13.5">
      <c r="D922" s="11"/>
      <c r="E922" s="86"/>
      <c r="F922" s="85"/>
      <c r="G922" s="85"/>
    </row>
    <row r="923" spans="4:7" ht="13.5">
      <c r="D923" s="11"/>
      <c r="E923" s="86"/>
      <c r="F923" s="85"/>
      <c r="G923" s="85"/>
    </row>
    <row r="924" spans="4:7" ht="13.5">
      <c r="D924" s="11"/>
      <c r="E924" s="86"/>
      <c r="F924" s="85"/>
      <c r="G924" s="85"/>
    </row>
    <row r="925" spans="4:7" ht="13.5">
      <c r="D925" s="11"/>
      <c r="E925" s="86"/>
      <c r="F925" s="85"/>
      <c r="G925" s="85"/>
    </row>
    <row r="926" spans="4:7" ht="13.5">
      <c r="D926" s="11"/>
      <c r="E926" s="86"/>
      <c r="F926" s="85"/>
      <c r="G926" s="85"/>
    </row>
    <row r="927" spans="4:7" ht="13.5">
      <c r="D927" s="11"/>
      <c r="E927" s="86"/>
      <c r="F927" s="85"/>
      <c r="G927" s="85"/>
    </row>
    <row r="928" spans="4:7" ht="13.5">
      <c r="D928" s="11"/>
      <c r="E928" s="86"/>
      <c r="F928" s="85"/>
      <c r="G928" s="85"/>
    </row>
    <row r="929" spans="4:7" ht="13.5">
      <c r="D929" s="11"/>
      <c r="E929" s="86"/>
      <c r="F929" s="85"/>
      <c r="G929" s="85"/>
    </row>
    <row r="930" spans="4:7" ht="13.5">
      <c r="D930" s="11"/>
      <c r="E930" s="86"/>
      <c r="F930" s="85"/>
      <c r="G930" s="85"/>
    </row>
    <row r="931" spans="4:7" ht="13.5">
      <c r="D931" s="11"/>
      <c r="E931" s="86"/>
      <c r="F931" s="85"/>
      <c r="G931" s="85"/>
    </row>
    <row r="932" spans="4:7" ht="13.5">
      <c r="D932" s="11"/>
      <c r="E932" s="86"/>
      <c r="F932" s="85"/>
      <c r="G932" s="85"/>
    </row>
    <row r="933" spans="4:7" ht="13.5">
      <c r="D933" s="11"/>
      <c r="E933" s="86"/>
      <c r="F933" s="85"/>
      <c r="G933" s="85"/>
    </row>
    <row r="934" spans="4:7" ht="13.5">
      <c r="D934" s="11"/>
      <c r="E934" s="86"/>
      <c r="F934" s="85"/>
      <c r="G934" s="85"/>
    </row>
    <row r="935" spans="4:7" ht="13.5">
      <c r="D935" s="11"/>
      <c r="E935" s="86"/>
      <c r="F935" s="85"/>
      <c r="G935" s="85"/>
    </row>
    <row r="936" spans="4:7" ht="13.5">
      <c r="D936" s="11"/>
      <c r="E936" s="86"/>
      <c r="F936" s="85"/>
      <c r="G936" s="85"/>
    </row>
    <row r="937" spans="4:7" ht="13.5">
      <c r="D937" s="11"/>
      <c r="E937" s="86"/>
      <c r="F937" s="85"/>
      <c r="G937" s="85"/>
    </row>
    <row r="938" spans="4:7" ht="13.5">
      <c r="D938" s="11"/>
      <c r="E938" s="86"/>
      <c r="F938" s="85"/>
      <c r="G938" s="85"/>
    </row>
    <row r="939" spans="4:7" ht="13.5">
      <c r="D939" s="11"/>
      <c r="E939" s="86"/>
      <c r="F939" s="85"/>
      <c r="G939" s="85"/>
    </row>
    <row r="940" spans="4:7" ht="13.5">
      <c r="D940" s="11"/>
      <c r="E940" s="86"/>
      <c r="F940" s="85"/>
      <c r="G940" s="85"/>
    </row>
    <row r="941" spans="4:7" ht="13.5">
      <c r="D941" s="11"/>
      <c r="E941" s="86"/>
      <c r="F941" s="85"/>
      <c r="G941" s="85"/>
    </row>
    <row r="942" spans="4:7" ht="13.5">
      <c r="D942" s="11"/>
      <c r="E942" s="86"/>
      <c r="F942" s="85"/>
      <c r="G942" s="85"/>
    </row>
    <row r="943" spans="4:7" ht="13.5">
      <c r="D943" s="11"/>
      <c r="E943" s="86"/>
      <c r="F943" s="85"/>
      <c r="G943" s="85"/>
    </row>
    <row r="944" spans="4:7" ht="13.5">
      <c r="D944" s="11"/>
      <c r="E944" s="86"/>
      <c r="F944" s="85"/>
      <c r="G944" s="85"/>
    </row>
    <row r="945" spans="4:7" ht="13.5">
      <c r="D945" s="11"/>
      <c r="E945" s="86"/>
      <c r="F945" s="85"/>
      <c r="G945" s="85"/>
    </row>
    <row r="946" spans="4:7" ht="13.5">
      <c r="D946" s="11"/>
      <c r="E946" s="86"/>
      <c r="F946" s="85"/>
      <c r="G946" s="85"/>
    </row>
    <row r="947" spans="4:7" ht="13.5">
      <c r="D947" s="11"/>
      <c r="E947" s="86"/>
      <c r="F947" s="85"/>
      <c r="G947" s="85"/>
    </row>
    <row r="948" spans="4:7" ht="13.5">
      <c r="D948" s="11"/>
      <c r="E948" s="86"/>
      <c r="F948" s="85"/>
      <c r="G948" s="85"/>
    </row>
    <row r="949" spans="4:7" ht="13.5">
      <c r="D949" s="11"/>
      <c r="E949" s="86"/>
      <c r="F949" s="85"/>
      <c r="G949" s="85"/>
    </row>
    <row r="950" spans="4:7" ht="13.5">
      <c r="D950" s="11"/>
      <c r="E950" s="86"/>
      <c r="F950" s="85"/>
      <c r="G950" s="85"/>
    </row>
    <row r="951" spans="4:7" ht="13.5">
      <c r="D951" s="11"/>
      <c r="E951" s="86"/>
      <c r="F951" s="85"/>
      <c r="G951" s="85"/>
    </row>
    <row r="952" spans="4:7" ht="13.5">
      <c r="D952" s="11"/>
      <c r="E952" s="86"/>
      <c r="F952" s="85"/>
      <c r="G952" s="85"/>
    </row>
    <row r="953" spans="4:7" ht="13.5">
      <c r="D953" s="11"/>
      <c r="E953" s="86"/>
      <c r="F953" s="85"/>
      <c r="G953" s="85"/>
    </row>
    <row r="954" spans="4:7" ht="13.5">
      <c r="D954" s="11"/>
      <c r="E954" s="86"/>
      <c r="F954" s="85"/>
      <c r="G954" s="85"/>
    </row>
    <row r="955" spans="4:7" ht="13.5">
      <c r="D955" s="11"/>
      <c r="E955" s="86"/>
      <c r="F955" s="85"/>
      <c r="G955" s="85"/>
    </row>
    <row r="956" spans="4:7" ht="13.5">
      <c r="D956" s="11"/>
      <c r="E956" s="86"/>
      <c r="F956" s="85"/>
      <c r="G956" s="85"/>
    </row>
    <row r="957" spans="4:7" ht="13.5">
      <c r="D957" s="11"/>
      <c r="E957" s="86"/>
      <c r="F957" s="85"/>
      <c r="G957" s="85"/>
    </row>
    <row r="958" spans="4:7" ht="13.5">
      <c r="D958" s="11"/>
      <c r="E958" s="86"/>
      <c r="F958" s="85"/>
      <c r="G958" s="85"/>
    </row>
    <row r="959" spans="4:7" ht="13.5">
      <c r="D959" s="11"/>
      <c r="E959" s="86"/>
      <c r="F959" s="85"/>
      <c r="G959" s="85"/>
    </row>
    <row r="960" spans="4:7" ht="13.5">
      <c r="D960" s="11"/>
      <c r="E960" s="86"/>
      <c r="F960" s="85"/>
      <c r="G960" s="85"/>
    </row>
    <row r="961" spans="4:7" ht="13.5">
      <c r="D961" s="11"/>
      <c r="E961" s="86"/>
      <c r="F961" s="85"/>
      <c r="G961" s="85"/>
    </row>
    <row r="962" spans="4:7" ht="13.5">
      <c r="D962" s="11"/>
      <c r="E962" s="86"/>
      <c r="F962" s="85"/>
      <c r="G962" s="85"/>
    </row>
    <row r="963" spans="4:7" ht="13.5">
      <c r="D963" s="11"/>
      <c r="E963" s="86"/>
      <c r="F963" s="85"/>
      <c r="G963" s="85"/>
    </row>
    <row r="964" spans="4:7" ht="13.5">
      <c r="D964" s="11"/>
      <c r="E964" s="86"/>
      <c r="F964" s="85"/>
      <c r="G964" s="85"/>
    </row>
    <row r="965" spans="4:7" ht="13.5">
      <c r="D965" s="11"/>
      <c r="E965" s="86"/>
      <c r="F965" s="85"/>
      <c r="G965" s="85"/>
    </row>
    <row r="966" spans="4:7" ht="13.5">
      <c r="D966" s="11"/>
      <c r="E966" s="86"/>
      <c r="F966" s="85"/>
      <c r="G966" s="85"/>
    </row>
    <row r="967" spans="4:7" ht="13.5">
      <c r="D967" s="11"/>
      <c r="E967" s="86"/>
      <c r="F967" s="85"/>
      <c r="G967" s="85"/>
    </row>
    <row r="968" spans="4:7" ht="13.5">
      <c r="D968" s="11"/>
      <c r="E968" s="86"/>
      <c r="F968" s="85"/>
      <c r="G968" s="85"/>
    </row>
    <row r="969" spans="4:7" ht="13.5">
      <c r="D969" s="11"/>
      <c r="E969" s="86"/>
      <c r="F969" s="85"/>
      <c r="G969" s="85"/>
    </row>
    <row r="970" spans="4:7" ht="13.5">
      <c r="D970" s="11"/>
      <c r="E970" s="86"/>
      <c r="F970" s="85"/>
      <c r="G970" s="85"/>
    </row>
    <row r="971" spans="4:7" ht="13.5">
      <c r="D971" s="11"/>
      <c r="E971" s="86"/>
      <c r="F971" s="85"/>
      <c r="G971" s="85"/>
    </row>
    <row r="972" spans="4:7" ht="13.5">
      <c r="D972" s="11"/>
      <c r="E972" s="86"/>
      <c r="F972" s="85"/>
      <c r="G972" s="85"/>
    </row>
    <row r="973" spans="4:7" ht="13.5">
      <c r="D973" s="11"/>
      <c r="E973" s="86"/>
      <c r="F973" s="85"/>
      <c r="G973" s="85"/>
    </row>
    <row r="974" spans="4:7" ht="13.5">
      <c r="D974" s="11"/>
      <c r="E974" s="86"/>
      <c r="F974" s="85"/>
      <c r="G974" s="85"/>
    </row>
    <row r="975" spans="4:7" ht="13.5">
      <c r="D975" s="11"/>
      <c r="E975" s="86"/>
      <c r="F975" s="85"/>
      <c r="G975" s="85"/>
    </row>
    <row r="976" spans="4:7" ht="13.5">
      <c r="D976" s="11"/>
      <c r="E976" s="86"/>
      <c r="F976" s="85"/>
      <c r="G976" s="85"/>
    </row>
    <row r="977" spans="4:7" ht="13.5">
      <c r="D977" s="11"/>
      <c r="E977" s="86"/>
      <c r="F977" s="85"/>
      <c r="G977" s="85"/>
    </row>
    <row r="978" spans="4:7" ht="13.5">
      <c r="D978" s="11"/>
      <c r="E978" s="86"/>
      <c r="F978" s="85"/>
      <c r="G978" s="85"/>
    </row>
    <row r="979" spans="4:7" ht="13.5">
      <c r="D979" s="11"/>
      <c r="E979" s="86"/>
      <c r="F979" s="85"/>
      <c r="G979" s="85"/>
    </row>
    <row r="980" spans="4:7" ht="13.5">
      <c r="D980" s="11"/>
      <c r="E980" s="86"/>
      <c r="F980" s="85"/>
      <c r="G980" s="85"/>
    </row>
    <row r="981" spans="4:7" ht="13.5">
      <c r="D981" s="11"/>
      <c r="E981" s="86"/>
      <c r="F981" s="85"/>
      <c r="G981" s="85"/>
    </row>
    <row r="982" spans="4:7" ht="13.5">
      <c r="D982" s="11"/>
      <c r="E982" s="86"/>
      <c r="F982" s="85"/>
      <c r="G982" s="85"/>
    </row>
    <row r="983" spans="4:7" ht="13.5">
      <c r="D983" s="11"/>
      <c r="E983" s="86"/>
      <c r="F983" s="85"/>
      <c r="G983" s="85"/>
    </row>
    <row r="984" spans="4:7" ht="13.5">
      <c r="D984" s="11"/>
      <c r="E984" s="86"/>
      <c r="F984" s="85"/>
      <c r="G984" s="85"/>
    </row>
    <row r="985" spans="4:7" ht="13.5">
      <c r="D985" s="11"/>
      <c r="E985" s="86"/>
      <c r="F985" s="85"/>
      <c r="G985" s="85"/>
    </row>
    <row r="986" spans="4:7" ht="13.5">
      <c r="D986" s="11"/>
      <c r="E986" s="86"/>
      <c r="F986" s="85"/>
      <c r="G986" s="85"/>
    </row>
    <row r="987" spans="4:7" ht="13.5">
      <c r="D987" s="11"/>
      <c r="E987" s="86"/>
      <c r="F987" s="85"/>
      <c r="G987" s="85"/>
    </row>
    <row r="988" spans="4:7" ht="13.5">
      <c r="D988" s="11"/>
      <c r="E988" s="86"/>
      <c r="F988" s="85"/>
      <c r="G988" s="85"/>
    </row>
    <row r="989" spans="4:7" ht="13.5">
      <c r="D989" s="11"/>
      <c r="E989" s="86"/>
      <c r="F989" s="85"/>
      <c r="G989" s="85"/>
    </row>
    <row r="990" spans="4:7" ht="13.5">
      <c r="D990" s="11"/>
      <c r="E990" s="86"/>
      <c r="F990" s="85"/>
      <c r="G990" s="85"/>
    </row>
    <row r="991" spans="4:7" ht="13.5">
      <c r="D991" s="11"/>
      <c r="E991" s="86"/>
      <c r="F991" s="85"/>
      <c r="G991" s="85"/>
    </row>
    <row r="992" spans="4:7" ht="13.5">
      <c r="D992" s="11"/>
      <c r="E992" s="86"/>
      <c r="F992" s="85"/>
      <c r="G992" s="85"/>
    </row>
    <row r="993" spans="4:7" ht="13.5">
      <c r="D993" s="11"/>
      <c r="E993" s="86"/>
      <c r="F993" s="85"/>
      <c r="G993" s="85"/>
    </row>
    <row r="994" spans="4:7" ht="13.5">
      <c r="D994" s="11"/>
      <c r="E994" s="86"/>
      <c r="F994" s="85"/>
      <c r="G994" s="85"/>
    </row>
    <row r="995" spans="4:7" ht="13.5">
      <c r="D995" s="11"/>
      <c r="E995" s="86"/>
      <c r="F995" s="85"/>
      <c r="G995" s="85"/>
    </row>
    <row r="996" spans="4:7" ht="13.5">
      <c r="D996" s="11"/>
      <c r="E996" s="86"/>
      <c r="F996" s="85"/>
      <c r="G996" s="85"/>
    </row>
    <row r="997" spans="4:7" ht="13.5">
      <c r="D997" s="11"/>
      <c r="E997" s="86"/>
      <c r="F997" s="85"/>
      <c r="G997" s="85"/>
    </row>
    <row r="998" spans="4:7" ht="13.5">
      <c r="D998" s="11"/>
      <c r="E998" s="86"/>
      <c r="F998" s="85"/>
      <c r="G998" s="85"/>
    </row>
    <row r="999" spans="4:7" ht="13.5">
      <c r="D999" s="11"/>
      <c r="E999" s="86"/>
      <c r="F999" s="85"/>
      <c r="G999" s="85"/>
    </row>
    <row r="1000" spans="4:7" ht="13.5">
      <c r="D1000" s="11"/>
      <c r="E1000" s="86"/>
      <c r="F1000" s="85"/>
      <c r="G1000" s="85"/>
    </row>
    <row r="1001" spans="4:7" ht="13.5">
      <c r="D1001" s="11"/>
      <c r="E1001" s="86"/>
      <c r="F1001" s="85"/>
      <c r="G1001" s="85"/>
    </row>
    <row r="1002" spans="4:7" ht="13.5">
      <c r="D1002" s="11"/>
      <c r="E1002" s="86"/>
      <c r="F1002" s="85"/>
      <c r="G1002" s="85"/>
    </row>
    <row r="1003" spans="4:7" ht="13.5">
      <c r="D1003" s="11"/>
      <c r="E1003" s="86"/>
      <c r="F1003" s="85"/>
      <c r="G1003" s="85"/>
    </row>
    <row r="1004" spans="4:7" ht="13.5">
      <c r="D1004" s="11"/>
      <c r="E1004" s="86"/>
      <c r="F1004" s="85"/>
      <c r="G1004" s="85"/>
    </row>
    <row r="1005" spans="4:7" ht="13.5">
      <c r="D1005" s="11"/>
      <c r="E1005" s="86"/>
      <c r="F1005" s="85"/>
      <c r="G1005" s="85"/>
    </row>
    <row r="1006" spans="4:7" ht="13.5">
      <c r="D1006" s="11"/>
      <c r="E1006" s="86"/>
      <c r="F1006" s="85"/>
      <c r="G1006" s="85"/>
    </row>
    <row r="1007" spans="4:7" ht="13.5">
      <c r="D1007" s="11"/>
      <c r="E1007" s="86"/>
      <c r="F1007" s="85"/>
      <c r="G1007" s="85"/>
    </row>
    <row r="1008" spans="4:7" ht="13.5">
      <c r="D1008" s="11"/>
      <c r="E1008" s="86"/>
      <c r="F1008" s="85"/>
      <c r="G1008" s="85"/>
    </row>
    <row r="1009" spans="4:7" ht="13.5">
      <c r="D1009" s="11"/>
      <c r="E1009" s="86"/>
      <c r="F1009" s="85"/>
      <c r="G1009" s="85"/>
    </row>
    <row r="1010" spans="4:7" ht="13.5">
      <c r="D1010" s="11"/>
      <c r="E1010" s="86"/>
      <c r="F1010" s="85"/>
      <c r="G1010" s="85"/>
    </row>
    <row r="1011" spans="4:7" ht="13.5">
      <c r="D1011" s="11"/>
      <c r="E1011" s="86"/>
      <c r="F1011" s="85"/>
      <c r="G1011" s="85"/>
    </row>
    <row r="1012" spans="4:7" ht="13.5">
      <c r="D1012" s="11"/>
      <c r="E1012" s="86"/>
      <c r="F1012" s="85"/>
      <c r="G1012" s="85"/>
    </row>
    <row r="1013" spans="4:7" ht="13.5">
      <c r="D1013" s="11"/>
      <c r="E1013" s="86"/>
      <c r="F1013" s="85"/>
      <c r="G1013" s="85"/>
    </row>
    <row r="1014" spans="4:7" ht="13.5">
      <c r="D1014" s="11"/>
      <c r="E1014" s="86"/>
      <c r="F1014" s="85"/>
      <c r="G1014" s="85"/>
    </row>
    <row r="1015" spans="4:7" ht="13.5">
      <c r="D1015" s="11"/>
      <c r="E1015" s="86"/>
      <c r="F1015" s="85"/>
      <c r="G1015" s="85"/>
    </row>
    <row r="1016" spans="4:7" ht="13.5">
      <c r="D1016" s="11"/>
      <c r="E1016" s="86"/>
      <c r="F1016" s="85"/>
      <c r="G1016" s="85"/>
    </row>
    <row r="1017" spans="4:7" ht="13.5">
      <c r="D1017" s="11"/>
      <c r="E1017" s="86"/>
      <c r="F1017" s="85"/>
      <c r="G1017" s="85"/>
    </row>
    <row r="1018" spans="4:7" ht="13.5">
      <c r="D1018" s="11"/>
      <c r="E1018" s="86"/>
      <c r="F1018" s="85"/>
      <c r="G1018" s="85"/>
    </row>
    <row r="1019" spans="4:7" ht="13.5">
      <c r="D1019" s="11"/>
      <c r="E1019" s="86"/>
      <c r="F1019" s="85"/>
      <c r="G1019" s="85"/>
    </row>
    <row r="1020" spans="4:7" ht="13.5">
      <c r="D1020" s="11"/>
      <c r="E1020" s="86"/>
      <c r="F1020" s="85"/>
      <c r="G1020" s="85"/>
    </row>
    <row r="1021" spans="4:7" ht="13.5">
      <c r="D1021" s="11"/>
      <c r="E1021" s="86"/>
      <c r="F1021" s="85"/>
      <c r="G1021" s="85"/>
    </row>
    <row r="1022" spans="4:7" ht="13.5">
      <c r="D1022" s="11"/>
      <c r="E1022" s="86"/>
      <c r="F1022" s="85"/>
      <c r="G1022" s="85"/>
    </row>
    <row r="1023" spans="4:7" ht="13.5">
      <c r="D1023" s="11"/>
      <c r="E1023" s="86"/>
      <c r="F1023" s="85"/>
      <c r="G1023" s="85"/>
    </row>
    <row r="1024" spans="4:7" ht="13.5">
      <c r="D1024" s="11"/>
      <c r="E1024" s="86"/>
      <c r="F1024" s="85"/>
      <c r="G1024" s="85"/>
    </row>
    <row r="1025" spans="4:7" ht="13.5">
      <c r="D1025" s="11"/>
      <c r="E1025" s="86"/>
      <c r="F1025" s="85"/>
      <c r="G1025" s="85"/>
    </row>
    <row r="1026" spans="4:7" ht="13.5">
      <c r="D1026" s="11"/>
      <c r="E1026" s="86"/>
      <c r="F1026" s="85"/>
      <c r="G1026" s="85"/>
    </row>
    <row r="1027" spans="4:7" ht="13.5">
      <c r="D1027" s="11"/>
      <c r="E1027" s="86"/>
      <c r="F1027" s="85"/>
      <c r="G1027" s="85"/>
    </row>
    <row r="1028" spans="4:7" ht="13.5">
      <c r="D1028" s="11"/>
      <c r="E1028" s="86"/>
      <c r="F1028" s="85"/>
      <c r="G1028" s="85"/>
    </row>
    <row r="1029" spans="4:7" ht="13.5">
      <c r="D1029" s="11"/>
      <c r="E1029" s="86"/>
      <c r="F1029" s="85"/>
      <c r="G1029" s="85"/>
    </row>
    <row r="1030" spans="4:7" ht="13.5">
      <c r="D1030" s="11"/>
      <c r="E1030" s="86"/>
      <c r="F1030" s="85"/>
      <c r="G1030" s="85"/>
    </row>
    <row r="1031" spans="4:7" ht="13.5">
      <c r="D1031" s="11"/>
      <c r="E1031" s="86"/>
      <c r="F1031" s="85"/>
      <c r="G1031" s="85"/>
    </row>
    <row r="1032" spans="4:7" ht="13.5">
      <c r="D1032" s="11"/>
      <c r="E1032" s="86"/>
      <c r="F1032" s="85"/>
      <c r="G1032" s="85"/>
    </row>
    <row r="1033" spans="4:7" ht="13.5">
      <c r="D1033" s="11"/>
      <c r="E1033" s="86"/>
      <c r="F1033" s="85"/>
      <c r="G1033" s="85"/>
    </row>
    <row r="1034" spans="4:7" ht="13.5">
      <c r="D1034" s="11"/>
      <c r="E1034" s="86"/>
      <c r="F1034" s="85"/>
      <c r="G1034" s="85"/>
    </row>
    <row r="1035" spans="4:7" ht="13.5">
      <c r="D1035" s="11"/>
      <c r="E1035" s="86"/>
      <c r="F1035" s="85"/>
      <c r="G1035" s="85"/>
    </row>
    <row r="1036" spans="4:7" ht="13.5">
      <c r="D1036" s="11"/>
      <c r="E1036" s="86"/>
      <c r="F1036" s="85"/>
      <c r="G1036" s="85"/>
    </row>
    <row r="1037" spans="4:7" ht="13.5">
      <c r="D1037" s="11"/>
      <c r="E1037" s="86"/>
      <c r="F1037" s="85"/>
      <c r="G1037" s="85"/>
    </row>
    <row r="1038" spans="4:7" ht="13.5">
      <c r="D1038" s="11"/>
      <c r="E1038" s="86"/>
      <c r="F1038" s="85"/>
      <c r="G1038" s="85"/>
    </row>
    <row r="1039" spans="4:7" ht="13.5">
      <c r="D1039" s="11"/>
      <c r="E1039" s="86"/>
      <c r="F1039" s="85"/>
      <c r="G1039" s="85"/>
    </row>
    <row r="1040" spans="4:7" ht="13.5">
      <c r="D1040" s="11"/>
      <c r="E1040" s="86"/>
      <c r="F1040" s="85"/>
      <c r="G1040" s="85"/>
    </row>
    <row r="1041" spans="4:7" ht="13.5">
      <c r="D1041" s="11"/>
      <c r="E1041" s="86"/>
      <c r="F1041" s="85"/>
      <c r="G1041" s="85"/>
    </row>
    <row r="1042" spans="4:7" ht="13.5">
      <c r="D1042" s="11"/>
      <c r="E1042" s="86"/>
      <c r="F1042" s="85"/>
      <c r="G1042" s="85"/>
    </row>
    <row r="1043" spans="4:7" ht="13.5">
      <c r="D1043" s="11"/>
      <c r="E1043" s="86"/>
      <c r="F1043" s="85"/>
      <c r="G1043" s="85"/>
    </row>
    <row r="1044" spans="4:7" ht="13.5">
      <c r="D1044" s="11"/>
      <c r="E1044" s="86"/>
      <c r="F1044" s="85"/>
      <c r="G1044" s="85"/>
    </row>
    <row r="1045" spans="4:7" ht="13.5">
      <c r="D1045" s="11"/>
      <c r="E1045" s="86"/>
      <c r="F1045" s="85"/>
      <c r="G1045" s="85"/>
    </row>
    <row r="1046" spans="4:7" ht="13.5">
      <c r="D1046" s="11"/>
      <c r="E1046" s="86"/>
      <c r="F1046" s="85"/>
      <c r="G1046" s="85"/>
    </row>
    <row r="1047" spans="4:7" ht="13.5">
      <c r="D1047" s="11"/>
      <c r="E1047" s="86"/>
      <c r="F1047" s="85"/>
      <c r="G1047" s="85"/>
    </row>
  </sheetData>
  <mergeCells count="27">
    <mergeCell ref="F1:G1"/>
    <mergeCell ref="AG1:AH1"/>
    <mergeCell ref="A2:A3"/>
    <mergeCell ref="B2:B3"/>
    <mergeCell ref="C2:C3"/>
    <mergeCell ref="D2:D3"/>
    <mergeCell ref="E2:E3"/>
    <mergeCell ref="F2:G2"/>
    <mergeCell ref="AG2:AH2"/>
    <mergeCell ref="N2:N3"/>
    <mergeCell ref="O2:O3"/>
    <mergeCell ref="AB2:AB3"/>
    <mergeCell ref="AC2:AC3"/>
    <mergeCell ref="AE2:AE3"/>
    <mergeCell ref="AI2:AI3"/>
    <mergeCell ref="AJ2:AJ3"/>
    <mergeCell ref="AF11:AF16"/>
    <mergeCell ref="AF22:AF23"/>
    <mergeCell ref="AF64:AF70"/>
    <mergeCell ref="AF28:AF29"/>
    <mergeCell ref="AF38:AF39"/>
    <mergeCell ref="AF40:AF41"/>
    <mergeCell ref="AF51:AF54"/>
    <mergeCell ref="AF55:AF59"/>
    <mergeCell ref="AF62:AF63"/>
    <mergeCell ref="AF26:AF27"/>
    <mergeCell ref="AF2:AF3"/>
  </mergeCells>
  <phoneticPr fontId="54" type="noConversion"/>
  <conditionalFormatting sqref="B74">
    <cfRule type="duplicateValues" dxfId="0" priority="1"/>
  </conditionalFormatting>
  <printOptions horizontalCentered="1" gridLines="1"/>
  <pageMargins left="0.7" right="0.7" top="0.75" bottom="0.75" header="0" footer="0"/>
  <pageSetup paperSize="9" scale="46" fitToHeight="0" pageOrder="overThenDown" orientation="landscape" cellComments="atEnd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477"/>
  <sheetViews>
    <sheetView zoomScaleNormal="100" workbookViewId="0">
      <pane ySplit="1" topLeftCell="A1938" activePane="bottomLeft" state="frozen"/>
      <selection pane="bottomLeft" activeCell="O1954" sqref="O1954"/>
    </sheetView>
  </sheetViews>
  <sheetFormatPr defaultColWidth="9.140625" defaultRowHeight="15"/>
  <cols>
    <col min="1" max="1" width="10.140625" style="128" bestFit="1" customWidth="1"/>
    <col min="2" max="2" width="28.5703125" style="129" customWidth="1"/>
    <col min="3" max="3" width="5.140625" style="118" bestFit="1" customWidth="1"/>
    <col min="4" max="4" width="14.85546875" style="118" bestFit="1" customWidth="1"/>
    <col min="5" max="5" width="9.140625" style="118" customWidth="1"/>
    <col min="6" max="9" width="9.140625" style="118"/>
    <col min="10" max="10" width="21.85546875" style="118" customWidth="1"/>
    <col min="11" max="11" width="14.85546875" style="118" bestFit="1" customWidth="1"/>
    <col min="12" max="12" width="11" style="118" bestFit="1" customWidth="1"/>
    <col min="13" max="13" width="18.5703125" style="118" customWidth="1"/>
    <col min="14" max="14" width="11.140625" style="118" bestFit="1" customWidth="1"/>
    <col min="15" max="16384" width="9.140625" style="118"/>
  </cols>
  <sheetData>
    <row r="1" spans="1:14" ht="17.25" thickBot="1">
      <c r="A1" s="130" t="s">
        <v>460</v>
      </c>
      <c r="B1" s="130" t="s">
        <v>461</v>
      </c>
      <c r="C1" s="116" t="s">
        <v>462</v>
      </c>
      <c r="D1" s="116" t="s">
        <v>232</v>
      </c>
      <c r="E1" s="487" t="s">
        <v>233</v>
      </c>
      <c r="F1" s="487"/>
      <c r="G1" s="487" t="s">
        <v>234</v>
      </c>
      <c r="H1" s="487"/>
      <c r="I1" s="487"/>
      <c r="J1" s="487"/>
      <c r="K1" s="116" t="s">
        <v>235</v>
      </c>
      <c r="L1" s="116" t="s">
        <v>446</v>
      </c>
      <c r="M1" s="137" t="s">
        <v>652</v>
      </c>
      <c r="N1" s="117"/>
    </row>
    <row r="2" spans="1:14" ht="17.25" thickBot="1">
      <c r="A2" s="126" t="str">
        <f>IFERROR(LEFT(B2,7),"")</f>
        <v>2025/06</v>
      </c>
      <c r="B2" s="127" t="str">
        <f t="shared" ref="B2:B65" si="0">"2025/06"&amp;D2</f>
        <v>2025/06站前4樓</v>
      </c>
      <c r="C2" s="120">
        <v>1</v>
      </c>
      <c r="D2" s="121" t="s">
        <v>236</v>
      </c>
      <c r="E2" s="486" t="s">
        <v>380</v>
      </c>
      <c r="F2" s="486"/>
      <c r="G2" s="486" t="s">
        <v>381</v>
      </c>
      <c r="H2" s="486"/>
      <c r="I2" s="486"/>
      <c r="J2" s="486"/>
      <c r="K2" s="121" t="s">
        <v>382</v>
      </c>
      <c r="L2" s="122">
        <v>0.5</v>
      </c>
      <c r="M2" s="123" t="s">
        <v>155</v>
      </c>
      <c r="N2" s="117"/>
    </row>
    <row r="3" spans="1:14" ht="17.25" thickBot="1">
      <c r="A3" s="126" t="str">
        <f t="shared" ref="A3:A66" si="1">IFERROR(LEFT(B3,7),"")</f>
        <v>2025/06</v>
      </c>
      <c r="B3" s="127" t="str">
        <f t="shared" si="0"/>
        <v>2025/06站前4樓</v>
      </c>
      <c r="C3" s="120">
        <v>2</v>
      </c>
      <c r="D3" s="121" t="s">
        <v>236</v>
      </c>
      <c r="E3" s="486" t="s">
        <v>413</v>
      </c>
      <c r="F3" s="486"/>
      <c r="G3" s="486" t="s">
        <v>414</v>
      </c>
      <c r="H3" s="486"/>
      <c r="I3" s="486"/>
      <c r="J3" s="486"/>
      <c r="K3" s="121" t="s">
        <v>410</v>
      </c>
      <c r="L3" s="122">
        <v>3</v>
      </c>
      <c r="M3" s="123" t="s">
        <v>648</v>
      </c>
      <c r="N3" s="117"/>
    </row>
    <row r="4" spans="1:14" ht="17.25" thickBot="1">
      <c r="A4" s="126" t="str">
        <f t="shared" si="1"/>
        <v>2025/06</v>
      </c>
      <c r="B4" s="127" t="str">
        <f t="shared" si="0"/>
        <v>2025/06站前4樓</v>
      </c>
      <c r="C4" s="120">
        <v>3</v>
      </c>
      <c r="D4" s="121" t="s">
        <v>236</v>
      </c>
      <c r="E4" s="486" t="s">
        <v>360</v>
      </c>
      <c r="F4" s="486"/>
      <c r="G4" s="486" t="s">
        <v>361</v>
      </c>
      <c r="H4" s="486"/>
      <c r="I4" s="486"/>
      <c r="J4" s="486"/>
      <c r="K4" s="121" t="s">
        <v>362</v>
      </c>
      <c r="L4" s="122">
        <v>6</v>
      </c>
      <c r="M4" s="123" t="s">
        <v>653</v>
      </c>
      <c r="N4" s="117"/>
    </row>
    <row r="5" spans="1:14" ht="17.25" thickBot="1">
      <c r="A5" s="126" t="str">
        <f t="shared" si="1"/>
        <v>2025/06</v>
      </c>
      <c r="B5" s="127" t="str">
        <f t="shared" si="0"/>
        <v>2025/06站前4樓</v>
      </c>
      <c r="C5" s="120">
        <v>4</v>
      </c>
      <c r="D5" s="121" t="s">
        <v>236</v>
      </c>
      <c r="E5" s="486" t="s">
        <v>383</v>
      </c>
      <c r="F5" s="486"/>
      <c r="G5" s="486" t="s">
        <v>384</v>
      </c>
      <c r="H5" s="486"/>
      <c r="I5" s="486"/>
      <c r="J5" s="486"/>
      <c r="K5" s="121" t="s">
        <v>385</v>
      </c>
      <c r="L5" s="122">
        <v>1</v>
      </c>
      <c r="M5" s="123" t="s">
        <v>654</v>
      </c>
      <c r="N5" s="117"/>
    </row>
    <row r="6" spans="1:14" ht="17.25" thickBot="1">
      <c r="A6" s="126" t="str">
        <f t="shared" si="1"/>
        <v>2025/06</v>
      </c>
      <c r="B6" s="127" t="str">
        <f t="shared" si="0"/>
        <v>2025/06站前4樓</v>
      </c>
      <c r="C6" s="120">
        <v>5</v>
      </c>
      <c r="D6" s="121" t="s">
        <v>236</v>
      </c>
      <c r="E6" s="486" t="s">
        <v>255</v>
      </c>
      <c r="F6" s="486"/>
      <c r="G6" s="486" t="s">
        <v>256</v>
      </c>
      <c r="H6" s="486"/>
      <c r="I6" s="486"/>
      <c r="J6" s="486"/>
      <c r="K6" s="121" t="s">
        <v>257</v>
      </c>
      <c r="L6" s="122">
        <v>37</v>
      </c>
      <c r="M6" s="123" t="s">
        <v>660</v>
      </c>
      <c r="N6" s="117"/>
    </row>
    <row r="7" spans="1:14" ht="17.25" thickBot="1">
      <c r="A7" s="126" t="str">
        <f t="shared" si="1"/>
        <v>2025/06</v>
      </c>
      <c r="B7" s="127" t="str">
        <f t="shared" si="0"/>
        <v>2025/06站前4樓</v>
      </c>
      <c r="C7" s="120">
        <v>6</v>
      </c>
      <c r="D7" s="121" t="s">
        <v>236</v>
      </c>
      <c r="E7" s="486" t="s">
        <v>258</v>
      </c>
      <c r="F7" s="486"/>
      <c r="G7" s="486" t="s">
        <v>259</v>
      </c>
      <c r="H7" s="486"/>
      <c r="I7" s="486"/>
      <c r="J7" s="486"/>
      <c r="K7" s="121"/>
      <c r="L7" s="122">
        <v>40</v>
      </c>
      <c r="M7" s="123" t="s">
        <v>661</v>
      </c>
      <c r="N7" s="117"/>
    </row>
    <row r="8" spans="1:14" ht="17.25" thickBot="1">
      <c r="A8" s="126" t="str">
        <f t="shared" si="1"/>
        <v>2025/06</v>
      </c>
      <c r="B8" s="127" t="str">
        <f t="shared" si="0"/>
        <v>2025/06站前4樓</v>
      </c>
      <c r="C8" s="120">
        <v>7</v>
      </c>
      <c r="D8" s="121" t="s">
        <v>236</v>
      </c>
      <c r="E8" s="486" t="s">
        <v>260</v>
      </c>
      <c r="F8" s="486"/>
      <c r="G8" s="486" t="s">
        <v>261</v>
      </c>
      <c r="H8" s="486"/>
      <c r="I8" s="486"/>
      <c r="J8" s="486"/>
      <c r="K8" s="121" t="s">
        <v>254</v>
      </c>
      <c r="L8" s="122">
        <v>38</v>
      </c>
      <c r="M8" s="123" t="s">
        <v>662</v>
      </c>
      <c r="N8" s="117"/>
    </row>
    <row r="9" spans="1:14" ht="17.25" thickBot="1">
      <c r="A9" s="126" t="str">
        <f t="shared" si="1"/>
        <v>2025/06</v>
      </c>
      <c r="B9" s="127" t="str">
        <f t="shared" si="0"/>
        <v>2025/06站前4樓</v>
      </c>
      <c r="C9" s="120">
        <v>8</v>
      </c>
      <c r="D9" s="121" t="s">
        <v>236</v>
      </c>
      <c r="E9" s="486" t="s">
        <v>262</v>
      </c>
      <c r="F9" s="486"/>
      <c r="G9" s="486" t="s">
        <v>263</v>
      </c>
      <c r="H9" s="486"/>
      <c r="I9" s="486"/>
      <c r="J9" s="486"/>
      <c r="K9" s="121" t="s">
        <v>254</v>
      </c>
      <c r="L9" s="122">
        <v>9</v>
      </c>
      <c r="M9" s="123" t="s">
        <v>663</v>
      </c>
      <c r="N9" s="117"/>
    </row>
    <row r="10" spans="1:14" ht="17.25" thickBot="1">
      <c r="A10" s="126" t="str">
        <f t="shared" si="1"/>
        <v>2025/06</v>
      </c>
      <c r="B10" s="127" t="str">
        <f t="shared" si="0"/>
        <v>2025/06站前4樓</v>
      </c>
      <c r="C10" s="120">
        <v>9</v>
      </c>
      <c r="D10" s="121" t="s">
        <v>236</v>
      </c>
      <c r="E10" s="486" t="s">
        <v>270</v>
      </c>
      <c r="F10" s="486"/>
      <c r="G10" s="486" t="s">
        <v>732</v>
      </c>
      <c r="H10" s="486"/>
      <c r="I10" s="486"/>
      <c r="J10" s="486"/>
      <c r="K10" s="121" t="s">
        <v>272</v>
      </c>
      <c r="L10" s="122">
        <v>33</v>
      </c>
      <c r="M10" s="123" t="s">
        <v>664</v>
      </c>
      <c r="N10" s="117"/>
    </row>
    <row r="11" spans="1:14" ht="17.25" thickBot="1">
      <c r="A11" s="126" t="str">
        <f t="shared" si="1"/>
        <v>2025/06</v>
      </c>
      <c r="B11" s="127" t="str">
        <f t="shared" si="0"/>
        <v>2025/06站前4樓</v>
      </c>
      <c r="C11" s="120">
        <v>10</v>
      </c>
      <c r="D11" s="121" t="s">
        <v>236</v>
      </c>
      <c r="E11" s="486" t="s">
        <v>252</v>
      </c>
      <c r="F11" s="486"/>
      <c r="G11" s="486" t="s">
        <v>253</v>
      </c>
      <c r="H11" s="486"/>
      <c r="I11" s="486"/>
      <c r="J11" s="486"/>
      <c r="K11" s="121" t="s">
        <v>254</v>
      </c>
      <c r="L11" s="122">
        <v>40</v>
      </c>
      <c r="M11" s="123" t="s">
        <v>665</v>
      </c>
      <c r="N11" s="117"/>
    </row>
    <row r="12" spans="1:14" ht="17.25" thickBot="1">
      <c r="A12" s="126" t="str">
        <f t="shared" si="1"/>
        <v>2025/06</v>
      </c>
      <c r="B12" s="127" t="str">
        <f t="shared" si="0"/>
        <v>2025/06站前4樓</v>
      </c>
      <c r="C12" s="120">
        <v>11</v>
      </c>
      <c r="D12" s="121" t="s">
        <v>236</v>
      </c>
      <c r="E12" s="486" t="s">
        <v>429</v>
      </c>
      <c r="F12" s="486"/>
      <c r="G12" s="486" t="s">
        <v>430</v>
      </c>
      <c r="H12" s="486"/>
      <c r="I12" s="486"/>
      <c r="J12" s="486"/>
      <c r="K12" s="121" t="s">
        <v>272</v>
      </c>
      <c r="L12" s="122">
        <v>2</v>
      </c>
      <c r="M12" s="123" t="s">
        <v>666</v>
      </c>
      <c r="N12" s="117"/>
    </row>
    <row r="13" spans="1:14" ht="17.25" thickBot="1">
      <c r="A13" s="126" t="str">
        <f t="shared" si="1"/>
        <v>2025/06</v>
      </c>
      <c r="B13" s="127" t="str">
        <f t="shared" si="0"/>
        <v>2025/06站前4樓</v>
      </c>
      <c r="C13" s="120">
        <v>12</v>
      </c>
      <c r="D13" s="121" t="s">
        <v>236</v>
      </c>
      <c r="E13" s="486" t="s">
        <v>305</v>
      </c>
      <c r="F13" s="486"/>
      <c r="G13" s="486" t="s">
        <v>306</v>
      </c>
      <c r="H13" s="486"/>
      <c r="I13" s="486"/>
      <c r="J13" s="486"/>
      <c r="K13" s="121" t="s">
        <v>266</v>
      </c>
      <c r="L13" s="122">
        <v>3519</v>
      </c>
      <c r="M13" s="123" t="s">
        <v>638</v>
      </c>
      <c r="N13" s="117"/>
    </row>
    <row r="14" spans="1:14" ht="17.25" thickBot="1">
      <c r="A14" s="126" t="str">
        <f t="shared" si="1"/>
        <v>2025/06</v>
      </c>
      <c r="B14" s="127" t="str">
        <f t="shared" si="0"/>
        <v>2025/06站前4樓</v>
      </c>
      <c r="C14" s="120">
        <v>13</v>
      </c>
      <c r="D14" s="121" t="s">
        <v>236</v>
      </c>
      <c r="E14" s="486" t="s">
        <v>264</v>
      </c>
      <c r="F14" s="486"/>
      <c r="G14" s="486" t="s">
        <v>265</v>
      </c>
      <c r="H14" s="486"/>
      <c r="I14" s="486"/>
      <c r="J14" s="486"/>
      <c r="K14" s="121" t="s">
        <v>266</v>
      </c>
      <c r="L14" s="122">
        <v>5258</v>
      </c>
      <c r="M14" s="123" t="s">
        <v>639</v>
      </c>
      <c r="N14" s="117"/>
    </row>
    <row r="15" spans="1:14" ht="17.25" thickBot="1">
      <c r="A15" s="126" t="str">
        <f t="shared" si="1"/>
        <v>2025/06</v>
      </c>
      <c r="B15" s="127" t="str">
        <f t="shared" si="0"/>
        <v>2025/06站前4樓</v>
      </c>
      <c r="C15" s="120">
        <v>14</v>
      </c>
      <c r="D15" s="121" t="s">
        <v>236</v>
      </c>
      <c r="E15" s="486" t="s">
        <v>307</v>
      </c>
      <c r="F15" s="486"/>
      <c r="G15" s="486" t="s">
        <v>308</v>
      </c>
      <c r="H15" s="486"/>
      <c r="I15" s="486"/>
      <c r="J15" s="486"/>
      <c r="K15" s="121" t="s">
        <v>266</v>
      </c>
      <c r="L15" s="122">
        <v>2484</v>
      </c>
      <c r="M15" s="123" t="s">
        <v>640</v>
      </c>
      <c r="N15" s="117"/>
    </row>
    <row r="16" spans="1:14" ht="17.25" thickBot="1">
      <c r="A16" s="126" t="str">
        <f t="shared" si="1"/>
        <v>2025/06</v>
      </c>
      <c r="B16" s="127" t="str">
        <f t="shared" si="0"/>
        <v>2025/06站前4樓</v>
      </c>
      <c r="C16" s="120">
        <v>15</v>
      </c>
      <c r="D16" s="121" t="s">
        <v>236</v>
      </c>
      <c r="E16" s="486" t="s">
        <v>313</v>
      </c>
      <c r="F16" s="486"/>
      <c r="G16" s="486" t="s">
        <v>314</v>
      </c>
      <c r="H16" s="486"/>
      <c r="I16" s="486"/>
      <c r="J16" s="486"/>
      <c r="K16" s="121" t="s">
        <v>301</v>
      </c>
      <c r="L16" s="122">
        <v>47</v>
      </c>
      <c r="M16" s="123" t="s">
        <v>14</v>
      </c>
      <c r="N16" s="117"/>
    </row>
    <row r="17" spans="1:14" ht="17.25" thickBot="1">
      <c r="A17" s="126" t="str">
        <f t="shared" si="1"/>
        <v>2025/06</v>
      </c>
      <c r="B17" s="127" t="str">
        <f t="shared" si="0"/>
        <v>2025/06站前4樓</v>
      </c>
      <c r="C17" s="120">
        <v>16</v>
      </c>
      <c r="D17" s="121" t="s">
        <v>236</v>
      </c>
      <c r="E17" s="486" t="s">
        <v>343</v>
      </c>
      <c r="F17" s="486"/>
      <c r="G17" s="486" t="s">
        <v>344</v>
      </c>
      <c r="H17" s="486"/>
      <c r="I17" s="486"/>
      <c r="J17" s="486"/>
      <c r="K17" s="121" t="s">
        <v>301</v>
      </c>
      <c r="L17" s="122">
        <v>3</v>
      </c>
      <c r="M17" s="123" t="s">
        <v>18</v>
      </c>
      <c r="N17" s="117"/>
    </row>
    <row r="18" spans="1:14" ht="17.25" thickBot="1">
      <c r="A18" s="126" t="str">
        <f t="shared" si="1"/>
        <v>2025/06</v>
      </c>
      <c r="B18" s="127" t="str">
        <f t="shared" si="0"/>
        <v>2025/06站前4樓</v>
      </c>
      <c r="C18" s="120">
        <v>17</v>
      </c>
      <c r="D18" s="121" t="s">
        <v>236</v>
      </c>
      <c r="E18" s="486" t="s">
        <v>427</v>
      </c>
      <c r="F18" s="486"/>
      <c r="G18" s="486" t="s">
        <v>428</v>
      </c>
      <c r="H18" s="486"/>
      <c r="I18" s="486"/>
      <c r="J18" s="486"/>
      <c r="K18" s="121" t="s">
        <v>301</v>
      </c>
      <c r="L18" s="122">
        <v>3</v>
      </c>
      <c r="M18" s="123" t="s">
        <v>19</v>
      </c>
      <c r="N18" s="117"/>
    </row>
    <row r="19" spans="1:14" ht="17.25" thickBot="1">
      <c r="A19" s="126" t="str">
        <f t="shared" si="1"/>
        <v>2025/06</v>
      </c>
      <c r="B19" s="127" t="str">
        <f t="shared" si="0"/>
        <v>2025/06站前4樓</v>
      </c>
      <c r="C19" s="120">
        <v>18</v>
      </c>
      <c r="D19" s="121" t="s">
        <v>236</v>
      </c>
      <c r="E19" s="486" t="s">
        <v>349</v>
      </c>
      <c r="F19" s="486"/>
      <c r="G19" s="486" t="s">
        <v>350</v>
      </c>
      <c r="H19" s="486"/>
      <c r="I19" s="486"/>
      <c r="J19" s="486"/>
      <c r="K19" s="121" t="s">
        <v>301</v>
      </c>
      <c r="L19" s="122">
        <v>14</v>
      </c>
      <c r="M19" s="123" t="s">
        <v>20</v>
      </c>
      <c r="N19" s="117"/>
    </row>
    <row r="20" spans="1:14" ht="17.25" thickBot="1">
      <c r="A20" s="126" t="str">
        <f t="shared" si="1"/>
        <v>2025/06</v>
      </c>
      <c r="B20" s="127" t="str">
        <f t="shared" si="0"/>
        <v>2025/06站前4樓</v>
      </c>
      <c r="C20" s="120">
        <v>19</v>
      </c>
      <c r="D20" s="121" t="s">
        <v>236</v>
      </c>
      <c r="E20" s="486" t="s">
        <v>282</v>
      </c>
      <c r="F20" s="486"/>
      <c r="G20" s="486" t="s">
        <v>283</v>
      </c>
      <c r="H20" s="486"/>
      <c r="I20" s="486"/>
      <c r="J20" s="486"/>
      <c r="K20" s="121" t="s">
        <v>284</v>
      </c>
      <c r="L20" s="122">
        <v>72</v>
      </c>
      <c r="M20" s="123" t="s">
        <v>65</v>
      </c>
      <c r="N20" s="117"/>
    </row>
    <row r="21" spans="1:14" ht="17.25" thickBot="1">
      <c r="A21" s="126" t="str">
        <f t="shared" si="1"/>
        <v>2025/06</v>
      </c>
      <c r="B21" s="127" t="str">
        <f t="shared" si="0"/>
        <v>2025/06站前4樓</v>
      </c>
      <c r="C21" s="120">
        <v>20</v>
      </c>
      <c r="D21" s="121" t="s">
        <v>236</v>
      </c>
      <c r="E21" s="486" t="s">
        <v>345</v>
      </c>
      <c r="F21" s="486"/>
      <c r="G21" s="486" t="s">
        <v>346</v>
      </c>
      <c r="H21" s="486"/>
      <c r="I21" s="486"/>
      <c r="J21" s="486"/>
      <c r="K21" s="121" t="s">
        <v>284</v>
      </c>
      <c r="L21" s="122">
        <v>10</v>
      </c>
      <c r="M21" s="123" t="s">
        <v>67</v>
      </c>
      <c r="N21" s="117"/>
    </row>
    <row r="22" spans="1:14" ht="17.25" thickBot="1">
      <c r="A22" s="126" t="str">
        <f t="shared" si="1"/>
        <v>2025/06</v>
      </c>
      <c r="B22" s="127" t="str">
        <f t="shared" si="0"/>
        <v>2025/06站前4樓</v>
      </c>
      <c r="C22" s="120">
        <v>21</v>
      </c>
      <c r="D22" s="121" t="s">
        <v>236</v>
      </c>
      <c r="E22" s="486" t="s">
        <v>299</v>
      </c>
      <c r="F22" s="486"/>
      <c r="G22" s="486" t="s">
        <v>300</v>
      </c>
      <c r="H22" s="486"/>
      <c r="I22" s="486"/>
      <c r="J22" s="486"/>
      <c r="K22" s="121" t="s">
        <v>301</v>
      </c>
      <c r="L22" s="122">
        <v>78</v>
      </c>
      <c r="M22" s="123" t="s">
        <v>68</v>
      </c>
      <c r="N22" s="117"/>
    </row>
    <row r="23" spans="1:14" ht="17.25" thickBot="1">
      <c r="A23" s="126" t="str">
        <f t="shared" si="1"/>
        <v>2025/06</v>
      </c>
      <c r="B23" s="127" t="str">
        <f t="shared" si="0"/>
        <v>2025/06站前4樓</v>
      </c>
      <c r="C23" s="120">
        <v>22</v>
      </c>
      <c r="D23" s="121" t="s">
        <v>236</v>
      </c>
      <c r="E23" s="486" t="s">
        <v>347</v>
      </c>
      <c r="F23" s="486"/>
      <c r="G23" s="486" t="s">
        <v>348</v>
      </c>
      <c r="H23" s="486"/>
      <c r="I23" s="486"/>
      <c r="J23" s="486"/>
      <c r="K23" s="121" t="s">
        <v>301</v>
      </c>
      <c r="L23" s="122">
        <v>11</v>
      </c>
      <c r="M23" s="123" t="s">
        <v>71</v>
      </c>
      <c r="N23" s="117"/>
    </row>
    <row r="24" spans="1:14" ht="17.25" thickBot="1">
      <c r="A24" s="126" t="str">
        <f t="shared" si="1"/>
        <v>2025/06</v>
      </c>
      <c r="B24" s="127" t="str">
        <f t="shared" si="0"/>
        <v>2025/06站前4樓</v>
      </c>
      <c r="C24" s="120">
        <v>23</v>
      </c>
      <c r="D24" s="121" t="s">
        <v>236</v>
      </c>
      <c r="E24" s="486" t="s">
        <v>317</v>
      </c>
      <c r="F24" s="486"/>
      <c r="G24" s="486" t="s">
        <v>318</v>
      </c>
      <c r="H24" s="486"/>
      <c r="I24" s="486"/>
      <c r="J24" s="486"/>
      <c r="K24" s="121" t="s">
        <v>319</v>
      </c>
      <c r="L24" s="122">
        <v>4</v>
      </c>
      <c r="M24" s="123" t="s">
        <v>75</v>
      </c>
      <c r="N24" s="117"/>
    </row>
    <row r="25" spans="1:14" ht="17.25" thickBot="1">
      <c r="A25" s="126" t="str">
        <f t="shared" si="1"/>
        <v>2025/06</v>
      </c>
      <c r="B25" s="127" t="str">
        <f t="shared" si="0"/>
        <v>2025/06站前4樓</v>
      </c>
      <c r="C25" s="120">
        <v>24</v>
      </c>
      <c r="D25" s="121" t="s">
        <v>236</v>
      </c>
      <c r="E25" s="486" t="s">
        <v>321</v>
      </c>
      <c r="F25" s="486"/>
      <c r="G25" s="486" t="s">
        <v>322</v>
      </c>
      <c r="H25" s="486"/>
      <c r="I25" s="486"/>
      <c r="J25" s="486"/>
      <c r="K25" s="121" t="s">
        <v>275</v>
      </c>
      <c r="L25" s="122">
        <v>196</v>
      </c>
      <c r="M25" s="123" t="s">
        <v>41</v>
      </c>
      <c r="N25" s="117"/>
    </row>
    <row r="26" spans="1:14" ht="17.25" thickBot="1">
      <c r="A26" s="126" t="str">
        <f t="shared" si="1"/>
        <v>2025/06</v>
      </c>
      <c r="B26" s="127" t="str">
        <f t="shared" si="0"/>
        <v>2025/06站前4樓</v>
      </c>
      <c r="C26" s="120">
        <v>25</v>
      </c>
      <c r="D26" s="121" t="s">
        <v>236</v>
      </c>
      <c r="E26" s="486" t="s">
        <v>372</v>
      </c>
      <c r="F26" s="486"/>
      <c r="G26" s="486" t="s">
        <v>373</v>
      </c>
      <c r="H26" s="486"/>
      <c r="I26" s="486"/>
      <c r="J26" s="486"/>
      <c r="K26" s="121" t="s">
        <v>278</v>
      </c>
      <c r="L26" s="122">
        <v>210</v>
      </c>
      <c r="M26" s="123" t="s">
        <v>45</v>
      </c>
      <c r="N26" s="117"/>
    </row>
    <row r="27" spans="1:14" ht="17.25" thickBot="1">
      <c r="A27" s="126" t="str">
        <f t="shared" si="1"/>
        <v>2025/06</v>
      </c>
      <c r="B27" s="127" t="str">
        <f t="shared" si="0"/>
        <v>2025/06站前4樓</v>
      </c>
      <c r="C27" s="120">
        <v>26</v>
      </c>
      <c r="D27" s="121" t="s">
        <v>236</v>
      </c>
      <c r="E27" s="486" t="s">
        <v>276</v>
      </c>
      <c r="F27" s="486"/>
      <c r="G27" s="486" t="s">
        <v>277</v>
      </c>
      <c r="H27" s="486"/>
      <c r="I27" s="486"/>
      <c r="J27" s="486"/>
      <c r="K27" s="121" t="s">
        <v>278</v>
      </c>
      <c r="L27" s="122">
        <v>38</v>
      </c>
      <c r="M27" s="123" t="s">
        <v>55</v>
      </c>
      <c r="N27" s="117"/>
    </row>
    <row r="28" spans="1:14" ht="17.25" thickBot="1">
      <c r="A28" s="126" t="str">
        <f t="shared" si="1"/>
        <v>2025/06</v>
      </c>
      <c r="B28" s="127" t="str">
        <f t="shared" si="0"/>
        <v>2025/06站前4樓</v>
      </c>
      <c r="C28" s="120">
        <v>27</v>
      </c>
      <c r="D28" s="121" t="s">
        <v>236</v>
      </c>
      <c r="E28" s="486" t="s">
        <v>273</v>
      </c>
      <c r="F28" s="486"/>
      <c r="G28" s="486" t="s">
        <v>274</v>
      </c>
      <c r="H28" s="486"/>
      <c r="I28" s="486"/>
      <c r="J28" s="486"/>
      <c r="K28" s="121" t="s">
        <v>275</v>
      </c>
      <c r="L28" s="122">
        <v>153</v>
      </c>
      <c r="M28" s="123" t="s">
        <v>52</v>
      </c>
      <c r="N28" s="117"/>
    </row>
    <row r="29" spans="1:14" ht="17.25" thickBot="1">
      <c r="A29" s="126" t="str">
        <f t="shared" si="1"/>
        <v>2025/06</v>
      </c>
      <c r="B29" s="127" t="str">
        <f t="shared" si="0"/>
        <v>2025/06站前4樓</v>
      </c>
      <c r="C29" s="120">
        <v>28</v>
      </c>
      <c r="D29" s="121" t="s">
        <v>236</v>
      </c>
      <c r="E29" s="486" t="s">
        <v>285</v>
      </c>
      <c r="F29" s="486"/>
      <c r="G29" s="486" t="s">
        <v>286</v>
      </c>
      <c r="H29" s="486"/>
      <c r="I29" s="486"/>
      <c r="J29" s="486"/>
      <c r="K29" s="121" t="s">
        <v>287</v>
      </c>
      <c r="L29" s="122">
        <v>13469</v>
      </c>
      <c r="M29" s="123" t="s">
        <v>89</v>
      </c>
      <c r="N29" s="117"/>
    </row>
    <row r="30" spans="1:14" ht="17.25" thickBot="1">
      <c r="A30" s="126" t="str">
        <f t="shared" si="1"/>
        <v>2025/06</v>
      </c>
      <c r="B30" s="127" t="str">
        <f t="shared" si="0"/>
        <v>2025/06站前4樓</v>
      </c>
      <c r="C30" s="120">
        <v>29</v>
      </c>
      <c r="D30" s="121" t="s">
        <v>236</v>
      </c>
      <c r="E30" s="486" t="s">
        <v>290</v>
      </c>
      <c r="F30" s="486"/>
      <c r="G30" s="486" t="s">
        <v>291</v>
      </c>
      <c r="H30" s="486"/>
      <c r="I30" s="486"/>
      <c r="J30" s="486"/>
      <c r="K30" s="121" t="s">
        <v>287</v>
      </c>
      <c r="L30" s="122">
        <v>40840</v>
      </c>
      <c r="M30" s="123" t="s">
        <v>91</v>
      </c>
      <c r="N30" s="117"/>
    </row>
    <row r="31" spans="1:14" ht="17.25" thickBot="1">
      <c r="A31" s="126" t="str">
        <f t="shared" si="1"/>
        <v>2025/06</v>
      </c>
      <c r="B31" s="127" t="str">
        <f t="shared" si="0"/>
        <v>2025/06站前4樓</v>
      </c>
      <c r="C31" s="120">
        <v>30</v>
      </c>
      <c r="D31" s="121" t="s">
        <v>236</v>
      </c>
      <c r="E31" s="486" t="s">
        <v>292</v>
      </c>
      <c r="F31" s="486"/>
      <c r="G31" s="486" t="s">
        <v>293</v>
      </c>
      <c r="H31" s="486"/>
      <c r="I31" s="486"/>
      <c r="J31" s="486"/>
      <c r="K31" s="121" t="s">
        <v>287</v>
      </c>
      <c r="L31" s="122">
        <v>71389</v>
      </c>
      <c r="M31" s="123" t="s">
        <v>92</v>
      </c>
      <c r="N31" s="117"/>
    </row>
    <row r="32" spans="1:14" ht="17.25" thickBot="1">
      <c r="A32" s="126" t="str">
        <f t="shared" si="1"/>
        <v>2025/06</v>
      </c>
      <c r="B32" s="127" t="str">
        <f t="shared" si="0"/>
        <v>2025/06站前4樓</v>
      </c>
      <c r="C32" s="120">
        <v>31</v>
      </c>
      <c r="D32" s="121" t="s">
        <v>236</v>
      </c>
      <c r="E32" s="486" t="s">
        <v>323</v>
      </c>
      <c r="F32" s="486"/>
      <c r="G32" s="486" t="s">
        <v>324</v>
      </c>
      <c r="H32" s="486"/>
      <c r="I32" s="486"/>
      <c r="J32" s="486"/>
      <c r="K32" s="121" t="s">
        <v>325</v>
      </c>
      <c r="L32" s="122">
        <v>23379</v>
      </c>
      <c r="M32" s="123" t="s">
        <v>93</v>
      </c>
      <c r="N32" s="117"/>
    </row>
    <row r="33" spans="1:14" ht="17.25" thickBot="1">
      <c r="A33" s="126" t="str">
        <f t="shared" si="1"/>
        <v>2025/06</v>
      </c>
      <c r="B33" s="127" t="str">
        <f t="shared" si="0"/>
        <v>2025/06站前4樓</v>
      </c>
      <c r="C33" s="120">
        <v>32</v>
      </c>
      <c r="D33" s="121" t="s">
        <v>236</v>
      </c>
      <c r="E33" s="486" t="s">
        <v>359</v>
      </c>
      <c r="F33" s="486"/>
      <c r="G33" s="486" t="s">
        <v>138</v>
      </c>
      <c r="H33" s="486"/>
      <c r="I33" s="486"/>
      <c r="J33" s="486"/>
      <c r="K33" s="121" t="s">
        <v>146</v>
      </c>
      <c r="L33" s="122">
        <v>11</v>
      </c>
      <c r="M33" s="123" t="s">
        <v>137</v>
      </c>
      <c r="N33" s="117"/>
    </row>
    <row r="34" spans="1:14" ht="17.25" thickBot="1">
      <c r="A34" s="126" t="str">
        <f t="shared" si="1"/>
        <v>2025/06</v>
      </c>
      <c r="B34" s="127" t="str">
        <f t="shared" si="0"/>
        <v>2025/06站前4樓</v>
      </c>
      <c r="C34" s="120">
        <v>33</v>
      </c>
      <c r="D34" s="121" t="s">
        <v>236</v>
      </c>
      <c r="E34" s="486" t="s">
        <v>320</v>
      </c>
      <c r="F34" s="486"/>
      <c r="G34" s="486" t="s">
        <v>135</v>
      </c>
      <c r="H34" s="486"/>
      <c r="I34" s="486"/>
      <c r="J34" s="486"/>
      <c r="K34" s="121" t="s">
        <v>146</v>
      </c>
      <c r="L34" s="122">
        <v>7</v>
      </c>
      <c r="M34" s="123" t="s">
        <v>134</v>
      </c>
      <c r="N34" s="117"/>
    </row>
    <row r="35" spans="1:14" ht="17.25" thickBot="1">
      <c r="A35" s="126" t="str">
        <f t="shared" si="1"/>
        <v>2025/06</v>
      </c>
      <c r="B35" s="127" t="str">
        <f t="shared" si="0"/>
        <v>2025/06站前4樓</v>
      </c>
      <c r="C35" s="120">
        <v>34</v>
      </c>
      <c r="D35" s="121" t="s">
        <v>236</v>
      </c>
      <c r="E35" s="486" t="s">
        <v>338</v>
      </c>
      <c r="F35" s="486"/>
      <c r="G35" s="486" t="s">
        <v>339</v>
      </c>
      <c r="H35" s="486"/>
      <c r="I35" s="486"/>
      <c r="J35" s="486"/>
      <c r="K35" s="121" t="s">
        <v>287</v>
      </c>
      <c r="L35" s="122">
        <v>2946</v>
      </c>
      <c r="M35" s="123" t="s">
        <v>95</v>
      </c>
      <c r="N35" s="117"/>
    </row>
    <row r="36" spans="1:14" ht="17.25" thickBot="1">
      <c r="A36" s="126" t="str">
        <f t="shared" si="1"/>
        <v>2025/06</v>
      </c>
      <c r="B36" s="127" t="str">
        <f t="shared" si="0"/>
        <v>2025/06站前4樓</v>
      </c>
      <c r="C36" s="120">
        <v>35</v>
      </c>
      <c r="D36" s="121" t="s">
        <v>236</v>
      </c>
      <c r="E36" s="486" t="s">
        <v>326</v>
      </c>
      <c r="F36" s="486"/>
      <c r="G36" s="486" t="s">
        <v>327</v>
      </c>
      <c r="H36" s="486"/>
      <c r="I36" s="486"/>
      <c r="J36" s="486"/>
      <c r="K36" s="121" t="s">
        <v>287</v>
      </c>
      <c r="L36" s="122">
        <v>9079</v>
      </c>
      <c r="M36" s="123" t="s">
        <v>97</v>
      </c>
      <c r="N36" s="117"/>
    </row>
    <row r="37" spans="1:14" ht="17.25" thickBot="1">
      <c r="A37" s="126" t="str">
        <f t="shared" si="1"/>
        <v>2025/06</v>
      </c>
      <c r="B37" s="127" t="str">
        <f t="shared" si="0"/>
        <v>2025/06站前4樓</v>
      </c>
      <c r="C37" s="120">
        <v>36</v>
      </c>
      <c r="D37" s="121" t="s">
        <v>236</v>
      </c>
      <c r="E37" s="486" t="s">
        <v>328</v>
      </c>
      <c r="F37" s="486"/>
      <c r="G37" s="486" t="s">
        <v>329</v>
      </c>
      <c r="H37" s="486"/>
      <c r="I37" s="486"/>
      <c r="J37" s="486"/>
      <c r="K37" s="121" t="s">
        <v>287</v>
      </c>
      <c r="L37" s="122">
        <v>18643</v>
      </c>
      <c r="M37" s="123" t="s">
        <v>98</v>
      </c>
      <c r="N37" s="117"/>
    </row>
    <row r="38" spans="1:14" ht="17.25" thickBot="1">
      <c r="A38" s="126" t="str">
        <f t="shared" si="1"/>
        <v>2025/06</v>
      </c>
      <c r="B38" s="127" t="str">
        <f t="shared" si="0"/>
        <v>2025/06站前4樓</v>
      </c>
      <c r="C38" s="120">
        <v>37</v>
      </c>
      <c r="D38" s="121" t="s">
        <v>236</v>
      </c>
      <c r="E38" s="486" t="s">
        <v>330</v>
      </c>
      <c r="F38" s="486"/>
      <c r="G38" s="486" t="s">
        <v>331</v>
      </c>
      <c r="H38" s="486"/>
      <c r="I38" s="486"/>
      <c r="J38" s="486"/>
      <c r="K38" s="121" t="s">
        <v>287</v>
      </c>
      <c r="L38" s="122">
        <v>5735</v>
      </c>
      <c r="M38" s="123" t="s">
        <v>99</v>
      </c>
      <c r="N38" s="117"/>
    </row>
    <row r="39" spans="1:14" ht="17.25" thickBot="1">
      <c r="A39" s="126" t="str">
        <f t="shared" si="1"/>
        <v>2025/06</v>
      </c>
      <c r="B39" s="127" t="str">
        <f t="shared" si="0"/>
        <v>2025/06站前4樓</v>
      </c>
      <c r="C39" s="120">
        <v>38</v>
      </c>
      <c r="D39" s="121" t="s">
        <v>236</v>
      </c>
      <c r="E39" s="486" t="s">
        <v>302</v>
      </c>
      <c r="F39" s="486"/>
      <c r="G39" s="486" t="s">
        <v>303</v>
      </c>
      <c r="H39" s="486"/>
      <c r="I39" s="486"/>
      <c r="J39" s="486"/>
      <c r="K39" s="121" t="s">
        <v>304</v>
      </c>
      <c r="L39" s="122">
        <v>14398</v>
      </c>
      <c r="M39" s="123" t="s">
        <v>81</v>
      </c>
      <c r="N39" s="117"/>
    </row>
    <row r="40" spans="1:14" ht="17.25" thickBot="1">
      <c r="A40" s="126" t="str">
        <f t="shared" si="1"/>
        <v>2025/06</v>
      </c>
      <c r="B40" s="127" t="str">
        <f t="shared" si="0"/>
        <v>2025/06站前4樓</v>
      </c>
      <c r="C40" s="120">
        <v>39</v>
      </c>
      <c r="D40" s="121" t="s">
        <v>236</v>
      </c>
      <c r="E40" s="486" t="s">
        <v>363</v>
      </c>
      <c r="F40" s="486"/>
      <c r="G40" s="486" t="s">
        <v>364</v>
      </c>
      <c r="H40" s="486"/>
      <c r="I40" s="486"/>
      <c r="J40" s="486"/>
      <c r="K40" s="121" t="s">
        <v>365</v>
      </c>
      <c r="L40" s="122">
        <v>37902</v>
      </c>
      <c r="M40" s="123" t="s">
        <v>85</v>
      </c>
      <c r="N40" s="117"/>
    </row>
    <row r="41" spans="1:14" ht="17.25" thickBot="1">
      <c r="A41" s="126" t="str">
        <f t="shared" si="1"/>
        <v>2025/06</v>
      </c>
      <c r="B41" s="127" t="str">
        <f t="shared" si="0"/>
        <v>2025/06站前4樓</v>
      </c>
      <c r="C41" s="120">
        <v>40</v>
      </c>
      <c r="D41" s="121" t="s">
        <v>236</v>
      </c>
      <c r="E41" s="486" t="s">
        <v>279</v>
      </c>
      <c r="F41" s="486"/>
      <c r="G41" s="486" t="s">
        <v>280</v>
      </c>
      <c r="H41" s="486"/>
      <c r="I41" s="486"/>
      <c r="J41" s="486"/>
      <c r="K41" s="121" t="s">
        <v>281</v>
      </c>
      <c r="L41" s="122">
        <v>262702</v>
      </c>
      <c r="M41" s="123" t="s">
        <v>111</v>
      </c>
      <c r="N41" s="117"/>
    </row>
    <row r="42" spans="1:14" ht="17.25" thickBot="1">
      <c r="A42" s="126" t="str">
        <f t="shared" si="1"/>
        <v>2025/06</v>
      </c>
      <c r="B42" s="127" t="str">
        <f t="shared" si="0"/>
        <v>2025/06站前4樓</v>
      </c>
      <c r="C42" s="120">
        <v>41</v>
      </c>
      <c r="D42" s="121" t="s">
        <v>236</v>
      </c>
      <c r="E42" s="486" t="s">
        <v>288</v>
      </c>
      <c r="F42" s="486"/>
      <c r="G42" s="486" t="s">
        <v>289</v>
      </c>
      <c r="H42" s="486"/>
      <c r="I42" s="486"/>
      <c r="J42" s="486"/>
      <c r="K42" s="121" t="s">
        <v>281</v>
      </c>
      <c r="L42" s="122">
        <v>140600</v>
      </c>
      <c r="M42" s="123" t="s">
        <v>115</v>
      </c>
      <c r="N42" s="117"/>
    </row>
    <row r="43" spans="1:14" ht="17.25" thickBot="1">
      <c r="A43" s="126" t="str">
        <f t="shared" si="1"/>
        <v>2025/06</v>
      </c>
      <c r="B43" s="127" t="str">
        <f t="shared" si="0"/>
        <v>2025/06站前4樓</v>
      </c>
      <c r="C43" s="120">
        <v>42</v>
      </c>
      <c r="D43" s="121" t="s">
        <v>236</v>
      </c>
      <c r="E43" s="486" t="s">
        <v>441</v>
      </c>
      <c r="F43" s="486"/>
      <c r="G43" s="486" t="s">
        <v>442</v>
      </c>
      <c r="H43" s="486"/>
      <c r="I43" s="486"/>
      <c r="J43" s="486"/>
      <c r="K43" s="121" t="s">
        <v>325</v>
      </c>
      <c r="L43" s="122">
        <v>2</v>
      </c>
      <c r="M43" s="123"/>
      <c r="N43" s="117"/>
    </row>
    <row r="44" spans="1:14" ht="17.25" thickBot="1">
      <c r="A44" s="126" t="str">
        <f t="shared" si="1"/>
        <v>2025/06</v>
      </c>
      <c r="B44" s="127" t="str">
        <f t="shared" si="0"/>
        <v>2025/06站前4樓</v>
      </c>
      <c r="C44" s="120">
        <v>43</v>
      </c>
      <c r="D44" s="121" t="s">
        <v>236</v>
      </c>
      <c r="E44" s="486" t="s">
        <v>447</v>
      </c>
      <c r="F44" s="486"/>
      <c r="G44" s="486" t="s">
        <v>448</v>
      </c>
      <c r="H44" s="486"/>
      <c r="I44" s="486"/>
      <c r="J44" s="486"/>
      <c r="K44" s="121" t="s">
        <v>445</v>
      </c>
      <c r="L44" s="122">
        <v>12</v>
      </c>
      <c r="M44" s="123" t="s">
        <v>24</v>
      </c>
      <c r="N44" s="117"/>
    </row>
    <row r="45" spans="1:14" ht="17.25" thickBot="1">
      <c r="A45" s="126" t="str">
        <f t="shared" si="1"/>
        <v>2025/06</v>
      </c>
      <c r="B45" s="127" t="str">
        <f t="shared" si="0"/>
        <v>2025/06站前4樓</v>
      </c>
      <c r="C45" s="120">
        <v>44</v>
      </c>
      <c r="D45" s="121" t="s">
        <v>236</v>
      </c>
      <c r="E45" s="486" t="s">
        <v>443</v>
      </c>
      <c r="F45" s="486"/>
      <c r="G45" s="486" t="s">
        <v>444</v>
      </c>
      <c r="H45" s="486"/>
      <c r="I45" s="486"/>
      <c r="J45" s="486"/>
      <c r="K45" s="121" t="s">
        <v>445</v>
      </c>
      <c r="L45" s="122">
        <v>16</v>
      </c>
      <c r="M45" s="123" t="s">
        <v>26</v>
      </c>
      <c r="N45" s="117"/>
    </row>
    <row r="46" spans="1:14" ht="17.25" thickBot="1">
      <c r="A46" s="126" t="str">
        <f t="shared" si="1"/>
        <v>2025/06</v>
      </c>
      <c r="B46" s="127" t="str">
        <f t="shared" si="0"/>
        <v>2025/06站前4樓</v>
      </c>
      <c r="C46" s="120">
        <v>45</v>
      </c>
      <c r="D46" s="121" t="s">
        <v>236</v>
      </c>
      <c r="E46" s="486" t="s">
        <v>357</v>
      </c>
      <c r="F46" s="486"/>
      <c r="G46" s="486" t="s">
        <v>358</v>
      </c>
      <c r="H46" s="486"/>
      <c r="I46" s="486"/>
      <c r="J46" s="486"/>
      <c r="K46" s="121" t="s">
        <v>353</v>
      </c>
      <c r="L46" s="122">
        <v>8</v>
      </c>
      <c r="M46" s="123" t="s">
        <v>28</v>
      </c>
      <c r="N46" s="117"/>
    </row>
    <row r="47" spans="1:14" ht="17.25" thickBot="1">
      <c r="A47" s="126" t="str">
        <f t="shared" si="1"/>
        <v>2025/06</v>
      </c>
      <c r="B47" s="127" t="str">
        <f t="shared" si="0"/>
        <v>2025/06站前4樓</v>
      </c>
      <c r="C47" s="120">
        <v>46</v>
      </c>
      <c r="D47" s="121" t="s">
        <v>236</v>
      </c>
      <c r="E47" s="486" t="s">
        <v>449</v>
      </c>
      <c r="F47" s="486"/>
      <c r="G47" s="486" t="s">
        <v>450</v>
      </c>
      <c r="H47" s="486"/>
      <c r="I47" s="486"/>
      <c r="J47" s="486"/>
      <c r="K47" s="121" t="s">
        <v>445</v>
      </c>
      <c r="L47" s="122">
        <v>4</v>
      </c>
      <c r="M47" s="123" t="s">
        <v>25</v>
      </c>
      <c r="N47" s="117"/>
    </row>
    <row r="48" spans="1:14" ht="17.25" thickBot="1">
      <c r="A48" s="126" t="str">
        <f t="shared" si="1"/>
        <v>2025/06</v>
      </c>
      <c r="B48" s="127" t="str">
        <f t="shared" si="0"/>
        <v>2025/06站前4樓</v>
      </c>
      <c r="C48" s="120">
        <v>47</v>
      </c>
      <c r="D48" s="121" t="s">
        <v>236</v>
      </c>
      <c r="E48" s="486" t="s">
        <v>340</v>
      </c>
      <c r="F48" s="486"/>
      <c r="G48" s="486" t="s">
        <v>341</v>
      </c>
      <c r="H48" s="486"/>
      <c r="I48" s="486"/>
      <c r="J48" s="486"/>
      <c r="K48" s="121" t="s">
        <v>342</v>
      </c>
      <c r="L48" s="122">
        <v>89</v>
      </c>
      <c r="M48" s="123"/>
      <c r="N48" s="117"/>
    </row>
    <row r="49" spans="1:14" ht="17.25" thickBot="1">
      <c r="A49" s="126" t="str">
        <f t="shared" si="1"/>
        <v>2025/06</v>
      </c>
      <c r="B49" s="127" t="str">
        <f t="shared" si="0"/>
        <v>2025/06站前4樓</v>
      </c>
      <c r="C49" s="120">
        <v>48</v>
      </c>
      <c r="D49" s="121" t="s">
        <v>236</v>
      </c>
      <c r="E49" s="486" t="s">
        <v>354</v>
      </c>
      <c r="F49" s="486"/>
      <c r="G49" s="486" t="s">
        <v>355</v>
      </c>
      <c r="H49" s="486"/>
      <c r="I49" s="486"/>
      <c r="J49" s="486"/>
      <c r="K49" s="121" t="s">
        <v>356</v>
      </c>
      <c r="L49" s="122">
        <v>1</v>
      </c>
      <c r="M49" s="123" t="s">
        <v>650</v>
      </c>
      <c r="N49" s="117"/>
    </row>
    <row r="50" spans="1:14" ht="17.25" thickBot="1">
      <c r="A50" s="126" t="str">
        <f t="shared" si="1"/>
        <v>2025/06</v>
      </c>
      <c r="B50" s="127" t="str">
        <f t="shared" si="0"/>
        <v>2025/06站前4樓</v>
      </c>
      <c r="C50" s="120">
        <v>49</v>
      </c>
      <c r="D50" s="121" t="s">
        <v>236</v>
      </c>
      <c r="E50" s="486" t="s">
        <v>368</v>
      </c>
      <c r="F50" s="486"/>
      <c r="G50" s="486" t="s">
        <v>369</v>
      </c>
      <c r="H50" s="486"/>
      <c r="I50" s="486"/>
      <c r="J50" s="486"/>
      <c r="K50" s="121" t="s">
        <v>356</v>
      </c>
      <c r="L50" s="122">
        <v>1</v>
      </c>
      <c r="M50" s="123" t="s">
        <v>651</v>
      </c>
      <c r="N50" s="117"/>
    </row>
    <row r="51" spans="1:14" ht="17.25" thickBot="1">
      <c r="A51" s="126" t="str">
        <f t="shared" si="1"/>
        <v>2025/06</v>
      </c>
      <c r="B51" s="127" t="str">
        <f t="shared" si="0"/>
        <v>2025/06站前4樓</v>
      </c>
      <c r="C51" s="120">
        <v>50</v>
      </c>
      <c r="D51" s="121" t="s">
        <v>236</v>
      </c>
      <c r="E51" s="486" t="s">
        <v>425</v>
      </c>
      <c r="F51" s="486"/>
      <c r="G51" s="486" t="s">
        <v>426</v>
      </c>
      <c r="H51" s="486"/>
      <c r="I51" s="486"/>
      <c r="J51" s="486"/>
      <c r="K51" s="121" t="s">
        <v>269</v>
      </c>
      <c r="L51" s="122">
        <v>2</v>
      </c>
      <c r="M51" s="123" t="s">
        <v>29</v>
      </c>
      <c r="N51" s="117"/>
    </row>
    <row r="52" spans="1:14" ht="17.25" thickBot="1">
      <c r="A52" s="126" t="str">
        <f t="shared" si="1"/>
        <v>2025/06</v>
      </c>
      <c r="B52" s="127" t="str">
        <f t="shared" si="0"/>
        <v>2025/06站前4樓</v>
      </c>
      <c r="C52" s="120">
        <v>51</v>
      </c>
      <c r="D52" s="121" t="s">
        <v>236</v>
      </c>
      <c r="E52" s="486" t="s">
        <v>309</v>
      </c>
      <c r="F52" s="486"/>
      <c r="G52" s="486" t="s">
        <v>310</v>
      </c>
      <c r="H52" s="486"/>
      <c r="I52" s="486"/>
      <c r="J52" s="486"/>
      <c r="K52" s="121" t="s">
        <v>269</v>
      </c>
      <c r="L52" s="122">
        <v>26</v>
      </c>
      <c r="M52" s="123" t="s">
        <v>30</v>
      </c>
      <c r="N52" s="117"/>
    </row>
    <row r="53" spans="1:14" ht="17.25" thickBot="1">
      <c r="A53" s="126" t="str">
        <f t="shared" si="1"/>
        <v>2025/06</v>
      </c>
      <c r="B53" s="127" t="str">
        <f t="shared" si="0"/>
        <v>2025/06站前4樓</v>
      </c>
      <c r="C53" s="120">
        <v>52</v>
      </c>
      <c r="D53" s="121" t="s">
        <v>236</v>
      </c>
      <c r="E53" s="486" t="s">
        <v>267</v>
      </c>
      <c r="F53" s="486"/>
      <c r="G53" s="486" t="s">
        <v>268</v>
      </c>
      <c r="H53" s="486"/>
      <c r="I53" s="486"/>
      <c r="J53" s="486"/>
      <c r="K53" s="121" t="s">
        <v>269</v>
      </c>
      <c r="L53" s="122">
        <v>32</v>
      </c>
      <c r="M53" s="123" t="s">
        <v>33</v>
      </c>
      <c r="N53" s="117"/>
    </row>
    <row r="54" spans="1:14" ht="17.25" thickBot="1">
      <c r="A54" s="126" t="str">
        <f t="shared" si="1"/>
        <v>2025/06</v>
      </c>
      <c r="B54" s="127" t="str">
        <f t="shared" si="0"/>
        <v>2025/06站前4樓</v>
      </c>
      <c r="C54" s="120">
        <v>53</v>
      </c>
      <c r="D54" s="121" t="s">
        <v>236</v>
      </c>
      <c r="E54" s="486" t="s">
        <v>297</v>
      </c>
      <c r="F54" s="486"/>
      <c r="G54" s="486" t="s">
        <v>298</v>
      </c>
      <c r="H54" s="486"/>
      <c r="I54" s="486"/>
      <c r="J54" s="486"/>
      <c r="K54" s="121" t="s">
        <v>269</v>
      </c>
      <c r="L54" s="122">
        <v>1</v>
      </c>
      <c r="M54" s="123" t="s">
        <v>36</v>
      </c>
      <c r="N54" s="117"/>
    </row>
    <row r="55" spans="1:14" ht="17.25" thickBot="1">
      <c r="A55" s="126" t="str">
        <f t="shared" si="1"/>
        <v>2025/06</v>
      </c>
      <c r="B55" s="127" t="str">
        <f t="shared" si="0"/>
        <v>2025/06站前4樓</v>
      </c>
      <c r="C55" s="120">
        <v>54</v>
      </c>
      <c r="D55" s="121" t="s">
        <v>236</v>
      </c>
      <c r="E55" s="486" t="s">
        <v>237</v>
      </c>
      <c r="F55" s="486"/>
      <c r="G55" s="486" t="s">
        <v>238</v>
      </c>
      <c r="H55" s="486"/>
      <c r="I55" s="486"/>
      <c r="J55" s="486"/>
      <c r="K55" s="121" t="s">
        <v>239</v>
      </c>
      <c r="L55" s="122">
        <v>636</v>
      </c>
      <c r="M55" s="123" t="s">
        <v>117</v>
      </c>
      <c r="N55" s="117"/>
    </row>
    <row r="56" spans="1:14" ht="17.25" thickBot="1">
      <c r="A56" s="126" t="str">
        <f t="shared" si="1"/>
        <v>2025/06</v>
      </c>
      <c r="B56" s="127" t="str">
        <f t="shared" si="0"/>
        <v>2025/06站前4樓</v>
      </c>
      <c r="C56" s="120">
        <v>55</v>
      </c>
      <c r="D56" s="121" t="s">
        <v>236</v>
      </c>
      <c r="E56" s="486" t="s">
        <v>240</v>
      </c>
      <c r="F56" s="486"/>
      <c r="G56" s="486" t="s">
        <v>241</v>
      </c>
      <c r="H56" s="486"/>
      <c r="I56" s="486"/>
      <c r="J56" s="486"/>
      <c r="K56" s="121" t="s">
        <v>239</v>
      </c>
      <c r="L56" s="122">
        <v>636</v>
      </c>
      <c r="M56" s="123" t="s">
        <v>120</v>
      </c>
      <c r="N56" s="117"/>
    </row>
    <row r="57" spans="1:14" ht="17.25" thickBot="1">
      <c r="A57" s="126" t="str">
        <f t="shared" si="1"/>
        <v>2025/06</v>
      </c>
      <c r="B57" s="127" t="str">
        <f t="shared" si="0"/>
        <v>2025/06站前4樓</v>
      </c>
      <c r="C57" s="120">
        <v>56</v>
      </c>
      <c r="D57" s="121" t="s">
        <v>236</v>
      </c>
      <c r="E57" s="486" t="s">
        <v>242</v>
      </c>
      <c r="F57" s="486"/>
      <c r="G57" s="486" t="s">
        <v>243</v>
      </c>
      <c r="H57" s="486"/>
      <c r="I57" s="486"/>
      <c r="J57" s="486"/>
      <c r="K57" s="121" t="s">
        <v>239</v>
      </c>
      <c r="L57" s="122">
        <v>636</v>
      </c>
      <c r="M57" s="123" t="s">
        <v>121</v>
      </c>
      <c r="N57" s="117"/>
    </row>
    <row r="58" spans="1:14" ht="17.25" thickBot="1">
      <c r="A58" s="126" t="str">
        <f t="shared" si="1"/>
        <v>2025/06</v>
      </c>
      <c r="B58" s="127" t="str">
        <f t="shared" si="0"/>
        <v>2025/06站前4樓</v>
      </c>
      <c r="C58" s="120">
        <v>57</v>
      </c>
      <c r="D58" s="121" t="s">
        <v>236</v>
      </c>
      <c r="E58" s="486" t="s">
        <v>244</v>
      </c>
      <c r="F58" s="486"/>
      <c r="G58" s="486" t="s">
        <v>245</v>
      </c>
      <c r="H58" s="486"/>
      <c r="I58" s="486"/>
      <c r="J58" s="486"/>
      <c r="K58" s="121" t="s">
        <v>42</v>
      </c>
      <c r="L58" s="122">
        <v>9525</v>
      </c>
      <c r="M58" s="123" t="s">
        <v>123</v>
      </c>
      <c r="N58" s="117"/>
    </row>
    <row r="59" spans="1:14" ht="17.25" thickBot="1">
      <c r="A59" s="126" t="str">
        <f t="shared" si="1"/>
        <v>2025/06</v>
      </c>
      <c r="B59" s="127" t="str">
        <f t="shared" si="0"/>
        <v>2025/06站前4樓</v>
      </c>
      <c r="C59" s="120">
        <v>58</v>
      </c>
      <c r="D59" s="121" t="s">
        <v>236</v>
      </c>
      <c r="E59" s="486" t="s">
        <v>246</v>
      </c>
      <c r="F59" s="486"/>
      <c r="G59" s="486" t="s">
        <v>247</v>
      </c>
      <c r="H59" s="486"/>
      <c r="I59" s="486"/>
      <c r="J59" s="486"/>
      <c r="K59" s="121" t="s">
        <v>42</v>
      </c>
      <c r="L59" s="122">
        <v>9525</v>
      </c>
      <c r="M59" s="123" t="s">
        <v>127</v>
      </c>
      <c r="N59" s="117"/>
    </row>
    <row r="60" spans="1:14" ht="17.25" thickBot="1">
      <c r="A60" s="126" t="str">
        <f t="shared" si="1"/>
        <v>2025/06</v>
      </c>
      <c r="B60" s="127" t="str">
        <f t="shared" si="0"/>
        <v>2025/06站前4樓</v>
      </c>
      <c r="C60" s="120">
        <v>59</v>
      </c>
      <c r="D60" s="121" t="s">
        <v>236</v>
      </c>
      <c r="E60" s="486" t="s">
        <v>248</v>
      </c>
      <c r="F60" s="486"/>
      <c r="G60" s="486" t="s">
        <v>249</v>
      </c>
      <c r="H60" s="486"/>
      <c r="I60" s="486"/>
      <c r="J60" s="486"/>
      <c r="K60" s="121" t="s">
        <v>42</v>
      </c>
      <c r="L60" s="122">
        <v>9525</v>
      </c>
      <c r="M60" s="123" t="s">
        <v>129</v>
      </c>
      <c r="N60" s="117"/>
    </row>
    <row r="61" spans="1:14" ht="17.25" thickBot="1">
      <c r="A61" s="126" t="str">
        <f t="shared" si="1"/>
        <v>2025/06</v>
      </c>
      <c r="B61" s="127" t="str">
        <f t="shared" si="0"/>
        <v>2025/06站前11樓</v>
      </c>
      <c r="C61" s="120">
        <v>60</v>
      </c>
      <c r="D61" s="121" t="s">
        <v>374</v>
      </c>
      <c r="E61" s="486" t="s">
        <v>392</v>
      </c>
      <c r="F61" s="486"/>
      <c r="G61" s="486" t="s">
        <v>393</v>
      </c>
      <c r="H61" s="486"/>
      <c r="I61" s="486"/>
      <c r="J61" s="486"/>
      <c r="K61" s="121" t="s">
        <v>382</v>
      </c>
      <c r="L61" s="122">
        <v>408</v>
      </c>
      <c r="M61" s="123" t="s">
        <v>152</v>
      </c>
      <c r="N61" s="117"/>
    </row>
    <row r="62" spans="1:14" ht="17.25" thickBot="1">
      <c r="A62" s="126" t="str">
        <f t="shared" si="1"/>
        <v>2025/06</v>
      </c>
      <c r="B62" s="127" t="str">
        <f t="shared" si="0"/>
        <v>2025/06站前11樓</v>
      </c>
      <c r="C62" s="120">
        <v>61</v>
      </c>
      <c r="D62" s="121" t="s">
        <v>374</v>
      </c>
      <c r="E62" s="486" t="s">
        <v>380</v>
      </c>
      <c r="F62" s="486"/>
      <c r="G62" s="486" t="s">
        <v>381</v>
      </c>
      <c r="H62" s="486"/>
      <c r="I62" s="486"/>
      <c r="J62" s="486"/>
      <c r="K62" s="121" t="s">
        <v>382</v>
      </c>
      <c r="L62" s="122">
        <v>480.5</v>
      </c>
      <c r="M62" s="123" t="s">
        <v>155</v>
      </c>
      <c r="N62" s="117"/>
    </row>
    <row r="63" spans="1:14" ht="17.25" thickBot="1">
      <c r="A63" s="126" t="str">
        <f t="shared" si="1"/>
        <v>2025/06</v>
      </c>
      <c r="B63" s="127" t="str">
        <f t="shared" si="0"/>
        <v>2025/06站前11樓</v>
      </c>
      <c r="C63" s="120">
        <v>62</v>
      </c>
      <c r="D63" s="121" t="s">
        <v>374</v>
      </c>
      <c r="E63" s="486" t="s">
        <v>413</v>
      </c>
      <c r="F63" s="486"/>
      <c r="G63" s="486" t="s">
        <v>414</v>
      </c>
      <c r="H63" s="486"/>
      <c r="I63" s="486"/>
      <c r="J63" s="486"/>
      <c r="K63" s="121" t="s">
        <v>410</v>
      </c>
      <c r="L63" s="122">
        <v>3</v>
      </c>
      <c r="M63" s="123" t="s">
        <v>648</v>
      </c>
      <c r="N63" s="117"/>
    </row>
    <row r="64" spans="1:14" ht="17.25" thickBot="1">
      <c r="A64" s="126" t="str">
        <f t="shared" si="1"/>
        <v>2025/06</v>
      </c>
      <c r="B64" s="127" t="str">
        <f t="shared" si="0"/>
        <v>2025/06站前11樓</v>
      </c>
      <c r="C64" s="120">
        <v>63</v>
      </c>
      <c r="D64" s="121" t="s">
        <v>374</v>
      </c>
      <c r="E64" s="486" t="s">
        <v>360</v>
      </c>
      <c r="F64" s="486"/>
      <c r="G64" s="486" t="s">
        <v>361</v>
      </c>
      <c r="H64" s="486"/>
      <c r="I64" s="486"/>
      <c r="J64" s="486"/>
      <c r="K64" s="121" t="s">
        <v>362</v>
      </c>
      <c r="L64" s="122">
        <v>7</v>
      </c>
      <c r="M64" s="123" t="s">
        <v>653</v>
      </c>
      <c r="N64" s="117"/>
    </row>
    <row r="65" spans="1:14" ht="17.25" thickBot="1">
      <c r="A65" s="126" t="str">
        <f t="shared" si="1"/>
        <v>2025/06</v>
      </c>
      <c r="B65" s="127" t="str">
        <f t="shared" si="0"/>
        <v>2025/06站前11樓</v>
      </c>
      <c r="C65" s="120">
        <v>64</v>
      </c>
      <c r="D65" s="121" t="s">
        <v>374</v>
      </c>
      <c r="E65" s="486" t="s">
        <v>383</v>
      </c>
      <c r="F65" s="486"/>
      <c r="G65" s="486" t="s">
        <v>384</v>
      </c>
      <c r="H65" s="486"/>
      <c r="I65" s="486"/>
      <c r="J65" s="486"/>
      <c r="K65" s="121" t="s">
        <v>385</v>
      </c>
      <c r="L65" s="122">
        <v>142</v>
      </c>
      <c r="M65" s="123" t="s">
        <v>654</v>
      </c>
      <c r="N65" s="117"/>
    </row>
    <row r="66" spans="1:14" ht="17.25" thickBot="1">
      <c r="A66" s="126" t="str">
        <f t="shared" si="1"/>
        <v>2025/06</v>
      </c>
      <c r="B66" s="127" t="str">
        <f t="shared" ref="B66:B80" si="2">"2025/06"&amp;D66</f>
        <v>2025/06站前11樓</v>
      </c>
      <c r="C66" s="120">
        <v>65</v>
      </c>
      <c r="D66" s="121" t="s">
        <v>374</v>
      </c>
      <c r="E66" s="486" t="s">
        <v>394</v>
      </c>
      <c r="F66" s="486"/>
      <c r="G66" s="486" t="s">
        <v>395</v>
      </c>
      <c r="H66" s="486"/>
      <c r="I66" s="486"/>
      <c r="J66" s="486"/>
      <c r="K66" s="121" t="s">
        <v>272</v>
      </c>
      <c r="L66" s="122">
        <v>3</v>
      </c>
      <c r="M66" s="123" t="s">
        <v>655</v>
      </c>
      <c r="N66" s="117"/>
    </row>
    <row r="67" spans="1:14" ht="17.25" thickBot="1">
      <c r="A67" s="126" t="str">
        <f t="shared" ref="A67:A130" si="3">IFERROR(LEFT(B67,7),"")</f>
        <v>2025/06</v>
      </c>
      <c r="B67" s="127" t="str">
        <f t="shared" si="2"/>
        <v>2025/06站前11樓</v>
      </c>
      <c r="C67" s="120">
        <v>66</v>
      </c>
      <c r="D67" s="121" t="s">
        <v>374</v>
      </c>
      <c r="E67" s="486" t="s">
        <v>403</v>
      </c>
      <c r="F67" s="486"/>
      <c r="G67" s="486" t="s">
        <v>404</v>
      </c>
      <c r="H67" s="486"/>
      <c r="I67" s="486"/>
      <c r="J67" s="486"/>
      <c r="K67" s="121" t="s">
        <v>405</v>
      </c>
      <c r="L67" s="122">
        <v>3</v>
      </c>
      <c r="M67" s="123" t="s">
        <v>656</v>
      </c>
      <c r="N67" s="117"/>
    </row>
    <row r="68" spans="1:14" ht="17.25" thickBot="1">
      <c r="A68" s="126" t="str">
        <f t="shared" si="3"/>
        <v>2025/06</v>
      </c>
      <c r="B68" s="127" t="str">
        <f t="shared" si="2"/>
        <v>2025/06站前11樓</v>
      </c>
      <c r="C68" s="120">
        <v>67</v>
      </c>
      <c r="D68" s="121" t="s">
        <v>374</v>
      </c>
      <c r="E68" s="486" t="s">
        <v>406</v>
      </c>
      <c r="F68" s="486"/>
      <c r="G68" s="486" t="s">
        <v>407</v>
      </c>
      <c r="H68" s="486"/>
      <c r="I68" s="486"/>
      <c r="J68" s="486"/>
      <c r="K68" s="121" t="s">
        <v>385</v>
      </c>
      <c r="L68" s="122">
        <v>3</v>
      </c>
      <c r="M68" s="123" t="s">
        <v>657</v>
      </c>
      <c r="N68" s="117"/>
    </row>
    <row r="69" spans="1:14" ht="17.25" thickBot="1">
      <c r="A69" s="126" t="str">
        <f t="shared" si="3"/>
        <v>2025/06</v>
      </c>
      <c r="B69" s="127" t="str">
        <f t="shared" si="2"/>
        <v>2025/06站前11樓</v>
      </c>
      <c r="C69" s="120">
        <v>68</v>
      </c>
      <c r="D69" s="121" t="s">
        <v>374</v>
      </c>
      <c r="E69" s="486" t="s">
        <v>408</v>
      </c>
      <c r="F69" s="486"/>
      <c r="G69" s="486" t="s">
        <v>409</v>
      </c>
      <c r="H69" s="486"/>
      <c r="I69" s="486"/>
      <c r="J69" s="486"/>
      <c r="K69" s="121" t="s">
        <v>410</v>
      </c>
      <c r="L69" s="122">
        <v>4</v>
      </c>
      <c r="M69" s="123" t="s">
        <v>658</v>
      </c>
      <c r="N69" s="117"/>
    </row>
    <row r="70" spans="1:14" ht="17.25" thickBot="1">
      <c r="A70" s="126" t="str">
        <f t="shared" si="3"/>
        <v>2025/06</v>
      </c>
      <c r="B70" s="127" t="str">
        <f t="shared" si="2"/>
        <v>2025/06站前11樓</v>
      </c>
      <c r="C70" s="120">
        <v>69</v>
      </c>
      <c r="D70" s="121" t="s">
        <v>374</v>
      </c>
      <c r="E70" s="486" t="s">
        <v>255</v>
      </c>
      <c r="F70" s="486"/>
      <c r="G70" s="486" t="s">
        <v>256</v>
      </c>
      <c r="H70" s="486"/>
      <c r="I70" s="486"/>
      <c r="J70" s="486"/>
      <c r="K70" s="121" t="s">
        <v>257</v>
      </c>
      <c r="L70" s="122">
        <v>377</v>
      </c>
      <c r="M70" s="123" t="s">
        <v>660</v>
      </c>
      <c r="N70" s="117"/>
    </row>
    <row r="71" spans="1:14" ht="17.25" thickBot="1">
      <c r="A71" s="126" t="str">
        <f t="shared" si="3"/>
        <v>2025/06</v>
      </c>
      <c r="B71" s="127" t="str">
        <f t="shared" si="2"/>
        <v>2025/06站前11樓</v>
      </c>
      <c r="C71" s="120">
        <v>70</v>
      </c>
      <c r="D71" s="121" t="s">
        <v>374</v>
      </c>
      <c r="E71" s="486" t="s">
        <v>419</v>
      </c>
      <c r="F71" s="486"/>
      <c r="G71" s="486" t="s">
        <v>420</v>
      </c>
      <c r="H71" s="486"/>
      <c r="I71" s="486"/>
      <c r="J71" s="486"/>
      <c r="K71" s="121" t="s">
        <v>421</v>
      </c>
      <c r="L71" s="122">
        <v>79</v>
      </c>
      <c r="M71" s="123" t="s">
        <v>667</v>
      </c>
      <c r="N71" s="117"/>
    </row>
    <row r="72" spans="1:14" ht="17.25" thickBot="1">
      <c r="A72" s="126" t="str">
        <f t="shared" si="3"/>
        <v>2025/06</v>
      </c>
      <c r="B72" s="127" t="str">
        <f t="shared" si="2"/>
        <v>2025/06站前11樓</v>
      </c>
      <c r="C72" s="120">
        <v>71</v>
      </c>
      <c r="D72" s="121" t="s">
        <v>374</v>
      </c>
      <c r="E72" s="486" t="s">
        <v>258</v>
      </c>
      <c r="F72" s="486"/>
      <c r="G72" s="486" t="s">
        <v>259</v>
      </c>
      <c r="H72" s="486"/>
      <c r="I72" s="486"/>
      <c r="J72" s="486"/>
      <c r="K72" s="121"/>
      <c r="L72" s="122">
        <v>1</v>
      </c>
      <c r="M72" s="123" t="s">
        <v>661</v>
      </c>
      <c r="N72" s="117"/>
    </row>
    <row r="73" spans="1:14" ht="17.25" thickBot="1">
      <c r="A73" s="126" t="str">
        <f t="shared" si="3"/>
        <v>2025/06</v>
      </c>
      <c r="B73" s="127" t="str">
        <f t="shared" si="2"/>
        <v>2025/06站前11樓</v>
      </c>
      <c r="C73" s="120">
        <v>72</v>
      </c>
      <c r="D73" s="121" t="s">
        <v>374</v>
      </c>
      <c r="E73" s="486" t="s">
        <v>260</v>
      </c>
      <c r="F73" s="486"/>
      <c r="G73" s="486" t="s">
        <v>261</v>
      </c>
      <c r="H73" s="486"/>
      <c r="I73" s="486"/>
      <c r="J73" s="486"/>
      <c r="K73" s="121" t="s">
        <v>254</v>
      </c>
      <c r="L73" s="122">
        <v>1</v>
      </c>
      <c r="M73" s="123" t="s">
        <v>662</v>
      </c>
      <c r="N73" s="117"/>
    </row>
    <row r="74" spans="1:14" ht="17.25" thickBot="1">
      <c r="A74" s="126" t="str">
        <f t="shared" si="3"/>
        <v>2025/06</v>
      </c>
      <c r="B74" s="127" t="str">
        <f t="shared" si="2"/>
        <v>2025/06站前11樓</v>
      </c>
      <c r="C74" s="120">
        <v>73</v>
      </c>
      <c r="D74" s="121" t="s">
        <v>374</v>
      </c>
      <c r="E74" s="486" t="s">
        <v>415</v>
      </c>
      <c r="F74" s="486"/>
      <c r="G74" s="486" t="s">
        <v>416</v>
      </c>
      <c r="H74" s="486"/>
      <c r="I74" s="486"/>
      <c r="J74" s="486"/>
      <c r="K74" s="121" t="s">
        <v>254</v>
      </c>
      <c r="L74" s="122">
        <v>3</v>
      </c>
      <c r="M74" s="123" t="s">
        <v>668</v>
      </c>
      <c r="N74" s="117"/>
    </row>
    <row r="75" spans="1:14" ht="17.25" thickBot="1">
      <c r="A75" s="126" t="str">
        <f t="shared" si="3"/>
        <v>2025/06</v>
      </c>
      <c r="B75" s="127" t="str">
        <f t="shared" si="2"/>
        <v>2025/06站前11樓</v>
      </c>
      <c r="C75" s="120">
        <v>74</v>
      </c>
      <c r="D75" s="121" t="s">
        <v>374</v>
      </c>
      <c r="E75" s="486" t="s">
        <v>252</v>
      </c>
      <c r="F75" s="486"/>
      <c r="G75" s="486" t="s">
        <v>253</v>
      </c>
      <c r="H75" s="486"/>
      <c r="I75" s="486"/>
      <c r="J75" s="486"/>
      <c r="K75" s="121" t="s">
        <v>254</v>
      </c>
      <c r="L75" s="122">
        <v>1</v>
      </c>
      <c r="M75" s="123" t="s">
        <v>665</v>
      </c>
      <c r="N75" s="117"/>
    </row>
    <row r="76" spans="1:14" ht="17.25" thickBot="1">
      <c r="A76" s="126" t="str">
        <f t="shared" si="3"/>
        <v>2025/06</v>
      </c>
      <c r="B76" s="127" t="str">
        <f t="shared" si="2"/>
        <v>2025/06站前11樓</v>
      </c>
      <c r="C76" s="120">
        <v>75</v>
      </c>
      <c r="D76" s="121" t="s">
        <v>374</v>
      </c>
      <c r="E76" s="486" t="s">
        <v>389</v>
      </c>
      <c r="F76" s="486"/>
      <c r="G76" s="486" t="s">
        <v>390</v>
      </c>
      <c r="H76" s="486"/>
      <c r="I76" s="486"/>
      <c r="J76" s="486"/>
      <c r="K76" s="121" t="s">
        <v>391</v>
      </c>
      <c r="L76" s="122">
        <v>64</v>
      </c>
      <c r="M76" s="123" t="s">
        <v>106</v>
      </c>
      <c r="N76" s="117"/>
    </row>
    <row r="77" spans="1:14" ht="17.25" thickBot="1">
      <c r="A77" s="126" t="str">
        <f t="shared" si="3"/>
        <v>2025/06</v>
      </c>
      <c r="B77" s="127" t="str">
        <f t="shared" si="2"/>
        <v>2025/06站前11樓</v>
      </c>
      <c r="C77" s="120">
        <v>76</v>
      </c>
      <c r="D77" s="121" t="s">
        <v>374</v>
      </c>
      <c r="E77" s="486" t="s">
        <v>439</v>
      </c>
      <c r="F77" s="486"/>
      <c r="G77" s="486" t="s">
        <v>440</v>
      </c>
      <c r="H77" s="486"/>
      <c r="I77" s="486"/>
      <c r="J77" s="486"/>
      <c r="K77" s="121" t="s">
        <v>145</v>
      </c>
      <c r="L77" s="122">
        <v>161</v>
      </c>
      <c r="M77" s="123"/>
      <c r="N77" s="117"/>
    </row>
    <row r="78" spans="1:14" ht="17.25" thickBot="1">
      <c r="A78" s="126" t="str">
        <f t="shared" si="3"/>
        <v>2025/06</v>
      </c>
      <c r="B78" s="127" t="str">
        <f t="shared" si="2"/>
        <v>2025/06站前11樓</v>
      </c>
      <c r="C78" s="120">
        <v>77</v>
      </c>
      <c r="D78" s="121" t="s">
        <v>374</v>
      </c>
      <c r="E78" s="486" t="s">
        <v>386</v>
      </c>
      <c r="F78" s="486"/>
      <c r="G78" s="486" t="s">
        <v>387</v>
      </c>
      <c r="H78" s="486"/>
      <c r="I78" s="486"/>
      <c r="J78" s="486"/>
      <c r="K78" s="121" t="s">
        <v>388</v>
      </c>
      <c r="L78" s="122">
        <v>2010</v>
      </c>
      <c r="M78" s="123" t="s">
        <v>101</v>
      </c>
      <c r="N78" s="117"/>
    </row>
    <row r="79" spans="1:14" ht="17.25" thickBot="1">
      <c r="A79" s="126" t="str">
        <f t="shared" si="3"/>
        <v>2025/06</v>
      </c>
      <c r="B79" s="127" t="str">
        <f t="shared" si="2"/>
        <v>2025/06站前11樓</v>
      </c>
      <c r="C79" s="120">
        <v>78</v>
      </c>
      <c r="D79" s="121" t="s">
        <v>374</v>
      </c>
      <c r="E79" s="486" t="s">
        <v>401</v>
      </c>
      <c r="F79" s="486"/>
      <c r="G79" s="486" t="s">
        <v>402</v>
      </c>
      <c r="H79" s="486"/>
      <c r="I79" s="486"/>
      <c r="J79" s="486"/>
      <c r="K79" s="121" t="s">
        <v>145</v>
      </c>
      <c r="L79" s="122">
        <v>40</v>
      </c>
      <c r="M79" s="123" t="s">
        <v>147</v>
      </c>
      <c r="N79" s="117"/>
    </row>
    <row r="80" spans="1:14" ht="17.25" thickBot="1">
      <c r="A80" s="126" t="str">
        <f t="shared" si="3"/>
        <v>2025/06</v>
      </c>
      <c r="B80" s="127" t="str">
        <f t="shared" si="2"/>
        <v>2025/06站前11樓</v>
      </c>
      <c r="C80" s="120">
        <v>79</v>
      </c>
      <c r="D80" s="121" t="s">
        <v>374</v>
      </c>
      <c r="E80" s="486" t="s">
        <v>417</v>
      </c>
      <c r="F80" s="486"/>
      <c r="G80" s="486" t="s">
        <v>418</v>
      </c>
      <c r="H80" s="486"/>
      <c r="I80" s="486"/>
      <c r="J80" s="486"/>
      <c r="K80" s="121" t="s">
        <v>145</v>
      </c>
      <c r="L80" s="122">
        <v>66</v>
      </c>
      <c r="M80" s="123" t="s">
        <v>148</v>
      </c>
      <c r="N80" s="117"/>
    </row>
    <row r="81" spans="1:14" ht="17.25" thickBot="1">
      <c r="A81" s="126" t="str">
        <f t="shared" si="3"/>
        <v>2025/06</v>
      </c>
      <c r="B81" s="127" t="str">
        <f>"2025/06"&amp;D81</f>
        <v>2025/06站前11樓</v>
      </c>
      <c r="C81" s="120">
        <v>80</v>
      </c>
      <c r="D81" s="121" t="s">
        <v>374</v>
      </c>
      <c r="E81" s="486" t="s">
        <v>451</v>
      </c>
      <c r="F81" s="486"/>
      <c r="G81" s="486" t="s">
        <v>452</v>
      </c>
      <c r="H81" s="486"/>
      <c r="I81" s="486"/>
      <c r="J81" s="486"/>
      <c r="K81" s="121" t="s">
        <v>145</v>
      </c>
      <c r="L81" s="122">
        <v>3</v>
      </c>
      <c r="M81" s="123" t="s">
        <v>149</v>
      </c>
      <c r="N81" s="117"/>
    </row>
    <row r="82" spans="1:14" ht="17.25" thickBot="1">
      <c r="A82" s="126" t="str">
        <f t="shared" si="3"/>
        <v>2025/07</v>
      </c>
      <c r="B82" s="127" t="str">
        <f t="shared" ref="B82:B145" si="4">"2025/07"&amp;D82</f>
        <v>2025/07站前4樓</v>
      </c>
      <c r="C82" s="119">
        <v>1</v>
      </c>
      <c r="D82" s="124" t="s">
        <v>236</v>
      </c>
      <c r="E82" s="488" t="s">
        <v>392</v>
      </c>
      <c r="F82" s="488"/>
      <c r="G82" s="488" t="s">
        <v>393</v>
      </c>
      <c r="H82" s="488"/>
      <c r="I82" s="488"/>
      <c r="J82" s="488"/>
      <c r="K82" s="124" t="s">
        <v>382</v>
      </c>
      <c r="L82" s="125">
        <v>1</v>
      </c>
      <c r="M82" s="123" t="s">
        <v>152</v>
      </c>
      <c r="N82" s="117"/>
    </row>
    <row r="83" spans="1:14" ht="17.25" thickBot="1">
      <c r="A83" s="126" t="str">
        <f t="shared" si="3"/>
        <v>2025/07</v>
      </c>
      <c r="B83" s="127" t="str">
        <f t="shared" si="4"/>
        <v>2025/07站前4樓</v>
      </c>
      <c r="C83" s="119">
        <v>2</v>
      </c>
      <c r="D83" s="124" t="s">
        <v>236</v>
      </c>
      <c r="E83" s="488" t="s">
        <v>380</v>
      </c>
      <c r="F83" s="488"/>
      <c r="G83" s="488" t="s">
        <v>381</v>
      </c>
      <c r="H83" s="488"/>
      <c r="I83" s="488"/>
      <c r="J83" s="488"/>
      <c r="K83" s="124" t="s">
        <v>382</v>
      </c>
      <c r="L83" s="125">
        <v>1</v>
      </c>
      <c r="M83" s="123" t="s">
        <v>155</v>
      </c>
      <c r="N83" s="117"/>
    </row>
    <row r="84" spans="1:14" ht="17.25" thickBot="1">
      <c r="A84" s="126" t="str">
        <f t="shared" si="3"/>
        <v>2025/07</v>
      </c>
      <c r="B84" s="127" t="str">
        <f t="shared" si="4"/>
        <v>2025/07站前4樓</v>
      </c>
      <c r="C84" s="119">
        <v>3</v>
      </c>
      <c r="D84" s="124" t="s">
        <v>236</v>
      </c>
      <c r="E84" s="488" t="s">
        <v>255</v>
      </c>
      <c r="F84" s="488"/>
      <c r="G84" s="488" t="s">
        <v>256</v>
      </c>
      <c r="H84" s="488"/>
      <c r="I84" s="488"/>
      <c r="J84" s="488"/>
      <c r="K84" s="124" t="s">
        <v>257</v>
      </c>
      <c r="L84" s="125">
        <v>87</v>
      </c>
      <c r="M84" s="123" t="s">
        <v>660</v>
      </c>
      <c r="N84" s="117"/>
    </row>
    <row r="85" spans="1:14" ht="17.25" thickBot="1">
      <c r="A85" s="126" t="str">
        <f t="shared" si="3"/>
        <v>2025/07</v>
      </c>
      <c r="B85" s="127" t="str">
        <f t="shared" si="4"/>
        <v>2025/07站前4樓</v>
      </c>
      <c r="C85" s="119">
        <v>4</v>
      </c>
      <c r="D85" s="124" t="s">
        <v>236</v>
      </c>
      <c r="E85" s="488" t="s">
        <v>258</v>
      </c>
      <c r="F85" s="488"/>
      <c r="G85" s="488" t="s">
        <v>259</v>
      </c>
      <c r="H85" s="488"/>
      <c r="I85" s="488"/>
      <c r="J85" s="488"/>
      <c r="K85" s="124"/>
      <c r="L85" s="125">
        <v>84</v>
      </c>
      <c r="M85" s="123" t="s">
        <v>661</v>
      </c>
      <c r="N85" s="117"/>
    </row>
    <row r="86" spans="1:14" ht="17.25" thickBot="1">
      <c r="A86" s="126" t="str">
        <f t="shared" si="3"/>
        <v>2025/07</v>
      </c>
      <c r="B86" s="127" t="str">
        <f t="shared" si="4"/>
        <v>2025/07站前4樓</v>
      </c>
      <c r="C86" s="119">
        <v>5</v>
      </c>
      <c r="D86" s="124" t="s">
        <v>236</v>
      </c>
      <c r="E86" s="488" t="s">
        <v>260</v>
      </c>
      <c r="F86" s="488"/>
      <c r="G86" s="488" t="s">
        <v>261</v>
      </c>
      <c r="H86" s="488"/>
      <c r="I86" s="488"/>
      <c r="J86" s="488"/>
      <c r="K86" s="124" t="s">
        <v>254</v>
      </c>
      <c r="L86" s="125">
        <v>84</v>
      </c>
      <c r="M86" s="123" t="s">
        <v>662</v>
      </c>
      <c r="N86" s="117"/>
    </row>
    <row r="87" spans="1:14" ht="17.25" thickBot="1">
      <c r="A87" s="126" t="str">
        <f t="shared" si="3"/>
        <v>2025/07</v>
      </c>
      <c r="B87" s="127" t="str">
        <f t="shared" si="4"/>
        <v>2025/07站前4樓</v>
      </c>
      <c r="C87" s="119">
        <v>6</v>
      </c>
      <c r="D87" s="124" t="s">
        <v>236</v>
      </c>
      <c r="E87" s="488" t="s">
        <v>262</v>
      </c>
      <c r="F87" s="488"/>
      <c r="G87" s="488" t="s">
        <v>263</v>
      </c>
      <c r="H87" s="488"/>
      <c r="I87" s="488"/>
      <c r="J87" s="488"/>
      <c r="K87" s="124" t="s">
        <v>254</v>
      </c>
      <c r="L87" s="125">
        <v>11</v>
      </c>
      <c r="M87" s="123" t="s">
        <v>663</v>
      </c>
      <c r="N87" s="117"/>
    </row>
    <row r="88" spans="1:14" ht="17.25" thickBot="1">
      <c r="A88" s="126" t="str">
        <f t="shared" si="3"/>
        <v>2025/07</v>
      </c>
      <c r="B88" s="127" t="str">
        <f t="shared" si="4"/>
        <v>2025/07站前4樓</v>
      </c>
      <c r="C88" s="119">
        <v>7</v>
      </c>
      <c r="D88" s="124" t="s">
        <v>236</v>
      </c>
      <c r="E88" s="488" t="s">
        <v>270</v>
      </c>
      <c r="F88" s="488"/>
      <c r="G88" s="488" t="s">
        <v>271</v>
      </c>
      <c r="H88" s="488"/>
      <c r="I88" s="488"/>
      <c r="J88" s="488"/>
      <c r="K88" s="124" t="s">
        <v>272</v>
      </c>
      <c r="L88" s="125">
        <v>52</v>
      </c>
      <c r="M88" s="123" t="s">
        <v>664</v>
      </c>
      <c r="N88" s="117"/>
    </row>
    <row r="89" spans="1:14" ht="17.25" thickBot="1">
      <c r="A89" s="126" t="str">
        <f t="shared" si="3"/>
        <v>2025/07</v>
      </c>
      <c r="B89" s="127" t="str">
        <f t="shared" si="4"/>
        <v>2025/07站前4樓</v>
      </c>
      <c r="C89" s="119">
        <v>8</v>
      </c>
      <c r="D89" s="124" t="s">
        <v>236</v>
      </c>
      <c r="E89" s="488" t="s">
        <v>252</v>
      </c>
      <c r="F89" s="488"/>
      <c r="G89" s="488" t="s">
        <v>253</v>
      </c>
      <c r="H89" s="488"/>
      <c r="I89" s="488"/>
      <c r="J89" s="488"/>
      <c r="K89" s="124" t="s">
        <v>254</v>
      </c>
      <c r="L89" s="125">
        <v>85</v>
      </c>
      <c r="M89" s="123" t="s">
        <v>665</v>
      </c>
      <c r="N89" s="117"/>
    </row>
    <row r="90" spans="1:14" ht="17.25" thickBot="1">
      <c r="A90" s="126" t="str">
        <f t="shared" si="3"/>
        <v>2025/07</v>
      </c>
      <c r="B90" s="127" t="str">
        <f t="shared" si="4"/>
        <v>2025/07站前4樓</v>
      </c>
      <c r="C90" s="119">
        <v>9</v>
      </c>
      <c r="D90" s="124" t="s">
        <v>236</v>
      </c>
      <c r="E90" s="488" t="s">
        <v>429</v>
      </c>
      <c r="F90" s="488"/>
      <c r="G90" s="488" t="s">
        <v>430</v>
      </c>
      <c r="H90" s="488"/>
      <c r="I90" s="488"/>
      <c r="J90" s="488"/>
      <c r="K90" s="124" t="s">
        <v>272</v>
      </c>
      <c r="L90" s="125">
        <v>2</v>
      </c>
      <c r="M90" s="123" t="s">
        <v>666</v>
      </c>
      <c r="N90" s="117"/>
    </row>
    <row r="91" spans="1:14" ht="17.25" thickBot="1">
      <c r="A91" s="126" t="str">
        <f t="shared" si="3"/>
        <v>2025/07</v>
      </c>
      <c r="B91" s="127" t="str">
        <f t="shared" si="4"/>
        <v>2025/07站前4樓</v>
      </c>
      <c r="C91" s="119">
        <v>10</v>
      </c>
      <c r="D91" s="124" t="s">
        <v>236</v>
      </c>
      <c r="E91" s="488" t="s">
        <v>305</v>
      </c>
      <c r="F91" s="488"/>
      <c r="G91" s="488" t="s">
        <v>306</v>
      </c>
      <c r="H91" s="488"/>
      <c r="I91" s="488"/>
      <c r="J91" s="488"/>
      <c r="K91" s="124" t="s">
        <v>266</v>
      </c>
      <c r="L91" s="125">
        <v>2909</v>
      </c>
      <c r="M91" s="123" t="s">
        <v>638</v>
      </c>
      <c r="N91" s="117"/>
    </row>
    <row r="92" spans="1:14" ht="17.25" thickBot="1">
      <c r="A92" s="126" t="str">
        <f t="shared" si="3"/>
        <v>2025/07</v>
      </c>
      <c r="B92" s="127" t="str">
        <f t="shared" si="4"/>
        <v>2025/07站前4樓</v>
      </c>
      <c r="C92" s="119">
        <v>11</v>
      </c>
      <c r="D92" s="124" t="s">
        <v>236</v>
      </c>
      <c r="E92" s="488" t="s">
        <v>264</v>
      </c>
      <c r="F92" s="488"/>
      <c r="G92" s="488" t="s">
        <v>265</v>
      </c>
      <c r="H92" s="488"/>
      <c r="I92" s="488"/>
      <c r="J92" s="488"/>
      <c r="K92" s="124" t="s">
        <v>266</v>
      </c>
      <c r="L92" s="125">
        <v>3695</v>
      </c>
      <c r="M92" s="123" t="s">
        <v>639</v>
      </c>
      <c r="N92" s="117"/>
    </row>
    <row r="93" spans="1:14" ht="17.25" thickBot="1">
      <c r="A93" s="126" t="str">
        <f t="shared" si="3"/>
        <v>2025/07</v>
      </c>
      <c r="B93" s="127" t="str">
        <f t="shared" si="4"/>
        <v>2025/07站前4樓</v>
      </c>
      <c r="C93" s="119">
        <v>12</v>
      </c>
      <c r="D93" s="124" t="s">
        <v>236</v>
      </c>
      <c r="E93" s="488" t="s">
        <v>307</v>
      </c>
      <c r="F93" s="488"/>
      <c r="G93" s="488" t="s">
        <v>308</v>
      </c>
      <c r="H93" s="488"/>
      <c r="I93" s="488"/>
      <c r="J93" s="488"/>
      <c r="K93" s="124" t="s">
        <v>266</v>
      </c>
      <c r="L93" s="125">
        <v>1450</v>
      </c>
      <c r="M93" s="123" t="s">
        <v>640</v>
      </c>
      <c r="N93" s="117"/>
    </row>
    <row r="94" spans="1:14" ht="17.25" thickBot="1">
      <c r="A94" s="126" t="str">
        <f t="shared" si="3"/>
        <v>2025/07</v>
      </c>
      <c r="B94" s="127" t="str">
        <f t="shared" si="4"/>
        <v>2025/07站前4樓</v>
      </c>
      <c r="C94" s="119">
        <v>13</v>
      </c>
      <c r="D94" s="124" t="s">
        <v>236</v>
      </c>
      <c r="E94" s="488" t="s">
        <v>313</v>
      </c>
      <c r="F94" s="488"/>
      <c r="G94" s="488" t="s">
        <v>314</v>
      </c>
      <c r="H94" s="488"/>
      <c r="I94" s="488"/>
      <c r="J94" s="488"/>
      <c r="K94" s="124" t="s">
        <v>301</v>
      </c>
      <c r="L94" s="125">
        <v>63</v>
      </c>
      <c r="M94" s="123" t="s">
        <v>14</v>
      </c>
      <c r="N94" s="117"/>
    </row>
    <row r="95" spans="1:14" ht="17.25" thickBot="1">
      <c r="A95" s="126" t="str">
        <f t="shared" si="3"/>
        <v>2025/07</v>
      </c>
      <c r="B95" s="127" t="str">
        <f t="shared" si="4"/>
        <v>2025/07站前4樓</v>
      </c>
      <c r="C95" s="119">
        <v>14</v>
      </c>
      <c r="D95" s="124" t="s">
        <v>236</v>
      </c>
      <c r="E95" s="488" t="s">
        <v>343</v>
      </c>
      <c r="F95" s="488"/>
      <c r="G95" s="488" t="s">
        <v>344</v>
      </c>
      <c r="H95" s="488"/>
      <c r="I95" s="488"/>
      <c r="J95" s="488"/>
      <c r="K95" s="124" t="s">
        <v>301</v>
      </c>
      <c r="L95" s="125">
        <v>10</v>
      </c>
      <c r="M95" s="123" t="s">
        <v>18</v>
      </c>
      <c r="N95" s="117"/>
    </row>
    <row r="96" spans="1:14" ht="17.25" thickBot="1">
      <c r="A96" s="126" t="str">
        <f t="shared" si="3"/>
        <v>2025/07</v>
      </c>
      <c r="B96" s="127" t="str">
        <f t="shared" si="4"/>
        <v>2025/07站前4樓</v>
      </c>
      <c r="C96" s="119">
        <v>15</v>
      </c>
      <c r="D96" s="124" t="s">
        <v>236</v>
      </c>
      <c r="E96" s="488" t="s">
        <v>427</v>
      </c>
      <c r="F96" s="488"/>
      <c r="G96" s="488" t="s">
        <v>428</v>
      </c>
      <c r="H96" s="488"/>
      <c r="I96" s="488"/>
      <c r="J96" s="488"/>
      <c r="K96" s="124" t="s">
        <v>301</v>
      </c>
      <c r="L96" s="125">
        <v>6</v>
      </c>
      <c r="M96" s="123" t="s">
        <v>19</v>
      </c>
      <c r="N96" s="117"/>
    </row>
    <row r="97" spans="1:14" ht="17.25" thickBot="1">
      <c r="A97" s="126" t="str">
        <f t="shared" si="3"/>
        <v>2025/07</v>
      </c>
      <c r="B97" s="127" t="str">
        <f t="shared" si="4"/>
        <v>2025/07站前4樓</v>
      </c>
      <c r="C97" s="119">
        <v>16</v>
      </c>
      <c r="D97" s="124" t="s">
        <v>236</v>
      </c>
      <c r="E97" s="488" t="s">
        <v>349</v>
      </c>
      <c r="F97" s="488"/>
      <c r="G97" s="488" t="s">
        <v>350</v>
      </c>
      <c r="H97" s="488"/>
      <c r="I97" s="488"/>
      <c r="J97" s="488"/>
      <c r="K97" s="124" t="s">
        <v>301</v>
      </c>
      <c r="L97" s="125">
        <v>13</v>
      </c>
      <c r="M97" s="123" t="s">
        <v>20</v>
      </c>
      <c r="N97" s="117"/>
    </row>
    <row r="98" spans="1:14" ht="17.25" thickBot="1">
      <c r="A98" s="126" t="str">
        <f t="shared" si="3"/>
        <v>2025/07</v>
      </c>
      <c r="B98" s="127" t="str">
        <f t="shared" si="4"/>
        <v>2025/07站前4樓</v>
      </c>
      <c r="C98" s="119">
        <v>17</v>
      </c>
      <c r="D98" s="124" t="s">
        <v>236</v>
      </c>
      <c r="E98" s="488" t="s">
        <v>366</v>
      </c>
      <c r="F98" s="488"/>
      <c r="G98" s="488" t="s">
        <v>367</v>
      </c>
      <c r="H98" s="488"/>
      <c r="I98" s="488"/>
      <c r="J98" s="488"/>
      <c r="K98" s="124" t="s">
        <v>301</v>
      </c>
      <c r="L98" s="125">
        <v>2</v>
      </c>
      <c r="M98" s="123" t="s">
        <v>22</v>
      </c>
      <c r="N98" s="117"/>
    </row>
    <row r="99" spans="1:14" ht="17.25" thickBot="1">
      <c r="A99" s="126" t="str">
        <f t="shared" si="3"/>
        <v>2025/07</v>
      </c>
      <c r="B99" s="127" t="str">
        <f t="shared" si="4"/>
        <v>2025/07站前4樓</v>
      </c>
      <c r="C99" s="119">
        <v>18</v>
      </c>
      <c r="D99" s="124" t="s">
        <v>236</v>
      </c>
      <c r="E99" s="488" t="s">
        <v>282</v>
      </c>
      <c r="F99" s="488"/>
      <c r="G99" s="488" t="s">
        <v>283</v>
      </c>
      <c r="H99" s="488"/>
      <c r="I99" s="488"/>
      <c r="J99" s="488"/>
      <c r="K99" s="124" t="s">
        <v>284</v>
      </c>
      <c r="L99" s="125">
        <v>27</v>
      </c>
      <c r="M99" s="123" t="s">
        <v>65</v>
      </c>
      <c r="N99" s="117"/>
    </row>
    <row r="100" spans="1:14" ht="17.25" thickBot="1">
      <c r="A100" s="126" t="str">
        <f t="shared" si="3"/>
        <v>2025/07</v>
      </c>
      <c r="B100" s="127" t="str">
        <f t="shared" si="4"/>
        <v>2025/07站前4樓</v>
      </c>
      <c r="C100" s="119">
        <v>19</v>
      </c>
      <c r="D100" s="124" t="s">
        <v>236</v>
      </c>
      <c r="E100" s="488" t="s">
        <v>345</v>
      </c>
      <c r="F100" s="488"/>
      <c r="G100" s="488" t="s">
        <v>346</v>
      </c>
      <c r="H100" s="488"/>
      <c r="I100" s="488"/>
      <c r="J100" s="488"/>
      <c r="K100" s="124" t="s">
        <v>284</v>
      </c>
      <c r="L100" s="125">
        <v>4</v>
      </c>
      <c r="M100" s="123" t="s">
        <v>67</v>
      </c>
      <c r="N100" s="117"/>
    </row>
    <row r="101" spans="1:14" ht="17.25" thickBot="1">
      <c r="A101" s="126" t="str">
        <f t="shared" si="3"/>
        <v>2025/07</v>
      </c>
      <c r="B101" s="127" t="str">
        <f t="shared" si="4"/>
        <v>2025/07站前4樓</v>
      </c>
      <c r="C101" s="119">
        <v>20</v>
      </c>
      <c r="D101" s="124" t="s">
        <v>236</v>
      </c>
      <c r="E101" s="488" t="s">
        <v>299</v>
      </c>
      <c r="F101" s="488"/>
      <c r="G101" s="488" t="s">
        <v>300</v>
      </c>
      <c r="H101" s="488"/>
      <c r="I101" s="488"/>
      <c r="J101" s="488"/>
      <c r="K101" s="124" t="s">
        <v>301</v>
      </c>
      <c r="L101" s="125">
        <v>58</v>
      </c>
      <c r="M101" s="123" t="s">
        <v>68</v>
      </c>
      <c r="N101" s="117"/>
    </row>
    <row r="102" spans="1:14" ht="17.25" thickBot="1">
      <c r="A102" s="126" t="str">
        <f t="shared" si="3"/>
        <v>2025/07</v>
      </c>
      <c r="B102" s="127" t="str">
        <f t="shared" si="4"/>
        <v>2025/07站前4樓</v>
      </c>
      <c r="C102" s="119">
        <v>21</v>
      </c>
      <c r="D102" s="124" t="s">
        <v>236</v>
      </c>
      <c r="E102" s="488" t="s">
        <v>347</v>
      </c>
      <c r="F102" s="488"/>
      <c r="G102" s="488" t="s">
        <v>348</v>
      </c>
      <c r="H102" s="488"/>
      <c r="I102" s="488"/>
      <c r="J102" s="488"/>
      <c r="K102" s="124" t="s">
        <v>301</v>
      </c>
      <c r="L102" s="125">
        <v>4</v>
      </c>
      <c r="M102" s="123" t="s">
        <v>71</v>
      </c>
      <c r="N102" s="117"/>
    </row>
    <row r="103" spans="1:14" ht="17.25" thickBot="1">
      <c r="A103" s="126" t="str">
        <f t="shared" si="3"/>
        <v>2025/07</v>
      </c>
      <c r="B103" s="127" t="str">
        <f t="shared" si="4"/>
        <v>2025/07站前4樓</v>
      </c>
      <c r="C103" s="119">
        <v>22</v>
      </c>
      <c r="D103" s="124" t="s">
        <v>236</v>
      </c>
      <c r="E103" s="488" t="s">
        <v>317</v>
      </c>
      <c r="F103" s="488"/>
      <c r="G103" s="488" t="s">
        <v>318</v>
      </c>
      <c r="H103" s="488"/>
      <c r="I103" s="488"/>
      <c r="J103" s="488"/>
      <c r="K103" s="124" t="s">
        <v>319</v>
      </c>
      <c r="L103" s="125">
        <v>8</v>
      </c>
      <c r="M103" s="123" t="s">
        <v>75</v>
      </c>
      <c r="N103" s="117"/>
    </row>
    <row r="104" spans="1:14" ht="17.25" thickBot="1">
      <c r="A104" s="126" t="str">
        <f t="shared" si="3"/>
        <v>2025/07</v>
      </c>
      <c r="B104" s="127" t="str">
        <f t="shared" si="4"/>
        <v>2025/07站前4樓</v>
      </c>
      <c r="C104" s="119">
        <v>23</v>
      </c>
      <c r="D104" s="124" t="s">
        <v>236</v>
      </c>
      <c r="E104" s="488" t="s">
        <v>321</v>
      </c>
      <c r="F104" s="488"/>
      <c r="G104" s="488" t="s">
        <v>322</v>
      </c>
      <c r="H104" s="488"/>
      <c r="I104" s="488"/>
      <c r="J104" s="488"/>
      <c r="K104" s="124" t="s">
        <v>275</v>
      </c>
      <c r="L104" s="125">
        <v>25</v>
      </c>
      <c r="M104" s="123" t="s">
        <v>41</v>
      </c>
      <c r="N104" s="117"/>
    </row>
    <row r="105" spans="1:14" ht="17.25" thickBot="1">
      <c r="A105" s="126" t="str">
        <f t="shared" si="3"/>
        <v>2025/07</v>
      </c>
      <c r="B105" s="127" t="str">
        <f t="shared" si="4"/>
        <v>2025/07站前4樓</v>
      </c>
      <c r="C105" s="119">
        <v>24</v>
      </c>
      <c r="D105" s="124" t="s">
        <v>236</v>
      </c>
      <c r="E105" s="488" t="s">
        <v>372</v>
      </c>
      <c r="F105" s="488"/>
      <c r="G105" s="488" t="s">
        <v>373</v>
      </c>
      <c r="H105" s="488"/>
      <c r="I105" s="488"/>
      <c r="J105" s="488"/>
      <c r="K105" s="124" t="s">
        <v>278</v>
      </c>
      <c r="L105" s="125">
        <v>19</v>
      </c>
      <c r="M105" s="123" t="s">
        <v>45</v>
      </c>
      <c r="N105" s="117"/>
    </row>
    <row r="106" spans="1:14" ht="17.25" thickBot="1">
      <c r="A106" s="126" t="str">
        <f t="shared" si="3"/>
        <v>2025/07</v>
      </c>
      <c r="B106" s="127" t="str">
        <f t="shared" si="4"/>
        <v>2025/07站前4樓</v>
      </c>
      <c r="C106" s="119">
        <v>25</v>
      </c>
      <c r="D106" s="124" t="s">
        <v>236</v>
      </c>
      <c r="E106" s="488" t="s">
        <v>276</v>
      </c>
      <c r="F106" s="488"/>
      <c r="G106" s="488" t="s">
        <v>277</v>
      </c>
      <c r="H106" s="488"/>
      <c r="I106" s="488"/>
      <c r="J106" s="488"/>
      <c r="K106" s="124" t="s">
        <v>278</v>
      </c>
      <c r="L106" s="125">
        <v>85</v>
      </c>
      <c r="M106" s="123" t="s">
        <v>55</v>
      </c>
      <c r="N106" s="117"/>
    </row>
    <row r="107" spans="1:14" ht="17.25" thickBot="1">
      <c r="A107" s="126" t="str">
        <f t="shared" si="3"/>
        <v>2025/07</v>
      </c>
      <c r="B107" s="127" t="str">
        <f t="shared" si="4"/>
        <v>2025/07站前4樓</v>
      </c>
      <c r="C107" s="119">
        <v>26</v>
      </c>
      <c r="D107" s="124" t="s">
        <v>236</v>
      </c>
      <c r="E107" s="488" t="s">
        <v>273</v>
      </c>
      <c r="F107" s="488"/>
      <c r="G107" s="488" t="s">
        <v>274</v>
      </c>
      <c r="H107" s="488"/>
      <c r="I107" s="488"/>
      <c r="J107" s="488"/>
      <c r="K107" s="124" t="s">
        <v>275</v>
      </c>
      <c r="L107" s="125">
        <v>278</v>
      </c>
      <c r="M107" s="123" t="s">
        <v>52</v>
      </c>
      <c r="N107" s="117"/>
    </row>
    <row r="108" spans="1:14" ht="17.25" thickBot="1">
      <c r="A108" s="126" t="str">
        <f t="shared" si="3"/>
        <v>2025/07</v>
      </c>
      <c r="B108" s="127" t="str">
        <f t="shared" si="4"/>
        <v>2025/07站前4樓</v>
      </c>
      <c r="C108" s="119">
        <v>27</v>
      </c>
      <c r="D108" s="124" t="s">
        <v>236</v>
      </c>
      <c r="E108" s="488" t="s">
        <v>285</v>
      </c>
      <c r="F108" s="488"/>
      <c r="G108" s="488" t="s">
        <v>286</v>
      </c>
      <c r="H108" s="488"/>
      <c r="I108" s="488"/>
      <c r="J108" s="488"/>
      <c r="K108" s="124" t="s">
        <v>287</v>
      </c>
      <c r="L108" s="125">
        <v>14787</v>
      </c>
      <c r="M108" s="123" t="s">
        <v>89</v>
      </c>
      <c r="N108" s="117"/>
    </row>
    <row r="109" spans="1:14" ht="17.25" thickBot="1">
      <c r="A109" s="126" t="str">
        <f t="shared" si="3"/>
        <v>2025/07</v>
      </c>
      <c r="B109" s="127" t="str">
        <f t="shared" si="4"/>
        <v>2025/07站前4樓</v>
      </c>
      <c r="C109" s="119">
        <v>28</v>
      </c>
      <c r="D109" s="124" t="s">
        <v>236</v>
      </c>
      <c r="E109" s="488" t="s">
        <v>290</v>
      </c>
      <c r="F109" s="488"/>
      <c r="G109" s="488" t="s">
        <v>291</v>
      </c>
      <c r="H109" s="488"/>
      <c r="I109" s="488"/>
      <c r="J109" s="488"/>
      <c r="K109" s="124" t="s">
        <v>287</v>
      </c>
      <c r="L109" s="125">
        <v>31868</v>
      </c>
      <c r="M109" s="123" t="s">
        <v>91</v>
      </c>
      <c r="N109" s="117"/>
    </row>
    <row r="110" spans="1:14" ht="17.25" thickBot="1">
      <c r="A110" s="126" t="str">
        <f t="shared" si="3"/>
        <v>2025/07</v>
      </c>
      <c r="B110" s="127" t="str">
        <f t="shared" si="4"/>
        <v>2025/07站前4樓</v>
      </c>
      <c r="C110" s="119">
        <v>29</v>
      </c>
      <c r="D110" s="124" t="s">
        <v>236</v>
      </c>
      <c r="E110" s="488" t="s">
        <v>292</v>
      </c>
      <c r="F110" s="488"/>
      <c r="G110" s="488" t="s">
        <v>293</v>
      </c>
      <c r="H110" s="488"/>
      <c r="I110" s="488"/>
      <c r="J110" s="488"/>
      <c r="K110" s="124" t="s">
        <v>287</v>
      </c>
      <c r="L110" s="125">
        <v>47994</v>
      </c>
      <c r="M110" s="123" t="s">
        <v>92</v>
      </c>
      <c r="N110" s="117"/>
    </row>
    <row r="111" spans="1:14" ht="17.25" thickBot="1">
      <c r="A111" s="126" t="str">
        <f t="shared" si="3"/>
        <v>2025/07</v>
      </c>
      <c r="B111" s="127" t="str">
        <f t="shared" si="4"/>
        <v>2025/07站前4樓</v>
      </c>
      <c r="C111" s="119">
        <v>30</v>
      </c>
      <c r="D111" s="124" t="s">
        <v>236</v>
      </c>
      <c r="E111" s="488" t="s">
        <v>323</v>
      </c>
      <c r="F111" s="488"/>
      <c r="G111" s="488" t="s">
        <v>324</v>
      </c>
      <c r="H111" s="488"/>
      <c r="I111" s="488"/>
      <c r="J111" s="488"/>
      <c r="K111" s="124" t="s">
        <v>325</v>
      </c>
      <c r="L111" s="125">
        <v>11614</v>
      </c>
      <c r="M111" s="123" t="s">
        <v>93</v>
      </c>
      <c r="N111" s="117"/>
    </row>
    <row r="112" spans="1:14" ht="17.25" thickBot="1">
      <c r="A112" s="126" t="str">
        <f t="shared" si="3"/>
        <v>2025/07</v>
      </c>
      <c r="B112" s="127" t="str">
        <f t="shared" si="4"/>
        <v>2025/07站前4樓</v>
      </c>
      <c r="C112" s="119">
        <v>31</v>
      </c>
      <c r="D112" s="124" t="s">
        <v>236</v>
      </c>
      <c r="E112" s="488" t="s">
        <v>359</v>
      </c>
      <c r="F112" s="488"/>
      <c r="G112" s="488" t="s">
        <v>138</v>
      </c>
      <c r="H112" s="488"/>
      <c r="I112" s="488"/>
      <c r="J112" s="488"/>
      <c r="K112" s="124" t="s">
        <v>146</v>
      </c>
      <c r="L112" s="125">
        <v>10</v>
      </c>
      <c r="M112" s="123" t="s">
        <v>137</v>
      </c>
      <c r="N112" s="117"/>
    </row>
    <row r="113" spans="1:14" ht="17.25" thickBot="1">
      <c r="A113" s="126" t="str">
        <f t="shared" si="3"/>
        <v>2025/07</v>
      </c>
      <c r="B113" s="127" t="str">
        <f t="shared" si="4"/>
        <v>2025/07站前4樓</v>
      </c>
      <c r="C113" s="119">
        <v>32</v>
      </c>
      <c r="D113" s="124" t="s">
        <v>236</v>
      </c>
      <c r="E113" s="488" t="s">
        <v>320</v>
      </c>
      <c r="F113" s="488"/>
      <c r="G113" s="488" t="s">
        <v>135</v>
      </c>
      <c r="H113" s="488"/>
      <c r="I113" s="488"/>
      <c r="J113" s="488"/>
      <c r="K113" s="124" t="s">
        <v>146</v>
      </c>
      <c r="L113" s="125">
        <v>1</v>
      </c>
      <c r="M113" s="123" t="s">
        <v>134</v>
      </c>
      <c r="N113" s="117"/>
    </row>
    <row r="114" spans="1:14" ht="17.25" thickBot="1">
      <c r="A114" s="126" t="str">
        <f t="shared" si="3"/>
        <v>2025/07</v>
      </c>
      <c r="B114" s="127" t="str">
        <f t="shared" si="4"/>
        <v>2025/07站前4樓</v>
      </c>
      <c r="C114" s="119">
        <v>33</v>
      </c>
      <c r="D114" s="124" t="s">
        <v>236</v>
      </c>
      <c r="E114" s="488" t="s">
        <v>338</v>
      </c>
      <c r="F114" s="488"/>
      <c r="G114" s="488" t="s">
        <v>339</v>
      </c>
      <c r="H114" s="488"/>
      <c r="I114" s="488"/>
      <c r="J114" s="488"/>
      <c r="K114" s="124" t="s">
        <v>287</v>
      </c>
      <c r="L114" s="125">
        <v>1201</v>
      </c>
      <c r="M114" s="123" t="s">
        <v>95</v>
      </c>
      <c r="N114" s="117"/>
    </row>
    <row r="115" spans="1:14" ht="17.25" thickBot="1">
      <c r="A115" s="126" t="str">
        <f t="shared" si="3"/>
        <v>2025/07</v>
      </c>
      <c r="B115" s="127" t="str">
        <f t="shared" si="4"/>
        <v>2025/07站前4樓</v>
      </c>
      <c r="C115" s="119">
        <v>34</v>
      </c>
      <c r="D115" s="124" t="s">
        <v>236</v>
      </c>
      <c r="E115" s="488" t="s">
        <v>326</v>
      </c>
      <c r="F115" s="488"/>
      <c r="G115" s="488" t="s">
        <v>327</v>
      </c>
      <c r="H115" s="488"/>
      <c r="I115" s="488"/>
      <c r="J115" s="488"/>
      <c r="K115" s="124" t="s">
        <v>287</v>
      </c>
      <c r="L115" s="125">
        <v>5033</v>
      </c>
      <c r="M115" s="123" t="s">
        <v>97</v>
      </c>
      <c r="N115" s="117"/>
    </row>
    <row r="116" spans="1:14" ht="17.25" thickBot="1">
      <c r="A116" s="126" t="str">
        <f t="shared" si="3"/>
        <v>2025/07</v>
      </c>
      <c r="B116" s="127" t="str">
        <f t="shared" si="4"/>
        <v>2025/07站前4樓</v>
      </c>
      <c r="C116" s="119">
        <v>35</v>
      </c>
      <c r="D116" s="124" t="s">
        <v>236</v>
      </c>
      <c r="E116" s="488" t="s">
        <v>328</v>
      </c>
      <c r="F116" s="488"/>
      <c r="G116" s="488" t="s">
        <v>329</v>
      </c>
      <c r="H116" s="488"/>
      <c r="I116" s="488"/>
      <c r="J116" s="488"/>
      <c r="K116" s="124" t="s">
        <v>287</v>
      </c>
      <c r="L116" s="125">
        <v>10416</v>
      </c>
      <c r="M116" s="123" t="s">
        <v>98</v>
      </c>
      <c r="N116" s="117"/>
    </row>
    <row r="117" spans="1:14" ht="17.25" thickBot="1">
      <c r="A117" s="126" t="str">
        <f t="shared" si="3"/>
        <v>2025/07</v>
      </c>
      <c r="B117" s="127" t="str">
        <f t="shared" si="4"/>
        <v>2025/07站前4樓</v>
      </c>
      <c r="C117" s="119">
        <v>36</v>
      </c>
      <c r="D117" s="124" t="s">
        <v>236</v>
      </c>
      <c r="E117" s="488" t="s">
        <v>330</v>
      </c>
      <c r="F117" s="488"/>
      <c r="G117" s="488" t="s">
        <v>331</v>
      </c>
      <c r="H117" s="488"/>
      <c r="I117" s="488"/>
      <c r="J117" s="488"/>
      <c r="K117" s="124" t="s">
        <v>287</v>
      </c>
      <c r="L117" s="125">
        <v>6354</v>
      </c>
      <c r="M117" s="123" t="s">
        <v>99</v>
      </c>
      <c r="N117" s="117"/>
    </row>
    <row r="118" spans="1:14" ht="17.25" thickBot="1">
      <c r="A118" s="126" t="str">
        <f t="shared" si="3"/>
        <v>2025/07</v>
      </c>
      <c r="B118" s="127" t="str">
        <f t="shared" si="4"/>
        <v>2025/07站前4樓</v>
      </c>
      <c r="C118" s="119">
        <v>37</v>
      </c>
      <c r="D118" s="124" t="s">
        <v>236</v>
      </c>
      <c r="E118" s="488" t="s">
        <v>302</v>
      </c>
      <c r="F118" s="488"/>
      <c r="G118" s="488" t="s">
        <v>303</v>
      </c>
      <c r="H118" s="488"/>
      <c r="I118" s="488"/>
      <c r="J118" s="488"/>
      <c r="K118" s="124" t="s">
        <v>304</v>
      </c>
      <c r="L118" s="125">
        <v>6000</v>
      </c>
      <c r="M118" s="123" t="s">
        <v>81</v>
      </c>
      <c r="N118" s="117"/>
    </row>
    <row r="119" spans="1:14" ht="17.25" thickBot="1">
      <c r="A119" s="126" t="str">
        <f t="shared" si="3"/>
        <v>2025/07</v>
      </c>
      <c r="B119" s="127" t="str">
        <f t="shared" si="4"/>
        <v>2025/07站前4樓</v>
      </c>
      <c r="C119" s="119">
        <v>38</v>
      </c>
      <c r="D119" s="124" t="s">
        <v>236</v>
      </c>
      <c r="E119" s="488" t="s">
        <v>363</v>
      </c>
      <c r="F119" s="488"/>
      <c r="G119" s="488" t="s">
        <v>364</v>
      </c>
      <c r="H119" s="488"/>
      <c r="I119" s="488"/>
      <c r="J119" s="488"/>
      <c r="K119" s="124" t="s">
        <v>365</v>
      </c>
      <c r="L119" s="125">
        <v>18150</v>
      </c>
      <c r="M119" s="123" t="s">
        <v>85</v>
      </c>
      <c r="N119" s="117"/>
    </row>
    <row r="120" spans="1:14" ht="17.25" thickBot="1">
      <c r="A120" s="126" t="str">
        <f t="shared" si="3"/>
        <v>2025/07</v>
      </c>
      <c r="B120" s="127" t="str">
        <f t="shared" si="4"/>
        <v>2025/07站前4樓</v>
      </c>
      <c r="C120" s="119">
        <v>39</v>
      </c>
      <c r="D120" s="124" t="s">
        <v>236</v>
      </c>
      <c r="E120" s="488" t="s">
        <v>279</v>
      </c>
      <c r="F120" s="488"/>
      <c r="G120" s="488" t="s">
        <v>280</v>
      </c>
      <c r="H120" s="488"/>
      <c r="I120" s="488"/>
      <c r="J120" s="488"/>
      <c r="K120" s="124" t="s">
        <v>281</v>
      </c>
      <c r="L120" s="125">
        <v>208921</v>
      </c>
      <c r="M120" s="123" t="s">
        <v>111</v>
      </c>
      <c r="N120" s="117"/>
    </row>
    <row r="121" spans="1:14" ht="17.25" thickBot="1">
      <c r="A121" s="126" t="str">
        <f t="shared" si="3"/>
        <v>2025/07</v>
      </c>
      <c r="B121" s="127" t="str">
        <f t="shared" si="4"/>
        <v>2025/07站前4樓</v>
      </c>
      <c r="C121" s="119">
        <v>40</v>
      </c>
      <c r="D121" s="124" t="s">
        <v>236</v>
      </c>
      <c r="E121" s="488" t="s">
        <v>288</v>
      </c>
      <c r="F121" s="488"/>
      <c r="G121" s="488" t="s">
        <v>289</v>
      </c>
      <c r="H121" s="488"/>
      <c r="I121" s="488"/>
      <c r="J121" s="488"/>
      <c r="K121" s="124" t="s">
        <v>281</v>
      </c>
      <c r="L121" s="125">
        <v>66280</v>
      </c>
      <c r="M121" s="123" t="s">
        <v>115</v>
      </c>
      <c r="N121" s="117"/>
    </row>
    <row r="122" spans="1:14" ht="17.25" thickBot="1">
      <c r="A122" s="126" t="str">
        <f t="shared" si="3"/>
        <v>2025/07</v>
      </c>
      <c r="B122" s="127" t="str">
        <f t="shared" si="4"/>
        <v>2025/07站前4樓</v>
      </c>
      <c r="C122" s="119">
        <v>41</v>
      </c>
      <c r="D122" s="124" t="s">
        <v>236</v>
      </c>
      <c r="E122" s="488" t="s">
        <v>332</v>
      </c>
      <c r="F122" s="488"/>
      <c r="G122" s="488" t="s">
        <v>333</v>
      </c>
      <c r="H122" s="488"/>
      <c r="I122" s="488"/>
      <c r="J122" s="488"/>
      <c r="K122" s="124" t="s">
        <v>334</v>
      </c>
      <c r="L122" s="125">
        <v>12404</v>
      </c>
      <c r="M122" s="123" t="s">
        <v>77</v>
      </c>
      <c r="N122" s="117"/>
    </row>
    <row r="123" spans="1:14" ht="17.25" thickBot="1">
      <c r="A123" s="126" t="str">
        <f t="shared" si="3"/>
        <v>2025/07</v>
      </c>
      <c r="B123" s="127" t="str">
        <f t="shared" si="4"/>
        <v>2025/07站前4樓</v>
      </c>
      <c r="C123" s="119">
        <v>42</v>
      </c>
      <c r="D123" s="124" t="s">
        <v>236</v>
      </c>
      <c r="E123" s="488" t="s">
        <v>335</v>
      </c>
      <c r="F123" s="488"/>
      <c r="G123" s="488" t="s">
        <v>336</v>
      </c>
      <c r="H123" s="488"/>
      <c r="I123" s="488"/>
      <c r="J123" s="488"/>
      <c r="K123" s="124" t="s">
        <v>337</v>
      </c>
      <c r="L123" s="125">
        <v>5200</v>
      </c>
      <c r="M123" s="123" t="s">
        <v>80</v>
      </c>
      <c r="N123" s="117"/>
    </row>
    <row r="124" spans="1:14" ht="17.25" thickBot="1">
      <c r="A124" s="126" t="str">
        <f t="shared" si="3"/>
        <v>2025/07</v>
      </c>
      <c r="B124" s="127" t="str">
        <f t="shared" si="4"/>
        <v>2025/07站前4樓</v>
      </c>
      <c r="C124" s="119">
        <v>43</v>
      </c>
      <c r="D124" s="124" t="s">
        <v>236</v>
      </c>
      <c r="E124" s="488" t="s">
        <v>447</v>
      </c>
      <c r="F124" s="488"/>
      <c r="G124" s="488" t="s">
        <v>448</v>
      </c>
      <c r="H124" s="488"/>
      <c r="I124" s="488"/>
      <c r="J124" s="488"/>
      <c r="K124" s="124" t="s">
        <v>445</v>
      </c>
      <c r="L124" s="125">
        <v>4</v>
      </c>
      <c r="M124" s="123" t="s">
        <v>24</v>
      </c>
      <c r="N124" s="117"/>
    </row>
    <row r="125" spans="1:14" ht="17.25" thickBot="1">
      <c r="A125" s="126" t="str">
        <f t="shared" si="3"/>
        <v>2025/07</v>
      </c>
      <c r="B125" s="127" t="str">
        <f t="shared" si="4"/>
        <v>2025/07站前4樓</v>
      </c>
      <c r="C125" s="119">
        <v>44</v>
      </c>
      <c r="D125" s="124" t="s">
        <v>236</v>
      </c>
      <c r="E125" s="488" t="s">
        <v>443</v>
      </c>
      <c r="F125" s="488"/>
      <c r="G125" s="488" t="s">
        <v>444</v>
      </c>
      <c r="H125" s="488"/>
      <c r="I125" s="488"/>
      <c r="J125" s="488"/>
      <c r="K125" s="124" t="s">
        <v>445</v>
      </c>
      <c r="L125" s="125">
        <v>4</v>
      </c>
      <c r="M125" s="123" t="s">
        <v>26</v>
      </c>
      <c r="N125" s="117"/>
    </row>
    <row r="126" spans="1:14" ht="17.25" thickBot="1">
      <c r="A126" s="126" t="str">
        <f t="shared" si="3"/>
        <v>2025/07</v>
      </c>
      <c r="B126" s="127" t="str">
        <f t="shared" si="4"/>
        <v>2025/07站前4樓</v>
      </c>
      <c r="C126" s="119">
        <v>45</v>
      </c>
      <c r="D126" s="124" t="s">
        <v>236</v>
      </c>
      <c r="E126" s="488" t="s">
        <v>351</v>
      </c>
      <c r="F126" s="488"/>
      <c r="G126" s="488" t="s">
        <v>352</v>
      </c>
      <c r="H126" s="488"/>
      <c r="I126" s="488"/>
      <c r="J126" s="488"/>
      <c r="K126" s="124" t="s">
        <v>353</v>
      </c>
      <c r="L126" s="125">
        <v>4</v>
      </c>
      <c r="M126" s="123" t="s">
        <v>27</v>
      </c>
      <c r="N126" s="117"/>
    </row>
    <row r="127" spans="1:14" ht="17.25" thickBot="1">
      <c r="A127" s="126" t="str">
        <f t="shared" si="3"/>
        <v>2025/07</v>
      </c>
      <c r="B127" s="127" t="str">
        <f t="shared" si="4"/>
        <v>2025/07站前4樓</v>
      </c>
      <c r="C127" s="119">
        <v>46</v>
      </c>
      <c r="D127" s="124" t="s">
        <v>236</v>
      </c>
      <c r="E127" s="488" t="s">
        <v>357</v>
      </c>
      <c r="F127" s="488"/>
      <c r="G127" s="488" t="s">
        <v>358</v>
      </c>
      <c r="H127" s="488"/>
      <c r="I127" s="488"/>
      <c r="J127" s="488"/>
      <c r="K127" s="124" t="s">
        <v>353</v>
      </c>
      <c r="L127" s="125">
        <v>12</v>
      </c>
      <c r="M127" s="123" t="s">
        <v>28</v>
      </c>
      <c r="N127" s="117"/>
    </row>
    <row r="128" spans="1:14" ht="17.25" thickBot="1">
      <c r="A128" s="126" t="str">
        <f t="shared" si="3"/>
        <v>2025/07</v>
      </c>
      <c r="B128" s="127" t="str">
        <f t="shared" si="4"/>
        <v>2025/07站前4樓</v>
      </c>
      <c r="C128" s="119">
        <v>47</v>
      </c>
      <c r="D128" s="124" t="s">
        <v>236</v>
      </c>
      <c r="E128" s="488" t="s">
        <v>449</v>
      </c>
      <c r="F128" s="488"/>
      <c r="G128" s="488" t="s">
        <v>450</v>
      </c>
      <c r="H128" s="488"/>
      <c r="I128" s="488"/>
      <c r="J128" s="488"/>
      <c r="K128" s="124" t="s">
        <v>445</v>
      </c>
      <c r="L128" s="125">
        <v>8</v>
      </c>
      <c r="M128" s="123" t="s">
        <v>25</v>
      </c>
      <c r="N128" s="117"/>
    </row>
    <row r="129" spans="1:14" ht="17.25" thickBot="1">
      <c r="A129" s="126" t="str">
        <f t="shared" si="3"/>
        <v>2025/07</v>
      </c>
      <c r="B129" s="127" t="str">
        <f t="shared" si="4"/>
        <v>2025/07站前4樓</v>
      </c>
      <c r="C129" s="119">
        <v>48</v>
      </c>
      <c r="D129" s="124" t="s">
        <v>236</v>
      </c>
      <c r="E129" s="488" t="s">
        <v>340</v>
      </c>
      <c r="F129" s="488"/>
      <c r="G129" s="488" t="s">
        <v>341</v>
      </c>
      <c r="H129" s="488"/>
      <c r="I129" s="488"/>
      <c r="J129" s="488"/>
      <c r="K129" s="124" t="s">
        <v>342</v>
      </c>
      <c r="L129" s="125">
        <v>8</v>
      </c>
      <c r="M129" s="123"/>
      <c r="N129" s="117"/>
    </row>
    <row r="130" spans="1:14" ht="17.25" thickBot="1">
      <c r="A130" s="126" t="str">
        <f t="shared" si="3"/>
        <v>2025/07</v>
      </c>
      <c r="B130" s="127" t="str">
        <f t="shared" si="4"/>
        <v>2025/07站前4樓</v>
      </c>
      <c r="C130" s="119">
        <v>49</v>
      </c>
      <c r="D130" s="124" t="s">
        <v>236</v>
      </c>
      <c r="E130" s="488" t="s">
        <v>354</v>
      </c>
      <c r="F130" s="488"/>
      <c r="G130" s="488" t="s">
        <v>355</v>
      </c>
      <c r="H130" s="488"/>
      <c r="I130" s="488"/>
      <c r="J130" s="488"/>
      <c r="K130" s="124" t="s">
        <v>356</v>
      </c>
      <c r="L130" s="125">
        <v>5</v>
      </c>
      <c r="M130" s="123" t="s">
        <v>650</v>
      </c>
      <c r="N130" s="117"/>
    </row>
    <row r="131" spans="1:14" ht="17.25" thickBot="1">
      <c r="A131" s="126" t="str">
        <f t="shared" ref="A131:A194" si="5">IFERROR(LEFT(B131,7),"")</f>
        <v>2025/07</v>
      </c>
      <c r="B131" s="127" t="str">
        <f t="shared" si="4"/>
        <v>2025/07站前4樓</v>
      </c>
      <c r="C131" s="119">
        <v>50</v>
      </c>
      <c r="D131" s="124" t="s">
        <v>236</v>
      </c>
      <c r="E131" s="488" t="s">
        <v>425</v>
      </c>
      <c r="F131" s="488"/>
      <c r="G131" s="488" t="s">
        <v>426</v>
      </c>
      <c r="H131" s="488"/>
      <c r="I131" s="488"/>
      <c r="J131" s="488"/>
      <c r="K131" s="124" t="s">
        <v>269</v>
      </c>
      <c r="L131" s="125">
        <v>2</v>
      </c>
      <c r="M131" s="123" t="s">
        <v>29</v>
      </c>
      <c r="N131" s="117"/>
    </row>
    <row r="132" spans="1:14" ht="17.25" thickBot="1">
      <c r="A132" s="126" t="str">
        <f t="shared" si="5"/>
        <v>2025/07</v>
      </c>
      <c r="B132" s="127" t="str">
        <f t="shared" si="4"/>
        <v>2025/07站前4樓</v>
      </c>
      <c r="C132" s="119">
        <v>51</v>
      </c>
      <c r="D132" s="124" t="s">
        <v>236</v>
      </c>
      <c r="E132" s="488" t="s">
        <v>309</v>
      </c>
      <c r="F132" s="488"/>
      <c r="G132" s="488" t="s">
        <v>310</v>
      </c>
      <c r="H132" s="488"/>
      <c r="I132" s="488"/>
      <c r="J132" s="488"/>
      <c r="K132" s="124" t="s">
        <v>269</v>
      </c>
      <c r="L132" s="125">
        <v>28</v>
      </c>
      <c r="M132" s="123" t="s">
        <v>30</v>
      </c>
      <c r="N132" s="117"/>
    </row>
    <row r="133" spans="1:14" ht="17.25" thickBot="1">
      <c r="A133" s="126" t="str">
        <f t="shared" si="5"/>
        <v>2025/07</v>
      </c>
      <c r="B133" s="127" t="str">
        <f t="shared" si="4"/>
        <v>2025/07站前4樓</v>
      </c>
      <c r="C133" s="119">
        <v>52</v>
      </c>
      <c r="D133" s="124" t="s">
        <v>236</v>
      </c>
      <c r="E133" s="488" t="s">
        <v>267</v>
      </c>
      <c r="F133" s="488"/>
      <c r="G133" s="488" t="s">
        <v>268</v>
      </c>
      <c r="H133" s="488"/>
      <c r="I133" s="488"/>
      <c r="J133" s="488"/>
      <c r="K133" s="124" t="s">
        <v>269</v>
      </c>
      <c r="L133" s="125">
        <v>38</v>
      </c>
      <c r="M133" s="123" t="s">
        <v>33</v>
      </c>
      <c r="N133" s="117"/>
    </row>
    <row r="134" spans="1:14" ht="17.25" thickBot="1">
      <c r="A134" s="126" t="str">
        <f t="shared" si="5"/>
        <v>2025/07</v>
      </c>
      <c r="B134" s="127" t="str">
        <f t="shared" si="4"/>
        <v>2025/07站前4樓</v>
      </c>
      <c r="C134" s="119">
        <v>53</v>
      </c>
      <c r="D134" s="124" t="s">
        <v>236</v>
      </c>
      <c r="E134" s="488" t="s">
        <v>297</v>
      </c>
      <c r="F134" s="488"/>
      <c r="G134" s="488" t="s">
        <v>298</v>
      </c>
      <c r="H134" s="488"/>
      <c r="I134" s="488"/>
      <c r="J134" s="488"/>
      <c r="K134" s="124" t="s">
        <v>269</v>
      </c>
      <c r="L134" s="125">
        <v>2</v>
      </c>
      <c r="M134" s="123" t="s">
        <v>36</v>
      </c>
      <c r="N134" s="117"/>
    </row>
    <row r="135" spans="1:14" ht="17.25" thickBot="1">
      <c r="A135" s="126" t="str">
        <f t="shared" si="5"/>
        <v>2025/07</v>
      </c>
      <c r="B135" s="127" t="str">
        <f t="shared" si="4"/>
        <v>2025/07站前4樓</v>
      </c>
      <c r="C135" s="119">
        <v>54</v>
      </c>
      <c r="D135" s="124" t="s">
        <v>236</v>
      </c>
      <c r="E135" s="488" t="s">
        <v>237</v>
      </c>
      <c r="F135" s="488"/>
      <c r="G135" s="488" t="s">
        <v>238</v>
      </c>
      <c r="H135" s="488"/>
      <c r="I135" s="488"/>
      <c r="J135" s="488"/>
      <c r="K135" s="124" t="s">
        <v>239</v>
      </c>
      <c r="L135" s="125">
        <v>569</v>
      </c>
      <c r="M135" s="123" t="s">
        <v>117</v>
      </c>
      <c r="N135" s="117"/>
    </row>
    <row r="136" spans="1:14" ht="17.25" thickBot="1">
      <c r="A136" s="126" t="str">
        <f t="shared" si="5"/>
        <v>2025/07</v>
      </c>
      <c r="B136" s="127" t="str">
        <f t="shared" si="4"/>
        <v>2025/07站前4樓</v>
      </c>
      <c r="C136" s="119">
        <v>55</v>
      </c>
      <c r="D136" s="124" t="s">
        <v>236</v>
      </c>
      <c r="E136" s="488" t="s">
        <v>240</v>
      </c>
      <c r="F136" s="488"/>
      <c r="G136" s="488" t="s">
        <v>241</v>
      </c>
      <c r="H136" s="488"/>
      <c r="I136" s="488"/>
      <c r="J136" s="488"/>
      <c r="K136" s="124" t="s">
        <v>239</v>
      </c>
      <c r="L136" s="125">
        <v>569</v>
      </c>
      <c r="M136" s="123" t="s">
        <v>120</v>
      </c>
      <c r="N136" s="117"/>
    </row>
    <row r="137" spans="1:14" ht="17.25" thickBot="1">
      <c r="A137" s="126" t="str">
        <f t="shared" si="5"/>
        <v>2025/07</v>
      </c>
      <c r="B137" s="127" t="str">
        <f t="shared" si="4"/>
        <v>2025/07站前4樓</v>
      </c>
      <c r="C137" s="119">
        <v>56</v>
      </c>
      <c r="D137" s="124" t="s">
        <v>236</v>
      </c>
      <c r="E137" s="488" t="s">
        <v>242</v>
      </c>
      <c r="F137" s="488"/>
      <c r="G137" s="488" t="s">
        <v>243</v>
      </c>
      <c r="H137" s="488"/>
      <c r="I137" s="488"/>
      <c r="J137" s="488"/>
      <c r="K137" s="124" t="s">
        <v>239</v>
      </c>
      <c r="L137" s="125">
        <v>569</v>
      </c>
      <c r="M137" s="123" t="s">
        <v>121</v>
      </c>
      <c r="N137" s="117"/>
    </row>
    <row r="138" spans="1:14" ht="17.25" thickBot="1">
      <c r="A138" s="126" t="str">
        <f t="shared" si="5"/>
        <v>2025/07</v>
      </c>
      <c r="B138" s="127" t="str">
        <f t="shared" si="4"/>
        <v>2025/07站前4樓</v>
      </c>
      <c r="C138" s="119">
        <v>57</v>
      </c>
      <c r="D138" s="124" t="s">
        <v>236</v>
      </c>
      <c r="E138" s="488" t="s">
        <v>244</v>
      </c>
      <c r="F138" s="488"/>
      <c r="G138" s="488" t="s">
        <v>245</v>
      </c>
      <c r="H138" s="488"/>
      <c r="I138" s="488"/>
      <c r="J138" s="488"/>
      <c r="K138" s="124" t="s">
        <v>42</v>
      </c>
      <c r="L138" s="125">
        <v>8521</v>
      </c>
      <c r="M138" s="123" t="s">
        <v>123</v>
      </c>
      <c r="N138" s="117"/>
    </row>
    <row r="139" spans="1:14" ht="17.25" thickBot="1">
      <c r="A139" s="126" t="str">
        <f t="shared" si="5"/>
        <v>2025/07</v>
      </c>
      <c r="B139" s="127" t="str">
        <f t="shared" si="4"/>
        <v>2025/07站前4樓</v>
      </c>
      <c r="C139" s="119">
        <v>58</v>
      </c>
      <c r="D139" s="124" t="s">
        <v>236</v>
      </c>
      <c r="E139" s="488" t="s">
        <v>246</v>
      </c>
      <c r="F139" s="488"/>
      <c r="G139" s="488" t="s">
        <v>247</v>
      </c>
      <c r="H139" s="488"/>
      <c r="I139" s="488"/>
      <c r="J139" s="488"/>
      <c r="K139" s="124" t="s">
        <v>42</v>
      </c>
      <c r="L139" s="125">
        <v>8521</v>
      </c>
      <c r="M139" s="123" t="s">
        <v>127</v>
      </c>
      <c r="N139" s="117"/>
    </row>
    <row r="140" spans="1:14" ht="17.25" thickBot="1">
      <c r="A140" s="126" t="str">
        <f t="shared" si="5"/>
        <v>2025/07</v>
      </c>
      <c r="B140" s="127" t="str">
        <f t="shared" si="4"/>
        <v>2025/07站前4樓</v>
      </c>
      <c r="C140" s="119">
        <v>59</v>
      </c>
      <c r="D140" s="124" t="s">
        <v>236</v>
      </c>
      <c r="E140" s="488" t="s">
        <v>248</v>
      </c>
      <c r="F140" s="488"/>
      <c r="G140" s="488" t="s">
        <v>249</v>
      </c>
      <c r="H140" s="488"/>
      <c r="I140" s="488"/>
      <c r="J140" s="488"/>
      <c r="K140" s="124" t="s">
        <v>42</v>
      </c>
      <c r="L140" s="125">
        <v>8521</v>
      </c>
      <c r="M140" s="123" t="s">
        <v>129</v>
      </c>
      <c r="N140" s="117"/>
    </row>
    <row r="141" spans="1:14" ht="17.25" thickBot="1">
      <c r="A141" s="126" t="str">
        <f t="shared" si="5"/>
        <v>2025/07</v>
      </c>
      <c r="B141" s="127" t="str">
        <f t="shared" si="4"/>
        <v>2025/07站前4樓</v>
      </c>
      <c r="C141" s="119">
        <v>60</v>
      </c>
      <c r="D141" s="124" t="s">
        <v>236</v>
      </c>
      <c r="E141" s="488" t="s">
        <v>250</v>
      </c>
      <c r="F141" s="488"/>
      <c r="G141" s="488" t="s">
        <v>251</v>
      </c>
      <c r="H141" s="488"/>
      <c r="I141" s="488"/>
      <c r="J141" s="488"/>
      <c r="K141" s="124" t="s">
        <v>42</v>
      </c>
      <c r="L141" s="125">
        <v>1</v>
      </c>
      <c r="M141" s="123" t="s">
        <v>131</v>
      </c>
      <c r="N141" s="117"/>
    </row>
    <row r="142" spans="1:14" ht="17.25" thickBot="1">
      <c r="A142" s="126" t="str">
        <f t="shared" si="5"/>
        <v>2025/07</v>
      </c>
      <c r="B142" s="127" t="str">
        <f t="shared" si="4"/>
        <v>2025/07站前11樓</v>
      </c>
      <c r="C142" s="119">
        <v>61</v>
      </c>
      <c r="D142" s="124" t="s">
        <v>374</v>
      </c>
      <c r="E142" s="488" t="s">
        <v>392</v>
      </c>
      <c r="F142" s="488"/>
      <c r="G142" s="488" t="s">
        <v>393</v>
      </c>
      <c r="H142" s="488"/>
      <c r="I142" s="488"/>
      <c r="J142" s="488"/>
      <c r="K142" s="124" t="s">
        <v>382</v>
      </c>
      <c r="L142" s="125">
        <v>321</v>
      </c>
      <c r="M142" s="123" t="s">
        <v>152</v>
      </c>
      <c r="N142" s="117"/>
    </row>
    <row r="143" spans="1:14" ht="17.25" thickBot="1">
      <c r="A143" s="126" t="str">
        <f t="shared" si="5"/>
        <v>2025/07</v>
      </c>
      <c r="B143" s="127" t="str">
        <f t="shared" si="4"/>
        <v>2025/07站前11樓</v>
      </c>
      <c r="C143" s="119">
        <v>62</v>
      </c>
      <c r="D143" s="124" t="s">
        <v>374</v>
      </c>
      <c r="E143" s="488" t="s">
        <v>380</v>
      </c>
      <c r="F143" s="488"/>
      <c r="G143" s="488" t="s">
        <v>381</v>
      </c>
      <c r="H143" s="488"/>
      <c r="I143" s="488"/>
      <c r="J143" s="488"/>
      <c r="K143" s="124" t="s">
        <v>382</v>
      </c>
      <c r="L143" s="125">
        <v>380</v>
      </c>
      <c r="M143" s="123" t="s">
        <v>155</v>
      </c>
      <c r="N143" s="117"/>
    </row>
    <row r="144" spans="1:14" ht="17.25" thickBot="1">
      <c r="A144" s="126" t="str">
        <f t="shared" si="5"/>
        <v>2025/07</v>
      </c>
      <c r="B144" s="127" t="str">
        <f t="shared" si="4"/>
        <v>2025/07站前11樓</v>
      </c>
      <c r="C144" s="119">
        <v>63</v>
      </c>
      <c r="D144" s="124" t="s">
        <v>374</v>
      </c>
      <c r="E144" s="488" t="s">
        <v>360</v>
      </c>
      <c r="F144" s="488"/>
      <c r="G144" s="488" t="s">
        <v>361</v>
      </c>
      <c r="H144" s="488"/>
      <c r="I144" s="488"/>
      <c r="J144" s="488"/>
      <c r="K144" s="124" t="s">
        <v>362</v>
      </c>
      <c r="L144" s="125">
        <v>2</v>
      </c>
      <c r="M144" s="123" t="s">
        <v>653</v>
      </c>
      <c r="N144" s="117"/>
    </row>
    <row r="145" spans="1:14" ht="17.25" thickBot="1">
      <c r="A145" s="126" t="str">
        <f t="shared" si="5"/>
        <v>2025/07</v>
      </c>
      <c r="B145" s="127" t="str">
        <f t="shared" si="4"/>
        <v>2025/07站前11樓</v>
      </c>
      <c r="C145" s="119">
        <v>64</v>
      </c>
      <c r="D145" s="124" t="s">
        <v>374</v>
      </c>
      <c r="E145" s="488" t="s">
        <v>383</v>
      </c>
      <c r="F145" s="488"/>
      <c r="G145" s="488" t="s">
        <v>384</v>
      </c>
      <c r="H145" s="488"/>
      <c r="I145" s="488"/>
      <c r="J145" s="488"/>
      <c r="K145" s="124" t="s">
        <v>385</v>
      </c>
      <c r="L145" s="125">
        <v>120</v>
      </c>
      <c r="M145" s="123" t="s">
        <v>654</v>
      </c>
      <c r="N145" s="117"/>
    </row>
    <row r="146" spans="1:14" ht="17.25" thickBot="1">
      <c r="A146" s="126" t="str">
        <f t="shared" si="5"/>
        <v>2025/07</v>
      </c>
      <c r="B146" s="127" t="str">
        <f t="shared" ref="B146:B209" si="6">"2025/07"&amp;D146</f>
        <v>2025/07站前11樓</v>
      </c>
      <c r="C146" s="119">
        <v>65</v>
      </c>
      <c r="D146" s="124" t="s">
        <v>374</v>
      </c>
      <c r="E146" s="488" t="s">
        <v>394</v>
      </c>
      <c r="F146" s="488"/>
      <c r="G146" s="488" t="s">
        <v>395</v>
      </c>
      <c r="H146" s="488"/>
      <c r="I146" s="488"/>
      <c r="J146" s="488"/>
      <c r="K146" s="124" t="s">
        <v>272</v>
      </c>
      <c r="L146" s="125">
        <v>2</v>
      </c>
      <c r="M146" s="123" t="s">
        <v>655</v>
      </c>
      <c r="N146" s="117"/>
    </row>
    <row r="147" spans="1:14" ht="17.25" thickBot="1">
      <c r="A147" s="126" t="str">
        <f t="shared" si="5"/>
        <v>2025/07</v>
      </c>
      <c r="B147" s="127" t="str">
        <f t="shared" si="6"/>
        <v>2025/07站前11樓</v>
      </c>
      <c r="C147" s="119">
        <v>66</v>
      </c>
      <c r="D147" s="124" t="s">
        <v>374</v>
      </c>
      <c r="E147" s="488" t="s">
        <v>403</v>
      </c>
      <c r="F147" s="488"/>
      <c r="G147" s="488" t="s">
        <v>404</v>
      </c>
      <c r="H147" s="488"/>
      <c r="I147" s="488"/>
      <c r="J147" s="488"/>
      <c r="K147" s="124" t="s">
        <v>405</v>
      </c>
      <c r="L147" s="125">
        <v>2</v>
      </c>
      <c r="M147" s="123" t="s">
        <v>656</v>
      </c>
      <c r="N147" s="117"/>
    </row>
    <row r="148" spans="1:14" ht="17.25" thickBot="1">
      <c r="A148" s="126" t="str">
        <f t="shared" si="5"/>
        <v>2025/07</v>
      </c>
      <c r="B148" s="127" t="str">
        <f t="shared" si="6"/>
        <v>2025/07站前11樓</v>
      </c>
      <c r="C148" s="119">
        <v>67</v>
      </c>
      <c r="D148" s="124" t="s">
        <v>374</v>
      </c>
      <c r="E148" s="488" t="s">
        <v>406</v>
      </c>
      <c r="F148" s="488"/>
      <c r="G148" s="488" t="s">
        <v>407</v>
      </c>
      <c r="H148" s="488"/>
      <c r="I148" s="488"/>
      <c r="J148" s="488"/>
      <c r="K148" s="124" t="s">
        <v>385</v>
      </c>
      <c r="L148" s="125">
        <v>2</v>
      </c>
      <c r="M148" s="123" t="s">
        <v>657</v>
      </c>
      <c r="N148" s="117"/>
    </row>
    <row r="149" spans="1:14" ht="17.25" thickBot="1">
      <c r="A149" s="126" t="str">
        <f t="shared" si="5"/>
        <v>2025/07</v>
      </c>
      <c r="B149" s="127" t="str">
        <f t="shared" si="6"/>
        <v>2025/07站前11樓</v>
      </c>
      <c r="C149" s="119">
        <v>68</v>
      </c>
      <c r="D149" s="124" t="s">
        <v>374</v>
      </c>
      <c r="E149" s="488" t="s">
        <v>408</v>
      </c>
      <c r="F149" s="488"/>
      <c r="G149" s="488" t="s">
        <v>409</v>
      </c>
      <c r="H149" s="488"/>
      <c r="I149" s="488"/>
      <c r="J149" s="488"/>
      <c r="K149" s="124" t="s">
        <v>410</v>
      </c>
      <c r="L149" s="125">
        <v>4</v>
      </c>
      <c r="M149" s="123" t="s">
        <v>658</v>
      </c>
      <c r="N149" s="117"/>
    </row>
    <row r="150" spans="1:14" ht="17.25" thickBot="1">
      <c r="A150" s="126" t="str">
        <f t="shared" si="5"/>
        <v>2025/07</v>
      </c>
      <c r="B150" s="127" t="str">
        <f t="shared" si="6"/>
        <v>2025/07站前11樓</v>
      </c>
      <c r="C150" s="119">
        <v>69</v>
      </c>
      <c r="D150" s="124" t="s">
        <v>374</v>
      </c>
      <c r="E150" s="488" t="s">
        <v>255</v>
      </c>
      <c r="F150" s="488"/>
      <c r="G150" s="488" t="s">
        <v>256</v>
      </c>
      <c r="H150" s="488"/>
      <c r="I150" s="488"/>
      <c r="J150" s="488"/>
      <c r="K150" s="124" t="s">
        <v>257</v>
      </c>
      <c r="L150" s="125">
        <v>373</v>
      </c>
      <c r="M150" s="123" t="s">
        <v>660</v>
      </c>
      <c r="N150" s="117"/>
    </row>
    <row r="151" spans="1:14" ht="17.25" thickBot="1">
      <c r="A151" s="126" t="str">
        <f t="shared" si="5"/>
        <v>2025/07</v>
      </c>
      <c r="B151" s="127" t="str">
        <f t="shared" si="6"/>
        <v>2025/07站前11樓</v>
      </c>
      <c r="C151" s="119">
        <v>70</v>
      </c>
      <c r="D151" s="124" t="s">
        <v>374</v>
      </c>
      <c r="E151" s="488" t="s">
        <v>258</v>
      </c>
      <c r="F151" s="488"/>
      <c r="G151" s="488" t="s">
        <v>259</v>
      </c>
      <c r="H151" s="488"/>
      <c r="I151" s="488"/>
      <c r="J151" s="488"/>
      <c r="K151" s="124"/>
      <c r="L151" s="125">
        <v>5</v>
      </c>
      <c r="M151" s="123" t="s">
        <v>661</v>
      </c>
      <c r="N151" s="117"/>
    </row>
    <row r="152" spans="1:14" ht="17.25" thickBot="1">
      <c r="A152" s="126" t="str">
        <f t="shared" si="5"/>
        <v>2025/07</v>
      </c>
      <c r="B152" s="127" t="str">
        <f t="shared" si="6"/>
        <v>2025/07站前11樓</v>
      </c>
      <c r="C152" s="119">
        <v>71</v>
      </c>
      <c r="D152" s="124" t="s">
        <v>374</v>
      </c>
      <c r="E152" s="488" t="s">
        <v>260</v>
      </c>
      <c r="F152" s="488"/>
      <c r="G152" s="488" t="s">
        <v>261</v>
      </c>
      <c r="H152" s="488"/>
      <c r="I152" s="488"/>
      <c r="J152" s="488"/>
      <c r="K152" s="124" t="s">
        <v>254</v>
      </c>
      <c r="L152" s="125">
        <v>5</v>
      </c>
      <c r="M152" s="123" t="s">
        <v>662</v>
      </c>
      <c r="N152" s="117"/>
    </row>
    <row r="153" spans="1:14" ht="17.25" thickBot="1">
      <c r="A153" s="126" t="str">
        <f t="shared" si="5"/>
        <v>2025/07</v>
      </c>
      <c r="B153" s="127" t="str">
        <f t="shared" si="6"/>
        <v>2025/07站前11樓</v>
      </c>
      <c r="C153" s="119">
        <v>72</v>
      </c>
      <c r="D153" s="124" t="s">
        <v>374</v>
      </c>
      <c r="E153" s="488" t="s">
        <v>252</v>
      </c>
      <c r="F153" s="488"/>
      <c r="G153" s="488" t="s">
        <v>253</v>
      </c>
      <c r="H153" s="488"/>
      <c r="I153" s="488"/>
      <c r="J153" s="488"/>
      <c r="K153" s="124" t="s">
        <v>254</v>
      </c>
      <c r="L153" s="125">
        <v>5</v>
      </c>
      <c r="M153" s="123" t="s">
        <v>665</v>
      </c>
      <c r="N153" s="117"/>
    </row>
    <row r="154" spans="1:14" ht="17.25" thickBot="1">
      <c r="A154" s="126" t="str">
        <f t="shared" si="5"/>
        <v>2025/07</v>
      </c>
      <c r="B154" s="127" t="str">
        <f t="shared" si="6"/>
        <v>2025/07站前11樓</v>
      </c>
      <c r="C154" s="119">
        <v>73</v>
      </c>
      <c r="D154" s="124" t="s">
        <v>374</v>
      </c>
      <c r="E154" s="488" t="s">
        <v>389</v>
      </c>
      <c r="F154" s="488"/>
      <c r="G154" s="488" t="s">
        <v>390</v>
      </c>
      <c r="H154" s="488"/>
      <c r="I154" s="488"/>
      <c r="J154" s="488"/>
      <c r="K154" s="124" t="s">
        <v>391</v>
      </c>
      <c r="L154" s="125">
        <v>48</v>
      </c>
      <c r="M154" s="123" t="s">
        <v>106</v>
      </c>
      <c r="N154" s="117"/>
    </row>
    <row r="155" spans="1:14" ht="17.25" thickBot="1">
      <c r="A155" s="126" t="str">
        <f t="shared" si="5"/>
        <v>2025/07</v>
      </c>
      <c r="B155" s="127" t="str">
        <f t="shared" si="6"/>
        <v>2025/07站前11樓</v>
      </c>
      <c r="C155" s="119">
        <v>74</v>
      </c>
      <c r="D155" s="124" t="s">
        <v>374</v>
      </c>
      <c r="E155" s="488" t="s">
        <v>439</v>
      </c>
      <c r="F155" s="488"/>
      <c r="G155" s="488" t="s">
        <v>440</v>
      </c>
      <c r="H155" s="488"/>
      <c r="I155" s="488"/>
      <c r="J155" s="488"/>
      <c r="K155" s="124" t="s">
        <v>145</v>
      </c>
      <c r="L155" s="125">
        <v>2</v>
      </c>
      <c r="M155" s="123"/>
      <c r="N155" s="117"/>
    </row>
    <row r="156" spans="1:14" ht="17.25" thickBot="1">
      <c r="A156" s="126" t="str">
        <f t="shared" si="5"/>
        <v>2025/07</v>
      </c>
      <c r="B156" s="127" t="str">
        <f t="shared" si="6"/>
        <v>2025/07站前11樓</v>
      </c>
      <c r="C156" s="119">
        <v>75</v>
      </c>
      <c r="D156" s="124" t="s">
        <v>374</v>
      </c>
      <c r="E156" s="488" t="s">
        <v>386</v>
      </c>
      <c r="F156" s="488"/>
      <c r="G156" s="488" t="s">
        <v>387</v>
      </c>
      <c r="H156" s="488"/>
      <c r="I156" s="488"/>
      <c r="J156" s="488"/>
      <c r="K156" s="124" t="s">
        <v>388</v>
      </c>
      <c r="L156" s="125">
        <v>1382</v>
      </c>
      <c r="M156" s="123" t="s">
        <v>101</v>
      </c>
      <c r="N156" s="117"/>
    </row>
    <row r="157" spans="1:14" ht="17.25" thickBot="1">
      <c r="A157" s="126" t="str">
        <f t="shared" si="5"/>
        <v>2025/07</v>
      </c>
      <c r="B157" s="127" t="str">
        <f t="shared" si="6"/>
        <v>2025/07站前11樓</v>
      </c>
      <c r="C157" s="119">
        <v>76</v>
      </c>
      <c r="D157" s="124" t="s">
        <v>374</v>
      </c>
      <c r="E157" s="488" t="s">
        <v>377</v>
      </c>
      <c r="F157" s="488"/>
      <c r="G157" s="488" t="s">
        <v>378</v>
      </c>
      <c r="H157" s="488"/>
      <c r="I157" s="488"/>
      <c r="J157" s="488"/>
      <c r="K157" s="124" t="s">
        <v>379</v>
      </c>
      <c r="L157" s="125">
        <v>188</v>
      </c>
      <c r="M157" s="123"/>
      <c r="N157" s="117"/>
    </row>
    <row r="158" spans="1:14" ht="17.25" thickBot="1">
      <c r="A158" s="126" t="str">
        <f t="shared" si="5"/>
        <v>2025/07</v>
      </c>
      <c r="B158" s="127" t="str">
        <f t="shared" si="6"/>
        <v>2025/07站前11樓</v>
      </c>
      <c r="C158" s="119">
        <v>77</v>
      </c>
      <c r="D158" s="124" t="s">
        <v>374</v>
      </c>
      <c r="E158" s="488" t="s">
        <v>401</v>
      </c>
      <c r="F158" s="488"/>
      <c r="G158" s="488" t="s">
        <v>402</v>
      </c>
      <c r="H158" s="488"/>
      <c r="I158" s="488"/>
      <c r="J158" s="488"/>
      <c r="K158" s="124" t="s">
        <v>145</v>
      </c>
      <c r="L158" s="125">
        <v>11</v>
      </c>
      <c r="M158" s="123" t="s">
        <v>147</v>
      </c>
      <c r="N158" s="117"/>
    </row>
    <row r="159" spans="1:14" ht="17.25" thickBot="1">
      <c r="A159" s="126" t="str">
        <f t="shared" si="5"/>
        <v>2025/07</v>
      </c>
      <c r="B159" s="127" t="str">
        <f t="shared" si="6"/>
        <v>2025/07站前11樓</v>
      </c>
      <c r="C159" s="119">
        <v>78</v>
      </c>
      <c r="D159" s="124" t="s">
        <v>374</v>
      </c>
      <c r="E159" s="488" t="s">
        <v>417</v>
      </c>
      <c r="F159" s="488"/>
      <c r="G159" s="488" t="s">
        <v>418</v>
      </c>
      <c r="H159" s="488"/>
      <c r="I159" s="488"/>
      <c r="J159" s="488"/>
      <c r="K159" s="124" t="s">
        <v>145</v>
      </c>
      <c r="L159" s="125">
        <v>18</v>
      </c>
      <c r="M159" s="123" t="s">
        <v>148</v>
      </c>
      <c r="N159" s="117"/>
    </row>
    <row r="160" spans="1:14" ht="17.25" thickBot="1">
      <c r="A160" s="126" t="str">
        <f t="shared" si="5"/>
        <v>2025/07</v>
      </c>
      <c r="B160" s="127" t="str">
        <f t="shared" si="6"/>
        <v>2025/07站前11樓</v>
      </c>
      <c r="C160" s="119">
        <v>79</v>
      </c>
      <c r="D160" s="124" t="s">
        <v>374</v>
      </c>
      <c r="E160" s="488" t="s">
        <v>411</v>
      </c>
      <c r="F160" s="488"/>
      <c r="G160" s="488" t="s">
        <v>412</v>
      </c>
      <c r="H160" s="488"/>
      <c r="I160" s="488"/>
      <c r="J160" s="488"/>
      <c r="K160" s="124" t="s">
        <v>145</v>
      </c>
      <c r="L160" s="125">
        <v>26</v>
      </c>
      <c r="M160" s="123" t="s">
        <v>641</v>
      </c>
      <c r="N160" s="117"/>
    </row>
    <row r="161" spans="1:14" ht="17.25" thickBot="1">
      <c r="A161" s="126" t="str">
        <f t="shared" si="5"/>
        <v>2025/07</v>
      </c>
      <c r="B161" s="127" t="str">
        <f t="shared" si="6"/>
        <v>2025/07站前11樓</v>
      </c>
      <c r="C161" s="119">
        <v>80</v>
      </c>
      <c r="D161" s="124" t="s">
        <v>374</v>
      </c>
      <c r="E161" s="488" t="s">
        <v>375</v>
      </c>
      <c r="F161" s="488"/>
      <c r="G161" s="488" t="s">
        <v>376</v>
      </c>
      <c r="H161" s="488"/>
      <c r="I161" s="488"/>
      <c r="J161" s="488"/>
      <c r="K161" s="124" t="s">
        <v>145</v>
      </c>
      <c r="L161" s="125">
        <v>19</v>
      </c>
      <c r="M161" s="123" t="s">
        <v>642</v>
      </c>
      <c r="N161" s="117"/>
    </row>
    <row r="162" spans="1:14" ht="17.25" thickBot="1">
      <c r="A162" s="126" t="str">
        <f t="shared" si="5"/>
        <v>2025/07</v>
      </c>
      <c r="B162" s="127" t="str">
        <f t="shared" si="6"/>
        <v>2025/07站前11樓</v>
      </c>
      <c r="C162" s="119">
        <v>81</v>
      </c>
      <c r="D162" s="124" t="s">
        <v>374</v>
      </c>
      <c r="E162" s="488" t="s">
        <v>399</v>
      </c>
      <c r="F162" s="488"/>
      <c r="G162" s="488" t="s">
        <v>400</v>
      </c>
      <c r="H162" s="488"/>
      <c r="I162" s="488"/>
      <c r="J162" s="488"/>
      <c r="K162" s="124" t="s">
        <v>145</v>
      </c>
      <c r="L162" s="125">
        <v>3</v>
      </c>
      <c r="M162" s="123" t="s">
        <v>644</v>
      </c>
      <c r="N162" s="117"/>
    </row>
    <row r="163" spans="1:14" ht="17.25" thickBot="1">
      <c r="A163" s="126" t="str">
        <f t="shared" si="5"/>
        <v>2025/07</v>
      </c>
      <c r="B163" s="127" t="str">
        <f t="shared" si="6"/>
        <v>2025/07忠孝7樓</v>
      </c>
      <c r="C163" s="119">
        <v>82</v>
      </c>
      <c r="D163" s="124" t="s">
        <v>424</v>
      </c>
      <c r="E163" s="488" t="s">
        <v>380</v>
      </c>
      <c r="F163" s="488"/>
      <c r="G163" s="488" t="s">
        <v>381</v>
      </c>
      <c r="H163" s="488"/>
      <c r="I163" s="488"/>
      <c r="J163" s="488"/>
      <c r="K163" s="124" t="s">
        <v>382</v>
      </c>
      <c r="L163" s="125">
        <v>0.5</v>
      </c>
      <c r="M163" s="123" t="s">
        <v>155</v>
      </c>
      <c r="N163" s="117"/>
    </row>
    <row r="164" spans="1:14" ht="17.25" thickBot="1">
      <c r="A164" s="126" t="str">
        <f t="shared" si="5"/>
        <v>2025/07</v>
      </c>
      <c r="B164" s="127" t="str">
        <f t="shared" si="6"/>
        <v>2025/07忠孝7樓</v>
      </c>
      <c r="C164" s="119">
        <v>83</v>
      </c>
      <c r="D164" s="124" t="s">
        <v>424</v>
      </c>
      <c r="E164" s="488" t="s">
        <v>383</v>
      </c>
      <c r="F164" s="488"/>
      <c r="G164" s="488" t="s">
        <v>384</v>
      </c>
      <c r="H164" s="488"/>
      <c r="I164" s="488"/>
      <c r="J164" s="488"/>
      <c r="K164" s="124" t="s">
        <v>385</v>
      </c>
      <c r="L164" s="125">
        <v>3</v>
      </c>
      <c r="M164" s="123" t="s">
        <v>654</v>
      </c>
      <c r="N164" s="117"/>
    </row>
    <row r="165" spans="1:14" ht="17.25" thickBot="1">
      <c r="A165" s="126" t="str">
        <f t="shared" si="5"/>
        <v>2025/07</v>
      </c>
      <c r="B165" s="127" t="str">
        <f t="shared" si="6"/>
        <v>2025/07忠孝7樓</v>
      </c>
      <c r="C165" s="119">
        <v>84</v>
      </c>
      <c r="D165" s="124" t="s">
        <v>424</v>
      </c>
      <c r="E165" s="488" t="s">
        <v>255</v>
      </c>
      <c r="F165" s="488"/>
      <c r="G165" s="488" t="s">
        <v>256</v>
      </c>
      <c r="H165" s="488"/>
      <c r="I165" s="488"/>
      <c r="J165" s="488"/>
      <c r="K165" s="124" t="s">
        <v>257</v>
      </c>
      <c r="L165" s="125">
        <v>95</v>
      </c>
      <c r="M165" s="123" t="s">
        <v>660</v>
      </c>
      <c r="N165" s="117"/>
    </row>
    <row r="166" spans="1:14" ht="17.25" thickBot="1">
      <c r="A166" s="126" t="str">
        <f t="shared" si="5"/>
        <v>2025/07</v>
      </c>
      <c r="B166" s="127" t="str">
        <f t="shared" si="6"/>
        <v>2025/07忠孝7樓</v>
      </c>
      <c r="C166" s="119">
        <v>85</v>
      </c>
      <c r="D166" s="124" t="s">
        <v>424</v>
      </c>
      <c r="E166" s="488" t="s">
        <v>258</v>
      </c>
      <c r="F166" s="488"/>
      <c r="G166" s="488" t="s">
        <v>259</v>
      </c>
      <c r="H166" s="488"/>
      <c r="I166" s="488"/>
      <c r="J166" s="488"/>
      <c r="K166" s="124"/>
      <c r="L166" s="125">
        <v>91</v>
      </c>
      <c r="M166" s="123" t="s">
        <v>661</v>
      </c>
      <c r="N166" s="117"/>
    </row>
    <row r="167" spans="1:14" ht="17.25" thickBot="1">
      <c r="A167" s="126" t="str">
        <f t="shared" si="5"/>
        <v>2025/07</v>
      </c>
      <c r="B167" s="127" t="str">
        <f t="shared" si="6"/>
        <v>2025/07忠孝7樓</v>
      </c>
      <c r="C167" s="119">
        <v>86</v>
      </c>
      <c r="D167" s="124" t="s">
        <v>424</v>
      </c>
      <c r="E167" s="488" t="s">
        <v>260</v>
      </c>
      <c r="F167" s="488"/>
      <c r="G167" s="488" t="s">
        <v>261</v>
      </c>
      <c r="H167" s="488"/>
      <c r="I167" s="488"/>
      <c r="J167" s="488"/>
      <c r="K167" s="124" t="s">
        <v>254</v>
      </c>
      <c r="L167" s="125">
        <v>89</v>
      </c>
      <c r="M167" s="123" t="s">
        <v>662</v>
      </c>
      <c r="N167" s="117"/>
    </row>
    <row r="168" spans="1:14" ht="17.25" thickBot="1">
      <c r="A168" s="126" t="str">
        <f t="shared" si="5"/>
        <v>2025/07</v>
      </c>
      <c r="B168" s="127" t="str">
        <f t="shared" si="6"/>
        <v>2025/07忠孝7樓</v>
      </c>
      <c r="C168" s="119">
        <v>87</v>
      </c>
      <c r="D168" s="124" t="s">
        <v>424</v>
      </c>
      <c r="E168" s="488" t="s">
        <v>262</v>
      </c>
      <c r="F168" s="488"/>
      <c r="G168" s="488" t="s">
        <v>263</v>
      </c>
      <c r="H168" s="488"/>
      <c r="I168" s="488"/>
      <c r="J168" s="488"/>
      <c r="K168" s="124" t="s">
        <v>254</v>
      </c>
      <c r="L168" s="125">
        <v>5</v>
      </c>
      <c r="M168" s="123" t="s">
        <v>663</v>
      </c>
      <c r="N168" s="117"/>
    </row>
    <row r="169" spans="1:14" ht="17.25" thickBot="1">
      <c r="A169" s="126" t="str">
        <f t="shared" si="5"/>
        <v>2025/07</v>
      </c>
      <c r="B169" s="127" t="str">
        <f t="shared" si="6"/>
        <v>2025/07忠孝7樓</v>
      </c>
      <c r="C169" s="119">
        <v>88</v>
      </c>
      <c r="D169" s="124" t="s">
        <v>424</v>
      </c>
      <c r="E169" s="488" t="s">
        <v>270</v>
      </c>
      <c r="F169" s="488"/>
      <c r="G169" s="488" t="s">
        <v>271</v>
      </c>
      <c r="H169" s="488"/>
      <c r="I169" s="488"/>
      <c r="J169" s="488"/>
      <c r="K169" s="124" t="s">
        <v>272</v>
      </c>
      <c r="L169" s="125">
        <v>30</v>
      </c>
      <c r="M169" s="123" t="s">
        <v>664</v>
      </c>
      <c r="N169" s="117"/>
    </row>
    <row r="170" spans="1:14" ht="17.25" thickBot="1">
      <c r="A170" s="126" t="str">
        <f t="shared" si="5"/>
        <v>2025/07</v>
      </c>
      <c r="B170" s="127" t="str">
        <f t="shared" si="6"/>
        <v>2025/07忠孝7樓</v>
      </c>
      <c r="C170" s="119">
        <v>89</v>
      </c>
      <c r="D170" s="124" t="s">
        <v>424</v>
      </c>
      <c r="E170" s="488" t="s">
        <v>252</v>
      </c>
      <c r="F170" s="488"/>
      <c r="G170" s="488" t="s">
        <v>253</v>
      </c>
      <c r="H170" s="488"/>
      <c r="I170" s="488"/>
      <c r="J170" s="488"/>
      <c r="K170" s="124" t="s">
        <v>254</v>
      </c>
      <c r="L170" s="125">
        <v>89</v>
      </c>
      <c r="M170" s="123" t="s">
        <v>665</v>
      </c>
      <c r="N170" s="117"/>
    </row>
    <row r="171" spans="1:14" ht="17.25" thickBot="1">
      <c r="A171" s="126" t="str">
        <f t="shared" si="5"/>
        <v>2025/07</v>
      </c>
      <c r="B171" s="127" t="str">
        <f t="shared" si="6"/>
        <v>2025/07忠孝7樓</v>
      </c>
      <c r="C171" s="119">
        <v>90</v>
      </c>
      <c r="D171" s="124" t="s">
        <v>424</v>
      </c>
      <c r="E171" s="488" t="s">
        <v>429</v>
      </c>
      <c r="F171" s="488"/>
      <c r="G171" s="488" t="s">
        <v>430</v>
      </c>
      <c r="H171" s="488"/>
      <c r="I171" s="488"/>
      <c r="J171" s="488"/>
      <c r="K171" s="124" t="s">
        <v>272</v>
      </c>
      <c r="L171" s="125">
        <v>3</v>
      </c>
      <c r="M171" s="123" t="s">
        <v>666</v>
      </c>
      <c r="N171" s="117"/>
    </row>
    <row r="172" spans="1:14" ht="17.25" thickBot="1">
      <c r="A172" s="126" t="str">
        <f t="shared" si="5"/>
        <v>2025/07</v>
      </c>
      <c r="B172" s="127" t="str">
        <f t="shared" si="6"/>
        <v>2025/07忠孝7樓</v>
      </c>
      <c r="C172" s="119">
        <v>91</v>
      </c>
      <c r="D172" s="124" t="s">
        <v>424</v>
      </c>
      <c r="E172" s="488" t="s">
        <v>305</v>
      </c>
      <c r="F172" s="488"/>
      <c r="G172" s="488" t="s">
        <v>306</v>
      </c>
      <c r="H172" s="488"/>
      <c r="I172" s="488"/>
      <c r="J172" s="488"/>
      <c r="K172" s="124" t="s">
        <v>266</v>
      </c>
      <c r="L172" s="125">
        <v>1239</v>
      </c>
      <c r="M172" s="123" t="s">
        <v>638</v>
      </c>
      <c r="N172" s="117"/>
    </row>
    <row r="173" spans="1:14" ht="17.25" thickBot="1">
      <c r="A173" s="126" t="str">
        <f t="shared" si="5"/>
        <v>2025/07</v>
      </c>
      <c r="B173" s="127" t="str">
        <f t="shared" si="6"/>
        <v>2025/07忠孝7樓</v>
      </c>
      <c r="C173" s="119">
        <v>92</v>
      </c>
      <c r="D173" s="124" t="s">
        <v>424</v>
      </c>
      <c r="E173" s="488" t="s">
        <v>264</v>
      </c>
      <c r="F173" s="488"/>
      <c r="G173" s="488" t="s">
        <v>265</v>
      </c>
      <c r="H173" s="488"/>
      <c r="I173" s="488"/>
      <c r="J173" s="488"/>
      <c r="K173" s="124" t="s">
        <v>266</v>
      </c>
      <c r="L173" s="125">
        <v>987</v>
      </c>
      <c r="M173" s="123" t="s">
        <v>639</v>
      </c>
      <c r="N173" s="117"/>
    </row>
    <row r="174" spans="1:14" ht="17.25" thickBot="1">
      <c r="A174" s="126" t="str">
        <f t="shared" si="5"/>
        <v>2025/07</v>
      </c>
      <c r="B174" s="127" t="str">
        <f t="shared" si="6"/>
        <v>2025/07忠孝7樓</v>
      </c>
      <c r="C174" s="119">
        <v>93</v>
      </c>
      <c r="D174" s="124" t="s">
        <v>424</v>
      </c>
      <c r="E174" s="488" t="s">
        <v>307</v>
      </c>
      <c r="F174" s="488"/>
      <c r="G174" s="488" t="s">
        <v>308</v>
      </c>
      <c r="H174" s="488"/>
      <c r="I174" s="488"/>
      <c r="J174" s="488"/>
      <c r="K174" s="124" t="s">
        <v>266</v>
      </c>
      <c r="L174" s="125">
        <v>1612</v>
      </c>
      <c r="M174" s="123" t="s">
        <v>640</v>
      </c>
      <c r="N174" s="117"/>
    </row>
    <row r="175" spans="1:14" ht="17.25" thickBot="1">
      <c r="A175" s="126" t="str">
        <f t="shared" si="5"/>
        <v>2025/07</v>
      </c>
      <c r="B175" s="127" t="str">
        <f t="shared" si="6"/>
        <v>2025/07忠孝7樓</v>
      </c>
      <c r="C175" s="119">
        <v>94</v>
      </c>
      <c r="D175" s="124" t="s">
        <v>424</v>
      </c>
      <c r="E175" s="488" t="s">
        <v>313</v>
      </c>
      <c r="F175" s="488"/>
      <c r="G175" s="488" t="s">
        <v>314</v>
      </c>
      <c r="H175" s="488"/>
      <c r="I175" s="488"/>
      <c r="J175" s="488"/>
      <c r="K175" s="124" t="s">
        <v>301</v>
      </c>
      <c r="L175" s="125">
        <v>11</v>
      </c>
      <c r="M175" s="123" t="s">
        <v>14</v>
      </c>
      <c r="N175" s="117"/>
    </row>
    <row r="176" spans="1:14" ht="17.25" thickBot="1">
      <c r="A176" s="126" t="str">
        <f t="shared" si="5"/>
        <v>2025/07</v>
      </c>
      <c r="B176" s="127" t="str">
        <f t="shared" si="6"/>
        <v>2025/07忠孝7樓</v>
      </c>
      <c r="C176" s="119">
        <v>95</v>
      </c>
      <c r="D176" s="124" t="s">
        <v>424</v>
      </c>
      <c r="E176" s="488" t="s">
        <v>343</v>
      </c>
      <c r="F176" s="488"/>
      <c r="G176" s="488" t="s">
        <v>344</v>
      </c>
      <c r="H176" s="488"/>
      <c r="I176" s="488"/>
      <c r="J176" s="488"/>
      <c r="K176" s="124" t="s">
        <v>301</v>
      </c>
      <c r="L176" s="125">
        <v>6</v>
      </c>
      <c r="M176" s="123" t="s">
        <v>18</v>
      </c>
      <c r="N176" s="117"/>
    </row>
    <row r="177" spans="1:14" ht="17.25" thickBot="1">
      <c r="A177" s="126" t="str">
        <f t="shared" si="5"/>
        <v>2025/07</v>
      </c>
      <c r="B177" s="127" t="str">
        <f t="shared" si="6"/>
        <v>2025/07忠孝7樓</v>
      </c>
      <c r="C177" s="119">
        <v>96</v>
      </c>
      <c r="D177" s="124" t="s">
        <v>424</v>
      </c>
      <c r="E177" s="488" t="s">
        <v>349</v>
      </c>
      <c r="F177" s="488"/>
      <c r="G177" s="488" t="s">
        <v>350</v>
      </c>
      <c r="H177" s="488"/>
      <c r="I177" s="488"/>
      <c r="J177" s="488"/>
      <c r="K177" s="124" t="s">
        <v>301</v>
      </c>
      <c r="L177" s="125">
        <v>11</v>
      </c>
      <c r="M177" s="123" t="s">
        <v>20</v>
      </c>
      <c r="N177" s="117"/>
    </row>
    <row r="178" spans="1:14" ht="17.25" thickBot="1">
      <c r="A178" s="126" t="str">
        <f t="shared" si="5"/>
        <v>2025/07</v>
      </c>
      <c r="B178" s="127" t="str">
        <f t="shared" si="6"/>
        <v>2025/07忠孝7樓</v>
      </c>
      <c r="C178" s="119">
        <v>97</v>
      </c>
      <c r="D178" s="124" t="s">
        <v>424</v>
      </c>
      <c r="E178" s="488" t="s">
        <v>282</v>
      </c>
      <c r="F178" s="488"/>
      <c r="G178" s="488" t="s">
        <v>283</v>
      </c>
      <c r="H178" s="488"/>
      <c r="I178" s="488"/>
      <c r="J178" s="488"/>
      <c r="K178" s="124" t="s">
        <v>284</v>
      </c>
      <c r="L178" s="125">
        <v>69</v>
      </c>
      <c r="M178" s="123" t="s">
        <v>65</v>
      </c>
      <c r="N178" s="117"/>
    </row>
    <row r="179" spans="1:14" ht="17.25" thickBot="1">
      <c r="A179" s="126" t="str">
        <f t="shared" si="5"/>
        <v>2025/07</v>
      </c>
      <c r="B179" s="127" t="str">
        <f t="shared" si="6"/>
        <v>2025/07忠孝7樓</v>
      </c>
      <c r="C179" s="119">
        <v>98</v>
      </c>
      <c r="D179" s="124" t="s">
        <v>424</v>
      </c>
      <c r="E179" s="488" t="s">
        <v>345</v>
      </c>
      <c r="F179" s="488"/>
      <c r="G179" s="488" t="s">
        <v>346</v>
      </c>
      <c r="H179" s="488"/>
      <c r="I179" s="488"/>
      <c r="J179" s="488"/>
      <c r="K179" s="124" t="s">
        <v>284</v>
      </c>
      <c r="L179" s="125">
        <v>6</v>
      </c>
      <c r="M179" s="123" t="s">
        <v>67</v>
      </c>
      <c r="N179" s="117"/>
    </row>
    <row r="180" spans="1:14" ht="17.25" thickBot="1">
      <c r="A180" s="126" t="str">
        <f t="shared" si="5"/>
        <v>2025/07</v>
      </c>
      <c r="B180" s="127" t="str">
        <f t="shared" si="6"/>
        <v>2025/07忠孝7樓</v>
      </c>
      <c r="C180" s="119">
        <v>99</v>
      </c>
      <c r="D180" s="124" t="s">
        <v>424</v>
      </c>
      <c r="E180" s="488" t="s">
        <v>299</v>
      </c>
      <c r="F180" s="488"/>
      <c r="G180" s="488" t="s">
        <v>300</v>
      </c>
      <c r="H180" s="488"/>
      <c r="I180" s="488"/>
      <c r="J180" s="488"/>
      <c r="K180" s="124" t="s">
        <v>301</v>
      </c>
      <c r="L180" s="125">
        <v>95</v>
      </c>
      <c r="M180" s="123" t="s">
        <v>68</v>
      </c>
      <c r="N180" s="117"/>
    </row>
    <row r="181" spans="1:14" ht="17.25" thickBot="1">
      <c r="A181" s="126" t="str">
        <f t="shared" si="5"/>
        <v>2025/07</v>
      </c>
      <c r="B181" s="127" t="str">
        <f t="shared" si="6"/>
        <v>2025/07忠孝7樓</v>
      </c>
      <c r="C181" s="119">
        <v>100</v>
      </c>
      <c r="D181" s="124" t="s">
        <v>424</v>
      </c>
      <c r="E181" s="488" t="s">
        <v>347</v>
      </c>
      <c r="F181" s="488"/>
      <c r="G181" s="488" t="s">
        <v>348</v>
      </c>
      <c r="H181" s="488"/>
      <c r="I181" s="488"/>
      <c r="J181" s="488"/>
      <c r="K181" s="124" t="s">
        <v>301</v>
      </c>
      <c r="L181" s="125">
        <v>24</v>
      </c>
      <c r="M181" s="123" t="s">
        <v>71</v>
      </c>
      <c r="N181" s="117"/>
    </row>
    <row r="182" spans="1:14" ht="17.25" thickBot="1">
      <c r="A182" s="126" t="str">
        <f t="shared" si="5"/>
        <v>2025/07</v>
      </c>
      <c r="B182" s="127" t="str">
        <f t="shared" si="6"/>
        <v>2025/07忠孝7樓</v>
      </c>
      <c r="C182" s="119">
        <v>101</v>
      </c>
      <c r="D182" s="124" t="s">
        <v>424</v>
      </c>
      <c r="E182" s="488" t="s">
        <v>317</v>
      </c>
      <c r="F182" s="488"/>
      <c r="G182" s="488" t="s">
        <v>318</v>
      </c>
      <c r="H182" s="488"/>
      <c r="I182" s="488"/>
      <c r="J182" s="488"/>
      <c r="K182" s="124" t="s">
        <v>319</v>
      </c>
      <c r="L182" s="125">
        <v>2</v>
      </c>
      <c r="M182" s="123" t="s">
        <v>75</v>
      </c>
      <c r="N182" s="117"/>
    </row>
    <row r="183" spans="1:14" ht="17.25" thickBot="1">
      <c r="A183" s="126" t="str">
        <f t="shared" si="5"/>
        <v>2025/07</v>
      </c>
      <c r="B183" s="127" t="str">
        <f t="shared" si="6"/>
        <v>2025/07忠孝7樓</v>
      </c>
      <c r="C183" s="119">
        <v>102</v>
      </c>
      <c r="D183" s="124" t="s">
        <v>424</v>
      </c>
      <c r="E183" s="488" t="s">
        <v>321</v>
      </c>
      <c r="F183" s="488"/>
      <c r="G183" s="488" t="s">
        <v>322</v>
      </c>
      <c r="H183" s="488"/>
      <c r="I183" s="488"/>
      <c r="J183" s="488"/>
      <c r="K183" s="124" t="s">
        <v>275</v>
      </c>
      <c r="L183" s="125">
        <v>27</v>
      </c>
      <c r="M183" s="123" t="s">
        <v>41</v>
      </c>
      <c r="N183" s="117"/>
    </row>
    <row r="184" spans="1:14" ht="17.25" thickBot="1">
      <c r="A184" s="126" t="str">
        <f t="shared" si="5"/>
        <v>2025/07</v>
      </c>
      <c r="B184" s="127" t="str">
        <f t="shared" si="6"/>
        <v>2025/07忠孝7樓</v>
      </c>
      <c r="C184" s="119">
        <v>103</v>
      </c>
      <c r="D184" s="124" t="s">
        <v>424</v>
      </c>
      <c r="E184" s="488" t="s">
        <v>372</v>
      </c>
      <c r="F184" s="488"/>
      <c r="G184" s="488" t="s">
        <v>373</v>
      </c>
      <c r="H184" s="488"/>
      <c r="I184" s="488"/>
      <c r="J184" s="488"/>
      <c r="K184" s="124" t="s">
        <v>278</v>
      </c>
      <c r="L184" s="125">
        <v>8</v>
      </c>
      <c r="M184" s="123" t="s">
        <v>45</v>
      </c>
      <c r="N184" s="117"/>
    </row>
    <row r="185" spans="1:14" ht="17.25" thickBot="1">
      <c r="A185" s="126" t="str">
        <f t="shared" si="5"/>
        <v>2025/07</v>
      </c>
      <c r="B185" s="127" t="str">
        <f t="shared" si="6"/>
        <v>2025/07忠孝7樓</v>
      </c>
      <c r="C185" s="119">
        <v>104</v>
      </c>
      <c r="D185" s="124" t="s">
        <v>424</v>
      </c>
      <c r="E185" s="488" t="s">
        <v>276</v>
      </c>
      <c r="F185" s="488"/>
      <c r="G185" s="488" t="s">
        <v>277</v>
      </c>
      <c r="H185" s="488"/>
      <c r="I185" s="488"/>
      <c r="J185" s="488"/>
      <c r="K185" s="124" t="s">
        <v>278</v>
      </c>
      <c r="L185" s="125">
        <v>78</v>
      </c>
      <c r="M185" s="123" t="s">
        <v>55</v>
      </c>
      <c r="N185" s="117"/>
    </row>
    <row r="186" spans="1:14" ht="17.25" thickBot="1">
      <c r="A186" s="126" t="str">
        <f t="shared" si="5"/>
        <v>2025/07</v>
      </c>
      <c r="B186" s="127" t="str">
        <f t="shared" si="6"/>
        <v>2025/07忠孝7樓</v>
      </c>
      <c r="C186" s="119">
        <v>105</v>
      </c>
      <c r="D186" s="124" t="s">
        <v>424</v>
      </c>
      <c r="E186" s="488" t="s">
        <v>273</v>
      </c>
      <c r="F186" s="488"/>
      <c r="G186" s="488" t="s">
        <v>274</v>
      </c>
      <c r="H186" s="488"/>
      <c r="I186" s="488"/>
      <c r="J186" s="488"/>
      <c r="K186" s="124" t="s">
        <v>275</v>
      </c>
      <c r="L186" s="125">
        <v>180</v>
      </c>
      <c r="M186" s="123" t="s">
        <v>52</v>
      </c>
      <c r="N186" s="117"/>
    </row>
    <row r="187" spans="1:14" ht="17.25" thickBot="1">
      <c r="A187" s="126" t="str">
        <f t="shared" si="5"/>
        <v>2025/07</v>
      </c>
      <c r="B187" s="127" t="str">
        <f t="shared" si="6"/>
        <v>2025/07忠孝7樓</v>
      </c>
      <c r="C187" s="119">
        <v>106</v>
      </c>
      <c r="D187" s="124" t="s">
        <v>424</v>
      </c>
      <c r="E187" s="488" t="s">
        <v>285</v>
      </c>
      <c r="F187" s="488"/>
      <c r="G187" s="488" t="s">
        <v>286</v>
      </c>
      <c r="H187" s="488"/>
      <c r="I187" s="488"/>
      <c r="J187" s="488"/>
      <c r="K187" s="124" t="s">
        <v>287</v>
      </c>
      <c r="L187" s="125">
        <v>6983</v>
      </c>
      <c r="M187" s="123" t="s">
        <v>89</v>
      </c>
      <c r="N187" s="117"/>
    </row>
    <row r="188" spans="1:14" ht="17.25" thickBot="1">
      <c r="A188" s="126" t="str">
        <f t="shared" si="5"/>
        <v>2025/07</v>
      </c>
      <c r="B188" s="127" t="str">
        <f t="shared" si="6"/>
        <v>2025/07忠孝7樓</v>
      </c>
      <c r="C188" s="119">
        <v>107</v>
      </c>
      <c r="D188" s="124" t="s">
        <v>424</v>
      </c>
      <c r="E188" s="488" t="s">
        <v>290</v>
      </c>
      <c r="F188" s="488"/>
      <c r="G188" s="488" t="s">
        <v>291</v>
      </c>
      <c r="H188" s="488"/>
      <c r="I188" s="488"/>
      <c r="J188" s="488"/>
      <c r="K188" s="124" t="s">
        <v>287</v>
      </c>
      <c r="L188" s="125">
        <v>21353</v>
      </c>
      <c r="M188" s="123" t="s">
        <v>91</v>
      </c>
      <c r="N188" s="117"/>
    </row>
    <row r="189" spans="1:14" ht="17.25" thickBot="1">
      <c r="A189" s="126" t="str">
        <f t="shared" si="5"/>
        <v>2025/07</v>
      </c>
      <c r="B189" s="127" t="str">
        <f t="shared" si="6"/>
        <v>2025/07忠孝7樓</v>
      </c>
      <c r="C189" s="119">
        <v>108</v>
      </c>
      <c r="D189" s="124" t="s">
        <v>424</v>
      </c>
      <c r="E189" s="488" t="s">
        <v>292</v>
      </c>
      <c r="F189" s="488"/>
      <c r="G189" s="488" t="s">
        <v>293</v>
      </c>
      <c r="H189" s="488"/>
      <c r="I189" s="488"/>
      <c r="J189" s="488"/>
      <c r="K189" s="124" t="s">
        <v>287</v>
      </c>
      <c r="L189" s="125">
        <v>42079</v>
      </c>
      <c r="M189" s="123" t="s">
        <v>92</v>
      </c>
      <c r="N189" s="117"/>
    </row>
    <row r="190" spans="1:14" ht="17.25" thickBot="1">
      <c r="A190" s="126" t="str">
        <f t="shared" si="5"/>
        <v>2025/07</v>
      </c>
      <c r="B190" s="127" t="str">
        <f t="shared" si="6"/>
        <v>2025/07忠孝7樓</v>
      </c>
      <c r="C190" s="119">
        <v>109</v>
      </c>
      <c r="D190" s="124" t="s">
        <v>424</v>
      </c>
      <c r="E190" s="488" t="s">
        <v>323</v>
      </c>
      <c r="F190" s="488"/>
      <c r="G190" s="488" t="s">
        <v>324</v>
      </c>
      <c r="H190" s="488"/>
      <c r="I190" s="488"/>
      <c r="J190" s="488"/>
      <c r="K190" s="124" t="s">
        <v>325</v>
      </c>
      <c r="L190" s="125">
        <v>13307</v>
      </c>
      <c r="M190" s="123" t="s">
        <v>93</v>
      </c>
      <c r="N190" s="117"/>
    </row>
    <row r="191" spans="1:14" ht="17.25" thickBot="1">
      <c r="A191" s="126" t="str">
        <f t="shared" si="5"/>
        <v>2025/07</v>
      </c>
      <c r="B191" s="127" t="str">
        <f t="shared" si="6"/>
        <v>2025/07忠孝7樓</v>
      </c>
      <c r="C191" s="119">
        <v>110</v>
      </c>
      <c r="D191" s="124" t="s">
        <v>424</v>
      </c>
      <c r="E191" s="488" t="s">
        <v>370</v>
      </c>
      <c r="F191" s="488"/>
      <c r="G191" s="488" t="s">
        <v>371</v>
      </c>
      <c r="H191" s="488"/>
      <c r="I191" s="488"/>
      <c r="J191" s="488"/>
      <c r="K191" s="124" t="s">
        <v>287</v>
      </c>
      <c r="L191" s="125">
        <v>200</v>
      </c>
      <c r="M191" s="123" t="s">
        <v>669</v>
      </c>
      <c r="N191" s="117"/>
    </row>
    <row r="192" spans="1:14" ht="17.25" thickBot="1">
      <c r="A192" s="126" t="str">
        <f t="shared" si="5"/>
        <v>2025/07</v>
      </c>
      <c r="B192" s="127" t="str">
        <f t="shared" si="6"/>
        <v>2025/07忠孝7樓</v>
      </c>
      <c r="C192" s="119">
        <v>111</v>
      </c>
      <c r="D192" s="124" t="s">
        <v>424</v>
      </c>
      <c r="E192" s="488" t="s">
        <v>338</v>
      </c>
      <c r="F192" s="488"/>
      <c r="G192" s="488" t="s">
        <v>339</v>
      </c>
      <c r="H192" s="488"/>
      <c r="I192" s="488"/>
      <c r="J192" s="488"/>
      <c r="K192" s="124" t="s">
        <v>287</v>
      </c>
      <c r="L192" s="125">
        <v>1802</v>
      </c>
      <c r="M192" s="123" t="s">
        <v>95</v>
      </c>
      <c r="N192" s="117"/>
    </row>
    <row r="193" spans="1:14" ht="17.25" thickBot="1">
      <c r="A193" s="126" t="str">
        <f t="shared" si="5"/>
        <v>2025/07</v>
      </c>
      <c r="B193" s="127" t="str">
        <f t="shared" si="6"/>
        <v>2025/07忠孝7樓</v>
      </c>
      <c r="C193" s="119">
        <v>112</v>
      </c>
      <c r="D193" s="124" t="s">
        <v>424</v>
      </c>
      <c r="E193" s="488" t="s">
        <v>326</v>
      </c>
      <c r="F193" s="488"/>
      <c r="G193" s="488" t="s">
        <v>327</v>
      </c>
      <c r="H193" s="488"/>
      <c r="I193" s="488"/>
      <c r="J193" s="488"/>
      <c r="K193" s="124" t="s">
        <v>287</v>
      </c>
      <c r="L193" s="125">
        <v>4880</v>
      </c>
      <c r="M193" s="123" t="s">
        <v>97</v>
      </c>
      <c r="N193" s="117"/>
    </row>
    <row r="194" spans="1:14" ht="17.25" thickBot="1">
      <c r="A194" s="126" t="str">
        <f t="shared" si="5"/>
        <v>2025/07</v>
      </c>
      <c r="B194" s="127" t="str">
        <f t="shared" si="6"/>
        <v>2025/07忠孝7樓</v>
      </c>
      <c r="C194" s="119">
        <v>113</v>
      </c>
      <c r="D194" s="124" t="s">
        <v>424</v>
      </c>
      <c r="E194" s="488" t="s">
        <v>328</v>
      </c>
      <c r="F194" s="488"/>
      <c r="G194" s="488" t="s">
        <v>329</v>
      </c>
      <c r="H194" s="488"/>
      <c r="I194" s="488"/>
      <c r="J194" s="488"/>
      <c r="K194" s="124" t="s">
        <v>287</v>
      </c>
      <c r="L194" s="125">
        <v>11389</v>
      </c>
      <c r="M194" s="123" t="s">
        <v>98</v>
      </c>
      <c r="N194" s="117"/>
    </row>
    <row r="195" spans="1:14" ht="17.25" thickBot="1">
      <c r="A195" s="126" t="str">
        <f t="shared" ref="A195:A258" si="7">IFERROR(LEFT(B195,7),"")</f>
        <v>2025/07</v>
      </c>
      <c r="B195" s="127" t="str">
        <f t="shared" si="6"/>
        <v>2025/07忠孝7樓</v>
      </c>
      <c r="C195" s="119">
        <v>114</v>
      </c>
      <c r="D195" s="124" t="s">
        <v>424</v>
      </c>
      <c r="E195" s="488" t="s">
        <v>330</v>
      </c>
      <c r="F195" s="488"/>
      <c r="G195" s="488" t="s">
        <v>331</v>
      </c>
      <c r="H195" s="488"/>
      <c r="I195" s="488"/>
      <c r="J195" s="488"/>
      <c r="K195" s="124" t="s">
        <v>287</v>
      </c>
      <c r="L195" s="125">
        <v>4631</v>
      </c>
      <c r="M195" s="123" t="s">
        <v>99</v>
      </c>
      <c r="N195" s="117"/>
    </row>
    <row r="196" spans="1:14" ht="17.25" thickBot="1">
      <c r="A196" s="126" t="str">
        <f t="shared" si="7"/>
        <v>2025/07</v>
      </c>
      <c r="B196" s="127" t="str">
        <f t="shared" si="6"/>
        <v>2025/07忠孝7樓</v>
      </c>
      <c r="C196" s="119">
        <v>115</v>
      </c>
      <c r="D196" s="124" t="s">
        <v>424</v>
      </c>
      <c r="E196" s="488" t="s">
        <v>302</v>
      </c>
      <c r="F196" s="488"/>
      <c r="G196" s="488" t="s">
        <v>303</v>
      </c>
      <c r="H196" s="488"/>
      <c r="I196" s="488"/>
      <c r="J196" s="488"/>
      <c r="K196" s="124" t="s">
        <v>304</v>
      </c>
      <c r="L196" s="125">
        <v>4400</v>
      </c>
      <c r="M196" s="123" t="s">
        <v>81</v>
      </c>
      <c r="N196" s="117"/>
    </row>
    <row r="197" spans="1:14" ht="17.25" thickBot="1">
      <c r="A197" s="126" t="str">
        <f t="shared" si="7"/>
        <v>2025/07</v>
      </c>
      <c r="B197" s="127" t="str">
        <f t="shared" si="6"/>
        <v>2025/07忠孝7樓</v>
      </c>
      <c r="C197" s="119">
        <v>116</v>
      </c>
      <c r="D197" s="124" t="s">
        <v>424</v>
      </c>
      <c r="E197" s="488" t="s">
        <v>363</v>
      </c>
      <c r="F197" s="488"/>
      <c r="G197" s="488" t="s">
        <v>364</v>
      </c>
      <c r="H197" s="488"/>
      <c r="I197" s="488"/>
      <c r="J197" s="488"/>
      <c r="K197" s="124" t="s">
        <v>365</v>
      </c>
      <c r="L197" s="125">
        <v>18000</v>
      </c>
      <c r="M197" s="123" t="s">
        <v>85</v>
      </c>
      <c r="N197" s="117"/>
    </row>
    <row r="198" spans="1:14" ht="17.25" thickBot="1">
      <c r="A198" s="126" t="str">
        <f t="shared" si="7"/>
        <v>2025/07</v>
      </c>
      <c r="B198" s="127" t="str">
        <f t="shared" si="6"/>
        <v>2025/07忠孝7樓</v>
      </c>
      <c r="C198" s="119">
        <v>117</v>
      </c>
      <c r="D198" s="124" t="s">
        <v>424</v>
      </c>
      <c r="E198" s="488" t="s">
        <v>279</v>
      </c>
      <c r="F198" s="488"/>
      <c r="G198" s="488" t="s">
        <v>280</v>
      </c>
      <c r="H198" s="488"/>
      <c r="I198" s="488"/>
      <c r="J198" s="488"/>
      <c r="K198" s="124" t="s">
        <v>281</v>
      </c>
      <c r="L198" s="125">
        <v>162628</v>
      </c>
      <c r="M198" s="123" t="s">
        <v>111</v>
      </c>
      <c r="N198" s="117"/>
    </row>
    <row r="199" spans="1:14" ht="17.25" thickBot="1">
      <c r="A199" s="126" t="str">
        <f t="shared" si="7"/>
        <v>2025/07</v>
      </c>
      <c r="B199" s="127" t="str">
        <f t="shared" si="6"/>
        <v>2025/07忠孝7樓</v>
      </c>
      <c r="C199" s="119">
        <v>118</v>
      </c>
      <c r="D199" s="124" t="s">
        <v>424</v>
      </c>
      <c r="E199" s="488" t="s">
        <v>288</v>
      </c>
      <c r="F199" s="488"/>
      <c r="G199" s="488" t="s">
        <v>289</v>
      </c>
      <c r="H199" s="488"/>
      <c r="I199" s="488"/>
      <c r="J199" s="488"/>
      <c r="K199" s="124" t="s">
        <v>281</v>
      </c>
      <c r="L199" s="125">
        <v>98476</v>
      </c>
      <c r="M199" s="123" t="s">
        <v>115</v>
      </c>
      <c r="N199" s="117"/>
    </row>
    <row r="200" spans="1:14" ht="17.25" thickBot="1">
      <c r="A200" s="126" t="str">
        <f t="shared" si="7"/>
        <v>2025/07</v>
      </c>
      <c r="B200" s="127" t="str">
        <f t="shared" si="6"/>
        <v>2025/07忠孝7樓</v>
      </c>
      <c r="C200" s="119">
        <v>119</v>
      </c>
      <c r="D200" s="124" t="s">
        <v>424</v>
      </c>
      <c r="E200" s="488" t="s">
        <v>332</v>
      </c>
      <c r="F200" s="488"/>
      <c r="G200" s="488" t="s">
        <v>333</v>
      </c>
      <c r="H200" s="488"/>
      <c r="I200" s="488"/>
      <c r="J200" s="488"/>
      <c r="K200" s="124" t="s">
        <v>334</v>
      </c>
      <c r="L200" s="125">
        <v>20201</v>
      </c>
      <c r="M200" s="123" t="s">
        <v>77</v>
      </c>
      <c r="N200" s="117"/>
    </row>
    <row r="201" spans="1:14" ht="17.25" thickBot="1">
      <c r="A201" s="126" t="str">
        <f t="shared" si="7"/>
        <v>2025/07</v>
      </c>
      <c r="B201" s="127" t="str">
        <f t="shared" si="6"/>
        <v>2025/07忠孝7樓</v>
      </c>
      <c r="C201" s="119">
        <v>120</v>
      </c>
      <c r="D201" s="124" t="s">
        <v>424</v>
      </c>
      <c r="E201" s="488" t="s">
        <v>335</v>
      </c>
      <c r="F201" s="488"/>
      <c r="G201" s="488" t="s">
        <v>336</v>
      </c>
      <c r="H201" s="488"/>
      <c r="I201" s="488"/>
      <c r="J201" s="488"/>
      <c r="K201" s="124" t="s">
        <v>337</v>
      </c>
      <c r="L201" s="125">
        <v>5400</v>
      </c>
      <c r="M201" s="123" t="s">
        <v>80</v>
      </c>
      <c r="N201" s="117"/>
    </row>
    <row r="202" spans="1:14" ht="17.25" thickBot="1">
      <c r="A202" s="126" t="str">
        <f t="shared" si="7"/>
        <v>2025/07</v>
      </c>
      <c r="B202" s="127" t="str">
        <f t="shared" si="6"/>
        <v>2025/07忠孝7樓</v>
      </c>
      <c r="C202" s="119">
        <v>121</v>
      </c>
      <c r="D202" s="124" t="s">
        <v>424</v>
      </c>
      <c r="E202" s="488" t="s">
        <v>351</v>
      </c>
      <c r="F202" s="488"/>
      <c r="G202" s="488" t="s">
        <v>352</v>
      </c>
      <c r="H202" s="488"/>
      <c r="I202" s="488"/>
      <c r="J202" s="488"/>
      <c r="K202" s="124" t="s">
        <v>353</v>
      </c>
      <c r="L202" s="125">
        <v>4</v>
      </c>
      <c r="M202" s="123" t="s">
        <v>27</v>
      </c>
      <c r="N202" s="117"/>
    </row>
    <row r="203" spans="1:14" ht="17.25" thickBot="1">
      <c r="A203" s="126" t="str">
        <f t="shared" si="7"/>
        <v>2025/07</v>
      </c>
      <c r="B203" s="127" t="str">
        <f t="shared" si="6"/>
        <v>2025/07忠孝7樓</v>
      </c>
      <c r="C203" s="119">
        <v>122</v>
      </c>
      <c r="D203" s="124" t="s">
        <v>424</v>
      </c>
      <c r="E203" s="488" t="s">
        <v>357</v>
      </c>
      <c r="F203" s="488"/>
      <c r="G203" s="488" t="s">
        <v>358</v>
      </c>
      <c r="H203" s="488"/>
      <c r="I203" s="488"/>
      <c r="J203" s="488"/>
      <c r="K203" s="124" t="s">
        <v>353</v>
      </c>
      <c r="L203" s="125">
        <v>4</v>
      </c>
      <c r="M203" s="123" t="s">
        <v>28</v>
      </c>
      <c r="N203" s="117"/>
    </row>
    <row r="204" spans="1:14" ht="17.25" thickBot="1">
      <c r="A204" s="126" t="str">
        <f t="shared" si="7"/>
        <v>2025/07</v>
      </c>
      <c r="B204" s="127" t="str">
        <f t="shared" si="6"/>
        <v>2025/07忠孝7樓</v>
      </c>
      <c r="C204" s="119">
        <v>123</v>
      </c>
      <c r="D204" s="124" t="s">
        <v>424</v>
      </c>
      <c r="E204" s="488" t="s">
        <v>340</v>
      </c>
      <c r="F204" s="488"/>
      <c r="G204" s="488" t="s">
        <v>341</v>
      </c>
      <c r="H204" s="488"/>
      <c r="I204" s="488"/>
      <c r="J204" s="488"/>
      <c r="K204" s="124" t="s">
        <v>342</v>
      </c>
      <c r="L204" s="125">
        <v>8</v>
      </c>
      <c r="M204" s="123"/>
      <c r="N204" s="117"/>
    </row>
    <row r="205" spans="1:14" ht="17.25" thickBot="1">
      <c r="A205" s="126" t="str">
        <f t="shared" si="7"/>
        <v>2025/07</v>
      </c>
      <c r="B205" s="127" t="str">
        <f t="shared" si="6"/>
        <v>2025/07忠孝7樓</v>
      </c>
      <c r="C205" s="119">
        <v>124</v>
      </c>
      <c r="D205" s="124" t="s">
        <v>424</v>
      </c>
      <c r="E205" s="488" t="s">
        <v>354</v>
      </c>
      <c r="F205" s="488"/>
      <c r="G205" s="488" t="s">
        <v>355</v>
      </c>
      <c r="H205" s="488"/>
      <c r="I205" s="488"/>
      <c r="J205" s="488"/>
      <c r="K205" s="124" t="s">
        <v>356</v>
      </c>
      <c r="L205" s="125">
        <v>5</v>
      </c>
      <c r="M205" s="123" t="s">
        <v>650</v>
      </c>
      <c r="N205" s="117"/>
    </row>
    <row r="206" spans="1:14" ht="17.25" thickBot="1">
      <c r="A206" s="126" t="str">
        <f t="shared" si="7"/>
        <v>2025/07</v>
      </c>
      <c r="B206" s="127" t="str">
        <f t="shared" si="6"/>
        <v>2025/07忠孝7樓</v>
      </c>
      <c r="C206" s="119">
        <v>125</v>
      </c>
      <c r="D206" s="124" t="s">
        <v>424</v>
      </c>
      <c r="E206" s="488" t="s">
        <v>425</v>
      </c>
      <c r="F206" s="488"/>
      <c r="G206" s="488" t="s">
        <v>426</v>
      </c>
      <c r="H206" s="488"/>
      <c r="I206" s="488"/>
      <c r="J206" s="488"/>
      <c r="K206" s="124" t="s">
        <v>269</v>
      </c>
      <c r="L206" s="125">
        <v>4</v>
      </c>
      <c r="M206" s="123" t="s">
        <v>29</v>
      </c>
      <c r="N206" s="117"/>
    </row>
    <row r="207" spans="1:14" ht="17.25" thickBot="1">
      <c r="A207" s="126" t="str">
        <f t="shared" si="7"/>
        <v>2025/07</v>
      </c>
      <c r="B207" s="127" t="str">
        <f t="shared" si="6"/>
        <v>2025/07忠孝7樓</v>
      </c>
      <c r="C207" s="119">
        <v>126</v>
      </c>
      <c r="D207" s="124" t="s">
        <v>424</v>
      </c>
      <c r="E207" s="488" t="s">
        <v>309</v>
      </c>
      <c r="F207" s="488"/>
      <c r="G207" s="488" t="s">
        <v>310</v>
      </c>
      <c r="H207" s="488"/>
      <c r="I207" s="488"/>
      <c r="J207" s="488"/>
      <c r="K207" s="124" t="s">
        <v>269</v>
      </c>
      <c r="L207" s="125">
        <v>30</v>
      </c>
      <c r="M207" s="123" t="s">
        <v>30</v>
      </c>
      <c r="N207" s="117"/>
    </row>
    <row r="208" spans="1:14" ht="17.25" thickBot="1">
      <c r="A208" s="126" t="str">
        <f t="shared" si="7"/>
        <v>2025/07</v>
      </c>
      <c r="B208" s="127" t="str">
        <f t="shared" si="6"/>
        <v>2025/07忠孝7樓</v>
      </c>
      <c r="C208" s="119">
        <v>127</v>
      </c>
      <c r="D208" s="124" t="s">
        <v>424</v>
      </c>
      <c r="E208" s="488" t="s">
        <v>267</v>
      </c>
      <c r="F208" s="488"/>
      <c r="G208" s="488" t="s">
        <v>268</v>
      </c>
      <c r="H208" s="488"/>
      <c r="I208" s="488"/>
      <c r="J208" s="488"/>
      <c r="K208" s="124" t="s">
        <v>269</v>
      </c>
      <c r="L208" s="125">
        <v>3</v>
      </c>
      <c r="M208" s="123" t="s">
        <v>33</v>
      </c>
      <c r="N208" s="117"/>
    </row>
    <row r="209" spans="1:14" ht="17.25" thickBot="1">
      <c r="A209" s="126" t="str">
        <f t="shared" si="7"/>
        <v>2025/07</v>
      </c>
      <c r="B209" s="127" t="str">
        <f t="shared" si="6"/>
        <v>2025/07忠孝7樓</v>
      </c>
      <c r="C209" s="119">
        <v>128</v>
      </c>
      <c r="D209" s="124" t="s">
        <v>424</v>
      </c>
      <c r="E209" s="488" t="s">
        <v>237</v>
      </c>
      <c r="F209" s="488"/>
      <c r="G209" s="488" t="s">
        <v>238</v>
      </c>
      <c r="H209" s="488"/>
      <c r="I209" s="488"/>
      <c r="J209" s="488"/>
      <c r="K209" s="124" t="s">
        <v>239</v>
      </c>
      <c r="L209" s="125">
        <v>446</v>
      </c>
      <c r="M209" s="123" t="s">
        <v>117</v>
      </c>
      <c r="N209" s="117"/>
    </row>
    <row r="210" spans="1:14" ht="17.25" thickBot="1">
      <c r="A210" s="126" t="str">
        <f t="shared" si="7"/>
        <v>2025/07</v>
      </c>
      <c r="B210" s="127" t="str">
        <f t="shared" ref="B210:B232" si="8">"2025/07"&amp;D210</f>
        <v>2025/07忠孝7樓</v>
      </c>
      <c r="C210" s="119">
        <v>129</v>
      </c>
      <c r="D210" s="124" t="s">
        <v>424</v>
      </c>
      <c r="E210" s="488" t="s">
        <v>240</v>
      </c>
      <c r="F210" s="488"/>
      <c r="G210" s="488" t="s">
        <v>241</v>
      </c>
      <c r="H210" s="488"/>
      <c r="I210" s="488"/>
      <c r="J210" s="488"/>
      <c r="K210" s="124" t="s">
        <v>239</v>
      </c>
      <c r="L210" s="125">
        <v>446</v>
      </c>
      <c r="M210" s="123" t="s">
        <v>120</v>
      </c>
      <c r="N210" s="117"/>
    </row>
    <row r="211" spans="1:14" ht="17.25" thickBot="1">
      <c r="A211" s="126" t="str">
        <f t="shared" si="7"/>
        <v>2025/07</v>
      </c>
      <c r="B211" s="127" t="str">
        <f t="shared" si="8"/>
        <v>2025/07忠孝7樓</v>
      </c>
      <c r="C211" s="119">
        <v>130</v>
      </c>
      <c r="D211" s="124" t="s">
        <v>424</v>
      </c>
      <c r="E211" s="488" t="s">
        <v>242</v>
      </c>
      <c r="F211" s="488"/>
      <c r="G211" s="488" t="s">
        <v>243</v>
      </c>
      <c r="H211" s="488"/>
      <c r="I211" s="488"/>
      <c r="J211" s="488"/>
      <c r="K211" s="124" t="s">
        <v>239</v>
      </c>
      <c r="L211" s="125">
        <v>446</v>
      </c>
      <c r="M211" s="123" t="s">
        <v>121</v>
      </c>
      <c r="N211" s="117"/>
    </row>
    <row r="212" spans="1:14" ht="17.25" thickBot="1">
      <c r="A212" s="126" t="str">
        <f t="shared" si="7"/>
        <v>2025/07</v>
      </c>
      <c r="B212" s="127" t="str">
        <f t="shared" si="8"/>
        <v>2025/07忠孝7樓</v>
      </c>
      <c r="C212" s="119">
        <v>131</v>
      </c>
      <c r="D212" s="124" t="s">
        <v>424</v>
      </c>
      <c r="E212" s="488" t="s">
        <v>244</v>
      </c>
      <c r="F212" s="488"/>
      <c r="G212" s="488" t="s">
        <v>245</v>
      </c>
      <c r="H212" s="488"/>
      <c r="I212" s="488"/>
      <c r="J212" s="488"/>
      <c r="K212" s="124" t="s">
        <v>42</v>
      </c>
      <c r="L212" s="125">
        <v>6690</v>
      </c>
      <c r="M212" s="123" t="s">
        <v>123</v>
      </c>
      <c r="N212" s="117"/>
    </row>
    <row r="213" spans="1:14" ht="17.25" thickBot="1">
      <c r="A213" s="126" t="str">
        <f t="shared" si="7"/>
        <v>2025/07</v>
      </c>
      <c r="B213" s="127" t="str">
        <f t="shared" si="8"/>
        <v>2025/07忠孝7樓</v>
      </c>
      <c r="C213" s="119">
        <v>132</v>
      </c>
      <c r="D213" s="124" t="s">
        <v>424</v>
      </c>
      <c r="E213" s="488" t="s">
        <v>246</v>
      </c>
      <c r="F213" s="488"/>
      <c r="G213" s="488" t="s">
        <v>247</v>
      </c>
      <c r="H213" s="488"/>
      <c r="I213" s="488"/>
      <c r="J213" s="488"/>
      <c r="K213" s="124" t="s">
        <v>42</v>
      </c>
      <c r="L213" s="125">
        <v>6690</v>
      </c>
      <c r="M213" s="123" t="s">
        <v>127</v>
      </c>
      <c r="N213" s="117"/>
    </row>
    <row r="214" spans="1:14" ht="17.25" thickBot="1">
      <c r="A214" s="126" t="str">
        <f t="shared" si="7"/>
        <v>2025/07</v>
      </c>
      <c r="B214" s="127" t="str">
        <f t="shared" si="8"/>
        <v>2025/07忠孝7樓</v>
      </c>
      <c r="C214" s="119">
        <v>133</v>
      </c>
      <c r="D214" s="124" t="s">
        <v>424</v>
      </c>
      <c r="E214" s="488" t="s">
        <v>248</v>
      </c>
      <c r="F214" s="488"/>
      <c r="G214" s="488" t="s">
        <v>249</v>
      </c>
      <c r="H214" s="488"/>
      <c r="I214" s="488"/>
      <c r="J214" s="488"/>
      <c r="K214" s="124" t="s">
        <v>42</v>
      </c>
      <c r="L214" s="125">
        <v>6690</v>
      </c>
      <c r="M214" s="123" t="s">
        <v>129</v>
      </c>
      <c r="N214" s="117"/>
    </row>
    <row r="215" spans="1:14" ht="33.75" thickBot="1">
      <c r="A215" s="126" t="str">
        <f t="shared" si="7"/>
        <v>2025/07</v>
      </c>
      <c r="B215" s="127" t="str">
        <f t="shared" si="8"/>
        <v>2025/07忠孝國際醫學3樓</v>
      </c>
      <c r="C215" s="119">
        <v>134</v>
      </c>
      <c r="D215" s="124" t="s">
        <v>850</v>
      </c>
      <c r="E215" s="488" t="s">
        <v>392</v>
      </c>
      <c r="F215" s="488"/>
      <c r="G215" s="488" t="s">
        <v>393</v>
      </c>
      <c r="H215" s="488"/>
      <c r="I215" s="488"/>
      <c r="J215" s="488"/>
      <c r="K215" s="124" t="s">
        <v>382</v>
      </c>
      <c r="L215" s="125">
        <v>165</v>
      </c>
      <c r="M215" s="123" t="s">
        <v>152</v>
      </c>
      <c r="N215" s="117"/>
    </row>
    <row r="216" spans="1:14" ht="33.75" thickBot="1">
      <c r="A216" s="126" t="str">
        <f t="shared" si="7"/>
        <v>2025/07</v>
      </c>
      <c r="B216" s="127" t="str">
        <f t="shared" si="8"/>
        <v>2025/07忠孝國際醫學3樓</v>
      </c>
      <c r="C216" s="119">
        <v>135</v>
      </c>
      <c r="D216" s="124" t="s">
        <v>850</v>
      </c>
      <c r="E216" s="488" t="s">
        <v>380</v>
      </c>
      <c r="F216" s="488"/>
      <c r="G216" s="488" t="s">
        <v>381</v>
      </c>
      <c r="H216" s="488"/>
      <c r="I216" s="488"/>
      <c r="J216" s="488"/>
      <c r="K216" s="124" t="s">
        <v>382</v>
      </c>
      <c r="L216" s="125">
        <v>210</v>
      </c>
      <c r="M216" s="123" t="s">
        <v>155</v>
      </c>
      <c r="N216" s="117"/>
    </row>
    <row r="217" spans="1:14" ht="33.75" thickBot="1">
      <c r="A217" s="126" t="str">
        <f t="shared" si="7"/>
        <v>2025/07</v>
      </c>
      <c r="B217" s="127" t="str">
        <f t="shared" si="8"/>
        <v>2025/07忠孝國際醫學3樓</v>
      </c>
      <c r="C217" s="119">
        <v>136</v>
      </c>
      <c r="D217" s="124" t="s">
        <v>850</v>
      </c>
      <c r="E217" s="488" t="s">
        <v>360</v>
      </c>
      <c r="F217" s="488"/>
      <c r="G217" s="488" t="s">
        <v>361</v>
      </c>
      <c r="H217" s="488"/>
      <c r="I217" s="488"/>
      <c r="J217" s="488"/>
      <c r="K217" s="124" t="s">
        <v>362</v>
      </c>
      <c r="L217" s="125">
        <v>9</v>
      </c>
      <c r="M217" s="123" t="s">
        <v>653</v>
      </c>
      <c r="N217" s="117"/>
    </row>
    <row r="218" spans="1:14" ht="33.75" thickBot="1">
      <c r="A218" s="126" t="str">
        <f t="shared" si="7"/>
        <v>2025/07</v>
      </c>
      <c r="B218" s="127" t="str">
        <f t="shared" si="8"/>
        <v>2025/07忠孝國際醫學3樓</v>
      </c>
      <c r="C218" s="119">
        <v>137</v>
      </c>
      <c r="D218" s="124" t="s">
        <v>850</v>
      </c>
      <c r="E218" s="488" t="s">
        <v>383</v>
      </c>
      <c r="F218" s="488"/>
      <c r="G218" s="488" t="s">
        <v>384</v>
      </c>
      <c r="H218" s="488"/>
      <c r="I218" s="488"/>
      <c r="J218" s="488"/>
      <c r="K218" s="124" t="s">
        <v>385</v>
      </c>
      <c r="L218" s="125">
        <v>91</v>
      </c>
      <c r="M218" s="123" t="s">
        <v>654</v>
      </c>
      <c r="N218" s="117"/>
    </row>
    <row r="219" spans="1:14" ht="33.75" thickBot="1">
      <c r="A219" s="126" t="str">
        <f t="shared" si="7"/>
        <v>2025/07</v>
      </c>
      <c r="B219" s="127" t="str">
        <f t="shared" si="8"/>
        <v>2025/07忠孝國際醫學3樓</v>
      </c>
      <c r="C219" s="119">
        <v>138</v>
      </c>
      <c r="D219" s="124" t="s">
        <v>850</v>
      </c>
      <c r="E219" s="488" t="s">
        <v>394</v>
      </c>
      <c r="F219" s="488"/>
      <c r="G219" s="488" t="s">
        <v>395</v>
      </c>
      <c r="H219" s="488"/>
      <c r="I219" s="488"/>
      <c r="J219" s="488"/>
      <c r="K219" s="124" t="s">
        <v>272</v>
      </c>
      <c r="L219" s="125">
        <v>1</v>
      </c>
      <c r="M219" s="123" t="s">
        <v>655</v>
      </c>
      <c r="N219" s="117"/>
    </row>
    <row r="220" spans="1:14" ht="33.75" thickBot="1">
      <c r="A220" s="126" t="str">
        <f t="shared" si="7"/>
        <v>2025/07</v>
      </c>
      <c r="B220" s="127" t="str">
        <f t="shared" si="8"/>
        <v>2025/07忠孝國際醫學3樓</v>
      </c>
      <c r="C220" s="119">
        <v>139</v>
      </c>
      <c r="D220" s="124" t="s">
        <v>850</v>
      </c>
      <c r="E220" s="488" t="s">
        <v>403</v>
      </c>
      <c r="F220" s="488"/>
      <c r="G220" s="488" t="s">
        <v>404</v>
      </c>
      <c r="H220" s="488"/>
      <c r="I220" s="488"/>
      <c r="J220" s="488"/>
      <c r="K220" s="124" t="s">
        <v>405</v>
      </c>
      <c r="L220" s="125">
        <v>1</v>
      </c>
      <c r="M220" s="123" t="s">
        <v>656</v>
      </c>
      <c r="N220" s="117"/>
    </row>
    <row r="221" spans="1:14" ht="33.75" thickBot="1">
      <c r="A221" s="126" t="str">
        <f t="shared" si="7"/>
        <v>2025/07</v>
      </c>
      <c r="B221" s="127" t="str">
        <f t="shared" si="8"/>
        <v>2025/07忠孝國際醫學3樓</v>
      </c>
      <c r="C221" s="119">
        <v>140</v>
      </c>
      <c r="D221" s="124" t="s">
        <v>850</v>
      </c>
      <c r="E221" s="488" t="s">
        <v>406</v>
      </c>
      <c r="F221" s="488"/>
      <c r="G221" s="488" t="s">
        <v>407</v>
      </c>
      <c r="H221" s="488"/>
      <c r="I221" s="488"/>
      <c r="J221" s="488"/>
      <c r="K221" s="124" t="s">
        <v>385</v>
      </c>
      <c r="L221" s="125">
        <v>1</v>
      </c>
      <c r="M221" s="123" t="s">
        <v>657</v>
      </c>
      <c r="N221" s="117"/>
    </row>
    <row r="222" spans="1:14" ht="33.75" thickBot="1">
      <c r="A222" s="126" t="str">
        <f t="shared" si="7"/>
        <v>2025/07</v>
      </c>
      <c r="B222" s="127" t="str">
        <f t="shared" si="8"/>
        <v>2025/07忠孝國際醫學3樓</v>
      </c>
      <c r="C222" s="119">
        <v>141</v>
      </c>
      <c r="D222" s="124" t="s">
        <v>850</v>
      </c>
      <c r="E222" s="488" t="s">
        <v>408</v>
      </c>
      <c r="F222" s="488"/>
      <c r="G222" s="488" t="s">
        <v>409</v>
      </c>
      <c r="H222" s="488"/>
      <c r="I222" s="488"/>
      <c r="J222" s="488"/>
      <c r="K222" s="124" t="s">
        <v>410</v>
      </c>
      <c r="L222" s="125">
        <v>2</v>
      </c>
      <c r="M222" s="123" t="s">
        <v>658</v>
      </c>
      <c r="N222" s="117"/>
    </row>
    <row r="223" spans="1:14" ht="33.75" thickBot="1">
      <c r="A223" s="126" t="str">
        <f t="shared" si="7"/>
        <v>2025/07</v>
      </c>
      <c r="B223" s="127" t="str">
        <f t="shared" si="8"/>
        <v>2025/07忠孝國際醫學3樓</v>
      </c>
      <c r="C223" s="119">
        <v>142</v>
      </c>
      <c r="D223" s="124" t="s">
        <v>850</v>
      </c>
      <c r="E223" s="488" t="s">
        <v>255</v>
      </c>
      <c r="F223" s="488"/>
      <c r="G223" s="488" t="s">
        <v>256</v>
      </c>
      <c r="H223" s="488"/>
      <c r="I223" s="488"/>
      <c r="J223" s="488"/>
      <c r="K223" s="124" t="s">
        <v>257</v>
      </c>
      <c r="L223" s="125">
        <v>242</v>
      </c>
      <c r="M223" s="123" t="s">
        <v>660</v>
      </c>
      <c r="N223" s="117"/>
    </row>
    <row r="224" spans="1:14" ht="33.75" thickBot="1">
      <c r="A224" s="126" t="str">
        <f t="shared" si="7"/>
        <v>2025/07</v>
      </c>
      <c r="B224" s="127" t="str">
        <f t="shared" si="8"/>
        <v>2025/07忠孝國際醫學3樓</v>
      </c>
      <c r="C224" s="119">
        <v>143</v>
      </c>
      <c r="D224" s="124" t="s">
        <v>850</v>
      </c>
      <c r="E224" s="488" t="s">
        <v>258</v>
      </c>
      <c r="F224" s="488"/>
      <c r="G224" s="488" t="s">
        <v>259</v>
      </c>
      <c r="H224" s="488"/>
      <c r="I224" s="488"/>
      <c r="J224" s="488"/>
      <c r="K224" s="124"/>
      <c r="L224" s="125">
        <v>33</v>
      </c>
      <c r="M224" s="123" t="s">
        <v>661</v>
      </c>
      <c r="N224" s="117"/>
    </row>
    <row r="225" spans="1:14" ht="33.75" thickBot="1">
      <c r="A225" s="126" t="str">
        <f t="shared" si="7"/>
        <v>2025/07</v>
      </c>
      <c r="B225" s="127" t="str">
        <f t="shared" si="8"/>
        <v>2025/07忠孝國際醫學3樓</v>
      </c>
      <c r="C225" s="119">
        <v>144</v>
      </c>
      <c r="D225" s="124" t="s">
        <v>850</v>
      </c>
      <c r="E225" s="488" t="s">
        <v>260</v>
      </c>
      <c r="F225" s="488"/>
      <c r="G225" s="488" t="s">
        <v>261</v>
      </c>
      <c r="H225" s="488"/>
      <c r="I225" s="488"/>
      <c r="J225" s="488"/>
      <c r="K225" s="124" t="s">
        <v>254</v>
      </c>
      <c r="L225" s="125">
        <v>33</v>
      </c>
      <c r="M225" s="123" t="s">
        <v>662</v>
      </c>
      <c r="N225" s="117"/>
    </row>
    <row r="226" spans="1:14" ht="33.75" thickBot="1">
      <c r="A226" s="126" t="str">
        <f t="shared" si="7"/>
        <v>2025/07</v>
      </c>
      <c r="B226" s="127" t="str">
        <f t="shared" si="8"/>
        <v>2025/07忠孝國際醫學3樓</v>
      </c>
      <c r="C226" s="119">
        <v>145</v>
      </c>
      <c r="D226" s="124" t="s">
        <v>850</v>
      </c>
      <c r="E226" s="488" t="s">
        <v>252</v>
      </c>
      <c r="F226" s="488"/>
      <c r="G226" s="488" t="s">
        <v>253</v>
      </c>
      <c r="H226" s="488"/>
      <c r="I226" s="488"/>
      <c r="J226" s="488"/>
      <c r="K226" s="124" t="s">
        <v>254</v>
      </c>
      <c r="L226" s="125">
        <v>33</v>
      </c>
      <c r="M226" s="123" t="s">
        <v>665</v>
      </c>
      <c r="N226" s="117"/>
    </row>
    <row r="227" spans="1:14" ht="33.75" thickBot="1">
      <c r="A227" s="126" t="str">
        <f t="shared" si="7"/>
        <v>2025/07</v>
      </c>
      <c r="B227" s="127" t="str">
        <f t="shared" si="8"/>
        <v>2025/07忠孝國際醫學3樓</v>
      </c>
      <c r="C227" s="119">
        <v>146</v>
      </c>
      <c r="D227" s="124" t="s">
        <v>850</v>
      </c>
      <c r="E227" s="488" t="s">
        <v>386</v>
      </c>
      <c r="F227" s="488"/>
      <c r="G227" s="488" t="s">
        <v>387</v>
      </c>
      <c r="H227" s="488"/>
      <c r="I227" s="488"/>
      <c r="J227" s="488"/>
      <c r="K227" s="124" t="s">
        <v>388</v>
      </c>
      <c r="L227" s="125">
        <v>876</v>
      </c>
      <c r="M227" s="123" t="s">
        <v>101</v>
      </c>
      <c r="N227" s="117"/>
    </row>
    <row r="228" spans="1:14" ht="33.75" thickBot="1">
      <c r="A228" s="126" t="str">
        <f t="shared" si="7"/>
        <v>2025/07</v>
      </c>
      <c r="B228" s="127" t="str">
        <f t="shared" si="8"/>
        <v>2025/07忠孝國際醫學3樓</v>
      </c>
      <c r="C228" s="119">
        <v>147</v>
      </c>
      <c r="D228" s="124" t="s">
        <v>850</v>
      </c>
      <c r="E228" s="488" t="s">
        <v>377</v>
      </c>
      <c r="F228" s="488"/>
      <c r="G228" s="488" t="s">
        <v>378</v>
      </c>
      <c r="H228" s="488"/>
      <c r="I228" s="488"/>
      <c r="J228" s="488"/>
      <c r="K228" s="124" t="s">
        <v>379</v>
      </c>
      <c r="L228" s="125">
        <v>132</v>
      </c>
      <c r="M228" s="123"/>
      <c r="N228" s="117"/>
    </row>
    <row r="229" spans="1:14" ht="33.75" thickBot="1">
      <c r="A229" s="126" t="str">
        <f t="shared" si="7"/>
        <v>2025/07</v>
      </c>
      <c r="B229" s="127" t="str">
        <f t="shared" si="8"/>
        <v>2025/07忠孝國際醫學3樓</v>
      </c>
      <c r="C229" s="119">
        <v>148</v>
      </c>
      <c r="D229" s="124" t="s">
        <v>850</v>
      </c>
      <c r="E229" s="488" t="s">
        <v>401</v>
      </c>
      <c r="F229" s="488"/>
      <c r="G229" s="488" t="s">
        <v>402</v>
      </c>
      <c r="H229" s="488"/>
      <c r="I229" s="488"/>
      <c r="J229" s="488"/>
      <c r="K229" s="124" t="s">
        <v>145</v>
      </c>
      <c r="L229" s="125">
        <v>4</v>
      </c>
      <c r="M229" s="123" t="s">
        <v>147</v>
      </c>
      <c r="N229" s="117"/>
    </row>
    <row r="230" spans="1:14" ht="33.75" thickBot="1">
      <c r="A230" s="126" t="str">
        <f t="shared" si="7"/>
        <v>2025/07</v>
      </c>
      <c r="B230" s="127" t="str">
        <f t="shared" si="8"/>
        <v>2025/07忠孝國際醫學3樓</v>
      </c>
      <c r="C230" s="119">
        <v>149</v>
      </c>
      <c r="D230" s="124" t="s">
        <v>850</v>
      </c>
      <c r="E230" s="488" t="s">
        <v>417</v>
      </c>
      <c r="F230" s="488"/>
      <c r="G230" s="488" t="s">
        <v>418</v>
      </c>
      <c r="H230" s="488"/>
      <c r="I230" s="488"/>
      <c r="J230" s="488"/>
      <c r="K230" s="124" t="s">
        <v>145</v>
      </c>
      <c r="L230" s="125">
        <v>3</v>
      </c>
      <c r="M230" s="123" t="s">
        <v>148</v>
      </c>
      <c r="N230" s="117"/>
    </row>
    <row r="231" spans="1:14" ht="33.75" thickBot="1">
      <c r="A231" s="126" t="str">
        <f t="shared" si="7"/>
        <v>2025/07</v>
      </c>
      <c r="B231" s="127" t="str">
        <f t="shared" si="8"/>
        <v>2025/07忠孝國際醫學3樓</v>
      </c>
      <c r="C231" s="119">
        <v>150</v>
      </c>
      <c r="D231" s="124" t="s">
        <v>850</v>
      </c>
      <c r="E231" s="488" t="s">
        <v>411</v>
      </c>
      <c r="F231" s="488"/>
      <c r="G231" s="488" t="s">
        <v>412</v>
      </c>
      <c r="H231" s="488"/>
      <c r="I231" s="488"/>
      <c r="J231" s="488"/>
      <c r="K231" s="124" t="s">
        <v>145</v>
      </c>
      <c r="L231" s="125">
        <v>14</v>
      </c>
      <c r="M231" s="123" t="s">
        <v>641</v>
      </c>
      <c r="N231" s="117"/>
    </row>
    <row r="232" spans="1:14" ht="33.75" thickBot="1">
      <c r="A232" s="126" t="str">
        <f t="shared" si="7"/>
        <v>2025/07</v>
      </c>
      <c r="B232" s="127" t="str">
        <f t="shared" si="8"/>
        <v>2025/07忠孝國際醫學3樓</v>
      </c>
      <c r="C232" s="119">
        <v>151</v>
      </c>
      <c r="D232" s="124" t="s">
        <v>850</v>
      </c>
      <c r="E232" s="488" t="s">
        <v>375</v>
      </c>
      <c r="F232" s="488"/>
      <c r="G232" s="488" t="s">
        <v>376</v>
      </c>
      <c r="H232" s="488"/>
      <c r="I232" s="488"/>
      <c r="J232" s="488"/>
      <c r="K232" s="124" t="s">
        <v>145</v>
      </c>
      <c r="L232" s="125">
        <v>15</v>
      </c>
      <c r="M232" s="123" t="s">
        <v>642</v>
      </c>
      <c r="N232" s="117"/>
    </row>
    <row r="233" spans="1:14" ht="33.75" thickBot="1">
      <c r="A233" s="126" t="str">
        <f t="shared" si="7"/>
        <v>2025/07</v>
      </c>
      <c r="B233" s="127" t="str">
        <f>"2025/07"&amp;D233</f>
        <v>2025/07忠孝國際醫學3樓</v>
      </c>
      <c r="C233" s="119">
        <v>152</v>
      </c>
      <c r="D233" s="124" t="s">
        <v>850</v>
      </c>
      <c r="E233" s="488" t="s">
        <v>399</v>
      </c>
      <c r="F233" s="488"/>
      <c r="G233" s="488" t="s">
        <v>400</v>
      </c>
      <c r="H233" s="488"/>
      <c r="I233" s="488"/>
      <c r="J233" s="488"/>
      <c r="K233" s="124" t="s">
        <v>145</v>
      </c>
      <c r="L233" s="125">
        <v>4</v>
      </c>
      <c r="M233" s="123" t="s">
        <v>644</v>
      </c>
      <c r="N233" s="117"/>
    </row>
    <row r="234" spans="1:14" ht="17.25" thickBot="1">
      <c r="A234" s="126" t="str">
        <f t="shared" si="7"/>
        <v>2025/08</v>
      </c>
      <c r="B234" s="127" t="str">
        <f>"2025/08"&amp;D234</f>
        <v>2025/08站前4樓</v>
      </c>
      <c r="C234" s="120">
        <v>1</v>
      </c>
      <c r="D234" s="121" t="s">
        <v>236</v>
      </c>
      <c r="E234" s="486" t="s">
        <v>413</v>
      </c>
      <c r="F234" s="486"/>
      <c r="G234" s="486" t="s">
        <v>414</v>
      </c>
      <c r="H234" s="486"/>
      <c r="I234" s="486"/>
      <c r="J234" s="486"/>
      <c r="K234" s="121" t="s">
        <v>410</v>
      </c>
      <c r="L234" s="122">
        <v>1</v>
      </c>
      <c r="M234" s="123" t="s">
        <v>648</v>
      </c>
      <c r="N234" s="117"/>
    </row>
    <row r="235" spans="1:14" ht="17.25" thickBot="1">
      <c r="A235" s="126" t="str">
        <f t="shared" si="7"/>
        <v>2025/08</v>
      </c>
      <c r="B235" s="127" t="str">
        <f t="shared" ref="B235:B298" si="9">"2025/08"&amp;D235</f>
        <v>2025/08站前4樓</v>
      </c>
      <c r="C235" s="120">
        <v>2</v>
      </c>
      <c r="D235" s="121" t="s">
        <v>236</v>
      </c>
      <c r="E235" s="486" t="s">
        <v>360</v>
      </c>
      <c r="F235" s="486"/>
      <c r="G235" s="486" t="s">
        <v>361</v>
      </c>
      <c r="H235" s="486"/>
      <c r="I235" s="486"/>
      <c r="J235" s="486"/>
      <c r="K235" s="121" t="s">
        <v>362</v>
      </c>
      <c r="L235" s="122">
        <v>2</v>
      </c>
      <c r="M235" s="123" t="s">
        <v>653</v>
      </c>
      <c r="N235" s="117"/>
    </row>
    <row r="236" spans="1:14" ht="17.25" thickBot="1">
      <c r="A236" s="126" t="str">
        <f t="shared" si="7"/>
        <v>2025/08</v>
      </c>
      <c r="B236" s="127" t="str">
        <f t="shared" si="9"/>
        <v>2025/08站前4樓</v>
      </c>
      <c r="C236" s="120">
        <v>3</v>
      </c>
      <c r="D236" s="121" t="s">
        <v>236</v>
      </c>
      <c r="E236" s="486" t="s">
        <v>255</v>
      </c>
      <c r="F236" s="486"/>
      <c r="G236" s="486" t="s">
        <v>256</v>
      </c>
      <c r="H236" s="486"/>
      <c r="I236" s="486"/>
      <c r="J236" s="486"/>
      <c r="K236" s="121" t="s">
        <v>257</v>
      </c>
      <c r="L236" s="122">
        <v>169</v>
      </c>
      <c r="M236" s="123" t="s">
        <v>660</v>
      </c>
      <c r="N236" s="117"/>
    </row>
    <row r="237" spans="1:14" ht="17.25" thickBot="1">
      <c r="A237" s="126" t="str">
        <f t="shared" si="7"/>
        <v>2025/08</v>
      </c>
      <c r="B237" s="127" t="str">
        <f t="shared" si="9"/>
        <v>2025/08站前4樓</v>
      </c>
      <c r="C237" s="120">
        <v>4</v>
      </c>
      <c r="D237" s="121" t="s">
        <v>236</v>
      </c>
      <c r="E237" s="486" t="s">
        <v>258</v>
      </c>
      <c r="F237" s="486"/>
      <c r="G237" s="486" t="s">
        <v>259</v>
      </c>
      <c r="H237" s="486"/>
      <c r="I237" s="486"/>
      <c r="J237" s="486"/>
      <c r="K237" s="121"/>
      <c r="L237" s="122">
        <v>168</v>
      </c>
      <c r="M237" s="123" t="s">
        <v>661</v>
      </c>
      <c r="N237" s="117"/>
    </row>
    <row r="238" spans="1:14" ht="17.25" thickBot="1">
      <c r="A238" s="126" t="str">
        <f t="shared" si="7"/>
        <v>2025/08</v>
      </c>
      <c r="B238" s="127" t="str">
        <f t="shared" si="9"/>
        <v>2025/08站前4樓</v>
      </c>
      <c r="C238" s="120">
        <v>5</v>
      </c>
      <c r="D238" s="121" t="s">
        <v>236</v>
      </c>
      <c r="E238" s="486" t="s">
        <v>260</v>
      </c>
      <c r="F238" s="486"/>
      <c r="G238" s="486" t="s">
        <v>261</v>
      </c>
      <c r="H238" s="486"/>
      <c r="I238" s="486"/>
      <c r="J238" s="486"/>
      <c r="K238" s="121" t="s">
        <v>254</v>
      </c>
      <c r="L238" s="122">
        <v>167</v>
      </c>
      <c r="M238" s="123" t="s">
        <v>662</v>
      </c>
      <c r="N238" s="117"/>
    </row>
    <row r="239" spans="1:14" ht="17.25" thickBot="1">
      <c r="A239" s="126" t="str">
        <f t="shared" si="7"/>
        <v>2025/08</v>
      </c>
      <c r="B239" s="127" t="str">
        <f t="shared" si="9"/>
        <v>2025/08站前4樓</v>
      </c>
      <c r="C239" s="120">
        <v>6</v>
      </c>
      <c r="D239" s="121" t="s">
        <v>236</v>
      </c>
      <c r="E239" s="486" t="s">
        <v>262</v>
      </c>
      <c r="F239" s="486"/>
      <c r="G239" s="486" t="s">
        <v>263</v>
      </c>
      <c r="H239" s="486"/>
      <c r="I239" s="486"/>
      <c r="J239" s="486"/>
      <c r="K239" s="121" t="s">
        <v>254</v>
      </c>
      <c r="L239" s="122">
        <v>14</v>
      </c>
      <c r="M239" s="123" t="s">
        <v>663</v>
      </c>
      <c r="N239" s="117"/>
    </row>
    <row r="240" spans="1:14" ht="17.25" thickBot="1">
      <c r="A240" s="126" t="str">
        <f t="shared" si="7"/>
        <v>2025/08</v>
      </c>
      <c r="B240" s="127" t="str">
        <f t="shared" si="9"/>
        <v>2025/08站前4樓</v>
      </c>
      <c r="C240" s="120">
        <v>7</v>
      </c>
      <c r="D240" s="121" t="s">
        <v>236</v>
      </c>
      <c r="E240" s="486" t="s">
        <v>270</v>
      </c>
      <c r="F240" s="486"/>
      <c r="G240" s="486" t="s">
        <v>271</v>
      </c>
      <c r="H240" s="486"/>
      <c r="I240" s="486"/>
      <c r="J240" s="486"/>
      <c r="K240" s="121" t="s">
        <v>272</v>
      </c>
      <c r="L240" s="122">
        <v>67</v>
      </c>
      <c r="M240" s="123" t="s">
        <v>664</v>
      </c>
      <c r="N240" s="117"/>
    </row>
    <row r="241" spans="1:14" ht="17.25" thickBot="1">
      <c r="A241" s="126" t="str">
        <f t="shared" si="7"/>
        <v>2025/08</v>
      </c>
      <c r="B241" s="127" t="str">
        <f t="shared" si="9"/>
        <v>2025/08站前4樓</v>
      </c>
      <c r="C241" s="120">
        <v>8</v>
      </c>
      <c r="D241" s="121" t="s">
        <v>236</v>
      </c>
      <c r="E241" s="486" t="s">
        <v>252</v>
      </c>
      <c r="F241" s="486"/>
      <c r="G241" s="486" t="s">
        <v>253</v>
      </c>
      <c r="H241" s="486"/>
      <c r="I241" s="486"/>
      <c r="J241" s="486"/>
      <c r="K241" s="121" t="s">
        <v>254</v>
      </c>
      <c r="L241" s="122">
        <v>169</v>
      </c>
      <c r="M241" s="123" t="s">
        <v>665</v>
      </c>
      <c r="N241" s="117"/>
    </row>
    <row r="242" spans="1:14" ht="17.25" thickBot="1">
      <c r="A242" s="126" t="str">
        <f t="shared" si="7"/>
        <v>2025/08</v>
      </c>
      <c r="B242" s="127" t="str">
        <f t="shared" si="9"/>
        <v>2025/08站前4樓</v>
      </c>
      <c r="C242" s="120">
        <v>9</v>
      </c>
      <c r="D242" s="121" t="s">
        <v>236</v>
      </c>
      <c r="E242" s="486" t="s">
        <v>437</v>
      </c>
      <c r="F242" s="486"/>
      <c r="G242" s="486" t="s">
        <v>438</v>
      </c>
      <c r="H242" s="486"/>
      <c r="I242" s="486"/>
      <c r="J242" s="486"/>
      <c r="K242" s="121" t="s">
        <v>254</v>
      </c>
      <c r="L242" s="122">
        <v>1</v>
      </c>
      <c r="M242" s="123" t="s">
        <v>670</v>
      </c>
      <c r="N242" s="117"/>
    </row>
    <row r="243" spans="1:14" ht="17.25" thickBot="1">
      <c r="A243" s="126" t="str">
        <f t="shared" si="7"/>
        <v>2025/08</v>
      </c>
      <c r="B243" s="127" t="str">
        <f t="shared" si="9"/>
        <v>2025/08站前4樓</v>
      </c>
      <c r="C243" s="120">
        <v>10</v>
      </c>
      <c r="D243" s="121" t="s">
        <v>236</v>
      </c>
      <c r="E243" s="486" t="s">
        <v>429</v>
      </c>
      <c r="F243" s="486"/>
      <c r="G243" s="486" t="s">
        <v>430</v>
      </c>
      <c r="H243" s="486"/>
      <c r="I243" s="486"/>
      <c r="J243" s="486"/>
      <c r="K243" s="121" t="s">
        <v>272</v>
      </c>
      <c r="L243" s="122">
        <v>3</v>
      </c>
      <c r="M243" s="123" t="s">
        <v>666</v>
      </c>
      <c r="N243" s="117"/>
    </row>
    <row r="244" spans="1:14" ht="17.25" thickBot="1">
      <c r="A244" s="126" t="str">
        <f t="shared" si="7"/>
        <v>2025/08</v>
      </c>
      <c r="B244" s="127" t="str">
        <f t="shared" si="9"/>
        <v>2025/08站前4樓</v>
      </c>
      <c r="C244" s="120">
        <v>11</v>
      </c>
      <c r="D244" s="121" t="s">
        <v>236</v>
      </c>
      <c r="E244" s="486" t="s">
        <v>305</v>
      </c>
      <c r="F244" s="486"/>
      <c r="G244" s="486" t="s">
        <v>306</v>
      </c>
      <c r="H244" s="486"/>
      <c r="I244" s="486"/>
      <c r="J244" s="486"/>
      <c r="K244" s="121" t="s">
        <v>266</v>
      </c>
      <c r="L244" s="122">
        <v>2629</v>
      </c>
      <c r="M244" s="123" t="s">
        <v>638</v>
      </c>
      <c r="N244" s="117"/>
    </row>
    <row r="245" spans="1:14" ht="17.25" thickBot="1">
      <c r="A245" s="126" t="str">
        <f t="shared" si="7"/>
        <v>2025/08</v>
      </c>
      <c r="B245" s="127" t="str">
        <f t="shared" si="9"/>
        <v>2025/08站前4樓</v>
      </c>
      <c r="C245" s="120">
        <v>12</v>
      </c>
      <c r="D245" s="121" t="s">
        <v>236</v>
      </c>
      <c r="E245" s="486" t="s">
        <v>264</v>
      </c>
      <c r="F245" s="486"/>
      <c r="G245" s="486" t="s">
        <v>265</v>
      </c>
      <c r="H245" s="486"/>
      <c r="I245" s="486"/>
      <c r="J245" s="486"/>
      <c r="K245" s="121" t="s">
        <v>266</v>
      </c>
      <c r="L245" s="122">
        <v>2677</v>
      </c>
      <c r="M245" s="123" t="s">
        <v>639</v>
      </c>
      <c r="N245" s="117"/>
    </row>
    <row r="246" spans="1:14" ht="17.25" thickBot="1">
      <c r="A246" s="126" t="str">
        <f t="shared" si="7"/>
        <v>2025/08</v>
      </c>
      <c r="B246" s="127" t="str">
        <f t="shared" si="9"/>
        <v>2025/08站前4樓</v>
      </c>
      <c r="C246" s="120">
        <v>13</v>
      </c>
      <c r="D246" s="121" t="s">
        <v>236</v>
      </c>
      <c r="E246" s="486" t="s">
        <v>307</v>
      </c>
      <c r="F246" s="486"/>
      <c r="G246" s="486" t="s">
        <v>308</v>
      </c>
      <c r="H246" s="486"/>
      <c r="I246" s="486"/>
      <c r="J246" s="486"/>
      <c r="K246" s="121" t="s">
        <v>266</v>
      </c>
      <c r="L246" s="122">
        <v>3081</v>
      </c>
      <c r="M246" s="123" t="s">
        <v>640</v>
      </c>
      <c r="N246" s="117"/>
    </row>
    <row r="247" spans="1:14" ht="17.25" thickBot="1">
      <c r="A247" s="126" t="str">
        <f t="shared" si="7"/>
        <v>2025/08</v>
      </c>
      <c r="B247" s="127" t="str">
        <f t="shared" si="9"/>
        <v>2025/08站前4樓</v>
      </c>
      <c r="C247" s="120">
        <v>14</v>
      </c>
      <c r="D247" s="121" t="s">
        <v>236</v>
      </c>
      <c r="E247" s="486" t="s">
        <v>313</v>
      </c>
      <c r="F247" s="486"/>
      <c r="G247" s="486" t="s">
        <v>314</v>
      </c>
      <c r="H247" s="486"/>
      <c r="I247" s="486"/>
      <c r="J247" s="486"/>
      <c r="K247" s="121" t="s">
        <v>301</v>
      </c>
      <c r="L247" s="122">
        <v>64</v>
      </c>
      <c r="M247" s="123" t="s">
        <v>14</v>
      </c>
      <c r="N247" s="117"/>
    </row>
    <row r="248" spans="1:14" ht="17.25" thickBot="1">
      <c r="A248" s="126" t="str">
        <f t="shared" si="7"/>
        <v>2025/08</v>
      </c>
      <c r="B248" s="127" t="str">
        <f t="shared" si="9"/>
        <v>2025/08站前4樓</v>
      </c>
      <c r="C248" s="120">
        <v>15</v>
      </c>
      <c r="D248" s="121" t="s">
        <v>236</v>
      </c>
      <c r="E248" s="486" t="s">
        <v>343</v>
      </c>
      <c r="F248" s="486"/>
      <c r="G248" s="486" t="s">
        <v>344</v>
      </c>
      <c r="H248" s="486"/>
      <c r="I248" s="486"/>
      <c r="J248" s="486"/>
      <c r="K248" s="121" t="s">
        <v>301</v>
      </c>
      <c r="L248" s="122">
        <v>3</v>
      </c>
      <c r="M248" s="123" t="s">
        <v>18</v>
      </c>
      <c r="N248" s="117"/>
    </row>
    <row r="249" spans="1:14" ht="17.25" thickBot="1">
      <c r="A249" s="126" t="str">
        <f t="shared" si="7"/>
        <v>2025/08</v>
      </c>
      <c r="B249" s="127" t="str">
        <f t="shared" si="9"/>
        <v>2025/08站前4樓</v>
      </c>
      <c r="C249" s="120">
        <v>16</v>
      </c>
      <c r="D249" s="121" t="s">
        <v>236</v>
      </c>
      <c r="E249" s="486" t="s">
        <v>427</v>
      </c>
      <c r="F249" s="486"/>
      <c r="G249" s="486" t="s">
        <v>428</v>
      </c>
      <c r="H249" s="486"/>
      <c r="I249" s="486"/>
      <c r="J249" s="486"/>
      <c r="K249" s="121" t="s">
        <v>301</v>
      </c>
      <c r="L249" s="122">
        <v>7</v>
      </c>
      <c r="M249" s="123" t="s">
        <v>19</v>
      </c>
      <c r="N249" s="117"/>
    </row>
    <row r="250" spans="1:14" ht="17.25" thickBot="1">
      <c r="A250" s="126" t="str">
        <f t="shared" si="7"/>
        <v>2025/08</v>
      </c>
      <c r="B250" s="127" t="str">
        <f t="shared" si="9"/>
        <v>2025/08站前4樓</v>
      </c>
      <c r="C250" s="120">
        <v>17</v>
      </c>
      <c r="D250" s="121" t="s">
        <v>236</v>
      </c>
      <c r="E250" s="486" t="s">
        <v>349</v>
      </c>
      <c r="F250" s="486"/>
      <c r="G250" s="486" t="s">
        <v>350</v>
      </c>
      <c r="H250" s="486"/>
      <c r="I250" s="486"/>
      <c r="J250" s="486"/>
      <c r="K250" s="121" t="s">
        <v>301</v>
      </c>
      <c r="L250" s="122">
        <v>10</v>
      </c>
      <c r="M250" s="123" t="s">
        <v>20</v>
      </c>
      <c r="N250" s="117"/>
    </row>
    <row r="251" spans="1:14" ht="17.25" thickBot="1">
      <c r="A251" s="126" t="str">
        <f t="shared" si="7"/>
        <v>2025/08</v>
      </c>
      <c r="B251" s="127" t="str">
        <f t="shared" si="9"/>
        <v>2025/08站前4樓</v>
      </c>
      <c r="C251" s="120">
        <v>18</v>
      </c>
      <c r="D251" s="121" t="s">
        <v>236</v>
      </c>
      <c r="E251" s="486" t="s">
        <v>366</v>
      </c>
      <c r="F251" s="486"/>
      <c r="G251" s="486" t="s">
        <v>367</v>
      </c>
      <c r="H251" s="486"/>
      <c r="I251" s="486"/>
      <c r="J251" s="486"/>
      <c r="K251" s="121" t="s">
        <v>301</v>
      </c>
      <c r="L251" s="122">
        <v>5</v>
      </c>
      <c r="M251" s="123" t="s">
        <v>22</v>
      </c>
      <c r="N251" s="117"/>
    </row>
    <row r="252" spans="1:14" ht="17.25" thickBot="1">
      <c r="A252" s="126" t="str">
        <f t="shared" si="7"/>
        <v>2025/08</v>
      </c>
      <c r="B252" s="127" t="str">
        <f t="shared" si="9"/>
        <v>2025/08站前4樓</v>
      </c>
      <c r="C252" s="120">
        <v>19</v>
      </c>
      <c r="D252" s="121" t="s">
        <v>236</v>
      </c>
      <c r="E252" s="486" t="s">
        <v>282</v>
      </c>
      <c r="F252" s="486"/>
      <c r="G252" s="486" t="s">
        <v>283</v>
      </c>
      <c r="H252" s="486"/>
      <c r="I252" s="486"/>
      <c r="J252" s="486"/>
      <c r="K252" s="121" t="s">
        <v>284</v>
      </c>
      <c r="L252" s="122">
        <v>34</v>
      </c>
      <c r="M252" s="123" t="s">
        <v>65</v>
      </c>
      <c r="N252" s="117"/>
    </row>
    <row r="253" spans="1:14" ht="17.25" thickBot="1">
      <c r="A253" s="126" t="str">
        <f t="shared" si="7"/>
        <v>2025/08</v>
      </c>
      <c r="B253" s="127" t="str">
        <f t="shared" si="9"/>
        <v>2025/08站前4樓</v>
      </c>
      <c r="C253" s="120">
        <v>20</v>
      </c>
      <c r="D253" s="121" t="s">
        <v>236</v>
      </c>
      <c r="E253" s="486" t="s">
        <v>345</v>
      </c>
      <c r="F253" s="486"/>
      <c r="G253" s="486" t="s">
        <v>346</v>
      </c>
      <c r="H253" s="486"/>
      <c r="I253" s="486"/>
      <c r="J253" s="486"/>
      <c r="K253" s="121" t="s">
        <v>284</v>
      </c>
      <c r="L253" s="122">
        <v>7</v>
      </c>
      <c r="M253" s="123" t="s">
        <v>67</v>
      </c>
      <c r="N253" s="117"/>
    </row>
    <row r="254" spans="1:14" ht="17.25" thickBot="1">
      <c r="A254" s="126" t="str">
        <f t="shared" si="7"/>
        <v>2025/08</v>
      </c>
      <c r="B254" s="127" t="str">
        <f t="shared" si="9"/>
        <v>2025/08站前4樓</v>
      </c>
      <c r="C254" s="120">
        <v>21</v>
      </c>
      <c r="D254" s="121" t="s">
        <v>236</v>
      </c>
      <c r="E254" s="486" t="s">
        <v>311</v>
      </c>
      <c r="F254" s="486"/>
      <c r="G254" s="486" t="s">
        <v>312</v>
      </c>
      <c r="H254" s="486"/>
      <c r="I254" s="486"/>
      <c r="J254" s="486"/>
      <c r="K254" s="121" t="s">
        <v>284</v>
      </c>
      <c r="L254" s="122">
        <v>8</v>
      </c>
      <c r="M254" s="123" t="s">
        <v>72</v>
      </c>
      <c r="N254" s="117"/>
    </row>
    <row r="255" spans="1:14" ht="17.25" thickBot="1">
      <c r="A255" s="126" t="str">
        <f t="shared" si="7"/>
        <v>2025/08</v>
      </c>
      <c r="B255" s="127" t="str">
        <f t="shared" si="9"/>
        <v>2025/08站前4樓</v>
      </c>
      <c r="C255" s="120">
        <v>22</v>
      </c>
      <c r="D255" s="121" t="s">
        <v>236</v>
      </c>
      <c r="E255" s="486" t="s">
        <v>299</v>
      </c>
      <c r="F255" s="486"/>
      <c r="G255" s="486" t="s">
        <v>300</v>
      </c>
      <c r="H255" s="486"/>
      <c r="I255" s="486"/>
      <c r="J255" s="486"/>
      <c r="K255" s="121" t="s">
        <v>301</v>
      </c>
      <c r="L255" s="122">
        <v>83</v>
      </c>
      <c r="M255" s="123" t="s">
        <v>68</v>
      </c>
      <c r="N255" s="117"/>
    </row>
    <row r="256" spans="1:14" ht="17.25" thickBot="1">
      <c r="A256" s="126" t="str">
        <f t="shared" si="7"/>
        <v>2025/08</v>
      </c>
      <c r="B256" s="127" t="str">
        <f t="shared" si="9"/>
        <v>2025/08站前4樓</v>
      </c>
      <c r="C256" s="120">
        <v>23</v>
      </c>
      <c r="D256" s="121" t="s">
        <v>236</v>
      </c>
      <c r="E256" s="486" t="s">
        <v>347</v>
      </c>
      <c r="F256" s="486"/>
      <c r="G256" s="486" t="s">
        <v>348</v>
      </c>
      <c r="H256" s="486"/>
      <c r="I256" s="486"/>
      <c r="J256" s="486"/>
      <c r="K256" s="121" t="s">
        <v>301</v>
      </c>
      <c r="L256" s="122">
        <v>11</v>
      </c>
      <c r="M256" s="123" t="s">
        <v>71</v>
      </c>
      <c r="N256" s="117"/>
    </row>
    <row r="257" spans="1:14" ht="17.25" thickBot="1">
      <c r="A257" s="126" t="str">
        <f t="shared" si="7"/>
        <v>2025/08</v>
      </c>
      <c r="B257" s="127" t="str">
        <f t="shared" si="9"/>
        <v>2025/08站前4樓</v>
      </c>
      <c r="C257" s="120">
        <v>24</v>
      </c>
      <c r="D257" s="121" t="s">
        <v>236</v>
      </c>
      <c r="E257" s="486" t="s">
        <v>317</v>
      </c>
      <c r="F257" s="486"/>
      <c r="G257" s="486" t="s">
        <v>318</v>
      </c>
      <c r="H257" s="486"/>
      <c r="I257" s="486"/>
      <c r="J257" s="486"/>
      <c r="K257" s="121" t="s">
        <v>319</v>
      </c>
      <c r="L257" s="122">
        <v>20</v>
      </c>
      <c r="M257" s="123" t="s">
        <v>75</v>
      </c>
      <c r="N257" s="117"/>
    </row>
    <row r="258" spans="1:14" ht="17.25" thickBot="1">
      <c r="A258" s="126" t="str">
        <f t="shared" si="7"/>
        <v>2025/08</v>
      </c>
      <c r="B258" s="127" t="str">
        <f t="shared" si="9"/>
        <v>2025/08站前4樓</v>
      </c>
      <c r="C258" s="120">
        <v>25</v>
      </c>
      <c r="D258" s="121" t="s">
        <v>236</v>
      </c>
      <c r="E258" s="486" t="s">
        <v>321</v>
      </c>
      <c r="F258" s="486"/>
      <c r="G258" s="486" t="s">
        <v>322</v>
      </c>
      <c r="H258" s="486"/>
      <c r="I258" s="486"/>
      <c r="J258" s="486"/>
      <c r="K258" s="121" t="s">
        <v>275</v>
      </c>
      <c r="L258" s="122">
        <v>19</v>
      </c>
      <c r="M258" s="123" t="s">
        <v>41</v>
      </c>
      <c r="N258" s="117"/>
    </row>
    <row r="259" spans="1:14" ht="17.25" thickBot="1">
      <c r="A259" s="126" t="str">
        <f t="shared" ref="A259:A322" si="10">IFERROR(LEFT(B259,7),"")</f>
        <v>2025/08</v>
      </c>
      <c r="B259" s="127" t="str">
        <f t="shared" si="9"/>
        <v>2025/08站前4樓</v>
      </c>
      <c r="C259" s="120">
        <v>26</v>
      </c>
      <c r="D259" s="121" t="s">
        <v>236</v>
      </c>
      <c r="E259" s="486" t="s">
        <v>372</v>
      </c>
      <c r="F259" s="486"/>
      <c r="G259" s="486" t="s">
        <v>373</v>
      </c>
      <c r="H259" s="486"/>
      <c r="I259" s="486"/>
      <c r="J259" s="486"/>
      <c r="K259" s="121" t="s">
        <v>278</v>
      </c>
      <c r="L259" s="122">
        <v>20</v>
      </c>
      <c r="M259" s="123" t="s">
        <v>45</v>
      </c>
      <c r="N259" s="117"/>
    </row>
    <row r="260" spans="1:14" ht="17.25" thickBot="1">
      <c r="A260" s="126" t="str">
        <f t="shared" si="10"/>
        <v>2025/08</v>
      </c>
      <c r="B260" s="127" t="str">
        <f t="shared" si="9"/>
        <v>2025/08站前4樓</v>
      </c>
      <c r="C260" s="120">
        <v>27</v>
      </c>
      <c r="D260" s="121" t="s">
        <v>236</v>
      </c>
      <c r="E260" s="486" t="s">
        <v>276</v>
      </c>
      <c r="F260" s="486"/>
      <c r="G260" s="486" t="s">
        <v>277</v>
      </c>
      <c r="H260" s="486"/>
      <c r="I260" s="486"/>
      <c r="J260" s="486"/>
      <c r="K260" s="121" t="s">
        <v>278</v>
      </c>
      <c r="L260" s="122">
        <v>49</v>
      </c>
      <c r="M260" s="123" t="s">
        <v>55</v>
      </c>
      <c r="N260" s="117"/>
    </row>
    <row r="261" spans="1:14" ht="17.25" thickBot="1">
      <c r="A261" s="126" t="str">
        <f t="shared" si="10"/>
        <v>2025/08</v>
      </c>
      <c r="B261" s="127" t="str">
        <f t="shared" si="9"/>
        <v>2025/08站前4樓</v>
      </c>
      <c r="C261" s="120">
        <v>28</v>
      </c>
      <c r="D261" s="121" t="s">
        <v>236</v>
      </c>
      <c r="E261" s="486" t="s">
        <v>273</v>
      </c>
      <c r="F261" s="486"/>
      <c r="G261" s="486" t="s">
        <v>274</v>
      </c>
      <c r="H261" s="486"/>
      <c r="I261" s="486"/>
      <c r="J261" s="486"/>
      <c r="K261" s="121" t="s">
        <v>275</v>
      </c>
      <c r="L261" s="122">
        <v>285</v>
      </c>
      <c r="M261" s="123" t="s">
        <v>52</v>
      </c>
      <c r="N261" s="117"/>
    </row>
    <row r="262" spans="1:14" ht="17.25" thickBot="1">
      <c r="A262" s="126" t="str">
        <f t="shared" si="10"/>
        <v>2025/08</v>
      </c>
      <c r="B262" s="127" t="str">
        <f t="shared" si="9"/>
        <v>2025/08站前4樓</v>
      </c>
      <c r="C262" s="120">
        <v>29</v>
      </c>
      <c r="D262" s="121" t="s">
        <v>236</v>
      </c>
      <c r="E262" s="486" t="s">
        <v>285</v>
      </c>
      <c r="F262" s="486"/>
      <c r="G262" s="486" t="s">
        <v>286</v>
      </c>
      <c r="H262" s="486"/>
      <c r="I262" s="486"/>
      <c r="J262" s="486"/>
      <c r="K262" s="121" t="s">
        <v>287</v>
      </c>
      <c r="L262" s="122">
        <v>17257</v>
      </c>
      <c r="M262" s="123" t="s">
        <v>89</v>
      </c>
      <c r="N262" s="117"/>
    </row>
    <row r="263" spans="1:14" ht="17.25" thickBot="1">
      <c r="A263" s="126" t="str">
        <f t="shared" si="10"/>
        <v>2025/08</v>
      </c>
      <c r="B263" s="127" t="str">
        <f t="shared" si="9"/>
        <v>2025/08站前4樓</v>
      </c>
      <c r="C263" s="120">
        <v>30</v>
      </c>
      <c r="D263" s="121" t="s">
        <v>236</v>
      </c>
      <c r="E263" s="486" t="s">
        <v>290</v>
      </c>
      <c r="F263" s="486"/>
      <c r="G263" s="486" t="s">
        <v>291</v>
      </c>
      <c r="H263" s="486"/>
      <c r="I263" s="486"/>
      <c r="J263" s="486"/>
      <c r="K263" s="121" t="s">
        <v>287</v>
      </c>
      <c r="L263" s="122">
        <v>39271</v>
      </c>
      <c r="M263" s="123" t="s">
        <v>91</v>
      </c>
      <c r="N263" s="117"/>
    </row>
    <row r="264" spans="1:14" ht="17.25" thickBot="1">
      <c r="A264" s="126" t="str">
        <f t="shared" si="10"/>
        <v>2025/08</v>
      </c>
      <c r="B264" s="127" t="str">
        <f t="shared" si="9"/>
        <v>2025/08站前4樓</v>
      </c>
      <c r="C264" s="120">
        <v>31</v>
      </c>
      <c r="D264" s="121" t="s">
        <v>236</v>
      </c>
      <c r="E264" s="486" t="s">
        <v>292</v>
      </c>
      <c r="F264" s="486"/>
      <c r="G264" s="486" t="s">
        <v>293</v>
      </c>
      <c r="H264" s="486"/>
      <c r="I264" s="486"/>
      <c r="J264" s="486"/>
      <c r="K264" s="121" t="s">
        <v>287</v>
      </c>
      <c r="L264" s="122">
        <v>54598</v>
      </c>
      <c r="M264" s="123" t="s">
        <v>92</v>
      </c>
      <c r="N264" s="117"/>
    </row>
    <row r="265" spans="1:14" ht="17.25" thickBot="1">
      <c r="A265" s="126" t="str">
        <f t="shared" si="10"/>
        <v>2025/08</v>
      </c>
      <c r="B265" s="127" t="str">
        <f t="shared" si="9"/>
        <v>2025/08站前4樓</v>
      </c>
      <c r="C265" s="120">
        <v>32</v>
      </c>
      <c r="D265" s="121" t="s">
        <v>236</v>
      </c>
      <c r="E265" s="486" t="s">
        <v>323</v>
      </c>
      <c r="F265" s="486"/>
      <c r="G265" s="486" t="s">
        <v>324</v>
      </c>
      <c r="H265" s="486"/>
      <c r="I265" s="486"/>
      <c r="J265" s="486"/>
      <c r="K265" s="121" t="s">
        <v>325</v>
      </c>
      <c r="L265" s="122">
        <v>13634</v>
      </c>
      <c r="M265" s="123" t="s">
        <v>93</v>
      </c>
      <c r="N265" s="117"/>
    </row>
    <row r="266" spans="1:14" ht="17.25" thickBot="1">
      <c r="A266" s="126" t="str">
        <f t="shared" si="10"/>
        <v>2025/08</v>
      </c>
      <c r="B266" s="127" t="str">
        <f t="shared" si="9"/>
        <v>2025/08站前4樓</v>
      </c>
      <c r="C266" s="120">
        <v>33</v>
      </c>
      <c r="D266" s="121" t="s">
        <v>236</v>
      </c>
      <c r="E266" s="486" t="s">
        <v>359</v>
      </c>
      <c r="F266" s="486"/>
      <c r="G266" s="486" t="s">
        <v>138</v>
      </c>
      <c r="H266" s="486"/>
      <c r="I266" s="486"/>
      <c r="J266" s="486"/>
      <c r="K266" s="121" t="s">
        <v>146</v>
      </c>
      <c r="L266" s="122">
        <v>10</v>
      </c>
      <c r="M266" s="123" t="s">
        <v>137</v>
      </c>
      <c r="N266" s="117"/>
    </row>
    <row r="267" spans="1:14" ht="17.25" thickBot="1">
      <c r="A267" s="126" t="str">
        <f t="shared" si="10"/>
        <v>2025/08</v>
      </c>
      <c r="B267" s="127" t="str">
        <f t="shared" si="9"/>
        <v>2025/08站前4樓</v>
      </c>
      <c r="C267" s="120">
        <v>34</v>
      </c>
      <c r="D267" s="121" t="s">
        <v>236</v>
      </c>
      <c r="E267" s="486" t="s">
        <v>320</v>
      </c>
      <c r="F267" s="486"/>
      <c r="G267" s="486" t="s">
        <v>135</v>
      </c>
      <c r="H267" s="486"/>
      <c r="I267" s="486"/>
      <c r="J267" s="486"/>
      <c r="K267" s="121" t="s">
        <v>146</v>
      </c>
      <c r="L267" s="122">
        <v>3</v>
      </c>
      <c r="M267" s="123" t="s">
        <v>134</v>
      </c>
      <c r="N267" s="117"/>
    </row>
    <row r="268" spans="1:14" ht="17.25" thickBot="1">
      <c r="A268" s="126" t="str">
        <f t="shared" si="10"/>
        <v>2025/08</v>
      </c>
      <c r="B268" s="127" t="str">
        <f t="shared" si="9"/>
        <v>2025/08站前4樓</v>
      </c>
      <c r="C268" s="120">
        <v>35</v>
      </c>
      <c r="D268" s="121" t="s">
        <v>236</v>
      </c>
      <c r="E268" s="486" t="s">
        <v>338</v>
      </c>
      <c r="F268" s="486"/>
      <c r="G268" s="486" t="s">
        <v>339</v>
      </c>
      <c r="H268" s="486"/>
      <c r="I268" s="486"/>
      <c r="J268" s="486"/>
      <c r="K268" s="121" t="s">
        <v>287</v>
      </c>
      <c r="L268" s="122">
        <v>1092</v>
      </c>
      <c r="M268" s="123" t="s">
        <v>95</v>
      </c>
      <c r="N268" s="117"/>
    </row>
    <row r="269" spans="1:14" ht="17.25" thickBot="1">
      <c r="A269" s="126" t="str">
        <f t="shared" si="10"/>
        <v>2025/08</v>
      </c>
      <c r="B269" s="127" t="str">
        <f t="shared" si="9"/>
        <v>2025/08站前4樓</v>
      </c>
      <c r="C269" s="120">
        <v>36</v>
      </c>
      <c r="D269" s="121" t="s">
        <v>236</v>
      </c>
      <c r="E269" s="486" t="s">
        <v>326</v>
      </c>
      <c r="F269" s="486"/>
      <c r="G269" s="486" t="s">
        <v>327</v>
      </c>
      <c r="H269" s="486"/>
      <c r="I269" s="486"/>
      <c r="J269" s="486"/>
      <c r="K269" s="121" t="s">
        <v>287</v>
      </c>
      <c r="L269" s="122">
        <v>3252</v>
      </c>
      <c r="M269" s="123" t="s">
        <v>97</v>
      </c>
      <c r="N269" s="117"/>
    </row>
    <row r="270" spans="1:14" ht="17.25" thickBot="1">
      <c r="A270" s="126" t="str">
        <f t="shared" si="10"/>
        <v>2025/08</v>
      </c>
      <c r="B270" s="127" t="str">
        <f t="shared" si="9"/>
        <v>2025/08站前4樓</v>
      </c>
      <c r="C270" s="120">
        <v>37</v>
      </c>
      <c r="D270" s="121" t="s">
        <v>236</v>
      </c>
      <c r="E270" s="486" t="s">
        <v>328</v>
      </c>
      <c r="F270" s="486"/>
      <c r="G270" s="486" t="s">
        <v>329</v>
      </c>
      <c r="H270" s="486"/>
      <c r="I270" s="486"/>
      <c r="J270" s="486"/>
      <c r="K270" s="121" t="s">
        <v>287</v>
      </c>
      <c r="L270" s="122">
        <v>7356</v>
      </c>
      <c r="M270" s="123" t="s">
        <v>98</v>
      </c>
      <c r="N270" s="117"/>
    </row>
    <row r="271" spans="1:14" ht="17.25" thickBot="1">
      <c r="A271" s="126" t="str">
        <f t="shared" si="10"/>
        <v>2025/08</v>
      </c>
      <c r="B271" s="127" t="str">
        <f t="shared" si="9"/>
        <v>2025/08站前4樓</v>
      </c>
      <c r="C271" s="120">
        <v>38</v>
      </c>
      <c r="D271" s="121" t="s">
        <v>236</v>
      </c>
      <c r="E271" s="486" t="s">
        <v>330</v>
      </c>
      <c r="F271" s="486"/>
      <c r="G271" s="486" t="s">
        <v>331</v>
      </c>
      <c r="H271" s="486"/>
      <c r="I271" s="486"/>
      <c r="J271" s="486"/>
      <c r="K271" s="121" t="s">
        <v>287</v>
      </c>
      <c r="L271" s="122">
        <v>2301</v>
      </c>
      <c r="M271" s="123" t="s">
        <v>99</v>
      </c>
      <c r="N271" s="117"/>
    </row>
    <row r="272" spans="1:14" ht="17.25" thickBot="1">
      <c r="A272" s="126" t="str">
        <f t="shared" si="10"/>
        <v>2025/08</v>
      </c>
      <c r="B272" s="127" t="str">
        <f t="shared" si="9"/>
        <v>2025/08站前4樓</v>
      </c>
      <c r="C272" s="120">
        <v>39</v>
      </c>
      <c r="D272" s="121" t="s">
        <v>236</v>
      </c>
      <c r="E272" s="486" t="s">
        <v>302</v>
      </c>
      <c r="F272" s="486"/>
      <c r="G272" s="486" t="s">
        <v>303</v>
      </c>
      <c r="H272" s="486"/>
      <c r="I272" s="486"/>
      <c r="J272" s="486"/>
      <c r="K272" s="121" t="s">
        <v>304</v>
      </c>
      <c r="L272" s="122">
        <v>6700</v>
      </c>
      <c r="M272" s="123" t="s">
        <v>81</v>
      </c>
      <c r="N272" s="117"/>
    </row>
    <row r="273" spans="1:14" ht="17.25" thickBot="1">
      <c r="A273" s="126" t="str">
        <f t="shared" si="10"/>
        <v>2025/08</v>
      </c>
      <c r="B273" s="127" t="str">
        <f t="shared" si="9"/>
        <v>2025/08站前4樓</v>
      </c>
      <c r="C273" s="120">
        <v>40</v>
      </c>
      <c r="D273" s="121" t="s">
        <v>236</v>
      </c>
      <c r="E273" s="486" t="s">
        <v>363</v>
      </c>
      <c r="F273" s="486"/>
      <c r="G273" s="486" t="s">
        <v>364</v>
      </c>
      <c r="H273" s="486"/>
      <c r="I273" s="486"/>
      <c r="J273" s="486"/>
      <c r="K273" s="121" t="s">
        <v>365</v>
      </c>
      <c r="L273" s="122">
        <v>7400</v>
      </c>
      <c r="M273" s="123" t="s">
        <v>85</v>
      </c>
      <c r="N273" s="117"/>
    </row>
    <row r="274" spans="1:14" ht="17.25" thickBot="1">
      <c r="A274" s="126" t="str">
        <f t="shared" si="10"/>
        <v>2025/08</v>
      </c>
      <c r="B274" s="127" t="str">
        <f t="shared" si="9"/>
        <v>2025/08站前4樓</v>
      </c>
      <c r="C274" s="120">
        <v>41</v>
      </c>
      <c r="D274" s="121" t="s">
        <v>236</v>
      </c>
      <c r="E274" s="486" t="s">
        <v>279</v>
      </c>
      <c r="F274" s="486"/>
      <c r="G274" s="486" t="s">
        <v>280</v>
      </c>
      <c r="H274" s="486"/>
      <c r="I274" s="486"/>
      <c r="J274" s="486"/>
      <c r="K274" s="121" t="s">
        <v>281</v>
      </c>
      <c r="L274" s="122">
        <v>245203</v>
      </c>
      <c r="M274" s="123" t="s">
        <v>111</v>
      </c>
      <c r="N274" s="117"/>
    </row>
    <row r="275" spans="1:14" ht="17.25" thickBot="1">
      <c r="A275" s="126" t="str">
        <f t="shared" si="10"/>
        <v>2025/08</v>
      </c>
      <c r="B275" s="127" t="str">
        <f t="shared" si="9"/>
        <v>2025/08站前4樓</v>
      </c>
      <c r="C275" s="120">
        <v>42</v>
      </c>
      <c r="D275" s="121" t="s">
        <v>236</v>
      </c>
      <c r="E275" s="486" t="s">
        <v>288</v>
      </c>
      <c r="F275" s="486"/>
      <c r="G275" s="486" t="s">
        <v>289</v>
      </c>
      <c r="H275" s="486"/>
      <c r="I275" s="486"/>
      <c r="J275" s="486"/>
      <c r="K275" s="121" t="s">
        <v>281</v>
      </c>
      <c r="L275" s="122">
        <v>85897</v>
      </c>
      <c r="M275" s="123" t="s">
        <v>115</v>
      </c>
      <c r="N275" s="117"/>
    </row>
    <row r="276" spans="1:14" ht="17.25" thickBot="1">
      <c r="A276" s="126" t="str">
        <f t="shared" si="10"/>
        <v>2025/08</v>
      </c>
      <c r="B276" s="127" t="str">
        <f t="shared" si="9"/>
        <v>2025/08站前4樓</v>
      </c>
      <c r="C276" s="120">
        <v>43</v>
      </c>
      <c r="D276" s="121" t="s">
        <v>236</v>
      </c>
      <c r="E276" s="486" t="s">
        <v>332</v>
      </c>
      <c r="F276" s="486"/>
      <c r="G276" s="486" t="s">
        <v>333</v>
      </c>
      <c r="H276" s="486"/>
      <c r="I276" s="486"/>
      <c r="J276" s="486"/>
      <c r="K276" s="121" t="s">
        <v>334</v>
      </c>
      <c r="L276" s="122">
        <v>18400</v>
      </c>
      <c r="M276" s="123" t="s">
        <v>77</v>
      </c>
      <c r="N276" s="117"/>
    </row>
    <row r="277" spans="1:14" ht="17.25" thickBot="1">
      <c r="A277" s="126" t="str">
        <f t="shared" si="10"/>
        <v>2025/08</v>
      </c>
      <c r="B277" s="127" t="str">
        <f t="shared" si="9"/>
        <v>2025/08站前4樓</v>
      </c>
      <c r="C277" s="120">
        <v>44</v>
      </c>
      <c r="D277" s="121" t="s">
        <v>236</v>
      </c>
      <c r="E277" s="486" t="s">
        <v>335</v>
      </c>
      <c r="F277" s="486"/>
      <c r="G277" s="486" t="s">
        <v>336</v>
      </c>
      <c r="H277" s="486"/>
      <c r="I277" s="486"/>
      <c r="J277" s="486"/>
      <c r="K277" s="121" t="s">
        <v>337</v>
      </c>
      <c r="L277" s="122">
        <v>6200</v>
      </c>
      <c r="M277" s="123" t="s">
        <v>80</v>
      </c>
      <c r="N277" s="117"/>
    </row>
    <row r="278" spans="1:14" ht="17.25" thickBot="1">
      <c r="A278" s="126" t="str">
        <f t="shared" si="10"/>
        <v>2025/08</v>
      </c>
      <c r="B278" s="127" t="str">
        <f t="shared" si="9"/>
        <v>2025/08站前4樓</v>
      </c>
      <c r="C278" s="120">
        <v>45</v>
      </c>
      <c r="D278" s="121" t="s">
        <v>236</v>
      </c>
      <c r="E278" s="486" t="s">
        <v>351</v>
      </c>
      <c r="F278" s="486"/>
      <c r="G278" s="486" t="s">
        <v>352</v>
      </c>
      <c r="H278" s="486"/>
      <c r="I278" s="486"/>
      <c r="J278" s="486"/>
      <c r="K278" s="121" t="s">
        <v>353</v>
      </c>
      <c r="L278" s="122">
        <v>8</v>
      </c>
      <c r="M278" s="123" t="s">
        <v>27</v>
      </c>
      <c r="N278" s="117"/>
    </row>
    <row r="279" spans="1:14" ht="17.25" thickBot="1">
      <c r="A279" s="126" t="str">
        <f t="shared" si="10"/>
        <v>2025/08</v>
      </c>
      <c r="B279" s="127" t="str">
        <f t="shared" si="9"/>
        <v>2025/08站前4樓</v>
      </c>
      <c r="C279" s="120">
        <v>46</v>
      </c>
      <c r="D279" s="121" t="s">
        <v>236</v>
      </c>
      <c r="E279" s="486" t="s">
        <v>357</v>
      </c>
      <c r="F279" s="486"/>
      <c r="G279" s="486" t="s">
        <v>358</v>
      </c>
      <c r="H279" s="486"/>
      <c r="I279" s="486"/>
      <c r="J279" s="486"/>
      <c r="K279" s="121" t="s">
        <v>353</v>
      </c>
      <c r="L279" s="122">
        <v>16</v>
      </c>
      <c r="M279" s="123" t="s">
        <v>28</v>
      </c>
      <c r="N279" s="117"/>
    </row>
    <row r="280" spans="1:14" ht="17.25" thickBot="1">
      <c r="A280" s="126" t="str">
        <f t="shared" si="10"/>
        <v>2025/08</v>
      </c>
      <c r="B280" s="127" t="str">
        <f t="shared" si="9"/>
        <v>2025/08站前4樓</v>
      </c>
      <c r="C280" s="120">
        <v>47</v>
      </c>
      <c r="D280" s="121" t="s">
        <v>236</v>
      </c>
      <c r="E280" s="486" t="s">
        <v>340</v>
      </c>
      <c r="F280" s="486"/>
      <c r="G280" s="486" t="s">
        <v>341</v>
      </c>
      <c r="H280" s="486"/>
      <c r="I280" s="486"/>
      <c r="J280" s="486"/>
      <c r="K280" s="121" t="s">
        <v>342</v>
      </c>
      <c r="L280" s="122">
        <v>32</v>
      </c>
      <c r="M280" s="123"/>
      <c r="N280" s="117"/>
    </row>
    <row r="281" spans="1:14" ht="17.25" thickBot="1">
      <c r="A281" s="126" t="str">
        <f t="shared" si="10"/>
        <v>2025/08</v>
      </c>
      <c r="B281" s="127" t="str">
        <f t="shared" si="9"/>
        <v>2025/08站前4樓</v>
      </c>
      <c r="C281" s="120">
        <v>48</v>
      </c>
      <c r="D281" s="121" t="s">
        <v>236</v>
      </c>
      <c r="E281" s="486" t="s">
        <v>309</v>
      </c>
      <c r="F281" s="486"/>
      <c r="G281" s="486" t="s">
        <v>310</v>
      </c>
      <c r="H281" s="486"/>
      <c r="I281" s="486"/>
      <c r="J281" s="486"/>
      <c r="K281" s="121" t="s">
        <v>269</v>
      </c>
      <c r="L281" s="122">
        <v>39</v>
      </c>
      <c r="M281" s="123" t="s">
        <v>30</v>
      </c>
      <c r="N281" s="117"/>
    </row>
    <row r="282" spans="1:14" ht="17.25" thickBot="1">
      <c r="A282" s="126" t="str">
        <f t="shared" si="10"/>
        <v>2025/08</v>
      </c>
      <c r="B282" s="127" t="str">
        <f t="shared" si="9"/>
        <v>2025/08站前4樓</v>
      </c>
      <c r="C282" s="120">
        <v>49</v>
      </c>
      <c r="D282" s="121" t="s">
        <v>236</v>
      </c>
      <c r="E282" s="486" t="s">
        <v>267</v>
      </c>
      <c r="F282" s="486"/>
      <c r="G282" s="486" t="s">
        <v>268</v>
      </c>
      <c r="H282" s="486"/>
      <c r="I282" s="486"/>
      <c r="J282" s="486"/>
      <c r="K282" s="121" t="s">
        <v>269</v>
      </c>
      <c r="L282" s="122">
        <v>48</v>
      </c>
      <c r="M282" s="123" t="s">
        <v>33</v>
      </c>
      <c r="N282" s="117"/>
    </row>
    <row r="283" spans="1:14" ht="17.25" thickBot="1">
      <c r="A283" s="126" t="str">
        <f t="shared" si="10"/>
        <v>2025/08</v>
      </c>
      <c r="B283" s="127" t="str">
        <f t="shared" si="9"/>
        <v>2025/08站前4樓</v>
      </c>
      <c r="C283" s="120">
        <v>50</v>
      </c>
      <c r="D283" s="121" t="s">
        <v>236</v>
      </c>
      <c r="E283" s="486" t="s">
        <v>297</v>
      </c>
      <c r="F283" s="486"/>
      <c r="G283" s="486" t="s">
        <v>298</v>
      </c>
      <c r="H283" s="486"/>
      <c r="I283" s="486"/>
      <c r="J283" s="486"/>
      <c r="K283" s="121" t="s">
        <v>269</v>
      </c>
      <c r="L283" s="122">
        <v>1</v>
      </c>
      <c r="M283" s="123" t="s">
        <v>36</v>
      </c>
      <c r="N283" s="117"/>
    </row>
    <row r="284" spans="1:14" ht="17.25" thickBot="1">
      <c r="A284" s="126" t="str">
        <f t="shared" si="10"/>
        <v>2025/08</v>
      </c>
      <c r="B284" s="127" t="str">
        <f t="shared" si="9"/>
        <v>2025/08站前4樓</v>
      </c>
      <c r="C284" s="120">
        <v>51</v>
      </c>
      <c r="D284" s="121" t="s">
        <v>236</v>
      </c>
      <c r="E284" s="486" t="s">
        <v>315</v>
      </c>
      <c r="F284" s="486"/>
      <c r="G284" s="486" t="s">
        <v>316</v>
      </c>
      <c r="H284" s="486"/>
      <c r="I284" s="486"/>
      <c r="J284" s="486"/>
      <c r="K284" s="121" t="s">
        <v>296</v>
      </c>
      <c r="L284" s="122">
        <v>8</v>
      </c>
      <c r="M284" s="123" t="s">
        <v>62</v>
      </c>
      <c r="N284" s="117"/>
    </row>
    <row r="285" spans="1:14" ht="17.25" thickBot="1">
      <c r="A285" s="126" t="str">
        <f t="shared" si="10"/>
        <v>2025/08</v>
      </c>
      <c r="B285" s="127" t="str">
        <f t="shared" si="9"/>
        <v>2025/08站前4樓</v>
      </c>
      <c r="C285" s="120">
        <v>52</v>
      </c>
      <c r="D285" s="121" t="s">
        <v>236</v>
      </c>
      <c r="E285" s="486" t="s">
        <v>294</v>
      </c>
      <c r="F285" s="486"/>
      <c r="G285" s="486" t="s">
        <v>295</v>
      </c>
      <c r="H285" s="486"/>
      <c r="I285" s="486"/>
      <c r="J285" s="486"/>
      <c r="K285" s="121" t="s">
        <v>296</v>
      </c>
      <c r="L285" s="122">
        <v>4</v>
      </c>
      <c r="M285" s="123" t="s">
        <v>64</v>
      </c>
      <c r="N285" s="117"/>
    </row>
    <row r="286" spans="1:14" ht="17.25" thickBot="1">
      <c r="A286" s="126" t="str">
        <f t="shared" si="10"/>
        <v>2025/08</v>
      </c>
      <c r="B286" s="127" t="str">
        <f t="shared" si="9"/>
        <v>2025/08站前4樓</v>
      </c>
      <c r="C286" s="120">
        <v>53</v>
      </c>
      <c r="D286" s="121" t="s">
        <v>236</v>
      </c>
      <c r="E286" s="486" t="s">
        <v>237</v>
      </c>
      <c r="F286" s="486"/>
      <c r="G286" s="486" t="s">
        <v>238</v>
      </c>
      <c r="H286" s="486"/>
      <c r="I286" s="486"/>
      <c r="J286" s="486"/>
      <c r="K286" s="121" t="s">
        <v>239</v>
      </c>
      <c r="L286" s="122">
        <v>565</v>
      </c>
      <c r="M286" s="123" t="s">
        <v>117</v>
      </c>
      <c r="N286" s="117"/>
    </row>
    <row r="287" spans="1:14" ht="17.25" thickBot="1">
      <c r="A287" s="126" t="str">
        <f t="shared" si="10"/>
        <v>2025/08</v>
      </c>
      <c r="B287" s="127" t="str">
        <f t="shared" si="9"/>
        <v>2025/08站前4樓</v>
      </c>
      <c r="C287" s="120">
        <v>54</v>
      </c>
      <c r="D287" s="121" t="s">
        <v>236</v>
      </c>
      <c r="E287" s="486" t="s">
        <v>240</v>
      </c>
      <c r="F287" s="486"/>
      <c r="G287" s="486" t="s">
        <v>241</v>
      </c>
      <c r="H287" s="486"/>
      <c r="I287" s="486"/>
      <c r="J287" s="486"/>
      <c r="K287" s="121" t="s">
        <v>239</v>
      </c>
      <c r="L287" s="122">
        <v>565</v>
      </c>
      <c r="M287" s="123" t="s">
        <v>120</v>
      </c>
      <c r="N287" s="117"/>
    </row>
    <row r="288" spans="1:14" ht="17.25" thickBot="1">
      <c r="A288" s="126" t="str">
        <f t="shared" si="10"/>
        <v>2025/08</v>
      </c>
      <c r="B288" s="127" t="str">
        <f t="shared" si="9"/>
        <v>2025/08站前4樓</v>
      </c>
      <c r="C288" s="120">
        <v>55</v>
      </c>
      <c r="D288" s="121" t="s">
        <v>236</v>
      </c>
      <c r="E288" s="486" t="s">
        <v>242</v>
      </c>
      <c r="F288" s="486"/>
      <c r="G288" s="486" t="s">
        <v>243</v>
      </c>
      <c r="H288" s="486"/>
      <c r="I288" s="486"/>
      <c r="J288" s="486"/>
      <c r="K288" s="121" t="s">
        <v>239</v>
      </c>
      <c r="L288" s="122">
        <v>565</v>
      </c>
      <c r="M288" s="123" t="s">
        <v>121</v>
      </c>
      <c r="N288" s="117"/>
    </row>
    <row r="289" spans="1:14" ht="17.25" thickBot="1">
      <c r="A289" s="126" t="str">
        <f t="shared" si="10"/>
        <v>2025/08</v>
      </c>
      <c r="B289" s="127" t="str">
        <f t="shared" si="9"/>
        <v>2025/08站前4樓</v>
      </c>
      <c r="C289" s="120">
        <v>56</v>
      </c>
      <c r="D289" s="121" t="s">
        <v>236</v>
      </c>
      <c r="E289" s="486" t="s">
        <v>244</v>
      </c>
      <c r="F289" s="486"/>
      <c r="G289" s="486" t="s">
        <v>245</v>
      </c>
      <c r="H289" s="486"/>
      <c r="I289" s="486"/>
      <c r="J289" s="486"/>
      <c r="K289" s="121" t="s">
        <v>42</v>
      </c>
      <c r="L289" s="122">
        <v>8475</v>
      </c>
      <c r="M289" s="123" t="s">
        <v>123</v>
      </c>
      <c r="N289" s="117"/>
    </row>
    <row r="290" spans="1:14" ht="17.25" thickBot="1">
      <c r="A290" s="126" t="str">
        <f t="shared" si="10"/>
        <v>2025/08</v>
      </c>
      <c r="B290" s="127" t="str">
        <f t="shared" si="9"/>
        <v>2025/08站前4樓</v>
      </c>
      <c r="C290" s="120">
        <v>57</v>
      </c>
      <c r="D290" s="121" t="s">
        <v>236</v>
      </c>
      <c r="E290" s="486" t="s">
        <v>246</v>
      </c>
      <c r="F290" s="486"/>
      <c r="G290" s="486" t="s">
        <v>247</v>
      </c>
      <c r="H290" s="486"/>
      <c r="I290" s="486"/>
      <c r="J290" s="486"/>
      <c r="K290" s="121" t="s">
        <v>42</v>
      </c>
      <c r="L290" s="122">
        <v>8475</v>
      </c>
      <c r="M290" s="123" t="s">
        <v>127</v>
      </c>
      <c r="N290" s="117"/>
    </row>
    <row r="291" spans="1:14" ht="17.25" thickBot="1">
      <c r="A291" s="126" t="str">
        <f t="shared" si="10"/>
        <v>2025/08</v>
      </c>
      <c r="B291" s="127" t="str">
        <f t="shared" si="9"/>
        <v>2025/08站前4樓</v>
      </c>
      <c r="C291" s="120">
        <v>58</v>
      </c>
      <c r="D291" s="121" t="s">
        <v>236</v>
      </c>
      <c r="E291" s="486" t="s">
        <v>248</v>
      </c>
      <c r="F291" s="486"/>
      <c r="G291" s="486" t="s">
        <v>249</v>
      </c>
      <c r="H291" s="486"/>
      <c r="I291" s="486"/>
      <c r="J291" s="486"/>
      <c r="K291" s="121" t="s">
        <v>42</v>
      </c>
      <c r="L291" s="122">
        <v>8475</v>
      </c>
      <c r="M291" s="123" t="s">
        <v>129</v>
      </c>
      <c r="N291" s="117"/>
    </row>
    <row r="292" spans="1:14" ht="17.25" thickBot="1">
      <c r="A292" s="126" t="str">
        <f t="shared" si="10"/>
        <v>2025/08</v>
      </c>
      <c r="B292" s="127" t="str">
        <f t="shared" si="9"/>
        <v>2025/08站前4樓</v>
      </c>
      <c r="C292" s="120">
        <v>59</v>
      </c>
      <c r="D292" s="121" t="s">
        <v>236</v>
      </c>
      <c r="E292" s="486" t="s">
        <v>250</v>
      </c>
      <c r="F292" s="486"/>
      <c r="G292" s="486" t="s">
        <v>251</v>
      </c>
      <c r="H292" s="486"/>
      <c r="I292" s="486"/>
      <c r="J292" s="486"/>
      <c r="K292" s="121" t="s">
        <v>42</v>
      </c>
      <c r="L292" s="122">
        <v>3960</v>
      </c>
      <c r="M292" s="123" t="s">
        <v>131</v>
      </c>
      <c r="N292" s="117"/>
    </row>
    <row r="293" spans="1:14" ht="17.25" thickBot="1">
      <c r="A293" s="126" t="str">
        <f t="shared" si="10"/>
        <v>2025/08</v>
      </c>
      <c r="B293" s="127" t="str">
        <f t="shared" si="9"/>
        <v>2025/08站前11樓</v>
      </c>
      <c r="C293" s="120">
        <v>60</v>
      </c>
      <c r="D293" s="121" t="s">
        <v>374</v>
      </c>
      <c r="E293" s="486" t="s">
        <v>392</v>
      </c>
      <c r="F293" s="486"/>
      <c r="G293" s="486" t="s">
        <v>393</v>
      </c>
      <c r="H293" s="486"/>
      <c r="I293" s="486"/>
      <c r="J293" s="486"/>
      <c r="K293" s="121" t="s">
        <v>382</v>
      </c>
      <c r="L293" s="122">
        <v>273</v>
      </c>
      <c r="M293" s="123" t="s">
        <v>152</v>
      </c>
      <c r="N293" s="117"/>
    </row>
    <row r="294" spans="1:14" ht="17.25" thickBot="1">
      <c r="A294" s="126" t="str">
        <f t="shared" si="10"/>
        <v>2025/08</v>
      </c>
      <c r="B294" s="127" t="str">
        <f t="shared" si="9"/>
        <v>2025/08站前11樓</v>
      </c>
      <c r="C294" s="120">
        <v>61</v>
      </c>
      <c r="D294" s="121" t="s">
        <v>374</v>
      </c>
      <c r="E294" s="486" t="s">
        <v>380</v>
      </c>
      <c r="F294" s="486"/>
      <c r="G294" s="486" t="s">
        <v>381</v>
      </c>
      <c r="H294" s="486"/>
      <c r="I294" s="486"/>
      <c r="J294" s="486"/>
      <c r="K294" s="121" t="s">
        <v>382</v>
      </c>
      <c r="L294" s="122">
        <v>358</v>
      </c>
      <c r="M294" s="123" t="s">
        <v>155</v>
      </c>
      <c r="N294" s="117"/>
    </row>
    <row r="295" spans="1:14" ht="17.25" thickBot="1">
      <c r="A295" s="126" t="str">
        <f t="shared" si="10"/>
        <v>2025/08</v>
      </c>
      <c r="B295" s="127" t="str">
        <f t="shared" si="9"/>
        <v>2025/08站前11樓</v>
      </c>
      <c r="C295" s="120">
        <v>62</v>
      </c>
      <c r="D295" s="121" t="s">
        <v>374</v>
      </c>
      <c r="E295" s="486" t="s">
        <v>413</v>
      </c>
      <c r="F295" s="486"/>
      <c r="G295" s="486" t="s">
        <v>414</v>
      </c>
      <c r="H295" s="486"/>
      <c r="I295" s="486"/>
      <c r="J295" s="486"/>
      <c r="K295" s="121" t="s">
        <v>410</v>
      </c>
      <c r="L295" s="122">
        <v>2</v>
      </c>
      <c r="M295" s="123" t="s">
        <v>648</v>
      </c>
      <c r="N295" s="117"/>
    </row>
    <row r="296" spans="1:14" ht="17.25" thickBot="1">
      <c r="A296" s="126" t="str">
        <f t="shared" si="10"/>
        <v>2025/08</v>
      </c>
      <c r="B296" s="127" t="str">
        <f t="shared" si="9"/>
        <v>2025/08站前11樓</v>
      </c>
      <c r="C296" s="120">
        <v>63</v>
      </c>
      <c r="D296" s="121" t="s">
        <v>374</v>
      </c>
      <c r="E296" s="486" t="s">
        <v>360</v>
      </c>
      <c r="F296" s="486"/>
      <c r="G296" s="486" t="s">
        <v>361</v>
      </c>
      <c r="H296" s="486"/>
      <c r="I296" s="486"/>
      <c r="J296" s="486"/>
      <c r="K296" s="121" t="s">
        <v>362</v>
      </c>
      <c r="L296" s="122">
        <v>3</v>
      </c>
      <c r="M296" s="123" t="s">
        <v>653</v>
      </c>
      <c r="N296" s="117"/>
    </row>
    <row r="297" spans="1:14" ht="17.25" thickBot="1">
      <c r="A297" s="126" t="str">
        <f t="shared" si="10"/>
        <v>2025/08</v>
      </c>
      <c r="B297" s="127" t="str">
        <f t="shared" si="9"/>
        <v>2025/08站前11樓</v>
      </c>
      <c r="C297" s="120">
        <v>64</v>
      </c>
      <c r="D297" s="121" t="s">
        <v>374</v>
      </c>
      <c r="E297" s="486" t="s">
        <v>383</v>
      </c>
      <c r="F297" s="486"/>
      <c r="G297" s="486" t="s">
        <v>384</v>
      </c>
      <c r="H297" s="486"/>
      <c r="I297" s="486"/>
      <c r="J297" s="486"/>
      <c r="K297" s="121" t="s">
        <v>385</v>
      </c>
      <c r="L297" s="122">
        <v>167</v>
      </c>
      <c r="M297" s="123" t="s">
        <v>654</v>
      </c>
      <c r="N297" s="117"/>
    </row>
    <row r="298" spans="1:14" ht="17.25" thickBot="1">
      <c r="A298" s="126" t="str">
        <f t="shared" si="10"/>
        <v>2025/08</v>
      </c>
      <c r="B298" s="127" t="str">
        <f t="shared" si="9"/>
        <v>2025/08站前11樓</v>
      </c>
      <c r="C298" s="120">
        <v>65</v>
      </c>
      <c r="D298" s="121" t="s">
        <v>374</v>
      </c>
      <c r="E298" s="486" t="s">
        <v>394</v>
      </c>
      <c r="F298" s="486"/>
      <c r="G298" s="486" t="s">
        <v>395</v>
      </c>
      <c r="H298" s="486"/>
      <c r="I298" s="486"/>
      <c r="J298" s="486"/>
      <c r="K298" s="121" t="s">
        <v>272</v>
      </c>
      <c r="L298" s="122">
        <v>1</v>
      </c>
      <c r="M298" s="123" t="s">
        <v>655</v>
      </c>
      <c r="N298" s="117"/>
    </row>
    <row r="299" spans="1:14" ht="17.25" thickBot="1">
      <c r="A299" s="126" t="str">
        <f t="shared" si="10"/>
        <v>2025/08</v>
      </c>
      <c r="B299" s="127" t="str">
        <f t="shared" ref="B299:B362" si="11">"2025/08"&amp;D299</f>
        <v>2025/08站前11樓</v>
      </c>
      <c r="C299" s="120">
        <v>66</v>
      </c>
      <c r="D299" s="121" t="s">
        <v>374</v>
      </c>
      <c r="E299" s="486" t="s">
        <v>403</v>
      </c>
      <c r="F299" s="486"/>
      <c r="G299" s="486" t="s">
        <v>404</v>
      </c>
      <c r="H299" s="486"/>
      <c r="I299" s="486"/>
      <c r="J299" s="486"/>
      <c r="K299" s="121" t="s">
        <v>405</v>
      </c>
      <c r="L299" s="122">
        <v>1</v>
      </c>
      <c r="M299" s="123" t="s">
        <v>656</v>
      </c>
      <c r="N299" s="117"/>
    </row>
    <row r="300" spans="1:14" ht="17.25" thickBot="1">
      <c r="A300" s="126" t="str">
        <f t="shared" si="10"/>
        <v>2025/08</v>
      </c>
      <c r="B300" s="127" t="str">
        <f t="shared" si="11"/>
        <v>2025/08站前11樓</v>
      </c>
      <c r="C300" s="120">
        <v>67</v>
      </c>
      <c r="D300" s="121" t="s">
        <v>374</v>
      </c>
      <c r="E300" s="486" t="s">
        <v>406</v>
      </c>
      <c r="F300" s="486"/>
      <c r="G300" s="486" t="s">
        <v>407</v>
      </c>
      <c r="H300" s="486"/>
      <c r="I300" s="486"/>
      <c r="J300" s="486"/>
      <c r="K300" s="121" t="s">
        <v>385</v>
      </c>
      <c r="L300" s="122">
        <v>1</v>
      </c>
      <c r="M300" s="123" t="s">
        <v>657</v>
      </c>
      <c r="N300" s="117"/>
    </row>
    <row r="301" spans="1:14" ht="17.25" thickBot="1">
      <c r="A301" s="126" t="str">
        <f t="shared" si="10"/>
        <v>2025/08</v>
      </c>
      <c r="B301" s="127" t="str">
        <f t="shared" si="11"/>
        <v>2025/08站前11樓</v>
      </c>
      <c r="C301" s="120">
        <v>68</v>
      </c>
      <c r="D301" s="121" t="s">
        <v>374</v>
      </c>
      <c r="E301" s="486" t="s">
        <v>408</v>
      </c>
      <c r="F301" s="486"/>
      <c r="G301" s="486" t="s">
        <v>409</v>
      </c>
      <c r="H301" s="486"/>
      <c r="I301" s="486"/>
      <c r="J301" s="486"/>
      <c r="K301" s="121" t="s">
        <v>410</v>
      </c>
      <c r="L301" s="122">
        <v>1</v>
      </c>
      <c r="M301" s="123" t="s">
        <v>658</v>
      </c>
      <c r="N301" s="117"/>
    </row>
    <row r="302" spans="1:14" ht="17.25" thickBot="1">
      <c r="A302" s="126" t="str">
        <f t="shared" si="10"/>
        <v>2025/08</v>
      </c>
      <c r="B302" s="127" t="str">
        <f t="shared" si="11"/>
        <v>2025/08站前11樓</v>
      </c>
      <c r="C302" s="120">
        <v>69</v>
      </c>
      <c r="D302" s="121" t="s">
        <v>374</v>
      </c>
      <c r="E302" s="486" t="s">
        <v>255</v>
      </c>
      <c r="F302" s="486"/>
      <c r="G302" s="486" t="s">
        <v>256</v>
      </c>
      <c r="H302" s="486"/>
      <c r="I302" s="486"/>
      <c r="J302" s="486"/>
      <c r="K302" s="121" t="s">
        <v>257</v>
      </c>
      <c r="L302" s="122">
        <v>395</v>
      </c>
      <c r="M302" s="123" t="s">
        <v>660</v>
      </c>
      <c r="N302" s="117"/>
    </row>
    <row r="303" spans="1:14" ht="17.25" thickBot="1">
      <c r="A303" s="126" t="str">
        <f t="shared" si="10"/>
        <v>2025/08</v>
      </c>
      <c r="B303" s="127" t="str">
        <f t="shared" si="11"/>
        <v>2025/08站前11樓</v>
      </c>
      <c r="C303" s="120">
        <v>70</v>
      </c>
      <c r="D303" s="121" t="s">
        <v>374</v>
      </c>
      <c r="E303" s="486" t="s">
        <v>258</v>
      </c>
      <c r="F303" s="486"/>
      <c r="G303" s="486" t="s">
        <v>259</v>
      </c>
      <c r="H303" s="486"/>
      <c r="I303" s="486"/>
      <c r="J303" s="486"/>
      <c r="K303" s="121"/>
      <c r="L303" s="122">
        <v>2</v>
      </c>
      <c r="M303" s="123" t="s">
        <v>661</v>
      </c>
      <c r="N303" s="117"/>
    </row>
    <row r="304" spans="1:14" ht="17.25" thickBot="1">
      <c r="A304" s="126" t="str">
        <f t="shared" si="10"/>
        <v>2025/08</v>
      </c>
      <c r="B304" s="127" t="str">
        <f t="shared" si="11"/>
        <v>2025/08站前11樓</v>
      </c>
      <c r="C304" s="120">
        <v>71</v>
      </c>
      <c r="D304" s="121" t="s">
        <v>374</v>
      </c>
      <c r="E304" s="486" t="s">
        <v>260</v>
      </c>
      <c r="F304" s="486"/>
      <c r="G304" s="486" t="s">
        <v>261</v>
      </c>
      <c r="H304" s="486"/>
      <c r="I304" s="486"/>
      <c r="J304" s="486"/>
      <c r="K304" s="121" t="s">
        <v>254</v>
      </c>
      <c r="L304" s="122">
        <v>2</v>
      </c>
      <c r="M304" s="123" t="s">
        <v>662</v>
      </c>
      <c r="N304" s="117"/>
    </row>
    <row r="305" spans="1:14" ht="17.25" thickBot="1">
      <c r="A305" s="126" t="str">
        <f t="shared" si="10"/>
        <v>2025/08</v>
      </c>
      <c r="B305" s="127" t="str">
        <f t="shared" si="11"/>
        <v>2025/08站前11樓</v>
      </c>
      <c r="C305" s="120">
        <v>72</v>
      </c>
      <c r="D305" s="121" t="s">
        <v>374</v>
      </c>
      <c r="E305" s="486" t="s">
        <v>415</v>
      </c>
      <c r="F305" s="486"/>
      <c r="G305" s="486" t="s">
        <v>416</v>
      </c>
      <c r="H305" s="486"/>
      <c r="I305" s="486"/>
      <c r="J305" s="486"/>
      <c r="K305" s="121" t="s">
        <v>254</v>
      </c>
      <c r="L305" s="122">
        <v>2</v>
      </c>
      <c r="M305" s="123" t="s">
        <v>668</v>
      </c>
      <c r="N305" s="117"/>
    </row>
    <row r="306" spans="1:14" ht="17.25" thickBot="1">
      <c r="A306" s="126" t="str">
        <f t="shared" si="10"/>
        <v>2025/08</v>
      </c>
      <c r="B306" s="127" t="str">
        <f t="shared" si="11"/>
        <v>2025/08站前11樓</v>
      </c>
      <c r="C306" s="120">
        <v>73</v>
      </c>
      <c r="D306" s="121" t="s">
        <v>374</v>
      </c>
      <c r="E306" s="486" t="s">
        <v>252</v>
      </c>
      <c r="F306" s="486"/>
      <c r="G306" s="486" t="s">
        <v>253</v>
      </c>
      <c r="H306" s="486"/>
      <c r="I306" s="486"/>
      <c r="J306" s="486"/>
      <c r="K306" s="121" t="s">
        <v>254</v>
      </c>
      <c r="L306" s="122">
        <v>2</v>
      </c>
      <c r="M306" s="123" t="s">
        <v>665</v>
      </c>
      <c r="N306" s="117"/>
    </row>
    <row r="307" spans="1:14" ht="17.25" thickBot="1">
      <c r="A307" s="126" t="str">
        <f t="shared" si="10"/>
        <v>2025/08</v>
      </c>
      <c r="B307" s="127" t="str">
        <f t="shared" si="11"/>
        <v>2025/08站前11樓</v>
      </c>
      <c r="C307" s="120">
        <v>74</v>
      </c>
      <c r="D307" s="121" t="s">
        <v>374</v>
      </c>
      <c r="E307" s="486" t="s">
        <v>389</v>
      </c>
      <c r="F307" s="486"/>
      <c r="G307" s="486" t="s">
        <v>390</v>
      </c>
      <c r="H307" s="486"/>
      <c r="I307" s="486"/>
      <c r="J307" s="486"/>
      <c r="K307" s="121" t="s">
        <v>391</v>
      </c>
      <c r="L307" s="122">
        <v>63</v>
      </c>
      <c r="M307" s="123" t="s">
        <v>106</v>
      </c>
      <c r="N307" s="117"/>
    </row>
    <row r="308" spans="1:14" ht="17.25" thickBot="1">
      <c r="A308" s="126" t="str">
        <f t="shared" si="10"/>
        <v>2025/08</v>
      </c>
      <c r="B308" s="127" t="str">
        <f t="shared" si="11"/>
        <v>2025/08站前11樓</v>
      </c>
      <c r="C308" s="120">
        <v>75</v>
      </c>
      <c r="D308" s="121" t="s">
        <v>374</v>
      </c>
      <c r="E308" s="486" t="s">
        <v>439</v>
      </c>
      <c r="F308" s="486"/>
      <c r="G308" s="486" t="s">
        <v>440</v>
      </c>
      <c r="H308" s="486"/>
      <c r="I308" s="486"/>
      <c r="J308" s="486"/>
      <c r="K308" s="121" t="s">
        <v>145</v>
      </c>
      <c r="L308" s="122">
        <v>12</v>
      </c>
      <c r="M308" s="123"/>
      <c r="N308" s="117"/>
    </row>
    <row r="309" spans="1:14" ht="17.25" thickBot="1">
      <c r="A309" s="126" t="str">
        <f t="shared" si="10"/>
        <v>2025/08</v>
      </c>
      <c r="B309" s="127" t="str">
        <f t="shared" si="11"/>
        <v>2025/08站前11樓</v>
      </c>
      <c r="C309" s="120">
        <v>76</v>
      </c>
      <c r="D309" s="121" t="s">
        <v>374</v>
      </c>
      <c r="E309" s="486" t="s">
        <v>386</v>
      </c>
      <c r="F309" s="486"/>
      <c r="G309" s="486" t="s">
        <v>387</v>
      </c>
      <c r="H309" s="486"/>
      <c r="I309" s="486"/>
      <c r="J309" s="486"/>
      <c r="K309" s="121" t="s">
        <v>388</v>
      </c>
      <c r="L309" s="122">
        <v>1188</v>
      </c>
      <c r="M309" s="123" t="s">
        <v>101</v>
      </c>
      <c r="N309" s="117"/>
    </row>
    <row r="310" spans="1:14" ht="17.25" thickBot="1">
      <c r="A310" s="126" t="str">
        <f t="shared" si="10"/>
        <v>2025/08</v>
      </c>
      <c r="B310" s="127" t="str">
        <f t="shared" si="11"/>
        <v>2025/08站前11樓</v>
      </c>
      <c r="C310" s="120">
        <v>77</v>
      </c>
      <c r="D310" s="121" t="s">
        <v>374</v>
      </c>
      <c r="E310" s="486" t="s">
        <v>377</v>
      </c>
      <c r="F310" s="486"/>
      <c r="G310" s="486" t="s">
        <v>378</v>
      </c>
      <c r="H310" s="486"/>
      <c r="I310" s="486"/>
      <c r="J310" s="486"/>
      <c r="K310" s="121" t="s">
        <v>379</v>
      </c>
      <c r="L310" s="122">
        <v>196</v>
      </c>
      <c r="M310" s="123"/>
      <c r="N310" s="117"/>
    </row>
    <row r="311" spans="1:14" ht="17.25" thickBot="1">
      <c r="A311" s="126" t="str">
        <f t="shared" si="10"/>
        <v>2025/08</v>
      </c>
      <c r="B311" s="127" t="str">
        <f t="shared" si="11"/>
        <v>2025/08站前11樓</v>
      </c>
      <c r="C311" s="120">
        <v>78</v>
      </c>
      <c r="D311" s="121" t="s">
        <v>374</v>
      </c>
      <c r="E311" s="486" t="s">
        <v>401</v>
      </c>
      <c r="F311" s="486"/>
      <c r="G311" s="486" t="s">
        <v>402</v>
      </c>
      <c r="H311" s="486"/>
      <c r="I311" s="486"/>
      <c r="J311" s="486"/>
      <c r="K311" s="121" t="s">
        <v>145</v>
      </c>
      <c r="L311" s="122">
        <v>7</v>
      </c>
      <c r="M311" s="123" t="s">
        <v>147</v>
      </c>
      <c r="N311" s="117"/>
    </row>
    <row r="312" spans="1:14" ht="17.25" thickBot="1">
      <c r="A312" s="126" t="str">
        <f t="shared" si="10"/>
        <v>2025/08</v>
      </c>
      <c r="B312" s="127" t="str">
        <f t="shared" si="11"/>
        <v>2025/08站前11樓</v>
      </c>
      <c r="C312" s="120">
        <v>79</v>
      </c>
      <c r="D312" s="121" t="s">
        <v>374</v>
      </c>
      <c r="E312" s="486" t="s">
        <v>417</v>
      </c>
      <c r="F312" s="486"/>
      <c r="G312" s="486" t="s">
        <v>418</v>
      </c>
      <c r="H312" s="486"/>
      <c r="I312" s="486"/>
      <c r="J312" s="486"/>
      <c r="K312" s="121" t="s">
        <v>145</v>
      </c>
      <c r="L312" s="122">
        <v>4</v>
      </c>
      <c r="M312" s="123" t="s">
        <v>148</v>
      </c>
      <c r="N312" s="117"/>
    </row>
    <row r="313" spans="1:14" ht="17.25" thickBot="1">
      <c r="A313" s="126" t="str">
        <f t="shared" si="10"/>
        <v>2025/08</v>
      </c>
      <c r="B313" s="127" t="str">
        <f t="shared" si="11"/>
        <v>2025/08站前11樓</v>
      </c>
      <c r="C313" s="120">
        <v>80</v>
      </c>
      <c r="D313" s="121" t="s">
        <v>374</v>
      </c>
      <c r="E313" s="486" t="s">
        <v>411</v>
      </c>
      <c r="F313" s="486"/>
      <c r="G313" s="486" t="s">
        <v>412</v>
      </c>
      <c r="H313" s="486"/>
      <c r="I313" s="486"/>
      <c r="J313" s="486"/>
      <c r="K313" s="121" t="s">
        <v>145</v>
      </c>
      <c r="L313" s="122">
        <v>24</v>
      </c>
      <c r="M313" s="123" t="s">
        <v>641</v>
      </c>
      <c r="N313" s="117"/>
    </row>
    <row r="314" spans="1:14" ht="17.25" thickBot="1">
      <c r="A314" s="126" t="str">
        <f t="shared" si="10"/>
        <v>2025/08</v>
      </c>
      <c r="B314" s="127" t="str">
        <f t="shared" si="11"/>
        <v>2025/08站前11樓</v>
      </c>
      <c r="C314" s="120">
        <v>81</v>
      </c>
      <c r="D314" s="121" t="s">
        <v>374</v>
      </c>
      <c r="E314" s="486" t="s">
        <v>375</v>
      </c>
      <c r="F314" s="486"/>
      <c r="G314" s="486" t="s">
        <v>376</v>
      </c>
      <c r="H314" s="486"/>
      <c r="I314" s="486"/>
      <c r="J314" s="486"/>
      <c r="K314" s="121" t="s">
        <v>145</v>
      </c>
      <c r="L314" s="122">
        <v>14</v>
      </c>
      <c r="M314" s="123" t="s">
        <v>642</v>
      </c>
      <c r="N314" s="117"/>
    </row>
    <row r="315" spans="1:14" ht="17.25" thickBot="1">
      <c r="A315" s="126" t="str">
        <f t="shared" si="10"/>
        <v>2025/08</v>
      </c>
      <c r="B315" s="127" t="str">
        <f t="shared" si="11"/>
        <v>2025/08站前11樓</v>
      </c>
      <c r="C315" s="120">
        <v>82</v>
      </c>
      <c r="D315" s="121" t="s">
        <v>374</v>
      </c>
      <c r="E315" s="486" t="s">
        <v>399</v>
      </c>
      <c r="F315" s="486"/>
      <c r="G315" s="486" t="s">
        <v>400</v>
      </c>
      <c r="H315" s="486"/>
      <c r="I315" s="486"/>
      <c r="J315" s="486"/>
      <c r="K315" s="121" t="s">
        <v>145</v>
      </c>
      <c r="L315" s="122">
        <v>11</v>
      </c>
      <c r="M315" s="123" t="s">
        <v>644</v>
      </c>
      <c r="N315" s="117"/>
    </row>
    <row r="316" spans="1:14" ht="17.25" thickBot="1">
      <c r="A316" s="126" t="str">
        <f t="shared" si="10"/>
        <v>2025/08</v>
      </c>
      <c r="B316" s="127" t="str">
        <f t="shared" si="11"/>
        <v>2025/08忠孝7樓</v>
      </c>
      <c r="C316" s="120">
        <v>83</v>
      </c>
      <c r="D316" s="121" t="s">
        <v>424</v>
      </c>
      <c r="E316" s="486" t="s">
        <v>360</v>
      </c>
      <c r="F316" s="486"/>
      <c r="G316" s="486" t="s">
        <v>361</v>
      </c>
      <c r="H316" s="486"/>
      <c r="I316" s="486"/>
      <c r="J316" s="486"/>
      <c r="K316" s="121" t="s">
        <v>362</v>
      </c>
      <c r="L316" s="122">
        <v>2</v>
      </c>
      <c r="M316" s="123" t="s">
        <v>653</v>
      </c>
      <c r="N316" s="117"/>
    </row>
    <row r="317" spans="1:14" ht="17.25" thickBot="1">
      <c r="A317" s="126" t="str">
        <f t="shared" si="10"/>
        <v>2025/08</v>
      </c>
      <c r="B317" s="127" t="str">
        <f t="shared" si="11"/>
        <v>2025/08忠孝7樓</v>
      </c>
      <c r="C317" s="120">
        <v>84</v>
      </c>
      <c r="D317" s="121" t="s">
        <v>424</v>
      </c>
      <c r="E317" s="486" t="s">
        <v>255</v>
      </c>
      <c r="F317" s="486"/>
      <c r="G317" s="486" t="s">
        <v>256</v>
      </c>
      <c r="H317" s="486"/>
      <c r="I317" s="486"/>
      <c r="J317" s="486"/>
      <c r="K317" s="121" t="s">
        <v>257</v>
      </c>
      <c r="L317" s="122">
        <v>234</v>
      </c>
      <c r="M317" s="123" t="s">
        <v>660</v>
      </c>
      <c r="N317" s="117"/>
    </row>
    <row r="318" spans="1:14" ht="17.25" thickBot="1">
      <c r="A318" s="126" t="str">
        <f t="shared" si="10"/>
        <v>2025/08</v>
      </c>
      <c r="B318" s="127" t="str">
        <f t="shared" si="11"/>
        <v>2025/08忠孝7樓</v>
      </c>
      <c r="C318" s="120">
        <v>85</v>
      </c>
      <c r="D318" s="121" t="s">
        <v>424</v>
      </c>
      <c r="E318" s="486" t="s">
        <v>258</v>
      </c>
      <c r="F318" s="486"/>
      <c r="G318" s="486" t="s">
        <v>259</v>
      </c>
      <c r="H318" s="486"/>
      <c r="I318" s="486"/>
      <c r="J318" s="486"/>
      <c r="K318" s="121"/>
      <c r="L318" s="122">
        <v>233</v>
      </c>
      <c r="M318" s="123" t="s">
        <v>661</v>
      </c>
      <c r="N318" s="117"/>
    </row>
    <row r="319" spans="1:14" ht="17.25" thickBot="1">
      <c r="A319" s="126" t="str">
        <f t="shared" si="10"/>
        <v>2025/08</v>
      </c>
      <c r="B319" s="127" t="str">
        <f t="shared" si="11"/>
        <v>2025/08忠孝7樓</v>
      </c>
      <c r="C319" s="120">
        <v>86</v>
      </c>
      <c r="D319" s="121" t="s">
        <v>424</v>
      </c>
      <c r="E319" s="486" t="s">
        <v>260</v>
      </c>
      <c r="F319" s="486"/>
      <c r="G319" s="486" t="s">
        <v>261</v>
      </c>
      <c r="H319" s="486"/>
      <c r="I319" s="486"/>
      <c r="J319" s="486"/>
      <c r="K319" s="121" t="s">
        <v>254</v>
      </c>
      <c r="L319" s="122">
        <v>233</v>
      </c>
      <c r="M319" s="123" t="s">
        <v>662</v>
      </c>
      <c r="N319" s="117"/>
    </row>
    <row r="320" spans="1:14" ht="17.25" thickBot="1">
      <c r="A320" s="126" t="str">
        <f t="shared" si="10"/>
        <v>2025/08</v>
      </c>
      <c r="B320" s="127" t="str">
        <f t="shared" si="11"/>
        <v>2025/08忠孝7樓</v>
      </c>
      <c r="C320" s="120">
        <v>87</v>
      </c>
      <c r="D320" s="121" t="s">
        <v>424</v>
      </c>
      <c r="E320" s="486" t="s">
        <v>262</v>
      </c>
      <c r="F320" s="486"/>
      <c r="G320" s="486" t="s">
        <v>263</v>
      </c>
      <c r="H320" s="486"/>
      <c r="I320" s="486"/>
      <c r="J320" s="486"/>
      <c r="K320" s="121" t="s">
        <v>254</v>
      </c>
      <c r="L320" s="122">
        <v>10</v>
      </c>
      <c r="M320" s="123" t="s">
        <v>663</v>
      </c>
      <c r="N320" s="117"/>
    </row>
    <row r="321" spans="1:14" ht="17.25" thickBot="1">
      <c r="A321" s="126" t="str">
        <f t="shared" si="10"/>
        <v>2025/08</v>
      </c>
      <c r="B321" s="127" t="str">
        <f t="shared" si="11"/>
        <v>2025/08忠孝7樓</v>
      </c>
      <c r="C321" s="120">
        <v>88</v>
      </c>
      <c r="D321" s="121" t="s">
        <v>424</v>
      </c>
      <c r="E321" s="486" t="s">
        <v>270</v>
      </c>
      <c r="F321" s="486"/>
      <c r="G321" s="486" t="s">
        <v>271</v>
      </c>
      <c r="H321" s="486"/>
      <c r="I321" s="486"/>
      <c r="J321" s="486"/>
      <c r="K321" s="121" t="s">
        <v>272</v>
      </c>
      <c r="L321" s="122">
        <v>84</v>
      </c>
      <c r="M321" s="123" t="s">
        <v>664</v>
      </c>
      <c r="N321" s="117"/>
    </row>
    <row r="322" spans="1:14" ht="17.25" thickBot="1">
      <c r="A322" s="126" t="str">
        <f t="shared" si="10"/>
        <v>2025/08</v>
      </c>
      <c r="B322" s="127" t="str">
        <f t="shared" si="11"/>
        <v>2025/08忠孝7樓</v>
      </c>
      <c r="C322" s="120">
        <v>89</v>
      </c>
      <c r="D322" s="121" t="s">
        <v>424</v>
      </c>
      <c r="E322" s="486" t="s">
        <v>252</v>
      </c>
      <c r="F322" s="486"/>
      <c r="G322" s="486" t="s">
        <v>253</v>
      </c>
      <c r="H322" s="486"/>
      <c r="I322" s="486"/>
      <c r="J322" s="486"/>
      <c r="K322" s="121" t="s">
        <v>254</v>
      </c>
      <c r="L322" s="122">
        <v>235</v>
      </c>
      <c r="M322" s="123" t="s">
        <v>665</v>
      </c>
      <c r="N322" s="117"/>
    </row>
    <row r="323" spans="1:14" ht="17.25" thickBot="1">
      <c r="A323" s="126" t="str">
        <f t="shared" ref="A323:A386" si="12">IFERROR(LEFT(B323,7),"")</f>
        <v>2025/08</v>
      </c>
      <c r="B323" s="127" t="str">
        <f t="shared" si="11"/>
        <v>2025/08忠孝7樓</v>
      </c>
      <c r="C323" s="120">
        <v>90</v>
      </c>
      <c r="D323" s="121" t="s">
        <v>424</v>
      </c>
      <c r="E323" s="486" t="s">
        <v>429</v>
      </c>
      <c r="F323" s="486"/>
      <c r="G323" s="486" t="s">
        <v>430</v>
      </c>
      <c r="H323" s="486"/>
      <c r="I323" s="486"/>
      <c r="J323" s="486"/>
      <c r="K323" s="121" t="s">
        <v>272</v>
      </c>
      <c r="L323" s="122">
        <v>3</v>
      </c>
      <c r="M323" s="123" t="s">
        <v>666</v>
      </c>
      <c r="N323" s="117"/>
    </row>
    <row r="324" spans="1:14" ht="17.25" thickBot="1">
      <c r="A324" s="126" t="str">
        <f t="shared" si="12"/>
        <v>2025/08</v>
      </c>
      <c r="B324" s="127" t="str">
        <f t="shared" si="11"/>
        <v>2025/08忠孝7樓</v>
      </c>
      <c r="C324" s="120">
        <v>91</v>
      </c>
      <c r="D324" s="121" t="s">
        <v>424</v>
      </c>
      <c r="E324" s="486" t="s">
        <v>305</v>
      </c>
      <c r="F324" s="486"/>
      <c r="G324" s="486" t="s">
        <v>306</v>
      </c>
      <c r="H324" s="486"/>
      <c r="I324" s="486"/>
      <c r="J324" s="486"/>
      <c r="K324" s="121" t="s">
        <v>266</v>
      </c>
      <c r="L324" s="122">
        <v>3321</v>
      </c>
      <c r="M324" s="123" t="s">
        <v>638</v>
      </c>
      <c r="N324" s="117"/>
    </row>
    <row r="325" spans="1:14" ht="17.25" thickBot="1">
      <c r="A325" s="126" t="str">
        <f t="shared" si="12"/>
        <v>2025/08</v>
      </c>
      <c r="B325" s="127" t="str">
        <f t="shared" si="11"/>
        <v>2025/08忠孝7樓</v>
      </c>
      <c r="C325" s="120">
        <v>92</v>
      </c>
      <c r="D325" s="121" t="s">
        <v>424</v>
      </c>
      <c r="E325" s="486" t="s">
        <v>264</v>
      </c>
      <c r="F325" s="486"/>
      <c r="G325" s="486" t="s">
        <v>265</v>
      </c>
      <c r="H325" s="486"/>
      <c r="I325" s="486"/>
      <c r="J325" s="486"/>
      <c r="K325" s="121" t="s">
        <v>266</v>
      </c>
      <c r="L325" s="122">
        <v>2709</v>
      </c>
      <c r="M325" s="123" t="s">
        <v>639</v>
      </c>
      <c r="N325" s="117"/>
    </row>
    <row r="326" spans="1:14" ht="17.25" thickBot="1">
      <c r="A326" s="126" t="str">
        <f t="shared" si="12"/>
        <v>2025/08</v>
      </c>
      <c r="B326" s="127" t="str">
        <f t="shared" si="11"/>
        <v>2025/08忠孝7樓</v>
      </c>
      <c r="C326" s="120">
        <v>93</v>
      </c>
      <c r="D326" s="121" t="s">
        <v>424</v>
      </c>
      <c r="E326" s="486" t="s">
        <v>307</v>
      </c>
      <c r="F326" s="486"/>
      <c r="G326" s="486" t="s">
        <v>308</v>
      </c>
      <c r="H326" s="486"/>
      <c r="I326" s="486"/>
      <c r="J326" s="486"/>
      <c r="K326" s="121" t="s">
        <v>266</v>
      </c>
      <c r="L326" s="122">
        <v>2105</v>
      </c>
      <c r="M326" s="123" t="s">
        <v>640</v>
      </c>
      <c r="N326" s="117"/>
    </row>
    <row r="327" spans="1:14" ht="17.25" thickBot="1">
      <c r="A327" s="126" t="str">
        <f t="shared" si="12"/>
        <v>2025/08</v>
      </c>
      <c r="B327" s="127" t="str">
        <f t="shared" si="11"/>
        <v>2025/08忠孝7樓</v>
      </c>
      <c r="C327" s="120">
        <v>94</v>
      </c>
      <c r="D327" s="121" t="s">
        <v>424</v>
      </c>
      <c r="E327" s="486" t="s">
        <v>313</v>
      </c>
      <c r="F327" s="486"/>
      <c r="G327" s="486" t="s">
        <v>314</v>
      </c>
      <c r="H327" s="486"/>
      <c r="I327" s="486"/>
      <c r="J327" s="486"/>
      <c r="K327" s="121" t="s">
        <v>301</v>
      </c>
      <c r="L327" s="122">
        <v>76</v>
      </c>
      <c r="M327" s="123" t="s">
        <v>14</v>
      </c>
      <c r="N327" s="117"/>
    </row>
    <row r="328" spans="1:14" ht="17.25" thickBot="1">
      <c r="A328" s="126" t="str">
        <f t="shared" si="12"/>
        <v>2025/08</v>
      </c>
      <c r="B328" s="127" t="str">
        <f t="shared" si="11"/>
        <v>2025/08忠孝7樓</v>
      </c>
      <c r="C328" s="120">
        <v>95</v>
      </c>
      <c r="D328" s="121" t="s">
        <v>424</v>
      </c>
      <c r="E328" s="486" t="s">
        <v>343</v>
      </c>
      <c r="F328" s="486"/>
      <c r="G328" s="486" t="s">
        <v>344</v>
      </c>
      <c r="H328" s="486"/>
      <c r="I328" s="486"/>
      <c r="J328" s="486"/>
      <c r="K328" s="121" t="s">
        <v>301</v>
      </c>
      <c r="L328" s="122">
        <v>3</v>
      </c>
      <c r="M328" s="123" t="s">
        <v>18</v>
      </c>
      <c r="N328" s="117"/>
    </row>
    <row r="329" spans="1:14" ht="17.25" thickBot="1">
      <c r="A329" s="126" t="str">
        <f t="shared" si="12"/>
        <v>2025/08</v>
      </c>
      <c r="B329" s="127" t="str">
        <f t="shared" si="11"/>
        <v>2025/08忠孝7樓</v>
      </c>
      <c r="C329" s="120">
        <v>96</v>
      </c>
      <c r="D329" s="121" t="s">
        <v>424</v>
      </c>
      <c r="E329" s="486" t="s">
        <v>427</v>
      </c>
      <c r="F329" s="486"/>
      <c r="G329" s="486" t="s">
        <v>428</v>
      </c>
      <c r="H329" s="486"/>
      <c r="I329" s="486"/>
      <c r="J329" s="486"/>
      <c r="K329" s="121" t="s">
        <v>301</v>
      </c>
      <c r="L329" s="122">
        <v>1</v>
      </c>
      <c r="M329" s="123" t="s">
        <v>19</v>
      </c>
      <c r="N329" s="117"/>
    </row>
    <row r="330" spans="1:14" ht="17.25" thickBot="1">
      <c r="A330" s="126" t="str">
        <f t="shared" si="12"/>
        <v>2025/08</v>
      </c>
      <c r="B330" s="127" t="str">
        <f t="shared" si="11"/>
        <v>2025/08忠孝7樓</v>
      </c>
      <c r="C330" s="120">
        <v>97</v>
      </c>
      <c r="D330" s="121" t="s">
        <v>424</v>
      </c>
      <c r="E330" s="486" t="s">
        <v>349</v>
      </c>
      <c r="F330" s="486"/>
      <c r="G330" s="486" t="s">
        <v>350</v>
      </c>
      <c r="H330" s="486"/>
      <c r="I330" s="486"/>
      <c r="J330" s="486"/>
      <c r="K330" s="121" t="s">
        <v>301</v>
      </c>
      <c r="L330" s="122">
        <v>39</v>
      </c>
      <c r="M330" s="123" t="s">
        <v>20</v>
      </c>
      <c r="N330" s="117"/>
    </row>
    <row r="331" spans="1:14" ht="17.25" thickBot="1">
      <c r="A331" s="126" t="str">
        <f t="shared" si="12"/>
        <v>2025/08</v>
      </c>
      <c r="B331" s="127" t="str">
        <f t="shared" si="11"/>
        <v>2025/08忠孝7樓</v>
      </c>
      <c r="C331" s="120">
        <v>98</v>
      </c>
      <c r="D331" s="121" t="s">
        <v>424</v>
      </c>
      <c r="E331" s="486" t="s">
        <v>366</v>
      </c>
      <c r="F331" s="486"/>
      <c r="G331" s="486" t="s">
        <v>367</v>
      </c>
      <c r="H331" s="486"/>
      <c r="I331" s="486"/>
      <c r="J331" s="486"/>
      <c r="K331" s="121" t="s">
        <v>301</v>
      </c>
      <c r="L331" s="122">
        <v>4</v>
      </c>
      <c r="M331" s="123" t="s">
        <v>22</v>
      </c>
      <c r="N331" s="117"/>
    </row>
    <row r="332" spans="1:14" ht="17.25" thickBot="1">
      <c r="A332" s="126" t="str">
        <f t="shared" si="12"/>
        <v>2025/08</v>
      </c>
      <c r="B332" s="127" t="str">
        <f t="shared" si="11"/>
        <v>2025/08忠孝7樓</v>
      </c>
      <c r="C332" s="120">
        <v>99</v>
      </c>
      <c r="D332" s="121" t="s">
        <v>424</v>
      </c>
      <c r="E332" s="486" t="s">
        <v>282</v>
      </c>
      <c r="F332" s="486"/>
      <c r="G332" s="486" t="s">
        <v>283</v>
      </c>
      <c r="H332" s="486"/>
      <c r="I332" s="486"/>
      <c r="J332" s="486"/>
      <c r="K332" s="121" t="s">
        <v>284</v>
      </c>
      <c r="L332" s="122">
        <v>71</v>
      </c>
      <c r="M332" s="123" t="s">
        <v>65</v>
      </c>
      <c r="N332" s="117"/>
    </row>
    <row r="333" spans="1:14" ht="17.25" thickBot="1">
      <c r="A333" s="126" t="str">
        <f t="shared" si="12"/>
        <v>2025/08</v>
      </c>
      <c r="B333" s="127" t="str">
        <f t="shared" si="11"/>
        <v>2025/08忠孝7樓</v>
      </c>
      <c r="C333" s="120">
        <v>100</v>
      </c>
      <c r="D333" s="121" t="s">
        <v>424</v>
      </c>
      <c r="E333" s="486" t="s">
        <v>345</v>
      </c>
      <c r="F333" s="486"/>
      <c r="G333" s="486" t="s">
        <v>346</v>
      </c>
      <c r="H333" s="486"/>
      <c r="I333" s="486"/>
      <c r="J333" s="486"/>
      <c r="K333" s="121" t="s">
        <v>284</v>
      </c>
      <c r="L333" s="122">
        <v>10</v>
      </c>
      <c r="M333" s="123" t="s">
        <v>67</v>
      </c>
      <c r="N333" s="117"/>
    </row>
    <row r="334" spans="1:14" ht="17.25" thickBot="1">
      <c r="A334" s="126" t="str">
        <f t="shared" si="12"/>
        <v>2025/08</v>
      </c>
      <c r="B334" s="127" t="str">
        <f t="shared" si="11"/>
        <v>2025/08忠孝7樓</v>
      </c>
      <c r="C334" s="120">
        <v>101</v>
      </c>
      <c r="D334" s="121" t="s">
        <v>424</v>
      </c>
      <c r="E334" s="486" t="s">
        <v>311</v>
      </c>
      <c r="F334" s="486"/>
      <c r="G334" s="486" t="s">
        <v>312</v>
      </c>
      <c r="H334" s="486"/>
      <c r="I334" s="486"/>
      <c r="J334" s="486"/>
      <c r="K334" s="121" t="s">
        <v>284</v>
      </c>
      <c r="L334" s="122">
        <v>3</v>
      </c>
      <c r="M334" s="123" t="s">
        <v>72</v>
      </c>
      <c r="N334" s="117"/>
    </row>
    <row r="335" spans="1:14" ht="17.25" thickBot="1">
      <c r="A335" s="126" t="str">
        <f t="shared" si="12"/>
        <v>2025/08</v>
      </c>
      <c r="B335" s="127" t="str">
        <f t="shared" si="11"/>
        <v>2025/08忠孝7樓</v>
      </c>
      <c r="C335" s="120">
        <v>102</v>
      </c>
      <c r="D335" s="121" t="s">
        <v>424</v>
      </c>
      <c r="E335" s="486" t="s">
        <v>299</v>
      </c>
      <c r="F335" s="486"/>
      <c r="G335" s="486" t="s">
        <v>300</v>
      </c>
      <c r="H335" s="486"/>
      <c r="I335" s="486"/>
      <c r="J335" s="486"/>
      <c r="K335" s="121" t="s">
        <v>301</v>
      </c>
      <c r="L335" s="122">
        <v>102</v>
      </c>
      <c r="M335" s="123" t="s">
        <v>68</v>
      </c>
      <c r="N335" s="117"/>
    </row>
    <row r="336" spans="1:14" ht="17.25" thickBot="1">
      <c r="A336" s="126" t="str">
        <f t="shared" si="12"/>
        <v>2025/08</v>
      </c>
      <c r="B336" s="127" t="str">
        <f t="shared" si="11"/>
        <v>2025/08忠孝7樓</v>
      </c>
      <c r="C336" s="120">
        <v>103</v>
      </c>
      <c r="D336" s="121" t="s">
        <v>424</v>
      </c>
      <c r="E336" s="486" t="s">
        <v>347</v>
      </c>
      <c r="F336" s="486"/>
      <c r="G336" s="486" t="s">
        <v>348</v>
      </c>
      <c r="H336" s="486"/>
      <c r="I336" s="486"/>
      <c r="J336" s="486"/>
      <c r="K336" s="121" t="s">
        <v>301</v>
      </c>
      <c r="L336" s="122">
        <v>31</v>
      </c>
      <c r="M336" s="123" t="s">
        <v>71</v>
      </c>
      <c r="N336" s="117"/>
    </row>
    <row r="337" spans="1:14" ht="17.25" thickBot="1">
      <c r="A337" s="126" t="str">
        <f t="shared" si="12"/>
        <v>2025/08</v>
      </c>
      <c r="B337" s="127" t="str">
        <f t="shared" si="11"/>
        <v>2025/08忠孝7樓</v>
      </c>
      <c r="C337" s="120">
        <v>104</v>
      </c>
      <c r="D337" s="121" t="s">
        <v>424</v>
      </c>
      <c r="E337" s="486" t="s">
        <v>317</v>
      </c>
      <c r="F337" s="486"/>
      <c r="G337" s="486" t="s">
        <v>318</v>
      </c>
      <c r="H337" s="486"/>
      <c r="I337" s="486"/>
      <c r="J337" s="486"/>
      <c r="K337" s="121" t="s">
        <v>319</v>
      </c>
      <c r="L337" s="122">
        <v>4</v>
      </c>
      <c r="M337" s="123" t="s">
        <v>75</v>
      </c>
      <c r="N337" s="117"/>
    </row>
    <row r="338" spans="1:14" ht="17.25" thickBot="1">
      <c r="A338" s="126" t="str">
        <f t="shared" si="12"/>
        <v>2025/08</v>
      </c>
      <c r="B338" s="127" t="str">
        <f t="shared" si="11"/>
        <v>2025/08忠孝7樓</v>
      </c>
      <c r="C338" s="120">
        <v>105</v>
      </c>
      <c r="D338" s="121" t="s">
        <v>424</v>
      </c>
      <c r="E338" s="486" t="s">
        <v>321</v>
      </c>
      <c r="F338" s="486"/>
      <c r="G338" s="486" t="s">
        <v>322</v>
      </c>
      <c r="H338" s="486"/>
      <c r="I338" s="486"/>
      <c r="J338" s="486"/>
      <c r="K338" s="121" t="s">
        <v>275</v>
      </c>
      <c r="L338" s="122">
        <v>10</v>
      </c>
      <c r="M338" s="123" t="s">
        <v>41</v>
      </c>
      <c r="N338" s="117"/>
    </row>
    <row r="339" spans="1:14" ht="17.25" thickBot="1">
      <c r="A339" s="126" t="str">
        <f t="shared" si="12"/>
        <v>2025/08</v>
      </c>
      <c r="B339" s="127" t="str">
        <f t="shared" si="11"/>
        <v>2025/08忠孝7樓</v>
      </c>
      <c r="C339" s="120">
        <v>106</v>
      </c>
      <c r="D339" s="121" t="s">
        <v>424</v>
      </c>
      <c r="E339" s="486" t="s">
        <v>372</v>
      </c>
      <c r="F339" s="486"/>
      <c r="G339" s="486" t="s">
        <v>373</v>
      </c>
      <c r="H339" s="486"/>
      <c r="I339" s="486"/>
      <c r="J339" s="486"/>
      <c r="K339" s="121" t="s">
        <v>278</v>
      </c>
      <c r="L339" s="122">
        <v>6</v>
      </c>
      <c r="M339" s="123" t="s">
        <v>45</v>
      </c>
      <c r="N339" s="117"/>
    </row>
    <row r="340" spans="1:14" ht="17.25" thickBot="1">
      <c r="A340" s="126" t="str">
        <f t="shared" si="12"/>
        <v>2025/08</v>
      </c>
      <c r="B340" s="127" t="str">
        <f t="shared" si="11"/>
        <v>2025/08忠孝7樓</v>
      </c>
      <c r="C340" s="120">
        <v>107</v>
      </c>
      <c r="D340" s="121" t="s">
        <v>424</v>
      </c>
      <c r="E340" s="486" t="s">
        <v>276</v>
      </c>
      <c r="F340" s="486"/>
      <c r="G340" s="486" t="s">
        <v>277</v>
      </c>
      <c r="H340" s="486"/>
      <c r="I340" s="486"/>
      <c r="J340" s="486"/>
      <c r="K340" s="121" t="s">
        <v>278</v>
      </c>
      <c r="L340" s="122">
        <v>75</v>
      </c>
      <c r="M340" s="123" t="s">
        <v>55</v>
      </c>
      <c r="N340" s="117"/>
    </row>
    <row r="341" spans="1:14" ht="17.25" thickBot="1">
      <c r="A341" s="126" t="str">
        <f t="shared" si="12"/>
        <v>2025/08</v>
      </c>
      <c r="B341" s="127" t="str">
        <f t="shared" si="11"/>
        <v>2025/08忠孝7樓</v>
      </c>
      <c r="C341" s="120">
        <v>108</v>
      </c>
      <c r="D341" s="121" t="s">
        <v>424</v>
      </c>
      <c r="E341" s="486" t="s">
        <v>273</v>
      </c>
      <c r="F341" s="486"/>
      <c r="G341" s="486" t="s">
        <v>274</v>
      </c>
      <c r="H341" s="486"/>
      <c r="I341" s="486"/>
      <c r="J341" s="486"/>
      <c r="K341" s="121" t="s">
        <v>275</v>
      </c>
      <c r="L341" s="122">
        <v>324</v>
      </c>
      <c r="M341" s="123" t="s">
        <v>52</v>
      </c>
      <c r="N341" s="117"/>
    </row>
    <row r="342" spans="1:14" ht="17.25" thickBot="1">
      <c r="A342" s="126" t="str">
        <f t="shared" si="12"/>
        <v>2025/08</v>
      </c>
      <c r="B342" s="127" t="str">
        <f t="shared" si="11"/>
        <v>2025/08忠孝7樓</v>
      </c>
      <c r="C342" s="120">
        <v>109</v>
      </c>
      <c r="D342" s="121" t="s">
        <v>424</v>
      </c>
      <c r="E342" s="486" t="s">
        <v>285</v>
      </c>
      <c r="F342" s="486"/>
      <c r="G342" s="486" t="s">
        <v>286</v>
      </c>
      <c r="H342" s="486"/>
      <c r="I342" s="486"/>
      <c r="J342" s="486"/>
      <c r="K342" s="121" t="s">
        <v>287</v>
      </c>
      <c r="L342" s="122">
        <v>15291</v>
      </c>
      <c r="M342" s="123" t="s">
        <v>89</v>
      </c>
      <c r="N342" s="117"/>
    </row>
    <row r="343" spans="1:14" ht="17.25" thickBot="1">
      <c r="A343" s="126" t="str">
        <f t="shared" si="12"/>
        <v>2025/08</v>
      </c>
      <c r="B343" s="127" t="str">
        <f t="shared" si="11"/>
        <v>2025/08忠孝7樓</v>
      </c>
      <c r="C343" s="120">
        <v>110</v>
      </c>
      <c r="D343" s="121" t="s">
        <v>424</v>
      </c>
      <c r="E343" s="486" t="s">
        <v>290</v>
      </c>
      <c r="F343" s="486"/>
      <c r="G343" s="486" t="s">
        <v>291</v>
      </c>
      <c r="H343" s="486"/>
      <c r="I343" s="486"/>
      <c r="J343" s="486"/>
      <c r="K343" s="121" t="s">
        <v>287</v>
      </c>
      <c r="L343" s="122">
        <v>41744</v>
      </c>
      <c r="M343" s="123" t="s">
        <v>91</v>
      </c>
      <c r="N343" s="117"/>
    </row>
    <row r="344" spans="1:14" ht="17.25" thickBot="1">
      <c r="A344" s="126" t="str">
        <f t="shared" si="12"/>
        <v>2025/08</v>
      </c>
      <c r="B344" s="127" t="str">
        <f t="shared" si="11"/>
        <v>2025/08忠孝7樓</v>
      </c>
      <c r="C344" s="120">
        <v>111</v>
      </c>
      <c r="D344" s="121" t="s">
        <v>424</v>
      </c>
      <c r="E344" s="486" t="s">
        <v>292</v>
      </c>
      <c r="F344" s="486"/>
      <c r="G344" s="486" t="s">
        <v>293</v>
      </c>
      <c r="H344" s="486"/>
      <c r="I344" s="486"/>
      <c r="J344" s="486"/>
      <c r="K344" s="121" t="s">
        <v>287</v>
      </c>
      <c r="L344" s="122">
        <v>74345</v>
      </c>
      <c r="M344" s="123" t="s">
        <v>92</v>
      </c>
      <c r="N344" s="117"/>
    </row>
    <row r="345" spans="1:14" ht="17.25" thickBot="1">
      <c r="A345" s="126" t="str">
        <f t="shared" si="12"/>
        <v>2025/08</v>
      </c>
      <c r="B345" s="127" t="str">
        <f t="shared" si="11"/>
        <v>2025/08忠孝7樓</v>
      </c>
      <c r="C345" s="120">
        <v>112</v>
      </c>
      <c r="D345" s="121" t="s">
        <v>424</v>
      </c>
      <c r="E345" s="486" t="s">
        <v>323</v>
      </c>
      <c r="F345" s="486"/>
      <c r="G345" s="486" t="s">
        <v>324</v>
      </c>
      <c r="H345" s="486"/>
      <c r="I345" s="486"/>
      <c r="J345" s="486"/>
      <c r="K345" s="121" t="s">
        <v>325</v>
      </c>
      <c r="L345" s="122">
        <v>16059</v>
      </c>
      <c r="M345" s="123" t="s">
        <v>93</v>
      </c>
      <c r="N345" s="117"/>
    </row>
    <row r="346" spans="1:14" ht="17.25" thickBot="1">
      <c r="A346" s="126" t="str">
        <f t="shared" si="12"/>
        <v>2025/08</v>
      </c>
      <c r="B346" s="127" t="str">
        <f t="shared" si="11"/>
        <v>2025/08忠孝7樓</v>
      </c>
      <c r="C346" s="120">
        <v>113</v>
      </c>
      <c r="D346" s="121" t="s">
        <v>424</v>
      </c>
      <c r="E346" s="486" t="s">
        <v>370</v>
      </c>
      <c r="F346" s="486"/>
      <c r="G346" s="486" t="s">
        <v>371</v>
      </c>
      <c r="H346" s="486"/>
      <c r="I346" s="486"/>
      <c r="J346" s="486"/>
      <c r="K346" s="121" t="s">
        <v>287</v>
      </c>
      <c r="L346" s="122">
        <v>400</v>
      </c>
      <c r="M346" s="123" t="s">
        <v>669</v>
      </c>
      <c r="N346" s="117"/>
    </row>
    <row r="347" spans="1:14" ht="17.25" thickBot="1">
      <c r="A347" s="126" t="str">
        <f t="shared" si="12"/>
        <v>2025/08</v>
      </c>
      <c r="B347" s="127" t="str">
        <f t="shared" si="11"/>
        <v>2025/08忠孝7樓</v>
      </c>
      <c r="C347" s="120">
        <v>114</v>
      </c>
      <c r="D347" s="121" t="s">
        <v>424</v>
      </c>
      <c r="E347" s="486" t="s">
        <v>338</v>
      </c>
      <c r="F347" s="486"/>
      <c r="G347" s="486" t="s">
        <v>339</v>
      </c>
      <c r="H347" s="486"/>
      <c r="I347" s="486"/>
      <c r="J347" s="486"/>
      <c r="K347" s="121" t="s">
        <v>287</v>
      </c>
      <c r="L347" s="122">
        <v>2898</v>
      </c>
      <c r="M347" s="123" t="s">
        <v>95</v>
      </c>
      <c r="N347" s="117"/>
    </row>
    <row r="348" spans="1:14" ht="17.25" thickBot="1">
      <c r="A348" s="126" t="str">
        <f t="shared" si="12"/>
        <v>2025/08</v>
      </c>
      <c r="B348" s="127" t="str">
        <f t="shared" si="11"/>
        <v>2025/08忠孝7樓</v>
      </c>
      <c r="C348" s="120">
        <v>115</v>
      </c>
      <c r="D348" s="121" t="s">
        <v>424</v>
      </c>
      <c r="E348" s="486" t="s">
        <v>326</v>
      </c>
      <c r="F348" s="486"/>
      <c r="G348" s="486" t="s">
        <v>327</v>
      </c>
      <c r="H348" s="486"/>
      <c r="I348" s="486"/>
      <c r="J348" s="486"/>
      <c r="K348" s="121" t="s">
        <v>287</v>
      </c>
      <c r="L348" s="122">
        <v>10261</v>
      </c>
      <c r="M348" s="123" t="s">
        <v>97</v>
      </c>
      <c r="N348" s="117"/>
    </row>
    <row r="349" spans="1:14" ht="17.25" thickBot="1">
      <c r="A349" s="126" t="str">
        <f t="shared" si="12"/>
        <v>2025/08</v>
      </c>
      <c r="B349" s="127" t="str">
        <f t="shared" si="11"/>
        <v>2025/08忠孝7樓</v>
      </c>
      <c r="C349" s="120">
        <v>116</v>
      </c>
      <c r="D349" s="121" t="s">
        <v>424</v>
      </c>
      <c r="E349" s="486" t="s">
        <v>328</v>
      </c>
      <c r="F349" s="486"/>
      <c r="G349" s="486" t="s">
        <v>329</v>
      </c>
      <c r="H349" s="486"/>
      <c r="I349" s="486"/>
      <c r="J349" s="486"/>
      <c r="K349" s="121" t="s">
        <v>287</v>
      </c>
      <c r="L349" s="122">
        <v>21577</v>
      </c>
      <c r="M349" s="123" t="s">
        <v>98</v>
      </c>
      <c r="N349" s="117"/>
    </row>
    <row r="350" spans="1:14" ht="17.25" thickBot="1">
      <c r="A350" s="126" t="str">
        <f t="shared" si="12"/>
        <v>2025/08</v>
      </c>
      <c r="B350" s="127" t="str">
        <f t="shared" si="11"/>
        <v>2025/08忠孝7樓</v>
      </c>
      <c r="C350" s="120">
        <v>117</v>
      </c>
      <c r="D350" s="121" t="s">
        <v>424</v>
      </c>
      <c r="E350" s="486" t="s">
        <v>330</v>
      </c>
      <c r="F350" s="486"/>
      <c r="G350" s="486" t="s">
        <v>331</v>
      </c>
      <c r="H350" s="486"/>
      <c r="I350" s="486"/>
      <c r="J350" s="486"/>
      <c r="K350" s="121" t="s">
        <v>287</v>
      </c>
      <c r="L350" s="122">
        <v>7968</v>
      </c>
      <c r="M350" s="123" t="s">
        <v>99</v>
      </c>
      <c r="N350" s="117"/>
    </row>
    <row r="351" spans="1:14" ht="17.25" thickBot="1">
      <c r="A351" s="126" t="str">
        <f t="shared" si="12"/>
        <v>2025/08</v>
      </c>
      <c r="B351" s="127" t="str">
        <f t="shared" si="11"/>
        <v>2025/08忠孝7樓</v>
      </c>
      <c r="C351" s="120">
        <v>118</v>
      </c>
      <c r="D351" s="121" t="s">
        <v>424</v>
      </c>
      <c r="E351" s="486" t="s">
        <v>302</v>
      </c>
      <c r="F351" s="486"/>
      <c r="G351" s="486" t="s">
        <v>303</v>
      </c>
      <c r="H351" s="486"/>
      <c r="I351" s="486"/>
      <c r="J351" s="486"/>
      <c r="K351" s="121" t="s">
        <v>304</v>
      </c>
      <c r="L351" s="122">
        <v>7301</v>
      </c>
      <c r="M351" s="123" t="s">
        <v>81</v>
      </c>
      <c r="N351" s="117"/>
    </row>
    <row r="352" spans="1:14" ht="17.25" thickBot="1">
      <c r="A352" s="126" t="str">
        <f t="shared" si="12"/>
        <v>2025/08</v>
      </c>
      <c r="B352" s="127" t="str">
        <f t="shared" si="11"/>
        <v>2025/08忠孝7樓</v>
      </c>
      <c r="C352" s="120">
        <v>119</v>
      </c>
      <c r="D352" s="121" t="s">
        <v>424</v>
      </c>
      <c r="E352" s="486" t="s">
        <v>363</v>
      </c>
      <c r="F352" s="486"/>
      <c r="G352" s="486" t="s">
        <v>364</v>
      </c>
      <c r="H352" s="486"/>
      <c r="I352" s="486"/>
      <c r="J352" s="486"/>
      <c r="K352" s="121" t="s">
        <v>365</v>
      </c>
      <c r="L352" s="122">
        <v>30201</v>
      </c>
      <c r="M352" s="123" t="s">
        <v>85</v>
      </c>
      <c r="N352" s="117"/>
    </row>
    <row r="353" spans="1:14" ht="17.25" thickBot="1">
      <c r="A353" s="126" t="str">
        <f t="shared" si="12"/>
        <v>2025/08</v>
      </c>
      <c r="B353" s="127" t="str">
        <f t="shared" si="11"/>
        <v>2025/08忠孝7樓</v>
      </c>
      <c r="C353" s="120">
        <v>120</v>
      </c>
      <c r="D353" s="121" t="s">
        <v>424</v>
      </c>
      <c r="E353" s="486" t="s">
        <v>279</v>
      </c>
      <c r="F353" s="486"/>
      <c r="G353" s="486" t="s">
        <v>280</v>
      </c>
      <c r="H353" s="486"/>
      <c r="I353" s="486"/>
      <c r="J353" s="486"/>
      <c r="K353" s="121" t="s">
        <v>281</v>
      </c>
      <c r="L353" s="122">
        <v>328302</v>
      </c>
      <c r="M353" s="123" t="s">
        <v>111</v>
      </c>
      <c r="N353" s="117"/>
    </row>
    <row r="354" spans="1:14" ht="17.25" thickBot="1">
      <c r="A354" s="126" t="str">
        <f t="shared" si="12"/>
        <v>2025/08</v>
      </c>
      <c r="B354" s="127" t="str">
        <f t="shared" si="11"/>
        <v>2025/08忠孝7樓</v>
      </c>
      <c r="C354" s="120">
        <v>121</v>
      </c>
      <c r="D354" s="121" t="s">
        <v>424</v>
      </c>
      <c r="E354" s="486" t="s">
        <v>288</v>
      </c>
      <c r="F354" s="486"/>
      <c r="G354" s="486" t="s">
        <v>289</v>
      </c>
      <c r="H354" s="486"/>
      <c r="I354" s="486"/>
      <c r="J354" s="486"/>
      <c r="K354" s="121" t="s">
        <v>281</v>
      </c>
      <c r="L354" s="122">
        <v>157931</v>
      </c>
      <c r="M354" s="123" t="s">
        <v>115</v>
      </c>
      <c r="N354" s="117"/>
    </row>
    <row r="355" spans="1:14" ht="17.25" thickBot="1">
      <c r="A355" s="126" t="str">
        <f t="shared" si="12"/>
        <v>2025/08</v>
      </c>
      <c r="B355" s="127" t="str">
        <f t="shared" si="11"/>
        <v>2025/08忠孝7樓</v>
      </c>
      <c r="C355" s="120">
        <v>122</v>
      </c>
      <c r="D355" s="121" t="s">
        <v>424</v>
      </c>
      <c r="E355" s="486" t="s">
        <v>332</v>
      </c>
      <c r="F355" s="486"/>
      <c r="G355" s="486" t="s">
        <v>333</v>
      </c>
      <c r="H355" s="486"/>
      <c r="I355" s="486"/>
      <c r="J355" s="486"/>
      <c r="K355" s="121" t="s">
        <v>334</v>
      </c>
      <c r="L355" s="122">
        <v>26442</v>
      </c>
      <c r="M355" s="123" t="s">
        <v>77</v>
      </c>
      <c r="N355" s="117"/>
    </row>
    <row r="356" spans="1:14" ht="17.25" thickBot="1">
      <c r="A356" s="126" t="str">
        <f t="shared" si="12"/>
        <v>2025/08</v>
      </c>
      <c r="B356" s="127" t="str">
        <f t="shared" si="11"/>
        <v>2025/08忠孝7樓</v>
      </c>
      <c r="C356" s="120">
        <v>123</v>
      </c>
      <c r="D356" s="121" t="s">
        <v>424</v>
      </c>
      <c r="E356" s="486" t="s">
        <v>335</v>
      </c>
      <c r="F356" s="486"/>
      <c r="G356" s="486" t="s">
        <v>336</v>
      </c>
      <c r="H356" s="486"/>
      <c r="I356" s="486"/>
      <c r="J356" s="486"/>
      <c r="K356" s="121" t="s">
        <v>337</v>
      </c>
      <c r="L356" s="122">
        <v>8160</v>
      </c>
      <c r="M356" s="123" t="s">
        <v>80</v>
      </c>
      <c r="N356" s="117"/>
    </row>
    <row r="357" spans="1:14" ht="17.25" thickBot="1">
      <c r="A357" s="126" t="str">
        <f t="shared" si="12"/>
        <v>2025/08</v>
      </c>
      <c r="B357" s="127" t="str">
        <f t="shared" si="11"/>
        <v>2025/08忠孝7樓</v>
      </c>
      <c r="C357" s="120">
        <v>124</v>
      </c>
      <c r="D357" s="121" t="s">
        <v>424</v>
      </c>
      <c r="E357" s="486" t="s">
        <v>441</v>
      </c>
      <c r="F357" s="486"/>
      <c r="G357" s="486" t="s">
        <v>442</v>
      </c>
      <c r="H357" s="486"/>
      <c r="I357" s="486"/>
      <c r="J357" s="486"/>
      <c r="K357" s="121" t="s">
        <v>325</v>
      </c>
      <c r="L357" s="122">
        <v>2</v>
      </c>
      <c r="M357" s="123"/>
      <c r="N357" s="117"/>
    </row>
    <row r="358" spans="1:14" ht="17.25" thickBot="1">
      <c r="A358" s="126" t="str">
        <f t="shared" si="12"/>
        <v>2025/08</v>
      </c>
      <c r="B358" s="127" t="str">
        <f t="shared" si="11"/>
        <v>2025/08忠孝7樓</v>
      </c>
      <c r="C358" s="120">
        <v>125</v>
      </c>
      <c r="D358" s="121" t="s">
        <v>424</v>
      </c>
      <c r="E358" s="486" t="s">
        <v>443</v>
      </c>
      <c r="F358" s="486"/>
      <c r="G358" s="486" t="s">
        <v>444</v>
      </c>
      <c r="H358" s="486"/>
      <c r="I358" s="486"/>
      <c r="J358" s="486"/>
      <c r="K358" s="121" t="s">
        <v>445</v>
      </c>
      <c r="L358" s="122">
        <v>4</v>
      </c>
      <c r="M358" s="123" t="s">
        <v>26</v>
      </c>
      <c r="N358" s="117"/>
    </row>
    <row r="359" spans="1:14" ht="17.25" thickBot="1">
      <c r="A359" s="126" t="str">
        <f t="shared" si="12"/>
        <v>2025/08</v>
      </c>
      <c r="B359" s="127" t="str">
        <f t="shared" si="11"/>
        <v>2025/08忠孝7樓</v>
      </c>
      <c r="C359" s="120">
        <v>126</v>
      </c>
      <c r="D359" s="121" t="s">
        <v>424</v>
      </c>
      <c r="E359" s="486" t="s">
        <v>357</v>
      </c>
      <c r="F359" s="486"/>
      <c r="G359" s="486" t="s">
        <v>358</v>
      </c>
      <c r="H359" s="486"/>
      <c r="I359" s="486"/>
      <c r="J359" s="486"/>
      <c r="K359" s="121" t="s">
        <v>353</v>
      </c>
      <c r="L359" s="122">
        <v>16</v>
      </c>
      <c r="M359" s="123" t="s">
        <v>28</v>
      </c>
      <c r="N359" s="117"/>
    </row>
    <row r="360" spans="1:14" ht="17.25" thickBot="1">
      <c r="A360" s="126" t="str">
        <f t="shared" si="12"/>
        <v>2025/08</v>
      </c>
      <c r="B360" s="127" t="str">
        <f t="shared" si="11"/>
        <v>2025/08忠孝7樓</v>
      </c>
      <c r="C360" s="120">
        <v>127</v>
      </c>
      <c r="D360" s="121" t="s">
        <v>424</v>
      </c>
      <c r="E360" s="486" t="s">
        <v>340</v>
      </c>
      <c r="F360" s="486"/>
      <c r="G360" s="486" t="s">
        <v>341</v>
      </c>
      <c r="H360" s="486"/>
      <c r="I360" s="486"/>
      <c r="J360" s="486"/>
      <c r="K360" s="121" t="s">
        <v>342</v>
      </c>
      <c r="L360" s="122">
        <v>10</v>
      </c>
      <c r="M360" s="123"/>
      <c r="N360" s="117"/>
    </row>
    <row r="361" spans="1:14" ht="17.25" thickBot="1">
      <c r="A361" s="126" t="str">
        <f t="shared" si="12"/>
        <v>2025/08</v>
      </c>
      <c r="B361" s="127" t="str">
        <f t="shared" si="11"/>
        <v>2025/08忠孝7樓</v>
      </c>
      <c r="C361" s="120">
        <v>128</v>
      </c>
      <c r="D361" s="121" t="s">
        <v>424</v>
      </c>
      <c r="E361" s="486" t="s">
        <v>354</v>
      </c>
      <c r="F361" s="486"/>
      <c r="G361" s="486" t="s">
        <v>355</v>
      </c>
      <c r="H361" s="486"/>
      <c r="I361" s="486"/>
      <c r="J361" s="486"/>
      <c r="K361" s="121" t="s">
        <v>356</v>
      </c>
      <c r="L361" s="122">
        <v>2</v>
      </c>
      <c r="M361" s="123" t="s">
        <v>650</v>
      </c>
      <c r="N361" s="117"/>
    </row>
    <row r="362" spans="1:14" ht="17.25" thickBot="1">
      <c r="A362" s="126" t="str">
        <f t="shared" si="12"/>
        <v>2025/08</v>
      </c>
      <c r="B362" s="127" t="str">
        <f t="shared" si="11"/>
        <v>2025/08忠孝7樓</v>
      </c>
      <c r="C362" s="120">
        <v>129</v>
      </c>
      <c r="D362" s="121" t="s">
        <v>424</v>
      </c>
      <c r="E362" s="486" t="s">
        <v>425</v>
      </c>
      <c r="F362" s="486"/>
      <c r="G362" s="486" t="s">
        <v>426</v>
      </c>
      <c r="H362" s="486"/>
      <c r="I362" s="486"/>
      <c r="J362" s="486"/>
      <c r="K362" s="121" t="s">
        <v>269</v>
      </c>
      <c r="L362" s="122">
        <v>5</v>
      </c>
      <c r="M362" s="123" t="s">
        <v>29</v>
      </c>
      <c r="N362" s="117"/>
    </row>
    <row r="363" spans="1:14" ht="17.25" thickBot="1">
      <c r="A363" s="126" t="str">
        <f t="shared" si="12"/>
        <v>2025/08</v>
      </c>
      <c r="B363" s="127" t="str">
        <f t="shared" ref="B363:B389" si="13">"2025/08"&amp;D363</f>
        <v>2025/08忠孝7樓</v>
      </c>
      <c r="C363" s="120">
        <v>130</v>
      </c>
      <c r="D363" s="121" t="s">
        <v>424</v>
      </c>
      <c r="E363" s="486" t="s">
        <v>309</v>
      </c>
      <c r="F363" s="486"/>
      <c r="G363" s="486" t="s">
        <v>310</v>
      </c>
      <c r="H363" s="486"/>
      <c r="I363" s="486"/>
      <c r="J363" s="486"/>
      <c r="K363" s="121" t="s">
        <v>269</v>
      </c>
      <c r="L363" s="122">
        <v>82</v>
      </c>
      <c r="M363" s="123" t="s">
        <v>30</v>
      </c>
      <c r="N363" s="117"/>
    </row>
    <row r="364" spans="1:14" ht="17.25" thickBot="1">
      <c r="A364" s="126" t="str">
        <f t="shared" si="12"/>
        <v>2025/08</v>
      </c>
      <c r="B364" s="127" t="str">
        <f t="shared" si="13"/>
        <v>2025/08忠孝7樓</v>
      </c>
      <c r="C364" s="120">
        <v>131</v>
      </c>
      <c r="D364" s="121" t="s">
        <v>424</v>
      </c>
      <c r="E364" s="486" t="s">
        <v>267</v>
      </c>
      <c r="F364" s="486"/>
      <c r="G364" s="486" t="s">
        <v>268</v>
      </c>
      <c r="H364" s="486"/>
      <c r="I364" s="486"/>
      <c r="J364" s="486"/>
      <c r="K364" s="121" t="s">
        <v>269</v>
      </c>
      <c r="L364" s="122">
        <v>5</v>
      </c>
      <c r="M364" s="123" t="s">
        <v>33</v>
      </c>
      <c r="N364" s="117"/>
    </row>
    <row r="365" spans="1:14" ht="17.25" thickBot="1">
      <c r="A365" s="126" t="str">
        <f t="shared" si="12"/>
        <v>2025/08</v>
      </c>
      <c r="B365" s="127" t="str">
        <f t="shared" si="13"/>
        <v>2025/08忠孝7樓</v>
      </c>
      <c r="C365" s="120">
        <v>132</v>
      </c>
      <c r="D365" s="121" t="s">
        <v>424</v>
      </c>
      <c r="E365" s="486" t="s">
        <v>315</v>
      </c>
      <c r="F365" s="486"/>
      <c r="G365" s="486" t="s">
        <v>316</v>
      </c>
      <c r="H365" s="486"/>
      <c r="I365" s="486"/>
      <c r="J365" s="486"/>
      <c r="K365" s="121" t="s">
        <v>296</v>
      </c>
      <c r="L365" s="122">
        <v>6</v>
      </c>
      <c r="M365" s="123" t="s">
        <v>62</v>
      </c>
      <c r="N365" s="117"/>
    </row>
    <row r="366" spans="1:14" ht="17.25" thickBot="1">
      <c r="A366" s="126" t="str">
        <f t="shared" si="12"/>
        <v>2025/08</v>
      </c>
      <c r="B366" s="127" t="str">
        <f t="shared" si="13"/>
        <v>2025/08忠孝7樓</v>
      </c>
      <c r="C366" s="120">
        <v>133</v>
      </c>
      <c r="D366" s="121" t="s">
        <v>424</v>
      </c>
      <c r="E366" s="486" t="s">
        <v>294</v>
      </c>
      <c r="F366" s="486"/>
      <c r="G366" s="486" t="s">
        <v>295</v>
      </c>
      <c r="H366" s="486"/>
      <c r="I366" s="486"/>
      <c r="J366" s="486"/>
      <c r="K366" s="121" t="s">
        <v>296</v>
      </c>
      <c r="L366" s="122">
        <v>9</v>
      </c>
      <c r="M366" s="123" t="s">
        <v>64</v>
      </c>
      <c r="N366" s="117"/>
    </row>
    <row r="367" spans="1:14" ht="17.25" thickBot="1">
      <c r="A367" s="126" t="str">
        <f t="shared" si="12"/>
        <v>2025/08</v>
      </c>
      <c r="B367" s="127" t="str">
        <f t="shared" si="13"/>
        <v>2025/08忠孝7樓</v>
      </c>
      <c r="C367" s="120">
        <v>134</v>
      </c>
      <c r="D367" s="121" t="s">
        <v>424</v>
      </c>
      <c r="E367" s="486" t="s">
        <v>237</v>
      </c>
      <c r="F367" s="486"/>
      <c r="G367" s="486" t="s">
        <v>238</v>
      </c>
      <c r="H367" s="486"/>
      <c r="I367" s="486"/>
      <c r="J367" s="486"/>
      <c r="K367" s="121" t="s">
        <v>239</v>
      </c>
      <c r="L367" s="122">
        <v>697</v>
      </c>
      <c r="M367" s="123" t="s">
        <v>117</v>
      </c>
      <c r="N367" s="117"/>
    </row>
    <row r="368" spans="1:14" ht="17.25" thickBot="1">
      <c r="A368" s="126" t="str">
        <f t="shared" si="12"/>
        <v>2025/08</v>
      </c>
      <c r="B368" s="127" t="str">
        <f t="shared" si="13"/>
        <v>2025/08忠孝7樓</v>
      </c>
      <c r="C368" s="120">
        <v>135</v>
      </c>
      <c r="D368" s="121" t="s">
        <v>424</v>
      </c>
      <c r="E368" s="486" t="s">
        <v>240</v>
      </c>
      <c r="F368" s="486"/>
      <c r="G368" s="486" t="s">
        <v>241</v>
      </c>
      <c r="H368" s="486"/>
      <c r="I368" s="486"/>
      <c r="J368" s="486"/>
      <c r="K368" s="121" t="s">
        <v>239</v>
      </c>
      <c r="L368" s="122">
        <v>697</v>
      </c>
      <c r="M368" s="123" t="s">
        <v>120</v>
      </c>
      <c r="N368" s="117"/>
    </row>
    <row r="369" spans="1:14" ht="17.25" thickBot="1">
      <c r="A369" s="126" t="str">
        <f t="shared" si="12"/>
        <v>2025/08</v>
      </c>
      <c r="B369" s="127" t="str">
        <f t="shared" si="13"/>
        <v>2025/08忠孝7樓</v>
      </c>
      <c r="C369" s="120">
        <v>136</v>
      </c>
      <c r="D369" s="121" t="s">
        <v>424</v>
      </c>
      <c r="E369" s="486" t="s">
        <v>242</v>
      </c>
      <c r="F369" s="486"/>
      <c r="G369" s="486" t="s">
        <v>243</v>
      </c>
      <c r="H369" s="486"/>
      <c r="I369" s="486"/>
      <c r="J369" s="486"/>
      <c r="K369" s="121" t="s">
        <v>239</v>
      </c>
      <c r="L369" s="122">
        <v>697</v>
      </c>
      <c r="M369" s="123" t="s">
        <v>121</v>
      </c>
      <c r="N369" s="117"/>
    </row>
    <row r="370" spans="1:14" ht="17.25" thickBot="1">
      <c r="A370" s="126" t="str">
        <f t="shared" si="12"/>
        <v>2025/08</v>
      </c>
      <c r="B370" s="127" t="str">
        <f t="shared" si="13"/>
        <v>2025/08忠孝7樓</v>
      </c>
      <c r="C370" s="120">
        <v>137</v>
      </c>
      <c r="D370" s="121" t="s">
        <v>424</v>
      </c>
      <c r="E370" s="486" t="s">
        <v>244</v>
      </c>
      <c r="F370" s="486"/>
      <c r="G370" s="486" t="s">
        <v>245</v>
      </c>
      <c r="H370" s="486"/>
      <c r="I370" s="486"/>
      <c r="J370" s="486"/>
      <c r="K370" s="121" t="s">
        <v>42</v>
      </c>
      <c r="L370" s="122">
        <v>10455</v>
      </c>
      <c r="M370" s="123" t="s">
        <v>123</v>
      </c>
      <c r="N370" s="117"/>
    </row>
    <row r="371" spans="1:14" ht="17.25" thickBot="1">
      <c r="A371" s="126" t="str">
        <f t="shared" si="12"/>
        <v>2025/08</v>
      </c>
      <c r="B371" s="127" t="str">
        <f t="shared" si="13"/>
        <v>2025/08忠孝7樓</v>
      </c>
      <c r="C371" s="120">
        <v>138</v>
      </c>
      <c r="D371" s="121" t="s">
        <v>424</v>
      </c>
      <c r="E371" s="486" t="s">
        <v>246</v>
      </c>
      <c r="F371" s="486"/>
      <c r="G371" s="486" t="s">
        <v>247</v>
      </c>
      <c r="H371" s="486"/>
      <c r="I371" s="486"/>
      <c r="J371" s="486"/>
      <c r="K371" s="121" t="s">
        <v>42</v>
      </c>
      <c r="L371" s="122">
        <v>10455</v>
      </c>
      <c r="M371" s="123" t="s">
        <v>127</v>
      </c>
      <c r="N371" s="117"/>
    </row>
    <row r="372" spans="1:14" ht="17.25" thickBot="1">
      <c r="A372" s="126" t="str">
        <f t="shared" si="12"/>
        <v>2025/08</v>
      </c>
      <c r="B372" s="127" t="str">
        <f t="shared" si="13"/>
        <v>2025/08忠孝7樓</v>
      </c>
      <c r="C372" s="120">
        <v>139</v>
      </c>
      <c r="D372" s="121" t="s">
        <v>424</v>
      </c>
      <c r="E372" s="486" t="s">
        <v>248</v>
      </c>
      <c r="F372" s="486"/>
      <c r="G372" s="486" t="s">
        <v>249</v>
      </c>
      <c r="H372" s="486"/>
      <c r="I372" s="486"/>
      <c r="J372" s="486"/>
      <c r="K372" s="121" t="s">
        <v>42</v>
      </c>
      <c r="L372" s="122">
        <v>10455</v>
      </c>
      <c r="M372" s="123" t="s">
        <v>129</v>
      </c>
      <c r="N372" s="117"/>
    </row>
    <row r="373" spans="1:14" ht="17.25" thickBot="1">
      <c r="A373" s="126" t="str">
        <f t="shared" si="12"/>
        <v>2025/08</v>
      </c>
      <c r="B373" s="127" t="str">
        <f t="shared" si="13"/>
        <v>2025/08忠孝7樓</v>
      </c>
      <c r="C373" s="120">
        <v>140</v>
      </c>
      <c r="D373" s="121" t="s">
        <v>424</v>
      </c>
      <c r="E373" s="486" t="s">
        <v>250</v>
      </c>
      <c r="F373" s="486"/>
      <c r="G373" s="486" t="s">
        <v>251</v>
      </c>
      <c r="H373" s="486"/>
      <c r="I373" s="486"/>
      <c r="J373" s="486"/>
      <c r="K373" s="121" t="s">
        <v>42</v>
      </c>
      <c r="L373" s="122">
        <v>5055</v>
      </c>
      <c r="M373" s="123" t="s">
        <v>131</v>
      </c>
      <c r="N373" s="117"/>
    </row>
    <row r="374" spans="1:14" ht="33.75" thickBot="1">
      <c r="A374" s="126" t="str">
        <f t="shared" si="12"/>
        <v>2025/08</v>
      </c>
      <c r="B374" s="127" t="str">
        <f t="shared" si="13"/>
        <v>2025/08忠孝國際醫學3樓</v>
      </c>
      <c r="C374" s="120">
        <v>141</v>
      </c>
      <c r="D374" s="121" t="s">
        <v>850</v>
      </c>
      <c r="E374" s="486" t="s">
        <v>392</v>
      </c>
      <c r="F374" s="486"/>
      <c r="G374" s="486" t="s">
        <v>393</v>
      </c>
      <c r="H374" s="486"/>
      <c r="I374" s="486"/>
      <c r="J374" s="486"/>
      <c r="K374" s="121" t="s">
        <v>382</v>
      </c>
      <c r="L374" s="122">
        <v>382</v>
      </c>
      <c r="M374" s="123" t="s">
        <v>152</v>
      </c>
      <c r="N374" s="117"/>
    </row>
    <row r="375" spans="1:14" ht="33.75" thickBot="1">
      <c r="A375" s="126" t="str">
        <f t="shared" si="12"/>
        <v>2025/08</v>
      </c>
      <c r="B375" s="127" t="str">
        <f t="shared" si="13"/>
        <v>2025/08忠孝國際醫學3樓</v>
      </c>
      <c r="C375" s="120">
        <v>142</v>
      </c>
      <c r="D375" s="121" t="s">
        <v>850</v>
      </c>
      <c r="E375" s="486" t="s">
        <v>380</v>
      </c>
      <c r="F375" s="486"/>
      <c r="G375" s="486" t="s">
        <v>381</v>
      </c>
      <c r="H375" s="486"/>
      <c r="I375" s="486"/>
      <c r="J375" s="486"/>
      <c r="K375" s="121" t="s">
        <v>382</v>
      </c>
      <c r="L375" s="122">
        <v>491</v>
      </c>
      <c r="M375" s="123" t="s">
        <v>155</v>
      </c>
      <c r="N375" s="117"/>
    </row>
    <row r="376" spans="1:14" ht="33.75" thickBot="1">
      <c r="A376" s="126" t="str">
        <f t="shared" si="12"/>
        <v>2025/08</v>
      </c>
      <c r="B376" s="127" t="str">
        <f t="shared" si="13"/>
        <v>2025/08忠孝國際醫學3樓</v>
      </c>
      <c r="C376" s="120">
        <v>143</v>
      </c>
      <c r="D376" s="121" t="s">
        <v>850</v>
      </c>
      <c r="E376" s="486" t="s">
        <v>360</v>
      </c>
      <c r="F376" s="486"/>
      <c r="G376" s="486" t="s">
        <v>361</v>
      </c>
      <c r="H376" s="486"/>
      <c r="I376" s="486"/>
      <c r="J376" s="486"/>
      <c r="K376" s="121" t="s">
        <v>362</v>
      </c>
      <c r="L376" s="122">
        <v>9</v>
      </c>
      <c r="M376" s="123" t="s">
        <v>653</v>
      </c>
      <c r="N376" s="117"/>
    </row>
    <row r="377" spans="1:14" ht="33.75" thickBot="1">
      <c r="A377" s="126" t="str">
        <f t="shared" si="12"/>
        <v>2025/08</v>
      </c>
      <c r="B377" s="127" t="str">
        <f t="shared" si="13"/>
        <v>2025/08忠孝國際醫學3樓</v>
      </c>
      <c r="C377" s="120">
        <v>144</v>
      </c>
      <c r="D377" s="121" t="s">
        <v>850</v>
      </c>
      <c r="E377" s="486" t="s">
        <v>383</v>
      </c>
      <c r="F377" s="486"/>
      <c r="G377" s="486" t="s">
        <v>384</v>
      </c>
      <c r="H377" s="486"/>
      <c r="I377" s="486"/>
      <c r="J377" s="486"/>
      <c r="K377" s="121" t="s">
        <v>385</v>
      </c>
      <c r="L377" s="122">
        <v>219</v>
      </c>
      <c r="M377" s="123" t="s">
        <v>654</v>
      </c>
      <c r="N377" s="117"/>
    </row>
    <row r="378" spans="1:14" ht="33.75" thickBot="1">
      <c r="A378" s="126" t="str">
        <f t="shared" si="12"/>
        <v>2025/08</v>
      </c>
      <c r="B378" s="127" t="str">
        <f t="shared" si="13"/>
        <v>2025/08忠孝國際醫學3樓</v>
      </c>
      <c r="C378" s="120">
        <v>145</v>
      </c>
      <c r="D378" s="121" t="s">
        <v>850</v>
      </c>
      <c r="E378" s="486" t="s">
        <v>255</v>
      </c>
      <c r="F378" s="486"/>
      <c r="G378" s="486" t="s">
        <v>256</v>
      </c>
      <c r="H378" s="486"/>
      <c r="I378" s="486"/>
      <c r="J378" s="486"/>
      <c r="K378" s="121" t="s">
        <v>257</v>
      </c>
      <c r="L378" s="122">
        <v>506</v>
      </c>
      <c r="M378" s="123" t="s">
        <v>660</v>
      </c>
      <c r="N378" s="117"/>
    </row>
    <row r="379" spans="1:14" ht="33.75" thickBot="1">
      <c r="A379" s="126" t="str">
        <f t="shared" si="12"/>
        <v>2025/08</v>
      </c>
      <c r="B379" s="127" t="str">
        <f t="shared" si="13"/>
        <v>2025/08忠孝國際醫學3樓</v>
      </c>
      <c r="C379" s="120">
        <v>146</v>
      </c>
      <c r="D379" s="121" t="s">
        <v>850</v>
      </c>
      <c r="E379" s="486" t="s">
        <v>258</v>
      </c>
      <c r="F379" s="486"/>
      <c r="G379" s="486" t="s">
        <v>259</v>
      </c>
      <c r="H379" s="486"/>
      <c r="I379" s="486"/>
      <c r="J379" s="486"/>
      <c r="K379" s="121"/>
      <c r="L379" s="122">
        <v>10</v>
      </c>
      <c r="M379" s="123" t="s">
        <v>661</v>
      </c>
      <c r="N379" s="117"/>
    </row>
    <row r="380" spans="1:14" ht="33.75" thickBot="1">
      <c r="A380" s="126" t="str">
        <f t="shared" si="12"/>
        <v>2025/08</v>
      </c>
      <c r="B380" s="127" t="str">
        <f t="shared" si="13"/>
        <v>2025/08忠孝國際醫學3樓</v>
      </c>
      <c r="C380" s="120">
        <v>147</v>
      </c>
      <c r="D380" s="121" t="s">
        <v>850</v>
      </c>
      <c r="E380" s="486" t="s">
        <v>260</v>
      </c>
      <c r="F380" s="486"/>
      <c r="G380" s="486" t="s">
        <v>261</v>
      </c>
      <c r="H380" s="486"/>
      <c r="I380" s="486"/>
      <c r="J380" s="486"/>
      <c r="K380" s="121" t="s">
        <v>254</v>
      </c>
      <c r="L380" s="122">
        <v>10</v>
      </c>
      <c r="M380" s="123" t="s">
        <v>662</v>
      </c>
      <c r="N380" s="117"/>
    </row>
    <row r="381" spans="1:14" ht="33.75" thickBot="1">
      <c r="A381" s="126" t="str">
        <f t="shared" si="12"/>
        <v>2025/08</v>
      </c>
      <c r="B381" s="127" t="str">
        <f t="shared" si="13"/>
        <v>2025/08忠孝國際醫學3樓</v>
      </c>
      <c r="C381" s="120">
        <v>148</v>
      </c>
      <c r="D381" s="121" t="s">
        <v>850</v>
      </c>
      <c r="E381" s="486" t="s">
        <v>252</v>
      </c>
      <c r="F381" s="486"/>
      <c r="G381" s="486" t="s">
        <v>253</v>
      </c>
      <c r="H381" s="486"/>
      <c r="I381" s="486"/>
      <c r="J381" s="486"/>
      <c r="K381" s="121" t="s">
        <v>254</v>
      </c>
      <c r="L381" s="122">
        <v>10</v>
      </c>
      <c r="M381" s="123" t="s">
        <v>665</v>
      </c>
      <c r="N381" s="117"/>
    </row>
    <row r="382" spans="1:14" ht="33.75" thickBot="1">
      <c r="A382" s="126" t="str">
        <f t="shared" si="12"/>
        <v>2025/08</v>
      </c>
      <c r="B382" s="127" t="str">
        <f t="shared" si="13"/>
        <v>2025/08忠孝國際醫學3樓</v>
      </c>
      <c r="C382" s="120">
        <v>149</v>
      </c>
      <c r="D382" s="121" t="s">
        <v>850</v>
      </c>
      <c r="E382" s="486" t="s">
        <v>386</v>
      </c>
      <c r="F382" s="486"/>
      <c r="G382" s="486" t="s">
        <v>387</v>
      </c>
      <c r="H382" s="486"/>
      <c r="I382" s="486"/>
      <c r="J382" s="486"/>
      <c r="K382" s="121" t="s">
        <v>388</v>
      </c>
      <c r="L382" s="122">
        <v>1433</v>
      </c>
      <c r="M382" s="123" t="s">
        <v>101</v>
      </c>
      <c r="N382" s="117"/>
    </row>
    <row r="383" spans="1:14" ht="33.75" thickBot="1">
      <c r="A383" s="126" t="str">
        <f t="shared" si="12"/>
        <v>2025/08</v>
      </c>
      <c r="B383" s="127" t="str">
        <f t="shared" si="13"/>
        <v>2025/08忠孝國際醫學3樓</v>
      </c>
      <c r="C383" s="120">
        <v>150</v>
      </c>
      <c r="D383" s="121" t="s">
        <v>850</v>
      </c>
      <c r="E383" s="486" t="s">
        <v>377</v>
      </c>
      <c r="F383" s="486"/>
      <c r="G383" s="486" t="s">
        <v>378</v>
      </c>
      <c r="H383" s="486"/>
      <c r="I383" s="486"/>
      <c r="J383" s="486"/>
      <c r="K383" s="121" t="s">
        <v>379</v>
      </c>
      <c r="L383" s="122">
        <v>332</v>
      </c>
      <c r="M383" s="123"/>
      <c r="N383" s="117"/>
    </row>
    <row r="384" spans="1:14" ht="33.75" thickBot="1">
      <c r="A384" s="126" t="str">
        <f t="shared" si="12"/>
        <v>2025/08</v>
      </c>
      <c r="B384" s="127" t="str">
        <f t="shared" si="13"/>
        <v>2025/08忠孝國際醫學3樓</v>
      </c>
      <c r="C384" s="120">
        <v>151</v>
      </c>
      <c r="D384" s="121" t="s">
        <v>850</v>
      </c>
      <c r="E384" s="486" t="s">
        <v>401</v>
      </c>
      <c r="F384" s="486"/>
      <c r="G384" s="486" t="s">
        <v>402</v>
      </c>
      <c r="H384" s="486"/>
      <c r="I384" s="486"/>
      <c r="J384" s="486"/>
      <c r="K384" s="121" t="s">
        <v>145</v>
      </c>
      <c r="L384" s="122">
        <v>4</v>
      </c>
      <c r="M384" s="123" t="s">
        <v>147</v>
      </c>
      <c r="N384" s="117"/>
    </row>
    <row r="385" spans="1:14" ht="33.75" thickBot="1">
      <c r="A385" s="126" t="str">
        <f t="shared" si="12"/>
        <v>2025/08</v>
      </c>
      <c r="B385" s="127" t="str">
        <f t="shared" si="13"/>
        <v>2025/08忠孝國際醫學3樓</v>
      </c>
      <c r="C385" s="120">
        <v>152</v>
      </c>
      <c r="D385" s="121" t="s">
        <v>850</v>
      </c>
      <c r="E385" s="486" t="s">
        <v>417</v>
      </c>
      <c r="F385" s="486"/>
      <c r="G385" s="486" t="s">
        <v>418</v>
      </c>
      <c r="H385" s="486"/>
      <c r="I385" s="486"/>
      <c r="J385" s="486"/>
      <c r="K385" s="121" t="s">
        <v>145</v>
      </c>
      <c r="L385" s="122">
        <v>6</v>
      </c>
      <c r="M385" s="123" t="s">
        <v>148</v>
      </c>
      <c r="N385" s="117"/>
    </row>
    <row r="386" spans="1:14" ht="33.75" thickBot="1">
      <c r="A386" s="126" t="str">
        <f t="shared" si="12"/>
        <v>2025/08</v>
      </c>
      <c r="B386" s="127" t="str">
        <f t="shared" si="13"/>
        <v>2025/08忠孝國際醫學3樓</v>
      </c>
      <c r="C386" s="120">
        <v>153</v>
      </c>
      <c r="D386" s="121" t="s">
        <v>850</v>
      </c>
      <c r="E386" s="486" t="s">
        <v>411</v>
      </c>
      <c r="F386" s="486"/>
      <c r="G386" s="486" t="s">
        <v>412</v>
      </c>
      <c r="H386" s="486"/>
      <c r="I386" s="486"/>
      <c r="J386" s="486"/>
      <c r="K386" s="121" t="s">
        <v>145</v>
      </c>
      <c r="L386" s="122">
        <v>32</v>
      </c>
      <c r="M386" s="123" t="s">
        <v>641</v>
      </c>
      <c r="N386" s="117"/>
    </row>
    <row r="387" spans="1:14" ht="33.75" thickBot="1">
      <c r="A387" s="126" t="str">
        <f t="shared" ref="A387:A450" si="14">IFERROR(LEFT(B387,7),"")</f>
        <v>2025/08</v>
      </c>
      <c r="B387" s="127" t="str">
        <f t="shared" si="13"/>
        <v>2025/08忠孝國際醫學3樓</v>
      </c>
      <c r="C387" s="120">
        <v>154</v>
      </c>
      <c r="D387" s="121" t="s">
        <v>850</v>
      </c>
      <c r="E387" s="486" t="s">
        <v>375</v>
      </c>
      <c r="F387" s="486"/>
      <c r="G387" s="486" t="s">
        <v>376</v>
      </c>
      <c r="H387" s="486"/>
      <c r="I387" s="486"/>
      <c r="J387" s="486"/>
      <c r="K387" s="121" t="s">
        <v>145</v>
      </c>
      <c r="L387" s="122">
        <v>26</v>
      </c>
      <c r="M387" s="123" t="s">
        <v>642</v>
      </c>
      <c r="N387" s="117"/>
    </row>
    <row r="388" spans="1:14" ht="33.75" thickBot="1">
      <c r="A388" s="126" t="str">
        <f t="shared" si="14"/>
        <v>2025/08</v>
      </c>
      <c r="B388" s="127" t="str">
        <f t="shared" si="13"/>
        <v>2025/08忠孝國際醫學3樓</v>
      </c>
      <c r="C388" s="120">
        <v>155</v>
      </c>
      <c r="D388" s="121" t="s">
        <v>850</v>
      </c>
      <c r="E388" s="486" t="s">
        <v>422</v>
      </c>
      <c r="F388" s="486"/>
      <c r="G388" s="486" t="s">
        <v>423</v>
      </c>
      <c r="H388" s="486"/>
      <c r="I388" s="486"/>
      <c r="J388" s="486"/>
      <c r="K388" s="121" t="s">
        <v>145</v>
      </c>
      <c r="L388" s="122">
        <v>2</v>
      </c>
      <c r="M388" s="123" t="s">
        <v>643</v>
      </c>
      <c r="N388" s="117"/>
    </row>
    <row r="389" spans="1:14" ht="33.75" thickBot="1">
      <c r="A389" s="126" t="str">
        <f t="shared" si="14"/>
        <v>2025/08</v>
      </c>
      <c r="B389" s="127" t="str">
        <f t="shared" si="13"/>
        <v>2025/08忠孝國際醫學3樓</v>
      </c>
      <c r="C389" s="120">
        <v>156</v>
      </c>
      <c r="D389" s="121" t="s">
        <v>850</v>
      </c>
      <c r="E389" s="486" t="s">
        <v>399</v>
      </c>
      <c r="F389" s="486"/>
      <c r="G389" s="486" t="s">
        <v>400</v>
      </c>
      <c r="H389" s="486"/>
      <c r="I389" s="486"/>
      <c r="J389" s="486"/>
      <c r="K389" s="121" t="s">
        <v>145</v>
      </c>
      <c r="L389" s="122">
        <v>23</v>
      </c>
      <c r="M389" s="123" t="s">
        <v>644</v>
      </c>
      <c r="N389" s="117"/>
    </row>
    <row r="390" spans="1:14" ht="17.25" thickBot="1">
      <c r="A390" s="126" t="str">
        <f t="shared" si="14"/>
        <v>2025/09</v>
      </c>
      <c r="B390" s="127" t="str">
        <f>"2025/09"&amp;D390</f>
        <v>2025/09站前4樓</v>
      </c>
      <c r="C390" s="119">
        <v>1</v>
      </c>
      <c r="D390" s="124" t="s">
        <v>236</v>
      </c>
      <c r="E390" s="488" t="s">
        <v>360</v>
      </c>
      <c r="F390" s="488"/>
      <c r="G390" s="488" t="s">
        <v>361</v>
      </c>
      <c r="H390" s="488"/>
      <c r="I390" s="488"/>
      <c r="J390" s="488"/>
      <c r="K390" s="124" t="s">
        <v>362</v>
      </c>
      <c r="L390" s="125">
        <v>2</v>
      </c>
      <c r="M390" s="123" t="s">
        <v>653</v>
      </c>
      <c r="N390" s="117"/>
    </row>
    <row r="391" spans="1:14" ht="17.25" thickBot="1">
      <c r="A391" s="126" t="str">
        <f t="shared" si="14"/>
        <v>2025/09</v>
      </c>
      <c r="B391" s="127" t="str">
        <f t="shared" ref="B391:B454" si="15">"2025/09"&amp;D391</f>
        <v>2025/09站前4樓</v>
      </c>
      <c r="C391" s="119">
        <v>2</v>
      </c>
      <c r="D391" s="124" t="s">
        <v>236</v>
      </c>
      <c r="E391" s="488" t="s">
        <v>255</v>
      </c>
      <c r="F391" s="488"/>
      <c r="G391" s="488" t="s">
        <v>256</v>
      </c>
      <c r="H391" s="488"/>
      <c r="I391" s="488"/>
      <c r="J391" s="488"/>
      <c r="K391" s="124" t="s">
        <v>257</v>
      </c>
      <c r="L391" s="125">
        <v>202</v>
      </c>
      <c r="M391" s="123" t="s">
        <v>660</v>
      </c>
      <c r="N391" s="117"/>
    </row>
    <row r="392" spans="1:14" ht="17.25" thickBot="1">
      <c r="A392" s="126" t="str">
        <f t="shared" si="14"/>
        <v>2025/09</v>
      </c>
      <c r="B392" s="127" t="str">
        <f t="shared" si="15"/>
        <v>2025/09站前4樓</v>
      </c>
      <c r="C392" s="119">
        <v>3</v>
      </c>
      <c r="D392" s="124" t="s">
        <v>236</v>
      </c>
      <c r="E392" s="488" t="s">
        <v>258</v>
      </c>
      <c r="F392" s="488"/>
      <c r="G392" s="488" t="s">
        <v>259</v>
      </c>
      <c r="H392" s="488"/>
      <c r="I392" s="488"/>
      <c r="J392" s="488"/>
      <c r="K392" s="124"/>
      <c r="L392" s="125">
        <v>204</v>
      </c>
      <c r="M392" s="123" t="s">
        <v>661</v>
      </c>
      <c r="N392" s="117"/>
    </row>
    <row r="393" spans="1:14" ht="17.25" thickBot="1">
      <c r="A393" s="126" t="str">
        <f t="shared" si="14"/>
        <v>2025/09</v>
      </c>
      <c r="B393" s="127" t="str">
        <f t="shared" si="15"/>
        <v>2025/09站前4樓</v>
      </c>
      <c r="C393" s="119">
        <v>4</v>
      </c>
      <c r="D393" s="124" t="s">
        <v>236</v>
      </c>
      <c r="E393" s="488" t="s">
        <v>260</v>
      </c>
      <c r="F393" s="488"/>
      <c r="G393" s="488" t="s">
        <v>261</v>
      </c>
      <c r="H393" s="488"/>
      <c r="I393" s="488"/>
      <c r="J393" s="488"/>
      <c r="K393" s="124" t="s">
        <v>254</v>
      </c>
      <c r="L393" s="125">
        <v>204</v>
      </c>
      <c r="M393" s="123" t="s">
        <v>662</v>
      </c>
      <c r="N393" s="117"/>
    </row>
    <row r="394" spans="1:14" ht="17.25" thickBot="1">
      <c r="A394" s="126" t="str">
        <f t="shared" si="14"/>
        <v>2025/09</v>
      </c>
      <c r="B394" s="127" t="str">
        <f t="shared" si="15"/>
        <v>2025/09站前4樓</v>
      </c>
      <c r="C394" s="119">
        <v>5</v>
      </c>
      <c r="D394" s="124" t="s">
        <v>236</v>
      </c>
      <c r="E394" s="488" t="s">
        <v>262</v>
      </c>
      <c r="F394" s="488"/>
      <c r="G394" s="488" t="s">
        <v>263</v>
      </c>
      <c r="H394" s="488"/>
      <c r="I394" s="488"/>
      <c r="J394" s="488"/>
      <c r="K394" s="124" t="s">
        <v>254</v>
      </c>
      <c r="L394" s="125">
        <v>18</v>
      </c>
      <c r="M394" s="123" t="s">
        <v>663</v>
      </c>
      <c r="N394" s="117"/>
    </row>
    <row r="395" spans="1:14" ht="17.25" thickBot="1">
      <c r="A395" s="126" t="str">
        <f t="shared" si="14"/>
        <v>2025/09</v>
      </c>
      <c r="B395" s="127" t="str">
        <f t="shared" si="15"/>
        <v>2025/09站前4樓</v>
      </c>
      <c r="C395" s="119">
        <v>6</v>
      </c>
      <c r="D395" s="124" t="s">
        <v>236</v>
      </c>
      <c r="E395" s="488" t="s">
        <v>270</v>
      </c>
      <c r="F395" s="488"/>
      <c r="G395" s="488" t="s">
        <v>271</v>
      </c>
      <c r="H395" s="488"/>
      <c r="I395" s="488"/>
      <c r="J395" s="488"/>
      <c r="K395" s="124" t="s">
        <v>272</v>
      </c>
      <c r="L395" s="125">
        <v>76</v>
      </c>
      <c r="M395" s="123" t="s">
        <v>664</v>
      </c>
      <c r="N395" s="117"/>
    </row>
    <row r="396" spans="1:14" ht="17.25" thickBot="1">
      <c r="A396" s="126" t="str">
        <f t="shared" si="14"/>
        <v>2025/09</v>
      </c>
      <c r="B396" s="127" t="str">
        <f t="shared" si="15"/>
        <v>2025/09站前4樓</v>
      </c>
      <c r="C396" s="119">
        <v>7</v>
      </c>
      <c r="D396" s="124" t="s">
        <v>236</v>
      </c>
      <c r="E396" s="488" t="s">
        <v>252</v>
      </c>
      <c r="F396" s="488"/>
      <c r="G396" s="488" t="s">
        <v>253</v>
      </c>
      <c r="H396" s="488"/>
      <c r="I396" s="488"/>
      <c r="J396" s="488"/>
      <c r="K396" s="124" t="s">
        <v>254</v>
      </c>
      <c r="L396" s="125">
        <v>205</v>
      </c>
      <c r="M396" s="123" t="s">
        <v>665</v>
      </c>
      <c r="N396" s="117"/>
    </row>
    <row r="397" spans="1:14" ht="17.25" thickBot="1">
      <c r="A397" s="126" t="str">
        <f t="shared" si="14"/>
        <v>2025/09</v>
      </c>
      <c r="B397" s="127" t="str">
        <f t="shared" si="15"/>
        <v>2025/09站前4樓</v>
      </c>
      <c r="C397" s="119">
        <v>8</v>
      </c>
      <c r="D397" s="124" t="s">
        <v>236</v>
      </c>
      <c r="E397" s="488" t="s">
        <v>305</v>
      </c>
      <c r="F397" s="488"/>
      <c r="G397" s="488" t="s">
        <v>306</v>
      </c>
      <c r="H397" s="488"/>
      <c r="I397" s="488"/>
      <c r="J397" s="488"/>
      <c r="K397" s="124" t="s">
        <v>266</v>
      </c>
      <c r="L397" s="125">
        <v>2637</v>
      </c>
      <c r="M397" s="123" t="s">
        <v>638</v>
      </c>
      <c r="N397" s="117"/>
    </row>
    <row r="398" spans="1:14" ht="17.25" thickBot="1">
      <c r="A398" s="126" t="str">
        <f t="shared" si="14"/>
        <v>2025/09</v>
      </c>
      <c r="B398" s="127" t="str">
        <f t="shared" si="15"/>
        <v>2025/09站前4樓</v>
      </c>
      <c r="C398" s="119">
        <v>9</v>
      </c>
      <c r="D398" s="124" t="s">
        <v>236</v>
      </c>
      <c r="E398" s="488" t="s">
        <v>264</v>
      </c>
      <c r="F398" s="488"/>
      <c r="G398" s="488" t="s">
        <v>265</v>
      </c>
      <c r="H398" s="488"/>
      <c r="I398" s="488"/>
      <c r="J398" s="488"/>
      <c r="K398" s="124" t="s">
        <v>266</v>
      </c>
      <c r="L398" s="125">
        <v>2573</v>
      </c>
      <c r="M398" s="123" t="s">
        <v>639</v>
      </c>
      <c r="N398" s="117"/>
    </row>
    <row r="399" spans="1:14" ht="17.25" thickBot="1">
      <c r="A399" s="126" t="str">
        <f t="shared" si="14"/>
        <v>2025/09</v>
      </c>
      <c r="B399" s="127" t="str">
        <f t="shared" si="15"/>
        <v>2025/09站前4樓</v>
      </c>
      <c r="C399" s="119">
        <v>10</v>
      </c>
      <c r="D399" s="124" t="s">
        <v>236</v>
      </c>
      <c r="E399" s="488" t="s">
        <v>307</v>
      </c>
      <c r="F399" s="488"/>
      <c r="G399" s="488" t="s">
        <v>308</v>
      </c>
      <c r="H399" s="488"/>
      <c r="I399" s="488"/>
      <c r="J399" s="488"/>
      <c r="K399" s="124" t="s">
        <v>266</v>
      </c>
      <c r="L399" s="125">
        <v>1603</v>
      </c>
      <c r="M399" s="123" t="s">
        <v>640</v>
      </c>
      <c r="N399" s="117"/>
    </row>
    <row r="400" spans="1:14" ht="17.25" thickBot="1">
      <c r="A400" s="126" t="str">
        <f t="shared" si="14"/>
        <v>2025/09</v>
      </c>
      <c r="B400" s="127" t="str">
        <f t="shared" si="15"/>
        <v>2025/09站前4樓</v>
      </c>
      <c r="C400" s="119">
        <v>11</v>
      </c>
      <c r="D400" s="124" t="s">
        <v>236</v>
      </c>
      <c r="E400" s="488" t="s">
        <v>313</v>
      </c>
      <c r="F400" s="488"/>
      <c r="G400" s="488" t="s">
        <v>314</v>
      </c>
      <c r="H400" s="488"/>
      <c r="I400" s="488"/>
      <c r="J400" s="488"/>
      <c r="K400" s="124" t="s">
        <v>301</v>
      </c>
      <c r="L400" s="125">
        <v>64</v>
      </c>
      <c r="M400" s="123" t="s">
        <v>14</v>
      </c>
      <c r="N400" s="117"/>
    </row>
    <row r="401" spans="1:14" ht="17.25" thickBot="1">
      <c r="A401" s="126" t="str">
        <f t="shared" si="14"/>
        <v>2025/09</v>
      </c>
      <c r="B401" s="127" t="str">
        <f t="shared" si="15"/>
        <v>2025/09站前4樓</v>
      </c>
      <c r="C401" s="119">
        <v>12</v>
      </c>
      <c r="D401" s="124" t="s">
        <v>236</v>
      </c>
      <c r="E401" s="488" t="s">
        <v>343</v>
      </c>
      <c r="F401" s="488"/>
      <c r="G401" s="488" t="s">
        <v>344</v>
      </c>
      <c r="H401" s="488"/>
      <c r="I401" s="488"/>
      <c r="J401" s="488"/>
      <c r="K401" s="124" t="s">
        <v>301</v>
      </c>
      <c r="L401" s="125">
        <v>9</v>
      </c>
      <c r="M401" s="123" t="s">
        <v>18</v>
      </c>
      <c r="N401" s="117"/>
    </row>
    <row r="402" spans="1:14" ht="17.25" thickBot="1">
      <c r="A402" s="126" t="str">
        <f t="shared" si="14"/>
        <v>2025/09</v>
      </c>
      <c r="B402" s="127" t="str">
        <f t="shared" si="15"/>
        <v>2025/09站前4樓</v>
      </c>
      <c r="C402" s="119">
        <v>13</v>
      </c>
      <c r="D402" s="124" t="s">
        <v>236</v>
      </c>
      <c r="E402" s="488" t="s">
        <v>349</v>
      </c>
      <c r="F402" s="488"/>
      <c r="G402" s="488" t="s">
        <v>350</v>
      </c>
      <c r="H402" s="488"/>
      <c r="I402" s="488"/>
      <c r="J402" s="488"/>
      <c r="K402" s="124" t="s">
        <v>301</v>
      </c>
      <c r="L402" s="125">
        <v>10</v>
      </c>
      <c r="M402" s="123" t="s">
        <v>20</v>
      </c>
      <c r="N402" s="117"/>
    </row>
    <row r="403" spans="1:14" ht="17.25" thickBot="1">
      <c r="A403" s="126" t="str">
        <f t="shared" si="14"/>
        <v>2025/09</v>
      </c>
      <c r="B403" s="127" t="str">
        <f t="shared" si="15"/>
        <v>2025/09站前4樓</v>
      </c>
      <c r="C403" s="119">
        <v>14</v>
      </c>
      <c r="D403" s="124" t="s">
        <v>236</v>
      </c>
      <c r="E403" s="488" t="s">
        <v>366</v>
      </c>
      <c r="F403" s="488"/>
      <c r="G403" s="488" t="s">
        <v>367</v>
      </c>
      <c r="H403" s="488"/>
      <c r="I403" s="488"/>
      <c r="J403" s="488"/>
      <c r="K403" s="124" t="s">
        <v>301</v>
      </c>
      <c r="L403" s="125">
        <v>2</v>
      </c>
      <c r="M403" s="123" t="s">
        <v>22</v>
      </c>
      <c r="N403" s="117"/>
    </row>
    <row r="404" spans="1:14" ht="17.25" thickBot="1">
      <c r="A404" s="126" t="str">
        <f t="shared" si="14"/>
        <v>2025/09</v>
      </c>
      <c r="B404" s="127" t="str">
        <f t="shared" si="15"/>
        <v>2025/09站前4樓</v>
      </c>
      <c r="C404" s="119">
        <v>15</v>
      </c>
      <c r="D404" s="124" t="s">
        <v>236</v>
      </c>
      <c r="E404" s="488" t="s">
        <v>282</v>
      </c>
      <c r="F404" s="488"/>
      <c r="G404" s="488" t="s">
        <v>283</v>
      </c>
      <c r="H404" s="488"/>
      <c r="I404" s="488"/>
      <c r="J404" s="488"/>
      <c r="K404" s="124" t="s">
        <v>284</v>
      </c>
      <c r="L404" s="125">
        <v>36</v>
      </c>
      <c r="M404" s="123" t="s">
        <v>65</v>
      </c>
      <c r="N404" s="117"/>
    </row>
    <row r="405" spans="1:14" ht="17.25" thickBot="1">
      <c r="A405" s="126" t="str">
        <f t="shared" si="14"/>
        <v>2025/09</v>
      </c>
      <c r="B405" s="127" t="str">
        <f t="shared" si="15"/>
        <v>2025/09站前4樓</v>
      </c>
      <c r="C405" s="119">
        <v>16</v>
      </c>
      <c r="D405" s="124" t="s">
        <v>236</v>
      </c>
      <c r="E405" s="488" t="s">
        <v>345</v>
      </c>
      <c r="F405" s="488"/>
      <c r="G405" s="488" t="s">
        <v>346</v>
      </c>
      <c r="H405" s="488"/>
      <c r="I405" s="488"/>
      <c r="J405" s="488"/>
      <c r="K405" s="124" t="s">
        <v>284</v>
      </c>
      <c r="L405" s="125">
        <v>3</v>
      </c>
      <c r="M405" s="123" t="s">
        <v>67</v>
      </c>
      <c r="N405" s="117"/>
    </row>
    <row r="406" spans="1:14" ht="17.25" thickBot="1">
      <c r="A406" s="126" t="str">
        <f t="shared" si="14"/>
        <v>2025/09</v>
      </c>
      <c r="B406" s="127" t="str">
        <f t="shared" si="15"/>
        <v>2025/09站前4樓</v>
      </c>
      <c r="C406" s="119">
        <v>17</v>
      </c>
      <c r="D406" s="124" t="s">
        <v>236</v>
      </c>
      <c r="E406" s="488" t="s">
        <v>311</v>
      </c>
      <c r="F406" s="488"/>
      <c r="G406" s="488" t="s">
        <v>312</v>
      </c>
      <c r="H406" s="488"/>
      <c r="I406" s="488"/>
      <c r="J406" s="488"/>
      <c r="K406" s="124" t="s">
        <v>284</v>
      </c>
      <c r="L406" s="125">
        <v>17</v>
      </c>
      <c r="M406" s="123" t="s">
        <v>72</v>
      </c>
      <c r="N406" s="117"/>
    </row>
    <row r="407" spans="1:14" ht="17.25" thickBot="1">
      <c r="A407" s="126" t="str">
        <f t="shared" si="14"/>
        <v>2025/09</v>
      </c>
      <c r="B407" s="127" t="str">
        <f t="shared" si="15"/>
        <v>2025/09站前4樓</v>
      </c>
      <c r="C407" s="119">
        <v>18</v>
      </c>
      <c r="D407" s="124" t="s">
        <v>236</v>
      </c>
      <c r="E407" s="488" t="s">
        <v>299</v>
      </c>
      <c r="F407" s="488"/>
      <c r="G407" s="488" t="s">
        <v>300</v>
      </c>
      <c r="H407" s="488"/>
      <c r="I407" s="488"/>
      <c r="J407" s="488"/>
      <c r="K407" s="124" t="s">
        <v>301</v>
      </c>
      <c r="L407" s="125">
        <v>53</v>
      </c>
      <c r="M407" s="123" t="s">
        <v>68</v>
      </c>
      <c r="N407" s="117"/>
    </row>
    <row r="408" spans="1:14" ht="17.25" thickBot="1">
      <c r="A408" s="126" t="str">
        <f t="shared" si="14"/>
        <v>2025/09</v>
      </c>
      <c r="B408" s="127" t="str">
        <f t="shared" si="15"/>
        <v>2025/09站前4樓</v>
      </c>
      <c r="C408" s="119">
        <v>19</v>
      </c>
      <c r="D408" s="124" t="s">
        <v>236</v>
      </c>
      <c r="E408" s="488" t="s">
        <v>347</v>
      </c>
      <c r="F408" s="488"/>
      <c r="G408" s="488" t="s">
        <v>348</v>
      </c>
      <c r="H408" s="488"/>
      <c r="I408" s="488"/>
      <c r="J408" s="488"/>
      <c r="K408" s="124" t="s">
        <v>301</v>
      </c>
      <c r="L408" s="125">
        <v>6</v>
      </c>
      <c r="M408" s="123" t="s">
        <v>71</v>
      </c>
      <c r="N408" s="117"/>
    </row>
    <row r="409" spans="1:14" ht="17.25" thickBot="1">
      <c r="A409" s="126" t="str">
        <f t="shared" si="14"/>
        <v>2025/09</v>
      </c>
      <c r="B409" s="127" t="str">
        <f t="shared" si="15"/>
        <v>2025/09站前4樓</v>
      </c>
      <c r="C409" s="119">
        <v>20</v>
      </c>
      <c r="D409" s="124" t="s">
        <v>236</v>
      </c>
      <c r="E409" s="488" t="s">
        <v>317</v>
      </c>
      <c r="F409" s="488"/>
      <c r="G409" s="488" t="s">
        <v>318</v>
      </c>
      <c r="H409" s="488"/>
      <c r="I409" s="488"/>
      <c r="J409" s="488"/>
      <c r="K409" s="124" t="s">
        <v>319</v>
      </c>
      <c r="L409" s="125">
        <v>14</v>
      </c>
      <c r="M409" s="123" t="s">
        <v>75</v>
      </c>
      <c r="N409" s="117"/>
    </row>
    <row r="410" spans="1:14" ht="17.25" thickBot="1">
      <c r="A410" s="126" t="str">
        <f t="shared" si="14"/>
        <v>2025/09</v>
      </c>
      <c r="B410" s="127" t="str">
        <f t="shared" si="15"/>
        <v>2025/09站前4樓</v>
      </c>
      <c r="C410" s="119">
        <v>21</v>
      </c>
      <c r="D410" s="124" t="s">
        <v>236</v>
      </c>
      <c r="E410" s="488" t="s">
        <v>321</v>
      </c>
      <c r="F410" s="488"/>
      <c r="G410" s="488" t="s">
        <v>322</v>
      </c>
      <c r="H410" s="488"/>
      <c r="I410" s="488"/>
      <c r="J410" s="488"/>
      <c r="K410" s="124" t="s">
        <v>275</v>
      </c>
      <c r="L410" s="125">
        <v>40</v>
      </c>
      <c r="M410" s="123" t="s">
        <v>41</v>
      </c>
      <c r="N410" s="117"/>
    </row>
    <row r="411" spans="1:14" ht="17.25" thickBot="1">
      <c r="A411" s="126" t="str">
        <f t="shared" si="14"/>
        <v>2025/09</v>
      </c>
      <c r="B411" s="127" t="str">
        <f t="shared" si="15"/>
        <v>2025/09站前4樓</v>
      </c>
      <c r="C411" s="119">
        <v>22</v>
      </c>
      <c r="D411" s="124" t="s">
        <v>236</v>
      </c>
      <c r="E411" s="488" t="s">
        <v>372</v>
      </c>
      <c r="F411" s="488"/>
      <c r="G411" s="488" t="s">
        <v>373</v>
      </c>
      <c r="H411" s="488"/>
      <c r="I411" s="488"/>
      <c r="J411" s="488"/>
      <c r="K411" s="124" t="s">
        <v>278</v>
      </c>
      <c r="L411" s="125">
        <v>4</v>
      </c>
      <c r="M411" s="123" t="s">
        <v>45</v>
      </c>
      <c r="N411" s="117"/>
    </row>
    <row r="412" spans="1:14" ht="17.25" thickBot="1">
      <c r="A412" s="126" t="str">
        <f t="shared" si="14"/>
        <v>2025/09</v>
      </c>
      <c r="B412" s="127" t="str">
        <f t="shared" si="15"/>
        <v>2025/09站前4樓</v>
      </c>
      <c r="C412" s="119">
        <v>23</v>
      </c>
      <c r="D412" s="124" t="s">
        <v>236</v>
      </c>
      <c r="E412" s="488" t="s">
        <v>276</v>
      </c>
      <c r="F412" s="488"/>
      <c r="G412" s="488" t="s">
        <v>277</v>
      </c>
      <c r="H412" s="488"/>
      <c r="I412" s="488"/>
      <c r="J412" s="488"/>
      <c r="K412" s="124" t="s">
        <v>278</v>
      </c>
      <c r="L412" s="125">
        <v>76</v>
      </c>
      <c r="M412" s="123" t="s">
        <v>55</v>
      </c>
      <c r="N412" s="117"/>
    </row>
    <row r="413" spans="1:14" ht="17.25" thickBot="1">
      <c r="A413" s="126" t="str">
        <f t="shared" si="14"/>
        <v>2025/09</v>
      </c>
      <c r="B413" s="127" t="str">
        <f t="shared" si="15"/>
        <v>2025/09站前4樓</v>
      </c>
      <c r="C413" s="119">
        <v>24</v>
      </c>
      <c r="D413" s="124" t="s">
        <v>236</v>
      </c>
      <c r="E413" s="488" t="s">
        <v>273</v>
      </c>
      <c r="F413" s="488"/>
      <c r="G413" s="488" t="s">
        <v>274</v>
      </c>
      <c r="H413" s="488"/>
      <c r="I413" s="488"/>
      <c r="J413" s="488"/>
      <c r="K413" s="124" t="s">
        <v>275</v>
      </c>
      <c r="L413" s="125">
        <v>227</v>
      </c>
      <c r="M413" s="123" t="s">
        <v>52</v>
      </c>
      <c r="N413" s="117"/>
    </row>
    <row r="414" spans="1:14" ht="17.25" thickBot="1">
      <c r="A414" s="126" t="str">
        <f t="shared" si="14"/>
        <v>2025/09</v>
      </c>
      <c r="B414" s="127" t="str">
        <f t="shared" si="15"/>
        <v>2025/09站前4樓</v>
      </c>
      <c r="C414" s="119">
        <v>25</v>
      </c>
      <c r="D414" s="124" t="s">
        <v>236</v>
      </c>
      <c r="E414" s="488" t="s">
        <v>285</v>
      </c>
      <c r="F414" s="488"/>
      <c r="G414" s="488" t="s">
        <v>286</v>
      </c>
      <c r="H414" s="488"/>
      <c r="I414" s="488"/>
      <c r="J414" s="488"/>
      <c r="K414" s="124" t="s">
        <v>287</v>
      </c>
      <c r="L414" s="125">
        <v>11675</v>
      </c>
      <c r="M414" s="123" t="s">
        <v>89</v>
      </c>
      <c r="N414" s="117"/>
    </row>
    <row r="415" spans="1:14" ht="17.25" thickBot="1">
      <c r="A415" s="126" t="str">
        <f t="shared" si="14"/>
        <v>2025/09</v>
      </c>
      <c r="B415" s="127" t="str">
        <f t="shared" si="15"/>
        <v>2025/09站前4樓</v>
      </c>
      <c r="C415" s="119">
        <v>26</v>
      </c>
      <c r="D415" s="124" t="s">
        <v>236</v>
      </c>
      <c r="E415" s="488" t="s">
        <v>290</v>
      </c>
      <c r="F415" s="488"/>
      <c r="G415" s="488" t="s">
        <v>291</v>
      </c>
      <c r="H415" s="488"/>
      <c r="I415" s="488"/>
      <c r="J415" s="488"/>
      <c r="K415" s="124" t="s">
        <v>287</v>
      </c>
      <c r="L415" s="125">
        <v>20640</v>
      </c>
      <c r="M415" s="123" t="s">
        <v>91</v>
      </c>
      <c r="N415" s="117"/>
    </row>
    <row r="416" spans="1:14" ht="17.25" thickBot="1">
      <c r="A416" s="126" t="str">
        <f t="shared" si="14"/>
        <v>2025/09</v>
      </c>
      <c r="B416" s="127" t="str">
        <f t="shared" si="15"/>
        <v>2025/09站前4樓</v>
      </c>
      <c r="C416" s="119">
        <v>27</v>
      </c>
      <c r="D416" s="124" t="s">
        <v>236</v>
      </c>
      <c r="E416" s="488" t="s">
        <v>292</v>
      </c>
      <c r="F416" s="488"/>
      <c r="G416" s="488" t="s">
        <v>293</v>
      </c>
      <c r="H416" s="488"/>
      <c r="I416" s="488"/>
      <c r="J416" s="488"/>
      <c r="K416" s="124" t="s">
        <v>287</v>
      </c>
      <c r="L416" s="125">
        <v>33493</v>
      </c>
      <c r="M416" s="123" t="s">
        <v>92</v>
      </c>
      <c r="N416" s="117"/>
    </row>
    <row r="417" spans="1:14" ht="17.25" thickBot="1">
      <c r="A417" s="126" t="str">
        <f t="shared" si="14"/>
        <v>2025/09</v>
      </c>
      <c r="B417" s="127" t="str">
        <f t="shared" si="15"/>
        <v>2025/09站前4樓</v>
      </c>
      <c r="C417" s="119">
        <v>28</v>
      </c>
      <c r="D417" s="124" t="s">
        <v>236</v>
      </c>
      <c r="E417" s="488" t="s">
        <v>323</v>
      </c>
      <c r="F417" s="488"/>
      <c r="G417" s="488" t="s">
        <v>324</v>
      </c>
      <c r="H417" s="488"/>
      <c r="I417" s="488"/>
      <c r="J417" s="488"/>
      <c r="K417" s="124" t="s">
        <v>325</v>
      </c>
      <c r="L417" s="125">
        <v>10598</v>
      </c>
      <c r="M417" s="123" t="s">
        <v>93</v>
      </c>
      <c r="N417" s="117"/>
    </row>
    <row r="418" spans="1:14" ht="17.25" thickBot="1">
      <c r="A418" s="126" t="str">
        <f t="shared" si="14"/>
        <v>2025/09</v>
      </c>
      <c r="B418" s="127" t="str">
        <f t="shared" si="15"/>
        <v>2025/09站前4樓</v>
      </c>
      <c r="C418" s="119">
        <v>29</v>
      </c>
      <c r="D418" s="124" t="s">
        <v>236</v>
      </c>
      <c r="E418" s="488" t="s">
        <v>359</v>
      </c>
      <c r="F418" s="488"/>
      <c r="G418" s="488" t="s">
        <v>138</v>
      </c>
      <c r="H418" s="488"/>
      <c r="I418" s="488"/>
      <c r="J418" s="488"/>
      <c r="K418" s="124" t="s">
        <v>146</v>
      </c>
      <c r="L418" s="125">
        <v>4</v>
      </c>
      <c r="M418" s="123" t="s">
        <v>137</v>
      </c>
      <c r="N418" s="117"/>
    </row>
    <row r="419" spans="1:14" ht="17.25" thickBot="1">
      <c r="A419" s="126" t="str">
        <f t="shared" si="14"/>
        <v>2025/09</v>
      </c>
      <c r="B419" s="127" t="str">
        <f t="shared" si="15"/>
        <v>2025/09站前4樓</v>
      </c>
      <c r="C419" s="119">
        <v>30</v>
      </c>
      <c r="D419" s="124" t="s">
        <v>236</v>
      </c>
      <c r="E419" s="488" t="s">
        <v>320</v>
      </c>
      <c r="F419" s="488"/>
      <c r="G419" s="488" t="s">
        <v>135</v>
      </c>
      <c r="H419" s="488"/>
      <c r="I419" s="488"/>
      <c r="J419" s="488"/>
      <c r="K419" s="124" t="s">
        <v>146</v>
      </c>
      <c r="L419" s="125">
        <v>2</v>
      </c>
      <c r="M419" s="123" t="s">
        <v>134</v>
      </c>
      <c r="N419" s="117"/>
    </row>
    <row r="420" spans="1:14" ht="17.25" thickBot="1">
      <c r="A420" s="126" t="str">
        <f t="shared" si="14"/>
        <v>2025/09</v>
      </c>
      <c r="B420" s="127" t="str">
        <f t="shared" si="15"/>
        <v>2025/09站前4樓</v>
      </c>
      <c r="C420" s="119">
        <v>31</v>
      </c>
      <c r="D420" s="124" t="s">
        <v>236</v>
      </c>
      <c r="E420" s="488" t="s">
        <v>370</v>
      </c>
      <c r="F420" s="488"/>
      <c r="G420" s="488" t="s">
        <v>371</v>
      </c>
      <c r="H420" s="488"/>
      <c r="I420" s="488"/>
      <c r="J420" s="488"/>
      <c r="K420" s="124" t="s">
        <v>287</v>
      </c>
      <c r="L420" s="125">
        <v>1200</v>
      </c>
      <c r="M420" s="123" t="s">
        <v>669</v>
      </c>
      <c r="N420" s="117"/>
    </row>
    <row r="421" spans="1:14" ht="17.25" thickBot="1">
      <c r="A421" s="126" t="str">
        <f t="shared" si="14"/>
        <v>2025/09</v>
      </c>
      <c r="B421" s="127" t="str">
        <f t="shared" si="15"/>
        <v>2025/09站前4樓</v>
      </c>
      <c r="C421" s="119">
        <v>32</v>
      </c>
      <c r="D421" s="124" t="s">
        <v>236</v>
      </c>
      <c r="E421" s="488" t="s">
        <v>338</v>
      </c>
      <c r="F421" s="488"/>
      <c r="G421" s="488" t="s">
        <v>339</v>
      </c>
      <c r="H421" s="488"/>
      <c r="I421" s="488"/>
      <c r="J421" s="488"/>
      <c r="K421" s="124" t="s">
        <v>287</v>
      </c>
      <c r="L421" s="125">
        <v>1299</v>
      </c>
      <c r="M421" s="123" t="s">
        <v>95</v>
      </c>
      <c r="N421" s="117"/>
    </row>
    <row r="422" spans="1:14" ht="17.25" thickBot="1">
      <c r="A422" s="126" t="str">
        <f t="shared" si="14"/>
        <v>2025/09</v>
      </c>
      <c r="B422" s="127" t="str">
        <f t="shared" si="15"/>
        <v>2025/09站前4樓</v>
      </c>
      <c r="C422" s="119">
        <v>33</v>
      </c>
      <c r="D422" s="124" t="s">
        <v>236</v>
      </c>
      <c r="E422" s="488" t="s">
        <v>326</v>
      </c>
      <c r="F422" s="488"/>
      <c r="G422" s="488" t="s">
        <v>327</v>
      </c>
      <c r="H422" s="488"/>
      <c r="I422" s="488"/>
      <c r="J422" s="488"/>
      <c r="K422" s="124" t="s">
        <v>287</v>
      </c>
      <c r="L422" s="125">
        <v>3659</v>
      </c>
      <c r="M422" s="123" t="s">
        <v>97</v>
      </c>
      <c r="N422" s="117"/>
    </row>
    <row r="423" spans="1:14" ht="17.25" thickBot="1">
      <c r="A423" s="126" t="str">
        <f t="shared" si="14"/>
        <v>2025/09</v>
      </c>
      <c r="B423" s="127" t="str">
        <f t="shared" si="15"/>
        <v>2025/09站前4樓</v>
      </c>
      <c r="C423" s="119">
        <v>34</v>
      </c>
      <c r="D423" s="124" t="s">
        <v>236</v>
      </c>
      <c r="E423" s="488" t="s">
        <v>328</v>
      </c>
      <c r="F423" s="488"/>
      <c r="G423" s="488" t="s">
        <v>329</v>
      </c>
      <c r="H423" s="488"/>
      <c r="I423" s="488"/>
      <c r="J423" s="488"/>
      <c r="K423" s="124" t="s">
        <v>287</v>
      </c>
      <c r="L423" s="125">
        <v>6916</v>
      </c>
      <c r="M423" s="123" t="s">
        <v>98</v>
      </c>
      <c r="N423" s="117"/>
    </row>
    <row r="424" spans="1:14" ht="17.25" thickBot="1">
      <c r="A424" s="126" t="str">
        <f t="shared" si="14"/>
        <v>2025/09</v>
      </c>
      <c r="B424" s="127" t="str">
        <f t="shared" si="15"/>
        <v>2025/09站前4樓</v>
      </c>
      <c r="C424" s="119">
        <v>35</v>
      </c>
      <c r="D424" s="124" t="s">
        <v>236</v>
      </c>
      <c r="E424" s="488" t="s">
        <v>330</v>
      </c>
      <c r="F424" s="488"/>
      <c r="G424" s="488" t="s">
        <v>331</v>
      </c>
      <c r="H424" s="488"/>
      <c r="I424" s="488"/>
      <c r="J424" s="488"/>
      <c r="K424" s="124" t="s">
        <v>287</v>
      </c>
      <c r="L424" s="125">
        <v>1976</v>
      </c>
      <c r="M424" s="123" t="s">
        <v>99</v>
      </c>
      <c r="N424" s="117"/>
    </row>
    <row r="425" spans="1:14" ht="17.25" thickBot="1">
      <c r="A425" s="126" t="str">
        <f t="shared" si="14"/>
        <v>2025/09</v>
      </c>
      <c r="B425" s="127" t="str">
        <f t="shared" si="15"/>
        <v>2025/09站前4樓</v>
      </c>
      <c r="C425" s="119">
        <v>36</v>
      </c>
      <c r="D425" s="124" t="s">
        <v>236</v>
      </c>
      <c r="E425" s="488" t="s">
        <v>302</v>
      </c>
      <c r="F425" s="488"/>
      <c r="G425" s="488" t="s">
        <v>303</v>
      </c>
      <c r="H425" s="488"/>
      <c r="I425" s="488"/>
      <c r="J425" s="488"/>
      <c r="K425" s="124" t="s">
        <v>304</v>
      </c>
      <c r="L425" s="125">
        <v>2600</v>
      </c>
      <c r="M425" s="123" t="s">
        <v>81</v>
      </c>
      <c r="N425" s="117"/>
    </row>
    <row r="426" spans="1:14" ht="17.25" thickBot="1">
      <c r="A426" s="126" t="str">
        <f t="shared" si="14"/>
        <v>2025/09</v>
      </c>
      <c r="B426" s="127" t="str">
        <f t="shared" si="15"/>
        <v>2025/09站前4樓</v>
      </c>
      <c r="C426" s="119">
        <v>37</v>
      </c>
      <c r="D426" s="124" t="s">
        <v>236</v>
      </c>
      <c r="E426" s="488" t="s">
        <v>363</v>
      </c>
      <c r="F426" s="488"/>
      <c r="G426" s="488" t="s">
        <v>364</v>
      </c>
      <c r="H426" s="488"/>
      <c r="I426" s="488"/>
      <c r="J426" s="488"/>
      <c r="K426" s="124" t="s">
        <v>365</v>
      </c>
      <c r="L426" s="125">
        <v>3700</v>
      </c>
      <c r="M426" s="123" t="s">
        <v>85</v>
      </c>
      <c r="N426" s="117"/>
    </row>
    <row r="427" spans="1:14" ht="17.25" thickBot="1">
      <c r="A427" s="126" t="str">
        <f t="shared" si="14"/>
        <v>2025/09</v>
      </c>
      <c r="B427" s="127" t="str">
        <f t="shared" si="15"/>
        <v>2025/09站前4樓</v>
      </c>
      <c r="C427" s="119">
        <v>38</v>
      </c>
      <c r="D427" s="124" t="s">
        <v>236</v>
      </c>
      <c r="E427" s="488" t="s">
        <v>279</v>
      </c>
      <c r="F427" s="488"/>
      <c r="G427" s="488" t="s">
        <v>280</v>
      </c>
      <c r="H427" s="488"/>
      <c r="I427" s="488"/>
      <c r="J427" s="488"/>
      <c r="K427" s="124" t="s">
        <v>281</v>
      </c>
      <c r="L427" s="125">
        <v>185300</v>
      </c>
      <c r="M427" s="123" t="s">
        <v>111</v>
      </c>
      <c r="N427" s="117"/>
    </row>
    <row r="428" spans="1:14" ht="17.25" thickBot="1">
      <c r="A428" s="126" t="str">
        <f t="shared" si="14"/>
        <v>2025/09</v>
      </c>
      <c r="B428" s="127" t="str">
        <f t="shared" si="15"/>
        <v>2025/09站前4樓</v>
      </c>
      <c r="C428" s="119">
        <v>39</v>
      </c>
      <c r="D428" s="124" t="s">
        <v>236</v>
      </c>
      <c r="E428" s="488" t="s">
        <v>288</v>
      </c>
      <c r="F428" s="488"/>
      <c r="G428" s="488" t="s">
        <v>289</v>
      </c>
      <c r="H428" s="488"/>
      <c r="I428" s="488"/>
      <c r="J428" s="488"/>
      <c r="K428" s="124" t="s">
        <v>281</v>
      </c>
      <c r="L428" s="125">
        <v>73950</v>
      </c>
      <c r="M428" s="123" t="s">
        <v>115</v>
      </c>
      <c r="N428" s="117"/>
    </row>
    <row r="429" spans="1:14" ht="17.25" thickBot="1">
      <c r="A429" s="126" t="str">
        <f t="shared" si="14"/>
        <v>2025/09</v>
      </c>
      <c r="B429" s="127" t="str">
        <f t="shared" si="15"/>
        <v>2025/09站前4樓</v>
      </c>
      <c r="C429" s="119">
        <v>40</v>
      </c>
      <c r="D429" s="124" t="s">
        <v>236</v>
      </c>
      <c r="E429" s="488" t="s">
        <v>332</v>
      </c>
      <c r="F429" s="488"/>
      <c r="G429" s="488" t="s">
        <v>333</v>
      </c>
      <c r="H429" s="488"/>
      <c r="I429" s="488"/>
      <c r="J429" s="488"/>
      <c r="K429" s="124" t="s">
        <v>334</v>
      </c>
      <c r="L429" s="125">
        <v>15401</v>
      </c>
      <c r="M429" s="123" t="s">
        <v>77</v>
      </c>
      <c r="N429" s="117"/>
    </row>
    <row r="430" spans="1:14" ht="17.25" thickBot="1">
      <c r="A430" s="126" t="str">
        <f t="shared" si="14"/>
        <v>2025/09</v>
      </c>
      <c r="B430" s="127" t="str">
        <f t="shared" si="15"/>
        <v>2025/09站前4樓</v>
      </c>
      <c r="C430" s="119">
        <v>41</v>
      </c>
      <c r="D430" s="124" t="s">
        <v>236</v>
      </c>
      <c r="E430" s="488" t="s">
        <v>335</v>
      </c>
      <c r="F430" s="488"/>
      <c r="G430" s="488" t="s">
        <v>336</v>
      </c>
      <c r="H430" s="488"/>
      <c r="I430" s="488"/>
      <c r="J430" s="488"/>
      <c r="K430" s="124" t="s">
        <v>337</v>
      </c>
      <c r="L430" s="125">
        <v>7600</v>
      </c>
      <c r="M430" s="123" t="s">
        <v>80</v>
      </c>
      <c r="N430" s="117"/>
    </row>
    <row r="431" spans="1:14" ht="17.25" thickBot="1">
      <c r="A431" s="126" t="str">
        <f t="shared" si="14"/>
        <v>2025/09</v>
      </c>
      <c r="B431" s="127" t="str">
        <f t="shared" si="15"/>
        <v>2025/09站前4樓</v>
      </c>
      <c r="C431" s="119">
        <v>42</v>
      </c>
      <c r="D431" s="124" t="s">
        <v>236</v>
      </c>
      <c r="E431" s="488" t="s">
        <v>351</v>
      </c>
      <c r="F431" s="488"/>
      <c r="G431" s="488" t="s">
        <v>352</v>
      </c>
      <c r="H431" s="488"/>
      <c r="I431" s="488"/>
      <c r="J431" s="488"/>
      <c r="K431" s="124" t="s">
        <v>353</v>
      </c>
      <c r="L431" s="125">
        <v>8</v>
      </c>
      <c r="M431" s="123" t="s">
        <v>27</v>
      </c>
      <c r="N431" s="117"/>
    </row>
    <row r="432" spans="1:14" ht="17.25" thickBot="1">
      <c r="A432" s="126" t="str">
        <f t="shared" si="14"/>
        <v>2025/09</v>
      </c>
      <c r="B432" s="127" t="str">
        <f t="shared" si="15"/>
        <v>2025/09站前4樓</v>
      </c>
      <c r="C432" s="119">
        <v>43</v>
      </c>
      <c r="D432" s="124" t="s">
        <v>236</v>
      </c>
      <c r="E432" s="488" t="s">
        <v>357</v>
      </c>
      <c r="F432" s="488"/>
      <c r="G432" s="488" t="s">
        <v>358</v>
      </c>
      <c r="H432" s="488"/>
      <c r="I432" s="488"/>
      <c r="J432" s="488"/>
      <c r="K432" s="124" t="s">
        <v>353</v>
      </c>
      <c r="L432" s="125">
        <v>16</v>
      </c>
      <c r="M432" s="123" t="s">
        <v>28</v>
      </c>
      <c r="N432" s="117"/>
    </row>
    <row r="433" spans="1:14" ht="17.25" thickBot="1">
      <c r="A433" s="126" t="str">
        <f t="shared" si="14"/>
        <v>2025/09</v>
      </c>
      <c r="B433" s="127" t="str">
        <f t="shared" si="15"/>
        <v>2025/09站前4樓</v>
      </c>
      <c r="C433" s="119">
        <v>44</v>
      </c>
      <c r="D433" s="124" t="s">
        <v>236</v>
      </c>
      <c r="E433" s="488" t="s">
        <v>340</v>
      </c>
      <c r="F433" s="488"/>
      <c r="G433" s="488" t="s">
        <v>341</v>
      </c>
      <c r="H433" s="488"/>
      <c r="I433" s="488"/>
      <c r="J433" s="488"/>
      <c r="K433" s="124" t="s">
        <v>342</v>
      </c>
      <c r="L433" s="125">
        <v>29</v>
      </c>
      <c r="M433" s="123"/>
      <c r="N433" s="117"/>
    </row>
    <row r="434" spans="1:14" ht="17.25" thickBot="1">
      <c r="A434" s="126" t="str">
        <f t="shared" si="14"/>
        <v>2025/09</v>
      </c>
      <c r="B434" s="127" t="str">
        <f t="shared" si="15"/>
        <v>2025/09站前4樓</v>
      </c>
      <c r="C434" s="119">
        <v>45</v>
      </c>
      <c r="D434" s="124" t="s">
        <v>236</v>
      </c>
      <c r="E434" s="488" t="s">
        <v>354</v>
      </c>
      <c r="F434" s="488"/>
      <c r="G434" s="488" t="s">
        <v>355</v>
      </c>
      <c r="H434" s="488"/>
      <c r="I434" s="488"/>
      <c r="J434" s="488"/>
      <c r="K434" s="124" t="s">
        <v>356</v>
      </c>
      <c r="L434" s="125">
        <v>4</v>
      </c>
      <c r="M434" s="123" t="s">
        <v>650</v>
      </c>
      <c r="N434" s="117"/>
    </row>
    <row r="435" spans="1:14" ht="17.25" thickBot="1">
      <c r="A435" s="126" t="str">
        <f t="shared" si="14"/>
        <v>2025/09</v>
      </c>
      <c r="B435" s="127" t="str">
        <f t="shared" si="15"/>
        <v>2025/09站前4樓</v>
      </c>
      <c r="C435" s="119">
        <v>46</v>
      </c>
      <c r="D435" s="124" t="s">
        <v>236</v>
      </c>
      <c r="E435" s="488" t="s">
        <v>368</v>
      </c>
      <c r="F435" s="488"/>
      <c r="G435" s="488" t="s">
        <v>369</v>
      </c>
      <c r="H435" s="488"/>
      <c r="I435" s="488"/>
      <c r="J435" s="488"/>
      <c r="K435" s="124" t="s">
        <v>356</v>
      </c>
      <c r="L435" s="125">
        <v>1</v>
      </c>
      <c r="M435" s="123" t="s">
        <v>651</v>
      </c>
      <c r="N435" s="117"/>
    </row>
    <row r="436" spans="1:14" ht="17.25" thickBot="1">
      <c r="A436" s="126" t="str">
        <f t="shared" si="14"/>
        <v>2025/09</v>
      </c>
      <c r="B436" s="127" t="str">
        <f t="shared" si="15"/>
        <v>2025/09站前4樓</v>
      </c>
      <c r="C436" s="119">
        <v>47</v>
      </c>
      <c r="D436" s="124" t="s">
        <v>236</v>
      </c>
      <c r="E436" s="488" t="s">
        <v>309</v>
      </c>
      <c r="F436" s="488"/>
      <c r="G436" s="488" t="s">
        <v>310</v>
      </c>
      <c r="H436" s="488"/>
      <c r="I436" s="488"/>
      <c r="J436" s="488"/>
      <c r="K436" s="124" t="s">
        <v>269</v>
      </c>
      <c r="L436" s="125">
        <v>54</v>
      </c>
      <c r="M436" s="123" t="s">
        <v>30</v>
      </c>
      <c r="N436" s="117"/>
    </row>
    <row r="437" spans="1:14" ht="17.25" thickBot="1">
      <c r="A437" s="126" t="str">
        <f t="shared" si="14"/>
        <v>2025/09</v>
      </c>
      <c r="B437" s="127" t="str">
        <f t="shared" si="15"/>
        <v>2025/09站前4樓</v>
      </c>
      <c r="C437" s="119">
        <v>48</v>
      </c>
      <c r="D437" s="124" t="s">
        <v>236</v>
      </c>
      <c r="E437" s="488" t="s">
        <v>267</v>
      </c>
      <c r="F437" s="488"/>
      <c r="G437" s="488" t="s">
        <v>268</v>
      </c>
      <c r="H437" s="488"/>
      <c r="I437" s="488"/>
      <c r="J437" s="488"/>
      <c r="K437" s="124" t="s">
        <v>269</v>
      </c>
      <c r="L437" s="125">
        <v>28</v>
      </c>
      <c r="M437" s="123" t="s">
        <v>33</v>
      </c>
      <c r="N437" s="117"/>
    </row>
    <row r="438" spans="1:14" ht="17.25" thickBot="1">
      <c r="A438" s="126" t="str">
        <f t="shared" si="14"/>
        <v>2025/09</v>
      </c>
      <c r="B438" s="127" t="str">
        <f t="shared" si="15"/>
        <v>2025/09站前4樓</v>
      </c>
      <c r="C438" s="119">
        <v>49</v>
      </c>
      <c r="D438" s="124" t="s">
        <v>236</v>
      </c>
      <c r="E438" s="488" t="s">
        <v>297</v>
      </c>
      <c r="F438" s="488"/>
      <c r="G438" s="488" t="s">
        <v>298</v>
      </c>
      <c r="H438" s="488"/>
      <c r="I438" s="488"/>
      <c r="J438" s="488"/>
      <c r="K438" s="124" t="s">
        <v>269</v>
      </c>
      <c r="L438" s="125">
        <v>6</v>
      </c>
      <c r="M438" s="123" t="s">
        <v>36</v>
      </c>
      <c r="N438" s="117"/>
    </row>
    <row r="439" spans="1:14" ht="17.25" thickBot="1">
      <c r="A439" s="126" t="str">
        <f t="shared" si="14"/>
        <v>2025/09</v>
      </c>
      <c r="B439" s="127" t="str">
        <f t="shared" si="15"/>
        <v>2025/09站前4樓</v>
      </c>
      <c r="C439" s="119">
        <v>50</v>
      </c>
      <c r="D439" s="124" t="s">
        <v>236</v>
      </c>
      <c r="E439" s="488" t="s">
        <v>315</v>
      </c>
      <c r="F439" s="488"/>
      <c r="G439" s="488" t="s">
        <v>316</v>
      </c>
      <c r="H439" s="488"/>
      <c r="I439" s="488"/>
      <c r="J439" s="488"/>
      <c r="K439" s="124" t="s">
        <v>296</v>
      </c>
      <c r="L439" s="125">
        <v>3</v>
      </c>
      <c r="M439" s="123" t="s">
        <v>62</v>
      </c>
      <c r="N439" s="117"/>
    </row>
    <row r="440" spans="1:14" ht="17.25" thickBot="1">
      <c r="A440" s="126" t="str">
        <f t="shared" si="14"/>
        <v>2025/09</v>
      </c>
      <c r="B440" s="127" t="str">
        <f t="shared" si="15"/>
        <v>2025/09站前4樓</v>
      </c>
      <c r="C440" s="119">
        <v>51</v>
      </c>
      <c r="D440" s="124" t="s">
        <v>236</v>
      </c>
      <c r="E440" s="488" t="s">
        <v>294</v>
      </c>
      <c r="F440" s="488"/>
      <c r="G440" s="488" t="s">
        <v>295</v>
      </c>
      <c r="H440" s="488"/>
      <c r="I440" s="488"/>
      <c r="J440" s="488"/>
      <c r="K440" s="124" t="s">
        <v>296</v>
      </c>
      <c r="L440" s="125">
        <v>7</v>
      </c>
      <c r="M440" s="123" t="s">
        <v>64</v>
      </c>
      <c r="N440" s="117"/>
    </row>
    <row r="441" spans="1:14" ht="17.25" thickBot="1">
      <c r="A441" s="126" t="str">
        <f t="shared" si="14"/>
        <v>2025/09</v>
      </c>
      <c r="B441" s="127" t="str">
        <f t="shared" si="15"/>
        <v>2025/09站前4樓</v>
      </c>
      <c r="C441" s="119">
        <v>52</v>
      </c>
      <c r="D441" s="124" t="s">
        <v>236</v>
      </c>
      <c r="E441" s="488" t="s">
        <v>237</v>
      </c>
      <c r="F441" s="488"/>
      <c r="G441" s="488" t="s">
        <v>238</v>
      </c>
      <c r="H441" s="488"/>
      <c r="I441" s="488"/>
      <c r="J441" s="488"/>
      <c r="K441" s="124" t="s">
        <v>239</v>
      </c>
      <c r="L441" s="125">
        <v>590</v>
      </c>
      <c r="M441" s="123" t="s">
        <v>117</v>
      </c>
      <c r="N441" s="117"/>
    </row>
    <row r="442" spans="1:14" ht="17.25" thickBot="1">
      <c r="A442" s="126" t="str">
        <f t="shared" si="14"/>
        <v>2025/09</v>
      </c>
      <c r="B442" s="127" t="str">
        <f t="shared" si="15"/>
        <v>2025/09站前4樓</v>
      </c>
      <c r="C442" s="119">
        <v>53</v>
      </c>
      <c r="D442" s="124" t="s">
        <v>236</v>
      </c>
      <c r="E442" s="488" t="s">
        <v>240</v>
      </c>
      <c r="F442" s="488"/>
      <c r="G442" s="488" t="s">
        <v>241</v>
      </c>
      <c r="H442" s="488"/>
      <c r="I442" s="488"/>
      <c r="J442" s="488"/>
      <c r="K442" s="124" t="s">
        <v>239</v>
      </c>
      <c r="L442" s="125">
        <v>590</v>
      </c>
      <c r="M442" s="123" t="s">
        <v>120</v>
      </c>
      <c r="N442" s="117"/>
    </row>
    <row r="443" spans="1:14" ht="17.25" thickBot="1">
      <c r="A443" s="126" t="str">
        <f t="shared" si="14"/>
        <v>2025/09</v>
      </c>
      <c r="B443" s="127" t="str">
        <f t="shared" si="15"/>
        <v>2025/09站前4樓</v>
      </c>
      <c r="C443" s="119">
        <v>54</v>
      </c>
      <c r="D443" s="124" t="s">
        <v>236</v>
      </c>
      <c r="E443" s="488" t="s">
        <v>242</v>
      </c>
      <c r="F443" s="488"/>
      <c r="G443" s="488" t="s">
        <v>243</v>
      </c>
      <c r="H443" s="488"/>
      <c r="I443" s="488"/>
      <c r="J443" s="488"/>
      <c r="K443" s="124" t="s">
        <v>239</v>
      </c>
      <c r="L443" s="125">
        <v>590</v>
      </c>
      <c r="M443" s="123" t="s">
        <v>121</v>
      </c>
      <c r="N443" s="117"/>
    </row>
    <row r="444" spans="1:14" ht="17.25" thickBot="1">
      <c r="A444" s="126" t="str">
        <f t="shared" si="14"/>
        <v>2025/09</v>
      </c>
      <c r="B444" s="127" t="str">
        <f t="shared" si="15"/>
        <v>2025/09站前4樓</v>
      </c>
      <c r="C444" s="119">
        <v>55</v>
      </c>
      <c r="D444" s="124" t="s">
        <v>236</v>
      </c>
      <c r="E444" s="488" t="s">
        <v>244</v>
      </c>
      <c r="F444" s="488"/>
      <c r="G444" s="488" t="s">
        <v>245</v>
      </c>
      <c r="H444" s="488"/>
      <c r="I444" s="488"/>
      <c r="J444" s="488"/>
      <c r="K444" s="124" t="s">
        <v>42</v>
      </c>
      <c r="L444" s="125">
        <v>8850</v>
      </c>
      <c r="M444" s="123" t="s">
        <v>123</v>
      </c>
      <c r="N444" s="117"/>
    </row>
    <row r="445" spans="1:14" ht="17.25" thickBot="1">
      <c r="A445" s="126" t="str">
        <f t="shared" si="14"/>
        <v>2025/09</v>
      </c>
      <c r="B445" s="127" t="str">
        <f t="shared" si="15"/>
        <v>2025/09站前4樓</v>
      </c>
      <c r="C445" s="119">
        <v>56</v>
      </c>
      <c r="D445" s="124" t="s">
        <v>236</v>
      </c>
      <c r="E445" s="488" t="s">
        <v>246</v>
      </c>
      <c r="F445" s="488"/>
      <c r="G445" s="488" t="s">
        <v>247</v>
      </c>
      <c r="H445" s="488"/>
      <c r="I445" s="488"/>
      <c r="J445" s="488"/>
      <c r="K445" s="124" t="s">
        <v>42</v>
      </c>
      <c r="L445" s="125">
        <v>8850</v>
      </c>
      <c r="M445" s="123" t="s">
        <v>127</v>
      </c>
      <c r="N445" s="117"/>
    </row>
    <row r="446" spans="1:14" ht="17.25" thickBot="1">
      <c r="A446" s="126" t="str">
        <f t="shared" si="14"/>
        <v>2025/09</v>
      </c>
      <c r="B446" s="127" t="str">
        <f t="shared" si="15"/>
        <v>2025/09站前4樓</v>
      </c>
      <c r="C446" s="119">
        <v>57</v>
      </c>
      <c r="D446" s="124" t="s">
        <v>236</v>
      </c>
      <c r="E446" s="488" t="s">
        <v>248</v>
      </c>
      <c r="F446" s="488"/>
      <c r="G446" s="488" t="s">
        <v>249</v>
      </c>
      <c r="H446" s="488"/>
      <c r="I446" s="488"/>
      <c r="J446" s="488"/>
      <c r="K446" s="124" t="s">
        <v>42</v>
      </c>
      <c r="L446" s="125">
        <v>8850</v>
      </c>
      <c r="M446" s="123" t="s">
        <v>129</v>
      </c>
      <c r="N446" s="117"/>
    </row>
    <row r="447" spans="1:14" ht="17.25" thickBot="1">
      <c r="A447" s="126" t="str">
        <f t="shared" si="14"/>
        <v>2025/09</v>
      </c>
      <c r="B447" s="127" t="str">
        <f t="shared" si="15"/>
        <v>2025/09站前4樓</v>
      </c>
      <c r="C447" s="119">
        <v>58</v>
      </c>
      <c r="D447" s="124" t="s">
        <v>236</v>
      </c>
      <c r="E447" s="488" t="s">
        <v>250</v>
      </c>
      <c r="F447" s="488"/>
      <c r="G447" s="488" t="s">
        <v>251</v>
      </c>
      <c r="H447" s="488"/>
      <c r="I447" s="488"/>
      <c r="J447" s="488"/>
      <c r="K447" s="124" t="s">
        <v>42</v>
      </c>
      <c r="L447" s="125">
        <v>8850</v>
      </c>
      <c r="M447" s="123" t="s">
        <v>131</v>
      </c>
      <c r="N447" s="117"/>
    </row>
    <row r="448" spans="1:14" ht="17.25" thickBot="1">
      <c r="A448" s="126" t="str">
        <f t="shared" si="14"/>
        <v>2025/09</v>
      </c>
      <c r="B448" s="127" t="str">
        <f t="shared" si="15"/>
        <v>2025/09站前11樓</v>
      </c>
      <c r="C448" s="119">
        <v>59</v>
      </c>
      <c r="D448" s="124" t="s">
        <v>374</v>
      </c>
      <c r="E448" s="488" t="s">
        <v>392</v>
      </c>
      <c r="F448" s="488"/>
      <c r="G448" s="488" t="s">
        <v>393</v>
      </c>
      <c r="H448" s="488"/>
      <c r="I448" s="488"/>
      <c r="J448" s="488"/>
      <c r="K448" s="124" t="s">
        <v>382</v>
      </c>
      <c r="L448" s="125">
        <v>330</v>
      </c>
      <c r="M448" s="123" t="s">
        <v>152</v>
      </c>
      <c r="N448" s="117"/>
    </row>
    <row r="449" spans="1:14" ht="17.25" thickBot="1">
      <c r="A449" s="126" t="str">
        <f t="shared" si="14"/>
        <v>2025/09</v>
      </c>
      <c r="B449" s="127" t="str">
        <f t="shared" si="15"/>
        <v>2025/09站前11樓</v>
      </c>
      <c r="C449" s="119">
        <v>60</v>
      </c>
      <c r="D449" s="124" t="s">
        <v>374</v>
      </c>
      <c r="E449" s="488" t="s">
        <v>380</v>
      </c>
      <c r="F449" s="488"/>
      <c r="G449" s="488" t="s">
        <v>381</v>
      </c>
      <c r="H449" s="488"/>
      <c r="I449" s="488"/>
      <c r="J449" s="488"/>
      <c r="K449" s="124" t="s">
        <v>382</v>
      </c>
      <c r="L449" s="125">
        <v>410</v>
      </c>
      <c r="M449" s="123" t="s">
        <v>155</v>
      </c>
      <c r="N449" s="117"/>
    </row>
    <row r="450" spans="1:14" ht="17.25" thickBot="1">
      <c r="A450" s="126" t="str">
        <f t="shared" si="14"/>
        <v>2025/09</v>
      </c>
      <c r="B450" s="127" t="str">
        <f t="shared" si="15"/>
        <v>2025/09站前11樓</v>
      </c>
      <c r="C450" s="119">
        <v>61</v>
      </c>
      <c r="D450" s="124" t="s">
        <v>374</v>
      </c>
      <c r="E450" s="488" t="s">
        <v>413</v>
      </c>
      <c r="F450" s="488"/>
      <c r="G450" s="488" t="s">
        <v>414</v>
      </c>
      <c r="H450" s="488"/>
      <c r="I450" s="488"/>
      <c r="J450" s="488"/>
      <c r="K450" s="124" t="s">
        <v>410</v>
      </c>
      <c r="L450" s="125">
        <v>1</v>
      </c>
      <c r="M450" s="123" t="s">
        <v>648</v>
      </c>
      <c r="N450" s="117"/>
    </row>
    <row r="451" spans="1:14" ht="17.25" thickBot="1">
      <c r="A451" s="126" t="str">
        <f t="shared" ref="A451:A514" si="16">IFERROR(LEFT(B451,7),"")</f>
        <v>2025/09</v>
      </c>
      <c r="B451" s="127" t="str">
        <f t="shared" si="15"/>
        <v>2025/09站前11樓</v>
      </c>
      <c r="C451" s="119">
        <v>62</v>
      </c>
      <c r="D451" s="124" t="s">
        <v>374</v>
      </c>
      <c r="E451" s="488" t="s">
        <v>360</v>
      </c>
      <c r="F451" s="488"/>
      <c r="G451" s="488" t="s">
        <v>361</v>
      </c>
      <c r="H451" s="488"/>
      <c r="I451" s="488"/>
      <c r="J451" s="488"/>
      <c r="K451" s="124" t="s">
        <v>362</v>
      </c>
      <c r="L451" s="125">
        <v>8</v>
      </c>
      <c r="M451" s="123" t="s">
        <v>653</v>
      </c>
      <c r="N451" s="117"/>
    </row>
    <row r="452" spans="1:14" ht="17.25" thickBot="1">
      <c r="A452" s="126" t="str">
        <f t="shared" si="16"/>
        <v>2025/09</v>
      </c>
      <c r="B452" s="127" t="str">
        <f t="shared" si="15"/>
        <v>2025/09站前11樓</v>
      </c>
      <c r="C452" s="119">
        <v>63</v>
      </c>
      <c r="D452" s="124" t="s">
        <v>374</v>
      </c>
      <c r="E452" s="488" t="s">
        <v>383</v>
      </c>
      <c r="F452" s="488"/>
      <c r="G452" s="488" t="s">
        <v>384</v>
      </c>
      <c r="H452" s="488"/>
      <c r="I452" s="488"/>
      <c r="J452" s="488"/>
      <c r="K452" s="124" t="s">
        <v>385</v>
      </c>
      <c r="L452" s="125">
        <v>165</v>
      </c>
      <c r="M452" s="123" t="s">
        <v>654</v>
      </c>
      <c r="N452" s="117"/>
    </row>
    <row r="453" spans="1:14" ht="17.25" thickBot="1">
      <c r="A453" s="126" t="str">
        <f t="shared" si="16"/>
        <v>2025/09</v>
      </c>
      <c r="B453" s="127" t="str">
        <f t="shared" si="15"/>
        <v>2025/09站前11樓</v>
      </c>
      <c r="C453" s="119">
        <v>64</v>
      </c>
      <c r="D453" s="124" t="s">
        <v>374</v>
      </c>
      <c r="E453" s="488" t="s">
        <v>394</v>
      </c>
      <c r="F453" s="488"/>
      <c r="G453" s="488" t="s">
        <v>395</v>
      </c>
      <c r="H453" s="488"/>
      <c r="I453" s="488"/>
      <c r="J453" s="488"/>
      <c r="K453" s="124" t="s">
        <v>272</v>
      </c>
      <c r="L453" s="125">
        <v>7</v>
      </c>
      <c r="M453" s="123" t="s">
        <v>655</v>
      </c>
      <c r="N453" s="117"/>
    </row>
    <row r="454" spans="1:14" ht="17.25" thickBot="1">
      <c r="A454" s="126" t="str">
        <f t="shared" si="16"/>
        <v>2025/09</v>
      </c>
      <c r="B454" s="127" t="str">
        <f t="shared" si="15"/>
        <v>2025/09站前11樓</v>
      </c>
      <c r="C454" s="119">
        <v>65</v>
      </c>
      <c r="D454" s="124" t="s">
        <v>374</v>
      </c>
      <c r="E454" s="488" t="s">
        <v>396</v>
      </c>
      <c r="F454" s="488"/>
      <c r="G454" s="488" t="s">
        <v>397</v>
      </c>
      <c r="H454" s="488"/>
      <c r="I454" s="488"/>
      <c r="J454" s="488"/>
      <c r="K454" s="124" t="s">
        <v>398</v>
      </c>
      <c r="L454" s="125">
        <v>1</v>
      </c>
      <c r="M454" s="123" t="s">
        <v>659</v>
      </c>
      <c r="N454" s="117"/>
    </row>
    <row r="455" spans="1:14" ht="17.25" thickBot="1">
      <c r="A455" s="126" t="str">
        <f t="shared" si="16"/>
        <v>2025/09</v>
      </c>
      <c r="B455" s="127" t="str">
        <f t="shared" ref="B455:B518" si="17">"2025/09"&amp;D455</f>
        <v>2025/09站前11樓</v>
      </c>
      <c r="C455" s="119">
        <v>66</v>
      </c>
      <c r="D455" s="124" t="s">
        <v>374</v>
      </c>
      <c r="E455" s="488" t="s">
        <v>403</v>
      </c>
      <c r="F455" s="488"/>
      <c r="G455" s="488" t="s">
        <v>404</v>
      </c>
      <c r="H455" s="488"/>
      <c r="I455" s="488"/>
      <c r="J455" s="488"/>
      <c r="K455" s="124" t="s">
        <v>405</v>
      </c>
      <c r="L455" s="125">
        <v>6</v>
      </c>
      <c r="M455" s="123" t="s">
        <v>656</v>
      </c>
      <c r="N455" s="117"/>
    </row>
    <row r="456" spans="1:14" ht="17.25" thickBot="1">
      <c r="A456" s="126" t="str">
        <f t="shared" si="16"/>
        <v>2025/09</v>
      </c>
      <c r="B456" s="127" t="str">
        <f t="shared" si="17"/>
        <v>2025/09站前11樓</v>
      </c>
      <c r="C456" s="119">
        <v>67</v>
      </c>
      <c r="D456" s="124" t="s">
        <v>374</v>
      </c>
      <c r="E456" s="488" t="s">
        <v>406</v>
      </c>
      <c r="F456" s="488"/>
      <c r="G456" s="488" t="s">
        <v>407</v>
      </c>
      <c r="H456" s="488"/>
      <c r="I456" s="488"/>
      <c r="J456" s="488"/>
      <c r="K456" s="124" t="s">
        <v>385</v>
      </c>
      <c r="L456" s="125">
        <v>6</v>
      </c>
      <c r="M456" s="123" t="s">
        <v>657</v>
      </c>
      <c r="N456" s="117"/>
    </row>
    <row r="457" spans="1:14" ht="17.25" thickBot="1">
      <c r="A457" s="126" t="str">
        <f t="shared" si="16"/>
        <v>2025/09</v>
      </c>
      <c r="B457" s="127" t="str">
        <f t="shared" si="17"/>
        <v>2025/09站前11樓</v>
      </c>
      <c r="C457" s="119">
        <v>68</v>
      </c>
      <c r="D457" s="124" t="s">
        <v>374</v>
      </c>
      <c r="E457" s="488" t="s">
        <v>408</v>
      </c>
      <c r="F457" s="488"/>
      <c r="G457" s="488" t="s">
        <v>409</v>
      </c>
      <c r="H457" s="488"/>
      <c r="I457" s="488"/>
      <c r="J457" s="488"/>
      <c r="K457" s="124" t="s">
        <v>410</v>
      </c>
      <c r="L457" s="125">
        <v>6</v>
      </c>
      <c r="M457" s="123" t="s">
        <v>658</v>
      </c>
      <c r="N457" s="117"/>
    </row>
    <row r="458" spans="1:14" ht="17.25" thickBot="1">
      <c r="A458" s="126" t="str">
        <f t="shared" si="16"/>
        <v>2025/09</v>
      </c>
      <c r="B458" s="127" t="str">
        <f t="shared" si="17"/>
        <v>2025/09站前11樓</v>
      </c>
      <c r="C458" s="119">
        <v>69</v>
      </c>
      <c r="D458" s="124" t="s">
        <v>374</v>
      </c>
      <c r="E458" s="488" t="s">
        <v>255</v>
      </c>
      <c r="F458" s="488"/>
      <c r="G458" s="488" t="s">
        <v>256</v>
      </c>
      <c r="H458" s="488"/>
      <c r="I458" s="488"/>
      <c r="J458" s="488"/>
      <c r="K458" s="124" t="s">
        <v>257</v>
      </c>
      <c r="L458" s="125">
        <v>353</v>
      </c>
      <c r="M458" s="123" t="s">
        <v>660</v>
      </c>
      <c r="N458" s="117"/>
    </row>
    <row r="459" spans="1:14" ht="17.25" thickBot="1">
      <c r="A459" s="126" t="str">
        <f t="shared" si="16"/>
        <v>2025/09</v>
      </c>
      <c r="B459" s="127" t="str">
        <f t="shared" si="17"/>
        <v>2025/09站前11樓</v>
      </c>
      <c r="C459" s="119">
        <v>70</v>
      </c>
      <c r="D459" s="124" t="s">
        <v>374</v>
      </c>
      <c r="E459" s="488" t="s">
        <v>419</v>
      </c>
      <c r="F459" s="488"/>
      <c r="G459" s="488" t="s">
        <v>420</v>
      </c>
      <c r="H459" s="488"/>
      <c r="I459" s="488"/>
      <c r="J459" s="488"/>
      <c r="K459" s="124" t="s">
        <v>421</v>
      </c>
      <c r="L459" s="125">
        <v>65</v>
      </c>
      <c r="M459" s="123" t="s">
        <v>667</v>
      </c>
      <c r="N459" s="117"/>
    </row>
    <row r="460" spans="1:14" ht="17.25" thickBot="1">
      <c r="A460" s="126" t="str">
        <f t="shared" si="16"/>
        <v>2025/09</v>
      </c>
      <c r="B460" s="127" t="str">
        <f t="shared" si="17"/>
        <v>2025/09站前11樓</v>
      </c>
      <c r="C460" s="119">
        <v>71</v>
      </c>
      <c r="D460" s="124" t="s">
        <v>374</v>
      </c>
      <c r="E460" s="488" t="s">
        <v>258</v>
      </c>
      <c r="F460" s="488"/>
      <c r="G460" s="488" t="s">
        <v>259</v>
      </c>
      <c r="H460" s="488"/>
      <c r="I460" s="488"/>
      <c r="J460" s="488"/>
      <c r="K460" s="124"/>
      <c r="L460" s="125">
        <v>1</v>
      </c>
      <c r="M460" s="123" t="s">
        <v>661</v>
      </c>
      <c r="N460" s="117"/>
    </row>
    <row r="461" spans="1:14" ht="17.25" thickBot="1">
      <c r="A461" s="126" t="str">
        <f t="shared" si="16"/>
        <v>2025/09</v>
      </c>
      <c r="B461" s="127" t="str">
        <f t="shared" si="17"/>
        <v>2025/09站前11樓</v>
      </c>
      <c r="C461" s="119">
        <v>72</v>
      </c>
      <c r="D461" s="124" t="s">
        <v>374</v>
      </c>
      <c r="E461" s="488" t="s">
        <v>260</v>
      </c>
      <c r="F461" s="488"/>
      <c r="G461" s="488" t="s">
        <v>261</v>
      </c>
      <c r="H461" s="488"/>
      <c r="I461" s="488"/>
      <c r="J461" s="488"/>
      <c r="K461" s="124" t="s">
        <v>254</v>
      </c>
      <c r="L461" s="125">
        <v>1</v>
      </c>
      <c r="M461" s="123" t="s">
        <v>662</v>
      </c>
      <c r="N461" s="117"/>
    </row>
    <row r="462" spans="1:14" ht="17.25" thickBot="1">
      <c r="A462" s="126" t="str">
        <f t="shared" si="16"/>
        <v>2025/09</v>
      </c>
      <c r="B462" s="127" t="str">
        <f t="shared" si="17"/>
        <v>2025/09站前11樓</v>
      </c>
      <c r="C462" s="119">
        <v>73</v>
      </c>
      <c r="D462" s="124" t="s">
        <v>374</v>
      </c>
      <c r="E462" s="488" t="s">
        <v>415</v>
      </c>
      <c r="F462" s="488"/>
      <c r="G462" s="488" t="s">
        <v>416</v>
      </c>
      <c r="H462" s="488"/>
      <c r="I462" s="488"/>
      <c r="J462" s="488"/>
      <c r="K462" s="124" t="s">
        <v>254</v>
      </c>
      <c r="L462" s="125">
        <v>1</v>
      </c>
      <c r="M462" s="123" t="s">
        <v>668</v>
      </c>
      <c r="N462" s="117"/>
    </row>
    <row r="463" spans="1:14" ht="17.25" thickBot="1">
      <c r="A463" s="126" t="str">
        <f t="shared" si="16"/>
        <v>2025/09</v>
      </c>
      <c r="B463" s="127" t="str">
        <f t="shared" si="17"/>
        <v>2025/09站前11樓</v>
      </c>
      <c r="C463" s="119">
        <v>74</v>
      </c>
      <c r="D463" s="124" t="s">
        <v>374</v>
      </c>
      <c r="E463" s="488" t="s">
        <v>252</v>
      </c>
      <c r="F463" s="488"/>
      <c r="G463" s="488" t="s">
        <v>253</v>
      </c>
      <c r="H463" s="488"/>
      <c r="I463" s="488"/>
      <c r="J463" s="488"/>
      <c r="K463" s="124" t="s">
        <v>254</v>
      </c>
      <c r="L463" s="125">
        <v>2</v>
      </c>
      <c r="M463" s="123" t="s">
        <v>665</v>
      </c>
      <c r="N463" s="117"/>
    </row>
    <row r="464" spans="1:14" ht="17.25" thickBot="1">
      <c r="A464" s="126" t="str">
        <f t="shared" si="16"/>
        <v>2025/09</v>
      </c>
      <c r="B464" s="127" t="str">
        <f t="shared" si="17"/>
        <v>2025/09站前11樓</v>
      </c>
      <c r="C464" s="119">
        <v>75</v>
      </c>
      <c r="D464" s="124" t="s">
        <v>374</v>
      </c>
      <c r="E464" s="488" t="s">
        <v>389</v>
      </c>
      <c r="F464" s="488"/>
      <c r="G464" s="488" t="s">
        <v>390</v>
      </c>
      <c r="H464" s="488"/>
      <c r="I464" s="488"/>
      <c r="J464" s="488"/>
      <c r="K464" s="124" t="s">
        <v>391</v>
      </c>
      <c r="L464" s="125">
        <v>65</v>
      </c>
      <c r="M464" s="123" t="s">
        <v>106</v>
      </c>
      <c r="N464" s="117"/>
    </row>
    <row r="465" spans="1:14" ht="17.25" thickBot="1">
      <c r="A465" s="126" t="str">
        <f t="shared" si="16"/>
        <v>2025/09</v>
      </c>
      <c r="B465" s="127" t="str">
        <f t="shared" si="17"/>
        <v>2025/09站前11樓</v>
      </c>
      <c r="C465" s="119">
        <v>76</v>
      </c>
      <c r="D465" s="124" t="s">
        <v>374</v>
      </c>
      <c r="E465" s="488" t="s">
        <v>386</v>
      </c>
      <c r="F465" s="488"/>
      <c r="G465" s="488" t="s">
        <v>387</v>
      </c>
      <c r="H465" s="488"/>
      <c r="I465" s="488"/>
      <c r="J465" s="488"/>
      <c r="K465" s="124" t="s">
        <v>388</v>
      </c>
      <c r="L465" s="125">
        <v>1349</v>
      </c>
      <c r="M465" s="123" t="s">
        <v>101</v>
      </c>
      <c r="N465" s="117"/>
    </row>
    <row r="466" spans="1:14" ht="17.25" thickBot="1">
      <c r="A466" s="126" t="str">
        <f t="shared" si="16"/>
        <v>2025/09</v>
      </c>
      <c r="B466" s="127" t="str">
        <f t="shared" si="17"/>
        <v>2025/09站前11樓</v>
      </c>
      <c r="C466" s="119">
        <v>77</v>
      </c>
      <c r="D466" s="124" t="s">
        <v>374</v>
      </c>
      <c r="E466" s="488" t="s">
        <v>377</v>
      </c>
      <c r="F466" s="488"/>
      <c r="G466" s="488" t="s">
        <v>378</v>
      </c>
      <c r="H466" s="488"/>
      <c r="I466" s="488"/>
      <c r="J466" s="488"/>
      <c r="K466" s="124" t="s">
        <v>379</v>
      </c>
      <c r="L466" s="125">
        <v>372</v>
      </c>
      <c r="M466" s="123"/>
      <c r="N466" s="117"/>
    </row>
    <row r="467" spans="1:14" ht="17.25" thickBot="1">
      <c r="A467" s="126" t="str">
        <f t="shared" si="16"/>
        <v>2025/09</v>
      </c>
      <c r="B467" s="127" t="str">
        <f t="shared" si="17"/>
        <v>2025/09站前11樓</v>
      </c>
      <c r="C467" s="119">
        <v>78</v>
      </c>
      <c r="D467" s="124" t="s">
        <v>374</v>
      </c>
      <c r="E467" s="488" t="s">
        <v>401</v>
      </c>
      <c r="F467" s="488"/>
      <c r="G467" s="488" t="s">
        <v>402</v>
      </c>
      <c r="H467" s="488"/>
      <c r="I467" s="488"/>
      <c r="J467" s="488"/>
      <c r="K467" s="124" t="s">
        <v>145</v>
      </c>
      <c r="L467" s="125">
        <v>8</v>
      </c>
      <c r="M467" s="123" t="s">
        <v>147</v>
      </c>
      <c r="N467" s="117"/>
    </row>
    <row r="468" spans="1:14" ht="17.25" thickBot="1">
      <c r="A468" s="126" t="str">
        <f t="shared" si="16"/>
        <v>2025/09</v>
      </c>
      <c r="B468" s="127" t="str">
        <f t="shared" si="17"/>
        <v>2025/09站前11樓</v>
      </c>
      <c r="C468" s="119">
        <v>79</v>
      </c>
      <c r="D468" s="124" t="s">
        <v>374</v>
      </c>
      <c r="E468" s="488" t="s">
        <v>417</v>
      </c>
      <c r="F468" s="488"/>
      <c r="G468" s="488" t="s">
        <v>418</v>
      </c>
      <c r="H468" s="488"/>
      <c r="I468" s="488"/>
      <c r="J468" s="488"/>
      <c r="K468" s="124" t="s">
        <v>145</v>
      </c>
      <c r="L468" s="125">
        <v>4</v>
      </c>
      <c r="M468" s="123" t="s">
        <v>148</v>
      </c>
      <c r="N468" s="117"/>
    </row>
    <row r="469" spans="1:14" ht="17.25" thickBot="1">
      <c r="A469" s="126" t="str">
        <f t="shared" si="16"/>
        <v>2025/09</v>
      </c>
      <c r="B469" s="127" t="str">
        <f t="shared" si="17"/>
        <v>2025/09站前11樓</v>
      </c>
      <c r="C469" s="119">
        <v>80</v>
      </c>
      <c r="D469" s="124" t="s">
        <v>374</v>
      </c>
      <c r="E469" s="488" t="s">
        <v>411</v>
      </c>
      <c r="F469" s="488"/>
      <c r="G469" s="488" t="s">
        <v>412</v>
      </c>
      <c r="H469" s="488"/>
      <c r="I469" s="488"/>
      <c r="J469" s="488"/>
      <c r="K469" s="124" t="s">
        <v>145</v>
      </c>
      <c r="L469" s="125">
        <v>27</v>
      </c>
      <c r="M469" s="123" t="s">
        <v>641</v>
      </c>
      <c r="N469" s="117"/>
    </row>
    <row r="470" spans="1:14" ht="17.25" thickBot="1">
      <c r="A470" s="126" t="str">
        <f t="shared" si="16"/>
        <v>2025/09</v>
      </c>
      <c r="B470" s="127" t="str">
        <f t="shared" si="17"/>
        <v>2025/09站前11樓</v>
      </c>
      <c r="C470" s="119">
        <v>81</v>
      </c>
      <c r="D470" s="124" t="s">
        <v>374</v>
      </c>
      <c r="E470" s="488" t="s">
        <v>375</v>
      </c>
      <c r="F470" s="488"/>
      <c r="G470" s="488" t="s">
        <v>376</v>
      </c>
      <c r="H470" s="488"/>
      <c r="I470" s="488"/>
      <c r="J470" s="488"/>
      <c r="K470" s="124" t="s">
        <v>145</v>
      </c>
      <c r="L470" s="125">
        <v>27</v>
      </c>
      <c r="M470" s="123" t="s">
        <v>642</v>
      </c>
      <c r="N470" s="117"/>
    </row>
    <row r="471" spans="1:14" ht="17.25" thickBot="1">
      <c r="A471" s="126" t="str">
        <f t="shared" si="16"/>
        <v>2025/09</v>
      </c>
      <c r="B471" s="127" t="str">
        <f t="shared" si="17"/>
        <v>2025/09站前11樓</v>
      </c>
      <c r="C471" s="119">
        <v>82</v>
      </c>
      <c r="D471" s="124" t="s">
        <v>374</v>
      </c>
      <c r="E471" s="488" t="s">
        <v>422</v>
      </c>
      <c r="F471" s="488"/>
      <c r="G471" s="488" t="s">
        <v>423</v>
      </c>
      <c r="H471" s="488"/>
      <c r="I471" s="488"/>
      <c r="J471" s="488"/>
      <c r="K471" s="124" t="s">
        <v>145</v>
      </c>
      <c r="L471" s="125">
        <v>4</v>
      </c>
      <c r="M471" s="123" t="s">
        <v>643</v>
      </c>
      <c r="N471" s="117"/>
    </row>
    <row r="472" spans="1:14" ht="17.25" thickBot="1">
      <c r="A472" s="126" t="str">
        <f t="shared" si="16"/>
        <v>2025/09</v>
      </c>
      <c r="B472" s="127" t="str">
        <f t="shared" si="17"/>
        <v>2025/09站前11樓</v>
      </c>
      <c r="C472" s="119">
        <v>83</v>
      </c>
      <c r="D472" s="124" t="s">
        <v>374</v>
      </c>
      <c r="E472" s="488" t="s">
        <v>399</v>
      </c>
      <c r="F472" s="488"/>
      <c r="G472" s="488" t="s">
        <v>400</v>
      </c>
      <c r="H472" s="488"/>
      <c r="I472" s="488"/>
      <c r="J472" s="488"/>
      <c r="K472" s="124" t="s">
        <v>145</v>
      </c>
      <c r="L472" s="125">
        <v>35</v>
      </c>
      <c r="M472" s="123" t="s">
        <v>644</v>
      </c>
      <c r="N472" s="117"/>
    </row>
    <row r="473" spans="1:14" ht="17.25" thickBot="1">
      <c r="A473" s="126" t="str">
        <f t="shared" si="16"/>
        <v>2025/09</v>
      </c>
      <c r="B473" s="127" t="str">
        <f t="shared" si="17"/>
        <v>2025/09忠孝7樓</v>
      </c>
      <c r="C473" s="119">
        <v>84</v>
      </c>
      <c r="D473" s="124" t="s">
        <v>424</v>
      </c>
      <c r="E473" s="488" t="s">
        <v>360</v>
      </c>
      <c r="F473" s="488"/>
      <c r="G473" s="488" t="s">
        <v>361</v>
      </c>
      <c r="H473" s="488"/>
      <c r="I473" s="488"/>
      <c r="J473" s="488"/>
      <c r="K473" s="124" t="s">
        <v>362</v>
      </c>
      <c r="L473" s="125">
        <v>7</v>
      </c>
      <c r="M473" s="123" t="s">
        <v>653</v>
      </c>
      <c r="N473" s="117"/>
    </row>
    <row r="474" spans="1:14" ht="17.25" thickBot="1">
      <c r="A474" s="126" t="str">
        <f t="shared" si="16"/>
        <v>2025/09</v>
      </c>
      <c r="B474" s="127" t="str">
        <f t="shared" si="17"/>
        <v>2025/09忠孝7樓</v>
      </c>
      <c r="C474" s="119">
        <v>85</v>
      </c>
      <c r="D474" s="124" t="s">
        <v>424</v>
      </c>
      <c r="E474" s="488" t="s">
        <v>383</v>
      </c>
      <c r="F474" s="488"/>
      <c r="G474" s="488" t="s">
        <v>384</v>
      </c>
      <c r="H474" s="488"/>
      <c r="I474" s="488"/>
      <c r="J474" s="488"/>
      <c r="K474" s="124" t="s">
        <v>385</v>
      </c>
      <c r="L474" s="125">
        <v>1</v>
      </c>
      <c r="M474" s="123" t="s">
        <v>654</v>
      </c>
      <c r="N474" s="117"/>
    </row>
    <row r="475" spans="1:14" ht="17.25" thickBot="1">
      <c r="A475" s="126" t="str">
        <f t="shared" si="16"/>
        <v>2025/09</v>
      </c>
      <c r="B475" s="127" t="str">
        <f t="shared" si="17"/>
        <v>2025/09忠孝7樓</v>
      </c>
      <c r="C475" s="119">
        <v>86</v>
      </c>
      <c r="D475" s="124" t="s">
        <v>424</v>
      </c>
      <c r="E475" s="488" t="s">
        <v>255</v>
      </c>
      <c r="F475" s="488"/>
      <c r="G475" s="488" t="s">
        <v>256</v>
      </c>
      <c r="H475" s="488"/>
      <c r="I475" s="488"/>
      <c r="J475" s="488"/>
      <c r="K475" s="124" t="s">
        <v>257</v>
      </c>
      <c r="L475" s="125">
        <v>369</v>
      </c>
      <c r="M475" s="123" t="s">
        <v>660</v>
      </c>
      <c r="N475" s="117"/>
    </row>
    <row r="476" spans="1:14" ht="17.25" thickBot="1">
      <c r="A476" s="126" t="str">
        <f t="shared" si="16"/>
        <v>2025/09</v>
      </c>
      <c r="B476" s="127" t="str">
        <f t="shared" si="17"/>
        <v>2025/09忠孝7樓</v>
      </c>
      <c r="C476" s="119">
        <v>87</v>
      </c>
      <c r="D476" s="124" t="s">
        <v>424</v>
      </c>
      <c r="E476" s="488" t="s">
        <v>258</v>
      </c>
      <c r="F476" s="488"/>
      <c r="G476" s="488" t="s">
        <v>259</v>
      </c>
      <c r="H476" s="488"/>
      <c r="I476" s="488"/>
      <c r="J476" s="488"/>
      <c r="K476" s="124"/>
      <c r="L476" s="125">
        <v>374</v>
      </c>
      <c r="M476" s="123" t="s">
        <v>661</v>
      </c>
      <c r="N476" s="117"/>
    </row>
    <row r="477" spans="1:14" ht="17.25" thickBot="1">
      <c r="A477" s="126" t="str">
        <f t="shared" si="16"/>
        <v>2025/09</v>
      </c>
      <c r="B477" s="127" t="str">
        <f t="shared" si="17"/>
        <v>2025/09忠孝7樓</v>
      </c>
      <c r="C477" s="119">
        <v>88</v>
      </c>
      <c r="D477" s="124" t="s">
        <v>424</v>
      </c>
      <c r="E477" s="488" t="s">
        <v>260</v>
      </c>
      <c r="F477" s="488"/>
      <c r="G477" s="488" t="s">
        <v>261</v>
      </c>
      <c r="H477" s="488"/>
      <c r="I477" s="488"/>
      <c r="J477" s="488"/>
      <c r="K477" s="124" t="s">
        <v>254</v>
      </c>
      <c r="L477" s="125">
        <v>374</v>
      </c>
      <c r="M477" s="123" t="s">
        <v>662</v>
      </c>
      <c r="N477" s="117"/>
    </row>
    <row r="478" spans="1:14" ht="17.25" thickBot="1">
      <c r="A478" s="126" t="str">
        <f t="shared" si="16"/>
        <v>2025/09</v>
      </c>
      <c r="B478" s="127" t="str">
        <f t="shared" si="17"/>
        <v>2025/09忠孝7樓</v>
      </c>
      <c r="C478" s="119">
        <v>89</v>
      </c>
      <c r="D478" s="124" t="s">
        <v>424</v>
      </c>
      <c r="E478" s="488" t="s">
        <v>262</v>
      </c>
      <c r="F478" s="488"/>
      <c r="G478" s="488" t="s">
        <v>263</v>
      </c>
      <c r="H478" s="488"/>
      <c r="I478" s="488"/>
      <c r="J478" s="488"/>
      <c r="K478" s="124" t="s">
        <v>254</v>
      </c>
      <c r="L478" s="125">
        <v>34</v>
      </c>
      <c r="M478" s="123" t="s">
        <v>663</v>
      </c>
      <c r="N478" s="117"/>
    </row>
    <row r="479" spans="1:14" ht="17.25" thickBot="1">
      <c r="A479" s="126" t="str">
        <f t="shared" si="16"/>
        <v>2025/09</v>
      </c>
      <c r="B479" s="127" t="str">
        <f t="shared" si="17"/>
        <v>2025/09忠孝7樓</v>
      </c>
      <c r="C479" s="119">
        <v>90</v>
      </c>
      <c r="D479" s="124" t="s">
        <v>424</v>
      </c>
      <c r="E479" s="488" t="s">
        <v>270</v>
      </c>
      <c r="F479" s="488"/>
      <c r="G479" s="488" t="s">
        <v>271</v>
      </c>
      <c r="H479" s="488"/>
      <c r="I479" s="488"/>
      <c r="J479" s="488"/>
      <c r="K479" s="124" t="s">
        <v>272</v>
      </c>
      <c r="L479" s="125">
        <v>125</v>
      </c>
      <c r="M479" s="123" t="s">
        <v>664</v>
      </c>
      <c r="N479" s="117"/>
    </row>
    <row r="480" spans="1:14" ht="17.25" thickBot="1">
      <c r="A480" s="126" t="str">
        <f t="shared" si="16"/>
        <v>2025/09</v>
      </c>
      <c r="B480" s="127" t="str">
        <f t="shared" si="17"/>
        <v>2025/09忠孝7樓</v>
      </c>
      <c r="C480" s="119">
        <v>91</v>
      </c>
      <c r="D480" s="124" t="s">
        <v>424</v>
      </c>
      <c r="E480" s="488" t="s">
        <v>252</v>
      </c>
      <c r="F480" s="488"/>
      <c r="G480" s="488" t="s">
        <v>253</v>
      </c>
      <c r="H480" s="488"/>
      <c r="I480" s="488"/>
      <c r="J480" s="488"/>
      <c r="K480" s="124" t="s">
        <v>254</v>
      </c>
      <c r="L480" s="125">
        <v>375</v>
      </c>
      <c r="M480" s="123" t="s">
        <v>665</v>
      </c>
      <c r="N480" s="117"/>
    </row>
    <row r="481" spans="1:14" ht="17.25" thickBot="1">
      <c r="A481" s="126" t="str">
        <f t="shared" si="16"/>
        <v>2025/09</v>
      </c>
      <c r="B481" s="127" t="str">
        <f t="shared" si="17"/>
        <v>2025/09忠孝7樓</v>
      </c>
      <c r="C481" s="119">
        <v>92</v>
      </c>
      <c r="D481" s="124" t="s">
        <v>424</v>
      </c>
      <c r="E481" s="488" t="s">
        <v>429</v>
      </c>
      <c r="F481" s="488"/>
      <c r="G481" s="488" t="s">
        <v>430</v>
      </c>
      <c r="H481" s="488"/>
      <c r="I481" s="488"/>
      <c r="J481" s="488"/>
      <c r="K481" s="124" t="s">
        <v>272</v>
      </c>
      <c r="L481" s="125">
        <v>1</v>
      </c>
      <c r="M481" s="123" t="s">
        <v>666</v>
      </c>
      <c r="N481" s="117"/>
    </row>
    <row r="482" spans="1:14" ht="17.25" thickBot="1">
      <c r="A482" s="126" t="str">
        <f t="shared" si="16"/>
        <v>2025/09</v>
      </c>
      <c r="B482" s="127" t="str">
        <f t="shared" si="17"/>
        <v>2025/09忠孝7樓</v>
      </c>
      <c r="C482" s="119">
        <v>93</v>
      </c>
      <c r="D482" s="124" t="s">
        <v>424</v>
      </c>
      <c r="E482" s="488" t="s">
        <v>305</v>
      </c>
      <c r="F482" s="488"/>
      <c r="G482" s="488" t="s">
        <v>306</v>
      </c>
      <c r="H482" s="488"/>
      <c r="I482" s="488"/>
      <c r="J482" s="488"/>
      <c r="K482" s="124" t="s">
        <v>266</v>
      </c>
      <c r="L482" s="125">
        <v>1685</v>
      </c>
      <c r="M482" s="123" t="s">
        <v>638</v>
      </c>
      <c r="N482" s="117"/>
    </row>
    <row r="483" spans="1:14" ht="17.25" thickBot="1">
      <c r="A483" s="126" t="str">
        <f t="shared" si="16"/>
        <v>2025/09</v>
      </c>
      <c r="B483" s="127" t="str">
        <f t="shared" si="17"/>
        <v>2025/09忠孝7樓</v>
      </c>
      <c r="C483" s="119">
        <v>94</v>
      </c>
      <c r="D483" s="124" t="s">
        <v>424</v>
      </c>
      <c r="E483" s="488" t="s">
        <v>264</v>
      </c>
      <c r="F483" s="488"/>
      <c r="G483" s="488" t="s">
        <v>265</v>
      </c>
      <c r="H483" s="488"/>
      <c r="I483" s="488"/>
      <c r="J483" s="488"/>
      <c r="K483" s="124" t="s">
        <v>266</v>
      </c>
      <c r="L483" s="125">
        <v>3049</v>
      </c>
      <c r="M483" s="123" t="s">
        <v>639</v>
      </c>
      <c r="N483" s="117"/>
    </row>
    <row r="484" spans="1:14" ht="17.25" thickBot="1">
      <c r="A484" s="126" t="str">
        <f t="shared" si="16"/>
        <v>2025/09</v>
      </c>
      <c r="B484" s="127" t="str">
        <f t="shared" si="17"/>
        <v>2025/09忠孝7樓</v>
      </c>
      <c r="C484" s="119">
        <v>95</v>
      </c>
      <c r="D484" s="124" t="s">
        <v>424</v>
      </c>
      <c r="E484" s="488" t="s">
        <v>307</v>
      </c>
      <c r="F484" s="488"/>
      <c r="G484" s="488" t="s">
        <v>308</v>
      </c>
      <c r="H484" s="488"/>
      <c r="I484" s="488"/>
      <c r="J484" s="488"/>
      <c r="K484" s="124" t="s">
        <v>266</v>
      </c>
      <c r="L484" s="125">
        <v>968</v>
      </c>
      <c r="M484" s="123" t="s">
        <v>640</v>
      </c>
      <c r="N484" s="117"/>
    </row>
    <row r="485" spans="1:14" ht="17.25" thickBot="1">
      <c r="A485" s="126" t="str">
        <f t="shared" si="16"/>
        <v>2025/09</v>
      </c>
      <c r="B485" s="127" t="str">
        <f t="shared" si="17"/>
        <v>2025/09忠孝7樓</v>
      </c>
      <c r="C485" s="119">
        <v>96</v>
      </c>
      <c r="D485" s="124" t="s">
        <v>424</v>
      </c>
      <c r="E485" s="488" t="s">
        <v>313</v>
      </c>
      <c r="F485" s="488"/>
      <c r="G485" s="488" t="s">
        <v>314</v>
      </c>
      <c r="H485" s="488"/>
      <c r="I485" s="488"/>
      <c r="J485" s="488"/>
      <c r="K485" s="124" t="s">
        <v>301</v>
      </c>
      <c r="L485" s="125">
        <v>51</v>
      </c>
      <c r="M485" s="123" t="s">
        <v>14</v>
      </c>
      <c r="N485" s="117"/>
    </row>
    <row r="486" spans="1:14" ht="17.25" thickBot="1">
      <c r="A486" s="126" t="str">
        <f t="shared" si="16"/>
        <v>2025/09</v>
      </c>
      <c r="B486" s="127" t="str">
        <f t="shared" si="17"/>
        <v>2025/09忠孝7樓</v>
      </c>
      <c r="C486" s="119">
        <v>97</v>
      </c>
      <c r="D486" s="124" t="s">
        <v>424</v>
      </c>
      <c r="E486" s="488" t="s">
        <v>343</v>
      </c>
      <c r="F486" s="488"/>
      <c r="G486" s="488" t="s">
        <v>344</v>
      </c>
      <c r="H486" s="488"/>
      <c r="I486" s="488"/>
      <c r="J486" s="488"/>
      <c r="K486" s="124" t="s">
        <v>301</v>
      </c>
      <c r="L486" s="125">
        <v>2</v>
      </c>
      <c r="M486" s="123" t="s">
        <v>18</v>
      </c>
      <c r="N486" s="117"/>
    </row>
    <row r="487" spans="1:14" ht="17.25" thickBot="1">
      <c r="A487" s="126" t="str">
        <f t="shared" si="16"/>
        <v>2025/09</v>
      </c>
      <c r="B487" s="127" t="str">
        <f t="shared" si="17"/>
        <v>2025/09忠孝7樓</v>
      </c>
      <c r="C487" s="119">
        <v>98</v>
      </c>
      <c r="D487" s="124" t="s">
        <v>424</v>
      </c>
      <c r="E487" s="488" t="s">
        <v>427</v>
      </c>
      <c r="F487" s="488"/>
      <c r="G487" s="488" t="s">
        <v>428</v>
      </c>
      <c r="H487" s="488"/>
      <c r="I487" s="488"/>
      <c r="J487" s="488"/>
      <c r="K487" s="124" t="s">
        <v>301</v>
      </c>
      <c r="L487" s="125">
        <v>1</v>
      </c>
      <c r="M487" s="123" t="s">
        <v>19</v>
      </c>
      <c r="N487" s="117"/>
    </row>
    <row r="488" spans="1:14" ht="17.25" thickBot="1">
      <c r="A488" s="126" t="str">
        <f t="shared" si="16"/>
        <v>2025/09</v>
      </c>
      <c r="B488" s="127" t="str">
        <f t="shared" si="17"/>
        <v>2025/09忠孝7樓</v>
      </c>
      <c r="C488" s="119">
        <v>99</v>
      </c>
      <c r="D488" s="124" t="s">
        <v>424</v>
      </c>
      <c r="E488" s="488" t="s">
        <v>349</v>
      </c>
      <c r="F488" s="488"/>
      <c r="G488" s="488" t="s">
        <v>350</v>
      </c>
      <c r="H488" s="488"/>
      <c r="I488" s="488"/>
      <c r="J488" s="488"/>
      <c r="K488" s="124" t="s">
        <v>301</v>
      </c>
      <c r="L488" s="125">
        <v>25</v>
      </c>
      <c r="M488" s="123" t="s">
        <v>20</v>
      </c>
      <c r="N488" s="117"/>
    </row>
    <row r="489" spans="1:14" ht="17.25" thickBot="1">
      <c r="A489" s="126" t="str">
        <f t="shared" si="16"/>
        <v>2025/09</v>
      </c>
      <c r="B489" s="127" t="str">
        <f t="shared" si="17"/>
        <v>2025/09忠孝7樓</v>
      </c>
      <c r="C489" s="119">
        <v>100</v>
      </c>
      <c r="D489" s="124" t="s">
        <v>424</v>
      </c>
      <c r="E489" s="488" t="s">
        <v>366</v>
      </c>
      <c r="F489" s="488"/>
      <c r="G489" s="488" t="s">
        <v>367</v>
      </c>
      <c r="H489" s="488"/>
      <c r="I489" s="488"/>
      <c r="J489" s="488"/>
      <c r="K489" s="124" t="s">
        <v>301</v>
      </c>
      <c r="L489" s="125">
        <v>3</v>
      </c>
      <c r="M489" s="123" t="s">
        <v>22</v>
      </c>
      <c r="N489" s="117"/>
    </row>
    <row r="490" spans="1:14" ht="17.25" thickBot="1">
      <c r="A490" s="126" t="str">
        <f t="shared" si="16"/>
        <v>2025/09</v>
      </c>
      <c r="B490" s="127" t="str">
        <f t="shared" si="17"/>
        <v>2025/09忠孝7樓</v>
      </c>
      <c r="C490" s="119">
        <v>101</v>
      </c>
      <c r="D490" s="124" t="s">
        <v>424</v>
      </c>
      <c r="E490" s="488" t="s">
        <v>282</v>
      </c>
      <c r="F490" s="488"/>
      <c r="G490" s="488" t="s">
        <v>283</v>
      </c>
      <c r="H490" s="488"/>
      <c r="I490" s="488"/>
      <c r="J490" s="488"/>
      <c r="K490" s="124" t="s">
        <v>284</v>
      </c>
      <c r="L490" s="125">
        <v>50</v>
      </c>
      <c r="M490" s="123" t="s">
        <v>65</v>
      </c>
      <c r="N490" s="117"/>
    </row>
    <row r="491" spans="1:14" ht="17.25" thickBot="1">
      <c r="A491" s="126" t="str">
        <f t="shared" si="16"/>
        <v>2025/09</v>
      </c>
      <c r="B491" s="127" t="str">
        <f t="shared" si="17"/>
        <v>2025/09忠孝7樓</v>
      </c>
      <c r="C491" s="119">
        <v>102</v>
      </c>
      <c r="D491" s="124" t="s">
        <v>424</v>
      </c>
      <c r="E491" s="488" t="s">
        <v>345</v>
      </c>
      <c r="F491" s="488"/>
      <c r="G491" s="488" t="s">
        <v>346</v>
      </c>
      <c r="H491" s="488"/>
      <c r="I491" s="488"/>
      <c r="J491" s="488"/>
      <c r="K491" s="124" t="s">
        <v>284</v>
      </c>
      <c r="L491" s="125">
        <v>6</v>
      </c>
      <c r="M491" s="123" t="s">
        <v>67</v>
      </c>
      <c r="N491" s="117"/>
    </row>
    <row r="492" spans="1:14" ht="17.25" thickBot="1">
      <c r="A492" s="126" t="str">
        <f t="shared" si="16"/>
        <v>2025/09</v>
      </c>
      <c r="B492" s="127" t="str">
        <f t="shared" si="17"/>
        <v>2025/09忠孝7樓</v>
      </c>
      <c r="C492" s="119">
        <v>103</v>
      </c>
      <c r="D492" s="124" t="s">
        <v>424</v>
      </c>
      <c r="E492" s="488" t="s">
        <v>311</v>
      </c>
      <c r="F492" s="488"/>
      <c r="G492" s="488" t="s">
        <v>312</v>
      </c>
      <c r="H492" s="488"/>
      <c r="I492" s="488"/>
      <c r="J492" s="488"/>
      <c r="K492" s="124" t="s">
        <v>284</v>
      </c>
      <c r="L492" s="125">
        <v>22</v>
      </c>
      <c r="M492" s="123" t="s">
        <v>72</v>
      </c>
      <c r="N492" s="117"/>
    </row>
    <row r="493" spans="1:14" ht="17.25" thickBot="1">
      <c r="A493" s="126" t="str">
        <f t="shared" si="16"/>
        <v>2025/09</v>
      </c>
      <c r="B493" s="127" t="str">
        <f t="shared" si="17"/>
        <v>2025/09忠孝7樓</v>
      </c>
      <c r="C493" s="119">
        <v>104</v>
      </c>
      <c r="D493" s="124" t="s">
        <v>424</v>
      </c>
      <c r="E493" s="488" t="s">
        <v>299</v>
      </c>
      <c r="F493" s="488"/>
      <c r="G493" s="488" t="s">
        <v>300</v>
      </c>
      <c r="H493" s="488"/>
      <c r="I493" s="488"/>
      <c r="J493" s="488"/>
      <c r="K493" s="124" t="s">
        <v>301</v>
      </c>
      <c r="L493" s="125">
        <v>87</v>
      </c>
      <c r="M493" s="123" t="s">
        <v>68</v>
      </c>
      <c r="N493" s="117"/>
    </row>
    <row r="494" spans="1:14" ht="17.25" thickBot="1">
      <c r="A494" s="126" t="str">
        <f t="shared" si="16"/>
        <v>2025/09</v>
      </c>
      <c r="B494" s="127" t="str">
        <f t="shared" si="17"/>
        <v>2025/09忠孝7樓</v>
      </c>
      <c r="C494" s="119">
        <v>105</v>
      </c>
      <c r="D494" s="124" t="s">
        <v>424</v>
      </c>
      <c r="E494" s="488" t="s">
        <v>347</v>
      </c>
      <c r="F494" s="488"/>
      <c r="G494" s="488" t="s">
        <v>348</v>
      </c>
      <c r="H494" s="488"/>
      <c r="I494" s="488"/>
      <c r="J494" s="488"/>
      <c r="K494" s="124" t="s">
        <v>301</v>
      </c>
      <c r="L494" s="125">
        <v>25</v>
      </c>
      <c r="M494" s="123" t="s">
        <v>71</v>
      </c>
      <c r="N494" s="117"/>
    </row>
    <row r="495" spans="1:14" ht="17.25" thickBot="1">
      <c r="A495" s="126" t="str">
        <f t="shared" si="16"/>
        <v>2025/09</v>
      </c>
      <c r="B495" s="127" t="str">
        <f t="shared" si="17"/>
        <v>2025/09忠孝7樓</v>
      </c>
      <c r="C495" s="119">
        <v>106</v>
      </c>
      <c r="D495" s="124" t="s">
        <v>424</v>
      </c>
      <c r="E495" s="488" t="s">
        <v>317</v>
      </c>
      <c r="F495" s="488"/>
      <c r="G495" s="488" t="s">
        <v>318</v>
      </c>
      <c r="H495" s="488"/>
      <c r="I495" s="488"/>
      <c r="J495" s="488"/>
      <c r="K495" s="124" t="s">
        <v>319</v>
      </c>
      <c r="L495" s="125">
        <v>13</v>
      </c>
      <c r="M495" s="123" t="s">
        <v>75</v>
      </c>
      <c r="N495" s="117"/>
    </row>
    <row r="496" spans="1:14" ht="17.25" thickBot="1">
      <c r="A496" s="126" t="str">
        <f t="shared" si="16"/>
        <v>2025/09</v>
      </c>
      <c r="B496" s="127" t="str">
        <f t="shared" si="17"/>
        <v>2025/09忠孝7樓</v>
      </c>
      <c r="C496" s="119">
        <v>107</v>
      </c>
      <c r="D496" s="124" t="s">
        <v>424</v>
      </c>
      <c r="E496" s="488" t="s">
        <v>321</v>
      </c>
      <c r="F496" s="488"/>
      <c r="G496" s="488" t="s">
        <v>322</v>
      </c>
      <c r="H496" s="488"/>
      <c r="I496" s="488"/>
      <c r="J496" s="488"/>
      <c r="K496" s="124" t="s">
        <v>275</v>
      </c>
      <c r="L496" s="125">
        <v>357</v>
      </c>
      <c r="M496" s="123" t="s">
        <v>41</v>
      </c>
      <c r="N496" s="117"/>
    </row>
    <row r="497" spans="1:14" ht="17.25" thickBot="1">
      <c r="A497" s="126" t="str">
        <f t="shared" si="16"/>
        <v>2025/09</v>
      </c>
      <c r="B497" s="127" t="str">
        <f t="shared" si="17"/>
        <v>2025/09忠孝7樓</v>
      </c>
      <c r="C497" s="119">
        <v>108</v>
      </c>
      <c r="D497" s="124" t="s">
        <v>424</v>
      </c>
      <c r="E497" s="488" t="s">
        <v>372</v>
      </c>
      <c r="F497" s="488"/>
      <c r="G497" s="488" t="s">
        <v>373</v>
      </c>
      <c r="H497" s="488"/>
      <c r="I497" s="488"/>
      <c r="J497" s="488"/>
      <c r="K497" s="124" t="s">
        <v>278</v>
      </c>
      <c r="L497" s="125">
        <v>36</v>
      </c>
      <c r="M497" s="123" t="s">
        <v>45</v>
      </c>
      <c r="N497" s="117"/>
    </row>
    <row r="498" spans="1:14" ht="17.25" thickBot="1">
      <c r="A498" s="126" t="str">
        <f t="shared" si="16"/>
        <v>2025/09</v>
      </c>
      <c r="B498" s="127" t="str">
        <f t="shared" si="17"/>
        <v>2025/09忠孝7樓</v>
      </c>
      <c r="C498" s="119">
        <v>109</v>
      </c>
      <c r="D498" s="124" t="s">
        <v>424</v>
      </c>
      <c r="E498" s="488" t="s">
        <v>276</v>
      </c>
      <c r="F498" s="488"/>
      <c r="G498" s="488" t="s">
        <v>277</v>
      </c>
      <c r="H498" s="488"/>
      <c r="I498" s="488"/>
      <c r="J498" s="488"/>
      <c r="K498" s="124" t="s">
        <v>278</v>
      </c>
      <c r="L498" s="125">
        <v>29</v>
      </c>
      <c r="M498" s="123" t="s">
        <v>55</v>
      </c>
      <c r="N498" s="117"/>
    </row>
    <row r="499" spans="1:14" ht="17.25" thickBot="1">
      <c r="A499" s="126" t="str">
        <f t="shared" si="16"/>
        <v>2025/09</v>
      </c>
      <c r="B499" s="127" t="str">
        <f t="shared" si="17"/>
        <v>2025/09忠孝7樓</v>
      </c>
      <c r="C499" s="119">
        <v>110</v>
      </c>
      <c r="D499" s="124" t="s">
        <v>424</v>
      </c>
      <c r="E499" s="488" t="s">
        <v>273</v>
      </c>
      <c r="F499" s="488"/>
      <c r="G499" s="488" t="s">
        <v>274</v>
      </c>
      <c r="H499" s="488"/>
      <c r="I499" s="488"/>
      <c r="J499" s="488"/>
      <c r="K499" s="124" t="s">
        <v>275</v>
      </c>
      <c r="L499" s="125">
        <v>68</v>
      </c>
      <c r="M499" s="123" t="s">
        <v>52</v>
      </c>
      <c r="N499" s="117"/>
    </row>
    <row r="500" spans="1:14" ht="17.25" thickBot="1">
      <c r="A500" s="126" t="str">
        <f t="shared" si="16"/>
        <v>2025/09</v>
      </c>
      <c r="B500" s="127" t="str">
        <f t="shared" si="17"/>
        <v>2025/09忠孝7樓</v>
      </c>
      <c r="C500" s="119">
        <v>111</v>
      </c>
      <c r="D500" s="124" t="s">
        <v>424</v>
      </c>
      <c r="E500" s="488" t="s">
        <v>285</v>
      </c>
      <c r="F500" s="488"/>
      <c r="G500" s="488" t="s">
        <v>286</v>
      </c>
      <c r="H500" s="488"/>
      <c r="I500" s="488"/>
      <c r="J500" s="488"/>
      <c r="K500" s="124" t="s">
        <v>287</v>
      </c>
      <c r="L500" s="125">
        <v>12125</v>
      </c>
      <c r="M500" s="123" t="s">
        <v>89</v>
      </c>
      <c r="N500" s="117"/>
    </row>
    <row r="501" spans="1:14" ht="17.25" thickBot="1">
      <c r="A501" s="126" t="str">
        <f t="shared" si="16"/>
        <v>2025/09</v>
      </c>
      <c r="B501" s="127" t="str">
        <f t="shared" si="17"/>
        <v>2025/09忠孝7樓</v>
      </c>
      <c r="C501" s="119">
        <v>112</v>
      </c>
      <c r="D501" s="124" t="s">
        <v>424</v>
      </c>
      <c r="E501" s="488" t="s">
        <v>290</v>
      </c>
      <c r="F501" s="488"/>
      <c r="G501" s="488" t="s">
        <v>291</v>
      </c>
      <c r="H501" s="488"/>
      <c r="I501" s="488"/>
      <c r="J501" s="488"/>
      <c r="K501" s="124" t="s">
        <v>287</v>
      </c>
      <c r="L501" s="125">
        <v>39714</v>
      </c>
      <c r="M501" s="123" t="s">
        <v>91</v>
      </c>
      <c r="N501" s="117"/>
    </row>
    <row r="502" spans="1:14" ht="17.25" thickBot="1">
      <c r="A502" s="126" t="str">
        <f t="shared" si="16"/>
        <v>2025/09</v>
      </c>
      <c r="B502" s="127" t="str">
        <f t="shared" si="17"/>
        <v>2025/09忠孝7樓</v>
      </c>
      <c r="C502" s="119">
        <v>113</v>
      </c>
      <c r="D502" s="124" t="s">
        <v>424</v>
      </c>
      <c r="E502" s="488" t="s">
        <v>292</v>
      </c>
      <c r="F502" s="488"/>
      <c r="G502" s="488" t="s">
        <v>293</v>
      </c>
      <c r="H502" s="488"/>
      <c r="I502" s="488"/>
      <c r="J502" s="488"/>
      <c r="K502" s="124" t="s">
        <v>287</v>
      </c>
      <c r="L502" s="125">
        <v>68290</v>
      </c>
      <c r="M502" s="123" t="s">
        <v>92</v>
      </c>
      <c r="N502" s="117"/>
    </row>
    <row r="503" spans="1:14" ht="17.25" thickBot="1">
      <c r="A503" s="126" t="str">
        <f t="shared" si="16"/>
        <v>2025/09</v>
      </c>
      <c r="B503" s="127" t="str">
        <f t="shared" si="17"/>
        <v>2025/09忠孝7樓</v>
      </c>
      <c r="C503" s="119">
        <v>114</v>
      </c>
      <c r="D503" s="124" t="s">
        <v>424</v>
      </c>
      <c r="E503" s="488" t="s">
        <v>323</v>
      </c>
      <c r="F503" s="488"/>
      <c r="G503" s="488" t="s">
        <v>324</v>
      </c>
      <c r="H503" s="488"/>
      <c r="I503" s="488"/>
      <c r="J503" s="488"/>
      <c r="K503" s="124" t="s">
        <v>325</v>
      </c>
      <c r="L503" s="125">
        <v>20466</v>
      </c>
      <c r="M503" s="123" t="s">
        <v>93</v>
      </c>
      <c r="N503" s="117"/>
    </row>
    <row r="504" spans="1:14" ht="17.25" thickBot="1">
      <c r="A504" s="126" t="str">
        <f t="shared" si="16"/>
        <v>2025/09</v>
      </c>
      <c r="B504" s="127" t="str">
        <f t="shared" si="17"/>
        <v>2025/09忠孝7樓</v>
      </c>
      <c r="C504" s="119">
        <v>115</v>
      </c>
      <c r="D504" s="124" t="s">
        <v>424</v>
      </c>
      <c r="E504" s="488" t="s">
        <v>359</v>
      </c>
      <c r="F504" s="488"/>
      <c r="G504" s="488" t="s">
        <v>138</v>
      </c>
      <c r="H504" s="488"/>
      <c r="I504" s="488"/>
      <c r="J504" s="488"/>
      <c r="K504" s="124" t="s">
        <v>146</v>
      </c>
      <c r="L504" s="125">
        <v>4</v>
      </c>
      <c r="M504" s="123" t="s">
        <v>137</v>
      </c>
      <c r="N504" s="117"/>
    </row>
    <row r="505" spans="1:14" ht="17.25" thickBot="1">
      <c r="A505" s="126" t="str">
        <f t="shared" si="16"/>
        <v>2025/09</v>
      </c>
      <c r="B505" s="127" t="str">
        <f t="shared" si="17"/>
        <v>2025/09忠孝7樓</v>
      </c>
      <c r="C505" s="119">
        <v>116</v>
      </c>
      <c r="D505" s="124" t="s">
        <v>424</v>
      </c>
      <c r="E505" s="488" t="s">
        <v>320</v>
      </c>
      <c r="F505" s="488"/>
      <c r="G505" s="488" t="s">
        <v>135</v>
      </c>
      <c r="H505" s="488"/>
      <c r="I505" s="488"/>
      <c r="J505" s="488"/>
      <c r="K505" s="124" t="s">
        <v>146</v>
      </c>
      <c r="L505" s="125">
        <v>1</v>
      </c>
      <c r="M505" s="123" t="s">
        <v>134</v>
      </c>
      <c r="N505" s="117"/>
    </row>
    <row r="506" spans="1:14" ht="17.25" thickBot="1">
      <c r="A506" s="126" t="str">
        <f t="shared" si="16"/>
        <v>2025/09</v>
      </c>
      <c r="B506" s="127" t="str">
        <f t="shared" si="17"/>
        <v>2025/09忠孝7樓</v>
      </c>
      <c r="C506" s="119">
        <v>117</v>
      </c>
      <c r="D506" s="124" t="s">
        <v>424</v>
      </c>
      <c r="E506" s="488" t="s">
        <v>338</v>
      </c>
      <c r="F506" s="488"/>
      <c r="G506" s="488" t="s">
        <v>339</v>
      </c>
      <c r="H506" s="488"/>
      <c r="I506" s="488"/>
      <c r="J506" s="488"/>
      <c r="K506" s="124" t="s">
        <v>287</v>
      </c>
      <c r="L506" s="125">
        <v>2636</v>
      </c>
      <c r="M506" s="123" t="s">
        <v>95</v>
      </c>
      <c r="N506" s="117"/>
    </row>
    <row r="507" spans="1:14" ht="17.25" thickBot="1">
      <c r="A507" s="126" t="str">
        <f t="shared" si="16"/>
        <v>2025/09</v>
      </c>
      <c r="B507" s="127" t="str">
        <f t="shared" si="17"/>
        <v>2025/09忠孝7樓</v>
      </c>
      <c r="C507" s="119">
        <v>118</v>
      </c>
      <c r="D507" s="124" t="s">
        <v>424</v>
      </c>
      <c r="E507" s="488" t="s">
        <v>326</v>
      </c>
      <c r="F507" s="488"/>
      <c r="G507" s="488" t="s">
        <v>327</v>
      </c>
      <c r="H507" s="488"/>
      <c r="I507" s="488"/>
      <c r="J507" s="488"/>
      <c r="K507" s="124" t="s">
        <v>287</v>
      </c>
      <c r="L507" s="125">
        <v>5810</v>
      </c>
      <c r="M507" s="123" t="s">
        <v>97</v>
      </c>
      <c r="N507" s="117"/>
    </row>
    <row r="508" spans="1:14" ht="17.25" thickBot="1">
      <c r="A508" s="126" t="str">
        <f t="shared" si="16"/>
        <v>2025/09</v>
      </c>
      <c r="B508" s="127" t="str">
        <f t="shared" si="17"/>
        <v>2025/09忠孝7樓</v>
      </c>
      <c r="C508" s="119">
        <v>119</v>
      </c>
      <c r="D508" s="124" t="s">
        <v>424</v>
      </c>
      <c r="E508" s="488" t="s">
        <v>328</v>
      </c>
      <c r="F508" s="488"/>
      <c r="G508" s="488" t="s">
        <v>329</v>
      </c>
      <c r="H508" s="488"/>
      <c r="I508" s="488"/>
      <c r="J508" s="488"/>
      <c r="K508" s="124" t="s">
        <v>287</v>
      </c>
      <c r="L508" s="125">
        <v>15282</v>
      </c>
      <c r="M508" s="123" t="s">
        <v>98</v>
      </c>
      <c r="N508" s="117"/>
    </row>
    <row r="509" spans="1:14" ht="17.25" thickBot="1">
      <c r="A509" s="126" t="str">
        <f t="shared" si="16"/>
        <v>2025/09</v>
      </c>
      <c r="B509" s="127" t="str">
        <f t="shared" si="17"/>
        <v>2025/09忠孝7樓</v>
      </c>
      <c r="C509" s="119">
        <v>120</v>
      </c>
      <c r="D509" s="124" t="s">
        <v>424</v>
      </c>
      <c r="E509" s="488" t="s">
        <v>330</v>
      </c>
      <c r="F509" s="488"/>
      <c r="G509" s="488" t="s">
        <v>331</v>
      </c>
      <c r="H509" s="488"/>
      <c r="I509" s="488"/>
      <c r="J509" s="488"/>
      <c r="K509" s="124" t="s">
        <v>287</v>
      </c>
      <c r="L509" s="125">
        <v>5164</v>
      </c>
      <c r="M509" s="123" t="s">
        <v>99</v>
      </c>
      <c r="N509" s="117"/>
    </row>
    <row r="510" spans="1:14" ht="17.25" thickBot="1">
      <c r="A510" s="126" t="str">
        <f t="shared" si="16"/>
        <v>2025/09</v>
      </c>
      <c r="B510" s="127" t="str">
        <f t="shared" si="17"/>
        <v>2025/09忠孝7樓</v>
      </c>
      <c r="C510" s="119">
        <v>121</v>
      </c>
      <c r="D510" s="124" t="s">
        <v>424</v>
      </c>
      <c r="E510" s="488" t="s">
        <v>302</v>
      </c>
      <c r="F510" s="488"/>
      <c r="G510" s="488" t="s">
        <v>303</v>
      </c>
      <c r="H510" s="488"/>
      <c r="I510" s="488"/>
      <c r="J510" s="488"/>
      <c r="K510" s="124" t="s">
        <v>304</v>
      </c>
      <c r="L510" s="125">
        <v>7500</v>
      </c>
      <c r="M510" s="123" t="s">
        <v>81</v>
      </c>
      <c r="N510" s="117"/>
    </row>
    <row r="511" spans="1:14" ht="17.25" thickBot="1">
      <c r="A511" s="126" t="str">
        <f t="shared" si="16"/>
        <v>2025/09</v>
      </c>
      <c r="B511" s="127" t="str">
        <f t="shared" si="17"/>
        <v>2025/09忠孝7樓</v>
      </c>
      <c r="C511" s="119">
        <v>122</v>
      </c>
      <c r="D511" s="124" t="s">
        <v>424</v>
      </c>
      <c r="E511" s="488" t="s">
        <v>363</v>
      </c>
      <c r="F511" s="488"/>
      <c r="G511" s="488" t="s">
        <v>364</v>
      </c>
      <c r="H511" s="488"/>
      <c r="I511" s="488"/>
      <c r="J511" s="488"/>
      <c r="K511" s="124" t="s">
        <v>365</v>
      </c>
      <c r="L511" s="125">
        <v>23701</v>
      </c>
      <c r="M511" s="123" t="s">
        <v>85</v>
      </c>
      <c r="N511" s="117"/>
    </row>
    <row r="512" spans="1:14" ht="17.25" thickBot="1">
      <c r="A512" s="126" t="str">
        <f t="shared" si="16"/>
        <v>2025/09</v>
      </c>
      <c r="B512" s="127" t="str">
        <f t="shared" si="17"/>
        <v>2025/09忠孝7樓</v>
      </c>
      <c r="C512" s="119">
        <v>123</v>
      </c>
      <c r="D512" s="124" t="s">
        <v>424</v>
      </c>
      <c r="E512" s="488" t="s">
        <v>279</v>
      </c>
      <c r="F512" s="488"/>
      <c r="G512" s="488" t="s">
        <v>280</v>
      </c>
      <c r="H512" s="488"/>
      <c r="I512" s="488"/>
      <c r="J512" s="488"/>
      <c r="K512" s="124" t="s">
        <v>281</v>
      </c>
      <c r="L512" s="125">
        <v>275599</v>
      </c>
      <c r="M512" s="123" t="s">
        <v>111</v>
      </c>
      <c r="N512" s="117"/>
    </row>
    <row r="513" spans="1:14" ht="17.25" thickBot="1">
      <c r="A513" s="126" t="str">
        <f t="shared" si="16"/>
        <v>2025/09</v>
      </c>
      <c r="B513" s="127" t="str">
        <f t="shared" si="17"/>
        <v>2025/09忠孝7樓</v>
      </c>
      <c r="C513" s="119">
        <v>124</v>
      </c>
      <c r="D513" s="124" t="s">
        <v>424</v>
      </c>
      <c r="E513" s="488" t="s">
        <v>288</v>
      </c>
      <c r="F513" s="488"/>
      <c r="G513" s="488" t="s">
        <v>289</v>
      </c>
      <c r="H513" s="488"/>
      <c r="I513" s="488"/>
      <c r="J513" s="488"/>
      <c r="K513" s="124" t="s">
        <v>281</v>
      </c>
      <c r="L513" s="125">
        <v>163953</v>
      </c>
      <c r="M513" s="123" t="s">
        <v>115</v>
      </c>
      <c r="N513" s="117"/>
    </row>
    <row r="514" spans="1:14" ht="17.25" thickBot="1">
      <c r="A514" s="126" t="str">
        <f t="shared" si="16"/>
        <v>2025/09</v>
      </c>
      <c r="B514" s="127" t="str">
        <f t="shared" si="17"/>
        <v>2025/09忠孝7樓</v>
      </c>
      <c r="C514" s="119">
        <v>125</v>
      </c>
      <c r="D514" s="124" t="s">
        <v>424</v>
      </c>
      <c r="E514" s="488" t="s">
        <v>332</v>
      </c>
      <c r="F514" s="488"/>
      <c r="G514" s="488" t="s">
        <v>333</v>
      </c>
      <c r="H514" s="488"/>
      <c r="I514" s="488"/>
      <c r="J514" s="488"/>
      <c r="K514" s="124" t="s">
        <v>334</v>
      </c>
      <c r="L514" s="125">
        <v>25606</v>
      </c>
      <c r="M514" s="123" t="s">
        <v>77</v>
      </c>
      <c r="N514" s="117"/>
    </row>
    <row r="515" spans="1:14" ht="17.25" thickBot="1">
      <c r="A515" s="126" t="str">
        <f t="shared" ref="A515:A578" si="18">IFERROR(LEFT(B515,7),"")</f>
        <v>2025/09</v>
      </c>
      <c r="B515" s="127" t="str">
        <f t="shared" si="17"/>
        <v>2025/09忠孝7樓</v>
      </c>
      <c r="C515" s="119">
        <v>126</v>
      </c>
      <c r="D515" s="124" t="s">
        <v>424</v>
      </c>
      <c r="E515" s="488" t="s">
        <v>335</v>
      </c>
      <c r="F515" s="488"/>
      <c r="G515" s="488" t="s">
        <v>336</v>
      </c>
      <c r="H515" s="488"/>
      <c r="I515" s="488"/>
      <c r="J515" s="488"/>
      <c r="K515" s="124" t="s">
        <v>337</v>
      </c>
      <c r="L515" s="125">
        <v>9900</v>
      </c>
      <c r="M515" s="123" t="s">
        <v>80</v>
      </c>
      <c r="N515" s="117"/>
    </row>
    <row r="516" spans="1:14" ht="17.25" thickBot="1">
      <c r="A516" s="126" t="str">
        <f t="shared" si="18"/>
        <v>2025/09</v>
      </c>
      <c r="B516" s="127" t="str">
        <f t="shared" si="17"/>
        <v>2025/09忠孝7樓</v>
      </c>
      <c r="C516" s="119">
        <v>127</v>
      </c>
      <c r="D516" s="124" t="s">
        <v>424</v>
      </c>
      <c r="E516" s="488" t="s">
        <v>357</v>
      </c>
      <c r="F516" s="488"/>
      <c r="G516" s="488" t="s">
        <v>358</v>
      </c>
      <c r="H516" s="488"/>
      <c r="I516" s="488"/>
      <c r="J516" s="488"/>
      <c r="K516" s="124" t="s">
        <v>353</v>
      </c>
      <c r="L516" s="125">
        <v>4</v>
      </c>
      <c r="M516" s="123" t="s">
        <v>28</v>
      </c>
      <c r="N516" s="117"/>
    </row>
    <row r="517" spans="1:14" ht="17.25" thickBot="1">
      <c r="A517" s="126" t="str">
        <f t="shared" si="18"/>
        <v>2025/09</v>
      </c>
      <c r="B517" s="127" t="str">
        <f t="shared" si="17"/>
        <v>2025/09忠孝7樓</v>
      </c>
      <c r="C517" s="119">
        <v>128</v>
      </c>
      <c r="D517" s="124" t="s">
        <v>424</v>
      </c>
      <c r="E517" s="488" t="s">
        <v>340</v>
      </c>
      <c r="F517" s="488"/>
      <c r="G517" s="488" t="s">
        <v>341</v>
      </c>
      <c r="H517" s="488"/>
      <c r="I517" s="488"/>
      <c r="J517" s="488"/>
      <c r="K517" s="124" t="s">
        <v>342</v>
      </c>
      <c r="L517" s="125">
        <v>10</v>
      </c>
      <c r="M517" s="123"/>
      <c r="N517" s="117"/>
    </row>
    <row r="518" spans="1:14" ht="17.25" thickBot="1">
      <c r="A518" s="126" t="str">
        <f t="shared" si="18"/>
        <v>2025/09</v>
      </c>
      <c r="B518" s="127" t="str">
        <f t="shared" si="17"/>
        <v>2025/09忠孝7樓</v>
      </c>
      <c r="C518" s="119">
        <v>129</v>
      </c>
      <c r="D518" s="124" t="s">
        <v>424</v>
      </c>
      <c r="E518" s="488" t="s">
        <v>354</v>
      </c>
      <c r="F518" s="488"/>
      <c r="G518" s="488" t="s">
        <v>355</v>
      </c>
      <c r="H518" s="488"/>
      <c r="I518" s="488"/>
      <c r="J518" s="488"/>
      <c r="K518" s="124" t="s">
        <v>356</v>
      </c>
      <c r="L518" s="125">
        <v>9</v>
      </c>
      <c r="M518" s="123" t="s">
        <v>650</v>
      </c>
      <c r="N518" s="117"/>
    </row>
    <row r="519" spans="1:14" ht="17.25" thickBot="1">
      <c r="A519" s="126" t="str">
        <f t="shared" si="18"/>
        <v>2025/09</v>
      </c>
      <c r="B519" s="127" t="str">
        <f t="shared" ref="B519:B555" si="19">"2025/09"&amp;D519</f>
        <v>2025/09忠孝7樓</v>
      </c>
      <c r="C519" s="119">
        <v>130</v>
      </c>
      <c r="D519" s="124" t="s">
        <v>424</v>
      </c>
      <c r="E519" s="488" t="s">
        <v>425</v>
      </c>
      <c r="F519" s="488"/>
      <c r="G519" s="488" t="s">
        <v>426</v>
      </c>
      <c r="H519" s="488"/>
      <c r="I519" s="488"/>
      <c r="J519" s="488"/>
      <c r="K519" s="124" t="s">
        <v>269</v>
      </c>
      <c r="L519" s="125">
        <v>73</v>
      </c>
      <c r="M519" s="123" t="s">
        <v>29</v>
      </c>
      <c r="N519" s="117"/>
    </row>
    <row r="520" spans="1:14" ht="17.25" thickBot="1">
      <c r="A520" s="126" t="str">
        <f t="shared" si="18"/>
        <v>2025/09</v>
      </c>
      <c r="B520" s="127" t="str">
        <f t="shared" si="19"/>
        <v>2025/09忠孝7樓</v>
      </c>
      <c r="C520" s="119">
        <v>131</v>
      </c>
      <c r="D520" s="124" t="s">
        <v>424</v>
      </c>
      <c r="E520" s="488" t="s">
        <v>309</v>
      </c>
      <c r="F520" s="488"/>
      <c r="G520" s="488" t="s">
        <v>310</v>
      </c>
      <c r="H520" s="488"/>
      <c r="I520" s="488"/>
      <c r="J520" s="488"/>
      <c r="K520" s="124" t="s">
        <v>269</v>
      </c>
      <c r="L520" s="125">
        <v>64</v>
      </c>
      <c r="M520" s="123" t="s">
        <v>30</v>
      </c>
      <c r="N520" s="117"/>
    </row>
    <row r="521" spans="1:14" ht="17.25" thickBot="1">
      <c r="A521" s="126" t="str">
        <f t="shared" si="18"/>
        <v>2025/09</v>
      </c>
      <c r="B521" s="127" t="str">
        <f t="shared" si="19"/>
        <v>2025/09忠孝7樓</v>
      </c>
      <c r="C521" s="119">
        <v>132</v>
      </c>
      <c r="D521" s="124" t="s">
        <v>424</v>
      </c>
      <c r="E521" s="488" t="s">
        <v>267</v>
      </c>
      <c r="F521" s="488"/>
      <c r="G521" s="488" t="s">
        <v>268</v>
      </c>
      <c r="H521" s="488"/>
      <c r="I521" s="488"/>
      <c r="J521" s="488"/>
      <c r="K521" s="124" t="s">
        <v>269</v>
      </c>
      <c r="L521" s="125">
        <v>4</v>
      </c>
      <c r="M521" s="123" t="s">
        <v>33</v>
      </c>
      <c r="N521" s="117"/>
    </row>
    <row r="522" spans="1:14" ht="17.25" thickBot="1">
      <c r="A522" s="126" t="str">
        <f t="shared" si="18"/>
        <v>2025/09</v>
      </c>
      <c r="B522" s="127" t="str">
        <f t="shared" si="19"/>
        <v>2025/09忠孝7樓</v>
      </c>
      <c r="C522" s="119">
        <v>133</v>
      </c>
      <c r="D522" s="124" t="s">
        <v>424</v>
      </c>
      <c r="E522" s="488" t="s">
        <v>315</v>
      </c>
      <c r="F522" s="488"/>
      <c r="G522" s="488" t="s">
        <v>316</v>
      </c>
      <c r="H522" s="488"/>
      <c r="I522" s="488"/>
      <c r="J522" s="488"/>
      <c r="K522" s="124" t="s">
        <v>296</v>
      </c>
      <c r="L522" s="125">
        <v>5</v>
      </c>
      <c r="M522" s="123" t="s">
        <v>62</v>
      </c>
      <c r="N522" s="117"/>
    </row>
    <row r="523" spans="1:14" ht="17.25" thickBot="1">
      <c r="A523" s="126" t="str">
        <f t="shared" si="18"/>
        <v>2025/09</v>
      </c>
      <c r="B523" s="127" t="str">
        <f t="shared" si="19"/>
        <v>2025/09忠孝7樓</v>
      </c>
      <c r="C523" s="119">
        <v>134</v>
      </c>
      <c r="D523" s="124" t="s">
        <v>424</v>
      </c>
      <c r="E523" s="488" t="s">
        <v>294</v>
      </c>
      <c r="F523" s="488"/>
      <c r="G523" s="488" t="s">
        <v>295</v>
      </c>
      <c r="H523" s="488"/>
      <c r="I523" s="488"/>
      <c r="J523" s="488"/>
      <c r="K523" s="124" t="s">
        <v>296</v>
      </c>
      <c r="L523" s="125">
        <v>6</v>
      </c>
      <c r="M523" s="123" t="s">
        <v>64</v>
      </c>
      <c r="N523" s="117"/>
    </row>
    <row r="524" spans="1:14" ht="17.25" thickBot="1">
      <c r="A524" s="126" t="str">
        <f t="shared" si="18"/>
        <v>2025/09</v>
      </c>
      <c r="B524" s="127" t="str">
        <f t="shared" si="19"/>
        <v>2025/09忠孝7樓</v>
      </c>
      <c r="C524" s="119">
        <v>135</v>
      </c>
      <c r="D524" s="124" t="s">
        <v>424</v>
      </c>
      <c r="E524" s="488" t="s">
        <v>237</v>
      </c>
      <c r="F524" s="488"/>
      <c r="G524" s="488" t="s">
        <v>238</v>
      </c>
      <c r="H524" s="488"/>
      <c r="I524" s="488"/>
      <c r="J524" s="488"/>
      <c r="K524" s="124" t="s">
        <v>239</v>
      </c>
      <c r="L524" s="125">
        <v>790</v>
      </c>
      <c r="M524" s="123" t="s">
        <v>117</v>
      </c>
      <c r="N524" s="117"/>
    </row>
    <row r="525" spans="1:14" ht="17.25" thickBot="1">
      <c r="A525" s="126" t="str">
        <f t="shared" si="18"/>
        <v>2025/09</v>
      </c>
      <c r="B525" s="127" t="str">
        <f t="shared" si="19"/>
        <v>2025/09忠孝7樓</v>
      </c>
      <c r="C525" s="119">
        <v>136</v>
      </c>
      <c r="D525" s="124" t="s">
        <v>424</v>
      </c>
      <c r="E525" s="488" t="s">
        <v>240</v>
      </c>
      <c r="F525" s="488"/>
      <c r="G525" s="488" t="s">
        <v>241</v>
      </c>
      <c r="H525" s="488"/>
      <c r="I525" s="488"/>
      <c r="J525" s="488"/>
      <c r="K525" s="124" t="s">
        <v>239</v>
      </c>
      <c r="L525" s="125">
        <v>790</v>
      </c>
      <c r="M525" s="123" t="s">
        <v>120</v>
      </c>
      <c r="N525" s="117"/>
    </row>
    <row r="526" spans="1:14" ht="17.25" thickBot="1">
      <c r="A526" s="126" t="str">
        <f t="shared" si="18"/>
        <v>2025/09</v>
      </c>
      <c r="B526" s="127" t="str">
        <f t="shared" si="19"/>
        <v>2025/09忠孝7樓</v>
      </c>
      <c r="C526" s="119">
        <v>137</v>
      </c>
      <c r="D526" s="124" t="s">
        <v>424</v>
      </c>
      <c r="E526" s="488" t="s">
        <v>242</v>
      </c>
      <c r="F526" s="488"/>
      <c r="G526" s="488" t="s">
        <v>243</v>
      </c>
      <c r="H526" s="488"/>
      <c r="I526" s="488"/>
      <c r="J526" s="488"/>
      <c r="K526" s="124" t="s">
        <v>239</v>
      </c>
      <c r="L526" s="125">
        <v>790</v>
      </c>
      <c r="M526" s="123" t="s">
        <v>121</v>
      </c>
      <c r="N526" s="117"/>
    </row>
    <row r="527" spans="1:14" ht="17.25" thickBot="1">
      <c r="A527" s="126" t="str">
        <f t="shared" si="18"/>
        <v>2025/09</v>
      </c>
      <c r="B527" s="127" t="str">
        <f t="shared" si="19"/>
        <v>2025/09忠孝7樓</v>
      </c>
      <c r="C527" s="119">
        <v>138</v>
      </c>
      <c r="D527" s="124" t="s">
        <v>424</v>
      </c>
      <c r="E527" s="488" t="s">
        <v>244</v>
      </c>
      <c r="F527" s="488"/>
      <c r="G527" s="488" t="s">
        <v>245</v>
      </c>
      <c r="H527" s="488"/>
      <c r="I527" s="488"/>
      <c r="J527" s="488"/>
      <c r="K527" s="124" t="s">
        <v>42</v>
      </c>
      <c r="L527" s="125">
        <v>11850</v>
      </c>
      <c r="M527" s="123" t="s">
        <v>123</v>
      </c>
      <c r="N527" s="117"/>
    </row>
    <row r="528" spans="1:14" ht="17.25" thickBot="1">
      <c r="A528" s="126" t="str">
        <f t="shared" si="18"/>
        <v>2025/09</v>
      </c>
      <c r="B528" s="127" t="str">
        <f t="shared" si="19"/>
        <v>2025/09忠孝7樓</v>
      </c>
      <c r="C528" s="119">
        <v>139</v>
      </c>
      <c r="D528" s="124" t="s">
        <v>424</v>
      </c>
      <c r="E528" s="488" t="s">
        <v>246</v>
      </c>
      <c r="F528" s="488"/>
      <c r="G528" s="488" t="s">
        <v>247</v>
      </c>
      <c r="H528" s="488"/>
      <c r="I528" s="488"/>
      <c r="J528" s="488"/>
      <c r="K528" s="124" t="s">
        <v>42</v>
      </c>
      <c r="L528" s="125">
        <v>11850</v>
      </c>
      <c r="M528" s="123" t="s">
        <v>127</v>
      </c>
      <c r="N528" s="117"/>
    </row>
    <row r="529" spans="1:14" ht="17.25" thickBot="1">
      <c r="A529" s="126" t="str">
        <f t="shared" si="18"/>
        <v>2025/09</v>
      </c>
      <c r="B529" s="127" t="str">
        <f t="shared" si="19"/>
        <v>2025/09忠孝7樓</v>
      </c>
      <c r="C529" s="119">
        <v>140</v>
      </c>
      <c r="D529" s="124" t="s">
        <v>424</v>
      </c>
      <c r="E529" s="488" t="s">
        <v>248</v>
      </c>
      <c r="F529" s="488"/>
      <c r="G529" s="488" t="s">
        <v>249</v>
      </c>
      <c r="H529" s="488"/>
      <c r="I529" s="488"/>
      <c r="J529" s="488"/>
      <c r="K529" s="124" t="s">
        <v>42</v>
      </c>
      <c r="L529" s="125">
        <v>11850</v>
      </c>
      <c r="M529" s="123" t="s">
        <v>129</v>
      </c>
      <c r="N529" s="117"/>
    </row>
    <row r="530" spans="1:14" ht="17.25" thickBot="1">
      <c r="A530" s="126" t="str">
        <f t="shared" si="18"/>
        <v>2025/09</v>
      </c>
      <c r="B530" s="127" t="str">
        <f t="shared" si="19"/>
        <v>2025/09忠孝7樓</v>
      </c>
      <c r="C530" s="119">
        <v>141</v>
      </c>
      <c r="D530" s="124" t="s">
        <v>424</v>
      </c>
      <c r="E530" s="488" t="s">
        <v>250</v>
      </c>
      <c r="F530" s="488"/>
      <c r="G530" s="488" t="s">
        <v>251</v>
      </c>
      <c r="H530" s="488"/>
      <c r="I530" s="488"/>
      <c r="J530" s="488"/>
      <c r="K530" s="124" t="s">
        <v>42</v>
      </c>
      <c r="L530" s="125">
        <v>11850</v>
      </c>
      <c r="M530" s="123" t="s">
        <v>131</v>
      </c>
      <c r="N530" s="117"/>
    </row>
    <row r="531" spans="1:14" ht="33.75" thickBot="1">
      <c r="A531" s="126" t="str">
        <f t="shared" si="18"/>
        <v>2025/09</v>
      </c>
      <c r="B531" s="127" t="str">
        <f t="shared" si="19"/>
        <v>2025/09忠孝國際醫學3樓</v>
      </c>
      <c r="C531" s="119">
        <v>142</v>
      </c>
      <c r="D531" s="124" t="s">
        <v>850</v>
      </c>
      <c r="E531" s="488" t="s">
        <v>392</v>
      </c>
      <c r="F531" s="488"/>
      <c r="G531" s="488" t="s">
        <v>393</v>
      </c>
      <c r="H531" s="488"/>
      <c r="I531" s="488"/>
      <c r="J531" s="488"/>
      <c r="K531" s="124" t="s">
        <v>382</v>
      </c>
      <c r="L531" s="125">
        <v>489</v>
      </c>
      <c r="M531" s="123" t="s">
        <v>152</v>
      </c>
      <c r="N531" s="117"/>
    </row>
    <row r="532" spans="1:14" ht="33.75" thickBot="1">
      <c r="A532" s="126" t="str">
        <f t="shared" si="18"/>
        <v>2025/09</v>
      </c>
      <c r="B532" s="127" t="str">
        <f t="shared" si="19"/>
        <v>2025/09忠孝國際醫學3樓</v>
      </c>
      <c r="C532" s="119">
        <v>143</v>
      </c>
      <c r="D532" s="124" t="s">
        <v>850</v>
      </c>
      <c r="E532" s="488" t="s">
        <v>380</v>
      </c>
      <c r="F532" s="488"/>
      <c r="G532" s="488" t="s">
        <v>381</v>
      </c>
      <c r="H532" s="488"/>
      <c r="I532" s="488"/>
      <c r="J532" s="488"/>
      <c r="K532" s="124" t="s">
        <v>382</v>
      </c>
      <c r="L532" s="125">
        <v>625.5</v>
      </c>
      <c r="M532" s="123" t="s">
        <v>155</v>
      </c>
      <c r="N532" s="117"/>
    </row>
    <row r="533" spans="1:14" ht="33.75" thickBot="1">
      <c r="A533" s="126" t="str">
        <f t="shared" si="18"/>
        <v>2025/09</v>
      </c>
      <c r="B533" s="127" t="str">
        <f t="shared" si="19"/>
        <v>2025/09忠孝國際醫學3樓</v>
      </c>
      <c r="C533" s="119">
        <v>144</v>
      </c>
      <c r="D533" s="124" t="s">
        <v>850</v>
      </c>
      <c r="E533" s="488" t="s">
        <v>413</v>
      </c>
      <c r="F533" s="488"/>
      <c r="G533" s="488" t="s">
        <v>414</v>
      </c>
      <c r="H533" s="488"/>
      <c r="I533" s="488"/>
      <c r="J533" s="488"/>
      <c r="K533" s="124" t="s">
        <v>410</v>
      </c>
      <c r="L533" s="125">
        <v>2</v>
      </c>
      <c r="M533" s="123" t="s">
        <v>648</v>
      </c>
      <c r="N533" s="117"/>
    </row>
    <row r="534" spans="1:14" ht="33.75" thickBot="1">
      <c r="A534" s="126" t="str">
        <f t="shared" si="18"/>
        <v>2025/09</v>
      </c>
      <c r="B534" s="127" t="str">
        <f t="shared" si="19"/>
        <v>2025/09忠孝國際醫學3樓</v>
      </c>
      <c r="C534" s="119">
        <v>145</v>
      </c>
      <c r="D534" s="124" t="s">
        <v>850</v>
      </c>
      <c r="E534" s="488" t="s">
        <v>360</v>
      </c>
      <c r="F534" s="488"/>
      <c r="G534" s="488" t="s">
        <v>361</v>
      </c>
      <c r="H534" s="488"/>
      <c r="I534" s="488"/>
      <c r="J534" s="488"/>
      <c r="K534" s="124" t="s">
        <v>362</v>
      </c>
      <c r="L534" s="125">
        <v>11</v>
      </c>
      <c r="M534" s="123" t="s">
        <v>653</v>
      </c>
      <c r="N534" s="117"/>
    </row>
    <row r="535" spans="1:14" ht="33.75" thickBot="1">
      <c r="A535" s="126" t="str">
        <f t="shared" si="18"/>
        <v>2025/09</v>
      </c>
      <c r="B535" s="127" t="str">
        <f t="shared" si="19"/>
        <v>2025/09忠孝國際醫學3樓</v>
      </c>
      <c r="C535" s="119">
        <v>146</v>
      </c>
      <c r="D535" s="124" t="s">
        <v>850</v>
      </c>
      <c r="E535" s="488" t="s">
        <v>383</v>
      </c>
      <c r="F535" s="488"/>
      <c r="G535" s="488" t="s">
        <v>384</v>
      </c>
      <c r="H535" s="488"/>
      <c r="I535" s="488"/>
      <c r="J535" s="488"/>
      <c r="K535" s="124" t="s">
        <v>385</v>
      </c>
      <c r="L535" s="125">
        <v>273</v>
      </c>
      <c r="M535" s="123" t="s">
        <v>654</v>
      </c>
      <c r="N535" s="117"/>
    </row>
    <row r="536" spans="1:14" ht="33.75" thickBot="1">
      <c r="A536" s="126" t="str">
        <f t="shared" si="18"/>
        <v>2025/09</v>
      </c>
      <c r="B536" s="127" t="str">
        <f t="shared" si="19"/>
        <v>2025/09忠孝國際醫學3樓</v>
      </c>
      <c r="C536" s="119">
        <v>147</v>
      </c>
      <c r="D536" s="124" t="s">
        <v>850</v>
      </c>
      <c r="E536" s="488" t="s">
        <v>394</v>
      </c>
      <c r="F536" s="488"/>
      <c r="G536" s="488" t="s">
        <v>395</v>
      </c>
      <c r="H536" s="488"/>
      <c r="I536" s="488"/>
      <c r="J536" s="488"/>
      <c r="K536" s="124" t="s">
        <v>272</v>
      </c>
      <c r="L536" s="125">
        <v>4</v>
      </c>
      <c r="M536" s="123" t="s">
        <v>655</v>
      </c>
      <c r="N536" s="117"/>
    </row>
    <row r="537" spans="1:14" ht="33.75" thickBot="1">
      <c r="A537" s="126" t="str">
        <f t="shared" si="18"/>
        <v>2025/09</v>
      </c>
      <c r="B537" s="127" t="str">
        <f t="shared" si="19"/>
        <v>2025/09忠孝國際醫學3樓</v>
      </c>
      <c r="C537" s="119">
        <v>148</v>
      </c>
      <c r="D537" s="124" t="s">
        <v>850</v>
      </c>
      <c r="E537" s="488" t="s">
        <v>396</v>
      </c>
      <c r="F537" s="488"/>
      <c r="G537" s="488" t="s">
        <v>397</v>
      </c>
      <c r="H537" s="488"/>
      <c r="I537" s="488"/>
      <c r="J537" s="488"/>
      <c r="K537" s="124" t="s">
        <v>398</v>
      </c>
      <c r="L537" s="125">
        <v>2</v>
      </c>
      <c r="M537" s="123" t="s">
        <v>659</v>
      </c>
      <c r="N537" s="117"/>
    </row>
    <row r="538" spans="1:14" ht="33.75" thickBot="1">
      <c r="A538" s="126" t="str">
        <f t="shared" si="18"/>
        <v>2025/09</v>
      </c>
      <c r="B538" s="127" t="str">
        <f t="shared" si="19"/>
        <v>2025/09忠孝國際醫學3樓</v>
      </c>
      <c r="C538" s="119">
        <v>149</v>
      </c>
      <c r="D538" s="124" t="s">
        <v>850</v>
      </c>
      <c r="E538" s="488" t="s">
        <v>403</v>
      </c>
      <c r="F538" s="488"/>
      <c r="G538" s="488" t="s">
        <v>404</v>
      </c>
      <c r="H538" s="488"/>
      <c r="I538" s="488"/>
      <c r="J538" s="488"/>
      <c r="K538" s="124" t="s">
        <v>405</v>
      </c>
      <c r="L538" s="125">
        <v>2</v>
      </c>
      <c r="M538" s="123" t="s">
        <v>656</v>
      </c>
      <c r="N538" s="117"/>
    </row>
    <row r="539" spans="1:14" ht="33.75" thickBot="1">
      <c r="A539" s="126" t="str">
        <f t="shared" si="18"/>
        <v>2025/09</v>
      </c>
      <c r="B539" s="127" t="str">
        <f t="shared" si="19"/>
        <v>2025/09忠孝國際醫學3樓</v>
      </c>
      <c r="C539" s="119">
        <v>150</v>
      </c>
      <c r="D539" s="124" t="s">
        <v>850</v>
      </c>
      <c r="E539" s="488" t="s">
        <v>406</v>
      </c>
      <c r="F539" s="488"/>
      <c r="G539" s="488" t="s">
        <v>407</v>
      </c>
      <c r="H539" s="488"/>
      <c r="I539" s="488"/>
      <c r="J539" s="488"/>
      <c r="K539" s="124" t="s">
        <v>385</v>
      </c>
      <c r="L539" s="125">
        <v>2</v>
      </c>
      <c r="M539" s="123" t="s">
        <v>657</v>
      </c>
      <c r="N539" s="117"/>
    </row>
    <row r="540" spans="1:14" ht="33.75" thickBot="1">
      <c r="A540" s="126" t="str">
        <f t="shared" si="18"/>
        <v>2025/09</v>
      </c>
      <c r="B540" s="127" t="str">
        <f t="shared" si="19"/>
        <v>2025/09忠孝國際醫學3樓</v>
      </c>
      <c r="C540" s="119">
        <v>151</v>
      </c>
      <c r="D540" s="124" t="s">
        <v>850</v>
      </c>
      <c r="E540" s="488" t="s">
        <v>408</v>
      </c>
      <c r="F540" s="488"/>
      <c r="G540" s="488" t="s">
        <v>409</v>
      </c>
      <c r="H540" s="488"/>
      <c r="I540" s="488"/>
      <c r="J540" s="488"/>
      <c r="K540" s="124" t="s">
        <v>410</v>
      </c>
      <c r="L540" s="125">
        <v>4</v>
      </c>
      <c r="M540" s="123" t="s">
        <v>658</v>
      </c>
      <c r="N540" s="117"/>
    </row>
    <row r="541" spans="1:14" ht="33.75" thickBot="1">
      <c r="A541" s="126" t="str">
        <f t="shared" si="18"/>
        <v>2025/09</v>
      </c>
      <c r="B541" s="127" t="str">
        <f t="shared" si="19"/>
        <v>2025/09忠孝國際醫學3樓</v>
      </c>
      <c r="C541" s="119">
        <v>152</v>
      </c>
      <c r="D541" s="124" t="s">
        <v>850</v>
      </c>
      <c r="E541" s="488" t="s">
        <v>255</v>
      </c>
      <c r="F541" s="488"/>
      <c r="G541" s="488" t="s">
        <v>256</v>
      </c>
      <c r="H541" s="488"/>
      <c r="I541" s="488"/>
      <c r="J541" s="488"/>
      <c r="K541" s="124" t="s">
        <v>257</v>
      </c>
      <c r="L541" s="125">
        <v>518</v>
      </c>
      <c r="M541" s="123" t="s">
        <v>660</v>
      </c>
      <c r="N541" s="117"/>
    </row>
    <row r="542" spans="1:14" ht="33.75" thickBot="1">
      <c r="A542" s="126" t="str">
        <f t="shared" si="18"/>
        <v>2025/09</v>
      </c>
      <c r="B542" s="127" t="str">
        <f t="shared" si="19"/>
        <v>2025/09忠孝國際醫學3樓</v>
      </c>
      <c r="C542" s="119">
        <v>153</v>
      </c>
      <c r="D542" s="124" t="s">
        <v>850</v>
      </c>
      <c r="E542" s="488" t="s">
        <v>419</v>
      </c>
      <c r="F542" s="488"/>
      <c r="G542" s="488" t="s">
        <v>420</v>
      </c>
      <c r="H542" s="488"/>
      <c r="I542" s="488"/>
      <c r="J542" s="488"/>
      <c r="K542" s="124" t="s">
        <v>421</v>
      </c>
      <c r="L542" s="125">
        <v>92</v>
      </c>
      <c r="M542" s="123" t="s">
        <v>667</v>
      </c>
      <c r="N542" s="117"/>
    </row>
    <row r="543" spans="1:14" ht="33.75" thickBot="1">
      <c r="A543" s="126" t="str">
        <f t="shared" si="18"/>
        <v>2025/09</v>
      </c>
      <c r="B543" s="127" t="str">
        <f t="shared" si="19"/>
        <v>2025/09忠孝國際醫學3樓</v>
      </c>
      <c r="C543" s="119">
        <v>154</v>
      </c>
      <c r="D543" s="124" t="s">
        <v>850</v>
      </c>
      <c r="E543" s="488" t="s">
        <v>258</v>
      </c>
      <c r="F543" s="488"/>
      <c r="G543" s="488" t="s">
        <v>259</v>
      </c>
      <c r="H543" s="488"/>
      <c r="I543" s="488"/>
      <c r="J543" s="488"/>
      <c r="K543" s="124"/>
      <c r="L543" s="125">
        <v>5</v>
      </c>
      <c r="M543" s="123" t="s">
        <v>661</v>
      </c>
      <c r="N543" s="117"/>
    </row>
    <row r="544" spans="1:14" ht="33.75" thickBot="1">
      <c r="A544" s="126" t="str">
        <f t="shared" si="18"/>
        <v>2025/09</v>
      </c>
      <c r="B544" s="127" t="str">
        <f t="shared" si="19"/>
        <v>2025/09忠孝國際醫學3樓</v>
      </c>
      <c r="C544" s="119">
        <v>155</v>
      </c>
      <c r="D544" s="124" t="s">
        <v>850</v>
      </c>
      <c r="E544" s="488" t="s">
        <v>260</v>
      </c>
      <c r="F544" s="488"/>
      <c r="G544" s="488" t="s">
        <v>261</v>
      </c>
      <c r="H544" s="488"/>
      <c r="I544" s="488"/>
      <c r="J544" s="488"/>
      <c r="K544" s="124" t="s">
        <v>254</v>
      </c>
      <c r="L544" s="125">
        <v>5</v>
      </c>
      <c r="M544" s="123" t="s">
        <v>662</v>
      </c>
      <c r="N544" s="117"/>
    </row>
    <row r="545" spans="1:14" ht="33.75" thickBot="1">
      <c r="A545" s="126" t="str">
        <f t="shared" si="18"/>
        <v>2025/09</v>
      </c>
      <c r="B545" s="127" t="str">
        <f t="shared" si="19"/>
        <v>2025/09忠孝國際醫學3樓</v>
      </c>
      <c r="C545" s="119">
        <v>156</v>
      </c>
      <c r="D545" s="124" t="s">
        <v>850</v>
      </c>
      <c r="E545" s="488" t="s">
        <v>415</v>
      </c>
      <c r="F545" s="488"/>
      <c r="G545" s="488" t="s">
        <v>416</v>
      </c>
      <c r="H545" s="488"/>
      <c r="I545" s="488"/>
      <c r="J545" s="488"/>
      <c r="K545" s="124" t="s">
        <v>254</v>
      </c>
      <c r="L545" s="125">
        <v>2</v>
      </c>
      <c r="M545" s="123" t="s">
        <v>668</v>
      </c>
      <c r="N545" s="117"/>
    </row>
    <row r="546" spans="1:14" ht="33.75" thickBot="1">
      <c r="A546" s="126" t="str">
        <f t="shared" si="18"/>
        <v>2025/09</v>
      </c>
      <c r="B546" s="127" t="str">
        <f t="shared" si="19"/>
        <v>2025/09忠孝國際醫學3樓</v>
      </c>
      <c r="C546" s="119">
        <v>157</v>
      </c>
      <c r="D546" s="124" t="s">
        <v>850</v>
      </c>
      <c r="E546" s="488" t="s">
        <v>252</v>
      </c>
      <c r="F546" s="488"/>
      <c r="G546" s="488" t="s">
        <v>253</v>
      </c>
      <c r="H546" s="488"/>
      <c r="I546" s="488"/>
      <c r="J546" s="488"/>
      <c r="K546" s="124" t="s">
        <v>254</v>
      </c>
      <c r="L546" s="125">
        <v>8</v>
      </c>
      <c r="M546" s="123" t="s">
        <v>665</v>
      </c>
      <c r="N546" s="117"/>
    </row>
    <row r="547" spans="1:14" ht="33.75" thickBot="1">
      <c r="A547" s="126" t="str">
        <f t="shared" si="18"/>
        <v>2025/09</v>
      </c>
      <c r="B547" s="127" t="str">
        <f t="shared" si="19"/>
        <v>2025/09忠孝國際醫學3樓</v>
      </c>
      <c r="C547" s="119">
        <v>158</v>
      </c>
      <c r="D547" s="124" t="s">
        <v>850</v>
      </c>
      <c r="E547" s="488" t="s">
        <v>386</v>
      </c>
      <c r="F547" s="488"/>
      <c r="G547" s="488" t="s">
        <v>387</v>
      </c>
      <c r="H547" s="488"/>
      <c r="I547" s="488"/>
      <c r="J547" s="488"/>
      <c r="K547" s="124" t="s">
        <v>388</v>
      </c>
      <c r="L547" s="125">
        <v>1558</v>
      </c>
      <c r="M547" s="123" t="s">
        <v>101</v>
      </c>
      <c r="N547" s="117"/>
    </row>
    <row r="548" spans="1:14" ht="33.75" thickBot="1">
      <c r="A548" s="126" t="str">
        <f t="shared" si="18"/>
        <v>2025/09</v>
      </c>
      <c r="B548" s="127" t="str">
        <f t="shared" si="19"/>
        <v>2025/09忠孝國際醫學3樓</v>
      </c>
      <c r="C548" s="119">
        <v>159</v>
      </c>
      <c r="D548" s="124" t="s">
        <v>850</v>
      </c>
      <c r="E548" s="488" t="s">
        <v>377</v>
      </c>
      <c r="F548" s="488"/>
      <c r="G548" s="488" t="s">
        <v>378</v>
      </c>
      <c r="H548" s="488"/>
      <c r="I548" s="488"/>
      <c r="J548" s="488"/>
      <c r="K548" s="124" t="s">
        <v>379</v>
      </c>
      <c r="L548" s="125">
        <v>448</v>
      </c>
      <c r="M548" s="123"/>
      <c r="N548" s="117"/>
    </row>
    <row r="549" spans="1:14" ht="33.75" thickBot="1">
      <c r="A549" s="126" t="str">
        <f t="shared" si="18"/>
        <v>2025/09</v>
      </c>
      <c r="B549" s="127" t="str">
        <f t="shared" si="19"/>
        <v>2025/09忠孝國際醫學3樓</v>
      </c>
      <c r="C549" s="119">
        <v>160</v>
      </c>
      <c r="D549" s="124" t="s">
        <v>850</v>
      </c>
      <c r="E549" s="488" t="s">
        <v>401</v>
      </c>
      <c r="F549" s="488"/>
      <c r="G549" s="488" t="s">
        <v>402</v>
      </c>
      <c r="H549" s="488"/>
      <c r="I549" s="488"/>
      <c r="J549" s="488"/>
      <c r="K549" s="124" t="s">
        <v>145</v>
      </c>
      <c r="L549" s="125">
        <v>5</v>
      </c>
      <c r="M549" s="123" t="s">
        <v>147</v>
      </c>
      <c r="N549" s="117"/>
    </row>
    <row r="550" spans="1:14" ht="33.75" thickBot="1">
      <c r="A550" s="126" t="str">
        <f t="shared" si="18"/>
        <v>2025/09</v>
      </c>
      <c r="B550" s="127" t="str">
        <f t="shared" si="19"/>
        <v>2025/09忠孝國際醫學3樓</v>
      </c>
      <c r="C550" s="119">
        <v>161</v>
      </c>
      <c r="D550" s="124" t="s">
        <v>850</v>
      </c>
      <c r="E550" s="488" t="s">
        <v>417</v>
      </c>
      <c r="F550" s="488"/>
      <c r="G550" s="488" t="s">
        <v>418</v>
      </c>
      <c r="H550" s="488"/>
      <c r="I550" s="488"/>
      <c r="J550" s="488"/>
      <c r="K550" s="124" t="s">
        <v>145</v>
      </c>
      <c r="L550" s="125">
        <v>1</v>
      </c>
      <c r="M550" s="123" t="s">
        <v>148</v>
      </c>
      <c r="N550" s="117"/>
    </row>
    <row r="551" spans="1:14" ht="33.75" thickBot="1">
      <c r="A551" s="126" t="str">
        <f t="shared" si="18"/>
        <v>2025/09</v>
      </c>
      <c r="B551" s="127" t="str">
        <f t="shared" si="19"/>
        <v>2025/09忠孝國際醫學3樓</v>
      </c>
      <c r="C551" s="119">
        <v>162</v>
      </c>
      <c r="D551" s="124" t="s">
        <v>850</v>
      </c>
      <c r="E551" s="488" t="s">
        <v>411</v>
      </c>
      <c r="F551" s="488"/>
      <c r="G551" s="488" t="s">
        <v>412</v>
      </c>
      <c r="H551" s="488"/>
      <c r="I551" s="488"/>
      <c r="J551" s="488"/>
      <c r="K551" s="124" t="s">
        <v>145</v>
      </c>
      <c r="L551" s="125">
        <v>58</v>
      </c>
      <c r="M551" s="123" t="s">
        <v>641</v>
      </c>
      <c r="N551" s="117"/>
    </row>
    <row r="552" spans="1:14" ht="33.75" thickBot="1">
      <c r="A552" s="126" t="str">
        <f t="shared" si="18"/>
        <v>2025/09</v>
      </c>
      <c r="B552" s="127" t="str">
        <f t="shared" si="19"/>
        <v>2025/09忠孝國際醫學3樓</v>
      </c>
      <c r="C552" s="119">
        <v>163</v>
      </c>
      <c r="D552" s="124" t="s">
        <v>850</v>
      </c>
      <c r="E552" s="488" t="s">
        <v>375</v>
      </c>
      <c r="F552" s="488"/>
      <c r="G552" s="488" t="s">
        <v>376</v>
      </c>
      <c r="H552" s="488"/>
      <c r="I552" s="488"/>
      <c r="J552" s="488"/>
      <c r="K552" s="124" t="s">
        <v>145</v>
      </c>
      <c r="L552" s="125">
        <v>17</v>
      </c>
      <c r="M552" s="123" t="s">
        <v>642</v>
      </c>
      <c r="N552" s="117"/>
    </row>
    <row r="553" spans="1:14" ht="33.75" thickBot="1">
      <c r="A553" s="126" t="str">
        <f t="shared" si="18"/>
        <v>2025/09</v>
      </c>
      <c r="B553" s="127" t="str">
        <f t="shared" si="19"/>
        <v>2025/09忠孝國際醫學3樓</v>
      </c>
      <c r="C553" s="119">
        <v>164</v>
      </c>
      <c r="D553" s="124" t="s">
        <v>850</v>
      </c>
      <c r="E553" s="488" t="s">
        <v>422</v>
      </c>
      <c r="F553" s="488"/>
      <c r="G553" s="488" t="s">
        <v>423</v>
      </c>
      <c r="H553" s="488"/>
      <c r="I553" s="488"/>
      <c r="J553" s="488"/>
      <c r="K553" s="124" t="s">
        <v>145</v>
      </c>
      <c r="L553" s="125">
        <v>24</v>
      </c>
      <c r="M553" s="123" t="s">
        <v>643</v>
      </c>
      <c r="N553" s="117"/>
    </row>
    <row r="554" spans="1:14" ht="33.75" thickBot="1">
      <c r="A554" s="126" t="str">
        <f t="shared" si="18"/>
        <v>2025/09</v>
      </c>
      <c r="B554" s="127" t="str">
        <f t="shared" si="19"/>
        <v>2025/09忠孝國際醫學3樓</v>
      </c>
      <c r="C554" s="119">
        <v>165</v>
      </c>
      <c r="D554" s="124" t="s">
        <v>850</v>
      </c>
      <c r="E554" s="488" t="s">
        <v>399</v>
      </c>
      <c r="F554" s="488"/>
      <c r="G554" s="488" t="s">
        <v>400</v>
      </c>
      <c r="H554" s="488"/>
      <c r="I554" s="488"/>
      <c r="J554" s="488"/>
      <c r="K554" s="124" t="s">
        <v>145</v>
      </c>
      <c r="L554" s="125">
        <v>13</v>
      </c>
      <c r="M554" s="123" t="s">
        <v>644</v>
      </c>
      <c r="N554" s="117"/>
    </row>
    <row r="555" spans="1:14" ht="33.75" thickBot="1">
      <c r="A555" s="126" t="str">
        <f t="shared" si="18"/>
        <v>2025/09</v>
      </c>
      <c r="B555" s="127" t="str">
        <f t="shared" si="19"/>
        <v>2025/09忠孝國際醫學3樓</v>
      </c>
      <c r="C555" s="119">
        <v>166</v>
      </c>
      <c r="D555" s="124" t="s">
        <v>850</v>
      </c>
      <c r="E555" s="488" t="s">
        <v>431</v>
      </c>
      <c r="F555" s="488"/>
      <c r="G555" s="488" t="s">
        <v>432</v>
      </c>
      <c r="H555" s="488"/>
      <c r="I555" s="488"/>
      <c r="J555" s="488"/>
      <c r="K555" s="124" t="s">
        <v>433</v>
      </c>
      <c r="L555" s="125">
        <v>3</v>
      </c>
      <c r="M555" s="123"/>
      <c r="N555" s="117"/>
    </row>
    <row r="556" spans="1:14" ht="17.25" thickBot="1">
      <c r="A556" s="126" t="str">
        <f>IFERROR(LEFT(B556,7),"")</f>
        <v>2025/10</v>
      </c>
      <c r="B556" s="127" t="str">
        <f>"2025/10"&amp;D556</f>
        <v>2025/10站前4樓</v>
      </c>
      <c r="C556" s="138">
        <v>1</v>
      </c>
      <c r="D556" s="139" t="s">
        <v>236</v>
      </c>
      <c r="E556" s="484" t="s">
        <v>413</v>
      </c>
      <c r="F556" s="484"/>
      <c r="G556" s="484" t="s">
        <v>674</v>
      </c>
      <c r="H556" s="484"/>
      <c r="I556" s="484"/>
      <c r="J556" s="484"/>
      <c r="K556" s="140" t="s">
        <v>410</v>
      </c>
      <c r="L556" s="141">
        <v>5</v>
      </c>
      <c r="M556" s="123"/>
      <c r="N556" s="117"/>
    </row>
    <row r="557" spans="1:14" ht="17.25" thickBot="1">
      <c r="A557" s="126" t="str">
        <f t="shared" si="18"/>
        <v>2025/10</v>
      </c>
      <c r="B557" s="127" t="str">
        <f t="shared" ref="B557:B619" si="20">"2025/10"&amp;D557</f>
        <v>2025/10站前4樓</v>
      </c>
      <c r="C557" s="138">
        <v>2</v>
      </c>
      <c r="D557" s="139" t="s">
        <v>236</v>
      </c>
      <c r="E557" s="484" t="s">
        <v>360</v>
      </c>
      <c r="F557" s="484"/>
      <c r="G557" s="484" t="s">
        <v>361</v>
      </c>
      <c r="H557" s="484"/>
      <c r="I557" s="484"/>
      <c r="J557" s="484"/>
      <c r="K557" s="140" t="s">
        <v>362</v>
      </c>
      <c r="L557" s="141">
        <v>5</v>
      </c>
      <c r="M557" s="123"/>
      <c r="N557" s="117"/>
    </row>
    <row r="558" spans="1:14" ht="17.25" thickBot="1">
      <c r="A558" s="126" t="str">
        <f t="shared" si="18"/>
        <v>2025/10</v>
      </c>
      <c r="B558" s="127" t="str">
        <f t="shared" si="20"/>
        <v>2025/10站前4樓</v>
      </c>
      <c r="C558" s="138">
        <v>3</v>
      </c>
      <c r="D558" s="139" t="s">
        <v>236</v>
      </c>
      <c r="E558" s="484" t="s">
        <v>383</v>
      </c>
      <c r="F558" s="484"/>
      <c r="G558" s="484" t="s">
        <v>384</v>
      </c>
      <c r="H558" s="484"/>
      <c r="I558" s="484"/>
      <c r="J558" s="484"/>
      <c r="K558" s="140" t="s">
        <v>385</v>
      </c>
      <c r="L558" s="141">
        <v>6</v>
      </c>
      <c r="M558" s="123"/>
      <c r="N558" s="117"/>
    </row>
    <row r="559" spans="1:14" ht="17.25" thickBot="1">
      <c r="A559" s="126" t="str">
        <f t="shared" si="18"/>
        <v>2025/10</v>
      </c>
      <c r="B559" s="127" t="str">
        <f t="shared" si="20"/>
        <v>2025/10站前4樓</v>
      </c>
      <c r="C559" s="138">
        <v>4</v>
      </c>
      <c r="D559" s="139" t="s">
        <v>236</v>
      </c>
      <c r="E559" s="484" t="s">
        <v>255</v>
      </c>
      <c r="F559" s="484"/>
      <c r="G559" s="484" t="s">
        <v>256</v>
      </c>
      <c r="H559" s="484"/>
      <c r="I559" s="484"/>
      <c r="J559" s="484"/>
      <c r="K559" s="140" t="s">
        <v>257</v>
      </c>
      <c r="L559" s="141">
        <v>204</v>
      </c>
      <c r="M559" s="123"/>
      <c r="N559" s="117"/>
    </row>
    <row r="560" spans="1:14" ht="17.25" thickBot="1">
      <c r="A560" s="126" t="str">
        <f t="shared" si="18"/>
        <v>2025/10</v>
      </c>
      <c r="B560" s="127" t="str">
        <f t="shared" si="20"/>
        <v>2025/10站前4樓</v>
      </c>
      <c r="C560" s="138">
        <v>5</v>
      </c>
      <c r="D560" s="139" t="s">
        <v>236</v>
      </c>
      <c r="E560" s="484" t="s">
        <v>258</v>
      </c>
      <c r="F560" s="484"/>
      <c r="G560" s="484" t="s">
        <v>259</v>
      </c>
      <c r="H560" s="484"/>
      <c r="I560" s="484"/>
      <c r="J560" s="484"/>
      <c r="K560" s="140"/>
      <c r="L560" s="141">
        <v>207</v>
      </c>
      <c r="M560" s="123"/>
      <c r="N560" s="117"/>
    </row>
    <row r="561" spans="1:14" ht="17.25" thickBot="1">
      <c r="A561" s="126" t="str">
        <f t="shared" si="18"/>
        <v>2025/10</v>
      </c>
      <c r="B561" s="127" t="str">
        <f t="shared" si="20"/>
        <v>2025/10站前4樓</v>
      </c>
      <c r="C561" s="138">
        <v>6</v>
      </c>
      <c r="D561" s="139" t="s">
        <v>236</v>
      </c>
      <c r="E561" s="484" t="s">
        <v>260</v>
      </c>
      <c r="F561" s="484"/>
      <c r="G561" s="484" t="s">
        <v>261</v>
      </c>
      <c r="H561" s="484"/>
      <c r="I561" s="484"/>
      <c r="J561" s="484"/>
      <c r="K561" s="140" t="s">
        <v>254</v>
      </c>
      <c r="L561" s="141">
        <v>207</v>
      </c>
      <c r="M561" s="123"/>
      <c r="N561" s="117"/>
    </row>
    <row r="562" spans="1:14" ht="17.25" thickBot="1">
      <c r="A562" s="126" t="str">
        <f t="shared" si="18"/>
        <v>2025/10</v>
      </c>
      <c r="B562" s="127" t="str">
        <f t="shared" si="20"/>
        <v>2025/10站前4樓</v>
      </c>
      <c r="C562" s="138">
        <v>7</v>
      </c>
      <c r="D562" s="139" t="s">
        <v>236</v>
      </c>
      <c r="E562" s="484" t="s">
        <v>262</v>
      </c>
      <c r="F562" s="484"/>
      <c r="G562" s="484" t="s">
        <v>263</v>
      </c>
      <c r="H562" s="484"/>
      <c r="I562" s="484"/>
      <c r="J562" s="484"/>
      <c r="K562" s="140" t="s">
        <v>254</v>
      </c>
      <c r="L562" s="141">
        <v>30</v>
      </c>
      <c r="M562" s="123"/>
      <c r="N562" s="117"/>
    </row>
    <row r="563" spans="1:14" ht="17.25" thickBot="1">
      <c r="A563" s="126" t="str">
        <f t="shared" si="18"/>
        <v>2025/10</v>
      </c>
      <c r="B563" s="127" t="str">
        <f t="shared" si="20"/>
        <v>2025/10站前4樓</v>
      </c>
      <c r="C563" s="138">
        <v>8</v>
      </c>
      <c r="D563" s="139" t="s">
        <v>236</v>
      </c>
      <c r="E563" s="484" t="s">
        <v>270</v>
      </c>
      <c r="F563" s="484"/>
      <c r="G563" s="484" t="s">
        <v>271</v>
      </c>
      <c r="H563" s="484"/>
      <c r="I563" s="484"/>
      <c r="J563" s="484"/>
      <c r="K563" s="140" t="s">
        <v>272</v>
      </c>
      <c r="L563" s="141">
        <v>91</v>
      </c>
      <c r="M563" s="123"/>
      <c r="N563" s="117"/>
    </row>
    <row r="564" spans="1:14" ht="17.25" thickBot="1">
      <c r="A564" s="126" t="str">
        <f t="shared" si="18"/>
        <v>2025/10</v>
      </c>
      <c r="B564" s="127" t="str">
        <f t="shared" si="20"/>
        <v>2025/10站前4樓</v>
      </c>
      <c r="C564" s="138">
        <v>9</v>
      </c>
      <c r="D564" s="139" t="s">
        <v>236</v>
      </c>
      <c r="E564" s="484" t="s">
        <v>252</v>
      </c>
      <c r="F564" s="484"/>
      <c r="G564" s="484" t="s">
        <v>253</v>
      </c>
      <c r="H564" s="484"/>
      <c r="I564" s="484"/>
      <c r="J564" s="484"/>
      <c r="K564" s="140" t="s">
        <v>254</v>
      </c>
      <c r="L564" s="141">
        <v>209</v>
      </c>
      <c r="M564" s="123"/>
      <c r="N564" s="117"/>
    </row>
    <row r="565" spans="1:14" ht="17.25" thickBot="1">
      <c r="A565" s="126" t="str">
        <f t="shared" si="18"/>
        <v>2025/10</v>
      </c>
      <c r="B565" s="127" t="str">
        <f t="shared" si="20"/>
        <v>2025/10站前4樓</v>
      </c>
      <c r="C565" s="138">
        <v>10</v>
      </c>
      <c r="D565" s="139" t="s">
        <v>236</v>
      </c>
      <c r="E565" s="484" t="s">
        <v>429</v>
      </c>
      <c r="F565" s="484"/>
      <c r="G565" s="484" t="s">
        <v>430</v>
      </c>
      <c r="H565" s="484"/>
      <c r="I565" s="484"/>
      <c r="J565" s="484"/>
      <c r="K565" s="140" t="s">
        <v>272</v>
      </c>
      <c r="L565" s="141">
        <v>1</v>
      </c>
      <c r="M565" s="123"/>
      <c r="N565" s="117"/>
    </row>
    <row r="566" spans="1:14" ht="17.25" thickBot="1">
      <c r="A566" s="126" t="str">
        <f t="shared" si="18"/>
        <v>2025/10</v>
      </c>
      <c r="B566" s="127" t="str">
        <f t="shared" si="20"/>
        <v>2025/10站前4樓</v>
      </c>
      <c r="C566" s="138">
        <v>11</v>
      </c>
      <c r="D566" s="139" t="s">
        <v>236</v>
      </c>
      <c r="E566" s="484" t="s">
        <v>305</v>
      </c>
      <c r="F566" s="484"/>
      <c r="G566" s="484" t="s">
        <v>675</v>
      </c>
      <c r="H566" s="484"/>
      <c r="I566" s="484"/>
      <c r="J566" s="484"/>
      <c r="K566" s="140" t="s">
        <v>676</v>
      </c>
      <c r="L566" s="141">
        <v>3699</v>
      </c>
      <c r="M566" s="123"/>
      <c r="N566" s="117"/>
    </row>
    <row r="567" spans="1:14" ht="17.25" thickBot="1">
      <c r="A567" s="126" t="str">
        <f t="shared" si="18"/>
        <v>2025/10</v>
      </c>
      <c r="B567" s="127" t="str">
        <f t="shared" si="20"/>
        <v>2025/10站前4樓</v>
      </c>
      <c r="C567" s="138">
        <v>12</v>
      </c>
      <c r="D567" s="139" t="s">
        <v>236</v>
      </c>
      <c r="E567" s="484" t="s">
        <v>264</v>
      </c>
      <c r="F567" s="484"/>
      <c r="G567" s="484" t="s">
        <v>677</v>
      </c>
      <c r="H567" s="484"/>
      <c r="I567" s="484"/>
      <c r="J567" s="484"/>
      <c r="K567" s="140" t="s">
        <v>678</v>
      </c>
      <c r="L567" s="141">
        <v>4109</v>
      </c>
      <c r="M567" s="123"/>
      <c r="N567" s="117"/>
    </row>
    <row r="568" spans="1:14" ht="17.25" thickBot="1">
      <c r="A568" s="126" t="str">
        <f t="shared" si="18"/>
        <v>2025/10</v>
      </c>
      <c r="B568" s="127" t="str">
        <f t="shared" si="20"/>
        <v>2025/10站前4樓</v>
      </c>
      <c r="C568" s="138">
        <v>13</v>
      </c>
      <c r="D568" s="139" t="s">
        <v>236</v>
      </c>
      <c r="E568" s="484" t="s">
        <v>307</v>
      </c>
      <c r="F568" s="484"/>
      <c r="G568" s="484" t="s">
        <v>679</v>
      </c>
      <c r="H568" s="484"/>
      <c r="I568" s="484"/>
      <c r="J568" s="484"/>
      <c r="K568" s="140" t="s">
        <v>678</v>
      </c>
      <c r="L568" s="141">
        <v>2254</v>
      </c>
      <c r="M568" s="123"/>
      <c r="N568" s="117"/>
    </row>
    <row r="569" spans="1:14" ht="17.25" thickBot="1">
      <c r="A569" s="126" t="str">
        <f t="shared" si="18"/>
        <v>2025/10</v>
      </c>
      <c r="B569" s="127" t="str">
        <f t="shared" si="20"/>
        <v>2025/10站前4樓</v>
      </c>
      <c r="C569" s="138">
        <v>14</v>
      </c>
      <c r="D569" s="139" t="s">
        <v>236</v>
      </c>
      <c r="E569" s="484" t="s">
        <v>313</v>
      </c>
      <c r="F569" s="484"/>
      <c r="G569" s="484" t="s">
        <v>314</v>
      </c>
      <c r="H569" s="484"/>
      <c r="I569" s="484"/>
      <c r="J569" s="484"/>
      <c r="K569" s="140" t="s">
        <v>301</v>
      </c>
      <c r="L569" s="141">
        <v>68</v>
      </c>
      <c r="M569" s="123"/>
      <c r="N569" s="117"/>
    </row>
    <row r="570" spans="1:14" ht="17.25" thickBot="1">
      <c r="A570" s="126" t="str">
        <f t="shared" si="18"/>
        <v>2025/10</v>
      </c>
      <c r="B570" s="127" t="str">
        <f t="shared" si="20"/>
        <v>2025/10站前4樓</v>
      </c>
      <c r="C570" s="138">
        <v>15</v>
      </c>
      <c r="D570" s="139" t="s">
        <v>236</v>
      </c>
      <c r="E570" s="484" t="s">
        <v>343</v>
      </c>
      <c r="F570" s="484"/>
      <c r="G570" s="484" t="s">
        <v>344</v>
      </c>
      <c r="H570" s="484"/>
      <c r="I570" s="484"/>
      <c r="J570" s="484"/>
      <c r="K570" s="140" t="s">
        <v>301</v>
      </c>
      <c r="L570" s="141">
        <v>5</v>
      </c>
      <c r="M570" s="123"/>
      <c r="N570" s="117"/>
    </row>
    <row r="571" spans="1:14" ht="17.25" thickBot="1">
      <c r="A571" s="126" t="str">
        <f t="shared" si="18"/>
        <v>2025/10</v>
      </c>
      <c r="B571" s="127" t="str">
        <f t="shared" si="20"/>
        <v>2025/10站前4樓</v>
      </c>
      <c r="C571" s="138">
        <v>16</v>
      </c>
      <c r="D571" s="139" t="s">
        <v>236</v>
      </c>
      <c r="E571" s="484" t="s">
        <v>427</v>
      </c>
      <c r="F571" s="484"/>
      <c r="G571" s="484" t="s">
        <v>428</v>
      </c>
      <c r="H571" s="484"/>
      <c r="I571" s="484"/>
      <c r="J571" s="484"/>
      <c r="K571" s="140" t="s">
        <v>301</v>
      </c>
      <c r="L571" s="141">
        <v>1</v>
      </c>
      <c r="M571" s="123"/>
      <c r="N571" s="117"/>
    </row>
    <row r="572" spans="1:14" ht="17.25" thickBot="1">
      <c r="A572" s="126" t="str">
        <f t="shared" si="18"/>
        <v>2025/10</v>
      </c>
      <c r="B572" s="127" t="str">
        <f t="shared" si="20"/>
        <v>2025/10站前4樓</v>
      </c>
      <c r="C572" s="138">
        <v>17</v>
      </c>
      <c r="D572" s="139" t="s">
        <v>236</v>
      </c>
      <c r="E572" s="484" t="s">
        <v>349</v>
      </c>
      <c r="F572" s="484"/>
      <c r="G572" s="484" t="s">
        <v>350</v>
      </c>
      <c r="H572" s="484"/>
      <c r="I572" s="484"/>
      <c r="J572" s="484"/>
      <c r="K572" s="140" t="s">
        <v>301</v>
      </c>
      <c r="L572" s="141">
        <v>12</v>
      </c>
      <c r="M572" s="123"/>
      <c r="N572" s="117"/>
    </row>
    <row r="573" spans="1:14" ht="17.25" thickBot="1">
      <c r="A573" s="126" t="str">
        <f t="shared" si="18"/>
        <v>2025/10</v>
      </c>
      <c r="B573" s="127" t="str">
        <f t="shared" si="20"/>
        <v>2025/10站前4樓</v>
      </c>
      <c r="C573" s="138">
        <v>18</v>
      </c>
      <c r="D573" s="139" t="s">
        <v>236</v>
      </c>
      <c r="E573" s="484" t="s">
        <v>366</v>
      </c>
      <c r="F573" s="484"/>
      <c r="G573" s="484" t="s">
        <v>367</v>
      </c>
      <c r="H573" s="484"/>
      <c r="I573" s="484"/>
      <c r="J573" s="484"/>
      <c r="K573" s="140" t="s">
        <v>301</v>
      </c>
      <c r="L573" s="141">
        <v>1</v>
      </c>
      <c r="M573" s="123"/>
      <c r="N573" s="117"/>
    </row>
    <row r="574" spans="1:14" ht="17.25" thickBot="1">
      <c r="A574" s="126" t="str">
        <f t="shared" si="18"/>
        <v>2025/10</v>
      </c>
      <c r="B574" s="127" t="str">
        <f t="shared" si="20"/>
        <v>2025/10站前4樓</v>
      </c>
      <c r="C574" s="138">
        <v>19</v>
      </c>
      <c r="D574" s="139" t="s">
        <v>236</v>
      </c>
      <c r="E574" s="484" t="s">
        <v>282</v>
      </c>
      <c r="F574" s="484"/>
      <c r="G574" s="484" t="s">
        <v>283</v>
      </c>
      <c r="H574" s="484"/>
      <c r="I574" s="484"/>
      <c r="J574" s="484"/>
      <c r="K574" s="140" t="s">
        <v>284</v>
      </c>
      <c r="L574" s="141">
        <v>43</v>
      </c>
      <c r="M574" s="123"/>
      <c r="N574" s="117"/>
    </row>
    <row r="575" spans="1:14" ht="17.25" thickBot="1">
      <c r="A575" s="126" t="str">
        <f t="shared" si="18"/>
        <v>2025/10</v>
      </c>
      <c r="B575" s="127" t="str">
        <f t="shared" si="20"/>
        <v>2025/10站前4樓</v>
      </c>
      <c r="C575" s="138">
        <v>20</v>
      </c>
      <c r="D575" s="139" t="s">
        <v>236</v>
      </c>
      <c r="E575" s="484" t="s">
        <v>345</v>
      </c>
      <c r="F575" s="484"/>
      <c r="G575" s="484" t="s">
        <v>346</v>
      </c>
      <c r="H575" s="484"/>
      <c r="I575" s="484"/>
      <c r="J575" s="484"/>
      <c r="K575" s="140" t="s">
        <v>284</v>
      </c>
      <c r="L575" s="141">
        <v>4</v>
      </c>
      <c r="M575" s="123"/>
      <c r="N575" s="117"/>
    </row>
    <row r="576" spans="1:14" ht="17.25" thickBot="1">
      <c r="A576" s="126" t="str">
        <f t="shared" si="18"/>
        <v>2025/10</v>
      </c>
      <c r="B576" s="127" t="str">
        <f t="shared" si="20"/>
        <v>2025/10站前4樓</v>
      </c>
      <c r="C576" s="138">
        <v>21</v>
      </c>
      <c r="D576" s="139" t="s">
        <v>236</v>
      </c>
      <c r="E576" s="484" t="s">
        <v>311</v>
      </c>
      <c r="F576" s="484"/>
      <c r="G576" s="484" t="s">
        <v>312</v>
      </c>
      <c r="H576" s="484"/>
      <c r="I576" s="484"/>
      <c r="J576" s="484"/>
      <c r="K576" s="140" t="s">
        <v>284</v>
      </c>
      <c r="L576" s="141">
        <v>25</v>
      </c>
      <c r="M576" s="123"/>
      <c r="N576" s="117"/>
    </row>
    <row r="577" spans="1:14" ht="17.25" thickBot="1">
      <c r="A577" s="126" t="str">
        <f t="shared" si="18"/>
        <v>2025/10</v>
      </c>
      <c r="B577" s="127" t="str">
        <f t="shared" si="20"/>
        <v>2025/10站前4樓</v>
      </c>
      <c r="C577" s="138">
        <v>22</v>
      </c>
      <c r="D577" s="139" t="s">
        <v>236</v>
      </c>
      <c r="E577" s="484" t="s">
        <v>680</v>
      </c>
      <c r="F577" s="484"/>
      <c r="G577" s="484" t="s">
        <v>681</v>
      </c>
      <c r="H577" s="484"/>
      <c r="I577" s="484"/>
      <c r="J577" s="484"/>
      <c r="K577" s="140" t="s">
        <v>682</v>
      </c>
      <c r="L577" s="141">
        <v>1</v>
      </c>
      <c r="M577" s="27" t="s">
        <v>748</v>
      </c>
      <c r="N577" s="117"/>
    </row>
    <row r="578" spans="1:14" ht="17.25" thickBot="1">
      <c r="A578" s="126" t="str">
        <f t="shared" si="18"/>
        <v>2025/10</v>
      </c>
      <c r="B578" s="127" t="str">
        <f t="shared" si="20"/>
        <v>2025/10站前4樓</v>
      </c>
      <c r="C578" s="138">
        <v>23</v>
      </c>
      <c r="D578" s="139" t="s">
        <v>236</v>
      </c>
      <c r="E578" s="484" t="s">
        <v>299</v>
      </c>
      <c r="F578" s="484"/>
      <c r="G578" s="484" t="s">
        <v>300</v>
      </c>
      <c r="H578" s="484"/>
      <c r="I578" s="484"/>
      <c r="J578" s="484"/>
      <c r="K578" s="140" t="s">
        <v>301</v>
      </c>
      <c r="L578" s="141">
        <v>78</v>
      </c>
      <c r="M578" s="123"/>
      <c r="N578" s="117"/>
    </row>
    <row r="579" spans="1:14" ht="17.25" thickBot="1">
      <c r="A579" s="126" t="str">
        <f t="shared" ref="A579:A641" si="21">IFERROR(LEFT(B579,7),"")</f>
        <v>2025/10</v>
      </c>
      <c r="B579" s="127" t="str">
        <f t="shared" si="20"/>
        <v>2025/10站前4樓</v>
      </c>
      <c r="C579" s="138">
        <v>24</v>
      </c>
      <c r="D579" s="139" t="s">
        <v>236</v>
      </c>
      <c r="E579" s="484" t="s">
        <v>347</v>
      </c>
      <c r="F579" s="484"/>
      <c r="G579" s="484" t="s">
        <v>348</v>
      </c>
      <c r="H579" s="484"/>
      <c r="I579" s="484"/>
      <c r="J579" s="484"/>
      <c r="K579" s="140" t="s">
        <v>301</v>
      </c>
      <c r="L579" s="141">
        <v>23</v>
      </c>
      <c r="M579" s="123"/>
      <c r="N579" s="117"/>
    </row>
    <row r="580" spans="1:14" ht="17.25" thickBot="1">
      <c r="A580" s="126" t="str">
        <f t="shared" si="21"/>
        <v>2025/10</v>
      </c>
      <c r="B580" s="127" t="str">
        <f t="shared" si="20"/>
        <v>2025/10站前4樓</v>
      </c>
      <c r="C580" s="138">
        <v>25</v>
      </c>
      <c r="D580" s="139" t="s">
        <v>236</v>
      </c>
      <c r="E580" s="484" t="s">
        <v>317</v>
      </c>
      <c r="F580" s="484"/>
      <c r="G580" s="484" t="s">
        <v>318</v>
      </c>
      <c r="H580" s="484"/>
      <c r="I580" s="484"/>
      <c r="J580" s="484"/>
      <c r="K580" s="140" t="s">
        <v>319</v>
      </c>
      <c r="L580" s="141">
        <v>35</v>
      </c>
      <c r="M580" s="123"/>
      <c r="N580" s="117"/>
    </row>
    <row r="581" spans="1:14" ht="17.25" thickBot="1">
      <c r="A581" s="126" t="str">
        <f t="shared" si="21"/>
        <v>2025/10</v>
      </c>
      <c r="B581" s="127" t="str">
        <f t="shared" si="20"/>
        <v>2025/10站前4樓</v>
      </c>
      <c r="C581" s="138">
        <v>26</v>
      </c>
      <c r="D581" s="139" t="s">
        <v>236</v>
      </c>
      <c r="E581" s="484" t="s">
        <v>321</v>
      </c>
      <c r="F581" s="484"/>
      <c r="G581" s="484" t="s">
        <v>322</v>
      </c>
      <c r="H581" s="484"/>
      <c r="I581" s="484"/>
      <c r="J581" s="484"/>
      <c r="K581" s="140" t="s">
        <v>275</v>
      </c>
      <c r="L581" s="141">
        <v>221</v>
      </c>
      <c r="M581" s="123"/>
      <c r="N581" s="117"/>
    </row>
    <row r="582" spans="1:14" ht="17.25" thickBot="1">
      <c r="A582" s="126" t="str">
        <f t="shared" si="21"/>
        <v>2025/10</v>
      </c>
      <c r="B582" s="127" t="str">
        <f t="shared" si="20"/>
        <v>2025/10站前4樓</v>
      </c>
      <c r="C582" s="138">
        <v>27</v>
      </c>
      <c r="D582" s="139" t="s">
        <v>236</v>
      </c>
      <c r="E582" s="484" t="s">
        <v>372</v>
      </c>
      <c r="F582" s="484"/>
      <c r="G582" s="484" t="s">
        <v>373</v>
      </c>
      <c r="H582" s="484"/>
      <c r="I582" s="484"/>
      <c r="J582" s="484"/>
      <c r="K582" s="140" t="s">
        <v>278</v>
      </c>
      <c r="L582" s="141">
        <v>67</v>
      </c>
      <c r="M582" s="123"/>
      <c r="N582" s="117"/>
    </row>
    <row r="583" spans="1:14" ht="17.25" thickBot="1">
      <c r="A583" s="126" t="str">
        <f t="shared" si="21"/>
        <v>2025/10</v>
      </c>
      <c r="B583" s="127" t="str">
        <f t="shared" si="20"/>
        <v>2025/10站前4樓</v>
      </c>
      <c r="C583" s="138">
        <v>28</v>
      </c>
      <c r="D583" s="139" t="s">
        <v>236</v>
      </c>
      <c r="E583" s="484" t="s">
        <v>276</v>
      </c>
      <c r="F583" s="484"/>
      <c r="G583" s="484" t="s">
        <v>277</v>
      </c>
      <c r="H583" s="484"/>
      <c r="I583" s="484"/>
      <c r="J583" s="484"/>
      <c r="K583" s="140" t="s">
        <v>278</v>
      </c>
      <c r="L583" s="141">
        <v>19</v>
      </c>
      <c r="M583" s="123"/>
      <c r="N583" s="117"/>
    </row>
    <row r="584" spans="1:14" ht="17.25" thickBot="1">
      <c r="A584" s="126" t="str">
        <f t="shared" si="21"/>
        <v>2025/10</v>
      </c>
      <c r="B584" s="127" t="str">
        <f t="shared" si="20"/>
        <v>2025/10站前4樓</v>
      </c>
      <c r="C584" s="138">
        <v>29</v>
      </c>
      <c r="D584" s="139" t="s">
        <v>236</v>
      </c>
      <c r="E584" s="484" t="s">
        <v>273</v>
      </c>
      <c r="F584" s="484"/>
      <c r="G584" s="484" t="s">
        <v>274</v>
      </c>
      <c r="H584" s="484"/>
      <c r="I584" s="484"/>
      <c r="J584" s="484"/>
      <c r="K584" s="140" t="s">
        <v>275</v>
      </c>
      <c r="L584" s="141">
        <v>74</v>
      </c>
      <c r="M584" s="123"/>
      <c r="N584" s="117"/>
    </row>
    <row r="585" spans="1:14" ht="17.25" thickBot="1">
      <c r="A585" s="126" t="str">
        <f t="shared" si="21"/>
        <v>2025/10</v>
      </c>
      <c r="B585" s="127" t="str">
        <f t="shared" si="20"/>
        <v>2025/10站前4樓</v>
      </c>
      <c r="C585" s="138">
        <v>30</v>
      </c>
      <c r="D585" s="139" t="s">
        <v>236</v>
      </c>
      <c r="E585" s="484" t="s">
        <v>285</v>
      </c>
      <c r="F585" s="484"/>
      <c r="G585" s="484" t="s">
        <v>286</v>
      </c>
      <c r="H585" s="484"/>
      <c r="I585" s="484"/>
      <c r="J585" s="484"/>
      <c r="K585" s="140" t="s">
        <v>287</v>
      </c>
      <c r="L585" s="141">
        <v>14427</v>
      </c>
      <c r="M585" s="123"/>
      <c r="N585" s="117"/>
    </row>
    <row r="586" spans="1:14" ht="17.25" thickBot="1">
      <c r="A586" s="126" t="str">
        <f t="shared" si="21"/>
        <v>2025/10</v>
      </c>
      <c r="B586" s="127" t="str">
        <f t="shared" si="20"/>
        <v>2025/10站前4樓</v>
      </c>
      <c r="C586" s="138">
        <v>31</v>
      </c>
      <c r="D586" s="139" t="s">
        <v>236</v>
      </c>
      <c r="E586" s="484" t="s">
        <v>290</v>
      </c>
      <c r="F586" s="484"/>
      <c r="G586" s="484" t="s">
        <v>291</v>
      </c>
      <c r="H586" s="484"/>
      <c r="I586" s="484"/>
      <c r="J586" s="484"/>
      <c r="K586" s="140" t="s">
        <v>287</v>
      </c>
      <c r="L586" s="141">
        <v>23112</v>
      </c>
      <c r="M586" s="123"/>
      <c r="N586" s="117"/>
    </row>
    <row r="587" spans="1:14" ht="17.25" thickBot="1">
      <c r="A587" s="126" t="str">
        <f t="shared" si="21"/>
        <v>2025/10</v>
      </c>
      <c r="B587" s="127" t="str">
        <f t="shared" si="20"/>
        <v>2025/10站前4樓</v>
      </c>
      <c r="C587" s="138">
        <v>32</v>
      </c>
      <c r="D587" s="139" t="s">
        <v>236</v>
      </c>
      <c r="E587" s="484" t="s">
        <v>292</v>
      </c>
      <c r="F587" s="484"/>
      <c r="G587" s="484" t="s">
        <v>293</v>
      </c>
      <c r="H587" s="484"/>
      <c r="I587" s="484"/>
      <c r="J587" s="484"/>
      <c r="K587" s="140" t="s">
        <v>287</v>
      </c>
      <c r="L587" s="141">
        <v>44631</v>
      </c>
      <c r="M587" s="123"/>
      <c r="N587" s="117"/>
    </row>
    <row r="588" spans="1:14" ht="17.25" thickBot="1">
      <c r="A588" s="126" t="str">
        <f t="shared" si="21"/>
        <v>2025/10</v>
      </c>
      <c r="B588" s="127" t="str">
        <f t="shared" si="20"/>
        <v>2025/10站前4樓</v>
      </c>
      <c r="C588" s="138">
        <v>33</v>
      </c>
      <c r="D588" s="139" t="s">
        <v>236</v>
      </c>
      <c r="E588" s="484" t="s">
        <v>323</v>
      </c>
      <c r="F588" s="484"/>
      <c r="G588" s="484" t="s">
        <v>324</v>
      </c>
      <c r="H588" s="484"/>
      <c r="I588" s="484"/>
      <c r="J588" s="484"/>
      <c r="K588" s="140" t="s">
        <v>325</v>
      </c>
      <c r="L588" s="141">
        <v>11785</v>
      </c>
      <c r="M588" s="123"/>
      <c r="N588" s="117"/>
    </row>
    <row r="589" spans="1:14" ht="17.25" thickBot="1">
      <c r="A589" s="126" t="str">
        <f t="shared" si="21"/>
        <v>2025/10</v>
      </c>
      <c r="B589" s="127" t="str">
        <f t="shared" si="20"/>
        <v>2025/10站前4樓</v>
      </c>
      <c r="C589" s="138">
        <v>34</v>
      </c>
      <c r="D589" s="139" t="s">
        <v>236</v>
      </c>
      <c r="E589" s="484" t="s">
        <v>338</v>
      </c>
      <c r="F589" s="484"/>
      <c r="G589" s="484" t="s">
        <v>339</v>
      </c>
      <c r="H589" s="484"/>
      <c r="I589" s="484"/>
      <c r="J589" s="484"/>
      <c r="K589" s="140" t="s">
        <v>287</v>
      </c>
      <c r="L589" s="141">
        <v>4343</v>
      </c>
      <c r="M589" s="123"/>
      <c r="N589" s="117"/>
    </row>
    <row r="590" spans="1:14" ht="17.25" thickBot="1">
      <c r="A590" s="126" t="str">
        <f t="shared" si="21"/>
        <v>2025/10</v>
      </c>
      <c r="B590" s="127" t="str">
        <f t="shared" si="20"/>
        <v>2025/10站前4樓</v>
      </c>
      <c r="C590" s="138">
        <v>35</v>
      </c>
      <c r="D590" s="139" t="s">
        <v>236</v>
      </c>
      <c r="E590" s="484" t="s">
        <v>326</v>
      </c>
      <c r="F590" s="484"/>
      <c r="G590" s="484" t="s">
        <v>327</v>
      </c>
      <c r="H590" s="484"/>
      <c r="I590" s="484"/>
      <c r="J590" s="484"/>
      <c r="K590" s="140" t="s">
        <v>287</v>
      </c>
      <c r="L590" s="141">
        <v>8851</v>
      </c>
      <c r="M590" s="123"/>
      <c r="N590" s="117"/>
    </row>
    <row r="591" spans="1:14" ht="17.25" thickBot="1">
      <c r="A591" s="126" t="str">
        <f t="shared" si="21"/>
        <v>2025/10</v>
      </c>
      <c r="B591" s="127" t="str">
        <f t="shared" si="20"/>
        <v>2025/10站前4樓</v>
      </c>
      <c r="C591" s="138">
        <v>36</v>
      </c>
      <c r="D591" s="139" t="s">
        <v>236</v>
      </c>
      <c r="E591" s="484" t="s">
        <v>328</v>
      </c>
      <c r="F591" s="484"/>
      <c r="G591" s="484" t="s">
        <v>329</v>
      </c>
      <c r="H591" s="484"/>
      <c r="I591" s="484"/>
      <c r="J591" s="484"/>
      <c r="K591" s="140" t="s">
        <v>287</v>
      </c>
      <c r="L591" s="141">
        <v>17271</v>
      </c>
      <c r="M591" s="123"/>
      <c r="N591" s="117"/>
    </row>
    <row r="592" spans="1:14" ht="17.25" thickBot="1">
      <c r="A592" s="126" t="str">
        <f t="shared" si="21"/>
        <v>2025/10</v>
      </c>
      <c r="B592" s="127" t="str">
        <f t="shared" si="20"/>
        <v>2025/10站前4樓</v>
      </c>
      <c r="C592" s="138">
        <v>37</v>
      </c>
      <c r="D592" s="139" t="s">
        <v>236</v>
      </c>
      <c r="E592" s="484" t="s">
        <v>330</v>
      </c>
      <c r="F592" s="484"/>
      <c r="G592" s="484" t="s">
        <v>331</v>
      </c>
      <c r="H592" s="484"/>
      <c r="I592" s="484"/>
      <c r="J592" s="484"/>
      <c r="K592" s="140" t="s">
        <v>287</v>
      </c>
      <c r="L592" s="141">
        <v>6688</v>
      </c>
      <c r="M592" s="123"/>
      <c r="N592" s="117"/>
    </row>
    <row r="593" spans="1:14" ht="17.25" thickBot="1">
      <c r="A593" s="126" t="str">
        <f t="shared" si="21"/>
        <v>2025/10</v>
      </c>
      <c r="B593" s="127" t="str">
        <f t="shared" si="20"/>
        <v>2025/10站前4樓</v>
      </c>
      <c r="C593" s="138">
        <v>38</v>
      </c>
      <c r="D593" s="139" t="s">
        <v>236</v>
      </c>
      <c r="E593" s="484" t="s">
        <v>302</v>
      </c>
      <c r="F593" s="484"/>
      <c r="G593" s="484" t="s">
        <v>303</v>
      </c>
      <c r="H593" s="484"/>
      <c r="I593" s="484"/>
      <c r="J593" s="484"/>
      <c r="K593" s="140" t="s">
        <v>304</v>
      </c>
      <c r="L593" s="141">
        <v>6151</v>
      </c>
      <c r="M593" s="123"/>
      <c r="N593" s="117"/>
    </row>
    <row r="594" spans="1:14" ht="17.25" thickBot="1">
      <c r="A594" s="126" t="str">
        <f t="shared" si="21"/>
        <v>2025/10</v>
      </c>
      <c r="B594" s="127" t="str">
        <f t="shared" si="20"/>
        <v>2025/10站前4樓</v>
      </c>
      <c r="C594" s="138">
        <v>39</v>
      </c>
      <c r="D594" s="139" t="s">
        <v>236</v>
      </c>
      <c r="E594" s="484" t="s">
        <v>363</v>
      </c>
      <c r="F594" s="484"/>
      <c r="G594" s="484" t="s">
        <v>364</v>
      </c>
      <c r="H594" s="484"/>
      <c r="I594" s="484"/>
      <c r="J594" s="484"/>
      <c r="K594" s="140" t="s">
        <v>365</v>
      </c>
      <c r="L594" s="141">
        <v>17151</v>
      </c>
      <c r="M594" s="123"/>
      <c r="N594" s="117"/>
    </row>
    <row r="595" spans="1:14" ht="17.25" thickBot="1">
      <c r="A595" s="126" t="str">
        <f t="shared" si="21"/>
        <v>2025/10</v>
      </c>
      <c r="B595" s="127" t="str">
        <f t="shared" si="20"/>
        <v>2025/10站前4樓</v>
      </c>
      <c r="C595" s="138">
        <v>40</v>
      </c>
      <c r="D595" s="139" t="s">
        <v>236</v>
      </c>
      <c r="E595" s="484" t="s">
        <v>279</v>
      </c>
      <c r="F595" s="484"/>
      <c r="G595" s="484" t="s">
        <v>280</v>
      </c>
      <c r="H595" s="484"/>
      <c r="I595" s="484"/>
      <c r="J595" s="484"/>
      <c r="K595" s="140" t="s">
        <v>281</v>
      </c>
      <c r="L595" s="141">
        <v>243501</v>
      </c>
      <c r="M595" s="123"/>
      <c r="N595" s="117"/>
    </row>
    <row r="596" spans="1:14" ht="17.25" thickBot="1">
      <c r="A596" s="126" t="str">
        <f t="shared" si="21"/>
        <v>2025/10</v>
      </c>
      <c r="B596" s="127" t="str">
        <f t="shared" si="20"/>
        <v>2025/10站前4樓</v>
      </c>
      <c r="C596" s="138">
        <v>41</v>
      </c>
      <c r="D596" s="139" t="s">
        <v>236</v>
      </c>
      <c r="E596" s="484" t="s">
        <v>288</v>
      </c>
      <c r="F596" s="484"/>
      <c r="G596" s="484" t="s">
        <v>289</v>
      </c>
      <c r="H596" s="484"/>
      <c r="I596" s="484"/>
      <c r="J596" s="484"/>
      <c r="K596" s="140" t="s">
        <v>281</v>
      </c>
      <c r="L596" s="141">
        <v>72200</v>
      </c>
      <c r="M596" s="123"/>
      <c r="N596" s="117"/>
    </row>
    <row r="597" spans="1:14" ht="17.25" thickBot="1">
      <c r="A597" s="126" t="str">
        <f t="shared" si="21"/>
        <v>2025/10</v>
      </c>
      <c r="B597" s="127" t="str">
        <f t="shared" si="20"/>
        <v>2025/10站前4樓</v>
      </c>
      <c r="C597" s="138">
        <v>42</v>
      </c>
      <c r="D597" s="139" t="s">
        <v>236</v>
      </c>
      <c r="E597" s="484" t="s">
        <v>332</v>
      </c>
      <c r="F597" s="484"/>
      <c r="G597" s="484" t="s">
        <v>333</v>
      </c>
      <c r="H597" s="484"/>
      <c r="I597" s="484"/>
      <c r="J597" s="484"/>
      <c r="K597" s="140" t="s">
        <v>334</v>
      </c>
      <c r="L597" s="141">
        <v>15700</v>
      </c>
      <c r="M597" s="123"/>
      <c r="N597" s="117"/>
    </row>
    <row r="598" spans="1:14" ht="17.25" thickBot="1">
      <c r="A598" s="126" t="str">
        <f t="shared" si="21"/>
        <v>2025/10</v>
      </c>
      <c r="B598" s="127" t="str">
        <f t="shared" si="20"/>
        <v>2025/10站前4樓</v>
      </c>
      <c r="C598" s="138">
        <v>43</v>
      </c>
      <c r="D598" s="139" t="s">
        <v>236</v>
      </c>
      <c r="E598" s="484" t="s">
        <v>335</v>
      </c>
      <c r="F598" s="484"/>
      <c r="G598" s="484" t="s">
        <v>336</v>
      </c>
      <c r="H598" s="484"/>
      <c r="I598" s="484"/>
      <c r="J598" s="484"/>
      <c r="K598" s="140" t="s">
        <v>337</v>
      </c>
      <c r="L598" s="141">
        <v>5000</v>
      </c>
      <c r="M598" s="123"/>
      <c r="N598" s="117"/>
    </row>
    <row r="599" spans="1:14" ht="17.25" thickBot="1">
      <c r="A599" s="126" t="str">
        <f t="shared" si="21"/>
        <v>2025/10</v>
      </c>
      <c r="B599" s="127" t="str">
        <f t="shared" si="20"/>
        <v>2025/10站前4樓</v>
      </c>
      <c r="C599" s="138">
        <v>44</v>
      </c>
      <c r="D599" s="139" t="s">
        <v>236</v>
      </c>
      <c r="E599" s="484" t="s">
        <v>447</v>
      </c>
      <c r="F599" s="484"/>
      <c r="G599" s="484" t="s">
        <v>448</v>
      </c>
      <c r="H599" s="484"/>
      <c r="I599" s="484"/>
      <c r="J599" s="484"/>
      <c r="K599" s="140" t="s">
        <v>445</v>
      </c>
      <c r="L599" s="141">
        <v>8</v>
      </c>
      <c r="M599" s="123"/>
      <c r="N599" s="117"/>
    </row>
    <row r="600" spans="1:14" ht="17.25" thickBot="1">
      <c r="A600" s="126" t="str">
        <f t="shared" si="21"/>
        <v>2025/10</v>
      </c>
      <c r="B600" s="127" t="str">
        <f t="shared" si="20"/>
        <v>2025/10站前4樓</v>
      </c>
      <c r="C600" s="138">
        <v>45</v>
      </c>
      <c r="D600" s="139" t="s">
        <v>236</v>
      </c>
      <c r="E600" s="484" t="s">
        <v>351</v>
      </c>
      <c r="F600" s="484"/>
      <c r="G600" s="484" t="s">
        <v>352</v>
      </c>
      <c r="H600" s="484"/>
      <c r="I600" s="484"/>
      <c r="J600" s="484"/>
      <c r="K600" s="140" t="s">
        <v>353</v>
      </c>
      <c r="L600" s="141">
        <v>4</v>
      </c>
      <c r="M600" s="123"/>
      <c r="N600" s="117"/>
    </row>
    <row r="601" spans="1:14" ht="17.25" thickBot="1">
      <c r="A601" s="126" t="str">
        <f t="shared" si="21"/>
        <v>2025/10</v>
      </c>
      <c r="B601" s="127" t="str">
        <f t="shared" si="20"/>
        <v>2025/10站前4樓</v>
      </c>
      <c r="C601" s="138">
        <v>46</v>
      </c>
      <c r="D601" s="139" t="s">
        <v>236</v>
      </c>
      <c r="E601" s="484" t="s">
        <v>357</v>
      </c>
      <c r="F601" s="484"/>
      <c r="G601" s="484" t="s">
        <v>358</v>
      </c>
      <c r="H601" s="484"/>
      <c r="I601" s="484"/>
      <c r="J601" s="484"/>
      <c r="K601" s="140" t="s">
        <v>353</v>
      </c>
      <c r="L601" s="141">
        <v>20</v>
      </c>
      <c r="M601" s="123"/>
      <c r="N601" s="117"/>
    </row>
    <row r="602" spans="1:14" ht="17.25" thickBot="1">
      <c r="A602" s="126" t="str">
        <f t="shared" si="21"/>
        <v>2025/10</v>
      </c>
      <c r="B602" s="127" t="str">
        <f t="shared" si="20"/>
        <v>2025/10站前4樓</v>
      </c>
      <c r="C602" s="138">
        <v>47</v>
      </c>
      <c r="D602" s="139" t="s">
        <v>236</v>
      </c>
      <c r="E602" s="484" t="s">
        <v>340</v>
      </c>
      <c r="F602" s="484"/>
      <c r="G602" s="484" t="s">
        <v>341</v>
      </c>
      <c r="H602" s="484"/>
      <c r="I602" s="484"/>
      <c r="J602" s="484"/>
      <c r="K602" s="140" t="s">
        <v>342</v>
      </c>
      <c r="L602" s="141">
        <v>7</v>
      </c>
      <c r="M602" s="123"/>
      <c r="N602" s="117"/>
    </row>
    <row r="603" spans="1:14" ht="17.25" thickBot="1">
      <c r="A603" s="126" t="str">
        <f t="shared" si="21"/>
        <v>2025/10</v>
      </c>
      <c r="B603" s="127" t="str">
        <f t="shared" si="20"/>
        <v>2025/10站前4樓</v>
      </c>
      <c r="C603" s="138">
        <v>48</v>
      </c>
      <c r="D603" s="139" t="s">
        <v>236</v>
      </c>
      <c r="E603" s="484" t="s">
        <v>683</v>
      </c>
      <c r="F603" s="484"/>
      <c r="G603" s="484" t="s">
        <v>684</v>
      </c>
      <c r="H603" s="484"/>
      <c r="I603" s="484"/>
      <c r="J603" s="484"/>
      <c r="K603" s="140" t="s">
        <v>685</v>
      </c>
      <c r="L603" s="141">
        <v>9</v>
      </c>
      <c r="M603" s="123"/>
      <c r="N603" s="117"/>
    </row>
    <row r="604" spans="1:14" ht="17.25" thickBot="1">
      <c r="A604" s="126" t="str">
        <f t="shared" si="21"/>
        <v>2025/10</v>
      </c>
      <c r="B604" s="127" t="str">
        <f t="shared" si="20"/>
        <v>2025/10站前4樓</v>
      </c>
      <c r="C604" s="138">
        <v>49</v>
      </c>
      <c r="D604" s="139" t="s">
        <v>236</v>
      </c>
      <c r="E604" s="484" t="s">
        <v>686</v>
      </c>
      <c r="F604" s="484"/>
      <c r="G604" s="484" t="s">
        <v>687</v>
      </c>
      <c r="H604" s="484"/>
      <c r="I604" s="484"/>
      <c r="J604" s="484"/>
      <c r="K604" s="140" t="s">
        <v>688</v>
      </c>
      <c r="L604" s="141">
        <v>15</v>
      </c>
      <c r="M604" s="123"/>
      <c r="N604" s="117"/>
    </row>
    <row r="605" spans="1:14" ht="17.25" thickBot="1">
      <c r="A605" s="126" t="str">
        <f t="shared" si="21"/>
        <v>2025/10</v>
      </c>
      <c r="B605" s="127" t="str">
        <f t="shared" si="20"/>
        <v>2025/10站前4樓</v>
      </c>
      <c r="C605" s="138">
        <v>50</v>
      </c>
      <c r="D605" s="139" t="s">
        <v>236</v>
      </c>
      <c r="E605" s="484" t="s">
        <v>354</v>
      </c>
      <c r="F605" s="484"/>
      <c r="G605" s="484" t="s">
        <v>355</v>
      </c>
      <c r="H605" s="484"/>
      <c r="I605" s="484"/>
      <c r="J605" s="484"/>
      <c r="K605" s="140" t="s">
        <v>356</v>
      </c>
      <c r="L605" s="141">
        <v>3</v>
      </c>
      <c r="M605" s="123"/>
      <c r="N605" s="117"/>
    </row>
    <row r="606" spans="1:14" ht="17.25" thickBot="1">
      <c r="A606" s="126" t="str">
        <f t="shared" si="21"/>
        <v>2025/10</v>
      </c>
      <c r="B606" s="127" t="str">
        <f t="shared" si="20"/>
        <v>2025/10站前4樓</v>
      </c>
      <c r="C606" s="138">
        <v>51</v>
      </c>
      <c r="D606" s="139" t="s">
        <v>236</v>
      </c>
      <c r="E606" s="484" t="s">
        <v>368</v>
      </c>
      <c r="F606" s="484"/>
      <c r="G606" s="484" t="s">
        <v>369</v>
      </c>
      <c r="H606" s="484"/>
      <c r="I606" s="484"/>
      <c r="J606" s="484"/>
      <c r="K606" s="140" t="s">
        <v>356</v>
      </c>
      <c r="L606" s="141">
        <v>1</v>
      </c>
      <c r="M606" s="123"/>
      <c r="N606" s="117"/>
    </row>
    <row r="607" spans="1:14" ht="17.25" thickBot="1">
      <c r="A607" s="126" t="str">
        <f t="shared" si="21"/>
        <v>2025/10</v>
      </c>
      <c r="B607" s="127" t="str">
        <f t="shared" si="20"/>
        <v>2025/10站前4樓</v>
      </c>
      <c r="C607" s="138">
        <v>52</v>
      </c>
      <c r="D607" s="139" t="s">
        <v>236</v>
      </c>
      <c r="E607" s="484" t="s">
        <v>425</v>
      </c>
      <c r="F607" s="484"/>
      <c r="G607" s="484" t="s">
        <v>426</v>
      </c>
      <c r="H607" s="484"/>
      <c r="I607" s="484"/>
      <c r="J607" s="484"/>
      <c r="K607" s="140" t="s">
        <v>269</v>
      </c>
      <c r="L607" s="141">
        <v>2</v>
      </c>
      <c r="M607" s="123"/>
      <c r="N607" s="117"/>
    </row>
    <row r="608" spans="1:14" ht="17.25" thickBot="1">
      <c r="A608" s="126" t="str">
        <f t="shared" si="21"/>
        <v>2025/10</v>
      </c>
      <c r="B608" s="127" t="str">
        <f t="shared" si="20"/>
        <v>2025/10站前4樓</v>
      </c>
      <c r="C608" s="138">
        <v>53</v>
      </c>
      <c r="D608" s="139" t="s">
        <v>236</v>
      </c>
      <c r="E608" s="484" t="s">
        <v>309</v>
      </c>
      <c r="F608" s="484"/>
      <c r="G608" s="484" t="s">
        <v>310</v>
      </c>
      <c r="H608" s="484"/>
      <c r="I608" s="484"/>
      <c r="J608" s="484"/>
      <c r="K608" s="140" t="s">
        <v>269</v>
      </c>
      <c r="L608" s="141">
        <v>76</v>
      </c>
      <c r="M608" s="123"/>
      <c r="N608" s="117"/>
    </row>
    <row r="609" spans="1:14" ht="17.25" thickBot="1">
      <c r="A609" s="126" t="str">
        <f t="shared" si="21"/>
        <v>2025/10</v>
      </c>
      <c r="B609" s="127" t="str">
        <f t="shared" si="20"/>
        <v>2025/10站前4樓</v>
      </c>
      <c r="C609" s="138">
        <v>54</v>
      </c>
      <c r="D609" s="139" t="s">
        <v>236</v>
      </c>
      <c r="E609" s="484" t="s">
        <v>267</v>
      </c>
      <c r="F609" s="484"/>
      <c r="G609" s="484" t="s">
        <v>268</v>
      </c>
      <c r="H609" s="484"/>
      <c r="I609" s="484"/>
      <c r="J609" s="484"/>
      <c r="K609" s="140" t="s">
        <v>269</v>
      </c>
      <c r="L609" s="141">
        <v>18</v>
      </c>
      <c r="M609" s="123"/>
      <c r="N609" s="117"/>
    </row>
    <row r="610" spans="1:14" ht="17.25" thickBot="1">
      <c r="A610" s="126" t="str">
        <f t="shared" si="21"/>
        <v>2025/10</v>
      </c>
      <c r="B610" s="127" t="str">
        <f t="shared" si="20"/>
        <v>2025/10站前4樓</v>
      </c>
      <c r="C610" s="138">
        <v>55</v>
      </c>
      <c r="D610" s="139" t="s">
        <v>236</v>
      </c>
      <c r="E610" s="484" t="s">
        <v>297</v>
      </c>
      <c r="F610" s="484"/>
      <c r="G610" s="484" t="s">
        <v>298</v>
      </c>
      <c r="H610" s="484"/>
      <c r="I610" s="484"/>
      <c r="J610" s="484"/>
      <c r="K610" s="140" t="s">
        <v>269</v>
      </c>
      <c r="L610" s="141">
        <v>4</v>
      </c>
      <c r="M610" s="123"/>
      <c r="N610" s="117"/>
    </row>
    <row r="611" spans="1:14" ht="17.25" thickBot="1">
      <c r="A611" s="126" t="str">
        <f t="shared" si="21"/>
        <v>2025/10</v>
      </c>
      <c r="B611" s="127" t="str">
        <f t="shared" si="20"/>
        <v>2025/10站前4樓</v>
      </c>
      <c r="C611" s="138">
        <v>56</v>
      </c>
      <c r="D611" s="139" t="s">
        <v>236</v>
      </c>
      <c r="E611" s="484" t="s">
        <v>315</v>
      </c>
      <c r="F611" s="484"/>
      <c r="G611" s="484" t="s">
        <v>316</v>
      </c>
      <c r="H611" s="484"/>
      <c r="I611" s="484"/>
      <c r="J611" s="484"/>
      <c r="K611" s="140" t="s">
        <v>296</v>
      </c>
      <c r="L611" s="141">
        <v>6</v>
      </c>
      <c r="M611" s="123"/>
      <c r="N611" s="117"/>
    </row>
    <row r="612" spans="1:14" ht="17.25" thickBot="1">
      <c r="A612" s="126" t="str">
        <f t="shared" si="21"/>
        <v>2025/10</v>
      </c>
      <c r="B612" s="127" t="str">
        <f t="shared" si="20"/>
        <v>2025/10站前4樓</v>
      </c>
      <c r="C612" s="138">
        <v>57</v>
      </c>
      <c r="D612" s="139" t="s">
        <v>236</v>
      </c>
      <c r="E612" s="484" t="s">
        <v>294</v>
      </c>
      <c r="F612" s="484"/>
      <c r="G612" s="484" t="s">
        <v>295</v>
      </c>
      <c r="H612" s="484"/>
      <c r="I612" s="484"/>
      <c r="J612" s="484"/>
      <c r="K612" s="140" t="s">
        <v>296</v>
      </c>
      <c r="L612" s="141">
        <v>8</v>
      </c>
      <c r="M612" s="123"/>
      <c r="N612" s="117"/>
    </row>
    <row r="613" spans="1:14" ht="17.25" thickBot="1">
      <c r="A613" s="126" t="str">
        <f t="shared" si="21"/>
        <v>2025/10</v>
      </c>
      <c r="B613" s="127" t="str">
        <f t="shared" si="20"/>
        <v>2025/10站前4樓</v>
      </c>
      <c r="C613" s="138">
        <v>58</v>
      </c>
      <c r="D613" s="139" t="s">
        <v>236</v>
      </c>
      <c r="E613" s="484" t="s">
        <v>237</v>
      </c>
      <c r="F613" s="484"/>
      <c r="G613" s="484" t="s">
        <v>238</v>
      </c>
      <c r="H613" s="484"/>
      <c r="I613" s="484"/>
      <c r="J613" s="484"/>
      <c r="K613" s="140" t="s">
        <v>239</v>
      </c>
      <c r="L613" s="141">
        <v>672</v>
      </c>
      <c r="M613" s="123"/>
      <c r="N613" s="117"/>
    </row>
    <row r="614" spans="1:14" ht="17.25" thickBot="1">
      <c r="A614" s="126" t="str">
        <f t="shared" si="21"/>
        <v>2025/10</v>
      </c>
      <c r="B614" s="127" t="str">
        <f t="shared" si="20"/>
        <v>2025/10站前4樓</v>
      </c>
      <c r="C614" s="138">
        <v>59</v>
      </c>
      <c r="D614" s="139" t="s">
        <v>236</v>
      </c>
      <c r="E614" s="484" t="s">
        <v>240</v>
      </c>
      <c r="F614" s="484"/>
      <c r="G614" s="484" t="s">
        <v>241</v>
      </c>
      <c r="H614" s="484"/>
      <c r="I614" s="484"/>
      <c r="J614" s="484"/>
      <c r="K614" s="140" t="s">
        <v>239</v>
      </c>
      <c r="L614" s="141">
        <v>672</v>
      </c>
      <c r="M614" s="123"/>
      <c r="N614" s="117"/>
    </row>
    <row r="615" spans="1:14" ht="17.25" thickBot="1">
      <c r="A615" s="126" t="str">
        <f t="shared" si="21"/>
        <v>2025/10</v>
      </c>
      <c r="B615" s="127" t="str">
        <f t="shared" si="20"/>
        <v>2025/10站前4樓</v>
      </c>
      <c r="C615" s="138">
        <v>60</v>
      </c>
      <c r="D615" s="139" t="s">
        <v>236</v>
      </c>
      <c r="E615" s="484" t="s">
        <v>242</v>
      </c>
      <c r="F615" s="484"/>
      <c r="G615" s="484" t="s">
        <v>243</v>
      </c>
      <c r="H615" s="484"/>
      <c r="I615" s="484"/>
      <c r="J615" s="484"/>
      <c r="K615" s="140" t="s">
        <v>239</v>
      </c>
      <c r="L615" s="141">
        <v>672</v>
      </c>
      <c r="M615" s="123"/>
      <c r="N615" s="117"/>
    </row>
    <row r="616" spans="1:14" ht="17.25" thickBot="1">
      <c r="A616" s="126" t="str">
        <f t="shared" si="21"/>
        <v>2025/10</v>
      </c>
      <c r="B616" s="127" t="str">
        <f t="shared" si="20"/>
        <v>2025/10站前4樓</v>
      </c>
      <c r="C616" s="138">
        <v>61</v>
      </c>
      <c r="D616" s="139" t="s">
        <v>236</v>
      </c>
      <c r="E616" s="484" t="s">
        <v>244</v>
      </c>
      <c r="F616" s="484"/>
      <c r="G616" s="484" t="s">
        <v>245</v>
      </c>
      <c r="H616" s="484"/>
      <c r="I616" s="484"/>
      <c r="J616" s="484"/>
      <c r="K616" s="140" t="s">
        <v>42</v>
      </c>
      <c r="L616" s="141">
        <v>10080</v>
      </c>
      <c r="M616" s="123"/>
      <c r="N616" s="117"/>
    </row>
    <row r="617" spans="1:14" ht="17.25" thickBot="1">
      <c r="A617" s="126" t="str">
        <f t="shared" si="21"/>
        <v>2025/10</v>
      </c>
      <c r="B617" s="127" t="str">
        <f t="shared" si="20"/>
        <v>2025/10站前4樓</v>
      </c>
      <c r="C617" s="138">
        <v>62</v>
      </c>
      <c r="D617" s="139" t="s">
        <v>236</v>
      </c>
      <c r="E617" s="484" t="s">
        <v>246</v>
      </c>
      <c r="F617" s="484"/>
      <c r="G617" s="484" t="s">
        <v>247</v>
      </c>
      <c r="H617" s="484"/>
      <c r="I617" s="484"/>
      <c r="J617" s="484"/>
      <c r="K617" s="140" t="s">
        <v>42</v>
      </c>
      <c r="L617" s="141">
        <v>10080</v>
      </c>
      <c r="M617" s="123"/>
      <c r="N617" s="117"/>
    </row>
    <row r="618" spans="1:14" ht="17.25" thickBot="1">
      <c r="A618" s="126" t="str">
        <f t="shared" si="21"/>
        <v>2025/10</v>
      </c>
      <c r="B618" s="127" t="str">
        <f t="shared" si="20"/>
        <v>2025/10站前4樓</v>
      </c>
      <c r="C618" s="138">
        <v>63</v>
      </c>
      <c r="D618" s="139" t="s">
        <v>236</v>
      </c>
      <c r="E618" s="484" t="s">
        <v>248</v>
      </c>
      <c r="F618" s="484"/>
      <c r="G618" s="484" t="s">
        <v>249</v>
      </c>
      <c r="H618" s="484"/>
      <c r="I618" s="484"/>
      <c r="J618" s="484"/>
      <c r="K618" s="140" t="s">
        <v>42</v>
      </c>
      <c r="L618" s="141">
        <v>10080</v>
      </c>
      <c r="M618" s="123"/>
      <c r="N618" s="117"/>
    </row>
    <row r="619" spans="1:14" ht="17.25" thickBot="1">
      <c r="A619" s="126" t="str">
        <f t="shared" si="21"/>
        <v>2025/10</v>
      </c>
      <c r="B619" s="127" t="str">
        <f t="shared" si="20"/>
        <v>2025/10站前4樓</v>
      </c>
      <c r="C619" s="138">
        <v>64</v>
      </c>
      <c r="D619" s="139" t="s">
        <v>236</v>
      </c>
      <c r="E619" s="484" t="s">
        <v>250</v>
      </c>
      <c r="F619" s="484"/>
      <c r="G619" s="484" t="s">
        <v>251</v>
      </c>
      <c r="H619" s="484"/>
      <c r="I619" s="484"/>
      <c r="J619" s="484"/>
      <c r="K619" s="140" t="s">
        <v>42</v>
      </c>
      <c r="L619" s="141">
        <v>10080</v>
      </c>
      <c r="M619" s="123"/>
      <c r="N619" s="117"/>
    </row>
    <row r="620" spans="1:14" ht="17.25" thickBot="1">
      <c r="A620" s="126" t="str">
        <f t="shared" si="21"/>
        <v>2025/10</v>
      </c>
      <c r="B620" s="127" t="str">
        <f t="shared" ref="B620:B682" si="22">"2025/10"&amp;D620</f>
        <v>2025/10站前11樓</v>
      </c>
      <c r="C620" s="138">
        <v>65</v>
      </c>
      <c r="D620" s="139" t="s">
        <v>374</v>
      </c>
      <c r="E620" s="484" t="s">
        <v>392</v>
      </c>
      <c r="F620" s="484"/>
      <c r="G620" s="484" t="s">
        <v>393</v>
      </c>
      <c r="H620" s="484"/>
      <c r="I620" s="484"/>
      <c r="J620" s="484"/>
      <c r="K620" s="140" t="s">
        <v>382</v>
      </c>
      <c r="L620" s="141">
        <v>391</v>
      </c>
      <c r="M620" s="123"/>
      <c r="N620" s="117"/>
    </row>
    <row r="621" spans="1:14" ht="17.25" thickBot="1">
      <c r="A621" s="126" t="str">
        <f t="shared" si="21"/>
        <v>2025/10</v>
      </c>
      <c r="B621" s="127" t="str">
        <f t="shared" si="22"/>
        <v>2025/10站前11樓</v>
      </c>
      <c r="C621" s="138">
        <v>66</v>
      </c>
      <c r="D621" s="139" t="s">
        <v>374</v>
      </c>
      <c r="E621" s="484" t="s">
        <v>380</v>
      </c>
      <c r="F621" s="484"/>
      <c r="G621" s="484" t="s">
        <v>381</v>
      </c>
      <c r="H621" s="484"/>
      <c r="I621" s="484"/>
      <c r="J621" s="484"/>
      <c r="K621" s="140" t="s">
        <v>382</v>
      </c>
      <c r="L621" s="141">
        <v>484</v>
      </c>
      <c r="M621" s="123"/>
      <c r="N621" s="117"/>
    </row>
    <row r="622" spans="1:14" ht="17.25" thickBot="1">
      <c r="A622" s="126" t="str">
        <f t="shared" si="21"/>
        <v>2025/10</v>
      </c>
      <c r="B622" s="127" t="str">
        <f t="shared" si="22"/>
        <v>2025/10站前11樓</v>
      </c>
      <c r="C622" s="138">
        <v>67</v>
      </c>
      <c r="D622" s="139" t="s">
        <v>374</v>
      </c>
      <c r="E622" s="484" t="s">
        <v>413</v>
      </c>
      <c r="F622" s="484"/>
      <c r="G622" s="484" t="s">
        <v>674</v>
      </c>
      <c r="H622" s="484"/>
      <c r="I622" s="484"/>
      <c r="J622" s="484"/>
      <c r="K622" s="140" t="s">
        <v>410</v>
      </c>
      <c r="L622" s="141">
        <v>9</v>
      </c>
      <c r="M622" s="123"/>
      <c r="N622" s="117"/>
    </row>
    <row r="623" spans="1:14" ht="17.25" thickBot="1">
      <c r="A623" s="126" t="str">
        <f t="shared" si="21"/>
        <v>2025/10</v>
      </c>
      <c r="B623" s="127" t="str">
        <f t="shared" si="22"/>
        <v>2025/10站前11樓</v>
      </c>
      <c r="C623" s="138">
        <v>68</v>
      </c>
      <c r="D623" s="139" t="s">
        <v>374</v>
      </c>
      <c r="E623" s="484" t="s">
        <v>360</v>
      </c>
      <c r="F623" s="484"/>
      <c r="G623" s="484" t="s">
        <v>361</v>
      </c>
      <c r="H623" s="484"/>
      <c r="I623" s="484"/>
      <c r="J623" s="484"/>
      <c r="K623" s="140" t="s">
        <v>362</v>
      </c>
      <c r="L623" s="141">
        <v>17</v>
      </c>
      <c r="M623" s="123"/>
      <c r="N623" s="117"/>
    </row>
    <row r="624" spans="1:14" ht="17.25" thickBot="1">
      <c r="A624" s="126" t="str">
        <f t="shared" si="21"/>
        <v>2025/10</v>
      </c>
      <c r="B624" s="127" t="str">
        <f t="shared" si="22"/>
        <v>2025/10站前11樓</v>
      </c>
      <c r="C624" s="138">
        <v>69</v>
      </c>
      <c r="D624" s="139" t="s">
        <v>374</v>
      </c>
      <c r="E624" s="484" t="s">
        <v>383</v>
      </c>
      <c r="F624" s="484"/>
      <c r="G624" s="484" t="s">
        <v>384</v>
      </c>
      <c r="H624" s="484"/>
      <c r="I624" s="484"/>
      <c r="J624" s="484"/>
      <c r="K624" s="140" t="s">
        <v>385</v>
      </c>
      <c r="L624" s="141">
        <v>200</v>
      </c>
      <c r="M624" s="123"/>
      <c r="N624" s="117"/>
    </row>
    <row r="625" spans="1:14" ht="17.25" thickBot="1">
      <c r="A625" s="126" t="str">
        <f t="shared" si="21"/>
        <v>2025/10</v>
      </c>
      <c r="B625" s="127" t="str">
        <f t="shared" si="22"/>
        <v>2025/10站前11樓</v>
      </c>
      <c r="C625" s="138">
        <v>70</v>
      </c>
      <c r="D625" s="139" t="s">
        <v>374</v>
      </c>
      <c r="E625" s="484" t="s">
        <v>394</v>
      </c>
      <c r="F625" s="484"/>
      <c r="G625" s="484" t="s">
        <v>395</v>
      </c>
      <c r="H625" s="484"/>
      <c r="I625" s="484"/>
      <c r="J625" s="484"/>
      <c r="K625" s="140" t="s">
        <v>272</v>
      </c>
      <c r="L625" s="141">
        <v>4</v>
      </c>
      <c r="M625" s="123"/>
      <c r="N625" s="117"/>
    </row>
    <row r="626" spans="1:14" ht="17.25" thickBot="1">
      <c r="A626" s="126" t="str">
        <f t="shared" si="21"/>
        <v>2025/10</v>
      </c>
      <c r="B626" s="127" t="str">
        <f t="shared" si="22"/>
        <v>2025/10站前11樓</v>
      </c>
      <c r="C626" s="138">
        <v>71</v>
      </c>
      <c r="D626" s="139" t="s">
        <v>374</v>
      </c>
      <c r="E626" s="484" t="s">
        <v>403</v>
      </c>
      <c r="F626" s="484"/>
      <c r="G626" s="484" t="s">
        <v>404</v>
      </c>
      <c r="H626" s="484"/>
      <c r="I626" s="484"/>
      <c r="J626" s="484"/>
      <c r="K626" s="140" t="s">
        <v>405</v>
      </c>
      <c r="L626" s="141">
        <v>4</v>
      </c>
      <c r="M626" s="123"/>
      <c r="N626" s="117"/>
    </row>
    <row r="627" spans="1:14" ht="17.25" thickBot="1">
      <c r="A627" s="126" t="str">
        <f t="shared" si="21"/>
        <v>2025/10</v>
      </c>
      <c r="B627" s="127" t="str">
        <f t="shared" si="22"/>
        <v>2025/10站前11樓</v>
      </c>
      <c r="C627" s="138">
        <v>72</v>
      </c>
      <c r="D627" s="139" t="s">
        <v>374</v>
      </c>
      <c r="E627" s="484" t="s">
        <v>406</v>
      </c>
      <c r="F627" s="484"/>
      <c r="G627" s="484" t="s">
        <v>407</v>
      </c>
      <c r="H627" s="484"/>
      <c r="I627" s="484"/>
      <c r="J627" s="484"/>
      <c r="K627" s="140" t="s">
        <v>385</v>
      </c>
      <c r="L627" s="141">
        <v>4</v>
      </c>
      <c r="M627" s="123"/>
      <c r="N627" s="117"/>
    </row>
    <row r="628" spans="1:14" ht="17.25" thickBot="1">
      <c r="A628" s="126" t="str">
        <f t="shared" si="21"/>
        <v>2025/10</v>
      </c>
      <c r="B628" s="127" t="str">
        <f t="shared" si="22"/>
        <v>2025/10站前11樓</v>
      </c>
      <c r="C628" s="138">
        <v>73</v>
      </c>
      <c r="D628" s="139" t="s">
        <v>374</v>
      </c>
      <c r="E628" s="484" t="s">
        <v>408</v>
      </c>
      <c r="F628" s="484"/>
      <c r="G628" s="484" t="s">
        <v>409</v>
      </c>
      <c r="H628" s="484"/>
      <c r="I628" s="484"/>
      <c r="J628" s="484"/>
      <c r="K628" s="140" t="s">
        <v>410</v>
      </c>
      <c r="L628" s="141">
        <v>4</v>
      </c>
      <c r="M628" s="123"/>
      <c r="N628" s="117"/>
    </row>
    <row r="629" spans="1:14" ht="17.25" thickBot="1">
      <c r="A629" s="126" t="str">
        <f t="shared" si="21"/>
        <v>2025/10</v>
      </c>
      <c r="B629" s="127" t="str">
        <f t="shared" si="22"/>
        <v>2025/10站前11樓</v>
      </c>
      <c r="C629" s="138">
        <v>74</v>
      </c>
      <c r="D629" s="139" t="s">
        <v>374</v>
      </c>
      <c r="E629" s="484" t="s">
        <v>255</v>
      </c>
      <c r="F629" s="484"/>
      <c r="G629" s="484" t="s">
        <v>256</v>
      </c>
      <c r="H629" s="484"/>
      <c r="I629" s="484"/>
      <c r="J629" s="484"/>
      <c r="K629" s="140" t="s">
        <v>257</v>
      </c>
      <c r="L629" s="141">
        <v>191</v>
      </c>
      <c r="M629" s="123"/>
      <c r="N629" s="117"/>
    </row>
    <row r="630" spans="1:14" ht="17.25" thickBot="1">
      <c r="A630" s="126" t="str">
        <f t="shared" si="21"/>
        <v>2025/10</v>
      </c>
      <c r="B630" s="127" t="str">
        <f t="shared" si="22"/>
        <v>2025/10站前11樓</v>
      </c>
      <c r="C630" s="138">
        <v>75</v>
      </c>
      <c r="D630" s="139" t="s">
        <v>374</v>
      </c>
      <c r="E630" s="484" t="s">
        <v>419</v>
      </c>
      <c r="F630" s="484"/>
      <c r="G630" s="484" t="s">
        <v>420</v>
      </c>
      <c r="H630" s="484"/>
      <c r="I630" s="484"/>
      <c r="J630" s="484"/>
      <c r="K630" s="140" t="s">
        <v>689</v>
      </c>
      <c r="L630" s="141">
        <v>313</v>
      </c>
      <c r="M630" s="123"/>
      <c r="N630" s="117"/>
    </row>
    <row r="631" spans="1:14" ht="17.25" thickBot="1">
      <c r="A631" s="126" t="str">
        <f t="shared" si="21"/>
        <v>2025/10</v>
      </c>
      <c r="B631" s="127" t="str">
        <f t="shared" si="22"/>
        <v>2025/10站前11樓</v>
      </c>
      <c r="C631" s="138">
        <v>76</v>
      </c>
      <c r="D631" s="139" t="s">
        <v>374</v>
      </c>
      <c r="E631" s="484" t="s">
        <v>258</v>
      </c>
      <c r="F631" s="484"/>
      <c r="G631" s="484" t="s">
        <v>259</v>
      </c>
      <c r="H631" s="484"/>
      <c r="I631" s="484"/>
      <c r="J631" s="484"/>
      <c r="K631" s="140"/>
      <c r="L631" s="141">
        <v>19</v>
      </c>
      <c r="M631" s="123"/>
      <c r="N631" s="117"/>
    </row>
    <row r="632" spans="1:14" ht="17.25" thickBot="1">
      <c r="A632" s="126" t="str">
        <f t="shared" si="21"/>
        <v>2025/10</v>
      </c>
      <c r="B632" s="127" t="str">
        <f t="shared" si="22"/>
        <v>2025/10站前11樓</v>
      </c>
      <c r="C632" s="138">
        <v>77</v>
      </c>
      <c r="D632" s="139" t="s">
        <v>374</v>
      </c>
      <c r="E632" s="484" t="s">
        <v>260</v>
      </c>
      <c r="F632" s="484"/>
      <c r="G632" s="484" t="s">
        <v>261</v>
      </c>
      <c r="H632" s="484"/>
      <c r="I632" s="484"/>
      <c r="J632" s="484"/>
      <c r="K632" s="140" t="s">
        <v>254</v>
      </c>
      <c r="L632" s="141">
        <v>19</v>
      </c>
      <c r="M632" s="123"/>
      <c r="N632" s="117"/>
    </row>
    <row r="633" spans="1:14" ht="17.25" thickBot="1">
      <c r="A633" s="126" t="str">
        <f t="shared" si="21"/>
        <v>2025/10</v>
      </c>
      <c r="B633" s="127" t="str">
        <f t="shared" si="22"/>
        <v>2025/10站前11樓</v>
      </c>
      <c r="C633" s="138">
        <v>78</v>
      </c>
      <c r="D633" s="139" t="s">
        <v>374</v>
      </c>
      <c r="E633" s="484" t="s">
        <v>415</v>
      </c>
      <c r="F633" s="484"/>
      <c r="G633" s="484" t="s">
        <v>416</v>
      </c>
      <c r="H633" s="484"/>
      <c r="I633" s="484"/>
      <c r="J633" s="484"/>
      <c r="K633" s="140" t="s">
        <v>254</v>
      </c>
      <c r="L633" s="141">
        <v>1</v>
      </c>
      <c r="M633" s="123"/>
      <c r="N633" s="117"/>
    </row>
    <row r="634" spans="1:14" ht="17.25" thickBot="1">
      <c r="A634" s="126" t="str">
        <f t="shared" si="21"/>
        <v>2025/10</v>
      </c>
      <c r="B634" s="127" t="str">
        <f t="shared" si="22"/>
        <v>2025/10站前11樓</v>
      </c>
      <c r="C634" s="138">
        <v>79</v>
      </c>
      <c r="D634" s="139" t="s">
        <v>374</v>
      </c>
      <c r="E634" s="484" t="s">
        <v>252</v>
      </c>
      <c r="F634" s="484"/>
      <c r="G634" s="484" t="s">
        <v>253</v>
      </c>
      <c r="H634" s="484"/>
      <c r="I634" s="484"/>
      <c r="J634" s="484"/>
      <c r="K634" s="140" t="s">
        <v>254</v>
      </c>
      <c r="L634" s="141">
        <v>19</v>
      </c>
      <c r="M634" s="123"/>
      <c r="N634" s="117"/>
    </row>
    <row r="635" spans="1:14" ht="17.25" thickBot="1">
      <c r="A635" s="126" t="str">
        <f t="shared" si="21"/>
        <v>2025/10</v>
      </c>
      <c r="B635" s="127" t="str">
        <f t="shared" si="22"/>
        <v>2025/10站前11樓</v>
      </c>
      <c r="C635" s="138">
        <v>80</v>
      </c>
      <c r="D635" s="139" t="s">
        <v>374</v>
      </c>
      <c r="E635" s="484" t="s">
        <v>690</v>
      </c>
      <c r="F635" s="484"/>
      <c r="G635" s="484" t="s">
        <v>691</v>
      </c>
      <c r="H635" s="484"/>
      <c r="I635" s="484"/>
      <c r="J635" s="484"/>
      <c r="K635" s="140" t="s">
        <v>692</v>
      </c>
      <c r="L635" s="141">
        <v>4</v>
      </c>
      <c r="M635" s="123"/>
      <c r="N635" s="117"/>
    </row>
    <row r="636" spans="1:14" ht="17.25" thickBot="1">
      <c r="A636" s="126" t="str">
        <f t="shared" si="21"/>
        <v>2025/10</v>
      </c>
      <c r="B636" s="127" t="str">
        <f t="shared" si="22"/>
        <v>2025/10站前11樓</v>
      </c>
      <c r="C636" s="138">
        <v>81</v>
      </c>
      <c r="D636" s="139" t="s">
        <v>374</v>
      </c>
      <c r="E636" s="484" t="s">
        <v>389</v>
      </c>
      <c r="F636" s="484"/>
      <c r="G636" s="484" t="s">
        <v>390</v>
      </c>
      <c r="H636" s="484"/>
      <c r="I636" s="484"/>
      <c r="J636" s="484"/>
      <c r="K636" s="140" t="s">
        <v>391</v>
      </c>
      <c r="L636" s="141">
        <v>42</v>
      </c>
      <c r="M636" s="123"/>
      <c r="N636" s="117"/>
    </row>
    <row r="637" spans="1:14" ht="17.25" thickBot="1">
      <c r="A637" s="126" t="str">
        <f t="shared" si="21"/>
        <v>2025/10</v>
      </c>
      <c r="B637" s="127" t="str">
        <f t="shared" si="22"/>
        <v>2025/10站前11樓</v>
      </c>
      <c r="C637" s="138">
        <v>82</v>
      </c>
      <c r="D637" s="139" t="s">
        <v>374</v>
      </c>
      <c r="E637" s="484" t="s">
        <v>439</v>
      </c>
      <c r="F637" s="484"/>
      <c r="G637" s="484" t="s">
        <v>440</v>
      </c>
      <c r="H637" s="484"/>
      <c r="I637" s="484"/>
      <c r="J637" s="484"/>
      <c r="K637" s="140" t="s">
        <v>145</v>
      </c>
      <c r="L637" s="141">
        <v>6</v>
      </c>
      <c r="M637" s="123"/>
      <c r="N637" s="117"/>
    </row>
    <row r="638" spans="1:14" ht="17.25" thickBot="1">
      <c r="A638" s="126" t="str">
        <f t="shared" si="21"/>
        <v>2025/10</v>
      </c>
      <c r="B638" s="127" t="str">
        <f t="shared" si="22"/>
        <v>2025/10站前11樓</v>
      </c>
      <c r="C638" s="138">
        <v>83</v>
      </c>
      <c r="D638" s="139" t="s">
        <v>374</v>
      </c>
      <c r="E638" s="484" t="s">
        <v>386</v>
      </c>
      <c r="F638" s="484"/>
      <c r="G638" s="484" t="s">
        <v>387</v>
      </c>
      <c r="H638" s="484"/>
      <c r="I638" s="484"/>
      <c r="J638" s="484"/>
      <c r="K638" s="140" t="s">
        <v>388</v>
      </c>
      <c r="L638" s="141">
        <v>1446</v>
      </c>
      <c r="M638" s="123"/>
      <c r="N638" s="117"/>
    </row>
    <row r="639" spans="1:14" ht="17.25" thickBot="1">
      <c r="A639" s="126" t="str">
        <f t="shared" si="21"/>
        <v>2025/10</v>
      </c>
      <c r="B639" s="127" t="str">
        <f t="shared" si="22"/>
        <v>2025/10站前11樓</v>
      </c>
      <c r="C639" s="138">
        <v>84</v>
      </c>
      <c r="D639" s="139" t="s">
        <v>374</v>
      </c>
      <c r="E639" s="484" t="s">
        <v>377</v>
      </c>
      <c r="F639" s="484"/>
      <c r="G639" s="484" t="s">
        <v>378</v>
      </c>
      <c r="H639" s="484"/>
      <c r="I639" s="484"/>
      <c r="J639" s="484"/>
      <c r="K639" s="140" t="s">
        <v>379</v>
      </c>
      <c r="L639" s="141">
        <v>64</v>
      </c>
      <c r="M639" s="123"/>
      <c r="N639" s="117"/>
    </row>
    <row r="640" spans="1:14" ht="17.25" thickBot="1">
      <c r="A640" s="126" t="str">
        <f t="shared" si="21"/>
        <v>2025/10</v>
      </c>
      <c r="B640" s="127" t="str">
        <f t="shared" si="22"/>
        <v>2025/10站前11樓</v>
      </c>
      <c r="C640" s="138">
        <v>85</v>
      </c>
      <c r="D640" s="139" t="s">
        <v>374</v>
      </c>
      <c r="E640" s="484" t="s">
        <v>401</v>
      </c>
      <c r="F640" s="484"/>
      <c r="G640" s="484" t="s">
        <v>402</v>
      </c>
      <c r="H640" s="484"/>
      <c r="I640" s="484"/>
      <c r="J640" s="484"/>
      <c r="K640" s="140" t="s">
        <v>145</v>
      </c>
      <c r="L640" s="141">
        <v>13</v>
      </c>
      <c r="M640" s="123"/>
      <c r="N640" s="117"/>
    </row>
    <row r="641" spans="1:14" ht="17.25" thickBot="1">
      <c r="A641" s="126" t="str">
        <f t="shared" si="21"/>
        <v>2025/10</v>
      </c>
      <c r="B641" s="127" t="str">
        <f t="shared" si="22"/>
        <v>2025/10站前11樓</v>
      </c>
      <c r="C641" s="138">
        <v>86</v>
      </c>
      <c r="D641" s="139" t="s">
        <v>374</v>
      </c>
      <c r="E641" s="484" t="s">
        <v>417</v>
      </c>
      <c r="F641" s="484"/>
      <c r="G641" s="484" t="s">
        <v>418</v>
      </c>
      <c r="H641" s="484"/>
      <c r="I641" s="484"/>
      <c r="J641" s="484"/>
      <c r="K641" s="140" t="s">
        <v>145</v>
      </c>
      <c r="L641" s="141">
        <v>5</v>
      </c>
      <c r="M641" s="123"/>
      <c r="N641" s="117"/>
    </row>
    <row r="642" spans="1:14" ht="17.25" thickBot="1">
      <c r="A642" s="126" t="str">
        <f t="shared" ref="A642:A704" si="23">IFERROR(LEFT(B642,7),"")</f>
        <v>2025/10</v>
      </c>
      <c r="B642" s="127" t="str">
        <f t="shared" si="22"/>
        <v>2025/10站前11樓</v>
      </c>
      <c r="C642" s="138">
        <v>87</v>
      </c>
      <c r="D642" s="139" t="s">
        <v>374</v>
      </c>
      <c r="E642" s="484" t="s">
        <v>451</v>
      </c>
      <c r="F642" s="484"/>
      <c r="G642" s="484" t="s">
        <v>452</v>
      </c>
      <c r="H642" s="484"/>
      <c r="I642" s="484"/>
      <c r="J642" s="484"/>
      <c r="K642" s="140" t="s">
        <v>145</v>
      </c>
      <c r="L642" s="141">
        <v>2</v>
      </c>
      <c r="M642" s="123"/>
      <c r="N642" s="117"/>
    </row>
    <row r="643" spans="1:14" ht="17.25" thickBot="1">
      <c r="A643" s="126" t="str">
        <f t="shared" si="23"/>
        <v>2025/10</v>
      </c>
      <c r="B643" s="127" t="str">
        <f t="shared" si="22"/>
        <v>2025/10站前11樓</v>
      </c>
      <c r="C643" s="138">
        <v>88</v>
      </c>
      <c r="D643" s="139" t="s">
        <v>374</v>
      </c>
      <c r="E643" s="484" t="s">
        <v>411</v>
      </c>
      <c r="F643" s="484"/>
      <c r="G643" s="484" t="s">
        <v>412</v>
      </c>
      <c r="H643" s="484"/>
      <c r="I643" s="484"/>
      <c r="J643" s="484"/>
      <c r="K643" s="140" t="s">
        <v>145</v>
      </c>
      <c r="L643" s="141">
        <v>5</v>
      </c>
      <c r="M643" s="123"/>
      <c r="N643" s="117"/>
    </row>
    <row r="644" spans="1:14" ht="17.25" thickBot="1">
      <c r="A644" s="126" t="str">
        <f t="shared" si="23"/>
        <v>2025/10</v>
      </c>
      <c r="B644" s="127" t="str">
        <f t="shared" si="22"/>
        <v>2025/10站前11樓</v>
      </c>
      <c r="C644" s="138">
        <v>89</v>
      </c>
      <c r="D644" s="139" t="s">
        <v>374</v>
      </c>
      <c r="E644" s="484" t="s">
        <v>422</v>
      </c>
      <c r="F644" s="484"/>
      <c r="G644" s="484" t="s">
        <v>423</v>
      </c>
      <c r="H644" s="484"/>
      <c r="I644" s="484"/>
      <c r="J644" s="484"/>
      <c r="K644" s="140" t="s">
        <v>145</v>
      </c>
      <c r="L644" s="141">
        <v>5</v>
      </c>
      <c r="M644" s="123"/>
      <c r="N644" s="117"/>
    </row>
    <row r="645" spans="1:14" ht="17.25" thickBot="1">
      <c r="A645" s="126" t="str">
        <f t="shared" si="23"/>
        <v>2025/10</v>
      </c>
      <c r="B645" s="127" t="str">
        <f t="shared" si="22"/>
        <v>2025/10站前11樓</v>
      </c>
      <c r="C645" s="138">
        <v>90</v>
      </c>
      <c r="D645" s="139" t="s">
        <v>374</v>
      </c>
      <c r="E645" s="484" t="s">
        <v>431</v>
      </c>
      <c r="F645" s="484"/>
      <c r="G645" s="484" t="s">
        <v>432</v>
      </c>
      <c r="H645" s="484"/>
      <c r="I645" s="484"/>
      <c r="J645" s="484"/>
      <c r="K645" s="140" t="s">
        <v>433</v>
      </c>
      <c r="L645" s="141">
        <v>171</v>
      </c>
      <c r="M645" s="123"/>
      <c r="N645" s="117"/>
    </row>
    <row r="646" spans="1:14" ht="17.25" thickBot="1">
      <c r="A646" s="126" t="str">
        <f t="shared" si="23"/>
        <v>2025/10</v>
      </c>
      <c r="B646" s="127" t="str">
        <f t="shared" si="22"/>
        <v>2025/10站前11樓</v>
      </c>
      <c r="C646" s="138">
        <v>91</v>
      </c>
      <c r="D646" s="139" t="s">
        <v>374</v>
      </c>
      <c r="E646" s="484" t="s">
        <v>693</v>
      </c>
      <c r="F646" s="484"/>
      <c r="G646" s="484" t="s">
        <v>694</v>
      </c>
      <c r="H646" s="484"/>
      <c r="I646" s="484"/>
      <c r="J646" s="484"/>
      <c r="K646" s="140" t="s">
        <v>433</v>
      </c>
      <c r="L646" s="141">
        <v>31</v>
      </c>
      <c r="M646" s="123"/>
      <c r="N646" s="117"/>
    </row>
    <row r="647" spans="1:14" ht="17.25" thickBot="1">
      <c r="A647" s="126" t="str">
        <f t="shared" si="23"/>
        <v>2025/10</v>
      </c>
      <c r="B647" s="127" t="str">
        <f t="shared" si="22"/>
        <v>2025/10忠孝7樓</v>
      </c>
      <c r="C647" s="138">
        <v>92</v>
      </c>
      <c r="D647" s="139" t="s">
        <v>424</v>
      </c>
      <c r="E647" s="484" t="s">
        <v>392</v>
      </c>
      <c r="F647" s="484"/>
      <c r="G647" s="484" t="s">
        <v>393</v>
      </c>
      <c r="H647" s="484"/>
      <c r="I647" s="484"/>
      <c r="J647" s="484"/>
      <c r="K647" s="140" t="s">
        <v>382</v>
      </c>
      <c r="L647" s="141">
        <v>2</v>
      </c>
      <c r="M647" s="123"/>
      <c r="N647" s="117"/>
    </row>
    <row r="648" spans="1:14" ht="17.25" thickBot="1">
      <c r="A648" s="126" t="str">
        <f t="shared" si="23"/>
        <v>2025/10</v>
      </c>
      <c r="B648" s="127" t="str">
        <f t="shared" si="22"/>
        <v>2025/10忠孝7樓</v>
      </c>
      <c r="C648" s="138">
        <v>93</v>
      </c>
      <c r="D648" s="139" t="s">
        <v>424</v>
      </c>
      <c r="E648" s="484" t="s">
        <v>380</v>
      </c>
      <c r="F648" s="484"/>
      <c r="G648" s="484" t="s">
        <v>381</v>
      </c>
      <c r="H648" s="484"/>
      <c r="I648" s="484"/>
      <c r="J648" s="484"/>
      <c r="K648" s="140" t="s">
        <v>382</v>
      </c>
      <c r="L648" s="141">
        <v>2</v>
      </c>
      <c r="M648" s="123"/>
      <c r="N648" s="117"/>
    </row>
    <row r="649" spans="1:14" ht="17.25" thickBot="1">
      <c r="A649" s="126" t="str">
        <f t="shared" si="23"/>
        <v>2025/10</v>
      </c>
      <c r="B649" s="127" t="str">
        <f t="shared" si="22"/>
        <v>2025/10忠孝7樓</v>
      </c>
      <c r="C649" s="138">
        <v>94</v>
      </c>
      <c r="D649" s="139" t="s">
        <v>424</v>
      </c>
      <c r="E649" s="484" t="s">
        <v>413</v>
      </c>
      <c r="F649" s="484"/>
      <c r="G649" s="484" t="s">
        <v>674</v>
      </c>
      <c r="H649" s="484"/>
      <c r="I649" s="484"/>
      <c r="J649" s="484"/>
      <c r="K649" s="140" t="s">
        <v>410</v>
      </c>
      <c r="L649" s="141">
        <v>5</v>
      </c>
      <c r="M649" s="123"/>
      <c r="N649" s="117"/>
    </row>
    <row r="650" spans="1:14" ht="17.25" thickBot="1">
      <c r="A650" s="126" t="str">
        <f t="shared" si="23"/>
        <v>2025/10</v>
      </c>
      <c r="B650" s="127" t="str">
        <f t="shared" si="22"/>
        <v>2025/10忠孝7樓</v>
      </c>
      <c r="C650" s="138">
        <v>95</v>
      </c>
      <c r="D650" s="139" t="s">
        <v>424</v>
      </c>
      <c r="E650" s="484" t="s">
        <v>360</v>
      </c>
      <c r="F650" s="484"/>
      <c r="G650" s="484" t="s">
        <v>361</v>
      </c>
      <c r="H650" s="484"/>
      <c r="I650" s="484"/>
      <c r="J650" s="484"/>
      <c r="K650" s="140" t="s">
        <v>362</v>
      </c>
      <c r="L650" s="141">
        <v>6</v>
      </c>
      <c r="M650" s="123"/>
      <c r="N650" s="117"/>
    </row>
    <row r="651" spans="1:14" ht="17.25" thickBot="1">
      <c r="A651" s="126" t="str">
        <f t="shared" si="23"/>
        <v>2025/10</v>
      </c>
      <c r="B651" s="127" t="str">
        <f t="shared" si="22"/>
        <v>2025/10忠孝7樓</v>
      </c>
      <c r="C651" s="138">
        <v>96</v>
      </c>
      <c r="D651" s="139" t="s">
        <v>424</v>
      </c>
      <c r="E651" s="484" t="s">
        <v>383</v>
      </c>
      <c r="F651" s="484"/>
      <c r="G651" s="484" t="s">
        <v>384</v>
      </c>
      <c r="H651" s="484"/>
      <c r="I651" s="484"/>
      <c r="J651" s="484"/>
      <c r="K651" s="140" t="s">
        <v>385</v>
      </c>
      <c r="L651" s="141">
        <v>8</v>
      </c>
      <c r="M651" s="123"/>
      <c r="N651" s="117"/>
    </row>
    <row r="652" spans="1:14" ht="17.25" thickBot="1">
      <c r="A652" s="126" t="str">
        <f t="shared" si="23"/>
        <v>2025/10</v>
      </c>
      <c r="B652" s="127" t="str">
        <f t="shared" si="22"/>
        <v>2025/10忠孝7樓</v>
      </c>
      <c r="C652" s="138">
        <v>97</v>
      </c>
      <c r="D652" s="139" t="s">
        <v>424</v>
      </c>
      <c r="E652" s="484" t="s">
        <v>255</v>
      </c>
      <c r="F652" s="484"/>
      <c r="G652" s="484" t="s">
        <v>256</v>
      </c>
      <c r="H652" s="484"/>
      <c r="I652" s="484"/>
      <c r="J652" s="484"/>
      <c r="K652" s="140" t="s">
        <v>257</v>
      </c>
      <c r="L652" s="141">
        <v>403</v>
      </c>
      <c r="M652" s="123"/>
      <c r="N652" s="117"/>
    </row>
    <row r="653" spans="1:14" ht="17.25" thickBot="1">
      <c r="A653" s="126" t="str">
        <f t="shared" si="23"/>
        <v>2025/10</v>
      </c>
      <c r="B653" s="127" t="str">
        <f t="shared" si="22"/>
        <v>2025/10忠孝7樓</v>
      </c>
      <c r="C653" s="138">
        <v>98</v>
      </c>
      <c r="D653" s="139" t="s">
        <v>424</v>
      </c>
      <c r="E653" s="484" t="s">
        <v>419</v>
      </c>
      <c r="F653" s="484"/>
      <c r="G653" s="484" t="s">
        <v>420</v>
      </c>
      <c r="H653" s="484"/>
      <c r="I653" s="484"/>
      <c r="J653" s="484"/>
      <c r="K653" s="140" t="s">
        <v>689</v>
      </c>
      <c r="L653" s="141">
        <v>2</v>
      </c>
      <c r="M653" s="123"/>
      <c r="N653" s="117"/>
    </row>
    <row r="654" spans="1:14" ht="17.25" thickBot="1">
      <c r="A654" s="126" t="str">
        <f t="shared" si="23"/>
        <v>2025/10</v>
      </c>
      <c r="B654" s="127" t="str">
        <f t="shared" si="22"/>
        <v>2025/10忠孝7樓</v>
      </c>
      <c r="C654" s="138">
        <v>99</v>
      </c>
      <c r="D654" s="139" t="s">
        <v>424</v>
      </c>
      <c r="E654" s="484" t="s">
        <v>258</v>
      </c>
      <c r="F654" s="484"/>
      <c r="G654" s="484" t="s">
        <v>259</v>
      </c>
      <c r="H654" s="484"/>
      <c r="I654" s="484"/>
      <c r="J654" s="484"/>
      <c r="K654" s="140"/>
      <c r="L654" s="141">
        <v>404</v>
      </c>
      <c r="M654" s="123"/>
      <c r="N654" s="117"/>
    </row>
    <row r="655" spans="1:14" ht="17.25" thickBot="1">
      <c r="A655" s="126" t="str">
        <f t="shared" si="23"/>
        <v>2025/10</v>
      </c>
      <c r="B655" s="127" t="str">
        <f t="shared" si="22"/>
        <v>2025/10忠孝7樓</v>
      </c>
      <c r="C655" s="138">
        <v>100</v>
      </c>
      <c r="D655" s="139" t="s">
        <v>424</v>
      </c>
      <c r="E655" s="484" t="s">
        <v>260</v>
      </c>
      <c r="F655" s="484"/>
      <c r="G655" s="484" t="s">
        <v>261</v>
      </c>
      <c r="H655" s="484"/>
      <c r="I655" s="484"/>
      <c r="J655" s="484"/>
      <c r="K655" s="140" t="s">
        <v>254</v>
      </c>
      <c r="L655" s="141">
        <v>403</v>
      </c>
      <c r="M655" s="123"/>
      <c r="N655" s="117"/>
    </row>
    <row r="656" spans="1:14" ht="17.25" thickBot="1">
      <c r="A656" s="126" t="str">
        <f t="shared" si="23"/>
        <v>2025/10</v>
      </c>
      <c r="B656" s="127" t="str">
        <f t="shared" si="22"/>
        <v>2025/10忠孝7樓</v>
      </c>
      <c r="C656" s="138">
        <v>101</v>
      </c>
      <c r="D656" s="139" t="s">
        <v>424</v>
      </c>
      <c r="E656" s="484" t="s">
        <v>415</v>
      </c>
      <c r="F656" s="484"/>
      <c r="G656" s="484" t="s">
        <v>416</v>
      </c>
      <c r="H656" s="484"/>
      <c r="I656" s="484"/>
      <c r="J656" s="484"/>
      <c r="K656" s="140" t="s">
        <v>254</v>
      </c>
      <c r="L656" s="141">
        <v>1</v>
      </c>
      <c r="M656" s="123"/>
      <c r="N656" s="117"/>
    </row>
    <row r="657" spans="1:14" ht="17.25" thickBot="1">
      <c r="A657" s="126" t="str">
        <f t="shared" si="23"/>
        <v>2025/10</v>
      </c>
      <c r="B657" s="127" t="str">
        <f t="shared" si="22"/>
        <v>2025/10忠孝7樓</v>
      </c>
      <c r="C657" s="138">
        <v>102</v>
      </c>
      <c r="D657" s="139" t="s">
        <v>424</v>
      </c>
      <c r="E657" s="484" t="s">
        <v>262</v>
      </c>
      <c r="F657" s="484"/>
      <c r="G657" s="484" t="s">
        <v>263</v>
      </c>
      <c r="H657" s="484"/>
      <c r="I657" s="484"/>
      <c r="J657" s="484"/>
      <c r="K657" s="140" t="s">
        <v>254</v>
      </c>
      <c r="L657" s="141">
        <v>41</v>
      </c>
      <c r="M657" s="123"/>
      <c r="N657" s="117"/>
    </row>
    <row r="658" spans="1:14" ht="17.25" thickBot="1">
      <c r="A658" s="126" t="str">
        <f t="shared" si="23"/>
        <v>2025/10</v>
      </c>
      <c r="B658" s="127" t="str">
        <f t="shared" si="22"/>
        <v>2025/10忠孝7樓</v>
      </c>
      <c r="C658" s="138">
        <v>103</v>
      </c>
      <c r="D658" s="139" t="s">
        <v>424</v>
      </c>
      <c r="E658" s="484" t="s">
        <v>270</v>
      </c>
      <c r="F658" s="484"/>
      <c r="G658" s="484" t="s">
        <v>271</v>
      </c>
      <c r="H658" s="484"/>
      <c r="I658" s="484"/>
      <c r="J658" s="484"/>
      <c r="K658" s="140" t="s">
        <v>272</v>
      </c>
      <c r="L658" s="141">
        <v>115</v>
      </c>
      <c r="M658" s="123"/>
      <c r="N658" s="117"/>
    </row>
    <row r="659" spans="1:14" ht="17.25" thickBot="1">
      <c r="A659" s="126" t="str">
        <f t="shared" si="23"/>
        <v>2025/10</v>
      </c>
      <c r="B659" s="127" t="str">
        <f t="shared" si="22"/>
        <v>2025/10忠孝7樓</v>
      </c>
      <c r="C659" s="138">
        <v>104</v>
      </c>
      <c r="D659" s="139" t="s">
        <v>424</v>
      </c>
      <c r="E659" s="484" t="s">
        <v>252</v>
      </c>
      <c r="F659" s="484"/>
      <c r="G659" s="484" t="s">
        <v>253</v>
      </c>
      <c r="H659" s="484"/>
      <c r="I659" s="484"/>
      <c r="J659" s="484"/>
      <c r="K659" s="140" t="s">
        <v>254</v>
      </c>
      <c r="L659" s="141">
        <v>405</v>
      </c>
      <c r="M659" s="123"/>
      <c r="N659" s="117"/>
    </row>
    <row r="660" spans="1:14" ht="17.25" thickBot="1">
      <c r="A660" s="126" t="str">
        <f t="shared" si="23"/>
        <v>2025/10</v>
      </c>
      <c r="B660" s="127" t="str">
        <f t="shared" si="22"/>
        <v>2025/10忠孝7樓</v>
      </c>
      <c r="C660" s="138">
        <v>105</v>
      </c>
      <c r="D660" s="139" t="s">
        <v>424</v>
      </c>
      <c r="E660" s="484" t="s">
        <v>695</v>
      </c>
      <c r="F660" s="484"/>
      <c r="G660" s="484" t="s">
        <v>696</v>
      </c>
      <c r="H660" s="484"/>
      <c r="I660" s="484"/>
      <c r="J660" s="484"/>
      <c r="K660" s="140" t="s">
        <v>254</v>
      </c>
      <c r="L660" s="141">
        <v>1</v>
      </c>
      <c r="M660" s="123"/>
      <c r="N660" s="117"/>
    </row>
    <row r="661" spans="1:14" ht="17.25" thickBot="1">
      <c r="A661" s="126" t="str">
        <f t="shared" si="23"/>
        <v>2025/10</v>
      </c>
      <c r="B661" s="127" t="str">
        <f t="shared" si="22"/>
        <v>2025/10忠孝7樓</v>
      </c>
      <c r="C661" s="138">
        <v>106</v>
      </c>
      <c r="D661" s="139" t="s">
        <v>424</v>
      </c>
      <c r="E661" s="484" t="s">
        <v>429</v>
      </c>
      <c r="F661" s="484"/>
      <c r="G661" s="484" t="s">
        <v>430</v>
      </c>
      <c r="H661" s="484"/>
      <c r="I661" s="484"/>
      <c r="J661" s="484"/>
      <c r="K661" s="140" t="s">
        <v>272</v>
      </c>
      <c r="L661" s="141">
        <v>4</v>
      </c>
      <c r="M661" s="123"/>
      <c r="N661" s="117"/>
    </row>
    <row r="662" spans="1:14" ht="17.25" thickBot="1">
      <c r="A662" s="126" t="str">
        <f t="shared" si="23"/>
        <v>2025/10</v>
      </c>
      <c r="B662" s="127" t="str">
        <f t="shared" si="22"/>
        <v>2025/10忠孝7樓</v>
      </c>
      <c r="C662" s="138">
        <v>107</v>
      </c>
      <c r="D662" s="139" t="s">
        <v>424</v>
      </c>
      <c r="E662" s="484" t="s">
        <v>690</v>
      </c>
      <c r="F662" s="484"/>
      <c r="G662" s="484" t="s">
        <v>691</v>
      </c>
      <c r="H662" s="484"/>
      <c r="I662" s="484"/>
      <c r="J662" s="484"/>
      <c r="K662" s="140" t="s">
        <v>692</v>
      </c>
      <c r="L662" s="141">
        <v>1</v>
      </c>
      <c r="M662" s="123"/>
      <c r="N662" s="117"/>
    </row>
    <row r="663" spans="1:14" ht="17.25" thickBot="1">
      <c r="A663" s="126" t="str">
        <f t="shared" si="23"/>
        <v>2025/10</v>
      </c>
      <c r="B663" s="127" t="str">
        <f t="shared" si="22"/>
        <v>2025/10忠孝7樓</v>
      </c>
      <c r="C663" s="138">
        <v>108</v>
      </c>
      <c r="D663" s="139" t="s">
        <v>424</v>
      </c>
      <c r="E663" s="484" t="s">
        <v>305</v>
      </c>
      <c r="F663" s="484"/>
      <c r="G663" s="484" t="s">
        <v>675</v>
      </c>
      <c r="H663" s="484"/>
      <c r="I663" s="484"/>
      <c r="J663" s="484"/>
      <c r="K663" s="140" t="s">
        <v>676</v>
      </c>
      <c r="L663" s="141">
        <v>4021</v>
      </c>
      <c r="M663" s="123"/>
      <c r="N663" s="117"/>
    </row>
    <row r="664" spans="1:14" ht="17.25" thickBot="1">
      <c r="A664" s="126" t="str">
        <f t="shared" si="23"/>
        <v>2025/10</v>
      </c>
      <c r="B664" s="127" t="str">
        <f t="shared" si="22"/>
        <v>2025/10忠孝7樓</v>
      </c>
      <c r="C664" s="138">
        <v>109</v>
      </c>
      <c r="D664" s="139" t="s">
        <v>424</v>
      </c>
      <c r="E664" s="484" t="s">
        <v>264</v>
      </c>
      <c r="F664" s="484"/>
      <c r="G664" s="484" t="s">
        <v>677</v>
      </c>
      <c r="H664" s="484"/>
      <c r="I664" s="484"/>
      <c r="J664" s="484"/>
      <c r="K664" s="140" t="s">
        <v>678</v>
      </c>
      <c r="L664" s="141">
        <v>5960</v>
      </c>
      <c r="M664" s="123"/>
      <c r="N664" s="117"/>
    </row>
    <row r="665" spans="1:14" ht="17.25" thickBot="1">
      <c r="A665" s="126" t="str">
        <f t="shared" si="23"/>
        <v>2025/10</v>
      </c>
      <c r="B665" s="127" t="str">
        <f t="shared" si="22"/>
        <v>2025/10忠孝7樓</v>
      </c>
      <c r="C665" s="138">
        <v>110</v>
      </c>
      <c r="D665" s="139" t="s">
        <v>424</v>
      </c>
      <c r="E665" s="484" t="s">
        <v>307</v>
      </c>
      <c r="F665" s="484"/>
      <c r="G665" s="484" t="s">
        <v>679</v>
      </c>
      <c r="H665" s="484"/>
      <c r="I665" s="484"/>
      <c r="J665" s="484"/>
      <c r="K665" s="140" t="s">
        <v>678</v>
      </c>
      <c r="L665" s="141">
        <v>1359</v>
      </c>
      <c r="M665" s="123"/>
      <c r="N665" s="117"/>
    </row>
    <row r="666" spans="1:14" ht="17.25" thickBot="1">
      <c r="A666" s="126" t="str">
        <f t="shared" si="23"/>
        <v>2025/10</v>
      </c>
      <c r="B666" s="127" t="str">
        <f t="shared" si="22"/>
        <v>2025/10忠孝7樓</v>
      </c>
      <c r="C666" s="138">
        <v>111</v>
      </c>
      <c r="D666" s="139" t="s">
        <v>424</v>
      </c>
      <c r="E666" s="484" t="s">
        <v>313</v>
      </c>
      <c r="F666" s="484"/>
      <c r="G666" s="484" t="s">
        <v>314</v>
      </c>
      <c r="H666" s="484"/>
      <c r="I666" s="484"/>
      <c r="J666" s="484"/>
      <c r="K666" s="140" t="s">
        <v>301</v>
      </c>
      <c r="L666" s="141">
        <v>73</v>
      </c>
      <c r="M666" s="123"/>
      <c r="N666" s="117"/>
    </row>
    <row r="667" spans="1:14" ht="17.25" thickBot="1">
      <c r="A667" s="126" t="str">
        <f t="shared" si="23"/>
        <v>2025/10</v>
      </c>
      <c r="B667" s="127" t="str">
        <f t="shared" si="22"/>
        <v>2025/10忠孝7樓</v>
      </c>
      <c r="C667" s="138">
        <v>112</v>
      </c>
      <c r="D667" s="139" t="s">
        <v>424</v>
      </c>
      <c r="E667" s="484" t="s">
        <v>343</v>
      </c>
      <c r="F667" s="484"/>
      <c r="G667" s="484" t="s">
        <v>344</v>
      </c>
      <c r="H667" s="484"/>
      <c r="I667" s="484"/>
      <c r="J667" s="484"/>
      <c r="K667" s="140" t="s">
        <v>301</v>
      </c>
      <c r="L667" s="141">
        <v>5</v>
      </c>
      <c r="M667" s="123"/>
      <c r="N667" s="117"/>
    </row>
    <row r="668" spans="1:14" ht="17.25" thickBot="1">
      <c r="A668" s="126" t="str">
        <f t="shared" si="23"/>
        <v>2025/10</v>
      </c>
      <c r="B668" s="127" t="str">
        <f t="shared" si="22"/>
        <v>2025/10忠孝7樓</v>
      </c>
      <c r="C668" s="138">
        <v>113</v>
      </c>
      <c r="D668" s="139" t="s">
        <v>424</v>
      </c>
      <c r="E668" s="484" t="s">
        <v>427</v>
      </c>
      <c r="F668" s="484"/>
      <c r="G668" s="484" t="s">
        <v>428</v>
      </c>
      <c r="H668" s="484"/>
      <c r="I668" s="484"/>
      <c r="J668" s="484"/>
      <c r="K668" s="140" t="s">
        <v>301</v>
      </c>
      <c r="L668" s="141">
        <v>4</v>
      </c>
      <c r="M668" s="123"/>
      <c r="N668" s="117"/>
    </row>
    <row r="669" spans="1:14" ht="17.25" thickBot="1">
      <c r="A669" s="126" t="str">
        <f t="shared" si="23"/>
        <v>2025/10</v>
      </c>
      <c r="B669" s="127" t="str">
        <f t="shared" si="22"/>
        <v>2025/10忠孝7樓</v>
      </c>
      <c r="C669" s="138">
        <v>114</v>
      </c>
      <c r="D669" s="139" t="s">
        <v>424</v>
      </c>
      <c r="E669" s="484" t="s">
        <v>349</v>
      </c>
      <c r="F669" s="484"/>
      <c r="G669" s="484" t="s">
        <v>350</v>
      </c>
      <c r="H669" s="484"/>
      <c r="I669" s="484"/>
      <c r="J669" s="484"/>
      <c r="K669" s="140" t="s">
        <v>301</v>
      </c>
      <c r="L669" s="141">
        <v>21</v>
      </c>
      <c r="M669" s="123"/>
      <c r="N669" s="117"/>
    </row>
    <row r="670" spans="1:14" ht="17.25" thickBot="1">
      <c r="A670" s="126" t="str">
        <f t="shared" si="23"/>
        <v>2025/10</v>
      </c>
      <c r="B670" s="127" t="str">
        <f t="shared" si="22"/>
        <v>2025/10忠孝7樓</v>
      </c>
      <c r="C670" s="138">
        <v>115</v>
      </c>
      <c r="D670" s="139" t="s">
        <v>424</v>
      </c>
      <c r="E670" s="484" t="s">
        <v>366</v>
      </c>
      <c r="F670" s="484"/>
      <c r="G670" s="484" t="s">
        <v>367</v>
      </c>
      <c r="H670" s="484"/>
      <c r="I670" s="484"/>
      <c r="J670" s="484"/>
      <c r="K670" s="140" t="s">
        <v>301</v>
      </c>
      <c r="L670" s="141">
        <v>1</v>
      </c>
      <c r="M670" s="123"/>
      <c r="N670" s="117"/>
    </row>
    <row r="671" spans="1:14" ht="17.25" thickBot="1">
      <c r="A671" s="126" t="str">
        <f t="shared" si="23"/>
        <v>2025/10</v>
      </c>
      <c r="B671" s="127" t="str">
        <f t="shared" si="22"/>
        <v>2025/10忠孝7樓</v>
      </c>
      <c r="C671" s="138">
        <v>116</v>
      </c>
      <c r="D671" s="139" t="s">
        <v>424</v>
      </c>
      <c r="E671" s="484" t="s">
        <v>282</v>
      </c>
      <c r="F671" s="484"/>
      <c r="G671" s="484" t="s">
        <v>283</v>
      </c>
      <c r="H671" s="484"/>
      <c r="I671" s="484"/>
      <c r="J671" s="484"/>
      <c r="K671" s="140" t="s">
        <v>284</v>
      </c>
      <c r="L671" s="141">
        <v>47</v>
      </c>
      <c r="M671" s="123"/>
      <c r="N671" s="117"/>
    </row>
    <row r="672" spans="1:14" ht="17.25" thickBot="1">
      <c r="A672" s="126" t="str">
        <f t="shared" si="23"/>
        <v>2025/10</v>
      </c>
      <c r="B672" s="127" t="str">
        <f t="shared" si="22"/>
        <v>2025/10忠孝7樓</v>
      </c>
      <c r="C672" s="138">
        <v>117</v>
      </c>
      <c r="D672" s="139" t="s">
        <v>424</v>
      </c>
      <c r="E672" s="484" t="s">
        <v>345</v>
      </c>
      <c r="F672" s="484"/>
      <c r="G672" s="484" t="s">
        <v>346</v>
      </c>
      <c r="H672" s="484"/>
      <c r="I672" s="484"/>
      <c r="J672" s="484"/>
      <c r="K672" s="140" t="s">
        <v>284</v>
      </c>
      <c r="L672" s="141">
        <v>5</v>
      </c>
      <c r="M672" s="123"/>
      <c r="N672" s="117"/>
    </row>
    <row r="673" spans="1:14" ht="17.25" thickBot="1">
      <c r="A673" s="126" t="str">
        <f t="shared" si="23"/>
        <v>2025/10</v>
      </c>
      <c r="B673" s="127" t="str">
        <f t="shared" si="22"/>
        <v>2025/10忠孝7樓</v>
      </c>
      <c r="C673" s="138">
        <v>118</v>
      </c>
      <c r="D673" s="139" t="s">
        <v>424</v>
      </c>
      <c r="E673" s="484" t="s">
        <v>311</v>
      </c>
      <c r="F673" s="484"/>
      <c r="G673" s="484" t="s">
        <v>312</v>
      </c>
      <c r="H673" s="484"/>
      <c r="I673" s="484"/>
      <c r="J673" s="484"/>
      <c r="K673" s="140" t="s">
        <v>284</v>
      </c>
      <c r="L673" s="141">
        <v>36</v>
      </c>
      <c r="M673" s="123"/>
      <c r="N673" s="117"/>
    </row>
    <row r="674" spans="1:14" ht="17.25" thickBot="1">
      <c r="A674" s="126" t="str">
        <f t="shared" si="23"/>
        <v>2025/10</v>
      </c>
      <c r="B674" s="127" t="str">
        <f t="shared" si="22"/>
        <v>2025/10忠孝7樓</v>
      </c>
      <c r="C674" s="138">
        <v>119</v>
      </c>
      <c r="D674" s="139" t="s">
        <v>424</v>
      </c>
      <c r="E674" s="484" t="s">
        <v>299</v>
      </c>
      <c r="F674" s="484"/>
      <c r="G674" s="484" t="s">
        <v>300</v>
      </c>
      <c r="H674" s="484"/>
      <c r="I674" s="484"/>
      <c r="J674" s="484"/>
      <c r="K674" s="140" t="s">
        <v>301</v>
      </c>
      <c r="L674" s="141">
        <v>81</v>
      </c>
      <c r="M674" s="123"/>
      <c r="N674" s="117"/>
    </row>
    <row r="675" spans="1:14" ht="17.25" thickBot="1">
      <c r="A675" s="126" t="str">
        <f t="shared" si="23"/>
        <v>2025/10</v>
      </c>
      <c r="B675" s="127" t="str">
        <f t="shared" si="22"/>
        <v>2025/10忠孝7樓</v>
      </c>
      <c r="C675" s="138">
        <v>120</v>
      </c>
      <c r="D675" s="139" t="s">
        <v>424</v>
      </c>
      <c r="E675" s="484" t="s">
        <v>347</v>
      </c>
      <c r="F675" s="484"/>
      <c r="G675" s="484" t="s">
        <v>348</v>
      </c>
      <c r="H675" s="484"/>
      <c r="I675" s="484"/>
      <c r="J675" s="484"/>
      <c r="K675" s="140" t="s">
        <v>301</v>
      </c>
      <c r="L675" s="141">
        <v>13</v>
      </c>
      <c r="M675" s="123"/>
      <c r="N675" s="117"/>
    </row>
    <row r="676" spans="1:14" ht="17.25" thickBot="1">
      <c r="A676" s="126" t="str">
        <f t="shared" si="23"/>
        <v>2025/10</v>
      </c>
      <c r="B676" s="127" t="str">
        <f t="shared" si="22"/>
        <v>2025/10忠孝7樓</v>
      </c>
      <c r="C676" s="138">
        <v>121</v>
      </c>
      <c r="D676" s="139" t="s">
        <v>424</v>
      </c>
      <c r="E676" s="484" t="s">
        <v>317</v>
      </c>
      <c r="F676" s="484"/>
      <c r="G676" s="484" t="s">
        <v>318</v>
      </c>
      <c r="H676" s="484"/>
      <c r="I676" s="484"/>
      <c r="J676" s="484"/>
      <c r="K676" s="140" t="s">
        <v>319</v>
      </c>
      <c r="L676" s="141">
        <v>19</v>
      </c>
      <c r="M676" s="123"/>
      <c r="N676" s="117"/>
    </row>
    <row r="677" spans="1:14" ht="17.25" thickBot="1">
      <c r="A677" s="126" t="str">
        <f t="shared" si="23"/>
        <v>2025/10</v>
      </c>
      <c r="B677" s="127" t="str">
        <f t="shared" si="22"/>
        <v>2025/10忠孝7樓</v>
      </c>
      <c r="C677" s="138">
        <v>122</v>
      </c>
      <c r="D677" s="139" t="s">
        <v>424</v>
      </c>
      <c r="E677" s="484" t="s">
        <v>321</v>
      </c>
      <c r="F677" s="484"/>
      <c r="G677" s="484" t="s">
        <v>322</v>
      </c>
      <c r="H677" s="484"/>
      <c r="I677" s="484"/>
      <c r="J677" s="484"/>
      <c r="K677" s="140" t="s">
        <v>275</v>
      </c>
      <c r="L677" s="141">
        <v>441</v>
      </c>
      <c r="M677" s="123"/>
      <c r="N677" s="117"/>
    </row>
    <row r="678" spans="1:14" ht="17.25" thickBot="1">
      <c r="A678" s="126" t="str">
        <f t="shared" si="23"/>
        <v>2025/10</v>
      </c>
      <c r="B678" s="127" t="str">
        <f t="shared" si="22"/>
        <v>2025/10忠孝7樓</v>
      </c>
      <c r="C678" s="138">
        <v>123</v>
      </c>
      <c r="D678" s="139" t="s">
        <v>424</v>
      </c>
      <c r="E678" s="484" t="s">
        <v>372</v>
      </c>
      <c r="F678" s="484"/>
      <c r="G678" s="484" t="s">
        <v>373</v>
      </c>
      <c r="H678" s="484"/>
      <c r="I678" s="484"/>
      <c r="J678" s="484"/>
      <c r="K678" s="140" t="s">
        <v>278</v>
      </c>
      <c r="L678" s="141">
        <v>6</v>
      </c>
      <c r="M678" s="123"/>
      <c r="N678" s="117"/>
    </row>
    <row r="679" spans="1:14" ht="17.25" thickBot="1">
      <c r="A679" s="126" t="str">
        <f t="shared" si="23"/>
        <v>2025/10</v>
      </c>
      <c r="B679" s="127" t="str">
        <f t="shared" si="22"/>
        <v>2025/10忠孝7樓</v>
      </c>
      <c r="C679" s="138">
        <v>124</v>
      </c>
      <c r="D679" s="139" t="s">
        <v>424</v>
      </c>
      <c r="E679" s="484" t="s">
        <v>276</v>
      </c>
      <c r="F679" s="484"/>
      <c r="G679" s="484" t="s">
        <v>277</v>
      </c>
      <c r="H679" s="484"/>
      <c r="I679" s="484"/>
      <c r="J679" s="484"/>
      <c r="K679" s="140" t="s">
        <v>278</v>
      </c>
      <c r="L679" s="141">
        <v>51</v>
      </c>
      <c r="M679" s="123"/>
      <c r="N679" s="117"/>
    </row>
    <row r="680" spans="1:14" ht="17.25" thickBot="1">
      <c r="A680" s="126" t="str">
        <f t="shared" si="23"/>
        <v>2025/10</v>
      </c>
      <c r="B680" s="127" t="str">
        <f t="shared" si="22"/>
        <v>2025/10忠孝7樓</v>
      </c>
      <c r="C680" s="138">
        <v>125</v>
      </c>
      <c r="D680" s="139" t="s">
        <v>424</v>
      </c>
      <c r="E680" s="484" t="s">
        <v>273</v>
      </c>
      <c r="F680" s="484"/>
      <c r="G680" s="484" t="s">
        <v>274</v>
      </c>
      <c r="H680" s="484"/>
      <c r="I680" s="484"/>
      <c r="J680" s="484"/>
      <c r="K680" s="140" t="s">
        <v>275</v>
      </c>
      <c r="L680" s="141">
        <v>40</v>
      </c>
      <c r="M680" s="123"/>
      <c r="N680" s="117"/>
    </row>
    <row r="681" spans="1:14" ht="17.25" thickBot="1">
      <c r="A681" s="126" t="str">
        <f t="shared" si="23"/>
        <v>2025/10</v>
      </c>
      <c r="B681" s="127" t="str">
        <f t="shared" si="22"/>
        <v>2025/10忠孝7樓</v>
      </c>
      <c r="C681" s="138">
        <v>126</v>
      </c>
      <c r="D681" s="139" t="s">
        <v>424</v>
      </c>
      <c r="E681" s="484" t="s">
        <v>285</v>
      </c>
      <c r="F681" s="484"/>
      <c r="G681" s="484" t="s">
        <v>286</v>
      </c>
      <c r="H681" s="484"/>
      <c r="I681" s="484"/>
      <c r="J681" s="484"/>
      <c r="K681" s="140" t="s">
        <v>287</v>
      </c>
      <c r="L681" s="141">
        <v>12080</v>
      </c>
      <c r="M681" s="123"/>
      <c r="N681" s="117"/>
    </row>
    <row r="682" spans="1:14" ht="17.25" thickBot="1">
      <c r="A682" s="126" t="str">
        <f t="shared" si="23"/>
        <v>2025/10</v>
      </c>
      <c r="B682" s="127" t="str">
        <f t="shared" si="22"/>
        <v>2025/10忠孝7樓</v>
      </c>
      <c r="C682" s="138">
        <v>127</v>
      </c>
      <c r="D682" s="139" t="s">
        <v>424</v>
      </c>
      <c r="E682" s="484" t="s">
        <v>290</v>
      </c>
      <c r="F682" s="484"/>
      <c r="G682" s="484" t="s">
        <v>291</v>
      </c>
      <c r="H682" s="484"/>
      <c r="I682" s="484"/>
      <c r="J682" s="484"/>
      <c r="K682" s="140" t="s">
        <v>287</v>
      </c>
      <c r="L682" s="141">
        <v>36263</v>
      </c>
      <c r="M682" s="123"/>
      <c r="N682" s="117"/>
    </row>
    <row r="683" spans="1:14" ht="17.25" thickBot="1">
      <c r="A683" s="126" t="str">
        <f t="shared" si="23"/>
        <v>2025/10</v>
      </c>
      <c r="B683" s="127" t="str">
        <f t="shared" ref="B683:B741" si="24">"2025/10"&amp;D683</f>
        <v>2025/10忠孝7樓</v>
      </c>
      <c r="C683" s="138">
        <v>128</v>
      </c>
      <c r="D683" s="139" t="s">
        <v>424</v>
      </c>
      <c r="E683" s="484" t="s">
        <v>292</v>
      </c>
      <c r="F683" s="484"/>
      <c r="G683" s="484" t="s">
        <v>293</v>
      </c>
      <c r="H683" s="484"/>
      <c r="I683" s="484"/>
      <c r="J683" s="484"/>
      <c r="K683" s="140" t="s">
        <v>287</v>
      </c>
      <c r="L683" s="141">
        <v>66570</v>
      </c>
      <c r="M683" s="123"/>
      <c r="N683" s="117"/>
    </row>
    <row r="684" spans="1:14" ht="17.25" thickBot="1">
      <c r="A684" s="126" t="str">
        <f t="shared" si="23"/>
        <v>2025/10</v>
      </c>
      <c r="B684" s="127" t="str">
        <f t="shared" si="24"/>
        <v>2025/10忠孝7樓</v>
      </c>
      <c r="C684" s="138">
        <v>129</v>
      </c>
      <c r="D684" s="139" t="s">
        <v>424</v>
      </c>
      <c r="E684" s="484" t="s">
        <v>323</v>
      </c>
      <c r="F684" s="484"/>
      <c r="G684" s="484" t="s">
        <v>324</v>
      </c>
      <c r="H684" s="484"/>
      <c r="I684" s="484"/>
      <c r="J684" s="484"/>
      <c r="K684" s="140" t="s">
        <v>325</v>
      </c>
      <c r="L684" s="141">
        <v>13796</v>
      </c>
      <c r="M684" s="123"/>
      <c r="N684" s="117"/>
    </row>
    <row r="685" spans="1:14" ht="17.25" thickBot="1">
      <c r="A685" s="126" t="str">
        <f t="shared" si="23"/>
        <v>2025/10</v>
      </c>
      <c r="B685" s="127" t="str">
        <f t="shared" si="24"/>
        <v>2025/10忠孝7樓</v>
      </c>
      <c r="C685" s="138">
        <v>130</v>
      </c>
      <c r="D685" s="139" t="s">
        <v>424</v>
      </c>
      <c r="E685" s="484" t="s">
        <v>359</v>
      </c>
      <c r="F685" s="484"/>
      <c r="G685" s="484" t="s">
        <v>138</v>
      </c>
      <c r="H685" s="484"/>
      <c r="I685" s="484"/>
      <c r="J685" s="484"/>
      <c r="K685" s="140" t="s">
        <v>146</v>
      </c>
      <c r="L685" s="141">
        <v>21</v>
      </c>
      <c r="M685" s="123"/>
      <c r="N685" s="117"/>
    </row>
    <row r="686" spans="1:14" ht="17.25" thickBot="1">
      <c r="A686" s="126" t="str">
        <f t="shared" si="23"/>
        <v>2025/10</v>
      </c>
      <c r="B686" s="127" t="str">
        <f t="shared" si="24"/>
        <v>2025/10忠孝7樓</v>
      </c>
      <c r="C686" s="138">
        <v>131</v>
      </c>
      <c r="D686" s="139" t="s">
        <v>424</v>
      </c>
      <c r="E686" s="484" t="s">
        <v>320</v>
      </c>
      <c r="F686" s="484"/>
      <c r="G686" s="484" t="s">
        <v>135</v>
      </c>
      <c r="H686" s="484"/>
      <c r="I686" s="484"/>
      <c r="J686" s="484"/>
      <c r="K686" s="140" t="s">
        <v>146</v>
      </c>
      <c r="L686" s="141">
        <v>16</v>
      </c>
      <c r="M686" s="123"/>
      <c r="N686" s="117"/>
    </row>
    <row r="687" spans="1:14" ht="17.25" thickBot="1">
      <c r="A687" s="126" t="str">
        <f t="shared" si="23"/>
        <v>2025/10</v>
      </c>
      <c r="B687" s="127" t="str">
        <f t="shared" si="24"/>
        <v>2025/10忠孝7樓</v>
      </c>
      <c r="C687" s="138">
        <v>132</v>
      </c>
      <c r="D687" s="139" t="s">
        <v>424</v>
      </c>
      <c r="E687" s="484" t="s">
        <v>338</v>
      </c>
      <c r="F687" s="484"/>
      <c r="G687" s="484" t="s">
        <v>339</v>
      </c>
      <c r="H687" s="484"/>
      <c r="I687" s="484"/>
      <c r="J687" s="484"/>
      <c r="K687" s="140" t="s">
        <v>287</v>
      </c>
      <c r="L687" s="141">
        <v>11549</v>
      </c>
      <c r="M687" s="123"/>
      <c r="N687" s="117"/>
    </row>
    <row r="688" spans="1:14" ht="17.25" thickBot="1">
      <c r="A688" s="126" t="str">
        <f t="shared" si="23"/>
        <v>2025/10</v>
      </c>
      <c r="B688" s="127" t="str">
        <f t="shared" si="24"/>
        <v>2025/10忠孝7樓</v>
      </c>
      <c r="C688" s="138">
        <v>133</v>
      </c>
      <c r="D688" s="139" t="s">
        <v>424</v>
      </c>
      <c r="E688" s="484" t="s">
        <v>326</v>
      </c>
      <c r="F688" s="484"/>
      <c r="G688" s="484" t="s">
        <v>327</v>
      </c>
      <c r="H688" s="484"/>
      <c r="I688" s="484"/>
      <c r="J688" s="484"/>
      <c r="K688" s="140" t="s">
        <v>287</v>
      </c>
      <c r="L688" s="141">
        <v>21823</v>
      </c>
      <c r="M688" s="123"/>
      <c r="N688" s="117"/>
    </row>
    <row r="689" spans="1:14" ht="17.25" thickBot="1">
      <c r="A689" s="126" t="str">
        <f t="shared" si="23"/>
        <v>2025/10</v>
      </c>
      <c r="B689" s="127" t="str">
        <f t="shared" si="24"/>
        <v>2025/10忠孝7樓</v>
      </c>
      <c r="C689" s="138">
        <v>134</v>
      </c>
      <c r="D689" s="139" t="s">
        <v>424</v>
      </c>
      <c r="E689" s="484" t="s">
        <v>328</v>
      </c>
      <c r="F689" s="484"/>
      <c r="G689" s="484" t="s">
        <v>329</v>
      </c>
      <c r="H689" s="484"/>
      <c r="I689" s="484"/>
      <c r="J689" s="484"/>
      <c r="K689" s="140" t="s">
        <v>287</v>
      </c>
      <c r="L689" s="141">
        <v>44022</v>
      </c>
      <c r="M689" s="123"/>
      <c r="N689" s="117"/>
    </row>
    <row r="690" spans="1:14" ht="17.25" thickBot="1">
      <c r="A690" s="126" t="str">
        <f t="shared" si="23"/>
        <v>2025/10</v>
      </c>
      <c r="B690" s="127" t="str">
        <f t="shared" si="24"/>
        <v>2025/10忠孝7樓</v>
      </c>
      <c r="C690" s="138">
        <v>135</v>
      </c>
      <c r="D690" s="139" t="s">
        <v>424</v>
      </c>
      <c r="E690" s="484" t="s">
        <v>330</v>
      </c>
      <c r="F690" s="484"/>
      <c r="G690" s="484" t="s">
        <v>331</v>
      </c>
      <c r="H690" s="484"/>
      <c r="I690" s="484"/>
      <c r="J690" s="484"/>
      <c r="K690" s="140" t="s">
        <v>287</v>
      </c>
      <c r="L690" s="141">
        <v>16767</v>
      </c>
      <c r="M690" s="123"/>
      <c r="N690" s="117"/>
    </row>
    <row r="691" spans="1:14" ht="17.25" thickBot="1">
      <c r="A691" s="126" t="str">
        <f t="shared" si="23"/>
        <v>2025/10</v>
      </c>
      <c r="B691" s="127" t="str">
        <f t="shared" si="24"/>
        <v>2025/10忠孝7樓</v>
      </c>
      <c r="C691" s="138">
        <v>136</v>
      </c>
      <c r="D691" s="139" t="s">
        <v>424</v>
      </c>
      <c r="E691" s="484" t="s">
        <v>302</v>
      </c>
      <c r="F691" s="484"/>
      <c r="G691" s="484" t="s">
        <v>303</v>
      </c>
      <c r="H691" s="484"/>
      <c r="I691" s="484"/>
      <c r="J691" s="484"/>
      <c r="K691" s="140" t="s">
        <v>304</v>
      </c>
      <c r="L691" s="141">
        <v>14002</v>
      </c>
      <c r="M691" s="123"/>
      <c r="N691" s="117"/>
    </row>
    <row r="692" spans="1:14" ht="17.25" thickBot="1">
      <c r="A692" s="126" t="str">
        <f t="shared" si="23"/>
        <v>2025/10</v>
      </c>
      <c r="B692" s="127" t="str">
        <f t="shared" si="24"/>
        <v>2025/10忠孝7樓</v>
      </c>
      <c r="C692" s="138">
        <v>137</v>
      </c>
      <c r="D692" s="139" t="s">
        <v>424</v>
      </c>
      <c r="E692" s="484" t="s">
        <v>363</v>
      </c>
      <c r="F692" s="484"/>
      <c r="G692" s="484" t="s">
        <v>364</v>
      </c>
      <c r="H692" s="484"/>
      <c r="I692" s="484"/>
      <c r="J692" s="484"/>
      <c r="K692" s="140" t="s">
        <v>365</v>
      </c>
      <c r="L692" s="141">
        <v>29630</v>
      </c>
      <c r="M692" s="123"/>
      <c r="N692" s="117"/>
    </row>
    <row r="693" spans="1:14" ht="17.25" thickBot="1">
      <c r="A693" s="126" t="str">
        <f t="shared" si="23"/>
        <v>2025/10</v>
      </c>
      <c r="B693" s="127" t="str">
        <f t="shared" si="24"/>
        <v>2025/10忠孝7樓</v>
      </c>
      <c r="C693" s="138">
        <v>138</v>
      </c>
      <c r="D693" s="139" t="s">
        <v>424</v>
      </c>
      <c r="E693" s="484" t="s">
        <v>705</v>
      </c>
      <c r="F693" s="484"/>
      <c r="G693" s="484" t="s">
        <v>706</v>
      </c>
      <c r="H693" s="484"/>
      <c r="I693" s="484"/>
      <c r="J693" s="484"/>
      <c r="K693" s="140" t="s">
        <v>707</v>
      </c>
      <c r="L693" s="141">
        <v>1</v>
      </c>
      <c r="M693" s="123"/>
      <c r="N693" s="117"/>
    </row>
    <row r="694" spans="1:14" ht="17.25" thickBot="1">
      <c r="A694" s="126" t="str">
        <f t="shared" si="23"/>
        <v>2025/10</v>
      </c>
      <c r="B694" s="127" t="str">
        <f t="shared" si="24"/>
        <v>2025/10忠孝7樓</v>
      </c>
      <c r="C694" s="138">
        <v>139</v>
      </c>
      <c r="D694" s="139" t="s">
        <v>424</v>
      </c>
      <c r="E694" s="484" t="s">
        <v>708</v>
      </c>
      <c r="F694" s="484"/>
      <c r="G694" s="484" t="s">
        <v>709</v>
      </c>
      <c r="H694" s="484"/>
      <c r="I694" s="484"/>
      <c r="J694" s="484"/>
      <c r="K694" s="140" t="s">
        <v>710</v>
      </c>
      <c r="L694" s="141">
        <v>1</v>
      </c>
      <c r="M694" s="123"/>
      <c r="N694" s="117"/>
    </row>
    <row r="695" spans="1:14" ht="17.25" thickBot="1">
      <c r="A695" s="126" t="str">
        <f t="shared" si="23"/>
        <v>2025/10</v>
      </c>
      <c r="B695" s="127" t="str">
        <f t="shared" si="24"/>
        <v>2025/10忠孝7樓</v>
      </c>
      <c r="C695" s="138">
        <v>140</v>
      </c>
      <c r="D695" s="139" t="s">
        <v>424</v>
      </c>
      <c r="E695" s="484" t="s">
        <v>279</v>
      </c>
      <c r="F695" s="484"/>
      <c r="G695" s="484" t="s">
        <v>280</v>
      </c>
      <c r="H695" s="484"/>
      <c r="I695" s="484"/>
      <c r="J695" s="484"/>
      <c r="K695" s="140" t="s">
        <v>281</v>
      </c>
      <c r="L695" s="141">
        <v>388700</v>
      </c>
      <c r="M695" s="123"/>
      <c r="N695" s="117"/>
    </row>
    <row r="696" spans="1:14" ht="17.25" thickBot="1">
      <c r="A696" s="126" t="str">
        <f t="shared" si="23"/>
        <v>2025/10</v>
      </c>
      <c r="B696" s="127" t="str">
        <f t="shared" si="24"/>
        <v>2025/10忠孝7樓</v>
      </c>
      <c r="C696" s="138">
        <v>141</v>
      </c>
      <c r="D696" s="139" t="s">
        <v>424</v>
      </c>
      <c r="E696" s="484" t="s">
        <v>288</v>
      </c>
      <c r="F696" s="484"/>
      <c r="G696" s="484" t="s">
        <v>289</v>
      </c>
      <c r="H696" s="484"/>
      <c r="I696" s="484"/>
      <c r="J696" s="484"/>
      <c r="K696" s="140" t="s">
        <v>281</v>
      </c>
      <c r="L696" s="141">
        <v>189500</v>
      </c>
      <c r="M696" s="123"/>
      <c r="N696" s="117"/>
    </row>
    <row r="697" spans="1:14" ht="17.25" thickBot="1">
      <c r="A697" s="126" t="str">
        <f t="shared" si="23"/>
        <v>2025/10</v>
      </c>
      <c r="B697" s="127" t="str">
        <f t="shared" si="24"/>
        <v>2025/10忠孝7樓</v>
      </c>
      <c r="C697" s="138">
        <v>142</v>
      </c>
      <c r="D697" s="139" t="s">
        <v>424</v>
      </c>
      <c r="E697" s="484" t="s">
        <v>332</v>
      </c>
      <c r="F697" s="484"/>
      <c r="G697" s="484" t="s">
        <v>333</v>
      </c>
      <c r="H697" s="484"/>
      <c r="I697" s="484"/>
      <c r="J697" s="484"/>
      <c r="K697" s="140" t="s">
        <v>334</v>
      </c>
      <c r="L697" s="141">
        <v>39712</v>
      </c>
      <c r="M697" s="123"/>
      <c r="N697" s="117"/>
    </row>
    <row r="698" spans="1:14" ht="17.25" thickBot="1">
      <c r="A698" s="126" t="str">
        <f t="shared" si="23"/>
        <v>2025/10</v>
      </c>
      <c r="B698" s="127" t="str">
        <f t="shared" si="24"/>
        <v>2025/10忠孝7樓</v>
      </c>
      <c r="C698" s="138">
        <v>143</v>
      </c>
      <c r="D698" s="139" t="s">
        <v>424</v>
      </c>
      <c r="E698" s="484" t="s">
        <v>335</v>
      </c>
      <c r="F698" s="484"/>
      <c r="G698" s="484" t="s">
        <v>336</v>
      </c>
      <c r="H698" s="484"/>
      <c r="I698" s="484"/>
      <c r="J698" s="484"/>
      <c r="K698" s="140" t="s">
        <v>337</v>
      </c>
      <c r="L698" s="141">
        <v>10101</v>
      </c>
      <c r="M698" s="123"/>
      <c r="N698" s="117"/>
    </row>
    <row r="699" spans="1:14" ht="17.25" thickBot="1">
      <c r="A699" s="126" t="str">
        <f t="shared" si="23"/>
        <v>2025/10</v>
      </c>
      <c r="B699" s="127" t="str">
        <f t="shared" si="24"/>
        <v>2025/10忠孝7樓</v>
      </c>
      <c r="C699" s="138">
        <v>144</v>
      </c>
      <c r="D699" s="139" t="s">
        <v>424</v>
      </c>
      <c r="E699" s="484" t="s">
        <v>443</v>
      </c>
      <c r="F699" s="484"/>
      <c r="G699" s="484" t="s">
        <v>444</v>
      </c>
      <c r="H699" s="484"/>
      <c r="I699" s="484"/>
      <c r="J699" s="484"/>
      <c r="K699" s="140" t="s">
        <v>445</v>
      </c>
      <c r="L699" s="141">
        <v>4</v>
      </c>
      <c r="M699" s="123"/>
      <c r="N699" s="117"/>
    </row>
    <row r="700" spans="1:14" ht="17.25" thickBot="1">
      <c r="A700" s="126" t="str">
        <f t="shared" si="23"/>
        <v>2025/10</v>
      </c>
      <c r="B700" s="127" t="str">
        <f t="shared" si="24"/>
        <v>2025/10忠孝7樓</v>
      </c>
      <c r="C700" s="138">
        <v>145</v>
      </c>
      <c r="D700" s="139" t="s">
        <v>424</v>
      </c>
      <c r="E700" s="484" t="s">
        <v>351</v>
      </c>
      <c r="F700" s="484"/>
      <c r="G700" s="484" t="s">
        <v>352</v>
      </c>
      <c r="H700" s="484"/>
      <c r="I700" s="484"/>
      <c r="J700" s="484"/>
      <c r="K700" s="140" t="s">
        <v>353</v>
      </c>
      <c r="L700" s="141">
        <v>8</v>
      </c>
      <c r="M700" s="123"/>
      <c r="N700" s="117"/>
    </row>
    <row r="701" spans="1:14" ht="17.25" thickBot="1">
      <c r="A701" s="126" t="str">
        <f t="shared" si="23"/>
        <v>2025/10</v>
      </c>
      <c r="B701" s="127" t="str">
        <f t="shared" si="24"/>
        <v>2025/10忠孝7樓</v>
      </c>
      <c r="C701" s="138">
        <v>146</v>
      </c>
      <c r="D701" s="139" t="s">
        <v>424</v>
      </c>
      <c r="E701" s="484" t="s">
        <v>357</v>
      </c>
      <c r="F701" s="484"/>
      <c r="G701" s="484" t="s">
        <v>358</v>
      </c>
      <c r="H701" s="484"/>
      <c r="I701" s="484"/>
      <c r="J701" s="484"/>
      <c r="K701" s="140" t="s">
        <v>353</v>
      </c>
      <c r="L701" s="141">
        <v>4</v>
      </c>
      <c r="M701" s="123"/>
      <c r="N701" s="117"/>
    </row>
    <row r="702" spans="1:14" ht="17.25" thickBot="1">
      <c r="A702" s="126" t="str">
        <f t="shared" si="23"/>
        <v>2025/10</v>
      </c>
      <c r="B702" s="127" t="str">
        <f t="shared" si="24"/>
        <v>2025/10忠孝7樓</v>
      </c>
      <c r="C702" s="138">
        <v>147</v>
      </c>
      <c r="D702" s="139" t="s">
        <v>424</v>
      </c>
      <c r="E702" s="484" t="s">
        <v>449</v>
      </c>
      <c r="F702" s="484"/>
      <c r="G702" s="484" t="s">
        <v>450</v>
      </c>
      <c r="H702" s="484"/>
      <c r="I702" s="484"/>
      <c r="J702" s="484"/>
      <c r="K702" s="140" t="s">
        <v>445</v>
      </c>
      <c r="L702" s="141">
        <v>8</v>
      </c>
      <c r="M702" s="123"/>
      <c r="N702" s="117"/>
    </row>
    <row r="703" spans="1:14" ht="17.25" thickBot="1">
      <c r="A703" s="126" t="str">
        <f t="shared" si="23"/>
        <v>2025/10</v>
      </c>
      <c r="B703" s="127" t="str">
        <f t="shared" si="24"/>
        <v>2025/10忠孝7樓</v>
      </c>
      <c r="C703" s="138">
        <v>148</v>
      </c>
      <c r="D703" s="139" t="s">
        <v>424</v>
      </c>
      <c r="E703" s="484" t="s">
        <v>340</v>
      </c>
      <c r="F703" s="484"/>
      <c r="G703" s="484" t="s">
        <v>341</v>
      </c>
      <c r="H703" s="484"/>
      <c r="I703" s="484"/>
      <c r="J703" s="484"/>
      <c r="K703" s="140" t="s">
        <v>342</v>
      </c>
      <c r="L703" s="141">
        <v>7</v>
      </c>
      <c r="M703" s="123"/>
      <c r="N703" s="117"/>
    </row>
    <row r="704" spans="1:14" ht="17.25" thickBot="1">
      <c r="A704" s="126" t="str">
        <f t="shared" si="23"/>
        <v>2025/10</v>
      </c>
      <c r="B704" s="127" t="str">
        <f t="shared" si="24"/>
        <v>2025/10忠孝7樓</v>
      </c>
      <c r="C704" s="138">
        <v>149</v>
      </c>
      <c r="D704" s="139" t="s">
        <v>424</v>
      </c>
      <c r="E704" s="484" t="s">
        <v>697</v>
      </c>
      <c r="F704" s="484"/>
      <c r="G704" s="484" t="s">
        <v>698</v>
      </c>
      <c r="H704" s="484"/>
      <c r="I704" s="484"/>
      <c r="J704" s="484"/>
      <c r="K704" s="140" t="s">
        <v>699</v>
      </c>
      <c r="L704" s="141">
        <v>8</v>
      </c>
      <c r="M704" s="123"/>
      <c r="N704" s="117"/>
    </row>
    <row r="705" spans="1:14" ht="17.25" thickBot="1">
      <c r="A705" s="126" t="str">
        <f t="shared" ref="A705:A741" si="25">IFERROR(LEFT(B705,7),"")</f>
        <v>2025/10</v>
      </c>
      <c r="B705" s="127" t="str">
        <f t="shared" si="24"/>
        <v>2025/10忠孝7樓</v>
      </c>
      <c r="C705" s="138">
        <v>150</v>
      </c>
      <c r="D705" s="139" t="s">
        <v>424</v>
      </c>
      <c r="E705" s="484" t="s">
        <v>686</v>
      </c>
      <c r="F705" s="484"/>
      <c r="G705" s="484" t="s">
        <v>687</v>
      </c>
      <c r="H705" s="484"/>
      <c r="I705" s="484"/>
      <c r="J705" s="484"/>
      <c r="K705" s="140" t="s">
        <v>688</v>
      </c>
      <c r="L705" s="141">
        <v>28</v>
      </c>
      <c r="M705" s="123"/>
      <c r="N705" s="117"/>
    </row>
    <row r="706" spans="1:14" ht="17.25" thickBot="1">
      <c r="A706" s="126" t="str">
        <f t="shared" si="25"/>
        <v>2025/10</v>
      </c>
      <c r="B706" s="127" t="str">
        <f t="shared" si="24"/>
        <v>2025/10忠孝7樓</v>
      </c>
      <c r="C706" s="138">
        <v>151</v>
      </c>
      <c r="D706" s="139" t="s">
        <v>424</v>
      </c>
      <c r="E706" s="484" t="s">
        <v>354</v>
      </c>
      <c r="F706" s="484"/>
      <c r="G706" s="484" t="s">
        <v>355</v>
      </c>
      <c r="H706" s="484"/>
      <c r="I706" s="484"/>
      <c r="J706" s="484"/>
      <c r="K706" s="140" t="s">
        <v>356</v>
      </c>
      <c r="L706" s="141">
        <v>6</v>
      </c>
      <c r="M706" s="123"/>
      <c r="N706" s="117"/>
    </row>
    <row r="707" spans="1:14" ht="17.25" thickBot="1">
      <c r="A707" s="126" t="str">
        <f t="shared" si="25"/>
        <v>2025/10</v>
      </c>
      <c r="B707" s="127" t="str">
        <f t="shared" si="24"/>
        <v>2025/10忠孝7樓</v>
      </c>
      <c r="C707" s="138">
        <v>152</v>
      </c>
      <c r="D707" s="139" t="s">
        <v>424</v>
      </c>
      <c r="E707" s="484" t="s">
        <v>425</v>
      </c>
      <c r="F707" s="484"/>
      <c r="G707" s="484" t="s">
        <v>426</v>
      </c>
      <c r="H707" s="484"/>
      <c r="I707" s="484"/>
      <c r="J707" s="484"/>
      <c r="K707" s="140" t="s">
        <v>269</v>
      </c>
      <c r="L707" s="141">
        <v>14</v>
      </c>
      <c r="M707" s="123"/>
      <c r="N707" s="117"/>
    </row>
    <row r="708" spans="1:14" ht="17.25" thickBot="1">
      <c r="A708" s="126" t="str">
        <f t="shared" si="25"/>
        <v>2025/10</v>
      </c>
      <c r="B708" s="127" t="str">
        <f t="shared" si="24"/>
        <v>2025/10忠孝7樓</v>
      </c>
      <c r="C708" s="138">
        <v>153</v>
      </c>
      <c r="D708" s="139" t="s">
        <v>424</v>
      </c>
      <c r="E708" s="484" t="s">
        <v>309</v>
      </c>
      <c r="F708" s="484"/>
      <c r="G708" s="484" t="s">
        <v>310</v>
      </c>
      <c r="H708" s="484"/>
      <c r="I708" s="484"/>
      <c r="J708" s="484"/>
      <c r="K708" s="140" t="s">
        <v>269</v>
      </c>
      <c r="L708" s="141">
        <v>118</v>
      </c>
      <c r="M708" s="123"/>
      <c r="N708" s="117"/>
    </row>
    <row r="709" spans="1:14" ht="17.25" thickBot="1">
      <c r="A709" s="126" t="str">
        <f t="shared" si="25"/>
        <v>2025/10</v>
      </c>
      <c r="B709" s="127" t="str">
        <f t="shared" si="24"/>
        <v>2025/10忠孝7樓</v>
      </c>
      <c r="C709" s="138">
        <v>154</v>
      </c>
      <c r="D709" s="139" t="s">
        <v>424</v>
      </c>
      <c r="E709" s="484" t="s">
        <v>267</v>
      </c>
      <c r="F709" s="484"/>
      <c r="G709" s="484" t="s">
        <v>268</v>
      </c>
      <c r="H709" s="484"/>
      <c r="I709" s="484"/>
      <c r="J709" s="484"/>
      <c r="K709" s="140" t="s">
        <v>269</v>
      </c>
      <c r="L709" s="141">
        <v>31</v>
      </c>
      <c r="M709" s="123"/>
      <c r="N709" s="117"/>
    </row>
    <row r="710" spans="1:14" ht="17.25" thickBot="1">
      <c r="A710" s="126" t="str">
        <f t="shared" si="25"/>
        <v>2025/10</v>
      </c>
      <c r="B710" s="127" t="str">
        <f t="shared" si="24"/>
        <v>2025/10忠孝7樓</v>
      </c>
      <c r="C710" s="138">
        <v>155</v>
      </c>
      <c r="D710" s="139" t="s">
        <v>424</v>
      </c>
      <c r="E710" s="484" t="s">
        <v>315</v>
      </c>
      <c r="F710" s="484"/>
      <c r="G710" s="484" t="s">
        <v>316</v>
      </c>
      <c r="H710" s="484"/>
      <c r="I710" s="484"/>
      <c r="J710" s="484"/>
      <c r="K710" s="140" t="s">
        <v>296</v>
      </c>
      <c r="L710" s="141">
        <v>9</v>
      </c>
      <c r="M710" s="123"/>
      <c r="N710" s="117"/>
    </row>
    <row r="711" spans="1:14" ht="17.25" thickBot="1">
      <c r="A711" s="126" t="str">
        <f t="shared" si="25"/>
        <v>2025/10</v>
      </c>
      <c r="B711" s="127" t="str">
        <f t="shared" si="24"/>
        <v>2025/10忠孝7樓</v>
      </c>
      <c r="C711" s="138">
        <v>156</v>
      </c>
      <c r="D711" s="139" t="s">
        <v>424</v>
      </c>
      <c r="E711" s="484" t="s">
        <v>294</v>
      </c>
      <c r="F711" s="484"/>
      <c r="G711" s="484" t="s">
        <v>295</v>
      </c>
      <c r="H711" s="484"/>
      <c r="I711" s="484"/>
      <c r="J711" s="484"/>
      <c r="K711" s="140" t="s">
        <v>296</v>
      </c>
      <c r="L711" s="141">
        <v>5</v>
      </c>
      <c r="M711" s="123"/>
      <c r="N711" s="117"/>
    </row>
    <row r="712" spans="1:14" ht="17.25" thickBot="1">
      <c r="A712" s="126" t="str">
        <f t="shared" si="25"/>
        <v>2025/10</v>
      </c>
      <c r="B712" s="127" t="str">
        <f t="shared" si="24"/>
        <v>2025/10忠孝7樓</v>
      </c>
      <c r="C712" s="138">
        <v>157</v>
      </c>
      <c r="D712" s="139" t="s">
        <v>424</v>
      </c>
      <c r="E712" s="484" t="s">
        <v>237</v>
      </c>
      <c r="F712" s="484"/>
      <c r="G712" s="484" t="s">
        <v>238</v>
      </c>
      <c r="H712" s="484"/>
      <c r="I712" s="484"/>
      <c r="J712" s="484"/>
      <c r="K712" s="140" t="s">
        <v>239</v>
      </c>
      <c r="L712" s="141">
        <v>913</v>
      </c>
      <c r="M712" s="123"/>
      <c r="N712" s="117"/>
    </row>
    <row r="713" spans="1:14" ht="17.25" thickBot="1">
      <c r="A713" s="126" t="str">
        <f t="shared" si="25"/>
        <v>2025/10</v>
      </c>
      <c r="B713" s="127" t="str">
        <f t="shared" si="24"/>
        <v>2025/10忠孝7樓</v>
      </c>
      <c r="C713" s="138">
        <v>158</v>
      </c>
      <c r="D713" s="139" t="s">
        <v>424</v>
      </c>
      <c r="E713" s="484" t="s">
        <v>240</v>
      </c>
      <c r="F713" s="484"/>
      <c r="G713" s="484" t="s">
        <v>241</v>
      </c>
      <c r="H713" s="484"/>
      <c r="I713" s="484"/>
      <c r="J713" s="484"/>
      <c r="K713" s="140" t="s">
        <v>239</v>
      </c>
      <c r="L713" s="141">
        <v>913</v>
      </c>
      <c r="M713" s="123"/>
      <c r="N713" s="117"/>
    </row>
    <row r="714" spans="1:14" ht="17.25" thickBot="1">
      <c r="A714" s="126" t="str">
        <f t="shared" si="25"/>
        <v>2025/10</v>
      </c>
      <c r="B714" s="127" t="str">
        <f t="shared" si="24"/>
        <v>2025/10忠孝7樓</v>
      </c>
      <c r="C714" s="138">
        <v>159</v>
      </c>
      <c r="D714" s="139" t="s">
        <v>424</v>
      </c>
      <c r="E714" s="484" t="s">
        <v>242</v>
      </c>
      <c r="F714" s="484"/>
      <c r="G714" s="484" t="s">
        <v>243</v>
      </c>
      <c r="H714" s="484"/>
      <c r="I714" s="484"/>
      <c r="J714" s="484"/>
      <c r="K714" s="140" t="s">
        <v>239</v>
      </c>
      <c r="L714" s="141">
        <v>913</v>
      </c>
      <c r="M714" s="123"/>
      <c r="N714" s="117"/>
    </row>
    <row r="715" spans="1:14" ht="17.25" thickBot="1">
      <c r="A715" s="126" t="str">
        <f t="shared" si="25"/>
        <v>2025/10</v>
      </c>
      <c r="B715" s="127" t="str">
        <f t="shared" si="24"/>
        <v>2025/10忠孝7樓</v>
      </c>
      <c r="C715" s="138">
        <v>160</v>
      </c>
      <c r="D715" s="139" t="s">
        <v>424</v>
      </c>
      <c r="E715" s="484" t="s">
        <v>244</v>
      </c>
      <c r="F715" s="484"/>
      <c r="G715" s="484" t="s">
        <v>245</v>
      </c>
      <c r="H715" s="484"/>
      <c r="I715" s="484"/>
      <c r="J715" s="484"/>
      <c r="K715" s="140" t="s">
        <v>42</v>
      </c>
      <c r="L715" s="141">
        <v>13667</v>
      </c>
      <c r="M715" s="123"/>
      <c r="N715" s="117"/>
    </row>
    <row r="716" spans="1:14" ht="17.25" thickBot="1">
      <c r="A716" s="126" t="str">
        <f t="shared" si="25"/>
        <v>2025/10</v>
      </c>
      <c r="B716" s="127" t="str">
        <f t="shared" si="24"/>
        <v>2025/10忠孝7樓</v>
      </c>
      <c r="C716" s="138">
        <v>161</v>
      </c>
      <c r="D716" s="139" t="s">
        <v>424</v>
      </c>
      <c r="E716" s="484" t="s">
        <v>246</v>
      </c>
      <c r="F716" s="484"/>
      <c r="G716" s="484" t="s">
        <v>247</v>
      </c>
      <c r="H716" s="484"/>
      <c r="I716" s="484"/>
      <c r="J716" s="484"/>
      <c r="K716" s="140" t="s">
        <v>42</v>
      </c>
      <c r="L716" s="141">
        <v>13667</v>
      </c>
      <c r="M716" s="123"/>
      <c r="N716" s="117"/>
    </row>
    <row r="717" spans="1:14" ht="17.25" thickBot="1">
      <c r="A717" s="126" t="str">
        <f t="shared" si="25"/>
        <v>2025/10</v>
      </c>
      <c r="B717" s="127" t="str">
        <f t="shared" si="24"/>
        <v>2025/10忠孝7樓</v>
      </c>
      <c r="C717" s="138">
        <v>162</v>
      </c>
      <c r="D717" s="139" t="s">
        <v>424</v>
      </c>
      <c r="E717" s="484" t="s">
        <v>248</v>
      </c>
      <c r="F717" s="484"/>
      <c r="G717" s="484" t="s">
        <v>249</v>
      </c>
      <c r="H717" s="484"/>
      <c r="I717" s="484"/>
      <c r="J717" s="484"/>
      <c r="K717" s="140" t="s">
        <v>42</v>
      </c>
      <c r="L717" s="141">
        <v>13667</v>
      </c>
      <c r="M717" s="123"/>
      <c r="N717" s="117"/>
    </row>
    <row r="718" spans="1:14" ht="17.25" thickBot="1">
      <c r="A718" s="126" t="str">
        <f t="shared" si="25"/>
        <v>2025/10</v>
      </c>
      <c r="B718" s="127" t="str">
        <f t="shared" si="24"/>
        <v>2025/10忠孝7樓</v>
      </c>
      <c r="C718" s="138">
        <v>163</v>
      </c>
      <c r="D718" s="139" t="s">
        <v>424</v>
      </c>
      <c r="E718" s="484" t="s">
        <v>250</v>
      </c>
      <c r="F718" s="484"/>
      <c r="G718" s="484" t="s">
        <v>251</v>
      </c>
      <c r="H718" s="484"/>
      <c r="I718" s="484"/>
      <c r="J718" s="484"/>
      <c r="K718" s="140" t="s">
        <v>42</v>
      </c>
      <c r="L718" s="141">
        <v>13667</v>
      </c>
      <c r="M718" s="123"/>
      <c r="N718" s="117"/>
    </row>
    <row r="719" spans="1:14" ht="17.25" thickBot="1">
      <c r="A719" s="126" t="str">
        <f t="shared" si="25"/>
        <v>2025/10</v>
      </c>
      <c r="B719" s="127" t="str">
        <f t="shared" si="24"/>
        <v>2025/10忠孝國際醫學3樓</v>
      </c>
      <c r="C719" s="138">
        <v>164</v>
      </c>
      <c r="D719" s="139" t="s">
        <v>850</v>
      </c>
      <c r="E719" s="484" t="s">
        <v>392</v>
      </c>
      <c r="F719" s="484"/>
      <c r="G719" s="484" t="s">
        <v>393</v>
      </c>
      <c r="H719" s="484"/>
      <c r="I719" s="484"/>
      <c r="J719" s="484"/>
      <c r="K719" s="140" t="s">
        <v>382</v>
      </c>
      <c r="L719" s="141">
        <v>686</v>
      </c>
      <c r="M719" s="123"/>
      <c r="N719" s="117"/>
    </row>
    <row r="720" spans="1:14" ht="17.25" thickBot="1">
      <c r="A720" s="126" t="str">
        <f t="shared" si="25"/>
        <v>2025/10</v>
      </c>
      <c r="B720" s="127" t="str">
        <f t="shared" si="24"/>
        <v>2025/10忠孝國際醫學3樓</v>
      </c>
      <c r="C720" s="138">
        <v>165</v>
      </c>
      <c r="D720" s="139" t="s">
        <v>850</v>
      </c>
      <c r="E720" s="484" t="s">
        <v>380</v>
      </c>
      <c r="F720" s="484"/>
      <c r="G720" s="484" t="s">
        <v>381</v>
      </c>
      <c r="H720" s="484"/>
      <c r="I720" s="484"/>
      <c r="J720" s="484"/>
      <c r="K720" s="140" t="s">
        <v>382</v>
      </c>
      <c r="L720" s="141">
        <v>867</v>
      </c>
      <c r="M720" s="123"/>
      <c r="N720" s="117"/>
    </row>
    <row r="721" spans="1:14" ht="17.25" thickBot="1">
      <c r="A721" s="126" t="str">
        <f t="shared" si="25"/>
        <v>2025/10</v>
      </c>
      <c r="B721" s="127" t="str">
        <f t="shared" si="24"/>
        <v>2025/10忠孝國際醫學3樓</v>
      </c>
      <c r="C721" s="138">
        <v>166</v>
      </c>
      <c r="D721" s="139" t="s">
        <v>850</v>
      </c>
      <c r="E721" s="484" t="s">
        <v>413</v>
      </c>
      <c r="F721" s="484"/>
      <c r="G721" s="484" t="s">
        <v>674</v>
      </c>
      <c r="H721" s="484"/>
      <c r="I721" s="484"/>
      <c r="J721" s="484"/>
      <c r="K721" s="140" t="s">
        <v>410</v>
      </c>
      <c r="L721" s="141">
        <v>9</v>
      </c>
      <c r="M721" s="123"/>
      <c r="N721" s="117"/>
    </row>
    <row r="722" spans="1:14" ht="17.25" thickBot="1">
      <c r="A722" s="126" t="str">
        <f t="shared" si="25"/>
        <v>2025/10</v>
      </c>
      <c r="B722" s="127" t="str">
        <f t="shared" si="24"/>
        <v>2025/10忠孝國際醫學3樓</v>
      </c>
      <c r="C722" s="138">
        <v>167</v>
      </c>
      <c r="D722" s="139" t="s">
        <v>850</v>
      </c>
      <c r="E722" s="484" t="s">
        <v>360</v>
      </c>
      <c r="F722" s="484"/>
      <c r="G722" s="484" t="s">
        <v>361</v>
      </c>
      <c r="H722" s="484"/>
      <c r="I722" s="484"/>
      <c r="J722" s="484"/>
      <c r="K722" s="140" t="s">
        <v>362</v>
      </c>
      <c r="L722" s="141">
        <v>18</v>
      </c>
      <c r="M722" s="123"/>
      <c r="N722" s="117"/>
    </row>
    <row r="723" spans="1:14" ht="17.25" thickBot="1">
      <c r="A723" s="126" t="str">
        <f t="shared" si="25"/>
        <v>2025/10</v>
      </c>
      <c r="B723" s="127" t="str">
        <f t="shared" si="24"/>
        <v>2025/10忠孝國際醫學3樓</v>
      </c>
      <c r="C723" s="138">
        <v>168</v>
      </c>
      <c r="D723" s="139" t="s">
        <v>850</v>
      </c>
      <c r="E723" s="484" t="s">
        <v>383</v>
      </c>
      <c r="F723" s="484"/>
      <c r="G723" s="484" t="s">
        <v>384</v>
      </c>
      <c r="H723" s="484"/>
      <c r="I723" s="484"/>
      <c r="J723" s="484"/>
      <c r="K723" s="140" t="s">
        <v>385</v>
      </c>
      <c r="L723" s="141">
        <v>380</v>
      </c>
      <c r="M723" s="123"/>
      <c r="N723" s="117"/>
    </row>
    <row r="724" spans="1:14" ht="17.25" thickBot="1">
      <c r="A724" s="126" t="str">
        <f t="shared" si="25"/>
        <v>2025/10</v>
      </c>
      <c r="B724" s="127" t="str">
        <f t="shared" si="24"/>
        <v>2025/10忠孝國際醫學3樓</v>
      </c>
      <c r="C724" s="138">
        <v>169</v>
      </c>
      <c r="D724" s="139" t="s">
        <v>850</v>
      </c>
      <c r="E724" s="484" t="s">
        <v>394</v>
      </c>
      <c r="F724" s="484"/>
      <c r="G724" s="484" t="s">
        <v>395</v>
      </c>
      <c r="H724" s="484"/>
      <c r="I724" s="484"/>
      <c r="J724" s="484"/>
      <c r="K724" s="140" t="s">
        <v>272</v>
      </c>
      <c r="L724" s="141">
        <v>7</v>
      </c>
      <c r="M724" s="123"/>
      <c r="N724" s="117"/>
    </row>
    <row r="725" spans="1:14" ht="17.25" thickBot="1">
      <c r="A725" s="126" t="str">
        <f t="shared" si="25"/>
        <v>2025/10</v>
      </c>
      <c r="B725" s="127" t="str">
        <f t="shared" si="24"/>
        <v>2025/10忠孝國際醫學3樓</v>
      </c>
      <c r="C725" s="138">
        <v>170</v>
      </c>
      <c r="D725" s="139" t="s">
        <v>850</v>
      </c>
      <c r="E725" s="484" t="s">
        <v>403</v>
      </c>
      <c r="F725" s="484"/>
      <c r="G725" s="484" t="s">
        <v>404</v>
      </c>
      <c r="H725" s="484"/>
      <c r="I725" s="484"/>
      <c r="J725" s="484"/>
      <c r="K725" s="140" t="s">
        <v>405</v>
      </c>
      <c r="L725" s="141">
        <v>7</v>
      </c>
      <c r="M725" s="123"/>
      <c r="N725" s="117"/>
    </row>
    <row r="726" spans="1:14" ht="17.25" thickBot="1">
      <c r="A726" s="126" t="str">
        <f t="shared" si="25"/>
        <v>2025/10</v>
      </c>
      <c r="B726" s="127" t="str">
        <f t="shared" si="24"/>
        <v>2025/10忠孝國際醫學3樓</v>
      </c>
      <c r="C726" s="138">
        <v>171</v>
      </c>
      <c r="D726" s="139" t="s">
        <v>850</v>
      </c>
      <c r="E726" s="484" t="s">
        <v>406</v>
      </c>
      <c r="F726" s="484"/>
      <c r="G726" s="484" t="s">
        <v>407</v>
      </c>
      <c r="H726" s="484"/>
      <c r="I726" s="484"/>
      <c r="J726" s="484"/>
      <c r="K726" s="140" t="s">
        <v>385</v>
      </c>
      <c r="L726" s="141">
        <v>7</v>
      </c>
      <c r="M726" s="123"/>
      <c r="N726" s="117"/>
    </row>
    <row r="727" spans="1:14" ht="17.25" thickBot="1">
      <c r="A727" s="126" t="str">
        <f t="shared" si="25"/>
        <v>2025/10</v>
      </c>
      <c r="B727" s="127" t="str">
        <f t="shared" si="24"/>
        <v>2025/10忠孝國際醫學3樓</v>
      </c>
      <c r="C727" s="138">
        <v>172</v>
      </c>
      <c r="D727" s="139" t="s">
        <v>850</v>
      </c>
      <c r="E727" s="484" t="s">
        <v>408</v>
      </c>
      <c r="F727" s="484"/>
      <c r="G727" s="484" t="s">
        <v>409</v>
      </c>
      <c r="H727" s="484"/>
      <c r="I727" s="484"/>
      <c r="J727" s="484"/>
      <c r="K727" s="140" t="s">
        <v>410</v>
      </c>
      <c r="L727" s="141">
        <v>10</v>
      </c>
      <c r="M727" s="123"/>
      <c r="N727" s="117"/>
    </row>
    <row r="728" spans="1:14" ht="17.25" thickBot="1">
      <c r="A728" s="126" t="str">
        <f t="shared" si="25"/>
        <v>2025/10</v>
      </c>
      <c r="B728" s="127" t="str">
        <f t="shared" si="24"/>
        <v>2025/10忠孝國際醫學3樓</v>
      </c>
      <c r="C728" s="138">
        <v>173</v>
      </c>
      <c r="D728" s="139" t="s">
        <v>850</v>
      </c>
      <c r="E728" s="484" t="s">
        <v>255</v>
      </c>
      <c r="F728" s="484"/>
      <c r="G728" s="484" t="s">
        <v>256</v>
      </c>
      <c r="H728" s="484"/>
      <c r="I728" s="484"/>
      <c r="J728" s="484"/>
      <c r="K728" s="140" t="s">
        <v>257</v>
      </c>
      <c r="L728" s="141">
        <v>365</v>
      </c>
      <c r="M728" s="123"/>
      <c r="N728" s="117"/>
    </row>
    <row r="729" spans="1:14" ht="17.25" thickBot="1">
      <c r="A729" s="126" t="str">
        <f t="shared" si="25"/>
        <v>2025/10</v>
      </c>
      <c r="B729" s="127" t="str">
        <f t="shared" si="24"/>
        <v>2025/10忠孝國際醫學3樓</v>
      </c>
      <c r="C729" s="138">
        <v>174</v>
      </c>
      <c r="D729" s="139" t="s">
        <v>850</v>
      </c>
      <c r="E729" s="484" t="s">
        <v>419</v>
      </c>
      <c r="F729" s="484"/>
      <c r="G729" s="484" t="s">
        <v>420</v>
      </c>
      <c r="H729" s="484"/>
      <c r="I729" s="484"/>
      <c r="J729" s="484"/>
      <c r="K729" s="140" t="s">
        <v>689</v>
      </c>
      <c r="L729" s="141">
        <v>541</v>
      </c>
      <c r="M729" s="123"/>
      <c r="N729" s="117"/>
    </row>
    <row r="730" spans="1:14" ht="17.25" thickBot="1">
      <c r="A730" s="126" t="str">
        <f t="shared" si="25"/>
        <v>2025/10</v>
      </c>
      <c r="B730" s="127" t="str">
        <f t="shared" si="24"/>
        <v>2025/10忠孝國際醫學3樓</v>
      </c>
      <c r="C730" s="138">
        <v>175</v>
      </c>
      <c r="D730" s="139" t="s">
        <v>850</v>
      </c>
      <c r="E730" s="484" t="s">
        <v>258</v>
      </c>
      <c r="F730" s="484"/>
      <c r="G730" s="484" t="s">
        <v>259</v>
      </c>
      <c r="H730" s="484"/>
      <c r="I730" s="484"/>
      <c r="J730" s="484"/>
      <c r="K730" s="140"/>
      <c r="L730" s="141">
        <v>14</v>
      </c>
      <c r="M730" s="123"/>
      <c r="N730" s="117"/>
    </row>
    <row r="731" spans="1:14" ht="17.25" thickBot="1">
      <c r="A731" s="126" t="str">
        <f t="shared" si="25"/>
        <v>2025/10</v>
      </c>
      <c r="B731" s="127" t="str">
        <f t="shared" si="24"/>
        <v>2025/10忠孝國際醫學3樓</v>
      </c>
      <c r="C731" s="138">
        <v>176</v>
      </c>
      <c r="D731" s="139" t="s">
        <v>850</v>
      </c>
      <c r="E731" s="484" t="s">
        <v>260</v>
      </c>
      <c r="F731" s="484"/>
      <c r="G731" s="484" t="s">
        <v>261</v>
      </c>
      <c r="H731" s="484"/>
      <c r="I731" s="484"/>
      <c r="J731" s="484"/>
      <c r="K731" s="140" t="s">
        <v>254</v>
      </c>
      <c r="L731" s="141">
        <v>14</v>
      </c>
      <c r="M731" s="123"/>
      <c r="N731" s="117"/>
    </row>
    <row r="732" spans="1:14" ht="17.25" thickBot="1">
      <c r="A732" s="126" t="str">
        <f t="shared" si="25"/>
        <v>2025/10</v>
      </c>
      <c r="B732" s="127" t="str">
        <f t="shared" si="24"/>
        <v>2025/10忠孝國際醫學3樓</v>
      </c>
      <c r="C732" s="138">
        <v>177</v>
      </c>
      <c r="D732" s="139" t="s">
        <v>850</v>
      </c>
      <c r="E732" s="484" t="s">
        <v>252</v>
      </c>
      <c r="F732" s="484"/>
      <c r="G732" s="484" t="s">
        <v>253</v>
      </c>
      <c r="H732" s="484"/>
      <c r="I732" s="484"/>
      <c r="J732" s="484"/>
      <c r="K732" s="140" t="s">
        <v>254</v>
      </c>
      <c r="L732" s="141">
        <v>14</v>
      </c>
      <c r="M732" s="123"/>
      <c r="N732" s="117"/>
    </row>
    <row r="733" spans="1:14" ht="17.25" thickBot="1">
      <c r="A733" s="126" t="str">
        <f t="shared" si="25"/>
        <v>2025/10</v>
      </c>
      <c r="B733" s="127" t="str">
        <f t="shared" si="24"/>
        <v>2025/10忠孝國際醫學3樓</v>
      </c>
      <c r="C733" s="138">
        <v>178</v>
      </c>
      <c r="D733" s="139" t="s">
        <v>850</v>
      </c>
      <c r="E733" s="484" t="s">
        <v>690</v>
      </c>
      <c r="F733" s="484"/>
      <c r="G733" s="484" t="s">
        <v>691</v>
      </c>
      <c r="H733" s="484"/>
      <c r="I733" s="484"/>
      <c r="J733" s="484"/>
      <c r="K733" s="140" t="s">
        <v>692</v>
      </c>
      <c r="L733" s="141">
        <v>3</v>
      </c>
      <c r="M733" s="123"/>
      <c r="N733" s="117"/>
    </row>
    <row r="734" spans="1:14" ht="17.25" thickBot="1">
      <c r="A734" s="126" t="str">
        <f t="shared" si="25"/>
        <v>2025/10</v>
      </c>
      <c r="B734" s="127" t="str">
        <f t="shared" si="24"/>
        <v>2025/10忠孝國際醫學3樓</v>
      </c>
      <c r="C734" s="138">
        <v>179</v>
      </c>
      <c r="D734" s="139" t="s">
        <v>850</v>
      </c>
      <c r="E734" s="484" t="s">
        <v>386</v>
      </c>
      <c r="F734" s="484"/>
      <c r="G734" s="484" t="s">
        <v>387</v>
      </c>
      <c r="H734" s="484"/>
      <c r="I734" s="484"/>
      <c r="J734" s="484"/>
      <c r="K734" s="140" t="s">
        <v>388</v>
      </c>
      <c r="L734" s="141">
        <v>1672</v>
      </c>
      <c r="M734" s="123"/>
      <c r="N734" s="117"/>
    </row>
    <row r="735" spans="1:14" ht="17.25" thickBot="1">
      <c r="A735" s="126" t="str">
        <f t="shared" si="25"/>
        <v>2025/10</v>
      </c>
      <c r="B735" s="127" t="str">
        <f t="shared" si="24"/>
        <v>2025/10忠孝國際醫學3樓</v>
      </c>
      <c r="C735" s="138">
        <v>180</v>
      </c>
      <c r="D735" s="139" t="s">
        <v>850</v>
      </c>
      <c r="E735" s="484" t="s">
        <v>377</v>
      </c>
      <c r="F735" s="484"/>
      <c r="G735" s="484" t="s">
        <v>378</v>
      </c>
      <c r="H735" s="484"/>
      <c r="I735" s="484"/>
      <c r="J735" s="484"/>
      <c r="K735" s="140" t="s">
        <v>379</v>
      </c>
      <c r="L735" s="141">
        <v>176</v>
      </c>
      <c r="M735" s="123"/>
      <c r="N735" s="117"/>
    </row>
    <row r="736" spans="1:14" ht="17.25" thickBot="1">
      <c r="A736" s="126" t="str">
        <f t="shared" si="25"/>
        <v>2025/10</v>
      </c>
      <c r="B736" s="127" t="str">
        <f t="shared" si="24"/>
        <v>2025/10忠孝國際醫學3樓</v>
      </c>
      <c r="C736" s="138">
        <v>181</v>
      </c>
      <c r="D736" s="139" t="s">
        <v>850</v>
      </c>
      <c r="E736" s="484" t="s">
        <v>401</v>
      </c>
      <c r="F736" s="484"/>
      <c r="G736" s="484" t="s">
        <v>402</v>
      </c>
      <c r="H736" s="484"/>
      <c r="I736" s="484"/>
      <c r="J736" s="484"/>
      <c r="K736" s="140" t="s">
        <v>145</v>
      </c>
      <c r="L736" s="141">
        <v>2</v>
      </c>
      <c r="M736" s="123"/>
      <c r="N736" s="117"/>
    </row>
    <row r="737" spans="1:14" ht="17.25" thickBot="1">
      <c r="A737" s="126" t="str">
        <f t="shared" si="25"/>
        <v>2025/10</v>
      </c>
      <c r="B737" s="127" t="str">
        <f t="shared" si="24"/>
        <v>2025/10忠孝國際醫學3樓</v>
      </c>
      <c r="C737" s="138">
        <v>182</v>
      </c>
      <c r="D737" s="139" t="s">
        <v>850</v>
      </c>
      <c r="E737" s="484" t="s">
        <v>411</v>
      </c>
      <c r="F737" s="484"/>
      <c r="G737" s="484" t="s">
        <v>412</v>
      </c>
      <c r="H737" s="484"/>
      <c r="I737" s="484"/>
      <c r="J737" s="484"/>
      <c r="K737" s="140" t="s">
        <v>145</v>
      </c>
      <c r="L737" s="141">
        <v>10</v>
      </c>
      <c r="M737" s="123"/>
      <c r="N737" s="117"/>
    </row>
    <row r="738" spans="1:14" ht="17.25" thickBot="1">
      <c r="A738" s="126" t="str">
        <f t="shared" si="25"/>
        <v>2025/10</v>
      </c>
      <c r="B738" s="127" t="str">
        <f t="shared" si="24"/>
        <v>2025/10忠孝國際醫學3樓</v>
      </c>
      <c r="C738" s="138">
        <v>183</v>
      </c>
      <c r="D738" s="139" t="s">
        <v>850</v>
      </c>
      <c r="E738" s="484" t="s">
        <v>375</v>
      </c>
      <c r="F738" s="484"/>
      <c r="G738" s="484" t="s">
        <v>376</v>
      </c>
      <c r="H738" s="484"/>
      <c r="I738" s="484"/>
      <c r="J738" s="484"/>
      <c r="K738" s="140" t="s">
        <v>145</v>
      </c>
      <c r="L738" s="141">
        <v>18</v>
      </c>
      <c r="M738" s="123"/>
      <c r="N738" s="117"/>
    </row>
    <row r="739" spans="1:14" ht="17.25" thickBot="1">
      <c r="A739" s="126" t="str">
        <f t="shared" si="25"/>
        <v>2025/10</v>
      </c>
      <c r="B739" s="127" t="str">
        <f t="shared" si="24"/>
        <v>2025/10忠孝國際醫學3樓</v>
      </c>
      <c r="C739" s="138">
        <v>184</v>
      </c>
      <c r="D739" s="139" t="s">
        <v>850</v>
      </c>
      <c r="E739" s="484" t="s">
        <v>422</v>
      </c>
      <c r="F739" s="484"/>
      <c r="G739" s="484" t="s">
        <v>423</v>
      </c>
      <c r="H739" s="484"/>
      <c r="I739" s="484"/>
      <c r="J739" s="484"/>
      <c r="K739" s="140" t="s">
        <v>145</v>
      </c>
      <c r="L739" s="141">
        <v>6</v>
      </c>
      <c r="M739" s="123"/>
      <c r="N739" s="117"/>
    </row>
    <row r="740" spans="1:14" ht="17.25" thickBot="1">
      <c r="A740" s="126" t="str">
        <f t="shared" si="25"/>
        <v>2025/10</v>
      </c>
      <c r="B740" s="127" t="str">
        <f t="shared" si="24"/>
        <v>2025/10忠孝國際醫學3樓</v>
      </c>
      <c r="C740" s="138">
        <v>185</v>
      </c>
      <c r="D740" s="139" t="s">
        <v>850</v>
      </c>
      <c r="E740" s="484" t="s">
        <v>431</v>
      </c>
      <c r="F740" s="484"/>
      <c r="G740" s="484" t="s">
        <v>712</v>
      </c>
      <c r="H740" s="484"/>
      <c r="I740" s="484"/>
      <c r="J740" s="484"/>
      <c r="K740" s="140" t="s">
        <v>433</v>
      </c>
      <c r="L740" s="141">
        <v>167.5</v>
      </c>
      <c r="M740" s="123"/>
      <c r="N740" s="117"/>
    </row>
    <row r="741" spans="1:14" ht="17.25" thickBot="1">
      <c r="A741" s="126" t="str">
        <f t="shared" si="25"/>
        <v>2025/10</v>
      </c>
      <c r="B741" s="127" t="str">
        <f t="shared" si="24"/>
        <v>2025/10忠孝國際醫學3樓</v>
      </c>
      <c r="C741" s="138">
        <v>186</v>
      </c>
      <c r="D741" s="139" t="s">
        <v>850</v>
      </c>
      <c r="E741" s="484" t="s">
        <v>711</v>
      </c>
      <c r="F741" s="484"/>
      <c r="G741" s="484" t="s">
        <v>714</v>
      </c>
      <c r="H741" s="484"/>
      <c r="I741" s="484"/>
      <c r="J741" s="484"/>
      <c r="K741" s="140" t="s">
        <v>145</v>
      </c>
      <c r="L741" s="141">
        <v>3</v>
      </c>
      <c r="M741" s="123"/>
      <c r="N741" s="117"/>
    </row>
    <row r="742" spans="1:14" ht="17.25" thickBot="1">
      <c r="A742" s="126" t="str">
        <f t="shared" ref="A742:A743" si="26">IFERROR(LEFT(B742,7),"")</f>
        <v>2025/10</v>
      </c>
      <c r="B742" s="127" t="str">
        <f t="shared" ref="B742:B743" si="27">"2025/10"&amp;D742</f>
        <v>2025/10忠孝國際醫學3樓</v>
      </c>
      <c r="C742" s="138">
        <v>187</v>
      </c>
      <c r="D742" s="139" t="s">
        <v>850</v>
      </c>
      <c r="E742" s="484" t="s">
        <v>701</v>
      </c>
      <c r="F742" s="484"/>
      <c r="G742" s="484" t="s">
        <v>716</v>
      </c>
      <c r="H742" s="484"/>
      <c r="I742" s="484"/>
      <c r="J742" s="484"/>
      <c r="K742" s="140" t="s">
        <v>433</v>
      </c>
      <c r="L742" s="141">
        <v>111.5</v>
      </c>
      <c r="M742" s="123"/>
      <c r="N742" s="117"/>
    </row>
    <row r="743" spans="1:14" ht="17.25" thickBot="1">
      <c r="A743" s="126" t="str">
        <f t="shared" si="26"/>
        <v>2025/10</v>
      </c>
      <c r="B743" s="127" t="str">
        <f t="shared" si="27"/>
        <v>2025/10忠孝國際醫學3樓</v>
      </c>
      <c r="C743" s="138">
        <v>188</v>
      </c>
      <c r="D743" s="139" t="s">
        <v>850</v>
      </c>
      <c r="E743" s="484" t="s">
        <v>693</v>
      </c>
      <c r="F743" s="484"/>
      <c r="G743" s="484" t="s">
        <v>718</v>
      </c>
      <c r="H743" s="484"/>
      <c r="I743" s="484"/>
      <c r="J743" s="484"/>
      <c r="K743" s="140" t="s">
        <v>433</v>
      </c>
      <c r="L743" s="141">
        <v>125</v>
      </c>
      <c r="M743" s="123"/>
      <c r="N743" s="117"/>
    </row>
    <row r="744" spans="1:14" ht="17.25" thickBot="1">
      <c r="A744" s="126" t="str">
        <f>IFERROR(LEFT(B744,7),"")</f>
        <v>2025/11</v>
      </c>
      <c r="B744" s="127" t="str">
        <f>"2025/11"&amp;D744</f>
        <v>2025/11站前4樓</v>
      </c>
      <c r="C744" s="138">
        <v>1</v>
      </c>
      <c r="D744" s="139" t="s">
        <v>236</v>
      </c>
      <c r="E744" s="484" t="s">
        <v>413</v>
      </c>
      <c r="F744" s="484"/>
      <c r="G744" s="484" t="s">
        <v>674</v>
      </c>
      <c r="H744" s="484"/>
      <c r="I744" s="484"/>
      <c r="J744" s="484"/>
      <c r="K744" s="140" t="s">
        <v>410</v>
      </c>
      <c r="L744" s="141">
        <v>12</v>
      </c>
      <c r="M744" s="123"/>
      <c r="N744" s="117"/>
    </row>
    <row r="745" spans="1:14" ht="17.25" thickBot="1">
      <c r="A745" s="126" t="str">
        <f t="shared" ref="A745:A808" si="28">IFERROR(LEFT(B745,7),"")</f>
        <v>2025/11</v>
      </c>
      <c r="B745" s="127" t="str">
        <f t="shared" ref="B745:B806" si="29">"2025/11"&amp;D745</f>
        <v>2025/11站前4樓</v>
      </c>
      <c r="C745" s="138">
        <v>2</v>
      </c>
      <c r="D745" s="139" t="s">
        <v>236</v>
      </c>
      <c r="E745" s="484" t="s">
        <v>360</v>
      </c>
      <c r="F745" s="484"/>
      <c r="G745" s="484" t="s">
        <v>361</v>
      </c>
      <c r="H745" s="484"/>
      <c r="I745" s="484"/>
      <c r="J745" s="484"/>
      <c r="K745" s="140" t="s">
        <v>362</v>
      </c>
      <c r="L745" s="141">
        <v>12</v>
      </c>
      <c r="M745" s="123"/>
      <c r="N745" s="117"/>
    </row>
    <row r="746" spans="1:14" ht="17.25" thickBot="1">
      <c r="A746" s="126" t="str">
        <f t="shared" si="28"/>
        <v>2025/11</v>
      </c>
      <c r="B746" s="127" t="str">
        <f t="shared" si="29"/>
        <v>2025/11站前4樓</v>
      </c>
      <c r="C746" s="138">
        <v>3</v>
      </c>
      <c r="D746" s="139" t="s">
        <v>236</v>
      </c>
      <c r="E746" s="484" t="s">
        <v>383</v>
      </c>
      <c r="F746" s="484"/>
      <c r="G746" s="484" t="s">
        <v>384</v>
      </c>
      <c r="H746" s="484"/>
      <c r="I746" s="484"/>
      <c r="J746" s="484"/>
      <c r="K746" s="140" t="s">
        <v>385</v>
      </c>
      <c r="L746" s="141">
        <v>16</v>
      </c>
      <c r="M746" s="123"/>
      <c r="N746" s="117"/>
    </row>
    <row r="747" spans="1:14" ht="17.25" thickBot="1">
      <c r="A747" s="126" t="str">
        <f t="shared" si="28"/>
        <v>2025/11</v>
      </c>
      <c r="B747" s="127" t="str">
        <f t="shared" si="29"/>
        <v>2025/11站前4樓</v>
      </c>
      <c r="C747" s="138">
        <v>4</v>
      </c>
      <c r="D747" s="139" t="s">
        <v>236</v>
      </c>
      <c r="E747" s="484" t="s">
        <v>255</v>
      </c>
      <c r="F747" s="484"/>
      <c r="G747" s="484" t="s">
        <v>256</v>
      </c>
      <c r="H747" s="484"/>
      <c r="I747" s="484"/>
      <c r="J747" s="484"/>
      <c r="K747" s="140" t="s">
        <v>720</v>
      </c>
      <c r="L747" s="141">
        <v>251</v>
      </c>
      <c r="M747" s="123"/>
      <c r="N747" s="117"/>
    </row>
    <row r="748" spans="1:14" ht="17.25" thickBot="1">
      <c r="A748" s="126" t="str">
        <f t="shared" si="28"/>
        <v>2025/11</v>
      </c>
      <c r="B748" s="127" t="str">
        <f t="shared" si="29"/>
        <v>2025/11站前4樓</v>
      </c>
      <c r="C748" s="138">
        <v>5</v>
      </c>
      <c r="D748" s="139" t="s">
        <v>236</v>
      </c>
      <c r="E748" s="484" t="s">
        <v>258</v>
      </c>
      <c r="F748" s="484"/>
      <c r="G748" s="484" t="s">
        <v>259</v>
      </c>
      <c r="H748" s="484"/>
      <c r="I748" s="484"/>
      <c r="J748" s="484"/>
      <c r="K748" s="140"/>
      <c r="L748" s="141">
        <v>259</v>
      </c>
      <c r="M748" s="123"/>
      <c r="N748" s="117"/>
    </row>
    <row r="749" spans="1:14" ht="17.25" thickBot="1">
      <c r="A749" s="126" t="str">
        <f t="shared" si="28"/>
        <v>2025/11</v>
      </c>
      <c r="B749" s="127" t="str">
        <f t="shared" si="29"/>
        <v>2025/11站前4樓</v>
      </c>
      <c r="C749" s="138">
        <v>6</v>
      </c>
      <c r="D749" s="139" t="s">
        <v>236</v>
      </c>
      <c r="E749" s="484" t="s">
        <v>260</v>
      </c>
      <c r="F749" s="484"/>
      <c r="G749" s="484" t="s">
        <v>261</v>
      </c>
      <c r="H749" s="484"/>
      <c r="I749" s="484"/>
      <c r="J749" s="484"/>
      <c r="K749" s="140" t="s">
        <v>254</v>
      </c>
      <c r="L749" s="141">
        <v>259</v>
      </c>
      <c r="M749" s="123"/>
      <c r="N749" s="117"/>
    </row>
    <row r="750" spans="1:14" ht="17.25" thickBot="1">
      <c r="A750" s="126" t="str">
        <f t="shared" si="28"/>
        <v>2025/11</v>
      </c>
      <c r="B750" s="127" t="str">
        <f t="shared" si="29"/>
        <v>2025/11站前4樓</v>
      </c>
      <c r="C750" s="138">
        <v>7</v>
      </c>
      <c r="D750" s="139" t="s">
        <v>236</v>
      </c>
      <c r="E750" s="484" t="s">
        <v>262</v>
      </c>
      <c r="F750" s="484"/>
      <c r="G750" s="484" t="s">
        <v>263</v>
      </c>
      <c r="H750" s="484"/>
      <c r="I750" s="484"/>
      <c r="J750" s="484"/>
      <c r="K750" s="140" t="s">
        <v>254</v>
      </c>
      <c r="L750" s="141">
        <v>32</v>
      </c>
      <c r="M750" s="123"/>
      <c r="N750" s="117"/>
    </row>
    <row r="751" spans="1:14" ht="17.25" thickBot="1">
      <c r="A751" s="126" t="str">
        <f t="shared" si="28"/>
        <v>2025/11</v>
      </c>
      <c r="B751" s="127" t="str">
        <f t="shared" si="29"/>
        <v>2025/11站前4樓</v>
      </c>
      <c r="C751" s="138">
        <v>8</v>
      </c>
      <c r="D751" s="139" t="s">
        <v>236</v>
      </c>
      <c r="E751" s="484" t="s">
        <v>270</v>
      </c>
      <c r="F751" s="484"/>
      <c r="G751" s="484" t="s">
        <v>271</v>
      </c>
      <c r="H751" s="484"/>
      <c r="I751" s="484"/>
      <c r="J751" s="484"/>
      <c r="K751" s="140" t="s">
        <v>272</v>
      </c>
      <c r="L751" s="141">
        <v>86</v>
      </c>
      <c r="M751" s="123"/>
      <c r="N751" s="117"/>
    </row>
    <row r="752" spans="1:14" ht="17.25" thickBot="1">
      <c r="A752" s="126" t="str">
        <f t="shared" si="28"/>
        <v>2025/11</v>
      </c>
      <c r="B752" s="127" t="str">
        <f t="shared" si="29"/>
        <v>2025/11站前4樓</v>
      </c>
      <c r="C752" s="138">
        <v>9</v>
      </c>
      <c r="D752" s="139" t="s">
        <v>236</v>
      </c>
      <c r="E752" s="484" t="s">
        <v>252</v>
      </c>
      <c r="F752" s="484"/>
      <c r="G752" s="484" t="s">
        <v>253</v>
      </c>
      <c r="H752" s="484"/>
      <c r="I752" s="484"/>
      <c r="J752" s="484"/>
      <c r="K752" s="140" t="s">
        <v>254</v>
      </c>
      <c r="L752" s="141">
        <v>259</v>
      </c>
      <c r="M752" s="123"/>
      <c r="N752" s="117"/>
    </row>
    <row r="753" spans="1:14" ht="17.25" thickBot="1">
      <c r="A753" s="126" t="str">
        <f t="shared" si="28"/>
        <v>2025/11</v>
      </c>
      <c r="B753" s="127" t="str">
        <f t="shared" si="29"/>
        <v>2025/11站前4樓</v>
      </c>
      <c r="C753" s="138">
        <v>10</v>
      </c>
      <c r="D753" s="139" t="s">
        <v>236</v>
      </c>
      <c r="E753" s="484" t="s">
        <v>305</v>
      </c>
      <c r="F753" s="484"/>
      <c r="G753" s="484" t="s">
        <v>675</v>
      </c>
      <c r="H753" s="484"/>
      <c r="I753" s="484"/>
      <c r="J753" s="484"/>
      <c r="K753" s="140" t="s">
        <v>676</v>
      </c>
      <c r="L753" s="141">
        <v>4633</v>
      </c>
      <c r="M753" s="123"/>
      <c r="N753" s="117"/>
    </row>
    <row r="754" spans="1:14" ht="17.25" thickBot="1">
      <c r="A754" s="126" t="str">
        <f t="shared" si="28"/>
        <v>2025/11</v>
      </c>
      <c r="B754" s="127" t="str">
        <f t="shared" si="29"/>
        <v>2025/11站前4樓</v>
      </c>
      <c r="C754" s="138">
        <v>11</v>
      </c>
      <c r="D754" s="139" t="s">
        <v>236</v>
      </c>
      <c r="E754" s="484" t="s">
        <v>264</v>
      </c>
      <c r="F754" s="484"/>
      <c r="G754" s="484" t="s">
        <v>677</v>
      </c>
      <c r="H754" s="484"/>
      <c r="I754" s="484"/>
      <c r="J754" s="484"/>
      <c r="K754" s="140" t="s">
        <v>678</v>
      </c>
      <c r="L754" s="141">
        <v>6276</v>
      </c>
      <c r="M754" s="123"/>
      <c r="N754" s="117"/>
    </row>
    <row r="755" spans="1:14" ht="17.25" thickBot="1">
      <c r="A755" s="126" t="str">
        <f t="shared" si="28"/>
        <v>2025/11</v>
      </c>
      <c r="B755" s="127" t="str">
        <f t="shared" si="29"/>
        <v>2025/11站前4樓</v>
      </c>
      <c r="C755" s="138">
        <v>12</v>
      </c>
      <c r="D755" s="139" t="s">
        <v>236</v>
      </c>
      <c r="E755" s="484" t="s">
        <v>307</v>
      </c>
      <c r="F755" s="484"/>
      <c r="G755" s="484" t="s">
        <v>679</v>
      </c>
      <c r="H755" s="484"/>
      <c r="I755" s="484"/>
      <c r="J755" s="484"/>
      <c r="K755" s="140" t="s">
        <v>678</v>
      </c>
      <c r="L755" s="141">
        <v>1623</v>
      </c>
      <c r="M755" s="123"/>
      <c r="N755" s="117"/>
    </row>
    <row r="756" spans="1:14" ht="17.25" thickBot="1">
      <c r="A756" s="126" t="str">
        <f t="shared" si="28"/>
        <v>2025/11</v>
      </c>
      <c r="B756" s="127" t="str">
        <f t="shared" si="29"/>
        <v>2025/11站前4樓</v>
      </c>
      <c r="C756" s="138">
        <v>13</v>
      </c>
      <c r="D756" s="139" t="s">
        <v>236</v>
      </c>
      <c r="E756" s="484" t="s">
        <v>313</v>
      </c>
      <c r="F756" s="484"/>
      <c r="G756" s="484" t="s">
        <v>314</v>
      </c>
      <c r="H756" s="484"/>
      <c r="I756" s="484"/>
      <c r="J756" s="484"/>
      <c r="K756" s="140" t="s">
        <v>301</v>
      </c>
      <c r="L756" s="141">
        <v>87</v>
      </c>
      <c r="M756" s="123"/>
      <c r="N756" s="117"/>
    </row>
    <row r="757" spans="1:14" ht="17.25" thickBot="1">
      <c r="A757" s="126" t="str">
        <f t="shared" si="28"/>
        <v>2025/11</v>
      </c>
      <c r="B757" s="127" t="str">
        <f t="shared" si="29"/>
        <v>2025/11站前4樓</v>
      </c>
      <c r="C757" s="138">
        <v>14</v>
      </c>
      <c r="D757" s="139" t="s">
        <v>236</v>
      </c>
      <c r="E757" s="484" t="s">
        <v>343</v>
      </c>
      <c r="F757" s="484"/>
      <c r="G757" s="484" t="s">
        <v>344</v>
      </c>
      <c r="H757" s="484"/>
      <c r="I757" s="484"/>
      <c r="J757" s="484"/>
      <c r="K757" s="140" t="s">
        <v>301</v>
      </c>
      <c r="L757" s="141">
        <v>2</v>
      </c>
      <c r="M757" s="123"/>
      <c r="N757" s="117"/>
    </row>
    <row r="758" spans="1:14" ht="17.25" thickBot="1">
      <c r="A758" s="126" t="str">
        <f t="shared" si="28"/>
        <v>2025/11</v>
      </c>
      <c r="B758" s="127" t="str">
        <f t="shared" si="29"/>
        <v>2025/11站前4樓</v>
      </c>
      <c r="C758" s="138">
        <v>15</v>
      </c>
      <c r="D758" s="139" t="s">
        <v>236</v>
      </c>
      <c r="E758" s="484" t="s">
        <v>427</v>
      </c>
      <c r="F758" s="484"/>
      <c r="G758" s="484" t="s">
        <v>428</v>
      </c>
      <c r="H758" s="484"/>
      <c r="I758" s="484"/>
      <c r="J758" s="484"/>
      <c r="K758" s="140" t="s">
        <v>301</v>
      </c>
      <c r="L758" s="141">
        <v>3</v>
      </c>
      <c r="M758" s="123"/>
      <c r="N758" s="117"/>
    </row>
    <row r="759" spans="1:14" ht="17.25" thickBot="1">
      <c r="A759" s="126" t="str">
        <f t="shared" si="28"/>
        <v>2025/11</v>
      </c>
      <c r="B759" s="127" t="str">
        <f t="shared" si="29"/>
        <v>2025/11站前4樓</v>
      </c>
      <c r="C759" s="138">
        <v>16</v>
      </c>
      <c r="D759" s="139" t="s">
        <v>236</v>
      </c>
      <c r="E759" s="484" t="s">
        <v>349</v>
      </c>
      <c r="F759" s="484"/>
      <c r="G759" s="484" t="s">
        <v>350</v>
      </c>
      <c r="H759" s="484"/>
      <c r="I759" s="484"/>
      <c r="J759" s="484"/>
      <c r="K759" s="140" t="s">
        <v>301</v>
      </c>
      <c r="L759" s="141">
        <v>8</v>
      </c>
      <c r="M759" s="123"/>
      <c r="N759" s="117"/>
    </row>
    <row r="760" spans="1:14" ht="17.25" thickBot="1">
      <c r="A760" s="126" t="str">
        <f t="shared" si="28"/>
        <v>2025/11</v>
      </c>
      <c r="B760" s="127" t="str">
        <f t="shared" si="29"/>
        <v>2025/11站前4樓</v>
      </c>
      <c r="C760" s="138">
        <v>17</v>
      </c>
      <c r="D760" s="139" t="s">
        <v>236</v>
      </c>
      <c r="E760" s="484" t="s">
        <v>366</v>
      </c>
      <c r="F760" s="484"/>
      <c r="G760" s="484" t="s">
        <v>367</v>
      </c>
      <c r="H760" s="484"/>
      <c r="I760" s="484"/>
      <c r="J760" s="484"/>
      <c r="K760" s="140" t="s">
        <v>301</v>
      </c>
      <c r="L760" s="141">
        <v>3</v>
      </c>
      <c r="M760" s="123"/>
      <c r="N760" s="117"/>
    </row>
    <row r="761" spans="1:14" ht="17.25" thickBot="1">
      <c r="A761" s="126" t="str">
        <f t="shared" si="28"/>
        <v>2025/11</v>
      </c>
      <c r="B761" s="127" t="str">
        <f t="shared" si="29"/>
        <v>2025/11站前4樓</v>
      </c>
      <c r="C761" s="138">
        <v>18</v>
      </c>
      <c r="D761" s="139" t="s">
        <v>236</v>
      </c>
      <c r="E761" s="484" t="s">
        <v>282</v>
      </c>
      <c r="F761" s="484"/>
      <c r="G761" s="484" t="s">
        <v>283</v>
      </c>
      <c r="H761" s="484"/>
      <c r="I761" s="484"/>
      <c r="J761" s="484"/>
      <c r="K761" s="140" t="s">
        <v>284</v>
      </c>
      <c r="L761" s="141">
        <v>32</v>
      </c>
      <c r="M761" s="123"/>
      <c r="N761" s="117"/>
    </row>
    <row r="762" spans="1:14" ht="17.25" thickBot="1">
      <c r="A762" s="126" t="str">
        <f t="shared" si="28"/>
        <v>2025/11</v>
      </c>
      <c r="B762" s="127" t="str">
        <f t="shared" si="29"/>
        <v>2025/11站前4樓</v>
      </c>
      <c r="C762" s="138">
        <v>19</v>
      </c>
      <c r="D762" s="139" t="s">
        <v>236</v>
      </c>
      <c r="E762" s="484" t="s">
        <v>345</v>
      </c>
      <c r="F762" s="484"/>
      <c r="G762" s="484" t="s">
        <v>346</v>
      </c>
      <c r="H762" s="484"/>
      <c r="I762" s="484"/>
      <c r="J762" s="484"/>
      <c r="K762" s="140" t="s">
        <v>284</v>
      </c>
      <c r="L762" s="141">
        <v>2</v>
      </c>
      <c r="M762" s="123"/>
      <c r="N762" s="117"/>
    </row>
    <row r="763" spans="1:14" ht="17.25" thickBot="1">
      <c r="A763" s="126" t="str">
        <f t="shared" si="28"/>
        <v>2025/11</v>
      </c>
      <c r="B763" s="127" t="str">
        <f t="shared" si="29"/>
        <v>2025/11站前4樓</v>
      </c>
      <c r="C763" s="138">
        <v>20</v>
      </c>
      <c r="D763" s="139" t="s">
        <v>236</v>
      </c>
      <c r="E763" s="484" t="s">
        <v>311</v>
      </c>
      <c r="F763" s="484"/>
      <c r="G763" s="484" t="s">
        <v>312</v>
      </c>
      <c r="H763" s="484"/>
      <c r="I763" s="484"/>
      <c r="J763" s="484"/>
      <c r="K763" s="140" t="s">
        <v>284</v>
      </c>
      <c r="L763" s="141">
        <v>17</v>
      </c>
      <c r="M763" s="123"/>
      <c r="N763" s="117"/>
    </row>
    <row r="764" spans="1:14" ht="17.25" thickBot="1">
      <c r="A764" s="126" t="str">
        <f t="shared" si="28"/>
        <v>2025/11</v>
      </c>
      <c r="B764" s="127" t="str">
        <f t="shared" si="29"/>
        <v>2025/11站前4樓</v>
      </c>
      <c r="C764" s="138">
        <v>21</v>
      </c>
      <c r="D764" s="139" t="s">
        <v>236</v>
      </c>
      <c r="E764" s="484" t="s">
        <v>299</v>
      </c>
      <c r="F764" s="484"/>
      <c r="G764" s="484" t="s">
        <v>300</v>
      </c>
      <c r="H764" s="484"/>
      <c r="I764" s="484"/>
      <c r="J764" s="484"/>
      <c r="K764" s="140" t="s">
        <v>301</v>
      </c>
      <c r="L764" s="141">
        <v>48</v>
      </c>
      <c r="M764" s="123"/>
      <c r="N764" s="117"/>
    </row>
    <row r="765" spans="1:14" ht="17.25" thickBot="1">
      <c r="A765" s="126" t="str">
        <f t="shared" si="28"/>
        <v>2025/11</v>
      </c>
      <c r="B765" s="127" t="str">
        <f t="shared" si="29"/>
        <v>2025/11站前4樓</v>
      </c>
      <c r="C765" s="138">
        <v>22</v>
      </c>
      <c r="D765" s="139" t="s">
        <v>236</v>
      </c>
      <c r="E765" s="484" t="s">
        <v>347</v>
      </c>
      <c r="F765" s="484"/>
      <c r="G765" s="484" t="s">
        <v>348</v>
      </c>
      <c r="H765" s="484"/>
      <c r="I765" s="484"/>
      <c r="J765" s="484"/>
      <c r="K765" s="140" t="s">
        <v>301</v>
      </c>
      <c r="L765" s="141">
        <v>14</v>
      </c>
      <c r="M765" s="123"/>
      <c r="N765" s="117"/>
    </row>
    <row r="766" spans="1:14" ht="17.25" thickBot="1">
      <c r="A766" s="126" t="str">
        <f t="shared" si="28"/>
        <v>2025/11</v>
      </c>
      <c r="B766" s="127" t="str">
        <f t="shared" si="29"/>
        <v>2025/11站前4樓</v>
      </c>
      <c r="C766" s="138">
        <v>23</v>
      </c>
      <c r="D766" s="139" t="s">
        <v>236</v>
      </c>
      <c r="E766" s="484" t="s">
        <v>317</v>
      </c>
      <c r="F766" s="484"/>
      <c r="G766" s="484" t="s">
        <v>318</v>
      </c>
      <c r="H766" s="484"/>
      <c r="I766" s="484"/>
      <c r="J766" s="484"/>
      <c r="K766" s="140" t="s">
        <v>319</v>
      </c>
      <c r="L766" s="141">
        <v>26</v>
      </c>
      <c r="M766" s="123"/>
      <c r="N766" s="117"/>
    </row>
    <row r="767" spans="1:14" ht="17.25" thickBot="1">
      <c r="A767" s="126" t="str">
        <f t="shared" si="28"/>
        <v>2025/11</v>
      </c>
      <c r="B767" s="127" t="str">
        <f t="shared" si="29"/>
        <v>2025/11站前4樓</v>
      </c>
      <c r="C767" s="138">
        <v>24</v>
      </c>
      <c r="D767" s="139" t="s">
        <v>236</v>
      </c>
      <c r="E767" s="484" t="s">
        <v>321</v>
      </c>
      <c r="F767" s="484"/>
      <c r="G767" s="484" t="s">
        <v>322</v>
      </c>
      <c r="H767" s="484"/>
      <c r="I767" s="484"/>
      <c r="J767" s="484"/>
      <c r="K767" s="140" t="s">
        <v>275</v>
      </c>
      <c r="L767" s="141">
        <v>188</v>
      </c>
      <c r="M767" s="123"/>
      <c r="N767" s="117"/>
    </row>
    <row r="768" spans="1:14" ht="17.25" thickBot="1">
      <c r="A768" s="126" t="str">
        <f t="shared" si="28"/>
        <v>2025/11</v>
      </c>
      <c r="B768" s="127" t="str">
        <f t="shared" si="29"/>
        <v>2025/11站前4樓</v>
      </c>
      <c r="C768" s="138">
        <v>25</v>
      </c>
      <c r="D768" s="139" t="s">
        <v>236</v>
      </c>
      <c r="E768" s="484" t="s">
        <v>372</v>
      </c>
      <c r="F768" s="484"/>
      <c r="G768" s="484" t="s">
        <v>373</v>
      </c>
      <c r="H768" s="484"/>
      <c r="I768" s="484"/>
      <c r="J768" s="484"/>
      <c r="K768" s="140" t="s">
        <v>278</v>
      </c>
      <c r="L768" s="141">
        <v>45</v>
      </c>
      <c r="M768" s="123"/>
      <c r="N768" s="117"/>
    </row>
    <row r="769" spans="1:14" ht="17.25" thickBot="1">
      <c r="A769" s="126" t="str">
        <f t="shared" si="28"/>
        <v>2025/11</v>
      </c>
      <c r="B769" s="127" t="str">
        <f t="shared" si="29"/>
        <v>2025/11站前4樓</v>
      </c>
      <c r="C769" s="138">
        <v>26</v>
      </c>
      <c r="D769" s="139" t="s">
        <v>236</v>
      </c>
      <c r="E769" s="484" t="s">
        <v>276</v>
      </c>
      <c r="F769" s="484"/>
      <c r="G769" s="484" t="s">
        <v>277</v>
      </c>
      <c r="H769" s="484"/>
      <c r="I769" s="484"/>
      <c r="J769" s="484"/>
      <c r="K769" s="140" t="s">
        <v>278</v>
      </c>
      <c r="L769" s="141">
        <v>10</v>
      </c>
      <c r="M769" s="123"/>
      <c r="N769" s="117"/>
    </row>
    <row r="770" spans="1:14" ht="17.25" thickBot="1">
      <c r="A770" s="126" t="str">
        <f t="shared" si="28"/>
        <v>2025/11</v>
      </c>
      <c r="B770" s="127" t="str">
        <f t="shared" si="29"/>
        <v>2025/11站前4樓</v>
      </c>
      <c r="C770" s="138">
        <v>27</v>
      </c>
      <c r="D770" s="139" t="s">
        <v>236</v>
      </c>
      <c r="E770" s="484" t="s">
        <v>273</v>
      </c>
      <c r="F770" s="484"/>
      <c r="G770" s="484" t="s">
        <v>274</v>
      </c>
      <c r="H770" s="484"/>
      <c r="I770" s="484"/>
      <c r="J770" s="484"/>
      <c r="K770" s="140" t="s">
        <v>275</v>
      </c>
      <c r="L770" s="141">
        <v>114</v>
      </c>
      <c r="M770" s="123"/>
      <c r="N770" s="117"/>
    </row>
    <row r="771" spans="1:14" ht="17.25" thickBot="1">
      <c r="A771" s="126" t="str">
        <f t="shared" si="28"/>
        <v>2025/11</v>
      </c>
      <c r="B771" s="127" t="str">
        <f t="shared" si="29"/>
        <v>2025/11站前4樓</v>
      </c>
      <c r="C771" s="138">
        <v>28</v>
      </c>
      <c r="D771" s="139" t="s">
        <v>236</v>
      </c>
      <c r="E771" s="484" t="s">
        <v>285</v>
      </c>
      <c r="F771" s="484"/>
      <c r="G771" s="484" t="s">
        <v>286</v>
      </c>
      <c r="H771" s="484"/>
      <c r="I771" s="484"/>
      <c r="J771" s="484"/>
      <c r="K771" s="140" t="s">
        <v>287</v>
      </c>
      <c r="L771" s="141">
        <v>12875</v>
      </c>
      <c r="M771" s="123"/>
      <c r="N771" s="117"/>
    </row>
    <row r="772" spans="1:14" ht="17.25" thickBot="1">
      <c r="A772" s="126" t="str">
        <f t="shared" si="28"/>
        <v>2025/11</v>
      </c>
      <c r="B772" s="127" t="str">
        <f t="shared" si="29"/>
        <v>2025/11站前4樓</v>
      </c>
      <c r="C772" s="138">
        <v>29</v>
      </c>
      <c r="D772" s="139" t="s">
        <v>236</v>
      </c>
      <c r="E772" s="484" t="s">
        <v>290</v>
      </c>
      <c r="F772" s="484"/>
      <c r="G772" s="484" t="s">
        <v>291</v>
      </c>
      <c r="H772" s="484"/>
      <c r="I772" s="484"/>
      <c r="J772" s="484"/>
      <c r="K772" s="140" t="s">
        <v>287</v>
      </c>
      <c r="L772" s="141">
        <v>33827</v>
      </c>
      <c r="M772" s="123"/>
      <c r="N772" s="117"/>
    </row>
    <row r="773" spans="1:14" ht="17.25" thickBot="1">
      <c r="A773" s="126" t="str">
        <f t="shared" si="28"/>
        <v>2025/11</v>
      </c>
      <c r="B773" s="127" t="str">
        <f t="shared" si="29"/>
        <v>2025/11站前4樓</v>
      </c>
      <c r="C773" s="138">
        <v>30</v>
      </c>
      <c r="D773" s="139" t="s">
        <v>236</v>
      </c>
      <c r="E773" s="484" t="s">
        <v>292</v>
      </c>
      <c r="F773" s="484"/>
      <c r="G773" s="484" t="s">
        <v>293</v>
      </c>
      <c r="H773" s="484"/>
      <c r="I773" s="484"/>
      <c r="J773" s="484"/>
      <c r="K773" s="140" t="s">
        <v>287</v>
      </c>
      <c r="L773" s="141">
        <v>50478</v>
      </c>
      <c r="M773" s="123"/>
      <c r="N773" s="117"/>
    </row>
    <row r="774" spans="1:14" ht="17.25" thickBot="1">
      <c r="A774" s="126" t="str">
        <f t="shared" si="28"/>
        <v>2025/11</v>
      </c>
      <c r="B774" s="127" t="str">
        <f t="shared" si="29"/>
        <v>2025/11站前4樓</v>
      </c>
      <c r="C774" s="138">
        <v>31</v>
      </c>
      <c r="D774" s="139" t="s">
        <v>236</v>
      </c>
      <c r="E774" s="484" t="s">
        <v>323</v>
      </c>
      <c r="F774" s="484"/>
      <c r="G774" s="484" t="s">
        <v>324</v>
      </c>
      <c r="H774" s="484"/>
      <c r="I774" s="484"/>
      <c r="J774" s="484"/>
      <c r="K774" s="140" t="s">
        <v>721</v>
      </c>
      <c r="L774" s="141">
        <v>12161</v>
      </c>
      <c r="M774" s="123"/>
      <c r="N774" s="117"/>
    </row>
    <row r="775" spans="1:14" ht="17.25" thickBot="1">
      <c r="A775" s="126" t="str">
        <f t="shared" si="28"/>
        <v>2025/11</v>
      </c>
      <c r="B775" s="127" t="str">
        <f t="shared" si="29"/>
        <v>2025/11站前4樓</v>
      </c>
      <c r="C775" s="138">
        <v>32</v>
      </c>
      <c r="D775" s="139" t="s">
        <v>236</v>
      </c>
      <c r="E775" s="484" t="s">
        <v>722</v>
      </c>
      <c r="F775" s="484"/>
      <c r="G775" s="484" t="s">
        <v>723</v>
      </c>
      <c r="H775" s="484"/>
      <c r="I775" s="484"/>
      <c r="J775" s="484"/>
      <c r="K775" s="140" t="s">
        <v>724</v>
      </c>
      <c r="L775" s="141">
        <v>100</v>
      </c>
      <c r="M775" s="123"/>
      <c r="N775" s="117"/>
    </row>
    <row r="776" spans="1:14" ht="17.25" thickBot="1">
      <c r="A776" s="126" t="str">
        <f t="shared" si="28"/>
        <v>2025/11</v>
      </c>
      <c r="B776" s="127" t="str">
        <f t="shared" si="29"/>
        <v>2025/11站前4樓</v>
      </c>
      <c r="C776" s="138">
        <v>33</v>
      </c>
      <c r="D776" s="139" t="s">
        <v>236</v>
      </c>
      <c r="E776" s="484" t="s">
        <v>338</v>
      </c>
      <c r="F776" s="484"/>
      <c r="G776" s="484" t="s">
        <v>339</v>
      </c>
      <c r="H776" s="484"/>
      <c r="I776" s="484"/>
      <c r="J776" s="484"/>
      <c r="K776" s="140" t="s">
        <v>287</v>
      </c>
      <c r="L776" s="141">
        <v>3881</v>
      </c>
      <c r="M776" s="123"/>
      <c r="N776" s="117"/>
    </row>
    <row r="777" spans="1:14" ht="17.25" thickBot="1">
      <c r="A777" s="126" t="str">
        <f t="shared" si="28"/>
        <v>2025/11</v>
      </c>
      <c r="B777" s="127" t="str">
        <f t="shared" si="29"/>
        <v>2025/11站前4樓</v>
      </c>
      <c r="C777" s="138">
        <v>34</v>
      </c>
      <c r="D777" s="139" t="s">
        <v>236</v>
      </c>
      <c r="E777" s="484" t="s">
        <v>326</v>
      </c>
      <c r="F777" s="484"/>
      <c r="G777" s="484" t="s">
        <v>327</v>
      </c>
      <c r="H777" s="484"/>
      <c r="I777" s="484"/>
      <c r="J777" s="484"/>
      <c r="K777" s="140" t="s">
        <v>287</v>
      </c>
      <c r="L777" s="141">
        <v>8562</v>
      </c>
      <c r="M777" s="123"/>
      <c r="N777" s="117"/>
    </row>
    <row r="778" spans="1:14" ht="17.25" thickBot="1">
      <c r="A778" s="126" t="str">
        <f t="shared" si="28"/>
        <v>2025/11</v>
      </c>
      <c r="B778" s="127" t="str">
        <f t="shared" si="29"/>
        <v>2025/11站前4樓</v>
      </c>
      <c r="C778" s="138">
        <v>35</v>
      </c>
      <c r="D778" s="139" t="s">
        <v>236</v>
      </c>
      <c r="E778" s="484" t="s">
        <v>328</v>
      </c>
      <c r="F778" s="484"/>
      <c r="G778" s="484" t="s">
        <v>329</v>
      </c>
      <c r="H778" s="484"/>
      <c r="I778" s="484"/>
      <c r="J778" s="484"/>
      <c r="K778" s="140" t="s">
        <v>287</v>
      </c>
      <c r="L778" s="141">
        <v>14059</v>
      </c>
      <c r="M778" s="123"/>
      <c r="N778" s="117"/>
    </row>
    <row r="779" spans="1:14" ht="17.25" thickBot="1">
      <c r="A779" s="126" t="str">
        <f t="shared" si="28"/>
        <v>2025/11</v>
      </c>
      <c r="B779" s="127" t="str">
        <f t="shared" si="29"/>
        <v>2025/11站前4樓</v>
      </c>
      <c r="C779" s="138">
        <v>36</v>
      </c>
      <c r="D779" s="139" t="s">
        <v>236</v>
      </c>
      <c r="E779" s="484" t="s">
        <v>330</v>
      </c>
      <c r="F779" s="484"/>
      <c r="G779" s="484" t="s">
        <v>331</v>
      </c>
      <c r="H779" s="484"/>
      <c r="I779" s="484"/>
      <c r="J779" s="484"/>
      <c r="K779" s="140" t="s">
        <v>287</v>
      </c>
      <c r="L779" s="141">
        <v>6900</v>
      </c>
      <c r="M779" s="123"/>
      <c r="N779" s="117"/>
    </row>
    <row r="780" spans="1:14" ht="17.25" thickBot="1">
      <c r="A780" s="126" t="str">
        <f t="shared" si="28"/>
        <v>2025/11</v>
      </c>
      <c r="B780" s="127" t="str">
        <f t="shared" si="29"/>
        <v>2025/11站前4樓</v>
      </c>
      <c r="C780" s="138">
        <v>37</v>
      </c>
      <c r="D780" s="139" t="s">
        <v>236</v>
      </c>
      <c r="E780" s="484" t="s">
        <v>302</v>
      </c>
      <c r="F780" s="484"/>
      <c r="G780" s="484" t="s">
        <v>303</v>
      </c>
      <c r="H780" s="484"/>
      <c r="I780" s="484"/>
      <c r="J780" s="484"/>
      <c r="K780" s="140" t="s">
        <v>304</v>
      </c>
      <c r="L780" s="141">
        <v>2498</v>
      </c>
      <c r="M780" s="123"/>
      <c r="N780" s="117"/>
    </row>
    <row r="781" spans="1:14" ht="17.25" thickBot="1">
      <c r="A781" s="126" t="str">
        <f t="shared" si="28"/>
        <v>2025/11</v>
      </c>
      <c r="B781" s="127" t="str">
        <f t="shared" si="29"/>
        <v>2025/11站前4樓</v>
      </c>
      <c r="C781" s="138">
        <v>38</v>
      </c>
      <c r="D781" s="139" t="s">
        <v>236</v>
      </c>
      <c r="E781" s="484" t="s">
        <v>363</v>
      </c>
      <c r="F781" s="484"/>
      <c r="G781" s="484" t="s">
        <v>364</v>
      </c>
      <c r="H781" s="484"/>
      <c r="I781" s="484"/>
      <c r="J781" s="484"/>
      <c r="K781" s="140" t="s">
        <v>365</v>
      </c>
      <c r="L781" s="141">
        <v>23341</v>
      </c>
      <c r="M781" s="123"/>
      <c r="N781" s="117"/>
    </row>
    <row r="782" spans="1:14" ht="17.25" thickBot="1">
      <c r="A782" s="126" t="str">
        <f t="shared" si="28"/>
        <v>2025/11</v>
      </c>
      <c r="B782" s="127" t="str">
        <f t="shared" si="29"/>
        <v>2025/11站前4樓</v>
      </c>
      <c r="C782" s="138">
        <v>39</v>
      </c>
      <c r="D782" s="139" t="s">
        <v>236</v>
      </c>
      <c r="E782" s="484" t="s">
        <v>705</v>
      </c>
      <c r="F782" s="484"/>
      <c r="G782" s="484" t="s">
        <v>706</v>
      </c>
      <c r="H782" s="484"/>
      <c r="I782" s="484"/>
      <c r="J782" s="484"/>
      <c r="K782" s="140" t="s">
        <v>707</v>
      </c>
      <c r="L782" s="141">
        <v>5661</v>
      </c>
      <c r="M782" s="123"/>
      <c r="N782" s="117"/>
    </row>
    <row r="783" spans="1:14" ht="17.25" thickBot="1">
      <c r="A783" s="126" t="str">
        <f t="shared" si="28"/>
        <v>2025/11</v>
      </c>
      <c r="B783" s="127" t="str">
        <f t="shared" si="29"/>
        <v>2025/11站前4樓</v>
      </c>
      <c r="C783" s="138">
        <v>40</v>
      </c>
      <c r="D783" s="139" t="s">
        <v>236</v>
      </c>
      <c r="E783" s="484" t="s">
        <v>279</v>
      </c>
      <c r="F783" s="484"/>
      <c r="G783" s="484" t="s">
        <v>280</v>
      </c>
      <c r="H783" s="484"/>
      <c r="I783" s="484"/>
      <c r="J783" s="484"/>
      <c r="K783" s="140" t="s">
        <v>281</v>
      </c>
      <c r="L783" s="141">
        <v>255474</v>
      </c>
      <c r="M783" s="123"/>
      <c r="N783" s="117"/>
    </row>
    <row r="784" spans="1:14" ht="17.25" thickBot="1">
      <c r="A784" s="126" t="str">
        <f t="shared" si="28"/>
        <v>2025/11</v>
      </c>
      <c r="B784" s="127" t="str">
        <f t="shared" si="29"/>
        <v>2025/11站前4樓</v>
      </c>
      <c r="C784" s="138">
        <v>41</v>
      </c>
      <c r="D784" s="139" t="s">
        <v>236</v>
      </c>
      <c r="E784" s="484" t="s">
        <v>288</v>
      </c>
      <c r="F784" s="484"/>
      <c r="G784" s="484" t="s">
        <v>289</v>
      </c>
      <c r="H784" s="484"/>
      <c r="I784" s="484"/>
      <c r="J784" s="484"/>
      <c r="K784" s="140" t="s">
        <v>281</v>
      </c>
      <c r="L784" s="141">
        <v>120526</v>
      </c>
      <c r="M784" s="123"/>
      <c r="N784" s="117"/>
    </row>
    <row r="785" spans="1:14" ht="17.25" thickBot="1">
      <c r="A785" s="126" t="str">
        <f t="shared" si="28"/>
        <v>2025/11</v>
      </c>
      <c r="B785" s="127" t="str">
        <f t="shared" si="29"/>
        <v>2025/11站前4樓</v>
      </c>
      <c r="C785" s="138">
        <v>42</v>
      </c>
      <c r="D785" s="139" t="s">
        <v>236</v>
      </c>
      <c r="E785" s="484" t="s">
        <v>332</v>
      </c>
      <c r="F785" s="484"/>
      <c r="G785" s="484" t="s">
        <v>333</v>
      </c>
      <c r="H785" s="484"/>
      <c r="I785" s="484"/>
      <c r="J785" s="484"/>
      <c r="K785" s="140" t="s">
        <v>334</v>
      </c>
      <c r="L785" s="141">
        <v>15300</v>
      </c>
      <c r="M785" s="123"/>
      <c r="N785" s="117"/>
    </row>
    <row r="786" spans="1:14" ht="17.25" thickBot="1">
      <c r="A786" s="126" t="str">
        <f t="shared" si="28"/>
        <v>2025/11</v>
      </c>
      <c r="B786" s="127" t="str">
        <f t="shared" si="29"/>
        <v>2025/11站前4樓</v>
      </c>
      <c r="C786" s="138">
        <v>43</v>
      </c>
      <c r="D786" s="139" t="s">
        <v>236</v>
      </c>
      <c r="E786" s="484" t="s">
        <v>335</v>
      </c>
      <c r="F786" s="484"/>
      <c r="G786" s="484" t="s">
        <v>336</v>
      </c>
      <c r="H786" s="484"/>
      <c r="I786" s="484"/>
      <c r="J786" s="484"/>
      <c r="K786" s="140" t="s">
        <v>337</v>
      </c>
      <c r="L786" s="141">
        <v>3400</v>
      </c>
      <c r="M786" s="123"/>
      <c r="N786" s="117"/>
    </row>
    <row r="787" spans="1:14" ht="17.25" thickBot="1">
      <c r="A787" s="126" t="str">
        <f t="shared" si="28"/>
        <v>2025/11</v>
      </c>
      <c r="B787" s="127" t="str">
        <f t="shared" si="29"/>
        <v>2025/11站前4樓</v>
      </c>
      <c r="C787" s="138">
        <v>44</v>
      </c>
      <c r="D787" s="139" t="s">
        <v>236</v>
      </c>
      <c r="E787" s="484" t="s">
        <v>351</v>
      </c>
      <c r="F787" s="484"/>
      <c r="G787" s="484" t="s">
        <v>352</v>
      </c>
      <c r="H787" s="484"/>
      <c r="I787" s="484"/>
      <c r="J787" s="484"/>
      <c r="K787" s="140" t="s">
        <v>353</v>
      </c>
      <c r="L787" s="141">
        <v>12</v>
      </c>
      <c r="M787" s="123"/>
      <c r="N787" s="117"/>
    </row>
    <row r="788" spans="1:14" ht="17.25" thickBot="1">
      <c r="A788" s="126" t="str">
        <f t="shared" si="28"/>
        <v>2025/11</v>
      </c>
      <c r="B788" s="127" t="str">
        <f t="shared" si="29"/>
        <v>2025/11站前4樓</v>
      </c>
      <c r="C788" s="138">
        <v>45</v>
      </c>
      <c r="D788" s="139" t="s">
        <v>236</v>
      </c>
      <c r="E788" s="484" t="s">
        <v>340</v>
      </c>
      <c r="F788" s="484"/>
      <c r="G788" s="484" t="s">
        <v>341</v>
      </c>
      <c r="H788" s="484"/>
      <c r="I788" s="484"/>
      <c r="J788" s="484"/>
      <c r="K788" s="140" t="s">
        <v>342</v>
      </c>
      <c r="L788" s="141">
        <v>2</v>
      </c>
      <c r="M788" s="123"/>
      <c r="N788" s="117"/>
    </row>
    <row r="789" spans="1:14" ht="17.25" thickBot="1">
      <c r="A789" s="126" t="str">
        <f t="shared" si="28"/>
        <v>2025/11</v>
      </c>
      <c r="B789" s="127" t="str">
        <f t="shared" si="29"/>
        <v>2025/11站前4樓</v>
      </c>
      <c r="C789" s="138">
        <v>46</v>
      </c>
      <c r="D789" s="139" t="s">
        <v>236</v>
      </c>
      <c r="E789" s="484" t="s">
        <v>697</v>
      </c>
      <c r="F789" s="484"/>
      <c r="G789" s="484" t="s">
        <v>698</v>
      </c>
      <c r="H789" s="484"/>
      <c r="I789" s="484"/>
      <c r="J789" s="484"/>
      <c r="K789" s="140" t="s">
        <v>699</v>
      </c>
      <c r="L789" s="141">
        <v>3</v>
      </c>
      <c r="M789" s="123"/>
      <c r="N789" s="117"/>
    </row>
    <row r="790" spans="1:14" ht="17.25" thickBot="1">
      <c r="A790" s="126" t="str">
        <f t="shared" si="28"/>
        <v>2025/11</v>
      </c>
      <c r="B790" s="127" t="str">
        <f t="shared" si="29"/>
        <v>2025/11站前4樓</v>
      </c>
      <c r="C790" s="138">
        <v>47</v>
      </c>
      <c r="D790" s="139" t="s">
        <v>236</v>
      </c>
      <c r="E790" s="484" t="s">
        <v>683</v>
      </c>
      <c r="F790" s="484"/>
      <c r="G790" s="484" t="s">
        <v>684</v>
      </c>
      <c r="H790" s="484"/>
      <c r="I790" s="484"/>
      <c r="J790" s="484"/>
      <c r="K790" s="140" t="s">
        <v>685</v>
      </c>
      <c r="L790" s="141">
        <v>7</v>
      </c>
      <c r="M790" s="123"/>
      <c r="N790" s="117"/>
    </row>
    <row r="791" spans="1:14" ht="17.25" thickBot="1">
      <c r="A791" s="126" t="str">
        <f t="shared" si="28"/>
        <v>2025/11</v>
      </c>
      <c r="B791" s="127" t="str">
        <f t="shared" si="29"/>
        <v>2025/11站前4樓</v>
      </c>
      <c r="C791" s="138">
        <v>48</v>
      </c>
      <c r="D791" s="139" t="s">
        <v>236</v>
      </c>
      <c r="E791" s="484" t="s">
        <v>686</v>
      </c>
      <c r="F791" s="484"/>
      <c r="G791" s="484" t="s">
        <v>687</v>
      </c>
      <c r="H791" s="484"/>
      <c r="I791" s="484"/>
      <c r="J791" s="484"/>
      <c r="K791" s="140" t="s">
        <v>688</v>
      </c>
      <c r="L791" s="141">
        <v>41</v>
      </c>
      <c r="M791" s="123"/>
      <c r="N791" s="117"/>
    </row>
    <row r="792" spans="1:14" ht="17.25" thickBot="1">
      <c r="A792" s="126" t="str">
        <f t="shared" si="28"/>
        <v>2025/11</v>
      </c>
      <c r="B792" s="127" t="str">
        <f t="shared" si="29"/>
        <v>2025/11站前4樓</v>
      </c>
      <c r="C792" s="138">
        <v>49</v>
      </c>
      <c r="D792" s="139" t="s">
        <v>236</v>
      </c>
      <c r="E792" s="484" t="s">
        <v>354</v>
      </c>
      <c r="F792" s="484"/>
      <c r="G792" s="484" t="s">
        <v>355</v>
      </c>
      <c r="H792" s="484"/>
      <c r="I792" s="484"/>
      <c r="J792" s="484"/>
      <c r="K792" s="140" t="s">
        <v>356</v>
      </c>
      <c r="L792" s="141">
        <v>4</v>
      </c>
      <c r="M792" s="123"/>
      <c r="N792" s="117"/>
    </row>
    <row r="793" spans="1:14" ht="17.25" thickBot="1">
      <c r="A793" s="126" t="str">
        <f t="shared" si="28"/>
        <v>2025/11</v>
      </c>
      <c r="B793" s="127" t="str">
        <f t="shared" si="29"/>
        <v>2025/11站前4樓</v>
      </c>
      <c r="C793" s="138">
        <v>50</v>
      </c>
      <c r="D793" s="139" t="s">
        <v>236</v>
      </c>
      <c r="E793" s="484" t="s">
        <v>368</v>
      </c>
      <c r="F793" s="484"/>
      <c r="G793" s="484" t="s">
        <v>369</v>
      </c>
      <c r="H793" s="484"/>
      <c r="I793" s="484"/>
      <c r="J793" s="484"/>
      <c r="K793" s="140" t="s">
        <v>356</v>
      </c>
      <c r="L793" s="141">
        <v>3</v>
      </c>
      <c r="M793" s="123"/>
      <c r="N793" s="117"/>
    </row>
    <row r="794" spans="1:14" ht="17.25" thickBot="1">
      <c r="A794" s="126" t="str">
        <f t="shared" si="28"/>
        <v>2025/11</v>
      </c>
      <c r="B794" s="127" t="str">
        <f t="shared" si="29"/>
        <v>2025/11站前4樓</v>
      </c>
      <c r="C794" s="138">
        <v>51</v>
      </c>
      <c r="D794" s="139" t="s">
        <v>236</v>
      </c>
      <c r="E794" s="484" t="s">
        <v>425</v>
      </c>
      <c r="F794" s="484"/>
      <c r="G794" s="484" t="s">
        <v>426</v>
      </c>
      <c r="H794" s="484"/>
      <c r="I794" s="484"/>
      <c r="J794" s="484"/>
      <c r="K794" s="140" t="s">
        <v>269</v>
      </c>
      <c r="L794" s="141">
        <v>2</v>
      </c>
      <c r="M794" s="123"/>
      <c r="N794" s="117"/>
    </row>
    <row r="795" spans="1:14" ht="17.25" thickBot="1">
      <c r="A795" s="126" t="str">
        <f t="shared" si="28"/>
        <v>2025/11</v>
      </c>
      <c r="B795" s="127" t="str">
        <f t="shared" si="29"/>
        <v>2025/11站前4樓</v>
      </c>
      <c r="C795" s="138">
        <v>52</v>
      </c>
      <c r="D795" s="139" t="s">
        <v>236</v>
      </c>
      <c r="E795" s="484" t="s">
        <v>309</v>
      </c>
      <c r="F795" s="484"/>
      <c r="G795" s="484" t="s">
        <v>310</v>
      </c>
      <c r="H795" s="484"/>
      <c r="I795" s="484"/>
      <c r="J795" s="484"/>
      <c r="K795" s="140" t="s">
        <v>269</v>
      </c>
      <c r="L795" s="141">
        <v>74</v>
      </c>
      <c r="M795" s="123"/>
      <c r="N795" s="117"/>
    </row>
    <row r="796" spans="1:14" ht="17.25" thickBot="1">
      <c r="A796" s="126" t="str">
        <f t="shared" si="28"/>
        <v>2025/11</v>
      </c>
      <c r="B796" s="127" t="str">
        <f t="shared" si="29"/>
        <v>2025/11站前4樓</v>
      </c>
      <c r="C796" s="138">
        <v>53</v>
      </c>
      <c r="D796" s="139" t="s">
        <v>236</v>
      </c>
      <c r="E796" s="484" t="s">
        <v>267</v>
      </c>
      <c r="F796" s="484"/>
      <c r="G796" s="484" t="s">
        <v>268</v>
      </c>
      <c r="H796" s="484"/>
      <c r="I796" s="484"/>
      <c r="J796" s="484"/>
      <c r="K796" s="140" t="s">
        <v>269</v>
      </c>
      <c r="L796" s="141">
        <v>19</v>
      </c>
      <c r="M796" s="123"/>
      <c r="N796" s="117"/>
    </row>
    <row r="797" spans="1:14" ht="17.25" thickBot="1">
      <c r="A797" s="126" t="str">
        <f t="shared" si="28"/>
        <v>2025/11</v>
      </c>
      <c r="B797" s="127" t="str">
        <f t="shared" si="29"/>
        <v>2025/11站前4樓</v>
      </c>
      <c r="C797" s="138">
        <v>54</v>
      </c>
      <c r="D797" s="139" t="s">
        <v>236</v>
      </c>
      <c r="E797" s="484" t="s">
        <v>297</v>
      </c>
      <c r="F797" s="484"/>
      <c r="G797" s="484" t="s">
        <v>298</v>
      </c>
      <c r="H797" s="484"/>
      <c r="I797" s="484"/>
      <c r="J797" s="484"/>
      <c r="K797" s="140" t="s">
        <v>269</v>
      </c>
      <c r="L797" s="141">
        <v>3</v>
      </c>
      <c r="M797" s="123"/>
      <c r="N797" s="117"/>
    </row>
    <row r="798" spans="1:14" ht="17.25" thickBot="1">
      <c r="A798" s="126" t="str">
        <f t="shared" si="28"/>
        <v>2025/11</v>
      </c>
      <c r="B798" s="127" t="str">
        <f t="shared" si="29"/>
        <v>2025/11站前4樓</v>
      </c>
      <c r="C798" s="138">
        <v>55</v>
      </c>
      <c r="D798" s="139" t="s">
        <v>236</v>
      </c>
      <c r="E798" s="484" t="s">
        <v>315</v>
      </c>
      <c r="F798" s="484"/>
      <c r="G798" s="484" t="s">
        <v>316</v>
      </c>
      <c r="H798" s="484"/>
      <c r="I798" s="484"/>
      <c r="J798" s="484"/>
      <c r="K798" s="140" t="s">
        <v>296</v>
      </c>
      <c r="L798" s="141">
        <v>4</v>
      </c>
      <c r="M798" s="123"/>
      <c r="N798" s="117"/>
    </row>
    <row r="799" spans="1:14" ht="17.25" thickBot="1">
      <c r="A799" s="126" t="str">
        <f t="shared" si="28"/>
        <v>2025/11</v>
      </c>
      <c r="B799" s="127" t="str">
        <f t="shared" si="29"/>
        <v>2025/11站前4樓</v>
      </c>
      <c r="C799" s="138">
        <v>56</v>
      </c>
      <c r="D799" s="139" t="s">
        <v>236</v>
      </c>
      <c r="E799" s="484" t="s">
        <v>294</v>
      </c>
      <c r="F799" s="484"/>
      <c r="G799" s="484" t="s">
        <v>295</v>
      </c>
      <c r="H799" s="484"/>
      <c r="I799" s="484"/>
      <c r="J799" s="484"/>
      <c r="K799" s="140" t="s">
        <v>296</v>
      </c>
      <c r="L799" s="141">
        <v>4</v>
      </c>
      <c r="M799" s="123"/>
      <c r="N799" s="117"/>
    </row>
    <row r="800" spans="1:14" ht="17.25" thickBot="1">
      <c r="A800" s="126" t="str">
        <f t="shared" si="28"/>
        <v>2025/11</v>
      </c>
      <c r="B800" s="127" t="str">
        <f t="shared" si="29"/>
        <v>2025/11站前4樓</v>
      </c>
      <c r="C800" s="138">
        <v>57</v>
      </c>
      <c r="D800" s="139" t="s">
        <v>236</v>
      </c>
      <c r="E800" s="484" t="s">
        <v>237</v>
      </c>
      <c r="F800" s="484"/>
      <c r="G800" s="484" t="s">
        <v>238</v>
      </c>
      <c r="H800" s="484"/>
      <c r="I800" s="484"/>
      <c r="J800" s="484"/>
      <c r="K800" s="140" t="s">
        <v>239</v>
      </c>
      <c r="L800" s="141">
        <v>658</v>
      </c>
      <c r="M800" s="123"/>
      <c r="N800" s="117"/>
    </row>
    <row r="801" spans="1:14" ht="17.25" thickBot="1">
      <c r="A801" s="126" t="str">
        <f t="shared" si="28"/>
        <v>2025/11</v>
      </c>
      <c r="B801" s="127" t="str">
        <f t="shared" si="29"/>
        <v>2025/11站前4樓</v>
      </c>
      <c r="C801" s="138">
        <v>58</v>
      </c>
      <c r="D801" s="139" t="s">
        <v>236</v>
      </c>
      <c r="E801" s="484" t="s">
        <v>240</v>
      </c>
      <c r="F801" s="484"/>
      <c r="G801" s="484" t="s">
        <v>241</v>
      </c>
      <c r="H801" s="484"/>
      <c r="I801" s="484"/>
      <c r="J801" s="484"/>
      <c r="K801" s="140" t="s">
        <v>239</v>
      </c>
      <c r="L801" s="141">
        <v>658</v>
      </c>
      <c r="M801" s="123"/>
      <c r="N801" s="117"/>
    </row>
    <row r="802" spans="1:14" ht="17.25" thickBot="1">
      <c r="A802" s="126" t="str">
        <f t="shared" si="28"/>
        <v>2025/11</v>
      </c>
      <c r="B802" s="127" t="str">
        <f t="shared" si="29"/>
        <v>2025/11站前4樓</v>
      </c>
      <c r="C802" s="138">
        <v>59</v>
      </c>
      <c r="D802" s="139" t="s">
        <v>236</v>
      </c>
      <c r="E802" s="484" t="s">
        <v>242</v>
      </c>
      <c r="F802" s="484"/>
      <c r="G802" s="484" t="s">
        <v>243</v>
      </c>
      <c r="H802" s="484"/>
      <c r="I802" s="484"/>
      <c r="J802" s="484"/>
      <c r="K802" s="140" t="s">
        <v>239</v>
      </c>
      <c r="L802" s="141">
        <v>658</v>
      </c>
      <c r="M802" s="123"/>
      <c r="N802" s="117"/>
    </row>
    <row r="803" spans="1:14" ht="17.25" thickBot="1">
      <c r="A803" s="126" t="str">
        <f t="shared" si="28"/>
        <v>2025/11</v>
      </c>
      <c r="B803" s="127" t="str">
        <f t="shared" si="29"/>
        <v>2025/11站前4樓</v>
      </c>
      <c r="C803" s="138">
        <v>60</v>
      </c>
      <c r="D803" s="139" t="s">
        <v>236</v>
      </c>
      <c r="E803" s="484" t="s">
        <v>244</v>
      </c>
      <c r="F803" s="484"/>
      <c r="G803" s="484" t="s">
        <v>245</v>
      </c>
      <c r="H803" s="484"/>
      <c r="I803" s="484"/>
      <c r="J803" s="484"/>
      <c r="K803" s="140" t="s">
        <v>725</v>
      </c>
      <c r="L803" s="141">
        <v>9870</v>
      </c>
      <c r="M803" s="123"/>
      <c r="N803" s="117"/>
    </row>
    <row r="804" spans="1:14" ht="17.25" thickBot="1">
      <c r="A804" s="126" t="str">
        <f t="shared" si="28"/>
        <v>2025/11</v>
      </c>
      <c r="B804" s="127" t="str">
        <f t="shared" si="29"/>
        <v>2025/11站前4樓</v>
      </c>
      <c r="C804" s="138">
        <v>61</v>
      </c>
      <c r="D804" s="139" t="s">
        <v>236</v>
      </c>
      <c r="E804" s="484" t="s">
        <v>246</v>
      </c>
      <c r="F804" s="484"/>
      <c r="G804" s="484" t="s">
        <v>247</v>
      </c>
      <c r="H804" s="484"/>
      <c r="I804" s="484"/>
      <c r="J804" s="484"/>
      <c r="K804" s="140" t="s">
        <v>725</v>
      </c>
      <c r="L804" s="141">
        <v>9870</v>
      </c>
      <c r="M804" s="123"/>
      <c r="N804" s="117"/>
    </row>
    <row r="805" spans="1:14" ht="17.25" thickBot="1">
      <c r="A805" s="126" t="str">
        <f t="shared" si="28"/>
        <v>2025/11</v>
      </c>
      <c r="B805" s="127" t="str">
        <f t="shared" si="29"/>
        <v>2025/11站前4樓</v>
      </c>
      <c r="C805" s="138">
        <v>62</v>
      </c>
      <c r="D805" s="139" t="s">
        <v>236</v>
      </c>
      <c r="E805" s="484" t="s">
        <v>248</v>
      </c>
      <c r="F805" s="484"/>
      <c r="G805" s="484" t="s">
        <v>249</v>
      </c>
      <c r="H805" s="484"/>
      <c r="I805" s="484"/>
      <c r="J805" s="484"/>
      <c r="K805" s="140" t="s">
        <v>725</v>
      </c>
      <c r="L805" s="141">
        <v>9870</v>
      </c>
      <c r="M805" s="123"/>
      <c r="N805" s="117"/>
    </row>
    <row r="806" spans="1:14" ht="17.25" thickBot="1">
      <c r="A806" s="126" t="str">
        <f t="shared" si="28"/>
        <v>2025/11</v>
      </c>
      <c r="B806" s="127" t="str">
        <f t="shared" si="29"/>
        <v>2025/11站前4樓</v>
      </c>
      <c r="C806" s="138">
        <v>63</v>
      </c>
      <c r="D806" s="139" t="s">
        <v>236</v>
      </c>
      <c r="E806" s="484" t="s">
        <v>250</v>
      </c>
      <c r="F806" s="484"/>
      <c r="G806" s="484" t="s">
        <v>251</v>
      </c>
      <c r="H806" s="484"/>
      <c r="I806" s="484"/>
      <c r="J806" s="484"/>
      <c r="K806" s="140" t="s">
        <v>725</v>
      </c>
      <c r="L806" s="141">
        <v>9870</v>
      </c>
      <c r="M806" s="123"/>
      <c r="N806" s="117"/>
    </row>
    <row r="807" spans="1:14" ht="17.25" thickBot="1">
      <c r="A807" s="126" t="str">
        <f t="shared" si="28"/>
        <v>2025/11</v>
      </c>
      <c r="B807" s="127" t="str">
        <f>"2025/11"&amp;D807</f>
        <v>2025/11站前11樓</v>
      </c>
      <c r="C807" s="138">
        <v>64</v>
      </c>
      <c r="D807" s="139" t="s">
        <v>374</v>
      </c>
      <c r="E807" s="484" t="s">
        <v>392</v>
      </c>
      <c r="F807" s="484"/>
      <c r="G807" s="484" t="s">
        <v>393</v>
      </c>
      <c r="H807" s="484"/>
      <c r="I807" s="484"/>
      <c r="J807" s="484"/>
      <c r="K807" s="140" t="s">
        <v>382</v>
      </c>
      <c r="L807" s="141">
        <v>527</v>
      </c>
      <c r="M807" s="123"/>
      <c r="N807" s="117"/>
    </row>
    <row r="808" spans="1:14" ht="17.25" thickBot="1">
      <c r="A808" s="126" t="str">
        <f t="shared" si="28"/>
        <v>2025/11</v>
      </c>
      <c r="B808" s="127" t="str">
        <f t="shared" ref="B808:B832" si="30">"2025/11"&amp;D808</f>
        <v>2025/11站前11樓</v>
      </c>
      <c r="C808" s="138">
        <v>65</v>
      </c>
      <c r="D808" s="139" t="s">
        <v>374</v>
      </c>
      <c r="E808" s="484" t="s">
        <v>380</v>
      </c>
      <c r="F808" s="484"/>
      <c r="G808" s="484" t="s">
        <v>381</v>
      </c>
      <c r="H808" s="484"/>
      <c r="I808" s="484"/>
      <c r="J808" s="484"/>
      <c r="K808" s="140" t="s">
        <v>382</v>
      </c>
      <c r="L808" s="141">
        <v>651.5</v>
      </c>
      <c r="M808" s="123"/>
      <c r="N808" s="117"/>
    </row>
    <row r="809" spans="1:14" ht="17.25" thickBot="1">
      <c r="A809" s="126" t="str">
        <f t="shared" ref="A809:A872" si="31">IFERROR(LEFT(B809,7),"")</f>
        <v>2025/11</v>
      </c>
      <c r="B809" s="127" t="str">
        <f t="shared" si="30"/>
        <v>2025/11站前11樓</v>
      </c>
      <c r="C809" s="138">
        <v>66</v>
      </c>
      <c r="D809" s="139" t="s">
        <v>374</v>
      </c>
      <c r="E809" s="484" t="s">
        <v>413</v>
      </c>
      <c r="F809" s="484"/>
      <c r="G809" s="484" t="s">
        <v>674</v>
      </c>
      <c r="H809" s="484"/>
      <c r="I809" s="484"/>
      <c r="J809" s="484"/>
      <c r="K809" s="140" t="s">
        <v>410</v>
      </c>
      <c r="L809" s="141">
        <v>17</v>
      </c>
      <c r="M809" s="123"/>
      <c r="N809" s="117"/>
    </row>
    <row r="810" spans="1:14" ht="17.25" thickBot="1">
      <c r="A810" s="126" t="str">
        <f t="shared" si="31"/>
        <v>2025/11</v>
      </c>
      <c r="B810" s="127" t="str">
        <f t="shared" si="30"/>
        <v>2025/11站前11樓</v>
      </c>
      <c r="C810" s="138">
        <v>67</v>
      </c>
      <c r="D810" s="139" t="s">
        <v>374</v>
      </c>
      <c r="E810" s="484" t="s">
        <v>360</v>
      </c>
      <c r="F810" s="484"/>
      <c r="G810" s="484" t="s">
        <v>361</v>
      </c>
      <c r="H810" s="484"/>
      <c r="I810" s="484"/>
      <c r="J810" s="484"/>
      <c r="K810" s="140" t="s">
        <v>362</v>
      </c>
      <c r="L810" s="141">
        <v>24</v>
      </c>
      <c r="M810" s="123"/>
      <c r="N810" s="117"/>
    </row>
    <row r="811" spans="1:14" ht="17.25" thickBot="1">
      <c r="A811" s="126" t="str">
        <f t="shared" si="31"/>
        <v>2025/11</v>
      </c>
      <c r="B811" s="127" t="str">
        <f t="shared" si="30"/>
        <v>2025/11站前11樓</v>
      </c>
      <c r="C811" s="138">
        <v>68</v>
      </c>
      <c r="D811" s="139" t="s">
        <v>374</v>
      </c>
      <c r="E811" s="484" t="s">
        <v>383</v>
      </c>
      <c r="F811" s="484"/>
      <c r="G811" s="484" t="s">
        <v>384</v>
      </c>
      <c r="H811" s="484"/>
      <c r="I811" s="484"/>
      <c r="J811" s="484"/>
      <c r="K811" s="140" t="s">
        <v>385</v>
      </c>
      <c r="L811" s="141">
        <v>273</v>
      </c>
      <c r="M811" s="123"/>
      <c r="N811" s="117"/>
    </row>
    <row r="812" spans="1:14" ht="17.25" thickBot="1">
      <c r="A812" s="126" t="str">
        <f t="shared" si="31"/>
        <v>2025/11</v>
      </c>
      <c r="B812" s="127" t="str">
        <f t="shared" si="30"/>
        <v>2025/11站前11樓</v>
      </c>
      <c r="C812" s="138">
        <v>69</v>
      </c>
      <c r="D812" s="139" t="s">
        <v>374</v>
      </c>
      <c r="E812" s="484" t="s">
        <v>394</v>
      </c>
      <c r="F812" s="484"/>
      <c r="G812" s="484" t="s">
        <v>395</v>
      </c>
      <c r="H812" s="484"/>
      <c r="I812" s="484"/>
      <c r="J812" s="484"/>
      <c r="K812" s="140" t="s">
        <v>272</v>
      </c>
      <c r="L812" s="141">
        <v>4</v>
      </c>
      <c r="M812" s="123"/>
      <c r="N812" s="117"/>
    </row>
    <row r="813" spans="1:14" ht="17.25" thickBot="1">
      <c r="A813" s="126" t="str">
        <f t="shared" si="31"/>
        <v>2025/11</v>
      </c>
      <c r="B813" s="127" t="str">
        <f t="shared" si="30"/>
        <v>2025/11站前11樓</v>
      </c>
      <c r="C813" s="138">
        <v>70</v>
      </c>
      <c r="D813" s="139" t="s">
        <v>374</v>
      </c>
      <c r="E813" s="484" t="s">
        <v>403</v>
      </c>
      <c r="F813" s="484"/>
      <c r="G813" s="484" t="s">
        <v>404</v>
      </c>
      <c r="H813" s="484"/>
      <c r="I813" s="484"/>
      <c r="J813" s="484"/>
      <c r="K813" s="140" t="s">
        <v>405</v>
      </c>
      <c r="L813" s="141">
        <v>4</v>
      </c>
      <c r="M813" s="123"/>
      <c r="N813" s="117"/>
    </row>
    <row r="814" spans="1:14" ht="17.25" thickBot="1">
      <c r="A814" s="126" t="str">
        <f t="shared" si="31"/>
        <v>2025/11</v>
      </c>
      <c r="B814" s="127" t="str">
        <f t="shared" si="30"/>
        <v>2025/11站前11樓</v>
      </c>
      <c r="C814" s="138">
        <v>71</v>
      </c>
      <c r="D814" s="139" t="s">
        <v>374</v>
      </c>
      <c r="E814" s="484" t="s">
        <v>406</v>
      </c>
      <c r="F814" s="484"/>
      <c r="G814" s="484" t="s">
        <v>407</v>
      </c>
      <c r="H814" s="484"/>
      <c r="I814" s="484"/>
      <c r="J814" s="484"/>
      <c r="K814" s="140" t="s">
        <v>385</v>
      </c>
      <c r="L814" s="141">
        <v>4</v>
      </c>
      <c r="M814" s="123"/>
      <c r="N814" s="117"/>
    </row>
    <row r="815" spans="1:14" ht="17.25" thickBot="1">
      <c r="A815" s="126" t="str">
        <f t="shared" si="31"/>
        <v>2025/11</v>
      </c>
      <c r="B815" s="127" t="str">
        <f t="shared" si="30"/>
        <v>2025/11站前11樓</v>
      </c>
      <c r="C815" s="138">
        <v>72</v>
      </c>
      <c r="D815" s="139" t="s">
        <v>374</v>
      </c>
      <c r="E815" s="484" t="s">
        <v>408</v>
      </c>
      <c r="F815" s="484"/>
      <c r="G815" s="484" t="s">
        <v>409</v>
      </c>
      <c r="H815" s="484"/>
      <c r="I815" s="484"/>
      <c r="J815" s="484"/>
      <c r="K815" s="140" t="s">
        <v>410</v>
      </c>
      <c r="L815" s="141">
        <v>5</v>
      </c>
      <c r="M815" s="123"/>
      <c r="N815" s="117"/>
    </row>
    <row r="816" spans="1:14" ht="17.25" thickBot="1">
      <c r="A816" s="126" t="str">
        <f t="shared" si="31"/>
        <v>2025/11</v>
      </c>
      <c r="B816" s="127" t="str">
        <f t="shared" si="30"/>
        <v>2025/11站前11樓</v>
      </c>
      <c r="C816" s="138">
        <v>73</v>
      </c>
      <c r="D816" s="139" t="s">
        <v>374</v>
      </c>
      <c r="E816" s="484" t="s">
        <v>255</v>
      </c>
      <c r="F816" s="484"/>
      <c r="G816" s="484" t="s">
        <v>256</v>
      </c>
      <c r="H816" s="484"/>
      <c r="I816" s="484"/>
      <c r="J816" s="484"/>
      <c r="K816" s="140" t="s">
        <v>720</v>
      </c>
      <c r="L816" s="141">
        <v>260</v>
      </c>
      <c r="M816" s="123"/>
      <c r="N816" s="117"/>
    </row>
    <row r="817" spans="1:14" ht="17.25" thickBot="1">
      <c r="A817" s="126" t="str">
        <f t="shared" si="31"/>
        <v>2025/11</v>
      </c>
      <c r="B817" s="127" t="str">
        <f t="shared" si="30"/>
        <v>2025/11站前11樓</v>
      </c>
      <c r="C817" s="138">
        <v>74</v>
      </c>
      <c r="D817" s="139" t="s">
        <v>374</v>
      </c>
      <c r="E817" s="484" t="s">
        <v>419</v>
      </c>
      <c r="F817" s="484"/>
      <c r="G817" s="484" t="s">
        <v>420</v>
      </c>
      <c r="H817" s="484"/>
      <c r="I817" s="484"/>
      <c r="J817" s="484"/>
      <c r="K817" s="140" t="s">
        <v>726</v>
      </c>
      <c r="L817" s="141">
        <v>442</v>
      </c>
      <c r="M817" s="123"/>
      <c r="N817" s="117"/>
    </row>
    <row r="818" spans="1:14" ht="17.25" thickBot="1">
      <c r="A818" s="126" t="str">
        <f t="shared" si="31"/>
        <v>2025/11</v>
      </c>
      <c r="B818" s="127" t="str">
        <f t="shared" si="30"/>
        <v>2025/11站前11樓</v>
      </c>
      <c r="C818" s="138">
        <v>75</v>
      </c>
      <c r="D818" s="139" t="s">
        <v>374</v>
      </c>
      <c r="E818" s="484" t="s">
        <v>258</v>
      </c>
      <c r="F818" s="484"/>
      <c r="G818" s="484" t="s">
        <v>259</v>
      </c>
      <c r="H818" s="484"/>
      <c r="I818" s="484"/>
      <c r="J818" s="484"/>
      <c r="K818" s="140"/>
      <c r="L818" s="141">
        <v>31</v>
      </c>
      <c r="M818" s="123"/>
      <c r="N818" s="117"/>
    </row>
    <row r="819" spans="1:14" ht="17.25" thickBot="1">
      <c r="A819" s="126" t="str">
        <f t="shared" si="31"/>
        <v>2025/11</v>
      </c>
      <c r="B819" s="127" t="str">
        <f t="shared" si="30"/>
        <v>2025/11站前11樓</v>
      </c>
      <c r="C819" s="138">
        <v>76</v>
      </c>
      <c r="D819" s="139" t="s">
        <v>374</v>
      </c>
      <c r="E819" s="484" t="s">
        <v>260</v>
      </c>
      <c r="F819" s="484"/>
      <c r="G819" s="484" t="s">
        <v>261</v>
      </c>
      <c r="H819" s="484"/>
      <c r="I819" s="484"/>
      <c r="J819" s="484"/>
      <c r="K819" s="140" t="s">
        <v>254</v>
      </c>
      <c r="L819" s="141">
        <v>31</v>
      </c>
      <c r="M819" s="123"/>
      <c r="N819" s="117"/>
    </row>
    <row r="820" spans="1:14" ht="17.25" thickBot="1">
      <c r="A820" s="126" t="str">
        <f t="shared" si="31"/>
        <v>2025/11</v>
      </c>
      <c r="B820" s="127" t="str">
        <f t="shared" si="30"/>
        <v>2025/11站前11樓</v>
      </c>
      <c r="C820" s="138">
        <v>77</v>
      </c>
      <c r="D820" s="139" t="s">
        <v>374</v>
      </c>
      <c r="E820" s="484" t="s">
        <v>252</v>
      </c>
      <c r="F820" s="484"/>
      <c r="G820" s="484" t="s">
        <v>253</v>
      </c>
      <c r="H820" s="484"/>
      <c r="I820" s="484"/>
      <c r="J820" s="484"/>
      <c r="K820" s="140" t="s">
        <v>254</v>
      </c>
      <c r="L820" s="141">
        <v>31</v>
      </c>
      <c r="M820" s="123"/>
      <c r="N820" s="117"/>
    </row>
    <row r="821" spans="1:14" ht="17.25" thickBot="1">
      <c r="A821" s="126" t="str">
        <f t="shared" si="31"/>
        <v>2025/11</v>
      </c>
      <c r="B821" s="127" t="str">
        <f t="shared" si="30"/>
        <v>2025/11站前11樓</v>
      </c>
      <c r="C821" s="138">
        <v>78</v>
      </c>
      <c r="D821" s="139" t="s">
        <v>374</v>
      </c>
      <c r="E821" s="484" t="s">
        <v>690</v>
      </c>
      <c r="F821" s="484"/>
      <c r="G821" s="484" t="s">
        <v>691</v>
      </c>
      <c r="H821" s="484"/>
      <c r="I821" s="484"/>
      <c r="J821" s="484"/>
      <c r="K821" s="140" t="s">
        <v>692</v>
      </c>
      <c r="L821" s="141">
        <v>3</v>
      </c>
      <c r="M821" s="123"/>
      <c r="N821" s="117"/>
    </row>
    <row r="822" spans="1:14" ht="17.25" thickBot="1">
      <c r="A822" s="126" t="str">
        <f t="shared" si="31"/>
        <v>2025/11</v>
      </c>
      <c r="B822" s="127" t="str">
        <f t="shared" si="30"/>
        <v>2025/11站前11樓</v>
      </c>
      <c r="C822" s="138">
        <v>79</v>
      </c>
      <c r="D822" s="139" t="s">
        <v>374</v>
      </c>
      <c r="E822" s="484" t="s">
        <v>389</v>
      </c>
      <c r="F822" s="484"/>
      <c r="G822" s="484" t="s">
        <v>390</v>
      </c>
      <c r="H822" s="484"/>
      <c r="I822" s="484"/>
      <c r="J822" s="484"/>
      <c r="K822" s="140" t="s">
        <v>391</v>
      </c>
      <c r="L822" s="141">
        <v>43</v>
      </c>
      <c r="M822" s="123"/>
      <c r="N822" s="117"/>
    </row>
    <row r="823" spans="1:14" ht="17.25" thickBot="1">
      <c r="A823" s="126" t="str">
        <f t="shared" si="31"/>
        <v>2025/11</v>
      </c>
      <c r="B823" s="127" t="str">
        <f t="shared" si="30"/>
        <v>2025/11站前11樓</v>
      </c>
      <c r="C823" s="138">
        <v>80</v>
      </c>
      <c r="D823" s="139" t="s">
        <v>374</v>
      </c>
      <c r="E823" s="484" t="s">
        <v>439</v>
      </c>
      <c r="F823" s="484"/>
      <c r="G823" s="484" t="s">
        <v>440</v>
      </c>
      <c r="H823" s="484"/>
      <c r="I823" s="484"/>
      <c r="J823" s="484"/>
      <c r="K823" s="140" t="s">
        <v>145</v>
      </c>
      <c r="L823" s="141">
        <v>4</v>
      </c>
      <c r="M823" s="123"/>
      <c r="N823" s="117"/>
    </row>
    <row r="824" spans="1:14" ht="17.25" thickBot="1">
      <c r="A824" s="126" t="str">
        <f t="shared" si="31"/>
        <v>2025/11</v>
      </c>
      <c r="B824" s="127" t="str">
        <f t="shared" si="30"/>
        <v>2025/11站前11樓</v>
      </c>
      <c r="C824" s="138">
        <v>81</v>
      </c>
      <c r="D824" s="139" t="s">
        <v>374</v>
      </c>
      <c r="E824" s="484" t="s">
        <v>386</v>
      </c>
      <c r="F824" s="484"/>
      <c r="G824" s="484" t="s">
        <v>387</v>
      </c>
      <c r="H824" s="484"/>
      <c r="I824" s="484"/>
      <c r="J824" s="484"/>
      <c r="K824" s="140" t="s">
        <v>388</v>
      </c>
      <c r="L824" s="141">
        <v>1475</v>
      </c>
      <c r="M824" s="123"/>
      <c r="N824" s="117"/>
    </row>
    <row r="825" spans="1:14" ht="17.25" thickBot="1">
      <c r="A825" s="126" t="str">
        <f t="shared" si="31"/>
        <v>2025/11</v>
      </c>
      <c r="B825" s="127" t="str">
        <f t="shared" si="30"/>
        <v>2025/11站前11樓</v>
      </c>
      <c r="C825" s="138">
        <v>82</v>
      </c>
      <c r="D825" s="139" t="s">
        <v>374</v>
      </c>
      <c r="E825" s="484" t="s">
        <v>377</v>
      </c>
      <c r="F825" s="484"/>
      <c r="G825" s="484" t="s">
        <v>378</v>
      </c>
      <c r="H825" s="484"/>
      <c r="I825" s="484"/>
      <c r="J825" s="484"/>
      <c r="K825" s="140" t="s">
        <v>379</v>
      </c>
      <c r="L825" s="141">
        <v>24</v>
      </c>
      <c r="M825" s="123"/>
      <c r="N825" s="117"/>
    </row>
    <row r="826" spans="1:14" ht="17.25" thickBot="1">
      <c r="A826" s="126" t="str">
        <f t="shared" si="31"/>
        <v>2025/11</v>
      </c>
      <c r="B826" s="127" t="str">
        <f t="shared" si="30"/>
        <v>2025/11站前11樓</v>
      </c>
      <c r="C826" s="138">
        <v>83</v>
      </c>
      <c r="D826" s="139" t="s">
        <v>374</v>
      </c>
      <c r="E826" s="484" t="s">
        <v>401</v>
      </c>
      <c r="F826" s="484"/>
      <c r="G826" s="484" t="s">
        <v>402</v>
      </c>
      <c r="H826" s="484"/>
      <c r="I826" s="484"/>
      <c r="J826" s="484"/>
      <c r="K826" s="140" t="s">
        <v>145</v>
      </c>
      <c r="L826" s="141">
        <v>9</v>
      </c>
      <c r="M826" s="123"/>
      <c r="N826" s="117"/>
    </row>
    <row r="827" spans="1:14" ht="17.25" thickBot="1">
      <c r="A827" s="126" t="str">
        <f t="shared" si="31"/>
        <v>2025/11</v>
      </c>
      <c r="B827" s="127" t="str">
        <f t="shared" si="30"/>
        <v>2025/11站前11樓</v>
      </c>
      <c r="C827" s="138">
        <v>84</v>
      </c>
      <c r="D827" s="139" t="s">
        <v>374</v>
      </c>
      <c r="E827" s="484" t="s">
        <v>417</v>
      </c>
      <c r="F827" s="484"/>
      <c r="G827" s="484" t="s">
        <v>418</v>
      </c>
      <c r="H827" s="484"/>
      <c r="I827" s="484"/>
      <c r="J827" s="484"/>
      <c r="K827" s="140" t="s">
        <v>145</v>
      </c>
      <c r="L827" s="141">
        <v>16</v>
      </c>
      <c r="M827" s="123"/>
      <c r="N827" s="117"/>
    </row>
    <row r="828" spans="1:14" ht="17.25" thickBot="1">
      <c r="A828" s="126" t="str">
        <f t="shared" si="31"/>
        <v>2025/11</v>
      </c>
      <c r="B828" s="127" t="str">
        <f t="shared" si="30"/>
        <v>2025/11站前11樓</v>
      </c>
      <c r="C828" s="138">
        <v>85</v>
      </c>
      <c r="D828" s="139" t="s">
        <v>374</v>
      </c>
      <c r="E828" s="484" t="s">
        <v>451</v>
      </c>
      <c r="F828" s="484"/>
      <c r="G828" s="484" t="s">
        <v>452</v>
      </c>
      <c r="H828" s="484"/>
      <c r="I828" s="484"/>
      <c r="J828" s="484"/>
      <c r="K828" s="140" t="s">
        <v>145</v>
      </c>
      <c r="L828" s="141">
        <v>1</v>
      </c>
      <c r="M828" s="123"/>
      <c r="N828" s="117"/>
    </row>
    <row r="829" spans="1:14" ht="17.25" thickBot="1">
      <c r="A829" s="126" t="str">
        <f t="shared" si="31"/>
        <v>2025/11</v>
      </c>
      <c r="B829" s="127" t="str">
        <f t="shared" si="30"/>
        <v>2025/11站前11樓</v>
      </c>
      <c r="C829" s="138">
        <v>86</v>
      </c>
      <c r="D829" s="139" t="s">
        <v>374</v>
      </c>
      <c r="E829" s="484" t="s">
        <v>375</v>
      </c>
      <c r="F829" s="484"/>
      <c r="G829" s="484" t="s">
        <v>376</v>
      </c>
      <c r="H829" s="484"/>
      <c r="I829" s="484"/>
      <c r="J829" s="484"/>
      <c r="K829" s="140" t="s">
        <v>145</v>
      </c>
      <c r="L829" s="141">
        <v>1</v>
      </c>
      <c r="M829" s="123"/>
      <c r="N829" s="117"/>
    </row>
    <row r="830" spans="1:14" ht="17.25" thickBot="1">
      <c r="A830" s="126" t="str">
        <f t="shared" si="31"/>
        <v>2025/11</v>
      </c>
      <c r="B830" s="127" t="str">
        <f t="shared" si="30"/>
        <v>2025/11站前11樓</v>
      </c>
      <c r="C830" s="138">
        <v>87</v>
      </c>
      <c r="D830" s="139" t="s">
        <v>374</v>
      </c>
      <c r="E830" s="484" t="s">
        <v>422</v>
      </c>
      <c r="F830" s="484"/>
      <c r="G830" s="484" t="s">
        <v>423</v>
      </c>
      <c r="H830" s="484"/>
      <c r="I830" s="484"/>
      <c r="J830" s="484"/>
      <c r="K830" s="140" t="s">
        <v>145</v>
      </c>
      <c r="L830" s="141">
        <v>2</v>
      </c>
      <c r="M830" s="123"/>
      <c r="N830" s="117"/>
    </row>
    <row r="831" spans="1:14" ht="17.25" thickBot="1">
      <c r="A831" s="126" t="str">
        <f t="shared" si="31"/>
        <v>2025/11</v>
      </c>
      <c r="B831" s="127" t="str">
        <f t="shared" si="30"/>
        <v>2025/11站前11樓</v>
      </c>
      <c r="C831" s="138">
        <v>88</v>
      </c>
      <c r="D831" s="139" t="s">
        <v>374</v>
      </c>
      <c r="E831" s="484" t="s">
        <v>399</v>
      </c>
      <c r="F831" s="484"/>
      <c r="G831" s="484" t="s">
        <v>400</v>
      </c>
      <c r="H831" s="484"/>
      <c r="I831" s="484"/>
      <c r="J831" s="484"/>
      <c r="K831" s="140" t="s">
        <v>145</v>
      </c>
      <c r="L831" s="141">
        <v>4</v>
      </c>
      <c r="M831" s="123"/>
      <c r="N831" s="117"/>
    </row>
    <row r="832" spans="1:14" ht="17.25" thickBot="1">
      <c r="A832" s="126" t="str">
        <f t="shared" si="31"/>
        <v>2025/11</v>
      </c>
      <c r="B832" s="127" t="str">
        <f t="shared" si="30"/>
        <v>2025/11站前11樓</v>
      </c>
      <c r="C832" s="138">
        <v>89</v>
      </c>
      <c r="D832" s="139" t="s">
        <v>374</v>
      </c>
      <c r="E832" s="489" t="s">
        <v>693</v>
      </c>
      <c r="F832" s="490"/>
      <c r="G832" s="489" t="s">
        <v>694</v>
      </c>
      <c r="H832" s="491"/>
      <c r="I832" s="491"/>
      <c r="J832" s="490"/>
      <c r="K832" s="140" t="s">
        <v>433</v>
      </c>
      <c r="L832" s="141">
        <v>436</v>
      </c>
      <c r="M832" s="123"/>
      <c r="N832" s="117"/>
    </row>
    <row r="833" spans="1:14" ht="17.25" thickBot="1">
      <c r="A833" s="126" t="str">
        <f t="shared" si="31"/>
        <v>2025/11</v>
      </c>
      <c r="B833" s="127" t="str">
        <f>"2025/11"&amp;D833</f>
        <v>2025/11忠孝7樓</v>
      </c>
      <c r="C833" s="138">
        <v>90</v>
      </c>
      <c r="D833" s="139" t="s">
        <v>424</v>
      </c>
      <c r="E833" s="484" t="s">
        <v>727</v>
      </c>
      <c r="F833" s="484"/>
      <c r="G833" s="484" t="s">
        <v>728</v>
      </c>
      <c r="H833" s="484"/>
      <c r="I833" s="484"/>
      <c r="J833" s="484"/>
      <c r="K833" s="140"/>
      <c r="L833" s="141">
        <v>1</v>
      </c>
      <c r="M833" s="123"/>
      <c r="N833" s="117"/>
    </row>
    <row r="834" spans="1:14" ht="17.25" thickBot="1">
      <c r="A834" s="126" t="str">
        <f t="shared" si="31"/>
        <v>2025/11</v>
      </c>
      <c r="B834" s="127" t="str">
        <f t="shared" ref="B834:B897" si="32">"2025/11"&amp;D834</f>
        <v>2025/11忠孝7樓</v>
      </c>
      <c r="C834" s="138">
        <v>91</v>
      </c>
      <c r="D834" s="139" t="s">
        <v>424</v>
      </c>
      <c r="E834" s="484" t="s">
        <v>413</v>
      </c>
      <c r="F834" s="484"/>
      <c r="G834" s="484" t="s">
        <v>674</v>
      </c>
      <c r="H834" s="484"/>
      <c r="I834" s="484"/>
      <c r="J834" s="484"/>
      <c r="K834" s="140" t="s">
        <v>410</v>
      </c>
      <c r="L834" s="141">
        <v>10</v>
      </c>
      <c r="M834" s="123"/>
      <c r="N834" s="117"/>
    </row>
    <row r="835" spans="1:14" ht="17.25" thickBot="1">
      <c r="A835" s="126" t="str">
        <f t="shared" si="31"/>
        <v>2025/11</v>
      </c>
      <c r="B835" s="127" t="str">
        <f t="shared" si="32"/>
        <v>2025/11忠孝7樓</v>
      </c>
      <c r="C835" s="138">
        <v>92</v>
      </c>
      <c r="D835" s="139" t="s">
        <v>424</v>
      </c>
      <c r="E835" s="484" t="s">
        <v>360</v>
      </c>
      <c r="F835" s="484"/>
      <c r="G835" s="484" t="s">
        <v>361</v>
      </c>
      <c r="H835" s="484"/>
      <c r="I835" s="484"/>
      <c r="J835" s="484"/>
      <c r="K835" s="140" t="s">
        <v>362</v>
      </c>
      <c r="L835" s="141">
        <v>11</v>
      </c>
      <c r="M835" s="123"/>
      <c r="N835" s="117"/>
    </row>
    <row r="836" spans="1:14" ht="17.25" thickBot="1">
      <c r="A836" s="126" t="str">
        <f t="shared" si="31"/>
        <v>2025/11</v>
      </c>
      <c r="B836" s="127" t="str">
        <f t="shared" si="32"/>
        <v>2025/11忠孝7樓</v>
      </c>
      <c r="C836" s="138">
        <v>93</v>
      </c>
      <c r="D836" s="139" t="s">
        <v>424</v>
      </c>
      <c r="E836" s="484" t="s">
        <v>383</v>
      </c>
      <c r="F836" s="484"/>
      <c r="G836" s="484" t="s">
        <v>384</v>
      </c>
      <c r="H836" s="484"/>
      <c r="I836" s="484"/>
      <c r="J836" s="484"/>
      <c r="K836" s="140" t="s">
        <v>385</v>
      </c>
      <c r="L836" s="141">
        <v>16</v>
      </c>
      <c r="M836" s="123"/>
      <c r="N836" s="117"/>
    </row>
    <row r="837" spans="1:14" ht="17.25" thickBot="1">
      <c r="A837" s="126" t="str">
        <f t="shared" si="31"/>
        <v>2025/11</v>
      </c>
      <c r="B837" s="127" t="str">
        <f t="shared" si="32"/>
        <v>2025/11忠孝7樓</v>
      </c>
      <c r="C837" s="138">
        <v>94</v>
      </c>
      <c r="D837" s="139" t="s">
        <v>424</v>
      </c>
      <c r="E837" s="484" t="s">
        <v>255</v>
      </c>
      <c r="F837" s="484"/>
      <c r="G837" s="484" t="s">
        <v>256</v>
      </c>
      <c r="H837" s="484"/>
      <c r="I837" s="484"/>
      <c r="J837" s="484"/>
      <c r="K837" s="140" t="s">
        <v>720</v>
      </c>
      <c r="L837" s="141">
        <v>439</v>
      </c>
      <c r="M837" s="123"/>
      <c r="N837" s="117"/>
    </row>
    <row r="838" spans="1:14" ht="17.25" thickBot="1">
      <c r="A838" s="126" t="str">
        <f t="shared" si="31"/>
        <v>2025/11</v>
      </c>
      <c r="B838" s="127" t="str">
        <f t="shared" si="32"/>
        <v>2025/11忠孝7樓</v>
      </c>
      <c r="C838" s="138">
        <v>95</v>
      </c>
      <c r="D838" s="139" t="s">
        <v>424</v>
      </c>
      <c r="E838" s="484" t="s">
        <v>258</v>
      </c>
      <c r="F838" s="484"/>
      <c r="G838" s="484" t="s">
        <v>259</v>
      </c>
      <c r="H838" s="484"/>
      <c r="I838" s="484"/>
      <c r="J838" s="484"/>
      <c r="K838" s="140"/>
      <c r="L838" s="141">
        <v>444</v>
      </c>
      <c r="M838" s="123"/>
      <c r="N838" s="117"/>
    </row>
    <row r="839" spans="1:14" ht="17.25" thickBot="1">
      <c r="A839" s="126" t="str">
        <f t="shared" si="31"/>
        <v>2025/11</v>
      </c>
      <c r="B839" s="127" t="str">
        <f t="shared" si="32"/>
        <v>2025/11忠孝7樓</v>
      </c>
      <c r="C839" s="138">
        <v>96</v>
      </c>
      <c r="D839" s="139" t="s">
        <v>424</v>
      </c>
      <c r="E839" s="484" t="s">
        <v>260</v>
      </c>
      <c r="F839" s="484"/>
      <c r="G839" s="484" t="s">
        <v>261</v>
      </c>
      <c r="H839" s="484"/>
      <c r="I839" s="484"/>
      <c r="J839" s="484"/>
      <c r="K839" s="140" t="s">
        <v>254</v>
      </c>
      <c r="L839" s="141">
        <v>444</v>
      </c>
      <c r="M839" s="123"/>
      <c r="N839" s="117"/>
    </row>
    <row r="840" spans="1:14" ht="17.25" thickBot="1">
      <c r="A840" s="126" t="str">
        <f t="shared" si="31"/>
        <v>2025/11</v>
      </c>
      <c r="B840" s="127" t="str">
        <f t="shared" si="32"/>
        <v>2025/11忠孝7樓</v>
      </c>
      <c r="C840" s="138">
        <v>97</v>
      </c>
      <c r="D840" s="139" t="s">
        <v>424</v>
      </c>
      <c r="E840" s="484" t="s">
        <v>262</v>
      </c>
      <c r="F840" s="484"/>
      <c r="G840" s="484" t="s">
        <v>263</v>
      </c>
      <c r="H840" s="484"/>
      <c r="I840" s="484"/>
      <c r="J840" s="484"/>
      <c r="K840" s="140" t="s">
        <v>254</v>
      </c>
      <c r="L840" s="141">
        <v>52</v>
      </c>
      <c r="M840" s="123"/>
      <c r="N840" s="117"/>
    </row>
    <row r="841" spans="1:14" ht="17.25" thickBot="1">
      <c r="A841" s="126" t="str">
        <f t="shared" si="31"/>
        <v>2025/11</v>
      </c>
      <c r="B841" s="127" t="str">
        <f t="shared" si="32"/>
        <v>2025/11忠孝7樓</v>
      </c>
      <c r="C841" s="138">
        <v>98</v>
      </c>
      <c r="D841" s="139" t="s">
        <v>424</v>
      </c>
      <c r="E841" s="484" t="s">
        <v>270</v>
      </c>
      <c r="F841" s="484"/>
      <c r="G841" s="484" t="s">
        <v>271</v>
      </c>
      <c r="H841" s="484"/>
      <c r="I841" s="484"/>
      <c r="J841" s="484"/>
      <c r="K841" s="140" t="s">
        <v>272</v>
      </c>
      <c r="L841" s="141">
        <v>151</v>
      </c>
      <c r="M841" s="123"/>
      <c r="N841" s="117"/>
    </row>
    <row r="842" spans="1:14" ht="17.25" thickBot="1">
      <c r="A842" s="126" t="str">
        <f t="shared" si="31"/>
        <v>2025/11</v>
      </c>
      <c r="B842" s="127" t="str">
        <f t="shared" si="32"/>
        <v>2025/11忠孝7樓</v>
      </c>
      <c r="C842" s="138">
        <v>99</v>
      </c>
      <c r="D842" s="139" t="s">
        <v>424</v>
      </c>
      <c r="E842" s="484" t="s">
        <v>252</v>
      </c>
      <c r="F842" s="484"/>
      <c r="G842" s="484" t="s">
        <v>253</v>
      </c>
      <c r="H842" s="484"/>
      <c r="I842" s="484"/>
      <c r="J842" s="484"/>
      <c r="K842" s="140" t="s">
        <v>254</v>
      </c>
      <c r="L842" s="141">
        <v>444</v>
      </c>
      <c r="M842" s="123"/>
      <c r="N842" s="117"/>
    </row>
    <row r="843" spans="1:14" ht="17.25" thickBot="1">
      <c r="A843" s="126" t="str">
        <f t="shared" si="31"/>
        <v>2025/11</v>
      </c>
      <c r="B843" s="127" t="str">
        <f t="shared" si="32"/>
        <v>2025/11忠孝7樓</v>
      </c>
      <c r="C843" s="138">
        <v>100</v>
      </c>
      <c r="D843" s="139" t="s">
        <v>424</v>
      </c>
      <c r="E843" s="484" t="s">
        <v>429</v>
      </c>
      <c r="F843" s="484"/>
      <c r="G843" s="484" t="s">
        <v>430</v>
      </c>
      <c r="H843" s="484"/>
      <c r="I843" s="484"/>
      <c r="J843" s="484"/>
      <c r="K843" s="140" t="s">
        <v>272</v>
      </c>
      <c r="L843" s="141">
        <v>1</v>
      </c>
      <c r="M843" s="123"/>
      <c r="N843" s="117"/>
    </row>
    <row r="844" spans="1:14" ht="17.25" thickBot="1">
      <c r="A844" s="126" t="str">
        <f t="shared" si="31"/>
        <v>2025/11</v>
      </c>
      <c r="B844" s="127" t="str">
        <f t="shared" si="32"/>
        <v>2025/11忠孝7樓</v>
      </c>
      <c r="C844" s="138">
        <v>101</v>
      </c>
      <c r="D844" s="139" t="s">
        <v>424</v>
      </c>
      <c r="E844" s="484" t="s">
        <v>690</v>
      </c>
      <c r="F844" s="484"/>
      <c r="G844" s="484" t="s">
        <v>691</v>
      </c>
      <c r="H844" s="484"/>
      <c r="I844" s="484"/>
      <c r="J844" s="484"/>
      <c r="K844" s="140" t="s">
        <v>692</v>
      </c>
      <c r="L844" s="141">
        <v>1</v>
      </c>
      <c r="M844" s="123"/>
      <c r="N844" s="117"/>
    </row>
    <row r="845" spans="1:14" ht="17.25" thickBot="1">
      <c r="A845" s="126" t="str">
        <f t="shared" si="31"/>
        <v>2025/11</v>
      </c>
      <c r="B845" s="127" t="str">
        <f t="shared" si="32"/>
        <v>2025/11忠孝7樓</v>
      </c>
      <c r="C845" s="138">
        <v>102</v>
      </c>
      <c r="D845" s="139" t="s">
        <v>424</v>
      </c>
      <c r="E845" s="484" t="s">
        <v>305</v>
      </c>
      <c r="F845" s="484"/>
      <c r="G845" s="484" t="s">
        <v>675</v>
      </c>
      <c r="H845" s="484"/>
      <c r="I845" s="484"/>
      <c r="J845" s="484"/>
      <c r="K845" s="140" t="s">
        <v>676</v>
      </c>
      <c r="L845" s="141">
        <v>4102</v>
      </c>
      <c r="M845" s="123"/>
      <c r="N845" s="117"/>
    </row>
    <row r="846" spans="1:14" ht="17.25" thickBot="1">
      <c r="A846" s="126" t="str">
        <f t="shared" si="31"/>
        <v>2025/11</v>
      </c>
      <c r="B846" s="127" t="str">
        <f t="shared" si="32"/>
        <v>2025/11忠孝7樓</v>
      </c>
      <c r="C846" s="138">
        <v>103</v>
      </c>
      <c r="D846" s="139" t="s">
        <v>424</v>
      </c>
      <c r="E846" s="484" t="s">
        <v>264</v>
      </c>
      <c r="F846" s="484"/>
      <c r="G846" s="484" t="s">
        <v>677</v>
      </c>
      <c r="H846" s="484"/>
      <c r="I846" s="484"/>
      <c r="J846" s="484"/>
      <c r="K846" s="140" t="s">
        <v>678</v>
      </c>
      <c r="L846" s="141">
        <v>7058</v>
      </c>
      <c r="M846" s="123"/>
      <c r="N846" s="117"/>
    </row>
    <row r="847" spans="1:14" ht="17.25" thickBot="1">
      <c r="A847" s="126" t="str">
        <f t="shared" si="31"/>
        <v>2025/11</v>
      </c>
      <c r="B847" s="127" t="str">
        <f t="shared" si="32"/>
        <v>2025/11忠孝7樓</v>
      </c>
      <c r="C847" s="138">
        <v>104</v>
      </c>
      <c r="D847" s="139" t="s">
        <v>424</v>
      </c>
      <c r="E847" s="484" t="s">
        <v>307</v>
      </c>
      <c r="F847" s="484"/>
      <c r="G847" s="484" t="s">
        <v>679</v>
      </c>
      <c r="H847" s="484"/>
      <c r="I847" s="484"/>
      <c r="J847" s="484"/>
      <c r="K847" s="140" t="s">
        <v>678</v>
      </c>
      <c r="L847" s="141">
        <v>1252</v>
      </c>
      <c r="M847" s="123"/>
      <c r="N847" s="117"/>
    </row>
    <row r="848" spans="1:14" ht="17.25" thickBot="1">
      <c r="A848" s="126" t="str">
        <f t="shared" si="31"/>
        <v>2025/11</v>
      </c>
      <c r="B848" s="127" t="str">
        <f t="shared" si="32"/>
        <v>2025/11忠孝7樓</v>
      </c>
      <c r="C848" s="138">
        <v>105</v>
      </c>
      <c r="D848" s="139" t="s">
        <v>424</v>
      </c>
      <c r="E848" s="484" t="s">
        <v>313</v>
      </c>
      <c r="F848" s="484"/>
      <c r="G848" s="484" t="s">
        <v>314</v>
      </c>
      <c r="H848" s="484"/>
      <c r="I848" s="484"/>
      <c r="J848" s="484"/>
      <c r="K848" s="140" t="s">
        <v>301</v>
      </c>
      <c r="L848" s="141">
        <v>61</v>
      </c>
      <c r="M848" s="123"/>
      <c r="N848" s="117"/>
    </row>
    <row r="849" spans="1:14" ht="17.25" thickBot="1">
      <c r="A849" s="126" t="str">
        <f t="shared" si="31"/>
        <v>2025/11</v>
      </c>
      <c r="B849" s="127" t="str">
        <f t="shared" si="32"/>
        <v>2025/11忠孝7樓</v>
      </c>
      <c r="C849" s="138">
        <v>106</v>
      </c>
      <c r="D849" s="139" t="s">
        <v>424</v>
      </c>
      <c r="E849" s="484" t="s">
        <v>343</v>
      </c>
      <c r="F849" s="484"/>
      <c r="G849" s="484" t="s">
        <v>344</v>
      </c>
      <c r="H849" s="484"/>
      <c r="I849" s="484"/>
      <c r="J849" s="484"/>
      <c r="K849" s="140" t="s">
        <v>301</v>
      </c>
      <c r="L849" s="141">
        <v>10</v>
      </c>
      <c r="M849" s="123"/>
      <c r="N849" s="117"/>
    </row>
    <row r="850" spans="1:14" ht="17.25" thickBot="1">
      <c r="A850" s="126" t="str">
        <f t="shared" si="31"/>
        <v>2025/11</v>
      </c>
      <c r="B850" s="127" t="str">
        <f t="shared" si="32"/>
        <v>2025/11忠孝7樓</v>
      </c>
      <c r="C850" s="138">
        <v>107</v>
      </c>
      <c r="D850" s="139" t="s">
        <v>424</v>
      </c>
      <c r="E850" s="484" t="s">
        <v>349</v>
      </c>
      <c r="F850" s="484"/>
      <c r="G850" s="484" t="s">
        <v>350</v>
      </c>
      <c r="H850" s="484"/>
      <c r="I850" s="484"/>
      <c r="J850" s="484"/>
      <c r="K850" s="140" t="s">
        <v>301</v>
      </c>
      <c r="L850" s="141">
        <v>15</v>
      </c>
      <c r="M850" s="123"/>
      <c r="N850" s="117"/>
    </row>
    <row r="851" spans="1:14" ht="17.25" thickBot="1">
      <c r="A851" s="126" t="str">
        <f t="shared" si="31"/>
        <v>2025/11</v>
      </c>
      <c r="B851" s="127" t="str">
        <f t="shared" si="32"/>
        <v>2025/11忠孝7樓</v>
      </c>
      <c r="C851" s="138">
        <v>108</v>
      </c>
      <c r="D851" s="139" t="s">
        <v>424</v>
      </c>
      <c r="E851" s="484" t="s">
        <v>366</v>
      </c>
      <c r="F851" s="484"/>
      <c r="G851" s="484" t="s">
        <v>367</v>
      </c>
      <c r="H851" s="484"/>
      <c r="I851" s="484"/>
      <c r="J851" s="484"/>
      <c r="K851" s="140" t="s">
        <v>301</v>
      </c>
      <c r="L851" s="141">
        <v>1</v>
      </c>
      <c r="M851" s="123"/>
      <c r="N851" s="117"/>
    </row>
    <row r="852" spans="1:14" ht="17.25" thickBot="1">
      <c r="A852" s="126" t="str">
        <f t="shared" si="31"/>
        <v>2025/11</v>
      </c>
      <c r="B852" s="127" t="str">
        <f t="shared" si="32"/>
        <v>2025/11忠孝7樓</v>
      </c>
      <c r="C852" s="138">
        <v>109</v>
      </c>
      <c r="D852" s="139" t="s">
        <v>424</v>
      </c>
      <c r="E852" s="484" t="s">
        <v>282</v>
      </c>
      <c r="F852" s="484"/>
      <c r="G852" s="484" t="s">
        <v>283</v>
      </c>
      <c r="H852" s="484"/>
      <c r="I852" s="484"/>
      <c r="J852" s="484"/>
      <c r="K852" s="140" t="s">
        <v>284</v>
      </c>
      <c r="L852" s="141">
        <v>65</v>
      </c>
      <c r="M852" s="123"/>
      <c r="N852" s="117"/>
    </row>
    <row r="853" spans="1:14" ht="17.25" thickBot="1">
      <c r="A853" s="126" t="str">
        <f t="shared" si="31"/>
        <v>2025/11</v>
      </c>
      <c r="B853" s="127" t="str">
        <f t="shared" si="32"/>
        <v>2025/11忠孝7樓</v>
      </c>
      <c r="C853" s="138">
        <v>110</v>
      </c>
      <c r="D853" s="139" t="s">
        <v>424</v>
      </c>
      <c r="E853" s="484" t="s">
        <v>345</v>
      </c>
      <c r="F853" s="484"/>
      <c r="G853" s="484" t="s">
        <v>346</v>
      </c>
      <c r="H853" s="484"/>
      <c r="I853" s="484"/>
      <c r="J853" s="484"/>
      <c r="K853" s="140" t="s">
        <v>284</v>
      </c>
      <c r="L853" s="141">
        <v>12</v>
      </c>
      <c r="M853" s="123"/>
      <c r="N853" s="117"/>
    </row>
    <row r="854" spans="1:14" ht="17.25" thickBot="1">
      <c r="A854" s="126" t="str">
        <f t="shared" si="31"/>
        <v>2025/11</v>
      </c>
      <c r="B854" s="127" t="str">
        <f t="shared" si="32"/>
        <v>2025/11忠孝7樓</v>
      </c>
      <c r="C854" s="138">
        <v>111</v>
      </c>
      <c r="D854" s="139" t="s">
        <v>424</v>
      </c>
      <c r="E854" s="484" t="s">
        <v>311</v>
      </c>
      <c r="F854" s="484"/>
      <c r="G854" s="484" t="s">
        <v>312</v>
      </c>
      <c r="H854" s="484"/>
      <c r="I854" s="484"/>
      <c r="J854" s="484"/>
      <c r="K854" s="140" t="s">
        <v>284</v>
      </c>
      <c r="L854" s="141">
        <v>26</v>
      </c>
      <c r="M854" s="123"/>
      <c r="N854" s="117"/>
    </row>
    <row r="855" spans="1:14" ht="17.25" thickBot="1">
      <c r="A855" s="126" t="str">
        <f t="shared" si="31"/>
        <v>2025/11</v>
      </c>
      <c r="B855" s="127" t="str">
        <f t="shared" si="32"/>
        <v>2025/11忠孝7樓</v>
      </c>
      <c r="C855" s="138">
        <v>112</v>
      </c>
      <c r="D855" s="139" t="s">
        <v>424</v>
      </c>
      <c r="E855" s="484" t="s">
        <v>680</v>
      </c>
      <c r="F855" s="484"/>
      <c r="G855" s="484" t="s">
        <v>681</v>
      </c>
      <c r="H855" s="484"/>
      <c r="I855" s="484"/>
      <c r="J855" s="484"/>
      <c r="K855" s="140" t="s">
        <v>682</v>
      </c>
      <c r="L855" s="141">
        <v>1</v>
      </c>
      <c r="M855" s="27" t="s">
        <v>748</v>
      </c>
      <c r="N855" s="117"/>
    </row>
    <row r="856" spans="1:14" ht="17.25" thickBot="1">
      <c r="A856" s="126" t="str">
        <f t="shared" si="31"/>
        <v>2025/11</v>
      </c>
      <c r="B856" s="127" t="str">
        <f t="shared" si="32"/>
        <v>2025/11忠孝7樓</v>
      </c>
      <c r="C856" s="138">
        <v>113</v>
      </c>
      <c r="D856" s="139" t="s">
        <v>424</v>
      </c>
      <c r="E856" s="484" t="s">
        <v>299</v>
      </c>
      <c r="F856" s="484"/>
      <c r="G856" s="484" t="s">
        <v>300</v>
      </c>
      <c r="H856" s="484"/>
      <c r="I856" s="484"/>
      <c r="J856" s="484"/>
      <c r="K856" s="140" t="s">
        <v>301</v>
      </c>
      <c r="L856" s="141">
        <v>45</v>
      </c>
      <c r="M856" s="123"/>
      <c r="N856" s="117"/>
    </row>
    <row r="857" spans="1:14" ht="17.25" thickBot="1">
      <c r="A857" s="126" t="str">
        <f t="shared" si="31"/>
        <v>2025/11</v>
      </c>
      <c r="B857" s="127" t="str">
        <f t="shared" si="32"/>
        <v>2025/11忠孝7樓</v>
      </c>
      <c r="C857" s="138">
        <v>114</v>
      </c>
      <c r="D857" s="139" t="s">
        <v>424</v>
      </c>
      <c r="E857" s="484" t="s">
        <v>347</v>
      </c>
      <c r="F857" s="484"/>
      <c r="G857" s="484" t="s">
        <v>348</v>
      </c>
      <c r="H857" s="484"/>
      <c r="I857" s="484"/>
      <c r="J857" s="484"/>
      <c r="K857" s="140" t="s">
        <v>301</v>
      </c>
      <c r="L857" s="141">
        <v>30</v>
      </c>
      <c r="M857" s="123"/>
      <c r="N857" s="117"/>
    </row>
    <row r="858" spans="1:14" ht="17.25" thickBot="1">
      <c r="A858" s="126" t="str">
        <f t="shared" si="31"/>
        <v>2025/11</v>
      </c>
      <c r="B858" s="127" t="str">
        <f t="shared" si="32"/>
        <v>2025/11忠孝7樓</v>
      </c>
      <c r="C858" s="138">
        <v>115</v>
      </c>
      <c r="D858" s="139" t="s">
        <v>424</v>
      </c>
      <c r="E858" s="484" t="s">
        <v>317</v>
      </c>
      <c r="F858" s="484"/>
      <c r="G858" s="484" t="s">
        <v>318</v>
      </c>
      <c r="H858" s="484"/>
      <c r="I858" s="484"/>
      <c r="J858" s="484"/>
      <c r="K858" s="140" t="s">
        <v>319</v>
      </c>
      <c r="L858" s="141">
        <v>18</v>
      </c>
      <c r="M858" s="123"/>
      <c r="N858" s="117"/>
    </row>
    <row r="859" spans="1:14" ht="17.25" thickBot="1">
      <c r="A859" s="126" t="str">
        <f t="shared" si="31"/>
        <v>2025/11</v>
      </c>
      <c r="B859" s="127" t="str">
        <f t="shared" si="32"/>
        <v>2025/11忠孝7樓</v>
      </c>
      <c r="C859" s="138">
        <v>116</v>
      </c>
      <c r="D859" s="139" t="s">
        <v>424</v>
      </c>
      <c r="E859" s="484" t="s">
        <v>321</v>
      </c>
      <c r="F859" s="484"/>
      <c r="G859" s="484" t="s">
        <v>322</v>
      </c>
      <c r="H859" s="484"/>
      <c r="I859" s="484"/>
      <c r="J859" s="484"/>
      <c r="K859" s="140" t="s">
        <v>275</v>
      </c>
      <c r="L859" s="141">
        <v>425</v>
      </c>
      <c r="M859" s="123"/>
      <c r="N859" s="117"/>
    </row>
    <row r="860" spans="1:14" ht="17.25" thickBot="1">
      <c r="A860" s="126" t="str">
        <f t="shared" si="31"/>
        <v>2025/11</v>
      </c>
      <c r="B860" s="127" t="str">
        <f t="shared" si="32"/>
        <v>2025/11忠孝7樓</v>
      </c>
      <c r="C860" s="138">
        <v>117</v>
      </c>
      <c r="D860" s="139" t="s">
        <v>424</v>
      </c>
      <c r="E860" s="484" t="s">
        <v>372</v>
      </c>
      <c r="F860" s="484"/>
      <c r="G860" s="484" t="s">
        <v>373</v>
      </c>
      <c r="H860" s="484"/>
      <c r="I860" s="484"/>
      <c r="J860" s="484"/>
      <c r="K860" s="140" t="s">
        <v>278</v>
      </c>
      <c r="L860" s="141">
        <v>3</v>
      </c>
      <c r="M860" s="123"/>
      <c r="N860" s="117"/>
    </row>
    <row r="861" spans="1:14" ht="17.25" thickBot="1">
      <c r="A861" s="126" t="str">
        <f t="shared" si="31"/>
        <v>2025/11</v>
      </c>
      <c r="B861" s="127" t="str">
        <f t="shared" si="32"/>
        <v>2025/11忠孝7樓</v>
      </c>
      <c r="C861" s="138">
        <v>118</v>
      </c>
      <c r="D861" s="139" t="s">
        <v>424</v>
      </c>
      <c r="E861" s="484" t="s">
        <v>276</v>
      </c>
      <c r="F861" s="484"/>
      <c r="G861" s="484" t="s">
        <v>277</v>
      </c>
      <c r="H861" s="484"/>
      <c r="I861" s="484"/>
      <c r="J861" s="484"/>
      <c r="K861" s="140" t="s">
        <v>278</v>
      </c>
      <c r="L861" s="141">
        <v>112</v>
      </c>
      <c r="M861" s="123"/>
      <c r="N861" s="117"/>
    </row>
    <row r="862" spans="1:14" ht="17.25" thickBot="1">
      <c r="A862" s="126" t="str">
        <f t="shared" si="31"/>
        <v>2025/11</v>
      </c>
      <c r="B862" s="127" t="str">
        <f t="shared" si="32"/>
        <v>2025/11忠孝7樓</v>
      </c>
      <c r="C862" s="138">
        <v>119</v>
      </c>
      <c r="D862" s="139" t="s">
        <v>424</v>
      </c>
      <c r="E862" s="484" t="s">
        <v>273</v>
      </c>
      <c r="F862" s="484"/>
      <c r="G862" s="484" t="s">
        <v>274</v>
      </c>
      <c r="H862" s="484"/>
      <c r="I862" s="484"/>
      <c r="J862" s="484"/>
      <c r="K862" s="140" t="s">
        <v>275</v>
      </c>
      <c r="L862" s="141">
        <v>51</v>
      </c>
      <c r="M862" s="123"/>
      <c r="N862" s="117"/>
    </row>
    <row r="863" spans="1:14" ht="17.25" thickBot="1">
      <c r="A863" s="126" t="str">
        <f t="shared" si="31"/>
        <v>2025/11</v>
      </c>
      <c r="B863" s="127" t="str">
        <f t="shared" si="32"/>
        <v>2025/11忠孝7樓</v>
      </c>
      <c r="C863" s="138">
        <v>120</v>
      </c>
      <c r="D863" s="139" t="s">
        <v>424</v>
      </c>
      <c r="E863" s="484" t="s">
        <v>729</v>
      </c>
      <c r="F863" s="484"/>
      <c r="G863" s="484" t="s">
        <v>730</v>
      </c>
      <c r="H863" s="484"/>
      <c r="I863" s="484"/>
      <c r="J863" s="484"/>
      <c r="K863" s="140" t="s">
        <v>278</v>
      </c>
      <c r="L863" s="141">
        <v>1</v>
      </c>
      <c r="M863" s="123"/>
      <c r="N863" s="117"/>
    </row>
    <row r="864" spans="1:14" ht="17.25" thickBot="1">
      <c r="A864" s="126" t="str">
        <f t="shared" si="31"/>
        <v>2025/11</v>
      </c>
      <c r="B864" s="127" t="str">
        <f t="shared" si="32"/>
        <v>2025/11忠孝7樓</v>
      </c>
      <c r="C864" s="138">
        <v>121</v>
      </c>
      <c r="D864" s="139" t="s">
        <v>424</v>
      </c>
      <c r="E864" s="484" t="s">
        <v>285</v>
      </c>
      <c r="F864" s="484"/>
      <c r="G864" s="484" t="s">
        <v>286</v>
      </c>
      <c r="H864" s="484"/>
      <c r="I864" s="484"/>
      <c r="J864" s="484"/>
      <c r="K864" s="140" t="s">
        <v>287</v>
      </c>
      <c r="L864" s="141">
        <v>13116</v>
      </c>
      <c r="M864" s="123"/>
      <c r="N864" s="117"/>
    </row>
    <row r="865" spans="1:14" ht="17.25" thickBot="1">
      <c r="A865" s="126" t="str">
        <f t="shared" si="31"/>
        <v>2025/11</v>
      </c>
      <c r="B865" s="127" t="str">
        <f t="shared" si="32"/>
        <v>2025/11忠孝7樓</v>
      </c>
      <c r="C865" s="138">
        <v>122</v>
      </c>
      <c r="D865" s="139" t="s">
        <v>424</v>
      </c>
      <c r="E865" s="484" t="s">
        <v>290</v>
      </c>
      <c r="F865" s="484"/>
      <c r="G865" s="484" t="s">
        <v>291</v>
      </c>
      <c r="H865" s="484"/>
      <c r="I865" s="484"/>
      <c r="J865" s="484"/>
      <c r="K865" s="140" t="s">
        <v>287</v>
      </c>
      <c r="L865" s="141">
        <v>37096</v>
      </c>
      <c r="M865" s="123"/>
      <c r="N865" s="117"/>
    </row>
    <row r="866" spans="1:14" ht="17.25" thickBot="1">
      <c r="A866" s="126" t="str">
        <f t="shared" si="31"/>
        <v>2025/11</v>
      </c>
      <c r="B866" s="127" t="str">
        <f t="shared" si="32"/>
        <v>2025/11忠孝7樓</v>
      </c>
      <c r="C866" s="138">
        <v>123</v>
      </c>
      <c r="D866" s="139" t="s">
        <v>424</v>
      </c>
      <c r="E866" s="484" t="s">
        <v>292</v>
      </c>
      <c r="F866" s="484"/>
      <c r="G866" s="484" t="s">
        <v>293</v>
      </c>
      <c r="H866" s="484"/>
      <c r="I866" s="484"/>
      <c r="J866" s="484"/>
      <c r="K866" s="140" t="s">
        <v>287</v>
      </c>
      <c r="L866" s="141">
        <v>64801</v>
      </c>
      <c r="M866" s="123"/>
      <c r="N866" s="117"/>
    </row>
    <row r="867" spans="1:14" ht="17.25" thickBot="1">
      <c r="A867" s="126" t="str">
        <f t="shared" si="31"/>
        <v>2025/11</v>
      </c>
      <c r="B867" s="127" t="str">
        <f t="shared" si="32"/>
        <v>2025/11忠孝7樓</v>
      </c>
      <c r="C867" s="138">
        <v>124</v>
      </c>
      <c r="D867" s="139" t="s">
        <v>424</v>
      </c>
      <c r="E867" s="484" t="s">
        <v>323</v>
      </c>
      <c r="F867" s="484"/>
      <c r="G867" s="484" t="s">
        <v>324</v>
      </c>
      <c r="H867" s="484"/>
      <c r="I867" s="484"/>
      <c r="J867" s="484"/>
      <c r="K867" s="140" t="s">
        <v>721</v>
      </c>
      <c r="L867" s="141">
        <v>14989</v>
      </c>
      <c r="M867" s="123"/>
      <c r="N867" s="117"/>
    </row>
    <row r="868" spans="1:14" ht="17.25" thickBot="1">
      <c r="A868" s="126" t="str">
        <f t="shared" si="31"/>
        <v>2025/11</v>
      </c>
      <c r="B868" s="127" t="str">
        <f t="shared" si="32"/>
        <v>2025/11忠孝7樓</v>
      </c>
      <c r="C868" s="138">
        <v>125</v>
      </c>
      <c r="D868" s="139" t="s">
        <v>424</v>
      </c>
      <c r="E868" s="484" t="s">
        <v>359</v>
      </c>
      <c r="F868" s="484"/>
      <c r="G868" s="484" t="s">
        <v>138</v>
      </c>
      <c r="H868" s="484"/>
      <c r="I868" s="484"/>
      <c r="J868" s="484"/>
      <c r="K868" s="140" t="s">
        <v>146</v>
      </c>
      <c r="L868" s="141">
        <v>22</v>
      </c>
      <c r="M868" s="123"/>
      <c r="N868" s="117"/>
    </row>
    <row r="869" spans="1:14" ht="17.25" thickBot="1">
      <c r="A869" s="126" t="str">
        <f t="shared" si="31"/>
        <v>2025/11</v>
      </c>
      <c r="B869" s="127" t="str">
        <f t="shared" si="32"/>
        <v>2025/11忠孝7樓</v>
      </c>
      <c r="C869" s="138">
        <v>126</v>
      </c>
      <c r="D869" s="139" t="s">
        <v>424</v>
      </c>
      <c r="E869" s="484" t="s">
        <v>320</v>
      </c>
      <c r="F869" s="484"/>
      <c r="G869" s="484" t="s">
        <v>135</v>
      </c>
      <c r="H869" s="484"/>
      <c r="I869" s="484"/>
      <c r="J869" s="484"/>
      <c r="K869" s="140" t="s">
        <v>146</v>
      </c>
      <c r="L869" s="141">
        <v>3</v>
      </c>
      <c r="M869" s="123"/>
      <c r="N869" s="117"/>
    </row>
    <row r="870" spans="1:14" ht="17.25" thickBot="1">
      <c r="A870" s="126" t="str">
        <f t="shared" si="31"/>
        <v>2025/11</v>
      </c>
      <c r="B870" s="127" t="str">
        <f t="shared" si="32"/>
        <v>2025/11忠孝7樓</v>
      </c>
      <c r="C870" s="138">
        <v>127</v>
      </c>
      <c r="D870" s="139" t="s">
        <v>424</v>
      </c>
      <c r="E870" s="484" t="s">
        <v>338</v>
      </c>
      <c r="F870" s="484"/>
      <c r="G870" s="484" t="s">
        <v>339</v>
      </c>
      <c r="H870" s="484"/>
      <c r="I870" s="484"/>
      <c r="J870" s="484"/>
      <c r="K870" s="140" t="s">
        <v>287</v>
      </c>
      <c r="L870" s="141">
        <v>6738</v>
      </c>
      <c r="M870" s="123"/>
      <c r="N870" s="117"/>
    </row>
    <row r="871" spans="1:14" ht="17.25" thickBot="1">
      <c r="A871" s="126" t="str">
        <f t="shared" si="31"/>
        <v>2025/11</v>
      </c>
      <c r="B871" s="127" t="str">
        <f t="shared" si="32"/>
        <v>2025/11忠孝7樓</v>
      </c>
      <c r="C871" s="138">
        <v>128</v>
      </c>
      <c r="D871" s="139" t="s">
        <v>424</v>
      </c>
      <c r="E871" s="484" t="s">
        <v>326</v>
      </c>
      <c r="F871" s="484"/>
      <c r="G871" s="484" t="s">
        <v>327</v>
      </c>
      <c r="H871" s="484"/>
      <c r="I871" s="484"/>
      <c r="J871" s="484"/>
      <c r="K871" s="140" t="s">
        <v>287</v>
      </c>
      <c r="L871" s="141">
        <v>16240</v>
      </c>
      <c r="M871" s="123"/>
      <c r="N871" s="117"/>
    </row>
    <row r="872" spans="1:14" ht="17.25" thickBot="1">
      <c r="A872" s="126" t="str">
        <f t="shared" si="31"/>
        <v>2025/11</v>
      </c>
      <c r="B872" s="127" t="str">
        <f t="shared" si="32"/>
        <v>2025/11忠孝7樓</v>
      </c>
      <c r="C872" s="138">
        <v>129</v>
      </c>
      <c r="D872" s="139" t="s">
        <v>424</v>
      </c>
      <c r="E872" s="484" t="s">
        <v>328</v>
      </c>
      <c r="F872" s="484"/>
      <c r="G872" s="484" t="s">
        <v>329</v>
      </c>
      <c r="H872" s="484"/>
      <c r="I872" s="484"/>
      <c r="J872" s="484"/>
      <c r="K872" s="140" t="s">
        <v>287</v>
      </c>
      <c r="L872" s="141">
        <v>40235</v>
      </c>
      <c r="M872" s="123"/>
      <c r="N872" s="117"/>
    </row>
    <row r="873" spans="1:14" ht="17.25" thickBot="1">
      <c r="A873" s="126" t="str">
        <f t="shared" ref="A873:A927" si="33">IFERROR(LEFT(B873,7),"")</f>
        <v>2025/11</v>
      </c>
      <c r="B873" s="127" t="str">
        <f t="shared" si="32"/>
        <v>2025/11忠孝7樓</v>
      </c>
      <c r="C873" s="138">
        <v>130</v>
      </c>
      <c r="D873" s="139" t="s">
        <v>424</v>
      </c>
      <c r="E873" s="484" t="s">
        <v>330</v>
      </c>
      <c r="F873" s="484"/>
      <c r="G873" s="484" t="s">
        <v>331</v>
      </c>
      <c r="H873" s="484"/>
      <c r="I873" s="484"/>
      <c r="J873" s="484"/>
      <c r="K873" s="140" t="s">
        <v>287</v>
      </c>
      <c r="L873" s="141">
        <v>15489</v>
      </c>
      <c r="M873" s="123"/>
      <c r="N873" s="117"/>
    </row>
    <row r="874" spans="1:14" ht="17.25" thickBot="1">
      <c r="A874" s="126" t="str">
        <f t="shared" si="33"/>
        <v>2025/11</v>
      </c>
      <c r="B874" s="127" t="str">
        <f t="shared" si="32"/>
        <v>2025/11忠孝7樓</v>
      </c>
      <c r="C874" s="138">
        <v>131</v>
      </c>
      <c r="D874" s="139" t="s">
        <v>424</v>
      </c>
      <c r="E874" s="484" t="s">
        <v>302</v>
      </c>
      <c r="F874" s="484"/>
      <c r="G874" s="484" t="s">
        <v>303</v>
      </c>
      <c r="H874" s="484"/>
      <c r="I874" s="484"/>
      <c r="J874" s="484"/>
      <c r="K874" s="140" t="s">
        <v>304</v>
      </c>
      <c r="L874" s="141">
        <v>8649</v>
      </c>
      <c r="M874" s="123"/>
      <c r="N874" s="117"/>
    </row>
    <row r="875" spans="1:14" ht="17.25" thickBot="1">
      <c r="A875" s="126" t="str">
        <f t="shared" si="33"/>
        <v>2025/11</v>
      </c>
      <c r="B875" s="127" t="str">
        <f t="shared" si="32"/>
        <v>2025/11忠孝7樓</v>
      </c>
      <c r="C875" s="138">
        <v>132</v>
      </c>
      <c r="D875" s="139" t="s">
        <v>424</v>
      </c>
      <c r="E875" s="484" t="s">
        <v>363</v>
      </c>
      <c r="F875" s="484"/>
      <c r="G875" s="484" t="s">
        <v>364</v>
      </c>
      <c r="H875" s="484"/>
      <c r="I875" s="484"/>
      <c r="J875" s="484"/>
      <c r="K875" s="140" t="s">
        <v>365</v>
      </c>
      <c r="L875" s="141">
        <v>37701</v>
      </c>
      <c r="M875" s="123"/>
      <c r="N875" s="117"/>
    </row>
    <row r="876" spans="1:14" ht="17.25" thickBot="1">
      <c r="A876" s="126" t="str">
        <f t="shared" si="33"/>
        <v>2025/11</v>
      </c>
      <c r="B876" s="127" t="str">
        <f t="shared" si="32"/>
        <v>2025/11忠孝7樓</v>
      </c>
      <c r="C876" s="138">
        <v>133</v>
      </c>
      <c r="D876" s="139" t="s">
        <v>424</v>
      </c>
      <c r="E876" s="484" t="s">
        <v>705</v>
      </c>
      <c r="F876" s="484"/>
      <c r="G876" s="484" t="s">
        <v>706</v>
      </c>
      <c r="H876" s="484"/>
      <c r="I876" s="484"/>
      <c r="J876" s="484"/>
      <c r="K876" s="140" t="s">
        <v>707</v>
      </c>
      <c r="L876" s="141">
        <v>46682</v>
      </c>
      <c r="M876" s="123"/>
      <c r="N876" s="117"/>
    </row>
    <row r="877" spans="1:14" ht="17.25" thickBot="1">
      <c r="A877" s="126" t="str">
        <f t="shared" si="33"/>
        <v>2025/11</v>
      </c>
      <c r="B877" s="127" t="str">
        <f t="shared" si="32"/>
        <v>2025/11忠孝7樓</v>
      </c>
      <c r="C877" s="138">
        <v>134</v>
      </c>
      <c r="D877" s="139" t="s">
        <v>424</v>
      </c>
      <c r="E877" s="484" t="s">
        <v>279</v>
      </c>
      <c r="F877" s="484"/>
      <c r="G877" s="484" t="s">
        <v>280</v>
      </c>
      <c r="H877" s="484"/>
      <c r="I877" s="484"/>
      <c r="J877" s="484"/>
      <c r="K877" s="140" t="s">
        <v>281</v>
      </c>
      <c r="L877" s="141">
        <v>447788</v>
      </c>
      <c r="M877" s="123"/>
      <c r="N877" s="117"/>
    </row>
    <row r="878" spans="1:14" ht="17.25" thickBot="1">
      <c r="A878" s="126" t="str">
        <f t="shared" si="33"/>
        <v>2025/11</v>
      </c>
      <c r="B878" s="127" t="str">
        <f t="shared" si="32"/>
        <v>2025/11忠孝7樓</v>
      </c>
      <c r="C878" s="138">
        <v>135</v>
      </c>
      <c r="D878" s="139" t="s">
        <v>424</v>
      </c>
      <c r="E878" s="484" t="s">
        <v>288</v>
      </c>
      <c r="F878" s="484"/>
      <c r="G878" s="484" t="s">
        <v>289</v>
      </c>
      <c r="H878" s="484"/>
      <c r="I878" s="484"/>
      <c r="J878" s="484"/>
      <c r="K878" s="140" t="s">
        <v>281</v>
      </c>
      <c r="L878" s="141">
        <v>208713</v>
      </c>
      <c r="M878" s="123"/>
      <c r="N878" s="117"/>
    </row>
    <row r="879" spans="1:14" ht="17.25" thickBot="1">
      <c r="A879" s="126" t="str">
        <f t="shared" si="33"/>
        <v>2025/11</v>
      </c>
      <c r="B879" s="127" t="str">
        <f t="shared" si="32"/>
        <v>2025/11忠孝7樓</v>
      </c>
      <c r="C879" s="138">
        <v>136</v>
      </c>
      <c r="D879" s="139" t="s">
        <v>424</v>
      </c>
      <c r="E879" s="484" t="s">
        <v>332</v>
      </c>
      <c r="F879" s="484"/>
      <c r="G879" s="484" t="s">
        <v>333</v>
      </c>
      <c r="H879" s="484"/>
      <c r="I879" s="484"/>
      <c r="J879" s="484"/>
      <c r="K879" s="140" t="s">
        <v>334</v>
      </c>
      <c r="L879" s="141">
        <v>29900</v>
      </c>
      <c r="M879" s="123"/>
      <c r="N879" s="117"/>
    </row>
    <row r="880" spans="1:14" ht="17.25" thickBot="1">
      <c r="A880" s="126" t="str">
        <f t="shared" si="33"/>
        <v>2025/11</v>
      </c>
      <c r="B880" s="127" t="str">
        <f t="shared" si="32"/>
        <v>2025/11忠孝7樓</v>
      </c>
      <c r="C880" s="138">
        <v>137</v>
      </c>
      <c r="D880" s="139" t="s">
        <v>424</v>
      </c>
      <c r="E880" s="484" t="s">
        <v>335</v>
      </c>
      <c r="F880" s="484"/>
      <c r="G880" s="484" t="s">
        <v>336</v>
      </c>
      <c r="H880" s="484"/>
      <c r="I880" s="484"/>
      <c r="J880" s="484"/>
      <c r="K880" s="140" t="s">
        <v>337</v>
      </c>
      <c r="L880" s="141">
        <v>7206</v>
      </c>
      <c r="M880" s="123"/>
      <c r="N880" s="117"/>
    </row>
    <row r="881" spans="1:14" ht="17.25" thickBot="1">
      <c r="A881" s="126" t="str">
        <f t="shared" si="33"/>
        <v>2025/11</v>
      </c>
      <c r="B881" s="127" t="str">
        <f t="shared" si="32"/>
        <v>2025/11忠孝7樓</v>
      </c>
      <c r="C881" s="138">
        <v>138</v>
      </c>
      <c r="D881" s="139" t="s">
        <v>424</v>
      </c>
      <c r="E881" s="484" t="s">
        <v>447</v>
      </c>
      <c r="F881" s="484"/>
      <c r="G881" s="484" t="s">
        <v>448</v>
      </c>
      <c r="H881" s="484"/>
      <c r="I881" s="484"/>
      <c r="J881" s="484"/>
      <c r="K881" s="140" t="s">
        <v>445</v>
      </c>
      <c r="L881" s="141">
        <v>16</v>
      </c>
      <c r="M881" s="123"/>
      <c r="N881" s="117"/>
    </row>
    <row r="882" spans="1:14" ht="17.25" thickBot="1">
      <c r="A882" s="126" t="str">
        <f t="shared" si="33"/>
        <v>2025/11</v>
      </c>
      <c r="B882" s="127" t="str">
        <f t="shared" si="32"/>
        <v>2025/11忠孝7樓</v>
      </c>
      <c r="C882" s="138">
        <v>139</v>
      </c>
      <c r="D882" s="139" t="s">
        <v>424</v>
      </c>
      <c r="E882" s="484" t="s">
        <v>443</v>
      </c>
      <c r="F882" s="484"/>
      <c r="G882" s="484" t="s">
        <v>444</v>
      </c>
      <c r="H882" s="484"/>
      <c r="I882" s="484"/>
      <c r="J882" s="484"/>
      <c r="K882" s="140" t="s">
        <v>445</v>
      </c>
      <c r="L882" s="141">
        <v>24</v>
      </c>
      <c r="M882" s="123"/>
      <c r="N882" s="117"/>
    </row>
    <row r="883" spans="1:14" ht="17.25" thickBot="1">
      <c r="A883" s="126" t="str">
        <f t="shared" si="33"/>
        <v>2025/11</v>
      </c>
      <c r="B883" s="127" t="str">
        <f t="shared" si="32"/>
        <v>2025/11忠孝7樓</v>
      </c>
      <c r="C883" s="138">
        <v>140</v>
      </c>
      <c r="D883" s="139" t="s">
        <v>424</v>
      </c>
      <c r="E883" s="484" t="s">
        <v>357</v>
      </c>
      <c r="F883" s="484"/>
      <c r="G883" s="484" t="s">
        <v>358</v>
      </c>
      <c r="H883" s="484"/>
      <c r="I883" s="484"/>
      <c r="J883" s="484"/>
      <c r="K883" s="140" t="s">
        <v>353</v>
      </c>
      <c r="L883" s="141">
        <v>8</v>
      </c>
      <c r="M883" s="123"/>
      <c r="N883" s="117"/>
    </row>
    <row r="884" spans="1:14" ht="17.25" thickBot="1">
      <c r="A884" s="126" t="str">
        <f t="shared" si="33"/>
        <v>2025/11</v>
      </c>
      <c r="B884" s="127" t="str">
        <f t="shared" si="32"/>
        <v>2025/11忠孝7樓</v>
      </c>
      <c r="C884" s="138">
        <v>141</v>
      </c>
      <c r="D884" s="139" t="s">
        <v>424</v>
      </c>
      <c r="E884" s="484" t="s">
        <v>449</v>
      </c>
      <c r="F884" s="484"/>
      <c r="G884" s="484" t="s">
        <v>450</v>
      </c>
      <c r="H884" s="484"/>
      <c r="I884" s="484"/>
      <c r="J884" s="484"/>
      <c r="K884" s="140" t="s">
        <v>445</v>
      </c>
      <c r="L884" s="141">
        <v>8</v>
      </c>
      <c r="M884" s="123"/>
      <c r="N884" s="117"/>
    </row>
    <row r="885" spans="1:14" ht="17.25" thickBot="1">
      <c r="A885" s="126" t="str">
        <f t="shared" si="33"/>
        <v>2025/11</v>
      </c>
      <c r="B885" s="127" t="str">
        <f t="shared" si="32"/>
        <v>2025/11忠孝7樓</v>
      </c>
      <c r="C885" s="138">
        <v>142</v>
      </c>
      <c r="D885" s="139" t="s">
        <v>424</v>
      </c>
      <c r="E885" s="484" t="s">
        <v>340</v>
      </c>
      <c r="F885" s="484"/>
      <c r="G885" s="484" t="s">
        <v>341</v>
      </c>
      <c r="H885" s="484"/>
      <c r="I885" s="484"/>
      <c r="J885" s="484"/>
      <c r="K885" s="140" t="s">
        <v>342</v>
      </c>
      <c r="L885" s="141">
        <v>3</v>
      </c>
      <c r="M885" s="123"/>
      <c r="N885" s="117"/>
    </row>
    <row r="886" spans="1:14" ht="17.25" thickBot="1">
      <c r="A886" s="126" t="str">
        <f t="shared" si="33"/>
        <v>2025/11</v>
      </c>
      <c r="B886" s="127" t="str">
        <f t="shared" si="32"/>
        <v>2025/11忠孝7樓</v>
      </c>
      <c r="C886" s="138">
        <v>143</v>
      </c>
      <c r="D886" s="139" t="s">
        <v>424</v>
      </c>
      <c r="E886" s="484" t="s">
        <v>697</v>
      </c>
      <c r="F886" s="484"/>
      <c r="G886" s="484" t="s">
        <v>698</v>
      </c>
      <c r="H886" s="484"/>
      <c r="I886" s="484"/>
      <c r="J886" s="484"/>
      <c r="K886" s="140" t="s">
        <v>699</v>
      </c>
      <c r="L886" s="141">
        <v>7</v>
      </c>
      <c r="M886" s="123"/>
      <c r="N886" s="117"/>
    </row>
    <row r="887" spans="1:14" ht="17.25" thickBot="1">
      <c r="A887" s="126" t="str">
        <f t="shared" si="33"/>
        <v>2025/11</v>
      </c>
      <c r="B887" s="127" t="str">
        <f t="shared" si="32"/>
        <v>2025/11忠孝7樓</v>
      </c>
      <c r="C887" s="138">
        <v>144</v>
      </c>
      <c r="D887" s="139" t="s">
        <v>424</v>
      </c>
      <c r="E887" s="484" t="s">
        <v>683</v>
      </c>
      <c r="F887" s="484"/>
      <c r="G887" s="484" t="s">
        <v>684</v>
      </c>
      <c r="H887" s="484"/>
      <c r="I887" s="484"/>
      <c r="J887" s="484"/>
      <c r="K887" s="140" t="s">
        <v>685</v>
      </c>
      <c r="L887" s="141">
        <v>5</v>
      </c>
      <c r="M887" s="123"/>
      <c r="N887" s="117"/>
    </row>
    <row r="888" spans="1:14" ht="17.25" thickBot="1">
      <c r="A888" s="126" t="str">
        <f t="shared" si="33"/>
        <v>2025/11</v>
      </c>
      <c r="B888" s="127" t="str">
        <f t="shared" si="32"/>
        <v>2025/11忠孝7樓</v>
      </c>
      <c r="C888" s="138">
        <v>145</v>
      </c>
      <c r="D888" s="139" t="s">
        <v>424</v>
      </c>
      <c r="E888" s="484" t="s">
        <v>686</v>
      </c>
      <c r="F888" s="484"/>
      <c r="G888" s="484" t="s">
        <v>687</v>
      </c>
      <c r="H888" s="484"/>
      <c r="I888" s="484"/>
      <c r="J888" s="484"/>
      <c r="K888" s="140" t="s">
        <v>688</v>
      </c>
      <c r="L888" s="141">
        <v>30</v>
      </c>
      <c r="M888" s="123"/>
      <c r="N888" s="117"/>
    </row>
    <row r="889" spans="1:14" ht="17.25" thickBot="1">
      <c r="A889" s="126" t="str">
        <f t="shared" si="33"/>
        <v>2025/11</v>
      </c>
      <c r="B889" s="127" t="str">
        <f t="shared" si="32"/>
        <v>2025/11忠孝7樓</v>
      </c>
      <c r="C889" s="138">
        <v>146</v>
      </c>
      <c r="D889" s="139" t="s">
        <v>424</v>
      </c>
      <c r="E889" s="484" t="s">
        <v>354</v>
      </c>
      <c r="F889" s="484"/>
      <c r="G889" s="484" t="s">
        <v>355</v>
      </c>
      <c r="H889" s="484"/>
      <c r="I889" s="484"/>
      <c r="J889" s="484"/>
      <c r="K889" s="140" t="s">
        <v>356</v>
      </c>
      <c r="L889" s="141">
        <v>7</v>
      </c>
      <c r="M889" s="123"/>
      <c r="N889" s="117"/>
    </row>
    <row r="890" spans="1:14" ht="17.25" thickBot="1">
      <c r="A890" s="126" t="str">
        <f t="shared" si="33"/>
        <v>2025/11</v>
      </c>
      <c r="B890" s="127" t="str">
        <f t="shared" si="32"/>
        <v>2025/11忠孝7樓</v>
      </c>
      <c r="C890" s="138">
        <v>147</v>
      </c>
      <c r="D890" s="139" t="s">
        <v>424</v>
      </c>
      <c r="E890" s="484" t="s">
        <v>425</v>
      </c>
      <c r="F890" s="484"/>
      <c r="G890" s="484" t="s">
        <v>426</v>
      </c>
      <c r="H890" s="484"/>
      <c r="I890" s="484"/>
      <c r="J890" s="484"/>
      <c r="K890" s="140" t="s">
        <v>269</v>
      </c>
      <c r="L890" s="141">
        <v>7</v>
      </c>
      <c r="M890" s="123"/>
      <c r="N890" s="117"/>
    </row>
    <row r="891" spans="1:14" ht="17.25" thickBot="1">
      <c r="A891" s="126" t="str">
        <f t="shared" si="33"/>
        <v>2025/11</v>
      </c>
      <c r="B891" s="127" t="str">
        <f t="shared" si="32"/>
        <v>2025/11忠孝7樓</v>
      </c>
      <c r="C891" s="138">
        <v>148</v>
      </c>
      <c r="D891" s="139" t="s">
        <v>424</v>
      </c>
      <c r="E891" s="484" t="s">
        <v>309</v>
      </c>
      <c r="F891" s="484"/>
      <c r="G891" s="484" t="s">
        <v>310</v>
      </c>
      <c r="H891" s="484"/>
      <c r="I891" s="484"/>
      <c r="J891" s="484"/>
      <c r="K891" s="140" t="s">
        <v>269</v>
      </c>
      <c r="L891" s="141">
        <v>124</v>
      </c>
      <c r="M891" s="123"/>
      <c r="N891" s="117"/>
    </row>
    <row r="892" spans="1:14" ht="17.25" thickBot="1">
      <c r="A892" s="126" t="str">
        <f t="shared" si="33"/>
        <v>2025/11</v>
      </c>
      <c r="B892" s="127" t="str">
        <f t="shared" si="32"/>
        <v>2025/11忠孝7樓</v>
      </c>
      <c r="C892" s="138">
        <v>149</v>
      </c>
      <c r="D892" s="139" t="s">
        <v>424</v>
      </c>
      <c r="E892" s="484" t="s">
        <v>267</v>
      </c>
      <c r="F892" s="484"/>
      <c r="G892" s="484" t="s">
        <v>268</v>
      </c>
      <c r="H892" s="484"/>
      <c r="I892" s="484"/>
      <c r="J892" s="484"/>
      <c r="K892" s="140" t="s">
        <v>269</v>
      </c>
      <c r="L892" s="141">
        <v>29</v>
      </c>
      <c r="M892" s="123"/>
      <c r="N892" s="117"/>
    </row>
    <row r="893" spans="1:14" ht="17.25" thickBot="1">
      <c r="A893" s="126" t="str">
        <f t="shared" si="33"/>
        <v>2025/11</v>
      </c>
      <c r="B893" s="127" t="str">
        <f t="shared" si="32"/>
        <v>2025/11忠孝7樓</v>
      </c>
      <c r="C893" s="138">
        <v>150</v>
      </c>
      <c r="D893" s="139" t="s">
        <v>424</v>
      </c>
      <c r="E893" s="484" t="s">
        <v>315</v>
      </c>
      <c r="F893" s="484"/>
      <c r="G893" s="484" t="s">
        <v>316</v>
      </c>
      <c r="H893" s="484"/>
      <c r="I893" s="484"/>
      <c r="J893" s="484"/>
      <c r="K893" s="140" t="s">
        <v>296</v>
      </c>
      <c r="L893" s="141">
        <v>7</v>
      </c>
      <c r="M893" s="123"/>
      <c r="N893" s="117"/>
    </row>
    <row r="894" spans="1:14" ht="17.25" thickBot="1">
      <c r="A894" s="126" t="str">
        <f t="shared" si="33"/>
        <v>2025/11</v>
      </c>
      <c r="B894" s="127" t="str">
        <f t="shared" si="32"/>
        <v>2025/11忠孝7樓</v>
      </c>
      <c r="C894" s="138">
        <v>151</v>
      </c>
      <c r="D894" s="139" t="s">
        <v>424</v>
      </c>
      <c r="E894" s="484" t="s">
        <v>294</v>
      </c>
      <c r="F894" s="484"/>
      <c r="G894" s="484" t="s">
        <v>295</v>
      </c>
      <c r="H894" s="484"/>
      <c r="I894" s="484"/>
      <c r="J894" s="484"/>
      <c r="K894" s="140" t="s">
        <v>296</v>
      </c>
      <c r="L894" s="141">
        <v>2</v>
      </c>
      <c r="M894" s="123"/>
      <c r="N894" s="117"/>
    </row>
    <row r="895" spans="1:14" ht="17.25" thickBot="1">
      <c r="A895" s="126" t="str">
        <f t="shared" si="33"/>
        <v>2025/11</v>
      </c>
      <c r="B895" s="127" t="str">
        <f t="shared" si="32"/>
        <v>2025/11忠孝7樓</v>
      </c>
      <c r="C895" s="138">
        <v>152</v>
      </c>
      <c r="D895" s="139" t="s">
        <v>424</v>
      </c>
      <c r="E895" s="484" t="s">
        <v>237</v>
      </c>
      <c r="F895" s="484"/>
      <c r="G895" s="484" t="s">
        <v>238</v>
      </c>
      <c r="H895" s="484"/>
      <c r="I895" s="484"/>
      <c r="J895" s="484"/>
      <c r="K895" s="140" t="s">
        <v>239</v>
      </c>
      <c r="L895" s="141">
        <v>996</v>
      </c>
      <c r="M895" s="123"/>
      <c r="N895" s="117"/>
    </row>
    <row r="896" spans="1:14" ht="17.25" thickBot="1">
      <c r="A896" s="126" t="str">
        <f t="shared" si="33"/>
        <v>2025/11</v>
      </c>
      <c r="B896" s="127" t="str">
        <f t="shared" si="32"/>
        <v>2025/11忠孝7樓</v>
      </c>
      <c r="C896" s="138">
        <v>153</v>
      </c>
      <c r="D896" s="139" t="s">
        <v>424</v>
      </c>
      <c r="E896" s="484" t="s">
        <v>240</v>
      </c>
      <c r="F896" s="484"/>
      <c r="G896" s="484" t="s">
        <v>241</v>
      </c>
      <c r="H896" s="484"/>
      <c r="I896" s="484"/>
      <c r="J896" s="484"/>
      <c r="K896" s="140" t="s">
        <v>239</v>
      </c>
      <c r="L896" s="141">
        <v>996</v>
      </c>
      <c r="M896" s="123"/>
      <c r="N896" s="117"/>
    </row>
    <row r="897" spans="1:14" ht="17.25" thickBot="1">
      <c r="A897" s="126" t="str">
        <f t="shared" si="33"/>
        <v>2025/11</v>
      </c>
      <c r="B897" s="127" t="str">
        <f t="shared" si="32"/>
        <v>2025/11忠孝7樓</v>
      </c>
      <c r="C897" s="138">
        <v>154</v>
      </c>
      <c r="D897" s="139" t="s">
        <v>424</v>
      </c>
      <c r="E897" s="484" t="s">
        <v>242</v>
      </c>
      <c r="F897" s="484"/>
      <c r="G897" s="484" t="s">
        <v>243</v>
      </c>
      <c r="H897" s="484"/>
      <c r="I897" s="484"/>
      <c r="J897" s="484"/>
      <c r="K897" s="140" t="s">
        <v>239</v>
      </c>
      <c r="L897" s="141">
        <v>996</v>
      </c>
      <c r="M897" s="123"/>
      <c r="N897" s="117"/>
    </row>
    <row r="898" spans="1:14" ht="17.25" thickBot="1">
      <c r="A898" s="126" t="str">
        <f t="shared" si="33"/>
        <v>2025/11</v>
      </c>
      <c r="B898" s="127" t="str">
        <f t="shared" ref="B898:B901" si="34">"2025/11"&amp;D898</f>
        <v>2025/11忠孝7樓</v>
      </c>
      <c r="C898" s="138">
        <v>155</v>
      </c>
      <c r="D898" s="139" t="s">
        <v>424</v>
      </c>
      <c r="E898" s="484" t="s">
        <v>244</v>
      </c>
      <c r="F898" s="484"/>
      <c r="G898" s="484" t="s">
        <v>245</v>
      </c>
      <c r="H898" s="484"/>
      <c r="I898" s="484"/>
      <c r="J898" s="484"/>
      <c r="K898" s="140" t="s">
        <v>725</v>
      </c>
      <c r="L898" s="141">
        <v>14884</v>
      </c>
      <c r="M898" s="123"/>
      <c r="N898" s="117"/>
    </row>
    <row r="899" spans="1:14" ht="17.25" thickBot="1">
      <c r="A899" s="126" t="str">
        <f t="shared" si="33"/>
        <v>2025/11</v>
      </c>
      <c r="B899" s="127" t="str">
        <f t="shared" si="34"/>
        <v>2025/11忠孝7樓</v>
      </c>
      <c r="C899" s="138">
        <v>156</v>
      </c>
      <c r="D899" s="139" t="s">
        <v>424</v>
      </c>
      <c r="E899" s="484" t="s">
        <v>246</v>
      </c>
      <c r="F899" s="484"/>
      <c r="G899" s="484" t="s">
        <v>247</v>
      </c>
      <c r="H899" s="484"/>
      <c r="I899" s="484"/>
      <c r="J899" s="484"/>
      <c r="K899" s="140" t="s">
        <v>725</v>
      </c>
      <c r="L899" s="141">
        <v>14884</v>
      </c>
      <c r="M899" s="123"/>
      <c r="N899" s="117"/>
    </row>
    <row r="900" spans="1:14" ht="17.25" thickBot="1">
      <c r="A900" s="126" t="str">
        <f t="shared" si="33"/>
        <v>2025/11</v>
      </c>
      <c r="B900" s="127" t="str">
        <f t="shared" si="34"/>
        <v>2025/11忠孝7樓</v>
      </c>
      <c r="C900" s="138">
        <v>157</v>
      </c>
      <c r="D900" s="139" t="s">
        <v>424</v>
      </c>
      <c r="E900" s="484" t="s">
        <v>248</v>
      </c>
      <c r="F900" s="484"/>
      <c r="G900" s="484" t="s">
        <v>249</v>
      </c>
      <c r="H900" s="484"/>
      <c r="I900" s="484"/>
      <c r="J900" s="484"/>
      <c r="K900" s="140" t="s">
        <v>725</v>
      </c>
      <c r="L900" s="141">
        <v>14884</v>
      </c>
      <c r="M900" s="123"/>
      <c r="N900" s="117"/>
    </row>
    <row r="901" spans="1:14" ht="17.25" thickBot="1">
      <c r="A901" s="126" t="str">
        <f t="shared" si="33"/>
        <v>2025/11</v>
      </c>
      <c r="B901" s="127" t="str">
        <f t="shared" si="34"/>
        <v>2025/11忠孝7樓</v>
      </c>
      <c r="C901" s="138">
        <v>158</v>
      </c>
      <c r="D901" s="139" t="s">
        <v>424</v>
      </c>
      <c r="E901" s="484" t="s">
        <v>250</v>
      </c>
      <c r="F901" s="484"/>
      <c r="G901" s="484" t="s">
        <v>251</v>
      </c>
      <c r="H901" s="484"/>
      <c r="I901" s="484"/>
      <c r="J901" s="484"/>
      <c r="K901" s="140" t="s">
        <v>725</v>
      </c>
      <c r="L901" s="141">
        <v>14884</v>
      </c>
      <c r="M901" s="123"/>
      <c r="N901" s="117"/>
    </row>
    <row r="902" spans="1:14" ht="17.25" thickBot="1">
      <c r="A902" s="126" t="str">
        <f t="shared" si="33"/>
        <v>2025/11</v>
      </c>
      <c r="B902" s="127" t="str">
        <f>"2025/11"&amp;D902</f>
        <v>2025/11忠孝國際醫學3樓</v>
      </c>
      <c r="C902" s="138">
        <v>159</v>
      </c>
      <c r="D902" s="139" t="s">
        <v>850</v>
      </c>
      <c r="E902" s="484" t="s">
        <v>392</v>
      </c>
      <c r="F902" s="484"/>
      <c r="G902" s="484" t="s">
        <v>393</v>
      </c>
      <c r="H902" s="484"/>
      <c r="I902" s="484"/>
      <c r="J902" s="484"/>
      <c r="K902" s="140" t="s">
        <v>382</v>
      </c>
      <c r="L902" s="141">
        <v>1000</v>
      </c>
      <c r="M902" s="123"/>
      <c r="N902" s="117"/>
    </row>
    <row r="903" spans="1:14" ht="17.25" thickBot="1">
      <c r="A903" s="126" t="str">
        <f t="shared" si="33"/>
        <v>2025/11</v>
      </c>
      <c r="B903" s="127" t="str">
        <f t="shared" ref="B903:B926" si="35">"2025/11"&amp;D903</f>
        <v>2025/11忠孝國際醫學3樓</v>
      </c>
      <c r="C903" s="138">
        <v>160</v>
      </c>
      <c r="D903" s="139" t="s">
        <v>850</v>
      </c>
      <c r="E903" s="484" t="s">
        <v>380</v>
      </c>
      <c r="F903" s="484"/>
      <c r="G903" s="484" t="s">
        <v>381</v>
      </c>
      <c r="H903" s="484"/>
      <c r="I903" s="484"/>
      <c r="J903" s="484"/>
      <c r="K903" s="140" t="s">
        <v>382</v>
      </c>
      <c r="L903" s="141">
        <v>1222</v>
      </c>
      <c r="M903" s="123"/>
      <c r="N903" s="117"/>
    </row>
    <row r="904" spans="1:14" ht="17.25" thickBot="1">
      <c r="A904" s="126" t="str">
        <f t="shared" si="33"/>
        <v>2025/11</v>
      </c>
      <c r="B904" s="127" t="str">
        <f t="shared" si="35"/>
        <v>2025/11忠孝國際醫學3樓</v>
      </c>
      <c r="C904" s="138">
        <v>161</v>
      </c>
      <c r="D904" s="139" t="s">
        <v>850</v>
      </c>
      <c r="E904" s="484" t="s">
        <v>413</v>
      </c>
      <c r="F904" s="484"/>
      <c r="G904" s="484" t="s">
        <v>674</v>
      </c>
      <c r="H904" s="484"/>
      <c r="I904" s="484"/>
      <c r="J904" s="484"/>
      <c r="K904" s="140" t="s">
        <v>410</v>
      </c>
      <c r="L904" s="141">
        <v>11</v>
      </c>
      <c r="M904" s="123"/>
      <c r="N904" s="117"/>
    </row>
    <row r="905" spans="1:14" ht="17.25" thickBot="1">
      <c r="A905" s="126" t="str">
        <f t="shared" si="33"/>
        <v>2025/11</v>
      </c>
      <c r="B905" s="127" t="str">
        <f t="shared" si="35"/>
        <v>2025/11忠孝國際醫學3樓</v>
      </c>
      <c r="C905" s="138">
        <v>162</v>
      </c>
      <c r="D905" s="139" t="s">
        <v>850</v>
      </c>
      <c r="E905" s="484" t="s">
        <v>360</v>
      </c>
      <c r="F905" s="484"/>
      <c r="G905" s="484" t="s">
        <v>361</v>
      </c>
      <c r="H905" s="484"/>
      <c r="I905" s="484"/>
      <c r="J905" s="484"/>
      <c r="K905" s="140" t="s">
        <v>362</v>
      </c>
      <c r="L905" s="141">
        <v>22</v>
      </c>
      <c r="M905" s="123"/>
      <c r="N905" s="117"/>
    </row>
    <row r="906" spans="1:14" ht="17.25" thickBot="1">
      <c r="A906" s="126" t="str">
        <f t="shared" si="33"/>
        <v>2025/11</v>
      </c>
      <c r="B906" s="127" t="str">
        <f t="shared" si="35"/>
        <v>2025/11忠孝國際醫學3樓</v>
      </c>
      <c r="C906" s="138">
        <v>163</v>
      </c>
      <c r="D906" s="139" t="s">
        <v>850</v>
      </c>
      <c r="E906" s="484" t="s">
        <v>383</v>
      </c>
      <c r="F906" s="484"/>
      <c r="G906" s="484" t="s">
        <v>384</v>
      </c>
      <c r="H906" s="484"/>
      <c r="I906" s="484"/>
      <c r="J906" s="484"/>
      <c r="K906" s="140" t="s">
        <v>385</v>
      </c>
      <c r="L906" s="141">
        <v>460</v>
      </c>
      <c r="M906" s="123"/>
      <c r="N906" s="117"/>
    </row>
    <row r="907" spans="1:14" ht="17.25" thickBot="1">
      <c r="A907" s="126" t="str">
        <f t="shared" si="33"/>
        <v>2025/11</v>
      </c>
      <c r="B907" s="127" t="str">
        <f t="shared" si="35"/>
        <v>2025/11忠孝國際醫學3樓</v>
      </c>
      <c r="C907" s="138">
        <v>164</v>
      </c>
      <c r="D907" s="139" t="s">
        <v>850</v>
      </c>
      <c r="E907" s="484" t="s">
        <v>394</v>
      </c>
      <c r="F907" s="484"/>
      <c r="G907" s="484" t="s">
        <v>395</v>
      </c>
      <c r="H907" s="484"/>
      <c r="I907" s="484"/>
      <c r="J907" s="484"/>
      <c r="K907" s="140" t="s">
        <v>272</v>
      </c>
      <c r="L907" s="141">
        <v>9</v>
      </c>
      <c r="M907" s="123"/>
      <c r="N907" s="117"/>
    </row>
    <row r="908" spans="1:14" ht="17.25" thickBot="1">
      <c r="A908" s="126" t="str">
        <f t="shared" si="33"/>
        <v>2025/11</v>
      </c>
      <c r="B908" s="127" t="str">
        <f t="shared" si="35"/>
        <v>2025/11忠孝國際醫學3樓</v>
      </c>
      <c r="C908" s="138">
        <v>165</v>
      </c>
      <c r="D908" s="139" t="s">
        <v>850</v>
      </c>
      <c r="E908" s="484" t="s">
        <v>396</v>
      </c>
      <c r="F908" s="484"/>
      <c r="G908" s="484" t="s">
        <v>397</v>
      </c>
      <c r="H908" s="484"/>
      <c r="I908" s="484"/>
      <c r="J908" s="484"/>
      <c r="K908" s="140" t="s">
        <v>398</v>
      </c>
      <c r="L908" s="141">
        <v>2</v>
      </c>
      <c r="M908" s="123"/>
      <c r="N908" s="117"/>
    </row>
    <row r="909" spans="1:14" ht="17.25" thickBot="1">
      <c r="A909" s="126" t="str">
        <f t="shared" si="33"/>
        <v>2025/11</v>
      </c>
      <c r="B909" s="127" t="str">
        <f t="shared" si="35"/>
        <v>2025/11忠孝國際醫學3樓</v>
      </c>
      <c r="C909" s="138">
        <v>166</v>
      </c>
      <c r="D909" s="139" t="s">
        <v>850</v>
      </c>
      <c r="E909" s="484" t="s">
        <v>403</v>
      </c>
      <c r="F909" s="484"/>
      <c r="G909" s="484" t="s">
        <v>404</v>
      </c>
      <c r="H909" s="484"/>
      <c r="I909" s="484"/>
      <c r="J909" s="484"/>
      <c r="K909" s="140" t="s">
        <v>405</v>
      </c>
      <c r="L909" s="141">
        <v>9</v>
      </c>
      <c r="M909" s="123"/>
      <c r="N909" s="117"/>
    </row>
    <row r="910" spans="1:14" ht="17.25" thickBot="1">
      <c r="A910" s="126" t="str">
        <f t="shared" si="33"/>
        <v>2025/11</v>
      </c>
      <c r="B910" s="127" t="str">
        <f t="shared" si="35"/>
        <v>2025/11忠孝國際醫學3樓</v>
      </c>
      <c r="C910" s="138">
        <v>167</v>
      </c>
      <c r="D910" s="139" t="s">
        <v>850</v>
      </c>
      <c r="E910" s="484" t="s">
        <v>406</v>
      </c>
      <c r="F910" s="484"/>
      <c r="G910" s="484" t="s">
        <v>407</v>
      </c>
      <c r="H910" s="484"/>
      <c r="I910" s="484"/>
      <c r="J910" s="484"/>
      <c r="K910" s="140" t="s">
        <v>385</v>
      </c>
      <c r="L910" s="141">
        <v>9</v>
      </c>
      <c r="M910" s="123"/>
      <c r="N910" s="117"/>
    </row>
    <row r="911" spans="1:14" ht="17.25" thickBot="1">
      <c r="A911" s="126" t="str">
        <f t="shared" si="33"/>
        <v>2025/11</v>
      </c>
      <c r="B911" s="127" t="str">
        <f t="shared" si="35"/>
        <v>2025/11忠孝國際醫學3樓</v>
      </c>
      <c r="C911" s="138">
        <v>168</v>
      </c>
      <c r="D911" s="139" t="s">
        <v>850</v>
      </c>
      <c r="E911" s="484" t="s">
        <v>408</v>
      </c>
      <c r="F911" s="484"/>
      <c r="G911" s="484" t="s">
        <v>409</v>
      </c>
      <c r="H911" s="484"/>
      <c r="I911" s="484"/>
      <c r="J911" s="484"/>
      <c r="K911" s="140" t="s">
        <v>410</v>
      </c>
      <c r="L911" s="141">
        <v>12</v>
      </c>
      <c r="M911" s="123"/>
      <c r="N911" s="117"/>
    </row>
    <row r="912" spans="1:14" ht="17.25" thickBot="1">
      <c r="A912" s="126" t="str">
        <f t="shared" si="33"/>
        <v>2025/11</v>
      </c>
      <c r="B912" s="127" t="str">
        <f t="shared" si="35"/>
        <v>2025/11忠孝國際醫學3樓</v>
      </c>
      <c r="C912" s="138">
        <v>169</v>
      </c>
      <c r="D912" s="139" t="s">
        <v>850</v>
      </c>
      <c r="E912" s="484" t="s">
        <v>255</v>
      </c>
      <c r="F912" s="484"/>
      <c r="G912" s="484" t="s">
        <v>256</v>
      </c>
      <c r="H912" s="484"/>
      <c r="I912" s="484"/>
      <c r="J912" s="484"/>
      <c r="K912" s="140" t="s">
        <v>720</v>
      </c>
      <c r="L912" s="141">
        <v>442</v>
      </c>
      <c r="M912" s="123"/>
      <c r="N912" s="117"/>
    </row>
    <row r="913" spans="1:14" ht="17.25" thickBot="1">
      <c r="A913" s="126" t="str">
        <f t="shared" si="33"/>
        <v>2025/11</v>
      </c>
      <c r="B913" s="127" t="str">
        <f t="shared" si="35"/>
        <v>2025/11忠孝國際醫學3樓</v>
      </c>
      <c r="C913" s="138">
        <v>170</v>
      </c>
      <c r="D913" s="139" t="s">
        <v>850</v>
      </c>
      <c r="E913" s="484" t="s">
        <v>419</v>
      </c>
      <c r="F913" s="484"/>
      <c r="G913" s="484" t="s">
        <v>420</v>
      </c>
      <c r="H913" s="484"/>
      <c r="I913" s="484"/>
      <c r="J913" s="484"/>
      <c r="K913" s="140" t="s">
        <v>726</v>
      </c>
      <c r="L913" s="141">
        <v>796</v>
      </c>
      <c r="M913" s="123"/>
      <c r="N913" s="117"/>
    </row>
    <row r="914" spans="1:14" ht="17.25" thickBot="1">
      <c r="A914" s="126" t="str">
        <f t="shared" si="33"/>
        <v>2025/11</v>
      </c>
      <c r="B914" s="127" t="str">
        <f t="shared" si="35"/>
        <v>2025/11忠孝國際醫學3樓</v>
      </c>
      <c r="C914" s="138">
        <v>171</v>
      </c>
      <c r="D914" s="139" t="s">
        <v>850</v>
      </c>
      <c r="E914" s="484" t="s">
        <v>258</v>
      </c>
      <c r="F914" s="484"/>
      <c r="G914" s="484" t="s">
        <v>259</v>
      </c>
      <c r="H914" s="484"/>
      <c r="I914" s="484"/>
      <c r="J914" s="484"/>
      <c r="K914" s="140"/>
      <c r="L914" s="141">
        <v>13</v>
      </c>
      <c r="M914" s="123"/>
      <c r="N914" s="117"/>
    </row>
    <row r="915" spans="1:14" ht="17.25" thickBot="1">
      <c r="A915" s="126" t="str">
        <f t="shared" si="33"/>
        <v>2025/11</v>
      </c>
      <c r="B915" s="127" t="str">
        <f t="shared" si="35"/>
        <v>2025/11忠孝國際醫學3樓</v>
      </c>
      <c r="C915" s="138">
        <v>172</v>
      </c>
      <c r="D915" s="139" t="s">
        <v>850</v>
      </c>
      <c r="E915" s="484" t="s">
        <v>260</v>
      </c>
      <c r="F915" s="484"/>
      <c r="G915" s="484" t="s">
        <v>261</v>
      </c>
      <c r="H915" s="484"/>
      <c r="I915" s="484"/>
      <c r="J915" s="484"/>
      <c r="K915" s="140" t="s">
        <v>254</v>
      </c>
      <c r="L915" s="141">
        <v>13</v>
      </c>
      <c r="M915" s="123"/>
      <c r="N915" s="117"/>
    </row>
    <row r="916" spans="1:14" ht="17.25" thickBot="1">
      <c r="A916" s="126" t="str">
        <f t="shared" si="33"/>
        <v>2025/11</v>
      </c>
      <c r="B916" s="127" t="str">
        <f t="shared" si="35"/>
        <v>2025/11忠孝國際醫學3樓</v>
      </c>
      <c r="C916" s="138">
        <v>173</v>
      </c>
      <c r="D916" s="139" t="s">
        <v>850</v>
      </c>
      <c r="E916" s="484" t="s">
        <v>415</v>
      </c>
      <c r="F916" s="484"/>
      <c r="G916" s="484" t="s">
        <v>416</v>
      </c>
      <c r="H916" s="484"/>
      <c r="I916" s="484"/>
      <c r="J916" s="484"/>
      <c r="K916" s="140" t="s">
        <v>254</v>
      </c>
      <c r="L916" s="141">
        <v>2</v>
      </c>
      <c r="M916" s="123"/>
      <c r="N916" s="117"/>
    </row>
    <row r="917" spans="1:14" ht="17.25" thickBot="1">
      <c r="A917" s="126" t="str">
        <f t="shared" si="33"/>
        <v>2025/11</v>
      </c>
      <c r="B917" s="127" t="str">
        <f t="shared" si="35"/>
        <v>2025/11忠孝國際醫學3樓</v>
      </c>
      <c r="C917" s="138">
        <v>174</v>
      </c>
      <c r="D917" s="139" t="s">
        <v>850</v>
      </c>
      <c r="E917" s="484" t="s">
        <v>252</v>
      </c>
      <c r="F917" s="484"/>
      <c r="G917" s="484" t="s">
        <v>253</v>
      </c>
      <c r="H917" s="484"/>
      <c r="I917" s="484"/>
      <c r="J917" s="484"/>
      <c r="K917" s="140" t="s">
        <v>254</v>
      </c>
      <c r="L917" s="141">
        <v>13</v>
      </c>
      <c r="M917" s="123"/>
      <c r="N917" s="117"/>
    </row>
    <row r="918" spans="1:14" ht="17.25" thickBot="1">
      <c r="A918" s="126" t="str">
        <f t="shared" si="33"/>
        <v>2025/11</v>
      </c>
      <c r="B918" s="127" t="str">
        <f t="shared" si="35"/>
        <v>2025/11忠孝國際醫學3樓</v>
      </c>
      <c r="C918" s="138">
        <v>175</v>
      </c>
      <c r="D918" s="139" t="s">
        <v>850</v>
      </c>
      <c r="E918" s="484" t="s">
        <v>690</v>
      </c>
      <c r="F918" s="484"/>
      <c r="G918" s="484" t="s">
        <v>691</v>
      </c>
      <c r="H918" s="484"/>
      <c r="I918" s="484"/>
      <c r="J918" s="484"/>
      <c r="K918" s="140" t="s">
        <v>692</v>
      </c>
      <c r="L918" s="141">
        <v>3</v>
      </c>
      <c r="M918" s="123"/>
      <c r="N918" s="117"/>
    </row>
    <row r="919" spans="1:14" ht="17.25" thickBot="1">
      <c r="A919" s="126" t="str">
        <f t="shared" si="33"/>
        <v>2025/11</v>
      </c>
      <c r="B919" s="127" t="str">
        <f t="shared" si="35"/>
        <v>2025/11忠孝國際醫學3樓</v>
      </c>
      <c r="C919" s="138">
        <v>176</v>
      </c>
      <c r="D919" s="139" t="s">
        <v>850</v>
      </c>
      <c r="E919" s="484" t="s">
        <v>386</v>
      </c>
      <c r="F919" s="484"/>
      <c r="G919" s="484" t="s">
        <v>387</v>
      </c>
      <c r="H919" s="484"/>
      <c r="I919" s="484"/>
      <c r="J919" s="484"/>
      <c r="K919" s="140" t="s">
        <v>388</v>
      </c>
      <c r="L919" s="141">
        <v>1894</v>
      </c>
      <c r="M919" s="123"/>
      <c r="N919" s="117"/>
    </row>
    <row r="920" spans="1:14" ht="17.25" thickBot="1">
      <c r="A920" s="126" t="str">
        <f t="shared" si="33"/>
        <v>2025/11</v>
      </c>
      <c r="B920" s="127" t="str">
        <f t="shared" si="35"/>
        <v>2025/11忠孝國際醫學3樓</v>
      </c>
      <c r="C920" s="138">
        <v>177</v>
      </c>
      <c r="D920" s="139" t="s">
        <v>850</v>
      </c>
      <c r="E920" s="484" t="s">
        <v>377</v>
      </c>
      <c r="F920" s="484"/>
      <c r="G920" s="484" t="s">
        <v>378</v>
      </c>
      <c r="H920" s="484"/>
      <c r="I920" s="484"/>
      <c r="J920" s="484"/>
      <c r="K920" s="140" t="s">
        <v>379</v>
      </c>
      <c r="L920" s="141">
        <v>124</v>
      </c>
      <c r="M920" s="123"/>
      <c r="N920" s="117"/>
    </row>
    <row r="921" spans="1:14" ht="17.25" thickBot="1">
      <c r="A921" s="126" t="str">
        <f t="shared" si="33"/>
        <v>2025/11</v>
      </c>
      <c r="B921" s="127" t="str">
        <f t="shared" si="35"/>
        <v>2025/11忠孝國際醫學3樓</v>
      </c>
      <c r="C921" s="138">
        <v>178</v>
      </c>
      <c r="D921" s="139" t="s">
        <v>850</v>
      </c>
      <c r="E921" s="484" t="s">
        <v>401</v>
      </c>
      <c r="F921" s="484"/>
      <c r="G921" s="484" t="s">
        <v>402</v>
      </c>
      <c r="H921" s="484"/>
      <c r="I921" s="484"/>
      <c r="J921" s="484"/>
      <c r="K921" s="140" t="s">
        <v>145</v>
      </c>
      <c r="L921" s="141">
        <v>8</v>
      </c>
      <c r="M921" s="123"/>
      <c r="N921" s="117"/>
    </row>
    <row r="922" spans="1:14" ht="17.25" thickBot="1">
      <c r="A922" s="126" t="str">
        <f t="shared" si="33"/>
        <v>2025/11</v>
      </c>
      <c r="B922" s="127" t="str">
        <f t="shared" si="35"/>
        <v>2025/11忠孝國際醫學3樓</v>
      </c>
      <c r="C922" s="138">
        <v>179</v>
      </c>
      <c r="D922" s="139" t="s">
        <v>850</v>
      </c>
      <c r="E922" s="484" t="s">
        <v>417</v>
      </c>
      <c r="F922" s="484"/>
      <c r="G922" s="484" t="s">
        <v>418</v>
      </c>
      <c r="H922" s="484"/>
      <c r="I922" s="484"/>
      <c r="J922" s="484"/>
      <c r="K922" s="140" t="s">
        <v>145</v>
      </c>
      <c r="L922" s="141">
        <v>17</v>
      </c>
      <c r="M922" s="123"/>
      <c r="N922" s="117"/>
    </row>
    <row r="923" spans="1:14" ht="17.25" thickBot="1">
      <c r="A923" s="126" t="str">
        <f t="shared" si="33"/>
        <v>2025/11</v>
      </c>
      <c r="B923" s="127" t="str">
        <f t="shared" si="35"/>
        <v>2025/11忠孝國際醫學3樓</v>
      </c>
      <c r="C923" s="138">
        <v>180</v>
      </c>
      <c r="D923" s="139" t="s">
        <v>850</v>
      </c>
      <c r="E923" s="484" t="s">
        <v>411</v>
      </c>
      <c r="F923" s="484"/>
      <c r="G923" s="484" t="s">
        <v>412</v>
      </c>
      <c r="H923" s="484"/>
      <c r="I923" s="484"/>
      <c r="J923" s="484"/>
      <c r="K923" s="140" t="s">
        <v>145</v>
      </c>
      <c r="L923" s="141">
        <v>3</v>
      </c>
      <c r="M923" s="123"/>
      <c r="N923" s="117"/>
    </row>
    <row r="924" spans="1:14" ht="17.25" thickBot="1">
      <c r="A924" s="126" t="str">
        <f t="shared" si="33"/>
        <v>2025/11</v>
      </c>
      <c r="B924" s="127" t="str">
        <f t="shared" si="35"/>
        <v>2025/11忠孝國際醫學3樓</v>
      </c>
      <c r="C924" s="138">
        <v>181</v>
      </c>
      <c r="D924" s="139" t="s">
        <v>850</v>
      </c>
      <c r="E924" s="484" t="s">
        <v>375</v>
      </c>
      <c r="F924" s="484"/>
      <c r="G924" s="484" t="s">
        <v>376</v>
      </c>
      <c r="H924" s="484"/>
      <c r="I924" s="484"/>
      <c r="J924" s="484"/>
      <c r="K924" s="140" t="s">
        <v>145</v>
      </c>
      <c r="L924" s="141">
        <v>4</v>
      </c>
      <c r="M924" s="123"/>
      <c r="N924" s="117"/>
    </row>
    <row r="925" spans="1:14" ht="17.25" thickBot="1">
      <c r="A925" s="126" t="str">
        <f t="shared" si="33"/>
        <v>2025/11</v>
      </c>
      <c r="B925" s="127" t="str">
        <f t="shared" si="35"/>
        <v>2025/11忠孝國際醫學3樓</v>
      </c>
      <c r="C925" s="138">
        <v>182</v>
      </c>
      <c r="D925" s="139" t="s">
        <v>850</v>
      </c>
      <c r="E925" s="484" t="s">
        <v>422</v>
      </c>
      <c r="F925" s="484"/>
      <c r="G925" s="484" t="s">
        <v>423</v>
      </c>
      <c r="H925" s="484"/>
      <c r="I925" s="484"/>
      <c r="J925" s="484"/>
      <c r="K925" s="140" t="s">
        <v>145</v>
      </c>
      <c r="L925" s="141">
        <v>5</v>
      </c>
      <c r="M925" s="123"/>
      <c r="N925" s="117"/>
    </row>
    <row r="926" spans="1:14" ht="17.25" thickBot="1">
      <c r="A926" s="126" t="str">
        <f t="shared" si="33"/>
        <v>2025/11</v>
      </c>
      <c r="B926" s="127" t="str">
        <f t="shared" si="35"/>
        <v>2025/11忠孝國際醫學3樓</v>
      </c>
      <c r="C926" s="138">
        <v>183</v>
      </c>
      <c r="D926" s="139" t="s">
        <v>850</v>
      </c>
      <c r="E926" s="484" t="s">
        <v>399</v>
      </c>
      <c r="F926" s="484"/>
      <c r="G926" s="484" t="s">
        <v>400</v>
      </c>
      <c r="H926" s="484"/>
      <c r="I926" s="484"/>
      <c r="J926" s="484"/>
      <c r="K926" s="140" t="s">
        <v>145</v>
      </c>
      <c r="L926" s="141">
        <v>24</v>
      </c>
      <c r="M926" s="123"/>
      <c r="N926" s="117"/>
    </row>
    <row r="927" spans="1:14" ht="17.25" thickBot="1">
      <c r="A927" s="126" t="str">
        <f t="shared" si="33"/>
        <v>2025/11</v>
      </c>
      <c r="B927" s="127" t="str">
        <f>"2025/11"&amp;D927</f>
        <v>2025/11忠孝國際醫學3樓</v>
      </c>
      <c r="C927" s="138">
        <v>184</v>
      </c>
      <c r="D927" s="139" t="s">
        <v>850</v>
      </c>
      <c r="E927" s="484" t="s">
        <v>693</v>
      </c>
      <c r="F927" s="484"/>
      <c r="G927" s="484" t="s">
        <v>694</v>
      </c>
      <c r="H927" s="484"/>
      <c r="I927" s="484"/>
      <c r="J927" s="484"/>
      <c r="K927" s="140" t="s">
        <v>433</v>
      </c>
      <c r="L927" s="141">
        <v>778.5</v>
      </c>
      <c r="M927" s="123"/>
      <c r="N927" s="117"/>
    </row>
    <row r="928" spans="1:14" ht="17.25" thickBot="1">
      <c r="A928" s="126" t="str">
        <f t="shared" ref="A928:A991" si="36">IFERROR(LEFT(B928,7),"")</f>
        <v>2025/12</v>
      </c>
      <c r="B928" s="127" t="str">
        <f>"2025/12"&amp;D928</f>
        <v>2025/12站前4樓</v>
      </c>
      <c r="C928" s="138">
        <v>1</v>
      </c>
      <c r="D928" s="139" t="s">
        <v>236</v>
      </c>
      <c r="E928" s="484" t="s">
        <v>413</v>
      </c>
      <c r="F928" s="484"/>
      <c r="G928" s="484" t="s">
        <v>674</v>
      </c>
      <c r="H928" s="484"/>
      <c r="I928" s="484"/>
      <c r="J928" s="484"/>
      <c r="K928" s="140" t="s">
        <v>410</v>
      </c>
      <c r="L928" s="141">
        <v>14</v>
      </c>
      <c r="M928" s="123"/>
      <c r="N928" s="117"/>
    </row>
    <row r="929" spans="1:14" ht="17.25" thickBot="1">
      <c r="A929" s="126" t="str">
        <f t="shared" si="36"/>
        <v>2025/12</v>
      </c>
      <c r="B929" s="127" t="str">
        <f t="shared" ref="B929:B989" si="37">"2025/12"&amp;D929</f>
        <v>2025/12站前4樓</v>
      </c>
      <c r="C929" s="138">
        <v>2</v>
      </c>
      <c r="D929" s="139" t="s">
        <v>236</v>
      </c>
      <c r="E929" s="484" t="s">
        <v>360</v>
      </c>
      <c r="F929" s="484"/>
      <c r="G929" s="484" t="s">
        <v>361</v>
      </c>
      <c r="H929" s="484"/>
      <c r="I929" s="484"/>
      <c r="J929" s="484"/>
      <c r="K929" s="140" t="s">
        <v>362</v>
      </c>
      <c r="L929" s="141">
        <v>29</v>
      </c>
      <c r="M929" s="123"/>
      <c r="N929" s="117"/>
    </row>
    <row r="930" spans="1:14" ht="17.25" thickBot="1">
      <c r="A930" s="126" t="str">
        <f t="shared" si="36"/>
        <v>2025/12</v>
      </c>
      <c r="B930" s="127" t="str">
        <f t="shared" si="37"/>
        <v>2025/12站前4樓</v>
      </c>
      <c r="C930" s="138">
        <v>3</v>
      </c>
      <c r="D930" s="139" t="s">
        <v>236</v>
      </c>
      <c r="E930" s="484" t="s">
        <v>383</v>
      </c>
      <c r="F930" s="484"/>
      <c r="G930" s="484" t="s">
        <v>384</v>
      </c>
      <c r="H930" s="484"/>
      <c r="I930" s="484"/>
      <c r="J930" s="484"/>
      <c r="K930" s="140" t="s">
        <v>385</v>
      </c>
      <c r="L930" s="141">
        <v>30</v>
      </c>
      <c r="M930" s="123"/>
      <c r="N930" s="117"/>
    </row>
    <row r="931" spans="1:14" ht="17.25" thickBot="1">
      <c r="A931" s="126" t="str">
        <f t="shared" si="36"/>
        <v>2025/12</v>
      </c>
      <c r="B931" s="127" t="str">
        <f t="shared" si="37"/>
        <v>2025/12站前4樓</v>
      </c>
      <c r="C931" s="138">
        <v>4</v>
      </c>
      <c r="D931" s="139" t="s">
        <v>236</v>
      </c>
      <c r="E931" s="484" t="s">
        <v>255</v>
      </c>
      <c r="F931" s="484"/>
      <c r="G931" s="484" t="s">
        <v>256</v>
      </c>
      <c r="H931" s="484"/>
      <c r="I931" s="484"/>
      <c r="J931" s="484"/>
      <c r="K931" s="140" t="s">
        <v>720</v>
      </c>
      <c r="L931" s="141">
        <v>209</v>
      </c>
      <c r="M931" s="123"/>
      <c r="N931" s="117"/>
    </row>
    <row r="932" spans="1:14" ht="17.25" thickBot="1">
      <c r="A932" s="126" t="str">
        <f t="shared" si="36"/>
        <v>2025/12</v>
      </c>
      <c r="B932" s="127" t="str">
        <f t="shared" si="37"/>
        <v>2025/12站前4樓</v>
      </c>
      <c r="C932" s="138">
        <v>5</v>
      </c>
      <c r="D932" s="139" t="s">
        <v>236</v>
      </c>
      <c r="E932" s="484" t="s">
        <v>258</v>
      </c>
      <c r="F932" s="484"/>
      <c r="G932" s="484" t="s">
        <v>259</v>
      </c>
      <c r="H932" s="484"/>
      <c r="I932" s="484"/>
      <c r="J932" s="484"/>
      <c r="K932" s="140"/>
      <c r="L932" s="141">
        <v>237</v>
      </c>
      <c r="M932" s="123"/>
      <c r="N932" s="117"/>
    </row>
    <row r="933" spans="1:14" ht="17.25" thickBot="1">
      <c r="A933" s="126" t="str">
        <f t="shared" si="36"/>
        <v>2025/12</v>
      </c>
      <c r="B933" s="127" t="str">
        <f t="shared" si="37"/>
        <v>2025/12站前4樓</v>
      </c>
      <c r="C933" s="138">
        <v>6</v>
      </c>
      <c r="D933" s="139" t="s">
        <v>236</v>
      </c>
      <c r="E933" s="484" t="s">
        <v>260</v>
      </c>
      <c r="F933" s="484"/>
      <c r="G933" s="484" t="s">
        <v>261</v>
      </c>
      <c r="H933" s="484"/>
      <c r="I933" s="484"/>
      <c r="J933" s="484"/>
      <c r="K933" s="140" t="s">
        <v>254</v>
      </c>
      <c r="L933" s="141">
        <v>237</v>
      </c>
      <c r="M933" s="123"/>
      <c r="N933" s="117"/>
    </row>
    <row r="934" spans="1:14" ht="17.25" thickBot="1">
      <c r="A934" s="126" t="str">
        <f t="shared" si="36"/>
        <v>2025/12</v>
      </c>
      <c r="B934" s="127" t="str">
        <f t="shared" si="37"/>
        <v>2025/12站前4樓</v>
      </c>
      <c r="C934" s="138">
        <v>7</v>
      </c>
      <c r="D934" s="139" t="s">
        <v>236</v>
      </c>
      <c r="E934" s="484" t="s">
        <v>262</v>
      </c>
      <c r="F934" s="484"/>
      <c r="G934" s="484" t="s">
        <v>263</v>
      </c>
      <c r="H934" s="484"/>
      <c r="I934" s="484"/>
      <c r="J934" s="484"/>
      <c r="K934" s="140" t="s">
        <v>254</v>
      </c>
      <c r="L934" s="141">
        <v>20</v>
      </c>
      <c r="M934" s="123"/>
      <c r="N934" s="117"/>
    </row>
    <row r="935" spans="1:14" ht="17.25" thickBot="1">
      <c r="A935" s="126" t="str">
        <f t="shared" si="36"/>
        <v>2025/12</v>
      </c>
      <c r="B935" s="127" t="str">
        <f t="shared" si="37"/>
        <v>2025/12站前4樓</v>
      </c>
      <c r="C935" s="138">
        <v>8</v>
      </c>
      <c r="D935" s="139" t="s">
        <v>236</v>
      </c>
      <c r="E935" s="484" t="s">
        <v>270</v>
      </c>
      <c r="F935" s="484"/>
      <c r="G935" s="484" t="s">
        <v>271</v>
      </c>
      <c r="H935" s="484"/>
      <c r="I935" s="484"/>
      <c r="J935" s="484"/>
      <c r="K935" s="140" t="s">
        <v>272</v>
      </c>
      <c r="L935" s="141">
        <v>102</v>
      </c>
      <c r="M935" s="123"/>
      <c r="N935" s="117"/>
    </row>
    <row r="936" spans="1:14" ht="17.25" thickBot="1">
      <c r="A936" s="126" t="str">
        <f t="shared" si="36"/>
        <v>2025/12</v>
      </c>
      <c r="B936" s="127" t="str">
        <f t="shared" si="37"/>
        <v>2025/12站前4樓</v>
      </c>
      <c r="C936" s="138">
        <v>9</v>
      </c>
      <c r="D936" s="139" t="s">
        <v>236</v>
      </c>
      <c r="E936" s="484" t="s">
        <v>252</v>
      </c>
      <c r="F936" s="484"/>
      <c r="G936" s="484" t="s">
        <v>253</v>
      </c>
      <c r="H936" s="484"/>
      <c r="I936" s="484"/>
      <c r="J936" s="484"/>
      <c r="K936" s="140" t="s">
        <v>254</v>
      </c>
      <c r="L936" s="141">
        <v>237</v>
      </c>
      <c r="M936" s="123"/>
      <c r="N936" s="117"/>
    </row>
    <row r="937" spans="1:14" ht="17.25" thickBot="1">
      <c r="A937" s="126" t="str">
        <f t="shared" si="36"/>
        <v>2025/12</v>
      </c>
      <c r="B937" s="127" t="str">
        <f t="shared" si="37"/>
        <v>2025/12站前4樓</v>
      </c>
      <c r="C937" s="138">
        <v>10</v>
      </c>
      <c r="D937" s="139" t="s">
        <v>236</v>
      </c>
      <c r="E937" s="484" t="s">
        <v>690</v>
      </c>
      <c r="F937" s="484"/>
      <c r="G937" s="484" t="s">
        <v>691</v>
      </c>
      <c r="H937" s="484"/>
      <c r="I937" s="484"/>
      <c r="J937" s="484"/>
      <c r="K937" s="140" t="s">
        <v>692</v>
      </c>
      <c r="L937" s="141">
        <v>15</v>
      </c>
      <c r="M937" s="123"/>
      <c r="N937" s="117"/>
    </row>
    <row r="938" spans="1:14" ht="17.25" thickBot="1">
      <c r="A938" s="126" t="str">
        <f t="shared" si="36"/>
        <v>2025/12</v>
      </c>
      <c r="B938" s="127" t="str">
        <f t="shared" si="37"/>
        <v>2025/12站前4樓</v>
      </c>
      <c r="C938" s="138">
        <v>11</v>
      </c>
      <c r="D938" s="139" t="s">
        <v>236</v>
      </c>
      <c r="E938" s="484" t="s">
        <v>305</v>
      </c>
      <c r="F938" s="484"/>
      <c r="G938" s="484" t="s">
        <v>675</v>
      </c>
      <c r="H938" s="484"/>
      <c r="I938" s="484"/>
      <c r="J938" s="484"/>
      <c r="K938" s="140" t="s">
        <v>676</v>
      </c>
      <c r="L938" s="141">
        <v>5034</v>
      </c>
      <c r="M938" s="123"/>
      <c r="N938" s="117"/>
    </row>
    <row r="939" spans="1:14" ht="17.25" thickBot="1">
      <c r="A939" s="126" t="str">
        <f t="shared" si="36"/>
        <v>2025/12</v>
      </c>
      <c r="B939" s="127" t="str">
        <f t="shared" si="37"/>
        <v>2025/12站前4樓</v>
      </c>
      <c r="C939" s="138">
        <v>12</v>
      </c>
      <c r="D939" s="139" t="s">
        <v>236</v>
      </c>
      <c r="E939" s="484" t="s">
        <v>264</v>
      </c>
      <c r="F939" s="484"/>
      <c r="G939" s="484" t="s">
        <v>677</v>
      </c>
      <c r="H939" s="484"/>
      <c r="I939" s="484"/>
      <c r="J939" s="484"/>
      <c r="K939" s="140" t="s">
        <v>678</v>
      </c>
      <c r="L939" s="141">
        <v>5439</v>
      </c>
      <c r="M939" s="123"/>
      <c r="N939" s="117"/>
    </row>
    <row r="940" spans="1:14" ht="17.25" thickBot="1">
      <c r="A940" s="126" t="str">
        <f t="shared" si="36"/>
        <v>2025/12</v>
      </c>
      <c r="B940" s="127" t="str">
        <f t="shared" si="37"/>
        <v>2025/12站前4樓</v>
      </c>
      <c r="C940" s="138">
        <v>13</v>
      </c>
      <c r="D940" s="139" t="s">
        <v>236</v>
      </c>
      <c r="E940" s="484" t="s">
        <v>307</v>
      </c>
      <c r="F940" s="484"/>
      <c r="G940" s="484" t="s">
        <v>679</v>
      </c>
      <c r="H940" s="484"/>
      <c r="I940" s="484"/>
      <c r="J940" s="484"/>
      <c r="K940" s="140" t="s">
        <v>678</v>
      </c>
      <c r="L940" s="141">
        <v>1438</v>
      </c>
      <c r="M940" s="123"/>
      <c r="N940" s="117"/>
    </row>
    <row r="941" spans="1:14" ht="17.25" thickBot="1">
      <c r="A941" s="126" t="str">
        <f t="shared" si="36"/>
        <v>2025/12</v>
      </c>
      <c r="B941" s="127" t="str">
        <f t="shared" si="37"/>
        <v>2025/12站前4樓</v>
      </c>
      <c r="C941" s="138">
        <v>14</v>
      </c>
      <c r="D941" s="139" t="s">
        <v>236</v>
      </c>
      <c r="E941" s="484" t="s">
        <v>313</v>
      </c>
      <c r="F941" s="484"/>
      <c r="G941" s="484" t="s">
        <v>314</v>
      </c>
      <c r="H941" s="484"/>
      <c r="I941" s="484"/>
      <c r="J941" s="484"/>
      <c r="K941" s="140" t="s">
        <v>301</v>
      </c>
      <c r="L941" s="141">
        <v>116</v>
      </c>
      <c r="M941" s="123"/>
      <c r="N941" s="117"/>
    </row>
    <row r="942" spans="1:14" ht="17.25" thickBot="1">
      <c r="A942" s="126" t="str">
        <f t="shared" si="36"/>
        <v>2025/12</v>
      </c>
      <c r="B942" s="127" t="str">
        <f t="shared" si="37"/>
        <v>2025/12站前4樓</v>
      </c>
      <c r="C942" s="138">
        <v>15</v>
      </c>
      <c r="D942" s="139" t="s">
        <v>236</v>
      </c>
      <c r="E942" s="484" t="s">
        <v>343</v>
      </c>
      <c r="F942" s="484"/>
      <c r="G942" s="484" t="s">
        <v>344</v>
      </c>
      <c r="H942" s="484"/>
      <c r="I942" s="484"/>
      <c r="J942" s="484"/>
      <c r="K942" s="140" t="s">
        <v>301</v>
      </c>
      <c r="L942" s="141">
        <v>3</v>
      </c>
      <c r="M942" s="123"/>
      <c r="N942" s="117"/>
    </row>
    <row r="943" spans="1:14" ht="17.25" thickBot="1">
      <c r="A943" s="126" t="str">
        <f t="shared" si="36"/>
        <v>2025/12</v>
      </c>
      <c r="B943" s="127" t="str">
        <f t="shared" si="37"/>
        <v>2025/12站前4樓</v>
      </c>
      <c r="C943" s="138">
        <v>16</v>
      </c>
      <c r="D943" s="139" t="s">
        <v>236</v>
      </c>
      <c r="E943" s="484" t="s">
        <v>427</v>
      </c>
      <c r="F943" s="484"/>
      <c r="G943" s="484" t="s">
        <v>428</v>
      </c>
      <c r="H943" s="484"/>
      <c r="I943" s="484"/>
      <c r="J943" s="484"/>
      <c r="K943" s="140" t="s">
        <v>301</v>
      </c>
      <c r="L943" s="141">
        <v>4</v>
      </c>
      <c r="M943" s="123"/>
      <c r="N943" s="117"/>
    </row>
    <row r="944" spans="1:14" ht="17.25" thickBot="1">
      <c r="A944" s="126" t="str">
        <f t="shared" si="36"/>
        <v>2025/12</v>
      </c>
      <c r="B944" s="127" t="str">
        <f t="shared" si="37"/>
        <v>2025/12站前4樓</v>
      </c>
      <c r="C944" s="138">
        <v>17</v>
      </c>
      <c r="D944" s="139" t="s">
        <v>236</v>
      </c>
      <c r="E944" s="484" t="s">
        <v>349</v>
      </c>
      <c r="F944" s="484"/>
      <c r="G944" s="484" t="s">
        <v>350</v>
      </c>
      <c r="H944" s="484"/>
      <c r="I944" s="484"/>
      <c r="J944" s="484"/>
      <c r="K944" s="140" t="s">
        <v>301</v>
      </c>
      <c r="L944" s="141">
        <v>13</v>
      </c>
      <c r="M944" s="123"/>
      <c r="N944" s="117"/>
    </row>
    <row r="945" spans="1:14" ht="17.25" thickBot="1">
      <c r="A945" s="126" t="str">
        <f t="shared" si="36"/>
        <v>2025/12</v>
      </c>
      <c r="B945" s="127" t="str">
        <f t="shared" si="37"/>
        <v>2025/12站前4樓</v>
      </c>
      <c r="C945" s="138">
        <v>18</v>
      </c>
      <c r="D945" s="139" t="s">
        <v>236</v>
      </c>
      <c r="E945" s="484" t="s">
        <v>366</v>
      </c>
      <c r="F945" s="484"/>
      <c r="G945" s="484" t="s">
        <v>367</v>
      </c>
      <c r="H945" s="484"/>
      <c r="I945" s="484"/>
      <c r="J945" s="484"/>
      <c r="K945" s="140" t="s">
        <v>301</v>
      </c>
      <c r="L945" s="141">
        <v>4</v>
      </c>
      <c r="M945" s="123"/>
      <c r="N945" s="117"/>
    </row>
    <row r="946" spans="1:14" ht="17.25" thickBot="1">
      <c r="A946" s="126" t="str">
        <f t="shared" si="36"/>
        <v>2025/12</v>
      </c>
      <c r="B946" s="127" t="str">
        <f t="shared" si="37"/>
        <v>2025/12站前4樓</v>
      </c>
      <c r="C946" s="138">
        <v>19</v>
      </c>
      <c r="D946" s="139" t="s">
        <v>236</v>
      </c>
      <c r="E946" s="484" t="s">
        <v>282</v>
      </c>
      <c r="F946" s="484"/>
      <c r="G946" s="484" t="s">
        <v>283</v>
      </c>
      <c r="H946" s="484"/>
      <c r="I946" s="484"/>
      <c r="J946" s="484"/>
      <c r="K946" s="140" t="s">
        <v>284</v>
      </c>
      <c r="L946" s="141">
        <v>43</v>
      </c>
      <c r="M946" s="123"/>
      <c r="N946" s="117"/>
    </row>
    <row r="947" spans="1:14" ht="17.25" thickBot="1">
      <c r="A947" s="126" t="str">
        <f t="shared" si="36"/>
        <v>2025/12</v>
      </c>
      <c r="B947" s="127" t="str">
        <f t="shared" si="37"/>
        <v>2025/12站前4樓</v>
      </c>
      <c r="C947" s="138">
        <v>20</v>
      </c>
      <c r="D947" s="139" t="s">
        <v>236</v>
      </c>
      <c r="E947" s="484" t="s">
        <v>345</v>
      </c>
      <c r="F947" s="484"/>
      <c r="G947" s="484" t="s">
        <v>346</v>
      </c>
      <c r="H947" s="484"/>
      <c r="I947" s="484"/>
      <c r="J947" s="484"/>
      <c r="K947" s="140" t="s">
        <v>284</v>
      </c>
      <c r="L947" s="141">
        <v>5</v>
      </c>
      <c r="M947" s="123"/>
      <c r="N947" s="117"/>
    </row>
    <row r="948" spans="1:14" ht="17.25" thickBot="1">
      <c r="A948" s="126" t="str">
        <f t="shared" si="36"/>
        <v>2025/12</v>
      </c>
      <c r="B948" s="127" t="str">
        <f t="shared" si="37"/>
        <v>2025/12站前4樓</v>
      </c>
      <c r="C948" s="138">
        <v>21</v>
      </c>
      <c r="D948" s="139" t="s">
        <v>236</v>
      </c>
      <c r="E948" s="484" t="s">
        <v>311</v>
      </c>
      <c r="F948" s="484"/>
      <c r="G948" s="484" t="s">
        <v>312</v>
      </c>
      <c r="H948" s="484"/>
      <c r="I948" s="484"/>
      <c r="J948" s="484"/>
      <c r="K948" s="140" t="s">
        <v>284</v>
      </c>
      <c r="L948" s="141">
        <v>11</v>
      </c>
      <c r="M948" s="123"/>
      <c r="N948" s="117"/>
    </row>
    <row r="949" spans="1:14" ht="17.25" thickBot="1">
      <c r="A949" s="126" t="str">
        <f t="shared" si="36"/>
        <v>2025/12</v>
      </c>
      <c r="B949" s="127" t="str">
        <f t="shared" si="37"/>
        <v>2025/12站前4樓</v>
      </c>
      <c r="C949" s="138">
        <v>22</v>
      </c>
      <c r="D949" s="139" t="s">
        <v>236</v>
      </c>
      <c r="E949" s="484" t="s">
        <v>734</v>
      </c>
      <c r="F949" s="484"/>
      <c r="G949" s="484" t="s">
        <v>735</v>
      </c>
      <c r="H949" s="484"/>
      <c r="I949" s="484"/>
      <c r="J949" s="484"/>
      <c r="K949" s="140" t="s">
        <v>342</v>
      </c>
      <c r="L949" s="141">
        <v>3</v>
      </c>
      <c r="M949" s="123"/>
      <c r="N949" s="117"/>
    </row>
    <row r="950" spans="1:14" ht="17.25" thickBot="1">
      <c r="A950" s="126" t="str">
        <f t="shared" si="36"/>
        <v>2025/12</v>
      </c>
      <c r="B950" s="127" t="str">
        <f t="shared" si="37"/>
        <v>2025/12站前4樓</v>
      </c>
      <c r="C950" s="138">
        <v>23</v>
      </c>
      <c r="D950" s="139" t="s">
        <v>236</v>
      </c>
      <c r="E950" s="484" t="s">
        <v>299</v>
      </c>
      <c r="F950" s="484"/>
      <c r="G950" s="484" t="s">
        <v>300</v>
      </c>
      <c r="H950" s="484"/>
      <c r="I950" s="484"/>
      <c r="J950" s="484"/>
      <c r="K950" s="140" t="s">
        <v>301</v>
      </c>
      <c r="L950" s="141">
        <v>58</v>
      </c>
      <c r="M950" s="123"/>
      <c r="N950" s="117"/>
    </row>
    <row r="951" spans="1:14" ht="17.25" thickBot="1">
      <c r="A951" s="126" t="str">
        <f t="shared" si="36"/>
        <v>2025/12</v>
      </c>
      <c r="B951" s="127" t="str">
        <f t="shared" si="37"/>
        <v>2025/12站前4樓</v>
      </c>
      <c r="C951" s="138">
        <v>24</v>
      </c>
      <c r="D951" s="139" t="s">
        <v>236</v>
      </c>
      <c r="E951" s="484" t="s">
        <v>347</v>
      </c>
      <c r="F951" s="484"/>
      <c r="G951" s="484" t="s">
        <v>348</v>
      </c>
      <c r="H951" s="484"/>
      <c r="I951" s="484"/>
      <c r="J951" s="484"/>
      <c r="K951" s="140" t="s">
        <v>301</v>
      </c>
      <c r="L951" s="141">
        <v>20</v>
      </c>
      <c r="M951" s="123"/>
      <c r="N951" s="117"/>
    </row>
    <row r="952" spans="1:14" ht="17.25" thickBot="1">
      <c r="A952" s="126" t="str">
        <f t="shared" si="36"/>
        <v>2025/12</v>
      </c>
      <c r="B952" s="127" t="str">
        <f t="shared" si="37"/>
        <v>2025/12站前4樓</v>
      </c>
      <c r="C952" s="138">
        <v>25</v>
      </c>
      <c r="D952" s="139" t="s">
        <v>236</v>
      </c>
      <c r="E952" s="484" t="s">
        <v>317</v>
      </c>
      <c r="F952" s="484"/>
      <c r="G952" s="484" t="s">
        <v>318</v>
      </c>
      <c r="H952" s="484"/>
      <c r="I952" s="484"/>
      <c r="J952" s="484"/>
      <c r="K952" s="140" t="s">
        <v>319</v>
      </c>
      <c r="L952" s="141">
        <v>31</v>
      </c>
      <c r="M952" s="123"/>
      <c r="N952" s="117"/>
    </row>
    <row r="953" spans="1:14" ht="17.25" thickBot="1">
      <c r="A953" s="126" t="str">
        <f t="shared" si="36"/>
        <v>2025/12</v>
      </c>
      <c r="B953" s="127" t="str">
        <f t="shared" si="37"/>
        <v>2025/12站前4樓</v>
      </c>
      <c r="C953" s="138">
        <v>26</v>
      </c>
      <c r="D953" s="139" t="s">
        <v>236</v>
      </c>
      <c r="E953" s="484" t="s">
        <v>321</v>
      </c>
      <c r="F953" s="484"/>
      <c r="G953" s="484" t="s">
        <v>322</v>
      </c>
      <c r="H953" s="484"/>
      <c r="I953" s="484"/>
      <c r="J953" s="484"/>
      <c r="K953" s="140" t="s">
        <v>275</v>
      </c>
      <c r="L953" s="141">
        <v>108</v>
      </c>
      <c r="M953" s="123"/>
      <c r="N953" s="117"/>
    </row>
    <row r="954" spans="1:14" ht="17.25" thickBot="1">
      <c r="A954" s="126" t="str">
        <f t="shared" si="36"/>
        <v>2025/12</v>
      </c>
      <c r="B954" s="127" t="str">
        <f t="shared" si="37"/>
        <v>2025/12站前4樓</v>
      </c>
      <c r="C954" s="138">
        <v>27</v>
      </c>
      <c r="D954" s="139" t="s">
        <v>236</v>
      </c>
      <c r="E954" s="484" t="s">
        <v>372</v>
      </c>
      <c r="F954" s="484"/>
      <c r="G954" s="484" t="s">
        <v>373</v>
      </c>
      <c r="H954" s="484"/>
      <c r="I954" s="484"/>
      <c r="J954" s="484"/>
      <c r="K954" s="140" t="s">
        <v>278</v>
      </c>
      <c r="L954" s="141">
        <v>22</v>
      </c>
      <c r="M954" s="123"/>
      <c r="N954" s="117"/>
    </row>
    <row r="955" spans="1:14" ht="17.25" thickBot="1">
      <c r="A955" s="126" t="str">
        <f t="shared" si="36"/>
        <v>2025/12</v>
      </c>
      <c r="B955" s="127" t="str">
        <f t="shared" si="37"/>
        <v>2025/12站前4樓</v>
      </c>
      <c r="C955" s="138">
        <v>28</v>
      </c>
      <c r="D955" s="139" t="s">
        <v>236</v>
      </c>
      <c r="E955" s="484" t="s">
        <v>276</v>
      </c>
      <c r="F955" s="484"/>
      <c r="G955" s="484" t="s">
        <v>277</v>
      </c>
      <c r="H955" s="484"/>
      <c r="I955" s="484"/>
      <c r="J955" s="484"/>
      <c r="K955" s="140" t="s">
        <v>278</v>
      </c>
      <c r="L955" s="141">
        <v>96</v>
      </c>
      <c r="M955" s="123"/>
      <c r="N955" s="117"/>
    </row>
    <row r="956" spans="1:14" ht="17.25" thickBot="1">
      <c r="A956" s="126" t="str">
        <f t="shared" si="36"/>
        <v>2025/12</v>
      </c>
      <c r="B956" s="127" t="str">
        <f t="shared" si="37"/>
        <v>2025/12站前4樓</v>
      </c>
      <c r="C956" s="138">
        <v>29</v>
      </c>
      <c r="D956" s="139" t="s">
        <v>236</v>
      </c>
      <c r="E956" s="484" t="s">
        <v>273</v>
      </c>
      <c r="F956" s="484"/>
      <c r="G956" s="484" t="s">
        <v>274</v>
      </c>
      <c r="H956" s="484"/>
      <c r="I956" s="484"/>
      <c r="J956" s="484"/>
      <c r="K956" s="140" t="s">
        <v>275</v>
      </c>
      <c r="L956" s="141">
        <v>240</v>
      </c>
      <c r="M956" s="123"/>
      <c r="N956" s="117"/>
    </row>
    <row r="957" spans="1:14" ht="17.25" thickBot="1">
      <c r="A957" s="126" t="str">
        <f t="shared" si="36"/>
        <v>2025/12</v>
      </c>
      <c r="B957" s="127" t="str">
        <f t="shared" si="37"/>
        <v>2025/12站前4樓</v>
      </c>
      <c r="C957" s="138">
        <v>30</v>
      </c>
      <c r="D957" s="139" t="s">
        <v>236</v>
      </c>
      <c r="E957" s="484" t="s">
        <v>285</v>
      </c>
      <c r="F957" s="484"/>
      <c r="G957" s="484" t="s">
        <v>286</v>
      </c>
      <c r="H957" s="484"/>
      <c r="I957" s="484"/>
      <c r="J957" s="484"/>
      <c r="K957" s="140" t="s">
        <v>287</v>
      </c>
      <c r="L957" s="141">
        <v>18698</v>
      </c>
      <c r="M957" s="123"/>
      <c r="N957" s="117"/>
    </row>
    <row r="958" spans="1:14" ht="17.25" thickBot="1">
      <c r="A958" s="126" t="str">
        <f t="shared" si="36"/>
        <v>2025/12</v>
      </c>
      <c r="B958" s="127" t="str">
        <f t="shared" si="37"/>
        <v>2025/12站前4樓</v>
      </c>
      <c r="C958" s="138">
        <v>31</v>
      </c>
      <c r="D958" s="139" t="s">
        <v>236</v>
      </c>
      <c r="E958" s="484" t="s">
        <v>290</v>
      </c>
      <c r="F958" s="484"/>
      <c r="G958" s="484" t="s">
        <v>291</v>
      </c>
      <c r="H958" s="484"/>
      <c r="I958" s="484"/>
      <c r="J958" s="484"/>
      <c r="K958" s="140" t="s">
        <v>287</v>
      </c>
      <c r="L958" s="141">
        <v>51090</v>
      </c>
      <c r="M958" s="123"/>
      <c r="N958" s="117"/>
    </row>
    <row r="959" spans="1:14" ht="17.25" thickBot="1">
      <c r="A959" s="126" t="str">
        <f t="shared" si="36"/>
        <v>2025/12</v>
      </c>
      <c r="B959" s="127" t="str">
        <f t="shared" si="37"/>
        <v>2025/12站前4樓</v>
      </c>
      <c r="C959" s="138">
        <v>32</v>
      </c>
      <c r="D959" s="139" t="s">
        <v>236</v>
      </c>
      <c r="E959" s="484" t="s">
        <v>292</v>
      </c>
      <c r="F959" s="484"/>
      <c r="G959" s="484" t="s">
        <v>293</v>
      </c>
      <c r="H959" s="484"/>
      <c r="I959" s="484"/>
      <c r="J959" s="484"/>
      <c r="K959" s="140" t="s">
        <v>287</v>
      </c>
      <c r="L959" s="141">
        <v>66310</v>
      </c>
      <c r="M959" s="123"/>
      <c r="N959" s="117"/>
    </row>
    <row r="960" spans="1:14" ht="17.25" thickBot="1">
      <c r="A960" s="126" t="str">
        <f t="shared" si="36"/>
        <v>2025/12</v>
      </c>
      <c r="B960" s="127" t="str">
        <f t="shared" si="37"/>
        <v>2025/12站前4樓</v>
      </c>
      <c r="C960" s="138">
        <v>33</v>
      </c>
      <c r="D960" s="139" t="s">
        <v>236</v>
      </c>
      <c r="E960" s="484" t="s">
        <v>323</v>
      </c>
      <c r="F960" s="484"/>
      <c r="G960" s="484" t="s">
        <v>324</v>
      </c>
      <c r="H960" s="484"/>
      <c r="I960" s="484"/>
      <c r="J960" s="484"/>
      <c r="K960" s="140" t="s">
        <v>721</v>
      </c>
      <c r="L960" s="141">
        <v>21539</v>
      </c>
      <c r="M960" s="123"/>
      <c r="N960" s="117"/>
    </row>
    <row r="961" spans="1:14" ht="17.25" thickBot="1">
      <c r="A961" s="126" t="str">
        <f t="shared" si="36"/>
        <v>2025/12</v>
      </c>
      <c r="B961" s="127" t="str">
        <f t="shared" si="37"/>
        <v>2025/12站前4樓</v>
      </c>
      <c r="C961" s="138">
        <v>34</v>
      </c>
      <c r="D961" s="139" t="s">
        <v>236</v>
      </c>
      <c r="E961" s="484" t="s">
        <v>338</v>
      </c>
      <c r="F961" s="484"/>
      <c r="G961" s="484" t="s">
        <v>339</v>
      </c>
      <c r="H961" s="484"/>
      <c r="I961" s="484"/>
      <c r="J961" s="484"/>
      <c r="K961" s="140" t="s">
        <v>287</v>
      </c>
      <c r="L961" s="141">
        <v>4913</v>
      </c>
      <c r="M961" s="123"/>
      <c r="N961" s="117"/>
    </row>
    <row r="962" spans="1:14" ht="17.25" thickBot="1">
      <c r="A962" s="126" t="str">
        <f t="shared" si="36"/>
        <v>2025/12</v>
      </c>
      <c r="B962" s="127" t="str">
        <f t="shared" si="37"/>
        <v>2025/12站前4樓</v>
      </c>
      <c r="C962" s="138">
        <v>35</v>
      </c>
      <c r="D962" s="139" t="s">
        <v>236</v>
      </c>
      <c r="E962" s="484" t="s">
        <v>326</v>
      </c>
      <c r="F962" s="484"/>
      <c r="G962" s="484" t="s">
        <v>327</v>
      </c>
      <c r="H962" s="484"/>
      <c r="I962" s="484"/>
      <c r="J962" s="484"/>
      <c r="K962" s="140" t="s">
        <v>287</v>
      </c>
      <c r="L962" s="141">
        <v>9125</v>
      </c>
      <c r="M962" s="123"/>
      <c r="N962" s="117"/>
    </row>
    <row r="963" spans="1:14" ht="17.25" thickBot="1">
      <c r="A963" s="126" t="str">
        <f t="shared" si="36"/>
        <v>2025/12</v>
      </c>
      <c r="B963" s="127" t="str">
        <f t="shared" si="37"/>
        <v>2025/12站前4樓</v>
      </c>
      <c r="C963" s="138">
        <v>36</v>
      </c>
      <c r="D963" s="139" t="s">
        <v>236</v>
      </c>
      <c r="E963" s="484" t="s">
        <v>328</v>
      </c>
      <c r="F963" s="484"/>
      <c r="G963" s="484" t="s">
        <v>329</v>
      </c>
      <c r="H963" s="484"/>
      <c r="I963" s="484"/>
      <c r="J963" s="484"/>
      <c r="K963" s="140" t="s">
        <v>287</v>
      </c>
      <c r="L963" s="141">
        <v>20204</v>
      </c>
      <c r="M963" s="123"/>
      <c r="N963" s="117"/>
    </row>
    <row r="964" spans="1:14" ht="17.25" thickBot="1">
      <c r="A964" s="126" t="str">
        <f t="shared" si="36"/>
        <v>2025/12</v>
      </c>
      <c r="B964" s="127" t="str">
        <f t="shared" si="37"/>
        <v>2025/12站前4樓</v>
      </c>
      <c r="C964" s="138">
        <v>37</v>
      </c>
      <c r="D964" s="139" t="s">
        <v>236</v>
      </c>
      <c r="E964" s="484" t="s">
        <v>330</v>
      </c>
      <c r="F964" s="484"/>
      <c r="G964" s="484" t="s">
        <v>331</v>
      </c>
      <c r="H964" s="484"/>
      <c r="I964" s="484"/>
      <c r="J964" s="484"/>
      <c r="K964" s="140" t="s">
        <v>287</v>
      </c>
      <c r="L964" s="141">
        <v>9513</v>
      </c>
      <c r="M964" s="123"/>
      <c r="N964" s="117"/>
    </row>
    <row r="965" spans="1:14" ht="17.25" thickBot="1">
      <c r="A965" s="126" t="str">
        <f t="shared" si="36"/>
        <v>2025/12</v>
      </c>
      <c r="B965" s="127" t="str">
        <f t="shared" si="37"/>
        <v>2025/12站前4樓</v>
      </c>
      <c r="C965" s="138">
        <v>38</v>
      </c>
      <c r="D965" s="139" t="s">
        <v>236</v>
      </c>
      <c r="E965" s="484" t="s">
        <v>302</v>
      </c>
      <c r="F965" s="484"/>
      <c r="G965" s="484" t="s">
        <v>303</v>
      </c>
      <c r="H965" s="484"/>
      <c r="I965" s="484"/>
      <c r="J965" s="484"/>
      <c r="K965" s="140" t="s">
        <v>304</v>
      </c>
      <c r="L965" s="141">
        <v>4720</v>
      </c>
      <c r="M965" s="123"/>
      <c r="N965" s="117"/>
    </row>
    <row r="966" spans="1:14" ht="17.25" thickBot="1">
      <c r="A966" s="126" t="str">
        <f t="shared" si="36"/>
        <v>2025/12</v>
      </c>
      <c r="B966" s="127" t="str">
        <f t="shared" si="37"/>
        <v>2025/12站前4樓</v>
      </c>
      <c r="C966" s="138">
        <v>39</v>
      </c>
      <c r="D966" s="139" t="s">
        <v>236</v>
      </c>
      <c r="E966" s="484" t="s">
        <v>705</v>
      </c>
      <c r="F966" s="484"/>
      <c r="G966" s="484" t="s">
        <v>706</v>
      </c>
      <c r="H966" s="484"/>
      <c r="I966" s="484"/>
      <c r="J966" s="484"/>
      <c r="K966" s="140" t="s">
        <v>707</v>
      </c>
      <c r="L966" s="141">
        <v>30120</v>
      </c>
      <c r="M966" s="123"/>
      <c r="N966" s="117"/>
    </row>
    <row r="967" spans="1:14" ht="17.25" thickBot="1">
      <c r="A967" s="126" t="str">
        <f t="shared" si="36"/>
        <v>2025/12</v>
      </c>
      <c r="B967" s="127" t="str">
        <f t="shared" si="37"/>
        <v>2025/12站前4樓</v>
      </c>
      <c r="C967" s="138">
        <v>40</v>
      </c>
      <c r="D967" s="139" t="s">
        <v>236</v>
      </c>
      <c r="E967" s="484" t="s">
        <v>279</v>
      </c>
      <c r="F967" s="484"/>
      <c r="G967" s="484" t="s">
        <v>280</v>
      </c>
      <c r="H967" s="484"/>
      <c r="I967" s="484"/>
      <c r="J967" s="484"/>
      <c r="K967" s="140" t="s">
        <v>281</v>
      </c>
      <c r="L967" s="141">
        <v>376203</v>
      </c>
      <c r="M967" s="123"/>
      <c r="N967" s="117"/>
    </row>
    <row r="968" spans="1:14" ht="17.25" thickBot="1">
      <c r="A968" s="126" t="str">
        <f t="shared" si="36"/>
        <v>2025/12</v>
      </c>
      <c r="B968" s="127" t="str">
        <f t="shared" si="37"/>
        <v>2025/12站前4樓</v>
      </c>
      <c r="C968" s="138">
        <v>41</v>
      </c>
      <c r="D968" s="139" t="s">
        <v>236</v>
      </c>
      <c r="E968" s="484" t="s">
        <v>288</v>
      </c>
      <c r="F968" s="484"/>
      <c r="G968" s="484" t="s">
        <v>289</v>
      </c>
      <c r="H968" s="484"/>
      <c r="I968" s="484"/>
      <c r="J968" s="484"/>
      <c r="K968" s="140" t="s">
        <v>281</v>
      </c>
      <c r="L968" s="141">
        <v>115752</v>
      </c>
      <c r="M968" s="123"/>
      <c r="N968" s="117"/>
    </row>
    <row r="969" spans="1:14" ht="17.25" thickBot="1">
      <c r="A969" s="126" t="str">
        <f t="shared" si="36"/>
        <v>2025/12</v>
      </c>
      <c r="B969" s="127" t="str">
        <f t="shared" si="37"/>
        <v>2025/12站前4樓</v>
      </c>
      <c r="C969" s="138">
        <v>42</v>
      </c>
      <c r="D969" s="139" t="s">
        <v>236</v>
      </c>
      <c r="E969" s="484" t="s">
        <v>332</v>
      </c>
      <c r="F969" s="484"/>
      <c r="G969" s="484" t="s">
        <v>333</v>
      </c>
      <c r="H969" s="484"/>
      <c r="I969" s="484"/>
      <c r="J969" s="484"/>
      <c r="K969" s="140" t="s">
        <v>334</v>
      </c>
      <c r="L969" s="141">
        <v>25700</v>
      </c>
      <c r="M969" s="123"/>
      <c r="N969" s="117"/>
    </row>
    <row r="970" spans="1:14" ht="17.25" thickBot="1">
      <c r="A970" s="126" t="str">
        <f t="shared" si="36"/>
        <v>2025/12</v>
      </c>
      <c r="B970" s="127" t="str">
        <f t="shared" si="37"/>
        <v>2025/12站前4樓</v>
      </c>
      <c r="C970" s="138">
        <v>43</v>
      </c>
      <c r="D970" s="139" t="s">
        <v>236</v>
      </c>
      <c r="E970" s="484" t="s">
        <v>335</v>
      </c>
      <c r="F970" s="484"/>
      <c r="G970" s="484" t="s">
        <v>336</v>
      </c>
      <c r="H970" s="484"/>
      <c r="I970" s="484"/>
      <c r="J970" s="484"/>
      <c r="K970" s="140" t="s">
        <v>337</v>
      </c>
      <c r="L970" s="141">
        <v>10319</v>
      </c>
      <c r="M970" s="123"/>
      <c r="N970" s="117"/>
    </row>
    <row r="971" spans="1:14" ht="17.25" thickBot="1">
      <c r="A971" s="126" t="str">
        <f t="shared" si="36"/>
        <v>2025/12</v>
      </c>
      <c r="B971" s="127" t="str">
        <f t="shared" si="37"/>
        <v>2025/12站前4樓</v>
      </c>
      <c r="C971" s="138">
        <v>44</v>
      </c>
      <c r="D971" s="139" t="s">
        <v>236</v>
      </c>
      <c r="E971" s="484" t="s">
        <v>447</v>
      </c>
      <c r="F971" s="484"/>
      <c r="G971" s="484" t="s">
        <v>448</v>
      </c>
      <c r="H971" s="484"/>
      <c r="I971" s="484"/>
      <c r="J971" s="484"/>
      <c r="K971" s="140" t="s">
        <v>445</v>
      </c>
      <c r="L971" s="141">
        <v>8</v>
      </c>
      <c r="M971" s="123"/>
      <c r="N971" s="117"/>
    </row>
    <row r="972" spans="1:14" ht="17.25" thickBot="1">
      <c r="A972" s="126" t="str">
        <f t="shared" si="36"/>
        <v>2025/12</v>
      </c>
      <c r="B972" s="127" t="str">
        <f t="shared" si="37"/>
        <v>2025/12站前4樓</v>
      </c>
      <c r="C972" s="138">
        <v>45</v>
      </c>
      <c r="D972" s="139" t="s">
        <v>236</v>
      </c>
      <c r="E972" s="484" t="s">
        <v>443</v>
      </c>
      <c r="F972" s="484"/>
      <c r="G972" s="484" t="s">
        <v>444</v>
      </c>
      <c r="H972" s="484"/>
      <c r="I972" s="484"/>
      <c r="J972" s="484"/>
      <c r="K972" s="140" t="s">
        <v>445</v>
      </c>
      <c r="L972" s="141">
        <v>4</v>
      </c>
      <c r="M972" s="123"/>
      <c r="N972" s="117"/>
    </row>
    <row r="973" spans="1:14" ht="17.25" thickBot="1">
      <c r="A973" s="126" t="str">
        <f t="shared" si="36"/>
        <v>2025/12</v>
      </c>
      <c r="B973" s="127" t="str">
        <f t="shared" si="37"/>
        <v>2025/12站前4樓</v>
      </c>
      <c r="C973" s="138">
        <v>46</v>
      </c>
      <c r="D973" s="139" t="s">
        <v>236</v>
      </c>
      <c r="E973" s="484" t="s">
        <v>357</v>
      </c>
      <c r="F973" s="484"/>
      <c r="G973" s="484" t="s">
        <v>358</v>
      </c>
      <c r="H973" s="484"/>
      <c r="I973" s="484"/>
      <c r="J973" s="484"/>
      <c r="K973" s="140" t="s">
        <v>353</v>
      </c>
      <c r="L973" s="141">
        <v>8</v>
      </c>
      <c r="M973" s="123"/>
      <c r="N973" s="117"/>
    </row>
    <row r="974" spans="1:14" ht="17.25" thickBot="1">
      <c r="A974" s="126" t="str">
        <f t="shared" si="36"/>
        <v>2025/12</v>
      </c>
      <c r="B974" s="127" t="str">
        <f t="shared" si="37"/>
        <v>2025/12站前4樓</v>
      </c>
      <c r="C974" s="138">
        <v>47</v>
      </c>
      <c r="D974" s="139" t="s">
        <v>236</v>
      </c>
      <c r="E974" s="484" t="s">
        <v>697</v>
      </c>
      <c r="F974" s="484"/>
      <c r="G974" s="484" t="s">
        <v>698</v>
      </c>
      <c r="H974" s="484"/>
      <c r="I974" s="484"/>
      <c r="J974" s="484"/>
      <c r="K974" s="140" t="s">
        <v>699</v>
      </c>
      <c r="L974" s="141">
        <v>3</v>
      </c>
      <c r="M974" s="123"/>
      <c r="N974" s="117"/>
    </row>
    <row r="975" spans="1:14" ht="17.25" thickBot="1">
      <c r="A975" s="126" t="str">
        <f t="shared" si="36"/>
        <v>2025/12</v>
      </c>
      <c r="B975" s="127" t="str">
        <f t="shared" si="37"/>
        <v>2025/12站前4樓</v>
      </c>
      <c r="C975" s="138">
        <v>48</v>
      </c>
      <c r="D975" s="139" t="s">
        <v>236</v>
      </c>
      <c r="E975" s="484" t="s">
        <v>683</v>
      </c>
      <c r="F975" s="484"/>
      <c r="G975" s="484" t="s">
        <v>684</v>
      </c>
      <c r="H975" s="484"/>
      <c r="I975" s="484"/>
      <c r="J975" s="484"/>
      <c r="K975" s="140" t="s">
        <v>685</v>
      </c>
      <c r="L975" s="141">
        <v>14</v>
      </c>
      <c r="M975" s="123"/>
      <c r="N975" s="117"/>
    </row>
    <row r="976" spans="1:14" ht="17.25" thickBot="1">
      <c r="A976" s="126" t="str">
        <f t="shared" si="36"/>
        <v>2025/12</v>
      </c>
      <c r="B976" s="127" t="str">
        <f t="shared" si="37"/>
        <v>2025/12站前4樓</v>
      </c>
      <c r="C976" s="138">
        <v>49</v>
      </c>
      <c r="D976" s="139" t="s">
        <v>236</v>
      </c>
      <c r="E976" s="484" t="s">
        <v>686</v>
      </c>
      <c r="F976" s="484"/>
      <c r="G976" s="484" t="s">
        <v>687</v>
      </c>
      <c r="H976" s="484"/>
      <c r="I976" s="484"/>
      <c r="J976" s="484"/>
      <c r="K976" s="140" t="s">
        <v>688</v>
      </c>
      <c r="L976" s="141">
        <v>29</v>
      </c>
      <c r="M976" s="123"/>
      <c r="N976" s="117"/>
    </row>
    <row r="977" spans="1:14" ht="17.25" thickBot="1">
      <c r="A977" s="126" t="str">
        <f t="shared" si="36"/>
        <v>2025/12</v>
      </c>
      <c r="B977" s="127" t="str">
        <f t="shared" si="37"/>
        <v>2025/12站前4樓</v>
      </c>
      <c r="C977" s="138">
        <v>50</v>
      </c>
      <c r="D977" s="139" t="s">
        <v>236</v>
      </c>
      <c r="E977" s="484" t="s">
        <v>309</v>
      </c>
      <c r="F977" s="484"/>
      <c r="G977" s="484" t="s">
        <v>310</v>
      </c>
      <c r="H977" s="484"/>
      <c r="I977" s="484"/>
      <c r="J977" s="484"/>
      <c r="K977" s="140" t="s">
        <v>269</v>
      </c>
      <c r="L977" s="141">
        <v>97</v>
      </c>
      <c r="M977" s="123"/>
      <c r="N977" s="117"/>
    </row>
    <row r="978" spans="1:14" ht="17.25" thickBot="1">
      <c r="A978" s="126" t="str">
        <f t="shared" si="36"/>
        <v>2025/12</v>
      </c>
      <c r="B978" s="127" t="str">
        <f t="shared" si="37"/>
        <v>2025/12站前4樓</v>
      </c>
      <c r="C978" s="138">
        <v>51</v>
      </c>
      <c r="D978" s="139" t="s">
        <v>236</v>
      </c>
      <c r="E978" s="484" t="s">
        <v>267</v>
      </c>
      <c r="F978" s="484"/>
      <c r="G978" s="484" t="s">
        <v>268</v>
      </c>
      <c r="H978" s="484"/>
      <c r="I978" s="484"/>
      <c r="J978" s="484"/>
      <c r="K978" s="140" t="s">
        <v>269</v>
      </c>
      <c r="L978" s="141">
        <v>24</v>
      </c>
      <c r="M978" s="123"/>
      <c r="N978" s="117"/>
    </row>
    <row r="979" spans="1:14" ht="17.25" thickBot="1">
      <c r="A979" s="126" t="str">
        <f t="shared" si="36"/>
        <v>2025/12</v>
      </c>
      <c r="B979" s="127" t="str">
        <f t="shared" si="37"/>
        <v>2025/12站前4樓</v>
      </c>
      <c r="C979" s="138">
        <v>52</v>
      </c>
      <c r="D979" s="139" t="s">
        <v>236</v>
      </c>
      <c r="E979" s="484" t="s">
        <v>297</v>
      </c>
      <c r="F979" s="484"/>
      <c r="G979" s="484" t="s">
        <v>298</v>
      </c>
      <c r="H979" s="484"/>
      <c r="I979" s="484"/>
      <c r="J979" s="484"/>
      <c r="K979" s="140" t="s">
        <v>269</v>
      </c>
      <c r="L979" s="141">
        <v>5</v>
      </c>
      <c r="M979" s="123"/>
      <c r="N979" s="117"/>
    </row>
    <row r="980" spans="1:14" ht="17.25" thickBot="1">
      <c r="A980" s="126" t="str">
        <f t="shared" si="36"/>
        <v>2025/12</v>
      </c>
      <c r="B980" s="127" t="str">
        <f t="shared" si="37"/>
        <v>2025/12站前4樓</v>
      </c>
      <c r="C980" s="138">
        <v>53</v>
      </c>
      <c r="D980" s="139" t="s">
        <v>236</v>
      </c>
      <c r="E980" s="484" t="s">
        <v>315</v>
      </c>
      <c r="F980" s="484"/>
      <c r="G980" s="484" t="s">
        <v>316</v>
      </c>
      <c r="H980" s="484"/>
      <c r="I980" s="484"/>
      <c r="J980" s="484"/>
      <c r="K980" s="140" t="s">
        <v>296</v>
      </c>
      <c r="L980" s="141">
        <v>4</v>
      </c>
      <c r="M980" s="123"/>
      <c r="N980" s="117"/>
    </row>
    <row r="981" spans="1:14" ht="17.25" thickBot="1">
      <c r="A981" s="126" t="str">
        <f t="shared" si="36"/>
        <v>2025/12</v>
      </c>
      <c r="B981" s="127" t="str">
        <f t="shared" si="37"/>
        <v>2025/12站前4樓</v>
      </c>
      <c r="C981" s="138">
        <v>54</v>
      </c>
      <c r="D981" s="139" t="s">
        <v>236</v>
      </c>
      <c r="E981" s="484" t="s">
        <v>294</v>
      </c>
      <c r="F981" s="484"/>
      <c r="G981" s="484" t="s">
        <v>295</v>
      </c>
      <c r="H981" s="484"/>
      <c r="I981" s="484"/>
      <c r="J981" s="484"/>
      <c r="K981" s="140" t="s">
        <v>296</v>
      </c>
      <c r="L981" s="141">
        <v>4</v>
      </c>
      <c r="M981" s="123"/>
      <c r="N981" s="117"/>
    </row>
    <row r="982" spans="1:14" ht="17.25" thickBot="1">
      <c r="A982" s="126" t="str">
        <f t="shared" si="36"/>
        <v>2025/12</v>
      </c>
      <c r="B982" s="127" t="str">
        <f t="shared" si="37"/>
        <v>2025/12站前4樓</v>
      </c>
      <c r="C982" s="138">
        <v>55</v>
      </c>
      <c r="D982" s="139" t="s">
        <v>236</v>
      </c>
      <c r="E982" s="484" t="s">
        <v>736</v>
      </c>
      <c r="F982" s="484"/>
      <c r="G982" s="484" t="s">
        <v>737</v>
      </c>
      <c r="H982" s="484"/>
      <c r="I982" s="484"/>
      <c r="J982" s="484"/>
      <c r="K982" s="140" t="s">
        <v>738</v>
      </c>
      <c r="L982" s="141">
        <v>3</v>
      </c>
      <c r="M982" s="123"/>
      <c r="N982" s="117"/>
    </row>
    <row r="983" spans="1:14" ht="17.25" thickBot="1">
      <c r="A983" s="126" t="str">
        <f t="shared" si="36"/>
        <v>2025/12</v>
      </c>
      <c r="B983" s="127" t="str">
        <f t="shared" si="37"/>
        <v>2025/12站前4樓</v>
      </c>
      <c r="C983" s="138">
        <v>56</v>
      </c>
      <c r="D983" s="139" t="s">
        <v>236</v>
      </c>
      <c r="E983" s="484" t="s">
        <v>237</v>
      </c>
      <c r="F983" s="484"/>
      <c r="G983" s="484" t="s">
        <v>238</v>
      </c>
      <c r="H983" s="484"/>
      <c r="I983" s="484"/>
      <c r="J983" s="484"/>
      <c r="K983" s="140" t="s">
        <v>239</v>
      </c>
      <c r="L983" s="141">
        <v>725</v>
      </c>
      <c r="M983" s="123"/>
      <c r="N983" s="117"/>
    </row>
    <row r="984" spans="1:14" ht="17.25" thickBot="1">
      <c r="A984" s="126" t="str">
        <f t="shared" si="36"/>
        <v>2025/12</v>
      </c>
      <c r="B984" s="127" t="str">
        <f t="shared" si="37"/>
        <v>2025/12站前4樓</v>
      </c>
      <c r="C984" s="138">
        <v>57</v>
      </c>
      <c r="D984" s="139" t="s">
        <v>236</v>
      </c>
      <c r="E984" s="484" t="s">
        <v>240</v>
      </c>
      <c r="F984" s="484"/>
      <c r="G984" s="484" t="s">
        <v>241</v>
      </c>
      <c r="H984" s="484"/>
      <c r="I984" s="484"/>
      <c r="J984" s="484"/>
      <c r="K984" s="140" t="s">
        <v>239</v>
      </c>
      <c r="L984" s="141">
        <v>725</v>
      </c>
      <c r="M984" s="123"/>
      <c r="N984" s="117"/>
    </row>
    <row r="985" spans="1:14" ht="17.25" thickBot="1">
      <c r="A985" s="126" t="str">
        <f t="shared" si="36"/>
        <v>2025/12</v>
      </c>
      <c r="B985" s="127" t="str">
        <f t="shared" si="37"/>
        <v>2025/12站前4樓</v>
      </c>
      <c r="C985" s="138">
        <v>58</v>
      </c>
      <c r="D985" s="139" t="s">
        <v>236</v>
      </c>
      <c r="E985" s="484" t="s">
        <v>242</v>
      </c>
      <c r="F985" s="484"/>
      <c r="G985" s="484" t="s">
        <v>243</v>
      </c>
      <c r="H985" s="484"/>
      <c r="I985" s="484"/>
      <c r="J985" s="484"/>
      <c r="K985" s="140" t="s">
        <v>239</v>
      </c>
      <c r="L985" s="141">
        <v>725</v>
      </c>
      <c r="M985" s="123"/>
      <c r="N985" s="117"/>
    </row>
    <row r="986" spans="1:14" ht="17.25" thickBot="1">
      <c r="A986" s="126" t="str">
        <f t="shared" si="36"/>
        <v>2025/12</v>
      </c>
      <c r="B986" s="127" t="str">
        <f t="shared" si="37"/>
        <v>2025/12站前4樓</v>
      </c>
      <c r="C986" s="138">
        <v>59</v>
      </c>
      <c r="D986" s="139" t="s">
        <v>236</v>
      </c>
      <c r="E986" s="484" t="s">
        <v>244</v>
      </c>
      <c r="F986" s="484"/>
      <c r="G986" s="484" t="s">
        <v>245</v>
      </c>
      <c r="H986" s="484"/>
      <c r="I986" s="484"/>
      <c r="J986" s="484"/>
      <c r="K986" s="140" t="s">
        <v>725</v>
      </c>
      <c r="L986" s="141">
        <v>10861</v>
      </c>
      <c r="M986" s="123"/>
      <c r="N986" s="117"/>
    </row>
    <row r="987" spans="1:14" ht="17.25" thickBot="1">
      <c r="A987" s="126" t="str">
        <f t="shared" si="36"/>
        <v>2025/12</v>
      </c>
      <c r="B987" s="127" t="str">
        <f t="shared" si="37"/>
        <v>2025/12站前4樓</v>
      </c>
      <c r="C987" s="138">
        <v>60</v>
      </c>
      <c r="D987" s="139" t="s">
        <v>236</v>
      </c>
      <c r="E987" s="484" t="s">
        <v>246</v>
      </c>
      <c r="F987" s="484"/>
      <c r="G987" s="484" t="s">
        <v>247</v>
      </c>
      <c r="H987" s="484"/>
      <c r="I987" s="484"/>
      <c r="J987" s="484"/>
      <c r="K987" s="140" t="s">
        <v>725</v>
      </c>
      <c r="L987" s="141">
        <v>10861</v>
      </c>
      <c r="M987" s="123"/>
      <c r="N987" s="117"/>
    </row>
    <row r="988" spans="1:14" ht="17.25" thickBot="1">
      <c r="A988" s="126" t="str">
        <f t="shared" si="36"/>
        <v>2025/12</v>
      </c>
      <c r="B988" s="127" t="str">
        <f t="shared" si="37"/>
        <v>2025/12站前4樓</v>
      </c>
      <c r="C988" s="138">
        <v>61</v>
      </c>
      <c r="D988" s="139" t="s">
        <v>236</v>
      </c>
      <c r="E988" s="484" t="s">
        <v>248</v>
      </c>
      <c r="F988" s="484"/>
      <c r="G988" s="484" t="s">
        <v>249</v>
      </c>
      <c r="H988" s="484"/>
      <c r="I988" s="484"/>
      <c r="J988" s="484"/>
      <c r="K988" s="140" t="s">
        <v>725</v>
      </c>
      <c r="L988" s="141">
        <v>10861</v>
      </c>
      <c r="M988" s="123"/>
      <c r="N988" s="117"/>
    </row>
    <row r="989" spans="1:14" ht="17.25" thickBot="1">
      <c r="A989" s="126" t="str">
        <f t="shared" si="36"/>
        <v>2025/12</v>
      </c>
      <c r="B989" s="127" t="str">
        <f t="shared" si="37"/>
        <v>2025/12站前4樓</v>
      </c>
      <c r="C989" s="138">
        <v>62</v>
      </c>
      <c r="D989" s="139" t="s">
        <v>236</v>
      </c>
      <c r="E989" s="484" t="s">
        <v>250</v>
      </c>
      <c r="F989" s="484"/>
      <c r="G989" s="484" t="s">
        <v>251</v>
      </c>
      <c r="H989" s="484"/>
      <c r="I989" s="484"/>
      <c r="J989" s="484"/>
      <c r="K989" s="140" t="s">
        <v>725</v>
      </c>
      <c r="L989" s="141">
        <v>10861</v>
      </c>
      <c r="M989" s="123"/>
      <c r="N989" s="117"/>
    </row>
    <row r="990" spans="1:14" ht="17.25" thickBot="1">
      <c r="A990" s="126" t="str">
        <f t="shared" si="36"/>
        <v>2025/12</v>
      </c>
      <c r="B990" s="127" t="str">
        <f>"2025/12"&amp;D990</f>
        <v>2025/12站前11樓</v>
      </c>
      <c r="C990" s="138">
        <v>63</v>
      </c>
      <c r="D990" s="139" t="s">
        <v>374</v>
      </c>
      <c r="E990" s="484" t="s">
        <v>392</v>
      </c>
      <c r="F990" s="484"/>
      <c r="G990" s="484" t="s">
        <v>393</v>
      </c>
      <c r="H990" s="484"/>
      <c r="I990" s="484"/>
      <c r="J990" s="484"/>
      <c r="K990" s="140" t="s">
        <v>382</v>
      </c>
      <c r="L990" s="141">
        <v>550</v>
      </c>
      <c r="M990" s="123"/>
      <c r="N990" s="117"/>
    </row>
    <row r="991" spans="1:14" ht="17.25" thickBot="1">
      <c r="A991" s="126" t="str">
        <f t="shared" si="36"/>
        <v>2025/12</v>
      </c>
      <c r="B991" s="127" t="str">
        <f t="shared" ref="B991:B1015" si="38">"2025/12"&amp;D991</f>
        <v>2025/12站前11樓</v>
      </c>
      <c r="C991" s="138">
        <v>64</v>
      </c>
      <c r="D991" s="139" t="s">
        <v>374</v>
      </c>
      <c r="E991" s="484" t="s">
        <v>380</v>
      </c>
      <c r="F991" s="484"/>
      <c r="G991" s="484" t="s">
        <v>381</v>
      </c>
      <c r="H991" s="484"/>
      <c r="I991" s="484"/>
      <c r="J991" s="484"/>
      <c r="K991" s="140" t="s">
        <v>382</v>
      </c>
      <c r="L991" s="141">
        <v>673.5</v>
      </c>
      <c r="M991" s="123"/>
      <c r="N991" s="117"/>
    </row>
    <row r="992" spans="1:14" ht="17.25" thickBot="1">
      <c r="A992" s="126" t="str">
        <f t="shared" ref="A992:A1055" si="39">IFERROR(LEFT(B992,7),"")</f>
        <v>2025/12</v>
      </c>
      <c r="B992" s="127" t="str">
        <f t="shared" si="38"/>
        <v>2025/12站前11樓</v>
      </c>
      <c r="C992" s="138">
        <v>65</v>
      </c>
      <c r="D992" s="139" t="s">
        <v>374</v>
      </c>
      <c r="E992" s="484" t="s">
        <v>413</v>
      </c>
      <c r="F992" s="484"/>
      <c r="G992" s="484" t="s">
        <v>674</v>
      </c>
      <c r="H992" s="484"/>
      <c r="I992" s="484"/>
      <c r="J992" s="484"/>
      <c r="K992" s="140" t="s">
        <v>410</v>
      </c>
      <c r="L992" s="141">
        <v>11</v>
      </c>
      <c r="M992" s="123"/>
      <c r="N992" s="117"/>
    </row>
    <row r="993" spans="1:14" ht="17.25" thickBot="1">
      <c r="A993" s="126" t="str">
        <f t="shared" si="39"/>
        <v>2025/12</v>
      </c>
      <c r="B993" s="127" t="str">
        <f t="shared" si="38"/>
        <v>2025/12站前11樓</v>
      </c>
      <c r="C993" s="138">
        <v>66</v>
      </c>
      <c r="D993" s="139" t="s">
        <v>374</v>
      </c>
      <c r="E993" s="484" t="s">
        <v>360</v>
      </c>
      <c r="F993" s="484"/>
      <c r="G993" s="484" t="s">
        <v>361</v>
      </c>
      <c r="H993" s="484"/>
      <c r="I993" s="484"/>
      <c r="J993" s="484"/>
      <c r="K993" s="140" t="s">
        <v>362</v>
      </c>
      <c r="L993" s="141">
        <v>32</v>
      </c>
      <c r="M993" s="123"/>
      <c r="N993" s="117"/>
    </row>
    <row r="994" spans="1:14" ht="17.25" thickBot="1">
      <c r="A994" s="126" t="str">
        <f t="shared" si="39"/>
        <v>2025/12</v>
      </c>
      <c r="B994" s="127" t="str">
        <f t="shared" si="38"/>
        <v>2025/12站前11樓</v>
      </c>
      <c r="C994" s="138">
        <v>67</v>
      </c>
      <c r="D994" s="139" t="s">
        <v>374</v>
      </c>
      <c r="E994" s="484" t="s">
        <v>383</v>
      </c>
      <c r="F994" s="484"/>
      <c r="G994" s="484" t="s">
        <v>384</v>
      </c>
      <c r="H994" s="484"/>
      <c r="I994" s="484"/>
      <c r="J994" s="484"/>
      <c r="K994" s="140" t="s">
        <v>385</v>
      </c>
      <c r="L994" s="141">
        <v>276</v>
      </c>
      <c r="M994" s="123"/>
      <c r="N994" s="117"/>
    </row>
    <row r="995" spans="1:14" ht="17.25" thickBot="1">
      <c r="A995" s="126" t="str">
        <f t="shared" si="39"/>
        <v>2025/12</v>
      </c>
      <c r="B995" s="127" t="str">
        <f t="shared" si="38"/>
        <v>2025/12站前11樓</v>
      </c>
      <c r="C995" s="138">
        <v>68</v>
      </c>
      <c r="D995" s="139" t="s">
        <v>374</v>
      </c>
      <c r="E995" s="484" t="s">
        <v>394</v>
      </c>
      <c r="F995" s="484"/>
      <c r="G995" s="484" t="s">
        <v>395</v>
      </c>
      <c r="H995" s="484"/>
      <c r="I995" s="484"/>
      <c r="J995" s="484"/>
      <c r="K995" s="140" t="s">
        <v>272</v>
      </c>
      <c r="L995" s="141">
        <v>9</v>
      </c>
      <c r="M995" s="123"/>
      <c r="N995" s="117"/>
    </row>
    <row r="996" spans="1:14" ht="17.25" thickBot="1">
      <c r="A996" s="126" t="str">
        <f t="shared" si="39"/>
        <v>2025/12</v>
      </c>
      <c r="B996" s="127" t="str">
        <f t="shared" si="38"/>
        <v>2025/12站前11樓</v>
      </c>
      <c r="C996" s="138">
        <v>69</v>
      </c>
      <c r="D996" s="139" t="s">
        <v>374</v>
      </c>
      <c r="E996" s="484" t="s">
        <v>396</v>
      </c>
      <c r="F996" s="484"/>
      <c r="G996" s="484" t="s">
        <v>397</v>
      </c>
      <c r="H996" s="484"/>
      <c r="I996" s="484"/>
      <c r="J996" s="484"/>
      <c r="K996" s="140" t="s">
        <v>398</v>
      </c>
      <c r="L996" s="141">
        <v>1</v>
      </c>
      <c r="M996" s="123"/>
      <c r="N996" s="117"/>
    </row>
    <row r="997" spans="1:14" ht="17.25" thickBot="1">
      <c r="A997" s="126" t="str">
        <f t="shared" si="39"/>
        <v>2025/12</v>
      </c>
      <c r="B997" s="127" t="str">
        <f t="shared" si="38"/>
        <v>2025/12站前11樓</v>
      </c>
      <c r="C997" s="138">
        <v>70</v>
      </c>
      <c r="D997" s="139" t="s">
        <v>374</v>
      </c>
      <c r="E997" s="484" t="s">
        <v>403</v>
      </c>
      <c r="F997" s="484"/>
      <c r="G997" s="484" t="s">
        <v>404</v>
      </c>
      <c r="H997" s="484"/>
      <c r="I997" s="484"/>
      <c r="J997" s="484"/>
      <c r="K997" s="140" t="s">
        <v>405</v>
      </c>
      <c r="L997" s="141">
        <v>8</v>
      </c>
      <c r="M997" s="123"/>
      <c r="N997" s="117"/>
    </row>
    <row r="998" spans="1:14" ht="17.25" thickBot="1">
      <c r="A998" s="126" t="str">
        <f t="shared" si="39"/>
        <v>2025/12</v>
      </c>
      <c r="B998" s="127" t="str">
        <f t="shared" si="38"/>
        <v>2025/12站前11樓</v>
      </c>
      <c r="C998" s="138">
        <v>71</v>
      </c>
      <c r="D998" s="139" t="s">
        <v>374</v>
      </c>
      <c r="E998" s="484" t="s">
        <v>406</v>
      </c>
      <c r="F998" s="484"/>
      <c r="G998" s="484" t="s">
        <v>407</v>
      </c>
      <c r="H998" s="484"/>
      <c r="I998" s="484"/>
      <c r="J998" s="484"/>
      <c r="K998" s="140" t="s">
        <v>385</v>
      </c>
      <c r="L998" s="141">
        <v>8</v>
      </c>
      <c r="M998" s="123"/>
      <c r="N998" s="117"/>
    </row>
    <row r="999" spans="1:14" ht="17.25" thickBot="1">
      <c r="A999" s="126" t="str">
        <f t="shared" si="39"/>
        <v>2025/12</v>
      </c>
      <c r="B999" s="127" t="str">
        <f t="shared" si="38"/>
        <v>2025/12站前11樓</v>
      </c>
      <c r="C999" s="138">
        <v>72</v>
      </c>
      <c r="D999" s="139" t="s">
        <v>374</v>
      </c>
      <c r="E999" s="484" t="s">
        <v>408</v>
      </c>
      <c r="F999" s="484"/>
      <c r="G999" s="484" t="s">
        <v>409</v>
      </c>
      <c r="H999" s="484"/>
      <c r="I999" s="484"/>
      <c r="J999" s="484"/>
      <c r="K999" s="140" t="s">
        <v>410</v>
      </c>
      <c r="L999" s="141">
        <v>9</v>
      </c>
      <c r="M999" s="123"/>
      <c r="N999" s="117"/>
    </row>
    <row r="1000" spans="1:14" ht="17.25" thickBot="1">
      <c r="A1000" s="126" t="str">
        <f t="shared" si="39"/>
        <v>2025/12</v>
      </c>
      <c r="B1000" s="127" t="str">
        <f t="shared" si="38"/>
        <v>2025/12站前11樓</v>
      </c>
      <c r="C1000" s="138">
        <v>73</v>
      </c>
      <c r="D1000" s="139" t="s">
        <v>374</v>
      </c>
      <c r="E1000" s="484" t="s">
        <v>255</v>
      </c>
      <c r="F1000" s="484"/>
      <c r="G1000" s="484" t="s">
        <v>256</v>
      </c>
      <c r="H1000" s="484"/>
      <c r="I1000" s="484"/>
      <c r="J1000" s="484"/>
      <c r="K1000" s="140" t="s">
        <v>720</v>
      </c>
      <c r="L1000" s="141">
        <v>248</v>
      </c>
      <c r="M1000" s="123"/>
      <c r="N1000" s="117"/>
    </row>
    <row r="1001" spans="1:14" ht="17.25" thickBot="1">
      <c r="A1001" s="126" t="str">
        <f t="shared" si="39"/>
        <v>2025/12</v>
      </c>
      <c r="B1001" s="127" t="str">
        <f t="shared" si="38"/>
        <v>2025/12站前11樓</v>
      </c>
      <c r="C1001" s="138">
        <v>74</v>
      </c>
      <c r="D1001" s="139" t="s">
        <v>374</v>
      </c>
      <c r="E1001" s="484" t="s">
        <v>419</v>
      </c>
      <c r="F1001" s="484"/>
      <c r="G1001" s="484" t="s">
        <v>420</v>
      </c>
      <c r="H1001" s="484"/>
      <c r="I1001" s="484"/>
      <c r="J1001" s="484"/>
      <c r="K1001" s="140" t="s">
        <v>726</v>
      </c>
      <c r="L1001" s="141">
        <v>463</v>
      </c>
      <c r="M1001" s="123"/>
      <c r="N1001" s="117"/>
    </row>
    <row r="1002" spans="1:14" ht="17.25" thickBot="1">
      <c r="A1002" s="126" t="str">
        <f t="shared" si="39"/>
        <v>2025/12</v>
      </c>
      <c r="B1002" s="127" t="str">
        <f t="shared" si="38"/>
        <v>2025/12站前11樓</v>
      </c>
      <c r="C1002" s="138">
        <v>75</v>
      </c>
      <c r="D1002" s="139" t="s">
        <v>374</v>
      </c>
      <c r="E1002" s="484" t="s">
        <v>258</v>
      </c>
      <c r="F1002" s="484"/>
      <c r="G1002" s="484" t="s">
        <v>259</v>
      </c>
      <c r="H1002" s="484"/>
      <c r="I1002" s="484"/>
      <c r="J1002" s="484"/>
      <c r="K1002" s="140"/>
      <c r="L1002" s="141">
        <v>25</v>
      </c>
      <c r="M1002" s="123"/>
      <c r="N1002" s="117"/>
    </row>
    <row r="1003" spans="1:14" ht="17.25" thickBot="1">
      <c r="A1003" s="126" t="str">
        <f t="shared" si="39"/>
        <v>2025/12</v>
      </c>
      <c r="B1003" s="127" t="str">
        <f t="shared" si="38"/>
        <v>2025/12站前11樓</v>
      </c>
      <c r="C1003" s="138">
        <v>76</v>
      </c>
      <c r="D1003" s="139" t="s">
        <v>374</v>
      </c>
      <c r="E1003" s="484" t="s">
        <v>260</v>
      </c>
      <c r="F1003" s="484"/>
      <c r="G1003" s="484" t="s">
        <v>261</v>
      </c>
      <c r="H1003" s="484"/>
      <c r="I1003" s="484"/>
      <c r="J1003" s="484"/>
      <c r="K1003" s="140" t="s">
        <v>254</v>
      </c>
      <c r="L1003" s="141">
        <v>25</v>
      </c>
      <c r="M1003" s="123"/>
      <c r="N1003" s="117"/>
    </row>
    <row r="1004" spans="1:14" ht="17.25" thickBot="1">
      <c r="A1004" s="126" t="str">
        <f t="shared" si="39"/>
        <v>2025/12</v>
      </c>
      <c r="B1004" s="127" t="str">
        <f t="shared" si="38"/>
        <v>2025/12站前11樓</v>
      </c>
      <c r="C1004" s="138">
        <v>77</v>
      </c>
      <c r="D1004" s="139" t="s">
        <v>374</v>
      </c>
      <c r="E1004" s="484" t="s">
        <v>415</v>
      </c>
      <c r="F1004" s="484"/>
      <c r="G1004" s="484" t="s">
        <v>416</v>
      </c>
      <c r="H1004" s="484"/>
      <c r="I1004" s="484"/>
      <c r="J1004" s="484"/>
      <c r="K1004" s="140" t="s">
        <v>254</v>
      </c>
      <c r="L1004" s="141">
        <v>1</v>
      </c>
      <c r="M1004" s="123"/>
      <c r="N1004" s="117"/>
    </row>
    <row r="1005" spans="1:14" ht="17.25" thickBot="1">
      <c r="A1005" s="126" t="str">
        <f t="shared" si="39"/>
        <v>2025/12</v>
      </c>
      <c r="B1005" s="127" t="str">
        <f t="shared" si="38"/>
        <v>2025/12站前11樓</v>
      </c>
      <c r="C1005" s="138">
        <v>78</v>
      </c>
      <c r="D1005" s="139" t="s">
        <v>374</v>
      </c>
      <c r="E1005" s="484" t="s">
        <v>252</v>
      </c>
      <c r="F1005" s="484"/>
      <c r="G1005" s="484" t="s">
        <v>253</v>
      </c>
      <c r="H1005" s="484"/>
      <c r="I1005" s="484"/>
      <c r="J1005" s="484"/>
      <c r="K1005" s="140" t="s">
        <v>254</v>
      </c>
      <c r="L1005" s="141">
        <v>26</v>
      </c>
      <c r="M1005" s="123"/>
      <c r="N1005" s="117"/>
    </row>
    <row r="1006" spans="1:14" ht="17.25" thickBot="1">
      <c r="A1006" s="126" t="str">
        <f t="shared" si="39"/>
        <v>2025/12</v>
      </c>
      <c r="B1006" s="127" t="str">
        <f t="shared" si="38"/>
        <v>2025/12站前11樓</v>
      </c>
      <c r="C1006" s="138">
        <v>79</v>
      </c>
      <c r="D1006" s="139" t="s">
        <v>374</v>
      </c>
      <c r="E1006" s="484" t="s">
        <v>690</v>
      </c>
      <c r="F1006" s="484"/>
      <c r="G1006" s="484" t="s">
        <v>691</v>
      </c>
      <c r="H1006" s="484"/>
      <c r="I1006" s="484"/>
      <c r="J1006" s="484"/>
      <c r="K1006" s="140" t="s">
        <v>692</v>
      </c>
      <c r="L1006" s="141">
        <v>12</v>
      </c>
      <c r="M1006" s="123"/>
      <c r="N1006" s="117"/>
    </row>
    <row r="1007" spans="1:14" ht="17.25" thickBot="1">
      <c r="A1007" s="126" t="str">
        <f t="shared" si="39"/>
        <v>2025/12</v>
      </c>
      <c r="B1007" s="127" t="str">
        <f t="shared" si="38"/>
        <v>2025/12站前11樓</v>
      </c>
      <c r="C1007" s="138">
        <v>80</v>
      </c>
      <c r="D1007" s="139" t="s">
        <v>374</v>
      </c>
      <c r="E1007" s="484" t="s">
        <v>389</v>
      </c>
      <c r="F1007" s="484"/>
      <c r="G1007" s="484" t="s">
        <v>390</v>
      </c>
      <c r="H1007" s="484"/>
      <c r="I1007" s="484"/>
      <c r="J1007" s="484"/>
      <c r="K1007" s="140" t="s">
        <v>391</v>
      </c>
      <c r="L1007" s="141">
        <v>20</v>
      </c>
      <c r="M1007" s="123"/>
      <c r="N1007" s="117"/>
    </row>
    <row r="1008" spans="1:14" ht="17.25" thickBot="1">
      <c r="A1008" s="126" t="str">
        <f t="shared" si="39"/>
        <v>2025/12</v>
      </c>
      <c r="B1008" s="127" t="str">
        <f t="shared" si="38"/>
        <v>2025/12站前11樓</v>
      </c>
      <c r="C1008" s="138">
        <v>81</v>
      </c>
      <c r="D1008" s="139" t="s">
        <v>374</v>
      </c>
      <c r="E1008" s="484" t="s">
        <v>439</v>
      </c>
      <c r="F1008" s="484"/>
      <c r="G1008" s="484" t="s">
        <v>440</v>
      </c>
      <c r="H1008" s="484"/>
      <c r="I1008" s="484"/>
      <c r="J1008" s="484"/>
      <c r="K1008" s="140" t="s">
        <v>145</v>
      </c>
      <c r="L1008" s="141">
        <v>99</v>
      </c>
      <c r="M1008" s="123"/>
      <c r="N1008" s="117"/>
    </row>
    <row r="1009" spans="1:14" ht="17.25" thickBot="1">
      <c r="A1009" s="126" t="str">
        <f t="shared" si="39"/>
        <v>2025/12</v>
      </c>
      <c r="B1009" s="127" t="str">
        <f t="shared" si="38"/>
        <v>2025/12站前11樓</v>
      </c>
      <c r="C1009" s="138">
        <v>82</v>
      </c>
      <c r="D1009" s="139" t="s">
        <v>374</v>
      </c>
      <c r="E1009" s="484" t="s">
        <v>386</v>
      </c>
      <c r="F1009" s="484"/>
      <c r="G1009" s="484" t="s">
        <v>387</v>
      </c>
      <c r="H1009" s="484"/>
      <c r="I1009" s="484"/>
      <c r="J1009" s="484"/>
      <c r="K1009" s="140" t="s">
        <v>388</v>
      </c>
      <c r="L1009" s="141">
        <v>1390</v>
      </c>
      <c r="M1009" s="123"/>
      <c r="N1009" s="117"/>
    </row>
    <row r="1010" spans="1:14" ht="17.25" thickBot="1">
      <c r="A1010" s="126" t="str">
        <f t="shared" si="39"/>
        <v>2025/12</v>
      </c>
      <c r="B1010" s="127" t="str">
        <f t="shared" si="38"/>
        <v>2025/12站前11樓</v>
      </c>
      <c r="C1010" s="138">
        <v>83</v>
      </c>
      <c r="D1010" s="139" t="s">
        <v>374</v>
      </c>
      <c r="E1010" s="484" t="s">
        <v>401</v>
      </c>
      <c r="F1010" s="484"/>
      <c r="G1010" s="484" t="s">
        <v>402</v>
      </c>
      <c r="H1010" s="484"/>
      <c r="I1010" s="484"/>
      <c r="J1010" s="484"/>
      <c r="K1010" s="140" t="s">
        <v>145</v>
      </c>
      <c r="L1010" s="141">
        <v>6</v>
      </c>
      <c r="M1010" s="123"/>
      <c r="N1010" s="117"/>
    </row>
    <row r="1011" spans="1:14" ht="17.25" thickBot="1">
      <c r="A1011" s="126" t="str">
        <f t="shared" si="39"/>
        <v>2025/12</v>
      </c>
      <c r="B1011" s="127" t="str">
        <f t="shared" si="38"/>
        <v>2025/12站前11樓</v>
      </c>
      <c r="C1011" s="138">
        <v>84</v>
      </c>
      <c r="D1011" s="139" t="s">
        <v>374</v>
      </c>
      <c r="E1011" s="484" t="s">
        <v>417</v>
      </c>
      <c r="F1011" s="484"/>
      <c r="G1011" s="484" t="s">
        <v>418</v>
      </c>
      <c r="H1011" s="484"/>
      <c r="I1011" s="484"/>
      <c r="J1011" s="484"/>
      <c r="K1011" s="140" t="s">
        <v>145</v>
      </c>
      <c r="L1011" s="141">
        <v>9</v>
      </c>
      <c r="M1011" s="123"/>
      <c r="N1011" s="117"/>
    </row>
    <row r="1012" spans="1:14" ht="17.25" thickBot="1">
      <c r="A1012" s="126" t="str">
        <f t="shared" si="39"/>
        <v>2025/12</v>
      </c>
      <c r="B1012" s="127" t="str">
        <f t="shared" si="38"/>
        <v>2025/12站前11樓</v>
      </c>
      <c r="C1012" s="138">
        <v>85</v>
      </c>
      <c r="D1012" s="139" t="s">
        <v>374</v>
      </c>
      <c r="E1012" s="484" t="s">
        <v>399</v>
      </c>
      <c r="F1012" s="484"/>
      <c r="G1012" s="484" t="s">
        <v>400</v>
      </c>
      <c r="H1012" s="484"/>
      <c r="I1012" s="484"/>
      <c r="J1012" s="484"/>
      <c r="K1012" s="140" t="s">
        <v>145</v>
      </c>
      <c r="L1012" s="141">
        <v>6</v>
      </c>
      <c r="M1012" s="123"/>
      <c r="N1012" s="117"/>
    </row>
    <row r="1013" spans="1:14" ht="17.25" thickBot="1">
      <c r="A1013" s="126" t="str">
        <f t="shared" si="39"/>
        <v>2025/12</v>
      </c>
      <c r="B1013" s="127" t="str">
        <f t="shared" si="38"/>
        <v>2025/12站前11樓</v>
      </c>
      <c r="C1013" s="138">
        <v>86</v>
      </c>
      <c r="D1013" s="139" t="s">
        <v>374</v>
      </c>
      <c r="E1013" s="484" t="s">
        <v>431</v>
      </c>
      <c r="F1013" s="484"/>
      <c r="G1013" s="484" t="s">
        <v>432</v>
      </c>
      <c r="H1013" s="484"/>
      <c r="I1013" s="484"/>
      <c r="J1013" s="484"/>
      <c r="K1013" s="140" t="s">
        <v>433</v>
      </c>
      <c r="L1013" s="141">
        <v>9</v>
      </c>
      <c r="M1013" s="123"/>
      <c r="N1013" s="117"/>
    </row>
    <row r="1014" spans="1:14" ht="17.25" thickBot="1">
      <c r="A1014" s="126" t="str">
        <f t="shared" si="39"/>
        <v>2025/12</v>
      </c>
      <c r="B1014" s="127" t="str">
        <f t="shared" si="38"/>
        <v>2025/12站前11樓</v>
      </c>
      <c r="C1014" s="138">
        <v>87</v>
      </c>
      <c r="D1014" s="139" t="s">
        <v>374</v>
      </c>
      <c r="E1014" s="484" t="s">
        <v>701</v>
      </c>
      <c r="F1014" s="484"/>
      <c r="G1014" s="484" t="s">
        <v>702</v>
      </c>
      <c r="H1014" s="484"/>
      <c r="I1014" s="484"/>
      <c r="J1014" s="484"/>
      <c r="K1014" s="140" t="s">
        <v>433</v>
      </c>
      <c r="L1014" s="141">
        <v>1</v>
      </c>
      <c r="M1014" s="123"/>
      <c r="N1014" s="117"/>
    </row>
    <row r="1015" spans="1:14" ht="17.25" thickBot="1">
      <c r="A1015" s="126" t="str">
        <f t="shared" si="39"/>
        <v>2025/12</v>
      </c>
      <c r="B1015" s="127" t="str">
        <f t="shared" si="38"/>
        <v>2025/12站前11樓</v>
      </c>
      <c r="C1015" s="138">
        <v>88</v>
      </c>
      <c r="D1015" s="139" t="s">
        <v>374</v>
      </c>
      <c r="E1015" s="484" t="s">
        <v>693</v>
      </c>
      <c r="F1015" s="484"/>
      <c r="G1015" s="484" t="s">
        <v>694</v>
      </c>
      <c r="H1015" s="484"/>
      <c r="I1015" s="484"/>
      <c r="J1015" s="484"/>
      <c r="K1015" s="140" t="s">
        <v>433</v>
      </c>
      <c r="L1015" s="141">
        <v>457</v>
      </c>
      <c r="M1015" s="123"/>
      <c r="N1015" s="117"/>
    </row>
    <row r="1016" spans="1:14" ht="17.25" thickBot="1">
      <c r="A1016" s="126" t="str">
        <f t="shared" si="39"/>
        <v>2025/12</v>
      </c>
      <c r="B1016" s="127" t="str">
        <f>"2025/12"&amp;D1016</f>
        <v>2025/12忠孝7樓</v>
      </c>
      <c r="C1016" s="138">
        <v>89</v>
      </c>
      <c r="D1016" s="139" t="s">
        <v>424</v>
      </c>
      <c r="E1016" s="484" t="s">
        <v>413</v>
      </c>
      <c r="F1016" s="484"/>
      <c r="G1016" s="484" t="s">
        <v>674</v>
      </c>
      <c r="H1016" s="484"/>
      <c r="I1016" s="484"/>
      <c r="J1016" s="484"/>
      <c r="K1016" s="140" t="s">
        <v>410</v>
      </c>
      <c r="L1016" s="141">
        <v>20</v>
      </c>
      <c r="M1016" s="123"/>
      <c r="N1016" s="117"/>
    </row>
    <row r="1017" spans="1:14" ht="17.25" thickBot="1">
      <c r="A1017" s="126" t="str">
        <f t="shared" si="39"/>
        <v>2025/12</v>
      </c>
      <c r="B1017" s="127" t="str">
        <f t="shared" ref="B1017:B1080" si="40">"2025/12"&amp;D1017</f>
        <v>2025/12忠孝7樓</v>
      </c>
      <c r="C1017" s="138">
        <v>90</v>
      </c>
      <c r="D1017" s="139" t="s">
        <v>424</v>
      </c>
      <c r="E1017" s="484" t="s">
        <v>360</v>
      </c>
      <c r="F1017" s="484"/>
      <c r="G1017" s="484" t="s">
        <v>361</v>
      </c>
      <c r="H1017" s="484"/>
      <c r="I1017" s="484"/>
      <c r="J1017" s="484"/>
      <c r="K1017" s="140" t="s">
        <v>362</v>
      </c>
      <c r="L1017" s="141">
        <v>36</v>
      </c>
      <c r="M1017" s="123"/>
      <c r="N1017" s="117"/>
    </row>
    <row r="1018" spans="1:14" ht="17.25" thickBot="1">
      <c r="A1018" s="126" t="str">
        <f t="shared" si="39"/>
        <v>2025/12</v>
      </c>
      <c r="B1018" s="127" t="str">
        <f t="shared" si="40"/>
        <v>2025/12忠孝7樓</v>
      </c>
      <c r="C1018" s="138">
        <v>91</v>
      </c>
      <c r="D1018" s="139" t="s">
        <v>424</v>
      </c>
      <c r="E1018" s="484" t="s">
        <v>383</v>
      </c>
      <c r="F1018" s="484"/>
      <c r="G1018" s="484" t="s">
        <v>384</v>
      </c>
      <c r="H1018" s="484"/>
      <c r="I1018" s="484"/>
      <c r="J1018" s="484"/>
      <c r="K1018" s="140" t="s">
        <v>385</v>
      </c>
      <c r="L1018" s="141">
        <v>39</v>
      </c>
      <c r="M1018" s="123"/>
      <c r="N1018" s="117"/>
    </row>
    <row r="1019" spans="1:14" ht="17.25" thickBot="1">
      <c r="A1019" s="126" t="str">
        <f t="shared" si="39"/>
        <v>2025/12</v>
      </c>
      <c r="B1019" s="127" t="str">
        <f t="shared" si="40"/>
        <v>2025/12忠孝7樓</v>
      </c>
      <c r="C1019" s="138">
        <v>92</v>
      </c>
      <c r="D1019" s="139" t="s">
        <v>424</v>
      </c>
      <c r="E1019" s="484" t="s">
        <v>394</v>
      </c>
      <c r="F1019" s="484"/>
      <c r="G1019" s="484" t="s">
        <v>395</v>
      </c>
      <c r="H1019" s="484"/>
      <c r="I1019" s="484"/>
      <c r="J1019" s="484"/>
      <c r="K1019" s="140" t="s">
        <v>272</v>
      </c>
      <c r="L1019" s="141">
        <v>1</v>
      </c>
      <c r="M1019" s="123"/>
      <c r="N1019" s="117"/>
    </row>
    <row r="1020" spans="1:14" ht="17.25" thickBot="1">
      <c r="A1020" s="126" t="str">
        <f t="shared" si="39"/>
        <v>2025/12</v>
      </c>
      <c r="B1020" s="127" t="str">
        <f t="shared" si="40"/>
        <v>2025/12忠孝7樓</v>
      </c>
      <c r="C1020" s="138">
        <v>93</v>
      </c>
      <c r="D1020" s="139" t="s">
        <v>424</v>
      </c>
      <c r="E1020" s="484" t="s">
        <v>255</v>
      </c>
      <c r="F1020" s="484"/>
      <c r="G1020" s="484" t="s">
        <v>256</v>
      </c>
      <c r="H1020" s="484"/>
      <c r="I1020" s="484"/>
      <c r="J1020" s="484"/>
      <c r="K1020" s="140" t="s">
        <v>720</v>
      </c>
      <c r="L1020" s="141">
        <v>291</v>
      </c>
      <c r="M1020" s="123"/>
      <c r="N1020" s="117"/>
    </row>
    <row r="1021" spans="1:14" ht="17.25" thickBot="1">
      <c r="A1021" s="126" t="str">
        <f t="shared" si="39"/>
        <v>2025/12</v>
      </c>
      <c r="B1021" s="127" t="str">
        <f t="shared" si="40"/>
        <v>2025/12忠孝7樓</v>
      </c>
      <c r="C1021" s="138">
        <v>94</v>
      </c>
      <c r="D1021" s="139" t="s">
        <v>424</v>
      </c>
      <c r="E1021" s="484" t="s">
        <v>258</v>
      </c>
      <c r="F1021" s="484"/>
      <c r="G1021" s="484" t="s">
        <v>259</v>
      </c>
      <c r="H1021" s="484"/>
      <c r="I1021" s="484"/>
      <c r="J1021" s="484"/>
      <c r="K1021" s="140"/>
      <c r="L1021" s="141">
        <v>324</v>
      </c>
      <c r="M1021" s="123"/>
      <c r="N1021" s="117"/>
    </row>
    <row r="1022" spans="1:14" ht="17.25" thickBot="1">
      <c r="A1022" s="126" t="str">
        <f t="shared" si="39"/>
        <v>2025/12</v>
      </c>
      <c r="B1022" s="127" t="str">
        <f t="shared" si="40"/>
        <v>2025/12忠孝7樓</v>
      </c>
      <c r="C1022" s="138">
        <v>95</v>
      </c>
      <c r="D1022" s="139" t="s">
        <v>424</v>
      </c>
      <c r="E1022" s="484" t="s">
        <v>260</v>
      </c>
      <c r="F1022" s="484"/>
      <c r="G1022" s="484" t="s">
        <v>261</v>
      </c>
      <c r="H1022" s="484"/>
      <c r="I1022" s="484"/>
      <c r="J1022" s="484"/>
      <c r="K1022" s="140" t="s">
        <v>254</v>
      </c>
      <c r="L1022" s="141">
        <v>323</v>
      </c>
      <c r="M1022" s="123"/>
      <c r="N1022" s="117"/>
    </row>
    <row r="1023" spans="1:14" ht="17.25" thickBot="1">
      <c r="A1023" s="126" t="str">
        <f t="shared" si="39"/>
        <v>2025/12</v>
      </c>
      <c r="B1023" s="127" t="str">
        <f t="shared" si="40"/>
        <v>2025/12忠孝7樓</v>
      </c>
      <c r="C1023" s="138">
        <v>96</v>
      </c>
      <c r="D1023" s="139" t="s">
        <v>424</v>
      </c>
      <c r="E1023" s="484" t="s">
        <v>415</v>
      </c>
      <c r="F1023" s="484"/>
      <c r="G1023" s="484" t="s">
        <v>416</v>
      </c>
      <c r="H1023" s="484"/>
      <c r="I1023" s="484"/>
      <c r="J1023" s="484"/>
      <c r="K1023" s="140" t="s">
        <v>254</v>
      </c>
      <c r="L1023" s="141">
        <v>1</v>
      </c>
      <c r="M1023" s="123"/>
      <c r="N1023" s="117"/>
    </row>
    <row r="1024" spans="1:14" ht="17.25" thickBot="1">
      <c r="A1024" s="126" t="str">
        <f t="shared" si="39"/>
        <v>2025/12</v>
      </c>
      <c r="B1024" s="127" t="str">
        <f t="shared" si="40"/>
        <v>2025/12忠孝7樓</v>
      </c>
      <c r="C1024" s="138">
        <v>97</v>
      </c>
      <c r="D1024" s="139" t="s">
        <v>424</v>
      </c>
      <c r="E1024" s="484" t="s">
        <v>262</v>
      </c>
      <c r="F1024" s="484"/>
      <c r="G1024" s="484" t="s">
        <v>263</v>
      </c>
      <c r="H1024" s="484"/>
      <c r="I1024" s="484"/>
      <c r="J1024" s="484"/>
      <c r="K1024" s="140" t="s">
        <v>254</v>
      </c>
      <c r="L1024" s="141">
        <v>78</v>
      </c>
      <c r="M1024" s="123"/>
      <c r="N1024" s="117"/>
    </row>
    <row r="1025" spans="1:14" ht="17.25" thickBot="1">
      <c r="A1025" s="126" t="str">
        <f t="shared" si="39"/>
        <v>2025/12</v>
      </c>
      <c r="B1025" s="127" t="str">
        <f t="shared" si="40"/>
        <v>2025/12忠孝7樓</v>
      </c>
      <c r="C1025" s="138">
        <v>98</v>
      </c>
      <c r="D1025" s="139" t="s">
        <v>424</v>
      </c>
      <c r="E1025" s="484" t="s">
        <v>270</v>
      </c>
      <c r="F1025" s="484"/>
      <c r="G1025" s="484" t="s">
        <v>271</v>
      </c>
      <c r="H1025" s="484"/>
      <c r="I1025" s="484"/>
      <c r="J1025" s="484"/>
      <c r="K1025" s="140" t="s">
        <v>272</v>
      </c>
      <c r="L1025" s="141">
        <v>274</v>
      </c>
      <c r="M1025" s="123"/>
      <c r="N1025" s="117"/>
    </row>
    <row r="1026" spans="1:14" ht="17.25" thickBot="1">
      <c r="A1026" s="126" t="str">
        <f t="shared" si="39"/>
        <v>2025/12</v>
      </c>
      <c r="B1026" s="127" t="str">
        <f t="shared" si="40"/>
        <v>2025/12忠孝7樓</v>
      </c>
      <c r="C1026" s="138">
        <v>99</v>
      </c>
      <c r="D1026" s="139" t="s">
        <v>424</v>
      </c>
      <c r="E1026" s="484" t="s">
        <v>252</v>
      </c>
      <c r="F1026" s="484"/>
      <c r="G1026" s="484" t="s">
        <v>253</v>
      </c>
      <c r="H1026" s="484"/>
      <c r="I1026" s="484"/>
      <c r="J1026" s="484"/>
      <c r="K1026" s="140" t="s">
        <v>254</v>
      </c>
      <c r="L1026" s="141">
        <v>340</v>
      </c>
      <c r="M1026" s="123"/>
      <c r="N1026" s="117"/>
    </row>
    <row r="1027" spans="1:14" ht="17.25" thickBot="1">
      <c r="A1027" s="126" t="str">
        <f t="shared" si="39"/>
        <v>2025/12</v>
      </c>
      <c r="B1027" s="127" t="str">
        <f t="shared" si="40"/>
        <v>2025/12忠孝7樓</v>
      </c>
      <c r="C1027" s="138">
        <v>100</v>
      </c>
      <c r="D1027" s="139" t="s">
        <v>424</v>
      </c>
      <c r="E1027" s="484" t="s">
        <v>695</v>
      </c>
      <c r="F1027" s="484"/>
      <c r="G1027" s="484" t="s">
        <v>696</v>
      </c>
      <c r="H1027" s="484"/>
      <c r="I1027" s="484"/>
      <c r="J1027" s="484"/>
      <c r="K1027" s="140" t="s">
        <v>254</v>
      </c>
      <c r="L1027" s="141">
        <v>1</v>
      </c>
      <c r="M1027" s="123"/>
      <c r="N1027" s="117"/>
    </row>
    <row r="1028" spans="1:14" ht="17.25" thickBot="1">
      <c r="A1028" s="126" t="str">
        <f t="shared" si="39"/>
        <v>2025/12</v>
      </c>
      <c r="B1028" s="127" t="str">
        <f t="shared" si="40"/>
        <v>2025/12忠孝7樓</v>
      </c>
      <c r="C1028" s="138">
        <v>101</v>
      </c>
      <c r="D1028" s="139" t="s">
        <v>424</v>
      </c>
      <c r="E1028" s="484" t="s">
        <v>429</v>
      </c>
      <c r="F1028" s="484"/>
      <c r="G1028" s="484" t="s">
        <v>430</v>
      </c>
      <c r="H1028" s="484"/>
      <c r="I1028" s="484"/>
      <c r="J1028" s="484"/>
      <c r="K1028" s="140" t="s">
        <v>272</v>
      </c>
      <c r="L1028" s="141">
        <v>1</v>
      </c>
      <c r="M1028" s="123"/>
      <c r="N1028" s="117"/>
    </row>
    <row r="1029" spans="1:14" ht="17.25" thickBot="1">
      <c r="A1029" s="126" t="str">
        <f t="shared" si="39"/>
        <v>2025/12</v>
      </c>
      <c r="B1029" s="127" t="str">
        <f t="shared" si="40"/>
        <v>2025/12忠孝7樓</v>
      </c>
      <c r="C1029" s="138">
        <v>102</v>
      </c>
      <c r="D1029" s="139" t="s">
        <v>424</v>
      </c>
      <c r="E1029" s="484" t="s">
        <v>690</v>
      </c>
      <c r="F1029" s="484"/>
      <c r="G1029" s="484" t="s">
        <v>691</v>
      </c>
      <c r="H1029" s="484"/>
      <c r="I1029" s="484"/>
      <c r="J1029" s="484"/>
      <c r="K1029" s="140" t="s">
        <v>692</v>
      </c>
      <c r="L1029" s="141">
        <v>16</v>
      </c>
      <c r="M1029" s="123"/>
      <c r="N1029" s="117"/>
    </row>
    <row r="1030" spans="1:14" ht="17.25" thickBot="1">
      <c r="A1030" s="126" t="str">
        <f t="shared" si="39"/>
        <v>2025/12</v>
      </c>
      <c r="B1030" s="127" t="str">
        <f t="shared" si="40"/>
        <v>2025/12忠孝7樓</v>
      </c>
      <c r="C1030" s="138">
        <v>103</v>
      </c>
      <c r="D1030" s="139" t="s">
        <v>424</v>
      </c>
      <c r="E1030" s="484" t="s">
        <v>305</v>
      </c>
      <c r="F1030" s="484"/>
      <c r="G1030" s="484" t="s">
        <v>675</v>
      </c>
      <c r="H1030" s="484"/>
      <c r="I1030" s="484"/>
      <c r="J1030" s="484"/>
      <c r="K1030" s="140" t="s">
        <v>676</v>
      </c>
      <c r="L1030" s="141">
        <v>4079</v>
      </c>
      <c r="M1030" s="123"/>
      <c r="N1030" s="117"/>
    </row>
    <row r="1031" spans="1:14" ht="17.25" thickBot="1">
      <c r="A1031" s="126" t="str">
        <f t="shared" si="39"/>
        <v>2025/12</v>
      </c>
      <c r="B1031" s="127" t="str">
        <f t="shared" si="40"/>
        <v>2025/12忠孝7樓</v>
      </c>
      <c r="C1031" s="138">
        <v>104</v>
      </c>
      <c r="D1031" s="139" t="s">
        <v>424</v>
      </c>
      <c r="E1031" s="484" t="s">
        <v>264</v>
      </c>
      <c r="F1031" s="484"/>
      <c r="G1031" s="484" t="s">
        <v>677</v>
      </c>
      <c r="H1031" s="484"/>
      <c r="I1031" s="484"/>
      <c r="J1031" s="484"/>
      <c r="K1031" s="140" t="s">
        <v>678</v>
      </c>
      <c r="L1031" s="141">
        <v>10079</v>
      </c>
      <c r="M1031" s="123"/>
      <c r="N1031" s="117"/>
    </row>
    <row r="1032" spans="1:14" ht="17.25" thickBot="1">
      <c r="A1032" s="126" t="str">
        <f t="shared" si="39"/>
        <v>2025/12</v>
      </c>
      <c r="B1032" s="127" t="str">
        <f t="shared" si="40"/>
        <v>2025/12忠孝7樓</v>
      </c>
      <c r="C1032" s="138">
        <v>105</v>
      </c>
      <c r="D1032" s="139" t="s">
        <v>424</v>
      </c>
      <c r="E1032" s="484" t="s">
        <v>307</v>
      </c>
      <c r="F1032" s="484"/>
      <c r="G1032" s="484" t="s">
        <v>679</v>
      </c>
      <c r="H1032" s="484"/>
      <c r="I1032" s="484"/>
      <c r="J1032" s="484"/>
      <c r="K1032" s="140" t="s">
        <v>678</v>
      </c>
      <c r="L1032" s="141">
        <v>1420</v>
      </c>
      <c r="M1032" s="123"/>
      <c r="N1032" s="117"/>
    </row>
    <row r="1033" spans="1:14" ht="17.25" thickBot="1">
      <c r="A1033" s="126" t="str">
        <f t="shared" si="39"/>
        <v>2025/12</v>
      </c>
      <c r="B1033" s="127" t="str">
        <f t="shared" si="40"/>
        <v>2025/12忠孝7樓</v>
      </c>
      <c r="C1033" s="138">
        <v>106</v>
      </c>
      <c r="D1033" s="139" t="s">
        <v>424</v>
      </c>
      <c r="E1033" s="484" t="s">
        <v>313</v>
      </c>
      <c r="F1033" s="484"/>
      <c r="G1033" s="484" t="s">
        <v>314</v>
      </c>
      <c r="H1033" s="484"/>
      <c r="I1033" s="484"/>
      <c r="J1033" s="484"/>
      <c r="K1033" s="140" t="s">
        <v>301</v>
      </c>
      <c r="L1033" s="141">
        <v>93</v>
      </c>
      <c r="M1033" s="123"/>
      <c r="N1033" s="117"/>
    </row>
    <row r="1034" spans="1:14" ht="17.25" thickBot="1">
      <c r="A1034" s="126" t="str">
        <f t="shared" si="39"/>
        <v>2025/12</v>
      </c>
      <c r="B1034" s="127" t="str">
        <f t="shared" si="40"/>
        <v>2025/12忠孝7樓</v>
      </c>
      <c r="C1034" s="138">
        <v>107</v>
      </c>
      <c r="D1034" s="139" t="s">
        <v>424</v>
      </c>
      <c r="E1034" s="484" t="s">
        <v>343</v>
      </c>
      <c r="F1034" s="484"/>
      <c r="G1034" s="484" t="s">
        <v>344</v>
      </c>
      <c r="H1034" s="484"/>
      <c r="I1034" s="484"/>
      <c r="J1034" s="484"/>
      <c r="K1034" s="140" t="s">
        <v>301</v>
      </c>
      <c r="L1034" s="141">
        <v>24</v>
      </c>
      <c r="M1034" s="123"/>
      <c r="N1034" s="117"/>
    </row>
    <row r="1035" spans="1:14" ht="17.25" thickBot="1">
      <c r="A1035" s="126" t="str">
        <f t="shared" si="39"/>
        <v>2025/12</v>
      </c>
      <c r="B1035" s="127" t="str">
        <f t="shared" si="40"/>
        <v>2025/12忠孝7樓</v>
      </c>
      <c r="C1035" s="138">
        <v>108</v>
      </c>
      <c r="D1035" s="139" t="s">
        <v>424</v>
      </c>
      <c r="E1035" s="484" t="s">
        <v>427</v>
      </c>
      <c r="F1035" s="484"/>
      <c r="G1035" s="484" t="s">
        <v>428</v>
      </c>
      <c r="H1035" s="484"/>
      <c r="I1035" s="484"/>
      <c r="J1035" s="484"/>
      <c r="K1035" s="140" t="s">
        <v>301</v>
      </c>
      <c r="L1035" s="141">
        <v>1</v>
      </c>
      <c r="M1035" s="123"/>
      <c r="N1035" s="117"/>
    </row>
    <row r="1036" spans="1:14" ht="17.25" thickBot="1">
      <c r="A1036" s="126" t="str">
        <f t="shared" si="39"/>
        <v>2025/12</v>
      </c>
      <c r="B1036" s="127" t="str">
        <f t="shared" si="40"/>
        <v>2025/12忠孝7樓</v>
      </c>
      <c r="C1036" s="138">
        <v>109</v>
      </c>
      <c r="D1036" s="139" t="s">
        <v>424</v>
      </c>
      <c r="E1036" s="484" t="s">
        <v>349</v>
      </c>
      <c r="F1036" s="484"/>
      <c r="G1036" s="484" t="s">
        <v>350</v>
      </c>
      <c r="H1036" s="484"/>
      <c r="I1036" s="484"/>
      <c r="J1036" s="484"/>
      <c r="K1036" s="140" t="s">
        <v>301</v>
      </c>
      <c r="L1036" s="141">
        <v>18</v>
      </c>
      <c r="M1036" s="123"/>
      <c r="N1036" s="117"/>
    </row>
    <row r="1037" spans="1:14" ht="17.25" thickBot="1">
      <c r="A1037" s="126" t="str">
        <f t="shared" si="39"/>
        <v>2025/12</v>
      </c>
      <c r="B1037" s="127" t="str">
        <f t="shared" si="40"/>
        <v>2025/12忠孝7樓</v>
      </c>
      <c r="C1037" s="138">
        <v>110</v>
      </c>
      <c r="D1037" s="139" t="s">
        <v>424</v>
      </c>
      <c r="E1037" s="484" t="s">
        <v>366</v>
      </c>
      <c r="F1037" s="484"/>
      <c r="G1037" s="484" t="s">
        <v>367</v>
      </c>
      <c r="H1037" s="484"/>
      <c r="I1037" s="484"/>
      <c r="J1037" s="484"/>
      <c r="K1037" s="140" t="s">
        <v>301</v>
      </c>
      <c r="L1037" s="141">
        <v>2</v>
      </c>
      <c r="M1037" s="123"/>
      <c r="N1037" s="117"/>
    </row>
    <row r="1038" spans="1:14" ht="17.25" thickBot="1">
      <c r="A1038" s="126" t="str">
        <f t="shared" si="39"/>
        <v>2025/12</v>
      </c>
      <c r="B1038" s="127" t="str">
        <f t="shared" si="40"/>
        <v>2025/12忠孝7樓</v>
      </c>
      <c r="C1038" s="138">
        <v>111</v>
      </c>
      <c r="D1038" s="139" t="s">
        <v>424</v>
      </c>
      <c r="E1038" s="484" t="s">
        <v>282</v>
      </c>
      <c r="F1038" s="484"/>
      <c r="G1038" s="484" t="s">
        <v>283</v>
      </c>
      <c r="H1038" s="484"/>
      <c r="I1038" s="484"/>
      <c r="J1038" s="484"/>
      <c r="K1038" s="140" t="s">
        <v>284</v>
      </c>
      <c r="L1038" s="141">
        <v>48</v>
      </c>
      <c r="M1038" s="123"/>
      <c r="N1038" s="117"/>
    </row>
    <row r="1039" spans="1:14" ht="17.25" thickBot="1">
      <c r="A1039" s="126" t="str">
        <f t="shared" si="39"/>
        <v>2025/12</v>
      </c>
      <c r="B1039" s="127" t="str">
        <f t="shared" si="40"/>
        <v>2025/12忠孝7樓</v>
      </c>
      <c r="C1039" s="138">
        <v>112</v>
      </c>
      <c r="D1039" s="139" t="s">
        <v>424</v>
      </c>
      <c r="E1039" s="484" t="s">
        <v>345</v>
      </c>
      <c r="F1039" s="484"/>
      <c r="G1039" s="484" t="s">
        <v>346</v>
      </c>
      <c r="H1039" s="484"/>
      <c r="I1039" s="484"/>
      <c r="J1039" s="484"/>
      <c r="K1039" s="140" t="s">
        <v>284</v>
      </c>
      <c r="L1039" s="141">
        <v>5</v>
      </c>
      <c r="M1039" s="123"/>
      <c r="N1039" s="117"/>
    </row>
    <row r="1040" spans="1:14" ht="17.25" thickBot="1">
      <c r="A1040" s="126" t="str">
        <f t="shared" si="39"/>
        <v>2025/12</v>
      </c>
      <c r="B1040" s="127" t="str">
        <f t="shared" si="40"/>
        <v>2025/12忠孝7樓</v>
      </c>
      <c r="C1040" s="138">
        <v>113</v>
      </c>
      <c r="D1040" s="139" t="s">
        <v>424</v>
      </c>
      <c r="E1040" s="484" t="s">
        <v>311</v>
      </c>
      <c r="F1040" s="484"/>
      <c r="G1040" s="484" t="s">
        <v>312</v>
      </c>
      <c r="H1040" s="484"/>
      <c r="I1040" s="484"/>
      <c r="J1040" s="484"/>
      <c r="K1040" s="140" t="s">
        <v>284</v>
      </c>
      <c r="L1040" s="141">
        <v>18</v>
      </c>
      <c r="M1040" s="123"/>
      <c r="N1040" s="117"/>
    </row>
    <row r="1041" spans="1:14" ht="17.25" thickBot="1">
      <c r="A1041" s="126" t="str">
        <f t="shared" si="39"/>
        <v>2025/12</v>
      </c>
      <c r="B1041" s="127" t="str">
        <f t="shared" si="40"/>
        <v>2025/12忠孝7樓</v>
      </c>
      <c r="C1041" s="138">
        <v>114</v>
      </c>
      <c r="D1041" s="139" t="s">
        <v>424</v>
      </c>
      <c r="E1041" s="484" t="s">
        <v>734</v>
      </c>
      <c r="F1041" s="484"/>
      <c r="G1041" s="484" t="s">
        <v>735</v>
      </c>
      <c r="H1041" s="484"/>
      <c r="I1041" s="484"/>
      <c r="J1041" s="484"/>
      <c r="K1041" s="140" t="s">
        <v>342</v>
      </c>
      <c r="L1041" s="141">
        <v>1</v>
      </c>
      <c r="M1041" s="123"/>
      <c r="N1041" s="117"/>
    </row>
    <row r="1042" spans="1:14" ht="17.25" thickBot="1">
      <c r="A1042" s="126" t="str">
        <f t="shared" si="39"/>
        <v>2025/12</v>
      </c>
      <c r="B1042" s="127" t="str">
        <f t="shared" si="40"/>
        <v>2025/12忠孝7樓</v>
      </c>
      <c r="C1042" s="138">
        <v>115</v>
      </c>
      <c r="D1042" s="139" t="s">
        <v>424</v>
      </c>
      <c r="E1042" s="484" t="s">
        <v>299</v>
      </c>
      <c r="F1042" s="484"/>
      <c r="G1042" s="484" t="s">
        <v>300</v>
      </c>
      <c r="H1042" s="484"/>
      <c r="I1042" s="484"/>
      <c r="J1042" s="484"/>
      <c r="K1042" s="140" t="s">
        <v>301</v>
      </c>
      <c r="L1042" s="141">
        <v>65</v>
      </c>
      <c r="M1042" s="123"/>
      <c r="N1042" s="117"/>
    </row>
    <row r="1043" spans="1:14" ht="17.25" thickBot="1">
      <c r="A1043" s="126" t="str">
        <f t="shared" si="39"/>
        <v>2025/12</v>
      </c>
      <c r="B1043" s="127" t="str">
        <f t="shared" si="40"/>
        <v>2025/12忠孝7樓</v>
      </c>
      <c r="C1043" s="138">
        <v>116</v>
      </c>
      <c r="D1043" s="139" t="s">
        <v>424</v>
      </c>
      <c r="E1043" s="484" t="s">
        <v>347</v>
      </c>
      <c r="F1043" s="484"/>
      <c r="G1043" s="484" t="s">
        <v>348</v>
      </c>
      <c r="H1043" s="484"/>
      <c r="I1043" s="484"/>
      <c r="J1043" s="484"/>
      <c r="K1043" s="140" t="s">
        <v>301</v>
      </c>
      <c r="L1043" s="141">
        <v>19</v>
      </c>
      <c r="M1043" s="123"/>
      <c r="N1043" s="117"/>
    </row>
    <row r="1044" spans="1:14" ht="17.25" thickBot="1">
      <c r="A1044" s="126" t="str">
        <f t="shared" si="39"/>
        <v>2025/12</v>
      </c>
      <c r="B1044" s="127" t="str">
        <f t="shared" si="40"/>
        <v>2025/12忠孝7樓</v>
      </c>
      <c r="C1044" s="138">
        <v>117</v>
      </c>
      <c r="D1044" s="139" t="s">
        <v>424</v>
      </c>
      <c r="E1044" s="484" t="s">
        <v>317</v>
      </c>
      <c r="F1044" s="484"/>
      <c r="G1044" s="484" t="s">
        <v>318</v>
      </c>
      <c r="H1044" s="484"/>
      <c r="I1044" s="484"/>
      <c r="J1044" s="484"/>
      <c r="K1044" s="140" t="s">
        <v>319</v>
      </c>
      <c r="L1044" s="141">
        <v>12</v>
      </c>
      <c r="M1044" s="123"/>
      <c r="N1044" s="117"/>
    </row>
    <row r="1045" spans="1:14" ht="17.25" thickBot="1">
      <c r="A1045" s="126" t="str">
        <f t="shared" si="39"/>
        <v>2025/12</v>
      </c>
      <c r="B1045" s="127" t="str">
        <f t="shared" si="40"/>
        <v>2025/12忠孝7樓</v>
      </c>
      <c r="C1045" s="138">
        <v>118</v>
      </c>
      <c r="D1045" s="139" t="s">
        <v>424</v>
      </c>
      <c r="E1045" s="484" t="s">
        <v>321</v>
      </c>
      <c r="F1045" s="484"/>
      <c r="G1045" s="484" t="s">
        <v>322</v>
      </c>
      <c r="H1045" s="484"/>
      <c r="I1045" s="484"/>
      <c r="J1045" s="484"/>
      <c r="K1045" s="140" t="s">
        <v>275</v>
      </c>
      <c r="L1045" s="141">
        <v>14</v>
      </c>
      <c r="M1045" s="123"/>
      <c r="N1045" s="117"/>
    </row>
    <row r="1046" spans="1:14" ht="17.25" thickBot="1">
      <c r="A1046" s="126" t="str">
        <f t="shared" si="39"/>
        <v>2025/12</v>
      </c>
      <c r="B1046" s="127" t="str">
        <f t="shared" si="40"/>
        <v>2025/12忠孝7樓</v>
      </c>
      <c r="C1046" s="138">
        <v>119</v>
      </c>
      <c r="D1046" s="139" t="s">
        <v>424</v>
      </c>
      <c r="E1046" s="484" t="s">
        <v>276</v>
      </c>
      <c r="F1046" s="484"/>
      <c r="G1046" s="484" t="s">
        <v>277</v>
      </c>
      <c r="H1046" s="484"/>
      <c r="I1046" s="484"/>
      <c r="J1046" s="484"/>
      <c r="K1046" s="140" t="s">
        <v>278</v>
      </c>
      <c r="L1046" s="141">
        <v>115</v>
      </c>
      <c r="M1046" s="123"/>
      <c r="N1046" s="117"/>
    </row>
    <row r="1047" spans="1:14" ht="17.25" thickBot="1">
      <c r="A1047" s="126" t="str">
        <f t="shared" si="39"/>
        <v>2025/12</v>
      </c>
      <c r="B1047" s="127" t="str">
        <f t="shared" si="40"/>
        <v>2025/12忠孝7樓</v>
      </c>
      <c r="C1047" s="138">
        <v>120</v>
      </c>
      <c r="D1047" s="139" t="s">
        <v>424</v>
      </c>
      <c r="E1047" s="484" t="s">
        <v>273</v>
      </c>
      <c r="F1047" s="484"/>
      <c r="G1047" s="484" t="s">
        <v>274</v>
      </c>
      <c r="H1047" s="484"/>
      <c r="I1047" s="484"/>
      <c r="J1047" s="484"/>
      <c r="K1047" s="140" t="s">
        <v>275</v>
      </c>
      <c r="L1047" s="141">
        <v>782</v>
      </c>
      <c r="M1047" s="123"/>
      <c r="N1047" s="117"/>
    </row>
    <row r="1048" spans="1:14" ht="17.25" thickBot="1">
      <c r="A1048" s="126" t="str">
        <f t="shared" si="39"/>
        <v>2025/12</v>
      </c>
      <c r="B1048" s="127" t="str">
        <f t="shared" si="40"/>
        <v>2025/12忠孝7樓</v>
      </c>
      <c r="C1048" s="138">
        <v>121</v>
      </c>
      <c r="D1048" s="139" t="s">
        <v>424</v>
      </c>
      <c r="E1048" s="484" t="s">
        <v>285</v>
      </c>
      <c r="F1048" s="484"/>
      <c r="G1048" s="484" t="s">
        <v>286</v>
      </c>
      <c r="H1048" s="484"/>
      <c r="I1048" s="484"/>
      <c r="J1048" s="484"/>
      <c r="K1048" s="140" t="s">
        <v>287</v>
      </c>
      <c r="L1048" s="141">
        <v>15992</v>
      </c>
      <c r="M1048" s="123"/>
      <c r="N1048" s="117"/>
    </row>
    <row r="1049" spans="1:14" ht="17.25" thickBot="1">
      <c r="A1049" s="126" t="str">
        <f t="shared" si="39"/>
        <v>2025/12</v>
      </c>
      <c r="B1049" s="127" t="str">
        <f t="shared" si="40"/>
        <v>2025/12忠孝7樓</v>
      </c>
      <c r="C1049" s="138">
        <v>122</v>
      </c>
      <c r="D1049" s="139" t="s">
        <v>424</v>
      </c>
      <c r="E1049" s="484" t="s">
        <v>290</v>
      </c>
      <c r="F1049" s="484"/>
      <c r="G1049" s="484" t="s">
        <v>291</v>
      </c>
      <c r="H1049" s="484"/>
      <c r="I1049" s="484"/>
      <c r="J1049" s="484"/>
      <c r="K1049" s="140" t="s">
        <v>287</v>
      </c>
      <c r="L1049" s="141">
        <v>57157</v>
      </c>
      <c r="M1049" s="123"/>
      <c r="N1049" s="117"/>
    </row>
    <row r="1050" spans="1:14" ht="17.25" thickBot="1">
      <c r="A1050" s="126" t="str">
        <f t="shared" si="39"/>
        <v>2025/12</v>
      </c>
      <c r="B1050" s="127" t="str">
        <f t="shared" si="40"/>
        <v>2025/12忠孝7樓</v>
      </c>
      <c r="C1050" s="138">
        <v>123</v>
      </c>
      <c r="D1050" s="139" t="s">
        <v>424</v>
      </c>
      <c r="E1050" s="484" t="s">
        <v>292</v>
      </c>
      <c r="F1050" s="484"/>
      <c r="G1050" s="484" t="s">
        <v>293</v>
      </c>
      <c r="H1050" s="484"/>
      <c r="I1050" s="484"/>
      <c r="J1050" s="484"/>
      <c r="K1050" s="140" t="s">
        <v>287</v>
      </c>
      <c r="L1050" s="141">
        <v>91575</v>
      </c>
      <c r="M1050" s="123"/>
      <c r="N1050" s="117"/>
    </row>
    <row r="1051" spans="1:14" ht="17.25" thickBot="1">
      <c r="A1051" s="126" t="str">
        <f t="shared" si="39"/>
        <v>2025/12</v>
      </c>
      <c r="B1051" s="127" t="str">
        <f t="shared" si="40"/>
        <v>2025/12忠孝7樓</v>
      </c>
      <c r="C1051" s="138">
        <v>124</v>
      </c>
      <c r="D1051" s="139" t="s">
        <v>424</v>
      </c>
      <c r="E1051" s="484" t="s">
        <v>323</v>
      </c>
      <c r="F1051" s="484"/>
      <c r="G1051" s="484" t="s">
        <v>324</v>
      </c>
      <c r="H1051" s="484"/>
      <c r="I1051" s="484"/>
      <c r="J1051" s="484"/>
      <c r="K1051" s="140" t="s">
        <v>721</v>
      </c>
      <c r="L1051" s="141">
        <v>20982</v>
      </c>
      <c r="M1051" s="123"/>
      <c r="N1051" s="117"/>
    </row>
    <row r="1052" spans="1:14" ht="17.25" thickBot="1">
      <c r="A1052" s="126" t="str">
        <f t="shared" si="39"/>
        <v>2025/12</v>
      </c>
      <c r="B1052" s="127" t="str">
        <f t="shared" si="40"/>
        <v>2025/12忠孝7樓</v>
      </c>
      <c r="C1052" s="138">
        <v>125</v>
      </c>
      <c r="D1052" s="139" t="s">
        <v>424</v>
      </c>
      <c r="E1052" s="484" t="s">
        <v>359</v>
      </c>
      <c r="F1052" s="484"/>
      <c r="G1052" s="484" t="s">
        <v>138</v>
      </c>
      <c r="H1052" s="484"/>
      <c r="I1052" s="484"/>
      <c r="J1052" s="484"/>
      <c r="K1052" s="140" t="s">
        <v>146</v>
      </c>
      <c r="L1052" s="141">
        <v>38</v>
      </c>
      <c r="M1052" s="123"/>
      <c r="N1052" s="117"/>
    </row>
    <row r="1053" spans="1:14" ht="17.25" thickBot="1">
      <c r="A1053" s="126" t="str">
        <f t="shared" si="39"/>
        <v>2025/12</v>
      </c>
      <c r="B1053" s="127" t="str">
        <f t="shared" si="40"/>
        <v>2025/12忠孝7樓</v>
      </c>
      <c r="C1053" s="138">
        <v>126</v>
      </c>
      <c r="D1053" s="139" t="s">
        <v>424</v>
      </c>
      <c r="E1053" s="484" t="s">
        <v>320</v>
      </c>
      <c r="F1053" s="484"/>
      <c r="G1053" s="484" t="s">
        <v>135</v>
      </c>
      <c r="H1053" s="484"/>
      <c r="I1053" s="484"/>
      <c r="J1053" s="484"/>
      <c r="K1053" s="140" t="s">
        <v>146</v>
      </c>
      <c r="L1053" s="141">
        <v>10</v>
      </c>
      <c r="M1053" s="123"/>
      <c r="N1053" s="117"/>
    </row>
    <row r="1054" spans="1:14" ht="17.25" thickBot="1">
      <c r="A1054" s="126" t="str">
        <f t="shared" si="39"/>
        <v>2025/12</v>
      </c>
      <c r="B1054" s="127" t="str">
        <f t="shared" si="40"/>
        <v>2025/12忠孝7樓</v>
      </c>
      <c r="C1054" s="138">
        <v>127</v>
      </c>
      <c r="D1054" s="139" t="s">
        <v>424</v>
      </c>
      <c r="E1054" s="484" t="s">
        <v>338</v>
      </c>
      <c r="F1054" s="484"/>
      <c r="G1054" s="484" t="s">
        <v>339</v>
      </c>
      <c r="H1054" s="484"/>
      <c r="I1054" s="484"/>
      <c r="J1054" s="484"/>
      <c r="K1054" s="140" t="s">
        <v>287</v>
      </c>
      <c r="L1054" s="141">
        <v>4003</v>
      </c>
      <c r="M1054" s="123"/>
      <c r="N1054" s="117"/>
    </row>
    <row r="1055" spans="1:14" ht="17.25" thickBot="1">
      <c r="A1055" s="126" t="str">
        <f t="shared" si="39"/>
        <v>2025/12</v>
      </c>
      <c r="B1055" s="127" t="str">
        <f t="shared" si="40"/>
        <v>2025/12忠孝7樓</v>
      </c>
      <c r="C1055" s="138">
        <v>128</v>
      </c>
      <c r="D1055" s="139" t="s">
        <v>424</v>
      </c>
      <c r="E1055" s="484" t="s">
        <v>326</v>
      </c>
      <c r="F1055" s="484"/>
      <c r="G1055" s="484" t="s">
        <v>327</v>
      </c>
      <c r="H1055" s="484"/>
      <c r="I1055" s="484"/>
      <c r="J1055" s="484"/>
      <c r="K1055" s="140" t="s">
        <v>287</v>
      </c>
      <c r="L1055" s="141">
        <v>17347</v>
      </c>
      <c r="M1055" s="123"/>
      <c r="N1055" s="117"/>
    </row>
    <row r="1056" spans="1:14" ht="17.25" thickBot="1">
      <c r="A1056" s="126" t="str">
        <f t="shared" ref="A1056:A1114" si="41">IFERROR(LEFT(B1056,7),"")</f>
        <v>2025/12</v>
      </c>
      <c r="B1056" s="127" t="str">
        <f t="shared" si="40"/>
        <v>2025/12忠孝7樓</v>
      </c>
      <c r="C1056" s="138">
        <v>129</v>
      </c>
      <c r="D1056" s="139" t="s">
        <v>424</v>
      </c>
      <c r="E1056" s="484" t="s">
        <v>328</v>
      </c>
      <c r="F1056" s="484"/>
      <c r="G1056" s="484" t="s">
        <v>329</v>
      </c>
      <c r="H1056" s="484"/>
      <c r="I1056" s="484"/>
      <c r="J1056" s="484"/>
      <c r="K1056" s="140" t="s">
        <v>287</v>
      </c>
      <c r="L1056" s="141">
        <v>36456</v>
      </c>
      <c r="M1056" s="123"/>
      <c r="N1056" s="117"/>
    </row>
    <row r="1057" spans="1:14" ht="17.25" thickBot="1">
      <c r="A1057" s="126" t="str">
        <f t="shared" si="41"/>
        <v>2025/12</v>
      </c>
      <c r="B1057" s="127" t="str">
        <f t="shared" si="40"/>
        <v>2025/12忠孝7樓</v>
      </c>
      <c r="C1057" s="138">
        <v>130</v>
      </c>
      <c r="D1057" s="139" t="s">
        <v>424</v>
      </c>
      <c r="E1057" s="484" t="s">
        <v>330</v>
      </c>
      <c r="F1057" s="484"/>
      <c r="G1057" s="484" t="s">
        <v>331</v>
      </c>
      <c r="H1057" s="484"/>
      <c r="I1057" s="484"/>
      <c r="J1057" s="484"/>
      <c r="K1057" s="140" t="s">
        <v>287</v>
      </c>
      <c r="L1057" s="141">
        <v>11716</v>
      </c>
      <c r="M1057" s="123"/>
      <c r="N1057" s="117"/>
    </row>
    <row r="1058" spans="1:14" ht="17.25" thickBot="1">
      <c r="A1058" s="126" t="str">
        <f t="shared" si="41"/>
        <v>2025/12</v>
      </c>
      <c r="B1058" s="127" t="str">
        <f t="shared" si="40"/>
        <v>2025/12忠孝7樓</v>
      </c>
      <c r="C1058" s="138">
        <v>131</v>
      </c>
      <c r="D1058" s="139" t="s">
        <v>424</v>
      </c>
      <c r="E1058" s="484" t="s">
        <v>739</v>
      </c>
      <c r="F1058" s="484"/>
      <c r="G1058" s="484" t="s">
        <v>740</v>
      </c>
      <c r="H1058" s="484"/>
      <c r="I1058" s="484"/>
      <c r="J1058" s="484"/>
      <c r="K1058" s="140" t="s">
        <v>287</v>
      </c>
      <c r="L1058" s="141">
        <v>600</v>
      </c>
      <c r="M1058" s="123"/>
      <c r="N1058" s="117"/>
    </row>
    <row r="1059" spans="1:14" ht="17.25" thickBot="1">
      <c r="A1059" s="126" t="str">
        <f t="shared" si="41"/>
        <v>2025/12</v>
      </c>
      <c r="B1059" s="127" t="str">
        <f t="shared" si="40"/>
        <v>2025/12忠孝7樓</v>
      </c>
      <c r="C1059" s="138">
        <v>132</v>
      </c>
      <c r="D1059" s="139" t="s">
        <v>424</v>
      </c>
      <c r="E1059" s="484" t="s">
        <v>302</v>
      </c>
      <c r="F1059" s="484"/>
      <c r="G1059" s="484" t="s">
        <v>303</v>
      </c>
      <c r="H1059" s="484"/>
      <c r="I1059" s="484"/>
      <c r="J1059" s="484"/>
      <c r="K1059" s="140" t="s">
        <v>304</v>
      </c>
      <c r="L1059" s="141">
        <v>2268</v>
      </c>
      <c r="M1059" s="123"/>
      <c r="N1059" s="117"/>
    </row>
    <row r="1060" spans="1:14" ht="17.25" thickBot="1">
      <c r="A1060" s="126" t="str">
        <f t="shared" si="41"/>
        <v>2025/12</v>
      </c>
      <c r="B1060" s="127" t="str">
        <f t="shared" si="40"/>
        <v>2025/12忠孝7樓</v>
      </c>
      <c r="C1060" s="138">
        <v>133</v>
      </c>
      <c r="D1060" s="139" t="s">
        <v>424</v>
      </c>
      <c r="E1060" s="484" t="s">
        <v>705</v>
      </c>
      <c r="F1060" s="484"/>
      <c r="G1060" s="484" t="s">
        <v>706</v>
      </c>
      <c r="H1060" s="484"/>
      <c r="I1060" s="484"/>
      <c r="J1060" s="484"/>
      <c r="K1060" s="140" t="s">
        <v>707</v>
      </c>
      <c r="L1060" s="141">
        <v>47775</v>
      </c>
      <c r="M1060" s="123"/>
      <c r="N1060" s="117"/>
    </row>
    <row r="1061" spans="1:14" ht="17.25" thickBot="1">
      <c r="A1061" s="126" t="str">
        <f t="shared" si="41"/>
        <v>2025/12</v>
      </c>
      <c r="B1061" s="127" t="str">
        <f t="shared" si="40"/>
        <v>2025/12忠孝7樓</v>
      </c>
      <c r="C1061" s="138">
        <v>134</v>
      </c>
      <c r="D1061" s="139" t="s">
        <v>424</v>
      </c>
      <c r="E1061" s="484" t="s">
        <v>279</v>
      </c>
      <c r="F1061" s="484"/>
      <c r="G1061" s="484" t="s">
        <v>280</v>
      </c>
      <c r="H1061" s="484"/>
      <c r="I1061" s="484"/>
      <c r="J1061" s="484"/>
      <c r="K1061" s="140" t="s">
        <v>281</v>
      </c>
      <c r="L1061" s="141">
        <v>407347</v>
      </c>
      <c r="M1061" s="123"/>
      <c r="N1061" s="117"/>
    </row>
    <row r="1062" spans="1:14" ht="17.25" thickBot="1">
      <c r="A1062" s="126" t="str">
        <f t="shared" si="41"/>
        <v>2025/12</v>
      </c>
      <c r="B1062" s="127" t="str">
        <f t="shared" si="40"/>
        <v>2025/12忠孝7樓</v>
      </c>
      <c r="C1062" s="138">
        <v>135</v>
      </c>
      <c r="D1062" s="139" t="s">
        <v>424</v>
      </c>
      <c r="E1062" s="484" t="s">
        <v>288</v>
      </c>
      <c r="F1062" s="484"/>
      <c r="G1062" s="484" t="s">
        <v>289</v>
      </c>
      <c r="H1062" s="484"/>
      <c r="I1062" s="484"/>
      <c r="J1062" s="484"/>
      <c r="K1062" s="140" t="s">
        <v>281</v>
      </c>
      <c r="L1062" s="141">
        <v>225001</v>
      </c>
      <c r="M1062" s="123"/>
      <c r="N1062" s="117"/>
    </row>
    <row r="1063" spans="1:14" ht="17.25" thickBot="1">
      <c r="A1063" s="126" t="str">
        <f t="shared" si="41"/>
        <v>2025/12</v>
      </c>
      <c r="B1063" s="127" t="str">
        <f t="shared" si="40"/>
        <v>2025/12忠孝7樓</v>
      </c>
      <c r="C1063" s="138">
        <v>136</v>
      </c>
      <c r="D1063" s="139" t="s">
        <v>424</v>
      </c>
      <c r="E1063" s="484" t="s">
        <v>332</v>
      </c>
      <c r="F1063" s="484"/>
      <c r="G1063" s="484" t="s">
        <v>333</v>
      </c>
      <c r="H1063" s="484"/>
      <c r="I1063" s="484"/>
      <c r="J1063" s="484"/>
      <c r="K1063" s="140" t="s">
        <v>334</v>
      </c>
      <c r="L1063" s="141">
        <v>73551</v>
      </c>
      <c r="M1063" s="123"/>
      <c r="N1063" s="117"/>
    </row>
    <row r="1064" spans="1:14" ht="17.25" thickBot="1">
      <c r="A1064" s="126" t="str">
        <f t="shared" si="41"/>
        <v>2025/12</v>
      </c>
      <c r="B1064" s="127" t="str">
        <f t="shared" si="40"/>
        <v>2025/12忠孝7樓</v>
      </c>
      <c r="C1064" s="138">
        <v>137</v>
      </c>
      <c r="D1064" s="139" t="s">
        <v>424</v>
      </c>
      <c r="E1064" s="484" t="s">
        <v>335</v>
      </c>
      <c r="F1064" s="484"/>
      <c r="G1064" s="484" t="s">
        <v>336</v>
      </c>
      <c r="H1064" s="484"/>
      <c r="I1064" s="484"/>
      <c r="J1064" s="484"/>
      <c r="K1064" s="140" t="s">
        <v>337</v>
      </c>
      <c r="L1064" s="141">
        <v>9400</v>
      </c>
      <c r="M1064" s="123"/>
      <c r="N1064" s="117"/>
    </row>
    <row r="1065" spans="1:14" ht="17.25" thickBot="1">
      <c r="A1065" s="126" t="str">
        <f t="shared" si="41"/>
        <v>2025/12</v>
      </c>
      <c r="B1065" s="127" t="str">
        <f t="shared" si="40"/>
        <v>2025/12忠孝7樓</v>
      </c>
      <c r="C1065" s="138">
        <v>138</v>
      </c>
      <c r="D1065" s="139" t="s">
        <v>424</v>
      </c>
      <c r="E1065" s="484" t="s">
        <v>447</v>
      </c>
      <c r="F1065" s="484"/>
      <c r="G1065" s="484" t="s">
        <v>448</v>
      </c>
      <c r="H1065" s="484"/>
      <c r="I1065" s="484"/>
      <c r="J1065" s="484"/>
      <c r="K1065" s="140" t="s">
        <v>445</v>
      </c>
      <c r="L1065" s="141">
        <v>20</v>
      </c>
      <c r="M1065" s="123"/>
      <c r="N1065" s="117"/>
    </row>
    <row r="1066" spans="1:14" ht="17.25" thickBot="1">
      <c r="A1066" s="126" t="str">
        <f t="shared" si="41"/>
        <v>2025/12</v>
      </c>
      <c r="B1066" s="127" t="str">
        <f t="shared" si="40"/>
        <v>2025/12忠孝7樓</v>
      </c>
      <c r="C1066" s="138">
        <v>139</v>
      </c>
      <c r="D1066" s="139" t="s">
        <v>424</v>
      </c>
      <c r="E1066" s="484" t="s">
        <v>443</v>
      </c>
      <c r="F1066" s="484"/>
      <c r="G1066" s="484" t="s">
        <v>444</v>
      </c>
      <c r="H1066" s="484"/>
      <c r="I1066" s="484"/>
      <c r="J1066" s="484"/>
      <c r="K1066" s="140" t="s">
        <v>445</v>
      </c>
      <c r="L1066" s="141">
        <v>40</v>
      </c>
      <c r="M1066" s="123"/>
      <c r="N1066" s="117"/>
    </row>
    <row r="1067" spans="1:14" ht="17.25" thickBot="1">
      <c r="A1067" s="126" t="str">
        <f t="shared" si="41"/>
        <v>2025/12</v>
      </c>
      <c r="B1067" s="127" t="str">
        <f t="shared" si="40"/>
        <v>2025/12忠孝7樓</v>
      </c>
      <c r="C1067" s="138">
        <v>140</v>
      </c>
      <c r="D1067" s="139" t="s">
        <v>424</v>
      </c>
      <c r="E1067" s="484" t="s">
        <v>351</v>
      </c>
      <c r="F1067" s="484"/>
      <c r="G1067" s="484" t="s">
        <v>352</v>
      </c>
      <c r="H1067" s="484"/>
      <c r="I1067" s="484"/>
      <c r="J1067" s="484"/>
      <c r="K1067" s="140" t="s">
        <v>353</v>
      </c>
      <c r="L1067" s="141">
        <v>4</v>
      </c>
      <c r="M1067" s="123"/>
      <c r="N1067" s="117"/>
    </row>
    <row r="1068" spans="1:14" ht="17.25" thickBot="1">
      <c r="A1068" s="126" t="str">
        <f t="shared" si="41"/>
        <v>2025/12</v>
      </c>
      <c r="B1068" s="127" t="str">
        <f t="shared" si="40"/>
        <v>2025/12忠孝7樓</v>
      </c>
      <c r="C1068" s="138">
        <v>141</v>
      </c>
      <c r="D1068" s="139" t="s">
        <v>424</v>
      </c>
      <c r="E1068" s="484" t="s">
        <v>357</v>
      </c>
      <c r="F1068" s="484"/>
      <c r="G1068" s="484" t="s">
        <v>358</v>
      </c>
      <c r="H1068" s="484"/>
      <c r="I1068" s="484"/>
      <c r="J1068" s="484"/>
      <c r="K1068" s="140" t="s">
        <v>353</v>
      </c>
      <c r="L1068" s="141">
        <v>36</v>
      </c>
      <c r="M1068" s="123"/>
      <c r="N1068" s="117"/>
    </row>
    <row r="1069" spans="1:14" ht="17.25" thickBot="1">
      <c r="A1069" s="126" t="str">
        <f t="shared" si="41"/>
        <v>2025/12</v>
      </c>
      <c r="B1069" s="127" t="str">
        <f t="shared" si="40"/>
        <v>2025/12忠孝7樓</v>
      </c>
      <c r="C1069" s="138">
        <v>142</v>
      </c>
      <c r="D1069" s="139" t="s">
        <v>424</v>
      </c>
      <c r="E1069" s="484" t="s">
        <v>449</v>
      </c>
      <c r="F1069" s="484"/>
      <c r="G1069" s="484" t="s">
        <v>450</v>
      </c>
      <c r="H1069" s="484"/>
      <c r="I1069" s="484"/>
      <c r="J1069" s="484"/>
      <c r="K1069" s="140" t="s">
        <v>445</v>
      </c>
      <c r="L1069" s="141">
        <v>4</v>
      </c>
      <c r="M1069" s="123"/>
      <c r="N1069" s="117"/>
    </row>
    <row r="1070" spans="1:14" ht="17.25" thickBot="1">
      <c r="A1070" s="126" t="str">
        <f t="shared" si="41"/>
        <v>2025/12</v>
      </c>
      <c r="B1070" s="127" t="str">
        <f t="shared" si="40"/>
        <v>2025/12忠孝7樓</v>
      </c>
      <c r="C1070" s="138">
        <v>143</v>
      </c>
      <c r="D1070" s="139" t="s">
        <v>424</v>
      </c>
      <c r="E1070" s="484" t="s">
        <v>340</v>
      </c>
      <c r="F1070" s="484"/>
      <c r="G1070" s="484" t="s">
        <v>341</v>
      </c>
      <c r="H1070" s="484"/>
      <c r="I1070" s="484"/>
      <c r="J1070" s="484"/>
      <c r="K1070" s="140" t="s">
        <v>342</v>
      </c>
      <c r="L1070" s="141">
        <v>4</v>
      </c>
      <c r="M1070" s="123"/>
      <c r="N1070" s="117"/>
    </row>
    <row r="1071" spans="1:14" ht="17.25" thickBot="1">
      <c r="A1071" s="126" t="str">
        <f t="shared" si="41"/>
        <v>2025/12</v>
      </c>
      <c r="B1071" s="127" t="str">
        <f t="shared" si="40"/>
        <v>2025/12忠孝7樓</v>
      </c>
      <c r="C1071" s="138">
        <v>144</v>
      </c>
      <c r="D1071" s="139" t="s">
        <v>424</v>
      </c>
      <c r="E1071" s="484" t="s">
        <v>697</v>
      </c>
      <c r="F1071" s="484"/>
      <c r="G1071" s="484" t="s">
        <v>698</v>
      </c>
      <c r="H1071" s="484"/>
      <c r="I1071" s="484"/>
      <c r="J1071" s="484"/>
      <c r="K1071" s="140" t="s">
        <v>699</v>
      </c>
      <c r="L1071" s="141">
        <v>2</v>
      </c>
      <c r="M1071" s="123"/>
      <c r="N1071" s="117"/>
    </row>
    <row r="1072" spans="1:14" ht="17.25" thickBot="1">
      <c r="A1072" s="126" t="str">
        <f t="shared" si="41"/>
        <v>2025/12</v>
      </c>
      <c r="B1072" s="127" t="str">
        <f t="shared" si="40"/>
        <v>2025/12忠孝7樓</v>
      </c>
      <c r="C1072" s="138">
        <v>145</v>
      </c>
      <c r="D1072" s="139" t="s">
        <v>424</v>
      </c>
      <c r="E1072" s="484" t="s">
        <v>683</v>
      </c>
      <c r="F1072" s="484"/>
      <c r="G1072" s="484" t="s">
        <v>684</v>
      </c>
      <c r="H1072" s="484"/>
      <c r="I1072" s="484"/>
      <c r="J1072" s="484"/>
      <c r="K1072" s="140" t="s">
        <v>685</v>
      </c>
      <c r="L1072" s="141">
        <v>8</v>
      </c>
      <c r="M1072" s="123"/>
      <c r="N1072" s="117"/>
    </row>
    <row r="1073" spans="1:14" ht="17.25" thickBot="1">
      <c r="A1073" s="126" t="str">
        <f t="shared" si="41"/>
        <v>2025/12</v>
      </c>
      <c r="B1073" s="127" t="str">
        <f t="shared" si="40"/>
        <v>2025/12忠孝7樓</v>
      </c>
      <c r="C1073" s="138">
        <v>146</v>
      </c>
      <c r="D1073" s="139" t="s">
        <v>424</v>
      </c>
      <c r="E1073" s="484" t="s">
        <v>686</v>
      </c>
      <c r="F1073" s="484"/>
      <c r="G1073" s="484" t="s">
        <v>687</v>
      </c>
      <c r="H1073" s="484"/>
      <c r="I1073" s="484"/>
      <c r="J1073" s="484"/>
      <c r="K1073" s="140" t="s">
        <v>688</v>
      </c>
      <c r="L1073" s="141">
        <v>35</v>
      </c>
      <c r="M1073" s="123"/>
      <c r="N1073" s="117"/>
    </row>
    <row r="1074" spans="1:14" ht="17.25" thickBot="1">
      <c r="A1074" s="126" t="str">
        <f t="shared" si="41"/>
        <v>2025/12</v>
      </c>
      <c r="B1074" s="127" t="str">
        <f t="shared" si="40"/>
        <v>2025/12忠孝7樓</v>
      </c>
      <c r="C1074" s="138">
        <v>147</v>
      </c>
      <c r="D1074" s="139" t="s">
        <v>424</v>
      </c>
      <c r="E1074" s="484" t="s">
        <v>354</v>
      </c>
      <c r="F1074" s="484"/>
      <c r="G1074" s="484" t="s">
        <v>741</v>
      </c>
      <c r="H1074" s="484"/>
      <c r="I1074" s="484"/>
      <c r="J1074" s="484"/>
      <c r="K1074" s="140" t="s">
        <v>356</v>
      </c>
      <c r="L1074" s="141">
        <v>9</v>
      </c>
      <c r="M1074" s="123"/>
      <c r="N1074" s="117"/>
    </row>
    <row r="1075" spans="1:14" ht="17.25" thickBot="1">
      <c r="A1075" s="126" t="str">
        <f t="shared" si="41"/>
        <v>2025/12</v>
      </c>
      <c r="B1075" s="127" t="str">
        <f t="shared" si="40"/>
        <v>2025/12忠孝7樓</v>
      </c>
      <c r="C1075" s="138">
        <v>148</v>
      </c>
      <c r="D1075" s="139" t="s">
        <v>424</v>
      </c>
      <c r="E1075" s="484" t="s">
        <v>425</v>
      </c>
      <c r="F1075" s="484"/>
      <c r="G1075" s="484" t="s">
        <v>426</v>
      </c>
      <c r="H1075" s="484"/>
      <c r="I1075" s="484"/>
      <c r="J1075" s="484"/>
      <c r="K1075" s="140" t="s">
        <v>269</v>
      </c>
      <c r="L1075" s="141">
        <v>5</v>
      </c>
      <c r="M1075" s="123"/>
      <c r="N1075" s="117"/>
    </row>
    <row r="1076" spans="1:14" ht="17.25" thickBot="1">
      <c r="A1076" s="126" t="str">
        <f t="shared" si="41"/>
        <v>2025/12</v>
      </c>
      <c r="B1076" s="127" t="str">
        <f t="shared" si="40"/>
        <v>2025/12忠孝7樓</v>
      </c>
      <c r="C1076" s="138">
        <v>149</v>
      </c>
      <c r="D1076" s="139" t="s">
        <v>424</v>
      </c>
      <c r="E1076" s="484" t="s">
        <v>309</v>
      </c>
      <c r="F1076" s="484"/>
      <c r="G1076" s="484" t="s">
        <v>310</v>
      </c>
      <c r="H1076" s="484"/>
      <c r="I1076" s="484"/>
      <c r="J1076" s="484"/>
      <c r="K1076" s="140" t="s">
        <v>269</v>
      </c>
      <c r="L1076" s="141">
        <v>219</v>
      </c>
      <c r="M1076" s="123"/>
      <c r="N1076" s="117"/>
    </row>
    <row r="1077" spans="1:14" ht="17.25" thickBot="1">
      <c r="A1077" s="126" t="str">
        <f t="shared" si="41"/>
        <v>2025/12</v>
      </c>
      <c r="B1077" s="127" t="str">
        <f t="shared" si="40"/>
        <v>2025/12忠孝7樓</v>
      </c>
      <c r="C1077" s="138">
        <v>150</v>
      </c>
      <c r="D1077" s="139" t="s">
        <v>424</v>
      </c>
      <c r="E1077" s="484" t="s">
        <v>267</v>
      </c>
      <c r="F1077" s="484"/>
      <c r="G1077" s="484" t="s">
        <v>268</v>
      </c>
      <c r="H1077" s="484"/>
      <c r="I1077" s="484"/>
      <c r="J1077" s="484"/>
      <c r="K1077" s="140" t="s">
        <v>269</v>
      </c>
      <c r="L1077" s="141">
        <v>54</v>
      </c>
      <c r="M1077" s="123"/>
      <c r="N1077" s="117"/>
    </row>
    <row r="1078" spans="1:14" ht="17.25" thickBot="1">
      <c r="A1078" s="126" t="str">
        <f t="shared" si="41"/>
        <v>2025/12</v>
      </c>
      <c r="B1078" s="127" t="str">
        <f t="shared" si="40"/>
        <v>2025/12忠孝7樓</v>
      </c>
      <c r="C1078" s="138">
        <v>151</v>
      </c>
      <c r="D1078" s="139" t="s">
        <v>424</v>
      </c>
      <c r="E1078" s="484" t="s">
        <v>315</v>
      </c>
      <c r="F1078" s="484"/>
      <c r="G1078" s="484" t="s">
        <v>316</v>
      </c>
      <c r="H1078" s="484"/>
      <c r="I1078" s="484"/>
      <c r="J1078" s="484"/>
      <c r="K1078" s="140" t="s">
        <v>296</v>
      </c>
      <c r="L1078" s="141">
        <v>6</v>
      </c>
      <c r="M1078" s="123"/>
      <c r="N1078" s="117"/>
    </row>
    <row r="1079" spans="1:14" ht="17.25" thickBot="1">
      <c r="A1079" s="126" t="str">
        <f t="shared" si="41"/>
        <v>2025/12</v>
      </c>
      <c r="B1079" s="127" t="str">
        <f t="shared" si="40"/>
        <v>2025/12忠孝7樓</v>
      </c>
      <c r="C1079" s="138">
        <v>152</v>
      </c>
      <c r="D1079" s="139" t="s">
        <v>424</v>
      </c>
      <c r="E1079" s="484" t="s">
        <v>294</v>
      </c>
      <c r="F1079" s="484"/>
      <c r="G1079" s="484" t="s">
        <v>295</v>
      </c>
      <c r="H1079" s="484"/>
      <c r="I1079" s="484"/>
      <c r="J1079" s="484"/>
      <c r="K1079" s="140" t="s">
        <v>296</v>
      </c>
      <c r="L1079" s="141">
        <v>10</v>
      </c>
      <c r="M1079" s="123"/>
      <c r="N1079" s="117"/>
    </row>
    <row r="1080" spans="1:14" ht="17.25" thickBot="1">
      <c r="A1080" s="126" t="str">
        <f t="shared" si="41"/>
        <v>2025/12</v>
      </c>
      <c r="B1080" s="127" t="str">
        <f t="shared" si="40"/>
        <v>2025/12忠孝7樓</v>
      </c>
      <c r="C1080" s="138">
        <v>153</v>
      </c>
      <c r="D1080" s="139" t="s">
        <v>424</v>
      </c>
      <c r="E1080" s="484" t="s">
        <v>736</v>
      </c>
      <c r="F1080" s="484"/>
      <c r="G1080" s="484" t="s">
        <v>737</v>
      </c>
      <c r="H1080" s="484"/>
      <c r="I1080" s="484"/>
      <c r="J1080" s="484"/>
      <c r="K1080" s="140" t="s">
        <v>738</v>
      </c>
      <c r="L1080" s="141">
        <v>2</v>
      </c>
      <c r="M1080" s="123"/>
      <c r="N1080" s="117"/>
    </row>
    <row r="1081" spans="1:14" ht="17.25" thickBot="1">
      <c r="A1081" s="126" t="str">
        <f t="shared" si="41"/>
        <v>2025/12</v>
      </c>
      <c r="B1081" s="127" t="str">
        <f t="shared" ref="B1081:B1087" si="42">"2025/12"&amp;D1081</f>
        <v>2025/12忠孝7樓</v>
      </c>
      <c r="C1081" s="138">
        <v>154</v>
      </c>
      <c r="D1081" s="139" t="s">
        <v>424</v>
      </c>
      <c r="E1081" s="484" t="s">
        <v>237</v>
      </c>
      <c r="F1081" s="484"/>
      <c r="G1081" s="484" t="s">
        <v>238</v>
      </c>
      <c r="H1081" s="484"/>
      <c r="I1081" s="484"/>
      <c r="J1081" s="484"/>
      <c r="K1081" s="140" t="s">
        <v>239</v>
      </c>
      <c r="L1081" s="141">
        <v>1154</v>
      </c>
      <c r="M1081" s="123"/>
      <c r="N1081" s="117"/>
    </row>
    <row r="1082" spans="1:14" ht="17.25" thickBot="1">
      <c r="A1082" s="126" t="str">
        <f t="shared" si="41"/>
        <v>2025/12</v>
      </c>
      <c r="B1082" s="127" t="str">
        <f t="shared" si="42"/>
        <v>2025/12忠孝7樓</v>
      </c>
      <c r="C1082" s="138">
        <v>155</v>
      </c>
      <c r="D1082" s="139" t="s">
        <v>424</v>
      </c>
      <c r="E1082" s="484" t="s">
        <v>240</v>
      </c>
      <c r="F1082" s="484"/>
      <c r="G1082" s="484" t="s">
        <v>241</v>
      </c>
      <c r="H1082" s="484"/>
      <c r="I1082" s="484"/>
      <c r="J1082" s="484"/>
      <c r="K1082" s="140" t="s">
        <v>239</v>
      </c>
      <c r="L1082" s="141">
        <v>1154</v>
      </c>
      <c r="M1082" s="123"/>
      <c r="N1082" s="117"/>
    </row>
    <row r="1083" spans="1:14" ht="17.25" thickBot="1">
      <c r="A1083" s="126" t="str">
        <f t="shared" si="41"/>
        <v>2025/12</v>
      </c>
      <c r="B1083" s="127" t="str">
        <f t="shared" si="42"/>
        <v>2025/12忠孝7樓</v>
      </c>
      <c r="C1083" s="138">
        <v>156</v>
      </c>
      <c r="D1083" s="139" t="s">
        <v>424</v>
      </c>
      <c r="E1083" s="484" t="s">
        <v>242</v>
      </c>
      <c r="F1083" s="484"/>
      <c r="G1083" s="484" t="s">
        <v>243</v>
      </c>
      <c r="H1083" s="484"/>
      <c r="I1083" s="484"/>
      <c r="J1083" s="484"/>
      <c r="K1083" s="140" t="s">
        <v>239</v>
      </c>
      <c r="L1083" s="141">
        <v>1154</v>
      </c>
      <c r="M1083" s="123"/>
      <c r="N1083" s="117"/>
    </row>
    <row r="1084" spans="1:14" ht="17.25" thickBot="1">
      <c r="A1084" s="126" t="str">
        <f t="shared" si="41"/>
        <v>2025/12</v>
      </c>
      <c r="B1084" s="127" t="str">
        <f t="shared" si="42"/>
        <v>2025/12忠孝7樓</v>
      </c>
      <c r="C1084" s="138">
        <v>157</v>
      </c>
      <c r="D1084" s="139" t="s">
        <v>424</v>
      </c>
      <c r="E1084" s="484" t="s">
        <v>244</v>
      </c>
      <c r="F1084" s="484"/>
      <c r="G1084" s="484" t="s">
        <v>245</v>
      </c>
      <c r="H1084" s="484"/>
      <c r="I1084" s="484"/>
      <c r="J1084" s="484"/>
      <c r="K1084" s="140" t="s">
        <v>725</v>
      </c>
      <c r="L1084" s="141">
        <v>17282</v>
      </c>
      <c r="M1084" s="123"/>
      <c r="N1084" s="117"/>
    </row>
    <row r="1085" spans="1:14" ht="17.25" thickBot="1">
      <c r="A1085" s="126" t="str">
        <f t="shared" si="41"/>
        <v>2025/12</v>
      </c>
      <c r="B1085" s="127" t="str">
        <f t="shared" si="42"/>
        <v>2025/12忠孝7樓</v>
      </c>
      <c r="C1085" s="138">
        <v>158</v>
      </c>
      <c r="D1085" s="139" t="s">
        <v>424</v>
      </c>
      <c r="E1085" s="484" t="s">
        <v>246</v>
      </c>
      <c r="F1085" s="484"/>
      <c r="G1085" s="484" t="s">
        <v>247</v>
      </c>
      <c r="H1085" s="484"/>
      <c r="I1085" s="484"/>
      <c r="J1085" s="484"/>
      <c r="K1085" s="140" t="s">
        <v>725</v>
      </c>
      <c r="L1085" s="141">
        <v>17282</v>
      </c>
      <c r="M1085" s="123"/>
      <c r="N1085" s="117"/>
    </row>
    <row r="1086" spans="1:14" ht="17.25" thickBot="1">
      <c r="A1086" s="126" t="str">
        <f t="shared" si="41"/>
        <v>2025/12</v>
      </c>
      <c r="B1086" s="127" t="str">
        <f t="shared" si="42"/>
        <v>2025/12忠孝7樓</v>
      </c>
      <c r="C1086" s="138">
        <v>159</v>
      </c>
      <c r="D1086" s="139" t="s">
        <v>424</v>
      </c>
      <c r="E1086" s="484" t="s">
        <v>248</v>
      </c>
      <c r="F1086" s="484"/>
      <c r="G1086" s="484" t="s">
        <v>249</v>
      </c>
      <c r="H1086" s="484"/>
      <c r="I1086" s="484"/>
      <c r="J1086" s="484"/>
      <c r="K1086" s="140" t="s">
        <v>725</v>
      </c>
      <c r="L1086" s="141">
        <v>17282</v>
      </c>
      <c r="M1086" s="123"/>
      <c r="N1086" s="117"/>
    </row>
    <row r="1087" spans="1:14" ht="17.25" thickBot="1">
      <c r="A1087" s="126" t="str">
        <f t="shared" si="41"/>
        <v>2025/12</v>
      </c>
      <c r="B1087" s="127" t="str">
        <f t="shared" si="42"/>
        <v>2025/12忠孝7樓</v>
      </c>
      <c r="C1087" s="138">
        <v>160</v>
      </c>
      <c r="D1087" s="139" t="s">
        <v>424</v>
      </c>
      <c r="E1087" s="484" t="s">
        <v>250</v>
      </c>
      <c r="F1087" s="484"/>
      <c r="G1087" s="484" t="s">
        <v>251</v>
      </c>
      <c r="H1087" s="484"/>
      <c r="I1087" s="484"/>
      <c r="J1087" s="484"/>
      <c r="K1087" s="140" t="s">
        <v>725</v>
      </c>
      <c r="L1087" s="141">
        <v>17282</v>
      </c>
      <c r="M1087" s="123"/>
      <c r="N1087" s="117"/>
    </row>
    <row r="1088" spans="1:14" ht="17.25" thickBot="1">
      <c r="A1088" s="126" t="str">
        <f t="shared" si="41"/>
        <v>2025/12</v>
      </c>
      <c r="B1088" s="127" t="str">
        <f>"2025/12"&amp;D1088</f>
        <v>2025/12忠孝國際醫學3樓</v>
      </c>
      <c r="C1088" s="138">
        <v>161</v>
      </c>
      <c r="D1088" s="139" t="s">
        <v>850</v>
      </c>
      <c r="E1088" s="484" t="s">
        <v>392</v>
      </c>
      <c r="F1088" s="484"/>
      <c r="G1088" s="484" t="s">
        <v>393</v>
      </c>
      <c r="H1088" s="484"/>
      <c r="I1088" s="484"/>
      <c r="J1088" s="484"/>
      <c r="K1088" s="140" t="s">
        <v>382</v>
      </c>
      <c r="L1088" s="141">
        <v>1038</v>
      </c>
      <c r="M1088" s="123"/>
      <c r="N1088" s="117"/>
    </row>
    <row r="1089" spans="1:14" ht="17.25" thickBot="1">
      <c r="A1089" s="126" t="str">
        <f t="shared" si="41"/>
        <v>2025/12</v>
      </c>
      <c r="B1089" s="127" t="str">
        <f t="shared" ref="B1089:B1114" si="43">"2025/12"&amp;D1089</f>
        <v>2025/12忠孝國際醫學3樓</v>
      </c>
      <c r="C1089" s="138">
        <v>162</v>
      </c>
      <c r="D1089" s="139" t="s">
        <v>850</v>
      </c>
      <c r="E1089" s="484" t="s">
        <v>380</v>
      </c>
      <c r="F1089" s="484"/>
      <c r="G1089" s="484" t="s">
        <v>381</v>
      </c>
      <c r="H1089" s="484"/>
      <c r="I1089" s="484"/>
      <c r="J1089" s="484"/>
      <c r="K1089" s="140" t="s">
        <v>382</v>
      </c>
      <c r="L1089" s="141">
        <v>1289.5</v>
      </c>
      <c r="M1089" s="123"/>
      <c r="N1089" s="117"/>
    </row>
    <row r="1090" spans="1:14" ht="17.25" thickBot="1">
      <c r="A1090" s="126" t="str">
        <f t="shared" si="41"/>
        <v>2025/12</v>
      </c>
      <c r="B1090" s="127" t="str">
        <f t="shared" si="43"/>
        <v>2025/12忠孝國際醫學3樓</v>
      </c>
      <c r="C1090" s="138">
        <v>163</v>
      </c>
      <c r="D1090" s="139" t="s">
        <v>850</v>
      </c>
      <c r="E1090" s="484" t="s">
        <v>413</v>
      </c>
      <c r="F1090" s="484"/>
      <c r="G1090" s="484" t="s">
        <v>674</v>
      </c>
      <c r="H1090" s="484"/>
      <c r="I1090" s="484"/>
      <c r="J1090" s="484"/>
      <c r="K1090" s="140" t="s">
        <v>410</v>
      </c>
      <c r="L1090" s="141">
        <v>9</v>
      </c>
      <c r="M1090" s="123"/>
      <c r="N1090" s="117"/>
    </row>
    <row r="1091" spans="1:14" ht="17.25" thickBot="1">
      <c r="A1091" s="126" t="str">
        <f t="shared" si="41"/>
        <v>2025/12</v>
      </c>
      <c r="B1091" s="127" t="str">
        <f t="shared" si="43"/>
        <v>2025/12忠孝國際醫學3樓</v>
      </c>
      <c r="C1091" s="138">
        <v>164</v>
      </c>
      <c r="D1091" s="139" t="s">
        <v>850</v>
      </c>
      <c r="E1091" s="484" t="s">
        <v>360</v>
      </c>
      <c r="F1091" s="484"/>
      <c r="G1091" s="484" t="s">
        <v>361</v>
      </c>
      <c r="H1091" s="484"/>
      <c r="I1091" s="484"/>
      <c r="J1091" s="484"/>
      <c r="K1091" s="140" t="s">
        <v>362</v>
      </c>
      <c r="L1091" s="141">
        <v>23</v>
      </c>
      <c r="M1091" s="123"/>
      <c r="N1091" s="117"/>
    </row>
    <row r="1092" spans="1:14" ht="17.25" thickBot="1">
      <c r="A1092" s="126" t="str">
        <f t="shared" si="41"/>
        <v>2025/12</v>
      </c>
      <c r="B1092" s="127" t="str">
        <f t="shared" si="43"/>
        <v>2025/12忠孝國際醫學3樓</v>
      </c>
      <c r="C1092" s="138">
        <v>165</v>
      </c>
      <c r="D1092" s="139" t="s">
        <v>850</v>
      </c>
      <c r="E1092" s="484" t="s">
        <v>383</v>
      </c>
      <c r="F1092" s="484"/>
      <c r="G1092" s="484" t="s">
        <v>384</v>
      </c>
      <c r="H1092" s="484"/>
      <c r="I1092" s="484"/>
      <c r="J1092" s="484"/>
      <c r="K1092" s="140" t="s">
        <v>385</v>
      </c>
      <c r="L1092" s="141">
        <v>511</v>
      </c>
      <c r="M1092" s="123"/>
      <c r="N1092" s="117"/>
    </row>
    <row r="1093" spans="1:14" ht="17.25" thickBot="1">
      <c r="A1093" s="126" t="str">
        <f t="shared" si="41"/>
        <v>2025/12</v>
      </c>
      <c r="B1093" s="127" t="str">
        <f t="shared" si="43"/>
        <v>2025/12忠孝國際醫學3樓</v>
      </c>
      <c r="C1093" s="138">
        <v>166</v>
      </c>
      <c r="D1093" s="139" t="s">
        <v>850</v>
      </c>
      <c r="E1093" s="484" t="s">
        <v>394</v>
      </c>
      <c r="F1093" s="484"/>
      <c r="G1093" s="484" t="s">
        <v>395</v>
      </c>
      <c r="H1093" s="484"/>
      <c r="I1093" s="484"/>
      <c r="J1093" s="484"/>
      <c r="K1093" s="140" t="s">
        <v>272</v>
      </c>
      <c r="L1093" s="141">
        <v>11</v>
      </c>
      <c r="M1093" s="123"/>
      <c r="N1093" s="117"/>
    </row>
    <row r="1094" spans="1:14" ht="17.25" thickBot="1">
      <c r="A1094" s="126" t="str">
        <f t="shared" si="41"/>
        <v>2025/12</v>
      </c>
      <c r="B1094" s="127" t="str">
        <f t="shared" si="43"/>
        <v>2025/12忠孝國際醫學3樓</v>
      </c>
      <c r="C1094" s="138">
        <v>167</v>
      </c>
      <c r="D1094" s="139" t="s">
        <v>850</v>
      </c>
      <c r="E1094" s="484" t="s">
        <v>396</v>
      </c>
      <c r="F1094" s="484"/>
      <c r="G1094" s="484" t="s">
        <v>397</v>
      </c>
      <c r="H1094" s="484"/>
      <c r="I1094" s="484"/>
      <c r="J1094" s="484"/>
      <c r="K1094" s="140" t="s">
        <v>398</v>
      </c>
      <c r="L1094" s="141">
        <v>4</v>
      </c>
      <c r="M1094" s="123"/>
      <c r="N1094" s="117"/>
    </row>
    <row r="1095" spans="1:14" ht="17.25" thickBot="1">
      <c r="A1095" s="126" t="str">
        <f t="shared" si="41"/>
        <v>2025/12</v>
      </c>
      <c r="B1095" s="127" t="str">
        <f t="shared" si="43"/>
        <v>2025/12忠孝國際醫學3樓</v>
      </c>
      <c r="C1095" s="138">
        <v>168</v>
      </c>
      <c r="D1095" s="139" t="s">
        <v>850</v>
      </c>
      <c r="E1095" s="484" t="s">
        <v>403</v>
      </c>
      <c r="F1095" s="484"/>
      <c r="G1095" s="484" t="s">
        <v>404</v>
      </c>
      <c r="H1095" s="484"/>
      <c r="I1095" s="484"/>
      <c r="J1095" s="484"/>
      <c r="K1095" s="140" t="s">
        <v>405</v>
      </c>
      <c r="L1095" s="141">
        <v>7</v>
      </c>
      <c r="M1095" s="123"/>
      <c r="N1095" s="117"/>
    </row>
    <row r="1096" spans="1:14" ht="17.25" thickBot="1">
      <c r="A1096" s="126" t="str">
        <f t="shared" si="41"/>
        <v>2025/12</v>
      </c>
      <c r="B1096" s="127" t="str">
        <f t="shared" si="43"/>
        <v>2025/12忠孝國際醫學3樓</v>
      </c>
      <c r="C1096" s="138">
        <v>169</v>
      </c>
      <c r="D1096" s="139" t="s">
        <v>850</v>
      </c>
      <c r="E1096" s="484" t="s">
        <v>406</v>
      </c>
      <c r="F1096" s="484"/>
      <c r="G1096" s="484" t="s">
        <v>407</v>
      </c>
      <c r="H1096" s="484"/>
      <c r="I1096" s="484"/>
      <c r="J1096" s="484"/>
      <c r="K1096" s="140" t="s">
        <v>385</v>
      </c>
      <c r="L1096" s="141">
        <v>7</v>
      </c>
      <c r="M1096" s="123"/>
      <c r="N1096" s="117"/>
    </row>
    <row r="1097" spans="1:14" ht="17.25" thickBot="1">
      <c r="A1097" s="126" t="str">
        <f t="shared" si="41"/>
        <v>2025/12</v>
      </c>
      <c r="B1097" s="127" t="str">
        <f t="shared" si="43"/>
        <v>2025/12忠孝國際醫學3樓</v>
      </c>
      <c r="C1097" s="138">
        <v>170</v>
      </c>
      <c r="D1097" s="139" t="s">
        <v>850</v>
      </c>
      <c r="E1097" s="484" t="s">
        <v>408</v>
      </c>
      <c r="F1097" s="484"/>
      <c r="G1097" s="484" t="s">
        <v>409</v>
      </c>
      <c r="H1097" s="484"/>
      <c r="I1097" s="484"/>
      <c r="J1097" s="484"/>
      <c r="K1097" s="140" t="s">
        <v>410</v>
      </c>
      <c r="L1097" s="141">
        <v>10</v>
      </c>
      <c r="M1097" s="123"/>
      <c r="N1097" s="117"/>
    </row>
    <row r="1098" spans="1:14" ht="17.25" thickBot="1">
      <c r="A1098" s="126" t="str">
        <f t="shared" si="41"/>
        <v>2025/12</v>
      </c>
      <c r="B1098" s="127" t="str">
        <f t="shared" si="43"/>
        <v>2025/12忠孝國際醫學3樓</v>
      </c>
      <c r="C1098" s="138">
        <v>171</v>
      </c>
      <c r="D1098" s="139" t="s">
        <v>850</v>
      </c>
      <c r="E1098" s="484" t="s">
        <v>255</v>
      </c>
      <c r="F1098" s="484"/>
      <c r="G1098" s="484" t="s">
        <v>256</v>
      </c>
      <c r="H1098" s="484"/>
      <c r="I1098" s="484"/>
      <c r="J1098" s="484"/>
      <c r="K1098" s="140" t="s">
        <v>720</v>
      </c>
      <c r="L1098" s="141">
        <v>494</v>
      </c>
      <c r="M1098" s="123"/>
      <c r="N1098" s="117"/>
    </row>
    <row r="1099" spans="1:14" ht="17.25" thickBot="1">
      <c r="A1099" s="126" t="str">
        <f t="shared" si="41"/>
        <v>2025/12</v>
      </c>
      <c r="B1099" s="127" t="str">
        <f t="shared" si="43"/>
        <v>2025/12忠孝國際醫學3樓</v>
      </c>
      <c r="C1099" s="138">
        <v>172</v>
      </c>
      <c r="D1099" s="139" t="s">
        <v>850</v>
      </c>
      <c r="E1099" s="484" t="s">
        <v>419</v>
      </c>
      <c r="F1099" s="484"/>
      <c r="G1099" s="484" t="s">
        <v>420</v>
      </c>
      <c r="H1099" s="484"/>
      <c r="I1099" s="484"/>
      <c r="J1099" s="484"/>
      <c r="K1099" s="140" t="s">
        <v>726</v>
      </c>
      <c r="L1099" s="141">
        <v>833</v>
      </c>
      <c r="M1099" s="123"/>
      <c r="N1099" s="117"/>
    </row>
    <row r="1100" spans="1:14" ht="17.25" thickBot="1">
      <c r="A1100" s="126" t="str">
        <f t="shared" si="41"/>
        <v>2025/12</v>
      </c>
      <c r="B1100" s="127" t="str">
        <f t="shared" si="43"/>
        <v>2025/12忠孝國際醫學3樓</v>
      </c>
      <c r="C1100" s="138">
        <v>173</v>
      </c>
      <c r="D1100" s="139" t="s">
        <v>850</v>
      </c>
      <c r="E1100" s="484" t="s">
        <v>258</v>
      </c>
      <c r="F1100" s="484"/>
      <c r="G1100" s="484" t="s">
        <v>259</v>
      </c>
      <c r="H1100" s="484"/>
      <c r="I1100" s="484"/>
      <c r="J1100" s="484"/>
      <c r="K1100" s="140"/>
      <c r="L1100" s="141">
        <v>8</v>
      </c>
      <c r="M1100" s="123"/>
      <c r="N1100" s="117"/>
    </row>
    <row r="1101" spans="1:14" ht="17.25" thickBot="1">
      <c r="A1101" s="126" t="str">
        <f t="shared" si="41"/>
        <v>2025/12</v>
      </c>
      <c r="B1101" s="127" t="str">
        <f t="shared" si="43"/>
        <v>2025/12忠孝國際醫學3樓</v>
      </c>
      <c r="C1101" s="138">
        <v>174</v>
      </c>
      <c r="D1101" s="139" t="s">
        <v>850</v>
      </c>
      <c r="E1101" s="484" t="s">
        <v>260</v>
      </c>
      <c r="F1101" s="484"/>
      <c r="G1101" s="484" t="s">
        <v>261</v>
      </c>
      <c r="H1101" s="484"/>
      <c r="I1101" s="484"/>
      <c r="J1101" s="484"/>
      <c r="K1101" s="140" t="s">
        <v>254</v>
      </c>
      <c r="L1101" s="141">
        <v>8</v>
      </c>
      <c r="M1101" s="123"/>
      <c r="N1101" s="117"/>
    </row>
    <row r="1102" spans="1:14" ht="17.25" thickBot="1">
      <c r="A1102" s="126" t="str">
        <f t="shared" si="41"/>
        <v>2025/12</v>
      </c>
      <c r="B1102" s="127" t="str">
        <f t="shared" si="43"/>
        <v>2025/12忠孝國際醫學3樓</v>
      </c>
      <c r="C1102" s="138">
        <v>175</v>
      </c>
      <c r="D1102" s="139" t="s">
        <v>850</v>
      </c>
      <c r="E1102" s="484" t="s">
        <v>415</v>
      </c>
      <c r="F1102" s="484"/>
      <c r="G1102" s="484" t="s">
        <v>416</v>
      </c>
      <c r="H1102" s="484"/>
      <c r="I1102" s="484"/>
      <c r="J1102" s="484"/>
      <c r="K1102" s="140" t="s">
        <v>254</v>
      </c>
      <c r="L1102" s="141">
        <v>5</v>
      </c>
      <c r="M1102" s="123"/>
      <c r="N1102" s="117"/>
    </row>
    <row r="1103" spans="1:14" ht="17.25" thickBot="1">
      <c r="A1103" s="126" t="str">
        <f t="shared" si="41"/>
        <v>2025/12</v>
      </c>
      <c r="B1103" s="127" t="str">
        <f t="shared" si="43"/>
        <v>2025/12忠孝國際醫學3樓</v>
      </c>
      <c r="C1103" s="138">
        <v>176</v>
      </c>
      <c r="D1103" s="139" t="s">
        <v>850</v>
      </c>
      <c r="E1103" s="484" t="s">
        <v>252</v>
      </c>
      <c r="F1103" s="484"/>
      <c r="G1103" s="484" t="s">
        <v>253</v>
      </c>
      <c r="H1103" s="484"/>
      <c r="I1103" s="484"/>
      <c r="J1103" s="484"/>
      <c r="K1103" s="140" t="s">
        <v>254</v>
      </c>
      <c r="L1103" s="141">
        <v>12</v>
      </c>
      <c r="M1103" s="123"/>
      <c r="N1103" s="117"/>
    </row>
    <row r="1104" spans="1:14" ht="17.25" thickBot="1">
      <c r="A1104" s="126" t="str">
        <f t="shared" si="41"/>
        <v>2025/12</v>
      </c>
      <c r="B1104" s="127" t="str">
        <f t="shared" si="43"/>
        <v>2025/12忠孝國際醫學3樓</v>
      </c>
      <c r="C1104" s="138">
        <v>177</v>
      </c>
      <c r="D1104" s="139" t="s">
        <v>850</v>
      </c>
      <c r="E1104" s="484" t="s">
        <v>690</v>
      </c>
      <c r="F1104" s="484"/>
      <c r="G1104" s="484" t="s">
        <v>691</v>
      </c>
      <c r="H1104" s="484"/>
      <c r="I1104" s="484"/>
      <c r="J1104" s="484"/>
      <c r="K1104" s="140" t="s">
        <v>692</v>
      </c>
      <c r="L1104" s="141">
        <v>3</v>
      </c>
      <c r="M1104" s="123"/>
      <c r="N1104" s="117"/>
    </row>
    <row r="1105" spans="1:14" ht="17.25" thickBot="1">
      <c r="A1105" s="126" t="str">
        <f t="shared" si="41"/>
        <v>2025/12</v>
      </c>
      <c r="B1105" s="127" t="str">
        <f t="shared" si="43"/>
        <v>2025/12忠孝國際醫學3樓</v>
      </c>
      <c r="C1105" s="138">
        <v>178</v>
      </c>
      <c r="D1105" s="139" t="s">
        <v>850</v>
      </c>
      <c r="E1105" s="484" t="s">
        <v>386</v>
      </c>
      <c r="F1105" s="484"/>
      <c r="G1105" s="484" t="s">
        <v>387</v>
      </c>
      <c r="H1105" s="484"/>
      <c r="I1105" s="484"/>
      <c r="J1105" s="484"/>
      <c r="K1105" s="140" t="s">
        <v>388</v>
      </c>
      <c r="L1105" s="141">
        <v>2011</v>
      </c>
      <c r="M1105" s="123"/>
      <c r="N1105" s="117"/>
    </row>
    <row r="1106" spans="1:14" ht="17.25" thickBot="1">
      <c r="A1106" s="126" t="str">
        <f t="shared" si="41"/>
        <v>2025/12</v>
      </c>
      <c r="B1106" s="127" t="str">
        <f t="shared" si="43"/>
        <v>2025/12忠孝國際醫學3樓</v>
      </c>
      <c r="C1106" s="138">
        <v>179</v>
      </c>
      <c r="D1106" s="139" t="s">
        <v>850</v>
      </c>
      <c r="E1106" s="484" t="s">
        <v>401</v>
      </c>
      <c r="F1106" s="484"/>
      <c r="G1106" s="484" t="s">
        <v>402</v>
      </c>
      <c r="H1106" s="484"/>
      <c r="I1106" s="484"/>
      <c r="J1106" s="484"/>
      <c r="K1106" s="140" t="s">
        <v>145</v>
      </c>
      <c r="L1106" s="141">
        <v>1</v>
      </c>
      <c r="M1106" s="123"/>
      <c r="N1106" s="117"/>
    </row>
    <row r="1107" spans="1:14" ht="17.25" thickBot="1">
      <c r="A1107" s="126" t="str">
        <f t="shared" si="41"/>
        <v>2025/12</v>
      </c>
      <c r="B1107" s="127" t="str">
        <f t="shared" si="43"/>
        <v>2025/12忠孝國際醫學3樓</v>
      </c>
      <c r="C1107" s="138">
        <v>180</v>
      </c>
      <c r="D1107" s="139" t="s">
        <v>850</v>
      </c>
      <c r="E1107" s="484" t="s">
        <v>417</v>
      </c>
      <c r="F1107" s="484"/>
      <c r="G1107" s="484" t="s">
        <v>418</v>
      </c>
      <c r="H1107" s="484"/>
      <c r="I1107" s="484"/>
      <c r="J1107" s="484"/>
      <c r="K1107" s="140" t="s">
        <v>145</v>
      </c>
      <c r="L1107" s="141">
        <v>4</v>
      </c>
      <c r="M1107" s="123"/>
      <c r="N1107" s="117"/>
    </row>
    <row r="1108" spans="1:14" ht="17.25" thickBot="1">
      <c r="A1108" s="126" t="str">
        <f t="shared" si="41"/>
        <v>2025/12</v>
      </c>
      <c r="B1108" s="127" t="str">
        <f t="shared" si="43"/>
        <v>2025/12忠孝國際醫學3樓</v>
      </c>
      <c r="C1108" s="138">
        <v>181</v>
      </c>
      <c r="D1108" s="139" t="s">
        <v>850</v>
      </c>
      <c r="E1108" s="484" t="s">
        <v>411</v>
      </c>
      <c r="F1108" s="484"/>
      <c r="G1108" s="484" t="s">
        <v>412</v>
      </c>
      <c r="H1108" s="484"/>
      <c r="I1108" s="484"/>
      <c r="J1108" s="484"/>
      <c r="K1108" s="140" t="s">
        <v>145</v>
      </c>
      <c r="L1108" s="141">
        <v>6</v>
      </c>
      <c r="M1108" s="123"/>
      <c r="N1108" s="117"/>
    </row>
    <row r="1109" spans="1:14" ht="17.25" thickBot="1">
      <c r="A1109" s="126" t="str">
        <f t="shared" si="41"/>
        <v>2025/12</v>
      </c>
      <c r="B1109" s="127" t="str">
        <f t="shared" si="43"/>
        <v>2025/12忠孝國際醫學3樓</v>
      </c>
      <c r="C1109" s="138">
        <v>182</v>
      </c>
      <c r="D1109" s="139" t="s">
        <v>850</v>
      </c>
      <c r="E1109" s="484" t="s">
        <v>375</v>
      </c>
      <c r="F1109" s="484"/>
      <c r="G1109" s="484" t="s">
        <v>376</v>
      </c>
      <c r="H1109" s="484"/>
      <c r="I1109" s="484"/>
      <c r="J1109" s="484"/>
      <c r="K1109" s="140" t="s">
        <v>145</v>
      </c>
      <c r="L1109" s="141">
        <v>4</v>
      </c>
      <c r="M1109" s="123"/>
      <c r="N1109" s="117"/>
    </row>
    <row r="1110" spans="1:14" ht="17.25" thickBot="1">
      <c r="A1110" s="126" t="str">
        <f t="shared" si="41"/>
        <v>2025/12</v>
      </c>
      <c r="B1110" s="127" t="str">
        <f t="shared" si="43"/>
        <v>2025/12忠孝國際醫學3樓</v>
      </c>
      <c r="C1110" s="138">
        <v>183</v>
      </c>
      <c r="D1110" s="139" t="s">
        <v>850</v>
      </c>
      <c r="E1110" s="484" t="s">
        <v>422</v>
      </c>
      <c r="F1110" s="484"/>
      <c r="G1110" s="484" t="s">
        <v>423</v>
      </c>
      <c r="H1110" s="484"/>
      <c r="I1110" s="484"/>
      <c r="J1110" s="484"/>
      <c r="K1110" s="140" t="s">
        <v>145</v>
      </c>
      <c r="L1110" s="141">
        <v>3</v>
      </c>
      <c r="M1110" s="123"/>
      <c r="N1110" s="117"/>
    </row>
    <row r="1111" spans="1:14" ht="17.25" thickBot="1">
      <c r="A1111" s="126" t="str">
        <f t="shared" si="41"/>
        <v>2025/12</v>
      </c>
      <c r="B1111" s="127" t="str">
        <f t="shared" si="43"/>
        <v>2025/12忠孝國際醫學3樓</v>
      </c>
      <c r="C1111" s="138">
        <v>184</v>
      </c>
      <c r="D1111" s="139" t="s">
        <v>850</v>
      </c>
      <c r="E1111" s="484" t="s">
        <v>399</v>
      </c>
      <c r="F1111" s="484"/>
      <c r="G1111" s="484" t="s">
        <v>400</v>
      </c>
      <c r="H1111" s="484"/>
      <c r="I1111" s="484"/>
      <c r="J1111" s="484"/>
      <c r="K1111" s="140" t="s">
        <v>145</v>
      </c>
      <c r="L1111" s="141">
        <v>16</v>
      </c>
      <c r="M1111" s="123"/>
      <c r="N1111" s="117"/>
    </row>
    <row r="1112" spans="1:14" ht="17.25" thickBot="1">
      <c r="A1112" s="126" t="str">
        <f t="shared" si="41"/>
        <v>2025/12</v>
      </c>
      <c r="B1112" s="127" t="str">
        <f t="shared" si="43"/>
        <v>2025/12忠孝國際醫學3樓</v>
      </c>
      <c r="C1112" s="138">
        <v>185</v>
      </c>
      <c r="D1112" s="139" t="s">
        <v>850</v>
      </c>
      <c r="E1112" s="484" t="s">
        <v>431</v>
      </c>
      <c r="F1112" s="484"/>
      <c r="G1112" s="484" t="s">
        <v>432</v>
      </c>
      <c r="H1112" s="484"/>
      <c r="I1112" s="484"/>
      <c r="J1112" s="484"/>
      <c r="K1112" s="140" t="s">
        <v>433</v>
      </c>
      <c r="L1112" s="141">
        <v>509.5</v>
      </c>
      <c r="M1112" s="123"/>
      <c r="N1112" s="117"/>
    </row>
    <row r="1113" spans="1:14" ht="17.25" thickBot="1">
      <c r="A1113" s="126" t="str">
        <f t="shared" si="41"/>
        <v>2025/12</v>
      </c>
      <c r="B1113" s="127" t="str">
        <f t="shared" si="43"/>
        <v>2025/12忠孝國際醫學3樓</v>
      </c>
      <c r="C1113" s="138">
        <v>186</v>
      </c>
      <c r="D1113" s="139" t="s">
        <v>850</v>
      </c>
      <c r="E1113" s="484" t="s">
        <v>701</v>
      </c>
      <c r="F1113" s="484"/>
      <c r="G1113" s="484" t="s">
        <v>702</v>
      </c>
      <c r="H1113" s="484"/>
      <c r="I1113" s="484"/>
      <c r="J1113" s="484"/>
      <c r="K1113" s="140" t="s">
        <v>433</v>
      </c>
      <c r="L1113" s="141">
        <v>3</v>
      </c>
      <c r="M1113" s="123"/>
      <c r="N1113" s="117"/>
    </row>
    <row r="1114" spans="1:14" ht="17.25" thickBot="1">
      <c r="A1114" s="126" t="str">
        <f t="shared" si="41"/>
        <v>2025/12</v>
      </c>
      <c r="B1114" s="127" t="str">
        <f t="shared" si="43"/>
        <v>2025/12忠孝國際醫學3樓</v>
      </c>
      <c r="C1114" s="138">
        <v>187</v>
      </c>
      <c r="D1114" s="139" t="s">
        <v>850</v>
      </c>
      <c r="E1114" s="484" t="s">
        <v>693</v>
      </c>
      <c r="F1114" s="484"/>
      <c r="G1114" s="484" t="s">
        <v>694</v>
      </c>
      <c r="H1114" s="484"/>
      <c r="I1114" s="484"/>
      <c r="J1114" s="484"/>
      <c r="K1114" s="140" t="s">
        <v>433</v>
      </c>
      <c r="L1114" s="141">
        <v>640</v>
      </c>
      <c r="M1114" s="123"/>
      <c r="N1114" s="117"/>
    </row>
    <row r="1115" spans="1:14" ht="17.25" thickBot="1">
      <c r="A1115" s="126" t="str">
        <f t="shared" ref="A1115" si="44">IFERROR(LEFT(B1115,7),"")</f>
        <v>2026/01</v>
      </c>
      <c r="B1115" s="127" t="str">
        <f>"2026/01"&amp;D1115</f>
        <v>2026/01站前4樓</v>
      </c>
      <c r="C1115" s="138">
        <v>1</v>
      </c>
      <c r="D1115" s="139" t="s">
        <v>236</v>
      </c>
      <c r="E1115" s="484" t="s">
        <v>413</v>
      </c>
      <c r="F1115" s="484"/>
      <c r="G1115" s="484" t="s">
        <v>674</v>
      </c>
      <c r="H1115" s="484"/>
      <c r="I1115" s="484"/>
      <c r="J1115" s="484"/>
      <c r="K1115" s="140" t="s">
        <v>410</v>
      </c>
      <c r="L1115" s="141">
        <v>3</v>
      </c>
      <c r="M1115" s="123"/>
      <c r="N1115" s="117"/>
    </row>
    <row r="1116" spans="1:14" ht="17.25" thickBot="1">
      <c r="A1116" s="126" t="str">
        <f t="shared" ref="A1116:A1171" si="45">IFERROR(LEFT(B1116,7),"")</f>
        <v>2026/01</v>
      </c>
      <c r="B1116" s="127" t="str">
        <f t="shared" ref="B1116:B1171" si="46">"2026/01"&amp;D1116</f>
        <v>2026/01站前4樓</v>
      </c>
      <c r="C1116" s="138">
        <v>2</v>
      </c>
      <c r="D1116" s="139" t="s">
        <v>236</v>
      </c>
      <c r="E1116" s="484" t="s">
        <v>360</v>
      </c>
      <c r="F1116" s="484"/>
      <c r="G1116" s="484" t="s">
        <v>361</v>
      </c>
      <c r="H1116" s="484"/>
      <c r="I1116" s="484"/>
      <c r="J1116" s="484"/>
      <c r="K1116" s="140" t="s">
        <v>362</v>
      </c>
      <c r="L1116" s="141">
        <v>16</v>
      </c>
      <c r="M1116" s="123"/>
      <c r="N1116" s="117"/>
    </row>
    <row r="1117" spans="1:14" ht="17.25" thickBot="1">
      <c r="A1117" s="126" t="str">
        <f t="shared" si="45"/>
        <v>2026/01</v>
      </c>
      <c r="B1117" s="127" t="str">
        <f t="shared" si="46"/>
        <v>2026/01站前4樓</v>
      </c>
      <c r="C1117" s="138">
        <v>3</v>
      </c>
      <c r="D1117" s="139" t="s">
        <v>236</v>
      </c>
      <c r="E1117" s="484" t="s">
        <v>383</v>
      </c>
      <c r="F1117" s="484"/>
      <c r="G1117" s="484" t="s">
        <v>384</v>
      </c>
      <c r="H1117" s="484"/>
      <c r="I1117" s="484"/>
      <c r="J1117" s="484"/>
      <c r="K1117" s="140" t="s">
        <v>385</v>
      </c>
      <c r="L1117" s="141">
        <v>19</v>
      </c>
      <c r="M1117" s="123"/>
      <c r="N1117" s="117"/>
    </row>
    <row r="1118" spans="1:14" ht="17.25" thickBot="1">
      <c r="A1118" s="126" t="str">
        <f t="shared" si="45"/>
        <v>2026/01</v>
      </c>
      <c r="B1118" s="127" t="str">
        <f t="shared" si="46"/>
        <v>2026/01站前4樓</v>
      </c>
      <c r="C1118" s="138">
        <v>4</v>
      </c>
      <c r="D1118" s="139" t="s">
        <v>236</v>
      </c>
      <c r="E1118" s="484" t="s">
        <v>255</v>
      </c>
      <c r="F1118" s="484"/>
      <c r="G1118" s="484" t="s">
        <v>256</v>
      </c>
      <c r="H1118" s="484"/>
      <c r="I1118" s="484"/>
      <c r="J1118" s="484"/>
      <c r="K1118" s="140" t="s">
        <v>720</v>
      </c>
      <c r="L1118" s="141">
        <v>207</v>
      </c>
      <c r="M1118" s="123"/>
      <c r="N1118" s="117"/>
    </row>
    <row r="1119" spans="1:14" ht="17.25" thickBot="1">
      <c r="A1119" s="126" t="str">
        <f t="shared" si="45"/>
        <v>2026/01</v>
      </c>
      <c r="B1119" s="127" t="str">
        <f t="shared" si="46"/>
        <v>2026/01站前4樓</v>
      </c>
      <c r="C1119" s="138">
        <v>5</v>
      </c>
      <c r="D1119" s="139" t="s">
        <v>236</v>
      </c>
      <c r="E1119" s="484" t="s">
        <v>258</v>
      </c>
      <c r="F1119" s="484"/>
      <c r="G1119" s="484" t="s">
        <v>259</v>
      </c>
      <c r="H1119" s="484"/>
      <c r="I1119" s="484"/>
      <c r="J1119" s="484"/>
      <c r="K1119" s="140"/>
      <c r="L1119" s="141">
        <v>220</v>
      </c>
      <c r="M1119" s="123"/>
      <c r="N1119" s="117"/>
    </row>
    <row r="1120" spans="1:14" ht="17.25" thickBot="1">
      <c r="A1120" s="126" t="str">
        <f t="shared" si="45"/>
        <v>2026/01</v>
      </c>
      <c r="B1120" s="127" t="str">
        <f t="shared" si="46"/>
        <v>2026/01站前4樓</v>
      </c>
      <c r="C1120" s="138">
        <v>6</v>
      </c>
      <c r="D1120" s="139" t="s">
        <v>236</v>
      </c>
      <c r="E1120" s="484" t="s">
        <v>260</v>
      </c>
      <c r="F1120" s="484"/>
      <c r="G1120" s="484" t="s">
        <v>261</v>
      </c>
      <c r="H1120" s="484"/>
      <c r="I1120" s="484"/>
      <c r="J1120" s="484"/>
      <c r="K1120" s="140" t="s">
        <v>254</v>
      </c>
      <c r="L1120" s="141">
        <v>220</v>
      </c>
      <c r="M1120" s="123"/>
      <c r="N1120" s="117"/>
    </row>
    <row r="1121" spans="1:14" ht="17.25" thickBot="1">
      <c r="A1121" s="126" t="str">
        <f t="shared" si="45"/>
        <v>2026/01</v>
      </c>
      <c r="B1121" s="127" t="str">
        <f t="shared" si="46"/>
        <v>2026/01站前4樓</v>
      </c>
      <c r="C1121" s="138">
        <v>7</v>
      </c>
      <c r="D1121" s="139" t="s">
        <v>236</v>
      </c>
      <c r="E1121" s="484" t="s">
        <v>262</v>
      </c>
      <c r="F1121" s="484"/>
      <c r="G1121" s="484" t="s">
        <v>263</v>
      </c>
      <c r="H1121" s="484"/>
      <c r="I1121" s="484"/>
      <c r="J1121" s="484"/>
      <c r="K1121" s="140" t="s">
        <v>254</v>
      </c>
      <c r="L1121" s="141">
        <v>49</v>
      </c>
      <c r="M1121" s="123"/>
      <c r="N1121" s="117"/>
    </row>
    <row r="1122" spans="1:14" ht="17.25" thickBot="1">
      <c r="A1122" s="126" t="str">
        <f t="shared" si="45"/>
        <v>2026/01</v>
      </c>
      <c r="B1122" s="127" t="str">
        <f t="shared" si="46"/>
        <v>2026/01站前4樓</v>
      </c>
      <c r="C1122" s="138">
        <v>8</v>
      </c>
      <c r="D1122" s="139" t="s">
        <v>236</v>
      </c>
      <c r="E1122" s="484" t="s">
        <v>270</v>
      </c>
      <c r="F1122" s="484"/>
      <c r="G1122" s="484" t="s">
        <v>271</v>
      </c>
      <c r="H1122" s="484"/>
      <c r="I1122" s="484"/>
      <c r="J1122" s="484"/>
      <c r="K1122" s="140" t="s">
        <v>272</v>
      </c>
      <c r="L1122" s="141">
        <v>178</v>
      </c>
      <c r="M1122" s="123"/>
      <c r="N1122" s="117"/>
    </row>
    <row r="1123" spans="1:14" ht="17.25" thickBot="1">
      <c r="A1123" s="126" t="str">
        <f t="shared" si="45"/>
        <v>2026/01</v>
      </c>
      <c r="B1123" s="127" t="str">
        <f t="shared" si="46"/>
        <v>2026/01站前4樓</v>
      </c>
      <c r="C1123" s="138">
        <v>9</v>
      </c>
      <c r="D1123" s="139" t="s">
        <v>236</v>
      </c>
      <c r="E1123" s="484" t="s">
        <v>252</v>
      </c>
      <c r="F1123" s="484"/>
      <c r="G1123" s="484" t="s">
        <v>253</v>
      </c>
      <c r="H1123" s="484"/>
      <c r="I1123" s="484"/>
      <c r="J1123" s="484"/>
      <c r="K1123" s="140" t="s">
        <v>254</v>
      </c>
      <c r="L1123" s="141">
        <v>226</v>
      </c>
      <c r="M1123" s="123"/>
      <c r="N1123" s="117"/>
    </row>
    <row r="1124" spans="1:14" ht="17.25" thickBot="1">
      <c r="A1124" s="126" t="str">
        <f t="shared" si="45"/>
        <v>2026/01</v>
      </c>
      <c r="B1124" s="127" t="str">
        <f t="shared" si="46"/>
        <v>2026/01站前4樓</v>
      </c>
      <c r="C1124" s="138">
        <v>10</v>
      </c>
      <c r="D1124" s="139" t="s">
        <v>236</v>
      </c>
      <c r="E1124" s="484" t="s">
        <v>690</v>
      </c>
      <c r="F1124" s="484"/>
      <c r="G1124" s="484" t="s">
        <v>691</v>
      </c>
      <c r="H1124" s="484"/>
      <c r="I1124" s="484"/>
      <c r="J1124" s="484"/>
      <c r="K1124" s="140" t="s">
        <v>692</v>
      </c>
      <c r="L1124" s="141">
        <v>13</v>
      </c>
      <c r="M1124" s="123"/>
      <c r="N1124" s="117"/>
    </row>
    <row r="1125" spans="1:14" ht="17.25" thickBot="1">
      <c r="A1125" s="126" t="str">
        <f t="shared" si="45"/>
        <v>2026/01</v>
      </c>
      <c r="B1125" s="127" t="str">
        <f t="shared" si="46"/>
        <v>2026/01站前4樓</v>
      </c>
      <c r="C1125" s="138">
        <v>11</v>
      </c>
      <c r="D1125" s="139" t="s">
        <v>236</v>
      </c>
      <c r="E1125" s="484" t="s">
        <v>305</v>
      </c>
      <c r="F1125" s="484"/>
      <c r="G1125" s="484" t="s">
        <v>675</v>
      </c>
      <c r="H1125" s="484"/>
      <c r="I1125" s="484"/>
      <c r="J1125" s="484"/>
      <c r="K1125" s="140" t="s">
        <v>676</v>
      </c>
      <c r="L1125" s="141">
        <v>3775</v>
      </c>
      <c r="M1125" s="123"/>
      <c r="N1125" s="117"/>
    </row>
    <row r="1126" spans="1:14" ht="17.25" thickBot="1">
      <c r="A1126" s="126" t="str">
        <f t="shared" si="45"/>
        <v>2026/01</v>
      </c>
      <c r="B1126" s="127" t="str">
        <f t="shared" si="46"/>
        <v>2026/01站前4樓</v>
      </c>
      <c r="C1126" s="138">
        <v>12</v>
      </c>
      <c r="D1126" s="139" t="s">
        <v>236</v>
      </c>
      <c r="E1126" s="484" t="s">
        <v>264</v>
      </c>
      <c r="F1126" s="484"/>
      <c r="G1126" s="484" t="s">
        <v>677</v>
      </c>
      <c r="H1126" s="484"/>
      <c r="I1126" s="484"/>
      <c r="J1126" s="484"/>
      <c r="K1126" s="140" t="s">
        <v>678</v>
      </c>
      <c r="L1126" s="141">
        <v>6112</v>
      </c>
      <c r="M1126" s="123"/>
      <c r="N1126" s="117"/>
    </row>
    <row r="1127" spans="1:14" ht="17.25" thickBot="1">
      <c r="A1127" s="126" t="str">
        <f t="shared" si="45"/>
        <v>2026/01</v>
      </c>
      <c r="B1127" s="127" t="str">
        <f t="shared" si="46"/>
        <v>2026/01站前4樓</v>
      </c>
      <c r="C1127" s="138">
        <v>13</v>
      </c>
      <c r="D1127" s="139" t="s">
        <v>236</v>
      </c>
      <c r="E1127" s="484" t="s">
        <v>307</v>
      </c>
      <c r="F1127" s="484"/>
      <c r="G1127" s="484" t="s">
        <v>679</v>
      </c>
      <c r="H1127" s="484"/>
      <c r="I1127" s="484"/>
      <c r="J1127" s="484"/>
      <c r="K1127" s="140" t="s">
        <v>678</v>
      </c>
      <c r="L1127" s="141">
        <v>1267</v>
      </c>
      <c r="M1127" s="123"/>
      <c r="N1127" s="117"/>
    </row>
    <row r="1128" spans="1:14" ht="17.25" thickBot="1">
      <c r="A1128" s="126" t="str">
        <f t="shared" si="45"/>
        <v>2026/01</v>
      </c>
      <c r="B1128" s="127" t="str">
        <f t="shared" si="46"/>
        <v>2026/01站前4樓</v>
      </c>
      <c r="C1128" s="138">
        <v>14</v>
      </c>
      <c r="D1128" s="139" t="s">
        <v>236</v>
      </c>
      <c r="E1128" s="484" t="s">
        <v>313</v>
      </c>
      <c r="F1128" s="484"/>
      <c r="G1128" s="484" t="s">
        <v>314</v>
      </c>
      <c r="H1128" s="484"/>
      <c r="I1128" s="484"/>
      <c r="J1128" s="484"/>
      <c r="K1128" s="140" t="s">
        <v>301</v>
      </c>
      <c r="L1128" s="141">
        <v>150</v>
      </c>
      <c r="M1128" s="123"/>
      <c r="N1128" s="117"/>
    </row>
    <row r="1129" spans="1:14" ht="17.25" thickBot="1">
      <c r="A1129" s="126" t="str">
        <f t="shared" si="45"/>
        <v>2026/01</v>
      </c>
      <c r="B1129" s="127" t="str">
        <f t="shared" si="46"/>
        <v>2026/01站前4樓</v>
      </c>
      <c r="C1129" s="138">
        <v>15</v>
      </c>
      <c r="D1129" s="139" t="s">
        <v>236</v>
      </c>
      <c r="E1129" s="484" t="s">
        <v>343</v>
      </c>
      <c r="F1129" s="484"/>
      <c r="G1129" s="484" t="s">
        <v>344</v>
      </c>
      <c r="H1129" s="484"/>
      <c r="I1129" s="484"/>
      <c r="J1129" s="484"/>
      <c r="K1129" s="140" t="s">
        <v>301</v>
      </c>
      <c r="L1129" s="141">
        <v>6</v>
      </c>
      <c r="M1129" s="123"/>
      <c r="N1129" s="117"/>
    </row>
    <row r="1130" spans="1:14" ht="17.25" thickBot="1">
      <c r="A1130" s="126" t="str">
        <f t="shared" si="45"/>
        <v>2026/01</v>
      </c>
      <c r="B1130" s="127" t="str">
        <f t="shared" si="46"/>
        <v>2026/01站前4樓</v>
      </c>
      <c r="C1130" s="138">
        <v>16</v>
      </c>
      <c r="D1130" s="139" t="s">
        <v>236</v>
      </c>
      <c r="E1130" s="484" t="s">
        <v>427</v>
      </c>
      <c r="F1130" s="484"/>
      <c r="G1130" s="484" t="s">
        <v>428</v>
      </c>
      <c r="H1130" s="484"/>
      <c r="I1130" s="484"/>
      <c r="J1130" s="484"/>
      <c r="K1130" s="140" t="s">
        <v>301</v>
      </c>
      <c r="L1130" s="141">
        <v>10</v>
      </c>
      <c r="M1130" s="123"/>
      <c r="N1130" s="117"/>
    </row>
    <row r="1131" spans="1:14" ht="17.25" thickBot="1">
      <c r="A1131" s="126" t="str">
        <f t="shared" si="45"/>
        <v>2026/01</v>
      </c>
      <c r="B1131" s="127" t="str">
        <f t="shared" si="46"/>
        <v>2026/01站前4樓</v>
      </c>
      <c r="C1131" s="138">
        <v>17</v>
      </c>
      <c r="D1131" s="139" t="s">
        <v>236</v>
      </c>
      <c r="E1131" s="484" t="s">
        <v>349</v>
      </c>
      <c r="F1131" s="484"/>
      <c r="G1131" s="484" t="s">
        <v>350</v>
      </c>
      <c r="H1131" s="484"/>
      <c r="I1131" s="484"/>
      <c r="J1131" s="484"/>
      <c r="K1131" s="140" t="s">
        <v>301</v>
      </c>
      <c r="L1131" s="141">
        <v>12</v>
      </c>
      <c r="M1131" s="123"/>
      <c r="N1131" s="117"/>
    </row>
    <row r="1132" spans="1:14" ht="17.25" thickBot="1">
      <c r="A1132" s="126" t="str">
        <f t="shared" si="45"/>
        <v>2026/01</v>
      </c>
      <c r="B1132" s="127" t="str">
        <f t="shared" si="46"/>
        <v>2026/01站前4樓</v>
      </c>
      <c r="C1132" s="138">
        <v>18</v>
      </c>
      <c r="D1132" s="139" t="s">
        <v>236</v>
      </c>
      <c r="E1132" s="484" t="s">
        <v>366</v>
      </c>
      <c r="F1132" s="484"/>
      <c r="G1132" s="484" t="s">
        <v>367</v>
      </c>
      <c r="H1132" s="484"/>
      <c r="I1132" s="484"/>
      <c r="J1132" s="484"/>
      <c r="K1132" s="140" t="s">
        <v>301</v>
      </c>
      <c r="L1132" s="141">
        <v>3</v>
      </c>
      <c r="M1132" s="123"/>
      <c r="N1132" s="117"/>
    </row>
    <row r="1133" spans="1:14" ht="17.25" thickBot="1">
      <c r="A1133" s="126" t="str">
        <f t="shared" si="45"/>
        <v>2026/01</v>
      </c>
      <c r="B1133" s="127" t="str">
        <f t="shared" si="46"/>
        <v>2026/01站前4樓</v>
      </c>
      <c r="C1133" s="138">
        <v>19</v>
      </c>
      <c r="D1133" s="139" t="s">
        <v>236</v>
      </c>
      <c r="E1133" s="484" t="s">
        <v>282</v>
      </c>
      <c r="F1133" s="484"/>
      <c r="G1133" s="484" t="s">
        <v>283</v>
      </c>
      <c r="H1133" s="484"/>
      <c r="I1133" s="484"/>
      <c r="J1133" s="484"/>
      <c r="K1133" s="140" t="s">
        <v>284</v>
      </c>
      <c r="L1133" s="141">
        <v>45</v>
      </c>
      <c r="M1133" s="123"/>
      <c r="N1133" s="117"/>
    </row>
    <row r="1134" spans="1:14" ht="17.25" thickBot="1">
      <c r="A1134" s="126" t="str">
        <f t="shared" si="45"/>
        <v>2026/01</v>
      </c>
      <c r="B1134" s="127" t="str">
        <f t="shared" si="46"/>
        <v>2026/01站前4樓</v>
      </c>
      <c r="C1134" s="138">
        <v>20</v>
      </c>
      <c r="D1134" s="139" t="s">
        <v>236</v>
      </c>
      <c r="E1134" s="484" t="s">
        <v>345</v>
      </c>
      <c r="F1134" s="484"/>
      <c r="G1134" s="484" t="s">
        <v>346</v>
      </c>
      <c r="H1134" s="484"/>
      <c r="I1134" s="484"/>
      <c r="J1134" s="484"/>
      <c r="K1134" s="140" t="s">
        <v>284</v>
      </c>
      <c r="L1134" s="141">
        <v>1</v>
      </c>
      <c r="M1134" s="123"/>
      <c r="N1134" s="117"/>
    </row>
    <row r="1135" spans="1:14" ht="17.25" thickBot="1">
      <c r="A1135" s="126" t="str">
        <f t="shared" si="45"/>
        <v>2026/01</v>
      </c>
      <c r="B1135" s="127" t="str">
        <f t="shared" si="46"/>
        <v>2026/01站前4樓</v>
      </c>
      <c r="C1135" s="138">
        <v>21</v>
      </c>
      <c r="D1135" s="139" t="s">
        <v>236</v>
      </c>
      <c r="E1135" s="484" t="s">
        <v>311</v>
      </c>
      <c r="F1135" s="484"/>
      <c r="G1135" s="484" t="s">
        <v>312</v>
      </c>
      <c r="H1135" s="484"/>
      <c r="I1135" s="484"/>
      <c r="J1135" s="484"/>
      <c r="K1135" s="140" t="s">
        <v>284</v>
      </c>
      <c r="L1135" s="141">
        <v>13</v>
      </c>
      <c r="M1135" s="123"/>
      <c r="N1135" s="117"/>
    </row>
    <row r="1136" spans="1:14" ht="17.25" thickBot="1">
      <c r="A1136" s="126" t="str">
        <f t="shared" si="45"/>
        <v>2026/01</v>
      </c>
      <c r="B1136" s="127" t="str">
        <f t="shared" si="46"/>
        <v>2026/01站前4樓</v>
      </c>
      <c r="C1136" s="138">
        <v>22</v>
      </c>
      <c r="D1136" s="139" t="s">
        <v>236</v>
      </c>
      <c r="E1136" s="484" t="s">
        <v>734</v>
      </c>
      <c r="F1136" s="484"/>
      <c r="G1136" s="484" t="s">
        <v>735</v>
      </c>
      <c r="H1136" s="484"/>
      <c r="I1136" s="484"/>
      <c r="J1136" s="484"/>
      <c r="K1136" s="140" t="s">
        <v>342</v>
      </c>
      <c r="L1136" s="141">
        <v>5</v>
      </c>
      <c r="M1136" s="123"/>
      <c r="N1136" s="117"/>
    </row>
    <row r="1137" spans="1:14" ht="17.25" thickBot="1">
      <c r="A1137" s="126" t="str">
        <f t="shared" si="45"/>
        <v>2026/01</v>
      </c>
      <c r="B1137" s="127" t="str">
        <f t="shared" si="46"/>
        <v>2026/01站前4樓</v>
      </c>
      <c r="C1137" s="138">
        <v>23</v>
      </c>
      <c r="D1137" s="139" t="s">
        <v>236</v>
      </c>
      <c r="E1137" s="484" t="s">
        <v>299</v>
      </c>
      <c r="F1137" s="484"/>
      <c r="G1137" s="484" t="s">
        <v>300</v>
      </c>
      <c r="H1137" s="484"/>
      <c r="I1137" s="484"/>
      <c r="J1137" s="484"/>
      <c r="K1137" s="140" t="s">
        <v>301</v>
      </c>
      <c r="L1137" s="141">
        <v>69</v>
      </c>
      <c r="M1137" s="123"/>
      <c r="N1137" s="117"/>
    </row>
    <row r="1138" spans="1:14" ht="17.25" thickBot="1">
      <c r="A1138" s="126" t="str">
        <f t="shared" si="45"/>
        <v>2026/01</v>
      </c>
      <c r="B1138" s="127" t="str">
        <f t="shared" si="46"/>
        <v>2026/01站前4樓</v>
      </c>
      <c r="C1138" s="138">
        <v>24</v>
      </c>
      <c r="D1138" s="139" t="s">
        <v>236</v>
      </c>
      <c r="E1138" s="484" t="s">
        <v>347</v>
      </c>
      <c r="F1138" s="484"/>
      <c r="G1138" s="484" t="s">
        <v>348</v>
      </c>
      <c r="H1138" s="484"/>
      <c r="I1138" s="484"/>
      <c r="J1138" s="484"/>
      <c r="K1138" s="140" t="s">
        <v>301</v>
      </c>
      <c r="L1138" s="141">
        <v>13</v>
      </c>
      <c r="M1138" s="123"/>
      <c r="N1138" s="117"/>
    </row>
    <row r="1139" spans="1:14" ht="17.25" thickBot="1">
      <c r="A1139" s="126" t="str">
        <f t="shared" si="45"/>
        <v>2026/01</v>
      </c>
      <c r="B1139" s="127" t="str">
        <f t="shared" si="46"/>
        <v>2026/01站前4樓</v>
      </c>
      <c r="C1139" s="138">
        <v>25</v>
      </c>
      <c r="D1139" s="139" t="s">
        <v>236</v>
      </c>
      <c r="E1139" s="484" t="s">
        <v>317</v>
      </c>
      <c r="F1139" s="484"/>
      <c r="G1139" s="484" t="s">
        <v>318</v>
      </c>
      <c r="H1139" s="484"/>
      <c r="I1139" s="484"/>
      <c r="J1139" s="484"/>
      <c r="K1139" s="140" t="s">
        <v>319</v>
      </c>
      <c r="L1139" s="141">
        <v>23</v>
      </c>
      <c r="M1139" s="123"/>
      <c r="N1139" s="117"/>
    </row>
    <row r="1140" spans="1:14" ht="17.25" thickBot="1">
      <c r="A1140" s="126" t="str">
        <f t="shared" si="45"/>
        <v>2026/01</v>
      </c>
      <c r="B1140" s="127" t="str">
        <f t="shared" si="46"/>
        <v>2026/01站前4樓</v>
      </c>
      <c r="C1140" s="138">
        <v>26</v>
      </c>
      <c r="D1140" s="139" t="s">
        <v>236</v>
      </c>
      <c r="E1140" s="484" t="s">
        <v>321</v>
      </c>
      <c r="F1140" s="484"/>
      <c r="G1140" s="484" t="s">
        <v>322</v>
      </c>
      <c r="H1140" s="484"/>
      <c r="I1140" s="484"/>
      <c r="J1140" s="484"/>
      <c r="K1140" s="140" t="s">
        <v>275</v>
      </c>
      <c r="L1140" s="141">
        <v>202</v>
      </c>
      <c r="M1140" s="123"/>
      <c r="N1140" s="117"/>
    </row>
    <row r="1141" spans="1:14" ht="17.25" thickBot="1">
      <c r="A1141" s="126" t="str">
        <f t="shared" si="45"/>
        <v>2026/01</v>
      </c>
      <c r="B1141" s="127" t="str">
        <f t="shared" si="46"/>
        <v>2026/01站前4樓</v>
      </c>
      <c r="C1141" s="138">
        <v>27</v>
      </c>
      <c r="D1141" s="139" t="s">
        <v>236</v>
      </c>
      <c r="E1141" s="484" t="s">
        <v>372</v>
      </c>
      <c r="F1141" s="484"/>
      <c r="G1141" s="484" t="s">
        <v>373</v>
      </c>
      <c r="H1141" s="484"/>
      <c r="I1141" s="484"/>
      <c r="J1141" s="484"/>
      <c r="K1141" s="140" t="s">
        <v>278</v>
      </c>
      <c r="L1141" s="141">
        <v>8</v>
      </c>
      <c r="M1141" s="123"/>
      <c r="N1141" s="117"/>
    </row>
    <row r="1142" spans="1:14" ht="17.25" thickBot="1">
      <c r="A1142" s="126" t="str">
        <f t="shared" si="45"/>
        <v>2026/01</v>
      </c>
      <c r="B1142" s="127" t="str">
        <f t="shared" si="46"/>
        <v>2026/01站前4樓</v>
      </c>
      <c r="C1142" s="138">
        <v>28</v>
      </c>
      <c r="D1142" s="139" t="s">
        <v>236</v>
      </c>
      <c r="E1142" s="484" t="s">
        <v>276</v>
      </c>
      <c r="F1142" s="484"/>
      <c r="G1142" s="484" t="s">
        <v>277</v>
      </c>
      <c r="H1142" s="484"/>
      <c r="I1142" s="484"/>
      <c r="J1142" s="484"/>
      <c r="K1142" s="140" t="s">
        <v>278</v>
      </c>
      <c r="L1142" s="141">
        <v>68</v>
      </c>
      <c r="M1142" s="123"/>
      <c r="N1142" s="117"/>
    </row>
    <row r="1143" spans="1:14" ht="17.25" thickBot="1">
      <c r="A1143" s="126" t="str">
        <f t="shared" si="45"/>
        <v>2026/01</v>
      </c>
      <c r="B1143" s="127" t="str">
        <f t="shared" si="46"/>
        <v>2026/01站前4樓</v>
      </c>
      <c r="C1143" s="138">
        <v>29</v>
      </c>
      <c r="D1143" s="139" t="s">
        <v>236</v>
      </c>
      <c r="E1143" s="484" t="s">
        <v>273</v>
      </c>
      <c r="F1143" s="484"/>
      <c r="G1143" s="484" t="s">
        <v>274</v>
      </c>
      <c r="H1143" s="484"/>
      <c r="I1143" s="484"/>
      <c r="J1143" s="484"/>
      <c r="K1143" s="140" t="s">
        <v>275</v>
      </c>
      <c r="L1143" s="141">
        <v>356</v>
      </c>
      <c r="M1143" s="123"/>
      <c r="N1143" s="117"/>
    </row>
    <row r="1144" spans="1:14" ht="17.25" thickBot="1">
      <c r="A1144" s="126" t="str">
        <f t="shared" si="45"/>
        <v>2026/01</v>
      </c>
      <c r="B1144" s="127" t="str">
        <f t="shared" si="46"/>
        <v>2026/01站前4樓</v>
      </c>
      <c r="C1144" s="138">
        <v>30</v>
      </c>
      <c r="D1144" s="139" t="s">
        <v>236</v>
      </c>
      <c r="E1144" s="484" t="s">
        <v>285</v>
      </c>
      <c r="F1144" s="484"/>
      <c r="G1144" s="484" t="s">
        <v>286</v>
      </c>
      <c r="H1144" s="484"/>
      <c r="I1144" s="484"/>
      <c r="J1144" s="484"/>
      <c r="K1144" s="140" t="s">
        <v>287</v>
      </c>
      <c r="L1144" s="141">
        <v>24935</v>
      </c>
      <c r="M1144" s="123"/>
      <c r="N1144" s="117"/>
    </row>
    <row r="1145" spans="1:14" ht="17.25" thickBot="1">
      <c r="A1145" s="126" t="str">
        <f t="shared" si="45"/>
        <v>2026/01</v>
      </c>
      <c r="B1145" s="127" t="str">
        <f t="shared" si="46"/>
        <v>2026/01站前4樓</v>
      </c>
      <c r="C1145" s="138">
        <v>31</v>
      </c>
      <c r="D1145" s="139" t="s">
        <v>236</v>
      </c>
      <c r="E1145" s="484" t="s">
        <v>290</v>
      </c>
      <c r="F1145" s="484"/>
      <c r="G1145" s="484" t="s">
        <v>291</v>
      </c>
      <c r="H1145" s="484"/>
      <c r="I1145" s="484"/>
      <c r="J1145" s="484"/>
      <c r="K1145" s="140" t="s">
        <v>287</v>
      </c>
      <c r="L1145" s="141">
        <v>49732</v>
      </c>
      <c r="M1145" s="123"/>
      <c r="N1145" s="117"/>
    </row>
    <row r="1146" spans="1:14" ht="17.25" thickBot="1">
      <c r="A1146" s="126" t="str">
        <f t="shared" si="45"/>
        <v>2026/01</v>
      </c>
      <c r="B1146" s="127" t="str">
        <f t="shared" si="46"/>
        <v>2026/01站前4樓</v>
      </c>
      <c r="C1146" s="138">
        <v>32</v>
      </c>
      <c r="D1146" s="139" t="s">
        <v>236</v>
      </c>
      <c r="E1146" s="484" t="s">
        <v>292</v>
      </c>
      <c r="F1146" s="484"/>
      <c r="G1146" s="484" t="s">
        <v>293</v>
      </c>
      <c r="H1146" s="484"/>
      <c r="I1146" s="484"/>
      <c r="J1146" s="484"/>
      <c r="K1146" s="140" t="s">
        <v>287</v>
      </c>
      <c r="L1146" s="141">
        <v>68813</v>
      </c>
      <c r="M1146" s="123"/>
      <c r="N1146" s="117"/>
    </row>
    <row r="1147" spans="1:14" ht="17.25" thickBot="1">
      <c r="A1147" s="126" t="str">
        <f t="shared" si="45"/>
        <v>2026/01</v>
      </c>
      <c r="B1147" s="127" t="str">
        <f t="shared" si="46"/>
        <v>2026/01站前4樓</v>
      </c>
      <c r="C1147" s="138">
        <v>33</v>
      </c>
      <c r="D1147" s="139" t="s">
        <v>236</v>
      </c>
      <c r="E1147" s="484" t="s">
        <v>323</v>
      </c>
      <c r="F1147" s="484"/>
      <c r="G1147" s="484" t="s">
        <v>324</v>
      </c>
      <c r="H1147" s="484"/>
      <c r="I1147" s="484"/>
      <c r="J1147" s="484"/>
      <c r="K1147" s="140" t="s">
        <v>721</v>
      </c>
      <c r="L1147" s="141">
        <v>22645</v>
      </c>
      <c r="M1147" s="123"/>
      <c r="N1147" s="117"/>
    </row>
    <row r="1148" spans="1:14" ht="17.25" thickBot="1">
      <c r="A1148" s="126" t="str">
        <f t="shared" si="45"/>
        <v>2026/01</v>
      </c>
      <c r="B1148" s="127" t="str">
        <f t="shared" si="46"/>
        <v>2026/01站前4樓</v>
      </c>
      <c r="C1148" s="138">
        <v>34</v>
      </c>
      <c r="D1148" s="139" t="s">
        <v>236</v>
      </c>
      <c r="E1148" s="484" t="s">
        <v>338</v>
      </c>
      <c r="F1148" s="484"/>
      <c r="G1148" s="484" t="s">
        <v>339</v>
      </c>
      <c r="H1148" s="484"/>
      <c r="I1148" s="484"/>
      <c r="J1148" s="484"/>
      <c r="K1148" s="140" t="s">
        <v>287</v>
      </c>
      <c r="L1148" s="141">
        <v>4556</v>
      </c>
      <c r="M1148" s="123"/>
      <c r="N1148" s="117"/>
    </row>
    <row r="1149" spans="1:14" ht="17.25" thickBot="1">
      <c r="A1149" s="126" t="str">
        <f t="shared" si="45"/>
        <v>2026/01</v>
      </c>
      <c r="B1149" s="127" t="str">
        <f t="shared" si="46"/>
        <v>2026/01站前4樓</v>
      </c>
      <c r="C1149" s="138">
        <v>35</v>
      </c>
      <c r="D1149" s="139" t="s">
        <v>236</v>
      </c>
      <c r="E1149" s="484" t="s">
        <v>326</v>
      </c>
      <c r="F1149" s="484"/>
      <c r="G1149" s="484" t="s">
        <v>327</v>
      </c>
      <c r="H1149" s="484"/>
      <c r="I1149" s="484"/>
      <c r="J1149" s="484"/>
      <c r="K1149" s="140" t="s">
        <v>287</v>
      </c>
      <c r="L1149" s="141">
        <v>9844</v>
      </c>
      <c r="M1149" s="123"/>
      <c r="N1149" s="117"/>
    </row>
    <row r="1150" spans="1:14" ht="17.25" thickBot="1">
      <c r="A1150" s="126" t="str">
        <f t="shared" si="45"/>
        <v>2026/01</v>
      </c>
      <c r="B1150" s="127" t="str">
        <f t="shared" si="46"/>
        <v>2026/01站前4樓</v>
      </c>
      <c r="C1150" s="138">
        <v>36</v>
      </c>
      <c r="D1150" s="139" t="s">
        <v>236</v>
      </c>
      <c r="E1150" s="484" t="s">
        <v>328</v>
      </c>
      <c r="F1150" s="484"/>
      <c r="G1150" s="484" t="s">
        <v>329</v>
      </c>
      <c r="H1150" s="484"/>
      <c r="I1150" s="484"/>
      <c r="J1150" s="484"/>
      <c r="K1150" s="140" t="s">
        <v>287</v>
      </c>
      <c r="L1150" s="141">
        <v>18334</v>
      </c>
      <c r="M1150" s="123"/>
      <c r="N1150" s="117"/>
    </row>
    <row r="1151" spans="1:14" ht="17.25" thickBot="1">
      <c r="A1151" s="126" t="str">
        <f t="shared" si="45"/>
        <v>2026/01</v>
      </c>
      <c r="B1151" s="127" t="str">
        <f t="shared" si="46"/>
        <v>2026/01站前4樓</v>
      </c>
      <c r="C1151" s="138">
        <v>37</v>
      </c>
      <c r="D1151" s="139" t="s">
        <v>236</v>
      </c>
      <c r="E1151" s="484" t="s">
        <v>330</v>
      </c>
      <c r="F1151" s="484"/>
      <c r="G1151" s="484" t="s">
        <v>331</v>
      </c>
      <c r="H1151" s="484"/>
      <c r="I1151" s="484"/>
      <c r="J1151" s="484"/>
      <c r="K1151" s="140" t="s">
        <v>287</v>
      </c>
      <c r="L1151" s="141">
        <v>5994</v>
      </c>
      <c r="M1151" s="123"/>
      <c r="N1151" s="117"/>
    </row>
    <row r="1152" spans="1:14" ht="17.25" thickBot="1">
      <c r="A1152" s="126" t="str">
        <f t="shared" si="45"/>
        <v>2026/01</v>
      </c>
      <c r="B1152" s="127" t="str">
        <f t="shared" si="46"/>
        <v>2026/01站前4樓</v>
      </c>
      <c r="C1152" s="138">
        <v>38</v>
      </c>
      <c r="D1152" s="139" t="s">
        <v>236</v>
      </c>
      <c r="E1152" s="484" t="s">
        <v>739</v>
      </c>
      <c r="F1152" s="484"/>
      <c r="G1152" s="484" t="s">
        <v>740</v>
      </c>
      <c r="H1152" s="484"/>
      <c r="I1152" s="484"/>
      <c r="J1152" s="484"/>
      <c r="K1152" s="140" t="s">
        <v>287</v>
      </c>
      <c r="L1152" s="141">
        <v>74</v>
      </c>
      <c r="M1152" s="123"/>
      <c r="N1152" s="117"/>
    </row>
    <row r="1153" spans="1:14" ht="17.25" thickBot="1">
      <c r="A1153" s="126" t="str">
        <f t="shared" si="45"/>
        <v>2026/01</v>
      </c>
      <c r="B1153" s="127" t="str">
        <f t="shared" si="46"/>
        <v>2026/01站前4樓</v>
      </c>
      <c r="C1153" s="138">
        <v>39</v>
      </c>
      <c r="D1153" s="139" t="s">
        <v>236</v>
      </c>
      <c r="E1153" s="484" t="s">
        <v>302</v>
      </c>
      <c r="F1153" s="484"/>
      <c r="G1153" s="484" t="s">
        <v>303</v>
      </c>
      <c r="H1153" s="484"/>
      <c r="I1153" s="484"/>
      <c r="J1153" s="484"/>
      <c r="K1153" s="140" t="s">
        <v>304</v>
      </c>
      <c r="L1153" s="141">
        <v>4380</v>
      </c>
      <c r="M1153" s="123"/>
      <c r="N1153" s="117"/>
    </row>
    <row r="1154" spans="1:14" ht="17.25" thickBot="1">
      <c r="A1154" s="126" t="str">
        <f t="shared" si="45"/>
        <v>2026/01</v>
      </c>
      <c r="B1154" s="127" t="str">
        <f t="shared" si="46"/>
        <v>2026/01站前4樓</v>
      </c>
      <c r="C1154" s="138">
        <v>40</v>
      </c>
      <c r="D1154" s="139" t="s">
        <v>236</v>
      </c>
      <c r="E1154" s="484" t="s">
        <v>705</v>
      </c>
      <c r="F1154" s="484"/>
      <c r="G1154" s="484" t="s">
        <v>706</v>
      </c>
      <c r="H1154" s="484"/>
      <c r="I1154" s="484"/>
      <c r="J1154" s="484"/>
      <c r="K1154" s="140" t="s">
        <v>707</v>
      </c>
      <c r="L1154" s="141">
        <v>27220</v>
      </c>
      <c r="M1154" s="123"/>
      <c r="N1154" s="117"/>
    </row>
    <row r="1155" spans="1:14" ht="17.25" thickBot="1">
      <c r="A1155" s="126" t="str">
        <f t="shared" si="45"/>
        <v>2026/01</v>
      </c>
      <c r="B1155" s="127" t="str">
        <f t="shared" si="46"/>
        <v>2026/01站前4樓</v>
      </c>
      <c r="C1155" s="138">
        <v>41</v>
      </c>
      <c r="D1155" s="139" t="s">
        <v>236</v>
      </c>
      <c r="E1155" s="484" t="s">
        <v>279</v>
      </c>
      <c r="F1155" s="484"/>
      <c r="G1155" s="484" t="s">
        <v>280</v>
      </c>
      <c r="H1155" s="484"/>
      <c r="I1155" s="484"/>
      <c r="J1155" s="484"/>
      <c r="K1155" s="140" t="s">
        <v>281</v>
      </c>
      <c r="L1155" s="141">
        <v>397432</v>
      </c>
      <c r="M1155" s="123"/>
      <c r="N1155" s="117"/>
    </row>
    <row r="1156" spans="1:14" ht="17.25" thickBot="1">
      <c r="A1156" s="126" t="str">
        <f t="shared" si="45"/>
        <v>2026/01</v>
      </c>
      <c r="B1156" s="127" t="str">
        <f t="shared" si="46"/>
        <v>2026/01站前4樓</v>
      </c>
      <c r="C1156" s="138">
        <v>42</v>
      </c>
      <c r="D1156" s="139" t="s">
        <v>236</v>
      </c>
      <c r="E1156" s="484" t="s">
        <v>288</v>
      </c>
      <c r="F1156" s="484"/>
      <c r="G1156" s="484" t="s">
        <v>289</v>
      </c>
      <c r="H1156" s="484"/>
      <c r="I1156" s="484"/>
      <c r="J1156" s="484"/>
      <c r="K1156" s="140" t="s">
        <v>281</v>
      </c>
      <c r="L1156" s="141">
        <v>139998</v>
      </c>
      <c r="M1156" s="123"/>
      <c r="N1156" s="117"/>
    </row>
    <row r="1157" spans="1:14" ht="17.25" thickBot="1">
      <c r="A1157" s="126" t="str">
        <f t="shared" si="45"/>
        <v>2026/01</v>
      </c>
      <c r="B1157" s="127" t="str">
        <f t="shared" si="46"/>
        <v>2026/01站前4樓</v>
      </c>
      <c r="C1157" s="138">
        <v>43</v>
      </c>
      <c r="D1157" s="139" t="s">
        <v>236</v>
      </c>
      <c r="E1157" s="484" t="s">
        <v>332</v>
      </c>
      <c r="F1157" s="484"/>
      <c r="G1157" s="484" t="s">
        <v>333</v>
      </c>
      <c r="H1157" s="484"/>
      <c r="I1157" s="484"/>
      <c r="J1157" s="484"/>
      <c r="K1157" s="140" t="s">
        <v>334</v>
      </c>
      <c r="L1157" s="141">
        <v>53151</v>
      </c>
      <c r="M1157" s="123"/>
      <c r="N1157" s="117"/>
    </row>
    <row r="1158" spans="1:14" ht="17.25" thickBot="1">
      <c r="A1158" s="126" t="str">
        <f t="shared" si="45"/>
        <v>2026/01</v>
      </c>
      <c r="B1158" s="127" t="str">
        <f t="shared" si="46"/>
        <v>2026/01站前4樓</v>
      </c>
      <c r="C1158" s="138">
        <v>44</v>
      </c>
      <c r="D1158" s="139" t="s">
        <v>236</v>
      </c>
      <c r="E1158" s="484" t="s">
        <v>335</v>
      </c>
      <c r="F1158" s="484"/>
      <c r="G1158" s="484" t="s">
        <v>336</v>
      </c>
      <c r="H1158" s="484"/>
      <c r="I1158" s="484"/>
      <c r="J1158" s="484"/>
      <c r="K1158" s="140" t="s">
        <v>337</v>
      </c>
      <c r="L1158" s="141">
        <v>14250</v>
      </c>
      <c r="M1158" s="123"/>
      <c r="N1158" s="117"/>
    </row>
    <row r="1159" spans="1:14" ht="17.25" thickBot="1">
      <c r="A1159" s="126" t="str">
        <f t="shared" si="45"/>
        <v>2026/01</v>
      </c>
      <c r="B1159" s="127" t="str">
        <f t="shared" si="46"/>
        <v>2026/01站前4樓</v>
      </c>
      <c r="C1159" s="138">
        <v>45</v>
      </c>
      <c r="D1159" s="139" t="s">
        <v>236</v>
      </c>
      <c r="E1159" s="484" t="s">
        <v>351</v>
      </c>
      <c r="F1159" s="484"/>
      <c r="G1159" s="484" t="s">
        <v>352</v>
      </c>
      <c r="H1159" s="484"/>
      <c r="I1159" s="484"/>
      <c r="J1159" s="484"/>
      <c r="K1159" s="140" t="s">
        <v>353</v>
      </c>
      <c r="L1159" s="141">
        <v>16</v>
      </c>
      <c r="M1159" s="123"/>
      <c r="N1159" s="117"/>
    </row>
    <row r="1160" spans="1:14" ht="17.25" thickBot="1">
      <c r="A1160" s="126" t="str">
        <f t="shared" si="45"/>
        <v>2026/01</v>
      </c>
      <c r="B1160" s="127" t="str">
        <f t="shared" si="46"/>
        <v>2026/01站前4樓</v>
      </c>
      <c r="C1160" s="138">
        <v>46</v>
      </c>
      <c r="D1160" s="139" t="s">
        <v>236</v>
      </c>
      <c r="E1160" s="484" t="s">
        <v>357</v>
      </c>
      <c r="F1160" s="484"/>
      <c r="G1160" s="484" t="s">
        <v>358</v>
      </c>
      <c r="H1160" s="484"/>
      <c r="I1160" s="484"/>
      <c r="J1160" s="484"/>
      <c r="K1160" s="140" t="s">
        <v>353</v>
      </c>
      <c r="L1160" s="141">
        <v>8</v>
      </c>
      <c r="M1160" s="123"/>
      <c r="N1160" s="117"/>
    </row>
    <row r="1161" spans="1:14" ht="17.25" thickBot="1">
      <c r="A1161" s="126" t="str">
        <f t="shared" si="45"/>
        <v>2026/01</v>
      </c>
      <c r="B1161" s="127" t="str">
        <f t="shared" si="46"/>
        <v>2026/01站前4樓</v>
      </c>
      <c r="C1161" s="138">
        <v>47</v>
      </c>
      <c r="D1161" s="139" t="s">
        <v>236</v>
      </c>
      <c r="E1161" s="484" t="s">
        <v>697</v>
      </c>
      <c r="F1161" s="484"/>
      <c r="G1161" s="484" t="s">
        <v>698</v>
      </c>
      <c r="H1161" s="484"/>
      <c r="I1161" s="484"/>
      <c r="J1161" s="484"/>
      <c r="K1161" s="140" t="s">
        <v>699</v>
      </c>
      <c r="L1161" s="141">
        <v>3</v>
      </c>
      <c r="M1161" s="123"/>
      <c r="N1161" s="117"/>
    </row>
    <row r="1162" spans="1:14" ht="17.25" thickBot="1">
      <c r="A1162" s="126" t="str">
        <f t="shared" si="45"/>
        <v>2026/01</v>
      </c>
      <c r="B1162" s="127" t="str">
        <f t="shared" si="46"/>
        <v>2026/01站前4樓</v>
      </c>
      <c r="C1162" s="138">
        <v>48</v>
      </c>
      <c r="D1162" s="139" t="s">
        <v>236</v>
      </c>
      <c r="E1162" s="484" t="s">
        <v>683</v>
      </c>
      <c r="F1162" s="484"/>
      <c r="G1162" s="484" t="s">
        <v>684</v>
      </c>
      <c r="H1162" s="484"/>
      <c r="I1162" s="484"/>
      <c r="J1162" s="484"/>
      <c r="K1162" s="140" t="s">
        <v>685</v>
      </c>
      <c r="L1162" s="141">
        <v>16</v>
      </c>
      <c r="M1162" s="123"/>
      <c r="N1162" s="117"/>
    </row>
    <row r="1163" spans="1:14" ht="17.25" thickBot="1">
      <c r="A1163" s="126" t="str">
        <f t="shared" si="45"/>
        <v>2026/01</v>
      </c>
      <c r="B1163" s="127" t="str">
        <f t="shared" si="46"/>
        <v>2026/01站前4樓</v>
      </c>
      <c r="C1163" s="138">
        <v>49</v>
      </c>
      <c r="D1163" s="139" t="s">
        <v>236</v>
      </c>
      <c r="E1163" s="484" t="s">
        <v>686</v>
      </c>
      <c r="F1163" s="484"/>
      <c r="G1163" s="484" t="s">
        <v>687</v>
      </c>
      <c r="H1163" s="484"/>
      <c r="I1163" s="484"/>
      <c r="J1163" s="484"/>
      <c r="K1163" s="140" t="s">
        <v>688</v>
      </c>
      <c r="L1163" s="141">
        <v>32</v>
      </c>
      <c r="M1163" s="123"/>
      <c r="N1163" s="117"/>
    </row>
    <row r="1164" spans="1:14" ht="17.25" thickBot="1">
      <c r="A1164" s="126" t="str">
        <f t="shared" si="45"/>
        <v>2026/01</v>
      </c>
      <c r="B1164" s="127" t="str">
        <f t="shared" si="46"/>
        <v>2026/01站前4樓</v>
      </c>
      <c r="C1164" s="138">
        <v>50</v>
      </c>
      <c r="D1164" s="139" t="s">
        <v>236</v>
      </c>
      <c r="E1164" s="484" t="s">
        <v>354</v>
      </c>
      <c r="F1164" s="484"/>
      <c r="G1164" s="484" t="s">
        <v>741</v>
      </c>
      <c r="H1164" s="484"/>
      <c r="I1164" s="484"/>
      <c r="J1164" s="484"/>
      <c r="K1164" s="140" t="s">
        <v>356</v>
      </c>
      <c r="L1164" s="141">
        <v>2</v>
      </c>
      <c r="M1164" s="123"/>
      <c r="N1164" s="117"/>
    </row>
    <row r="1165" spans="1:14" ht="17.25" thickBot="1">
      <c r="A1165" s="126" t="str">
        <f t="shared" si="45"/>
        <v>2026/01</v>
      </c>
      <c r="B1165" s="127" t="str">
        <f t="shared" si="46"/>
        <v>2026/01站前4樓</v>
      </c>
      <c r="C1165" s="138">
        <v>51</v>
      </c>
      <c r="D1165" s="139" t="s">
        <v>236</v>
      </c>
      <c r="E1165" s="484" t="s">
        <v>425</v>
      </c>
      <c r="F1165" s="484"/>
      <c r="G1165" s="484" t="s">
        <v>426</v>
      </c>
      <c r="H1165" s="484"/>
      <c r="I1165" s="484"/>
      <c r="J1165" s="484"/>
      <c r="K1165" s="140" t="s">
        <v>269</v>
      </c>
      <c r="L1165" s="141">
        <v>2</v>
      </c>
      <c r="M1165" s="123"/>
      <c r="N1165" s="117"/>
    </row>
    <row r="1166" spans="1:14" ht="17.25" thickBot="1">
      <c r="A1166" s="126" t="str">
        <f t="shared" si="45"/>
        <v>2026/01</v>
      </c>
      <c r="B1166" s="127" t="str">
        <f t="shared" si="46"/>
        <v>2026/01站前4樓</v>
      </c>
      <c r="C1166" s="138">
        <v>52</v>
      </c>
      <c r="D1166" s="139" t="s">
        <v>236</v>
      </c>
      <c r="E1166" s="484" t="s">
        <v>309</v>
      </c>
      <c r="F1166" s="484"/>
      <c r="G1166" s="484" t="s">
        <v>310</v>
      </c>
      <c r="H1166" s="484"/>
      <c r="I1166" s="484"/>
      <c r="J1166" s="484"/>
      <c r="K1166" s="140" t="s">
        <v>269</v>
      </c>
      <c r="L1166" s="141">
        <v>176</v>
      </c>
      <c r="M1166" s="123"/>
      <c r="N1166" s="117"/>
    </row>
    <row r="1167" spans="1:14" ht="17.25" thickBot="1">
      <c r="A1167" s="126" t="str">
        <f t="shared" si="45"/>
        <v>2026/01</v>
      </c>
      <c r="B1167" s="127" t="str">
        <f t="shared" si="46"/>
        <v>2026/01站前4樓</v>
      </c>
      <c r="C1167" s="138">
        <v>53</v>
      </c>
      <c r="D1167" s="139" t="s">
        <v>236</v>
      </c>
      <c r="E1167" s="484" t="s">
        <v>267</v>
      </c>
      <c r="F1167" s="484"/>
      <c r="G1167" s="484" t="s">
        <v>268</v>
      </c>
      <c r="H1167" s="484"/>
      <c r="I1167" s="484"/>
      <c r="J1167" s="484"/>
      <c r="K1167" s="140" t="s">
        <v>269</v>
      </c>
      <c r="L1167" s="141">
        <v>15</v>
      </c>
      <c r="M1167" s="123"/>
      <c r="N1167" s="117"/>
    </row>
    <row r="1168" spans="1:14" ht="17.25" thickBot="1">
      <c r="A1168" s="126" t="str">
        <f t="shared" si="45"/>
        <v>2026/01</v>
      </c>
      <c r="B1168" s="127" t="str">
        <f t="shared" si="46"/>
        <v>2026/01站前4樓</v>
      </c>
      <c r="C1168" s="138">
        <v>54</v>
      </c>
      <c r="D1168" s="139" t="s">
        <v>236</v>
      </c>
      <c r="E1168" s="484" t="s">
        <v>297</v>
      </c>
      <c r="F1168" s="484"/>
      <c r="G1168" s="484" t="s">
        <v>298</v>
      </c>
      <c r="H1168" s="484"/>
      <c r="I1168" s="484"/>
      <c r="J1168" s="484"/>
      <c r="K1168" s="140" t="s">
        <v>269</v>
      </c>
      <c r="L1168" s="141">
        <v>1</v>
      </c>
      <c r="M1168" s="123"/>
      <c r="N1168" s="117"/>
    </row>
    <row r="1169" spans="1:14" ht="17.25" thickBot="1">
      <c r="A1169" s="126" t="str">
        <f t="shared" si="45"/>
        <v>2026/01</v>
      </c>
      <c r="B1169" s="127" t="str">
        <f t="shared" si="46"/>
        <v>2026/01站前4樓</v>
      </c>
      <c r="C1169" s="138">
        <v>55</v>
      </c>
      <c r="D1169" s="139" t="s">
        <v>236</v>
      </c>
      <c r="E1169" s="484" t="s">
        <v>315</v>
      </c>
      <c r="F1169" s="484"/>
      <c r="G1169" s="484" t="s">
        <v>316</v>
      </c>
      <c r="H1169" s="484"/>
      <c r="I1169" s="484"/>
      <c r="J1169" s="484"/>
      <c r="K1169" s="140" t="s">
        <v>296</v>
      </c>
      <c r="L1169" s="141">
        <v>11</v>
      </c>
      <c r="M1169" s="123"/>
      <c r="N1169" s="117"/>
    </row>
    <row r="1170" spans="1:14" ht="17.25" thickBot="1">
      <c r="A1170" s="126" t="str">
        <f t="shared" si="45"/>
        <v>2026/01</v>
      </c>
      <c r="B1170" s="127" t="str">
        <f t="shared" si="46"/>
        <v>2026/01站前4樓</v>
      </c>
      <c r="C1170" s="138">
        <v>56</v>
      </c>
      <c r="D1170" s="139" t="s">
        <v>236</v>
      </c>
      <c r="E1170" s="484" t="s">
        <v>294</v>
      </c>
      <c r="F1170" s="484"/>
      <c r="G1170" s="484" t="s">
        <v>295</v>
      </c>
      <c r="H1170" s="484"/>
      <c r="I1170" s="484"/>
      <c r="J1170" s="484"/>
      <c r="K1170" s="140" t="s">
        <v>296</v>
      </c>
      <c r="L1170" s="141">
        <v>5</v>
      </c>
      <c r="M1170" s="123"/>
      <c r="N1170" s="117"/>
    </row>
    <row r="1171" spans="1:14" ht="17.25" thickBot="1">
      <c r="A1171" s="126" t="str">
        <f t="shared" si="45"/>
        <v>2026/01</v>
      </c>
      <c r="B1171" s="127" t="str">
        <f t="shared" si="46"/>
        <v>2026/01站前4樓</v>
      </c>
      <c r="C1171" s="138">
        <v>57</v>
      </c>
      <c r="D1171" s="139" t="s">
        <v>236</v>
      </c>
      <c r="E1171" s="484" t="s">
        <v>736</v>
      </c>
      <c r="F1171" s="484"/>
      <c r="G1171" s="484" t="s">
        <v>737</v>
      </c>
      <c r="H1171" s="484"/>
      <c r="I1171" s="484"/>
      <c r="J1171" s="484"/>
      <c r="K1171" s="140" t="s">
        <v>738</v>
      </c>
      <c r="L1171" s="141">
        <v>3</v>
      </c>
      <c r="M1171" s="123"/>
      <c r="N1171" s="117"/>
    </row>
    <row r="1172" spans="1:14" ht="17.25" thickBot="1">
      <c r="A1172" s="126" t="str">
        <f t="shared" ref="A1172" si="47">IFERROR(LEFT(B1172,7),"")</f>
        <v>2026/01</v>
      </c>
      <c r="B1172" s="127" t="str">
        <f t="shared" ref="B1172" si="48">"2026/01"&amp;D1172</f>
        <v>2026/01站前4樓</v>
      </c>
      <c r="C1172" s="138">
        <v>58</v>
      </c>
      <c r="D1172" s="139" t="s">
        <v>236</v>
      </c>
      <c r="E1172" s="484" t="s">
        <v>237</v>
      </c>
      <c r="F1172" s="484"/>
      <c r="G1172" s="484" t="s">
        <v>238</v>
      </c>
      <c r="H1172" s="484"/>
      <c r="I1172" s="484"/>
      <c r="J1172" s="484"/>
      <c r="K1172" s="140" t="s">
        <v>239</v>
      </c>
      <c r="L1172" s="141">
        <v>648</v>
      </c>
      <c r="M1172" s="123"/>
      <c r="N1172" s="117"/>
    </row>
    <row r="1173" spans="1:14" ht="17.25" thickBot="1">
      <c r="A1173" s="126" t="str">
        <f t="shared" ref="A1173:A1199" si="49">IFERROR(LEFT(B1173,7),"")</f>
        <v>2026/01</v>
      </c>
      <c r="B1173" s="127" t="str">
        <f t="shared" ref="B1173:B1199" si="50">"2026/01"&amp;D1173</f>
        <v>2026/01站前4樓</v>
      </c>
      <c r="C1173" s="138">
        <v>59</v>
      </c>
      <c r="D1173" s="139" t="s">
        <v>236</v>
      </c>
      <c r="E1173" s="484" t="s">
        <v>240</v>
      </c>
      <c r="F1173" s="484"/>
      <c r="G1173" s="484" t="s">
        <v>241</v>
      </c>
      <c r="H1173" s="484"/>
      <c r="I1173" s="484"/>
      <c r="J1173" s="484"/>
      <c r="K1173" s="140" t="s">
        <v>239</v>
      </c>
      <c r="L1173" s="141">
        <v>648</v>
      </c>
      <c r="M1173" s="123"/>
      <c r="N1173" s="117"/>
    </row>
    <row r="1174" spans="1:14" ht="17.25" thickBot="1">
      <c r="A1174" s="126" t="str">
        <f t="shared" si="49"/>
        <v>2026/01</v>
      </c>
      <c r="B1174" s="127" t="str">
        <f t="shared" si="50"/>
        <v>2026/01站前4樓</v>
      </c>
      <c r="C1174" s="138">
        <v>60</v>
      </c>
      <c r="D1174" s="139" t="s">
        <v>236</v>
      </c>
      <c r="E1174" s="484" t="s">
        <v>242</v>
      </c>
      <c r="F1174" s="484"/>
      <c r="G1174" s="484" t="s">
        <v>243</v>
      </c>
      <c r="H1174" s="484"/>
      <c r="I1174" s="484"/>
      <c r="J1174" s="484"/>
      <c r="K1174" s="140" t="s">
        <v>239</v>
      </c>
      <c r="L1174" s="141">
        <v>648</v>
      </c>
      <c r="M1174" s="123"/>
      <c r="N1174" s="117"/>
    </row>
    <row r="1175" spans="1:14" ht="17.25" thickBot="1">
      <c r="A1175" s="126" t="str">
        <f t="shared" si="49"/>
        <v>2026/01</v>
      </c>
      <c r="B1175" s="127" t="str">
        <f t="shared" si="50"/>
        <v>2026/01站前4樓</v>
      </c>
      <c r="C1175" s="138">
        <v>61</v>
      </c>
      <c r="D1175" s="139" t="s">
        <v>236</v>
      </c>
      <c r="E1175" s="484" t="s">
        <v>244</v>
      </c>
      <c r="F1175" s="484"/>
      <c r="G1175" s="484" t="s">
        <v>245</v>
      </c>
      <c r="H1175" s="484"/>
      <c r="I1175" s="484"/>
      <c r="J1175" s="484"/>
      <c r="K1175" s="140" t="s">
        <v>725</v>
      </c>
      <c r="L1175" s="141">
        <v>9720</v>
      </c>
      <c r="M1175" s="123"/>
      <c r="N1175" s="117"/>
    </row>
    <row r="1176" spans="1:14" ht="17.25" thickBot="1">
      <c r="A1176" s="126" t="str">
        <f t="shared" si="49"/>
        <v>2026/01</v>
      </c>
      <c r="B1176" s="127" t="str">
        <f t="shared" si="50"/>
        <v>2026/01站前4樓</v>
      </c>
      <c r="C1176" s="138">
        <v>62</v>
      </c>
      <c r="D1176" s="139" t="s">
        <v>236</v>
      </c>
      <c r="E1176" s="484" t="s">
        <v>246</v>
      </c>
      <c r="F1176" s="484"/>
      <c r="G1176" s="484" t="s">
        <v>247</v>
      </c>
      <c r="H1176" s="484"/>
      <c r="I1176" s="484"/>
      <c r="J1176" s="484"/>
      <c r="K1176" s="140" t="s">
        <v>725</v>
      </c>
      <c r="L1176" s="141">
        <v>9720</v>
      </c>
      <c r="M1176" s="123"/>
      <c r="N1176" s="117"/>
    </row>
    <row r="1177" spans="1:14" ht="17.25" thickBot="1">
      <c r="A1177" s="126" t="str">
        <f t="shared" si="49"/>
        <v>2026/01</v>
      </c>
      <c r="B1177" s="127" t="str">
        <f t="shared" si="50"/>
        <v>2026/01站前4樓</v>
      </c>
      <c r="C1177" s="138">
        <v>63</v>
      </c>
      <c r="D1177" s="139" t="s">
        <v>236</v>
      </c>
      <c r="E1177" s="484" t="s">
        <v>248</v>
      </c>
      <c r="F1177" s="484"/>
      <c r="G1177" s="484" t="s">
        <v>249</v>
      </c>
      <c r="H1177" s="484"/>
      <c r="I1177" s="484"/>
      <c r="J1177" s="484"/>
      <c r="K1177" s="140" t="s">
        <v>725</v>
      </c>
      <c r="L1177" s="141">
        <v>9720</v>
      </c>
      <c r="M1177" s="123"/>
      <c r="N1177" s="117"/>
    </row>
    <row r="1178" spans="1:14" ht="17.25" thickBot="1">
      <c r="A1178" s="126" t="str">
        <f t="shared" si="49"/>
        <v>2026/01</v>
      </c>
      <c r="B1178" s="127" t="str">
        <f t="shared" si="50"/>
        <v>2026/01站前4樓</v>
      </c>
      <c r="C1178" s="138">
        <v>64</v>
      </c>
      <c r="D1178" s="139" t="s">
        <v>236</v>
      </c>
      <c r="E1178" s="484" t="s">
        <v>250</v>
      </c>
      <c r="F1178" s="484"/>
      <c r="G1178" s="484" t="s">
        <v>251</v>
      </c>
      <c r="H1178" s="484"/>
      <c r="I1178" s="484"/>
      <c r="J1178" s="484"/>
      <c r="K1178" s="140" t="s">
        <v>725</v>
      </c>
      <c r="L1178" s="141">
        <v>9720</v>
      </c>
      <c r="M1178" s="123"/>
      <c r="N1178" s="117"/>
    </row>
    <row r="1179" spans="1:14" ht="17.25" thickBot="1">
      <c r="A1179" s="126" t="str">
        <f t="shared" si="49"/>
        <v>2026/01</v>
      </c>
      <c r="B1179" s="127" t="str">
        <f t="shared" si="50"/>
        <v>2026/01站前11樓</v>
      </c>
      <c r="C1179" s="138">
        <v>65</v>
      </c>
      <c r="D1179" s="139" t="s">
        <v>374</v>
      </c>
      <c r="E1179" s="484" t="s">
        <v>392</v>
      </c>
      <c r="F1179" s="484"/>
      <c r="G1179" s="484" t="s">
        <v>393</v>
      </c>
      <c r="H1179" s="484"/>
      <c r="I1179" s="484"/>
      <c r="J1179" s="484"/>
      <c r="K1179" s="140" t="s">
        <v>382</v>
      </c>
      <c r="L1179" s="141">
        <v>609</v>
      </c>
      <c r="M1179" s="123"/>
      <c r="N1179" s="117"/>
    </row>
    <row r="1180" spans="1:14" ht="17.25" thickBot="1">
      <c r="A1180" s="126" t="str">
        <f t="shared" si="49"/>
        <v>2026/01</v>
      </c>
      <c r="B1180" s="127" t="str">
        <f t="shared" si="50"/>
        <v>2026/01站前11樓</v>
      </c>
      <c r="C1180" s="138">
        <v>66</v>
      </c>
      <c r="D1180" s="139" t="s">
        <v>374</v>
      </c>
      <c r="E1180" s="484" t="s">
        <v>380</v>
      </c>
      <c r="F1180" s="484"/>
      <c r="G1180" s="484" t="s">
        <v>381</v>
      </c>
      <c r="H1180" s="484"/>
      <c r="I1180" s="484"/>
      <c r="J1180" s="484"/>
      <c r="K1180" s="140" t="s">
        <v>382</v>
      </c>
      <c r="L1180" s="141">
        <v>768.5</v>
      </c>
      <c r="M1180" s="123"/>
      <c r="N1180" s="117"/>
    </row>
    <row r="1181" spans="1:14" ht="17.25" thickBot="1">
      <c r="A1181" s="126" t="str">
        <f t="shared" si="49"/>
        <v>2026/01</v>
      </c>
      <c r="B1181" s="127" t="str">
        <f t="shared" si="50"/>
        <v>2026/01站前11樓</v>
      </c>
      <c r="C1181" s="138">
        <v>67</v>
      </c>
      <c r="D1181" s="139" t="s">
        <v>374</v>
      </c>
      <c r="E1181" s="484" t="s">
        <v>413</v>
      </c>
      <c r="F1181" s="484"/>
      <c r="G1181" s="484" t="s">
        <v>674</v>
      </c>
      <c r="H1181" s="484"/>
      <c r="I1181" s="484"/>
      <c r="J1181" s="484"/>
      <c r="K1181" s="140" t="s">
        <v>410</v>
      </c>
      <c r="L1181" s="141">
        <v>3</v>
      </c>
      <c r="M1181" s="123"/>
      <c r="N1181" s="117"/>
    </row>
    <row r="1182" spans="1:14" ht="17.25" thickBot="1">
      <c r="A1182" s="126" t="str">
        <f t="shared" si="49"/>
        <v>2026/01</v>
      </c>
      <c r="B1182" s="127" t="str">
        <f t="shared" si="50"/>
        <v>2026/01站前11樓</v>
      </c>
      <c r="C1182" s="138">
        <v>68</v>
      </c>
      <c r="D1182" s="139" t="s">
        <v>374</v>
      </c>
      <c r="E1182" s="484" t="s">
        <v>360</v>
      </c>
      <c r="F1182" s="484"/>
      <c r="G1182" s="484" t="s">
        <v>361</v>
      </c>
      <c r="H1182" s="484"/>
      <c r="I1182" s="484"/>
      <c r="J1182" s="484"/>
      <c r="K1182" s="140" t="s">
        <v>362</v>
      </c>
      <c r="L1182" s="141">
        <v>21</v>
      </c>
      <c r="M1182" s="123"/>
      <c r="N1182" s="117"/>
    </row>
    <row r="1183" spans="1:14" ht="17.25" thickBot="1">
      <c r="A1183" s="126" t="str">
        <f t="shared" si="49"/>
        <v>2026/01</v>
      </c>
      <c r="B1183" s="127" t="str">
        <f t="shared" si="50"/>
        <v>2026/01站前11樓</v>
      </c>
      <c r="C1183" s="138">
        <v>69</v>
      </c>
      <c r="D1183" s="139" t="s">
        <v>374</v>
      </c>
      <c r="E1183" s="484" t="s">
        <v>383</v>
      </c>
      <c r="F1183" s="484"/>
      <c r="G1183" s="484" t="s">
        <v>384</v>
      </c>
      <c r="H1183" s="484"/>
      <c r="I1183" s="484"/>
      <c r="J1183" s="484"/>
      <c r="K1183" s="140" t="s">
        <v>385</v>
      </c>
      <c r="L1183" s="141">
        <v>340</v>
      </c>
      <c r="M1183" s="123"/>
      <c r="N1183" s="117"/>
    </row>
    <row r="1184" spans="1:14" ht="17.25" thickBot="1">
      <c r="A1184" s="126" t="str">
        <f t="shared" si="49"/>
        <v>2026/01</v>
      </c>
      <c r="B1184" s="127" t="str">
        <f t="shared" si="50"/>
        <v>2026/01站前11樓</v>
      </c>
      <c r="C1184" s="138">
        <v>70</v>
      </c>
      <c r="D1184" s="139" t="s">
        <v>374</v>
      </c>
      <c r="E1184" s="484" t="s">
        <v>394</v>
      </c>
      <c r="F1184" s="484"/>
      <c r="G1184" s="484" t="s">
        <v>395</v>
      </c>
      <c r="H1184" s="484"/>
      <c r="I1184" s="484"/>
      <c r="J1184" s="484"/>
      <c r="K1184" s="140" t="s">
        <v>272</v>
      </c>
      <c r="L1184" s="141">
        <v>8</v>
      </c>
      <c r="M1184" s="123"/>
      <c r="N1184" s="117"/>
    </row>
    <row r="1185" spans="1:14" ht="17.25" thickBot="1">
      <c r="A1185" s="126" t="str">
        <f t="shared" si="49"/>
        <v>2026/01</v>
      </c>
      <c r="B1185" s="127" t="str">
        <f t="shared" si="50"/>
        <v>2026/01站前11樓</v>
      </c>
      <c r="C1185" s="138">
        <v>71</v>
      </c>
      <c r="D1185" s="139" t="s">
        <v>374</v>
      </c>
      <c r="E1185" s="484" t="s">
        <v>396</v>
      </c>
      <c r="F1185" s="484"/>
      <c r="G1185" s="484" t="s">
        <v>397</v>
      </c>
      <c r="H1185" s="484"/>
      <c r="I1185" s="484"/>
      <c r="J1185" s="484"/>
      <c r="K1185" s="140" t="s">
        <v>398</v>
      </c>
      <c r="L1185" s="141">
        <v>3</v>
      </c>
      <c r="M1185" s="123"/>
      <c r="N1185" s="117"/>
    </row>
    <row r="1186" spans="1:14" ht="17.25" thickBot="1">
      <c r="A1186" s="126" t="str">
        <f t="shared" si="49"/>
        <v>2026/01</v>
      </c>
      <c r="B1186" s="127" t="str">
        <f t="shared" si="50"/>
        <v>2026/01站前11樓</v>
      </c>
      <c r="C1186" s="138">
        <v>72</v>
      </c>
      <c r="D1186" s="139" t="s">
        <v>374</v>
      </c>
      <c r="E1186" s="484" t="s">
        <v>403</v>
      </c>
      <c r="F1186" s="484"/>
      <c r="G1186" s="484" t="s">
        <v>404</v>
      </c>
      <c r="H1186" s="484"/>
      <c r="I1186" s="484"/>
      <c r="J1186" s="484"/>
      <c r="K1186" s="140" t="s">
        <v>385</v>
      </c>
      <c r="L1186" s="141">
        <v>5</v>
      </c>
      <c r="M1186" s="123"/>
      <c r="N1186" s="117"/>
    </row>
    <row r="1187" spans="1:14" ht="17.25" thickBot="1">
      <c r="A1187" s="126" t="str">
        <f t="shared" si="49"/>
        <v>2026/01</v>
      </c>
      <c r="B1187" s="127" t="str">
        <f t="shared" si="50"/>
        <v>2026/01站前11樓</v>
      </c>
      <c r="C1187" s="138">
        <v>73</v>
      </c>
      <c r="D1187" s="139" t="s">
        <v>374</v>
      </c>
      <c r="E1187" s="484" t="s">
        <v>406</v>
      </c>
      <c r="F1187" s="484"/>
      <c r="G1187" s="484" t="s">
        <v>407</v>
      </c>
      <c r="H1187" s="484"/>
      <c r="I1187" s="484"/>
      <c r="J1187" s="484"/>
      <c r="K1187" s="140" t="s">
        <v>385</v>
      </c>
      <c r="L1187" s="141">
        <v>5</v>
      </c>
      <c r="M1187" s="123"/>
      <c r="N1187" s="117"/>
    </row>
    <row r="1188" spans="1:14" ht="17.25" thickBot="1">
      <c r="A1188" s="126" t="str">
        <f t="shared" si="49"/>
        <v>2026/01</v>
      </c>
      <c r="B1188" s="127" t="str">
        <f t="shared" si="50"/>
        <v>2026/01站前11樓</v>
      </c>
      <c r="C1188" s="138">
        <v>74</v>
      </c>
      <c r="D1188" s="139" t="s">
        <v>374</v>
      </c>
      <c r="E1188" s="484" t="s">
        <v>408</v>
      </c>
      <c r="F1188" s="484"/>
      <c r="G1188" s="484" t="s">
        <v>409</v>
      </c>
      <c r="H1188" s="484"/>
      <c r="I1188" s="484"/>
      <c r="J1188" s="484"/>
      <c r="K1188" s="140" t="s">
        <v>410</v>
      </c>
      <c r="L1188" s="141">
        <v>5</v>
      </c>
      <c r="M1188" s="123"/>
      <c r="N1188" s="117"/>
    </row>
    <row r="1189" spans="1:14" ht="17.25" thickBot="1">
      <c r="A1189" s="126" t="str">
        <f t="shared" si="49"/>
        <v>2026/01</v>
      </c>
      <c r="B1189" s="127" t="str">
        <f t="shared" si="50"/>
        <v>2026/01站前11樓</v>
      </c>
      <c r="C1189" s="138">
        <v>75</v>
      </c>
      <c r="D1189" s="139" t="s">
        <v>374</v>
      </c>
      <c r="E1189" s="484" t="s">
        <v>255</v>
      </c>
      <c r="F1189" s="484"/>
      <c r="G1189" s="484" t="s">
        <v>256</v>
      </c>
      <c r="H1189" s="484"/>
      <c r="I1189" s="484"/>
      <c r="J1189" s="484"/>
      <c r="K1189" s="140" t="s">
        <v>720</v>
      </c>
      <c r="L1189" s="141">
        <v>332</v>
      </c>
      <c r="M1189" s="123"/>
      <c r="N1189" s="117"/>
    </row>
    <row r="1190" spans="1:14" ht="17.25" thickBot="1">
      <c r="A1190" s="126" t="str">
        <f t="shared" si="49"/>
        <v>2026/01</v>
      </c>
      <c r="B1190" s="127" t="str">
        <f t="shared" si="50"/>
        <v>2026/01站前11樓</v>
      </c>
      <c r="C1190" s="138">
        <v>76</v>
      </c>
      <c r="D1190" s="139" t="s">
        <v>374</v>
      </c>
      <c r="E1190" s="484" t="s">
        <v>419</v>
      </c>
      <c r="F1190" s="484"/>
      <c r="G1190" s="484" t="s">
        <v>420</v>
      </c>
      <c r="H1190" s="484"/>
      <c r="I1190" s="484"/>
      <c r="J1190" s="484"/>
      <c r="K1190" s="140" t="s">
        <v>726</v>
      </c>
      <c r="L1190" s="141">
        <v>535</v>
      </c>
      <c r="M1190" s="123"/>
      <c r="N1190" s="117"/>
    </row>
    <row r="1191" spans="1:14" ht="17.25" thickBot="1">
      <c r="A1191" s="126" t="str">
        <f t="shared" si="49"/>
        <v>2026/01</v>
      </c>
      <c r="B1191" s="127" t="str">
        <f t="shared" si="50"/>
        <v>2026/01站前11樓</v>
      </c>
      <c r="C1191" s="138">
        <v>77</v>
      </c>
      <c r="D1191" s="139" t="s">
        <v>374</v>
      </c>
      <c r="E1191" s="484" t="s">
        <v>258</v>
      </c>
      <c r="F1191" s="484"/>
      <c r="G1191" s="484" t="s">
        <v>259</v>
      </c>
      <c r="H1191" s="484"/>
      <c r="I1191" s="484"/>
      <c r="J1191" s="484"/>
      <c r="K1191" s="140"/>
      <c r="L1191" s="141">
        <v>26</v>
      </c>
      <c r="M1191" s="123"/>
      <c r="N1191" s="117"/>
    </row>
    <row r="1192" spans="1:14" ht="17.25" thickBot="1">
      <c r="A1192" s="126" t="str">
        <f t="shared" si="49"/>
        <v>2026/01</v>
      </c>
      <c r="B1192" s="127" t="str">
        <f t="shared" si="50"/>
        <v>2026/01站前11樓</v>
      </c>
      <c r="C1192" s="138">
        <v>78</v>
      </c>
      <c r="D1192" s="139" t="s">
        <v>374</v>
      </c>
      <c r="E1192" s="484" t="s">
        <v>260</v>
      </c>
      <c r="F1192" s="484"/>
      <c r="G1192" s="484" t="s">
        <v>261</v>
      </c>
      <c r="H1192" s="484"/>
      <c r="I1192" s="484"/>
      <c r="J1192" s="484"/>
      <c r="K1192" s="140" t="s">
        <v>254</v>
      </c>
      <c r="L1192" s="141">
        <v>26</v>
      </c>
      <c r="M1192" s="123"/>
      <c r="N1192" s="117"/>
    </row>
    <row r="1193" spans="1:14" ht="17.25" thickBot="1">
      <c r="A1193" s="126" t="str">
        <f t="shared" si="49"/>
        <v>2026/01</v>
      </c>
      <c r="B1193" s="127" t="str">
        <f t="shared" si="50"/>
        <v>2026/01站前11樓</v>
      </c>
      <c r="C1193" s="138">
        <v>79</v>
      </c>
      <c r="D1193" s="139" t="s">
        <v>374</v>
      </c>
      <c r="E1193" s="484" t="s">
        <v>270</v>
      </c>
      <c r="F1193" s="484"/>
      <c r="G1193" s="484" t="s">
        <v>271</v>
      </c>
      <c r="H1193" s="484"/>
      <c r="I1193" s="484"/>
      <c r="J1193" s="484"/>
      <c r="K1193" s="140" t="s">
        <v>272</v>
      </c>
      <c r="L1193" s="141">
        <v>1</v>
      </c>
      <c r="M1193" s="123"/>
      <c r="N1193" s="117"/>
    </row>
    <row r="1194" spans="1:14" ht="17.25" thickBot="1">
      <c r="A1194" s="126" t="str">
        <f t="shared" si="49"/>
        <v>2026/01</v>
      </c>
      <c r="B1194" s="127" t="str">
        <f t="shared" si="50"/>
        <v>2026/01站前11樓</v>
      </c>
      <c r="C1194" s="138">
        <v>80</v>
      </c>
      <c r="D1194" s="139" t="s">
        <v>374</v>
      </c>
      <c r="E1194" s="484" t="s">
        <v>252</v>
      </c>
      <c r="F1194" s="484"/>
      <c r="G1194" s="484" t="s">
        <v>253</v>
      </c>
      <c r="H1194" s="484"/>
      <c r="I1194" s="484"/>
      <c r="J1194" s="484"/>
      <c r="K1194" s="140" t="s">
        <v>254</v>
      </c>
      <c r="L1194" s="141">
        <v>29</v>
      </c>
      <c r="M1194" s="123"/>
      <c r="N1194" s="117"/>
    </row>
    <row r="1195" spans="1:14" ht="17.25" thickBot="1">
      <c r="A1195" s="126" t="str">
        <f t="shared" si="49"/>
        <v>2026/01</v>
      </c>
      <c r="B1195" s="127" t="str">
        <f t="shared" si="50"/>
        <v>2026/01站前11樓</v>
      </c>
      <c r="C1195" s="138">
        <v>81</v>
      </c>
      <c r="D1195" s="139" t="s">
        <v>374</v>
      </c>
      <c r="E1195" s="484" t="s">
        <v>690</v>
      </c>
      <c r="F1195" s="484"/>
      <c r="G1195" s="484" t="s">
        <v>691</v>
      </c>
      <c r="H1195" s="484"/>
      <c r="I1195" s="484"/>
      <c r="J1195" s="484"/>
      <c r="K1195" s="140" t="s">
        <v>692</v>
      </c>
      <c r="L1195" s="141">
        <v>10</v>
      </c>
      <c r="M1195" s="123"/>
      <c r="N1195" s="117"/>
    </row>
    <row r="1196" spans="1:14" ht="17.25" thickBot="1">
      <c r="A1196" s="126" t="str">
        <f t="shared" si="49"/>
        <v>2026/01</v>
      </c>
      <c r="B1196" s="127" t="str">
        <f t="shared" si="50"/>
        <v>2026/01站前11樓</v>
      </c>
      <c r="C1196" s="138">
        <v>82</v>
      </c>
      <c r="D1196" s="139" t="s">
        <v>374</v>
      </c>
      <c r="E1196" s="484" t="s">
        <v>264</v>
      </c>
      <c r="F1196" s="484"/>
      <c r="G1196" s="484" t="s">
        <v>677</v>
      </c>
      <c r="H1196" s="484"/>
      <c r="I1196" s="484"/>
      <c r="J1196" s="484"/>
      <c r="K1196" s="140" t="s">
        <v>678</v>
      </c>
      <c r="L1196" s="141">
        <v>10</v>
      </c>
      <c r="M1196" s="123"/>
      <c r="N1196" s="117"/>
    </row>
    <row r="1197" spans="1:14" ht="17.25" thickBot="1">
      <c r="A1197" s="126" t="str">
        <f t="shared" si="49"/>
        <v>2026/01</v>
      </c>
      <c r="B1197" s="127" t="str">
        <f t="shared" si="50"/>
        <v>2026/01站前11樓</v>
      </c>
      <c r="C1197" s="138">
        <v>83</v>
      </c>
      <c r="D1197" s="139" t="s">
        <v>374</v>
      </c>
      <c r="E1197" s="484" t="s">
        <v>321</v>
      </c>
      <c r="F1197" s="484"/>
      <c r="G1197" s="484" t="s">
        <v>322</v>
      </c>
      <c r="H1197" s="484"/>
      <c r="I1197" s="484"/>
      <c r="J1197" s="484"/>
      <c r="K1197" s="140" t="s">
        <v>275</v>
      </c>
      <c r="L1197" s="141">
        <v>2</v>
      </c>
      <c r="M1197" s="123"/>
      <c r="N1197" s="117"/>
    </row>
    <row r="1198" spans="1:14" ht="17.25" thickBot="1">
      <c r="A1198" s="126" t="str">
        <f t="shared" si="49"/>
        <v>2026/01</v>
      </c>
      <c r="B1198" s="127" t="str">
        <f t="shared" si="50"/>
        <v>2026/01站前11樓</v>
      </c>
      <c r="C1198" s="138">
        <v>84</v>
      </c>
      <c r="D1198" s="139" t="s">
        <v>374</v>
      </c>
      <c r="E1198" s="484" t="s">
        <v>389</v>
      </c>
      <c r="F1198" s="484"/>
      <c r="G1198" s="484" t="s">
        <v>390</v>
      </c>
      <c r="H1198" s="484"/>
      <c r="I1198" s="484"/>
      <c r="J1198" s="484"/>
      <c r="K1198" s="140" t="s">
        <v>391</v>
      </c>
      <c r="L1198" s="141">
        <v>39</v>
      </c>
      <c r="M1198" s="123"/>
      <c r="N1198" s="117"/>
    </row>
    <row r="1199" spans="1:14" ht="17.25" thickBot="1">
      <c r="A1199" s="126" t="str">
        <f t="shared" si="49"/>
        <v>2026/01</v>
      </c>
      <c r="B1199" s="127" t="str">
        <f t="shared" si="50"/>
        <v>2026/01站前11樓</v>
      </c>
      <c r="C1199" s="138">
        <v>85</v>
      </c>
      <c r="D1199" s="139" t="s">
        <v>374</v>
      </c>
      <c r="E1199" s="484" t="s">
        <v>386</v>
      </c>
      <c r="F1199" s="484"/>
      <c r="G1199" s="484" t="s">
        <v>387</v>
      </c>
      <c r="H1199" s="484"/>
      <c r="I1199" s="484"/>
      <c r="J1199" s="484"/>
      <c r="K1199" s="140" t="s">
        <v>388</v>
      </c>
      <c r="L1199" s="141">
        <v>1623</v>
      </c>
      <c r="M1199" s="123"/>
      <c r="N1199" s="117"/>
    </row>
    <row r="1200" spans="1:14" ht="17.25" thickBot="1">
      <c r="A1200" s="126" t="str">
        <f>IFERROR(LEFT(B1200,7),"")</f>
        <v>2026/01</v>
      </c>
      <c r="B1200" s="127" t="str">
        <f>"2026/01"&amp;D1200</f>
        <v>2026/01站前11樓</v>
      </c>
      <c r="C1200" s="138">
        <v>86</v>
      </c>
      <c r="D1200" s="139" t="s">
        <v>374</v>
      </c>
      <c r="E1200" s="484" t="s">
        <v>401</v>
      </c>
      <c r="F1200" s="484"/>
      <c r="G1200" s="484" t="s">
        <v>402</v>
      </c>
      <c r="H1200" s="484"/>
      <c r="I1200" s="484"/>
      <c r="J1200" s="484"/>
      <c r="K1200" s="140" t="s">
        <v>145</v>
      </c>
      <c r="L1200" s="141">
        <v>13</v>
      </c>
      <c r="M1200" s="123"/>
      <c r="N1200" s="117"/>
    </row>
    <row r="1201" spans="1:14" ht="17.25" thickBot="1">
      <c r="A1201" s="126" t="str">
        <f>IFERROR(LEFT(B1201,7),"")</f>
        <v>2026/01</v>
      </c>
      <c r="B1201" s="127" t="str">
        <f>"2026/01"&amp;D1201</f>
        <v>2026/01站前11樓</v>
      </c>
      <c r="C1201" s="138">
        <v>87</v>
      </c>
      <c r="D1201" s="139" t="s">
        <v>374</v>
      </c>
      <c r="E1201" s="484" t="s">
        <v>417</v>
      </c>
      <c r="F1201" s="484"/>
      <c r="G1201" s="484" t="s">
        <v>418</v>
      </c>
      <c r="H1201" s="484"/>
      <c r="I1201" s="484"/>
      <c r="J1201" s="484"/>
      <c r="K1201" s="140" t="s">
        <v>145</v>
      </c>
      <c r="L1201" s="141">
        <v>5</v>
      </c>
      <c r="M1201" s="123"/>
      <c r="N1201" s="117"/>
    </row>
    <row r="1202" spans="1:14" ht="17.25" thickBot="1">
      <c r="A1202" s="126" t="str">
        <f t="shared" ref="A1202:A1266" si="51">IFERROR(LEFT(B1202,7),"")</f>
        <v>2026/01</v>
      </c>
      <c r="B1202" s="127" t="str">
        <f t="shared" ref="B1202:B1264" si="52">"2026/01"&amp;D1202</f>
        <v>2026/01站前11樓</v>
      </c>
      <c r="C1202" s="138">
        <v>88</v>
      </c>
      <c r="D1202" s="139" t="s">
        <v>374</v>
      </c>
      <c r="E1202" s="484" t="s">
        <v>422</v>
      </c>
      <c r="F1202" s="484"/>
      <c r="G1202" s="484" t="s">
        <v>423</v>
      </c>
      <c r="H1202" s="484"/>
      <c r="I1202" s="484"/>
      <c r="J1202" s="484"/>
      <c r="K1202" s="140" t="s">
        <v>433</v>
      </c>
      <c r="L1202" s="141">
        <v>1</v>
      </c>
      <c r="M1202" s="123"/>
      <c r="N1202" s="117"/>
    </row>
    <row r="1203" spans="1:14" ht="17.25" thickBot="1">
      <c r="A1203" s="126" t="str">
        <f t="shared" si="51"/>
        <v>2026/01</v>
      </c>
      <c r="B1203" s="127" t="str">
        <f t="shared" si="52"/>
        <v>2026/01站前11樓</v>
      </c>
      <c r="C1203" s="138">
        <v>89</v>
      </c>
      <c r="D1203" s="139" t="s">
        <v>374</v>
      </c>
      <c r="E1203" s="484" t="s">
        <v>399</v>
      </c>
      <c r="F1203" s="484"/>
      <c r="G1203" s="484" t="s">
        <v>400</v>
      </c>
      <c r="H1203" s="484"/>
      <c r="I1203" s="484"/>
      <c r="J1203" s="484"/>
      <c r="K1203" s="140" t="s">
        <v>433</v>
      </c>
      <c r="L1203" s="141">
        <v>7</v>
      </c>
      <c r="M1203" s="123"/>
      <c r="N1203" s="117"/>
    </row>
    <row r="1204" spans="1:14" ht="17.25" thickBot="1">
      <c r="A1204" s="126" t="str">
        <f t="shared" si="51"/>
        <v>2026/01</v>
      </c>
      <c r="B1204" s="127" t="str">
        <f t="shared" si="52"/>
        <v>2026/01站前11樓</v>
      </c>
      <c r="C1204" s="138">
        <v>90</v>
      </c>
      <c r="D1204" s="139" t="s">
        <v>374</v>
      </c>
      <c r="E1204" s="484" t="s">
        <v>431</v>
      </c>
      <c r="F1204" s="484"/>
      <c r="G1204" s="484" t="s">
        <v>432</v>
      </c>
      <c r="H1204" s="484"/>
      <c r="I1204" s="484"/>
      <c r="J1204" s="484"/>
      <c r="K1204" s="140" t="s">
        <v>746</v>
      </c>
      <c r="L1204" s="141">
        <v>500</v>
      </c>
      <c r="M1204" s="123"/>
      <c r="N1204" s="117"/>
    </row>
    <row r="1205" spans="1:14" ht="17.25" thickBot="1">
      <c r="A1205" s="126" t="str">
        <f t="shared" si="51"/>
        <v>2026/01</v>
      </c>
      <c r="B1205" s="127" t="str">
        <f t="shared" si="52"/>
        <v>2026/01站前11樓</v>
      </c>
      <c r="C1205" s="138">
        <v>91</v>
      </c>
      <c r="D1205" s="139" t="s">
        <v>374</v>
      </c>
      <c r="E1205" s="484" t="s">
        <v>701</v>
      </c>
      <c r="F1205" s="484"/>
      <c r="G1205" s="484" t="s">
        <v>702</v>
      </c>
      <c r="H1205" s="484"/>
      <c r="I1205" s="484"/>
      <c r="J1205" s="484"/>
      <c r="K1205" s="140" t="s">
        <v>849</v>
      </c>
      <c r="L1205" s="141">
        <v>1</v>
      </c>
      <c r="M1205" s="123"/>
      <c r="N1205" s="117"/>
    </row>
    <row r="1206" spans="1:14" ht="17.25" thickBot="1">
      <c r="A1206" s="126" t="str">
        <f t="shared" si="51"/>
        <v>2026/01</v>
      </c>
      <c r="B1206" s="127" t="str">
        <f t="shared" si="52"/>
        <v>2026/01站前11樓</v>
      </c>
      <c r="C1206" s="138">
        <v>92</v>
      </c>
      <c r="D1206" s="139" t="s">
        <v>374</v>
      </c>
      <c r="E1206" s="484" t="s">
        <v>693</v>
      </c>
      <c r="F1206" s="484"/>
      <c r="G1206" s="484" t="s">
        <v>694</v>
      </c>
      <c r="H1206" s="484"/>
      <c r="I1206" s="484"/>
      <c r="J1206" s="484"/>
      <c r="K1206" s="140" t="s">
        <v>747</v>
      </c>
      <c r="L1206" s="141">
        <v>327</v>
      </c>
      <c r="M1206" s="123"/>
      <c r="N1206" s="117"/>
    </row>
    <row r="1207" spans="1:14" ht="17.25" thickBot="1">
      <c r="A1207" s="126" t="str">
        <f t="shared" si="51"/>
        <v>2026/01</v>
      </c>
      <c r="B1207" s="127" t="str">
        <f t="shared" si="52"/>
        <v>2026/01站前11樓</v>
      </c>
      <c r="C1207" s="138">
        <v>93</v>
      </c>
      <c r="D1207" s="139" t="s">
        <v>374</v>
      </c>
      <c r="E1207" s="484" t="s">
        <v>425</v>
      </c>
      <c r="F1207" s="484"/>
      <c r="G1207" s="484" t="s">
        <v>426</v>
      </c>
      <c r="H1207" s="484"/>
      <c r="I1207" s="484"/>
      <c r="J1207" s="484"/>
      <c r="K1207" s="140" t="s">
        <v>269</v>
      </c>
      <c r="L1207" s="141">
        <v>1</v>
      </c>
      <c r="M1207" s="123"/>
      <c r="N1207" s="117"/>
    </row>
    <row r="1208" spans="1:14" ht="17.25" thickBot="1">
      <c r="A1208" s="126" t="str">
        <f t="shared" si="51"/>
        <v>2026/01</v>
      </c>
      <c r="B1208" s="127" t="str">
        <f t="shared" si="52"/>
        <v>2026/01站前11樓</v>
      </c>
      <c r="C1208" s="138">
        <v>94</v>
      </c>
      <c r="D1208" s="139" t="s">
        <v>374</v>
      </c>
      <c r="E1208" s="484" t="s">
        <v>309</v>
      </c>
      <c r="F1208" s="484"/>
      <c r="G1208" s="484" t="s">
        <v>310</v>
      </c>
      <c r="H1208" s="484"/>
      <c r="I1208" s="484"/>
      <c r="J1208" s="484"/>
      <c r="K1208" s="140" t="s">
        <v>269</v>
      </c>
      <c r="L1208" s="141">
        <v>1</v>
      </c>
      <c r="M1208" s="123"/>
      <c r="N1208" s="117"/>
    </row>
    <row r="1209" spans="1:14" ht="17.25" thickBot="1">
      <c r="A1209" s="126" t="str">
        <f t="shared" si="51"/>
        <v>2026/01</v>
      </c>
      <c r="B1209" s="127" t="str">
        <f t="shared" si="52"/>
        <v>2026/01站前11樓</v>
      </c>
      <c r="C1209" s="138">
        <v>95</v>
      </c>
      <c r="D1209" s="139" t="s">
        <v>374</v>
      </c>
      <c r="E1209" s="484" t="s">
        <v>267</v>
      </c>
      <c r="F1209" s="484"/>
      <c r="G1209" s="484" t="s">
        <v>268</v>
      </c>
      <c r="H1209" s="484"/>
      <c r="I1209" s="484"/>
      <c r="J1209" s="484"/>
      <c r="K1209" s="140" t="s">
        <v>269</v>
      </c>
      <c r="L1209" s="141">
        <v>1</v>
      </c>
      <c r="M1209" s="123"/>
      <c r="N1209" s="117"/>
    </row>
    <row r="1210" spans="1:14" ht="17.25" thickBot="1">
      <c r="A1210" s="126" t="str">
        <f t="shared" si="51"/>
        <v>2026/01</v>
      </c>
      <c r="B1210" s="127" t="str">
        <f t="shared" si="52"/>
        <v>2026/01站前11樓</v>
      </c>
      <c r="C1210" s="138">
        <v>96</v>
      </c>
      <c r="D1210" s="139" t="s">
        <v>374</v>
      </c>
      <c r="E1210" s="484" t="s">
        <v>297</v>
      </c>
      <c r="F1210" s="484"/>
      <c r="G1210" s="484" t="s">
        <v>298</v>
      </c>
      <c r="H1210" s="484"/>
      <c r="I1210" s="484"/>
      <c r="J1210" s="484"/>
      <c r="K1210" s="140" t="s">
        <v>269</v>
      </c>
      <c r="L1210" s="141">
        <v>1</v>
      </c>
      <c r="M1210" s="123"/>
      <c r="N1210" s="117"/>
    </row>
    <row r="1211" spans="1:14" ht="17.25" thickBot="1">
      <c r="A1211" s="126" t="str">
        <f t="shared" si="51"/>
        <v>2026/01</v>
      </c>
      <c r="B1211" s="127" t="str">
        <f t="shared" si="52"/>
        <v>2026/01忠孝7樓</v>
      </c>
      <c r="C1211" s="138">
        <v>97</v>
      </c>
      <c r="D1211" s="139" t="s">
        <v>424</v>
      </c>
      <c r="E1211" s="484" t="s">
        <v>413</v>
      </c>
      <c r="F1211" s="484"/>
      <c r="G1211" s="484" t="s">
        <v>674</v>
      </c>
      <c r="H1211" s="484"/>
      <c r="I1211" s="484"/>
      <c r="J1211" s="484"/>
      <c r="K1211" s="140" t="s">
        <v>410</v>
      </c>
      <c r="L1211" s="141">
        <v>9</v>
      </c>
      <c r="M1211" s="123"/>
      <c r="N1211" s="117"/>
    </row>
    <row r="1212" spans="1:14" ht="17.25" thickBot="1">
      <c r="A1212" s="126" t="str">
        <f t="shared" si="51"/>
        <v>2026/01</v>
      </c>
      <c r="B1212" s="127" t="str">
        <f t="shared" si="52"/>
        <v>2026/01忠孝7樓</v>
      </c>
      <c r="C1212" s="138">
        <v>98</v>
      </c>
      <c r="D1212" s="139" t="s">
        <v>424</v>
      </c>
      <c r="E1212" s="484" t="s">
        <v>360</v>
      </c>
      <c r="F1212" s="484"/>
      <c r="G1212" s="484" t="s">
        <v>361</v>
      </c>
      <c r="H1212" s="484"/>
      <c r="I1212" s="484"/>
      <c r="J1212" s="484"/>
      <c r="K1212" s="140" t="s">
        <v>362</v>
      </c>
      <c r="L1212" s="141">
        <v>58</v>
      </c>
      <c r="M1212" s="123"/>
      <c r="N1212" s="117"/>
    </row>
    <row r="1213" spans="1:14" ht="17.25" thickBot="1">
      <c r="A1213" s="126" t="str">
        <f t="shared" si="51"/>
        <v>2026/01</v>
      </c>
      <c r="B1213" s="127" t="str">
        <f t="shared" si="52"/>
        <v>2026/01忠孝7樓</v>
      </c>
      <c r="C1213" s="138">
        <v>99</v>
      </c>
      <c r="D1213" s="139" t="s">
        <v>424</v>
      </c>
      <c r="E1213" s="484" t="s">
        <v>383</v>
      </c>
      <c r="F1213" s="484"/>
      <c r="G1213" s="484" t="s">
        <v>384</v>
      </c>
      <c r="H1213" s="484"/>
      <c r="I1213" s="484"/>
      <c r="J1213" s="484"/>
      <c r="K1213" s="140" t="s">
        <v>385</v>
      </c>
      <c r="L1213" s="141">
        <v>62</v>
      </c>
      <c r="M1213" s="123"/>
      <c r="N1213" s="117"/>
    </row>
    <row r="1214" spans="1:14" ht="17.25" thickBot="1">
      <c r="A1214" s="126" t="str">
        <f t="shared" si="51"/>
        <v>2026/01</v>
      </c>
      <c r="B1214" s="127" t="str">
        <f t="shared" si="52"/>
        <v>2026/01忠孝7樓</v>
      </c>
      <c r="C1214" s="138">
        <v>100</v>
      </c>
      <c r="D1214" s="139" t="s">
        <v>424</v>
      </c>
      <c r="E1214" s="484" t="s">
        <v>394</v>
      </c>
      <c r="F1214" s="484"/>
      <c r="G1214" s="484" t="s">
        <v>395</v>
      </c>
      <c r="H1214" s="484"/>
      <c r="I1214" s="484"/>
      <c r="J1214" s="484"/>
      <c r="K1214" s="140" t="s">
        <v>272</v>
      </c>
      <c r="L1214" s="141">
        <v>1</v>
      </c>
      <c r="M1214" s="123"/>
      <c r="N1214" s="117"/>
    </row>
    <row r="1215" spans="1:14" ht="17.25" thickBot="1">
      <c r="A1215" s="126" t="str">
        <f t="shared" si="51"/>
        <v>2026/01</v>
      </c>
      <c r="B1215" s="127" t="str">
        <f t="shared" si="52"/>
        <v>2026/01忠孝7樓</v>
      </c>
      <c r="C1215" s="138">
        <v>101</v>
      </c>
      <c r="D1215" s="139" t="s">
        <v>424</v>
      </c>
      <c r="E1215" s="484" t="s">
        <v>255</v>
      </c>
      <c r="F1215" s="484"/>
      <c r="G1215" s="484" t="s">
        <v>256</v>
      </c>
      <c r="H1215" s="484"/>
      <c r="I1215" s="484"/>
      <c r="J1215" s="484"/>
      <c r="K1215" s="140" t="s">
        <v>720</v>
      </c>
      <c r="L1215" s="141">
        <v>210</v>
      </c>
      <c r="M1215" s="123"/>
      <c r="N1215" s="117"/>
    </row>
    <row r="1216" spans="1:14" ht="17.25" thickBot="1">
      <c r="A1216" s="126" t="str">
        <f t="shared" si="51"/>
        <v>2026/01</v>
      </c>
      <c r="B1216" s="127" t="str">
        <f t="shared" si="52"/>
        <v>2026/01忠孝7樓</v>
      </c>
      <c r="C1216" s="138">
        <v>102</v>
      </c>
      <c r="D1216" s="139" t="s">
        <v>424</v>
      </c>
      <c r="E1216" s="484" t="s">
        <v>258</v>
      </c>
      <c r="F1216" s="484"/>
      <c r="G1216" s="484" t="s">
        <v>259</v>
      </c>
      <c r="H1216" s="484"/>
      <c r="I1216" s="484"/>
      <c r="J1216" s="484"/>
      <c r="K1216" s="140"/>
      <c r="L1216" s="141">
        <v>263</v>
      </c>
      <c r="M1216" s="123"/>
      <c r="N1216" s="117"/>
    </row>
    <row r="1217" spans="1:14" ht="17.25" thickBot="1">
      <c r="A1217" s="126" t="str">
        <f t="shared" si="51"/>
        <v>2026/01</v>
      </c>
      <c r="B1217" s="127" t="str">
        <f t="shared" si="52"/>
        <v>2026/01忠孝7樓</v>
      </c>
      <c r="C1217" s="138">
        <v>103</v>
      </c>
      <c r="D1217" s="139" t="s">
        <v>424</v>
      </c>
      <c r="E1217" s="484" t="s">
        <v>260</v>
      </c>
      <c r="F1217" s="484"/>
      <c r="G1217" s="484" t="s">
        <v>261</v>
      </c>
      <c r="H1217" s="484"/>
      <c r="I1217" s="484"/>
      <c r="J1217" s="484"/>
      <c r="K1217" s="140" t="s">
        <v>254</v>
      </c>
      <c r="L1217" s="141">
        <v>262</v>
      </c>
      <c r="M1217" s="123"/>
      <c r="N1217" s="117"/>
    </row>
    <row r="1218" spans="1:14" ht="17.25" thickBot="1">
      <c r="A1218" s="126" t="str">
        <f t="shared" si="51"/>
        <v>2026/01</v>
      </c>
      <c r="B1218" s="127" t="str">
        <f t="shared" si="52"/>
        <v>2026/01忠孝7樓</v>
      </c>
      <c r="C1218" s="138">
        <v>104</v>
      </c>
      <c r="D1218" s="139" t="s">
        <v>424</v>
      </c>
      <c r="E1218" s="484" t="s">
        <v>415</v>
      </c>
      <c r="F1218" s="484"/>
      <c r="G1218" s="484" t="s">
        <v>416</v>
      </c>
      <c r="H1218" s="484"/>
      <c r="I1218" s="484"/>
      <c r="J1218" s="484"/>
      <c r="K1218" s="140" t="s">
        <v>254</v>
      </c>
      <c r="L1218" s="141">
        <v>1</v>
      </c>
      <c r="M1218" s="123"/>
      <c r="N1218" s="117"/>
    </row>
    <row r="1219" spans="1:14" ht="17.25" thickBot="1">
      <c r="A1219" s="126" t="str">
        <f t="shared" si="51"/>
        <v>2026/01</v>
      </c>
      <c r="B1219" s="127" t="str">
        <f t="shared" si="52"/>
        <v>2026/01忠孝7樓</v>
      </c>
      <c r="C1219" s="138">
        <v>105</v>
      </c>
      <c r="D1219" s="139" t="s">
        <v>424</v>
      </c>
      <c r="E1219" s="484" t="s">
        <v>262</v>
      </c>
      <c r="F1219" s="484"/>
      <c r="G1219" s="484" t="s">
        <v>263</v>
      </c>
      <c r="H1219" s="484"/>
      <c r="I1219" s="484"/>
      <c r="J1219" s="484"/>
      <c r="K1219" s="140" t="s">
        <v>254</v>
      </c>
      <c r="L1219" s="141">
        <v>115</v>
      </c>
      <c r="M1219" s="123"/>
      <c r="N1219" s="117"/>
    </row>
    <row r="1220" spans="1:14" ht="17.25" thickBot="1">
      <c r="A1220" s="126" t="str">
        <f t="shared" si="51"/>
        <v>2026/01</v>
      </c>
      <c r="B1220" s="127" t="str">
        <f t="shared" si="52"/>
        <v>2026/01忠孝7樓</v>
      </c>
      <c r="C1220" s="138">
        <v>106</v>
      </c>
      <c r="D1220" s="139" t="s">
        <v>424</v>
      </c>
      <c r="E1220" s="484" t="s">
        <v>270</v>
      </c>
      <c r="F1220" s="484"/>
      <c r="G1220" s="484" t="s">
        <v>271</v>
      </c>
      <c r="H1220" s="484"/>
      <c r="I1220" s="484"/>
      <c r="J1220" s="484"/>
      <c r="K1220" s="140" t="s">
        <v>272</v>
      </c>
      <c r="L1220" s="141">
        <v>338</v>
      </c>
      <c r="M1220" s="123"/>
      <c r="N1220" s="117"/>
    </row>
    <row r="1221" spans="1:14" ht="17.25" thickBot="1">
      <c r="A1221" s="126" t="str">
        <f t="shared" si="51"/>
        <v>2026/01</v>
      </c>
      <c r="B1221" s="127" t="str">
        <f t="shared" si="52"/>
        <v>2026/01忠孝7樓</v>
      </c>
      <c r="C1221" s="138">
        <v>107</v>
      </c>
      <c r="D1221" s="139" t="s">
        <v>424</v>
      </c>
      <c r="E1221" s="484" t="s">
        <v>252</v>
      </c>
      <c r="F1221" s="484"/>
      <c r="G1221" s="484" t="s">
        <v>253</v>
      </c>
      <c r="H1221" s="484"/>
      <c r="I1221" s="484"/>
      <c r="J1221" s="484"/>
      <c r="K1221" s="140" t="s">
        <v>254</v>
      </c>
      <c r="L1221" s="141">
        <v>313</v>
      </c>
      <c r="M1221" s="123"/>
      <c r="N1221" s="117"/>
    </row>
    <row r="1222" spans="1:14" ht="17.25" thickBot="1">
      <c r="A1222" s="126" t="str">
        <f t="shared" si="51"/>
        <v>2026/01</v>
      </c>
      <c r="B1222" s="127" t="str">
        <f t="shared" si="52"/>
        <v>2026/01忠孝7樓</v>
      </c>
      <c r="C1222" s="138">
        <v>108</v>
      </c>
      <c r="D1222" s="139" t="s">
        <v>424</v>
      </c>
      <c r="E1222" s="484" t="s">
        <v>695</v>
      </c>
      <c r="F1222" s="484"/>
      <c r="G1222" s="484" t="s">
        <v>696</v>
      </c>
      <c r="H1222" s="484"/>
      <c r="I1222" s="484"/>
      <c r="J1222" s="484"/>
      <c r="K1222" s="140" t="s">
        <v>254</v>
      </c>
      <c r="L1222" s="141">
        <v>1</v>
      </c>
      <c r="M1222" s="123"/>
      <c r="N1222" s="117"/>
    </row>
    <row r="1223" spans="1:14" ht="17.25" thickBot="1">
      <c r="A1223" s="126" t="str">
        <f t="shared" si="51"/>
        <v>2026/01</v>
      </c>
      <c r="B1223" s="127" t="str">
        <f t="shared" si="52"/>
        <v>2026/01忠孝7樓</v>
      </c>
      <c r="C1223" s="138">
        <v>109</v>
      </c>
      <c r="D1223" s="139" t="s">
        <v>424</v>
      </c>
      <c r="E1223" s="484" t="s">
        <v>429</v>
      </c>
      <c r="F1223" s="484"/>
      <c r="G1223" s="484" t="s">
        <v>430</v>
      </c>
      <c r="H1223" s="484"/>
      <c r="I1223" s="484"/>
      <c r="J1223" s="484"/>
      <c r="K1223" s="140" t="s">
        <v>272</v>
      </c>
      <c r="L1223" s="141">
        <v>2</v>
      </c>
      <c r="M1223" s="123"/>
      <c r="N1223" s="117"/>
    </row>
    <row r="1224" spans="1:14" ht="17.25" thickBot="1">
      <c r="A1224" s="126" t="str">
        <f t="shared" si="51"/>
        <v>2026/01</v>
      </c>
      <c r="B1224" s="127" t="str">
        <f t="shared" si="52"/>
        <v>2026/01忠孝7樓</v>
      </c>
      <c r="C1224" s="138">
        <v>110</v>
      </c>
      <c r="D1224" s="139" t="s">
        <v>424</v>
      </c>
      <c r="E1224" s="484" t="s">
        <v>690</v>
      </c>
      <c r="F1224" s="484"/>
      <c r="G1224" s="484" t="s">
        <v>691</v>
      </c>
      <c r="H1224" s="484"/>
      <c r="I1224" s="484"/>
      <c r="J1224" s="484"/>
      <c r="K1224" s="140" t="s">
        <v>692</v>
      </c>
      <c r="L1224" s="141">
        <v>49</v>
      </c>
      <c r="M1224" s="123"/>
      <c r="N1224" s="117"/>
    </row>
    <row r="1225" spans="1:14" ht="17.25" thickBot="1">
      <c r="A1225" s="126" t="str">
        <f t="shared" si="51"/>
        <v>2026/01</v>
      </c>
      <c r="B1225" s="127" t="str">
        <f t="shared" si="52"/>
        <v>2026/01忠孝7樓</v>
      </c>
      <c r="C1225" s="138">
        <v>111</v>
      </c>
      <c r="D1225" s="139" t="s">
        <v>424</v>
      </c>
      <c r="E1225" s="484" t="s">
        <v>305</v>
      </c>
      <c r="F1225" s="484"/>
      <c r="G1225" s="484" t="s">
        <v>675</v>
      </c>
      <c r="H1225" s="484"/>
      <c r="I1225" s="484"/>
      <c r="J1225" s="484"/>
      <c r="K1225" s="140" t="s">
        <v>676</v>
      </c>
      <c r="L1225" s="141">
        <v>6600</v>
      </c>
      <c r="M1225" s="123"/>
      <c r="N1225" s="117"/>
    </row>
    <row r="1226" spans="1:14" ht="17.25" thickBot="1">
      <c r="A1226" s="126" t="str">
        <f t="shared" si="51"/>
        <v>2026/01</v>
      </c>
      <c r="B1226" s="127" t="str">
        <f t="shared" si="52"/>
        <v>2026/01忠孝7樓</v>
      </c>
      <c r="C1226" s="138">
        <v>112</v>
      </c>
      <c r="D1226" s="139" t="s">
        <v>424</v>
      </c>
      <c r="E1226" s="484" t="s">
        <v>264</v>
      </c>
      <c r="F1226" s="484"/>
      <c r="G1226" s="484" t="s">
        <v>677</v>
      </c>
      <c r="H1226" s="484"/>
      <c r="I1226" s="484"/>
      <c r="J1226" s="484"/>
      <c r="K1226" s="140" t="s">
        <v>678</v>
      </c>
      <c r="L1226" s="141">
        <v>9882</v>
      </c>
      <c r="M1226" s="123"/>
      <c r="N1226" s="117"/>
    </row>
    <row r="1227" spans="1:14" ht="17.25" thickBot="1">
      <c r="A1227" s="126" t="str">
        <f t="shared" si="51"/>
        <v>2026/01</v>
      </c>
      <c r="B1227" s="127" t="str">
        <f t="shared" si="52"/>
        <v>2026/01忠孝7樓</v>
      </c>
      <c r="C1227" s="138">
        <v>113</v>
      </c>
      <c r="D1227" s="139" t="s">
        <v>424</v>
      </c>
      <c r="E1227" s="484" t="s">
        <v>307</v>
      </c>
      <c r="F1227" s="484"/>
      <c r="G1227" s="484" t="s">
        <v>679</v>
      </c>
      <c r="H1227" s="484"/>
      <c r="I1227" s="484"/>
      <c r="J1227" s="484"/>
      <c r="K1227" s="140" t="s">
        <v>678</v>
      </c>
      <c r="L1227" s="141">
        <v>1684</v>
      </c>
      <c r="M1227" s="123"/>
      <c r="N1227" s="117"/>
    </row>
    <row r="1228" spans="1:14" ht="17.25" thickBot="1">
      <c r="A1228" s="126" t="str">
        <f t="shared" si="51"/>
        <v>2026/01</v>
      </c>
      <c r="B1228" s="127" t="str">
        <f t="shared" si="52"/>
        <v>2026/01忠孝7樓</v>
      </c>
      <c r="C1228" s="138">
        <v>114</v>
      </c>
      <c r="D1228" s="139" t="s">
        <v>424</v>
      </c>
      <c r="E1228" s="484" t="s">
        <v>313</v>
      </c>
      <c r="F1228" s="484"/>
      <c r="G1228" s="484" t="s">
        <v>314</v>
      </c>
      <c r="H1228" s="484"/>
      <c r="I1228" s="484"/>
      <c r="J1228" s="484"/>
      <c r="K1228" s="140" t="s">
        <v>301</v>
      </c>
      <c r="L1228" s="141">
        <v>108</v>
      </c>
      <c r="M1228" s="123"/>
      <c r="N1228" s="117"/>
    </row>
    <row r="1229" spans="1:14" ht="17.25" thickBot="1">
      <c r="A1229" s="126" t="str">
        <f t="shared" si="51"/>
        <v>2026/01</v>
      </c>
      <c r="B1229" s="127" t="str">
        <f t="shared" si="52"/>
        <v>2026/01忠孝7樓</v>
      </c>
      <c r="C1229" s="138">
        <v>115</v>
      </c>
      <c r="D1229" s="139" t="s">
        <v>424</v>
      </c>
      <c r="E1229" s="484" t="s">
        <v>343</v>
      </c>
      <c r="F1229" s="484"/>
      <c r="G1229" s="484" t="s">
        <v>344</v>
      </c>
      <c r="H1229" s="484"/>
      <c r="I1229" s="484"/>
      <c r="J1229" s="484"/>
      <c r="K1229" s="140" t="s">
        <v>301</v>
      </c>
      <c r="L1229" s="141">
        <v>25</v>
      </c>
      <c r="M1229" s="123"/>
      <c r="N1229" s="117"/>
    </row>
    <row r="1230" spans="1:14" ht="17.25" thickBot="1">
      <c r="A1230" s="126" t="str">
        <f t="shared" si="51"/>
        <v>2026/01</v>
      </c>
      <c r="B1230" s="127" t="str">
        <f t="shared" si="52"/>
        <v>2026/01忠孝7樓</v>
      </c>
      <c r="C1230" s="138">
        <v>116</v>
      </c>
      <c r="D1230" s="139" t="s">
        <v>424</v>
      </c>
      <c r="E1230" s="484" t="s">
        <v>427</v>
      </c>
      <c r="F1230" s="484"/>
      <c r="G1230" s="484" t="s">
        <v>428</v>
      </c>
      <c r="H1230" s="484"/>
      <c r="I1230" s="484"/>
      <c r="J1230" s="484"/>
      <c r="K1230" s="140" t="s">
        <v>301</v>
      </c>
      <c r="L1230" s="141">
        <v>13</v>
      </c>
      <c r="M1230" s="123"/>
      <c r="N1230" s="117"/>
    </row>
    <row r="1231" spans="1:14" ht="17.25" thickBot="1">
      <c r="A1231" s="126" t="str">
        <f t="shared" si="51"/>
        <v>2026/01</v>
      </c>
      <c r="B1231" s="127" t="str">
        <f t="shared" si="52"/>
        <v>2026/01忠孝7樓</v>
      </c>
      <c r="C1231" s="138">
        <v>117</v>
      </c>
      <c r="D1231" s="139" t="s">
        <v>424</v>
      </c>
      <c r="E1231" s="484" t="s">
        <v>349</v>
      </c>
      <c r="F1231" s="484"/>
      <c r="G1231" s="484" t="s">
        <v>350</v>
      </c>
      <c r="H1231" s="484"/>
      <c r="I1231" s="484"/>
      <c r="J1231" s="484"/>
      <c r="K1231" s="140" t="s">
        <v>301</v>
      </c>
      <c r="L1231" s="141">
        <v>14</v>
      </c>
      <c r="M1231" s="123"/>
      <c r="N1231" s="117"/>
    </row>
    <row r="1232" spans="1:14" ht="17.25" thickBot="1">
      <c r="A1232" s="126" t="str">
        <f t="shared" si="51"/>
        <v>2026/01</v>
      </c>
      <c r="B1232" s="127" t="str">
        <f t="shared" si="52"/>
        <v>2026/01忠孝7樓</v>
      </c>
      <c r="C1232" s="138">
        <v>118</v>
      </c>
      <c r="D1232" s="139" t="s">
        <v>424</v>
      </c>
      <c r="E1232" s="484" t="s">
        <v>366</v>
      </c>
      <c r="F1232" s="484"/>
      <c r="G1232" s="484" t="s">
        <v>367</v>
      </c>
      <c r="H1232" s="484"/>
      <c r="I1232" s="484"/>
      <c r="J1232" s="484"/>
      <c r="K1232" s="140" t="s">
        <v>301</v>
      </c>
      <c r="L1232" s="141">
        <v>6</v>
      </c>
      <c r="M1232" s="123"/>
      <c r="N1232" s="117"/>
    </row>
    <row r="1233" spans="1:14" ht="17.25" thickBot="1">
      <c r="A1233" s="126" t="str">
        <f t="shared" si="51"/>
        <v>2026/01</v>
      </c>
      <c r="B1233" s="127" t="str">
        <f t="shared" si="52"/>
        <v>2026/01忠孝7樓</v>
      </c>
      <c r="C1233" s="138">
        <v>119</v>
      </c>
      <c r="D1233" s="139" t="s">
        <v>424</v>
      </c>
      <c r="E1233" s="484" t="s">
        <v>282</v>
      </c>
      <c r="F1233" s="484"/>
      <c r="G1233" s="484" t="s">
        <v>283</v>
      </c>
      <c r="H1233" s="484"/>
      <c r="I1233" s="484"/>
      <c r="J1233" s="484"/>
      <c r="K1233" s="140" t="s">
        <v>284</v>
      </c>
      <c r="L1233" s="141">
        <v>89</v>
      </c>
      <c r="M1233" s="123"/>
      <c r="N1233" s="117"/>
    </row>
    <row r="1234" spans="1:14" ht="17.25" thickBot="1">
      <c r="A1234" s="126" t="str">
        <f t="shared" si="51"/>
        <v>2026/01</v>
      </c>
      <c r="B1234" s="127" t="str">
        <f t="shared" si="52"/>
        <v>2026/01忠孝7樓</v>
      </c>
      <c r="C1234" s="138">
        <v>120</v>
      </c>
      <c r="D1234" s="139" t="s">
        <v>424</v>
      </c>
      <c r="E1234" s="484" t="s">
        <v>345</v>
      </c>
      <c r="F1234" s="484"/>
      <c r="G1234" s="484" t="s">
        <v>346</v>
      </c>
      <c r="H1234" s="484"/>
      <c r="I1234" s="484"/>
      <c r="J1234" s="484"/>
      <c r="K1234" s="140" t="s">
        <v>284</v>
      </c>
      <c r="L1234" s="141">
        <v>20</v>
      </c>
      <c r="M1234" s="123"/>
      <c r="N1234" s="117"/>
    </row>
    <row r="1235" spans="1:14" ht="17.25" thickBot="1">
      <c r="A1235" s="126" t="str">
        <f t="shared" si="51"/>
        <v>2026/01</v>
      </c>
      <c r="B1235" s="127" t="str">
        <f t="shared" si="52"/>
        <v>2026/01忠孝7樓</v>
      </c>
      <c r="C1235" s="138">
        <v>121</v>
      </c>
      <c r="D1235" s="139" t="s">
        <v>424</v>
      </c>
      <c r="E1235" s="484" t="s">
        <v>311</v>
      </c>
      <c r="F1235" s="484"/>
      <c r="G1235" s="484" t="s">
        <v>312</v>
      </c>
      <c r="H1235" s="484"/>
      <c r="I1235" s="484"/>
      <c r="J1235" s="484"/>
      <c r="K1235" s="140" t="s">
        <v>284</v>
      </c>
      <c r="L1235" s="141">
        <v>28</v>
      </c>
      <c r="M1235" s="123"/>
      <c r="N1235" s="117"/>
    </row>
    <row r="1236" spans="1:14" ht="17.25" thickBot="1">
      <c r="A1236" s="126" t="str">
        <f t="shared" si="51"/>
        <v>2026/01</v>
      </c>
      <c r="B1236" s="127" t="str">
        <f t="shared" si="52"/>
        <v>2026/01忠孝7樓</v>
      </c>
      <c r="C1236" s="138">
        <v>122</v>
      </c>
      <c r="D1236" s="139" t="s">
        <v>424</v>
      </c>
      <c r="E1236" s="484" t="s">
        <v>680</v>
      </c>
      <c r="F1236" s="484"/>
      <c r="G1236" s="484" t="s">
        <v>681</v>
      </c>
      <c r="H1236" s="484"/>
      <c r="I1236" s="484"/>
      <c r="J1236" s="484"/>
      <c r="K1236" s="140" t="s">
        <v>682</v>
      </c>
      <c r="L1236" s="141">
        <v>1</v>
      </c>
      <c r="M1236" s="123"/>
      <c r="N1236" s="117"/>
    </row>
    <row r="1237" spans="1:14" ht="17.25" thickBot="1">
      <c r="A1237" s="126" t="str">
        <f t="shared" si="51"/>
        <v>2026/01</v>
      </c>
      <c r="B1237" s="127" t="str">
        <f t="shared" si="52"/>
        <v>2026/01忠孝7樓</v>
      </c>
      <c r="C1237" s="138">
        <v>123</v>
      </c>
      <c r="D1237" s="139" t="s">
        <v>424</v>
      </c>
      <c r="E1237" s="484" t="s">
        <v>734</v>
      </c>
      <c r="F1237" s="484"/>
      <c r="G1237" s="484" t="s">
        <v>735</v>
      </c>
      <c r="H1237" s="484"/>
      <c r="I1237" s="484"/>
      <c r="J1237" s="484"/>
      <c r="K1237" s="140" t="s">
        <v>342</v>
      </c>
      <c r="L1237" s="141">
        <v>2</v>
      </c>
      <c r="M1237" s="123"/>
      <c r="N1237" s="117"/>
    </row>
    <row r="1238" spans="1:14" ht="17.25" thickBot="1">
      <c r="A1238" s="126" t="str">
        <f t="shared" si="51"/>
        <v>2026/01</v>
      </c>
      <c r="B1238" s="127" t="str">
        <f t="shared" si="52"/>
        <v>2026/01忠孝7樓</v>
      </c>
      <c r="C1238" s="138">
        <v>124</v>
      </c>
      <c r="D1238" s="139" t="s">
        <v>424</v>
      </c>
      <c r="E1238" s="484" t="s">
        <v>299</v>
      </c>
      <c r="F1238" s="484"/>
      <c r="G1238" s="484" t="s">
        <v>300</v>
      </c>
      <c r="H1238" s="484"/>
      <c r="I1238" s="484"/>
      <c r="J1238" s="484"/>
      <c r="K1238" s="140" t="s">
        <v>301</v>
      </c>
      <c r="L1238" s="141">
        <v>92</v>
      </c>
      <c r="M1238" s="123"/>
      <c r="N1238" s="117"/>
    </row>
    <row r="1239" spans="1:14" ht="17.25" thickBot="1">
      <c r="A1239" s="126" t="str">
        <f t="shared" si="51"/>
        <v>2026/01</v>
      </c>
      <c r="B1239" s="127" t="str">
        <f t="shared" si="52"/>
        <v>2026/01忠孝7樓</v>
      </c>
      <c r="C1239" s="138">
        <v>125</v>
      </c>
      <c r="D1239" s="139" t="s">
        <v>424</v>
      </c>
      <c r="E1239" s="484" t="s">
        <v>347</v>
      </c>
      <c r="F1239" s="484"/>
      <c r="G1239" s="484" t="s">
        <v>348</v>
      </c>
      <c r="H1239" s="484"/>
      <c r="I1239" s="484"/>
      <c r="J1239" s="484"/>
      <c r="K1239" s="140" t="s">
        <v>301</v>
      </c>
      <c r="L1239" s="141">
        <v>25</v>
      </c>
      <c r="M1239" s="123"/>
      <c r="N1239" s="117"/>
    </row>
    <row r="1240" spans="1:14" ht="17.25" thickBot="1">
      <c r="A1240" s="126" t="str">
        <f t="shared" si="51"/>
        <v>2026/01</v>
      </c>
      <c r="B1240" s="127" t="str">
        <f t="shared" si="52"/>
        <v>2026/01忠孝7樓</v>
      </c>
      <c r="C1240" s="138">
        <v>126</v>
      </c>
      <c r="D1240" s="139" t="s">
        <v>424</v>
      </c>
      <c r="E1240" s="484" t="s">
        <v>317</v>
      </c>
      <c r="F1240" s="484"/>
      <c r="G1240" s="484" t="s">
        <v>318</v>
      </c>
      <c r="H1240" s="484"/>
      <c r="I1240" s="484"/>
      <c r="J1240" s="484"/>
      <c r="K1240" s="140" t="s">
        <v>319</v>
      </c>
      <c r="L1240" s="141">
        <v>26</v>
      </c>
      <c r="M1240" s="123"/>
      <c r="N1240" s="117"/>
    </row>
    <row r="1241" spans="1:14" ht="17.25" thickBot="1">
      <c r="A1241" s="126" t="str">
        <f t="shared" si="51"/>
        <v>2026/01</v>
      </c>
      <c r="B1241" s="127" t="str">
        <f t="shared" si="52"/>
        <v>2026/01忠孝7樓</v>
      </c>
      <c r="C1241" s="138">
        <v>127</v>
      </c>
      <c r="D1241" s="139" t="s">
        <v>424</v>
      </c>
      <c r="E1241" s="484" t="s">
        <v>321</v>
      </c>
      <c r="F1241" s="484"/>
      <c r="G1241" s="484" t="s">
        <v>322</v>
      </c>
      <c r="H1241" s="484"/>
      <c r="I1241" s="484"/>
      <c r="J1241" s="484"/>
      <c r="K1241" s="140" t="s">
        <v>275</v>
      </c>
      <c r="L1241" s="141">
        <v>6</v>
      </c>
      <c r="M1241" s="123"/>
      <c r="N1241" s="117"/>
    </row>
    <row r="1242" spans="1:14" ht="17.25" thickBot="1">
      <c r="A1242" s="126" t="str">
        <f t="shared" si="51"/>
        <v>2026/01</v>
      </c>
      <c r="B1242" s="127" t="str">
        <f t="shared" si="52"/>
        <v>2026/01忠孝7樓</v>
      </c>
      <c r="C1242" s="138">
        <v>128</v>
      </c>
      <c r="D1242" s="139" t="s">
        <v>424</v>
      </c>
      <c r="E1242" s="484" t="s">
        <v>372</v>
      </c>
      <c r="F1242" s="484"/>
      <c r="G1242" s="484" t="s">
        <v>373</v>
      </c>
      <c r="H1242" s="484"/>
      <c r="I1242" s="484"/>
      <c r="J1242" s="484"/>
      <c r="K1242" s="140" t="s">
        <v>278</v>
      </c>
      <c r="L1242" s="141">
        <v>13</v>
      </c>
      <c r="M1242" s="123"/>
      <c r="N1242" s="117"/>
    </row>
    <row r="1243" spans="1:14" ht="17.25" thickBot="1">
      <c r="A1243" s="126" t="str">
        <f t="shared" si="51"/>
        <v>2026/01</v>
      </c>
      <c r="B1243" s="127" t="str">
        <f t="shared" si="52"/>
        <v>2026/01忠孝7樓</v>
      </c>
      <c r="C1243" s="138">
        <v>129</v>
      </c>
      <c r="D1243" s="139" t="s">
        <v>424</v>
      </c>
      <c r="E1243" s="484" t="s">
        <v>276</v>
      </c>
      <c r="F1243" s="484"/>
      <c r="G1243" s="484" t="s">
        <v>277</v>
      </c>
      <c r="H1243" s="484"/>
      <c r="I1243" s="484"/>
      <c r="J1243" s="484"/>
      <c r="K1243" s="140" t="s">
        <v>278</v>
      </c>
      <c r="L1243" s="141">
        <v>194</v>
      </c>
      <c r="M1243" s="123"/>
      <c r="N1243" s="117"/>
    </row>
    <row r="1244" spans="1:14" ht="17.25" thickBot="1">
      <c r="A1244" s="126" t="str">
        <f t="shared" si="51"/>
        <v>2026/01</v>
      </c>
      <c r="B1244" s="127" t="str">
        <f t="shared" si="52"/>
        <v>2026/01忠孝7樓</v>
      </c>
      <c r="C1244" s="138">
        <v>130</v>
      </c>
      <c r="D1244" s="139" t="s">
        <v>424</v>
      </c>
      <c r="E1244" s="484" t="s">
        <v>273</v>
      </c>
      <c r="F1244" s="484"/>
      <c r="G1244" s="484" t="s">
        <v>274</v>
      </c>
      <c r="H1244" s="484"/>
      <c r="I1244" s="484"/>
      <c r="J1244" s="484"/>
      <c r="K1244" s="140" t="s">
        <v>275</v>
      </c>
      <c r="L1244" s="141">
        <v>1003</v>
      </c>
      <c r="M1244" s="123"/>
      <c r="N1244" s="117"/>
    </row>
    <row r="1245" spans="1:14" ht="17.25" thickBot="1">
      <c r="A1245" s="126" t="str">
        <f t="shared" si="51"/>
        <v>2026/01</v>
      </c>
      <c r="B1245" s="127" t="str">
        <f t="shared" si="52"/>
        <v>2026/01忠孝7樓</v>
      </c>
      <c r="C1245" s="138">
        <v>131</v>
      </c>
      <c r="D1245" s="139" t="s">
        <v>424</v>
      </c>
      <c r="E1245" s="484" t="s">
        <v>285</v>
      </c>
      <c r="F1245" s="484"/>
      <c r="G1245" s="484" t="s">
        <v>286</v>
      </c>
      <c r="H1245" s="484"/>
      <c r="I1245" s="484"/>
      <c r="J1245" s="484"/>
      <c r="K1245" s="140" t="s">
        <v>287</v>
      </c>
      <c r="L1245" s="141">
        <v>27290</v>
      </c>
      <c r="M1245" s="123"/>
      <c r="N1245" s="117"/>
    </row>
    <row r="1246" spans="1:14" ht="17.25" thickBot="1">
      <c r="A1246" s="126" t="str">
        <f t="shared" si="51"/>
        <v>2026/01</v>
      </c>
      <c r="B1246" s="127" t="str">
        <f t="shared" si="52"/>
        <v>2026/01忠孝7樓</v>
      </c>
      <c r="C1246" s="138">
        <v>132</v>
      </c>
      <c r="D1246" s="139" t="s">
        <v>424</v>
      </c>
      <c r="E1246" s="484" t="s">
        <v>290</v>
      </c>
      <c r="F1246" s="484"/>
      <c r="G1246" s="484" t="s">
        <v>291</v>
      </c>
      <c r="H1246" s="484"/>
      <c r="I1246" s="484"/>
      <c r="J1246" s="484"/>
      <c r="K1246" s="140" t="s">
        <v>287</v>
      </c>
      <c r="L1246" s="141">
        <v>65512</v>
      </c>
      <c r="M1246" s="123"/>
      <c r="N1246" s="117"/>
    </row>
    <row r="1247" spans="1:14" ht="17.25" thickBot="1">
      <c r="A1247" s="126" t="str">
        <f t="shared" si="51"/>
        <v>2026/01</v>
      </c>
      <c r="B1247" s="127" t="str">
        <f t="shared" si="52"/>
        <v>2026/01忠孝7樓</v>
      </c>
      <c r="C1247" s="138">
        <v>133</v>
      </c>
      <c r="D1247" s="139" t="s">
        <v>424</v>
      </c>
      <c r="E1247" s="484" t="s">
        <v>292</v>
      </c>
      <c r="F1247" s="484"/>
      <c r="G1247" s="484" t="s">
        <v>293</v>
      </c>
      <c r="H1247" s="484"/>
      <c r="I1247" s="484"/>
      <c r="J1247" s="484"/>
      <c r="K1247" s="140" t="s">
        <v>287</v>
      </c>
      <c r="L1247" s="141">
        <v>103071</v>
      </c>
      <c r="M1247" s="123"/>
      <c r="N1247" s="117"/>
    </row>
    <row r="1248" spans="1:14" ht="17.25" thickBot="1">
      <c r="A1248" s="126" t="str">
        <f t="shared" si="51"/>
        <v>2026/01</v>
      </c>
      <c r="B1248" s="127" t="str">
        <f t="shared" si="52"/>
        <v>2026/01忠孝7樓</v>
      </c>
      <c r="C1248" s="138">
        <v>134</v>
      </c>
      <c r="D1248" s="139" t="s">
        <v>424</v>
      </c>
      <c r="E1248" s="484" t="s">
        <v>323</v>
      </c>
      <c r="F1248" s="484"/>
      <c r="G1248" s="484" t="s">
        <v>324</v>
      </c>
      <c r="H1248" s="484"/>
      <c r="I1248" s="484"/>
      <c r="J1248" s="484"/>
      <c r="K1248" s="140" t="s">
        <v>721</v>
      </c>
      <c r="L1248" s="141">
        <v>16022</v>
      </c>
      <c r="M1248" s="123"/>
      <c r="N1248" s="117"/>
    </row>
    <row r="1249" spans="1:14" ht="17.25" thickBot="1">
      <c r="A1249" s="126" t="str">
        <f t="shared" si="51"/>
        <v>2026/01</v>
      </c>
      <c r="B1249" s="127" t="str">
        <f t="shared" si="52"/>
        <v>2026/01忠孝7樓</v>
      </c>
      <c r="C1249" s="138">
        <v>135</v>
      </c>
      <c r="D1249" s="139" t="s">
        <v>424</v>
      </c>
      <c r="E1249" s="484" t="s">
        <v>359</v>
      </c>
      <c r="F1249" s="484"/>
      <c r="G1249" s="484" t="s">
        <v>138</v>
      </c>
      <c r="H1249" s="484"/>
      <c r="I1249" s="484"/>
      <c r="J1249" s="484"/>
      <c r="K1249" s="140" t="s">
        <v>146</v>
      </c>
      <c r="L1249" s="141">
        <v>21</v>
      </c>
      <c r="M1249" s="123"/>
      <c r="N1249" s="117"/>
    </row>
    <row r="1250" spans="1:14" ht="17.25" thickBot="1">
      <c r="A1250" s="126" t="str">
        <f t="shared" si="51"/>
        <v>2026/01</v>
      </c>
      <c r="B1250" s="127" t="str">
        <f t="shared" si="52"/>
        <v>2026/01忠孝7樓</v>
      </c>
      <c r="C1250" s="138">
        <v>136</v>
      </c>
      <c r="D1250" s="139" t="s">
        <v>424</v>
      </c>
      <c r="E1250" s="484" t="s">
        <v>320</v>
      </c>
      <c r="F1250" s="484"/>
      <c r="G1250" s="484" t="s">
        <v>135</v>
      </c>
      <c r="H1250" s="484"/>
      <c r="I1250" s="484"/>
      <c r="J1250" s="484"/>
      <c r="K1250" s="140" t="s">
        <v>146</v>
      </c>
      <c r="L1250" s="141">
        <v>16</v>
      </c>
      <c r="M1250" s="123"/>
      <c r="N1250" s="117"/>
    </row>
    <row r="1251" spans="1:14" ht="17.25" thickBot="1">
      <c r="A1251" s="126" t="str">
        <f t="shared" si="51"/>
        <v>2026/01</v>
      </c>
      <c r="B1251" s="127" t="str">
        <f t="shared" si="52"/>
        <v>2026/01忠孝7樓</v>
      </c>
      <c r="C1251" s="138">
        <v>137</v>
      </c>
      <c r="D1251" s="139" t="s">
        <v>424</v>
      </c>
      <c r="E1251" s="484" t="s">
        <v>338</v>
      </c>
      <c r="F1251" s="484"/>
      <c r="G1251" s="484" t="s">
        <v>339</v>
      </c>
      <c r="H1251" s="484"/>
      <c r="I1251" s="484"/>
      <c r="J1251" s="484"/>
      <c r="K1251" s="140" t="s">
        <v>287</v>
      </c>
      <c r="L1251" s="141">
        <v>5676</v>
      </c>
      <c r="M1251" s="123"/>
      <c r="N1251" s="117"/>
    </row>
    <row r="1252" spans="1:14" ht="17.25" thickBot="1">
      <c r="A1252" s="126" t="str">
        <f t="shared" si="51"/>
        <v>2026/01</v>
      </c>
      <c r="B1252" s="127" t="str">
        <f t="shared" si="52"/>
        <v>2026/01忠孝7樓</v>
      </c>
      <c r="C1252" s="138">
        <v>138</v>
      </c>
      <c r="D1252" s="139" t="s">
        <v>424</v>
      </c>
      <c r="E1252" s="484" t="s">
        <v>326</v>
      </c>
      <c r="F1252" s="484"/>
      <c r="G1252" s="484" t="s">
        <v>327</v>
      </c>
      <c r="H1252" s="484"/>
      <c r="I1252" s="484"/>
      <c r="J1252" s="484"/>
      <c r="K1252" s="140" t="s">
        <v>287</v>
      </c>
      <c r="L1252" s="141">
        <v>17199</v>
      </c>
      <c r="M1252" s="123"/>
      <c r="N1252" s="117"/>
    </row>
    <row r="1253" spans="1:14" ht="17.25" thickBot="1">
      <c r="A1253" s="126" t="str">
        <f t="shared" si="51"/>
        <v>2026/01</v>
      </c>
      <c r="B1253" s="127" t="str">
        <f t="shared" si="52"/>
        <v>2026/01忠孝7樓</v>
      </c>
      <c r="C1253" s="138">
        <v>139</v>
      </c>
      <c r="D1253" s="139" t="s">
        <v>424</v>
      </c>
      <c r="E1253" s="484" t="s">
        <v>328</v>
      </c>
      <c r="F1253" s="484"/>
      <c r="G1253" s="484" t="s">
        <v>329</v>
      </c>
      <c r="H1253" s="484"/>
      <c r="I1253" s="484"/>
      <c r="J1253" s="484"/>
      <c r="K1253" s="140" t="s">
        <v>287</v>
      </c>
      <c r="L1253" s="141">
        <v>39965</v>
      </c>
      <c r="M1253" s="123"/>
      <c r="N1253" s="117"/>
    </row>
    <row r="1254" spans="1:14" ht="17.25" thickBot="1">
      <c r="A1254" s="126" t="str">
        <f t="shared" si="51"/>
        <v>2026/01</v>
      </c>
      <c r="B1254" s="127" t="str">
        <f t="shared" si="52"/>
        <v>2026/01忠孝7樓</v>
      </c>
      <c r="C1254" s="138">
        <v>140</v>
      </c>
      <c r="D1254" s="139" t="s">
        <v>424</v>
      </c>
      <c r="E1254" s="484" t="s">
        <v>330</v>
      </c>
      <c r="F1254" s="484"/>
      <c r="G1254" s="484" t="s">
        <v>331</v>
      </c>
      <c r="H1254" s="484"/>
      <c r="I1254" s="484"/>
      <c r="J1254" s="484"/>
      <c r="K1254" s="140" t="s">
        <v>287</v>
      </c>
      <c r="L1254" s="141">
        <v>12914</v>
      </c>
      <c r="M1254" s="123"/>
      <c r="N1254" s="117"/>
    </row>
    <row r="1255" spans="1:14" ht="17.25" thickBot="1">
      <c r="A1255" s="126" t="str">
        <f t="shared" si="51"/>
        <v>2026/01</v>
      </c>
      <c r="B1255" s="127" t="str">
        <f t="shared" si="52"/>
        <v>2026/01忠孝7樓</v>
      </c>
      <c r="C1255" s="138">
        <v>141</v>
      </c>
      <c r="D1255" s="139" t="s">
        <v>424</v>
      </c>
      <c r="E1255" s="484" t="s">
        <v>302</v>
      </c>
      <c r="F1255" s="484"/>
      <c r="G1255" s="484" t="s">
        <v>303</v>
      </c>
      <c r="H1255" s="484"/>
      <c r="I1255" s="484"/>
      <c r="J1255" s="484"/>
      <c r="K1255" s="140" t="s">
        <v>304</v>
      </c>
      <c r="L1255" s="141">
        <v>4260</v>
      </c>
      <c r="M1255" s="123"/>
      <c r="N1255" s="117"/>
    </row>
    <row r="1256" spans="1:14" ht="17.25" thickBot="1">
      <c r="A1256" s="126" t="str">
        <f t="shared" si="51"/>
        <v>2026/01</v>
      </c>
      <c r="B1256" s="127" t="str">
        <f t="shared" si="52"/>
        <v>2026/01忠孝7樓</v>
      </c>
      <c r="C1256" s="138">
        <v>142</v>
      </c>
      <c r="D1256" s="139" t="s">
        <v>424</v>
      </c>
      <c r="E1256" s="484" t="s">
        <v>363</v>
      </c>
      <c r="F1256" s="484"/>
      <c r="G1256" s="484" t="s">
        <v>364</v>
      </c>
      <c r="H1256" s="484"/>
      <c r="I1256" s="484"/>
      <c r="J1256" s="484"/>
      <c r="K1256" s="140" t="s">
        <v>365</v>
      </c>
      <c r="L1256" s="141">
        <v>300</v>
      </c>
      <c r="M1256" s="123"/>
      <c r="N1256" s="117"/>
    </row>
    <row r="1257" spans="1:14" ht="17.25" thickBot="1">
      <c r="A1257" s="126" t="str">
        <f t="shared" si="51"/>
        <v>2026/01</v>
      </c>
      <c r="B1257" s="127" t="str">
        <f t="shared" si="52"/>
        <v>2026/01忠孝7樓</v>
      </c>
      <c r="C1257" s="138">
        <v>143</v>
      </c>
      <c r="D1257" s="139" t="s">
        <v>424</v>
      </c>
      <c r="E1257" s="484" t="s">
        <v>705</v>
      </c>
      <c r="F1257" s="484"/>
      <c r="G1257" s="484" t="s">
        <v>706</v>
      </c>
      <c r="H1257" s="484"/>
      <c r="I1257" s="484"/>
      <c r="J1257" s="484"/>
      <c r="K1257" s="140" t="s">
        <v>707</v>
      </c>
      <c r="L1257" s="141">
        <v>47385</v>
      </c>
      <c r="M1257" s="123"/>
      <c r="N1257" s="117"/>
    </row>
    <row r="1258" spans="1:14" ht="17.25" thickBot="1">
      <c r="A1258" s="126" t="str">
        <f t="shared" si="51"/>
        <v>2026/01</v>
      </c>
      <c r="B1258" s="127" t="str">
        <f t="shared" si="52"/>
        <v>2026/01忠孝7樓</v>
      </c>
      <c r="C1258" s="138">
        <v>144</v>
      </c>
      <c r="D1258" s="139" t="s">
        <v>424</v>
      </c>
      <c r="E1258" s="484" t="s">
        <v>279</v>
      </c>
      <c r="F1258" s="484"/>
      <c r="G1258" s="484" t="s">
        <v>280</v>
      </c>
      <c r="H1258" s="484"/>
      <c r="I1258" s="484"/>
      <c r="J1258" s="484"/>
      <c r="K1258" s="140" t="s">
        <v>281</v>
      </c>
      <c r="L1258" s="141">
        <v>502500</v>
      </c>
      <c r="M1258" s="123"/>
      <c r="N1258" s="117"/>
    </row>
    <row r="1259" spans="1:14" ht="17.25" thickBot="1">
      <c r="A1259" s="126" t="str">
        <f t="shared" si="51"/>
        <v>2026/01</v>
      </c>
      <c r="B1259" s="127" t="str">
        <f t="shared" si="52"/>
        <v>2026/01忠孝7樓</v>
      </c>
      <c r="C1259" s="138">
        <v>145</v>
      </c>
      <c r="D1259" s="139" t="s">
        <v>424</v>
      </c>
      <c r="E1259" s="484" t="s">
        <v>288</v>
      </c>
      <c r="F1259" s="484"/>
      <c r="G1259" s="484" t="s">
        <v>289</v>
      </c>
      <c r="H1259" s="484"/>
      <c r="I1259" s="484"/>
      <c r="J1259" s="484"/>
      <c r="K1259" s="140" t="s">
        <v>281</v>
      </c>
      <c r="L1259" s="141">
        <v>212000</v>
      </c>
      <c r="M1259" s="123"/>
      <c r="N1259" s="117"/>
    </row>
    <row r="1260" spans="1:14" ht="17.25" thickBot="1">
      <c r="A1260" s="126" t="str">
        <f t="shared" si="51"/>
        <v>2026/01</v>
      </c>
      <c r="B1260" s="127" t="str">
        <f t="shared" si="52"/>
        <v>2026/01忠孝7樓</v>
      </c>
      <c r="C1260" s="138">
        <v>146</v>
      </c>
      <c r="D1260" s="139" t="s">
        <v>424</v>
      </c>
      <c r="E1260" s="484" t="s">
        <v>332</v>
      </c>
      <c r="F1260" s="484"/>
      <c r="G1260" s="484" t="s">
        <v>333</v>
      </c>
      <c r="H1260" s="484"/>
      <c r="I1260" s="484"/>
      <c r="J1260" s="484"/>
      <c r="K1260" s="140" t="s">
        <v>334</v>
      </c>
      <c r="L1260" s="141">
        <v>138184</v>
      </c>
      <c r="M1260" s="123"/>
      <c r="N1260" s="117"/>
    </row>
    <row r="1261" spans="1:14" ht="17.25" thickBot="1">
      <c r="A1261" s="126" t="str">
        <f t="shared" si="51"/>
        <v>2026/01</v>
      </c>
      <c r="B1261" s="127" t="str">
        <f t="shared" si="52"/>
        <v>2026/01忠孝7樓</v>
      </c>
      <c r="C1261" s="138">
        <v>147</v>
      </c>
      <c r="D1261" s="139" t="s">
        <v>424</v>
      </c>
      <c r="E1261" s="484" t="s">
        <v>335</v>
      </c>
      <c r="F1261" s="484"/>
      <c r="G1261" s="484" t="s">
        <v>336</v>
      </c>
      <c r="H1261" s="484"/>
      <c r="I1261" s="484"/>
      <c r="J1261" s="484"/>
      <c r="K1261" s="140" t="s">
        <v>337</v>
      </c>
      <c r="L1261" s="141">
        <v>18998</v>
      </c>
      <c r="M1261" s="123"/>
      <c r="N1261" s="117"/>
    </row>
    <row r="1262" spans="1:14" ht="17.25" thickBot="1">
      <c r="A1262" s="126" t="str">
        <f t="shared" si="51"/>
        <v>2026/01</v>
      </c>
      <c r="B1262" s="127" t="str">
        <f t="shared" si="52"/>
        <v>2026/01忠孝7樓</v>
      </c>
      <c r="C1262" s="138">
        <v>148</v>
      </c>
      <c r="D1262" s="139" t="s">
        <v>424</v>
      </c>
      <c r="E1262" s="484" t="s">
        <v>443</v>
      </c>
      <c r="F1262" s="484"/>
      <c r="G1262" s="484" t="s">
        <v>444</v>
      </c>
      <c r="H1262" s="484"/>
      <c r="I1262" s="484"/>
      <c r="J1262" s="484"/>
      <c r="K1262" s="140" t="s">
        <v>445</v>
      </c>
      <c r="L1262" s="141">
        <v>8</v>
      </c>
      <c r="M1262" s="123"/>
      <c r="N1262" s="117"/>
    </row>
    <row r="1263" spans="1:14" ht="17.25" thickBot="1">
      <c r="A1263" s="126" t="str">
        <f t="shared" si="51"/>
        <v>2026/01</v>
      </c>
      <c r="B1263" s="127" t="str">
        <f t="shared" si="52"/>
        <v>2026/01忠孝7樓</v>
      </c>
      <c r="C1263" s="138">
        <v>149</v>
      </c>
      <c r="D1263" s="139" t="s">
        <v>424</v>
      </c>
      <c r="E1263" s="484" t="s">
        <v>351</v>
      </c>
      <c r="F1263" s="484"/>
      <c r="G1263" s="484" t="s">
        <v>352</v>
      </c>
      <c r="H1263" s="484"/>
      <c r="I1263" s="484"/>
      <c r="J1263" s="484"/>
      <c r="K1263" s="140" t="s">
        <v>353</v>
      </c>
      <c r="L1263" s="141">
        <v>16</v>
      </c>
      <c r="M1263" s="123"/>
      <c r="N1263" s="117"/>
    </row>
    <row r="1264" spans="1:14" ht="17.25" thickBot="1">
      <c r="A1264" s="126" t="str">
        <f t="shared" si="51"/>
        <v>2026/01</v>
      </c>
      <c r="B1264" s="127" t="str">
        <f t="shared" si="52"/>
        <v>2026/01忠孝7樓</v>
      </c>
      <c r="C1264" s="138">
        <v>150</v>
      </c>
      <c r="D1264" s="139" t="s">
        <v>424</v>
      </c>
      <c r="E1264" s="484" t="s">
        <v>357</v>
      </c>
      <c r="F1264" s="484"/>
      <c r="G1264" s="484" t="s">
        <v>358</v>
      </c>
      <c r="H1264" s="484"/>
      <c r="I1264" s="484"/>
      <c r="J1264" s="484"/>
      <c r="K1264" s="140" t="s">
        <v>353</v>
      </c>
      <c r="L1264" s="141">
        <v>12</v>
      </c>
      <c r="M1264" s="123"/>
      <c r="N1264" s="117"/>
    </row>
    <row r="1265" spans="1:14" ht="17.25" thickBot="1">
      <c r="A1265" s="126" t="str">
        <f t="shared" si="51"/>
        <v>2026/01</v>
      </c>
      <c r="B1265" s="127" t="str">
        <f t="shared" ref="B1265" si="53">"2026/01"&amp;D1265</f>
        <v>2026/01忠孝7樓</v>
      </c>
      <c r="C1265" s="138">
        <v>151</v>
      </c>
      <c r="D1265" s="139" t="s">
        <v>424</v>
      </c>
      <c r="E1265" s="484" t="s">
        <v>449</v>
      </c>
      <c r="F1265" s="484"/>
      <c r="G1265" s="484" t="s">
        <v>450</v>
      </c>
      <c r="H1265" s="484"/>
      <c r="I1265" s="484"/>
      <c r="J1265" s="484"/>
      <c r="K1265" s="140" t="s">
        <v>445</v>
      </c>
      <c r="L1265" s="141">
        <v>4</v>
      </c>
      <c r="M1265" s="123"/>
      <c r="N1265" s="117"/>
    </row>
    <row r="1266" spans="1:14" ht="17.25" thickBot="1">
      <c r="A1266" s="126" t="str">
        <f t="shared" si="51"/>
        <v>2026/01</v>
      </c>
      <c r="B1266" s="127" t="str">
        <f t="shared" ref="B1266:B1286" si="54">"2026/01"&amp;D1266</f>
        <v>2026/01忠孝7樓</v>
      </c>
      <c r="C1266" s="138">
        <v>152</v>
      </c>
      <c r="D1266" s="139" t="s">
        <v>424</v>
      </c>
      <c r="E1266" s="484" t="s">
        <v>340</v>
      </c>
      <c r="F1266" s="484"/>
      <c r="G1266" s="484" t="s">
        <v>341</v>
      </c>
      <c r="H1266" s="484"/>
      <c r="I1266" s="484"/>
      <c r="J1266" s="484"/>
      <c r="K1266" s="140" t="s">
        <v>342</v>
      </c>
      <c r="L1266" s="141">
        <v>7</v>
      </c>
      <c r="M1266" s="123"/>
      <c r="N1266" s="117"/>
    </row>
    <row r="1267" spans="1:14" ht="17.25" thickBot="1">
      <c r="A1267" s="126" t="str">
        <f t="shared" ref="A1267:A1286" si="55">IFERROR(LEFT(B1267,7),"")</f>
        <v>2026/01</v>
      </c>
      <c r="B1267" s="127" t="str">
        <f t="shared" si="54"/>
        <v>2026/01忠孝7樓</v>
      </c>
      <c r="C1267" s="138">
        <v>153</v>
      </c>
      <c r="D1267" s="139" t="s">
        <v>424</v>
      </c>
      <c r="E1267" s="484" t="s">
        <v>697</v>
      </c>
      <c r="F1267" s="484"/>
      <c r="G1267" s="484" t="s">
        <v>698</v>
      </c>
      <c r="H1267" s="484"/>
      <c r="I1267" s="484"/>
      <c r="J1267" s="484"/>
      <c r="K1267" s="140" t="s">
        <v>699</v>
      </c>
      <c r="L1267" s="141">
        <v>10</v>
      </c>
      <c r="M1267" s="123"/>
      <c r="N1267" s="117"/>
    </row>
    <row r="1268" spans="1:14" ht="17.25" thickBot="1">
      <c r="A1268" s="126" t="str">
        <f t="shared" si="55"/>
        <v>2026/01</v>
      </c>
      <c r="B1268" s="127" t="str">
        <f t="shared" si="54"/>
        <v>2026/01忠孝7樓</v>
      </c>
      <c r="C1268" s="138">
        <v>154</v>
      </c>
      <c r="D1268" s="139" t="s">
        <v>424</v>
      </c>
      <c r="E1268" s="484" t="s">
        <v>683</v>
      </c>
      <c r="F1268" s="484"/>
      <c r="G1268" s="484" t="s">
        <v>684</v>
      </c>
      <c r="H1268" s="484"/>
      <c r="I1268" s="484"/>
      <c r="J1268" s="484"/>
      <c r="K1268" s="140" t="s">
        <v>685</v>
      </c>
      <c r="L1268" s="141">
        <v>5</v>
      </c>
      <c r="M1268" s="123"/>
      <c r="N1268" s="117"/>
    </row>
    <row r="1269" spans="1:14" ht="17.25" thickBot="1">
      <c r="A1269" s="126" t="str">
        <f t="shared" si="55"/>
        <v>2026/01</v>
      </c>
      <c r="B1269" s="127" t="str">
        <f t="shared" si="54"/>
        <v>2026/01忠孝7樓</v>
      </c>
      <c r="C1269" s="138">
        <v>155</v>
      </c>
      <c r="D1269" s="139" t="s">
        <v>424</v>
      </c>
      <c r="E1269" s="484" t="s">
        <v>686</v>
      </c>
      <c r="F1269" s="484"/>
      <c r="G1269" s="484" t="s">
        <v>687</v>
      </c>
      <c r="H1269" s="484"/>
      <c r="I1269" s="484"/>
      <c r="J1269" s="484"/>
      <c r="K1269" s="140" t="s">
        <v>688</v>
      </c>
      <c r="L1269" s="141">
        <v>34</v>
      </c>
      <c r="M1269" s="123"/>
      <c r="N1269" s="117"/>
    </row>
    <row r="1270" spans="1:14" ht="17.25" thickBot="1">
      <c r="A1270" s="126" t="str">
        <f t="shared" si="55"/>
        <v>2026/01</v>
      </c>
      <c r="B1270" s="127" t="str">
        <f t="shared" si="54"/>
        <v>2026/01忠孝7樓</v>
      </c>
      <c r="C1270" s="138">
        <v>156</v>
      </c>
      <c r="D1270" s="139" t="s">
        <v>424</v>
      </c>
      <c r="E1270" s="484" t="s">
        <v>354</v>
      </c>
      <c r="F1270" s="484"/>
      <c r="G1270" s="484" t="s">
        <v>741</v>
      </c>
      <c r="H1270" s="484"/>
      <c r="I1270" s="484"/>
      <c r="J1270" s="484"/>
      <c r="K1270" s="140" t="s">
        <v>356</v>
      </c>
      <c r="L1270" s="141">
        <v>15</v>
      </c>
      <c r="M1270" s="123"/>
      <c r="N1270" s="117"/>
    </row>
    <row r="1271" spans="1:14" ht="17.25" thickBot="1">
      <c r="A1271" s="126" t="str">
        <f t="shared" si="55"/>
        <v>2026/01</v>
      </c>
      <c r="B1271" s="127" t="str">
        <f t="shared" si="54"/>
        <v>2026/01忠孝7樓</v>
      </c>
      <c r="C1271" s="138">
        <v>157</v>
      </c>
      <c r="D1271" s="139" t="s">
        <v>424</v>
      </c>
      <c r="E1271" s="484" t="s">
        <v>425</v>
      </c>
      <c r="F1271" s="484"/>
      <c r="G1271" s="484" t="s">
        <v>426</v>
      </c>
      <c r="H1271" s="484"/>
      <c r="I1271" s="484"/>
      <c r="J1271" s="484"/>
      <c r="K1271" s="140" t="s">
        <v>269</v>
      </c>
      <c r="L1271" s="141">
        <v>2</v>
      </c>
      <c r="M1271" s="123"/>
      <c r="N1271" s="117"/>
    </row>
    <row r="1272" spans="1:14" ht="17.25" thickBot="1">
      <c r="A1272" s="126" t="str">
        <f t="shared" si="55"/>
        <v>2026/01</v>
      </c>
      <c r="B1272" s="127" t="str">
        <f t="shared" si="54"/>
        <v>2026/01忠孝7樓</v>
      </c>
      <c r="C1272" s="138">
        <v>158</v>
      </c>
      <c r="D1272" s="139" t="s">
        <v>424</v>
      </c>
      <c r="E1272" s="484" t="s">
        <v>309</v>
      </c>
      <c r="F1272" s="484"/>
      <c r="G1272" s="484" t="s">
        <v>310</v>
      </c>
      <c r="H1272" s="484"/>
      <c r="I1272" s="484"/>
      <c r="J1272" s="484"/>
      <c r="K1272" s="140" t="s">
        <v>269</v>
      </c>
      <c r="L1272" s="141">
        <v>325</v>
      </c>
      <c r="M1272" s="123"/>
      <c r="N1272" s="117"/>
    </row>
    <row r="1273" spans="1:14" ht="17.25" thickBot="1">
      <c r="A1273" s="126" t="str">
        <f t="shared" si="55"/>
        <v>2026/01</v>
      </c>
      <c r="B1273" s="127" t="str">
        <f t="shared" si="54"/>
        <v>2026/01忠孝7樓</v>
      </c>
      <c r="C1273" s="138">
        <v>159</v>
      </c>
      <c r="D1273" s="139" t="s">
        <v>424</v>
      </c>
      <c r="E1273" s="484" t="s">
        <v>267</v>
      </c>
      <c r="F1273" s="484"/>
      <c r="G1273" s="484" t="s">
        <v>268</v>
      </c>
      <c r="H1273" s="484"/>
      <c r="I1273" s="484"/>
      <c r="J1273" s="484"/>
      <c r="K1273" s="140" t="s">
        <v>269</v>
      </c>
      <c r="L1273" s="141">
        <v>24</v>
      </c>
      <c r="M1273" s="123"/>
      <c r="N1273" s="117"/>
    </row>
    <row r="1274" spans="1:14" ht="17.25" thickBot="1">
      <c r="A1274" s="126" t="str">
        <f t="shared" si="55"/>
        <v>2026/01</v>
      </c>
      <c r="B1274" s="127" t="str">
        <f t="shared" si="54"/>
        <v>2026/01忠孝7樓</v>
      </c>
      <c r="C1274" s="138">
        <v>160</v>
      </c>
      <c r="D1274" s="139" t="s">
        <v>424</v>
      </c>
      <c r="E1274" s="484" t="s">
        <v>315</v>
      </c>
      <c r="F1274" s="484"/>
      <c r="G1274" s="484" t="s">
        <v>316</v>
      </c>
      <c r="H1274" s="484"/>
      <c r="I1274" s="484"/>
      <c r="J1274" s="484"/>
      <c r="K1274" s="140" t="s">
        <v>296</v>
      </c>
      <c r="L1274" s="141">
        <v>15</v>
      </c>
      <c r="M1274" s="123"/>
      <c r="N1274" s="117"/>
    </row>
    <row r="1275" spans="1:14" ht="17.25" thickBot="1">
      <c r="A1275" s="126" t="str">
        <f t="shared" si="55"/>
        <v>2026/01</v>
      </c>
      <c r="B1275" s="127" t="str">
        <f t="shared" si="54"/>
        <v>2026/01忠孝7樓</v>
      </c>
      <c r="C1275" s="138">
        <v>161</v>
      </c>
      <c r="D1275" s="139" t="s">
        <v>424</v>
      </c>
      <c r="E1275" s="484" t="s">
        <v>294</v>
      </c>
      <c r="F1275" s="484"/>
      <c r="G1275" s="484" t="s">
        <v>295</v>
      </c>
      <c r="H1275" s="484"/>
      <c r="I1275" s="484"/>
      <c r="J1275" s="484"/>
      <c r="K1275" s="140" t="s">
        <v>296</v>
      </c>
      <c r="L1275" s="141">
        <v>13</v>
      </c>
      <c r="M1275" s="123"/>
      <c r="N1275" s="117"/>
    </row>
    <row r="1276" spans="1:14" ht="17.25" thickBot="1">
      <c r="A1276" s="126" t="str">
        <f t="shared" si="55"/>
        <v>2026/01</v>
      </c>
      <c r="B1276" s="127" t="str">
        <f t="shared" si="54"/>
        <v>2026/01忠孝7樓</v>
      </c>
      <c r="C1276" s="138">
        <v>162</v>
      </c>
      <c r="D1276" s="139" t="s">
        <v>424</v>
      </c>
      <c r="E1276" s="484" t="s">
        <v>736</v>
      </c>
      <c r="F1276" s="484"/>
      <c r="G1276" s="484" t="s">
        <v>737</v>
      </c>
      <c r="H1276" s="484"/>
      <c r="I1276" s="484"/>
      <c r="J1276" s="484"/>
      <c r="K1276" s="140" t="s">
        <v>738</v>
      </c>
      <c r="L1276" s="141">
        <v>6</v>
      </c>
      <c r="M1276" s="123"/>
      <c r="N1276" s="117"/>
    </row>
    <row r="1277" spans="1:14" ht="17.25" thickBot="1">
      <c r="A1277" s="126" t="str">
        <f t="shared" si="55"/>
        <v>2026/01</v>
      </c>
      <c r="B1277" s="127" t="str">
        <f t="shared" si="54"/>
        <v>2026/01忠孝7樓</v>
      </c>
      <c r="C1277" s="138">
        <v>163</v>
      </c>
      <c r="D1277" s="139" t="s">
        <v>424</v>
      </c>
      <c r="E1277" s="484" t="s">
        <v>237</v>
      </c>
      <c r="F1277" s="484"/>
      <c r="G1277" s="484" t="s">
        <v>238</v>
      </c>
      <c r="H1277" s="484"/>
      <c r="I1277" s="484"/>
      <c r="J1277" s="484"/>
      <c r="K1277" s="140" t="s">
        <v>239</v>
      </c>
      <c r="L1277" s="141">
        <v>1163</v>
      </c>
      <c r="M1277" s="123"/>
      <c r="N1277" s="117"/>
    </row>
    <row r="1278" spans="1:14" ht="17.25" thickBot="1">
      <c r="A1278" s="126" t="str">
        <f t="shared" si="55"/>
        <v>2026/01</v>
      </c>
      <c r="B1278" s="127" t="str">
        <f t="shared" si="54"/>
        <v>2026/01忠孝7樓</v>
      </c>
      <c r="C1278" s="138">
        <v>164</v>
      </c>
      <c r="D1278" s="139" t="s">
        <v>424</v>
      </c>
      <c r="E1278" s="484" t="s">
        <v>240</v>
      </c>
      <c r="F1278" s="484"/>
      <c r="G1278" s="484" t="s">
        <v>241</v>
      </c>
      <c r="H1278" s="484"/>
      <c r="I1278" s="484"/>
      <c r="J1278" s="484"/>
      <c r="K1278" s="140" t="s">
        <v>239</v>
      </c>
      <c r="L1278" s="141">
        <v>1163</v>
      </c>
      <c r="M1278" s="123"/>
      <c r="N1278" s="117"/>
    </row>
    <row r="1279" spans="1:14" ht="17.25" thickBot="1">
      <c r="A1279" s="126" t="str">
        <f t="shared" si="55"/>
        <v>2026/01</v>
      </c>
      <c r="B1279" s="127" t="str">
        <f t="shared" si="54"/>
        <v>2026/01忠孝7樓</v>
      </c>
      <c r="C1279" s="138">
        <v>165</v>
      </c>
      <c r="D1279" s="139" t="s">
        <v>424</v>
      </c>
      <c r="E1279" s="484" t="s">
        <v>242</v>
      </c>
      <c r="F1279" s="484"/>
      <c r="G1279" s="484" t="s">
        <v>243</v>
      </c>
      <c r="H1279" s="484"/>
      <c r="I1279" s="484"/>
      <c r="J1279" s="484"/>
      <c r="K1279" s="140" t="s">
        <v>239</v>
      </c>
      <c r="L1279" s="141">
        <v>1163</v>
      </c>
      <c r="M1279" s="123"/>
      <c r="N1279" s="117"/>
    </row>
    <row r="1280" spans="1:14" ht="17.25" thickBot="1">
      <c r="A1280" s="126" t="str">
        <f t="shared" si="55"/>
        <v>2026/01</v>
      </c>
      <c r="B1280" s="127" t="str">
        <f t="shared" si="54"/>
        <v>2026/01忠孝7樓</v>
      </c>
      <c r="C1280" s="138">
        <v>166</v>
      </c>
      <c r="D1280" s="139" t="s">
        <v>424</v>
      </c>
      <c r="E1280" s="484" t="s">
        <v>244</v>
      </c>
      <c r="F1280" s="484"/>
      <c r="G1280" s="484" t="s">
        <v>245</v>
      </c>
      <c r="H1280" s="484"/>
      <c r="I1280" s="484"/>
      <c r="J1280" s="484"/>
      <c r="K1280" s="140" t="s">
        <v>725</v>
      </c>
      <c r="L1280" s="141">
        <v>17445</v>
      </c>
      <c r="M1280" s="123"/>
      <c r="N1280" s="117"/>
    </row>
    <row r="1281" spans="1:14" ht="17.25" thickBot="1">
      <c r="A1281" s="126" t="str">
        <f t="shared" si="55"/>
        <v>2026/01</v>
      </c>
      <c r="B1281" s="127" t="str">
        <f t="shared" si="54"/>
        <v>2026/01忠孝7樓</v>
      </c>
      <c r="C1281" s="138">
        <v>167</v>
      </c>
      <c r="D1281" s="139" t="s">
        <v>424</v>
      </c>
      <c r="E1281" s="484" t="s">
        <v>246</v>
      </c>
      <c r="F1281" s="484"/>
      <c r="G1281" s="484" t="s">
        <v>247</v>
      </c>
      <c r="H1281" s="484"/>
      <c r="I1281" s="484"/>
      <c r="J1281" s="484"/>
      <c r="K1281" s="140" t="s">
        <v>725</v>
      </c>
      <c r="L1281" s="141">
        <v>17445</v>
      </c>
      <c r="M1281" s="123"/>
      <c r="N1281" s="117"/>
    </row>
    <row r="1282" spans="1:14" ht="17.25" thickBot="1">
      <c r="A1282" s="126" t="str">
        <f t="shared" si="55"/>
        <v>2026/01</v>
      </c>
      <c r="B1282" s="127" t="str">
        <f t="shared" si="54"/>
        <v>2026/01忠孝7樓</v>
      </c>
      <c r="C1282" s="138">
        <v>168</v>
      </c>
      <c r="D1282" s="139" t="s">
        <v>424</v>
      </c>
      <c r="E1282" s="484" t="s">
        <v>248</v>
      </c>
      <c r="F1282" s="484"/>
      <c r="G1282" s="484" t="s">
        <v>249</v>
      </c>
      <c r="H1282" s="484"/>
      <c r="I1282" s="484"/>
      <c r="J1282" s="484"/>
      <c r="K1282" s="140" t="s">
        <v>725</v>
      </c>
      <c r="L1282" s="141">
        <v>17445</v>
      </c>
      <c r="M1282" s="123"/>
      <c r="N1282" s="117"/>
    </row>
    <row r="1283" spans="1:14" ht="17.25" thickBot="1">
      <c r="A1283" s="126" t="str">
        <f t="shared" si="55"/>
        <v>2026/01</v>
      </c>
      <c r="B1283" s="127" t="str">
        <f t="shared" si="54"/>
        <v>2026/01忠孝7樓</v>
      </c>
      <c r="C1283" s="138">
        <v>169</v>
      </c>
      <c r="D1283" s="139" t="s">
        <v>424</v>
      </c>
      <c r="E1283" s="484" t="s">
        <v>250</v>
      </c>
      <c r="F1283" s="484"/>
      <c r="G1283" s="484" t="s">
        <v>251</v>
      </c>
      <c r="H1283" s="484"/>
      <c r="I1283" s="484"/>
      <c r="J1283" s="484"/>
      <c r="K1283" s="140" t="s">
        <v>725</v>
      </c>
      <c r="L1283" s="141">
        <v>17445</v>
      </c>
      <c r="M1283" s="123"/>
      <c r="N1283" s="117"/>
    </row>
    <row r="1284" spans="1:14" ht="17.25" thickBot="1">
      <c r="A1284" s="126" t="str">
        <f t="shared" si="55"/>
        <v>2026/01</v>
      </c>
      <c r="B1284" s="127" t="str">
        <f t="shared" si="54"/>
        <v>2026/01忠孝國際醫學3樓</v>
      </c>
      <c r="C1284" s="138">
        <v>170</v>
      </c>
      <c r="D1284" s="139" t="s">
        <v>850</v>
      </c>
      <c r="E1284" s="484" t="s">
        <v>392</v>
      </c>
      <c r="F1284" s="484"/>
      <c r="G1284" s="484" t="s">
        <v>393</v>
      </c>
      <c r="H1284" s="484"/>
      <c r="I1284" s="484"/>
      <c r="J1284" s="484"/>
      <c r="K1284" s="140" t="s">
        <v>382</v>
      </c>
      <c r="L1284" s="141">
        <v>1163</v>
      </c>
      <c r="M1284" s="123"/>
      <c r="N1284" s="117"/>
    </row>
    <row r="1285" spans="1:14" ht="17.25" thickBot="1">
      <c r="A1285" s="126" t="str">
        <f t="shared" si="55"/>
        <v>2026/01</v>
      </c>
      <c r="B1285" s="127" t="str">
        <f t="shared" si="54"/>
        <v>2026/01忠孝國際醫學3樓</v>
      </c>
      <c r="C1285" s="138">
        <v>171</v>
      </c>
      <c r="D1285" s="139" t="s">
        <v>850</v>
      </c>
      <c r="E1285" s="484" t="s">
        <v>380</v>
      </c>
      <c r="F1285" s="484"/>
      <c r="G1285" s="484" t="s">
        <v>381</v>
      </c>
      <c r="H1285" s="484"/>
      <c r="I1285" s="484"/>
      <c r="J1285" s="484"/>
      <c r="K1285" s="140" t="s">
        <v>382</v>
      </c>
      <c r="L1285" s="141">
        <v>1486</v>
      </c>
      <c r="M1285" s="123"/>
      <c r="N1285" s="117"/>
    </row>
    <row r="1286" spans="1:14" ht="17.25" thickBot="1">
      <c r="A1286" s="126" t="str">
        <f t="shared" si="55"/>
        <v>2026/01</v>
      </c>
      <c r="B1286" s="127" t="str">
        <f t="shared" si="54"/>
        <v>2026/01忠孝國際醫學3樓</v>
      </c>
      <c r="C1286" s="138">
        <v>172</v>
      </c>
      <c r="D1286" s="139" t="s">
        <v>850</v>
      </c>
      <c r="E1286" s="484" t="s">
        <v>413</v>
      </c>
      <c r="F1286" s="484"/>
      <c r="G1286" s="484" t="s">
        <v>674</v>
      </c>
      <c r="H1286" s="484"/>
      <c r="I1286" s="484"/>
      <c r="J1286" s="484"/>
      <c r="K1286" s="140" t="s">
        <v>410</v>
      </c>
      <c r="L1286" s="141">
        <v>10</v>
      </c>
      <c r="M1286" s="123"/>
      <c r="N1286" s="117"/>
    </row>
    <row r="1287" spans="1:14" ht="17.25" thickBot="1">
      <c r="A1287" s="126" t="str">
        <f t="shared" ref="A1287:A1297" si="56">IFERROR(LEFT(B1287,7),"")</f>
        <v>2026/01</v>
      </c>
      <c r="B1287" s="127" t="str">
        <f t="shared" ref="B1287:B1297" si="57">"2026/01"&amp;D1287</f>
        <v>2026/01忠孝國際醫學3樓</v>
      </c>
      <c r="C1287" s="138">
        <v>173</v>
      </c>
      <c r="D1287" s="139" t="s">
        <v>850</v>
      </c>
      <c r="E1287" s="484" t="s">
        <v>360</v>
      </c>
      <c r="F1287" s="484"/>
      <c r="G1287" s="484" t="s">
        <v>361</v>
      </c>
      <c r="H1287" s="484"/>
      <c r="I1287" s="484"/>
      <c r="J1287" s="484"/>
      <c r="K1287" s="140" t="s">
        <v>362</v>
      </c>
      <c r="L1287" s="141">
        <v>19</v>
      </c>
      <c r="M1287" s="123"/>
      <c r="N1287" s="117"/>
    </row>
    <row r="1288" spans="1:14" ht="17.25" thickBot="1">
      <c r="A1288" s="126" t="str">
        <f t="shared" si="56"/>
        <v>2026/01</v>
      </c>
      <c r="B1288" s="127" t="str">
        <f t="shared" si="57"/>
        <v>2026/01忠孝國際醫學3樓</v>
      </c>
      <c r="C1288" s="138">
        <v>174</v>
      </c>
      <c r="D1288" s="139" t="s">
        <v>850</v>
      </c>
      <c r="E1288" s="484" t="s">
        <v>383</v>
      </c>
      <c r="F1288" s="484"/>
      <c r="G1288" s="484" t="s">
        <v>384</v>
      </c>
      <c r="H1288" s="484"/>
      <c r="I1288" s="484"/>
      <c r="J1288" s="484"/>
      <c r="K1288" s="140" t="s">
        <v>385</v>
      </c>
      <c r="L1288" s="141">
        <v>644</v>
      </c>
      <c r="M1288" s="123"/>
      <c r="N1288" s="117"/>
    </row>
    <row r="1289" spans="1:14" ht="17.25" thickBot="1">
      <c r="A1289" s="126" t="str">
        <f t="shared" si="56"/>
        <v>2026/01</v>
      </c>
      <c r="B1289" s="127" t="str">
        <f t="shared" si="57"/>
        <v>2026/01忠孝國際醫學3樓</v>
      </c>
      <c r="C1289" s="138">
        <v>175</v>
      </c>
      <c r="D1289" s="139" t="s">
        <v>850</v>
      </c>
      <c r="E1289" s="484" t="s">
        <v>394</v>
      </c>
      <c r="F1289" s="484"/>
      <c r="G1289" s="484" t="s">
        <v>395</v>
      </c>
      <c r="H1289" s="484"/>
      <c r="I1289" s="484"/>
      <c r="J1289" s="484"/>
      <c r="K1289" s="140" t="s">
        <v>272</v>
      </c>
      <c r="L1289" s="141">
        <v>7</v>
      </c>
      <c r="M1289" s="123"/>
      <c r="N1289" s="117"/>
    </row>
    <row r="1290" spans="1:14" ht="17.25" thickBot="1">
      <c r="A1290" s="126" t="str">
        <f t="shared" si="56"/>
        <v>2026/01</v>
      </c>
      <c r="B1290" s="127" t="str">
        <f t="shared" si="57"/>
        <v>2026/01忠孝國際醫學3樓</v>
      </c>
      <c r="C1290" s="138">
        <v>176</v>
      </c>
      <c r="D1290" s="139" t="s">
        <v>850</v>
      </c>
      <c r="E1290" s="484" t="s">
        <v>403</v>
      </c>
      <c r="F1290" s="484"/>
      <c r="G1290" s="484" t="s">
        <v>404</v>
      </c>
      <c r="H1290" s="484"/>
      <c r="I1290" s="484"/>
      <c r="J1290" s="484"/>
      <c r="K1290" s="140" t="s">
        <v>385</v>
      </c>
      <c r="L1290" s="141">
        <v>7</v>
      </c>
      <c r="M1290" s="123"/>
      <c r="N1290" s="117"/>
    </row>
    <row r="1291" spans="1:14" ht="17.25" thickBot="1">
      <c r="A1291" s="126" t="str">
        <f t="shared" si="56"/>
        <v>2026/01</v>
      </c>
      <c r="B1291" s="127" t="str">
        <f t="shared" si="57"/>
        <v>2026/01忠孝國際醫學3樓</v>
      </c>
      <c r="C1291" s="138">
        <v>177</v>
      </c>
      <c r="D1291" s="139" t="s">
        <v>850</v>
      </c>
      <c r="E1291" s="484" t="s">
        <v>406</v>
      </c>
      <c r="F1291" s="484"/>
      <c r="G1291" s="484" t="s">
        <v>407</v>
      </c>
      <c r="H1291" s="484"/>
      <c r="I1291" s="484"/>
      <c r="J1291" s="484"/>
      <c r="K1291" s="140" t="s">
        <v>385</v>
      </c>
      <c r="L1291" s="141">
        <v>7</v>
      </c>
      <c r="M1291" s="123"/>
      <c r="N1291" s="117"/>
    </row>
    <row r="1292" spans="1:14" ht="17.25" thickBot="1">
      <c r="A1292" s="126" t="str">
        <f t="shared" si="56"/>
        <v>2026/01</v>
      </c>
      <c r="B1292" s="127" t="str">
        <f t="shared" si="57"/>
        <v>2026/01忠孝國際醫學3樓</v>
      </c>
      <c r="C1292" s="138">
        <v>178</v>
      </c>
      <c r="D1292" s="139" t="s">
        <v>850</v>
      </c>
      <c r="E1292" s="484" t="s">
        <v>408</v>
      </c>
      <c r="F1292" s="484"/>
      <c r="G1292" s="484" t="s">
        <v>409</v>
      </c>
      <c r="H1292" s="484"/>
      <c r="I1292" s="484"/>
      <c r="J1292" s="484"/>
      <c r="K1292" s="140" t="s">
        <v>410</v>
      </c>
      <c r="L1292" s="141">
        <v>10</v>
      </c>
      <c r="M1292" s="123"/>
      <c r="N1292" s="117"/>
    </row>
    <row r="1293" spans="1:14" ht="17.25" thickBot="1">
      <c r="A1293" s="126" t="str">
        <f t="shared" si="56"/>
        <v>2026/01</v>
      </c>
      <c r="B1293" s="127" t="str">
        <f t="shared" si="57"/>
        <v>2026/01忠孝國際醫學3樓</v>
      </c>
      <c r="C1293" s="138">
        <v>179</v>
      </c>
      <c r="D1293" s="139" t="s">
        <v>850</v>
      </c>
      <c r="E1293" s="484" t="s">
        <v>255</v>
      </c>
      <c r="F1293" s="484"/>
      <c r="G1293" s="484" t="s">
        <v>256</v>
      </c>
      <c r="H1293" s="484"/>
      <c r="I1293" s="484"/>
      <c r="J1293" s="484"/>
      <c r="K1293" s="140" t="s">
        <v>720</v>
      </c>
      <c r="L1293" s="141">
        <v>639</v>
      </c>
      <c r="M1293" s="123"/>
      <c r="N1293" s="117"/>
    </row>
    <row r="1294" spans="1:14" ht="17.25" thickBot="1">
      <c r="A1294" s="126" t="str">
        <f t="shared" si="56"/>
        <v>2026/01</v>
      </c>
      <c r="B1294" s="127" t="str">
        <f t="shared" si="57"/>
        <v>2026/01忠孝國際醫學3樓</v>
      </c>
      <c r="C1294" s="138">
        <v>180</v>
      </c>
      <c r="D1294" s="139" t="s">
        <v>850</v>
      </c>
      <c r="E1294" s="484" t="s">
        <v>419</v>
      </c>
      <c r="F1294" s="484"/>
      <c r="G1294" s="484" t="s">
        <v>420</v>
      </c>
      <c r="H1294" s="484"/>
      <c r="I1294" s="484"/>
      <c r="J1294" s="484"/>
      <c r="K1294" s="140" t="s">
        <v>726</v>
      </c>
      <c r="L1294" s="141">
        <v>921</v>
      </c>
      <c r="M1294" s="123"/>
      <c r="N1294" s="117"/>
    </row>
    <row r="1295" spans="1:14" ht="17.25" thickBot="1">
      <c r="A1295" s="126" t="str">
        <f t="shared" si="56"/>
        <v>2026/01</v>
      </c>
      <c r="B1295" s="127" t="str">
        <f t="shared" si="57"/>
        <v>2026/01忠孝國際醫學3樓</v>
      </c>
      <c r="C1295" s="138">
        <v>181</v>
      </c>
      <c r="D1295" s="139" t="s">
        <v>850</v>
      </c>
      <c r="E1295" s="484" t="s">
        <v>258</v>
      </c>
      <c r="F1295" s="484"/>
      <c r="G1295" s="484" t="s">
        <v>259</v>
      </c>
      <c r="H1295" s="484"/>
      <c r="I1295" s="484"/>
      <c r="J1295" s="484"/>
      <c r="K1295" s="140"/>
      <c r="L1295" s="141">
        <v>12</v>
      </c>
      <c r="M1295" s="123"/>
      <c r="N1295" s="117"/>
    </row>
    <row r="1296" spans="1:14" ht="17.25" thickBot="1">
      <c r="A1296" s="126" t="str">
        <f t="shared" si="56"/>
        <v>2026/01</v>
      </c>
      <c r="B1296" s="127" t="str">
        <f t="shared" si="57"/>
        <v>2026/01忠孝國際醫學3樓</v>
      </c>
      <c r="C1296" s="138">
        <v>182</v>
      </c>
      <c r="D1296" s="139" t="s">
        <v>850</v>
      </c>
      <c r="E1296" s="484" t="s">
        <v>260</v>
      </c>
      <c r="F1296" s="484"/>
      <c r="G1296" s="484" t="s">
        <v>261</v>
      </c>
      <c r="H1296" s="484"/>
      <c r="I1296" s="484"/>
      <c r="J1296" s="484"/>
      <c r="K1296" s="140" t="s">
        <v>254</v>
      </c>
      <c r="L1296" s="141">
        <v>12</v>
      </c>
      <c r="M1296" s="123"/>
      <c r="N1296" s="117"/>
    </row>
    <row r="1297" spans="1:14" ht="17.25" thickBot="1">
      <c r="A1297" s="126" t="str">
        <f t="shared" si="56"/>
        <v>2026/01</v>
      </c>
      <c r="B1297" s="127" t="str">
        <f t="shared" si="57"/>
        <v>2026/01忠孝國際醫學3樓</v>
      </c>
      <c r="C1297" s="138">
        <v>183</v>
      </c>
      <c r="D1297" s="139" t="s">
        <v>850</v>
      </c>
      <c r="E1297" s="484" t="s">
        <v>415</v>
      </c>
      <c r="F1297" s="484"/>
      <c r="G1297" s="484" t="s">
        <v>416</v>
      </c>
      <c r="H1297" s="484"/>
      <c r="I1297" s="484"/>
      <c r="J1297" s="484"/>
      <c r="K1297" s="140" t="s">
        <v>254</v>
      </c>
      <c r="L1297" s="141">
        <v>7</v>
      </c>
      <c r="M1297" s="123"/>
      <c r="N1297" s="117"/>
    </row>
    <row r="1298" spans="1:14" ht="17.25" thickBot="1">
      <c r="A1298" s="126" t="str">
        <f t="shared" ref="A1298:A1361" si="58">IFERROR(LEFT(B1298,7),"")</f>
        <v>2026/01</v>
      </c>
      <c r="B1298" s="127" t="str">
        <f t="shared" ref="B1298:B1308" si="59">"2026/01"&amp;D1298</f>
        <v>2026/01忠孝國際醫學3樓</v>
      </c>
      <c r="C1298" s="138">
        <v>184</v>
      </c>
      <c r="D1298" s="139" t="s">
        <v>850</v>
      </c>
      <c r="E1298" s="484" t="s">
        <v>252</v>
      </c>
      <c r="F1298" s="484"/>
      <c r="G1298" s="484" t="s">
        <v>253</v>
      </c>
      <c r="H1298" s="484"/>
      <c r="I1298" s="484"/>
      <c r="J1298" s="484"/>
      <c r="K1298" s="140" t="s">
        <v>254</v>
      </c>
      <c r="L1298" s="141">
        <v>12</v>
      </c>
      <c r="M1298" s="123"/>
    </row>
    <row r="1299" spans="1:14" ht="17.25" thickBot="1">
      <c r="A1299" s="126" t="str">
        <f t="shared" si="58"/>
        <v>2026/01</v>
      </c>
      <c r="B1299" s="127" t="str">
        <f t="shared" si="59"/>
        <v>2026/01忠孝國際醫學3樓</v>
      </c>
      <c r="C1299" s="138">
        <v>185</v>
      </c>
      <c r="D1299" s="139" t="s">
        <v>850</v>
      </c>
      <c r="E1299" s="484" t="s">
        <v>690</v>
      </c>
      <c r="F1299" s="484"/>
      <c r="G1299" s="484" t="s">
        <v>691</v>
      </c>
      <c r="H1299" s="484"/>
      <c r="I1299" s="484"/>
      <c r="J1299" s="484"/>
      <c r="K1299" s="140" t="s">
        <v>692</v>
      </c>
      <c r="L1299" s="141">
        <v>2</v>
      </c>
      <c r="M1299" s="123"/>
    </row>
    <row r="1300" spans="1:14" ht="17.25" thickBot="1">
      <c r="A1300" s="126" t="str">
        <f t="shared" si="58"/>
        <v>2026/01</v>
      </c>
      <c r="B1300" s="127" t="str">
        <f t="shared" si="59"/>
        <v>2026/01忠孝國際醫學3樓</v>
      </c>
      <c r="C1300" s="138">
        <v>186</v>
      </c>
      <c r="D1300" s="139" t="s">
        <v>850</v>
      </c>
      <c r="E1300" s="484" t="s">
        <v>386</v>
      </c>
      <c r="F1300" s="484"/>
      <c r="G1300" s="484" t="s">
        <v>387</v>
      </c>
      <c r="H1300" s="484"/>
      <c r="I1300" s="484"/>
      <c r="J1300" s="484"/>
      <c r="K1300" s="140" t="s">
        <v>388</v>
      </c>
      <c r="L1300" s="141">
        <v>2328</v>
      </c>
      <c r="M1300" s="123"/>
    </row>
    <row r="1301" spans="1:14" ht="17.25" thickBot="1">
      <c r="A1301" s="126" t="str">
        <f t="shared" si="58"/>
        <v>2026/01</v>
      </c>
      <c r="B1301" s="127" t="str">
        <f t="shared" si="59"/>
        <v>2026/01忠孝國際醫學3樓</v>
      </c>
      <c r="C1301" s="138">
        <v>187</v>
      </c>
      <c r="D1301" s="139" t="s">
        <v>850</v>
      </c>
      <c r="E1301" s="484" t="s">
        <v>401</v>
      </c>
      <c r="F1301" s="484"/>
      <c r="G1301" s="484" t="s">
        <v>402</v>
      </c>
      <c r="H1301" s="484"/>
      <c r="I1301" s="484"/>
      <c r="J1301" s="484"/>
      <c r="K1301" s="140" t="s">
        <v>145</v>
      </c>
      <c r="L1301" s="141">
        <v>4</v>
      </c>
      <c r="M1301" s="123"/>
    </row>
    <row r="1302" spans="1:14" ht="17.25" thickBot="1">
      <c r="A1302" s="126" t="str">
        <f t="shared" si="58"/>
        <v>2026/01</v>
      </c>
      <c r="B1302" s="127" t="str">
        <f t="shared" si="59"/>
        <v>2026/01忠孝國際醫學3樓</v>
      </c>
      <c r="C1302" s="138">
        <v>188</v>
      </c>
      <c r="D1302" s="139" t="s">
        <v>850</v>
      </c>
      <c r="E1302" s="484" t="s">
        <v>417</v>
      </c>
      <c r="F1302" s="484"/>
      <c r="G1302" s="484" t="s">
        <v>418</v>
      </c>
      <c r="H1302" s="484"/>
      <c r="I1302" s="484"/>
      <c r="J1302" s="484"/>
      <c r="K1302" s="140" t="s">
        <v>145</v>
      </c>
      <c r="L1302" s="141">
        <v>7</v>
      </c>
      <c r="M1302" s="123"/>
    </row>
    <row r="1303" spans="1:14" ht="17.25" thickBot="1">
      <c r="A1303" s="126" t="str">
        <f t="shared" si="58"/>
        <v>2026/01</v>
      </c>
      <c r="B1303" s="127" t="str">
        <f t="shared" si="59"/>
        <v>2026/01忠孝國際醫學3樓</v>
      </c>
      <c r="C1303" s="138">
        <v>189</v>
      </c>
      <c r="D1303" s="139" t="s">
        <v>850</v>
      </c>
      <c r="E1303" s="484" t="s">
        <v>375</v>
      </c>
      <c r="F1303" s="484"/>
      <c r="G1303" s="484" t="s">
        <v>376</v>
      </c>
      <c r="H1303" s="484"/>
      <c r="I1303" s="484"/>
      <c r="J1303" s="484"/>
      <c r="K1303" s="140" t="s">
        <v>433</v>
      </c>
      <c r="L1303" s="141">
        <v>2</v>
      </c>
      <c r="M1303" s="123"/>
    </row>
    <row r="1304" spans="1:14" ht="17.25" thickBot="1">
      <c r="A1304" s="126" t="str">
        <f t="shared" si="58"/>
        <v>2026/01</v>
      </c>
      <c r="B1304" s="127" t="str">
        <f t="shared" si="59"/>
        <v>2026/01忠孝國際醫學3樓</v>
      </c>
      <c r="C1304" s="138">
        <v>190</v>
      </c>
      <c r="D1304" s="139" t="s">
        <v>850</v>
      </c>
      <c r="E1304" s="484" t="s">
        <v>422</v>
      </c>
      <c r="F1304" s="484"/>
      <c r="G1304" s="484" t="s">
        <v>423</v>
      </c>
      <c r="H1304" s="484"/>
      <c r="I1304" s="484"/>
      <c r="J1304" s="484"/>
      <c r="K1304" s="140" t="s">
        <v>433</v>
      </c>
      <c r="L1304" s="141">
        <v>3</v>
      </c>
      <c r="M1304" s="123"/>
    </row>
    <row r="1305" spans="1:14" ht="17.25" thickBot="1">
      <c r="A1305" s="126" t="str">
        <f t="shared" si="58"/>
        <v>2026/01</v>
      </c>
      <c r="B1305" s="127" t="str">
        <f t="shared" si="59"/>
        <v>2026/01忠孝國際醫學3樓</v>
      </c>
      <c r="C1305" s="138">
        <v>191</v>
      </c>
      <c r="D1305" s="139" t="s">
        <v>850</v>
      </c>
      <c r="E1305" s="484" t="s">
        <v>399</v>
      </c>
      <c r="F1305" s="484"/>
      <c r="G1305" s="484" t="s">
        <v>400</v>
      </c>
      <c r="H1305" s="484"/>
      <c r="I1305" s="484"/>
      <c r="J1305" s="484"/>
      <c r="K1305" s="140" t="s">
        <v>433</v>
      </c>
      <c r="L1305" s="141">
        <v>7</v>
      </c>
      <c r="M1305" s="123"/>
    </row>
    <row r="1306" spans="1:14" ht="17.25" thickBot="1">
      <c r="A1306" s="126" t="str">
        <f t="shared" si="58"/>
        <v>2026/01</v>
      </c>
      <c r="B1306" s="127" t="str">
        <f t="shared" si="59"/>
        <v>2026/01忠孝國際醫學3樓</v>
      </c>
      <c r="C1306" s="138">
        <v>192</v>
      </c>
      <c r="D1306" s="139" t="s">
        <v>850</v>
      </c>
      <c r="E1306" s="484" t="s">
        <v>431</v>
      </c>
      <c r="F1306" s="484"/>
      <c r="G1306" s="484" t="s">
        <v>432</v>
      </c>
      <c r="H1306" s="484"/>
      <c r="I1306" s="484"/>
      <c r="J1306" s="484"/>
      <c r="K1306" s="140" t="s">
        <v>746</v>
      </c>
      <c r="L1306" s="141">
        <v>37</v>
      </c>
      <c r="M1306" s="123"/>
    </row>
    <row r="1307" spans="1:14" ht="17.25" thickBot="1">
      <c r="A1307" s="126" t="str">
        <f t="shared" si="58"/>
        <v>2026/01</v>
      </c>
      <c r="B1307" s="127" t="str">
        <f t="shared" si="59"/>
        <v>2026/01忠孝國際醫學3樓</v>
      </c>
      <c r="C1307" s="138">
        <v>193</v>
      </c>
      <c r="D1307" s="139" t="s">
        <v>850</v>
      </c>
      <c r="E1307" s="484" t="s">
        <v>701</v>
      </c>
      <c r="F1307" s="484"/>
      <c r="G1307" s="484" t="s">
        <v>702</v>
      </c>
      <c r="H1307" s="484"/>
      <c r="I1307" s="484"/>
      <c r="J1307" s="484"/>
      <c r="K1307" s="140" t="s">
        <v>849</v>
      </c>
      <c r="L1307" s="141">
        <v>4</v>
      </c>
      <c r="M1307" s="123"/>
    </row>
    <row r="1308" spans="1:14" ht="17.25" thickBot="1">
      <c r="A1308" s="126" t="str">
        <f t="shared" si="58"/>
        <v>2026/01</v>
      </c>
      <c r="B1308" s="127" t="str">
        <f t="shared" si="59"/>
        <v>2026/01忠孝國際醫學3樓</v>
      </c>
      <c r="C1308" s="138">
        <v>194</v>
      </c>
      <c r="D1308" s="139" t="s">
        <v>850</v>
      </c>
      <c r="E1308" s="484" t="s">
        <v>693</v>
      </c>
      <c r="F1308" s="484"/>
      <c r="G1308" s="484" t="s">
        <v>694</v>
      </c>
      <c r="H1308" s="484"/>
      <c r="I1308" s="484"/>
      <c r="J1308" s="484"/>
      <c r="K1308" s="140" t="s">
        <v>747</v>
      </c>
      <c r="L1308" s="141">
        <v>1618.5</v>
      </c>
      <c r="M1308" s="123"/>
    </row>
    <row r="1309" spans="1:14" ht="17.25" customHeight="1" thickBot="1">
      <c r="A1309" s="126" t="str">
        <f t="shared" si="58"/>
        <v>2026/02</v>
      </c>
      <c r="B1309" s="127" t="str">
        <f>"2026/02"&amp;D1309</f>
        <v>2026/02站前4樓</v>
      </c>
      <c r="C1309" s="138">
        <v>1</v>
      </c>
      <c r="D1309" s="139" t="s">
        <v>236</v>
      </c>
      <c r="E1309" s="484" t="s">
        <v>413</v>
      </c>
      <c r="F1309" s="484"/>
      <c r="G1309" s="484" t="s">
        <v>674</v>
      </c>
      <c r="H1309" s="484"/>
      <c r="I1309" s="484"/>
      <c r="J1309" s="484"/>
      <c r="K1309" s="140" t="s">
        <v>410</v>
      </c>
      <c r="L1309" s="141">
        <v>1</v>
      </c>
      <c r="M1309" s="123"/>
      <c r="N1309" s="410"/>
    </row>
    <row r="1310" spans="1:14" ht="17.25" customHeight="1" thickBot="1">
      <c r="A1310" s="126" t="str">
        <f t="shared" si="58"/>
        <v>2026/02</v>
      </c>
      <c r="B1310" s="127" t="str">
        <f t="shared" ref="B1310:B1373" si="60">"2026/02"&amp;D1310</f>
        <v>2026/02站前4樓</v>
      </c>
      <c r="C1310" s="138">
        <v>2</v>
      </c>
      <c r="D1310" s="139" t="s">
        <v>236</v>
      </c>
      <c r="E1310" s="484" t="s">
        <v>360</v>
      </c>
      <c r="F1310" s="484"/>
      <c r="G1310" s="484" t="s">
        <v>361</v>
      </c>
      <c r="H1310" s="484"/>
      <c r="I1310" s="484"/>
      <c r="J1310" s="484"/>
      <c r="K1310" s="140" t="s">
        <v>362</v>
      </c>
      <c r="L1310" s="141">
        <v>12</v>
      </c>
      <c r="M1310" s="123"/>
      <c r="N1310" s="410"/>
    </row>
    <row r="1311" spans="1:14" ht="17.25" customHeight="1" thickBot="1">
      <c r="A1311" s="126" t="str">
        <f t="shared" si="58"/>
        <v>2026/02</v>
      </c>
      <c r="B1311" s="127" t="str">
        <f t="shared" si="60"/>
        <v>2026/02站前4樓</v>
      </c>
      <c r="C1311" s="138">
        <v>3</v>
      </c>
      <c r="D1311" s="139" t="s">
        <v>236</v>
      </c>
      <c r="E1311" s="484" t="s">
        <v>383</v>
      </c>
      <c r="F1311" s="484"/>
      <c r="G1311" s="484" t="s">
        <v>384</v>
      </c>
      <c r="H1311" s="484"/>
      <c r="I1311" s="484"/>
      <c r="J1311" s="484"/>
      <c r="K1311" s="140" t="s">
        <v>385</v>
      </c>
      <c r="L1311" s="141">
        <v>14</v>
      </c>
      <c r="M1311" s="123"/>
      <c r="N1311" s="410"/>
    </row>
    <row r="1312" spans="1:14" ht="17.25" customHeight="1" thickBot="1">
      <c r="A1312" s="126" t="str">
        <f t="shared" si="58"/>
        <v>2026/02</v>
      </c>
      <c r="B1312" s="127" t="str">
        <f t="shared" si="60"/>
        <v>2026/02站前4樓</v>
      </c>
      <c r="C1312" s="138">
        <v>4</v>
      </c>
      <c r="D1312" s="139" t="s">
        <v>236</v>
      </c>
      <c r="E1312" s="484" t="s">
        <v>394</v>
      </c>
      <c r="F1312" s="484"/>
      <c r="G1312" s="484" t="s">
        <v>395</v>
      </c>
      <c r="H1312" s="484"/>
      <c r="I1312" s="484"/>
      <c r="J1312" s="484"/>
      <c r="K1312" s="140" t="s">
        <v>272</v>
      </c>
      <c r="L1312" s="141">
        <v>1</v>
      </c>
      <c r="M1312" s="123"/>
      <c r="N1312" s="410"/>
    </row>
    <row r="1313" spans="1:14" ht="17.25" customHeight="1" thickBot="1">
      <c r="A1313" s="126" t="str">
        <f t="shared" si="58"/>
        <v>2026/02</v>
      </c>
      <c r="B1313" s="127" t="str">
        <f t="shared" si="60"/>
        <v>2026/02站前4樓</v>
      </c>
      <c r="C1313" s="138">
        <v>5</v>
      </c>
      <c r="D1313" s="139" t="s">
        <v>236</v>
      </c>
      <c r="E1313" s="484" t="s">
        <v>255</v>
      </c>
      <c r="F1313" s="484"/>
      <c r="G1313" s="484" t="s">
        <v>256</v>
      </c>
      <c r="H1313" s="484"/>
      <c r="I1313" s="484"/>
      <c r="J1313" s="484"/>
      <c r="K1313" s="140" t="s">
        <v>720</v>
      </c>
      <c r="L1313" s="141">
        <v>135</v>
      </c>
      <c r="M1313" s="123"/>
      <c r="N1313" s="410"/>
    </row>
    <row r="1314" spans="1:14" ht="17.25" customHeight="1" thickBot="1">
      <c r="A1314" s="126" t="str">
        <f t="shared" si="58"/>
        <v>2026/02</v>
      </c>
      <c r="B1314" s="127" t="str">
        <f t="shared" si="60"/>
        <v>2026/02站前4樓</v>
      </c>
      <c r="C1314" s="138">
        <v>6</v>
      </c>
      <c r="D1314" s="139" t="s">
        <v>236</v>
      </c>
      <c r="E1314" s="484" t="s">
        <v>258</v>
      </c>
      <c r="F1314" s="484"/>
      <c r="G1314" s="484" t="s">
        <v>259</v>
      </c>
      <c r="H1314" s="484"/>
      <c r="I1314" s="484"/>
      <c r="J1314" s="484"/>
      <c r="K1314" s="140"/>
      <c r="L1314" s="141">
        <v>145</v>
      </c>
      <c r="M1314" s="123"/>
      <c r="N1314" s="410"/>
    </row>
    <row r="1315" spans="1:14" ht="17.25" customHeight="1" thickBot="1">
      <c r="A1315" s="126" t="str">
        <f t="shared" si="58"/>
        <v>2026/02</v>
      </c>
      <c r="B1315" s="127" t="str">
        <f t="shared" si="60"/>
        <v>2026/02站前4樓</v>
      </c>
      <c r="C1315" s="138">
        <v>7</v>
      </c>
      <c r="D1315" s="139" t="s">
        <v>236</v>
      </c>
      <c r="E1315" s="484" t="s">
        <v>260</v>
      </c>
      <c r="F1315" s="484"/>
      <c r="G1315" s="484" t="s">
        <v>261</v>
      </c>
      <c r="H1315" s="484"/>
      <c r="I1315" s="484"/>
      <c r="J1315" s="484"/>
      <c r="K1315" s="140" t="s">
        <v>254</v>
      </c>
      <c r="L1315" s="141">
        <v>144</v>
      </c>
      <c r="M1315" s="123"/>
      <c r="N1315" s="410"/>
    </row>
    <row r="1316" spans="1:14" ht="17.25" customHeight="1" thickBot="1">
      <c r="A1316" s="126" t="str">
        <f t="shared" si="58"/>
        <v>2026/02</v>
      </c>
      <c r="B1316" s="127" t="str">
        <f t="shared" si="60"/>
        <v>2026/02站前4樓</v>
      </c>
      <c r="C1316" s="138">
        <v>8</v>
      </c>
      <c r="D1316" s="139" t="s">
        <v>236</v>
      </c>
      <c r="E1316" s="484" t="s">
        <v>415</v>
      </c>
      <c r="F1316" s="484"/>
      <c r="G1316" s="484" t="s">
        <v>416</v>
      </c>
      <c r="H1316" s="484"/>
      <c r="I1316" s="484"/>
      <c r="J1316" s="484"/>
      <c r="K1316" s="140" t="s">
        <v>254</v>
      </c>
      <c r="L1316" s="141">
        <v>1</v>
      </c>
      <c r="M1316" s="123"/>
      <c r="N1316" s="410"/>
    </row>
    <row r="1317" spans="1:14" ht="17.25" customHeight="1" thickBot="1">
      <c r="A1317" s="126" t="str">
        <f t="shared" si="58"/>
        <v>2026/02</v>
      </c>
      <c r="B1317" s="127" t="str">
        <f t="shared" si="60"/>
        <v>2026/02站前4樓</v>
      </c>
      <c r="C1317" s="138">
        <v>9</v>
      </c>
      <c r="D1317" s="139" t="s">
        <v>236</v>
      </c>
      <c r="E1317" s="484" t="s">
        <v>262</v>
      </c>
      <c r="F1317" s="484"/>
      <c r="G1317" s="484" t="s">
        <v>263</v>
      </c>
      <c r="H1317" s="484"/>
      <c r="I1317" s="484"/>
      <c r="J1317" s="484"/>
      <c r="K1317" s="140" t="s">
        <v>254</v>
      </c>
      <c r="L1317" s="141">
        <v>51</v>
      </c>
      <c r="M1317" s="123"/>
      <c r="N1317" s="410"/>
    </row>
    <row r="1318" spans="1:14" ht="17.25" customHeight="1" thickBot="1">
      <c r="A1318" s="126" t="str">
        <f t="shared" si="58"/>
        <v>2026/02</v>
      </c>
      <c r="B1318" s="127" t="str">
        <f t="shared" si="60"/>
        <v>2026/02站前4樓</v>
      </c>
      <c r="C1318" s="138">
        <v>10</v>
      </c>
      <c r="D1318" s="139" t="s">
        <v>236</v>
      </c>
      <c r="E1318" s="484" t="s">
        <v>270</v>
      </c>
      <c r="F1318" s="484"/>
      <c r="G1318" s="484" t="s">
        <v>271</v>
      </c>
      <c r="H1318" s="484"/>
      <c r="I1318" s="484"/>
      <c r="J1318" s="484"/>
      <c r="K1318" s="140" t="s">
        <v>272</v>
      </c>
      <c r="L1318" s="141">
        <v>157</v>
      </c>
      <c r="M1318" s="123"/>
      <c r="N1318" s="410"/>
    </row>
    <row r="1319" spans="1:14" ht="17.25" customHeight="1" thickBot="1">
      <c r="A1319" s="126" t="str">
        <f t="shared" si="58"/>
        <v>2026/02</v>
      </c>
      <c r="B1319" s="127" t="str">
        <f t="shared" si="60"/>
        <v>2026/02站前4樓</v>
      </c>
      <c r="C1319" s="138">
        <v>11</v>
      </c>
      <c r="D1319" s="139" t="s">
        <v>236</v>
      </c>
      <c r="E1319" s="484" t="s">
        <v>252</v>
      </c>
      <c r="F1319" s="484"/>
      <c r="G1319" s="484" t="s">
        <v>253</v>
      </c>
      <c r="H1319" s="484"/>
      <c r="I1319" s="484"/>
      <c r="J1319" s="484"/>
      <c r="K1319" s="140" t="s">
        <v>254</v>
      </c>
      <c r="L1319" s="141">
        <v>152</v>
      </c>
      <c r="M1319" s="123"/>
      <c r="N1319" s="410"/>
    </row>
    <row r="1320" spans="1:14" ht="17.25" customHeight="1" thickBot="1">
      <c r="A1320" s="126" t="str">
        <f t="shared" si="58"/>
        <v>2026/02</v>
      </c>
      <c r="B1320" s="127" t="str">
        <f t="shared" si="60"/>
        <v>2026/02站前4樓</v>
      </c>
      <c r="C1320" s="138">
        <v>12</v>
      </c>
      <c r="D1320" s="139" t="s">
        <v>236</v>
      </c>
      <c r="E1320" s="484" t="s">
        <v>695</v>
      </c>
      <c r="F1320" s="484"/>
      <c r="G1320" s="484" t="s">
        <v>696</v>
      </c>
      <c r="H1320" s="484"/>
      <c r="I1320" s="484"/>
      <c r="J1320" s="484"/>
      <c r="K1320" s="140" t="s">
        <v>254</v>
      </c>
      <c r="L1320" s="141">
        <v>1</v>
      </c>
      <c r="M1320" s="123"/>
      <c r="N1320" s="410"/>
    </row>
    <row r="1321" spans="1:14" ht="17.25" customHeight="1" thickBot="1">
      <c r="A1321" s="126" t="str">
        <f t="shared" si="58"/>
        <v>2026/02</v>
      </c>
      <c r="B1321" s="127" t="str">
        <f t="shared" si="60"/>
        <v>2026/02站前4樓</v>
      </c>
      <c r="C1321" s="138">
        <v>13</v>
      </c>
      <c r="D1321" s="139" t="s">
        <v>236</v>
      </c>
      <c r="E1321" s="484" t="s">
        <v>429</v>
      </c>
      <c r="F1321" s="484"/>
      <c r="G1321" s="484" t="s">
        <v>430</v>
      </c>
      <c r="H1321" s="484"/>
      <c r="I1321" s="484"/>
      <c r="J1321" s="484"/>
      <c r="K1321" s="140" t="s">
        <v>272</v>
      </c>
      <c r="L1321" s="141">
        <v>1</v>
      </c>
      <c r="M1321" s="123"/>
      <c r="N1321" s="410"/>
    </row>
    <row r="1322" spans="1:14" ht="17.25" customHeight="1" thickBot="1">
      <c r="A1322" s="126" t="str">
        <f t="shared" si="58"/>
        <v>2026/02</v>
      </c>
      <c r="B1322" s="127" t="str">
        <f t="shared" si="60"/>
        <v>2026/02站前4樓</v>
      </c>
      <c r="C1322" s="138">
        <v>14</v>
      </c>
      <c r="D1322" s="139" t="s">
        <v>236</v>
      </c>
      <c r="E1322" s="484" t="s">
        <v>690</v>
      </c>
      <c r="F1322" s="484"/>
      <c r="G1322" s="484" t="s">
        <v>691</v>
      </c>
      <c r="H1322" s="484"/>
      <c r="I1322" s="484"/>
      <c r="J1322" s="484"/>
      <c r="K1322" s="140" t="s">
        <v>692</v>
      </c>
      <c r="L1322" s="141">
        <v>11</v>
      </c>
      <c r="M1322" s="123"/>
      <c r="N1322" s="410"/>
    </row>
    <row r="1323" spans="1:14" ht="17.25" customHeight="1" thickBot="1">
      <c r="A1323" s="126" t="str">
        <f t="shared" si="58"/>
        <v>2026/02</v>
      </c>
      <c r="B1323" s="127" t="str">
        <f t="shared" si="60"/>
        <v>2026/02站前4樓</v>
      </c>
      <c r="C1323" s="138">
        <v>15</v>
      </c>
      <c r="D1323" s="139" t="s">
        <v>236</v>
      </c>
      <c r="E1323" s="484" t="s">
        <v>305</v>
      </c>
      <c r="F1323" s="484"/>
      <c r="G1323" s="484" t="s">
        <v>675</v>
      </c>
      <c r="H1323" s="484"/>
      <c r="I1323" s="484"/>
      <c r="J1323" s="484"/>
      <c r="K1323" s="140" t="s">
        <v>676</v>
      </c>
      <c r="L1323" s="141">
        <v>4168</v>
      </c>
      <c r="M1323" s="123"/>
      <c r="N1323" s="410"/>
    </row>
    <row r="1324" spans="1:14" ht="17.25" customHeight="1" thickBot="1">
      <c r="A1324" s="126" t="str">
        <f t="shared" si="58"/>
        <v>2026/02</v>
      </c>
      <c r="B1324" s="127" t="str">
        <f t="shared" si="60"/>
        <v>2026/02站前4樓</v>
      </c>
      <c r="C1324" s="138">
        <v>16</v>
      </c>
      <c r="D1324" s="139" t="s">
        <v>236</v>
      </c>
      <c r="E1324" s="484" t="s">
        <v>264</v>
      </c>
      <c r="F1324" s="484"/>
      <c r="G1324" s="484" t="s">
        <v>677</v>
      </c>
      <c r="H1324" s="484"/>
      <c r="I1324" s="484"/>
      <c r="J1324" s="484"/>
      <c r="K1324" s="140" t="s">
        <v>678</v>
      </c>
      <c r="L1324" s="141">
        <v>7116</v>
      </c>
      <c r="M1324" s="123"/>
      <c r="N1324" s="410"/>
    </row>
    <row r="1325" spans="1:14" ht="17.25" customHeight="1" thickBot="1">
      <c r="A1325" s="126" t="str">
        <f t="shared" si="58"/>
        <v>2026/02</v>
      </c>
      <c r="B1325" s="127" t="str">
        <f t="shared" si="60"/>
        <v>2026/02站前4樓</v>
      </c>
      <c r="C1325" s="138">
        <v>17</v>
      </c>
      <c r="D1325" s="139" t="s">
        <v>236</v>
      </c>
      <c r="E1325" s="484" t="s">
        <v>307</v>
      </c>
      <c r="F1325" s="484"/>
      <c r="G1325" s="484" t="s">
        <v>679</v>
      </c>
      <c r="H1325" s="484"/>
      <c r="I1325" s="484"/>
      <c r="J1325" s="484"/>
      <c r="K1325" s="140" t="s">
        <v>678</v>
      </c>
      <c r="L1325" s="141">
        <v>1291</v>
      </c>
      <c r="M1325" s="123"/>
      <c r="N1325" s="410"/>
    </row>
    <row r="1326" spans="1:14" ht="17.25" customHeight="1" thickBot="1">
      <c r="A1326" s="126" t="str">
        <f t="shared" si="58"/>
        <v>2026/02</v>
      </c>
      <c r="B1326" s="127" t="str">
        <f t="shared" si="60"/>
        <v>2026/02站前4樓</v>
      </c>
      <c r="C1326" s="138">
        <v>18</v>
      </c>
      <c r="D1326" s="139" t="s">
        <v>236</v>
      </c>
      <c r="E1326" s="484" t="s">
        <v>313</v>
      </c>
      <c r="F1326" s="484"/>
      <c r="G1326" s="484" t="s">
        <v>314</v>
      </c>
      <c r="H1326" s="484"/>
      <c r="I1326" s="484"/>
      <c r="J1326" s="484"/>
      <c r="K1326" s="140" t="s">
        <v>301</v>
      </c>
      <c r="L1326" s="141">
        <v>220</v>
      </c>
      <c r="M1326" s="123"/>
      <c r="N1326" s="410"/>
    </row>
    <row r="1327" spans="1:14" ht="17.25" customHeight="1" thickBot="1">
      <c r="A1327" s="126" t="str">
        <f t="shared" si="58"/>
        <v>2026/02</v>
      </c>
      <c r="B1327" s="127" t="str">
        <f t="shared" si="60"/>
        <v>2026/02站前4樓</v>
      </c>
      <c r="C1327" s="138">
        <v>19</v>
      </c>
      <c r="D1327" s="139" t="s">
        <v>236</v>
      </c>
      <c r="E1327" s="484" t="s">
        <v>343</v>
      </c>
      <c r="F1327" s="484"/>
      <c r="G1327" s="484" t="s">
        <v>344</v>
      </c>
      <c r="H1327" s="484"/>
      <c r="I1327" s="484"/>
      <c r="J1327" s="484"/>
      <c r="K1327" s="140" t="s">
        <v>301</v>
      </c>
      <c r="L1327" s="141">
        <v>7</v>
      </c>
      <c r="M1327" s="123"/>
      <c r="N1327" s="410"/>
    </row>
    <row r="1328" spans="1:14" ht="17.25" customHeight="1" thickBot="1">
      <c r="A1328" s="126" t="str">
        <f t="shared" si="58"/>
        <v>2026/02</v>
      </c>
      <c r="B1328" s="127" t="str">
        <f t="shared" si="60"/>
        <v>2026/02站前4樓</v>
      </c>
      <c r="C1328" s="138">
        <v>20</v>
      </c>
      <c r="D1328" s="139" t="s">
        <v>236</v>
      </c>
      <c r="E1328" s="484" t="s">
        <v>427</v>
      </c>
      <c r="F1328" s="484"/>
      <c r="G1328" s="484" t="s">
        <v>428</v>
      </c>
      <c r="H1328" s="484"/>
      <c r="I1328" s="484"/>
      <c r="J1328" s="484"/>
      <c r="K1328" s="140" t="s">
        <v>301</v>
      </c>
      <c r="L1328" s="141">
        <v>6</v>
      </c>
      <c r="M1328" s="123"/>
      <c r="N1328" s="410"/>
    </row>
    <row r="1329" spans="1:14" ht="17.25" customHeight="1" thickBot="1">
      <c r="A1329" s="126" t="str">
        <f t="shared" si="58"/>
        <v>2026/02</v>
      </c>
      <c r="B1329" s="127" t="str">
        <f t="shared" si="60"/>
        <v>2026/02站前4樓</v>
      </c>
      <c r="C1329" s="138">
        <v>21</v>
      </c>
      <c r="D1329" s="139" t="s">
        <v>236</v>
      </c>
      <c r="E1329" s="484" t="s">
        <v>349</v>
      </c>
      <c r="F1329" s="484"/>
      <c r="G1329" s="484" t="s">
        <v>350</v>
      </c>
      <c r="H1329" s="484"/>
      <c r="I1329" s="484"/>
      <c r="J1329" s="484"/>
      <c r="K1329" s="140" t="s">
        <v>301</v>
      </c>
      <c r="L1329" s="141">
        <v>14</v>
      </c>
      <c r="M1329" s="123"/>
      <c r="N1329" s="410"/>
    </row>
    <row r="1330" spans="1:14" ht="17.25" customHeight="1" thickBot="1">
      <c r="A1330" s="126" t="str">
        <f t="shared" si="58"/>
        <v>2026/02</v>
      </c>
      <c r="B1330" s="127" t="str">
        <f t="shared" si="60"/>
        <v>2026/02站前4樓</v>
      </c>
      <c r="C1330" s="138">
        <v>22</v>
      </c>
      <c r="D1330" s="139" t="s">
        <v>236</v>
      </c>
      <c r="E1330" s="484" t="s">
        <v>366</v>
      </c>
      <c r="F1330" s="484"/>
      <c r="G1330" s="484" t="s">
        <v>367</v>
      </c>
      <c r="H1330" s="484"/>
      <c r="I1330" s="484"/>
      <c r="J1330" s="484"/>
      <c r="K1330" s="140" t="s">
        <v>301</v>
      </c>
      <c r="L1330" s="141">
        <v>4</v>
      </c>
      <c r="M1330" s="123"/>
      <c r="N1330" s="410"/>
    </row>
    <row r="1331" spans="1:14" ht="17.25" customHeight="1" thickBot="1">
      <c r="A1331" s="126" t="str">
        <f t="shared" si="58"/>
        <v>2026/02</v>
      </c>
      <c r="B1331" s="127" t="str">
        <f t="shared" si="60"/>
        <v>2026/02站前4樓</v>
      </c>
      <c r="C1331" s="138">
        <v>23</v>
      </c>
      <c r="D1331" s="139" t="s">
        <v>236</v>
      </c>
      <c r="E1331" s="484" t="s">
        <v>282</v>
      </c>
      <c r="F1331" s="484"/>
      <c r="G1331" s="484" t="s">
        <v>283</v>
      </c>
      <c r="H1331" s="484"/>
      <c r="I1331" s="484"/>
      <c r="J1331" s="484"/>
      <c r="K1331" s="140" t="s">
        <v>284</v>
      </c>
      <c r="L1331" s="141">
        <v>37</v>
      </c>
      <c r="M1331" s="123"/>
      <c r="N1331" s="410"/>
    </row>
    <row r="1332" spans="1:14" ht="17.25" customHeight="1" thickBot="1">
      <c r="A1332" s="126" t="str">
        <f t="shared" si="58"/>
        <v>2026/02</v>
      </c>
      <c r="B1332" s="127" t="str">
        <f t="shared" si="60"/>
        <v>2026/02站前4樓</v>
      </c>
      <c r="C1332" s="138">
        <v>24</v>
      </c>
      <c r="D1332" s="139" t="s">
        <v>236</v>
      </c>
      <c r="E1332" s="484" t="s">
        <v>345</v>
      </c>
      <c r="F1332" s="484"/>
      <c r="G1332" s="484" t="s">
        <v>346</v>
      </c>
      <c r="H1332" s="484"/>
      <c r="I1332" s="484"/>
      <c r="J1332" s="484"/>
      <c r="K1332" s="140" t="s">
        <v>284</v>
      </c>
      <c r="L1332" s="141">
        <v>5</v>
      </c>
      <c r="M1332" s="123"/>
      <c r="N1332" s="410"/>
    </row>
    <row r="1333" spans="1:14" ht="17.25" customHeight="1" thickBot="1">
      <c r="A1333" s="126" t="str">
        <f t="shared" si="58"/>
        <v>2026/02</v>
      </c>
      <c r="B1333" s="127" t="str">
        <f t="shared" si="60"/>
        <v>2026/02站前4樓</v>
      </c>
      <c r="C1333" s="138">
        <v>25</v>
      </c>
      <c r="D1333" s="139" t="s">
        <v>236</v>
      </c>
      <c r="E1333" s="484" t="s">
        <v>311</v>
      </c>
      <c r="F1333" s="484"/>
      <c r="G1333" s="484" t="s">
        <v>312</v>
      </c>
      <c r="H1333" s="484"/>
      <c r="I1333" s="484"/>
      <c r="J1333" s="484"/>
      <c r="K1333" s="140" t="s">
        <v>284</v>
      </c>
      <c r="L1333" s="141">
        <v>14</v>
      </c>
      <c r="M1333" s="123"/>
      <c r="N1333" s="410"/>
    </row>
    <row r="1334" spans="1:14" ht="17.25" customHeight="1" thickBot="1">
      <c r="A1334" s="126" t="str">
        <f t="shared" si="58"/>
        <v>2026/02</v>
      </c>
      <c r="B1334" s="127" t="str">
        <f t="shared" si="60"/>
        <v>2026/02站前4樓</v>
      </c>
      <c r="C1334" s="138">
        <v>26</v>
      </c>
      <c r="D1334" s="139" t="s">
        <v>236</v>
      </c>
      <c r="E1334" s="484" t="s">
        <v>734</v>
      </c>
      <c r="F1334" s="484"/>
      <c r="G1334" s="484" t="s">
        <v>735</v>
      </c>
      <c r="H1334" s="484"/>
      <c r="I1334" s="484"/>
      <c r="J1334" s="484"/>
      <c r="K1334" s="140" t="s">
        <v>342</v>
      </c>
      <c r="L1334" s="141">
        <v>2</v>
      </c>
      <c r="M1334" s="123"/>
      <c r="N1334" s="410"/>
    </row>
    <row r="1335" spans="1:14" ht="17.25" customHeight="1" thickBot="1">
      <c r="A1335" s="126" t="str">
        <f t="shared" si="58"/>
        <v>2026/02</v>
      </c>
      <c r="B1335" s="127" t="str">
        <f t="shared" si="60"/>
        <v>2026/02站前4樓</v>
      </c>
      <c r="C1335" s="138">
        <v>27</v>
      </c>
      <c r="D1335" s="139" t="s">
        <v>236</v>
      </c>
      <c r="E1335" s="484" t="s">
        <v>299</v>
      </c>
      <c r="F1335" s="484"/>
      <c r="G1335" s="484" t="s">
        <v>300</v>
      </c>
      <c r="H1335" s="484"/>
      <c r="I1335" s="484"/>
      <c r="J1335" s="484"/>
      <c r="K1335" s="140" t="s">
        <v>301</v>
      </c>
      <c r="L1335" s="141">
        <v>82</v>
      </c>
      <c r="M1335" s="123"/>
      <c r="N1335" s="410"/>
    </row>
    <row r="1336" spans="1:14" ht="17.25" customHeight="1" thickBot="1">
      <c r="A1336" s="126" t="str">
        <f t="shared" si="58"/>
        <v>2026/02</v>
      </c>
      <c r="B1336" s="127" t="str">
        <f t="shared" si="60"/>
        <v>2026/02站前4樓</v>
      </c>
      <c r="C1336" s="138">
        <v>28</v>
      </c>
      <c r="D1336" s="139" t="s">
        <v>236</v>
      </c>
      <c r="E1336" s="484" t="s">
        <v>347</v>
      </c>
      <c r="F1336" s="484"/>
      <c r="G1336" s="484" t="s">
        <v>348</v>
      </c>
      <c r="H1336" s="484"/>
      <c r="I1336" s="484"/>
      <c r="J1336" s="484"/>
      <c r="K1336" s="140" t="s">
        <v>301</v>
      </c>
      <c r="L1336" s="141">
        <v>6</v>
      </c>
      <c r="M1336" s="123"/>
      <c r="N1336" s="410"/>
    </row>
    <row r="1337" spans="1:14" ht="17.25" customHeight="1" thickBot="1">
      <c r="A1337" s="126" t="str">
        <f t="shared" si="58"/>
        <v>2026/02</v>
      </c>
      <c r="B1337" s="127" t="str">
        <f t="shared" si="60"/>
        <v>2026/02站前4樓</v>
      </c>
      <c r="C1337" s="138">
        <v>29</v>
      </c>
      <c r="D1337" s="139" t="s">
        <v>236</v>
      </c>
      <c r="E1337" s="484" t="s">
        <v>317</v>
      </c>
      <c r="F1337" s="484"/>
      <c r="G1337" s="484" t="s">
        <v>318</v>
      </c>
      <c r="H1337" s="484"/>
      <c r="I1337" s="484"/>
      <c r="J1337" s="484"/>
      <c r="K1337" s="140" t="s">
        <v>319</v>
      </c>
      <c r="L1337" s="141">
        <v>43</v>
      </c>
      <c r="M1337" s="123"/>
      <c r="N1337" s="410"/>
    </row>
    <row r="1338" spans="1:14" ht="17.25" customHeight="1" thickBot="1">
      <c r="A1338" s="126" t="str">
        <f t="shared" si="58"/>
        <v>2026/02</v>
      </c>
      <c r="B1338" s="127" t="str">
        <f t="shared" si="60"/>
        <v>2026/02站前4樓</v>
      </c>
      <c r="C1338" s="138">
        <v>30</v>
      </c>
      <c r="D1338" s="139" t="s">
        <v>236</v>
      </c>
      <c r="E1338" s="484" t="s">
        <v>321</v>
      </c>
      <c r="F1338" s="484"/>
      <c r="G1338" s="484" t="s">
        <v>322</v>
      </c>
      <c r="H1338" s="484"/>
      <c r="I1338" s="484"/>
      <c r="J1338" s="484"/>
      <c r="K1338" s="140" t="s">
        <v>275</v>
      </c>
      <c r="L1338" s="141">
        <v>8</v>
      </c>
      <c r="M1338" s="123"/>
      <c r="N1338" s="410"/>
    </row>
    <row r="1339" spans="1:14" ht="17.25" customHeight="1" thickBot="1">
      <c r="A1339" s="126" t="str">
        <f t="shared" si="58"/>
        <v>2026/02</v>
      </c>
      <c r="B1339" s="127" t="str">
        <f t="shared" si="60"/>
        <v>2026/02站前4樓</v>
      </c>
      <c r="C1339" s="138">
        <v>31</v>
      </c>
      <c r="D1339" s="139" t="s">
        <v>236</v>
      </c>
      <c r="E1339" s="484" t="s">
        <v>372</v>
      </c>
      <c r="F1339" s="484"/>
      <c r="G1339" s="484" t="s">
        <v>373</v>
      </c>
      <c r="H1339" s="484"/>
      <c r="I1339" s="484"/>
      <c r="J1339" s="484"/>
      <c r="K1339" s="140" t="s">
        <v>278</v>
      </c>
      <c r="L1339" s="141">
        <v>27</v>
      </c>
      <c r="M1339" s="123"/>
      <c r="N1339" s="410"/>
    </row>
    <row r="1340" spans="1:14" ht="17.25" customHeight="1" thickBot="1">
      <c r="A1340" s="126" t="str">
        <f t="shared" si="58"/>
        <v>2026/02</v>
      </c>
      <c r="B1340" s="127" t="str">
        <f t="shared" si="60"/>
        <v>2026/02站前4樓</v>
      </c>
      <c r="C1340" s="138">
        <v>32</v>
      </c>
      <c r="D1340" s="139" t="s">
        <v>236</v>
      </c>
      <c r="E1340" s="484" t="s">
        <v>276</v>
      </c>
      <c r="F1340" s="484"/>
      <c r="G1340" s="484" t="s">
        <v>277</v>
      </c>
      <c r="H1340" s="484"/>
      <c r="I1340" s="484"/>
      <c r="J1340" s="484"/>
      <c r="K1340" s="140" t="s">
        <v>278</v>
      </c>
      <c r="L1340" s="141">
        <v>83</v>
      </c>
      <c r="M1340" s="123"/>
      <c r="N1340" s="410"/>
    </row>
    <row r="1341" spans="1:14" ht="17.25" customHeight="1" thickBot="1">
      <c r="A1341" s="126" t="str">
        <f t="shared" si="58"/>
        <v>2026/02</v>
      </c>
      <c r="B1341" s="127" t="str">
        <f t="shared" si="60"/>
        <v>2026/02站前4樓</v>
      </c>
      <c r="C1341" s="138">
        <v>33</v>
      </c>
      <c r="D1341" s="139" t="s">
        <v>236</v>
      </c>
      <c r="E1341" s="484" t="s">
        <v>273</v>
      </c>
      <c r="F1341" s="484"/>
      <c r="G1341" s="484" t="s">
        <v>274</v>
      </c>
      <c r="H1341" s="484"/>
      <c r="I1341" s="484"/>
      <c r="J1341" s="484"/>
      <c r="K1341" s="140" t="s">
        <v>275</v>
      </c>
      <c r="L1341" s="141">
        <v>452</v>
      </c>
      <c r="M1341" s="123"/>
      <c r="N1341" s="410"/>
    </row>
    <row r="1342" spans="1:14" ht="17.25" customHeight="1" thickBot="1">
      <c r="A1342" s="126" t="str">
        <f t="shared" si="58"/>
        <v>2026/02</v>
      </c>
      <c r="B1342" s="127" t="str">
        <f t="shared" si="60"/>
        <v>2026/02站前4樓</v>
      </c>
      <c r="C1342" s="138">
        <v>34</v>
      </c>
      <c r="D1342" s="139" t="s">
        <v>236</v>
      </c>
      <c r="E1342" s="484" t="s">
        <v>285</v>
      </c>
      <c r="F1342" s="484"/>
      <c r="G1342" s="484" t="s">
        <v>286</v>
      </c>
      <c r="H1342" s="484"/>
      <c r="I1342" s="484"/>
      <c r="J1342" s="484"/>
      <c r="K1342" s="140" t="s">
        <v>287</v>
      </c>
      <c r="L1342" s="141">
        <v>17792</v>
      </c>
      <c r="M1342" s="123"/>
      <c r="N1342" s="410"/>
    </row>
    <row r="1343" spans="1:14" ht="17.25" customHeight="1" thickBot="1">
      <c r="A1343" s="126" t="str">
        <f t="shared" si="58"/>
        <v>2026/02</v>
      </c>
      <c r="B1343" s="127" t="str">
        <f t="shared" si="60"/>
        <v>2026/02站前4樓</v>
      </c>
      <c r="C1343" s="138">
        <v>35</v>
      </c>
      <c r="D1343" s="139" t="s">
        <v>236</v>
      </c>
      <c r="E1343" s="484" t="s">
        <v>290</v>
      </c>
      <c r="F1343" s="484"/>
      <c r="G1343" s="484" t="s">
        <v>291</v>
      </c>
      <c r="H1343" s="484"/>
      <c r="I1343" s="484"/>
      <c r="J1343" s="484"/>
      <c r="K1343" s="140" t="s">
        <v>287</v>
      </c>
      <c r="L1343" s="141">
        <v>44725</v>
      </c>
      <c r="M1343" s="123"/>
      <c r="N1343" s="410"/>
    </row>
    <row r="1344" spans="1:14" ht="17.25" customHeight="1" thickBot="1">
      <c r="A1344" s="126" t="str">
        <f t="shared" si="58"/>
        <v>2026/02</v>
      </c>
      <c r="B1344" s="127" t="str">
        <f t="shared" si="60"/>
        <v>2026/02站前4樓</v>
      </c>
      <c r="C1344" s="138">
        <v>36</v>
      </c>
      <c r="D1344" s="139" t="s">
        <v>236</v>
      </c>
      <c r="E1344" s="484" t="s">
        <v>292</v>
      </c>
      <c r="F1344" s="484"/>
      <c r="G1344" s="484" t="s">
        <v>293</v>
      </c>
      <c r="H1344" s="484"/>
      <c r="I1344" s="484"/>
      <c r="J1344" s="484"/>
      <c r="K1344" s="140" t="s">
        <v>287</v>
      </c>
      <c r="L1344" s="141">
        <v>63886</v>
      </c>
      <c r="M1344" s="123"/>
      <c r="N1344" s="410"/>
    </row>
    <row r="1345" spans="1:14" ht="17.25" customHeight="1" thickBot="1">
      <c r="A1345" s="126" t="str">
        <f t="shared" si="58"/>
        <v>2026/02</v>
      </c>
      <c r="B1345" s="127" t="str">
        <f t="shared" si="60"/>
        <v>2026/02站前4樓</v>
      </c>
      <c r="C1345" s="138">
        <v>37</v>
      </c>
      <c r="D1345" s="139" t="s">
        <v>236</v>
      </c>
      <c r="E1345" s="484" t="s">
        <v>323</v>
      </c>
      <c r="F1345" s="484"/>
      <c r="G1345" s="484" t="s">
        <v>324</v>
      </c>
      <c r="H1345" s="484"/>
      <c r="I1345" s="484"/>
      <c r="J1345" s="484"/>
      <c r="K1345" s="140" t="s">
        <v>721</v>
      </c>
      <c r="L1345" s="141">
        <v>25505</v>
      </c>
      <c r="M1345" s="123"/>
      <c r="N1345" s="410"/>
    </row>
    <row r="1346" spans="1:14" ht="17.25" customHeight="1" thickBot="1">
      <c r="A1346" s="126" t="str">
        <f t="shared" si="58"/>
        <v>2026/02</v>
      </c>
      <c r="B1346" s="127" t="str">
        <f t="shared" si="60"/>
        <v>2026/02站前4樓</v>
      </c>
      <c r="C1346" s="138">
        <v>38</v>
      </c>
      <c r="D1346" s="139" t="s">
        <v>236</v>
      </c>
      <c r="E1346" s="484" t="s">
        <v>338</v>
      </c>
      <c r="F1346" s="484"/>
      <c r="G1346" s="484" t="s">
        <v>339</v>
      </c>
      <c r="H1346" s="484"/>
      <c r="I1346" s="484"/>
      <c r="J1346" s="484"/>
      <c r="K1346" s="140" t="s">
        <v>287</v>
      </c>
      <c r="L1346" s="141">
        <v>4359</v>
      </c>
      <c r="M1346" s="123"/>
      <c r="N1346" s="410"/>
    </row>
    <row r="1347" spans="1:14" ht="17.25" customHeight="1" thickBot="1">
      <c r="A1347" s="126" t="str">
        <f t="shared" si="58"/>
        <v>2026/02</v>
      </c>
      <c r="B1347" s="127" t="str">
        <f t="shared" si="60"/>
        <v>2026/02站前4樓</v>
      </c>
      <c r="C1347" s="138">
        <v>39</v>
      </c>
      <c r="D1347" s="139" t="s">
        <v>236</v>
      </c>
      <c r="E1347" s="484" t="s">
        <v>326</v>
      </c>
      <c r="F1347" s="484"/>
      <c r="G1347" s="484" t="s">
        <v>327</v>
      </c>
      <c r="H1347" s="484"/>
      <c r="I1347" s="484"/>
      <c r="J1347" s="484"/>
      <c r="K1347" s="140" t="s">
        <v>287</v>
      </c>
      <c r="L1347" s="141">
        <v>7769</v>
      </c>
      <c r="M1347" s="123"/>
      <c r="N1347" s="410"/>
    </row>
    <row r="1348" spans="1:14" ht="17.25" customHeight="1" thickBot="1">
      <c r="A1348" s="126" t="str">
        <f t="shared" si="58"/>
        <v>2026/02</v>
      </c>
      <c r="B1348" s="127" t="str">
        <f t="shared" si="60"/>
        <v>2026/02站前4樓</v>
      </c>
      <c r="C1348" s="138">
        <v>40</v>
      </c>
      <c r="D1348" s="139" t="s">
        <v>236</v>
      </c>
      <c r="E1348" s="484" t="s">
        <v>328</v>
      </c>
      <c r="F1348" s="484"/>
      <c r="G1348" s="484" t="s">
        <v>329</v>
      </c>
      <c r="H1348" s="484"/>
      <c r="I1348" s="484"/>
      <c r="J1348" s="484"/>
      <c r="K1348" s="140" t="s">
        <v>287</v>
      </c>
      <c r="L1348" s="141">
        <v>15685</v>
      </c>
      <c r="M1348" s="123"/>
      <c r="N1348" s="410"/>
    </row>
    <row r="1349" spans="1:14" ht="17.25" customHeight="1" thickBot="1">
      <c r="A1349" s="126" t="str">
        <f t="shared" si="58"/>
        <v>2026/02</v>
      </c>
      <c r="B1349" s="127" t="str">
        <f t="shared" si="60"/>
        <v>2026/02站前4樓</v>
      </c>
      <c r="C1349" s="138">
        <v>41</v>
      </c>
      <c r="D1349" s="139" t="s">
        <v>236</v>
      </c>
      <c r="E1349" s="484" t="s">
        <v>330</v>
      </c>
      <c r="F1349" s="484"/>
      <c r="G1349" s="484" t="s">
        <v>331</v>
      </c>
      <c r="H1349" s="484"/>
      <c r="I1349" s="484"/>
      <c r="J1349" s="484"/>
      <c r="K1349" s="140" t="s">
        <v>287</v>
      </c>
      <c r="L1349" s="141">
        <v>9541</v>
      </c>
      <c r="M1349" s="123"/>
      <c r="N1349" s="410"/>
    </row>
    <row r="1350" spans="1:14" ht="17.25" customHeight="1" thickBot="1">
      <c r="A1350" s="126" t="str">
        <f t="shared" si="58"/>
        <v>2026/02</v>
      </c>
      <c r="B1350" s="127" t="str">
        <f t="shared" si="60"/>
        <v>2026/02站前4樓</v>
      </c>
      <c r="C1350" s="138">
        <v>42</v>
      </c>
      <c r="D1350" s="139" t="s">
        <v>236</v>
      </c>
      <c r="E1350" s="484" t="s">
        <v>302</v>
      </c>
      <c r="F1350" s="484"/>
      <c r="G1350" s="484" t="s">
        <v>303</v>
      </c>
      <c r="H1350" s="484"/>
      <c r="I1350" s="484"/>
      <c r="J1350" s="484"/>
      <c r="K1350" s="140" t="s">
        <v>304</v>
      </c>
      <c r="L1350" s="141">
        <v>6801</v>
      </c>
      <c r="M1350" s="123"/>
      <c r="N1350" s="410"/>
    </row>
    <row r="1351" spans="1:14" ht="17.25" customHeight="1" thickBot="1">
      <c r="A1351" s="126" t="str">
        <f t="shared" si="58"/>
        <v>2026/02</v>
      </c>
      <c r="B1351" s="127" t="str">
        <f t="shared" si="60"/>
        <v>2026/02站前4樓</v>
      </c>
      <c r="C1351" s="138">
        <v>43</v>
      </c>
      <c r="D1351" s="139" t="s">
        <v>236</v>
      </c>
      <c r="E1351" s="484" t="s">
        <v>363</v>
      </c>
      <c r="F1351" s="484"/>
      <c r="G1351" s="484" t="s">
        <v>364</v>
      </c>
      <c r="H1351" s="484"/>
      <c r="I1351" s="484"/>
      <c r="J1351" s="484"/>
      <c r="K1351" s="140" t="s">
        <v>365</v>
      </c>
      <c r="L1351" s="141">
        <v>600</v>
      </c>
      <c r="M1351" s="123"/>
      <c r="N1351" s="410"/>
    </row>
    <row r="1352" spans="1:14" ht="17.25" customHeight="1" thickBot="1">
      <c r="A1352" s="126" t="str">
        <f t="shared" si="58"/>
        <v>2026/02</v>
      </c>
      <c r="B1352" s="127" t="str">
        <f t="shared" si="60"/>
        <v>2026/02站前4樓</v>
      </c>
      <c r="C1352" s="138">
        <v>44</v>
      </c>
      <c r="D1352" s="139" t="s">
        <v>236</v>
      </c>
      <c r="E1352" s="484" t="s">
        <v>705</v>
      </c>
      <c r="F1352" s="484"/>
      <c r="G1352" s="484" t="s">
        <v>706</v>
      </c>
      <c r="H1352" s="484"/>
      <c r="I1352" s="484"/>
      <c r="J1352" s="484"/>
      <c r="K1352" s="140" t="s">
        <v>707</v>
      </c>
      <c r="L1352" s="141">
        <v>30800</v>
      </c>
      <c r="M1352" s="123"/>
      <c r="N1352" s="410"/>
    </row>
    <row r="1353" spans="1:14" ht="17.25" customHeight="1" thickBot="1">
      <c r="A1353" s="126" t="str">
        <f t="shared" si="58"/>
        <v>2026/02</v>
      </c>
      <c r="B1353" s="127" t="str">
        <f t="shared" si="60"/>
        <v>2026/02站前4樓</v>
      </c>
      <c r="C1353" s="138">
        <v>45</v>
      </c>
      <c r="D1353" s="139" t="s">
        <v>236</v>
      </c>
      <c r="E1353" s="484" t="s">
        <v>279</v>
      </c>
      <c r="F1353" s="484"/>
      <c r="G1353" s="484" t="s">
        <v>280</v>
      </c>
      <c r="H1353" s="484"/>
      <c r="I1353" s="484"/>
      <c r="J1353" s="484"/>
      <c r="K1353" s="140" t="s">
        <v>281</v>
      </c>
      <c r="L1353" s="141">
        <v>342412</v>
      </c>
      <c r="M1353" s="123"/>
      <c r="N1353" s="410"/>
    </row>
    <row r="1354" spans="1:14" ht="17.25" customHeight="1" thickBot="1">
      <c r="A1354" s="126" t="str">
        <f t="shared" si="58"/>
        <v>2026/02</v>
      </c>
      <c r="B1354" s="127" t="str">
        <f t="shared" si="60"/>
        <v>2026/02站前4樓</v>
      </c>
      <c r="C1354" s="138">
        <v>46</v>
      </c>
      <c r="D1354" s="139" t="s">
        <v>236</v>
      </c>
      <c r="E1354" s="484" t="s">
        <v>288</v>
      </c>
      <c r="F1354" s="484"/>
      <c r="G1354" s="484" t="s">
        <v>289</v>
      </c>
      <c r="H1354" s="484"/>
      <c r="I1354" s="484"/>
      <c r="J1354" s="484"/>
      <c r="K1354" s="140" t="s">
        <v>281</v>
      </c>
      <c r="L1354" s="141">
        <v>104295</v>
      </c>
      <c r="M1354" s="123"/>
      <c r="N1354" s="410"/>
    </row>
    <row r="1355" spans="1:14" ht="17.25" customHeight="1" thickBot="1">
      <c r="A1355" s="126" t="str">
        <f t="shared" si="58"/>
        <v>2026/02</v>
      </c>
      <c r="B1355" s="127" t="str">
        <f t="shared" si="60"/>
        <v>2026/02站前4樓</v>
      </c>
      <c r="C1355" s="138">
        <v>47</v>
      </c>
      <c r="D1355" s="139" t="s">
        <v>236</v>
      </c>
      <c r="E1355" s="484" t="s">
        <v>332</v>
      </c>
      <c r="F1355" s="484"/>
      <c r="G1355" s="484" t="s">
        <v>333</v>
      </c>
      <c r="H1355" s="484"/>
      <c r="I1355" s="484"/>
      <c r="J1355" s="484"/>
      <c r="K1355" s="140" t="s">
        <v>334</v>
      </c>
      <c r="L1355" s="141">
        <v>63103</v>
      </c>
      <c r="M1355" s="123"/>
      <c r="N1355" s="410"/>
    </row>
    <row r="1356" spans="1:14" ht="17.25" customHeight="1" thickBot="1">
      <c r="A1356" s="126" t="str">
        <f t="shared" si="58"/>
        <v>2026/02</v>
      </c>
      <c r="B1356" s="127" t="str">
        <f t="shared" si="60"/>
        <v>2026/02站前4樓</v>
      </c>
      <c r="C1356" s="138">
        <v>48</v>
      </c>
      <c r="D1356" s="139" t="s">
        <v>236</v>
      </c>
      <c r="E1356" s="484" t="s">
        <v>335</v>
      </c>
      <c r="F1356" s="484"/>
      <c r="G1356" s="484" t="s">
        <v>336</v>
      </c>
      <c r="H1356" s="484"/>
      <c r="I1356" s="484"/>
      <c r="J1356" s="484"/>
      <c r="K1356" s="140" t="s">
        <v>337</v>
      </c>
      <c r="L1356" s="141">
        <v>13700</v>
      </c>
      <c r="M1356" s="123"/>
      <c r="N1356" s="410"/>
    </row>
    <row r="1357" spans="1:14" ht="17.25" customHeight="1" thickBot="1">
      <c r="A1357" s="126" t="str">
        <f t="shared" si="58"/>
        <v>2026/02</v>
      </c>
      <c r="B1357" s="127" t="str">
        <f t="shared" si="60"/>
        <v>2026/02站前4樓</v>
      </c>
      <c r="C1357" s="138">
        <v>49</v>
      </c>
      <c r="D1357" s="139" t="s">
        <v>236</v>
      </c>
      <c r="E1357" s="484" t="s">
        <v>447</v>
      </c>
      <c r="F1357" s="484"/>
      <c r="G1357" s="484" t="s">
        <v>448</v>
      </c>
      <c r="H1357" s="484"/>
      <c r="I1357" s="484"/>
      <c r="J1357" s="484"/>
      <c r="K1357" s="140" t="s">
        <v>445</v>
      </c>
      <c r="L1357" s="141">
        <v>12</v>
      </c>
      <c r="M1357" s="123"/>
      <c r="N1357" s="410"/>
    </row>
    <row r="1358" spans="1:14" ht="17.25" customHeight="1" thickBot="1">
      <c r="A1358" s="126" t="str">
        <f t="shared" si="58"/>
        <v>2026/02</v>
      </c>
      <c r="B1358" s="127" t="str">
        <f t="shared" si="60"/>
        <v>2026/02站前4樓</v>
      </c>
      <c r="C1358" s="138">
        <v>50</v>
      </c>
      <c r="D1358" s="139" t="s">
        <v>236</v>
      </c>
      <c r="E1358" s="484" t="s">
        <v>351</v>
      </c>
      <c r="F1358" s="484"/>
      <c r="G1358" s="484" t="s">
        <v>352</v>
      </c>
      <c r="H1358" s="484"/>
      <c r="I1358" s="484"/>
      <c r="J1358" s="484"/>
      <c r="K1358" s="140" t="s">
        <v>353</v>
      </c>
      <c r="L1358" s="141">
        <v>12</v>
      </c>
      <c r="M1358" s="123"/>
      <c r="N1358" s="410"/>
    </row>
    <row r="1359" spans="1:14" ht="17.25" customHeight="1" thickBot="1">
      <c r="A1359" s="126" t="str">
        <f t="shared" si="58"/>
        <v>2026/02</v>
      </c>
      <c r="B1359" s="127" t="str">
        <f t="shared" si="60"/>
        <v>2026/02站前4樓</v>
      </c>
      <c r="C1359" s="138">
        <v>51</v>
      </c>
      <c r="D1359" s="139" t="s">
        <v>236</v>
      </c>
      <c r="E1359" s="484" t="s">
        <v>357</v>
      </c>
      <c r="F1359" s="484"/>
      <c r="G1359" s="484" t="s">
        <v>358</v>
      </c>
      <c r="H1359" s="484"/>
      <c r="I1359" s="484"/>
      <c r="J1359" s="484"/>
      <c r="K1359" s="140" t="s">
        <v>353</v>
      </c>
      <c r="L1359" s="141">
        <v>36</v>
      </c>
      <c r="M1359" s="123"/>
      <c r="N1359" s="410"/>
    </row>
    <row r="1360" spans="1:14" ht="17.25" customHeight="1" thickBot="1">
      <c r="A1360" s="126" t="str">
        <f t="shared" si="58"/>
        <v>2026/02</v>
      </c>
      <c r="B1360" s="127" t="str">
        <f t="shared" si="60"/>
        <v>2026/02站前4樓</v>
      </c>
      <c r="C1360" s="138">
        <v>52</v>
      </c>
      <c r="D1360" s="139" t="s">
        <v>236</v>
      </c>
      <c r="E1360" s="484" t="s">
        <v>340</v>
      </c>
      <c r="F1360" s="484"/>
      <c r="G1360" s="484" t="s">
        <v>341</v>
      </c>
      <c r="H1360" s="484"/>
      <c r="I1360" s="484"/>
      <c r="J1360" s="484"/>
      <c r="K1360" s="140" t="s">
        <v>342</v>
      </c>
      <c r="L1360" s="141">
        <v>10</v>
      </c>
      <c r="M1360" s="123"/>
      <c r="N1360" s="410"/>
    </row>
    <row r="1361" spans="1:14" ht="17.25" customHeight="1" thickBot="1">
      <c r="A1361" s="126" t="str">
        <f t="shared" si="58"/>
        <v>2026/02</v>
      </c>
      <c r="B1361" s="127" t="str">
        <f t="shared" si="60"/>
        <v>2026/02站前4樓</v>
      </c>
      <c r="C1361" s="138">
        <v>53</v>
      </c>
      <c r="D1361" s="139" t="s">
        <v>236</v>
      </c>
      <c r="E1361" s="484" t="s">
        <v>683</v>
      </c>
      <c r="F1361" s="484"/>
      <c r="G1361" s="484" t="s">
        <v>684</v>
      </c>
      <c r="H1361" s="484"/>
      <c r="I1361" s="484"/>
      <c r="J1361" s="484"/>
      <c r="K1361" s="140" t="s">
        <v>685</v>
      </c>
      <c r="L1361" s="141">
        <v>7</v>
      </c>
      <c r="M1361" s="123"/>
      <c r="N1361" s="410"/>
    </row>
    <row r="1362" spans="1:14" ht="17.25" customHeight="1" thickBot="1">
      <c r="A1362" s="126" t="str">
        <f t="shared" ref="A1362:A1390" si="61">IFERROR(LEFT(B1362,7),"")</f>
        <v>2026/02</v>
      </c>
      <c r="B1362" s="127" t="str">
        <f t="shared" si="60"/>
        <v>2026/02站前4樓</v>
      </c>
      <c r="C1362" s="138">
        <v>54</v>
      </c>
      <c r="D1362" s="139" t="s">
        <v>236</v>
      </c>
      <c r="E1362" s="484" t="s">
        <v>686</v>
      </c>
      <c r="F1362" s="484"/>
      <c r="G1362" s="484" t="s">
        <v>687</v>
      </c>
      <c r="H1362" s="484"/>
      <c r="I1362" s="484"/>
      <c r="J1362" s="484"/>
      <c r="K1362" s="140" t="s">
        <v>688</v>
      </c>
      <c r="L1362" s="141">
        <v>23</v>
      </c>
      <c r="M1362" s="123"/>
      <c r="N1362" s="410"/>
    </row>
    <row r="1363" spans="1:14" ht="17.25" customHeight="1" thickBot="1">
      <c r="A1363" s="126" t="str">
        <f t="shared" si="61"/>
        <v>2026/02</v>
      </c>
      <c r="B1363" s="127" t="str">
        <f t="shared" si="60"/>
        <v>2026/02站前4樓</v>
      </c>
      <c r="C1363" s="138">
        <v>55</v>
      </c>
      <c r="D1363" s="139" t="s">
        <v>236</v>
      </c>
      <c r="E1363" s="484" t="s">
        <v>354</v>
      </c>
      <c r="F1363" s="484"/>
      <c r="G1363" s="484" t="s">
        <v>741</v>
      </c>
      <c r="H1363" s="484"/>
      <c r="I1363" s="484"/>
      <c r="J1363" s="484"/>
      <c r="K1363" s="140" t="s">
        <v>356</v>
      </c>
      <c r="L1363" s="141">
        <v>1</v>
      </c>
      <c r="M1363" s="123"/>
      <c r="N1363" s="410"/>
    </row>
    <row r="1364" spans="1:14" ht="17.25" customHeight="1" thickBot="1">
      <c r="A1364" s="126" t="str">
        <f t="shared" si="61"/>
        <v>2026/02</v>
      </c>
      <c r="B1364" s="127" t="str">
        <f t="shared" si="60"/>
        <v>2026/02站前4樓</v>
      </c>
      <c r="C1364" s="138">
        <v>56</v>
      </c>
      <c r="D1364" s="139" t="s">
        <v>236</v>
      </c>
      <c r="E1364" s="484" t="s">
        <v>368</v>
      </c>
      <c r="F1364" s="484"/>
      <c r="G1364" s="484" t="s">
        <v>369</v>
      </c>
      <c r="H1364" s="484"/>
      <c r="I1364" s="484"/>
      <c r="J1364" s="484"/>
      <c r="K1364" s="140" t="s">
        <v>356</v>
      </c>
      <c r="L1364" s="141">
        <v>2</v>
      </c>
      <c r="M1364" s="123"/>
      <c r="N1364" s="410"/>
    </row>
    <row r="1365" spans="1:14" ht="17.25" customHeight="1" thickBot="1">
      <c r="A1365" s="126" t="str">
        <f t="shared" si="61"/>
        <v>2026/02</v>
      </c>
      <c r="B1365" s="127" t="str">
        <f t="shared" si="60"/>
        <v>2026/02站前4樓</v>
      </c>
      <c r="C1365" s="138">
        <v>57</v>
      </c>
      <c r="D1365" s="139" t="s">
        <v>236</v>
      </c>
      <c r="E1365" s="484" t="s">
        <v>425</v>
      </c>
      <c r="F1365" s="484"/>
      <c r="G1365" s="484" t="s">
        <v>426</v>
      </c>
      <c r="H1365" s="484"/>
      <c r="I1365" s="484"/>
      <c r="J1365" s="484"/>
      <c r="K1365" s="140" t="s">
        <v>269</v>
      </c>
      <c r="L1365" s="141">
        <v>4</v>
      </c>
      <c r="M1365" s="123"/>
      <c r="N1365" s="410"/>
    </row>
    <row r="1366" spans="1:14" ht="17.25" customHeight="1" thickBot="1">
      <c r="A1366" s="126" t="str">
        <f t="shared" si="61"/>
        <v>2026/02</v>
      </c>
      <c r="B1366" s="127" t="str">
        <f t="shared" si="60"/>
        <v>2026/02站前4樓</v>
      </c>
      <c r="C1366" s="138">
        <v>58</v>
      </c>
      <c r="D1366" s="139" t="s">
        <v>236</v>
      </c>
      <c r="E1366" s="484" t="s">
        <v>309</v>
      </c>
      <c r="F1366" s="484"/>
      <c r="G1366" s="484" t="s">
        <v>310</v>
      </c>
      <c r="H1366" s="484"/>
      <c r="I1366" s="484"/>
      <c r="J1366" s="484"/>
      <c r="K1366" s="140" t="s">
        <v>269</v>
      </c>
      <c r="L1366" s="141">
        <v>153</v>
      </c>
      <c r="M1366" s="123"/>
      <c r="N1366" s="410"/>
    </row>
    <row r="1367" spans="1:14" ht="17.25" customHeight="1" thickBot="1">
      <c r="A1367" s="126" t="str">
        <f t="shared" si="61"/>
        <v>2026/02</v>
      </c>
      <c r="B1367" s="127" t="str">
        <f t="shared" si="60"/>
        <v>2026/02站前4樓</v>
      </c>
      <c r="C1367" s="138">
        <v>59</v>
      </c>
      <c r="D1367" s="139" t="s">
        <v>236</v>
      </c>
      <c r="E1367" s="484" t="s">
        <v>267</v>
      </c>
      <c r="F1367" s="484"/>
      <c r="G1367" s="484" t="s">
        <v>268</v>
      </c>
      <c r="H1367" s="484"/>
      <c r="I1367" s="484"/>
      <c r="J1367" s="484"/>
      <c r="K1367" s="140" t="s">
        <v>269</v>
      </c>
      <c r="L1367" s="141">
        <v>9</v>
      </c>
      <c r="M1367" s="123"/>
      <c r="N1367" s="410"/>
    </row>
    <row r="1368" spans="1:14" ht="17.25" customHeight="1" thickBot="1">
      <c r="A1368" s="126" t="str">
        <f t="shared" si="61"/>
        <v>2026/02</v>
      </c>
      <c r="B1368" s="127" t="str">
        <f t="shared" si="60"/>
        <v>2026/02站前4樓</v>
      </c>
      <c r="C1368" s="138">
        <v>60</v>
      </c>
      <c r="D1368" s="139" t="s">
        <v>236</v>
      </c>
      <c r="E1368" s="484" t="s">
        <v>297</v>
      </c>
      <c r="F1368" s="484"/>
      <c r="G1368" s="484" t="s">
        <v>298</v>
      </c>
      <c r="H1368" s="484"/>
      <c r="I1368" s="484"/>
      <c r="J1368" s="484"/>
      <c r="K1368" s="140" t="s">
        <v>269</v>
      </c>
      <c r="L1368" s="141">
        <v>1</v>
      </c>
      <c r="M1368" s="123"/>
      <c r="N1368" s="410"/>
    </row>
    <row r="1369" spans="1:14" ht="17.25" customHeight="1" thickBot="1">
      <c r="A1369" s="126" t="str">
        <f t="shared" si="61"/>
        <v>2026/02</v>
      </c>
      <c r="B1369" s="127" t="str">
        <f t="shared" si="60"/>
        <v>2026/02站前4樓</v>
      </c>
      <c r="C1369" s="138">
        <v>61</v>
      </c>
      <c r="D1369" s="139" t="s">
        <v>236</v>
      </c>
      <c r="E1369" s="484" t="s">
        <v>315</v>
      </c>
      <c r="F1369" s="484"/>
      <c r="G1369" s="484" t="s">
        <v>316</v>
      </c>
      <c r="H1369" s="484"/>
      <c r="I1369" s="484"/>
      <c r="J1369" s="484"/>
      <c r="K1369" s="140" t="s">
        <v>296</v>
      </c>
      <c r="L1369" s="141">
        <v>4</v>
      </c>
      <c r="M1369" s="123"/>
      <c r="N1369" s="410"/>
    </row>
    <row r="1370" spans="1:14" ht="17.25" customHeight="1" thickBot="1">
      <c r="A1370" s="126" t="str">
        <f t="shared" si="61"/>
        <v>2026/02</v>
      </c>
      <c r="B1370" s="127" t="str">
        <f t="shared" si="60"/>
        <v>2026/02站前4樓</v>
      </c>
      <c r="C1370" s="138">
        <v>62</v>
      </c>
      <c r="D1370" s="139" t="s">
        <v>236</v>
      </c>
      <c r="E1370" s="484" t="s">
        <v>294</v>
      </c>
      <c r="F1370" s="484"/>
      <c r="G1370" s="484" t="s">
        <v>295</v>
      </c>
      <c r="H1370" s="484"/>
      <c r="I1370" s="484"/>
      <c r="J1370" s="484"/>
      <c r="K1370" s="140" t="s">
        <v>296</v>
      </c>
      <c r="L1370" s="141">
        <v>3</v>
      </c>
      <c r="M1370" s="123"/>
      <c r="N1370" s="410"/>
    </row>
    <row r="1371" spans="1:14" ht="17.25" customHeight="1" thickBot="1">
      <c r="A1371" s="126" t="str">
        <f t="shared" si="61"/>
        <v>2026/02</v>
      </c>
      <c r="B1371" s="127" t="str">
        <f t="shared" si="60"/>
        <v>2026/02站前4樓</v>
      </c>
      <c r="C1371" s="138">
        <v>63</v>
      </c>
      <c r="D1371" s="139" t="s">
        <v>236</v>
      </c>
      <c r="E1371" s="484" t="s">
        <v>736</v>
      </c>
      <c r="F1371" s="484"/>
      <c r="G1371" s="484" t="s">
        <v>737</v>
      </c>
      <c r="H1371" s="484"/>
      <c r="I1371" s="484"/>
      <c r="J1371" s="484"/>
      <c r="K1371" s="140" t="s">
        <v>738</v>
      </c>
      <c r="L1371" s="141">
        <v>5</v>
      </c>
      <c r="M1371" s="123"/>
      <c r="N1371" s="410"/>
    </row>
    <row r="1372" spans="1:14" ht="17.25" customHeight="1" thickBot="1">
      <c r="A1372" s="126" t="str">
        <f t="shared" si="61"/>
        <v>2026/02</v>
      </c>
      <c r="B1372" s="127" t="str">
        <f t="shared" si="60"/>
        <v>2026/02站前4樓</v>
      </c>
      <c r="C1372" s="138">
        <v>64</v>
      </c>
      <c r="D1372" s="139" t="s">
        <v>236</v>
      </c>
      <c r="E1372" s="484" t="s">
        <v>237</v>
      </c>
      <c r="F1372" s="484"/>
      <c r="G1372" s="484" t="s">
        <v>238</v>
      </c>
      <c r="H1372" s="484"/>
      <c r="I1372" s="484"/>
      <c r="J1372" s="484"/>
      <c r="K1372" s="140" t="s">
        <v>239</v>
      </c>
      <c r="L1372" s="141">
        <v>495</v>
      </c>
      <c r="M1372" s="123"/>
      <c r="N1372" s="410"/>
    </row>
    <row r="1373" spans="1:14" ht="17.25" customHeight="1" thickBot="1">
      <c r="A1373" s="126" t="str">
        <f t="shared" si="61"/>
        <v>2026/02</v>
      </c>
      <c r="B1373" s="127" t="str">
        <f t="shared" si="60"/>
        <v>2026/02站前4樓</v>
      </c>
      <c r="C1373" s="138">
        <v>65</v>
      </c>
      <c r="D1373" s="139" t="s">
        <v>236</v>
      </c>
      <c r="E1373" s="484" t="s">
        <v>240</v>
      </c>
      <c r="F1373" s="484"/>
      <c r="G1373" s="484" t="s">
        <v>241</v>
      </c>
      <c r="H1373" s="484"/>
      <c r="I1373" s="484"/>
      <c r="J1373" s="484"/>
      <c r="K1373" s="140" t="s">
        <v>239</v>
      </c>
      <c r="L1373" s="141">
        <v>495</v>
      </c>
      <c r="M1373" s="123"/>
      <c r="N1373" s="410"/>
    </row>
    <row r="1374" spans="1:14" ht="17.25" customHeight="1" thickBot="1">
      <c r="A1374" s="126" t="str">
        <f t="shared" si="61"/>
        <v>2026/02</v>
      </c>
      <c r="B1374" s="127" t="str">
        <f t="shared" ref="B1374:B1390" si="62">"2026/02"&amp;D1374</f>
        <v>2026/02站前4樓</v>
      </c>
      <c r="C1374" s="138">
        <v>66</v>
      </c>
      <c r="D1374" s="139" t="s">
        <v>236</v>
      </c>
      <c r="E1374" s="484" t="s">
        <v>242</v>
      </c>
      <c r="F1374" s="484"/>
      <c r="G1374" s="484" t="s">
        <v>243</v>
      </c>
      <c r="H1374" s="484"/>
      <c r="I1374" s="484"/>
      <c r="J1374" s="484"/>
      <c r="K1374" s="140" t="s">
        <v>239</v>
      </c>
      <c r="L1374" s="141">
        <v>495</v>
      </c>
      <c r="M1374" s="123"/>
      <c r="N1374" s="410"/>
    </row>
    <row r="1375" spans="1:14" ht="17.25" customHeight="1" thickBot="1">
      <c r="A1375" s="126" t="str">
        <f t="shared" si="61"/>
        <v>2026/02</v>
      </c>
      <c r="B1375" s="127" t="str">
        <f t="shared" si="62"/>
        <v>2026/02站前4樓</v>
      </c>
      <c r="C1375" s="138">
        <v>67</v>
      </c>
      <c r="D1375" s="139" t="s">
        <v>236</v>
      </c>
      <c r="E1375" s="484" t="s">
        <v>244</v>
      </c>
      <c r="F1375" s="484"/>
      <c r="G1375" s="484" t="s">
        <v>245</v>
      </c>
      <c r="H1375" s="484"/>
      <c r="I1375" s="484"/>
      <c r="J1375" s="484"/>
      <c r="K1375" s="140" t="s">
        <v>725</v>
      </c>
      <c r="L1375" s="141">
        <v>7410</v>
      </c>
      <c r="M1375" s="123"/>
      <c r="N1375" s="410"/>
    </row>
    <row r="1376" spans="1:14" ht="17.25" customHeight="1" thickBot="1">
      <c r="A1376" s="126" t="str">
        <f t="shared" si="61"/>
        <v>2026/02</v>
      </c>
      <c r="B1376" s="127" t="str">
        <f t="shared" si="62"/>
        <v>2026/02站前4樓</v>
      </c>
      <c r="C1376" s="138">
        <v>68</v>
      </c>
      <c r="D1376" s="139" t="s">
        <v>236</v>
      </c>
      <c r="E1376" s="484" t="s">
        <v>246</v>
      </c>
      <c r="F1376" s="484"/>
      <c r="G1376" s="484" t="s">
        <v>247</v>
      </c>
      <c r="H1376" s="484"/>
      <c r="I1376" s="484"/>
      <c r="J1376" s="484"/>
      <c r="K1376" s="140" t="s">
        <v>725</v>
      </c>
      <c r="L1376" s="141">
        <v>7410</v>
      </c>
      <c r="M1376" s="123"/>
      <c r="N1376" s="410"/>
    </row>
    <row r="1377" spans="1:14" ht="17.25" customHeight="1" thickBot="1">
      <c r="A1377" s="126" t="str">
        <f t="shared" si="61"/>
        <v>2026/02</v>
      </c>
      <c r="B1377" s="127" t="str">
        <f t="shared" si="62"/>
        <v>2026/02站前4樓</v>
      </c>
      <c r="C1377" s="138">
        <v>69</v>
      </c>
      <c r="D1377" s="139" t="s">
        <v>236</v>
      </c>
      <c r="E1377" s="484" t="s">
        <v>248</v>
      </c>
      <c r="F1377" s="484"/>
      <c r="G1377" s="484" t="s">
        <v>249</v>
      </c>
      <c r="H1377" s="484"/>
      <c r="I1377" s="484"/>
      <c r="J1377" s="484"/>
      <c r="K1377" s="140" t="s">
        <v>725</v>
      </c>
      <c r="L1377" s="141">
        <v>7410</v>
      </c>
      <c r="M1377" s="123"/>
      <c r="N1377" s="410"/>
    </row>
    <row r="1378" spans="1:14" ht="17.25" customHeight="1" thickBot="1">
      <c r="A1378" s="126" t="str">
        <f t="shared" si="61"/>
        <v>2026/02</v>
      </c>
      <c r="B1378" s="127" t="str">
        <f t="shared" si="62"/>
        <v>2026/02站前4樓</v>
      </c>
      <c r="C1378" s="138">
        <v>70</v>
      </c>
      <c r="D1378" s="139" t="s">
        <v>236</v>
      </c>
      <c r="E1378" s="484" t="s">
        <v>250</v>
      </c>
      <c r="F1378" s="484"/>
      <c r="G1378" s="484" t="s">
        <v>251</v>
      </c>
      <c r="H1378" s="484"/>
      <c r="I1378" s="484"/>
      <c r="J1378" s="484"/>
      <c r="K1378" s="140" t="s">
        <v>725</v>
      </c>
      <c r="L1378" s="141">
        <v>7410</v>
      </c>
      <c r="M1378" s="123"/>
      <c r="N1378" s="410"/>
    </row>
    <row r="1379" spans="1:14" ht="17.25" customHeight="1" thickBot="1">
      <c r="A1379" s="126" t="str">
        <f t="shared" si="61"/>
        <v>2026/02</v>
      </c>
      <c r="B1379" s="127" t="str">
        <f t="shared" si="62"/>
        <v>2026/02站前11樓</v>
      </c>
      <c r="C1379" s="138">
        <v>71</v>
      </c>
      <c r="D1379" s="139" t="s">
        <v>374</v>
      </c>
      <c r="E1379" s="484" t="s">
        <v>392</v>
      </c>
      <c r="F1379" s="484"/>
      <c r="G1379" s="484" t="s">
        <v>393</v>
      </c>
      <c r="H1379" s="484"/>
      <c r="I1379" s="484"/>
      <c r="J1379" s="484"/>
      <c r="K1379" s="140" t="s">
        <v>382</v>
      </c>
      <c r="L1379" s="141">
        <v>526</v>
      </c>
      <c r="M1379" s="123"/>
    </row>
    <row r="1380" spans="1:14" ht="17.25" customHeight="1" thickBot="1">
      <c r="A1380" s="126" t="str">
        <f t="shared" si="61"/>
        <v>2026/02</v>
      </c>
      <c r="B1380" s="127" t="str">
        <f t="shared" si="62"/>
        <v>2026/02站前11樓</v>
      </c>
      <c r="C1380" s="138">
        <v>72</v>
      </c>
      <c r="D1380" s="139" t="s">
        <v>374</v>
      </c>
      <c r="E1380" s="484" t="s">
        <v>380</v>
      </c>
      <c r="F1380" s="484"/>
      <c r="G1380" s="484" t="s">
        <v>381</v>
      </c>
      <c r="H1380" s="484"/>
      <c r="I1380" s="484"/>
      <c r="J1380" s="484"/>
      <c r="K1380" s="140" t="s">
        <v>382</v>
      </c>
      <c r="L1380" s="141">
        <v>672.5</v>
      </c>
      <c r="M1380" s="123"/>
    </row>
    <row r="1381" spans="1:14" ht="17.25" customHeight="1" thickBot="1">
      <c r="A1381" s="126" t="str">
        <f t="shared" si="61"/>
        <v>2026/02</v>
      </c>
      <c r="B1381" s="127" t="str">
        <f t="shared" si="62"/>
        <v>2026/02站前11樓</v>
      </c>
      <c r="C1381" s="138">
        <v>73</v>
      </c>
      <c r="D1381" s="139" t="s">
        <v>374</v>
      </c>
      <c r="E1381" s="484" t="s">
        <v>413</v>
      </c>
      <c r="F1381" s="484"/>
      <c r="G1381" s="484" t="s">
        <v>674</v>
      </c>
      <c r="H1381" s="484"/>
      <c r="I1381" s="484"/>
      <c r="J1381" s="484"/>
      <c r="K1381" s="140" t="s">
        <v>410</v>
      </c>
      <c r="L1381" s="141">
        <v>4</v>
      </c>
      <c r="M1381" s="123"/>
    </row>
    <row r="1382" spans="1:14" ht="17.25" customHeight="1" thickBot="1">
      <c r="A1382" s="126" t="str">
        <f t="shared" si="61"/>
        <v>2026/02</v>
      </c>
      <c r="B1382" s="127" t="str">
        <f t="shared" si="62"/>
        <v>2026/02站前11樓</v>
      </c>
      <c r="C1382" s="138">
        <v>74</v>
      </c>
      <c r="D1382" s="139" t="s">
        <v>374</v>
      </c>
      <c r="E1382" s="484" t="s">
        <v>360</v>
      </c>
      <c r="F1382" s="484"/>
      <c r="G1382" s="484" t="s">
        <v>361</v>
      </c>
      <c r="H1382" s="484"/>
      <c r="I1382" s="484"/>
      <c r="J1382" s="484"/>
      <c r="K1382" s="140" t="s">
        <v>362</v>
      </c>
      <c r="L1382" s="141">
        <v>24</v>
      </c>
      <c r="M1382" s="123"/>
    </row>
    <row r="1383" spans="1:14" ht="17.25" customHeight="1" thickBot="1">
      <c r="A1383" s="126" t="str">
        <f t="shared" si="61"/>
        <v>2026/02</v>
      </c>
      <c r="B1383" s="127" t="str">
        <f t="shared" si="62"/>
        <v>2026/02站前11樓</v>
      </c>
      <c r="C1383" s="138">
        <v>75</v>
      </c>
      <c r="D1383" s="139" t="s">
        <v>374</v>
      </c>
      <c r="E1383" s="484" t="s">
        <v>383</v>
      </c>
      <c r="F1383" s="484"/>
      <c r="G1383" s="484" t="s">
        <v>384</v>
      </c>
      <c r="H1383" s="484"/>
      <c r="I1383" s="484"/>
      <c r="J1383" s="484"/>
      <c r="K1383" s="140" t="s">
        <v>385</v>
      </c>
      <c r="L1383" s="141">
        <v>309</v>
      </c>
      <c r="M1383" s="123"/>
    </row>
    <row r="1384" spans="1:14" ht="17.25" customHeight="1" thickBot="1">
      <c r="A1384" s="126" t="str">
        <f t="shared" si="61"/>
        <v>2026/02</v>
      </c>
      <c r="B1384" s="127" t="str">
        <f t="shared" si="62"/>
        <v>2026/02站前11樓</v>
      </c>
      <c r="C1384" s="138">
        <v>76</v>
      </c>
      <c r="D1384" s="139" t="s">
        <v>374</v>
      </c>
      <c r="E1384" s="484" t="s">
        <v>394</v>
      </c>
      <c r="F1384" s="484"/>
      <c r="G1384" s="484" t="s">
        <v>395</v>
      </c>
      <c r="H1384" s="484"/>
      <c r="I1384" s="484"/>
      <c r="J1384" s="484"/>
      <c r="K1384" s="140" t="s">
        <v>272</v>
      </c>
      <c r="L1384" s="141">
        <v>11</v>
      </c>
      <c r="M1384" s="123"/>
    </row>
    <row r="1385" spans="1:14" ht="17.25" customHeight="1" thickBot="1">
      <c r="A1385" s="126" t="str">
        <f t="shared" si="61"/>
        <v>2026/02</v>
      </c>
      <c r="B1385" s="127" t="str">
        <f t="shared" si="62"/>
        <v>2026/02站前11樓</v>
      </c>
      <c r="C1385" s="138">
        <v>77</v>
      </c>
      <c r="D1385" s="139" t="s">
        <v>374</v>
      </c>
      <c r="E1385" s="484" t="s">
        <v>396</v>
      </c>
      <c r="F1385" s="484"/>
      <c r="G1385" s="484" t="s">
        <v>397</v>
      </c>
      <c r="H1385" s="484"/>
      <c r="I1385" s="484"/>
      <c r="J1385" s="484"/>
      <c r="K1385" s="140" t="s">
        <v>398</v>
      </c>
      <c r="L1385" s="141">
        <v>1</v>
      </c>
      <c r="M1385" s="123"/>
    </row>
    <row r="1386" spans="1:14" ht="17.25" customHeight="1" thickBot="1">
      <c r="A1386" s="126" t="str">
        <f t="shared" si="61"/>
        <v>2026/02</v>
      </c>
      <c r="B1386" s="127" t="str">
        <f t="shared" si="62"/>
        <v>2026/02站前11樓</v>
      </c>
      <c r="C1386" s="138">
        <v>78</v>
      </c>
      <c r="D1386" s="139" t="s">
        <v>374</v>
      </c>
      <c r="E1386" s="484" t="s">
        <v>403</v>
      </c>
      <c r="F1386" s="484"/>
      <c r="G1386" s="484" t="s">
        <v>404</v>
      </c>
      <c r="H1386" s="484"/>
      <c r="I1386" s="484"/>
      <c r="J1386" s="484"/>
      <c r="K1386" s="140" t="s">
        <v>385</v>
      </c>
      <c r="L1386" s="141">
        <v>10</v>
      </c>
      <c r="M1386" s="123"/>
    </row>
    <row r="1387" spans="1:14" ht="17.25" customHeight="1" thickBot="1">
      <c r="A1387" s="126" t="str">
        <f t="shared" si="61"/>
        <v>2026/02</v>
      </c>
      <c r="B1387" s="127" t="str">
        <f t="shared" si="62"/>
        <v>2026/02站前11樓</v>
      </c>
      <c r="C1387" s="138">
        <v>79</v>
      </c>
      <c r="D1387" s="139" t="s">
        <v>374</v>
      </c>
      <c r="E1387" s="484" t="s">
        <v>406</v>
      </c>
      <c r="F1387" s="484"/>
      <c r="G1387" s="484" t="s">
        <v>407</v>
      </c>
      <c r="H1387" s="484"/>
      <c r="I1387" s="484"/>
      <c r="J1387" s="484"/>
      <c r="K1387" s="140" t="s">
        <v>385</v>
      </c>
      <c r="L1387" s="141">
        <v>10</v>
      </c>
      <c r="M1387" s="123"/>
    </row>
    <row r="1388" spans="1:14" ht="17.25" customHeight="1" thickBot="1">
      <c r="A1388" s="126" t="str">
        <f t="shared" si="61"/>
        <v>2026/02</v>
      </c>
      <c r="B1388" s="127" t="str">
        <f t="shared" si="62"/>
        <v>2026/02站前11樓</v>
      </c>
      <c r="C1388" s="138">
        <v>80</v>
      </c>
      <c r="D1388" s="139" t="s">
        <v>374</v>
      </c>
      <c r="E1388" s="484" t="s">
        <v>408</v>
      </c>
      <c r="F1388" s="484"/>
      <c r="G1388" s="484" t="s">
        <v>409</v>
      </c>
      <c r="H1388" s="484"/>
      <c r="I1388" s="484"/>
      <c r="J1388" s="484"/>
      <c r="K1388" s="140" t="s">
        <v>410</v>
      </c>
      <c r="L1388" s="141">
        <v>2</v>
      </c>
      <c r="M1388" s="123"/>
    </row>
    <row r="1389" spans="1:14" ht="17.25" customHeight="1" thickBot="1">
      <c r="A1389" s="126" t="str">
        <f t="shared" si="61"/>
        <v>2026/02</v>
      </c>
      <c r="B1389" s="127" t="str">
        <f t="shared" si="62"/>
        <v>2026/02站前11樓</v>
      </c>
      <c r="C1389" s="138">
        <v>81</v>
      </c>
      <c r="D1389" s="139" t="s">
        <v>374</v>
      </c>
      <c r="E1389" s="484" t="s">
        <v>255</v>
      </c>
      <c r="F1389" s="484"/>
      <c r="G1389" s="484" t="s">
        <v>256</v>
      </c>
      <c r="H1389" s="484"/>
      <c r="I1389" s="484"/>
      <c r="J1389" s="484"/>
      <c r="K1389" s="140" t="s">
        <v>720</v>
      </c>
      <c r="L1389" s="141">
        <v>301</v>
      </c>
      <c r="M1389" s="123"/>
    </row>
    <row r="1390" spans="1:14" ht="17.25" customHeight="1" thickBot="1">
      <c r="A1390" s="126" t="str">
        <f t="shared" si="61"/>
        <v>2026/02</v>
      </c>
      <c r="B1390" s="127" t="str">
        <f t="shared" si="62"/>
        <v>2026/02站前11樓</v>
      </c>
      <c r="C1390" s="138">
        <v>82</v>
      </c>
      <c r="D1390" s="139" t="s">
        <v>374</v>
      </c>
      <c r="E1390" s="484" t="s">
        <v>419</v>
      </c>
      <c r="F1390" s="484"/>
      <c r="G1390" s="484" t="s">
        <v>420</v>
      </c>
      <c r="H1390" s="484"/>
      <c r="I1390" s="484"/>
      <c r="J1390" s="484"/>
      <c r="K1390" s="140" t="s">
        <v>726</v>
      </c>
      <c r="L1390" s="141">
        <v>461</v>
      </c>
      <c r="M1390" s="123"/>
    </row>
    <row r="1391" spans="1:14" ht="17.25" customHeight="1" thickBot="1">
      <c r="A1391" s="126" t="str">
        <f t="shared" ref="A1391:A1451" si="63">IFERROR(LEFT(B1391,7),"")</f>
        <v>2026/02</v>
      </c>
      <c r="B1391" s="127" t="str">
        <f t="shared" ref="B1391:B1451" si="64">"2026/02"&amp;D1391</f>
        <v>2026/02站前11樓</v>
      </c>
      <c r="C1391" s="138">
        <v>83</v>
      </c>
      <c r="D1391" s="139" t="s">
        <v>374</v>
      </c>
      <c r="E1391" s="484" t="s">
        <v>258</v>
      </c>
      <c r="F1391" s="484"/>
      <c r="G1391" s="484" t="s">
        <v>259</v>
      </c>
      <c r="H1391" s="484"/>
      <c r="I1391" s="484"/>
      <c r="J1391" s="484"/>
      <c r="K1391" s="140"/>
      <c r="L1391" s="141">
        <v>21</v>
      </c>
      <c r="M1391" s="123"/>
    </row>
    <row r="1392" spans="1:14" ht="17.25" customHeight="1" thickBot="1">
      <c r="A1392" s="126" t="str">
        <f t="shared" si="63"/>
        <v>2026/02</v>
      </c>
      <c r="B1392" s="127" t="str">
        <f t="shared" si="64"/>
        <v>2026/02站前11樓</v>
      </c>
      <c r="C1392" s="138">
        <v>84</v>
      </c>
      <c r="D1392" s="139" t="s">
        <v>374</v>
      </c>
      <c r="E1392" s="484" t="s">
        <v>260</v>
      </c>
      <c r="F1392" s="484"/>
      <c r="G1392" s="484" t="s">
        <v>261</v>
      </c>
      <c r="H1392" s="484"/>
      <c r="I1392" s="484"/>
      <c r="J1392" s="484"/>
      <c r="K1392" s="140" t="s">
        <v>254</v>
      </c>
      <c r="L1392" s="141">
        <v>21</v>
      </c>
      <c r="M1392" s="123"/>
    </row>
    <row r="1393" spans="1:14" ht="17.25" customHeight="1" thickBot="1">
      <c r="A1393" s="126" t="str">
        <f t="shared" si="63"/>
        <v>2026/02</v>
      </c>
      <c r="B1393" s="127" t="str">
        <f t="shared" si="64"/>
        <v>2026/02站前11樓</v>
      </c>
      <c r="C1393" s="138">
        <v>85</v>
      </c>
      <c r="D1393" s="139" t="s">
        <v>374</v>
      </c>
      <c r="E1393" s="484" t="s">
        <v>252</v>
      </c>
      <c r="F1393" s="484"/>
      <c r="G1393" s="484" t="s">
        <v>253</v>
      </c>
      <c r="H1393" s="484"/>
      <c r="I1393" s="484"/>
      <c r="J1393" s="484"/>
      <c r="K1393" s="140" t="s">
        <v>254</v>
      </c>
      <c r="L1393" s="141">
        <v>22</v>
      </c>
      <c r="M1393" s="123"/>
    </row>
    <row r="1394" spans="1:14" ht="17.25" customHeight="1" thickBot="1">
      <c r="A1394" s="126" t="str">
        <f t="shared" si="63"/>
        <v>2026/02</v>
      </c>
      <c r="B1394" s="127" t="str">
        <f t="shared" si="64"/>
        <v>2026/02站前11樓</v>
      </c>
      <c r="C1394" s="138">
        <v>86</v>
      </c>
      <c r="D1394" s="139" t="s">
        <v>374</v>
      </c>
      <c r="E1394" s="484" t="s">
        <v>690</v>
      </c>
      <c r="F1394" s="484"/>
      <c r="G1394" s="484" t="s">
        <v>691</v>
      </c>
      <c r="H1394" s="484"/>
      <c r="I1394" s="484"/>
      <c r="J1394" s="484"/>
      <c r="K1394" s="140" t="s">
        <v>692</v>
      </c>
      <c r="L1394" s="141">
        <v>9</v>
      </c>
      <c r="M1394" s="123"/>
    </row>
    <row r="1395" spans="1:14" ht="17.25" customHeight="1" thickBot="1">
      <c r="A1395" s="126" t="str">
        <f t="shared" si="63"/>
        <v>2026/02</v>
      </c>
      <c r="B1395" s="127" t="str">
        <f t="shared" si="64"/>
        <v>2026/02站前11樓</v>
      </c>
      <c r="C1395" s="138">
        <v>87</v>
      </c>
      <c r="D1395" s="139" t="s">
        <v>374</v>
      </c>
      <c r="E1395" s="484" t="s">
        <v>389</v>
      </c>
      <c r="F1395" s="484"/>
      <c r="G1395" s="484" t="s">
        <v>390</v>
      </c>
      <c r="H1395" s="484"/>
      <c r="I1395" s="484"/>
      <c r="J1395" s="484"/>
      <c r="K1395" s="140" t="s">
        <v>391</v>
      </c>
      <c r="L1395" s="141">
        <v>19</v>
      </c>
      <c r="M1395" s="123"/>
    </row>
    <row r="1396" spans="1:14" ht="17.25" customHeight="1" thickBot="1">
      <c r="A1396" s="126" t="str">
        <f t="shared" si="63"/>
        <v>2026/02</v>
      </c>
      <c r="B1396" s="127" t="str">
        <f t="shared" si="64"/>
        <v>2026/02站前11樓</v>
      </c>
      <c r="C1396" s="138">
        <v>88</v>
      </c>
      <c r="D1396" s="139" t="s">
        <v>374</v>
      </c>
      <c r="E1396" s="484" t="s">
        <v>386</v>
      </c>
      <c r="F1396" s="484"/>
      <c r="G1396" s="484" t="s">
        <v>387</v>
      </c>
      <c r="H1396" s="484"/>
      <c r="I1396" s="484"/>
      <c r="J1396" s="484"/>
      <c r="K1396" s="140" t="s">
        <v>388</v>
      </c>
      <c r="L1396" s="141">
        <v>1583</v>
      </c>
      <c r="M1396" s="123"/>
    </row>
    <row r="1397" spans="1:14" ht="17.25" customHeight="1" thickBot="1">
      <c r="A1397" s="126" t="str">
        <f t="shared" si="63"/>
        <v>2026/02</v>
      </c>
      <c r="B1397" s="127" t="str">
        <f t="shared" si="64"/>
        <v>2026/02站前11樓</v>
      </c>
      <c r="C1397" s="138">
        <v>89</v>
      </c>
      <c r="D1397" s="139" t="s">
        <v>374</v>
      </c>
      <c r="E1397" s="484" t="s">
        <v>401</v>
      </c>
      <c r="F1397" s="484"/>
      <c r="G1397" s="484" t="s">
        <v>402</v>
      </c>
      <c r="H1397" s="484"/>
      <c r="I1397" s="484"/>
      <c r="J1397" s="484"/>
      <c r="K1397" s="140" t="s">
        <v>145</v>
      </c>
      <c r="L1397" s="141">
        <v>2</v>
      </c>
      <c r="M1397" s="123"/>
    </row>
    <row r="1398" spans="1:14" ht="17.25" customHeight="1" thickBot="1">
      <c r="A1398" s="126" t="str">
        <f t="shared" si="63"/>
        <v>2026/02</v>
      </c>
      <c r="B1398" s="127" t="str">
        <f t="shared" si="64"/>
        <v>2026/02站前11樓</v>
      </c>
      <c r="C1398" s="138">
        <v>90</v>
      </c>
      <c r="D1398" s="139" t="s">
        <v>374</v>
      </c>
      <c r="E1398" s="484" t="s">
        <v>417</v>
      </c>
      <c r="F1398" s="484"/>
      <c r="G1398" s="484" t="s">
        <v>418</v>
      </c>
      <c r="H1398" s="484"/>
      <c r="I1398" s="484"/>
      <c r="J1398" s="484"/>
      <c r="K1398" s="140" t="s">
        <v>145</v>
      </c>
      <c r="L1398" s="141">
        <v>1</v>
      </c>
      <c r="M1398" s="123"/>
    </row>
    <row r="1399" spans="1:14" ht="17.25" customHeight="1" thickBot="1">
      <c r="A1399" s="126" t="str">
        <f t="shared" si="63"/>
        <v>2026/02</v>
      </c>
      <c r="B1399" s="127" t="str">
        <f t="shared" si="64"/>
        <v>2026/02站前11樓</v>
      </c>
      <c r="C1399" s="138">
        <v>91</v>
      </c>
      <c r="D1399" s="139" t="s">
        <v>374</v>
      </c>
      <c r="E1399" s="484" t="s">
        <v>399</v>
      </c>
      <c r="F1399" s="484"/>
      <c r="G1399" s="484" t="s">
        <v>400</v>
      </c>
      <c r="H1399" s="484"/>
      <c r="I1399" s="484"/>
      <c r="J1399" s="484"/>
      <c r="K1399" s="140" t="s">
        <v>433</v>
      </c>
      <c r="L1399" s="141">
        <v>2</v>
      </c>
      <c r="M1399" s="123"/>
    </row>
    <row r="1400" spans="1:14" ht="17.25" customHeight="1" thickBot="1">
      <c r="A1400" s="126" t="str">
        <f t="shared" si="63"/>
        <v>2026/02</v>
      </c>
      <c r="B1400" s="127" t="str">
        <f t="shared" si="64"/>
        <v>2026/02站前11樓</v>
      </c>
      <c r="C1400" s="138">
        <v>92</v>
      </c>
      <c r="D1400" s="139" t="s">
        <v>374</v>
      </c>
      <c r="E1400" s="484" t="s">
        <v>431</v>
      </c>
      <c r="F1400" s="484"/>
      <c r="G1400" s="484" t="s">
        <v>432</v>
      </c>
      <c r="H1400" s="484"/>
      <c r="I1400" s="484"/>
      <c r="J1400" s="484"/>
      <c r="K1400" s="140" t="s">
        <v>746</v>
      </c>
      <c r="L1400" s="141">
        <v>1</v>
      </c>
      <c r="M1400" s="123"/>
    </row>
    <row r="1401" spans="1:14" ht="17.25" customHeight="1" thickBot="1">
      <c r="A1401" s="126" t="str">
        <f t="shared" si="63"/>
        <v>2026/02</v>
      </c>
      <c r="B1401" s="127" t="str">
        <f t="shared" si="64"/>
        <v>2026/02站前11樓</v>
      </c>
      <c r="C1401" s="138">
        <v>93</v>
      </c>
      <c r="D1401" s="139" t="s">
        <v>374</v>
      </c>
      <c r="E1401" s="484" t="s">
        <v>693</v>
      </c>
      <c r="F1401" s="484"/>
      <c r="G1401" s="484" t="s">
        <v>694</v>
      </c>
      <c r="H1401" s="484"/>
      <c r="I1401" s="484"/>
      <c r="J1401" s="484"/>
      <c r="K1401" s="140" t="s">
        <v>747</v>
      </c>
      <c r="L1401" s="141">
        <v>956.68000000000006</v>
      </c>
      <c r="M1401" s="123"/>
    </row>
    <row r="1402" spans="1:14" ht="17.25" customHeight="1" thickBot="1">
      <c r="A1402" s="126" t="str">
        <f t="shared" si="63"/>
        <v>2026/02</v>
      </c>
      <c r="B1402" s="127" t="str">
        <f t="shared" si="64"/>
        <v>2026/02忠孝7樓</v>
      </c>
      <c r="C1402" s="138">
        <v>94</v>
      </c>
      <c r="D1402" s="139" t="s">
        <v>424</v>
      </c>
      <c r="E1402" s="484" t="s">
        <v>413</v>
      </c>
      <c r="F1402" s="484"/>
      <c r="G1402" s="484" t="s">
        <v>674</v>
      </c>
      <c r="H1402" s="484"/>
      <c r="I1402" s="484"/>
      <c r="J1402" s="484"/>
      <c r="K1402" s="140" t="s">
        <v>410</v>
      </c>
      <c r="L1402" s="141">
        <v>2</v>
      </c>
      <c r="M1402" s="123"/>
      <c r="N1402" s="410"/>
    </row>
    <row r="1403" spans="1:14" ht="17.25" customHeight="1" thickBot="1">
      <c r="A1403" s="126" t="str">
        <f t="shared" si="63"/>
        <v>2026/02</v>
      </c>
      <c r="B1403" s="127" t="str">
        <f t="shared" si="64"/>
        <v>2026/02忠孝7樓</v>
      </c>
      <c r="C1403" s="138">
        <v>95</v>
      </c>
      <c r="D1403" s="139" t="s">
        <v>424</v>
      </c>
      <c r="E1403" s="484" t="s">
        <v>360</v>
      </c>
      <c r="F1403" s="484"/>
      <c r="G1403" s="484" t="s">
        <v>361</v>
      </c>
      <c r="H1403" s="484"/>
      <c r="I1403" s="484"/>
      <c r="J1403" s="484"/>
      <c r="K1403" s="140" t="s">
        <v>362</v>
      </c>
      <c r="L1403" s="141">
        <v>32</v>
      </c>
      <c r="M1403" s="123"/>
      <c r="N1403" s="410"/>
    </row>
    <row r="1404" spans="1:14" ht="17.25" customHeight="1" thickBot="1">
      <c r="A1404" s="126" t="str">
        <f t="shared" si="63"/>
        <v>2026/02</v>
      </c>
      <c r="B1404" s="127" t="str">
        <f t="shared" si="64"/>
        <v>2026/02忠孝7樓</v>
      </c>
      <c r="C1404" s="138">
        <v>96</v>
      </c>
      <c r="D1404" s="139" t="s">
        <v>424</v>
      </c>
      <c r="E1404" s="484" t="s">
        <v>383</v>
      </c>
      <c r="F1404" s="484"/>
      <c r="G1404" s="484" t="s">
        <v>384</v>
      </c>
      <c r="H1404" s="484"/>
      <c r="I1404" s="484"/>
      <c r="J1404" s="484"/>
      <c r="K1404" s="140" t="s">
        <v>385</v>
      </c>
      <c r="L1404" s="141">
        <v>34</v>
      </c>
      <c r="M1404" s="123"/>
      <c r="N1404" s="410"/>
    </row>
    <row r="1405" spans="1:14" ht="17.25" customHeight="1" thickBot="1">
      <c r="A1405" s="126" t="str">
        <f t="shared" si="63"/>
        <v>2026/02</v>
      </c>
      <c r="B1405" s="127" t="str">
        <f t="shared" si="64"/>
        <v>2026/02忠孝7樓</v>
      </c>
      <c r="C1405" s="138">
        <v>97</v>
      </c>
      <c r="D1405" s="139" t="s">
        <v>424</v>
      </c>
      <c r="E1405" s="484" t="s">
        <v>255</v>
      </c>
      <c r="F1405" s="484"/>
      <c r="G1405" s="484" t="s">
        <v>256</v>
      </c>
      <c r="H1405" s="484"/>
      <c r="I1405" s="484"/>
      <c r="J1405" s="484"/>
      <c r="K1405" s="140" t="s">
        <v>720</v>
      </c>
      <c r="L1405" s="141">
        <v>134</v>
      </c>
      <c r="M1405" s="123"/>
      <c r="N1405" s="410"/>
    </row>
    <row r="1406" spans="1:14" ht="17.25" customHeight="1" thickBot="1">
      <c r="A1406" s="126" t="str">
        <f t="shared" si="63"/>
        <v>2026/02</v>
      </c>
      <c r="B1406" s="127" t="str">
        <f t="shared" si="64"/>
        <v>2026/02忠孝7樓</v>
      </c>
      <c r="C1406" s="138">
        <v>98</v>
      </c>
      <c r="D1406" s="139" t="s">
        <v>424</v>
      </c>
      <c r="E1406" s="484" t="s">
        <v>258</v>
      </c>
      <c r="F1406" s="484"/>
      <c r="G1406" s="484" t="s">
        <v>259</v>
      </c>
      <c r="H1406" s="484"/>
      <c r="I1406" s="484"/>
      <c r="J1406" s="484"/>
      <c r="K1406" s="140"/>
      <c r="L1406" s="141">
        <v>165</v>
      </c>
      <c r="M1406" s="123"/>
      <c r="N1406" s="410"/>
    </row>
    <row r="1407" spans="1:14" ht="17.25" customHeight="1" thickBot="1">
      <c r="A1407" s="126" t="str">
        <f t="shared" si="63"/>
        <v>2026/02</v>
      </c>
      <c r="B1407" s="127" t="str">
        <f t="shared" si="64"/>
        <v>2026/02忠孝7樓</v>
      </c>
      <c r="C1407" s="138">
        <v>99</v>
      </c>
      <c r="D1407" s="139" t="s">
        <v>424</v>
      </c>
      <c r="E1407" s="484" t="s">
        <v>260</v>
      </c>
      <c r="F1407" s="484"/>
      <c r="G1407" s="484" t="s">
        <v>261</v>
      </c>
      <c r="H1407" s="484"/>
      <c r="I1407" s="484"/>
      <c r="J1407" s="484"/>
      <c r="K1407" s="140" t="s">
        <v>254</v>
      </c>
      <c r="L1407" s="141">
        <v>164</v>
      </c>
      <c r="M1407" s="123"/>
      <c r="N1407" s="410"/>
    </row>
    <row r="1408" spans="1:14" ht="17.25" customHeight="1" thickBot="1">
      <c r="A1408" s="126" t="str">
        <f t="shared" si="63"/>
        <v>2026/02</v>
      </c>
      <c r="B1408" s="127" t="str">
        <f t="shared" si="64"/>
        <v>2026/02忠孝7樓</v>
      </c>
      <c r="C1408" s="138">
        <v>100</v>
      </c>
      <c r="D1408" s="139" t="s">
        <v>424</v>
      </c>
      <c r="E1408" s="484" t="s">
        <v>415</v>
      </c>
      <c r="F1408" s="484"/>
      <c r="G1408" s="484" t="s">
        <v>416</v>
      </c>
      <c r="H1408" s="484"/>
      <c r="I1408" s="484"/>
      <c r="J1408" s="484"/>
      <c r="K1408" s="140" t="s">
        <v>254</v>
      </c>
      <c r="L1408" s="141">
        <v>1</v>
      </c>
      <c r="M1408" s="123"/>
      <c r="N1408" s="410"/>
    </row>
    <row r="1409" spans="1:14" ht="17.25" customHeight="1" thickBot="1">
      <c r="A1409" s="126" t="str">
        <f t="shared" si="63"/>
        <v>2026/02</v>
      </c>
      <c r="B1409" s="127" t="str">
        <f t="shared" si="64"/>
        <v>2026/02忠孝7樓</v>
      </c>
      <c r="C1409" s="138">
        <v>101</v>
      </c>
      <c r="D1409" s="139" t="s">
        <v>424</v>
      </c>
      <c r="E1409" s="484" t="s">
        <v>262</v>
      </c>
      <c r="F1409" s="484"/>
      <c r="G1409" s="484" t="s">
        <v>263</v>
      </c>
      <c r="H1409" s="484"/>
      <c r="I1409" s="484"/>
      <c r="J1409" s="484"/>
      <c r="K1409" s="140" t="s">
        <v>254</v>
      </c>
      <c r="L1409" s="141">
        <v>124</v>
      </c>
      <c r="M1409" s="123"/>
      <c r="N1409" s="410"/>
    </row>
    <row r="1410" spans="1:14" ht="17.25" customHeight="1" thickBot="1">
      <c r="A1410" s="126" t="str">
        <f t="shared" si="63"/>
        <v>2026/02</v>
      </c>
      <c r="B1410" s="127" t="str">
        <f t="shared" si="64"/>
        <v>2026/02忠孝7樓</v>
      </c>
      <c r="C1410" s="138">
        <v>102</v>
      </c>
      <c r="D1410" s="139" t="s">
        <v>424</v>
      </c>
      <c r="E1410" s="484" t="s">
        <v>270</v>
      </c>
      <c r="F1410" s="484"/>
      <c r="G1410" s="484" t="s">
        <v>271</v>
      </c>
      <c r="H1410" s="484"/>
      <c r="I1410" s="484"/>
      <c r="J1410" s="484"/>
      <c r="K1410" s="140" t="s">
        <v>272</v>
      </c>
      <c r="L1410" s="141">
        <v>294</v>
      </c>
      <c r="M1410" s="123"/>
      <c r="N1410" s="410"/>
    </row>
    <row r="1411" spans="1:14" ht="17.25" customHeight="1" thickBot="1">
      <c r="A1411" s="126" t="str">
        <f t="shared" si="63"/>
        <v>2026/02</v>
      </c>
      <c r="B1411" s="127" t="str">
        <f t="shared" si="64"/>
        <v>2026/02忠孝7樓</v>
      </c>
      <c r="C1411" s="138">
        <v>103</v>
      </c>
      <c r="D1411" s="139" t="s">
        <v>424</v>
      </c>
      <c r="E1411" s="484" t="s">
        <v>252</v>
      </c>
      <c r="F1411" s="484"/>
      <c r="G1411" s="484" t="s">
        <v>253</v>
      </c>
      <c r="H1411" s="484"/>
      <c r="I1411" s="484"/>
      <c r="J1411" s="484"/>
      <c r="K1411" s="140" t="s">
        <v>254</v>
      </c>
      <c r="L1411" s="141">
        <v>220</v>
      </c>
      <c r="M1411" s="123"/>
      <c r="N1411" s="410"/>
    </row>
    <row r="1412" spans="1:14" ht="17.25" customHeight="1" thickBot="1">
      <c r="A1412" s="126" t="str">
        <f t="shared" si="63"/>
        <v>2026/02</v>
      </c>
      <c r="B1412" s="127" t="str">
        <f t="shared" si="64"/>
        <v>2026/02忠孝7樓</v>
      </c>
      <c r="C1412" s="138">
        <v>104</v>
      </c>
      <c r="D1412" s="139" t="s">
        <v>424</v>
      </c>
      <c r="E1412" s="484" t="s">
        <v>695</v>
      </c>
      <c r="F1412" s="484"/>
      <c r="G1412" s="484" t="s">
        <v>696</v>
      </c>
      <c r="H1412" s="484"/>
      <c r="I1412" s="484"/>
      <c r="J1412" s="484"/>
      <c r="K1412" s="140" t="s">
        <v>254</v>
      </c>
      <c r="L1412" s="141">
        <v>1</v>
      </c>
      <c r="M1412" s="123"/>
      <c r="N1412" s="410"/>
    </row>
    <row r="1413" spans="1:14" ht="17.25" customHeight="1" thickBot="1">
      <c r="A1413" s="126" t="str">
        <f t="shared" si="63"/>
        <v>2026/02</v>
      </c>
      <c r="B1413" s="127" t="str">
        <f t="shared" si="64"/>
        <v>2026/02忠孝7樓</v>
      </c>
      <c r="C1413" s="138">
        <v>105</v>
      </c>
      <c r="D1413" s="139" t="s">
        <v>424</v>
      </c>
      <c r="E1413" s="484" t="s">
        <v>690</v>
      </c>
      <c r="F1413" s="484"/>
      <c r="G1413" s="484" t="s">
        <v>691</v>
      </c>
      <c r="H1413" s="484"/>
      <c r="I1413" s="484"/>
      <c r="J1413" s="484"/>
      <c r="K1413" s="140" t="s">
        <v>692</v>
      </c>
      <c r="L1413" s="141">
        <v>30</v>
      </c>
      <c r="M1413" s="123"/>
      <c r="N1413" s="410"/>
    </row>
    <row r="1414" spans="1:14" ht="17.25" customHeight="1" thickBot="1">
      <c r="A1414" s="126" t="str">
        <f t="shared" si="63"/>
        <v>2026/02</v>
      </c>
      <c r="B1414" s="127" t="str">
        <f t="shared" si="64"/>
        <v>2026/02忠孝7樓</v>
      </c>
      <c r="C1414" s="138">
        <v>106</v>
      </c>
      <c r="D1414" s="139" t="s">
        <v>424</v>
      </c>
      <c r="E1414" s="484" t="s">
        <v>305</v>
      </c>
      <c r="F1414" s="484"/>
      <c r="G1414" s="484" t="s">
        <v>675</v>
      </c>
      <c r="H1414" s="484"/>
      <c r="I1414" s="484"/>
      <c r="J1414" s="484"/>
      <c r="K1414" s="140" t="s">
        <v>676</v>
      </c>
      <c r="L1414" s="141">
        <v>4251</v>
      </c>
      <c r="M1414" s="123"/>
      <c r="N1414" s="410"/>
    </row>
    <row r="1415" spans="1:14" ht="17.25" customHeight="1" thickBot="1">
      <c r="A1415" s="126" t="str">
        <f t="shared" si="63"/>
        <v>2026/02</v>
      </c>
      <c r="B1415" s="127" t="str">
        <f t="shared" si="64"/>
        <v>2026/02忠孝7樓</v>
      </c>
      <c r="C1415" s="138">
        <v>107</v>
      </c>
      <c r="D1415" s="139" t="s">
        <v>424</v>
      </c>
      <c r="E1415" s="484" t="s">
        <v>264</v>
      </c>
      <c r="F1415" s="484"/>
      <c r="G1415" s="484" t="s">
        <v>677</v>
      </c>
      <c r="H1415" s="484"/>
      <c r="I1415" s="484"/>
      <c r="J1415" s="484"/>
      <c r="K1415" s="140" t="s">
        <v>678</v>
      </c>
      <c r="L1415" s="141">
        <v>7889</v>
      </c>
      <c r="M1415" s="123"/>
      <c r="N1415" s="410"/>
    </row>
    <row r="1416" spans="1:14" ht="17.25" customHeight="1" thickBot="1">
      <c r="A1416" s="126" t="str">
        <f t="shared" si="63"/>
        <v>2026/02</v>
      </c>
      <c r="B1416" s="127" t="str">
        <f t="shared" si="64"/>
        <v>2026/02忠孝7樓</v>
      </c>
      <c r="C1416" s="138">
        <v>108</v>
      </c>
      <c r="D1416" s="139" t="s">
        <v>424</v>
      </c>
      <c r="E1416" s="484" t="s">
        <v>307</v>
      </c>
      <c r="F1416" s="484"/>
      <c r="G1416" s="484" t="s">
        <v>679</v>
      </c>
      <c r="H1416" s="484"/>
      <c r="I1416" s="484"/>
      <c r="J1416" s="484"/>
      <c r="K1416" s="140" t="s">
        <v>678</v>
      </c>
      <c r="L1416" s="141">
        <v>1342</v>
      </c>
      <c r="M1416" s="123"/>
      <c r="N1416" s="410"/>
    </row>
    <row r="1417" spans="1:14" ht="17.25" customHeight="1" thickBot="1">
      <c r="A1417" s="126" t="str">
        <f t="shared" si="63"/>
        <v>2026/02</v>
      </c>
      <c r="B1417" s="127" t="str">
        <f t="shared" si="64"/>
        <v>2026/02忠孝7樓</v>
      </c>
      <c r="C1417" s="138">
        <v>109</v>
      </c>
      <c r="D1417" s="139" t="s">
        <v>424</v>
      </c>
      <c r="E1417" s="484" t="s">
        <v>313</v>
      </c>
      <c r="F1417" s="484"/>
      <c r="G1417" s="484" t="s">
        <v>314</v>
      </c>
      <c r="H1417" s="484"/>
      <c r="I1417" s="484"/>
      <c r="J1417" s="484"/>
      <c r="K1417" s="140" t="s">
        <v>301</v>
      </c>
      <c r="L1417" s="141">
        <v>96</v>
      </c>
      <c r="M1417" s="123"/>
      <c r="N1417" s="410"/>
    </row>
    <row r="1418" spans="1:14" ht="17.25" customHeight="1" thickBot="1">
      <c r="A1418" s="126" t="str">
        <f t="shared" si="63"/>
        <v>2026/02</v>
      </c>
      <c r="B1418" s="127" t="str">
        <f t="shared" si="64"/>
        <v>2026/02忠孝7樓</v>
      </c>
      <c r="C1418" s="138">
        <v>110</v>
      </c>
      <c r="D1418" s="139" t="s">
        <v>424</v>
      </c>
      <c r="E1418" s="484" t="s">
        <v>343</v>
      </c>
      <c r="F1418" s="484"/>
      <c r="G1418" s="484" t="s">
        <v>344</v>
      </c>
      <c r="H1418" s="484"/>
      <c r="I1418" s="484"/>
      <c r="J1418" s="484"/>
      <c r="K1418" s="140" t="s">
        <v>301</v>
      </c>
      <c r="L1418" s="141">
        <v>20</v>
      </c>
      <c r="M1418" s="123"/>
      <c r="N1418" s="410"/>
    </row>
    <row r="1419" spans="1:14" ht="17.25" customHeight="1" thickBot="1">
      <c r="A1419" s="126" t="str">
        <f t="shared" si="63"/>
        <v>2026/02</v>
      </c>
      <c r="B1419" s="127" t="str">
        <f t="shared" si="64"/>
        <v>2026/02忠孝7樓</v>
      </c>
      <c r="C1419" s="138">
        <v>111</v>
      </c>
      <c r="D1419" s="139" t="s">
        <v>424</v>
      </c>
      <c r="E1419" s="484" t="s">
        <v>427</v>
      </c>
      <c r="F1419" s="484"/>
      <c r="G1419" s="484" t="s">
        <v>428</v>
      </c>
      <c r="H1419" s="484"/>
      <c r="I1419" s="484"/>
      <c r="J1419" s="484"/>
      <c r="K1419" s="140" t="s">
        <v>301</v>
      </c>
      <c r="L1419" s="141">
        <v>4</v>
      </c>
      <c r="M1419" s="123"/>
      <c r="N1419" s="410"/>
    </row>
    <row r="1420" spans="1:14" ht="17.25" customHeight="1" thickBot="1">
      <c r="A1420" s="126" t="str">
        <f t="shared" si="63"/>
        <v>2026/02</v>
      </c>
      <c r="B1420" s="127" t="str">
        <f t="shared" si="64"/>
        <v>2026/02忠孝7樓</v>
      </c>
      <c r="C1420" s="138">
        <v>112</v>
      </c>
      <c r="D1420" s="139" t="s">
        <v>424</v>
      </c>
      <c r="E1420" s="484" t="s">
        <v>349</v>
      </c>
      <c r="F1420" s="484"/>
      <c r="G1420" s="484" t="s">
        <v>350</v>
      </c>
      <c r="H1420" s="484"/>
      <c r="I1420" s="484"/>
      <c r="J1420" s="484"/>
      <c r="K1420" s="140" t="s">
        <v>301</v>
      </c>
      <c r="L1420" s="141">
        <v>19</v>
      </c>
      <c r="M1420" s="123"/>
      <c r="N1420" s="410"/>
    </row>
    <row r="1421" spans="1:14" ht="17.25" customHeight="1" thickBot="1">
      <c r="A1421" s="126" t="str">
        <f t="shared" si="63"/>
        <v>2026/02</v>
      </c>
      <c r="B1421" s="127" t="str">
        <f t="shared" si="64"/>
        <v>2026/02忠孝7樓</v>
      </c>
      <c r="C1421" s="138">
        <v>113</v>
      </c>
      <c r="D1421" s="139" t="s">
        <v>424</v>
      </c>
      <c r="E1421" s="484" t="s">
        <v>366</v>
      </c>
      <c r="F1421" s="484"/>
      <c r="G1421" s="484" t="s">
        <v>367</v>
      </c>
      <c r="H1421" s="484"/>
      <c r="I1421" s="484"/>
      <c r="J1421" s="484"/>
      <c r="K1421" s="140" t="s">
        <v>301</v>
      </c>
      <c r="L1421" s="141">
        <v>7</v>
      </c>
      <c r="M1421" s="123"/>
      <c r="N1421" s="410"/>
    </row>
    <row r="1422" spans="1:14" ht="17.25" customHeight="1" thickBot="1">
      <c r="A1422" s="126" t="str">
        <f t="shared" si="63"/>
        <v>2026/02</v>
      </c>
      <c r="B1422" s="127" t="str">
        <f t="shared" si="64"/>
        <v>2026/02忠孝7樓</v>
      </c>
      <c r="C1422" s="138">
        <v>114</v>
      </c>
      <c r="D1422" s="139" t="s">
        <v>424</v>
      </c>
      <c r="E1422" s="484" t="s">
        <v>282</v>
      </c>
      <c r="F1422" s="484"/>
      <c r="G1422" s="484" t="s">
        <v>283</v>
      </c>
      <c r="H1422" s="484"/>
      <c r="I1422" s="484"/>
      <c r="J1422" s="484"/>
      <c r="K1422" s="140" t="s">
        <v>284</v>
      </c>
      <c r="L1422" s="141">
        <v>81</v>
      </c>
      <c r="M1422" s="123"/>
      <c r="N1422" s="410"/>
    </row>
    <row r="1423" spans="1:14" ht="17.25" customHeight="1" thickBot="1">
      <c r="A1423" s="126" t="str">
        <f t="shared" si="63"/>
        <v>2026/02</v>
      </c>
      <c r="B1423" s="127" t="str">
        <f t="shared" si="64"/>
        <v>2026/02忠孝7樓</v>
      </c>
      <c r="C1423" s="138">
        <v>115</v>
      </c>
      <c r="D1423" s="139" t="s">
        <v>424</v>
      </c>
      <c r="E1423" s="484" t="s">
        <v>345</v>
      </c>
      <c r="F1423" s="484"/>
      <c r="G1423" s="484" t="s">
        <v>346</v>
      </c>
      <c r="H1423" s="484"/>
      <c r="I1423" s="484"/>
      <c r="J1423" s="484"/>
      <c r="K1423" s="140" t="s">
        <v>284</v>
      </c>
      <c r="L1423" s="141">
        <v>7</v>
      </c>
      <c r="M1423" s="123"/>
      <c r="N1423" s="410"/>
    </row>
    <row r="1424" spans="1:14" ht="17.25" customHeight="1" thickBot="1">
      <c r="A1424" s="126" t="str">
        <f t="shared" si="63"/>
        <v>2026/02</v>
      </c>
      <c r="B1424" s="127" t="str">
        <f t="shared" si="64"/>
        <v>2026/02忠孝7樓</v>
      </c>
      <c r="C1424" s="138">
        <v>116</v>
      </c>
      <c r="D1424" s="139" t="s">
        <v>424</v>
      </c>
      <c r="E1424" s="484" t="s">
        <v>311</v>
      </c>
      <c r="F1424" s="484"/>
      <c r="G1424" s="484" t="s">
        <v>312</v>
      </c>
      <c r="H1424" s="484"/>
      <c r="I1424" s="484"/>
      <c r="J1424" s="484"/>
      <c r="K1424" s="140" t="s">
        <v>284</v>
      </c>
      <c r="L1424" s="141">
        <v>17</v>
      </c>
      <c r="M1424" s="123"/>
      <c r="N1424" s="410"/>
    </row>
    <row r="1425" spans="1:14" ht="17.25" customHeight="1" thickBot="1">
      <c r="A1425" s="126" t="str">
        <f t="shared" si="63"/>
        <v>2026/02</v>
      </c>
      <c r="B1425" s="127" t="str">
        <f t="shared" si="64"/>
        <v>2026/02忠孝7樓</v>
      </c>
      <c r="C1425" s="138">
        <v>117</v>
      </c>
      <c r="D1425" s="139" t="s">
        <v>424</v>
      </c>
      <c r="E1425" s="484" t="s">
        <v>299</v>
      </c>
      <c r="F1425" s="484"/>
      <c r="G1425" s="484" t="s">
        <v>300</v>
      </c>
      <c r="H1425" s="484"/>
      <c r="I1425" s="484"/>
      <c r="J1425" s="484"/>
      <c r="K1425" s="140" t="s">
        <v>301</v>
      </c>
      <c r="L1425" s="141">
        <v>44</v>
      </c>
      <c r="M1425" s="123"/>
      <c r="N1425" s="410"/>
    </row>
    <row r="1426" spans="1:14" ht="17.25" customHeight="1" thickBot="1">
      <c r="A1426" s="126" t="str">
        <f t="shared" si="63"/>
        <v>2026/02</v>
      </c>
      <c r="B1426" s="127" t="str">
        <f t="shared" si="64"/>
        <v>2026/02忠孝7樓</v>
      </c>
      <c r="C1426" s="138">
        <v>118</v>
      </c>
      <c r="D1426" s="139" t="s">
        <v>424</v>
      </c>
      <c r="E1426" s="484" t="s">
        <v>347</v>
      </c>
      <c r="F1426" s="484"/>
      <c r="G1426" s="484" t="s">
        <v>348</v>
      </c>
      <c r="H1426" s="484"/>
      <c r="I1426" s="484"/>
      <c r="J1426" s="484"/>
      <c r="K1426" s="140" t="s">
        <v>301</v>
      </c>
      <c r="L1426" s="141">
        <v>27</v>
      </c>
      <c r="M1426" s="123"/>
      <c r="N1426" s="410"/>
    </row>
    <row r="1427" spans="1:14" ht="17.25" customHeight="1" thickBot="1">
      <c r="A1427" s="126" t="str">
        <f t="shared" si="63"/>
        <v>2026/02</v>
      </c>
      <c r="B1427" s="127" t="str">
        <f t="shared" si="64"/>
        <v>2026/02忠孝7樓</v>
      </c>
      <c r="C1427" s="138">
        <v>119</v>
      </c>
      <c r="D1427" s="139" t="s">
        <v>424</v>
      </c>
      <c r="E1427" s="484" t="s">
        <v>317</v>
      </c>
      <c r="F1427" s="484"/>
      <c r="G1427" s="484" t="s">
        <v>318</v>
      </c>
      <c r="H1427" s="484"/>
      <c r="I1427" s="484"/>
      <c r="J1427" s="484"/>
      <c r="K1427" s="140" t="s">
        <v>319</v>
      </c>
      <c r="L1427" s="141">
        <v>31</v>
      </c>
      <c r="M1427" s="123"/>
      <c r="N1427" s="410"/>
    </row>
    <row r="1428" spans="1:14" ht="17.25" customHeight="1" thickBot="1">
      <c r="A1428" s="126" t="str">
        <f t="shared" si="63"/>
        <v>2026/02</v>
      </c>
      <c r="B1428" s="127" t="str">
        <f t="shared" si="64"/>
        <v>2026/02忠孝7樓</v>
      </c>
      <c r="C1428" s="138">
        <v>120</v>
      </c>
      <c r="D1428" s="139" t="s">
        <v>424</v>
      </c>
      <c r="E1428" s="484" t="s">
        <v>321</v>
      </c>
      <c r="F1428" s="484"/>
      <c r="G1428" s="484" t="s">
        <v>322</v>
      </c>
      <c r="H1428" s="484"/>
      <c r="I1428" s="484"/>
      <c r="J1428" s="484"/>
      <c r="K1428" s="140" t="s">
        <v>275</v>
      </c>
      <c r="L1428" s="141">
        <v>1</v>
      </c>
      <c r="M1428" s="123"/>
      <c r="N1428" s="410"/>
    </row>
    <row r="1429" spans="1:14" ht="17.25" customHeight="1" thickBot="1">
      <c r="A1429" s="126" t="str">
        <f t="shared" si="63"/>
        <v>2026/02</v>
      </c>
      <c r="B1429" s="127" t="str">
        <f t="shared" si="64"/>
        <v>2026/02忠孝7樓</v>
      </c>
      <c r="C1429" s="138">
        <v>121</v>
      </c>
      <c r="D1429" s="139" t="s">
        <v>424</v>
      </c>
      <c r="E1429" s="484" t="s">
        <v>372</v>
      </c>
      <c r="F1429" s="484"/>
      <c r="G1429" s="484" t="s">
        <v>373</v>
      </c>
      <c r="H1429" s="484"/>
      <c r="I1429" s="484"/>
      <c r="J1429" s="484"/>
      <c r="K1429" s="140" t="s">
        <v>278</v>
      </c>
      <c r="L1429" s="141">
        <v>17</v>
      </c>
      <c r="M1429" s="123"/>
      <c r="N1429" s="410"/>
    </row>
    <row r="1430" spans="1:14" ht="17.25" customHeight="1" thickBot="1">
      <c r="A1430" s="126" t="str">
        <f t="shared" si="63"/>
        <v>2026/02</v>
      </c>
      <c r="B1430" s="127" t="str">
        <f t="shared" si="64"/>
        <v>2026/02忠孝7樓</v>
      </c>
      <c r="C1430" s="138">
        <v>122</v>
      </c>
      <c r="D1430" s="139" t="s">
        <v>424</v>
      </c>
      <c r="E1430" s="484" t="s">
        <v>276</v>
      </c>
      <c r="F1430" s="484"/>
      <c r="G1430" s="484" t="s">
        <v>277</v>
      </c>
      <c r="H1430" s="484"/>
      <c r="I1430" s="484"/>
      <c r="J1430" s="484"/>
      <c r="K1430" s="140" t="s">
        <v>278</v>
      </c>
      <c r="L1430" s="141">
        <v>68</v>
      </c>
      <c r="M1430" s="123"/>
      <c r="N1430" s="410"/>
    </row>
    <row r="1431" spans="1:14" ht="17.25" customHeight="1" thickBot="1">
      <c r="A1431" s="126" t="str">
        <f t="shared" si="63"/>
        <v>2026/02</v>
      </c>
      <c r="B1431" s="127" t="str">
        <f t="shared" si="64"/>
        <v>2026/02忠孝7樓</v>
      </c>
      <c r="C1431" s="138">
        <v>123</v>
      </c>
      <c r="D1431" s="139" t="s">
        <v>424</v>
      </c>
      <c r="E1431" s="484" t="s">
        <v>273</v>
      </c>
      <c r="F1431" s="484"/>
      <c r="G1431" s="484" t="s">
        <v>274</v>
      </c>
      <c r="H1431" s="484"/>
      <c r="I1431" s="484"/>
      <c r="J1431" s="484"/>
      <c r="K1431" s="140" t="s">
        <v>275</v>
      </c>
      <c r="L1431" s="141">
        <v>865</v>
      </c>
      <c r="M1431" s="123"/>
      <c r="N1431" s="410"/>
    </row>
    <row r="1432" spans="1:14" ht="17.25" customHeight="1" thickBot="1">
      <c r="A1432" s="126" t="str">
        <f t="shared" si="63"/>
        <v>2026/02</v>
      </c>
      <c r="B1432" s="127" t="str">
        <f t="shared" si="64"/>
        <v>2026/02忠孝7樓</v>
      </c>
      <c r="C1432" s="138">
        <v>124</v>
      </c>
      <c r="D1432" s="139" t="s">
        <v>424</v>
      </c>
      <c r="E1432" s="484" t="s">
        <v>285</v>
      </c>
      <c r="F1432" s="484"/>
      <c r="G1432" s="484" t="s">
        <v>286</v>
      </c>
      <c r="H1432" s="484"/>
      <c r="I1432" s="484"/>
      <c r="J1432" s="484"/>
      <c r="K1432" s="140" t="s">
        <v>287</v>
      </c>
      <c r="L1432" s="141">
        <v>21563</v>
      </c>
      <c r="M1432" s="123"/>
      <c r="N1432" s="410"/>
    </row>
    <row r="1433" spans="1:14" ht="17.25" customHeight="1" thickBot="1">
      <c r="A1433" s="126" t="str">
        <f t="shared" si="63"/>
        <v>2026/02</v>
      </c>
      <c r="B1433" s="127" t="str">
        <f t="shared" si="64"/>
        <v>2026/02忠孝7樓</v>
      </c>
      <c r="C1433" s="138">
        <v>125</v>
      </c>
      <c r="D1433" s="139" t="s">
        <v>424</v>
      </c>
      <c r="E1433" s="484" t="s">
        <v>290</v>
      </c>
      <c r="F1433" s="484"/>
      <c r="G1433" s="484" t="s">
        <v>291</v>
      </c>
      <c r="H1433" s="484"/>
      <c r="I1433" s="484"/>
      <c r="J1433" s="484"/>
      <c r="K1433" s="140" t="s">
        <v>287</v>
      </c>
      <c r="L1433" s="141">
        <v>56774</v>
      </c>
      <c r="M1433" s="123"/>
      <c r="N1433" s="410"/>
    </row>
    <row r="1434" spans="1:14" ht="17.25" customHeight="1" thickBot="1">
      <c r="A1434" s="126" t="str">
        <f t="shared" si="63"/>
        <v>2026/02</v>
      </c>
      <c r="B1434" s="127" t="str">
        <f t="shared" si="64"/>
        <v>2026/02忠孝7樓</v>
      </c>
      <c r="C1434" s="138">
        <v>126</v>
      </c>
      <c r="D1434" s="139" t="s">
        <v>424</v>
      </c>
      <c r="E1434" s="484" t="s">
        <v>292</v>
      </c>
      <c r="F1434" s="484"/>
      <c r="G1434" s="484" t="s">
        <v>293</v>
      </c>
      <c r="H1434" s="484"/>
      <c r="I1434" s="484"/>
      <c r="J1434" s="484"/>
      <c r="K1434" s="140" t="s">
        <v>287</v>
      </c>
      <c r="L1434" s="141">
        <v>82481</v>
      </c>
      <c r="M1434" s="123"/>
      <c r="N1434" s="410"/>
    </row>
    <row r="1435" spans="1:14" ht="17.25" customHeight="1" thickBot="1">
      <c r="A1435" s="126" t="str">
        <f t="shared" si="63"/>
        <v>2026/02</v>
      </c>
      <c r="B1435" s="127" t="str">
        <f t="shared" si="64"/>
        <v>2026/02忠孝7樓</v>
      </c>
      <c r="C1435" s="138">
        <v>127</v>
      </c>
      <c r="D1435" s="139" t="s">
        <v>424</v>
      </c>
      <c r="E1435" s="484" t="s">
        <v>323</v>
      </c>
      <c r="F1435" s="484"/>
      <c r="G1435" s="484" t="s">
        <v>324</v>
      </c>
      <c r="H1435" s="484"/>
      <c r="I1435" s="484"/>
      <c r="J1435" s="484"/>
      <c r="K1435" s="140" t="s">
        <v>721</v>
      </c>
      <c r="L1435" s="141">
        <v>15875</v>
      </c>
      <c r="M1435" s="123"/>
      <c r="N1435" s="410"/>
    </row>
    <row r="1436" spans="1:14" ht="17.25" customHeight="1" thickBot="1">
      <c r="A1436" s="126" t="str">
        <f t="shared" si="63"/>
        <v>2026/02</v>
      </c>
      <c r="B1436" s="127" t="str">
        <f t="shared" si="64"/>
        <v>2026/02忠孝7樓</v>
      </c>
      <c r="C1436" s="138">
        <v>128</v>
      </c>
      <c r="D1436" s="139" t="s">
        <v>424</v>
      </c>
      <c r="E1436" s="484" t="s">
        <v>359</v>
      </c>
      <c r="F1436" s="484"/>
      <c r="G1436" s="484" t="s">
        <v>138</v>
      </c>
      <c r="H1436" s="484"/>
      <c r="I1436" s="484"/>
      <c r="J1436" s="484"/>
      <c r="K1436" s="140" t="s">
        <v>146</v>
      </c>
      <c r="L1436" s="141">
        <v>13</v>
      </c>
      <c r="M1436" s="123"/>
      <c r="N1436" s="410"/>
    </row>
    <row r="1437" spans="1:14" ht="17.25" customHeight="1" thickBot="1">
      <c r="A1437" s="126" t="str">
        <f t="shared" si="63"/>
        <v>2026/02</v>
      </c>
      <c r="B1437" s="127" t="str">
        <f t="shared" si="64"/>
        <v>2026/02忠孝7樓</v>
      </c>
      <c r="C1437" s="138">
        <v>129</v>
      </c>
      <c r="D1437" s="139" t="s">
        <v>424</v>
      </c>
      <c r="E1437" s="484" t="s">
        <v>320</v>
      </c>
      <c r="F1437" s="484"/>
      <c r="G1437" s="484" t="s">
        <v>135</v>
      </c>
      <c r="H1437" s="484"/>
      <c r="I1437" s="484"/>
      <c r="J1437" s="484"/>
      <c r="K1437" s="140" t="s">
        <v>146</v>
      </c>
      <c r="L1437" s="141">
        <v>4</v>
      </c>
      <c r="M1437" s="123"/>
      <c r="N1437" s="410"/>
    </row>
    <row r="1438" spans="1:14" ht="17.25" customHeight="1" thickBot="1">
      <c r="A1438" s="126" t="str">
        <f t="shared" si="63"/>
        <v>2026/02</v>
      </c>
      <c r="B1438" s="127" t="str">
        <f t="shared" si="64"/>
        <v>2026/02忠孝7樓</v>
      </c>
      <c r="C1438" s="138">
        <v>130</v>
      </c>
      <c r="D1438" s="139" t="s">
        <v>424</v>
      </c>
      <c r="E1438" s="484" t="s">
        <v>338</v>
      </c>
      <c r="F1438" s="484"/>
      <c r="G1438" s="484" t="s">
        <v>339</v>
      </c>
      <c r="H1438" s="484"/>
      <c r="I1438" s="484"/>
      <c r="J1438" s="484"/>
      <c r="K1438" s="140" t="s">
        <v>287</v>
      </c>
      <c r="L1438" s="141">
        <v>5413</v>
      </c>
      <c r="M1438" s="123"/>
      <c r="N1438" s="410"/>
    </row>
    <row r="1439" spans="1:14" ht="17.25" customHeight="1" thickBot="1">
      <c r="A1439" s="126" t="str">
        <f t="shared" si="63"/>
        <v>2026/02</v>
      </c>
      <c r="B1439" s="127" t="str">
        <f t="shared" si="64"/>
        <v>2026/02忠孝7樓</v>
      </c>
      <c r="C1439" s="138">
        <v>131</v>
      </c>
      <c r="D1439" s="139" t="s">
        <v>424</v>
      </c>
      <c r="E1439" s="484" t="s">
        <v>326</v>
      </c>
      <c r="F1439" s="484"/>
      <c r="G1439" s="484" t="s">
        <v>327</v>
      </c>
      <c r="H1439" s="484"/>
      <c r="I1439" s="484"/>
      <c r="J1439" s="484"/>
      <c r="K1439" s="140" t="s">
        <v>287</v>
      </c>
      <c r="L1439" s="141">
        <v>11582</v>
      </c>
      <c r="M1439" s="123"/>
      <c r="N1439" s="410"/>
    </row>
    <row r="1440" spans="1:14" ht="17.25" customHeight="1" thickBot="1">
      <c r="A1440" s="126" t="str">
        <f t="shared" si="63"/>
        <v>2026/02</v>
      </c>
      <c r="B1440" s="127" t="str">
        <f t="shared" si="64"/>
        <v>2026/02忠孝7樓</v>
      </c>
      <c r="C1440" s="138">
        <v>132</v>
      </c>
      <c r="D1440" s="139" t="s">
        <v>424</v>
      </c>
      <c r="E1440" s="484" t="s">
        <v>328</v>
      </c>
      <c r="F1440" s="484"/>
      <c r="G1440" s="484" t="s">
        <v>329</v>
      </c>
      <c r="H1440" s="484"/>
      <c r="I1440" s="484"/>
      <c r="J1440" s="484"/>
      <c r="K1440" s="140" t="s">
        <v>287</v>
      </c>
      <c r="L1440" s="141">
        <v>26419</v>
      </c>
      <c r="M1440" s="123"/>
      <c r="N1440" s="410"/>
    </row>
    <row r="1441" spans="1:14" ht="17.25" customHeight="1" thickBot="1">
      <c r="A1441" s="126" t="str">
        <f t="shared" si="63"/>
        <v>2026/02</v>
      </c>
      <c r="B1441" s="127" t="str">
        <f t="shared" si="64"/>
        <v>2026/02忠孝7樓</v>
      </c>
      <c r="C1441" s="138">
        <v>133</v>
      </c>
      <c r="D1441" s="139" t="s">
        <v>424</v>
      </c>
      <c r="E1441" s="484" t="s">
        <v>330</v>
      </c>
      <c r="F1441" s="484"/>
      <c r="G1441" s="484" t="s">
        <v>331</v>
      </c>
      <c r="H1441" s="484"/>
      <c r="I1441" s="484"/>
      <c r="J1441" s="484"/>
      <c r="K1441" s="140" t="s">
        <v>287</v>
      </c>
      <c r="L1441" s="141">
        <v>9150</v>
      </c>
      <c r="M1441" s="123"/>
      <c r="N1441" s="410"/>
    </row>
    <row r="1442" spans="1:14" ht="17.25" customHeight="1" thickBot="1">
      <c r="A1442" s="126" t="str">
        <f t="shared" si="63"/>
        <v>2026/02</v>
      </c>
      <c r="B1442" s="127" t="str">
        <f t="shared" si="64"/>
        <v>2026/02忠孝7樓</v>
      </c>
      <c r="C1442" s="138">
        <v>134</v>
      </c>
      <c r="D1442" s="139" t="s">
        <v>424</v>
      </c>
      <c r="E1442" s="484" t="s">
        <v>739</v>
      </c>
      <c r="F1442" s="484"/>
      <c r="G1442" s="484" t="s">
        <v>740</v>
      </c>
      <c r="H1442" s="484"/>
      <c r="I1442" s="484"/>
      <c r="J1442" s="484"/>
      <c r="K1442" s="140" t="s">
        <v>287</v>
      </c>
      <c r="L1442" s="141">
        <v>137</v>
      </c>
      <c r="M1442" s="123"/>
      <c r="N1442" s="410"/>
    </row>
    <row r="1443" spans="1:14" ht="17.25" customHeight="1" thickBot="1">
      <c r="A1443" s="126" t="str">
        <f t="shared" si="63"/>
        <v>2026/02</v>
      </c>
      <c r="B1443" s="127" t="str">
        <f t="shared" si="64"/>
        <v>2026/02忠孝7樓</v>
      </c>
      <c r="C1443" s="138">
        <v>135</v>
      </c>
      <c r="D1443" s="139" t="s">
        <v>424</v>
      </c>
      <c r="E1443" s="484" t="s">
        <v>302</v>
      </c>
      <c r="F1443" s="484"/>
      <c r="G1443" s="484" t="s">
        <v>303</v>
      </c>
      <c r="H1443" s="484"/>
      <c r="I1443" s="484"/>
      <c r="J1443" s="484"/>
      <c r="K1443" s="140" t="s">
        <v>304</v>
      </c>
      <c r="L1443" s="141">
        <v>4699</v>
      </c>
      <c r="M1443" s="123"/>
      <c r="N1443" s="410"/>
    </row>
    <row r="1444" spans="1:14" ht="17.25" customHeight="1" thickBot="1">
      <c r="A1444" s="126" t="str">
        <f t="shared" si="63"/>
        <v>2026/02</v>
      </c>
      <c r="B1444" s="127" t="str">
        <f t="shared" si="64"/>
        <v>2026/02忠孝7樓</v>
      </c>
      <c r="C1444" s="138">
        <v>136</v>
      </c>
      <c r="D1444" s="139" t="s">
        <v>424</v>
      </c>
      <c r="E1444" s="484" t="s">
        <v>705</v>
      </c>
      <c r="F1444" s="484"/>
      <c r="G1444" s="484" t="s">
        <v>706</v>
      </c>
      <c r="H1444" s="484"/>
      <c r="I1444" s="484"/>
      <c r="J1444" s="484"/>
      <c r="K1444" s="140" t="s">
        <v>707</v>
      </c>
      <c r="L1444" s="141">
        <v>38441</v>
      </c>
      <c r="M1444" s="123"/>
      <c r="N1444" s="410"/>
    </row>
    <row r="1445" spans="1:14" ht="17.25" customHeight="1" thickBot="1">
      <c r="A1445" s="126" t="str">
        <f t="shared" si="63"/>
        <v>2026/02</v>
      </c>
      <c r="B1445" s="127" t="str">
        <f t="shared" si="64"/>
        <v>2026/02忠孝7樓</v>
      </c>
      <c r="C1445" s="138">
        <v>137</v>
      </c>
      <c r="D1445" s="139" t="s">
        <v>424</v>
      </c>
      <c r="E1445" s="484" t="s">
        <v>279</v>
      </c>
      <c r="F1445" s="484"/>
      <c r="G1445" s="484" t="s">
        <v>280</v>
      </c>
      <c r="H1445" s="484"/>
      <c r="I1445" s="484"/>
      <c r="J1445" s="484"/>
      <c r="K1445" s="140" t="s">
        <v>281</v>
      </c>
      <c r="L1445" s="141">
        <v>379824</v>
      </c>
      <c r="M1445" s="123"/>
      <c r="N1445" s="410"/>
    </row>
    <row r="1446" spans="1:14" ht="17.25" customHeight="1" thickBot="1">
      <c r="A1446" s="126" t="str">
        <f t="shared" si="63"/>
        <v>2026/02</v>
      </c>
      <c r="B1446" s="127" t="str">
        <f t="shared" si="64"/>
        <v>2026/02忠孝7樓</v>
      </c>
      <c r="C1446" s="138">
        <v>138</v>
      </c>
      <c r="D1446" s="139" t="s">
        <v>424</v>
      </c>
      <c r="E1446" s="484" t="s">
        <v>288</v>
      </c>
      <c r="F1446" s="484"/>
      <c r="G1446" s="484" t="s">
        <v>289</v>
      </c>
      <c r="H1446" s="484"/>
      <c r="I1446" s="484"/>
      <c r="J1446" s="484"/>
      <c r="K1446" s="140" t="s">
        <v>281</v>
      </c>
      <c r="L1446" s="141">
        <v>91991</v>
      </c>
      <c r="M1446" s="123"/>
      <c r="N1446" s="410"/>
    </row>
    <row r="1447" spans="1:14" ht="17.25" customHeight="1" thickBot="1">
      <c r="A1447" s="126" t="str">
        <f t="shared" si="63"/>
        <v>2026/02</v>
      </c>
      <c r="B1447" s="127" t="str">
        <f t="shared" si="64"/>
        <v>2026/02忠孝7樓</v>
      </c>
      <c r="C1447" s="138">
        <v>139</v>
      </c>
      <c r="D1447" s="139" t="s">
        <v>424</v>
      </c>
      <c r="E1447" s="484" t="s">
        <v>332</v>
      </c>
      <c r="F1447" s="484"/>
      <c r="G1447" s="484" t="s">
        <v>333</v>
      </c>
      <c r="H1447" s="484"/>
      <c r="I1447" s="484"/>
      <c r="J1447" s="484"/>
      <c r="K1447" s="140" t="s">
        <v>334</v>
      </c>
      <c r="L1447" s="141">
        <v>138209</v>
      </c>
      <c r="M1447" s="123"/>
      <c r="N1447" s="410"/>
    </row>
    <row r="1448" spans="1:14" ht="17.25" customHeight="1" thickBot="1">
      <c r="A1448" s="126" t="str">
        <f t="shared" si="63"/>
        <v>2026/02</v>
      </c>
      <c r="B1448" s="127" t="str">
        <f t="shared" si="64"/>
        <v>2026/02忠孝7樓</v>
      </c>
      <c r="C1448" s="138">
        <v>140</v>
      </c>
      <c r="D1448" s="139" t="s">
        <v>424</v>
      </c>
      <c r="E1448" s="484" t="s">
        <v>335</v>
      </c>
      <c r="F1448" s="484"/>
      <c r="G1448" s="484" t="s">
        <v>336</v>
      </c>
      <c r="H1448" s="484"/>
      <c r="I1448" s="484"/>
      <c r="J1448" s="484"/>
      <c r="K1448" s="140" t="s">
        <v>337</v>
      </c>
      <c r="L1448" s="141">
        <v>26500</v>
      </c>
      <c r="M1448" s="123"/>
      <c r="N1448" s="410"/>
    </row>
    <row r="1449" spans="1:14" ht="17.25" customHeight="1" thickBot="1">
      <c r="A1449" s="126" t="str">
        <f t="shared" si="63"/>
        <v>2026/02</v>
      </c>
      <c r="B1449" s="127" t="str">
        <f t="shared" si="64"/>
        <v>2026/02忠孝7樓</v>
      </c>
      <c r="C1449" s="138">
        <v>141</v>
      </c>
      <c r="D1449" s="139" t="s">
        <v>424</v>
      </c>
      <c r="E1449" s="484" t="s">
        <v>447</v>
      </c>
      <c r="F1449" s="484"/>
      <c r="G1449" s="484" t="s">
        <v>448</v>
      </c>
      <c r="H1449" s="484"/>
      <c r="I1449" s="484"/>
      <c r="J1449" s="484"/>
      <c r="K1449" s="140" t="s">
        <v>445</v>
      </c>
      <c r="L1449" s="141">
        <v>12</v>
      </c>
      <c r="M1449" s="123"/>
      <c r="N1449" s="410"/>
    </row>
    <row r="1450" spans="1:14" ht="17.25" customHeight="1" thickBot="1">
      <c r="A1450" s="126" t="str">
        <f t="shared" si="63"/>
        <v>2026/02</v>
      </c>
      <c r="B1450" s="127" t="str">
        <f t="shared" si="64"/>
        <v>2026/02忠孝7樓</v>
      </c>
      <c r="C1450" s="138">
        <v>142</v>
      </c>
      <c r="D1450" s="139" t="s">
        <v>424</v>
      </c>
      <c r="E1450" s="484" t="s">
        <v>443</v>
      </c>
      <c r="F1450" s="484"/>
      <c r="G1450" s="484" t="s">
        <v>444</v>
      </c>
      <c r="H1450" s="484"/>
      <c r="I1450" s="484"/>
      <c r="J1450" s="484"/>
      <c r="K1450" s="140" t="s">
        <v>445</v>
      </c>
      <c r="L1450" s="141">
        <v>16</v>
      </c>
      <c r="M1450" s="123"/>
      <c r="N1450" s="410"/>
    </row>
    <row r="1451" spans="1:14" ht="17.25" customHeight="1" thickBot="1">
      <c r="A1451" s="126" t="str">
        <f t="shared" si="63"/>
        <v>2026/02</v>
      </c>
      <c r="B1451" s="127" t="str">
        <f t="shared" si="64"/>
        <v>2026/02忠孝7樓</v>
      </c>
      <c r="C1451" s="138">
        <v>143</v>
      </c>
      <c r="D1451" s="139" t="s">
        <v>424</v>
      </c>
      <c r="E1451" s="484" t="s">
        <v>351</v>
      </c>
      <c r="F1451" s="484"/>
      <c r="G1451" s="484" t="s">
        <v>352</v>
      </c>
      <c r="H1451" s="484"/>
      <c r="I1451" s="484"/>
      <c r="J1451" s="484"/>
      <c r="K1451" s="140" t="s">
        <v>353</v>
      </c>
      <c r="L1451" s="141">
        <v>16</v>
      </c>
      <c r="M1451" s="123"/>
      <c r="N1451" s="410"/>
    </row>
    <row r="1452" spans="1:14" ht="17.25" customHeight="1" thickBot="1">
      <c r="A1452" s="126" t="str">
        <f t="shared" ref="A1452:A1474" si="65">IFERROR(LEFT(B1452,7),"")</f>
        <v>2026/02</v>
      </c>
      <c r="B1452" s="127" t="str">
        <f t="shared" ref="B1452:B1474" si="66">"2026/02"&amp;D1452</f>
        <v>2026/02忠孝7樓</v>
      </c>
      <c r="C1452" s="138">
        <v>144</v>
      </c>
      <c r="D1452" s="139" t="s">
        <v>424</v>
      </c>
      <c r="E1452" s="484" t="s">
        <v>357</v>
      </c>
      <c r="F1452" s="484"/>
      <c r="G1452" s="484" t="s">
        <v>358</v>
      </c>
      <c r="H1452" s="484"/>
      <c r="I1452" s="484"/>
      <c r="J1452" s="484"/>
      <c r="K1452" s="140" t="s">
        <v>353</v>
      </c>
      <c r="L1452" s="141">
        <v>36</v>
      </c>
      <c r="M1452" s="123"/>
      <c r="N1452" s="410"/>
    </row>
    <row r="1453" spans="1:14" ht="17.25" customHeight="1" thickBot="1">
      <c r="A1453" s="126" t="str">
        <f t="shared" si="65"/>
        <v>2026/02</v>
      </c>
      <c r="B1453" s="127" t="str">
        <f t="shared" si="66"/>
        <v>2026/02忠孝7樓</v>
      </c>
      <c r="C1453" s="138">
        <v>145</v>
      </c>
      <c r="D1453" s="139" t="s">
        <v>424</v>
      </c>
      <c r="E1453" s="484" t="s">
        <v>340</v>
      </c>
      <c r="F1453" s="484"/>
      <c r="G1453" s="484" t="s">
        <v>341</v>
      </c>
      <c r="H1453" s="484"/>
      <c r="I1453" s="484"/>
      <c r="J1453" s="484"/>
      <c r="K1453" s="140" t="s">
        <v>342</v>
      </c>
      <c r="L1453" s="141">
        <v>6</v>
      </c>
      <c r="M1453" s="123"/>
      <c r="N1453" s="410"/>
    </row>
    <row r="1454" spans="1:14" ht="17.25" customHeight="1" thickBot="1">
      <c r="A1454" s="126" t="str">
        <f t="shared" si="65"/>
        <v>2026/02</v>
      </c>
      <c r="B1454" s="127" t="str">
        <f t="shared" si="66"/>
        <v>2026/02忠孝7樓</v>
      </c>
      <c r="C1454" s="138">
        <v>146</v>
      </c>
      <c r="D1454" s="139" t="s">
        <v>424</v>
      </c>
      <c r="E1454" s="484" t="s">
        <v>697</v>
      </c>
      <c r="F1454" s="484"/>
      <c r="G1454" s="484" t="s">
        <v>698</v>
      </c>
      <c r="H1454" s="484"/>
      <c r="I1454" s="484"/>
      <c r="J1454" s="484"/>
      <c r="K1454" s="140" t="s">
        <v>699</v>
      </c>
      <c r="L1454" s="141">
        <v>2</v>
      </c>
      <c r="M1454" s="123"/>
      <c r="N1454" s="410"/>
    </row>
    <row r="1455" spans="1:14" ht="17.25" customHeight="1" thickBot="1">
      <c r="A1455" s="126" t="str">
        <f t="shared" si="65"/>
        <v>2026/02</v>
      </c>
      <c r="B1455" s="127" t="str">
        <f t="shared" si="66"/>
        <v>2026/02忠孝7樓</v>
      </c>
      <c r="C1455" s="138">
        <v>147</v>
      </c>
      <c r="D1455" s="139" t="s">
        <v>424</v>
      </c>
      <c r="E1455" s="484" t="s">
        <v>683</v>
      </c>
      <c r="F1455" s="484"/>
      <c r="G1455" s="484" t="s">
        <v>684</v>
      </c>
      <c r="H1455" s="484"/>
      <c r="I1455" s="484"/>
      <c r="J1455" s="484"/>
      <c r="K1455" s="140" t="s">
        <v>685</v>
      </c>
      <c r="L1455" s="141">
        <v>5</v>
      </c>
      <c r="M1455" s="123"/>
      <c r="N1455" s="410"/>
    </row>
    <row r="1456" spans="1:14" ht="17.25" customHeight="1" thickBot="1">
      <c r="A1456" s="126" t="str">
        <f t="shared" si="65"/>
        <v>2026/02</v>
      </c>
      <c r="B1456" s="127" t="str">
        <f t="shared" si="66"/>
        <v>2026/02忠孝7樓</v>
      </c>
      <c r="C1456" s="138">
        <v>148</v>
      </c>
      <c r="D1456" s="139" t="s">
        <v>424</v>
      </c>
      <c r="E1456" s="484" t="s">
        <v>686</v>
      </c>
      <c r="F1456" s="484"/>
      <c r="G1456" s="484" t="s">
        <v>687</v>
      </c>
      <c r="H1456" s="484"/>
      <c r="I1456" s="484"/>
      <c r="J1456" s="484"/>
      <c r="K1456" s="140" t="s">
        <v>688</v>
      </c>
      <c r="L1456" s="141">
        <v>11</v>
      </c>
      <c r="M1456" s="123"/>
      <c r="N1456" s="410"/>
    </row>
    <row r="1457" spans="1:14" ht="17.25" customHeight="1" thickBot="1">
      <c r="A1457" s="126" t="str">
        <f t="shared" si="65"/>
        <v>2026/02</v>
      </c>
      <c r="B1457" s="127" t="str">
        <f t="shared" si="66"/>
        <v>2026/02忠孝7樓</v>
      </c>
      <c r="C1457" s="138">
        <v>149</v>
      </c>
      <c r="D1457" s="139" t="s">
        <v>424</v>
      </c>
      <c r="E1457" s="484" t="s">
        <v>354</v>
      </c>
      <c r="F1457" s="484"/>
      <c r="G1457" s="484" t="s">
        <v>741</v>
      </c>
      <c r="H1457" s="484"/>
      <c r="I1457" s="484"/>
      <c r="J1457" s="484"/>
      <c r="K1457" s="140" t="s">
        <v>356</v>
      </c>
      <c r="L1457" s="141">
        <v>6</v>
      </c>
      <c r="M1457" s="123"/>
      <c r="N1457" s="410"/>
    </row>
    <row r="1458" spans="1:14" ht="17.25" customHeight="1" thickBot="1">
      <c r="A1458" s="126" t="str">
        <f t="shared" si="65"/>
        <v>2026/02</v>
      </c>
      <c r="B1458" s="127" t="str">
        <f t="shared" si="66"/>
        <v>2026/02忠孝7樓</v>
      </c>
      <c r="C1458" s="138">
        <v>150</v>
      </c>
      <c r="D1458" s="139" t="s">
        <v>424</v>
      </c>
      <c r="E1458" s="484" t="s">
        <v>309</v>
      </c>
      <c r="F1458" s="484"/>
      <c r="G1458" s="484" t="s">
        <v>310</v>
      </c>
      <c r="H1458" s="484"/>
      <c r="I1458" s="484"/>
      <c r="J1458" s="484"/>
      <c r="K1458" s="140" t="s">
        <v>269</v>
      </c>
      <c r="L1458" s="141">
        <v>288</v>
      </c>
      <c r="M1458" s="123"/>
      <c r="N1458" s="410"/>
    </row>
    <row r="1459" spans="1:14" ht="17.25" customHeight="1" thickBot="1">
      <c r="A1459" s="126" t="str">
        <f t="shared" si="65"/>
        <v>2026/02</v>
      </c>
      <c r="B1459" s="127" t="str">
        <f t="shared" si="66"/>
        <v>2026/02忠孝7樓</v>
      </c>
      <c r="C1459" s="138">
        <v>151</v>
      </c>
      <c r="D1459" s="139" t="s">
        <v>424</v>
      </c>
      <c r="E1459" s="484" t="s">
        <v>267</v>
      </c>
      <c r="F1459" s="484"/>
      <c r="G1459" s="484" t="s">
        <v>268</v>
      </c>
      <c r="H1459" s="484"/>
      <c r="I1459" s="484"/>
      <c r="J1459" s="484"/>
      <c r="K1459" s="140" t="s">
        <v>269</v>
      </c>
      <c r="L1459" s="141">
        <v>15</v>
      </c>
      <c r="M1459" s="123"/>
      <c r="N1459" s="410"/>
    </row>
    <row r="1460" spans="1:14" ht="17.25" customHeight="1" thickBot="1">
      <c r="A1460" s="126" t="str">
        <f t="shared" si="65"/>
        <v>2026/02</v>
      </c>
      <c r="B1460" s="127" t="str">
        <f t="shared" si="66"/>
        <v>2026/02忠孝7樓</v>
      </c>
      <c r="C1460" s="138">
        <v>152</v>
      </c>
      <c r="D1460" s="139" t="s">
        <v>424</v>
      </c>
      <c r="E1460" s="484" t="s">
        <v>315</v>
      </c>
      <c r="F1460" s="484"/>
      <c r="G1460" s="484" t="s">
        <v>316</v>
      </c>
      <c r="H1460" s="484"/>
      <c r="I1460" s="484"/>
      <c r="J1460" s="484"/>
      <c r="K1460" s="140" t="s">
        <v>296</v>
      </c>
      <c r="L1460" s="141">
        <v>15</v>
      </c>
      <c r="M1460" s="123"/>
      <c r="N1460" s="410"/>
    </row>
    <row r="1461" spans="1:14" ht="17.25" customHeight="1" thickBot="1">
      <c r="A1461" s="126" t="str">
        <f t="shared" si="65"/>
        <v>2026/02</v>
      </c>
      <c r="B1461" s="127" t="str">
        <f t="shared" si="66"/>
        <v>2026/02忠孝7樓</v>
      </c>
      <c r="C1461" s="138">
        <v>153</v>
      </c>
      <c r="D1461" s="139" t="s">
        <v>424</v>
      </c>
      <c r="E1461" s="484" t="s">
        <v>294</v>
      </c>
      <c r="F1461" s="484"/>
      <c r="G1461" s="484" t="s">
        <v>295</v>
      </c>
      <c r="H1461" s="484"/>
      <c r="I1461" s="484"/>
      <c r="J1461" s="484"/>
      <c r="K1461" s="140" t="s">
        <v>296</v>
      </c>
      <c r="L1461" s="141">
        <v>6</v>
      </c>
      <c r="M1461" s="123"/>
      <c r="N1461" s="410"/>
    </row>
    <row r="1462" spans="1:14" ht="17.25" customHeight="1" thickBot="1">
      <c r="A1462" s="126" t="str">
        <f t="shared" si="65"/>
        <v>2026/02</v>
      </c>
      <c r="B1462" s="127" t="str">
        <f t="shared" si="66"/>
        <v>2026/02忠孝7樓</v>
      </c>
      <c r="C1462" s="138">
        <v>154</v>
      </c>
      <c r="D1462" s="139" t="s">
        <v>424</v>
      </c>
      <c r="E1462" s="484" t="s">
        <v>736</v>
      </c>
      <c r="F1462" s="484"/>
      <c r="G1462" s="484" t="s">
        <v>737</v>
      </c>
      <c r="H1462" s="484"/>
      <c r="I1462" s="484"/>
      <c r="J1462" s="484"/>
      <c r="K1462" s="140" t="s">
        <v>738</v>
      </c>
      <c r="L1462" s="141">
        <v>4</v>
      </c>
      <c r="M1462" s="123"/>
      <c r="N1462" s="410"/>
    </row>
    <row r="1463" spans="1:14" ht="17.25" customHeight="1" thickBot="1">
      <c r="A1463" s="126" t="str">
        <f t="shared" si="65"/>
        <v>2026/02</v>
      </c>
      <c r="B1463" s="127" t="str">
        <f t="shared" si="66"/>
        <v>2026/02忠孝7樓</v>
      </c>
      <c r="C1463" s="138">
        <v>155</v>
      </c>
      <c r="D1463" s="139" t="s">
        <v>424</v>
      </c>
      <c r="E1463" s="484" t="s">
        <v>237</v>
      </c>
      <c r="F1463" s="484"/>
      <c r="G1463" s="484" t="s">
        <v>238</v>
      </c>
      <c r="H1463" s="484"/>
      <c r="I1463" s="484"/>
      <c r="J1463" s="484"/>
      <c r="K1463" s="140" t="s">
        <v>239</v>
      </c>
      <c r="L1463" s="141">
        <v>787</v>
      </c>
      <c r="M1463" s="123"/>
      <c r="N1463" s="410"/>
    </row>
    <row r="1464" spans="1:14" ht="17.25" customHeight="1" thickBot="1">
      <c r="A1464" s="126" t="str">
        <f t="shared" si="65"/>
        <v>2026/02</v>
      </c>
      <c r="B1464" s="127" t="str">
        <f t="shared" si="66"/>
        <v>2026/02忠孝7樓</v>
      </c>
      <c r="C1464" s="138">
        <v>156</v>
      </c>
      <c r="D1464" s="139" t="s">
        <v>424</v>
      </c>
      <c r="E1464" s="484" t="s">
        <v>240</v>
      </c>
      <c r="F1464" s="484"/>
      <c r="G1464" s="484" t="s">
        <v>241</v>
      </c>
      <c r="H1464" s="484"/>
      <c r="I1464" s="484"/>
      <c r="J1464" s="484"/>
      <c r="K1464" s="140" t="s">
        <v>239</v>
      </c>
      <c r="L1464" s="141">
        <v>787</v>
      </c>
      <c r="M1464" s="123"/>
      <c r="N1464" s="410"/>
    </row>
    <row r="1465" spans="1:14" ht="17.25" customHeight="1" thickBot="1">
      <c r="A1465" s="126" t="str">
        <f t="shared" si="65"/>
        <v>2026/02</v>
      </c>
      <c r="B1465" s="127" t="str">
        <f t="shared" si="66"/>
        <v>2026/02忠孝7樓</v>
      </c>
      <c r="C1465" s="138">
        <v>157</v>
      </c>
      <c r="D1465" s="139" t="s">
        <v>424</v>
      </c>
      <c r="E1465" s="484" t="s">
        <v>242</v>
      </c>
      <c r="F1465" s="484"/>
      <c r="G1465" s="484" t="s">
        <v>243</v>
      </c>
      <c r="H1465" s="484"/>
      <c r="I1465" s="484"/>
      <c r="J1465" s="484"/>
      <c r="K1465" s="140" t="s">
        <v>239</v>
      </c>
      <c r="L1465" s="141">
        <v>787</v>
      </c>
      <c r="M1465" s="123"/>
      <c r="N1465" s="410"/>
    </row>
    <row r="1466" spans="1:14" ht="17.25" customHeight="1" thickBot="1">
      <c r="A1466" s="126" t="str">
        <f t="shared" si="65"/>
        <v>2026/02</v>
      </c>
      <c r="B1466" s="127" t="str">
        <f t="shared" si="66"/>
        <v>2026/02忠孝7樓</v>
      </c>
      <c r="C1466" s="138">
        <v>158</v>
      </c>
      <c r="D1466" s="139" t="s">
        <v>424</v>
      </c>
      <c r="E1466" s="484" t="s">
        <v>244</v>
      </c>
      <c r="F1466" s="484"/>
      <c r="G1466" s="484" t="s">
        <v>245</v>
      </c>
      <c r="H1466" s="484"/>
      <c r="I1466" s="484"/>
      <c r="J1466" s="484"/>
      <c r="K1466" s="140" t="s">
        <v>725</v>
      </c>
      <c r="L1466" s="141">
        <v>11805</v>
      </c>
      <c r="M1466" s="123"/>
      <c r="N1466" s="410"/>
    </row>
    <row r="1467" spans="1:14" ht="17.25" customHeight="1" thickBot="1">
      <c r="A1467" s="126" t="str">
        <f t="shared" si="65"/>
        <v>2026/02</v>
      </c>
      <c r="B1467" s="127" t="str">
        <f t="shared" si="66"/>
        <v>2026/02忠孝7樓</v>
      </c>
      <c r="C1467" s="138">
        <v>159</v>
      </c>
      <c r="D1467" s="139" t="s">
        <v>424</v>
      </c>
      <c r="E1467" s="484" t="s">
        <v>246</v>
      </c>
      <c r="F1467" s="484"/>
      <c r="G1467" s="484" t="s">
        <v>247</v>
      </c>
      <c r="H1467" s="484"/>
      <c r="I1467" s="484"/>
      <c r="J1467" s="484"/>
      <c r="K1467" s="140" t="s">
        <v>725</v>
      </c>
      <c r="L1467" s="141">
        <v>11805</v>
      </c>
      <c r="M1467" s="123"/>
      <c r="N1467" s="410"/>
    </row>
    <row r="1468" spans="1:14" ht="17.25" customHeight="1" thickBot="1">
      <c r="A1468" s="126" t="str">
        <f t="shared" si="65"/>
        <v>2026/02</v>
      </c>
      <c r="B1468" s="127" t="str">
        <f t="shared" si="66"/>
        <v>2026/02忠孝7樓</v>
      </c>
      <c r="C1468" s="138">
        <v>160</v>
      </c>
      <c r="D1468" s="139" t="s">
        <v>424</v>
      </c>
      <c r="E1468" s="484" t="s">
        <v>248</v>
      </c>
      <c r="F1468" s="484"/>
      <c r="G1468" s="484" t="s">
        <v>249</v>
      </c>
      <c r="H1468" s="484"/>
      <c r="I1468" s="484"/>
      <c r="J1468" s="484"/>
      <c r="K1468" s="140" t="s">
        <v>725</v>
      </c>
      <c r="L1468" s="141">
        <v>11805</v>
      </c>
      <c r="M1468" s="123"/>
      <c r="N1468" s="410"/>
    </row>
    <row r="1469" spans="1:14" ht="17.25" customHeight="1" thickBot="1">
      <c r="A1469" s="126" t="str">
        <f t="shared" si="65"/>
        <v>2026/02</v>
      </c>
      <c r="B1469" s="127" t="str">
        <f t="shared" si="66"/>
        <v>2026/02忠孝7樓</v>
      </c>
      <c r="C1469" s="138">
        <v>161</v>
      </c>
      <c r="D1469" s="139" t="s">
        <v>424</v>
      </c>
      <c r="E1469" s="484" t="s">
        <v>250</v>
      </c>
      <c r="F1469" s="484"/>
      <c r="G1469" s="484" t="s">
        <v>251</v>
      </c>
      <c r="H1469" s="484"/>
      <c r="I1469" s="484"/>
      <c r="J1469" s="484"/>
      <c r="K1469" s="140" t="s">
        <v>725</v>
      </c>
      <c r="L1469" s="141">
        <v>11805</v>
      </c>
      <c r="M1469" s="123"/>
      <c r="N1469" s="410"/>
    </row>
    <row r="1470" spans="1:14" ht="17.25" customHeight="1" thickBot="1">
      <c r="A1470" s="126" t="str">
        <f t="shared" si="65"/>
        <v>2026/02</v>
      </c>
      <c r="B1470" s="127" t="str">
        <f t="shared" si="66"/>
        <v>2026/02忠孝國際醫學3樓</v>
      </c>
      <c r="C1470" s="138">
        <v>162</v>
      </c>
      <c r="D1470" s="139" t="s">
        <v>850</v>
      </c>
      <c r="E1470" s="484" t="s">
        <v>392</v>
      </c>
      <c r="F1470" s="484"/>
      <c r="G1470" s="484" t="s">
        <v>393</v>
      </c>
      <c r="H1470" s="484"/>
      <c r="I1470" s="484"/>
      <c r="J1470" s="484"/>
      <c r="K1470" s="140" t="s">
        <v>382</v>
      </c>
      <c r="L1470" s="141">
        <v>917</v>
      </c>
      <c r="M1470" s="123"/>
    </row>
    <row r="1471" spans="1:14" ht="17.25" customHeight="1" thickBot="1">
      <c r="A1471" s="126" t="str">
        <f t="shared" si="65"/>
        <v>2026/02</v>
      </c>
      <c r="B1471" s="127" t="str">
        <f t="shared" si="66"/>
        <v>2026/02忠孝國際醫學3樓</v>
      </c>
      <c r="C1471" s="138">
        <v>163</v>
      </c>
      <c r="D1471" s="139" t="s">
        <v>850</v>
      </c>
      <c r="E1471" s="484" t="s">
        <v>380</v>
      </c>
      <c r="F1471" s="484"/>
      <c r="G1471" s="484" t="s">
        <v>381</v>
      </c>
      <c r="H1471" s="484"/>
      <c r="I1471" s="484"/>
      <c r="J1471" s="484"/>
      <c r="K1471" s="140" t="s">
        <v>382</v>
      </c>
      <c r="L1471" s="141">
        <v>1203.5</v>
      </c>
      <c r="M1471" s="123"/>
    </row>
    <row r="1472" spans="1:14" ht="17.25" customHeight="1" thickBot="1">
      <c r="A1472" s="126" t="str">
        <f t="shared" si="65"/>
        <v>2026/02</v>
      </c>
      <c r="B1472" s="127" t="str">
        <f t="shared" si="66"/>
        <v>2026/02忠孝國際醫學3樓</v>
      </c>
      <c r="C1472" s="138">
        <v>164</v>
      </c>
      <c r="D1472" s="139" t="s">
        <v>850</v>
      </c>
      <c r="E1472" s="484" t="s">
        <v>413</v>
      </c>
      <c r="F1472" s="484"/>
      <c r="G1472" s="484" t="s">
        <v>674</v>
      </c>
      <c r="H1472" s="484"/>
      <c r="I1472" s="484"/>
      <c r="J1472" s="484"/>
      <c r="K1472" s="140" t="s">
        <v>410</v>
      </c>
      <c r="L1472" s="141">
        <v>5</v>
      </c>
      <c r="M1472" s="123"/>
    </row>
    <row r="1473" spans="1:13" ht="17.25" customHeight="1" thickBot="1">
      <c r="A1473" s="126" t="str">
        <f t="shared" si="65"/>
        <v>2026/02</v>
      </c>
      <c r="B1473" s="127" t="str">
        <f t="shared" si="66"/>
        <v>2026/02忠孝國際醫學3樓</v>
      </c>
      <c r="C1473" s="138">
        <v>165</v>
      </c>
      <c r="D1473" s="139" t="s">
        <v>850</v>
      </c>
      <c r="E1473" s="484" t="s">
        <v>360</v>
      </c>
      <c r="F1473" s="484"/>
      <c r="G1473" s="484" t="s">
        <v>361</v>
      </c>
      <c r="H1473" s="484"/>
      <c r="I1473" s="484"/>
      <c r="J1473" s="484"/>
      <c r="K1473" s="140" t="s">
        <v>362</v>
      </c>
      <c r="L1473" s="141">
        <v>14</v>
      </c>
      <c r="M1473" s="123"/>
    </row>
    <row r="1474" spans="1:13" ht="17.25" customHeight="1" thickBot="1">
      <c r="A1474" s="126" t="str">
        <f t="shared" si="65"/>
        <v>2026/02</v>
      </c>
      <c r="B1474" s="127" t="str">
        <f t="shared" si="66"/>
        <v>2026/02忠孝國際醫學3樓</v>
      </c>
      <c r="C1474" s="138">
        <v>166</v>
      </c>
      <c r="D1474" s="139" t="s">
        <v>850</v>
      </c>
      <c r="E1474" s="484" t="s">
        <v>383</v>
      </c>
      <c r="F1474" s="484"/>
      <c r="G1474" s="484" t="s">
        <v>384</v>
      </c>
      <c r="H1474" s="484"/>
      <c r="I1474" s="484"/>
      <c r="J1474" s="484"/>
      <c r="K1474" s="140" t="s">
        <v>385</v>
      </c>
      <c r="L1474" s="141">
        <v>578</v>
      </c>
      <c r="M1474" s="123"/>
    </row>
    <row r="1475" spans="1:13" ht="17.25" customHeight="1" thickBot="1">
      <c r="A1475" s="126" t="str">
        <f t="shared" ref="A1475:A1487" si="67">IFERROR(LEFT(B1475,7),"")</f>
        <v>2026/02</v>
      </c>
      <c r="B1475" s="127" t="str">
        <f t="shared" ref="B1475:B1487" si="68">"2026/02"&amp;D1475</f>
        <v>2026/02忠孝國際醫學3樓</v>
      </c>
      <c r="C1475" s="138">
        <v>167</v>
      </c>
      <c r="D1475" s="139" t="s">
        <v>850</v>
      </c>
      <c r="E1475" s="484" t="s">
        <v>394</v>
      </c>
      <c r="F1475" s="484"/>
      <c r="G1475" s="484" t="s">
        <v>395</v>
      </c>
      <c r="H1475" s="484"/>
      <c r="I1475" s="484"/>
      <c r="J1475" s="484"/>
      <c r="K1475" s="140" t="s">
        <v>272</v>
      </c>
      <c r="L1475" s="141">
        <v>4</v>
      </c>
      <c r="M1475" s="123"/>
    </row>
    <row r="1476" spans="1:13" ht="17.25" customHeight="1" thickBot="1">
      <c r="A1476" s="126" t="str">
        <f t="shared" si="67"/>
        <v>2026/02</v>
      </c>
      <c r="B1476" s="127" t="str">
        <f t="shared" si="68"/>
        <v>2026/02忠孝國際醫學3樓</v>
      </c>
      <c r="C1476" s="138">
        <v>168</v>
      </c>
      <c r="D1476" s="139" t="s">
        <v>850</v>
      </c>
      <c r="E1476" s="484" t="s">
        <v>403</v>
      </c>
      <c r="F1476" s="484"/>
      <c r="G1476" s="484" t="s">
        <v>404</v>
      </c>
      <c r="H1476" s="484"/>
      <c r="I1476" s="484"/>
      <c r="J1476" s="484"/>
      <c r="K1476" s="140" t="s">
        <v>385</v>
      </c>
      <c r="L1476" s="141">
        <v>4</v>
      </c>
      <c r="M1476" s="123"/>
    </row>
    <row r="1477" spans="1:13" ht="17.25" customHeight="1" thickBot="1">
      <c r="A1477" s="126" t="str">
        <f t="shared" si="67"/>
        <v>2026/02</v>
      </c>
      <c r="B1477" s="127" t="str">
        <f t="shared" si="68"/>
        <v>2026/02忠孝國際醫學3樓</v>
      </c>
      <c r="C1477" s="138">
        <v>169</v>
      </c>
      <c r="D1477" s="139" t="s">
        <v>850</v>
      </c>
      <c r="E1477" s="484" t="s">
        <v>406</v>
      </c>
      <c r="F1477" s="484"/>
      <c r="G1477" s="484" t="s">
        <v>407</v>
      </c>
      <c r="H1477" s="484"/>
      <c r="I1477" s="484"/>
      <c r="J1477" s="484"/>
      <c r="K1477" s="140" t="s">
        <v>385</v>
      </c>
      <c r="L1477" s="141">
        <v>4</v>
      </c>
      <c r="M1477" s="123"/>
    </row>
    <row r="1478" spans="1:13" ht="17.25" customHeight="1" thickBot="1">
      <c r="A1478" s="126" t="str">
        <f t="shared" si="67"/>
        <v>2026/02</v>
      </c>
      <c r="B1478" s="127" t="str">
        <f t="shared" si="68"/>
        <v>2026/02忠孝國際醫學3樓</v>
      </c>
      <c r="C1478" s="138">
        <v>170</v>
      </c>
      <c r="D1478" s="139" t="s">
        <v>850</v>
      </c>
      <c r="E1478" s="484" t="s">
        <v>408</v>
      </c>
      <c r="F1478" s="484"/>
      <c r="G1478" s="484" t="s">
        <v>409</v>
      </c>
      <c r="H1478" s="484"/>
      <c r="I1478" s="484"/>
      <c r="J1478" s="484"/>
      <c r="K1478" s="140" t="s">
        <v>410</v>
      </c>
      <c r="L1478" s="141">
        <v>6</v>
      </c>
      <c r="M1478" s="123"/>
    </row>
    <row r="1479" spans="1:13" ht="17.25" customHeight="1" thickBot="1">
      <c r="A1479" s="126" t="str">
        <f t="shared" si="67"/>
        <v>2026/02</v>
      </c>
      <c r="B1479" s="127" t="str">
        <f t="shared" si="68"/>
        <v>2026/02忠孝國際醫學3樓</v>
      </c>
      <c r="C1479" s="138">
        <v>171</v>
      </c>
      <c r="D1479" s="139" t="s">
        <v>850</v>
      </c>
      <c r="E1479" s="484" t="s">
        <v>255</v>
      </c>
      <c r="F1479" s="484"/>
      <c r="G1479" s="484" t="s">
        <v>256</v>
      </c>
      <c r="H1479" s="484"/>
      <c r="I1479" s="484"/>
      <c r="J1479" s="484"/>
      <c r="K1479" s="140" t="s">
        <v>720</v>
      </c>
      <c r="L1479" s="141">
        <v>576</v>
      </c>
      <c r="M1479" s="123"/>
    </row>
    <row r="1480" spans="1:13" ht="17.25" customHeight="1" thickBot="1">
      <c r="A1480" s="126" t="str">
        <f t="shared" si="67"/>
        <v>2026/02</v>
      </c>
      <c r="B1480" s="127" t="str">
        <f t="shared" si="68"/>
        <v>2026/02忠孝國際醫學3樓</v>
      </c>
      <c r="C1480" s="138">
        <v>172</v>
      </c>
      <c r="D1480" s="139" t="s">
        <v>850</v>
      </c>
      <c r="E1480" s="484" t="s">
        <v>419</v>
      </c>
      <c r="F1480" s="484"/>
      <c r="G1480" s="484" t="s">
        <v>420</v>
      </c>
      <c r="H1480" s="484"/>
      <c r="I1480" s="484"/>
      <c r="J1480" s="484"/>
      <c r="K1480" s="140" t="s">
        <v>726</v>
      </c>
      <c r="L1480" s="141">
        <v>695</v>
      </c>
      <c r="M1480" s="123"/>
    </row>
    <row r="1481" spans="1:13" ht="17.25" customHeight="1" thickBot="1">
      <c r="A1481" s="126" t="str">
        <f t="shared" si="67"/>
        <v>2026/02</v>
      </c>
      <c r="B1481" s="127" t="str">
        <f t="shared" si="68"/>
        <v>2026/02忠孝國際醫學3樓</v>
      </c>
      <c r="C1481" s="138">
        <v>173</v>
      </c>
      <c r="D1481" s="139" t="s">
        <v>850</v>
      </c>
      <c r="E1481" s="484" t="s">
        <v>258</v>
      </c>
      <c r="F1481" s="484"/>
      <c r="G1481" s="484" t="s">
        <v>259</v>
      </c>
      <c r="H1481" s="484"/>
      <c r="I1481" s="484"/>
      <c r="J1481" s="484"/>
      <c r="K1481" s="140"/>
      <c r="L1481" s="141">
        <v>16</v>
      </c>
      <c r="M1481" s="123"/>
    </row>
    <row r="1482" spans="1:13" ht="17.25" customHeight="1" thickBot="1">
      <c r="A1482" s="126" t="str">
        <f t="shared" si="67"/>
        <v>2026/02</v>
      </c>
      <c r="B1482" s="127" t="str">
        <f t="shared" si="68"/>
        <v>2026/02忠孝國際醫學3樓</v>
      </c>
      <c r="C1482" s="138">
        <v>174</v>
      </c>
      <c r="D1482" s="139" t="s">
        <v>850</v>
      </c>
      <c r="E1482" s="484" t="s">
        <v>260</v>
      </c>
      <c r="F1482" s="484"/>
      <c r="G1482" s="484" t="s">
        <v>261</v>
      </c>
      <c r="H1482" s="484"/>
      <c r="I1482" s="484"/>
      <c r="J1482" s="484"/>
      <c r="K1482" s="140" t="s">
        <v>254</v>
      </c>
      <c r="L1482" s="141">
        <v>16</v>
      </c>
      <c r="M1482" s="123"/>
    </row>
    <row r="1483" spans="1:13" ht="17.25" customHeight="1" thickBot="1">
      <c r="A1483" s="126" t="str">
        <f t="shared" si="67"/>
        <v>2026/02</v>
      </c>
      <c r="B1483" s="127" t="str">
        <f t="shared" si="68"/>
        <v>2026/02忠孝國際醫學3樓</v>
      </c>
      <c r="C1483" s="138">
        <v>175</v>
      </c>
      <c r="D1483" s="139" t="s">
        <v>850</v>
      </c>
      <c r="E1483" s="484" t="s">
        <v>415</v>
      </c>
      <c r="F1483" s="484"/>
      <c r="G1483" s="484" t="s">
        <v>416</v>
      </c>
      <c r="H1483" s="484"/>
      <c r="I1483" s="484"/>
      <c r="J1483" s="484"/>
      <c r="K1483" s="140" t="s">
        <v>254</v>
      </c>
      <c r="L1483" s="141">
        <v>3</v>
      </c>
      <c r="M1483" s="123"/>
    </row>
    <row r="1484" spans="1:13" ht="17.25" customHeight="1" thickBot="1">
      <c r="A1484" s="126" t="str">
        <f t="shared" si="67"/>
        <v>2026/02</v>
      </c>
      <c r="B1484" s="127" t="str">
        <f t="shared" si="68"/>
        <v>2026/02忠孝國際醫學3樓</v>
      </c>
      <c r="C1484" s="138">
        <v>176</v>
      </c>
      <c r="D1484" s="139" t="s">
        <v>850</v>
      </c>
      <c r="E1484" s="484" t="s">
        <v>252</v>
      </c>
      <c r="F1484" s="484"/>
      <c r="G1484" s="484" t="s">
        <v>253</v>
      </c>
      <c r="H1484" s="484"/>
      <c r="I1484" s="484"/>
      <c r="J1484" s="484"/>
      <c r="K1484" s="140" t="s">
        <v>254</v>
      </c>
      <c r="L1484" s="141">
        <v>16</v>
      </c>
      <c r="M1484" s="123"/>
    </row>
    <row r="1485" spans="1:13" ht="17.25" customHeight="1" thickBot="1">
      <c r="A1485" s="126" t="str">
        <f t="shared" si="67"/>
        <v>2026/02</v>
      </c>
      <c r="B1485" s="127" t="str">
        <f t="shared" si="68"/>
        <v>2026/02忠孝國際醫學3樓</v>
      </c>
      <c r="C1485" s="138">
        <v>177</v>
      </c>
      <c r="D1485" s="139" t="s">
        <v>850</v>
      </c>
      <c r="E1485" s="484" t="s">
        <v>690</v>
      </c>
      <c r="F1485" s="484"/>
      <c r="G1485" s="484" t="s">
        <v>691</v>
      </c>
      <c r="H1485" s="484"/>
      <c r="I1485" s="484"/>
      <c r="J1485" s="484"/>
      <c r="K1485" s="140" t="s">
        <v>692</v>
      </c>
      <c r="L1485" s="141">
        <v>5</v>
      </c>
      <c r="M1485" s="123"/>
    </row>
    <row r="1486" spans="1:13" ht="17.25" customHeight="1" thickBot="1">
      <c r="A1486" s="126" t="str">
        <f t="shared" si="67"/>
        <v>2026/02</v>
      </c>
      <c r="B1486" s="127" t="str">
        <f t="shared" si="68"/>
        <v>2026/02忠孝國際醫學3樓</v>
      </c>
      <c r="C1486" s="138">
        <v>178</v>
      </c>
      <c r="D1486" s="139" t="s">
        <v>850</v>
      </c>
      <c r="E1486" s="484" t="s">
        <v>386</v>
      </c>
      <c r="F1486" s="484"/>
      <c r="G1486" s="484" t="s">
        <v>387</v>
      </c>
      <c r="H1486" s="484"/>
      <c r="I1486" s="484"/>
      <c r="J1486" s="484"/>
      <c r="K1486" s="140" t="s">
        <v>388</v>
      </c>
      <c r="L1486" s="141">
        <v>2352</v>
      </c>
      <c r="M1486" s="123"/>
    </row>
    <row r="1487" spans="1:13" ht="17.25" customHeight="1" thickBot="1">
      <c r="A1487" s="126" t="str">
        <f t="shared" si="67"/>
        <v>2026/02</v>
      </c>
      <c r="B1487" s="127" t="str">
        <f t="shared" si="68"/>
        <v>2026/02忠孝國際醫學3樓</v>
      </c>
      <c r="C1487" s="138">
        <v>179</v>
      </c>
      <c r="D1487" s="139" t="s">
        <v>850</v>
      </c>
      <c r="E1487" s="484" t="s">
        <v>401</v>
      </c>
      <c r="F1487" s="484"/>
      <c r="G1487" s="484" t="s">
        <v>402</v>
      </c>
      <c r="H1487" s="484"/>
      <c r="I1487" s="484"/>
      <c r="J1487" s="484"/>
      <c r="K1487" s="140" t="s">
        <v>145</v>
      </c>
      <c r="L1487" s="141">
        <v>9</v>
      </c>
      <c r="M1487" s="123"/>
    </row>
    <row r="1488" spans="1:13" ht="18" customHeight="1" thickBot="1">
      <c r="A1488" s="126" t="str">
        <f t="shared" ref="A1488:A1510" si="69">IFERROR(LEFT(B1488,7),"")</f>
        <v>2026/02</v>
      </c>
      <c r="B1488" s="127" t="str">
        <f t="shared" ref="B1488:B1510" si="70">"2026/02"&amp;D1488</f>
        <v>2026/02忠孝國際醫學3樓</v>
      </c>
      <c r="C1488" s="138">
        <v>180</v>
      </c>
      <c r="D1488" s="139" t="s">
        <v>850</v>
      </c>
      <c r="E1488" s="484" t="s">
        <v>417</v>
      </c>
      <c r="F1488" s="484"/>
      <c r="G1488" s="484" t="s">
        <v>418</v>
      </c>
      <c r="H1488" s="484"/>
      <c r="I1488" s="484"/>
      <c r="J1488" s="484"/>
      <c r="K1488" s="140" t="s">
        <v>145</v>
      </c>
      <c r="L1488" s="141">
        <v>5</v>
      </c>
      <c r="M1488" s="123"/>
    </row>
    <row r="1489" spans="1:13" ht="17.25" customHeight="1" thickBot="1">
      <c r="A1489" s="126" t="str">
        <f t="shared" si="69"/>
        <v>2026/02</v>
      </c>
      <c r="B1489" s="127" t="str">
        <f t="shared" si="70"/>
        <v>2026/02忠孝國際醫學3樓</v>
      </c>
      <c r="C1489" s="138">
        <v>181</v>
      </c>
      <c r="D1489" s="139" t="s">
        <v>850</v>
      </c>
      <c r="E1489" s="484" t="s">
        <v>411</v>
      </c>
      <c r="F1489" s="484"/>
      <c r="G1489" s="484" t="s">
        <v>412</v>
      </c>
      <c r="H1489" s="484"/>
      <c r="I1489" s="484"/>
      <c r="J1489" s="484"/>
      <c r="K1489" s="140" t="s">
        <v>433</v>
      </c>
      <c r="L1489" s="141">
        <v>1</v>
      </c>
      <c r="M1489" s="123"/>
    </row>
    <row r="1490" spans="1:13" ht="17.25" customHeight="1" thickBot="1">
      <c r="A1490" s="126" t="str">
        <f t="shared" si="69"/>
        <v>2026/02</v>
      </c>
      <c r="B1490" s="127" t="str">
        <f t="shared" si="70"/>
        <v>2026/02忠孝國際醫學3樓</v>
      </c>
      <c r="C1490" s="138">
        <v>182</v>
      </c>
      <c r="D1490" s="139" t="s">
        <v>850</v>
      </c>
      <c r="E1490" s="484" t="s">
        <v>422</v>
      </c>
      <c r="F1490" s="484"/>
      <c r="G1490" s="484" t="s">
        <v>423</v>
      </c>
      <c r="H1490" s="484"/>
      <c r="I1490" s="484"/>
      <c r="J1490" s="484"/>
      <c r="K1490" s="140" t="s">
        <v>433</v>
      </c>
      <c r="L1490" s="141">
        <v>1</v>
      </c>
      <c r="M1490" s="123"/>
    </row>
    <row r="1491" spans="1:13" ht="17.25" customHeight="1" thickBot="1">
      <c r="A1491" s="126" t="str">
        <f t="shared" si="69"/>
        <v>2026/02</v>
      </c>
      <c r="B1491" s="127" t="str">
        <f t="shared" si="70"/>
        <v>2026/02忠孝國際醫學3樓</v>
      </c>
      <c r="C1491" s="138">
        <v>183</v>
      </c>
      <c r="D1491" s="139" t="s">
        <v>850</v>
      </c>
      <c r="E1491" s="484" t="s">
        <v>399</v>
      </c>
      <c r="F1491" s="484"/>
      <c r="G1491" s="484" t="s">
        <v>400</v>
      </c>
      <c r="H1491" s="484"/>
      <c r="I1491" s="484"/>
      <c r="J1491" s="484"/>
      <c r="K1491" s="140" t="s">
        <v>433</v>
      </c>
      <c r="L1491" s="141">
        <v>16</v>
      </c>
      <c r="M1491" s="123"/>
    </row>
    <row r="1492" spans="1:13" ht="17.25" customHeight="1" thickBot="1">
      <c r="A1492" s="126" t="str">
        <f t="shared" si="69"/>
        <v>2026/02</v>
      </c>
      <c r="B1492" s="127" t="str">
        <f t="shared" si="70"/>
        <v>2026/02忠孝國際醫學3樓</v>
      </c>
      <c r="C1492" s="138">
        <v>184</v>
      </c>
      <c r="D1492" s="139" t="s">
        <v>850</v>
      </c>
      <c r="E1492" s="484" t="s">
        <v>431</v>
      </c>
      <c r="F1492" s="484"/>
      <c r="G1492" s="484" t="s">
        <v>432</v>
      </c>
      <c r="H1492" s="484"/>
      <c r="I1492" s="484"/>
      <c r="J1492" s="484"/>
      <c r="K1492" s="140" t="s">
        <v>746</v>
      </c>
      <c r="L1492" s="141">
        <v>201</v>
      </c>
      <c r="M1492" s="123"/>
    </row>
    <row r="1493" spans="1:13" ht="17.25" customHeight="1" thickBot="1">
      <c r="A1493" s="126" t="str">
        <f t="shared" si="69"/>
        <v>2026/02</v>
      </c>
      <c r="B1493" s="127" t="str">
        <f t="shared" si="70"/>
        <v>2026/02忠孝國際醫學3樓</v>
      </c>
      <c r="C1493" s="138">
        <v>185</v>
      </c>
      <c r="D1493" s="139" t="s">
        <v>850</v>
      </c>
      <c r="E1493" s="484" t="s">
        <v>711</v>
      </c>
      <c r="F1493" s="484"/>
      <c r="G1493" s="484" t="s">
        <v>700</v>
      </c>
      <c r="H1493" s="484"/>
      <c r="I1493" s="484"/>
      <c r="J1493" s="484"/>
      <c r="K1493" s="140" t="s">
        <v>433</v>
      </c>
      <c r="L1493" s="141">
        <v>3</v>
      </c>
      <c r="M1493" s="123"/>
    </row>
    <row r="1494" spans="1:13" ht="17.25" customHeight="1" thickBot="1">
      <c r="A1494" s="126" t="str">
        <f t="shared" si="69"/>
        <v>2026/02</v>
      </c>
      <c r="B1494" s="127" t="str">
        <f t="shared" si="70"/>
        <v>2026/02忠孝國際醫學3樓</v>
      </c>
      <c r="C1494" s="138">
        <v>186</v>
      </c>
      <c r="D1494" s="139" t="s">
        <v>850</v>
      </c>
      <c r="E1494" s="484" t="s">
        <v>701</v>
      </c>
      <c r="F1494" s="484"/>
      <c r="G1494" s="484" t="s">
        <v>702</v>
      </c>
      <c r="H1494" s="484"/>
      <c r="I1494" s="484"/>
      <c r="J1494" s="484"/>
      <c r="K1494" s="140" t="s">
        <v>849</v>
      </c>
      <c r="L1494" s="141">
        <v>2</v>
      </c>
      <c r="M1494" s="123"/>
    </row>
    <row r="1495" spans="1:13" ht="17.25" customHeight="1" thickBot="1">
      <c r="A1495" s="126" t="str">
        <f t="shared" si="69"/>
        <v>2026/02</v>
      </c>
      <c r="B1495" s="127" t="str">
        <f t="shared" si="70"/>
        <v>2026/02忠孝國際醫學3樓</v>
      </c>
      <c r="C1495" s="138">
        <v>187</v>
      </c>
      <c r="D1495" s="139" t="s">
        <v>850</v>
      </c>
      <c r="E1495" s="484" t="s">
        <v>693</v>
      </c>
      <c r="F1495" s="484"/>
      <c r="G1495" s="484" t="s">
        <v>694</v>
      </c>
      <c r="H1495" s="484"/>
      <c r="I1495" s="484"/>
      <c r="J1495" s="484"/>
      <c r="K1495" s="140" t="s">
        <v>747</v>
      </c>
      <c r="L1495" s="141">
        <v>1269.5</v>
      </c>
      <c r="M1495" s="123"/>
    </row>
    <row r="1496" spans="1:13" ht="17.25" customHeight="1" thickBot="1">
      <c r="A1496" s="126" t="str">
        <f t="shared" si="69"/>
        <v>2026/02</v>
      </c>
      <c r="B1496" s="127" t="str">
        <f t="shared" si="70"/>
        <v>2026/02忠孝健康7樓</v>
      </c>
      <c r="C1496" s="138">
        <v>188</v>
      </c>
      <c r="D1496" s="139" t="s">
        <v>861</v>
      </c>
      <c r="E1496" s="484" t="s">
        <v>360</v>
      </c>
      <c r="F1496" s="484"/>
      <c r="G1496" s="484" t="s">
        <v>361</v>
      </c>
      <c r="H1496" s="484"/>
      <c r="I1496" s="484"/>
      <c r="J1496" s="484"/>
      <c r="K1496" s="140" t="s">
        <v>362</v>
      </c>
      <c r="L1496" s="141">
        <v>4</v>
      </c>
      <c r="M1496" s="123"/>
    </row>
    <row r="1497" spans="1:13" ht="17.25" customHeight="1" thickBot="1">
      <c r="A1497" s="126" t="str">
        <f t="shared" si="69"/>
        <v>2026/02</v>
      </c>
      <c r="B1497" s="127" t="str">
        <f t="shared" si="70"/>
        <v>2026/02忠孝健康7樓</v>
      </c>
      <c r="C1497" s="138">
        <v>189</v>
      </c>
      <c r="D1497" s="139" t="s">
        <v>861</v>
      </c>
      <c r="E1497" s="484" t="s">
        <v>383</v>
      </c>
      <c r="F1497" s="484"/>
      <c r="G1497" s="484" t="s">
        <v>384</v>
      </c>
      <c r="H1497" s="484"/>
      <c r="I1497" s="484"/>
      <c r="J1497" s="484"/>
      <c r="K1497" s="140" t="s">
        <v>385</v>
      </c>
      <c r="L1497" s="141">
        <v>4</v>
      </c>
      <c r="M1497" s="123"/>
    </row>
    <row r="1498" spans="1:13" ht="17.25" customHeight="1" thickBot="1">
      <c r="A1498" s="126" t="str">
        <f t="shared" si="69"/>
        <v>2026/02</v>
      </c>
      <c r="B1498" s="127" t="str">
        <f t="shared" si="70"/>
        <v>2026/02忠孝健康7樓</v>
      </c>
      <c r="C1498" s="138">
        <v>190</v>
      </c>
      <c r="D1498" s="139" t="s">
        <v>861</v>
      </c>
      <c r="E1498" s="484" t="s">
        <v>258</v>
      </c>
      <c r="F1498" s="484"/>
      <c r="G1498" s="484" t="s">
        <v>259</v>
      </c>
      <c r="H1498" s="484"/>
      <c r="I1498" s="484"/>
      <c r="J1498" s="484"/>
      <c r="K1498" s="140"/>
      <c r="L1498" s="141">
        <v>4</v>
      </c>
      <c r="M1498" s="123"/>
    </row>
    <row r="1499" spans="1:13" ht="17.25" customHeight="1" thickBot="1">
      <c r="A1499" s="126" t="str">
        <f t="shared" si="69"/>
        <v>2026/02</v>
      </c>
      <c r="B1499" s="127" t="str">
        <f t="shared" si="70"/>
        <v>2026/02忠孝健康7樓</v>
      </c>
      <c r="C1499" s="138">
        <v>191</v>
      </c>
      <c r="D1499" s="139" t="s">
        <v>861</v>
      </c>
      <c r="E1499" s="484" t="s">
        <v>260</v>
      </c>
      <c r="F1499" s="484"/>
      <c r="G1499" s="484" t="s">
        <v>261</v>
      </c>
      <c r="H1499" s="484"/>
      <c r="I1499" s="484"/>
      <c r="J1499" s="484"/>
      <c r="K1499" s="140" t="s">
        <v>254</v>
      </c>
      <c r="L1499" s="141">
        <v>4</v>
      </c>
      <c r="M1499" s="123"/>
    </row>
    <row r="1500" spans="1:13" ht="17.25" customHeight="1" thickBot="1">
      <c r="A1500" s="126" t="str">
        <f t="shared" si="69"/>
        <v>2026/02</v>
      </c>
      <c r="B1500" s="127" t="str">
        <f t="shared" si="70"/>
        <v>2026/02忠孝健康7樓</v>
      </c>
      <c r="C1500" s="138">
        <v>192</v>
      </c>
      <c r="D1500" s="139" t="s">
        <v>861</v>
      </c>
      <c r="E1500" s="484" t="s">
        <v>262</v>
      </c>
      <c r="F1500" s="484"/>
      <c r="G1500" s="484" t="s">
        <v>263</v>
      </c>
      <c r="H1500" s="484"/>
      <c r="I1500" s="484"/>
      <c r="J1500" s="484"/>
      <c r="K1500" s="140" t="s">
        <v>254</v>
      </c>
      <c r="L1500" s="141">
        <v>10</v>
      </c>
      <c r="M1500" s="123"/>
    </row>
    <row r="1501" spans="1:13" ht="17.25" customHeight="1" thickBot="1">
      <c r="A1501" s="126" t="str">
        <f t="shared" si="69"/>
        <v>2026/02</v>
      </c>
      <c r="B1501" s="127" t="str">
        <f t="shared" si="70"/>
        <v>2026/02忠孝健康7樓</v>
      </c>
      <c r="C1501" s="138">
        <v>193</v>
      </c>
      <c r="D1501" s="139" t="s">
        <v>861</v>
      </c>
      <c r="E1501" s="484" t="s">
        <v>270</v>
      </c>
      <c r="F1501" s="484"/>
      <c r="G1501" s="484" t="s">
        <v>271</v>
      </c>
      <c r="H1501" s="484"/>
      <c r="I1501" s="484"/>
      <c r="J1501" s="484"/>
      <c r="K1501" s="140" t="s">
        <v>272</v>
      </c>
      <c r="L1501" s="141">
        <v>17</v>
      </c>
      <c r="M1501" s="123"/>
    </row>
    <row r="1502" spans="1:13" ht="17.25" customHeight="1" thickBot="1">
      <c r="A1502" s="126" t="str">
        <f t="shared" si="69"/>
        <v>2026/02</v>
      </c>
      <c r="B1502" s="127" t="str">
        <f t="shared" si="70"/>
        <v>2026/02忠孝健康7樓</v>
      </c>
      <c r="C1502" s="138">
        <v>194</v>
      </c>
      <c r="D1502" s="139" t="s">
        <v>861</v>
      </c>
      <c r="E1502" s="484" t="s">
        <v>252</v>
      </c>
      <c r="F1502" s="484"/>
      <c r="G1502" s="484" t="s">
        <v>253</v>
      </c>
      <c r="H1502" s="484"/>
      <c r="I1502" s="484"/>
      <c r="J1502" s="484"/>
      <c r="K1502" s="140" t="s">
        <v>254</v>
      </c>
      <c r="L1502" s="141">
        <v>9</v>
      </c>
      <c r="M1502" s="123"/>
    </row>
    <row r="1503" spans="1:13" ht="17.25" customHeight="1" thickBot="1">
      <c r="A1503" s="126" t="str">
        <f t="shared" si="69"/>
        <v>2026/02</v>
      </c>
      <c r="B1503" s="127" t="str">
        <f t="shared" si="70"/>
        <v>2026/02忠孝健康7樓</v>
      </c>
      <c r="C1503" s="138">
        <v>195</v>
      </c>
      <c r="D1503" s="139" t="s">
        <v>861</v>
      </c>
      <c r="E1503" s="484" t="s">
        <v>690</v>
      </c>
      <c r="F1503" s="484"/>
      <c r="G1503" s="484" t="s">
        <v>691</v>
      </c>
      <c r="H1503" s="484"/>
      <c r="I1503" s="484"/>
      <c r="J1503" s="484"/>
      <c r="K1503" s="140" t="s">
        <v>692</v>
      </c>
      <c r="L1503" s="141">
        <v>4</v>
      </c>
      <c r="M1503" s="123"/>
    </row>
    <row r="1504" spans="1:13" ht="17.25" customHeight="1" thickBot="1">
      <c r="A1504" s="126" t="str">
        <f t="shared" si="69"/>
        <v>2026/02</v>
      </c>
      <c r="B1504" s="127" t="str">
        <f t="shared" si="70"/>
        <v>2026/02忠孝健康7樓</v>
      </c>
      <c r="C1504" s="138">
        <v>196</v>
      </c>
      <c r="D1504" s="139" t="s">
        <v>861</v>
      </c>
      <c r="E1504" s="484" t="s">
        <v>305</v>
      </c>
      <c r="F1504" s="484"/>
      <c r="G1504" s="484" t="s">
        <v>675</v>
      </c>
      <c r="H1504" s="484"/>
      <c r="I1504" s="484"/>
      <c r="J1504" s="484"/>
      <c r="K1504" s="140" t="s">
        <v>676</v>
      </c>
      <c r="L1504" s="141">
        <v>399</v>
      </c>
      <c r="M1504" s="123"/>
    </row>
    <row r="1505" spans="1:13" ht="17.25" customHeight="1" thickBot="1">
      <c r="A1505" s="126" t="str">
        <f t="shared" si="69"/>
        <v>2026/02</v>
      </c>
      <c r="B1505" s="127" t="str">
        <f t="shared" si="70"/>
        <v>2026/02忠孝健康7樓</v>
      </c>
      <c r="C1505" s="138">
        <v>197</v>
      </c>
      <c r="D1505" s="139" t="s">
        <v>861</v>
      </c>
      <c r="E1505" s="484" t="s">
        <v>264</v>
      </c>
      <c r="F1505" s="484"/>
      <c r="G1505" s="484" t="s">
        <v>677</v>
      </c>
      <c r="H1505" s="484"/>
      <c r="I1505" s="484"/>
      <c r="J1505" s="484"/>
      <c r="K1505" s="140" t="s">
        <v>678</v>
      </c>
      <c r="L1505" s="141">
        <v>583</v>
      </c>
      <c r="M1505" s="123"/>
    </row>
    <row r="1506" spans="1:13" ht="17.25" customHeight="1" thickBot="1">
      <c r="A1506" s="126" t="str">
        <f t="shared" si="69"/>
        <v>2026/02</v>
      </c>
      <c r="B1506" s="127" t="str">
        <f t="shared" si="70"/>
        <v>2026/02忠孝健康7樓</v>
      </c>
      <c r="C1506" s="138">
        <v>198</v>
      </c>
      <c r="D1506" s="139" t="s">
        <v>861</v>
      </c>
      <c r="E1506" s="484" t="s">
        <v>307</v>
      </c>
      <c r="F1506" s="484"/>
      <c r="G1506" s="484" t="s">
        <v>679</v>
      </c>
      <c r="H1506" s="484"/>
      <c r="I1506" s="484"/>
      <c r="J1506" s="484"/>
      <c r="K1506" s="140" t="s">
        <v>678</v>
      </c>
      <c r="L1506" s="141">
        <v>10</v>
      </c>
      <c r="M1506" s="123"/>
    </row>
    <row r="1507" spans="1:13" ht="17.25" customHeight="1" thickBot="1">
      <c r="A1507" s="126" t="str">
        <f t="shared" si="69"/>
        <v>2026/02</v>
      </c>
      <c r="B1507" s="127" t="str">
        <f t="shared" si="70"/>
        <v>2026/02忠孝健康7樓</v>
      </c>
      <c r="C1507" s="138">
        <v>199</v>
      </c>
      <c r="D1507" s="139" t="s">
        <v>861</v>
      </c>
      <c r="E1507" s="484" t="s">
        <v>313</v>
      </c>
      <c r="F1507" s="484"/>
      <c r="G1507" s="484" t="s">
        <v>314</v>
      </c>
      <c r="H1507" s="484"/>
      <c r="I1507" s="484"/>
      <c r="J1507" s="484"/>
      <c r="K1507" s="140" t="s">
        <v>301</v>
      </c>
      <c r="L1507" s="141">
        <v>14</v>
      </c>
      <c r="M1507" s="123"/>
    </row>
    <row r="1508" spans="1:13" ht="17.25" customHeight="1" thickBot="1">
      <c r="A1508" s="126" t="str">
        <f t="shared" si="69"/>
        <v>2026/02</v>
      </c>
      <c r="B1508" s="127" t="str">
        <f t="shared" si="70"/>
        <v>2026/02忠孝健康7樓</v>
      </c>
      <c r="C1508" s="138">
        <v>200</v>
      </c>
      <c r="D1508" s="139" t="s">
        <v>861</v>
      </c>
      <c r="E1508" s="484" t="s">
        <v>349</v>
      </c>
      <c r="F1508" s="484"/>
      <c r="G1508" s="484" t="s">
        <v>350</v>
      </c>
      <c r="H1508" s="484"/>
      <c r="I1508" s="484"/>
      <c r="J1508" s="484"/>
      <c r="K1508" s="140" t="s">
        <v>301</v>
      </c>
      <c r="L1508" s="141">
        <v>2</v>
      </c>
      <c r="M1508" s="123"/>
    </row>
    <row r="1509" spans="1:13" ht="17.25" customHeight="1" thickBot="1">
      <c r="A1509" s="126" t="str">
        <f t="shared" si="69"/>
        <v>2026/02</v>
      </c>
      <c r="B1509" s="127" t="str">
        <f t="shared" si="70"/>
        <v>2026/02忠孝健康7樓</v>
      </c>
      <c r="C1509" s="138">
        <v>201</v>
      </c>
      <c r="D1509" s="139" t="s">
        <v>861</v>
      </c>
      <c r="E1509" s="484" t="s">
        <v>282</v>
      </c>
      <c r="F1509" s="484"/>
      <c r="G1509" s="484" t="s">
        <v>283</v>
      </c>
      <c r="H1509" s="484"/>
      <c r="I1509" s="484"/>
      <c r="J1509" s="484"/>
      <c r="K1509" s="140" t="s">
        <v>284</v>
      </c>
      <c r="L1509" s="141">
        <v>5</v>
      </c>
      <c r="M1509" s="123"/>
    </row>
    <row r="1510" spans="1:13" ht="17.25" customHeight="1" thickBot="1">
      <c r="A1510" s="126" t="str">
        <f t="shared" si="69"/>
        <v>2026/02</v>
      </c>
      <c r="B1510" s="127" t="str">
        <f t="shared" si="70"/>
        <v>2026/02忠孝健康7樓</v>
      </c>
      <c r="C1510" s="138">
        <v>202</v>
      </c>
      <c r="D1510" s="139" t="s">
        <v>861</v>
      </c>
      <c r="E1510" s="484" t="s">
        <v>299</v>
      </c>
      <c r="F1510" s="484"/>
      <c r="G1510" s="484" t="s">
        <v>300</v>
      </c>
      <c r="H1510" s="484"/>
      <c r="I1510" s="484"/>
      <c r="J1510" s="484"/>
      <c r="K1510" s="140" t="s">
        <v>301</v>
      </c>
      <c r="L1510" s="141">
        <v>4</v>
      </c>
      <c r="M1510" s="123"/>
    </row>
    <row r="1511" spans="1:13" ht="17.25" thickBot="1">
      <c r="A1511" s="126" t="str">
        <f t="shared" ref="A1511:A1536" si="71">IFERROR(LEFT(B1511,7),"")</f>
        <v>2026/02</v>
      </c>
      <c r="B1511" s="127" t="str">
        <f t="shared" ref="B1511:B1536" si="72">"2026/02"&amp;D1511</f>
        <v>2026/02忠孝健康7樓</v>
      </c>
      <c r="C1511" s="138">
        <v>203</v>
      </c>
      <c r="D1511" s="139" t="s">
        <v>861</v>
      </c>
      <c r="E1511" s="484" t="s">
        <v>276</v>
      </c>
      <c r="F1511" s="484"/>
      <c r="G1511" s="484" t="s">
        <v>277</v>
      </c>
      <c r="H1511" s="484"/>
      <c r="I1511" s="484"/>
      <c r="J1511" s="484"/>
      <c r="K1511" s="140" t="s">
        <v>278</v>
      </c>
      <c r="L1511" s="141">
        <v>13</v>
      </c>
      <c r="M1511" s="123"/>
    </row>
    <row r="1512" spans="1:13" ht="17.25" thickBot="1">
      <c r="A1512" s="126" t="str">
        <f t="shared" si="71"/>
        <v>2026/02</v>
      </c>
      <c r="B1512" s="127" t="str">
        <f t="shared" si="72"/>
        <v>2026/02忠孝健康7樓</v>
      </c>
      <c r="C1512" s="138">
        <v>204</v>
      </c>
      <c r="D1512" s="139" t="s">
        <v>861</v>
      </c>
      <c r="E1512" s="484" t="s">
        <v>273</v>
      </c>
      <c r="F1512" s="484"/>
      <c r="G1512" s="484" t="s">
        <v>274</v>
      </c>
      <c r="H1512" s="484"/>
      <c r="I1512" s="484"/>
      <c r="J1512" s="484"/>
      <c r="K1512" s="140" t="s">
        <v>275</v>
      </c>
      <c r="L1512" s="141">
        <v>51</v>
      </c>
      <c r="M1512" s="123"/>
    </row>
    <row r="1513" spans="1:13" ht="17.25" thickBot="1">
      <c r="A1513" s="126" t="str">
        <f t="shared" si="71"/>
        <v>2026/02</v>
      </c>
      <c r="B1513" s="127" t="str">
        <f t="shared" si="72"/>
        <v>2026/02忠孝健康7樓</v>
      </c>
      <c r="C1513" s="138">
        <v>205</v>
      </c>
      <c r="D1513" s="139" t="s">
        <v>861</v>
      </c>
      <c r="E1513" s="484" t="s">
        <v>285</v>
      </c>
      <c r="F1513" s="484"/>
      <c r="G1513" s="484" t="s">
        <v>286</v>
      </c>
      <c r="H1513" s="484"/>
      <c r="I1513" s="484"/>
      <c r="J1513" s="484"/>
      <c r="K1513" s="140" t="s">
        <v>287</v>
      </c>
      <c r="L1513" s="141">
        <v>1169</v>
      </c>
      <c r="M1513" s="123"/>
    </row>
    <row r="1514" spans="1:13" ht="17.25" thickBot="1">
      <c r="A1514" s="126" t="str">
        <f t="shared" si="71"/>
        <v>2026/02</v>
      </c>
      <c r="B1514" s="127" t="str">
        <f t="shared" si="72"/>
        <v>2026/02忠孝健康7樓</v>
      </c>
      <c r="C1514" s="138">
        <v>206</v>
      </c>
      <c r="D1514" s="139" t="s">
        <v>861</v>
      </c>
      <c r="E1514" s="484" t="s">
        <v>290</v>
      </c>
      <c r="F1514" s="484"/>
      <c r="G1514" s="484" t="s">
        <v>291</v>
      </c>
      <c r="H1514" s="484"/>
      <c r="I1514" s="484"/>
      <c r="J1514" s="484"/>
      <c r="K1514" s="140" t="s">
        <v>287</v>
      </c>
      <c r="L1514" s="141">
        <v>3555</v>
      </c>
      <c r="M1514" s="123"/>
    </row>
    <row r="1515" spans="1:13" ht="17.25" thickBot="1">
      <c r="A1515" s="126" t="str">
        <f t="shared" si="71"/>
        <v>2026/02</v>
      </c>
      <c r="B1515" s="127" t="str">
        <f t="shared" si="72"/>
        <v>2026/02忠孝健康7樓</v>
      </c>
      <c r="C1515" s="138">
        <v>207</v>
      </c>
      <c r="D1515" s="139" t="s">
        <v>861</v>
      </c>
      <c r="E1515" s="484" t="s">
        <v>292</v>
      </c>
      <c r="F1515" s="484"/>
      <c r="G1515" s="484" t="s">
        <v>293</v>
      </c>
      <c r="H1515" s="484"/>
      <c r="I1515" s="484"/>
      <c r="J1515" s="484"/>
      <c r="K1515" s="140" t="s">
        <v>287</v>
      </c>
      <c r="L1515" s="141">
        <v>4857</v>
      </c>
      <c r="M1515" s="123"/>
    </row>
    <row r="1516" spans="1:13" ht="17.25" thickBot="1">
      <c r="A1516" s="126" t="str">
        <f t="shared" si="71"/>
        <v>2026/02</v>
      </c>
      <c r="B1516" s="127" t="str">
        <f t="shared" si="72"/>
        <v>2026/02忠孝健康7樓</v>
      </c>
      <c r="C1516" s="138">
        <v>208</v>
      </c>
      <c r="D1516" s="139" t="s">
        <v>861</v>
      </c>
      <c r="E1516" s="484" t="s">
        <v>323</v>
      </c>
      <c r="F1516" s="484"/>
      <c r="G1516" s="484" t="s">
        <v>324</v>
      </c>
      <c r="H1516" s="484"/>
      <c r="I1516" s="484"/>
      <c r="J1516" s="484"/>
      <c r="K1516" s="140" t="s">
        <v>721</v>
      </c>
      <c r="L1516" s="141">
        <v>1420</v>
      </c>
      <c r="M1516" s="123"/>
    </row>
    <row r="1517" spans="1:13" ht="17.25" thickBot="1">
      <c r="A1517" s="126" t="str">
        <f t="shared" si="71"/>
        <v>2026/02</v>
      </c>
      <c r="B1517" s="127" t="str">
        <f t="shared" si="72"/>
        <v>2026/02忠孝健康7樓</v>
      </c>
      <c r="C1517" s="138">
        <v>209</v>
      </c>
      <c r="D1517" s="139" t="s">
        <v>861</v>
      </c>
      <c r="E1517" s="484" t="s">
        <v>359</v>
      </c>
      <c r="F1517" s="484"/>
      <c r="G1517" s="484" t="s">
        <v>138</v>
      </c>
      <c r="H1517" s="484"/>
      <c r="I1517" s="484"/>
      <c r="J1517" s="484"/>
      <c r="K1517" s="140" t="s">
        <v>146</v>
      </c>
      <c r="L1517" s="141">
        <v>2</v>
      </c>
      <c r="M1517" s="123"/>
    </row>
    <row r="1518" spans="1:13" ht="17.25" thickBot="1">
      <c r="A1518" s="126" t="str">
        <f t="shared" si="71"/>
        <v>2026/02</v>
      </c>
      <c r="B1518" s="127" t="str">
        <f t="shared" si="72"/>
        <v>2026/02忠孝健康7樓</v>
      </c>
      <c r="C1518" s="138">
        <v>210</v>
      </c>
      <c r="D1518" s="139" t="s">
        <v>861</v>
      </c>
      <c r="E1518" s="484" t="s">
        <v>326</v>
      </c>
      <c r="F1518" s="484"/>
      <c r="G1518" s="484" t="s">
        <v>327</v>
      </c>
      <c r="H1518" s="484"/>
      <c r="I1518" s="484"/>
      <c r="J1518" s="484"/>
      <c r="K1518" s="140" t="s">
        <v>287</v>
      </c>
      <c r="L1518" s="141">
        <v>1301</v>
      </c>
      <c r="M1518" s="123"/>
    </row>
    <row r="1519" spans="1:13" ht="17.25" thickBot="1">
      <c r="A1519" s="126" t="str">
        <f t="shared" si="71"/>
        <v>2026/02</v>
      </c>
      <c r="B1519" s="127" t="str">
        <f t="shared" si="72"/>
        <v>2026/02忠孝健康7樓</v>
      </c>
      <c r="C1519" s="138">
        <v>211</v>
      </c>
      <c r="D1519" s="139" t="s">
        <v>861</v>
      </c>
      <c r="E1519" s="484" t="s">
        <v>328</v>
      </c>
      <c r="F1519" s="484"/>
      <c r="G1519" s="484" t="s">
        <v>329</v>
      </c>
      <c r="H1519" s="484"/>
      <c r="I1519" s="484"/>
      <c r="J1519" s="484"/>
      <c r="K1519" s="140" t="s">
        <v>287</v>
      </c>
      <c r="L1519" s="141">
        <v>5799</v>
      </c>
      <c r="M1519" s="123"/>
    </row>
    <row r="1520" spans="1:13" ht="17.25" thickBot="1">
      <c r="A1520" s="126" t="str">
        <f t="shared" si="71"/>
        <v>2026/02</v>
      </c>
      <c r="B1520" s="127" t="str">
        <f t="shared" si="72"/>
        <v>2026/02忠孝健康7樓</v>
      </c>
      <c r="C1520" s="138">
        <v>212</v>
      </c>
      <c r="D1520" s="139" t="s">
        <v>861</v>
      </c>
      <c r="E1520" s="484" t="s">
        <v>330</v>
      </c>
      <c r="F1520" s="484"/>
      <c r="G1520" s="484" t="s">
        <v>331</v>
      </c>
      <c r="H1520" s="484"/>
      <c r="I1520" s="484"/>
      <c r="J1520" s="484"/>
      <c r="K1520" s="140" t="s">
        <v>287</v>
      </c>
      <c r="L1520" s="141">
        <v>1600</v>
      </c>
      <c r="M1520" s="123"/>
    </row>
    <row r="1521" spans="1:13" ht="17.25" thickBot="1">
      <c r="A1521" s="126" t="str">
        <f t="shared" si="71"/>
        <v>2026/02</v>
      </c>
      <c r="B1521" s="127" t="str">
        <f t="shared" si="72"/>
        <v>2026/02忠孝健康7樓</v>
      </c>
      <c r="C1521" s="138">
        <v>213</v>
      </c>
      <c r="D1521" s="139" t="s">
        <v>861</v>
      </c>
      <c r="E1521" s="484" t="s">
        <v>302</v>
      </c>
      <c r="F1521" s="484"/>
      <c r="G1521" s="484" t="s">
        <v>303</v>
      </c>
      <c r="H1521" s="484"/>
      <c r="I1521" s="484"/>
      <c r="J1521" s="484"/>
      <c r="K1521" s="140" t="s">
        <v>304</v>
      </c>
      <c r="L1521" s="141">
        <v>600</v>
      </c>
      <c r="M1521" s="123"/>
    </row>
    <row r="1522" spans="1:13" ht="17.25" thickBot="1">
      <c r="A1522" s="126" t="str">
        <f t="shared" si="71"/>
        <v>2026/02</v>
      </c>
      <c r="B1522" s="127" t="str">
        <f t="shared" si="72"/>
        <v>2026/02忠孝健康7樓</v>
      </c>
      <c r="C1522" s="138">
        <v>214</v>
      </c>
      <c r="D1522" s="139" t="s">
        <v>861</v>
      </c>
      <c r="E1522" s="484" t="s">
        <v>705</v>
      </c>
      <c r="F1522" s="484"/>
      <c r="G1522" s="484" t="s">
        <v>706</v>
      </c>
      <c r="H1522" s="484"/>
      <c r="I1522" s="484"/>
      <c r="J1522" s="484"/>
      <c r="K1522" s="140" t="s">
        <v>707</v>
      </c>
      <c r="L1522" s="141">
        <v>2400</v>
      </c>
      <c r="M1522" s="123"/>
    </row>
    <row r="1523" spans="1:13" ht="17.25" thickBot="1">
      <c r="A1523" s="126" t="str">
        <f t="shared" si="71"/>
        <v>2026/02</v>
      </c>
      <c r="B1523" s="127" t="str">
        <f t="shared" si="72"/>
        <v>2026/02忠孝健康7樓</v>
      </c>
      <c r="C1523" s="138">
        <v>215</v>
      </c>
      <c r="D1523" s="139" t="s">
        <v>861</v>
      </c>
      <c r="E1523" s="484" t="s">
        <v>279</v>
      </c>
      <c r="F1523" s="484"/>
      <c r="G1523" s="484" t="s">
        <v>280</v>
      </c>
      <c r="H1523" s="484"/>
      <c r="I1523" s="484"/>
      <c r="J1523" s="484"/>
      <c r="K1523" s="140" t="s">
        <v>281</v>
      </c>
      <c r="L1523" s="141">
        <v>18000</v>
      </c>
      <c r="M1523" s="123"/>
    </row>
    <row r="1524" spans="1:13" ht="17.25" thickBot="1">
      <c r="A1524" s="126" t="str">
        <f t="shared" si="71"/>
        <v>2026/02</v>
      </c>
      <c r="B1524" s="127" t="str">
        <f t="shared" si="72"/>
        <v>2026/02忠孝健康7樓</v>
      </c>
      <c r="C1524" s="138">
        <v>216</v>
      </c>
      <c r="D1524" s="139" t="s">
        <v>861</v>
      </c>
      <c r="E1524" s="484" t="s">
        <v>288</v>
      </c>
      <c r="F1524" s="484"/>
      <c r="G1524" s="484" t="s">
        <v>289</v>
      </c>
      <c r="H1524" s="484"/>
      <c r="I1524" s="484"/>
      <c r="J1524" s="484"/>
      <c r="K1524" s="140" t="s">
        <v>281</v>
      </c>
      <c r="L1524" s="141">
        <v>4010</v>
      </c>
      <c r="M1524" s="123"/>
    </row>
    <row r="1525" spans="1:13" ht="17.25" thickBot="1">
      <c r="A1525" s="126" t="str">
        <f t="shared" si="71"/>
        <v>2026/02</v>
      </c>
      <c r="B1525" s="127" t="str">
        <f t="shared" si="72"/>
        <v>2026/02忠孝健康7樓</v>
      </c>
      <c r="C1525" s="138">
        <v>217</v>
      </c>
      <c r="D1525" s="139" t="s">
        <v>861</v>
      </c>
      <c r="E1525" s="484" t="s">
        <v>332</v>
      </c>
      <c r="F1525" s="484"/>
      <c r="G1525" s="484" t="s">
        <v>333</v>
      </c>
      <c r="H1525" s="484"/>
      <c r="I1525" s="484"/>
      <c r="J1525" s="484"/>
      <c r="K1525" s="140" t="s">
        <v>334</v>
      </c>
      <c r="L1525" s="141">
        <v>15300</v>
      </c>
      <c r="M1525" s="123"/>
    </row>
    <row r="1526" spans="1:13" ht="17.25" thickBot="1">
      <c r="A1526" s="126" t="str">
        <f t="shared" si="71"/>
        <v>2026/02</v>
      </c>
      <c r="B1526" s="127" t="str">
        <f t="shared" si="72"/>
        <v>2026/02忠孝健康7樓</v>
      </c>
      <c r="C1526" s="138">
        <v>218</v>
      </c>
      <c r="D1526" s="139" t="s">
        <v>861</v>
      </c>
      <c r="E1526" s="484" t="s">
        <v>335</v>
      </c>
      <c r="F1526" s="484"/>
      <c r="G1526" s="484" t="s">
        <v>336</v>
      </c>
      <c r="H1526" s="484"/>
      <c r="I1526" s="484"/>
      <c r="J1526" s="484"/>
      <c r="K1526" s="140" t="s">
        <v>337</v>
      </c>
      <c r="L1526" s="141">
        <v>2400</v>
      </c>
      <c r="M1526" s="123"/>
    </row>
    <row r="1527" spans="1:13" ht="17.25" thickBot="1">
      <c r="A1527" s="126" t="str">
        <f t="shared" si="71"/>
        <v>2026/02</v>
      </c>
      <c r="B1527" s="127" t="str">
        <f t="shared" si="72"/>
        <v>2026/02忠孝健康7樓</v>
      </c>
      <c r="C1527" s="138">
        <v>219</v>
      </c>
      <c r="D1527" s="139" t="s">
        <v>861</v>
      </c>
      <c r="E1527" s="484" t="s">
        <v>354</v>
      </c>
      <c r="F1527" s="484"/>
      <c r="G1527" s="484" t="s">
        <v>741</v>
      </c>
      <c r="H1527" s="484"/>
      <c r="I1527" s="484"/>
      <c r="J1527" s="484"/>
      <c r="K1527" s="140" t="s">
        <v>356</v>
      </c>
      <c r="L1527" s="141">
        <v>2</v>
      </c>
      <c r="M1527" s="123"/>
    </row>
    <row r="1528" spans="1:13" ht="17.25" thickBot="1">
      <c r="A1528" s="126" t="str">
        <f t="shared" si="71"/>
        <v>2026/02</v>
      </c>
      <c r="B1528" s="127" t="str">
        <f t="shared" si="72"/>
        <v>2026/02忠孝健康7樓</v>
      </c>
      <c r="C1528" s="138">
        <v>220</v>
      </c>
      <c r="D1528" s="139" t="s">
        <v>861</v>
      </c>
      <c r="E1528" s="484" t="s">
        <v>309</v>
      </c>
      <c r="F1528" s="484"/>
      <c r="G1528" s="484" t="s">
        <v>310</v>
      </c>
      <c r="H1528" s="484"/>
      <c r="I1528" s="484"/>
      <c r="J1528" s="484"/>
      <c r="K1528" s="140" t="s">
        <v>269</v>
      </c>
      <c r="L1528" s="141">
        <v>17</v>
      </c>
      <c r="M1528" s="123"/>
    </row>
    <row r="1529" spans="1:13" ht="17.25" thickBot="1">
      <c r="A1529" s="126" t="str">
        <f t="shared" si="71"/>
        <v>2026/02</v>
      </c>
      <c r="B1529" s="127" t="str">
        <f t="shared" si="72"/>
        <v>2026/02忠孝健康7樓</v>
      </c>
      <c r="C1529" s="138">
        <v>221</v>
      </c>
      <c r="D1529" s="139" t="s">
        <v>861</v>
      </c>
      <c r="E1529" s="484" t="s">
        <v>736</v>
      </c>
      <c r="F1529" s="484"/>
      <c r="G1529" s="484" t="s">
        <v>737</v>
      </c>
      <c r="H1529" s="484"/>
      <c r="I1529" s="484"/>
      <c r="J1529" s="484"/>
      <c r="K1529" s="140" t="s">
        <v>738</v>
      </c>
      <c r="L1529" s="141">
        <v>2</v>
      </c>
      <c r="M1529" s="123"/>
    </row>
    <row r="1530" spans="1:13" ht="17.25" thickBot="1">
      <c r="A1530" s="126" t="str">
        <f t="shared" si="71"/>
        <v>2026/02</v>
      </c>
      <c r="B1530" s="127" t="str">
        <f t="shared" si="72"/>
        <v>2026/02忠孝健康7樓</v>
      </c>
      <c r="C1530" s="138">
        <v>222</v>
      </c>
      <c r="D1530" s="139" t="s">
        <v>861</v>
      </c>
      <c r="E1530" s="484" t="s">
        <v>237</v>
      </c>
      <c r="F1530" s="484"/>
      <c r="G1530" s="484" t="s">
        <v>238</v>
      </c>
      <c r="H1530" s="484"/>
      <c r="I1530" s="484"/>
      <c r="J1530" s="484"/>
      <c r="K1530" s="140" t="s">
        <v>239</v>
      </c>
      <c r="L1530" s="141">
        <v>44</v>
      </c>
      <c r="M1530" s="123"/>
    </row>
    <row r="1531" spans="1:13" ht="17.25" thickBot="1">
      <c r="A1531" s="126" t="str">
        <f t="shared" si="71"/>
        <v>2026/02</v>
      </c>
      <c r="B1531" s="127" t="str">
        <f t="shared" si="72"/>
        <v>2026/02忠孝健康7樓</v>
      </c>
      <c r="C1531" s="138">
        <v>223</v>
      </c>
      <c r="D1531" s="139" t="s">
        <v>861</v>
      </c>
      <c r="E1531" s="484" t="s">
        <v>240</v>
      </c>
      <c r="F1531" s="484"/>
      <c r="G1531" s="484" t="s">
        <v>241</v>
      </c>
      <c r="H1531" s="484"/>
      <c r="I1531" s="484"/>
      <c r="J1531" s="484"/>
      <c r="K1531" s="140" t="s">
        <v>239</v>
      </c>
      <c r="L1531" s="141">
        <v>44</v>
      </c>
      <c r="M1531" s="123"/>
    </row>
    <row r="1532" spans="1:13" ht="17.25" thickBot="1">
      <c r="A1532" s="126" t="str">
        <f t="shared" si="71"/>
        <v>2026/02</v>
      </c>
      <c r="B1532" s="127" t="str">
        <f t="shared" si="72"/>
        <v>2026/02忠孝健康7樓</v>
      </c>
      <c r="C1532" s="138">
        <v>224</v>
      </c>
      <c r="D1532" s="139" t="s">
        <v>861</v>
      </c>
      <c r="E1532" s="484" t="s">
        <v>242</v>
      </c>
      <c r="F1532" s="484"/>
      <c r="G1532" s="484" t="s">
        <v>243</v>
      </c>
      <c r="H1532" s="484"/>
      <c r="I1532" s="484"/>
      <c r="J1532" s="484"/>
      <c r="K1532" s="140" t="s">
        <v>239</v>
      </c>
      <c r="L1532" s="141">
        <v>44</v>
      </c>
      <c r="M1532" s="123"/>
    </row>
    <row r="1533" spans="1:13" ht="17.25" thickBot="1">
      <c r="A1533" s="126" t="str">
        <f t="shared" si="71"/>
        <v>2026/02</v>
      </c>
      <c r="B1533" s="127" t="str">
        <f t="shared" si="72"/>
        <v>2026/02忠孝健康7樓</v>
      </c>
      <c r="C1533" s="138">
        <v>225</v>
      </c>
      <c r="D1533" s="139" t="s">
        <v>861</v>
      </c>
      <c r="E1533" s="484" t="s">
        <v>244</v>
      </c>
      <c r="F1533" s="484"/>
      <c r="G1533" s="484" t="s">
        <v>245</v>
      </c>
      <c r="H1533" s="484"/>
      <c r="I1533" s="484"/>
      <c r="J1533" s="484"/>
      <c r="K1533" s="140" t="s">
        <v>725</v>
      </c>
      <c r="L1533" s="141">
        <v>660</v>
      </c>
      <c r="M1533" s="123"/>
    </row>
    <row r="1534" spans="1:13" ht="17.25" thickBot="1">
      <c r="A1534" s="126" t="str">
        <f t="shared" si="71"/>
        <v>2026/02</v>
      </c>
      <c r="B1534" s="127" t="str">
        <f t="shared" si="72"/>
        <v>2026/02忠孝健康7樓</v>
      </c>
      <c r="C1534" s="138">
        <v>226</v>
      </c>
      <c r="D1534" s="139" t="s">
        <v>861</v>
      </c>
      <c r="E1534" s="484" t="s">
        <v>246</v>
      </c>
      <c r="F1534" s="484"/>
      <c r="G1534" s="484" t="s">
        <v>247</v>
      </c>
      <c r="H1534" s="484"/>
      <c r="I1534" s="484"/>
      <c r="J1534" s="484"/>
      <c r="K1534" s="140" t="s">
        <v>725</v>
      </c>
      <c r="L1534" s="141">
        <v>660</v>
      </c>
      <c r="M1534" s="123"/>
    </row>
    <row r="1535" spans="1:13" ht="17.25" thickBot="1">
      <c r="A1535" s="126" t="str">
        <f t="shared" si="71"/>
        <v>2026/02</v>
      </c>
      <c r="B1535" s="127" t="str">
        <f t="shared" si="72"/>
        <v>2026/02忠孝健康7樓</v>
      </c>
      <c r="C1535" s="138">
        <v>227</v>
      </c>
      <c r="D1535" s="139" t="s">
        <v>861</v>
      </c>
      <c r="E1535" s="484" t="s">
        <v>248</v>
      </c>
      <c r="F1535" s="484"/>
      <c r="G1535" s="484" t="s">
        <v>249</v>
      </c>
      <c r="H1535" s="484"/>
      <c r="I1535" s="484"/>
      <c r="J1535" s="484"/>
      <c r="K1535" s="140" t="s">
        <v>725</v>
      </c>
      <c r="L1535" s="141">
        <v>660</v>
      </c>
      <c r="M1535" s="123"/>
    </row>
    <row r="1536" spans="1:13" ht="17.25" thickBot="1">
      <c r="A1536" s="415" t="str">
        <f t="shared" si="71"/>
        <v>2026/02</v>
      </c>
      <c r="B1536" s="416" t="str">
        <f t="shared" si="72"/>
        <v>2026/02忠孝健康7樓</v>
      </c>
      <c r="C1536" s="417">
        <v>228</v>
      </c>
      <c r="D1536" s="418" t="s">
        <v>861</v>
      </c>
      <c r="E1536" s="485" t="s">
        <v>250</v>
      </c>
      <c r="F1536" s="485"/>
      <c r="G1536" s="485" t="s">
        <v>251</v>
      </c>
      <c r="H1536" s="485"/>
      <c r="I1536" s="485"/>
      <c r="J1536" s="485"/>
      <c r="K1536" s="419" t="s">
        <v>725</v>
      </c>
      <c r="L1536" s="420">
        <v>660</v>
      </c>
      <c r="M1536" s="421"/>
    </row>
    <row r="1537" spans="1:12" ht="17.25" customHeight="1" thickBot="1">
      <c r="A1537" s="413" t="str">
        <f>IFERROR(LEFT(B1537,7),"")</f>
        <v>2026/03</v>
      </c>
      <c r="B1537" s="414" t="str">
        <f>"2026/03"&amp;D1537</f>
        <v>2026/03站前4樓</v>
      </c>
      <c r="C1537" s="138">
        <v>1</v>
      </c>
      <c r="D1537" s="139" t="s">
        <v>236</v>
      </c>
      <c r="E1537" s="484" t="s">
        <v>413</v>
      </c>
      <c r="F1537" s="484"/>
      <c r="G1537" s="484" t="s">
        <v>674</v>
      </c>
      <c r="H1537" s="484"/>
      <c r="I1537" s="484"/>
      <c r="J1537" s="484"/>
      <c r="K1537" s="140" t="s">
        <v>410</v>
      </c>
      <c r="L1537" s="141">
        <v>2</v>
      </c>
    </row>
    <row r="1538" spans="1:12" ht="17.25" customHeight="1" thickBot="1">
      <c r="A1538" s="126" t="str">
        <f t="shared" ref="A1538:A1599" si="73">IFERROR(LEFT(B1538,7),"")</f>
        <v>2026/03</v>
      </c>
      <c r="B1538" s="127" t="str">
        <f t="shared" ref="B1538:B1599" si="74">"2026/03"&amp;D1538</f>
        <v>2026/03站前4樓</v>
      </c>
      <c r="C1538" s="138">
        <v>2</v>
      </c>
      <c r="D1538" s="139" t="s">
        <v>236</v>
      </c>
      <c r="E1538" s="484" t="s">
        <v>360</v>
      </c>
      <c r="F1538" s="484"/>
      <c r="G1538" s="484" t="s">
        <v>361</v>
      </c>
      <c r="H1538" s="484"/>
      <c r="I1538" s="484"/>
      <c r="J1538" s="484"/>
      <c r="K1538" s="140" t="s">
        <v>362</v>
      </c>
      <c r="L1538" s="141">
        <v>24</v>
      </c>
    </row>
    <row r="1539" spans="1:12" ht="17.25" customHeight="1" thickBot="1">
      <c r="A1539" s="126" t="str">
        <f t="shared" si="73"/>
        <v>2026/03</v>
      </c>
      <c r="B1539" s="127" t="str">
        <f t="shared" si="74"/>
        <v>2026/03站前4樓</v>
      </c>
      <c r="C1539" s="138">
        <v>3</v>
      </c>
      <c r="D1539" s="139" t="s">
        <v>236</v>
      </c>
      <c r="E1539" s="484" t="s">
        <v>383</v>
      </c>
      <c r="F1539" s="484"/>
      <c r="G1539" s="484" t="s">
        <v>384</v>
      </c>
      <c r="H1539" s="484"/>
      <c r="I1539" s="484"/>
      <c r="J1539" s="484"/>
      <c r="K1539" s="140" t="s">
        <v>385</v>
      </c>
      <c r="L1539" s="141">
        <v>24</v>
      </c>
    </row>
    <row r="1540" spans="1:12" ht="17.25" customHeight="1" thickBot="1">
      <c r="A1540" s="126" t="str">
        <f t="shared" si="73"/>
        <v>2026/03</v>
      </c>
      <c r="B1540" s="127" t="str">
        <f t="shared" si="74"/>
        <v>2026/03站前4樓</v>
      </c>
      <c r="C1540" s="138">
        <v>4</v>
      </c>
      <c r="D1540" s="139" t="s">
        <v>236</v>
      </c>
      <c r="E1540" s="484" t="s">
        <v>255</v>
      </c>
      <c r="F1540" s="484"/>
      <c r="G1540" s="484" t="s">
        <v>256</v>
      </c>
      <c r="H1540" s="484"/>
      <c r="I1540" s="484"/>
      <c r="J1540" s="484"/>
      <c r="K1540" s="140" t="s">
        <v>720</v>
      </c>
      <c r="L1540" s="141">
        <v>145</v>
      </c>
    </row>
    <row r="1541" spans="1:12" ht="17.25" customHeight="1" thickBot="1">
      <c r="A1541" s="126" t="str">
        <f t="shared" si="73"/>
        <v>2026/03</v>
      </c>
      <c r="B1541" s="127" t="str">
        <f t="shared" si="74"/>
        <v>2026/03站前4樓</v>
      </c>
      <c r="C1541" s="138">
        <v>5</v>
      </c>
      <c r="D1541" s="139" t="s">
        <v>236</v>
      </c>
      <c r="E1541" s="484" t="s">
        <v>258</v>
      </c>
      <c r="F1541" s="484"/>
      <c r="G1541" s="484" t="s">
        <v>259</v>
      </c>
      <c r="H1541" s="484"/>
      <c r="I1541" s="484"/>
      <c r="J1541" s="484"/>
      <c r="K1541" s="140"/>
      <c r="L1541" s="141">
        <v>169</v>
      </c>
    </row>
    <row r="1542" spans="1:12" ht="17.25" customHeight="1" thickBot="1">
      <c r="A1542" s="126" t="str">
        <f t="shared" si="73"/>
        <v>2026/03</v>
      </c>
      <c r="B1542" s="127" t="str">
        <f t="shared" si="74"/>
        <v>2026/03站前4樓</v>
      </c>
      <c r="C1542" s="138">
        <v>6</v>
      </c>
      <c r="D1542" s="139" t="s">
        <v>236</v>
      </c>
      <c r="E1542" s="484" t="s">
        <v>260</v>
      </c>
      <c r="F1542" s="484"/>
      <c r="G1542" s="484" t="s">
        <v>261</v>
      </c>
      <c r="H1542" s="484"/>
      <c r="I1542" s="484"/>
      <c r="J1542" s="484"/>
      <c r="K1542" s="140" t="s">
        <v>254</v>
      </c>
      <c r="L1542" s="141">
        <v>169</v>
      </c>
    </row>
    <row r="1543" spans="1:12" ht="17.25" customHeight="1" thickBot="1">
      <c r="A1543" s="126" t="str">
        <f t="shared" si="73"/>
        <v>2026/03</v>
      </c>
      <c r="B1543" s="127" t="str">
        <f t="shared" si="74"/>
        <v>2026/03站前4樓</v>
      </c>
      <c r="C1543" s="138">
        <v>7</v>
      </c>
      <c r="D1543" s="139" t="s">
        <v>236</v>
      </c>
      <c r="E1543" s="484" t="s">
        <v>262</v>
      </c>
      <c r="F1543" s="484"/>
      <c r="G1543" s="484" t="s">
        <v>263</v>
      </c>
      <c r="H1543" s="484"/>
      <c r="I1543" s="484"/>
      <c r="J1543" s="484"/>
      <c r="K1543" s="140" t="s">
        <v>254</v>
      </c>
      <c r="L1543" s="141">
        <v>84</v>
      </c>
    </row>
    <row r="1544" spans="1:12" ht="17.25" customHeight="1" thickBot="1">
      <c r="A1544" s="126" t="str">
        <f t="shared" si="73"/>
        <v>2026/03</v>
      </c>
      <c r="B1544" s="127" t="str">
        <f t="shared" si="74"/>
        <v>2026/03站前4樓</v>
      </c>
      <c r="C1544" s="138">
        <v>8</v>
      </c>
      <c r="D1544" s="139" t="s">
        <v>236</v>
      </c>
      <c r="E1544" s="484" t="s">
        <v>270</v>
      </c>
      <c r="F1544" s="484"/>
      <c r="G1544" s="484" t="s">
        <v>271</v>
      </c>
      <c r="H1544" s="484"/>
      <c r="I1544" s="484"/>
      <c r="J1544" s="484"/>
      <c r="K1544" s="140" t="s">
        <v>272</v>
      </c>
      <c r="L1544" s="141">
        <v>187</v>
      </c>
    </row>
    <row r="1545" spans="1:12" ht="17.25" customHeight="1" thickBot="1">
      <c r="A1545" s="126" t="str">
        <f t="shared" si="73"/>
        <v>2026/03</v>
      </c>
      <c r="B1545" s="127" t="str">
        <f t="shared" si="74"/>
        <v>2026/03站前4樓</v>
      </c>
      <c r="C1545" s="138">
        <v>9</v>
      </c>
      <c r="D1545" s="139" t="s">
        <v>236</v>
      </c>
      <c r="E1545" s="484" t="s">
        <v>252</v>
      </c>
      <c r="F1545" s="484"/>
      <c r="G1545" s="484" t="s">
        <v>253</v>
      </c>
      <c r="H1545" s="484"/>
      <c r="I1545" s="484"/>
      <c r="J1545" s="484"/>
      <c r="K1545" s="140" t="s">
        <v>254</v>
      </c>
      <c r="L1545" s="141">
        <v>185</v>
      </c>
    </row>
    <row r="1546" spans="1:12" ht="17.25" customHeight="1" thickBot="1">
      <c r="A1546" s="126" t="str">
        <f t="shared" si="73"/>
        <v>2026/03</v>
      </c>
      <c r="B1546" s="127" t="str">
        <f t="shared" si="74"/>
        <v>2026/03站前4樓</v>
      </c>
      <c r="C1546" s="138">
        <v>10</v>
      </c>
      <c r="D1546" s="139" t="s">
        <v>236</v>
      </c>
      <c r="E1546" s="484" t="s">
        <v>690</v>
      </c>
      <c r="F1546" s="484"/>
      <c r="G1546" s="484" t="s">
        <v>691</v>
      </c>
      <c r="H1546" s="484"/>
      <c r="I1546" s="484"/>
      <c r="J1546" s="484"/>
      <c r="K1546" s="140" t="s">
        <v>692</v>
      </c>
      <c r="L1546" s="141">
        <v>22</v>
      </c>
    </row>
    <row r="1547" spans="1:12" ht="17.25" customHeight="1" thickBot="1">
      <c r="A1547" s="126" t="str">
        <f t="shared" si="73"/>
        <v>2026/03</v>
      </c>
      <c r="B1547" s="127" t="str">
        <f t="shared" si="74"/>
        <v>2026/03站前4樓</v>
      </c>
      <c r="C1547" s="138">
        <v>11</v>
      </c>
      <c r="D1547" s="139" t="s">
        <v>236</v>
      </c>
      <c r="E1547" s="484" t="s">
        <v>305</v>
      </c>
      <c r="F1547" s="484"/>
      <c r="G1547" s="484" t="s">
        <v>877</v>
      </c>
      <c r="H1547" s="484"/>
      <c r="I1547" s="484"/>
      <c r="J1547" s="484"/>
      <c r="K1547" s="140" t="s">
        <v>676</v>
      </c>
      <c r="L1547" s="141">
        <v>3876</v>
      </c>
    </row>
    <row r="1548" spans="1:12" ht="17.25" customHeight="1" thickBot="1">
      <c r="A1548" s="126" t="str">
        <f t="shared" si="73"/>
        <v>2026/03</v>
      </c>
      <c r="B1548" s="127" t="str">
        <f t="shared" si="74"/>
        <v>2026/03站前4樓</v>
      </c>
      <c r="C1548" s="138">
        <v>12</v>
      </c>
      <c r="D1548" s="139" t="s">
        <v>236</v>
      </c>
      <c r="E1548" s="484" t="s">
        <v>264</v>
      </c>
      <c r="F1548" s="484"/>
      <c r="G1548" s="484" t="s">
        <v>677</v>
      </c>
      <c r="H1548" s="484"/>
      <c r="I1548" s="484"/>
      <c r="J1548" s="484"/>
      <c r="K1548" s="140" t="s">
        <v>678</v>
      </c>
      <c r="L1548" s="141">
        <v>10519</v>
      </c>
    </row>
    <row r="1549" spans="1:12" ht="17.25" customHeight="1" thickBot="1">
      <c r="A1549" s="126" t="str">
        <f t="shared" si="73"/>
        <v>2026/03</v>
      </c>
      <c r="B1549" s="127" t="str">
        <f t="shared" si="74"/>
        <v>2026/03站前4樓</v>
      </c>
      <c r="C1549" s="138">
        <v>13</v>
      </c>
      <c r="D1549" s="139" t="s">
        <v>236</v>
      </c>
      <c r="E1549" s="484" t="s">
        <v>307</v>
      </c>
      <c r="F1549" s="484"/>
      <c r="G1549" s="484" t="s">
        <v>878</v>
      </c>
      <c r="H1549" s="484"/>
      <c r="I1549" s="484"/>
      <c r="J1549" s="484"/>
      <c r="K1549" s="140" t="s">
        <v>678</v>
      </c>
      <c r="L1549" s="141">
        <v>3495</v>
      </c>
    </row>
    <row r="1550" spans="1:12" ht="17.25" customHeight="1" thickBot="1">
      <c r="A1550" s="126" t="str">
        <f t="shared" si="73"/>
        <v>2026/03</v>
      </c>
      <c r="B1550" s="127" t="str">
        <f t="shared" si="74"/>
        <v>2026/03站前4樓</v>
      </c>
      <c r="C1550" s="138">
        <v>14</v>
      </c>
      <c r="D1550" s="139" t="s">
        <v>236</v>
      </c>
      <c r="E1550" s="484" t="s">
        <v>313</v>
      </c>
      <c r="F1550" s="484"/>
      <c r="G1550" s="484" t="s">
        <v>314</v>
      </c>
      <c r="H1550" s="484"/>
      <c r="I1550" s="484"/>
      <c r="J1550" s="484"/>
      <c r="K1550" s="140" t="s">
        <v>301</v>
      </c>
      <c r="L1550" s="141">
        <v>176</v>
      </c>
    </row>
    <row r="1551" spans="1:12" ht="17.25" customHeight="1" thickBot="1">
      <c r="A1551" s="126" t="str">
        <f t="shared" si="73"/>
        <v>2026/03</v>
      </c>
      <c r="B1551" s="127" t="str">
        <f t="shared" si="74"/>
        <v>2026/03站前4樓</v>
      </c>
      <c r="C1551" s="138">
        <v>15</v>
      </c>
      <c r="D1551" s="139" t="s">
        <v>236</v>
      </c>
      <c r="E1551" s="484" t="s">
        <v>343</v>
      </c>
      <c r="F1551" s="484"/>
      <c r="G1551" s="484" t="s">
        <v>344</v>
      </c>
      <c r="H1551" s="484"/>
      <c r="I1551" s="484"/>
      <c r="J1551" s="484"/>
      <c r="K1551" s="140" t="s">
        <v>301</v>
      </c>
      <c r="L1551" s="141">
        <v>11</v>
      </c>
    </row>
    <row r="1552" spans="1:12" ht="17.25" customHeight="1" thickBot="1">
      <c r="A1552" s="126" t="str">
        <f t="shared" si="73"/>
        <v>2026/03</v>
      </c>
      <c r="B1552" s="127" t="str">
        <f t="shared" si="74"/>
        <v>2026/03站前4樓</v>
      </c>
      <c r="C1552" s="138">
        <v>16</v>
      </c>
      <c r="D1552" s="139" t="s">
        <v>236</v>
      </c>
      <c r="E1552" s="484" t="s">
        <v>427</v>
      </c>
      <c r="F1552" s="484"/>
      <c r="G1552" s="484" t="s">
        <v>428</v>
      </c>
      <c r="H1552" s="484"/>
      <c r="I1552" s="484"/>
      <c r="J1552" s="484"/>
      <c r="K1552" s="140" t="s">
        <v>301</v>
      </c>
      <c r="L1552" s="141">
        <v>4</v>
      </c>
    </row>
    <row r="1553" spans="1:12" ht="17.25" customHeight="1" thickBot="1">
      <c r="A1553" s="126" t="str">
        <f t="shared" si="73"/>
        <v>2026/03</v>
      </c>
      <c r="B1553" s="127" t="str">
        <f t="shared" si="74"/>
        <v>2026/03站前4樓</v>
      </c>
      <c r="C1553" s="138">
        <v>17</v>
      </c>
      <c r="D1553" s="139" t="s">
        <v>236</v>
      </c>
      <c r="E1553" s="484" t="s">
        <v>349</v>
      </c>
      <c r="F1553" s="484"/>
      <c r="G1553" s="484" t="s">
        <v>350</v>
      </c>
      <c r="H1553" s="484"/>
      <c r="I1553" s="484"/>
      <c r="J1553" s="484"/>
      <c r="K1553" s="140" t="s">
        <v>301</v>
      </c>
      <c r="L1553" s="141">
        <v>14</v>
      </c>
    </row>
    <row r="1554" spans="1:12" ht="17.25" customHeight="1" thickBot="1">
      <c r="A1554" s="126" t="str">
        <f t="shared" si="73"/>
        <v>2026/03</v>
      </c>
      <c r="B1554" s="127" t="str">
        <f t="shared" si="74"/>
        <v>2026/03站前4樓</v>
      </c>
      <c r="C1554" s="138">
        <v>18</v>
      </c>
      <c r="D1554" s="139" t="s">
        <v>236</v>
      </c>
      <c r="E1554" s="484" t="s">
        <v>366</v>
      </c>
      <c r="F1554" s="484"/>
      <c r="G1554" s="484" t="s">
        <v>367</v>
      </c>
      <c r="H1554" s="484"/>
      <c r="I1554" s="484"/>
      <c r="J1554" s="484"/>
      <c r="K1554" s="140" t="s">
        <v>301</v>
      </c>
      <c r="L1554" s="141">
        <v>3</v>
      </c>
    </row>
    <row r="1555" spans="1:12" ht="17.25" customHeight="1" thickBot="1">
      <c r="A1555" s="126" t="str">
        <f t="shared" si="73"/>
        <v>2026/03</v>
      </c>
      <c r="B1555" s="127" t="str">
        <f t="shared" si="74"/>
        <v>2026/03站前4樓</v>
      </c>
      <c r="C1555" s="138">
        <v>19</v>
      </c>
      <c r="D1555" s="139" t="s">
        <v>236</v>
      </c>
      <c r="E1555" s="484" t="s">
        <v>282</v>
      </c>
      <c r="F1555" s="484"/>
      <c r="G1555" s="484" t="s">
        <v>283</v>
      </c>
      <c r="H1555" s="484"/>
      <c r="I1555" s="484"/>
      <c r="J1555" s="484"/>
      <c r="K1555" s="140" t="s">
        <v>284</v>
      </c>
      <c r="L1555" s="141">
        <v>44</v>
      </c>
    </row>
    <row r="1556" spans="1:12" ht="17.25" customHeight="1" thickBot="1">
      <c r="A1556" s="126" t="str">
        <f t="shared" si="73"/>
        <v>2026/03</v>
      </c>
      <c r="B1556" s="127" t="str">
        <f t="shared" si="74"/>
        <v>2026/03站前4樓</v>
      </c>
      <c r="C1556" s="138">
        <v>20</v>
      </c>
      <c r="D1556" s="139" t="s">
        <v>236</v>
      </c>
      <c r="E1556" s="484" t="s">
        <v>345</v>
      </c>
      <c r="F1556" s="484"/>
      <c r="G1556" s="484" t="s">
        <v>346</v>
      </c>
      <c r="H1556" s="484"/>
      <c r="I1556" s="484"/>
      <c r="J1556" s="484"/>
      <c r="K1556" s="140" t="s">
        <v>284</v>
      </c>
      <c r="L1556" s="141">
        <v>4</v>
      </c>
    </row>
    <row r="1557" spans="1:12" ht="17.25" customHeight="1" thickBot="1">
      <c r="A1557" s="126" t="str">
        <f t="shared" si="73"/>
        <v>2026/03</v>
      </c>
      <c r="B1557" s="127" t="str">
        <f t="shared" si="74"/>
        <v>2026/03站前4樓</v>
      </c>
      <c r="C1557" s="138">
        <v>21</v>
      </c>
      <c r="D1557" s="139" t="s">
        <v>236</v>
      </c>
      <c r="E1557" s="484" t="s">
        <v>311</v>
      </c>
      <c r="F1557" s="484"/>
      <c r="G1557" s="484" t="s">
        <v>312</v>
      </c>
      <c r="H1557" s="484"/>
      <c r="I1557" s="484"/>
      <c r="J1557" s="484"/>
      <c r="K1557" s="140" t="s">
        <v>284</v>
      </c>
      <c r="L1557" s="141">
        <v>14</v>
      </c>
    </row>
    <row r="1558" spans="1:12" ht="17.25" customHeight="1" thickBot="1">
      <c r="A1558" s="126" t="str">
        <f t="shared" si="73"/>
        <v>2026/03</v>
      </c>
      <c r="B1558" s="127" t="str">
        <f t="shared" si="74"/>
        <v>2026/03站前4樓</v>
      </c>
      <c r="C1558" s="138">
        <v>22</v>
      </c>
      <c r="D1558" s="139" t="s">
        <v>236</v>
      </c>
      <c r="E1558" s="484" t="s">
        <v>734</v>
      </c>
      <c r="F1558" s="484"/>
      <c r="G1558" s="484" t="s">
        <v>735</v>
      </c>
      <c r="H1558" s="484"/>
      <c r="I1558" s="484"/>
      <c r="J1558" s="484"/>
      <c r="K1558" s="140" t="s">
        <v>342</v>
      </c>
      <c r="L1558" s="141">
        <v>1</v>
      </c>
    </row>
    <row r="1559" spans="1:12" ht="17.25" customHeight="1" thickBot="1">
      <c r="A1559" s="126" t="str">
        <f t="shared" si="73"/>
        <v>2026/03</v>
      </c>
      <c r="B1559" s="127" t="str">
        <f t="shared" si="74"/>
        <v>2026/03站前4樓</v>
      </c>
      <c r="C1559" s="138">
        <v>23</v>
      </c>
      <c r="D1559" s="139" t="s">
        <v>236</v>
      </c>
      <c r="E1559" s="484" t="s">
        <v>299</v>
      </c>
      <c r="F1559" s="484"/>
      <c r="G1559" s="484" t="s">
        <v>300</v>
      </c>
      <c r="H1559" s="484"/>
      <c r="I1559" s="484"/>
      <c r="J1559" s="484"/>
      <c r="K1559" s="140" t="s">
        <v>301</v>
      </c>
      <c r="L1559" s="141">
        <v>43</v>
      </c>
    </row>
    <row r="1560" spans="1:12" ht="17.25" customHeight="1" thickBot="1">
      <c r="A1560" s="126" t="str">
        <f t="shared" si="73"/>
        <v>2026/03</v>
      </c>
      <c r="B1560" s="127" t="str">
        <f t="shared" si="74"/>
        <v>2026/03站前4樓</v>
      </c>
      <c r="C1560" s="138">
        <v>24</v>
      </c>
      <c r="D1560" s="139" t="s">
        <v>236</v>
      </c>
      <c r="E1560" s="484" t="s">
        <v>347</v>
      </c>
      <c r="F1560" s="484"/>
      <c r="G1560" s="484" t="s">
        <v>348</v>
      </c>
      <c r="H1560" s="484"/>
      <c r="I1560" s="484"/>
      <c r="J1560" s="484"/>
      <c r="K1560" s="140" t="s">
        <v>301</v>
      </c>
      <c r="L1560" s="141">
        <v>32</v>
      </c>
    </row>
    <row r="1561" spans="1:12" ht="17.25" customHeight="1" thickBot="1">
      <c r="A1561" s="126" t="str">
        <f t="shared" si="73"/>
        <v>2026/03</v>
      </c>
      <c r="B1561" s="127" t="str">
        <f t="shared" si="74"/>
        <v>2026/03站前4樓</v>
      </c>
      <c r="C1561" s="138">
        <v>25</v>
      </c>
      <c r="D1561" s="139" t="s">
        <v>236</v>
      </c>
      <c r="E1561" s="484" t="s">
        <v>317</v>
      </c>
      <c r="F1561" s="484"/>
      <c r="G1561" s="484" t="s">
        <v>318</v>
      </c>
      <c r="H1561" s="484"/>
      <c r="I1561" s="484"/>
      <c r="J1561" s="484"/>
      <c r="K1561" s="140" t="s">
        <v>319</v>
      </c>
      <c r="L1561" s="141">
        <v>70</v>
      </c>
    </row>
    <row r="1562" spans="1:12" ht="17.25" customHeight="1" thickBot="1">
      <c r="A1562" s="126" t="str">
        <f t="shared" si="73"/>
        <v>2026/03</v>
      </c>
      <c r="B1562" s="127" t="str">
        <f t="shared" si="74"/>
        <v>2026/03站前4樓</v>
      </c>
      <c r="C1562" s="138">
        <v>26</v>
      </c>
      <c r="D1562" s="139" t="s">
        <v>236</v>
      </c>
      <c r="E1562" s="484" t="s">
        <v>372</v>
      </c>
      <c r="F1562" s="484"/>
      <c r="G1562" s="484" t="s">
        <v>373</v>
      </c>
      <c r="H1562" s="484"/>
      <c r="I1562" s="484"/>
      <c r="J1562" s="484"/>
      <c r="K1562" s="140" t="s">
        <v>278</v>
      </c>
      <c r="L1562" s="141">
        <v>83</v>
      </c>
    </row>
    <row r="1563" spans="1:12" ht="17.25" customHeight="1" thickBot="1">
      <c r="A1563" s="126" t="str">
        <f t="shared" si="73"/>
        <v>2026/03</v>
      </c>
      <c r="B1563" s="127" t="str">
        <f t="shared" si="74"/>
        <v>2026/03站前4樓</v>
      </c>
      <c r="C1563" s="138">
        <v>27</v>
      </c>
      <c r="D1563" s="139" t="s">
        <v>236</v>
      </c>
      <c r="E1563" s="484" t="s">
        <v>276</v>
      </c>
      <c r="F1563" s="484"/>
      <c r="G1563" s="484" t="s">
        <v>277</v>
      </c>
      <c r="H1563" s="484"/>
      <c r="I1563" s="484"/>
      <c r="J1563" s="484"/>
      <c r="K1563" s="140" t="s">
        <v>278</v>
      </c>
      <c r="L1563" s="141">
        <v>61</v>
      </c>
    </row>
    <row r="1564" spans="1:12" ht="17.25" customHeight="1" thickBot="1">
      <c r="A1564" s="126" t="str">
        <f t="shared" si="73"/>
        <v>2026/03</v>
      </c>
      <c r="B1564" s="127" t="str">
        <f t="shared" si="74"/>
        <v>2026/03站前4樓</v>
      </c>
      <c r="C1564" s="138">
        <v>28</v>
      </c>
      <c r="D1564" s="139" t="s">
        <v>236</v>
      </c>
      <c r="E1564" s="484" t="s">
        <v>273</v>
      </c>
      <c r="F1564" s="484"/>
      <c r="G1564" s="484" t="s">
        <v>274</v>
      </c>
      <c r="H1564" s="484"/>
      <c r="I1564" s="484"/>
      <c r="J1564" s="484"/>
      <c r="K1564" s="140" t="s">
        <v>275</v>
      </c>
      <c r="L1564" s="141">
        <v>520</v>
      </c>
    </row>
    <row r="1565" spans="1:12" ht="17.25" customHeight="1" thickBot="1">
      <c r="A1565" s="126" t="str">
        <f t="shared" si="73"/>
        <v>2026/03</v>
      </c>
      <c r="B1565" s="127" t="str">
        <f t="shared" si="74"/>
        <v>2026/03站前4樓</v>
      </c>
      <c r="C1565" s="138">
        <v>29</v>
      </c>
      <c r="D1565" s="139" t="s">
        <v>236</v>
      </c>
      <c r="E1565" s="484" t="s">
        <v>285</v>
      </c>
      <c r="F1565" s="484"/>
      <c r="G1565" s="484" t="s">
        <v>286</v>
      </c>
      <c r="H1565" s="484"/>
      <c r="I1565" s="484"/>
      <c r="J1565" s="484"/>
      <c r="K1565" s="140" t="s">
        <v>879</v>
      </c>
      <c r="L1565" s="141">
        <v>12446</v>
      </c>
    </row>
    <row r="1566" spans="1:12" ht="17.25" customHeight="1" thickBot="1">
      <c r="A1566" s="126" t="str">
        <f t="shared" si="73"/>
        <v>2026/03</v>
      </c>
      <c r="B1566" s="127" t="str">
        <f t="shared" si="74"/>
        <v>2026/03站前4樓</v>
      </c>
      <c r="C1566" s="138">
        <v>30</v>
      </c>
      <c r="D1566" s="139" t="s">
        <v>236</v>
      </c>
      <c r="E1566" s="484" t="s">
        <v>290</v>
      </c>
      <c r="F1566" s="484"/>
      <c r="G1566" s="484" t="s">
        <v>291</v>
      </c>
      <c r="H1566" s="484"/>
      <c r="I1566" s="484"/>
      <c r="J1566" s="484"/>
      <c r="K1566" s="140" t="s">
        <v>879</v>
      </c>
      <c r="L1566" s="141">
        <v>39981</v>
      </c>
    </row>
    <row r="1567" spans="1:12" ht="17.25" customHeight="1" thickBot="1">
      <c r="A1567" s="126" t="str">
        <f t="shared" si="73"/>
        <v>2026/03</v>
      </c>
      <c r="B1567" s="127" t="str">
        <f t="shared" si="74"/>
        <v>2026/03站前4樓</v>
      </c>
      <c r="C1567" s="138">
        <v>31</v>
      </c>
      <c r="D1567" s="139" t="s">
        <v>236</v>
      </c>
      <c r="E1567" s="484" t="s">
        <v>292</v>
      </c>
      <c r="F1567" s="484"/>
      <c r="G1567" s="484" t="s">
        <v>293</v>
      </c>
      <c r="H1567" s="484"/>
      <c r="I1567" s="484"/>
      <c r="J1567" s="484"/>
      <c r="K1567" s="140" t="s">
        <v>879</v>
      </c>
      <c r="L1567" s="141">
        <v>49751</v>
      </c>
    </row>
    <row r="1568" spans="1:12" ht="17.25" customHeight="1" thickBot="1">
      <c r="A1568" s="126" t="str">
        <f t="shared" si="73"/>
        <v>2026/03</v>
      </c>
      <c r="B1568" s="127" t="str">
        <f t="shared" si="74"/>
        <v>2026/03站前4樓</v>
      </c>
      <c r="C1568" s="138">
        <v>32</v>
      </c>
      <c r="D1568" s="139" t="s">
        <v>236</v>
      </c>
      <c r="E1568" s="484" t="s">
        <v>323</v>
      </c>
      <c r="F1568" s="484"/>
      <c r="G1568" s="484" t="s">
        <v>324</v>
      </c>
      <c r="H1568" s="484"/>
      <c r="I1568" s="484"/>
      <c r="J1568" s="484"/>
      <c r="K1568" s="140" t="s">
        <v>880</v>
      </c>
      <c r="L1568" s="141">
        <v>19026</v>
      </c>
    </row>
    <row r="1569" spans="1:12" ht="17.25" customHeight="1" thickBot="1">
      <c r="A1569" s="126" t="str">
        <f t="shared" si="73"/>
        <v>2026/03</v>
      </c>
      <c r="B1569" s="127" t="str">
        <f t="shared" si="74"/>
        <v>2026/03站前4樓</v>
      </c>
      <c r="C1569" s="138">
        <v>33</v>
      </c>
      <c r="D1569" s="139" t="s">
        <v>236</v>
      </c>
      <c r="E1569" s="484" t="s">
        <v>338</v>
      </c>
      <c r="F1569" s="484"/>
      <c r="G1569" s="484" t="s">
        <v>339</v>
      </c>
      <c r="H1569" s="484"/>
      <c r="I1569" s="484"/>
      <c r="J1569" s="484"/>
      <c r="K1569" s="140" t="s">
        <v>881</v>
      </c>
      <c r="L1569" s="141">
        <v>2099</v>
      </c>
    </row>
    <row r="1570" spans="1:12" ht="17.25" customHeight="1" thickBot="1">
      <c r="A1570" s="126" t="str">
        <f t="shared" si="73"/>
        <v>2026/03</v>
      </c>
      <c r="B1570" s="127" t="str">
        <f t="shared" si="74"/>
        <v>2026/03站前4樓</v>
      </c>
      <c r="C1570" s="138">
        <v>34</v>
      </c>
      <c r="D1570" s="139" t="s">
        <v>236</v>
      </c>
      <c r="E1570" s="484" t="s">
        <v>326</v>
      </c>
      <c r="F1570" s="484"/>
      <c r="G1570" s="484" t="s">
        <v>327</v>
      </c>
      <c r="H1570" s="484"/>
      <c r="I1570" s="484"/>
      <c r="J1570" s="484"/>
      <c r="K1570" s="140" t="s">
        <v>881</v>
      </c>
      <c r="L1570" s="141">
        <v>5909</v>
      </c>
    </row>
    <row r="1571" spans="1:12" ht="17.25" customHeight="1" thickBot="1">
      <c r="A1571" s="126" t="str">
        <f t="shared" si="73"/>
        <v>2026/03</v>
      </c>
      <c r="B1571" s="127" t="str">
        <f t="shared" si="74"/>
        <v>2026/03站前4樓</v>
      </c>
      <c r="C1571" s="138">
        <v>35</v>
      </c>
      <c r="D1571" s="139" t="s">
        <v>236</v>
      </c>
      <c r="E1571" s="484" t="s">
        <v>328</v>
      </c>
      <c r="F1571" s="484"/>
      <c r="G1571" s="484" t="s">
        <v>329</v>
      </c>
      <c r="H1571" s="484"/>
      <c r="I1571" s="484"/>
      <c r="J1571" s="484"/>
      <c r="K1571" s="140" t="s">
        <v>881</v>
      </c>
      <c r="L1571" s="141">
        <v>10370</v>
      </c>
    </row>
    <row r="1572" spans="1:12" ht="17.25" customHeight="1" thickBot="1">
      <c r="A1572" s="126" t="str">
        <f t="shared" si="73"/>
        <v>2026/03</v>
      </c>
      <c r="B1572" s="127" t="str">
        <f t="shared" si="74"/>
        <v>2026/03站前4樓</v>
      </c>
      <c r="C1572" s="138">
        <v>36</v>
      </c>
      <c r="D1572" s="139" t="s">
        <v>236</v>
      </c>
      <c r="E1572" s="484" t="s">
        <v>330</v>
      </c>
      <c r="F1572" s="484"/>
      <c r="G1572" s="484" t="s">
        <v>331</v>
      </c>
      <c r="H1572" s="484"/>
      <c r="I1572" s="484"/>
      <c r="J1572" s="484"/>
      <c r="K1572" s="140" t="s">
        <v>881</v>
      </c>
      <c r="L1572" s="141">
        <v>7422</v>
      </c>
    </row>
    <row r="1573" spans="1:12" ht="17.25" customHeight="1" thickBot="1">
      <c r="A1573" s="126" t="str">
        <f t="shared" si="73"/>
        <v>2026/03</v>
      </c>
      <c r="B1573" s="127" t="str">
        <f t="shared" si="74"/>
        <v>2026/03站前4樓</v>
      </c>
      <c r="C1573" s="138">
        <v>37</v>
      </c>
      <c r="D1573" s="139" t="s">
        <v>236</v>
      </c>
      <c r="E1573" s="484" t="s">
        <v>302</v>
      </c>
      <c r="F1573" s="484"/>
      <c r="G1573" s="484" t="s">
        <v>303</v>
      </c>
      <c r="H1573" s="484"/>
      <c r="I1573" s="484"/>
      <c r="J1573" s="484"/>
      <c r="K1573" s="140" t="s">
        <v>882</v>
      </c>
      <c r="L1573" s="141">
        <v>5201</v>
      </c>
    </row>
    <row r="1574" spans="1:12" ht="17.25" customHeight="1" thickBot="1">
      <c r="A1574" s="126" t="str">
        <f t="shared" si="73"/>
        <v>2026/03</v>
      </c>
      <c r="B1574" s="127" t="str">
        <f t="shared" si="74"/>
        <v>2026/03站前4樓</v>
      </c>
      <c r="C1574" s="138">
        <v>38</v>
      </c>
      <c r="D1574" s="139" t="s">
        <v>236</v>
      </c>
      <c r="E1574" s="484" t="s">
        <v>705</v>
      </c>
      <c r="F1574" s="484"/>
      <c r="G1574" s="484" t="s">
        <v>706</v>
      </c>
      <c r="H1574" s="484"/>
      <c r="I1574" s="484"/>
      <c r="J1574" s="484"/>
      <c r="K1574" s="140" t="s">
        <v>883</v>
      </c>
      <c r="L1574" s="141">
        <v>21200</v>
      </c>
    </row>
    <row r="1575" spans="1:12" ht="17.25" customHeight="1" thickBot="1">
      <c r="A1575" s="126" t="str">
        <f t="shared" si="73"/>
        <v>2026/03</v>
      </c>
      <c r="B1575" s="127" t="str">
        <f t="shared" si="74"/>
        <v>2026/03站前4樓</v>
      </c>
      <c r="C1575" s="138">
        <v>39</v>
      </c>
      <c r="D1575" s="139" t="s">
        <v>236</v>
      </c>
      <c r="E1575" s="484" t="s">
        <v>279</v>
      </c>
      <c r="F1575" s="484"/>
      <c r="G1575" s="484" t="s">
        <v>280</v>
      </c>
      <c r="H1575" s="484"/>
      <c r="I1575" s="484"/>
      <c r="J1575" s="484"/>
      <c r="K1575" s="140" t="s">
        <v>884</v>
      </c>
      <c r="L1575" s="141">
        <v>219500</v>
      </c>
    </row>
    <row r="1576" spans="1:12" ht="17.25" customHeight="1" thickBot="1">
      <c r="A1576" s="126" t="str">
        <f t="shared" si="73"/>
        <v>2026/03</v>
      </c>
      <c r="B1576" s="127" t="str">
        <f t="shared" si="74"/>
        <v>2026/03站前4樓</v>
      </c>
      <c r="C1576" s="138">
        <v>40</v>
      </c>
      <c r="D1576" s="139" t="s">
        <v>236</v>
      </c>
      <c r="E1576" s="484" t="s">
        <v>288</v>
      </c>
      <c r="F1576" s="484"/>
      <c r="G1576" s="484" t="s">
        <v>289</v>
      </c>
      <c r="H1576" s="484"/>
      <c r="I1576" s="484"/>
      <c r="J1576" s="484"/>
      <c r="K1576" s="140" t="s">
        <v>884</v>
      </c>
      <c r="L1576" s="141">
        <v>87750</v>
      </c>
    </row>
    <row r="1577" spans="1:12" ht="17.25" customHeight="1" thickBot="1">
      <c r="A1577" s="126" t="str">
        <f t="shared" si="73"/>
        <v>2026/03</v>
      </c>
      <c r="B1577" s="127" t="str">
        <f t="shared" si="74"/>
        <v>2026/03站前4樓</v>
      </c>
      <c r="C1577" s="138">
        <v>41</v>
      </c>
      <c r="D1577" s="139" t="s">
        <v>236</v>
      </c>
      <c r="E1577" s="484" t="s">
        <v>332</v>
      </c>
      <c r="F1577" s="484"/>
      <c r="G1577" s="484" t="s">
        <v>333</v>
      </c>
      <c r="H1577" s="484"/>
      <c r="I1577" s="484"/>
      <c r="J1577" s="484"/>
      <c r="K1577" s="140" t="s">
        <v>334</v>
      </c>
      <c r="L1577" s="141">
        <v>91001</v>
      </c>
    </row>
    <row r="1578" spans="1:12" ht="17.25" customHeight="1" thickBot="1">
      <c r="A1578" s="126" t="str">
        <f t="shared" si="73"/>
        <v>2026/03</v>
      </c>
      <c r="B1578" s="127" t="str">
        <f t="shared" si="74"/>
        <v>2026/03站前4樓</v>
      </c>
      <c r="C1578" s="138">
        <v>42</v>
      </c>
      <c r="D1578" s="139" t="s">
        <v>236</v>
      </c>
      <c r="E1578" s="484" t="s">
        <v>335</v>
      </c>
      <c r="F1578" s="484"/>
      <c r="G1578" s="484" t="s">
        <v>336</v>
      </c>
      <c r="H1578" s="484"/>
      <c r="I1578" s="484"/>
      <c r="J1578" s="484"/>
      <c r="K1578" s="140" t="s">
        <v>337</v>
      </c>
      <c r="L1578" s="141">
        <v>22604</v>
      </c>
    </row>
    <row r="1579" spans="1:12" ht="17.25" customHeight="1" thickBot="1">
      <c r="A1579" s="126" t="str">
        <f t="shared" si="73"/>
        <v>2026/03</v>
      </c>
      <c r="B1579" s="127" t="str">
        <f t="shared" si="74"/>
        <v>2026/03站前4樓</v>
      </c>
      <c r="C1579" s="138">
        <v>43</v>
      </c>
      <c r="D1579" s="139" t="s">
        <v>236</v>
      </c>
      <c r="E1579" s="484" t="s">
        <v>447</v>
      </c>
      <c r="F1579" s="484"/>
      <c r="G1579" s="484" t="s">
        <v>448</v>
      </c>
      <c r="H1579" s="484"/>
      <c r="I1579" s="484"/>
      <c r="J1579" s="484"/>
      <c r="K1579" s="140" t="s">
        <v>445</v>
      </c>
      <c r="L1579" s="141">
        <v>12</v>
      </c>
    </row>
    <row r="1580" spans="1:12" ht="17.25" customHeight="1" thickBot="1">
      <c r="A1580" s="126" t="str">
        <f t="shared" si="73"/>
        <v>2026/03</v>
      </c>
      <c r="B1580" s="127" t="str">
        <f t="shared" si="74"/>
        <v>2026/03站前4樓</v>
      </c>
      <c r="C1580" s="138">
        <v>44</v>
      </c>
      <c r="D1580" s="139" t="s">
        <v>236</v>
      </c>
      <c r="E1580" s="484" t="s">
        <v>351</v>
      </c>
      <c r="F1580" s="484"/>
      <c r="G1580" s="484" t="s">
        <v>352</v>
      </c>
      <c r="H1580" s="484"/>
      <c r="I1580" s="484"/>
      <c r="J1580" s="484"/>
      <c r="K1580" s="140" t="s">
        <v>353</v>
      </c>
      <c r="L1580" s="141">
        <v>4</v>
      </c>
    </row>
    <row r="1581" spans="1:12" ht="17.25" customHeight="1" thickBot="1">
      <c r="A1581" s="126" t="str">
        <f t="shared" si="73"/>
        <v>2026/03</v>
      </c>
      <c r="B1581" s="127" t="str">
        <f t="shared" si="74"/>
        <v>2026/03站前4樓</v>
      </c>
      <c r="C1581" s="138">
        <v>45</v>
      </c>
      <c r="D1581" s="139" t="s">
        <v>236</v>
      </c>
      <c r="E1581" s="484" t="s">
        <v>357</v>
      </c>
      <c r="F1581" s="484"/>
      <c r="G1581" s="484" t="s">
        <v>358</v>
      </c>
      <c r="H1581" s="484"/>
      <c r="I1581" s="484"/>
      <c r="J1581" s="484"/>
      <c r="K1581" s="140" t="s">
        <v>353</v>
      </c>
      <c r="L1581" s="141">
        <v>4</v>
      </c>
    </row>
    <row r="1582" spans="1:12" ht="17.25" customHeight="1" thickBot="1">
      <c r="A1582" s="126" t="str">
        <f t="shared" si="73"/>
        <v>2026/03</v>
      </c>
      <c r="B1582" s="127" t="str">
        <f t="shared" si="74"/>
        <v>2026/03站前4樓</v>
      </c>
      <c r="C1582" s="138">
        <v>46</v>
      </c>
      <c r="D1582" s="139" t="s">
        <v>236</v>
      </c>
      <c r="E1582" s="484" t="s">
        <v>697</v>
      </c>
      <c r="F1582" s="484"/>
      <c r="G1582" s="484" t="s">
        <v>698</v>
      </c>
      <c r="H1582" s="484"/>
      <c r="I1582" s="484"/>
      <c r="J1582" s="484"/>
      <c r="K1582" s="140" t="s">
        <v>699</v>
      </c>
      <c r="L1582" s="141">
        <v>5</v>
      </c>
    </row>
    <row r="1583" spans="1:12" ht="17.25" customHeight="1" thickBot="1">
      <c r="A1583" s="126" t="str">
        <f t="shared" si="73"/>
        <v>2026/03</v>
      </c>
      <c r="B1583" s="127" t="str">
        <f t="shared" si="74"/>
        <v>2026/03站前4樓</v>
      </c>
      <c r="C1583" s="138">
        <v>47</v>
      </c>
      <c r="D1583" s="139" t="s">
        <v>236</v>
      </c>
      <c r="E1583" s="484" t="s">
        <v>683</v>
      </c>
      <c r="F1583" s="484"/>
      <c r="G1583" s="484" t="s">
        <v>684</v>
      </c>
      <c r="H1583" s="484"/>
      <c r="I1583" s="484"/>
      <c r="J1583" s="484"/>
      <c r="K1583" s="140" t="s">
        <v>685</v>
      </c>
      <c r="L1583" s="141">
        <v>4</v>
      </c>
    </row>
    <row r="1584" spans="1:12" ht="17.25" customHeight="1" thickBot="1">
      <c r="A1584" s="126" t="str">
        <f t="shared" si="73"/>
        <v>2026/03</v>
      </c>
      <c r="B1584" s="127" t="str">
        <f t="shared" si="74"/>
        <v>2026/03站前4樓</v>
      </c>
      <c r="C1584" s="138">
        <v>48</v>
      </c>
      <c r="D1584" s="139" t="s">
        <v>236</v>
      </c>
      <c r="E1584" s="484" t="s">
        <v>686</v>
      </c>
      <c r="F1584" s="484"/>
      <c r="G1584" s="484" t="s">
        <v>687</v>
      </c>
      <c r="H1584" s="484"/>
      <c r="I1584" s="484"/>
      <c r="J1584" s="484"/>
      <c r="K1584" s="140" t="s">
        <v>688</v>
      </c>
      <c r="L1584" s="141">
        <v>35</v>
      </c>
    </row>
    <row r="1585" spans="1:12" ht="17.25" customHeight="1" thickBot="1">
      <c r="A1585" s="126" t="str">
        <f t="shared" si="73"/>
        <v>2026/03</v>
      </c>
      <c r="B1585" s="127" t="str">
        <f t="shared" si="74"/>
        <v>2026/03站前4樓</v>
      </c>
      <c r="C1585" s="138">
        <v>49</v>
      </c>
      <c r="D1585" s="139" t="s">
        <v>236</v>
      </c>
      <c r="E1585" s="484" t="s">
        <v>354</v>
      </c>
      <c r="F1585" s="484"/>
      <c r="G1585" s="484" t="s">
        <v>741</v>
      </c>
      <c r="H1585" s="484"/>
      <c r="I1585" s="484"/>
      <c r="J1585" s="484"/>
      <c r="K1585" s="140" t="s">
        <v>885</v>
      </c>
      <c r="L1585" s="141">
        <v>5</v>
      </c>
    </row>
    <row r="1586" spans="1:12" ht="17.25" customHeight="1" thickBot="1">
      <c r="A1586" s="126" t="str">
        <f t="shared" si="73"/>
        <v>2026/03</v>
      </c>
      <c r="B1586" s="127" t="str">
        <f t="shared" si="74"/>
        <v>2026/03站前4樓</v>
      </c>
      <c r="C1586" s="138">
        <v>50</v>
      </c>
      <c r="D1586" s="139" t="s">
        <v>236</v>
      </c>
      <c r="E1586" s="484" t="s">
        <v>309</v>
      </c>
      <c r="F1586" s="484"/>
      <c r="G1586" s="484" t="s">
        <v>310</v>
      </c>
      <c r="H1586" s="484"/>
      <c r="I1586" s="484"/>
      <c r="J1586" s="484"/>
      <c r="K1586" s="140" t="s">
        <v>269</v>
      </c>
      <c r="L1586" s="141">
        <v>184</v>
      </c>
    </row>
    <row r="1587" spans="1:12" ht="17.25" customHeight="1" thickBot="1">
      <c r="A1587" s="126" t="str">
        <f t="shared" si="73"/>
        <v>2026/03</v>
      </c>
      <c r="B1587" s="127" t="str">
        <f t="shared" si="74"/>
        <v>2026/03站前4樓</v>
      </c>
      <c r="C1587" s="138">
        <v>51</v>
      </c>
      <c r="D1587" s="139" t="s">
        <v>236</v>
      </c>
      <c r="E1587" s="484" t="s">
        <v>267</v>
      </c>
      <c r="F1587" s="484"/>
      <c r="G1587" s="484" t="s">
        <v>268</v>
      </c>
      <c r="H1587" s="484"/>
      <c r="I1587" s="484"/>
      <c r="J1587" s="484"/>
      <c r="K1587" s="140" t="s">
        <v>269</v>
      </c>
      <c r="L1587" s="141">
        <v>15</v>
      </c>
    </row>
    <row r="1588" spans="1:12" ht="17.25" customHeight="1" thickBot="1">
      <c r="A1588" s="126" t="str">
        <f t="shared" si="73"/>
        <v>2026/03</v>
      </c>
      <c r="B1588" s="127" t="str">
        <f t="shared" si="74"/>
        <v>2026/03站前4樓</v>
      </c>
      <c r="C1588" s="138">
        <v>52</v>
      </c>
      <c r="D1588" s="139" t="s">
        <v>236</v>
      </c>
      <c r="E1588" s="484" t="s">
        <v>297</v>
      </c>
      <c r="F1588" s="484"/>
      <c r="G1588" s="484" t="s">
        <v>298</v>
      </c>
      <c r="H1588" s="484"/>
      <c r="I1588" s="484"/>
      <c r="J1588" s="484"/>
      <c r="K1588" s="140" t="s">
        <v>269</v>
      </c>
      <c r="L1588" s="141">
        <v>6</v>
      </c>
    </row>
    <row r="1589" spans="1:12" ht="17.25" customHeight="1" thickBot="1">
      <c r="A1589" s="126" t="str">
        <f t="shared" si="73"/>
        <v>2026/03</v>
      </c>
      <c r="B1589" s="127" t="str">
        <f t="shared" si="74"/>
        <v>2026/03站前4樓</v>
      </c>
      <c r="C1589" s="138">
        <v>53</v>
      </c>
      <c r="D1589" s="139" t="s">
        <v>236</v>
      </c>
      <c r="E1589" s="484" t="s">
        <v>315</v>
      </c>
      <c r="F1589" s="484"/>
      <c r="G1589" s="484" t="s">
        <v>316</v>
      </c>
      <c r="H1589" s="484"/>
      <c r="I1589" s="484"/>
      <c r="J1589" s="484"/>
      <c r="K1589" s="140" t="s">
        <v>296</v>
      </c>
      <c r="L1589" s="141">
        <v>10</v>
      </c>
    </row>
    <row r="1590" spans="1:12" ht="17.25" customHeight="1" thickBot="1">
      <c r="A1590" s="126" t="str">
        <f t="shared" si="73"/>
        <v>2026/03</v>
      </c>
      <c r="B1590" s="127" t="str">
        <f t="shared" si="74"/>
        <v>2026/03站前4樓</v>
      </c>
      <c r="C1590" s="138">
        <v>54</v>
      </c>
      <c r="D1590" s="139" t="s">
        <v>236</v>
      </c>
      <c r="E1590" s="484" t="s">
        <v>294</v>
      </c>
      <c r="F1590" s="484"/>
      <c r="G1590" s="484" t="s">
        <v>295</v>
      </c>
      <c r="H1590" s="484"/>
      <c r="I1590" s="484"/>
      <c r="J1590" s="484"/>
      <c r="K1590" s="140" t="s">
        <v>296</v>
      </c>
      <c r="L1590" s="141">
        <v>5</v>
      </c>
    </row>
    <row r="1591" spans="1:12" ht="17.25" customHeight="1" thickBot="1">
      <c r="A1591" s="126" t="str">
        <f t="shared" si="73"/>
        <v>2026/03</v>
      </c>
      <c r="B1591" s="127" t="str">
        <f t="shared" si="74"/>
        <v>2026/03站前4樓</v>
      </c>
      <c r="C1591" s="138">
        <v>55</v>
      </c>
      <c r="D1591" s="139" t="s">
        <v>236</v>
      </c>
      <c r="E1591" s="484" t="s">
        <v>736</v>
      </c>
      <c r="F1591" s="484"/>
      <c r="G1591" s="484" t="s">
        <v>737</v>
      </c>
      <c r="H1591" s="484"/>
      <c r="I1591" s="484"/>
      <c r="J1591" s="484"/>
      <c r="K1591" s="140" t="s">
        <v>738</v>
      </c>
      <c r="L1591" s="141">
        <v>5</v>
      </c>
    </row>
    <row r="1592" spans="1:12" ht="17.25" customHeight="1" thickBot="1">
      <c r="A1592" s="126" t="str">
        <f t="shared" si="73"/>
        <v>2026/03</v>
      </c>
      <c r="B1592" s="127" t="str">
        <f t="shared" si="74"/>
        <v>2026/03站前4樓</v>
      </c>
      <c r="C1592" s="138">
        <v>56</v>
      </c>
      <c r="D1592" s="139" t="s">
        <v>236</v>
      </c>
      <c r="E1592" s="484" t="s">
        <v>237</v>
      </c>
      <c r="F1592" s="484"/>
      <c r="G1592" s="484" t="s">
        <v>238</v>
      </c>
      <c r="H1592" s="484"/>
      <c r="I1592" s="484"/>
      <c r="J1592" s="484"/>
      <c r="K1592" s="140" t="s">
        <v>239</v>
      </c>
      <c r="L1592" s="141">
        <v>602</v>
      </c>
    </row>
    <row r="1593" spans="1:12" ht="17.25" customHeight="1" thickBot="1">
      <c r="A1593" s="126" t="str">
        <f t="shared" si="73"/>
        <v>2026/03</v>
      </c>
      <c r="B1593" s="127" t="str">
        <f t="shared" si="74"/>
        <v>2026/03站前4樓</v>
      </c>
      <c r="C1593" s="138">
        <v>57</v>
      </c>
      <c r="D1593" s="139" t="s">
        <v>236</v>
      </c>
      <c r="E1593" s="484" t="s">
        <v>240</v>
      </c>
      <c r="F1593" s="484"/>
      <c r="G1593" s="484" t="s">
        <v>241</v>
      </c>
      <c r="H1593" s="484"/>
      <c r="I1593" s="484"/>
      <c r="J1593" s="484"/>
      <c r="K1593" s="140" t="s">
        <v>239</v>
      </c>
      <c r="L1593" s="141">
        <v>602</v>
      </c>
    </row>
    <row r="1594" spans="1:12" ht="17.25" customHeight="1" thickBot="1">
      <c r="A1594" s="126" t="str">
        <f t="shared" si="73"/>
        <v>2026/03</v>
      </c>
      <c r="B1594" s="127" t="str">
        <f t="shared" si="74"/>
        <v>2026/03站前4樓</v>
      </c>
      <c r="C1594" s="138">
        <v>58</v>
      </c>
      <c r="D1594" s="139" t="s">
        <v>236</v>
      </c>
      <c r="E1594" s="484" t="s">
        <v>242</v>
      </c>
      <c r="F1594" s="484"/>
      <c r="G1594" s="484" t="s">
        <v>243</v>
      </c>
      <c r="H1594" s="484"/>
      <c r="I1594" s="484"/>
      <c r="J1594" s="484"/>
      <c r="K1594" s="140" t="s">
        <v>239</v>
      </c>
      <c r="L1594" s="141">
        <v>602</v>
      </c>
    </row>
    <row r="1595" spans="1:12" ht="17.25" customHeight="1" thickBot="1">
      <c r="A1595" s="126" t="str">
        <f t="shared" si="73"/>
        <v>2026/03</v>
      </c>
      <c r="B1595" s="127" t="str">
        <f t="shared" si="74"/>
        <v>2026/03站前4樓</v>
      </c>
      <c r="C1595" s="138">
        <v>59</v>
      </c>
      <c r="D1595" s="139" t="s">
        <v>236</v>
      </c>
      <c r="E1595" s="484" t="s">
        <v>244</v>
      </c>
      <c r="F1595" s="484"/>
      <c r="G1595" s="484" t="s">
        <v>245</v>
      </c>
      <c r="H1595" s="484"/>
      <c r="I1595" s="484"/>
      <c r="J1595" s="484"/>
      <c r="K1595" s="140" t="s">
        <v>725</v>
      </c>
      <c r="L1595" s="141">
        <v>9030</v>
      </c>
    </row>
    <row r="1596" spans="1:12" ht="17.25" customHeight="1" thickBot="1">
      <c r="A1596" s="126" t="str">
        <f t="shared" si="73"/>
        <v>2026/03</v>
      </c>
      <c r="B1596" s="127" t="str">
        <f t="shared" si="74"/>
        <v>2026/03站前4樓</v>
      </c>
      <c r="C1596" s="138">
        <v>60</v>
      </c>
      <c r="D1596" s="139" t="s">
        <v>236</v>
      </c>
      <c r="E1596" s="484" t="s">
        <v>246</v>
      </c>
      <c r="F1596" s="484"/>
      <c r="G1596" s="484" t="s">
        <v>247</v>
      </c>
      <c r="H1596" s="484"/>
      <c r="I1596" s="484"/>
      <c r="J1596" s="484"/>
      <c r="K1596" s="140" t="s">
        <v>725</v>
      </c>
      <c r="L1596" s="141">
        <v>9030</v>
      </c>
    </row>
    <row r="1597" spans="1:12" ht="17.25" customHeight="1" thickBot="1">
      <c r="A1597" s="126" t="str">
        <f t="shared" si="73"/>
        <v>2026/03</v>
      </c>
      <c r="B1597" s="127" t="str">
        <f t="shared" si="74"/>
        <v>2026/03站前4樓</v>
      </c>
      <c r="C1597" s="138">
        <v>61</v>
      </c>
      <c r="D1597" s="139" t="s">
        <v>236</v>
      </c>
      <c r="E1597" s="484" t="s">
        <v>248</v>
      </c>
      <c r="F1597" s="484"/>
      <c r="G1597" s="484" t="s">
        <v>249</v>
      </c>
      <c r="H1597" s="484"/>
      <c r="I1597" s="484"/>
      <c r="J1597" s="484"/>
      <c r="K1597" s="140" t="s">
        <v>725</v>
      </c>
      <c r="L1597" s="141">
        <v>9030</v>
      </c>
    </row>
    <row r="1598" spans="1:12" ht="17.25" customHeight="1" thickBot="1">
      <c r="A1598" s="126" t="str">
        <f t="shared" si="73"/>
        <v>2026/03</v>
      </c>
      <c r="B1598" s="127" t="str">
        <f t="shared" si="74"/>
        <v>2026/03站前4樓</v>
      </c>
      <c r="C1598" s="138">
        <v>62</v>
      </c>
      <c r="D1598" s="139" t="s">
        <v>236</v>
      </c>
      <c r="E1598" s="484" t="s">
        <v>250</v>
      </c>
      <c r="F1598" s="484"/>
      <c r="G1598" s="484" t="s">
        <v>251</v>
      </c>
      <c r="H1598" s="484"/>
      <c r="I1598" s="484"/>
      <c r="J1598" s="484"/>
      <c r="K1598" s="140" t="s">
        <v>725</v>
      </c>
      <c r="L1598" s="141">
        <v>9030</v>
      </c>
    </row>
    <row r="1599" spans="1:12" ht="17.25" customHeight="1" thickBot="1">
      <c r="A1599" s="126" t="str">
        <f t="shared" si="73"/>
        <v>2026/03</v>
      </c>
      <c r="B1599" s="127" t="str">
        <f t="shared" si="74"/>
        <v>2026/03站前11樓</v>
      </c>
      <c r="C1599" s="138">
        <v>63</v>
      </c>
      <c r="D1599" s="139" t="s">
        <v>374</v>
      </c>
      <c r="E1599" s="484" t="s">
        <v>392</v>
      </c>
      <c r="F1599" s="484"/>
      <c r="G1599" s="484" t="s">
        <v>393</v>
      </c>
      <c r="H1599" s="484"/>
      <c r="I1599" s="484"/>
      <c r="J1599" s="484"/>
      <c r="K1599" s="140" t="s">
        <v>382</v>
      </c>
      <c r="L1599" s="141">
        <v>733</v>
      </c>
    </row>
    <row r="1600" spans="1:12" ht="17.25" customHeight="1" thickBot="1">
      <c r="A1600" s="126" t="str">
        <f t="shared" ref="A1600:A1661" si="75">IFERROR(LEFT(B1600,7),"")</f>
        <v>2026/03</v>
      </c>
      <c r="B1600" s="127" t="str">
        <f t="shared" ref="B1600:B1661" si="76">"2026/03"&amp;D1600</f>
        <v>2026/03站前11樓</v>
      </c>
      <c r="C1600" s="138">
        <v>64</v>
      </c>
      <c r="D1600" s="139" t="s">
        <v>374</v>
      </c>
      <c r="E1600" s="484" t="s">
        <v>380</v>
      </c>
      <c r="F1600" s="484"/>
      <c r="G1600" s="484" t="s">
        <v>381</v>
      </c>
      <c r="H1600" s="484"/>
      <c r="I1600" s="484"/>
      <c r="J1600" s="484"/>
      <c r="K1600" s="140" t="s">
        <v>892</v>
      </c>
      <c r="L1600" s="141">
        <v>964.5</v>
      </c>
    </row>
    <row r="1601" spans="1:12" ht="17.25" customHeight="1" thickBot="1">
      <c r="A1601" s="126" t="str">
        <f t="shared" si="75"/>
        <v>2026/03</v>
      </c>
      <c r="B1601" s="127" t="str">
        <f t="shared" si="76"/>
        <v>2026/03站前11樓</v>
      </c>
      <c r="C1601" s="138">
        <v>65</v>
      </c>
      <c r="D1601" s="139" t="s">
        <v>374</v>
      </c>
      <c r="E1601" s="484" t="s">
        <v>413</v>
      </c>
      <c r="F1601" s="484"/>
      <c r="G1601" s="484" t="s">
        <v>674</v>
      </c>
      <c r="H1601" s="484"/>
      <c r="I1601" s="484"/>
      <c r="J1601" s="484"/>
      <c r="K1601" s="140" t="s">
        <v>410</v>
      </c>
      <c r="L1601" s="141">
        <v>3</v>
      </c>
    </row>
    <row r="1602" spans="1:12" ht="17.25" customHeight="1" thickBot="1">
      <c r="A1602" s="126" t="str">
        <f t="shared" si="75"/>
        <v>2026/03</v>
      </c>
      <c r="B1602" s="127" t="str">
        <f t="shared" si="76"/>
        <v>2026/03站前11樓</v>
      </c>
      <c r="C1602" s="138">
        <v>66</v>
      </c>
      <c r="D1602" s="139" t="s">
        <v>374</v>
      </c>
      <c r="E1602" s="484" t="s">
        <v>360</v>
      </c>
      <c r="F1602" s="484"/>
      <c r="G1602" s="484" t="s">
        <v>361</v>
      </c>
      <c r="H1602" s="484"/>
      <c r="I1602" s="484"/>
      <c r="J1602" s="484"/>
      <c r="K1602" s="140" t="s">
        <v>362</v>
      </c>
      <c r="L1602" s="141">
        <v>23</v>
      </c>
    </row>
    <row r="1603" spans="1:12" ht="17.25" customHeight="1" thickBot="1">
      <c r="A1603" s="126" t="str">
        <f t="shared" si="75"/>
        <v>2026/03</v>
      </c>
      <c r="B1603" s="127" t="str">
        <f t="shared" si="76"/>
        <v>2026/03站前11樓</v>
      </c>
      <c r="C1603" s="138">
        <v>67</v>
      </c>
      <c r="D1603" s="139" t="s">
        <v>374</v>
      </c>
      <c r="E1603" s="484" t="s">
        <v>383</v>
      </c>
      <c r="F1603" s="484"/>
      <c r="G1603" s="484" t="s">
        <v>384</v>
      </c>
      <c r="H1603" s="484"/>
      <c r="I1603" s="484"/>
      <c r="J1603" s="484"/>
      <c r="K1603" s="140" t="s">
        <v>385</v>
      </c>
      <c r="L1603" s="141">
        <v>474</v>
      </c>
    </row>
    <row r="1604" spans="1:12" ht="17.25" customHeight="1" thickBot="1">
      <c r="A1604" s="126" t="str">
        <f t="shared" si="75"/>
        <v>2026/03</v>
      </c>
      <c r="B1604" s="127" t="str">
        <f t="shared" si="76"/>
        <v>2026/03站前11樓</v>
      </c>
      <c r="C1604" s="138">
        <v>68</v>
      </c>
      <c r="D1604" s="139" t="s">
        <v>374</v>
      </c>
      <c r="E1604" s="484" t="s">
        <v>394</v>
      </c>
      <c r="F1604" s="484"/>
      <c r="G1604" s="484" t="s">
        <v>395</v>
      </c>
      <c r="H1604" s="484"/>
      <c r="I1604" s="484"/>
      <c r="J1604" s="484"/>
      <c r="K1604" s="140" t="s">
        <v>272</v>
      </c>
      <c r="L1604" s="141">
        <v>15</v>
      </c>
    </row>
    <row r="1605" spans="1:12" ht="17.25" customHeight="1" thickBot="1">
      <c r="A1605" s="126" t="str">
        <f t="shared" si="75"/>
        <v>2026/03</v>
      </c>
      <c r="B1605" s="127" t="str">
        <f t="shared" si="76"/>
        <v>2026/03站前11樓</v>
      </c>
      <c r="C1605" s="138">
        <v>69</v>
      </c>
      <c r="D1605" s="139" t="s">
        <v>374</v>
      </c>
      <c r="E1605" s="484" t="s">
        <v>396</v>
      </c>
      <c r="F1605" s="484"/>
      <c r="G1605" s="484" t="s">
        <v>397</v>
      </c>
      <c r="H1605" s="484"/>
      <c r="I1605" s="484"/>
      <c r="J1605" s="484"/>
      <c r="K1605" s="140" t="s">
        <v>398</v>
      </c>
      <c r="L1605" s="141">
        <v>1</v>
      </c>
    </row>
    <row r="1606" spans="1:12" ht="17.25" customHeight="1" thickBot="1">
      <c r="A1606" s="126" t="str">
        <f t="shared" si="75"/>
        <v>2026/03</v>
      </c>
      <c r="B1606" s="127" t="str">
        <f t="shared" si="76"/>
        <v>2026/03站前11樓</v>
      </c>
      <c r="C1606" s="138">
        <v>70</v>
      </c>
      <c r="D1606" s="139" t="s">
        <v>374</v>
      </c>
      <c r="E1606" s="484" t="s">
        <v>403</v>
      </c>
      <c r="F1606" s="484"/>
      <c r="G1606" s="484" t="s">
        <v>404</v>
      </c>
      <c r="H1606" s="484"/>
      <c r="I1606" s="484"/>
      <c r="J1606" s="484"/>
      <c r="K1606" s="140" t="s">
        <v>385</v>
      </c>
      <c r="L1606" s="141">
        <v>14</v>
      </c>
    </row>
    <row r="1607" spans="1:12" ht="17.25" customHeight="1" thickBot="1">
      <c r="A1607" s="126" t="str">
        <f t="shared" si="75"/>
        <v>2026/03</v>
      </c>
      <c r="B1607" s="127" t="str">
        <f t="shared" si="76"/>
        <v>2026/03站前11樓</v>
      </c>
      <c r="C1607" s="138">
        <v>71</v>
      </c>
      <c r="D1607" s="139" t="s">
        <v>374</v>
      </c>
      <c r="E1607" s="484" t="s">
        <v>406</v>
      </c>
      <c r="F1607" s="484"/>
      <c r="G1607" s="484" t="s">
        <v>407</v>
      </c>
      <c r="H1607" s="484"/>
      <c r="I1607" s="484"/>
      <c r="J1607" s="484"/>
      <c r="K1607" s="140" t="s">
        <v>385</v>
      </c>
      <c r="L1607" s="141">
        <v>14</v>
      </c>
    </row>
    <row r="1608" spans="1:12" ht="17.25" customHeight="1" thickBot="1">
      <c r="A1608" s="126" t="str">
        <f t="shared" si="75"/>
        <v>2026/03</v>
      </c>
      <c r="B1608" s="127" t="str">
        <f t="shared" si="76"/>
        <v>2026/03站前11樓</v>
      </c>
      <c r="C1608" s="138">
        <v>72</v>
      </c>
      <c r="D1608" s="139" t="s">
        <v>374</v>
      </c>
      <c r="E1608" s="484" t="s">
        <v>408</v>
      </c>
      <c r="F1608" s="484"/>
      <c r="G1608" s="484" t="s">
        <v>409</v>
      </c>
      <c r="H1608" s="484"/>
      <c r="I1608" s="484"/>
      <c r="J1608" s="484"/>
      <c r="K1608" s="140" t="s">
        <v>410</v>
      </c>
      <c r="L1608" s="141">
        <v>4</v>
      </c>
    </row>
    <row r="1609" spans="1:12" ht="17.25" customHeight="1" thickBot="1">
      <c r="A1609" s="126" t="str">
        <f t="shared" si="75"/>
        <v>2026/03</v>
      </c>
      <c r="B1609" s="127" t="str">
        <f t="shared" si="76"/>
        <v>2026/03站前11樓</v>
      </c>
      <c r="C1609" s="138">
        <v>73</v>
      </c>
      <c r="D1609" s="139" t="s">
        <v>374</v>
      </c>
      <c r="E1609" s="484" t="s">
        <v>255</v>
      </c>
      <c r="F1609" s="484"/>
      <c r="G1609" s="484" t="s">
        <v>256</v>
      </c>
      <c r="H1609" s="484"/>
      <c r="I1609" s="484"/>
      <c r="J1609" s="484"/>
      <c r="K1609" s="140" t="s">
        <v>720</v>
      </c>
      <c r="L1609" s="141">
        <v>478</v>
      </c>
    </row>
    <row r="1610" spans="1:12" ht="17.25" customHeight="1" thickBot="1">
      <c r="A1610" s="126" t="str">
        <f t="shared" si="75"/>
        <v>2026/03</v>
      </c>
      <c r="B1610" s="127" t="str">
        <f t="shared" si="76"/>
        <v>2026/03站前11樓</v>
      </c>
      <c r="C1610" s="138">
        <v>74</v>
      </c>
      <c r="D1610" s="139" t="s">
        <v>374</v>
      </c>
      <c r="E1610" s="484" t="s">
        <v>419</v>
      </c>
      <c r="F1610" s="484"/>
      <c r="G1610" s="484" t="s">
        <v>420</v>
      </c>
      <c r="H1610" s="484"/>
      <c r="I1610" s="484"/>
      <c r="J1610" s="484"/>
      <c r="K1610" s="140" t="s">
        <v>726</v>
      </c>
      <c r="L1610" s="141">
        <v>658</v>
      </c>
    </row>
    <row r="1611" spans="1:12" ht="17.25" customHeight="1" thickBot="1">
      <c r="A1611" s="126" t="str">
        <f t="shared" si="75"/>
        <v>2026/03</v>
      </c>
      <c r="B1611" s="127" t="str">
        <f t="shared" si="76"/>
        <v>2026/03站前11樓</v>
      </c>
      <c r="C1611" s="138">
        <v>75</v>
      </c>
      <c r="D1611" s="139" t="s">
        <v>374</v>
      </c>
      <c r="E1611" s="484" t="s">
        <v>258</v>
      </c>
      <c r="F1611" s="484"/>
      <c r="G1611" s="484" t="s">
        <v>259</v>
      </c>
      <c r="H1611" s="484"/>
      <c r="I1611" s="484"/>
      <c r="J1611" s="484"/>
      <c r="K1611" s="140"/>
      <c r="L1611" s="141">
        <v>24</v>
      </c>
    </row>
    <row r="1612" spans="1:12" ht="17.25" customHeight="1" thickBot="1">
      <c r="A1612" s="126" t="str">
        <f t="shared" si="75"/>
        <v>2026/03</v>
      </c>
      <c r="B1612" s="127" t="str">
        <f t="shared" si="76"/>
        <v>2026/03站前11樓</v>
      </c>
      <c r="C1612" s="138">
        <v>76</v>
      </c>
      <c r="D1612" s="139" t="s">
        <v>374</v>
      </c>
      <c r="E1612" s="484" t="s">
        <v>260</v>
      </c>
      <c r="F1612" s="484"/>
      <c r="G1612" s="484" t="s">
        <v>261</v>
      </c>
      <c r="H1612" s="484"/>
      <c r="I1612" s="484"/>
      <c r="J1612" s="484"/>
      <c r="K1612" s="140" t="s">
        <v>254</v>
      </c>
      <c r="L1612" s="141">
        <v>23</v>
      </c>
    </row>
    <row r="1613" spans="1:12" ht="17.25" customHeight="1" thickBot="1">
      <c r="A1613" s="126" t="str">
        <f t="shared" si="75"/>
        <v>2026/03</v>
      </c>
      <c r="B1613" s="127" t="str">
        <f t="shared" si="76"/>
        <v>2026/03站前11樓</v>
      </c>
      <c r="C1613" s="138">
        <v>77</v>
      </c>
      <c r="D1613" s="139" t="s">
        <v>374</v>
      </c>
      <c r="E1613" s="484" t="s">
        <v>415</v>
      </c>
      <c r="F1613" s="484"/>
      <c r="G1613" s="484" t="s">
        <v>416</v>
      </c>
      <c r="H1613" s="484"/>
      <c r="I1613" s="484"/>
      <c r="J1613" s="484"/>
      <c r="K1613" s="140" t="s">
        <v>254</v>
      </c>
      <c r="L1613" s="141">
        <v>2</v>
      </c>
    </row>
    <row r="1614" spans="1:12" ht="17.25" customHeight="1" thickBot="1">
      <c r="A1614" s="126" t="str">
        <f t="shared" si="75"/>
        <v>2026/03</v>
      </c>
      <c r="B1614" s="127" t="str">
        <f t="shared" si="76"/>
        <v>2026/03站前11樓</v>
      </c>
      <c r="C1614" s="138">
        <v>78</v>
      </c>
      <c r="D1614" s="139" t="s">
        <v>374</v>
      </c>
      <c r="E1614" s="484" t="s">
        <v>252</v>
      </c>
      <c r="F1614" s="484"/>
      <c r="G1614" s="484" t="s">
        <v>253</v>
      </c>
      <c r="H1614" s="484"/>
      <c r="I1614" s="484"/>
      <c r="J1614" s="484"/>
      <c r="K1614" s="140" t="s">
        <v>254</v>
      </c>
      <c r="L1614" s="141">
        <v>25</v>
      </c>
    </row>
    <row r="1615" spans="1:12" ht="17.25" customHeight="1" thickBot="1">
      <c r="A1615" s="126" t="str">
        <f t="shared" si="75"/>
        <v>2026/03</v>
      </c>
      <c r="B1615" s="127" t="str">
        <f t="shared" si="76"/>
        <v>2026/03站前11樓</v>
      </c>
      <c r="C1615" s="138">
        <v>79</v>
      </c>
      <c r="D1615" s="139" t="s">
        <v>374</v>
      </c>
      <c r="E1615" s="484" t="s">
        <v>695</v>
      </c>
      <c r="F1615" s="484"/>
      <c r="G1615" s="484" t="s">
        <v>696</v>
      </c>
      <c r="H1615" s="484"/>
      <c r="I1615" s="484"/>
      <c r="J1615" s="484"/>
      <c r="K1615" s="140" t="s">
        <v>254</v>
      </c>
      <c r="L1615" s="141">
        <v>1</v>
      </c>
    </row>
    <row r="1616" spans="1:12" ht="17.25" customHeight="1" thickBot="1">
      <c r="A1616" s="126" t="str">
        <f t="shared" si="75"/>
        <v>2026/03</v>
      </c>
      <c r="B1616" s="127" t="str">
        <f t="shared" si="76"/>
        <v>2026/03站前11樓</v>
      </c>
      <c r="C1616" s="138">
        <v>80</v>
      </c>
      <c r="D1616" s="139" t="s">
        <v>374</v>
      </c>
      <c r="E1616" s="484" t="s">
        <v>690</v>
      </c>
      <c r="F1616" s="484"/>
      <c r="G1616" s="484" t="s">
        <v>691</v>
      </c>
      <c r="H1616" s="484"/>
      <c r="I1616" s="484"/>
      <c r="J1616" s="484"/>
      <c r="K1616" s="140" t="s">
        <v>692</v>
      </c>
      <c r="L1616" s="141">
        <v>5</v>
      </c>
    </row>
    <row r="1617" spans="1:12" ht="17.25" customHeight="1" thickBot="1">
      <c r="A1617" s="126" t="str">
        <f t="shared" si="75"/>
        <v>2026/03</v>
      </c>
      <c r="B1617" s="127" t="str">
        <f t="shared" si="76"/>
        <v>2026/03站前11樓</v>
      </c>
      <c r="C1617" s="138">
        <v>81</v>
      </c>
      <c r="D1617" s="139" t="s">
        <v>374</v>
      </c>
      <c r="E1617" s="484" t="s">
        <v>389</v>
      </c>
      <c r="F1617" s="484"/>
      <c r="G1617" s="484" t="s">
        <v>390</v>
      </c>
      <c r="H1617" s="484"/>
      <c r="I1617" s="484"/>
      <c r="J1617" s="484"/>
      <c r="K1617" s="140" t="s">
        <v>391</v>
      </c>
      <c r="L1617" s="141">
        <v>43</v>
      </c>
    </row>
    <row r="1618" spans="1:12" ht="17.25" customHeight="1" thickBot="1">
      <c r="A1618" s="126" t="str">
        <f t="shared" si="75"/>
        <v>2026/03</v>
      </c>
      <c r="B1618" s="127" t="str">
        <f t="shared" si="76"/>
        <v>2026/03站前11樓</v>
      </c>
      <c r="C1618" s="138">
        <v>82</v>
      </c>
      <c r="D1618" s="139" t="s">
        <v>374</v>
      </c>
      <c r="E1618" s="484" t="s">
        <v>386</v>
      </c>
      <c r="F1618" s="484"/>
      <c r="G1618" s="484" t="s">
        <v>387</v>
      </c>
      <c r="H1618" s="484"/>
      <c r="I1618" s="484"/>
      <c r="J1618" s="484"/>
      <c r="K1618" s="140" t="s">
        <v>388</v>
      </c>
      <c r="L1618" s="141">
        <v>2600</v>
      </c>
    </row>
    <row r="1619" spans="1:12" ht="17.25" customHeight="1" thickBot="1">
      <c r="A1619" s="126" t="str">
        <f t="shared" si="75"/>
        <v>2026/03</v>
      </c>
      <c r="B1619" s="127" t="str">
        <f t="shared" si="76"/>
        <v>2026/03站前11樓</v>
      </c>
      <c r="C1619" s="138">
        <v>83</v>
      </c>
      <c r="D1619" s="139" t="s">
        <v>374</v>
      </c>
      <c r="E1619" s="484" t="s">
        <v>401</v>
      </c>
      <c r="F1619" s="484"/>
      <c r="G1619" s="484" t="s">
        <v>402</v>
      </c>
      <c r="H1619" s="484"/>
      <c r="I1619" s="484"/>
      <c r="J1619" s="484"/>
      <c r="K1619" s="140" t="s">
        <v>145</v>
      </c>
      <c r="L1619" s="141">
        <v>2</v>
      </c>
    </row>
    <row r="1620" spans="1:12" ht="17.25" customHeight="1" thickBot="1">
      <c r="A1620" s="126" t="str">
        <f t="shared" si="75"/>
        <v>2026/03</v>
      </c>
      <c r="B1620" s="127" t="str">
        <f t="shared" si="76"/>
        <v>2026/03站前11樓</v>
      </c>
      <c r="C1620" s="138">
        <v>84</v>
      </c>
      <c r="D1620" s="139" t="s">
        <v>374</v>
      </c>
      <c r="E1620" s="484" t="s">
        <v>417</v>
      </c>
      <c r="F1620" s="484"/>
      <c r="G1620" s="484" t="s">
        <v>418</v>
      </c>
      <c r="H1620" s="484"/>
      <c r="I1620" s="484"/>
      <c r="J1620" s="484"/>
      <c r="K1620" s="140" t="s">
        <v>145</v>
      </c>
      <c r="L1620" s="141">
        <v>3</v>
      </c>
    </row>
    <row r="1621" spans="1:12" ht="17.25" customHeight="1" thickBot="1">
      <c r="A1621" s="126" t="str">
        <f t="shared" si="75"/>
        <v>2026/03</v>
      </c>
      <c r="B1621" s="127" t="str">
        <f t="shared" si="76"/>
        <v>2026/03站前11樓</v>
      </c>
      <c r="C1621" s="138">
        <v>85</v>
      </c>
      <c r="D1621" s="139" t="s">
        <v>374</v>
      </c>
      <c r="E1621" s="484" t="s">
        <v>399</v>
      </c>
      <c r="F1621" s="484"/>
      <c r="G1621" s="484" t="s">
        <v>400</v>
      </c>
      <c r="H1621" s="484"/>
      <c r="I1621" s="484"/>
      <c r="J1621" s="484"/>
      <c r="K1621" s="140" t="s">
        <v>433</v>
      </c>
      <c r="L1621" s="141">
        <v>9</v>
      </c>
    </row>
    <row r="1622" spans="1:12" ht="17.25" customHeight="1" thickBot="1">
      <c r="A1622" s="126" t="str">
        <f t="shared" si="75"/>
        <v>2026/03</v>
      </c>
      <c r="B1622" s="127" t="str">
        <f t="shared" si="76"/>
        <v>2026/03站前11樓</v>
      </c>
      <c r="C1622" s="138">
        <v>86</v>
      </c>
      <c r="D1622" s="139" t="s">
        <v>374</v>
      </c>
      <c r="E1622" s="484" t="s">
        <v>431</v>
      </c>
      <c r="F1622" s="484"/>
      <c r="G1622" s="484" t="s">
        <v>432</v>
      </c>
      <c r="H1622" s="484"/>
      <c r="I1622" s="484"/>
      <c r="J1622" s="484"/>
      <c r="K1622" s="140" t="s">
        <v>746</v>
      </c>
      <c r="L1622" s="141">
        <v>639.79999999999995</v>
      </c>
    </row>
    <row r="1623" spans="1:12" ht="17.25" customHeight="1" thickBot="1">
      <c r="A1623" s="126" t="str">
        <f t="shared" si="75"/>
        <v>2026/03</v>
      </c>
      <c r="B1623" s="127" t="str">
        <f t="shared" si="76"/>
        <v>2026/03站前11樓</v>
      </c>
      <c r="C1623" s="138">
        <v>87</v>
      </c>
      <c r="D1623" s="139" t="s">
        <v>374</v>
      </c>
      <c r="E1623" s="484" t="s">
        <v>701</v>
      </c>
      <c r="F1623" s="484"/>
      <c r="G1623" s="484" t="s">
        <v>702</v>
      </c>
      <c r="H1623" s="484"/>
      <c r="I1623" s="484"/>
      <c r="J1623" s="484"/>
      <c r="K1623" s="140" t="s">
        <v>849</v>
      </c>
      <c r="L1623" s="141">
        <v>4</v>
      </c>
    </row>
    <row r="1624" spans="1:12" ht="17.25" customHeight="1" thickBot="1">
      <c r="A1624" s="126" t="str">
        <f t="shared" si="75"/>
        <v>2026/03</v>
      </c>
      <c r="B1624" s="127" t="str">
        <f t="shared" si="76"/>
        <v>2026/03站前11樓</v>
      </c>
      <c r="C1624" s="138">
        <v>88</v>
      </c>
      <c r="D1624" s="139" t="s">
        <v>374</v>
      </c>
      <c r="E1624" s="484" t="s">
        <v>693</v>
      </c>
      <c r="F1624" s="484"/>
      <c r="G1624" s="484" t="s">
        <v>694</v>
      </c>
      <c r="H1624" s="484"/>
      <c r="I1624" s="484"/>
      <c r="J1624" s="484"/>
      <c r="K1624" s="140" t="s">
        <v>747</v>
      </c>
      <c r="L1624" s="141">
        <v>840.5</v>
      </c>
    </row>
    <row r="1625" spans="1:12" ht="17.25" customHeight="1" thickBot="1">
      <c r="A1625" s="126" t="str">
        <f t="shared" si="75"/>
        <v>2026/03</v>
      </c>
      <c r="B1625" s="127" t="str">
        <f t="shared" si="76"/>
        <v>2026/03忠孝7樓</v>
      </c>
      <c r="C1625" s="138">
        <v>89</v>
      </c>
      <c r="D1625" s="139" t="s">
        <v>424</v>
      </c>
      <c r="E1625" s="484" t="s">
        <v>893</v>
      </c>
      <c r="F1625" s="484"/>
      <c r="G1625" s="484" t="s">
        <v>894</v>
      </c>
      <c r="H1625" s="484"/>
      <c r="I1625" s="484"/>
      <c r="J1625" s="484"/>
      <c r="K1625" s="140" t="s">
        <v>895</v>
      </c>
      <c r="L1625" s="141">
        <v>1406</v>
      </c>
    </row>
    <row r="1626" spans="1:12" ht="17.25" customHeight="1" thickBot="1">
      <c r="A1626" s="126" t="str">
        <f t="shared" si="75"/>
        <v>2026/03</v>
      </c>
      <c r="B1626" s="127" t="str">
        <f t="shared" si="76"/>
        <v>2026/03忠孝7樓</v>
      </c>
      <c r="C1626" s="138">
        <v>90</v>
      </c>
      <c r="D1626" s="139" t="s">
        <v>424</v>
      </c>
      <c r="E1626" s="484" t="s">
        <v>896</v>
      </c>
      <c r="F1626" s="484"/>
      <c r="G1626" s="484" t="s">
        <v>897</v>
      </c>
      <c r="H1626" s="484"/>
      <c r="I1626" s="484"/>
      <c r="J1626" s="484"/>
      <c r="K1626" s="140" t="s">
        <v>898</v>
      </c>
      <c r="L1626" s="141">
        <v>123</v>
      </c>
    </row>
    <row r="1627" spans="1:12" ht="17.25" customHeight="1" thickBot="1">
      <c r="A1627" s="126" t="str">
        <f t="shared" si="75"/>
        <v>2026/03</v>
      </c>
      <c r="B1627" s="127" t="str">
        <f t="shared" si="76"/>
        <v>2026/03忠孝7樓</v>
      </c>
      <c r="C1627" s="138">
        <v>91</v>
      </c>
      <c r="D1627" s="139" t="s">
        <v>424</v>
      </c>
      <c r="E1627" s="484" t="s">
        <v>886</v>
      </c>
      <c r="F1627" s="484"/>
      <c r="G1627" s="484" t="s">
        <v>887</v>
      </c>
      <c r="H1627" s="484"/>
      <c r="I1627" s="484"/>
      <c r="J1627" s="484"/>
      <c r="K1627" s="140" t="s">
        <v>888</v>
      </c>
      <c r="L1627" s="141">
        <v>1657</v>
      </c>
    </row>
    <row r="1628" spans="1:12" ht="17.25" customHeight="1" thickBot="1">
      <c r="A1628" s="126" t="str">
        <f t="shared" si="75"/>
        <v>2026/03</v>
      </c>
      <c r="B1628" s="127" t="str">
        <f t="shared" si="76"/>
        <v>2026/03忠孝7樓</v>
      </c>
      <c r="C1628" s="138">
        <v>92</v>
      </c>
      <c r="D1628" s="139" t="s">
        <v>424</v>
      </c>
      <c r="E1628" s="484" t="s">
        <v>899</v>
      </c>
      <c r="F1628" s="484"/>
      <c r="G1628" s="484" t="s">
        <v>900</v>
      </c>
      <c r="H1628" s="484"/>
      <c r="I1628" s="484"/>
      <c r="J1628" s="484"/>
      <c r="K1628" s="140" t="s">
        <v>888</v>
      </c>
      <c r="L1628" s="141">
        <v>50</v>
      </c>
    </row>
    <row r="1629" spans="1:12" ht="17.25" customHeight="1" thickBot="1">
      <c r="A1629" s="126" t="str">
        <f t="shared" si="75"/>
        <v>2026/03</v>
      </c>
      <c r="B1629" s="127" t="str">
        <f t="shared" si="76"/>
        <v>2026/03忠孝7樓</v>
      </c>
      <c r="C1629" s="138">
        <v>93</v>
      </c>
      <c r="D1629" s="139" t="s">
        <v>424</v>
      </c>
      <c r="E1629" s="484" t="s">
        <v>901</v>
      </c>
      <c r="F1629" s="484"/>
      <c r="G1629" s="484" t="s">
        <v>902</v>
      </c>
      <c r="H1629" s="484"/>
      <c r="I1629" s="484"/>
      <c r="J1629" s="484"/>
      <c r="K1629" s="140" t="s">
        <v>903</v>
      </c>
      <c r="L1629" s="141">
        <v>1</v>
      </c>
    </row>
    <row r="1630" spans="1:12" ht="17.25" customHeight="1" thickBot="1">
      <c r="A1630" s="126" t="str">
        <f t="shared" si="75"/>
        <v>2026/03</v>
      </c>
      <c r="B1630" s="127" t="str">
        <f t="shared" si="76"/>
        <v>2026/03忠孝7樓</v>
      </c>
      <c r="C1630" s="138">
        <v>94</v>
      </c>
      <c r="D1630" s="139" t="s">
        <v>424</v>
      </c>
      <c r="E1630" s="484" t="s">
        <v>904</v>
      </c>
      <c r="F1630" s="484"/>
      <c r="G1630" s="484" t="s">
        <v>905</v>
      </c>
      <c r="H1630" s="484"/>
      <c r="I1630" s="484"/>
      <c r="J1630" s="484"/>
      <c r="K1630" s="140"/>
      <c r="L1630" s="141">
        <v>6</v>
      </c>
    </row>
    <row r="1631" spans="1:12" ht="17.25" customHeight="1" thickBot="1">
      <c r="A1631" s="126" t="str">
        <f t="shared" si="75"/>
        <v>2026/03</v>
      </c>
      <c r="B1631" s="127" t="str">
        <f t="shared" si="76"/>
        <v>2026/03忠孝7樓</v>
      </c>
      <c r="C1631" s="138">
        <v>95</v>
      </c>
      <c r="D1631" s="139" t="s">
        <v>424</v>
      </c>
      <c r="E1631" s="484" t="s">
        <v>413</v>
      </c>
      <c r="F1631" s="484"/>
      <c r="G1631" s="484" t="s">
        <v>674</v>
      </c>
      <c r="H1631" s="484"/>
      <c r="I1631" s="484"/>
      <c r="J1631" s="484"/>
      <c r="K1631" s="140" t="s">
        <v>410</v>
      </c>
      <c r="L1631" s="141">
        <v>5</v>
      </c>
    </row>
    <row r="1632" spans="1:12" ht="17.25" customHeight="1" thickBot="1">
      <c r="A1632" s="126" t="str">
        <f t="shared" si="75"/>
        <v>2026/03</v>
      </c>
      <c r="B1632" s="127" t="str">
        <f t="shared" si="76"/>
        <v>2026/03忠孝7樓</v>
      </c>
      <c r="C1632" s="138">
        <v>96</v>
      </c>
      <c r="D1632" s="139" t="s">
        <v>424</v>
      </c>
      <c r="E1632" s="484" t="s">
        <v>360</v>
      </c>
      <c r="F1632" s="484"/>
      <c r="G1632" s="484" t="s">
        <v>361</v>
      </c>
      <c r="H1632" s="484"/>
      <c r="I1632" s="484"/>
      <c r="J1632" s="484"/>
      <c r="K1632" s="140" t="s">
        <v>362</v>
      </c>
      <c r="L1632" s="141">
        <v>45</v>
      </c>
    </row>
    <row r="1633" spans="1:12" ht="17.25" customHeight="1" thickBot="1">
      <c r="A1633" s="126" t="str">
        <f t="shared" si="75"/>
        <v>2026/03</v>
      </c>
      <c r="B1633" s="127" t="str">
        <f t="shared" si="76"/>
        <v>2026/03忠孝7樓</v>
      </c>
      <c r="C1633" s="138">
        <v>97</v>
      </c>
      <c r="D1633" s="139" t="s">
        <v>424</v>
      </c>
      <c r="E1633" s="484" t="s">
        <v>383</v>
      </c>
      <c r="F1633" s="484"/>
      <c r="G1633" s="484" t="s">
        <v>384</v>
      </c>
      <c r="H1633" s="484"/>
      <c r="I1633" s="484"/>
      <c r="J1633" s="484"/>
      <c r="K1633" s="140" t="s">
        <v>385</v>
      </c>
      <c r="L1633" s="141">
        <v>51</v>
      </c>
    </row>
    <row r="1634" spans="1:12" ht="17.25" customHeight="1" thickBot="1">
      <c r="A1634" s="126" t="str">
        <f t="shared" si="75"/>
        <v>2026/03</v>
      </c>
      <c r="B1634" s="127" t="str">
        <f t="shared" si="76"/>
        <v>2026/03忠孝7樓</v>
      </c>
      <c r="C1634" s="138">
        <v>98</v>
      </c>
      <c r="D1634" s="139" t="s">
        <v>424</v>
      </c>
      <c r="E1634" s="484" t="s">
        <v>394</v>
      </c>
      <c r="F1634" s="484"/>
      <c r="G1634" s="484" t="s">
        <v>395</v>
      </c>
      <c r="H1634" s="484"/>
      <c r="I1634" s="484"/>
      <c r="J1634" s="484"/>
      <c r="K1634" s="140" t="s">
        <v>272</v>
      </c>
      <c r="L1634" s="141">
        <v>4</v>
      </c>
    </row>
    <row r="1635" spans="1:12" ht="17.25" customHeight="1" thickBot="1">
      <c r="A1635" s="126" t="str">
        <f t="shared" si="75"/>
        <v>2026/03</v>
      </c>
      <c r="B1635" s="127" t="str">
        <f t="shared" si="76"/>
        <v>2026/03忠孝7樓</v>
      </c>
      <c r="C1635" s="138">
        <v>99</v>
      </c>
      <c r="D1635" s="139" t="s">
        <v>424</v>
      </c>
      <c r="E1635" s="484" t="s">
        <v>255</v>
      </c>
      <c r="F1635" s="484"/>
      <c r="G1635" s="484" t="s">
        <v>256</v>
      </c>
      <c r="H1635" s="484"/>
      <c r="I1635" s="484"/>
      <c r="J1635" s="484"/>
      <c r="K1635" s="140" t="s">
        <v>720</v>
      </c>
      <c r="L1635" s="141">
        <v>125</v>
      </c>
    </row>
    <row r="1636" spans="1:12" ht="17.25" customHeight="1" thickBot="1">
      <c r="A1636" s="126" t="str">
        <f t="shared" si="75"/>
        <v>2026/03</v>
      </c>
      <c r="B1636" s="127" t="str">
        <f t="shared" si="76"/>
        <v>2026/03忠孝7樓</v>
      </c>
      <c r="C1636" s="138">
        <v>100</v>
      </c>
      <c r="D1636" s="139" t="s">
        <v>424</v>
      </c>
      <c r="E1636" s="484" t="s">
        <v>258</v>
      </c>
      <c r="F1636" s="484"/>
      <c r="G1636" s="484" t="s">
        <v>259</v>
      </c>
      <c r="H1636" s="484"/>
      <c r="I1636" s="484"/>
      <c r="J1636" s="484"/>
      <c r="K1636" s="140"/>
      <c r="L1636" s="141">
        <v>167</v>
      </c>
    </row>
    <row r="1637" spans="1:12" ht="17.25" customHeight="1" thickBot="1">
      <c r="A1637" s="126" t="str">
        <f t="shared" si="75"/>
        <v>2026/03</v>
      </c>
      <c r="B1637" s="127" t="str">
        <f t="shared" si="76"/>
        <v>2026/03忠孝7樓</v>
      </c>
      <c r="C1637" s="138">
        <v>101</v>
      </c>
      <c r="D1637" s="139" t="s">
        <v>424</v>
      </c>
      <c r="E1637" s="484" t="s">
        <v>260</v>
      </c>
      <c r="F1637" s="484"/>
      <c r="G1637" s="484" t="s">
        <v>261</v>
      </c>
      <c r="H1637" s="484"/>
      <c r="I1637" s="484"/>
      <c r="J1637" s="484"/>
      <c r="K1637" s="140" t="s">
        <v>254</v>
      </c>
      <c r="L1637" s="141">
        <v>163</v>
      </c>
    </row>
    <row r="1638" spans="1:12" ht="17.25" customHeight="1" thickBot="1">
      <c r="A1638" s="126" t="str">
        <f t="shared" si="75"/>
        <v>2026/03</v>
      </c>
      <c r="B1638" s="127" t="str">
        <f t="shared" si="76"/>
        <v>2026/03忠孝7樓</v>
      </c>
      <c r="C1638" s="138">
        <v>102</v>
      </c>
      <c r="D1638" s="139" t="s">
        <v>424</v>
      </c>
      <c r="E1638" s="484" t="s">
        <v>415</v>
      </c>
      <c r="F1638" s="484"/>
      <c r="G1638" s="484" t="s">
        <v>416</v>
      </c>
      <c r="H1638" s="484"/>
      <c r="I1638" s="484"/>
      <c r="J1638" s="484"/>
      <c r="K1638" s="140" t="s">
        <v>254</v>
      </c>
      <c r="L1638" s="141">
        <v>4</v>
      </c>
    </row>
    <row r="1639" spans="1:12" ht="17.25" customHeight="1" thickBot="1">
      <c r="A1639" s="126" t="str">
        <f t="shared" si="75"/>
        <v>2026/03</v>
      </c>
      <c r="B1639" s="127" t="str">
        <f t="shared" si="76"/>
        <v>2026/03忠孝7樓</v>
      </c>
      <c r="C1639" s="138">
        <v>103</v>
      </c>
      <c r="D1639" s="139" t="s">
        <v>424</v>
      </c>
      <c r="E1639" s="484" t="s">
        <v>262</v>
      </c>
      <c r="F1639" s="484"/>
      <c r="G1639" s="484" t="s">
        <v>263</v>
      </c>
      <c r="H1639" s="484"/>
      <c r="I1639" s="484"/>
      <c r="J1639" s="484"/>
      <c r="K1639" s="140" t="s">
        <v>254</v>
      </c>
      <c r="L1639" s="141">
        <v>134</v>
      </c>
    </row>
    <row r="1640" spans="1:12" ht="17.25" customHeight="1" thickBot="1">
      <c r="A1640" s="126" t="str">
        <f t="shared" si="75"/>
        <v>2026/03</v>
      </c>
      <c r="B1640" s="127" t="str">
        <f t="shared" si="76"/>
        <v>2026/03忠孝7樓</v>
      </c>
      <c r="C1640" s="138">
        <v>104</v>
      </c>
      <c r="D1640" s="139" t="s">
        <v>424</v>
      </c>
      <c r="E1640" s="484" t="s">
        <v>270</v>
      </c>
      <c r="F1640" s="484"/>
      <c r="G1640" s="484" t="s">
        <v>271</v>
      </c>
      <c r="H1640" s="484"/>
      <c r="I1640" s="484"/>
      <c r="J1640" s="484"/>
      <c r="K1640" s="140" t="s">
        <v>272</v>
      </c>
      <c r="L1640" s="141">
        <v>304</v>
      </c>
    </row>
    <row r="1641" spans="1:12" ht="17.25" customHeight="1" thickBot="1">
      <c r="A1641" s="126" t="str">
        <f t="shared" si="75"/>
        <v>2026/03</v>
      </c>
      <c r="B1641" s="127" t="str">
        <f t="shared" si="76"/>
        <v>2026/03忠孝7樓</v>
      </c>
      <c r="C1641" s="138">
        <v>105</v>
      </c>
      <c r="D1641" s="139" t="s">
        <v>424</v>
      </c>
      <c r="E1641" s="484" t="s">
        <v>252</v>
      </c>
      <c r="F1641" s="484"/>
      <c r="G1641" s="484" t="s">
        <v>253</v>
      </c>
      <c r="H1641" s="484"/>
      <c r="I1641" s="484"/>
      <c r="J1641" s="484"/>
      <c r="K1641" s="140" t="s">
        <v>254</v>
      </c>
      <c r="L1641" s="141">
        <v>212</v>
      </c>
    </row>
    <row r="1642" spans="1:12" ht="17.25" customHeight="1" thickBot="1">
      <c r="A1642" s="126" t="str">
        <f t="shared" si="75"/>
        <v>2026/03</v>
      </c>
      <c r="B1642" s="127" t="str">
        <f t="shared" si="76"/>
        <v>2026/03忠孝7樓</v>
      </c>
      <c r="C1642" s="138">
        <v>106</v>
      </c>
      <c r="D1642" s="139" t="s">
        <v>424</v>
      </c>
      <c r="E1642" s="484" t="s">
        <v>695</v>
      </c>
      <c r="F1642" s="484"/>
      <c r="G1642" s="484" t="s">
        <v>696</v>
      </c>
      <c r="H1642" s="484"/>
      <c r="I1642" s="484"/>
      <c r="J1642" s="484"/>
      <c r="K1642" s="140" t="s">
        <v>254</v>
      </c>
      <c r="L1642" s="141">
        <v>4</v>
      </c>
    </row>
    <row r="1643" spans="1:12" ht="17.25" customHeight="1" thickBot="1">
      <c r="A1643" s="126" t="str">
        <f t="shared" si="75"/>
        <v>2026/03</v>
      </c>
      <c r="B1643" s="127" t="str">
        <f t="shared" si="76"/>
        <v>2026/03忠孝7樓</v>
      </c>
      <c r="C1643" s="138">
        <v>107</v>
      </c>
      <c r="D1643" s="139" t="s">
        <v>424</v>
      </c>
      <c r="E1643" s="484" t="s">
        <v>429</v>
      </c>
      <c r="F1643" s="484"/>
      <c r="G1643" s="484" t="s">
        <v>430</v>
      </c>
      <c r="H1643" s="484"/>
      <c r="I1643" s="484"/>
      <c r="J1643" s="484"/>
      <c r="K1643" s="140" t="s">
        <v>272</v>
      </c>
      <c r="L1643" s="141">
        <v>1</v>
      </c>
    </row>
    <row r="1644" spans="1:12" ht="17.25" customHeight="1" thickBot="1">
      <c r="A1644" s="126" t="str">
        <f t="shared" si="75"/>
        <v>2026/03</v>
      </c>
      <c r="B1644" s="127" t="str">
        <f t="shared" si="76"/>
        <v>2026/03忠孝7樓</v>
      </c>
      <c r="C1644" s="138">
        <v>108</v>
      </c>
      <c r="D1644" s="139" t="s">
        <v>424</v>
      </c>
      <c r="E1644" s="484" t="s">
        <v>690</v>
      </c>
      <c r="F1644" s="484"/>
      <c r="G1644" s="484" t="s">
        <v>691</v>
      </c>
      <c r="H1644" s="484"/>
      <c r="I1644" s="484"/>
      <c r="J1644" s="484"/>
      <c r="K1644" s="140" t="s">
        <v>692</v>
      </c>
      <c r="L1644" s="141">
        <v>40</v>
      </c>
    </row>
    <row r="1645" spans="1:12" ht="17.25" customHeight="1" thickBot="1">
      <c r="A1645" s="126" t="str">
        <f t="shared" si="75"/>
        <v>2026/03</v>
      </c>
      <c r="B1645" s="127" t="str">
        <f t="shared" si="76"/>
        <v>2026/03忠孝7樓</v>
      </c>
      <c r="C1645" s="138">
        <v>109</v>
      </c>
      <c r="D1645" s="139" t="s">
        <v>424</v>
      </c>
      <c r="E1645" s="484" t="s">
        <v>305</v>
      </c>
      <c r="F1645" s="484"/>
      <c r="G1645" s="484" t="s">
        <v>877</v>
      </c>
      <c r="H1645" s="484"/>
      <c r="I1645" s="484"/>
      <c r="J1645" s="484"/>
      <c r="K1645" s="140" t="s">
        <v>676</v>
      </c>
      <c r="L1645" s="141">
        <v>3997</v>
      </c>
    </row>
    <row r="1646" spans="1:12" ht="17.25" customHeight="1" thickBot="1">
      <c r="A1646" s="126" t="str">
        <f t="shared" si="75"/>
        <v>2026/03</v>
      </c>
      <c r="B1646" s="127" t="str">
        <f t="shared" si="76"/>
        <v>2026/03忠孝7樓</v>
      </c>
      <c r="C1646" s="138">
        <v>110</v>
      </c>
      <c r="D1646" s="139" t="s">
        <v>424</v>
      </c>
      <c r="E1646" s="484" t="s">
        <v>264</v>
      </c>
      <c r="F1646" s="484"/>
      <c r="G1646" s="484" t="s">
        <v>677</v>
      </c>
      <c r="H1646" s="484"/>
      <c r="I1646" s="484"/>
      <c r="J1646" s="484"/>
      <c r="K1646" s="140" t="s">
        <v>678</v>
      </c>
      <c r="L1646" s="141">
        <v>8176</v>
      </c>
    </row>
    <row r="1647" spans="1:12" ht="17.25" customHeight="1" thickBot="1">
      <c r="A1647" s="126" t="str">
        <f t="shared" si="75"/>
        <v>2026/03</v>
      </c>
      <c r="B1647" s="127" t="str">
        <f t="shared" si="76"/>
        <v>2026/03忠孝7樓</v>
      </c>
      <c r="C1647" s="138">
        <v>111</v>
      </c>
      <c r="D1647" s="139" t="s">
        <v>424</v>
      </c>
      <c r="E1647" s="484" t="s">
        <v>307</v>
      </c>
      <c r="F1647" s="484"/>
      <c r="G1647" s="484" t="s">
        <v>878</v>
      </c>
      <c r="H1647" s="484"/>
      <c r="I1647" s="484"/>
      <c r="J1647" s="484"/>
      <c r="K1647" s="140" t="s">
        <v>678</v>
      </c>
      <c r="L1647" s="141">
        <v>4579</v>
      </c>
    </row>
    <row r="1648" spans="1:12" ht="17.25" customHeight="1" thickBot="1">
      <c r="A1648" s="126" t="str">
        <f t="shared" si="75"/>
        <v>2026/03</v>
      </c>
      <c r="B1648" s="127" t="str">
        <f t="shared" si="76"/>
        <v>2026/03忠孝7樓</v>
      </c>
      <c r="C1648" s="138">
        <v>112</v>
      </c>
      <c r="D1648" s="139" t="s">
        <v>424</v>
      </c>
      <c r="E1648" s="484" t="s">
        <v>313</v>
      </c>
      <c r="F1648" s="484"/>
      <c r="G1648" s="484" t="s">
        <v>314</v>
      </c>
      <c r="H1648" s="484"/>
      <c r="I1648" s="484"/>
      <c r="J1648" s="484"/>
      <c r="K1648" s="140" t="s">
        <v>301</v>
      </c>
      <c r="L1648" s="141">
        <v>83</v>
      </c>
    </row>
    <row r="1649" spans="1:12" ht="17.25" customHeight="1" thickBot="1">
      <c r="A1649" s="126" t="str">
        <f t="shared" si="75"/>
        <v>2026/03</v>
      </c>
      <c r="B1649" s="127" t="str">
        <f t="shared" si="76"/>
        <v>2026/03忠孝7樓</v>
      </c>
      <c r="C1649" s="138">
        <v>113</v>
      </c>
      <c r="D1649" s="139" t="s">
        <v>424</v>
      </c>
      <c r="E1649" s="484" t="s">
        <v>343</v>
      </c>
      <c r="F1649" s="484"/>
      <c r="G1649" s="484" t="s">
        <v>344</v>
      </c>
      <c r="H1649" s="484"/>
      <c r="I1649" s="484"/>
      <c r="J1649" s="484"/>
      <c r="K1649" s="140" t="s">
        <v>301</v>
      </c>
      <c r="L1649" s="141">
        <v>16</v>
      </c>
    </row>
    <row r="1650" spans="1:12" ht="17.25" customHeight="1" thickBot="1">
      <c r="A1650" s="126" t="str">
        <f t="shared" si="75"/>
        <v>2026/03</v>
      </c>
      <c r="B1650" s="127" t="str">
        <f t="shared" si="76"/>
        <v>2026/03忠孝7樓</v>
      </c>
      <c r="C1650" s="138">
        <v>114</v>
      </c>
      <c r="D1650" s="139" t="s">
        <v>424</v>
      </c>
      <c r="E1650" s="484" t="s">
        <v>427</v>
      </c>
      <c r="F1650" s="484"/>
      <c r="G1650" s="484" t="s">
        <v>428</v>
      </c>
      <c r="H1650" s="484"/>
      <c r="I1650" s="484"/>
      <c r="J1650" s="484"/>
      <c r="K1650" s="140" t="s">
        <v>301</v>
      </c>
      <c r="L1650" s="141">
        <v>1</v>
      </c>
    </row>
    <row r="1651" spans="1:12" ht="17.25" customHeight="1" thickBot="1">
      <c r="A1651" s="126" t="str">
        <f t="shared" si="75"/>
        <v>2026/03</v>
      </c>
      <c r="B1651" s="127" t="str">
        <f t="shared" si="76"/>
        <v>2026/03忠孝7樓</v>
      </c>
      <c r="C1651" s="138">
        <v>115</v>
      </c>
      <c r="D1651" s="139" t="s">
        <v>424</v>
      </c>
      <c r="E1651" s="484" t="s">
        <v>349</v>
      </c>
      <c r="F1651" s="484"/>
      <c r="G1651" s="484" t="s">
        <v>350</v>
      </c>
      <c r="H1651" s="484"/>
      <c r="I1651" s="484"/>
      <c r="J1651" s="484"/>
      <c r="K1651" s="140" t="s">
        <v>301</v>
      </c>
      <c r="L1651" s="141">
        <v>10</v>
      </c>
    </row>
    <row r="1652" spans="1:12" ht="17.25" customHeight="1" thickBot="1">
      <c r="A1652" s="126" t="str">
        <f t="shared" si="75"/>
        <v>2026/03</v>
      </c>
      <c r="B1652" s="127" t="str">
        <f t="shared" si="76"/>
        <v>2026/03忠孝7樓</v>
      </c>
      <c r="C1652" s="138">
        <v>116</v>
      </c>
      <c r="D1652" s="139" t="s">
        <v>424</v>
      </c>
      <c r="E1652" s="484" t="s">
        <v>366</v>
      </c>
      <c r="F1652" s="484"/>
      <c r="G1652" s="484" t="s">
        <v>367</v>
      </c>
      <c r="H1652" s="484"/>
      <c r="I1652" s="484"/>
      <c r="J1652" s="484"/>
      <c r="K1652" s="140" t="s">
        <v>301</v>
      </c>
      <c r="L1652" s="141">
        <v>1</v>
      </c>
    </row>
    <row r="1653" spans="1:12" ht="17.25" customHeight="1" thickBot="1">
      <c r="A1653" s="126" t="str">
        <f t="shared" si="75"/>
        <v>2026/03</v>
      </c>
      <c r="B1653" s="127" t="str">
        <f t="shared" si="76"/>
        <v>2026/03忠孝7樓</v>
      </c>
      <c r="C1653" s="138">
        <v>117</v>
      </c>
      <c r="D1653" s="139" t="s">
        <v>424</v>
      </c>
      <c r="E1653" s="484" t="s">
        <v>282</v>
      </c>
      <c r="F1653" s="484"/>
      <c r="G1653" s="484" t="s">
        <v>283</v>
      </c>
      <c r="H1653" s="484"/>
      <c r="I1653" s="484"/>
      <c r="J1653" s="484"/>
      <c r="K1653" s="140" t="s">
        <v>284</v>
      </c>
      <c r="L1653" s="141">
        <v>49</v>
      </c>
    </row>
    <row r="1654" spans="1:12" ht="17.25" customHeight="1" thickBot="1">
      <c r="A1654" s="126" t="str">
        <f t="shared" si="75"/>
        <v>2026/03</v>
      </c>
      <c r="B1654" s="127" t="str">
        <f t="shared" si="76"/>
        <v>2026/03忠孝7樓</v>
      </c>
      <c r="C1654" s="138">
        <v>118</v>
      </c>
      <c r="D1654" s="139" t="s">
        <v>424</v>
      </c>
      <c r="E1654" s="484" t="s">
        <v>345</v>
      </c>
      <c r="F1654" s="484"/>
      <c r="G1654" s="484" t="s">
        <v>346</v>
      </c>
      <c r="H1654" s="484"/>
      <c r="I1654" s="484"/>
      <c r="J1654" s="484"/>
      <c r="K1654" s="140" t="s">
        <v>284</v>
      </c>
      <c r="L1654" s="141">
        <v>4</v>
      </c>
    </row>
    <row r="1655" spans="1:12" ht="17.25" customHeight="1" thickBot="1">
      <c r="A1655" s="126" t="str">
        <f t="shared" si="75"/>
        <v>2026/03</v>
      </c>
      <c r="B1655" s="127" t="str">
        <f t="shared" si="76"/>
        <v>2026/03忠孝7樓</v>
      </c>
      <c r="C1655" s="138">
        <v>119</v>
      </c>
      <c r="D1655" s="139" t="s">
        <v>424</v>
      </c>
      <c r="E1655" s="484" t="s">
        <v>311</v>
      </c>
      <c r="F1655" s="484"/>
      <c r="G1655" s="484" t="s">
        <v>312</v>
      </c>
      <c r="H1655" s="484"/>
      <c r="I1655" s="484"/>
      <c r="J1655" s="484"/>
      <c r="K1655" s="140" t="s">
        <v>284</v>
      </c>
      <c r="L1655" s="141">
        <v>25</v>
      </c>
    </row>
    <row r="1656" spans="1:12" ht="17.25" customHeight="1" thickBot="1">
      <c r="A1656" s="126" t="str">
        <f t="shared" si="75"/>
        <v>2026/03</v>
      </c>
      <c r="B1656" s="127" t="str">
        <f t="shared" si="76"/>
        <v>2026/03忠孝7樓</v>
      </c>
      <c r="C1656" s="138">
        <v>120</v>
      </c>
      <c r="D1656" s="139" t="s">
        <v>424</v>
      </c>
      <c r="E1656" s="484" t="s">
        <v>680</v>
      </c>
      <c r="F1656" s="484"/>
      <c r="G1656" s="484" t="s">
        <v>681</v>
      </c>
      <c r="H1656" s="484"/>
      <c r="I1656" s="484"/>
      <c r="J1656" s="484"/>
      <c r="K1656" s="140" t="s">
        <v>682</v>
      </c>
      <c r="L1656" s="141">
        <v>1</v>
      </c>
    </row>
    <row r="1657" spans="1:12" ht="17.25" customHeight="1" thickBot="1">
      <c r="A1657" s="126" t="str">
        <f t="shared" si="75"/>
        <v>2026/03</v>
      </c>
      <c r="B1657" s="127" t="str">
        <f t="shared" si="76"/>
        <v>2026/03忠孝7樓</v>
      </c>
      <c r="C1657" s="138">
        <v>121</v>
      </c>
      <c r="D1657" s="139" t="s">
        <v>424</v>
      </c>
      <c r="E1657" s="484" t="s">
        <v>299</v>
      </c>
      <c r="F1657" s="484"/>
      <c r="G1657" s="484" t="s">
        <v>300</v>
      </c>
      <c r="H1657" s="484"/>
      <c r="I1657" s="484"/>
      <c r="J1657" s="484"/>
      <c r="K1657" s="140" t="s">
        <v>301</v>
      </c>
      <c r="L1657" s="141">
        <v>65</v>
      </c>
    </row>
    <row r="1658" spans="1:12" ht="17.25" customHeight="1" thickBot="1">
      <c r="A1658" s="126" t="str">
        <f t="shared" si="75"/>
        <v>2026/03</v>
      </c>
      <c r="B1658" s="127" t="str">
        <f t="shared" si="76"/>
        <v>2026/03忠孝7樓</v>
      </c>
      <c r="C1658" s="138">
        <v>122</v>
      </c>
      <c r="D1658" s="139" t="s">
        <v>424</v>
      </c>
      <c r="E1658" s="484" t="s">
        <v>347</v>
      </c>
      <c r="F1658" s="484"/>
      <c r="G1658" s="484" t="s">
        <v>348</v>
      </c>
      <c r="H1658" s="484"/>
      <c r="I1658" s="484"/>
      <c r="J1658" s="484"/>
      <c r="K1658" s="140" t="s">
        <v>301</v>
      </c>
      <c r="L1658" s="141">
        <v>27</v>
      </c>
    </row>
    <row r="1659" spans="1:12" ht="17.25" customHeight="1" thickBot="1">
      <c r="A1659" s="126" t="str">
        <f t="shared" si="75"/>
        <v>2026/03</v>
      </c>
      <c r="B1659" s="127" t="str">
        <f t="shared" si="76"/>
        <v>2026/03忠孝7樓</v>
      </c>
      <c r="C1659" s="138">
        <v>123</v>
      </c>
      <c r="D1659" s="139" t="s">
        <v>424</v>
      </c>
      <c r="E1659" s="484" t="s">
        <v>317</v>
      </c>
      <c r="F1659" s="484"/>
      <c r="G1659" s="484" t="s">
        <v>318</v>
      </c>
      <c r="H1659" s="484"/>
      <c r="I1659" s="484"/>
      <c r="J1659" s="484"/>
      <c r="K1659" s="140" t="s">
        <v>319</v>
      </c>
      <c r="L1659" s="141">
        <v>55</v>
      </c>
    </row>
    <row r="1660" spans="1:12" ht="17.25" customHeight="1" thickBot="1">
      <c r="A1660" s="126" t="str">
        <f t="shared" si="75"/>
        <v>2026/03</v>
      </c>
      <c r="B1660" s="127" t="str">
        <f t="shared" si="76"/>
        <v>2026/03忠孝7樓</v>
      </c>
      <c r="C1660" s="138">
        <v>124</v>
      </c>
      <c r="D1660" s="139" t="s">
        <v>424</v>
      </c>
      <c r="E1660" s="484" t="s">
        <v>372</v>
      </c>
      <c r="F1660" s="484"/>
      <c r="G1660" s="484" t="s">
        <v>373</v>
      </c>
      <c r="H1660" s="484"/>
      <c r="I1660" s="484"/>
      <c r="J1660" s="484"/>
      <c r="K1660" s="140" t="s">
        <v>278</v>
      </c>
      <c r="L1660" s="141">
        <v>86</v>
      </c>
    </row>
    <row r="1661" spans="1:12" ht="17.25" customHeight="1" thickBot="1">
      <c r="A1661" s="126" t="str">
        <f t="shared" si="75"/>
        <v>2026/03</v>
      </c>
      <c r="B1661" s="127" t="str">
        <f t="shared" si="76"/>
        <v>2026/03忠孝7樓</v>
      </c>
      <c r="C1661" s="138">
        <v>125</v>
      </c>
      <c r="D1661" s="139" t="s">
        <v>424</v>
      </c>
      <c r="E1661" s="484" t="s">
        <v>276</v>
      </c>
      <c r="F1661" s="484"/>
      <c r="G1661" s="484" t="s">
        <v>277</v>
      </c>
      <c r="H1661" s="484"/>
      <c r="I1661" s="484"/>
      <c r="J1661" s="484"/>
      <c r="K1661" s="140" t="s">
        <v>278</v>
      </c>
      <c r="L1661" s="141">
        <v>126</v>
      </c>
    </row>
    <row r="1662" spans="1:12" ht="17.25" customHeight="1" thickBot="1">
      <c r="A1662" s="126" t="str">
        <f t="shared" ref="A1662:A1722" si="77">IFERROR(LEFT(B1662,7),"")</f>
        <v>2026/03</v>
      </c>
      <c r="B1662" s="127" t="str">
        <f t="shared" ref="B1662:B1722" si="78">"2026/03"&amp;D1662</f>
        <v>2026/03忠孝7樓</v>
      </c>
      <c r="C1662" s="138">
        <v>126</v>
      </c>
      <c r="D1662" s="139" t="s">
        <v>424</v>
      </c>
      <c r="E1662" s="484" t="s">
        <v>273</v>
      </c>
      <c r="F1662" s="484"/>
      <c r="G1662" s="484" t="s">
        <v>274</v>
      </c>
      <c r="H1662" s="484"/>
      <c r="I1662" s="484"/>
      <c r="J1662" s="484"/>
      <c r="K1662" s="140" t="s">
        <v>275</v>
      </c>
      <c r="L1662" s="141">
        <v>881</v>
      </c>
    </row>
    <row r="1663" spans="1:12" ht="17.25" customHeight="1" thickBot="1">
      <c r="A1663" s="126" t="str">
        <f t="shared" si="77"/>
        <v>2026/03</v>
      </c>
      <c r="B1663" s="127" t="str">
        <f t="shared" si="78"/>
        <v>2026/03忠孝7樓</v>
      </c>
      <c r="C1663" s="138">
        <v>127</v>
      </c>
      <c r="D1663" s="139" t="s">
        <v>424</v>
      </c>
      <c r="E1663" s="484" t="s">
        <v>285</v>
      </c>
      <c r="F1663" s="484"/>
      <c r="G1663" s="484" t="s">
        <v>286</v>
      </c>
      <c r="H1663" s="484"/>
      <c r="I1663" s="484"/>
      <c r="J1663" s="484"/>
      <c r="K1663" s="140" t="s">
        <v>879</v>
      </c>
      <c r="L1663" s="141">
        <v>10144</v>
      </c>
    </row>
    <row r="1664" spans="1:12" ht="17.25" customHeight="1" thickBot="1">
      <c r="A1664" s="126" t="str">
        <f t="shared" si="77"/>
        <v>2026/03</v>
      </c>
      <c r="B1664" s="127" t="str">
        <f t="shared" si="78"/>
        <v>2026/03忠孝7樓</v>
      </c>
      <c r="C1664" s="138">
        <v>128</v>
      </c>
      <c r="D1664" s="139" t="s">
        <v>424</v>
      </c>
      <c r="E1664" s="484" t="s">
        <v>290</v>
      </c>
      <c r="F1664" s="484"/>
      <c r="G1664" s="484" t="s">
        <v>291</v>
      </c>
      <c r="H1664" s="484"/>
      <c r="I1664" s="484"/>
      <c r="J1664" s="484"/>
      <c r="K1664" s="140" t="s">
        <v>879</v>
      </c>
      <c r="L1664" s="141">
        <v>32538</v>
      </c>
    </row>
    <row r="1665" spans="1:12" ht="17.25" customHeight="1" thickBot="1">
      <c r="A1665" s="126" t="str">
        <f t="shared" si="77"/>
        <v>2026/03</v>
      </c>
      <c r="B1665" s="127" t="str">
        <f t="shared" si="78"/>
        <v>2026/03忠孝7樓</v>
      </c>
      <c r="C1665" s="138">
        <v>129</v>
      </c>
      <c r="D1665" s="139" t="s">
        <v>424</v>
      </c>
      <c r="E1665" s="484" t="s">
        <v>292</v>
      </c>
      <c r="F1665" s="484"/>
      <c r="G1665" s="484" t="s">
        <v>293</v>
      </c>
      <c r="H1665" s="484"/>
      <c r="I1665" s="484"/>
      <c r="J1665" s="484"/>
      <c r="K1665" s="140" t="s">
        <v>879</v>
      </c>
      <c r="L1665" s="141">
        <v>53432</v>
      </c>
    </row>
    <row r="1666" spans="1:12" ht="17.25" customHeight="1" thickBot="1">
      <c r="A1666" s="126" t="str">
        <f t="shared" si="77"/>
        <v>2026/03</v>
      </c>
      <c r="B1666" s="127" t="str">
        <f t="shared" si="78"/>
        <v>2026/03忠孝7樓</v>
      </c>
      <c r="C1666" s="138">
        <v>130</v>
      </c>
      <c r="D1666" s="139" t="s">
        <v>424</v>
      </c>
      <c r="E1666" s="484" t="s">
        <v>323</v>
      </c>
      <c r="F1666" s="484"/>
      <c r="G1666" s="484" t="s">
        <v>324</v>
      </c>
      <c r="H1666" s="484"/>
      <c r="I1666" s="484"/>
      <c r="J1666" s="484"/>
      <c r="K1666" s="140" t="s">
        <v>880</v>
      </c>
      <c r="L1666" s="141">
        <v>12803</v>
      </c>
    </row>
    <row r="1667" spans="1:12" ht="17.25" customHeight="1" thickBot="1">
      <c r="A1667" s="126" t="str">
        <f t="shared" si="77"/>
        <v>2026/03</v>
      </c>
      <c r="B1667" s="127" t="str">
        <f t="shared" si="78"/>
        <v>2026/03忠孝7樓</v>
      </c>
      <c r="C1667" s="138">
        <v>131</v>
      </c>
      <c r="D1667" s="139" t="s">
        <v>424</v>
      </c>
      <c r="E1667" s="484" t="s">
        <v>359</v>
      </c>
      <c r="F1667" s="484"/>
      <c r="G1667" s="484" t="s">
        <v>138</v>
      </c>
      <c r="H1667" s="484"/>
      <c r="I1667" s="484"/>
      <c r="J1667" s="484"/>
      <c r="K1667" s="140" t="s">
        <v>146</v>
      </c>
      <c r="L1667" s="141">
        <v>17</v>
      </c>
    </row>
    <row r="1668" spans="1:12" ht="17.25" customHeight="1" thickBot="1">
      <c r="A1668" s="126" t="str">
        <f t="shared" si="77"/>
        <v>2026/03</v>
      </c>
      <c r="B1668" s="127" t="str">
        <f t="shared" si="78"/>
        <v>2026/03忠孝7樓</v>
      </c>
      <c r="C1668" s="138">
        <v>132</v>
      </c>
      <c r="D1668" s="139" t="s">
        <v>424</v>
      </c>
      <c r="E1668" s="484" t="s">
        <v>320</v>
      </c>
      <c r="F1668" s="484"/>
      <c r="G1668" s="484" t="s">
        <v>135</v>
      </c>
      <c r="H1668" s="484"/>
      <c r="I1668" s="484"/>
      <c r="J1668" s="484"/>
      <c r="K1668" s="140" t="s">
        <v>146</v>
      </c>
      <c r="L1668" s="141">
        <v>13</v>
      </c>
    </row>
    <row r="1669" spans="1:12" ht="17.25" customHeight="1" thickBot="1">
      <c r="A1669" s="126" t="str">
        <f t="shared" si="77"/>
        <v>2026/03</v>
      </c>
      <c r="B1669" s="127" t="str">
        <f t="shared" si="78"/>
        <v>2026/03忠孝7樓</v>
      </c>
      <c r="C1669" s="138">
        <v>133</v>
      </c>
      <c r="D1669" s="139" t="s">
        <v>424</v>
      </c>
      <c r="E1669" s="484" t="s">
        <v>338</v>
      </c>
      <c r="F1669" s="484"/>
      <c r="G1669" s="484" t="s">
        <v>339</v>
      </c>
      <c r="H1669" s="484"/>
      <c r="I1669" s="484"/>
      <c r="J1669" s="484"/>
      <c r="K1669" s="140" t="s">
        <v>881</v>
      </c>
      <c r="L1669" s="141">
        <v>5009</v>
      </c>
    </row>
    <row r="1670" spans="1:12" ht="17.25" customHeight="1" thickBot="1">
      <c r="A1670" s="126" t="str">
        <f t="shared" si="77"/>
        <v>2026/03</v>
      </c>
      <c r="B1670" s="127" t="str">
        <f t="shared" si="78"/>
        <v>2026/03忠孝7樓</v>
      </c>
      <c r="C1670" s="138">
        <v>134</v>
      </c>
      <c r="D1670" s="139" t="s">
        <v>424</v>
      </c>
      <c r="E1670" s="484" t="s">
        <v>326</v>
      </c>
      <c r="F1670" s="484"/>
      <c r="G1670" s="484" t="s">
        <v>327</v>
      </c>
      <c r="H1670" s="484"/>
      <c r="I1670" s="484"/>
      <c r="J1670" s="484"/>
      <c r="K1670" s="140" t="s">
        <v>881</v>
      </c>
      <c r="L1670" s="141">
        <v>12517</v>
      </c>
    </row>
    <row r="1671" spans="1:12" ht="17.25" customHeight="1" thickBot="1">
      <c r="A1671" s="126" t="str">
        <f t="shared" si="77"/>
        <v>2026/03</v>
      </c>
      <c r="B1671" s="127" t="str">
        <f t="shared" si="78"/>
        <v>2026/03忠孝7樓</v>
      </c>
      <c r="C1671" s="138">
        <v>135</v>
      </c>
      <c r="D1671" s="139" t="s">
        <v>424</v>
      </c>
      <c r="E1671" s="484" t="s">
        <v>328</v>
      </c>
      <c r="F1671" s="484"/>
      <c r="G1671" s="484" t="s">
        <v>329</v>
      </c>
      <c r="H1671" s="484"/>
      <c r="I1671" s="484"/>
      <c r="J1671" s="484"/>
      <c r="K1671" s="140" t="s">
        <v>881</v>
      </c>
      <c r="L1671" s="141">
        <v>23376</v>
      </c>
    </row>
    <row r="1672" spans="1:12" ht="17.25" customHeight="1" thickBot="1">
      <c r="A1672" s="126" t="str">
        <f t="shared" si="77"/>
        <v>2026/03</v>
      </c>
      <c r="B1672" s="127" t="str">
        <f t="shared" si="78"/>
        <v>2026/03忠孝7樓</v>
      </c>
      <c r="C1672" s="138">
        <v>136</v>
      </c>
      <c r="D1672" s="139" t="s">
        <v>424</v>
      </c>
      <c r="E1672" s="484" t="s">
        <v>330</v>
      </c>
      <c r="F1672" s="484"/>
      <c r="G1672" s="484" t="s">
        <v>331</v>
      </c>
      <c r="H1672" s="484"/>
      <c r="I1672" s="484"/>
      <c r="J1672" s="484"/>
      <c r="K1672" s="140" t="s">
        <v>881</v>
      </c>
      <c r="L1672" s="141">
        <v>7404</v>
      </c>
    </row>
    <row r="1673" spans="1:12" ht="17.25" customHeight="1" thickBot="1">
      <c r="A1673" s="126" t="str">
        <f t="shared" si="77"/>
        <v>2026/03</v>
      </c>
      <c r="B1673" s="127" t="str">
        <f t="shared" si="78"/>
        <v>2026/03忠孝7樓</v>
      </c>
      <c r="C1673" s="138">
        <v>137</v>
      </c>
      <c r="D1673" s="139" t="s">
        <v>424</v>
      </c>
      <c r="E1673" s="484" t="s">
        <v>302</v>
      </c>
      <c r="F1673" s="484"/>
      <c r="G1673" s="484" t="s">
        <v>303</v>
      </c>
      <c r="H1673" s="484"/>
      <c r="I1673" s="484"/>
      <c r="J1673" s="484"/>
      <c r="K1673" s="140" t="s">
        <v>882</v>
      </c>
      <c r="L1673" s="141">
        <v>3199</v>
      </c>
    </row>
    <row r="1674" spans="1:12" ht="17.25" customHeight="1" thickBot="1">
      <c r="A1674" s="126" t="str">
        <f t="shared" si="77"/>
        <v>2026/03</v>
      </c>
      <c r="B1674" s="127" t="str">
        <f t="shared" si="78"/>
        <v>2026/03忠孝7樓</v>
      </c>
      <c r="C1674" s="138">
        <v>138</v>
      </c>
      <c r="D1674" s="139" t="s">
        <v>424</v>
      </c>
      <c r="E1674" s="484" t="s">
        <v>705</v>
      </c>
      <c r="F1674" s="484"/>
      <c r="G1674" s="484" t="s">
        <v>706</v>
      </c>
      <c r="H1674" s="484"/>
      <c r="I1674" s="484"/>
      <c r="J1674" s="484"/>
      <c r="K1674" s="140" t="s">
        <v>883</v>
      </c>
      <c r="L1674" s="141">
        <v>23417</v>
      </c>
    </row>
    <row r="1675" spans="1:12" ht="17.25" customHeight="1" thickBot="1">
      <c r="A1675" s="126" t="str">
        <f t="shared" si="77"/>
        <v>2026/03</v>
      </c>
      <c r="B1675" s="127" t="str">
        <f t="shared" si="78"/>
        <v>2026/03忠孝7樓</v>
      </c>
      <c r="C1675" s="138">
        <v>139</v>
      </c>
      <c r="D1675" s="139" t="s">
        <v>424</v>
      </c>
      <c r="E1675" s="484" t="s">
        <v>279</v>
      </c>
      <c r="F1675" s="484"/>
      <c r="G1675" s="484" t="s">
        <v>280</v>
      </c>
      <c r="H1675" s="484"/>
      <c r="I1675" s="484"/>
      <c r="J1675" s="484"/>
      <c r="K1675" s="140" t="s">
        <v>884</v>
      </c>
      <c r="L1675" s="141">
        <v>205000</v>
      </c>
    </row>
    <row r="1676" spans="1:12" ht="17.25" customHeight="1" thickBot="1">
      <c r="A1676" s="126" t="str">
        <f t="shared" si="77"/>
        <v>2026/03</v>
      </c>
      <c r="B1676" s="127" t="str">
        <f t="shared" si="78"/>
        <v>2026/03忠孝7樓</v>
      </c>
      <c r="C1676" s="138">
        <v>140</v>
      </c>
      <c r="D1676" s="139" t="s">
        <v>424</v>
      </c>
      <c r="E1676" s="484" t="s">
        <v>288</v>
      </c>
      <c r="F1676" s="484"/>
      <c r="G1676" s="484" t="s">
        <v>289</v>
      </c>
      <c r="H1676" s="484"/>
      <c r="I1676" s="484"/>
      <c r="J1676" s="484"/>
      <c r="K1676" s="140" t="s">
        <v>884</v>
      </c>
      <c r="L1676" s="141">
        <v>80500</v>
      </c>
    </row>
    <row r="1677" spans="1:12" ht="17.25" customHeight="1" thickBot="1">
      <c r="A1677" s="126" t="str">
        <f t="shared" si="77"/>
        <v>2026/03</v>
      </c>
      <c r="B1677" s="127" t="str">
        <f t="shared" si="78"/>
        <v>2026/03忠孝7樓</v>
      </c>
      <c r="C1677" s="138">
        <v>141</v>
      </c>
      <c r="D1677" s="139" t="s">
        <v>424</v>
      </c>
      <c r="E1677" s="484" t="s">
        <v>332</v>
      </c>
      <c r="F1677" s="484"/>
      <c r="G1677" s="484" t="s">
        <v>333</v>
      </c>
      <c r="H1677" s="484"/>
      <c r="I1677" s="484"/>
      <c r="J1677" s="484"/>
      <c r="K1677" s="140" t="s">
        <v>334</v>
      </c>
      <c r="L1677" s="141">
        <v>155303</v>
      </c>
    </row>
    <row r="1678" spans="1:12" ht="17.25" customHeight="1" thickBot="1">
      <c r="A1678" s="126" t="str">
        <f t="shared" si="77"/>
        <v>2026/03</v>
      </c>
      <c r="B1678" s="127" t="str">
        <f t="shared" si="78"/>
        <v>2026/03忠孝7樓</v>
      </c>
      <c r="C1678" s="138">
        <v>142</v>
      </c>
      <c r="D1678" s="139" t="s">
        <v>424</v>
      </c>
      <c r="E1678" s="484" t="s">
        <v>335</v>
      </c>
      <c r="F1678" s="484"/>
      <c r="G1678" s="484" t="s">
        <v>336</v>
      </c>
      <c r="H1678" s="484"/>
      <c r="I1678" s="484"/>
      <c r="J1678" s="484"/>
      <c r="K1678" s="140" t="s">
        <v>337</v>
      </c>
      <c r="L1678" s="141">
        <v>39402</v>
      </c>
    </row>
    <row r="1679" spans="1:12" ht="17.25" customHeight="1" thickBot="1">
      <c r="A1679" s="126" t="str">
        <f t="shared" si="77"/>
        <v>2026/03</v>
      </c>
      <c r="B1679" s="127" t="str">
        <f t="shared" si="78"/>
        <v>2026/03忠孝7樓</v>
      </c>
      <c r="C1679" s="138">
        <v>143</v>
      </c>
      <c r="D1679" s="139" t="s">
        <v>424</v>
      </c>
      <c r="E1679" s="484" t="s">
        <v>441</v>
      </c>
      <c r="F1679" s="484"/>
      <c r="G1679" s="484" t="s">
        <v>442</v>
      </c>
      <c r="H1679" s="484"/>
      <c r="I1679" s="484"/>
      <c r="J1679" s="484"/>
      <c r="K1679" s="140" t="s">
        <v>325</v>
      </c>
      <c r="L1679" s="141">
        <v>2</v>
      </c>
    </row>
    <row r="1680" spans="1:12" ht="17.25" customHeight="1" thickBot="1">
      <c r="A1680" s="126" t="str">
        <f t="shared" si="77"/>
        <v>2026/03</v>
      </c>
      <c r="B1680" s="127" t="str">
        <f t="shared" si="78"/>
        <v>2026/03忠孝7樓</v>
      </c>
      <c r="C1680" s="138">
        <v>144</v>
      </c>
      <c r="D1680" s="139" t="s">
        <v>424</v>
      </c>
      <c r="E1680" s="484" t="s">
        <v>443</v>
      </c>
      <c r="F1680" s="484"/>
      <c r="G1680" s="484" t="s">
        <v>444</v>
      </c>
      <c r="H1680" s="484"/>
      <c r="I1680" s="484"/>
      <c r="J1680" s="484"/>
      <c r="K1680" s="140" t="s">
        <v>445</v>
      </c>
      <c r="L1680" s="141">
        <v>8</v>
      </c>
    </row>
    <row r="1681" spans="1:12" ht="17.25" customHeight="1" thickBot="1">
      <c r="A1681" s="126" t="str">
        <f t="shared" si="77"/>
        <v>2026/03</v>
      </c>
      <c r="B1681" s="127" t="str">
        <f t="shared" si="78"/>
        <v>2026/03忠孝7樓</v>
      </c>
      <c r="C1681" s="138">
        <v>145</v>
      </c>
      <c r="D1681" s="139" t="s">
        <v>424</v>
      </c>
      <c r="E1681" s="484" t="s">
        <v>351</v>
      </c>
      <c r="F1681" s="484"/>
      <c r="G1681" s="484" t="s">
        <v>352</v>
      </c>
      <c r="H1681" s="484"/>
      <c r="I1681" s="484"/>
      <c r="J1681" s="484"/>
      <c r="K1681" s="140" t="s">
        <v>353</v>
      </c>
      <c r="L1681" s="141">
        <v>16</v>
      </c>
    </row>
    <row r="1682" spans="1:12" ht="17.25" customHeight="1" thickBot="1">
      <c r="A1682" s="126" t="str">
        <f t="shared" si="77"/>
        <v>2026/03</v>
      </c>
      <c r="B1682" s="127" t="str">
        <f t="shared" si="78"/>
        <v>2026/03忠孝7樓</v>
      </c>
      <c r="C1682" s="138">
        <v>146</v>
      </c>
      <c r="D1682" s="139" t="s">
        <v>424</v>
      </c>
      <c r="E1682" s="484" t="s">
        <v>357</v>
      </c>
      <c r="F1682" s="484"/>
      <c r="G1682" s="484" t="s">
        <v>358</v>
      </c>
      <c r="H1682" s="484"/>
      <c r="I1682" s="484"/>
      <c r="J1682" s="484"/>
      <c r="K1682" s="140" t="s">
        <v>353</v>
      </c>
      <c r="L1682" s="141">
        <v>14</v>
      </c>
    </row>
    <row r="1683" spans="1:12" ht="17.25" customHeight="1" thickBot="1">
      <c r="A1683" s="126" t="str">
        <f t="shared" si="77"/>
        <v>2026/03</v>
      </c>
      <c r="B1683" s="127" t="str">
        <f t="shared" si="78"/>
        <v>2026/03忠孝7樓</v>
      </c>
      <c r="C1683" s="138">
        <v>147</v>
      </c>
      <c r="D1683" s="139" t="s">
        <v>424</v>
      </c>
      <c r="E1683" s="484" t="s">
        <v>340</v>
      </c>
      <c r="F1683" s="484"/>
      <c r="G1683" s="484" t="s">
        <v>341</v>
      </c>
      <c r="H1683" s="484"/>
      <c r="I1683" s="484"/>
      <c r="J1683" s="484"/>
      <c r="K1683" s="140" t="s">
        <v>342</v>
      </c>
      <c r="L1683" s="141">
        <v>3</v>
      </c>
    </row>
    <row r="1684" spans="1:12" ht="17.25" customHeight="1" thickBot="1">
      <c r="A1684" s="126" t="str">
        <f t="shared" si="77"/>
        <v>2026/03</v>
      </c>
      <c r="B1684" s="127" t="str">
        <f t="shared" si="78"/>
        <v>2026/03忠孝7樓</v>
      </c>
      <c r="C1684" s="138">
        <v>148</v>
      </c>
      <c r="D1684" s="139" t="s">
        <v>424</v>
      </c>
      <c r="E1684" s="484" t="s">
        <v>697</v>
      </c>
      <c r="F1684" s="484"/>
      <c r="G1684" s="484" t="s">
        <v>698</v>
      </c>
      <c r="H1684" s="484"/>
      <c r="I1684" s="484"/>
      <c r="J1684" s="484"/>
      <c r="K1684" s="140" t="s">
        <v>699</v>
      </c>
      <c r="L1684" s="141">
        <v>6</v>
      </c>
    </row>
    <row r="1685" spans="1:12" ht="17.25" customHeight="1" thickBot="1">
      <c r="A1685" s="126" t="str">
        <f t="shared" si="77"/>
        <v>2026/03</v>
      </c>
      <c r="B1685" s="127" t="str">
        <f t="shared" si="78"/>
        <v>2026/03忠孝7樓</v>
      </c>
      <c r="C1685" s="138">
        <v>149</v>
      </c>
      <c r="D1685" s="139" t="s">
        <v>424</v>
      </c>
      <c r="E1685" s="484" t="s">
        <v>683</v>
      </c>
      <c r="F1685" s="484"/>
      <c r="G1685" s="484" t="s">
        <v>684</v>
      </c>
      <c r="H1685" s="484"/>
      <c r="I1685" s="484"/>
      <c r="J1685" s="484"/>
      <c r="K1685" s="140" t="s">
        <v>685</v>
      </c>
      <c r="L1685" s="141">
        <v>5</v>
      </c>
    </row>
    <row r="1686" spans="1:12" ht="17.25" customHeight="1" thickBot="1">
      <c r="A1686" s="126" t="str">
        <f t="shared" si="77"/>
        <v>2026/03</v>
      </c>
      <c r="B1686" s="127" t="str">
        <f t="shared" si="78"/>
        <v>2026/03忠孝7樓</v>
      </c>
      <c r="C1686" s="138">
        <v>150</v>
      </c>
      <c r="D1686" s="139" t="s">
        <v>424</v>
      </c>
      <c r="E1686" s="484" t="s">
        <v>686</v>
      </c>
      <c r="F1686" s="484"/>
      <c r="G1686" s="484" t="s">
        <v>687</v>
      </c>
      <c r="H1686" s="484"/>
      <c r="I1686" s="484"/>
      <c r="J1686" s="484"/>
      <c r="K1686" s="140" t="s">
        <v>688</v>
      </c>
      <c r="L1686" s="141">
        <v>45</v>
      </c>
    </row>
    <row r="1687" spans="1:12" ht="17.25" customHeight="1" thickBot="1">
      <c r="A1687" s="126" t="str">
        <f t="shared" si="77"/>
        <v>2026/03</v>
      </c>
      <c r="B1687" s="127" t="str">
        <f t="shared" si="78"/>
        <v>2026/03忠孝7樓</v>
      </c>
      <c r="C1687" s="138">
        <v>151</v>
      </c>
      <c r="D1687" s="139" t="s">
        <v>424</v>
      </c>
      <c r="E1687" s="484" t="s">
        <v>354</v>
      </c>
      <c r="F1687" s="484"/>
      <c r="G1687" s="484" t="s">
        <v>741</v>
      </c>
      <c r="H1687" s="484"/>
      <c r="I1687" s="484"/>
      <c r="J1687" s="484"/>
      <c r="K1687" s="140" t="s">
        <v>885</v>
      </c>
      <c r="L1687" s="141">
        <v>9</v>
      </c>
    </row>
    <row r="1688" spans="1:12" ht="17.25" customHeight="1" thickBot="1">
      <c r="A1688" s="126" t="str">
        <f t="shared" si="77"/>
        <v>2026/03</v>
      </c>
      <c r="B1688" s="127" t="str">
        <f t="shared" si="78"/>
        <v>2026/03忠孝7樓</v>
      </c>
      <c r="C1688" s="138">
        <v>152</v>
      </c>
      <c r="D1688" s="139" t="s">
        <v>424</v>
      </c>
      <c r="E1688" s="484" t="s">
        <v>425</v>
      </c>
      <c r="F1688" s="484"/>
      <c r="G1688" s="484" t="s">
        <v>426</v>
      </c>
      <c r="H1688" s="484"/>
      <c r="I1688" s="484"/>
      <c r="J1688" s="484"/>
      <c r="K1688" s="140" t="s">
        <v>269</v>
      </c>
      <c r="L1688" s="141">
        <v>10</v>
      </c>
    </row>
    <row r="1689" spans="1:12" ht="17.25" customHeight="1" thickBot="1">
      <c r="A1689" s="126" t="str">
        <f t="shared" si="77"/>
        <v>2026/03</v>
      </c>
      <c r="B1689" s="127" t="str">
        <f t="shared" si="78"/>
        <v>2026/03忠孝7樓</v>
      </c>
      <c r="C1689" s="138">
        <v>153</v>
      </c>
      <c r="D1689" s="139" t="s">
        <v>424</v>
      </c>
      <c r="E1689" s="484" t="s">
        <v>309</v>
      </c>
      <c r="F1689" s="484"/>
      <c r="G1689" s="484" t="s">
        <v>310</v>
      </c>
      <c r="H1689" s="484"/>
      <c r="I1689" s="484"/>
      <c r="J1689" s="484"/>
      <c r="K1689" s="140" t="s">
        <v>269</v>
      </c>
      <c r="L1689" s="141">
        <v>280</v>
      </c>
    </row>
    <row r="1690" spans="1:12" ht="17.25" customHeight="1" thickBot="1">
      <c r="A1690" s="126" t="str">
        <f t="shared" si="77"/>
        <v>2026/03</v>
      </c>
      <c r="B1690" s="127" t="str">
        <f t="shared" si="78"/>
        <v>2026/03忠孝7樓</v>
      </c>
      <c r="C1690" s="138">
        <v>154</v>
      </c>
      <c r="D1690" s="139" t="s">
        <v>424</v>
      </c>
      <c r="E1690" s="484" t="s">
        <v>267</v>
      </c>
      <c r="F1690" s="484"/>
      <c r="G1690" s="484" t="s">
        <v>268</v>
      </c>
      <c r="H1690" s="484"/>
      <c r="I1690" s="484"/>
      <c r="J1690" s="484"/>
      <c r="K1690" s="140" t="s">
        <v>269</v>
      </c>
      <c r="L1690" s="141">
        <v>22</v>
      </c>
    </row>
    <row r="1691" spans="1:12" ht="17.25" customHeight="1" thickBot="1">
      <c r="A1691" s="126" t="str">
        <f t="shared" si="77"/>
        <v>2026/03</v>
      </c>
      <c r="B1691" s="127" t="str">
        <f t="shared" si="78"/>
        <v>2026/03忠孝7樓</v>
      </c>
      <c r="C1691" s="138">
        <v>155</v>
      </c>
      <c r="D1691" s="139" t="s">
        <v>424</v>
      </c>
      <c r="E1691" s="484" t="s">
        <v>315</v>
      </c>
      <c r="F1691" s="484"/>
      <c r="G1691" s="484" t="s">
        <v>316</v>
      </c>
      <c r="H1691" s="484"/>
      <c r="I1691" s="484"/>
      <c r="J1691" s="484"/>
      <c r="K1691" s="140" t="s">
        <v>296</v>
      </c>
      <c r="L1691" s="141">
        <v>3</v>
      </c>
    </row>
    <row r="1692" spans="1:12" ht="17.25" customHeight="1" thickBot="1">
      <c r="A1692" s="126" t="str">
        <f t="shared" si="77"/>
        <v>2026/03</v>
      </c>
      <c r="B1692" s="127" t="str">
        <f t="shared" si="78"/>
        <v>2026/03忠孝7樓</v>
      </c>
      <c r="C1692" s="138">
        <v>156</v>
      </c>
      <c r="D1692" s="139" t="s">
        <v>424</v>
      </c>
      <c r="E1692" s="484" t="s">
        <v>294</v>
      </c>
      <c r="F1692" s="484"/>
      <c r="G1692" s="484" t="s">
        <v>295</v>
      </c>
      <c r="H1692" s="484"/>
      <c r="I1692" s="484"/>
      <c r="J1692" s="484"/>
      <c r="K1692" s="140" t="s">
        <v>296</v>
      </c>
      <c r="L1692" s="141">
        <v>2</v>
      </c>
    </row>
    <row r="1693" spans="1:12" ht="17.25" customHeight="1" thickBot="1">
      <c r="A1693" s="126" t="str">
        <f t="shared" si="77"/>
        <v>2026/03</v>
      </c>
      <c r="B1693" s="127" t="str">
        <f t="shared" si="78"/>
        <v>2026/03忠孝7樓</v>
      </c>
      <c r="C1693" s="138">
        <v>157</v>
      </c>
      <c r="D1693" s="139" t="s">
        <v>424</v>
      </c>
      <c r="E1693" s="484" t="s">
        <v>736</v>
      </c>
      <c r="F1693" s="484"/>
      <c r="G1693" s="484" t="s">
        <v>737</v>
      </c>
      <c r="H1693" s="484"/>
      <c r="I1693" s="484"/>
      <c r="J1693" s="484"/>
      <c r="K1693" s="140" t="s">
        <v>738</v>
      </c>
      <c r="L1693" s="141">
        <v>2</v>
      </c>
    </row>
    <row r="1694" spans="1:12" ht="17.25" customHeight="1" thickBot="1">
      <c r="A1694" s="126" t="str">
        <f t="shared" si="77"/>
        <v>2026/03</v>
      </c>
      <c r="B1694" s="127" t="str">
        <f t="shared" si="78"/>
        <v>2026/03忠孝7樓</v>
      </c>
      <c r="C1694" s="138">
        <v>158</v>
      </c>
      <c r="D1694" s="139" t="s">
        <v>424</v>
      </c>
      <c r="E1694" s="484" t="s">
        <v>237</v>
      </c>
      <c r="F1694" s="484"/>
      <c r="G1694" s="484" t="s">
        <v>238</v>
      </c>
      <c r="H1694" s="484"/>
      <c r="I1694" s="484"/>
      <c r="J1694" s="484"/>
      <c r="K1694" s="140" t="s">
        <v>239</v>
      </c>
      <c r="L1694" s="141">
        <v>921</v>
      </c>
    </row>
    <row r="1695" spans="1:12" ht="17.25" customHeight="1" thickBot="1">
      <c r="A1695" s="126" t="str">
        <f t="shared" si="77"/>
        <v>2026/03</v>
      </c>
      <c r="B1695" s="127" t="str">
        <f t="shared" si="78"/>
        <v>2026/03忠孝7樓</v>
      </c>
      <c r="C1695" s="138">
        <v>159</v>
      </c>
      <c r="D1695" s="139" t="s">
        <v>424</v>
      </c>
      <c r="E1695" s="484" t="s">
        <v>240</v>
      </c>
      <c r="F1695" s="484"/>
      <c r="G1695" s="484" t="s">
        <v>241</v>
      </c>
      <c r="H1695" s="484"/>
      <c r="I1695" s="484"/>
      <c r="J1695" s="484"/>
      <c r="K1695" s="140" t="s">
        <v>239</v>
      </c>
      <c r="L1695" s="141">
        <v>921</v>
      </c>
    </row>
    <row r="1696" spans="1:12" ht="17.25" customHeight="1" thickBot="1">
      <c r="A1696" s="126" t="str">
        <f t="shared" si="77"/>
        <v>2026/03</v>
      </c>
      <c r="B1696" s="127" t="str">
        <f t="shared" si="78"/>
        <v>2026/03忠孝7樓</v>
      </c>
      <c r="C1696" s="138">
        <v>160</v>
      </c>
      <c r="D1696" s="139" t="s">
        <v>424</v>
      </c>
      <c r="E1696" s="484" t="s">
        <v>242</v>
      </c>
      <c r="F1696" s="484"/>
      <c r="G1696" s="484" t="s">
        <v>243</v>
      </c>
      <c r="H1696" s="484"/>
      <c r="I1696" s="484"/>
      <c r="J1696" s="484"/>
      <c r="K1696" s="140" t="s">
        <v>239</v>
      </c>
      <c r="L1696" s="141">
        <v>921</v>
      </c>
    </row>
    <row r="1697" spans="1:12" ht="17.25" customHeight="1" thickBot="1">
      <c r="A1697" s="126" t="str">
        <f t="shared" si="77"/>
        <v>2026/03</v>
      </c>
      <c r="B1697" s="127" t="str">
        <f t="shared" si="78"/>
        <v>2026/03忠孝7樓</v>
      </c>
      <c r="C1697" s="138">
        <v>161</v>
      </c>
      <c r="D1697" s="139" t="s">
        <v>424</v>
      </c>
      <c r="E1697" s="484" t="s">
        <v>244</v>
      </c>
      <c r="F1697" s="484"/>
      <c r="G1697" s="484" t="s">
        <v>245</v>
      </c>
      <c r="H1697" s="484"/>
      <c r="I1697" s="484"/>
      <c r="J1697" s="484"/>
      <c r="K1697" s="140" t="s">
        <v>725</v>
      </c>
      <c r="L1697" s="141">
        <v>13801</v>
      </c>
    </row>
    <row r="1698" spans="1:12" ht="17.25" customHeight="1" thickBot="1">
      <c r="A1698" s="126" t="str">
        <f t="shared" si="77"/>
        <v>2026/03</v>
      </c>
      <c r="B1698" s="127" t="str">
        <f t="shared" si="78"/>
        <v>2026/03忠孝7樓</v>
      </c>
      <c r="C1698" s="138">
        <v>162</v>
      </c>
      <c r="D1698" s="139" t="s">
        <v>424</v>
      </c>
      <c r="E1698" s="484" t="s">
        <v>246</v>
      </c>
      <c r="F1698" s="484"/>
      <c r="G1698" s="484" t="s">
        <v>247</v>
      </c>
      <c r="H1698" s="484"/>
      <c r="I1698" s="484"/>
      <c r="J1698" s="484"/>
      <c r="K1698" s="140" t="s">
        <v>725</v>
      </c>
      <c r="L1698" s="141">
        <v>13801</v>
      </c>
    </row>
    <row r="1699" spans="1:12" ht="17.25" customHeight="1" thickBot="1">
      <c r="A1699" s="126" t="str">
        <f t="shared" si="77"/>
        <v>2026/03</v>
      </c>
      <c r="B1699" s="127" t="str">
        <f t="shared" si="78"/>
        <v>2026/03忠孝7樓</v>
      </c>
      <c r="C1699" s="138">
        <v>163</v>
      </c>
      <c r="D1699" s="139" t="s">
        <v>424</v>
      </c>
      <c r="E1699" s="484" t="s">
        <v>248</v>
      </c>
      <c r="F1699" s="484"/>
      <c r="G1699" s="484" t="s">
        <v>249</v>
      </c>
      <c r="H1699" s="484"/>
      <c r="I1699" s="484"/>
      <c r="J1699" s="484"/>
      <c r="K1699" s="140" t="s">
        <v>725</v>
      </c>
      <c r="L1699" s="141">
        <v>13801</v>
      </c>
    </row>
    <row r="1700" spans="1:12" ht="17.25" customHeight="1" thickBot="1">
      <c r="A1700" s="126" t="str">
        <f t="shared" si="77"/>
        <v>2026/03</v>
      </c>
      <c r="B1700" s="127" t="str">
        <f t="shared" si="78"/>
        <v>2026/03忠孝7樓</v>
      </c>
      <c r="C1700" s="138">
        <v>164</v>
      </c>
      <c r="D1700" s="139" t="s">
        <v>424</v>
      </c>
      <c r="E1700" s="484" t="s">
        <v>250</v>
      </c>
      <c r="F1700" s="484"/>
      <c r="G1700" s="484" t="s">
        <v>251</v>
      </c>
      <c r="H1700" s="484"/>
      <c r="I1700" s="484"/>
      <c r="J1700" s="484"/>
      <c r="K1700" s="140" t="s">
        <v>725</v>
      </c>
      <c r="L1700" s="141">
        <v>13801</v>
      </c>
    </row>
    <row r="1701" spans="1:12" ht="17.25" customHeight="1" thickBot="1">
      <c r="A1701" s="126" t="str">
        <f t="shared" si="77"/>
        <v>2026/03</v>
      </c>
      <c r="B1701" s="127" t="str">
        <f t="shared" si="78"/>
        <v>2026/03忠孝國際醫學3樓</v>
      </c>
      <c r="C1701" s="138">
        <v>165</v>
      </c>
      <c r="D1701" s="139" t="s">
        <v>850</v>
      </c>
      <c r="E1701" s="484" t="s">
        <v>392</v>
      </c>
      <c r="F1701" s="484"/>
      <c r="G1701" s="484" t="s">
        <v>393</v>
      </c>
      <c r="H1701" s="484"/>
      <c r="I1701" s="484"/>
      <c r="J1701" s="484"/>
      <c r="K1701" s="140" t="s">
        <v>382</v>
      </c>
      <c r="L1701" s="141">
        <v>1204</v>
      </c>
    </row>
    <row r="1702" spans="1:12" ht="17.25" customHeight="1" thickBot="1">
      <c r="A1702" s="126" t="str">
        <f t="shared" si="77"/>
        <v>2026/03</v>
      </c>
      <c r="B1702" s="127" t="str">
        <f t="shared" si="78"/>
        <v>2026/03忠孝國際醫學3樓</v>
      </c>
      <c r="C1702" s="138">
        <v>166</v>
      </c>
      <c r="D1702" s="139" t="s">
        <v>850</v>
      </c>
      <c r="E1702" s="484" t="s">
        <v>380</v>
      </c>
      <c r="F1702" s="484"/>
      <c r="G1702" s="484" t="s">
        <v>381</v>
      </c>
      <c r="H1702" s="484"/>
      <c r="I1702" s="484"/>
      <c r="J1702" s="484"/>
      <c r="K1702" s="140" t="s">
        <v>892</v>
      </c>
      <c r="L1702" s="141">
        <v>1635</v>
      </c>
    </row>
    <row r="1703" spans="1:12" ht="17.25" customHeight="1" thickBot="1">
      <c r="A1703" s="126" t="str">
        <f t="shared" si="77"/>
        <v>2026/03</v>
      </c>
      <c r="B1703" s="127" t="str">
        <f t="shared" si="78"/>
        <v>2026/03忠孝國際醫學3樓</v>
      </c>
      <c r="C1703" s="138">
        <v>167</v>
      </c>
      <c r="D1703" s="139" t="s">
        <v>850</v>
      </c>
      <c r="E1703" s="484" t="s">
        <v>413</v>
      </c>
      <c r="F1703" s="484"/>
      <c r="G1703" s="484" t="s">
        <v>674</v>
      </c>
      <c r="H1703" s="484"/>
      <c r="I1703" s="484"/>
      <c r="J1703" s="484"/>
      <c r="K1703" s="140" t="s">
        <v>410</v>
      </c>
      <c r="L1703" s="141">
        <v>7</v>
      </c>
    </row>
    <row r="1704" spans="1:12" ht="17.25" customHeight="1" thickBot="1">
      <c r="A1704" s="126" t="str">
        <f t="shared" si="77"/>
        <v>2026/03</v>
      </c>
      <c r="B1704" s="127" t="str">
        <f t="shared" si="78"/>
        <v>2026/03忠孝國際醫學3樓</v>
      </c>
      <c r="C1704" s="138">
        <v>168</v>
      </c>
      <c r="D1704" s="139" t="s">
        <v>850</v>
      </c>
      <c r="E1704" s="484" t="s">
        <v>360</v>
      </c>
      <c r="F1704" s="484"/>
      <c r="G1704" s="484" t="s">
        <v>361</v>
      </c>
      <c r="H1704" s="484"/>
      <c r="I1704" s="484"/>
      <c r="J1704" s="484"/>
      <c r="K1704" s="140" t="s">
        <v>362</v>
      </c>
      <c r="L1704" s="141">
        <v>24</v>
      </c>
    </row>
    <row r="1705" spans="1:12" ht="17.25" customHeight="1" thickBot="1">
      <c r="A1705" s="126" t="str">
        <f t="shared" si="77"/>
        <v>2026/03</v>
      </c>
      <c r="B1705" s="127" t="str">
        <f t="shared" si="78"/>
        <v>2026/03忠孝國際醫學3樓</v>
      </c>
      <c r="C1705" s="138">
        <v>169</v>
      </c>
      <c r="D1705" s="139" t="s">
        <v>850</v>
      </c>
      <c r="E1705" s="484" t="s">
        <v>383</v>
      </c>
      <c r="F1705" s="484"/>
      <c r="G1705" s="484" t="s">
        <v>384</v>
      </c>
      <c r="H1705" s="484"/>
      <c r="I1705" s="484"/>
      <c r="J1705" s="484"/>
      <c r="K1705" s="140" t="s">
        <v>385</v>
      </c>
      <c r="L1705" s="141">
        <v>883</v>
      </c>
    </row>
    <row r="1706" spans="1:12" ht="17.25" customHeight="1" thickBot="1">
      <c r="A1706" s="126" t="str">
        <f t="shared" si="77"/>
        <v>2026/03</v>
      </c>
      <c r="B1706" s="127" t="str">
        <f t="shared" si="78"/>
        <v>2026/03忠孝國際醫學3樓</v>
      </c>
      <c r="C1706" s="138">
        <v>170</v>
      </c>
      <c r="D1706" s="139" t="s">
        <v>850</v>
      </c>
      <c r="E1706" s="484" t="s">
        <v>394</v>
      </c>
      <c r="F1706" s="484"/>
      <c r="G1706" s="484" t="s">
        <v>395</v>
      </c>
      <c r="H1706" s="484"/>
      <c r="I1706" s="484"/>
      <c r="J1706" s="484"/>
      <c r="K1706" s="140" t="s">
        <v>272</v>
      </c>
      <c r="L1706" s="141">
        <v>9</v>
      </c>
    </row>
    <row r="1707" spans="1:12" ht="17.25" customHeight="1" thickBot="1">
      <c r="A1707" s="126" t="str">
        <f t="shared" si="77"/>
        <v>2026/03</v>
      </c>
      <c r="B1707" s="127" t="str">
        <f t="shared" si="78"/>
        <v>2026/03忠孝國際醫學3樓</v>
      </c>
      <c r="C1707" s="138">
        <v>171</v>
      </c>
      <c r="D1707" s="139" t="s">
        <v>850</v>
      </c>
      <c r="E1707" s="484" t="s">
        <v>403</v>
      </c>
      <c r="F1707" s="484"/>
      <c r="G1707" s="484" t="s">
        <v>404</v>
      </c>
      <c r="H1707" s="484"/>
      <c r="I1707" s="484"/>
      <c r="J1707" s="484"/>
      <c r="K1707" s="140" t="s">
        <v>385</v>
      </c>
      <c r="L1707" s="141">
        <v>9</v>
      </c>
    </row>
    <row r="1708" spans="1:12" ht="17.25" customHeight="1" thickBot="1">
      <c r="A1708" s="126" t="str">
        <f t="shared" si="77"/>
        <v>2026/03</v>
      </c>
      <c r="B1708" s="127" t="str">
        <f t="shared" si="78"/>
        <v>2026/03忠孝國際醫學3樓</v>
      </c>
      <c r="C1708" s="138">
        <v>172</v>
      </c>
      <c r="D1708" s="139" t="s">
        <v>850</v>
      </c>
      <c r="E1708" s="484" t="s">
        <v>406</v>
      </c>
      <c r="F1708" s="484"/>
      <c r="G1708" s="484" t="s">
        <v>407</v>
      </c>
      <c r="H1708" s="484"/>
      <c r="I1708" s="484"/>
      <c r="J1708" s="484"/>
      <c r="K1708" s="140" t="s">
        <v>385</v>
      </c>
      <c r="L1708" s="141">
        <v>9</v>
      </c>
    </row>
    <row r="1709" spans="1:12" ht="17.25" customHeight="1" thickBot="1">
      <c r="A1709" s="126" t="str">
        <f t="shared" si="77"/>
        <v>2026/03</v>
      </c>
      <c r="B1709" s="127" t="str">
        <f t="shared" si="78"/>
        <v>2026/03忠孝國際醫學3樓</v>
      </c>
      <c r="C1709" s="138">
        <v>173</v>
      </c>
      <c r="D1709" s="139" t="s">
        <v>850</v>
      </c>
      <c r="E1709" s="484" t="s">
        <v>408</v>
      </c>
      <c r="F1709" s="484"/>
      <c r="G1709" s="484" t="s">
        <v>409</v>
      </c>
      <c r="H1709" s="484"/>
      <c r="I1709" s="484"/>
      <c r="J1709" s="484"/>
      <c r="K1709" s="140" t="s">
        <v>410</v>
      </c>
      <c r="L1709" s="141">
        <v>10</v>
      </c>
    </row>
    <row r="1710" spans="1:12" ht="17.25" customHeight="1" thickBot="1">
      <c r="A1710" s="126" t="str">
        <f t="shared" si="77"/>
        <v>2026/03</v>
      </c>
      <c r="B1710" s="127" t="str">
        <f t="shared" si="78"/>
        <v>2026/03忠孝國際醫學3樓</v>
      </c>
      <c r="C1710" s="138">
        <v>174</v>
      </c>
      <c r="D1710" s="139" t="s">
        <v>850</v>
      </c>
      <c r="E1710" s="484" t="s">
        <v>255</v>
      </c>
      <c r="F1710" s="484"/>
      <c r="G1710" s="484" t="s">
        <v>256</v>
      </c>
      <c r="H1710" s="484"/>
      <c r="I1710" s="484"/>
      <c r="J1710" s="484"/>
      <c r="K1710" s="140" t="s">
        <v>720</v>
      </c>
      <c r="L1710" s="141">
        <v>863</v>
      </c>
    </row>
    <row r="1711" spans="1:12" ht="17.25" customHeight="1" thickBot="1">
      <c r="A1711" s="126" t="str">
        <f t="shared" si="77"/>
        <v>2026/03</v>
      </c>
      <c r="B1711" s="127" t="str">
        <f t="shared" si="78"/>
        <v>2026/03忠孝國際醫學3樓</v>
      </c>
      <c r="C1711" s="138">
        <v>175</v>
      </c>
      <c r="D1711" s="139" t="s">
        <v>850</v>
      </c>
      <c r="E1711" s="484" t="s">
        <v>419</v>
      </c>
      <c r="F1711" s="484"/>
      <c r="G1711" s="484" t="s">
        <v>420</v>
      </c>
      <c r="H1711" s="484"/>
      <c r="I1711" s="484"/>
      <c r="J1711" s="484"/>
      <c r="K1711" s="140" t="s">
        <v>726</v>
      </c>
      <c r="L1711" s="141">
        <v>954</v>
      </c>
    </row>
    <row r="1712" spans="1:12" ht="17.25" customHeight="1" thickBot="1">
      <c r="A1712" s="126" t="str">
        <f t="shared" si="77"/>
        <v>2026/03</v>
      </c>
      <c r="B1712" s="127" t="str">
        <f t="shared" si="78"/>
        <v>2026/03忠孝國際醫學3樓</v>
      </c>
      <c r="C1712" s="138">
        <v>176</v>
      </c>
      <c r="D1712" s="139" t="s">
        <v>850</v>
      </c>
      <c r="E1712" s="484" t="s">
        <v>258</v>
      </c>
      <c r="F1712" s="484"/>
      <c r="G1712" s="484" t="s">
        <v>259</v>
      </c>
      <c r="H1712" s="484"/>
      <c r="I1712" s="484"/>
      <c r="J1712" s="484"/>
      <c r="K1712" s="140"/>
      <c r="L1712" s="141">
        <v>17</v>
      </c>
    </row>
    <row r="1713" spans="1:12" ht="17.25" customHeight="1" thickBot="1">
      <c r="A1713" s="126" t="str">
        <f t="shared" si="77"/>
        <v>2026/03</v>
      </c>
      <c r="B1713" s="127" t="str">
        <f t="shared" si="78"/>
        <v>2026/03忠孝國際醫學3樓</v>
      </c>
      <c r="C1713" s="138">
        <v>177</v>
      </c>
      <c r="D1713" s="139" t="s">
        <v>850</v>
      </c>
      <c r="E1713" s="484" t="s">
        <v>260</v>
      </c>
      <c r="F1713" s="484"/>
      <c r="G1713" s="484" t="s">
        <v>261</v>
      </c>
      <c r="H1713" s="484"/>
      <c r="I1713" s="484"/>
      <c r="J1713" s="484"/>
      <c r="K1713" s="140" t="s">
        <v>254</v>
      </c>
      <c r="L1713" s="141">
        <v>17</v>
      </c>
    </row>
    <row r="1714" spans="1:12" ht="17.25" customHeight="1" thickBot="1">
      <c r="A1714" s="126" t="str">
        <f t="shared" si="77"/>
        <v>2026/03</v>
      </c>
      <c r="B1714" s="127" t="str">
        <f t="shared" si="78"/>
        <v>2026/03忠孝國際醫學3樓</v>
      </c>
      <c r="C1714" s="138">
        <v>178</v>
      </c>
      <c r="D1714" s="139" t="s">
        <v>850</v>
      </c>
      <c r="E1714" s="484" t="s">
        <v>415</v>
      </c>
      <c r="F1714" s="484"/>
      <c r="G1714" s="484" t="s">
        <v>416</v>
      </c>
      <c r="H1714" s="484"/>
      <c r="I1714" s="484"/>
      <c r="J1714" s="484"/>
      <c r="K1714" s="140" t="s">
        <v>254</v>
      </c>
      <c r="L1714" s="141">
        <v>1</v>
      </c>
    </row>
    <row r="1715" spans="1:12" ht="17.25" customHeight="1" thickBot="1">
      <c r="A1715" s="126" t="str">
        <f t="shared" si="77"/>
        <v>2026/03</v>
      </c>
      <c r="B1715" s="127" t="str">
        <f t="shared" si="78"/>
        <v>2026/03忠孝國際醫學3樓</v>
      </c>
      <c r="C1715" s="138">
        <v>179</v>
      </c>
      <c r="D1715" s="139" t="s">
        <v>850</v>
      </c>
      <c r="E1715" s="484" t="s">
        <v>252</v>
      </c>
      <c r="F1715" s="484"/>
      <c r="G1715" s="484" t="s">
        <v>253</v>
      </c>
      <c r="H1715" s="484"/>
      <c r="I1715" s="484"/>
      <c r="J1715" s="484"/>
      <c r="K1715" s="140" t="s">
        <v>254</v>
      </c>
      <c r="L1715" s="141">
        <v>17</v>
      </c>
    </row>
    <row r="1716" spans="1:12" ht="17.25" customHeight="1" thickBot="1">
      <c r="A1716" s="126" t="str">
        <f t="shared" si="77"/>
        <v>2026/03</v>
      </c>
      <c r="B1716" s="127" t="str">
        <f t="shared" si="78"/>
        <v>2026/03忠孝國際醫學3樓</v>
      </c>
      <c r="C1716" s="138">
        <v>180</v>
      </c>
      <c r="D1716" s="139" t="s">
        <v>850</v>
      </c>
      <c r="E1716" s="484" t="s">
        <v>690</v>
      </c>
      <c r="F1716" s="484"/>
      <c r="G1716" s="484" t="s">
        <v>691</v>
      </c>
      <c r="H1716" s="484"/>
      <c r="I1716" s="484"/>
      <c r="J1716" s="484"/>
      <c r="K1716" s="140" t="s">
        <v>692</v>
      </c>
      <c r="L1716" s="141">
        <v>8</v>
      </c>
    </row>
    <row r="1717" spans="1:12" ht="17.25" customHeight="1" thickBot="1">
      <c r="A1717" s="126" t="str">
        <f t="shared" si="77"/>
        <v>2026/03</v>
      </c>
      <c r="B1717" s="127" t="str">
        <f t="shared" si="78"/>
        <v>2026/03忠孝國際醫學3樓</v>
      </c>
      <c r="C1717" s="138">
        <v>181</v>
      </c>
      <c r="D1717" s="139" t="s">
        <v>850</v>
      </c>
      <c r="E1717" s="484" t="s">
        <v>386</v>
      </c>
      <c r="F1717" s="484"/>
      <c r="G1717" s="484" t="s">
        <v>387</v>
      </c>
      <c r="H1717" s="484"/>
      <c r="I1717" s="484"/>
      <c r="J1717" s="484"/>
      <c r="K1717" s="140" t="s">
        <v>388</v>
      </c>
      <c r="L1717" s="141">
        <v>3752</v>
      </c>
    </row>
    <row r="1718" spans="1:12" ht="17.25" customHeight="1" thickBot="1">
      <c r="A1718" s="126" t="str">
        <f t="shared" si="77"/>
        <v>2026/03</v>
      </c>
      <c r="B1718" s="127" t="str">
        <f t="shared" si="78"/>
        <v>2026/03忠孝國際醫學3樓</v>
      </c>
      <c r="C1718" s="138">
        <v>182</v>
      </c>
      <c r="D1718" s="139" t="s">
        <v>850</v>
      </c>
      <c r="E1718" s="484" t="s">
        <v>401</v>
      </c>
      <c r="F1718" s="484"/>
      <c r="G1718" s="484" t="s">
        <v>402</v>
      </c>
      <c r="H1718" s="484"/>
      <c r="I1718" s="484"/>
      <c r="J1718" s="484"/>
      <c r="K1718" s="140" t="s">
        <v>145</v>
      </c>
      <c r="L1718" s="141">
        <v>5</v>
      </c>
    </row>
    <row r="1719" spans="1:12" ht="17.25" customHeight="1" thickBot="1">
      <c r="A1719" s="126" t="str">
        <f t="shared" si="77"/>
        <v>2026/03</v>
      </c>
      <c r="B1719" s="127" t="str">
        <f t="shared" si="78"/>
        <v>2026/03忠孝國際醫學3樓</v>
      </c>
      <c r="C1719" s="138">
        <v>183</v>
      </c>
      <c r="D1719" s="139" t="s">
        <v>850</v>
      </c>
      <c r="E1719" s="484" t="s">
        <v>417</v>
      </c>
      <c r="F1719" s="484"/>
      <c r="G1719" s="484" t="s">
        <v>418</v>
      </c>
      <c r="H1719" s="484"/>
      <c r="I1719" s="484"/>
      <c r="J1719" s="484"/>
      <c r="K1719" s="140" t="s">
        <v>145</v>
      </c>
      <c r="L1719" s="141">
        <v>13</v>
      </c>
    </row>
    <row r="1720" spans="1:12" ht="17.25" customHeight="1" thickBot="1">
      <c r="A1720" s="126" t="str">
        <f t="shared" si="77"/>
        <v>2026/03</v>
      </c>
      <c r="B1720" s="127" t="str">
        <f t="shared" si="78"/>
        <v>2026/03忠孝國際醫學3樓</v>
      </c>
      <c r="C1720" s="138">
        <v>184</v>
      </c>
      <c r="D1720" s="139" t="s">
        <v>850</v>
      </c>
      <c r="E1720" s="484" t="s">
        <v>375</v>
      </c>
      <c r="F1720" s="484"/>
      <c r="G1720" s="484" t="s">
        <v>376</v>
      </c>
      <c r="H1720" s="484"/>
      <c r="I1720" s="484"/>
      <c r="J1720" s="484"/>
      <c r="K1720" s="140" t="s">
        <v>433</v>
      </c>
      <c r="L1720" s="141">
        <v>1</v>
      </c>
    </row>
    <row r="1721" spans="1:12" ht="17.25" customHeight="1" thickBot="1">
      <c r="A1721" s="126" t="str">
        <f t="shared" si="77"/>
        <v>2026/03</v>
      </c>
      <c r="B1721" s="127" t="str">
        <f t="shared" si="78"/>
        <v>2026/03忠孝國際醫學3樓</v>
      </c>
      <c r="C1721" s="138">
        <v>185</v>
      </c>
      <c r="D1721" s="139" t="s">
        <v>850</v>
      </c>
      <c r="E1721" s="484" t="s">
        <v>399</v>
      </c>
      <c r="F1721" s="484"/>
      <c r="G1721" s="484" t="s">
        <v>400</v>
      </c>
      <c r="H1721" s="484"/>
      <c r="I1721" s="484"/>
      <c r="J1721" s="484"/>
      <c r="K1721" s="140" t="s">
        <v>433</v>
      </c>
      <c r="L1721" s="141">
        <v>9</v>
      </c>
    </row>
    <row r="1722" spans="1:12" ht="17.25" customHeight="1" thickBot="1">
      <c r="A1722" s="126" t="str">
        <f t="shared" si="77"/>
        <v>2026/03</v>
      </c>
      <c r="B1722" s="127" t="str">
        <f t="shared" si="78"/>
        <v>2026/03忠孝國際醫學3樓</v>
      </c>
      <c r="C1722" s="138">
        <v>186</v>
      </c>
      <c r="D1722" s="139" t="s">
        <v>850</v>
      </c>
      <c r="E1722" s="484" t="s">
        <v>431</v>
      </c>
      <c r="F1722" s="484"/>
      <c r="G1722" s="484" t="s">
        <v>432</v>
      </c>
      <c r="H1722" s="484"/>
      <c r="I1722" s="484"/>
      <c r="J1722" s="484"/>
      <c r="K1722" s="140" t="s">
        <v>746</v>
      </c>
      <c r="L1722" s="141">
        <v>1364.4499999999998</v>
      </c>
    </row>
    <row r="1723" spans="1:12" ht="17.25" customHeight="1" thickBot="1">
      <c r="A1723" s="126" t="str">
        <f t="shared" ref="A1723:A1735" si="79">IFERROR(LEFT(B1723,7),"")</f>
        <v>2026/03</v>
      </c>
      <c r="B1723" s="127" t="str">
        <f t="shared" ref="B1723:B1735" si="80">"2026/03"&amp;D1723</f>
        <v>2026/03忠孝國際醫學3樓</v>
      </c>
      <c r="C1723" s="138">
        <v>187</v>
      </c>
      <c r="D1723" s="139" t="s">
        <v>850</v>
      </c>
      <c r="E1723" s="484" t="s">
        <v>711</v>
      </c>
      <c r="F1723" s="484"/>
      <c r="G1723" s="484" t="s">
        <v>700</v>
      </c>
      <c r="H1723" s="484"/>
      <c r="I1723" s="484"/>
      <c r="J1723" s="484"/>
      <c r="K1723" s="140" t="s">
        <v>433</v>
      </c>
      <c r="L1723" s="141">
        <v>3</v>
      </c>
    </row>
    <row r="1724" spans="1:12" ht="17.25" customHeight="1" thickBot="1">
      <c r="A1724" s="126" t="str">
        <f t="shared" si="79"/>
        <v>2026/03</v>
      </c>
      <c r="B1724" s="127" t="str">
        <f t="shared" si="80"/>
        <v>2026/03忠孝國際醫學3樓</v>
      </c>
      <c r="C1724" s="138">
        <v>188</v>
      </c>
      <c r="D1724" s="139" t="s">
        <v>850</v>
      </c>
      <c r="E1724" s="484" t="s">
        <v>701</v>
      </c>
      <c r="F1724" s="484"/>
      <c r="G1724" s="484" t="s">
        <v>702</v>
      </c>
      <c r="H1724" s="484"/>
      <c r="I1724" s="484"/>
      <c r="J1724" s="484"/>
      <c r="K1724" s="140" t="s">
        <v>849</v>
      </c>
      <c r="L1724" s="141">
        <v>2</v>
      </c>
    </row>
    <row r="1725" spans="1:12" ht="17.25" customHeight="1" thickBot="1">
      <c r="A1725" s="126" t="str">
        <f t="shared" si="79"/>
        <v>2026/03</v>
      </c>
      <c r="B1725" s="127" t="str">
        <f t="shared" si="80"/>
        <v>2026/03忠孝國際醫學3樓</v>
      </c>
      <c r="C1725" s="138">
        <v>189</v>
      </c>
      <c r="D1725" s="139" t="s">
        <v>850</v>
      </c>
      <c r="E1725" s="484" t="s">
        <v>693</v>
      </c>
      <c r="F1725" s="484"/>
      <c r="G1725" s="484" t="s">
        <v>694</v>
      </c>
      <c r="H1725" s="484"/>
      <c r="I1725" s="484"/>
      <c r="J1725" s="484"/>
      <c r="K1725" s="140" t="s">
        <v>747</v>
      </c>
      <c r="L1725" s="141">
        <v>1027.5</v>
      </c>
    </row>
    <row r="1726" spans="1:12" ht="17.25" customHeight="1" thickBot="1">
      <c r="A1726" s="126" t="str">
        <f t="shared" si="79"/>
        <v>2026/03</v>
      </c>
      <c r="B1726" s="127" t="str">
        <f t="shared" si="80"/>
        <v>2026/03忠孝健康7樓</v>
      </c>
      <c r="C1726" s="138">
        <v>190</v>
      </c>
      <c r="D1726" s="139" t="s">
        <v>861</v>
      </c>
      <c r="E1726" s="484" t="s">
        <v>360</v>
      </c>
      <c r="F1726" s="484"/>
      <c r="G1726" s="484" t="s">
        <v>361</v>
      </c>
      <c r="H1726" s="484"/>
      <c r="I1726" s="484"/>
      <c r="J1726" s="484"/>
      <c r="K1726" s="140" t="s">
        <v>362</v>
      </c>
      <c r="L1726" s="141">
        <v>15</v>
      </c>
    </row>
    <row r="1727" spans="1:12" ht="17.25" customHeight="1" thickBot="1">
      <c r="A1727" s="126" t="str">
        <f t="shared" si="79"/>
        <v>2026/03</v>
      </c>
      <c r="B1727" s="127" t="str">
        <f t="shared" si="80"/>
        <v>2026/03忠孝健康7樓</v>
      </c>
      <c r="C1727" s="138">
        <v>191</v>
      </c>
      <c r="D1727" s="139" t="s">
        <v>861</v>
      </c>
      <c r="E1727" s="484" t="s">
        <v>383</v>
      </c>
      <c r="F1727" s="484"/>
      <c r="G1727" s="484" t="s">
        <v>384</v>
      </c>
      <c r="H1727" s="484"/>
      <c r="I1727" s="484"/>
      <c r="J1727" s="484"/>
      <c r="K1727" s="140" t="s">
        <v>385</v>
      </c>
      <c r="L1727" s="141">
        <v>16</v>
      </c>
    </row>
    <row r="1728" spans="1:12" ht="17.25" customHeight="1" thickBot="1">
      <c r="A1728" s="126" t="str">
        <f t="shared" si="79"/>
        <v>2026/03</v>
      </c>
      <c r="B1728" s="127" t="str">
        <f t="shared" si="80"/>
        <v>2026/03忠孝健康7樓</v>
      </c>
      <c r="C1728" s="138">
        <v>192</v>
      </c>
      <c r="D1728" s="139" t="s">
        <v>861</v>
      </c>
      <c r="E1728" s="484" t="s">
        <v>394</v>
      </c>
      <c r="F1728" s="484"/>
      <c r="G1728" s="484" t="s">
        <v>395</v>
      </c>
      <c r="H1728" s="484"/>
      <c r="I1728" s="484"/>
      <c r="J1728" s="484"/>
      <c r="K1728" s="140" t="s">
        <v>272</v>
      </c>
      <c r="L1728" s="141">
        <v>1</v>
      </c>
    </row>
    <row r="1729" spans="1:12" ht="17.25" customHeight="1" thickBot="1">
      <c r="A1729" s="126" t="str">
        <f t="shared" si="79"/>
        <v>2026/03</v>
      </c>
      <c r="B1729" s="127" t="str">
        <f t="shared" si="80"/>
        <v>2026/03忠孝健康7樓</v>
      </c>
      <c r="C1729" s="138">
        <v>193</v>
      </c>
      <c r="D1729" s="139" t="s">
        <v>861</v>
      </c>
      <c r="E1729" s="484" t="s">
        <v>255</v>
      </c>
      <c r="F1729" s="484"/>
      <c r="G1729" s="484" t="s">
        <v>256</v>
      </c>
      <c r="H1729" s="484"/>
      <c r="I1729" s="484"/>
      <c r="J1729" s="484"/>
      <c r="K1729" s="140" t="s">
        <v>720</v>
      </c>
      <c r="L1729" s="141">
        <v>35</v>
      </c>
    </row>
    <row r="1730" spans="1:12" ht="17.25" customHeight="1" thickBot="1">
      <c r="A1730" s="126" t="str">
        <f t="shared" si="79"/>
        <v>2026/03</v>
      </c>
      <c r="B1730" s="127" t="str">
        <f t="shared" si="80"/>
        <v>2026/03忠孝健康7樓</v>
      </c>
      <c r="C1730" s="138">
        <v>194</v>
      </c>
      <c r="D1730" s="139" t="s">
        <v>861</v>
      </c>
      <c r="E1730" s="484" t="s">
        <v>258</v>
      </c>
      <c r="F1730" s="484"/>
      <c r="G1730" s="484" t="s">
        <v>259</v>
      </c>
      <c r="H1730" s="484"/>
      <c r="I1730" s="484"/>
      <c r="J1730" s="484"/>
      <c r="K1730" s="140"/>
      <c r="L1730" s="141">
        <v>50</v>
      </c>
    </row>
    <row r="1731" spans="1:12" ht="17.25" customHeight="1" thickBot="1">
      <c r="A1731" s="126" t="str">
        <f t="shared" si="79"/>
        <v>2026/03</v>
      </c>
      <c r="B1731" s="127" t="str">
        <f t="shared" si="80"/>
        <v>2026/03忠孝健康7樓</v>
      </c>
      <c r="C1731" s="138">
        <v>195</v>
      </c>
      <c r="D1731" s="139" t="s">
        <v>861</v>
      </c>
      <c r="E1731" s="484" t="s">
        <v>260</v>
      </c>
      <c r="F1731" s="484"/>
      <c r="G1731" s="484" t="s">
        <v>261</v>
      </c>
      <c r="H1731" s="484"/>
      <c r="I1731" s="484"/>
      <c r="J1731" s="484"/>
      <c r="K1731" s="140" t="s">
        <v>254</v>
      </c>
      <c r="L1731" s="141">
        <v>49</v>
      </c>
    </row>
    <row r="1732" spans="1:12" ht="17.25" customHeight="1" thickBot="1">
      <c r="A1732" s="126" t="str">
        <f t="shared" si="79"/>
        <v>2026/03</v>
      </c>
      <c r="B1732" s="127" t="str">
        <f t="shared" si="80"/>
        <v>2026/03忠孝健康7樓</v>
      </c>
      <c r="C1732" s="138">
        <v>196</v>
      </c>
      <c r="D1732" s="139" t="s">
        <v>861</v>
      </c>
      <c r="E1732" s="484" t="s">
        <v>415</v>
      </c>
      <c r="F1732" s="484"/>
      <c r="G1732" s="484" t="s">
        <v>416</v>
      </c>
      <c r="H1732" s="484"/>
      <c r="I1732" s="484"/>
      <c r="J1732" s="484"/>
      <c r="K1732" s="140" t="s">
        <v>254</v>
      </c>
      <c r="L1732" s="141">
        <v>1</v>
      </c>
    </row>
    <row r="1733" spans="1:12" ht="17.25" customHeight="1" thickBot="1">
      <c r="A1733" s="126" t="str">
        <f t="shared" si="79"/>
        <v>2026/03</v>
      </c>
      <c r="B1733" s="127" t="str">
        <f t="shared" si="80"/>
        <v>2026/03忠孝健康7樓</v>
      </c>
      <c r="C1733" s="138">
        <v>197</v>
      </c>
      <c r="D1733" s="139" t="s">
        <v>861</v>
      </c>
      <c r="E1733" s="484" t="s">
        <v>262</v>
      </c>
      <c r="F1733" s="484"/>
      <c r="G1733" s="484" t="s">
        <v>263</v>
      </c>
      <c r="H1733" s="484"/>
      <c r="I1733" s="484"/>
      <c r="J1733" s="484"/>
      <c r="K1733" s="140" t="s">
        <v>254</v>
      </c>
      <c r="L1733" s="141">
        <v>22</v>
      </c>
    </row>
    <row r="1734" spans="1:12" ht="17.25" customHeight="1" thickBot="1">
      <c r="A1734" s="126" t="str">
        <f t="shared" si="79"/>
        <v>2026/03</v>
      </c>
      <c r="B1734" s="127" t="str">
        <f t="shared" si="80"/>
        <v>2026/03忠孝健康7樓</v>
      </c>
      <c r="C1734" s="138">
        <v>198</v>
      </c>
      <c r="D1734" s="139" t="s">
        <v>861</v>
      </c>
      <c r="E1734" s="484" t="s">
        <v>270</v>
      </c>
      <c r="F1734" s="484"/>
      <c r="G1734" s="484" t="s">
        <v>271</v>
      </c>
      <c r="H1734" s="484"/>
      <c r="I1734" s="484"/>
      <c r="J1734" s="484"/>
      <c r="K1734" s="140" t="s">
        <v>272</v>
      </c>
      <c r="L1734" s="141">
        <v>56</v>
      </c>
    </row>
    <row r="1735" spans="1:12" ht="17.25" customHeight="1" thickBot="1">
      <c r="A1735" s="126" t="str">
        <f t="shared" si="79"/>
        <v>2026/03</v>
      </c>
      <c r="B1735" s="127" t="str">
        <f t="shared" si="80"/>
        <v>2026/03忠孝健康7樓</v>
      </c>
      <c r="C1735" s="138">
        <v>199</v>
      </c>
      <c r="D1735" s="139" t="s">
        <v>861</v>
      </c>
      <c r="E1735" s="484" t="s">
        <v>252</v>
      </c>
      <c r="F1735" s="484"/>
      <c r="G1735" s="484" t="s">
        <v>253</v>
      </c>
      <c r="H1735" s="484"/>
      <c r="I1735" s="484"/>
      <c r="J1735" s="484"/>
      <c r="K1735" s="140" t="s">
        <v>254</v>
      </c>
      <c r="L1735" s="141">
        <v>57</v>
      </c>
    </row>
    <row r="1736" spans="1:12" ht="17.25" customHeight="1" thickBot="1">
      <c r="A1736" s="126" t="str">
        <f t="shared" ref="A1736:A1771" si="81">IFERROR(LEFT(B1736,7),"")</f>
        <v>2026/03</v>
      </c>
      <c r="B1736" s="127" t="str">
        <f t="shared" ref="B1736:B1771" si="82">"2026/03"&amp;D1736</f>
        <v>2026/03忠孝健康7樓</v>
      </c>
      <c r="C1736" s="138">
        <v>200</v>
      </c>
      <c r="D1736" s="139" t="s">
        <v>861</v>
      </c>
      <c r="E1736" s="484" t="s">
        <v>695</v>
      </c>
      <c r="F1736" s="484"/>
      <c r="G1736" s="484" t="s">
        <v>696</v>
      </c>
      <c r="H1736" s="484"/>
      <c r="I1736" s="484"/>
      <c r="J1736" s="484"/>
      <c r="K1736" s="140" t="s">
        <v>254</v>
      </c>
      <c r="L1736" s="141">
        <v>1</v>
      </c>
    </row>
    <row r="1737" spans="1:12" ht="17.25" customHeight="1" thickBot="1">
      <c r="A1737" s="126" t="str">
        <f t="shared" si="81"/>
        <v>2026/03</v>
      </c>
      <c r="B1737" s="127" t="str">
        <f t="shared" si="82"/>
        <v>2026/03忠孝健康7樓</v>
      </c>
      <c r="C1737" s="138">
        <v>201</v>
      </c>
      <c r="D1737" s="139" t="s">
        <v>861</v>
      </c>
      <c r="E1737" s="484" t="s">
        <v>690</v>
      </c>
      <c r="F1737" s="484"/>
      <c r="G1737" s="484" t="s">
        <v>691</v>
      </c>
      <c r="H1737" s="484"/>
      <c r="I1737" s="484"/>
      <c r="J1737" s="484"/>
      <c r="K1737" s="140" t="s">
        <v>692</v>
      </c>
      <c r="L1737" s="141">
        <v>15</v>
      </c>
    </row>
    <row r="1738" spans="1:12" ht="17.25" customHeight="1" thickBot="1">
      <c r="A1738" s="126" t="str">
        <f t="shared" si="81"/>
        <v>2026/03</v>
      </c>
      <c r="B1738" s="127" t="str">
        <f t="shared" si="82"/>
        <v>2026/03忠孝健康7樓</v>
      </c>
      <c r="C1738" s="138">
        <v>202</v>
      </c>
      <c r="D1738" s="139" t="s">
        <v>861</v>
      </c>
      <c r="E1738" s="484" t="s">
        <v>305</v>
      </c>
      <c r="F1738" s="484"/>
      <c r="G1738" s="484" t="s">
        <v>877</v>
      </c>
      <c r="H1738" s="484"/>
      <c r="I1738" s="484"/>
      <c r="J1738" s="484"/>
      <c r="K1738" s="140" t="s">
        <v>676</v>
      </c>
      <c r="L1738" s="141">
        <v>1115</v>
      </c>
    </row>
    <row r="1739" spans="1:12" ht="17.25" customHeight="1" thickBot="1">
      <c r="A1739" s="126" t="str">
        <f t="shared" si="81"/>
        <v>2026/03</v>
      </c>
      <c r="B1739" s="127" t="str">
        <f t="shared" si="82"/>
        <v>2026/03忠孝健康7樓</v>
      </c>
      <c r="C1739" s="138">
        <v>203</v>
      </c>
      <c r="D1739" s="139" t="s">
        <v>861</v>
      </c>
      <c r="E1739" s="484" t="s">
        <v>264</v>
      </c>
      <c r="F1739" s="484"/>
      <c r="G1739" s="484" t="s">
        <v>677</v>
      </c>
      <c r="H1739" s="484"/>
      <c r="I1739" s="484"/>
      <c r="J1739" s="484"/>
      <c r="K1739" s="140" t="s">
        <v>678</v>
      </c>
      <c r="L1739" s="141">
        <v>1479</v>
      </c>
    </row>
    <row r="1740" spans="1:12" ht="17.25" customHeight="1" thickBot="1">
      <c r="A1740" s="126" t="str">
        <f t="shared" si="81"/>
        <v>2026/03</v>
      </c>
      <c r="B1740" s="127" t="str">
        <f t="shared" si="82"/>
        <v>2026/03忠孝健康7樓</v>
      </c>
      <c r="C1740" s="138">
        <v>204</v>
      </c>
      <c r="D1740" s="139" t="s">
        <v>861</v>
      </c>
      <c r="E1740" s="484" t="s">
        <v>307</v>
      </c>
      <c r="F1740" s="484"/>
      <c r="G1740" s="484" t="s">
        <v>878</v>
      </c>
      <c r="H1740" s="484"/>
      <c r="I1740" s="484"/>
      <c r="J1740" s="484"/>
      <c r="K1740" s="140" t="s">
        <v>678</v>
      </c>
      <c r="L1740" s="141">
        <v>1387</v>
      </c>
    </row>
    <row r="1741" spans="1:12" ht="17.25" customHeight="1" thickBot="1">
      <c r="A1741" s="126" t="str">
        <f t="shared" si="81"/>
        <v>2026/03</v>
      </c>
      <c r="B1741" s="127" t="str">
        <f t="shared" si="82"/>
        <v>2026/03忠孝健康7樓</v>
      </c>
      <c r="C1741" s="138">
        <v>205</v>
      </c>
      <c r="D1741" s="139" t="s">
        <v>861</v>
      </c>
      <c r="E1741" s="484" t="s">
        <v>313</v>
      </c>
      <c r="F1741" s="484"/>
      <c r="G1741" s="484" t="s">
        <v>314</v>
      </c>
      <c r="H1741" s="484"/>
      <c r="I1741" s="484"/>
      <c r="J1741" s="484"/>
      <c r="K1741" s="140" t="s">
        <v>301</v>
      </c>
      <c r="L1741" s="141">
        <v>23</v>
      </c>
    </row>
    <row r="1742" spans="1:12" ht="17.25" customHeight="1" thickBot="1">
      <c r="A1742" s="126" t="str">
        <f t="shared" si="81"/>
        <v>2026/03</v>
      </c>
      <c r="B1742" s="127" t="str">
        <f t="shared" si="82"/>
        <v>2026/03忠孝健康7樓</v>
      </c>
      <c r="C1742" s="138">
        <v>206</v>
      </c>
      <c r="D1742" s="139" t="s">
        <v>861</v>
      </c>
      <c r="E1742" s="484" t="s">
        <v>343</v>
      </c>
      <c r="F1742" s="484"/>
      <c r="G1742" s="484" t="s">
        <v>344</v>
      </c>
      <c r="H1742" s="484"/>
      <c r="I1742" s="484"/>
      <c r="J1742" s="484"/>
      <c r="K1742" s="140" t="s">
        <v>301</v>
      </c>
      <c r="L1742" s="141">
        <v>3</v>
      </c>
    </row>
    <row r="1743" spans="1:12" ht="17.25" customHeight="1" thickBot="1">
      <c r="A1743" s="126" t="str">
        <f t="shared" si="81"/>
        <v>2026/03</v>
      </c>
      <c r="B1743" s="127" t="str">
        <f t="shared" si="82"/>
        <v>2026/03忠孝健康7樓</v>
      </c>
      <c r="C1743" s="138">
        <v>207</v>
      </c>
      <c r="D1743" s="139" t="s">
        <v>861</v>
      </c>
      <c r="E1743" s="484" t="s">
        <v>349</v>
      </c>
      <c r="F1743" s="484"/>
      <c r="G1743" s="484" t="s">
        <v>350</v>
      </c>
      <c r="H1743" s="484"/>
      <c r="I1743" s="484"/>
      <c r="J1743" s="484"/>
      <c r="K1743" s="140" t="s">
        <v>301</v>
      </c>
      <c r="L1743" s="141">
        <v>5</v>
      </c>
    </row>
    <row r="1744" spans="1:12" ht="17.25" customHeight="1" thickBot="1">
      <c r="A1744" s="126" t="str">
        <f t="shared" si="81"/>
        <v>2026/03</v>
      </c>
      <c r="B1744" s="127" t="str">
        <f t="shared" si="82"/>
        <v>2026/03忠孝健康7樓</v>
      </c>
      <c r="C1744" s="138">
        <v>208</v>
      </c>
      <c r="D1744" s="139" t="s">
        <v>861</v>
      </c>
      <c r="E1744" s="484" t="s">
        <v>366</v>
      </c>
      <c r="F1744" s="484"/>
      <c r="G1744" s="484" t="s">
        <v>367</v>
      </c>
      <c r="H1744" s="484"/>
      <c r="I1744" s="484"/>
      <c r="J1744" s="484"/>
      <c r="K1744" s="140" t="s">
        <v>301</v>
      </c>
      <c r="L1744" s="141">
        <v>1</v>
      </c>
    </row>
    <row r="1745" spans="1:12" ht="17.25" customHeight="1" thickBot="1">
      <c r="A1745" s="126" t="str">
        <f t="shared" si="81"/>
        <v>2026/03</v>
      </c>
      <c r="B1745" s="127" t="str">
        <f t="shared" si="82"/>
        <v>2026/03忠孝健康7樓</v>
      </c>
      <c r="C1745" s="138">
        <v>209</v>
      </c>
      <c r="D1745" s="139" t="s">
        <v>861</v>
      </c>
      <c r="E1745" s="484" t="s">
        <v>282</v>
      </c>
      <c r="F1745" s="484"/>
      <c r="G1745" s="484" t="s">
        <v>283</v>
      </c>
      <c r="H1745" s="484"/>
      <c r="I1745" s="484"/>
      <c r="J1745" s="484"/>
      <c r="K1745" s="140" t="s">
        <v>284</v>
      </c>
      <c r="L1745" s="141">
        <v>23</v>
      </c>
    </row>
    <row r="1746" spans="1:12" ht="17.25" customHeight="1" thickBot="1">
      <c r="A1746" s="126" t="str">
        <f t="shared" si="81"/>
        <v>2026/03</v>
      </c>
      <c r="B1746" s="127" t="str">
        <f t="shared" si="82"/>
        <v>2026/03忠孝健康7樓</v>
      </c>
      <c r="C1746" s="138">
        <v>210</v>
      </c>
      <c r="D1746" s="139" t="s">
        <v>861</v>
      </c>
      <c r="E1746" s="484" t="s">
        <v>345</v>
      </c>
      <c r="F1746" s="484"/>
      <c r="G1746" s="484" t="s">
        <v>346</v>
      </c>
      <c r="H1746" s="484"/>
      <c r="I1746" s="484"/>
      <c r="J1746" s="484"/>
      <c r="K1746" s="140" t="s">
        <v>284</v>
      </c>
      <c r="L1746" s="141">
        <v>1</v>
      </c>
    </row>
    <row r="1747" spans="1:12" ht="17.25" customHeight="1" thickBot="1">
      <c r="A1747" s="126" t="str">
        <f t="shared" si="81"/>
        <v>2026/03</v>
      </c>
      <c r="B1747" s="127" t="str">
        <f t="shared" si="82"/>
        <v>2026/03忠孝健康7樓</v>
      </c>
      <c r="C1747" s="138">
        <v>211</v>
      </c>
      <c r="D1747" s="139" t="s">
        <v>861</v>
      </c>
      <c r="E1747" s="484" t="s">
        <v>311</v>
      </c>
      <c r="F1747" s="484"/>
      <c r="G1747" s="484" t="s">
        <v>312</v>
      </c>
      <c r="H1747" s="484"/>
      <c r="I1747" s="484"/>
      <c r="J1747" s="484"/>
      <c r="K1747" s="140" t="s">
        <v>284</v>
      </c>
      <c r="L1747" s="141">
        <v>8</v>
      </c>
    </row>
    <row r="1748" spans="1:12" ht="17.25" customHeight="1" thickBot="1">
      <c r="A1748" s="126" t="str">
        <f t="shared" si="81"/>
        <v>2026/03</v>
      </c>
      <c r="B1748" s="127" t="str">
        <f t="shared" si="82"/>
        <v>2026/03忠孝健康7樓</v>
      </c>
      <c r="C1748" s="138">
        <v>212</v>
      </c>
      <c r="D1748" s="139" t="s">
        <v>861</v>
      </c>
      <c r="E1748" s="484" t="s">
        <v>299</v>
      </c>
      <c r="F1748" s="484"/>
      <c r="G1748" s="484" t="s">
        <v>300</v>
      </c>
      <c r="H1748" s="484"/>
      <c r="I1748" s="484"/>
      <c r="J1748" s="484"/>
      <c r="K1748" s="140" t="s">
        <v>301</v>
      </c>
      <c r="L1748" s="141">
        <v>21</v>
      </c>
    </row>
    <row r="1749" spans="1:12" ht="17.25" customHeight="1" thickBot="1">
      <c r="A1749" s="126" t="str">
        <f t="shared" si="81"/>
        <v>2026/03</v>
      </c>
      <c r="B1749" s="127" t="str">
        <f t="shared" si="82"/>
        <v>2026/03忠孝健康7樓</v>
      </c>
      <c r="C1749" s="138">
        <v>213</v>
      </c>
      <c r="D1749" s="139" t="s">
        <v>861</v>
      </c>
      <c r="E1749" s="484" t="s">
        <v>347</v>
      </c>
      <c r="F1749" s="484"/>
      <c r="G1749" s="484" t="s">
        <v>348</v>
      </c>
      <c r="H1749" s="484"/>
      <c r="I1749" s="484"/>
      <c r="J1749" s="484"/>
      <c r="K1749" s="140" t="s">
        <v>301</v>
      </c>
      <c r="L1749" s="141">
        <v>12</v>
      </c>
    </row>
    <row r="1750" spans="1:12" ht="17.25" customHeight="1" thickBot="1">
      <c r="A1750" s="126" t="str">
        <f t="shared" si="81"/>
        <v>2026/03</v>
      </c>
      <c r="B1750" s="127" t="str">
        <f t="shared" si="82"/>
        <v>2026/03忠孝健康7樓</v>
      </c>
      <c r="C1750" s="138">
        <v>214</v>
      </c>
      <c r="D1750" s="139" t="s">
        <v>861</v>
      </c>
      <c r="E1750" s="484" t="s">
        <v>317</v>
      </c>
      <c r="F1750" s="484"/>
      <c r="G1750" s="484" t="s">
        <v>318</v>
      </c>
      <c r="H1750" s="484"/>
      <c r="I1750" s="484"/>
      <c r="J1750" s="484"/>
      <c r="K1750" s="140" t="s">
        <v>319</v>
      </c>
      <c r="L1750" s="141">
        <v>17</v>
      </c>
    </row>
    <row r="1751" spans="1:12" ht="17.25" customHeight="1" thickBot="1">
      <c r="A1751" s="126" t="str">
        <f t="shared" si="81"/>
        <v>2026/03</v>
      </c>
      <c r="B1751" s="127" t="str">
        <f t="shared" si="82"/>
        <v>2026/03忠孝健康7樓</v>
      </c>
      <c r="C1751" s="138">
        <v>215</v>
      </c>
      <c r="D1751" s="139" t="s">
        <v>861</v>
      </c>
      <c r="E1751" s="484" t="s">
        <v>276</v>
      </c>
      <c r="F1751" s="484"/>
      <c r="G1751" s="484" t="s">
        <v>277</v>
      </c>
      <c r="H1751" s="484"/>
      <c r="I1751" s="484"/>
      <c r="J1751" s="484"/>
      <c r="K1751" s="140" t="s">
        <v>278</v>
      </c>
      <c r="L1751" s="141">
        <v>63</v>
      </c>
    </row>
    <row r="1752" spans="1:12" ht="17.25" customHeight="1" thickBot="1">
      <c r="A1752" s="126" t="str">
        <f t="shared" si="81"/>
        <v>2026/03</v>
      </c>
      <c r="B1752" s="127" t="str">
        <f t="shared" si="82"/>
        <v>2026/03忠孝健康7樓</v>
      </c>
      <c r="C1752" s="138">
        <v>216</v>
      </c>
      <c r="D1752" s="139" t="s">
        <v>861</v>
      </c>
      <c r="E1752" s="484" t="s">
        <v>273</v>
      </c>
      <c r="F1752" s="484"/>
      <c r="G1752" s="484" t="s">
        <v>274</v>
      </c>
      <c r="H1752" s="484"/>
      <c r="I1752" s="484"/>
      <c r="J1752" s="484"/>
      <c r="K1752" s="140" t="s">
        <v>275</v>
      </c>
      <c r="L1752" s="141">
        <v>158</v>
      </c>
    </row>
    <row r="1753" spans="1:12" ht="17.25" customHeight="1" thickBot="1">
      <c r="A1753" s="126" t="str">
        <f t="shared" si="81"/>
        <v>2026/03</v>
      </c>
      <c r="B1753" s="127" t="str">
        <f t="shared" si="82"/>
        <v>2026/03忠孝健康7樓</v>
      </c>
      <c r="C1753" s="138">
        <v>217</v>
      </c>
      <c r="D1753" s="139" t="s">
        <v>861</v>
      </c>
      <c r="E1753" s="484" t="s">
        <v>285</v>
      </c>
      <c r="F1753" s="484"/>
      <c r="G1753" s="484" t="s">
        <v>286</v>
      </c>
      <c r="H1753" s="484"/>
      <c r="I1753" s="484"/>
      <c r="J1753" s="484"/>
      <c r="K1753" s="140" t="s">
        <v>879</v>
      </c>
      <c r="L1753" s="141">
        <v>5079</v>
      </c>
    </row>
    <row r="1754" spans="1:12" ht="17.25" customHeight="1" thickBot="1">
      <c r="A1754" s="126" t="str">
        <f t="shared" si="81"/>
        <v>2026/03</v>
      </c>
      <c r="B1754" s="127" t="str">
        <f t="shared" si="82"/>
        <v>2026/03忠孝健康7樓</v>
      </c>
      <c r="C1754" s="138">
        <v>218</v>
      </c>
      <c r="D1754" s="139" t="s">
        <v>861</v>
      </c>
      <c r="E1754" s="484" t="s">
        <v>290</v>
      </c>
      <c r="F1754" s="484"/>
      <c r="G1754" s="484" t="s">
        <v>291</v>
      </c>
      <c r="H1754" s="484"/>
      <c r="I1754" s="484"/>
      <c r="J1754" s="484"/>
      <c r="K1754" s="140" t="s">
        <v>879</v>
      </c>
      <c r="L1754" s="141">
        <v>10352</v>
      </c>
    </row>
    <row r="1755" spans="1:12" ht="17.25" customHeight="1" thickBot="1">
      <c r="A1755" s="126" t="str">
        <f t="shared" si="81"/>
        <v>2026/03</v>
      </c>
      <c r="B1755" s="127" t="str">
        <f t="shared" si="82"/>
        <v>2026/03忠孝健康7樓</v>
      </c>
      <c r="C1755" s="138">
        <v>219</v>
      </c>
      <c r="D1755" s="139" t="s">
        <v>861</v>
      </c>
      <c r="E1755" s="484" t="s">
        <v>292</v>
      </c>
      <c r="F1755" s="484"/>
      <c r="G1755" s="484" t="s">
        <v>293</v>
      </c>
      <c r="H1755" s="484"/>
      <c r="I1755" s="484"/>
      <c r="J1755" s="484"/>
      <c r="K1755" s="140" t="s">
        <v>879</v>
      </c>
      <c r="L1755" s="141">
        <v>15998</v>
      </c>
    </row>
    <row r="1756" spans="1:12" ht="17.25" customHeight="1" thickBot="1">
      <c r="A1756" s="126" t="str">
        <f t="shared" si="81"/>
        <v>2026/03</v>
      </c>
      <c r="B1756" s="127" t="str">
        <f t="shared" si="82"/>
        <v>2026/03忠孝健康7樓</v>
      </c>
      <c r="C1756" s="138">
        <v>220</v>
      </c>
      <c r="D1756" s="139" t="s">
        <v>861</v>
      </c>
      <c r="E1756" s="484" t="s">
        <v>323</v>
      </c>
      <c r="F1756" s="484"/>
      <c r="G1756" s="484" t="s">
        <v>324</v>
      </c>
      <c r="H1756" s="484"/>
      <c r="I1756" s="484"/>
      <c r="J1756" s="484"/>
      <c r="K1756" s="140" t="s">
        <v>880</v>
      </c>
      <c r="L1756" s="141">
        <v>3701</v>
      </c>
    </row>
    <row r="1757" spans="1:12" ht="17.25" customHeight="1" thickBot="1">
      <c r="A1757" s="126" t="str">
        <f t="shared" si="81"/>
        <v>2026/03</v>
      </c>
      <c r="B1757" s="127" t="str">
        <f t="shared" si="82"/>
        <v>2026/03忠孝健康7樓</v>
      </c>
      <c r="C1757" s="138">
        <v>221</v>
      </c>
      <c r="D1757" s="139" t="s">
        <v>861</v>
      </c>
      <c r="E1757" s="484" t="s">
        <v>359</v>
      </c>
      <c r="F1757" s="484"/>
      <c r="G1757" s="484" t="s">
        <v>138</v>
      </c>
      <c r="H1757" s="484"/>
      <c r="I1757" s="484"/>
      <c r="J1757" s="484"/>
      <c r="K1757" s="140" t="s">
        <v>146</v>
      </c>
      <c r="L1757" s="141">
        <v>8</v>
      </c>
    </row>
    <row r="1758" spans="1:12" ht="17.25" customHeight="1" thickBot="1">
      <c r="A1758" s="126" t="str">
        <f t="shared" si="81"/>
        <v>2026/03</v>
      </c>
      <c r="B1758" s="127" t="str">
        <f t="shared" si="82"/>
        <v>2026/03忠孝健康7樓</v>
      </c>
      <c r="C1758" s="138">
        <v>222</v>
      </c>
      <c r="D1758" s="139" t="s">
        <v>861</v>
      </c>
      <c r="E1758" s="484" t="s">
        <v>320</v>
      </c>
      <c r="F1758" s="484"/>
      <c r="G1758" s="484" t="s">
        <v>135</v>
      </c>
      <c r="H1758" s="484"/>
      <c r="I1758" s="484"/>
      <c r="J1758" s="484"/>
      <c r="K1758" s="140" t="s">
        <v>146</v>
      </c>
      <c r="L1758" s="141">
        <v>1</v>
      </c>
    </row>
    <row r="1759" spans="1:12" ht="17.25" customHeight="1" thickBot="1">
      <c r="A1759" s="126" t="str">
        <f t="shared" si="81"/>
        <v>2026/03</v>
      </c>
      <c r="B1759" s="127" t="str">
        <f t="shared" si="82"/>
        <v>2026/03忠孝健康7樓</v>
      </c>
      <c r="C1759" s="138">
        <v>223</v>
      </c>
      <c r="D1759" s="139" t="s">
        <v>861</v>
      </c>
      <c r="E1759" s="484" t="s">
        <v>338</v>
      </c>
      <c r="F1759" s="484"/>
      <c r="G1759" s="484" t="s">
        <v>339</v>
      </c>
      <c r="H1759" s="484"/>
      <c r="I1759" s="484"/>
      <c r="J1759" s="484"/>
      <c r="K1759" s="140" t="s">
        <v>881</v>
      </c>
      <c r="L1759" s="141">
        <v>338</v>
      </c>
    </row>
    <row r="1760" spans="1:12" ht="17.25" customHeight="1" thickBot="1">
      <c r="A1760" s="126" t="str">
        <f t="shared" si="81"/>
        <v>2026/03</v>
      </c>
      <c r="B1760" s="127" t="str">
        <f t="shared" si="82"/>
        <v>2026/03忠孝健康7樓</v>
      </c>
      <c r="C1760" s="138">
        <v>224</v>
      </c>
      <c r="D1760" s="139" t="s">
        <v>861</v>
      </c>
      <c r="E1760" s="484" t="s">
        <v>326</v>
      </c>
      <c r="F1760" s="484"/>
      <c r="G1760" s="484" t="s">
        <v>327</v>
      </c>
      <c r="H1760" s="484"/>
      <c r="I1760" s="484"/>
      <c r="J1760" s="484"/>
      <c r="K1760" s="140" t="s">
        <v>881</v>
      </c>
      <c r="L1760" s="141">
        <v>3073</v>
      </c>
    </row>
    <row r="1761" spans="1:12" ht="17.25" customHeight="1" thickBot="1">
      <c r="A1761" s="126" t="str">
        <f t="shared" si="81"/>
        <v>2026/03</v>
      </c>
      <c r="B1761" s="127" t="str">
        <f t="shared" si="82"/>
        <v>2026/03忠孝健康7樓</v>
      </c>
      <c r="C1761" s="138">
        <v>225</v>
      </c>
      <c r="D1761" s="139" t="s">
        <v>861</v>
      </c>
      <c r="E1761" s="484" t="s">
        <v>328</v>
      </c>
      <c r="F1761" s="484"/>
      <c r="G1761" s="484" t="s">
        <v>329</v>
      </c>
      <c r="H1761" s="484"/>
      <c r="I1761" s="484"/>
      <c r="J1761" s="484"/>
      <c r="K1761" s="140" t="s">
        <v>881</v>
      </c>
      <c r="L1761" s="141">
        <v>4900</v>
      </c>
    </row>
    <row r="1762" spans="1:12" ht="17.25" customHeight="1" thickBot="1">
      <c r="A1762" s="126" t="str">
        <f t="shared" si="81"/>
        <v>2026/03</v>
      </c>
      <c r="B1762" s="127" t="str">
        <f t="shared" si="82"/>
        <v>2026/03忠孝健康7樓</v>
      </c>
      <c r="C1762" s="138">
        <v>226</v>
      </c>
      <c r="D1762" s="139" t="s">
        <v>861</v>
      </c>
      <c r="E1762" s="484" t="s">
        <v>330</v>
      </c>
      <c r="F1762" s="484"/>
      <c r="G1762" s="484" t="s">
        <v>331</v>
      </c>
      <c r="H1762" s="484"/>
      <c r="I1762" s="484"/>
      <c r="J1762" s="484"/>
      <c r="K1762" s="140" t="s">
        <v>881</v>
      </c>
      <c r="L1762" s="141">
        <v>1581</v>
      </c>
    </row>
    <row r="1763" spans="1:12" ht="17.25" customHeight="1" thickBot="1">
      <c r="A1763" s="126" t="str">
        <f t="shared" si="81"/>
        <v>2026/03</v>
      </c>
      <c r="B1763" s="127" t="str">
        <f t="shared" si="82"/>
        <v>2026/03忠孝健康7樓</v>
      </c>
      <c r="C1763" s="138">
        <v>227</v>
      </c>
      <c r="D1763" s="139" t="s">
        <v>861</v>
      </c>
      <c r="E1763" s="484" t="s">
        <v>302</v>
      </c>
      <c r="F1763" s="484"/>
      <c r="G1763" s="484" t="s">
        <v>303</v>
      </c>
      <c r="H1763" s="484"/>
      <c r="I1763" s="484"/>
      <c r="J1763" s="484"/>
      <c r="K1763" s="140" t="s">
        <v>882</v>
      </c>
      <c r="L1763" s="141">
        <v>500</v>
      </c>
    </row>
    <row r="1764" spans="1:12" ht="17.25" customHeight="1" thickBot="1">
      <c r="A1764" s="126" t="str">
        <f t="shared" si="81"/>
        <v>2026/03</v>
      </c>
      <c r="B1764" s="127" t="str">
        <f t="shared" si="82"/>
        <v>2026/03忠孝健康7樓</v>
      </c>
      <c r="C1764" s="138">
        <v>228</v>
      </c>
      <c r="D1764" s="139" t="s">
        <v>861</v>
      </c>
      <c r="E1764" s="484" t="s">
        <v>705</v>
      </c>
      <c r="F1764" s="484"/>
      <c r="G1764" s="484" t="s">
        <v>706</v>
      </c>
      <c r="H1764" s="484"/>
      <c r="I1764" s="484"/>
      <c r="J1764" s="484"/>
      <c r="K1764" s="140" t="s">
        <v>883</v>
      </c>
      <c r="L1764" s="141">
        <v>7201</v>
      </c>
    </row>
    <row r="1765" spans="1:12" ht="17.25" customHeight="1" thickBot="1">
      <c r="A1765" s="126" t="str">
        <f t="shared" si="81"/>
        <v>2026/03</v>
      </c>
      <c r="B1765" s="127" t="str">
        <f t="shared" si="82"/>
        <v>2026/03忠孝健康7樓</v>
      </c>
      <c r="C1765" s="138">
        <v>229</v>
      </c>
      <c r="D1765" s="139" t="s">
        <v>861</v>
      </c>
      <c r="E1765" s="484" t="s">
        <v>279</v>
      </c>
      <c r="F1765" s="484"/>
      <c r="G1765" s="484" t="s">
        <v>280</v>
      </c>
      <c r="H1765" s="484"/>
      <c r="I1765" s="484"/>
      <c r="J1765" s="484"/>
      <c r="K1765" s="140" t="s">
        <v>884</v>
      </c>
      <c r="L1765" s="141">
        <v>61000</v>
      </c>
    </row>
    <row r="1766" spans="1:12" ht="17.25" customHeight="1" thickBot="1">
      <c r="A1766" s="126" t="str">
        <f t="shared" si="81"/>
        <v>2026/03</v>
      </c>
      <c r="B1766" s="127" t="str">
        <f t="shared" si="82"/>
        <v>2026/03忠孝健康7樓</v>
      </c>
      <c r="C1766" s="138">
        <v>230</v>
      </c>
      <c r="D1766" s="139" t="s">
        <v>861</v>
      </c>
      <c r="E1766" s="484" t="s">
        <v>288</v>
      </c>
      <c r="F1766" s="484"/>
      <c r="G1766" s="484" t="s">
        <v>289</v>
      </c>
      <c r="H1766" s="484"/>
      <c r="I1766" s="484"/>
      <c r="J1766" s="484"/>
      <c r="K1766" s="140" t="s">
        <v>884</v>
      </c>
      <c r="L1766" s="141">
        <v>6500</v>
      </c>
    </row>
    <row r="1767" spans="1:12" ht="17.25" customHeight="1" thickBot="1">
      <c r="A1767" s="126" t="str">
        <f t="shared" si="81"/>
        <v>2026/03</v>
      </c>
      <c r="B1767" s="127" t="str">
        <f t="shared" si="82"/>
        <v>2026/03忠孝健康7樓</v>
      </c>
      <c r="C1767" s="138">
        <v>231</v>
      </c>
      <c r="D1767" s="139" t="s">
        <v>861</v>
      </c>
      <c r="E1767" s="484" t="s">
        <v>332</v>
      </c>
      <c r="F1767" s="484"/>
      <c r="G1767" s="484" t="s">
        <v>333</v>
      </c>
      <c r="H1767" s="484"/>
      <c r="I1767" s="484"/>
      <c r="J1767" s="484"/>
      <c r="K1767" s="140" t="s">
        <v>334</v>
      </c>
      <c r="L1767" s="141">
        <v>51300</v>
      </c>
    </row>
    <row r="1768" spans="1:12" ht="17.25" customHeight="1" thickBot="1">
      <c r="A1768" s="126" t="str">
        <f t="shared" si="81"/>
        <v>2026/03</v>
      </c>
      <c r="B1768" s="127" t="str">
        <f t="shared" si="82"/>
        <v>2026/03忠孝健康7樓</v>
      </c>
      <c r="C1768" s="138">
        <v>232</v>
      </c>
      <c r="D1768" s="139" t="s">
        <v>861</v>
      </c>
      <c r="E1768" s="484" t="s">
        <v>335</v>
      </c>
      <c r="F1768" s="484"/>
      <c r="G1768" s="484" t="s">
        <v>336</v>
      </c>
      <c r="H1768" s="484"/>
      <c r="I1768" s="484"/>
      <c r="J1768" s="484"/>
      <c r="K1768" s="140" t="s">
        <v>337</v>
      </c>
      <c r="L1768" s="141">
        <v>19500</v>
      </c>
    </row>
    <row r="1769" spans="1:12" ht="17.25" customHeight="1" thickBot="1">
      <c r="A1769" s="126" t="str">
        <f t="shared" si="81"/>
        <v>2026/03</v>
      </c>
      <c r="B1769" s="127" t="str">
        <f t="shared" si="82"/>
        <v>2026/03忠孝健康7樓</v>
      </c>
      <c r="C1769" s="138">
        <v>233</v>
      </c>
      <c r="D1769" s="139" t="s">
        <v>861</v>
      </c>
      <c r="E1769" s="484" t="s">
        <v>443</v>
      </c>
      <c r="F1769" s="484"/>
      <c r="G1769" s="484" t="s">
        <v>444</v>
      </c>
      <c r="H1769" s="484"/>
      <c r="I1769" s="484"/>
      <c r="J1769" s="484"/>
      <c r="K1769" s="140" t="s">
        <v>445</v>
      </c>
      <c r="L1769" s="141">
        <v>8</v>
      </c>
    </row>
    <row r="1770" spans="1:12" ht="17.25" customHeight="1" thickBot="1">
      <c r="A1770" s="126" t="str">
        <f t="shared" si="81"/>
        <v>2026/03</v>
      </c>
      <c r="B1770" s="127" t="str">
        <f t="shared" si="82"/>
        <v>2026/03忠孝健康7樓</v>
      </c>
      <c r="C1770" s="138">
        <v>234</v>
      </c>
      <c r="D1770" s="139" t="s">
        <v>861</v>
      </c>
      <c r="E1770" s="484" t="s">
        <v>449</v>
      </c>
      <c r="F1770" s="484"/>
      <c r="G1770" s="484" t="s">
        <v>450</v>
      </c>
      <c r="H1770" s="484"/>
      <c r="I1770" s="484"/>
      <c r="J1770" s="484"/>
      <c r="K1770" s="140" t="s">
        <v>445</v>
      </c>
      <c r="L1770" s="141">
        <v>12</v>
      </c>
    </row>
    <row r="1771" spans="1:12" ht="17.25" customHeight="1" thickBot="1">
      <c r="A1771" s="126" t="str">
        <f t="shared" si="81"/>
        <v>2026/03</v>
      </c>
      <c r="B1771" s="127" t="str">
        <f t="shared" si="82"/>
        <v>2026/03忠孝健康7樓</v>
      </c>
      <c r="C1771" s="138">
        <v>235</v>
      </c>
      <c r="D1771" s="139" t="s">
        <v>861</v>
      </c>
      <c r="E1771" s="484" t="s">
        <v>686</v>
      </c>
      <c r="F1771" s="484"/>
      <c r="G1771" s="484" t="s">
        <v>687</v>
      </c>
      <c r="H1771" s="484"/>
      <c r="I1771" s="484"/>
      <c r="J1771" s="484"/>
      <c r="K1771" s="140" t="s">
        <v>688</v>
      </c>
      <c r="L1771" s="141">
        <v>4</v>
      </c>
    </row>
    <row r="1772" spans="1:12" ht="17.25" thickBot="1">
      <c r="A1772" s="126" t="str">
        <f t="shared" ref="A1772:A1784" si="83">IFERROR(LEFT(B1772,7),"")</f>
        <v>2026/03</v>
      </c>
      <c r="B1772" s="127" t="str">
        <f t="shared" ref="B1772:B1784" si="84">"2026/03"&amp;D1772</f>
        <v>2026/03忠孝健康7樓</v>
      </c>
      <c r="C1772" s="138">
        <v>236</v>
      </c>
      <c r="D1772" s="139" t="s">
        <v>861</v>
      </c>
      <c r="E1772" s="484" t="s">
        <v>354</v>
      </c>
      <c r="F1772" s="484"/>
      <c r="G1772" s="484" t="s">
        <v>741</v>
      </c>
      <c r="H1772" s="484"/>
      <c r="I1772" s="484"/>
      <c r="J1772" s="484"/>
      <c r="K1772" s="140" t="s">
        <v>885</v>
      </c>
      <c r="L1772" s="141">
        <v>1</v>
      </c>
    </row>
    <row r="1773" spans="1:12" ht="17.25" thickBot="1">
      <c r="A1773" s="126" t="str">
        <f t="shared" si="83"/>
        <v>2026/03</v>
      </c>
      <c r="B1773" s="127" t="str">
        <f t="shared" si="84"/>
        <v>2026/03忠孝健康7樓</v>
      </c>
      <c r="C1773" s="138">
        <v>237</v>
      </c>
      <c r="D1773" s="139" t="s">
        <v>861</v>
      </c>
      <c r="E1773" s="484" t="s">
        <v>425</v>
      </c>
      <c r="F1773" s="484"/>
      <c r="G1773" s="484" t="s">
        <v>426</v>
      </c>
      <c r="H1773" s="484"/>
      <c r="I1773" s="484"/>
      <c r="J1773" s="484"/>
      <c r="K1773" s="140" t="s">
        <v>269</v>
      </c>
      <c r="L1773" s="141">
        <v>1</v>
      </c>
    </row>
    <row r="1774" spans="1:12" ht="17.25" thickBot="1">
      <c r="A1774" s="126" t="str">
        <f t="shared" si="83"/>
        <v>2026/03</v>
      </c>
      <c r="B1774" s="127" t="str">
        <f t="shared" si="84"/>
        <v>2026/03忠孝健康7樓</v>
      </c>
      <c r="C1774" s="138">
        <v>238</v>
      </c>
      <c r="D1774" s="139" t="s">
        <v>861</v>
      </c>
      <c r="E1774" s="484" t="s">
        <v>309</v>
      </c>
      <c r="F1774" s="484"/>
      <c r="G1774" s="484" t="s">
        <v>310</v>
      </c>
      <c r="H1774" s="484"/>
      <c r="I1774" s="484"/>
      <c r="J1774" s="484"/>
      <c r="K1774" s="140" t="s">
        <v>269</v>
      </c>
      <c r="L1774" s="141">
        <v>51</v>
      </c>
    </row>
    <row r="1775" spans="1:12" ht="17.25" thickBot="1">
      <c r="A1775" s="126" t="str">
        <f t="shared" si="83"/>
        <v>2026/03</v>
      </c>
      <c r="B1775" s="127" t="str">
        <f t="shared" si="84"/>
        <v>2026/03忠孝健康7樓</v>
      </c>
      <c r="C1775" s="138">
        <v>239</v>
      </c>
      <c r="D1775" s="139" t="s">
        <v>861</v>
      </c>
      <c r="E1775" s="484" t="s">
        <v>267</v>
      </c>
      <c r="F1775" s="484"/>
      <c r="G1775" s="484" t="s">
        <v>268</v>
      </c>
      <c r="H1775" s="484"/>
      <c r="I1775" s="484"/>
      <c r="J1775" s="484"/>
      <c r="K1775" s="140" t="s">
        <v>269</v>
      </c>
      <c r="L1775" s="141">
        <v>6</v>
      </c>
    </row>
    <row r="1776" spans="1:12" ht="17.25" thickBot="1">
      <c r="A1776" s="126" t="str">
        <f t="shared" si="83"/>
        <v>2026/03</v>
      </c>
      <c r="B1776" s="127" t="str">
        <f t="shared" si="84"/>
        <v>2026/03忠孝健康7樓</v>
      </c>
      <c r="C1776" s="138">
        <v>240</v>
      </c>
      <c r="D1776" s="139" t="s">
        <v>861</v>
      </c>
      <c r="E1776" s="484" t="s">
        <v>315</v>
      </c>
      <c r="F1776" s="484"/>
      <c r="G1776" s="484" t="s">
        <v>316</v>
      </c>
      <c r="H1776" s="484"/>
      <c r="I1776" s="484"/>
      <c r="J1776" s="484"/>
      <c r="K1776" s="140" t="s">
        <v>296</v>
      </c>
      <c r="L1776" s="141">
        <v>1</v>
      </c>
    </row>
    <row r="1777" spans="1:12" ht="17.25" thickBot="1">
      <c r="A1777" s="126" t="str">
        <f t="shared" si="83"/>
        <v>2026/03</v>
      </c>
      <c r="B1777" s="127" t="str">
        <f t="shared" si="84"/>
        <v>2026/03忠孝健康7樓</v>
      </c>
      <c r="C1777" s="138">
        <v>241</v>
      </c>
      <c r="D1777" s="139" t="s">
        <v>861</v>
      </c>
      <c r="E1777" s="484" t="s">
        <v>294</v>
      </c>
      <c r="F1777" s="484"/>
      <c r="G1777" s="484" t="s">
        <v>295</v>
      </c>
      <c r="H1777" s="484"/>
      <c r="I1777" s="484"/>
      <c r="J1777" s="484"/>
      <c r="K1777" s="140" t="s">
        <v>296</v>
      </c>
      <c r="L1777" s="141">
        <v>2</v>
      </c>
    </row>
    <row r="1778" spans="1:12" ht="17.25" thickBot="1">
      <c r="A1778" s="126" t="str">
        <f t="shared" si="83"/>
        <v>2026/03</v>
      </c>
      <c r="B1778" s="127" t="str">
        <f t="shared" si="84"/>
        <v>2026/03忠孝健康7樓</v>
      </c>
      <c r="C1778" s="138">
        <v>242</v>
      </c>
      <c r="D1778" s="139" t="s">
        <v>861</v>
      </c>
      <c r="E1778" s="484" t="s">
        <v>237</v>
      </c>
      <c r="F1778" s="484"/>
      <c r="G1778" s="484" t="s">
        <v>238</v>
      </c>
      <c r="H1778" s="484"/>
      <c r="I1778" s="484"/>
      <c r="J1778" s="484"/>
      <c r="K1778" s="140" t="s">
        <v>239</v>
      </c>
      <c r="L1778" s="141">
        <v>208</v>
      </c>
    </row>
    <row r="1779" spans="1:12" ht="17.25" thickBot="1">
      <c r="A1779" s="126" t="str">
        <f t="shared" si="83"/>
        <v>2026/03</v>
      </c>
      <c r="B1779" s="127" t="str">
        <f t="shared" si="84"/>
        <v>2026/03忠孝健康7樓</v>
      </c>
      <c r="C1779" s="138">
        <v>243</v>
      </c>
      <c r="D1779" s="139" t="s">
        <v>861</v>
      </c>
      <c r="E1779" s="484" t="s">
        <v>240</v>
      </c>
      <c r="F1779" s="484"/>
      <c r="G1779" s="484" t="s">
        <v>241</v>
      </c>
      <c r="H1779" s="484"/>
      <c r="I1779" s="484"/>
      <c r="J1779" s="484"/>
      <c r="K1779" s="140" t="s">
        <v>239</v>
      </c>
      <c r="L1779" s="141">
        <v>208</v>
      </c>
    </row>
    <row r="1780" spans="1:12" ht="17.25" thickBot="1">
      <c r="A1780" s="126" t="str">
        <f t="shared" si="83"/>
        <v>2026/03</v>
      </c>
      <c r="B1780" s="127" t="str">
        <f t="shared" si="84"/>
        <v>2026/03忠孝健康7樓</v>
      </c>
      <c r="C1780" s="138">
        <v>244</v>
      </c>
      <c r="D1780" s="139" t="s">
        <v>861</v>
      </c>
      <c r="E1780" s="484" t="s">
        <v>242</v>
      </c>
      <c r="F1780" s="484"/>
      <c r="G1780" s="484" t="s">
        <v>243</v>
      </c>
      <c r="H1780" s="484"/>
      <c r="I1780" s="484"/>
      <c r="J1780" s="484"/>
      <c r="K1780" s="140" t="s">
        <v>239</v>
      </c>
      <c r="L1780" s="141">
        <v>208</v>
      </c>
    </row>
    <row r="1781" spans="1:12" ht="17.25" thickBot="1">
      <c r="A1781" s="126" t="str">
        <f t="shared" si="83"/>
        <v>2026/03</v>
      </c>
      <c r="B1781" s="127" t="str">
        <f t="shared" si="84"/>
        <v>2026/03忠孝健康7樓</v>
      </c>
      <c r="C1781" s="138">
        <v>245</v>
      </c>
      <c r="D1781" s="139" t="s">
        <v>861</v>
      </c>
      <c r="E1781" s="484" t="s">
        <v>244</v>
      </c>
      <c r="F1781" s="484"/>
      <c r="G1781" s="484" t="s">
        <v>245</v>
      </c>
      <c r="H1781" s="484"/>
      <c r="I1781" s="484"/>
      <c r="J1781" s="484"/>
      <c r="K1781" s="140" t="s">
        <v>725</v>
      </c>
      <c r="L1781" s="141">
        <v>3120</v>
      </c>
    </row>
    <row r="1782" spans="1:12" ht="17.25" thickBot="1">
      <c r="A1782" s="126" t="str">
        <f t="shared" si="83"/>
        <v>2026/03</v>
      </c>
      <c r="B1782" s="127" t="str">
        <f t="shared" si="84"/>
        <v>2026/03忠孝健康7樓</v>
      </c>
      <c r="C1782" s="138">
        <v>246</v>
      </c>
      <c r="D1782" s="139" t="s">
        <v>861</v>
      </c>
      <c r="E1782" s="484" t="s">
        <v>246</v>
      </c>
      <c r="F1782" s="484"/>
      <c r="G1782" s="484" t="s">
        <v>247</v>
      </c>
      <c r="H1782" s="484"/>
      <c r="I1782" s="484"/>
      <c r="J1782" s="484"/>
      <c r="K1782" s="140" t="s">
        <v>725</v>
      </c>
      <c r="L1782" s="141">
        <v>3120</v>
      </c>
    </row>
    <row r="1783" spans="1:12" ht="17.25" thickBot="1">
      <c r="A1783" s="126" t="str">
        <f t="shared" si="83"/>
        <v>2026/03</v>
      </c>
      <c r="B1783" s="127" t="str">
        <f t="shared" si="84"/>
        <v>2026/03忠孝健康7樓</v>
      </c>
      <c r="C1783" s="138">
        <v>247</v>
      </c>
      <c r="D1783" s="139" t="s">
        <v>861</v>
      </c>
      <c r="E1783" s="484" t="s">
        <v>248</v>
      </c>
      <c r="F1783" s="484"/>
      <c r="G1783" s="484" t="s">
        <v>249</v>
      </c>
      <c r="H1783" s="484"/>
      <c r="I1783" s="484"/>
      <c r="J1783" s="484"/>
      <c r="K1783" s="140" t="s">
        <v>725</v>
      </c>
      <c r="L1783" s="141">
        <v>3120</v>
      </c>
    </row>
    <row r="1784" spans="1:12" ht="17.25" thickBot="1">
      <c r="A1784" s="126" t="str">
        <f t="shared" si="83"/>
        <v>2026/03</v>
      </c>
      <c r="B1784" s="127" t="str">
        <f t="shared" si="84"/>
        <v>2026/03忠孝健康7樓</v>
      </c>
      <c r="C1784" s="138">
        <v>248</v>
      </c>
      <c r="D1784" s="139" t="s">
        <v>861</v>
      </c>
      <c r="E1784" s="484" t="s">
        <v>250</v>
      </c>
      <c r="F1784" s="484"/>
      <c r="G1784" s="484" t="s">
        <v>251</v>
      </c>
      <c r="H1784" s="484"/>
      <c r="I1784" s="484"/>
      <c r="J1784" s="484"/>
      <c r="K1784" s="140" t="s">
        <v>725</v>
      </c>
      <c r="L1784" s="141">
        <v>3120</v>
      </c>
    </row>
    <row r="1785" spans="1:12" ht="17.25" customHeight="1" thickBot="1">
      <c r="A1785" s="126" t="str">
        <f t="shared" ref="A1785:A1844" si="85">IFERROR(LEFT(B1785,7),"")</f>
        <v>2026/04</v>
      </c>
      <c r="B1785" s="127" t="str">
        <f t="shared" ref="B1785:B1844" si="86">"2026/04"&amp;D1785</f>
        <v>2026/04站前4樓</v>
      </c>
      <c r="C1785" s="138">
        <v>1</v>
      </c>
      <c r="D1785" s="139" t="s">
        <v>236</v>
      </c>
      <c r="E1785" s="484" t="s">
        <v>360</v>
      </c>
      <c r="F1785" s="484"/>
      <c r="G1785" s="484" t="s">
        <v>361</v>
      </c>
      <c r="H1785" s="484"/>
      <c r="I1785" s="484"/>
      <c r="J1785" s="484"/>
      <c r="K1785" s="140" t="s">
        <v>362</v>
      </c>
      <c r="L1785" s="141">
        <v>20</v>
      </c>
    </row>
    <row r="1786" spans="1:12" ht="17.25" customHeight="1" thickBot="1">
      <c r="A1786" s="126" t="str">
        <f t="shared" si="85"/>
        <v>2026/04</v>
      </c>
      <c r="B1786" s="127" t="str">
        <f t="shared" si="86"/>
        <v>2026/04站前4樓</v>
      </c>
      <c r="C1786" s="138">
        <v>2</v>
      </c>
      <c r="D1786" s="139" t="s">
        <v>236</v>
      </c>
      <c r="E1786" s="484" t="s">
        <v>383</v>
      </c>
      <c r="F1786" s="484"/>
      <c r="G1786" s="484" t="s">
        <v>384</v>
      </c>
      <c r="H1786" s="484"/>
      <c r="I1786" s="484"/>
      <c r="J1786" s="484"/>
      <c r="K1786" s="140" t="s">
        <v>385</v>
      </c>
      <c r="L1786" s="141">
        <v>21</v>
      </c>
    </row>
    <row r="1787" spans="1:12" ht="17.25" customHeight="1" thickBot="1">
      <c r="A1787" s="126" t="str">
        <f t="shared" si="85"/>
        <v>2026/04</v>
      </c>
      <c r="B1787" s="127" t="str">
        <f t="shared" si="86"/>
        <v>2026/04站前4樓</v>
      </c>
      <c r="C1787" s="138">
        <v>3</v>
      </c>
      <c r="D1787" s="139" t="s">
        <v>236</v>
      </c>
      <c r="E1787" s="484" t="s">
        <v>255</v>
      </c>
      <c r="F1787" s="484"/>
      <c r="G1787" s="484" t="s">
        <v>256</v>
      </c>
      <c r="H1787" s="484"/>
      <c r="I1787" s="484"/>
      <c r="J1787" s="484"/>
      <c r="K1787" s="140" t="s">
        <v>720</v>
      </c>
      <c r="L1787" s="141">
        <v>132</v>
      </c>
    </row>
    <row r="1788" spans="1:12" ht="17.25" customHeight="1" thickBot="1">
      <c r="A1788" s="126" t="str">
        <f t="shared" si="85"/>
        <v>2026/04</v>
      </c>
      <c r="B1788" s="127" t="str">
        <f t="shared" si="86"/>
        <v>2026/04站前4樓</v>
      </c>
      <c r="C1788" s="138">
        <v>4</v>
      </c>
      <c r="D1788" s="139" t="s">
        <v>236</v>
      </c>
      <c r="E1788" s="484" t="s">
        <v>258</v>
      </c>
      <c r="F1788" s="484"/>
      <c r="G1788" s="484" t="s">
        <v>259</v>
      </c>
      <c r="H1788" s="484"/>
      <c r="I1788" s="484"/>
      <c r="J1788" s="484"/>
      <c r="K1788" s="140"/>
      <c r="L1788" s="141">
        <v>151</v>
      </c>
    </row>
    <row r="1789" spans="1:12" ht="17.25" customHeight="1" thickBot="1">
      <c r="A1789" s="126" t="str">
        <f t="shared" si="85"/>
        <v>2026/04</v>
      </c>
      <c r="B1789" s="127" t="str">
        <f t="shared" si="86"/>
        <v>2026/04站前4樓</v>
      </c>
      <c r="C1789" s="138">
        <v>5</v>
      </c>
      <c r="D1789" s="139" t="s">
        <v>236</v>
      </c>
      <c r="E1789" s="484" t="s">
        <v>260</v>
      </c>
      <c r="F1789" s="484"/>
      <c r="G1789" s="484" t="s">
        <v>261</v>
      </c>
      <c r="H1789" s="484"/>
      <c r="I1789" s="484"/>
      <c r="J1789" s="484"/>
      <c r="K1789" s="140" t="s">
        <v>254</v>
      </c>
      <c r="L1789" s="141">
        <v>151</v>
      </c>
    </row>
    <row r="1790" spans="1:12" ht="17.25" customHeight="1" thickBot="1">
      <c r="A1790" s="126" t="str">
        <f t="shared" si="85"/>
        <v>2026/04</v>
      </c>
      <c r="B1790" s="127" t="str">
        <f t="shared" si="86"/>
        <v>2026/04站前4樓</v>
      </c>
      <c r="C1790" s="138">
        <v>6</v>
      </c>
      <c r="D1790" s="139" t="s">
        <v>236</v>
      </c>
      <c r="E1790" s="484" t="s">
        <v>262</v>
      </c>
      <c r="F1790" s="484"/>
      <c r="G1790" s="484" t="s">
        <v>263</v>
      </c>
      <c r="H1790" s="484"/>
      <c r="I1790" s="484"/>
      <c r="J1790" s="484"/>
      <c r="K1790" s="140" t="s">
        <v>254</v>
      </c>
      <c r="L1790" s="141">
        <v>87</v>
      </c>
    </row>
    <row r="1791" spans="1:12" ht="17.25" customHeight="1" thickBot="1">
      <c r="A1791" s="126" t="str">
        <f t="shared" si="85"/>
        <v>2026/04</v>
      </c>
      <c r="B1791" s="127" t="str">
        <f t="shared" si="86"/>
        <v>2026/04站前4樓</v>
      </c>
      <c r="C1791" s="138">
        <v>7</v>
      </c>
      <c r="D1791" s="139" t="s">
        <v>236</v>
      </c>
      <c r="E1791" s="484" t="s">
        <v>270</v>
      </c>
      <c r="F1791" s="484"/>
      <c r="G1791" s="484" t="s">
        <v>271</v>
      </c>
      <c r="H1791" s="484"/>
      <c r="I1791" s="484"/>
      <c r="J1791" s="484"/>
      <c r="K1791" s="140" t="s">
        <v>272</v>
      </c>
      <c r="L1791" s="141">
        <v>78</v>
      </c>
    </row>
    <row r="1792" spans="1:12" ht="17.25" customHeight="1" thickBot="1">
      <c r="A1792" s="126" t="str">
        <f t="shared" si="85"/>
        <v>2026/04</v>
      </c>
      <c r="B1792" s="127" t="str">
        <f t="shared" si="86"/>
        <v>2026/04站前4樓</v>
      </c>
      <c r="C1792" s="138">
        <v>8</v>
      </c>
      <c r="D1792" s="139" t="s">
        <v>236</v>
      </c>
      <c r="E1792" s="484" t="s">
        <v>252</v>
      </c>
      <c r="F1792" s="484"/>
      <c r="G1792" s="484" t="s">
        <v>253</v>
      </c>
      <c r="H1792" s="484"/>
      <c r="I1792" s="484"/>
      <c r="J1792" s="484"/>
      <c r="K1792" s="140" t="s">
        <v>254</v>
      </c>
      <c r="L1792" s="141">
        <v>168</v>
      </c>
    </row>
    <row r="1793" spans="1:12" ht="17.25" customHeight="1" thickBot="1">
      <c r="A1793" s="126" t="str">
        <f t="shared" si="85"/>
        <v>2026/04</v>
      </c>
      <c r="B1793" s="127" t="str">
        <f t="shared" si="86"/>
        <v>2026/04站前4樓</v>
      </c>
      <c r="C1793" s="138">
        <v>9</v>
      </c>
      <c r="D1793" s="139" t="s">
        <v>236</v>
      </c>
      <c r="E1793" s="484" t="s">
        <v>690</v>
      </c>
      <c r="F1793" s="484"/>
      <c r="G1793" s="484" t="s">
        <v>911</v>
      </c>
      <c r="H1793" s="484"/>
      <c r="I1793" s="484"/>
      <c r="J1793" s="484"/>
      <c r="K1793" s="140" t="s">
        <v>692</v>
      </c>
      <c r="L1793" s="141">
        <v>20</v>
      </c>
    </row>
    <row r="1794" spans="1:12" ht="17.25" customHeight="1" thickBot="1">
      <c r="A1794" s="126" t="str">
        <f t="shared" si="85"/>
        <v>2026/04</v>
      </c>
      <c r="B1794" s="127" t="str">
        <f t="shared" si="86"/>
        <v>2026/04站前4樓</v>
      </c>
      <c r="C1794" s="138">
        <v>10</v>
      </c>
      <c r="D1794" s="139" t="s">
        <v>236</v>
      </c>
      <c r="E1794" s="484" t="s">
        <v>305</v>
      </c>
      <c r="F1794" s="484"/>
      <c r="G1794" s="484" t="s">
        <v>877</v>
      </c>
      <c r="H1794" s="484"/>
      <c r="I1794" s="484"/>
      <c r="J1794" s="484"/>
      <c r="K1794" s="140" t="s">
        <v>676</v>
      </c>
      <c r="L1794" s="141">
        <v>4062</v>
      </c>
    </row>
    <row r="1795" spans="1:12" ht="17.25" customHeight="1" thickBot="1">
      <c r="A1795" s="126" t="str">
        <f t="shared" si="85"/>
        <v>2026/04</v>
      </c>
      <c r="B1795" s="127" t="str">
        <f t="shared" si="86"/>
        <v>2026/04站前4樓</v>
      </c>
      <c r="C1795" s="138">
        <v>11</v>
      </c>
      <c r="D1795" s="139" t="s">
        <v>236</v>
      </c>
      <c r="E1795" s="484" t="s">
        <v>264</v>
      </c>
      <c r="F1795" s="484"/>
      <c r="G1795" s="484" t="s">
        <v>677</v>
      </c>
      <c r="H1795" s="484"/>
      <c r="I1795" s="484"/>
      <c r="J1795" s="484"/>
      <c r="K1795" s="140" t="s">
        <v>678</v>
      </c>
      <c r="L1795" s="141">
        <v>8901</v>
      </c>
    </row>
    <row r="1796" spans="1:12" ht="17.25" customHeight="1" thickBot="1">
      <c r="A1796" s="126" t="str">
        <f t="shared" si="85"/>
        <v>2026/04</v>
      </c>
      <c r="B1796" s="127" t="str">
        <f t="shared" si="86"/>
        <v>2026/04站前4樓</v>
      </c>
      <c r="C1796" s="138">
        <v>12</v>
      </c>
      <c r="D1796" s="139" t="s">
        <v>236</v>
      </c>
      <c r="E1796" s="484" t="s">
        <v>307</v>
      </c>
      <c r="F1796" s="484"/>
      <c r="G1796" s="484" t="s">
        <v>878</v>
      </c>
      <c r="H1796" s="484"/>
      <c r="I1796" s="484"/>
      <c r="J1796" s="484"/>
      <c r="K1796" s="140" t="s">
        <v>678</v>
      </c>
      <c r="L1796" s="141">
        <v>4861</v>
      </c>
    </row>
    <row r="1797" spans="1:12" ht="17.25" customHeight="1" thickBot="1">
      <c r="A1797" s="126" t="str">
        <f t="shared" si="85"/>
        <v>2026/04</v>
      </c>
      <c r="B1797" s="127" t="str">
        <f t="shared" si="86"/>
        <v>2026/04站前4樓</v>
      </c>
      <c r="C1797" s="138">
        <v>13</v>
      </c>
      <c r="D1797" s="139" t="s">
        <v>236</v>
      </c>
      <c r="E1797" s="484" t="s">
        <v>313</v>
      </c>
      <c r="F1797" s="484"/>
      <c r="G1797" s="484" t="s">
        <v>314</v>
      </c>
      <c r="H1797" s="484"/>
      <c r="I1797" s="484"/>
      <c r="J1797" s="484"/>
      <c r="K1797" s="140" t="s">
        <v>301</v>
      </c>
      <c r="L1797" s="141">
        <v>150</v>
      </c>
    </row>
    <row r="1798" spans="1:12" ht="17.25" customHeight="1" thickBot="1">
      <c r="A1798" s="126" t="str">
        <f t="shared" si="85"/>
        <v>2026/04</v>
      </c>
      <c r="B1798" s="127" t="str">
        <f t="shared" si="86"/>
        <v>2026/04站前4樓</v>
      </c>
      <c r="C1798" s="138">
        <v>14</v>
      </c>
      <c r="D1798" s="139" t="s">
        <v>236</v>
      </c>
      <c r="E1798" s="484" t="s">
        <v>343</v>
      </c>
      <c r="F1798" s="484"/>
      <c r="G1798" s="484" t="s">
        <v>344</v>
      </c>
      <c r="H1798" s="484"/>
      <c r="I1798" s="484"/>
      <c r="J1798" s="484"/>
      <c r="K1798" s="140" t="s">
        <v>301</v>
      </c>
      <c r="L1798" s="141">
        <v>7</v>
      </c>
    </row>
    <row r="1799" spans="1:12" ht="17.25" customHeight="1" thickBot="1">
      <c r="A1799" s="126" t="str">
        <f t="shared" si="85"/>
        <v>2026/04</v>
      </c>
      <c r="B1799" s="127" t="str">
        <f t="shared" si="86"/>
        <v>2026/04站前4樓</v>
      </c>
      <c r="C1799" s="138">
        <v>15</v>
      </c>
      <c r="D1799" s="139" t="s">
        <v>236</v>
      </c>
      <c r="E1799" s="484" t="s">
        <v>427</v>
      </c>
      <c r="F1799" s="484"/>
      <c r="G1799" s="484" t="s">
        <v>428</v>
      </c>
      <c r="H1799" s="484"/>
      <c r="I1799" s="484"/>
      <c r="J1799" s="484"/>
      <c r="K1799" s="140" t="s">
        <v>301</v>
      </c>
      <c r="L1799" s="141">
        <v>3</v>
      </c>
    </row>
    <row r="1800" spans="1:12" ht="17.25" customHeight="1" thickBot="1">
      <c r="A1800" s="126" t="str">
        <f t="shared" si="85"/>
        <v>2026/04</v>
      </c>
      <c r="B1800" s="127" t="str">
        <f t="shared" si="86"/>
        <v>2026/04站前4樓</v>
      </c>
      <c r="C1800" s="138">
        <v>16</v>
      </c>
      <c r="D1800" s="139" t="s">
        <v>236</v>
      </c>
      <c r="E1800" s="484" t="s">
        <v>349</v>
      </c>
      <c r="F1800" s="484"/>
      <c r="G1800" s="484" t="s">
        <v>350</v>
      </c>
      <c r="H1800" s="484"/>
      <c r="I1800" s="484"/>
      <c r="J1800" s="484"/>
      <c r="K1800" s="140" t="s">
        <v>301</v>
      </c>
      <c r="L1800" s="141">
        <v>14</v>
      </c>
    </row>
    <row r="1801" spans="1:12" ht="17.25" customHeight="1" thickBot="1">
      <c r="A1801" s="126" t="str">
        <f t="shared" si="85"/>
        <v>2026/04</v>
      </c>
      <c r="B1801" s="127" t="str">
        <f t="shared" si="86"/>
        <v>2026/04站前4樓</v>
      </c>
      <c r="C1801" s="138">
        <v>17</v>
      </c>
      <c r="D1801" s="139" t="s">
        <v>236</v>
      </c>
      <c r="E1801" s="484" t="s">
        <v>366</v>
      </c>
      <c r="F1801" s="484"/>
      <c r="G1801" s="484" t="s">
        <v>367</v>
      </c>
      <c r="H1801" s="484"/>
      <c r="I1801" s="484"/>
      <c r="J1801" s="484"/>
      <c r="K1801" s="140" t="s">
        <v>301</v>
      </c>
      <c r="L1801" s="141">
        <v>1</v>
      </c>
    </row>
    <row r="1802" spans="1:12" ht="17.25" customHeight="1" thickBot="1">
      <c r="A1802" s="126" t="str">
        <f t="shared" si="85"/>
        <v>2026/04</v>
      </c>
      <c r="B1802" s="127" t="str">
        <f t="shared" si="86"/>
        <v>2026/04站前4樓</v>
      </c>
      <c r="C1802" s="138">
        <v>18</v>
      </c>
      <c r="D1802" s="139" t="s">
        <v>236</v>
      </c>
      <c r="E1802" s="484" t="s">
        <v>282</v>
      </c>
      <c r="F1802" s="484"/>
      <c r="G1802" s="484" t="s">
        <v>283</v>
      </c>
      <c r="H1802" s="484"/>
      <c r="I1802" s="484"/>
      <c r="J1802" s="484"/>
      <c r="K1802" s="140" t="s">
        <v>284</v>
      </c>
      <c r="L1802" s="141">
        <v>31</v>
      </c>
    </row>
    <row r="1803" spans="1:12" ht="17.25" customHeight="1" thickBot="1">
      <c r="A1803" s="126" t="str">
        <f t="shared" si="85"/>
        <v>2026/04</v>
      </c>
      <c r="B1803" s="127" t="str">
        <f t="shared" si="86"/>
        <v>2026/04站前4樓</v>
      </c>
      <c r="C1803" s="138">
        <v>19</v>
      </c>
      <c r="D1803" s="139" t="s">
        <v>236</v>
      </c>
      <c r="E1803" s="484" t="s">
        <v>311</v>
      </c>
      <c r="F1803" s="484"/>
      <c r="G1803" s="484" t="s">
        <v>312</v>
      </c>
      <c r="H1803" s="484"/>
      <c r="I1803" s="484"/>
      <c r="J1803" s="484"/>
      <c r="K1803" s="140" t="s">
        <v>284</v>
      </c>
      <c r="L1803" s="141">
        <v>20</v>
      </c>
    </row>
    <row r="1804" spans="1:12" ht="17.25" customHeight="1" thickBot="1">
      <c r="A1804" s="126" t="str">
        <f t="shared" si="85"/>
        <v>2026/04</v>
      </c>
      <c r="B1804" s="127" t="str">
        <f t="shared" si="86"/>
        <v>2026/04站前4樓</v>
      </c>
      <c r="C1804" s="138">
        <v>20</v>
      </c>
      <c r="D1804" s="139" t="s">
        <v>236</v>
      </c>
      <c r="E1804" s="484" t="s">
        <v>941</v>
      </c>
      <c r="F1804" s="484"/>
      <c r="G1804" s="484" t="s">
        <v>942</v>
      </c>
      <c r="H1804" s="484"/>
      <c r="I1804" s="484"/>
      <c r="J1804" s="484"/>
      <c r="K1804" s="140" t="s">
        <v>301</v>
      </c>
      <c r="L1804" s="141">
        <v>2</v>
      </c>
    </row>
    <row r="1805" spans="1:12" ht="17.25" customHeight="1" thickBot="1">
      <c r="A1805" s="126" t="str">
        <f t="shared" si="85"/>
        <v>2026/04</v>
      </c>
      <c r="B1805" s="127" t="str">
        <f t="shared" si="86"/>
        <v>2026/04站前4樓</v>
      </c>
      <c r="C1805" s="138">
        <v>21</v>
      </c>
      <c r="D1805" s="139" t="s">
        <v>236</v>
      </c>
      <c r="E1805" s="484" t="s">
        <v>734</v>
      </c>
      <c r="F1805" s="484"/>
      <c r="G1805" s="484" t="s">
        <v>735</v>
      </c>
      <c r="H1805" s="484"/>
      <c r="I1805" s="484"/>
      <c r="J1805" s="484"/>
      <c r="K1805" s="140" t="s">
        <v>342</v>
      </c>
      <c r="L1805" s="141">
        <v>2</v>
      </c>
    </row>
    <row r="1806" spans="1:12" ht="17.25" customHeight="1" thickBot="1">
      <c r="A1806" s="126" t="str">
        <f t="shared" si="85"/>
        <v>2026/04</v>
      </c>
      <c r="B1806" s="127" t="str">
        <f t="shared" si="86"/>
        <v>2026/04站前4樓</v>
      </c>
      <c r="C1806" s="138">
        <v>22</v>
      </c>
      <c r="D1806" s="139" t="s">
        <v>236</v>
      </c>
      <c r="E1806" s="484" t="s">
        <v>299</v>
      </c>
      <c r="F1806" s="484"/>
      <c r="G1806" s="484" t="s">
        <v>912</v>
      </c>
      <c r="H1806" s="484"/>
      <c r="I1806" s="484"/>
      <c r="J1806" s="484"/>
      <c r="K1806" s="140" t="s">
        <v>301</v>
      </c>
      <c r="L1806" s="141">
        <v>88</v>
      </c>
    </row>
    <row r="1807" spans="1:12" ht="17.25" customHeight="1" thickBot="1">
      <c r="A1807" s="126" t="str">
        <f t="shared" si="85"/>
        <v>2026/04</v>
      </c>
      <c r="B1807" s="127" t="str">
        <f t="shared" si="86"/>
        <v>2026/04站前4樓</v>
      </c>
      <c r="C1807" s="138">
        <v>23</v>
      </c>
      <c r="D1807" s="139" t="s">
        <v>236</v>
      </c>
      <c r="E1807" s="484" t="s">
        <v>347</v>
      </c>
      <c r="F1807" s="484"/>
      <c r="G1807" s="484" t="s">
        <v>913</v>
      </c>
      <c r="H1807" s="484"/>
      <c r="I1807" s="484"/>
      <c r="J1807" s="484"/>
      <c r="K1807" s="140" t="s">
        <v>301</v>
      </c>
      <c r="L1807" s="141">
        <v>13</v>
      </c>
    </row>
    <row r="1808" spans="1:12" ht="17.25" customHeight="1" thickBot="1">
      <c r="A1808" s="126" t="str">
        <f t="shared" si="85"/>
        <v>2026/04</v>
      </c>
      <c r="B1808" s="127" t="str">
        <f t="shared" si="86"/>
        <v>2026/04站前4樓</v>
      </c>
      <c r="C1808" s="138">
        <v>24</v>
      </c>
      <c r="D1808" s="139" t="s">
        <v>236</v>
      </c>
      <c r="E1808" s="484" t="s">
        <v>317</v>
      </c>
      <c r="F1808" s="484"/>
      <c r="G1808" s="484" t="s">
        <v>318</v>
      </c>
      <c r="H1808" s="484"/>
      <c r="I1808" s="484"/>
      <c r="J1808" s="484"/>
      <c r="K1808" s="140" t="s">
        <v>319</v>
      </c>
      <c r="L1808" s="141">
        <v>103</v>
      </c>
    </row>
    <row r="1809" spans="1:12" ht="17.25" customHeight="1" thickBot="1">
      <c r="A1809" s="126" t="str">
        <f t="shared" si="85"/>
        <v>2026/04</v>
      </c>
      <c r="B1809" s="127" t="str">
        <f t="shared" si="86"/>
        <v>2026/04站前4樓</v>
      </c>
      <c r="C1809" s="138">
        <v>25</v>
      </c>
      <c r="D1809" s="139" t="s">
        <v>236</v>
      </c>
      <c r="E1809" s="484" t="s">
        <v>372</v>
      </c>
      <c r="F1809" s="484"/>
      <c r="G1809" s="484" t="s">
        <v>914</v>
      </c>
      <c r="H1809" s="484"/>
      <c r="I1809" s="484"/>
      <c r="J1809" s="484"/>
      <c r="K1809" s="140" t="s">
        <v>278</v>
      </c>
      <c r="L1809" s="141">
        <v>63</v>
      </c>
    </row>
    <row r="1810" spans="1:12" ht="17.25" customHeight="1" thickBot="1">
      <c r="A1810" s="126" t="str">
        <f t="shared" si="85"/>
        <v>2026/04</v>
      </c>
      <c r="B1810" s="127" t="str">
        <f t="shared" si="86"/>
        <v>2026/04站前4樓</v>
      </c>
      <c r="C1810" s="138">
        <v>26</v>
      </c>
      <c r="D1810" s="139" t="s">
        <v>236</v>
      </c>
      <c r="E1810" s="484" t="s">
        <v>276</v>
      </c>
      <c r="F1810" s="484"/>
      <c r="G1810" s="484" t="s">
        <v>924</v>
      </c>
      <c r="H1810" s="484"/>
      <c r="I1810" s="484"/>
      <c r="J1810" s="484"/>
      <c r="K1810" s="140" t="s">
        <v>278</v>
      </c>
      <c r="L1810" s="141">
        <v>9</v>
      </c>
    </row>
    <row r="1811" spans="1:12" ht="17.25" customHeight="1" thickBot="1">
      <c r="A1811" s="126" t="str">
        <f t="shared" si="85"/>
        <v>2026/04</v>
      </c>
      <c r="B1811" s="127" t="str">
        <f t="shared" si="86"/>
        <v>2026/04站前4樓</v>
      </c>
      <c r="C1811" s="138">
        <v>27</v>
      </c>
      <c r="D1811" s="139" t="s">
        <v>236</v>
      </c>
      <c r="E1811" s="484" t="s">
        <v>273</v>
      </c>
      <c r="F1811" s="484"/>
      <c r="G1811" s="484" t="s">
        <v>915</v>
      </c>
      <c r="H1811" s="484"/>
      <c r="I1811" s="484"/>
      <c r="J1811" s="484"/>
      <c r="K1811" s="140" t="s">
        <v>275</v>
      </c>
      <c r="L1811" s="141">
        <v>508</v>
      </c>
    </row>
    <row r="1812" spans="1:12" ht="17.25" customHeight="1" thickBot="1">
      <c r="A1812" s="126" t="str">
        <f t="shared" si="85"/>
        <v>2026/04</v>
      </c>
      <c r="B1812" s="127" t="str">
        <f t="shared" si="86"/>
        <v>2026/04站前4樓</v>
      </c>
      <c r="C1812" s="138">
        <v>28</v>
      </c>
      <c r="D1812" s="139" t="s">
        <v>236</v>
      </c>
      <c r="E1812" s="484" t="s">
        <v>285</v>
      </c>
      <c r="F1812" s="484"/>
      <c r="G1812" s="484" t="s">
        <v>286</v>
      </c>
      <c r="H1812" s="484"/>
      <c r="I1812" s="484"/>
      <c r="J1812" s="484"/>
      <c r="K1812" s="140" t="s">
        <v>879</v>
      </c>
      <c r="L1812" s="141">
        <v>8326</v>
      </c>
    </row>
    <row r="1813" spans="1:12" ht="17.25" customHeight="1" thickBot="1">
      <c r="A1813" s="126" t="str">
        <f t="shared" si="85"/>
        <v>2026/04</v>
      </c>
      <c r="B1813" s="127" t="str">
        <f t="shared" si="86"/>
        <v>2026/04站前4樓</v>
      </c>
      <c r="C1813" s="138">
        <v>29</v>
      </c>
      <c r="D1813" s="139" t="s">
        <v>236</v>
      </c>
      <c r="E1813" s="484" t="s">
        <v>290</v>
      </c>
      <c r="F1813" s="484"/>
      <c r="G1813" s="484" t="s">
        <v>291</v>
      </c>
      <c r="H1813" s="484"/>
      <c r="I1813" s="484"/>
      <c r="J1813" s="484"/>
      <c r="K1813" s="140" t="s">
        <v>879</v>
      </c>
      <c r="L1813" s="141">
        <v>32190</v>
      </c>
    </row>
    <row r="1814" spans="1:12" ht="17.25" customHeight="1" thickBot="1">
      <c r="A1814" s="126" t="str">
        <f t="shared" si="85"/>
        <v>2026/04</v>
      </c>
      <c r="B1814" s="127" t="str">
        <f t="shared" si="86"/>
        <v>2026/04站前4樓</v>
      </c>
      <c r="C1814" s="138">
        <v>30</v>
      </c>
      <c r="D1814" s="139" t="s">
        <v>236</v>
      </c>
      <c r="E1814" s="484" t="s">
        <v>292</v>
      </c>
      <c r="F1814" s="484"/>
      <c r="G1814" s="484" t="s">
        <v>293</v>
      </c>
      <c r="H1814" s="484"/>
      <c r="I1814" s="484"/>
      <c r="J1814" s="484"/>
      <c r="K1814" s="140" t="s">
        <v>879</v>
      </c>
      <c r="L1814" s="141">
        <v>35526</v>
      </c>
    </row>
    <row r="1815" spans="1:12" ht="17.25" customHeight="1" thickBot="1">
      <c r="A1815" s="126" t="str">
        <f t="shared" si="85"/>
        <v>2026/04</v>
      </c>
      <c r="B1815" s="127" t="str">
        <f t="shared" si="86"/>
        <v>2026/04站前4樓</v>
      </c>
      <c r="C1815" s="138">
        <v>31</v>
      </c>
      <c r="D1815" s="139" t="s">
        <v>236</v>
      </c>
      <c r="E1815" s="484" t="s">
        <v>323</v>
      </c>
      <c r="F1815" s="484"/>
      <c r="G1815" s="484" t="s">
        <v>324</v>
      </c>
      <c r="H1815" s="484"/>
      <c r="I1815" s="484"/>
      <c r="J1815" s="484"/>
      <c r="K1815" s="140" t="s">
        <v>880</v>
      </c>
      <c r="L1815" s="141">
        <v>14761</v>
      </c>
    </row>
    <row r="1816" spans="1:12" ht="17.25" customHeight="1" thickBot="1">
      <c r="A1816" s="126" t="str">
        <f t="shared" si="85"/>
        <v>2026/04</v>
      </c>
      <c r="B1816" s="127" t="str">
        <f t="shared" si="86"/>
        <v>2026/04站前4樓</v>
      </c>
      <c r="C1816" s="138">
        <v>32</v>
      </c>
      <c r="D1816" s="139" t="s">
        <v>236</v>
      </c>
      <c r="E1816" s="484" t="s">
        <v>338</v>
      </c>
      <c r="F1816" s="484"/>
      <c r="G1816" s="484" t="s">
        <v>339</v>
      </c>
      <c r="H1816" s="484"/>
      <c r="I1816" s="484"/>
      <c r="J1816" s="484"/>
      <c r="K1816" s="140" t="s">
        <v>881</v>
      </c>
      <c r="L1816" s="141">
        <v>2664</v>
      </c>
    </row>
    <row r="1817" spans="1:12" ht="17.25" customHeight="1" thickBot="1">
      <c r="A1817" s="126" t="str">
        <f t="shared" si="85"/>
        <v>2026/04</v>
      </c>
      <c r="B1817" s="127" t="str">
        <f t="shared" si="86"/>
        <v>2026/04站前4樓</v>
      </c>
      <c r="C1817" s="138">
        <v>33</v>
      </c>
      <c r="D1817" s="139" t="s">
        <v>236</v>
      </c>
      <c r="E1817" s="484" t="s">
        <v>326</v>
      </c>
      <c r="F1817" s="484"/>
      <c r="G1817" s="484" t="s">
        <v>327</v>
      </c>
      <c r="H1817" s="484"/>
      <c r="I1817" s="484"/>
      <c r="J1817" s="484"/>
      <c r="K1817" s="140" t="s">
        <v>881</v>
      </c>
      <c r="L1817" s="141">
        <v>7903</v>
      </c>
    </row>
    <row r="1818" spans="1:12" ht="17.25" customHeight="1" thickBot="1">
      <c r="A1818" s="126" t="str">
        <f t="shared" si="85"/>
        <v>2026/04</v>
      </c>
      <c r="B1818" s="127" t="str">
        <f t="shared" si="86"/>
        <v>2026/04站前4樓</v>
      </c>
      <c r="C1818" s="138">
        <v>34</v>
      </c>
      <c r="D1818" s="139" t="s">
        <v>236</v>
      </c>
      <c r="E1818" s="484" t="s">
        <v>328</v>
      </c>
      <c r="F1818" s="484"/>
      <c r="G1818" s="484" t="s">
        <v>329</v>
      </c>
      <c r="H1818" s="484"/>
      <c r="I1818" s="484"/>
      <c r="J1818" s="484"/>
      <c r="K1818" s="140" t="s">
        <v>881</v>
      </c>
      <c r="L1818" s="141">
        <v>14896</v>
      </c>
    </row>
    <row r="1819" spans="1:12" ht="17.25" customHeight="1" thickBot="1">
      <c r="A1819" s="126" t="str">
        <f t="shared" si="85"/>
        <v>2026/04</v>
      </c>
      <c r="B1819" s="127" t="str">
        <f t="shared" si="86"/>
        <v>2026/04站前4樓</v>
      </c>
      <c r="C1819" s="138">
        <v>35</v>
      </c>
      <c r="D1819" s="139" t="s">
        <v>236</v>
      </c>
      <c r="E1819" s="484" t="s">
        <v>330</v>
      </c>
      <c r="F1819" s="484"/>
      <c r="G1819" s="484" t="s">
        <v>331</v>
      </c>
      <c r="H1819" s="484"/>
      <c r="I1819" s="484"/>
      <c r="J1819" s="484"/>
      <c r="K1819" s="140" t="s">
        <v>881</v>
      </c>
      <c r="L1819" s="141">
        <v>6487</v>
      </c>
    </row>
    <row r="1820" spans="1:12" ht="17.25" customHeight="1" thickBot="1">
      <c r="A1820" s="126" t="str">
        <f t="shared" si="85"/>
        <v>2026/04</v>
      </c>
      <c r="B1820" s="127" t="str">
        <f t="shared" si="86"/>
        <v>2026/04站前4樓</v>
      </c>
      <c r="C1820" s="138">
        <v>36</v>
      </c>
      <c r="D1820" s="139" t="s">
        <v>236</v>
      </c>
      <c r="E1820" s="484" t="s">
        <v>302</v>
      </c>
      <c r="F1820" s="484"/>
      <c r="G1820" s="484" t="s">
        <v>303</v>
      </c>
      <c r="H1820" s="484"/>
      <c r="I1820" s="484"/>
      <c r="J1820" s="484"/>
      <c r="K1820" s="140" t="s">
        <v>882</v>
      </c>
      <c r="L1820" s="141">
        <v>4650</v>
      </c>
    </row>
    <row r="1821" spans="1:12" ht="17.25" customHeight="1" thickBot="1">
      <c r="A1821" s="126" t="str">
        <f t="shared" si="85"/>
        <v>2026/04</v>
      </c>
      <c r="B1821" s="127" t="str">
        <f t="shared" si="86"/>
        <v>2026/04站前4樓</v>
      </c>
      <c r="C1821" s="138">
        <v>37</v>
      </c>
      <c r="D1821" s="139" t="s">
        <v>236</v>
      </c>
      <c r="E1821" s="484" t="s">
        <v>705</v>
      </c>
      <c r="F1821" s="484"/>
      <c r="G1821" s="484" t="s">
        <v>706</v>
      </c>
      <c r="H1821" s="484"/>
      <c r="I1821" s="484"/>
      <c r="J1821" s="484"/>
      <c r="K1821" s="140" t="s">
        <v>883</v>
      </c>
      <c r="L1821" s="141">
        <v>29150</v>
      </c>
    </row>
    <row r="1822" spans="1:12" ht="17.25" customHeight="1" thickBot="1">
      <c r="A1822" s="126" t="str">
        <f t="shared" si="85"/>
        <v>2026/04</v>
      </c>
      <c r="B1822" s="127" t="str">
        <f t="shared" si="86"/>
        <v>2026/04站前4樓</v>
      </c>
      <c r="C1822" s="138">
        <v>38</v>
      </c>
      <c r="D1822" s="139" t="s">
        <v>236</v>
      </c>
      <c r="E1822" s="484" t="s">
        <v>279</v>
      </c>
      <c r="F1822" s="484"/>
      <c r="G1822" s="484" t="s">
        <v>280</v>
      </c>
      <c r="H1822" s="484"/>
      <c r="I1822" s="484"/>
      <c r="J1822" s="484"/>
      <c r="K1822" s="140" t="s">
        <v>884</v>
      </c>
      <c r="L1822" s="141">
        <v>200340</v>
      </c>
    </row>
    <row r="1823" spans="1:12" ht="17.25" customHeight="1" thickBot="1">
      <c r="A1823" s="126" t="str">
        <f t="shared" si="85"/>
        <v>2026/04</v>
      </c>
      <c r="B1823" s="127" t="str">
        <f t="shared" si="86"/>
        <v>2026/04站前4樓</v>
      </c>
      <c r="C1823" s="138">
        <v>39</v>
      </c>
      <c r="D1823" s="139" t="s">
        <v>236</v>
      </c>
      <c r="E1823" s="484" t="s">
        <v>288</v>
      </c>
      <c r="F1823" s="484"/>
      <c r="G1823" s="484" t="s">
        <v>289</v>
      </c>
      <c r="H1823" s="484"/>
      <c r="I1823" s="484"/>
      <c r="J1823" s="484"/>
      <c r="K1823" s="140" t="s">
        <v>884</v>
      </c>
      <c r="L1823" s="141">
        <v>91690</v>
      </c>
    </row>
    <row r="1824" spans="1:12" ht="17.25" customHeight="1" thickBot="1">
      <c r="A1824" s="126" t="str">
        <f t="shared" si="85"/>
        <v>2026/04</v>
      </c>
      <c r="B1824" s="127" t="str">
        <f t="shared" si="86"/>
        <v>2026/04站前4樓</v>
      </c>
      <c r="C1824" s="138">
        <v>40</v>
      </c>
      <c r="D1824" s="139" t="s">
        <v>236</v>
      </c>
      <c r="E1824" s="484" t="s">
        <v>332</v>
      </c>
      <c r="F1824" s="484"/>
      <c r="G1824" s="484" t="s">
        <v>333</v>
      </c>
      <c r="H1824" s="484"/>
      <c r="I1824" s="484"/>
      <c r="J1824" s="484"/>
      <c r="K1824" s="140" t="s">
        <v>334</v>
      </c>
      <c r="L1824" s="141">
        <v>72505</v>
      </c>
    </row>
    <row r="1825" spans="1:12" ht="17.25" customHeight="1" thickBot="1">
      <c r="A1825" s="126" t="str">
        <f t="shared" si="85"/>
        <v>2026/04</v>
      </c>
      <c r="B1825" s="127" t="str">
        <f t="shared" si="86"/>
        <v>2026/04站前4樓</v>
      </c>
      <c r="C1825" s="138">
        <v>41</v>
      </c>
      <c r="D1825" s="139" t="s">
        <v>236</v>
      </c>
      <c r="E1825" s="484" t="s">
        <v>335</v>
      </c>
      <c r="F1825" s="484"/>
      <c r="G1825" s="484" t="s">
        <v>336</v>
      </c>
      <c r="H1825" s="484"/>
      <c r="I1825" s="484"/>
      <c r="J1825" s="484"/>
      <c r="K1825" s="140" t="s">
        <v>337</v>
      </c>
      <c r="L1825" s="141">
        <v>20002</v>
      </c>
    </row>
    <row r="1826" spans="1:12" ht="17.25" customHeight="1" thickBot="1">
      <c r="A1826" s="126" t="str">
        <f t="shared" si="85"/>
        <v>2026/04</v>
      </c>
      <c r="B1826" s="127" t="str">
        <f t="shared" si="86"/>
        <v>2026/04站前4樓</v>
      </c>
      <c r="C1826" s="138">
        <v>42</v>
      </c>
      <c r="D1826" s="139" t="s">
        <v>236</v>
      </c>
      <c r="E1826" s="484" t="s">
        <v>447</v>
      </c>
      <c r="F1826" s="484"/>
      <c r="G1826" s="484" t="s">
        <v>448</v>
      </c>
      <c r="H1826" s="484"/>
      <c r="I1826" s="484"/>
      <c r="J1826" s="484"/>
      <c r="K1826" s="140" t="s">
        <v>445</v>
      </c>
      <c r="L1826" s="141">
        <v>4</v>
      </c>
    </row>
    <row r="1827" spans="1:12" ht="17.25" customHeight="1" thickBot="1">
      <c r="A1827" s="126" t="str">
        <f t="shared" si="85"/>
        <v>2026/04</v>
      </c>
      <c r="B1827" s="127" t="str">
        <f t="shared" si="86"/>
        <v>2026/04站前4樓</v>
      </c>
      <c r="C1827" s="138">
        <v>43</v>
      </c>
      <c r="D1827" s="139" t="s">
        <v>236</v>
      </c>
      <c r="E1827" s="484" t="s">
        <v>357</v>
      </c>
      <c r="F1827" s="484"/>
      <c r="G1827" s="484" t="s">
        <v>358</v>
      </c>
      <c r="H1827" s="484"/>
      <c r="I1827" s="484"/>
      <c r="J1827" s="484"/>
      <c r="K1827" s="140" t="s">
        <v>353</v>
      </c>
      <c r="L1827" s="141">
        <v>8</v>
      </c>
    </row>
    <row r="1828" spans="1:12" ht="17.25" customHeight="1" thickBot="1">
      <c r="A1828" s="126" t="str">
        <f t="shared" si="85"/>
        <v>2026/04</v>
      </c>
      <c r="B1828" s="127" t="str">
        <f t="shared" si="86"/>
        <v>2026/04站前4樓</v>
      </c>
      <c r="C1828" s="138">
        <v>44</v>
      </c>
      <c r="D1828" s="139" t="s">
        <v>236</v>
      </c>
      <c r="E1828" s="484" t="s">
        <v>340</v>
      </c>
      <c r="F1828" s="484"/>
      <c r="G1828" s="484" t="s">
        <v>341</v>
      </c>
      <c r="H1828" s="484"/>
      <c r="I1828" s="484"/>
      <c r="J1828" s="484"/>
      <c r="K1828" s="140" t="s">
        <v>342</v>
      </c>
      <c r="L1828" s="141">
        <v>2</v>
      </c>
    </row>
    <row r="1829" spans="1:12" ht="17.25" customHeight="1" thickBot="1">
      <c r="A1829" s="126" t="str">
        <f t="shared" si="85"/>
        <v>2026/04</v>
      </c>
      <c r="B1829" s="127" t="str">
        <f t="shared" si="86"/>
        <v>2026/04站前4樓</v>
      </c>
      <c r="C1829" s="138">
        <v>45</v>
      </c>
      <c r="D1829" s="139" t="s">
        <v>236</v>
      </c>
      <c r="E1829" s="484" t="s">
        <v>683</v>
      </c>
      <c r="F1829" s="484"/>
      <c r="G1829" s="484" t="s">
        <v>684</v>
      </c>
      <c r="H1829" s="484"/>
      <c r="I1829" s="484"/>
      <c r="J1829" s="484"/>
      <c r="K1829" s="140" t="s">
        <v>685</v>
      </c>
      <c r="L1829" s="141">
        <v>5</v>
      </c>
    </row>
    <row r="1830" spans="1:12" ht="17.25" customHeight="1" thickBot="1">
      <c r="A1830" s="126" t="str">
        <f t="shared" si="85"/>
        <v>2026/04</v>
      </c>
      <c r="B1830" s="127" t="str">
        <f t="shared" si="86"/>
        <v>2026/04站前4樓</v>
      </c>
      <c r="C1830" s="138">
        <v>46</v>
      </c>
      <c r="D1830" s="139" t="s">
        <v>236</v>
      </c>
      <c r="E1830" s="484" t="s">
        <v>686</v>
      </c>
      <c r="F1830" s="484"/>
      <c r="G1830" s="484" t="s">
        <v>687</v>
      </c>
      <c r="H1830" s="484"/>
      <c r="I1830" s="484"/>
      <c r="J1830" s="484"/>
      <c r="K1830" s="140" t="s">
        <v>688</v>
      </c>
      <c r="L1830" s="141">
        <v>15</v>
      </c>
    </row>
    <row r="1831" spans="1:12" ht="17.25" customHeight="1" thickBot="1">
      <c r="A1831" s="126" t="str">
        <f t="shared" si="85"/>
        <v>2026/04</v>
      </c>
      <c r="B1831" s="127" t="str">
        <f t="shared" si="86"/>
        <v>2026/04站前4樓</v>
      </c>
      <c r="C1831" s="138">
        <v>47</v>
      </c>
      <c r="D1831" s="139" t="s">
        <v>236</v>
      </c>
      <c r="E1831" s="484" t="s">
        <v>930</v>
      </c>
      <c r="F1831" s="484"/>
      <c r="G1831" s="484" t="s">
        <v>931</v>
      </c>
      <c r="H1831" s="484"/>
      <c r="I1831" s="484"/>
      <c r="J1831" s="484"/>
      <c r="K1831" s="140" t="s">
        <v>342</v>
      </c>
      <c r="L1831" s="141">
        <v>31</v>
      </c>
    </row>
    <row r="1832" spans="1:12" ht="17.25" customHeight="1" thickBot="1">
      <c r="A1832" s="126" t="str">
        <f t="shared" si="85"/>
        <v>2026/04</v>
      </c>
      <c r="B1832" s="127" t="str">
        <f t="shared" si="86"/>
        <v>2026/04站前4樓</v>
      </c>
      <c r="C1832" s="138">
        <v>48</v>
      </c>
      <c r="D1832" s="139" t="s">
        <v>236</v>
      </c>
      <c r="E1832" s="484" t="s">
        <v>368</v>
      </c>
      <c r="F1832" s="484"/>
      <c r="G1832" s="484" t="s">
        <v>907</v>
      </c>
      <c r="H1832" s="484"/>
      <c r="I1832" s="484"/>
      <c r="J1832" s="484"/>
      <c r="K1832" s="140" t="s">
        <v>885</v>
      </c>
      <c r="L1832" s="141">
        <v>7</v>
      </c>
    </row>
    <row r="1833" spans="1:12" ht="17.25" customHeight="1" thickBot="1">
      <c r="A1833" s="126" t="str">
        <f t="shared" si="85"/>
        <v>2026/04</v>
      </c>
      <c r="B1833" s="127" t="str">
        <f t="shared" si="86"/>
        <v>2026/04站前4樓</v>
      </c>
      <c r="C1833" s="138">
        <v>49</v>
      </c>
      <c r="D1833" s="139" t="s">
        <v>236</v>
      </c>
      <c r="E1833" s="484" t="s">
        <v>309</v>
      </c>
      <c r="F1833" s="484"/>
      <c r="G1833" s="484" t="s">
        <v>310</v>
      </c>
      <c r="H1833" s="484"/>
      <c r="I1833" s="484"/>
      <c r="J1833" s="484"/>
      <c r="K1833" s="140" t="s">
        <v>269</v>
      </c>
      <c r="L1833" s="141">
        <v>179</v>
      </c>
    </row>
    <row r="1834" spans="1:12" ht="17.25" customHeight="1" thickBot="1">
      <c r="A1834" s="126" t="str">
        <f t="shared" si="85"/>
        <v>2026/04</v>
      </c>
      <c r="B1834" s="127" t="str">
        <f t="shared" si="86"/>
        <v>2026/04站前4樓</v>
      </c>
      <c r="C1834" s="138">
        <v>50</v>
      </c>
      <c r="D1834" s="139" t="s">
        <v>236</v>
      </c>
      <c r="E1834" s="484" t="s">
        <v>267</v>
      </c>
      <c r="F1834" s="484"/>
      <c r="G1834" s="484" t="s">
        <v>268</v>
      </c>
      <c r="H1834" s="484"/>
      <c r="I1834" s="484"/>
      <c r="J1834" s="484"/>
      <c r="K1834" s="140" t="s">
        <v>269</v>
      </c>
      <c r="L1834" s="141">
        <v>14</v>
      </c>
    </row>
    <row r="1835" spans="1:12" ht="17.25" customHeight="1" thickBot="1">
      <c r="A1835" s="126" t="str">
        <f t="shared" si="85"/>
        <v>2026/04</v>
      </c>
      <c r="B1835" s="127" t="str">
        <f t="shared" si="86"/>
        <v>2026/04站前4樓</v>
      </c>
      <c r="C1835" s="138">
        <v>51</v>
      </c>
      <c r="D1835" s="139" t="s">
        <v>236</v>
      </c>
      <c r="E1835" s="484" t="s">
        <v>315</v>
      </c>
      <c r="F1835" s="484"/>
      <c r="G1835" s="484" t="s">
        <v>316</v>
      </c>
      <c r="H1835" s="484"/>
      <c r="I1835" s="484"/>
      <c r="J1835" s="484"/>
      <c r="K1835" s="140" t="s">
        <v>296</v>
      </c>
      <c r="L1835" s="141">
        <v>5</v>
      </c>
    </row>
    <row r="1836" spans="1:12" ht="17.25" customHeight="1" thickBot="1">
      <c r="A1836" s="126" t="str">
        <f t="shared" si="85"/>
        <v>2026/04</v>
      </c>
      <c r="B1836" s="127" t="str">
        <f t="shared" si="86"/>
        <v>2026/04站前4樓</v>
      </c>
      <c r="C1836" s="138">
        <v>52</v>
      </c>
      <c r="D1836" s="139" t="s">
        <v>236</v>
      </c>
      <c r="E1836" s="484" t="s">
        <v>294</v>
      </c>
      <c r="F1836" s="484"/>
      <c r="G1836" s="484" t="s">
        <v>295</v>
      </c>
      <c r="H1836" s="484"/>
      <c r="I1836" s="484"/>
      <c r="J1836" s="484"/>
      <c r="K1836" s="140" t="s">
        <v>296</v>
      </c>
      <c r="L1836" s="141">
        <v>5</v>
      </c>
    </row>
    <row r="1837" spans="1:12" ht="17.25" customHeight="1" thickBot="1">
      <c r="A1837" s="126" t="str">
        <f t="shared" si="85"/>
        <v>2026/04</v>
      </c>
      <c r="B1837" s="127" t="str">
        <f t="shared" si="86"/>
        <v>2026/04站前4樓</v>
      </c>
      <c r="C1837" s="138">
        <v>53</v>
      </c>
      <c r="D1837" s="139" t="s">
        <v>236</v>
      </c>
      <c r="E1837" s="484" t="s">
        <v>736</v>
      </c>
      <c r="F1837" s="484"/>
      <c r="G1837" s="484" t="s">
        <v>737</v>
      </c>
      <c r="H1837" s="484"/>
      <c r="I1837" s="484"/>
      <c r="J1837" s="484"/>
      <c r="K1837" s="140" t="s">
        <v>738</v>
      </c>
      <c r="L1837" s="141">
        <v>6</v>
      </c>
    </row>
    <row r="1838" spans="1:12" ht="17.25" customHeight="1" thickBot="1">
      <c r="A1838" s="126" t="str">
        <f t="shared" si="85"/>
        <v>2026/04</v>
      </c>
      <c r="B1838" s="127" t="str">
        <f t="shared" si="86"/>
        <v>2026/04站前4樓</v>
      </c>
      <c r="C1838" s="138">
        <v>54</v>
      </c>
      <c r="D1838" s="139" t="s">
        <v>236</v>
      </c>
      <c r="E1838" s="484" t="s">
        <v>237</v>
      </c>
      <c r="F1838" s="484"/>
      <c r="G1838" s="484" t="s">
        <v>238</v>
      </c>
      <c r="H1838" s="484"/>
      <c r="I1838" s="484"/>
      <c r="J1838" s="484"/>
      <c r="K1838" s="140" t="s">
        <v>239</v>
      </c>
      <c r="L1838" s="141">
        <v>530</v>
      </c>
    </row>
    <row r="1839" spans="1:12" ht="17.25" customHeight="1" thickBot="1">
      <c r="A1839" s="126" t="str">
        <f t="shared" si="85"/>
        <v>2026/04</v>
      </c>
      <c r="B1839" s="127" t="str">
        <f t="shared" si="86"/>
        <v>2026/04站前4樓</v>
      </c>
      <c r="C1839" s="138">
        <v>55</v>
      </c>
      <c r="D1839" s="139" t="s">
        <v>236</v>
      </c>
      <c r="E1839" s="484" t="s">
        <v>240</v>
      </c>
      <c r="F1839" s="484"/>
      <c r="G1839" s="484" t="s">
        <v>241</v>
      </c>
      <c r="H1839" s="484"/>
      <c r="I1839" s="484"/>
      <c r="J1839" s="484"/>
      <c r="K1839" s="140" t="s">
        <v>239</v>
      </c>
      <c r="L1839" s="141">
        <v>530</v>
      </c>
    </row>
    <row r="1840" spans="1:12" ht="17.25" customHeight="1" thickBot="1">
      <c r="A1840" s="126" t="str">
        <f t="shared" si="85"/>
        <v>2026/04</v>
      </c>
      <c r="B1840" s="127" t="str">
        <f t="shared" si="86"/>
        <v>2026/04站前4樓</v>
      </c>
      <c r="C1840" s="138">
        <v>56</v>
      </c>
      <c r="D1840" s="139" t="s">
        <v>236</v>
      </c>
      <c r="E1840" s="484" t="s">
        <v>242</v>
      </c>
      <c r="F1840" s="484"/>
      <c r="G1840" s="484" t="s">
        <v>243</v>
      </c>
      <c r="H1840" s="484"/>
      <c r="I1840" s="484"/>
      <c r="J1840" s="484"/>
      <c r="K1840" s="140" t="s">
        <v>239</v>
      </c>
      <c r="L1840" s="141">
        <v>530</v>
      </c>
    </row>
    <row r="1841" spans="1:12" ht="17.25" customHeight="1" thickBot="1">
      <c r="A1841" s="126" t="str">
        <f t="shared" si="85"/>
        <v>2026/04</v>
      </c>
      <c r="B1841" s="127" t="str">
        <f t="shared" si="86"/>
        <v>2026/04站前4樓</v>
      </c>
      <c r="C1841" s="138">
        <v>57</v>
      </c>
      <c r="D1841" s="139" t="s">
        <v>236</v>
      </c>
      <c r="E1841" s="484" t="s">
        <v>244</v>
      </c>
      <c r="F1841" s="484"/>
      <c r="G1841" s="484" t="s">
        <v>245</v>
      </c>
      <c r="H1841" s="484"/>
      <c r="I1841" s="484"/>
      <c r="J1841" s="484"/>
      <c r="K1841" s="140" t="s">
        <v>725</v>
      </c>
      <c r="L1841" s="141">
        <v>7950</v>
      </c>
    </row>
    <row r="1842" spans="1:12" ht="17.25" customHeight="1" thickBot="1">
      <c r="A1842" s="126" t="str">
        <f t="shared" si="85"/>
        <v>2026/04</v>
      </c>
      <c r="B1842" s="127" t="str">
        <f t="shared" si="86"/>
        <v>2026/04站前4樓</v>
      </c>
      <c r="C1842" s="138">
        <v>58</v>
      </c>
      <c r="D1842" s="139" t="s">
        <v>236</v>
      </c>
      <c r="E1842" s="484" t="s">
        <v>246</v>
      </c>
      <c r="F1842" s="484"/>
      <c r="G1842" s="484" t="s">
        <v>247</v>
      </c>
      <c r="H1842" s="484"/>
      <c r="I1842" s="484"/>
      <c r="J1842" s="484"/>
      <c r="K1842" s="140" t="s">
        <v>725</v>
      </c>
      <c r="L1842" s="141">
        <v>7950</v>
      </c>
    </row>
    <row r="1843" spans="1:12" ht="17.25" customHeight="1" thickBot="1">
      <c r="A1843" s="126" t="str">
        <f t="shared" si="85"/>
        <v>2026/04</v>
      </c>
      <c r="B1843" s="127" t="str">
        <f t="shared" si="86"/>
        <v>2026/04站前4樓</v>
      </c>
      <c r="C1843" s="138">
        <v>59</v>
      </c>
      <c r="D1843" s="139" t="s">
        <v>236</v>
      </c>
      <c r="E1843" s="484" t="s">
        <v>248</v>
      </c>
      <c r="F1843" s="484"/>
      <c r="G1843" s="484" t="s">
        <v>249</v>
      </c>
      <c r="H1843" s="484"/>
      <c r="I1843" s="484"/>
      <c r="J1843" s="484"/>
      <c r="K1843" s="140" t="s">
        <v>725</v>
      </c>
      <c r="L1843" s="141">
        <v>7950</v>
      </c>
    </row>
    <row r="1844" spans="1:12" ht="17.25" customHeight="1" thickBot="1">
      <c r="A1844" s="126" t="str">
        <f t="shared" si="85"/>
        <v>2026/04</v>
      </c>
      <c r="B1844" s="127" t="str">
        <f t="shared" si="86"/>
        <v>2026/04站前4樓</v>
      </c>
      <c r="C1844" s="138">
        <v>60</v>
      </c>
      <c r="D1844" s="139" t="s">
        <v>236</v>
      </c>
      <c r="E1844" s="484" t="s">
        <v>250</v>
      </c>
      <c r="F1844" s="484"/>
      <c r="G1844" s="484" t="s">
        <v>251</v>
      </c>
      <c r="H1844" s="484"/>
      <c r="I1844" s="484"/>
      <c r="J1844" s="484"/>
      <c r="K1844" s="140" t="s">
        <v>725</v>
      </c>
      <c r="L1844" s="141">
        <v>7950</v>
      </c>
    </row>
    <row r="1845" spans="1:12" ht="17.25" customHeight="1" thickBot="1">
      <c r="A1845" s="126" t="str">
        <f t="shared" ref="A1845:A1848" si="87">IFERROR(LEFT(B1845,7),"")</f>
        <v>2026/04</v>
      </c>
      <c r="B1845" s="127" t="str">
        <f t="shared" ref="B1845:B1848" si="88">"2026/04"&amp;D1845</f>
        <v>2026/04站前11樓</v>
      </c>
      <c r="C1845" s="138">
        <v>61</v>
      </c>
      <c r="D1845" s="139" t="s">
        <v>374</v>
      </c>
      <c r="E1845" s="484" t="s">
        <v>392</v>
      </c>
      <c r="F1845" s="484"/>
      <c r="G1845" s="484" t="s">
        <v>916</v>
      </c>
      <c r="H1845" s="484"/>
      <c r="I1845" s="484"/>
      <c r="J1845" s="484"/>
      <c r="K1845" s="140" t="s">
        <v>382</v>
      </c>
      <c r="L1845" s="141">
        <v>1031</v>
      </c>
    </row>
    <row r="1846" spans="1:12" ht="17.25" customHeight="1" thickBot="1">
      <c r="A1846" s="126" t="str">
        <f t="shared" si="87"/>
        <v>2026/04</v>
      </c>
      <c r="B1846" s="127" t="str">
        <f t="shared" si="88"/>
        <v>2026/04站前11樓</v>
      </c>
      <c r="C1846" s="138">
        <v>62</v>
      </c>
      <c r="D1846" s="139" t="s">
        <v>374</v>
      </c>
      <c r="E1846" s="484" t="s">
        <v>380</v>
      </c>
      <c r="F1846" s="484"/>
      <c r="G1846" s="484" t="s">
        <v>917</v>
      </c>
      <c r="H1846" s="484"/>
      <c r="I1846" s="484"/>
      <c r="J1846" s="484"/>
      <c r="K1846" s="140" t="s">
        <v>892</v>
      </c>
      <c r="L1846" s="141">
        <v>1213</v>
      </c>
    </row>
    <row r="1847" spans="1:12" ht="17.25" customHeight="1" thickBot="1">
      <c r="A1847" s="126" t="str">
        <f t="shared" si="87"/>
        <v>2026/04</v>
      </c>
      <c r="B1847" s="127" t="str">
        <f t="shared" si="88"/>
        <v>2026/04站前11樓</v>
      </c>
      <c r="C1847" s="138">
        <v>63</v>
      </c>
      <c r="D1847" s="139" t="s">
        <v>374</v>
      </c>
      <c r="E1847" s="484" t="s">
        <v>413</v>
      </c>
      <c r="F1847" s="484"/>
      <c r="G1847" s="484" t="s">
        <v>918</v>
      </c>
      <c r="H1847" s="484"/>
      <c r="I1847" s="484"/>
      <c r="J1847" s="484"/>
      <c r="K1847" s="140" t="s">
        <v>410</v>
      </c>
      <c r="L1847" s="141">
        <v>4</v>
      </c>
    </row>
    <row r="1848" spans="1:12" ht="17.25" customHeight="1" thickBot="1">
      <c r="A1848" s="126" t="str">
        <f t="shared" si="87"/>
        <v>2026/04</v>
      </c>
      <c r="B1848" s="127" t="str">
        <f t="shared" si="88"/>
        <v>2026/04站前11樓</v>
      </c>
      <c r="C1848" s="138">
        <v>64</v>
      </c>
      <c r="D1848" s="139" t="s">
        <v>374</v>
      </c>
      <c r="E1848" s="484" t="s">
        <v>360</v>
      </c>
      <c r="F1848" s="484"/>
      <c r="G1848" s="484" t="s">
        <v>361</v>
      </c>
      <c r="H1848" s="484"/>
      <c r="I1848" s="484"/>
      <c r="J1848" s="484"/>
      <c r="K1848" s="140" t="s">
        <v>362</v>
      </c>
      <c r="L1848" s="141">
        <v>28</v>
      </c>
    </row>
    <row r="1849" spans="1:12" ht="17.25" customHeight="1" thickBot="1">
      <c r="A1849" s="126" t="str">
        <f t="shared" ref="A1849:A1858" si="89">IFERROR(LEFT(B1849,7),"")</f>
        <v>2026/04</v>
      </c>
      <c r="B1849" s="127" t="str">
        <f t="shared" ref="B1849:B1858" si="90">"2026/04"&amp;D1849</f>
        <v>2026/04站前11樓</v>
      </c>
      <c r="C1849" s="138">
        <v>65</v>
      </c>
      <c r="D1849" s="139" t="s">
        <v>374</v>
      </c>
      <c r="E1849" s="484" t="s">
        <v>383</v>
      </c>
      <c r="F1849" s="484"/>
      <c r="G1849" s="484" t="s">
        <v>384</v>
      </c>
      <c r="H1849" s="484"/>
      <c r="I1849" s="484"/>
      <c r="J1849" s="484"/>
      <c r="K1849" s="140" t="s">
        <v>385</v>
      </c>
      <c r="L1849" s="141">
        <v>376</v>
      </c>
    </row>
    <row r="1850" spans="1:12" ht="17.25" customHeight="1" thickBot="1">
      <c r="A1850" s="126" t="str">
        <f t="shared" si="89"/>
        <v>2026/04</v>
      </c>
      <c r="B1850" s="127" t="str">
        <f t="shared" si="90"/>
        <v>2026/04站前11樓</v>
      </c>
      <c r="C1850" s="138">
        <v>66</v>
      </c>
      <c r="D1850" s="139" t="s">
        <v>374</v>
      </c>
      <c r="E1850" s="484" t="s">
        <v>394</v>
      </c>
      <c r="F1850" s="484"/>
      <c r="G1850" s="484" t="s">
        <v>395</v>
      </c>
      <c r="H1850" s="484"/>
      <c r="I1850" s="484"/>
      <c r="J1850" s="484"/>
      <c r="K1850" s="140" t="s">
        <v>272</v>
      </c>
      <c r="L1850" s="141">
        <v>16</v>
      </c>
    </row>
    <row r="1851" spans="1:12" ht="17.25" customHeight="1" thickBot="1">
      <c r="A1851" s="126" t="str">
        <f t="shared" si="89"/>
        <v>2026/04</v>
      </c>
      <c r="B1851" s="127" t="str">
        <f t="shared" si="90"/>
        <v>2026/04站前11樓</v>
      </c>
      <c r="C1851" s="138">
        <v>67</v>
      </c>
      <c r="D1851" s="139" t="s">
        <v>374</v>
      </c>
      <c r="E1851" s="484" t="s">
        <v>403</v>
      </c>
      <c r="F1851" s="484"/>
      <c r="G1851" s="484" t="s">
        <v>404</v>
      </c>
      <c r="H1851" s="484"/>
      <c r="I1851" s="484"/>
      <c r="J1851" s="484"/>
      <c r="K1851" s="140" t="s">
        <v>385</v>
      </c>
      <c r="L1851" s="141">
        <v>15</v>
      </c>
    </row>
    <row r="1852" spans="1:12" ht="17.25" customHeight="1" thickBot="1">
      <c r="A1852" s="126" t="str">
        <f t="shared" si="89"/>
        <v>2026/04</v>
      </c>
      <c r="B1852" s="127" t="str">
        <f t="shared" si="90"/>
        <v>2026/04站前11樓</v>
      </c>
      <c r="C1852" s="138">
        <v>68</v>
      </c>
      <c r="D1852" s="139" t="s">
        <v>374</v>
      </c>
      <c r="E1852" s="484" t="s">
        <v>406</v>
      </c>
      <c r="F1852" s="484"/>
      <c r="G1852" s="484" t="s">
        <v>407</v>
      </c>
      <c r="H1852" s="484"/>
      <c r="I1852" s="484"/>
      <c r="J1852" s="484"/>
      <c r="K1852" s="140" t="s">
        <v>385</v>
      </c>
      <c r="L1852" s="141">
        <v>15</v>
      </c>
    </row>
    <row r="1853" spans="1:12" ht="17.25" customHeight="1" thickBot="1">
      <c r="A1853" s="126" t="str">
        <f t="shared" si="89"/>
        <v>2026/04</v>
      </c>
      <c r="B1853" s="127" t="str">
        <f t="shared" si="90"/>
        <v>2026/04站前11樓</v>
      </c>
      <c r="C1853" s="138">
        <v>69</v>
      </c>
      <c r="D1853" s="139" t="s">
        <v>374</v>
      </c>
      <c r="E1853" s="484" t="s">
        <v>408</v>
      </c>
      <c r="F1853" s="484"/>
      <c r="G1853" s="484" t="s">
        <v>409</v>
      </c>
      <c r="H1853" s="484"/>
      <c r="I1853" s="484"/>
      <c r="J1853" s="484"/>
      <c r="K1853" s="140" t="s">
        <v>410</v>
      </c>
      <c r="L1853" s="141">
        <v>4</v>
      </c>
    </row>
    <row r="1854" spans="1:12" ht="17.25" customHeight="1" thickBot="1">
      <c r="A1854" s="126" t="str">
        <f t="shared" si="89"/>
        <v>2026/04</v>
      </c>
      <c r="B1854" s="127" t="str">
        <f t="shared" si="90"/>
        <v>2026/04站前11樓</v>
      </c>
      <c r="C1854" s="138">
        <v>70</v>
      </c>
      <c r="D1854" s="139" t="s">
        <v>374</v>
      </c>
      <c r="E1854" s="484" t="s">
        <v>255</v>
      </c>
      <c r="F1854" s="484"/>
      <c r="G1854" s="484" t="s">
        <v>256</v>
      </c>
      <c r="H1854" s="484"/>
      <c r="I1854" s="484"/>
      <c r="J1854" s="484"/>
      <c r="K1854" s="140" t="s">
        <v>720</v>
      </c>
      <c r="L1854" s="141">
        <v>375</v>
      </c>
    </row>
    <row r="1855" spans="1:12" ht="17.25" customHeight="1" thickBot="1">
      <c r="A1855" s="126" t="str">
        <f t="shared" si="89"/>
        <v>2026/04</v>
      </c>
      <c r="B1855" s="127" t="str">
        <f t="shared" si="90"/>
        <v>2026/04站前11樓</v>
      </c>
      <c r="C1855" s="138">
        <v>71</v>
      </c>
      <c r="D1855" s="139" t="s">
        <v>374</v>
      </c>
      <c r="E1855" s="484" t="s">
        <v>419</v>
      </c>
      <c r="F1855" s="484"/>
      <c r="G1855" s="484" t="s">
        <v>420</v>
      </c>
      <c r="H1855" s="484"/>
      <c r="I1855" s="484"/>
      <c r="J1855" s="484"/>
      <c r="K1855" s="140" t="s">
        <v>726</v>
      </c>
      <c r="L1855" s="141">
        <v>940</v>
      </c>
    </row>
    <row r="1856" spans="1:12" ht="17.25" customHeight="1" thickBot="1">
      <c r="A1856" s="126" t="str">
        <f t="shared" si="89"/>
        <v>2026/04</v>
      </c>
      <c r="B1856" s="127" t="str">
        <f t="shared" si="90"/>
        <v>2026/04站前11樓</v>
      </c>
      <c r="C1856" s="138">
        <v>72</v>
      </c>
      <c r="D1856" s="139" t="s">
        <v>374</v>
      </c>
      <c r="E1856" s="484" t="s">
        <v>258</v>
      </c>
      <c r="F1856" s="484"/>
      <c r="G1856" s="484" t="s">
        <v>259</v>
      </c>
      <c r="H1856" s="484"/>
      <c r="I1856" s="484"/>
      <c r="J1856" s="484"/>
      <c r="K1856" s="140"/>
      <c r="L1856" s="141">
        <v>27</v>
      </c>
    </row>
    <row r="1857" spans="1:15" ht="17.25" customHeight="1" thickBot="1">
      <c r="A1857" s="126" t="str">
        <f t="shared" si="89"/>
        <v>2026/04</v>
      </c>
      <c r="B1857" s="127" t="str">
        <f t="shared" si="90"/>
        <v>2026/04站前11樓</v>
      </c>
      <c r="C1857" s="138">
        <v>73</v>
      </c>
      <c r="D1857" s="139" t="s">
        <v>374</v>
      </c>
      <c r="E1857" s="484" t="s">
        <v>260</v>
      </c>
      <c r="F1857" s="484"/>
      <c r="G1857" s="484" t="s">
        <v>261</v>
      </c>
      <c r="H1857" s="484"/>
      <c r="I1857" s="484"/>
      <c r="J1857" s="484"/>
      <c r="K1857" s="140" t="s">
        <v>254</v>
      </c>
      <c r="L1857" s="141">
        <v>27</v>
      </c>
    </row>
    <row r="1858" spans="1:15" ht="17.25" customHeight="1" thickBot="1">
      <c r="A1858" s="126" t="str">
        <f t="shared" si="89"/>
        <v>2026/04</v>
      </c>
      <c r="B1858" s="127" t="str">
        <f t="shared" si="90"/>
        <v>2026/04站前11樓</v>
      </c>
      <c r="C1858" s="138">
        <v>74</v>
      </c>
      <c r="D1858" s="139" t="s">
        <v>374</v>
      </c>
      <c r="E1858" s="484" t="s">
        <v>415</v>
      </c>
      <c r="F1858" s="484"/>
      <c r="G1858" s="484" t="s">
        <v>416</v>
      </c>
      <c r="H1858" s="484"/>
      <c r="I1858" s="484"/>
      <c r="J1858" s="484"/>
      <c r="K1858" s="140" t="s">
        <v>254</v>
      </c>
      <c r="L1858" s="141">
        <v>3</v>
      </c>
    </row>
    <row r="1859" spans="1:15" ht="17.25" customHeight="1" thickBot="1">
      <c r="A1859" s="126" t="str">
        <f t="shared" ref="A1859:A1919" si="91">IFERROR(LEFT(B1859,7),"")</f>
        <v>2026/04</v>
      </c>
      <c r="B1859" s="127" t="str">
        <f t="shared" ref="B1859:B1919" si="92">"2026/04"&amp;D1859</f>
        <v>2026/04站前11樓</v>
      </c>
      <c r="C1859" s="138">
        <v>75</v>
      </c>
      <c r="D1859" s="139" t="s">
        <v>374</v>
      </c>
      <c r="E1859" s="484" t="s">
        <v>252</v>
      </c>
      <c r="F1859" s="484"/>
      <c r="G1859" s="484" t="s">
        <v>253</v>
      </c>
      <c r="H1859" s="484"/>
      <c r="I1859" s="484"/>
      <c r="J1859" s="484"/>
      <c r="K1859" s="140" t="s">
        <v>254</v>
      </c>
      <c r="L1859" s="141">
        <v>27</v>
      </c>
    </row>
    <row r="1860" spans="1:15" ht="17.25" customHeight="1" thickBot="1">
      <c r="A1860" s="126" t="str">
        <f t="shared" si="91"/>
        <v>2026/04</v>
      </c>
      <c r="B1860" s="127" t="str">
        <f t="shared" si="92"/>
        <v>2026/04站前11樓</v>
      </c>
      <c r="C1860" s="138">
        <v>76</v>
      </c>
      <c r="D1860" s="139" t="s">
        <v>374</v>
      </c>
      <c r="E1860" s="484" t="s">
        <v>695</v>
      </c>
      <c r="F1860" s="484"/>
      <c r="G1860" s="484" t="s">
        <v>696</v>
      </c>
      <c r="H1860" s="484"/>
      <c r="I1860" s="484"/>
      <c r="J1860" s="484"/>
      <c r="K1860" s="140" t="s">
        <v>254</v>
      </c>
      <c r="L1860" s="141">
        <v>1</v>
      </c>
    </row>
    <row r="1861" spans="1:15" ht="17.25" customHeight="1" thickBot="1">
      <c r="A1861" s="126" t="str">
        <f t="shared" si="91"/>
        <v>2026/04</v>
      </c>
      <c r="B1861" s="127" t="str">
        <f t="shared" si="92"/>
        <v>2026/04站前11樓</v>
      </c>
      <c r="C1861" s="138">
        <v>77</v>
      </c>
      <c r="D1861" s="139" t="s">
        <v>374</v>
      </c>
      <c r="E1861" s="484" t="s">
        <v>690</v>
      </c>
      <c r="F1861" s="484"/>
      <c r="G1861" s="484" t="s">
        <v>911</v>
      </c>
      <c r="H1861" s="484"/>
      <c r="I1861" s="484"/>
      <c r="J1861" s="484"/>
      <c r="K1861" s="140" t="s">
        <v>692</v>
      </c>
      <c r="L1861" s="141">
        <v>10</v>
      </c>
    </row>
    <row r="1862" spans="1:15" ht="17.25" customHeight="1" thickBot="1">
      <c r="A1862" s="126" t="str">
        <f t="shared" si="91"/>
        <v>2026/04</v>
      </c>
      <c r="B1862" s="127" t="str">
        <f t="shared" si="92"/>
        <v>2026/04站前11樓</v>
      </c>
      <c r="C1862" s="138">
        <v>78</v>
      </c>
      <c r="D1862" s="139" t="s">
        <v>374</v>
      </c>
      <c r="E1862" s="484" t="s">
        <v>932</v>
      </c>
      <c r="F1862" s="484"/>
      <c r="G1862" s="484" t="s">
        <v>933</v>
      </c>
      <c r="H1862" s="484"/>
      <c r="I1862" s="484"/>
      <c r="J1862" s="484"/>
      <c r="K1862" s="140" t="s">
        <v>254</v>
      </c>
      <c r="L1862" s="141">
        <v>1</v>
      </c>
    </row>
    <row r="1863" spans="1:15" ht="17.25" customHeight="1" thickBot="1">
      <c r="A1863" s="126" t="str">
        <f t="shared" si="91"/>
        <v>2026/04</v>
      </c>
      <c r="B1863" s="127" t="str">
        <f t="shared" si="92"/>
        <v>2026/04站前11樓</v>
      </c>
      <c r="C1863" s="138">
        <v>79</v>
      </c>
      <c r="D1863" s="139" t="s">
        <v>374</v>
      </c>
      <c r="E1863" s="484" t="s">
        <v>389</v>
      </c>
      <c r="F1863" s="484"/>
      <c r="G1863" s="484" t="s">
        <v>390</v>
      </c>
      <c r="H1863" s="484"/>
      <c r="I1863" s="484"/>
      <c r="J1863" s="484"/>
      <c r="K1863" s="140" t="s">
        <v>391</v>
      </c>
      <c r="L1863" s="141">
        <v>55</v>
      </c>
    </row>
    <row r="1864" spans="1:15" ht="17.25" customHeight="1" thickBot="1">
      <c r="A1864" s="126" t="str">
        <f t="shared" si="91"/>
        <v>2026/04</v>
      </c>
      <c r="B1864" s="127" t="str">
        <f t="shared" si="92"/>
        <v>2026/04站前11樓</v>
      </c>
      <c r="C1864" s="138">
        <v>80</v>
      </c>
      <c r="D1864" s="139" t="s">
        <v>374</v>
      </c>
      <c r="E1864" s="484" t="s">
        <v>386</v>
      </c>
      <c r="F1864" s="484"/>
      <c r="G1864" s="484" t="s">
        <v>387</v>
      </c>
      <c r="H1864" s="484"/>
      <c r="I1864" s="484"/>
      <c r="J1864" s="484"/>
      <c r="K1864" s="140" t="s">
        <v>388</v>
      </c>
      <c r="L1864" s="141">
        <v>2976</v>
      </c>
      <c r="O1864" s="410"/>
    </row>
    <row r="1865" spans="1:15" ht="17.25" customHeight="1" thickBot="1">
      <c r="A1865" s="126" t="str">
        <f t="shared" si="91"/>
        <v>2026/04</v>
      </c>
      <c r="B1865" s="127" t="str">
        <f t="shared" si="92"/>
        <v>2026/04站前11樓</v>
      </c>
      <c r="C1865" s="138">
        <v>81</v>
      </c>
      <c r="D1865" s="139" t="s">
        <v>374</v>
      </c>
      <c r="E1865" s="484" t="s">
        <v>401</v>
      </c>
      <c r="F1865" s="484"/>
      <c r="G1865" s="484" t="s">
        <v>919</v>
      </c>
      <c r="H1865" s="484"/>
      <c r="I1865" s="484"/>
      <c r="J1865" s="484"/>
      <c r="K1865" s="140" t="s">
        <v>145</v>
      </c>
      <c r="L1865" s="141">
        <v>1</v>
      </c>
      <c r="O1865" s="410"/>
    </row>
    <row r="1866" spans="1:15" ht="17.25" customHeight="1" thickBot="1">
      <c r="A1866" s="126" t="str">
        <f t="shared" si="91"/>
        <v>2026/04</v>
      </c>
      <c r="B1866" s="127" t="str">
        <f t="shared" si="92"/>
        <v>2026/04站前11樓</v>
      </c>
      <c r="C1866" s="138">
        <v>82</v>
      </c>
      <c r="D1866" s="139" t="s">
        <v>374</v>
      </c>
      <c r="E1866" s="484" t="s">
        <v>417</v>
      </c>
      <c r="F1866" s="484"/>
      <c r="G1866" s="484" t="s">
        <v>920</v>
      </c>
      <c r="H1866" s="484"/>
      <c r="I1866" s="484"/>
      <c r="J1866" s="484"/>
      <c r="K1866" s="140" t="s">
        <v>145</v>
      </c>
      <c r="L1866" s="141">
        <v>11</v>
      </c>
      <c r="O1866" s="410"/>
    </row>
    <row r="1867" spans="1:15" ht="17.25" customHeight="1" thickBot="1">
      <c r="A1867" s="126" t="str">
        <f t="shared" si="91"/>
        <v>2026/04</v>
      </c>
      <c r="B1867" s="127" t="str">
        <f t="shared" si="92"/>
        <v>2026/04站前11樓</v>
      </c>
      <c r="C1867" s="138">
        <v>83</v>
      </c>
      <c r="D1867" s="139" t="s">
        <v>374</v>
      </c>
      <c r="E1867" s="484" t="s">
        <v>411</v>
      </c>
      <c r="F1867" s="484"/>
      <c r="G1867" s="484" t="s">
        <v>934</v>
      </c>
      <c r="H1867" s="484"/>
      <c r="I1867" s="484"/>
      <c r="J1867" s="484"/>
      <c r="K1867" s="140" t="s">
        <v>433</v>
      </c>
      <c r="L1867" s="141">
        <v>13</v>
      </c>
      <c r="O1867" s="410"/>
    </row>
    <row r="1868" spans="1:15" ht="17.25" customHeight="1" thickBot="1">
      <c r="A1868" s="126" t="str">
        <f t="shared" si="91"/>
        <v>2026/04</v>
      </c>
      <c r="B1868" s="127" t="str">
        <f t="shared" si="92"/>
        <v>2026/04站前11樓</v>
      </c>
      <c r="C1868" s="138">
        <v>84</v>
      </c>
      <c r="D1868" s="139" t="s">
        <v>374</v>
      </c>
      <c r="E1868" s="484" t="s">
        <v>375</v>
      </c>
      <c r="F1868" s="484"/>
      <c r="G1868" s="484" t="s">
        <v>925</v>
      </c>
      <c r="H1868" s="484"/>
      <c r="I1868" s="484"/>
      <c r="J1868" s="484"/>
      <c r="K1868" s="140" t="s">
        <v>433</v>
      </c>
      <c r="L1868" s="141">
        <v>6</v>
      </c>
      <c r="O1868" s="410"/>
    </row>
    <row r="1869" spans="1:15" ht="17.25" customHeight="1" thickBot="1">
      <c r="A1869" s="126" t="str">
        <f t="shared" si="91"/>
        <v>2026/04</v>
      </c>
      <c r="B1869" s="127" t="str">
        <f t="shared" si="92"/>
        <v>2026/04站前11樓</v>
      </c>
      <c r="C1869" s="138">
        <v>85</v>
      </c>
      <c r="D1869" s="139" t="s">
        <v>374</v>
      </c>
      <c r="E1869" s="484" t="s">
        <v>399</v>
      </c>
      <c r="F1869" s="484"/>
      <c r="G1869" s="484" t="s">
        <v>921</v>
      </c>
      <c r="H1869" s="484"/>
      <c r="I1869" s="484"/>
      <c r="J1869" s="484"/>
      <c r="K1869" s="140" t="s">
        <v>433</v>
      </c>
      <c r="L1869" s="141">
        <v>11</v>
      </c>
      <c r="O1869" s="410"/>
    </row>
    <row r="1870" spans="1:15" ht="17.25" customHeight="1" thickBot="1">
      <c r="A1870" s="126" t="str">
        <f t="shared" si="91"/>
        <v>2026/04</v>
      </c>
      <c r="B1870" s="127" t="str">
        <f t="shared" si="92"/>
        <v>2026/04站前11樓</v>
      </c>
      <c r="C1870" s="138">
        <v>86</v>
      </c>
      <c r="D1870" s="139" t="s">
        <v>374</v>
      </c>
      <c r="E1870" s="484" t="s">
        <v>431</v>
      </c>
      <c r="F1870" s="484"/>
      <c r="G1870" s="484" t="s">
        <v>922</v>
      </c>
      <c r="H1870" s="484"/>
      <c r="I1870" s="484"/>
      <c r="J1870" s="484"/>
      <c r="K1870" s="140" t="s">
        <v>746</v>
      </c>
      <c r="L1870" s="141">
        <v>1444</v>
      </c>
      <c r="O1870" s="410"/>
    </row>
    <row r="1871" spans="1:15" ht="17.25" customHeight="1" thickBot="1">
      <c r="A1871" s="126" t="str">
        <f t="shared" si="91"/>
        <v>2026/04</v>
      </c>
      <c r="B1871" s="127" t="str">
        <f t="shared" si="92"/>
        <v>2026/04忠孝7樓</v>
      </c>
      <c r="C1871" s="138">
        <v>87</v>
      </c>
      <c r="D1871" s="139" t="s">
        <v>424</v>
      </c>
      <c r="E1871" s="484" t="s">
        <v>893</v>
      </c>
      <c r="F1871" s="484"/>
      <c r="G1871" s="484" t="s">
        <v>894</v>
      </c>
      <c r="H1871" s="484"/>
      <c r="I1871" s="484"/>
      <c r="J1871" s="484"/>
      <c r="K1871" s="140" t="s">
        <v>895</v>
      </c>
      <c r="L1871" s="141">
        <v>324</v>
      </c>
      <c r="O1871" s="410"/>
    </row>
    <row r="1872" spans="1:15" ht="17.25" customHeight="1" thickBot="1">
      <c r="A1872" s="126" t="str">
        <f t="shared" si="91"/>
        <v>2026/04</v>
      </c>
      <c r="B1872" s="127" t="str">
        <f t="shared" si="92"/>
        <v>2026/04忠孝7樓</v>
      </c>
      <c r="C1872" s="138">
        <v>88</v>
      </c>
      <c r="D1872" s="139" t="s">
        <v>424</v>
      </c>
      <c r="E1872" s="484" t="s">
        <v>886</v>
      </c>
      <c r="F1872" s="484"/>
      <c r="G1872" s="484" t="s">
        <v>887</v>
      </c>
      <c r="H1872" s="484"/>
      <c r="I1872" s="484"/>
      <c r="J1872" s="484"/>
      <c r="K1872" s="140" t="s">
        <v>888</v>
      </c>
      <c r="L1872" s="141">
        <v>2000</v>
      </c>
      <c r="O1872" s="410"/>
    </row>
    <row r="1873" spans="1:15" ht="17.25" customHeight="1" thickBot="1">
      <c r="A1873" s="126" t="str">
        <f t="shared" si="91"/>
        <v>2026/04</v>
      </c>
      <c r="B1873" s="127" t="str">
        <f t="shared" si="92"/>
        <v>2026/04忠孝7樓</v>
      </c>
      <c r="C1873" s="138">
        <v>89</v>
      </c>
      <c r="D1873" s="139" t="s">
        <v>424</v>
      </c>
      <c r="E1873" s="484" t="s">
        <v>899</v>
      </c>
      <c r="F1873" s="484"/>
      <c r="G1873" s="484" t="s">
        <v>943</v>
      </c>
      <c r="H1873" s="484"/>
      <c r="I1873" s="484"/>
      <c r="J1873" s="484"/>
      <c r="K1873" s="140" t="s">
        <v>888</v>
      </c>
      <c r="L1873" s="141">
        <v>1125</v>
      </c>
      <c r="O1873" s="410"/>
    </row>
    <row r="1874" spans="1:15" ht="17.25" customHeight="1" thickBot="1">
      <c r="A1874" s="126" t="str">
        <f t="shared" si="91"/>
        <v>2026/04</v>
      </c>
      <c r="B1874" s="127" t="str">
        <f t="shared" si="92"/>
        <v>2026/04忠孝7樓</v>
      </c>
      <c r="C1874" s="138">
        <v>90</v>
      </c>
      <c r="D1874" s="139" t="s">
        <v>424</v>
      </c>
      <c r="E1874" s="484" t="s">
        <v>944</v>
      </c>
      <c r="F1874" s="484"/>
      <c r="G1874" s="484" t="s">
        <v>945</v>
      </c>
      <c r="H1874" s="484"/>
      <c r="I1874" s="484"/>
      <c r="J1874" s="484"/>
      <c r="K1874" s="140" t="s">
        <v>145</v>
      </c>
      <c r="L1874" s="141">
        <v>24497</v>
      </c>
      <c r="O1874" s="410"/>
    </row>
    <row r="1875" spans="1:15" ht="17.25" customHeight="1" thickBot="1">
      <c r="A1875" s="126" t="str">
        <f t="shared" si="91"/>
        <v>2026/04</v>
      </c>
      <c r="B1875" s="127" t="str">
        <f t="shared" si="92"/>
        <v>2026/04忠孝7樓</v>
      </c>
      <c r="C1875" s="138">
        <v>91</v>
      </c>
      <c r="D1875" s="139" t="s">
        <v>424</v>
      </c>
      <c r="E1875" s="484" t="s">
        <v>413</v>
      </c>
      <c r="F1875" s="484"/>
      <c r="G1875" s="484" t="s">
        <v>918</v>
      </c>
      <c r="H1875" s="484"/>
      <c r="I1875" s="484"/>
      <c r="J1875" s="484"/>
      <c r="K1875" s="140" t="s">
        <v>410</v>
      </c>
      <c r="L1875" s="141">
        <v>4</v>
      </c>
      <c r="O1875" s="410"/>
    </row>
    <row r="1876" spans="1:15" ht="17.25" customHeight="1" thickBot="1">
      <c r="A1876" s="126" t="str">
        <f t="shared" si="91"/>
        <v>2026/04</v>
      </c>
      <c r="B1876" s="127" t="str">
        <f t="shared" si="92"/>
        <v>2026/04忠孝7樓</v>
      </c>
      <c r="C1876" s="138">
        <v>92</v>
      </c>
      <c r="D1876" s="139" t="s">
        <v>424</v>
      </c>
      <c r="E1876" s="484" t="s">
        <v>360</v>
      </c>
      <c r="F1876" s="484"/>
      <c r="G1876" s="484" t="s">
        <v>361</v>
      </c>
      <c r="H1876" s="484"/>
      <c r="I1876" s="484"/>
      <c r="J1876" s="484"/>
      <c r="K1876" s="140" t="s">
        <v>362</v>
      </c>
      <c r="L1876" s="141">
        <v>33</v>
      </c>
      <c r="O1876" s="410"/>
    </row>
    <row r="1877" spans="1:15" ht="17.25" customHeight="1" thickBot="1">
      <c r="A1877" s="126" t="str">
        <f t="shared" si="91"/>
        <v>2026/04</v>
      </c>
      <c r="B1877" s="127" t="str">
        <f t="shared" si="92"/>
        <v>2026/04忠孝7樓</v>
      </c>
      <c r="C1877" s="138">
        <v>93</v>
      </c>
      <c r="D1877" s="139" t="s">
        <v>424</v>
      </c>
      <c r="E1877" s="484" t="s">
        <v>383</v>
      </c>
      <c r="F1877" s="484"/>
      <c r="G1877" s="484" t="s">
        <v>384</v>
      </c>
      <c r="H1877" s="484"/>
      <c r="I1877" s="484"/>
      <c r="J1877" s="484"/>
      <c r="K1877" s="140" t="s">
        <v>385</v>
      </c>
      <c r="L1877" s="141">
        <v>37</v>
      </c>
      <c r="O1877" s="410"/>
    </row>
    <row r="1878" spans="1:15" ht="17.25" customHeight="1" thickBot="1">
      <c r="A1878" s="126" t="str">
        <f t="shared" si="91"/>
        <v>2026/04</v>
      </c>
      <c r="B1878" s="127" t="str">
        <f t="shared" si="92"/>
        <v>2026/04忠孝7樓</v>
      </c>
      <c r="C1878" s="138">
        <v>94</v>
      </c>
      <c r="D1878" s="139" t="s">
        <v>424</v>
      </c>
      <c r="E1878" s="484" t="s">
        <v>394</v>
      </c>
      <c r="F1878" s="484"/>
      <c r="G1878" s="484" t="s">
        <v>395</v>
      </c>
      <c r="H1878" s="484"/>
      <c r="I1878" s="484"/>
      <c r="J1878" s="484"/>
      <c r="K1878" s="140" t="s">
        <v>272</v>
      </c>
      <c r="L1878" s="141">
        <v>2</v>
      </c>
      <c r="O1878" s="410"/>
    </row>
    <row r="1879" spans="1:15" ht="17.25" customHeight="1" thickBot="1">
      <c r="A1879" s="126" t="str">
        <f t="shared" si="91"/>
        <v>2026/04</v>
      </c>
      <c r="B1879" s="127" t="str">
        <f t="shared" si="92"/>
        <v>2026/04忠孝7樓</v>
      </c>
      <c r="C1879" s="138">
        <v>95</v>
      </c>
      <c r="D1879" s="139" t="s">
        <v>424</v>
      </c>
      <c r="E1879" s="484" t="s">
        <v>255</v>
      </c>
      <c r="F1879" s="484"/>
      <c r="G1879" s="484" t="s">
        <v>256</v>
      </c>
      <c r="H1879" s="484"/>
      <c r="I1879" s="484"/>
      <c r="J1879" s="484"/>
      <c r="K1879" s="140" t="s">
        <v>720</v>
      </c>
      <c r="L1879" s="141">
        <v>99</v>
      </c>
      <c r="O1879" s="410"/>
    </row>
    <row r="1880" spans="1:15" ht="17.25" customHeight="1" thickBot="1">
      <c r="A1880" s="126" t="str">
        <f t="shared" si="91"/>
        <v>2026/04</v>
      </c>
      <c r="B1880" s="127" t="str">
        <f t="shared" si="92"/>
        <v>2026/04忠孝7樓</v>
      </c>
      <c r="C1880" s="138">
        <v>96</v>
      </c>
      <c r="D1880" s="139" t="s">
        <v>424</v>
      </c>
      <c r="E1880" s="484" t="s">
        <v>258</v>
      </c>
      <c r="F1880" s="484"/>
      <c r="G1880" s="484" t="s">
        <v>259</v>
      </c>
      <c r="H1880" s="484"/>
      <c r="I1880" s="484"/>
      <c r="J1880" s="484"/>
      <c r="K1880" s="140"/>
      <c r="L1880" s="141">
        <v>128</v>
      </c>
      <c r="O1880" s="410"/>
    </row>
    <row r="1881" spans="1:15" ht="17.25" customHeight="1" thickBot="1">
      <c r="A1881" s="126" t="str">
        <f t="shared" si="91"/>
        <v>2026/04</v>
      </c>
      <c r="B1881" s="127" t="str">
        <f t="shared" si="92"/>
        <v>2026/04忠孝7樓</v>
      </c>
      <c r="C1881" s="138">
        <v>97</v>
      </c>
      <c r="D1881" s="139" t="s">
        <v>424</v>
      </c>
      <c r="E1881" s="484" t="s">
        <v>260</v>
      </c>
      <c r="F1881" s="484"/>
      <c r="G1881" s="484" t="s">
        <v>261</v>
      </c>
      <c r="H1881" s="484"/>
      <c r="I1881" s="484"/>
      <c r="J1881" s="484"/>
      <c r="K1881" s="140" t="s">
        <v>254</v>
      </c>
      <c r="L1881" s="141">
        <v>125</v>
      </c>
      <c r="O1881" s="410"/>
    </row>
    <row r="1882" spans="1:15" ht="17.25" customHeight="1" thickBot="1">
      <c r="A1882" s="126" t="str">
        <f t="shared" si="91"/>
        <v>2026/04</v>
      </c>
      <c r="B1882" s="127" t="str">
        <f t="shared" si="92"/>
        <v>2026/04忠孝7樓</v>
      </c>
      <c r="C1882" s="138">
        <v>98</v>
      </c>
      <c r="D1882" s="139" t="s">
        <v>424</v>
      </c>
      <c r="E1882" s="484" t="s">
        <v>415</v>
      </c>
      <c r="F1882" s="484"/>
      <c r="G1882" s="484" t="s">
        <v>416</v>
      </c>
      <c r="H1882" s="484"/>
      <c r="I1882" s="484"/>
      <c r="J1882" s="484"/>
      <c r="K1882" s="140" t="s">
        <v>254</v>
      </c>
      <c r="L1882" s="141">
        <v>2</v>
      </c>
      <c r="O1882" s="410"/>
    </row>
    <row r="1883" spans="1:15" ht="17.25" customHeight="1" thickBot="1">
      <c r="A1883" s="126" t="str">
        <f t="shared" si="91"/>
        <v>2026/04</v>
      </c>
      <c r="B1883" s="127" t="str">
        <f t="shared" si="92"/>
        <v>2026/04忠孝7樓</v>
      </c>
      <c r="C1883" s="138">
        <v>99</v>
      </c>
      <c r="D1883" s="139" t="s">
        <v>424</v>
      </c>
      <c r="E1883" s="484" t="s">
        <v>262</v>
      </c>
      <c r="F1883" s="484"/>
      <c r="G1883" s="484" t="s">
        <v>263</v>
      </c>
      <c r="H1883" s="484"/>
      <c r="I1883" s="484"/>
      <c r="J1883" s="484"/>
      <c r="K1883" s="140" t="s">
        <v>254</v>
      </c>
      <c r="L1883" s="141">
        <v>170</v>
      </c>
      <c r="O1883" s="410"/>
    </row>
    <row r="1884" spans="1:15" ht="17.25" customHeight="1" thickBot="1">
      <c r="A1884" s="126" t="str">
        <f t="shared" si="91"/>
        <v>2026/04</v>
      </c>
      <c r="B1884" s="127" t="str">
        <f t="shared" si="92"/>
        <v>2026/04忠孝7樓</v>
      </c>
      <c r="C1884" s="138">
        <v>100</v>
      </c>
      <c r="D1884" s="139" t="s">
        <v>424</v>
      </c>
      <c r="E1884" s="484" t="s">
        <v>270</v>
      </c>
      <c r="F1884" s="484"/>
      <c r="G1884" s="484" t="s">
        <v>271</v>
      </c>
      <c r="H1884" s="484"/>
      <c r="I1884" s="484"/>
      <c r="J1884" s="484"/>
      <c r="K1884" s="140" t="s">
        <v>272</v>
      </c>
      <c r="L1884" s="141">
        <v>151</v>
      </c>
      <c r="O1884" s="410"/>
    </row>
    <row r="1885" spans="1:15" ht="17.25" customHeight="1" thickBot="1">
      <c r="A1885" s="126" t="str">
        <f t="shared" si="91"/>
        <v>2026/04</v>
      </c>
      <c r="B1885" s="127" t="str">
        <f t="shared" si="92"/>
        <v>2026/04忠孝7樓</v>
      </c>
      <c r="C1885" s="138">
        <v>101</v>
      </c>
      <c r="D1885" s="139" t="s">
        <v>424</v>
      </c>
      <c r="E1885" s="484" t="s">
        <v>252</v>
      </c>
      <c r="F1885" s="484"/>
      <c r="G1885" s="484" t="s">
        <v>253</v>
      </c>
      <c r="H1885" s="484"/>
      <c r="I1885" s="484"/>
      <c r="J1885" s="484"/>
      <c r="K1885" s="140" t="s">
        <v>254</v>
      </c>
      <c r="L1885" s="141">
        <v>180</v>
      </c>
      <c r="O1885" s="410"/>
    </row>
    <row r="1886" spans="1:15" ht="17.25" customHeight="1" thickBot="1">
      <c r="A1886" s="126" t="str">
        <f t="shared" si="91"/>
        <v>2026/04</v>
      </c>
      <c r="B1886" s="127" t="str">
        <f t="shared" si="92"/>
        <v>2026/04忠孝7樓</v>
      </c>
      <c r="C1886" s="138">
        <v>102</v>
      </c>
      <c r="D1886" s="139" t="s">
        <v>424</v>
      </c>
      <c r="E1886" s="484" t="s">
        <v>695</v>
      </c>
      <c r="F1886" s="484"/>
      <c r="G1886" s="484" t="s">
        <v>696</v>
      </c>
      <c r="H1886" s="484"/>
      <c r="I1886" s="484"/>
      <c r="J1886" s="484"/>
      <c r="K1886" s="140" t="s">
        <v>254</v>
      </c>
      <c r="L1886" s="141">
        <v>2</v>
      </c>
      <c r="O1886" s="410"/>
    </row>
    <row r="1887" spans="1:15" ht="17.25" customHeight="1" thickBot="1">
      <c r="A1887" s="126" t="str">
        <f t="shared" si="91"/>
        <v>2026/04</v>
      </c>
      <c r="B1887" s="127" t="str">
        <f t="shared" si="92"/>
        <v>2026/04忠孝7樓</v>
      </c>
      <c r="C1887" s="138">
        <v>103</v>
      </c>
      <c r="D1887" s="139" t="s">
        <v>424</v>
      </c>
      <c r="E1887" s="484" t="s">
        <v>429</v>
      </c>
      <c r="F1887" s="484"/>
      <c r="G1887" s="484" t="s">
        <v>430</v>
      </c>
      <c r="H1887" s="484"/>
      <c r="I1887" s="484"/>
      <c r="J1887" s="484"/>
      <c r="K1887" s="140" t="s">
        <v>272</v>
      </c>
      <c r="L1887" s="141">
        <v>2</v>
      </c>
      <c r="O1887" s="410"/>
    </row>
    <row r="1888" spans="1:15" ht="17.25" customHeight="1" thickBot="1">
      <c r="A1888" s="126" t="str">
        <f t="shared" si="91"/>
        <v>2026/04</v>
      </c>
      <c r="B1888" s="127" t="str">
        <f t="shared" si="92"/>
        <v>2026/04忠孝7樓</v>
      </c>
      <c r="C1888" s="138">
        <v>104</v>
      </c>
      <c r="D1888" s="139" t="s">
        <v>424</v>
      </c>
      <c r="E1888" s="484" t="s">
        <v>690</v>
      </c>
      <c r="F1888" s="484"/>
      <c r="G1888" s="484" t="s">
        <v>911</v>
      </c>
      <c r="H1888" s="484"/>
      <c r="I1888" s="484"/>
      <c r="J1888" s="484"/>
      <c r="K1888" s="140" t="s">
        <v>692</v>
      </c>
      <c r="L1888" s="141">
        <v>29</v>
      </c>
      <c r="O1888" s="410"/>
    </row>
    <row r="1889" spans="1:15" ht="17.25" customHeight="1" thickBot="1">
      <c r="A1889" s="126" t="str">
        <f t="shared" si="91"/>
        <v>2026/04</v>
      </c>
      <c r="B1889" s="127" t="str">
        <f t="shared" si="92"/>
        <v>2026/04忠孝7樓</v>
      </c>
      <c r="C1889" s="138">
        <v>105</v>
      </c>
      <c r="D1889" s="139" t="s">
        <v>424</v>
      </c>
      <c r="E1889" s="484" t="s">
        <v>946</v>
      </c>
      <c r="F1889" s="484"/>
      <c r="G1889" s="484" t="s">
        <v>947</v>
      </c>
      <c r="H1889" s="484"/>
      <c r="I1889" s="484"/>
      <c r="J1889" s="484"/>
      <c r="K1889" s="140" t="s">
        <v>254</v>
      </c>
      <c r="L1889" s="141">
        <v>1</v>
      </c>
      <c r="O1889" s="410"/>
    </row>
    <row r="1890" spans="1:15" ht="17.25" customHeight="1" thickBot="1">
      <c r="A1890" s="126" t="str">
        <f t="shared" si="91"/>
        <v>2026/04</v>
      </c>
      <c r="B1890" s="127" t="str">
        <f t="shared" si="92"/>
        <v>2026/04忠孝7樓</v>
      </c>
      <c r="C1890" s="138">
        <v>106</v>
      </c>
      <c r="D1890" s="139" t="s">
        <v>424</v>
      </c>
      <c r="E1890" s="484" t="s">
        <v>305</v>
      </c>
      <c r="F1890" s="484"/>
      <c r="G1890" s="484" t="s">
        <v>877</v>
      </c>
      <c r="H1890" s="484"/>
      <c r="I1890" s="484"/>
      <c r="J1890" s="484"/>
      <c r="K1890" s="140" t="s">
        <v>676</v>
      </c>
      <c r="L1890" s="141">
        <v>4067</v>
      </c>
      <c r="O1890" s="410"/>
    </row>
    <row r="1891" spans="1:15" ht="17.25" customHeight="1" thickBot="1">
      <c r="A1891" s="126" t="str">
        <f t="shared" si="91"/>
        <v>2026/04</v>
      </c>
      <c r="B1891" s="127" t="str">
        <f t="shared" si="92"/>
        <v>2026/04忠孝7樓</v>
      </c>
      <c r="C1891" s="138">
        <v>107</v>
      </c>
      <c r="D1891" s="139" t="s">
        <v>424</v>
      </c>
      <c r="E1891" s="484" t="s">
        <v>264</v>
      </c>
      <c r="F1891" s="484"/>
      <c r="G1891" s="484" t="s">
        <v>677</v>
      </c>
      <c r="H1891" s="484"/>
      <c r="I1891" s="484"/>
      <c r="J1891" s="484"/>
      <c r="K1891" s="140" t="s">
        <v>678</v>
      </c>
      <c r="L1891" s="141">
        <v>7738</v>
      </c>
      <c r="O1891" s="410"/>
    </row>
    <row r="1892" spans="1:15" ht="17.25" customHeight="1" thickBot="1">
      <c r="A1892" s="126" t="str">
        <f t="shared" si="91"/>
        <v>2026/04</v>
      </c>
      <c r="B1892" s="127" t="str">
        <f t="shared" si="92"/>
        <v>2026/04忠孝7樓</v>
      </c>
      <c r="C1892" s="138">
        <v>108</v>
      </c>
      <c r="D1892" s="139" t="s">
        <v>424</v>
      </c>
      <c r="E1892" s="484" t="s">
        <v>307</v>
      </c>
      <c r="F1892" s="484"/>
      <c r="G1892" s="484" t="s">
        <v>878</v>
      </c>
      <c r="H1892" s="484"/>
      <c r="I1892" s="484"/>
      <c r="J1892" s="484"/>
      <c r="K1892" s="140" t="s">
        <v>678</v>
      </c>
      <c r="L1892" s="141">
        <v>5459</v>
      </c>
      <c r="O1892" s="410"/>
    </row>
    <row r="1893" spans="1:15" ht="17.25" customHeight="1" thickBot="1">
      <c r="A1893" s="126" t="str">
        <f t="shared" si="91"/>
        <v>2026/04</v>
      </c>
      <c r="B1893" s="127" t="str">
        <f t="shared" si="92"/>
        <v>2026/04忠孝7樓</v>
      </c>
      <c r="C1893" s="138">
        <v>109</v>
      </c>
      <c r="D1893" s="139" t="s">
        <v>424</v>
      </c>
      <c r="E1893" s="484" t="s">
        <v>313</v>
      </c>
      <c r="F1893" s="484"/>
      <c r="G1893" s="484" t="s">
        <v>314</v>
      </c>
      <c r="H1893" s="484"/>
      <c r="I1893" s="484"/>
      <c r="J1893" s="484"/>
      <c r="K1893" s="140" t="s">
        <v>301</v>
      </c>
      <c r="L1893" s="141">
        <v>118</v>
      </c>
      <c r="O1893" s="410"/>
    </row>
    <row r="1894" spans="1:15" ht="17.25" customHeight="1" thickBot="1">
      <c r="A1894" s="126" t="str">
        <f t="shared" si="91"/>
        <v>2026/04</v>
      </c>
      <c r="B1894" s="127" t="str">
        <f t="shared" si="92"/>
        <v>2026/04忠孝7樓</v>
      </c>
      <c r="C1894" s="138">
        <v>110</v>
      </c>
      <c r="D1894" s="139" t="s">
        <v>424</v>
      </c>
      <c r="E1894" s="484" t="s">
        <v>343</v>
      </c>
      <c r="F1894" s="484"/>
      <c r="G1894" s="484" t="s">
        <v>344</v>
      </c>
      <c r="H1894" s="484"/>
      <c r="I1894" s="484"/>
      <c r="J1894" s="484"/>
      <c r="K1894" s="140" t="s">
        <v>301</v>
      </c>
      <c r="L1894" s="141">
        <v>21</v>
      </c>
      <c r="O1894" s="410"/>
    </row>
    <row r="1895" spans="1:15" ht="17.25" customHeight="1" thickBot="1">
      <c r="A1895" s="126" t="str">
        <f t="shared" si="91"/>
        <v>2026/04</v>
      </c>
      <c r="B1895" s="127" t="str">
        <f t="shared" si="92"/>
        <v>2026/04忠孝7樓</v>
      </c>
      <c r="C1895" s="138">
        <v>111</v>
      </c>
      <c r="D1895" s="139" t="s">
        <v>424</v>
      </c>
      <c r="E1895" s="484" t="s">
        <v>427</v>
      </c>
      <c r="F1895" s="484"/>
      <c r="G1895" s="484" t="s">
        <v>428</v>
      </c>
      <c r="H1895" s="484"/>
      <c r="I1895" s="484"/>
      <c r="J1895" s="484"/>
      <c r="K1895" s="140" t="s">
        <v>301</v>
      </c>
      <c r="L1895" s="141">
        <v>4</v>
      </c>
      <c r="O1895" s="410"/>
    </row>
    <row r="1896" spans="1:15" ht="17.25" customHeight="1" thickBot="1">
      <c r="A1896" s="126" t="str">
        <f t="shared" si="91"/>
        <v>2026/04</v>
      </c>
      <c r="B1896" s="127" t="str">
        <f t="shared" si="92"/>
        <v>2026/04忠孝7樓</v>
      </c>
      <c r="C1896" s="138">
        <v>112</v>
      </c>
      <c r="D1896" s="139" t="s">
        <v>424</v>
      </c>
      <c r="E1896" s="484" t="s">
        <v>349</v>
      </c>
      <c r="F1896" s="484"/>
      <c r="G1896" s="484" t="s">
        <v>350</v>
      </c>
      <c r="H1896" s="484"/>
      <c r="I1896" s="484"/>
      <c r="J1896" s="484"/>
      <c r="K1896" s="140" t="s">
        <v>301</v>
      </c>
      <c r="L1896" s="141">
        <v>10</v>
      </c>
      <c r="O1896" s="410"/>
    </row>
    <row r="1897" spans="1:15" ht="17.25" customHeight="1" thickBot="1">
      <c r="A1897" s="126" t="str">
        <f t="shared" si="91"/>
        <v>2026/04</v>
      </c>
      <c r="B1897" s="127" t="str">
        <f t="shared" si="92"/>
        <v>2026/04忠孝7樓</v>
      </c>
      <c r="C1897" s="138">
        <v>113</v>
      </c>
      <c r="D1897" s="139" t="s">
        <v>424</v>
      </c>
      <c r="E1897" s="484" t="s">
        <v>366</v>
      </c>
      <c r="F1897" s="484"/>
      <c r="G1897" s="484" t="s">
        <v>367</v>
      </c>
      <c r="H1897" s="484"/>
      <c r="I1897" s="484"/>
      <c r="J1897" s="484"/>
      <c r="K1897" s="140" t="s">
        <v>301</v>
      </c>
      <c r="L1897" s="141">
        <v>1</v>
      </c>
      <c r="O1897" s="410"/>
    </row>
    <row r="1898" spans="1:15" ht="17.25" customHeight="1" thickBot="1">
      <c r="A1898" s="126" t="str">
        <f t="shared" si="91"/>
        <v>2026/04</v>
      </c>
      <c r="B1898" s="127" t="str">
        <f t="shared" si="92"/>
        <v>2026/04忠孝7樓</v>
      </c>
      <c r="C1898" s="138">
        <v>114</v>
      </c>
      <c r="D1898" s="139" t="s">
        <v>424</v>
      </c>
      <c r="E1898" s="484" t="s">
        <v>282</v>
      </c>
      <c r="F1898" s="484"/>
      <c r="G1898" s="484" t="s">
        <v>283</v>
      </c>
      <c r="H1898" s="484"/>
      <c r="I1898" s="484"/>
      <c r="J1898" s="484"/>
      <c r="K1898" s="140" t="s">
        <v>284</v>
      </c>
      <c r="L1898" s="141">
        <v>24</v>
      </c>
      <c r="O1898" s="410"/>
    </row>
    <row r="1899" spans="1:15" ht="17.25" customHeight="1" thickBot="1">
      <c r="A1899" s="126" t="str">
        <f t="shared" si="91"/>
        <v>2026/04</v>
      </c>
      <c r="B1899" s="127" t="str">
        <f t="shared" si="92"/>
        <v>2026/04忠孝7樓</v>
      </c>
      <c r="C1899" s="138">
        <v>115</v>
      </c>
      <c r="D1899" s="139" t="s">
        <v>424</v>
      </c>
      <c r="E1899" s="484" t="s">
        <v>345</v>
      </c>
      <c r="F1899" s="484"/>
      <c r="G1899" s="484" t="s">
        <v>346</v>
      </c>
      <c r="H1899" s="484"/>
      <c r="I1899" s="484"/>
      <c r="J1899" s="484"/>
      <c r="K1899" s="140" t="s">
        <v>284</v>
      </c>
      <c r="L1899" s="141">
        <v>3</v>
      </c>
      <c r="O1899" s="410"/>
    </row>
    <row r="1900" spans="1:15" ht="17.25" customHeight="1" thickBot="1">
      <c r="A1900" s="126" t="str">
        <f t="shared" si="91"/>
        <v>2026/04</v>
      </c>
      <c r="B1900" s="127" t="str">
        <f t="shared" si="92"/>
        <v>2026/04忠孝7樓</v>
      </c>
      <c r="C1900" s="138">
        <v>116</v>
      </c>
      <c r="D1900" s="139" t="s">
        <v>424</v>
      </c>
      <c r="E1900" s="484" t="s">
        <v>311</v>
      </c>
      <c r="F1900" s="484"/>
      <c r="G1900" s="484" t="s">
        <v>312</v>
      </c>
      <c r="H1900" s="484"/>
      <c r="I1900" s="484"/>
      <c r="J1900" s="484"/>
      <c r="K1900" s="140" t="s">
        <v>284</v>
      </c>
      <c r="L1900" s="141">
        <v>23</v>
      </c>
      <c r="O1900" s="410"/>
    </row>
    <row r="1901" spans="1:15" ht="17.25" customHeight="1" thickBot="1">
      <c r="A1901" s="126" t="str">
        <f t="shared" si="91"/>
        <v>2026/04</v>
      </c>
      <c r="B1901" s="127" t="str">
        <f t="shared" si="92"/>
        <v>2026/04忠孝7樓</v>
      </c>
      <c r="C1901" s="138">
        <v>117</v>
      </c>
      <c r="D1901" s="139" t="s">
        <v>424</v>
      </c>
      <c r="E1901" s="484" t="s">
        <v>680</v>
      </c>
      <c r="F1901" s="484"/>
      <c r="G1901" s="484" t="s">
        <v>681</v>
      </c>
      <c r="H1901" s="484"/>
      <c r="I1901" s="484"/>
      <c r="J1901" s="484"/>
      <c r="K1901" s="140" t="s">
        <v>682</v>
      </c>
      <c r="L1901" s="141">
        <v>1</v>
      </c>
      <c r="O1901" s="410"/>
    </row>
    <row r="1902" spans="1:15" ht="17.25" customHeight="1" thickBot="1">
      <c r="A1902" s="126" t="str">
        <f t="shared" si="91"/>
        <v>2026/04</v>
      </c>
      <c r="B1902" s="127" t="str">
        <f t="shared" si="92"/>
        <v>2026/04忠孝7樓</v>
      </c>
      <c r="C1902" s="138">
        <v>118</v>
      </c>
      <c r="D1902" s="139" t="s">
        <v>424</v>
      </c>
      <c r="E1902" s="484" t="s">
        <v>299</v>
      </c>
      <c r="F1902" s="484"/>
      <c r="G1902" s="484" t="s">
        <v>912</v>
      </c>
      <c r="H1902" s="484"/>
      <c r="I1902" s="484"/>
      <c r="J1902" s="484"/>
      <c r="K1902" s="140" t="s">
        <v>301</v>
      </c>
      <c r="L1902" s="141">
        <v>32</v>
      </c>
      <c r="O1902" s="410"/>
    </row>
    <row r="1903" spans="1:15" ht="17.25" customHeight="1" thickBot="1">
      <c r="A1903" s="126" t="str">
        <f t="shared" si="91"/>
        <v>2026/04</v>
      </c>
      <c r="B1903" s="127" t="str">
        <f t="shared" si="92"/>
        <v>2026/04忠孝7樓</v>
      </c>
      <c r="C1903" s="138">
        <v>119</v>
      </c>
      <c r="D1903" s="139" t="s">
        <v>424</v>
      </c>
      <c r="E1903" s="484" t="s">
        <v>347</v>
      </c>
      <c r="F1903" s="484"/>
      <c r="G1903" s="484" t="s">
        <v>913</v>
      </c>
      <c r="H1903" s="484"/>
      <c r="I1903" s="484"/>
      <c r="J1903" s="484"/>
      <c r="K1903" s="140" t="s">
        <v>301</v>
      </c>
      <c r="L1903" s="141">
        <v>15</v>
      </c>
      <c r="O1903" s="410"/>
    </row>
    <row r="1904" spans="1:15" ht="17.25" customHeight="1" thickBot="1">
      <c r="A1904" s="126" t="str">
        <f t="shared" si="91"/>
        <v>2026/04</v>
      </c>
      <c r="B1904" s="127" t="str">
        <f t="shared" si="92"/>
        <v>2026/04忠孝7樓</v>
      </c>
      <c r="C1904" s="138">
        <v>120</v>
      </c>
      <c r="D1904" s="139" t="s">
        <v>424</v>
      </c>
      <c r="E1904" s="484" t="s">
        <v>317</v>
      </c>
      <c r="F1904" s="484"/>
      <c r="G1904" s="484" t="s">
        <v>318</v>
      </c>
      <c r="H1904" s="484"/>
      <c r="I1904" s="484"/>
      <c r="J1904" s="484"/>
      <c r="K1904" s="140" t="s">
        <v>319</v>
      </c>
      <c r="L1904" s="141">
        <v>35</v>
      </c>
      <c r="O1904" s="410"/>
    </row>
    <row r="1905" spans="1:15" ht="17.25" customHeight="1" thickBot="1">
      <c r="A1905" s="126" t="str">
        <f t="shared" si="91"/>
        <v>2026/04</v>
      </c>
      <c r="B1905" s="127" t="str">
        <f t="shared" si="92"/>
        <v>2026/04忠孝7樓</v>
      </c>
      <c r="C1905" s="138">
        <v>121</v>
      </c>
      <c r="D1905" s="139" t="s">
        <v>424</v>
      </c>
      <c r="E1905" s="484" t="s">
        <v>321</v>
      </c>
      <c r="F1905" s="484"/>
      <c r="G1905" s="484" t="s">
        <v>923</v>
      </c>
      <c r="H1905" s="484"/>
      <c r="I1905" s="484"/>
      <c r="J1905" s="484"/>
      <c r="K1905" s="140" t="s">
        <v>275</v>
      </c>
      <c r="L1905" s="141">
        <v>3</v>
      </c>
      <c r="O1905" s="410"/>
    </row>
    <row r="1906" spans="1:15" ht="17.25" customHeight="1" thickBot="1">
      <c r="A1906" s="126" t="str">
        <f t="shared" si="91"/>
        <v>2026/04</v>
      </c>
      <c r="B1906" s="127" t="str">
        <f t="shared" si="92"/>
        <v>2026/04忠孝7樓</v>
      </c>
      <c r="C1906" s="138">
        <v>122</v>
      </c>
      <c r="D1906" s="139" t="s">
        <v>424</v>
      </c>
      <c r="E1906" s="484" t="s">
        <v>372</v>
      </c>
      <c r="F1906" s="484"/>
      <c r="G1906" s="484" t="s">
        <v>914</v>
      </c>
      <c r="H1906" s="484"/>
      <c r="I1906" s="484"/>
      <c r="J1906" s="484"/>
      <c r="K1906" s="140" t="s">
        <v>278</v>
      </c>
      <c r="L1906" s="141">
        <v>2</v>
      </c>
      <c r="O1906" s="410"/>
    </row>
    <row r="1907" spans="1:15" ht="17.25" customHeight="1" thickBot="1">
      <c r="A1907" s="126" t="str">
        <f t="shared" si="91"/>
        <v>2026/04</v>
      </c>
      <c r="B1907" s="127" t="str">
        <f t="shared" si="92"/>
        <v>2026/04忠孝7樓</v>
      </c>
      <c r="C1907" s="138">
        <v>123</v>
      </c>
      <c r="D1907" s="139" t="s">
        <v>424</v>
      </c>
      <c r="E1907" s="484" t="s">
        <v>276</v>
      </c>
      <c r="F1907" s="484"/>
      <c r="G1907" s="484" t="s">
        <v>924</v>
      </c>
      <c r="H1907" s="484"/>
      <c r="I1907" s="484"/>
      <c r="J1907" s="484"/>
      <c r="K1907" s="140" t="s">
        <v>278</v>
      </c>
      <c r="L1907" s="141">
        <v>124</v>
      </c>
      <c r="O1907" s="410"/>
    </row>
    <row r="1908" spans="1:15" ht="17.25" customHeight="1" thickBot="1">
      <c r="A1908" s="126" t="str">
        <f t="shared" si="91"/>
        <v>2026/04</v>
      </c>
      <c r="B1908" s="127" t="str">
        <f t="shared" si="92"/>
        <v>2026/04忠孝7樓</v>
      </c>
      <c r="C1908" s="138">
        <v>124</v>
      </c>
      <c r="D1908" s="139" t="s">
        <v>424</v>
      </c>
      <c r="E1908" s="484" t="s">
        <v>273</v>
      </c>
      <c r="F1908" s="484"/>
      <c r="G1908" s="484" t="s">
        <v>915</v>
      </c>
      <c r="H1908" s="484"/>
      <c r="I1908" s="484"/>
      <c r="J1908" s="484"/>
      <c r="K1908" s="140" t="s">
        <v>275</v>
      </c>
      <c r="L1908" s="141">
        <v>914</v>
      </c>
      <c r="O1908" s="410"/>
    </row>
    <row r="1909" spans="1:15" ht="17.25" customHeight="1" thickBot="1">
      <c r="A1909" s="126" t="str">
        <f t="shared" si="91"/>
        <v>2026/04</v>
      </c>
      <c r="B1909" s="127" t="str">
        <f t="shared" si="92"/>
        <v>2026/04忠孝7樓</v>
      </c>
      <c r="C1909" s="138">
        <v>125</v>
      </c>
      <c r="D1909" s="139" t="s">
        <v>424</v>
      </c>
      <c r="E1909" s="484" t="s">
        <v>285</v>
      </c>
      <c r="F1909" s="484"/>
      <c r="G1909" s="484" t="s">
        <v>286</v>
      </c>
      <c r="H1909" s="484"/>
      <c r="I1909" s="484"/>
      <c r="J1909" s="484"/>
      <c r="K1909" s="140" t="s">
        <v>879</v>
      </c>
      <c r="L1909" s="141">
        <v>5407</v>
      </c>
      <c r="O1909" s="410"/>
    </row>
    <row r="1910" spans="1:15" ht="17.25" customHeight="1" thickBot="1">
      <c r="A1910" s="126" t="str">
        <f t="shared" si="91"/>
        <v>2026/04</v>
      </c>
      <c r="B1910" s="127" t="str">
        <f t="shared" si="92"/>
        <v>2026/04忠孝7樓</v>
      </c>
      <c r="C1910" s="138">
        <v>126</v>
      </c>
      <c r="D1910" s="139" t="s">
        <v>424</v>
      </c>
      <c r="E1910" s="484" t="s">
        <v>290</v>
      </c>
      <c r="F1910" s="484"/>
      <c r="G1910" s="484" t="s">
        <v>291</v>
      </c>
      <c r="H1910" s="484"/>
      <c r="I1910" s="484"/>
      <c r="J1910" s="484"/>
      <c r="K1910" s="140" t="s">
        <v>879</v>
      </c>
      <c r="L1910" s="141">
        <v>28292</v>
      </c>
      <c r="O1910" s="410"/>
    </row>
    <row r="1911" spans="1:15" ht="17.25" customHeight="1" thickBot="1">
      <c r="A1911" s="126" t="str">
        <f t="shared" si="91"/>
        <v>2026/04</v>
      </c>
      <c r="B1911" s="127" t="str">
        <f t="shared" si="92"/>
        <v>2026/04忠孝7樓</v>
      </c>
      <c r="C1911" s="138">
        <v>127</v>
      </c>
      <c r="D1911" s="139" t="s">
        <v>424</v>
      </c>
      <c r="E1911" s="484" t="s">
        <v>292</v>
      </c>
      <c r="F1911" s="484"/>
      <c r="G1911" s="484" t="s">
        <v>293</v>
      </c>
      <c r="H1911" s="484"/>
      <c r="I1911" s="484"/>
      <c r="J1911" s="484"/>
      <c r="K1911" s="140" t="s">
        <v>879</v>
      </c>
      <c r="L1911" s="141">
        <v>54185</v>
      </c>
      <c r="O1911" s="410"/>
    </row>
    <row r="1912" spans="1:15" ht="17.25" customHeight="1" thickBot="1">
      <c r="A1912" s="126" t="str">
        <f t="shared" si="91"/>
        <v>2026/04</v>
      </c>
      <c r="B1912" s="127" t="str">
        <f t="shared" si="92"/>
        <v>2026/04忠孝7樓</v>
      </c>
      <c r="C1912" s="138">
        <v>128</v>
      </c>
      <c r="D1912" s="139" t="s">
        <v>424</v>
      </c>
      <c r="E1912" s="484" t="s">
        <v>323</v>
      </c>
      <c r="F1912" s="484"/>
      <c r="G1912" s="484" t="s">
        <v>324</v>
      </c>
      <c r="H1912" s="484"/>
      <c r="I1912" s="484"/>
      <c r="J1912" s="484"/>
      <c r="K1912" s="140" t="s">
        <v>880</v>
      </c>
      <c r="L1912" s="141">
        <v>11920</v>
      </c>
      <c r="O1912" s="410"/>
    </row>
    <row r="1913" spans="1:15" ht="17.25" customHeight="1" thickBot="1">
      <c r="A1913" s="126" t="str">
        <f t="shared" si="91"/>
        <v>2026/04</v>
      </c>
      <c r="B1913" s="127" t="str">
        <f t="shared" si="92"/>
        <v>2026/04忠孝7樓</v>
      </c>
      <c r="C1913" s="138">
        <v>129</v>
      </c>
      <c r="D1913" s="139" t="s">
        <v>424</v>
      </c>
      <c r="E1913" s="484" t="s">
        <v>359</v>
      </c>
      <c r="F1913" s="484"/>
      <c r="G1913" s="484" t="s">
        <v>138</v>
      </c>
      <c r="H1913" s="484"/>
      <c r="I1913" s="484"/>
      <c r="J1913" s="484"/>
      <c r="K1913" s="140" t="s">
        <v>146</v>
      </c>
      <c r="L1913" s="141">
        <v>17</v>
      </c>
      <c r="O1913" s="410"/>
    </row>
    <row r="1914" spans="1:15" ht="17.25" customHeight="1" thickBot="1">
      <c r="A1914" s="126" t="str">
        <f t="shared" si="91"/>
        <v>2026/04</v>
      </c>
      <c r="B1914" s="127" t="str">
        <f t="shared" si="92"/>
        <v>2026/04忠孝7樓</v>
      </c>
      <c r="C1914" s="138">
        <v>130</v>
      </c>
      <c r="D1914" s="139" t="s">
        <v>424</v>
      </c>
      <c r="E1914" s="484" t="s">
        <v>320</v>
      </c>
      <c r="F1914" s="484"/>
      <c r="G1914" s="484" t="s">
        <v>135</v>
      </c>
      <c r="H1914" s="484"/>
      <c r="I1914" s="484"/>
      <c r="J1914" s="484"/>
      <c r="K1914" s="140" t="s">
        <v>146</v>
      </c>
      <c r="L1914" s="141">
        <v>13</v>
      </c>
      <c r="O1914" s="410"/>
    </row>
    <row r="1915" spans="1:15" ht="17.25" customHeight="1" thickBot="1">
      <c r="A1915" s="126" t="str">
        <f t="shared" si="91"/>
        <v>2026/04</v>
      </c>
      <c r="B1915" s="127" t="str">
        <f t="shared" si="92"/>
        <v>2026/04忠孝7樓</v>
      </c>
      <c r="C1915" s="138">
        <v>131</v>
      </c>
      <c r="D1915" s="139" t="s">
        <v>424</v>
      </c>
      <c r="E1915" s="484" t="s">
        <v>338</v>
      </c>
      <c r="F1915" s="484"/>
      <c r="G1915" s="484" t="s">
        <v>339</v>
      </c>
      <c r="H1915" s="484"/>
      <c r="I1915" s="484"/>
      <c r="J1915" s="484"/>
      <c r="K1915" s="140" t="s">
        <v>881</v>
      </c>
      <c r="L1915" s="141">
        <v>4305</v>
      </c>
      <c r="O1915" s="410"/>
    </row>
    <row r="1916" spans="1:15" ht="17.25" customHeight="1" thickBot="1">
      <c r="A1916" s="126" t="str">
        <f t="shared" si="91"/>
        <v>2026/04</v>
      </c>
      <c r="B1916" s="127" t="str">
        <f t="shared" si="92"/>
        <v>2026/04忠孝7樓</v>
      </c>
      <c r="C1916" s="138">
        <v>132</v>
      </c>
      <c r="D1916" s="139" t="s">
        <v>424</v>
      </c>
      <c r="E1916" s="484" t="s">
        <v>326</v>
      </c>
      <c r="F1916" s="484"/>
      <c r="G1916" s="484" t="s">
        <v>327</v>
      </c>
      <c r="H1916" s="484"/>
      <c r="I1916" s="484"/>
      <c r="J1916" s="484"/>
      <c r="K1916" s="140" t="s">
        <v>881</v>
      </c>
      <c r="L1916" s="141">
        <v>11835</v>
      </c>
      <c r="O1916" s="410"/>
    </row>
    <row r="1917" spans="1:15" ht="17.25" customHeight="1" thickBot="1">
      <c r="A1917" s="126" t="str">
        <f t="shared" si="91"/>
        <v>2026/04</v>
      </c>
      <c r="B1917" s="127" t="str">
        <f t="shared" si="92"/>
        <v>2026/04忠孝7樓</v>
      </c>
      <c r="C1917" s="138">
        <v>133</v>
      </c>
      <c r="D1917" s="139" t="s">
        <v>424</v>
      </c>
      <c r="E1917" s="484" t="s">
        <v>328</v>
      </c>
      <c r="F1917" s="484"/>
      <c r="G1917" s="484" t="s">
        <v>329</v>
      </c>
      <c r="H1917" s="484"/>
      <c r="I1917" s="484"/>
      <c r="J1917" s="484"/>
      <c r="K1917" s="140" t="s">
        <v>881</v>
      </c>
      <c r="L1917" s="141">
        <v>25519</v>
      </c>
      <c r="O1917" s="410"/>
    </row>
    <row r="1918" spans="1:15" ht="17.25" customHeight="1" thickBot="1">
      <c r="A1918" s="126" t="str">
        <f t="shared" si="91"/>
        <v>2026/04</v>
      </c>
      <c r="B1918" s="127" t="str">
        <f t="shared" si="92"/>
        <v>2026/04忠孝7樓</v>
      </c>
      <c r="C1918" s="138">
        <v>134</v>
      </c>
      <c r="D1918" s="139" t="s">
        <v>424</v>
      </c>
      <c r="E1918" s="484" t="s">
        <v>330</v>
      </c>
      <c r="F1918" s="484"/>
      <c r="G1918" s="484" t="s">
        <v>331</v>
      </c>
      <c r="H1918" s="484"/>
      <c r="I1918" s="484"/>
      <c r="J1918" s="484"/>
      <c r="K1918" s="140" t="s">
        <v>881</v>
      </c>
      <c r="L1918" s="141">
        <v>6703</v>
      </c>
      <c r="O1918" s="410"/>
    </row>
    <row r="1919" spans="1:15" ht="17.25" customHeight="1" thickBot="1">
      <c r="A1919" s="126" t="str">
        <f t="shared" si="91"/>
        <v>2026/04</v>
      </c>
      <c r="B1919" s="127" t="str">
        <f t="shared" si="92"/>
        <v>2026/04忠孝7樓</v>
      </c>
      <c r="C1919" s="138">
        <v>135</v>
      </c>
      <c r="D1919" s="139" t="s">
        <v>424</v>
      </c>
      <c r="E1919" s="484" t="s">
        <v>302</v>
      </c>
      <c r="F1919" s="484"/>
      <c r="G1919" s="484" t="s">
        <v>303</v>
      </c>
      <c r="H1919" s="484"/>
      <c r="I1919" s="484"/>
      <c r="J1919" s="484"/>
      <c r="K1919" s="140" t="s">
        <v>882</v>
      </c>
      <c r="L1919" s="141">
        <v>180</v>
      </c>
      <c r="O1919" s="410"/>
    </row>
    <row r="1920" spans="1:15" ht="17.25" customHeight="1" thickBot="1">
      <c r="A1920" s="126" t="str">
        <f t="shared" ref="A1920" si="93">IFERROR(LEFT(B1920,7),"")</f>
        <v>2026/04</v>
      </c>
      <c r="B1920" s="127" t="str">
        <f t="shared" ref="B1920" si="94">"2026/04"&amp;D1920</f>
        <v>2026/04忠孝7樓</v>
      </c>
      <c r="C1920" s="138">
        <v>136</v>
      </c>
      <c r="D1920" s="139" t="s">
        <v>424</v>
      </c>
      <c r="E1920" s="484" t="s">
        <v>705</v>
      </c>
      <c r="F1920" s="484"/>
      <c r="G1920" s="484" t="s">
        <v>706</v>
      </c>
      <c r="H1920" s="484"/>
      <c r="I1920" s="484"/>
      <c r="J1920" s="484"/>
      <c r="K1920" s="140" t="s">
        <v>883</v>
      </c>
      <c r="L1920" s="141">
        <v>27620</v>
      </c>
      <c r="O1920" s="410"/>
    </row>
    <row r="1921" spans="1:15" ht="17.25" customHeight="1" thickBot="1">
      <c r="A1921" s="126" t="str">
        <f t="shared" ref="A1921:A1972" si="95">IFERROR(LEFT(B1921,7),"")</f>
        <v>2026/04</v>
      </c>
      <c r="B1921" s="127" t="str">
        <f t="shared" ref="B1921:B1972" si="96">"2026/04"&amp;D1921</f>
        <v>2026/04忠孝7樓</v>
      </c>
      <c r="C1921" s="138">
        <v>137</v>
      </c>
      <c r="D1921" s="139" t="s">
        <v>424</v>
      </c>
      <c r="E1921" s="484" t="s">
        <v>279</v>
      </c>
      <c r="F1921" s="484"/>
      <c r="G1921" s="484" t="s">
        <v>280</v>
      </c>
      <c r="H1921" s="484"/>
      <c r="I1921" s="484"/>
      <c r="J1921" s="484"/>
      <c r="K1921" s="140" t="s">
        <v>884</v>
      </c>
      <c r="L1921" s="141">
        <v>162307</v>
      </c>
      <c r="O1921" s="410"/>
    </row>
    <row r="1922" spans="1:15" ht="17.25" customHeight="1" thickBot="1">
      <c r="A1922" s="126" t="str">
        <f t="shared" si="95"/>
        <v>2026/04</v>
      </c>
      <c r="B1922" s="127" t="str">
        <f t="shared" si="96"/>
        <v>2026/04忠孝7樓</v>
      </c>
      <c r="C1922" s="138">
        <v>138</v>
      </c>
      <c r="D1922" s="139" t="s">
        <v>424</v>
      </c>
      <c r="E1922" s="484" t="s">
        <v>288</v>
      </c>
      <c r="F1922" s="484"/>
      <c r="G1922" s="484" t="s">
        <v>289</v>
      </c>
      <c r="H1922" s="484"/>
      <c r="I1922" s="484"/>
      <c r="J1922" s="484"/>
      <c r="K1922" s="140" t="s">
        <v>884</v>
      </c>
      <c r="L1922" s="141">
        <v>76893</v>
      </c>
      <c r="O1922" s="410"/>
    </row>
    <row r="1923" spans="1:15" ht="17.25" customHeight="1" thickBot="1">
      <c r="A1923" s="126" t="str">
        <f t="shared" si="95"/>
        <v>2026/04</v>
      </c>
      <c r="B1923" s="127" t="str">
        <f t="shared" si="96"/>
        <v>2026/04忠孝7樓</v>
      </c>
      <c r="C1923" s="138">
        <v>139</v>
      </c>
      <c r="D1923" s="139" t="s">
        <v>424</v>
      </c>
      <c r="E1923" s="484" t="s">
        <v>332</v>
      </c>
      <c r="F1923" s="484"/>
      <c r="G1923" s="484" t="s">
        <v>333</v>
      </c>
      <c r="H1923" s="484"/>
      <c r="I1923" s="484"/>
      <c r="J1923" s="484"/>
      <c r="K1923" s="140" t="s">
        <v>334</v>
      </c>
      <c r="L1923" s="141">
        <v>157500</v>
      </c>
      <c r="O1923" s="410"/>
    </row>
    <row r="1924" spans="1:15" ht="17.25" customHeight="1" thickBot="1">
      <c r="A1924" s="126" t="str">
        <f t="shared" si="95"/>
        <v>2026/04</v>
      </c>
      <c r="B1924" s="127" t="str">
        <f t="shared" si="96"/>
        <v>2026/04忠孝7樓</v>
      </c>
      <c r="C1924" s="138">
        <v>140</v>
      </c>
      <c r="D1924" s="139" t="s">
        <v>424</v>
      </c>
      <c r="E1924" s="484" t="s">
        <v>335</v>
      </c>
      <c r="F1924" s="484"/>
      <c r="G1924" s="484" t="s">
        <v>336</v>
      </c>
      <c r="H1924" s="484"/>
      <c r="I1924" s="484"/>
      <c r="J1924" s="484"/>
      <c r="K1924" s="140" t="s">
        <v>337</v>
      </c>
      <c r="L1924" s="141">
        <v>26601</v>
      </c>
      <c r="O1924" s="410"/>
    </row>
    <row r="1925" spans="1:15" ht="17.25" customHeight="1" thickBot="1">
      <c r="A1925" s="126" t="str">
        <f t="shared" si="95"/>
        <v>2026/04</v>
      </c>
      <c r="B1925" s="127" t="str">
        <f t="shared" si="96"/>
        <v>2026/04忠孝7樓</v>
      </c>
      <c r="C1925" s="138">
        <v>141</v>
      </c>
      <c r="D1925" s="139" t="s">
        <v>424</v>
      </c>
      <c r="E1925" s="484" t="s">
        <v>357</v>
      </c>
      <c r="F1925" s="484"/>
      <c r="G1925" s="484" t="s">
        <v>358</v>
      </c>
      <c r="H1925" s="484"/>
      <c r="I1925" s="484"/>
      <c r="J1925" s="484"/>
      <c r="K1925" s="140" t="s">
        <v>353</v>
      </c>
      <c r="L1925" s="141">
        <v>2</v>
      </c>
      <c r="O1925" s="410"/>
    </row>
    <row r="1926" spans="1:15" ht="17.25" customHeight="1" thickBot="1">
      <c r="A1926" s="126" t="str">
        <f t="shared" si="95"/>
        <v>2026/04</v>
      </c>
      <c r="B1926" s="127" t="str">
        <f t="shared" si="96"/>
        <v>2026/04忠孝7樓</v>
      </c>
      <c r="C1926" s="138">
        <v>142</v>
      </c>
      <c r="D1926" s="139" t="s">
        <v>424</v>
      </c>
      <c r="E1926" s="484" t="s">
        <v>449</v>
      </c>
      <c r="F1926" s="484"/>
      <c r="G1926" s="484" t="s">
        <v>450</v>
      </c>
      <c r="H1926" s="484"/>
      <c r="I1926" s="484"/>
      <c r="J1926" s="484"/>
      <c r="K1926" s="140" t="s">
        <v>445</v>
      </c>
      <c r="L1926" s="141">
        <v>8</v>
      </c>
      <c r="O1926" s="410"/>
    </row>
    <row r="1927" spans="1:15" ht="17.25" customHeight="1" thickBot="1">
      <c r="A1927" s="126" t="str">
        <f t="shared" si="95"/>
        <v>2026/04</v>
      </c>
      <c r="B1927" s="127" t="str">
        <f t="shared" si="96"/>
        <v>2026/04忠孝7樓</v>
      </c>
      <c r="C1927" s="138">
        <v>143</v>
      </c>
      <c r="D1927" s="139" t="s">
        <v>424</v>
      </c>
      <c r="E1927" s="484" t="s">
        <v>340</v>
      </c>
      <c r="F1927" s="484"/>
      <c r="G1927" s="484" t="s">
        <v>341</v>
      </c>
      <c r="H1927" s="484"/>
      <c r="I1927" s="484"/>
      <c r="J1927" s="484"/>
      <c r="K1927" s="140" t="s">
        <v>342</v>
      </c>
      <c r="L1927" s="141">
        <v>1</v>
      </c>
      <c r="O1927" s="410"/>
    </row>
    <row r="1928" spans="1:15" ht="17.25" customHeight="1" thickBot="1">
      <c r="A1928" s="126" t="str">
        <f t="shared" si="95"/>
        <v>2026/04</v>
      </c>
      <c r="B1928" s="127" t="str">
        <f t="shared" si="96"/>
        <v>2026/04忠孝7樓</v>
      </c>
      <c r="C1928" s="138">
        <v>144</v>
      </c>
      <c r="D1928" s="139" t="s">
        <v>424</v>
      </c>
      <c r="E1928" s="484" t="s">
        <v>683</v>
      </c>
      <c r="F1928" s="484"/>
      <c r="G1928" s="484" t="s">
        <v>684</v>
      </c>
      <c r="H1928" s="484"/>
      <c r="I1928" s="484"/>
      <c r="J1928" s="484"/>
      <c r="K1928" s="140" t="s">
        <v>685</v>
      </c>
      <c r="L1928" s="141">
        <v>8</v>
      </c>
      <c r="O1928" s="410"/>
    </row>
    <row r="1929" spans="1:15" ht="17.25" customHeight="1" thickBot="1">
      <c r="A1929" s="126" t="str">
        <f t="shared" si="95"/>
        <v>2026/04</v>
      </c>
      <c r="B1929" s="127" t="str">
        <f t="shared" si="96"/>
        <v>2026/04忠孝7樓</v>
      </c>
      <c r="C1929" s="138">
        <v>145</v>
      </c>
      <c r="D1929" s="139" t="s">
        <v>424</v>
      </c>
      <c r="E1929" s="484" t="s">
        <v>686</v>
      </c>
      <c r="F1929" s="484"/>
      <c r="G1929" s="484" t="s">
        <v>687</v>
      </c>
      <c r="H1929" s="484"/>
      <c r="I1929" s="484"/>
      <c r="J1929" s="484"/>
      <c r="K1929" s="140" t="s">
        <v>688</v>
      </c>
      <c r="L1929" s="141">
        <v>31</v>
      </c>
      <c r="O1929" s="410"/>
    </row>
    <row r="1930" spans="1:15" ht="17.25" customHeight="1" thickBot="1">
      <c r="A1930" s="126" t="str">
        <f t="shared" si="95"/>
        <v>2026/04</v>
      </c>
      <c r="B1930" s="127" t="str">
        <f t="shared" si="96"/>
        <v>2026/04忠孝7樓</v>
      </c>
      <c r="C1930" s="138">
        <v>146</v>
      </c>
      <c r="D1930" s="139" t="s">
        <v>424</v>
      </c>
      <c r="E1930" s="484" t="s">
        <v>930</v>
      </c>
      <c r="F1930" s="484"/>
      <c r="G1930" s="484" t="s">
        <v>931</v>
      </c>
      <c r="H1930" s="484"/>
      <c r="I1930" s="484"/>
      <c r="J1930" s="484"/>
      <c r="K1930" s="140" t="s">
        <v>342</v>
      </c>
      <c r="L1930" s="141">
        <v>23</v>
      </c>
      <c r="O1930" s="410"/>
    </row>
    <row r="1931" spans="1:15" ht="17.25" customHeight="1" thickBot="1">
      <c r="A1931" s="126" t="str">
        <f t="shared" si="95"/>
        <v>2026/04</v>
      </c>
      <c r="B1931" s="127" t="str">
        <f t="shared" si="96"/>
        <v>2026/04忠孝7樓</v>
      </c>
      <c r="C1931" s="138">
        <v>147</v>
      </c>
      <c r="D1931" s="139" t="s">
        <v>424</v>
      </c>
      <c r="E1931" s="484" t="s">
        <v>354</v>
      </c>
      <c r="F1931" s="484"/>
      <c r="G1931" s="484" t="s">
        <v>741</v>
      </c>
      <c r="H1931" s="484"/>
      <c r="I1931" s="484"/>
      <c r="J1931" s="484"/>
      <c r="K1931" s="140" t="s">
        <v>885</v>
      </c>
      <c r="L1931" s="141">
        <v>2</v>
      </c>
      <c r="O1931" s="410"/>
    </row>
    <row r="1932" spans="1:15" ht="17.25" customHeight="1" thickBot="1">
      <c r="A1932" s="126" t="str">
        <f t="shared" si="95"/>
        <v>2026/04</v>
      </c>
      <c r="B1932" s="127" t="str">
        <f t="shared" si="96"/>
        <v>2026/04忠孝7樓</v>
      </c>
      <c r="C1932" s="138">
        <v>148</v>
      </c>
      <c r="D1932" s="139" t="s">
        <v>424</v>
      </c>
      <c r="E1932" s="484" t="s">
        <v>368</v>
      </c>
      <c r="F1932" s="484"/>
      <c r="G1932" s="484" t="s">
        <v>907</v>
      </c>
      <c r="H1932" s="484"/>
      <c r="I1932" s="484"/>
      <c r="J1932" s="484"/>
      <c r="K1932" s="140" t="s">
        <v>885</v>
      </c>
      <c r="L1932" s="141">
        <v>2</v>
      </c>
      <c r="O1932" s="410"/>
    </row>
    <row r="1933" spans="1:15" ht="17.25" customHeight="1" thickBot="1">
      <c r="A1933" s="126" t="str">
        <f t="shared" si="95"/>
        <v>2026/04</v>
      </c>
      <c r="B1933" s="127" t="str">
        <f t="shared" si="96"/>
        <v>2026/04忠孝7樓</v>
      </c>
      <c r="C1933" s="138">
        <v>149</v>
      </c>
      <c r="D1933" s="139" t="s">
        <v>424</v>
      </c>
      <c r="E1933" s="484" t="s">
        <v>425</v>
      </c>
      <c r="F1933" s="484"/>
      <c r="G1933" s="484" t="s">
        <v>426</v>
      </c>
      <c r="H1933" s="484"/>
      <c r="I1933" s="484"/>
      <c r="J1933" s="484"/>
      <c r="K1933" s="140" t="s">
        <v>269</v>
      </c>
      <c r="L1933" s="141">
        <v>2</v>
      </c>
    </row>
    <row r="1934" spans="1:15" ht="17.25" customHeight="1" thickBot="1">
      <c r="A1934" s="126" t="str">
        <f t="shared" si="95"/>
        <v>2026/04</v>
      </c>
      <c r="B1934" s="127" t="str">
        <f t="shared" si="96"/>
        <v>2026/04忠孝7樓</v>
      </c>
      <c r="C1934" s="138">
        <v>150</v>
      </c>
      <c r="D1934" s="139" t="s">
        <v>424</v>
      </c>
      <c r="E1934" s="484" t="s">
        <v>309</v>
      </c>
      <c r="F1934" s="484"/>
      <c r="G1934" s="484" t="s">
        <v>310</v>
      </c>
      <c r="H1934" s="484"/>
      <c r="I1934" s="484"/>
      <c r="J1934" s="484"/>
      <c r="K1934" s="140" t="s">
        <v>269</v>
      </c>
      <c r="L1934" s="141">
        <v>284</v>
      </c>
    </row>
    <row r="1935" spans="1:15" ht="17.25" customHeight="1" thickBot="1">
      <c r="A1935" s="126" t="str">
        <f t="shared" si="95"/>
        <v>2026/04</v>
      </c>
      <c r="B1935" s="127" t="str">
        <f t="shared" si="96"/>
        <v>2026/04忠孝7樓</v>
      </c>
      <c r="C1935" s="138">
        <v>151</v>
      </c>
      <c r="D1935" s="139" t="s">
        <v>424</v>
      </c>
      <c r="E1935" s="484" t="s">
        <v>267</v>
      </c>
      <c r="F1935" s="484"/>
      <c r="G1935" s="484" t="s">
        <v>268</v>
      </c>
      <c r="H1935" s="484"/>
      <c r="I1935" s="484"/>
      <c r="J1935" s="484"/>
      <c r="K1935" s="140" t="s">
        <v>269</v>
      </c>
      <c r="L1935" s="141">
        <v>26</v>
      </c>
    </row>
    <row r="1936" spans="1:15" ht="17.25" customHeight="1" thickBot="1">
      <c r="A1936" s="126" t="str">
        <f t="shared" si="95"/>
        <v>2026/04</v>
      </c>
      <c r="B1936" s="127" t="str">
        <f t="shared" si="96"/>
        <v>2026/04忠孝7樓</v>
      </c>
      <c r="C1936" s="138">
        <v>152</v>
      </c>
      <c r="D1936" s="139" t="s">
        <v>424</v>
      </c>
      <c r="E1936" s="484" t="s">
        <v>315</v>
      </c>
      <c r="F1936" s="484"/>
      <c r="G1936" s="484" t="s">
        <v>316</v>
      </c>
      <c r="H1936" s="484"/>
      <c r="I1936" s="484"/>
      <c r="J1936" s="484"/>
      <c r="K1936" s="140" t="s">
        <v>296</v>
      </c>
      <c r="L1936" s="141">
        <v>5</v>
      </c>
    </row>
    <row r="1937" spans="1:12" ht="17.25" customHeight="1" thickBot="1">
      <c r="A1937" s="126" t="str">
        <f t="shared" si="95"/>
        <v>2026/04</v>
      </c>
      <c r="B1937" s="127" t="str">
        <f t="shared" si="96"/>
        <v>2026/04忠孝7樓</v>
      </c>
      <c r="C1937" s="138">
        <v>153</v>
      </c>
      <c r="D1937" s="139" t="s">
        <v>424</v>
      </c>
      <c r="E1937" s="484" t="s">
        <v>736</v>
      </c>
      <c r="F1937" s="484"/>
      <c r="G1937" s="484" t="s">
        <v>737</v>
      </c>
      <c r="H1937" s="484"/>
      <c r="I1937" s="484"/>
      <c r="J1937" s="484"/>
      <c r="K1937" s="140" t="s">
        <v>738</v>
      </c>
      <c r="L1937" s="141">
        <v>9</v>
      </c>
    </row>
    <row r="1938" spans="1:12" ht="17.25" customHeight="1" thickBot="1">
      <c r="A1938" s="126" t="str">
        <f t="shared" si="95"/>
        <v>2026/04</v>
      </c>
      <c r="B1938" s="127" t="str">
        <f t="shared" si="96"/>
        <v>2026/04忠孝7樓</v>
      </c>
      <c r="C1938" s="138">
        <v>154</v>
      </c>
      <c r="D1938" s="139" t="s">
        <v>424</v>
      </c>
      <c r="E1938" s="484" t="s">
        <v>237</v>
      </c>
      <c r="F1938" s="484"/>
      <c r="G1938" s="484" t="s">
        <v>238</v>
      </c>
      <c r="H1938" s="484"/>
      <c r="I1938" s="484"/>
      <c r="J1938" s="484"/>
      <c r="K1938" s="140" t="s">
        <v>239</v>
      </c>
      <c r="L1938" s="141">
        <v>842</v>
      </c>
    </row>
    <row r="1939" spans="1:12" ht="17.25" customHeight="1" thickBot="1">
      <c r="A1939" s="126" t="str">
        <f t="shared" si="95"/>
        <v>2026/04</v>
      </c>
      <c r="B1939" s="127" t="str">
        <f t="shared" si="96"/>
        <v>2026/04忠孝7樓</v>
      </c>
      <c r="C1939" s="138">
        <v>155</v>
      </c>
      <c r="D1939" s="139" t="s">
        <v>424</v>
      </c>
      <c r="E1939" s="484" t="s">
        <v>240</v>
      </c>
      <c r="F1939" s="484"/>
      <c r="G1939" s="484" t="s">
        <v>241</v>
      </c>
      <c r="H1939" s="484"/>
      <c r="I1939" s="484"/>
      <c r="J1939" s="484"/>
      <c r="K1939" s="140" t="s">
        <v>239</v>
      </c>
      <c r="L1939" s="141">
        <v>842</v>
      </c>
    </row>
    <row r="1940" spans="1:12" ht="17.25" customHeight="1" thickBot="1">
      <c r="A1940" s="126" t="str">
        <f t="shared" si="95"/>
        <v>2026/04</v>
      </c>
      <c r="B1940" s="127" t="str">
        <f t="shared" si="96"/>
        <v>2026/04忠孝7樓</v>
      </c>
      <c r="C1940" s="138">
        <v>156</v>
      </c>
      <c r="D1940" s="139" t="s">
        <v>424</v>
      </c>
      <c r="E1940" s="484" t="s">
        <v>242</v>
      </c>
      <c r="F1940" s="484"/>
      <c r="G1940" s="484" t="s">
        <v>243</v>
      </c>
      <c r="H1940" s="484"/>
      <c r="I1940" s="484"/>
      <c r="J1940" s="484"/>
      <c r="K1940" s="140" t="s">
        <v>239</v>
      </c>
      <c r="L1940" s="141">
        <v>842</v>
      </c>
    </row>
    <row r="1941" spans="1:12" ht="17.25" customHeight="1" thickBot="1">
      <c r="A1941" s="126" t="str">
        <f t="shared" si="95"/>
        <v>2026/04</v>
      </c>
      <c r="B1941" s="127" t="str">
        <f t="shared" si="96"/>
        <v>2026/04忠孝7樓</v>
      </c>
      <c r="C1941" s="138">
        <v>157</v>
      </c>
      <c r="D1941" s="139" t="s">
        <v>424</v>
      </c>
      <c r="E1941" s="484" t="s">
        <v>244</v>
      </c>
      <c r="F1941" s="484"/>
      <c r="G1941" s="484" t="s">
        <v>245</v>
      </c>
      <c r="H1941" s="484"/>
      <c r="I1941" s="484"/>
      <c r="J1941" s="484"/>
      <c r="K1941" s="140" t="s">
        <v>725</v>
      </c>
      <c r="L1941" s="141">
        <v>12630</v>
      </c>
    </row>
    <row r="1942" spans="1:12" ht="17.25" customHeight="1" thickBot="1">
      <c r="A1942" s="126" t="str">
        <f t="shared" si="95"/>
        <v>2026/04</v>
      </c>
      <c r="B1942" s="127" t="str">
        <f t="shared" si="96"/>
        <v>2026/04忠孝7樓</v>
      </c>
      <c r="C1942" s="138">
        <v>158</v>
      </c>
      <c r="D1942" s="139" t="s">
        <v>424</v>
      </c>
      <c r="E1942" s="484" t="s">
        <v>246</v>
      </c>
      <c r="F1942" s="484"/>
      <c r="G1942" s="484" t="s">
        <v>247</v>
      </c>
      <c r="H1942" s="484"/>
      <c r="I1942" s="484"/>
      <c r="J1942" s="484"/>
      <c r="K1942" s="140" t="s">
        <v>725</v>
      </c>
      <c r="L1942" s="141">
        <v>12630</v>
      </c>
    </row>
    <row r="1943" spans="1:12" ht="17.25" customHeight="1" thickBot="1">
      <c r="A1943" s="126" t="str">
        <f t="shared" si="95"/>
        <v>2026/04</v>
      </c>
      <c r="B1943" s="127" t="str">
        <f t="shared" si="96"/>
        <v>2026/04忠孝7樓</v>
      </c>
      <c r="C1943" s="138">
        <v>159</v>
      </c>
      <c r="D1943" s="139" t="s">
        <v>424</v>
      </c>
      <c r="E1943" s="484" t="s">
        <v>248</v>
      </c>
      <c r="F1943" s="484"/>
      <c r="G1943" s="484" t="s">
        <v>249</v>
      </c>
      <c r="H1943" s="484"/>
      <c r="I1943" s="484"/>
      <c r="J1943" s="484"/>
      <c r="K1943" s="140" t="s">
        <v>725</v>
      </c>
      <c r="L1943" s="141">
        <v>12630</v>
      </c>
    </row>
    <row r="1944" spans="1:12" ht="17.25" customHeight="1" thickBot="1">
      <c r="A1944" s="126" t="str">
        <f t="shared" si="95"/>
        <v>2026/04</v>
      </c>
      <c r="B1944" s="127" t="str">
        <f t="shared" si="96"/>
        <v>2026/04忠孝7樓</v>
      </c>
      <c r="C1944" s="138">
        <v>160</v>
      </c>
      <c r="D1944" s="139" t="s">
        <v>424</v>
      </c>
      <c r="E1944" s="484" t="s">
        <v>250</v>
      </c>
      <c r="F1944" s="484"/>
      <c r="G1944" s="484" t="s">
        <v>251</v>
      </c>
      <c r="H1944" s="484"/>
      <c r="I1944" s="484"/>
      <c r="J1944" s="484"/>
      <c r="K1944" s="140" t="s">
        <v>725</v>
      </c>
      <c r="L1944" s="141">
        <v>12630</v>
      </c>
    </row>
    <row r="1945" spans="1:12" ht="17.25" customHeight="1" thickBot="1">
      <c r="A1945" s="126" t="str">
        <f t="shared" si="95"/>
        <v>2026/04</v>
      </c>
      <c r="B1945" s="127" t="str">
        <f t="shared" si="96"/>
        <v>2026/04忠孝國際醫學3樓</v>
      </c>
      <c r="C1945" s="138">
        <v>161</v>
      </c>
      <c r="D1945" s="139" t="s">
        <v>850</v>
      </c>
      <c r="E1945" s="484" t="s">
        <v>392</v>
      </c>
      <c r="F1945" s="484"/>
      <c r="G1945" s="484" t="s">
        <v>916</v>
      </c>
      <c r="H1945" s="484"/>
      <c r="I1945" s="484"/>
      <c r="J1945" s="484"/>
      <c r="K1945" s="140" t="s">
        <v>382</v>
      </c>
      <c r="L1945" s="141">
        <v>1594</v>
      </c>
    </row>
    <row r="1946" spans="1:12" ht="17.25" customHeight="1" thickBot="1">
      <c r="A1946" s="126" t="str">
        <f t="shared" si="95"/>
        <v>2026/04</v>
      </c>
      <c r="B1946" s="127" t="str">
        <f t="shared" si="96"/>
        <v>2026/04忠孝國際醫學3樓</v>
      </c>
      <c r="C1946" s="138">
        <v>162</v>
      </c>
      <c r="D1946" s="139" t="s">
        <v>850</v>
      </c>
      <c r="E1946" s="484" t="s">
        <v>380</v>
      </c>
      <c r="F1946" s="484"/>
      <c r="G1946" s="484" t="s">
        <v>917</v>
      </c>
      <c r="H1946" s="484"/>
      <c r="I1946" s="484"/>
      <c r="J1946" s="484"/>
      <c r="K1946" s="140" t="s">
        <v>892</v>
      </c>
      <c r="L1946" s="141">
        <v>1924.5</v>
      </c>
    </row>
    <row r="1947" spans="1:12" ht="17.25" customHeight="1" thickBot="1">
      <c r="A1947" s="126" t="str">
        <f t="shared" si="95"/>
        <v>2026/04</v>
      </c>
      <c r="B1947" s="127" t="str">
        <f t="shared" si="96"/>
        <v>2026/04忠孝國際醫學3樓</v>
      </c>
      <c r="C1947" s="138">
        <v>163</v>
      </c>
      <c r="D1947" s="139" t="s">
        <v>850</v>
      </c>
      <c r="E1947" s="484" t="s">
        <v>413</v>
      </c>
      <c r="F1947" s="484"/>
      <c r="G1947" s="484" t="s">
        <v>918</v>
      </c>
      <c r="H1947" s="484"/>
      <c r="I1947" s="484"/>
      <c r="J1947" s="484"/>
      <c r="K1947" s="140" t="s">
        <v>410</v>
      </c>
      <c r="L1947" s="141">
        <v>5</v>
      </c>
    </row>
    <row r="1948" spans="1:12" ht="17.25" customHeight="1" thickBot="1">
      <c r="A1948" s="126" t="str">
        <f t="shared" si="95"/>
        <v>2026/04</v>
      </c>
      <c r="B1948" s="127" t="str">
        <f t="shared" si="96"/>
        <v>2026/04忠孝國際醫學3樓</v>
      </c>
      <c r="C1948" s="138">
        <v>164</v>
      </c>
      <c r="D1948" s="139" t="s">
        <v>850</v>
      </c>
      <c r="E1948" s="484" t="s">
        <v>360</v>
      </c>
      <c r="F1948" s="484"/>
      <c r="G1948" s="484" t="s">
        <v>361</v>
      </c>
      <c r="H1948" s="484"/>
      <c r="I1948" s="484"/>
      <c r="J1948" s="484"/>
      <c r="K1948" s="140" t="s">
        <v>362</v>
      </c>
      <c r="L1948" s="141">
        <v>30</v>
      </c>
    </row>
    <row r="1949" spans="1:12" ht="17.25" customHeight="1" thickBot="1">
      <c r="A1949" s="126" t="str">
        <f t="shared" si="95"/>
        <v>2026/04</v>
      </c>
      <c r="B1949" s="127" t="str">
        <f t="shared" si="96"/>
        <v>2026/04忠孝國際醫學3樓</v>
      </c>
      <c r="C1949" s="138">
        <v>165</v>
      </c>
      <c r="D1949" s="139" t="s">
        <v>850</v>
      </c>
      <c r="E1949" s="484" t="s">
        <v>383</v>
      </c>
      <c r="F1949" s="484"/>
      <c r="G1949" s="484" t="s">
        <v>384</v>
      </c>
      <c r="H1949" s="484"/>
      <c r="I1949" s="484"/>
      <c r="J1949" s="484"/>
      <c r="K1949" s="140" t="s">
        <v>385</v>
      </c>
      <c r="L1949" s="141">
        <v>685</v>
      </c>
    </row>
    <row r="1950" spans="1:12" ht="17.25" customHeight="1" thickBot="1">
      <c r="A1950" s="126" t="str">
        <f t="shared" si="95"/>
        <v>2026/04</v>
      </c>
      <c r="B1950" s="127" t="str">
        <f t="shared" si="96"/>
        <v>2026/04忠孝國際醫學3樓</v>
      </c>
      <c r="C1950" s="138">
        <v>166</v>
      </c>
      <c r="D1950" s="139" t="s">
        <v>850</v>
      </c>
      <c r="E1950" s="484" t="s">
        <v>394</v>
      </c>
      <c r="F1950" s="484"/>
      <c r="G1950" s="484" t="s">
        <v>395</v>
      </c>
      <c r="H1950" s="484"/>
      <c r="I1950" s="484"/>
      <c r="J1950" s="484"/>
      <c r="K1950" s="140" t="s">
        <v>272</v>
      </c>
      <c r="L1950" s="141">
        <v>18</v>
      </c>
    </row>
    <row r="1951" spans="1:12" ht="17.25" customHeight="1" thickBot="1">
      <c r="A1951" s="126" t="str">
        <f t="shared" si="95"/>
        <v>2026/04</v>
      </c>
      <c r="B1951" s="127" t="str">
        <f t="shared" si="96"/>
        <v>2026/04忠孝國際醫學3樓</v>
      </c>
      <c r="C1951" s="138">
        <v>167</v>
      </c>
      <c r="D1951" s="139" t="s">
        <v>850</v>
      </c>
      <c r="E1951" s="484" t="s">
        <v>396</v>
      </c>
      <c r="F1951" s="484"/>
      <c r="G1951" s="484" t="s">
        <v>397</v>
      </c>
      <c r="H1951" s="484"/>
      <c r="I1951" s="484"/>
      <c r="J1951" s="484"/>
      <c r="K1951" s="140" t="s">
        <v>398</v>
      </c>
      <c r="L1951" s="141">
        <v>7</v>
      </c>
    </row>
    <row r="1952" spans="1:12" ht="17.25" customHeight="1" thickBot="1">
      <c r="A1952" s="126" t="str">
        <f t="shared" si="95"/>
        <v>2026/04</v>
      </c>
      <c r="B1952" s="127" t="str">
        <f t="shared" si="96"/>
        <v>2026/04忠孝國際醫學3樓</v>
      </c>
      <c r="C1952" s="138">
        <v>168</v>
      </c>
      <c r="D1952" s="139" t="s">
        <v>850</v>
      </c>
      <c r="E1952" s="484" t="s">
        <v>403</v>
      </c>
      <c r="F1952" s="484"/>
      <c r="G1952" s="484" t="s">
        <v>404</v>
      </c>
      <c r="H1952" s="484"/>
      <c r="I1952" s="484"/>
      <c r="J1952" s="484"/>
      <c r="K1952" s="140" t="s">
        <v>385</v>
      </c>
      <c r="L1952" s="141">
        <v>11</v>
      </c>
    </row>
    <row r="1953" spans="1:12" ht="17.25" customHeight="1" thickBot="1">
      <c r="A1953" s="126" t="str">
        <f t="shared" si="95"/>
        <v>2026/04</v>
      </c>
      <c r="B1953" s="127" t="str">
        <f t="shared" si="96"/>
        <v>2026/04忠孝國際醫學3樓</v>
      </c>
      <c r="C1953" s="138">
        <v>169</v>
      </c>
      <c r="D1953" s="139" t="s">
        <v>850</v>
      </c>
      <c r="E1953" s="484" t="s">
        <v>406</v>
      </c>
      <c r="F1953" s="484"/>
      <c r="G1953" s="484" t="s">
        <v>407</v>
      </c>
      <c r="H1953" s="484"/>
      <c r="I1953" s="484"/>
      <c r="J1953" s="484"/>
      <c r="K1953" s="140" t="s">
        <v>385</v>
      </c>
      <c r="L1953" s="141">
        <v>11</v>
      </c>
    </row>
    <row r="1954" spans="1:12" ht="17.25" customHeight="1" thickBot="1">
      <c r="A1954" s="126" t="str">
        <f t="shared" si="95"/>
        <v>2026/04</v>
      </c>
      <c r="B1954" s="127" t="str">
        <f t="shared" si="96"/>
        <v>2026/04忠孝國際醫學3樓</v>
      </c>
      <c r="C1954" s="138">
        <v>170</v>
      </c>
      <c r="D1954" s="139" t="s">
        <v>850</v>
      </c>
      <c r="E1954" s="484" t="s">
        <v>408</v>
      </c>
      <c r="F1954" s="484"/>
      <c r="G1954" s="484" t="s">
        <v>409</v>
      </c>
      <c r="H1954" s="484"/>
      <c r="I1954" s="484"/>
      <c r="J1954" s="484"/>
      <c r="K1954" s="140" t="s">
        <v>410</v>
      </c>
      <c r="L1954" s="141">
        <v>11</v>
      </c>
    </row>
    <row r="1955" spans="1:12" ht="17.25" customHeight="1" thickBot="1">
      <c r="A1955" s="126" t="str">
        <f t="shared" si="95"/>
        <v>2026/04</v>
      </c>
      <c r="B1955" s="127" t="str">
        <f t="shared" si="96"/>
        <v>2026/04忠孝國際醫學3樓</v>
      </c>
      <c r="C1955" s="138">
        <v>171</v>
      </c>
      <c r="D1955" s="139" t="s">
        <v>850</v>
      </c>
      <c r="E1955" s="484" t="s">
        <v>255</v>
      </c>
      <c r="F1955" s="484"/>
      <c r="G1955" s="484" t="s">
        <v>256</v>
      </c>
      <c r="H1955" s="484"/>
      <c r="I1955" s="484"/>
      <c r="J1955" s="484"/>
      <c r="K1955" s="140" t="s">
        <v>720</v>
      </c>
      <c r="L1955" s="141">
        <v>662</v>
      </c>
    </row>
    <row r="1956" spans="1:12" ht="17.25" customHeight="1" thickBot="1">
      <c r="A1956" s="126" t="str">
        <f t="shared" si="95"/>
        <v>2026/04</v>
      </c>
      <c r="B1956" s="127" t="str">
        <f t="shared" si="96"/>
        <v>2026/04忠孝國際醫學3樓</v>
      </c>
      <c r="C1956" s="138">
        <v>172</v>
      </c>
      <c r="D1956" s="139" t="s">
        <v>850</v>
      </c>
      <c r="E1956" s="484" t="s">
        <v>419</v>
      </c>
      <c r="F1956" s="484"/>
      <c r="G1956" s="484" t="s">
        <v>420</v>
      </c>
      <c r="H1956" s="484"/>
      <c r="I1956" s="484"/>
      <c r="J1956" s="484"/>
      <c r="K1956" s="140" t="s">
        <v>726</v>
      </c>
      <c r="L1956" s="141">
        <v>1252</v>
      </c>
    </row>
    <row r="1957" spans="1:12" ht="17.25" customHeight="1" thickBot="1">
      <c r="A1957" s="126" t="str">
        <f t="shared" si="95"/>
        <v>2026/04</v>
      </c>
      <c r="B1957" s="127" t="str">
        <f t="shared" si="96"/>
        <v>2026/04忠孝國際醫學3樓</v>
      </c>
      <c r="C1957" s="138">
        <v>173</v>
      </c>
      <c r="D1957" s="139" t="s">
        <v>850</v>
      </c>
      <c r="E1957" s="484" t="s">
        <v>258</v>
      </c>
      <c r="F1957" s="484"/>
      <c r="G1957" s="484" t="s">
        <v>259</v>
      </c>
      <c r="H1957" s="484"/>
      <c r="I1957" s="484"/>
      <c r="J1957" s="484"/>
      <c r="K1957" s="140"/>
      <c r="L1957" s="141">
        <v>14</v>
      </c>
    </row>
    <row r="1958" spans="1:12" ht="17.25" customHeight="1" thickBot="1">
      <c r="A1958" s="126" t="str">
        <f t="shared" si="95"/>
        <v>2026/04</v>
      </c>
      <c r="B1958" s="127" t="str">
        <f t="shared" si="96"/>
        <v>2026/04忠孝國際醫學3樓</v>
      </c>
      <c r="C1958" s="138">
        <v>174</v>
      </c>
      <c r="D1958" s="139" t="s">
        <v>850</v>
      </c>
      <c r="E1958" s="484" t="s">
        <v>260</v>
      </c>
      <c r="F1958" s="484"/>
      <c r="G1958" s="484" t="s">
        <v>261</v>
      </c>
      <c r="H1958" s="484"/>
      <c r="I1958" s="484"/>
      <c r="J1958" s="484"/>
      <c r="K1958" s="140" t="s">
        <v>254</v>
      </c>
      <c r="L1958" s="141">
        <v>14</v>
      </c>
    </row>
    <row r="1959" spans="1:12" ht="17.25" customHeight="1" thickBot="1">
      <c r="A1959" s="126" t="str">
        <f t="shared" si="95"/>
        <v>2026/04</v>
      </c>
      <c r="B1959" s="127" t="str">
        <f t="shared" si="96"/>
        <v>2026/04忠孝國際醫學3樓</v>
      </c>
      <c r="C1959" s="138">
        <v>175</v>
      </c>
      <c r="D1959" s="139" t="s">
        <v>850</v>
      </c>
      <c r="E1959" s="484" t="s">
        <v>415</v>
      </c>
      <c r="F1959" s="484"/>
      <c r="G1959" s="484" t="s">
        <v>416</v>
      </c>
      <c r="H1959" s="484"/>
      <c r="I1959" s="484"/>
      <c r="J1959" s="484"/>
      <c r="K1959" s="140" t="s">
        <v>254</v>
      </c>
      <c r="L1959" s="141">
        <v>1</v>
      </c>
    </row>
    <row r="1960" spans="1:12" ht="17.25" customHeight="1" thickBot="1">
      <c r="A1960" s="126" t="str">
        <f t="shared" si="95"/>
        <v>2026/04</v>
      </c>
      <c r="B1960" s="127" t="str">
        <f t="shared" si="96"/>
        <v>2026/04忠孝國際醫學3樓</v>
      </c>
      <c r="C1960" s="138">
        <v>176</v>
      </c>
      <c r="D1960" s="139" t="s">
        <v>850</v>
      </c>
      <c r="E1960" s="484" t="s">
        <v>252</v>
      </c>
      <c r="F1960" s="484"/>
      <c r="G1960" s="484" t="s">
        <v>253</v>
      </c>
      <c r="H1960" s="484"/>
      <c r="I1960" s="484"/>
      <c r="J1960" s="484"/>
      <c r="K1960" s="140" t="s">
        <v>254</v>
      </c>
      <c r="L1960" s="141">
        <v>21</v>
      </c>
    </row>
    <row r="1961" spans="1:12" ht="17.25" customHeight="1" thickBot="1">
      <c r="A1961" s="126" t="str">
        <f t="shared" si="95"/>
        <v>2026/04</v>
      </c>
      <c r="B1961" s="127" t="str">
        <f t="shared" si="96"/>
        <v>2026/04忠孝國際醫學3樓</v>
      </c>
      <c r="C1961" s="138">
        <v>177</v>
      </c>
      <c r="D1961" s="139" t="s">
        <v>850</v>
      </c>
      <c r="E1961" s="484" t="s">
        <v>690</v>
      </c>
      <c r="F1961" s="484"/>
      <c r="G1961" s="484" t="s">
        <v>911</v>
      </c>
      <c r="H1961" s="484"/>
      <c r="I1961" s="484"/>
      <c r="J1961" s="484"/>
      <c r="K1961" s="140" t="s">
        <v>692</v>
      </c>
      <c r="L1961" s="141">
        <v>7</v>
      </c>
    </row>
    <row r="1962" spans="1:12" ht="17.25" customHeight="1" thickBot="1">
      <c r="A1962" s="126" t="str">
        <f t="shared" si="95"/>
        <v>2026/04</v>
      </c>
      <c r="B1962" s="127" t="str">
        <f t="shared" si="96"/>
        <v>2026/04忠孝國際醫學3樓</v>
      </c>
      <c r="C1962" s="138">
        <v>178</v>
      </c>
      <c r="D1962" s="139" t="s">
        <v>850</v>
      </c>
      <c r="E1962" s="484" t="s">
        <v>386</v>
      </c>
      <c r="F1962" s="484"/>
      <c r="G1962" s="484" t="s">
        <v>387</v>
      </c>
      <c r="H1962" s="484"/>
      <c r="I1962" s="484"/>
      <c r="J1962" s="484"/>
      <c r="K1962" s="140" t="s">
        <v>388</v>
      </c>
      <c r="L1962" s="141">
        <v>4383</v>
      </c>
    </row>
    <row r="1963" spans="1:12" ht="17.25" customHeight="1" thickBot="1">
      <c r="A1963" s="126" t="str">
        <f t="shared" si="95"/>
        <v>2026/04</v>
      </c>
      <c r="B1963" s="127" t="str">
        <f t="shared" si="96"/>
        <v>2026/04忠孝國際醫學3樓</v>
      </c>
      <c r="C1963" s="138">
        <v>179</v>
      </c>
      <c r="D1963" s="139" t="s">
        <v>850</v>
      </c>
      <c r="E1963" s="484" t="s">
        <v>401</v>
      </c>
      <c r="F1963" s="484"/>
      <c r="G1963" s="484" t="s">
        <v>919</v>
      </c>
      <c r="H1963" s="484"/>
      <c r="I1963" s="484"/>
      <c r="J1963" s="484"/>
      <c r="K1963" s="140" t="s">
        <v>145</v>
      </c>
      <c r="L1963" s="141">
        <v>7</v>
      </c>
    </row>
    <row r="1964" spans="1:12" ht="17.25" customHeight="1" thickBot="1">
      <c r="A1964" s="126" t="str">
        <f t="shared" si="95"/>
        <v>2026/04</v>
      </c>
      <c r="B1964" s="127" t="str">
        <f t="shared" si="96"/>
        <v>2026/04忠孝國際醫學3樓</v>
      </c>
      <c r="C1964" s="138">
        <v>180</v>
      </c>
      <c r="D1964" s="139" t="s">
        <v>850</v>
      </c>
      <c r="E1964" s="484" t="s">
        <v>417</v>
      </c>
      <c r="F1964" s="484"/>
      <c r="G1964" s="484" t="s">
        <v>920</v>
      </c>
      <c r="H1964" s="484"/>
      <c r="I1964" s="484"/>
      <c r="J1964" s="484"/>
      <c r="K1964" s="140" t="s">
        <v>145</v>
      </c>
      <c r="L1964" s="141">
        <v>4</v>
      </c>
    </row>
    <row r="1965" spans="1:12" ht="17.25" customHeight="1" thickBot="1">
      <c r="A1965" s="126" t="str">
        <f t="shared" si="95"/>
        <v>2026/04</v>
      </c>
      <c r="B1965" s="127" t="str">
        <f t="shared" si="96"/>
        <v>2026/04忠孝國際醫學3樓</v>
      </c>
      <c r="C1965" s="138">
        <v>181</v>
      </c>
      <c r="D1965" s="139" t="s">
        <v>850</v>
      </c>
      <c r="E1965" s="484" t="s">
        <v>411</v>
      </c>
      <c r="F1965" s="484"/>
      <c r="G1965" s="484" t="s">
        <v>934</v>
      </c>
      <c r="H1965" s="484"/>
      <c r="I1965" s="484"/>
      <c r="J1965" s="484"/>
      <c r="K1965" s="140" t="s">
        <v>433</v>
      </c>
      <c r="L1965" s="141">
        <v>2</v>
      </c>
    </row>
    <row r="1966" spans="1:12" ht="17.25" customHeight="1" thickBot="1">
      <c r="A1966" s="126" t="str">
        <f t="shared" si="95"/>
        <v>2026/04</v>
      </c>
      <c r="B1966" s="127" t="str">
        <f t="shared" si="96"/>
        <v>2026/04忠孝國際醫學3樓</v>
      </c>
      <c r="C1966" s="138">
        <v>182</v>
      </c>
      <c r="D1966" s="139" t="s">
        <v>850</v>
      </c>
      <c r="E1966" s="484" t="s">
        <v>375</v>
      </c>
      <c r="F1966" s="484"/>
      <c r="G1966" s="484" t="s">
        <v>925</v>
      </c>
      <c r="H1966" s="484"/>
      <c r="I1966" s="484"/>
      <c r="J1966" s="484"/>
      <c r="K1966" s="140" t="s">
        <v>433</v>
      </c>
      <c r="L1966" s="141">
        <v>7</v>
      </c>
    </row>
    <row r="1967" spans="1:12" ht="17.25" customHeight="1" thickBot="1">
      <c r="A1967" s="126" t="str">
        <f t="shared" si="95"/>
        <v>2026/04</v>
      </c>
      <c r="B1967" s="127" t="str">
        <f t="shared" si="96"/>
        <v>2026/04忠孝國際醫學3樓</v>
      </c>
      <c r="C1967" s="138">
        <v>183</v>
      </c>
      <c r="D1967" s="139" t="s">
        <v>850</v>
      </c>
      <c r="E1967" s="484" t="s">
        <v>422</v>
      </c>
      <c r="F1967" s="484"/>
      <c r="G1967" s="484" t="s">
        <v>948</v>
      </c>
      <c r="H1967" s="484"/>
      <c r="I1967" s="484"/>
      <c r="J1967" s="484"/>
      <c r="K1967" s="140" t="s">
        <v>433</v>
      </c>
      <c r="L1967" s="141">
        <v>4</v>
      </c>
    </row>
    <row r="1968" spans="1:12" ht="17.25" customHeight="1" thickBot="1">
      <c r="A1968" s="126" t="str">
        <f t="shared" si="95"/>
        <v>2026/04</v>
      </c>
      <c r="B1968" s="127" t="str">
        <f t="shared" si="96"/>
        <v>2026/04忠孝國際醫學3樓</v>
      </c>
      <c r="C1968" s="138">
        <v>184</v>
      </c>
      <c r="D1968" s="139" t="s">
        <v>850</v>
      </c>
      <c r="E1968" s="484" t="s">
        <v>399</v>
      </c>
      <c r="F1968" s="484"/>
      <c r="G1968" s="484" t="s">
        <v>921</v>
      </c>
      <c r="H1968" s="484"/>
      <c r="I1968" s="484"/>
      <c r="J1968" s="484"/>
      <c r="K1968" s="140" t="s">
        <v>433</v>
      </c>
      <c r="L1968" s="141">
        <v>8</v>
      </c>
    </row>
    <row r="1969" spans="1:12" ht="17.25" customHeight="1" thickBot="1">
      <c r="A1969" s="126" t="str">
        <f t="shared" si="95"/>
        <v>2026/04</v>
      </c>
      <c r="B1969" s="127" t="str">
        <f t="shared" si="96"/>
        <v>2026/04忠孝國際醫學3樓</v>
      </c>
      <c r="C1969" s="138">
        <v>185</v>
      </c>
      <c r="D1969" s="139" t="s">
        <v>850</v>
      </c>
      <c r="E1969" s="484" t="s">
        <v>431</v>
      </c>
      <c r="F1969" s="484"/>
      <c r="G1969" s="484" t="s">
        <v>922</v>
      </c>
      <c r="H1969" s="484"/>
      <c r="I1969" s="484"/>
      <c r="J1969" s="484"/>
      <c r="K1969" s="140" t="s">
        <v>746</v>
      </c>
      <c r="L1969" s="141">
        <v>2393.3199999999997</v>
      </c>
    </row>
    <row r="1970" spans="1:12" ht="17.25" customHeight="1" thickBot="1">
      <c r="A1970" s="126" t="str">
        <f t="shared" si="95"/>
        <v>2026/04</v>
      </c>
      <c r="B1970" s="127" t="str">
        <f t="shared" si="96"/>
        <v>2026/04忠孝國際醫學3樓</v>
      </c>
      <c r="C1970" s="138">
        <v>186</v>
      </c>
      <c r="D1970" s="139" t="s">
        <v>850</v>
      </c>
      <c r="E1970" s="484" t="s">
        <v>701</v>
      </c>
      <c r="F1970" s="484"/>
      <c r="G1970" s="484" t="s">
        <v>926</v>
      </c>
      <c r="H1970" s="484"/>
      <c r="I1970" s="484"/>
      <c r="J1970" s="484"/>
      <c r="K1970" s="140" t="s">
        <v>849</v>
      </c>
      <c r="L1970" s="141">
        <v>5</v>
      </c>
    </row>
    <row r="1971" spans="1:12" ht="17.25" customHeight="1" thickBot="1">
      <c r="A1971" s="126" t="str">
        <f t="shared" si="95"/>
        <v>2026/04</v>
      </c>
      <c r="B1971" s="127" t="str">
        <f t="shared" si="96"/>
        <v>2026/04忠孝國際醫學3樓</v>
      </c>
      <c r="C1971" s="138">
        <v>187</v>
      </c>
      <c r="D1971" s="139" t="s">
        <v>850</v>
      </c>
      <c r="E1971" s="484" t="s">
        <v>693</v>
      </c>
      <c r="F1971" s="484"/>
      <c r="G1971" s="484" t="s">
        <v>927</v>
      </c>
      <c r="H1971" s="484"/>
      <c r="I1971" s="484"/>
      <c r="J1971" s="484"/>
      <c r="K1971" s="140" t="s">
        <v>747</v>
      </c>
      <c r="L1971" s="141">
        <v>6</v>
      </c>
    </row>
    <row r="1972" spans="1:12" ht="17.25" customHeight="1" thickBot="1">
      <c r="A1972" s="126" t="str">
        <f t="shared" si="95"/>
        <v>2026/04</v>
      </c>
      <c r="B1972" s="127" t="str">
        <f t="shared" si="96"/>
        <v>2026/04忠孝健康7樓</v>
      </c>
      <c r="C1972" s="138">
        <v>188</v>
      </c>
      <c r="D1972" s="139" t="s">
        <v>861</v>
      </c>
      <c r="E1972" s="484" t="s">
        <v>899</v>
      </c>
      <c r="F1972" s="484"/>
      <c r="G1972" s="484" t="s">
        <v>943</v>
      </c>
      <c r="H1972" s="484"/>
      <c r="I1972" s="484"/>
      <c r="J1972" s="484"/>
      <c r="K1972" s="140" t="s">
        <v>888</v>
      </c>
      <c r="L1972" s="141">
        <v>250</v>
      </c>
    </row>
    <row r="1973" spans="1:12" ht="17.25" customHeight="1" thickBot="1">
      <c r="A1973" s="126" t="str">
        <f t="shared" ref="A1973:A1991" si="97">IFERROR(LEFT(B1973,7),"")</f>
        <v>2026/04</v>
      </c>
      <c r="B1973" s="127" t="str">
        <f t="shared" ref="B1973:B1991" si="98">"2026/04"&amp;D1973</f>
        <v>2026/04忠孝健康7樓</v>
      </c>
      <c r="C1973" s="138">
        <v>189</v>
      </c>
      <c r="D1973" s="139" t="s">
        <v>861</v>
      </c>
      <c r="E1973" s="484" t="s">
        <v>908</v>
      </c>
      <c r="F1973" s="484"/>
      <c r="G1973" s="484" t="s">
        <v>909</v>
      </c>
      <c r="H1973" s="484"/>
      <c r="I1973" s="484"/>
      <c r="J1973" s="484"/>
      <c r="K1973" s="140" t="s">
        <v>910</v>
      </c>
      <c r="L1973" s="141">
        <v>12</v>
      </c>
    </row>
    <row r="1974" spans="1:12" ht="17.25" customHeight="1" thickBot="1">
      <c r="A1974" s="126" t="str">
        <f t="shared" si="97"/>
        <v>2026/04</v>
      </c>
      <c r="B1974" s="127" t="str">
        <f t="shared" si="98"/>
        <v>2026/04忠孝健康7樓</v>
      </c>
      <c r="C1974" s="138">
        <v>190</v>
      </c>
      <c r="D1974" s="139" t="s">
        <v>861</v>
      </c>
      <c r="E1974" s="484" t="s">
        <v>944</v>
      </c>
      <c r="F1974" s="484"/>
      <c r="G1974" s="484" t="s">
        <v>945</v>
      </c>
      <c r="H1974" s="484"/>
      <c r="I1974" s="484"/>
      <c r="J1974" s="484"/>
      <c r="K1974" s="140" t="s">
        <v>145</v>
      </c>
      <c r="L1974" s="141">
        <v>6800</v>
      </c>
    </row>
    <row r="1975" spans="1:12" ht="17.25" customHeight="1" thickBot="1">
      <c r="A1975" s="126" t="str">
        <f t="shared" si="97"/>
        <v>2026/04</v>
      </c>
      <c r="B1975" s="127" t="str">
        <f t="shared" si="98"/>
        <v>2026/04忠孝健康7樓</v>
      </c>
      <c r="C1975" s="138">
        <v>191</v>
      </c>
      <c r="D1975" s="139" t="s">
        <v>861</v>
      </c>
      <c r="E1975" s="484" t="s">
        <v>360</v>
      </c>
      <c r="F1975" s="484"/>
      <c r="G1975" s="484" t="s">
        <v>361</v>
      </c>
      <c r="H1975" s="484"/>
      <c r="I1975" s="484"/>
      <c r="J1975" s="484"/>
      <c r="K1975" s="140" t="s">
        <v>362</v>
      </c>
      <c r="L1975" s="141">
        <v>22</v>
      </c>
    </row>
    <row r="1976" spans="1:12" ht="17.25" customHeight="1" thickBot="1">
      <c r="A1976" s="126" t="str">
        <f t="shared" si="97"/>
        <v>2026/04</v>
      </c>
      <c r="B1976" s="127" t="str">
        <f t="shared" si="98"/>
        <v>2026/04忠孝健康7樓</v>
      </c>
      <c r="C1976" s="138">
        <v>192</v>
      </c>
      <c r="D1976" s="139" t="s">
        <v>861</v>
      </c>
      <c r="E1976" s="484" t="s">
        <v>383</v>
      </c>
      <c r="F1976" s="484"/>
      <c r="G1976" s="484" t="s">
        <v>384</v>
      </c>
      <c r="H1976" s="484"/>
      <c r="I1976" s="484"/>
      <c r="J1976" s="484"/>
      <c r="K1976" s="140" t="s">
        <v>385</v>
      </c>
      <c r="L1976" s="141">
        <v>22</v>
      </c>
    </row>
    <row r="1977" spans="1:12" ht="17.25" customHeight="1" thickBot="1">
      <c r="A1977" s="126" t="str">
        <f t="shared" si="97"/>
        <v>2026/04</v>
      </c>
      <c r="B1977" s="127" t="str">
        <f t="shared" si="98"/>
        <v>2026/04忠孝健康7樓</v>
      </c>
      <c r="C1977" s="138">
        <v>193</v>
      </c>
      <c r="D1977" s="139" t="s">
        <v>861</v>
      </c>
      <c r="E1977" s="484" t="s">
        <v>394</v>
      </c>
      <c r="F1977" s="484"/>
      <c r="G1977" s="484" t="s">
        <v>395</v>
      </c>
      <c r="H1977" s="484"/>
      <c r="I1977" s="484"/>
      <c r="J1977" s="484"/>
      <c r="K1977" s="140" t="s">
        <v>272</v>
      </c>
      <c r="L1977" s="141">
        <v>2</v>
      </c>
    </row>
    <row r="1978" spans="1:12" ht="17.25" customHeight="1" thickBot="1">
      <c r="A1978" s="126" t="str">
        <f t="shared" si="97"/>
        <v>2026/04</v>
      </c>
      <c r="B1978" s="127" t="str">
        <f t="shared" si="98"/>
        <v>2026/04忠孝健康7樓</v>
      </c>
      <c r="C1978" s="138">
        <v>194</v>
      </c>
      <c r="D1978" s="139" t="s">
        <v>861</v>
      </c>
      <c r="E1978" s="484" t="s">
        <v>403</v>
      </c>
      <c r="F1978" s="484"/>
      <c r="G1978" s="484" t="s">
        <v>404</v>
      </c>
      <c r="H1978" s="484"/>
      <c r="I1978" s="484"/>
      <c r="J1978" s="484"/>
      <c r="K1978" s="140" t="s">
        <v>385</v>
      </c>
      <c r="L1978" s="141">
        <v>1</v>
      </c>
    </row>
    <row r="1979" spans="1:12" ht="17.25" customHeight="1" thickBot="1">
      <c r="A1979" s="126" t="str">
        <f t="shared" si="97"/>
        <v>2026/04</v>
      </c>
      <c r="B1979" s="127" t="str">
        <f t="shared" si="98"/>
        <v>2026/04忠孝健康7樓</v>
      </c>
      <c r="C1979" s="138">
        <v>195</v>
      </c>
      <c r="D1979" s="139" t="s">
        <v>861</v>
      </c>
      <c r="E1979" s="484" t="s">
        <v>406</v>
      </c>
      <c r="F1979" s="484"/>
      <c r="G1979" s="484" t="s">
        <v>407</v>
      </c>
      <c r="H1979" s="484"/>
      <c r="I1979" s="484"/>
      <c r="J1979" s="484"/>
      <c r="K1979" s="140" t="s">
        <v>385</v>
      </c>
      <c r="L1979" s="141">
        <v>1</v>
      </c>
    </row>
    <row r="1980" spans="1:12" ht="17.25" customHeight="1" thickBot="1">
      <c r="A1980" s="126" t="str">
        <f t="shared" si="97"/>
        <v>2026/04</v>
      </c>
      <c r="B1980" s="127" t="str">
        <f t="shared" si="98"/>
        <v>2026/04忠孝健康7樓</v>
      </c>
      <c r="C1980" s="138">
        <v>196</v>
      </c>
      <c r="D1980" s="139" t="s">
        <v>861</v>
      </c>
      <c r="E1980" s="484" t="s">
        <v>255</v>
      </c>
      <c r="F1980" s="484"/>
      <c r="G1980" s="484" t="s">
        <v>256</v>
      </c>
      <c r="H1980" s="484"/>
      <c r="I1980" s="484"/>
      <c r="J1980" s="484"/>
      <c r="K1980" s="140" t="s">
        <v>720</v>
      </c>
      <c r="L1980" s="141">
        <v>39</v>
      </c>
    </row>
    <row r="1981" spans="1:12" ht="17.25" customHeight="1" thickBot="1">
      <c r="A1981" s="126" t="str">
        <f t="shared" si="97"/>
        <v>2026/04</v>
      </c>
      <c r="B1981" s="127" t="str">
        <f t="shared" si="98"/>
        <v>2026/04忠孝健康7樓</v>
      </c>
      <c r="C1981" s="138">
        <v>197</v>
      </c>
      <c r="D1981" s="139" t="s">
        <v>861</v>
      </c>
      <c r="E1981" s="484" t="s">
        <v>258</v>
      </c>
      <c r="F1981" s="484"/>
      <c r="G1981" s="484" t="s">
        <v>259</v>
      </c>
      <c r="H1981" s="484"/>
      <c r="I1981" s="484"/>
      <c r="J1981" s="484"/>
      <c r="K1981" s="140"/>
      <c r="L1981" s="141">
        <v>56</v>
      </c>
    </row>
    <row r="1982" spans="1:12" ht="17.25" customHeight="1" thickBot="1">
      <c r="A1982" s="126" t="str">
        <f t="shared" si="97"/>
        <v>2026/04</v>
      </c>
      <c r="B1982" s="127" t="str">
        <f t="shared" si="98"/>
        <v>2026/04忠孝健康7樓</v>
      </c>
      <c r="C1982" s="138">
        <v>198</v>
      </c>
      <c r="D1982" s="139" t="s">
        <v>861</v>
      </c>
      <c r="E1982" s="484" t="s">
        <v>260</v>
      </c>
      <c r="F1982" s="484"/>
      <c r="G1982" s="484" t="s">
        <v>261</v>
      </c>
      <c r="H1982" s="484"/>
      <c r="I1982" s="484"/>
      <c r="J1982" s="484"/>
      <c r="K1982" s="140" t="s">
        <v>254</v>
      </c>
      <c r="L1982" s="141">
        <v>55</v>
      </c>
    </row>
    <row r="1983" spans="1:12" ht="17.25" customHeight="1" thickBot="1">
      <c r="A1983" s="126" t="str">
        <f t="shared" si="97"/>
        <v>2026/04</v>
      </c>
      <c r="B1983" s="127" t="str">
        <f t="shared" si="98"/>
        <v>2026/04忠孝健康7樓</v>
      </c>
      <c r="C1983" s="138">
        <v>199</v>
      </c>
      <c r="D1983" s="139" t="s">
        <v>861</v>
      </c>
      <c r="E1983" s="484" t="s">
        <v>415</v>
      </c>
      <c r="F1983" s="484"/>
      <c r="G1983" s="484" t="s">
        <v>416</v>
      </c>
      <c r="H1983" s="484"/>
      <c r="I1983" s="484"/>
      <c r="J1983" s="484"/>
      <c r="K1983" s="140" t="s">
        <v>254</v>
      </c>
      <c r="L1983" s="141">
        <v>1</v>
      </c>
    </row>
    <row r="1984" spans="1:12" ht="17.25" customHeight="1" thickBot="1">
      <c r="A1984" s="126" t="str">
        <f t="shared" si="97"/>
        <v>2026/04</v>
      </c>
      <c r="B1984" s="127" t="str">
        <f t="shared" si="98"/>
        <v>2026/04忠孝健康7樓</v>
      </c>
      <c r="C1984" s="138">
        <v>200</v>
      </c>
      <c r="D1984" s="139" t="s">
        <v>861</v>
      </c>
      <c r="E1984" s="484" t="s">
        <v>262</v>
      </c>
      <c r="F1984" s="484"/>
      <c r="G1984" s="484" t="s">
        <v>263</v>
      </c>
      <c r="H1984" s="484"/>
      <c r="I1984" s="484"/>
      <c r="J1984" s="484"/>
      <c r="K1984" s="140" t="s">
        <v>254</v>
      </c>
      <c r="L1984" s="141">
        <v>40</v>
      </c>
    </row>
    <row r="1985" spans="1:12" ht="17.25" customHeight="1" thickBot="1">
      <c r="A1985" s="126" t="str">
        <f t="shared" si="97"/>
        <v>2026/04</v>
      </c>
      <c r="B1985" s="127" t="str">
        <f t="shared" si="98"/>
        <v>2026/04忠孝健康7樓</v>
      </c>
      <c r="C1985" s="138">
        <v>201</v>
      </c>
      <c r="D1985" s="139" t="s">
        <v>861</v>
      </c>
      <c r="E1985" s="484" t="s">
        <v>270</v>
      </c>
      <c r="F1985" s="484"/>
      <c r="G1985" s="484" t="s">
        <v>271</v>
      </c>
      <c r="H1985" s="484"/>
      <c r="I1985" s="484"/>
      <c r="J1985" s="484"/>
      <c r="K1985" s="140" t="s">
        <v>272</v>
      </c>
      <c r="L1985" s="141">
        <v>45</v>
      </c>
    </row>
    <row r="1986" spans="1:12" ht="17.25" customHeight="1" thickBot="1">
      <c r="A1986" s="126" t="str">
        <f t="shared" si="97"/>
        <v>2026/04</v>
      </c>
      <c r="B1986" s="127" t="str">
        <f t="shared" si="98"/>
        <v>2026/04忠孝健康7樓</v>
      </c>
      <c r="C1986" s="138">
        <v>202</v>
      </c>
      <c r="D1986" s="139" t="s">
        <v>861</v>
      </c>
      <c r="E1986" s="484" t="s">
        <v>252</v>
      </c>
      <c r="F1986" s="484"/>
      <c r="G1986" s="484" t="s">
        <v>253</v>
      </c>
      <c r="H1986" s="484"/>
      <c r="I1986" s="484"/>
      <c r="J1986" s="484"/>
      <c r="K1986" s="140" t="s">
        <v>254</v>
      </c>
      <c r="L1986" s="141">
        <v>72</v>
      </c>
    </row>
    <row r="1987" spans="1:12" ht="17.25" customHeight="1" thickBot="1">
      <c r="A1987" s="126" t="str">
        <f t="shared" si="97"/>
        <v>2026/04</v>
      </c>
      <c r="B1987" s="127" t="str">
        <f t="shared" si="98"/>
        <v>2026/04忠孝健康7樓</v>
      </c>
      <c r="C1987" s="138">
        <v>203</v>
      </c>
      <c r="D1987" s="139" t="s">
        <v>861</v>
      </c>
      <c r="E1987" s="484" t="s">
        <v>695</v>
      </c>
      <c r="F1987" s="484"/>
      <c r="G1987" s="484" t="s">
        <v>696</v>
      </c>
      <c r="H1987" s="484"/>
      <c r="I1987" s="484"/>
      <c r="J1987" s="484"/>
      <c r="K1987" s="140" t="s">
        <v>254</v>
      </c>
      <c r="L1987" s="141">
        <v>1</v>
      </c>
    </row>
    <row r="1988" spans="1:12" ht="17.25" customHeight="1" thickBot="1">
      <c r="A1988" s="126" t="str">
        <f t="shared" si="97"/>
        <v>2026/04</v>
      </c>
      <c r="B1988" s="127" t="str">
        <f t="shared" si="98"/>
        <v>2026/04忠孝健康7樓</v>
      </c>
      <c r="C1988" s="138">
        <v>204</v>
      </c>
      <c r="D1988" s="139" t="s">
        <v>861</v>
      </c>
      <c r="E1988" s="484" t="s">
        <v>429</v>
      </c>
      <c r="F1988" s="484"/>
      <c r="G1988" s="484" t="s">
        <v>430</v>
      </c>
      <c r="H1988" s="484"/>
      <c r="I1988" s="484"/>
      <c r="J1988" s="484"/>
      <c r="K1988" s="140" t="s">
        <v>272</v>
      </c>
      <c r="L1988" s="141">
        <v>2</v>
      </c>
    </row>
    <row r="1989" spans="1:12" ht="17.25" customHeight="1" thickBot="1">
      <c r="A1989" s="126" t="str">
        <f t="shared" si="97"/>
        <v>2026/04</v>
      </c>
      <c r="B1989" s="127" t="str">
        <f t="shared" si="98"/>
        <v>2026/04忠孝健康7樓</v>
      </c>
      <c r="C1989" s="138">
        <v>205</v>
      </c>
      <c r="D1989" s="139" t="s">
        <v>861</v>
      </c>
      <c r="E1989" s="484" t="s">
        <v>690</v>
      </c>
      <c r="F1989" s="484"/>
      <c r="G1989" s="484" t="s">
        <v>911</v>
      </c>
      <c r="H1989" s="484"/>
      <c r="I1989" s="484"/>
      <c r="J1989" s="484"/>
      <c r="K1989" s="140" t="s">
        <v>692</v>
      </c>
      <c r="L1989" s="141">
        <v>21</v>
      </c>
    </row>
    <row r="1990" spans="1:12" ht="17.25" customHeight="1" thickBot="1">
      <c r="A1990" s="126" t="str">
        <f t="shared" si="97"/>
        <v>2026/04</v>
      </c>
      <c r="B1990" s="127" t="str">
        <f t="shared" si="98"/>
        <v>2026/04忠孝健康7樓</v>
      </c>
      <c r="C1990" s="138">
        <v>206</v>
      </c>
      <c r="D1990" s="139" t="s">
        <v>861</v>
      </c>
      <c r="E1990" s="484" t="s">
        <v>935</v>
      </c>
      <c r="F1990" s="484"/>
      <c r="G1990" s="484" t="s">
        <v>936</v>
      </c>
      <c r="H1990" s="484"/>
      <c r="I1990" s="484"/>
      <c r="J1990" s="484"/>
      <c r="K1990" s="140" t="s">
        <v>410</v>
      </c>
      <c r="L1990" s="141">
        <v>2</v>
      </c>
    </row>
    <row r="1991" spans="1:12" ht="17.25" customHeight="1" thickBot="1">
      <c r="A1991" s="126" t="str">
        <f t="shared" si="97"/>
        <v>2026/04</v>
      </c>
      <c r="B1991" s="127" t="str">
        <f t="shared" si="98"/>
        <v>2026/04忠孝健康7樓</v>
      </c>
      <c r="C1991" s="138">
        <v>207</v>
      </c>
      <c r="D1991" s="139" t="s">
        <v>861</v>
      </c>
      <c r="E1991" s="484" t="s">
        <v>305</v>
      </c>
      <c r="F1991" s="484"/>
      <c r="G1991" s="484" t="s">
        <v>877</v>
      </c>
      <c r="H1991" s="484"/>
      <c r="I1991" s="484"/>
      <c r="J1991" s="484"/>
      <c r="K1991" s="140" t="s">
        <v>676</v>
      </c>
      <c r="L1991" s="141">
        <v>1363</v>
      </c>
    </row>
    <row r="1992" spans="1:12" ht="17.25" customHeight="1" thickBot="1">
      <c r="A1992" s="126" t="str">
        <f t="shared" ref="A1992:A1995" si="99">IFERROR(LEFT(B1992,7),"")</f>
        <v>2026/04</v>
      </c>
      <c r="B1992" s="127" t="str">
        <f t="shared" ref="B1992:B1995" si="100">"2026/04"&amp;D1992</f>
        <v>2026/04忠孝健康7樓</v>
      </c>
      <c r="C1992" s="138">
        <v>208</v>
      </c>
      <c r="D1992" s="139" t="s">
        <v>861</v>
      </c>
      <c r="E1992" s="484" t="s">
        <v>264</v>
      </c>
      <c r="F1992" s="484"/>
      <c r="G1992" s="484" t="s">
        <v>677</v>
      </c>
      <c r="H1992" s="484"/>
      <c r="I1992" s="484"/>
      <c r="J1992" s="484"/>
      <c r="K1992" s="140" t="s">
        <v>678</v>
      </c>
      <c r="L1992" s="141">
        <v>2557</v>
      </c>
    </row>
    <row r="1993" spans="1:12" ht="17.25" customHeight="1" thickBot="1">
      <c r="A1993" s="126" t="str">
        <f t="shared" si="99"/>
        <v>2026/04</v>
      </c>
      <c r="B1993" s="127" t="str">
        <f t="shared" si="100"/>
        <v>2026/04忠孝健康7樓</v>
      </c>
      <c r="C1993" s="138">
        <v>209</v>
      </c>
      <c r="D1993" s="139" t="s">
        <v>861</v>
      </c>
      <c r="E1993" s="484" t="s">
        <v>307</v>
      </c>
      <c r="F1993" s="484"/>
      <c r="G1993" s="484" t="s">
        <v>878</v>
      </c>
      <c r="H1993" s="484"/>
      <c r="I1993" s="484"/>
      <c r="J1993" s="484"/>
      <c r="K1993" s="140" t="s">
        <v>678</v>
      </c>
      <c r="L1993" s="141">
        <v>2710</v>
      </c>
    </row>
    <row r="1994" spans="1:12" ht="17.25" customHeight="1" thickBot="1">
      <c r="A1994" s="126" t="str">
        <f t="shared" si="99"/>
        <v>2026/04</v>
      </c>
      <c r="B1994" s="127" t="str">
        <f t="shared" si="100"/>
        <v>2026/04忠孝健康7樓</v>
      </c>
      <c r="C1994" s="138">
        <v>210</v>
      </c>
      <c r="D1994" s="139" t="s">
        <v>861</v>
      </c>
      <c r="E1994" s="484" t="s">
        <v>313</v>
      </c>
      <c r="F1994" s="484"/>
      <c r="G1994" s="484" t="s">
        <v>314</v>
      </c>
      <c r="H1994" s="484"/>
      <c r="I1994" s="484"/>
      <c r="J1994" s="484"/>
      <c r="K1994" s="140" t="s">
        <v>301</v>
      </c>
      <c r="L1994" s="141">
        <v>36</v>
      </c>
    </row>
    <row r="1995" spans="1:12" ht="17.25" customHeight="1" thickBot="1">
      <c r="A1995" s="126" t="str">
        <f t="shared" si="99"/>
        <v>2026/04</v>
      </c>
      <c r="B1995" s="127" t="str">
        <f t="shared" si="100"/>
        <v>2026/04忠孝健康7樓</v>
      </c>
      <c r="C1995" s="138">
        <v>211</v>
      </c>
      <c r="D1995" s="139" t="s">
        <v>861</v>
      </c>
      <c r="E1995" s="484" t="s">
        <v>343</v>
      </c>
      <c r="F1995" s="484"/>
      <c r="G1995" s="484" t="s">
        <v>344</v>
      </c>
      <c r="H1995" s="484"/>
      <c r="I1995" s="484"/>
      <c r="J1995" s="484"/>
      <c r="K1995" s="140" t="s">
        <v>301</v>
      </c>
      <c r="L1995" s="141">
        <v>3</v>
      </c>
    </row>
    <row r="1996" spans="1:12" ht="17.25" customHeight="1" thickBot="1">
      <c r="A1996" s="126" t="str">
        <f t="shared" ref="A1996:A2013" si="101">IFERROR(LEFT(B1996,7),"")</f>
        <v>2026/04</v>
      </c>
      <c r="B1996" s="127" t="str">
        <f t="shared" ref="B1996:B2013" si="102">"2026/04"&amp;D1996</f>
        <v>2026/04忠孝健康7樓</v>
      </c>
      <c r="C1996" s="138">
        <v>212</v>
      </c>
      <c r="D1996" s="139" t="s">
        <v>861</v>
      </c>
      <c r="E1996" s="484" t="s">
        <v>349</v>
      </c>
      <c r="F1996" s="484"/>
      <c r="G1996" s="484" t="s">
        <v>350</v>
      </c>
      <c r="H1996" s="484"/>
      <c r="I1996" s="484"/>
      <c r="J1996" s="484"/>
      <c r="K1996" s="140" t="s">
        <v>301</v>
      </c>
      <c r="L1996" s="141">
        <v>8</v>
      </c>
    </row>
    <row r="1997" spans="1:12" ht="17.25" customHeight="1" thickBot="1">
      <c r="A1997" s="126" t="str">
        <f t="shared" si="101"/>
        <v>2026/04</v>
      </c>
      <c r="B1997" s="127" t="str">
        <f t="shared" si="102"/>
        <v>2026/04忠孝健康7樓</v>
      </c>
      <c r="C1997" s="138">
        <v>213</v>
      </c>
      <c r="D1997" s="139" t="s">
        <v>861</v>
      </c>
      <c r="E1997" s="484" t="s">
        <v>282</v>
      </c>
      <c r="F1997" s="484"/>
      <c r="G1997" s="484" t="s">
        <v>283</v>
      </c>
      <c r="H1997" s="484"/>
      <c r="I1997" s="484"/>
      <c r="J1997" s="484"/>
      <c r="K1997" s="140" t="s">
        <v>284</v>
      </c>
      <c r="L1997" s="141">
        <v>36</v>
      </c>
    </row>
    <row r="1998" spans="1:12" ht="17.25" customHeight="1" thickBot="1">
      <c r="A1998" s="126" t="str">
        <f t="shared" si="101"/>
        <v>2026/04</v>
      </c>
      <c r="B1998" s="127" t="str">
        <f t="shared" si="102"/>
        <v>2026/04忠孝健康7樓</v>
      </c>
      <c r="C1998" s="138">
        <v>214</v>
      </c>
      <c r="D1998" s="139" t="s">
        <v>861</v>
      </c>
      <c r="E1998" s="484" t="s">
        <v>345</v>
      </c>
      <c r="F1998" s="484"/>
      <c r="G1998" s="484" t="s">
        <v>346</v>
      </c>
      <c r="H1998" s="484"/>
      <c r="I1998" s="484"/>
      <c r="J1998" s="484"/>
      <c r="K1998" s="140" t="s">
        <v>284</v>
      </c>
      <c r="L1998" s="141">
        <v>1</v>
      </c>
    </row>
    <row r="1999" spans="1:12" ht="17.25" customHeight="1" thickBot="1">
      <c r="A1999" s="126" t="str">
        <f t="shared" si="101"/>
        <v>2026/04</v>
      </c>
      <c r="B1999" s="127" t="str">
        <f t="shared" si="102"/>
        <v>2026/04忠孝健康7樓</v>
      </c>
      <c r="C1999" s="138">
        <v>215</v>
      </c>
      <c r="D1999" s="139" t="s">
        <v>861</v>
      </c>
      <c r="E1999" s="484" t="s">
        <v>311</v>
      </c>
      <c r="F1999" s="484"/>
      <c r="G1999" s="484" t="s">
        <v>312</v>
      </c>
      <c r="H1999" s="484"/>
      <c r="I1999" s="484"/>
      <c r="J1999" s="484"/>
      <c r="K1999" s="140" t="s">
        <v>284</v>
      </c>
      <c r="L1999" s="141">
        <v>8</v>
      </c>
    </row>
    <row r="2000" spans="1:12" ht="17.25" customHeight="1" thickBot="1">
      <c r="A2000" s="126" t="str">
        <f t="shared" si="101"/>
        <v>2026/04</v>
      </c>
      <c r="B2000" s="127" t="str">
        <f t="shared" si="102"/>
        <v>2026/04忠孝健康7樓</v>
      </c>
      <c r="C2000" s="138">
        <v>216</v>
      </c>
      <c r="D2000" s="139" t="s">
        <v>861</v>
      </c>
      <c r="E2000" s="484" t="s">
        <v>299</v>
      </c>
      <c r="F2000" s="484"/>
      <c r="G2000" s="484" t="s">
        <v>912</v>
      </c>
      <c r="H2000" s="484"/>
      <c r="I2000" s="484"/>
      <c r="J2000" s="484"/>
      <c r="K2000" s="140" t="s">
        <v>301</v>
      </c>
      <c r="L2000" s="141">
        <v>22</v>
      </c>
    </row>
    <row r="2001" spans="1:12" ht="17.25" customHeight="1" thickBot="1">
      <c r="A2001" s="126" t="str">
        <f t="shared" si="101"/>
        <v>2026/04</v>
      </c>
      <c r="B2001" s="127" t="str">
        <f t="shared" si="102"/>
        <v>2026/04忠孝健康7樓</v>
      </c>
      <c r="C2001" s="138">
        <v>217</v>
      </c>
      <c r="D2001" s="139" t="s">
        <v>861</v>
      </c>
      <c r="E2001" s="484" t="s">
        <v>347</v>
      </c>
      <c r="F2001" s="484"/>
      <c r="G2001" s="484" t="s">
        <v>913</v>
      </c>
      <c r="H2001" s="484"/>
      <c r="I2001" s="484"/>
      <c r="J2001" s="484"/>
      <c r="K2001" s="140" t="s">
        <v>301</v>
      </c>
      <c r="L2001" s="141">
        <v>2</v>
      </c>
    </row>
    <row r="2002" spans="1:12" ht="17.25" customHeight="1" thickBot="1">
      <c r="A2002" s="126" t="str">
        <f t="shared" si="101"/>
        <v>2026/04</v>
      </c>
      <c r="B2002" s="127" t="str">
        <f t="shared" si="102"/>
        <v>2026/04忠孝健康7樓</v>
      </c>
      <c r="C2002" s="138">
        <v>218</v>
      </c>
      <c r="D2002" s="139" t="s">
        <v>861</v>
      </c>
      <c r="E2002" s="484" t="s">
        <v>317</v>
      </c>
      <c r="F2002" s="484"/>
      <c r="G2002" s="484" t="s">
        <v>318</v>
      </c>
      <c r="H2002" s="484"/>
      <c r="I2002" s="484"/>
      <c r="J2002" s="484"/>
      <c r="K2002" s="140" t="s">
        <v>319</v>
      </c>
      <c r="L2002" s="141">
        <v>19</v>
      </c>
    </row>
    <row r="2003" spans="1:12" ht="17.25" customHeight="1" thickBot="1">
      <c r="A2003" s="126" t="str">
        <f t="shared" si="101"/>
        <v>2026/04</v>
      </c>
      <c r="B2003" s="127" t="str">
        <f t="shared" si="102"/>
        <v>2026/04忠孝健康7樓</v>
      </c>
      <c r="C2003" s="138">
        <v>219</v>
      </c>
      <c r="D2003" s="139" t="s">
        <v>861</v>
      </c>
      <c r="E2003" s="484" t="s">
        <v>276</v>
      </c>
      <c r="F2003" s="484"/>
      <c r="G2003" s="484" t="s">
        <v>924</v>
      </c>
      <c r="H2003" s="484"/>
      <c r="I2003" s="484"/>
      <c r="J2003" s="484"/>
      <c r="K2003" s="140" t="s">
        <v>278</v>
      </c>
      <c r="L2003" s="141">
        <v>63</v>
      </c>
    </row>
    <row r="2004" spans="1:12" ht="17.25" customHeight="1" thickBot="1">
      <c r="A2004" s="126" t="str">
        <f t="shared" si="101"/>
        <v>2026/04</v>
      </c>
      <c r="B2004" s="127" t="str">
        <f t="shared" si="102"/>
        <v>2026/04忠孝健康7樓</v>
      </c>
      <c r="C2004" s="138">
        <v>220</v>
      </c>
      <c r="D2004" s="139" t="s">
        <v>861</v>
      </c>
      <c r="E2004" s="484" t="s">
        <v>273</v>
      </c>
      <c r="F2004" s="484"/>
      <c r="G2004" s="484" t="s">
        <v>915</v>
      </c>
      <c r="H2004" s="484"/>
      <c r="I2004" s="484"/>
      <c r="J2004" s="484"/>
      <c r="K2004" s="140" t="s">
        <v>275</v>
      </c>
      <c r="L2004" s="141">
        <v>247</v>
      </c>
    </row>
    <row r="2005" spans="1:12" ht="17.25" customHeight="1" thickBot="1">
      <c r="A2005" s="126" t="str">
        <f t="shared" si="101"/>
        <v>2026/04</v>
      </c>
      <c r="B2005" s="127" t="str">
        <f t="shared" si="102"/>
        <v>2026/04忠孝健康7樓</v>
      </c>
      <c r="C2005" s="138">
        <v>221</v>
      </c>
      <c r="D2005" s="139" t="s">
        <v>861</v>
      </c>
      <c r="E2005" s="484" t="s">
        <v>285</v>
      </c>
      <c r="F2005" s="484"/>
      <c r="G2005" s="484" t="s">
        <v>286</v>
      </c>
      <c r="H2005" s="484"/>
      <c r="I2005" s="484"/>
      <c r="J2005" s="484"/>
      <c r="K2005" s="140" t="s">
        <v>879</v>
      </c>
      <c r="L2005" s="141">
        <v>6560</v>
      </c>
    </row>
    <row r="2006" spans="1:12" ht="17.25" customHeight="1" thickBot="1">
      <c r="A2006" s="126" t="str">
        <f t="shared" si="101"/>
        <v>2026/04</v>
      </c>
      <c r="B2006" s="127" t="str">
        <f t="shared" si="102"/>
        <v>2026/04忠孝健康7樓</v>
      </c>
      <c r="C2006" s="138">
        <v>222</v>
      </c>
      <c r="D2006" s="139" t="s">
        <v>861</v>
      </c>
      <c r="E2006" s="484" t="s">
        <v>290</v>
      </c>
      <c r="F2006" s="484"/>
      <c r="G2006" s="484" t="s">
        <v>291</v>
      </c>
      <c r="H2006" s="484"/>
      <c r="I2006" s="484"/>
      <c r="J2006" s="484"/>
      <c r="K2006" s="140" t="s">
        <v>879</v>
      </c>
      <c r="L2006" s="141">
        <v>16058</v>
      </c>
    </row>
    <row r="2007" spans="1:12" ht="17.25" customHeight="1" thickBot="1">
      <c r="A2007" s="126" t="str">
        <f t="shared" si="101"/>
        <v>2026/04</v>
      </c>
      <c r="B2007" s="127" t="str">
        <f t="shared" si="102"/>
        <v>2026/04忠孝健康7樓</v>
      </c>
      <c r="C2007" s="138">
        <v>223</v>
      </c>
      <c r="D2007" s="139" t="s">
        <v>861</v>
      </c>
      <c r="E2007" s="484" t="s">
        <v>292</v>
      </c>
      <c r="F2007" s="484"/>
      <c r="G2007" s="484" t="s">
        <v>293</v>
      </c>
      <c r="H2007" s="484"/>
      <c r="I2007" s="484"/>
      <c r="J2007" s="484"/>
      <c r="K2007" s="140" t="s">
        <v>879</v>
      </c>
      <c r="L2007" s="141">
        <v>20591</v>
      </c>
    </row>
    <row r="2008" spans="1:12" ht="17.25" customHeight="1" thickBot="1">
      <c r="A2008" s="126" t="str">
        <f t="shared" si="101"/>
        <v>2026/04</v>
      </c>
      <c r="B2008" s="127" t="str">
        <f t="shared" si="102"/>
        <v>2026/04忠孝健康7樓</v>
      </c>
      <c r="C2008" s="138">
        <v>224</v>
      </c>
      <c r="D2008" s="139" t="s">
        <v>861</v>
      </c>
      <c r="E2008" s="484" t="s">
        <v>323</v>
      </c>
      <c r="F2008" s="484"/>
      <c r="G2008" s="484" t="s">
        <v>324</v>
      </c>
      <c r="H2008" s="484"/>
      <c r="I2008" s="484"/>
      <c r="J2008" s="484"/>
      <c r="K2008" s="140" t="s">
        <v>880</v>
      </c>
      <c r="L2008" s="141">
        <v>4583</v>
      </c>
    </row>
    <row r="2009" spans="1:12" ht="17.25" customHeight="1" thickBot="1">
      <c r="A2009" s="126" t="str">
        <f t="shared" si="101"/>
        <v>2026/04</v>
      </c>
      <c r="B2009" s="127" t="str">
        <f t="shared" si="102"/>
        <v>2026/04忠孝健康7樓</v>
      </c>
      <c r="C2009" s="138">
        <v>225</v>
      </c>
      <c r="D2009" s="139" t="s">
        <v>861</v>
      </c>
      <c r="E2009" s="484" t="s">
        <v>359</v>
      </c>
      <c r="F2009" s="484"/>
      <c r="G2009" s="484" t="s">
        <v>138</v>
      </c>
      <c r="H2009" s="484"/>
      <c r="I2009" s="484"/>
      <c r="J2009" s="484"/>
      <c r="K2009" s="140" t="s">
        <v>146</v>
      </c>
      <c r="L2009" s="141">
        <v>4</v>
      </c>
    </row>
    <row r="2010" spans="1:12" ht="17.25" customHeight="1" thickBot="1">
      <c r="A2010" s="126" t="str">
        <f t="shared" si="101"/>
        <v>2026/04</v>
      </c>
      <c r="B2010" s="127" t="str">
        <f t="shared" si="102"/>
        <v>2026/04忠孝健康7樓</v>
      </c>
      <c r="C2010" s="138">
        <v>226</v>
      </c>
      <c r="D2010" s="139" t="s">
        <v>861</v>
      </c>
      <c r="E2010" s="484" t="s">
        <v>320</v>
      </c>
      <c r="F2010" s="484"/>
      <c r="G2010" s="484" t="s">
        <v>135</v>
      </c>
      <c r="H2010" s="484"/>
      <c r="I2010" s="484"/>
      <c r="J2010" s="484"/>
      <c r="K2010" s="140" t="s">
        <v>146</v>
      </c>
      <c r="L2010" s="141">
        <v>11</v>
      </c>
    </row>
    <row r="2011" spans="1:12" ht="17.25" customHeight="1" thickBot="1">
      <c r="A2011" s="126" t="str">
        <f t="shared" si="101"/>
        <v>2026/04</v>
      </c>
      <c r="B2011" s="127" t="str">
        <f t="shared" si="102"/>
        <v>2026/04忠孝健康7樓</v>
      </c>
      <c r="C2011" s="138">
        <v>227</v>
      </c>
      <c r="D2011" s="139" t="s">
        <v>861</v>
      </c>
      <c r="E2011" s="484" t="s">
        <v>338</v>
      </c>
      <c r="F2011" s="484"/>
      <c r="G2011" s="484" t="s">
        <v>339</v>
      </c>
      <c r="H2011" s="484"/>
      <c r="I2011" s="484"/>
      <c r="J2011" s="484"/>
      <c r="K2011" s="140" t="s">
        <v>881</v>
      </c>
      <c r="L2011" s="141">
        <v>1140</v>
      </c>
    </row>
    <row r="2012" spans="1:12" ht="17.25" customHeight="1" thickBot="1">
      <c r="A2012" s="126" t="str">
        <f t="shared" si="101"/>
        <v>2026/04</v>
      </c>
      <c r="B2012" s="127" t="str">
        <f t="shared" si="102"/>
        <v>2026/04忠孝健康7樓</v>
      </c>
      <c r="C2012" s="138">
        <v>228</v>
      </c>
      <c r="D2012" s="139" t="s">
        <v>861</v>
      </c>
      <c r="E2012" s="484" t="s">
        <v>326</v>
      </c>
      <c r="F2012" s="484"/>
      <c r="G2012" s="484" t="s">
        <v>327</v>
      </c>
      <c r="H2012" s="484"/>
      <c r="I2012" s="484"/>
      <c r="J2012" s="484"/>
      <c r="K2012" s="140" t="s">
        <v>881</v>
      </c>
      <c r="L2012" s="141">
        <v>4755</v>
      </c>
    </row>
    <row r="2013" spans="1:12" ht="17.25" customHeight="1" thickBot="1">
      <c r="A2013" s="126" t="str">
        <f t="shared" si="101"/>
        <v>2026/04</v>
      </c>
      <c r="B2013" s="127" t="str">
        <f t="shared" si="102"/>
        <v>2026/04忠孝健康7樓</v>
      </c>
      <c r="C2013" s="138">
        <v>229</v>
      </c>
      <c r="D2013" s="139" t="s">
        <v>861</v>
      </c>
      <c r="E2013" s="484" t="s">
        <v>328</v>
      </c>
      <c r="F2013" s="484"/>
      <c r="G2013" s="484" t="s">
        <v>329</v>
      </c>
      <c r="H2013" s="484"/>
      <c r="I2013" s="484"/>
      <c r="J2013" s="484"/>
      <c r="K2013" s="140" t="s">
        <v>881</v>
      </c>
      <c r="L2013" s="141">
        <v>10148</v>
      </c>
    </row>
    <row r="2014" spans="1:12" ht="17.25" thickBot="1">
      <c r="A2014" s="126" t="str">
        <f t="shared" ref="A2014:A2045" si="103">IFERROR(LEFT(B2014,7),"")</f>
        <v>2026/04</v>
      </c>
      <c r="B2014" s="127" t="str">
        <f t="shared" ref="B2014:B2035" si="104">"2026/04"&amp;D2014</f>
        <v>2026/04忠孝健康7樓</v>
      </c>
      <c r="C2014" s="138">
        <v>230</v>
      </c>
      <c r="D2014" s="139" t="s">
        <v>861</v>
      </c>
      <c r="E2014" s="484" t="s">
        <v>330</v>
      </c>
      <c r="F2014" s="484"/>
      <c r="G2014" s="484" t="s">
        <v>331</v>
      </c>
      <c r="H2014" s="484"/>
      <c r="I2014" s="484"/>
      <c r="J2014" s="484"/>
      <c r="K2014" s="140" t="s">
        <v>881</v>
      </c>
      <c r="L2014" s="141">
        <v>3987</v>
      </c>
    </row>
    <row r="2015" spans="1:12" ht="17.25" thickBot="1">
      <c r="A2015" s="126" t="str">
        <f t="shared" si="103"/>
        <v>2026/04</v>
      </c>
      <c r="B2015" s="127" t="str">
        <f t="shared" si="104"/>
        <v>2026/04忠孝健康7樓</v>
      </c>
      <c r="C2015" s="138">
        <v>231</v>
      </c>
      <c r="D2015" s="139" t="s">
        <v>861</v>
      </c>
      <c r="E2015" s="484" t="s">
        <v>705</v>
      </c>
      <c r="F2015" s="484"/>
      <c r="G2015" s="484" t="s">
        <v>706</v>
      </c>
      <c r="H2015" s="484"/>
      <c r="I2015" s="484"/>
      <c r="J2015" s="484"/>
      <c r="K2015" s="140" t="s">
        <v>883</v>
      </c>
      <c r="L2015" s="141">
        <v>6700</v>
      </c>
    </row>
    <row r="2016" spans="1:12" ht="17.25" thickBot="1">
      <c r="A2016" s="126" t="str">
        <f t="shared" si="103"/>
        <v>2026/04</v>
      </c>
      <c r="B2016" s="127" t="str">
        <f t="shared" si="104"/>
        <v>2026/04忠孝健康7樓</v>
      </c>
      <c r="C2016" s="138">
        <v>232</v>
      </c>
      <c r="D2016" s="139" t="s">
        <v>861</v>
      </c>
      <c r="E2016" s="484" t="s">
        <v>279</v>
      </c>
      <c r="F2016" s="484"/>
      <c r="G2016" s="484" t="s">
        <v>280</v>
      </c>
      <c r="H2016" s="484"/>
      <c r="I2016" s="484"/>
      <c r="J2016" s="484"/>
      <c r="K2016" s="140" t="s">
        <v>884</v>
      </c>
      <c r="L2016" s="141">
        <v>68500</v>
      </c>
    </row>
    <row r="2017" spans="1:12" ht="17.25" thickBot="1">
      <c r="A2017" s="126" t="str">
        <f t="shared" si="103"/>
        <v>2026/04</v>
      </c>
      <c r="B2017" s="127" t="str">
        <f t="shared" si="104"/>
        <v>2026/04忠孝健康7樓</v>
      </c>
      <c r="C2017" s="138">
        <v>233</v>
      </c>
      <c r="D2017" s="139" t="s">
        <v>861</v>
      </c>
      <c r="E2017" s="484" t="s">
        <v>288</v>
      </c>
      <c r="F2017" s="484"/>
      <c r="G2017" s="484" t="s">
        <v>289</v>
      </c>
      <c r="H2017" s="484"/>
      <c r="I2017" s="484"/>
      <c r="J2017" s="484"/>
      <c r="K2017" s="140" t="s">
        <v>884</v>
      </c>
      <c r="L2017" s="141">
        <v>56400</v>
      </c>
    </row>
    <row r="2018" spans="1:12" ht="17.25" thickBot="1">
      <c r="A2018" s="126" t="str">
        <f t="shared" si="103"/>
        <v>2026/04</v>
      </c>
      <c r="B2018" s="127" t="str">
        <f t="shared" si="104"/>
        <v>2026/04忠孝健康7樓</v>
      </c>
      <c r="C2018" s="138">
        <v>234</v>
      </c>
      <c r="D2018" s="139" t="s">
        <v>861</v>
      </c>
      <c r="E2018" s="484" t="s">
        <v>332</v>
      </c>
      <c r="F2018" s="484"/>
      <c r="G2018" s="484" t="s">
        <v>333</v>
      </c>
      <c r="H2018" s="484"/>
      <c r="I2018" s="484"/>
      <c r="J2018" s="484"/>
      <c r="K2018" s="140" t="s">
        <v>334</v>
      </c>
      <c r="L2018" s="141">
        <v>78350</v>
      </c>
    </row>
    <row r="2019" spans="1:12" ht="17.25" thickBot="1">
      <c r="A2019" s="126" t="str">
        <f t="shared" si="103"/>
        <v>2026/04</v>
      </c>
      <c r="B2019" s="127" t="str">
        <f t="shared" si="104"/>
        <v>2026/04忠孝健康7樓</v>
      </c>
      <c r="C2019" s="138">
        <v>235</v>
      </c>
      <c r="D2019" s="139" t="s">
        <v>861</v>
      </c>
      <c r="E2019" s="484" t="s">
        <v>335</v>
      </c>
      <c r="F2019" s="484"/>
      <c r="G2019" s="484" t="s">
        <v>336</v>
      </c>
      <c r="H2019" s="484"/>
      <c r="I2019" s="484"/>
      <c r="J2019" s="484"/>
      <c r="K2019" s="140" t="s">
        <v>337</v>
      </c>
      <c r="L2019" s="141">
        <v>12950</v>
      </c>
    </row>
    <row r="2020" spans="1:12" ht="17.25" thickBot="1">
      <c r="A2020" s="126" t="str">
        <f t="shared" si="103"/>
        <v>2026/04</v>
      </c>
      <c r="B2020" s="127" t="str">
        <f t="shared" si="104"/>
        <v>2026/04忠孝健康7樓</v>
      </c>
      <c r="C2020" s="138">
        <v>236</v>
      </c>
      <c r="D2020" s="139" t="s">
        <v>861</v>
      </c>
      <c r="E2020" s="484" t="s">
        <v>351</v>
      </c>
      <c r="F2020" s="484"/>
      <c r="G2020" s="484" t="s">
        <v>352</v>
      </c>
      <c r="H2020" s="484"/>
      <c r="I2020" s="484"/>
      <c r="J2020" s="484"/>
      <c r="K2020" s="140" t="s">
        <v>353</v>
      </c>
      <c r="L2020" s="141">
        <v>8</v>
      </c>
    </row>
    <row r="2021" spans="1:12" ht="17.25" thickBot="1">
      <c r="A2021" s="126" t="str">
        <f t="shared" si="103"/>
        <v>2026/04</v>
      </c>
      <c r="B2021" s="127" t="str">
        <f t="shared" si="104"/>
        <v>2026/04忠孝健康7樓</v>
      </c>
      <c r="C2021" s="138">
        <v>237</v>
      </c>
      <c r="D2021" s="139" t="s">
        <v>861</v>
      </c>
      <c r="E2021" s="484" t="s">
        <v>686</v>
      </c>
      <c r="F2021" s="484"/>
      <c r="G2021" s="484" t="s">
        <v>687</v>
      </c>
      <c r="H2021" s="484"/>
      <c r="I2021" s="484"/>
      <c r="J2021" s="484"/>
      <c r="K2021" s="140" t="s">
        <v>688</v>
      </c>
      <c r="L2021" s="141">
        <v>7</v>
      </c>
    </row>
    <row r="2022" spans="1:12" ht="17.25" thickBot="1">
      <c r="A2022" s="126" t="str">
        <f t="shared" si="103"/>
        <v>2026/04</v>
      </c>
      <c r="B2022" s="127" t="str">
        <f t="shared" si="104"/>
        <v>2026/04忠孝健康7樓</v>
      </c>
      <c r="C2022" s="138">
        <v>238</v>
      </c>
      <c r="D2022" s="139" t="s">
        <v>861</v>
      </c>
      <c r="E2022" s="484" t="s">
        <v>930</v>
      </c>
      <c r="F2022" s="484"/>
      <c r="G2022" s="484" t="s">
        <v>931</v>
      </c>
      <c r="H2022" s="484"/>
      <c r="I2022" s="484"/>
      <c r="J2022" s="484"/>
      <c r="K2022" s="140" t="s">
        <v>342</v>
      </c>
      <c r="L2022" s="141">
        <v>6</v>
      </c>
    </row>
    <row r="2023" spans="1:12" ht="17.25" thickBot="1">
      <c r="A2023" s="126" t="str">
        <f t="shared" si="103"/>
        <v>2026/04</v>
      </c>
      <c r="B2023" s="127" t="str">
        <f t="shared" si="104"/>
        <v>2026/04忠孝健康7樓</v>
      </c>
      <c r="C2023" s="138">
        <v>239</v>
      </c>
      <c r="D2023" s="139" t="s">
        <v>861</v>
      </c>
      <c r="E2023" s="484" t="s">
        <v>354</v>
      </c>
      <c r="F2023" s="484"/>
      <c r="G2023" s="484" t="s">
        <v>741</v>
      </c>
      <c r="H2023" s="484"/>
      <c r="I2023" s="484"/>
      <c r="J2023" s="484"/>
      <c r="K2023" s="140" t="s">
        <v>885</v>
      </c>
      <c r="L2023" s="141">
        <v>1</v>
      </c>
    </row>
    <row r="2024" spans="1:12" ht="17.25" thickBot="1">
      <c r="A2024" s="126" t="str">
        <f t="shared" si="103"/>
        <v>2026/04</v>
      </c>
      <c r="B2024" s="127" t="str">
        <f t="shared" si="104"/>
        <v>2026/04忠孝健康7樓</v>
      </c>
      <c r="C2024" s="138">
        <v>240</v>
      </c>
      <c r="D2024" s="139" t="s">
        <v>861</v>
      </c>
      <c r="E2024" s="484" t="s">
        <v>309</v>
      </c>
      <c r="F2024" s="484"/>
      <c r="G2024" s="484" t="s">
        <v>310</v>
      </c>
      <c r="H2024" s="484"/>
      <c r="I2024" s="484"/>
      <c r="J2024" s="484"/>
      <c r="K2024" s="140" t="s">
        <v>269</v>
      </c>
      <c r="L2024" s="141">
        <v>92</v>
      </c>
    </row>
    <row r="2025" spans="1:12" ht="17.25" thickBot="1">
      <c r="A2025" s="126" t="str">
        <f t="shared" si="103"/>
        <v>2026/04</v>
      </c>
      <c r="B2025" s="127" t="str">
        <f t="shared" si="104"/>
        <v>2026/04忠孝健康7樓</v>
      </c>
      <c r="C2025" s="138">
        <v>241</v>
      </c>
      <c r="D2025" s="139" t="s">
        <v>861</v>
      </c>
      <c r="E2025" s="484" t="s">
        <v>267</v>
      </c>
      <c r="F2025" s="484"/>
      <c r="G2025" s="484" t="s">
        <v>268</v>
      </c>
      <c r="H2025" s="484"/>
      <c r="I2025" s="484"/>
      <c r="J2025" s="484"/>
      <c r="K2025" s="140" t="s">
        <v>269</v>
      </c>
      <c r="L2025" s="141">
        <v>6</v>
      </c>
    </row>
    <row r="2026" spans="1:12" ht="17.25" thickBot="1">
      <c r="A2026" s="126" t="str">
        <f t="shared" si="103"/>
        <v>2026/04</v>
      </c>
      <c r="B2026" s="127" t="str">
        <f t="shared" si="104"/>
        <v>2026/04忠孝健康7樓</v>
      </c>
      <c r="C2026" s="138">
        <v>242</v>
      </c>
      <c r="D2026" s="139" t="s">
        <v>861</v>
      </c>
      <c r="E2026" s="484" t="s">
        <v>315</v>
      </c>
      <c r="F2026" s="484"/>
      <c r="G2026" s="484" t="s">
        <v>316</v>
      </c>
      <c r="H2026" s="484"/>
      <c r="I2026" s="484"/>
      <c r="J2026" s="484"/>
      <c r="K2026" s="140" t="s">
        <v>296</v>
      </c>
      <c r="L2026" s="141">
        <v>1</v>
      </c>
    </row>
    <row r="2027" spans="1:12" ht="17.25" thickBot="1">
      <c r="A2027" s="126" t="str">
        <f t="shared" si="103"/>
        <v>2026/04</v>
      </c>
      <c r="B2027" s="127" t="str">
        <f t="shared" si="104"/>
        <v>2026/04忠孝健康7樓</v>
      </c>
      <c r="C2027" s="138">
        <v>243</v>
      </c>
      <c r="D2027" s="139" t="s">
        <v>861</v>
      </c>
      <c r="E2027" s="484" t="s">
        <v>294</v>
      </c>
      <c r="F2027" s="484"/>
      <c r="G2027" s="484" t="s">
        <v>295</v>
      </c>
      <c r="H2027" s="484"/>
      <c r="I2027" s="484"/>
      <c r="J2027" s="484"/>
      <c r="K2027" s="140" t="s">
        <v>296</v>
      </c>
      <c r="L2027" s="141">
        <v>2</v>
      </c>
    </row>
    <row r="2028" spans="1:12" ht="17.25" thickBot="1">
      <c r="A2028" s="126" t="str">
        <f t="shared" si="103"/>
        <v>2026/04</v>
      </c>
      <c r="B2028" s="127" t="str">
        <f t="shared" si="104"/>
        <v>2026/04忠孝健康7樓</v>
      </c>
      <c r="C2028" s="138">
        <v>244</v>
      </c>
      <c r="D2028" s="139" t="s">
        <v>861</v>
      </c>
      <c r="E2028" s="484" t="s">
        <v>736</v>
      </c>
      <c r="F2028" s="484"/>
      <c r="G2028" s="484" t="s">
        <v>737</v>
      </c>
      <c r="H2028" s="484"/>
      <c r="I2028" s="484"/>
      <c r="J2028" s="484"/>
      <c r="K2028" s="140" t="s">
        <v>738</v>
      </c>
      <c r="L2028" s="141">
        <v>3</v>
      </c>
    </row>
    <row r="2029" spans="1:12" ht="17.25" thickBot="1">
      <c r="A2029" s="126" t="str">
        <f t="shared" si="103"/>
        <v>2026/04</v>
      </c>
      <c r="B2029" s="127" t="str">
        <f t="shared" si="104"/>
        <v>2026/04忠孝健康7樓</v>
      </c>
      <c r="C2029" s="138">
        <v>245</v>
      </c>
      <c r="D2029" s="139" t="s">
        <v>861</v>
      </c>
      <c r="E2029" s="484" t="s">
        <v>237</v>
      </c>
      <c r="F2029" s="484"/>
      <c r="G2029" s="484" t="s">
        <v>238</v>
      </c>
      <c r="H2029" s="484"/>
      <c r="I2029" s="484"/>
      <c r="J2029" s="484"/>
      <c r="K2029" s="140" t="s">
        <v>239</v>
      </c>
      <c r="L2029" s="141">
        <v>317</v>
      </c>
    </row>
    <row r="2030" spans="1:12" ht="17.25" thickBot="1">
      <c r="A2030" s="126" t="str">
        <f t="shared" si="103"/>
        <v>2026/04</v>
      </c>
      <c r="B2030" s="127" t="str">
        <f t="shared" si="104"/>
        <v>2026/04忠孝健康7樓</v>
      </c>
      <c r="C2030" s="138">
        <v>246</v>
      </c>
      <c r="D2030" s="139" t="s">
        <v>861</v>
      </c>
      <c r="E2030" s="484" t="s">
        <v>240</v>
      </c>
      <c r="F2030" s="484"/>
      <c r="G2030" s="484" t="s">
        <v>241</v>
      </c>
      <c r="H2030" s="484"/>
      <c r="I2030" s="484"/>
      <c r="J2030" s="484"/>
      <c r="K2030" s="140" t="s">
        <v>239</v>
      </c>
      <c r="L2030" s="141">
        <v>317</v>
      </c>
    </row>
    <row r="2031" spans="1:12" ht="17.25" thickBot="1">
      <c r="A2031" s="126" t="str">
        <f t="shared" si="103"/>
        <v>2026/04</v>
      </c>
      <c r="B2031" s="127" t="str">
        <f t="shared" si="104"/>
        <v>2026/04忠孝健康7樓</v>
      </c>
      <c r="C2031" s="138">
        <v>247</v>
      </c>
      <c r="D2031" s="139" t="s">
        <v>861</v>
      </c>
      <c r="E2031" s="484" t="s">
        <v>242</v>
      </c>
      <c r="F2031" s="484"/>
      <c r="G2031" s="484" t="s">
        <v>243</v>
      </c>
      <c r="H2031" s="484"/>
      <c r="I2031" s="484"/>
      <c r="J2031" s="484"/>
      <c r="K2031" s="140" t="s">
        <v>239</v>
      </c>
      <c r="L2031" s="141">
        <v>317</v>
      </c>
    </row>
    <row r="2032" spans="1:12" ht="17.25" thickBot="1">
      <c r="A2032" s="126" t="str">
        <f t="shared" si="103"/>
        <v>2026/04</v>
      </c>
      <c r="B2032" s="127" t="str">
        <f t="shared" si="104"/>
        <v>2026/04忠孝健康7樓</v>
      </c>
      <c r="C2032" s="138">
        <v>248</v>
      </c>
      <c r="D2032" s="139" t="s">
        <v>861</v>
      </c>
      <c r="E2032" s="484" t="s">
        <v>244</v>
      </c>
      <c r="F2032" s="484"/>
      <c r="G2032" s="484" t="s">
        <v>245</v>
      </c>
      <c r="H2032" s="484"/>
      <c r="I2032" s="484"/>
      <c r="J2032" s="484"/>
      <c r="K2032" s="140" t="s">
        <v>725</v>
      </c>
      <c r="L2032" s="141">
        <v>4755</v>
      </c>
    </row>
    <row r="2033" spans="1:12" ht="17.25" thickBot="1">
      <c r="A2033" s="126" t="str">
        <f t="shared" si="103"/>
        <v>2026/04</v>
      </c>
      <c r="B2033" s="127" t="str">
        <f t="shared" si="104"/>
        <v>2026/04忠孝健康7樓</v>
      </c>
      <c r="C2033" s="138">
        <v>249</v>
      </c>
      <c r="D2033" s="139" t="s">
        <v>861</v>
      </c>
      <c r="E2033" s="484" t="s">
        <v>246</v>
      </c>
      <c r="F2033" s="484"/>
      <c r="G2033" s="484" t="s">
        <v>247</v>
      </c>
      <c r="H2033" s="484"/>
      <c r="I2033" s="484"/>
      <c r="J2033" s="484"/>
      <c r="K2033" s="140" t="s">
        <v>725</v>
      </c>
      <c r="L2033" s="141">
        <v>4755</v>
      </c>
    </row>
    <row r="2034" spans="1:12" ht="17.25" thickBot="1">
      <c r="A2034" s="126" t="str">
        <f t="shared" si="103"/>
        <v>2026/04</v>
      </c>
      <c r="B2034" s="127" t="str">
        <f t="shared" si="104"/>
        <v>2026/04忠孝健康7樓</v>
      </c>
      <c r="C2034" s="138">
        <v>250</v>
      </c>
      <c r="D2034" s="139" t="s">
        <v>861</v>
      </c>
      <c r="E2034" s="484" t="s">
        <v>248</v>
      </c>
      <c r="F2034" s="484"/>
      <c r="G2034" s="484" t="s">
        <v>249</v>
      </c>
      <c r="H2034" s="484"/>
      <c r="I2034" s="484"/>
      <c r="J2034" s="484"/>
      <c r="K2034" s="140" t="s">
        <v>725</v>
      </c>
      <c r="L2034" s="141">
        <v>4755</v>
      </c>
    </row>
    <row r="2035" spans="1:12" ht="17.25" thickBot="1">
      <c r="A2035" s="126" t="str">
        <f t="shared" si="103"/>
        <v>2026/04</v>
      </c>
      <c r="B2035" s="127" t="str">
        <f t="shared" si="104"/>
        <v>2026/04忠孝健康7樓</v>
      </c>
      <c r="C2035" s="138">
        <v>251</v>
      </c>
      <c r="D2035" s="139" t="s">
        <v>861</v>
      </c>
      <c r="E2035" s="484" t="s">
        <v>250</v>
      </c>
      <c r="F2035" s="484"/>
      <c r="G2035" s="484" t="s">
        <v>251</v>
      </c>
      <c r="H2035" s="484"/>
      <c r="I2035" s="484"/>
      <c r="J2035" s="484"/>
      <c r="K2035" s="140" t="s">
        <v>725</v>
      </c>
      <c r="L2035" s="141">
        <v>4755</v>
      </c>
    </row>
    <row r="2036" spans="1:12" ht="17.25" customHeight="1" thickBot="1">
      <c r="A2036" s="126" t="str">
        <f t="shared" si="103"/>
        <v>2026/05</v>
      </c>
      <c r="B2036" s="127" t="str">
        <f t="shared" ref="B2036:B2045" si="105">"2026/05"&amp;D2036</f>
        <v>2026/05站前4樓</v>
      </c>
      <c r="C2036" s="138">
        <v>1</v>
      </c>
      <c r="D2036" s="139" t="s">
        <v>236</v>
      </c>
      <c r="E2036" s="484" t="s">
        <v>974</v>
      </c>
      <c r="F2036" s="484"/>
      <c r="G2036" s="484" t="s">
        <v>968</v>
      </c>
      <c r="H2036" s="484"/>
      <c r="I2036" s="484"/>
      <c r="J2036" s="484"/>
      <c r="K2036" s="140" t="s">
        <v>342</v>
      </c>
      <c r="L2036" s="141">
        <v>1</v>
      </c>
    </row>
    <row r="2037" spans="1:12" ht="17.25" customHeight="1" thickBot="1">
      <c r="A2037" s="126" t="str">
        <f t="shared" si="103"/>
        <v>2026/05</v>
      </c>
      <c r="B2037" s="127" t="str">
        <f t="shared" si="105"/>
        <v>2026/05站前4樓</v>
      </c>
      <c r="C2037" s="138">
        <v>2</v>
      </c>
      <c r="D2037" s="139" t="s">
        <v>236</v>
      </c>
      <c r="E2037" s="484" t="s">
        <v>944</v>
      </c>
      <c r="F2037" s="484"/>
      <c r="G2037" s="484" t="s">
        <v>945</v>
      </c>
      <c r="H2037" s="484"/>
      <c r="I2037" s="484"/>
      <c r="J2037" s="484"/>
      <c r="K2037" s="140" t="s">
        <v>145</v>
      </c>
      <c r="L2037" s="141">
        <v>4010</v>
      </c>
    </row>
    <row r="2038" spans="1:12" ht="17.25" customHeight="1" thickBot="1">
      <c r="A2038" s="126" t="str">
        <f t="shared" si="103"/>
        <v>2026/05</v>
      </c>
      <c r="B2038" s="127" t="str">
        <f t="shared" si="105"/>
        <v>2026/05站前4樓</v>
      </c>
      <c r="C2038" s="138">
        <v>3</v>
      </c>
      <c r="D2038" s="139" t="s">
        <v>236</v>
      </c>
      <c r="E2038" s="484" t="s">
        <v>360</v>
      </c>
      <c r="F2038" s="484"/>
      <c r="G2038" s="484" t="s">
        <v>361</v>
      </c>
      <c r="H2038" s="484"/>
      <c r="I2038" s="484"/>
      <c r="J2038" s="484"/>
      <c r="K2038" s="140" t="s">
        <v>362</v>
      </c>
      <c r="L2038" s="141">
        <v>20</v>
      </c>
    </row>
    <row r="2039" spans="1:12" ht="17.25" customHeight="1" thickBot="1">
      <c r="A2039" s="126" t="str">
        <f t="shared" si="103"/>
        <v>2026/05</v>
      </c>
      <c r="B2039" s="127" t="str">
        <f t="shared" si="105"/>
        <v>2026/05站前4樓</v>
      </c>
      <c r="C2039" s="138">
        <v>4</v>
      </c>
      <c r="D2039" s="139" t="s">
        <v>236</v>
      </c>
      <c r="E2039" s="484" t="s">
        <v>383</v>
      </c>
      <c r="F2039" s="484"/>
      <c r="G2039" s="484" t="s">
        <v>384</v>
      </c>
      <c r="H2039" s="484"/>
      <c r="I2039" s="484"/>
      <c r="J2039" s="484"/>
      <c r="K2039" s="140" t="s">
        <v>385</v>
      </c>
      <c r="L2039" s="141">
        <v>20</v>
      </c>
    </row>
    <row r="2040" spans="1:12" ht="17.25" customHeight="1" thickBot="1">
      <c r="A2040" s="126" t="str">
        <f t="shared" si="103"/>
        <v>2026/05</v>
      </c>
      <c r="B2040" s="127" t="str">
        <f t="shared" si="105"/>
        <v>2026/05站前4樓</v>
      </c>
      <c r="C2040" s="138">
        <v>5</v>
      </c>
      <c r="D2040" s="139" t="s">
        <v>236</v>
      </c>
      <c r="E2040" s="484" t="s">
        <v>255</v>
      </c>
      <c r="F2040" s="484"/>
      <c r="G2040" s="484" t="s">
        <v>256</v>
      </c>
      <c r="H2040" s="484"/>
      <c r="I2040" s="484"/>
      <c r="J2040" s="484"/>
      <c r="K2040" s="140" t="s">
        <v>720</v>
      </c>
      <c r="L2040" s="141">
        <v>130</v>
      </c>
    </row>
    <row r="2041" spans="1:12" ht="17.25" customHeight="1" thickBot="1">
      <c r="A2041" s="126" t="str">
        <f t="shared" si="103"/>
        <v>2026/05</v>
      </c>
      <c r="B2041" s="127" t="str">
        <f t="shared" si="105"/>
        <v>2026/05站前4樓</v>
      </c>
      <c r="C2041" s="138">
        <v>6</v>
      </c>
      <c r="D2041" s="139" t="s">
        <v>236</v>
      </c>
      <c r="E2041" s="484" t="s">
        <v>258</v>
      </c>
      <c r="F2041" s="484"/>
      <c r="G2041" s="484" t="s">
        <v>259</v>
      </c>
      <c r="H2041" s="484"/>
      <c r="I2041" s="484"/>
      <c r="J2041" s="484"/>
      <c r="K2041" s="140"/>
      <c r="L2041" s="141">
        <v>150</v>
      </c>
    </row>
    <row r="2042" spans="1:12" ht="17.25" customHeight="1" thickBot="1">
      <c r="A2042" s="126" t="str">
        <f t="shared" si="103"/>
        <v>2026/05</v>
      </c>
      <c r="B2042" s="127" t="str">
        <f t="shared" si="105"/>
        <v>2026/05站前4樓</v>
      </c>
      <c r="C2042" s="138">
        <v>7</v>
      </c>
      <c r="D2042" s="139" t="s">
        <v>236</v>
      </c>
      <c r="E2042" s="484" t="s">
        <v>260</v>
      </c>
      <c r="F2042" s="484"/>
      <c r="G2042" s="484" t="s">
        <v>261</v>
      </c>
      <c r="H2042" s="484"/>
      <c r="I2042" s="484"/>
      <c r="J2042" s="484"/>
      <c r="K2042" s="140" t="s">
        <v>254</v>
      </c>
      <c r="L2042" s="141">
        <v>150</v>
      </c>
    </row>
    <row r="2043" spans="1:12" ht="17.25" customHeight="1" thickBot="1">
      <c r="A2043" s="126" t="str">
        <f t="shared" si="103"/>
        <v>2026/05</v>
      </c>
      <c r="B2043" s="127" t="str">
        <f t="shared" si="105"/>
        <v>2026/05站前4樓</v>
      </c>
      <c r="C2043" s="138">
        <v>8</v>
      </c>
      <c r="D2043" s="139" t="s">
        <v>236</v>
      </c>
      <c r="E2043" s="484" t="s">
        <v>262</v>
      </c>
      <c r="F2043" s="484"/>
      <c r="G2043" s="484" t="s">
        <v>263</v>
      </c>
      <c r="H2043" s="484"/>
      <c r="I2043" s="484"/>
      <c r="J2043" s="484"/>
      <c r="K2043" s="140" t="s">
        <v>254</v>
      </c>
      <c r="L2043" s="141">
        <v>100</v>
      </c>
    </row>
    <row r="2044" spans="1:12" ht="17.25" customHeight="1" thickBot="1">
      <c r="A2044" s="126" t="str">
        <f t="shared" si="103"/>
        <v>2026/05</v>
      </c>
      <c r="B2044" s="127" t="str">
        <f t="shared" si="105"/>
        <v>2026/05站前4樓</v>
      </c>
      <c r="C2044" s="138">
        <v>9</v>
      </c>
      <c r="D2044" s="139" t="s">
        <v>236</v>
      </c>
      <c r="E2044" s="484" t="s">
        <v>270</v>
      </c>
      <c r="F2044" s="484"/>
      <c r="G2044" s="484" t="s">
        <v>271</v>
      </c>
      <c r="H2044" s="484"/>
      <c r="I2044" s="484"/>
      <c r="J2044" s="484"/>
      <c r="K2044" s="140" t="s">
        <v>272</v>
      </c>
      <c r="L2044" s="141">
        <v>36</v>
      </c>
    </row>
    <row r="2045" spans="1:12" ht="17.25" customHeight="1" thickBot="1">
      <c r="A2045" s="126" t="str">
        <f t="shared" si="103"/>
        <v>2026/05</v>
      </c>
      <c r="B2045" s="127" t="str">
        <f t="shared" si="105"/>
        <v>2026/05站前4樓</v>
      </c>
      <c r="C2045" s="138">
        <v>10</v>
      </c>
      <c r="D2045" s="139" t="s">
        <v>236</v>
      </c>
      <c r="E2045" s="484" t="s">
        <v>252</v>
      </c>
      <c r="F2045" s="484"/>
      <c r="G2045" s="484" t="s">
        <v>253</v>
      </c>
      <c r="H2045" s="484"/>
      <c r="I2045" s="484"/>
      <c r="J2045" s="484"/>
      <c r="K2045" s="140" t="s">
        <v>254</v>
      </c>
      <c r="L2045" s="141">
        <v>181</v>
      </c>
    </row>
    <row r="2046" spans="1:12" ht="17.25" customHeight="1" thickBot="1">
      <c r="A2046" s="126" t="str">
        <f t="shared" ref="A2046:A2052" si="106">IFERROR(LEFT(B2046,7),"")</f>
        <v>2026/05</v>
      </c>
      <c r="B2046" s="127" t="str">
        <f t="shared" ref="B2046:B2052" si="107">"2026/05"&amp;D2046</f>
        <v>2026/05站前4樓</v>
      </c>
      <c r="C2046" s="138">
        <v>11</v>
      </c>
      <c r="D2046" s="139" t="s">
        <v>236</v>
      </c>
      <c r="E2046" s="484" t="s">
        <v>690</v>
      </c>
      <c r="F2046" s="484"/>
      <c r="G2046" s="484" t="s">
        <v>911</v>
      </c>
      <c r="H2046" s="484"/>
      <c r="I2046" s="484"/>
      <c r="J2046" s="484"/>
      <c r="K2046" s="140" t="s">
        <v>692</v>
      </c>
      <c r="L2046" s="141">
        <v>20</v>
      </c>
    </row>
    <row r="2047" spans="1:12" ht="17.25" customHeight="1" thickBot="1">
      <c r="A2047" s="126" t="str">
        <f t="shared" si="106"/>
        <v>2026/05</v>
      </c>
      <c r="B2047" s="127" t="str">
        <f t="shared" si="107"/>
        <v>2026/05站前4樓</v>
      </c>
      <c r="C2047" s="138">
        <v>12</v>
      </c>
      <c r="D2047" s="139" t="s">
        <v>236</v>
      </c>
      <c r="E2047" s="484" t="s">
        <v>305</v>
      </c>
      <c r="F2047" s="484"/>
      <c r="G2047" s="484" t="s">
        <v>877</v>
      </c>
      <c r="H2047" s="484"/>
      <c r="I2047" s="484"/>
      <c r="J2047" s="484"/>
      <c r="K2047" s="140" t="s">
        <v>676</v>
      </c>
      <c r="L2047" s="141">
        <v>4130</v>
      </c>
    </row>
    <row r="2048" spans="1:12" ht="17.25" customHeight="1" thickBot="1">
      <c r="A2048" s="126" t="str">
        <f t="shared" si="106"/>
        <v>2026/05</v>
      </c>
      <c r="B2048" s="127" t="str">
        <f t="shared" si="107"/>
        <v>2026/05站前4樓</v>
      </c>
      <c r="C2048" s="138">
        <v>13</v>
      </c>
      <c r="D2048" s="139" t="s">
        <v>236</v>
      </c>
      <c r="E2048" s="484" t="s">
        <v>264</v>
      </c>
      <c r="F2048" s="484"/>
      <c r="G2048" s="484" t="s">
        <v>677</v>
      </c>
      <c r="H2048" s="484"/>
      <c r="I2048" s="484"/>
      <c r="J2048" s="484"/>
      <c r="K2048" s="140" t="s">
        <v>678</v>
      </c>
      <c r="L2048" s="141">
        <v>5665</v>
      </c>
    </row>
    <row r="2049" spans="1:12" ht="17.25" customHeight="1" thickBot="1">
      <c r="A2049" s="126" t="str">
        <f t="shared" si="106"/>
        <v>2026/05</v>
      </c>
      <c r="B2049" s="127" t="str">
        <f t="shared" si="107"/>
        <v>2026/05站前4樓</v>
      </c>
      <c r="C2049" s="138">
        <v>14</v>
      </c>
      <c r="D2049" s="139" t="s">
        <v>236</v>
      </c>
      <c r="E2049" s="484" t="s">
        <v>307</v>
      </c>
      <c r="F2049" s="484"/>
      <c r="G2049" s="484" t="s">
        <v>878</v>
      </c>
      <c r="H2049" s="484"/>
      <c r="I2049" s="484"/>
      <c r="J2049" s="484"/>
      <c r="K2049" s="140" t="s">
        <v>678</v>
      </c>
      <c r="L2049" s="141">
        <v>7896</v>
      </c>
    </row>
    <row r="2050" spans="1:12" ht="17.25" customHeight="1" thickBot="1">
      <c r="A2050" s="126" t="str">
        <f t="shared" si="106"/>
        <v>2026/05</v>
      </c>
      <c r="B2050" s="127" t="str">
        <f t="shared" si="107"/>
        <v>2026/05站前4樓</v>
      </c>
      <c r="C2050" s="138">
        <v>15</v>
      </c>
      <c r="D2050" s="139" t="s">
        <v>236</v>
      </c>
      <c r="E2050" s="484" t="s">
        <v>313</v>
      </c>
      <c r="F2050" s="484"/>
      <c r="G2050" s="484" t="s">
        <v>314</v>
      </c>
      <c r="H2050" s="484"/>
      <c r="I2050" s="484"/>
      <c r="J2050" s="484"/>
      <c r="K2050" s="140" t="s">
        <v>301</v>
      </c>
      <c r="L2050" s="141">
        <v>183</v>
      </c>
    </row>
    <row r="2051" spans="1:12" ht="17.25" customHeight="1" thickBot="1">
      <c r="A2051" s="126" t="str">
        <f t="shared" si="106"/>
        <v>2026/05</v>
      </c>
      <c r="B2051" s="127" t="str">
        <f t="shared" si="107"/>
        <v>2026/05站前4樓</v>
      </c>
      <c r="C2051" s="138">
        <v>16</v>
      </c>
      <c r="D2051" s="139" t="s">
        <v>236</v>
      </c>
      <c r="E2051" s="484" t="s">
        <v>343</v>
      </c>
      <c r="F2051" s="484"/>
      <c r="G2051" s="484" t="s">
        <v>344</v>
      </c>
      <c r="H2051" s="484"/>
      <c r="I2051" s="484"/>
      <c r="J2051" s="484"/>
      <c r="K2051" s="140" t="s">
        <v>301</v>
      </c>
      <c r="L2051" s="141">
        <v>6</v>
      </c>
    </row>
    <row r="2052" spans="1:12" ht="17.25" customHeight="1" thickBot="1">
      <c r="A2052" s="126" t="str">
        <f t="shared" si="106"/>
        <v>2026/05</v>
      </c>
      <c r="B2052" s="127" t="str">
        <f t="shared" si="107"/>
        <v>2026/05站前4樓</v>
      </c>
      <c r="C2052" s="138">
        <v>17</v>
      </c>
      <c r="D2052" s="139" t="s">
        <v>236</v>
      </c>
      <c r="E2052" s="484" t="s">
        <v>427</v>
      </c>
      <c r="F2052" s="484"/>
      <c r="G2052" s="484" t="s">
        <v>428</v>
      </c>
      <c r="H2052" s="484"/>
      <c r="I2052" s="484"/>
      <c r="J2052" s="484"/>
      <c r="K2052" s="140" t="s">
        <v>301</v>
      </c>
      <c r="L2052" s="141">
        <v>2</v>
      </c>
    </row>
    <row r="2053" spans="1:12" ht="17.25" customHeight="1" thickBot="1">
      <c r="A2053" s="126" t="str">
        <f t="shared" ref="A2053:A2072" si="108">IFERROR(LEFT(B2053,7),"")</f>
        <v>2026/05</v>
      </c>
      <c r="B2053" s="127" t="str">
        <f t="shared" ref="B2053:B2072" si="109">"2026/05"&amp;D2053</f>
        <v>2026/05站前4樓</v>
      </c>
      <c r="C2053" s="138">
        <v>18</v>
      </c>
      <c r="D2053" s="139" t="s">
        <v>236</v>
      </c>
      <c r="E2053" s="484" t="s">
        <v>349</v>
      </c>
      <c r="F2053" s="484"/>
      <c r="G2053" s="484" t="s">
        <v>350</v>
      </c>
      <c r="H2053" s="484"/>
      <c r="I2053" s="484"/>
      <c r="J2053" s="484"/>
      <c r="K2053" s="140" t="s">
        <v>301</v>
      </c>
      <c r="L2053" s="141">
        <v>9</v>
      </c>
    </row>
    <row r="2054" spans="1:12" ht="17.25" customHeight="1" thickBot="1">
      <c r="A2054" s="126" t="str">
        <f t="shared" si="108"/>
        <v>2026/05</v>
      </c>
      <c r="B2054" s="127" t="str">
        <f t="shared" si="109"/>
        <v>2026/05站前4樓</v>
      </c>
      <c r="C2054" s="138">
        <v>19</v>
      </c>
      <c r="D2054" s="139" t="s">
        <v>236</v>
      </c>
      <c r="E2054" s="484" t="s">
        <v>366</v>
      </c>
      <c r="F2054" s="484"/>
      <c r="G2054" s="484" t="s">
        <v>367</v>
      </c>
      <c r="H2054" s="484"/>
      <c r="I2054" s="484"/>
      <c r="J2054" s="484"/>
      <c r="K2054" s="140" t="s">
        <v>301</v>
      </c>
      <c r="L2054" s="141">
        <v>4</v>
      </c>
    </row>
    <row r="2055" spans="1:12" ht="17.25" customHeight="1" thickBot="1">
      <c r="A2055" s="126" t="str">
        <f t="shared" si="108"/>
        <v>2026/05</v>
      </c>
      <c r="B2055" s="127" t="str">
        <f t="shared" si="109"/>
        <v>2026/05站前4樓</v>
      </c>
      <c r="C2055" s="138">
        <v>20</v>
      </c>
      <c r="D2055" s="139" t="s">
        <v>236</v>
      </c>
      <c r="E2055" s="484" t="s">
        <v>282</v>
      </c>
      <c r="F2055" s="484"/>
      <c r="G2055" s="484" t="s">
        <v>283</v>
      </c>
      <c r="H2055" s="484"/>
      <c r="I2055" s="484"/>
      <c r="J2055" s="484"/>
      <c r="K2055" s="140" t="s">
        <v>284</v>
      </c>
      <c r="L2055" s="141">
        <v>17</v>
      </c>
    </row>
    <row r="2056" spans="1:12" ht="17.25" customHeight="1" thickBot="1">
      <c r="A2056" s="126" t="str">
        <f t="shared" si="108"/>
        <v>2026/05</v>
      </c>
      <c r="B2056" s="127" t="str">
        <f t="shared" si="109"/>
        <v>2026/05站前4樓</v>
      </c>
      <c r="C2056" s="138">
        <v>21</v>
      </c>
      <c r="D2056" s="139" t="s">
        <v>236</v>
      </c>
      <c r="E2056" s="484" t="s">
        <v>311</v>
      </c>
      <c r="F2056" s="484"/>
      <c r="G2056" s="484" t="s">
        <v>973</v>
      </c>
      <c r="H2056" s="484"/>
      <c r="I2056" s="484"/>
      <c r="J2056" s="484"/>
      <c r="K2056" s="140" t="s">
        <v>284</v>
      </c>
      <c r="L2056" s="141">
        <v>20</v>
      </c>
    </row>
    <row r="2057" spans="1:12" ht="17.25" customHeight="1" thickBot="1">
      <c r="A2057" s="126" t="str">
        <f t="shared" si="108"/>
        <v>2026/05</v>
      </c>
      <c r="B2057" s="127" t="str">
        <f t="shared" si="109"/>
        <v>2026/05站前4樓</v>
      </c>
      <c r="C2057" s="138">
        <v>22</v>
      </c>
      <c r="D2057" s="139" t="s">
        <v>236</v>
      </c>
      <c r="E2057" s="484" t="s">
        <v>941</v>
      </c>
      <c r="F2057" s="484"/>
      <c r="G2057" s="484" t="s">
        <v>942</v>
      </c>
      <c r="H2057" s="484"/>
      <c r="I2057" s="484"/>
      <c r="J2057" s="484"/>
      <c r="K2057" s="140" t="s">
        <v>301</v>
      </c>
      <c r="L2057" s="141">
        <v>8</v>
      </c>
    </row>
    <row r="2058" spans="1:12" ht="17.25" customHeight="1" thickBot="1">
      <c r="A2058" s="126" t="str">
        <f t="shared" si="108"/>
        <v>2026/05</v>
      </c>
      <c r="B2058" s="127" t="str">
        <f t="shared" si="109"/>
        <v>2026/05站前4樓</v>
      </c>
      <c r="C2058" s="138">
        <v>23</v>
      </c>
      <c r="D2058" s="139" t="s">
        <v>236</v>
      </c>
      <c r="E2058" s="484" t="s">
        <v>299</v>
      </c>
      <c r="F2058" s="484"/>
      <c r="G2058" s="484" t="s">
        <v>912</v>
      </c>
      <c r="H2058" s="484"/>
      <c r="I2058" s="484"/>
      <c r="J2058" s="484"/>
      <c r="K2058" s="140" t="s">
        <v>301</v>
      </c>
      <c r="L2058" s="141">
        <v>69</v>
      </c>
    </row>
    <row r="2059" spans="1:12" ht="17.25" customHeight="1" thickBot="1">
      <c r="A2059" s="126" t="str">
        <f t="shared" si="108"/>
        <v>2026/05</v>
      </c>
      <c r="B2059" s="127" t="str">
        <f t="shared" si="109"/>
        <v>2026/05站前4樓</v>
      </c>
      <c r="C2059" s="138">
        <v>24</v>
      </c>
      <c r="D2059" s="139" t="s">
        <v>236</v>
      </c>
      <c r="E2059" s="484" t="s">
        <v>347</v>
      </c>
      <c r="F2059" s="484"/>
      <c r="G2059" s="484" t="s">
        <v>913</v>
      </c>
      <c r="H2059" s="484"/>
      <c r="I2059" s="484"/>
      <c r="J2059" s="484"/>
      <c r="K2059" s="140" t="s">
        <v>301</v>
      </c>
      <c r="L2059" s="141">
        <v>13</v>
      </c>
    </row>
    <row r="2060" spans="1:12" ht="17.25" customHeight="1" thickBot="1">
      <c r="A2060" s="126" t="str">
        <f t="shared" si="108"/>
        <v>2026/05</v>
      </c>
      <c r="B2060" s="127" t="str">
        <f t="shared" si="109"/>
        <v>2026/05站前4樓</v>
      </c>
      <c r="C2060" s="138">
        <v>25</v>
      </c>
      <c r="D2060" s="139" t="s">
        <v>236</v>
      </c>
      <c r="E2060" s="484" t="s">
        <v>317</v>
      </c>
      <c r="F2060" s="484"/>
      <c r="G2060" s="484" t="s">
        <v>318</v>
      </c>
      <c r="H2060" s="484"/>
      <c r="I2060" s="484"/>
      <c r="J2060" s="484"/>
      <c r="K2060" s="140" t="s">
        <v>319</v>
      </c>
      <c r="L2060" s="141">
        <v>67</v>
      </c>
    </row>
    <row r="2061" spans="1:12" ht="17.25" customHeight="1" thickBot="1">
      <c r="A2061" s="126" t="str">
        <f t="shared" si="108"/>
        <v>2026/05</v>
      </c>
      <c r="B2061" s="127" t="str">
        <f t="shared" si="109"/>
        <v>2026/05站前4樓</v>
      </c>
      <c r="C2061" s="138">
        <v>26</v>
      </c>
      <c r="D2061" s="139" t="s">
        <v>236</v>
      </c>
      <c r="E2061" s="484" t="s">
        <v>321</v>
      </c>
      <c r="F2061" s="484"/>
      <c r="G2061" s="484" t="s">
        <v>981</v>
      </c>
      <c r="H2061" s="484"/>
      <c r="I2061" s="484"/>
      <c r="J2061" s="484"/>
      <c r="K2061" s="140" t="s">
        <v>275</v>
      </c>
      <c r="L2061" s="141">
        <v>97</v>
      </c>
    </row>
    <row r="2062" spans="1:12" ht="17.25" customHeight="1" thickBot="1">
      <c r="A2062" s="126" t="str">
        <f t="shared" si="108"/>
        <v>2026/05</v>
      </c>
      <c r="B2062" s="127" t="str">
        <f t="shared" si="109"/>
        <v>2026/05站前4樓</v>
      </c>
      <c r="C2062" s="138">
        <v>27</v>
      </c>
      <c r="D2062" s="139" t="s">
        <v>236</v>
      </c>
      <c r="E2062" s="484" t="s">
        <v>372</v>
      </c>
      <c r="F2062" s="484"/>
      <c r="G2062" s="484" t="s">
        <v>982</v>
      </c>
      <c r="H2062" s="484"/>
      <c r="I2062" s="484"/>
      <c r="J2062" s="484"/>
      <c r="K2062" s="140" t="s">
        <v>278</v>
      </c>
      <c r="L2062" s="141">
        <v>97</v>
      </c>
    </row>
    <row r="2063" spans="1:12" ht="17.25" customHeight="1" thickBot="1">
      <c r="A2063" s="126" t="str">
        <f t="shared" si="108"/>
        <v>2026/05</v>
      </c>
      <c r="B2063" s="127" t="str">
        <f t="shared" si="109"/>
        <v>2026/05站前4樓</v>
      </c>
      <c r="C2063" s="138">
        <v>28</v>
      </c>
      <c r="D2063" s="139" t="s">
        <v>236</v>
      </c>
      <c r="E2063" s="484" t="s">
        <v>276</v>
      </c>
      <c r="F2063" s="484"/>
      <c r="G2063" s="484" t="s">
        <v>924</v>
      </c>
      <c r="H2063" s="484"/>
      <c r="I2063" s="484"/>
      <c r="J2063" s="484"/>
      <c r="K2063" s="140" t="s">
        <v>278</v>
      </c>
      <c r="L2063" s="141">
        <v>84</v>
      </c>
    </row>
    <row r="2064" spans="1:12" ht="17.25" customHeight="1" thickBot="1">
      <c r="A2064" s="126" t="str">
        <f t="shared" si="108"/>
        <v>2026/05</v>
      </c>
      <c r="B2064" s="127" t="str">
        <f t="shared" si="109"/>
        <v>2026/05站前4樓</v>
      </c>
      <c r="C2064" s="138">
        <v>29</v>
      </c>
      <c r="D2064" s="139" t="s">
        <v>236</v>
      </c>
      <c r="E2064" s="484" t="s">
        <v>273</v>
      </c>
      <c r="F2064" s="484"/>
      <c r="G2064" s="484" t="s">
        <v>915</v>
      </c>
      <c r="H2064" s="484"/>
      <c r="I2064" s="484"/>
      <c r="J2064" s="484"/>
      <c r="K2064" s="140" t="s">
        <v>275</v>
      </c>
      <c r="L2064" s="141">
        <v>422</v>
      </c>
    </row>
    <row r="2065" spans="1:12" ht="17.25" customHeight="1" thickBot="1">
      <c r="A2065" s="126" t="str">
        <f t="shared" si="108"/>
        <v>2026/05</v>
      </c>
      <c r="B2065" s="127" t="str">
        <f t="shared" si="109"/>
        <v>2026/05站前4樓</v>
      </c>
      <c r="C2065" s="138">
        <v>30</v>
      </c>
      <c r="D2065" s="139" t="s">
        <v>236</v>
      </c>
      <c r="E2065" s="484" t="s">
        <v>285</v>
      </c>
      <c r="F2065" s="484"/>
      <c r="G2065" s="484" t="s">
        <v>286</v>
      </c>
      <c r="H2065" s="484"/>
      <c r="I2065" s="484"/>
      <c r="J2065" s="484"/>
      <c r="K2065" s="140" t="s">
        <v>879</v>
      </c>
      <c r="L2065" s="141">
        <v>13123</v>
      </c>
    </row>
    <row r="2066" spans="1:12" ht="17.25" customHeight="1" thickBot="1">
      <c r="A2066" s="126" t="str">
        <f t="shared" si="108"/>
        <v>2026/05</v>
      </c>
      <c r="B2066" s="127" t="str">
        <f t="shared" si="109"/>
        <v>2026/05站前4樓</v>
      </c>
      <c r="C2066" s="138">
        <v>31</v>
      </c>
      <c r="D2066" s="139" t="s">
        <v>236</v>
      </c>
      <c r="E2066" s="484" t="s">
        <v>290</v>
      </c>
      <c r="F2066" s="484"/>
      <c r="G2066" s="484" t="s">
        <v>291</v>
      </c>
      <c r="H2066" s="484"/>
      <c r="I2066" s="484"/>
      <c r="J2066" s="484"/>
      <c r="K2066" s="140" t="s">
        <v>879</v>
      </c>
      <c r="L2066" s="141">
        <v>39668</v>
      </c>
    </row>
    <row r="2067" spans="1:12" ht="17.25" customHeight="1" thickBot="1">
      <c r="A2067" s="126" t="str">
        <f t="shared" si="108"/>
        <v>2026/05</v>
      </c>
      <c r="B2067" s="127" t="str">
        <f t="shared" si="109"/>
        <v>2026/05站前4樓</v>
      </c>
      <c r="C2067" s="138">
        <v>32</v>
      </c>
      <c r="D2067" s="139" t="s">
        <v>236</v>
      </c>
      <c r="E2067" s="484" t="s">
        <v>292</v>
      </c>
      <c r="F2067" s="484"/>
      <c r="G2067" s="484" t="s">
        <v>293</v>
      </c>
      <c r="H2067" s="484"/>
      <c r="I2067" s="484"/>
      <c r="J2067" s="484"/>
      <c r="K2067" s="140" t="s">
        <v>879</v>
      </c>
      <c r="L2067" s="141">
        <v>53546</v>
      </c>
    </row>
    <row r="2068" spans="1:12" ht="17.25" customHeight="1" thickBot="1">
      <c r="A2068" s="126" t="str">
        <f t="shared" si="108"/>
        <v>2026/05</v>
      </c>
      <c r="B2068" s="127" t="str">
        <f t="shared" si="109"/>
        <v>2026/05站前4樓</v>
      </c>
      <c r="C2068" s="138">
        <v>33</v>
      </c>
      <c r="D2068" s="139" t="s">
        <v>236</v>
      </c>
      <c r="E2068" s="484" t="s">
        <v>323</v>
      </c>
      <c r="F2068" s="484"/>
      <c r="G2068" s="484" t="s">
        <v>324</v>
      </c>
      <c r="H2068" s="484"/>
      <c r="I2068" s="484"/>
      <c r="J2068" s="484"/>
      <c r="K2068" s="140" t="s">
        <v>880</v>
      </c>
      <c r="L2068" s="141">
        <v>14989</v>
      </c>
    </row>
    <row r="2069" spans="1:12" ht="17.25" customHeight="1" thickBot="1">
      <c r="A2069" s="126" t="str">
        <f t="shared" si="108"/>
        <v>2026/05</v>
      </c>
      <c r="B2069" s="127" t="str">
        <f t="shared" si="109"/>
        <v>2026/05站前4樓</v>
      </c>
      <c r="C2069" s="138">
        <v>34</v>
      </c>
      <c r="D2069" s="139" t="s">
        <v>236</v>
      </c>
      <c r="E2069" s="484" t="s">
        <v>338</v>
      </c>
      <c r="F2069" s="484"/>
      <c r="G2069" s="484" t="s">
        <v>339</v>
      </c>
      <c r="H2069" s="484"/>
      <c r="I2069" s="484"/>
      <c r="J2069" s="484"/>
      <c r="K2069" s="140" t="s">
        <v>881</v>
      </c>
      <c r="L2069" s="141">
        <v>5179</v>
      </c>
    </row>
    <row r="2070" spans="1:12" ht="17.25" customHeight="1" thickBot="1">
      <c r="A2070" s="126" t="str">
        <f t="shared" si="108"/>
        <v>2026/05</v>
      </c>
      <c r="B2070" s="127" t="str">
        <f t="shared" si="109"/>
        <v>2026/05站前4樓</v>
      </c>
      <c r="C2070" s="138">
        <v>35</v>
      </c>
      <c r="D2070" s="139" t="s">
        <v>236</v>
      </c>
      <c r="E2070" s="484" t="s">
        <v>326</v>
      </c>
      <c r="F2070" s="484"/>
      <c r="G2070" s="484" t="s">
        <v>327</v>
      </c>
      <c r="H2070" s="484"/>
      <c r="I2070" s="484"/>
      <c r="J2070" s="484"/>
      <c r="K2070" s="140" t="s">
        <v>881</v>
      </c>
      <c r="L2070" s="141">
        <v>13259</v>
      </c>
    </row>
    <row r="2071" spans="1:12" ht="17.25" customHeight="1" thickBot="1">
      <c r="A2071" s="126" t="str">
        <f t="shared" si="108"/>
        <v>2026/05</v>
      </c>
      <c r="B2071" s="127" t="str">
        <f t="shared" si="109"/>
        <v>2026/05站前4樓</v>
      </c>
      <c r="C2071" s="138">
        <v>36</v>
      </c>
      <c r="D2071" s="139" t="s">
        <v>236</v>
      </c>
      <c r="E2071" s="484" t="s">
        <v>328</v>
      </c>
      <c r="F2071" s="484"/>
      <c r="G2071" s="484" t="s">
        <v>329</v>
      </c>
      <c r="H2071" s="484"/>
      <c r="I2071" s="484"/>
      <c r="J2071" s="484"/>
      <c r="K2071" s="140" t="s">
        <v>881</v>
      </c>
      <c r="L2071" s="141">
        <v>21459</v>
      </c>
    </row>
    <row r="2072" spans="1:12" ht="17.25" customHeight="1" thickBot="1">
      <c r="A2072" s="126" t="str">
        <f t="shared" si="108"/>
        <v>2026/05</v>
      </c>
      <c r="B2072" s="127" t="str">
        <f t="shared" si="109"/>
        <v>2026/05站前4樓</v>
      </c>
      <c r="C2072" s="138">
        <v>37</v>
      </c>
      <c r="D2072" s="139" t="s">
        <v>236</v>
      </c>
      <c r="E2072" s="484" t="s">
        <v>330</v>
      </c>
      <c r="F2072" s="484"/>
      <c r="G2072" s="484" t="s">
        <v>331</v>
      </c>
      <c r="H2072" s="484"/>
      <c r="I2072" s="484"/>
      <c r="J2072" s="484"/>
      <c r="K2072" s="140" t="s">
        <v>881</v>
      </c>
      <c r="L2072" s="141">
        <v>9810</v>
      </c>
    </row>
    <row r="2073" spans="1:12" ht="17.25" customHeight="1" thickBot="1">
      <c r="A2073" s="126" t="str">
        <f t="shared" ref="A2073:A2101" si="110">IFERROR(LEFT(B2073,7),"")</f>
        <v>2026/05</v>
      </c>
      <c r="B2073" s="127" t="str">
        <f t="shared" ref="B2073:B2101" si="111">"2026/05"&amp;D2073</f>
        <v>2026/05站前4樓</v>
      </c>
      <c r="C2073" s="138">
        <v>38</v>
      </c>
      <c r="D2073" s="139" t="s">
        <v>236</v>
      </c>
      <c r="E2073" s="484" t="s">
        <v>739</v>
      </c>
      <c r="F2073" s="484"/>
      <c r="G2073" s="484" t="s">
        <v>740</v>
      </c>
      <c r="H2073" s="484"/>
      <c r="I2073" s="484"/>
      <c r="J2073" s="484"/>
      <c r="K2073" s="140" t="s">
        <v>881</v>
      </c>
      <c r="L2073" s="141">
        <v>294</v>
      </c>
    </row>
    <row r="2074" spans="1:12" ht="17.25" customHeight="1" thickBot="1">
      <c r="A2074" s="126" t="str">
        <f t="shared" si="110"/>
        <v>2026/05</v>
      </c>
      <c r="B2074" s="127" t="str">
        <f t="shared" si="111"/>
        <v>2026/05站前4樓</v>
      </c>
      <c r="C2074" s="138">
        <v>39</v>
      </c>
      <c r="D2074" s="139" t="s">
        <v>236</v>
      </c>
      <c r="E2074" s="484" t="s">
        <v>302</v>
      </c>
      <c r="F2074" s="484"/>
      <c r="G2074" s="484" t="s">
        <v>303</v>
      </c>
      <c r="H2074" s="484"/>
      <c r="I2074" s="484"/>
      <c r="J2074" s="484"/>
      <c r="K2074" s="140" t="s">
        <v>882</v>
      </c>
      <c r="L2074" s="141">
        <v>4600</v>
      </c>
    </row>
    <row r="2075" spans="1:12" ht="17.25" customHeight="1" thickBot="1">
      <c r="A2075" s="126" t="str">
        <f t="shared" si="110"/>
        <v>2026/05</v>
      </c>
      <c r="B2075" s="127" t="str">
        <f t="shared" si="111"/>
        <v>2026/05站前4樓</v>
      </c>
      <c r="C2075" s="138">
        <v>40</v>
      </c>
      <c r="D2075" s="139" t="s">
        <v>236</v>
      </c>
      <c r="E2075" s="484" t="s">
        <v>705</v>
      </c>
      <c r="F2075" s="484"/>
      <c r="G2075" s="484" t="s">
        <v>706</v>
      </c>
      <c r="H2075" s="484"/>
      <c r="I2075" s="484"/>
      <c r="J2075" s="484"/>
      <c r="K2075" s="140" t="s">
        <v>883</v>
      </c>
      <c r="L2075" s="141">
        <v>38101</v>
      </c>
    </row>
    <row r="2076" spans="1:12" ht="17.25" customHeight="1" thickBot="1">
      <c r="A2076" s="126" t="str">
        <f t="shared" si="110"/>
        <v>2026/05</v>
      </c>
      <c r="B2076" s="127" t="str">
        <f t="shared" si="111"/>
        <v>2026/05站前4樓</v>
      </c>
      <c r="C2076" s="138">
        <v>41</v>
      </c>
      <c r="D2076" s="139" t="s">
        <v>236</v>
      </c>
      <c r="E2076" s="484" t="s">
        <v>279</v>
      </c>
      <c r="F2076" s="484"/>
      <c r="G2076" s="484" t="s">
        <v>280</v>
      </c>
      <c r="H2076" s="484"/>
      <c r="I2076" s="484"/>
      <c r="J2076" s="484"/>
      <c r="K2076" s="140" t="s">
        <v>884</v>
      </c>
      <c r="L2076" s="141">
        <v>230515</v>
      </c>
    </row>
    <row r="2077" spans="1:12" ht="17.25" customHeight="1" thickBot="1">
      <c r="A2077" s="126" t="str">
        <f t="shared" si="110"/>
        <v>2026/05</v>
      </c>
      <c r="B2077" s="127" t="str">
        <f t="shared" si="111"/>
        <v>2026/05站前4樓</v>
      </c>
      <c r="C2077" s="138">
        <v>42</v>
      </c>
      <c r="D2077" s="139" t="s">
        <v>236</v>
      </c>
      <c r="E2077" s="484" t="s">
        <v>288</v>
      </c>
      <c r="F2077" s="484"/>
      <c r="G2077" s="484" t="s">
        <v>289</v>
      </c>
      <c r="H2077" s="484"/>
      <c r="I2077" s="484"/>
      <c r="J2077" s="484"/>
      <c r="K2077" s="140" t="s">
        <v>884</v>
      </c>
      <c r="L2077" s="141">
        <v>91100</v>
      </c>
    </row>
    <row r="2078" spans="1:12" ht="17.25" customHeight="1" thickBot="1">
      <c r="A2078" s="126" t="str">
        <f t="shared" si="110"/>
        <v>2026/05</v>
      </c>
      <c r="B2078" s="127" t="str">
        <f t="shared" si="111"/>
        <v>2026/05站前4樓</v>
      </c>
      <c r="C2078" s="138">
        <v>43</v>
      </c>
      <c r="D2078" s="139" t="s">
        <v>236</v>
      </c>
      <c r="E2078" s="484" t="s">
        <v>332</v>
      </c>
      <c r="F2078" s="484"/>
      <c r="G2078" s="484" t="s">
        <v>333</v>
      </c>
      <c r="H2078" s="484"/>
      <c r="I2078" s="484"/>
      <c r="J2078" s="484"/>
      <c r="K2078" s="140" t="s">
        <v>334</v>
      </c>
      <c r="L2078" s="141">
        <v>107705</v>
      </c>
    </row>
    <row r="2079" spans="1:12" ht="17.25" customHeight="1" thickBot="1">
      <c r="A2079" s="126" t="str">
        <f t="shared" si="110"/>
        <v>2026/05</v>
      </c>
      <c r="B2079" s="127" t="str">
        <f t="shared" si="111"/>
        <v>2026/05站前4樓</v>
      </c>
      <c r="C2079" s="138">
        <v>44</v>
      </c>
      <c r="D2079" s="139" t="s">
        <v>236</v>
      </c>
      <c r="E2079" s="484" t="s">
        <v>335</v>
      </c>
      <c r="F2079" s="484"/>
      <c r="G2079" s="484" t="s">
        <v>336</v>
      </c>
      <c r="H2079" s="484"/>
      <c r="I2079" s="484"/>
      <c r="J2079" s="484"/>
      <c r="K2079" s="140" t="s">
        <v>337</v>
      </c>
      <c r="L2079" s="141">
        <v>26100</v>
      </c>
    </row>
    <row r="2080" spans="1:12" ht="17.25" customHeight="1" thickBot="1">
      <c r="A2080" s="126" t="str">
        <f t="shared" si="110"/>
        <v>2026/05</v>
      </c>
      <c r="B2080" s="127" t="str">
        <f t="shared" si="111"/>
        <v>2026/05站前4樓</v>
      </c>
      <c r="C2080" s="138">
        <v>45</v>
      </c>
      <c r="D2080" s="139" t="s">
        <v>236</v>
      </c>
      <c r="E2080" s="484" t="s">
        <v>441</v>
      </c>
      <c r="F2080" s="484"/>
      <c r="G2080" s="484" t="s">
        <v>442</v>
      </c>
      <c r="H2080" s="484"/>
      <c r="I2080" s="484"/>
      <c r="J2080" s="484"/>
      <c r="K2080" s="140" t="s">
        <v>325</v>
      </c>
      <c r="L2080" s="141">
        <v>4</v>
      </c>
    </row>
    <row r="2081" spans="1:12" ht="17.25" customHeight="1" thickBot="1">
      <c r="A2081" s="126" t="str">
        <f t="shared" si="110"/>
        <v>2026/05</v>
      </c>
      <c r="B2081" s="127" t="str">
        <f t="shared" si="111"/>
        <v>2026/05站前4樓</v>
      </c>
      <c r="C2081" s="138">
        <v>46</v>
      </c>
      <c r="D2081" s="139" t="s">
        <v>236</v>
      </c>
      <c r="E2081" s="484" t="s">
        <v>447</v>
      </c>
      <c r="F2081" s="484"/>
      <c r="G2081" s="484" t="s">
        <v>448</v>
      </c>
      <c r="H2081" s="484"/>
      <c r="I2081" s="484"/>
      <c r="J2081" s="484"/>
      <c r="K2081" s="140" t="s">
        <v>445</v>
      </c>
      <c r="L2081" s="141">
        <v>16</v>
      </c>
    </row>
    <row r="2082" spans="1:12" ht="17.25" customHeight="1" thickBot="1">
      <c r="A2082" s="126" t="str">
        <f t="shared" si="110"/>
        <v>2026/05</v>
      </c>
      <c r="B2082" s="127" t="str">
        <f t="shared" si="111"/>
        <v>2026/05站前4樓</v>
      </c>
      <c r="C2082" s="138">
        <v>47</v>
      </c>
      <c r="D2082" s="139" t="s">
        <v>236</v>
      </c>
      <c r="E2082" s="484" t="s">
        <v>443</v>
      </c>
      <c r="F2082" s="484"/>
      <c r="G2082" s="484" t="s">
        <v>444</v>
      </c>
      <c r="H2082" s="484"/>
      <c r="I2082" s="484"/>
      <c r="J2082" s="484"/>
      <c r="K2082" s="140" t="s">
        <v>445</v>
      </c>
      <c r="L2082" s="141">
        <v>8</v>
      </c>
    </row>
    <row r="2083" spans="1:12" ht="17.25" customHeight="1" thickBot="1">
      <c r="A2083" s="126" t="str">
        <f t="shared" si="110"/>
        <v>2026/05</v>
      </c>
      <c r="B2083" s="127" t="str">
        <f t="shared" si="111"/>
        <v>2026/05站前4樓</v>
      </c>
      <c r="C2083" s="138">
        <v>48</v>
      </c>
      <c r="D2083" s="139" t="s">
        <v>236</v>
      </c>
      <c r="E2083" s="484" t="s">
        <v>357</v>
      </c>
      <c r="F2083" s="484"/>
      <c r="G2083" s="484" t="s">
        <v>358</v>
      </c>
      <c r="H2083" s="484"/>
      <c r="I2083" s="484"/>
      <c r="J2083" s="484"/>
      <c r="K2083" s="140" t="s">
        <v>353</v>
      </c>
      <c r="L2083" s="141">
        <v>20</v>
      </c>
    </row>
    <row r="2084" spans="1:12" ht="17.25" customHeight="1" thickBot="1">
      <c r="A2084" s="126" t="str">
        <f t="shared" si="110"/>
        <v>2026/05</v>
      </c>
      <c r="B2084" s="127" t="str">
        <f t="shared" si="111"/>
        <v>2026/05站前4樓</v>
      </c>
      <c r="C2084" s="138">
        <v>49</v>
      </c>
      <c r="D2084" s="139" t="s">
        <v>236</v>
      </c>
      <c r="E2084" s="484" t="s">
        <v>449</v>
      </c>
      <c r="F2084" s="484"/>
      <c r="G2084" s="484" t="s">
        <v>450</v>
      </c>
      <c r="H2084" s="484"/>
      <c r="I2084" s="484"/>
      <c r="J2084" s="484"/>
      <c r="K2084" s="140" t="s">
        <v>445</v>
      </c>
      <c r="L2084" s="141">
        <v>4</v>
      </c>
    </row>
    <row r="2085" spans="1:12" ht="17.25" customHeight="1" thickBot="1">
      <c r="A2085" s="126" t="str">
        <f t="shared" si="110"/>
        <v>2026/05</v>
      </c>
      <c r="B2085" s="127" t="str">
        <f t="shared" si="111"/>
        <v>2026/05站前4樓</v>
      </c>
      <c r="C2085" s="138">
        <v>50</v>
      </c>
      <c r="D2085" s="139" t="s">
        <v>236</v>
      </c>
      <c r="E2085" s="484" t="s">
        <v>697</v>
      </c>
      <c r="F2085" s="484"/>
      <c r="G2085" s="484" t="s">
        <v>698</v>
      </c>
      <c r="H2085" s="484"/>
      <c r="I2085" s="484"/>
      <c r="J2085" s="484"/>
      <c r="K2085" s="140" t="s">
        <v>699</v>
      </c>
      <c r="L2085" s="141">
        <v>3</v>
      </c>
    </row>
    <row r="2086" spans="1:12" ht="17.25" customHeight="1" thickBot="1">
      <c r="A2086" s="126" t="str">
        <f t="shared" si="110"/>
        <v>2026/05</v>
      </c>
      <c r="B2086" s="127" t="str">
        <f t="shared" si="111"/>
        <v>2026/05站前4樓</v>
      </c>
      <c r="C2086" s="138">
        <v>51</v>
      </c>
      <c r="D2086" s="139" t="s">
        <v>236</v>
      </c>
      <c r="E2086" s="484" t="s">
        <v>683</v>
      </c>
      <c r="F2086" s="484"/>
      <c r="G2086" s="484" t="s">
        <v>684</v>
      </c>
      <c r="H2086" s="484"/>
      <c r="I2086" s="484"/>
      <c r="J2086" s="484"/>
      <c r="K2086" s="140" t="s">
        <v>685</v>
      </c>
      <c r="L2086" s="141">
        <v>2</v>
      </c>
    </row>
    <row r="2087" spans="1:12" ht="17.25" customHeight="1" thickBot="1">
      <c r="A2087" s="126" t="str">
        <f t="shared" si="110"/>
        <v>2026/05</v>
      </c>
      <c r="B2087" s="127" t="str">
        <f t="shared" si="111"/>
        <v>2026/05站前4樓</v>
      </c>
      <c r="C2087" s="138">
        <v>52</v>
      </c>
      <c r="D2087" s="139" t="s">
        <v>236</v>
      </c>
      <c r="E2087" s="484" t="s">
        <v>686</v>
      </c>
      <c r="F2087" s="484"/>
      <c r="G2087" s="484" t="s">
        <v>687</v>
      </c>
      <c r="H2087" s="484"/>
      <c r="I2087" s="484"/>
      <c r="J2087" s="484"/>
      <c r="K2087" s="140" t="s">
        <v>688</v>
      </c>
      <c r="L2087" s="141">
        <v>33</v>
      </c>
    </row>
    <row r="2088" spans="1:12" ht="17.25" customHeight="1" thickBot="1">
      <c r="A2088" s="126" t="str">
        <f t="shared" si="110"/>
        <v>2026/05</v>
      </c>
      <c r="B2088" s="127" t="str">
        <f t="shared" si="111"/>
        <v>2026/05站前4樓</v>
      </c>
      <c r="C2088" s="138">
        <v>53</v>
      </c>
      <c r="D2088" s="139" t="s">
        <v>236</v>
      </c>
      <c r="E2088" s="484" t="s">
        <v>930</v>
      </c>
      <c r="F2088" s="484"/>
      <c r="G2088" s="484" t="s">
        <v>931</v>
      </c>
      <c r="H2088" s="484"/>
      <c r="I2088" s="484"/>
      <c r="J2088" s="484"/>
      <c r="K2088" s="140" t="s">
        <v>342</v>
      </c>
      <c r="L2088" s="141">
        <v>61</v>
      </c>
    </row>
    <row r="2089" spans="1:12" ht="17.25" customHeight="1" thickBot="1">
      <c r="A2089" s="126" t="str">
        <f t="shared" si="110"/>
        <v>2026/05</v>
      </c>
      <c r="B2089" s="127" t="str">
        <f t="shared" si="111"/>
        <v>2026/05站前4樓</v>
      </c>
      <c r="C2089" s="138">
        <v>54</v>
      </c>
      <c r="D2089" s="139" t="s">
        <v>236</v>
      </c>
      <c r="E2089" s="484" t="s">
        <v>368</v>
      </c>
      <c r="F2089" s="484"/>
      <c r="G2089" s="484" t="s">
        <v>907</v>
      </c>
      <c r="H2089" s="484"/>
      <c r="I2089" s="484"/>
      <c r="J2089" s="484"/>
      <c r="K2089" s="140" t="s">
        <v>885</v>
      </c>
      <c r="L2089" s="141">
        <v>4</v>
      </c>
    </row>
    <row r="2090" spans="1:12" ht="17.25" customHeight="1" thickBot="1">
      <c r="A2090" s="126" t="str">
        <f t="shared" si="110"/>
        <v>2026/05</v>
      </c>
      <c r="B2090" s="127" t="str">
        <f t="shared" si="111"/>
        <v>2026/05站前4樓</v>
      </c>
      <c r="C2090" s="138">
        <v>55</v>
      </c>
      <c r="D2090" s="139" t="s">
        <v>236</v>
      </c>
      <c r="E2090" s="484" t="s">
        <v>309</v>
      </c>
      <c r="F2090" s="484"/>
      <c r="G2090" s="484" t="s">
        <v>310</v>
      </c>
      <c r="H2090" s="484"/>
      <c r="I2090" s="484"/>
      <c r="J2090" s="484"/>
      <c r="K2090" s="140" t="s">
        <v>269</v>
      </c>
      <c r="L2090" s="141">
        <v>189</v>
      </c>
    </row>
    <row r="2091" spans="1:12" ht="17.25" customHeight="1" thickBot="1">
      <c r="A2091" s="126" t="str">
        <f t="shared" si="110"/>
        <v>2026/05</v>
      </c>
      <c r="B2091" s="127" t="str">
        <f t="shared" si="111"/>
        <v>2026/05站前4樓</v>
      </c>
      <c r="C2091" s="138">
        <v>56</v>
      </c>
      <c r="D2091" s="139" t="s">
        <v>236</v>
      </c>
      <c r="E2091" s="484" t="s">
        <v>267</v>
      </c>
      <c r="F2091" s="484"/>
      <c r="G2091" s="484" t="s">
        <v>268</v>
      </c>
      <c r="H2091" s="484"/>
      <c r="I2091" s="484"/>
      <c r="J2091" s="484"/>
      <c r="K2091" s="140" t="s">
        <v>269</v>
      </c>
      <c r="L2091" s="141">
        <v>18</v>
      </c>
    </row>
    <row r="2092" spans="1:12" ht="17.25" customHeight="1" thickBot="1">
      <c r="A2092" s="126" t="str">
        <f t="shared" si="110"/>
        <v>2026/05</v>
      </c>
      <c r="B2092" s="127" t="str">
        <f t="shared" si="111"/>
        <v>2026/05站前4樓</v>
      </c>
      <c r="C2092" s="138">
        <v>57</v>
      </c>
      <c r="D2092" s="139" t="s">
        <v>236</v>
      </c>
      <c r="E2092" s="484" t="s">
        <v>315</v>
      </c>
      <c r="F2092" s="484"/>
      <c r="G2092" s="484" t="s">
        <v>316</v>
      </c>
      <c r="H2092" s="484"/>
      <c r="I2092" s="484"/>
      <c r="J2092" s="484"/>
      <c r="K2092" s="140" t="s">
        <v>296</v>
      </c>
      <c r="L2092" s="141">
        <v>1</v>
      </c>
    </row>
    <row r="2093" spans="1:12" ht="17.25" customHeight="1" thickBot="1">
      <c r="A2093" s="126" t="str">
        <f t="shared" si="110"/>
        <v>2026/05</v>
      </c>
      <c r="B2093" s="127" t="str">
        <f t="shared" si="111"/>
        <v>2026/05站前4樓</v>
      </c>
      <c r="C2093" s="138">
        <v>58</v>
      </c>
      <c r="D2093" s="139" t="s">
        <v>236</v>
      </c>
      <c r="E2093" s="484" t="s">
        <v>294</v>
      </c>
      <c r="F2093" s="484"/>
      <c r="G2093" s="484" t="s">
        <v>295</v>
      </c>
      <c r="H2093" s="484"/>
      <c r="I2093" s="484"/>
      <c r="J2093" s="484"/>
      <c r="K2093" s="140" t="s">
        <v>296</v>
      </c>
      <c r="L2093" s="141">
        <v>2</v>
      </c>
    </row>
    <row r="2094" spans="1:12" ht="17.25" customHeight="1" thickBot="1">
      <c r="A2094" s="126" t="str">
        <f t="shared" si="110"/>
        <v>2026/05</v>
      </c>
      <c r="B2094" s="127" t="str">
        <f t="shared" si="111"/>
        <v>2026/05站前4樓</v>
      </c>
      <c r="C2094" s="138">
        <v>59</v>
      </c>
      <c r="D2094" s="139" t="s">
        <v>236</v>
      </c>
      <c r="E2094" s="484" t="s">
        <v>736</v>
      </c>
      <c r="F2094" s="484"/>
      <c r="G2094" s="484" t="s">
        <v>737</v>
      </c>
      <c r="H2094" s="484"/>
      <c r="I2094" s="484"/>
      <c r="J2094" s="484"/>
      <c r="K2094" s="140" t="s">
        <v>738</v>
      </c>
      <c r="L2094" s="141">
        <v>9</v>
      </c>
    </row>
    <row r="2095" spans="1:12" ht="17.25" customHeight="1" thickBot="1">
      <c r="A2095" s="126" t="str">
        <f t="shared" si="110"/>
        <v>2026/05</v>
      </c>
      <c r="B2095" s="127" t="str">
        <f t="shared" si="111"/>
        <v>2026/05站前4樓</v>
      </c>
      <c r="C2095" s="138">
        <v>60</v>
      </c>
      <c r="D2095" s="139" t="s">
        <v>236</v>
      </c>
      <c r="E2095" s="484" t="s">
        <v>237</v>
      </c>
      <c r="F2095" s="484"/>
      <c r="G2095" s="484" t="s">
        <v>238</v>
      </c>
      <c r="H2095" s="484"/>
      <c r="I2095" s="484"/>
      <c r="J2095" s="484"/>
      <c r="K2095" s="140" t="s">
        <v>239</v>
      </c>
      <c r="L2095" s="141">
        <v>562</v>
      </c>
    </row>
    <row r="2096" spans="1:12" ht="17.25" customHeight="1" thickBot="1">
      <c r="A2096" s="126" t="str">
        <f t="shared" si="110"/>
        <v>2026/05</v>
      </c>
      <c r="B2096" s="127" t="str">
        <f t="shared" si="111"/>
        <v>2026/05站前4樓</v>
      </c>
      <c r="C2096" s="138">
        <v>61</v>
      </c>
      <c r="D2096" s="139" t="s">
        <v>236</v>
      </c>
      <c r="E2096" s="484" t="s">
        <v>240</v>
      </c>
      <c r="F2096" s="484"/>
      <c r="G2096" s="484" t="s">
        <v>241</v>
      </c>
      <c r="H2096" s="484"/>
      <c r="I2096" s="484"/>
      <c r="J2096" s="484"/>
      <c r="K2096" s="140" t="s">
        <v>239</v>
      </c>
      <c r="L2096" s="141">
        <v>562</v>
      </c>
    </row>
    <row r="2097" spans="1:12" ht="17.25" customHeight="1" thickBot="1">
      <c r="A2097" s="126" t="str">
        <f t="shared" si="110"/>
        <v>2026/05</v>
      </c>
      <c r="B2097" s="127" t="str">
        <f t="shared" si="111"/>
        <v>2026/05站前4樓</v>
      </c>
      <c r="C2097" s="138">
        <v>62</v>
      </c>
      <c r="D2097" s="139" t="s">
        <v>236</v>
      </c>
      <c r="E2097" s="484" t="s">
        <v>242</v>
      </c>
      <c r="F2097" s="484"/>
      <c r="G2097" s="484" t="s">
        <v>243</v>
      </c>
      <c r="H2097" s="484"/>
      <c r="I2097" s="484"/>
      <c r="J2097" s="484"/>
      <c r="K2097" s="140" t="s">
        <v>239</v>
      </c>
      <c r="L2097" s="141">
        <v>562</v>
      </c>
    </row>
    <row r="2098" spans="1:12" ht="17.25" customHeight="1" thickBot="1">
      <c r="A2098" s="126" t="str">
        <f t="shared" si="110"/>
        <v>2026/05</v>
      </c>
      <c r="B2098" s="127" t="str">
        <f t="shared" si="111"/>
        <v>2026/05站前4樓</v>
      </c>
      <c r="C2098" s="138">
        <v>63</v>
      </c>
      <c r="D2098" s="139" t="s">
        <v>236</v>
      </c>
      <c r="E2098" s="484" t="s">
        <v>244</v>
      </c>
      <c r="F2098" s="484"/>
      <c r="G2098" s="484" t="s">
        <v>245</v>
      </c>
      <c r="H2098" s="484"/>
      <c r="I2098" s="484"/>
      <c r="J2098" s="484"/>
      <c r="K2098" s="140" t="s">
        <v>725</v>
      </c>
      <c r="L2098" s="141">
        <v>8430</v>
      </c>
    </row>
    <row r="2099" spans="1:12" ht="17.25" customHeight="1" thickBot="1">
      <c r="A2099" s="126" t="str">
        <f t="shared" si="110"/>
        <v>2026/05</v>
      </c>
      <c r="B2099" s="127" t="str">
        <f t="shared" si="111"/>
        <v>2026/05站前4樓</v>
      </c>
      <c r="C2099" s="138">
        <v>64</v>
      </c>
      <c r="D2099" s="139" t="s">
        <v>236</v>
      </c>
      <c r="E2099" s="484" t="s">
        <v>246</v>
      </c>
      <c r="F2099" s="484"/>
      <c r="G2099" s="484" t="s">
        <v>247</v>
      </c>
      <c r="H2099" s="484"/>
      <c r="I2099" s="484"/>
      <c r="J2099" s="484"/>
      <c r="K2099" s="140" t="s">
        <v>725</v>
      </c>
      <c r="L2099" s="141">
        <v>8430</v>
      </c>
    </row>
    <row r="2100" spans="1:12" ht="17.25" customHeight="1" thickBot="1">
      <c r="A2100" s="126" t="str">
        <f t="shared" si="110"/>
        <v>2026/05</v>
      </c>
      <c r="B2100" s="127" t="str">
        <f t="shared" si="111"/>
        <v>2026/05站前4樓</v>
      </c>
      <c r="C2100" s="138">
        <v>65</v>
      </c>
      <c r="D2100" s="139" t="s">
        <v>236</v>
      </c>
      <c r="E2100" s="484" t="s">
        <v>248</v>
      </c>
      <c r="F2100" s="484"/>
      <c r="G2100" s="484" t="s">
        <v>249</v>
      </c>
      <c r="H2100" s="484"/>
      <c r="I2100" s="484"/>
      <c r="J2100" s="484"/>
      <c r="K2100" s="140" t="s">
        <v>725</v>
      </c>
      <c r="L2100" s="141">
        <v>8430</v>
      </c>
    </row>
    <row r="2101" spans="1:12" ht="17.25" customHeight="1" thickBot="1">
      <c r="A2101" s="126" t="str">
        <f t="shared" si="110"/>
        <v>2026/05</v>
      </c>
      <c r="B2101" s="127" t="str">
        <f t="shared" si="111"/>
        <v>2026/05站前4樓</v>
      </c>
      <c r="C2101" s="138">
        <v>66</v>
      </c>
      <c r="D2101" s="139" t="s">
        <v>236</v>
      </c>
      <c r="E2101" s="484" t="s">
        <v>250</v>
      </c>
      <c r="F2101" s="484"/>
      <c r="G2101" s="484" t="s">
        <v>251</v>
      </c>
      <c r="H2101" s="484"/>
      <c r="I2101" s="484"/>
      <c r="J2101" s="484"/>
      <c r="K2101" s="140" t="s">
        <v>725</v>
      </c>
      <c r="L2101" s="141">
        <v>8430</v>
      </c>
    </row>
    <row r="2102" spans="1:12" ht="17.25" customHeight="1" thickBot="1">
      <c r="A2102" s="126" t="str">
        <f t="shared" ref="A2102:A2123" si="112">IFERROR(LEFT(B2102,7),"")</f>
        <v>2026/05</v>
      </c>
      <c r="B2102" s="127" t="str">
        <f t="shared" ref="B2102:B2123" si="113">"2026/05"&amp;D2102</f>
        <v>2026/05站前11樓</v>
      </c>
      <c r="C2102" s="138">
        <v>67</v>
      </c>
      <c r="D2102" s="139" t="s">
        <v>374</v>
      </c>
      <c r="E2102" s="484" t="s">
        <v>392</v>
      </c>
      <c r="F2102" s="484"/>
      <c r="G2102" s="484" t="s">
        <v>916</v>
      </c>
      <c r="H2102" s="484"/>
      <c r="I2102" s="484"/>
      <c r="J2102" s="484"/>
      <c r="K2102" s="140" t="s">
        <v>382</v>
      </c>
      <c r="L2102" s="141">
        <v>1410</v>
      </c>
    </row>
    <row r="2103" spans="1:12" ht="17.25" customHeight="1" thickBot="1">
      <c r="A2103" s="126" t="str">
        <f t="shared" si="112"/>
        <v>2026/05</v>
      </c>
      <c r="B2103" s="127" t="str">
        <f t="shared" si="113"/>
        <v>2026/05站前11樓</v>
      </c>
      <c r="C2103" s="138">
        <v>68</v>
      </c>
      <c r="D2103" s="139" t="s">
        <v>374</v>
      </c>
      <c r="E2103" s="484" t="s">
        <v>380</v>
      </c>
      <c r="F2103" s="484"/>
      <c r="G2103" s="484" t="s">
        <v>917</v>
      </c>
      <c r="H2103" s="484"/>
      <c r="I2103" s="484"/>
      <c r="J2103" s="484"/>
      <c r="K2103" s="140" t="s">
        <v>892</v>
      </c>
      <c r="L2103" s="141">
        <v>1541</v>
      </c>
    </row>
    <row r="2104" spans="1:12" ht="17.25" customHeight="1" thickBot="1">
      <c r="A2104" s="126" t="str">
        <f t="shared" si="112"/>
        <v>2026/05</v>
      </c>
      <c r="B2104" s="127" t="str">
        <f t="shared" si="113"/>
        <v>2026/05站前11樓</v>
      </c>
      <c r="C2104" s="138">
        <v>69</v>
      </c>
      <c r="D2104" s="139" t="s">
        <v>374</v>
      </c>
      <c r="E2104" s="484" t="s">
        <v>413</v>
      </c>
      <c r="F2104" s="484"/>
      <c r="G2104" s="484" t="s">
        <v>918</v>
      </c>
      <c r="H2104" s="484"/>
      <c r="I2104" s="484"/>
      <c r="J2104" s="484"/>
      <c r="K2104" s="140" t="s">
        <v>410</v>
      </c>
      <c r="L2104" s="141">
        <v>7</v>
      </c>
    </row>
    <row r="2105" spans="1:12" ht="17.25" customHeight="1" thickBot="1">
      <c r="A2105" s="126" t="str">
        <f t="shared" si="112"/>
        <v>2026/05</v>
      </c>
      <c r="B2105" s="127" t="str">
        <f t="shared" si="113"/>
        <v>2026/05站前11樓</v>
      </c>
      <c r="C2105" s="138">
        <v>70</v>
      </c>
      <c r="D2105" s="139" t="s">
        <v>374</v>
      </c>
      <c r="E2105" s="484" t="s">
        <v>360</v>
      </c>
      <c r="F2105" s="484"/>
      <c r="G2105" s="484" t="s">
        <v>361</v>
      </c>
      <c r="H2105" s="484"/>
      <c r="I2105" s="484"/>
      <c r="J2105" s="484"/>
      <c r="K2105" s="140" t="s">
        <v>362</v>
      </c>
      <c r="L2105" s="141">
        <v>24</v>
      </c>
    </row>
    <row r="2106" spans="1:12" ht="17.25" customHeight="1" thickBot="1">
      <c r="A2106" s="126" t="str">
        <f t="shared" si="112"/>
        <v>2026/05</v>
      </c>
      <c r="B2106" s="127" t="str">
        <f t="shared" si="113"/>
        <v>2026/05站前11樓</v>
      </c>
      <c r="C2106" s="138">
        <v>71</v>
      </c>
      <c r="D2106" s="139" t="s">
        <v>374</v>
      </c>
      <c r="E2106" s="484" t="s">
        <v>383</v>
      </c>
      <c r="F2106" s="484"/>
      <c r="G2106" s="484" t="s">
        <v>384</v>
      </c>
      <c r="H2106" s="484"/>
      <c r="I2106" s="484"/>
      <c r="J2106" s="484"/>
      <c r="K2106" s="140" t="s">
        <v>385</v>
      </c>
      <c r="L2106" s="141">
        <v>271</v>
      </c>
    </row>
    <row r="2107" spans="1:12" ht="17.25" customHeight="1" thickBot="1">
      <c r="A2107" s="126" t="str">
        <f t="shared" si="112"/>
        <v>2026/05</v>
      </c>
      <c r="B2107" s="127" t="str">
        <f t="shared" si="113"/>
        <v>2026/05站前11樓</v>
      </c>
      <c r="C2107" s="138">
        <v>72</v>
      </c>
      <c r="D2107" s="139" t="s">
        <v>374</v>
      </c>
      <c r="E2107" s="484" t="s">
        <v>394</v>
      </c>
      <c r="F2107" s="484"/>
      <c r="G2107" s="484" t="s">
        <v>395</v>
      </c>
      <c r="H2107" s="484"/>
      <c r="I2107" s="484"/>
      <c r="J2107" s="484"/>
      <c r="K2107" s="140" t="s">
        <v>272</v>
      </c>
      <c r="L2107" s="141">
        <v>10</v>
      </c>
    </row>
    <row r="2108" spans="1:12" ht="17.25" customHeight="1" thickBot="1">
      <c r="A2108" s="126" t="str">
        <f t="shared" si="112"/>
        <v>2026/05</v>
      </c>
      <c r="B2108" s="127" t="str">
        <f t="shared" si="113"/>
        <v>2026/05站前11樓</v>
      </c>
      <c r="C2108" s="138">
        <v>73</v>
      </c>
      <c r="D2108" s="139" t="s">
        <v>374</v>
      </c>
      <c r="E2108" s="484" t="s">
        <v>403</v>
      </c>
      <c r="F2108" s="484"/>
      <c r="G2108" s="484" t="s">
        <v>404</v>
      </c>
      <c r="H2108" s="484"/>
      <c r="I2108" s="484"/>
      <c r="J2108" s="484"/>
      <c r="K2108" s="140" t="s">
        <v>385</v>
      </c>
      <c r="L2108" s="141">
        <v>10</v>
      </c>
    </row>
    <row r="2109" spans="1:12" ht="17.25" customHeight="1" thickBot="1">
      <c r="A2109" s="126" t="str">
        <f t="shared" si="112"/>
        <v>2026/05</v>
      </c>
      <c r="B2109" s="127" t="str">
        <f t="shared" si="113"/>
        <v>2026/05站前11樓</v>
      </c>
      <c r="C2109" s="138">
        <v>74</v>
      </c>
      <c r="D2109" s="139" t="s">
        <v>374</v>
      </c>
      <c r="E2109" s="484" t="s">
        <v>406</v>
      </c>
      <c r="F2109" s="484"/>
      <c r="G2109" s="484" t="s">
        <v>407</v>
      </c>
      <c r="H2109" s="484"/>
      <c r="I2109" s="484"/>
      <c r="J2109" s="484"/>
      <c r="K2109" s="140" t="s">
        <v>385</v>
      </c>
      <c r="L2109" s="141">
        <v>10</v>
      </c>
    </row>
    <row r="2110" spans="1:12" ht="17.25" customHeight="1" thickBot="1">
      <c r="A2110" s="126" t="str">
        <f t="shared" si="112"/>
        <v>2026/05</v>
      </c>
      <c r="B2110" s="127" t="str">
        <f t="shared" si="113"/>
        <v>2026/05站前11樓</v>
      </c>
      <c r="C2110" s="138">
        <v>75</v>
      </c>
      <c r="D2110" s="139" t="s">
        <v>374</v>
      </c>
      <c r="E2110" s="484" t="s">
        <v>408</v>
      </c>
      <c r="F2110" s="484"/>
      <c r="G2110" s="484" t="s">
        <v>409</v>
      </c>
      <c r="H2110" s="484"/>
      <c r="I2110" s="484"/>
      <c r="J2110" s="484"/>
      <c r="K2110" s="140" t="s">
        <v>410</v>
      </c>
      <c r="L2110" s="141">
        <v>5</v>
      </c>
    </row>
    <row r="2111" spans="1:12" ht="17.25" customHeight="1" thickBot="1">
      <c r="A2111" s="126" t="str">
        <f t="shared" si="112"/>
        <v>2026/05</v>
      </c>
      <c r="B2111" s="127" t="str">
        <f t="shared" si="113"/>
        <v>2026/05站前11樓</v>
      </c>
      <c r="C2111" s="138">
        <v>76</v>
      </c>
      <c r="D2111" s="139" t="s">
        <v>374</v>
      </c>
      <c r="E2111" s="484" t="s">
        <v>255</v>
      </c>
      <c r="F2111" s="484"/>
      <c r="G2111" s="484" t="s">
        <v>256</v>
      </c>
      <c r="H2111" s="484"/>
      <c r="I2111" s="484"/>
      <c r="J2111" s="484"/>
      <c r="K2111" s="140" t="s">
        <v>720</v>
      </c>
      <c r="L2111" s="141">
        <v>274</v>
      </c>
    </row>
    <row r="2112" spans="1:12" ht="17.25" customHeight="1" thickBot="1">
      <c r="A2112" s="126" t="str">
        <f t="shared" si="112"/>
        <v>2026/05</v>
      </c>
      <c r="B2112" s="127" t="str">
        <f t="shared" si="113"/>
        <v>2026/05站前11樓</v>
      </c>
      <c r="C2112" s="138">
        <v>77</v>
      </c>
      <c r="D2112" s="139" t="s">
        <v>374</v>
      </c>
      <c r="E2112" s="484" t="s">
        <v>419</v>
      </c>
      <c r="F2112" s="484"/>
      <c r="G2112" s="484" t="s">
        <v>420</v>
      </c>
      <c r="H2112" s="484"/>
      <c r="I2112" s="484"/>
      <c r="J2112" s="484"/>
      <c r="K2112" s="140" t="s">
        <v>726</v>
      </c>
      <c r="L2112" s="141">
        <v>1273</v>
      </c>
    </row>
    <row r="2113" spans="1:15" ht="17.25" customHeight="1" thickBot="1">
      <c r="A2113" s="126" t="str">
        <f t="shared" si="112"/>
        <v>2026/05</v>
      </c>
      <c r="B2113" s="127" t="str">
        <f t="shared" si="113"/>
        <v>2026/05站前11樓</v>
      </c>
      <c r="C2113" s="138">
        <v>78</v>
      </c>
      <c r="D2113" s="139" t="s">
        <v>374</v>
      </c>
      <c r="E2113" s="484" t="s">
        <v>258</v>
      </c>
      <c r="F2113" s="484"/>
      <c r="G2113" s="484" t="s">
        <v>259</v>
      </c>
      <c r="H2113" s="484"/>
      <c r="I2113" s="484"/>
      <c r="J2113" s="484"/>
      <c r="K2113" s="140"/>
      <c r="L2113" s="141">
        <v>29</v>
      </c>
    </row>
    <row r="2114" spans="1:15" ht="17.25" customHeight="1" thickBot="1">
      <c r="A2114" s="126" t="str">
        <f t="shared" si="112"/>
        <v>2026/05</v>
      </c>
      <c r="B2114" s="127" t="str">
        <f t="shared" si="113"/>
        <v>2026/05站前11樓</v>
      </c>
      <c r="C2114" s="138">
        <v>79</v>
      </c>
      <c r="D2114" s="139" t="s">
        <v>374</v>
      </c>
      <c r="E2114" s="484" t="s">
        <v>260</v>
      </c>
      <c r="F2114" s="484"/>
      <c r="G2114" s="484" t="s">
        <v>261</v>
      </c>
      <c r="H2114" s="484"/>
      <c r="I2114" s="484"/>
      <c r="J2114" s="484"/>
      <c r="K2114" s="140" t="s">
        <v>254</v>
      </c>
      <c r="L2114" s="141">
        <v>29</v>
      </c>
    </row>
    <row r="2115" spans="1:15" ht="17.25" customHeight="1" thickBot="1">
      <c r="A2115" s="126" t="str">
        <f t="shared" si="112"/>
        <v>2026/05</v>
      </c>
      <c r="B2115" s="127" t="str">
        <f t="shared" si="113"/>
        <v>2026/05站前11樓</v>
      </c>
      <c r="C2115" s="138">
        <v>80</v>
      </c>
      <c r="D2115" s="139" t="s">
        <v>374</v>
      </c>
      <c r="E2115" s="484" t="s">
        <v>415</v>
      </c>
      <c r="F2115" s="484"/>
      <c r="G2115" s="484" t="s">
        <v>416</v>
      </c>
      <c r="H2115" s="484"/>
      <c r="I2115" s="484"/>
      <c r="J2115" s="484"/>
      <c r="K2115" s="140" t="s">
        <v>254</v>
      </c>
      <c r="L2115" s="141">
        <v>3</v>
      </c>
    </row>
    <row r="2116" spans="1:15" ht="17.25" customHeight="1" thickBot="1">
      <c r="A2116" s="126" t="str">
        <f t="shared" si="112"/>
        <v>2026/05</v>
      </c>
      <c r="B2116" s="127" t="str">
        <f t="shared" si="113"/>
        <v>2026/05站前11樓</v>
      </c>
      <c r="C2116" s="138">
        <v>81</v>
      </c>
      <c r="D2116" s="139" t="s">
        <v>374</v>
      </c>
      <c r="E2116" s="484" t="s">
        <v>252</v>
      </c>
      <c r="F2116" s="484"/>
      <c r="G2116" s="484" t="s">
        <v>253</v>
      </c>
      <c r="H2116" s="484"/>
      <c r="I2116" s="484"/>
      <c r="J2116" s="484"/>
      <c r="K2116" s="140" t="s">
        <v>254</v>
      </c>
      <c r="L2116" s="141">
        <v>29</v>
      </c>
    </row>
    <row r="2117" spans="1:15" ht="17.25" customHeight="1" thickBot="1">
      <c r="A2117" s="126" t="str">
        <f t="shared" si="112"/>
        <v>2026/05</v>
      </c>
      <c r="B2117" s="127" t="str">
        <f t="shared" si="113"/>
        <v>2026/05站前11樓</v>
      </c>
      <c r="C2117" s="138">
        <v>82</v>
      </c>
      <c r="D2117" s="139" t="s">
        <v>374</v>
      </c>
      <c r="E2117" s="484" t="s">
        <v>690</v>
      </c>
      <c r="F2117" s="484"/>
      <c r="G2117" s="484" t="s">
        <v>911</v>
      </c>
      <c r="H2117" s="484"/>
      <c r="I2117" s="484"/>
      <c r="J2117" s="484"/>
      <c r="K2117" s="140" t="s">
        <v>692</v>
      </c>
      <c r="L2117" s="141">
        <v>7</v>
      </c>
    </row>
    <row r="2118" spans="1:15" ht="17.25" customHeight="1" thickBot="1">
      <c r="A2118" s="126" t="str">
        <f t="shared" si="112"/>
        <v>2026/05</v>
      </c>
      <c r="B2118" s="127" t="str">
        <f t="shared" si="113"/>
        <v>2026/05站前11樓</v>
      </c>
      <c r="C2118" s="138">
        <v>83</v>
      </c>
      <c r="D2118" s="139" t="s">
        <v>374</v>
      </c>
      <c r="E2118" s="484" t="s">
        <v>389</v>
      </c>
      <c r="F2118" s="484"/>
      <c r="G2118" s="484" t="s">
        <v>390</v>
      </c>
      <c r="H2118" s="484"/>
      <c r="I2118" s="484"/>
      <c r="J2118" s="484"/>
      <c r="K2118" s="140" t="s">
        <v>391</v>
      </c>
      <c r="L2118" s="141">
        <v>69</v>
      </c>
    </row>
    <row r="2119" spans="1:15" ht="17.25" customHeight="1" thickBot="1">
      <c r="A2119" s="126" t="str">
        <f t="shared" si="112"/>
        <v>2026/05</v>
      </c>
      <c r="B2119" s="127" t="str">
        <f t="shared" si="113"/>
        <v>2026/05站前11樓</v>
      </c>
      <c r="C2119" s="138">
        <v>84</v>
      </c>
      <c r="D2119" s="139" t="s">
        <v>374</v>
      </c>
      <c r="E2119" s="484" t="s">
        <v>386</v>
      </c>
      <c r="F2119" s="484"/>
      <c r="G2119" s="484" t="s">
        <v>387</v>
      </c>
      <c r="H2119" s="484"/>
      <c r="I2119" s="484"/>
      <c r="J2119" s="484"/>
      <c r="K2119" s="140" t="s">
        <v>388</v>
      </c>
      <c r="L2119" s="141">
        <v>3043</v>
      </c>
    </row>
    <row r="2120" spans="1:15" ht="17.25" customHeight="1" thickBot="1">
      <c r="A2120" s="126" t="str">
        <f t="shared" si="112"/>
        <v>2026/05</v>
      </c>
      <c r="B2120" s="127" t="str">
        <f t="shared" si="113"/>
        <v>2026/05站前11樓</v>
      </c>
      <c r="C2120" s="138">
        <v>85</v>
      </c>
      <c r="D2120" s="139" t="s">
        <v>374</v>
      </c>
      <c r="E2120" s="484" t="s">
        <v>401</v>
      </c>
      <c r="F2120" s="484"/>
      <c r="G2120" s="484" t="s">
        <v>919</v>
      </c>
      <c r="H2120" s="484"/>
      <c r="I2120" s="484"/>
      <c r="J2120" s="484"/>
      <c r="K2120" s="140" t="s">
        <v>145</v>
      </c>
      <c r="L2120" s="141">
        <v>2</v>
      </c>
    </row>
    <row r="2121" spans="1:15" ht="17.25" customHeight="1" thickBot="1">
      <c r="A2121" s="126" t="str">
        <f t="shared" si="112"/>
        <v>2026/05</v>
      </c>
      <c r="B2121" s="127" t="str">
        <f t="shared" si="113"/>
        <v>2026/05站前11樓</v>
      </c>
      <c r="C2121" s="138">
        <v>86</v>
      </c>
      <c r="D2121" s="139" t="s">
        <v>374</v>
      </c>
      <c r="E2121" s="484" t="s">
        <v>417</v>
      </c>
      <c r="F2121" s="484"/>
      <c r="G2121" s="484" t="s">
        <v>920</v>
      </c>
      <c r="H2121" s="484"/>
      <c r="I2121" s="484"/>
      <c r="J2121" s="484"/>
      <c r="K2121" s="140" t="s">
        <v>145</v>
      </c>
      <c r="L2121" s="141">
        <v>3</v>
      </c>
      <c r="O2121" s="410"/>
    </row>
    <row r="2122" spans="1:15" ht="17.25" customHeight="1" thickBot="1">
      <c r="A2122" s="126" t="str">
        <f t="shared" si="112"/>
        <v>2026/05</v>
      </c>
      <c r="B2122" s="127" t="str">
        <f t="shared" si="113"/>
        <v>2026/05站前11樓</v>
      </c>
      <c r="C2122" s="138">
        <v>87</v>
      </c>
      <c r="D2122" s="139" t="s">
        <v>374</v>
      </c>
      <c r="E2122" s="484" t="s">
        <v>451</v>
      </c>
      <c r="F2122" s="484"/>
      <c r="G2122" s="484" t="s">
        <v>960</v>
      </c>
      <c r="H2122" s="484"/>
      <c r="I2122" s="484"/>
      <c r="J2122" s="484"/>
      <c r="K2122" s="140" t="s">
        <v>145</v>
      </c>
      <c r="L2122" s="141">
        <v>1</v>
      </c>
      <c r="O2122" s="410"/>
    </row>
    <row r="2123" spans="1:15" ht="17.25" customHeight="1" thickBot="1">
      <c r="A2123" s="126" t="str">
        <f t="shared" si="112"/>
        <v>2026/05</v>
      </c>
      <c r="B2123" s="127" t="str">
        <f t="shared" si="113"/>
        <v>2026/05站前11樓</v>
      </c>
      <c r="C2123" s="138">
        <v>88</v>
      </c>
      <c r="D2123" s="139" t="s">
        <v>374</v>
      </c>
      <c r="E2123" s="484" t="s">
        <v>411</v>
      </c>
      <c r="F2123" s="484"/>
      <c r="G2123" s="484" t="s">
        <v>934</v>
      </c>
      <c r="H2123" s="484"/>
      <c r="I2123" s="484"/>
      <c r="J2123" s="484"/>
      <c r="K2123" s="140" t="s">
        <v>433</v>
      </c>
      <c r="L2123" s="141">
        <v>11</v>
      </c>
      <c r="O2123" s="410"/>
    </row>
    <row r="2124" spans="1:15" ht="17.25" customHeight="1" thickBot="1">
      <c r="A2124" s="126" t="str">
        <f t="shared" ref="A2124:A2171" si="114">IFERROR(LEFT(B2124,7),"")</f>
        <v>2026/05</v>
      </c>
      <c r="B2124" s="127" t="str">
        <f t="shared" ref="B2124:B2171" si="115">"2026/05"&amp;D2124</f>
        <v>2026/05站前11樓</v>
      </c>
      <c r="C2124" s="138">
        <v>89</v>
      </c>
      <c r="D2124" s="139" t="s">
        <v>374</v>
      </c>
      <c r="E2124" s="484" t="s">
        <v>375</v>
      </c>
      <c r="F2124" s="484"/>
      <c r="G2124" s="484" t="s">
        <v>925</v>
      </c>
      <c r="H2124" s="484"/>
      <c r="I2124" s="484"/>
      <c r="J2124" s="484"/>
      <c r="K2124" s="140" t="s">
        <v>433</v>
      </c>
      <c r="L2124" s="141">
        <v>8</v>
      </c>
      <c r="O2124" s="410"/>
    </row>
    <row r="2125" spans="1:15" ht="17.25" customHeight="1" thickBot="1">
      <c r="A2125" s="126" t="str">
        <f t="shared" si="114"/>
        <v>2026/05</v>
      </c>
      <c r="B2125" s="127" t="str">
        <f t="shared" si="115"/>
        <v>2026/05站前11樓</v>
      </c>
      <c r="C2125" s="138">
        <v>90</v>
      </c>
      <c r="D2125" s="139" t="s">
        <v>374</v>
      </c>
      <c r="E2125" s="484" t="s">
        <v>399</v>
      </c>
      <c r="F2125" s="484"/>
      <c r="G2125" s="484" t="s">
        <v>921</v>
      </c>
      <c r="H2125" s="484"/>
      <c r="I2125" s="484"/>
      <c r="J2125" s="484"/>
      <c r="K2125" s="140" t="s">
        <v>433</v>
      </c>
      <c r="L2125" s="141">
        <v>6</v>
      </c>
      <c r="O2125" s="410"/>
    </row>
    <row r="2126" spans="1:15" ht="17.25" customHeight="1" thickBot="1">
      <c r="A2126" s="126" t="str">
        <f t="shared" si="114"/>
        <v>2026/05</v>
      </c>
      <c r="B2126" s="127" t="str">
        <f t="shared" si="115"/>
        <v>2026/05站前11樓</v>
      </c>
      <c r="C2126" s="138">
        <v>91</v>
      </c>
      <c r="D2126" s="139" t="s">
        <v>374</v>
      </c>
      <c r="E2126" s="484" t="s">
        <v>431</v>
      </c>
      <c r="F2126" s="484"/>
      <c r="G2126" s="484" t="s">
        <v>922</v>
      </c>
      <c r="H2126" s="484"/>
      <c r="I2126" s="484"/>
      <c r="J2126" s="484"/>
      <c r="K2126" s="140" t="s">
        <v>746</v>
      </c>
      <c r="L2126" s="141">
        <v>1127.1199999999999</v>
      </c>
      <c r="O2126" s="410"/>
    </row>
    <row r="2127" spans="1:15" ht="17.25" customHeight="1" thickBot="1">
      <c r="A2127" s="126" t="str">
        <f t="shared" si="114"/>
        <v>2026/05</v>
      </c>
      <c r="B2127" s="127" t="str">
        <f t="shared" si="115"/>
        <v>2026/05忠孝7樓</v>
      </c>
      <c r="C2127" s="138">
        <v>92</v>
      </c>
      <c r="D2127" s="139" t="s">
        <v>424</v>
      </c>
      <c r="E2127" s="484" t="s">
        <v>958</v>
      </c>
      <c r="F2127" s="484"/>
      <c r="G2127" s="484" t="s">
        <v>959</v>
      </c>
      <c r="H2127" s="484"/>
      <c r="I2127" s="484"/>
      <c r="J2127" s="484"/>
      <c r="K2127" s="140" t="s">
        <v>910</v>
      </c>
      <c r="L2127" s="141">
        <v>15</v>
      </c>
      <c r="O2127" s="410"/>
    </row>
    <row r="2128" spans="1:15" ht="17.25" customHeight="1" thickBot="1">
      <c r="A2128" s="126" t="str">
        <f t="shared" si="114"/>
        <v>2026/05</v>
      </c>
      <c r="B2128" s="127" t="str">
        <f t="shared" si="115"/>
        <v>2026/05忠孝7樓</v>
      </c>
      <c r="C2128" s="138">
        <v>93</v>
      </c>
      <c r="D2128" s="139" t="s">
        <v>424</v>
      </c>
      <c r="E2128" s="484" t="s">
        <v>974</v>
      </c>
      <c r="F2128" s="484"/>
      <c r="G2128" s="484" t="s">
        <v>968</v>
      </c>
      <c r="H2128" s="484"/>
      <c r="I2128" s="484"/>
      <c r="J2128" s="484"/>
      <c r="K2128" s="140" t="s">
        <v>342</v>
      </c>
      <c r="L2128" s="141">
        <v>3</v>
      </c>
      <c r="O2128" s="410"/>
    </row>
    <row r="2129" spans="1:15" ht="17.25" customHeight="1" thickBot="1">
      <c r="A2129" s="126" t="str">
        <f t="shared" si="114"/>
        <v>2026/05</v>
      </c>
      <c r="B2129" s="127" t="str">
        <f t="shared" si="115"/>
        <v>2026/05忠孝7樓</v>
      </c>
      <c r="C2129" s="138">
        <v>94</v>
      </c>
      <c r="D2129" s="139" t="s">
        <v>424</v>
      </c>
      <c r="E2129" s="484" t="s">
        <v>896</v>
      </c>
      <c r="F2129" s="484"/>
      <c r="G2129" s="484" t="s">
        <v>897</v>
      </c>
      <c r="H2129" s="484"/>
      <c r="I2129" s="484"/>
      <c r="J2129" s="484"/>
      <c r="K2129" s="140" t="s">
        <v>898</v>
      </c>
      <c r="L2129" s="141">
        <v>56</v>
      </c>
      <c r="O2129" s="410"/>
    </row>
    <row r="2130" spans="1:15" ht="17.25" customHeight="1" thickBot="1">
      <c r="A2130" s="126" t="str">
        <f t="shared" si="114"/>
        <v>2026/05</v>
      </c>
      <c r="B2130" s="127" t="str">
        <f t="shared" si="115"/>
        <v>2026/05忠孝7樓</v>
      </c>
      <c r="C2130" s="138">
        <v>95</v>
      </c>
      <c r="D2130" s="139" t="s">
        <v>424</v>
      </c>
      <c r="E2130" s="484" t="s">
        <v>975</v>
      </c>
      <c r="F2130" s="484"/>
      <c r="G2130" s="484" t="s">
        <v>969</v>
      </c>
      <c r="H2130" s="484"/>
      <c r="I2130" s="484"/>
      <c r="J2130" s="484"/>
      <c r="K2130" s="140" t="s">
        <v>970</v>
      </c>
      <c r="L2130" s="141">
        <v>500</v>
      </c>
      <c r="O2130" s="410"/>
    </row>
    <row r="2131" spans="1:15" ht="17.25" customHeight="1" thickBot="1">
      <c r="A2131" s="126" t="str">
        <f t="shared" si="114"/>
        <v>2026/05</v>
      </c>
      <c r="B2131" s="127" t="str">
        <f t="shared" si="115"/>
        <v>2026/05忠孝7樓</v>
      </c>
      <c r="C2131" s="138">
        <v>96</v>
      </c>
      <c r="D2131" s="139" t="s">
        <v>424</v>
      </c>
      <c r="E2131" s="484" t="s">
        <v>886</v>
      </c>
      <c r="F2131" s="484"/>
      <c r="G2131" s="484" t="s">
        <v>887</v>
      </c>
      <c r="H2131" s="484"/>
      <c r="I2131" s="484"/>
      <c r="J2131" s="484"/>
      <c r="K2131" s="140" t="s">
        <v>888</v>
      </c>
      <c r="L2131" s="141">
        <v>700</v>
      </c>
      <c r="O2131" s="410"/>
    </row>
    <row r="2132" spans="1:15" ht="17.25" customHeight="1" thickBot="1">
      <c r="A2132" s="126" t="str">
        <f t="shared" si="114"/>
        <v>2026/05</v>
      </c>
      <c r="B2132" s="127" t="str">
        <f t="shared" si="115"/>
        <v>2026/05忠孝7樓</v>
      </c>
      <c r="C2132" s="138">
        <v>97</v>
      </c>
      <c r="D2132" s="139" t="s">
        <v>424</v>
      </c>
      <c r="E2132" s="484" t="s">
        <v>899</v>
      </c>
      <c r="F2132" s="484"/>
      <c r="G2132" s="484" t="s">
        <v>943</v>
      </c>
      <c r="H2132" s="484"/>
      <c r="I2132" s="484"/>
      <c r="J2132" s="484"/>
      <c r="K2132" s="140" t="s">
        <v>888</v>
      </c>
      <c r="L2132" s="141">
        <v>1000</v>
      </c>
      <c r="O2132" s="410"/>
    </row>
    <row r="2133" spans="1:15" ht="17.25" customHeight="1" thickBot="1">
      <c r="A2133" s="126" t="str">
        <f t="shared" si="114"/>
        <v>2026/05</v>
      </c>
      <c r="B2133" s="127" t="str">
        <f t="shared" si="115"/>
        <v>2026/05忠孝7樓</v>
      </c>
      <c r="C2133" s="138">
        <v>98</v>
      </c>
      <c r="D2133" s="139" t="s">
        <v>424</v>
      </c>
      <c r="E2133" s="484" t="s">
        <v>944</v>
      </c>
      <c r="F2133" s="484"/>
      <c r="G2133" s="484" t="s">
        <v>945</v>
      </c>
      <c r="H2133" s="484"/>
      <c r="I2133" s="484"/>
      <c r="J2133" s="484"/>
      <c r="K2133" s="140" t="s">
        <v>145</v>
      </c>
      <c r="L2133" s="141">
        <v>12801</v>
      </c>
      <c r="O2133" s="410"/>
    </row>
    <row r="2134" spans="1:15" ht="17.25" customHeight="1" thickBot="1">
      <c r="A2134" s="126" t="str">
        <f t="shared" si="114"/>
        <v>2026/05</v>
      </c>
      <c r="B2134" s="127" t="str">
        <f t="shared" si="115"/>
        <v>2026/05忠孝7樓</v>
      </c>
      <c r="C2134" s="138">
        <v>99</v>
      </c>
      <c r="D2134" s="139" t="s">
        <v>424</v>
      </c>
      <c r="E2134" s="484" t="s">
        <v>360</v>
      </c>
      <c r="F2134" s="484"/>
      <c r="G2134" s="484" t="s">
        <v>361</v>
      </c>
      <c r="H2134" s="484"/>
      <c r="I2134" s="484"/>
      <c r="J2134" s="484"/>
      <c r="K2134" s="140" t="s">
        <v>362</v>
      </c>
      <c r="L2134" s="141">
        <v>34</v>
      </c>
      <c r="O2134" s="410"/>
    </row>
    <row r="2135" spans="1:15" ht="17.25" customHeight="1" thickBot="1">
      <c r="A2135" s="126" t="str">
        <f t="shared" si="114"/>
        <v>2026/05</v>
      </c>
      <c r="B2135" s="127" t="str">
        <f t="shared" si="115"/>
        <v>2026/05忠孝7樓</v>
      </c>
      <c r="C2135" s="138">
        <v>100</v>
      </c>
      <c r="D2135" s="139" t="s">
        <v>424</v>
      </c>
      <c r="E2135" s="484" t="s">
        <v>383</v>
      </c>
      <c r="F2135" s="484"/>
      <c r="G2135" s="484" t="s">
        <v>384</v>
      </c>
      <c r="H2135" s="484"/>
      <c r="I2135" s="484"/>
      <c r="J2135" s="484"/>
      <c r="K2135" s="140" t="s">
        <v>385</v>
      </c>
      <c r="L2135" s="141">
        <v>35</v>
      </c>
      <c r="O2135" s="410"/>
    </row>
    <row r="2136" spans="1:15" ht="17.25" customHeight="1" thickBot="1">
      <c r="A2136" s="126" t="str">
        <f t="shared" si="114"/>
        <v>2026/05</v>
      </c>
      <c r="B2136" s="127" t="str">
        <f t="shared" si="115"/>
        <v>2026/05忠孝7樓</v>
      </c>
      <c r="C2136" s="138">
        <v>101</v>
      </c>
      <c r="D2136" s="139" t="s">
        <v>424</v>
      </c>
      <c r="E2136" s="484" t="s">
        <v>394</v>
      </c>
      <c r="F2136" s="484"/>
      <c r="G2136" s="484" t="s">
        <v>395</v>
      </c>
      <c r="H2136" s="484"/>
      <c r="I2136" s="484"/>
      <c r="J2136" s="484"/>
      <c r="K2136" s="140" t="s">
        <v>272</v>
      </c>
      <c r="L2136" s="141">
        <v>1</v>
      </c>
      <c r="O2136" s="410"/>
    </row>
    <row r="2137" spans="1:15" ht="17.25" customHeight="1" thickBot="1">
      <c r="A2137" s="126" t="str">
        <f t="shared" si="114"/>
        <v>2026/05</v>
      </c>
      <c r="B2137" s="127" t="str">
        <f t="shared" si="115"/>
        <v>2026/05忠孝7樓</v>
      </c>
      <c r="C2137" s="138">
        <v>102</v>
      </c>
      <c r="D2137" s="139" t="s">
        <v>424</v>
      </c>
      <c r="E2137" s="484" t="s">
        <v>255</v>
      </c>
      <c r="F2137" s="484"/>
      <c r="G2137" s="484" t="s">
        <v>256</v>
      </c>
      <c r="H2137" s="484"/>
      <c r="I2137" s="484"/>
      <c r="J2137" s="484"/>
      <c r="K2137" s="140" t="s">
        <v>720</v>
      </c>
      <c r="L2137" s="141">
        <v>110</v>
      </c>
      <c r="O2137" s="410"/>
    </row>
    <row r="2138" spans="1:15" ht="17.25" customHeight="1" thickBot="1">
      <c r="A2138" s="126" t="str">
        <f t="shared" si="114"/>
        <v>2026/05</v>
      </c>
      <c r="B2138" s="127" t="str">
        <f t="shared" si="115"/>
        <v>2026/05忠孝7樓</v>
      </c>
      <c r="C2138" s="138">
        <v>103</v>
      </c>
      <c r="D2138" s="139" t="s">
        <v>424</v>
      </c>
      <c r="E2138" s="484" t="s">
        <v>258</v>
      </c>
      <c r="F2138" s="484"/>
      <c r="G2138" s="484" t="s">
        <v>259</v>
      </c>
      <c r="H2138" s="484"/>
      <c r="I2138" s="484"/>
      <c r="J2138" s="484"/>
      <c r="K2138" s="140"/>
      <c r="L2138" s="141">
        <v>143</v>
      </c>
      <c r="O2138" s="410"/>
    </row>
    <row r="2139" spans="1:15" ht="17.25" customHeight="1" thickBot="1">
      <c r="A2139" s="126" t="str">
        <f t="shared" si="114"/>
        <v>2026/05</v>
      </c>
      <c r="B2139" s="127" t="str">
        <f t="shared" si="115"/>
        <v>2026/05忠孝7樓</v>
      </c>
      <c r="C2139" s="138">
        <v>104</v>
      </c>
      <c r="D2139" s="139" t="s">
        <v>424</v>
      </c>
      <c r="E2139" s="484" t="s">
        <v>260</v>
      </c>
      <c r="F2139" s="484"/>
      <c r="G2139" s="484" t="s">
        <v>261</v>
      </c>
      <c r="H2139" s="484"/>
      <c r="I2139" s="484"/>
      <c r="J2139" s="484"/>
      <c r="K2139" s="140" t="s">
        <v>254</v>
      </c>
      <c r="L2139" s="141">
        <v>142</v>
      </c>
      <c r="O2139" s="410"/>
    </row>
    <row r="2140" spans="1:15" ht="17.25" customHeight="1" thickBot="1">
      <c r="A2140" s="126" t="str">
        <f t="shared" si="114"/>
        <v>2026/05</v>
      </c>
      <c r="B2140" s="127" t="str">
        <f t="shared" si="115"/>
        <v>2026/05忠孝7樓</v>
      </c>
      <c r="C2140" s="138">
        <v>105</v>
      </c>
      <c r="D2140" s="139" t="s">
        <v>424</v>
      </c>
      <c r="E2140" s="484" t="s">
        <v>415</v>
      </c>
      <c r="F2140" s="484"/>
      <c r="G2140" s="484" t="s">
        <v>416</v>
      </c>
      <c r="H2140" s="484"/>
      <c r="I2140" s="484"/>
      <c r="J2140" s="484"/>
      <c r="K2140" s="140" t="s">
        <v>254</v>
      </c>
      <c r="L2140" s="141">
        <v>1</v>
      </c>
      <c r="O2140" s="410"/>
    </row>
    <row r="2141" spans="1:15" ht="17.25" customHeight="1" thickBot="1">
      <c r="A2141" s="126" t="str">
        <f t="shared" si="114"/>
        <v>2026/05</v>
      </c>
      <c r="B2141" s="127" t="str">
        <f t="shared" si="115"/>
        <v>2026/05忠孝7樓</v>
      </c>
      <c r="C2141" s="138">
        <v>106</v>
      </c>
      <c r="D2141" s="139" t="s">
        <v>424</v>
      </c>
      <c r="E2141" s="484" t="s">
        <v>262</v>
      </c>
      <c r="F2141" s="484"/>
      <c r="G2141" s="484" t="s">
        <v>263</v>
      </c>
      <c r="H2141" s="484"/>
      <c r="I2141" s="484"/>
      <c r="J2141" s="484"/>
      <c r="K2141" s="140" t="s">
        <v>254</v>
      </c>
      <c r="L2141" s="141">
        <v>223</v>
      </c>
      <c r="O2141" s="410"/>
    </row>
    <row r="2142" spans="1:15" ht="17.25" customHeight="1" thickBot="1">
      <c r="A2142" s="126" t="str">
        <f t="shared" si="114"/>
        <v>2026/05</v>
      </c>
      <c r="B2142" s="127" t="str">
        <f t="shared" si="115"/>
        <v>2026/05忠孝7樓</v>
      </c>
      <c r="C2142" s="138">
        <v>107</v>
      </c>
      <c r="D2142" s="139" t="s">
        <v>424</v>
      </c>
      <c r="E2142" s="484" t="s">
        <v>270</v>
      </c>
      <c r="F2142" s="484"/>
      <c r="G2142" s="484" t="s">
        <v>271</v>
      </c>
      <c r="H2142" s="484"/>
      <c r="I2142" s="484"/>
      <c r="J2142" s="484"/>
      <c r="K2142" s="140" t="s">
        <v>272</v>
      </c>
      <c r="L2142" s="141">
        <v>39</v>
      </c>
      <c r="O2142" s="410"/>
    </row>
    <row r="2143" spans="1:15" ht="17.25" customHeight="1" thickBot="1">
      <c r="A2143" s="126" t="str">
        <f t="shared" si="114"/>
        <v>2026/05</v>
      </c>
      <c r="B2143" s="127" t="str">
        <f t="shared" si="115"/>
        <v>2026/05忠孝7樓</v>
      </c>
      <c r="C2143" s="138">
        <v>108</v>
      </c>
      <c r="D2143" s="139" t="s">
        <v>424</v>
      </c>
      <c r="E2143" s="484" t="s">
        <v>252</v>
      </c>
      <c r="F2143" s="484"/>
      <c r="G2143" s="484" t="s">
        <v>253</v>
      </c>
      <c r="H2143" s="484"/>
      <c r="I2143" s="484"/>
      <c r="J2143" s="484"/>
      <c r="K2143" s="140" t="s">
        <v>254</v>
      </c>
      <c r="L2143" s="141">
        <v>188</v>
      </c>
      <c r="O2143" s="410"/>
    </row>
    <row r="2144" spans="1:15" ht="17.25" customHeight="1" thickBot="1">
      <c r="A2144" s="126" t="str">
        <f t="shared" si="114"/>
        <v>2026/05</v>
      </c>
      <c r="B2144" s="127" t="str">
        <f t="shared" si="115"/>
        <v>2026/05忠孝7樓</v>
      </c>
      <c r="C2144" s="138">
        <v>109</v>
      </c>
      <c r="D2144" s="139" t="s">
        <v>424</v>
      </c>
      <c r="E2144" s="484" t="s">
        <v>695</v>
      </c>
      <c r="F2144" s="484"/>
      <c r="G2144" s="484" t="s">
        <v>696</v>
      </c>
      <c r="H2144" s="484"/>
      <c r="I2144" s="484"/>
      <c r="J2144" s="484"/>
      <c r="K2144" s="140" t="s">
        <v>254</v>
      </c>
      <c r="L2144" s="141">
        <v>1</v>
      </c>
      <c r="O2144" s="410"/>
    </row>
    <row r="2145" spans="1:15" ht="17.25" customHeight="1" thickBot="1">
      <c r="A2145" s="126" t="str">
        <f t="shared" si="114"/>
        <v>2026/05</v>
      </c>
      <c r="B2145" s="127" t="str">
        <f t="shared" si="115"/>
        <v>2026/05忠孝7樓</v>
      </c>
      <c r="C2145" s="138">
        <v>110</v>
      </c>
      <c r="D2145" s="139" t="s">
        <v>424</v>
      </c>
      <c r="E2145" s="484" t="s">
        <v>690</v>
      </c>
      <c r="F2145" s="484"/>
      <c r="G2145" s="484" t="s">
        <v>911</v>
      </c>
      <c r="H2145" s="484"/>
      <c r="I2145" s="484"/>
      <c r="J2145" s="484"/>
      <c r="K2145" s="140" t="s">
        <v>692</v>
      </c>
      <c r="L2145" s="141">
        <v>34</v>
      </c>
      <c r="O2145" s="410"/>
    </row>
    <row r="2146" spans="1:15" ht="17.25" customHeight="1" thickBot="1">
      <c r="A2146" s="126" t="str">
        <f t="shared" si="114"/>
        <v>2026/05</v>
      </c>
      <c r="B2146" s="127" t="str">
        <f t="shared" si="115"/>
        <v>2026/05忠孝7樓</v>
      </c>
      <c r="C2146" s="138">
        <v>111</v>
      </c>
      <c r="D2146" s="139" t="s">
        <v>424</v>
      </c>
      <c r="E2146" s="484" t="s">
        <v>935</v>
      </c>
      <c r="F2146" s="484"/>
      <c r="G2146" s="484" t="s">
        <v>936</v>
      </c>
      <c r="H2146" s="484"/>
      <c r="I2146" s="484"/>
      <c r="J2146" s="484"/>
      <c r="K2146" s="140" t="s">
        <v>410</v>
      </c>
      <c r="L2146" s="141">
        <v>1</v>
      </c>
      <c r="O2146" s="410"/>
    </row>
    <row r="2147" spans="1:15" ht="17.25" customHeight="1" thickBot="1">
      <c r="A2147" s="126" t="str">
        <f t="shared" si="114"/>
        <v>2026/05</v>
      </c>
      <c r="B2147" s="127" t="str">
        <f t="shared" si="115"/>
        <v>2026/05忠孝7樓</v>
      </c>
      <c r="C2147" s="138">
        <v>112</v>
      </c>
      <c r="D2147" s="139" t="s">
        <v>424</v>
      </c>
      <c r="E2147" s="484" t="s">
        <v>305</v>
      </c>
      <c r="F2147" s="484"/>
      <c r="G2147" s="484" t="s">
        <v>877</v>
      </c>
      <c r="H2147" s="484"/>
      <c r="I2147" s="484"/>
      <c r="J2147" s="484"/>
      <c r="K2147" s="140" t="s">
        <v>676</v>
      </c>
      <c r="L2147" s="141">
        <v>4511</v>
      </c>
      <c r="O2147" s="410"/>
    </row>
    <row r="2148" spans="1:15" ht="17.25" customHeight="1" thickBot="1">
      <c r="A2148" s="126" t="str">
        <f t="shared" si="114"/>
        <v>2026/05</v>
      </c>
      <c r="B2148" s="127" t="str">
        <f t="shared" si="115"/>
        <v>2026/05忠孝7樓</v>
      </c>
      <c r="C2148" s="138">
        <v>113</v>
      </c>
      <c r="D2148" s="139" t="s">
        <v>424</v>
      </c>
      <c r="E2148" s="484" t="s">
        <v>264</v>
      </c>
      <c r="F2148" s="484"/>
      <c r="G2148" s="484" t="s">
        <v>677</v>
      </c>
      <c r="H2148" s="484"/>
      <c r="I2148" s="484"/>
      <c r="J2148" s="484"/>
      <c r="K2148" s="140" t="s">
        <v>678</v>
      </c>
      <c r="L2148" s="141">
        <v>8760</v>
      </c>
      <c r="O2148" s="410"/>
    </row>
    <row r="2149" spans="1:15" ht="17.25" customHeight="1" thickBot="1">
      <c r="A2149" s="126" t="str">
        <f t="shared" si="114"/>
        <v>2026/05</v>
      </c>
      <c r="B2149" s="127" t="str">
        <f t="shared" si="115"/>
        <v>2026/05忠孝7樓</v>
      </c>
      <c r="C2149" s="138">
        <v>114</v>
      </c>
      <c r="D2149" s="139" t="s">
        <v>424</v>
      </c>
      <c r="E2149" s="484" t="s">
        <v>307</v>
      </c>
      <c r="F2149" s="484"/>
      <c r="G2149" s="484" t="s">
        <v>878</v>
      </c>
      <c r="H2149" s="484"/>
      <c r="I2149" s="484"/>
      <c r="J2149" s="484"/>
      <c r="K2149" s="140" t="s">
        <v>678</v>
      </c>
      <c r="L2149" s="141">
        <v>7007</v>
      </c>
      <c r="O2149" s="410"/>
    </row>
    <row r="2150" spans="1:15" ht="17.25" customHeight="1" thickBot="1">
      <c r="A2150" s="126" t="str">
        <f t="shared" si="114"/>
        <v>2026/05</v>
      </c>
      <c r="B2150" s="127" t="str">
        <f t="shared" si="115"/>
        <v>2026/05忠孝7樓</v>
      </c>
      <c r="C2150" s="138">
        <v>115</v>
      </c>
      <c r="D2150" s="139" t="s">
        <v>424</v>
      </c>
      <c r="E2150" s="484" t="s">
        <v>313</v>
      </c>
      <c r="F2150" s="484"/>
      <c r="G2150" s="484" t="s">
        <v>314</v>
      </c>
      <c r="H2150" s="484"/>
      <c r="I2150" s="484"/>
      <c r="J2150" s="484"/>
      <c r="K2150" s="140" t="s">
        <v>301</v>
      </c>
      <c r="L2150" s="141">
        <v>120</v>
      </c>
      <c r="O2150" s="410"/>
    </row>
    <row r="2151" spans="1:15" ht="17.25" customHeight="1" thickBot="1">
      <c r="A2151" s="126" t="str">
        <f t="shared" si="114"/>
        <v>2026/05</v>
      </c>
      <c r="B2151" s="127" t="str">
        <f t="shared" si="115"/>
        <v>2026/05忠孝7樓</v>
      </c>
      <c r="C2151" s="138">
        <v>116</v>
      </c>
      <c r="D2151" s="139" t="s">
        <v>424</v>
      </c>
      <c r="E2151" s="484" t="s">
        <v>343</v>
      </c>
      <c r="F2151" s="484"/>
      <c r="G2151" s="484" t="s">
        <v>344</v>
      </c>
      <c r="H2151" s="484"/>
      <c r="I2151" s="484"/>
      <c r="J2151" s="484"/>
      <c r="K2151" s="140" t="s">
        <v>301</v>
      </c>
      <c r="L2151" s="141">
        <v>18</v>
      </c>
      <c r="O2151" s="410"/>
    </row>
    <row r="2152" spans="1:15" ht="17.25" customHeight="1" thickBot="1">
      <c r="A2152" s="126" t="str">
        <f t="shared" si="114"/>
        <v>2026/05</v>
      </c>
      <c r="B2152" s="127" t="str">
        <f t="shared" si="115"/>
        <v>2026/05忠孝7樓</v>
      </c>
      <c r="C2152" s="138">
        <v>117</v>
      </c>
      <c r="D2152" s="139" t="s">
        <v>424</v>
      </c>
      <c r="E2152" s="484" t="s">
        <v>427</v>
      </c>
      <c r="F2152" s="484"/>
      <c r="G2152" s="484" t="s">
        <v>428</v>
      </c>
      <c r="H2152" s="484"/>
      <c r="I2152" s="484"/>
      <c r="J2152" s="484"/>
      <c r="K2152" s="140" t="s">
        <v>301</v>
      </c>
      <c r="L2152" s="141">
        <v>10</v>
      </c>
      <c r="O2152" s="410"/>
    </row>
    <row r="2153" spans="1:15" ht="17.25" customHeight="1" thickBot="1">
      <c r="A2153" s="126" t="str">
        <f t="shared" si="114"/>
        <v>2026/05</v>
      </c>
      <c r="B2153" s="127" t="str">
        <f t="shared" si="115"/>
        <v>2026/05忠孝7樓</v>
      </c>
      <c r="C2153" s="138">
        <v>118</v>
      </c>
      <c r="D2153" s="139" t="s">
        <v>424</v>
      </c>
      <c r="E2153" s="484" t="s">
        <v>349</v>
      </c>
      <c r="F2153" s="484"/>
      <c r="G2153" s="484" t="s">
        <v>350</v>
      </c>
      <c r="H2153" s="484"/>
      <c r="I2153" s="484"/>
      <c r="J2153" s="484"/>
      <c r="K2153" s="140" t="s">
        <v>301</v>
      </c>
      <c r="L2153" s="141">
        <v>26</v>
      </c>
      <c r="O2153" s="410"/>
    </row>
    <row r="2154" spans="1:15" ht="17.25" customHeight="1" thickBot="1">
      <c r="A2154" s="126" t="str">
        <f t="shared" si="114"/>
        <v>2026/05</v>
      </c>
      <c r="B2154" s="127" t="str">
        <f t="shared" si="115"/>
        <v>2026/05忠孝7樓</v>
      </c>
      <c r="C2154" s="138">
        <v>119</v>
      </c>
      <c r="D2154" s="139" t="s">
        <v>424</v>
      </c>
      <c r="E2154" s="484" t="s">
        <v>282</v>
      </c>
      <c r="F2154" s="484"/>
      <c r="G2154" s="484" t="s">
        <v>283</v>
      </c>
      <c r="H2154" s="484"/>
      <c r="I2154" s="484"/>
      <c r="J2154" s="484"/>
      <c r="K2154" s="140" t="s">
        <v>284</v>
      </c>
      <c r="L2154" s="141">
        <v>26</v>
      </c>
      <c r="O2154" s="410"/>
    </row>
    <row r="2155" spans="1:15" ht="17.25" customHeight="1" thickBot="1">
      <c r="A2155" s="126" t="str">
        <f t="shared" si="114"/>
        <v>2026/05</v>
      </c>
      <c r="B2155" s="127" t="str">
        <f t="shared" si="115"/>
        <v>2026/05忠孝7樓</v>
      </c>
      <c r="C2155" s="138">
        <v>120</v>
      </c>
      <c r="D2155" s="139" t="s">
        <v>424</v>
      </c>
      <c r="E2155" s="484" t="s">
        <v>345</v>
      </c>
      <c r="F2155" s="484"/>
      <c r="G2155" s="484" t="s">
        <v>346</v>
      </c>
      <c r="H2155" s="484"/>
      <c r="I2155" s="484"/>
      <c r="J2155" s="484"/>
      <c r="K2155" s="140" t="s">
        <v>284</v>
      </c>
      <c r="L2155" s="141">
        <v>7</v>
      </c>
      <c r="O2155" s="410"/>
    </row>
    <row r="2156" spans="1:15" ht="17.25" customHeight="1" thickBot="1">
      <c r="A2156" s="126" t="str">
        <f t="shared" si="114"/>
        <v>2026/05</v>
      </c>
      <c r="B2156" s="127" t="str">
        <f t="shared" si="115"/>
        <v>2026/05忠孝7樓</v>
      </c>
      <c r="C2156" s="138">
        <v>121</v>
      </c>
      <c r="D2156" s="139" t="s">
        <v>424</v>
      </c>
      <c r="E2156" s="484" t="s">
        <v>311</v>
      </c>
      <c r="F2156" s="484"/>
      <c r="G2156" s="484" t="s">
        <v>973</v>
      </c>
      <c r="H2156" s="484"/>
      <c r="I2156" s="484"/>
      <c r="J2156" s="484"/>
      <c r="K2156" s="140" t="s">
        <v>284</v>
      </c>
      <c r="L2156" s="141">
        <v>18</v>
      </c>
      <c r="O2156" s="410"/>
    </row>
    <row r="2157" spans="1:15" ht="17.25" customHeight="1" thickBot="1">
      <c r="A2157" s="126" t="str">
        <f t="shared" si="114"/>
        <v>2026/05</v>
      </c>
      <c r="B2157" s="127" t="str">
        <f t="shared" si="115"/>
        <v>2026/05忠孝7樓</v>
      </c>
      <c r="C2157" s="138">
        <v>122</v>
      </c>
      <c r="D2157" s="139" t="s">
        <v>424</v>
      </c>
      <c r="E2157" s="484" t="s">
        <v>941</v>
      </c>
      <c r="F2157" s="484"/>
      <c r="G2157" s="484" t="s">
        <v>942</v>
      </c>
      <c r="H2157" s="484"/>
      <c r="I2157" s="484"/>
      <c r="J2157" s="484"/>
      <c r="K2157" s="140" t="s">
        <v>301</v>
      </c>
      <c r="L2157" s="141">
        <v>3</v>
      </c>
      <c r="O2157" s="410"/>
    </row>
    <row r="2158" spans="1:15" ht="17.25" customHeight="1" thickBot="1">
      <c r="A2158" s="126" t="str">
        <f t="shared" si="114"/>
        <v>2026/05</v>
      </c>
      <c r="B2158" s="127" t="str">
        <f t="shared" si="115"/>
        <v>2026/05忠孝7樓</v>
      </c>
      <c r="C2158" s="138">
        <v>123</v>
      </c>
      <c r="D2158" s="139" t="s">
        <v>424</v>
      </c>
      <c r="E2158" s="484" t="s">
        <v>299</v>
      </c>
      <c r="F2158" s="484"/>
      <c r="G2158" s="484" t="s">
        <v>912</v>
      </c>
      <c r="H2158" s="484"/>
      <c r="I2158" s="484"/>
      <c r="J2158" s="484"/>
      <c r="K2158" s="140" t="s">
        <v>301</v>
      </c>
      <c r="L2158" s="141">
        <v>44</v>
      </c>
      <c r="O2158" s="410"/>
    </row>
    <row r="2159" spans="1:15" ht="17.25" customHeight="1" thickBot="1">
      <c r="A2159" s="126" t="str">
        <f t="shared" si="114"/>
        <v>2026/05</v>
      </c>
      <c r="B2159" s="127" t="str">
        <f t="shared" si="115"/>
        <v>2026/05忠孝7樓</v>
      </c>
      <c r="C2159" s="138">
        <v>124</v>
      </c>
      <c r="D2159" s="139" t="s">
        <v>424</v>
      </c>
      <c r="E2159" s="484" t="s">
        <v>347</v>
      </c>
      <c r="F2159" s="484"/>
      <c r="G2159" s="484" t="s">
        <v>913</v>
      </c>
      <c r="H2159" s="484"/>
      <c r="I2159" s="484"/>
      <c r="J2159" s="484"/>
      <c r="K2159" s="140" t="s">
        <v>301</v>
      </c>
      <c r="L2159" s="141">
        <v>35</v>
      </c>
      <c r="O2159" s="410"/>
    </row>
    <row r="2160" spans="1:15" ht="17.25" customHeight="1" thickBot="1">
      <c r="A2160" s="126" t="str">
        <f t="shared" si="114"/>
        <v>2026/05</v>
      </c>
      <c r="B2160" s="127" t="str">
        <f t="shared" si="115"/>
        <v>2026/05忠孝7樓</v>
      </c>
      <c r="C2160" s="138">
        <v>125</v>
      </c>
      <c r="D2160" s="139" t="s">
        <v>424</v>
      </c>
      <c r="E2160" s="484" t="s">
        <v>317</v>
      </c>
      <c r="F2160" s="484"/>
      <c r="G2160" s="484" t="s">
        <v>318</v>
      </c>
      <c r="H2160" s="484"/>
      <c r="I2160" s="484"/>
      <c r="J2160" s="484"/>
      <c r="K2160" s="140" t="s">
        <v>319</v>
      </c>
      <c r="L2160" s="141">
        <v>22</v>
      </c>
      <c r="O2160" s="410"/>
    </row>
    <row r="2161" spans="1:15" ht="17.25" customHeight="1" thickBot="1">
      <c r="A2161" s="126" t="str">
        <f t="shared" si="114"/>
        <v>2026/05</v>
      </c>
      <c r="B2161" s="127" t="str">
        <f t="shared" si="115"/>
        <v>2026/05忠孝7樓</v>
      </c>
      <c r="C2161" s="138">
        <v>126</v>
      </c>
      <c r="D2161" s="139" t="s">
        <v>424</v>
      </c>
      <c r="E2161" s="484" t="s">
        <v>321</v>
      </c>
      <c r="F2161" s="484"/>
      <c r="G2161" s="484" t="s">
        <v>981</v>
      </c>
      <c r="H2161" s="484"/>
      <c r="I2161" s="484"/>
      <c r="J2161" s="484"/>
      <c r="K2161" s="140" t="s">
        <v>275</v>
      </c>
      <c r="L2161" s="141">
        <v>166</v>
      </c>
      <c r="O2161" s="410"/>
    </row>
    <row r="2162" spans="1:15" ht="17.25" customHeight="1" thickBot="1">
      <c r="A2162" s="126" t="str">
        <f t="shared" si="114"/>
        <v>2026/05</v>
      </c>
      <c r="B2162" s="127" t="str">
        <f t="shared" si="115"/>
        <v>2026/05忠孝7樓</v>
      </c>
      <c r="C2162" s="138">
        <v>127</v>
      </c>
      <c r="D2162" s="139" t="s">
        <v>424</v>
      </c>
      <c r="E2162" s="484" t="s">
        <v>372</v>
      </c>
      <c r="F2162" s="484"/>
      <c r="G2162" s="484" t="s">
        <v>982</v>
      </c>
      <c r="H2162" s="484"/>
      <c r="I2162" s="484"/>
      <c r="J2162" s="484"/>
      <c r="K2162" s="140" t="s">
        <v>278</v>
      </c>
      <c r="L2162" s="141">
        <v>25</v>
      </c>
      <c r="O2162" s="410"/>
    </row>
    <row r="2163" spans="1:15" ht="17.25" customHeight="1" thickBot="1">
      <c r="A2163" s="126" t="str">
        <f t="shared" si="114"/>
        <v>2026/05</v>
      </c>
      <c r="B2163" s="127" t="str">
        <f t="shared" si="115"/>
        <v>2026/05忠孝7樓</v>
      </c>
      <c r="C2163" s="138">
        <v>128</v>
      </c>
      <c r="D2163" s="139" t="s">
        <v>424</v>
      </c>
      <c r="E2163" s="484" t="s">
        <v>276</v>
      </c>
      <c r="F2163" s="484"/>
      <c r="G2163" s="484" t="s">
        <v>924</v>
      </c>
      <c r="H2163" s="484"/>
      <c r="I2163" s="484"/>
      <c r="J2163" s="484"/>
      <c r="K2163" s="140" t="s">
        <v>278</v>
      </c>
      <c r="L2163" s="141">
        <v>97</v>
      </c>
      <c r="O2163" s="410"/>
    </row>
    <row r="2164" spans="1:15" ht="17.25" customHeight="1" thickBot="1">
      <c r="A2164" s="126" t="str">
        <f t="shared" si="114"/>
        <v>2026/05</v>
      </c>
      <c r="B2164" s="127" t="str">
        <f t="shared" si="115"/>
        <v>2026/05忠孝7樓</v>
      </c>
      <c r="C2164" s="138">
        <v>129</v>
      </c>
      <c r="D2164" s="139" t="s">
        <v>424</v>
      </c>
      <c r="E2164" s="484" t="s">
        <v>273</v>
      </c>
      <c r="F2164" s="484"/>
      <c r="G2164" s="484" t="s">
        <v>915</v>
      </c>
      <c r="H2164" s="484"/>
      <c r="I2164" s="484"/>
      <c r="J2164" s="484"/>
      <c r="K2164" s="140" t="s">
        <v>275</v>
      </c>
      <c r="L2164" s="141">
        <v>853</v>
      </c>
      <c r="O2164" s="410"/>
    </row>
    <row r="2165" spans="1:15" ht="17.25" customHeight="1" thickBot="1">
      <c r="A2165" s="126" t="str">
        <f t="shared" si="114"/>
        <v>2026/05</v>
      </c>
      <c r="B2165" s="127" t="str">
        <f t="shared" si="115"/>
        <v>2026/05忠孝7樓</v>
      </c>
      <c r="C2165" s="138">
        <v>130</v>
      </c>
      <c r="D2165" s="139" t="s">
        <v>424</v>
      </c>
      <c r="E2165" s="484" t="s">
        <v>285</v>
      </c>
      <c r="F2165" s="484"/>
      <c r="G2165" s="484" t="s">
        <v>286</v>
      </c>
      <c r="H2165" s="484"/>
      <c r="I2165" s="484"/>
      <c r="J2165" s="484"/>
      <c r="K2165" s="140" t="s">
        <v>879</v>
      </c>
      <c r="L2165" s="141">
        <v>8673</v>
      </c>
      <c r="O2165" s="410"/>
    </row>
    <row r="2166" spans="1:15" ht="17.25" customHeight="1" thickBot="1">
      <c r="A2166" s="126" t="str">
        <f t="shared" si="114"/>
        <v>2026/05</v>
      </c>
      <c r="B2166" s="127" t="str">
        <f t="shared" si="115"/>
        <v>2026/05忠孝7樓</v>
      </c>
      <c r="C2166" s="138">
        <v>131</v>
      </c>
      <c r="D2166" s="139" t="s">
        <v>424</v>
      </c>
      <c r="E2166" s="484" t="s">
        <v>290</v>
      </c>
      <c r="F2166" s="484"/>
      <c r="G2166" s="484" t="s">
        <v>291</v>
      </c>
      <c r="H2166" s="484"/>
      <c r="I2166" s="484"/>
      <c r="J2166" s="484"/>
      <c r="K2166" s="140" t="s">
        <v>879</v>
      </c>
      <c r="L2166" s="141">
        <v>32711</v>
      </c>
      <c r="O2166" s="410"/>
    </row>
    <row r="2167" spans="1:15" ht="17.25" customHeight="1" thickBot="1">
      <c r="A2167" s="126" t="str">
        <f t="shared" si="114"/>
        <v>2026/05</v>
      </c>
      <c r="B2167" s="127" t="str">
        <f t="shared" si="115"/>
        <v>2026/05忠孝7樓</v>
      </c>
      <c r="C2167" s="138">
        <v>132</v>
      </c>
      <c r="D2167" s="139" t="s">
        <v>424</v>
      </c>
      <c r="E2167" s="484" t="s">
        <v>292</v>
      </c>
      <c r="F2167" s="484"/>
      <c r="G2167" s="484" t="s">
        <v>293</v>
      </c>
      <c r="H2167" s="484"/>
      <c r="I2167" s="484"/>
      <c r="J2167" s="484"/>
      <c r="K2167" s="140" t="s">
        <v>879</v>
      </c>
      <c r="L2167" s="141">
        <v>52045</v>
      </c>
      <c r="O2167" s="410"/>
    </row>
    <row r="2168" spans="1:15" ht="17.25" customHeight="1" thickBot="1">
      <c r="A2168" s="126" t="str">
        <f t="shared" si="114"/>
        <v>2026/05</v>
      </c>
      <c r="B2168" s="127" t="str">
        <f t="shared" si="115"/>
        <v>2026/05忠孝7樓</v>
      </c>
      <c r="C2168" s="138">
        <v>133</v>
      </c>
      <c r="D2168" s="139" t="s">
        <v>424</v>
      </c>
      <c r="E2168" s="484" t="s">
        <v>323</v>
      </c>
      <c r="F2168" s="484"/>
      <c r="G2168" s="484" t="s">
        <v>324</v>
      </c>
      <c r="H2168" s="484"/>
      <c r="I2168" s="484"/>
      <c r="J2168" s="484"/>
      <c r="K2168" s="140" t="s">
        <v>880</v>
      </c>
      <c r="L2168" s="141">
        <v>13375</v>
      </c>
      <c r="O2168" s="410"/>
    </row>
    <row r="2169" spans="1:15" ht="17.25" customHeight="1" thickBot="1">
      <c r="A2169" s="126" t="str">
        <f t="shared" si="114"/>
        <v>2026/05</v>
      </c>
      <c r="B2169" s="127" t="str">
        <f t="shared" si="115"/>
        <v>2026/05忠孝7樓</v>
      </c>
      <c r="C2169" s="138">
        <v>134</v>
      </c>
      <c r="D2169" s="139" t="s">
        <v>424</v>
      </c>
      <c r="E2169" s="484" t="s">
        <v>359</v>
      </c>
      <c r="F2169" s="484"/>
      <c r="G2169" s="484" t="s">
        <v>138</v>
      </c>
      <c r="H2169" s="484"/>
      <c r="I2169" s="484"/>
      <c r="J2169" s="484"/>
      <c r="K2169" s="140" t="s">
        <v>146</v>
      </c>
      <c r="L2169" s="141">
        <v>22</v>
      </c>
      <c r="O2169" s="410"/>
    </row>
    <row r="2170" spans="1:15" ht="17.25" customHeight="1" thickBot="1">
      <c r="A2170" s="126" t="str">
        <f t="shared" si="114"/>
        <v>2026/05</v>
      </c>
      <c r="B2170" s="127" t="str">
        <f t="shared" si="115"/>
        <v>2026/05忠孝7樓</v>
      </c>
      <c r="C2170" s="138">
        <v>135</v>
      </c>
      <c r="D2170" s="139" t="s">
        <v>424</v>
      </c>
      <c r="E2170" s="484" t="s">
        <v>320</v>
      </c>
      <c r="F2170" s="484"/>
      <c r="G2170" s="484" t="s">
        <v>135</v>
      </c>
      <c r="H2170" s="484"/>
      <c r="I2170" s="484"/>
      <c r="J2170" s="484"/>
      <c r="K2170" s="140" t="s">
        <v>146</v>
      </c>
      <c r="L2170" s="141">
        <v>20</v>
      </c>
      <c r="O2170" s="410"/>
    </row>
    <row r="2171" spans="1:15" ht="17.25" customHeight="1" thickBot="1">
      <c r="A2171" s="126" t="str">
        <f t="shared" si="114"/>
        <v>2026/05</v>
      </c>
      <c r="B2171" s="127" t="str">
        <f t="shared" si="115"/>
        <v>2026/05忠孝7樓</v>
      </c>
      <c r="C2171" s="138">
        <v>136</v>
      </c>
      <c r="D2171" s="139" t="s">
        <v>424</v>
      </c>
      <c r="E2171" s="484" t="s">
        <v>338</v>
      </c>
      <c r="F2171" s="484"/>
      <c r="G2171" s="484" t="s">
        <v>339</v>
      </c>
      <c r="H2171" s="484"/>
      <c r="I2171" s="484"/>
      <c r="J2171" s="484"/>
      <c r="K2171" s="140" t="s">
        <v>881</v>
      </c>
      <c r="L2171" s="141">
        <v>3921</v>
      </c>
      <c r="O2171" s="410"/>
    </row>
    <row r="2172" spans="1:15" ht="17.25" customHeight="1" thickBot="1">
      <c r="A2172" s="126" t="str">
        <f t="shared" ref="A2172:A2228" si="116">IFERROR(LEFT(B2172,7),"")</f>
        <v>2026/05</v>
      </c>
      <c r="B2172" s="127" t="str">
        <f t="shared" ref="B2172:B2228" si="117">"2026/05"&amp;D2172</f>
        <v>2026/05忠孝7樓</v>
      </c>
      <c r="C2172" s="138">
        <v>137</v>
      </c>
      <c r="D2172" s="139" t="s">
        <v>424</v>
      </c>
      <c r="E2172" s="484" t="s">
        <v>326</v>
      </c>
      <c r="F2172" s="484"/>
      <c r="G2172" s="484" t="s">
        <v>327</v>
      </c>
      <c r="H2172" s="484"/>
      <c r="I2172" s="484"/>
      <c r="J2172" s="484"/>
      <c r="K2172" s="140" t="s">
        <v>881</v>
      </c>
      <c r="L2172" s="141">
        <v>11742</v>
      </c>
      <c r="O2172" s="410"/>
    </row>
    <row r="2173" spans="1:15" ht="17.25" customHeight="1" thickBot="1">
      <c r="A2173" s="126" t="str">
        <f t="shared" si="116"/>
        <v>2026/05</v>
      </c>
      <c r="B2173" s="127" t="str">
        <f t="shared" si="117"/>
        <v>2026/05忠孝7樓</v>
      </c>
      <c r="C2173" s="138">
        <v>138</v>
      </c>
      <c r="D2173" s="139" t="s">
        <v>424</v>
      </c>
      <c r="E2173" s="484" t="s">
        <v>328</v>
      </c>
      <c r="F2173" s="484"/>
      <c r="G2173" s="484" t="s">
        <v>329</v>
      </c>
      <c r="H2173" s="484"/>
      <c r="I2173" s="484"/>
      <c r="J2173" s="484"/>
      <c r="K2173" s="140" t="s">
        <v>881</v>
      </c>
      <c r="L2173" s="141">
        <v>29115</v>
      </c>
      <c r="O2173" s="410"/>
    </row>
    <row r="2174" spans="1:15" ht="17.25" customHeight="1" thickBot="1">
      <c r="A2174" s="126" t="str">
        <f t="shared" si="116"/>
        <v>2026/05</v>
      </c>
      <c r="B2174" s="127" t="str">
        <f t="shared" si="117"/>
        <v>2026/05忠孝7樓</v>
      </c>
      <c r="C2174" s="138">
        <v>139</v>
      </c>
      <c r="D2174" s="139" t="s">
        <v>424</v>
      </c>
      <c r="E2174" s="484" t="s">
        <v>330</v>
      </c>
      <c r="F2174" s="484"/>
      <c r="G2174" s="484" t="s">
        <v>331</v>
      </c>
      <c r="H2174" s="484"/>
      <c r="I2174" s="484"/>
      <c r="J2174" s="484"/>
      <c r="K2174" s="140" t="s">
        <v>881</v>
      </c>
      <c r="L2174" s="141">
        <v>12148</v>
      </c>
      <c r="O2174" s="410"/>
    </row>
    <row r="2175" spans="1:15" ht="17.25" customHeight="1" thickBot="1">
      <c r="A2175" s="126" t="str">
        <f t="shared" si="116"/>
        <v>2026/05</v>
      </c>
      <c r="B2175" s="127" t="str">
        <f t="shared" si="117"/>
        <v>2026/05忠孝7樓</v>
      </c>
      <c r="C2175" s="138">
        <v>140</v>
      </c>
      <c r="D2175" s="139" t="s">
        <v>424</v>
      </c>
      <c r="E2175" s="484" t="s">
        <v>739</v>
      </c>
      <c r="F2175" s="484"/>
      <c r="G2175" s="484" t="s">
        <v>740</v>
      </c>
      <c r="H2175" s="484"/>
      <c r="I2175" s="484"/>
      <c r="J2175" s="484"/>
      <c r="K2175" s="140" t="s">
        <v>881</v>
      </c>
      <c r="L2175" s="141">
        <v>3447</v>
      </c>
      <c r="O2175" s="410"/>
    </row>
    <row r="2176" spans="1:15" ht="17.25" customHeight="1" thickBot="1">
      <c r="A2176" s="126" t="str">
        <f t="shared" si="116"/>
        <v>2026/05</v>
      </c>
      <c r="B2176" s="127" t="str">
        <f t="shared" si="117"/>
        <v>2026/05忠孝7樓</v>
      </c>
      <c r="C2176" s="138">
        <v>141</v>
      </c>
      <c r="D2176" s="139" t="s">
        <v>424</v>
      </c>
      <c r="E2176" s="484" t="s">
        <v>705</v>
      </c>
      <c r="F2176" s="484"/>
      <c r="G2176" s="484" t="s">
        <v>706</v>
      </c>
      <c r="H2176" s="484"/>
      <c r="I2176" s="484"/>
      <c r="J2176" s="484"/>
      <c r="K2176" s="140" t="s">
        <v>883</v>
      </c>
      <c r="L2176" s="141">
        <v>19900</v>
      </c>
      <c r="O2176" s="410"/>
    </row>
    <row r="2177" spans="1:15" ht="17.25" customHeight="1" thickBot="1">
      <c r="A2177" s="126" t="str">
        <f t="shared" si="116"/>
        <v>2026/05</v>
      </c>
      <c r="B2177" s="127" t="str">
        <f t="shared" si="117"/>
        <v>2026/05忠孝7樓</v>
      </c>
      <c r="C2177" s="138">
        <v>142</v>
      </c>
      <c r="D2177" s="139" t="s">
        <v>424</v>
      </c>
      <c r="E2177" s="484" t="s">
        <v>279</v>
      </c>
      <c r="F2177" s="484"/>
      <c r="G2177" s="484" t="s">
        <v>280</v>
      </c>
      <c r="H2177" s="484"/>
      <c r="I2177" s="484"/>
      <c r="J2177" s="484"/>
      <c r="K2177" s="140" t="s">
        <v>884</v>
      </c>
      <c r="L2177" s="141">
        <v>195615</v>
      </c>
      <c r="O2177" s="410"/>
    </row>
    <row r="2178" spans="1:15" ht="17.25" customHeight="1" thickBot="1">
      <c r="A2178" s="126" t="str">
        <f t="shared" si="116"/>
        <v>2026/05</v>
      </c>
      <c r="B2178" s="127" t="str">
        <f t="shared" si="117"/>
        <v>2026/05忠孝7樓</v>
      </c>
      <c r="C2178" s="138">
        <v>143</v>
      </c>
      <c r="D2178" s="139" t="s">
        <v>424</v>
      </c>
      <c r="E2178" s="484" t="s">
        <v>288</v>
      </c>
      <c r="F2178" s="484"/>
      <c r="G2178" s="484" t="s">
        <v>289</v>
      </c>
      <c r="H2178" s="484"/>
      <c r="I2178" s="484"/>
      <c r="J2178" s="484"/>
      <c r="K2178" s="140" t="s">
        <v>884</v>
      </c>
      <c r="L2178" s="141">
        <v>94888</v>
      </c>
      <c r="O2178" s="410"/>
    </row>
    <row r="2179" spans="1:15" ht="17.25" customHeight="1" thickBot="1">
      <c r="A2179" s="126" t="str">
        <f t="shared" si="116"/>
        <v>2026/05</v>
      </c>
      <c r="B2179" s="127" t="str">
        <f t="shared" si="117"/>
        <v>2026/05忠孝7樓</v>
      </c>
      <c r="C2179" s="138">
        <v>144</v>
      </c>
      <c r="D2179" s="139" t="s">
        <v>424</v>
      </c>
      <c r="E2179" s="484" t="s">
        <v>332</v>
      </c>
      <c r="F2179" s="484"/>
      <c r="G2179" s="484" t="s">
        <v>333</v>
      </c>
      <c r="H2179" s="484"/>
      <c r="I2179" s="484"/>
      <c r="J2179" s="484"/>
      <c r="K2179" s="140" t="s">
        <v>334</v>
      </c>
      <c r="L2179" s="141">
        <v>176500</v>
      </c>
      <c r="O2179" s="410"/>
    </row>
    <row r="2180" spans="1:15" ht="17.25" customHeight="1" thickBot="1">
      <c r="A2180" s="126" t="str">
        <f t="shared" si="116"/>
        <v>2026/05</v>
      </c>
      <c r="B2180" s="127" t="str">
        <f t="shared" si="117"/>
        <v>2026/05忠孝7樓</v>
      </c>
      <c r="C2180" s="138">
        <v>145</v>
      </c>
      <c r="D2180" s="139" t="s">
        <v>424</v>
      </c>
      <c r="E2180" s="484" t="s">
        <v>335</v>
      </c>
      <c r="F2180" s="484"/>
      <c r="G2180" s="484" t="s">
        <v>336</v>
      </c>
      <c r="H2180" s="484"/>
      <c r="I2180" s="484"/>
      <c r="J2180" s="484"/>
      <c r="K2180" s="140" t="s">
        <v>337</v>
      </c>
      <c r="L2180" s="141">
        <v>42300</v>
      </c>
      <c r="O2180" s="410"/>
    </row>
    <row r="2181" spans="1:15" ht="17.25" customHeight="1" thickBot="1">
      <c r="A2181" s="126" t="str">
        <f t="shared" si="116"/>
        <v>2026/05</v>
      </c>
      <c r="B2181" s="127" t="str">
        <f t="shared" si="117"/>
        <v>2026/05忠孝7樓</v>
      </c>
      <c r="C2181" s="138">
        <v>146</v>
      </c>
      <c r="D2181" s="139" t="s">
        <v>424</v>
      </c>
      <c r="E2181" s="484" t="s">
        <v>443</v>
      </c>
      <c r="F2181" s="484"/>
      <c r="G2181" s="484" t="s">
        <v>444</v>
      </c>
      <c r="H2181" s="484"/>
      <c r="I2181" s="484"/>
      <c r="J2181" s="484"/>
      <c r="K2181" s="140" t="s">
        <v>445</v>
      </c>
      <c r="L2181" s="141">
        <v>4</v>
      </c>
      <c r="O2181" s="410"/>
    </row>
    <row r="2182" spans="1:15" ht="17.25" customHeight="1" thickBot="1">
      <c r="A2182" s="126" t="str">
        <f t="shared" si="116"/>
        <v>2026/05</v>
      </c>
      <c r="B2182" s="127" t="str">
        <f t="shared" si="117"/>
        <v>2026/05忠孝7樓</v>
      </c>
      <c r="C2182" s="138">
        <v>147</v>
      </c>
      <c r="D2182" s="139" t="s">
        <v>424</v>
      </c>
      <c r="E2182" s="484" t="s">
        <v>357</v>
      </c>
      <c r="F2182" s="484"/>
      <c r="G2182" s="484" t="s">
        <v>358</v>
      </c>
      <c r="H2182" s="484"/>
      <c r="I2182" s="484"/>
      <c r="J2182" s="484"/>
      <c r="K2182" s="140" t="s">
        <v>353</v>
      </c>
      <c r="L2182" s="141">
        <v>4</v>
      </c>
      <c r="O2182" s="410"/>
    </row>
    <row r="2183" spans="1:15" ht="17.25" customHeight="1" thickBot="1">
      <c r="A2183" s="126" t="str">
        <f t="shared" si="116"/>
        <v>2026/05</v>
      </c>
      <c r="B2183" s="127" t="str">
        <f t="shared" si="117"/>
        <v>2026/05忠孝7樓</v>
      </c>
      <c r="C2183" s="138">
        <v>148</v>
      </c>
      <c r="D2183" s="139" t="s">
        <v>424</v>
      </c>
      <c r="E2183" s="484" t="s">
        <v>340</v>
      </c>
      <c r="F2183" s="484"/>
      <c r="G2183" s="484" t="s">
        <v>341</v>
      </c>
      <c r="H2183" s="484"/>
      <c r="I2183" s="484"/>
      <c r="J2183" s="484"/>
      <c r="K2183" s="140" t="s">
        <v>342</v>
      </c>
      <c r="L2183" s="141">
        <v>7</v>
      </c>
      <c r="O2183" s="410"/>
    </row>
    <row r="2184" spans="1:15" ht="17.25" customHeight="1" thickBot="1">
      <c r="A2184" s="126" t="str">
        <f t="shared" si="116"/>
        <v>2026/05</v>
      </c>
      <c r="B2184" s="127" t="str">
        <f t="shared" si="117"/>
        <v>2026/05忠孝7樓</v>
      </c>
      <c r="C2184" s="138">
        <v>149</v>
      </c>
      <c r="D2184" s="139" t="s">
        <v>424</v>
      </c>
      <c r="E2184" s="484" t="s">
        <v>686</v>
      </c>
      <c r="F2184" s="484"/>
      <c r="G2184" s="484" t="s">
        <v>687</v>
      </c>
      <c r="H2184" s="484"/>
      <c r="I2184" s="484"/>
      <c r="J2184" s="484"/>
      <c r="K2184" s="140" t="s">
        <v>688</v>
      </c>
      <c r="L2184" s="141">
        <v>59</v>
      </c>
      <c r="O2184" s="410"/>
    </row>
    <row r="2185" spans="1:15" ht="17.25" customHeight="1" thickBot="1">
      <c r="A2185" s="126" t="str">
        <f t="shared" si="116"/>
        <v>2026/05</v>
      </c>
      <c r="B2185" s="127" t="str">
        <f t="shared" si="117"/>
        <v>2026/05忠孝7樓</v>
      </c>
      <c r="C2185" s="138">
        <v>150</v>
      </c>
      <c r="D2185" s="139" t="s">
        <v>424</v>
      </c>
      <c r="E2185" s="484" t="s">
        <v>930</v>
      </c>
      <c r="F2185" s="484"/>
      <c r="G2185" s="484" t="s">
        <v>931</v>
      </c>
      <c r="H2185" s="484"/>
      <c r="I2185" s="484"/>
      <c r="J2185" s="484"/>
      <c r="K2185" s="140" t="s">
        <v>342</v>
      </c>
      <c r="L2185" s="141">
        <v>33</v>
      </c>
      <c r="O2185" s="410"/>
    </row>
    <row r="2186" spans="1:15" ht="17.25" customHeight="1" thickBot="1">
      <c r="A2186" s="126" t="str">
        <f t="shared" si="116"/>
        <v>2026/05</v>
      </c>
      <c r="B2186" s="127" t="str">
        <f t="shared" si="117"/>
        <v>2026/05忠孝7樓</v>
      </c>
      <c r="C2186" s="138">
        <v>151</v>
      </c>
      <c r="D2186" s="139" t="s">
        <v>424</v>
      </c>
      <c r="E2186" s="484" t="s">
        <v>354</v>
      </c>
      <c r="F2186" s="484"/>
      <c r="G2186" s="484" t="s">
        <v>741</v>
      </c>
      <c r="H2186" s="484"/>
      <c r="I2186" s="484"/>
      <c r="J2186" s="484"/>
      <c r="K2186" s="140" t="s">
        <v>885</v>
      </c>
      <c r="L2186" s="141">
        <v>7</v>
      </c>
      <c r="O2186" s="410"/>
    </row>
    <row r="2187" spans="1:15" ht="17.25" customHeight="1" thickBot="1">
      <c r="A2187" s="126" t="str">
        <f t="shared" si="116"/>
        <v>2026/05</v>
      </c>
      <c r="B2187" s="127" t="str">
        <f t="shared" si="117"/>
        <v>2026/05忠孝7樓</v>
      </c>
      <c r="C2187" s="138">
        <v>152</v>
      </c>
      <c r="D2187" s="139" t="s">
        <v>424</v>
      </c>
      <c r="E2187" s="484" t="s">
        <v>368</v>
      </c>
      <c r="F2187" s="484"/>
      <c r="G2187" s="484" t="s">
        <v>907</v>
      </c>
      <c r="H2187" s="484"/>
      <c r="I2187" s="484"/>
      <c r="J2187" s="484"/>
      <c r="K2187" s="140" t="s">
        <v>885</v>
      </c>
      <c r="L2187" s="141">
        <v>6</v>
      </c>
      <c r="O2187" s="410"/>
    </row>
    <row r="2188" spans="1:15" ht="17.25" customHeight="1" thickBot="1">
      <c r="A2188" s="126" t="str">
        <f t="shared" si="116"/>
        <v>2026/05</v>
      </c>
      <c r="B2188" s="127" t="str">
        <f t="shared" si="117"/>
        <v>2026/05忠孝7樓</v>
      </c>
      <c r="C2188" s="138">
        <v>153</v>
      </c>
      <c r="D2188" s="139" t="s">
        <v>424</v>
      </c>
      <c r="E2188" s="484" t="s">
        <v>425</v>
      </c>
      <c r="F2188" s="484"/>
      <c r="G2188" s="484" t="s">
        <v>426</v>
      </c>
      <c r="H2188" s="484"/>
      <c r="I2188" s="484"/>
      <c r="J2188" s="484"/>
      <c r="K2188" s="140" t="s">
        <v>269</v>
      </c>
      <c r="L2188" s="141">
        <v>1</v>
      </c>
      <c r="O2188" s="410"/>
    </row>
    <row r="2189" spans="1:15" ht="17.25" customHeight="1" thickBot="1">
      <c r="A2189" s="126" t="str">
        <f t="shared" si="116"/>
        <v>2026/05</v>
      </c>
      <c r="B2189" s="127" t="str">
        <f t="shared" si="117"/>
        <v>2026/05忠孝7樓</v>
      </c>
      <c r="C2189" s="138">
        <v>154</v>
      </c>
      <c r="D2189" s="139" t="s">
        <v>424</v>
      </c>
      <c r="E2189" s="484" t="s">
        <v>309</v>
      </c>
      <c r="F2189" s="484"/>
      <c r="G2189" s="484" t="s">
        <v>310</v>
      </c>
      <c r="H2189" s="484"/>
      <c r="I2189" s="484"/>
      <c r="J2189" s="484"/>
      <c r="K2189" s="140" t="s">
        <v>269</v>
      </c>
      <c r="L2189" s="141">
        <v>353</v>
      </c>
    </row>
    <row r="2190" spans="1:15" ht="17.25" customHeight="1" thickBot="1">
      <c r="A2190" s="126" t="str">
        <f t="shared" si="116"/>
        <v>2026/05</v>
      </c>
      <c r="B2190" s="127" t="str">
        <f t="shared" si="117"/>
        <v>2026/05忠孝7樓</v>
      </c>
      <c r="C2190" s="138">
        <v>155</v>
      </c>
      <c r="D2190" s="139" t="s">
        <v>424</v>
      </c>
      <c r="E2190" s="484" t="s">
        <v>267</v>
      </c>
      <c r="F2190" s="484"/>
      <c r="G2190" s="484" t="s">
        <v>268</v>
      </c>
      <c r="H2190" s="484"/>
      <c r="I2190" s="484"/>
      <c r="J2190" s="484"/>
      <c r="K2190" s="140" t="s">
        <v>269</v>
      </c>
      <c r="L2190" s="141">
        <v>28</v>
      </c>
    </row>
    <row r="2191" spans="1:15" ht="17.25" customHeight="1" thickBot="1">
      <c r="A2191" s="126" t="str">
        <f t="shared" si="116"/>
        <v>2026/05</v>
      </c>
      <c r="B2191" s="127" t="str">
        <f t="shared" si="117"/>
        <v>2026/05忠孝7樓</v>
      </c>
      <c r="C2191" s="138">
        <v>156</v>
      </c>
      <c r="D2191" s="139" t="s">
        <v>424</v>
      </c>
      <c r="E2191" s="484" t="s">
        <v>315</v>
      </c>
      <c r="F2191" s="484"/>
      <c r="G2191" s="484" t="s">
        <v>316</v>
      </c>
      <c r="H2191" s="484"/>
      <c r="I2191" s="484"/>
      <c r="J2191" s="484"/>
      <c r="K2191" s="140" t="s">
        <v>296</v>
      </c>
      <c r="L2191" s="141">
        <v>5</v>
      </c>
    </row>
    <row r="2192" spans="1:15" ht="17.25" customHeight="1" thickBot="1">
      <c r="A2192" s="126" t="str">
        <f t="shared" si="116"/>
        <v>2026/05</v>
      </c>
      <c r="B2192" s="127" t="str">
        <f t="shared" si="117"/>
        <v>2026/05忠孝7樓</v>
      </c>
      <c r="C2192" s="138">
        <v>157</v>
      </c>
      <c r="D2192" s="139" t="s">
        <v>424</v>
      </c>
      <c r="E2192" s="484" t="s">
        <v>294</v>
      </c>
      <c r="F2192" s="484"/>
      <c r="G2192" s="484" t="s">
        <v>295</v>
      </c>
      <c r="H2192" s="484"/>
      <c r="I2192" s="484"/>
      <c r="J2192" s="484"/>
      <c r="K2192" s="140" t="s">
        <v>296</v>
      </c>
      <c r="L2192" s="141">
        <v>1</v>
      </c>
    </row>
    <row r="2193" spans="1:12" ht="17.25" customHeight="1" thickBot="1">
      <c r="A2193" s="126" t="str">
        <f t="shared" si="116"/>
        <v>2026/05</v>
      </c>
      <c r="B2193" s="127" t="str">
        <f t="shared" si="117"/>
        <v>2026/05忠孝7樓</v>
      </c>
      <c r="C2193" s="138">
        <v>158</v>
      </c>
      <c r="D2193" s="139" t="s">
        <v>424</v>
      </c>
      <c r="E2193" s="484" t="s">
        <v>736</v>
      </c>
      <c r="F2193" s="484"/>
      <c r="G2193" s="484" t="s">
        <v>737</v>
      </c>
      <c r="H2193" s="484"/>
      <c r="I2193" s="484"/>
      <c r="J2193" s="484"/>
      <c r="K2193" s="140" t="s">
        <v>738</v>
      </c>
      <c r="L2193" s="141">
        <v>6</v>
      </c>
    </row>
    <row r="2194" spans="1:12" ht="17.25" customHeight="1" thickBot="1">
      <c r="A2194" s="126" t="str">
        <f t="shared" si="116"/>
        <v>2026/05</v>
      </c>
      <c r="B2194" s="127" t="str">
        <f t="shared" si="117"/>
        <v>2026/05忠孝7樓</v>
      </c>
      <c r="C2194" s="138">
        <v>159</v>
      </c>
      <c r="D2194" s="139" t="s">
        <v>424</v>
      </c>
      <c r="E2194" s="484" t="s">
        <v>237</v>
      </c>
      <c r="F2194" s="484"/>
      <c r="G2194" s="484" t="s">
        <v>238</v>
      </c>
      <c r="H2194" s="484"/>
      <c r="I2194" s="484"/>
      <c r="J2194" s="484"/>
      <c r="K2194" s="140" t="s">
        <v>239</v>
      </c>
      <c r="L2194" s="141">
        <v>838</v>
      </c>
    </row>
    <row r="2195" spans="1:12" ht="17.25" customHeight="1" thickBot="1">
      <c r="A2195" s="126" t="str">
        <f t="shared" si="116"/>
        <v>2026/05</v>
      </c>
      <c r="B2195" s="127" t="str">
        <f t="shared" si="117"/>
        <v>2026/05忠孝7樓</v>
      </c>
      <c r="C2195" s="138">
        <v>160</v>
      </c>
      <c r="D2195" s="139" t="s">
        <v>424</v>
      </c>
      <c r="E2195" s="484" t="s">
        <v>240</v>
      </c>
      <c r="F2195" s="484"/>
      <c r="G2195" s="484" t="s">
        <v>241</v>
      </c>
      <c r="H2195" s="484"/>
      <c r="I2195" s="484"/>
      <c r="J2195" s="484"/>
      <c r="K2195" s="140" t="s">
        <v>239</v>
      </c>
      <c r="L2195" s="141">
        <v>838</v>
      </c>
    </row>
    <row r="2196" spans="1:12" ht="17.25" customHeight="1" thickBot="1">
      <c r="A2196" s="126" t="str">
        <f t="shared" si="116"/>
        <v>2026/05</v>
      </c>
      <c r="B2196" s="127" t="str">
        <f t="shared" si="117"/>
        <v>2026/05忠孝7樓</v>
      </c>
      <c r="C2196" s="138">
        <v>161</v>
      </c>
      <c r="D2196" s="139" t="s">
        <v>424</v>
      </c>
      <c r="E2196" s="484" t="s">
        <v>242</v>
      </c>
      <c r="F2196" s="484"/>
      <c r="G2196" s="484" t="s">
        <v>243</v>
      </c>
      <c r="H2196" s="484"/>
      <c r="I2196" s="484"/>
      <c r="J2196" s="484"/>
      <c r="K2196" s="140" t="s">
        <v>239</v>
      </c>
      <c r="L2196" s="141">
        <v>838</v>
      </c>
    </row>
    <row r="2197" spans="1:12" ht="17.25" customHeight="1" thickBot="1">
      <c r="A2197" s="126" t="str">
        <f t="shared" si="116"/>
        <v>2026/05</v>
      </c>
      <c r="B2197" s="127" t="str">
        <f t="shared" si="117"/>
        <v>2026/05忠孝7樓</v>
      </c>
      <c r="C2197" s="138">
        <v>162</v>
      </c>
      <c r="D2197" s="139" t="s">
        <v>424</v>
      </c>
      <c r="E2197" s="484" t="s">
        <v>244</v>
      </c>
      <c r="F2197" s="484"/>
      <c r="G2197" s="484" t="s">
        <v>245</v>
      </c>
      <c r="H2197" s="484"/>
      <c r="I2197" s="484"/>
      <c r="J2197" s="484"/>
      <c r="K2197" s="140" t="s">
        <v>725</v>
      </c>
      <c r="L2197" s="141">
        <v>12570</v>
      </c>
    </row>
    <row r="2198" spans="1:12" ht="17.25" customHeight="1" thickBot="1">
      <c r="A2198" s="126" t="str">
        <f t="shared" si="116"/>
        <v>2026/05</v>
      </c>
      <c r="B2198" s="127" t="str">
        <f t="shared" si="117"/>
        <v>2026/05忠孝7樓</v>
      </c>
      <c r="C2198" s="138">
        <v>163</v>
      </c>
      <c r="D2198" s="139" t="s">
        <v>424</v>
      </c>
      <c r="E2198" s="484" t="s">
        <v>246</v>
      </c>
      <c r="F2198" s="484"/>
      <c r="G2198" s="484" t="s">
        <v>247</v>
      </c>
      <c r="H2198" s="484"/>
      <c r="I2198" s="484"/>
      <c r="J2198" s="484"/>
      <c r="K2198" s="140" t="s">
        <v>725</v>
      </c>
      <c r="L2198" s="141">
        <v>12570</v>
      </c>
    </row>
    <row r="2199" spans="1:12" ht="17.25" customHeight="1" thickBot="1">
      <c r="A2199" s="126" t="str">
        <f t="shared" si="116"/>
        <v>2026/05</v>
      </c>
      <c r="B2199" s="127" t="str">
        <f t="shared" si="117"/>
        <v>2026/05忠孝7樓</v>
      </c>
      <c r="C2199" s="138">
        <v>164</v>
      </c>
      <c r="D2199" s="139" t="s">
        <v>424</v>
      </c>
      <c r="E2199" s="484" t="s">
        <v>248</v>
      </c>
      <c r="F2199" s="484"/>
      <c r="G2199" s="484" t="s">
        <v>249</v>
      </c>
      <c r="H2199" s="484"/>
      <c r="I2199" s="484"/>
      <c r="J2199" s="484"/>
      <c r="K2199" s="140" t="s">
        <v>725</v>
      </c>
      <c r="L2199" s="141">
        <v>12570</v>
      </c>
    </row>
    <row r="2200" spans="1:12" ht="17.25" customHeight="1" thickBot="1">
      <c r="A2200" s="126" t="str">
        <f t="shared" si="116"/>
        <v>2026/05</v>
      </c>
      <c r="B2200" s="127" t="str">
        <f t="shared" si="117"/>
        <v>2026/05忠孝7樓</v>
      </c>
      <c r="C2200" s="138">
        <v>165</v>
      </c>
      <c r="D2200" s="139" t="s">
        <v>424</v>
      </c>
      <c r="E2200" s="484" t="s">
        <v>250</v>
      </c>
      <c r="F2200" s="484"/>
      <c r="G2200" s="484" t="s">
        <v>251</v>
      </c>
      <c r="H2200" s="484"/>
      <c r="I2200" s="484"/>
      <c r="J2200" s="484"/>
      <c r="K2200" s="140" t="s">
        <v>725</v>
      </c>
      <c r="L2200" s="141">
        <v>12570</v>
      </c>
    </row>
    <row r="2201" spans="1:12" ht="17.25" customHeight="1" thickBot="1">
      <c r="A2201" s="126" t="str">
        <f t="shared" si="116"/>
        <v>2026/05</v>
      </c>
      <c r="B2201" s="127" t="str">
        <f t="shared" si="117"/>
        <v>2026/05忠孝國際醫學3樓</v>
      </c>
      <c r="C2201" s="138">
        <v>166</v>
      </c>
      <c r="D2201" s="139" t="s">
        <v>850</v>
      </c>
      <c r="E2201" s="484" t="s">
        <v>392</v>
      </c>
      <c r="F2201" s="484"/>
      <c r="G2201" s="484" t="s">
        <v>916</v>
      </c>
      <c r="H2201" s="484"/>
      <c r="I2201" s="484"/>
      <c r="J2201" s="484"/>
      <c r="K2201" s="140" t="s">
        <v>382</v>
      </c>
      <c r="L2201" s="141">
        <v>2359</v>
      </c>
    </row>
    <row r="2202" spans="1:12" ht="17.25" customHeight="1" thickBot="1">
      <c r="A2202" s="126" t="str">
        <f t="shared" si="116"/>
        <v>2026/05</v>
      </c>
      <c r="B2202" s="127" t="str">
        <f t="shared" si="117"/>
        <v>2026/05忠孝國際醫學3樓</v>
      </c>
      <c r="C2202" s="138">
        <v>167</v>
      </c>
      <c r="D2202" s="139" t="s">
        <v>850</v>
      </c>
      <c r="E2202" s="484" t="s">
        <v>380</v>
      </c>
      <c r="F2202" s="484"/>
      <c r="G2202" s="484" t="s">
        <v>917</v>
      </c>
      <c r="H2202" s="484"/>
      <c r="I2202" s="484"/>
      <c r="J2202" s="484"/>
      <c r="K2202" s="140" t="s">
        <v>892</v>
      </c>
      <c r="L2202" s="141">
        <v>2619.5</v>
      </c>
    </row>
    <row r="2203" spans="1:12" ht="17.25" customHeight="1" thickBot="1">
      <c r="A2203" s="126" t="str">
        <f t="shared" si="116"/>
        <v>2026/05</v>
      </c>
      <c r="B2203" s="127" t="str">
        <f t="shared" si="117"/>
        <v>2026/05忠孝國際醫學3樓</v>
      </c>
      <c r="C2203" s="138">
        <v>168</v>
      </c>
      <c r="D2203" s="139" t="s">
        <v>850</v>
      </c>
      <c r="E2203" s="484" t="s">
        <v>413</v>
      </c>
      <c r="F2203" s="484"/>
      <c r="G2203" s="484" t="s">
        <v>918</v>
      </c>
      <c r="H2203" s="484"/>
      <c r="I2203" s="484"/>
      <c r="J2203" s="484"/>
      <c r="K2203" s="140" t="s">
        <v>410</v>
      </c>
      <c r="L2203" s="141">
        <v>4</v>
      </c>
    </row>
    <row r="2204" spans="1:12" ht="17.25" customHeight="1" thickBot="1">
      <c r="A2204" s="126" t="str">
        <f t="shared" si="116"/>
        <v>2026/05</v>
      </c>
      <c r="B2204" s="127" t="str">
        <f t="shared" si="117"/>
        <v>2026/05忠孝國際醫學3樓</v>
      </c>
      <c r="C2204" s="138">
        <v>169</v>
      </c>
      <c r="D2204" s="139" t="s">
        <v>850</v>
      </c>
      <c r="E2204" s="484" t="s">
        <v>360</v>
      </c>
      <c r="F2204" s="484"/>
      <c r="G2204" s="484" t="s">
        <v>361</v>
      </c>
      <c r="H2204" s="484"/>
      <c r="I2204" s="484"/>
      <c r="J2204" s="484"/>
      <c r="K2204" s="140" t="s">
        <v>362</v>
      </c>
      <c r="L2204" s="141">
        <v>18</v>
      </c>
    </row>
    <row r="2205" spans="1:12" ht="17.25" customHeight="1" thickBot="1">
      <c r="A2205" s="126" t="str">
        <f t="shared" si="116"/>
        <v>2026/05</v>
      </c>
      <c r="B2205" s="127" t="str">
        <f t="shared" si="117"/>
        <v>2026/05忠孝國際醫學3樓</v>
      </c>
      <c r="C2205" s="138">
        <v>170</v>
      </c>
      <c r="D2205" s="139" t="s">
        <v>850</v>
      </c>
      <c r="E2205" s="484" t="s">
        <v>383</v>
      </c>
      <c r="F2205" s="484"/>
      <c r="G2205" s="484" t="s">
        <v>384</v>
      </c>
      <c r="H2205" s="484"/>
      <c r="I2205" s="484"/>
      <c r="J2205" s="484"/>
      <c r="K2205" s="140" t="s">
        <v>385</v>
      </c>
      <c r="L2205" s="141">
        <v>534</v>
      </c>
    </row>
    <row r="2206" spans="1:12" ht="17.25" customHeight="1" thickBot="1">
      <c r="A2206" s="126" t="str">
        <f t="shared" si="116"/>
        <v>2026/05</v>
      </c>
      <c r="B2206" s="127" t="str">
        <f t="shared" si="117"/>
        <v>2026/05忠孝國際醫學3樓</v>
      </c>
      <c r="C2206" s="138">
        <v>171</v>
      </c>
      <c r="D2206" s="139" t="s">
        <v>850</v>
      </c>
      <c r="E2206" s="484" t="s">
        <v>394</v>
      </c>
      <c r="F2206" s="484"/>
      <c r="G2206" s="484" t="s">
        <v>395</v>
      </c>
      <c r="H2206" s="484"/>
      <c r="I2206" s="484"/>
      <c r="J2206" s="484"/>
      <c r="K2206" s="140" t="s">
        <v>272</v>
      </c>
      <c r="L2206" s="141">
        <v>7</v>
      </c>
    </row>
    <row r="2207" spans="1:12" ht="17.25" customHeight="1" thickBot="1">
      <c r="A2207" s="126" t="str">
        <f t="shared" si="116"/>
        <v>2026/05</v>
      </c>
      <c r="B2207" s="127" t="str">
        <f t="shared" si="117"/>
        <v>2026/05忠孝國際醫學3樓</v>
      </c>
      <c r="C2207" s="138">
        <v>172</v>
      </c>
      <c r="D2207" s="139" t="s">
        <v>850</v>
      </c>
      <c r="E2207" s="484" t="s">
        <v>396</v>
      </c>
      <c r="F2207" s="484"/>
      <c r="G2207" s="484" t="s">
        <v>397</v>
      </c>
      <c r="H2207" s="484"/>
      <c r="I2207" s="484"/>
      <c r="J2207" s="484"/>
      <c r="K2207" s="140" t="s">
        <v>398</v>
      </c>
      <c r="L2207" s="141">
        <v>3</v>
      </c>
    </row>
    <row r="2208" spans="1:12" ht="17.25" customHeight="1" thickBot="1">
      <c r="A2208" s="126" t="str">
        <f t="shared" si="116"/>
        <v>2026/05</v>
      </c>
      <c r="B2208" s="127" t="str">
        <f t="shared" si="117"/>
        <v>2026/05忠孝國際醫學3樓</v>
      </c>
      <c r="C2208" s="138">
        <v>173</v>
      </c>
      <c r="D2208" s="139" t="s">
        <v>850</v>
      </c>
      <c r="E2208" s="484" t="s">
        <v>403</v>
      </c>
      <c r="F2208" s="484"/>
      <c r="G2208" s="484" t="s">
        <v>404</v>
      </c>
      <c r="H2208" s="484"/>
      <c r="I2208" s="484"/>
      <c r="J2208" s="484"/>
      <c r="K2208" s="140" t="s">
        <v>385</v>
      </c>
      <c r="L2208" s="141">
        <v>4</v>
      </c>
    </row>
    <row r="2209" spans="1:12" ht="17.25" customHeight="1" thickBot="1">
      <c r="A2209" s="126" t="str">
        <f t="shared" si="116"/>
        <v>2026/05</v>
      </c>
      <c r="B2209" s="127" t="str">
        <f t="shared" si="117"/>
        <v>2026/05忠孝國際醫學3樓</v>
      </c>
      <c r="C2209" s="138">
        <v>174</v>
      </c>
      <c r="D2209" s="139" t="s">
        <v>850</v>
      </c>
      <c r="E2209" s="484" t="s">
        <v>406</v>
      </c>
      <c r="F2209" s="484"/>
      <c r="G2209" s="484" t="s">
        <v>407</v>
      </c>
      <c r="H2209" s="484"/>
      <c r="I2209" s="484"/>
      <c r="J2209" s="484"/>
      <c r="K2209" s="140" t="s">
        <v>385</v>
      </c>
      <c r="L2209" s="141">
        <v>4</v>
      </c>
    </row>
    <row r="2210" spans="1:12" ht="17.25" customHeight="1" thickBot="1">
      <c r="A2210" s="126" t="str">
        <f t="shared" si="116"/>
        <v>2026/05</v>
      </c>
      <c r="B2210" s="127" t="str">
        <f t="shared" si="117"/>
        <v>2026/05忠孝國際醫學3樓</v>
      </c>
      <c r="C2210" s="138">
        <v>175</v>
      </c>
      <c r="D2210" s="139" t="s">
        <v>850</v>
      </c>
      <c r="E2210" s="484" t="s">
        <v>408</v>
      </c>
      <c r="F2210" s="484"/>
      <c r="G2210" s="484" t="s">
        <v>409</v>
      </c>
      <c r="H2210" s="484"/>
      <c r="I2210" s="484"/>
      <c r="J2210" s="484"/>
      <c r="K2210" s="140" t="s">
        <v>410</v>
      </c>
      <c r="L2210" s="141">
        <v>3</v>
      </c>
    </row>
    <row r="2211" spans="1:12" ht="17.25" customHeight="1" thickBot="1">
      <c r="A2211" s="126" t="str">
        <f t="shared" si="116"/>
        <v>2026/05</v>
      </c>
      <c r="B2211" s="127" t="str">
        <f t="shared" si="117"/>
        <v>2026/05忠孝國際醫學3樓</v>
      </c>
      <c r="C2211" s="138">
        <v>176</v>
      </c>
      <c r="D2211" s="139" t="s">
        <v>850</v>
      </c>
      <c r="E2211" s="484" t="s">
        <v>255</v>
      </c>
      <c r="F2211" s="484"/>
      <c r="G2211" s="484" t="s">
        <v>256</v>
      </c>
      <c r="H2211" s="484"/>
      <c r="I2211" s="484"/>
      <c r="J2211" s="484"/>
      <c r="K2211" s="140" t="s">
        <v>720</v>
      </c>
      <c r="L2211" s="141">
        <v>524</v>
      </c>
    </row>
    <row r="2212" spans="1:12" ht="17.25" customHeight="1" thickBot="1">
      <c r="A2212" s="126" t="str">
        <f t="shared" si="116"/>
        <v>2026/05</v>
      </c>
      <c r="B2212" s="127" t="str">
        <f t="shared" si="117"/>
        <v>2026/05忠孝國際醫學3樓</v>
      </c>
      <c r="C2212" s="138">
        <v>177</v>
      </c>
      <c r="D2212" s="139" t="s">
        <v>850</v>
      </c>
      <c r="E2212" s="484" t="s">
        <v>419</v>
      </c>
      <c r="F2212" s="484"/>
      <c r="G2212" s="484" t="s">
        <v>420</v>
      </c>
      <c r="H2212" s="484"/>
      <c r="I2212" s="484"/>
      <c r="J2212" s="484"/>
      <c r="K2212" s="140" t="s">
        <v>726</v>
      </c>
      <c r="L2212" s="141">
        <v>1663</v>
      </c>
    </row>
    <row r="2213" spans="1:12" ht="17.25" customHeight="1" thickBot="1">
      <c r="A2213" s="126" t="str">
        <f t="shared" si="116"/>
        <v>2026/05</v>
      </c>
      <c r="B2213" s="127" t="str">
        <f t="shared" si="117"/>
        <v>2026/05忠孝國際醫學3樓</v>
      </c>
      <c r="C2213" s="138">
        <v>178</v>
      </c>
      <c r="D2213" s="139" t="s">
        <v>850</v>
      </c>
      <c r="E2213" s="484" t="s">
        <v>258</v>
      </c>
      <c r="F2213" s="484"/>
      <c r="G2213" s="484" t="s">
        <v>259</v>
      </c>
      <c r="H2213" s="484"/>
      <c r="I2213" s="484"/>
      <c r="J2213" s="484"/>
      <c r="K2213" s="140"/>
      <c r="L2213" s="141">
        <v>15</v>
      </c>
    </row>
    <row r="2214" spans="1:12" ht="17.25" customHeight="1" thickBot="1">
      <c r="A2214" s="126" t="str">
        <f t="shared" si="116"/>
        <v>2026/05</v>
      </c>
      <c r="B2214" s="127" t="str">
        <f t="shared" si="117"/>
        <v>2026/05忠孝國際醫學3樓</v>
      </c>
      <c r="C2214" s="138">
        <v>179</v>
      </c>
      <c r="D2214" s="139" t="s">
        <v>850</v>
      </c>
      <c r="E2214" s="484" t="s">
        <v>260</v>
      </c>
      <c r="F2214" s="484"/>
      <c r="G2214" s="484" t="s">
        <v>261</v>
      </c>
      <c r="H2214" s="484"/>
      <c r="I2214" s="484"/>
      <c r="J2214" s="484"/>
      <c r="K2214" s="140" t="s">
        <v>254</v>
      </c>
      <c r="L2214" s="141">
        <v>15</v>
      </c>
    </row>
    <row r="2215" spans="1:12" ht="17.25" customHeight="1" thickBot="1">
      <c r="A2215" s="126" t="str">
        <f t="shared" si="116"/>
        <v>2026/05</v>
      </c>
      <c r="B2215" s="127" t="str">
        <f t="shared" si="117"/>
        <v>2026/05忠孝國際醫學3樓</v>
      </c>
      <c r="C2215" s="138">
        <v>180</v>
      </c>
      <c r="D2215" s="139" t="s">
        <v>850</v>
      </c>
      <c r="E2215" s="484" t="s">
        <v>415</v>
      </c>
      <c r="F2215" s="484"/>
      <c r="G2215" s="484" t="s">
        <v>416</v>
      </c>
      <c r="H2215" s="484"/>
      <c r="I2215" s="484"/>
      <c r="J2215" s="484"/>
      <c r="K2215" s="140" t="s">
        <v>254</v>
      </c>
      <c r="L2215" s="141">
        <v>1</v>
      </c>
    </row>
    <row r="2216" spans="1:12" ht="17.25" customHeight="1" thickBot="1">
      <c r="A2216" s="126" t="str">
        <f t="shared" si="116"/>
        <v>2026/05</v>
      </c>
      <c r="B2216" s="127" t="str">
        <f t="shared" si="117"/>
        <v>2026/05忠孝國際醫學3樓</v>
      </c>
      <c r="C2216" s="138">
        <v>181</v>
      </c>
      <c r="D2216" s="139" t="s">
        <v>850</v>
      </c>
      <c r="E2216" s="484" t="s">
        <v>252</v>
      </c>
      <c r="F2216" s="484"/>
      <c r="G2216" s="484" t="s">
        <v>253</v>
      </c>
      <c r="H2216" s="484"/>
      <c r="I2216" s="484"/>
      <c r="J2216" s="484"/>
      <c r="K2216" s="140" t="s">
        <v>254</v>
      </c>
      <c r="L2216" s="141">
        <v>18</v>
      </c>
    </row>
    <row r="2217" spans="1:12" ht="17.25" customHeight="1" thickBot="1">
      <c r="A2217" s="126" t="str">
        <f t="shared" si="116"/>
        <v>2026/05</v>
      </c>
      <c r="B2217" s="127" t="str">
        <f t="shared" si="117"/>
        <v>2026/05忠孝國際醫學3樓</v>
      </c>
      <c r="C2217" s="138">
        <v>182</v>
      </c>
      <c r="D2217" s="139" t="s">
        <v>850</v>
      </c>
      <c r="E2217" s="484" t="s">
        <v>690</v>
      </c>
      <c r="F2217" s="484"/>
      <c r="G2217" s="484" t="s">
        <v>911</v>
      </c>
      <c r="H2217" s="484"/>
      <c r="I2217" s="484"/>
      <c r="J2217" s="484"/>
      <c r="K2217" s="140" t="s">
        <v>692</v>
      </c>
      <c r="L2217" s="141">
        <v>7</v>
      </c>
    </row>
    <row r="2218" spans="1:12" ht="17.25" customHeight="1" thickBot="1">
      <c r="A2218" s="126" t="str">
        <f t="shared" si="116"/>
        <v>2026/05</v>
      </c>
      <c r="B2218" s="127" t="str">
        <f t="shared" si="117"/>
        <v>2026/05忠孝國際醫學3樓</v>
      </c>
      <c r="C2218" s="138">
        <v>183</v>
      </c>
      <c r="D2218" s="139" t="s">
        <v>850</v>
      </c>
      <c r="E2218" s="484" t="s">
        <v>386</v>
      </c>
      <c r="F2218" s="484"/>
      <c r="G2218" s="484" t="s">
        <v>387</v>
      </c>
      <c r="H2218" s="484"/>
      <c r="I2218" s="484"/>
      <c r="J2218" s="484"/>
      <c r="K2218" s="140" t="s">
        <v>388</v>
      </c>
      <c r="L2218" s="141">
        <v>5184</v>
      </c>
    </row>
    <row r="2219" spans="1:12" ht="17.25" customHeight="1" thickBot="1">
      <c r="A2219" s="126" t="str">
        <f t="shared" si="116"/>
        <v>2026/05</v>
      </c>
      <c r="B2219" s="127" t="str">
        <f t="shared" si="117"/>
        <v>2026/05忠孝國際醫學3樓</v>
      </c>
      <c r="C2219" s="138">
        <v>184</v>
      </c>
      <c r="D2219" s="139" t="s">
        <v>850</v>
      </c>
      <c r="E2219" s="484" t="s">
        <v>401</v>
      </c>
      <c r="F2219" s="484"/>
      <c r="G2219" s="484" t="s">
        <v>919</v>
      </c>
      <c r="H2219" s="484"/>
      <c r="I2219" s="484"/>
      <c r="J2219" s="484"/>
      <c r="K2219" s="140" t="s">
        <v>145</v>
      </c>
      <c r="L2219" s="141">
        <v>5</v>
      </c>
    </row>
    <row r="2220" spans="1:12" ht="17.25" customHeight="1" thickBot="1">
      <c r="A2220" s="126" t="str">
        <f t="shared" si="116"/>
        <v>2026/05</v>
      </c>
      <c r="B2220" s="127" t="str">
        <f t="shared" si="117"/>
        <v>2026/05忠孝國際醫學3樓</v>
      </c>
      <c r="C2220" s="138">
        <v>185</v>
      </c>
      <c r="D2220" s="139" t="s">
        <v>850</v>
      </c>
      <c r="E2220" s="484" t="s">
        <v>417</v>
      </c>
      <c r="F2220" s="484"/>
      <c r="G2220" s="484" t="s">
        <v>920</v>
      </c>
      <c r="H2220" s="484"/>
      <c r="I2220" s="484"/>
      <c r="J2220" s="484"/>
      <c r="K2220" s="140" t="s">
        <v>145</v>
      </c>
      <c r="L2220" s="141">
        <v>4</v>
      </c>
    </row>
    <row r="2221" spans="1:12" ht="17.25" customHeight="1" thickBot="1">
      <c r="A2221" s="126" t="str">
        <f t="shared" si="116"/>
        <v>2026/05</v>
      </c>
      <c r="B2221" s="127" t="str">
        <f t="shared" si="117"/>
        <v>2026/05忠孝國際醫學3樓</v>
      </c>
      <c r="C2221" s="138">
        <v>186</v>
      </c>
      <c r="D2221" s="139" t="s">
        <v>850</v>
      </c>
      <c r="E2221" s="484" t="s">
        <v>451</v>
      </c>
      <c r="F2221" s="484"/>
      <c r="G2221" s="484" t="s">
        <v>960</v>
      </c>
      <c r="H2221" s="484"/>
      <c r="I2221" s="484"/>
      <c r="J2221" s="484"/>
      <c r="K2221" s="140" t="s">
        <v>145</v>
      </c>
      <c r="L2221" s="141">
        <v>2</v>
      </c>
    </row>
    <row r="2222" spans="1:12" ht="17.25" customHeight="1" thickBot="1">
      <c r="A2222" s="126" t="str">
        <f t="shared" si="116"/>
        <v>2026/05</v>
      </c>
      <c r="B2222" s="127" t="str">
        <f t="shared" si="117"/>
        <v>2026/05忠孝國際醫學3樓</v>
      </c>
      <c r="C2222" s="138">
        <v>187</v>
      </c>
      <c r="D2222" s="139" t="s">
        <v>850</v>
      </c>
      <c r="E2222" s="484" t="s">
        <v>375</v>
      </c>
      <c r="F2222" s="484"/>
      <c r="G2222" s="484" t="s">
        <v>925</v>
      </c>
      <c r="H2222" s="484"/>
      <c r="I2222" s="484"/>
      <c r="J2222" s="484"/>
      <c r="K2222" s="140" t="s">
        <v>433</v>
      </c>
      <c r="L2222" s="141">
        <v>2</v>
      </c>
    </row>
    <row r="2223" spans="1:12" ht="17.25" customHeight="1" thickBot="1">
      <c r="A2223" s="126" t="str">
        <f t="shared" si="116"/>
        <v>2026/05</v>
      </c>
      <c r="B2223" s="127" t="str">
        <f t="shared" si="117"/>
        <v>2026/05忠孝國際醫學3樓</v>
      </c>
      <c r="C2223" s="138">
        <v>188</v>
      </c>
      <c r="D2223" s="139" t="s">
        <v>850</v>
      </c>
      <c r="E2223" s="484" t="s">
        <v>399</v>
      </c>
      <c r="F2223" s="484"/>
      <c r="G2223" s="484" t="s">
        <v>921</v>
      </c>
      <c r="H2223" s="484"/>
      <c r="I2223" s="484"/>
      <c r="J2223" s="484"/>
      <c r="K2223" s="140" t="s">
        <v>433</v>
      </c>
      <c r="L2223" s="141">
        <v>1</v>
      </c>
    </row>
    <row r="2224" spans="1:12" ht="17.25" customHeight="1" thickBot="1">
      <c r="A2224" s="126" t="str">
        <f t="shared" si="116"/>
        <v>2026/05</v>
      </c>
      <c r="B2224" s="127" t="str">
        <f t="shared" si="117"/>
        <v>2026/05忠孝國際醫學3樓</v>
      </c>
      <c r="C2224" s="138">
        <v>189</v>
      </c>
      <c r="D2224" s="139" t="s">
        <v>850</v>
      </c>
      <c r="E2224" s="484" t="s">
        <v>431</v>
      </c>
      <c r="F2224" s="484"/>
      <c r="G2224" s="484" t="s">
        <v>922</v>
      </c>
      <c r="H2224" s="484"/>
      <c r="I2224" s="484"/>
      <c r="J2224" s="484"/>
      <c r="K2224" s="140" t="s">
        <v>746</v>
      </c>
      <c r="L2224" s="141">
        <v>2080.6999999999998</v>
      </c>
    </row>
    <row r="2225" spans="1:12" ht="17.25" customHeight="1" thickBot="1">
      <c r="A2225" s="126" t="str">
        <f t="shared" si="116"/>
        <v>2026/05</v>
      </c>
      <c r="B2225" s="127" t="str">
        <f t="shared" si="117"/>
        <v>2026/05忠孝國際醫學3樓</v>
      </c>
      <c r="C2225" s="138">
        <v>190</v>
      </c>
      <c r="D2225" s="139" t="s">
        <v>850</v>
      </c>
      <c r="E2225" s="484" t="s">
        <v>701</v>
      </c>
      <c r="F2225" s="484"/>
      <c r="G2225" s="484" t="s">
        <v>926</v>
      </c>
      <c r="H2225" s="484"/>
      <c r="I2225" s="484"/>
      <c r="J2225" s="484"/>
      <c r="K2225" s="140" t="s">
        <v>849</v>
      </c>
      <c r="L2225" s="141">
        <v>7</v>
      </c>
    </row>
    <row r="2226" spans="1:12" ht="17.25" customHeight="1" thickBot="1">
      <c r="A2226" s="126" t="str">
        <f t="shared" si="116"/>
        <v>2026/05</v>
      </c>
      <c r="B2226" s="127" t="str">
        <f t="shared" si="117"/>
        <v>2026/05忠孝國際醫學3樓</v>
      </c>
      <c r="C2226" s="138">
        <v>191</v>
      </c>
      <c r="D2226" s="139" t="s">
        <v>850</v>
      </c>
      <c r="E2226" s="484" t="s">
        <v>693</v>
      </c>
      <c r="F2226" s="484"/>
      <c r="G2226" s="484" t="s">
        <v>927</v>
      </c>
      <c r="H2226" s="484"/>
      <c r="I2226" s="484"/>
      <c r="J2226" s="484"/>
      <c r="K2226" s="140" t="s">
        <v>747</v>
      </c>
      <c r="L2226" s="141">
        <v>8</v>
      </c>
    </row>
    <row r="2227" spans="1:12" ht="17.25" customHeight="1" thickBot="1">
      <c r="A2227" s="126" t="str">
        <f t="shared" si="116"/>
        <v>2026/05</v>
      </c>
      <c r="B2227" s="127" t="str">
        <f t="shared" si="117"/>
        <v>2026/05忠孝國際醫學3樓</v>
      </c>
      <c r="C2227" s="138">
        <v>192</v>
      </c>
      <c r="D2227" s="139" t="s">
        <v>850</v>
      </c>
      <c r="E2227" s="484" t="s">
        <v>976</v>
      </c>
      <c r="F2227" s="484"/>
      <c r="G2227" s="484" t="s">
        <v>977</v>
      </c>
      <c r="H2227" s="484"/>
      <c r="I2227" s="484"/>
      <c r="J2227" s="484"/>
      <c r="K2227" s="140" t="s">
        <v>978</v>
      </c>
      <c r="L2227" s="141">
        <v>6</v>
      </c>
    </row>
    <row r="2228" spans="1:12" ht="17.25" customHeight="1" thickBot="1">
      <c r="A2228" s="126" t="str">
        <f t="shared" si="116"/>
        <v>2026/05</v>
      </c>
      <c r="B2228" s="127" t="str">
        <f t="shared" si="117"/>
        <v>2026/05忠孝健康7樓</v>
      </c>
      <c r="C2228" s="138">
        <v>193</v>
      </c>
      <c r="D2228" s="139" t="s">
        <v>861</v>
      </c>
      <c r="E2228" s="484" t="s">
        <v>974</v>
      </c>
      <c r="F2228" s="484"/>
      <c r="G2228" s="484" t="s">
        <v>968</v>
      </c>
      <c r="H2228" s="484"/>
      <c r="I2228" s="484"/>
      <c r="J2228" s="484"/>
      <c r="K2228" s="140" t="s">
        <v>342</v>
      </c>
      <c r="L2228" s="141">
        <v>2</v>
      </c>
    </row>
    <row r="2229" spans="1:12" ht="17.25" customHeight="1" thickBot="1">
      <c r="A2229" s="126" t="str">
        <f t="shared" ref="A2229:A2238" si="118">IFERROR(LEFT(B2229,7),"")</f>
        <v>2026/05</v>
      </c>
      <c r="B2229" s="127" t="str">
        <f t="shared" ref="B2229:B2238" si="119">"2026/05"&amp;D2229</f>
        <v>2026/05忠孝健康7樓</v>
      </c>
      <c r="C2229" s="138">
        <v>194</v>
      </c>
      <c r="D2229" s="139" t="s">
        <v>861</v>
      </c>
      <c r="E2229" s="484" t="s">
        <v>979</v>
      </c>
      <c r="F2229" s="484"/>
      <c r="G2229" s="484" t="s">
        <v>980</v>
      </c>
      <c r="H2229" s="484"/>
      <c r="I2229" s="484"/>
      <c r="J2229" s="484"/>
      <c r="K2229" s="140" t="s">
        <v>888</v>
      </c>
      <c r="L2229" s="141">
        <v>2</v>
      </c>
    </row>
    <row r="2230" spans="1:12" ht="17.25" customHeight="1" thickBot="1">
      <c r="A2230" s="126" t="str">
        <f t="shared" si="118"/>
        <v>2026/05</v>
      </c>
      <c r="B2230" s="127" t="str">
        <f t="shared" si="119"/>
        <v>2026/05忠孝健康7樓</v>
      </c>
      <c r="C2230" s="138">
        <v>195</v>
      </c>
      <c r="D2230" s="139" t="s">
        <v>861</v>
      </c>
      <c r="E2230" s="484" t="s">
        <v>899</v>
      </c>
      <c r="F2230" s="484"/>
      <c r="G2230" s="484" t="s">
        <v>943</v>
      </c>
      <c r="H2230" s="484"/>
      <c r="I2230" s="484"/>
      <c r="J2230" s="484"/>
      <c r="K2230" s="140" t="s">
        <v>888</v>
      </c>
      <c r="L2230" s="141">
        <v>650</v>
      </c>
    </row>
    <row r="2231" spans="1:12" ht="17.25" customHeight="1" thickBot="1">
      <c r="A2231" s="126" t="str">
        <f t="shared" si="118"/>
        <v>2026/05</v>
      </c>
      <c r="B2231" s="127" t="str">
        <f t="shared" si="119"/>
        <v>2026/05忠孝健康7樓</v>
      </c>
      <c r="C2231" s="138">
        <v>196</v>
      </c>
      <c r="D2231" s="139" t="s">
        <v>861</v>
      </c>
      <c r="E2231" s="484" t="s">
        <v>908</v>
      </c>
      <c r="F2231" s="484"/>
      <c r="G2231" s="484" t="s">
        <v>909</v>
      </c>
      <c r="H2231" s="484"/>
      <c r="I2231" s="484"/>
      <c r="J2231" s="484"/>
      <c r="K2231" s="140" t="s">
        <v>910</v>
      </c>
      <c r="L2231" s="141">
        <v>20</v>
      </c>
    </row>
    <row r="2232" spans="1:12" ht="17.25" customHeight="1" thickBot="1">
      <c r="A2232" s="126" t="str">
        <f t="shared" si="118"/>
        <v>2026/05</v>
      </c>
      <c r="B2232" s="127" t="str">
        <f t="shared" si="119"/>
        <v>2026/05忠孝健康7樓</v>
      </c>
      <c r="C2232" s="138">
        <v>197</v>
      </c>
      <c r="D2232" s="139" t="s">
        <v>861</v>
      </c>
      <c r="E2232" s="484" t="s">
        <v>360</v>
      </c>
      <c r="F2232" s="484"/>
      <c r="G2232" s="484" t="s">
        <v>361</v>
      </c>
      <c r="H2232" s="484"/>
      <c r="I2232" s="484"/>
      <c r="J2232" s="484"/>
      <c r="K2232" s="140" t="s">
        <v>362</v>
      </c>
      <c r="L2232" s="141">
        <v>12</v>
      </c>
    </row>
    <row r="2233" spans="1:12" ht="17.25" customHeight="1" thickBot="1">
      <c r="A2233" s="126" t="str">
        <f t="shared" si="118"/>
        <v>2026/05</v>
      </c>
      <c r="B2233" s="127" t="str">
        <f t="shared" si="119"/>
        <v>2026/05忠孝健康7樓</v>
      </c>
      <c r="C2233" s="138">
        <v>198</v>
      </c>
      <c r="D2233" s="139" t="s">
        <v>861</v>
      </c>
      <c r="E2233" s="484" t="s">
        <v>383</v>
      </c>
      <c r="F2233" s="484"/>
      <c r="G2233" s="484" t="s">
        <v>384</v>
      </c>
      <c r="H2233" s="484"/>
      <c r="I2233" s="484"/>
      <c r="J2233" s="484"/>
      <c r="K2233" s="140" t="s">
        <v>385</v>
      </c>
      <c r="L2233" s="141">
        <v>16</v>
      </c>
    </row>
    <row r="2234" spans="1:12" ht="17.25" customHeight="1" thickBot="1">
      <c r="A2234" s="126" t="str">
        <f t="shared" si="118"/>
        <v>2026/05</v>
      </c>
      <c r="B2234" s="127" t="str">
        <f t="shared" si="119"/>
        <v>2026/05忠孝健康7樓</v>
      </c>
      <c r="C2234" s="138">
        <v>199</v>
      </c>
      <c r="D2234" s="139" t="s">
        <v>861</v>
      </c>
      <c r="E2234" s="484" t="s">
        <v>394</v>
      </c>
      <c r="F2234" s="484"/>
      <c r="G2234" s="484" t="s">
        <v>395</v>
      </c>
      <c r="H2234" s="484"/>
      <c r="I2234" s="484"/>
      <c r="J2234" s="484"/>
      <c r="K2234" s="140" t="s">
        <v>272</v>
      </c>
      <c r="L2234" s="141">
        <v>4</v>
      </c>
    </row>
    <row r="2235" spans="1:12" ht="17.25" customHeight="1" thickBot="1">
      <c r="A2235" s="126" t="str">
        <f t="shared" si="118"/>
        <v>2026/05</v>
      </c>
      <c r="B2235" s="127" t="str">
        <f t="shared" si="119"/>
        <v>2026/05忠孝健康7樓</v>
      </c>
      <c r="C2235" s="138">
        <v>200</v>
      </c>
      <c r="D2235" s="139" t="s">
        <v>861</v>
      </c>
      <c r="E2235" s="484" t="s">
        <v>255</v>
      </c>
      <c r="F2235" s="484"/>
      <c r="G2235" s="484" t="s">
        <v>256</v>
      </c>
      <c r="H2235" s="484"/>
      <c r="I2235" s="484"/>
      <c r="J2235" s="484"/>
      <c r="K2235" s="140" t="s">
        <v>720</v>
      </c>
      <c r="L2235" s="141">
        <v>47</v>
      </c>
    </row>
    <row r="2236" spans="1:12" ht="17.25" customHeight="1" thickBot="1">
      <c r="A2236" s="126" t="str">
        <f t="shared" si="118"/>
        <v>2026/05</v>
      </c>
      <c r="B2236" s="127" t="str">
        <f t="shared" si="119"/>
        <v>2026/05忠孝健康7樓</v>
      </c>
      <c r="C2236" s="138">
        <v>201</v>
      </c>
      <c r="D2236" s="139" t="s">
        <v>861</v>
      </c>
      <c r="E2236" s="484" t="s">
        <v>258</v>
      </c>
      <c r="F2236" s="484"/>
      <c r="G2236" s="484" t="s">
        <v>259</v>
      </c>
      <c r="H2236" s="484"/>
      <c r="I2236" s="484"/>
      <c r="J2236" s="484"/>
      <c r="K2236" s="140"/>
      <c r="L2236" s="141">
        <v>59</v>
      </c>
    </row>
    <row r="2237" spans="1:12" ht="17.25" customHeight="1" thickBot="1">
      <c r="A2237" s="126" t="str">
        <f t="shared" si="118"/>
        <v>2026/05</v>
      </c>
      <c r="B2237" s="127" t="str">
        <f t="shared" si="119"/>
        <v>2026/05忠孝健康7樓</v>
      </c>
      <c r="C2237" s="138">
        <v>202</v>
      </c>
      <c r="D2237" s="139" t="s">
        <v>861</v>
      </c>
      <c r="E2237" s="484" t="s">
        <v>260</v>
      </c>
      <c r="F2237" s="484"/>
      <c r="G2237" s="484" t="s">
        <v>261</v>
      </c>
      <c r="H2237" s="484"/>
      <c r="I2237" s="484"/>
      <c r="J2237" s="484"/>
      <c r="K2237" s="140" t="s">
        <v>254</v>
      </c>
      <c r="L2237" s="141">
        <v>55</v>
      </c>
    </row>
    <row r="2238" spans="1:12" ht="17.25" customHeight="1" thickBot="1">
      <c r="A2238" s="126" t="str">
        <f t="shared" si="118"/>
        <v>2026/05</v>
      </c>
      <c r="B2238" s="127" t="str">
        <f t="shared" si="119"/>
        <v>2026/05忠孝健康7樓</v>
      </c>
      <c r="C2238" s="138">
        <v>203</v>
      </c>
      <c r="D2238" s="139" t="s">
        <v>861</v>
      </c>
      <c r="E2238" s="484" t="s">
        <v>415</v>
      </c>
      <c r="F2238" s="484"/>
      <c r="G2238" s="484" t="s">
        <v>416</v>
      </c>
      <c r="H2238" s="484"/>
      <c r="I2238" s="484"/>
      <c r="J2238" s="484"/>
      <c r="K2238" s="140" t="s">
        <v>254</v>
      </c>
      <c r="L2238" s="141">
        <v>4</v>
      </c>
    </row>
    <row r="2239" spans="1:12" ht="17.25" customHeight="1" thickBot="1">
      <c r="A2239" s="126" t="str">
        <f t="shared" ref="A2239:A2269" si="120">IFERROR(LEFT(B2239,7),"")</f>
        <v>2026/05</v>
      </c>
      <c r="B2239" s="127" t="str">
        <f t="shared" ref="B2239:B2269" si="121">"2026/05"&amp;D2239</f>
        <v>2026/05忠孝健康7樓</v>
      </c>
      <c r="C2239" s="138">
        <v>204</v>
      </c>
      <c r="D2239" s="139" t="s">
        <v>861</v>
      </c>
      <c r="E2239" s="484" t="s">
        <v>262</v>
      </c>
      <c r="F2239" s="484"/>
      <c r="G2239" s="484" t="s">
        <v>263</v>
      </c>
      <c r="H2239" s="484"/>
      <c r="I2239" s="484"/>
      <c r="J2239" s="484"/>
      <c r="K2239" s="140" t="s">
        <v>254</v>
      </c>
      <c r="L2239" s="141">
        <v>82</v>
      </c>
    </row>
    <row r="2240" spans="1:12" ht="17.25" customHeight="1" thickBot="1">
      <c r="A2240" s="126" t="str">
        <f t="shared" si="120"/>
        <v>2026/05</v>
      </c>
      <c r="B2240" s="127" t="str">
        <f t="shared" si="121"/>
        <v>2026/05忠孝健康7樓</v>
      </c>
      <c r="C2240" s="138">
        <v>205</v>
      </c>
      <c r="D2240" s="139" t="s">
        <v>861</v>
      </c>
      <c r="E2240" s="484" t="s">
        <v>270</v>
      </c>
      <c r="F2240" s="484"/>
      <c r="G2240" s="484" t="s">
        <v>271</v>
      </c>
      <c r="H2240" s="484"/>
      <c r="I2240" s="484"/>
      <c r="J2240" s="484"/>
      <c r="K2240" s="140" t="s">
        <v>272</v>
      </c>
      <c r="L2240" s="141">
        <v>17</v>
      </c>
    </row>
    <row r="2241" spans="1:12" ht="17.25" customHeight="1" thickBot="1">
      <c r="A2241" s="126" t="str">
        <f t="shared" si="120"/>
        <v>2026/05</v>
      </c>
      <c r="B2241" s="127" t="str">
        <f t="shared" si="121"/>
        <v>2026/05忠孝健康7樓</v>
      </c>
      <c r="C2241" s="138">
        <v>206</v>
      </c>
      <c r="D2241" s="139" t="s">
        <v>861</v>
      </c>
      <c r="E2241" s="484" t="s">
        <v>252</v>
      </c>
      <c r="F2241" s="484"/>
      <c r="G2241" s="484" t="s">
        <v>253</v>
      </c>
      <c r="H2241" s="484"/>
      <c r="I2241" s="484"/>
      <c r="J2241" s="484"/>
      <c r="K2241" s="140" t="s">
        <v>254</v>
      </c>
      <c r="L2241" s="141">
        <v>80</v>
      </c>
    </row>
    <row r="2242" spans="1:12" ht="17.25" customHeight="1" thickBot="1">
      <c r="A2242" s="126" t="str">
        <f t="shared" si="120"/>
        <v>2026/05</v>
      </c>
      <c r="B2242" s="127" t="str">
        <f t="shared" si="121"/>
        <v>2026/05忠孝健康7樓</v>
      </c>
      <c r="C2242" s="138">
        <v>207</v>
      </c>
      <c r="D2242" s="139" t="s">
        <v>861</v>
      </c>
      <c r="E2242" s="484" t="s">
        <v>695</v>
      </c>
      <c r="F2242" s="484"/>
      <c r="G2242" s="484" t="s">
        <v>696</v>
      </c>
      <c r="H2242" s="484"/>
      <c r="I2242" s="484"/>
      <c r="J2242" s="484"/>
      <c r="K2242" s="140" t="s">
        <v>254</v>
      </c>
      <c r="L2242" s="141">
        <v>4</v>
      </c>
    </row>
    <row r="2243" spans="1:12" ht="17.25" customHeight="1" thickBot="1">
      <c r="A2243" s="126" t="str">
        <f t="shared" si="120"/>
        <v>2026/05</v>
      </c>
      <c r="B2243" s="127" t="str">
        <f t="shared" si="121"/>
        <v>2026/05忠孝健康7樓</v>
      </c>
      <c r="C2243" s="138">
        <v>208</v>
      </c>
      <c r="D2243" s="139" t="s">
        <v>861</v>
      </c>
      <c r="E2243" s="484" t="s">
        <v>690</v>
      </c>
      <c r="F2243" s="484"/>
      <c r="G2243" s="484" t="s">
        <v>911</v>
      </c>
      <c r="H2243" s="484"/>
      <c r="I2243" s="484"/>
      <c r="J2243" s="484"/>
      <c r="K2243" s="140" t="s">
        <v>692</v>
      </c>
      <c r="L2243" s="141">
        <v>12</v>
      </c>
    </row>
    <row r="2244" spans="1:12" ht="17.25" customHeight="1" thickBot="1">
      <c r="A2244" s="126" t="str">
        <f t="shared" si="120"/>
        <v>2026/05</v>
      </c>
      <c r="B2244" s="127" t="str">
        <f t="shared" si="121"/>
        <v>2026/05忠孝健康7樓</v>
      </c>
      <c r="C2244" s="138">
        <v>209</v>
      </c>
      <c r="D2244" s="139" t="s">
        <v>861</v>
      </c>
      <c r="E2244" s="484" t="s">
        <v>305</v>
      </c>
      <c r="F2244" s="484"/>
      <c r="G2244" s="484" t="s">
        <v>877</v>
      </c>
      <c r="H2244" s="484"/>
      <c r="I2244" s="484"/>
      <c r="J2244" s="484"/>
      <c r="K2244" s="140" t="s">
        <v>676</v>
      </c>
      <c r="L2244" s="141">
        <v>1134</v>
      </c>
    </row>
    <row r="2245" spans="1:12" ht="17.25" customHeight="1" thickBot="1">
      <c r="A2245" s="126" t="str">
        <f t="shared" si="120"/>
        <v>2026/05</v>
      </c>
      <c r="B2245" s="127" t="str">
        <f t="shared" si="121"/>
        <v>2026/05忠孝健康7樓</v>
      </c>
      <c r="C2245" s="138">
        <v>210</v>
      </c>
      <c r="D2245" s="139" t="s">
        <v>861</v>
      </c>
      <c r="E2245" s="484" t="s">
        <v>264</v>
      </c>
      <c r="F2245" s="484"/>
      <c r="G2245" s="484" t="s">
        <v>677</v>
      </c>
      <c r="H2245" s="484"/>
      <c r="I2245" s="484"/>
      <c r="J2245" s="484"/>
      <c r="K2245" s="140" t="s">
        <v>678</v>
      </c>
      <c r="L2245" s="141">
        <v>4409</v>
      </c>
    </row>
    <row r="2246" spans="1:12" ht="17.25" customHeight="1" thickBot="1">
      <c r="A2246" s="126" t="str">
        <f t="shared" si="120"/>
        <v>2026/05</v>
      </c>
      <c r="B2246" s="127" t="str">
        <f t="shared" si="121"/>
        <v>2026/05忠孝健康7樓</v>
      </c>
      <c r="C2246" s="138">
        <v>211</v>
      </c>
      <c r="D2246" s="139" t="s">
        <v>861</v>
      </c>
      <c r="E2246" s="484" t="s">
        <v>307</v>
      </c>
      <c r="F2246" s="484"/>
      <c r="G2246" s="484" t="s">
        <v>878</v>
      </c>
      <c r="H2246" s="484"/>
      <c r="I2246" s="484"/>
      <c r="J2246" s="484"/>
      <c r="K2246" s="140" t="s">
        <v>678</v>
      </c>
      <c r="L2246" s="141">
        <v>3665</v>
      </c>
    </row>
    <row r="2247" spans="1:12" ht="17.25" customHeight="1" thickBot="1">
      <c r="A2247" s="126" t="str">
        <f t="shared" si="120"/>
        <v>2026/05</v>
      </c>
      <c r="B2247" s="127" t="str">
        <f t="shared" si="121"/>
        <v>2026/05忠孝健康7樓</v>
      </c>
      <c r="C2247" s="138">
        <v>212</v>
      </c>
      <c r="D2247" s="139" t="s">
        <v>861</v>
      </c>
      <c r="E2247" s="484" t="s">
        <v>313</v>
      </c>
      <c r="F2247" s="484"/>
      <c r="G2247" s="484" t="s">
        <v>314</v>
      </c>
      <c r="H2247" s="484"/>
      <c r="I2247" s="484"/>
      <c r="J2247" s="484"/>
      <c r="K2247" s="140" t="s">
        <v>301</v>
      </c>
      <c r="L2247" s="141">
        <v>23</v>
      </c>
    </row>
    <row r="2248" spans="1:12" ht="17.25" customHeight="1" thickBot="1">
      <c r="A2248" s="126" t="str">
        <f t="shared" si="120"/>
        <v>2026/05</v>
      </c>
      <c r="B2248" s="127" t="str">
        <f t="shared" si="121"/>
        <v>2026/05忠孝健康7樓</v>
      </c>
      <c r="C2248" s="138">
        <v>213</v>
      </c>
      <c r="D2248" s="139" t="s">
        <v>861</v>
      </c>
      <c r="E2248" s="484" t="s">
        <v>343</v>
      </c>
      <c r="F2248" s="484"/>
      <c r="G2248" s="484" t="s">
        <v>344</v>
      </c>
      <c r="H2248" s="484"/>
      <c r="I2248" s="484"/>
      <c r="J2248" s="484"/>
      <c r="K2248" s="140" t="s">
        <v>301</v>
      </c>
      <c r="L2248" s="141">
        <v>7</v>
      </c>
    </row>
    <row r="2249" spans="1:12" ht="17.25" customHeight="1" thickBot="1">
      <c r="A2249" s="126" t="str">
        <f t="shared" si="120"/>
        <v>2026/05</v>
      </c>
      <c r="B2249" s="127" t="str">
        <f t="shared" si="121"/>
        <v>2026/05忠孝健康7樓</v>
      </c>
      <c r="C2249" s="138">
        <v>214</v>
      </c>
      <c r="D2249" s="139" t="s">
        <v>861</v>
      </c>
      <c r="E2249" s="484" t="s">
        <v>349</v>
      </c>
      <c r="F2249" s="484"/>
      <c r="G2249" s="484" t="s">
        <v>350</v>
      </c>
      <c r="H2249" s="484"/>
      <c r="I2249" s="484"/>
      <c r="J2249" s="484"/>
      <c r="K2249" s="140" t="s">
        <v>301</v>
      </c>
      <c r="L2249" s="141">
        <v>5</v>
      </c>
    </row>
    <row r="2250" spans="1:12" ht="17.25" customHeight="1" thickBot="1">
      <c r="A2250" s="126" t="str">
        <f t="shared" si="120"/>
        <v>2026/05</v>
      </c>
      <c r="B2250" s="127" t="str">
        <f t="shared" si="121"/>
        <v>2026/05忠孝健康7樓</v>
      </c>
      <c r="C2250" s="138">
        <v>215</v>
      </c>
      <c r="D2250" s="139" t="s">
        <v>861</v>
      </c>
      <c r="E2250" s="484" t="s">
        <v>282</v>
      </c>
      <c r="F2250" s="484"/>
      <c r="G2250" s="484" t="s">
        <v>283</v>
      </c>
      <c r="H2250" s="484"/>
      <c r="I2250" s="484"/>
      <c r="J2250" s="484"/>
      <c r="K2250" s="140" t="s">
        <v>284</v>
      </c>
      <c r="L2250" s="141">
        <v>15</v>
      </c>
    </row>
    <row r="2251" spans="1:12" ht="17.25" customHeight="1" thickBot="1">
      <c r="A2251" s="126" t="str">
        <f t="shared" si="120"/>
        <v>2026/05</v>
      </c>
      <c r="B2251" s="127" t="str">
        <f t="shared" si="121"/>
        <v>2026/05忠孝健康7樓</v>
      </c>
      <c r="C2251" s="138">
        <v>216</v>
      </c>
      <c r="D2251" s="139" t="s">
        <v>861</v>
      </c>
      <c r="E2251" s="484" t="s">
        <v>345</v>
      </c>
      <c r="F2251" s="484"/>
      <c r="G2251" s="484" t="s">
        <v>346</v>
      </c>
      <c r="H2251" s="484"/>
      <c r="I2251" s="484"/>
      <c r="J2251" s="484"/>
      <c r="K2251" s="140" t="s">
        <v>284</v>
      </c>
      <c r="L2251" s="141">
        <v>4</v>
      </c>
    </row>
    <row r="2252" spans="1:12" ht="17.25" customHeight="1" thickBot="1">
      <c r="A2252" s="126" t="str">
        <f t="shared" si="120"/>
        <v>2026/05</v>
      </c>
      <c r="B2252" s="127" t="str">
        <f t="shared" si="121"/>
        <v>2026/05忠孝健康7樓</v>
      </c>
      <c r="C2252" s="138">
        <v>217</v>
      </c>
      <c r="D2252" s="139" t="s">
        <v>861</v>
      </c>
      <c r="E2252" s="484" t="s">
        <v>311</v>
      </c>
      <c r="F2252" s="484"/>
      <c r="G2252" s="484" t="s">
        <v>973</v>
      </c>
      <c r="H2252" s="484"/>
      <c r="I2252" s="484"/>
      <c r="J2252" s="484"/>
      <c r="K2252" s="140" t="s">
        <v>284</v>
      </c>
      <c r="L2252" s="141">
        <v>4</v>
      </c>
    </row>
    <row r="2253" spans="1:12" ht="17.25" customHeight="1" thickBot="1">
      <c r="A2253" s="126" t="str">
        <f t="shared" si="120"/>
        <v>2026/05</v>
      </c>
      <c r="B2253" s="127" t="str">
        <f t="shared" si="121"/>
        <v>2026/05忠孝健康7樓</v>
      </c>
      <c r="C2253" s="138">
        <v>218</v>
      </c>
      <c r="D2253" s="139" t="s">
        <v>861</v>
      </c>
      <c r="E2253" s="484" t="s">
        <v>941</v>
      </c>
      <c r="F2253" s="484"/>
      <c r="G2253" s="484" t="s">
        <v>942</v>
      </c>
      <c r="H2253" s="484"/>
      <c r="I2253" s="484"/>
      <c r="J2253" s="484"/>
      <c r="K2253" s="140" t="s">
        <v>301</v>
      </c>
      <c r="L2253" s="141">
        <v>2</v>
      </c>
    </row>
    <row r="2254" spans="1:12" ht="17.25" customHeight="1" thickBot="1">
      <c r="A2254" s="126" t="str">
        <f t="shared" si="120"/>
        <v>2026/05</v>
      </c>
      <c r="B2254" s="127" t="str">
        <f t="shared" si="121"/>
        <v>2026/05忠孝健康7樓</v>
      </c>
      <c r="C2254" s="138">
        <v>219</v>
      </c>
      <c r="D2254" s="139" t="s">
        <v>861</v>
      </c>
      <c r="E2254" s="484" t="s">
        <v>299</v>
      </c>
      <c r="F2254" s="484"/>
      <c r="G2254" s="484" t="s">
        <v>912</v>
      </c>
      <c r="H2254" s="484"/>
      <c r="I2254" s="484"/>
      <c r="J2254" s="484"/>
      <c r="K2254" s="140" t="s">
        <v>301</v>
      </c>
      <c r="L2254" s="141">
        <v>36</v>
      </c>
    </row>
    <row r="2255" spans="1:12" ht="17.25" customHeight="1" thickBot="1">
      <c r="A2255" s="126" t="str">
        <f t="shared" si="120"/>
        <v>2026/05</v>
      </c>
      <c r="B2255" s="127" t="str">
        <f t="shared" si="121"/>
        <v>2026/05忠孝健康7樓</v>
      </c>
      <c r="C2255" s="138">
        <v>220</v>
      </c>
      <c r="D2255" s="139" t="s">
        <v>861</v>
      </c>
      <c r="E2255" s="484" t="s">
        <v>347</v>
      </c>
      <c r="F2255" s="484"/>
      <c r="G2255" s="484" t="s">
        <v>913</v>
      </c>
      <c r="H2255" s="484"/>
      <c r="I2255" s="484"/>
      <c r="J2255" s="484"/>
      <c r="K2255" s="140" t="s">
        <v>301</v>
      </c>
      <c r="L2255" s="141">
        <v>8</v>
      </c>
    </row>
    <row r="2256" spans="1:12" ht="17.25" customHeight="1" thickBot="1">
      <c r="A2256" s="126" t="str">
        <f t="shared" si="120"/>
        <v>2026/05</v>
      </c>
      <c r="B2256" s="127" t="str">
        <f t="shared" si="121"/>
        <v>2026/05忠孝健康7樓</v>
      </c>
      <c r="C2256" s="138">
        <v>221</v>
      </c>
      <c r="D2256" s="139" t="s">
        <v>861</v>
      </c>
      <c r="E2256" s="484" t="s">
        <v>317</v>
      </c>
      <c r="F2256" s="484"/>
      <c r="G2256" s="484" t="s">
        <v>318</v>
      </c>
      <c r="H2256" s="484"/>
      <c r="I2256" s="484"/>
      <c r="J2256" s="484"/>
      <c r="K2256" s="140" t="s">
        <v>319</v>
      </c>
      <c r="L2256" s="141">
        <v>4</v>
      </c>
    </row>
    <row r="2257" spans="1:12" ht="17.25" customHeight="1" thickBot="1">
      <c r="A2257" s="126" t="str">
        <f t="shared" si="120"/>
        <v>2026/05</v>
      </c>
      <c r="B2257" s="127" t="str">
        <f t="shared" si="121"/>
        <v>2026/05忠孝健康7樓</v>
      </c>
      <c r="C2257" s="138">
        <v>222</v>
      </c>
      <c r="D2257" s="139" t="s">
        <v>861</v>
      </c>
      <c r="E2257" s="484" t="s">
        <v>321</v>
      </c>
      <c r="F2257" s="484"/>
      <c r="G2257" s="484" t="s">
        <v>981</v>
      </c>
      <c r="H2257" s="484"/>
      <c r="I2257" s="484"/>
      <c r="J2257" s="484"/>
      <c r="K2257" s="140" t="s">
        <v>275</v>
      </c>
      <c r="L2257" s="141">
        <v>63</v>
      </c>
    </row>
    <row r="2258" spans="1:12" ht="17.25" customHeight="1" thickBot="1">
      <c r="A2258" s="126" t="str">
        <f t="shared" si="120"/>
        <v>2026/05</v>
      </c>
      <c r="B2258" s="127" t="str">
        <f t="shared" si="121"/>
        <v>2026/05忠孝健康7樓</v>
      </c>
      <c r="C2258" s="138">
        <v>223</v>
      </c>
      <c r="D2258" s="139" t="s">
        <v>861</v>
      </c>
      <c r="E2258" s="484" t="s">
        <v>372</v>
      </c>
      <c r="F2258" s="484"/>
      <c r="G2258" s="484" t="s">
        <v>982</v>
      </c>
      <c r="H2258" s="484"/>
      <c r="I2258" s="484"/>
      <c r="J2258" s="484"/>
      <c r="K2258" s="140" t="s">
        <v>278</v>
      </c>
      <c r="L2258" s="141">
        <v>16</v>
      </c>
    </row>
    <row r="2259" spans="1:12" ht="17.25" customHeight="1" thickBot="1">
      <c r="A2259" s="126" t="str">
        <f t="shared" si="120"/>
        <v>2026/05</v>
      </c>
      <c r="B2259" s="127" t="str">
        <f t="shared" si="121"/>
        <v>2026/05忠孝健康7樓</v>
      </c>
      <c r="C2259" s="138">
        <v>224</v>
      </c>
      <c r="D2259" s="139" t="s">
        <v>861</v>
      </c>
      <c r="E2259" s="484" t="s">
        <v>276</v>
      </c>
      <c r="F2259" s="484"/>
      <c r="G2259" s="484" t="s">
        <v>924</v>
      </c>
      <c r="H2259" s="484"/>
      <c r="I2259" s="484"/>
      <c r="J2259" s="484"/>
      <c r="K2259" s="140" t="s">
        <v>278</v>
      </c>
      <c r="L2259" s="141">
        <v>33</v>
      </c>
    </row>
    <row r="2260" spans="1:12" ht="17.25" customHeight="1" thickBot="1">
      <c r="A2260" s="126" t="str">
        <f t="shared" si="120"/>
        <v>2026/05</v>
      </c>
      <c r="B2260" s="127" t="str">
        <f t="shared" si="121"/>
        <v>2026/05忠孝健康7樓</v>
      </c>
      <c r="C2260" s="138">
        <v>225</v>
      </c>
      <c r="D2260" s="139" t="s">
        <v>861</v>
      </c>
      <c r="E2260" s="484" t="s">
        <v>273</v>
      </c>
      <c r="F2260" s="484"/>
      <c r="G2260" s="484" t="s">
        <v>915</v>
      </c>
      <c r="H2260" s="484"/>
      <c r="I2260" s="484"/>
      <c r="J2260" s="484"/>
      <c r="K2260" s="140" t="s">
        <v>275</v>
      </c>
      <c r="L2260" s="141">
        <v>243</v>
      </c>
    </row>
    <row r="2261" spans="1:12" ht="17.25" customHeight="1" thickBot="1">
      <c r="A2261" s="126" t="str">
        <f t="shared" si="120"/>
        <v>2026/05</v>
      </c>
      <c r="B2261" s="127" t="str">
        <f t="shared" si="121"/>
        <v>2026/05忠孝健康7樓</v>
      </c>
      <c r="C2261" s="138">
        <v>226</v>
      </c>
      <c r="D2261" s="139" t="s">
        <v>861</v>
      </c>
      <c r="E2261" s="484" t="s">
        <v>285</v>
      </c>
      <c r="F2261" s="484"/>
      <c r="G2261" s="484" t="s">
        <v>286</v>
      </c>
      <c r="H2261" s="484"/>
      <c r="I2261" s="484"/>
      <c r="J2261" s="484"/>
      <c r="K2261" s="140" t="s">
        <v>879</v>
      </c>
      <c r="L2261" s="141">
        <v>6774</v>
      </c>
    </row>
    <row r="2262" spans="1:12" ht="17.25" customHeight="1" thickBot="1">
      <c r="A2262" s="126" t="str">
        <f t="shared" si="120"/>
        <v>2026/05</v>
      </c>
      <c r="B2262" s="127" t="str">
        <f t="shared" si="121"/>
        <v>2026/05忠孝健康7樓</v>
      </c>
      <c r="C2262" s="138">
        <v>227</v>
      </c>
      <c r="D2262" s="139" t="s">
        <v>861</v>
      </c>
      <c r="E2262" s="484" t="s">
        <v>290</v>
      </c>
      <c r="F2262" s="484"/>
      <c r="G2262" s="484" t="s">
        <v>291</v>
      </c>
      <c r="H2262" s="484"/>
      <c r="I2262" s="484"/>
      <c r="J2262" s="484"/>
      <c r="K2262" s="140" t="s">
        <v>879</v>
      </c>
      <c r="L2262" s="141">
        <v>15199</v>
      </c>
    </row>
    <row r="2263" spans="1:12" ht="17.25" customHeight="1" thickBot="1">
      <c r="A2263" s="126" t="str">
        <f t="shared" si="120"/>
        <v>2026/05</v>
      </c>
      <c r="B2263" s="127" t="str">
        <f t="shared" si="121"/>
        <v>2026/05忠孝健康7樓</v>
      </c>
      <c r="C2263" s="138">
        <v>228</v>
      </c>
      <c r="D2263" s="139" t="s">
        <v>861</v>
      </c>
      <c r="E2263" s="484" t="s">
        <v>292</v>
      </c>
      <c r="F2263" s="484"/>
      <c r="G2263" s="484" t="s">
        <v>293</v>
      </c>
      <c r="H2263" s="484"/>
      <c r="I2263" s="484"/>
      <c r="J2263" s="484"/>
      <c r="K2263" s="140" t="s">
        <v>879</v>
      </c>
      <c r="L2263" s="141">
        <v>26120</v>
      </c>
    </row>
    <row r="2264" spans="1:12" ht="17.25" customHeight="1" thickBot="1">
      <c r="A2264" s="126" t="str">
        <f t="shared" si="120"/>
        <v>2026/05</v>
      </c>
      <c r="B2264" s="127" t="str">
        <f t="shared" si="121"/>
        <v>2026/05忠孝健康7樓</v>
      </c>
      <c r="C2264" s="138">
        <v>229</v>
      </c>
      <c r="D2264" s="139" t="s">
        <v>861</v>
      </c>
      <c r="E2264" s="484" t="s">
        <v>323</v>
      </c>
      <c r="F2264" s="484"/>
      <c r="G2264" s="484" t="s">
        <v>324</v>
      </c>
      <c r="H2264" s="484"/>
      <c r="I2264" s="484"/>
      <c r="J2264" s="484"/>
      <c r="K2264" s="140" t="s">
        <v>880</v>
      </c>
      <c r="L2264" s="141">
        <v>5908</v>
      </c>
    </row>
    <row r="2265" spans="1:12" ht="17.25" customHeight="1" thickBot="1">
      <c r="A2265" s="126" t="str">
        <f t="shared" si="120"/>
        <v>2026/05</v>
      </c>
      <c r="B2265" s="127" t="str">
        <f t="shared" si="121"/>
        <v>2026/05忠孝健康7樓</v>
      </c>
      <c r="C2265" s="138">
        <v>230</v>
      </c>
      <c r="D2265" s="139" t="s">
        <v>861</v>
      </c>
      <c r="E2265" s="484" t="s">
        <v>359</v>
      </c>
      <c r="F2265" s="484"/>
      <c r="G2265" s="484" t="s">
        <v>138</v>
      </c>
      <c r="H2265" s="484"/>
      <c r="I2265" s="484"/>
      <c r="J2265" s="484"/>
      <c r="K2265" s="140" t="s">
        <v>146</v>
      </c>
      <c r="L2265" s="141">
        <v>7</v>
      </c>
    </row>
    <row r="2266" spans="1:12" ht="17.25" customHeight="1" thickBot="1">
      <c r="A2266" s="126" t="str">
        <f t="shared" si="120"/>
        <v>2026/05</v>
      </c>
      <c r="B2266" s="127" t="str">
        <f t="shared" si="121"/>
        <v>2026/05忠孝健康7樓</v>
      </c>
      <c r="C2266" s="138">
        <v>231</v>
      </c>
      <c r="D2266" s="139" t="s">
        <v>861</v>
      </c>
      <c r="E2266" s="484" t="s">
        <v>320</v>
      </c>
      <c r="F2266" s="484"/>
      <c r="G2266" s="484" t="s">
        <v>135</v>
      </c>
      <c r="H2266" s="484"/>
      <c r="I2266" s="484"/>
      <c r="J2266" s="484"/>
      <c r="K2266" s="140" t="s">
        <v>146</v>
      </c>
      <c r="L2266" s="141">
        <v>10</v>
      </c>
    </row>
    <row r="2267" spans="1:12" ht="17.25" customHeight="1" thickBot="1">
      <c r="A2267" s="126" t="str">
        <f t="shared" si="120"/>
        <v>2026/05</v>
      </c>
      <c r="B2267" s="127" t="str">
        <f t="shared" si="121"/>
        <v>2026/05忠孝健康7樓</v>
      </c>
      <c r="C2267" s="138">
        <v>232</v>
      </c>
      <c r="D2267" s="139" t="s">
        <v>861</v>
      </c>
      <c r="E2267" s="484" t="s">
        <v>338</v>
      </c>
      <c r="F2267" s="484"/>
      <c r="G2267" s="484" t="s">
        <v>339</v>
      </c>
      <c r="H2267" s="484"/>
      <c r="I2267" s="484"/>
      <c r="J2267" s="484"/>
      <c r="K2267" s="140" t="s">
        <v>881</v>
      </c>
      <c r="L2267" s="141">
        <v>2630</v>
      </c>
    </row>
    <row r="2268" spans="1:12" ht="17.25" customHeight="1" thickBot="1">
      <c r="A2268" s="126" t="str">
        <f t="shared" si="120"/>
        <v>2026/05</v>
      </c>
      <c r="B2268" s="127" t="str">
        <f t="shared" si="121"/>
        <v>2026/05忠孝健康7樓</v>
      </c>
      <c r="C2268" s="138">
        <v>233</v>
      </c>
      <c r="D2268" s="139" t="s">
        <v>861</v>
      </c>
      <c r="E2268" s="484" t="s">
        <v>326</v>
      </c>
      <c r="F2268" s="484"/>
      <c r="G2268" s="484" t="s">
        <v>327</v>
      </c>
      <c r="H2268" s="484"/>
      <c r="I2268" s="484"/>
      <c r="J2268" s="484"/>
      <c r="K2268" s="140" t="s">
        <v>881</v>
      </c>
      <c r="L2268" s="141">
        <v>4272</v>
      </c>
    </row>
    <row r="2269" spans="1:12" ht="17.25" customHeight="1" thickBot="1">
      <c r="A2269" s="126" t="str">
        <f t="shared" si="120"/>
        <v>2026/05</v>
      </c>
      <c r="B2269" s="127" t="str">
        <f t="shared" si="121"/>
        <v>2026/05忠孝健康7樓</v>
      </c>
      <c r="C2269" s="138">
        <v>234</v>
      </c>
      <c r="D2269" s="139" t="s">
        <v>861</v>
      </c>
      <c r="E2269" s="484" t="s">
        <v>328</v>
      </c>
      <c r="F2269" s="484"/>
      <c r="G2269" s="484" t="s">
        <v>329</v>
      </c>
      <c r="H2269" s="484"/>
      <c r="I2269" s="484"/>
      <c r="J2269" s="484"/>
      <c r="K2269" s="140" t="s">
        <v>881</v>
      </c>
      <c r="L2269" s="141">
        <v>13582</v>
      </c>
    </row>
    <row r="2270" spans="1:12" ht="17.25" customHeight="1" thickBot="1">
      <c r="A2270" s="126" t="str">
        <f t="shared" ref="A2270:A2280" si="122">IFERROR(LEFT(B2270,7),"")</f>
        <v>2026/05</v>
      </c>
      <c r="B2270" s="127" t="str">
        <f t="shared" ref="B2270:B2280" si="123">"2026/05"&amp;D2270</f>
        <v>2026/05忠孝健康7樓</v>
      </c>
      <c r="C2270" s="138">
        <v>235</v>
      </c>
      <c r="D2270" s="139" t="s">
        <v>861</v>
      </c>
      <c r="E2270" s="484" t="s">
        <v>330</v>
      </c>
      <c r="F2270" s="484"/>
      <c r="G2270" s="484" t="s">
        <v>331</v>
      </c>
      <c r="H2270" s="484"/>
      <c r="I2270" s="484"/>
      <c r="J2270" s="484"/>
      <c r="K2270" s="140" t="s">
        <v>881</v>
      </c>
      <c r="L2270" s="141">
        <v>2974</v>
      </c>
    </row>
    <row r="2271" spans="1:12" ht="17.25" customHeight="1" thickBot="1">
      <c r="A2271" s="126" t="str">
        <f t="shared" si="122"/>
        <v>2026/05</v>
      </c>
      <c r="B2271" s="127" t="str">
        <f t="shared" si="123"/>
        <v>2026/05忠孝健康7樓</v>
      </c>
      <c r="C2271" s="138">
        <v>236</v>
      </c>
      <c r="D2271" s="139" t="s">
        <v>861</v>
      </c>
      <c r="E2271" s="484" t="s">
        <v>739</v>
      </c>
      <c r="F2271" s="484"/>
      <c r="G2271" s="484" t="s">
        <v>740</v>
      </c>
      <c r="H2271" s="484"/>
      <c r="I2271" s="484"/>
      <c r="J2271" s="484"/>
      <c r="K2271" s="140" t="s">
        <v>881</v>
      </c>
      <c r="L2271" s="141">
        <v>242</v>
      </c>
    </row>
    <row r="2272" spans="1:12" ht="17.25" customHeight="1" thickBot="1">
      <c r="A2272" s="126" t="str">
        <f t="shared" si="122"/>
        <v>2026/05</v>
      </c>
      <c r="B2272" s="127" t="str">
        <f t="shared" si="123"/>
        <v>2026/05忠孝健康7樓</v>
      </c>
      <c r="C2272" s="138">
        <v>237</v>
      </c>
      <c r="D2272" s="139" t="s">
        <v>861</v>
      </c>
      <c r="E2272" s="484" t="s">
        <v>705</v>
      </c>
      <c r="F2272" s="484"/>
      <c r="G2272" s="484" t="s">
        <v>706</v>
      </c>
      <c r="H2272" s="484"/>
      <c r="I2272" s="484"/>
      <c r="J2272" s="484"/>
      <c r="K2272" s="140" t="s">
        <v>883</v>
      </c>
      <c r="L2272" s="141">
        <v>4500</v>
      </c>
    </row>
    <row r="2273" spans="1:12" ht="17.25" customHeight="1" thickBot="1">
      <c r="A2273" s="126" t="str">
        <f t="shared" si="122"/>
        <v>2026/05</v>
      </c>
      <c r="B2273" s="127" t="str">
        <f t="shared" si="123"/>
        <v>2026/05忠孝健康7樓</v>
      </c>
      <c r="C2273" s="138">
        <v>238</v>
      </c>
      <c r="D2273" s="139" t="s">
        <v>861</v>
      </c>
      <c r="E2273" s="484" t="s">
        <v>279</v>
      </c>
      <c r="F2273" s="484"/>
      <c r="G2273" s="484" t="s">
        <v>280</v>
      </c>
      <c r="H2273" s="484"/>
      <c r="I2273" s="484"/>
      <c r="J2273" s="484"/>
      <c r="K2273" s="140" t="s">
        <v>884</v>
      </c>
      <c r="L2273" s="141">
        <v>93510</v>
      </c>
    </row>
    <row r="2274" spans="1:12" ht="17.25" customHeight="1" thickBot="1">
      <c r="A2274" s="126" t="str">
        <f t="shared" si="122"/>
        <v>2026/05</v>
      </c>
      <c r="B2274" s="127" t="str">
        <f t="shared" si="123"/>
        <v>2026/05忠孝健康7樓</v>
      </c>
      <c r="C2274" s="138">
        <v>239</v>
      </c>
      <c r="D2274" s="139" t="s">
        <v>861</v>
      </c>
      <c r="E2274" s="484" t="s">
        <v>288</v>
      </c>
      <c r="F2274" s="484"/>
      <c r="G2274" s="484" t="s">
        <v>289</v>
      </c>
      <c r="H2274" s="484"/>
      <c r="I2274" s="484"/>
      <c r="J2274" s="484"/>
      <c r="K2274" s="140" t="s">
        <v>884</v>
      </c>
      <c r="L2274" s="141">
        <v>44990</v>
      </c>
    </row>
    <row r="2275" spans="1:12" ht="17.25" customHeight="1" thickBot="1">
      <c r="A2275" s="126" t="str">
        <f t="shared" si="122"/>
        <v>2026/05</v>
      </c>
      <c r="B2275" s="127" t="str">
        <f t="shared" si="123"/>
        <v>2026/05忠孝健康7樓</v>
      </c>
      <c r="C2275" s="138">
        <v>240</v>
      </c>
      <c r="D2275" s="139" t="s">
        <v>861</v>
      </c>
      <c r="E2275" s="484" t="s">
        <v>332</v>
      </c>
      <c r="F2275" s="484"/>
      <c r="G2275" s="484" t="s">
        <v>333</v>
      </c>
      <c r="H2275" s="484"/>
      <c r="I2275" s="484"/>
      <c r="J2275" s="484"/>
      <c r="K2275" s="140" t="s">
        <v>334</v>
      </c>
      <c r="L2275" s="141">
        <v>82900</v>
      </c>
    </row>
    <row r="2276" spans="1:12" ht="17.25" customHeight="1" thickBot="1">
      <c r="A2276" s="126" t="str">
        <f t="shared" si="122"/>
        <v>2026/05</v>
      </c>
      <c r="B2276" s="127" t="str">
        <f t="shared" si="123"/>
        <v>2026/05忠孝健康7樓</v>
      </c>
      <c r="C2276" s="138">
        <v>241</v>
      </c>
      <c r="D2276" s="139" t="s">
        <v>861</v>
      </c>
      <c r="E2276" s="484" t="s">
        <v>335</v>
      </c>
      <c r="F2276" s="484"/>
      <c r="G2276" s="484" t="s">
        <v>336</v>
      </c>
      <c r="H2276" s="484"/>
      <c r="I2276" s="484"/>
      <c r="J2276" s="484"/>
      <c r="K2276" s="140" t="s">
        <v>337</v>
      </c>
      <c r="L2276" s="141">
        <v>21300</v>
      </c>
    </row>
    <row r="2277" spans="1:12" ht="17.25" customHeight="1" thickBot="1">
      <c r="A2277" s="126" t="str">
        <f t="shared" si="122"/>
        <v>2026/05</v>
      </c>
      <c r="B2277" s="127" t="str">
        <f t="shared" si="123"/>
        <v>2026/05忠孝健康7樓</v>
      </c>
      <c r="C2277" s="138">
        <v>242</v>
      </c>
      <c r="D2277" s="139" t="s">
        <v>861</v>
      </c>
      <c r="E2277" s="484" t="s">
        <v>357</v>
      </c>
      <c r="F2277" s="484"/>
      <c r="G2277" s="484" t="s">
        <v>358</v>
      </c>
      <c r="H2277" s="484"/>
      <c r="I2277" s="484"/>
      <c r="J2277" s="484"/>
      <c r="K2277" s="140" t="s">
        <v>353</v>
      </c>
      <c r="L2277" s="141">
        <v>8</v>
      </c>
    </row>
    <row r="2278" spans="1:12" ht="17.25" customHeight="1" thickBot="1">
      <c r="A2278" s="126" t="str">
        <f t="shared" si="122"/>
        <v>2026/05</v>
      </c>
      <c r="B2278" s="127" t="str">
        <f t="shared" si="123"/>
        <v>2026/05忠孝健康7樓</v>
      </c>
      <c r="C2278" s="138">
        <v>243</v>
      </c>
      <c r="D2278" s="139" t="s">
        <v>861</v>
      </c>
      <c r="E2278" s="484" t="s">
        <v>686</v>
      </c>
      <c r="F2278" s="484"/>
      <c r="G2278" s="484" t="s">
        <v>687</v>
      </c>
      <c r="H2278" s="484"/>
      <c r="I2278" s="484"/>
      <c r="J2278" s="484"/>
      <c r="K2278" s="140" t="s">
        <v>688</v>
      </c>
      <c r="L2278" s="141">
        <v>3</v>
      </c>
    </row>
    <row r="2279" spans="1:12" ht="17.25" customHeight="1" thickBot="1">
      <c r="A2279" s="126" t="str">
        <f t="shared" si="122"/>
        <v>2026/05</v>
      </c>
      <c r="B2279" s="127" t="str">
        <f t="shared" si="123"/>
        <v>2026/05忠孝健康7樓</v>
      </c>
      <c r="C2279" s="138">
        <v>244</v>
      </c>
      <c r="D2279" s="139" t="s">
        <v>861</v>
      </c>
      <c r="E2279" s="484" t="s">
        <v>930</v>
      </c>
      <c r="F2279" s="484"/>
      <c r="G2279" s="484" t="s">
        <v>931</v>
      </c>
      <c r="H2279" s="484"/>
      <c r="I2279" s="484"/>
      <c r="J2279" s="484"/>
      <c r="K2279" s="140" t="s">
        <v>342</v>
      </c>
      <c r="L2279" s="141">
        <v>13</v>
      </c>
    </row>
    <row r="2280" spans="1:12" ht="17.25" customHeight="1" thickBot="1">
      <c r="A2280" s="126" t="str">
        <f t="shared" si="122"/>
        <v>2026/05</v>
      </c>
      <c r="B2280" s="127" t="str">
        <f t="shared" si="123"/>
        <v>2026/05忠孝健康7樓</v>
      </c>
      <c r="C2280" s="138">
        <v>245</v>
      </c>
      <c r="D2280" s="139" t="s">
        <v>861</v>
      </c>
      <c r="E2280" s="484" t="s">
        <v>368</v>
      </c>
      <c r="F2280" s="484"/>
      <c r="G2280" s="484" t="s">
        <v>907</v>
      </c>
      <c r="H2280" s="484"/>
      <c r="I2280" s="484"/>
      <c r="J2280" s="484"/>
      <c r="K2280" s="140" t="s">
        <v>885</v>
      </c>
      <c r="L2280" s="141">
        <v>1</v>
      </c>
    </row>
    <row r="2281" spans="1:12" ht="17.25" thickBot="1">
      <c r="A2281" s="126" t="str">
        <f t="shared" ref="A2281:A2292" si="124">IFERROR(LEFT(B2281,7),"")</f>
        <v>2026/05</v>
      </c>
      <c r="B2281" s="127" t="str">
        <f t="shared" ref="B2281:B2292" si="125">"2026/05"&amp;D2281</f>
        <v>2026/05忠孝健康7樓</v>
      </c>
      <c r="C2281" s="138">
        <v>246</v>
      </c>
      <c r="D2281" s="139" t="s">
        <v>861</v>
      </c>
      <c r="E2281" s="484" t="s">
        <v>425</v>
      </c>
      <c r="F2281" s="484"/>
      <c r="G2281" s="484" t="s">
        <v>426</v>
      </c>
      <c r="H2281" s="484"/>
      <c r="I2281" s="484"/>
      <c r="J2281" s="484"/>
      <c r="K2281" s="140" t="s">
        <v>269</v>
      </c>
      <c r="L2281" s="141">
        <v>1</v>
      </c>
    </row>
    <row r="2282" spans="1:12" ht="17.25" thickBot="1">
      <c r="A2282" s="126" t="str">
        <f t="shared" si="124"/>
        <v>2026/05</v>
      </c>
      <c r="B2282" s="127" t="str">
        <f t="shared" si="125"/>
        <v>2026/05忠孝健康7樓</v>
      </c>
      <c r="C2282" s="138">
        <v>247</v>
      </c>
      <c r="D2282" s="139" t="s">
        <v>861</v>
      </c>
      <c r="E2282" s="484" t="s">
        <v>309</v>
      </c>
      <c r="F2282" s="484"/>
      <c r="G2282" s="484" t="s">
        <v>310</v>
      </c>
      <c r="H2282" s="484"/>
      <c r="I2282" s="484"/>
      <c r="J2282" s="484"/>
      <c r="K2282" s="140" t="s">
        <v>269</v>
      </c>
      <c r="L2282" s="141">
        <v>126</v>
      </c>
    </row>
    <row r="2283" spans="1:12" ht="17.25" thickBot="1">
      <c r="A2283" s="126" t="str">
        <f t="shared" si="124"/>
        <v>2026/05</v>
      </c>
      <c r="B2283" s="127" t="str">
        <f t="shared" si="125"/>
        <v>2026/05忠孝健康7樓</v>
      </c>
      <c r="C2283" s="138">
        <v>248</v>
      </c>
      <c r="D2283" s="139" t="s">
        <v>861</v>
      </c>
      <c r="E2283" s="484" t="s">
        <v>267</v>
      </c>
      <c r="F2283" s="484"/>
      <c r="G2283" s="484" t="s">
        <v>268</v>
      </c>
      <c r="H2283" s="484"/>
      <c r="I2283" s="484"/>
      <c r="J2283" s="484"/>
      <c r="K2283" s="140" t="s">
        <v>269</v>
      </c>
      <c r="L2283" s="141">
        <v>3</v>
      </c>
    </row>
    <row r="2284" spans="1:12" ht="17.25" thickBot="1">
      <c r="A2284" s="126" t="str">
        <f t="shared" si="124"/>
        <v>2026/05</v>
      </c>
      <c r="B2284" s="127" t="str">
        <f t="shared" si="125"/>
        <v>2026/05忠孝健康7樓</v>
      </c>
      <c r="C2284" s="138">
        <v>249</v>
      </c>
      <c r="D2284" s="139" t="s">
        <v>861</v>
      </c>
      <c r="E2284" s="484" t="s">
        <v>315</v>
      </c>
      <c r="F2284" s="484"/>
      <c r="G2284" s="484" t="s">
        <v>316</v>
      </c>
      <c r="H2284" s="484"/>
      <c r="I2284" s="484"/>
      <c r="J2284" s="484"/>
      <c r="K2284" s="140" t="s">
        <v>296</v>
      </c>
      <c r="L2284" s="141">
        <v>4</v>
      </c>
    </row>
    <row r="2285" spans="1:12" ht="17.25" thickBot="1">
      <c r="A2285" s="126" t="str">
        <f t="shared" si="124"/>
        <v>2026/05</v>
      </c>
      <c r="B2285" s="127" t="str">
        <f t="shared" si="125"/>
        <v>2026/05忠孝健康7樓</v>
      </c>
      <c r="C2285" s="138">
        <v>250</v>
      </c>
      <c r="D2285" s="139" t="s">
        <v>861</v>
      </c>
      <c r="E2285" s="484" t="s">
        <v>736</v>
      </c>
      <c r="F2285" s="484"/>
      <c r="G2285" s="484" t="s">
        <v>737</v>
      </c>
      <c r="H2285" s="484"/>
      <c r="I2285" s="484"/>
      <c r="J2285" s="484"/>
      <c r="K2285" s="140" t="s">
        <v>738</v>
      </c>
      <c r="L2285" s="141">
        <v>6</v>
      </c>
    </row>
    <row r="2286" spans="1:12" ht="17.25" thickBot="1">
      <c r="A2286" s="126" t="str">
        <f t="shared" si="124"/>
        <v>2026/05</v>
      </c>
      <c r="B2286" s="127" t="str">
        <f t="shared" si="125"/>
        <v>2026/05忠孝健康7樓</v>
      </c>
      <c r="C2286" s="138">
        <v>251</v>
      </c>
      <c r="D2286" s="139" t="s">
        <v>861</v>
      </c>
      <c r="E2286" s="484" t="s">
        <v>237</v>
      </c>
      <c r="F2286" s="484"/>
      <c r="G2286" s="484" t="s">
        <v>238</v>
      </c>
      <c r="H2286" s="484"/>
      <c r="I2286" s="484"/>
      <c r="J2286" s="484"/>
      <c r="K2286" s="140" t="s">
        <v>239</v>
      </c>
      <c r="L2286" s="141">
        <v>327</v>
      </c>
    </row>
    <row r="2287" spans="1:12" ht="17.25" thickBot="1">
      <c r="A2287" s="126" t="str">
        <f t="shared" si="124"/>
        <v>2026/05</v>
      </c>
      <c r="B2287" s="127" t="str">
        <f t="shared" si="125"/>
        <v>2026/05忠孝健康7樓</v>
      </c>
      <c r="C2287" s="138">
        <v>252</v>
      </c>
      <c r="D2287" s="139" t="s">
        <v>861</v>
      </c>
      <c r="E2287" s="484" t="s">
        <v>240</v>
      </c>
      <c r="F2287" s="484"/>
      <c r="G2287" s="484" t="s">
        <v>241</v>
      </c>
      <c r="H2287" s="484"/>
      <c r="I2287" s="484"/>
      <c r="J2287" s="484"/>
      <c r="K2287" s="140" t="s">
        <v>239</v>
      </c>
      <c r="L2287" s="141">
        <v>327</v>
      </c>
    </row>
    <row r="2288" spans="1:12" ht="17.25" thickBot="1">
      <c r="A2288" s="126" t="str">
        <f t="shared" si="124"/>
        <v>2026/05</v>
      </c>
      <c r="B2288" s="127" t="str">
        <f t="shared" si="125"/>
        <v>2026/05忠孝健康7樓</v>
      </c>
      <c r="C2288" s="138">
        <v>253</v>
      </c>
      <c r="D2288" s="139" t="s">
        <v>861</v>
      </c>
      <c r="E2288" s="484" t="s">
        <v>242</v>
      </c>
      <c r="F2288" s="484"/>
      <c r="G2288" s="484" t="s">
        <v>243</v>
      </c>
      <c r="H2288" s="484"/>
      <c r="I2288" s="484"/>
      <c r="J2288" s="484"/>
      <c r="K2288" s="140" t="s">
        <v>239</v>
      </c>
      <c r="L2288" s="141">
        <v>327</v>
      </c>
    </row>
    <row r="2289" spans="1:12" ht="17.25" thickBot="1">
      <c r="A2289" s="126" t="str">
        <f t="shared" si="124"/>
        <v>2026/05</v>
      </c>
      <c r="B2289" s="127" t="str">
        <f t="shared" si="125"/>
        <v>2026/05忠孝健康7樓</v>
      </c>
      <c r="C2289" s="138">
        <v>254</v>
      </c>
      <c r="D2289" s="139" t="s">
        <v>861</v>
      </c>
      <c r="E2289" s="484" t="s">
        <v>244</v>
      </c>
      <c r="F2289" s="484"/>
      <c r="G2289" s="484" t="s">
        <v>245</v>
      </c>
      <c r="H2289" s="484"/>
      <c r="I2289" s="484"/>
      <c r="J2289" s="484"/>
      <c r="K2289" s="140" t="s">
        <v>725</v>
      </c>
      <c r="L2289" s="141">
        <v>4905</v>
      </c>
    </row>
    <row r="2290" spans="1:12" ht="17.25" thickBot="1">
      <c r="A2290" s="126" t="str">
        <f t="shared" si="124"/>
        <v>2026/05</v>
      </c>
      <c r="B2290" s="127" t="str">
        <f t="shared" si="125"/>
        <v>2026/05忠孝健康7樓</v>
      </c>
      <c r="C2290" s="138">
        <v>255</v>
      </c>
      <c r="D2290" s="139" t="s">
        <v>861</v>
      </c>
      <c r="E2290" s="484" t="s">
        <v>246</v>
      </c>
      <c r="F2290" s="484"/>
      <c r="G2290" s="484" t="s">
        <v>247</v>
      </c>
      <c r="H2290" s="484"/>
      <c r="I2290" s="484"/>
      <c r="J2290" s="484"/>
      <c r="K2290" s="140" t="s">
        <v>725</v>
      </c>
      <c r="L2290" s="141">
        <v>4905</v>
      </c>
    </row>
    <row r="2291" spans="1:12" ht="17.25" thickBot="1">
      <c r="A2291" s="126" t="str">
        <f t="shared" si="124"/>
        <v>2026/05</v>
      </c>
      <c r="B2291" s="127" t="str">
        <f t="shared" si="125"/>
        <v>2026/05忠孝健康7樓</v>
      </c>
      <c r="C2291" s="138">
        <v>256</v>
      </c>
      <c r="D2291" s="139" t="s">
        <v>861</v>
      </c>
      <c r="E2291" s="484" t="s">
        <v>248</v>
      </c>
      <c r="F2291" s="484"/>
      <c r="G2291" s="484" t="s">
        <v>249</v>
      </c>
      <c r="H2291" s="484"/>
      <c r="I2291" s="484"/>
      <c r="J2291" s="484"/>
      <c r="K2291" s="140" t="s">
        <v>725</v>
      </c>
      <c r="L2291" s="141">
        <v>4905</v>
      </c>
    </row>
    <row r="2292" spans="1:12" ht="17.25" thickBot="1">
      <c r="A2292" s="126" t="str">
        <f t="shared" si="124"/>
        <v>2026/05</v>
      </c>
      <c r="B2292" s="127" t="str">
        <f t="shared" si="125"/>
        <v>2026/05忠孝健康7樓</v>
      </c>
      <c r="C2292" s="138">
        <v>257</v>
      </c>
      <c r="D2292" s="139" t="s">
        <v>861</v>
      </c>
      <c r="E2292" s="484" t="s">
        <v>250</v>
      </c>
      <c r="F2292" s="484"/>
      <c r="G2292" s="484" t="s">
        <v>251</v>
      </c>
      <c r="H2292" s="484"/>
      <c r="I2292" s="484"/>
      <c r="J2292" s="484"/>
      <c r="K2292" s="140" t="s">
        <v>725</v>
      </c>
      <c r="L2292" s="141">
        <v>4905</v>
      </c>
    </row>
    <row r="2293" spans="1:12" ht="17.25" thickBot="1">
      <c r="A2293" s="126"/>
      <c r="B2293" s="127"/>
      <c r="C2293" s="138"/>
      <c r="D2293" s="139"/>
      <c r="E2293" s="484"/>
      <c r="F2293" s="484"/>
      <c r="G2293" s="484"/>
      <c r="H2293" s="484"/>
      <c r="I2293" s="484"/>
      <c r="J2293" s="484"/>
      <c r="K2293" s="140"/>
      <c r="L2293" s="141"/>
    </row>
    <row r="2294" spans="1:12" ht="17.25" thickBot="1">
      <c r="A2294" s="126"/>
      <c r="B2294" s="127"/>
      <c r="C2294" s="138"/>
      <c r="D2294" s="139"/>
      <c r="E2294" s="484"/>
      <c r="F2294" s="484"/>
      <c r="G2294" s="484"/>
      <c r="H2294" s="484"/>
      <c r="I2294" s="484"/>
      <c r="J2294" s="484"/>
      <c r="K2294" s="140"/>
      <c r="L2294" s="141"/>
    </row>
    <row r="2295" spans="1:12" ht="17.25" thickBot="1">
      <c r="A2295" s="126"/>
      <c r="B2295" s="127"/>
      <c r="C2295" s="138"/>
      <c r="D2295" s="139"/>
      <c r="E2295" s="484"/>
      <c r="F2295" s="484"/>
      <c r="G2295" s="484"/>
      <c r="H2295" s="484"/>
      <c r="I2295" s="484"/>
      <c r="J2295" s="484"/>
      <c r="K2295" s="140"/>
      <c r="L2295" s="141"/>
    </row>
    <row r="2296" spans="1:12" ht="17.25" thickBot="1">
      <c r="A2296" s="126"/>
      <c r="B2296" s="127"/>
      <c r="C2296" s="138"/>
      <c r="D2296" s="139"/>
      <c r="E2296" s="484"/>
      <c r="F2296" s="484"/>
      <c r="G2296" s="484"/>
      <c r="H2296" s="484"/>
      <c r="I2296" s="484"/>
      <c r="J2296" s="484"/>
      <c r="K2296" s="140"/>
      <c r="L2296" s="141"/>
    </row>
    <row r="2297" spans="1:12" ht="17.25" thickBot="1">
      <c r="A2297" s="126"/>
      <c r="B2297" s="127"/>
      <c r="C2297" s="138"/>
      <c r="D2297" s="139"/>
      <c r="E2297" s="484"/>
      <c r="F2297" s="484"/>
      <c r="G2297" s="484"/>
      <c r="H2297" s="484"/>
      <c r="I2297" s="484"/>
      <c r="J2297" s="484"/>
      <c r="K2297" s="140"/>
      <c r="L2297" s="141"/>
    </row>
    <row r="2298" spans="1:12" ht="17.25" thickBot="1">
      <c r="A2298" s="126"/>
      <c r="B2298" s="127"/>
      <c r="C2298" s="138"/>
      <c r="D2298" s="139"/>
      <c r="E2298" s="484"/>
      <c r="F2298" s="484"/>
      <c r="G2298" s="484"/>
      <c r="H2298" s="484"/>
      <c r="I2298" s="484"/>
      <c r="J2298" s="484"/>
      <c r="K2298" s="140"/>
      <c r="L2298" s="141"/>
    </row>
    <row r="2299" spans="1:12" ht="17.25" thickBot="1">
      <c r="A2299" s="126"/>
      <c r="B2299" s="127"/>
      <c r="C2299" s="138"/>
      <c r="D2299" s="139"/>
      <c r="E2299" s="484"/>
      <c r="F2299" s="484"/>
      <c r="G2299" s="484"/>
      <c r="H2299" s="484"/>
      <c r="I2299" s="484"/>
      <c r="J2299" s="484"/>
      <c r="K2299" s="140"/>
      <c r="L2299" s="141"/>
    </row>
    <row r="2300" spans="1:12" ht="17.25" thickBot="1">
      <c r="A2300" s="126"/>
      <c r="B2300" s="127"/>
      <c r="C2300" s="138"/>
      <c r="D2300" s="139"/>
      <c r="E2300" s="484"/>
      <c r="F2300" s="484"/>
      <c r="G2300" s="484"/>
      <c r="H2300" s="484"/>
      <c r="I2300" s="484"/>
      <c r="J2300" s="484"/>
      <c r="K2300" s="140"/>
      <c r="L2300" s="141"/>
    </row>
    <row r="2301" spans="1:12" ht="17.25" thickBot="1">
      <c r="A2301" s="126"/>
      <c r="B2301" s="127"/>
      <c r="C2301" s="138"/>
      <c r="D2301" s="139"/>
      <c r="E2301" s="484"/>
      <c r="F2301" s="484"/>
      <c r="G2301" s="484"/>
      <c r="H2301" s="484"/>
      <c r="I2301" s="484"/>
      <c r="J2301" s="484"/>
      <c r="K2301" s="140"/>
      <c r="L2301" s="141"/>
    </row>
    <row r="2302" spans="1:12" ht="17.25" thickBot="1">
      <c r="A2302" s="126"/>
      <c r="B2302" s="127"/>
      <c r="C2302" s="138"/>
      <c r="D2302" s="139"/>
      <c r="E2302" s="484"/>
      <c r="F2302" s="484"/>
      <c r="G2302" s="484"/>
      <c r="H2302" s="484"/>
      <c r="I2302" s="484"/>
      <c r="J2302" s="484"/>
      <c r="K2302" s="140"/>
      <c r="L2302" s="141"/>
    </row>
    <row r="2303" spans="1:12" ht="17.25" thickBot="1">
      <c r="A2303" s="126"/>
      <c r="B2303" s="127"/>
      <c r="C2303" s="138"/>
      <c r="D2303" s="139"/>
      <c r="E2303" s="484"/>
      <c r="F2303" s="484"/>
      <c r="G2303" s="484"/>
      <c r="H2303" s="484"/>
      <c r="I2303" s="484"/>
      <c r="J2303" s="484"/>
      <c r="K2303" s="140"/>
      <c r="L2303" s="141"/>
    </row>
    <row r="2304" spans="1:12" ht="17.25" thickBot="1">
      <c r="A2304" s="126"/>
      <c r="B2304" s="127"/>
      <c r="C2304" s="138"/>
      <c r="D2304" s="139"/>
      <c r="E2304" s="484"/>
      <c r="F2304" s="484"/>
      <c r="G2304" s="484"/>
      <c r="H2304" s="484"/>
      <c r="I2304" s="484"/>
      <c r="J2304" s="484"/>
      <c r="K2304" s="140"/>
      <c r="L2304" s="141"/>
    </row>
    <row r="2305" spans="1:12" ht="17.25" thickBot="1">
      <c r="A2305" s="126"/>
      <c r="B2305" s="127"/>
      <c r="C2305" s="138"/>
      <c r="D2305" s="139"/>
      <c r="E2305" s="484"/>
      <c r="F2305" s="484"/>
      <c r="G2305" s="484"/>
      <c r="H2305" s="484"/>
      <c r="I2305" s="484"/>
      <c r="J2305" s="484"/>
      <c r="K2305" s="140"/>
      <c r="L2305" s="141"/>
    </row>
    <row r="2306" spans="1:12" ht="17.25" thickBot="1">
      <c r="A2306" s="126"/>
      <c r="B2306" s="127"/>
      <c r="C2306" s="138"/>
      <c r="D2306" s="139"/>
      <c r="E2306" s="484"/>
      <c r="F2306" s="484"/>
      <c r="G2306" s="484"/>
      <c r="H2306" s="484"/>
      <c r="I2306" s="484"/>
      <c r="J2306" s="484"/>
      <c r="K2306" s="140"/>
      <c r="L2306" s="141"/>
    </row>
    <row r="2307" spans="1:12" ht="17.25" thickBot="1">
      <c r="A2307" s="126"/>
      <c r="B2307" s="127"/>
      <c r="C2307" s="138"/>
      <c r="D2307" s="139"/>
      <c r="E2307" s="484"/>
      <c r="F2307" s="484"/>
      <c r="G2307" s="484"/>
      <c r="H2307" s="484"/>
      <c r="I2307" s="484"/>
      <c r="J2307" s="484"/>
      <c r="K2307" s="140"/>
      <c r="L2307" s="141"/>
    </row>
    <row r="2308" spans="1:12" ht="17.25" thickBot="1">
      <c r="A2308" s="126"/>
      <c r="B2308" s="127"/>
      <c r="C2308" s="138"/>
      <c r="D2308" s="139"/>
      <c r="E2308" s="484"/>
      <c r="F2308" s="484"/>
      <c r="G2308" s="484"/>
      <c r="H2308" s="484"/>
      <c r="I2308" s="484"/>
      <c r="J2308" s="484"/>
      <c r="K2308" s="140"/>
      <c r="L2308" s="141"/>
    </row>
    <row r="2309" spans="1:12" ht="17.25" thickBot="1">
      <c r="A2309" s="126"/>
      <c r="B2309" s="127"/>
      <c r="C2309" s="138"/>
      <c r="D2309" s="139"/>
      <c r="E2309" s="484"/>
      <c r="F2309" s="484"/>
      <c r="G2309" s="484"/>
      <c r="H2309" s="484"/>
      <c r="I2309" s="484"/>
      <c r="J2309" s="484"/>
      <c r="K2309" s="140"/>
      <c r="L2309" s="141"/>
    </row>
    <row r="2310" spans="1:12" ht="17.25" thickBot="1">
      <c r="A2310" s="126"/>
      <c r="B2310" s="127"/>
      <c r="C2310" s="138"/>
      <c r="D2310" s="139"/>
      <c r="E2310" s="484"/>
      <c r="F2310" s="484"/>
      <c r="G2310" s="484"/>
      <c r="H2310" s="484"/>
      <c r="I2310" s="484"/>
      <c r="J2310" s="484"/>
      <c r="K2310" s="140"/>
      <c r="L2310" s="141"/>
    </row>
    <row r="2311" spans="1:12" ht="17.25" thickBot="1">
      <c r="A2311" s="126"/>
      <c r="B2311" s="127"/>
      <c r="C2311" s="138"/>
      <c r="D2311" s="139"/>
      <c r="E2311" s="484"/>
      <c r="F2311" s="484"/>
      <c r="G2311" s="484"/>
      <c r="H2311" s="484"/>
      <c r="I2311" s="484"/>
      <c r="J2311" s="484"/>
      <c r="K2311" s="140"/>
      <c r="L2311" s="141"/>
    </row>
    <row r="2312" spans="1:12" ht="17.25" thickBot="1">
      <c r="A2312" s="126"/>
      <c r="B2312" s="127"/>
      <c r="C2312" s="138"/>
      <c r="D2312" s="139"/>
      <c r="E2312" s="484"/>
      <c r="F2312" s="484"/>
      <c r="G2312" s="484"/>
      <c r="H2312" s="484"/>
      <c r="I2312" s="484"/>
      <c r="J2312" s="484"/>
      <c r="K2312" s="140"/>
      <c r="L2312" s="141"/>
    </row>
    <row r="2313" spans="1:12" ht="17.25" thickBot="1">
      <c r="A2313" s="126"/>
      <c r="B2313" s="127"/>
      <c r="C2313" s="138"/>
      <c r="D2313" s="139"/>
      <c r="E2313" s="484"/>
      <c r="F2313" s="484"/>
      <c r="G2313" s="484"/>
      <c r="H2313" s="484"/>
      <c r="I2313" s="484"/>
      <c r="J2313" s="484"/>
      <c r="K2313" s="140"/>
      <c r="L2313" s="141"/>
    </row>
    <row r="2314" spans="1:12" ht="17.25" thickBot="1">
      <c r="A2314" s="126"/>
      <c r="B2314" s="127"/>
      <c r="C2314" s="138"/>
      <c r="D2314" s="139"/>
      <c r="E2314" s="484"/>
      <c r="F2314" s="484"/>
      <c r="G2314" s="484"/>
      <c r="H2314" s="484"/>
      <c r="I2314" s="484"/>
      <c r="J2314" s="484"/>
      <c r="K2314" s="140"/>
      <c r="L2314" s="141"/>
    </row>
    <row r="2315" spans="1:12" ht="17.25" thickBot="1">
      <c r="A2315" s="126"/>
      <c r="B2315" s="127"/>
      <c r="C2315" s="138"/>
      <c r="D2315" s="139"/>
      <c r="E2315" s="484"/>
      <c r="F2315" s="484"/>
      <c r="G2315" s="484"/>
      <c r="H2315" s="484"/>
      <c r="I2315" s="484"/>
      <c r="J2315" s="484"/>
      <c r="K2315" s="140"/>
      <c r="L2315" s="141"/>
    </row>
    <row r="2316" spans="1:12" ht="17.25" thickBot="1">
      <c r="A2316" s="126"/>
      <c r="B2316" s="127"/>
      <c r="C2316" s="138"/>
      <c r="D2316" s="139"/>
      <c r="E2316" s="484"/>
      <c r="F2316" s="484"/>
      <c r="G2316" s="484"/>
      <c r="H2316" s="484"/>
      <c r="I2316" s="484"/>
      <c r="J2316" s="484"/>
      <c r="K2316" s="140"/>
      <c r="L2316" s="141"/>
    </row>
    <row r="2317" spans="1:12" ht="17.25" thickBot="1">
      <c r="A2317" s="126"/>
      <c r="B2317" s="127"/>
      <c r="C2317" s="138"/>
      <c r="D2317" s="139"/>
      <c r="E2317" s="484"/>
      <c r="F2317" s="484"/>
      <c r="G2317" s="484"/>
      <c r="H2317" s="484"/>
      <c r="I2317" s="484"/>
      <c r="J2317" s="484"/>
      <c r="K2317" s="140"/>
      <c r="L2317" s="141"/>
    </row>
    <row r="2318" spans="1:12" ht="17.25" thickBot="1">
      <c r="A2318" s="126"/>
      <c r="B2318" s="127"/>
      <c r="C2318" s="138"/>
      <c r="D2318" s="139"/>
      <c r="E2318" s="484"/>
      <c r="F2318" s="484"/>
      <c r="G2318" s="484"/>
      <c r="H2318" s="484"/>
      <c r="I2318" s="484"/>
      <c r="J2318" s="484"/>
      <c r="K2318" s="140"/>
      <c r="L2318" s="141"/>
    </row>
    <row r="2319" spans="1:12" ht="17.25" thickBot="1">
      <c r="A2319" s="126"/>
      <c r="B2319" s="127"/>
      <c r="C2319" s="138"/>
      <c r="D2319" s="139"/>
      <c r="E2319" s="484"/>
      <c r="F2319" s="484"/>
      <c r="G2319" s="484"/>
      <c r="H2319" s="484"/>
      <c r="I2319" s="484"/>
      <c r="J2319" s="484"/>
      <c r="K2319" s="140"/>
      <c r="L2319" s="141"/>
    </row>
    <row r="2320" spans="1:12" ht="17.25" thickBot="1">
      <c r="A2320" s="126"/>
      <c r="B2320" s="127"/>
      <c r="C2320" s="138"/>
      <c r="D2320" s="139"/>
      <c r="E2320" s="484"/>
      <c r="F2320" s="484"/>
      <c r="G2320" s="484"/>
      <c r="H2320" s="484"/>
      <c r="I2320" s="484"/>
      <c r="J2320" s="484"/>
      <c r="K2320" s="140"/>
      <c r="L2320" s="141"/>
    </row>
    <row r="2321" spans="1:12" ht="17.25" thickBot="1">
      <c r="A2321" s="126"/>
      <c r="B2321" s="127"/>
      <c r="C2321" s="138"/>
      <c r="D2321" s="139"/>
      <c r="E2321" s="484"/>
      <c r="F2321" s="484"/>
      <c r="G2321" s="484"/>
      <c r="H2321" s="484"/>
      <c r="I2321" s="484"/>
      <c r="J2321" s="484"/>
      <c r="K2321" s="140"/>
      <c r="L2321" s="141"/>
    </row>
    <row r="2322" spans="1:12" ht="17.25" thickBot="1">
      <c r="A2322" s="126"/>
      <c r="B2322" s="127"/>
      <c r="C2322" s="138"/>
      <c r="D2322" s="139"/>
      <c r="E2322" s="484"/>
      <c r="F2322" s="484"/>
      <c r="G2322" s="484"/>
      <c r="H2322" s="484"/>
      <c r="I2322" s="484"/>
      <c r="J2322" s="484"/>
      <c r="K2322" s="140"/>
      <c r="L2322" s="141"/>
    </row>
    <row r="2323" spans="1:12" ht="17.25" thickBot="1">
      <c r="A2323" s="126"/>
      <c r="B2323" s="127"/>
      <c r="C2323" s="138"/>
      <c r="D2323" s="139"/>
      <c r="E2323" s="484"/>
      <c r="F2323" s="484"/>
      <c r="G2323" s="484"/>
      <c r="H2323" s="484"/>
      <c r="I2323" s="484"/>
      <c r="J2323" s="484"/>
      <c r="K2323" s="140"/>
      <c r="L2323" s="141"/>
    </row>
    <row r="2324" spans="1:12" ht="17.25" thickBot="1">
      <c r="A2324" s="126"/>
      <c r="B2324" s="127"/>
      <c r="C2324" s="138"/>
      <c r="D2324" s="139"/>
      <c r="E2324" s="484"/>
      <c r="F2324" s="484"/>
      <c r="G2324" s="484"/>
      <c r="H2324" s="484"/>
      <c r="I2324" s="484"/>
      <c r="J2324" s="484"/>
      <c r="K2324" s="140"/>
      <c r="L2324" s="141"/>
    </row>
    <row r="2325" spans="1:12" ht="17.25" thickBot="1">
      <c r="A2325" s="126"/>
      <c r="B2325" s="127"/>
      <c r="C2325" s="138"/>
      <c r="D2325" s="139"/>
      <c r="E2325" s="484"/>
      <c r="F2325" s="484"/>
      <c r="G2325" s="484"/>
      <c r="H2325" s="484"/>
      <c r="I2325" s="484"/>
      <c r="J2325" s="484"/>
      <c r="K2325" s="140"/>
      <c r="L2325" s="141"/>
    </row>
    <row r="2326" spans="1:12" ht="17.25" thickBot="1">
      <c r="A2326" s="126"/>
      <c r="B2326" s="127"/>
      <c r="C2326" s="138"/>
      <c r="D2326" s="139"/>
      <c r="E2326" s="484"/>
      <c r="F2326" s="484"/>
      <c r="G2326" s="484"/>
      <c r="H2326" s="484"/>
      <c r="I2326" s="484"/>
      <c r="J2326" s="484"/>
      <c r="K2326" s="140"/>
      <c r="L2326" s="141"/>
    </row>
    <row r="2327" spans="1:12" ht="17.25" thickBot="1">
      <c r="A2327" s="126"/>
      <c r="B2327" s="127"/>
      <c r="C2327" s="138"/>
      <c r="D2327" s="139"/>
      <c r="E2327" s="484"/>
      <c r="F2327" s="484"/>
      <c r="G2327" s="484"/>
      <c r="H2327" s="484"/>
      <c r="I2327" s="484"/>
      <c r="J2327" s="484"/>
      <c r="K2327" s="140"/>
      <c r="L2327" s="141"/>
    </row>
    <row r="2328" spans="1:12" ht="17.25" thickBot="1">
      <c r="A2328" s="126"/>
      <c r="B2328" s="127"/>
      <c r="C2328" s="138"/>
      <c r="D2328" s="139"/>
      <c r="E2328" s="484"/>
      <c r="F2328" s="484"/>
      <c r="G2328" s="484"/>
      <c r="H2328" s="484"/>
      <c r="I2328" s="484"/>
      <c r="J2328" s="484"/>
      <c r="K2328" s="140"/>
      <c r="L2328" s="141"/>
    </row>
    <row r="2329" spans="1:12" ht="17.25" thickBot="1">
      <c r="A2329" s="126"/>
      <c r="B2329" s="127"/>
      <c r="C2329" s="138"/>
      <c r="D2329" s="139"/>
      <c r="E2329" s="484"/>
      <c r="F2329" s="484"/>
      <c r="G2329" s="484"/>
      <c r="H2329" s="484"/>
      <c r="I2329" s="484"/>
      <c r="J2329" s="484"/>
      <c r="K2329" s="140"/>
      <c r="L2329" s="141"/>
    </row>
    <row r="2330" spans="1:12" ht="17.25" thickBot="1">
      <c r="A2330" s="126"/>
      <c r="B2330" s="127"/>
      <c r="C2330" s="138"/>
      <c r="D2330" s="139"/>
      <c r="E2330" s="484"/>
      <c r="F2330" s="484"/>
      <c r="G2330" s="484"/>
      <c r="H2330" s="484"/>
      <c r="I2330" s="484"/>
      <c r="J2330" s="484"/>
      <c r="K2330" s="140"/>
      <c r="L2330" s="141"/>
    </row>
    <row r="2331" spans="1:12" ht="17.25" thickBot="1">
      <c r="A2331" s="126"/>
      <c r="B2331" s="127"/>
      <c r="C2331" s="138"/>
      <c r="D2331" s="139"/>
      <c r="E2331" s="484"/>
      <c r="F2331" s="484"/>
      <c r="G2331" s="484"/>
      <c r="H2331" s="484"/>
      <c r="I2331" s="484"/>
      <c r="J2331" s="484"/>
      <c r="K2331" s="140"/>
      <c r="L2331" s="141"/>
    </row>
    <row r="2332" spans="1:12" ht="17.25" thickBot="1">
      <c r="A2332" s="126"/>
      <c r="B2332" s="127"/>
      <c r="C2332" s="138"/>
      <c r="D2332" s="139"/>
      <c r="E2332" s="484"/>
      <c r="F2332" s="484"/>
      <c r="G2332" s="484"/>
      <c r="H2332" s="484"/>
      <c r="I2332" s="484"/>
      <c r="J2332" s="484"/>
      <c r="K2332" s="140"/>
      <c r="L2332" s="141"/>
    </row>
    <row r="2333" spans="1:12" ht="17.25" thickBot="1">
      <c r="A2333" s="126"/>
      <c r="B2333" s="127"/>
      <c r="C2333" s="138"/>
      <c r="D2333" s="139"/>
      <c r="E2333" s="484"/>
      <c r="F2333" s="484"/>
      <c r="G2333" s="484"/>
      <c r="H2333" s="484"/>
      <c r="I2333" s="484"/>
      <c r="J2333" s="484"/>
      <c r="K2333" s="140"/>
      <c r="L2333" s="141"/>
    </row>
    <row r="2334" spans="1:12" ht="17.25" thickBot="1">
      <c r="A2334" s="126"/>
      <c r="B2334" s="127"/>
      <c r="C2334" s="138"/>
      <c r="D2334" s="139"/>
      <c r="E2334" s="484"/>
      <c r="F2334" s="484"/>
      <c r="G2334" s="484"/>
      <c r="H2334" s="484"/>
      <c r="I2334" s="484"/>
      <c r="J2334" s="484"/>
      <c r="K2334" s="140"/>
      <c r="L2334" s="141"/>
    </row>
    <row r="2335" spans="1:12" ht="17.25" thickBot="1">
      <c r="A2335" s="126"/>
      <c r="B2335" s="127"/>
      <c r="C2335" s="138"/>
      <c r="D2335" s="139"/>
      <c r="E2335" s="484"/>
      <c r="F2335" s="484"/>
      <c r="G2335" s="484"/>
      <c r="H2335" s="484"/>
      <c r="I2335" s="484"/>
      <c r="J2335" s="484"/>
      <c r="K2335" s="140"/>
      <c r="L2335" s="141"/>
    </row>
    <row r="2336" spans="1:12" ht="17.25" thickBot="1">
      <c r="A2336" s="126"/>
      <c r="B2336" s="127"/>
      <c r="C2336" s="138"/>
      <c r="D2336" s="139"/>
      <c r="E2336" s="484"/>
      <c r="F2336" s="484"/>
      <c r="G2336" s="484"/>
      <c r="H2336" s="484"/>
      <c r="I2336" s="484"/>
      <c r="J2336" s="484"/>
      <c r="K2336" s="140"/>
      <c r="L2336" s="141"/>
    </row>
    <row r="2337" spans="1:12" ht="17.25" thickBot="1">
      <c r="A2337" s="126"/>
      <c r="B2337" s="127"/>
      <c r="C2337" s="138"/>
      <c r="D2337" s="139"/>
      <c r="E2337" s="484"/>
      <c r="F2337" s="484"/>
      <c r="G2337" s="484"/>
      <c r="H2337" s="484"/>
      <c r="I2337" s="484"/>
      <c r="J2337" s="484"/>
      <c r="K2337" s="140"/>
      <c r="L2337" s="141"/>
    </row>
    <row r="2338" spans="1:12" ht="17.25" thickBot="1">
      <c r="A2338" s="126"/>
      <c r="B2338" s="127"/>
      <c r="C2338" s="138"/>
      <c r="D2338" s="139"/>
      <c r="E2338" s="484"/>
      <c r="F2338" s="484"/>
      <c r="G2338" s="484"/>
      <c r="H2338" s="484"/>
      <c r="I2338" s="484"/>
      <c r="J2338" s="484"/>
      <c r="K2338" s="140"/>
      <c r="L2338" s="141"/>
    </row>
    <row r="2339" spans="1:12" ht="17.25" thickBot="1">
      <c r="A2339" s="126"/>
      <c r="B2339" s="127"/>
      <c r="C2339" s="138"/>
      <c r="D2339" s="139"/>
      <c r="E2339" s="484"/>
      <c r="F2339" s="484"/>
      <c r="G2339" s="484"/>
      <c r="H2339" s="484"/>
      <c r="I2339" s="484"/>
      <c r="J2339" s="484"/>
      <c r="K2339" s="140"/>
      <c r="L2339" s="141"/>
    </row>
    <row r="2340" spans="1:12" ht="17.25" thickBot="1">
      <c r="A2340" s="126"/>
      <c r="B2340" s="127"/>
      <c r="C2340" s="138"/>
      <c r="D2340" s="139"/>
      <c r="E2340" s="484"/>
      <c r="F2340" s="484"/>
      <c r="G2340" s="484"/>
      <c r="H2340" s="484"/>
      <c r="I2340" s="484"/>
      <c r="J2340" s="484"/>
      <c r="K2340" s="140"/>
      <c r="L2340" s="141"/>
    </row>
    <row r="2341" spans="1:12" ht="17.25" thickBot="1">
      <c r="A2341" s="126"/>
      <c r="B2341" s="127"/>
      <c r="C2341" s="138"/>
      <c r="D2341" s="139"/>
      <c r="E2341" s="484"/>
      <c r="F2341" s="484"/>
      <c r="G2341" s="484"/>
      <c r="H2341" s="484"/>
      <c r="I2341" s="484"/>
      <c r="J2341" s="484"/>
      <c r="K2341" s="140"/>
      <c r="L2341" s="141"/>
    </row>
    <row r="2342" spans="1:12" ht="17.25" thickBot="1">
      <c r="A2342" s="126"/>
      <c r="B2342" s="127"/>
      <c r="C2342" s="138"/>
      <c r="D2342" s="139"/>
      <c r="E2342" s="484"/>
      <c r="F2342" s="484"/>
      <c r="G2342" s="484"/>
      <c r="H2342" s="484"/>
      <c r="I2342" s="484"/>
      <c r="J2342" s="484"/>
      <c r="K2342" s="140"/>
      <c r="L2342" s="141"/>
    </row>
    <row r="2343" spans="1:12" ht="17.25" thickBot="1">
      <c r="A2343" s="126"/>
      <c r="B2343" s="127"/>
      <c r="C2343" s="138"/>
      <c r="D2343" s="139"/>
      <c r="E2343" s="484"/>
      <c r="F2343" s="484"/>
      <c r="G2343" s="484"/>
      <c r="H2343" s="484"/>
      <c r="I2343" s="484"/>
      <c r="J2343" s="484"/>
      <c r="K2343" s="140"/>
      <c r="L2343" s="141"/>
    </row>
    <row r="2344" spans="1:12" ht="17.25" thickBot="1">
      <c r="A2344" s="126"/>
      <c r="B2344" s="127"/>
      <c r="C2344" s="138"/>
      <c r="D2344" s="139"/>
      <c r="E2344" s="484"/>
      <c r="F2344" s="484"/>
      <c r="G2344" s="484"/>
      <c r="H2344" s="484"/>
      <c r="I2344" s="484"/>
      <c r="J2344" s="484"/>
      <c r="K2344" s="140"/>
      <c r="L2344" s="141"/>
    </row>
    <row r="2345" spans="1:12" ht="17.25" thickBot="1">
      <c r="A2345" s="126"/>
      <c r="B2345" s="127"/>
      <c r="C2345" s="138"/>
      <c r="D2345" s="139"/>
      <c r="E2345" s="484"/>
      <c r="F2345" s="484"/>
      <c r="G2345" s="484"/>
      <c r="H2345" s="484"/>
      <c r="I2345" s="484"/>
      <c r="J2345" s="484"/>
      <c r="K2345" s="140"/>
      <c r="L2345" s="141"/>
    </row>
    <row r="2346" spans="1:12" ht="17.25" thickBot="1">
      <c r="A2346" s="126"/>
      <c r="B2346" s="127"/>
      <c r="C2346" s="138"/>
      <c r="D2346" s="139"/>
      <c r="E2346" s="484"/>
      <c r="F2346" s="484"/>
      <c r="G2346" s="484"/>
      <c r="H2346" s="484"/>
      <c r="I2346" s="484"/>
      <c r="J2346" s="484"/>
      <c r="K2346" s="140"/>
      <c r="L2346" s="141"/>
    </row>
    <row r="2347" spans="1:12" ht="17.25" thickBot="1">
      <c r="A2347" s="126"/>
      <c r="B2347" s="127"/>
      <c r="C2347" s="138"/>
      <c r="D2347" s="139"/>
      <c r="E2347" s="484"/>
      <c r="F2347" s="484"/>
      <c r="G2347" s="484"/>
      <c r="H2347" s="484"/>
      <c r="I2347" s="484"/>
      <c r="J2347" s="484"/>
      <c r="K2347" s="140"/>
      <c r="L2347" s="141"/>
    </row>
    <row r="2348" spans="1:12" ht="17.25" thickBot="1">
      <c r="A2348" s="126"/>
      <c r="B2348" s="127"/>
      <c r="C2348" s="138"/>
      <c r="D2348" s="139"/>
      <c r="E2348" s="484"/>
      <c r="F2348" s="484"/>
      <c r="G2348" s="484"/>
      <c r="H2348" s="484"/>
      <c r="I2348" s="484"/>
      <c r="J2348" s="484"/>
      <c r="K2348" s="140"/>
      <c r="L2348" s="141"/>
    </row>
    <row r="2349" spans="1:12" ht="17.25" thickBot="1">
      <c r="A2349" s="126"/>
      <c r="B2349" s="127"/>
      <c r="C2349" s="138"/>
      <c r="D2349" s="139"/>
      <c r="E2349" s="484"/>
      <c r="F2349" s="484"/>
      <c r="G2349" s="484"/>
      <c r="H2349" s="484"/>
      <c r="I2349" s="484"/>
      <c r="J2349" s="484"/>
      <c r="K2349" s="140"/>
      <c r="L2349" s="141"/>
    </row>
    <row r="2350" spans="1:12" ht="17.25" thickBot="1">
      <c r="A2350" s="126"/>
      <c r="B2350" s="127"/>
      <c r="C2350" s="138"/>
      <c r="D2350" s="139"/>
      <c r="E2350" s="484"/>
      <c r="F2350" s="484"/>
      <c r="G2350" s="484"/>
      <c r="H2350" s="484"/>
      <c r="I2350" s="484"/>
      <c r="J2350" s="484"/>
      <c r="K2350" s="140"/>
      <c r="L2350" s="141"/>
    </row>
    <row r="2351" spans="1:12" ht="17.25" thickBot="1">
      <c r="A2351" s="126"/>
      <c r="B2351" s="127"/>
      <c r="C2351" s="138"/>
      <c r="D2351" s="139"/>
      <c r="E2351" s="484"/>
      <c r="F2351" s="484"/>
      <c r="G2351" s="484"/>
      <c r="H2351" s="484"/>
      <c r="I2351" s="484"/>
      <c r="J2351" s="484"/>
      <c r="K2351" s="140"/>
      <c r="L2351" s="141"/>
    </row>
    <row r="2352" spans="1:12" ht="17.25" thickBot="1">
      <c r="A2352" s="126"/>
      <c r="B2352" s="127"/>
      <c r="C2352" s="138"/>
      <c r="D2352" s="139"/>
      <c r="E2352" s="484"/>
      <c r="F2352" s="484"/>
      <c r="G2352" s="484"/>
      <c r="H2352" s="484"/>
      <c r="I2352" s="484"/>
      <c r="J2352" s="484"/>
      <c r="K2352" s="140"/>
      <c r="L2352" s="141"/>
    </row>
    <row r="2353" spans="1:12" ht="17.25" thickBot="1">
      <c r="A2353" s="126"/>
      <c r="B2353" s="127"/>
      <c r="C2353" s="138"/>
      <c r="D2353" s="139"/>
      <c r="E2353" s="484"/>
      <c r="F2353" s="484"/>
      <c r="G2353" s="484"/>
      <c r="H2353" s="484"/>
      <c r="I2353" s="484"/>
      <c r="J2353" s="484"/>
      <c r="K2353" s="140"/>
      <c r="L2353" s="141"/>
    </row>
    <row r="2354" spans="1:12" ht="17.25" thickBot="1">
      <c r="A2354" s="126"/>
      <c r="B2354" s="127"/>
      <c r="C2354" s="138"/>
      <c r="D2354" s="139"/>
      <c r="E2354" s="484"/>
      <c r="F2354" s="484"/>
      <c r="G2354" s="484"/>
      <c r="H2354" s="484"/>
      <c r="I2354" s="484"/>
      <c r="J2354" s="484"/>
      <c r="K2354" s="140"/>
      <c r="L2354" s="141"/>
    </row>
    <row r="2355" spans="1:12" ht="17.25" thickBot="1">
      <c r="A2355" s="126"/>
      <c r="B2355" s="127"/>
      <c r="C2355" s="138"/>
      <c r="D2355" s="139"/>
      <c r="E2355" s="484"/>
      <c r="F2355" s="484"/>
      <c r="G2355" s="484"/>
      <c r="H2355" s="484"/>
      <c r="I2355" s="484"/>
      <c r="J2355" s="484"/>
      <c r="K2355" s="140"/>
      <c r="L2355" s="141"/>
    </row>
    <row r="2356" spans="1:12" ht="17.25" thickBot="1">
      <c r="A2356" s="126"/>
      <c r="B2356" s="127"/>
      <c r="C2356" s="138"/>
      <c r="D2356" s="139"/>
      <c r="E2356" s="484"/>
      <c r="F2356" s="484"/>
      <c r="G2356" s="484"/>
      <c r="H2356" s="484"/>
      <c r="I2356" s="484"/>
      <c r="J2356" s="484"/>
      <c r="K2356" s="140"/>
      <c r="L2356" s="141"/>
    </row>
    <row r="2357" spans="1:12" ht="17.25" thickBot="1">
      <c r="A2357" s="126"/>
      <c r="B2357" s="127"/>
      <c r="C2357" s="138"/>
      <c r="D2357" s="139"/>
      <c r="E2357" s="484"/>
      <c r="F2357" s="484"/>
      <c r="G2357" s="484"/>
      <c r="H2357" s="484"/>
      <c r="I2357" s="484"/>
      <c r="J2357" s="484"/>
      <c r="K2357" s="140"/>
      <c r="L2357" s="141"/>
    </row>
    <row r="2358" spans="1:12" ht="17.25" thickBot="1">
      <c r="A2358" s="126"/>
      <c r="B2358" s="127"/>
      <c r="C2358" s="138"/>
      <c r="D2358" s="139"/>
      <c r="E2358" s="484"/>
      <c r="F2358" s="484"/>
      <c r="G2358" s="484"/>
      <c r="H2358" s="484"/>
      <c r="I2358" s="484"/>
      <c r="J2358" s="484"/>
      <c r="K2358" s="140"/>
      <c r="L2358" s="141"/>
    </row>
    <row r="2359" spans="1:12" ht="17.25" thickBot="1">
      <c r="A2359" s="126"/>
      <c r="B2359" s="127"/>
      <c r="C2359" s="138"/>
      <c r="D2359" s="139"/>
      <c r="E2359" s="484"/>
      <c r="F2359" s="484"/>
      <c r="G2359" s="484"/>
      <c r="H2359" s="484"/>
      <c r="I2359" s="484"/>
      <c r="J2359" s="484"/>
      <c r="K2359" s="140"/>
      <c r="L2359" s="141"/>
    </row>
    <row r="2360" spans="1:12" ht="17.25" thickBot="1">
      <c r="A2360" s="126"/>
      <c r="B2360" s="127"/>
      <c r="C2360" s="138"/>
      <c r="D2360" s="139"/>
      <c r="E2360" s="484"/>
      <c r="F2360" s="484"/>
      <c r="G2360" s="484"/>
      <c r="H2360" s="484"/>
      <c r="I2360" s="484"/>
      <c r="J2360" s="484"/>
      <c r="K2360" s="140"/>
      <c r="L2360" s="141"/>
    </row>
    <row r="2361" spans="1:12" ht="17.25" thickBot="1">
      <c r="A2361" s="126"/>
      <c r="B2361" s="127"/>
      <c r="C2361" s="138"/>
      <c r="D2361" s="139"/>
      <c r="E2361" s="484"/>
      <c r="F2361" s="484"/>
      <c r="G2361" s="484"/>
      <c r="H2361" s="484"/>
      <c r="I2361" s="484"/>
      <c r="J2361" s="484"/>
      <c r="K2361" s="140"/>
      <c r="L2361" s="141"/>
    </row>
    <row r="2362" spans="1:12" ht="17.25" thickBot="1">
      <c r="A2362" s="126"/>
      <c r="B2362" s="127"/>
      <c r="C2362" s="138"/>
      <c r="D2362" s="139"/>
      <c r="E2362" s="484"/>
      <c r="F2362" s="484"/>
      <c r="G2362" s="484"/>
      <c r="H2362" s="484"/>
      <c r="I2362" s="484"/>
      <c r="J2362" s="484"/>
      <c r="K2362" s="140"/>
      <c r="L2362" s="141"/>
    </row>
    <row r="2363" spans="1:12" ht="17.25" thickBot="1">
      <c r="A2363" s="126"/>
      <c r="B2363" s="127"/>
      <c r="C2363" s="138"/>
      <c r="D2363" s="139"/>
      <c r="E2363" s="484"/>
      <c r="F2363" s="484"/>
      <c r="G2363" s="484"/>
      <c r="H2363" s="484"/>
      <c r="I2363" s="484"/>
      <c r="J2363" s="484"/>
      <c r="K2363" s="140"/>
      <c r="L2363" s="141"/>
    </row>
    <row r="2364" spans="1:12" ht="17.25" thickBot="1">
      <c r="A2364" s="126"/>
      <c r="B2364" s="127"/>
      <c r="C2364" s="138"/>
      <c r="D2364" s="139"/>
      <c r="E2364" s="484"/>
      <c r="F2364" s="484"/>
      <c r="G2364" s="484"/>
      <c r="H2364" s="484"/>
      <c r="I2364" s="484"/>
      <c r="J2364" s="484"/>
      <c r="K2364" s="140"/>
      <c r="L2364" s="141"/>
    </row>
    <row r="2365" spans="1:12" ht="17.25" thickBot="1">
      <c r="A2365" s="126"/>
      <c r="B2365" s="127"/>
      <c r="C2365" s="138"/>
      <c r="D2365" s="139"/>
      <c r="E2365" s="484"/>
      <c r="F2365" s="484"/>
      <c r="G2365" s="484"/>
      <c r="H2365" s="484"/>
      <c r="I2365" s="484"/>
      <c r="J2365" s="484"/>
      <c r="K2365" s="140"/>
      <c r="L2365" s="141"/>
    </row>
    <row r="2366" spans="1:12" ht="17.25" thickBot="1">
      <c r="A2366" s="126"/>
      <c r="B2366" s="127"/>
      <c r="C2366" s="138"/>
      <c r="D2366" s="139"/>
      <c r="E2366" s="484"/>
      <c r="F2366" s="484"/>
      <c r="G2366" s="484"/>
      <c r="H2366" s="484"/>
      <c r="I2366" s="484"/>
      <c r="J2366" s="484"/>
      <c r="K2366" s="140"/>
      <c r="L2366" s="141"/>
    </row>
    <row r="2367" spans="1:12" ht="17.25" thickBot="1">
      <c r="A2367" s="126"/>
      <c r="B2367" s="127"/>
      <c r="C2367" s="138"/>
      <c r="D2367" s="139"/>
      <c r="E2367" s="484"/>
      <c r="F2367" s="484"/>
      <c r="G2367" s="484"/>
      <c r="H2367" s="484"/>
      <c r="I2367" s="484"/>
      <c r="J2367" s="484"/>
      <c r="K2367" s="140"/>
      <c r="L2367" s="141"/>
    </row>
    <row r="2368" spans="1:12" ht="17.25" thickBot="1">
      <c r="A2368" s="126"/>
      <c r="B2368" s="127"/>
      <c r="C2368" s="138"/>
      <c r="D2368" s="139"/>
      <c r="E2368" s="484"/>
      <c r="F2368" s="484"/>
      <c r="G2368" s="484"/>
      <c r="H2368" s="484"/>
      <c r="I2368" s="484"/>
      <c r="J2368" s="484"/>
      <c r="K2368" s="140"/>
      <c r="L2368" s="141"/>
    </row>
    <row r="2369" spans="1:12" ht="17.25" thickBot="1">
      <c r="A2369" s="126"/>
      <c r="B2369" s="127"/>
      <c r="C2369" s="138"/>
      <c r="D2369" s="139"/>
      <c r="E2369" s="484"/>
      <c r="F2369" s="484"/>
      <c r="G2369" s="484"/>
      <c r="H2369" s="484"/>
      <c r="I2369" s="484"/>
      <c r="J2369" s="484"/>
      <c r="K2369" s="140"/>
      <c r="L2369" s="141"/>
    </row>
    <row r="2370" spans="1:12" ht="17.25" thickBot="1">
      <c r="A2370" s="126"/>
      <c r="B2370" s="127"/>
      <c r="C2370" s="138"/>
      <c r="D2370" s="139"/>
      <c r="E2370" s="484"/>
      <c r="F2370" s="484"/>
      <c r="G2370" s="484"/>
      <c r="H2370" s="484"/>
      <c r="I2370" s="484"/>
      <c r="J2370" s="484"/>
      <c r="K2370" s="140"/>
      <c r="L2370" s="141"/>
    </row>
    <row r="2371" spans="1:12" ht="17.25" thickBot="1">
      <c r="A2371" s="126"/>
      <c r="B2371" s="127"/>
      <c r="C2371" s="138"/>
      <c r="D2371" s="139"/>
      <c r="E2371" s="484"/>
      <c r="F2371" s="484"/>
      <c r="G2371" s="484"/>
      <c r="H2371" s="484"/>
      <c r="I2371" s="484"/>
      <c r="J2371" s="484"/>
      <c r="K2371" s="140"/>
      <c r="L2371" s="141"/>
    </row>
    <row r="2372" spans="1:12" ht="17.25" thickBot="1">
      <c r="A2372" s="126"/>
      <c r="B2372" s="127"/>
      <c r="C2372" s="138"/>
      <c r="D2372" s="139"/>
      <c r="E2372" s="484"/>
      <c r="F2372" s="484"/>
      <c r="G2372" s="484"/>
      <c r="H2372" s="484"/>
      <c r="I2372" s="484"/>
      <c r="J2372" s="484"/>
      <c r="K2372" s="140"/>
      <c r="L2372" s="141"/>
    </row>
    <row r="2373" spans="1:12" ht="17.25" thickBot="1">
      <c r="A2373" s="126"/>
      <c r="B2373" s="127"/>
      <c r="C2373" s="138"/>
      <c r="D2373" s="139"/>
      <c r="E2373" s="484"/>
      <c r="F2373" s="484"/>
      <c r="G2373" s="484"/>
      <c r="H2373" s="484"/>
      <c r="I2373" s="484"/>
      <c r="J2373" s="484"/>
      <c r="K2373" s="140"/>
      <c r="L2373" s="141"/>
    </row>
    <row r="2374" spans="1:12" ht="17.25" thickBot="1">
      <c r="A2374" s="126"/>
      <c r="B2374" s="127"/>
      <c r="C2374" s="138"/>
      <c r="D2374" s="139"/>
      <c r="E2374" s="484"/>
      <c r="F2374" s="484"/>
      <c r="G2374" s="484"/>
      <c r="H2374" s="484"/>
      <c r="I2374" s="484"/>
      <c r="J2374" s="484"/>
      <c r="K2374" s="140"/>
      <c r="L2374" s="141"/>
    </row>
    <row r="2375" spans="1:12" ht="17.25" thickBot="1">
      <c r="A2375" s="126"/>
      <c r="B2375" s="127"/>
      <c r="C2375" s="138"/>
      <c r="D2375" s="139"/>
      <c r="E2375" s="484"/>
      <c r="F2375" s="484"/>
      <c r="G2375" s="484"/>
      <c r="H2375" s="484"/>
      <c r="I2375" s="484"/>
      <c r="J2375" s="484"/>
      <c r="K2375" s="140"/>
      <c r="L2375" s="141"/>
    </row>
    <row r="2376" spans="1:12" ht="17.25" thickBot="1">
      <c r="A2376" s="126"/>
      <c r="B2376" s="127"/>
      <c r="C2376" s="138"/>
      <c r="D2376" s="139"/>
      <c r="E2376" s="484"/>
      <c r="F2376" s="484"/>
      <c r="G2376" s="484"/>
      <c r="H2376" s="484"/>
      <c r="I2376" s="484"/>
      <c r="J2376" s="484"/>
      <c r="K2376" s="140"/>
      <c r="L2376" s="141"/>
    </row>
    <row r="2377" spans="1:12" ht="17.25" thickBot="1">
      <c r="A2377" s="126"/>
      <c r="B2377" s="127"/>
      <c r="C2377" s="138"/>
      <c r="D2377" s="139"/>
      <c r="E2377" s="484"/>
      <c r="F2377" s="484"/>
      <c r="G2377" s="484"/>
      <c r="H2377" s="484"/>
      <c r="I2377" s="484"/>
      <c r="J2377" s="484"/>
      <c r="K2377" s="140"/>
      <c r="L2377" s="141"/>
    </row>
    <row r="2378" spans="1:12" ht="17.25" thickBot="1">
      <c r="A2378" s="126"/>
      <c r="B2378" s="127"/>
      <c r="C2378" s="138"/>
      <c r="D2378" s="139"/>
      <c r="E2378" s="484"/>
      <c r="F2378" s="484"/>
      <c r="G2378" s="484"/>
      <c r="H2378" s="484"/>
      <c r="I2378" s="484"/>
      <c r="J2378" s="484"/>
      <c r="K2378" s="140"/>
      <c r="L2378" s="141"/>
    </row>
    <row r="2379" spans="1:12" ht="17.25" thickBot="1">
      <c r="A2379" s="126"/>
      <c r="B2379" s="127"/>
      <c r="C2379" s="138"/>
      <c r="D2379" s="139"/>
      <c r="E2379" s="484"/>
      <c r="F2379" s="484"/>
      <c r="G2379" s="484"/>
      <c r="H2379" s="484"/>
      <c r="I2379" s="484"/>
      <c r="J2379" s="484"/>
      <c r="K2379" s="140"/>
      <c r="L2379" s="141"/>
    </row>
    <row r="2380" spans="1:12" ht="17.25" thickBot="1">
      <c r="A2380" s="126"/>
      <c r="B2380" s="127"/>
      <c r="C2380" s="138"/>
      <c r="D2380" s="139"/>
      <c r="E2380" s="484"/>
      <c r="F2380" s="484"/>
      <c r="G2380" s="484"/>
      <c r="H2380" s="484"/>
      <c r="I2380" s="484"/>
      <c r="J2380" s="484"/>
      <c r="K2380" s="140"/>
      <c r="L2380" s="141"/>
    </row>
    <row r="2381" spans="1:12" ht="17.25" thickBot="1">
      <c r="A2381" s="126"/>
      <c r="B2381" s="127"/>
      <c r="C2381" s="138"/>
      <c r="D2381" s="139"/>
      <c r="E2381" s="484"/>
      <c r="F2381" s="484"/>
      <c r="G2381" s="484"/>
      <c r="H2381" s="484"/>
      <c r="I2381" s="484"/>
      <c r="J2381" s="484"/>
      <c r="K2381" s="140"/>
      <c r="L2381" s="141"/>
    </row>
    <row r="2382" spans="1:12" ht="17.25" thickBot="1">
      <c r="A2382" s="126"/>
      <c r="B2382" s="127"/>
      <c r="C2382" s="138"/>
      <c r="D2382" s="139"/>
      <c r="E2382" s="484"/>
      <c r="F2382" s="484"/>
      <c r="G2382" s="484"/>
      <c r="H2382" s="484"/>
      <c r="I2382" s="484"/>
      <c r="J2382" s="484"/>
      <c r="K2382" s="140"/>
      <c r="L2382" s="141"/>
    </row>
    <row r="2383" spans="1:12" ht="17.25" thickBot="1">
      <c r="A2383" s="126"/>
      <c r="B2383" s="127"/>
      <c r="C2383" s="138"/>
      <c r="D2383" s="139"/>
      <c r="E2383" s="484"/>
      <c r="F2383" s="484"/>
      <c r="G2383" s="484"/>
      <c r="H2383" s="484"/>
      <c r="I2383" s="484"/>
      <c r="J2383" s="484"/>
      <c r="K2383" s="140"/>
      <c r="L2383" s="141"/>
    </row>
    <row r="2384" spans="1:12" ht="17.25" thickBot="1">
      <c r="A2384" s="126"/>
      <c r="B2384" s="127"/>
      <c r="C2384" s="138"/>
      <c r="D2384" s="139"/>
      <c r="E2384" s="484"/>
      <c r="F2384" s="484"/>
      <c r="G2384" s="484"/>
      <c r="H2384" s="484"/>
      <c r="I2384" s="484"/>
      <c r="J2384" s="484"/>
      <c r="K2384" s="140"/>
      <c r="L2384" s="141"/>
    </row>
    <row r="2385" spans="1:12" ht="17.25" thickBot="1">
      <c r="A2385" s="126"/>
      <c r="B2385" s="127"/>
      <c r="C2385" s="138"/>
      <c r="D2385" s="139"/>
      <c r="E2385" s="484"/>
      <c r="F2385" s="484"/>
      <c r="G2385" s="484"/>
      <c r="H2385" s="484"/>
      <c r="I2385" s="484"/>
      <c r="J2385" s="484"/>
      <c r="K2385" s="140"/>
      <c r="L2385" s="141"/>
    </row>
    <row r="2386" spans="1:12" ht="17.25" thickBot="1">
      <c r="A2386" s="126"/>
      <c r="B2386" s="127"/>
      <c r="C2386" s="138"/>
      <c r="D2386" s="139"/>
      <c r="E2386" s="484"/>
      <c r="F2386" s="484"/>
      <c r="G2386" s="484"/>
      <c r="H2386" s="484"/>
      <c r="I2386" s="484"/>
      <c r="J2386" s="484"/>
      <c r="K2386" s="140"/>
      <c r="L2386" s="141"/>
    </row>
    <row r="2387" spans="1:12" ht="17.25" thickBot="1">
      <c r="A2387" s="126"/>
      <c r="B2387" s="127"/>
      <c r="C2387" s="138"/>
      <c r="D2387" s="139"/>
      <c r="E2387" s="484"/>
      <c r="F2387" s="484"/>
      <c r="G2387" s="484"/>
      <c r="H2387" s="484"/>
      <c r="I2387" s="484"/>
      <c r="J2387" s="484"/>
      <c r="K2387" s="140"/>
      <c r="L2387" s="141"/>
    </row>
    <row r="2388" spans="1:12" ht="17.25" thickBot="1">
      <c r="A2388" s="126"/>
      <c r="B2388" s="127"/>
      <c r="C2388" s="138"/>
      <c r="D2388" s="139"/>
      <c r="E2388" s="484"/>
      <c r="F2388" s="484"/>
      <c r="G2388" s="484"/>
      <c r="H2388" s="484"/>
      <c r="I2388" s="484"/>
      <c r="J2388" s="484"/>
      <c r="K2388" s="140"/>
      <c r="L2388" s="141"/>
    </row>
    <row r="2389" spans="1:12" ht="17.25" thickBot="1">
      <c r="A2389" s="126"/>
      <c r="B2389" s="127"/>
      <c r="C2389" s="138"/>
      <c r="D2389" s="139"/>
      <c r="E2389" s="484"/>
      <c r="F2389" s="484"/>
      <c r="G2389" s="484"/>
      <c r="H2389" s="484"/>
      <c r="I2389" s="484"/>
      <c r="J2389" s="484"/>
      <c r="K2389" s="140"/>
      <c r="L2389" s="141"/>
    </row>
    <row r="2390" spans="1:12" ht="17.25" thickBot="1">
      <c r="A2390" s="126"/>
      <c r="B2390" s="127"/>
      <c r="C2390" s="138"/>
      <c r="D2390" s="139"/>
      <c r="E2390" s="484"/>
      <c r="F2390" s="484"/>
      <c r="G2390" s="484"/>
      <c r="H2390" s="484"/>
      <c r="I2390" s="484"/>
      <c r="J2390" s="484"/>
      <c r="K2390" s="140"/>
      <c r="L2390" s="141"/>
    </row>
    <row r="2391" spans="1:12" ht="17.25" thickBot="1">
      <c r="A2391" s="126"/>
      <c r="B2391" s="127"/>
      <c r="C2391" s="138"/>
      <c r="D2391" s="139"/>
      <c r="E2391" s="484"/>
      <c r="F2391" s="484"/>
      <c r="G2391" s="484"/>
      <c r="H2391" s="484"/>
      <c r="I2391" s="484"/>
      <c r="J2391" s="484"/>
      <c r="K2391" s="140"/>
      <c r="L2391" s="141"/>
    </row>
    <row r="2392" spans="1:12" ht="17.25" thickBot="1">
      <c r="A2392" s="126"/>
      <c r="B2392" s="127"/>
      <c r="C2392" s="138"/>
      <c r="D2392" s="139"/>
      <c r="E2392" s="484"/>
      <c r="F2392" s="484"/>
      <c r="G2392" s="484"/>
      <c r="H2392" s="484"/>
      <c r="I2392" s="484"/>
      <c r="J2392" s="484"/>
      <c r="K2392" s="140"/>
      <c r="L2392" s="141"/>
    </row>
    <row r="2393" spans="1:12" ht="17.25" thickBot="1">
      <c r="A2393" s="126"/>
      <c r="B2393" s="127"/>
      <c r="C2393" s="138"/>
      <c r="D2393" s="139"/>
      <c r="E2393" s="484"/>
      <c r="F2393" s="484"/>
      <c r="G2393" s="484"/>
      <c r="H2393" s="484"/>
      <c r="I2393" s="484"/>
      <c r="J2393" s="484"/>
      <c r="K2393" s="140"/>
      <c r="L2393" s="141"/>
    </row>
    <row r="2394" spans="1:12" ht="17.25" thickBot="1">
      <c r="A2394" s="126"/>
      <c r="B2394" s="127"/>
      <c r="C2394" s="138"/>
      <c r="D2394" s="139"/>
      <c r="E2394" s="484"/>
      <c r="F2394" s="484"/>
      <c r="G2394" s="484"/>
      <c r="H2394" s="484"/>
      <c r="I2394" s="484"/>
      <c r="J2394" s="484"/>
      <c r="K2394" s="140"/>
      <c r="L2394" s="141"/>
    </row>
    <row r="2395" spans="1:12" ht="17.25" thickBot="1">
      <c r="A2395" s="126"/>
      <c r="B2395" s="127"/>
      <c r="C2395" s="138"/>
      <c r="D2395" s="139"/>
      <c r="E2395" s="484"/>
      <c r="F2395" s="484"/>
      <c r="G2395" s="484"/>
      <c r="H2395" s="484"/>
      <c r="I2395" s="484"/>
      <c r="J2395" s="484"/>
      <c r="K2395" s="140"/>
      <c r="L2395" s="141"/>
    </row>
    <row r="2396" spans="1:12" ht="17.25" thickBot="1">
      <c r="A2396" s="126"/>
      <c r="B2396" s="127"/>
      <c r="C2396" s="138"/>
      <c r="D2396" s="139"/>
      <c r="E2396" s="484"/>
      <c r="F2396" s="484"/>
      <c r="G2396" s="484"/>
      <c r="H2396" s="484"/>
      <c r="I2396" s="484"/>
      <c r="J2396" s="484"/>
      <c r="K2396" s="140"/>
      <c r="L2396" s="141"/>
    </row>
    <row r="2397" spans="1:12" ht="17.25" thickBot="1">
      <c r="A2397" s="126"/>
      <c r="B2397" s="127"/>
      <c r="C2397" s="138"/>
      <c r="D2397" s="139"/>
      <c r="E2397" s="484"/>
      <c r="F2397" s="484"/>
      <c r="G2397" s="484"/>
      <c r="H2397" s="484"/>
      <c r="I2397" s="484"/>
      <c r="J2397" s="484"/>
      <c r="K2397" s="140"/>
      <c r="L2397" s="141"/>
    </row>
    <row r="2398" spans="1:12" ht="17.25" thickBot="1">
      <c r="A2398" s="126"/>
      <c r="B2398" s="127"/>
      <c r="C2398" s="138"/>
      <c r="D2398" s="139"/>
      <c r="E2398" s="484"/>
      <c r="F2398" s="484"/>
      <c r="G2398" s="484"/>
      <c r="H2398" s="484"/>
      <c r="I2398" s="484"/>
      <c r="J2398" s="484"/>
      <c r="K2398" s="140"/>
      <c r="L2398" s="141"/>
    </row>
    <row r="2399" spans="1:12" ht="17.25" thickBot="1">
      <c r="A2399" s="126"/>
      <c r="B2399" s="127"/>
      <c r="C2399" s="138"/>
      <c r="D2399" s="139"/>
      <c r="E2399" s="484"/>
      <c r="F2399" s="484"/>
      <c r="G2399" s="484"/>
      <c r="H2399" s="484"/>
      <c r="I2399" s="484"/>
      <c r="J2399" s="484"/>
      <c r="K2399" s="140"/>
      <c r="L2399" s="141"/>
    </row>
    <row r="2400" spans="1:12" ht="17.25" thickBot="1">
      <c r="A2400" s="126"/>
      <c r="B2400" s="127"/>
      <c r="C2400" s="138"/>
      <c r="D2400" s="139"/>
      <c r="E2400" s="484"/>
      <c r="F2400" s="484"/>
      <c r="G2400" s="484"/>
      <c r="H2400" s="484"/>
      <c r="I2400" s="484"/>
      <c r="J2400" s="484"/>
      <c r="K2400" s="140"/>
      <c r="L2400" s="141"/>
    </row>
    <row r="2401" spans="1:12" ht="17.25" thickBot="1">
      <c r="A2401" s="126"/>
      <c r="B2401" s="127"/>
      <c r="C2401" s="138"/>
      <c r="D2401" s="139"/>
      <c r="E2401" s="484"/>
      <c r="F2401" s="484"/>
      <c r="G2401" s="484"/>
      <c r="H2401" s="484"/>
      <c r="I2401" s="484"/>
      <c r="J2401" s="484"/>
      <c r="K2401" s="140"/>
      <c r="L2401" s="141"/>
    </row>
    <row r="2402" spans="1:12" ht="17.25" thickBot="1">
      <c r="A2402" s="126"/>
      <c r="B2402" s="127"/>
      <c r="C2402" s="138"/>
      <c r="D2402" s="139"/>
      <c r="E2402" s="484"/>
      <c r="F2402" s="484"/>
      <c r="G2402" s="484"/>
      <c r="H2402" s="484"/>
      <c r="I2402" s="484"/>
      <c r="J2402" s="484"/>
      <c r="K2402" s="140"/>
      <c r="L2402" s="141"/>
    </row>
    <row r="2403" spans="1:12" ht="17.25" thickBot="1">
      <c r="A2403" s="126"/>
      <c r="B2403" s="127"/>
      <c r="C2403" s="138"/>
      <c r="D2403" s="139"/>
      <c r="E2403" s="484"/>
      <c r="F2403" s="484"/>
      <c r="G2403" s="484"/>
      <c r="H2403" s="484"/>
      <c r="I2403" s="484"/>
      <c r="J2403" s="484"/>
      <c r="K2403" s="140"/>
      <c r="L2403" s="141"/>
    </row>
    <row r="2404" spans="1:12" ht="17.25" thickBot="1">
      <c r="A2404" s="126"/>
      <c r="B2404" s="127"/>
      <c r="C2404" s="138"/>
      <c r="D2404" s="139"/>
      <c r="E2404" s="484"/>
      <c r="F2404" s="484"/>
      <c r="G2404" s="484"/>
      <c r="H2404" s="484"/>
      <c r="I2404" s="484"/>
      <c r="J2404" s="484"/>
      <c r="K2404" s="140"/>
      <c r="L2404" s="141"/>
    </row>
    <row r="2405" spans="1:12" ht="17.25" thickBot="1">
      <c r="A2405" s="126"/>
      <c r="B2405" s="127"/>
      <c r="C2405" s="138"/>
      <c r="D2405" s="139"/>
      <c r="E2405" s="484"/>
      <c r="F2405" s="484"/>
      <c r="G2405" s="484"/>
      <c r="H2405" s="484"/>
      <c r="I2405" s="484"/>
      <c r="J2405" s="484"/>
      <c r="K2405" s="140"/>
      <c r="L2405" s="141"/>
    </row>
    <row r="2406" spans="1:12" ht="17.25" thickBot="1">
      <c r="A2406" s="126"/>
      <c r="B2406" s="127"/>
      <c r="C2406" s="138"/>
      <c r="D2406" s="139"/>
      <c r="E2406" s="484"/>
      <c r="F2406" s="484"/>
      <c r="G2406" s="484"/>
      <c r="H2406" s="484"/>
      <c r="I2406" s="484"/>
      <c r="J2406" s="484"/>
      <c r="K2406" s="140"/>
      <c r="L2406" s="141"/>
    </row>
    <row r="2407" spans="1:12" ht="17.25" thickBot="1">
      <c r="A2407" s="126"/>
      <c r="B2407" s="127"/>
      <c r="C2407" s="138"/>
      <c r="D2407" s="139"/>
      <c r="E2407" s="484"/>
      <c r="F2407" s="484"/>
      <c r="G2407" s="484"/>
      <c r="H2407" s="484"/>
      <c r="I2407" s="484"/>
      <c r="J2407" s="484"/>
      <c r="K2407" s="140"/>
      <c r="L2407" s="141"/>
    </row>
    <row r="2408" spans="1:12" ht="17.25" thickBot="1">
      <c r="A2408" s="126"/>
      <c r="B2408" s="127"/>
      <c r="C2408" s="138"/>
      <c r="D2408" s="139"/>
      <c r="E2408" s="484"/>
      <c r="F2408" s="484"/>
      <c r="G2408" s="484"/>
      <c r="H2408" s="484"/>
      <c r="I2408" s="484"/>
      <c r="J2408" s="484"/>
      <c r="K2408" s="140"/>
      <c r="L2408" s="141"/>
    </row>
    <row r="2409" spans="1:12" ht="17.25" thickBot="1">
      <c r="A2409" s="126"/>
      <c r="B2409" s="127"/>
      <c r="C2409" s="138"/>
      <c r="D2409" s="139"/>
      <c r="E2409" s="484"/>
      <c r="F2409" s="484"/>
      <c r="G2409" s="484"/>
      <c r="H2409" s="484"/>
      <c r="I2409" s="484"/>
      <c r="J2409" s="484"/>
      <c r="K2409" s="140"/>
      <c r="L2409" s="141"/>
    </row>
    <row r="2410" spans="1:12" ht="17.25" thickBot="1">
      <c r="A2410" s="126"/>
      <c r="B2410" s="127"/>
      <c r="C2410" s="138"/>
      <c r="D2410" s="139"/>
      <c r="E2410" s="484"/>
      <c r="F2410" s="484"/>
      <c r="G2410" s="484"/>
      <c r="H2410" s="484"/>
      <c r="I2410" s="484"/>
      <c r="J2410" s="484"/>
      <c r="K2410" s="140"/>
      <c r="L2410" s="141"/>
    </row>
    <row r="2411" spans="1:12" ht="17.25" thickBot="1">
      <c r="A2411" s="126"/>
      <c r="B2411" s="127"/>
      <c r="C2411" s="138"/>
      <c r="D2411" s="139"/>
      <c r="E2411" s="484"/>
      <c r="F2411" s="484"/>
      <c r="G2411" s="484"/>
      <c r="H2411" s="484"/>
      <c r="I2411" s="484"/>
      <c r="J2411" s="484"/>
      <c r="K2411" s="140"/>
      <c r="L2411" s="141"/>
    </row>
    <row r="2412" spans="1:12" ht="17.25" thickBot="1">
      <c r="A2412" s="126"/>
      <c r="B2412" s="127"/>
      <c r="C2412" s="138"/>
      <c r="D2412" s="139"/>
      <c r="E2412" s="484"/>
      <c r="F2412" s="484"/>
      <c r="G2412" s="484"/>
      <c r="H2412" s="484"/>
      <c r="I2412" s="484"/>
      <c r="J2412" s="484"/>
      <c r="K2412" s="140"/>
      <c r="L2412" s="141"/>
    </row>
    <row r="2413" spans="1:12" ht="17.25" thickBot="1">
      <c r="A2413" s="126"/>
      <c r="B2413" s="127"/>
      <c r="C2413" s="138"/>
      <c r="D2413" s="139"/>
      <c r="E2413" s="484"/>
      <c r="F2413" s="484"/>
      <c r="G2413" s="484"/>
      <c r="H2413" s="484"/>
      <c r="I2413" s="484"/>
      <c r="J2413" s="484"/>
      <c r="K2413" s="140"/>
      <c r="L2413" s="141"/>
    </row>
    <row r="2414" spans="1:12" ht="17.25" thickBot="1">
      <c r="A2414" s="126"/>
      <c r="B2414" s="127"/>
      <c r="C2414" s="138"/>
      <c r="D2414" s="139"/>
      <c r="E2414" s="484"/>
      <c r="F2414" s="484"/>
      <c r="G2414" s="484"/>
      <c r="H2414" s="484"/>
      <c r="I2414" s="484"/>
      <c r="J2414" s="484"/>
      <c r="K2414" s="140"/>
      <c r="L2414" s="141"/>
    </row>
    <row r="2415" spans="1:12" ht="17.25" thickBot="1">
      <c r="A2415" s="126"/>
      <c r="B2415" s="127"/>
      <c r="C2415" s="138"/>
      <c r="D2415" s="139"/>
      <c r="E2415" s="484"/>
      <c r="F2415" s="484"/>
      <c r="G2415" s="484"/>
      <c r="H2415" s="484"/>
      <c r="I2415" s="484"/>
      <c r="J2415" s="484"/>
      <c r="K2415" s="140"/>
      <c r="L2415" s="141"/>
    </row>
    <row r="2416" spans="1:12" ht="17.25" thickBot="1">
      <c r="A2416" s="126"/>
      <c r="B2416" s="127"/>
      <c r="C2416" s="138"/>
      <c r="D2416" s="139"/>
      <c r="E2416" s="484"/>
      <c r="F2416" s="484"/>
      <c r="G2416" s="484"/>
      <c r="H2416" s="484"/>
      <c r="I2416" s="484"/>
      <c r="J2416" s="484"/>
      <c r="K2416" s="140"/>
      <c r="L2416" s="141"/>
    </row>
    <row r="2417" spans="1:12" ht="17.25" thickBot="1">
      <c r="A2417" s="126"/>
      <c r="B2417" s="127"/>
      <c r="C2417" s="138"/>
      <c r="D2417" s="139"/>
      <c r="E2417" s="484"/>
      <c r="F2417" s="484"/>
      <c r="G2417" s="484"/>
      <c r="H2417" s="484"/>
      <c r="I2417" s="484"/>
      <c r="J2417" s="484"/>
      <c r="K2417" s="140"/>
      <c r="L2417" s="141"/>
    </row>
    <row r="2418" spans="1:12" ht="17.25" thickBot="1">
      <c r="A2418" s="126"/>
      <c r="B2418" s="127"/>
      <c r="C2418" s="138"/>
      <c r="D2418" s="139"/>
      <c r="E2418" s="484"/>
      <c r="F2418" s="484"/>
      <c r="G2418" s="484"/>
      <c r="H2418" s="484"/>
      <c r="I2418" s="484"/>
      <c r="J2418" s="484"/>
      <c r="K2418" s="140"/>
      <c r="L2418" s="141"/>
    </row>
    <row r="2419" spans="1:12" ht="17.25" thickBot="1">
      <c r="A2419" s="126"/>
      <c r="B2419" s="127"/>
      <c r="C2419" s="138"/>
      <c r="D2419" s="139"/>
      <c r="E2419" s="484"/>
      <c r="F2419" s="484"/>
      <c r="G2419" s="484"/>
      <c r="H2419" s="484"/>
      <c r="I2419" s="484"/>
      <c r="J2419" s="484"/>
      <c r="K2419" s="140"/>
      <c r="L2419" s="141"/>
    </row>
    <row r="2420" spans="1:12" ht="17.25" thickBot="1">
      <c r="A2420" s="126"/>
      <c r="B2420" s="127"/>
      <c r="C2420" s="138"/>
      <c r="D2420" s="139"/>
      <c r="E2420" s="484"/>
      <c r="F2420" s="484"/>
      <c r="G2420" s="484"/>
      <c r="H2420" s="484"/>
      <c r="I2420" s="484"/>
      <c r="J2420" s="484"/>
      <c r="K2420" s="140"/>
      <c r="L2420" s="141"/>
    </row>
    <row r="2421" spans="1:12" ht="17.25" thickBot="1">
      <c r="A2421" s="126"/>
      <c r="B2421" s="127"/>
      <c r="C2421" s="138"/>
      <c r="D2421" s="139"/>
      <c r="E2421" s="484"/>
      <c r="F2421" s="484"/>
      <c r="G2421" s="484"/>
      <c r="H2421" s="484"/>
      <c r="I2421" s="484"/>
      <c r="J2421" s="484"/>
      <c r="K2421" s="140"/>
      <c r="L2421" s="141"/>
    </row>
    <row r="2422" spans="1:12" ht="17.25" thickBot="1">
      <c r="A2422" s="126"/>
      <c r="B2422" s="127"/>
      <c r="C2422" s="138"/>
      <c r="D2422" s="139"/>
      <c r="E2422" s="484"/>
      <c r="F2422" s="484"/>
      <c r="G2422" s="484"/>
      <c r="H2422" s="484"/>
      <c r="I2422" s="484"/>
      <c r="J2422" s="484"/>
      <c r="K2422" s="140"/>
      <c r="L2422" s="141"/>
    </row>
    <row r="2423" spans="1:12" ht="17.25" thickBot="1">
      <c r="A2423" s="126"/>
      <c r="B2423" s="127"/>
      <c r="C2423" s="138"/>
      <c r="D2423" s="139"/>
      <c r="E2423" s="484"/>
      <c r="F2423" s="484"/>
      <c r="G2423" s="484"/>
      <c r="H2423" s="484"/>
      <c r="I2423" s="484"/>
      <c r="J2423" s="484"/>
      <c r="K2423" s="140"/>
      <c r="L2423" s="141"/>
    </row>
    <row r="2424" spans="1:12" ht="17.25" thickBot="1">
      <c r="A2424" s="126"/>
      <c r="B2424" s="127"/>
      <c r="C2424" s="138"/>
      <c r="D2424" s="139"/>
      <c r="E2424" s="484"/>
      <c r="F2424" s="484"/>
      <c r="G2424" s="484"/>
      <c r="H2424" s="484"/>
      <c r="I2424" s="484"/>
      <c r="J2424" s="484"/>
      <c r="K2424" s="140"/>
      <c r="L2424" s="141"/>
    </row>
    <row r="2425" spans="1:12" ht="17.25" thickBot="1">
      <c r="A2425" s="126"/>
      <c r="B2425" s="127"/>
      <c r="C2425" s="138"/>
      <c r="D2425" s="139"/>
      <c r="E2425" s="484"/>
      <c r="F2425" s="484"/>
      <c r="G2425" s="484"/>
      <c r="H2425" s="484"/>
      <c r="I2425" s="484"/>
      <c r="J2425" s="484"/>
      <c r="K2425" s="140"/>
      <c r="L2425" s="141"/>
    </row>
    <row r="2426" spans="1:12" ht="17.25" thickBot="1">
      <c r="A2426" s="126"/>
      <c r="B2426" s="127"/>
      <c r="C2426" s="138"/>
      <c r="D2426" s="139"/>
      <c r="E2426" s="484"/>
      <c r="F2426" s="484"/>
      <c r="G2426" s="484"/>
      <c r="H2426" s="484"/>
      <c r="I2426" s="484"/>
      <c r="J2426" s="484"/>
      <c r="K2426" s="140"/>
      <c r="L2426" s="141"/>
    </row>
    <row r="2427" spans="1:12" ht="17.25" thickBot="1">
      <c r="A2427" s="126"/>
      <c r="B2427" s="127"/>
      <c r="C2427" s="138"/>
      <c r="D2427" s="139"/>
      <c r="E2427" s="484"/>
      <c r="F2427" s="484"/>
      <c r="G2427" s="484"/>
      <c r="H2427" s="484"/>
      <c r="I2427" s="484"/>
      <c r="J2427" s="484"/>
      <c r="K2427" s="140"/>
      <c r="L2427" s="141"/>
    </row>
    <row r="2428" spans="1:12" ht="17.25" thickBot="1">
      <c r="A2428" s="126"/>
      <c r="B2428" s="127"/>
      <c r="C2428" s="138"/>
      <c r="D2428" s="139"/>
      <c r="E2428" s="484"/>
      <c r="F2428" s="484"/>
      <c r="G2428" s="484"/>
      <c r="H2428" s="484"/>
      <c r="I2428" s="484"/>
      <c r="J2428" s="484"/>
      <c r="K2428" s="140"/>
      <c r="L2428" s="141"/>
    </row>
    <row r="2429" spans="1:12" ht="17.25" thickBot="1">
      <c r="A2429" s="126"/>
      <c r="B2429" s="127"/>
      <c r="C2429" s="138"/>
      <c r="D2429" s="139"/>
      <c r="E2429" s="484"/>
      <c r="F2429" s="484"/>
      <c r="G2429" s="484"/>
      <c r="H2429" s="484"/>
      <c r="I2429" s="484"/>
      <c r="J2429" s="484"/>
      <c r="K2429" s="140"/>
      <c r="L2429" s="141"/>
    </row>
    <row r="2430" spans="1:12" ht="17.25" thickBot="1">
      <c r="A2430" s="126"/>
      <c r="B2430" s="127"/>
      <c r="C2430" s="138"/>
      <c r="D2430" s="139"/>
      <c r="E2430" s="484"/>
      <c r="F2430" s="484"/>
      <c r="G2430" s="484"/>
      <c r="H2430" s="484"/>
      <c r="I2430" s="484"/>
      <c r="J2430" s="484"/>
      <c r="K2430" s="140"/>
      <c r="L2430" s="141"/>
    </row>
    <row r="2431" spans="1:12" ht="17.25" thickBot="1">
      <c r="A2431" s="126"/>
      <c r="B2431" s="127"/>
      <c r="C2431" s="138"/>
      <c r="D2431" s="139"/>
      <c r="E2431" s="484"/>
      <c r="F2431" s="484"/>
      <c r="G2431" s="484"/>
      <c r="H2431" s="484"/>
      <c r="I2431" s="484"/>
      <c r="J2431" s="484"/>
      <c r="K2431" s="140"/>
      <c r="L2431" s="141"/>
    </row>
    <row r="2432" spans="1:12" ht="17.25" thickBot="1">
      <c r="A2432" s="126"/>
      <c r="B2432" s="127"/>
      <c r="C2432" s="138"/>
      <c r="D2432" s="139"/>
      <c r="E2432" s="484"/>
      <c r="F2432" s="484"/>
      <c r="G2432" s="484"/>
      <c r="H2432" s="484"/>
      <c r="I2432" s="484"/>
      <c r="J2432" s="484"/>
      <c r="K2432" s="140"/>
      <c r="L2432" s="141"/>
    </row>
    <row r="2433" spans="1:12" ht="17.25" thickBot="1">
      <c r="A2433" s="126"/>
      <c r="B2433" s="127"/>
      <c r="C2433" s="138"/>
      <c r="D2433" s="139"/>
      <c r="E2433" s="484"/>
      <c r="F2433" s="484"/>
      <c r="G2433" s="484"/>
      <c r="H2433" s="484"/>
      <c r="I2433" s="484"/>
      <c r="J2433" s="484"/>
      <c r="K2433" s="140"/>
      <c r="L2433" s="141"/>
    </row>
    <row r="2434" spans="1:12" ht="17.25" thickBot="1">
      <c r="A2434" s="126"/>
      <c r="B2434" s="127"/>
      <c r="C2434" s="138"/>
      <c r="D2434" s="139"/>
      <c r="E2434" s="484"/>
      <c r="F2434" s="484"/>
      <c r="G2434" s="484"/>
      <c r="H2434" s="484"/>
      <c r="I2434" s="484"/>
      <c r="J2434" s="484"/>
      <c r="K2434" s="140"/>
      <c r="L2434" s="141"/>
    </row>
    <row r="2435" spans="1:12" ht="17.25" thickBot="1">
      <c r="A2435" s="126"/>
      <c r="B2435" s="127"/>
      <c r="C2435" s="138"/>
      <c r="D2435" s="139"/>
      <c r="E2435" s="484"/>
      <c r="F2435" s="484"/>
      <c r="G2435" s="484"/>
      <c r="H2435" s="484"/>
      <c r="I2435" s="484"/>
      <c r="J2435" s="484"/>
      <c r="K2435" s="140"/>
      <c r="L2435" s="141"/>
    </row>
    <row r="2436" spans="1:12" ht="17.25" thickBot="1">
      <c r="A2436" s="126"/>
      <c r="B2436" s="127"/>
      <c r="C2436" s="138"/>
      <c r="D2436" s="139"/>
      <c r="E2436" s="484"/>
      <c r="F2436" s="484"/>
      <c r="G2436" s="484"/>
      <c r="H2436" s="484"/>
      <c r="I2436" s="484"/>
      <c r="J2436" s="484"/>
      <c r="K2436" s="140"/>
      <c r="L2436" s="141"/>
    </row>
    <row r="2437" spans="1:12" ht="17.25" thickBot="1">
      <c r="A2437" s="126"/>
      <c r="B2437" s="127"/>
      <c r="C2437" s="138"/>
      <c r="D2437" s="139"/>
      <c r="E2437" s="484"/>
      <c r="F2437" s="484"/>
      <c r="G2437" s="484"/>
      <c r="H2437" s="484"/>
      <c r="I2437" s="484"/>
      <c r="J2437" s="484"/>
      <c r="K2437" s="140"/>
      <c r="L2437" s="141"/>
    </row>
    <row r="2438" spans="1:12" ht="17.25" thickBot="1">
      <c r="A2438" s="126"/>
      <c r="B2438" s="127"/>
      <c r="C2438" s="138"/>
      <c r="D2438" s="139"/>
      <c r="E2438" s="484"/>
      <c r="F2438" s="484"/>
      <c r="G2438" s="484"/>
      <c r="H2438" s="484"/>
      <c r="I2438" s="484"/>
      <c r="J2438" s="484"/>
      <c r="K2438" s="140"/>
      <c r="L2438" s="141"/>
    </row>
    <row r="2439" spans="1:12" ht="17.25" thickBot="1">
      <c r="A2439" s="126"/>
      <c r="B2439" s="127"/>
      <c r="C2439" s="138"/>
      <c r="D2439" s="139"/>
      <c r="E2439" s="484"/>
      <c r="F2439" s="484"/>
      <c r="G2439" s="484"/>
      <c r="H2439" s="484"/>
      <c r="I2439" s="484"/>
      <c r="J2439" s="484"/>
      <c r="K2439" s="140"/>
      <c r="L2439" s="141"/>
    </row>
    <row r="2440" spans="1:12" ht="17.25" thickBot="1">
      <c r="A2440" s="126"/>
      <c r="B2440" s="127"/>
      <c r="C2440" s="138"/>
      <c r="D2440" s="139"/>
      <c r="E2440" s="484"/>
      <c r="F2440" s="484"/>
      <c r="G2440" s="484"/>
      <c r="H2440" s="484"/>
      <c r="I2440" s="484"/>
      <c r="J2440" s="484"/>
      <c r="K2440" s="140"/>
      <c r="L2440" s="141"/>
    </row>
    <row r="2441" spans="1:12" ht="17.25" thickBot="1">
      <c r="A2441" s="126"/>
      <c r="B2441" s="127"/>
      <c r="C2441" s="138"/>
      <c r="D2441" s="139"/>
      <c r="E2441" s="484"/>
      <c r="F2441" s="484"/>
      <c r="G2441" s="484"/>
      <c r="H2441" s="484"/>
      <c r="I2441" s="484"/>
      <c r="J2441" s="484"/>
      <c r="K2441" s="140"/>
      <c r="L2441" s="141"/>
    </row>
    <row r="2442" spans="1:12" ht="17.25" thickBot="1">
      <c r="A2442" s="126"/>
      <c r="B2442" s="127"/>
      <c r="C2442" s="138"/>
      <c r="D2442" s="139"/>
      <c r="E2442" s="484"/>
      <c r="F2442" s="484"/>
      <c r="G2442" s="484"/>
      <c r="H2442" s="484"/>
      <c r="I2442" s="484"/>
      <c r="J2442" s="484"/>
      <c r="K2442" s="140"/>
      <c r="L2442" s="141"/>
    </row>
    <row r="2443" spans="1:12" ht="17.25" thickBot="1">
      <c r="A2443" s="126"/>
      <c r="B2443" s="127"/>
      <c r="C2443" s="138"/>
      <c r="D2443" s="139"/>
      <c r="E2443" s="484"/>
      <c r="F2443" s="484"/>
      <c r="G2443" s="484"/>
      <c r="H2443" s="484"/>
      <c r="I2443" s="484"/>
      <c r="J2443" s="484"/>
      <c r="K2443" s="140"/>
      <c r="L2443" s="141"/>
    </row>
    <row r="2444" spans="1:12" ht="17.25" thickBot="1">
      <c r="A2444" s="126"/>
      <c r="B2444" s="127"/>
      <c r="C2444" s="138"/>
      <c r="D2444" s="139"/>
      <c r="E2444" s="484"/>
      <c r="F2444" s="484"/>
      <c r="G2444" s="484"/>
      <c r="H2444" s="484"/>
      <c r="I2444" s="484"/>
      <c r="J2444" s="484"/>
      <c r="K2444" s="140"/>
      <c r="L2444" s="141"/>
    </row>
    <row r="2445" spans="1:12" ht="17.25" thickBot="1">
      <c r="A2445" s="126"/>
      <c r="B2445" s="127"/>
      <c r="C2445" s="138"/>
      <c r="D2445" s="139"/>
      <c r="E2445" s="484"/>
      <c r="F2445" s="484"/>
      <c r="G2445" s="484"/>
      <c r="H2445" s="484"/>
      <c r="I2445" s="484"/>
      <c r="J2445" s="484"/>
      <c r="K2445" s="140"/>
      <c r="L2445" s="141"/>
    </row>
    <row r="2446" spans="1:12" ht="17.25" thickBot="1">
      <c r="A2446" s="126"/>
      <c r="B2446" s="127"/>
      <c r="C2446" s="138"/>
      <c r="D2446" s="139"/>
      <c r="E2446" s="484"/>
      <c r="F2446" s="484"/>
      <c r="G2446" s="484"/>
      <c r="H2446" s="484"/>
      <c r="I2446" s="484"/>
      <c r="J2446" s="484"/>
      <c r="K2446" s="140"/>
      <c r="L2446" s="141"/>
    </row>
    <row r="2447" spans="1:12" ht="17.25" thickBot="1">
      <c r="A2447" s="126"/>
      <c r="B2447" s="127"/>
      <c r="C2447" s="138"/>
      <c r="D2447" s="139"/>
      <c r="E2447" s="484"/>
      <c r="F2447" s="484"/>
      <c r="G2447" s="484"/>
      <c r="H2447" s="484"/>
      <c r="I2447" s="484"/>
      <c r="J2447" s="484"/>
      <c r="K2447" s="140"/>
      <c r="L2447" s="141"/>
    </row>
    <row r="2448" spans="1:12" ht="17.25" thickBot="1">
      <c r="A2448" s="126"/>
      <c r="B2448" s="127"/>
      <c r="C2448" s="138"/>
      <c r="D2448" s="139"/>
      <c r="E2448" s="484"/>
      <c r="F2448" s="484"/>
      <c r="G2448" s="484"/>
      <c r="H2448" s="484"/>
      <c r="I2448" s="484"/>
      <c r="J2448" s="484"/>
      <c r="K2448" s="140"/>
      <c r="L2448" s="141"/>
    </row>
    <row r="2449" spans="1:12" ht="17.25" thickBot="1">
      <c r="A2449" s="126"/>
      <c r="B2449" s="127"/>
      <c r="C2449" s="138"/>
      <c r="D2449" s="139"/>
      <c r="E2449" s="484"/>
      <c r="F2449" s="484"/>
      <c r="G2449" s="484"/>
      <c r="H2449" s="484"/>
      <c r="I2449" s="484"/>
      <c r="J2449" s="484"/>
      <c r="K2449" s="140"/>
      <c r="L2449" s="141"/>
    </row>
    <row r="2450" spans="1:12" ht="17.25" thickBot="1">
      <c r="A2450" s="126"/>
      <c r="B2450" s="127"/>
      <c r="C2450" s="138"/>
      <c r="D2450" s="139"/>
      <c r="E2450" s="484"/>
      <c r="F2450" s="484"/>
      <c r="G2450" s="484"/>
      <c r="H2450" s="484"/>
      <c r="I2450" s="484"/>
      <c r="J2450" s="484"/>
      <c r="K2450" s="140"/>
      <c r="L2450" s="141"/>
    </row>
    <row r="2451" spans="1:12" ht="17.25" thickBot="1">
      <c r="A2451" s="126"/>
      <c r="B2451" s="127"/>
      <c r="C2451" s="138"/>
      <c r="D2451" s="139"/>
      <c r="E2451" s="484"/>
      <c r="F2451" s="484"/>
      <c r="G2451" s="484"/>
      <c r="H2451" s="484"/>
      <c r="I2451" s="484"/>
      <c r="J2451" s="484"/>
      <c r="K2451" s="140"/>
      <c r="L2451" s="141"/>
    </row>
    <row r="2452" spans="1:12" ht="17.25" thickBot="1">
      <c r="A2452" s="126"/>
      <c r="B2452" s="127"/>
      <c r="C2452" s="138"/>
      <c r="D2452" s="139"/>
      <c r="E2452" s="484"/>
      <c r="F2452" s="484"/>
      <c r="G2452" s="484"/>
      <c r="H2452" s="484"/>
      <c r="I2452" s="484"/>
      <c r="J2452" s="484"/>
      <c r="K2452" s="140"/>
      <c r="L2452" s="141"/>
    </row>
    <row r="2453" spans="1:12" ht="17.25" thickBot="1">
      <c r="A2453" s="126"/>
      <c r="B2453" s="127"/>
      <c r="C2453" s="138"/>
      <c r="D2453" s="139"/>
      <c r="E2453" s="484"/>
      <c r="F2453" s="484"/>
      <c r="G2453" s="484"/>
      <c r="H2453" s="484"/>
      <c r="I2453" s="484"/>
      <c r="J2453" s="484"/>
      <c r="K2453" s="140"/>
      <c r="L2453" s="141"/>
    </row>
    <row r="2454" spans="1:12" ht="17.25" thickBot="1">
      <c r="A2454" s="126"/>
      <c r="B2454" s="127"/>
      <c r="C2454" s="138"/>
      <c r="D2454" s="139"/>
      <c r="E2454" s="484"/>
      <c r="F2454" s="484"/>
      <c r="G2454" s="484"/>
      <c r="H2454" s="484"/>
      <c r="I2454" s="484"/>
      <c r="J2454" s="484"/>
      <c r="K2454" s="140"/>
      <c r="L2454" s="141"/>
    </row>
    <row r="2455" spans="1:12" ht="17.25" thickBot="1">
      <c r="A2455" s="126"/>
      <c r="B2455" s="127"/>
      <c r="C2455" s="138"/>
      <c r="D2455" s="139"/>
      <c r="E2455" s="484"/>
      <c r="F2455" s="484"/>
      <c r="G2455" s="484"/>
      <c r="H2455" s="484"/>
      <c r="I2455" s="484"/>
      <c r="J2455" s="484"/>
      <c r="K2455" s="140"/>
      <c r="L2455" s="141"/>
    </row>
    <row r="2456" spans="1:12" ht="17.25" thickBot="1">
      <c r="A2456" s="126"/>
      <c r="B2456" s="127"/>
      <c r="C2456" s="138"/>
      <c r="D2456" s="139"/>
      <c r="E2456" s="484"/>
      <c r="F2456" s="484"/>
      <c r="G2456" s="484"/>
      <c r="H2456" s="484"/>
      <c r="I2456" s="484"/>
      <c r="J2456" s="484"/>
      <c r="K2456" s="140"/>
      <c r="L2456" s="141"/>
    </row>
    <row r="2457" spans="1:12" ht="17.25" thickBot="1">
      <c r="A2457" s="126"/>
      <c r="B2457" s="127"/>
      <c r="C2457" s="138"/>
      <c r="D2457" s="139"/>
      <c r="E2457" s="484"/>
      <c r="F2457" s="484"/>
      <c r="G2457" s="484"/>
      <c r="H2457" s="484"/>
      <c r="I2457" s="484"/>
      <c r="J2457" s="484"/>
      <c r="K2457" s="140"/>
      <c r="L2457" s="141"/>
    </row>
    <row r="2458" spans="1:12" ht="17.25" thickBot="1">
      <c r="A2458" s="126"/>
      <c r="B2458" s="127"/>
      <c r="C2458" s="138"/>
      <c r="D2458" s="139"/>
      <c r="E2458" s="484"/>
      <c r="F2458" s="484"/>
      <c r="G2458" s="484"/>
      <c r="H2458" s="484"/>
      <c r="I2458" s="484"/>
      <c r="J2458" s="484"/>
      <c r="K2458" s="140"/>
      <c r="L2458" s="141"/>
    </row>
    <row r="2459" spans="1:12" ht="17.25" thickBot="1">
      <c r="A2459" s="126"/>
      <c r="B2459" s="127"/>
      <c r="C2459" s="138"/>
      <c r="D2459" s="139"/>
      <c r="E2459" s="484"/>
      <c r="F2459" s="484"/>
      <c r="G2459" s="484"/>
      <c r="H2459" s="484"/>
      <c r="I2459" s="484"/>
      <c r="J2459" s="484"/>
      <c r="K2459" s="140"/>
      <c r="L2459" s="141"/>
    </row>
    <row r="2460" spans="1:12" ht="17.25" thickBot="1">
      <c r="A2460" s="126"/>
      <c r="B2460" s="127"/>
      <c r="C2460" s="138"/>
      <c r="D2460" s="139"/>
      <c r="E2460" s="484"/>
      <c r="F2460" s="484"/>
      <c r="G2460" s="484"/>
      <c r="H2460" s="484"/>
      <c r="I2460" s="484"/>
      <c r="J2460" s="484"/>
      <c r="K2460" s="140"/>
      <c r="L2460" s="141"/>
    </row>
    <row r="2461" spans="1:12" ht="17.25" thickBot="1">
      <c r="A2461" s="126"/>
      <c r="B2461" s="127"/>
      <c r="C2461" s="138"/>
      <c r="D2461" s="139"/>
      <c r="E2461" s="484"/>
      <c r="F2461" s="484"/>
      <c r="G2461" s="484"/>
      <c r="H2461" s="484"/>
      <c r="I2461" s="484"/>
      <c r="J2461" s="484"/>
      <c r="K2461" s="140"/>
      <c r="L2461" s="141"/>
    </row>
    <row r="2462" spans="1:12" ht="17.25" thickBot="1">
      <c r="A2462" s="126"/>
      <c r="B2462" s="127"/>
      <c r="C2462" s="138"/>
      <c r="D2462" s="139"/>
      <c r="E2462" s="484"/>
      <c r="F2462" s="484"/>
      <c r="G2462" s="484"/>
      <c r="H2462" s="484"/>
      <c r="I2462" s="484"/>
      <c r="J2462" s="484"/>
      <c r="K2462" s="140"/>
      <c r="L2462" s="141"/>
    </row>
    <row r="2463" spans="1:12" ht="17.25" thickBot="1">
      <c r="A2463" s="126"/>
      <c r="B2463" s="127"/>
      <c r="C2463" s="138"/>
      <c r="D2463" s="139"/>
      <c r="E2463" s="484"/>
      <c r="F2463" s="484"/>
      <c r="G2463" s="484"/>
      <c r="H2463" s="484"/>
      <c r="I2463" s="484"/>
      <c r="J2463" s="484"/>
      <c r="K2463" s="140"/>
      <c r="L2463" s="141"/>
    </row>
    <row r="2464" spans="1:12" ht="17.25" thickBot="1">
      <c r="A2464" s="126"/>
      <c r="B2464" s="127"/>
      <c r="C2464" s="138"/>
      <c r="D2464" s="139"/>
      <c r="E2464" s="484"/>
      <c r="F2464" s="484"/>
      <c r="G2464" s="484"/>
      <c r="H2464" s="484"/>
      <c r="I2464" s="484"/>
      <c r="J2464" s="484"/>
      <c r="K2464" s="140"/>
      <c r="L2464" s="141"/>
    </row>
    <row r="2465" spans="1:12" ht="17.25" thickBot="1">
      <c r="A2465" s="126"/>
      <c r="B2465" s="127"/>
      <c r="C2465" s="138"/>
      <c r="D2465" s="139"/>
      <c r="E2465" s="484"/>
      <c r="F2465" s="484"/>
      <c r="G2465" s="484"/>
      <c r="H2465" s="484"/>
      <c r="I2465" s="484"/>
      <c r="J2465" s="484"/>
      <c r="K2465" s="140"/>
      <c r="L2465" s="141"/>
    </row>
    <row r="2466" spans="1:12" ht="17.25" thickBot="1">
      <c r="A2466" s="126"/>
      <c r="B2466" s="127"/>
      <c r="C2466" s="138"/>
      <c r="D2466" s="139"/>
      <c r="E2466" s="484"/>
      <c r="F2466" s="484"/>
      <c r="G2466" s="484"/>
      <c r="H2466" s="484"/>
      <c r="I2466" s="484"/>
      <c r="J2466" s="484"/>
      <c r="K2466" s="140"/>
      <c r="L2466" s="141"/>
    </row>
    <row r="2467" spans="1:12" ht="17.25" thickBot="1">
      <c r="A2467" s="126"/>
      <c r="B2467" s="127"/>
      <c r="C2467" s="138"/>
      <c r="D2467" s="139"/>
      <c r="E2467" s="484"/>
      <c r="F2467" s="484"/>
      <c r="G2467" s="484"/>
      <c r="H2467" s="484"/>
      <c r="I2467" s="484"/>
      <c r="J2467" s="484"/>
      <c r="K2467" s="140"/>
      <c r="L2467" s="141"/>
    </row>
    <row r="2468" spans="1:12" ht="17.25" thickBot="1">
      <c r="A2468" s="126"/>
      <c r="B2468" s="127"/>
      <c r="C2468" s="138"/>
      <c r="D2468" s="139"/>
      <c r="E2468" s="484"/>
      <c r="F2468" s="484"/>
      <c r="G2468" s="484"/>
      <c r="H2468" s="484"/>
      <c r="I2468" s="484"/>
      <c r="J2468" s="484"/>
      <c r="K2468" s="140"/>
      <c r="L2468" s="141"/>
    </row>
    <row r="2469" spans="1:12" ht="17.25" thickBot="1">
      <c r="A2469" s="126"/>
      <c r="B2469" s="127"/>
      <c r="C2469" s="138"/>
      <c r="D2469" s="139"/>
      <c r="E2469" s="484"/>
      <c r="F2469" s="484"/>
      <c r="G2469" s="484"/>
      <c r="H2469" s="484"/>
      <c r="I2469" s="484"/>
      <c r="J2469" s="484"/>
      <c r="K2469" s="140"/>
      <c r="L2469" s="141"/>
    </row>
    <row r="2470" spans="1:12" ht="17.25" thickBot="1">
      <c r="A2470" s="126"/>
      <c r="B2470" s="127"/>
      <c r="C2470" s="138"/>
      <c r="D2470" s="139"/>
      <c r="E2470" s="484"/>
      <c r="F2470" s="484"/>
      <c r="G2470" s="484"/>
      <c r="H2470" s="484"/>
      <c r="I2470" s="484"/>
      <c r="J2470" s="484"/>
      <c r="K2470" s="140"/>
      <c r="L2470" s="141"/>
    </row>
    <row r="2471" spans="1:12" ht="17.25" thickBot="1">
      <c r="A2471" s="126"/>
      <c r="B2471" s="127"/>
      <c r="C2471" s="138"/>
      <c r="D2471" s="139"/>
      <c r="E2471" s="484"/>
      <c r="F2471" s="484"/>
      <c r="G2471" s="484"/>
      <c r="H2471" s="484"/>
      <c r="I2471" s="484"/>
      <c r="J2471" s="484"/>
      <c r="K2471" s="140"/>
      <c r="L2471" s="141"/>
    </row>
    <row r="2472" spans="1:12" ht="17.25" thickBot="1">
      <c r="A2472" s="126"/>
      <c r="B2472" s="127"/>
      <c r="C2472" s="138"/>
      <c r="D2472" s="139"/>
      <c r="E2472" s="484"/>
      <c r="F2472" s="484"/>
      <c r="G2472" s="484"/>
      <c r="H2472" s="484"/>
      <c r="I2472" s="484"/>
      <c r="J2472" s="484"/>
      <c r="K2472" s="140"/>
      <c r="L2472" s="141"/>
    </row>
    <row r="2473" spans="1:12" ht="17.25" thickBot="1">
      <c r="A2473" s="126"/>
      <c r="B2473" s="127"/>
      <c r="C2473" s="138"/>
      <c r="D2473" s="139"/>
      <c r="E2473" s="484"/>
      <c r="F2473" s="484"/>
      <c r="G2473" s="484"/>
      <c r="H2473" s="484"/>
      <c r="I2473" s="484"/>
      <c r="J2473" s="484"/>
      <c r="K2473" s="140"/>
      <c r="L2473" s="141"/>
    </row>
    <row r="2474" spans="1:12" ht="17.25" thickBot="1">
      <c r="A2474" s="126"/>
      <c r="B2474" s="127"/>
      <c r="C2474" s="138"/>
      <c r="D2474" s="139"/>
      <c r="E2474" s="484"/>
      <c r="F2474" s="484"/>
      <c r="G2474" s="484"/>
      <c r="H2474" s="484"/>
      <c r="I2474" s="484"/>
      <c r="J2474" s="484"/>
      <c r="K2474" s="140"/>
      <c r="L2474" s="141"/>
    </row>
    <row r="2475" spans="1:12" ht="17.25" thickBot="1">
      <c r="A2475" s="126"/>
      <c r="B2475" s="127"/>
      <c r="C2475" s="138"/>
      <c r="D2475" s="139"/>
      <c r="E2475" s="484"/>
      <c r="F2475" s="484"/>
      <c r="G2475" s="484"/>
      <c r="H2475" s="484"/>
      <c r="I2475" s="484"/>
      <c r="J2475" s="484"/>
      <c r="K2475" s="140"/>
      <c r="L2475" s="141"/>
    </row>
    <row r="2476" spans="1:12" ht="17.25" thickBot="1">
      <c r="A2476" s="126"/>
      <c r="B2476" s="127"/>
      <c r="C2476" s="138"/>
      <c r="D2476" s="139"/>
      <c r="E2476" s="484"/>
      <c r="F2476" s="484"/>
      <c r="G2476" s="484"/>
      <c r="H2476" s="484"/>
      <c r="I2476" s="484"/>
      <c r="J2476" s="484"/>
      <c r="K2476" s="140"/>
      <c r="L2476" s="141"/>
    </row>
    <row r="2477" spans="1:12" ht="17.25" thickBot="1">
      <c r="A2477" s="126"/>
      <c r="B2477" s="127"/>
      <c r="C2477" s="138"/>
      <c r="D2477" s="139"/>
      <c r="E2477" s="484"/>
      <c r="F2477" s="484"/>
      <c r="G2477" s="484"/>
      <c r="H2477" s="484"/>
      <c r="I2477" s="484"/>
      <c r="J2477" s="484"/>
      <c r="K2477" s="140"/>
      <c r="L2477" s="141"/>
    </row>
  </sheetData>
  <autoFilter ref="A1:N2477" xr:uid="{00000000-0009-0000-0000-000005000000}">
    <filterColumn colId="4" showButton="0"/>
    <filterColumn colId="6" showButton="0"/>
    <filterColumn colId="7" showButton="0"/>
    <filterColumn colId="8" showButton="0"/>
  </autoFilter>
  <mergeCells count="4954">
    <mergeCell ref="E2236:F2236"/>
    <mergeCell ref="G2236:J2236"/>
    <mergeCell ref="E2237:F2237"/>
    <mergeCell ref="G2237:J2237"/>
    <mergeCell ref="E2238:F2238"/>
    <mergeCell ref="G2238:J2238"/>
    <mergeCell ref="E2227:F2227"/>
    <mergeCell ref="G2227:J2227"/>
    <mergeCell ref="E2228:F2228"/>
    <mergeCell ref="G2228:J2228"/>
    <mergeCell ref="E2229:F2229"/>
    <mergeCell ref="G2229:J2229"/>
    <mergeCell ref="E2230:F2230"/>
    <mergeCell ref="G2230:J2230"/>
    <mergeCell ref="E2231:F2231"/>
    <mergeCell ref="G2231:J2231"/>
    <mergeCell ref="E2232:F2232"/>
    <mergeCell ref="G2232:J2232"/>
    <mergeCell ref="E2233:F2233"/>
    <mergeCell ref="G2233:J2233"/>
    <mergeCell ref="E2234:F2234"/>
    <mergeCell ref="G2234:J2234"/>
    <mergeCell ref="E2219:F2219"/>
    <mergeCell ref="G2219:J2219"/>
    <mergeCell ref="E2220:F2220"/>
    <mergeCell ref="G2220:J2220"/>
    <mergeCell ref="E2221:F2221"/>
    <mergeCell ref="G2221:J2221"/>
    <mergeCell ref="E2222:F2222"/>
    <mergeCell ref="G2222:J2222"/>
    <mergeCell ref="E2223:F2223"/>
    <mergeCell ref="G2223:J2223"/>
    <mergeCell ref="E2224:F2224"/>
    <mergeCell ref="G2224:J2224"/>
    <mergeCell ref="E2225:F2225"/>
    <mergeCell ref="G2225:J2225"/>
    <mergeCell ref="E2226:F2226"/>
    <mergeCell ref="G2226:J2226"/>
    <mergeCell ref="E2235:F2235"/>
    <mergeCell ref="G2235:J2235"/>
    <mergeCell ref="E2211:F2211"/>
    <mergeCell ref="G2211:J2211"/>
    <mergeCell ref="E2212:F2212"/>
    <mergeCell ref="G2212:J2212"/>
    <mergeCell ref="E2213:F2213"/>
    <mergeCell ref="G2213:J2213"/>
    <mergeCell ref="E2214:F2214"/>
    <mergeCell ref="G2214:J2214"/>
    <mergeCell ref="E2215:F2215"/>
    <mergeCell ref="G2215:J2215"/>
    <mergeCell ref="E2216:F2216"/>
    <mergeCell ref="G2216:J2216"/>
    <mergeCell ref="E2217:F2217"/>
    <mergeCell ref="G2217:J2217"/>
    <mergeCell ref="E2218:F2218"/>
    <mergeCell ref="G2218:J2218"/>
    <mergeCell ref="E2202:F2202"/>
    <mergeCell ref="G2202:J2202"/>
    <mergeCell ref="E2203:F2203"/>
    <mergeCell ref="G2203:J2203"/>
    <mergeCell ref="E2204:F2204"/>
    <mergeCell ref="G2204:J2204"/>
    <mergeCell ref="E2205:F2205"/>
    <mergeCell ref="G2205:J2205"/>
    <mergeCell ref="E2206:F2206"/>
    <mergeCell ref="G2206:J2206"/>
    <mergeCell ref="E2207:F2207"/>
    <mergeCell ref="G2207:J2207"/>
    <mergeCell ref="E2208:F2208"/>
    <mergeCell ref="G2208:J2208"/>
    <mergeCell ref="E2209:F2209"/>
    <mergeCell ref="G2209:J2209"/>
    <mergeCell ref="E2210:F2210"/>
    <mergeCell ref="G2210:J2210"/>
    <mergeCell ref="E2194:F2194"/>
    <mergeCell ref="G2194:J2194"/>
    <mergeCell ref="E2195:F2195"/>
    <mergeCell ref="G2195:J2195"/>
    <mergeCell ref="E2196:F2196"/>
    <mergeCell ref="G2196:J2196"/>
    <mergeCell ref="E2197:F2197"/>
    <mergeCell ref="G2197:J2197"/>
    <mergeCell ref="E2198:F2198"/>
    <mergeCell ref="G2198:J2198"/>
    <mergeCell ref="E2199:F2199"/>
    <mergeCell ref="G2199:J2199"/>
    <mergeCell ref="E2200:F2200"/>
    <mergeCell ref="G2200:J2200"/>
    <mergeCell ref="E2201:F2201"/>
    <mergeCell ref="G2201:J2201"/>
    <mergeCell ref="E2178:F2178"/>
    <mergeCell ref="G2178:J2178"/>
    <mergeCell ref="E2188:F2188"/>
    <mergeCell ref="G2188:J2188"/>
    <mergeCell ref="E2189:F2189"/>
    <mergeCell ref="G2189:J2189"/>
    <mergeCell ref="E2190:F2190"/>
    <mergeCell ref="G2190:J2190"/>
    <mergeCell ref="E2191:F2191"/>
    <mergeCell ref="G2191:J2191"/>
    <mergeCell ref="E2192:F2192"/>
    <mergeCell ref="G2192:J2192"/>
    <mergeCell ref="E2193:F2193"/>
    <mergeCell ref="G2193:J2193"/>
    <mergeCell ref="E2179:F2179"/>
    <mergeCell ref="G2179:J2179"/>
    <mergeCell ref="E2180:F2180"/>
    <mergeCell ref="G2180:J2180"/>
    <mergeCell ref="E2181:F2181"/>
    <mergeCell ref="G2181:J2181"/>
    <mergeCell ref="E2182:F2182"/>
    <mergeCell ref="G2182:J2182"/>
    <mergeCell ref="E2183:F2183"/>
    <mergeCell ref="G2183:J2183"/>
    <mergeCell ref="E2184:F2184"/>
    <mergeCell ref="G2184:J2184"/>
    <mergeCell ref="E2185:F2185"/>
    <mergeCell ref="G2185:J2185"/>
    <mergeCell ref="E2186:F2186"/>
    <mergeCell ref="G2186:J2186"/>
    <mergeCell ref="E2163:F2163"/>
    <mergeCell ref="G2163:J2163"/>
    <mergeCell ref="E2164:F2164"/>
    <mergeCell ref="G2164:J2164"/>
    <mergeCell ref="E2165:F2165"/>
    <mergeCell ref="G2165:J2165"/>
    <mergeCell ref="E2166:F2166"/>
    <mergeCell ref="G2166:J2166"/>
    <mergeCell ref="E2167:F2167"/>
    <mergeCell ref="G2167:J2167"/>
    <mergeCell ref="E2168:F2168"/>
    <mergeCell ref="G2168:J2168"/>
    <mergeCell ref="E2169:F2169"/>
    <mergeCell ref="G2169:J2169"/>
    <mergeCell ref="E2170:F2170"/>
    <mergeCell ref="G2170:J2170"/>
    <mergeCell ref="E2187:F2187"/>
    <mergeCell ref="G2187:J2187"/>
    <mergeCell ref="E2171:F2171"/>
    <mergeCell ref="G2171:J2171"/>
    <mergeCell ref="E2172:F2172"/>
    <mergeCell ref="G2172:J2172"/>
    <mergeCell ref="E2173:F2173"/>
    <mergeCell ref="G2173:J2173"/>
    <mergeCell ref="E2174:F2174"/>
    <mergeCell ref="G2174:J2174"/>
    <mergeCell ref="E2175:F2175"/>
    <mergeCell ref="G2175:J2175"/>
    <mergeCell ref="E2176:F2176"/>
    <mergeCell ref="G2176:J2176"/>
    <mergeCell ref="E2177:F2177"/>
    <mergeCell ref="G2177:J2177"/>
    <mergeCell ref="E2154:F2154"/>
    <mergeCell ref="G2154:J2154"/>
    <mergeCell ref="E2155:F2155"/>
    <mergeCell ref="G2155:J2155"/>
    <mergeCell ref="E2156:F2156"/>
    <mergeCell ref="G2156:J2156"/>
    <mergeCell ref="E2157:F2157"/>
    <mergeCell ref="G2157:J2157"/>
    <mergeCell ref="E2158:F2158"/>
    <mergeCell ref="G2158:J2158"/>
    <mergeCell ref="E2159:F2159"/>
    <mergeCell ref="G2159:J2159"/>
    <mergeCell ref="E2160:F2160"/>
    <mergeCell ref="G2160:J2160"/>
    <mergeCell ref="E2161:F2161"/>
    <mergeCell ref="G2161:J2161"/>
    <mergeCell ref="E2162:F2162"/>
    <mergeCell ref="G2162:J2162"/>
    <mergeCell ref="E2145:F2145"/>
    <mergeCell ref="G2145:J2145"/>
    <mergeCell ref="E2146:F2146"/>
    <mergeCell ref="G2146:J2146"/>
    <mergeCell ref="E2147:F2147"/>
    <mergeCell ref="G2147:J2147"/>
    <mergeCell ref="E2148:F2148"/>
    <mergeCell ref="G2148:J2148"/>
    <mergeCell ref="E2149:F2149"/>
    <mergeCell ref="G2149:J2149"/>
    <mergeCell ref="E2150:F2150"/>
    <mergeCell ref="G2150:J2150"/>
    <mergeCell ref="E2151:F2151"/>
    <mergeCell ref="G2151:J2151"/>
    <mergeCell ref="E2152:F2152"/>
    <mergeCell ref="G2152:J2152"/>
    <mergeCell ref="E2153:F2153"/>
    <mergeCell ref="G2153:J2153"/>
    <mergeCell ref="E2136:F2136"/>
    <mergeCell ref="G2136:J2136"/>
    <mergeCell ref="E2137:F2137"/>
    <mergeCell ref="G2137:J2137"/>
    <mergeCell ref="E2138:F2138"/>
    <mergeCell ref="G2138:J2138"/>
    <mergeCell ref="E2139:F2139"/>
    <mergeCell ref="G2139:J2139"/>
    <mergeCell ref="E2140:F2140"/>
    <mergeCell ref="G2140:J2140"/>
    <mergeCell ref="E2141:F2141"/>
    <mergeCell ref="G2141:J2141"/>
    <mergeCell ref="E2142:F2142"/>
    <mergeCell ref="G2142:J2142"/>
    <mergeCell ref="E2143:F2143"/>
    <mergeCell ref="G2143:J2143"/>
    <mergeCell ref="E2144:F2144"/>
    <mergeCell ref="G2144:J2144"/>
    <mergeCell ref="E2127:F2127"/>
    <mergeCell ref="G2127:J2127"/>
    <mergeCell ref="E2128:F2128"/>
    <mergeCell ref="G2128:J2128"/>
    <mergeCell ref="E2129:F2129"/>
    <mergeCell ref="G2129:J2129"/>
    <mergeCell ref="E2130:F2130"/>
    <mergeCell ref="G2130:J2130"/>
    <mergeCell ref="E2131:F2131"/>
    <mergeCell ref="G2131:J2131"/>
    <mergeCell ref="E2132:F2132"/>
    <mergeCell ref="G2132:J2132"/>
    <mergeCell ref="E2133:F2133"/>
    <mergeCell ref="G2133:J2133"/>
    <mergeCell ref="E2134:F2134"/>
    <mergeCell ref="G2134:J2134"/>
    <mergeCell ref="E2135:F2135"/>
    <mergeCell ref="G2135:J2135"/>
    <mergeCell ref="E2120:F2120"/>
    <mergeCell ref="G2120:J2120"/>
    <mergeCell ref="E2121:F2121"/>
    <mergeCell ref="G2121:J2121"/>
    <mergeCell ref="E2122:F2122"/>
    <mergeCell ref="G2122:J2122"/>
    <mergeCell ref="E2123:F2123"/>
    <mergeCell ref="G2123:J2123"/>
    <mergeCell ref="E2124:F2124"/>
    <mergeCell ref="G2124:J2124"/>
    <mergeCell ref="E2125:F2125"/>
    <mergeCell ref="G2125:J2125"/>
    <mergeCell ref="E2126:F2126"/>
    <mergeCell ref="G2126:J2126"/>
    <mergeCell ref="E2112:F2112"/>
    <mergeCell ref="G2112:J2112"/>
    <mergeCell ref="E2113:F2113"/>
    <mergeCell ref="G2113:J2113"/>
    <mergeCell ref="E2114:F2114"/>
    <mergeCell ref="G2114:J2114"/>
    <mergeCell ref="E2115:F2115"/>
    <mergeCell ref="G2115:J2115"/>
    <mergeCell ref="E2116:F2116"/>
    <mergeCell ref="G2116:J2116"/>
    <mergeCell ref="E2117:F2117"/>
    <mergeCell ref="G2117:J2117"/>
    <mergeCell ref="E2118:F2118"/>
    <mergeCell ref="G2118:J2118"/>
    <mergeCell ref="E2119:F2119"/>
    <mergeCell ref="G2119:J2119"/>
    <mergeCell ref="E2103:F2103"/>
    <mergeCell ref="G2103:J2103"/>
    <mergeCell ref="E2104:F2104"/>
    <mergeCell ref="G2104:J2104"/>
    <mergeCell ref="E2105:F2105"/>
    <mergeCell ref="G2105:J2105"/>
    <mergeCell ref="E2106:F2106"/>
    <mergeCell ref="G2106:J2106"/>
    <mergeCell ref="E2107:F2107"/>
    <mergeCell ref="G2107:J2107"/>
    <mergeCell ref="E2108:F2108"/>
    <mergeCell ref="G2108:J2108"/>
    <mergeCell ref="E2109:F2109"/>
    <mergeCell ref="G2109:J2109"/>
    <mergeCell ref="E2110:F2110"/>
    <mergeCell ref="G2110:J2110"/>
    <mergeCell ref="E2111:F2111"/>
    <mergeCell ref="G2111:J2111"/>
    <mergeCell ref="E2097:F2097"/>
    <mergeCell ref="G2097:J2097"/>
    <mergeCell ref="E2098:F2098"/>
    <mergeCell ref="G2098:J2098"/>
    <mergeCell ref="E2099:F2099"/>
    <mergeCell ref="G2099:J2099"/>
    <mergeCell ref="E2100:F2100"/>
    <mergeCell ref="G2100:J2100"/>
    <mergeCell ref="E2101:F2101"/>
    <mergeCell ref="G2101:J2101"/>
    <mergeCell ref="E2102:F2102"/>
    <mergeCell ref="G2102:J2102"/>
    <mergeCell ref="E2096:F2096"/>
    <mergeCell ref="G2096:J2096"/>
    <mergeCell ref="E2080:F2080"/>
    <mergeCell ref="G2080:J2080"/>
    <mergeCell ref="E2081:F2081"/>
    <mergeCell ref="G2081:J2081"/>
    <mergeCell ref="E2082:F2082"/>
    <mergeCell ref="G2082:J2082"/>
    <mergeCell ref="E2083:F2083"/>
    <mergeCell ref="G2083:J2083"/>
    <mergeCell ref="E2084:F2084"/>
    <mergeCell ref="G2084:J2084"/>
    <mergeCell ref="E2085:F2085"/>
    <mergeCell ref="G2085:J2085"/>
    <mergeCell ref="E2086:F2086"/>
    <mergeCell ref="G2086:J2086"/>
    <mergeCell ref="E2087:F2087"/>
    <mergeCell ref="G2087:J2087"/>
    <mergeCell ref="E2078:F2078"/>
    <mergeCell ref="G2078:J2078"/>
    <mergeCell ref="E2079:F2079"/>
    <mergeCell ref="G2079:J2079"/>
    <mergeCell ref="E2089:F2089"/>
    <mergeCell ref="G2089:J2089"/>
    <mergeCell ref="E2090:F2090"/>
    <mergeCell ref="G2090:J2090"/>
    <mergeCell ref="E2091:F2091"/>
    <mergeCell ref="G2091:J2091"/>
    <mergeCell ref="E2092:F2092"/>
    <mergeCell ref="G2092:J2092"/>
    <mergeCell ref="E2093:F2093"/>
    <mergeCell ref="G2093:J2093"/>
    <mergeCell ref="E2094:F2094"/>
    <mergeCell ref="G2094:J2094"/>
    <mergeCell ref="E2095:F2095"/>
    <mergeCell ref="G2095:J2095"/>
    <mergeCell ref="E2063:F2063"/>
    <mergeCell ref="G2063:J2063"/>
    <mergeCell ref="E2064:F2064"/>
    <mergeCell ref="G2064:J2064"/>
    <mergeCell ref="E2065:F2065"/>
    <mergeCell ref="G2065:J2065"/>
    <mergeCell ref="E2066:F2066"/>
    <mergeCell ref="G2066:J2066"/>
    <mergeCell ref="E2067:F2067"/>
    <mergeCell ref="G2067:J2067"/>
    <mergeCell ref="E2068:F2068"/>
    <mergeCell ref="G2068:J2068"/>
    <mergeCell ref="E2069:F2069"/>
    <mergeCell ref="G2069:J2069"/>
    <mergeCell ref="E2070:F2070"/>
    <mergeCell ref="G2070:J2070"/>
    <mergeCell ref="E2088:F2088"/>
    <mergeCell ref="G2088:J2088"/>
    <mergeCell ref="E2071:F2071"/>
    <mergeCell ref="G2071:J2071"/>
    <mergeCell ref="E2072:F2072"/>
    <mergeCell ref="G2072:J2072"/>
    <mergeCell ref="E2073:F2073"/>
    <mergeCell ref="G2073:J2073"/>
    <mergeCell ref="E2074:F2074"/>
    <mergeCell ref="G2074:J2074"/>
    <mergeCell ref="E2075:F2075"/>
    <mergeCell ref="G2075:J2075"/>
    <mergeCell ref="E2076:F2076"/>
    <mergeCell ref="G2076:J2076"/>
    <mergeCell ref="E2077:F2077"/>
    <mergeCell ref="G2077:J2077"/>
    <mergeCell ref="E2054:F2054"/>
    <mergeCell ref="G2054:J2054"/>
    <mergeCell ref="E2055:F2055"/>
    <mergeCell ref="G2055:J2055"/>
    <mergeCell ref="E2056:F2056"/>
    <mergeCell ref="G2056:J2056"/>
    <mergeCell ref="E2057:F2057"/>
    <mergeCell ref="G2057:J2057"/>
    <mergeCell ref="E2058:F2058"/>
    <mergeCell ref="G2058:J2058"/>
    <mergeCell ref="E2059:F2059"/>
    <mergeCell ref="G2059:J2059"/>
    <mergeCell ref="E2060:F2060"/>
    <mergeCell ref="G2060:J2060"/>
    <mergeCell ref="E2061:F2061"/>
    <mergeCell ref="G2061:J2061"/>
    <mergeCell ref="E2062:F2062"/>
    <mergeCell ref="G2062:J2062"/>
    <mergeCell ref="E2045:F2045"/>
    <mergeCell ref="G2045:J2045"/>
    <mergeCell ref="E2046:F2046"/>
    <mergeCell ref="G2046:J2046"/>
    <mergeCell ref="E2047:F2047"/>
    <mergeCell ref="G2047:J2047"/>
    <mergeCell ref="E2048:F2048"/>
    <mergeCell ref="G2048:J2048"/>
    <mergeCell ref="E2049:F2049"/>
    <mergeCell ref="G2049:J2049"/>
    <mergeCell ref="E2050:F2050"/>
    <mergeCell ref="G2050:J2050"/>
    <mergeCell ref="E2051:F2051"/>
    <mergeCell ref="G2051:J2051"/>
    <mergeCell ref="E2052:F2052"/>
    <mergeCell ref="G2052:J2052"/>
    <mergeCell ref="E2053:F2053"/>
    <mergeCell ref="G2053:J2053"/>
    <mergeCell ref="E2036:F2036"/>
    <mergeCell ref="G2036:J2036"/>
    <mergeCell ref="E2037:F2037"/>
    <mergeCell ref="G2037:J2037"/>
    <mergeCell ref="E2038:F2038"/>
    <mergeCell ref="G2038:J2038"/>
    <mergeCell ref="E2039:F2039"/>
    <mergeCell ref="G2039:J2039"/>
    <mergeCell ref="E2040:F2040"/>
    <mergeCell ref="G2040:J2040"/>
    <mergeCell ref="E2041:F2041"/>
    <mergeCell ref="G2041:J2041"/>
    <mergeCell ref="E2042:F2042"/>
    <mergeCell ref="G2042:J2042"/>
    <mergeCell ref="E2043:F2043"/>
    <mergeCell ref="G2043:J2043"/>
    <mergeCell ref="E2044:F2044"/>
    <mergeCell ref="G2044:J2044"/>
    <mergeCell ref="E2035:F2035"/>
    <mergeCell ref="G2035:J2035"/>
    <mergeCell ref="E2021:F2021"/>
    <mergeCell ref="G2021:J2021"/>
    <mergeCell ref="E2022:F2022"/>
    <mergeCell ref="G2022:J2022"/>
    <mergeCell ref="E2023:F2023"/>
    <mergeCell ref="G2023:J2023"/>
    <mergeCell ref="E2024:F2024"/>
    <mergeCell ref="G2024:J2024"/>
    <mergeCell ref="E2025:F2025"/>
    <mergeCell ref="G2025:J2025"/>
    <mergeCell ref="E2026:F2026"/>
    <mergeCell ref="G2026:J2026"/>
    <mergeCell ref="E2027:F2027"/>
    <mergeCell ref="G2027:J2027"/>
    <mergeCell ref="E2028:F2028"/>
    <mergeCell ref="G2028:J2028"/>
    <mergeCell ref="E2029:F2029"/>
    <mergeCell ref="G2029:J2029"/>
    <mergeCell ref="E2030:F2030"/>
    <mergeCell ref="G2030:J2030"/>
    <mergeCell ref="E2031:F2031"/>
    <mergeCell ref="G2031:J2031"/>
    <mergeCell ref="E2032:F2032"/>
    <mergeCell ref="G2032:J2032"/>
    <mergeCell ref="E2033:F2033"/>
    <mergeCell ref="G2033:J2033"/>
    <mergeCell ref="E2034:F2034"/>
    <mergeCell ref="G2034:J2034"/>
    <mergeCell ref="E2018:F2018"/>
    <mergeCell ref="G2018:J2018"/>
    <mergeCell ref="E2019:F2019"/>
    <mergeCell ref="G2019:J2019"/>
    <mergeCell ref="E2020:F2020"/>
    <mergeCell ref="G2020:J2020"/>
    <mergeCell ref="E1995:F1995"/>
    <mergeCell ref="G1995:J1995"/>
    <mergeCell ref="E1992:F1992"/>
    <mergeCell ref="G1992:J1992"/>
    <mergeCell ref="E1993:F1993"/>
    <mergeCell ref="G1993:J1993"/>
    <mergeCell ref="E1994:F1994"/>
    <mergeCell ref="G1994:J1994"/>
    <mergeCell ref="E1981:F1981"/>
    <mergeCell ref="G1981:J1981"/>
    <mergeCell ref="E1982:F1982"/>
    <mergeCell ref="E1997:F1997"/>
    <mergeCell ref="G1997:J1997"/>
    <mergeCell ref="E1998:F1998"/>
    <mergeCell ref="G1998:J1998"/>
    <mergeCell ref="E1999:F1999"/>
    <mergeCell ref="G1999:J1999"/>
    <mergeCell ref="E2000:F2000"/>
    <mergeCell ref="G2000:J2000"/>
    <mergeCell ref="E2015:F2015"/>
    <mergeCell ref="G2015:J2015"/>
    <mergeCell ref="E2016:F2016"/>
    <mergeCell ref="G2016:J2016"/>
    <mergeCell ref="E2017:F2017"/>
    <mergeCell ref="G2017:J2017"/>
    <mergeCell ref="E1989:F1989"/>
    <mergeCell ref="G1963:J1963"/>
    <mergeCell ref="G1975:J1975"/>
    <mergeCell ref="E1976:F1976"/>
    <mergeCell ref="G1976:J1976"/>
    <mergeCell ref="E1972:F1972"/>
    <mergeCell ref="G1972:J1972"/>
    <mergeCell ref="E1973:F1973"/>
    <mergeCell ref="G1973:J1973"/>
    <mergeCell ref="E1969:F1969"/>
    <mergeCell ref="G1969:J1969"/>
    <mergeCell ref="E1970:F1970"/>
    <mergeCell ref="G1970:J1970"/>
    <mergeCell ref="E1971:F1971"/>
    <mergeCell ref="E1967:F1967"/>
    <mergeCell ref="G1967:J1967"/>
    <mergeCell ref="E1968:F1968"/>
    <mergeCell ref="G1983:J1983"/>
    <mergeCell ref="G1974:J1974"/>
    <mergeCell ref="E1975:F1975"/>
    <mergeCell ref="E1977:F1977"/>
    <mergeCell ref="G1977:J1977"/>
    <mergeCell ref="E1974:F1974"/>
    <mergeCell ref="G1989:J1989"/>
    <mergeCell ref="E1990:F1990"/>
    <mergeCell ref="G1990:J1990"/>
    <mergeCell ref="E1991:F1991"/>
    <mergeCell ref="G1991:J1991"/>
    <mergeCell ref="E1986:F1986"/>
    <mergeCell ref="G1986:J1986"/>
    <mergeCell ref="E1987:F1987"/>
    <mergeCell ref="G1987:J1987"/>
    <mergeCell ref="E1988:F1988"/>
    <mergeCell ref="G1988:J1988"/>
    <mergeCell ref="E1983:F1983"/>
    <mergeCell ref="E1980:F1980"/>
    <mergeCell ref="G1980:J1980"/>
    <mergeCell ref="E1984:F1984"/>
    <mergeCell ref="G1984:J1984"/>
    <mergeCell ref="E1985:F1985"/>
    <mergeCell ref="G1985:J1985"/>
    <mergeCell ref="E1293:F1293"/>
    <mergeCell ref="G1292:J1292"/>
    <mergeCell ref="E1311:F1311"/>
    <mergeCell ref="G1300:J1300"/>
    <mergeCell ref="E1301:F1301"/>
    <mergeCell ref="E1323:F1323"/>
    <mergeCell ref="E1292:F1292"/>
    <mergeCell ref="G1299:J1299"/>
    <mergeCell ref="G1311:J1311"/>
    <mergeCell ref="G1303:J1303"/>
    <mergeCell ref="G1305:J1305"/>
    <mergeCell ref="E1306:F1306"/>
    <mergeCell ref="G1310:J1310"/>
    <mergeCell ref="E1308:F1308"/>
    <mergeCell ref="G1295:J1295"/>
    <mergeCell ref="G1982:J1982"/>
    <mergeCell ref="E2014:F2014"/>
    <mergeCell ref="G2014:J2014"/>
    <mergeCell ref="G1940:J1940"/>
    <mergeCell ref="G1968:J1968"/>
    <mergeCell ref="E1952:F1952"/>
    <mergeCell ref="G1952:J1952"/>
    <mergeCell ref="E1935:F1935"/>
    <mergeCell ref="E1965:F1965"/>
    <mergeCell ref="G1965:J1965"/>
    <mergeCell ref="G1953:J1953"/>
    <mergeCell ref="E1954:F1954"/>
    <mergeCell ref="G1954:J1954"/>
    <mergeCell ref="E1963:F1963"/>
    <mergeCell ref="E1936:F1936"/>
    <mergeCell ref="G1936:J1936"/>
    <mergeCell ref="E1953:F1953"/>
    <mergeCell ref="G1939:J1939"/>
    <mergeCell ref="E1357:F1357"/>
    <mergeCell ref="G1357:J1357"/>
    <mergeCell ref="E1358:F1358"/>
    <mergeCell ref="G1358:J1358"/>
    <mergeCell ref="G1328:J1328"/>
    <mergeCell ref="G1934:J1934"/>
    <mergeCell ref="E1930:F1930"/>
    <mergeCell ref="E1940:F1940"/>
    <mergeCell ref="G1329:J1329"/>
    <mergeCell ref="E1331:F1331"/>
    <mergeCell ref="G1331:J1331"/>
    <mergeCell ref="G1287:J1287"/>
    <mergeCell ref="E1288:F1288"/>
    <mergeCell ref="G1288:J1288"/>
    <mergeCell ref="E1289:F1289"/>
    <mergeCell ref="G1289:J1289"/>
    <mergeCell ref="E1319:F1319"/>
    <mergeCell ref="G1319:J1319"/>
    <mergeCell ref="E1320:F1320"/>
    <mergeCell ref="G1320:J1320"/>
    <mergeCell ref="E1315:F1315"/>
    <mergeCell ref="G1315:J1315"/>
    <mergeCell ref="E1316:F1316"/>
    <mergeCell ref="G1316:J1316"/>
    <mergeCell ref="E1324:F1324"/>
    <mergeCell ref="G1324:J1324"/>
    <mergeCell ref="G1293:J1293"/>
    <mergeCell ref="E1294:F1294"/>
    <mergeCell ref="G1294:J1294"/>
    <mergeCell ref="E1295:F1295"/>
    <mergeCell ref="G1323:J1323"/>
    <mergeCell ref="G1325:J1325"/>
    <mergeCell ref="E1344:F1344"/>
    <mergeCell ref="G1344:J1344"/>
    <mergeCell ref="E1339:F1339"/>
    <mergeCell ref="G1339:J1339"/>
    <mergeCell ref="E1340:F1340"/>
    <mergeCell ref="G1340:J1340"/>
    <mergeCell ref="E1341:F1341"/>
    <mergeCell ref="G1341:J1341"/>
    <mergeCell ref="E1336:F1336"/>
    <mergeCell ref="G1336:J1336"/>
    <mergeCell ref="E1337:F1337"/>
    <mergeCell ref="G1337:J1337"/>
    <mergeCell ref="E1338:F1338"/>
    <mergeCell ref="G1338:J1338"/>
    <mergeCell ref="E1333:F1333"/>
    <mergeCell ref="G1333:J1333"/>
    <mergeCell ref="E1326:F1326"/>
    <mergeCell ref="E1335:F1335"/>
    <mergeCell ref="E1286:F1286"/>
    <mergeCell ref="G1286:J1286"/>
    <mergeCell ref="E1287:F1287"/>
    <mergeCell ref="G1326:J1326"/>
    <mergeCell ref="E1321:F1321"/>
    <mergeCell ref="G1321:J1321"/>
    <mergeCell ref="E1322:F1322"/>
    <mergeCell ref="G1322:J1322"/>
    <mergeCell ref="E1978:F1978"/>
    <mergeCell ref="G1978:J1978"/>
    <mergeCell ref="E1960:F1960"/>
    <mergeCell ref="G1960:J1960"/>
    <mergeCell ref="E1961:F1961"/>
    <mergeCell ref="G1961:J1961"/>
    <mergeCell ref="E1962:F1962"/>
    <mergeCell ref="G1962:J1962"/>
    <mergeCell ref="E1957:F1957"/>
    <mergeCell ref="G1957:J1957"/>
    <mergeCell ref="E1958:F1958"/>
    <mergeCell ref="G1958:J1958"/>
    <mergeCell ref="E1959:F1959"/>
    <mergeCell ref="G1959:J1959"/>
    <mergeCell ref="E1955:F1955"/>
    <mergeCell ref="G1955:J1955"/>
    <mergeCell ref="E1956:F1956"/>
    <mergeCell ref="G1956:J1956"/>
    <mergeCell ref="G1971:J1971"/>
    <mergeCell ref="E1773:F1773"/>
    <mergeCell ref="E1966:F1966"/>
    <mergeCell ref="G1966:J1966"/>
    <mergeCell ref="E1325:F1325"/>
    <mergeCell ref="E1943:F1943"/>
    <mergeCell ref="G1930:J1930"/>
    <mergeCell ref="E1979:F1979"/>
    <mergeCell ref="G1979:J1979"/>
    <mergeCell ref="E1946:F1946"/>
    <mergeCell ref="G1946:J1946"/>
    <mergeCell ref="E1947:F1947"/>
    <mergeCell ref="G1947:J1947"/>
    <mergeCell ref="E1948:F1948"/>
    <mergeCell ref="G1948:J1948"/>
    <mergeCell ref="E1944:F1944"/>
    <mergeCell ref="G1944:J1944"/>
    <mergeCell ref="E1945:F1945"/>
    <mergeCell ref="G1945:J1945"/>
    <mergeCell ref="E1941:F1941"/>
    <mergeCell ref="G1941:J1941"/>
    <mergeCell ref="E1942:F1942"/>
    <mergeCell ref="G1942:J1942"/>
    <mergeCell ref="E1964:F1964"/>
    <mergeCell ref="G1964:J1964"/>
    <mergeCell ref="E1949:F1949"/>
    <mergeCell ref="G1949:J1949"/>
    <mergeCell ref="E1950:F1950"/>
    <mergeCell ref="G1950:J1950"/>
    <mergeCell ref="E1951:F1951"/>
    <mergeCell ref="G1951:J1951"/>
    <mergeCell ref="G1937:J1937"/>
    <mergeCell ref="G1938:J1938"/>
    <mergeCell ref="E1939:F1939"/>
    <mergeCell ref="E1933:F1933"/>
    <mergeCell ref="G1933:J1933"/>
    <mergeCell ref="E1937:F1937"/>
    <mergeCell ref="G1935:J1935"/>
    <mergeCell ref="G1943:J1943"/>
    <mergeCell ref="E1938:F1938"/>
    <mergeCell ref="E1283:F1283"/>
    <mergeCell ref="E1923:F1923"/>
    <mergeCell ref="G1923:J1923"/>
    <mergeCell ref="E1934:F1934"/>
    <mergeCell ref="E1931:F1931"/>
    <mergeCell ref="G1931:J1931"/>
    <mergeCell ref="E1932:F1932"/>
    <mergeCell ref="G1932:J1932"/>
    <mergeCell ref="E1927:F1927"/>
    <mergeCell ref="G1927:J1927"/>
    <mergeCell ref="E1928:F1928"/>
    <mergeCell ref="G1262:J1262"/>
    <mergeCell ref="E1285:F1285"/>
    <mergeCell ref="G1285:J1285"/>
    <mergeCell ref="E1278:F1278"/>
    <mergeCell ref="G1278:J1278"/>
    <mergeCell ref="E1279:F1279"/>
    <mergeCell ref="G1279:J1279"/>
    <mergeCell ref="E1280:F1280"/>
    <mergeCell ref="G1280:J1280"/>
    <mergeCell ref="E1281:F1281"/>
    <mergeCell ref="G1281:J1281"/>
    <mergeCell ref="E1282:F1282"/>
    <mergeCell ref="G1282:J1282"/>
    <mergeCell ref="E1291:F1291"/>
    <mergeCell ref="G1925:J1925"/>
    <mergeCell ref="E1926:F1926"/>
    <mergeCell ref="G1926:J1926"/>
    <mergeCell ref="E1921:F1921"/>
    <mergeCell ref="G1921:J1921"/>
    <mergeCell ref="E1922:F1922"/>
    <mergeCell ref="G1922:J1922"/>
    <mergeCell ref="G1850:J1850"/>
    <mergeCell ref="E1354:F1354"/>
    <mergeCell ref="G1354:J1354"/>
    <mergeCell ref="E1329:F1329"/>
    <mergeCell ref="G1928:J1928"/>
    <mergeCell ref="E1929:F1929"/>
    <mergeCell ref="G1929:J1929"/>
    <mergeCell ref="E1924:F1924"/>
    <mergeCell ref="G1924:J1924"/>
    <mergeCell ref="E1925:F1925"/>
    <mergeCell ref="E1918:F1918"/>
    <mergeCell ref="G1918:J1918"/>
    <mergeCell ref="E1919:F1919"/>
    <mergeCell ref="G1919:J1919"/>
    <mergeCell ref="E1915:F1915"/>
    <mergeCell ref="G1915:J1915"/>
    <mergeCell ref="E1916:F1916"/>
    <mergeCell ref="G1916:J1916"/>
    <mergeCell ref="E1911:F1911"/>
    <mergeCell ref="E1877:F1877"/>
    <mergeCell ref="G1877:J1877"/>
    <mergeCell ref="E1878:F1878"/>
    <mergeCell ref="G1878:J1878"/>
    <mergeCell ref="E1873:F1873"/>
    <mergeCell ref="G1873:J1873"/>
    <mergeCell ref="E1908:F1908"/>
    <mergeCell ref="G1908:J1908"/>
    <mergeCell ref="E1899:F1899"/>
    <mergeCell ref="E1920:F1920"/>
    <mergeCell ref="G1920:J1920"/>
    <mergeCell ref="E1254:F1254"/>
    <mergeCell ref="G1254:J1254"/>
    <mergeCell ref="E1264:F1264"/>
    <mergeCell ref="G1264:J1264"/>
    <mergeCell ref="G1261:J1261"/>
    <mergeCell ref="G1283:J1283"/>
    <mergeCell ref="G1291:J1291"/>
    <mergeCell ref="E1273:F1273"/>
    <mergeCell ref="E1284:F1284"/>
    <mergeCell ref="G1284:J1284"/>
    <mergeCell ref="G1273:J1273"/>
    <mergeCell ref="G1274:J1274"/>
    <mergeCell ref="G1912:J1912"/>
    <mergeCell ref="E1913:F1913"/>
    <mergeCell ref="G1913:J1913"/>
    <mergeCell ref="E1902:F1902"/>
    <mergeCell ref="G1902:J1902"/>
    <mergeCell ref="E1897:F1897"/>
    <mergeCell ref="G1897:J1897"/>
    <mergeCell ref="E1898:F1898"/>
    <mergeCell ref="G1898:J1898"/>
    <mergeCell ref="E1909:F1909"/>
    <mergeCell ref="G1909:J1909"/>
    <mergeCell ref="E1910:F1910"/>
    <mergeCell ref="G1910:J1910"/>
    <mergeCell ref="E1890:F1890"/>
    <mergeCell ref="G1890:J1890"/>
    <mergeCell ref="E1848:F1848"/>
    <mergeCell ref="G1848:J1848"/>
    <mergeCell ref="E1849:F1849"/>
    <mergeCell ref="G1849:J1849"/>
    <mergeCell ref="E1850:F1850"/>
    <mergeCell ref="E1277:F1277"/>
    <mergeCell ref="G1277:J1277"/>
    <mergeCell ref="E1267:F1267"/>
    <mergeCell ref="G1267:J1267"/>
    <mergeCell ref="E1268:F1268"/>
    <mergeCell ref="G1256:J1256"/>
    <mergeCell ref="E1257:F1257"/>
    <mergeCell ref="G1257:J1257"/>
    <mergeCell ref="E1258:F1258"/>
    <mergeCell ref="E1261:F1261"/>
    <mergeCell ref="E1269:F1269"/>
    <mergeCell ref="G1269:J1269"/>
    <mergeCell ref="E1270:F1270"/>
    <mergeCell ref="G1270:J1270"/>
    <mergeCell ref="E1271:F1271"/>
    <mergeCell ref="G1271:J1271"/>
    <mergeCell ref="G1258:J1258"/>
    <mergeCell ref="E1259:F1259"/>
    <mergeCell ref="G1259:J1259"/>
    <mergeCell ref="E1260:F1260"/>
    <mergeCell ref="G1260:J1260"/>
    <mergeCell ref="E1274:F1274"/>
    <mergeCell ref="E1272:F1272"/>
    <mergeCell ref="G1272:J1272"/>
    <mergeCell ref="G1268:J1268"/>
    <mergeCell ref="E1900:F1900"/>
    <mergeCell ref="G1900:J1900"/>
    <mergeCell ref="E1901:F1901"/>
    <mergeCell ref="G1901:J1901"/>
    <mergeCell ref="E1896:F1896"/>
    <mergeCell ref="G1896:J1896"/>
    <mergeCell ref="E1903:F1903"/>
    <mergeCell ref="G1903:J1903"/>
    <mergeCell ref="E1904:F1904"/>
    <mergeCell ref="G1904:J1904"/>
    <mergeCell ref="E1905:F1905"/>
    <mergeCell ref="G1905:J1905"/>
    <mergeCell ref="E1917:F1917"/>
    <mergeCell ref="G1917:J1917"/>
    <mergeCell ref="E1912:F1912"/>
    <mergeCell ref="E1914:F1914"/>
    <mergeCell ref="G1914:J1914"/>
    <mergeCell ref="G1892:J1892"/>
    <mergeCell ref="E1893:F1893"/>
    <mergeCell ref="G1893:J1893"/>
    <mergeCell ref="E1888:F1888"/>
    <mergeCell ref="G1888:J1888"/>
    <mergeCell ref="E1889:F1889"/>
    <mergeCell ref="E1262:F1262"/>
    <mergeCell ref="G1242:J1242"/>
    <mergeCell ref="E1243:F1243"/>
    <mergeCell ref="G1243:J1243"/>
    <mergeCell ref="E1244:F1244"/>
    <mergeCell ref="G1244:J1244"/>
    <mergeCell ref="E1245:F1245"/>
    <mergeCell ref="G1245:J1245"/>
    <mergeCell ref="E1246:F1246"/>
    <mergeCell ref="G1246:J1246"/>
    <mergeCell ref="G1263:J1263"/>
    <mergeCell ref="E1255:F1255"/>
    <mergeCell ref="E1253:F1253"/>
    <mergeCell ref="G1253:J1253"/>
    <mergeCell ref="E1249:F1249"/>
    <mergeCell ref="G1889:J1889"/>
    <mergeCell ref="E1250:F1250"/>
    <mergeCell ref="G1250:J1250"/>
    <mergeCell ref="E1251:F1251"/>
    <mergeCell ref="G1251:J1251"/>
    <mergeCell ref="E1252:F1252"/>
    <mergeCell ref="G1252:J1252"/>
    <mergeCell ref="E1275:F1275"/>
    <mergeCell ref="G1275:J1275"/>
    <mergeCell ref="E1276:F1276"/>
    <mergeCell ref="G1276:J1276"/>
    <mergeCell ref="G1248:J1248"/>
    <mergeCell ref="G1255:J1255"/>
    <mergeCell ref="E1242:F1242"/>
    <mergeCell ref="G1249:J1249"/>
    <mergeCell ref="G1899:J1899"/>
    <mergeCell ref="G1911:J1911"/>
    <mergeCell ref="E1906:F1906"/>
    <mergeCell ref="G1906:J1906"/>
    <mergeCell ref="E1907:F1907"/>
    <mergeCell ref="G1907:J1907"/>
    <mergeCell ref="E1894:F1894"/>
    <mergeCell ref="G1894:J1894"/>
    <mergeCell ref="E1895:F1895"/>
    <mergeCell ref="G1895:J1895"/>
    <mergeCell ref="E1885:F1885"/>
    <mergeCell ref="G1885:J1885"/>
    <mergeCell ref="E1886:F1886"/>
    <mergeCell ref="G1886:J1886"/>
    <mergeCell ref="E1887:F1887"/>
    <mergeCell ref="G1887:J1887"/>
    <mergeCell ref="E1882:F1882"/>
    <mergeCell ref="G1882:J1882"/>
    <mergeCell ref="E1883:F1883"/>
    <mergeCell ref="G1883:J1883"/>
    <mergeCell ref="E1884:F1884"/>
    <mergeCell ref="G1884:J1884"/>
    <mergeCell ref="E1857:F1857"/>
    <mergeCell ref="G1857:J1857"/>
    <mergeCell ref="E1874:F1874"/>
    <mergeCell ref="E1891:F1891"/>
    <mergeCell ref="G1891:J1891"/>
    <mergeCell ref="E1892:F1892"/>
    <mergeCell ref="G1773:J1773"/>
    <mergeCell ref="E1842:F1842"/>
    <mergeCell ref="G1842:J1842"/>
    <mergeCell ref="E1838:F1838"/>
    <mergeCell ref="G1838:J1838"/>
    <mergeCell ref="E1839:F1839"/>
    <mergeCell ref="G1223:J1223"/>
    <mergeCell ref="E1224:F1224"/>
    <mergeCell ref="G1224:J1224"/>
    <mergeCell ref="E1225:F1225"/>
    <mergeCell ref="G1225:J1225"/>
    <mergeCell ref="E1226:F1226"/>
    <mergeCell ref="G1226:J1226"/>
    <mergeCell ref="E1227:F1227"/>
    <mergeCell ref="G1227:J1227"/>
    <mergeCell ref="E1845:F1845"/>
    <mergeCell ref="G1845:J1845"/>
    <mergeCell ref="E1228:F1228"/>
    <mergeCell ref="G1228:J1228"/>
    <mergeCell ref="E1229:F1229"/>
    <mergeCell ref="G1229:J1229"/>
    <mergeCell ref="E1240:F1240"/>
    <mergeCell ref="G1240:J1240"/>
    <mergeCell ref="E1241:F1241"/>
    <mergeCell ref="G1241:J1241"/>
    <mergeCell ref="E1265:F1265"/>
    <mergeCell ref="G1265:J1265"/>
    <mergeCell ref="E1266:F1266"/>
    <mergeCell ref="G1839:J1839"/>
    <mergeCell ref="E1247:F1247"/>
    <mergeCell ref="G1247:J1247"/>
    <mergeCell ref="E1248:F1248"/>
    <mergeCell ref="E1879:F1879"/>
    <mergeCell ref="G1879:J1879"/>
    <mergeCell ref="E1880:F1880"/>
    <mergeCell ref="G1880:J1880"/>
    <mergeCell ref="E1881:F1881"/>
    <mergeCell ref="G1881:J1881"/>
    <mergeCell ref="E1876:F1876"/>
    <mergeCell ref="G1876:J1876"/>
    <mergeCell ref="E1862:F1862"/>
    <mergeCell ref="G1862:J1862"/>
    <mergeCell ref="E1863:F1863"/>
    <mergeCell ref="G1863:J1863"/>
    <mergeCell ref="E1864:F1864"/>
    <mergeCell ref="G1864:J1864"/>
    <mergeCell ref="E1860:F1860"/>
    <mergeCell ref="G1860:J1860"/>
    <mergeCell ref="E1861:F1861"/>
    <mergeCell ref="G1861:J1861"/>
    <mergeCell ref="G1874:J1874"/>
    <mergeCell ref="E1858:F1858"/>
    <mergeCell ref="G1858:J1858"/>
    <mergeCell ref="E1859:F1859"/>
    <mergeCell ref="G1859:J1859"/>
    <mergeCell ref="E1854:F1854"/>
    <mergeCell ref="G1854:J1854"/>
    <mergeCell ref="E1855:F1855"/>
    <mergeCell ref="G1855:J1855"/>
    <mergeCell ref="E1829:F1829"/>
    <mergeCell ref="G1829:J1829"/>
    <mergeCell ref="E1830:F1830"/>
    <mergeCell ref="G1830:J1830"/>
    <mergeCell ref="E1824:F1824"/>
    <mergeCell ref="G1824:J1824"/>
    <mergeCell ref="E1825:F1825"/>
    <mergeCell ref="G1825:J1825"/>
    <mergeCell ref="E1820:F1820"/>
    <mergeCell ref="G1820:J1820"/>
    <mergeCell ref="E1821:F1821"/>
    <mergeCell ref="G1821:J1821"/>
    <mergeCell ref="E1822:F1822"/>
    <mergeCell ref="G1822:J1822"/>
    <mergeCell ref="E1831:F1831"/>
    <mergeCell ref="G1831:J1831"/>
    <mergeCell ref="E1832:F1832"/>
    <mergeCell ref="G1832:J1832"/>
    <mergeCell ref="E1827:F1827"/>
    <mergeCell ref="G1827:J1827"/>
    <mergeCell ref="E1826:F1826"/>
    <mergeCell ref="G1826:J1826"/>
    <mergeCell ref="E1846:F1846"/>
    <mergeCell ref="G1846:J1846"/>
    <mergeCell ref="E1844:F1844"/>
    <mergeCell ref="G1844:J1844"/>
    <mergeCell ref="E1847:F1847"/>
    <mergeCell ref="G1847:J1847"/>
    <mergeCell ref="E1840:F1840"/>
    <mergeCell ref="G1840:J1840"/>
    <mergeCell ref="E1841:F1841"/>
    <mergeCell ref="G1841:J1841"/>
    <mergeCell ref="E1833:F1833"/>
    <mergeCell ref="G1833:J1833"/>
    <mergeCell ref="E1823:F1823"/>
    <mergeCell ref="E1828:F1828"/>
    <mergeCell ref="G1828:J1828"/>
    <mergeCell ref="G1823:J1823"/>
    <mergeCell ref="E1875:F1875"/>
    <mergeCell ref="G1875:J1875"/>
    <mergeCell ref="E1871:F1871"/>
    <mergeCell ref="G1871:J1871"/>
    <mergeCell ref="E1872:F1872"/>
    <mergeCell ref="G1872:J1872"/>
    <mergeCell ref="E1869:F1869"/>
    <mergeCell ref="G1869:J1869"/>
    <mergeCell ref="E1870:F1870"/>
    <mergeCell ref="G1870:J1870"/>
    <mergeCell ref="E1868:F1868"/>
    <mergeCell ref="G1868:J1868"/>
    <mergeCell ref="E1865:F1865"/>
    <mergeCell ref="G1865:J1865"/>
    <mergeCell ref="E1866:F1866"/>
    <mergeCell ref="G1866:J1866"/>
    <mergeCell ref="E1867:F1867"/>
    <mergeCell ref="G1867:J1867"/>
    <mergeCell ref="E1818:F1818"/>
    <mergeCell ref="G1818:J1818"/>
    <mergeCell ref="E1360:F1360"/>
    <mergeCell ref="G1360:J1360"/>
    <mergeCell ref="E1361:F1361"/>
    <mergeCell ref="G1361:J1361"/>
    <mergeCell ref="E1414:F1414"/>
    <mergeCell ref="E1513:F1513"/>
    <mergeCell ref="G1513:J1513"/>
    <mergeCell ref="E1514:F1514"/>
    <mergeCell ref="G1514:J1514"/>
    <mergeCell ref="E1515:F1515"/>
    <mergeCell ref="G1808:J1808"/>
    <mergeCell ref="G1515:J1515"/>
    <mergeCell ref="E1817:F1817"/>
    <mergeCell ref="E1355:F1355"/>
    <mergeCell ref="E1856:F1856"/>
    <mergeCell ref="G1856:J1856"/>
    <mergeCell ref="E1851:F1851"/>
    <mergeCell ref="G1851:J1851"/>
    <mergeCell ref="E1852:F1852"/>
    <mergeCell ref="G1852:J1852"/>
    <mergeCell ref="E1853:F1853"/>
    <mergeCell ref="G1853:J1853"/>
    <mergeCell ref="G1834:J1834"/>
    <mergeCell ref="E1836:F1836"/>
    <mergeCell ref="G1836:J1836"/>
    <mergeCell ref="E1837:F1837"/>
    <mergeCell ref="G1837:J1837"/>
    <mergeCell ref="E1834:F1834"/>
    <mergeCell ref="E1843:F1843"/>
    <mergeCell ref="G1843:J1843"/>
    <mergeCell ref="E1218:F1218"/>
    <mergeCell ref="G1218:J1218"/>
    <mergeCell ref="E1231:F1231"/>
    <mergeCell ref="G1231:J1231"/>
    <mergeCell ref="E1232:F1232"/>
    <mergeCell ref="G1232:J1232"/>
    <mergeCell ref="E1233:F1233"/>
    <mergeCell ref="G1233:J1233"/>
    <mergeCell ref="E1234:F1234"/>
    <mergeCell ref="G1234:J1234"/>
    <mergeCell ref="E1235:F1235"/>
    <mergeCell ref="G1235:J1235"/>
    <mergeCell ref="E1201:F1201"/>
    <mergeCell ref="G1201:J1201"/>
    <mergeCell ref="E1236:F1236"/>
    <mergeCell ref="G1236:J1236"/>
    <mergeCell ref="E1819:F1819"/>
    <mergeCell ref="G1819:J1819"/>
    <mergeCell ref="E1788:F1788"/>
    <mergeCell ref="G1788:J1788"/>
    <mergeCell ref="E1789:F1789"/>
    <mergeCell ref="G1789:J1789"/>
    <mergeCell ref="E1785:F1785"/>
    <mergeCell ref="G1785:J1785"/>
    <mergeCell ref="E1786:F1786"/>
    <mergeCell ref="G1786:J1786"/>
    <mergeCell ref="E1793:F1793"/>
    <mergeCell ref="E1334:F1334"/>
    <mergeCell ref="G1334:J1334"/>
    <mergeCell ref="E1811:F1811"/>
    <mergeCell ref="G1811:J1811"/>
    <mergeCell ref="G1817:J1817"/>
    <mergeCell ref="E1237:F1237"/>
    <mergeCell ref="G1237:J1237"/>
    <mergeCell ref="E1263:F1263"/>
    <mergeCell ref="E1256:F1256"/>
    <mergeCell ref="E1219:F1219"/>
    <mergeCell ref="E1202:F1202"/>
    <mergeCell ref="G1202:J1202"/>
    <mergeCell ref="E1203:F1203"/>
    <mergeCell ref="G1203:J1203"/>
    <mergeCell ref="E1204:F1204"/>
    <mergeCell ref="G1204:J1204"/>
    <mergeCell ref="E1205:F1205"/>
    <mergeCell ref="E1351:F1351"/>
    <mergeCell ref="G1351:J1351"/>
    <mergeCell ref="E1352:F1352"/>
    <mergeCell ref="G1352:J1352"/>
    <mergeCell ref="E1353:F1353"/>
    <mergeCell ref="G1353:J1353"/>
    <mergeCell ref="E1348:F1348"/>
    <mergeCell ref="G1220:J1220"/>
    <mergeCell ref="E1221:F1221"/>
    <mergeCell ref="G1221:J1221"/>
    <mergeCell ref="E1222:F1222"/>
    <mergeCell ref="G1222:J1222"/>
    <mergeCell ref="G1296:J1296"/>
    <mergeCell ref="E1297:F1297"/>
    <mergeCell ref="G1297:J1297"/>
    <mergeCell ref="E1298:F1298"/>
    <mergeCell ref="G1298:J1298"/>
    <mergeCell ref="E1299:F1299"/>
    <mergeCell ref="E1217:F1217"/>
    <mergeCell ref="G1217:J1217"/>
    <mergeCell ref="G1355:J1355"/>
    <mergeCell ref="E1368:F1368"/>
    <mergeCell ref="E1787:F1787"/>
    <mergeCell ref="G1787:J1787"/>
    <mergeCell ref="G1793:J1793"/>
    <mergeCell ref="E1539:F1539"/>
    <mergeCell ref="E1518:F1518"/>
    <mergeCell ref="E1380:F1380"/>
    <mergeCell ref="G1380:J1380"/>
    <mergeCell ref="E1387:F1387"/>
    <mergeCell ref="E1812:F1812"/>
    <mergeCell ref="G1812:J1812"/>
    <mergeCell ref="E1813:F1813"/>
    <mergeCell ref="G1813:J1813"/>
    <mergeCell ref="E1808:F1808"/>
    <mergeCell ref="G1796:J1796"/>
    <mergeCell ref="E1814:F1814"/>
    <mergeCell ref="G1814:J1814"/>
    <mergeCell ref="E1809:F1809"/>
    <mergeCell ref="G1809:J1809"/>
    <mergeCell ref="E1810:F1810"/>
    <mergeCell ref="G1810:J1810"/>
    <mergeCell ref="E1805:F1805"/>
    <mergeCell ref="G1805:J1805"/>
    <mergeCell ref="E1806:F1806"/>
    <mergeCell ref="G1806:J1806"/>
    <mergeCell ref="E1807:F1807"/>
    <mergeCell ref="G1807:J1807"/>
    <mergeCell ref="E1383:F1383"/>
    <mergeCell ref="G1383:J1383"/>
    <mergeCell ref="G1419:J1419"/>
    <mergeCell ref="E1444:F1444"/>
    <mergeCell ref="E1815:F1815"/>
    <mergeCell ref="G1815:J1815"/>
    <mergeCell ref="E1816:F1816"/>
    <mergeCell ref="G1816:J1816"/>
    <mergeCell ref="E1516:F1516"/>
    <mergeCell ref="G1313:J1313"/>
    <mergeCell ref="E1314:F1314"/>
    <mergeCell ref="G1314:J1314"/>
    <mergeCell ref="E1309:F1309"/>
    <mergeCell ref="G1309:J1309"/>
    <mergeCell ref="E1310:F1310"/>
    <mergeCell ref="G1219:J1219"/>
    <mergeCell ref="E1211:F1211"/>
    <mergeCell ref="G1211:J1211"/>
    <mergeCell ref="E1212:F1212"/>
    <mergeCell ref="G1212:J1212"/>
    <mergeCell ref="E1213:F1213"/>
    <mergeCell ref="G1301:J1301"/>
    <mergeCell ref="G1213:J1213"/>
    <mergeCell ref="E1214:F1214"/>
    <mergeCell ref="G1214:J1214"/>
    <mergeCell ref="E1215:F1215"/>
    <mergeCell ref="G1215:J1215"/>
    <mergeCell ref="E1216:F1216"/>
    <mergeCell ref="G1216:J1216"/>
    <mergeCell ref="E1230:F1230"/>
    <mergeCell ref="G1230:J1230"/>
    <mergeCell ref="E1238:F1238"/>
    <mergeCell ref="G1238:J1238"/>
    <mergeCell ref="E1239:F1239"/>
    <mergeCell ref="G1239:J1239"/>
    <mergeCell ref="E1220:F1220"/>
    <mergeCell ref="E1393:F1393"/>
    <mergeCell ref="G1393:J1393"/>
    <mergeCell ref="E1394:F1394"/>
    <mergeCell ref="E1415:F1415"/>
    <mergeCell ref="E1802:F1802"/>
    <mergeCell ref="G1802:J1802"/>
    <mergeCell ref="E1803:F1803"/>
    <mergeCell ref="G1803:J1803"/>
    <mergeCell ref="E1804:F1804"/>
    <mergeCell ref="G1804:J1804"/>
    <mergeCell ref="E1799:F1799"/>
    <mergeCell ref="G1799:J1799"/>
    <mergeCell ref="E1800:F1800"/>
    <mergeCell ref="G1800:J1800"/>
    <mergeCell ref="E1801:F1801"/>
    <mergeCell ref="G1801:J1801"/>
    <mergeCell ref="E1796:F1796"/>
    <mergeCell ref="E1797:F1797"/>
    <mergeCell ref="G1797:J1797"/>
    <mergeCell ref="E1798:F1798"/>
    <mergeCell ref="G1798:J1798"/>
    <mergeCell ref="E1538:F1538"/>
    <mergeCell ref="G1538:J1538"/>
    <mergeCell ref="E1535:F1535"/>
    <mergeCell ref="G1535:J1535"/>
    <mergeCell ref="G1533:J1533"/>
    <mergeCell ref="G1549:J1549"/>
    <mergeCell ref="G1542:J1542"/>
    <mergeCell ref="E1527:F1527"/>
    <mergeCell ref="G1527:J1527"/>
    <mergeCell ref="E1520:F1520"/>
    <mergeCell ref="G1520:J1520"/>
    <mergeCell ref="E1182:F1182"/>
    <mergeCell ref="G1182:J1182"/>
    <mergeCell ref="G1342:J1342"/>
    <mergeCell ref="E1356:F1356"/>
    <mergeCell ref="G1356:J1356"/>
    <mergeCell ref="E1300:F1300"/>
    <mergeCell ref="E1183:F1183"/>
    <mergeCell ref="G1183:J1183"/>
    <mergeCell ref="E1186:F1186"/>
    <mergeCell ref="G1186:J1186"/>
    <mergeCell ref="E1187:F1187"/>
    <mergeCell ref="G1187:J1187"/>
    <mergeCell ref="E1188:F1188"/>
    <mergeCell ref="G1188:J1188"/>
    <mergeCell ref="E1189:F1189"/>
    <mergeCell ref="G1189:J1189"/>
    <mergeCell ref="E1190:F1190"/>
    <mergeCell ref="E1342:F1342"/>
    <mergeCell ref="G1190:J1190"/>
    <mergeCell ref="E1191:F1191"/>
    <mergeCell ref="G1191:J1191"/>
    <mergeCell ref="E1184:F1184"/>
    <mergeCell ref="G1184:J1184"/>
    <mergeCell ref="E1185:F1185"/>
    <mergeCell ref="G1185:J1185"/>
    <mergeCell ref="G1348:J1348"/>
    <mergeCell ref="E1349:F1349"/>
    <mergeCell ref="G1349:J1349"/>
    <mergeCell ref="E1302:F1302"/>
    <mergeCell ref="G1302:J1302"/>
    <mergeCell ref="E1303:F1303"/>
    <mergeCell ref="E1296:F1296"/>
    <mergeCell ref="G1160:J1160"/>
    <mergeCell ref="E1158:F1158"/>
    <mergeCell ref="G1387:J1387"/>
    <mergeCell ref="E1161:F1161"/>
    <mergeCell ref="G1161:J1161"/>
    <mergeCell ref="E1170:F1170"/>
    <mergeCell ref="G1170:J1170"/>
    <mergeCell ref="E1171:F1171"/>
    <mergeCell ref="G1171:J1171"/>
    <mergeCell ref="E1172:F1172"/>
    <mergeCell ref="G1172:J1172"/>
    <mergeCell ref="E1163:F1163"/>
    <mergeCell ref="G1163:J1163"/>
    <mergeCell ref="E1164:F1164"/>
    <mergeCell ref="G1164:J1164"/>
    <mergeCell ref="E1165:F1165"/>
    <mergeCell ref="G1165:J1165"/>
    <mergeCell ref="E1166:F1166"/>
    <mergeCell ref="G1166:J1166"/>
    <mergeCell ref="E1167:F1167"/>
    <mergeCell ref="G1167:J1167"/>
    <mergeCell ref="E1169:F1169"/>
    <mergeCell ref="G1169:J1169"/>
    <mergeCell ref="E1168:F1168"/>
    <mergeCell ref="G1168:J1168"/>
    <mergeCell ref="E1162:F1162"/>
    <mergeCell ref="G1162:J1162"/>
    <mergeCell ref="E1362:F1362"/>
    <mergeCell ref="E1199:F1199"/>
    <mergeCell ref="G1199:J1199"/>
    <mergeCell ref="E1200:F1200"/>
    <mergeCell ref="G1200:J1200"/>
    <mergeCell ref="E1384:F1384"/>
    <mergeCell ref="G1384:J1384"/>
    <mergeCell ref="E1385:F1385"/>
    <mergeCell ref="G1385:J1385"/>
    <mergeCell ref="E1386:F1386"/>
    <mergeCell ref="G1386:J1386"/>
    <mergeCell ref="E1381:F1381"/>
    <mergeCell ref="G1381:J1381"/>
    <mergeCell ref="E1382:F1382"/>
    <mergeCell ref="G1382:J1382"/>
    <mergeCell ref="G1181:J1181"/>
    <mergeCell ref="E1330:F1330"/>
    <mergeCell ref="G1330:J1330"/>
    <mergeCell ref="E1192:F1192"/>
    <mergeCell ref="G1192:J1192"/>
    <mergeCell ref="E1194:F1194"/>
    <mergeCell ref="G1194:J1194"/>
    <mergeCell ref="E1195:F1195"/>
    <mergeCell ref="G1195:J1195"/>
    <mergeCell ref="E1196:F1196"/>
    <mergeCell ref="G1196:J1196"/>
    <mergeCell ref="E1197:F1197"/>
    <mergeCell ref="G1197:J1197"/>
    <mergeCell ref="E1198:F1198"/>
    <mergeCell ref="G1198:J1198"/>
    <mergeCell ref="E1318:F1318"/>
    <mergeCell ref="G1318:J1318"/>
    <mergeCell ref="E1317:F1317"/>
    <mergeCell ref="G1317:J1317"/>
    <mergeCell ref="E1312:F1312"/>
    <mergeCell ref="G1312:J1312"/>
    <mergeCell ref="E1313:F1313"/>
    <mergeCell ref="E1173:F1173"/>
    <mergeCell ref="G1173:J1173"/>
    <mergeCell ref="E1174:F1174"/>
    <mergeCell ref="G1174:J1174"/>
    <mergeCell ref="E1175:F1175"/>
    <mergeCell ref="G1175:J1175"/>
    <mergeCell ref="E1176:F1176"/>
    <mergeCell ref="G1176:J1176"/>
    <mergeCell ref="E1177:F1177"/>
    <mergeCell ref="G1177:J1177"/>
    <mergeCell ref="E1178:F1178"/>
    <mergeCell ref="G1178:J1178"/>
    <mergeCell ref="E1179:F1179"/>
    <mergeCell ref="G1179:J1179"/>
    <mergeCell ref="E1180:F1180"/>
    <mergeCell ref="G1180:J1180"/>
    <mergeCell ref="G1304:J1304"/>
    <mergeCell ref="G1193:J1193"/>
    <mergeCell ref="E1193:F1193"/>
    <mergeCell ref="G1205:J1205"/>
    <mergeCell ref="E1206:F1206"/>
    <mergeCell ref="G1206:J1206"/>
    <mergeCell ref="E1207:F1207"/>
    <mergeCell ref="G1207:J1207"/>
    <mergeCell ref="E1208:F1208"/>
    <mergeCell ref="G1208:J1208"/>
    <mergeCell ref="E1209:F1209"/>
    <mergeCell ref="G1209:J1209"/>
    <mergeCell ref="E1210:F1210"/>
    <mergeCell ref="G1210:J1210"/>
    <mergeCell ref="E1223:F1223"/>
    <mergeCell ref="G1266:J1266"/>
    <mergeCell ref="E925:F925"/>
    <mergeCell ref="G925:J925"/>
    <mergeCell ref="E926:F926"/>
    <mergeCell ref="G926:J926"/>
    <mergeCell ref="E927:F927"/>
    <mergeCell ref="G927:J927"/>
    <mergeCell ref="G1137:J1137"/>
    <mergeCell ref="E1138:F1138"/>
    <mergeCell ref="G1138:J1138"/>
    <mergeCell ref="E1139:F1139"/>
    <mergeCell ref="G1139:J1139"/>
    <mergeCell ref="E928:F928"/>
    <mergeCell ref="G928:J928"/>
    <mergeCell ref="E929:F929"/>
    <mergeCell ref="G929:J929"/>
    <mergeCell ref="E930:F930"/>
    <mergeCell ref="G930:J930"/>
    <mergeCell ref="E931:F931"/>
    <mergeCell ref="G931:J931"/>
    <mergeCell ref="E932:F932"/>
    <mergeCell ref="G932:J932"/>
    <mergeCell ref="E933:F933"/>
    <mergeCell ref="G933:J933"/>
    <mergeCell ref="E934:F934"/>
    <mergeCell ref="G934:J934"/>
    <mergeCell ref="E935:F935"/>
    <mergeCell ref="G935:J935"/>
    <mergeCell ref="E936:F936"/>
    <mergeCell ref="G936:J936"/>
    <mergeCell ref="E937:F937"/>
    <mergeCell ref="G937:J937"/>
    <mergeCell ref="E938:F938"/>
    <mergeCell ref="G903:J903"/>
    <mergeCell ref="E924:F924"/>
    <mergeCell ref="G924:J924"/>
    <mergeCell ref="E920:F920"/>
    <mergeCell ref="G920:J920"/>
    <mergeCell ref="E921:F921"/>
    <mergeCell ref="G921:J921"/>
    <mergeCell ref="E915:F915"/>
    <mergeCell ref="G915:J915"/>
    <mergeCell ref="E913:F913"/>
    <mergeCell ref="G913:J913"/>
    <mergeCell ref="E914:F914"/>
    <mergeCell ref="G914:J914"/>
    <mergeCell ref="E905:F905"/>
    <mergeCell ref="G905:J905"/>
    <mergeCell ref="G896:J896"/>
    <mergeCell ref="E917:F917"/>
    <mergeCell ref="G917:J917"/>
    <mergeCell ref="E918:F918"/>
    <mergeCell ref="G918:J918"/>
    <mergeCell ref="E919:F919"/>
    <mergeCell ref="G919:J919"/>
    <mergeCell ref="E850:F850"/>
    <mergeCell ref="E892:F892"/>
    <mergeCell ref="G892:J892"/>
    <mergeCell ref="E893:F893"/>
    <mergeCell ref="G893:J893"/>
    <mergeCell ref="E894:F894"/>
    <mergeCell ref="G894:J894"/>
    <mergeCell ref="E886:F886"/>
    <mergeCell ref="G886:J886"/>
    <mergeCell ref="E887:F887"/>
    <mergeCell ref="G887:J887"/>
    <mergeCell ref="G850:J850"/>
    <mergeCell ref="E851:F851"/>
    <mergeCell ref="G851:J851"/>
    <mergeCell ref="E870:F870"/>
    <mergeCell ref="G870:J870"/>
    <mergeCell ref="E871:F871"/>
    <mergeCell ref="G871:J871"/>
    <mergeCell ref="E872:F872"/>
    <mergeCell ref="G872:J872"/>
    <mergeCell ref="E873:F873"/>
    <mergeCell ref="G873:J873"/>
    <mergeCell ref="E874:F874"/>
    <mergeCell ref="G874:J874"/>
    <mergeCell ref="E890:F890"/>
    <mergeCell ref="G890:J890"/>
    <mergeCell ref="E891:F891"/>
    <mergeCell ref="G891:J891"/>
    <mergeCell ref="E879:F879"/>
    <mergeCell ref="G879:J879"/>
    <mergeCell ref="E880:F880"/>
    <mergeCell ref="G880:J880"/>
    <mergeCell ref="E881:F881"/>
    <mergeCell ref="G881:J881"/>
    <mergeCell ref="E882:F882"/>
    <mergeCell ref="G882:J882"/>
    <mergeCell ref="E883:F883"/>
    <mergeCell ref="G883:J883"/>
    <mergeCell ref="E884:F884"/>
    <mergeCell ref="G884:J884"/>
    <mergeCell ref="E885:F885"/>
    <mergeCell ref="G885:J885"/>
    <mergeCell ref="E895:F895"/>
    <mergeCell ref="E888:F888"/>
    <mergeCell ref="G888:J888"/>
    <mergeCell ref="E889:F889"/>
    <mergeCell ref="G889:J889"/>
    <mergeCell ref="E904:F904"/>
    <mergeCell ref="G904:J904"/>
    <mergeCell ref="E896:F896"/>
    <mergeCell ref="G895:J895"/>
    <mergeCell ref="E897:F897"/>
    <mergeCell ref="G897:J897"/>
    <mergeCell ref="E898:F898"/>
    <mergeCell ref="G898:J898"/>
    <mergeCell ref="E899:F899"/>
    <mergeCell ref="G899:J899"/>
    <mergeCell ref="E900:F900"/>
    <mergeCell ref="G900:J900"/>
    <mergeCell ref="E901:F901"/>
    <mergeCell ref="G901:J901"/>
    <mergeCell ref="E902:F902"/>
    <mergeCell ref="G902:J902"/>
    <mergeCell ref="E903:F903"/>
    <mergeCell ref="E776:F776"/>
    <mergeCell ref="G776:J776"/>
    <mergeCell ref="E777:F777"/>
    <mergeCell ref="G777:J777"/>
    <mergeCell ref="E787:F787"/>
    <mergeCell ref="G787:J787"/>
    <mergeCell ref="E788:F788"/>
    <mergeCell ref="G788:J788"/>
    <mergeCell ref="E789:F789"/>
    <mergeCell ref="G789:J789"/>
    <mergeCell ref="E790:F790"/>
    <mergeCell ref="G790:J790"/>
    <mergeCell ref="E791:F791"/>
    <mergeCell ref="G791:J791"/>
    <mergeCell ref="E792:F792"/>
    <mergeCell ref="G792:J792"/>
    <mergeCell ref="E793:F793"/>
    <mergeCell ref="G793:J793"/>
    <mergeCell ref="E778:F778"/>
    <mergeCell ref="G778:J778"/>
    <mergeCell ref="E779:F779"/>
    <mergeCell ref="G779:J779"/>
    <mergeCell ref="E785:F785"/>
    <mergeCell ref="G785:J785"/>
    <mergeCell ref="E786:F786"/>
    <mergeCell ref="G786:J786"/>
    <mergeCell ref="E783:F783"/>
    <mergeCell ref="G783:J783"/>
    <mergeCell ref="E784:F784"/>
    <mergeCell ref="G784:J784"/>
    <mergeCell ref="E744:F744"/>
    <mergeCell ref="G744:J744"/>
    <mergeCell ref="E745:F745"/>
    <mergeCell ref="G745:J745"/>
    <mergeCell ref="E746:F746"/>
    <mergeCell ref="G746:J746"/>
    <mergeCell ref="E747:F747"/>
    <mergeCell ref="G747:J747"/>
    <mergeCell ref="E748:F748"/>
    <mergeCell ref="G748:J748"/>
    <mergeCell ref="E749:F749"/>
    <mergeCell ref="G749:J749"/>
    <mergeCell ref="E750:F750"/>
    <mergeCell ref="G750:J750"/>
    <mergeCell ref="E751:F751"/>
    <mergeCell ref="G751:J751"/>
    <mergeCell ref="E752:F752"/>
    <mergeCell ref="G752:J752"/>
    <mergeCell ref="E753:F753"/>
    <mergeCell ref="G753:J753"/>
    <mergeCell ref="E754:F754"/>
    <mergeCell ref="G754:J754"/>
    <mergeCell ref="E755:F755"/>
    <mergeCell ref="G755:J755"/>
    <mergeCell ref="E767:F767"/>
    <mergeCell ref="G767:J767"/>
    <mergeCell ref="E768:F768"/>
    <mergeCell ref="G768:J768"/>
    <mergeCell ref="E769:F769"/>
    <mergeCell ref="G769:J769"/>
    <mergeCell ref="E922:F922"/>
    <mergeCell ref="G922:J922"/>
    <mergeCell ref="E923:F923"/>
    <mergeCell ref="G923:J923"/>
    <mergeCell ref="E906:F906"/>
    <mergeCell ref="G906:J906"/>
    <mergeCell ref="E907:F907"/>
    <mergeCell ref="G907:J907"/>
    <mergeCell ref="E908:F908"/>
    <mergeCell ref="G908:J908"/>
    <mergeCell ref="E909:F909"/>
    <mergeCell ref="G909:J909"/>
    <mergeCell ref="E910:F910"/>
    <mergeCell ref="G910:J910"/>
    <mergeCell ref="E911:F911"/>
    <mergeCell ref="G911:J911"/>
    <mergeCell ref="E912:F912"/>
    <mergeCell ref="G912:J912"/>
    <mergeCell ref="E916:F916"/>
    <mergeCell ref="G916:J916"/>
    <mergeCell ref="E840:F840"/>
    <mergeCell ref="G840:J840"/>
    <mergeCell ref="E841:F841"/>
    <mergeCell ref="G841:J841"/>
    <mergeCell ref="E842:F842"/>
    <mergeCell ref="G842:J842"/>
    <mergeCell ref="E868:F868"/>
    <mergeCell ref="G868:J868"/>
    <mergeCell ref="E869:F869"/>
    <mergeCell ref="G869:J869"/>
    <mergeCell ref="E852:F852"/>
    <mergeCell ref="G852:J852"/>
    <mergeCell ref="E853:F853"/>
    <mergeCell ref="G853:J853"/>
    <mergeCell ref="E854:F854"/>
    <mergeCell ref="G854:J854"/>
    <mergeCell ref="E855:F855"/>
    <mergeCell ref="G855:J855"/>
    <mergeCell ref="E849:F849"/>
    <mergeCell ref="G849:J849"/>
    <mergeCell ref="E859:F859"/>
    <mergeCell ref="G859:J859"/>
    <mergeCell ref="E860:F860"/>
    <mergeCell ref="G860:J860"/>
    <mergeCell ref="E861:F861"/>
    <mergeCell ref="G861:J861"/>
    <mergeCell ref="E867:F867"/>
    <mergeCell ref="G867:J867"/>
    <mergeCell ref="E848:F848"/>
    <mergeCell ref="G848:J848"/>
    <mergeCell ref="E865:F865"/>
    <mergeCell ref="G865:J865"/>
    <mergeCell ref="E836:F836"/>
    <mergeCell ref="G836:J836"/>
    <mergeCell ref="E837:F837"/>
    <mergeCell ref="G837:J837"/>
    <mergeCell ref="E838:F838"/>
    <mergeCell ref="G838:J838"/>
    <mergeCell ref="E875:F875"/>
    <mergeCell ref="G875:J875"/>
    <mergeCell ref="E876:F876"/>
    <mergeCell ref="G876:J876"/>
    <mergeCell ref="E877:F877"/>
    <mergeCell ref="G877:J877"/>
    <mergeCell ref="E878:F878"/>
    <mergeCell ref="G878:J878"/>
    <mergeCell ref="E862:F862"/>
    <mergeCell ref="G862:J862"/>
    <mergeCell ref="E863:F863"/>
    <mergeCell ref="G863:J863"/>
    <mergeCell ref="E864:F864"/>
    <mergeCell ref="G864:J864"/>
    <mergeCell ref="E843:F843"/>
    <mergeCell ref="G843:J843"/>
    <mergeCell ref="E844:F844"/>
    <mergeCell ref="G844:J844"/>
    <mergeCell ref="E845:F845"/>
    <mergeCell ref="G845:J845"/>
    <mergeCell ref="E846:F846"/>
    <mergeCell ref="G846:J846"/>
    <mergeCell ref="E847:F847"/>
    <mergeCell ref="G847:J847"/>
    <mergeCell ref="E839:F839"/>
    <mergeCell ref="G839:J839"/>
    <mergeCell ref="E807:F807"/>
    <mergeCell ref="G807:J807"/>
    <mergeCell ref="E808:F808"/>
    <mergeCell ref="G808:J808"/>
    <mergeCell ref="E809:F809"/>
    <mergeCell ref="G809:J809"/>
    <mergeCell ref="E810:F810"/>
    <mergeCell ref="G810:J810"/>
    <mergeCell ref="E811:F811"/>
    <mergeCell ref="G811:J811"/>
    <mergeCell ref="E856:F856"/>
    <mergeCell ref="G856:J856"/>
    <mergeCell ref="E857:F857"/>
    <mergeCell ref="G857:J857"/>
    <mergeCell ref="E858:F858"/>
    <mergeCell ref="G858:J858"/>
    <mergeCell ref="E866:F866"/>
    <mergeCell ref="G866:J866"/>
    <mergeCell ref="E823:F823"/>
    <mergeCell ref="G823:J823"/>
    <mergeCell ref="E824:F824"/>
    <mergeCell ref="G824:J824"/>
    <mergeCell ref="E814:F814"/>
    <mergeCell ref="G814:J814"/>
    <mergeCell ref="E815:F815"/>
    <mergeCell ref="G815:J815"/>
    <mergeCell ref="E821:F821"/>
    <mergeCell ref="G821:J821"/>
    <mergeCell ref="E822:F822"/>
    <mergeCell ref="G822:J822"/>
    <mergeCell ref="E825:F825"/>
    <mergeCell ref="G825:J825"/>
    <mergeCell ref="E832:F832"/>
    <mergeCell ref="G832:J832"/>
    <mergeCell ref="E833:F833"/>
    <mergeCell ref="G833:J833"/>
    <mergeCell ref="E816:F816"/>
    <mergeCell ref="G816:J816"/>
    <mergeCell ref="E817:F817"/>
    <mergeCell ref="G817:J817"/>
    <mergeCell ref="E818:F818"/>
    <mergeCell ref="G818:J818"/>
    <mergeCell ref="E819:F819"/>
    <mergeCell ref="G819:J819"/>
    <mergeCell ref="E820:F820"/>
    <mergeCell ref="G820:J820"/>
    <mergeCell ref="E830:F830"/>
    <mergeCell ref="G830:J830"/>
    <mergeCell ref="E831:F831"/>
    <mergeCell ref="G831:J831"/>
    <mergeCell ref="E826:F826"/>
    <mergeCell ref="G826:J826"/>
    <mergeCell ref="E827:F827"/>
    <mergeCell ref="G827:J827"/>
    <mergeCell ref="E828:F828"/>
    <mergeCell ref="G828:J828"/>
    <mergeCell ref="E829:F829"/>
    <mergeCell ref="G829:J829"/>
    <mergeCell ref="E775:F775"/>
    <mergeCell ref="G775:J775"/>
    <mergeCell ref="E834:F834"/>
    <mergeCell ref="G834:J834"/>
    <mergeCell ref="E835:F835"/>
    <mergeCell ref="G835:J835"/>
    <mergeCell ref="E794:F794"/>
    <mergeCell ref="G794:J794"/>
    <mergeCell ref="E795:F795"/>
    <mergeCell ref="G795:J795"/>
    <mergeCell ref="E798:F798"/>
    <mergeCell ref="G798:J798"/>
    <mergeCell ref="E799:F799"/>
    <mergeCell ref="G799:J799"/>
    <mergeCell ref="E800:F800"/>
    <mergeCell ref="G800:J800"/>
    <mergeCell ref="E801:F801"/>
    <mergeCell ref="G801:J801"/>
    <mergeCell ref="E802:F802"/>
    <mergeCell ref="G802:J802"/>
    <mergeCell ref="E812:F812"/>
    <mergeCell ref="G812:J812"/>
    <mergeCell ref="E813:F813"/>
    <mergeCell ref="G813:J813"/>
    <mergeCell ref="E803:F803"/>
    <mergeCell ref="G803:J803"/>
    <mergeCell ref="E804:F804"/>
    <mergeCell ref="G804:J804"/>
    <mergeCell ref="E805:F805"/>
    <mergeCell ref="G805:J805"/>
    <mergeCell ref="E806:F806"/>
    <mergeCell ref="G806:J806"/>
    <mergeCell ref="E759:F759"/>
    <mergeCell ref="G759:J759"/>
    <mergeCell ref="E760:F760"/>
    <mergeCell ref="G760:J760"/>
    <mergeCell ref="E761:F761"/>
    <mergeCell ref="G761:J761"/>
    <mergeCell ref="E762:F762"/>
    <mergeCell ref="G762:J762"/>
    <mergeCell ref="E763:F763"/>
    <mergeCell ref="G763:J763"/>
    <mergeCell ref="E764:F764"/>
    <mergeCell ref="G764:J764"/>
    <mergeCell ref="E770:F770"/>
    <mergeCell ref="G770:J770"/>
    <mergeCell ref="E796:F796"/>
    <mergeCell ref="G796:J796"/>
    <mergeCell ref="E797:F797"/>
    <mergeCell ref="G797:J797"/>
    <mergeCell ref="E780:F780"/>
    <mergeCell ref="G780:J780"/>
    <mergeCell ref="E781:F781"/>
    <mergeCell ref="G781:J781"/>
    <mergeCell ref="E782:F782"/>
    <mergeCell ref="G782:J782"/>
    <mergeCell ref="E771:F771"/>
    <mergeCell ref="G771:J771"/>
    <mergeCell ref="E772:F772"/>
    <mergeCell ref="G772:J772"/>
    <mergeCell ref="E773:F773"/>
    <mergeCell ref="G773:J773"/>
    <mergeCell ref="E774:F774"/>
    <mergeCell ref="G774:J774"/>
    <mergeCell ref="E765:F765"/>
    <mergeCell ref="G765:J765"/>
    <mergeCell ref="E766:F766"/>
    <mergeCell ref="G766:J766"/>
    <mergeCell ref="G733:J733"/>
    <mergeCell ref="G734:J734"/>
    <mergeCell ref="G735:J735"/>
    <mergeCell ref="G736:J736"/>
    <mergeCell ref="G737:J737"/>
    <mergeCell ref="G738:J738"/>
    <mergeCell ref="E739:F739"/>
    <mergeCell ref="G739:J739"/>
    <mergeCell ref="E740:F740"/>
    <mergeCell ref="G740:J740"/>
    <mergeCell ref="E741:F741"/>
    <mergeCell ref="G741:J741"/>
    <mergeCell ref="E733:F733"/>
    <mergeCell ref="E734:F734"/>
    <mergeCell ref="E735:F735"/>
    <mergeCell ref="E736:F736"/>
    <mergeCell ref="E737:F737"/>
    <mergeCell ref="E738:F738"/>
    <mergeCell ref="E742:F742"/>
    <mergeCell ref="G742:J742"/>
    <mergeCell ref="E743:F743"/>
    <mergeCell ref="G743:J743"/>
    <mergeCell ref="E756:F756"/>
    <mergeCell ref="G756:J756"/>
    <mergeCell ref="E757:F757"/>
    <mergeCell ref="G757:J757"/>
    <mergeCell ref="E758:F758"/>
    <mergeCell ref="G758:J758"/>
    <mergeCell ref="G717:J717"/>
    <mergeCell ref="G718:J718"/>
    <mergeCell ref="G556:J556"/>
    <mergeCell ref="G557:J557"/>
    <mergeCell ref="G558:J558"/>
    <mergeCell ref="G559:J559"/>
    <mergeCell ref="G560:J560"/>
    <mergeCell ref="G561:J561"/>
    <mergeCell ref="G562:J562"/>
    <mergeCell ref="G563:J563"/>
    <mergeCell ref="G564:J564"/>
    <mergeCell ref="G565:J565"/>
    <mergeCell ref="G566:J566"/>
    <mergeCell ref="G567:J567"/>
    <mergeCell ref="G568:J568"/>
    <mergeCell ref="G569:J569"/>
    <mergeCell ref="G570:J570"/>
    <mergeCell ref="G571:J571"/>
    <mergeCell ref="G572:J572"/>
    <mergeCell ref="G643:J643"/>
    <mergeCell ref="G644:J644"/>
    <mergeCell ref="G617:J617"/>
    <mergeCell ref="G618:J618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G724:J724"/>
    <mergeCell ref="G725:J725"/>
    <mergeCell ref="G726:J726"/>
    <mergeCell ref="G727:J727"/>
    <mergeCell ref="G728:J728"/>
    <mergeCell ref="G729:J729"/>
    <mergeCell ref="G730:J730"/>
    <mergeCell ref="G731:J731"/>
    <mergeCell ref="G732:J732"/>
    <mergeCell ref="G719:J719"/>
    <mergeCell ref="G720:J720"/>
    <mergeCell ref="G721:J721"/>
    <mergeCell ref="G722:J722"/>
    <mergeCell ref="G723:J723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G707:J707"/>
    <mergeCell ref="G708:J708"/>
    <mergeCell ref="G709:J709"/>
    <mergeCell ref="G710:J710"/>
    <mergeCell ref="G711:J711"/>
    <mergeCell ref="G712:J712"/>
    <mergeCell ref="G713:J713"/>
    <mergeCell ref="G714:J714"/>
    <mergeCell ref="G715:J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G716:J716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G698:J698"/>
    <mergeCell ref="G699:J699"/>
    <mergeCell ref="G700:J700"/>
    <mergeCell ref="G701:J701"/>
    <mergeCell ref="G702:J702"/>
    <mergeCell ref="G703:J703"/>
    <mergeCell ref="G704:J704"/>
    <mergeCell ref="G705:J705"/>
    <mergeCell ref="G706:J706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G689:J689"/>
    <mergeCell ref="G690:J690"/>
    <mergeCell ref="G691:J691"/>
    <mergeCell ref="G692:J692"/>
    <mergeCell ref="G693:J693"/>
    <mergeCell ref="G694:J694"/>
    <mergeCell ref="G695:J695"/>
    <mergeCell ref="G696:J696"/>
    <mergeCell ref="G697:J697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G680:J680"/>
    <mergeCell ref="G681:J681"/>
    <mergeCell ref="G682:J682"/>
    <mergeCell ref="G683:J683"/>
    <mergeCell ref="G684:J684"/>
    <mergeCell ref="G685:J685"/>
    <mergeCell ref="G686:J686"/>
    <mergeCell ref="G687:J687"/>
    <mergeCell ref="G688:J688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G671:J671"/>
    <mergeCell ref="G672:J672"/>
    <mergeCell ref="G673:J673"/>
    <mergeCell ref="G674:J674"/>
    <mergeCell ref="G675:J675"/>
    <mergeCell ref="G676:J676"/>
    <mergeCell ref="G677:J677"/>
    <mergeCell ref="G678:J678"/>
    <mergeCell ref="G679:J679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G662:J662"/>
    <mergeCell ref="G663:J663"/>
    <mergeCell ref="G664:J664"/>
    <mergeCell ref="G665:J665"/>
    <mergeCell ref="G666:J666"/>
    <mergeCell ref="G667:J667"/>
    <mergeCell ref="G668:J668"/>
    <mergeCell ref="G669:J669"/>
    <mergeCell ref="G670:J670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G653:J653"/>
    <mergeCell ref="G654:J654"/>
    <mergeCell ref="G655:J655"/>
    <mergeCell ref="G656:J656"/>
    <mergeCell ref="G657:J657"/>
    <mergeCell ref="G658:J658"/>
    <mergeCell ref="G659:J659"/>
    <mergeCell ref="G660:J660"/>
    <mergeCell ref="G661:J661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G645:J645"/>
    <mergeCell ref="G646:J646"/>
    <mergeCell ref="G647:J647"/>
    <mergeCell ref="G648:J648"/>
    <mergeCell ref="G649:J649"/>
    <mergeCell ref="G650:J650"/>
    <mergeCell ref="G651:J651"/>
    <mergeCell ref="G652:J652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G636:J636"/>
    <mergeCell ref="G637:J637"/>
    <mergeCell ref="G638:J638"/>
    <mergeCell ref="G639:J639"/>
    <mergeCell ref="G640:J640"/>
    <mergeCell ref="G641:J641"/>
    <mergeCell ref="G642:J642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G627:J627"/>
    <mergeCell ref="G628:J628"/>
    <mergeCell ref="G629:J629"/>
    <mergeCell ref="G630:J630"/>
    <mergeCell ref="G631:J631"/>
    <mergeCell ref="G632:J632"/>
    <mergeCell ref="G633:J633"/>
    <mergeCell ref="G634:J634"/>
    <mergeCell ref="G635:J635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G619:J619"/>
    <mergeCell ref="G620:J620"/>
    <mergeCell ref="G621:J621"/>
    <mergeCell ref="G622:J622"/>
    <mergeCell ref="G623:J623"/>
    <mergeCell ref="G624:J624"/>
    <mergeCell ref="G625:J625"/>
    <mergeCell ref="G626:J626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G610:J610"/>
    <mergeCell ref="G611:J611"/>
    <mergeCell ref="G612:J612"/>
    <mergeCell ref="G613:J613"/>
    <mergeCell ref="G614:J614"/>
    <mergeCell ref="G615:J615"/>
    <mergeCell ref="G616:J616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G601:J601"/>
    <mergeCell ref="G602:J602"/>
    <mergeCell ref="G603:J603"/>
    <mergeCell ref="G604:J604"/>
    <mergeCell ref="G605:J605"/>
    <mergeCell ref="G606:J606"/>
    <mergeCell ref="G607:J607"/>
    <mergeCell ref="G608:J608"/>
    <mergeCell ref="G609:J609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G592:J592"/>
    <mergeCell ref="G593:J593"/>
    <mergeCell ref="G594:J594"/>
    <mergeCell ref="G595:J595"/>
    <mergeCell ref="G596:J596"/>
    <mergeCell ref="G597:J597"/>
    <mergeCell ref="G598:J598"/>
    <mergeCell ref="G599:J599"/>
    <mergeCell ref="G600:J600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G583:J583"/>
    <mergeCell ref="G584:J584"/>
    <mergeCell ref="G585:J585"/>
    <mergeCell ref="G586:J586"/>
    <mergeCell ref="G587:J587"/>
    <mergeCell ref="G588:J588"/>
    <mergeCell ref="G589:J589"/>
    <mergeCell ref="G590:J590"/>
    <mergeCell ref="G591:J591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G576:J576"/>
    <mergeCell ref="G577:J577"/>
    <mergeCell ref="G578:J578"/>
    <mergeCell ref="G579:J579"/>
    <mergeCell ref="G580:J580"/>
    <mergeCell ref="G581:J581"/>
    <mergeCell ref="G582:J582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G573:J573"/>
    <mergeCell ref="G574:J574"/>
    <mergeCell ref="G575:J57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54:F554"/>
    <mergeCell ref="G554:J554"/>
    <mergeCell ref="E555:F555"/>
    <mergeCell ref="G555:J555"/>
    <mergeCell ref="E548:F548"/>
    <mergeCell ref="G548:J548"/>
    <mergeCell ref="E549:F549"/>
    <mergeCell ref="G549:J549"/>
    <mergeCell ref="E550:F550"/>
    <mergeCell ref="G550:J550"/>
    <mergeCell ref="E551:F551"/>
    <mergeCell ref="G551:J551"/>
    <mergeCell ref="E552:F552"/>
    <mergeCell ref="G552:J552"/>
    <mergeCell ref="E553:F553"/>
    <mergeCell ref="G553:J553"/>
    <mergeCell ref="E542:F542"/>
    <mergeCell ref="G542:J542"/>
    <mergeCell ref="E543:F543"/>
    <mergeCell ref="G543:J543"/>
    <mergeCell ref="E544:F544"/>
    <mergeCell ref="G544:J544"/>
    <mergeCell ref="E545:F545"/>
    <mergeCell ref="G545:J545"/>
    <mergeCell ref="E546:F546"/>
    <mergeCell ref="G546:J546"/>
    <mergeCell ref="E547:F547"/>
    <mergeCell ref="G547:J547"/>
    <mergeCell ref="E536:F536"/>
    <mergeCell ref="G536:J536"/>
    <mergeCell ref="E537:F537"/>
    <mergeCell ref="G537:J537"/>
    <mergeCell ref="E538:F538"/>
    <mergeCell ref="G538:J538"/>
    <mergeCell ref="E539:F539"/>
    <mergeCell ref="G539:J539"/>
    <mergeCell ref="E540:F540"/>
    <mergeCell ref="G540:J540"/>
    <mergeCell ref="E541:F541"/>
    <mergeCell ref="G541:J541"/>
    <mergeCell ref="E530:F530"/>
    <mergeCell ref="G530:J530"/>
    <mergeCell ref="E531:F531"/>
    <mergeCell ref="G531:J531"/>
    <mergeCell ref="E532:F532"/>
    <mergeCell ref="G532:J532"/>
    <mergeCell ref="E533:F533"/>
    <mergeCell ref="G533:J533"/>
    <mergeCell ref="E534:F534"/>
    <mergeCell ref="G534:J534"/>
    <mergeCell ref="E535:F535"/>
    <mergeCell ref="G535:J535"/>
    <mergeCell ref="E524:F524"/>
    <mergeCell ref="G524:J524"/>
    <mergeCell ref="E525:F525"/>
    <mergeCell ref="G525:J525"/>
    <mergeCell ref="E526:F526"/>
    <mergeCell ref="G526:J526"/>
    <mergeCell ref="E527:F527"/>
    <mergeCell ref="G527:J527"/>
    <mergeCell ref="E528:F528"/>
    <mergeCell ref="G528:J528"/>
    <mergeCell ref="E529:F529"/>
    <mergeCell ref="G529:J529"/>
    <mergeCell ref="E518:F518"/>
    <mergeCell ref="G518:J518"/>
    <mergeCell ref="E519:F519"/>
    <mergeCell ref="G519:J519"/>
    <mergeCell ref="E520:F520"/>
    <mergeCell ref="G520:J520"/>
    <mergeCell ref="E521:F521"/>
    <mergeCell ref="G521:J521"/>
    <mergeCell ref="E522:F522"/>
    <mergeCell ref="G522:J522"/>
    <mergeCell ref="E523:F523"/>
    <mergeCell ref="G523:J523"/>
    <mergeCell ref="E512:F512"/>
    <mergeCell ref="G512:J512"/>
    <mergeCell ref="E513:F513"/>
    <mergeCell ref="G513:J513"/>
    <mergeCell ref="E514:F514"/>
    <mergeCell ref="G514:J514"/>
    <mergeCell ref="E515:F515"/>
    <mergeCell ref="G515:J515"/>
    <mergeCell ref="E516:F516"/>
    <mergeCell ref="G516:J516"/>
    <mergeCell ref="E517:F517"/>
    <mergeCell ref="G517:J517"/>
    <mergeCell ref="E506:F506"/>
    <mergeCell ref="G506:J506"/>
    <mergeCell ref="E507:F507"/>
    <mergeCell ref="G507:J507"/>
    <mergeCell ref="E508:F508"/>
    <mergeCell ref="G508:J508"/>
    <mergeCell ref="E509:F509"/>
    <mergeCell ref="G509:J509"/>
    <mergeCell ref="E510:F510"/>
    <mergeCell ref="G510:J510"/>
    <mergeCell ref="E511:F511"/>
    <mergeCell ref="G511:J511"/>
    <mergeCell ref="E500:F500"/>
    <mergeCell ref="G500:J500"/>
    <mergeCell ref="E501:F501"/>
    <mergeCell ref="G501:J501"/>
    <mergeCell ref="E502:F502"/>
    <mergeCell ref="G502:J502"/>
    <mergeCell ref="E503:F503"/>
    <mergeCell ref="G503:J503"/>
    <mergeCell ref="E504:F504"/>
    <mergeCell ref="G504:J504"/>
    <mergeCell ref="E505:F505"/>
    <mergeCell ref="G505:J505"/>
    <mergeCell ref="E494:F494"/>
    <mergeCell ref="G494:J494"/>
    <mergeCell ref="E495:F495"/>
    <mergeCell ref="G495:J495"/>
    <mergeCell ref="E496:F496"/>
    <mergeCell ref="G496:J496"/>
    <mergeCell ref="E497:F497"/>
    <mergeCell ref="G497:J497"/>
    <mergeCell ref="E498:F498"/>
    <mergeCell ref="G498:J498"/>
    <mergeCell ref="E499:F499"/>
    <mergeCell ref="G499:J499"/>
    <mergeCell ref="E488:F488"/>
    <mergeCell ref="G488:J488"/>
    <mergeCell ref="E489:F489"/>
    <mergeCell ref="G489:J489"/>
    <mergeCell ref="E490:F490"/>
    <mergeCell ref="G490:J490"/>
    <mergeCell ref="E491:F491"/>
    <mergeCell ref="G491:J491"/>
    <mergeCell ref="E492:F492"/>
    <mergeCell ref="G492:J492"/>
    <mergeCell ref="E493:F493"/>
    <mergeCell ref="G493:J493"/>
    <mergeCell ref="E482:F482"/>
    <mergeCell ref="G482:J482"/>
    <mergeCell ref="E483:F483"/>
    <mergeCell ref="G483:J483"/>
    <mergeCell ref="E484:F484"/>
    <mergeCell ref="G484:J484"/>
    <mergeCell ref="E485:F485"/>
    <mergeCell ref="G485:J485"/>
    <mergeCell ref="E486:F486"/>
    <mergeCell ref="G486:J486"/>
    <mergeCell ref="E487:F487"/>
    <mergeCell ref="G487:J487"/>
    <mergeCell ref="E476:F476"/>
    <mergeCell ref="G476:J476"/>
    <mergeCell ref="E477:F477"/>
    <mergeCell ref="G477:J477"/>
    <mergeCell ref="E478:F478"/>
    <mergeCell ref="G478:J478"/>
    <mergeCell ref="E479:F479"/>
    <mergeCell ref="G479:J479"/>
    <mergeCell ref="E480:F480"/>
    <mergeCell ref="G480:J480"/>
    <mergeCell ref="E481:F481"/>
    <mergeCell ref="G481:J481"/>
    <mergeCell ref="E470:F470"/>
    <mergeCell ref="G470:J470"/>
    <mergeCell ref="E471:F471"/>
    <mergeCell ref="G471:J471"/>
    <mergeCell ref="E472:F472"/>
    <mergeCell ref="G472:J472"/>
    <mergeCell ref="E473:F473"/>
    <mergeCell ref="G473:J473"/>
    <mergeCell ref="E474:F474"/>
    <mergeCell ref="G474:J474"/>
    <mergeCell ref="E475:F475"/>
    <mergeCell ref="G475:J475"/>
    <mergeCell ref="E464:F464"/>
    <mergeCell ref="G464:J464"/>
    <mergeCell ref="E465:F465"/>
    <mergeCell ref="G465:J465"/>
    <mergeCell ref="E466:F466"/>
    <mergeCell ref="G466:J466"/>
    <mergeCell ref="E467:F467"/>
    <mergeCell ref="G467:J467"/>
    <mergeCell ref="E468:F468"/>
    <mergeCell ref="G468:J468"/>
    <mergeCell ref="E469:F469"/>
    <mergeCell ref="G469:J469"/>
    <mergeCell ref="E458:F458"/>
    <mergeCell ref="G458:J458"/>
    <mergeCell ref="E459:F459"/>
    <mergeCell ref="G459:J459"/>
    <mergeCell ref="E460:F460"/>
    <mergeCell ref="G460:J460"/>
    <mergeCell ref="E461:F461"/>
    <mergeCell ref="G461:J461"/>
    <mergeCell ref="E462:F462"/>
    <mergeCell ref="G462:J462"/>
    <mergeCell ref="E463:F463"/>
    <mergeCell ref="G463:J463"/>
    <mergeCell ref="E452:F452"/>
    <mergeCell ref="G452:J452"/>
    <mergeCell ref="E453:F453"/>
    <mergeCell ref="G453:J453"/>
    <mergeCell ref="E454:F454"/>
    <mergeCell ref="G454:J454"/>
    <mergeCell ref="E455:F455"/>
    <mergeCell ref="G455:J455"/>
    <mergeCell ref="E456:F456"/>
    <mergeCell ref="G456:J456"/>
    <mergeCell ref="E457:F457"/>
    <mergeCell ref="G457:J457"/>
    <mergeCell ref="E446:F446"/>
    <mergeCell ref="G446:J446"/>
    <mergeCell ref="E447:F447"/>
    <mergeCell ref="G447:J447"/>
    <mergeCell ref="E448:F448"/>
    <mergeCell ref="G448:J448"/>
    <mergeCell ref="E449:F449"/>
    <mergeCell ref="G449:J449"/>
    <mergeCell ref="E450:F450"/>
    <mergeCell ref="G450:J450"/>
    <mergeCell ref="E451:F451"/>
    <mergeCell ref="G451:J451"/>
    <mergeCell ref="E440:F440"/>
    <mergeCell ref="G440:J440"/>
    <mergeCell ref="E441:F441"/>
    <mergeCell ref="G441:J441"/>
    <mergeCell ref="E442:F442"/>
    <mergeCell ref="G442:J442"/>
    <mergeCell ref="E443:F443"/>
    <mergeCell ref="G443:J443"/>
    <mergeCell ref="E444:F444"/>
    <mergeCell ref="G444:J444"/>
    <mergeCell ref="E445:F445"/>
    <mergeCell ref="G445:J445"/>
    <mergeCell ref="E434:F434"/>
    <mergeCell ref="G434:J434"/>
    <mergeCell ref="E435:F435"/>
    <mergeCell ref="G435:J435"/>
    <mergeCell ref="E436:F436"/>
    <mergeCell ref="G436:J436"/>
    <mergeCell ref="E437:F437"/>
    <mergeCell ref="G437:J437"/>
    <mergeCell ref="E438:F438"/>
    <mergeCell ref="G438:J438"/>
    <mergeCell ref="E439:F439"/>
    <mergeCell ref="G439:J439"/>
    <mergeCell ref="E428:F428"/>
    <mergeCell ref="G428:J428"/>
    <mergeCell ref="E429:F429"/>
    <mergeCell ref="G429:J429"/>
    <mergeCell ref="E430:F430"/>
    <mergeCell ref="G430:J430"/>
    <mergeCell ref="E431:F431"/>
    <mergeCell ref="G431:J431"/>
    <mergeCell ref="E432:F432"/>
    <mergeCell ref="G432:J432"/>
    <mergeCell ref="E433:F433"/>
    <mergeCell ref="G433:J433"/>
    <mergeCell ref="E422:F422"/>
    <mergeCell ref="G422:J422"/>
    <mergeCell ref="E423:F423"/>
    <mergeCell ref="G423:J423"/>
    <mergeCell ref="E424:F424"/>
    <mergeCell ref="G424:J424"/>
    <mergeCell ref="E425:F425"/>
    <mergeCell ref="G425:J425"/>
    <mergeCell ref="E426:F426"/>
    <mergeCell ref="G426:J426"/>
    <mergeCell ref="E427:F427"/>
    <mergeCell ref="G427:J427"/>
    <mergeCell ref="E416:F416"/>
    <mergeCell ref="G416:J416"/>
    <mergeCell ref="E417:F417"/>
    <mergeCell ref="G417:J417"/>
    <mergeCell ref="E418:F418"/>
    <mergeCell ref="G418:J418"/>
    <mergeCell ref="E419:F419"/>
    <mergeCell ref="G419:J419"/>
    <mergeCell ref="E420:F420"/>
    <mergeCell ref="G420:J420"/>
    <mergeCell ref="E421:F421"/>
    <mergeCell ref="G421:J421"/>
    <mergeCell ref="E410:F410"/>
    <mergeCell ref="G410:J410"/>
    <mergeCell ref="E411:F411"/>
    <mergeCell ref="G411:J411"/>
    <mergeCell ref="E412:F412"/>
    <mergeCell ref="G412:J412"/>
    <mergeCell ref="E413:F413"/>
    <mergeCell ref="G413:J413"/>
    <mergeCell ref="E414:F414"/>
    <mergeCell ref="G414:J414"/>
    <mergeCell ref="E415:F415"/>
    <mergeCell ref="G415:J415"/>
    <mergeCell ref="E404:F404"/>
    <mergeCell ref="G404:J404"/>
    <mergeCell ref="E405:F405"/>
    <mergeCell ref="G405:J405"/>
    <mergeCell ref="E406:F406"/>
    <mergeCell ref="G406:J406"/>
    <mergeCell ref="E407:F407"/>
    <mergeCell ref="G407:J407"/>
    <mergeCell ref="E408:F408"/>
    <mergeCell ref="G408:J408"/>
    <mergeCell ref="E409:F409"/>
    <mergeCell ref="G409:J409"/>
    <mergeCell ref="E398:F398"/>
    <mergeCell ref="G398:J398"/>
    <mergeCell ref="E399:F399"/>
    <mergeCell ref="G399:J399"/>
    <mergeCell ref="E400:F400"/>
    <mergeCell ref="G400:J400"/>
    <mergeCell ref="E401:F401"/>
    <mergeCell ref="G401:J401"/>
    <mergeCell ref="E402:F402"/>
    <mergeCell ref="G402:J402"/>
    <mergeCell ref="E403:F403"/>
    <mergeCell ref="G403:J403"/>
    <mergeCell ref="E392:F392"/>
    <mergeCell ref="G392:J392"/>
    <mergeCell ref="E393:F393"/>
    <mergeCell ref="G393:J393"/>
    <mergeCell ref="E394:F394"/>
    <mergeCell ref="G394:J394"/>
    <mergeCell ref="E395:F395"/>
    <mergeCell ref="G395:J395"/>
    <mergeCell ref="E396:F396"/>
    <mergeCell ref="G396:J396"/>
    <mergeCell ref="E397:F397"/>
    <mergeCell ref="G397:J397"/>
    <mergeCell ref="E386:F386"/>
    <mergeCell ref="G386:J386"/>
    <mergeCell ref="E387:F387"/>
    <mergeCell ref="G387:J387"/>
    <mergeCell ref="E388:F388"/>
    <mergeCell ref="G388:J388"/>
    <mergeCell ref="E389:F389"/>
    <mergeCell ref="G389:J389"/>
    <mergeCell ref="E390:F390"/>
    <mergeCell ref="G390:J390"/>
    <mergeCell ref="E391:F391"/>
    <mergeCell ref="G391:J391"/>
    <mergeCell ref="E380:F380"/>
    <mergeCell ref="G380:J380"/>
    <mergeCell ref="E381:F381"/>
    <mergeCell ref="G381:J381"/>
    <mergeCell ref="E382:F382"/>
    <mergeCell ref="G382:J382"/>
    <mergeCell ref="E383:F383"/>
    <mergeCell ref="G383:J383"/>
    <mergeCell ref="E384:F384"/>
    <mergeCell ref="G384:J384"/>
    <mergeCell ref="E385:F385"/>
    <mergeCell ref="G385:J385"/>
    <mergeCell ref="E374:F374"/>
    <mergeCell ref="G374:J374"/>
    <mergeCell ref="E375:F375"/>
    <mergeCell ref="G375:J375"/>
    <mergeCell ref="E376:F376"/>
    <mergeCell ref="G376:J376"/>
    <mergeCell ref="E377:F377"/>
    <mergeCell ref="G377:J377"/>
    <mergeCell ref="E378:F378"/>
    <mergeCell ref="G378:J378"/>
    <mergeCell ref="E379:F379"/>
    <mergeCell ref="G379:J379"/>
    <mergeCell ref="E368:F368"/>
    <mergeCell ref="G368:J368"/>
    <mergeCell ref="E369:F369"/>
    <mergeCell ref="G369:J369"/>
    <mergeCell ref="E370:F370"/>
    <mergeCell ref="G370:J370"/>
    <mergeCell ref="E371:F371"/>
    <mergeCell ref="G371:J371"/>
    <mergeCell ref="E372:F372"/>
    <mergeCell ref="G372:J372"/>
    <mergeCell ref="E373:F373"/>
    <mergeCell ref="G373:J373"/>
    <mergeCell ref="E362:F362"/>
    <mergeCell ref="G362:J362"/>
    <mergeCell ref="E363:F363"/>
    <mergeCell ref="G363:J363"/>
    <mergeCell ref="E364:F364"/>
    <mergeCell ref="G364:J364"/>
    <mergeCell ref="E365:F365"/>
    <mergeCell ref="G365:J365"/>
    <mergeCell ref="E366:F366"/>
    <mergeCell ref="G366:J366"/>
    <mergeCell ref="E367:F367"/>
    <mergeCell ref="G367:J367"/>
    <mergeCell ref="E356:F356"/>
    <mergeCell ref="G356:J356"/>
    <mergeCell ref="E357:F357"/>
    <mergeCell ref="G357:J357"/>
    <mergeCell ref="E358:F358"/>
    <mergeCell ref="G358:J358"/>
    <mergeCell ref="E359:F359"/>
    <mergeCell ref="G359:J359"/>
    <mergeCell ref="E360:F360"/>
    <mergeCell ref="G360:J360"/>
    <mergeCell ref="E361:F361"/>
    <mergeCell ref="G361:J361"/>
    <mergeCell ref="E350:F350"/>
    <mergeCell ref="G350:J350"/>
    <mergeCell ref="E351:F351"/>
    <mergeCell ref="G351:J351"/>
    <mergeCell ref="E352:F352"/>
    <mergeCell ref="G352:J352"/>
    <mergeCell ref="E353:F353"/>
    <mergeCell ref="G353:J353"/>
    <mergeCell ref="E354:F354"/>
    <mergeCell ref="G354:J354"/>
    <mergeCell ref="E355:F355"/>
    <mergeCell ref="G355:J355"/>
    <mergeCell ref="E344:F344"/>
    <mergeCell ref="G344:J344"/>
    <mergeCell ref="E345:F345"/>
    <mergeCell ref="G345:J345"/>
    <mergeCell ref="E346:F346"/>
    <mergeCell ref="G346:J346"/>
    <mergeCell ref="E347:F347"/>
    <mergeCell ref="G347:J347"/>
    <mergeCell ref="E348:F348"/>
    <mergeCell ref="G348:J348"/>
    <mergeCell ref="E349:F349"/>
    <mergeCell ref="G349:J349"/>
    <mergeCell ref="E338:F338"/>
    <mergeCell ref="G338:J338"/>
    <mergeCell ref="E339:F339"/>
    <mergeCell ref="G339:J339"/>
    <mergeCell ref="E340:F340"/>
    <mergeCell ref="G340:J340"/>
    <mergeCell ref="E341:F341"/>
    <mergeCell ref="G341:J341"/>
    <mergeCell ref="E342:F342"/>
    <mergeCell ref="G342:J342"/>
    <mergeCell ref="E343:F343"/>
    <mergeCell ref="G343:J343"/>
    <mergeCell ref="E332:F332"/>
    <mergeCell ref="G332:J332"/>
    <mergeCell ref="E333:F333"/>
    <mergeCell ref="G333:J333"/>
    <mergeCell ref="E334:F334"/>
    <mergeCell ref="G334:J334"/>
    <mergeCell ref="E335:F335"/>
    <mergeCell ref="G335:J335"/>
    <mergeCell ref="E336:F336"/>
    <mergeCell ref="G336:J336"/>
    <mergeCell ref="E337:F337"/>
    <mergeCell ref="G337:J337"/>
    <mergeCell ref="E326:F326"/>
    <mergeCell ref="G326:J326"/>
    <mergeCell ref="E327:F327"/>
    <mergeCell ref="G327:J327"/>
    <mergeCell ref="E328:F328"/>
    <mergeCell ref="G328:J328"/>
    <mergeCell ref="E329:F329"/>
    <mergeCell ref="G329:J329"/>
    <mergeCell ref="E330:F330"/>
    <mergeCell ref="G330:J330"/>
    <mergeCell ref="E331:F331"/>
    <mergeCell ref="G331:J331"/>
    <mergeCell ref="E320:F320"/>
    <mergeCell ref="G320:J320"/>
    <mergeCell ref="E321:F321"/>
    <mergeCell ref="G321:J321"/>
    <mergeCell ref="E322:F322"/>
    <mergeCell ref="G322:J322"/>
    <mergeCell ref="E323:F323"/>
    <mergeCell ref="G323:J323"/>
    <mergeCell ref="E324:F324"/>
    <mergeCell ref="G324:J324"/>
    <mergeCell ref="E325:F325"/>
    <mergeCell ref="G325:J325"/>
    <mergeCell ref="E314:F314"/>
    <mergeCell ref="G314:J314"/>
    <mergeCell ref="E315:F315"/>
    <mergeCell ref="G315:J315"/>
    <mergeCell ref="E316:F316"/>
    <mergeCell ref="G316:J316"/>
    <mergeCell ref="E317:F317"/>
    <mergeCell ref="G317:J317"/>
    <mergeCell ref="E318:F318"/>
    <mergeCell ref="G318:J318"/>
    <mergeCell ref="E319:F319"/>
    <mergeCell ref="G319:J319"/>
    <mergeCell ref="E308:F308"/>
    <mergeCell ref="G308:J308"/>
    <mergeCell ref="E309:F309"/>
    <mergeCell ref="G309:J309"/>
    <mergeCell ref="E310:F310"/>
    <mergeCell ref="G310:J310"/>
    <mergeCell ref="E311:F311"/>
    <mergeCell ref="G311:J311"/>
    <mergeCell ref="E312:F312"/>
    <mergeCell ref="G312:J312"/>
    <mergeCell ref="E313:F313"/>
    <mergeCell ref="G313:J313"/>
    <mergeCell ref="E302:F302"/>
    <mergeCell ref="G302:J302"/>
    <mergeCell ref="E303:F303"/>
    <mergeCell ref="G303:J303"/>
    <mergeCell ref="E304:F304"/>
    <mergeCell ref="G304:J304"/>
    <mergeCell ref="E305:F305"/>
    <mergeCell ref="G305:J305"/>
    <mergeCell ref="E306:F306"/>
    <mergeCell ref="G306:J306"/>
    <mergeCell ref="E307:F307"/>
    <mergeCell ref="G307:J307"/>
    <mergeCell ref="E296:F296"/>
    <mergeCell ref="G296:J296"/>
    <mergeCell ref="E297:F297"/>
    <mergeCell ref="G297:J297"/>
    <mergeCell ref="E298:F298"/>
    <mergeCell ref="G298:J298"/>
    <mergeCell ref="E299:F299"/>
    <mergeCell ref="G299:J299"/>
    <mergeCell ref="E300:F300"/>
    <mergeCell ref="G300:J300"/>
    <mergeCell ref="E301:F301"/>
    <mergeCell ref="G301:J301"/>
    <mergeCell ref="E290:F290"/>
    <mergeCell ref="G290:J290"/>
    <mergeCell ref="E291:F291"/>
    <mergeCell ref="G291:J291"/>
    <mergeCell ref="E292:F292"/>
    <mergeCell ref="G292:J292"/>
    <mergeCell ref="E293:F293"/>
    <mergeCell ref="G293:J293"/>
    <mergeCell ref="E294:F294"/>
    <mergeCell ref="G294:J294"/>
    <mergeCell ref="E295:F295"/>
    <mergeCell ref="G295:J295"/>
    <mergeCell ref="E284:F284"/>
    <mergeCell ref="G284:J284"/>
    <mergeCell ref="E285:F285"/>
    <mergeCell ref="G285:J285"/>
    <mergeCell ref="E286:F286"/>
    <mergeCell ref="G286:J286"/>
    <mergeCell ref="E287:F287"/>
    <mergeCell ref="G287:J287"/>
    <mergeCell ref="E288:F288"/>
    <mergeCell ref="G288:J288"/>
    <mergeCell ref="E289:F289"/>
    <mergeCell ref="G289:J289"/>
    <mergeCell ref="E278:F278"/>
    <mergeCell ref="G278:J278"/>
    <mergeCell ref="E279:F279"/>
    <mergeCell ref="G279:J279"/>
    <mergeCell ref="E280:F280"/>
    <mergeCell ref="G280:J280"/>
    <mergeCell ref="E281:F281"/>
    <mergeCell ref="G281:J281"/>
    <mergeCell ref="E282:F282"/>
    <mergeCell ref="G282:J282"/>
    <mergeCell ref="E283:F283"/>
    <mergeCell ref="G283:J283"/>
    <mergeCell ref="E272:F272"/>
    <mergeCell ref="G272:J272"/>
    <mergeCell ref="E273:F273"/>
    <mergeCell ref="G273:J273"/>
    <mergeCell ref="E274:F274"/>
    <mergeCell ref="G274:J274"/>
    <mergeCell ref="E275:F275"/>
    <mergeCell ref="G275:J275"/>
    <mergeCell ref="E276:F276"/>
    <mergeCell ref="G276:J276"/>
    <mergeCell ref="E277:F277"/>
    <mergeCell ref="G277:J277"/>
    <mergeCell ref="E266:F266"/>
    <mergeCell ref="G266:J266"/>
    <mergeCell ref="E267:F267"/>
    <mergeCell ref="G267:J267"/>
    <mergeCell ref="E268:F268"/>
    <mergeCell ref="G268:J268"/>
    <mergeCell ref="E269:F269"/>
    <mergeCell ref="G269:J269"/>
    <mergeCell ref="E270:F270"/>
    <mergeCell ref="G270:J270"/>
    <mergeCell ref="E271:F271"/>
    <mergeCell ref="G271:J271"/>
    <mergeCell ref="E260:F260"/>
    <mergeCell ref="G260:J260"/>
    <mergeCell ref="E261:F261"/>
    <mergeCell ref="G261:J261"/>
    <mergeCell ref="E262:F262"/>
    <mergeCell ref="G262:J262"/>
    <mergeCell ref="E263:F263"/>
    <mergeCell ref="G263:J263"/>
    <mergeCell ref="E264:F264"/>
    <mergeCell ref="G264:J264"/>
    <mergeCell ref="E265:F265"/>
    <mergeCell ref="G265:J265"/>
    <mergeCell ref="E254:F254"/>
    <mergeCell ref="G254:J254"/>
    <mergeCell ref="E255:F255"/>
    <mergeCell ref="G255:J255"/>
    <mergeCell ref="E256:F256"/>
    <mergeCell ref="G256:J256"/>
    <mergeCell ref="E257:F257"/>
    <mergeCell ref="G257:J257"/>
    <mergeCell ref="E258:F258"/>
    <mergeCell ref="G258:J258"/>
    <mergeCell ref="E259:F259"/>
    <mergeCell ref="G259:J259"/>
    <mergeCell ref="E248:F248"/>
    <mergeCell ref="G248:J248"/>
    <mergeCell ref="E249:F249"/>
    <mergeCell ref="G249:J249"/>
    <mergeCell ref="E250:F250"/>
    <mergeCell ref="G250:J250"/>
    <mergeCell ref="E251:F251"/>
    <mergeCell ref="G251:J251"/>
    <mergeCell ref="E252:F252"/>
    <mergeCell ref="G252:J252"/>
    <mergeCell ref="E253:F253"/>
    <mergeCell ref="G253:J253"/>
    <mergeCell ref="E242:F242"/>
    <mergeCell ref="G242:J242"/>
    <mergeCell ref="E243:F243"/>
    <mergeCell ref="G243:J243"/>
    <mergeCell ref="E244:F244"/>
    <mergeCell ref="G244:J244"/>
    <mergeCell ref="E245:F245"/>
    <mergeCell ref="G245:J245"/>
    <mergeCell ref="E246:F246"/>
    <mergeCell ref="G246:J246"/>
    <mergeCell ref="E247:F247"/>
    <mergeCell ref="G247:J247"/>
    <mergeCell ref="E236:F236"/>
    <mergeCell ref="G236:J236"/>
    <mergeCell ref="E237:F237"/>
    <mergeCell ref="G237:J237"/>
    <mergeCell ref="E238:F238"/>
    <mergeCell ref="G238:J238"/>
    <mergeCell ref="E239:F239"/>
    <mergeCell ref="G239:J239"/>
    <mergeCell ref="E240:F240"/>
    <mergeCell ref="G240:J240"/>
    <mergeCell ref="E241:F241"/>
    <mergeCell ref="G241:J241"/>
    <mergeCell ref="E230:F230"/>
    <mergeCell ref="G230:J230"/>
    <mergeCell ref="E231:F231"/>
    <mergeCell ref="G231:J231"/>
    <mergeCell ref="E232:F232"/>
    <mergeCell ref="G232:J232"/>
    <mergeCell ref="E233:F233"/>
    <mergeCell ref="G233:J233"/>
    <mergeCell ref="E234:F234"/>
    <mergeCell ref="G234:J234"/>
    <mergeCell ref="E235:F235"/>
    <mergeCell ref="G235:J235"/>
    <mergeCell ref="E224:F224"/>
    <mergeCell ref="G224:J224"/>
    <mergeCell ref="E225:F225"/>
    <mergeCell ref="G225:J225"/>
    <mergeCell ref="E226:F226"/>
    <mergeCell ref="G226:J226"/>
    <mergeCell ref="E227:F227"/>
    <mergeCell ref="G227:J227"/>
    <mergeCell ref="E228:F228"/>
    <mergeCell ref="G228:J228"/>
    <mergeCell ref="E229:F229"/>
    <mergeCell ref="G229:J229"/>
    <mergeCell ref="E218:F218"/>
    <mergeCell ref="G218:J218"/>
    <mergeCell ref="E219:F219"/>
    <mergeCell ref="G219:J219"/>
    <mergeCell ref="E220:F220"/>
    <mergeCell ref="G220:J220"/>
    <mergeCell ref="E221:F221"/>
    <mergeCell ref="G221:J221"/>
    <mergeCell ref="E222:F222"/>
    <mergeCell ref="G222:J222"/>
    <mergeCell ref="E223:F223"/>
    <mergeCell ref="G223:J223"/>
    <mergeCell ref="E212:F212"/>
    <mergeCell ref="G212:J212"/>
    <mergeCell ref="E213:F213"/>
    <mergeCell ref="G213:J213"/>
    <mergeCell ref="E214:F214"/>
    <mergeCell ref="G214:J214"/>
    <mergeCell ref="E215:F215"/>
    <mergeCell ref="G215:J215"/>
    <mergeCell ref="E216:F216"/>
    <mergeCell ref="G216:J216"/>
    <mergeCell ref="E217:F217"/>
    <mergeCell ref="G217:J217"/>
    <mergeCell ref="E206:F206"/>
    <mergeCell ref="G206:J206"/>
    <mergeCell ref="E207:F207"/>
    <mergeCell ref="G207:J207"/>
    <mergeCell ref="E208:F208"/>
    <mergeCell ref="G208:J208"/>
    <mergeCell ref="E209:F209"/>
    <mergeCell ref="G209:J209"/>
    <mergeCell ref="E210:F210"/>
    <mergeCell ref="G210:J210"/>
    <mergeCell ref="E211:F211"/>
    <mergeCell ref="G211:J211"/>
    <mergeCell ref="E200:F200"/>
    <mergeCell ref="G200:J200"/>
    <mergeCell ref="E201:F201"/>
    <mergeCell ref="G201:J201"/>
    <mergeCell ref="E202:F202"/>
    <mergeCell ref="G202:J202"/>
    <mergeCell ref="E203:F203"/>
    <mergeCell ref="G203:J203"/>
    <mergeCell ref="E204:F204"/>
    <mergeCell ref="G204:J204"/>
    <mergeCell ref="E205:F205"/>
    <mergeCell ref="G205:J205"/>
    <mergeCell ref="E194:F194"/>
    <mergeCell ref="G194:J194"/>
    <mergeCell ref="E195:F195"/>
    <mergeCell ref="G195:J195"/>
    <mergeCell ref="E196:F196"/>
    <mergeCell ref="G196:J196"/>
    <mergeCell ref="E197:F197"/>
    <mergeCell ref="G197:J197"/>
    <mergeCell ref="E198:F198"/>
    <mergeCell ref="G198:J198"/>
    <mergeCell ref="E199:F199"/>
    <mergeCell ref="G199:J199"/>
    <mergeCell ref="E188:F188"/>
    <mergeCell ref="G188:J188"/>
    <mergeCell ref="E189:F189"/>
    <mergeCell ref="G189:J189"/>
    <mergeCell ref="E190:F190"/>
    <mergeCell ref="G190:J190"/>
    <mergeCell ref="E191:F191"/>
    <mergeCell ref="G191:J191"/>
    <mergeCell ref="E192:F192"/>
    <mergeCell ref="G192:J192"/>
    <mergeCell ref="E193:F193"/>
    <mergeCell ref="G193:J193"/>
    <mergeCell ref="E182:F182"/>
    <mergeCell ref="G182:J182"/>
    <mergeCell ref="E183:F183"/>
    <mergeCell ref="G183:J183"/>
    <mergeCell ref="E184:F184"/>
    <mergeCell ref="G184:J184"/>
    <mergeCell ref="E185:F185"/>
    <mergeCell ref="G185:J185"/>
    <mergeCell ref="E186:F186"/>
    <mergeCell ref="G186:J186"/>
    <mergeCell ref="E187:F187"/>
    <mergeCell ref="G187:J187"/>
    <mergeCell ref="E176:F176"/>
    <mergeCell ref="G176:J176"/>
    <mergeCell ref="E177:F177"/>
    <mergeCell ref="G177:J177"/>
    <mergeCell ref="E178:F178"/>
    <mergeCell ref="G178:J178"/>
    <mergeCell ref="E179:F179"/>
    <mergeCell ref="G179:J179"/>
    <mergeCell ref="E180:F180"/>
    <mergeCell ref="G180:J180"/>
    <mergeCell ref="E181:F181"/>
    <mergeCell ref="G181:J181"/>
    <mergeCell ref="E170:F170"/>
    <mergeCell ref="G170:J170"/>
    <mergeCell ref="E171:F171"/>
    <mergeCell ref="G171:J171"/>
    <mergeCell ref="E172:F172"/>
    <mergeCell ref="G172:J172"/>
    <mergeCell ref="E173:F173"/>
    <mergeCell ref="G173:J173"/>
    <mergeCell ref="E174:F174"/>
    <mergeCell ref="G174:J174"/>
    <mergeCell ref="E175:F175"/>
    <mergeCell ref="G175:J175"/>
    <mergeCell ref="E164:F164"/>
    <mergeCell ref="G164:J164"/>
    <mergeCell ref="E165:F165"/>
    <mergeCell ref="G165:J165"/>
    <mergeCell ref="E166:F166"/>
    <mergeCell ref="G166:J166"/>
    <mergeCell ref="E167:F167"/>
    <mergeCell ref="G167:J167"/>
    <mergeCell ref="E168:F168"/>
    <mergeCell ref="G168:J168"/>
    <mergeCell ref="E169:F169"/>
    <mergeCell ref="G169:J169"/>
    <mergeCell ref="E158:F158"/>
    <mergeCell ref="G158:J158"/>
    <mergeCell ref="E159:F159"/>
    <mergeCell ref="G159:J159"/>
    <mergeCell ref="E160:F160"/>
    <mergeCell ref="G160:J160"/>
    <mergeCell ref="E161:F161"/>
    <mergeCell ref="G161:J161"/>
    <mergeCell ref="E162:F162"/>
    <mergeCell ref="G162:J162"/>
    <mergeCell ref="E163:F163"/>
    <mergeCell ref="G163:J163"/>
    <mergeCell ref="E152:F152"/>
    <mergeCell ref="G152:J152"/>
    <mergeCell ref="E153:F153"/>
    <mergeCell ref="G153:J153"/>
    <mergeCell ref="E154:F154"/>
    <mergeCell ref="G154:J154"/>
    <mergeCell ref="E155:F155"/>
    <mergeCell ref="G155:J155"/>
    <mergeCell ref="E156:F156"/>
    <mergeCell ref="G156:J156"/>
    <mergeCell ref="E157:F157"/>
    <mergeCell ref="G157:J157"/>
    <mergeCell ref="E146:F146"/>
    <mergeCell ref="G146:J146"/>
    <mergeCell ref="E147:F147"/>
    <mergeCell ref="G147:J147"/>
    <mergeCell ref="E148:F148"/>
    <mergeCell ref="G148:J148"/>
    <mergeCell ref="E149:F149"/>
    <mergeCell ref="G149:J149"/>
    <mergeCell ref="E150:F150"/>
    <mergeCell ref="G150:J150"/>
    <mergeCell ref="E151:F151"/>
    <mergeCell ref="G151:J151"/>
    <mergeCell ref="E140:F140"/>
    <mergeCell ref="G140:J140"/>
    <mergeCell ref="E141:F141"/>
    <mergeCell ref="G141:J141"/>
    <mergeCell ref="E142:F142"/>
    <mergeCell ref="G142:J142"/>
    <mergeCell ref="E143:F143"/>
    <mergeCell ref="G143:J143"/>
    <mergeCell ref="E144:F144"/>
    <mergeCell ref="G144:J144"/>
    <mergeCell ref="E145:F145"/>
    <mergeCell ref="G145:J145"/>
    <mergeCell ref="E134:F134"/>
    <mergeCell ref="G134:J134"/>
    <mergeCell ref="E135:F135"/>
    <mergeCell ref="G135:J135"/>
    <mergeCell ref="E136:F136"/>
    <mergeCell ref="G136:J136"/>
    <mergeCell ref="E137:F137"/>
    <mergeCell ref="G137:J137"/>
    <mergeCell ref="E138:F138"/>
    <mergeCell ref="G138:J138"/>
    <mergeCell ref="E139:F139"/>
    <mergeCell ref="G139:J139"/>
    <mergeCell ref="E128:F128"/>
    <mergeCell ref="G128:J128"/>
    <mergeCell ref="E129:F129"/>
    <mergeCell ref="G129:J129"/>
    <mergeCell ref="E130:F130"/>
    <mergeCell ref="G130:J130"/>
    <mergeCell ref="E131:F131"/>
    <mergeCell ref="G131:J131"/>
    <mergeCell ref="E132:F132"/>
    <mergeCell ref="G132:J132"/>
    <mergeCell ref="E133:F133"/>
    <mergeCell ref="G133:J133"/>
    <mergeCell ref="E122:F122"/>
    <mergeCell ref="G122:J122"/>
    <mergeCell ref="E123:F123"/>
    <mergeCell ref="G123:J123"/>
    <mergeCell ref="E124:F124"/>
    <mergeCell ref="G124:J124"/>
    <mergeCell ref="E125:F125"/>
    <mergeCell ref="G125:J125"/>
    <mergeCell ref="E126:F126"/>
    <mergeCell ref="G126:J126"/>
    <mergeCell ref="E127:F127"/>
    <mergeCell ref="G127:J127"/>
    <mergeCell ref="E116:F116"/>
    <mergeCell ref="G116:J116"/>
    <mergeCell ref="E117:F117"/>
    <mergeCell ref="G117:J117"/>
    <mergeCell ref="E118:F118"/>
    <mergeCell ref="G118:J118"/>
    <mergeCell ref="E119:F119"/>
    <mergeCell ref="G119:J119"/>
    <mergeCell ref="E120:F120"/>
    <mergeCell ref="G120:J120"/>
    <mergeCell ref="E121:F121"/>
    <mergeCell ref="G121:J121"/>
    <mergeCell ref="E110:F110"/>
    <mergeCell ref="G110:J110"/>
    <mergeCell ref="E111:F111"/>
    <mergeCell ref="G111:J111"/>
    <mergeCell ref="E112:F112"/>
    <mergeCell ref="G112:J112"/>
    <mergeCell ref="E113:F113"/>
    <mergeCell ref="G113:J113"/>
    <mergeCell ref="E114:F114"/>
    <mergeCell ref="G114:J114"/>
    <mergeCell ref="E115:F115"/>
    <mergeCell ref="G115:J115"/>
    <mergeCell ref="E104:F104"/>
    <mergeCell ref="G104:J104"/>
    <mergeCell ref="E105:F105"/>
    <mergeCell ref="G105:J105"/>
    <mergeCell ref="E106:F106"/>
    <mergeCell ref="G106:J106"/>
    <mergeCell ref="E107:F107"/>
    <mergeCell ref="G107:J107"/>
    <mergeCell ref="E108:F108"/>
    <mergeCell ref="G108:J108"/>
    <mergeCell ref="E109:F109"/>
    <mergeCell ref="G109:J109"/>
    <mergeCell ref="E98:F98"/>
    <mergeCell ref="G98:J98"/>
    <mergeCell ref="E99:F99"/>
    <mergeCell ref="G99:J99"/>
    <mergeCell ref="E100:F100"/>
    <mergeCell ref="G100:J100"/>
    <mergeCell ref="E101:F101"/>
    <mergeCell ref="G101:J101"/>
    <mergeCell ref="E102:F102"/>
    <mergeCell ref="G102:J102"/>
    <mergeCell ref="E103:F103"/>
    <mergeCell ref="G103:J103"/>
    <mergeCell ref="E92:F92"/>
    <mergeCell ref="G92:J92"/>
    <mergeCell ref="E93:F93"/>
    <mergeCell ref="G93:J93"/>
    <mergeCell ref="E94:F94"/>
    <mergeCell ref="G94:J94"/>
    <mergeCell ref="E95:F95"/>
    <mergeCell ref="G95:J95"/>
    <mergeCell ref="E96:F96"/>
    <mergeCell ref="G96:J96"/>
    <mergeCell ref="E97:F97"/>
    <mergeCell ref="G97:J97"/>
    <mergeCell ref="E86:F86"/>
    <mergeCell ref="G86:J86"/>
    <mergeCell ref="E87:F87"/>
    <mergeCell ref="G87:J87"/>
    <mergeCell ref="E88:F88"/>
    <mergeCell ref="G88:J88"/>
    <mergeCell ref="E89:F89"/>
    <mergeCell ref="G89:J89"/>
    <mergeCell ref="E90:F90"/>
    <mergeCell ref="G90:J90"/>
    <mergeCell ref="E91:F91"/>
    <mergeCell ref="G91:J91"/>
    <mergeCell ref="E80:F80"/>
    <mergeCell ref="G80:J80"/>
    <mergeCell ref="E81:F81"/>
    <mergeCell ref="G81:J81"/>
    <mergeCell ref="E82:F82"/>
    <mergeCell ref="G82:J82"/>
    <mergeCell ref="E83:F83"/>
    <mergeCell ref="G83:J83"/>
    <mergeCell ref="E84:F84"/>
    <mergeCell ref="G84:J84"/>
    <mergeCell ref="E85:F85"/>
    <mergeCell ref="G85:J85"/>
    <mergeCell ref="E74:F74"/>
    <mergeCell ref="G74:J74"/>
    <mergeCell ref="E75:F75"/>
    <mergeCell ref="G75:J75"/>
    <mergeCell ref="E76:F76"/>
    <mergeCell ref="G76:J76"/>
    <mergeCell ref="E77:F77"/>
    <mergeCell ref="G77:J77"/>
    <mergeCell ref="E78:F78"/>
    <mergeCell ref="G78:J78"/>
    <mergeCell ref="E79:F79"/>
    <mergeCell ref="G79:J79"/>
    <mergeCell ref="E68:F68"/>
    <mergeCell ref="G68:J68"/>
    <mergeCell ref="E69:F69"/>
    <mergeCell ref="G69:J69"/>
    <mergeCell ref="E70:F70"/>
    <mergeCell ref="G70:J70"/>
    <mergeCell ref="E71:F71"/>
    <mergeCell ref="G71:J71"/>
    <mergeCell ref="E72:F72"/>
    <mergeCell ref="G72:J72"/>
    <mergeCell ref="E73:F73"/>
    <mergeCell ref="G73:J73"/>
    <mergeCell ref="E62:F62"/>
    <mergeCell ref="G62:J62"/>
    <mergeCell ref="E63:F63"/>
    <mergeCell ref="G63:J63"/>
    <mergeCell ref="E64:F64"/>
    <mergeCell ref="G64:J64"/>
    <mergeCell ref="E65:F65"/>
    <mergeCell ref="G65:J65"/>
    <mergeCell ref="E66:F66"/>
    <mergeCell ref="G66:J66"/>
    <mergeCell ref="E67:F67"/>
    <mergeCell ref="G67:J67"/>
    <mergeCell ref="E56:F56"/>
    <mergeCell ref="G56:J56"/>
    <mergeCell ref="E57:F57"/>
    <mergeCell ref="G57:J57"/>
    <mergeCell ref="E58:F58"/>
    <mergeCell ref="G58:J58"/>
    <mergeCell ref="E59:F59"/>
    <mergeCell ref="G59:J59"/>
    <mergeCell ref="E60:F60"/>
    <mergeCell ref="G60:J60"/>
    <mergeCell ref="E61:F61"/>
    <mergeCell ref="G61:J61"/>
    <mergeCell ref="E50:F50"/>
    <mergeCell ref="G50:J50"/>
    <mergeCell ref="E51:F51"/>
    <mergeCell ref="G51:J51"/>
    <mergeCell ref="E52:F52"/>
    <mergeCell ref="G52:J52"/>
    <mergeCell ref="E53:F53"/>
    <mergeCell ref="G53:J53"/>
    <mergeCell ref="E54:F54"/>
    <mergeCell ref="G54:J54"/>
    <mergeCell ref="E55:F55"/>
    <mergeCell ref="G55:J55"/>
    <mergeCell ref="E44:F44"/>
    <mergeCell ref="G44:J44"/>
    <mergeCell ref="E45:F45"/>
    <mergeCell ref="G45:J45"/>
    <mergeCell ref="E46:F46"/>
    <mergeCell ref="G46:J46"/>
    <mergeCell ref="E47:F47"/>
    <mergeCell ref="G47:J47"/>
    <mergeCell ref="E48:F48"/>
    <mergeCell ref="G48:J48"/>
    <mergeCell ref="E49:F49"/>
    <mergeCell ref="G49:J49"/>
    <mergeCell ref="G26:J26"/>
    <mergeCell ref="E27:F27"/>
    <mergeCell ref="G27:J27"/>
    <mergeCell ref="E28:F28"/>
    <mergeCell ref="G28:J28"/>
    <mergeCell ref="E29:F29"/>
    <mergeCell ref="G29:J29"/>
    <mergeCell ref="E30:F30"/>
    <mergeCell ref="G30:J30"/>
    <mergeCell ref="E40:F40"/>
    <mergeCell ref="G40:J40"/>
    <mergeCell ref="E41:F41"/>
    <mergeCell ref="G41:J41"/>
    <mergeCell ref="E42:F42"/>
    <mergeCell ref="G42:J42"/>
    <mergeCell ref="E43:F43"/>
    <mergeCell ref="G43:J43"/>
    <mergeCell ref="E32:F32"/>
    <mergeCell ref="G32:J32"/>
    <mergeCell ref="E33:F33"/>
    <mergeCell ref="G33:J33"/>
    <mergeCell ref="E34:F34"/>
    <mergeCell ref="G34:J34"/>
    <mergeCell ref="E35:F35"/>
    <mergeCell ref="G35:J35"/>
    <mergeCell ref="E36:F36"/>
    <mergeCell ref="G36:J36"/>
    <mergeCell ref="E37:F37"/>
    <mergeCell ref="G37:J37"/>
    <mergeCell ref="E1:F1"/>
    <mergeCell ref="G1:J1"/>
    <mergeCell ref="E2:F2"/>
    <mergeCell ref="G2:J2"/>
    <mergeCell ref="E3:F3"/>
    <mergeCell ref="G3:J3"/>
    <mergeCell ref="E4:F4"/>
    <mergeCell ref="G4:J4"/>
    <mergeCell ref="E5:F5"/>
    <mergeCell ref="G5:J5"/>
    <mergeCell ref="E6:F6"/>
    <mergeCell ref="G6:J6"/>
    <mergeCell ref="E7:F7"/>
    <mergeCell ref="G7:J7"/>
    <mergeCell ref="E14:F14"/>
    <mergeCell ref="G14:J14"/>
    <mergeCell ref="E15:F15"/>
    <mergeCell ref="G15:J15"/>
    <mergeCell ref="E8:F8"/>
    <mergeCell ref="G8:J8"/>
    <mergeCell ref="E9:F9"/>
    <mergeCell ref="G9:J9"/>
    <mergeCell ref="E10:F10"/>
    <mergeCell ref="G10:J10"/>
    <mergeCell ref="E11:F11"/>
    <mergeCell ref="G11:J11"/>
    <mergeCell ref="E12:F12"/>
    <mergeCell ref="G12:J12"/>
    <mergeCell ref="E13:F13"/>
    <mergeCell ref="G13:J13"/>
    <mergeCell ref="G938:J938"/>
    <mergeCell ref="E939:F939"/>
    <mergeCell ref="G939:J939"/>
    <mergeCell ref="E940:F940"/>
    <mergeCell ref="G940:J940"/>
    <mergeCell ref="E16:F16"/>
    <mergeCell ref="G16:J16"/>
    <mergeCell ref="E17:F17"/>
    <mergeCell ref="G17:J17"/>
    <mergeCell ref="E18:F18"/>
    <mergeCell ref="G18:J18"/>
    <mergeCell ref="E19:F19"/>
    <mergeCell ref="G19:J19"/>
    <mergeCell ref="E31:F31"/>
    <mergeCell ref="G31:J31"/>
    <mergeCell ref="E20:F20"/>
    <mergeCell ref="G20:J20"/>
    <mergeCell ref="E21:F21"/>
    <mergeCell ref="G21:J21"/>
    <mergeCell ref="E22:F22"/>
    <mergeCell ref="G22:J22"/>
    <mergeCell ref="E23:F23"/>
    <mergeCell ref="G23:J23"/>
    <mergeCell ref="E24:F24"/>
    <mergeCell ref="G24:J24"/>
    <mergeCell ref="E25:F25"/>
    <mergeCell ref="G25:J25"/>
    <mergeCell ref="E38:F38"/>
    <mergeCell ref="G38:J38"/>
    <mergeCell ref="E39:F39"/>
    <mergeCell ref="G39:J39"/>
    <mergeCell ref="E26:F26"/>
    <mergeCell ref="E941:F941"/>
    <mergeCell ref="G941:J941"/>
    <mergeCell ref="E942:F942"/>
    <mergeCell ref="G942:J942"/>
    <mergeCell ref="E943:F943"/>
    <mergeCell ref="G943:J943"/>
    <mergeCell ref="E944:F944"/>
    <mergeCell ref="G944:J944"/>
    <mergeCell ref="E945:F945"/>
    <mergeCell ref="G945:J945"/>
    <mergeCell ref="E946:F946"/>
    <mergeCell ref="G946:J946"/>
    <mergeCell ref="E947:F947"/>
    <mergeCell ref="G947:J947"/>
    <mergeCell ref="E948:F948"/>
    <mergeCell ref="G948:J948"/>
    <mergeCell ref="E949:F949"/>
    <mergeCell ref="G949:J949"/>
    <mergeCell ref="E950:F950"/>
    <mergeCell ref="G950:J950"/>
    <mergeCell ref="E951:F951"/>
    <mergeCell ref="G951:J951"/>
    <mergeCell ref="E952:F952"/>
    <mergeCell ref="G952:J952"/>
    <mergeCell ref="E953:F953"/>
    <mergeCell ref="G953:J953"/>
    <mergeCell ref="E954:F954"/>
    <mergeCell ref="G954:J954"/>
    <mergeCell ref="E955:F955"/>
    <mergeCell ref="G955:J955"/>
    <mergeCell ref="E956:F956"/>
    <mergeCell ref="G956:J956"/>
    <mergeCell ref="E957:F957"/>
    <mergeCell ref="G957:J957"/>
    <mergeCell ref="E958:F958"/>
    <mergeCell ref="G958:J958"/>
    <mergeCell ref="E959:F959"/>
    <mergeCell ref="G959:J959"/>
    <mergeCell ref="E960:F960"/>
    <mergeCell ref="G960:J960"/>
    <mergeCell ref="E961:F961"/>
    <mergeCell ref="G961:J961"/>
    <mergeCell ref="E962:F962"/>
    <mergeCell ref="G962:J962"/>
    <mergeCell ref="E963:F963"/>
    <mergeCell ref="G963:J963"/>
    <mergeCell ref="E981:F981"/>
    <mergeCell ref="G981:J981"/>
    <mergeCell ref="E964:F964"/>
    <mergeCell ref="G964:J964"/>
    <mergeCell ref="E965:F965"/>
    <mergeCell ref="G965:J965"/>
    <mergeCell ref="E966:F966"/>
    <mergeCell ref="G966:J966"/>
    <mergeCell ref="E967:F967"/>
    <mergeCell ref="G967:J967"/>
    <mergeCell ref="E968:F968"/>
    <mergeCell ref="G968:J968"/>
    <mergeCell ref="E969:F969"/>
    <mergeCell ref="G969:J969"/>
    <mergeCell ref="E970:F970"/>
    <mergeCell ref="G970:J970"/>
    <mergeCell ref="E971:F971"/>
    <mergeCell ref="G971:J971"/>
    <mergeCell ref="E972:F972"/>
    <mergeCell ref="G972:J972"/>
    <mergeCell ref="E982:F982"/>
    <mergeCell ref="G982:J982"/>
    <mergeCell ref="E983:F983"/>
    <mergeCell ref="G983:J983"/>
    <mergeCell ref="E984:F984"/>
    <mergeCell ref="G984:J984"/>
    <mergeCell ref="E985:F985"/>
    <mergeCell ref="G985:J985"/>
    <mergeCell ref="E986:F986"/>
    <mergeCell ref="G986:J986"/>
    <mergeCell ref="E987:F987"/>
    <mergeCell ref="G987:J987"/>
    <mergeCell ref="E988:F988"/>
    <mergeCell ref="G988:J988"/>
    <mergeCell ref="E989:F989"/>
    <mergeCell ref="G989:J989"/>
    <mergeCell ref="E973:F973"/>
    <mergeCell ref="G973:J973"/>
    <mergeCell ref="E974:F974"/>
    <mergeCell ref="G974:J974"/>
    <mergeCell ref="E975:F975"/>
    <mergeCell ref="G975:J975"/>
    <mergeCell ref="E976:F976"/>
    <mergeCell ref="G976:J976"/>
    <mergeCell ref="E977:F977"/>
    <mergeCell ref="G977:J977"/>
    <mergeCell ref="E978:F978"/>
    <mergeCell ref="G978:J978"/>
    <mergeCell ref="E979:F979"/>
    <mergeCell ref="G979:J979"/>
    <mergeCell ref="E980:F980"/>
    <mergeCell ref="G980:J980"/>
    <mergeCell ref="E990:F990"/>
    <mergeCell ref="G990:J990"/>
    <mergeCell ref="E991:F991"/>
    <mergeCell ref="G991:J991"/>
    <mergeCell ref="E992:F992"/>
    <mergeCell ref="G992:J992"/>
    <mergeCell ref="E993:F993"/>
    <mergeCell ref="G993:J993"/>
    <mergeCell ref="E994:F994"/>
    <mergeCell ref="G994:J994"/>
    <mergeCell ref="E995:F995"/>
    <mergeCell ref="G995:J995"/>
    <mergeCell ref="E996:F996"/>
    <mergeCell ref="G996:J996"/>
    <mergeCell ref="E997:F997"/>
    <mergeCell ref="G997:J997"/>
    <mergeCell ref="E998:F998"/>
    <mergeCell ref="G998:J998"/>
    <mergeCell ref="E1017:F1017"/>
    <mergeCell ref="G1017:J1017"/>
    <mergeCell ref="E999:F999"/>
    <mergeCell ref="G999:J999"/>
    <mergeCell ref="E1000:F1000"/>
    <mergeCell ref="G1000:J1000"/>
    <mergeCell ref="E1001:F1001"/>
    <mergeCell ref="G1001:J1001"/>
    <mergeCell ref="E1002:F1002"/>
    <mergeCell ref="G1002:J1002"/>
    <mergeCell ref="E1003:F1003"/>
    <mergeCell ref="G1003:J1003"/>
    <mergeCell ref="E1004:F1004"/>
    <mergeCell ref="G1004:J1004"/>
    <mergeCell ref="E1005:F1005"/>
    <mergeCell ref="G1005:J1005"/>
    <mergeCell ref="E1006:F1006"/>
    <mergeCell ref="G1006:J1006"/>
    <mergeCell ref="E1007:F1007"/>
    <mergeCell ref="G1007:J1007"/>
    <mergeCell ref="E1008:F1008"/>
    <mergeCell ref="G1008:J1008"/>
    <mergeCell ref="E1009:F1009"/>
    <mergeCell ref="G1009:J1009"/>
    <mergeCell ref="E1010:F1010"/>
    <mergeCell ref="G1010:J1010"/>
    <mergeCell ref="E1011:F1011"/>
    <mergeCell ref="G1011:J1011"/>
    <mergeCell ref="E1012:F1012"/>
    <mergeCell ref="G1012:J1012"/>
    <mergeCell ref="E1013:F1013"/>
    <mergeCell ref="G1013:J1013"/>
    <mergeCell ref="E1014:F1014"/>
    <mergeCell ref="G1014:J1014"/>
    <mergeCell ref="E1015:F1015"/>
    <mergeCell ref="G1015:J1015"/>
    <mergeCell ref="E1016:F1016"/>
    <mergeCell ref="G1016:J1016"/>
    <mergeCell ref="E1051:F1051"/>
    <mergeCell ref="E1018:F1018"/>
    <mergeCell ref="G1018:J1018"/>
    <mergeCell ref="E1019:F1019"/>
    <mergeCell ref="G1019:J1019"/>
    <mergeCell ref="E1020:F1020"/>
    <mergeCell ref="G1020:J1020"/>
    <mergeCell ref="E1021:F1021"/>
    <mergeCell ref="G1021:J1021"/>
    <mergeCell ref="E1022:F1022"/>
    <mergeCell ref="G1022:J1022"/>
    <mergeCell ref="E1023:F1023"/>
    <mergeCell ref="G1023:J1023"/>
    <mergeCell ref="E1024:F1024"/>
    <mergeCell ref="G1024:J1024"/>
    <mergeCell ref="E1026:F1026"/>
    <mergeCell ref="G1026:J1026"/>
    <mergeCell ref="E1027:F1027"/>
    <mergeCell ref="G1027:J1027"/>
    <mergeCell ref="E1034:F1034"/>
    <mergeCell ref="G1034:J1034"/>
    <mergeCell ref="E1035:F1035"/>
    <mergeCell ref="G1035:J1035"/>
    <mergeCell ref="E1036:F1036"/>
    <mergeCell ref="G1036:J1036"/>
    <mergeCell ref="E1037:F1037"/>
    <mergeCell ref="G1157:J1157"/>
    <mergeCell ref="E1160:F1160"/>
    <mergeCell ref="G1158:J1158"/>
    <mergeCell ref="E1159:F1159"/>
    <mergeCell ref="G1159:J1159"/>
    <mergeCell ref="E1181:F1181"/>
    <mergeCell ref="E1025:F1025"/>
    <mergeCell ref="G1025:J1025"/>
    <mergeCell ref="G1067:J1067"/>
    <mergeCell ref="G1071:J1071"/>
    <mergeCell ref="G1100:J1100"/>
    <mergeCell ref="E1028:F1028"/>
    <mergeCell ref="G1028:J1028"/>
    <mergeCell ref="E1029:F1029"/>
    <mergeCell ref="G1029:J1029"/>
    <mergeCell ref="E1030:F1030"/>
    <mergeCell ref="G1030:J1030"/>
    <mergeCell ref="E1031:F1031"/>
    <mergeCell ref="G1031:J1031"/>
    <mergeCell ref="E1032:F1032"/>
    <mergeCell ref="G1032:J1032"/>
    <mergeCell ref="E1033:F1033"/>
    <mergeCell ref="G1033:J1033"/>
    <mergeCell ref="G1042:J1042"/>
    <mergeCell ref="E1058:F1058"/>
    <mergeCell ref="G1058:J1058"/>
    <mergeCell ref="E1059:F1059"/>
    <mergeCell ref="G1059:J1059"/>
    <mergeCell ref="E1043:F1043"/>
    <mergeCell ref="G1043:J1043"/>
    <mergeCell ref="E1044:F1044"/>
    <mergeCell ref="G1044:J1044"/>
    <mergeCell ref="G1131:J1131"/>
    <mergeCell ref="E1132:F1132"/>
    <mergeCell ref="E1143:F1143"/>
    <mergeCell ref="G1143:J1143"/>
    <mergeCell ref="E1144:F1144"/>
    <mergeCell ref="G1144:J1144"/>
    <mergeCell ref="E1145:F1145"/>
    <mergeCell ref="G1145:J1145"/>
    <mergeCell ref="E1137:F1137"/>
    <mergeCell ref="E1146:F1146"/>
    <mergeCell ref="G1146:J1146"/>
    <mergeCell ref="E1147:F1147"/>
    <mergeCell ref="G1147:J1147"/>
    <mergeCell ref="E1148:F1148"/>
    <mergeCell ref="E1150:F1150"/>
    <mergeCell ref="G1150:J1150"/>
    <mergeCell ref="E1151:F1151"/>
    <mergeCell ref="G1151:J1151"/>
    <mergeCell ref="G1132:J1132"/>
    <mergeCell ref="E1133:F1133"/>
    <mergeCell ref="G1133:J1133"/>
    <mergeCell ref="E1134:F1134"/>
    <mergeCell ref="G1134:J1134"/>
    <mergeCell ref="E1131:F1131"/>
    <mergeCell ref="E1140:F1140"/>
    <mergeCell ref="G1140:J1140"/>
    <mergeCell ref="E1141:F1141"/>
    <mergeCell ref="G1141:J1141"/>
    <mergeCell ref="E1142:F1142"/>
    <mergeCell ref="G1142:J1142"/>
    <mergeCell ref="E1152:F1152"/>
    <mergeCell ref="G1152:J1152"/>
    <mergeCell ref="E1153:F1153"/>
    <mergeCell ref="E1149:F1149"/>
    <mergeCell ref="E1087:F1087"/>
    <mergeCell ref="G1087:J1087"/>
    <mergeCell ref="E1054:F1054"/>
    <mergeCell ref="G1055:J1055"/>
    <mergeCell ref="E1056:F1056"/>
    <mergeCell ref="G1056:J1056"/>
    <mergeCell ref="E1070:F1070"/>
    <mergeCell ref="G1070:J1070"/>
    <mergeCell ref="E1071:F1071"/>
    <mergeCell ref="E1057:F1057"/>
    <mergeCell ref="G1057:J1057"/>
    <mergeCell ref="E1067:F1067"/>
    <mergeCell ref="E1045:F1045"/>
    <mergeCell ref="G1045:J1045"/>
    <mergeCell ref="E1047:F1047"/>
    <mergeCell ref="G1047:J1047"/>
    <mergeCell ref="E1050:F1050"/>
    <mergeCell ref="G1050:J1050"/>
    <mergeCell ref="E1118:F1118"/>
    <mergeCell ref="G1118:J1118"/>
    <mergeCell ref="E1119:F1119"/>
    <mergeCell ref="G1119:J1119"/>
    <mergeCell ref="E1120:F1120"/>
    <mergeCell ref="G1153:J1153"/>
    <mergeCell ref="G1048:J1048"/>
    <mergeCell ref="E1049:F1049"/>
    <mergeCell ref="G1049:J1049"/>
    <mergeCell ref="G1122:J1122"/>
    <mergeCell ref="E1154:F1154"/>
    <mergeCell ref="G1154:J1154"/>
    <mergeCell ref="E1155:F1155"/>
    <mergeCell ref="G1155:J1155"/>
    <mergeCell ref="E1156:F1156"/>
    <mergeCell ref="G1156:J1156"/>
    <mergeCell ref="E1157:F1157"/>
    <mergeCell ref="G1077:J1077"/>
    <mergeCell ref="E1078:F1078"/>
    <mergeCell ref="G1078:J1078"/>
    <mergeCell ref="E1082:F1082"/>
    <mergeCell ref="G1082:J1082"/>
    <mergeCell ref="E1062:F1062"/>
    <mergeCell ref="G1037:J1037"/>
    <mergeCell ref="E1038:F1038"/>
    <mergeCell ref="G1038:J1038"/>
    <mergeCell ref="E1039:F1039"/>
    <mergeCell ref="G1039:J1039"/>
    <mergeCell ref="E1040:F1040"/>
    <mergeCell ref="G1040:J1040"/>
    <mergeCell ref="E1041:F1041"/>
    <mergeCell ref="G1041:J1041"/>
    <mergeCell ref="E1042:F1042"/>
    <mergeCell ref="E1064:F1064"/>
    <mergeCell ref="G1064:J1064"/>
    <mergeCell ref="E1065:F1065"/>
    <mergeCell ref="G1065:J1065"/>
    <mergeCell ref="E1066:F1066"/>
    <mergeCell ref="G1066:J1066"/>
    <mergeCell ref="E1046:F1046"/>
    <mergeCell ref="G1046:J1046"/>
    <mergeCell ref="E1048:F1048"/>
    <mergeCell ref="E1128:F1128"/>
    <mergeCell ref="G1128:J1128"/>
    <mergeCell ref="E1129:F1129"/>
    <mergeCell ref="G1129:J1129"/>
    <mergeCell ref="E1115:F1115"/>
    <mergeCell ref="E1111:F1111"/>
    <mergeCell ref="G1111:J1111"/>
    <mergeCell ref="E1084:F1084"/>
    <mergeCell ref="G1084:J1084"/>
    <mergeCell ref="E1085:F1085"/>
    <mergeCell ref="G1085:J1085"/>
    <mergeCell ref="E1086:F1086"/>
    <mergeCell ref="G1086:J1086"/>
    <mergeCell ref="G1092:J1092"/>
    <mergeCell ref="E1093:F1093"/>
    <mergeCell ref="E1104:F1104"/>
    <mergeCell ref="E1079:F1079"/>
    <mergeCell ref="G1104:J1104"/>
    <mergeCell ref="E1105:F1105"/>
    <mergeCell ref="G1105:J1105"/>
    <mergeCell ref="E1099:F1099"/>
    <mergeCell ref="G1099:J1099"/>
    <mergeCell ref="E1114:F1114"/>
    <mergeCell ref="G1094:J1094"/>
    <mergeCell ref="E1095:F1095"/>
    <mergeCell ref="G1095:J1095"/>
    <mergeCell ref="G1089:J1089"/>
    <mergeCell ref="E1090:F1090"/>
    <mergeCell ref="G1090:J1090"/>
    <mergeCell ref="E1091:F1091"/>
    <mergeCell ref="G1091:J1091"/>
    <mergeCell ref="E1110:F1110"/>
    <mergeCell ref="G1110:J1110"/>
    <mergeCell ref="E1068:F1068"/>
    <mergeCell ref="G1068:J1068"/>
    <mergeCell ref="G1073:J1073"/>
    <mergeCell ref="E1074:F1074"/>
    <mergeCell ref="G1126:J1126"/>
    <mergeCell ref="E1127:F1127"/>
    <mergeCell ref="G1127:J1127"/>
    <mergeCell ref="E1073:F1073"/>
    <mergeCell ref="G1117:J1117"/>
    <mergeCell ref="E1290:F1290"/>
    <mergeCell ref="E1304:F1304"/>
    <mergeCell ref="E1060:F1060"/>
    <mergeCell ref="G1060:J1060"/>
    <mergeCell ref="E1069:F1069"/>
    <mergeCell ref="E1077:F1077"/>
    <mergeCell ref="G1079:J1079"/>
    <mergeCell ref="E1080:F1080"/>
    <mergeCell ref="G1080:J1080"/>
    <mergeCell ref="E1081:F1081"/>
    <mergeCell ref="G1081:J1081"/>
    <mergeCell ref="E1100:F1100"/>
    <mergeCell ref="G1069:J1069"/>
    <mergeCell ref="E1101:F1101"/>
    <mergeCell ref="G1101:J1101"/>
    <mergeCell ref="E1102:F1102"/>
    <mergeCell ref="G1102:J1102"/>
    <mergeCell ref="E1103:F1103"/>
    <mergeCell ref="G1103:J1103"/>
    <mergeCell ref="E1072:F1072"/>
    <mergeCell ref="G1072:J1072"/>
    <mergeCell ref="E1061:F1061"/>
    <mergeCell ref="G1061:J1061"/>
    <mergeCell ref="E1075:F1075"/>
    <mergeCell ref="E1089:F1089"/>
    <mergeCell ref="G1075:J1075"/>
    <mergeCell ref="E1076:F1076"/>
    <mergeCell ref="G1076:J1076"/>
    <mergeCell ref="G1093:J1093"/>
    <mergeCell ref="E1094:F1094"/>
    <mergeCell ref="G1121:J1121"/>
    <mergeCell ref="G1307:J1307"/>
    <mergeCell ref="E1106:F1106"/>
    <mergeCell ref="E1123:F1123"/>
    <mergeCell ref="G1308:J1308"/>
    <mergeCell ref="E1327:F1327"/>
    <mergeCell ref="G1327:J1327"/>
    <mergeCell ref="E1328:F1328"/>
    <mergeCell ref="G1051:J1051"/>
    <mergeCell ref="E1052:F1052"/>
    <mergeCell ref="G1052:J1052"/>
    <mergeCell ref="E1053:F1053"/>
    <mergeCell ref="G1053:J1053"/>
    <mergeCell ref="G1115:J1115"/>
    <mergeCell ref="E1116:F1116"/>
    <mergeCell ref="G1116:J1116"/>
    <mergeCell ref="E1130:F1130"/>
    <mergeCell ref="G1130:J1130"/>
    <mergeCell ref="E1125:F1125"/>
    <mergeCell ref="G1125:J1125"/>
    <mergeCell ref="E1126:F1126"/>
    <mergeCell ref="G1074:J1074"/>
    <mergeCell ref="E1088:F1088"/>
    <mergeCell ref="G1088:J1088"/>
    <mergeCell ref="G1054:J1054"/>
    <mergeCell ref="E1055:F1055"/>
    <mergeCell ref="G1062:J1062"/>
    <mergeCell ref="E1063:F1063"/>
    <mergeCell ref="G1063:J1063"/>
    <mergeCell ref="G1435:J1435"/>
    <mergeCell ref="G1441:J1441"/>
    <mergeCell ref="E1442:F1442"/>
    <mergeCell ref="E1409:F1409"/>
    <mergeCell ref="G1432:J1432"/>
    <mergeCell ref="E1433:F1433"/>
    <mergeCell ref="E1404:F1404"/>
    <mergeCell ref="G1404:J1404"/>
    <mergeCell ref="E1092:F1092"/>
    <mergeCell ref="E1117:F1117"/>
    <mergeCell ref="E1345:F1345"/>
    <mergeCell ref="G1345:J1345"/>
    <mergeCell ref="E1346:F1346"/>
    <mergeCell ref="G1346:J1346"/>
    <mergeCell ref="E1350:F1350"/>
    <mergeCell ref="G1306:J1306"/>
    <mergeCell ref="E1307:F1307"/>
    <mergeCell ref="G1350:J1350"/>
    <mergeCell ref="E1347:F1347"/>
    <mergeCell ref="G1347:J1347"/>
    <mergeCell ref="E1343:F1343"/>
    <mergeCell ref="G1343:J1343"/>
    <mergeCell ref="G1123:J1123"/>
    <mergeCell ref="G1335:J1335"/>
    <mergeCell ref="E1112:F1112"/>
    <mergeCell ref="G1112:J1112"/>
    <mergeCell ref="E1113:F1113"/>
    <mergeCell ref="G1113:J1113"/>
    <mergeCell ref="E1121:F1121"/>
    <mergeCell ref="G1290:J1290"/>
    <mergeCell ref="G1114:J1114"/>
    <mergeCell ref="G1149:J1149"/>
    <mergeCell ref="G1522:J1522"/>
    <mergeCell ref="G1397:J1397"/>
    <mergeCell ref="E1396:F1396"/>
    <mergeCell ref="G1396:J1396"/>
    <mergeCell ref="E1083:F1083"/>
    <mergeCell ref="G1083:J1083"/>
    <mergeCell ref="E1363:F1363"/>
    <mergeCell ref="G1363:J1363"/>
    <mergeCell ref="E1364:F1364"/>
    <mergeCell ref="G1364:J1364"/>
    <mergeCell ref="E1365:F1365"/>
    <mergeCell ref="G1365:J1365"/>
    <mergeCell ref="E1375:F1375"/>
    <mergeCell ref="G1375:J1375"/>
    <mergeCell ref="E1376:F1376"/>
    <mergeCell ref="G1376:J1376"/>
    <mergeCell ref="E1377:F1377"/>
    <mergeCell ref="G1377:J1377"/>
    <mergeCell ref="E1371:F1371"/>
    <mergeCell ref="G1371:J1371"/>
    <mergeCell ref="E1366:F1366"/>
    <mergeCell ref="E1373:F1373"/>
    <mergeCell ref="G1124:J1124"/>
    <mergeCell ref="G1106:J1106"/>
    <mergeCell ref="E1107:F1107"/>
    <mergeCell ref="G1107:J1107"/>
    <mergeCell ref="E1096:F1096"/>
    <mergeCell ref="G1096:J1096"/>
    <mergeCell ref="G1120:J1120"/>
    <mergeCell ref="E1122:F1122"/>
    <mergeCell ref="E1445:F1445"/>
    <mergeCell ref="G1445:J1445"/>
    <mergeCell ref="G1543:J1543"/>
    <mergeCell ref="E1560:F1560"/>
    <mergeCell ref="G1560:J1560"/>
    <mergeCell ref="E1555:F1555"/>
    <mergeCell ref="G1555:J1555"/>
    <mergeCell ref="E1556:F1556"/>
    <mergeCell ref="E1551:F1551"/>
    <mergeCell ref="G1551:J1551"/>
    <mergeCell ref="E1546:F1546"/>
    <mergeCell ref="E1545:F1545"/>
    <mergeCell ref="G1545:J1545"/>
    <mergeCell ref="G1563:J1563"/>
    <mergeCell ref="E1558:F1558"/>
    <mergeCell ref="G1558:J1558"/>
    <mergeCell ref="G1539:J1539"/>
    <mergeCell ref="E1453:F1453"/>
    <mergeCell ref="G1453:J1453"/>
    <mergeCell ref="E1374:F1374"/>
    <mergeCell ref="G1374:J1374"/>
    <mergeCell ref="G1368:J1368"/>
    <mergeCell ref="G1409:J1409"/>
    <mergeCell ref="E1410:F1410"/>
    <mergeCell ref="G1410:J1410"/>
    <mergeCell ref="E1412:F1412"/>
    <mergeCell ref="E1372:F1372"/>
    <mergeCell ref="G1372:J1372"/>
    <mergeCell ref="E1379:F1379"/>
    <mergeCell ref="E1521:F1521"/>
    <mergeCell ref="G1521:J1521"/>
    <mergeCell ref="E1522:F1522"/>
    <mergeCell ref="E1544:F1544"/>
    <mergeCell ref="E1536:F1536"/>
    <mergeCell ref="G1536:J1536"/>
    <mergeCell ref="E1532:F1532"/>
    <mergeCell ref="G1530:J1530"/>
    <mergeCell ref="E1531:F1531"/>
    <mergeCell ref="E1534:F1534"/>
    <mergeCell ref="G1544:J1544"/>
    <mergeCell ref="G1537:J1537"/>
    <mergeCell ref="E1549:F1549"/>
    <mergeCell ref="E1543:F1543"/>
    <mergeCell ref="G1605:J1605"/>
    <mergeCell ref="G1598:J1598"/>
    <mergeCell ref="G1573:J1573"/>
    <mergeCell ref="E1574:F1574"/>
    <mergeCell ref="G1574:J1574"/>
    <mergeCell ref="G1546:J1546"/>
    <mergeCell ref="E1547:F1547"/>
    <mergeCell ref="G1547:J1547"/>
    <mergeCell ref="E1548:F1548"/>
    <mergeCell ref="E1559:F1559"/>
    <mergeCell ref="G1559:J1559"/>
    <mergeCell ref="G1571:J1571"/>
    <mergeCell ref="E1572:F1572"/>
    <mergeCell ref="G1572:J1572"/>
    <mergeCell ref="E1550:F1550"/>
    <mergeCell ref="G1550:J1550"/>
    <mergeCell ref="G1564:J1564"/>
    <mergeCell ref="E1565:F1565"/>
    <mergeCell ref="G1594:J1594"/>
    <mergeCell ref="E1595:F1595"/>
    <mergeCell ref="G1553:J1553"/>
    <mergeCell ref="E1554:F1554"/>
    <mergeCell ref="G1554:J1554"/>
    <mergeCell ref="E1612:F1612"/>
    <mergeCell ref="G1612:J1612"/>
    <mergeCell ref="E1608:F1608"/>
    <mergeCell ref="G1608:J1608"/>
    <mergeCell ref="E1609:F1609"/>
    <mergeCell ref="E1607:F1607"/>
    <mergeCell ref="G1607:J1607"/>
    <mergeCell ref="E1602:F1602"/>
    <mergeCell ref="G1602:J1602"/>
    <mergeCell ref="E1603:F1603"/>
    <mergeCell ref="G1603:J1603"/>
    <mergeCell ref="E1604:F1604"/>
    <mergeCell ref="E1606:F1606"/>
    <mergeCell ref="G1606:J1606"/>
    <mergeCell ref="E1591:F1591"/>
    <mergeCell ref="E1594:F1594"/>
    <mergeCell ref="G1580:J1580"/>
    <mergeCell ref="E1584:F1584"/>
    <mergeCell ref="G1604:J1604"/>
    <mergeCell ref="E1593:F1593"/>
    <mergeCell ref="G1593:J1593"/>
    <mergeCell ref="G1599:J1599"/>
    <mergeCell ref="E1601:F1601"/>
    <mergeCell ref="G1592:J1592"/>
    <mergeCell ref="E1596:F1596"/>
    <mergeCell ref="G1596:J1596"/>
    <mergeCell ref="E1611:F1611"/>
    <mergeCell ref="G1611:J1611"/>
    <mergeCell ref="G1609:J1609"/>
    <mergeCell ref="E1610:F1610"/>
    <mergeCell ref="G1610:J1610"/>
    <mergeCell ref="E1605:F1605"/>
    <mergeCell ref="G1531:J1531"/>
    <mergeCell ref="E1511:F1511"/>
    <mergeCell ref="G1511:J1511"/>
    <mergeCell ref="G1516:J1516"/>
    <mergeCell ref="E1517:F1517"/>
    <mergeCell ref="G1517:J1517"/>
    <mergeCell ref="G1525:J1525"/>
    <mergeCell ref="E1526:F1526"/>
    <mergeCell ref="G1526:J1526"/>
    <mergeCell ref="G1518:J1518"/>
    <mergeCell ref="E1525:F1525"/>
    <mergeCell ref="E1519:F1519"/>
    <mergeCell ref="G1519:J1519"/>
    <mergeCell ref="G1529:J1529"/>
    <mergeCell ref="G1528:J1528"/>
    <mergeCell ref="E1529:F1529"/>
    <mergeCell ref="E1528:F1528"/>
    <mergeCell ref="G1575:J1575"/>
    <mergeCell ref="G1579:J1579"/>
    <mergeCell ref="E1580:F1580"/>
    <mergeCell ref="E1569:F1569"/>
    <mergeCell ref="G1569:J1569"/>
    <mergeCell ref="E1579:F1579"/>
    <mergeCell ref="G1540:J1540"/>
    <mergeCell ref="E1542:F1542"/>
    <mergeCell ref="G1541:J1541"/>
    <mergeCell ref="E1576:F1576"/>
    <mergeCell ref="E1454:F1454"/>
    <mergeCell ref="G1454:J1454"/>
    <mergeCell ref="G1475:J1475"/>
    <mergeCell ref="G1471:J1471"/>
    <mergeCell ref="E1472:F1472"/>
    <mergeCell ref="G1472:J1472"/>
    <mergeCell ref="E1523:F1523"/>
    <mergeCell ref="G1523:J1523"/>
    <mergeCell ref="E1524:F1524"/>
    <mergeCell ref="G1524:J1524"/>
    <mergeCell ref="E1512:F1512"/>
    <mergeCell ref="G1512:J1512"/>
    <mergeCell ref="G1456:J1456"/>
    <mergeCell ref="E1466:F1466"/>
    <mergeCell ref="E1465:F1465"/>
    <mergeCell ref="G1465:J1465"/>
    <mergeCell ref="E1440:F1440"/>
    <mergeCell ref="G1440:J1440"/>
    <mergeCell ref="E1447:F1447"/>
    <mergeCell ref="E1448:F1448"/>
    <mergeCell ref="G1448:J1448"/>
    <mergeCell ref="E1449:F1449"/>
    <mergeCell ref="G1466:J1466"/>
    <mergeCell ref="G1507:J1507"/>
    <mergeCell ref="G1447:J1447"/>
    <mergeCell ref="G1467:J1467"/>
    <mergeCell ref="G1462:J1462"/>
    <mergeCell ref="E1463:F1463"/>
    <mergeCell ref="E1485:F1485"/>
    <mergeCell ref="G1489:J1489"/>
    <mergeCell ref="E1508:F1508"/>
    <mergeCell ref="E1505:F1505"/>
    <mergeCell ref="E1451:F1451"/>
    <mergeCell ref="G1450:J1450"/>
    <mergeCell ref="E1429:F1429"/>
    <mergeCell ref="E1425:F1425"/>
    <mergeCell ref="G1425:J1425"/>
    <mergeCell ref="E1420:F1420"/>
    <mergeCell ref="G1420:J1420"/>
    <mergeCell ref="E1421:F1421"/>
    <mergeCell ref="G1421:J1421"/>
    <mergeCell ref="G1428:J1428"/>
    <mergeCell ref="E1423:F1423"/>
    <mergeCell ref="G1423:J1423"/>
    <mergeCell ref="E1424:F1424"/>
    <mergeCell ref="G1424:J1424"/>
    <mergeCell ref="G1438:J1438"/>
    <mergeCell ref="E1446:F1446"/>
    <mergeCell ref="E1416:F1416"/>
    <mergeCell ref="G1416:J1416"/>
    <mergeCell ref="G1433:J1433"/>
    <mergeCell ref="E1402:F1402"/>
    <mergeCell ref="G1402:J1402"/>
    <mergeCell ref="G1403:J1403"/>
    <mergeCell ref="G1399:J1399"/>
    <mergeCell ref="E1400:F1400"/>
    <mergeCell ref="G1400:J1400"/>
    <mergeCell ref="E1401:F1401"/>
    <mergeCell ref="E1439:F1439"/>
    <mergeCell ref="G1439:J1439"/>
    <mergeCell ref="E1405:F1405"/>
    <mergeCell ref="E1428:F1428"/>
    <mergeCell ref="G1436:J1436"/>
    <mergeCell ref="G1413:J1413"/>
    <mergeCell ref="E1418:F1418"/>
    <mergeCell ref="G1418:J1418"/>
    <mergeCell ref="E1406:F1406"/>
    <mergeCell ref="E1399:F1399"/>
    <mergeCell ref="G1427:J1427"/>
    <mergeCell ref="G1429:J1429"/>
    <mergeCell ref="E1430:F1430"/>
    <mergeCell ref="G1430:J1430"/>
    <mergeCell ref="E1431:F1431"/>
    <mergeCell ref="G1431:J1431"/>
    <mergeCell ref="E1432:F1432"/>
    <mergeCell ref="E1435:F1435"/>
    <mergeCell ref="E1411:F1411"/>
    <mergeCell ref="G1411:J1411"/>
    <mergeCell ref="G1405:J1405"/>
    <mergeCell ref="E1503:F1503"/>
    <mergeCell ref="G1477:J1477"/>
    <mergeCell ref="G1463:J1463"/>
    <mergeCell ref="G1473:J1473"/>
    <mergeCell ref="G1468:J1468"/>
    <mergeCell ref="E1437:F1437"/>
    <mergeCell ref="G1437:J1437"/>
    <mergeCell ref="G1455:J1455"/>
    <mergeCell ref="E1468:F1468"/>
    <mergeCell ref="G1486:J1486"/>
    <mergeCell ref="E1464:F1464"/>
    <mergeCell ref="G1395:J1395"/>
    <mergeCell ref="E1397:F1397"/>
    <mergeCell ref="E1390:F1390"/>
    <mergeCell ref="G1390:J1390"/>
    <mergeCell ref="E1391:F1391"/>
    <mergeCell ref="G1391:J1391"/>
    <mergeCell ref="E1392:F1392"/>
    <mergeCell ref="G1406:J1406"/>
    <mergeCell ref="E1407:F1407"/>
    <mergeCell ref="G1407:J1407"/>
    <mergeCell ref="E1417:F1417"/>
    <mergeCell ref="G1417:J1417"/>
    <mergeCell ref="G1415:J1415"/>
    <mergeCell ref="G1444:J1444"/>
    <mergeCell ref="G1392:J1392"/>
    <mergeCell ref="G1412:J1412"/>
    <mergeCell ref="G1398:J1398"/>
    <mergeCell ref="E1403:F1403"/>
    <mergeCell ref="G1401:J1401"/>
    <mergeCell ref="E1413:F1413"/>
    <mergeCell ref="E1436:F1436"/>
    <mergeCell ref="G1576:J1576"/>
    <mergeCell ref="E1577:F1577"/>
    <mergeCell ref="G1577:J1577"/>
    <mergeCell ref="E1578:F1578"/>
    <mergeCell ref="G1578:J1578"/>
    <mergeCell ref="E1573:F1573"/>
    <mergeCell ref="E1567:F1567"/>
    <mergeCell ref="G1567:J1567"/>
    <mergeCell ref="G1566:J1566"/>
    <mergeCell ref="G1565:J1565"/>
    <mergeCell ref="E1561:F1561"/>
    <mergeCell ref="G1561:J1561"/>
    <mergeCell ref="E1562:F1562"/>
    <mergeCell ref="G1562:J1562"/>
    <mergeCell ref="E1563:F1563"/>
    <mergeCell ref="E1564:F1564"/>
    <mergeCell ref="G1552:J1552"/>
    <mergeCell ref="E1553:F1553"/>
    <mergeCell ref="E1552:F1552"/>
    <mergeCell ref="E1097:F1097"/>
    <mergeCell ref="G1097:J1097"/>
    <mergeCell ref="E1098:F1098"/>
    <mergeCell ref="G1098:J1098"/>
    <mergeCell ref="E1135:F1135"/>
    <mergeCell ref="G1135:J1135"/>
    <mergeCell ref="E1136:F1136"/>
    <mergeCell ref="G1434:J1434"/>
    <mergeCell ref="E1438:F1438"/>
    <mergeCell ref="G1458:J1458"/>
    <mergeCell ref="E1487:F1487"/>
    <mergeCell ref="E1434:F1434"/>
    <mergeCell ref="E1408:F1408"/>
    <mergeCell ref="G1408:J1408"/>
    <mergeCell ref="G1485:J1485"/>
    <mergeCell ref="E1480:F1480"/>
    <mergeCell ref="G1480:J1480"/>
    <mergeCell ref="E1108:F1108"/>
    <mergeCell ref="G1474:J1474"/>
    <mergeCell ref="E1422:F1422"/>
    <mergeCell ref="G1422:J1422"/>
    <mergeCell ref="G1442:J1442"/>
    <mergeCell ref="E1441:F1441"/>
    <mergeCell ref="E1426:F1426"/>
    <mergeCell ref="G1108:J1108"/>
    <mergeCell ref="E1124:F1124"/>
    <mergeCell ref="E1450:F1450"/>
    <mergeCell ref="G1457:J1457"/>
    <mergeCell ref="E1443:F1443"/>
    <mergeCell ref="E1455:F1455"/>
    <mergeCell ref="E1457:F1457"/>
    <mergeCell ref="E1456:F1456"/>
    <mergeCell ref="E1109:F1109"/>
    <mergeCell ref="G1109:J1109"/>
    <mergeCell ref="G1148:J1148"/>
    <mergeCell ref="E1616:F1616"/>
    <mergeCell ref="G1616:J1616"/>
    <mergeCell ref="G1584:J1584"/>
    <mergeCell ref="G1601:J1601"/>
    <mergeCell ref="G1449:J1449"/>
    <mergeCell ref="G1626:J1626"/>
    <mergeCell ref="E1627:F1627"/>
    <mergeCell ref="G1627:J1627"/>
    <mergeCell ref="E1615:F1615"/>
    <mergeCell ref="G1615:J1615"/>
    <mergeCell ref="G1534:J1534"/>
    <mergeCell ref="G1595:J1595"/>
    <mergeCell ref="G1509:J1509"/>
    <mergeCell ref="G1614:J1614"/>
    <mergeCell ref="E1510:F1510"/>
    <mergeCell ref="G1568:J1568"/>
    <mergeCell ref="G1587:J1587"/>
    <mergeCell ref="E1599:F1599"/>
    <mergeCell ref="G1446:J1446"/>
    <mergeCell ref="G1451:J1451"/>
    <mergeCell ref="G1443:J1443"/>
    <mergeCell ref="G1452:J1452"/>
    <mergeCell ref="E1541:F1541"/>
    <mergeCell ref="G1532:J1532"/>
    <mergeCell ref="E1533:F1533"/>
    <mergeCell ref="E1494:F1494"/>
    <mergeCell ref="E1614:F1614"/>
    <mergeCell ref="G1136:J1136"/>
    <mergeCell ref="E1575:F1575"/>
    <mergeCell ref="E1540:F1540"/>
    <mergeCell ref="E1476:F1476"/>
    <mergeCell ref="G1503:J1503"/>
    <mergeCell ref="E1530:F1530"/>
    <mergeCell ref="G1482:J1482"/>
    <mergeCell ref="G1508:J1508"/>
    <mergeCell ref="G1498:J1498"/>
    <mergeCell ref="E1481:F1481"/>
    <mergeCell ref="G1484:J1484"/>
    <mergeCell ref="G1496:J1496"/>
    <mergeCell ref="G1478:J1478"/>
    <mergeCell ref="E1479:F1479"/>
    <mergeCell ref="E1491:F1491"/>
    <mergeCell ref="G1491:J1491"/>
    <mergeCell ref="E1492:F1492"/>
    <mergeCell ref="E1502:F1502"/>
    <mergeCell ref="G1502:J1502"/>
    <mergeCell ref="G1487:J1487"/>
    <mergeCell ref="E1478:F1478"/>
    <mergeCell ref="G1476:J1476"/>
    <mergeCell ref="E1486:F1486"/>
    <mergeCell ref="G1505:J1505"/>
    <mergeCell ref="E1506:F1506"/>
    <mergeCell ref="G1506:J1506"/>
    <mergeCell ref="E1501:F1501"/>
    <mergeCell ref="G1501:J1501"/>
    <mergeCell ref="E1488:F1488"/>
    <mergeCell ref="G1488:J1488"/>
    <mergeCell ref="E1537:F1537"/>
    <mergeCell ref="E1504:F1504"/>
    <mergeCell ref="G1492:J1492"/>
    <mergeCell ref="G1504:J1504"/>
    <mergeCell ref="E1598:F1598"/>
    <mergeCell ref="E1628:F1628"/>
    <mergeCell ref="E1620:F1620"/>
    <mergeCell ref="G1639:J1639"/>
    <mergeCell ref="G1649:J1649"/>
    <mergeCell ref="G1634:J1634"/>
    <mergeCell ref="G1632:J1632"/>
    <mergeCell ref="E1497:F1497"/>
    <mergeCell ref="G1497:J1497"/>
    <mergeCell ref="E1507:F1507"/>
    <mergeCell ref="E1581:F1581"/>
    <mergeCell ref="G1581:J1581"/>
    <mergeCell ref="G1585:J1585"/>
    <mergeCell ref="E1586:F1586"/>
    <mergeCell ref="G1586:J1586"/>
    <mergeCell ref="E1587:F1587"/>
    <mergeCell ref="E1582:F1582"/>
    <mergeCell ref="G1582:J1582"/>
    <mergeCell ref="E1583:F1583"/>
    <mergeCell ref="G1583:J1583"/>
    <mergeCell ref="E1566:F1566"/>
    <mergeCell ref="E1635:F1635"/>
    <mergeCell ref="G1635:J1635"/>
    <mergeCell ref="E1636:F1636"/>
    <mergeCell ref="E1570:F1570"/>
    <mergeCell ref="G1570:J1570"/>
    <mergeCell ref="E1571:F1571"/>
    <mergeCell ref="E1568:F1568"/>
    <mergeCell ref="G1548:J1548"/>
    <mergeCell ref="G1556:J1556"/>
    <mergeCell ref="E1557:F1557"/>
    <mergeCell ref="G1557:J1557"/>
    <mergeCell ref="E1617:F1617"/>
    <mergeCell ref="E1634:F1634"/>
    <mergeCell ref="E1639:F1639"/>
    <mergeCell ref="E1493:F1493"/>
    <mergeCell ref="G1493:J1493"/>
    <mergeCell ref="E1490:F1490"/>
    <mergeCell ref="G1628:J1628"/>
    <mergeCell ref="E1629:F1629"/>
    <mergeCell ref="G1613:J1613"/>
    <mergeCell ref="G1591:J1591"/>
    <mergeCell ref="E1592:F1592"/>
    <mergeCell ref="G1490:J1490"/>
    <mergeCell ref="E1588:F1588"/>
    <mergeCell ref="G1588:J1588"/>
    <mergeCell ref="E1589:F1589"/>
    <mergeCell ref="G1589:J1589"/>
    <mergeCell ref="E1590:F1590"/>
    <mergeCell ref="G1590:J1590"/>
    <mergeCell ref="E1585:F1585"/>
    <mergeCell ref="G1617:J1617"/>
    <mergeCell ref="E1618:F1618"/>
    <mergeCell ref="G1618:J1618"/>
    <mergeCell ref="E1619:F1619"/>
    <mergeCell ref="G1619:J1619"/>
    <mergeCell ref="E1600:F1600"/>
    <mergeCell ref="G1600:J1600"/>
    <mergeCell ref="E1633:F1633"/>
    <mergeCell ref="G1633:J1633"/>
    <mergeCell ref="E1613:F1613"/>
    <mergeCell ref="E1632:F1632"/>
    <mergeCell ref="E1597:F1597"/>
    <mergeCell ref="G1597:J1597"/>
    <mergeCell ref="G1636:J1636"/>
    <mergeCell ref="E1631:F1631"/>
    <mergeCell ref="E1649:F1649"/>
    <mergeCell ref="G1620:J1620"/>
    <mergeCell ref="E1621:F1621"/>
    <mergeCell ref="G1621:J1621"/>
    <mergeCell ref="E1622:F1622"/>
    <mergeCell ref="G1622:J1622"/>
    <mergeCell ref="G1631:J1631"/>
    <mergeCell ref="G1645:J1645"/>
    <mergeCell ref="E1659:F1659"/>
    <mergeCell ref="E1623:F1623"/>
    <mergeCell ref="G1623:J1623"/>
    <mergeCell ref="E1624:F1624"/>
    <mergeCell ref="G1624:J1624"/>
    <mergeCell ref="E1651:F1651"/>
    <mergeCell ref="G1651:J1651"/>
    <mergeCell ref="E1646:F1646"/>
    <mergeCell ref="E1652:F1652"/>
    <mergeCell ref="G1652:J1652"/>
    <mergeCell ref="E1653:F1653"/>
    <mergeCell ref="G1653:J1653"/>
    <mergeCell ref="E1654:F1654"/>
    <mergeCell ref="G1638:J1638"/>
    <mergeCell ref="G1629:J1629"/>
    <mergeCell ref="E1630:F1630"/>
    <mergeCell ref="G1630:J1630"/>
    <mergeCell ref="E1625:F1625"/>
    <mergeCell ref="G1625:J1625"/>
    <mergeCell ref="E1626:F1626"/>
    <mergeCell ref="E1751:F1751"/>
    <mergeCell ref="E1666:F1666"/>
    <mergeCell ref="G1666:J1666"/>
    <mergeCell ref="G1664:J1664"/>
    <mergeCell ref="E1661:F1661"/>
    <mergeCell ref="G1661:J1661"/>
    <mergeCell ref="E1662:F1662"/>
    <mergeCell ref="G1662:J1662"/>
    <mergeCell ref="G1659:J1659"/>
    <mergeCell ref="E1660:F1660"/>
    <mergeCell ref="G1660:J1660"/>
    <mergeCell ref="E1655:F1655"/>
    <mergeCell ref="G1655:J1655"/>
    <mergeCell ref="E1656:F1656"/>
    <mergeCell ref="G1654:J1654"/>
    <mergeCell ref="G1656:J1656"/>
    <mergeCell ref="E1657:F1657"/>
    <mergeCell ref="G1657:J1657"/>
    <mergeCell ref="G1658:J1658"/>
    <mergeCell ref="E1663:F1663"/>
    <mergeCell ref="G1663:J1663"/>
    <mergeCell ref="E1658:F1658"/>
    <mergeCell ref="G1682:J1682"/>
    <mergeCell ref="E1683:F1683"/>
    <mergeCell ref="E1724:F1724"/>
    <mergeCell ref="G1737:J1737"/>
    <mergeCell ref="E1738:F1738"/>
    <mergeCell ref="G1713:J1713"/>
    <mergeCell ref="E1708:F1708"/>
    <mergeCell ref="G1708:J1708"/>
    <mergeCell ref="E1710:F1710"/>
    <mergeCell ref="G1710:J1710"/>
    <mergeCell ref="E1722:F1722"/>
    <mergeCell ref="G1724:J1724"/>
    <mergeCell ref="E1723:F1723"/>
    <mergeCell ref="G1723:J1723"/>
    <mergeCell ref="G1715:J1715"/>
    <mergeCell ref="E1712:F1712"/>
    <mergeCell ref="E1727:F1727"/>
    <mergeCell ref="G1727:J1727"/>
    <mergeCell ref="G1734:J1734"/>
    <mergeCell ref="E1705:F1705"/>
    <mergeCell ref="G1729:J1729"/>
    <mergeCell ref="E1730:F1730"/>
    <mergeCell ref="G1730:J1730"/>
    <mergeCell ref="E1726:F1726"/>
    <mergeCell ref="G1726:J1726"/>
    <mergeCell ref="G1720:J1720"/>
    <mergeCell ref="E1721:F1721"/>
    <mergeCell ref="G1721:J1721"/>
    <mergeCell ref="G1722:J1722"/>
    <mergeCell ref="G1693:J1693"/>
    <mergeCell ref="E1688:F1688"/>
    <mergeCell ref="G1688:J1688"/>
    <mergeCell ref="E1689:F1689"/>
    <mergeCell ref="G1689:J1689"/>
    <mergeCell ref="E1719:F1719"/>
    <mergeCell ref="G1719:J1719"/>
    <mergeCell ref="E1694:F1694"/>
    <mergeCell ref="G1694:J1694"/>
    <mergeCell ref="E1695:F1695"/>
    <mergeCell ref="E1691:F1691"/>
    <mergeCell ref="G1691:J1691"/>
    <mergeCell ref="G1692:J1692"/>
    <mergeCell ref="G1706:J1706"/>
    <mergeCell ref="E1707:F1707"/>
    <mergeCell ref="G1705:J1705"/>
    <mergeCell ref="E1706:F1706"/>
    <mergeCell ref="E1717:F1717"/>
    <mergeCell ref="E1714:F1714"/>
    <mergeCell ref="G1714:J1714"/>
    <mergeCell ref="E1709:F1709"/>
    <mergeCell ref="G1709:J1709"/>
    <mergeCell ref="G1707:J1707"/>
    <mergeCell ref="G1717:J1717"/>
    <mergeCell ref="G1712:J1712"/>
    <mergeCell ref="E1713:F1713"/>
    <mergeCell ref="E1664:F1664"/>
    <mergeCell ref="E1690:F1690"/>
    <mergeCell ref="G1690:J1690"/>
    <mergeCell ref="E1685:F1685"/>
    <mergeCell ref="G1685:J1685"/>
    <mergeCell ref="E1686:F1686"/>
    <mergeCell ref="G1686:J1686"/>
    <mergeCell ref="E1673:F1673"/>
    <mergeCell ref="G1680:J1680"/>
    <mergeCell ref="E1704:F1704"/>
    <mergeCell ref="G1695:J1695"/>
    <mergeCell ref="E1696:F1696"/>
    <mergeCell ref="G1696:J1696"/>
    <mergeCell ref="G1698:J1698"/>
    <mergeCell ref="E1699:F1699"/>
    <mergeCell ref="E1703:F1703"/>
    <mergeCell ref="G1703:J1703"/>
    <mergeCell ref="E1681:F1681"/>
    <mergeCell ref="G1681:J1681"/>
    <mergeCell ref="G1699:J1699"/>
    <mergeCell ref="E1702:F1702"/>
    <mergeCell ref="G1702:J1702"/>
    <mergeCell ref="E1687:F1687"/>
    <mergeCell ref="G1687:J1687"/>
    <mergeCell ref="E1682:F1682"/>
    <mergeCell ref="G1673:J1673"/>
    <mergeCell ref="E1674:F1674"/>
    <mergeCell ref="G1683:J1683"/>
    <mergeCell ref="E1675:F1675"/>
    <mergeCell ref="G1675:J1675"/>
    <mergeCell ref="E1692:F1692"/>
    <mergeCell ref="E1693:F1693"/>
    <mergeCell ref="E1388:F1388"/>
    <mergeCell ref="G1388:J1388"/>
    <mergeCell ref="E1389:F1389"/>
    <mergeCell ref="G1389:J1389"/>
    <mergeCell ref="G1394:J1394"/>
    <mergeCell ref="E1395:F1395"/>
    <mergeCell ref="E1378:F1378"/>
    <mergeCell ref="G1378:J1378"/>
    <mergeCell ref="E1398:F1398"/>
    <mergeCell ref="E1419:F1419"/>
    <mergeCell ref="E1305:F1305"/>
    <mergeCell ref="G1426:J1426"/>
    <mergeCell ref="E1427:F1427"/>
    <mergeCell ref="G1359:J1359"/>
    <mergeCell ref="E1369:F1369"/>
    <mergeCell ref="G1369:J1369"/>
    <mergeCell ref="E1459:F1459"/>
    <mergeCell ref="G1459:J1459"/>
    <mergeCell ref="E1458:F1458"/>
    <mergeCell ref="E1452:F1452"/>
    <mergeCell ref="G1362:J1362"/>
    <mergeCell ref="E1332:F1332"/>
    <mergeCell ref="G1332:J1332"/>
    <mergeCell ref="G1414:J1414"/>
    <mergeCell ref="E1359:F1359"/>
    <mergeCell ref="E1370:F1370"/>
    <mergeCell ref="G1370:J1370"/>
    <mergeCell ref="G1366:J1366"/>
    <mergeCell ref="G1373:J1373"/>
    <mergeCell ref="E1367:F1367"/>
    <mergeCell ref="G1367:J1367"/>
    <mergeCell ref="G1379:J1379"/>
    <mergeCell ref="E1460:F1460"/>
    <mergeCell ref="G1460:J1460"/>
    <mergeCell ref="E1461:F1461"/>
    <mergeCell ref="G1461:J1461"/>
    <mergeCell ref="E1483:F1483"/>
    <mergeCell ref="G1483:J1483"/>
    <mergeCell ref="E1484:F1484"/>
    <mergeCell ref="E1499:F1499"/>
    <mergeCell ref="G1499:J1499"/>
    <mergeCell ref="E1500:F1500"/>
    <mergeCell ref="G1500:J1500"/>
    <mergeCell ref="E1495:F1495"/>
    <mergeCell ref="G1495:J1495"/>
    <mergeCell ref="E1496:F1496"/>
    <mergeCell ref="E1474:F1474"/>
    <mergeCell ref="G1494:J1494"/>
    <mergeCell ref="G1481:J1481"/>
    <mergeCell ref="E1489:F1489"/>
    <mergeCell ref="G1469:J1469"/>
    <mergeCell ref="E1470:F1470"/>
    <mergeCell ref="G1470:J1470"/>
    <mergeCell ref="E1482:F1482"/>
    <mergeCell ref="G1464:J1464"/>
    <mergeCell ref="E1475:F1475"/>
    <mergeCell ref="G1479:J1479"/>
    <mergeCell ref="E1462:F1462"/>
    <mergeCell ref="E1467:F1467"/>
    <mergeCell ref="E1469:F1469"/>
    <mergeCell ref="E1473:F1473"/>
    <mergeCell ref="E1471:F1471"/>
    <mergeCell ref="E1498:F1498"/>
    <mergeCell ref="E1477:F1477"/>
    <mergeCell ref="E1670:F1670"/>
    <mergeCell ref="G1670:J1670"/>
    <mergeCell ref="E1676:F1676"/>
    <mergeCell ref="G1676:J1676"/>
    <mergeCell ref="E1677:F1677"/>
    <mergeCell ref="G1677:J1677"/>
    <mergeCell ref="E1671:F1671"/>
    <mergeCell ref="G1671:J1671"/>
    <mergeCell ref="G1510:J1510"/>
    <mergeCell ref="E1509:F1509"/>
    <mergeCell ref="G1648:J1648"/>
    <mergeCell ref="E1643:F1643"/>
    <mergeCell ref="G1643:J1643"/>
    <mergeCell ref="E1644:F1644"/>
    <mergeCell ref="G1644:J1644"/>
    <mergeCell ref="E1645:F1645"/>
    <mergeCell ref="G1642:J1642"/>
    <mergeCell ref="E1637:F1637"/>
    <mergeCell ref="G1637:J1637"/>
    <mergeCell ref="E1638:F1638"/>
    <mergeCell ref="G1650:J1650"/>
    <mergeCell ref="G1674:J1674"/>
    <mergeCell ref="E1665:F1665"/>
    <mergeCell ref="G1665:J1665"/>
    <mergeCell ref="G1646:J1646"/>
    <mergeCell ref="E1647:F1647"/>
    <mergeCell ref="G1647:J1647"/>
    <mergeCell ref="E1648:F1648"/>
    <mergeCell ref="E1668:F1668"/>
    <mergeCell ref="G1668:J1668"/>
    <mergeCell ref="E1669:F1669"/>
    <mergeCell ref="G1669:J1669"/>
    <mergeCell ref="E1679:F1679"/>
    <mergeCell ref="G1679:J1679"/>
    <mergeCell ref="E1718:F1718"/>
    <mergeCell ref="G1718:J1718"/>
    <mergeCell ref="G1704:J1704"/>
    <mergeCell ref="E1700:F1700"/>
    <mergeCell ref="G1700:J1700"/>
    <mergeCell ref="E1716:F1716"/>
    <mergeCell ref="G1716:J1716"/>
    <mergeCell ref="E1711:F1711"/>
    <mergeCell ref="G1711:J1711"/>
    <mergeCell ref="G1766:J1766"/>
    <mergeCell ref="E1761:F1761"/>
    <mergeCell ref="G1761:J1761"/>
    <mergeCell ref="E1762:F1762"/>
    <mergeCell ref="E1684:F1684"/>
    <mergeCell ref="G1684:J1684"/>
    <mergeCell ref="E1765:F1765"/>
    <mergeCell ref="G1765:J1765"/>
    <mergeCell ref="E1766:F1766"/>
    <mergeCell ref="E1720:F1720"/>
    <mergeCell ref="G1736:J1736"/>
    <mergeCell ref="E1737:F1737"/>
    <mergeCell ref="E1741:F1741"/>
    <mergeCell ref="G1741:J1741"/>
    <mergeCell ref="E1742:F1742"/>
    <mergeCell ref="E1759:F1759"/>
    <mergeCell ref="G1742:J1742"/>
    <mergeCell ref="E1731:F1731"/>
    <mergeCell ref="G1738:J1738"/>
    <mergeCell ref="G1739:J1739"/>
    <mergeCell ref="E1734:F1734"/>
    <mergeCell ref="E1678:F1678"/>
    <mergeCell ref="G1678:J1678"/>
    <mergeCell ref="G1757:J1757"/>
    <mergeCell ref="E1764:F1764"/>
    <mergeCell ref="G1764:J1764"/>
    <mergeCell ref="E1672:F1672"/>
    <mergeCell ref="G1672:J1672"/>
    <mergeCell ref="E1640:F1640"/>
    <mergeCell ref="E1743:F1743"/>
    <mergeCell ref="G1743:J1743"/>
    <mergeCell ref="E1744:F1744"/>
    <mergeCell ref="G1744:J1744"/>
    <mergeCell ref="E1745:F1745"/>
    <mergeCell ref="G1745:J1745"/>
    <mergeCell ref="E1701:F1701"/>
    <mergeCell ref="G1701:J1701"/>
    <mergeCell ref="E1697:F1697"/>
    <mergeCell ref="G1697:J1697"/>
    <mergeCell ref="E1698:F1698"/>
    <mergeCell ref="E1715:F1715"/>
    <mergeCell ref="E1680:F1680"/>
    <mergeCell ref="E1667:F1667"/>
    <mergeCell ref="G1667:J1667"/>
    <mergeCell ref="E1642:F1642"/>
    <mergeCell ref="G1746:J1746"/>
    <mergeCell ref="E1728:F1728"/>
    <mergeCell ref="G1728:J1728"/>
    <mergeCell ref="E1729:F1729"/>
    <mergeCell ref="G1640:J1640"/>
    <mergeCell ref="E1641:F1641"/>
    <mergeCell ref="G1641:J1641"/>
    <mergeCell ref="E1650:F1650"/>
    <mergeCell ref="E1996:F1996"/>
    <mergeCell ref="G1996:J1996"/>
    <mergeCell ref="G1762:J1762"/>
    <mergeCell ref="E1748:F1748"/>
    <mergeCell ref="G1735:J1735"/>
    <mergeCell ref="E1736:F1736"/>
    <mergeCell ref="E1725:F1725"/>
    <mergeCell ref="G1725:J1725"/>
    <mergeCell ref="G1748:J1748"/>
    <mergeCell ref="E1735:F1735"/>
    <mergeCell ref="E1835:F1835"/>
    <mergeCell ref="G1835:J1835"/>
    <mergeCell ref="E1752:F1752"/>
    <mergeCell ref="G1752:J1752"/>
    <mergeCell ref="E1753:F1753"/>
    <mergeCell ref="G1753:J1753"/>
    <mergeCell ref="E1754:F1754"/>
    <mergeCell ref="G1754:J1754"/>
    <mergeCell ref="E1749:F1749"/>
    <mergeCell ref="G1749:J1749"/>
    <mergeCell ref="E1750:F1750"/>
    <mergeCell ref="G1750:J1750"/>
    <mergeCell ref="G1731:J1731"/>
    <mergeCell ref="E1732:F1732"/>
    <mergeCell ref="G1732:J1732"/>
    <mergeCell ref="E1733:F1733"/>
    <mergeCell ref="G1733:J1733"/>
    <mergeCell ref="E1758:F1758"/>
    <mergeCell ref="G1758:J1758"/>
    <mergeCell ref="E1740:F1740"/>
    <mergeCell ref="G1740:J1740"/>
    <mergeCell ref="E1739:F1739"/>
    <mergeCell ref="G1751:J1751"/>
    <mergeCell ref="E1746:F1746"/>
    <mergeCell ref="E1747:F1747"/>
    <mergeCell ref="E1771:F1771"/>
    <mergeCell ref="G1771:J1771"/>
    <mergeCell ref="E1782:F1782"/>
    <mergeCell ref="E1755:F1755"/>
    <mergeCell ref="G1759:J1759"/>
    <mergeCell ref="E1760:F1760"/>
    <mergeCell ref="G1760:J1760"/>
    <mergeCell ref="E1757:F1757"/>
    <mergeCell ref="G1747:J1747"/>
    <mergeCell ref="G1782:J1782"/>
    <mergeCell ref="E1778:F1778"/>
    <mergeCell ref="G1778:J1778"/>
    <mergeCell ref="E1779:F1779"/>
    <mergeCell ref="G1779:J1779"/>
    <mergeCell ref="E1780:F1780"/>
    <mergeCell ref="G1780:J1780"/>
    <mergeCell ref="E1781:F1781"/>
    <mergeCell ref="G1781:J1781"/>
    <mergeCell ref="E1774:F1774"/>
    <mergeCell ref="G1774:J1774"/>
    <mergeCell ref="E1775:F1775"/>
    <mergeCell ref="G1775:J1775"/>
    <mergeCell ref="E1776:F1776"/>
    <mergeCell ref="G1777:J1777"/>
    <mergeCell ref="E1763:F1763"/>
    <mergeCell ref="G1763:J1763"/>
    <mergeCell ref="G1755:J1755"/>
    <mergeCell ref="E1756:F1756"/>
    <mergeCell ref="G1756:J1756"/>
    <mergeCell ref="G2011:J2011"/>
    <mergeCell ref="E2012:F2012"/>
    <mergeCell ref="G2012:J2012"/>
    <mergeCell ref="G2002:J2002"/>
    <mergeCell ref="E2003:F2003"/>
    <mergeCell ref="G2003:J2003"/>
    <mergeCell ref="E1767:F1767"/>
    <mergeCell ref="G1767:J1767"/>
    <mergeCell ref="E1768:F1768"/>
    <mergeCell ref="G1768:J1768"/>
    <mergeCell ref="E1769:F1769"/>
    <mergeCell ref="G1769:J1769"/>
    <mergeCell ref="E1770:F1770"/>
    <mergeCell ref="G1770:J1770"/>
    <mergeCell ref="E1783:F1783"/>
    <mergeCell ref="G1783:J1783"/>
    <mergeCell ref="E1784:F1784"/>
    <mergeCell ref="G1784:J1784"/>
    <mergeCell ref="E1772:F1772"/>
    <mergeCell ref="G1772:J1772"/>
    <mergeCell ref="G1776:J1776"/>
    <mergeCell ref="E1777:F1777"/>
    <mergeCell ref="E1794:F1794"/>
    <mergeCell ref="G1794:J1794"/>
    <mergeCell ref="E1795:F1795"/>
    <mergeCell ref="G1795:J1795"/>
    <mergeCell ref="E1790:F1790"/>
    <mergeCell ref="G1790:J1790"/>
    <mergeCell ref="E1791:F1791"/>
    <mergeCell ref="G1791:J1791"/>
    <mergeCell ref="E1792:F1792"/>
    <mergeCell ref="G1792:J1792"/>
    <mergeCell ref="E2001:F2001"/>
    <mergeCell ref="G2001:J2001"/>
    <mergeCell ref="E2002:F2002"/>
    <mergeCell ref="E2239:F2239"/>
    <mergeCell ref="G2239:J2239"/>
    <mergeCell ref="E2240:F2240"/>
    <mergeCell ref="G2240:J2240"/>
    <mergeCell ref="E2241:F2241"/>
    <mergeCell ref="G2241:J2241"/>
    <mergeCell ref="E2242:F2242"/>
    <mergeCell ref="G2242:J2242"/>
    <mergeCell ref="E2243:F2243"/>
    <mergeCell ref="G2243:J2243"/>
    <mergeCell ref="E2244:F2244"/>
    <mergeCell ref="G2244:J2244"/>
    <mergeCell ref="E2013:F2013"/>
    <mergeCell ref="G2013:J2013"/>
    <mergeCell ref="E2004:F2004"/>
    <mergeCell ref="G2004:J2004"/>
    <mergeCell ref="E2005:F2005"/>
    <mergeCell ref="G2005:J2005"/>
    <mergeCell ref="E2006:F2006"/>
    <mergeCell ref="G2006:J2006"/>
    <mergeCell ref="E2007:F2007"/>
    <mergeCell ref="G2007:J2007"/>
    <mergeCell ref="E2008:F2008"/>
    <mergeCell ref="G2008:J2008"/>
    <mergeCell ref="E2009:F2009"/>
    <mergeCell ref="G2009:J2009"/>
    <mergeCell ref="E2010:F2010"/>
    <mergeCell ref="G2010:J2010"/>
    <mergeCell ref="E2011:F2011"/>
    <mergeCell ref="E2245:F2245"/>
    <mergeCell ref="G2245:J2245"/>
    <mergeCell ref="E2246:F2246"/>
    <mergeCell ref="G2246:J2246"/>
    <mergeCell ref="E2247:F2247"/>
    <mergeCell ref="G2247:J2247"/>
    <mergeCell ref="E2248:F2248"/>
    <mergeCell ref="G2248:J2248"/>
    <mergeCell ref="E2249:F2249"/>
    <mergeCell ref="G2249:J2249"/>
    <mergeCell ref="E2250:F2250"/>
    <mergeCell ref="G2250:J2250"/>
    <mergeCell ref="E2251:F2251"/>
    <mergeCell ref="G2251:J2251"/>
    <mergeCell ref="E2252:F2252"/>
    <mergeCell ref="G2252:J2252"/>
    <mergeCell ref="E2253:F2253"/>
    <mergeCell ref="G2253:J2253"/>
    <mergeCell ref="E2254:F2254"/>
    <mergeCell ref="G2254:J2254"/>
    <mergeCell ref="E2255:F2255"/>
    <mergeCell ref="G2255:J2255"/>
    <mergeCell ref="E2256:F2256"/>
    <mergeCell ref="G2256:J2256"/>
    <mergeCell ref="E2257:F2257"/>
    <mergeCell ref="G2257:J2257"/>
    <mergeCell ref="E2258:F2258"/>
    <mergeCell ref="G2258:J2258"/>
    <mergeCell ref="E2259:F2259"/>
    <mergeCell ref="G2259:J2259"/>
    <mergeCell ref="E2260:F2260"/>
    <mergeCell ref="G2260:J2260"/>
    <mergeCell ref="E2261:F2261"/>
    <mergeCell ref="G2261:J2261"/>
    <mergeCell ref="E2262:F2262"/>
    <mergeCell ref="G2262:J2262"/>
    <mergeCell ref="E2263:F2263"/>
    <mergeCell ref="G2263:J2263"/>
    <mergeCell ref="E2264:F2264"/>
    <mergeCell ref="G2264:J2264"/>
    <mergeCell ref="E2265:F2265"/>
    <mergeCell ref="G2265:J2265"/>
    <mergeCell ref="E2266:F2266"/>
    <mergeCell ref="G2266:J2266"/>
    <mergeCell ref="E2267:F2267"/>
    <mergeCell ref="G2267:J2267"/>
    <mergeCell ref="E2268:F2268"/>
    <mergeCell ref="G2268:J2268"/>
    <mergeCell ref="E2269:F2269"/>
    <mergeCell ref="G2269:J2269"/>
    <mergeCell ref="E2270:F2270"/>
    <mergeCell ref="G2270:J2270"/>
    <mergeCell ref="E2271:F2271"/>
    <mergeCell ref="G2271:J2271"/>
    <mergeCell ref="E2272:F2272"/>
    <mergeCell ref="G2272:J2272"/>
    <mergeCell ref="E2273:F2273"/>
    <mergeCell ref="G2273:J2273"/>
    <mergeCell ref="E2274:F2274"/>
    <mergeCell ref="G2274:J2274"/>
    <mergeCell ref="E2275:F2275"/>
    <mergeCell ref="G2275:J2275"/>
    <mergeCell ref="E2276:F2276"/>
    <mergeCell ref="G2276:J2276"/>
    <mergeCell ref="E2277:F2277"/>
    <mergeCell ref="G2277:J2277"/>
    <mergeCell ref="E2278:F2278"/>
    <mergeCell ref="G2278:J2278"/>
    <mergeCell ref="E2279:F2279"/>
    <mergeCell ref="G2279:J2279"/>
    <mergeCell ref="E2280:F2280"/>
    <mergeCell ref="G2280:J2280"/>
    <mergeCell ref="E2298:F2298"/>
    <mergeCell ref="G2298:J2298"/>
    <mergeCell ref="E2281:F2281"/>
    <mergeCell ref="G2281:J2281"/>
    <mergeCell ref="E2282:F2282"/>
    <mergeCell ref="G2282:J2282"/>
    <mergeCell ref="E2283:F2283"/>
    <mergeCell ref="G2283:J2283"/>
    <mergeCell ref="E2284:F2284"/>
    <mergeCell ref="G2284:J2284"/>
    <mergeCell ref="E2285:F2285"/>
    <mergeCell ref="G2285:J2285"/>
    <mergeCell ref="E2286:F2286"/>
    <mergeCell ref="G2286:J2286"/>
    <mergeCell ref="E2287:F2287"/>
    <mergeCell ref="G2287:J2287"/>
    <mergeCell ref="E2288:F2288"/>
    <mergeCell ref="G2288:J2288"/>
    <mergeCell ref="E2289:F2289"/>
    <mergeCell ref="G2289:J2289"/>
    <mergeCell ref="E2299:F2299"/>
    <mergeCell ref="G2299:J2299"/>
    <mergeCell ref="E2300:F2300"/>
    <mergeCell ref="G2300:J2300"/>
    <mergeCell ref="E2301:F2301"/>
    <mergeCell ref="G2301:J2301"/>
    <mergeCell ref="E2302:F2302"/>
    <mergeCell ref="G2302:J2302"/>
    <mergeCell ref="E2303:F2303"/>
    <mergeCell ref="G2303:J2303"/>
    <mergeCell ref="E2304:F2304"/>
    <mergeCell ref="G2304:J2304"/>
    <mergeCell ref="E2305:F2305"/>
    <mergeCell ref="G2305:J2305"/>
    <mergeCell ref="E2306:F2306"/>
    <mergeCell ref="G2306:J2306"/>
    <mergeCell ref="E2290:F2290"/>
    <mergeCell ref="G2290:J2290"/>
    <mergeCell ref="E2291:F2291"/>
    <mergeCell ref="G2291:J2291"/>
    <mergeCell ref="E2292:F2292"/>
    <mergeCell ref="G2292:J2292"/>
    <mergeCell ref="E2293:F2293"/>
    <mergeCell ref="G2293:J2293"/>
    <mergeCell ref="E2294:F2294"/>
    <mergeCell ref="G2294:J2294"/>
    <mergeCell ref="E2295:F2295"/>
    <mergeCell ref="G2295:J2295"/>
    <mergeCell ref="E2296:F2296"/>
    <mergeCell ref="G2296:J2296"/>
    <mergeCell ref="E2297:F2297"/>
    <mergeCell ref="G2297:J2297"/>
    <mergeCell ref="E2324:F2324"/>
    <mergeCell ref="G2324:J2324"/>
    <mergeCell ref="E2307:F2307"/>
    <mergeCell ref="G2307:J2307"/>
    <mergeCell ref="E2308:F2308"/>
    <mergeCell ref="G2308:J2308"/>
    <mergeCell ref="E2309:F2309"/>
    <mergeCell ref="G2309:J2309"/>
    <mergeCell ref="E2310:F2310"/>
    <mergeCell ref="G2310:J2310"/>
    <mergeCell ref="E2311:F2311"/>
    <mergeCell ref="G2311:J2311"/>
    <mergeCell ref="E2312:F2312"/>
    <mergeCell ref="G2312:J2312"/>
    <mergeCell ref="E2313:F2313"/>
    <mergeCell ref="G2313:J2313"/>
    <mergeCell ref="E2314:F2314"/>
    <mergeCell ref="G2314:J2314"/>
    <mergeCell ref="E2315:F2315"/>
    <mergeCell ref="G2315:J2315"/>
    <mergeCell ref="E2325:F2325"/>
    <mergeCell ref="G2325:J2325"/>
    <mergeCell ref="E2326:F2326"/>
    <mergeCell ref="G2326:J2326"/>
    <mergeCell ref="E2327:F2327"/>
    <mergeCell ref="G2327:J2327"/>
    <mergeCell ref="E2328:F2328"/>
    <mergeCell ref="G2328:J2328"/>
    <mergeCell ref="E2329:F2329"/>
    <mergeCell ref="G2329:J2329"/>
    <mergeCell ref="E2330:F2330"/>
    <mergeCell ref="G2330:J2330"/>
    <mergeCell ref="E2331:F2331"/>
    <mergeCell ref="G2331:J2331"/>
    <mergeCell ref="E2332:F2332"/>
    <mergeCell ref="G2332:J2332"/>
    <mergeCell ref="E2316:F2316"/>
    <mergeCell ref="G2316:J2316"/>
    <mergeCell ref="E2317:F2317"/>
    <mergeCell ref="G2317:J2317"/>
    <mergeCell ref="E2318:F2318"/>
    <mergeCell ref="G2318:J2318"/>
    <mergeCell ref="E2319:F2319"/>
    <mergeCell ref="G2319:J2319"/>
    <mergeCell ref="E2320:F2320"/>
    <mergeCell ref="G2320:J2320"/>
    <mergeCell ref="E2321:F2321"/>
    <mergeCell ref="G2321:J2321"/>
    <mergeCell ref="E2322:F2322"/>
    <mergeCell ref="G2322:J2322"/>
    <mergeCell ref="E2323:F2323"/>
    <mergeCell ref="G2323:J2323"/>
    <mergeCell ref="E2333:F2333"/>
    <mergeCell ref="G2333:J2333"/>
    <mergeCell ref="E2334:F2334"/>
    <mergeCell ref="G2334:J2334"/>
    <mergeCell ref="E2335:F2335"/>
    <mergeCell ref="G2335:J2335"/>
    <mergeCell ref="E2336:F2336"/>
    <mergeCell ref="G2336:J2336"/>
    <mergeCell ref="E2337:F2337"/>
    <mergeCell ref="G2337:J2337"/>
    <mergeCell ref="E2338:F2338"/>
    <mergeCell ref="G2338:J2338"/>
    <mergeCell ref="E2339:F2339"/>
    <mergeCell ref="G2339:J2339"/>
    <mergeCell ref="E2340:F2340"/>
    <mergeCell ref="G2340:J2340"/>
    <mergeCell ref="E2341:F2341"/>
    <mergeCell ref="G2341:J2341"/>
    <mergeCell ref="E2342:F2342"/>
    <mergeCell ref="G2342:J2342"/>
    <mergeCell ref="E2343:F2343"/>
    <mergeCell ref="G2343:J2343"/>
    <mergeCell ref="E2344:F2344"/>
    <mergeCell ref="G2344:J2344"/>
    <mergeCell ref="E2345:F2345"/>
    <mergeCell ref="G2345:J2345"/>
    <mergeCell ref="E2346:F2346"/>
    <mergeCell ref="G2346:J2346"/>
    <mergeCell ref="E2347:F2347"/>
    <mergeCell ref="G2347:J2347"/>
    <mergeCell ref="E2348:F2348"/>
    <mergeCell ref="G2348:J2348"/>
    <mergeCell ref="E2349:F2349"/>
    <mergeCell ref="G2349:J2349"/>
    <mergeCell ref="E2350:F2350"/>
    <mergeCell ref="G2350:J2350"/>
    <mergeCell ref="E2351:F2351"/>
    <mergeCell ref="G2351:J2351"/>
    <mergeCell ref="E2352:F2352"/>
    <mergeCell ref="G2352:J2352"/>
    <mergeCell ref="E2353:F2353"/>
    <mergeCell ref="G2353:J2353"/>
    <mergeCell ref="E2354:F2354"/>
    <mergeCell ref="G2354:J2354"/>
    <mergeCell ref="E2355:F2355"/>
    <mergeCell ref="G2355:J2355"/>
    <mergeCell ref="E2356:F2356"/>
    <mergeCell ref="G2356:J2356"/>
    <mergeCell ref="E2357:F2357"/>
    <mergeCell ref="G2357:J2357"/>
    <mergeCell ref="E2358:F2358"/>
    <mergeCell ref="G2358:J2358"/>
    <mergeCell ref="E2359:F2359"/>
    <mergeCell ref="G2359:J2359"/>
    <mergeCell ref="E2360:F2360"/>
    <mergeCell ref="G2360:J2360"/>
    <mergeCell ref="E2361:F2361"/>
    <mergeCell ref="G2361:J2361"/>
    <mergeCell ref="E2362:F2362"/>
    <mergeCell ref="G2362:J2362"/>
    <mergeCell ref="E2363:F2363"/>
    <mergeCell ref="G2363:J2363"/>
    <mergeCell ref="E2364:F2364"/>
    <mergeCell ref="G2364:J2364"/>
    <mergeCell ref="E2365:F2365"/>
    <mergeCell ref="G2365:J2365"/>
    <mergeCell ref="E2366:F2366"/>
    <mergeCell ref="G2366:J2366"/>
    <mergeCell ref="E2367:F2367"/>
    <mergeCell ref="G2367:J2367"/>
    <mergeCell ref="E2368:F2368"/>
    <mergeCell ref="G2368:J2368"/>
    <mergeCell ref="E2369:F2369"/>
    <mergeCell ref="G2369:J2369"/>
    <mergeCell ref="E2370:F2370"/>
    <mergeCell ref="G2370:J2370"/>
    <mergeCell ref="E2371:F2371"/>
    <mergeCell ref="G2371:J2371"/>
    <mergeCell ref="E2372:F2372"/>
    <mergeCell ref="G2372:J2372"/>
    <mergeCell ref="E2373:F2373"/>
    <mergeCell ref="G2373:J2373"/>
    <mergeCell ref="E2374:F2374"/>
    <mergeCell ref="G2374:J2374"/>
    <mergeCell ref="E2375:F2375"/>
    <mergeCell ref="G2375:J2375"/>
    <mergeCell ref="E2376:F2376"/>
    <mergeCell ref="G2376:J2376"/>
    <mergeCell ref="E2377:F2377"/>
    <mergeCell ref="G2377:J2377"/>
    <mergeCell ref="E2378:F2378"/>
    <mergeCell ref="G2378:J2378"/>
    <mergeCell ref="E2379:F2379"/>
    <mergeCell ref="G2379:J2379"/>
    <mergeCell ref="E2380:F2380"/>
    <mergeCell ref="G2380:J2380"/>
    <mergeCell ref="E2381:F2381"/>
    <mergeCell ref="G2381:J2381"/>
    <mergeCell ref="E2382:F2382"/>
    <mergeCell ref="G2382:J2382"/>
    <mergeCell ref="E2383:F2383"/>
    <mergeCell ref="G2383:J2383"/>
    <mergeCell ref="E2384:F2384"/>
    <mergeCell ref="G2384:J2384"/>
    <mergeCell ref="E2385:F2385"/>
    <mergeCell ref="G2385:J2385"/>
    <mergeCell ref="E2386:F2386"/>
    <mergeCell ref="G2386:J2386"/>
    <mergeCell ref="E2387:F2387"/>
    <mergeCell ref="G2387:J2387"/>
    <mergeCell ref="E2388:F2388"/>
    <mergeCell ref="G2388:J2388"/>
    <mergeCell ref="E2389:F2389"/>
    <mergeCell ref="G2389:J2389"/>
    <mergeCell ref="E2390:F2390"/>
    <mergeCell ref="G2390:J2390"/>
    <mergeCell ref="E2391:F2391"/>
    <mergeCell ref="G2391:J2391"/>
    <mergeCell ref="E2392:F2392"/>
    <mergeCell ref="G2392:J2392"/>
    <mergeCell ref="E2393:F2393"/>
    <mergeCell ref="G2393:J2393"/>
    <mergeCell ref="E2394:F2394"/>
    <mergeCell ref="G2394:J2394"/>
    <mergeCell ref="E2395:F2395"/>
    <mergeCell ref="G2395:J2395"/>
    <mergeCell ref="E2412:F2412"/>
    <mergeCell ref="G2412:J2412"/>
    <mergeCell ref="E2396:F2396"/>
    <mergeCell ref="G2396:J2396"/>
    <mergeCell ref="E2397:F2397"/>
    <mergeCell ref="G2397:J2397"/>
    <mergeCell ref="E2398:F2398"/>
    <mergeCell ref="G2398:J2398"/>
    <mergeCell ref="E2399:F2399"/>
    <mergeCell ref="G2399:J2399"/>
    <mergeCell ref="E2400:F2400"/>
    <mergeCell ref="G2400:J2400"/>
    <mergeCell ref="E2401:F2401"/>
    <mergeCell ref="G2401:J2401"/>
    <mergeCell ref="E2402:F2402"/>
    <mergeCell ref="G2402:J2402"/>
    <mergeCell ref="E2403:F2403"/>
    <mergeCell ref="G2403:J2403"/>
    <mergeCell ref="E2413:F2413"/>
    <mergeCell ref="G2413:J2413"/>
    <mergeCell ref="E2414:F2414"/>
    <mergeCell ref="G2414:J2414"/>
    <mergeCell ref="E2415:F2415"/>
    <mergeCell ref="G2415:J2415"/>
    <mergeCell ref="E2416:F2416"/>
    <mergeCell ref="G2416:J2416"/>
    <mergeCell ref="E2417:F2417"/>
    <mergeCell ref="G2417:J2417"/>
    <mergeCell ref="E2418:F2418"/>
    <mergeCell ref="G2418:J2418"/>
    <mergeCell ref="E2419:F2419"/>
    <mergeCell ref="G2419:J2419"/>
    <mergeCell ref="E2420:F2420"/>
    <mergeCell ref="G2420:J2420"/>
    <mergeCell ref="E2404:F2404"/>
    <mergeCell ref="G2404:J2404"/>
    <mergeCell ref="E2405:F2405"/>
    <mergeCell ref="G2405:J2405"/>
    <mergeCell ref="E2406:F2406"/>
    <mergeCell ref="G2406:J2406"/>
    <mergeCell ref="E2407:F2407"/>
    <mergeCell ref="G2407:J2407"/>
    <mergeCell ref="E2408:F2408"/>
    <mergeCell ref="G2408:J2408"/>
    <mergeCell ref="E2409:F2409"/>
    <mergeCell ref="G2409:J2409"/>
    <mergeCell ref="E2410:F2410"/>
    <mergeCell ref="G2410:J2410"/>
    <mergeCell ref="E2411:F2411"/>
    <mergeCell ref="G2411:J2411"/>
    <mergeCell ref="E2421:F2421"/>
    <mergeCell ref="G2421:J2421"/>
    <mergeCell ref="E2422:F2422"/>
    <mergeCell ref="G2422:J2422"/>
    <mergeCell ref="E2423:F2423"/>
    <mergeCell ref="G2423:J2423"/>
    <mergeCell ref="E2424:F2424"/>
    <mergeCell ref="G2424:J2424"/>
    <mergeCell ref="E2425:F2425"/>
    <mergeCell ref="G2425:J2425"/>
    <mergeCell ref="E2426:F2426"/>
    <mergeCell ref="G2426:J2426"/>
    <mergeCell ref="E2427:F2427"/>
    <mergeCell ref="G2427:J2427"/>
    <mergeCell ref="E2428:F2428"/>
    <mergeCell ref="G2428:J2428"/>
    <mergeCell ref="E2429:F2429"/>
    <mergeCell ref="G2429:J2429"/>
    <mergeCell ref="E2430:F2430"/>
    <mergeCell ref="G2430:J2430"/>
    <mergeCell ref="E2431:F2431"/>
    <mergeCell ref="G2431:J2431"/>
    <mergeCell ref="E2432:F2432"/>
    <mergeCell ref="G2432:J2432"/>
    <mergeCell ref="E2433:F2433"/>
    <mergeCell ref="G2433:J2433"/>
    <mergeCell ref="E2434:F2434"/>
    <mergeCell ref="G2434:J2434"/>
    <mergeCell ref="E2435:F2435"/>
    <mergeCell ref="G2435:J2435"/>
    <mergeCell ref="E2436:F2436"/>
    <mergeCell ref="G2436:J2436"/>
    <mergeCell ref="E2437:F2437"/>
    <mergeCell ref="G2437:J2437"/>
    <mergeCell ref="E2438:F2438"/>
    <mergeCell ref="G2438:J2438"/>
    <mergeCell ref="E2439:F2439"/>
    <mergeCell ref="G2439:J2439"/>
    <mergeCell ref="E2440:F2440"/>
    <mergeCell ref="G2440:J2440"/>
    <mergeCell ref="E2441:F2441"/>
    <mergeCell ref="G2441:J2441"/>
    <mergeCell ref="E2442:F2442"/>
    <mergeCell ref="G2442:J2442"/>
    <mergeCell ref="E2443:F2443"/>
    <mergeCell ref="G2443:J2443"/>
    <mergeCell ref="E2444:F2444"/>
    <mergeCell ref="G2444:J2444"/>
    <mergeCell ref="E2445:F2445"/>
    <mergeCell ref="G2445:J2445"/>
    <mergeCell ref="E2446:F2446"/>
    <mergeCell ref="G2446:J2446"/>
    <mergeCell ref="E2447:F2447"/>
    <mergeCell ref="G2447:J2447"/>
    <mergeCell ref="E2448:F2448"/>
    <mergeCell ref="G2448:J2448"/>
    <mergeCell ref="E2449:F2449"/>
    <mergeCell ref="G2449:J2449"/>
    <mergeCell ref="E2450:F2450"/>
    <mergeCell ref="G2450:J2450"/>
    <mergeCell ref="E2451:F2451"/>
    <mergeCell ref="G2451:J2451"/>
    <mergeCell ref="E2452:F2452"/>
    <mergeCell ref="G2452:J2452"/>
    <mergeCell ref="E2453:F2453"/>
    <mergeCell ref="G2453:J2453"/>
    <mergeCell ref="E2454:F2454"/>
    <mergeCell ref="G2454:J2454"/>
    <mergeCell ref="E2455:F2455"/>
    <mergeCell ref="G2455:J2455"/>
    <mergeCell ref="E2456:F2456"/>
    <mergeCell ref="G2456:J2456"/>
    <mergeCell ref="E2457:F2457"/>
    <mergeCell ref="G2457:J2457"/>
    <mergeCell ref="E2458:F2458"/>
    <mergeCell ref="G2458:J2458"/>
    <mergeCell ref="E2459:F2459"/>
    <mergeCell ref="G2459:J2459"/>
    <mergeCell ref="E2460:F2460"/>
    <mergeCell ref="G2460:J2460"/>
    <mergeCell ref="E2461:F2461"/>
    <mergeCell ref="G2461:J2461"/>
    <mergeCell ref="E2462:F2462"/>
    <mergeCell ref="G2462:J2462"/>
    <mergeCell ref="E2463:F2463"/>
    <mergeCell ref="G2463:J2463"/>
    <mergeCell ref="E2464:F2464"/>
    <mergeCell ref="G2464:J2464"/>
    <mergeCell ref="E2465:F2465"/>
    <mergeCell ref="G2465:J2465"/>
    <mergeCell ref="E2475:F2475"/>
    <mergeCell ref="G2475:J2475"/>
    <mergeCell ref="E2476:F2476"/>
    <mergeCell ref="G2476:J2476"/>
    <mergeCell ref="E2477:F2477"/>
    <mergeCell ref="G2477:J2477"/>
    <mergeCell ref="E2466:F2466"/>
    <mergeCell ref="G2466:J2466"/>
    <mergeCell ref="E2467:F2467"/>
    <mergeCell ref="G2467:J2467"/>
    <mergeCell ref="E2468:F2468"/>
    <mergeCell ref="G2468:J2468"/>
    <mergeCell ref="E2469:F2469"/>
    <mergeCell ref="G2469:J2469"/>
    <mergeCell ref="E2470:F2470"/>
    <mergeCell ref="G2470:J2470"/>
    <mergeCell ref="E2471:F2471"/>
    <mergeCell ref="G2471:J2471"/>
    <mergeCell ref="E2472:F2472"/>
    <mergeCell ref="G2472:J2472"/>
    <mergeCell ref="E2473:F2473"/>
    <mergeCell ref="G2473:J2473"/>
    <mergeCell ref="E2474:F2474"/>
    <mergeCell ref="G2474:J2474"/>
  </mergeCells>
  <phoneticPr fontId="5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站前4樓</vt:lpstr>
      <vt:lpstr>站前11樓</vt:lpstr>
      <vt:lpstr>忠孝國際醫學3樓</vt:lpstr>
      <vt:lpstr>忠孝7樓</vt:lpstr>
      <vt:lpstr>忠孝健康7樓</vt:lpstr>
      <vt:lpstr>領用表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tina.huang 黃霙婷</dc:creator>
  <cp:lastModifiedBy>周佳蓮</cp:lastModifiedBy>
  <cp:lastPrinted>2026-05-20T03:44:24Z</cp:lastPrinted>
  <dcterms:created xsi:type="dcterms:W3CDTF">2025-10-20T09:19:50Z</dcterms:created>
  <dcterms:modified xsi:type="dcterms:W3CDTF">2026-06-04T03:35:41Z</dcterms:modified>
</cp:coreProperties>
</file>